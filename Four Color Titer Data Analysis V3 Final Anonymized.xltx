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_rels/sheet1.xml.rels" ContentType="application/vnd.openxmlformats-package.relationships+xml"/>
  <Override PartName="/xl/worksheets/_rels/sheet9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_rels/sheet12.xml.rels" ContentType="application/vnd.openxmlformats-package.relationships+xml"/>
  <Override PartName="/xl/worksheets/_rels/sheet11.xml.rels" ContentType="application/vnd.openxmlformats-package.relationships+xml"/>
  <Override PartName="/xl/worksheets/_rels/sheet13.xml.rels" ContentType="application/vnd.openxmlformats-package.relationship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_rels/drawing9.xml.rels" ContentType="application/vnd.openxmlformats-package.relationship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_rels/pivotTable1.xml.rels" ContentType="application/vnd.openxmlformats-package.relationships+xml"/>
  <Override PartName="/xl/pivotTables/_rels/pivotTable2.xml.rels" ContentType="application/vnd.openxmlformats-package.relationships+xml"/>
  <Override PartName="/xl/pivotTables/_rels/pivotTable3.xml.rels" ContentType="application/vnd.openxmlformats-package.relationships+xml"/>
  <Override PartName="/xl/pivotTables/_rels/pivotTable4.xml.rels" ContentType="application/vnd.openxmlformats-package.relationships+xml"/>
  <Override PartName="/xl/pivotTables/pivotTable4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_rels/pivotCacheDefinition2.xml.rels" ContentType="application/vnd.openxmlformats-package.relationships+xml"/>
  <Override PartName="/xl/pivotCache/pivotCacheRecords2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2" activeTab="2"/>
  </bookViews>
  <sheets>
    <sheet name="DELETE" sheetId="1" state="hidden" r:id="rId2"/>
    <sheet name="DELETE2" sheetId="2" state="hidden" r:id="rId3"/>
    <sheet name="Flow 1 Input" sheetId="3" state="visible" r:id="rId4"/>
    <sheet name="Flow 1 Output" sheetId="4" state="hidden" r:id="rId5"/>
    <sheet name="Flow 2 Input" sheetId="5" state="visible" r:id="rId6"/>
    <sheet name="Flow 2 Output" sheetId="6" state="hidden" r:id="rId7"/>
    <sheet name="Flow 3 Input" sheetId="7" state="visible" r:id="rId8"/>
    <sheet name="Flow 3 Output" sheetId="8" state="hidden" r:id="rId9"/>
    <sheet name="Flow 4 Input" sheetId="9" state="visible" r:id="rId10"/>
    <sheet name="Flow 4 Output" sheetId="10" state="hidden" r:id="rId11"/>
    <sheet name="VCN - Input" sheetId="11" state="visible" r:id="rId12"/>
    <sheet name="VCN - Output" sheetId="12" state="visible" r:id="rId13"/>
    <sheet name="Titer Calculation" sheetId="13" state="visible" r:id="rId14"/>
    <sheet name="Best Average Titer 1" sheetId="14" state="visible" r:id="rId15"/>
    <sheet name="Best Average Titer 2" sheetId="15" state="visible" r:id="rId16"/>
  </sheets>
  <definedNames>
    <definedName function="false" hidden="true" localSheetId="0" name="_xlnm._FilterDatabase" vbProcedure="false">DELETE!$B$8:$BV$153</definedName>
    <definedName function="false" hidden="false" localSheetId="2" name="_xlnm.Print_Area" vbProcedure="false">'Flow 1 Input'!$A$1:$J$1000</definedName>
    <definedName function="false" hidden="true" localSheetId="2" name="_xlnm._FilterDatabase" vbProcedure="false">'Flow 1 Input'!$A$8:$H$508</definedName>
    <definedName function="false" hidden="false" localSheetId="4" name="_xlnm.Print_Area" vbProcedure="false">'Flow 2 Input'!$A$1:$J$1000</definedName>
    <definedName function="false" hidden="true" localSheetId="4" name="_xlnm._FilterDatabase" vbProcedure="false">'Flow 2 Input'!$A$8:$H$508</definedName>
    <definedName function="false" hidden="false" localSheetId="6" name="_xlnm.Print_Area" vbProcedure="false">'Flow 3 Input'!$A$1:$J$1000</definedName>
    <definedName function="false" hidden="true" localSheetId="6" name="_xlnm._FilterDatabase" vbProcedure="false">'Flow 3 Input'!$A$8:$H$508</definedName>
    <definedName function="false" hidden="false" localSheetId="8" name="_xlnm.Print_Area" vbProcedure="false">'Flow 4 Input'!$A$1:$J$1000</definedName>
    <definedName function="false" hidden="true" localSheetId="8" name="_xlnm._FilterDatabase" vbProcedure="false">'Flow 4 Input'!$A$8:$H$508</definedName>
    <definedName function="false" hidden="true" localSheetId="10" name="_xlnm._FilterDatabase" vbProcedure="false">'VCN - Input'!$B$7:$BV$183</definedName>
  </definedNames>
  <calcPr iterateCount="100" refMode="A1" iterate="false" iterateDelta="0.0001"/>
  <pivotCaches>
    <pivotCache cacheId="1" r:id="rId18"/>
    <pivotCache cacheId="2" r:id="rId19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<sst xmlns="http://schemas.openxmlformats.org/spreadsheetml/2006/main" count="4796" uniqueCount="643">
  <si>
    <t xml:space="preserve">VCN_replicate</t>
  </si>
  <si>
    <t xml:space="preserve">Well</t>
  </si>
  <si>
    <t xml:space="preserve">Sample description 1</t>
  </si>
  <si>
    <t xml:space="preserve">Sample description 2</t>
  </si>
  <si>
    <t xml:space="preserve">Sample description 3</t>
  </si>
  <si>
    <t xml:space="preserve">Sample description 4</t>
  </si>
  <si>
    <t xml:space="preserve">Target</t>
  </si>
  <si>
    <t xml:space="preserve">Conc(copies/µL)</t>
  </si>
  <si>
    <t xml:space="preserve">Molecular Weight(pg/µL)</t>
  </si>
  <si>
    <t xml:space="preserve">Status</t>
  </si>
  <si>
    <t xml:space="preserve">Status Reason</t>
  </si>
  <si>
    <t xml:space="preserve">Experiment</t>
  </si>
  <si>
    <t xml:space="preserve">SampleType</t>
  </si>
  <si>
    <t xml:space="preserve">TargetType</t>
  </si>
  <si>
    <t xml:space="preserve">Supermix</t>
  </si>
  <si>
    <t xml:space="preserve">DyeName(s)</t>
  </si>
  <si>
    <t xml:space="preserve">Copies/20µLWell</t>
  </si>
  <si>
    <t xml:space="preserve">TotalConfMax</t>
  </si>
  <si>
    <t xml:space="preserve">TotalConfMin</t>
  </si>
  <si>
    <t xml:space="preserve">PoissonConfMax</t>
  </si>
  <si>
    <t xml:space="preserve">PoissonConfMin</t>
  </si>
  <si>
    <t xml:space="preserve">Accepted Droplets</t>
  </si>
  <si>
    <t xml:space="preserve">Positives</t>
  </si>
  <si>
    <t xml:space="preserve">Negatives</t>
  </si>
  <si>
    <t xml:space="preserve">Ch1+Ch2+</t>
  </si>
  <si>
    <t xml:space="preserve">Ch1+Ch2-</t>
  </si>
  <si>
    <t xml:space="preserve">Ch1-Ch2+</t>
  </si>
  <si>
    <t xml:space="preserve">Ch1-Ch2-</t>
  </si>
  <si>
    <t xml:space="preserve">Linkage</t>
  </si>
  <si>
    <t xml:space="preserve">CNV</t>
  </si>
  <si>
    <t xml:space="preserve">TotalCNVMax</t>
  </si>
  <si>
    <t xml:space="preserve">TotalCNVMin</t>
  </si>
  <si>
    <t xml:space="preserve">PoissonCNVMax</t>
  </si>
  <si>
    <t xml:space="preserve">PoissonCNVMin</t>
  </si>
  <si>
    <t xml:space="preserve">ReferenceCopies</t>
  </si>
  <si>
    <t xml:space="preserve">UnknownCopies</t>
  </si>
  <si>
    <t xml:space="preserve">Threshold1</t>
  </si>
  <si>
    <t xml:space="preserve">Threshold2</t>
  </si>
  <si>
    <t xml:space="preserve">Threshold3</t>
  </si>
  <si>
    <t xml:space="preserve">ThresholdSigmaAbove</t>
  </si>
  <si>
    <t xml:space="preserve">ThresholdSigmaBelow</t>
  </si>
  <si>
    <t xml:space="preserve">ReferenceUsed</t>
  </si>
  <si>
    <t xml:space="preserve">Ratio</t>
  </si>
  <si>
    <t xml:space="preserve">TotalRatioMax</t>
  </si>
  <si>
    <t xml:space="preserve">TotalRatioMin</t>
  </si>
  <si>
    <t xml:space="preserve">PoissonRatioMax</t>
  </si>
  <si>
    <t xml:space="preserve">PoissonRatioMin</t>
  </si>
  <si>
    <t xml:space="preserve">Fractional Abundance</t>
  </si>
  <si>
    <t xml:space="preserve">TotalFractionalAbundanceMax</t>
  </si>
  <si>
    <t xml:space="preserve">TotalFractionalAbundanceMin</t>
  </si>
  <si>
    <t xml:space="preserve">PoissonFractionalAbundanceMax</t>
  </si>
  <si>
    <t xml:space="preserve">PoissonFractionalAbundanceMin</t>
  </si>
  <si>
    <t xml:space="preserve">MeanAmplitudeOfPositives</t>
  </si>
  <si>
    <t xml:space="preserve">MeanAmplitudeOfNegatives</t>
  </si>
  <si>
    <t xml:space="preserve">MeanAmplitudeTotal</t>
  </si>
  <si>
    <t xml:space="preserve">ExperimentComments</t>
  </si>
  <si>
    <t xml:space="preserve">MergedWells</t>
  </si>
  <si>
    <t xml:space="preserve">TotalConfidenceMax68</t>
  </si>
  <si>
    <t xml:space="preserve">TotalConfidenceMin68</t>
  </si>
  <si>
    <t xml:space="preserve">PoissonConfidenceMax68</t>
  </si>
  <si>
    <t xml:space="preserve">PoissonConfidenceMin68</t>
  </si>
  <si>
    <t xml:space="preserve">TotalCNVMax68</t>
  </si>
  <si>
    <t xml:space="preserve">TotalCNVMin68</t>
  </si>
  <si>
    <t xml:space="preserve">PoissonCNVMax68</t>
  </si>
  <si>
    <t xml:space="preserve">PoissonCNVMin68</t>
  </si>
  <si>
    <t xml:space="preserve">TotalRatioMax68</t>
  </si>
  <si>
    <t xml:space="preserve">TotalRatioMin68</t>
  </si>
  <si>
    <t xml:space="preserve">PoissonRatioMax68</t>
  </si>
  <si>
    <t xml:space="preserve">PoissonRatioMin68</t>
  </si>
  <si>
    <t xml:space="preserve">TotalFractionalAbundanceMax68</t>
  </si>
  <si>
    <t xml:space="preserve">TotalFractionalAbundanceMin68</t>
  </si>
  <si>
    <t xml:space="preserve">PoissonFractionalAbundanceMax68</t>
  </si>
  <si>
    <t xml:space="preserve">PoissonFractionalAbundanceMin68</t>
  </si>
  <si>
    <t xml:space="preserve">TiltCorrected</t>
  </si>
  <si>
    <t xml:space="preserve">VCN_replicate 1</t>
  </si>
  <si>
    <t xml:space="preserve">A01</t>
  </si>
  <si>
    <t xml:space="preserve">17</t>
  </si>
  <si>
    <t xml:space="preserve">T Cells</t>
  </si>
  <si>
    <t xml:space="preserve">ROR1 Team</t>
  </si>
  <si>
    <t xml:space="preserve">VCN_66</t>
  </si>
  <si>
    <t xml:space="preserve">Gen3</t>
  </si>
  <si>
    <t xml:space="preserve">Manual</t>
  </si>
  <si>
    <t xml:space="preserve">Droplets Analyzed Manually</t>
  </si>
  <si>
    <t xml:space="preserve">Unknown</t>
  </si>
  <si>
    <t xml:space="preserve">ddPCR Supermix for Probes (No dUTP)</t>
  </si>
  <si>
    <t xml:space="preserve">FAM</t>
  </si>
  <si>
    <t xml:space="preserve">HAT</t>
  </si>
  <si>
    <t xml:space="preserve">No</t>
  </si>
  <si>
    <t xml:space="preserve">HEX</t>
  </si>
  <si>
    <t xml:space="preserve">VCN_replicate 2</t>
  </si>
  <si>
    <t xml:space="preserve">A02</t>
  </si>
  <si>
    <t xml:space="preserve">A03</t>
  </si>
  <si>
    <t xml:space="preserve">TC544</t>
  </si>
  <si>
    <t xml:space="preserve">VS PARPi Team</t>
  </si>
  <si>
    <t xml:space="preserve">VCN_68</t>
  </si>
  <si>
    <t xml:space="preserve">A04</t>
  </si>
  <si>
    <t xml:space="preserve">A05</t>
  </si>
  <si>
    <t xml:space="preserve">TC552</t>
  </si>
  <si>
    <t xml:space="preserve">B01</t>
  </si>
  <si>
    <t xml:space="preserve">18</t>
  </si>
  <si>
    <t xml:space="preserve">B02</t>
  </si>
  <si>
    <t xml:space="preserve">B03</t>
  </si>
  <si>
    <t xml:space="preserve">TC545</t>
  </si>
  <si>
    <t xml:space="preserve">B04</t>
  </si>
  <si>
    <t xml:space="preserve">B05</t>
  </si>
  <si>
    <t xml:space="preserve">C01</t>
  </si>
  <si>
    <t xml:space="preserve">14</t>
  </si>
  <si>
    <t xml:space="preserve">VCN_67</t>
  </si>
  <si>
    <t xml:space="preserve">C02</t>
  </si>
  <si>
    <t xml:space="preserve">C03</t>
  </si>
  <si>
    <t xml:space="preserve">TC546</t>
  </si>
  <si>
    <t xml:space="preserve">C04</t>
  </si>
  <si>
    <t xml:space="preserve">C05</t>
  </si>
  <si>
    <t xml:space="preserve">D01</t>
  </si>
  <si>
    <t xml:space="preserve">15</t>
  </si>
  <si>
    <t xml:space="preserve">D02</t>
  </si>
  <si>
    <t xml:space="preserve">D03</t>
  </si>
  <si>
    <t xml:space="preserve">TC547</t>
  </si>
  <si>
    <t xml:space="preserve">D04</t>
  </si>
  <si>
    <t xml:space="preserve">D05</t>
  </si>
  <si>
    <t xml:space="preserve">TC553</t>
  </si>
  <si>
    <t xml:space="preserve">E01</t>
  </si>
  <si>
    <t xml:space="preserve">16</t>
  </si>
  <si>
    <t xml:space="preserve">E02</t>
  </si>
  <si>
    <t xml:space="preserve">E03</t>
  </si>
  <si>
    <t xml:space="preserve">TC548</t>
  </si>
  <si>
    <t xml:space="preserve">E04</t>
  </si>
  <si>
    <t xml:space="preserve">E05</t>
  </si>
  <si>
    <t xml:space="preserve">F01</t>
  </si>
  <si>
    <t xml:space="preserve">F02</t>
  </si>
  <si>
    <t xml:space="preserve">F03</t>
  </si>
  <si>
    <t xml:space="preserve">TC549</t>
  </si>
  <si>
    <t xml:space="preserve">F04</t>
  </si>
  <si>
    <t xml:space="preserve">F05</t>
  </si>
  <si>
    <t xml:space="preserve">G01</t>
  </si>
  <si>
    <t xml:space="preserve">G02</t>
  </si>
  <si>
    <t xml:space="preserve">G03</t>
  </si>
  <si>
    <t xml:space="preserve">TC550</t>
  </si>
  <si>
    <t xml:space="preserve">G04</t>
  </si>
  <si>
    <t xml:space="preserve">G05</t>
  </si>
  <si>
    <t xml:space="preserve">Clone E10</t>
  </si>
  <si>
    <t xml:space="preserve">Jurkat</t>
  </si>
  <si>
    <t xml:space="preserve">Pos Control</t>
  </si>
  <si>
    <t xml:space="preserve">H01</t>
  </si>
  <si>
    <t xml:space="preserve">1</t>
  </si>
  <si>
    <t xml:space="preserve">NTC</t>
  </si>
  <si>
    <t xml:space="preserve">H02</t>
  </si>
  <si>
    <t xml:space="preserve">H03</t>
  </si>
  <si>
    <t xml:space="preserve">TC551</t>
  </si>
  <si>
    <t xml:space="preserve">H04</t>
  </si>
  <si>
    <t xml:space="preserve">H05</t>
  </si>
  <si>
    <t xml:space="preserve">Count of CNV</t>
  </si>
  <si>
    <t xml:space="preserve">AVERAGE</t>
  </si>
  <si>
    <t xml:space="preserve">ST DEV</t>
  </si>
  <si>
    <t xml:space="preserve">(empty)</t>
  </si>
  <si>
    <t xml:space="preserve">Depth</t>
  </si>
  <si>
    <t xml:space="preserve">Name</t>
  </si>
  <si>
    <t xml:space="preserve">Statistic</t>
  </si>
  <si>
    <t xml:space="preserve">#Cells</t>
  </si>
  <si>
    <t xml:space="preserve">Row (Letter)</t>
  </si>
  <si>
    <t xml:space="preserve">Digit 1</t>
  </si>
  <si>
    <t xml:space="preserve">Digit 2</t>
  </si>
  <si>
    <t xml:space="preserve">Two Digit</t>
  </si>
  <si>
    <t xml:space="preserve">Column (Number)</t>
  </si>
  <si>
    <t xml:space="preserve">Final Gate</t>
  </si>
  <si>
    <t xml:space="preserve">Flow 1 Titer Output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</si>
  <si>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</si>
  <si>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</si>
  <si>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</si>
  <si>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</si>
  <si>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</si>
  <si>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</si>
  <si>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</si>
  <si>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</si>
  <si>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Flow 2 Titer Output</t>
  </si>
  <si>
    <t xml:space="preserve">Flow 3 Titer Output</t>
  </si>
  <si>
    <t xml:space="preserve">Flow 4 Titer Output</t>
  </si>
  <si>
    <t xml:space="preserve">#QC by count check pivot table/"count" = 2.00. Return to pivot table/"sum".</t>
  </si>
  <si>
    <t xml:space="preserve">Sum of CNV</t>
  </si>
  <si>
    <t xml:space="preserve">5X</t>
  </si>
  <si>
    <t xml:space="preserve">25X</t>
  </si>
  <si>
    <t xml:space="preserve">125X</t>
  </si>
  <si>
    <t xml:space="preserve">625X</t>
  </si>
  <si>
    <t xml:space="preserve">3125X</t>
  </si>
  <si>
    <t xml:space="preserve">15625X</t>
  </si>
  <si>
    <t xml:space="preserve">78125X</t>
  </si>
  <si>
    <t xml:space="preserve">CHECK</t>
  </si>
  <si>
    <t xml:space="preserve">T-Cell Data</t>
  </si>
  <si>
    <t xml:space="preserve">Average of CNV</t>
  </si>
  <si>
    <t xml:space="preserve">#QC data by coutn chec pivot table/"count" = 1.00. Err data pivot table/"count" =2.00. Return to pivot table/"sum".</t>
  </si>
  <si>
    <t xml:space="preserve">#pCTX and TC mixed data will populate here- ignore pCTX data</t>
  </si>
  <si>
    <t xml:space="preserve">sample descriptions</t>
  </si>
  <si>
    <t xml:space="preserve">Dilution factor = see column A--&gt;H</t>
  </si>
  <si>
    <t xml:space="preserve">PLATE 1- Flow Titer 1</t>
  </si>
  <si>
    <t xml:space="preserve">Change these numbers to auto calculate differently</t>
  </si>
  <si>
    <t xml:space="preserve">Antibody</t>
  </si>
  <si>
    <t xml:space="preserve">Gate Name</t>
  </si>
  <si>
    <t xml:space="preserve">Vendor</t>
  </si>
  <si>
    <t xml:space="preserve">Dilution Factor</t>
  </si>
  <si>
    <t xml:space="preserve">Flow output tabs are hidden</t>
  </si>
  <si>
    <t xml:space="preserve">Automatic Flow Titer Calculation Rules:</t>
  </si>
  <si>
    <t xml:space="preserve">Erbitux AF647</t>
  </si>
  <si>
    <t xml:space="preserve">EGFRt</t>
  </si>
  <si>
    <t xml:space="preserve">BioLegend Cat.</t>
  </si>
  <si>
    <t xml:space="preserve">1:3000</t>
  </si>
  <si>
    <t xml:space="preserve">Rule 1:</t>
  </si>
  <si>
    <t xml:space="preserve">flow % equal to or less than</t>
  </si>
  <si>
    <t xml:space="preserve">Anti-myc AF488</t>
  </si>
  <si>
    <t xml:space="preserve">FLAG</t>
  </si>
  <si>
    <t xml:space="preserve">1:50</t>
  </si>
  <si>
    <t xml:space="preserve">Rule 2:</t>
  </si>
  <si>
    <t xml:space="preserve">flow % greater than:</t>
  </si>
  <si>
    <t xml:space="preserve">Anti-myc AF647</t>
  </si>
  <si>
    <t xml:space="preserve">myc</t>
  </si>
  <si>
    <t xml:space="preserve">Rule 3:</t>
  </si>
  <si>
    <t xml:space="preserve">CV less than</t>
  </si>
  <si>
    <t xml:space="preserve">Anti-NGFRt AF647</t>
  </si>
  <si>
    <t xml:space="preserve">NGFRt</t>
  </si>
  <si>
    <t xml:space="preserve">1:200</t>
  </si>
  <si>
    <t xml:space="preserve">Antibody Dilution Factor</t>
  </si>
  <si>
    <t xml:space="preserve">Anti-FLAG AF488</t>
  </si>
  <si>
    <t xml:space="preserve">R&amp;D Systems Cat.</t>
  </si>
  <si>
    <t xml:space="preserve">1:100</t>
  </si>
  <si>
    <t xml:space="preserve">Table 1. Raw Flow Data</t>
  </si>
  <si>
    <t xml:space="preserve">Anti-FLAG AF647</t>
  </si>
  <si>
    <t xml:space="preserve">FlAG</t>
  </si>
  <si>
    <t xml:space="preserve">DF</t>
  </si>
  <si>
    <t xml:space="preserve">pALD-eGFP</t>
  </si>
  <si>
    <t xml:space="preserve">pCTX</t>
  </si>
  <si>
    <t xml:space="preserve">Automatic VCN Titer Calculation Rules:</t>
  </si>
  <si>
    <t xml:space="preserve">hCD72 AF647</t>
  </si>
  <si>
    <t xml:space="preserve">CD72</t>
  </si>
  <si>
    <t xml:space="preserve">VCN # equal to or less than</t>
  </si>
  <si>
    <t xml:space="preserve">hTIM4 AF647 (9F4)</t>
  </si>
  <si>
    <t xml:space="preserve">TIM4</t>
  </si>
  <si>
    <t xml:space="preserve">VCN # greater than:</t>
  </si>
  <si>
    <t xml:space="preserve">Anti-CD34 AF647</t>
  </si>
  <si>
    <t xml:space="preserve">The average with the highest n below the CV threshold will be chosen</t>
  </si>
  <si>
    <t xml:space="preserve">If no average is below the CV threshold, the lowest CV average will be chosen.</t>
  </si>
  <si>
    <t xml:space="preserve">Table 2. TU/ml calculations</t>
  </si>
  <si>
    <t xml:space="preserve">Standard Error</t>
  </si>
  <si>
    <t xml:space="preserve">Coefficient of Variation</t>
  </si>
  <si>
    <t xml:space="preserve">Automatic Flow Titer Calculation:</t>
  </si>
  <si>
    <t xml:space="preserve">PLATE 2- Flow Titer 2</t>
  </si>
  <si>
    <t xml:space="preserve">TU per mL = %PE = PE/100</t>
  </si>
  <si>
    <t xml:space="preserve">number Jurkats plated = 10,000 </t>
  </si>
  <si>
    <t xml:space="preserve">PLATE 2- Flow Titer 3</t>
  </si>
  <si>
    <t xml:space="preserve">PLATE 2- Flow Titer 4</t>
  </si>
  <si>
    <t xml:space="preserve">VCN Titers Plate 1</t>
  </si>
  <si>
    <t xml:space="preserve">Table 2. VCN Raw Data</t>
  </si>
  <si>
    <t xml:space="preserve">Table 3.  VCN calculations</t>
  </si>
  <si>
    <t xml:space="preserve">Automatic VCN Titer Calculation:</t>
  </si>
  <si>
    <t xml:space="preserve">Table 1. VCN Plate Layout</t>
  </si>
  <si>
    <t xml:space="preserve">AVERAGE 2, 3, 4</t>
  </si>
  <si>
    <t xml:space="preserve">AVERAGE 2, 3, 5</t>
  </si>
  <si>
    <t xml:space="preserve">AVERAGE 2, 3, 6</t>
  </si>
  <si>
    <t xml:space="preserve">AVERAGE 2, 3, 7</t>
  </si>
  <si>
    <t xml:space="preserve">AVERAGE 3, 4, 1</t>
  </si>
  <si>
    <t xml:space="preserve">AVERAGE 3, 4, 5</t>
  </si>
  <si>
    <t xml:space="preserve">AVERAGE 3, 4, 6</t>
  </si>
  <si>
    <t xml:space="preserve">AVERAGE 3, 4, 7</t>
  </si>
  <si>
    <t xml:space="preserve">AVERAGE 4, 5, 1</t>
  </si>
  <si>
    <t xml:space="preserve">PLATE 1- Exp Titer unconcentrated</t>
  </si>
  <si>
    <t xml:space="preserve">CHOOSE CALCULATION CUTOFFS IN 'TITER CALCULATION' TAB</t>
  </si>
  <si>
    <t xml:space="preserve">Formula</t>
  </si>
  <si>
    <t xml:space="preserve">Rule 1 &amp; 2:</t>
  </si>
  <si>
    <t xml:space="preserve">FILTER('Titer Calculation'!C10:C16,('Titer Calculation'!C10:C16&lt;=50)*('Titer Calculation'!C10:C16&gt;0))</t>
  </si>
  <si>
    <t xml:space="preserve">Table 1. Flow Plate Layout 1X virus preps</t>
  </si>
  <si>
    <t xml:space="preserve">unconcentrated</t>
  </si>
  <si>
    <t xml:space="preserve">concentrated</t>
  </si>
  <si>
    <t xml:space="preserve">VCN</t>
  </si>
  <si>
    <t xml:space="preserve">row</t>
  </si>
  <si>
    <t xml:space="preserve">n</t>
  </si>
  <si>
    <t xml:space="preserve">start</t>
  </si>
  <si>
    <t xml:space="preserve">end</t>
  </si>
  <si>
    <t xml:space="preserve">41</t>
  </si>
  <si>
    <t xml:space="preserve">202</t>
  </si>
  <si>
    <t xml:space="preserve">Average &lt; CV Limit</t>
  </si>
  <si>
    <t xml:space="preserve">Averages chosen</t>
  </si>
  <si>
    <t xml:space="preserve">Unconcentrated Titer</t>
  </si>
  <si>
    <t xml:space="preserve">(%)</t>
  </si>
  <si>
    <t xml:space="preserve">(TFU)</t>
  </si>
  <si>
    <t xml:space="preserve">Mean Average</t>
  </si>
  <si>
    <t xml:space="preserve">Coefficient of Variance</t>
  </si>
  <si>
    <t xml:space="preserve">AVERAGE 1, 2</t>
  </si>
  <si>
    <t xml:space="preserve">COEF VAR 1, 2</t>
  </si>
  <si>
    <t xml:space="preserve">STD ERROR 1, 2</t>
  </si>
  <si>
    <t xml:space="preserve">AVERAGE 1, 3</t>
  </si>
  <si>
    <t xml:space="preserve">COEF VAR 1, 3</t>
  </si>
  <si>
    <t xml:space="preserve">STD ERROR 1, 3</t>
  </si>
  <si>
    <t xml:space="preserve">AVERAGE 1, 4</t>
  </si>
  <si>
    <t xml:space="preserve">COEF VAR 1, 4</t>
  </si>
  <si>
    <t xml:space="preserve">STD ERROR 1, 4</t>
  </si>
  <si>
    <t xml:space="preserve">AVERAGE 1, 5</t>
  </si>
  <si>
    <t xml:space="preserve">COEF VAR 1, 5</t>
  </si>
  <si>
    <t xml:space="preserve">STD ERROR 1, 5</t>
  </si>
  <si>
    <t xml:space="preserve">AVERAGE 1, 6</t>
  </si>
  <si>
    <t xml:space="preserve">COEF VAR 1, 6</t>
  </si>
  <si>
    <t xml:space="preserve">STD ERROR 1, 6</t>
  </si>
  <si>
    <t xml:space="preserve">AVERAGE 1, 7</t>
  </si>
  <si>
    <t xml:space="preserve">COEF VAR 1, 7</t>
  </si>
  <si>
    <t xml:space="preserve">STD ERROR 1, 7</t>
  </si>
  <si>
    <t xml:space="preserve">AVERAGE 2, 3</t>
  </si>
  <si>
    <t xml:space="preserve">COEF VAR 2, 3</t>
  </si>
  <si>
    <t xml:space="preserve">STD ERROR 2, 3</t>
  </si>
  <si>
    <t xml:space="preserve">AVERAGE 2, 4</t>
  </si>
  <si>
    <t xml:space="preserve">COEF VAR 2, 4</t>
  </si>
  <si>
    <t xml:space="preserve">STD ERROR 2, 4</t>
  </si>
  <si>
    <t xml:space="preserve">AVERAGE 2, 5</t>
  </si>
  <si>
    <t xml:space="preserve">COEF VAR 2, 5</t>
  </si>
  <si>
    <t xml:space="preserve">STD ERROR 2, 5</t>
  </si>
  <si>
    <t xml:space="preserve">AVERAGE 2, 6</t>
  </si>
  <si>
    <t xml:space="preserve">COEF VAR 2, 6</t>
  </si>
  <si>
    <t xml:space="preserve">STD ERROR 2, 6</t>
  </si>
  <si>
    <t xml:space="preserve">AVERAGE 2, 7</t>
  </si>
  <si>
    <t xml:space="preserve">COEF VAR 2, 7</t>
  </si>
  <si>
    <t xml:space="preserve">STD ERROR 2, 7</t>
  </si>
  <si>
    <t xml:space="preserve">AVERAGE 3, 4</t>
  </si>
  <si>
    <t xml:space="preserve">COEF VAR 3, 4</t>
  </si>
  <si>
    <t xml:space="preserve">STD ERROR 3, 4</t>
  </si>
  <si>
    <t xml:space="preserve">AVERAGE 3, 5</t>
  </si>
  <si>
    <t xml:space="preserve">COEF VAR 3, 5</t>
  </si>
  <si>
    <t xml:space="preserve">STD ERROR 3, 5</t>
  </si>
  <si>
    <t xml:space="preserve">AVERAGE 3, 6</t>
  </si>
  <si>
    <t xml:space="preserve">COEF VAR 3, 6</t>
  </si>
  <si>
    <t xml:space="preserve">STD ERROR 3, 6</t>
  </si>
  <si>
    <t xml:space="preserve">AVERAGE 3, 7</t>
  </si>
  <si>
    <t xml:space="preserve">COEF VAR 3, 7</t>
  </si>
  <si>
    <t xml:space="preserve">STD ERROR 3, 7</t>
  </si>
  <si>
    <t xml:space="preserve">AVERAGE 4, 5</t>
  </si>
  <si>
    <t xml:space="preserve">COEF VAR 4, 5</t>
  </si>
  <si>
    <t xml:space="preserve">STD ERROR 4, 5</t>
  </si>
  <si>
    <t xml:space="preserve">AVERAGE 4, 6</t>
  </si>
  <si>
    <t xml:space="preserve">COEF VAR 4, 6</t>
  </si>
  <si>
    <t xml:space="preserve">STD ERROR 4, 6</t>
  </si>
  <si>
    <t xml:space="preserve">AVERAGE 4, 7</t>
  </si>
  <si>
    <t xml:space="preserve">COEF VAR 4, 7</t>
  </si>
  <si>
    <t xml:space="preserve">STD ERROR 4, 7</t>
  </si>
  <si>
    <t xml:space="preserve">AVERAGE 5, 6</t>
  </si>
  <si>
    <t xml:space="preserve">COEF VAR 5, 6</t>
  </si>
  <si>
    <t xml:space="preserve">STD ERROR 5, 6</t>
  </si>
  <si>
    <t xml:space="preserve">AVERAGE 5, 7</t>
  </si>
  <si>
    <t xml:space="preserve">COEF VAR 5, 7</t>
  </si>
  <si>
    <t xml:space="preserve">STD ERROR 5, 7</t>
  </si>
  <si>
    <t xml:space="preserve">AVERAGE 6, 7</t>
  </si>
  <si>
    <t xml:space="preserve">COEF VAR 6, 7</t>
  </si>
  <si>
    <t xml:space="preserve">STD ERROR 6, 7</t>
  </si>
  <si>
    <t xml:space="preserve">AVERAGE 1, 2, 3</t>
  </si>
  <si>
    <t xml:space="preserve">COEF VAR 1, 2, 3</t>
  </si>
  <si>
    <t xml:space="preserve">STD ERROR 1, 2, 3</t>
  </si>
  <si>
    <t xml:space="preserve">AVERAGE 1, 2, 4</t>
  </si>
  <si>
    <t xml:space="preserve">COEF VAR 1, 2, 4</t>
  </si>
  <si>
    <t xml:space="preserve">STD ERROR 1, 2, 4</t>
  </si>
  <si>
    <t xml:space="preserve">AVERAGE 1, 2, 5</t>
  </si>
  <si>
    <t xml:space="preserve">COEF VAR 1, 2, 5</t>
  </si>
  <si>
    <t xml:space="preserve">STD ERROR 1, 2, 5</t>
  </si>
  <si>
    <t xml:space="preserve">AVERAGE 1, 2, 6</t>
  </si>
  <si>
    <t xml:space="preserve">COEF VAR 1, 2, 6</t>
  </si>
  <si>
    <t xml:space="preserve">STD ERROR 1, 2, 6</t>
  </si>
  <si>
    <t xml:space="preserve">AVERAGE 1, 2, 7</t>
  </si>
  <si>
    <t xml:space="preserve">COEF VAR 1, 2, 7</t>
  </si>
  <si>
    <t xml:space="preserve">STD ERROR 1, 2, 7</t>
  </si>
  <si>
    <t xml:space="preserve">COEF VAR 2,3, 4</t>
  </si>
  <si>
    <t xml:space="preserve">STD ERROR 2,3, 4</t>
  </si>
  <si>
    <t xml:space="preserve">COEF VAR 2,3, 5</t>
  </si>
  <si>
    <t xml:space="preserve">STD ERROR 2,3, 5</t>
  </si>
  <si>
    <t xml:space="preserve">COEF VAR 2,3, 6</t>
  </si>
  <si>
    <t xml:space="preserve">STD ERROR 2,3, 6</t>
  </si>
  <si>
    <t xml:space="preserve">COEF VAR 2,3, 7</t>
  </si>
  <si>
    <t xml:space="preserve">STD ERROR 2,3, 7</t>
  </si>
  <si>
    <t xml:space="preserve">COEF VAR 3,4, 1</t>
  </si>
  <si>
    <t xml:space="preserve">STD ERROR 3,4, 1</t>
  </si>
  <si>
    <t xml:space="preserve">COEF VAR 3,4, 5</t>
  </si>
  <si>
    <t xml:space="preserve">STD ERROR 3,4, 5</t>
  </si>
  <si>
    <t xml:space="preserve">COEF VAR 3,4, 6</t>
  </si>
  <si>
    <t xml:space="preserve">STD ERROR 3,4, 6</t>
  </si>
  <si>
    <t xml:space="preserve">COEF VAR 3,4, 7</t>
  </si>
  <si>
    <t xml:space="preserve">STD ERROR 3,4, 7</t>
  </si>
  <si>
    <t xml:space="preserve">COEF VAR 4, 5, 1</t>
  </si>
  <si>
    <t xml:space="preserve">STD ERROR 4, 5, 1</t>
  </si>
  <si>
    <t xml:space="preserve">AVERAGE 4, 5, 2</t>
  </si>
  <si>
    <t xml:space="preserve">COEF VAR 4, 5, 2</t>
  </si>
  <si>
    <t xml:space="preserve">STD ERROR 4, 5, 2</t>
  </si>
  <si>
    <t xml:space="preserve">AVERAGE 4, 5, 6</t>
  </si>
  <si>
    <t xml:space="preserve">COEF VAR 4, 5, 6</t>
  </si>
  <si>
    <t xml:space="preserve">STD ERROR 4, 5, 6</t>
  </si>
  <si>
    <t xml:space="preserve">AVERAGE 4, 5, 7</t>
  </si>
  <si>
    <t xml:space="preserve">COEF VAR 4, 5, 7</t>
  </si>
  <si>
    <t xml:space="preserve">STD ERROR 4, 5, 7</t>
  </si>
  <si>
    <t xml:space="preserve">AVERAGE 5, 6, 1</t>
  </si>
  <si>
    <t xml:space="preserve">COEF VAR 5, 6, 1</t>
  </si>
  <si>
    <t xml:space="preserve">STD ERROR 5, 6, 1</t>
  </si>
  <si>
    <t xml:space="preserve">AVERAGE 5, 6, 2</t>
  </si>
  <si>
    <t xml:space="preserve">COEF VAR 5, 6, 2</t>
  </si>
  <si>
    <t xml:space="preserve">STD ERROR 5, 6, 2</t>
  </si>
  <si>
    <t xml:space="preserve">AVERAGE 5, 6, 3</t>
  </si>
  <si>
    <t xml:space="preserve">COEF VAR 5, 6, 3</t>
  </si>
  <si>
    <t xml:space="preserve">STD ERROR 5, 6, 3</t>
  </si>
  <si>
    <t xml:space="preserve">AVERAGE 5, 6, 4</t>
  </si>
  <si>
    <t xml:space="preserve">COEF VAR 5, 6, 4</t>
  </si>
  <si>
    <t xml:space="preserve">STD ERROR 5, 6, 4</t>
  </si>
  <si>
    <t xml:space="preserve">AVERAGE 5, 6, 7</t>
  </si>
  <si>
    <t xml:space="preserve">COEF VAR 5, 6, 7</t>
  </si>
  <si>
    <t xml:space="preserve">STD ERROR 5, 6, 7</t>
  </si>
  <si>
    <t xml:space="preserve">AVERAGE 6, 7, 1</t>
  </si>
  <si>
    <t xml:space="preserve">COEF VAR 6, 7, 1</t>
  </si>
  <si>
    <t xml:space="preserve">STD ERROR 6, 7, 1</t>
  </si>
  <si>
    <t xml:space="preserve">AVERAGE 6, 7, 2</t>
  </si>
  <si>
    <t xml:space="preserve">COEF VAR 6, 7, 2</t>
  </si>
  <si>
    <t xml:space="preserve">STD ERROR 6, 7, 2</t>
  </si>
  <si>
    <t xml:space="preserve">AVERAGE 6, 7, 3</t>
  </si>
  <si>
    <t xml:space="preserve">COEF VAR 6, 7, 3</t>
  </si>
  <si>
    <t xml:space="preserve">STD ERROR 6, 7, 3</t>
  </si>
  <si>
    <t xml:space="preserve">AVERAGE 6, 7, 4</t>
  </si>
  <si>
    <t xml:space="preserve">COEF VAR 6, 7, 4</t>
  </si>
  <si>
    <t xml:space="preserve">STD ERROR 6, 7, 4</t>
  </si>
  <si>
    <t xml:space="preserve">AVERAGE 1, 3, 5</t>
  </si>
  <si>
    <t xml:space="preserve">COEF VAR 1, 3, 5</t>
  </si>
  <si>
    <t xml:space="preserve">STD ERROR 1, 3, 5</t>
  </si>
  <si>
    <t xml:space="preserve">AVERAGE 1, 4, 6</t>
  </si>
  <si>
    <t xml:space="preserve">COEF VAR 1, 4, 6</t>
  </si>
  <si>
    <t xml:space="preserve">STD ERROR 1, 4, 6</t>
  </si>
  <si>
    <t xml:space="preserve">AVERAGE 1, 4, 7</t>
  </si>
  <si>
    <t xml:space="preserve">COEF VAR 1, 4, 7</t>
  </si>
  <si>
    <t xml:space="preserve">STD ERROR 1, 4, 7</t>
  </si>
  <si>
    <t xml:space="preserve">AVERAGE 1, 5, 7</t>
  </si>
  <si>
    <t xml:space="preserve">COEF VAR 1, 5, 7</t>
  </si>
  <si>
    <t xml:space="preserve">STD ERROR 1, 5, 7</t>
  </si>
  <si>
    <t xml:space="preserve">AVERAGE 2, 4, 5</t>
  </si>
  <si>
    <t xml:space="preserve">COEF VAR 2, 4, 5</t>
  </si>
  <si>
    <t xml:space="preserve">STD ERROR 2, 4, 5</t>
  </si>
  <si>
    <t xml:space="preserve">AVERAGE 2, 4, 6</t>
  </si>
  <si>
    <t xml:space="preserve">COEF VAR 2, 4, 6</t>
  </si>
  <si>
    <t xml:space="preserve">STD ERROR 2, 4, 6</t>
  </si>
  <si>
    <t xml:space="preserve">AVERAGE 2, 4, 7</t>
  </si>
  <si>
    <t xml:space="preserve">COEF VAR 2, 4, 7</t>
  </si>
  <si>
    <t xml:space="preserve">STD ERROR 2, 4, 7</t>
  </si>
  <si>
    <t xml:space="preserve">AVERAGE 2, 5, 7</t>
  </si>
  <si>
    <t xml:space="preserve">COEF VAR 2, 5, 7</t>
  </si>
  <si>
    <t xml:space="preserve">STD ERROR 2, 5, 7</t>
  </si>
  <si>
    <t xml:space="preserve">AVERAGE 3, 5, 7</t>
  </si>
  <si>
    <t xml:space="preserve">COEF VAR 3, 5, 7</t>
  </si>
  <si>
    <t xml:space="preserve">STD ERROR 3, 5, 7</t>
  </si>
  <si>
    <t xml:space="preserve">AVERAGE 1, 2, 3, 4</t>
  </si>
  <si>
    <t xml:space="preserve">COEF VAR 1, 2, 3, 4</t>
  </si>
  <si>
    <t xml:space="preserve">STD ERROR 1, 2, 3, 4</t>
  </si>
  <si>
    <t xml:space="preserve">AVERAGE 1, 2, 3, 5</t>
  </si>
  <si>
    <t xml:space="preserve">COEF VAR 1, 2, 3, 5</t>
  </si>
  <si>
    <t xml:space="preserve">STD ERROR 1, 2, 3, 5</t>
  </si>
  <si>
    <t xml:space="preserve">AVERAGE 1, 2, 3, 6</t>
  </si>
  <si>
    <t xml:space="preserve">COEF VAR 1, 2, 3, 6</t>
  </si>
  <si>
    <t xml:space="preserve">STD ERROR 1, 2, 3, 6</t>
  </si>
  <si>
    <t xml:space="preserve">AVERAGE 1, 2, 3, 7</t>
  </si>
  <si>
    <t xml:space="preserve">COEF VAR 1, 2, 3, 7</t>
  </si>
  <si>
    <t xml:space="preserve">STD ERROR 1, 2, 3, 7</t>
  </si>
  <si>
    <t xml:space="preserve">AVERAGE 2, 3, 4, 1</t>
  </si>
  <si>
    <t xml:space="preserve">COEF VAR 2, 3, 4, 1</t>
  </si>
  <si>
    <t xml:space="preserve">STD ERROR 2, 3, 4, 1</t>
  </si>
  <si>
    <t xml:space="preserve">AVERAGE 2, 3, 4, 5</t>
  </si>
  <si>
    <t xml:space="preserve">COEF VAR 2, 3, 4, 5</t>
  </si>
  <si>
    <t xml:space="preserve">STD ERROR 2, 3, 4, 5</t>
  </si>
  <si>
    <t xml:space="preserve">AVERAGE 2, 3, 4, 6</t>
  </si>
  <si>
    <t xml:space="preserve">COEF VAR 2, 3, 4, 6</t>
  </si>
  <si>
    <t xml:space="preserve">STD ERROR 2, 3, 4, 6</t>
  </si>
  <si>
    <t xml:space="preserve">AVERAGE 2, 3, 4, 7</t>
  </si>
  <si>
    <t xml:space="preserve">COEF VAR 2, 3, 4, 7</t>
  </si>
  <si>
    <t xml:space="preserve">STD ERROR 2, 3, 4, 7</t>
  </si>
  <si>
    <t xml:space="preserve">AVERAGE 3, 4, 5, 1</t>
  </si>
  <si>
    <t xml:space="preserve">COEF VAR 3, 4, 5, 1</t>
  </si>
  <si>
    <t xml:space="preserve">STD ERROR 3, 4, 5, 1</t>
  </si>
  <si>
    <t xml:space="preserve">AVERAGE 3, 4, 5, 2</t>
  </si>
  <si>
    <t xml:space="preserve">COEF VAR 3, 4, 5, 2</t>
  </si>
  <si>
    <t xml:space="preserve">STD ERROR 3, 4, 5, 2</t>
  </si>
  <si>
    <t xml:space="preserve">AVERAGE 3, 4, 5, 6</t>
  </si>
  <si>
    <t xml:space="preserve">COEF VAR 3, 4, 5, 6</t>
  </si>
  <si>
    <t xml:space="preserve">STD ERROR 3, 4, 5, 6</t>
  </si>
  <si>
    <t xml:space="preserve">AVERAGE 3, 4, 5, 7</t>
  </si>
  <si>
    <t xml:space="preserve">COEF VAR 3, 4, 5, 7</t>
  </si>
  <si>
    <t xml:space="preserve">STD ERROR 3, 4, 5, 7</t>
  </si>
  <si>
    <t xml:space="preserve">AVERAGE 4, 5, 6, 1</t>
  </si>
  <si>
    <t xml:space="preserve">COEF VAR 4, 5, 6, 1</t>
  </si>
  <si>
    <t xml:space="preserve">STD ERROR 4, 5, 6, 1</t>
  </si>
  <si>
    <t xml:space="preserve">AVERAGE 4, 5, 6, 2</t>
  </si>
  <si>
    <t xml:space="preserve">COEF VAR 4, 5, 6, 2</t>
  </si>
  <si>
    <t xml:space="preserve">STD ERROR 4, 5, 6, 2</t>
  </si>
  <si>
    <t xml:space="preserve">AVERAGE 4, 5, 6, 3</t>
  </si>
  <si>
    <t xml:space="preserve">COEF VAR 4, 5, 6, 3</t>
  </si>
  <si>
    <t xml:space="preserve">STD ERROR 4, 5, 6, 3</t>
  </si>
  <si>
    <t xml:space="preserve">AVERAGE 4, 5, 6, 7</t>
  </si>
  <si>
    <t xml:space="preserve">COEF VAR 4, 5, 6, 7</t>
  </si>
  <si>
    <t xml:space="preserve">STD ERROR 4, 5, 6, 7</t>
  </si>
  <si>
    <t xml:space="preserve">AVERAGE 5, 6, 7, 1</t>
  </si>
  <si>
    <t xml:space="preserve">COEF VAR 5, 6, 7, 1</t>
  </si>
  <si>
    <t xml:space="preserve">STD ERROR 5, 6, 7, 1</t>
  </si>
  <si>
    <t xml:space="preserve">AVERAGE 5, 6, 7, 2</t>
  </si>
  <si>
    <t xml:space="preserve">COEF VAR 5, 6, 7, 2</t>
  </si>
  <si>
    <t xml:space="preserve">STD ERROR 5, 6, 7, 2</t>
  </si>
  <si>
    <t xml:space="preserve">AVERAGE 5, 6, 7, 3</t>
  </si>
  <si>
    <t xml:space="preserve">COEF VAR 5, 6, 7, 3</t>
  </si>
  <si>
    <t xml:space="preserve">STD ERROR 5, 6, 7, 3</t>
  </si>
  <si>
    <t xml:space="preserve">AVERAGE 5, 6, 7, 4</t>
  </si>
  <si>
    <t xml:space="preserve">COEF VAR 5, 6, 7, 4</t>
  </si>
  <si>
    <t xml:space="preserve">STD ERROR 5, 6, 7, 4</t>
  </si>
  <si>
    <t xml:space="preserve">AVERAGE 1, 2, 4, 6</t>
  </si>
  <si>
    <t xml:space="preserve">COEF VAR 1, 2, 4, 6</t>
  </si>
  <si>
    <t xml:space="preserve">STD ERROR 1, 2, 4, 6</t>
  </si>
  <si>
    <t xml:space="preserve">AVERAGE 1, 2, 4, 7</t>
  </si>
  <si>
    <t xml:space="preserve">COEF VAR 1, 2, 4, 7</t>
  </si>
  <si>
    <t xml:space="preserve">STD ERROR 1, 2, 4, 7</t>
  </si>
  <si>
    <t xml:space="preserve">AVERAGE 1, 2, 6, 7</t>
  </si>
  <si>
    <t xml:space="preserve">COEF VAR 1, 2, 6, 7</t>
  </si>
  <si>
    <t xml:space="preserve">STD ERROR 1, 2, 6, 7</t>
  </si>
  <si>
    <t xml:space="preserve">AVERAGE 1, 3, 6, 7</t>
  </si>
  <si>
    <t xml:space="preserve">COEF VAR 1, 3, 6, 7</t>
  </si>
  <si>
    <t xml:space="preserve">STD ERROR 1, 3, 6, 7</t>
  </si>
  <si>
    <t xml:space="preserve">AVERAGE 5, 6, 1, 3</t>
  </si>
  <si>
    <t xml:space="preserve">COEF VAR 5, 6, 1, 3</t>
  </si>
  <si>
    <t xml:space="preserve">STD ERROR 5, 6, 1, 3</t>
  </si>
  <si>
    <t xml:space="preserve">AVERAGE 5, 6, 1, 4</t>
  </si>
  <si>
    <t xml:space="preserve">COEF VAR 5, 6, 1, 4</t>
  </si>
  <si>
    <t xml:space="preserve">STD ERROR 5, 6, 1, 4</t>
  </si>
  <si>
    <t xml:space="preserve">AVERAGE 5, 6, 1, 7</t>
  </si>
  <si>
    <t xml:space="preserve">COEF VAR 5, 6, 1, 7</t>
  </si>
  <si>
    <t xml:space="preserve">STD ERROR 5, 6, 1, 7</t>
  </si>
  <si>
    <t xml:space="preserve">AVERAGE 1, 3, 5, 6</t>
  </si>
  <si>
    <t xml:space="preserve">COEF VAR 1, 3, 5 , 6</t>
  </si>
  <si>
    <t xml:space="preserve">STD ERROR 1, 3, 5 , 6</t>
  </si>
  <si>
    <t xml:space="preserve">AVERAGE 1, 3, 5, 7</t>
  </si>
  <si>
    <t xml:space="preserve">COEF VAR 1, 3, 5 , 7</t>
  </si>
  <si>
    <t xml:space="preserve">STD ERROR 1, 3, 5 , 7</t>
  </si>
  <si>
    <t xml:space="preserve">AVERAGE 1, 4, 5, 6</t>
  </si>
  <si>
    <t xml:space="preserve">COEF VAR 1, 4, 5, 6</t>
  </si>
  <si>
    <t xml:space="preserve">STD ERROR 1, 4, 5, 6</t>
  </si>
  <si>
    <t xml:space="preserve">AVERAGE 1, 4, 5, 7</t>
  </si>
  <si>
    <t xml:space="preserve">COEF VAR 1, 4, 5, 7</t>
  </si>
  <si>
    <t xml:space="preserve">STD ERROR 1, 4, 5, 7</t>
  </si>
  <si>
    <t xml:space="preserve">AVERAGE 1, 2, 5, 7</t>
  </si>
  <si>
    <t xml:space="preserve">COEF VAR 1, 2, 5, 7</t>
  </si>
  <si>
    <t xml:space="preserve">STD ERROR 1, 2, 5, 7</t>
  </si>
  <si>
    <t xml:space="preserve">AVERAGE 1, 2, 3, 4, 5</t>
  </si>
  <si>
    <t xml:space="preserve">COEF VAR 1, 2, 3, 4, 5</t>
  </si>
  <si>
    <t xml:space="preserve">STD ERROR 1, 2, 3, 4, 5</t>
  </si>
  <si>
    <t xml:space="preserve">AVERAGE 1, 2, 3, 4, 6</t>
  </si>
  <si>
    <t xml:space="preserve">COEF VAR 1, 2, 3, 4, 6</t>
  </si>
  <si>
    <t xml:space="preserve">STD ERROR 1, 2, 3, 4, 6</t>
  </si>
  <si>
    <t xml:space="preserve">AVERAGE 1, 2, 3, 4, 7</t>
  </si>
  <si>
    <t xml:space="preserve">COEF VAR 1, 2, 3, 4, 7</t>
  </si>
  <si>
    <t xml:space="preserve">STD ERROR 1, 2, 3, 4, 7</t>
  </si>
  <si>
    <t xml:space="preserve">AVERAGE 2, 3, 4, 5, 1</t>
  </si>
  <si>
    <t xml:space="preserve">COEF VAR 2, 3, 4, 5, 1</t>
  </si>
  <si>
    <t xml:space="preserve">STD ERROR 2, 3, 4, 5, 1</t>
  </si>
  <si>
    <t xml:space="preserve">AVERAGE 2, 3, 4, 5, 6</t>
  </si>
  <si>
    <t xml:space="preserve">COEF VAR 2, 3, 4, 5, 6</t>
  </si>
  <si>
    <t xml:space="preserve">STD ERROR 2, 3, 4, 5, 6</t>
  </si>
  <si>
    <t xml:space="preserve">AVERAGE 2, 3, 4, 5, 7</t>
  </si>
  <si>
    <t xml:space="preserve">COEF VAR 2, 3, 4, 5, 7</t>
  </si>
  <si>
    <t xml:space="preserve">STD ERROR 2, 3, 4, 5, 7</t>
  </si>
  <si>
    <t xml:space="preserve">AVERAGE 3, 4, 5, 6, 1</t>
  </si>
  <si>
    <t xml:space="preserve">COEF VAR 3, 4, 5, 6, 1</t>
  </si>
  <si>
    <t xml:space="preserve">STD ERROR 3, 4, 5, 6, 1</t>
  </si>
  <si>
    <t xml:space="preserve">AVERAGE 3, 4, 5, 6, 2</t>
  </si>
  <si>
    <t xml:space="preserve">COEF VAR 3, 4, 5, 6, 2</t>
  </si>
  <si>
    <t xml:space="preserve">STD ERROR 3, 4, 5, 6, 2</t>
  </si>
  <si>
    <t xml:space="preserve">AVERAGE 3, 4, 5, 6, 7</t>
  </si>
  <si>
    <t xml:space="preserve">COEF VAR 3, 4, 5, 6, 7</t>
  </si>
  <si>
    <t xml:space="preserve">STD ERROR 3, 4, 5, 6, 7</t>
  </si>
  <si>
    <t xml:space="preserve">AVERAGE 4, 5, 6, 7, 1</t>
  </si>
  <si>
    <t xml:space="preserve">COEF VAR 4, 5, 6, 7, 1</t>
  </si>
  <si>
    <t xml:space="preserve">STD ERROR 4, 5, 6, 7, 1</t>
  </si>
  <si>
    <t xml:space="preserve">AVERAGE 4, 5, 6, 7, 2</t>
  </si>
  <si>
    <t xml:space="preserve">COEF VAR 4, 5, 6, 7, 2</t>
  </si>
  <si>
    <t xml:space="preserve">STD ERROR 4, 5, 6, 7, 2</t>
  </si>
  <si>
    <t xml:space="preserve">AVERAGE 5, 6, 7, 1, 2</t>
  </si>
  <si>
    <t xml:space="preserve">COEF VAR 5, 6, 7, 1, 2</t>
  </si>
  <si>
    <t xml:space="preserve">STD ERROR 5, 6, 7, 1, 2</t>
  </si>
  <si>
    <t xml:space="preserve">AVERAGE 5, 6, 7, 1, 3</t>
  </si>
  <si>
    <t xml:space="preserve">COEF VAR 5, 6, 7, 1, 3</t>
  </si>
  <si>
    <t xml:space="preserve">STD ERROR 5, 6, 7, 1, 3</t>
  </si>
  <si>
    <t xml:space="preserve">AVERAGE 5, 6, 7, 1, 4</t>
  </si>
  <si>
    <t xml:space="preserve">COEF VAR 5, 6, 7, 1, 4</t>
  </si>
  <si>
    <t xml:space="preserve">STD ERROR 5, 6, 7, 1, 4</t>
  </si>
  <si>
    <t xml:space="preserve">AVERAGE 5, 6, 7, 2, 3</t>
  </si>
  <si>
    <t xml:space="preserve">COEF VAR 5, 6, 7, 2, 3</t>
  </si>
  <si>
    <t xml:space="preserve">STD ERROR 5, 6, 7, 2, 3</t>
  </si>
  <si>
    <t xml:space="preserve">AVERAGE 5, 6, 7, 2, 4</t>
  </si>
  <si>
    <t xml:space="preserve">COEF VAR 5, 6, 7, 2, 4</t>
  </si>
  <si>
    <t xml:space="preserve">STD ERROR 5, 6, 7, 2, 4</t>
  </si>
  <si>
    <t xml:space="preserve">AVERAGE 1, 3, 4, 5, 6</t>
  </si>
  <si>
    <t xml:space="preserve">COEF VAR 1, 3, 4, 5, 6</t>
  </si>
  <si>
    <t xml:space="preserve">STD ERROR 1, 3, 4, 5, 6</t>
  </si>
  <si>
    <t xml:space="preserve">AVERAGE 1, 2, 4, 5, 6</t>
  </si>
  <si>
    <t xml:space="preserve">COEF VAR 1, 2, 4, 5, 6</t>
  </si>
  <si>
    <t xml:space="preserve">STD ERROR 1, 2, 4, 5, 6</t>
  </si>
  <si>
    <t xml:space="preserve">AVERAGE 1, 2, 3, 5, 6</t>
  </si>
  <si>
    <t xml:space="preserve">COEF VAR 1, 2, 3, 5, 6</t>
  </si>
  <si>
    <t xml:space="preserve">STD ERROR 1, 2, 3, 5, 6</t>
  </si>
  <si>
    <t xml:space="preserve">AVERAGE 1, 2, 3, 6, 7</t>
  </si>
  <si>
    <t xml:space="preserve">COEF VAR 1, 2, 3, 6, 7</t>
  </si>
  <si>
    <t xml:space="preserve">STD ERROR 1, 2, 3, 6, 7</t>
  </si>
  <si>
    <t xml:space="preserve">AVERAGE 1, 2, 3, 5, 7</t>
  </si>
  <si>
    <t xml:space="preserve">COEF VAR 1, 2, 3, 5, 7</t>
  </si>
  <si>
    <t xml:space="preserve">STD ERROR 1, 2, 3, 5, 7</t>
  </si>
  <si>
    <t xml:space="preserve">AVERAGE 1, 2, 3, 4, 5, 6</t>
  </si>
  <si>
    <t xml:space="preserve">COEF VAR 1, 2, 3, 4, 5, 6</t>
  </si>
  <si>
    <t xml:space="preserve">STD ERROR 1, 2, 3, 4, 5, 6</t>
  </si>
  <si>
    <t xml:space="preserve">AVERAGE 1, 2, 3, 4, 5, 7</t>
  </si>
  <si>
    <t xml:space="preserve">COEF VAR 1, 2, 3, 4, 5, 7</t>
  </si>
  <si>
    <t xml:space="preserve">STD ERROR 1, 2, 3, 4, 5, 7</t>
  </si>
  <si>
    <t xml:space="preserve">AVERAGE 1, 2, 3, 4, 6:7</t>
  </si>
  <si>
    <t xml:space="preserve">COEF VAR 1, 2, 3, 4, 6:7</t>
  </si>
  <si>
    <t xml:space="preserve">STD ERROR 1, 2, 3, 4, 6:7</t>
  </si>
  <si>
    <t xml:space="preserve">AVERAGE 1, 2, 3, 5, 6, 7</t>
  </si>
  <si>
    <t xml:space="preserve">COEF VAR 1, 2, 3, 5, 6, 7</t>
  </si>
  <si>
    <t xml:space="preserve">STD ERROR 1, 2, 3, 5, 6, 7</t>
  </si>
  <si>
    <t xml:space="preserve">AVERAGE 1:2, 4, 5, 6, 7</t>
  </si>
  <si>
    <t xml:space="preserve">COEF VAR 1:2, 4, 5, 6, 7</t>
  </si>
  <si>
    <t xml:space="preserve">STD ERROR 1:2, 4, 5, 6, 7</t>
  </si>
  <si>
    <t xml:space="preserve">AVERAGE 1, 3, 4, 5, 6, 7</t>
  </si>
  <si>
    <t xml:space="preserve">COEF VAR 1, 3, 4, 5, 6, 7</t>
  </si>
  <si>
    <t xml:space="preserve">STD ERROR 1, 3, 4, 5, 6, 7</t>
  </si>
  <si>
    <t xml:space="preserve">AVERAGE 2, 3, 4, 5, 6, 7</t>
  </si>
  <si>
    <t xml:space="preserve">COEF VAR 2, 3, 4, 5, 6, 7</t>
  </si>
  <si>
    <t xml:space="preserve">STD ERROR 2, 3, 4, 5, 6, 7</t>
  </si>
  <si>
    <t xml:space="preserve">AVERAGE 1, 2, 3, 4, 5, 6, 7</t>
  </si>
  <si>
    <t xml:space="preserve">COEF VAR 1, 2, 3, 4, 5, 6, 7</t>
  </si>
  <si>
    <t xml:space="preserve">STD ERROR 1, 2, 3, 4, 5, 6, 7</t>
  </si>
  <si>
    <t xml:space="preserve">PLATE 2- Exp Titer concentrated</t>
  </si>
  <si>
    <t xml:space="preserve">&lt;- formula keeps only titer values for wells &gt;0 or =&lt; 50</t>
  </si>
  <si>
    <t xml:space="preserve">Concentrated Titer</t>
  </si>
  <si>
    <t xml:space="preserve">AVERAGE 6, 7, 5</t>
  </si>
  <si>
    <t xml:space="preserve">COEF VAR 6, 7, 5</t>
  </si>
  <si>
    <t xml:space="preserve">STD ERROR 6, 7, 5</t>
  </si>
  <si>
    <t xml:space="preserve">AVERAGE 1, 3, 5 , 6</t>
  </si>
  <si>
    <t xml:space="preserve">AVERAGE 1, 3, 5 , 7</t>
  </si>
  <si>
    <t xml:space="preserve">Table 2. VCN Raw</t>
  </si>
  <si>
    <t xml:space="preserve">STD ERROR 2, 3, 4</t>
  </si>
  <si>
    <t xml:space="preserve">STD ERROR 2, 3, 5</t>
  </si>
  <si>
    <t xml:space="preserve">STD ERROR 2, 3, 6</t>
  </si>
  <si>
    <t xml:space="preserve">STD ERROR 2, 3, 7</t>
  </si>
  <si>
    <t xml:space="preserve">STD ERROR 3, 4, 1</t>
  </si>
  <si>
    <t xml:space="preserve">STD ERROR 3, 4, 5</t>
  </si>
  <si>
    <t xml:space="preserve">STD ERROR 3, 4, 6</t>
  </si>
  <si>
    <t xml:space="preserve">STD ERROR 3, 4, 7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</si>
</sst>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#,##0.00"/>
    <numFmt numFmtId="166" formatCode="0"/>
    <numFmt numFmtId="167" formatCode="0.00"/>
    <numFmt numFmtId="168" formatCode="#,##0"/>
    <numFmt numFmtId="169" formatCode="General"/>
    <numFmt numFmtId="170" formatCode="0.0"/>
    <numFmt numFmtId="171" formatCode="h:mm"/>
    <numFmt numFmtId="172" formatCode="@"/>
    <numFmt numFmtId="173" formatCode="0.00E+00"/>
    <numFmt numFmtId="174" formatCode="0.000"/>
  </numFmts>
  <fonts count="4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0"/>
    </font>
    <font>
      <sz val="11"/>
      <color rgb="FF000000"/>
      <name val="Calibri"/>
      <family val="0"/>
    </font>
    <font>
      <u val="single"/>
      <sz val="11"/>
      <color rgb="FF000000"/>
      <name val="Calibri"/>
      <family val="0"/>
    </font>
    <font>
      <b val="true"/>
      <sz val="10"/>
      <name val="Arial"/>
      <family val="2"/>
      <charset val="1"/>
    </font>
    <font>
      <b val="true"/>
      <sz val="11"/>
      <color rgb="FFFF0000"/>
      <name val="Calibri"/>
      <family val="0"/>
    </font>
    <font>
      <b val="true"/>
      <sz val="18"/>
      <name val="Arial"/>
      <family val="2"/>
      <charset val="1"/>
    </font>
    <font>
      <sz val="16"/>
      <color rgb="FF000000"/>
      <name val="Calibri"/>
      <family val="2"/>
      <charset val="1"/>
    </font>
    <font>
      <b val="true"/>
      <sz val="16"/>
      <name val="Arial"/>
      <family val="2"/>
      <charset val="1"/>
    </font>
    <font>
      <b val="true"/>
      <u val="single"/>
      <sz val="11"/>
      <color rgb="FF000000"/>
      <name val="Calibri"/>
      <family val="2"/>
      <charset val="1"/>
    </font>
    <font>
      <b val="true"/>
      <sz val="14"/>
      <color rgb="FFFFFFFF"/>
      <name val="Arial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Calibri"/>
      <family val="2"/>
      <charset val="1"/>
    </font>
    <font>
      <b val="true"/>
      <sz val="14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C00000"/>
      <name val="Arial"/>
      <family val="2"/>
      <charset val="1"/>
    </font>
    <font>
      <b val="true"/>
      <sz val="16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sz val="14"/>
      <name val="Calibri"/>
      <family val="2"/>
      <charset val="1"/>
    </font>
    <font>
      <b val="true"/>
      <sz val="12"/>
      <color rgb="FFC00000"/>
      <name val="Calibri"/>
      <family val="2"/>
      <charset val="1"/>
    </font>
    <font>
      <b val="true"/>
      <sz val="12"/>
      <name val="Calibri"/>
      <family val="2"/>
      <charset val="1"/>
    </font>
    <font>
      <b val="true"/>
      <sz val="11"/>
      <name val="Arial"/>
      <family val="2"/>
      <charset val="1"/>
    </font>
    <font>
      <sz val="12"/>
      <name val="Calibri"/>
      <family val="2"/>
      <charset val="1"/>
    </font>
    <font>
      <b val="true"/>
      <sz val="12"/>
      <color rgb="FFC00000"/>
      <name val="Calibri (Body)"/>
      <family val="0"/>
      <charset val="1"/>
    </font>
    <font>
      <sz val="10"/>
      <color rgb="FF000000"/>
      <name val="Helvetica Neue"/>
      <family val="2"/>
      <charset val="1"/>
    </font>
    <font>
      <sz val="13"/>
      <color rgb="FF344043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18"/>
      <color rgb="FFFFFFFF"/>
      <name val="Calibri"/>
      <family val="2"/>
      <charset val="1"/>
    </font>
    <font>
      <b val="true"/>
      <sz val="10"/>
      <color rgb="FF000000"/>
      <name val="Helvetica Neue"/>
      <family val="0"/>
      <charset val="1"/>
    </font>
    <font>
      <b val="true"/>
      <sz val="18"/>
      <color rgb="FF808080"/>
      <name val="Calibri"/>
      <family val="2"/>
    </font>
    <font>
      <b val="true"/>
      <sz val="12"/>
      <color rgb="FF404040"/>
      <name val="Calibri"/>
      <family val="2"/>
    </font>
    <font>
      <sz val="12"/>
      <color rgb="FF595959"/>
      <name val="Calibri"/>
      <family val="2"/>
    </font>
    <font>
      <b val="true"/>
      <sz val="20"/>
      <name val="Calibri"/>
      <family val="2"/>
      <charset val="1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E2F0D9"/>
        <bgColor rgb="FFEDEDED"/>
      </patternFill>
    </fill>
    <fill>
      <patternFill patternType="solid">
        <fgColor rgb="FFDEEBF7"/>
        <bgColor rgb="FFDAE3F3"/>
      </patternFill>
    </fill>
    <fill>
      <patternFill patternType="solid">
        <fgColor rgb="FF000000"/>
        <bgColor rgb="FF003300"/>
      </patternFill>
    </fill>
    <fill>
      <patternFill patternType="solid">
        <fgColor rgb="FFFFE699"/>
        <bgColor rgb="FFFFF2CC"/>
      </patternFill>
    </fill>
    <fill>
      <patternFill patternType="solid">
        <fgColor rgb="FF5B9BD5"/>
        <bgColor rgb="FF808080"/>
      </patternFill>
    </fill>
    <fill>
      <patternFill patternType="solid">
        <fgColor rgb="FFDAE3F3"/>
        <bgColor rgb="FFDEEBF7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FE699"/>
      </patternFill>
    </fill>
  </fills>
  <borders count="4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thin">
        <color rgb="FF9BC2E6"/>
      </bottom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 style="thin"/>
      <bottom/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</cellStyleXfs>
  <cellXfs count="30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0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14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9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3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2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14" fillId="0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6" fillId="4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5" borderId="2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26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2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6" borderId="2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6" borderId="2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0" borderId="1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20" fillId="5" borderId="2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5" borderId="2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5" borderId="2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3" fillId="7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2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24" fillId="0" borderId="2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4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3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5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5" fillId="0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7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2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24" fillId="0" borderId="3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5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3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3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5" borderId="3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34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8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7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7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7" fillId="0" borderId="3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9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9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4" fillId="9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1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3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0" borderId="3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5" fillId="0" borderId="3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28" fillId="7" borderId="28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8" fillId="7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8" fillId="7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8" fillId="7" borderId="3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8" fillId="7" borderId="3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8" fillId="7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8" fillId="7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8" fillId="7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8" fillId="7" borderId="3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28" fillId="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28" fillId="7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21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2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29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2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3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2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6" fillId="0" borderId="3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4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3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28" fillId="7" borderId="30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34" fillId="4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7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5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3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8" fillId="7" borderId="28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8" fillId="7" borderId="30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28" fillId="7" borderId="32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8" fillId="7" borderId="0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28" fillId="7" borderId="33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8" fillId="7" borderId="34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28" fillId="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28" fillId="7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1" xfId="21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0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8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0" borderId="3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0" borderId="3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28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30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0" borderId="3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15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3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34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18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3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34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18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73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4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7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17" fillId="7" borderId="4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7" fillId="7" borderId="4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7" fillId="7" borderId="4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" fillId="0" borderId="4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1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9" fillId="3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9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3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9" fillId="3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9" fillId="2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4" fillId="0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42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2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2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42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4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42" fillId="2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21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17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4" fillId="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2" fillId="9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2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2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9" fillId="3" borderId="4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9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31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0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9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4" fillId="9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29" fillId="3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2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43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42" fillId="9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42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</cellXfs>
  <cellStyles count="1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  <cellStyle name="Normal 5" xfId="22"/>
    <cellStyle name="Pivot Table Corner" xfId="23"/>
    <cellStyle name="Pivot Table Value" xfId="24"/>
    <cellStyle name="Pivot Table Field" xfId="25"/>
    <cellStyle name="Pivot Table Category" xfId="26"/>
  </cellStyles>
  <dxfs count="85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E2F0D9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1"/>
        <i val="0"/>
        <strike val="0"/>
      </font>
      <fill>
        <patternFill>
          <bgColor rgb="FFFFFF00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AFABAB"/>
        </patternFill>
      </fill>
    </dxf>
    <dxf>
      <fill>
        <patternFill>
          <bgColor rgb="FFAFABAB"/>
        </patternFill>
      </fill>
    </dxf>
    <dxf>
      <font>
        <b val="1"/>
        <i val="0"/>
        <strike val="0"/>
      </font>
      <fill>
        <patternFill>
          <bgColor rgb="FFFFFF00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ont>
        <b val="1"/>
        <i val="0"/>
        <strike val="0"/>
      </font>
      <fill>
        <patternFill>
          <bgColor rgb="FFFFFF00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AFABAB"/>
        </patternFill>
      </fill>
    </dxf>
    <dxf>
      <fill>
        <patternFill>
          <bgColor rgb="FFAFABAB"/>
        </patternFill>
      </fill>
    </dxf>
    <dxf>
      <font>
        <b val="1"/>
        <i val="0"/>
        <strike val="0"/>
      </font>
      <fill>
        <patternFill>
          <bgColor rgb="FFFFFF00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BFBFBF"/>
      <rgbColor rgb="FF808080"/>
      <rgbColor rgb="FF9BC2E6"/>
      <rgbColor rgb="FF993366"/>
      <rgbColor rgb="FFFFF2CC"/>
      <rgbColor rgb="FFDEEBF7"/>
      <rgbColor rgb="FF660066"/>
      <rgbColor rgb="FFFF8080"/>
      <rgbColor rgb="FF0066CC"/>
      <rgbColor rgb="FFD9D9D9"/>
      <rgbColor rgb="FF000080"/>
      <rgbColor rgb="FFFF00FF"/>
      <rgbColor rgb="FFEDEDED"/>
      <rgbColor rgb="FF00FFFF"/>
      <rgbColor rgb="FF800080"/>
      <rgbColor rgb="FF800000"/>
      <rgbColor rgb="FF008080"/>
      <rgbColor rgb="FF0000FF"/>
      <rgbColor rgb="FF00CCFF"/>
      <rgbColor rgb="FFDAE3F3"/>
      <rgbColor rgb="FFE2F0D9"/>
      <rgbColor rgb="FFFFE699"/>
      <rgbColor rgb="FF9DC3E6"/>
      <rgbColor rgb="FFFBE5D6"/>
      <rgbColor rgb="FFC5E0B4"/>
      <rgbColor rgb="FFF8CBAD"/>
      <rgbColor rgb="FF3366FF"/>
      <rgbColor rgb="FF33CCCC"/>
      <rgbColor rgb="FF99CC00"/>
      <rgbColor rgb="FFFFCC00"/>
      <rgbColor rgb="FFFF9900"/>
      <rgbColor rgb="FFFF6600"/>
      <rgbColor rgb="FF595959"/>
      <rgbColor rgb="FFAFABAB"/>
      <rgbColor rgb="FF003366"/>
      <rgbColor rgb="FF5B9BD5"/>
      <rgbColor rgb="FF003300"/>
      <rgbColor rgb="FF404040"/>
      <rgbColor rgb="FF993300"/>
      <rgbColor rgb="FF993366"/>
      <rgbColor rgb="FF333399"/>
      <rgbColor rgb="FF34404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sharedStrings" Target="sharedStrings.xml"/><Relationship Id="rId18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2.xml"/>
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148" strike="noStrike">
                <a:solidFill>
                  <a:srgbClr val="808080"/>
                </a:solidFill>
                <a:latin typeface="Calibri"/>
              </a:defRPr>
            </a:pPr>
            <a:r>
              <a:rPr b="1" lang="en-US" sz="1800" spc="148" strike="noStrike">
                <a:solidFill>
                  <a:srgbClr val="808080"/>
                </a:solidFill>
                <a:latin typeface="Calibri"/>
              </a:rPr>
              <a:t>Flow Titer 1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"Flow 1"</c:f>
              <c:strCache>
                <c:ptCount val="1"/>
                <c:pt idx="0">
                  <c:v>Flow 1</c:v>
                </c:pt>
              </c:strCache>
            </c:strRef>
          </c:tx>
          <c:spPr>
            <a:pattFill prst="ltHorz">
              <a:fgClr>
                <a:srgbClr val="5b9bd5"/>
              </a:fgClr>
              <a:bgClr>
                <a:srgbClr val="deebf7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1" sz="12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Calculation'!$C$9:$N$9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pALD-eGFP</c:v>
                  </c:pt>
                </c:lvl>
              </c:multiLvlStrCache>
            </c:multiLvlStrRef>
          </c:cat>
          <c:val>
            <c:numRef>
              <c:f>'Titer Calculation'!$C$33:$N$33</c:f>
              <c:numCache>
                <c:formatCode>General</c:formatCode>
                <c:ptCount val="12"/>
              </c:numCache>
            </c:numRef>
          </c:val>
        </c:ser>
        <c:gapWidth val="164"/>
        <c:overlap val="-22"/>
        <c:axId val="40622547"/>
        <c:axId val="9729691"/>
      </c:barChart>
      <c:catAx>
        <c:axId val="4062254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908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729691"/>
        <c:crosses val="autoZero"/>
        <c:auto val="1"/>
        <c:lblAlgn val="ctr"/>
        <c:lblOffset val="100"/>
        <c:noMultiLvlLbl val="0"/>
      </c:catAx>
      <c:valAx>
        <c:axId val="9729691"/>
        <c:scaling>
          <c:orientation val="minMax"/>
        </c:scaling>
        <c:delete val="0"/>
        <c:axPos val="l"/>
        <c:numFmt formatCode="0.00E+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0622547"/>
        <c:crosses val="autoZero"/>
        <c:crossBetween val="between"/>
      </c:valAx>
      <c:spPr>
        <a:noFill/>
        <a:ln w="0">
          <a:noFill/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2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148" strike="noStrike">
                <a:solidFill>
                  <a:srgbClr val="808080"/>
                </a:solidFill>
                <a:latin typeface="Calibri"/>
              </a:defRPr>
            </a:pPr>
            <a:r>
              <a:rPr b="1" lang="en-US" sz="1800" spc="148" strike="noStrike">
                <a:solidFill>
                  <a:srgbClr val="808080"/>
                </a:solidFill>
                <a:latin typeface="Calibri"/>
              </a:rPr>
              <a:t>Flow Titer 1 vs 2 vs 3 vs 4 vs vcn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"Flow 1"</c:f>
              <c:strCache>
                <c:ptCount val="1"/>
                <c:pt idx="0">
                  <c:v>Flow 1</c:v>
                </c:pt>
              </c:strCache>
            </c:strRef>
          </c:tx>
          <c:spPr>
            <a:pattFill prst="ltHorz">
              <a:fgClr>
                <a:srgbClr val="5b9bd5"/>
              </a:fgClr>
              <a:bgClr>
                <a:srgbClr val="deebf7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1" sz="12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Calculation'!$C$9:$N$9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pALD-eGFP</c:v>
                  </c:pt>
                </c:lvl>
              </c:multiLvlStrCache>
            </c:multiLvlStrRef>
          </c:cat>
          <c:val>
            <c:numRef>
              <c:f>'Titer Calculation'!$C$33:$N$33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"Flow 2"</c:f>
              <c:strCache>
                <c:ptCount val="1"/>
                <c:pt idx="0">
                  <c:v>Flow 2</c:v>
                </c:pt>
              </c:strCache>
            </c:strRef>
          </c:tx>
          <c:spPr>
            <a:pattFill prst="ltHorz">
              <a:fgClr>
                <a:srgbClr val="ed7d31"/>
              </a:fgClr>
              <a:bgClr>
                <a:srgbClr val="fbe5d6"/>
              </a:bgClr>
            </a:patt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Calculation'!$C$9:$N$9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pALD-eGFP</c:v>
                  </c:pt>
                </c:lvl>
              </c:multiLvlStrCache>
            </c:multiLvlStrRef>
          </c:cat>
          <c:val>
            <c:numRef>
              <c:f>'Titer Calculation'!$C$72:$N$72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strRef>
              <c:f>"Flow 3"</c:f>
              <c:strCache>
                <c:ptCount val="1"/>
                <c:pt idx="0">
                  <c:v>Flow 3</c:v>
                </c:pt>
              </c:strCache>
            </c:strRef>
          </c:tx>
          <c:spPr>
            <a:pattFill prst="ltHorz">
              <a:fgClr>
                <a:srgbClr val="a5a5a5"/>
              </a:fgClr>
              <a:bgClr>
                <a:srgbClr val="ededed"/>
              </a:bgClr>
            </a:patt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Calculation'!$C$116:$N$116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Calculation'!$C$116:$N$116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Calculation'!$C$9:$N$9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pALD-eGFP</c:v>
                  </c:pt>
                </c:lvl>
              </c:multiLvlStrCache>
            </c:multiLvlStrRef>
          </c:cat>
          <c:val>
            <c:numRef>
              <c:f>'Titer Calculation'!$C$114:$N$114</c:f>
              <c:numCache>
                <c:formatCode>General</c:formatCode>
                <c:ptCount val="12"/>
              </c:numCache>
            </c:numRef>
          </c:val>
        </c:ser>
        <c:ser>
          <c:idx val="3"/>
          <c:order val="3"/>
          <c:tx>
            <c:strRef>
              <c:f>"Flow 4"</c:f>
              <c:strCache>
                <c:ptCount val="1"/>
                <c:pt idx="0">
                  <c:v>Flow 4</c:v>
                </c:pt>
              </c:strCache>
            </c:strRef>
          </c:tx>
          <c:spPr>
            <a:pattFill prst="ltHorz">
              <a:fgClr>
                <a:srgbClr val="ffc000"/>
              </a:fgClr>
              <a:bgClr>
                <a:srgbClr val="fff2cc"/>
              </a:bgClr>
            </a:patt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Calculation'!$C$199:$N$199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Calculation'!$C$199:$N$199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Calculation'!$C$9:$N$9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pALD-eGFP</c:v>
                  </c:pt>
                </c:lvl>
              </c:multiLvlStrCache>
            </c:multiLvlStrRef>
          </c:cat>
          <c:val>
            <c:numRef>
              <c:f>'Titer Calculation'!$C$156:$N$156</c:f>
              <c:numCache>
                <c:formatCode>General</c:formatCode>
                <c:ptCount val="12"/>
              </c:numCache>
            </c:numRef>
          </c:val>
        </c:ser>
        <c:ser>
          <c:idx val="4"/>
          <c:order val="4"/>
          <c:tx>
            <c:strRef>
              <c:f>"VCN"</c:f>
              <c:strCache>
                <c:ptCount val="1"/>
                <c:pt idx="0">
                  <c:v>VCN</c:v>
                </c:pt>
              </c:strCache>
            </c:strRef>
          </c:tx>
          <c:spPr>
            <a:pattFill prst="ltHorz">
              <a:fgClr>
                <a:srgbClr val="4472c4"/>
              </a:fgClr>
              <a:bgClr>
                <a:srgbClr val="dae3f3"/>
              </a:bgClr>
            </a:patt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'Titer Calculation'!$C$9:$N$9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pALD-eGFP</c:v>
                  </c:pt>
                </c:lvl>
              </c:multiLvlStrCache>
            </c:multiLvlStrRef>
          </c:cat>
          <c:val>
            <c:numRef>
              <c:f>'Titer Calculation'!$C$197:$N$197</c:f>
              <c:numCache>
                <c:formatCode>General</c:formatCode>
                <c:ptCount val="12"/>
              </c:numCache>
            </c:numRef>
          </c:val>
        </c:ser>
        <c:gapWidth val="164"/>
        <c:overlap val="-22"/>
        <c:axId val="79674579"/>
        <c:axId val="36168972"/>
      </c:barChart>
      <c:catAx>
        <c:axId val="7967457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908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6168972"/>
        <c:crosses val="autoZero"/>
        <c:auto val="1"/>
        <c:lblAlgn val="ctr"/>
        <c:lblOffset val="100"/>
        <c:noMultiLvlLbl val="0"/>
      </c:catAx>
      <c:valAx>
        <c:axId val="36168972"/>
        <c:scaling>
          <c:orientation val="minMax"/>
        </c:scaling>
        <c:delete val="0"/>
        <c:axPos val="l"/>
        <c:numFmt formatCode="0.00E+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9674579"/>
        <c:crosses val="autoZero"/>
        <c:crossBetween val="between"/>
      </c:valAx>
      <c:spPr>
        <a:noFill/>
        <a:ln w="0">
          <a:noFill/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2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9.xml.rels><?xml version="1.0" encoding="UTF-8"?>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47520</xdr:colOff>
      <xdr:row>0</xdr:row>
      <xdr:rowOff>47520</xdr:rowOff>
    </xdr:from>
    <xdr:to>
      <xdr:col>4</xdr:col>
      <xdr:colOff>1328400</xdr:colOff>
      <xdr:row>5</xdr:row>
      <xdr:rowOff>78480</xdr:rowOff>
    </xdr:to>
    <xdr:sp>
      <xdr:nvSpPr>
        <xdr:cNvPr id="0" name="TextBox 1"/>
        <xdr:cNvSpPr/>
      </xdr:nvSpPr>
      <xdr:spPr>
        <a:xfrm>
          <a:off x="1709280" y="47520"/>
          <a:ext cx="4402440" cy="98352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1: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Add Droplet Reader data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below (make sure all of the columns line up).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2: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Sort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"Sample description 1"  from A to Z.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78480</xdr:colOff>
      <xdr:row>0</xdr:row>
      <xdr:rowOff>67320</xdr:rowOff>
    </xdr:from>
    <xdr:to>
      <xdr:col>4</xdr:col>
      <xdr:colOff>120960</xdr:colOff>
      <xdr:row>5</xdr:row>
      <xdr:rowOff>98280</xdr:rowOff>
    </xdr:to>
    <xdr:sp>
      <xdr:nvSpPr>
        <xdr:cNvPr id="1" name="TextBox 1"/>
        <xdr:cNvSpPr/>
      </xdr:nvSpPr>
      <xdr:spPr>
        <a:xfrm>
          <a:off x="78480" y="67320"/>
          <a:ext cx="4282200" cy="98352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Refresh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data below to get your output.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80280</xdr:colOff>
      <xdr:row>0</xdr:row>
      <xdr:rowOff>63000</xdr:rowOff>
    </xdr:from>
    <xdr:to>
      <xdr:col>2</xdr:col>
      <xdr:colOff>220320</xdr:colOff>
      <xdr:row>6</xdr:row>
      <xdr:rowOff>104040</xdr:rowOff>
    </xdr:to>
    <xdr:sp>
      <xdr:nvSpPr>
        <xdr:cNvPr id="2" name="TextBox 1"/>
        <xdr:cNvSpPr/>
      </xdr:nvSpPr>
      <xdr:spPr>
        <a:xfrm>
          <a:off x="80280" y="63000"/>
          <a:ext cx="4076280" cy="1012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Copy the filtered (tag only) data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to the "Paste" tab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.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ff0000"/>
              </a:solidFill>
              <a:latin typeface="Calibri"/>
            </a:rPr>
            <a:t>Note: 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Only add data to the green section, do not switch formulas in other columns.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80280</xdr:colOff>
      <xdr:row>0</xdr:row>
      <xdr:rowOff>63000</xdr:rowOff>
    </xdr:from>
    <xdr:to>
      <xdr:col>2</xdr:col>
      <xdr:colOff>220320</xdr:colOff>
      <xdr:row>6</xdr:row>
      <xdr:rowOff>104040</xdr:rowOff>
    </xdr:to>
    <xdr:sp>
      <xdr:nvSpPr>
        <xdr:cNvPr id="3" name="TextBox 1"/>
        <xdr:cNvSpPr/>
      </xdr:nvSpPr>
      <xdr:spPr>
        <a:xfrm>
          <a:off x="80280" y="63000"/>
          <a:ext cx="3503160" cy="1012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Copy the filtered (tag only) data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to the "Paste" tab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.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ff0000"/>
              </a:solidFill>
              <a:latin typeface="Calibri"/>
            </a:rPr>
            <a:t>Note: 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Only add data to the green section, do not switch formulas in other columns.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80280</xdr:colOff>
      <xdr:row>0</xdr:row>
      <xdr:rowOff>63000</xdr:rowOff>
    </xdr:from>
    <xdr:to>
      <xdr:col>2</xdr:col>
      <xdr:colOff>220320</xdr:colOff>
      <xdr:row>6</xdr:row>
      <xdr:rowOff>104040</xdr:rowOff>
    </xdr:to>
    <xdr:sp>
      <xdr:nvSpPr>
        <xdr:cNvPr id="4" name="TextBox 1"/>
        <xdr:cNvSpPr/>
      </xdr:nvSpPr>
      <xdr:spPr>
        <a:xfrm>
          <a:off x="80280" y="63000"/>
          <a:ext cx="4076280" cy="1012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Copy the filtered (tag only) data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to the "Paste" tab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.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ff0000"/>
              </a:solidFill>
              <a:latin typeface="Calibri"/>
            </a:rPr>
            <a:t>Note: 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Only add data to the green section, do not switch formulas in other columns.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80280</xdr:colOff>
      <xdr:row>0</xdr:row>
      <xdr:rowOff>63000</xdr:rowOff>
    </xdr:from>
    <xdr:to>
      <xdr:col>2</xdr:col>
      <xdr:colOff>220320</xdr:colOff>
      <xdr:row>6</xdr:row>
      <xdr:rowOff>104040</xdr:rowOff>
    </xdr:to>
    <xdr:sp>
      <xdr:nvSpPr>
        <xdr:cNvPr id="5" name="TextBox 1"/>
        <xdr:cNvSpPr/>
      </xdr:nvSpPr>
      <xdr:spPr>
        <a:xfrm>
          <a:off x="80280" y="63000"/>
          <a:ext cx="3503160" cy="1012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Copy the filtered (tag only) data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to the "Paste" tab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.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ff0000"/>
              </a:solidFill>
              <a:latin typeface="Calibri"/>
            </a:rPr>
            <a:t>Note: 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Only add data to the green section, do not switch formulas in other columns.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66600</xdr:colOff>
      <xdr:row>0</xdr:row>
      <xdr:rowOff>47520</xdr:rowOff>
    </xdr:from>
    <xdr:to>
      <xdr:col>4</xdr:col>
      <xdr:colOff>1347480</xdr:colOff>
      <xdr:row>4</xdr:row>
      <xdr:rowOff>190080</xdr:rowOff>
    </xdr:to>
    <xdr:sp>
      <xdr:nvSpPr>
        <xdr:cNvPr id="6" name="TextBox 1"/>
        <xdr:cNvSpPr/>
      </xdr:nvSpPr>
      <xdr:spPr>
        <a:xfrm>
          <a:off x="650880" y="47520"/>
          <a:ext cx="4402440" cy="904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1: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Add Droplet Reader data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below (make sure all of the columns line up).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2: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Sort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"Sample description 1"  from A to Z.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114480</xdr:colOff>
      <xdr:row>0</xdr:row>
      <xdr:rowOff>95400</xdr:rowOff>
    </xdr:from>
    <xdr:to>
      <xdr:col>4</xdr:col>
      <xdr:colOff>396720</xdr:colOff>
      <xdr:row>5</xdr:row>
      <xdr:rowOff>126360</xdr:rowOff>
    </xdr:to>
    <xdr:sp>
      <xdr:nvSpPr>
        <xdr:cNvPr id="7" name="TextBox 1"/>
        <xdr:cNvSpPr/>
      </xdr:nvSpPr>
      <xdr:spPr>
        <a:xfrm>
          <a:off x="114480" y="95400"/>
          <a:ext cx="4229280" cy="98352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Refresh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data below to get your output.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17</xdr:col>
      <xdr:colOff>59040</xdr:colOff>
      <xdr:row>15</xdr:row>
      <xdr:rowOff>117360</xdr:rowOff>
    </xdr:from>
    <xdr:to>
      <xdr:col>25</xdr:col>
      <xdr:colOff>82800</xdr:colOff>
      <xdr:row>39</xdr:row>
      <xdr:rowOff>70920</xdr:rowOff>
    </xdr:to>
    <xdr:graphicFrame>
      <xdr:nvGraphicFramePr>
        <xdr:cNvPr id="8" name="Chart 1"/>
        <xdr:cNvGraphicFramePr/>
      </xdr:nvGraphicFramePr>
      <xdr:xfrm>
        <a:off x="20627280" y="3765600"/>
        <a:ext cx="8278920" cy="477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43</xdr:row>
      <xdr:rowOff>0</xdr:rowOff>
    </xdr:from>
    <xdr:to>
      <xdr:col>25</xdr:col>
      <xdr:colOff>23760</xdr:colOff>
      <xdr:row>66</xdr:row>
      <xdr:rowOff>136080</xdr:rowOff>
    </xdr:to>
    <xdr:graphicFrame>
      <xdr:nvGraphicFramePr>
        <xdr:cNvPr id="9" name="Chart 14"/>
        <xdr:cNvGraphicFramePr/>
      </xdr:nvGraphicFramePr>
      <xdr:xfrm>
        <a:off x="20568240" y="9372600"/>
        <a:ext cx="8278920" cy="4736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43" createdVersion="3">
  <cacheSource type="worksheet">
    <worksheetSource ref="A8:BV152" sheet="DELETE"/>
  </cacheSource>
  <cacheFields count="74">
    <cacheField name="VCN_replicate" numFmtId="0">
      <sharedItems containsBlank="1" count="3">
        <s v="VCN_replicate 1"/>
        <s v="VCN_replicate 2"/>
        <m/>
      </sharedItems>
    </cacheField>
    <cacheField name="Well" numFmtId="0">
      <sharedItems containsBlank="1" count="41">
        <s v="A01"/>
        <s v="A02"/>
        <s v="A03"/>
        <s v="A04"/>
        <s v="A05"/>
        <s v="B01"/>
        <s v="B02"/>
        <s v="B03"/>
        <s v="B04"/>
        <s v="B05"/>
        <s v="C01"/>
        <s v="C02"/>
        <s v="C03"/>
        <s v="C04"/>
        <s v="C05"/>
        <s v="D01"/>
        <s v="D02"/>
        <s v="D03"/>
        <s v="D04"/>
        <s v="D05"/>
        <s v="E01"/>
        <s v="E02"/>
        <s v="E03"/>
        <s v="E04"/>
        <s v="E05"/>
        <s v="F01"/>
        <s v="F02"/>
        <s v="F03"/>
        <s v="F04"/>
        <s v="F05"/>
        <s v="G01"/>
        <s v="G02"/>
        <s v="G03"/>
        <s v="G04"/>
        <s v="G05"/>
        <s v="H01"/>
        <s v="H02"/>
        <s v="H03"/>
        <s v="H04"/>
        <s v="H05"/>
        <m/>
      </sharedItems>
    </cacheField>
    <cacheField name="Sample description 1" numFmtId="0">
      <sharedItems containsBlank="1" count="18">
        <s v="1"/>
        <s v="14"/>
        <s v="15"/>
        <s v="16"/>
        <s v="17"/>
        <s v="18"/>
        <s v="Clone E10"/>
        <s v="TC544"/>
        <s v="TC545"/>
        <s v="TC546"/>
        <s v="TC547"/>
        <s v="TC548"/>
        <s v="TC549"/>
        <s v="TC550"/>
        <s v="TC551"/>
        <s v="TC552"/>
        <s v="TC553"/>
        <m/>
      </sharedItems>
    </cacheField>
    <cacheField name="Sample description 2" numFmtId="0">
      <sharedItems containsBlank="1" count="3">
        <s v="Jurkat"/>
        <s v="T Cells"/>
        <m/>
      </sharedItems>
    </cacheField>
    <cacheField name="Sample description 3" numFmtId="0">
      <sharedItems containsBlank="1" count="4">
        <s v="Pos Control"/>
        <s v="ROR1 Team"/>
        <s v="VS PARPi Team"/>
        <m/>
      </sharedItems>
    </cacheField>
    <cacheField name="Sample description 4" numFmtId="0">
      <sharedItems containsBlank="1" count="5">
        <s v="Gen3"/>
        <s v="VCN_66"/>
        <s v="VCN_67"/>
        <s v="VCN_68"/>
        <m/>
      </sharedItems>
    </cacheField>
    <cacheField name="Target" numFmtId="0">
      <sharedItems containsBlank="1" count="3">
        <s v="Gen3"/>
        <s v="HAT"/>
        <m/>
      </sharedItems>
    </cacheField>
    <cacheField name="Conc(copies/µL)" numFmtId="0">
      <sharedItems containsString="0" containsBlank="1" containsNumber="1" minValue="0" maxValue="709.229064941406" count="71">
        <n v="0"/>
        <n v="0.0610218420624733"/>
        <n v="0.0687572285532951"/>
        <n v="0.114861667156219"/>
        <n v="0.116062797605991"/>
        <n v="0.135249823331833"/>
        <n v="0.197058245539665"/>
        <n v="0.214534342288971"/>
        <n v="0.221731543540955"/>
        <n v="0.223557353019714"/>
        <n v="0.256130307912827"/>
        <n v="0.257264494895935"/>
        <n v="0.259006142616272"/>
        <n v="0.350539982318878"/>
        <n v="0.718654870986939"/>
        <n v="1.895583152771"/>
        <n v="2.94937920570374"/>
        <n v="2.96347665786743"/>
        <n v="4.93987035751343"/>
        <n v="6.98567867279053"/>
        <n v="11.5680313110352"/>
        <n v="11.7517852783203"/>
        <n v="11.7893657684326"/>
        <n v="13.6503238677979"/>
        <n v="14.143500328064"/>
        <n v="15.9641351699829"/>
        <n v="16.3622913360596"/>
        <n v="19.0058078765869"/>
        <n v="21.8716735839844"/>
        <n v="22.1879425048828"/>
        <n v="22.4237232208252"/>
        <n v="26.0501918792725"/>
        <n v="29.7378005981445"/>
        <n v="33.7326469421387"/>
        <n v="37.2856369018555"/>
        <n v="45.3489494323731"/>
        <n v="65.3090744018555"/>
        <n v="70.6552734375"/>
        <n v="76.6862106323242"/>
        <n v="77.964958190918"/>
        <n v="82.1902465820313"/>
        <n v="83.1367721557617"/>
        <n v="89.2393798828125"/>
        <n v="90.1260299682617"/>
        <n v="96.8524475097656"/>
        <n v="111.426025390625"/>
        <n v="113.155830383301"/>
        <n v="123.302574157715"/>
        <n v="124.279174804688"/>
        <n v="128.224716186523"/>
        <n v="134.649948120117"/>
        <n v="137.429061889648"/>
        <n v="138.109039306641"/>
        <n v="139.929977416992"/>
        <n v="142.062072753906"/>
        <n v="144.102783203125"/>
        <n v="148.273010253906"/>
        <n v="159.812194824219"/>
        <n v="182.774551391602"/>
        <n v="186.952575683594"/>
        <n v="224.881454467773"/>
        <n v="249.523620605469"/>
        <n v="337.312408447266"/>
        <n v="363.372680664063"/>
        <n v="372.837280273438"/>
        <n v="377.10693359375"/>
        <n v="395.089416503906"/>
        <n v="436.97119140625"/>
        <n v="631.632385253906"/>
        <n v="709.229064941406"/>
        <m/>
      </sharedItems>
    </cacheField>
    <cacheField name="Molecular Weight(pg/µL)" numFmtId="0">
      <sharedItems containsString="0" containsBlank="1" count="1">
        <m/>
      </sharedItems>
    </cacheField>
    <cacheField name="Status" numFmtId="0">
      <sharedItems containsBlank="1" count="2">
        <s v="Manual"/>
        <m/>
      </sharedItems>
    </cacheField>
    <cacheField name="Status Reason" numFmtId="0">
      <sharedItems containsBlank="1" count="2">
        <s v="Droplets Analyzed Manually"/>
        <m/>
      </sharedItems>
    </cacheField>
    <cacheField name="Experiment" numFmtId="0">
      <sharedItems containsBlank="1" count="2">
        <s v="CNV"/>
        <m/>
      </sharedItems>
    </cacheField>
    <cacheField name="SampleType" numFmtId="0">
      <sharedItems containsBlank="1" count="3">
        <s v="NTC"/>
        <s v="Unknown"/>
        <m/>
      </sharedItems>
    </cacheField>
    <cacheField name="TargetType" numFmtId="0">
      <sharedItems containsBlank="1" count="2">
        <s v="Unknown"/>
        <m/>
      </sharedItems>
    </cacheField>
    <cacheField name="Supermix" numFmtId="0">
      <sharedItems containsBlank="1" count="2">
        <s v="ddPCR Supermix for Probes (No dUTP)"/>
        <m/>
      </sharedItems>
    </cacheField>
    <cacheField name="DyeName(s)" numFmtId="0">
      <sharedItems containsBlank="1" count="3">
        <s v="FAM"/>
        <s v="HEX"/>
        <m/>
      </sharedItems>
    </cacheField>
    <cacheField name="Copies/20µLWell" numFmtId="0">
      <sharedItems containsString="0" containsBlank="1" containsNumber="1" minValue="0" maxValue="14184.5810546875" count="71">
        <n v="0"/>
        <n v="1.22043681144714"/>
        <n v="1.37514460086823"/>
        <n v="2.29723334312439"/>
        <n v="2.32125592231751"/>
        <n v="2.70499658584595"/>
        <n v="3.94116497039795"/>
        <n v="4.29068660736084"/>
        <n v="4.43463087081909"/>
        <n v="4.47114706039429"/>
        <n v="5.12260627746582"/>
        <n v="5.1452898979187"/>
        <n v="5.18012285232544"/>
        <n v="7.01079940795898"/>
        <n v="14.3730974197388"/>
        <n v="37.9116630554199"/>
        <n v="58.9875831604004"/>
        <n v="59.26953125"/>
        <n v="98.7974090576172"/>
        <n v="139.713577270508"/>
        <n v="231.360626220703"/>
        <n v="235.035705566406"/>
        <n v="235.787322998047"/>
        <n v="273.006469726563"/>
        <n v="282.869995117188"/>
        <n v="319.28271484375"/>
        <n v="327.245819091797"/>
        <n v="380.116149902344"/>
        <n v="437.433471679688"/>
        <n v="443.758850097656"/>
        <n v="448.474456787109"/>
        <n v="521.003845214844"/>
        <n v="594.755981445313"/>
        <n v="674.652954101563"/>
        <n v="745.712768554688"/>
        <n v="906.97900390625"/>
        <n v="1306.18151855469"/>
        <n v="1413.10546875"/>
        <n v="1533.72424316406"/>
        <n v="1559.29919433594"/>
        <n v="1643.80493164063"/>
        <n v="1662.73547363281"/>
        <n v="1784.78759765625"/>
        <n v="1802.52062988281"/>
        <n v="1937.04895019531"/>
        <n v="2228.5205078125"/>
        <n v="2263.11669921875"/>
        <n v="2466.05151367188"/>
        <n v="2485.58349609375"/>
        <n v="2564.49438476563"/>
        <n v="2692.9990234375"/>
        <n v="2748.58129882813"/>
        <n v="2762.1806640625"/>
        <n v="2798.599609375"/>
        <n v="2841.24145507813"/>
        <n v="2882.0556640625"/>
        <n v="2965.46020507813"/>
        <n v="3196.24389648438"/>
        <n v="3655.49096679688"/>
        <n v="3739.05151367188"/>
        <n v="4497.62890625"/>
        <n v="4990.47265625"/>
        <n v="6746.248046875"/>
        <n v="7267.45361328125"/>
        <n v="7456.74560546875"/>
        <n v="7542.138671875"/>
        <n v="7901.7880859375"/>
        <n v="8739.423828125"/>
        <n v="12632.6474609375"/>
        <n v="14184.5810546875"/>
        <m/>
      </sharedItems>
    </cacheField>
    <cacheField name="TotalConfMax" numFmtId="0">
      <sharedItems containsString="0" containsBlank="1" count="1">
        <m/>
      </sharedItems>
    </cacheField>
    <cacheField name="TotalConfMin" numFmtId="0">
      <sharedItems containsString="0" containsBlank="1" count="1">
        <m/>
      </sharedItems>
    </cacheField>
    <cacheField name="PoissonConfMax" numFmtId="0">
      <sharedItems containsString="0" containsBlank="1" containsNumber="1" minValue="0.167440459132195" maxValue="723.887390136719" count="80">
        <n v="0.167440459132195"/>
        <n v="0.172066956758499"/>
        <n v="0.173866346478462"/>
        <n v="0.185486420989037"/>
        <n v="0.19183637201786"/>
        <n v="0.192685827612877"/>
        <n v="0.196795478463173"/>
        <n v="0.202610030770302"/>
        <n v="0.206008672714233"/>
        <n v="0.214248269796371"/>
        <n v="0.291468858718872"/>
        <n v="0.328420758247376"/>
        <n v="0.367941468954086"/>
        <n v="0.371789544820786"/>
        <n v="0.433260053396225"/>
        <n v="0.522342264652252"/>
        <n v="0.527160346508026"/>
        <n v="0.568673133850098"/>
        <n v="0.587753891944885"/>
        <n v="0.603980481624603"/>
        <n v="0.606655418872833"/>
        <n v="0.610763013362885"/>
        <n v="0.716615200042725"/>
        <n v="1.23576974868774"/>
        <n v="2.67509627342224"/>
        <n v="3.85595703125"/>
        <n v="3.85722851753235"/>
        <n v="6.0917911529541"/>
        <n v="8.2687463760376"/>
        <n v="13.1565608978271"/>
        <n v="13.4581708908081"/>
        <n v="13.535530090332"/>
        <n v="15.3678970336914"/>
        <n v="15.9380178451538"/>
        <n v="17.8322200775147"/>
        <n v="18.4299392700195"/>
        <n v="21.1200618743897"/>
        <n v="24.0500392913818"/>
        <n v="24.5990447998047"/>
        <n v="24.7296466827393"/>
        <n v="28.5295486450195"/>
        <n v="32.423770904541"/>
        <n v="36.4980239868164"/>
        <n v="40.2880935668945"/>
        <n v="48.6663322448731"/>
        <n v="69.2111282348633"/>
        <n v="75.1434020996094"/>
        <n v="81.2484588623047"/>
        <n v="82.2700729370117"/>
        <n v="86.515266418457"/>
        <n v="87.9995193481445"/>
        <n v="93.7728729248047"/>
        <n v="95.0847702026367"/>
        <n v="101.874008178711"/>
        <n v="116.70272064209"/>
        <n v="118.890853881836"/>
        <n v="131.887512207031"/>
        <n v="132.899978637695"/>
        <n v="134.27685546875"/>
        <n v="140.775436401367"/>
        <n v="143.091979980469"/>
        <n v="144.314697265625"/>
        <n v="146.320648193359"/>
        <n v="147.958312988281"/>
        <n v="150.171432495117"/>
        <n v="154.426651000977"/>
        <n v="166.804168701172"/>
        <n v="189.64274597168"/>
        <n v="193.660919189453"/>
        <n v="232.69270324707"/>
        <n v="257.448089599609"/>
        <n v="347.002227783203"/>
        <n v="373.621673583984"/>
        <n v="383.86962890625"/>
        <n v="387.906433105469"/>
        <n v="405.251007080078"/>
        <n v="448.758666992188"/>
        <n v="646.890319824219"/>
        <n v="723.887390136719"/>
        <m/>
      </sharedItems>
    </cacheField>
    <cacheField name="PoissonConfMin" numFmtId="0">
      <sharedItems containsString="0" containsBlank="1" containsNumber="1" minValue="0" maxValue="694.751098632813" count="71">
        <n v="0"/>
        <n v="0.00256285350769758"/>
        <n v="0.00288772280327976"/>
        <n v="0.0174008216708899"/>
        <n v="0.0175827778875828"/>
        <n v="0.0204893499612808"/>
        <n v="0.0467655025422573"/>
        <n v="0.0509126111865044"/>
        <n v="0.0526205040514469"/>
        <n v="0.06745395809412"/>
        <n v="0.0772814452648163"/>
        <n v="0.0776236355304718"/>
        <n v="0.0781490951776505"/>
        <n v="0.137282371520996"/>
        <n v="0.371032416820526"/>
        <n v="1.28480648994446"/>
        <n v="2.19688582420349"/>
        <n v="2.22097706794739"/>
        <n v="3.94378137588501"/>
        <n v="5.70400810241699"/>
        <n v="9.97074031829834"/>
        <n v="9.9816427230835"/>
        <n v="10.1229238510132"/>
        <n v="11.9352550506592"/>
        <n v="12.3517150878906"/>
        <n v="14.0990133285522"/>
        <n v="14.2982711791992"/>
        <n v="16.8953456878662"/>
        <n v="19.6973361968994"/>
        <n v="19.7817707061768"/>
        <n v="20.1223087310791"/>
        <n v="23.5760498046875"/>
        <n v="27.0579490661621"/>
        <n v="30.9737548828125"/>
        <n v="34.2908248901367"/>
        <n v="42.0408897399902"/>
        <n v="61.4199142456055"/>
        <n v="66.1842041015625"/>
        <n v="72.1415863037109"/>
        <n v="73.6755447387695"/>
        <n v="77.8810882568359"/>
        <n v="78.2940292358398"/>
        <n v="84.7232971191406"/>
        <n v="85.1880874633789"/>
        <n v="91.8522262573242"/>
        <n v="106.172897338867"/>
        <n v="107.448631286621"/>
        <n v="114.779830932617"/>
        <n v="115.721061706543"/>
        <n v="122.203536987305"/>
        <n v="128.556182861328"/>
        <n v="131.793273925781"/>
        <n v="131.935943603516"/>
        <n v="133.573822021484"/>
        <n v="136.195251464844"/>
        <n v="138.065292358398"/>
        <n v="142.151382446289"/>
        <n v="152.861541748047"/>
        <n v="175.946243286133"/>
        <n v="180.282272338867"/>
        <n v="217.121719360352"/>
        <n v="241.65217590332"/>
        <n v="327.701751708984"/>
        <n v="353.212158203125"/>
        <n v="361.907470703125"/>
        <n v="366.405731201172"/>
        <n v="385.014862060547"/>
        <n v="425.300659179688"/>
        <n v="616.569885253906"/>
        <n v="694.751098632813"/>
        <m/>
      </sharedItems>
    </cacheField>
    <cacheField name="Accepted Droplets" numFmtId="0">
      <sharedItems containsString="0" containsBlank="1" containsNumber="1" containsInteger="1" minValue="8030" maxValue="21065" count="41">
        <n v="8030"/>
        <n v="15919"/>
        <n v="16401"/>
        <n v="16443"/>
        <n v="16453"/>
        <n v="16533"/>
        <n v="16802"/>
        <n v="17111"/>
        <n v="17273"/>
        <n v="17289"/>
        <n v="17386"/>
        <n v="17398"/>
        <n v="17449"/>
        <n v="17912"/>
        <n v="18013"/>
        <n v="18171"/>
        <n v="18294"/>
        <n v="18375"/>
        <n v="18478"/>
        <n v="18910"/>
        <n v="18959"/>
        <n v="19004"/>
        <n v="19041"/>
        <n v="19056"/>
        <n v="19256"/>
        <n v="19280"/>
        <n v="19407"/>
        <n v="19570"/>
        <n v="19728"/>
        <n v="20000"/>
        <n v="20140"/>
        <n v="20272"/>
        <n v="20274"/>
        <n v="20466"/>
        <n v="20486"/>
        <n v="20644"/>
        <n v="20729"/>
        <n v="20849"/>
        <n v="21052"/>
        <n v="21065"/>
        <m/>
      </sharedItems>
    </cacheField>
    <cacheField name="Positives" numFmtId="0">
      <sharedItems containsString="0" containsBlank="1" containsNumber="1" containsInteger="1" minValue="0" maxValue="9385" count="63">
        <n v="0"/>
        <n v="1"/>
        <n v="2"/>
        <n v="3"/>
        <n v="4"/>
        <n v="6"/>
        <n v="11"/>
        <n v="29"/>
        <n v="49"/>
        <n v="51"/>
        <n v="82"/>
        <n v="114"/>
        <n v="167"/>
        <n v="192"/>
        <n v="204"/>
        <n v="239"/>
        <n v="241"/>
        <n v="243"/>
        <n v="281"/>
        <n v="311"/>
        <n v="326"/>
        <n v="364"/>
        <n v="388"/>
        <n v="425"/>
        <n v="472"/>
        <n v="573"/>
        <n v="594"/>
        <n v="720"/>
        <n v="799"/>
        <n v="805"/>
        <n v="956"/>
        <n v="1080"/>
        <n v="1090"/>
        <n v="1128"/>
        <n v="1265"/>
        <n v="1275"/>
        <n v="1393"/>
        <n v="1436"/>
        <n v="1495"/>
        <n v="1504"/>
        <n v="1722"/>
        <n v="1735"/>
        <n v="1854"/>
        <n v="1868"/>
        <n v="1915"/>
        <n v="2022"/>
        <n v="2180"/>
        <n v="2244"/>
        <n v="2245"/>
        <n v="2276"/>
        <n v="2742"/>
        <n v="3007"/>
        <n v="3215"/>
        <n v="3849"/>
        <n v="4466"/>
        <n v="4726"/>
        <n v="4768"/>
        <n v="4910"/>
        <n v="5394"/>
        <n v="5913"/>
        <n v="6831"/>
        <n v="9385"/>
        <m/>
      </sharedItems>
    </cacheField>
    <cacheField name="Negatives" numFmtId="0">
      <sharedItems containsString="0" containsBlank="1" containsNumber="1" containsInteger="1" minValue="7225" maxValue="21052" count="79">
        <n v="7225"/>
        <n v="7231"/>
        <n v="9612"/>
        <n v="11344"/>
        <n v="11977"/>
        <n v="11992"/>
        <n v="12618"/>
        <n v="13568"/>
        <n v="13897"/>
        <n v="14233"/>
        <n v="14679"/>
        <n v="14816"/>
        <n v="14897"/>
        <n v="15067"/>
        <n v="15263"/>
        <n v="15374"/>
        <n v="15405"/>
        <n v="15445"/>
        <n v="15916"/>
        <n v="16014"/>
        <n v="16183"/>
        <n v="16291"/>
        <n v="16314"/>
        <n v="16450"/>
        <n v="16453"/>
        <n v="16635"/>
        <n v="16714"/>
        <n v="16730"/>
        <n v="16735"/>
        <n v="17110"/>
        <n v="17111"/>
        <n v="17123"/>
        <n v="17208"/>
        <n v="17334"/>
        <n v="17396"/>
        <n v="17398"/>
        <n v="17459"/>
        <n v="17484"/>
        <n v="17909"/>
        <n v="17912"/>
        <n v="17984"/>
        <n v="18002"/>
        <n v="18167"/>
        <n v="18290"/>
        <n v="18294"/>
        <n v="18321"/>
        <n v="18368"/>
        <n v="18371"/>
        <n v="18375"/>
        <n v="18438"/>
        <n v="18447"/>
        <n v="18463"/>
        <n v="18916"/>
        <n v="18920"/>
        <n v="18971"/>
        <n v="18982"/>
        <n v="19004"/>
        <n v="19064"/>
        <n v="19096"/>
        <n v="19142"/>
        <n v="19251"/>
        <n v="19279"/>
        <n v="19488"/>
        <n v="19521"/>
        <n v="19699"/>
        <n v="19761"/>
        <n v="20134"/>
        <n v="20221"/>
        <n v="20272"/>
        <n v="20274"/>
        <n v="20484"/>
        <n v="20486"/>
        <n v="20568"/>
        <n v="20645"/>
        <n v="20677"/>
        <n v="20822"/>
        <n v="21048"/>
        <n v="21052"/>
        <m/>
      </sharedItems>
    </cacheField>
    <cacheField name="Ch1+Ch2+" numFmtId="0">
      <sharedItems containsString="0" containsBlank="1" containsNumber="1" containsInteger="1" minValue="0" maxValue="2620" count="28">
        <n v="0"/>
        <n v="2"/>
        <n v="4"/>
        <n v="6"/>
        <n v="10"/>
        <n v="11"/>
        <n v="16"/>
        <n v="20"/>
        <n v="27"/>
        <n v="60"/>
        <n v="63"/>
        <n v="69"/>
        <n v="117"/>
        <n v="134"/>
        <n v="283"/>
        <n v="318"/>
        <n v="353"/>
        <n v="403"/>
        <n v="411"/>
        <n v="421"/>
        <n v="501"/>
        <n v="528"/>
        <n v="935"/>
        <n v="1033"/>
        <n v="1779"/>
        <n v="1870"/>
        <n v="2620"/>
        <m/>
      </sharedItems>
    </cacheField>
    <cacheField name="Ch1+Ch2-" numFmtId="0">
      <sharedItems containsString="0" containsBlank="1" containsNumber="1" containsInteger="1" minValue="0" maxValue="6765" count="32">
        <n v="0"/>
        <n v="1"/>
        <n v="2"/>
        <n v="3"/>
        <n v="4"/>
        <n v="9"/>
        <n v="41"/>
        <n v="45"/>
        <n v="104"/>
        <n v="108"/>
        <n v="177"/>
        <n v="179"/>
        <n v="227"/>
        <n v="230"/>
        <n v="291"/>
        <n v="338"/>
        <n v="525"/>
        <n v="669"/>
        <n v="682"/>
        <n v="774"/>
        <n v="912"/>
        <n v="1194"/>
        <n v="1221"/>
        <n v="1536"/>
        <n v="1873"/>
        <n v="2596"/>
        <n v="3524"/>
        <n v="3791"/>
        <n v="3877"/>
        <n v="5052"/>
        <n v="6765"/>
        <m/>
      </sharedItems>
    </cacheField>
    <cacheField name="Ch1-Ch2+" numFmtId="0">
      <sharedItems containsString="0" containsBlank="1" containsNumber="1" containsInteger="1" minValue="0" maxValue="3845" count="32">
        <n v="0"/>
        <n v="27"/>
        <n v="78"/>
        <n v="186"/>
        <n v="254"/>
        <n v="315"/>
        <n v="364"/>
        <n v="372"/>
        <n v="405"/>
        <n v="563"/>
        <n v="651"/>
        <n v="673"/>
        <n v="688"/>
        <n v="810"/>
        <n v="990"/>
        <n v="1020"/>
        <n v="1084"/>
        <n v="1310"/>
        <n v="1414"/>
        <n v="1436"/>
        <n v="1447"/>
        <n v="1672"/>
        <n v="1891"/>
        <n v="2020"/>
        <n v="2046"/>
        <n v="2182"/>
        <n v="2214"/>
        <n v="2687"/>
        <n v="2898"/>
        <n v="3293"/>
        <n v="3845"/>
        <m/>
      </sharedItems>
    </cacheField>
    <cacheField name="Ch1-Ch2-" numFmtId="0">
      <sharedItems containsString="0" containsBlank="1" containsNumber="1" containsInteger="1" minValue="6543" maxValue="21048" count="41">
        <n v="6543"/>
        <n v="6925"/>
        <n v="8051"/>
        <n v="9094"/>
        <n v="11386"/>
        <n v="12923"/>
        <n v="13869"/>
        <n v="13896"/>
        <n v="14224"/>
        <n v="14600"/>
        <n v="14736"/>
        <n v="14963"/>
        <n v="15120"/>
        <n v="16289"/>
        <n v="16375"/>
        <n v="16392"/>
        <n v="16450"/>
        <n v="16572"/>
        <n v="16731"/>
        <n v="16893"/>
        <n v="17110"/>
        <n v="17378"/>
        <n v="17396"/>
        <n v="17796"/>
        <n v="17909"/>
        <n v="17975"/>
        <n v="18290"/>
        <n v="18371"/>
        <n v="18691"/>
        <n v="18741"/>
        <n v="18915"/>
        <n v="18956"/>
        <n v="19004"/>
        <n v="19443"/>
        <n v="19658"/>
        <n v="20272"/>
        <n v="20391"/>
        <n v="20450"/>
        <n v="20484"/>
        <n v="21048"/>
        <m/>
      </sharedItems>
    </cacheField>
    <cacheField name="Linkage" numFmtId="0">
      <sharedItems containsString="0" containsBlank="1" containsNumber="1" minValue="0" maxValue="51.6658963058725" count="28">
        <n v="0"/>
        <n v="0.129748818673774"/>
        <n v="0.137072044127189"/>
        <n v="0.20609914623624"/>
        <n v="0.229633889595345"/>
        <n v="0.301871768990074"/>
        <n v="0.452581602328305"/>
        <n v="0.512308618475518"/>
        <n v="0.663160478502394"/>
        <n v="0.830470040593918"/>
        <n v="1.39998021607945"/>
        <n v="2.96005724351035"/>
        <n v="3.08066269178495"/>
        <n v="3.60303849613208"/>
        <n v="5.72591291786186"/>
        <n v="6.65380052966088"/>
        <n v="13.8282136509499"/>
        <n v="14.9394874379358"/>
        <n v="16.2680124793189"/>
        <n v="16.3582159986716"/>
        <n v="17.0079186609095"/>
        <n v="18.6113964147737"/>
        <n v="22.0080678039981"/>
        <n v="24.4525024273114"/>
        <n v="29.3539741115297"/>
        <n v="34.6794320294596"/>
        <n v="51.6658963058725"/>
        <m/>
      </sharedItems>
    </cacheField>
    <cacheField name="CNV" numFmtId="0">
      <sharedItems containsString="0" containsBlank="1" containsNumber="1" minValue="0.00277490145526826" maxValue="4.54988288879395" count="31">
        <n v="0.00277490145526826"/>
        <n v="0.00280967378057539"/>
        <n v="0.00534846866503358"/>
        <n v="0.0054426146671176"/>
        <n v="0.175703778862953"/>
        <n v="0.183299839496613"/>
        <n v="0.412730425596237"/>
        <n v="0.433125108480454"/>
        <n v="0.758241474628449"/>
        <n v="1.09761822223663"/>
        <n v="1.13904547691345"/>
        <n v="1.1850813627243"/>
        <n v="1.19411194324493"/>
        <n v="1.21927285194397"/>
        <n v="1.24821937084198"/>
        <n v="1.30514311790466"/>
        <n v="1.44925248622894"/>
        <n v="1.45916831493378"/>
        <n v="1.47488141059875"/>
        <n v="1.64438807964325"/>
        <n v="1.98428380489349"/>
        <n v="2.31749224662781"/>
        <n v="3.20303988456726"/>
        <n v="3.23168206214905"/>
        <n v="3.34416961669922"/>
        <n v="3.36625957489014"/>
        <n v="3.38824701309204"/>
        <n v="3.59022045135498"/>
        <n v="4.18991184234619"/>
        <n v="4.54988288879395"/>
        <m/>
      </sharedItems>
    </cacheField>
    <cacheField name="TotalCNVMax" numFmtId="0">
      <sharedItems containsString="0" containsBlank="1" count="1">
        <m/>
      </sharedItems>
    </cacheField>
    <cacheField name="TotalCNVMin" numFmtId="0">
      <sharedItems containsString="0" containsBlank="1" count="1">
        <m/>
      </sharedItems>
    </cacheField>
    <cacheField name="PoissonCNVMax" numFmtId="0">
      <sharedItems containsString="0" containsBlank="1" containsNumber="1" minValue="0.00513313179985359" maxValue="4.7788265138191" count="31">
        <n v="0.00513313179985359"/>
        <n v="0.00612560268574105"/>
        <n v="0.0108546566817756"/>
        <n v="0.0183386862140981"/>
        <n v="0.212409475431372"/>
        <n v="0.226262773473493"/>
        <n v="0.453804626204264"/>
        <n v="0.493811860454249"/>
        <n v="1.173282521337"/>
        <n v="1.22416586105093"/>
        <n v="1.29249140965497"/>
        <n v="1.29279878834822"/>
        <n v="1.39764195414806"/>
        <n v="1.4483654270858"/>
        <n v="1.45972096119143"/>
        <n v="1.6188143867255"/>
        <n v="1.67258723719072"/>
        <n v="1.71053211110078"/>
        <n v="1.72046108830403"/>
        <n v="1.82304579105361"/>
        <n v="2.17859526148173"/>
        <n v="2.40823454003698"/>
        <n v="3.37574600613443"/>
        <n v="3.46278115563624"/>
        <n v="3.51697993264618"/>
        <n v="3.56722230465166"/>
        <n v="3.61549178196745"/>
        <n v="3.70808563930293"/>
        <n v="4.44992836312415"/>
        <n v="4.7788265138191"/>
        <m/>
      </sharedItems>
    </cacheField>
    <cacheField name="PoissonCNVMin" numFmtId="0">
      <sharedItems containsString="0" containsBlank="1" containsNumber="1" minValue="0" maxValue="4.32093905699231" count="29">
        <n v="0"/>
        <n v="0.000486215682653972"/>
        <n v="0.125144771027911"/>
        <n v="0.154190213858654"/>
        <n v="0.223991515267416"/>
        <n v="0.37165619938511"/>
        <n v="0.372438378588314"/>
        <n v="0.769409588600326"/>
        <n v="0.910441712527795"/>
        <n v="1.02195387581107"/>
        <n v="1.04807341475818"/>
        <n v="1.05392519514212"/>
        <n v="1.14574694008616"/>
        <n v="1.18797286592705"/>
        <n v="1.21264424929607"/>
        <n v="1.22930161861822"/>
        <n v="1.24574948211911"/>
        <n v="1.46573045347289"/>
        <n v="1.78997225923097"/>
        <n v="2.22674988989122"/>
        <n v="2.9432986670338"/>
        <n v="3.08761810762152"/>
        <n v="3.11702735672728"/>
        <n v="3.12111688909855"/>
        <n v="3.25951392859719"/>
        <n v="3.47235539824528"/>
        <n v="3.9298956979169"/>
        <n v="4.32093905699231"/>
        <m/>
      </sharedItems>
    </cacheField>
    <cacheField name="ReferenceCopies" numFmtId="0">
      <sharedItems containsString="0" containsBlank="1" containsNumber="1" containsInteger="1" minValue="2" maxValue="2" count="2">
        <n v="2"/>
        <m/>
      </sharedItems>
    </cacheField>
    <cacheField name="UnknownCopies" numFmtId="0">
      <sharedItems containsString="0" containsBlank="1" count="1">
        <m/>
      </sharedItems>
    </cacheField>
    <cacheField name="Threshold1" numFmtId="0">
      <sharedItems containsString="0" containsBlank="1" containsNumber="1" containsInteger="1" minValue="500" maxValue="1500" count="3">
        <n v="500"/>
        <n v="1500"/>
        <m/>
      </sharedItems>
    </cacheField>
    <cacheField name="Threshold2" numFmtId="0">
      <sharedItems containsString="0" containsBlank="1" count="1">
        <m/>
      </sharedItems>
    </cacheField>
    <cacheField name="Threshold3" numFmtId="0">
      <sharedItems containsString="0" containsBlank="1" count="1">
        <m/>
      </sharedItems>
    </cacheField>
    <cacheField name="ThresholdSigmaAbove" numFmtId="0">
      <sharedItems containsString="0" containsBlank="1" containsNumber="1" minValue="0.533677303150113" maxValue="13.170587810288" count="68">
        <n v="0.533677303150113"/>
        <n v="1.06997131957818"/>
        <n v="1.42813276577847"/>
        <n v="1.48819985085243"/>
        <n v="1.51654219158014"/>
        <n v="1.91333026820534"/>
        <n v="1.94681229013085"/>
        <n v="1.96049663931491"/>
        <n v="1.98882135914965"/>
        <n v="2.04329834973573"/>
        <n v="2.12482572736062"/>
        <n v="2.13063774384289"/>
        <n v="2.22718398301371"/>
        <n v="2.23115277700483"/>
        <n v="2.23288640837593"/>
        <n v="2.25101022313558"/>
        <n v="2.25128983784866"/>
        <n v="2.32629127093937"/>
        <n v="2.40702260909873"/>
        <n v="2.42419010542559"/>
        <n v="2.43681395538738"/>
        <n v="2.45502469467901"/>
        <n v="2.50750026244745"/>
        <n v="2.70006468137189"/>
        <n v="2.73808581884755"/>
        <n v="2.79334706474275"/>
        <n v="2.86344737350099"/>
        <n v="3.04929190215931"/>
        <n v="3.16003255729523"/>
        <n v="3.27980181136569"/>
        <n v="3.3973919674722"/>
        <n v="3.50856523282882"/>
        <n v="3.8513414222674"/>
        <n v="3.9652061275062"/>
        <n v="4.0658847092567"/>
        <n v="4.09082666422248"/>
        <n v="4.09881554990344"/>
        <n v="4.20327965936715"/>
        <n v="4.22700232096413"/>
        <n v="4.23111850870514"/>
        <n v="4.23407267589088"/>
        <n v="4.34600489901228"/>
        <n v="4.41769079704795"/>
        <n v="4.49536267185072"/>
        <n v="4.50820512512136"/>
        <n v="4.56169695758867"/>
        <n v="4.60312755813445"/>
        <n v="4.68085045016602"/>
        <n v="4.76757729211455"/>
        <n v="4.80739560280349"/>
        <n v="4.90752808774969"/>
        <n v="4.91568289831071"/>
        <n v="4.9372429168272"/>
        <n v="4.96413224442894"/>
        <n v="5.03624627718842"/>
        <n v="5.0645953018402"/>
        <n v="5.12416626535427"/>
        <n v="5.14784426757088"/>
        <n v="6.01070343686232"/>
        <n v="6.58713565439431"/>
        <n v="6.81325119516044"/>
        <n v="8.0218521045168"/>
        <n v="8.56206951518247"/>
        <n v="8.93425168147997"/>
        <n v="9.54717071486593"/>
        <n v="10.5780514110727"/>
        <n v="13.170587810288"/>
        <m/>
      </sharedItems>
    </cacheField>
    <cacheField name="ThresholdSigmaBelow" numFmtId="0">
      <sharedItems containsString="0" containsBlank="1" containsNumber="1" minValue="3.21703741888271" maxValue="12.971380116546" count="81">
        <n v="3.21703741888271"/>
        <n v="3.58166784992055"/>
        <n v="3.7087852542727"/>
        <n v="3.88220546097403"/>
        <n v="4.97550407251364"/>
        <n v="5.38681605976188"/>
        <n v="5.42897887874747"/>
        <n v="5.91048006941472"/>
        <n v="6.38047214437144"/>
        <n v="6.46992910002443"/>
        <n v="6.72891297869749"/>
        <n v="6.86299789142477"/>
        <n v="7.08365806433911"/>
        <n v="7.3356031385696"/>
        <n v="7.4064221325609"/>
        <n v="7.56107995283031"/>
        <n v="7.57697141204483"/>
        <n v="7.59427002790966"/>
        <n v="7.63599783234646"/>
        <n v="7.64442629797876"/>
        <n v="7.67615118109834"/>
        <n v="7.68725556767741"/>
        <n v="7.85443400830861"/>
        <n v="7.90321311572784"/>
        <n v="7.92372166554802"/>
        <n v="7.92948502909789"/>
        <n v="7.96387769868112"/>
        <n v="8.07702288526184"/>
        <n v="8.1003802143426"/>
        <n v="8.1780174555476"/>
        <n v="8.54661068941634"/>
        <n v="8.65114119361442"/>
        <n v="8.67503272092049"/>
        <n v="8.80656656633664"/>
        <n v="8.80853485074163"/>
        <n v="8.89313643902822"/>
        <n v="9.03529400478755"/>
        <n v="9.0582043902921"/>
        <n v="9.23809896571401"/>
        <n v="10.0218509513638"/>
        <n v="10.0892992019824"/>
        <n v="10.1015958407588"/>
        <n v="10.1160207168263"/>
        <n v="10.2544894165305"/>
        <n v="10.3517193399384"/>
        <n v="10.4072882256816"/>
        <n v="10.4622633868827"/>
        <n v="10.5093794497196"/>
        <n v="10.5130954804552"/>
        <n v="10.523689359943"/>
        <n v="10.5449572617665"/>
        <n v="10.5648138633412"/>
        <n v="10.587177031305"/>
        <n v="10.6090027800484"/>
        <n v="10.706997141629"/>
        <n v="10.79301133528"/>
        <n v="10.8344809108882"/>
        <n v="11.1174356285079"/>
        <n v="11.16358845701"/>
        <n v="11.2700593359479"/>
        <n v="11.3017883416057"/>
        <n v="11.3635057627122"/>
        <n v="11.5698797331185"/>
        <n v="11.6130834266448"/>
        <n v="11.845234696743"/>
        <n v="11.8622453408067"/>
        <n v="11.9112597445071"/>
        <n v="11.9547231913803"/>
        <n v="12.0705734595912"/>
        <n v="12.2460589734335"/>
        <n v="12.3579510197502"/>
        <n v="12.3632955313268"/>
        <n v="12.4703804144112"/>
        <n v="12.4745818555931"/>
        <n v="12.5334702105079"/>
        <n v="12.6132329854643"/>
        <n v="12.7226352755718"/>
        <n v="12.8449498716801"/>
        <n v="12.8766835274004"/>
        <n v="12.971380116546"/>
        <m/>
      </sharedItems>
    </cacheField>
    <cacheField name="ReferenceUsed" numFmtId="0">
      <sharedItems containsBlank="1" count="2">
        <s v="HAT"/>
        <m/>
      </sharedItems>
    </cacheField>
    <cacheField name="Ratio" numFmtId="0">
      <sharedItems containsString="0" containsBlank="1" containsNumber="1" minValue="0.00138745071228665" maxValue="2.27494139270285" count="31">
        <n v="0.00138745071228665"/>
        <n v="0.00140483687062689"/>
        <n v="0.00267423435623717"/>
        <n v="0.0027213073164318"/>
        <n v="0.0878518861253509"/>
        <n v="0.0916499223225065"/>
        <n v="0.206365206397344"/>
        <n v="0.216562559760641"/>
        <n v="0.379120731230596"/>
        <n v="0.548809099287017"/>
        <n v="0.569522764048262"/>
        <n v="0.592540668429805"/>
        <n v="0.597055993831457"/>
        <n v="0.609636432108595"/>
        <n v="0.624109710460994"/>
        <n v="0.652571550861032"/>
        <n v="0.72462624425696"/>
        <n v="0.729584179827458"/>
        <n v="0.737440676730562"/>
        <n v="0.822194061131624"/>
        <n v="0.992141880178176"/>
        <n v="1.15874610748205"/>
        <n v="1.60151995566751"/>
        <n v="1.61584102843899"/>
        <n v="1.67208479843755"/>
        <n v="1.68312978467368"/>
        <n v="1.69412346531084"/>
        <n v="1.79511025938705"/>
        <n v="2.09495601526026"/>
        <n v="2.27494139270285"/>
        <m/>
      </sharedItems>
    </cacheField>
    <cacheField name="TotalRatioMax" numFmtId="0">
      <sharedItems containsString="0" containsBlank="1" count="1">
        <m/>
      </sharedItems>
    </cacheField>
    <cacheField name="TotalRatioMin" numFmtId="0">
      <sharedItems containsString="0" containsBlank="1" count="1">
        <m/>
      </sharedItems>
    </cacheField>
    <cacheField name="PoissonRatioMax" numFmtId="0">
      <sharedItems containsString="0" containsBlank="1" containsNumber="1" minValue="0.00256656589992679" maxValue="2.38941325690955" count="31">
        <n v="0.00256656589992679"/>
        <n v="0.00306280134287052"/>
        <n v="0.00542732834088782"/>
        <n v="0.00916934310704905"/>
        <n v="0.106204737715686"/>
        <n v="0.113131386736746"/>
        <n v="0.226902313102132"/>
        <n v="0.246905930227125"/>
        <n v="0.586641260668501"/>
        <n v="0.612082930525463"/>
        <n v="0.646245704827484"/>
        <n v="0.646399394174111"/>
        <n v="0.698820977074028"/>
        <n v="0.724182713542899"/>
        <n v="0.729860480595713"/>
        <n v="0.809407193362752"/>
        <n v="0.83629361859536"/>
        <n v="0.855266055550392"/>
        <n v="0.860230544152014"/>
        <n v="0.911522895526805"/>
        <n v="1.08929763074087"/>
        <n v="1.20411727001849"/>
        <n v="1.68787300306721"/>
        <n v="1.73139057781812"/>
        <n v="1.75848996632309"/>
        <n v="1.78361115232583"/>
        <n v="1.80774589098372"/>
        <n v="1.85404281965147"/>
        <n v="2.22496418156207"/>
        <n v="2.38941325690955"/>
        <m/>
      </sharedItems>
    </cacheField>
    <cacheField name="PoissonRatioMin" numFmtId="0">
      <sharedItems containsString="0" containsBlank="1" containsNumber="1" minValue="0" maxValue="2.16046952849615" count="29">
        <n v="0"/>
        <n v="0.000243107841326986"/>
        <n v="0.0625723855139554"/>
        <n v="0.077095106929327"/>
        <n v="0.111995757633708"/>
        <n v="0.185828099692555"/>
        <n v="0.186219189294157"/>
        <n v="0.384704794300163"/>
        <n v="0.455220856263897"/>
        <n v="0.510976937905533"/>
        <n v="0.524036707379088"/>
        <n v="0.526962597571061"/>
        <n v="0.572873470043079"/>
        <n v="0.593986432963527"/>
        <n v="0.606322124648037"/>
        <n v="0.614650809309109"/>
        <n v="0.622874741059557"/>
        <n v="0.732865226736444"/>
        <n v="0.894986129615486"/>
        <n v="1.11337494494561"/>
        <n v="1.4716493335169"/>
        <n v="1.54380905381076"/>
        <n v="1.55851367836364"/>
        <n v="1.56055844454928"/>
        <n v="1.6297569642986"/>
        <n v="1.73617769912264"/>
        <n v="1.96494784895845"/>
        <n v="2.16046952849615"/>
        <m/>
      </sharedItems>
    </cacheField>
    <cacheField name="Fractional Abundance" numFmtId="0">
      <sharedItems containsString="0" containsBlank="1" containsNumber="1" minValue="0.13855283599767" maxValue="100" count="32">
        <n v="0.13855283599767"/>
        <n v="0.140286607264349"/>
        <n v="0.266710190070272"/>
        <n v="0.271392190090664"/>
        <n v="8.0757212673737"/>
        <n v="8.39554150542323"/>
        <n v="17.1063625926039"/>
        <n v="17.801185645829"/>
        <n v="27.4900320650176"/>
        <n v="35.4342636248494"/>
        <n v="36.2863653266994"/>
        <n v="37.2072550595541"/>
        <n v="37.3847877680904"/>
        <n v="37.874169591824"/>
        <n v="38.4278048730984"/>
        <n v="39.4882479079968"/>
        <n v="42.0164222056796"/>
        <n v="42.1826348978424"/>
        <n v="42.4440780400195"/>
        <n v="45.1211031069338"/>
        <n v="49.8027720841569"/>
        <n v="53.6768128250897"/>
        <n v="61.5609329530046"/>
        <n v="61.7713771927206"/>
        <n v="62.5760379840965"/>
        <n v="62.730092084546"/>
        <n v="62.882176230011"/>
        <n v="64.2232360372326"/>
        <n v="67.6893631098694"/>
        <n v="69.465102422041"/>
        <n v="100"/>
        <m/>
      </sharedItems>
    </cacheField>
    <cacheField name="TotalFractionalAbundanceMax" numFmtId="0">
      <sharedItems containsString="0" containsBlank="1" count="1">
        <m/>
      </sharedItems>
    </cacheField>
    <cacheField name="TotalFractionalAbundanceMin" numFmtId="0">
      <sharedItems containsString="0" containsBlank="1" count="1">
        <m/>
      </sharedItems>
    </cacheField>
    <cacheField name="PoissonFractionalAbundanceMax" numFmtId="0">
      <sharedItems containsString="0" containsBlank="1" containsNumber="1" minValue="0.256133788778309" maxValue="249.808737967494" count="40">
        <n v="0.256133788778309"/>
        <n v="0.305623971508933"/>
        <n v="0.540552990490318"/>
        <n v="0.912700625260672"/>
        <n v="9.61689090995042"/>
        <n v="10.2118575282578"/>
        <n v="18.5175401262031"/>
        <n v="19.8513794939325"/>
        <n v="37.0113859179606"/>
        <n v="38.0140643194614"/>
        <n v="39.2930797885773"/>
        <n v="41.1817502631233"/>
        <n v="41.5346496474537"/>
        <n v="42.2217077313881"/>
        <n v="42.621677505108"/>
        <n v="45.7103665065374"/>
        <n v="45.7497689252278"/>
        <n v="46.4086571530445"/>
        <n v="46.5117185191663"/>
        <n v="47.8114136489989"/>
        <n v="52.2508654668903"/>
        <n v="54.6504043221325"/>
        <n v="62.8240723520167"/>
        <n v="63.4798517533031"/>
        <n v="63.7689746533296"/>
        <n v="64.1380236045108"/>
        <n v="64.4610671694961"/>
        <n v="64.9775591596285"/>
        <n v="69.0466187973226"/>
        <n v="70.5324151553002"/>
        <n v="137.448974000633"/>
        <n v="137.448979306883"/>
        <n v="137.449105759771"/>
        <n v="149.933327109882"/>
        <n v="149.933327561155"/>
        <n v="174.90181930081"/>
        <n v="174.901841961755"/>
        <n v="174.902142486797"/>
        <n v="249.808737967494"/>
        <m/>
      </sharedItems>
    </cacheField>
    <cacheField name="PoissonFractionalAbundanceMin" numFmtId="0">
      <sharedItems containsString="0" containsBlank="1" containsNumber="1" minValue="0" maxValue="68.3977896887817" count="37">
        <n v="0"/>
        <n v="0.0244394257503885"/>
        <n v="5.9395850064896"/>
        <n v="7.17419210089605"/>
        <n v="13.4454144825815"/>
        <n v="15.6951850590046"/>
        <n v="15.7509917977255"/>
        <n v="25.0978575132028"/>
        <n v="25.0981580382451"/>
        <n v="25.0981806991898"/>
        <n v="29.0592090296434"/>
        <n v="31.7928326140002"/>
        <n v="33.8571413317382"/>
        <n v="34.5586663339373"/>
        <n v="34.6339020148086"/>
        <n v="36.4552593950707"/>
        <n v="37.6241872583147"/>
        <n v="37.7947455528703"/>
        <n v="38.3764375608726"/>
        <n v="38.6155008704569"/>
        <n v="42.4307925648687"/>
        <n v="47.3546787014236"/>
        <n v="50.0666724388448"/>
        <n v="50.066672890118"/>
        <n v="52.703221328047"/>
        <n v="59.642014152706"/>
        <n v="60.7186820334244"/>
        <n v="60.9991169995959"/>
        <n v="61.0140523636823"/>
        <n v="61.9953778066923"/>
        <n v="62.5508942402291"/>
        <n v="62.551020693117"/>
        <n v="62.551025999367"/>
        <n v="63.4689129148368"/>
        <n v="66.3321074224161"/>
        <n v="68.3977896887817"/>
        <m/>
      </sharedItems>
    </cacheField>
    <cacheField name="MeanAmplitudeOfPositives" numFmtId="0">
      <sharedItems containsString="0" containsBlank="1" containsNumber="1" minValue="1032.0715637207" maxValue="5609.87993371734" count="70">
        <n v="1032.0715637207"/>
        <n v="1145.73661295573"/>
        <n v="1426.48489379883"/>
        <n v="1511.24194335938"/>
        <n v="1541.5696105957"/>
        <n v="1617.28588867188"/>
        <n v="2022.88159179688"/>
        <n v="2026.10001627604"/>
        <n v="2598.25280761719"/>
        <n v="2796.65905761719"/>
        <n v="2919.78123474121"/>
        <n v="3054.69091796875"/>
        <n v="3472.95751953125"/>
        <n v="3547.16628827397"/>
        <n v="3604.46080757951"/>
        <n v="3609.98734662224"/>
        <n v="3673.54160808144"/>
        <n v="3748.17067243788"/>
        <n v="3789.5091788963"/>
        <n v="3863.89166803751"/>
        <n v="3867.21839822583"/>
        <n v="3880.62932392085"/>
        <n v="3907.9245114794"/>
        <n v="3910.1287137518"/>
        <n v="3930.34575734218"/>
        <n v="3935.65083045566"/>
        <n v="3936.99303769826"/>
        <n v="3951.23019040286"/>
        <n v="3951.25311846785"/>
        <n v="3953.32069217777"/>
        <n v="3972.37065662474"/>
        <n v="3982.41363334656"/>
        <n v="3982.76146214414"/>
        <n v="3985.15129262505"/>
        <n v="4000.5224440873"/>
        <n v="4008.57970010571"/>
        <n v="4009.48344756336"/>
        <n v="4018.38280235936"/>
        <n v="4030.75559254671"/>
        <n v="4031.87996887462"/>
        <n v="4034.09762743758"/>
        <n v="4035.78281012133"/>
        <n v="4049.22137661638"/>
        <n v="4057.3404497662"/>
        <n v="4070.34614611245"/>
        <n v="4075.76245878332"/>
        <n v="4104.59893573531"/>
        <n v="4115.85369004764"/>
        <n v="4117.20263818686"/>
        <n v="4145.72204931417"/>
        <n v="4229.68645685369"/>
        <n v="4246.68025180109"/>
        <n v="4268.80752299828"/>
        <n v="4358.9547355263"/>
        <n v="4438.20429858756"/>
        <n v="4449.73711977167"/>
        <n v="4484.06715331549"/>
        <n v="4506.03512362549"/>
        <n v="4583.8416647385"/>
        <n v="4619.18385713348"/>
        <n v="4636.22232740753"/>
        <n v="4787.25430165917"/>
        <n v="4830.95922367905"/>
        <n v="5271.70338439941"/>
        <n v="5299.99092254616"/>
        <n v="5323.05922513382"/>
        <n v="5401.86017648797"/>
        <n v="5494.8617543664"/>
        <n v="5609.87993371734"/>
        <m/>
      </sharedItems>
    </cacheField>
    <cacheField name="MeanAmplitudeOfNegatives" numFmtId="0">
      <sharedItems containsString="0" containsBlank="1" containsNumber="1" minValue="272.365349525997" maxValue="1052.08550220844" count="81">
        <n v="272.365349525997"/>
        <n v="276.219686810891"/>
        <n v="276.490253112729"/>
        <n v="279.775450964076"/>
        <n v="279.859982610987"/>
        <n v="280.189095394685"/>
        <n v="280.940311295928"/>
        <n v="282.643104498624"/>
        <n v="282.716353158144"/>
        <n v="282.736838414316"/>
        <n v="282.81555570795"/>
        <n v="283.098149306509"/>
        <n v="283.251747042299"/>
        <n v="284.326189626255"/>
        <n v="284.347834360534"/>
        <n v="284.854484595067"/>
        <n v="285.852975751552"/>
        <n v="286.474730280604"/>
        <n v="288.236087467767"/>
        <n v="288.428615597817"/>
        <n v="288.628687354956"/>
        <n v="290.588888210975"/>
        <n v="292.455675699618"/>
        <n v="295.530444654069"/>
        <n v="299.147151790752"/>
        <n v="299.782459449093"/>
        <n v="300.519769087086"/>
        <n v="302.693803235882"/>
        <n v="303.496459932769"/>
        <n v="304.671496685374"/>
        <n v="304.689536294802"/>
        <n v="305.584939953157"/>
        <n v="306.369635426959"/>
        <n v="308.383720918652"/>
        <n v="308.410608243834"/>
        <n v="308.676385209688"/>
        <n v="308.982163166801"/>
        <n v="310.395574628815"/>
        <n v="310.54863209509"/>
        <n v="318.486201478055"/>
        <n v="832.777130409954"/>
        <n v="911.605070375188"/>
        <n v="922.352180377726"/>
        <n v="922.829394487253"/>
        <n v="924.160476186585"/>
        <n v="924.650669022299"/>
        <n v="924.667480584893"/>
        <n v="925.96453514614"/>
        <n v="927.074170572748"/>
        <n v="929.079585655161"/>
        <n v="931.586611271207"/>
        <n v="935.920020490507"/>
        <n v="936.676505120717"/>
        <n v="940.10333912576"/>
        <n v="941.641625253178"/>
        <n v="942.486849148926"/>
        <n v="944.965906958808"/>
        <n v="945.390785290922"/>
        <n v="945.676129268759"/>
        <n v="946.809747084495"/>
        <n v="946.92176528628"/>
        <n v="947.456654632992"/>
        <n v="947.972986952499"/>
        <n v="949.315051021525"/>
        <n v="949.788914185165"/>
        <n v="950.736951901848"/>
        <n v="951.915308736881"/>
        <n v="953.930959777713"/>
        <n v="958.364721156699"/>
        <n v="960.214404596726"/>
        <n v="960.972444161472"/>
        <n v="963.029116040126"/>
        <n v="967.853306445723"/>
        <n v="977.985950585189"/>
        <n v="978.688968724218"/>
        <n v="983.891238612565"/>
        <n v="994.290395770633"/>
        <n v="997.336272332347"/>
        <n v="1046.00934221622"/>
        <n v="1052.08550220844"/>
        <m/>
      </sharedItems>
    </cacheField>
    <cacheField name="MeanAmplitudeTotal" numFmtId="0">
      <sharedItems containsString="0" containsBlank="1" containsNumber="1" minValue="277.072123341474" maxValue="2565.59926301322" count="81">
        <n v="277.072123341474"/>
        <n v="280.333001090877"/>
        <n v="280.558156337219"/>
        <n v="281.071998223448"/>
        <n v="282.643104498624"/>
        <n v="282.846644043189"/>
        <n v="283.240458524524"/>
        <n v="283.569533756437"/>
        <n v="284.59567013278"/>
        <n v="285.232830632009"/>
        <n v="286.227072067791"/>
        <n v="286.861919552154"/>
        <n v="288.30756230009"/>
        <n v="299.306695002229"/>
        <n v="306.564671014422"/>
        <n v="311.070828710942"/>
        <n v="318.036329492962"/>
        <n v="321.226719794178"/>
        <n v="331.630036836689"/>
        <n v="342.862466450222"/>
        <n v="343.870136788169"/>
        <n v="353.39314712681"/>
        <n v="355.605100105613"/>
        <n v="363.864742966461"/>
        <n v="411.779519583926"/>
        <n v="419.404560072082"/>
        <n v="538.493962808385"/>
        <n v="569.731481911"/>
        <n v="574.252206398623"/>
        <n v="646.332199360811"/>
        <n v="689.061779001051"/>
        <n v="690.290878629004"/>
        <n v="751.656027377195"/>
        <n v="776.620725384023"/>
        <n v="924.650669022299"/>
        <n v="927.074170572748"/>
        <n v="929.079585655161"/>
        <n v="941.641625253178"/>
        <n v="942.486849148926"/>
        <n v="944.965906958808"/>
        <n v="946.809747084495"/>
        <n v="947.456654632992"/>
        <n v="949.425822574582"/>
        <n v="950.736951901848"/>
        <n v="951.915308736881"/>
        <n v="970.697792970385"/>
        <n v="975.672691544904"/>
        <n v="987.441603094161"/>
        <n v="988.5964796739"/>
        <n v="991.388260868562"/>
        <n v="999.208676925606"/>
        <n v="1000.57989263196"/>
        <n v="1000.74900769556"/>
        <n v="1019.77866185613"/>
        <n v="1046.28518251554"/>
        <n v="1077.17865829773"/>
        <n v="1104.89210825311"/>
        <n v="1146.45275094801"/>
        <n v="1161.78607944517"/>
        <n v="1164.87383944233"/>
        <n v="1177.17650624602"/>
        <n v="1194.93303971765"/>
        <n v="1243.04132050291"/>
        <n v="1260.14481121103"/>
        <n v="1264.99083515331"/>
        <n v="1283.52576346489"/>
        <n v="1295.10275505614"/>
        <n v="1319.58208412618"/>
        <n v="1354.91735243947"/>
        <n v="1384.65382233114"/>
        <n v="1423.79001652723"/>
        <n v="1447.53983917798"/>
        <n v="1505.2810531238"/>
        <n v="1507.12078369201"/>
        <n v="1531.67956113799"/>
        <n v="1849.48330897708"/>
        <n v="1853.32065237855"/>
        <n v="1913.05203158296"/>
        <n v="2370.52465698283"/>
        <n v="2565.59926301322"/>
        <m/>
      </sharedItems>
    </cacheField>
    <cacheField name="ExperimentComments" numFmtId="0">
      <sharedItems containsString="0" containsBlank="1" count="1">
        <m/>
      </sharedItems>
    </cacheField>
    <cacheField name="MergedWells" numFmtId="0">
      <sharedItems containsString="0" containsBlank="1" count="1">
        <m/>
      </sharedItems>
    </cacheField>
    <cacheField name="TotalConfidenceMax68" numFmtId="0">
      <sharedItems containsString="0" containsBlank="1" count="1">
        <m/>
      </sharedItems>
    </cacheField>
    <cacheField name="TotalConfidenceMin68" numFmtId="0">
      <sharedItems containsString="0" containsBlank="1" count="1">
        <m/>
      </sharedItems>
    </cacheField>
    <cacheField name="PoissonConfidenceMax68" numFmtId="0">
      <sharedItems containsString="0" containsBlank="1" containsNumber="1" minValue="0.0765077173709869" maxValue="716.684997558594" count="80">
        <n v="0.0765077173709869"/>
        <n v="0.0786215886473656"/>
        <n v="0.0794437527656555"/>
        <n v="0.0847530066967011"/>
        <n v="0.087654322385788"/>
        <n v="0.0880424454808235"/>
        <n v="0.0899201557040215"/>
        <n v="0.0925768166780472"/>
        <n v="0.0941296592354775"/>
        <n v="0.0978943184018135"/>
        <n v="0.151889219880104"/>
        <n v="0.17114420235157"/>
        <n v="0.220831498503685"/>
        <n v="0.223140895366669"/>
        <n v="0.260031580924988"/>
        <n v="0.33738386631012"/>
        <n v="0.357097238302231"/>
        <n v="0.367306679487228"/>
        <n v="0.379629880189896"/>
        <n v="0.409130752086639"/>
        <n v="0.410942554473877"/>
        <n v="0.41372475028038"/>
        <n v="0.515329837799072"/>
        <n v="0.958325803279877"/>
        <n v="2.26911163330078"/>
        <n v="3.38989210128784"/>
        <n v="3.39694428443909"/>
        <n v="5.50433492660523"/>
        <n v="7.64013004302979"/>
        <n v="12.3782367706299"/>
        <n v="12.6405000686646"/>
        <n v="12.6615209579468"/>
        <n v="14.5263233184814"/>
        <n v="15.0587291717529"/>
        <n v="16.9168701171875"/>
        <n v="17.4167613983154"/>
        <n v="20.0840339660645"/>
        <n v="22.9825820922852"/>
        <n v="23.4174785614014"/>
        <n v="23.5996494293213"/>
        <n v="27.3145179748535"/>
        <n v="31.1074275970459"/>
        <n v="35.1427421569824"/>
        <n v="38.8165473937988"/>
        <n v="47.0403213500977"/>
        <n v="67.2983016967773"/>
        <n v="72.9429931640625"/>
        <n v="79.0116806030273"/>
        <n v="80.1594696044922"/>
        <n v="84.3948974609375"/>
        <n v="85.6152496337891"/>
        <n v="91.5502014160156"/>
        <n v="92.6533889770508"/>
        <n v="99.4117889404297"/>
        <n v="114.115257263184"/>
        <n v="116.078369140625"/>
        <n v="127.674812316895"/>
        <n v="128.669647216797"/>
        <n v="131.308654785156"/>
        <n v="137.771224975586"/>
        <n v="140.314895629883"/>
        <n v="141.271102905273"/>
        <n v="143.186187744141"/>
        <n v="145.066665649414"/>
        <n v="147.195129394531"/>
        <n v="151.408615112305"/>
        <n v="163.37434387207"/>
        <n v="186.273712158203"/>
        <n v="190.37043762207"/>
        <n v="228.860305786133"/>
        <n v="253.560028076172"/>
        <n v="342.246215820313"/>
        <n v="368.590606689453"/>
        <n v="378.453094482422"/>
        <n v="382.6044921875"/>
        <n v="400.262939453125"/>
        <n v="442.970458984375"/>
        <n v="639.392333984375"/>
        <n v="716.684997558594"/>
        <m/>
      </sharedItems>
    </cacheField>
    <cacheField name="PoissonConfidenceMin68" numFmtId="0">
      <sharedItems containsString="0" containsBlank="1" containsNumber="1" minValue="0" maxValue="701.820068359375" count="71">
        <n v="0"/>
        <n v="0.0165366064757109"/>
        <n v="0.018632810562849"/>
        <n v="0.0498485825955868"/>
        <n v="0.0503698475658894"/>
        <n v="0.0586965121328831"/>
        <n v="0.102400481700897"/>
        <n v="0.111481465399265"/>
        <n v="0.115221276879311"/>
        <n v="0.128372609615326"/>
        <n v="0.147076010704041"/>
        <n v="0.147727265954018"/>
        <n v="0.148727297782898"/>
        <n v="0.225326806306839"/>
        <n v="0.522745192050934"/>
        <n v="1.56559765338898"/>
        <n v="2.54891324043274"/>
        <n v="2.56867122650147"/>
        <n v="4.41556215286255"/>
        <n v="6.33159065246582"/>
        <n v="10.7583818435669"/>
        <n v="10.842752456665"/>
        <n v="10.9388446807861"/>
        <n v="12.7749757766724"/>
        <n v="13.2289838790894"/>
        <n v="15.0121736526489"/>
        <n v="15.3087682723999"/>
        <n v="17.9285678863525"/>
        <n v="20.7618160247803"/>
        <n v="20.9596881866455"/>
        <n v="21.2489700317383"/>
        <n v="24.787223815918"/>
        <n v="28.3697662353516"/>
        <n v="32.3242416381836"/>
        <n v="35.756721496582"/>
        <n v="43.6599998474121"/>
        <n v="63.3232002258301"/>
        <n v="68.3719940185547"/>
        <n v="74.3653335571289"/>
        <n v="75.7745361328125"/>
        <n v="79.9897232055664"/>
        <n v="80.6634902954102"/>
        <n v="86.9330902099609"/>
        <n v="87.6040725708008"/>
        <n v="94.2986602783203"/>
        <n v="108.742919921875"/>
        <n v="110.240539550781"/>
        <n v="118.946517944336"/>
        <n v="119.905006408691"/>
        <n v="125.148826599121"/>
        <n v="131.53694152832"/>
        <n v="134.550277709961"/>
        <n v="134.955459594727"/>
        <n v="136.682754516602"/>
        <n v="139.065139770508"/>
        <n v="141.0185546875"/>
        <n v="145.145751953125"/>
        <n v="156.260818481445"/>
        <n v="179.285766601563"/>
        <n v="183.544647216797"/>
        <n v="220.916000366211"/>
        <n v="245.501007080078"/>
        <n v="332.399169921875"/>
        <n v="358.177734375"/>
        <n v="367.248199462891"/>
        <n v="371.634979248047"/>
        <n v="389.938568115234"/>
        <n v="431.002380371094"/>
        <n v="623.92333984375"/>
        <n v="701.820068359375"/>
        <m/>
      </sharedItems>
    </cacheField>
    <cacheField name="TotalCNVMax68" numFmtId="0">
      <sharedItems containsString="0" containsBlank="1" count="1">
        <m/>
      </sharedItems>
    </cacheField>
    <cacheField name="TotalCNVMin68" numFmtId="0">
      <sharedItems containsString="0" containsBlank="1" count="1">
        <m/>
      </sharedItems>
    </cacheField>
    <cacheField name="PoissonCNVMax68" numFmtId="0">
      <sharedItems containsString="0" containsBlank="1" containsNumber="1" minValue="0.00397278584404188" maxValue="4.66668992394986" count="31">
        <n v="0.00397278584404188"/>
        <n v="0.00443054944063898"/>
        <n v="0.00808820324836176"/>
        <n v="0.0114854867597321"/>
        <n v="0.19815167777893"/>
        <n v="0.201331541369454"/>
        <n v="0.433686609685528"/>
        <n v="0.464087717544125"/>
        <n v="1.0276850185383"/>
        <n v="1.13622219281564"/>
        <n v="1.18247409603311"/>
        <n v="1.25678586188472"/>
        <n v="1.32520351874714"/>
        <n v="1.3503347010606"/>
        <n v="1.35233618772314"/>
        <n v="1.40928575231009"/>
        <n v="1.56805548106957"/>
        <n v="1.58255833194841"/>
        <n v="1.60017705444944"/>
        <n v="1.73553983462615"/>
        <n v="2.08342099383742"/>
        <n v="2.36378826638623"/>
        <n v="3.3051832499695"/>
        <n v="3.33556025077375"/>
        <n v="3.45392497757632"/>
        <n v="3.45797148930332"/>
        <n v="3.49341815465149"/>
        <n v="3.65035426981142"/>
        <n v="4.32257273246786"/>
        <n v="4.66668992394986"/>
        <m/>
      </sharedItems>
    </cacheField>
    <cacheField name="PoissonCNVMin68" numFmtId="0">
      <sharedItems containsString="0" containsBlank="1" containsNumber="1" minValue="0" maxValue="4.43307564686154" count="31">
        <n v="0"/>
        <n v="0.00111925340850761"/>
        <n v="0.00164656163846568"/>
        <n v="0.00260873417658691"/>
        <n v="0.15007600313195"/>
        <n v="0.168448011511096"/>
        <n v="0.391774215903846"/>
        <n v="0.402162521498439"/>
        <n v="0.488797906384082"/>
        <n v="0.978938223015741"/>
        <n v="1.04495915497209"/>
        <n v="1.05901420433243"/>
        <n v="1.09561696015994"/>
        <n v="1.14610414078338"/>
        <n v="1.18175986654966"/>
        <n v="1.25795001572099"/>
        <n v="1.31594664507943"/>
        <n v="1.34958565247281"/>
        <n v="1.35028123824026"/>
        <n v="1.55323640990035"/>
        <n v="1.88514652687529"/>
        <n v="2.27119616354197"/>
        <n v="3.07051957189629"/>
        <n v="3.15818086378645"/>
        <n v="3.23036770444689"/>
        <n v="3.23910098404324"/>
        <n v="3.32256888366706"/>
        <n v="3.53008676773679"/>
        <n v="4.05725132857319"/>
        <n v="4.43307564686154"/>
        <m/>
      </sharedItems>
    </cacheField>
    <cacheField name="TotalRatioMax68" numFmtId="0">
      <sharedItems containsString="0" containsBlank="1" count="1">
        <m/>
      </sharedItems>
    </cacheField>
    <cacheField name="TotalRatioMin68" numFmtId="0">
      <sharedItems containsString="0" containsBlank="1" count="1">
        <m/>
      </sharedItems>
    </cacheField>
    <cacheField name="PoissonRatioMax68" numFmtId="0">
      <sharedItems containsString="0" containsBlank="1" containsNumber="1" minValue="0.00198639292202094" maxValue="2.33334496197493" count="31">
        <n v="0.00198639292202094"/>
        <n v="0.00221527472031949"/>
        <n v="0.00404410162418088"/>
        <n v="0.00574274337986607"/>
        <n v="0.0990758388894649"/>
        <n v="0.100665770684727"/>
        <n v="0.216843304842764"/>
        <n v="0.232043858772062"/>
        <n v="0.513842509269151"/>
        <n v="0.568111096407819"/>
        <n v="0.591237048016554"/>
        <n v="0.628392930942359"/>
        <n v="0.662601759373568"/>
        <n v="0.6751673505303"/>
        <n v="0.676168093861571"/>
        <n v="0.704642876155044"/>
        <n v="0.784027740534787"/>
        <n v="0.791279165974205"/>
        <n v="0.80008852722472"/>
        <n v="0.867769917313076"/>
        <n v="1.04171049691871"/>
        <n v="1.18189413319312"/>
        <n v="1.65259162498475"/>
        <n v="1.66778012538688"/>
        <n v="1.72696248878816"/>
        <n v="1.72898574465166"/>
        <n v="1.74670907732575"/>
        <n v="1.82517713490571"/>
        <n v="2.16128636623393"/>
        <n v="2.33334496197493"/>
        <m/>
      </sharedItems>
    </cacheField>
    <cacheField name="PoissonRatioMin68" numFmtId="0">
      <sharedItems containsString="0" containsBlank="1" containsNumber="1" minValue="0" maxValue="2.21653782343077" count="31">
        <n v="0"/>
        <n v="0.000559626704253803"/>
        <n v="0.000823280819232841"/>
        <n v="0.00130436708829345"/>
        <n v="0.075038001565975"/>
        <n v="0.0842240057555481"/>
        <n v="0.195887107951923"/>
        <n v="0.201081260749219"/>
        <n v="0.244398953192041"/>
        <n v="0.48946911150787"/>
        <n v="0.522479577486043"/>
        <n v="0.529507102166215"/>
        <n v="0.54780848007997"/>
        <n v="0.573052070391688"/>
        <n v="0.590879933274831"/>
        <n v="0.628975007860493"/>
        <n v="0.657973322539715"/>
        <n v="0.674792826236403"/>
        <n v="0.67514061912013"/>
        <n v="0.776618204950173"/>
        <n v="0.942573263437643"/>
        <n v="1.13559808177099"/>
        <n v="1.53525978594814"/>
        <n v="1.57909043189323"/>
        <n v="1.61518385222345"/>
        <n v="1.61955049202162"/>
        <n v="1.66128444183353"/>
        <n v="1.76504338386839"/>
        <n v="2.0286256642866"/>
        <n v="2.21653782343077"/>
        <m/>
      </sharedItems>
    </cacheField>
    <cacheField name="TotalFractionalAbundanceMax68" numFmtId="0">
      <sharedItems containsString="0" containsBlank="1" count="1">
        <m/>
      </sharedItems>
    </cacheField>
    <cacheField name="TotalFractionalAbundanceMin68" numFmtId="0">
      <sharedItems containsString="0" containsBlank="1" count="1">
        <m/>
      </sharedItems>
    </cacheField>
    <cacheField name="PoissonFractionalAbundanceMax68" numFmtId="0">
      <sharedItems containsString="0" containsBlank="1" containsNumber="1" minValue="0.198279157805148" maxValue="168.450736901441" count="40">
        <n v="0.198279157805148"/>
        <n v="0.221106000989365"/>
        <n v="0.402967176191676"/>
        <n v="0.571898033533225"/>
        <n v="9.01867814660477"/>
        <n v="9.15850386940528"/>
        <n v="17.8263499468874"/>
        <n v="18.8472020739949"/>
        <n v="34.5732928590184"/>
        <n v="36.238912602047"/>
        <n v="37.167840885792"/>
        <n v="38.5980989477663"/>
        <n v="39.9697140039895"/>
        <n v="40.3522759493442"/>
        <n v="40.3634690445626"/>
        <n v="41.6029087958318"/>
        <n v="44.0026002187504"/>
        <n v="44.2573569499353"/>
        <n v="44.5194034553237"/>
        <n v="46.4937081249975"/>
        <n v="51.0517830992635"/>
        <n v="54.1735318806687"/>
        <n v="62.3084605544449"/>
        <n v="62.539967959382"/>
        <n v="63.3346102412596"/>
        <n v="63.3729658551846"/>
        <n v="63.6132377288632"/>
        <n v="64.6080850802771"/>
        <n v="68.3818368880225"/>
        <n v="70.0096456037553"/>
        <n v="117.111270157283"/>
        <n v="117.111274940493"/>
        <n v="117.111429424609"/>
        <n v="122.815535582166"/>
        <n v="122.815628815167"/>
        <n v="134.22437619416"/>
        <n v="134.224467828956"/>
        <n v="134.224469168557"/>
        <n v="168.450736901441"/>
        <m/>
      </sharedItems>
    </cacheField>
    <cacheField name="PoissonFractionalAbundanceMin68" numFmtId="0">
      <sharedItems containsString="0" containsBlank="1" containsNumber="1" minValue="0" maxValue="82.8887298427175" count="40">
        <n v="0"/>
        <n v="0.0559996710059752"/>
        <n v="0.0822940567235495"/>
        <n v="0.130453203948868"/>
        <n v="6.99293866534212"/>
        <n v="7.7724048642417"/>
        <n v="16.3863752383204"/>
        <n v="16.755169217663"/>
        <n v="20.4067712710168"/>
        <n v="31.5492630985587"/>
        <n v="33.166666740349"/>
        <n v="34.4447961151187"/>
        <n v="34.6296146476518"/>
        <n v="35.4048897676067"/>
        <n v="36.4921407016342"/>
        <n v="37.1502402358818"/>
        <n v="38.6242198666494"/>
        <n v="39.7754874614239"/>
        <n v="40.3626695769344"/>
        <n v="40.3687526247152"/>
        <n v="43.7484980888701"/>
        <n v="48.5537610690504"/>
        <n v="53.1800937695107"/>
        <n v="60.5818979466271"/>
        <n v="61.2342938309962"/>
        <n v="61.7791101130085"/>
        <n v="61.8469464402289"/>
        <n v="62.4297422187624"/>
        <n v="63.8383869941882"/>
        <n v="65.7755308314425"/>
        <n v="65.7755321710441"/>
        <n v="65.7756238058398"/>
        <n v="66.9968893317162"/>
        <n v="68.9205592403267"/>
        <n v="77.1843711848328"/>
        <n v="77.1844644178336"/>
        <n v="82.8885705753905"/>
        <n v="82.8887250595074"/>
        <n v="82.8887298427175"/>
        <m/>
      </sharedItems>
    </cacheField>
    <cacheField name="TiltCorrected" numFmtId="0">
      <sharedItems containsBlank="1" count="2">
        <s v="No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727" createdVersion="3">
  <cacheSource type="worksheet">
    <worksheetSource ref="A7:BV734" sheet="VCN - Input"/>
  </cacheSource>
  <cacheFields count="74">
    <cacheField name="VCN_replicate" numFmtId="0">
      <sharedItems containsBlank="1" count="3">
        <s v="VCN_replicate 1"/>
        <s v="VCN_replicate 2"/>
        <m/>
      </sharedItems>
    </cacheField>
    <cacheField name="Well" numFmtId="0">
      <sharedItems containsString="0" containsBlank="1" count="1">
        <m/>
      </sharedItems>
    </cacheField>
    <cacheField name="Sample description 1" numFmtId="0">
      <sharedItems containsString="0" containsBlank="1" count="1">
        <m/>
      </sharedItems>
    </cacheField>
    <cacheField name="Sample description 2" numFmtId="0">
      <sharedItems containsString="0" containsBlank="1" count="1">
        <m/>
      </sharedItems>
    </cacheField>
    <cacheField name="Sample description 3" numFmtId="0">
      <sharedItems containsString="0" containsBlank="1" count="1">
        <m/>
      </sharedItems>
    </cacheField>
    <cacheField name="Sample description 4" numFmtId="0">
      <sharedItems containsString="0" containsBlank="1" count="1">
        <m/>
      </sharedItems>
    </cacheField>
    <cacheField name="Target" numFmtId="0">
      <sharedItems containsString="0" containsBlank="1" count="1">
        <m/>
      </sharedItems>
    </cacheField>
    <cacheField name="Conc(copies/µL)" numFmtId="0">
      <sharedItems containsString="0" containsBlank="1" count="1">
        <m/>
      </sharedItems>
    </cacheField>
    <cacheField name="Molecular Weight(pg/µL)" numFmtId="0">
      <sharedItems containsString="0" containsBlank="1" count="1">
        <m/>
      </sharedItems>
    </cacheField>
    <cacheField name="Status" numFmtId="0">
      <sharedItems containsString="0" containsBlank="1" count="1">
        <m/>
      </sharedItems>
    </cacheField>
    <cacheField name="Status Reason" numFmtId="0">
      <sharedItems containsString="0" containsBlank="1" count="1">
        <m/>
      </sharedItems>
    </cacheField>
    <cacheField name="Experiment" numFmtId="0">
      <sharedItems containsString="0" containsBlank="1" count="1">
        <m/>
      </sharedItems>
    </cacheField>
    <cacheField name="SampleType" numFmtId="0">
      <sharedItems containsString="0" containsBlank="1" count="1">
        <m/>
      </sharedItems>
    </cacheField>
    <cacheField name="TargetType" numFmtId="0">
      <sharedItems containsString="0" containsBlank="1" count="1">
        <m/>
      </sharedItems>
    </cacheField>
    <cacheField name="Supermix" numFmtId="0">
      <sharedItems containsString="0" containsBlank="1" count="1">
        <m/>
      </sharedItems>
    </cacheField>
    <cacheField name="DyeName(s)" numFmtId="0">
      <sharedItems containsString="0" containsBlank="1" count="1">
        <m/>
      </sharedItems>
    </cacheField>
    <cacheField name="Copies/20µLWell" numFmtId="0">
      <sharedItems containsString="0" containsBlank="1" count="1">
        <m/>
      </sharedItems>
    </cacheField>
    <cacheField name="TotalConfMax" numFmtId="0">
      <sharedItems containsString="0" containsBlank="1" count="1">
        <m/>
      </sharedItems>
    </cacheField>
    <cacheField name="TotalConfMin" numFmtId="0">
      <sharedItems containsString="0" containsBlank="1" count="1">
        <m/>
      </sharedItems>
    </cacheField>
    <cacheField name="PoissonConfMax" numFmtId="0">
      <sharedItems containsString="0" containsBlank="1" count="1">
        <m/>
      </sharedItems>
    </cacheField>
    <cacheField name="PoissonConfMin" numFmtId="0">
      <sharedItems containsString="0" containsBlank="1" count="1">
        <m/>
      </sharedItems>
    </cacheField>
    <cacheField name="Accepted Droplets" numFmtId="0">
      <sharedItems containsString="0" containsBlank="1" count="1">
        <m/>
      </sharedItems>
    </cacheField>
    <cacheField name="Positives" numFmtId="0">
      <sharedItems containsString="0" containsBlank="1" count="1">
        <m/>
      </sharedItems>
    </cacheField>
    <cacheField name="Negatives" numFmtId="0">
      <sharedItems containsString="0" containsBlank="1" count="1">
        <m/>
      </sharedItems>
    </cacheField>
    <cacheField name="Ch1+Ch2+" numFmtId="0">
      <sharedItems containsString="0" containsBlank="1" count="1">
        <m/>
      </sharedItems>
    </cacheField>
    <cacheField name="Ch1+Ch2-" numFmtId="0">
      <sharedItems containsString="0" containsBlank="1" count="1">
        <m/>
      </sharedItems>
    </cacheField>
    <cacheField name="Ch1-Ch2+" numFmtId="0">
      <sharedItems containsString="0" containsBlank="1" count="1">
        <m/>
      </sharedItems>
    </cacheField>
    <cacheField name="Ch1-Ch2-" numFmtId="0">
      <sharedItems containsString="0" containsBlank="1" count="1">
        <m/>
      </sharedItems>
    </cacheField>
    <cacheField name="Linkage" numFmtId="0">
      <sharedItems containsString="0" containsBlank="1" count="1">
        <m/>
      </sharedItems>
    </cacheField>
    <cacheField name="CNV" numFmtId="0">
      <sharedItems containsString="0" containsBlank="1" count="1">
        <m/>
      </sharedItems>
    </cacheField>
    <cacheField name="TotalCNVMax" numFmtId="0">
      <sharedItems containsString="0" containsBlank="1" count="1">
        <m/>
      </sharedItems>
    </cacheField>
    <cacheField name="TotalCNVMin" numFmtId="0">
      <sharedItems containsString="0" containsBlank="1" count="1">
        <m/>
      </sharedItems>
    </cacheField>
    <cacheField name="PoissonCNVMax" numFmtId="0">
      <sharedItems containsString="0" containsBlank="1" count="1">
        <m/>
      </sharedItems>
    </cacheField>
    <cacheField name="PoissonCNVMin" numFmtId="0">
      <sharedItems containsString="0" containsBlank="1" count="1">
        <m/>
      </sharedItems>
    </cacheField>
    <cacheField name="ReferenceCopies" numFmtId="0">
      <sharedItems containsString="0" containsBlank="1" count="1">
        <m/>
      </sharedItems>
    </cacheField>
    <cacheField name="UnknownCopies" numFmtId="0">
      <sharedItems containsString="0" containsBlank="1" count="1">
        <m/>
      </sharedItems>
    </cacheField>
    <cacheField name="Threshold1" numFmtId="0">
      <sharedItems containsString="0" containsBlank="1" count="1">
        <m/>
      </sharedItems>
    </cacheField>
    <cacheField name="Threshold2" numFmtId="0">
      <sharedItems containsString="0" containsBlank="1" count="1">
        <m/>
      </sharedItems>
    </cacheField>
    <cacheField name="Threshold3" numFmtId="0">
      <sharedItems containsString="0" containsBlank="1" count="1">
        <m/>
      </sharedItems>
    </cacheField>
    <cacheField name="ThresholdSigmaAbove" numFmtId="0">
      <sharedItems containsString="0" containsBlank="1" count="1">
        <m/>
      </sharedItems>
    </cacheField>
    <cacheField name="ThresholdSigmaBelow" numFmtId="0">
      <sharedItems containsString="0" containsBlank="1" count="1">
        <m/>
      </sharedItems>
    </cacheField>
    <cacheField name="ReferenceUsed" numFmtId="0">
      <sharedItems containsString="0" containsBlank="1" count="1">
        <m/>
      </sharedItems>
    </cacheField>
    <cacheField name="Ratio" numFmtId="0">
      <sharedItems containsString="0" containsBlank="1" count="1">
        <m/>
      </sharedItems>
    </cacheField>
    <cacheField name="TotalRatioMax" numFmtId="0">
      <sharedItems containsString="0" containsBlank="1" count="1">
        <m/>
      </sharedItems>
    </cacheField>
    <cacheField name="TotalRatioMin" numFmtId="0">
      <sharedItems containsString="0" containsBlank="1" count="1">
        <m/>
      </sharedItems>
    </cacheField>
    <cacheField name="PoissonRatioMax" numFmtId="0">
      <sharedItems containsString="0" containsBlank="1" count="1">
        <m/>
      </sharedItems>
    </cacheField>
    <cacheField name="PoissonRatioMin" numFmtId="0">
      <sharedItems containsString="0" containsBlank="1" count="1">
        <m/>
      </sharedItems>
    </cacheField>
    <cacheField name="Fractional Abundance" numFmtId="0">
      <sharedItems containsString="0" containsBlank="1" count="1">
        <m/>
      </sharedItems>
    </cacheField>
    <cacheField name="TotalFractionalAbundanceMax" numFmtId="0">
      <sharedItems containsString="0" containsBlank="1" count="1">
        <m/>
      </sharedItems>
    </cacheField>
    <cacheField name="TotalFractionalAbundanceMin" numFmtId="0">
      <sharedItems containsString="0" containsBlank="1" count="1">
        <m/>
      </sharedItems>
    </cacheField>
    <cacheField name="PoissonFractionalAbundanceMax" numFmtId="0">
      <sharedItems containsString="0" containsBlank="1" count="1">
        <m/>
      </sharedItems>
    </cacheField>
    <cacheField name="PoissonFractionalAbundanceMin" numFmtId="0">
      <sharedItems containsString="0" containsBlank="1" count="1">
        <m/>
      </sharedItems>
    </cacheField>
    <cacheField name="MeanAmplitudeOfPositives" numFmtId="0">
      <sharedItems containsString="0" containsBlank="1" count="1">
        <m/>
      </sharedItems>
    </cacheField>
    <cacheField name="MeanAmplitudeOfNegatives" numFmtId="0">
      <sharedItems containsString="0" containsBlank="1" count="1">
        <m/>
      </sharedItems>
    </cacheField>
    <cacheField name="MeanAmplitudeTotal" numFmtId="0">
      <sharedItems containsString="0" containsBlank="1" count="1">
        <m/>
      </sharedItems>
    </cacheField>
    <cacheField name="ExperimentComments" numFmtId="0">
      <sharedItems containsString="0" containsBlank="1" count="1">
        <m/>
      </sharedItems>
    </cacheField>
    <cacheField name="MergedWells" numFmtId="0">
      <sharedItems containsString="0" containsBlank="1" count="1">
        <m/>
      </sharedItems>
    </cacheField>
    <cacheField name="TotalConfidenceMax68" numFmtId="0">
      <sharedItems containsString="0" containsBlank="1" count="1">
        <m/>
      </sharedItems>
    </cacheField>
    <cacheField name="TotalConfidenceMin68" numFmtId="0">
      <sharedItems containsString="0" containsBlank="1" count="1">
        <m/>
      </sharedItems>
    </cacheField>
    <cacheField name="PoissonConfidenceMax68" numFmtId="0">
      <sharedItems containsString="0" containsBlank="1" count="1">
        <m/>
      </sharedItems>
    </cacheField>
    <cacheField name="PoissonConfidenceMin68" numFmtId="0">
      <sharedItems containsString="0" containsBlank="1" count="1">
        <m/>
      </sharedItems>
    </cacheField>
    <cacheField name="TotalCNVMax68" numFmtId="0">
      <sharedItems containsString="0" containsBlank="1" count="1">
        <m/>
      </sharedItems>
    </cacheField>
    <cacheField name="TotalCNVMin68" numFmtId="0">
      <sharedItems containsString="0" containsBlank="1" count="1">
        <m/>
      </sharedItems>
    </cacheField>
    <cacheField name="PoissonCNVMax68" numFmtId="0">
      <sharedItems containsString="0" containsBlank="1" count="1">
        <m/>
      </sharedItems>
    </cacheField>
    <cacheField name="PoissonCNVMin68" numFmtId="0">
      <sharedItems containsString="0" containsBlank="1" count="1">
        <m/>
      </sharedItems>
    </cacheField>
    <cacheField name="TotalRatioMax68" numFmtId="0">
      <sharedItems containsString="0" containsBlank="1" count="1">
        <m/>
      </sharedItems>
    </cacheField>
    <cacheField name="TotalRatioMin68" numFmtId="0">
      <sharedItems containsString="0" containsBlank="1" count="1">
        <m/>
      </sharedItems>
    </cacheField>
    <cacheField name="PoissonRatioMax68" numFmtId="0">
      <sharedItems containsString="0" containsBlank="1" count="1">
        <m/>
      </sharedItems>
    </cacheField>
    <cacheField name="PoissonRatioMin68" numFmtId="0">
      <sharedItems containsString="0" containsBlank="1" count="1">
        <m/>
      </sharedItems>
    </cacheField>
    <cacheField name="TotalFractionalAbundanceMax68" numFmtId="0">
      <sharedItems containsString="0" containsBlank="1" count="1">
        <m/>
      </sharedItems>
    </cacheField>
    <cacheField name="TotalFractionalAbundanceMin68" numFmtId="0">
      <sharedItems containsString="0" containsBlank="1" count="1">
        <m/>
      </sharedItems>
    </cacheField>
    <cacheField name="PoissonFractionalAbundanceMax68" numFmtId="0">
      <sharedItems containsString="0" containsBlank="1" count="1">
        <m/>
      </sharedItems>
    </cacheField>
    <cacheField name="PoissonFractionalAbundanceMin68" numFmtId="0">
      <sharedItems containsString="0" containsBlank="1" count="1">
        <m/>
      </sharedItems>
    </cacheField>
    <cacheField name="TiltCorrected" numFmtId="0">
      <sharedItems containsString="0" containsBlank="1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3">
  <r>
    <x v="0"/>
    <x v="0"/>
    <x v="4"/>
    <x v="1"/>
    <x v="1"/>
    <x v="1"/>
    <x v="0"/>
    <x v="11"/>
    <x v="0"/>
    <x v="0"/>
    <x v="0"/>
    <x v="0"/>
    <x v="1"/>
    <x v="0"/>
    <x v="0"/>
    <x v="0"/>
    <x v="11"/>
    <x v="0"/>
    <x v="0"/>
    <x v="20"/>
    <x v="11"/>
    <x v="16"/>
    <x v="4"/>
    <x v="43"/>
    <x v="0"/>
    <x v="4"/>
    <x v="0"/>
    <x v="26"/>
    <x v="0"/>
    <x v="30"/>
    <x v="0"/>
    <x v="0"/>
    <x v="30"/>
    <x v="28"/>
    <x v="1"/>
    <x v="0"/>
    <x v="0"/>
    <x v="0"/>
    <x v="0"/>
    <x v="9"/>
    <x v="55"/>
    <x v="0"/>
    <x v="30"/>
    <x v="0"/>
    <x v="0"/>
    <x v="30"/>
    <x v="28"/>
    <x v="30"/>
    <x v="0"/>
    <x v="0"/>
    <x v="30"/>
    <x v="32"/>
    <x v="12"/>
    <x v="4"/>
    <x v="2"/>
    <x v="0"/>
    <x v="0"/>
    <x v="0"/>
    <x v="0"/>
    <x v="20"/>
    <x v="11"/>
    <x v="0"/>
    <x v="0"/>
    <x v="30"/>
    <x v="30"/>
    <x v="0"/>
    <x v="0"/>
    <x v="30"/>
    <x v="30"/>
    <x v="0"/>
    <x v="0"/>
    <x v="30"/>
    <x v="38"/>
    <x v="0"/>
  </r>
  <r>
    <x v="2"/>
    <x v="0"/>
    <x v="4"/>
    <x v="1"/>
    <x v="1"/>
    <x v="1"/>
    <x v="1"/>
    <x v="0"/>
    <x v="0"/>
    <x v="0"/>
    <x v="0"/>
    <x v="0"/>
    <x v="1"/>
    <x v="0"/>
    <x v="0"/>
    <x v="1"/>
    <x v="0"/>
    <x v="0"/>
    <x v="0"/>
    <x v="5"/>
    <x v="0"/>
    <x v="16"/>
    <x v="0"/>
    <x v="44"/>
    <x v="0"/>
    <x v="4"/>
    <x v="0"/>
    <x v="26"/>
    <x v="0"/>
    <x v="30"/>
    <x v="0"/>
    <x v="0"/>
    <x v="30"/>
    <x v="28"/>
    <x v="1"/>
    <x v="0"/>
    <x v="1"/>
    <x v="0"/>
    <x v="0"/>
    <x v="67"/>
    <x v="72"/>
    <x v="1"/>
    <x v="30"/>
    <x v="0"/>
    <x v="0"/>
    <x v="30"/>
    <x v="28"/>
    <x v="31"/>
    <x v="0"/>
    <x v="0"/>
    <x v="39"/>
    <x v="36"/>
    <x v="69"/>
    <x v="61"/>
    <x v="41"/>
    <x v="0"/>
    <x v="0"/>
    <x v="0"/>
    <x v="0"/>
    <x v="5"/>
    <x v="0"/>
    <x v="0"/>
    <x v="0"/>
    <x v="30"/>
    <x v="30"/>
    <x v="0"/>
    <x v="0"/>
    <x v="30"/>
    <x v="30"/>
    <x v="0"/>
    <x v="0"/>
    <x v="39"/>
    <x v="39"/>
    <x v="0"/>
  </r>
  <r>
    <x v="1"/>
    <x v="1"/>
    <x v="4"/>
    <x v="1"/>
    <x v="1"/>
    <x v="1"/>
    <x v="0"/>
    <x v="6"/>
    <x v="0"/>
    <x v="0"/>
    <x v="0"/>
    <x v="0"/>
    <x v="1"/>
    <x v="0"/>
    <x v="0"/>
    <x v="0"/>
    <x v="6"/>
    <x v="0"/>
    <x v="0"/>
    <x v="15"/>
    <x v="6"/>
    <x v="13"/>
    <x v="3"/>
    <x v="38"/>
    <x v="0"/>
    <x v="3"/>
    <x v="0"/>
    <x v="24"/>
    <x v="0"/>
    <x v="30"/>
    <x v="0"/>
    <x v="0"/>
    <x v="30"/>
    <x v="28"/>
    <x v="1"/>
    <x v="0"/>
    <x v="0"/>
    <x v="0"/>
    <x v="0"/>
    <x v="5"/>
    <x v="44"/>
    <x v="0"/>
    <x v="30"/>
    <x v="0"/>
    <x v="0"/>
    <x v="30"/>
    <x v="28"/>
    <x v="30"/>
    <x v="0"/>
    <x v="0"/>
    <x v="34"/>
    <x v="22"/>
    <x v="8"/>
    <x v="17"/>
    <x v="11"/>
    <x v="0"/>
    <x v="0"/>
    <x v="0"/>
    <x v="0"/>
    <x v="15"/>
    <x v="6"/>
    <x v="0"/>
    <x v="0"/>
    <x v="30"/>
    <x v="30"/>
    <x v="0"/>
    <x v="0"/>
    <x v="30"/>
    <x v="30"/>
    <x v="0"/>
    <x v="0"/>
    <x v="34"/>
    <x v="34"/>
    <x v="0"/>
  </r>
  <r>
    <x v="2"/>
    <x v="1"/>
    <x v="4"/>
    <x v="1"/>
    <x v="1"/>
    <x v="1"/>
    <x v="1"/>
    <x v="0"/>
    <x v="0"/>
    <x v="0"/>
    <x v="0"/>
    <x v="0"/>
    <x v="1"/>
    <x v="0"/>
    <x v="0"/>
    <x v="1"/>
    <x v="0"/>
    <x v="0"/>
    <x v="0"/>
    <x v="6"/>
    <x v="0"/>
    <x v="13"/>
    <x v="0"/>
    <x v="39"/>
    <x v="0"/>
    <x v="3"/>
    <x v="0"/>
    <x v="24"/>
    <x v="0"/>
    <x v="30"/>
    <x v="0"/>
    <x v="0"/>
    <x v="30"/>
    <x v="28"/>
    <x v="1"/>
    <x v="0"/>
    <x v="1"/>
    <x v="0"/>
    <x v="0"/>
    <x v="67"/>
    <x v="73"/>
    <x v="1"/>
    <x v="30"/>
    <x v="0"/>
    <x v="0"/>
    <x v="30"/>
    <x v="28"/>
    <x v="31"/>
    <x v="0"/>
    <x v="0"/>
    <x v="39"/>
    <x v="36"/>
    <x v="69"/>
    <x v="55"/>
    <x v="38"/>
    <x v="0"/>
    <x v="0"/>
    <x v="0"/>
    <x v="0"/>
    <x v="6"/>
    <x v="0"/>
    <x v="0"/>
    <x v="0"/>
    <x v="30"/>
    <x v="30"/>
    <x v="0"/>
    <x v="0"/>
    <x v="30"/>
    <x v="30"/>
    <x v="0"/>
    <x v="0"/>
    <x v="39"/>
    <x v="39"/>
    <x v="0"/>
  </r>
  <r>
    <x v="0"/>
    <x v="2"/>
    <x v="7"/>
    <x v="1"/>
    <x v="2"/>
    <x v="3"/>
    <x v="0"/>
    <x v="59"/>
    <x v="0"/>
    <x v="0"/>
    <x v="0"/>
    <x v="0"/>
    <x v="1"/>
    <x v="0"/>
    <x v="0"/>
    <x v="0"/>
    <x v="59"/>
    <x v="0"/>
    <x v="0"/>
    <x v="68"/>
    <x v="59"/>
    <x v="33"/>
    <x v="51"/>
    <x v="36"/>
    <x v="18"/>
    <x v="25"/>
    <x v="16"/>
    <x v="14"/>
    <x v="16"/>
    <x v="28"/>
    <x v="0"/>
    <x v="0"/>
    <x v="28"/>
    <x v="26"/>
    <x v="0"/>
    <x v="0"/>
    <x v="0"/>
    <x v="0"/>
    <x v="0"/>
    <x v="31"/>
    <x v="32"/>
    <x v="0"/>
    <x v="28"/>
    <x v="0"/>
    <x v="0"/>
    <x v="28"/>
    <x v="26"/>
    <x v="28"/>
    <x v="0"/>
    <x v="0"/>
    <x v="28"/>
    <x v="34"/>
    <x v="61"/>
    <x v="19"/>
    <x v="42"/>
    <x v="0"/>
    <x v="0"/>
    <x v="0"/>
    <x v="0"/>
    <x v="68"/>
    <x v="59"/>
    <x v="0"/>
    <x v="0"/>
    <x v="28"/>
    <x v="28"/>
    <x v="0"/>
    <x v="0"/>
    <x v="28"/>
    <x v="28"/>
    <x v="0"/>
    <x v="0"/>
    <x v="28"/>
    <x v="32"/>
    <x v="0"/>
  </r>
  <r>
    <x v="2"/>
    <x v="2"/>
    <x v="7"/>
    <x v="1"/>
    <x v="2"/>
    <x v="3"/>
    <x v="1"/>
    <x v="42"/>
    <x v="0"/>
    <x v="0"/>
    <x v="0"/>
    <x v="0"/>
    <x v="1"/>
    <x v="0"/>
    <x v="0"/>
    <x v="1"/>
    <x v="42"/>
    <x v="0"/>
    <x v="0"/>
    <x v="51"/>
    <x v="42"/>
    <x v="33"/>
    <x v="38"/>
    <x v="54"/>
    <x v="18"/>
    <x v="25"/>
    <x v="16"/>
    <x v="14"/>
    <x v="16"/>
    <x v="30"/>
    <x v="0"/>
    <x v="0"/>
    <x v="30"/>
    <x v="28"/>
    <x v="1"/>
    <x v="0"/>
    <x v="1"/>
    <x v="0"/>
    <x v="0"/>
    <x v="55"/>
    <x v="10"/>
    <x v="1"/>
    <x v="30"/>
    <x v="0"/>
    <x v="0"/>
    <x v="30"/>
    <x v="28"/>
    <x v="31"/>
    <x v="0"/>
    <x v="0"/>
    <x v="39"/>
    <x v="36"/>
    <x v="24"/>
    <x v="69"/>
    <x v="60"/>
    <x v="0"/>
    <x v="0"/>
    <x v="0"/>
    <x v="0"/>
    <x v="51"/>
    <x v="42"/>
    <x v="0"/>
    <x v="0"/>
    <x v="30"/>
    <x v="30"/>
    <x v="0"/>
    <x v="0"/>
    <x v="30"/>
    <x v="30"/>
    <x v="0"/>
    <x v="0"/>
    <x v="39"/>
    <x v="39"/>
    <x v="0"/>
  </r>
  <r>
    <x v="1"/>
    <x v="3"/>
    <x v="7"/>
    <x v="1"/>
    <x v="2"/>
    <x v="3"/>
    <x v="0"/>
    <x v="62"/>
    <x v="0"/>
    <x v="0"/>
    <x v="0"/>
    <x v="0"/>
    <x v="1"/>
    <x v="0"/>
    <x v="0"/>
    <x v="0"/>
    <x v="62"/>
    <x v="0"/>
    <x v="0"/>
    <x v="71"/>
    <x v="62"/>
    <x v="20"/>
    <x v="55"/>
    <x v="9"/>
    <x v="22"/>
    <x v="27"/>
    <x v="17"/>
    <x v="5"/>
    <x v="25"/>
    <x v="29"/>
    <x v="0"/>
    <x v="0"/>
    <x v="29"/>
    <x v="27"/>
    <x v="0"/>
    <x v="0"/>
    <x v="0"/>
    <x v="0"/>
    <x v="0"/>
    <x v="29"/>
    <x v="22"/>
    <x v="0"/>
    <x v="29"/>
    <x v="0"/>
    <x v="0"/>
    <x v="29"/>
    <x v="27"/>
    <x v="29"/>
    <x v="0"/>
    <x v="0"/>
    <x v="29"/>
    <x v="35"/>
    <x v="62"/>
    <x v="22"/>
    <x v="70"/>
    <x v="0"/>
    <x v="0"/>
    <x v="0"/>
    <x v="0"/>
    <x v="71"/>
    <x v="62"/>
    <x v="0"/>
    <x v="0"/>
    <x v="29"/>
    <x v="29"/>
    <x v="0"/>
    <x v="0"/>
    <x v="29"/>
    <x v="29"/>
    <x v="0"/>
    <x v="0"/>
    <x v="29"/>
    <x v="33"/>
    <x v="0"/>
  </r>
  <r>
    <x v="2"/>
    <x v="3"/>
    <x v="7"/>
    <x v="1"/>
    <x v="2"/>
    <x v="3"/>
    <x v="1"/>
    <x v="56"/>
    <x v="0"/>
    <x v="0"/>
    <x v="0"/>
    <x v="0"/>
    <x v="1"/>
    <x v="0"/>
    <x v="0"/>
    <x v="1"/>
    <x v="56"/>
    <x v="0"/>
    <x v="0"/>
    <x v="65"/>
    <x v="56"/>
    <x v="20"/>
    <x v="48"/>
    <x v="26"/>
    <x v="22"/>
    <x v="27"/>
    <x v="17"/>
    <x v="5"/>
    <x v="25"/>
    <x v="30"/>
    <x v="0"/>
    <x v="0"/>
    <x v="30"/>
    <x v="28"/>
    <x v="1"/>
    <x v="0"/>
    <x v="1"/>
    <x v="0"/>
    <x v="0"/>
    <x v="28"/>
    <x v="5"/>
    <x v="1"/>
    <x v="30"/>
    <x v="0"/>
    <x v="0"/>
    <x v="30"/>
    <x v="28"/>
    <x v="31"/>
    <x v="0"/>
    <x v="0"/>
    <x v="39"/>
    <x v="36"/>
    <x v="48"/>
    <x v="75"/>
    <x v="68"/>
    <x v="0"/>
    <x v="0"/>
    <x v="0"/>
    <x v="0"/>
    <x v="65"/>
    <x v="56"/>
    <x v="0"/>
    <x v="0"/>
    <x v="30"/>
    <x v="30"/>
    <x v="0"/>
    <x v="0"/>
    <x v="30"/>
    <x v="30"/>
    <x v="0"/>
    <x v="0"/>
    <x v="39"/>
    <x v="39"/>
    <x v="0"/>
  </r>
  <r>
    <x v="0"/>
    <x v="4"/>
    <x v="15"/>
    <x v="1"/>
    <x v="2"/>
    <x v="3"/>
    <x v="0"/>
    <x v="63"/>
    <x v="0"/>
    <x v="0"/>
    <x v="0"/>
    <x v="0"/>
    <x v="1"/>
    <x v="0"/>
    <x v="0"/>
    <x v="0"/>
    <x v="63"/>
    <x v="0"/>
    <x v="0"/>
    <x v="72"/>
    <x v="63"/>
    <x v="18"/>
    <x v="57"/>
    <x v="7"/>
    <x v="23"/>
    <x v="28"/>
    <x v="25"/>
    <x v="4"/>
    <x v="21"/>
    <x v="23"/>
    <x v="0"/>
    <x v="0"/>
    <x v="22"/>
    <x v="21"/>
    <x v="0"/>
    <x v="0"/>
    <x v="0"/>
    <x v="0"/>
    <x v="0"/>
    <x v="27"/>
    <x v="11"/>
    <x v="0"/>
    <x v="23"/>
    <x v="0"/>
    <x v="0"/>
    <x v="22"/>
    <x v="21"/>
    <x v="23"/>
    <x v="0"/>
    <x v="0"/>
    <x v="22"/>
    <x v="26"/>
    <x v="59"/>
    <x v="25"/>
    <x v="71"/>
    <x v="0"/>
    <x v="0"/>
    <x v="0"/>
    <x v="0"/>
    <x v="72"/>
    <x v="63"/>
    <x v="0"/>
    <x v="0"/>
    <x v="22"/>
    <x v="23"/>
    <x v="0"/>
    <x v="0"/>
    <x v="22"/>
    <x v="23"/>
    <x v="0"/>
    <x v="0"/>
    <x v="22"/>
    <x v="24"/>
    <x v="0"/>
  </r>
  <r>
    <x v="2"/>
    <x v="4"/>
    <x v="15"/>
    <x v="1"/>
    <x v="2"/>
    <x v="3"/>
    <x v="1"/>
    <x v="60"/>
    <x v="0"/>
    <x v="0"/>
    <x v="0"/>
    <x v="0"/>
    <x v="1"/>
    <x v="0"/>
    <x v="0"/>
    <x v="1"/>
    <x v="60"/>
    <x v="0"/>
    <x v="0"/>
    <x v="69"/>
    <x v="60"/>
    <x v="18"/>
    <x v="52"/>
    <x v="14"/>
    <x v="23"/>
    <x v="28"/>
    <x v="25"/>
    <x v="4"/>
    <x v="21"/>
    <x v="30"/>
    <x v="0"/>
    <x v="0"/>
    <x v="30"/>
    <x v="28"/>
    <x v="1"/>
    <x v="0"/>
    <x v="1"/>
    <x v="0"/>
    <x v="0"/>
    <x v="20"/>
    <x v="6"/>
    <x v="1"/>
    <x v="30"/>
    <x v="0"/>
    <x v="0"/>
    <x v="30"/>
    <x v="28"/>
    <x v="31"/>
    <x v="0"/>
    <x v="0"/>
    <x v="39"/>
    <x v="36"/>
    <x v="35"/>
    <x v="73"/>
    <x v="72"/>
    <x v="0"/>
    <x v="0"/>
    <x v="0"/>
    <x v="0"/>
    <x v="69"/>
    <x v="60"/>
    <x v="0"/>
    <x v="0"/>
    <x v="30"/>
    <x v="30"/>
    <x v="0"/>
    <x v="0"/>
    <x v="30"/>
    <x v="30"/>
    <x v="0"/>
    <x v="0"/>
    <x v="39"/>
    <x v="39"/>
    <x v="0"/>
  </r>
  <r>
    <x v="1"/>
    <x v="5"/>
    <x v="5"/>
    <x v="1"/>
    <x v="1"/>
    <x v="1"/>
    <x v="0"/>
    <x v="7"/>
    <x v="0"/>
    <x v="0"/>
    <x v="0"/>
    <x v="0"/>
    <x v="1"/>
    <x v="0"/>
    <x v="0"/>
    <x v="0"/>
    <x v="7"/>
    <x v="0"/>
    <x v="0"/>
    <x v="17"/>
    <x v="7"/>
    <x v="4"/>
    <x v="3"/>
    <x v="23"/>
    <x v="0"/>
    <x v="3"/>
    <x v="0"/>
    <x v="16"/>
    <x v="0"/>
    <x v="30"/>
    <x v="0"/>
    <x v="0"/>
    <x v="30"/>
    <x v="28"/>
    <x v="1"/>
    <x v="0"/>
    <x v="0"/>
    <x v="0"/>
    <x v="0"/>
    <x v="3"/>
    <x v="52"/>
    <x v="0"/>
    <x v="30"/>
    <x v="0"/>
    <x v="0"/>
    <x v="30"/>
    <x v="28"/>
    <x v="30"/>
    <x v="0"/>
    <x v="0"/>
    <x v="33"/>
    <x v="23"/>
    <x v="7"/>
    <x v="12"/>
    <x v="7"/>
    <x v="0"/>
    <x v="0"/>
    <x v="0"/>
    <x v="0"/>
    <x v="17"/>
    <x v="7"/>
    <x v="0"/>
    <x v="0"/>
    <x v="30"/>
    <x v="30"/>
    <x v="0"/>
    <x v="0"/>
    <x v="30"/>
    <x v="30"/>
    <x v="0"/>
    <x v="0"/>
    <x v="33"/>
    <x v="35"/>
    <x v="0"/>
  </r>
  <r>
    <x v="2"/>
    <x v="5"/>
    <x v="5"/>
    <x v="1"/>
    <x v="1"/>
    <x v="1"/>
    <x v="1"/>
    <x v="0"/>
    <x v="0"/>
    <x v="0"/>
    <x v="0"/>
    <x v="0"/>
    <x v="1"/>
    <x v="0"/>
    <x v="0"/>
    <x v="1"/>
    <x v="0"/>
    <x v="0"/>
    <x v="0"/>
    <x v="9"/>
    <x v="0"/>
    <x v="4"/>
    <x v="0"/>
    <x v="24"/>
    <x v="0"/>
    <x v="3"/>
    <x v="0"/>
    <x v="16"/>
    <x v="0"/>
    <x v="30"/>
    <x v="0"/>
    <x v="0"/>
    <x v="30"/>
    <x v="28"/>
    <x v="1"/>
    <x v="0"/>
    <x v="1"/>
    <x v="0"/>
    <x v="0"/>
    <x v="67"/>
    <x v="71"/>
    <x v="1"/>
    <x v="30"/>
    <x v="0"/>
    <x v="0"/>
    <x v="30"/>
    <x v="28"/>
    <x v="31"/>
    <x v="0"/>
    <x v="0"/>
    <x v="39"/>
    <x v="36"/>
    <x v="69"/>
    <x v="65"/>
    <x v="43"/>
    <x v="0"/>
    <x v="0"/>
    <x v="0"/>
    <x v="0"/>
    <x v="9"/>
    <x v="0"/>
    <x v="0"/>
    <x v="0"/>
    <x v="30"/>
    <x v="30"/>
    <x v="0"/>
    <x v="0"/>
    <x v="30"/>
    <x v="30"/>
    <x v="0"/>
    <x v="0"/>
    <x v="39"/>
    <x v="39"/>
    <x v="0"/>
  </r>
  <r>
    <x v="0"/>
    <x v="6"/>
    <x v="5"/>
    <x v="1"/>
    <x v="1"/>
    <x v="1"/>
    <x v="0"/>
    <x v="2"/>
    <x v="0"/>
    <x v="0"/>
    <x v="0"/>
    <x v="0"/>
    <x v="1"/>
    <x v="0"/>
    <x v="0"/>
    <x v="0"/>
    <x v="2"/>
    <x v="0"/>
    <x v="0"/>
    <x v="11"/>
    <x v="2"/>
    <x v="7"/>
    <x v="1"/>
    <x v="29"/>
    <x v="0"/>
    <x v="1"/>
    <x v="0"/>
    <x v="20"/>
    <x v="0"/>
    <x v="30"/>
    <x v="0"/>
    <x v="0"/>
    <x v="30"/>
    <x v="28"/>
    <x v="1"/>
    <x v="0"/>
    <x v="0"/>
    <x v="0"/>
    <x v="0"/>
    <x v="67"/>
    <x v="43"/>
    <x v="0"/>
    <x v="30"/>
    <x v="0"/>
    <x v="0"/>
    <x v="30"/>
    <x v="28"/>
    <x v="30"/>
    <x v="0"/>
    <x v="0"/>
    <x v="38"/>
    <x v="0"/>
    <x v="3"/>
    <x v="18"/>
    <x v="12"/>
    <x v="0"/>
    <x v="0"/>
    <x v="0"/>
    <x v="0"/>
    <x v="11"/>
    <x v="2"/>
    <x v="0"/>
    <x v="0"/>
    <x v="30"/>
    <x v="30"/>
    <x v="0"/>
    <x v="0"/>
    <x v="30"/>
    <x v="30"/>
    <x v="0"/>
    <x v="0"/>
    <x v="38"/>
    <x v="9"/>
    <x v="0"/>
  </r>
  <r>
    <x v="2"/>
    <x v="6"/>
    <x v="5"/>
    <x v="1"/>
    <x v="1"/>
    <x v="1"/>
    <x v="1"/>
    <x v="0"/>
    <x v="0"/>
    <x v="0"/>
    <x v="0"/>
    <x v="0"/>
    <x v="1"/>
    <x v="0"/>
    <x v="0"/>
    <x v="1"/>
    <x v="0"/>
    <x v="0"/>
    <x v="0"/>
    <x v="8"/>
    <x v="0"/>
    <x v="7"/>
    <x v="0"/>
    <x v="30"/>
    <x v="0"/>
    <x v="1"/>
    <x v="0"/>
    <x v="20"/>
    <x v="0"/>
    <x v="30"/>
    <x v="0"/>
    <x v="0"/>
    <x v="30"/>
    <x v="28"/>
    <x v="1"/>
    <x v="0"/>
    <x v="1"/>
    <x v="0"/>
    <x v="0"/>
    <x v="67"/>
    <x v="70"/>
    <x v="1"/>
    <x v="30"/>
    <x v="0"/>
    <x v="0"/>
    <x v="30"/>
    <x v="28"/>
    <x v="31"/>
    <x v="0"/>
    <x v="0"/>
    <x v="39"/>
    <x v="36"/>
    <x v="69"/>
    <x v="56"/>
    <x v="39"/>
    <x v="0"/>
    <x v="0"/>
    <x v="0"/>
    <x v="0"/>
    <x v="8"/>
    <x v="0"/>
    <x v="0"/>
    <x v="0"/>
    <x v="30"/>
    <x v="30"/>
    <x v="0"/>
    <x v="0"/>
    <x v="30"/>
    <x v="30"/>
    <x v="0"/>
    <x v="0"/>
    <x v="39"/>
    <x v="39"/>
    <x v="0"/>
  </r>
  <r>
    <x v="1"/>
    <x v="7"/>
    <x v="8"/>
    <x v="1"/>
    <x v="2"/>
    <x v="3"/>
    <x v="0"/>
    <x v="43"/>
    <x v="0"/>
    <x v="0"/>
    <x v="0"/>
    <x v="0"/>
    <x v="1"/>
    <x v="0"/>
    <x v="0"/>
    <x v="0"/>
    <x v="43"/>
    <x v="0"/>
    <x v="0"/>
    <x v="52"/>
    <x v="43"/>
    <x v="9"/>
    <x v="35"/>
    <x v="19"/>
    <x v="20"/>
    <x v="19"/>
    <x v="18"/>
    <x v="9"/>
    <x v="24"/>
    <x v="15"/>
    <x v="0"/>
    <x v="0"/>
    <x v="12"/>
    <x v="14"/>
    <x v="0"/>
    <x v="0"/>
    <x v="0"/>
    <x v="0"/>
    <x v="0"/>
    <x v="12"/>
    <x v="26"/>
    <x v="0"/>
    <x v="15"/>
    <x v="0"/>
    <x v="0"/>
    <x v="12"/>
    <x v="14"/>
    <x v="15"/>
    <x v="0"/>
    <x v="0"/>
    <x v="11"/>
    <x v="17"/>
    <x v="45"/>
    <x v="21"/>
    <x v="27"/>
    <x v="0"/>
    <x v="0"/>
    <x v="0"/>
    <x v="0"/>
    <x v="52"/>
    <x v="43"/>
    <x v="0"/>
    <x v="0"/>
    <x v="14"/>
    <x v="15"/>
    <x v="0"/>
    <x v="0"/>
    <x v="14"/>
    <x v="15"/>
    <x v="0"/>
    <x v="0"/>
    <x v="13"/>
    <x v="16"/>
    <x v="0"/>
  </r>
  <r>
    <x v="2"/>
    <x v="7"/>
    <x v="8"/>
    <x v="1"/>
    <x v="2"/>
    <x v="3"/>
    <x v="1"/>
    <x v="52"/>
    <x v="0"/>
    <x v="0"/>
    <x v="0"/>
    <x v="0"/>
    <x v="1"/>
    <x v="0"/>
    <x v="0"/>
    <x v="1"/>
    <x v="52"/>
    <x v="0"/>
    <x v="0"/>
    <x v="61"/>
    <x v="52"/>
    <x v="9"/>
    <x v="44"/>
    <x v="15"/>
    <x v="20"/>
    <x v="19"/>
    <x v="18"/>
    <x v="9"/>
    <x v="24"/>
    <x v="30"/>
    <x v="0"/>
    <x v="0"/>
    <x v="30"/>
    <x v="28"/>
    <x v="1"/>
    <x v="0"/>
    <x v="1"/>
    <x v="0"/>
    <x v="0"/>
    <x v="52"/>
    <x v="31"/>
    <x v="1"/>
    <x v="30"/>
    <x v="0"/>
    <x v="0"/>
    <x v="30"/>
    <x v="28"/>
    <x v="31"/>
    <x v="0"/>
    <x v="0"/>
    <x v="39"/>
    <x v="36"/>
    <x v="40"/>
    <x v="67"/>
    <x v="66"/>
    <x v="0"/>
    <x v="0"/>
    <x v="0"/>
    <x v="0"/>
    <x v="61"/>
    <x v="52"/>
    <x v="0"/>
    <x v="0"/>
    <x v="30"/>
    <x v="30"/>
    <x v="0"/>
    <x v="0"/>
    <x v="30"/>
    <x v="30"/>
    <x v="0"/>
    <x v="0"/>
    <x v="39"/>
    <x v="39"/>
    <x v="0"/>
  </r>
  <r>
    <x v="0"/>
    <x v="8"/>
    <x v="8"/>
    <x v="1"/>
    <x v="2"/>
    <x v="3"/>
    <x v="0"/>
    <x v="38"/>
    <x v="0"/>
    <x v="0"/>
    <x v="0"/>
    <x v="0"/>
    <x v="1"/>
    <x v="0"/>
    <x v="0"/>
    <x v="0"/>
    <x v="38"/>
    <x v="0"/>
    <x v="0"/>
    <x v="47"/>
    <x v="38"/>
    <x v="8"/>
    <x v="32"/>
    <x v="20"/>
    <x v="19"/>
    <x v="17"/>
    <x v="20"/>
    <x v="10"/>
    <x v="23"/>
    <x v="10"/>
    <x v="0"/>
    <x v="0"/>
    <x v="9"/>
    <x v="11"/>
    <x v="0"/>
    <x v="0"/>
    <x v="0"/>
    <x v="0"/>
    <x v="0"/>
    <x v="14"/>
    <x v="27"/>
    <x v="0"/>
    <x v="10"/>
    <x v="0"/>
    <x v="0"/>
    <x v="9"/>
    <x v="11"/>
    <x v="10"/>
    <x v="0"/>
    <x v="0"/>
    <x v="9"/>
    <x v="13"/>
    <x v="49"/>
    <x v="23"/>
    <x v="26"/>
    <x v="0"/>
    <x v="0"/>
    <x v="0"/>
    <x v="0"/>
    <x v="47"/>
    <x v="38"/>
    <x v="0"/>
    <x v="0"/>
    <x v="10"/>
    <x v="12"/>
    <x v="0"/>
    <x v="0"/>
    <x v="10"/>
    <x v="12"/>
    <x v="0"/>
    <x v="0"/>
    <x v="10"/>
    <x v="13"/>
    <x v="0"/>
  </r>
  <r>
    <x v="2"/>
    <x v="8"/>
    <x v="8"/>
    <x v="1"/>
    <x v="2"/>
    <x v="3"/>
    <x v="1"/>
    <x v="50"/>
    <x v="0"/>
    <x v="0"/>
    <x v="0"/>
    <x v="0"/>
    <x v="1"/>
    <x v="0"/>
    <x v="0"/>
    <x v="1"/>
    <x v="50"/>
    <x v="0"/>
    <x v="0"/>
    <x v="59"/>
    <x v="50"/>
    <x v="8"/>
    <x v="43"/>
    <x v="16"/>
    <x v="19"/>
    <x v="17"/>
    <x v="20"/>
    <x v="10"/>
    <x v="23"/>
    <x v="30"/>
    <x v="0"/>
    <x v="0"/>
    <x v="30"/>
    <x v="28"/>
    <x v="1"/>
    <x v="0"/>
    <x v="1"/>
    <x v="0"/>
    <x v="0"/>
    <x v="56"/>
    <x v="38"/>
    <x v="1"/>
    <x v="30"/>
    <x v="0"/>
    <x v="0"/>
    <x v="30"/>
    <x v="28"/>
    <x v="31"/>
    <x v="0"/>
    <x v="0"/>
    <x v="39"/>
    <x v="36"/>
    <x v="41"/>
    <x v="64"/>
    <x v="65"/>
    <x v="0"/>
    <x v="0"/>
    <x v="0"/>
    <x v="0"/>
    <x v="59"/>
    <x v="50"/>
    <x v="0"/>
    <x v="0"/>
    <x v="30"/>
    <x v="30"/>
    <x v="0"/>
    <x v="0"/>
    <x v="30"/>
    <x v="30"/>
    <x v="0"/>
    <x v="0"/>
    <x v="39"/>
    <x v="39"/>
    <x v="0"/>
  </r>
  <r>
    <x v="1"/>
    <x v="9"/>
    <x v="15"/>
    <x v="1"/>
    <x v="2"/>
    <x v="3"/>
    <x v="0"/>
    <x v="47"/>
    <x v="0"/>
    <x v="0"/>
    <x v="0"/>
    <x v="0"/>
    <x v="1"/>
    <x v="0"/>
    <x v="0"/>
    <x v="0"/>
    <x v="47"/>
    <x v="0"/>
    <x v="0"/>
    <x v="56"/>
    <x v="47"/>
    <x v="0"/>
    <x v="28"/>
    <x v="1"/>
    <x v="12"/>
    <x v="18"/>
    <x v="12"/>
    <x v="0"/>
    <x v="15"/>
    <x v="20"/>
    <x v="0"/>
    <x v="0"/>
    <x v="20"/>
    <x v="18"/>
    <x v="0"/>
    <x v="0"/>
    <x v="0"/>
    <x v="0"/>
    <x v="0"/>
    <x v="19"/>
    <x v="3"/>
    <x v="0"/>
    <x v="20"/>
    <x v="0"/>
    <x v="0"/>
    <x v="20"/>
    <x v="18"/>
    <x v="20"/>
    <x v="0"/>
    <x v="0"/>
    <x v="20"/>
    <x v="21"/>
    <x v="38"/>
    <x v="0"/>
    <x v="29"/>
    <x v="0"/>
    <x v="0"/>
    <x v="0"/>
    <x v="0"/>
    <x v="56"/>
    <x v="47"/>
    <x v="0"/>
    <x v="0"/>
    <x v="20"/>
    <x v="20"/>
    <x v="0"/>
    <x v="0"/>
    <x v="20"/>
    <x v="20"/>
    <x v="0"/>
    <x v="0"/>
    <x v="20"/>
    <x v="21"/>
    <x v="0"/>
  </r>
  <r>
    <x v="2"/>
    <x v="9"/>
    <x v="15"/>
    <x v="1"/>
    <x v="2"/>
    <x v="3"/>
    <x v="1"/>
    <x v="48"/>
    <x v="0"/>
    <x v="0"/>
    <x v="0"/>
    <x v="0"/>
    <x v="1"/>
    <x v="0"/>
    <x v="0"/>
    <x v="1"/>
    <x v="48"/>
    <x v="0"/>
    <x v="0"/>
    <x v="57"/>
    <x v="48"/>
    <x v="0"/>
    <x v="29"/>
    <x v="0"/>
    <x v="12"/>
    <x v="18"/>
    <x v="12"/>
    <x v="0"/>
    <x v="15"/>
    <x v="30"/>
    <x v="0"/>
    <x v="0"/>
    <x v="30"/>
    <x v="28"/>
    <x v="1"/>
    <x v="0"/>
    <x v="1"/>
    <x v="0"/>
    <x v="0"/>
    <x v="23"/>
    <x v="0"/>
    <x v="1"/>
    <x v="30"/>
    <x v="0"/>
    <x v="0"/>
    <x v="30"/>
    <x v="28"/>
    <x v="31"/>
    <x v="0"/>
    <x v="0"/>
    <x v="39"/>
    <x v="36"/>
    <x v="13"/>
    <x v="40"/>
    <x v="56"/>
    <x v="0"/>
    <x v="0"/>
    <x v="0"/>
    <x v="0"/>
    <x v="57"/>
    <x v="48"/>
    <x v="0"/>
    <x v="0"/>
    <x v="30"/>
    <x v="30"/>
    <x v="0"/>
    <x v="0"/>
    <x v="30"/>
    <x v="30"/>
    <x v="0"/>
    <x v="0"/>
    <x v="39"/>
    <x v="39"/>
    <x v="0"/>
  </r>
  <r>
    <x v="0"/>
    <x v="10"/>
    <x v="1"/>
    <x v="1"/>
    <x v="1"/>
    <x v="2"/>
    <x v="0"/>
    <x v="19"/>
    <x v="0"/>
    <x v="0"/>
    <x v="0"/>
    <x v="0"/>
    <x v="1"/>
    <x v="0"/>
    <x v="0"/>
    <x v="0"/>
    <x v="19"/>
    <x v="0"/>
    <x v="0"/>
    <x v="28"/>
    <x v="19"/>
    <x v="24"/>
    <x v="11"/>
    <x v="59"/>
    <x v="3"/>
    <x v="9"/>
    <x v="3"/>
    <x v="31"/>
    <x v="5"/>
    <x v="11"/>
    <x v="0"/>
    <x v="0"/>
    <x v="14"/>
    <x v="8"/>
    <x v="0"/>
    <x v="0"/>
    <x v="0"/>
    <x v="0"/>
    <x v="0"/>
    <x v="42"/>
    <x v="47"/>
    <x v="0"/>
    <x v="11"/>
    <x v="0"/>
    <x v="0"/>
    <x v="14"/>
    <x v="8"/>
    <x v="11"/>
    <x v="0"/>
    <x v="0"/>
    <x v="14"/>
    <x v="11"/>
    <x v="66"/>
    <x v="1"/>
    <x v="14"/>
    <x v="0"/>
    <x v="0"/>
    <x v="0"/>
    <x v="0"/>
    <x v="28"/>
    <x v="19"/>
    <x v="0"/>
    <x v="0"/>
    <x v="12"/>
    <x v="10"/>
    <x v="0"/>
    <x v="0"/>
    <x v="12"/>
    <x v="10"/>
    <x v="0"/>
    <x v="0"/>
    <x v="12"/>
    <x v="11"/>
    <x v="0"/>
  </r>
  <r>
    <x v="2"/>
    <x v="10"/>
    <x v="1"/>
    <x v="1"/>
    <x v="1"/>
    <x v="2"/>
    <x v="1"/>
    <x v="22"/>
    <x v="0"/>
    <x v="0"/>
    <x v="0"/>
    <x v="0"/>
    <x v="1"/>
    <x v="0"/>
    <x v="0"/>
    <x v="1"/>
    <x v="22"/>
    <x v="0"/>
    <x v="0"/>
    <x v="30"/>
    <x v="22"/>
    <x v="24"/>
    <x v="13"/>
    <x v="57"/>
    <x v="3"/>
    <x v="9"/>
    <x v="3"/>
    <x v="31"/>
    <x v="5"/>
    <x v="30"/>
    <x v="0"/>
    <x v="0"/>
    <x v="30"/>
    <x v="28"/>
    <x v="1"/>
    <x v="0"/>
    <x v="1"/>
    <x v="0"/>
    <x v="0"/>
    <x v="63"/>
    <x v="62"/>
    <x v="1"/>
    <x v="30"/>
    <x v="0"/>
    <x v="0"/>
    <x v="30"/>
    <x v="28"/>
    <x v="31"/>
    <x v="0"/>
    <x v="0"/>
    <x v="39"/>
    <x v="36"/>
    <x v="31"/>
    <x v="57"/>
    <x v="46"/>
    <x v="0"/>
    <x v="0"/>
    <x v="0"/>
    <x v="0"/>
    <x v="30"/>
    <x v="22"/>
    <x v="0"/>
    <x v="0"/>
    <x v="30"/>
    <x v="30"/>
    <x v="0"/>
    <x v="0"/>
    <x v="30"/>
    <x v="30"/>
    <x v="0"/>
    <x v="0"/>
    <x v="39"/>
    <x v="39"/>
    <x v="0"/>
  </r>
  <r>
    <x v="1"/>
    <x v="11"/>
    <x v="1"/>
    <x v="1"/>
    <x v="1"/>
    <x v="2"/>
    <x v="0"/>
    <x v="20"/>
    <x v="0"/>
    <x v="0"/>
    <x v="0"/>
    <x v="0"/>
    <x v="1"/>
    <x v="0"/>
    <x v="0"/>
    <x v="0"/>
    <x v="20"/>
    <x v="0"/>
    <x v="0"/>
    <x v="29"/>
    <x v="21"/>
    <x v="37"/>
    <x v="14"/>
    <x v="73"/>
    <x v="8"/>
    <x v="10"/>
    <x v="4"/>
    <x v="36"/>
    <x v="10"/>
    <x v="16"/>
    <x v="0"/>
    <x v="0"/>
    <x v="17"/>
    <x v="13"/>
    <x v="0"/>
    <x v="0"/>
    <x v="0"/>
    <x v="0"/>
    <x v="0"/>
    <x v="32"/>
    <x v="41"/>
    <x v="0"/>
    <x v="16"/>
    <x v="0"/>
    <x v="0"/>
    <x v="17"/>
    <x v="13"/>
    <x v="16"/>
    <x v="0"/>
    <x v="0"/>
    <x v="17"/>
    <x v="16"/>
    <x v="63"/>
    <x v="10"/>
    <x v="18"/>
    <x v="0"/>
    <x v="0"/>
    <x v="0"/>
    <x v="0"/>
    <x v="29"/>
    <x v="20"/>
    <x v="0"/>
    <x v="0"/>
    <x v="17"/>
    <x v="16"/>
    <x v="0"/>
    <x v="0"/>
    <x v="17"/>
    <x v="16"/>
    <x v="0"/>
    <x v="0"/>
    <x v="17"/>
    <x v="17"/>
    <x v="0"/>
  </r>
  <r>
    <x v="2"/>
    <x v="11"/>
    <x v="1"/>
    <x v="1"/>
    <x v="1"/>
    <x v="2"/>
    <x v="1"/>
    <x v="25"/>
    <x v="0"/>
    <x v="0"/>
    <x v="0"/>
    <x v="0"/>
    <x v="1"/>
    <x v="0"/>
    <x v="0"/>
    <x v="1"/>
    <x v="25"/>
    <x v="0"/>
    <x v="0"/>
    <x v="34"/>
    <x v="25"/>
    <x v="37"/>
    <x v="18"/>
    <x v="72"/>
    <x v="8"/>
    <x v="10"/>
    <x v="4"/>
    <x v="36"/>
    <x v="10"/>
    <x v="30"/>
    <x v="0"/>
    <x v="0"/>
    <x v="30"/>
    <x v="28"/>
    <x v="1"/>
    <x v="0"/>
    <x v="1"/>
    <x v="0"/>
    <x v="0"/>
    <x v="59"/>
    <x v="59"/>
    <x v="1"/>
    <x v="30"/>
    <x v="0"/>
    <x v="0"/>
    <x v="30"/>
    <x v="28"/>
    <x v="31"/>
    <x v="0"/>
    <x v="0"/>
    <x v="39"/>
    <x v="36"/>
    <x v="29"/>
    <x v="60"/>
    <x v="47"/>
    <x v="0"/>
    <x v="0"/>
    <x v="0"/>
    <x v="0"/>
    <x v="34"/>
    <x v="25"/>
    <x v="0"/>
    <x v="0"/>
    <x v="30"/>
    <x v="30"/>
    <x v="0"/>
    <x v="0"/>
    <x v="30"/>
    <x v="30"/>
    <x v="0"/>
    <x v="0"/>
    <x v="39"/>
    <x v="39"/>
    <x v="0"/>
  </r>
  <r>
    <x v="0"/>
    <x v="12"/>
    <x v="9"/>
    <x v="1"/>
    <x v="2"/>
    <x v="3"/>
    <x v="0"/>
    <x v="13"/>
    <x v="0"/>
    <x v="0"/>
    <x v="0"/>
    <x v="0"/>
    <x v="1"/>
    <x v="0"/>
    <x v="0"/>
    <x v="0"/>
    <x v="13"/>
    <x v="0"/>
    <x v="0"/>
    <x v="22"/>
    <x v="13"/>
    <x v="30"/>
    <x v="5"/>
    <x v="66"/>
    <x v="2"/>
    <x v="2"/>
    <x v="30"/>
    <x v="13"/>
    <x v="3"/>
    <x v="1"/>
    <x v="0"/>
    <x v="0"/>
    <x v="0"/>
    <x v="1"/>
    <x v="0"/>
    <x v="0"/>
    <x v="0"/>
    <x v="0"/>
    <x v="0"/>
    <x v="0"/>
    <x v="17"/>
    <x v="0"/>
    <x v="1"/>
    <x v="0"/>
    <x v="0"/>
    <x v="0"/>
    <x v="1"/>
    <x v="1"/>
    <x v="0"/>
    <x v="0"/>
    <x v="0"/>
    <x v="1"/>
    <x v="4"/>
    <x v="16"/>
    <x v="10"/>
    <x v="0"/>
    <x v="0"/>
    <x v="0"/>
    <x v="0"/>
    <x v="22"/>
    <x v="13"/>
    <x v="0"/>
    <x v="0"/>
    <x v="0"/>
    <x v="2"/>
    <x v="0"/>
    <x v="0"/>
    <x v="0"/>
    <x v="2"/>
    <x v="0"/>
    <x v="0"/>
    <x v="0"/>
    <x v="2"/>
    <x v="0"/>
  </r>
  <r>
    <x v="2"/>
    <x v="12"/>
    <x v="9"/>
    <x v="1"/>
    <x v="2"/>
    <x v="3"/>
    <x v="1"/>
    <x v="61"/>
    <x v="0"/>
    <x v="0"/>
    <x v="0"/>
    <x v="0"/>
    <x v="1"/>
    <x v="0"/>
    <x v="0"/>
    <x v="1"/>
    <x v="61"/>
    <x v="0"/>
    <x v="0"/>
    <x v="70"/>
    <x v="61"/>
    <x v="30"/>
    <x v="53"/>
    <x v="21"/>
    <x v="2"/>
    <x v="2"/>
    <x v="30"/>
    <x v="13"/>
    <x v="3"/>
    <x v="30"/>
    <x v="0"/>
    <x v="0"/>
    <x v="30"/>
    <x v="28"/>
    <x v="1"/>
    <x v="0"/>
    <x v="1"/>
    <x v="0"/>
    <x v="0"/>
    <x v="46"/>
    <x v="65"/>
    <x v="1"/>
    <x v="30"/>
    <x v="0"/>
    <x v="0"/>
    <x v="30"/>
    <x v="28"/>
    <x v="31"/>
    <x v="0"/>
    <x v="0"/>
    <x v="39"/>
    <x v="36"/>
    <x v="30"/>
    <x v="46"/>
    <x v="73"/>
    <x v="0"/>
    <x v="0"/>
    <x v="0"/>
    <x v="0"/>
    <x v="70"/>
    <x v="61"/>
    <x v="0"/>
    <x v="0"/>
    <x v="30"/>
    <x v="30"/>
    <x v="0"/>
    <x v="0"/>
    <x v="30"/>
    <x v="30"/>
    <x v="0"/>
    <x v="0"/>
    <x v="39"/>
    <x v="39"/>
    <x v="0"/>
  </r>
  <r>
    <x v="1"/>
    <x v="13"/>
    <x v="9"/>
    <x v="1"/>
    <x v="2"/>
    <x v="3"/>
    <x v="0"/>
    <x v="8"/>
    <x v="0"/>
    <x v="0"/>
    <x v="0"/>
    <x v="0"/>
    <x v="1"/>
    <x v="0"/>
    <x v="0"/>
    <x v="0"/>
    <x v="8"/>
    <x v="0"/>
    <x v="0"/>
    <x v="18"/>
    <x v="8"/>
    <x v="1"/>
    <x v="3"/>
    <x v="18"/>
    <x v="1"/>
    <x v="1"/>
    <x v="23"/>
    <x v="7"/>
    <x v="2"/>
    <x v="0"/>
    <x v="0"/>
    <x v="0"/>
    <x v="1"/>
    <x v="0"/>
    <x v="0"/>
    <x v="0"/>
    <x v="0"/>
    <x v="0"/>
    <x v="0"/>
    <x v="4"/>
    <x v="15"/>
    <x v="0"/>
    <x v="0"/>
    <x v="0"/>
    <x v="0"/>
    <x v="1"/>
    <x v="0"/>
    <x v="0"/>
    <x v="0"/>
    <x v="0"/>
    <x v="1"/>
    <x v="0"/>
    <x v="1"/>
    <x v="24"/>
    <x v="13"/>
    <x v="0"/>
    <x v="0"/>
    <x v="0"/>
    <x v="0"/>
    <x v="18"/>
    <x v="8"/>
    <x v="0"/>
    <x v="0"/>
    <x v="1"/>
    <x v="1"/>
    <x v="0"/>
    <x v="0"/>
    <x v="1"/>
    <x v="1"/>
    <x v="0"/>
    <x v="0"/>
    <x v="1"/>
    <x v="1"/>
    <x v="0"/>
  </r>
  <r>
    <x v="2"/>
    <x v="13"/>
    <x v="9"/>
    <x v="1"/>
    <x v="2"/>
    <x v="3"/>
    <x v="1"/>
    <x v="57"/>
    <x v="0"/>
    <x v="0"/>
    <x v="0"/>
    <x v="0"/>
    <x v="1"/>
    <x v="0"/>
    <x v="0"/>
    <x v="1"/>
    <x v="57"/>
    <x v="0"/>
    <x v="0"/>
    <x v="66"/>
    <x v="57"/>
    <x v="1"/>
    <x v="45"/>
    <x v="8"/>
    <x v="1"/>
    <x v="1"/>
    <x v="23"/>
    <x v="7"/>
    <x v="2"/>
    <x v="30"/>
    <x v="0"/>
    <x v="0"/>
    <x v="30"/>
    <x v="28"/>
    <x v="1"/>
    <x v="0"/>
    <x v="1"/>
    <x v="0"/>
    <x v="0"/>
    <x v="41"/>
    <x v="64"/>
    <x v="1"/>
    <x v="30"/>
    <x v="0"/>
    <x v="0"/>
    <x v="30"/>
    <x v="28"/>
    <x v="31"/>
    <x v="0"/>
    <x v="0"/>
    <x v="39"/>
    <x v="36"/>
    <x v="28"/>
    <x v="52"/>
    <x v="67"/>
    <x v="0"/>
    <x v="0"/>
    <x v="0"/>
    <x v="0"/>
    <x v="66"/>
    <x v="57"/>
    <x v="0"/>
    <x v="0"/>
    <x v="30"/>
    <x v="30"/>
    <x v="0"/>
    <x v="0"/>
    <x v="30"/>
    <x v="30"/>
    <x v="0"/>
    <x v="0"/>
    <x v="39"/>
    <x v="39"/>
    <x v="0"/>
  </r>
  <r>
    <x v="0"/>
    <x v="14"/>
    <x v="15"/>
    <x v="1"/>
    <x v="2"/>
    <x v="3"/>
    <x v="0"/>
    <x v="34"/>
    <x v="0"/>
    <x v="0"/>
    <x v="0"/>
    <x v="0"/>
    <x v="1"/>
    <x v="0"/>
    <x v="0"/>
    <x v="0"/>
    <x v="34"/>
    <x v="0"/>
    <x v="0"/>
    <x v="43"/>
    <x v="34"/>
    <x v="22"/>
    <x v="26"/>
    <x v="50"/>
    <x v="11"/>
    <x v="16"/>
    <x v="10"/>
    <x v="23"/>
    <x v="12"/>
    <x v="19"/>
    <x v="0"/>
    <x v="0"/>
    <x v="19"/>
    <x v="17"/>
    <x v="0"/>
    <x v="0"/>
    <x v="0"/>
    <x v="0"/>
    <x v="0"/>
    <x v="13"/>
    <x v="29"/>
    <x v="0"/>
    <x v="19"/>
    <x v="0"/>
    <x v="0"/>
    <x v="19"/>
    <x v="17"/>
    <x v="19"/>
    <x v="0"/>
    <x v="0"/>
    <x v="19"/>
    <x v="20"/>
    <x v="20"/>
    <x v="33"/>
    <x v="25"/>
    <x v="0"/>
    <x v="0"/>
    <x v="0"/>
    <x v="0"/>
    <x v="43"/>
    <x v="34"/>
    <x v="0"/>
    <x v="0"/>
    <x v="19"/>
    <x v="19"/>
    <x v="0"/>
    <x v="0"/>
    <x v="19"/>
    <x v="19"/>
    <x v="0"/>
    <x v="0"/>
    <x v="19"/>
    <x v="20"/>
    <x v="0"/>
  </r>
  <r>
    <x v="2"/>
    <x v="14"/>
    <x v="15"/>
    <x v="1"/>
    <x v="2"/>
    <x v="3"/>
    <x v="1"/>
    <x v="35"/>
    <x v="0"/>
    <x v="0"/>
    <x v="0"/>
    <x v="0"/>
    <x v="1"/>
    <x v="0"/>
    <x v="0"/>
    <x v="1"/>
    <x v="35"/>
    <x v="0"/>
    <x v="0"/>
    <x v="44"/>
    <x v="35"/>
    <x v="22"/>
    <x v="27"/>
    <x v="45"/>
    <x v="11"/>
    <x v="16"/>
    <x v="10"/>
    <x v="23"/>
    <x v="12"/>
    <x v="30"/>
    <x v="0"/>
    <x v="0"/>
    <x v="30"/>
    <x v="28"/>
    <x v="1"/>
    <x v="0"/>
    <x v="1"/>
    <x v="0"/>
    <x v="0"/>
    <x v="39"/>
    <x v="56"/>
    <x v="1"/>
    <x v="30"/>
    <x v="0"/>
    <x v="0"/>
    <x v="30"/>
    <x v="28"/>
    <x v="31"/>
    <x v="0"/>
    <x v="0"/>
    <x v="39"/>
    <x v="36"/>
    <x v="17"/>
    <x v="53"/>
    <x v="54"/>
    <x v="0"/>
    <x v="0"/>
    <x v="0"/>
    <x v="0"/>
    <x v="44"/>
    <x v="35"/>
    <x v="0"/>
    <x v="0"/>
    <x v="30"/>
    <x v="30"/>
    <x v="0"/>
    <x v="0"/>
    <x v="30"/>
    <x v="30"/>
    <x v="0"/>
    <x v="0"/>
    <x v="39"/>
    <x v="39"/>
    <x v="0"/>
  </r>
  <r>
    <x v="1"/>
    <x v="15"/>
    <x v="2"/>
    <x v="1"/>
    <x v="1"/>
    <x v="2"/>
    <x v="0"/>
    <x v="26"/>
    <x v="0"/>
    <x v="0"/>
    <x v="0"/>
    <x v="0"/>
    <x v="1"/>
    <x v="0"/>
    <x v="0"/>
    <x v="0"/>
    <x v="26"/>
    <x v="0"/>
    <x v="0"/>
    <x v="35"/>
    <x v="26"/>
    <x v="12"/>
    <x v="16"/>
    <x v="32"/>
    <x v="5"/>
    <x v="13"/>
    <x v="5"/>
    <x v="19"/>
    <x v="6"/>
    <x v="18"/>
    <x v="0"/>
    <x v="0"/>
    <x v="18"/>
    <x v="15"/>
    <x v="0"/>
    <x v="0"/>
    <x v="0"/>
    <x v="0"/>
    <x v="0"/>
    <x v="43"/>
    <x v="39"/>
    <x v="0"/>
    <x v="18"/>
    <x v="0"/>
    <x v="0"/>
    <x v="18"/>
    <x v="15"/>
    <x v="18"/>
    <x v="0"/>
    <x v="0"/>
    <x v="18"/>
    <x v="18"/>
    <x v="68"/>
    <x v="3"/>
    <x v="21"/>
    <x v="0"/>
    <x v="0"/>
    <x v="0"/>
    <x v="0"/>
    <x v="35"/>
    <x v="26"/>
    <x v="0"/>
    <x v="0"/>
    <x v="18"/>
    <x v="17"/>
    <x v="0"/>
    <x v="0"/>
    <x v="18"/>
    <x v="17"/>
    <x v="0"/>
    <x v="0"/>
    <x v="18"/>
    <x v="19"/>
    <x v="0"/>
  </r>
  <r>
    <x v="2"/>
    <x v="15"/>
    <x v="2"/>
    <x v="1"/>
    <x v="1"/>
    <x v="2"/>
    <x v="1"/>
    <x v="29"/>
    <x v="0"/>
    <x v="0"/>
    <x v="0"/>
    <x v="0"/>
    <x v="1"/>
    <x v="0"/>
    <x v="0"/>
    <x v="1"/>
    <x v="29"/>
    <x v="0"/>
    <x v="0"/>
    <x v="38"/>
    <x v="29"/>
    <x v="12"/>
    <x v="20"/>
    <x v="31"/>
    <x v="5"/>
    <x v="13"/>
    <x v="5"/>
    <x v="19"/>
    <x v="6"/>
    <x v="30"/>
    <x v="0"/>
    <x v="0"/>
    <x v="30"/>
    <x v="28"/>
    <x v="1"/>
    <x v="0"/>
    <x v="1"/>
    <x v="0"/>
    <x v="0"/>
    <x v="60"/>
    <x v="51"/>
    <x v="1"/>
    <x v="30"/>
    <x v="0"/>
    <x v="0"/>
    <x v="30"/>
    <x v="28"/>
    <x v="31"/>
    <x v="0"/>
    <x v="0"/>
    <x v="39"/>
    <x v="36"/>
    <x v="34"/>
    <x v="71"/>
    <x v="53"/>
    <x v="0"/>
    <x v="0"/>
    <x v="0"/>
    <x v="0"/>
    <x v="38"/>
    <x v="29"/>
    <x v="0"/>
    <x v="0"/>
    <x v="30"/>
    <x v="30"/>
    <x v="0"/>
    <x v="0"/>
    <x v="30"/>
    <x v="30"/>
    <x v="0"/>
    <x v="0"/>
    <x v="39"/>
    <x v="39"/>
    <x v="0"/>
  </r>
  <r>
    <x v="0"/>
    <x v="16"/>
    <x v="2"/>
    <x v="1"/>
    <x v="1"/>
    <x v="2"/>
    <x v="0"/>
    <x v="23"/>
    <x v="0"/>
    <x v="0"/>
    <x v="0"/>
    <x v="0"/>
    <x v="1"/>
    <x v="0"/>
    <x v="0"/>
    <x v="0"/>
    <x v="23"/>
    <x v="0"/>
    <x v="0"/>
    <x v="32"/>
    <x v="23"/>
    <x v="39"/>
    <x v="17"/>
    <x v="75"/>
    <x v="6"/>
    <x v="12"/>
    <x v="7"/>
    <x v="37"/>
    <x v="8"/>
    <x v="14"/>
    <x v="0"/>
    <x v="0"/>
    <x v="13"/>
    <x v="10"/>
    <x v="0"/>
    <x v="0"/>
    <x v="0"/>
    <x v="0"/>
    <x v="0"/>
    <x v="44"/>
    <x v="40"/>
    <x v="0"/>
    <x v="14"/>
    <x v="0"/>
    <x v="0"/>
    <x v="13"/>
    <x v="10"/>
    <x v="14"/>
    <x v="0"/>
    <x v="0"/>
    <x v="13"/>
    <x v="14"/>
    <x v="67"/>
    <x v="9"/>
    <x v="19"/>
    <x v="0"/>
    <x v="0"/>
    <x v="0"/>
    <x v="0"/>
    <x v="32"/>
    <x v="23"/>
    <x v="0"/>
    <x v="0"/>
    <x v="13"/>
    <x v="13"/>
    <x v="0"/>
    <x v="0"/>
    <x v="13"/>
    <x v="13"/>
    <x v="0"/>
    <x v="0"/>
    <x v="14"/>
    <x v="14"/>
    <x v="0"/>
  </r>
  <r>
    <x v="2"/>
    <x v="16"/>
    <x v="2"/>
    <x v="1"/>
    <x v="1"/>
    <x v="2"/>
    <x v="1"/>
    <x v="28"/>
    <x v="0"/>
    <x v="0"/>
    <x v="0"/>
    <x v="0"/>
    <x v="1"/>
    <x v="0"/>
    <x v="0"/>
    <x v="1"/>
    <x v="28"/>
    <x v="0"/>
    <x v="0"/>
    <x v="37"/>
    <x v="28"/>
    <x v="39"/>
    <x v="22"/>
    <x v="74"/>
    <x v="6"/>
    <x v="12"/>
    <x v="7"/>
    <x v="37"/>
    <x v="8"/>
    <x v="30"/>
    <x v="0"/>
    <x v="0"/>
    <x v="30"/>
    <x v="28"/>
    <x v="1"/>
    <x v="0"/>
    <x v="1"/>
    <x v="0"/>
    <x v="0"/>
    <x v="61"/>
    <x v="58"/>
    <x v="1"/>
    <x v="30"/>
    <x v="0"/>
    <x v="0"/>
    <x v="30"/>
    <x v="28"/>
    <x v="31"/>
    <x v="0"/>
    <x v="0"/>
    <x v="39"/>
    <x v="36"/>
    <x v="25"/>
    <x v="58"/>
    <x v="52"/>
    <x v="0"/>
    <x v="0"/>
    <x v="0"/>
    <x v="0"/>
    <x v="37"/>
    <x v="28"/>
    <x v="0"/>
    <x v="0"/>
    <x v="30"/>
    <x v="30"/>
    <x v="0"/>
    <x v="0"/>
    <x v="30"/>
    <x v="30"/>
    <x v="0"/>
    <x v="0"/>
    <x v="39"/>
    <x v="39"/>
    <x v="0"/>
  </r>
  <r>
    <x v="1"/>
    <x v="17"/>
    <x v="10"/>
    <x v="1"/>
    <x v="2"/>
    <x v="3"/>
    <x v="0"/>
    <x v="32"/>
    <x v="0"/>
    <x v="0"/>
    <x v="0"/>
    <x v="0"/>
    <x v="1"/>
    <x v="0"/>
    <x v="0"/>
    <x v="0"/>
    <x v="32"/>
    <x v="0"/>
    <x v="0"/>
    <x v="41"/>
    <x v="32"/>
    <x v="19"/>
    <x v="24"/>
    <x v="49"/>
    <x v="13"/>
    <x v="15"/>
    <x v="24"/>
    <x v="15"/>
    <x v="14"/>
    <x v="6"/>
    <x v="0"/>
    <x v="0"/>
    <x v="6"/>
    <x v="5"/>
    <x v="0"/>
    <x v="0"/>
    <x v="0"/>
    <x v="0"/>
    <x v="0"/>
    <x v="18"/>
    <x v="13"/>
    <x v="0"/>
    <x v="6"/>
    <x v="0"/>
    <x v="0"/>
    <x v="6"/>
    <x v="5"/>
    <x v="6"/>
    <x v="0"/>
    <x v="0"/>
    <x v="6"/>
    <x v="5"/>
    <x v="55"/>
    <x v="34"/>
    <x v="24"/>
    <x v="0"/>
    <x v="0"/>
    <x v="0"/>
    <x v="0"/>
    <x v="41"/>
    <x v="32"/>
    <x v="0"/>
    <x v="0"/>
    <x v="6"/>
    <x v="6"/>
    <x v="0"/>
    <x v="0"/>
    <x v="6"/>
    <x v="6"/>
    <x v="0"/>
    <x v="0"/>
    <x v="6"/>
    <x v="6"/>
    <x v="0"/>
  </r>
  <r>
    <x v="2"/>
    <x v="17"/>
    <x v="10"/>
    <x v="1"/>
    <x v="2"/>
    <x v="3"/>
    <x v="1"/>
    <x v="55"/>
    <x v="0"/>
    <x v="0"/>
    <x v="0"/>
    <x v="0"/>
    <x v="1"/>
    <x v="0"/>
    <x v="0"/>
    <x v="1"/>
    <x v="55"/>
    <x v="0"/>
    <x v="0"/>
    <x v="64"/>
    <x v="55"/>
    <x v="19"/>
    <x v="46"/>
    <x v="27"/>
    <x v="13"/>
    <x v="15"/>
    <x v="24"/>
    <x v="15"/>
    <x v="14"/>
    <x v="30"/>
    <x v="0"/>
    <x v="0"/>
    <x v="30"/>
    <x v="28"/>
    <x v="1"/>
    <x v="0"/>
    <x v="1"/>
    <x v="0"/>
    <x v="0"/>
    <x v="57"/>
    <x v="53"/>
    <x v="1"/>
    <x v="30"/>
    <x v="0"/>
    <x v="0"/>
    <x v="30"/>
    <x v="28"/>
    <x v="31"/>
    <x v="0"/>
    <x v="0"/>
    <x v="39"/>
    <x v="36"/>
    <x v="21"/>
    <x v="44"/>
    <x v="64"/>
    <x v="0"/>
    <x v="0"/>
    <x v="0"/>
    <x v="0"/>
    <x v="64"/>
    <x v="55"/>
    <x v="0"/>
    <x v="0"/>
    <x v="30"/>
    <x v="30"/>
    <x v="0"/>
    <x v="0"/>
    <x v="30"/>
    <x v="30"/>
    <x v="0"/>
    <x v="0"/>
    <x v="39"/>
    <x v="39"/>
    <x v="0"/>
  </r>
  <r>
    <x v="0"/>
    <x v="18"/>
    <x v="10"/>
    <x v="1"/>
    <x v="2"/>
    <x v="3"/>
    <x v="0"/>
    <x v="24"/>
    <x v="0"/>
    <x v="0"/>
    <x v="0"/>
    <x v="0"/>
    <x v="1"/>
    <x v="0"/>
    <x v="0"/>
    <x v="0"/>
    <x v="24"/>
    <x v="0"/>
    <x v="0"/>
    <x v="33"/>
    <x v="24"/>
    <x v="29"/>
    <x v="15"/>
    <x v="65"/>
    <x v="9"/>
    <x v="11"/>
    <x v="15"/>
    <x v="29"/>
    <x v="11"/>
    <x v="7"/>
    <x v="0"/>
    <x v="0"/>
    <x v="7"/>
    <x v="6"/>
    <x v="0"/>
    <x v="0"/>
    <x v="0"/>
    <x v="0"/>
    <x v="0"/>
    <x v="11"/>
    <x v="18"/>
    <x v="0"/>
    <x v="7"/>
    <x v="0"/>
    <x v="0"/>
    <x v="7"/>
    <x v="6"/>
    <x v="7"/>
    <x v="0"/>
    <x v="0"/>
    <x v="7"/>
    <x v="6"/>
    <x v="47"/>
    <x v="39"/>
    <x v="23"/>
    <x v="0"/>
    <x v="0"/>
    <x v="0"/>
    <x v="0"/>
    <x v="33"/>
    <x v="24"/>
    <x v="0"/>
    <x v="0"/>
    <x v="7"/>
    <x v="7"/>
    <x v="0"/>
    <x v="0"/>
    <x v="7"/>
    <x v="7"/>
    <x v="0"/>
    <x v="0"/>
    <x v="7"/>
    <x v="7"/>
    <x v="0"/>
  </r>
  <r>
    <x v="2"/>
    <x v="18"/>
    <x v="10"/>
    <x v="1"/>
    <x v="2"/>
    <x v="3"/>
    <x v="1"/>
    <x v="36"/>
    <x v="0"/>
    <x v="0"/>
    <x v="0"/>
    <x v="0"/>
    <x v="1"/>
    <x v="0"/>
    <x v="0"/>
    <x v="1"/>
    <x v="36"/>
    <x v="0"/>
    <x v="0"/>
    <x v="45"/>
    <x v="36"/>
    <x v="29"/>
    <x v="31"/>
    <x v="53"/>
    <x v="9"/>
    <x v="11"/>
    <x v="15"/>
    <x v="29"/>
    <x v="11"/>
    <x v="30"/>
    <x v="0"/>
    <x v="0"/>
    <x v="30"/>
    <x v="28"/>
    <x v="1"/>
    <x v="0"/>
    <x v="1"/>
    <x v="0"/>
    <x v="0"/>
    <x v="47"/>
    <x v="63"/>
    <x v="1"/>
    <x v="30"/>
    <x v="0"/>
    <x v="0"/>
    <x v="30"/>
    <x v="28"/>
    <x v="31"/>
    <x v="0"/>
    <x v="0"/>
    <x v="39"/>
    <x v="36"/>
    <x v="18"/>
    <x v="42"/>
    <x v="55"/>
    <x v="0"/>
    <x v="0"/>
    <x v="0"/>
    <x v="0"/>
    <x v="45"/>
    <x v="36"/>
    <x v="0"/>
    <x v="0"/>
    <x v="30"/>
    <x v="30"/>
    <x v="0"/>
    <x v="0"/>
    <x v="30"/>
    <x v="30"/>
    <x v="0"/>
    <x v="0"/>
    <x v="39"/>
    <x v="39"/>
    <x v="0"/>
  </r>
  <r>
    <x v="1"/>
    <x v="19"/>
    <x v="16"/>
    <x v="1"/>
    <x v="2"/>
    <x v="3"/>
    <x v="0"/>
    <x v="53"/>
    <x v="0"/>
    <x v="0"/>
    <x v="0"/>
    <x v="0"/>
    <x v="1"/>
    <x v="0"/>
    <x v="0"/>
    <x v="0"/>
    <x v="53"/>
    <x v="0"/>
    <x v="0"/>
    <x v="62"/>
    <x v="53"/>
    <x v="5"/>
    <x v="42"/>
    <x v="10"/>
    <x v="15"/>
    <x v="23"/>
    <x v="13"/>
    <x v="6"/>
    <x v="19"/>
    <x v="25"/>
    <x v="0"/>
    <x v="0"/>
    <x v="26"/>
    <x v="22"/>
    <x v="0"/>
    <x v="0"/>
    <x v="0"/>
    <x v="0"/>
    <x v="0"/>
    <x v="26"/>
    <x v="24"/>
    <x v="0"/>
    <x v="25"/>
    <x v="0"/>
    <x v="0"/>
    <x v="26"/>
    <x v="22"/>
    <x v="25"/>
    <x v="0"/>
    <x v="0"/>
    <x v="26"/>
    <x v="27"/>
    <x v="57"/>
    <x v="31"/>
    <x v="33"/>
    <x v="0"/>
    <x v="0"/>
    <x v="0"/>
    <x v="0"/>
    <x v="62"/>
    <x v="53"/>
    <x v="0"/>
    <x v="0"/>
    <x v="26"/>
    <x v="25"/>
    <x v="0"/>
    <x v="0"/>
    <x v="26"/>
    <x v="25"/>
    <x v="0"/>
    <x v="0"/>
    <x v="26"/>
    <x v="26"/>
    <x v="0"/>
  </r>
  <r>
    <x v="2"/>
    <x v="19"/>
    <x v="16"/>
    <x v="1"/>
    <x v="2"/>
    <x v="3"/>
    <x v="1"/>
    <x v="41"/>
    <x v="0"/>
    <x v="0"/>
    <x v="0"/>
    <x v="0"/>
    <x v="1"/>
    <x v="0"/>
    <x v="0"/>
    <x v="1"/>
    <x v="41"/>
    <x v="0"/>
    <x v="0"/>
    <x v="50"/>
    <x v="41"/>
    <x v="5"/>
    <x v="33"/>
    <x v="16"/>
    <x v="15"/>
    <x v="23"/>
    <x v="13"/>
    <x v="6"/>
    <x v="19"/>
    <x v="30"/>
    <x v="0"/>
    <x v="0"/>
    <x v="30"/>
    <x v="28"/>
    <x v="1"/>
    <x v="0"/>
    <x v="1"/>
    <x v="0"/>
    <x v="0"/>
    <x v="40"/>
    <x v="19"/>
    <x v="1"/>
    <x v="30"/>
    <x v="0"/>
    <x v="0"/>
    <x v="30"/>
    <x v="28"/>
    <x v="31"/>
    <x v="0"/>
    <x v="0"/>
    <x v="39"/>
    <x v="36"/>
    <x v="33"/>
    <x v="68"/>
    <x v="59"/>
    <x v="0"/>
    <x v="0"/>
    <x v="0"/>
    <x v="0"/>
    <x v="50"/>
    <x v="41"/>
    <x v="0"/>
    <x v="0"/>
    <x v="30"/>
    <x v="30"/>
    <x v="0"/>
    <x v="0"/>
    <x v="30"/>
    <x v="30"/>
    <x v="0"/>
    <x v="0"/>
    <x v="39"/>
    <x v="39"/>
    <x v="0"/>
  </r>
  <r>
    <x v="0"/>
    <x v="20"/>
    <x v="3"/>
    <x v="1"/>
    <x v="1"/>
    <x v="2"/>
    <x v="0"/>
    <x v="5"/>
    <x v="0"/>
    <x v="0"/>
    <x v="0"/>
    <x v="0"/>
    <x v="1"/>
    <x v="0"/>
    <x v="0"/>
    <x v="0"/>
    <x v="5"/>
    <x v="0"/>
    <x v="0"/>
    <x v="14"/>
    <x v="5"/>
    <x v="11"/>
    <x v="2"/>
    <x v="34"/>
    <x v="0"/>
    <x v="2"/>
    <x v="0"/>
    <x v="22"/>
    <x v="0"/>
    <x v="30"/>
    <x v="0"/>
    <x v="0"/>
    <x v="30"/>
    <x v="28"/>
    <x v="1"/>
    <x v="0"/>
    <x v="0"/>
    <x v="0"/>
    <x v="0"/>
    <x v="1"/>
    <x v="54"/>
    <x v="0"/>
    <x v="30"/>
    <x v="0"/>
    <x v="0"/>
    <x v="30"/>
    <x v="28"/>
    <x v="30"/>
    <x v="0"/>
    <x v="0"/>
    <x v="37"/>
    <x v="7"/>
    <x v="2"/>
    <x v="6"/>
    <x v="3"/>
    <x v="0"/>
    <x v="0"/>
    <x v="0"/>
    <x v="0"/>
    <x v="14"/>
    <x v="5"/>
    <x v="0"/>
    <x v="0"/>
    <x v="30"/>
    <x v="30"/>
    <x v="0"/>
    <x v="0"/>
    <x v="30"/>
    <x v="30"/>
    <x v="0"/>
    <x v="0"/>
    <x v="35"/>
    <x v="31"/>
    <x v="0"/>
  </r>
  <r>
    <x v="2"/>
    <x v="20"/>
    <x v="3"/>
    <x v="1"/>
    <x v="1"/>
    <x v="2"/>
    <x v="1"/>
    <x v="0"/>
    <x v="0"/>
    <x v="0"/>
    <x v="0"/>
    <x v="0"/>
    <x v="1"/>
    <x v="0"/>
    <x v="0"/>
    <x v="1"/>
    <x v="0"/>
    <x v="0"/>
    <x v="0"/>
    <x v="7"/>
    <x v="0"/>
    <x v="11"/>
    <x v="0"/>
    <x v="35"/>
    <x v="0"/>
    <x v="2"/>
    <x v="0"/>
    <x v="22"/>
    <x v="0"/>
    <x v="30"/>
    <x v="0"/>
    <x v="0"/>
    <x v="30"/>
    <x v="28"/>
    <x v="1"/>
    <x v="0"/>
    <x v="1"/>
    <x v="0"/>
    <x v="0"/>
    <x v="67"/>
    <x v="74"/>
    <x v="1"/>
    <x v="30"/>
    <x v="0"/>
    <x v="0"/>
    <x v="30"/>
    <x v="28"/>
    <x v="31"/>
    <x v="0"/>
    <x v="0"/>
    <x v="39"/>
    <x v="36"/>
    <x v="69"/>
    <x v="54"/>
    <x v="37"/>
    <x v="0"/>
    <x v="0"/>
    <x v="0"/>
    <x v="0"/>
    <x v="7"/>
    <x v="0"/>
    <x v="0"/>
    <x v="0"/>
    <x v="30"/>
    <x v="30"/>
    <x v="0"/>
    <x v="0"/>
    <x v="30"/>
    <x v="30"/>
    <x v="0"/>
    <x v="0"/>
    <x v="39"/>
    <x v="39"/>
    <x v="0"/>
  </r>
  <r>
    <x v="1"/>
    <x v="21"/>
    <x v="3"/>
    <x v="1"/>
    <x v="1"/>
    <x v="2"/>
    <x v="0"/>
    <x v="3"/>
    <x v="0"/>
    <x v="0"/>
    <x v="0"/>
    <x v="0"/>
    <x v="1"/>
    <x v="0"/>
    <x v="0"/>
    <x v="0"/>
    <x v="3"/>
    <x v="0"/>
    <x v="0"/>
    <x v="12"/>
    <x v="3"/>
    <x v="34"/>
    <x v="2"/>
    <x v="70"/>
    <x v="0"/>
    <x v="2"/>
    <x v="0"/>
    <x v="38"/>
    <x v="0"/>
    <x v="30"/>
    <x v="0"/>
    <x v="0"/>
    <x v="30"/>
    <x v="28"/>
    <x v="1"/>
    <x v="0"/>
    <x v="0"/>
    <x v="0"/>
    <x v="0"/>
    <x v="33"/>
    <x v="50"/>
    <x v="0"/>
    <x v="30"/>
    <x v="0"/>
    <x v="0"/>
    <x v="30"/>
    <x v="28"/>
    <x v="30"/>
    <x v="0"/>
    <x v="0"/>
    <x v="35"/>
    <x v="9"/>
    <x v="5"/>
    <x v="8"/>
    <x v="5"/>
    <x v="0"/>
    <x v="0"/>
    <x v="0"/>
    <x v="0"/>
    <x v="12"/>
    <x v="3"/>
    <x v="0"/>
    <x v="0"/>
    <x v="30"/>
    <x v="30"/>
    <x v="0"/>
    <x v="0"/>
    <x v="30"/>
    <x v="30"/>
    <x v="0"/>
    <x v="0"/>
    <x v="36"/>
    <x v="30"/>
    <x v="0"/>
  </r>
  <r>
    <x v="2"/>
    <x v="21"/>
    <x v="3"/>
    <x v="1"/>
    <x v="1"/>
    <x v="2"/>
    <x v="1"/>
    <x v="0"/>
    <x v="0"/>
    <x v="0"/>
    <x v="0"/>
    <x v="0"/>
    <x v="1"/>
    <x v="0"/>
    <x v="0"/>
    <x v="1"/>
    <x v="0"/>
    <x v="0"/>
    <x v="0"/>
    <x v="1"/>
    <x v="0"/>
    <x v="34"/>
    <x v="0"/>
    <x v="71"/>
    <x v="0"/>
    <x v="2"/>
    <x v="0"/>
    <x v="38"/>
    <x v="0"/>
    <x v="30"/>
    <x v="0"/>
    <x v="0"/>
    <x v="30"/>
    <x v="28"/>
    <x v="1"/>
    <x v="0"/>
    <x v="1"/>
    <x v="0"/>
    <x v="0"/>
    <x v="67"/>
    <x v="76"/>
    <x v="1"/>
    <x v="30"/>
    <x v="0"/>
    <x v="0"/>
    <x v="30"/>
    <x v="28"/>
    <x v="31"/>
    <x v="0"/>
    <x v="0"/>
    <x v="39"/>
    <x v="36"/>
    <x v="69"/>
    <x v="45"/>
    <x v="34"/>
    <x v="0"/>
    <x v="0"/>
    <x v="0"/>
    <x v="0"/>
    <x v="1"/>
    <x v="0"/>
    <x v="0"/>
    <x v="0"/>
    <x v="30"/>
    <x v="30"/>
    <x v="0"/>
    <x v="0"/>
    <x v="30"/>
    <x v="30"/>
    <x v="0"/>
    <x v="0"/>
    <x v="39"/>
    <x v="39"/>
    <x v="0"/>
  </r>
  <r>
    <x v="0"/>
    <x v="22"/>
    <x v="11"/>
    <x v="1"/>
    <x v="2"/>
    <x v="3"/>
    <x v="0"/>
    <x v="45"/>
    <x v="0"/>
    <x v="0"/>
    <x v="0"/>
    <x v="0"/>
    <x v="1"/>
    <x v="0"/>
    <x v="0"/>
    <x v="0"/>
    <x v="45"/>
    <x v="0"/>
    <x v="0"/>
    <x v="54"/>
    <x v="45"/>
    <x v="23"/>
    <x v="40"/>
    <x v="33"/>
    <x v="21"/>
    <x v="21"/>
    <x v="26"/>
    <x v="12"/>
    <x v="22"/>
    <x v="13"/>
    <x v="0"/>
    <x v="0"/>
    <x v="11"/>
    <x v="12"/>
    <x v="0"/>
    <x v="0"/>
    <x v="0"/>
    <x v="0"/>
    <x v="0"/>
    <x v="21"/>
    <x v="12"/>
    <x v="0"/>
    <x v="13"/>
    <x v="0"/>
    <x v="0"/>
    <x v="11"/>
    <x v="12"/>
    <x v="13"/>
    <x v="0"/>
    <x v="0"/>
    <x v="10"/>
    <x v="15"/>
    <x v="58"/>
    <x v="28"/>
    <x v="31"/>
    <x v="0"/>
    <x v="0"/>
    <x v="0"/>
    <x v="0"/>
    <x v="54"/>
    <x v="45"/>
    <x v="0"/>
    <x v="0"/>
    <x v="11"/>
    <x v="14"/>
    <x v="0"/>
    <x v="0"/>
    <x v="11"/>
    <x v="14"/>
    <x v="0"/>
    <x v="0"/>
    <x v="11"/>
    <x v="15"/>
    <x v="0"/>
  </r>
  <r>
    <x v="2"/>
    <x v="22"/>
    <x v="11"/>
    <x v="1"/>
    <x v="2"/>
    <x v="3"/>
    <x v="1"/>
    <x v="58"/>
    <x v="0"/>
    <x v="0"/>
    <x v="0"/>
    <x v="0"/>
    <x v="1"/>
    <x v="0"/>
    <x v="0"/>
    <x v="1"/>
    <x v="58"/>
    <x v="0"/>
    <x v="0"/>
    <x v="67"/>
    <x v="58"/>
    <x v="23"/>
    <x v="50"/>
    <x v="22"/>
    <x v="21"/>
    <x v="21"/>
    <x v="26"/>
    <x v="12"/>
    <x v="22"/>
    <x v="30"/>
    <x v="0"/>
    <x v="0"/>
    <x v="30"/>
    <x v="28"/>
    <x v="1"/>
    <x v="0"/>
    <x v="1"/>
    <x v="0"/>
    <x v="0"/>
    <x v="54"/>
    <x v="20"/>
    <x v="1"/>
    <x v="30"/>
    <x v="0"/>
    <x v="0"/>
    <x v="30"/>
    <x v="28"/>
    <x v="31"/>
    <x v="0"/>
    <x v="0"/>
    <x v="39"/>
    <x v="36"/>
    <x v="32"/>
    <x v="62"/>
    <x v="69"/>
    <x v="0"/>
    <x v="0"/>
    <x v="0"/>
    <x v="0"/>
    <x v="67"/>
    <x v="58"/>
    <x v="0"/>
    <x v="0"/>
    <x v="30"/>
    <x v="30"/>
    <x v="0"/>
    <x v="0"/>
    <x v="30"/>
    <x v="30"/>
    <x v="0"/>
    <x v="0"/>
    <x v="39"/>
    <x v="39"/>
    <x v="0"/>
  </r>
  <r>
    <x v="1"/>
    <x v="23"/>
    <x v="11"/>
    <x v="1"/>
    <x v="2"/>
    <x v="3"/>
    <x v="0"/>
    <x v="39"/>
    <x v="0"/>
    <x v="0"/>
    <x v="0"/>
    <x v="0"/>
    <x v="1"/>
    <x v="0"/>
    <x v="0"/>
    <x v="0"/>
    <x v="39"/>
    <x v="0"/>
    <x v="0"/>
    <x v="48"/>
    <x v="39"/>
    <x v="28"/>
    <x v="34"/>
    <x v="51"/>
    <x v="16"/>
    <x v="20"/>
    <x v="22"/>
    <x v="17"/>
    <x v="17"/>
    <x v="9"/>
    <x v="0"/>
    <x v="0"/>
    <x v="8"/>
    <x v="9"/>
    <x v="0"/>
    <x v="0"/>
    <x v="0"/>
    <x v="0"/>
    <x v="0"/>
    <x v="22"/>
    <x v="14"/>
    <x v="0"/>
    <x v="9"/>
    <x v="0"/>
    <x v="0"/>
    <x v="8"/>
    <x v="9"/>
    <x v="9"/>
    <x v="0"/>
    <x v="0"/>
    <x v="8"/>
    <x v="12"/>
    <x v="56"/>
    <x v="32"/>
    <x v="28"/>
    <x v="0"/>
    <x v="0"/>
    <x v="0"/>
    <x v="0"/>
    <x v="48"/>
    <x v="39"/>
    <x v="0"/>
    <x v="0"/>
    <x v="9"/>
    <x v="11"/>
    <x v="0"/>
    <x v="0"/>
    <x v="9"/>
    <x v="11"/>
    <x v="0"/>
    <x v="0"/>
    <x v="9"/>
    <x v="12"/>
    <x v="0"/>
  </r>
  <r>
    <x v="2"/>
    <x v="23"/>
    <x v="11"/>
    <x v="1"/>
    <x v="2"/>
    <x v="3"/>
    <x v="1"/>
    <x v="54"/>
    <x v="0"/>
    <x v="0"/>
    <x v="0"/>
    <x v="0"/>
    <x v="1"/>
    <x v="0"/>
    <x v="0"/>
    <x v="1"/>
    <x v="54"/>
    <x v="0"/>
    <x v="0"/>
    <x v="63"/>
    <x v="54"/>
    <x v="28"/>
    <x v="47"/>
    <x v="37"/>
    <x v="16"/>
    <x v="20"/>
    <x v="22"/>
    <x v="17"/>
    <x v="17"/>
    <x v="30"/>
    <x v="0"/>
    <x v="0"/>
    <x v="30"/>
    <x v="28"/>
    <x v="1"/>
    <x v="0"/>
    <x v="1"/>
    <x v="0"/>
    <x v="0"/>
    <x v="53"/>
    <x v="37"/>
    <x v="1"/>
    <x v="30"/>
    <x v="0"/>
    <x v="0"/>
    <x v="30"/>
    <x v="28"/>
    <x v="31"/>
    <x v="0"/>
    <x v="0"/>
    <x v="39"/>
    <x v="36"/>
    <x v="19"/>
    <x v="47"/>
    <x v="63"/>
    <x v="0"/>
    <x v="0"/>
    <x v="0"/>
    <x v="0"/>
    <x v="63"/>
    <x v="54"/>
    <x v="0"/>
    <x v="0"/>
    <x v="30"/>
    <x v="30"/>
    <x v="0"/>
    <x v="0"/>
    <x v="30"/>
    <x v="30"/>
    <x v="0"/>
    <x v="0"/>
    <x v="39"/>
    <x v="39"/>
    <x v="0"/>
  </r>
  <r>
    <x v="0"/>
    <x v="24"/>
    <x v="16"/>
    <x v="1"/>
    <x v="2"/>
    <x v="3"/>
    <x v="0"/>
    <x v="51"/>
    <x v="0"/>
    <x v="0"/>
    <x v="0"/>
    <x v="0"/>
    <x v="1"/>
    <x v="0"/>
    <x v="0"/>
    <x v="0"/>
    <x v="51"/>
    <x v="0"/>
    <x v="0"/>
    <x v="60"/>
    <x v="51"/>
    <x v="35"/>
    <x v="49"/>
    <x v="46"/>
    <x v="17"/>
    <x v="24"/>
    <x v="14"/>
    <x v="21"/>
    <x v="20"/>
    <x v="24"/>
    <x v="0"/>
    <x v="0"/>
    <x v="25"/>
    <x v="23"/>
    <x v="0"/>
    <x v="0"/>
    <x v="0"/>
    <x v="0"/>
    <x v="0"/>
    <x v="24"/>
    <x v="23"/>
    <x v="0"/>
    <x v="24"/>
    <x v="0"/>
    <x v="0"/>
    <x v="25"/>
    <x v="23"/>
    <x v="24"/>
    <x v="0"/>
    <x v="0"/>
    <x v="25"/>
    <x v="28"/>
    <x v="53"/>
    <x v="29"/>
    <x v="32"/>
    <x v="0"/>
    <x v="0"/>
    <x v="0"/>
    <x v="0"/>
    <x v="60"/>
    <x v="51"/>
    <x v="0"/>
    <x v="0"/>
    <x v="25"/>
    <x v="24"/>
    <x v="0"/>
    <x v="0"/>
    <x v="25"/>
    <x v="24"/>
    <x v="0"/>
    <x v="0"/>
    <x v="25"/>
    <x v="25"/>
    <x v="0"/>
  </r>
  <r>
    <x v="2"/>
    <x v="24"/>
    <x v="16"/>
    <x v="1"/>
    <x v="2"/>
    <x v="3"/>
    <x v="1"/>
    <x v="40"/>
    <x v="0"/>
    <x v="0"/>
    <x v="0"/>
    <x v="0"/>
    <x v="1"/>
    <x v="0"/>
    <x v="0"/>
    <x v="1"/>
    <x v="40"/>
    <x v="0"/>
    <x v="0"/>
    <x v="49"/>
    <x v="40"/>
    <x v="35"/>
    <x v="36"/>
    <x v="60"/>
    <x v="17"/>
    <x v="24"/>
    <x v="14"/>
    <x v="21"/>
    <x v="20"/>
    <x v="30"/>
    <x v="0"/>
    <x v="0"/>
    <x v="30"/>
    <x v="28"/>
    <x v="1"/>
    <x v="0"/>
    <x v="1"/>
    <x v="0"/>
    <x v="0"/>
    <x v="38"/>
    <x v="21"/>
    <x v="1"/>
    <x v="30"/>
    <x v="0"/>
    <x v="0"/>
    <x v="30"/>
    <x v="28"/>
    <x v="31"/>
    <x v="0"/>
    <x v="0"/>
    <x v="39"/>
    <x v="36"/>
    <x v="26"/>
    <x v="70"/>
    <x v="58"/>
    <x v="0"/>
    <x v="0"/>
    <x v="0"/>
    <x v="0"/>
    <x v="49"/>
    <x v="40"/>
    <x v="0"/>
    <x v="0"/>
    <x v="30"/>
    <x v="30"/>
    <x v="0"/>
    <x v="0"/>
    <x v="30"/>
    <x v="30"/>
    <x v="0"/>
    <x v="0"/>
    <x v="39"/>
    <x v="39"/>
    <x v="0"/>
  </r>
  <r>
    <x v="1"/>
    <x v="25"/>
    <x v="4"/>
    <x v="1"/>
    <x v="1"/>
    <x v="2"/>
    <x v="0"/>
    <x v="9"/>
    <x v="0"/>
    <x v="0"/>
    <x v="0"/>
    <x v="0"/>
    <x v="1"/>
    <x v="0"/>
    <x v="0"/>
    <x v="0"/>
    <x v="9"/>
    <x v="0"/>
    <x v="0"/>
    <x v="16"/>
    <x v="9"/>
    <x v="38"/>
    <x v="4"/>
    <x v="76"/>
    <x v="0"/>
    <x v="4"/>
    <x v="0"/>
    <x v="39"/>
    <x v="0"/>
    <x v="30"/>
    <x v="0"/>
    <x v="0"/>
    <x v="30"/>
    <x v="28"/>
    <x v="1"/>
    <x v="0"/>
    <x v="0"/>
    <x v="0"/>
    <x v="0"/>
    <x v="7"/>
    <x v="46"/>
    <x v="0"/>
    <x v="30"/>
    <x v="0"/>
    <x v="0"/>
    <x v="30"/>
    <x v="28"/>
    <x v="30"/>
    <x v="0"/>
    <x v="0"/>
    <x v="32"/>
    <x v="30"/>
    <x v="0"/>
    <x v="11"/>
    <x v="6"/>
    <x v="0"/>
    <x v="0"/>
    <x v="0"/>
    <x v="0"/>
    <x v="16"/>
    <x v="9"/>
    <x v="0"/>
    <x v="0"/>
    <x v="30"/>
    <x v="30"/>
    <x v="0"/>
    <x v="0"/>
    <x v="30"/>
    <x v="30"/>
    <x v="0"/>
    <x v="0"/>
    <x v="32"/>
    <x v="36"/>
    <x v="0"/>
  </r>
  <r>
    <x v="2"/>
    <x v="25"/>
    <x v="4"/>
    <x v="1"/>
    <x v="1"/>
    <x v="2"/>
    <x v="1"/>
    <x v="0"/>
    <x v="0"/>
    <x v="0"/>
    <x v="0"/>
    <x v="0"/>
    <x v="1"/>
    <x v="0"/>
    <x v="0"/>
    <x v="1"/>
    <x v="0"/>
    <x v="0"/>
    <x v="0"/>
    <x v="0"/>
    <x v="0"/>
    <x v="38"/>
    <x v="0"/>
    <x v="77"/>
    <x v="0"/>
    <x v="4"/>
    <x v="0"/>
    <x v="39"/>
    <x v="0"/>
    <x v="30"/>
    <x v="0"/>
    <x v="0"/>
    <x v="30"/>
    <x v="28"/>
    <x v="1"/>
    <x v="0"/>
    <x v="1"/>
    <x v="0"/>
    <x v="0"/>
    <x v="67"/>
    <x v="66"/>
    <x v="1"/>
    <x v="30"/>
    <x v="0"/>
    <x v="0"/>
    <x v="30"/>
    <x v="28"/>
    <x v="31"/>
    <x v="0"/>
    <x v="0"/>
    <x v="39"/>
    <x v="36"/>
    <x v="69"/>
    <x v="66"/>
    <x v="44"/>
    <x v="0"/>
    <x v="0"/>
    <x v="0"/>
    <x v="0"/>
    <x v="0"/>
    <x v="0"/>
    <x v="0"/>
    <x v="0"/>
    <x v="30"/>
    <x v="30"/>
    <x v="0"/>
    <x v="0"/>
    <x v="30"/>
    <x v="30"/>
    <x v="0"/>
    <x v="0"/>
    <x v="39"/>
    <x v="39"/>
    <x v="0"/>
  </r>
  <r>
    <x v="0"/>
    <x v="26"/>
    <x v="4"/>
    <x v="1"/>
    <x v="1"/>
    <x v="2"/>
    <x v="0"/>
    <x v="10"/>
    <x v="0"/>
    <x v="0"/>
    <x v="0"/>
    <x v="0"/>
    <x v="1"/>
    <x v="0"/>
    <x v="0"/>
    <x v="0"/>
    <x v="10"/>
    <x v="0"/>
    <x v="0"/>
    <x v="19"/>
    <x v="10"/>
    <x v="17"/>
    <x v="4"/>
    <x v="47"/>
    <x v="0"/>
    <x v="4"/>
    <x v="0"/>
    <x v="27"/>
    <x v="0"/>
    <x v="30"/>
    <x v="0"/>
    <x v="0"/>
    <x v="30"/>
    <x v="28"/>
    <x v="1"/>
    <x v="0"/>
    <x v="0"/>
    <x v="0"/>
    <x v="0"/>
    <x v="8"/>
    <x v="49"/>
    <x v="0"/>
    <x v="30"/>
    <x v="0"/>
    <x v="0"/>
    <x v="30"/>
    <x v="28"/>
    <x v="30"/>
    <x v="0"/>
    <x v="0"/>
    <x v="31"/>
    <x v="31"/>
    <x v="6"/>
    <x v="15"/>
    <x v="9"/>
    <x v="0"/>
    <x v="0"/>
    <x v="0"/>
    <x v="0"/>
    <x v="19"/>
    <x v="10"/>
    <x v="0"/>
    <x v="0"/>
    <x v="30"/>
    <x v="30"/>
    <x v="0"/>
    <x v="0"/>
    <x v="30"/>
    <x v="30"/>
    <x v="0"/>
    <x v="0"/>
    <x v="31"/>
    <x v="37"/>
    <x v="0"/>
  </r>
  <r>
    <x v="2"/>
    <x v="26"/>
    <x v="4"/>
    <x v="1"/>
    <x v="1"/>
    <x v="2"/>
    <x v="1"/>
    <x v="0"/>
    <x v="0"/>
    <x v="0"/>
    <x v="0"/>
    <x v="0"/>
    <x v="1"/>
    <x v="0"/>
    <x v="0"/>
    <x v="1"/>
    <x v="0"/>
    <x v="0"/>
    <x v="0"/>
    <x v="4"/>
    <x v="0"/>
    <x v="17"/>
    <x v="0"/>
    <x v="48"/>
    <x v="0"/>
    <x v="4"/>
    <x v="0"/>
    <x v="27"/>
    <x v="0"/>
    <x v="30"/>
    <x v="0"/>
    <x v="0"/>
    <x v="30"/>
    <x v="28"/>
    <x v="1"/>
    <x v="0"/>
    <x v="1"/>
    <x v="0"/>
    <x v="0"/>
    <x v="67"/>
    <x v="77"/>
    <x v="1"/>
    <x v="30"/>
    <x v="0"/>
    <x v="0"/>
    <x v="30"/>
    <x v="28"/>
    <x v="31"/>
    <x v="0"/>
    <x v="0"/>
    <x v="39"/>
    <x v="36"/>
    <x v="69"/>
    <x v="49"/>
    <x v="36"/>
    <x v="0"/>
    <x v="0"/>
    <x v="0"/>
    <x v="0"/>
    <x v="4"/>
    <x v="0"/>
    <x v="0"/>
    <x v="0"/>
    <x v="30"/>
    <x v="30"/>
    <x v="0"/>
    <x v="0"/>
    <x v="30"/>
    <x v="30"/>
    <x v="0"/>
    <x v="0"/>
    <x v="39"/>
    <x v="39"/>
    <x v="0"/>
  </r>
  <r>
    <x v="1"/>
    <x v="27"/>
    <x v="12"/>
    <x v="1"/>
    <x v="2"/>
    <x v="3"/>
    <x v="0"/>
    <x v="21"/>
    <x v="0"/>
    <x v="0"/>
    <x v="0"/>
    <x v="0"/>
    <x v="1"/>
    <x v="0"/>
    <x v="0"/>
    <x v="0"/>
    <x v="21"/>
    <x v="0"/>
    <x v="0"/>
    <x v="31"/>
    <x v="20"/>
    <x v="6"/>
    <x v="12"/>
    <x v="25"/>
    <x v="10"/>
    <x v="8"/>
    <x v="21"/>
    <x v="11"/>
    <x v="13"/>
    <x v="5"/>
    <x v="0"/>
    <x v="0"/>
    <x v="4"/>
    <x v="3"/>
    <x v="0"/>
    <x v="0"/>
    <x v="0"/>
    <x v="0"/>
    <x v="0"/>
    <x v="15"/>
    <x v="16"/>
    <x v="0"/>
    <x v="5"/>
    <x v="0"/>
    <x v="0"/>
    <x v="4"/>
    <x v="3"/>
    <x v="5"/>
    <x v="0"/>
    <x v="0"/>
    <x v="4"/>
    <x v="3"/>
    <x v="51"/>
    <x v="30"/>
    <x v="20"/>
    <x v="0"/>
    <x v="0"/>
    <x v="0"/>
    <x v="0"/>
    <x v="31"/>
    <x v="21"/>
    <x v="0"/>
    <x v="0"/>
    <x v="4"/>
    <x v="5"/>
    <x v="0"/>
    <x v="0"/>
    <x v="4"/>
    <x v="5"/>
    <x v="0"/>
    <x v="0"/>
    <x v="4"/>
    <x v="5"/>
    <x v="0"/>
  </r>
  <r>
    <x v="2"/>
    <x v="27"/>
    <x v="12"/>
    <x v="1"/>
    <x v="2"/>
    <x v="3"/>
    <x v="1"/>
    <x v="49"/>
    <x v="0"/>
    <x v="0"/>
    <x v="0"/>
    <x v="0"/>
    <x v="1"/>
    <x v="0"/>
    <x v="0"/>
    <x v="1"/>
    <x v="49"/>
    <x v="0"/>
    <x v="0"/>
    <x v="58"/>
    <x v="49"/>
    <x v="6"/>
    <x v="41"/>
    <x v="13"/>
    <x v="10"/>
    <x v="8"/>
    <x v="21"/>
    <x v="11"/>
    <x v="13"/>
    <x v="30"/>
    <x v="0"/>
    <x v="0"/>
    <x v="30"/>
    <x v="28"/>
    <x v="1"/>
    <x v="0"/>
    <x v="1"/>
    <x v="0"/>
    <x v="0"/>
    <x v="51"/>
    <x v="61"/>
    <x v="1"/>
    <x v="30"/>
    <x v="0"/>
    <x v="0"/>
    <x v="30"/>
    <x v="28"/>
    <x v="31"/>
    <x v="0"/>
    <x v="0"/>
    <x v="39"/>
    <x v="36"/>
    <x v="23"/>
    <x v="51"/>
    <x v="62"/>
    <x v="0"/>
    <x v="0"/>
    <x v="0"/>
    <x v="0"/>
    <x v="58"/>
    <x v="49"/>
    <x v="0"/>
    <x v="0"/>
    <x v="30"/>
    <x v="30"/>
    <x v="0"/>
    <x v="0"/>
    <x v="30"/>
    <x v="30"/>
    <x v="0"/>
    <x v="0"/>
    <x v="39"/>
    <x v="39"/>
    <x v="0"/>
  </r>
  <r>
    <x v="0"/>
    <x v="28"/>
    <x v="12"/>
    <x v="1"/>
    <x v="2"/>
    <x v="3"/>
    <x v="0"/>
    <x v="17"/>
    <x v="0"/>
    <x v="0"/>
    <x v="0"/>
    <x v="0"/>
    <x v="1"/>
    <x v="0"/>
    <x v="0"/>
    <x v="0"/>
    <x v="17"/>
    <x v="0"/>
    <x v="0"/>
    <x v="25"/>
    <x v="17"/>
    <x v="31"/>
    <x v="9"/>
    <x v="67"/>
    <x v="4"/>
    <x v="6"/>
    <x v="9"/>
    <x v="34"/>
    <x v="7"/>
    <x v="4"/>
    <x v="0"/>
    <x v="0"/>
    <x v="5"/>
    <x v="2"/>
    <x v="0"/>
    <x v="0"/>
    <x v="0"/>
    <x v="0"/>
    <x v="0"/>
    <x v="10"/>
    <x v="30"/>
    <x v="0"/>
    <x v="4"/>
    <x v="0"/>
    <x v="0"/>
    <x v="5"/>
    <x v="2"/>
    <x v="4"/>
    <x v="0"/>
    <x v="0"/>
    <x v="5"/>
    <x v="2"/>
    <x v="22"/>
    <x v="36"/>
    <x v="16"/>
    <x v="0"/>
    <x v="0"/>
    <x v="0"/>
    <x v="0"/>
    <x v="26"/>
    <x v="17"/>
    <x v="0"/>
    <x v="0"/>
    <x v="5"/>
    <x v="4"/>
    <x v="0"/>
    <x v="0"/>
    <x v="5"/>
    <x v="4"/>
    <x v="0"/>
    <x v="0"/>
    <x v="5"/>
    <x v="4"/>
    <x v="0"/>
  </r>
  <r>
    <x v="2"/>
    <x v="28"/>
    <x v="12"/>
    <x v="1"/>
    <x v="2"/>
    <x v="3"/>
    <x v="1"/>
    <x v="33"/>
    <x v="0"/>
    <x v="0"/>
    <x v="0"/>
    <x v="0"/>
    <x v="1"/>
    <x v="0"/>
    <x v="0"/>
    <x v="1"/>
    <x v="33"/>
    <x v="0"/>
    <x v="0"/>
    <x v="42"/>
    <x v="33"/>
    <x v="31"/>
    <x v="25"/>
    <x v="64"/>
    <x v="4"/>
    <x v="6"/>
    <x v="9"/>
    <x v="34"/>
    <x v="7"/>
    <x v="30"/>
    <x v="0"/>
    <x v="0"/>
    <x v="30"/>
    <x v="28"/>
    <x v="1"/>
    <x v="0"/>
    <x v="1"/>
    <x v="0"/>
    <x v="0"/>
    <x v="35"/>
    <x v="75"/>
    <x v="1"/>
    <x v="30"/>
    <x v="0"/>
    <x v="0"/>
    <x v="30"/>
    <x v="28"/>
    <x v="31"/>
    <x v="0"/>
    <x v="0"/>
    <x v="39"/>
    <x v="36"/>
    <x v="16"/>
    <x v="43"/>
    <x v="51"/>
    <x v="0"/>
    <x v="0"/>
    <x v="0"/>
    <x v="0"/>
    <x v="42"/>
    <x v="33"/>
    <x v="0"/>
    <x v="0"/>
    <x v="30"/>
    <x v="30"/>
    <x v="0"/>
    <x v="0"/>
    <x v="30"/>
    <x v="30"/>
    <x v="0"/>
    <x v="0"/>
    <x v="39"/>
    <x v="39"/>
    <x v="0"/>
  </r>
  <r>
    <x v="1"/>
    <x v="29"/>
    <x v="16"/>
    <x v="1"/>
    <x v="2"/>
    <x v="3"/>
    <x v="0"/>
    <x v="46"/>
    <x v="0"/>
    <x v="0"/>
    <x v="0"/>
    <x v="0"/>
    <x v="1"/>
    <x v="0"/>
    <x v="0"/>
    <x v="0"/>
    <x v="46"/>
    <x v="0"/>
    <x v="0"/>
    <x v="55"/>
    <x v="46"/>
    <x v="2"/>
    <x v="39"/>
    <x v="12"/>
    <x v="14"/>
    <x v="22"/>
    <x v="11"/>
    <x v="8"/>
    <x v="18"/>
    <x v="22"/>
    <x v="0"/>
    <x v="0"/>
    <x v="23"/>
    <x v="20"/>
    <x v="0"/>
    <x v="0"/>
    <x v="0"/>
    <x v="0"/>
    <x v="0"/>
    <x v="25"/>
    <x v="25"/>
    <x v="0"/>
    <x v="22"/>
    <x v="0"/>
    <x v="0"/>
    <x v="23"/>
    <x v="20"/>
    <x v="22"/>
    <x v="0"/>
    <x v="0"/>
    <x v="23"/>
    <x v="25"/>
    <x v="54"/>
    <x v="38"/>
    <x v="30"/>
    <x v="0"/>
    <x v="0"/>
    <x v="0"/>
    <x v="0"/>
    <x v="55"/>
    <x v="46"/>
    <x v="0"/>
    <x v="0"/>
    <x v="23"/>
    <x v="22"/>
    <x v="0"/>
    <x v="0"/>
    <x v="23"/>
    <x v="22"/>
    <x v="0"/>
    <x v="0"/>
    <x v="23"/>
    <x v="23"/>
    <x v="0"/>
  </r>
  <r>
    <x v="2"/>
    <x v="29"/>
    <x v="16"/>
    <x v="1"/>
    <x v="2"/>
    <x v="3"/>
    <x v="1"/>
    <x v="37"/>
    <x v="0"/>
    <x v="0"/>
    <x v="0"/>
    <x v="0"/>
    <x v="1"/>
    <x v="0"/>
    <x v="0"/>
    <x v="1"/>
    <x v="37"/>
    <x v="0"/>
    <x v="0"/>
    <x v="46"/>
    <x v="37"/>
    <x v="2"/>
    <x v="30"/>
    <x v="17"/>
    <x v="14"/>
    <x v="22"/>
    <x v="11"/>
    <x v="8"/>
    <x v="18"/>
    <x v="30"/>
    <x v="0"/>
    <x v="0"/>
    <x v="30"/>
    <x v="28"/>
    <x v="1"/>
    <x v="0"/>
    <x v="1"/>
    <x v="0"/>
    <x v="0"/>
    <x v="48"/>
    <x v="28"/>
    <x v="1"/>
    <x v="30"/>
    <x v="0"/>
    <x v="0"/>
    <x v="30"/>
    <x v="28"/>
    <x v="31"/>
    <x v="0"/>
    <x v="0"/>
    <x v="39"/>
    <x v="36"/>
    <x v="39"/>
    <x v="72"/>
    <x v="57"/>
    <x v="0"/>
    <x v="0"/>
    <x v="0"/>
    <x v="0"/>
    <x v="46"/>
    <x v="37"/>
    <x v="0"/>
    <x v="0"/>
    <x v="30"/>
    <x v="30"/>
    <x v="0"/>
    <x v="0"/>
    <x v="30"/>
    <x v="30"/>
    <x v="0"/>
    <x v="0"/>
    <x v="39"/>
    <x v="39"/>
    <x v="0"/>
  </r>
  <r>
    <x v="0"/>
    <x v="30"/>
    <x v="5"/>
    <x v="1"/>
    <x v="1"/>
    <x v="2"/>
    <x v="0"/>
    <x v="0"/>
    <x v="0"/>
    <x v="0"/>
    <x v="0"/>
    <x v="0"/>
    <x v="1"/>
    <x v="0"/>
    <x v="0"/>
    <x v="0"/>
    <x v="0"/>
    <x v="0"/>
    <x v="0"/>
    <x v="3"/>
    <x v="0"/>
    <x v="21"/>
    <x v="0"/>
    <x v="56"/>
    <x v="0"/>
    <x v="0"/>
    <x v="0"/>
    <x v="32"/>
    <x v="0"/>
    <x v="30"/>
    <x v="0"/>
    <x v="0"/>
    <x v="30"/>
    <x v="28"/>
    <x v="1"/>
    <x v="0"/>
    <x v="0"/>
    <x v="0"/>
    <x v="0"/>
    <x v="67"/>
    <x v="48"/>
    <x v="0"/>
    <x v="30"/>
    <x v="0"/>
    <x v="0"/>
    <x v="30"/>
    <x v="28"/>
    <x v="31"/>
    <x v="0"/>
    <x v="0"/>
    <x v="39"/>
    <x v="36"/>
    <x v="69"/>
    <x v="7"/>
    <x v="4"/>
    <x v="0"/>
    <x v="0"/>
    <x v="0"/>
    <x v="0"/>
    <x v="3"/>
    <x v="0"/>
    <x v="0"/>
    <x v="0"/>
    <x v="30"/>
    <x v="30"/>
    <x v="0"/>
    <x v="0"/>
    <x v="30"/>
    <x v="30"/>
    <x v="0"/>
    <x v="0"/>
    <x v="39"/>
    <x v="39"/>
    <x v="0"/>
  </r>
  <r>
    <x v="2"/>
    <x v="30"/>
    <x v="5"/>
    <x v="1"/>
    <x v="1"/>
    <x v="2"/>
    <x v="1"/>
    <x v="0"/>
    <x v="0"/>
    <x v="0"/>
    <x v="0"/>
    <x v="0"/>
    <x v="1"/>
    <x v="0"/>
    <x v="0"/>
    <x v="1"/>
    <x v="0"/>
    <x v="0"/>
    <x v="0"/>
    <x v="3"/>
    <x v="0"/>
    <x v="21"/>
    <x v="0"/>
    <x v="56"/>
    <x v="0"/>
    <x v="0"/>
    <x v="0"/>
    <x v="32"/>
    <x v="0"/>
    <x v="30"/>
    <x v="0"/>
    <x v="0"/>
    <x v="30"/>
    <x v="28"/>
    <x v="1"/>
    <x v="0"/>
    <x v="1"/>
    <x v="0"/>
    <x v="0"/>
    <x v="67"/>
    <x v="69"/>
    <x v="1"/>
    <x v="30"/>
    <x v="0"/>
    <x v="0"/>
    <x v="30"/>
    <x v="28"/>
    <x v="31"/>
    <x v="0"/>
    <x v="0"/>
    <x v="39"/>
    <x v="36"/>
    <x v="69"/>
    <x v="59"/>
    <x v="40"/>
    <x v="0"/>
    <x v="0"/>
    <x v="0"/>
    <x v="0"/>
    <x v="3"/>
    <x v="0"/>
    <x v="0"/>
    <x v="0"/>
    <x v="30"/>
    <x v="30"/>
    <x v="0"/>
    <x v="0"/>
    <x v="30"/>
    <x v="30"/>
    <x v="0"/>
    <x v="0"/>
    <x v="39"/>
    <x v="39"/>
    <x v="0"/>
  </r>
  <r>
    <x v="1"/>
    <x v="31"/>
    <x v="5"/>
    <x v="1"/>
    <x v="1"/>
    <x v="2"/>
    <x v="0"/>
    <x v="4"/>
    <x v="0"/>
    <x v="0"/>
    <x v="0"/>
    <x v="0"/>
    <x v="1"/>
    <x v="0"/>
    <x v="0"/>
    <x v="0"/>
    <x v="4"/>
    <x v="0"/>
    <x v="0"/>
    <x v="13"/>
    <x v="4"/>
    <x v="32"/>
    <x v="2"/>
    <x v="68"/>
    <x v="0"/>
    <x v="2"/>
    <x v="0"/>
    <x v="35"/>
    <x v="0"/>
    <x v="30"/>
    <x v="0"/>
    <x v="0"/>
    <x v="30"/>
    <x v="28"/>
    <x v="1"/>
    <x v="0"/>
    <x v="0"/>
    <x v="0"/>
    <x v="0"/>
    <x v="45"/>
    <x v="45"/>
    <x v="0"/>
    <x v="30"/>
    <x v="0"/>
    <x v="0"/>
    <x v="30"/>
    <x v="28"/>
    <x v="30"/>
    <x v="0"/>
    <x v="0"/>
    <x v="36"/>
    <x v="8"/>
    <x v="9"/>
    <x v="14"/>
    <x v="8"/>
    <x v="0"/>
    <x v="0"/>
    <x v="0"/>
    <x v="0"/>
    <x v="13"/>
    <x v="4"/>
    <x v="0"/>
    <x v="0"/>
    <x v="30"/>
    <x v="30"/>
    <x v="0"/>
    <x v="0"/>
    <x v="30"/>
    <x v="30"/>
    <x v="0"/>
    <x v="0"/>
    <x v="37"/>
    <x v="29"/>
    <x v="0"/>
  </r>
  <r>
    <x v="2"/>
    <x v="31"/>
    <x v="5"/>
    <x v="1"/>
    <x v="1"/>
    <x v="2"/>
    <x v="1"/>
    <x v="0"/>
    <x v="0"/>
    <x v="0"/>
    <x v="0"/>
    <x v="0"/>
    <x v="1"/>
    <x v="0"/>
    <x v="0"/>
    <x v="1"/>
    <x v="0"/>
    <x v="0"/>
    <x v="0"/>
    <x v="2"/>
    <x v="0"/>
    <x v="32"/>
    <x v="0"/>
    <x v="69"/>
    <x v="0"/>
    <x v="2"/>
    <x v="0"/>
    <x v="35"/>
    <x v="0"/>
    <x v="30"/>
    <x v="0"/>
    <x v="0"/>
    <x v="30"/>
    <x v="28"/>
    <x v="1"/>
    <x v="0"/>
    <x v="1"/>
    <x v="0"/>
    <x v="0"/>
    <x v="67"/>
    <x v="78"/>
    <x v="1"/>
    <x v="30"/>
    <x v="0"/>
    <x v="0"/>
    <x v="30"/>
    <x v="28"/>
    <x v="31"/>
    <x v="0"/>
    <x v="0"/>
    <x v="39"/>
    <x v="36"/>
    <x v="69"/>
    <x v="48"/>
    <x v="35"/>
    <x v="0"/>
    <x v="0"/>
    <x v="0"/>
    <x v="0"/>
    <x v="2"/>
    <x v="0"/>
    <x v="0"/>
    <x v="0"/>
    <x v="30"/>
    <x v="30"/>
    <x v="0"/>
    <x v="0"/>
    <x v="30"/>
    <x v="30"/>
    <x v="0"/>
    <x v="0"/>
    <x v="39"/>
    <x v="39"/>
    <x v="0"/>
  </r>
  <r>
    <x v="0"/>
    <x v="32"/>
    <x v="13"/>
    <x v="1"/>
    <x v="2"/>
    <x v="3"/>
    <x v="0"/>
    <x v="14"/>
    <x v="0"/>
    <x v="0"/>
    <x v="0"/>
    <x v="0"/>
    <x v="1"/>
    <x v="0"/>
    <x v="0"/>
    <x v="0"/>
    <x v="14"/>
    <x v="0"/>
    <x v="0"/>
    <x v="23"/>
    <x v="14"/>
    <x v="14"/>
    <x v="6"/>
    <x v="41"/>
    <x v="1"/>
    <x v="5"/>
    <x v="1"/>
    <x v="25"/>
    <x v="1"/>
    <x v="8"/>
    <x v="0"/>
    <x v="0"/>
    <x v="10"/>
    <x v="4"/>
    <x v="0"/>
    <x v="0"/>
    <x v="0"/>
    <x v="0"/>
    <x v="0"/>
    <x v="16"/>
    <x v="36"/>
    <x v="0"/>
    <x v="8"/>
    <x v="0"/>
    <x v="0"/>
    <x v="10"/>
    <x v="4"/>
    <x v="8"/>
    <x v="0"/>
    <x v="0"/>
    <x v="12"/>
    <x v="4"/>
    <x v="50"/>
    <x v="35"/>
    <x v="15"/>
    <x v="0"/>
    <x v="0"/>
    <x v="0"/>
    <x v="0"/>
    <x v="23"/>
    <x v="14"/>
    <x v="0"/>
    <x v="0"/>
    <x v="8"/>
    <x v="8"/>
    <x v="0"/>
    <x v="0"/>
    <x v="8"/>
    <x v="8"/>
    <x v="0"/>
    <x v="0"/>
    <x v="8"/>
    <x v="8"/>
    <x v="0"/>
  </r>
  <r>
    <x v="2"/>
    <x v="32"/>
    <x v="13"/>
    <x v="1"/>
    <x v="2"/>
    <x v="3"/>
    <x v="1"/>
    <x v="15"/>
    <x v="0"/>
    <x v="0"/>
    <x v="0"/>
    <x v="0"/>
    <x v="1"/>
    <x v="0"/>
    <x v="0"/>
    <x v="1"/>
    <x v="15"/>
    <x v="0"/>
    <x v="0"/>
    <x v="24"/>
    <x v="15"/>
    <x v="14"/>
    <x v="7"/>
    <x v="40"/>
    <x v="1"/>
    <x v="5"/>
    <x v="1"/>
    <x v="25"/>
    <x v="1"/>
    <x v="30"/>
    <x v="0"/>
    <x v="0"/>
    <x v="30"/>
    <x v="28"/>
    <x v="1"/>
    <x v="0"/>
    <x v="1"/>
    <x v="0"/>
    <x v="0"/>
    <x v="62"/>
    <x v="57"/>
    <x v="1"/>
    <x v="30"/>
    <x v="0"/>
    <x v="0"/>
    <x v="30"/>
    <x v="28"/>
    <x v="31"/>
    <x v="0"/>
    <x v="0"/>
    <x v="39"/>
    <x v="36"/>
    <x v="42"/>
    <x v="76"/>
    <x v="50"/>
    <x v="0"/>
    <x v="0"/>
    <x v="0"/>
    <x v="0"/>
    <x v="24"/>
    <x v="15"/>
    <x v="0"/>
    <x v="0"/>
    <x v="30"/>
    <x v="30"/>
    <x v="0"/>
    <x v="0"/>
    <x v="30"/>
    <x v="30"/>
    <x v="0"/>
    <x v="0"/>
    <x v="39"/>
    <x v="39"/>
    <x v="0"/>
  </r>
  <r>
    <x v="1"/>
    <x v="33"/>
    <x v="13"/>
    <x v="1"/>
    <x v="2"/>
    <x v="3"/>
    <x v="0"/>
    <x v="16"/>
    <x v="0"/>
    <x v="0"/>
    <x v="0"/>
    <x v="0"/>
    <x v="1"/>
    <x v="0"/>
    <x v="0"/>
    <x v="0"/>
    <x v="16"/>
    <x v="0"/>
    <x v="0"/>
    <x v="26"/>
    <x v="16"/>
    <x v="27"/>
    <x v="8"/>
    <x v="63"/>
    <x v="2"/>
    <x v="7"/>
    <x v="2"/>
    <x v="33"/>
    <x v="4"/>
    <x v="12"/>
    <x v="0"/>
    <x v="0"/>
    <x v="15"/>
    <x v="7"/>
    <x v="0"/>
    <x v="0"/>
    <x v="0"/>
    <x v="0"/>
    <x v="0"/>
    <x v="30"/>
    <x v="34"/>
    <x v="0"/>
    <x v="12"/>
    <x v="0"/>
    <x v="0"/>
    <x v="15"/>
    <x v="7"/>
    <x v="12"/>
    <x v="0"/>
    <x v="0"/>
    <x v="15"/>
    <x v="10"/>
    <x v="60"/>
    <x v="37"/>
    <x v="17"/>
    <x v="0"/>
    <x v="0"/>
    <x v="0"/>
    <x v="0"/>
    <x v="25"/>
    <x v="16"/>
    <x v="0"/>
    <x v="0"/>
    <x v="15"/>
    <x v="9"/>
    <x v="0"/>
    <x v="0"/>
    <x v="15"/>
    <x v="9"/>
    <x v="0"/>
    <x v="0"/>
    <x v="15"/>
    <x v="10"/>
    <x v="0"/>
  </r>
  <r>
    <x v="2"/>
    <x v="33"/>
    <x v="13"/>
    <x v="1"/>
    <x v="2"/>
    <x v="3"/>
    <x v="1"/>
    <x v="18"/>
    <x v="0"/>
    <x v="0"/>
    <x v="0"/>
    <x v="0"/>
    <x v="1"/>
    <x v="0"/>
    <x v="0"/>
    <x v="1"/>
    <x v="18"/>
    <x v="0"/>
    <x v="0"/>
    <x v="27"/>
    <x v="18"/>
    <x v="27"/>
    <x v="10"/>
    <x v="62"/>
    <x v="2"/>
    <x v="7"/>
    <x v="2"/>
    <x v="33"/>
    <x v="4"/>
    <x v="30"/>
    <x v="0"/>
    <x v="0"/>
    <x v="30"/>
    <x v="28"/>
    <x v="1"/>
    <x v="0"/>
    <x v="1"/>
    <x v="0"/>
    <x v="0"/>
    <x v="50"/>
    <x v="60"/>
    <x v="1"/>
    <x v="30"/>
    <x v="0"/>
    <x v="0"/>
    <x v="30"/>
    <x v="28"/>
    <x v="31"/>
    <x v="0"/>
    <x v="0"/>
    <x v="39"/>
    <x v="36"/>
    <x v="36"/>
    <x v="74"/>
    <x v="49"/>
    <x v="0"/>
    <x v="0"/>
    <x v="0"/>
    <x v="0"/>
    <x v="27"/>
    <x v="18"/>
    <x v="0"/>
    <x v="0"/>
    <x v="30"/>
    <x v="30"/>
    <x v="0"/>
    <x v="0"/>
    <x v="30"/>
    <x v="30"/>
    <x v="0"/>
    <x v="0"/>
    <x v="39"/>
    <x v="39"/>
    <x v="0"/>
  </r>
  <r>
    <x v="0"/>
    <x v="34"/>
    <x v="6"/>
    <x v="0"/>
    <x v="0"/>
    <x v="0"/>
    <x v="0"/>
    <x v="68"/>
    <x v="0"/>
    <x v="0"/>
    <x v="0"/>
    <x v="0"/>
    <x v="1"/>
    <x v="0"/>
    <x v="0"/>
    <x v="0"/>
    <x v="68"/>
    <x v="0"/>
    <x v="0"/>
    <x v="77"/>
    <x v="68"/>
    <x v="3"/>
    <x v="60"/>
    <x v="2"/>
    <x v="24"/>
    <x v="29"/>
    <x v="27"/>
    <x v="1"/>
    <x v="0"/>
    <x v="26"/>
    <x v="0"/>
    <x v="0"/>
    <x v="24"/>
    <x v="24"/>
    <x v="0"/>
    <x v="0"/>
    <x v="0"/>
    <x v="0"/>
    <x v="0"/>
    <x v="37"/>
    <x v="8"/>
    <x v="0"/>
    <x v="26"/>
    <x v="0"/>
    <x v="0"/>
    <x v="24"/>
    <x v="24"/>
    <x v="26"/>
    <x v="0"/>
    <x v="0"/>
    <x v="24"/>
    <x v="29"/>
    <x v="64"/>
    <x v="20"/>
    <x v="78"/>
    <x v="0"/>
    <x v="0"/>
    <x v="0"/>
    <x v="0"/>
    <x v="77"/>
    <x v="68"/>
    <x v="0"/>
    <x v="0"/>
    <x v="24"/>
    <x v="26"/>
    <x v="0"/>
    <x v="0"/>
    <x v="24"/>
    <x v="26"/>
    <x v="0"/>
    <x v="0"/>
    <x v="24"/>
    <x v="27"/>
    <x v="0"/>
  </r>
  <r>
    <x v="2"/>
    <x v="34"/>
    <x v="6"/>
    <x v="0"/>
    <x v="0"/>
    <x v="0"/>
    <x v="1"/>
    <x v="64"/>
    <x v="0"/>
    <x v="0"/>
    <x v="0"/>
    <x v="0"/>
    <x v="1"/>
    <x v="0"/>
    <x v="0"/>
    <x v="1"/>
    <x v="64"/>
    <x v="0"/>
    <x v="0"/>
    <x v="73"/>
    <x v="64"/>
    <x v="3"/>
    <x v="54"/>
    <x v="4"/>
    <x v="24"/>
    <x v="29"/>
    <x v="27"/>
    <x v="1"/>
    <x v="0"/>
    <x v="30"/>
    <x v="0"/>
    <x v="0"/>
    <x v="30"/>
    <x v="28"/>
    <x v="1"/>
    <x v="0"/>
    <x v="1"/>
    <x v="0"/>
    <x v="0"/>
    <x v="65"/>
    <x v="2"/>
    <x v="1"/>
    <x v="30"/>
    <x v="0"/>
    <x v="0"/>
    <x v="30"/>
    <x v="28"/>
    <x v="31"/>
    <x v="0"/>
    <x v="0"/>
    <x v="39"/>
    <x v="36"/>
    <x v="37"/>
    <x v="78"/>
    <x v="76"/>
    <x v="0"/>
    <x v="0"/>
    <x v="0"/>
    <x v="0"/>
    <x v="73"/>
    <x v="64"/>
    <x v="0"/>
    <x v="0"/>
    <x v="30"/>
    <x v="30"/>
    <x v="0"/>
    <x v="0"/>
    <x v="30"/>
    <x v="30"/>
    <x v="0"/>
    <x v="0"/>
    <x v="39"/>
    <x v="39"/>
    <x v="0"/>
  </r>
  <r>
    <x v="1"/>
    <x v="35"/>
    <x v="0"/>
    <x v="1"/>
    <x v="1"/>
    <x v="1"/>
    <x v="0"/>
    <x v="12"/>
    <x v="0"/>
    <x v="0"/>
    <x v="0"/>
    <x v="0"/>
    <x v="0"/>
    <x v="0"/>
    <x v="0"/>
    <x v="0"/>
    <x v="12"/>
    <x v="0"/>
    <x v="0"/>
    <x v="21"/>
    <x v="12"/>
    <x v="15"/>
    <x v="4"/>
    <x v="42"/>
    <x v="0"/>
    <x v="4"/>
    <x v="19"/>
    <x v="18"/>
    <x v="0"/>
    <x v="2"/>
    <x v="0"/>
    <x v="0"/>
    <x v="2"/>
    <x v="0"/>
    <x v="0"/>
    <x v="0"/>
    <x v="0"/>
    <x v="0"/>
    <x v="0"/>
    <x v="2"/>
    <x v="33"/>
    <x v="0"/>
    <x v="2"/>
    <x v="0"/>
    <x v="0"/>
    <x v="2"/>
    <x v="0"/>
    <x v="2"/>
    <x v="0"/>
    <x v="0"/>
    <x v="2"/>
    <x v="0"/>
    <x v="10"/>
    <x v="2"/>
    <x v="0"/>
    <x v="0"/>
    <x v="0"/>
    <x v="0"/>
    <x v="0"/>
    <x v="21"/>
    <x v="12"/>
    <x v="0"/>
    <x v="0"/>
    <x v="2"/>
    <x v="3"/>
    <x v="0"/>
    <x v="0"/>
    <x v="2"/>
    <x v="3"/>
    <x v="0"/>
    <x v="0"/>
    <x v="2"/>
    <x v="3"/>
    <x v="0"/>
  </r>
  <r>
    <x v="2"/>
    <x v="35"/>
    <x v="0"/>
    <x v="1"/>
    <x v="1"/>
    <x v="1"/>
    <x v="1"/>
    <x v="44"/>
    <x v="0"/>
    <x v="0"/>
    <x v="0"/>
    <x v="0"/>
    <x v="0"/>
    <x v="0"/>
    <x v="0"/>
    <x v="1"/>
    <x v="44"/>
    <x v="0"/>
    <x v="0"/>
    <x v="53"/>
    <x v="44"/>
    <x v="15"/>
    <x v="37"/>
    <x v="28"/>
    <x v="0"/>
    <x v="4"/>
    <x v="19"/>
    <x v="18"/>
    <x v="0"/>
    <x v="30"/>
    <x v="0"/>
    <x v="0"/>
    <x v="30"/>
    <x v="28"/>
    <x v="1"/>
    <x v="0"/>
    <x v="1"/>
    <x v="0"/>
    <x v="0"/>
    <x v="58"/>
    <x v="68"/>
    <x v="1"/>
    <x v="30"/>
    <x v="0"/>
    <x v="0"/>
    <x v="30"/>
    <x v="28"/>
    <x v="31"/>
    <x v="0"/>
    <x v="0"/>
    <x v="39"/>
    <x v="36"/>
    <x v="43"/>
    <x v="63"/>
    <x v="61"/>
    <x v="0"/>
    <x v="0"/>
    <x v="0"/>
    <x v="0"/>
    <x v="53"/>
    <x v="44"/>
    <x v="0"/>
    <x v="0"/>
    <x v="30"/>
    <x v="30"/>
    <x v="0"/>
    <x v="0"/>
    <x v="30"/>
    <x v="30"/>
    <x v="0"/>
    <x v="0"/>
    <x v="39"/>
    <x v="39"/>
    <x v="0"/>
  </r>
  <r>
    <x v="0"/>
    <x v="36"/>
    <x v="0"/>
    <x v="1"/>
    <x v="1"/>
    <x v="1"/>
    <x v="0"/>
    <x v="1"/>
    <x v="0"/>
    <x v="0"/>
    <x v="0"/>
    <x v="0"/>
    <x v="0"/>
    <x v="0"/>
    <x v="0"/>
    <x v="0"/>
    <x v="1"/>
    <x v="0"/>
    <x v="0"/>
    <x v="10"/>
    <x v="1"/>
    <x v="25"/>
    <x v="1"/>
    <x v="61"/>
    <x v="0"/>
    <x v="1"/>
    <x v="6"/>
    <x v="30"/>
    <x v="0"/>
    <x v="3"/>
    <x v="0"/>
    <x v="0"/>
    <x v="3"/>
    <x v="0"/>
    <x v="0"/>
    <x v="0"/>
    <x v="0"/>
    <x v="0"/>
    <x v="0"/>
    <x v="67"/>
    <x v="42"/>
    <x v="0"/>
    <x v="3"/>
    <x v="0"/>
    <x v="0"/>
    <x v="3"/>
    <x v="0"/>
    <x v="3"/>
    <x v="0"/>
    <x v="0"/>
    <x v="3"/>
    <x v="0"/>
    <x v="11"/>
    <x v="5"/>
    <x v="1"/>
    <x v="0"/>
    <x v="0"/>
    <x v="0"/>
    <x v="0"/>
    <x v="10"/>
    <x v="1"/>
    <x v="0"/>
    <x v="0"/>
    <x v="3"/>
    <x v="0"/>
    <x v="0"/>
    <x v="0"/>
    <x v="3"/>
    <x v="0"/>
    <x v="0"/>
    <x v="0"/>
    <x v="3"/>
    <x v="0"/>
    <x v="0"/>
  </r>
  <r>
    <x v="2"/>
    <x v="36"/>
    <x v="0"/>
    <x v="1"/>
    <x v="1"/>
    <x v="1"/>
    <x v="1"/>
    <x v="30"/>
    <x v="0"/>
    <x v="0"/>
    <x v="0"/>
    <x v="0"/>
    <x v="0"/>
    <x v="0"/>
    <x v="0"/>
    <x v="1"/>
    <x v="30"/>
    <x v="0"/>
    <x v="0"/>
    <x v="39"/>
    <x v="30"/>
    <x v="25"/>
    <x v="21"/>
    <x v="52"/>
    <x v="0"/>
    <x v="1"/>
    <x v="6"/>
    <x v="30"/>
    <x v="0"/>
    <x v="30"/>
    <x v="0"/>
    <x v="0"/>
    <x v="30"/>
    <x v="28"/>
    <x v="1"/>
    <x v="0"/>
    <x v="1"/>
    <x v="0"/>
    <x v="0"/>
    <x v="66"/>
    <x v="79"/>
    <x v="1"/>
    <x v="30"/>
    <x v="0"/>
    <x v="0"/>
    <x v="30"/>
    <x v="28"/>
    <x v="31"/>
    <x v="0"/>
    <x v="0"/>
    <x v="39"/>
    <x v="36"/>
    <x v="27"/>
    <x v="50"/>
    <x v="48"/>
    <x v="0"/>
    <x v="0"/>
    <x v="0"/>
    <x v="0"/>
    <x v="39"/>
    <x v="30"/>
    <x v="0"/>
    <x v="0"/>
    <x v="30"/>
    <x v="30"/>
    <x v="0"/>
    <x v="0"/>
    <x v="30"/>
    <x v="30"/>
    <x v="0"/>
    <x v="0"/>
    <x v="39"/>
    <x v="39"/>
    <x v="0"/>
  </r>
  <r>
    <x v="1"/>
    <x v="37"/>
    <x v="14"/>
    <x v="1"/>
    <x v="2"/>
    <x v="3"/>
    <x v="0"/>
    <x v="67"/>
    <x v="0"/>
    <x v="0"/>
    <x v="0"/>
    <x v="0"/>
    <x v="1"/>
    <x v="0"/>
    <x v="0"/>
    <x v="0"/>
    <x v="67"/>
    <x v="0"/>
    <x v="0"/>
    <x v="76"/>
    <x v="67"/>
    <x v="10"/>
    <x v="58"/>
    <x v="5"/>
    <x v="25"/>
    <x v="26"/>
    <x v="28"/>
    <x v="3"/>
    <x v="26"/>
    <x v="21"/>
    <x v="0"/>
    <x v="0"/>
    <x v="21"/>
    <x v="19"/>
    <x v="0"/>
    <x v="0"/>
    <x v="0"/>
    <x v="0"/>
    <x v="0"/>
    <x v="17"/>
    <x v="7"/>
    <x v="0"/>
    <x v="21"/>
    <x v="0"/>
    <x v="0"/>
    <x v="21"/>
    <x v="19"/>
    <x v="21"/>
    <x v="0"/>
    <x v="0"/>
    <x v="21"/>
    <x v="24"/>
    <x v="52"/>
    <x v="26"/>
    <x v="74"/>
    <x v="0"/>
    <x v="0"/>
    <x v="0"/>
    <x v="0"/>
    <x v="76"/>
    <x v="67"/>
    <x v="0"/>
    <x v="0"/>
    <x v="21"/>
    <x v="21"/>
    <x v="0"/>
    <x v="0"/>
    <x v="21"/>
    <x v="21"/>
    <x v="0"/>
    <x v="0"/>
    <x v="21"/>
    <x v="22"/>
    <x v="0"/>
  </r>
  <r>
    <x v="2"/>
    <x v="37"/>
    <x v="14"/>
    <x v="1"/>
    <x v="2"/>
    <x v="3"/>
    <x v="1"/>
    <x v="65"/>
    <x v="0"/>
    <x v="0"/>
    <x v="0"/>
    <x v="0"/>
    <x v="1"/>
    <x v="0"/>
    <x v="0"/>
    <x v="1"/>
    <x v="65"/>
    <x v="0"/>
    <x v="0"/>
    <x v="74"/>
    <x v="65"/>
    <x v="10"/>
    <x v="56"/>
    <x v="6"/>
    <x v="25"/>
    <x v="26"/>
    <x v="28"/>
    <x v="3"/>
    <x v="26"/>
    <x v="30"/>
    <x v="0"/>
    <x v="0"/>
    <x v="30"/>
    <x v="28"/>
    <x v="1"/>
    <x v="0"/>
    <x v="1"/>
    <x v="0"/>
    <x v="0"/>
    <x v="49"/>
    <x v="4"/>
    <x v="1"/>
    <x v="30"/>
    <x v="0"/>
    <x v="0"/>
    <x v="30"/>
    <x v="28"/>
    <x v="31"/>
    <x v="0"/>
    <x v="0"/>
    <x v="39"/>
    <x v="36"/>
    <x v="46"/>
    <x v="77"/>
    <x v="75"/>
    <x v="0"/>
    <x v="0"/>
    <x v="0"/>
    <x v="0"/>
    <x v="74"/>
    <x v="65"/>
    <x v="0"/>
    <x v="0"/>
    <x v="30"/>
    <x v="30"/>
    <x v="0"/>
    <x v="0"/>
    <x v="30"/>
    <x v="30"/>
    <x v="0"/>
    <x v="0"/>
    <x v="39"/>
    <x v="39"/>
    <x v="0"/>
  </r>
  <r>
    <x v="0"/>
    <x v="38"/>
    <x v="14"/>
    <x v="1"/>
    <x v="2"/>
    <x v="3"/>
    <x v="0"/>
    <x v="27"/>
    <x v="0"/>
    <x v="0"/>
    <x v="0"/>
    <x v="0"/>
    <x v="1"/>
    <x v="0"/>
    <x v="0"/>
    <x v="0"/>
    <x v="27"/>
    <x v="0"/>
    <x v="0"/>
    <x v="36"/>
    <x v="27"/>
    <x v="26"/>
    <x v="19"/>
    <x v="58"/>
    <x v="7"/>
    <x v="14"/>
    <x v="8"/>
    <x v="28"/>
    <x v="9"/>
    <x v="17"/>
    <x v="0"/>
    <x v="0"/>
    <x v="16"/>
    <x v="16"/>
    <x v="0"/>
    <x v="0"/>
    <x v="0"/>
    <x v="0"/>
    <x v="0"/>
    <x v="6"/>
    <x v="35"/>
    <x v="0"/>
    <x v="17"/>
    <x v="0"/>
    <x v="0"/>
    <x v="16"/>
    <x v="16"/>
    <x v="17"/>
    <x v="0"/>
    <x v="0"/>
    <x v="16"/>
    <x v="19"/>
    <x v="14"/>
    <x v="27"/>
    <x v="22"/>
    <x v="0"/>
    <x v="0"/>
    <x v="0"/>
    <x v="0"/>
    <x v="36"/>
    <x v="27"/>
    <x v="0"/>
    <x v="0"/>
    <x v="16"/>
    <x v="18"/>
    <x v="0"/>
    <x v="0"/>
    <x v="16"/>
    <x v="18"/>
    <x v="0"/>
    <x v="0"/>
    <x v="16"/>
    <x v="18"/>
    <x v="0"/>
  </r>
  <r>
    <x v="2"/>
    <x v="38"/>
    <x v="14"/>
    <x v="1"/>
    <x v="2"/>
    <x v="3"/>
    <x v="1"/>
    <x v="31"/>
    <x v="0"/>
    <x v="0"/>
    <x v="0"/>
    <x v="0"/>
    <x v="1"/>
    <x v="0"/>
    <x v="0"/>
    <x v="1"/>
    <x v="31"/>
    <x v="0"/>
    <x v="0"/>
    <x v="40"/>
    <x v="31"/>
    <x v="26"/>
    <x v="23"/>
    <x v="55"/>
    <x v="7"/>
    <x v="14"/>
    <x v="8"/>
    <x v="28"/>
    <x v="9"/>
    <x v="30"/>
    <x v="0"/>
    <x v="0"/>
    <x v="30"/>
    <x v="28"/>
    <x v="1"/>
    <x v="0"/>
    <x v="1"/>
    <x v="0"/>
    <x v="0"/>
    <x v="36"/>
    <x v="67"/>
    <x v="1"/>
    <x v="30"/>
    <x v="0"/>
    <x v="0"/>
    <x v="30"/>
    <x v="28"/>
    <x v="31"/>
    <x v="0"/>
    <x v="0"/>
    <x v="39"/>
    <x v="36"/>
    <x v="15"/>
    <x v="41"/>
    <x v="45"/>
    <x v="0"/>
    <x v="0"/>
    <x v="0"/>
    <x v="0"/>
    <x v="40"/>
    <x v="31"/>
    <x v="0"/>
    <x v="0"/>
    <x v="30"/>
    <x v="30"/>
    <x v="0"/>
    <x v="0"/>
    <x v="30"/>
    <x v="30"/>
    <x v="0"/>
    <x v="0"/>
    <x v="39"/>
    <x v="39"/>
    <x v="0"/>
  </r>
  <r>
    <x v="1"/>
    <x v="39"/>
    <x v="6"/>
    <x v="0"/>
    <x v="0"/>
    <x v="0"/>
    <x v="0"/>
    <x v="69"/>
    <x v="0"/>
    <x v="0"/>
    <x v="0"/>
    <x v="0"/>
    <x v="1"/>
    <x v="0"/>
    <x v="0"/>
    <x v="0"/>
    <x v="69"/>
    <x v="0"/>
    <x v="0"/>
    <x v="78"/>
    <x v="69"/>
    <x v="36"/>
    <x v="61"/>
    <x v="3"/>
    <x v="26"/>
    <x v="30"/>
    <x v="29"/>
    <x v="2"/>
    <x v="0"/>
    <x v="27"/>
    <x v="0"/>
    <x v="0"/>
    <x v="27"/>
    <x v="25"/>
    <x v="0"/>
    <x v="0"/>
    <x v="0"/>
    <x v="0"/>
    <x v="0"/>
    <x v="34"/>
    <x v="9"/>
    <x v="0"/>
    <x v="27"/>
    <x v="0"/>
    <x v="0"/>
    <x v="27"/>
    <x v="25"/>
    <x v="27"/>
    <x v="0"/>
    <x v="0"/>
    <x v="27"/>
    <x v="33"/>
    <x v="65"/>
    <x v="13"/>
    <x v="79"/>
    <x v="0"/>
    <x v="0"/>
    <x v="0"/>
    <x v="0"/>
    <x v="78"/>
    <x v="69"/>
    <x v="0"/>
    <x v="0"/>
    <x v="27"/>
    <x v="27"/>
    <x v="0"/>
    <x v="0"/>
    <x v="27"/>
    <x v="27"/>
    <x v="0"/>
    <x v="0"/>
    <x v="27"/>
    <x v="28"/>
    <x v="0"/>
  </r>
  <r>
    <x v="2"/>
    <x v="39"/>
    <x v="6"/>
    <x v="0"/>
    <x v="0"/>
    <x v="0"/>
    <x v="1"/>
    <x v="66"/>
    <x v="0"/>
    <x v="0"/>
    <x v="0"/>
    <x v="0"/>
    <x v="1"/>
    <x v="0"/>
    <x v="0"/>
    <x v="1"/>
    <x v="66"/>
    <x v="0"/>
    <x v="0"/>
    <x v="75"/>
    <x v="66"/>
    <x v="36"/>
    <x v="59"/>
    <x v="11"/>
    <x v="26"/>
    <x v="30"/>
    <x v="29"/>
    <x v="2"/>
    <x v="0"/>
    <x v="30"/>
    <x v="0"/>
    <x v="0"/>
    <x v="30"/>
    <x v="28"/>
    <x v="1"/>
    <x v="0"/>
    <x v="1"/>
    <x v="0"/>
    <x v="0"/>
    <x v="64"/>
    <x v="1"/>
    <x v="1"/>
    <x v="30"/>
    <x v="0"/>
    <x v="0"/>
    <x v="30"/>
    <x v="28"/>
    <x v="31"/>
    <x v="0"/>
    <x v="0"/>
    <x v="39"/>
    <x v="36"/>
    <x v="44"/>
    <x v="79"/>
    <x v="77"/>
    <x v="0"/>
    <x v="0"/>
    <x v="0"/>
    <x v="0"/>
    <x v="75"/>
    <x v="66"/>
    <x v="0"/>
    <x v="0"/>
    <x v="30"/>
    <x v="30"/>
    <x v="0"/>
    <x v="0"/>
    <x v="30"/>
    <x v="30"/>
    <x v="0"/>
    <x v="0"/>
    <x v="39"/>
    <x v="39"/>
    <x v="0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7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G8:I27" firstHeaderRow="1" firstDataRow="2" firstDataCol="1"/>
  <pivotFields count="74">
    <pivotField axis="axisCol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19">
        <item x="4"/>
        <item x="7"/>
        <item x="15"/>
        <item x="5"/>
        <item x="8"/>
        <item x="1"/>
        <item x="9"/>
        <item x="2"/>
        <item x="10"/>
        <item x="16"/>
        <item x="3"/>
        <item x="11"/>
        <item x="12"/>
        <item x="13"/>
        <item x="6"/>
        <item x="0"/>
        <item x="14"/>
        <item x="1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2"/>
  </rowFields>
  <colFields count="1">
    <field x="0"/>
  </colFields>
  <dataFields count="1">
    <dataField name="Count of CNV" fld="29" subtotal="count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8:C27" firstHeaderRow="1" firstDataRow="2" firstDataCol="1"/>
  <pivotFields count="74">
    <pivotField axis="axisCol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2"/>
  </rowFields>
  <colFields count="1">
    <field x="0"/>
  </colFields>
  <dataFields count="1">
    <dataField name="Count of CNV" fld="29" subtotal="count" numFmtId="164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DataPilot1" cacheId="2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9:A10" firstHeaderRow="1" firstDataRow="1" firstDataCol="0"/>
  <pivotFields count="74">
    <pivotField compact="0" showAll="0"/>
    <pivotField compact="0" showAll="0"/>
    <pivotField axis="axisCol" compact="0" showAll="0">
      <items count="2">
        <item x="0"/>
        <item t="default"/>
      </items>
    </pivotField>
    <pivotField compact="0" showAll="0"/>
    <pivotField compact="0" showAll="0"/>
    <pivotField axis="axisRow" compact="0" showAll="0">
      <items count="2">
        <item h="1"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5"/>
  </rowFields>
  <colFields count="1">
    <field x="2"/>
  </colFields>
  <dataFields count="1">
    <dataField name="Sum of CNV" fld="29" subtotal="sum" numFmtId="164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7" cacheId="2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35:C37" firstHeaderRow="1" firstDataRow="2" firstDataCol="1"/>
  <pivotFields count="74">
    <pivotField axis="axisCol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2"/>
  </rowFields>
  <colFields count="1">
    <field x="0"/>
  </colFields>
  <dataFields count="1">
    <dataField name="Average of CNV" fld="29" subtotal="average" numFmtId="164"/>
  </dataFields>
  <pivotTableStyleInfo name="PivotStyleLight16"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1.xml"/><Relationship Id="rId3" Type="http://schemas.openxmlformats.org/officeDocument/2006/relationships/pivotTable" Target="../pivotTables/pivot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pivotTable" Target="../pivotTables/pivotTable3.xml"/><Relationship Id="rId3" Type="http://schemas.openxmlformats.org/officeDocument/2006/relationships/pivotTable" Target="../pivotTables/pivotTable4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V507"/>
  <sheetViews>
    <sheetView showFormulas="false" showGridLines="true" showRowColHeaders="true" showZeros="true" rightToLeft="false" tabSelected="false" showOutlineSymbols="true" defaultGridColor="true" view="normal" topLeftCell="BL51" colorId="64" zoomScale="100" zoomScaleNormal="100" zoomScalePageLayoutView="100" workbookViewId="0">
      <selection pane="topLeft" activeCell="B9" activeCellId="0" sqref="B9"/>
    </sheetView>
  </sheetViews>
  <sheetFormatPr defaultColWidth="11.42578125" defaultRowHeight="1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1" width="8.29"/>
    <col collapsed="false" customWidth="true" hidden="false" outlineLevel="0" max="5" min="3" style="1" width="22.15"/>
    <col collapsed="false" customWidth="true" hidden="false" outlineLevel="0" max="6" min="6" style="1" width="19.14"/>
    <col collapsed="false" customWidth="true" hidden="false" outlineLevel="0" max="7" min="7" style="1" width="10"/>
    <col collapsed="false" customWidth="true" hidden="false" outlineLevel="0" max="8" min="8" style="2" width="18.14"/>
    <col collapsed="false" customWidth="true" hidden="false" outlineLevel="0" max="9" min="9" style="2" width="25.42"/>
    <col collapsed="false" customWidth="true" hidden="false" outlineLevel="0" max="10" min="10" style="1" width="9.86"/>
    <col collapsed="false" customWidth="true" hidden="false" outlineLevel="0" max="11" min="11" style="1" width="24.29"/>
    <col collapsed="false" customWidth="true" hidden="false" outlineLevel="0" max="12" min="12" style="1" width="14.14"/>
    <col collapsed="false" customWidth="true" hidden="false" outlineLevel="0" max="13" min="13" style="1" width="14.86"/>
    <col collapsed="false" customWidth="true" hidden="false" outlineLevel="0" max="14" min="14" style="1" width="13.86"/>
    <col collapsed="false" customWidth="true" hidden="false" outlineLevel="0" max="15" min="15" style="1" width="12.42"/>
    <col collapsed="false" customWidth="true" hidden="false" outlineLevel="0" max="16" min="16" style="1" width="14.86"/>
    <col collapsed="false" customWidth="true" hidden="false" outlineLevel="0" max="17" min="17" style="2" width="18.42"/>
    <col collapsed="false" customWidth="true" hidden="false" outlineLevel="0" max="18" min="18" style="2" width="16.14"/>
    <col collapsed="false" customWidth="true" hidden="false" outlineLevel="0" max="19" min="19" style="2" width="15.85"/>
    <col collapsed="false" customWidth="true" hidden="false" outlineLevel="0" max="20" min="20" style="2" width="18.42"/>
    <col collapsed="false" customWidth="true" hidden="false" outlineLevel="0" max="21" min="21" style="2" width="18.14"/>
    <col collapsed="false" customWidth="true" hidden="false" outlineLevel="0" max="22" min="22" style="3" width="20.14"/>
    <col collapsed="false" customWidth="true" hidden="false" outlineLevel="0" max="23" min="23" style="3" width="12"/>
    <col collapsed="false" customWidth="true" hidden="false" outlineLevel="0" max="24" min="24" style="3" width="13"/>
    <col collapsed="false" customWidth="true" hidden="false" outlineLevel="0" max="25" min="25" style="2" width="13.86"/>
    <col collapsed="false" customWidth="true" hidden="false" outlineLevel="0" max="27" min="26" style="2" width="13.29"/>
    <col collapsed="false" customWidth="true" hidden="false" outlineLevel="0" max="28" min="28" style="2" width="12.86"/>
    <col collapsed="false" customWidth="true" hidden="false" outlineLevel="0" max="29" min="29" style="2" width="11.29"/>
    <col collapsed="false" customWidth="true" hidden="false" outlineLevel="0" max="30" min="30" style="2" width="8.42"/>
    <col collapsed="false" customWidth="true" hidden="false" outlineLevel="0" max="31" min="31" style="2" width="16"/>
    <col collapsed="false" customWidth="true" hidden="false" outlineLevel="0" max="32" min="32" style="2" width="15.71"/>
    <col collapsed="false" customWidth="true" hidden="false" outlineLevel="0" max="33" min="33" style="2" width="18.29"/>
    <col collapsed="false" customWidth="true" hidden="false" outlineLevel="0" max="34" min="34" style="2" width="18"/>
    <col collapsed="false" customWidth="true" hidden="false" outlineLevel="0" max="35" min="35" style="2" width="18.42"/>
    <col collapsed="false" customWidth="true" hidden="false" outlineLevel="0" max="36" min="36" style="2" width="18.29"/>
    <col collapsed="false" customWidth="true" hidden="false" outlineLevel="0" max="39" min="37" style="2" width="14"/>
    <col collapsed="false" customWidth="true" hidden="false" outlineLevel="0" max="40" min="40" style="2" width="23.29"/>
    <col collapsed="false" customWidth="true" hidden="false" outlineLevel="0" max="41" min="41" style="2" width="23"/>
    <col collapsed="false" customWidth="true" hidden="false" outlineLevel="0" max="42" min="42" style="1" width="17.15"/>
    <col collapsed="false" customWidth="true" hidden="false" outlineLevel="0" max="43" min="43" style="2" width="9.14"/>
    <col collapsed="false" customWidth="true" hidden="false" outlineLevel="0" max="44" min="44" style="2" width="16.43"/>
    <col collapsed="false" customWidth="true" hidden="false" outlineLevel="0" max="45" min="45" style="2" width="16.29"/>
    <col collapsed="false" customWidth="true" hidden="false" outlineLevel="0" max="46" min="46" style="2" width="18.86"/>
    <col collapsed="false" customWidth="true" hidden="false" outlineLevel="0" max="47" min="47" style="2" width="18.42"/>
    <col collapsed="false" customWidth="true" hidden="false" outlineLevel="0" max="48" min="48" style="2" width="22.71"/>
    <col collapsed="false" customWidth="true" hidden="false" outlineLevel="0" max="49" min="49" style="2" width="29.42"/>
    <col collapsed="false" customWidth="true" hidden="false" outlineLevel="0" max="50" min="50" style="2" width="29.29"/>
    <col collapsed="false" customWidth="true" hidden="false" outlineLevel="0" max="51" min="51" style="2" width="31.86"/>
    <col collapsed="false" customWidth="true" hidden="false" outlineLevel="0" max="52" min="52" style="2" width="31.42"/>
    <col collapsed="false" customWidth="true" hidden="false" outlineLevel="0" max="53" min="53" style="2" width="27.15"/>
    <col collapsed="false" customWidth="true" hidden="false" outlineLevel="0" max="54" min="54" style="2" width="28.14"/>
    <col collapsed="false" customWidth="true" hidden="false" outlineLevel="0" max="55" min="55" style="2" width="22"/>
    <col collapsed="false" customWidth="true" hidden="false" outlineLevel="0" max="56" min="56" style="1" width="23"/>
    <col collapsed="false" customWidth="true" hidden="false" outlineLevel="0" max="57" min="57" style="1" width="15.71"/>
    <col collapsed="false" customWidth="true" hidden="false" outlineLevel="0" max="58" min="58" style="2" width="23.42"/>
    <col collapsed="false" customWidth="true" hidden="false" outlineLevel="0" max="59" min="59" style="2" width="23.29"/>
    <col collapsed="false" customWidth="true" hidden="false" outlineLevel="0" max="60" min="60" style="2" width="25.85"/>
    <col collapsed="false" customWidth="true" hidden="false" outlineLevel="0" max="61" min="61" style="2" width="25.42"/>
    <col collapsed="false" customWidth="true" hidden="false" outlineLevel="0" max="62" min="62" style="2" width="18"/>
    <col collapsed="false" customWidth="true" hidden="false" outlineLevel="0" max="63" min="63" style="2" width="17.71"/>
    <col collapsed="false" customWidth="true" hidden="false" outlineLevel="0" max="64" min="64" style="2" width="20.29"/>
    <col collapsed="false" customWidth="true" hidden="false" outlineLevel="0" max="65" min="65" style="2" width="20"/>
    <col collapsed="false" customWidth="true" hidden="false" outlineLevel="0" max="66" min="66" style="2" width="18.42"/>
    <col collapsed="false" customWidth="true" hidden="false" outlineLevel="0" max="67" min="67" style="2" width="18.29"/>
    <col collapsed="false" customWidth="true" hidden="false" outlineLevel="0" max="68" min="68" style="2" width="20.85"/>
    <col collapsed="false" customWidth="true" hidden="false" outlineLevel="0" max="69" min="69" style="2" width="20.42"/>
    <col collapsed="false" customWidth="true" hidden="false" outlineLevel="0" max="70" min="70" style="2" width="31.42"/>
    <col collapsed="false" customWidth="true" hidden="false" outlineLevel="0" max="71" min="71" style="2" width="31.29"/>
    <col collapsed="false" customWidth="true" hidden="false" outlineLevel="0" max="72" min="72" style="2" width="33.86"/>
    <col collapsed="false" customWidth="true" hidden="false" outlineLevel="0" max="73" min="73" style="2" width="33.42"/>
    <col collapsed="false" customWidth="true" hidden="false" outlineLevel="0" max="74" min="74" style="1" width="15.29"/>
  </cols>
  <sheetData>
    <row r="1" s="4" customFormat="true" ht="15" hidden="false" customHeight="false" outlineLevel="0" collapsed="false">
      <c r="B1" s="5"/>
      <c r="C1" s="5"/>
      <c r="D1" s="5"/>
      <c r="E1" s="5"/>
      <c r="F1" s="5"/>
      <c r="G1" s="5"/>
      <c r="H1" s="6"/>
      <c r="I1" s="6"/>
      <c r="J1" s="5"/>
      <c r="K1" s="5"/>
      <c r="L1" s="5"/>
      <c r="M1" s="5"/>
      <c r="N1" s="5"/>
      <c r="O1" s="5"/>
      <c r="P1" s="5"/>
      <c r="Q1" s="6"/>
      <c r="R1" s="6"/>
      <c r="S1" s="6"/>
      <c r="T1" s="6"/>
      <c r="U1" s="6"/>
      <c r="V1" s="7"/>
      <c r="W1" s="7"/>
      <c r="X1" s="7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5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5"/>
      <c r="BE1" s="5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5"/>
    </row>
    <row r="2" s="4" customFormat="true" ht="15" hidden="false" customHeight="false" outlineLevel="0" collapsed="false">
      <c r="B2" s="5"/>
      <c r="C2" s="5"/>
      <c r="D2" s="5"/>
      <c r="E2" s="5"/>
      <c r="F2" s="5"/>
      <c r="G2" s="5"/>
      <c r="H2" s="6"/>
      <c r="I2" s="6"/>
      <c r="J2" s="5"/>
      <c r="K2" s="5"/>
      <c r="L2" s="5"/>
      <c r="M2" s="5"/>
      <c r="N2" s="5"/>
      <c r="O2" s="5"/>
      <c r="P2" s="5"/>
      <c r="Q2" s="6"/>
      <c r="R2" s="6"/>
      <c r="S2" s="6"/>
      <c r="T2" s="6"/>
      <c r="U2" s="6"/>
      <c r="V2" s="7"/>
      <c r="W2" s="7"/>
      <c r="X2" s="7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5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5"/>
      <c r="BE2" s="5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5"/>
    </row>
    <row r="3" s="4" customFormat="true" ht="15" hidden="false" customHeight="false" outlineLevel="0" collapsed="false">
      <c r="B3" s="5"/>
      <c r="C3" s="5"/>
      <c r="D3" s="5"/>
      <c r="E3" s="5"/>
      <c r="F3" s="5"/>
      <c r="G3" s="5"/>
      <c r="H3" s="6"/>
      <c r="I3" s="6"/>
      <c r="J3" s="5"/>
      <c r="K3" s="5"/>
      <c r="L3" s="5"/>
      <c r="M3" s="5"/>
      <c r="N3" s="5"/>
      <c r="O3" s="5"/>
      <c r="P3" s="5"/>
      <c r="Q3" s="6"/>
      <c r="R3" s="6"/>
      <c r="S3" s="6"/>
      <c r="T3" s="6"/>
      <c r="U3" s="6"/>
      <c r="V3" s="7"/>
      <c r="W3" s="7"/>
      <c r="X3" s="7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5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5"/>
      <c r="BE3" s="5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5"/>
    </row>
    <row r="4" s="4" customFormat="true" ht="15" hidden="false" customHeight="false" outlineLevel="0" collapsed="false">
      <c r="B4" s="5"/>
      <c r="C4" s="5"/>
      <c r="D4" s="5"/>
      <c r="E4" s="5"/>
      <c r="F4" s="5"/>
      <c r="G4" s="5"/>
      <c r="H4" s="6"/>
      <c r="I4" s="6"/>
      <c r="J4" s="5"/>
      <c r="K4" s="5"/>
      <c r="L4" s="5"/>
      <c r="M4" s="5"/>
      <c r="N4" s="5"/>
      <c r="O4" s="5"/>
      <c r="P4" s="5"/>
      <c r="Q4" s="6"/>
      <c r="R4" s="6"/>
      <c r="S4" s="6"/>
      <c r="T4" s="6"/>
      <c r="U4" s="6"/>
      <c r="V4" s="7"/>
      <c r="W4" s="7"/>
      <c r="X4" s="7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5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5"/>
      <c r="BE4" s="5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5"/>
    </row>
    <row r="5" s="4" customFormat="true" ht="15" hidden="false" customHeight="false" outlineLevel="0" collapsed="false">
      <c r="B5" s="5"/>
      <c r="C5" s="5"/>
      <c r="D5" s="5"/>
      <c r="E5" s="5"/>
      <c r="F5" s="5"/>
      <c r="G5" s="5"/>
      <c r="H5" s="6"/>
      <c r="I5" s="6"/>
      <c r="J5" s="5"/>
      <c r="K5" s="5"/>
      <c r="L5" s="5"/>
      <c r="M5" s="5"/>
      <c r="N5" s="5"/>
      <c r="O5" s="5"/>
      <c r="P5" s="5"/>
      <c r="Q5" s="6"/>
      <c r="R5" s="6"/>
      <c r="S5" s="6"/>
      <c r="T5" s="6"/>
      <c r="U5" s="6"/>
      <c r="V5" s="7"/>
      <c r="W5" s="7"/>
      <c r="X5" s="7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5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5"/>
      <c r="BE5" s="5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5"/>
    </row>
    <row r="6" s="4" customFormat="true" ht="15" hidden="false" customHeight="false" outlineLevel="0" collapsed="false">
      <c r="B6" s="5"/>
      <c r="C6" s="5"/>
      <c r="D6" s="5"/>
      <c r="E6" s="5"/>
      <c r="F6" s="5"/>
      <c r="G6" s="5"/>
      <c r="H6" s="6"/>
      <c r="I6" s="6"/>
      <c r="J6" s="5"/>
      <c r="K6" s="5"/>
      <c r="L6" s="5"/>
      <c r="M6" s="5"/>
      <c r="N6" s="5"/>
      <c r="O6" s="5"/>
      <c r="P6" s="5"/>
      <c r="Q6" s="6"/>
      <c r="R6" s="6"/>
      <c r="S6" s="6"/>
      <c r="T6" s="6"/>
      <c r="U6" s="6"/>
      <c r="V6" s="7"/>
      <c r="W6" s="7"/>
      <c r="X6" s="7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5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5"/>
      <c r="BE6" s="5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5"/>
    </row>
    <row r="7" s="8" customFormat="true" ht="15" hidden="false" customHeight="false" outlineLevel="0" collapsed="false">
      <c r="B7" s="9"/>
      <c r="C7" s="9"/>
      <c r="D7" s="9"/>
      <c r="E7" s="9"/>
      <c r="F7" s="9"/>
      <c r="G7" s="9"/>
      <c r="H7" s="10"/>
      <c r="I7" s="10"/>
      <c r="J7" s="9"/>
      <c r="K7" s="9"/>
      <c r="L7" s="9"/>
      <c r="M7" s="9"/>
      <c r="N7" s="9"/>
      <c r="O7" s="9"/>
      <c r="P7" s="9"/>
      <c r="Q7" s="10"/>
      <c r="R7" s="10"/>
      <c r="S7" s="10"/>
      <c r="T7" s="10"/>
      <c r="U7" s="10"/>
      <c r="V7" s="11"/>
      <c r="W7" s="11"/>
      <c r="X7" s="11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9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9"/>
      <c r="BE7" s="9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9"/>
    </row>
    <row r="8" customFormat="false" ht="15" hidden="false" customHeight="false" outlineLevel="0" collapsed="false">
      <c r="A8" s="12" t="s">
        <v>0</v>
      </c>
      <c r="B8" s="13" t="s">
        <v>1</v>
      </c>
      <c r="C8" s="13" t="s">
        <v>2</v>
      </c>
      <c r="D8" s="13" t="s">
        <v>3</v>
      </c>
      <c r="E8" s="13" t="s">
        <v>4</v>
      </c>
      <c r="F8" s="13" t="s">
        <v>5</v>
      </c>
      <c r="G8" s="13" t="s">
        <v>6</v>
      </c>
      <c r="H8" s="13" t="s">
        <v>7</v>
      </c>
      <c r="I8" s="13" t="s">
        <v>8</v>
      </c>
      <c r="J8" s="13" t="s">
        <v>9</v>
      </c>
      <c r="K8" s="13" t="s">
        <v>10</v>
      </c>
      <c r="L8" s="13" t="s">
        <v>11</v>
      </c>
      <c r="M8" s="13" t="s">
        <v>12</v>
      </c>
      <c r="N8" s="13" t="s">
        <v>13</v>
      </c>
      <c r="O8" s="13" t="s">
        <v>14</v>
      </c>
      <c r="P8" s="13" t="s">
        <v>15</v>
      </c>
      <c r="Q8" s="13" t="s">
        <v>16</v>
      </c>
      <c r="R8" s="13" t="s">
        <v>17</v>
      </c>
      <c r="S8" s="13" t="s">
        <v>18</v>
      </c>
      <c r="T8" s="13" t="s">
        <v>19</v>
      </c>
      <c r="U8" s="13" t="s">
        <v>20</v>
      </c>
      <c r="V8" s="13" t="s">
        <v>21</v>
      </c>
      <c r="W8" s="13" t="s">
        <v>22</v>
      </c>
      <c r="X8" s="13" t="s">
        <v>23</v>
      </c>
      <c r="Y8" s="13" t="s">
        <v>24</v>
      </c>
      <c r="Z8" s="13" t="s">
        <v>25</v>
      </c>
      <c r="AA8" s="13" t="s">
        <v>26</v>
      </c>
      <c r="AB8" s="13" t="s">
        <v>27</v>
      </c>
      <c r="AC8" s="13" t="s">
        <v>28</v>
      </c>
      <c r="AD8" s="13" t="s">
        <v>29</v>
      </c>
      <c r="AE8" s="13" t="s">
        <v>30</v>
      </c>
      <c r="AF8" s="13" t="s">
        <v>31</v>
      </c>
      <c r="AG8" s="13" t="s">
        <v>32</v>
      </c>
      <c r="AH8" s="13" t="s">
        <v>33</v>
      </c>
      <c r="AI8" s="13" t="s">
        <v>34</v>
      </c>
      <c r="AJ8" s="13" t="s">
        <v>35</v>
      </c>
      <c r="AK8" s="13" t="s">
        <v>36</v>
      </c>
      <c r="AL8" s="13" t="s">
        <v>37</v>
      </c>
      <c r="AM8" s="13" t="s">
        <v>38</v>
      </c>
      <c r="AN8" s="13" t="s">
        <v>39</v>
      </c>
      <c r="AO8" s="13" t="s">
        <v>40</v>
      </c>
      <c r="AP8" s="13" t="s">
        <v>41</v>
      </c>
      <c r="AQ8" s="13" t="s">
        <v>42</v>
      </c>
      <c r="AR8" s="13" t="s">
        <v>43</v>
      </c>
      <c r="AS8" s="13" t="s">
        <v>44</v>
      </c>
      <c r="AT8" s="13" t="s">
        <v>45</v>
      </c>
      <c r="AU8" s="13" t="s">
        <v>46</v>
      </c>
      <c r="AV8" s="13" t="s">
        <v>47</v>
      </c>
      <c r="AW8" s="13" t="s">
        <v>48</v>
      </c>
      <c r="AX8" s="13" t="s">
        <v>49</v>
      </c>
      <c r="AY8" s="13" t="s">
        <v>50</v>
      </c>
      <c r="AZ8" s="13" t="s">
        <v>51</v>
      </c>
      <c r="BA8" s="13" t="s">
        <v>52</v>
      </c>
      <c r="BB8" s="13" t="s">
        <v>53</v>
      </c>
      <c r="BC8" s="13" t="s">
        <v>54</v>
      </c>
      <c r="BD8" s="13" t="s">
        <v>55</v>
      </c>
      <c r="BE8" s="13" t="s">
        <v>56</v>
      </c>
      <c r="BF8" s="13" t="s">
        <v>57</v>
      </c>
      <c r="BG8" s="13" t="s">
        <v>58</v>
      </c>
      <c r="BH8" s="13" t="s">
        <v>59</v>
      </c>
      <c r="BI8" s="13" t="s">
        <v>60</v>
      </c>
      <c r="BJ8" s="13" t="s">
        <v>61</v>
      </c>
      <c r="BK8" s="13" t="s">
        <v>62</v>
      </c>
      <c r="BL8" s="13" t="s">
        <v>63</v>
      </c>
      <c r="BM8" s="13" t="s">
        <v>64</v>
      </c>
      <c r="BN8" s="13" t="s">
        <v>65</v>
      </c>
      <c r="BO8" s="13" t="s">
        <v>66</v>
      </c>
      <c r="BP8" s="13" t="s">
        <v>67</v>
      </c>
      <c r="BQ8" s="13" t="s">
        <v>68</v>
      </c>
      <c r="BR8" s="13" t="s">
        <v>69</v>
      </c>
      <c r="BS8" s="13" t="s">
        <v>70</v>
      </c>
      <c r="BT8" s="13" t="s">
        <v>71</v>
      </c>
      <c r="BU8" s="13" t="s">
        <v>72</v>
      </c>
      <c r="BV8" s="13" t="s">
        <v>73</v>
      </c>
    </row>
    <row r="9" customFormat="false" ht="15" hidden="false" customHeight="false" outlineLevel="0" collapsed="false">
      <c r="A9" s="12" t="s">
        <v>74</v>
      </c>
      <c r="B9" s="1" t="s">
        <v>75</v>
      </c>
      <c r="C9" s="1" t="s">
        <v>76</v>
      </c>
      <c r="D9" s="1" t="s">
        <v>77</v>
      </c>
      <c r="E9" s="1" t="s">
        <v>78</v>
      </c>
      <c r="F9" s="1" t="s">
        <v>79</v>
      </c>
      <c r="G9" s="1" t="s">
        <v>80</v>
      </c>
      <c r="H9" s="14" t="n">
        <v>0.257264494895935</v>
      </c>
      <c r="I9" s="14"/>
      <c r="J9" s="1" t="s">
        <v>81</v>
      </c>
      <c r="K9" s="1" t="s">
        <v>82</v>
      </c>
      <c r="L9" s="1" t="s">
        <v>29</v>
      </c>
      <c r="M9" s="1" t="s">
        <v>83</v>
      </c>
      <c r="N9" s="1" t="s">
        <v>83</v>
      </c>
      <c r="O9" s="1" t="s">
        <v>84</v>
      </c>
      <c r="P9" s="1" t="s">
        <v>85</v>
      </c>
      <c r="Q9" s="14" t="n">
        <v>5.1452898979187</v>
      </c>
      <c r="R9" s="14"/>
      <c r="S9" s="14"/>
      <c r="T9" s="14" t="n">
        <v>0.606655418872833</v>
      </c>
      <c r="U9" s="14" t="n">
        <v>0.0776236355304718</v>
      </c>
      <c r="V9" s="3" t="n">
        <v>18294</v>
      </c>
      <c r="W9" s="3" t="n">
        <v>4</v>
      </c>
      <c r="X9" s="3" t="n">
        <v>18290</v>
      </c>
      <c r="Y9" s="14" t="n">
        <v>0</v>
      </c>
      <c r="Z9" s="14" t="n">
        <v>4</v>
      </c>
      <c r="AA9" s="14" t="n">
        <v>0</v>
      </c>
      <c r="AB9" s="14" t="n">
        <v>18290</v>
      </c>
      <c r="AC9" s="14" t="n">
        <v>0</v>
      </c>
      <c r="AD9" s="14"/>
      <c r="AE9" s="14"/>
      <c r="AF9" s="14"/>
      <c r="AG9" s="14"/>
      <c r="AH9" s="14"/>
      <c r="AI9" s="14"/>
      <c r="AJ9" s="14"/>
      <c r="AK9" s="14" t="n">
        <v>500</v>
      </c>
      <c r="AL9" s="14"/>
      <c r="AM9" s="14"/>
      <c r="AN9" s="14" t="n">
        <v>2.04329834973573</v>
      </c>
      <c r="AO9" s="14" t="n">
        <v>10.79301133528</v>
      </c>
      <c r="AP9" s="1" t="s">
        <v>86</v>
      </c>
      <c r="AQ9" s="14"/>
      <c r="AR9" s="14"/>
      <c r="AS9" s="14"/>
      <c r="AT9" s="14"/>
      <c r="AU9" s="14"/>
      <c r="AV9" s="14" t="n">
        <v>100</v>
      </c>
      <c r="AW9" s="14"/>
      <c r="AX9" s="14"/>
      <c r="AY9" s="14" t="n">
        <v>137.448974000633</v>
      </c>
      <c r="AZ9" s="14" t="n">
        <v>62.551025999367</v>
      </c>
      <c r="BA9" s="14" t="n">
        <v>3472.95751953125</v>
      </c>
      <c r="BB9" s="14" t="n">
        <v>279.859982610987</v>
      </c>
      <c r="BC9" s="14" t="n">
        <v>280.558156337219</v>
      </c>
      <c r="BF9" s="14"/>
      <c r="BG9" s="14"/>
      <c r="BH9" s="14" t="n">
        <v>0.410942554473877</v>
      </c>
      <c r="BI9" s="14" t="n">
        <v>0.147727265954018</v>
      </c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 t="n">
        <v>117.111270157283</v>
      </c>
      <c r="BU9" s="14" t="n">
        <v>82.8887298427175</v>
      </c>
      <c r="BV9" s="1" t="s">
        <v>87</v>
      </c>
    </row>
    <row r="10" customFormat="false" ht="15" hidden="false" customHeight="false" outlineLevel="0" collapsed="false">
      <c r="A10" s="12"/>
      <c r="B10" s="1" t="s">
        <v>75</v>
      </c>
      <c r="C10" s="1" t="s">
        <v>76</v>
      </c>
      <c r="D10" s="1" t="s">
        <v>77</v>
      </c>
      <c r="E10" s="1" t="s">
        <v>78</v>
      </c>
      <c r="F10" s="1" t="s">
        <v>79</v>
      </c>
      <c r="G10" s="1" t="s">
        <v>86</v>
      </c>
      <c r="H10" s="14" t="n">
        <v>0</v>
      </c>
      <c r="I10" s="14"/>
      <c r="J10" s="1" t="s">
        <v>81</v>
      </c>
      <c r="K10" s="1" t="s">
        <v>82</v>
      </c>
      <c r="L10" s="1" t="s">
        <v>29</v>
      </c>
      <c r="M10" s="1" t="s">
        <v>83</v>
      </c>
      <c r="N10" s="1" t="s">
        <v>83</v>
      </c>
      <c r="O10" s="1" t="s">
        <v>84</v>
      </c>
      <c r="P10" s="1" t="s">
        <v>88</v>
      </c>
      <c r="Q10" s="14" t="n">
        <v>0</v>
      </c>
      <c r="R10" s="14"/>
      <c r="S10" s="14"/>
      <c r="T10" s="14" t="n">
        <v>0.192685827612877</v>
      </c>
      <c r="U10" s="14" t="n">
        <v>0</v>
      </c>
      <c r="V10" s="3" t="n">
        <v>18294</v>
      </c>
      <c r="W10" s="3" t="n">
        <v>0</v>
      </c>
      <c r="X10" s="3" t="n">
        <v>18294</v>
      </c>
      <c r="Y10" s="14" t="n">
        <v>0</v>
      </c>
      <c r="Z10" s="14" t="n">
        <v>4</v>
      </c>
      <c r="AA10" s="14" t="n">
        <v>0</v>
      </c>
      <c r="AB10" s="14" t="n">
        <v>18290</v>
      </c>
      <c r="AC10" s="14" t="n">
        <v>0</v>
      </c>
      <c r="AD10" s="14"/>
      <c r="AE10" s="14"/>
      <c r="AF10" s="14"/>
      <c r="AG10" s="14"/>
      <c r="AH10" s="14"/>
      <c r="AI10" s="14"/>
      <c r="AJ10" s="14"/>
      <c r="AK10" s="14" t="n">
        <v>1500</v>
      </c>
      <c r="AL10" s="14"/>
      <c r="AM10" s="14"/>
      <c r="AN10" s="14"/>
      <c r="AO10" s="14" t="n">
        <v>12.4703804144112</v>
      </c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 t="n">
        <v>947.456654632992</v>
      </c>
      <c r="BC10" s="14" t="n">
        <v>947.456654632992</v>
      </c>
      <c r="BF10" s="14"/>
      <c r="BG10" s="14"/>
      <c r="BH10" s="14" t="n">
        <v>0.0880424454808235</v>
      </c>
      <c r="BI10" s="14" t="n">
        <v>0</v>
      </c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" t="s">
        <v>87</v>
      </c>
    </row>
    <row r="11" customFormat="false" ht="15" hidden="false" customHeight="false" outlineLevel="0" collapsed="false">
      <c r="A11" s="12" t="s">
        <v>89</v>
      </c>
      <c r="B11" s="1" t="s">
        <v>90</v>
      </c>
      <c r="C11" s="1" t="s">
        <v>76</v>
      </c>
      <c r="D11" s="1" t="s">
        <v>77</v>
      </c>
      <c r="E11" s="1" t="s">
        <v>78</v>
      </c>
      <c r="F11" s="1" t="s">
        <v>79</v>
      </c>
      <c r="G11" s="1" t="s">
        <v>80</v>
      </c>
      <c r="H11" s="14" t="n">
        <v>0.197058245539665</v>
      </c>
      <c r="I11" s="14"/>
      <c r="J11" s="1" t="s">
        <v>81</v>
      </c>
      <c r="K11" s="1" t="s">
        <v>82</v>
      </c>
      <c r="L11" s="1" t="s">
        <v>29</v>
      </c>
      <c r="M11" s="1" t="s">
        <v>83</v>
      </c>
      <c r="N11" s="1" t="s">
        <v>83</v>
      </c>
      <c r="O11" s="1" t="s">
        <v>84</v>
      </c>
      <c r="P11" s="1" t="s">
        <v>85</v>
      </c>
      <c r="Q11" s="14" t="n">
        <v>3.94116497039795</v>
      </c>
      <c r="R11" s="14"/>
      <c r="S11" s="14"/>
      <c r="T11" s="14" t="n">
        <v>0.522342264652252</v>
      </c>
      <c r="U11" s="14" t="n">
        <v>0.0467655025422573</v>
      </c>
      <c r="V11" s="3" t="n">
        <v>17912</v>
      </c>
      <c r="W11" s="3" t="n">
        <v>3</v>
      </c>
      <c r="X11" s="3" t="n">
        <v>17909</v>
      </c>
      <c r="Y11" s="14" t="n">
        <v>0</v>
      </c>
      <c r="Z11" s="14" t="n">
        <v>3</v>
      </c>
      <c r="AA11" s="14" t="n">
        <v>0</v>
      </c>
      <c r="AB11" s="14" t="n">
        <v>17909</v>
      </c>
      <c r="AC11" s="14" t="n">
        <v>0</v>
      </c>
      <c r="AD11" s="14"/>
      <c r="AE11" s="14"/>
      <c r="AF11" s="14"/>
      <c r="AG11" s="14"/>
      <c r="AH11" s="14"/>
      <c r="AI11" s="14"/>
      <c r="AJ11" s="14"/>
      <c r="AK11" s="14" t="n">
        <v>500</v>
      </c>
      <c r="AL11" s="14"/>
      <c r="AM11" s="14"/>
      <c r="AN11" s="14" t="n">
        <v>1.91333026820534</v>
      </c>
      <c r="AO11" s="14" t="n">
        <v>10.3517193399384</v>
      </c>
      <c r="AP11" s="1" t="s">
        <v>86</v>
      </c>
      <c r="AQ11" s="14"/>
      <c r="AR11" s="14"/>
      <c r="AS11" s="14"/>
      <c r="AT11" s="14"/>
      <c r="AU11" s="14"/>
      <c r="AV11" s="14" t="n">
        <v>100</v>
      </c>
      <c r="AW11" s="14"/>
      <c r="AX11" s="14"/>
      <c r="AY11" s="14" t="n">
        <v>149.933327561155</v>
      </c>
      <c r="AZ11" s="14" t="n">
        <v>50.0666724388448</v>
      </c>
      <c r="BA11" s="14" t="n">
        <v>2598.25280761719</v>
      </c>
      <c r="BB11" s="14" t="n">
        <v>286.474730280604</v>
      </c>
      <c r="BC11" s="14" t="n">
        <v>286.861919552154</v>
      </c>
      <c r="BF11" s="14"/>
      <c r="BG11" s="14"/>
      <c r="BH11" s="14" t="n">
        <v>0.33738386631012</v>
      </c>
      <c r="BI11" s="14" t="n">
        <v>0.102400481700897</v>
      </c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 t="n">
        <v>122.815628815167</v>
      </c>
      <c r="BU11" s="14" t="n">
        <v>77.1843711848328</v>
      </c>
      <c r="BV11" s="1" t="s">
        <v>87</v>
      </c>
    </row>
    <row r="12" customFormat="false" ht="15" hidden="false" customHeight="false" outlineLevel="0" collapsed="false">
      <c r="A12" s="12"/>
      <c r="B12" s="1" t="s">
        <v>90</v>
      </c>
      <c r="C12" s="1" t="s">
        <v>76</v>
      </c>
      <c r="D12" s="1" t="s">
        <v>77</v>
      </c>
      <c r="E12" s="1" t="s">
        <v>78</v>
      </c>
      <c r="F12" s="1" t="s">
        <v>79</v>
      </c>
      <c r="G12" s="1" t="s">
        <v>86</v>
      </c>
      <c r="H12" s="14" t="n">
        <v>0</v>
      </c>
      <c r="I12" s="14"/>
      <c r="J12" s="1" t="s">
        <v>81</v>
      </c>
      <c r="K12" s="1" t="s">
        <v>82</v>
      </c>
      <c r="L12" s="1" t="s">
        <v>29</v>
      </c>
      <c r="M12" s="1" t="s">
        <v>83</v>
      </c>
      <c r="N12" s="1" t="s">
        <v>83</v>
      </c>
      <c r="O12" s="1" t="s">
        <v>84</v>
      </c>
      <c r="P12" s="1" t="s">
        <v>88</v>
      </c>
      <c r="Q12" s="14" t="n">
        <v>0</v>
      </c>
      <c r="R12" s="14"/>
      <c r="S12" s="14"/>
      <c r="T12" s="14" t="n">
        <v>0.196795478463173</v>
      </c>
      <c r="U12" s="14" t="n">
        <v>0</v>
      </c>
      <c r="V12" s="3" t="n">
        <v>17912</v>
      </c>
      <c r="W12" s="3" t="n">
        <v>0</v>
      </c>
      <c r="X12" s="3" t="n">
        <v>17912</v>
      </c>
      <c r="Y12" s="14" t="n">
        <v>0</v>
      </c>
      <c r="Z12" s="14" t="n">
        <v>3</v>
      </c>
      <c r="AA12" s="14" t="n">
        <v>0</v>
      </c>
      <c r="AB12" s="14" t="n">
        <v>17909</v>
      </c>
      <c r="AC12" s="14" t="n">
        <v>0</v>
      </c>
      <c r="AD12" s="14"/>
      <c r="AE12" s="14"/>
      <c r="AF12" s="14"/>
      <c r="AG12" s="14"/>
      <c r="AH12" s="14"/>
      <c r="AI12" s="14"/>
      <c r="AJ12" s="14"/>
      <c r="AK12" s="14" t="n">
        <v>1500</v>
      </c>
      <c r="AL12" s="14"/>
      <c r="AM12" s="14"/>
      <c r="AN12" s="14"/>
      <c r="AO12" s="14" t="n">
        <v>12.4745818555931</v>
      </c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 t="n">
        <v>942.486849148926</v>
      </c>
      <c r="BC12" s="14" t="n">
        <v>942.486849148926</v>
      </c>
      <c r="BF12" s="14"/>
      <c r="BG12" s="14"/>
      <c r="BH12" s="14" t="n">
        <v>0.0899201557040215</v>
      </c>
      <c r="BI12" s="14" t="n">
        <v>0</v>
      </c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" t="s">
        <v>87</v>
      </c>
    </row>
    <row r="13" customFormat="false" ht="15" hidden="false" customHeight="false" outlineLevel="0" collapsed="false">
      <c r="A13" s="12" t="s">
        <v>74</v>
      </c>
      <c r="B13" s="1" t="s">
        <v>91</v>
      </c>
      <c r="C13" s="1" t="s">
        <v>92</v>
      </c>
      <c r="D13" s="1" t="s">
        <v>77</v>
      </c>
      <c r="E13" s="1" t="s">
        <v>93</v>
      </c>
      <c r="F13" s="1" t="s">
        <v>94</v>
      </c>
      <c r="G13" s="1" t="s">
        <v>80</v>
      </c>
      <c r="H13" s="14" t="n">
        <v>186.952575683594</v>
      </c>
      <c r="I13" s="14"/>
      <c r="J13" s="1" t="s">
        <v>81</v>
      </c>
      <c r="K13" s="1" t="s">
        <v>82</v>
      </c>
      <c r="L13" s="1" t="s">
        <v>29</v>
      </c>
      <c r="M13" s="1" t="s">
        <v>83</v>
      </c>
      <c r="N13" s="1" t="s">
        <v>83</v>
      </c>
      <c r="O13" s="1" t="s">
        <v>84</v>
      </c>
      <c r="P13" s="1" t="s">
        <v>85</v>
      </c>
      <c r="Q13" s="14" t="n">
        <v>3739.05151367188</v>
      </c>
      <c r="R13" s="14"/>
      <c r="S13" s="14"/>
      <c r="T13" s="14" t="n">
        <v>193.660919189453</v>
      </c>
      <c r="U13" s="14" t="n">
        <v>180.282272338867</v>
      </c>
      <c r="V13" s="3" t="n">
        <v>20466</v>
      </c>
      <c r="W13" s="3" t="n">
        <v>3007</v>
      </c>
      <c r="X13" s="3" t="n">
        <v>17459</v>
      </c>
      <c r="Y13" s="14" t="n">
        <v>411</v>
      </c>
      <c r="Z13" s="14" t="n">
        <v>2596</v>
      </c>
      <c r="AA13" s="14" t="n">
        <v>1084</v>
      </c>
      <c r="AB13" s="14" t="n">
        <v>16375</v>
      </c>
      <c r="AC13" s="14" t="n">
        <v>13.8282136509499</v>
      </c>
      <c r="AD13" s="14" t="n">
        <v>4.18991184234619</v>
      </c>
      <c r="AE13" s="14"/>
      <c r="AF13" s="14"/>
      <c r="AG13" s="14" t="n">
        <v>4.44992836312415</v>
      </c>
      <c r="AH13" s="14" t="n">
        <v>3.9298956979169</v>
      </c>
      <c r="AI13" s="14" t="n">
        <v>2</v>
      </c>
      <c r="AJ13" s="14"/>
      <c r="AK13" s="14" t="n">
        <v>500</v>
      </c>
      <c r="AL13" s="14"/>
      <c r="AM13" s="14"/>
      <c r="AN13" s="14" t="n">
        <v>3.50856523282882</v>
      </c>
      <c r="AO13" s="14" t="n">
        <v>8.67503272092049</v>
      </c>
      <c r="AP13" s="1" t="s">
        <v>86</v>
      </c>
      <c r="AQ13" s="14" t="n">
        <v>2.09495601526026</v>
      </c>
      <c r="AR13" s="14"/>
      <c r="AS13" s="14"/>
      <c r="AT13" s="14" t="n">
        <v>2.22496418156207</v>
      </c>
      <c r="AU13" s="14" t="n">
        <v>1.96494784895845</v>
      </c>
      <c r="AV13" s="14" t="n">
        <v>67.6893631098694</v>
      </c>
      <c r="AW13" s="14"/>
      <c r="AX13" s="14"/>
      <c r="AY13" s="14" t="n">
        <v>69.0466187973226</v>
      </c>
      <c r="AZ13" s="14" t="n">
        <v>66.3321074224161</v>
      </c>
      <c r="BA13" s="14" t="n">
        <v>4787.25430165917</v>
      </c>
      <c r="BB13" s="14" t="n">
        <v>288.428615597817</v>
      </c>
      <c r="BC13" s="14" t="n">
        <v>949.425822574582</v>
      </c>
      <c r="BF13" s="14"/>
      <c r="BG13" s="14"/>
      <c r="BH13" s="14" t="n">
        <v>190.37043762207</v>
      </c>
      <c r="BI13" s="14" t="n">
        <v>183.544647216797</v>
      </c>
      <c r="BJ13" s="14"/>
      <c r="BK13" s="14"/>
      <c r="BL13" s="14" t="n">
        <v>4.32257273246786</v>
      </c>
      <c r="BM13" s="14" t="n">
        <v>4.05725132857319</v>
      </c>
      <c r="BN13" s="14"/>
      <c r="BO13" s="14"/>
      <c r="BP13" s="14" t="n">
        <v>2.16128636623393</v>
      </c>
      <c r="BQ13" s="14" t="n">
        <v>2.0286256642866</v>
      </c>
      <c r="BR13" s="14"/>
      <c r="BS13" s="14"/>
      <c r="BT13" s="14" t="n">
        <v>68.3818368880225</v>
      </c>
      <c r="BU13" s="14" t="n">
        <v>66.9968893317162</v>
      </c>
      <c r="BV13" s="1" t="s">
        <v>87</v>
      </c>
    </row>
    <row r="14" customFormat="false" ht="15" hidden="false" customHeight="false" outlineLevel="0" collapsed="false">
      <c r="A14" s="12"/>
      <c r="B14" s="1" t="s">
        <v>91</v>
      </c>
      <c r="C14" s="1" t="s">
        <v>92</v>
      </c>
      <c r="D14" s="1" t="s">
        <v>77</v>
      </c>
      <c r="E14" s="1" t="s">
        <v>93</v>
      </c>
      <c r="F14" s="1" t="s">
        <v>94</v>
      </c>
      <c r="G14" s="1" t="s">
        <v>86</v>
      </c>
      <c r="H14" s="14" t="n">
        <v>89.2393798828125</v>
      </c>
      <c r="I14" s="14"/>
      <c r="J14" s="1" t="s">
        <v>81</v>
      </c>
      <c r="K14" s="1" t="s">
        <v>82</v>
      </c>
      <c r="L14" s="1" t="s">
        <v>29</v>
      </c>
      <c r="M14" s="1" t="s">
        <v>83</v>
      </c>
      <c r="N14" s="1" t="s">
        <v>83</v>
      </c>
      <c r="O14" s="1" t="s">
        <v>84</v>
      </c>
      <c r="P14" s="1" t="s">
        <v>88</v>
      </c>
      <c r="Q14" s="14" t="n">
        <v>1784.78759765625</v>
      </c>
      <c r="R14" s="14"/>
      <c r="S14" s="14"/>
      <c r="T14" s="14" t="n">
        <v>93.7728729248047</v>
      </c>
      <c r="U14" s="14" t="n">
        <v>84.7232971191406</v>
      </c>
      <c r="V14" s="3" t="n">
        <v>20466</v>
      </c>
      <c r="W14" s="3" t="n">
        <v>1495</v>
      </c>
      <c r="X14" s="3" t="n">
        <v>18971</v>
      </c>
      <c r="Y14" s="14" t="n">
        <v>411</v>
      </c>
      <c r="Z14" s="14" t="n">
        <v>2596</v>
      </c>
      <c r="AA14" s="14" t="n">
        <v>1084</v>
      </c>
      <c r="AB14" s="14" t="n">
        <v>16375</v>
      </c>
      <c r="AC14" s="14" t="n">
        <v>13.8282136509499</v>
      </c>
      <c r="AD14" s="14"/>
      <c r="AE14" s="14"/>
      <c r="AF14" s="14"/>
      <c r="AG14" s="14"/>
      <c r="AH14" s="14"/>
      <c r="AI14" s="14"/>
      <c r="AJ14" s="14"/>
      <c r="AK14" s="14" t="n">
        <v>1500</v>
      </c>
      <c r="AL14" s="14"/>
      <c r="AM14" s="14"/>
      <c r="AN14" s="14" t="n">
        <v>5.0645953018402</v>
      </c>
      <c r="AO14" s="14" t="n">
        <v>6.72891297869749</v>
      </c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 t="n">
        <v>3930.34575734218</v>
      </c>
      <c r="BB14" s="14" t="n">
        <v>960.214404596726</v>
      </c>
      <c r="BC14" s="14" t="n">
        <v>1177.17650624602</v>
      </c>
      <c r="BF14" s="14"/>
      <c r="BG14" s="14"/>
      <c r="BH14" s="14" t="n">
        <v>91.5502014160156</v>
      </c>
      <c r="BI14" s="14" t="n">
        <v>86.9330902099609</v>
      </c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" t="s">
        <v>87</v>
      </c>
    </row>
    <row r="15" customFormat="false" ht="15" hidden="false" customHeight="false" outlineLevel="0" collapsed="false">
      <c r="A15" s="12" t="s">
        <v>89</v>
      </c>
      <c r="B15" s="1" t="s">
        <v>95</v>
      </c>
      <c r="C15" s="1" t="s">
        <v>92</v>
      </c>
      <c r="D15" s="1" t="s">
        <v>77</v>
      </c>
      <c r="E15" s="1" t="s">
        <v>93</v>
      </c>
      <c r="F15" s="1" t="s">
        <v>94</v>
      </c>
      <c r="G15" s="1" t="s">
        <v>80</v>
      </c>
      <c r="H15" s="14" t="n">
        <v>337.312408447266</v>
      </c>
      <c r="I15" s="14"/>
      <c r="J15" s="1" t="s">
        <v>81</v>
      </c>
      <c r="K15" s="1" t="s">
        <v>82</v>
      </c>
      <c r="L15" s="1" t="s">
        <v>29</v>
      </c>
      <c r="M15" s="1" t="s">
        <v>83</v>
      </c>
      <c r="N15" s="1" t="s">
        <v>83</v>
      </c>
      <c r="O15" s="1" t="s">
        <v>84</v>
      </c>
      <c r="P15" s="1" t="s">
        <v>85</v>
      </c>
      <c r="Q15" s="14" t="n">
        <v>6746.248046875</v>
      </c>
      <c r="R15" s="14"/>
      <c r="S15" s="14"/>
      <c r="T15" s="14" t="n">
        <v>347.002227783203</v>
      </c>
      <c r="U15" s="14" t="n">
        <v>327.701751708984</v>
      </c>
      <c r="V15" s="3" t="n">
        <v>18959</v>
      </c>
      <c r="W15" s="3" t="n">
        <v>4726</v>
      </c>
      <c r="X15" s="3" t="n">
        <v>14233</v>
      </c>
      <c r="Y15" s="14" t="n">
        <v>935</v>
      </c>
      <c r="Z15" s="14" t="n">
        <v>3791</v>
      </c>
      <c r="AA15" s="14" t="n">
        <v>1310</v>
      </c>
      <c r="AB15" s="14" t="n">
        <v>12923</v>
      </c>
      <c r="AC15" s="14" t="n">
        <v>34.6794320294596</v>
      </c>
      <c r="AD15" s="14" t="n">
        <v>4.54988288879395</v>
      </c>
      <c r="AE15" s="14"/>
      <c r="AF15" s="14"/>
      <c r="AG15" s="14" t="n">
        <v>4.7788265138191</v>
      </c>
      <c r="AH15" s="14" t="n">
        <v>4.32093905699231</v>
      </c>
      <c r="AI15" s="14" t="n">
        <v>2</v>
      </c>
      <c r="AJ15" s="14"/>
      <c r="AK15" s="14" t="n">
        <v>500</v>
      </c>
      <c r="AL15" s="14"/>
      <c r="AM15" s="14"/>
      <c r="AN15" s="14" t="n">
        <v>3.27980181136569</v>
      </c>
      <c r="AO15" s="14" t="n">
        <v>7.85443400830861</v>
      </c>
      <c r="AP15" s="1" t="s">
        <v>86</v>
      </c>
      <c r="AQ15" s="14" t="n">
        <v>2.27494139270285</v>
      </c>
      <c r="AR15" s="14"/>
      <c r="AS15" s="14"/>
      <c r="AT15" s="14" t="n">
        <v>2.38941325690955</v>
      </c>
      <c r="AU15" s="14" t="n">
        <v>2.16046952849615</v>
      </c>
      <c r="AV15" s="14" t="n">
        <v>69.465102422041</v>
      </c>
      <c r="AW15" s="14"/>
      <c r="AX15" s="14"/>
      <c r="AY15" s="14" t="n">
        <v>70.5324151553002</v>
      </c>
      <c r="AZ15" s="14" t="n">
        <v>68.3977896887817</v>
      </c>
      <c r="BA15" s="14" t="n">
        <v>4830.95922367905</v>
      </c>
      <c r="BB15" s="14" t="n">
        <v>292.455675699618</v>
      </c>
      <c r="BC15" s="14" t="n">
        <v>1423.79001652723</v>
      </c>
      <c r="BF15" s="14"/>
      <c r="BG15" s="14"/>
      <c r="BH15" s="14" t="n">
        <v>342.246215820313</v>
      </c>
      <c r="BI15" s="14" t="n">
        <v>332.399169921875</v>
      </c>
      <c r="BJ15" s="14"/>
      <c r="BK15" s="14"/>
      <c r="BL15" s="14" t="n">
        <v>4.66668992394986</v>
      </c>
      <c r="BM15" s="14" t="n">
        <v>4.43307564686154</v>
      </c>
      <c r="BN15" s="14"/>
      <c r="BO15" s="14"/>
      <c r="BP15" s="14" t="n">
        <v>2.33334496197493</v>
      </c>
      <c r="BQ15" s="14" t="n">
        <v>2.21653782343077</v>
      </c>
      <c r="BR15" s="14"/>
      <c r="BS15" s="14"/>
      <c r="BT15" s="14" t="n">
        <v>70.0096456037553</v>
      </c>
      <c r="BU15" s="14" t="n">
        <v>68.9205592403267</v>
      </c>
      <c r="BV15" s="1" t="s">
        <v>87</v>
      </c>
    </row>
    <row r="16" customFormat="false" ht="15" hidden="false" customHeight="false" outlineLevel="0" collapsed="false">
      <c r="A16" s="12"/>
      <c r="B16" s="1" t="s">
        <v>95</v>
      </c>
      <c r="C16" s="1" t="s">
        <v>92</v>
      </c>
      <c r="D16" s="1" t="s">
        <v>77</v>
      </c>
      <c r="E16" s="1" t="s">
        <v>93</v>
      </c>
      <c r="F16" s="1" t="s">
        <v>94</v>
      </c>
      <c r="G16" s="1" t="s">
        <v>86</v>
      </c>
      <c r="H16" s="14" t="n">
        <v>148.273010253906</v>
      </c>
      <c r="I16" s="14"/>
      <c r="J16" s="1" t="s">
        <v>81</v>
      </c>
      <c r="K16" s="1" t="s">
        <v>82</v>
      </c>
      <c r="L16" s="1" t="s">
        <v>29</v>
      </c>
      <c r="M16" s="1" t="s">
        <v>83</v>
      </c>
      <c r="N16" s="1" t="s">
        <v>83</v>
      </c>
      <c r="O16" s="1" t="s">
        <v>84</v>
      </c>
      <c r="P16" s="1" t="s">
        <v>88</v>
      </c>
      <c r="Q16" s="14" t="n">
        <v>2965.46020507813</v>
      </c>
      <c r="R16" s="14"/>
      <c r="S16" s="14"/>
      <c r="T16" s="14" t="n">
        <v>154.426651000977</v>
      </c>
      <c r="U16" s="14" t="n">
        <v>142.151382446289</v>
      </c>
      <c r="V16" s="3" t="n">
        <v>18959</v>
      </c>
      <c r="W16" s="3" t="n">
        <v>2245</v>
      </c>
      <c r="X16" s="3" t="n">
        <v>16714</v>
      </c>
      <c r="Y16" s="14" t="n">
        <v>935</v>
      </c>
      <c r="Z16" s="14" t="n">
        <v>3791</v>
      </c>
      <c r="AA16" s="14" t="n">
        <v>1310</v>
      </c>
      <c r="AB16" s="14" t="n">
        <v>12923</v>
      </c>
      <c r="AC16" s="14" t="n">
        <v>34.6794320294596</v>
      </c>
      <c r="AD16" s="14"/>
      <c r="AE16" s="14"/>
      <c r="AF16" s="14"/>
      <c r="AG16" s="14"/>
      <c r="AH16" s="14"/>
      <c r="AI16" s="14"/>
      <c r="AJ16" s="14"/>
      <c r="AK16" s="14" t="n">
        <v>1500</v>
      </c>
      <c r="AL16" s="14"/>
      <c r="AM16" s="14"/>
      <c r="AN16" s="14" t="n">
        <v>3.16003255729523</v>
      </c>
      <c r="AO16" s="14" t="n">
        <v>5.38681605976188</v>
      </c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 t="n">
        <v>4117.20263818686</v>
      </c>
      <c r="BB16" s="14" t="n">
        <v>983.891238612565</v>
      </c>
      <c r="BC16" s="14" t="n">
        <v>1354.91735243947</v>
      </c>
      <c r="BF16" s="14"/>
      <c r="BG16" s="14"/>
      <c r="BH16" s="14" t="n">
        <v>151.408615112305</v>
      </c>
      <c r="BI16" s="14" t="n">
        <v>145.145751953125</v>
      </c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" t="s">
        <v>87</v>
      </c>
    </row>
    <row r="17" customFormat="false" ht="15" hidden="false" customHeight="false" outlineLevel="0" collapsed="false">
      <c r="A17" s="12" t="s">
        <v>74</v>
      </c>
      <c r="B17" s="1" t="s">
        <v>96</v>
      </c>
      <c r="C17" s="1" t="s">
        <v>97</v>
      </c>
      <c r="D17" s="1" t="s">
        <v>77</v>
      </c>
      <c r="E17" s="1" t="s">
        <v>93</v>
      </c>
      <c r="F17" s="1" t="s">
        <v>94</v>
      </c>
      <c r="G17" s="1" t="s">
        <v>80</v>
      </c>
      <c r="H17" s="14" t="n">
        <v>363.372680664063</v>
      </c>
      <c r="I17" s="14"/>
      <c r="J17" s="1" t="s">
        <v>81</v>
      </c>
      <c r="K17" s="1" t="s">
        <v>82</v>
      </c>
      <c r="L17" s="1" t="s">
        <v>29</v>
      </c>
      <c r="M17" s="1" t="s">
        <v>83</v>
      </c>
      <c r="N17" s="1" t="s">
        <v>83</v>
      </c>
      <c r="O17" s="1" t="s">
        <v>84</v>
      </c>
      <c r="P17" s="1" t="s">
        <v>85</v>
      </c>
      <c r="Q17" s="14" t="n">
        <v>7267.45361328125</v>
      </c>
      <c r="R17" s="14"/>
      <c r="S17" s="14"/>
      <c r="T17" s="14" t="n">
        <v>373.621673583984</v>
      </c>
      <c r="U17" s="14" t="n">
        <v>353.212158203125</v>
      </c>
      <c r="V17" s="3" t="n">
        <v>18478</v>
      </c>
      <c r="W17" s="3" t="n">
        <v>4910</v>
      </c>
      <c r="X17" s="3" t="n">
        <v>13568</v>
      </c>
      <c r="Y17" s="14" t="n">
        <v>1033</v>
      </c>
      <c r="Z17" s="14" t="n">
        <v>3877</v>
      </c>
      <c r="AA17" s="14" t="n">
        <v>2182</v>
      </c>
      <c r="AB17" s="14" t="n">
        <v>11386</v>
      </c>
      <c r="AC17" s="14" t="n">
        <v>18.6113964147737</v>
      </c>
      <c r="AD17" s="14" t="n">
        <v>3.23168206214905</v>
      </c>
      <c r="AE17" s="14"/>
      <c r="AF17" s="14"/>
      <c r="AG17" s="14" t="n">
        <v>3.37574600613443</v>
      </c>
      <c r="AH17" s="14" t="n">
        <v>3.08761810762152</v>
      </c>
      <c r="AI17" s="14" t="n">
        <v>2</v>
      </c>
      <c r="AJ17" s="14"/>
      <c r="AK17" s="14" t="n">
        <v>500</v>
      </c>
      <c r="AL17" s="14"/>
      <c r="AM17" s="14"/>
      <c r="AN17" s="14" t="n">
        <v>3.04929190215931</v>
      </c>
      <c r="AO17" s="14" t="n">
        <v>6.86299789142477</v>
      </c>
      <c r="AP17" s="1" t="s">
        <v>86</v>
      </c>
      <c r="AQ17" s="14" t="n">
        <v>1.61584102843899</v>
      </c>
      <c r="AR17" s="14"/>
      <c r="AS17" s="14"/>
      <c r="AT17" s="14" t="n">
        <v>1.68787300306721</v>
      </c>
      <c r="AU17" s="14" t="n">
        <v>1.54380905381076</v>
      </c>
      <c r="AV17" s="14" t="n">
        <v>61.7713771927206</v>
      </c>
      <c r="AW17" s="14"/>
      <c r="AX17" s="14"/>
      <c r="AY17" s="14" t="n">
        <v>62.8240723520167</v>
      </c>
      <c r="AZ17" s="14" t="n">
        <v>60.7186820334244</v>
      </c>
      <c r="BA17" s="14" t="n">
        <v>4619.18385713348</v>
      </c>
      <c r="BB17" s="14" t="n">
        <v>299.782459449093</v>
      </c>
      <c r="BC17" s="14" t="n">
        <v>1447.53983917798</v>
      </c>
      <c r="BF17" s="14"/>
      <c r="BG17" s="14"/>
      <c r="BH17" s="14" t="n">
        <v>368.590606689453</v>
      </c>
      <c r="BI17" s="14" t="n">
        <v>358.177734375</v>
      </c>
      <c r="BJ17" s="14"/>
      <c r="BK17" s="14"/>
      <c r="BL17" s="14" t="n">
        <v>3.3051832499695</v>
      </c>
      <c r="BM17" s="14" t="n">
        <v>3.15818086378645</v>
      </c>
      <c r="BN17" s="14"/>
      <c r="BO17" s="14"/>
      <c r="BP17" s="14" t="n">
        <v>1.65259162498475</v>
      </c>
      <c r="BQ17" s="14" t="n">
        <v>1.57909043189323</v>
      </c>
      <c r="BR17" s="14"/>
      <c r="BS17" s="14"/>
      <c r="BT17" s="14" t="n">
        <v>62.3084605544449</v>
      </c>
      <c r="BU17" s="14" t="n">
        <v>61.2342938309962</v>
      </c>
      <c r="BV17" s="1" t="s">
        <v>87</v>
      </c>
    </row>
    <row r="18" customFormat="false" ht="15" hidden="false" customHeight="false" outlineLevel="0" collapsed="false">
      <c r="A18" s="12"/>
      <c r="B18" s="1" t="s">
        <v>96</v>
      </c>
      <c r="C18" s="1" t="s">
        <v>97</v>
      </c>
      <c r="D18" s="1" t="s">
        <v>77</v>
      </c>
      <c r="E18" s="1" t="s">
        <v>93</v>
      </c>
      <c r="F18" s="1" t="s">
        <v>94</v>
      </c>
      <c r="G18" s="1" t="s">
        <v>86</v>
      </c>
      <c r="H18" s="14" t="n">
        <v>224.881454467773</v>
      </c>
      <c r="I18" s="14"/>
      <c r="J18" s="1" t="s">
        <v>81</v>
      </c>
      <c r="K18" s="1" t="s">
        <v>82</v>
      </c>
      <c r="L18" s="1" t="s">
        <v>29</v>
      </c>
      <c r="M18" s="1" t="s">
        <v>83</v>
      </c>
      <c r="N18" s="1" t="s">
        <v>83</v>
      </c>
      <c r="O18" s="1" t="s">
        <v>84</v>
      </c>
      <c r="P18" s="1" t="s">
        <v>88</v>
      </c>
      <c r="Q18" s="14" t="n">
        <v>4497.62890625</v>
      </c>
      <c r="R18" s="14"/>
      <c r="S18" s="14"/>
      <c r="T18" s="14" t="n">
        <v>232.69270324707</v>
      </c>
      <c r="U18" s="14" t="n">
        <v>217.121719360352</v>
      </c>
      <c r="V18" s="3" t="n">
        <v>18478</v>
      </c>
      <c r="W18" s="3" t="n">
        <v>3215</v>
      </c>
      <c r="X18" s="3" t="n">
        <v>15263</v>
      </c>
      <c r="Y18" s="14" t="n">
        <v>1033</v>
      </c>
      <c r="Z18" s="14" t="n">
        <v>3877</v>
      </c>
      <c r="AA18" s="14" t="n">
        <v>2182</v>
      </c>
      <c r="AB18" s="14" t="n">
        <v>11386</v>
      </c>
      <c r="AC18" s="14" t="n">
        <v>18.6113964147737</v>
      </c>
      <c r="AD18" s="14"/>
      <c r="AE18" s="14"/>
      <c r="AF18" s="14"/>
      <c r="AG18" s="14"/>
      <c r="AH18" s="14"/>
      <c r="AI18" s="14"/>
      <c r="AJ18" s="14"/>
      <c r="AK18" s="14" t="n">
        <v>1500</v>
      </c>
      <c r="AL18" s="14"/>
      <c r="AM18" s="14"/>
      <c r="AN18" s="14" t="n">
        <v>2.43681395538738</v>
      </c>
      <c r="AO18" s="14" t="n">
        <v>5.42897887874747</v>
      </c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 t="n">
        <v>4008.57970010571</v>
      </c>
      <c r="BB18" s="14" t="n">
        <v>977.985950585189</v>
      </c>
      <c r="BC18" s="14" t="n">
        <v>1505.2810531238</v>
      </c>
      <c r="BF18" s="14"/>
      <c r="BG18" s="14"/>
      <c r="BH18" s="14" t="n">
        <v>228.860305786133</v>
      </c>
      <c r="BI18" s="14" t="n">
        <v>220.916000366211</v>
      </c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" t="s">
        <v>87</v>
      </c>
    </row>
    <row r="19" customFormat="false" ht="15" hidden="false" customHeight="false" outlineLevel="0" collapsed="false">
      <c r="A19" s="12" t="s">
        <v>89</v>
      </c>
      <c r="B19" s="1" t="s">
        <v>98</v>
      </c>
      <c r="C19" s="1" t="s">
        <v>99</v>
      </c>
      <c r="D19" s="1" t="s">
        <v>77</v>
      </c>
      <c r="E19" s="1" t="s">
        <v>78</v>
      </c>
      <c r="F19" s="1" t="s">
        <v>79</v>
      </c>
      <c r="G19" s="1" t="s">
        <v>80</v>
      </c>
      <c r="H19" s="14" t="n">
        <v>0.214534342288971</v>
      </c>
      <c r="I19" s="14"/>
      <c r="J19" s="1" t="s">
        <v>81</v>
      </c>
      <c r="K19" s="1" t="s">
        <v>82</v>
      </c>
      <c r="L19" s="1" t="s">
        <v>29</v>
      </c>
      <c r="M19" s="1" t="s">
        <v>83</v>
      </c>
      <c r="N19" s="1" t="s">
        <v>83</v>
      </c>
      <c r="O19" s="1" t="s">
        <v>84</v>
      </c>
      <c r="P19" s="1" t="s">
        <v>85</v>
      </c>
      <c r="Q19" s="14" t="n">
        <v>4.29068660736084</v>
      </c>
      <c r="R19" s="14"/>
      <c r="S19" s="14"/>
      <c r="T19" s="14" t="n">
        <v>0.568673133850098</v>
      </c>
      <c r="U19" s="14" t="n">
        <v>0.0509126111865044</v>
      </c>
      <c r="V19" s="3" t="n">
        <v>16453</v>
      </c>
      <c r="W19" s="3" t="n">
        <v>3</v>
      </c>
      <c r="X19" s="3" t="n">
        <v>16450</v>
      </c>
      <c r="Y19" s="14" t="n">
        <v>0</v>
      </c>
      <c r="Z19" s="14" t="n">
        <v>3</v>
      </c>
      <c r="AA19" s="14" t="n">
        <v>0</v>
      </c>
      <c r="AB19" s="14" t="n">
        <v>16450</v>
      </c>
      <c r="AC19" s="14" t="n">
        <v>0</v>
      </c>
      <c r="AD19" s="14"/>
      <c r="AE19" s="14"/>
      <c r="AF19" s="14"/>
      <c r="AG19" s="14"/>
      <c r="AH19" s="14"/>
      <c r="AI19" s="14"/>
      <c r="AJ19" s="14"/>
      <c r="AK19" s="14" t="n">
        <v>500</v>
      </c>
      <c r="AL19" s="14"/>
      <c r="AM19" s="14"/>
      <c r="AN19" s="14" t="n">
        <v>1.48819985085243</v>
      </c>
      <c r="AO19" s="14" t="n">
        <v>10.587177031305</v>
      </c>
      <c r="AP19" s="1" t="s">
        <v>86</v>
      </c>
      <c r="AQ19" s="14"/>
      <c r="AR19" s="14"/>
      <c r="AS19" s="14"/>
      <c r="AT19" s="14"/>
      <c r="AU19" s="14"/>
      <c r="AV19" s="14" t="n">
        <v>100</v>
      </c>
      <c r="AW19" s="14"/>
      <c r="AX19" s="14"/>
      <c r="AY19" s="14" t="n">
        <v>149.933327109882</v>
      </c>
      <c r="AZ19" s="14" t="n">
        <v>50.066672890118</v>
      </c>
      <c r="BA19" s="14" t="n">
        <v>2026.10001627604</v>
      </c>
      <c r="BB19" s="14" t="n">
        <v>283.251747042299</v>
      </c>
      <c r="BC19" s="14" t="n">
        <v>283.569533756437</v>
      </c>
      <c r="BF19" s="14"/>
      <c r="BG19" s="14"/>
      <c r="BH19" s="14" t="n">
        <v>0.367306679487228</v>
      </c>
      <c r="BI19" s="14" t="n">
        <v>0.111481465399265</v>
      </c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 t="n">
        <v>122.815535582166</v>
      </c>
      <c r="BU19" s="14" t="n">
        <v>77.1844644178336</v>
      </c>
      <c r="BV19" s="1" t="s">
        <v>87</v>
      </c>
    </row>
    <row r="20" customFormat="false" ht="15" hidden="false" customHeight="false" outlineLevel="0" collapsed="false">
      <c r="A20" s="12"/>
      <c r="B20" s="1" t="s">
        <v>98</v>
      </c>
      <c r="C20" s="1" t="s">
        <v>99</v>
      </c>
      <c r="D20" s="1" t="s">
        <v>77</v>
      </c>
      <c r="E20" s="1" t="s">
        <v>78</v>
      </c>
      <c r="F20" s="1" t="s">
        <v>79</v>
      </c>
      <c r="G20" s="1" t="s">
        <v>86</v>
      </c>
      <c r="H20" s="14" t="n">
        <v>0</v>
      </c>
      <c r="I20" s="14"/>
      <c r="J20" s="1" t="s">
        <v>81</v>
      </c>
      <c r="K20" s="1" t="s">
        <v>82</v>
      </c>
      <c r="L20" s="1" t="s">
        <v>29</v>
      </c>
      <c r="M20" s="1" t="s">
        <v>83</v>
      </c>
      <c r="N20" s="1" t="s">
        <v>83</v>
      </c>
      <c r="O20" s="1" t="s">
        <v>84</v>
      </c>
      <c r="P20" s="1" t="s">
        <v>88</v>
      </c>
      <c r="Q20" s="14" t="n">
        <v>0</v>
      </c>
      <c r="R20" s="14"/>
      <c r="S20" s="14"/>
      <c r="T20" s="14" t="n">
        <v>0.214248269796371</v>
      </c>
      <c r="U20" s="14" t="n">
        <v>0</v>
      </c>
      <c r="V20" s="3" t="n">
        <v>16453</v>
      </c>
      <c r="W20" s="3" t="n">
        <v>0</v>
      </c>
      <c r="X20" s="3" t="n">
        <v>16453</v>
      </c>
      <c r="Y20" s="14" t="n">
        <v>0</v>
      </c>
      <c r="Z20" s="14" t="n">
        <v>3</v>
      </c>
      <c r="AA20" s="14" t="n">
        <v>0</v>
      </c>
      <c r="AB20" s="14" t="n">
        <v>16450</v>
      </c>
      <c r="AC20" s="14" t="n">
        <v>0</v>
      </c>
      <c r="AD20" s="14"/>
      <c r="AE20" s="14"/>
      <c r="AF20" s="14"/>
      <c r="AG20" s="14"/>
      <c r="AH20" s="14"/>
      <c r="AI20" s="14"/>
      <c r="AJ20" s="14"/>
      <c r="AK20" s="14" t="n">
        <v>1500</v>
      </c>
      <c r="AL20" s="14"/>
      <c r="AM20" s="14"/>
      <c r="AN20" s="14"/>
      <c r="AO20" s="14" t="n">
        <v>12.3632955313268</v>
      </c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 t="n">
        <v>950.736951901848</v>
      </c>
      <c r="BC20" s="14" t="n">
        <v>950.736951901848</v>
      </c>
      <c r="BF20" s="14"/>
      <c r="BG20" s="14"/>
      <c r="BH20" s="14" t="n">
        <v>0.0978943184018135</v>
      </c>
      <c r="BI20" s="14" t="n">
        <v>0</v>
      </c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" t="s">
        <v>87</v>
      </c>
    </row>
    <row r="21" customFormat="false" ht="15" hidden="false" customHeight="false" outlineLevel="0" collapsed="false">
      <c r="A21" s="12" t="s">
        <v>74</v>
      </c>
      <c r="B21" s="1" t="s">
        <v>100</v>
      </c>
      <c r="C21" s="1" t="s">
        <v>99</v>
      </c>
      <c r="D21" s="1" t="s">
        <v>77</v>
      </c>
      <c r="E21" s="1" t="s">
        <v>78</v>
      </c>
      <c r="F21" s="1" t="s">
        <v>79</v>
      </c>
      <c r="G21" s="1" t="s">
        <v>80</v>
      </c>
      <c r="H21" s="14" t="n">
        <v>0.0687572285532951</v>
      </c>
      <c r="I21" s="14"/>
      <c r="J21" s="1" t="s">
        <v>81</v>
      </c>
      <c r="K21" s="1" t="s">
        <v>82</v>
      </c>
      <c r="L21" s="1" t="s">
        <v>29</v>
      </c>
      <c r="M21" s="1" t="s">
        <v>83</v>
      </c>
      <c r="N21" s="1" t="s">
        <v>83</v>
      </c>
      <c r="O21" s="1" t="s">
        <v>84</v>
      </c>
      <c r="P21" s="1" t="s">
        <v>85</v>
      </c>
      <c r="Q21" s="14" t="n">
        <v>1.37514460086823</v>
      </c>
      <c r="R21" s="14"/>
      <c r="S21" s="14"/>
      <c r="T21" s="14" t="n">
        <v>0.328420758247376</v>
      </c>
      <c r="U21" s="14" t="n">
        <v>0.00288772280327976</v>
      </c>
      <c r="V21" s="3" t="n">
        <v>17111</v>
      </c>
      <c r="W21" s="3" t="n">
        <v>1</v>
      </c>
      <c r="X21" s="3" t="n">
        <v>17110</v>
      </c>
      <c r="Y21" s="14" t="n">
        <v>0</v>
      </c>
      <c r="Z21" s="14" t="n">
        <v>1</v>
      </c>
      <c r="AA21" s="14" t="n">
        <v>0</v>
      </c>
      <c r="AB21" s="14" t="n">
        <v>17110</v>
      </c>
      <c r="AC21" s="14" t="n">
        <v>0</v>
      </c>
      <c r="AD21" s="14"/>
      <c r="AE21" s="14"/>
      <c r="AF21" s="14"/>
      <c r="AG21" s="14"/>
      <c r="AH21" s="14"/>
      <c r="AI21" s="14"/>
      <c r="AJ21" s="14"/>
      <c r="AK21" s="14" t="n">
        <v>500</v>
      </c>
      <c r="AL21" s="14"/>
      <c r="AM21" s="14"/>
      <c r="AN21" s="14"/>
      <c r="AO21" s="14" t="n">
        <v>10.2544894165305</v>
      </c>
      <c r="AP21" s="1" t="s">
        <v>86</v>
      </c>
      <c r="AQ21" s="14"/>
      <c r="AR21" s="14"/>
      <c r="AS21" s="14"/>
      <c r="AT21" s="14"/>
      <c r="AU21" s="14"/>
      <c r="AV21" s="14" t="n">
        <v>100</v>
      </c>
      <c r="AW21" s="14"/>
      <c r="AX21" s="14"/>
      <c r="AY21" s="14" t="n">
        <v>249.808737967494</v>
      </c>
      <c r="AZ21" s="14" t="n">
        <v>0</v>
      </c>
      <c r="BA21" s="14" t="n">
        <v>1511.24194335938</v>
      </c>
      <c r="BB21" s="14" t="n">
        <v>288.236087467767</v>
      </c>
      <c r="BC21" s="14" t="n">
        <v>288.30756230009</v>
      </c>
      <c r="BF21" s="14"/>
      <c r="BG21" s="14"/>
      <c r="BH21" s="14" t="n">
        <v>0.17114420235157</v>
      </c>
      <c r="BI21" s="14" t="n">
        <v>0.018632810562849</v>
      </c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 t="n">
        <v>168.450736901441</v>
      </c>
      <c r="BU21" s="14" t="n">
        <v>31.5492630985587</v>
      </c>
      <c r="BV21" s="1" t="s">
        <v>87</v>
      </c>
    </row>
    <row r="22" customFormat="false" ht="15" hidden="false" customHeight="false" outlineLevel="0" collapsed="false">
      <c r="A22" s="12"/>
      <c r="B22" s="1" t="s">
        <v>100</v>
      </c>
      <c r="C22" s="1" t="s">
        <v>99</v>
      </c>
      <c r="D22" s="1" t="s">
        <v>77</v>
      </c>
      <c r="E22" s="1" t="s">
        <v>78</v>
      </c>
      <c r="F22" s="1" t="s">
        <v>79</v>
      </c>
      <c r="G22" s="1" t="s">
        <v>86</v>
      </c>
      <c r="H22" s="14" t="n">
        <v>0</v>
      </c>
      <c r="I22" s="14"/>
      <c r="J22" s="1" t="s">
        <v>81</v>
      </c>
      <c r="K22" s="1" t="s">
        <v>82</v>
      </c>
      <c r="L22" s="1" t="s">
        <v>29</v>
      </c>
      <c r="M22" s="1" t="s">
        <v>83</v>
      </c>
      <c r="N22" s="1" t="s">
        <v>83</v>
      </c>
      <c r="O22" s="1" t="s">
        <v>84</v>
      </c>
      <c r="P22" s="1" t="s">
        <v>88</v>
      </c>
      <c r="Q22" s="14" t="n">
        <v>0</v>
      </c>
      <c r="R22" s="14"/>
      <c r="S22" s="14"/>
      <c r="T22" s="14" t="n">
        <v>0.206008672714233</v>
      </c>
      <c r="U22" s="14" t="n">
        <v>0</v>
      </c>
      <c r="V22" s="3" t="n">
        <v>17111</v>
      </c>
      <c r="W22" s="3" t="n">
        <v>0</v>
      </c>
      <c r="X22" s="3" t="n">
        <v>17111</v>
      </c>
      <c r="Y22" s="14" t="n">
        <v>0</v>
      </c>
      <c r="Z22" s="14" t="n">
        <v>1</v>
      </c>
      <c r="AA22" s="14" t="n">
        <v>0</v>
      </c>
      <c r="AB22" s="14" t="n">
        <v>17110</v>
      </c>
      <c r="AC22" s="14" t="n">
        <v>0</v>
      </c>
      <c r="AD22" s="14"/>
      <c r="AE22" s="14"/>
      <c r="AF22" s="14"/>
      <c r="AG22" s="14"/>
      <c r="AH22" s="14"/>
      <c r="AI22" s="14"/>
      <c r="AJ22" s="14"/>
      <c r="AK22" s="14" t="n">
        <v>1500</v>
      </c>
      <c r="AL22" s="14"/>
      <c r="AM22" s="14"/>
      <c r="AN22" s="14"/>
      <c r="AO22" s="14" t="n">
        <v>12.3579510197502</v>
      </c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 t="n">
        <v>944.965906958808</v>
      </c>
      <c r="BC22" s="14" t="n">
        <v>944.965906958808</v>
      </c>
      <c r="BF22" s="14"/>
      <c r="BG22" s="14"/>
      <c r="BH22" s="14" t="n">
        <v>0.0941296592354775</v>
      </c>
      <c r="BI22" s="14" t="n">
        <v>0</v>
      </c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" t="s">
        <v>87</v>
      </c>
    </row>
    <row r="23" customFormat="false" ht="15" hidden="false" customHeight="false" outlineLevel="0" collapsed="false">
      <c r="A23" s="12" t="s">
        <v>89</v>
      </c>
      <c r="B23" s="1" t="s">
        <v>101</v>
      </c>
      <c r="C23" s="1" t="s">
        <v>102</v>
      </c>
      <c r="D23" s="1" t="s">
        <v>77</v>
      </c>
      <c r="E23" s="1" t="s">
        <v>93</v>
      </c>
      <c r="F23" s="1" t="s">
        <v>94</v>
      </c>
      <c r="G23" s="1" t="s">
        <v>80</v>
      </c>
      <c r="H23" s="14" t="n">
        <v>90.1260299682617</v>
      </c>
      <c r="I23" s="14"/>
      <c r="J23" s="1" t="s">
        <v>81</v>
      </c>
      <c r="K23" s="1" t="s">
        <v>82</v>
      </c>
      <c r="L23" s="1" t="s">
        <v>29</v>
      </c>
      <c r="M23" s="1" t="s">
        <v>83</v>
      </c>
      <c r="N23" s="1" t="s">
        <v>83</v>
      </c>
      <c r="O23" s="1" t="s">
        <v>84</v>
      </c>
      <c r="P23" s="1" t="s">
        <v>85</v>
      </c>
      <c r="Q23" s="14" t="n">
        <v>1802.52062988281</v>
      </c>
      <c r="R23" s="14"/>
      <c r="S23" s="14"/>
      <c r="T23" s="14" t="n">
        <v>95.0847702026367</v>
      </c>
      <c r="U23" s="14" t="n">
        <v>85.1880874633789</v>
      </c>
      <c r="V23" s="3" t="n">
        <v>17289</v>
      </c>
      <c r="W23" s="3" t="n">
        <v>1275</v>
      </c>
      <c r="X23" s="3" t="n">
        <v>16014</v>
      </c>
      <c r="Y23" s="14" t="n">
        <v>501</v>
      </c>
      <c r="Z23" s="14" t="n">
        <v>774</v>
      </c>
      <c r="AA23" s="14" t="n">
        <v>1414</v>
      </c>
      <c r="AB23" s="14" t="n">
        <v>14600</v>
      </c>
      <c r="AC23" s="14" t="n">
        <v>29.3539741115297</v>
      </c>
      <c r="AD23" s="14" t="n">
        <v>1.30514311790466</v>
      </c>
      <c r="AE23" s="14"/>
      <c r="AF23" s="14"/>
      <c r="AG23" s="14" t="n">
        <v>1.39764195414806</v>
      </c>
      <c r="AH23" s="14" t="n">
        <v>1.21264424929607</v>
      </c>
      <c r="AI23" s="14" t="n">
        <v>2</v>
      </c>
      <c r="AJ23" s="14"/>
      <c r="AK23" s="14" t="n">
        <v>500</v>
      </c>
      <c r="AL23" s="14"/>
      <c r="AM23" s="14"/>
      <c r="AN23" s="14" t="n">
        <v>2.22718398301371</v>
      </c>
      <c r="AO23" s="14" t="n">
        <v>7.96387769868112</v>
      </c>
      <c r="AP23" s="1" t="s">
        <v>86</v>
      </c>
      <c r="AQ23" s="14" t="n">
        <v>0.652571550861032</v>
      </c>
      <c r="AR23" s="14"/>
      <c r="AS23" s="14"/>
      <c r="AT23" s="14" t="n">
        <v>0.698820977074028</v>
      </c>
      <c r="AU23" s="14" t="n">
        <v>0.606322124648037</v>
      </c>
      <c r="AV23" s="14" t="n">
        <v>39.4882479079968</v>
      </c>
      <c r="AW23" s="14"/>
      <c r="AX23" s="14"/>
      <c r="AY23" s="14" t="n">
        <v>41.1817502631233</v>
      </c>
      <c r="AZ23" s="14" t="n">
        <v>37.7947455528703</v>
      </c>
      <c r="BA23" s="14" t="n">
        <v>4075.76245878332</v>
      </c>
      <c r="BB23" s="14" t="n">
        <v>290.588888210975</v>
      </c>
      <c r="BC23" s="14" t="n">
        <v>569.731481911</v>
      </c>
      <c r="BF23" s="14"/>
      <c r="BG23" s="14"/>
      <c r="BH23" s="14" t="n">
        <v>92.6533889770508</v>
      </c>
      <c r="BI23" s="14" t="n">
        <v>87.6040725708008</v>
      </c>
      <c r="BJ23" s="14"/>
      <c r="BK23" s="14"/>
      <c r="BL23" s="14" t="n">
        <v>1.35233618772314</v>
      </c>
      <c r="BM23" s="14" t="n">
        <v>1.25795001572099</v>
      </c>
      <c r="BN23" s="14"/>
      <c r="BO23" s="14"/>
      <c r="BP23" s="14" t="n">
        <v>0.676168093861571</v>
      </c>
      <c r="BQ23" s="14" t="n">
        <v>0.628975007860493</v>
      </c>
      <c r="BR23" s="14"/>
      <c r="BS23" s="14"/>
      <c r="BT23" s="14" t="n">
        <v>40.3522759493442</v>
      </c>
      <c r="BU23" s="14" t="n">
        <v>38.6242198666494</v>
      </c>
      <c r="BV23" s="1" t="s">
        <v>87</v>
      </c>
    </row>
    <row r="24" customFormat="false" ht="15" hidden="false" customHeight="false" outlineLevel="0" collapsed="false">
      <c r="A24" s="12"/>
      <c r="B24" s="1" t="s">
        <v>101</v>
      </c>
      <c r="C24" s="1" t="s">
        <v>102</v>
      </c>
      <c r="D24" s="1" t="s">
        <v>77</v>
      </c>
      <c r="E24" s="1" t="s">
        <v>93</v>
      </c>
      <c r="F24" s="1" t="s">
        <v>94</v>
      </c>
      <c r="G24" s="1" t="s">
        <v>86</v>
      </c>
      <c r="H24" s="14" t="n">
        <v>138.109039306641</v>
      </c>
      <c r="I24" s="14"/>
      <c r="J24" s="1" t="s">
        <v>81</v>
      </c>
      <c r="K24" s="1" t="s">
        <v>82</v>
      </c>
      <c r="L24" s="1" t="s">
        <v>29</v>
      </c>
      <c r="M24" s="1" t="s">
        <v>83</v>
      </c>
      <c r="N24" s="1" t="s">
        <v>83</v>
      </c>
      <c r="O24" s="1" t="s">
        <v>84</v>
      </c>
      <c r="P24" s="1" t="s">
        <v>88</v>
      </c>
      <c r="Q24" s="14" t="n">
        <v>2762.1806640625</v>
      </c>
      <c r="R24" s="14"/>
      <c r="S24" s="14"/>
      <c r="T24" s="14" t="n">
        <v>144.314697265625</v>
      </c>
      <c r="U24" s="14" t="n">
        <v>131.935943603516</v>
      </c>
      <c r="V24" s="3" t="n">
        <v>17289</v>
      </c>
      <c r="W24" s="3" t="n">
        <v>1915</v>
      </c>
      <c r="X24" s="3" t="n">
        <v>15374</v>
      </c>
      <c r="Y24" s="14" t="n">
        <v>501</v>
      </c>
      <c r="Z24" s="14" t="n">
        <v>774</v>
      </c>
      <c r="AA24" s="14" t="n">
        <v>1414</v>
      </c>
      <c r="AB24" s="14" t="n">
        <v>14600</v>
      </c>
      <c r="AC24" s="14" t="n">
        <v>29.3539741115297</v>
      </c>
      <c r="AD24" s="14"/>
      <c r="AE24" s="14"/>
      <c r="AF24" s="14"/>
      <c r="AG24" s="14"/>
      <c r="AH24" s="14"/>
      <c r="AI24" s="14"/>
      <c r="AJ24" s="14"/>
      <c r="AK24" s="14" t="n">
        <v>1500</v>
      </c>
      <c r="AL24" s="14"/>
      <c r="AM24" s="14"/>
      <c r="AN24" s="14" t="n">
        <v>4.9372429168272</v>
      </c>
      <c r="AO24" s="14" t="n">
        <v>8.65114119361442</v>
      </c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 t="n">
        <v>4034.09762743758</v>
      </c>
      <c r="BB24" s="14" t="n">
        <v>953.930959777713</v>
      </c>
      <c r="BC24" s="14" t="n">
        <v>1295.10275505614</v>
      </c>
      <c r="BF24" s="14"/>
      <c r="BG24" s="14"/>
      <c r="BH24" s="14" t="n">
        <v>141.271102905273</v>
      </c>
      <c r="BI24" s="14" t="n">
        <v>134.955459594727</v>
      </c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" t="s">
        <v>87</v>
      </c>
    </row>
    <row r="25" customFormat="false" ht="15" hidden="false" customHeight="false" outlineLevel="0" collapsed="false">
      <c r="A25" s="12" t="s">
        <v>74</v>
      </c>
      <c r="B25" s="1" t="s">
        <v>103</v>
      </c>
      <c r="C25" s="1" t="s">
        <v>102</v>
      </c>
      <c r="D25" s="1" t="s">
        <v>77</v>
      </c>
      <c r="E25" s="1" t="s">
        <v>93</v>
      </c>
      <c r="F25" s="1" t="s">
        <v>94</v>
      </c>
      <c r="G25" s="1" t="s">
        <v>80</v>
      </c>
      <c r="H25" s="14" t="n">
        <v>76.6862106323242</v>
      </c>
      <c r="I25" s="14"/>
      <c r="J25" s="1" t="s">
        <v>81</v>
      </c>
      <c r="K25" s="1" t="s">
        <v>82</v>
      </c>
      <c r="L25" s="1" t="s">
        <v>29</v>
      </c>
      <c r="M25" s="1" t="s">
        <v>83</v>
      </c>
      <c r="N25" s="1" t="s">
        <v>83</v>
      </c>
      <c r="O25" s="1" t="s">
        <v>84</v>
      </c>
      <c r="P25" s="1" t="s">
        <v>85</v>
      </c>
      <c r="Q25" s="14" t="n">
        <v>1533.72424316406</v>
      </c>
      <c r="R25" s="14"/>
      <c r="S25" s="14"/>
      <c r="T25" s="14" t="n">
        <v>81.2484588623047</v>
      </c>
      <c r="U25" s="14" t="n">
        <v>72.1415863037109</v>
      </c>
      <c r="V25" s="3" t="n">
        <v>17273</v>
      </c>
      <c r="W25" s="3" t="n">
        <v>1090</v>
      </c>
      <c r="X25" s="3" t="n">
        <v>16183</v>
      </c>
      <c r="Y25" s="14" t="n">
        <v>421</v>
      </c>
      <c r="Z25" s="14" t="n">
        <v>669</v>
      </c>
      <c r="AA25" s="14" t="n">
        <v>1447</v>
      </c>
      <c r="AB25" s="14" t="n">
        <v>14736</v>
      </c>
      <c r="AC25" s="14" t="n">
        <v>24.4525024273114</v>
      </c>
      <c r="AD25" s="14" t="n">
        <v>1.13904547691345</v>
      </c>
      <c r="AE25" s="14"/>
      <c r="AF25" s="14"/>
      <c r="AG25" s="14" t="n">
        <v>1.22416586105093</v>
      </c>
      <c r="AH25" s="14" t="n">
        <v>1.05392519514212</v>
      </c>
      <c r="AI25" s="14" t="n">
        <v>2</v>
      </c>
      <c r="AJ25" s="14"/>
      <c r="AK25" s="14" t="n">
        <v>500</v>
      </c>
      <c r="AL25" s="14"/>
      <c r="AM25" s="14"/>
      <c r="AN25" s="14" t="n">
        <v>2.23288640837593</v>
      </c>
      <c r="AO25" s="14" t="n">
        <v>8.07702288526184</v>
      </c>
      <c r="AP25" s="1" t="s">
        <v>86</v>
      </c>
      <c r="AQ25" s="14" t="n">
        <v>0.569522764048262</v>
      </c>
      <c r="AR25" s="14"/>
      <c r="AS25" s="14"/>
      <c r="AT25" s="14" t="n">
        <v>0.612082930525463</v>
      </c>
      <c r="AU25" s="14" t="n">
        <v>0.526962597571061</v>
      </c>
      <c r="AV25" s="14" t="n">
        <v>36.2863653266994</v>
      </c>
      <c r="AW25" s="14"/>
      <c r="AX25" s="14"/>
      <c r="AY25" s="14" t="n">
        <v>38.0140643194614</v>
      </c>
      <c r="AZ25" s="14" t="n">
        <v>34.5586663339373</v>
      </c>
      <c r="BA25" s="14" t="n">
        <v>4145.72204931417</v>
      </c>
      <c r="BB25" s="14" t="n">
        <v>295.530444654069</v>
      </c>
      <c r="BC25" s="14" t="n">
        <v>538.493962808385</v>
      </c>
      <c r="BF25" s="14"/>
      <c r="BG25" s="14"/>
      <c r="BH25" s="14" t="n">
        <v>79.0116806030273</v>
      </c>
      <c r="BI25" s="14" t="n">
        <v>74.3653335571289</v>
      </c>
      <c r="BJ25" s="14"/>
      <c r="BK25" s="14"/>
      <c r="BL25" s="14" t="n">
        <v>1.18247409603311</v>
      </c>
      <c r="BM25" s="14" t="n">
        <v>1.09561696015994</v>
      </c>
      <c r="BN25" s="14"/>
      <c r="BO25" s="14"/>
      <c r="BP25" s="14" t="n">
        <v>0.591237048016554</v>
      </c>
      <c r="BQ25" s="14" t="n">
        <v>0.54780848007997</v>
      </c>
      <c r="BR25" s="14"/>
      <c r="BS25" s="14"/>
      <c r="BT25" s="14" t="n">
        <v>37.167840885792</v>
      </c>
      <c r="BU25" s="14" t="n">
        <v>35.4048897676067</v>
      </c>
      <c r="BV25" s="1" t="s">
        <v>87</v>
      </c>
    </row>
    <row r="26" customFormat="false" ht="15" hidden="false" customHeight="false" outlineLevel="0" collapsed="false">
      <c r="A26" s="12"/>
      <c r="B26" s="1" t="s">
        <v>103</v>
      </c>
      <c r="C26" s="1" t="s">
        <v>102</v>
      </c>
      <c r="D26" s="1" t="s">
        <v>77</v>
      </c>
      <c r="E26" s="1" t="s">
        <v>93</v>
      </c>
      <c r="F26" s="1" t="s">
        <v>94</v>
      </c>
      <c r="G26" s="1" t="s">
        <v>86</v>
      </c>
      <c r="H26" s="14" t="n">
        <v>134.649948120117</v>
      </c>
      <c r="I26" s="14"/>
      <c r="J26" s="1" t="s">
        <v>81</v>
      </c>
      <c r="K26" s="1" t="s">
        <v>82</v>
      </c>
      <c r="L26" s="1" t="s">
        <v>29</v>
      </c>
      <c r="M26" s="1" t="s">
        <v>83</v>
      </c>
      <c r="N26" s="1" t="s">
        <v>83</v>
      </c>
      <c r="O26" s="1" t="s">
        <v>84</v>
      </c>
      <c r="P26" s="1" t="s">
        <v>88</v>
      </c>
      <c r="Q26" s="14" t="n">
        <v>2692.9990234375</v>
      </c>
      <c r="R26" s="14"/>
      <c r="S26" s="14"/>
      <c r="T26" s="14" t="n">
        <v>140.775436401367</v>
      </c>
      <c r="U26" s="14" t="n">
        <v>128.556182861328</v>
      </c>
      <c r="V26" s="3" t="n">
        <v>17273</v>
      </c>
      <c r="W26" s="3" t="n">
        <v>1868</v>
      </c>
      <c r="X26" s="3" t="n">
        <v>15405</v>
      </c>
      <c r="Y26" s="14" t="n">
        <v>421</v>
      </c>
      <c r="Z26" s="14" t="n">
        <v>669</v>
      </c>
      <c r="AA26" s="14" t="n">
        <v>1447</v>
      </c>
      <c r="AB26" s="14" t="n">
        <v>14736</v>
      </c>
      <c r="AC26" s="14" t="n">
        <v>24.4525024273114</v>
      </c>
      <c r="AD26" s="14"/>
      <c r="AE26" s="14"/>
      <c r="AF26" s="14"/>
      <c r="AG26" s="14"/>
      <c r="AH26" s="14"/>
      <c r="AI26" s="14"/>
      <c r="AJ26" s="14"/>
      <c r="AK26" s="14" t="n">
        <v>1500</v>
      </c>
      <c r="AL26" s="14"/>
      <c r="AM26" s="14"/>
      <c r="AN26" s="14" t="n">
        <v>5.12416626535427</v>
      </c>
      <c r="AO26" s="14" t="n">
        <v>9.23809896571401</v>
      </c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 t="n">
        <v>4035.78281012133</v>
      </c>
      <c r="BB26" s="14" t="n">
        <v>949.788914185165</v>
      </c>
      <c r="BC26" s="14" t="n">
        <v>1283.52576346489</v>
      </c>
      <c r="BF26" s="14"/>
      <c r="BG26" s="14"/>
      <c r="BH26" s="14" t="n">
        <v>137.771224975586</v>
      </c>
      <c r="BI26" s="14" t="n">
        <v>131.53694152832</v>
      </c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" t="s">
        <v>87</v>
      </c>
    </row>
    <row r="27" customFormat="false" ht="15" hidden="false" customHeight="false" outlineLevel="0" collapsed="false">
      <c r="A27" s="12" t="s">
        <v>89</v>
      </c>
      <c r="B27" s="1" t="s">
        <v>104</v>
      </c>
      <c r="C27" s="1" t="s">
        <v>97</v>
      </c>
      <c r="D27" s="1" t="s">
        <v>77</v>
      </c>
      <c r="E27" s="1" t="s">
        <v>93</v>
      </c>
      <c r="F27" s="1" t="s">
        <v>94</v>
      </c>
      <c r="G27" s="1" t="s">
        <v>80</v>
      </c>
      <c r="H27" s="14" t="n">
        <v>123.302574157715</v>
      </c>
      <c r="I27" s="14"/>
      <c r="J27" s="1" t="s">
        <v>81</v>
      </c>
      <c r="K27" s="1" t="s">
        <v>82</v>
      </c>
      <c r="L27" s="1" t="s">
        <v>29</v>
      </c>
      <c r="M27" s="1" t="s">
        <v>83</v>
      </c>
      <c r="N27" s="1" t="s">
        <v>83</v>
      </c>
      <c r="O27" s="1" t="s">
        <v>84</v>
      </c>
      <c r="P27" s="1" t="s">
        <v>85</v>
      </c>
      <c r="Q27" s="14" t="n">
        <v>2466.05151367188</v>
      </c>
      <c r="R27" s="14"/>
      <c r="S27" s="14"/>
      <c r="T27" s="14" t="n">
        <v>131.887512207031</v>
      </c>
      <c r="U27" s="14" t="n">
        <v>114.779830932617</v>
      </c>
      <c r="V27" s="3" t="n">
        <v>8030</v>
      </c>
      <c r="W27" s="3" t="n">
        <v>799</v>
      </c>
      <c r="X27" s="3" t="n">
        <v>7231</v>
      </c>
      <c r="Y27" s="14" t="n">
        <v>117</v>
      </c>
      <c r="Z27" s="14" t="n">
        <v>682</v>
      </c>
      <c r="AA27" s="14" t="n">
        <v>688</v>
      </c>
      <c r="AB27" s="14" t="n">
        <v>6543</v>
      </c>
      <c r="AC27" s="14" t="n">
        <v>6.65380052966088</v>
      </c>
      <c r="AD27" s="14" t="n">
        <v>1.98428380489349</v>
      </c>
      <c r="AE27" s="14"/>
      <c r="AF27" s="14"/>
      <c r="AG27" s="14" t="n">
        <v>2.17859526148173</v>
      </c>
      <c r="AH27" s="14" t="n">
        <v>1.78997225923097</v>
      </c>
      <c r="AI27" s="14" t="n">
        <v>2</v>
      </c>
      <c r="AJ27" s="14"/>
      <c r="AK27" s="14" t="n">
        <v>500</v>
      </c>
      <c r="AL27" s="14"/>
      <c r="AM27" s="14"/>
      <c r="AN27" s="14" t="n">
        <v>2.42419010542559</v>
      </c>
      <c r="AO27" s="14" t="n">
        <v>3.88220546097403</v>
      </c>
      <c r="AP27" s="1" t="s">
        <v>86</v>
      </c>
      <c r="AQ27" s="14" t="n">
        <v>0.992141880178176</v>
      </c>
      <c r="AR27" s="14"/>
      <c r="AS27" s="14"/>
      <c r="AT27" s="14" t="n">
        <v>1.08929763074087</v>
      </c>
      <c r="AU27" s="14" t="n">
        <v>0.894986129615486</v>
      </c>
      <c r="AV27" s="14" t="n">
        <v>49.8027720841569</v>
      </c>
      <c r="AW27" s="14"/>
      <c r="AX27" s="14"/>
      <c r="AY27" s="14" t="n">
        <v>52.2508654668903</v>
      </c>
      <c r="AZ27" s="14" t="n">
        <v>47.3546787014236</v>
      </c>
      <c r="BA27" s="14" t="n">
        <v>4030.75559254671</v>
      </c>
      <c r="BB27" s="14" t="n">
        <v>272.365349525997</v>
      </c>
      <c r="BC27" s="14" t="n">
        <v>646.332199360811</v>
      </c>
      <c r="BF27" s="14"/>
      <c r="BG27" s="14"/>
      <c r="BH27" s="14" t="n">
        <v>127.674812316895</v>
      </c>
      <c r="BI27" s="14" t="n">
        <v>118.946517944336</v>
      </c>
      <c r="BJ27" s="14"/>
      <c r="BK27" s="14"/>
      <c r="BL27" s="14" t="n">
        <v>2.08342099383742</v>
      </c>
      <c r="BM27" s="14" t="n">
        <v>1.88514652687529</v>
      </c>
      <c r="BN27" s="14"/>
      <c r="BO27" s="14"/>
      <c r="BP27" s="14" t="n">
        <v>1.04171049691871</v>
      </c>
      <c r="BQ27" s="14" t="n">
        <v>0.942573263437643</v>
      </c>
      <c r="BR27" s="14"/>
      <c r="BS27" s="14"/>
      <c r="BT27" s="14" t="n">
        <v>51.0517830992635</v>
      </c>
      <c r="BU27" s="14" t="n">
        <v>48.5537610690504</v>
      </c>
      <c r="BV27" s="1" t="s">
        <v>87</v>
      </c>
    </row>
    <row r="28" customFormat="false" ht="15" hidden="false" customHeight="false" outlineLevel="0" collapsed="false">
      <c r="A28" s="12"/>
      <c r="B28" s="1" t="s">
        <v>104</v>
      </c>
      <c r="C28" s="1" t="s">
        <v>97</v>
      </c>
      <c r="D28" s="1" t="s">
        <v>77</v>
      </c>
      <c r="E28" s="1" t="s">
        <v>93</v>
      </c>
      <c r="F28" s="1" t="s">
        <v>94</v>
      </c>
      <c r="G28" s="1" t="s">
        <v>86</v>
      </c>
      <c r="H28" s="14" t="n">
        <v>124.279174804688</v>
      </c>
      <c r="I28" s="14"/>
      <c r="J28" s="1" t="s">
        <v>81</v>
      </c>
      <c r="K28" s="1" t="s">
        <v>82</v>
      </c>
      <c r="L28" s="1" t="s">
        <v>29</v>
      </c>
      <c r="M28" s="1" t="s">
        <v>83</v>
      </c>
      <c r="N28" s="1" t="s">
        <v>83</v>
      </c>
      <c r="O28" s="1" t="s">
        <v>84</v>
      </c>
      <c r="P28" s="1" t="s">
        <v>88</v>
      </c>
      <c r="Q28" s="14" t="n">
        <v>2485.58349609375</v>
      </c>
      <c r="R28" s="14"/>
      <c r="S28" s="14"/>
      <c r="T28" s="14" t="n">
        <v>132.899978637695</v>
      </c>
      <c r="U28" s="14" t="n">
        <v>115.721061706543</v>
      </c>
      <c r="V28" s="3" t="n">
        <v>8030</v>
      </c>
      <c r="W28" s="3" t="n">
        <v>805</v>
      </c>
      <c r="X28" s="3" t="n">
        <v>7225</v>
      </c>
      <c r="Y28" s="14" t="n">
        <v>117</v>
      </c>
      <c r="Z28" s="14" t="n">
        <v>682</v>
      </c>
      <c r="AA28" s="14" t="n">
        <v>688</v>
      </c>
      <c r="AB28" s="14" t="n">
        <v>6543</v>
      </c>
      <c r="AC28" s="14" t="n">
        <v>6.65380052966088</v>
      </c>
      <c r="AD28" s="14"/>
      <c r="AE28" s="14"/>
      <c r="AF28" s="14"/>
      <c r="AG28" s="14"/>
      <c r="AH28" s="14"/>
      <c r="AI28" s="14"/>
      <c r="AJ28" s="14"/>
      <c r="AK28" s="14" t="n">
        <v>1500</v>
      </c>
      <c r="AL28" s="14"/>
      <c r="AM28" s="14"/>
      <c r="AN28" s="14" t="n">
        <v>2.70006468137189</v>
      </c>
      <c r="AO28" s="14" t="n">
        <v>3.21703741888271</v>
      </c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 t="n">
        <v>3547.16628827397</v>
      </c>
      <c r="BB28" s="14" t="n">
        <v>832.777130409954</v>
      </c>
      <c r="BC28" s="14" t="n">
        <v>1104.89210825311</v>
      </c>
      <c r="BF28" s="14"/>
      <c r="BG28" s="14"/>
      <c r="BH28" s="14" t="n">
        <v>128.669647216797</v>
      </c>
      <c r="BI28" s="14" t="n">
        <v>119.905006408691</v>
      </c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" t="s">
        <v>87</v>
      </c>
    </row>
    <row r="29" customFormat="false" ht="15" hidden="false" customHeight="false" outlineLevel="0" collapsed="false">
      <c r="A29" s="12" t="s">
        <v>74</v>
      </c>
      <c r="B29" s="1" t="s">
        <v>105</v>
      </c>
      <c r="C29" s="1" t="s">
        <v>106</v>
      </c>
      <c r="D29" s="1" t="s">
        <v>77</v>
      </c>
      <c r="E29" s="1" t="s">
        <v>78</v>
      </c>
      <c r="F29" s="1" t="s">
        <v>107</v>
      </c>
      <c r="G29" s="1" t="s">
        <v>80</v>
      </c>
      <c r="H29" s="14" t="n">
        <v>6.98567867279053</v>
      </c>
      <c r="I29" s="14"/>
      <c r="J29" s="1" t="s">
        <v>81</v>
      </c>
      <c r="K29" s="1" t="s">
        <v>82</v>
      </c>
      <c r="L29" s="1" t="s">
        <v>29</v>
      </c>
      <c r="M29" s="1" t="s">
        <v>83</v>
      </c>
      <c r="N29" s="1" t="s">
        <v>83</v>
      </c>
      <c r="O29" s="1" t="s">
        <v>84</v>
      </c>
      <c r="P29" s="1" t="s">
        <v>85</v>
      </c>
      <c r="Q29" s="14" t="n">
        <v>139.713577270508</v>
      </c>
      <c r="R29" s="14"/>
      <c r="S29" s="14"/>
      <c r="T29" s="14" t="n">
        <v>8.2687463760376</v>
      </c>
      <c r="U29" s="14" t="n">
        <v>5.70400810241699</v>
      </c>
      <c r="V29" s="3" t="n">
        <v>19256</v>
      </c>
      <c r="W29" s="3" t="n">
        <v>114</v>
      </c>
      <c r="X29" s="3" t="n">
        <v>19142</v>
      </c>
      <c r="Y29" s="14" t="n">
        <v>6</v>
      </c>
      <c r="Z29" s="14" t="n">
        <v>108</v>
      </c>
      <c r="AA29" s="14" t="n">
        <v>186</v>
      </c>
      <c r="AB29" s="14" t="n">
        <v>18956</v>
      </c>
      <c r="AC29" s="14" t="n">
        <v>0.301871768990074</v>
      </c>
      <c r="AD29" s="14" t="n">
        <v>1.1850813627243</v>
      </c>
      <c r="AE29" s="14"/>
      <c r="AF29" s="14"/>
      <c r="AG29" s="14" t="n">
        <v>1.45972096119143</v>
      </c>
      <c r="AH29" s="14" t="n">
        <v>0.910441712527795</v>
      </c>
      <c r="AI29" s="14" t="n">
        <v>2</v>
      </c>
      <c r="AJ29" s="14"/>
      <c r="AK29" s="14" t="n">
        <v>500</v>
      </c>
      <c r="AL29" s="14"/>
      <c r="AM29" s="14"/>
      <c r="AN29" s="14" t="n">
        <v>4.41769079704795</v>
      </c>
      <c r="AO29" s="14" t="n">
        <v>10.5093794497196</v>
      </c>
      <c r="AP29" s="1" t="s">
        <v>86</v>
      </c>
      <c r="AQ29" s="14" t="n">
        <v>0.592540668429805</v>
      </c>
      <c r="AR29" s="14"/>
      <c r="AS29" s="14"/>
      <c r="AT29" s="14" t="n">
        <v>0.729860480595713</v>
      </c>
      <c r="AU29" s="14" t="n">
        <v>0.455220856263897</v>
      </c>
      <c r="AV29" s="14" t="n">
        <v>37.2072550595541</v>
      </c>
      <c r="AW29" s="14"/>
      <c r="AX29" s="14"/>
      <c r="AY29" s="14" t="n">
        <v>42.621677505108</v>
      </c>
      <c r="AZ29" s="14" t="n">
        <v>31.7928326140002</v>
      </c>
      <c r="BA29" s="14" t="n">
        <v>5401.86017648797</v>
      </c>
      <c r="BB29" s="14" t="n">
        <v>276.219686810891</v>
      </c>
      <c r="BC29" s="14" t="n">
        <v>306.564671014422</v>
      </c>
      <c r="BF29" s="14"/>
      <c r="BG29" s="14"/>
      <c r="BH29" s="14" t="n">
        <v>7.64013004302979</v>
      </c>
      <c r="BI29" s="14" t="n">
        <v>6.33159065246582</v>
      </c>
      <c r="BJ29" s="14"/>
      <c r="BK29" s="14"/>
      <c r="BL29" s="14" t="n">
        <v>1.32520351874714</v>
      </c>
      <c r="BM29" s="14" t="n">
        <v>1.04495915497209</v>
      </c>
      <c r="BN29" s="14"/>
      <c r="BO29" s="14"/>
      <c r="BP29" s="14" t="n">
        <v>0.662601759373568</v>
      </c>
      <c r="BQ29" s="14" t="n">
        <v>0.522479577486043</v>
      </c>
      <c r="BR29" s="14"/>
      <c r="BS29" s="14"/>
      <c r="BT29" s="14" t="n">
        <v>39.9697140039895</v>
      </c>
      <c r="BU29" s="14" t="n">
        <v>34.4447961151187</v>
      </c>
      <c r="BV29" s="1" t="s">
        <v>87</v>
      </c>
    </row>
    <row r="30" customFormat="false" ht="15" hidden="false" customHeight="false" outlineLevel="0" collapsed="false">
      <c r="A30" s="12"/>
      <c r="B30" s="1" t="s">
        <v>105</v>
      </c>
      <c r="C30" s="1" t="s">
        <v>106</v>
      </c>
      <c r="D30" s="1" t="s">
        <v>77</v>
      </c>
      <c r="E30" s="1" t="s">
        <v>78</v>
      </c>
      <c r="F30" s="1" t="s">
        <v>107</v>
      </c>
      <c r="G30" s="1" t="s">
        <v>86</v>
      </c>
      <c r="H30" s="14" t="n">
        <v>11.7893657684326</v>
      </c>
      <c r="I30" s="14"/>
      <c r="J30" s="1" t="s">
        <v>81</v>
      </c>
      <c r="K30" s="1" t="s">
        <v>82</v>
      </c>
      <c r="L30" s="1" t="s">
        <v>29</v>
      </c>
      <c r="M30" s="1" t="s">
        <v>83</v>
      </c>
      <c r="N30" s="1" t="s">
        <v>83</v>
      </c>
      <c r="O30" s="1" t="s">
        <v>84</v>
      </c>
      <c r="P30" s="1" t="s">
        <v>88</v>
      </c>
      <c r="Q30" s="14" t="n">
        <v>235.787322998047</v>
      </c>
      <c r="R30" s="14"/>
      <c r="S30" s="14"/>
      <c r="T30" s="14" t="n">
        <v>13.4581708908081</v>
      </c>
      <c r="U30" s="14" t="n">
        <v>10.1229238510132</v>
      </c>
      <c r="V30" s="3" t="n">
        <v>19256</v>
      </c>
      <c r="W30" s="3" t="n">
        <v>192</v>
      </c>
      <c r="X30" s="3" t="n">
        <v>19064</v>
      </c>
      <c r="Y30" s="14" t="n">
        <v>6</v>
      </c>
      <c r="Z30" s="14" t="n">
        <v>108</v>
      </c>
      <c r="AA30" s="14" t="n">
        <v>186</v>
      </c>
      <c r="AB30" s="14" t="n">
        <v>18956</v>
      </c>
      <c r="AC30" s="14" t="n">
        <v>0.301871768990074</v>
      </c>
      <c r="AD30" s="14"/>
      <c r="AE30" s="14"/>
      <c r="AF30" s="14"/>
      <c r="AG30" s="14"/>
      <c r="AH30" s="14"/>
      <c r="AI30" s="14"/>
      <c r="AJ30" s="14"/>
      <c r="AK30" s="14" t="n">
        <v>1500</v>
      </c>
      <c r="AL30" s="14"/>
      <c r="AM30" s="14"/>
      <c r="AN30" s="14" t="n">
        <v>8.93425168147997</v>
      </c>
      <c r="AO30" s="14" t="n">
        <v>11.5698797331185</v>
      </c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 t="n">
        <v>3982.41363334656</v>
      </c>
      <c r="BB30" s="14" t="n">
        <v>945.390785290922</v>
      </c>
      <c r="BC30" s="14" t="n">
        <v>975.672691544904</v>
      </c>
      <c r="BF30" s="14"/>
      <c r="BG30" s="14"/>
      <c r="BH30" s="14" t="n">
        <v>12.6405000686646</v>
      </c>
      <c r="BI30" s="14" t="n">
        <v>10.9388446807861</v>
      </c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" t="s">
        <v>87</v>
      </c>
    </row>
    <row r="31" customFormat="false" ht="15" hidden="false" customHeight="false" outlineLevel="0" collapsed="false">
      <c r="A31" s="12" t="s">
        <v>89</v>
      </c>
      <c r="B31" s="1" t="s">
        <v>108</v>
      </c>
      <c r="C31" s="1" t="s">
        <v>106</v>
      </c>
      <c r="D31" s="1" t="s">
        <v>77</v>
      </c>
      <c r="E31" s="1" t="s">
        <v>78</v>
      </c>
      <c r="F31" s="1" t="s">
        <v>107</v>
      </c>
      <c r="G31" s="1" t="s">
        <v>80</v>
      </c>
      <c r="H31" s="14" t="n">
        <v>11.5680313110352</v>
      </c>
      <c r="I31" s="14"/>
      <c r="J31" s="1" t="s">
        <v>81</v>
      </c>
      <c r="K31" s="1" t="s">
        <v>82</v>
      </c>
      <c r="L31" s="1" t="s">
        <v>29</v>
      </c>
      <c r="M31" s="1" t="s">
        <v>83</v>
      </c>
      <c r="N31" s="1" t="s">
        <v>83</v>
      </c>
      <c r="O31" s="1" t="s">
        <v>84</v>
      </c>
      <c r="P31" s="1" t="s">
        <v>85</v>
      </c>
      <c r="Q31" s="14" t="n">
        <v>231.360626220703</v>
      </c>
      <c r="R31" s="14"/>
      <c r="S31" s="14"/>
      <c r="T31" s="14" t="n">
        <v>13.1565608978271</v>
      </c>
      <c r="U31" s="14" t="n">
        <v>9.9816427230835</v>
      </c>
      <c r="V31" s="3" t="n">
        <v>20849</v>
      </c>
      <c r="W31" s="3" t="n">
        <v>204</v>
      </c>
      <c r="X31" s="3" t="n">
        <v>20645</v>
      </c>
      <c r="Y31" s="14" t="n">
        <v>27</v>
      </c>
      <c r="Z31" s="14" t="n">
        <v>177</v>
      </c>
      <c r="AA31" s="14" t="n">
        <v>254</v>
      </c>
      <c r="AB31" s="14" t="n">
        <v>20391</v>
      </c>
      <c r="AC31" s="14" t="n">
        <v>1.39998021607945</v>
      </c>
      <c r="AD31" s="14" t="n">
        <v>1.44925248622894</v>
      </c>
      <c r="AE31" s="14"/>
      <c r="AF31" s="14"/>
      <c r="AG31" s="14" t="n">
        <v>1.71053211110078</v>
      </c>
      <c r="AH31" s="14" t="n">
        <v>1.18797286592705</v>
      </c>
      <c r="AI31" s="14" t="n">
        <v>2</v>
      </c>
      <c r="AJ31" s="14"/>
      <c r="AK31" s="14" t="n">
        <v>500</v>
      </c>
      <c r="AL31" s="14"/>
      <c r="AM31" s="14"/>
      <c r="AN31" s="14" t="n">
        <v>3.8513414222674</v>
      </c>
      <c r="AO31" s="14" t="n">
        <v>10.1015958407588</v>
      </c>
      <c r="AP31" s="1" t="s">
        <v>86</v>
      </c>
      <c r="AQ31" s="14" t="n">
        <v>0.72462624425696</v>
      </c>
      <c r="AR31" s="14"/>
      <c r="AS31" s="14"/>
      <c r="AT31" s="14" t="n">
        <v>0.855266055550392</v>
      </c>
      <c r="AU31" s="14" t="n">
        <v>0.593986432963527</v>
      </c>
      <c r="AV31" s="14" t="n">
        <v>42.0164222056796</v>
      </c>
      <c r="AW31" s="14"/>
      <c r="AX31" s="14"/>
      <c r="AY31" s="14" t="n">
        <v>46.4086571530445</v>
      </c>
      <c r="AZ31" s="14" t="n">
        <v>37.6241872583147</v>
      </c>
      <c r="BA31" s="14" t="n">
        <v>5271.70338439941</v>
      </c>
      <c r="BB31" s="14" t="n">
        <v>282.81555570795</v>
      </c>
      <c r="BC31" s="14" t="n">
        <v>331.630036836689</v>
      </c>
      <c r="BF31" s="14"/>
      <c r="BG31" s="14"/>
      <c r="BH31" s="14" t="n">
        <v>12.3782367706299</v>
      </c>
      <c r="BI31" s="14" t="n">
        <v>10.7583818435669</v>
      </c>
      <c r="BJ31" s="14"/>
      <c r="BK31" s="14"/>
      <c r="BL31" s="14" t="n">
        <v>1.58255833194841</v>
      </c>
      <c r="BM31" s="14" t="n">
        <v>1.31594664507943</v>
      </c>
      <c r="BN31" s="14"/>
      <c r="BO31" s="14"/>
      <c r="BP31" s="14" t="n">
        <v>0.791279165974205</v>
      </c>
      <c r="BQ31" s="14" t="n">
        <v>0.657973322539715</v>
      </c>
      <c r="BR31" s="14"/>
      <c r="BS31" s="14"/>
      <c r="BT31" s="14" t="n">
        <v>44.2573569499353</v>
      </c>
      <c r="BU31" s="14" t="n">
        <v>39.7754874614239</v>
      </c>
      <c r="BV31" s="1" t="s">
        <v>87</v>
      </c>
    </row>
    <row r="32" customFormat="false" ht="15" hidden="false" customHeight="false" outlineLevel="0" collapsed="false">
      <c r="A32" s="12"/>
      <c r="B32" s="1" t="s">
        <v>108</v>
      </c>
      <c r="C32" s="1" t="s">
        <v>106</v>
      </c>
      <c r="D32" s="1" t="s">
        <v>77</v>
      </c>
      <c r="E32" s="1" t="s">
        <v>78</v>
      </c>
      <c r="F32" s="1" t="s">
        <v>107</v>
      </c>
      <c r="G32" s="1" t="s">
        <v>86</v>
      </c>
      <c r="H32" s="14" t="n">
        <v>15.9641351699829</v>
      </c>
      <c r="I32" s="14"/>
      <c r="J32" s="1" t="s">
        <v>81</v>
      </c>
      <c r="K32" s="1" t="s">
        <v>82</v>
      </c>
      <c r="L32" s="1" t="s">
        <v>29</v>
      </c>
      <c r="M32" s="1" t="s">
        <v>83</v>
      </c>
      <c r="N32" s="1" t="s">
        <v>83</v>
      </c>
      <c r="O32" s="1" t="s">
        <v>84</v>
      </c>
      <c r="P32" s="1" t="s">
        <v>88</v>
      </c>
      <c r="Q32" s="14" t="n">
        <v>319.28271484375</v>
      </c>
      <c r="R32" s="14"/>
      <c r="S32" s="14"/>
      <c r="T32" s="14" t="n">
        <v>17.8322200775147</v>
      </c>
      <c r="U32" s="14" t="n">
        <v>14.0990133285522</v>
      </c>
      <c r="V32" s="3" t="n">
        <v>20849</v>
      </c>
      <c r="W32" s="3" t="n">
        <v>281</v>
      </c>
      <c r="X32" s="3" t="n">
        <v>20568</v>
      </c>
      <c r="Y32" s="14" t="n">
        <v>27</v>
      </c>
      <c r="Z32" s="14" t="n">
        <v>177</v>
      </c>
      <c r="AA32" s="14" t="n">
        <v>254</v>
      </c>
      <c r="AB32" s="14" t="n">
        <v>20391</v>
      </c>
      <c r="AC32" s="14" t="n">
        <v>1.39998021607945</v>
      </c>
      <c r="AD32" s="14"/>
      <c r="AE32" s="14"/>
      <c r="AF32" s="14"/>
      <c r="AG32" s="14"/>
      <c r="AH32" s="14"/>
      <c r="AI32" s="14"/>
      <c r="AJ32" s="14"/>
      <c r="AK32" s="14" t="n">
        <v>1500</v>
      </c>
      <c r="AL32" s="14"/>
      <c r="AM32" s="14"/>
      <c r="AN32" s="14" t="n">
        <v>6.58713565439431</v>
      </c>
      <c r="AO32" s="14" t="n">
        <v>11.2700593359479</v>
      </c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 t="n">
        <v>3953.32069217777</v>
      </c>
      <c r="BB32" s="14" t="n">
        <v>946.92176528628</v>
      </c>
      <c r="BC32" s="14" t="n">
        <v>987.441603094161</v>
      </c>
      <c r="BF32" s="14"/>
      <c r="BG32" s="14"/>
      <c r="BH32" s="14" t="n">
        <v>16.9168701171875</v>
      </c>
      <c r="BI32" s="14" t="n">
        <v>15.0121736526489</v>
      </c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" t="s">
        <v>87</v>
      </c>
    </row>
    <row r="33" customFormat="false" ht="15" hidden="false" customHeight="false" outlineLevel="0" collapsed="false">
      <c r="A33" s="12" t="s">
        <v>74</v>
      </c>
      <c r="B33" s="1" t="s">
        <v>109</v>
      </c>
      <c r="C33" s="1" t="s">
        <v>110</v>
      </c>
      <c r="D33" s="1" t="s">
        <v>77</v>
      </c>
      <c r="E33" s="1" t="s">
        <v>93</v>
      </c>
      <c r="F33" s="1" t="s">
        <v>94</v>
      </c>
      <c r="G33" s="1" t="s">
        <v>80</v>
      </c>
      <c r="H33" s="14" t="n">
        <v>0.350539982318878</v>
      </c>
      <c r="I33" s="14"/>
      <c r="J33" s="1" t="s">
        <v>81</v>
      </c>
      <c r="K33" s="1" t="s">
        <v>82</v>
      </c>
      <c r="L33" s="1" t="s">
        <v>29</v>
      </c>
      <c r="M33" s="1" t="s">
        <v>83</v>
      </c>
      <c r="N33" s="1" t="s">
        <v>83</v>
      </c>
      <c r="O33" s="1" t="s">
        <v>84</v>
      </c>
      <c r="P33" s="1" t="s">
        <v>85</v>
      </c>
      <c r="Q33" s="14" t="n">
        <v>7.01079940795898</v>
      </c>
      <c r="R33" s="14"/>
      <c r="S33" s="14"/>
      <c r="T33" s="14" t="n">
        <v>0.716615200042725</v>
      </c>
      <c r="U33" s="14" t="n">
        <v>0.137282371520996</v>
      </c>
      <c r="V33" s="3" t="n">
        <v>20140</v>
      </c>
      <c r="W33" s="3" t="n">
        <v>6</v>
      </c>
      <c r="X33" s="3" t="n">
        <v>20134</v>
      </c>
      <c r="Y33" s="14" t="n">
        <v>4</v>
      </c>
      <c r="Z33" s="14" t="n">
        <v>2</v>
      </c>
      <c r="AA33" s="14" t="n">
        <v>3845</v>
      </c>
      <c r="AB33" s="14" t="n">
        <v>16289</v>
      </c>
      <c r="AC33" s="14" t="n">
        <v>0.20609914623624</v>
      </c>
      <c r="AD33" s="14" t="n">
        <v>0.00280967378057539</v>
      </c>
      <c r="AE33" s="14"/>
      <c r="AF33" s="14"/>
      <c r="AG33" s="14" t="n">
        <v>0.00513313179985359</v>
      </c>
      <c r="AH33" s="14" t="n">
        <v>0.000486215682653972</v>
      </c>
      <c r="AI33" s="14" t="n">
        <v>2</v>
      </c>
      <c r="AJ33" s="14"/>
      <c r="AK33" s="14" t="n">
        <v>500</v>
      </c>
      <c r="AL33" s="14"/>
      <c r="AM33" s="14"/>
      <c r="AN33" s="14" t="n">
        <v>0.533677303150113</v>
      </c>
      <c r="AO33" s="14" t="n">
        <v>7.59427002790966</v>
      </c>
      <c r="AP33" s="1" t="s">
        <v>86</v>
      </c>
      <c r="AQ33" s="14" t="n">
        <v>0.00140483687062689</v>
      </c>
      <c r="AR33" s="14"/>
      <c r="AS33" s="14"/>
      <c r="AT33" s="14" t="n">
        <v>0.00256656589992679</v>
      </c>
      <c r="AU33" s="14" t="n">
        <v>0.000243107841326986</v>
      </c>
      <c r="AV33" s="14" t="n">
        <v>0.140286607264349</v>
      </c>
      <c r="AW33" s="14"/>
      <c r="AX33" s="14"/>
      <c r="AY33" s="14" t="n">
        <v>0.256133788778309</v>
      </c>
      <c r="AZ33" s="14" t="n">
        <v>0.0244394257503885</v>
      </c>
      <c r="BA33" s="14" t="n">
        <v>1541.5696105957</v>
      </c>
      <c r="BB33" s="14" t="n">
        <v>285.852975751552</v>
      </c>
      <c r="BC33" s="14" t="n">
        <v>286.227072067791</v>
      </c>
      <c r="BF33" s="14"/>
      <c r="BG33" s="14"/>
      <c r="BH33" s="14" t="n">
        <v>0.515329837799072</v>
      </c>
      <c r="BI33" s="14" t="n">
        <v>0.225326806306839</v>
      </c>
      <c r="BJ33" s="14"/>
      <c r="BK33" s="14"/>
      <c r="BL33" s="14" t="n">
        <v>0.00397278584404188</v>
      </c>
      <c r="BM33" s="14" t="n">
        <v>0.00164656163846568</v>
      </c>
      <c r="BN33" s="14"/>
      <c r="BO33" s="14"/>
      <c r="BP33" s="14" t="n">
        <v>0.00198639292202094</v>
      </c>
      <c r="BQ33" s="14" t="n">
        <v>0.000823280819232841</v>
      </c>
      <c r="BR33" s="14"/>
      <c r="BS33" s="14"/>
      <c r="BT33" s="14" t="n">
        <v>0.198279157805148</v>
      </c>
      <c r="BU33" s="14" t="n">
        <v>0.0822940567235495</v>
      </c>
      <c r="BV33" s="1" t="s">
        <v>87</v>
      </c>
    </row>
    <row r="34" customFormat="false" ht="15" hidden="false" customHeight="false" outlineLevel="0" collapsed="false">
      <c r="A34" s="12"/>
      <c r="B34" s="1" t="s">
        <v>109</v>
      </c>
      <c r="C34" s="1" t="s">
        <v>110</v>
      </c>
      <c r="D34" s="1" t="s">
        <v>77</v>
      </c>
      <c r="E34" s="1" t="s">
        <v>93</v>
      </c>
      <c r="F34" s="1" t="s">
        <v>94</v>
      </c>
      <c r="G34" s="1" t="s">
        <v>86</v>
      </c>
      <c r="H34" s="14" t="n">
        <v>249.523620605469</v>
      </c>
      <c r="I34" s="14"/>
      <c r="J34" s="1" t="s">
        <v>81</v>
      </c>
      <c r="K34" s="1" t="s">
        <v>82</v>
      </c>
      <c r="L34" s="1" t="s">
        <v>29</v>
      </c>
      <c r="M34" s="1" t="s">
        <v>83</v>
      </c>
      <c r="N34" s="1" t="s">
        <v>83</v>
      </c>
      <c r="O34" s="1" t="s">
        <v>84</v>
      </c>
      <c r="P34" s="1" t="s">
        <v>88</v>
      </c>
      <c r="Q34" s="14" t="n">
        <v>4990.47265625</v>
      </c>
      <c r="R34" s="14"/>
      <c r="S34" s="14"/>
      <c r="T34" s="14" t="n">
        <v>257.448089599609</v>
      </c>
      <c r="U34" s="14" t="n">
        <v>241.65217590332</v>
      </c>
      <c r="V34" s="3" t="n">
        <v>20140</v>
      </c>
      <c r="W34" s="3" t="n">
        <v>3849</v>
      </c>
      <c r="X34" s="3" t="n">
        <v>16291</v>
      </c>
      <c r="Y34" s="14" t="n">
        <v>4</v>
      </c>
      <c r="Z34" s="14" t="n">
        <v>2</v>
      </c>
      <c r="AA34" s="14" t="n">
        <v>3845</v>
      </c>
      <c r="AB34" s="14" t="n">
        <v>16289</v>
      </c>
      <c r="AC34" s="14" t="n">
        <v>0.20609914623624</v>
      </c>
      <c r="AD34" s="14"/>
      <c r="AE34" s="14"/>
      <c r="AF34" s="14"/>
      <c r="AG34" s="14"/>
      <c r="AH34" s="14"/>
      <c r="AI34" s="14"/>
      <c r="AJ34" s="14"/>
      <c r="AK34" s="14" t="n">
        <v>1500</v>
      </c>
      <c r="AL34" s="14"/>
      <c r="AM34" s="14"/>
      <c r="AN34" s="14" t="n">
        <v>4.60312755813445</v>
      </c>
      <c r="AO34" s="14" t="n">
        <v>11.8622453408067</v>
      </c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 t="n">
        <v>3972.37065662474</v>
      </c>
      <c r="BB34" s="14" t="n">
        <v>924.667480584893</v>
      </c>
      <c r="BC34" s="14" t="n">
        <v>1507.12078369201</v>
      </c>
      <c r="BF34" s="14"/>
      <c r="BG34" s="14"/>
      <c r="BH34" s="14" t="n">
        <v>253.560028076172</v>
      </c>
      <c r="BI34" s="14" t="n">
        <v>245.501007080078</v>
      </c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" t="s">
        <v>87</v>
      </c>
    </row>
    <row r="35" customFormat="false" ht="15" hidden="false" customHeight="false" outlineLevel="0" collapsed="false">
      <c r="A35" s="12" t="s">
        <v>89</v>
      </c>
      <c r="B35" s="1" t="s">
        <v>111</v>
      </c>
      <c r="C35" s="1" t="s">
        <v>110</v>
      </c>
      <c r="D35" s="1" t="s">
        <v>77</v>
      </c>
      <c r="E35" s="1" t="s">
        <v>93</v>
      </c>
      <c r="F35" s="1" t="s">
        <v>94</v>
      </c>
      <c r="G35" s="1" t="s">
        <v>80</v>
      </c>
      <c r="H35" s="14" t="n">
        <v>0.221731543540955</v>
      </c>
      <c r="I35" s="14"/>
      <c r="J35" s="1" t="s">
        <v>81</v>
      </c>
      <c r="K35" s="1" t="s">
        <v>82</v>
      </c>
      <c r="L35" s="1" t="s">
        <v>29</v>
      </c>
      <c r="M35" s="1" t="s">
        <v>83</v>
      </c>
      <c r="N35" s="1" t="s">
        <v>83</v>
      </c>
      <c r="O35" s="1" t="s">
        <v>84</v>
      </c>
      <c r="P35" s="1" t="s">
        <v>85</v>
      </c>
      <c r="Q35" s="14" t="n">
        <v>4.43463087081909</v>
      </c>
      <c r="R35" s="14"/>
      <c r="S35" s="14"/>
      <c r="T35" s="14" t="n">
        <v>0.587753891944885</v>
      </c>
      <c r="U35" s="14" t="n">
        <v>0.0526205040514469</v>
      </c>
      <c r="V35" s="3" t="n">
        <v>15919</v>
      </c>
      <c r="W35" s="3" t="n">
        <v>3</v>
      </c>
      <c r="X35" s="3" t="n">
        <v>15916</v>
      </c>
      <c r="Y35" s="14" t="n">
        <v>2</v>
      </c>
      <c r="Z35" s="14" t="n">
        <v>1</v>
      </c>
      <c r="AA35" s="14" t="n">
        <v>2020</v>
      </c>
      <c r="AB35" s="14" t="n">
        <v>13896</v>
      </c>
      <c r="AC35" s="14" t="n">
        <v>0.137072044127189</v>
      </c>
      <c r="AD35" s="14" t="n">
        <v>0.00277490145526826</v>
      </c>
      <c r="AE35" s="14"/>
      <c r="AF35" s="14"/>
      <c r="AG35" s="14" t="n">
        <v>0.00612560268574105</v>
      </c>
      <c r="AH35" s="14" t="n">
        <v>0</v>
      </c>
      <c r="AI35" s="14" t="n">
        <v>2</v>
      </c>
      <c r="AJ35" s="14"/>
      <c r="AK35" s="14" t="n">
        <v>500</v>
      </c>
      <c r="AL35" s="14"/>
      <c r="AM35" s="14"/>
      <c r="AN35" s="14" t="n">
        <v>1.51654219158014</v>
      </c>
      <c r="AO35" s="14" t="n">
        <v>7.56107995283031</v>
      </c>
      <c r="AP35" s="1" t="s">
        <v>86</v>
      </c>
      <c r="AQ35" s="14" t="n">
        <v>0.00138745071228665</v>
      </c>
      <c r="AR35" s="14"/>
      <c r="AS35" s="14"/>
      <c r="AT35" s="14" t="n">
        <v>0.00306280134287052</v>
      </c>
      <c r="AU35" s="14" t="n">
        <v>0</v>
      </c>
      <c r="AV35" s="14" t="n">
        <v>0.13855283599767</v>
      </c>
      <c r="AW35" s="14"/>
      <c r="AX35" s="14"/>
      <c r="AY35" s="14" t="n">
        <v>0.305623971508933</v>
      </c>
      <c r="AZ35" s="14" t="n">
        <v>0</v>
      </c>
      <c r="BA35" s="14" t="n">
        <v>1145.73661295573</v>
      </c>
      <c r="BB35" s="14" t="n">
        <v>299.147151790752</v>
      </c>
      <c r="BC35" s="14" t="n">
        <v>299.306695002229</v>
      </c>
      <c r="BF35" s="14"/>
      <c r="BG35" s="14"/>
      <c r="BH35" s="14" t="n">
        <v>0.379629880189896</v>
      </c>
      <c r="BI35" s="14" t="n">
        <v>0.115221276879311</v>
      </c>
      <c r="BJ35" s="14"/>
      <c r="BK35" s="14"/>
      <c r="BL35" s="14" t="n">
        <v>0.00443054944063898</v>
      </c>
      <c r="BM35" s="14" t="n">
        <v>0.00111925340850761</v>
      </c>
      <c r="BN35" s="14"/>
      <c r="BO35" s="14"/>
      <c r="BP35" s="14" t="n">
        <v>0.00221527472031949</v>
      </c>
      <c r="BQ35" s="14" t="n">
        <v>0.000559626704253803</v>
      </c>
      <c r="BR35" s="14"/>
      <c r="BS35" s="14"/>
      <c r="BT35" s="14" t="n">
        <v>0.221106000989365</v>
      </c>
      <c r="BU35" s="14" t="n">
        <v>0.0559996710059752</v>
      </c>
      <c r="BV35" s="1" t="s">
        <v>87</v>
      </c>
    </row>
    <row r="36" customFormat="false" ht="15" hidden="false" customHeight="false" outlineLevel="0" collapsed="false">
      <c r="A36" s="12"/>
      <c r="B36" s="1" t="s">
        <v>111</v>
      </c>
      <c r="C36" s="1" t="s">
        <v>110</v>
      </c>
      <c r="D36" s="1" t="s">
        <v>77</v>
      </c>
      <c r="E36" s="1" t="s">
        <v>93</v>
      </c>
      <c r="F36" s="1" t="s">
        <v>94</v>
      </c>
      <c r="G36" s="1" t="s">
        <v>86</v>
      </c>
      <c r="H36" s="14" t="n">
        <v>159.812194824219</v>
      </c>
      <c r="I36" s="14"/>
      <c r="J36" s="1" t="s">
        <v>81</v>
      </c>
      <c r="K36" s="1" t="s">
        <v>82</v>
      </c>
      <c r="L36" s="1" t="s">
        <v>29</v>
      </c>
      <c r="M36" s="1" t="s">
        <v>83</v>
      </c>
      <c r="N36" s="1" t="s">
        <v>83</v>
      </c>
      <c r="O36" s="1" t="s">
        <v>84</v>
      </c>
      <c r="P36" s="1" t="s">
        <v>88</v>
      </c>
      <c r="Q36" s="14" t="n">
        <v>3196.24389648438</v>
      </c>
      <c r="R36" s="14"/>
      <c r="S36" s="14"/>
      <c r="T36" s="14" t="n">
        <v>166.804168701172</v>
      </c>
      <c r="U36" s="14" t="n">
        <v>152.861541748047</v>
      </c>
      <c r="V36" s="3" t="n">
        <v>15919</v>
      </c>
      <c r="W36" s="3" t="n">
        <v>2022</v>
      </c>
      <c r="X36" s="3" t="n">
        <v>13897</v>
      </c>
      <c r="Y36" s="14" t="n">
        <v>2</v>
      </c>
      <c r="Z36" s="14" t="n">
        <v>1</v>
      </c>
      <c r="AA36" s="14" t="n">
        <v>2020</v>
      </c>
      <c r="AB36" s="14" t="n">
        <v>13896</v>
      </c>
      <c r="AC36" s="14" t="n">
        <v>0.137072044127189</v>
      </c>
      <c r="AD36" s="14"/>
      <c r="AE36" s="14"/>
      <c r="AF36" s="14"/>
      <c r="AG36" s="14"/>
      <c r="AH36" s="14"/>
      <c r="AI36" s="14"/>
      <c r="AJ36" s="14"/>
      <c r="AK36" s="14" t="n">
        <v>1500</v>
      </c>
      <c r="AL36" s="14"/>
      <c r="AM36" s="14"/>
      <c r="AN36" s="14" t="n">
        <v>4.34600489901228</v>
      </c>
      <c r="AO36" s="14" t="n">
        <v>11.845234696743</v>
      </c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 t="n">
        <v>3951.25311846785</v>
      </c>
      <c r="BB36" s="14" t="n">
        <v>936.676505120717</v>
      </c>
      <c r="BC36" s="14" t="n">
        <v>1319.58208412618</v>
      </c>
      <c r="BF36" s="14"/>
      <c r="BG36" s="14"/>
      <c r="BH36" s="14" t="n">
        <v>163.37434387207</v>
      </c>
      <c r="BI36" s="14" t="n">
        <v>156.260818481445</v>
      </c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" t="s">
        <v>87</v>
      </c>
    </row>
    <row r="37" customFormat="false" ht="15" hidden="false" customHeight="false" outlineLevel="0" collapsed="false">
      <c r="A37" s="12" t="s">
        <v>74</v>
      </c>
      <c r="B37" s="1" t="s">
        <v>112</v>
      </c>
      <c r="C37" s="1" t="s">
        <v>97</v>
      </c>
      <c r="D37" s="1" t="s">
        <v>77</v>
      </c>
      <c r="E37" s="1" t="s">
        <v>93</v>
      </c>
      <c r="F37" s="1" t="s">
        <v>94</v>
      </c>
      <c r="G37" s="1" t="s">
        <v>80</v>
      </c>
      <c r="H37" s="14" t="n">
        <v>37.2856369018555</v>
      </c>
      <c r="I37" s="14"/>
      <c r="J37" s="1" t="s">
        <v>81</v>
      </c>
      <c r="K37" s="1" t="s">
        <v>82</v>
      </c>
      <c r="L37" s="1" t="s">
        <v>29</v>
      </c>
      <c r="M37" s="1" t="s">
        <v>83</v>
      </c>
      <c r="N37" s="1" t="s">
        <v>83</v>
      </c>
      <c r="O37" s="1" t="s">
        <v>84</v>
      </c>
      <c r="P37" s="1" t="s">
        <v>85</v>
      </c>
      <c r="Q37" s="14" t="n">
        <v>745.712768554688</v>
      </c>
      <c r="R37" s="14"/>
      <c r="S37" s="14"/>
      <c r="T37" s="14" t="n">
        <v>40.2880935668945</v>
      </c>
      <c r="U37" s="14" t="n">
        <v>34.2908248901367</v>
      </c>
      <c r="V37" s="3" t="n">
        <v>19041</v>
      </c>
      <c r="W37" s="3" t="n">
        <v>594</v>
      </c>
      <c r="X37" s="3" t="n">
        <v>18447</v>
      </c>
      <c r="Y37" s="14" t="n">
        <v>69</v>
      </c>
      <c r="Z37" s="14" t="n">
        <v>525</v>
      </c>
      <c r="AA37" s="14" t="n">
        <v>651</v>
      </c>
      <c r="AB37" s="14" t="n">
        <v>17796</v>
      </c>
      <c r="AC37" s="14" t="n">
        <v>3.08066269178495</v>
      </c>
      <c r="AD37" s="14" t="n">
        <v>1.64438807964325</v>
      </c>
      <c r="AE37" s="14"/>
      <c r="AF37" s="14"/>
      <c r="AG37" s="14" t="n">
        <v>1.82304579105361</v>
      </c>
      <c r="AH37" s="14" t="n">
        <v>1.46573045347289</v>
      </c>
      <c r="AI37" s="14" t="n">
        <v>2</v>
      </c>
      <c r="AJ37" s="14"/>
      <c r="AK37" s="14" t="n">
        <v>500</v>
      </c>
      <c r="AL37" s="14"/>
      <c r="AM37" s="14"/>
      <c r="AN37" s="14" t="n">
        <v>2.23115277700483</v>
      </c>
      <c r="AO37" s="14" t="n">
        <v>8.1780174555476</v>
      </c>
      <c r="AP37" s="1" t="s">
        <v>86</v>
      </c>
      <c r="AQ37" s="14" t="n">
        <v>0.822194061131624</v>
      </c>
      <c r="AR37" s="14"/>
      <c r="AS37" s="14"/>
      <c r="AT37" s="14" t="n">
        <v>0.911522895526805</v>
      </c>
      <c r="AU37" s="14" t="n">
        <v>0.732865226736444</v>
      </c>
      <c r="AV37" s="14" t="n">
        <v>45.1211031069338</v>
      </c>
      <c r="AW37" s="14"/>
      <c r="AX37" s="14"/>
      <c r="AY37" s="14" t="n">
        <v>47.8114136489989</v>
      </c>
      <c r="AZ37" s="14" t="n">
        <v>42.4307925648687</v>
      </c>
      <c r="BA37" s="14" t="n">
        <v>3867.21839822583</v>
      </c>
      <c r="BB37" s="14" t="n">
        <v>308.383720918652</v>
      </c>
      <c r="BC37" s="14" t="n">
        <v>419.404560072082</v>
      </c>
      <c r="BF37" s="14"/>
      <c r="BG37" s="14"/>
      <c r="BH37" s="14" t="n">
        <v>38.8165473937988</v>
      </c>
      <c r="BI37" s="14" t="n">
        <v>35.756721496582</v>
      </c>
      <c r="BJ37" s="14"/>
      <c r="BK37" s="14"/>
      <c r="BL37" s="14" t="n">
        <v>1.73553983462615</v>
      </c>
      <c r="BM37" s="14" t="n">
        <v>1.55323640990035</v>
      </c>
      <c r="BN37" s="14"/>
      <c r="BO37" s="14"/>
      <c r="BP37" s="14" t="n">
        <v>0.867769917313076</v>
      </c>
      <c r="BQ37" s="14" t="n">
        <v>0.776618204950173</v>
      </c>
      <c r="BR37" s="14"/>
      <c r="BS37" s="14"/>
      <c r="BT37" s="14" t="n">
        <v>46.4937081249975</v>
      </c>
      <c r="BU37" s="14" t="n">
        <v>43.7484980888701</v>
      </c>
      <c r="BV37" s="1" t="s">
        <v>87</v>
      </c>
    </row>
    <row r="38" customFormat="false" ht="15" hidden="false" customHeight="false" outlineLevel="0" collapsed="false">
      <c r="A38" s="12"/>
      <c r="B38" s="1" t="s">
        <v>112</v>
      </c>
      <c r="C38" s="1" t="s">
        <v>97</v>
      </c>
      <c r="D38" s="1" t="s">
        <v>77</v>
      </c>
      <c r="E38" s="1" t="s">
        <v>93</v>
      </c>
      <c r="F38" s="1" t="s">
        <v>94</v>
      </c>
      <c r="G38" s="1" t="s">
        <v>86</v>
      </c>
      <c r="H38" s="14" t="n">
        <v>45.3489494323731</v>
      </c>
      <c r="I38" s="14"/>
      <c r="J38" s="1" t="s">
        <v>81</v>
      </c>
      <c r="K38" s="1" t="s">
        <v>82</v>
      </c>
      <c r="L38" s="1" t="s">
        <v>29</v>
      </c>
      <c r="M38" s="1" t="s">
        <v>83</v>
      </c>
      <c r="N38" s="1" t="s">
        <v>83</v>
      </c>
      <c r="O38" s="1" t="s">
        <v>84</v>
      </c>
      <c r="P38" s="1" t="s">
        <v>88</v>
      </c>
      <c r="Q38" s="14" t="n">
        <v>906.97900390625</v>
      </c>
      <c r="R38" s="14"/>
      <c r="S38" s="14"/>
      <c r="T38" s="14" t="n">
        <v>48.6663322448731</v>
      </c>
      <c r="U38" s="14" t="n">
        <v>42.0408897399902</v>
      </c>
      <c r="V38" s="3" t="n">
        <v>19041</v>
      </c>
      <c r="W38" s="3" t="n">
        <v>720</v>
      </c>
      <c r="X38" s="3" t="n">
        <v>18321</v>
      </c>
      <c r="Y38" s="14" t="n">
        <v>69</v>
      </c>
      <c r="Z38" s="14" t="n">
        <v>525</v>
      </c>
      <c r="AA38" s="14" t="n">
        <v>651</v>
      </c>
      <c r="AB38" s="14" t="n">
        <v>17796</v>
      </c>
      <c r="AC38" s="14" t="n">
        <v>3.08066269178495</v>
      </c>
      <c r="AD38" s="14"/>
      <c r="AE38" s="14"/>
      <c r="AF38" s="14"/>
      <c r="AG38" s="14"/>
      <c r="AH38" s="14"/>
      <c r="AI38" s="14"/>
      <c r="AJ38" s="14"/>
      <c r="AK38" s="14" t="n">
        <v>1500</v>
      </c>
      <c r="AL38" s="14"/>
      <c r="AM38" s="14"/>
      <c r="AN38" s="14" t="n">
        <v>4.23111850870514</v>
      </c>
      <c r="AO38" s="14" t="n">
        <v>10.8344809108882</v>
      </c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 t="n">
        <v>3748.17067243788</v>
      </c>
      <c r="BB38" s="14" t="n">
        <v>940.10333912576</v>
      </c>
      <c r="BC38" s="14" t="n">
        <v>1046.28518251554</v>
      </c>
      <c r="BF38" s="14"/>
      <c r="BG38" s="14"/>
      <c r="BH38" s="14" t="n">
        <v>47.0403213500977</v>
      </c>
      <c r="BI38" s="14" t="n">
        <v>43.6599998474121</v>
      </c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" t="s">
        <v>87</v>
      </c>
    </row>
    <row r="39" customFormat="false" ht="15" hidden="false" customHeight="false" outlineLevel="0" collapsed="false">
      <c r="A39" s="12" t="s">
        <v>89</v>
      </c>
      <c r="B39" s="1" t="s">
        <v>113</v>
      </c>
      <c r="C39" s="1" t="s">
        <v>114</v>
      </c>
      <c r="D39" s="1" t="s">
        <v>77</v>
      </c>
      <c r="E39" s="1" t="s">
        <v>78</v>
      </c>
      <c r="F39" s="1" t="s">
        <v>107</v>
      </c>
      <c r="G39" s="1" t="s">
        <v>80</v>
      </c>
      <c r="H39" s="14" t="n">
        <v>16.3622913360596</v>
      </c>
      <c r="I39" s="14"/>
      <c r="J39" s="1" t="s">
        <v>81</v>
      </c>
      <c r="K39" s="1" t="s">
        <v>82</v>
      </c>
      <c r="L39" s="1" t="s">
        <v>29</v>
      </c>
      <c r="M39" s="1" t="s">
        <v>83</v>
      </c>
      <c r="N39" s="1" t="s">
        <v>83</v>
      </c>
      <c r="O39" s="1" t="s">
        <v>84</v>
      </c>
      <c r="P39" s="1" t="s">
        <v>85</v>
      </c>
      <c r="Q39" s="14" t="n">
        <v>327.245819091797</v>
      </c>
      <c r="R39" s="14"/>
      <c r="S39" s="14"/>
      <c r="T39" s="14" t="n">
        <v>18.4299392700195</v>
      </c>
      <c r="U39" s="14" t="n">
        <v>14.2982711791992</v>
      </c>
      <c r="V39" s="3" t="n">
        <v>17449</v>
      </c>
      <c r="W39" s="3" t="n">
        <v>241</v>
      </c>
      <c r="X39" s="3" t="n">
        <v>17208</v>
      </c>
      <c r="Y39" s="14" t="n">
        <v>11</v>
      </c>
      <c r="Z39" s="14" t="n">
        <v>230</v>
      </c>
      <c r="AA39" s="14" t="n">
        <v>315</v>
      </c>
      <c r="AB39" s="14" t="n">
        <v>16893</v>
      </c>
      <c r="AC39" s="14" t="n">
        <v>0.452581602328305</v>
      </c>
      <c r="AD39" s="14" t="n">
        <v>1.47488141059875</v>
      </c>
      <c r="AE39" s="14"/>
      <c r="AF39" s="14"/>
      <c r="AG39" s="14" t="n">
        <v>1.72046108830403</v>
      </c>
      <c r="AH39" s="14" t="n">
        <v>1.22930161861822</v>
      </c>
      <c r="AI39" s="14" t="n">
        <v>2</v>
      </c>
      <c r="AJ39" s="14"/>
      <c r="AK39" s="14" t="n">
        <v>500</v>
      </c>
      <c r="AL39" s="14"/>
      <c r="AM39" s="14"/>
      <c r="AN39" s="14" t="n">
        <v>4.49536267185072</v>
      </c>
      <c r="AO39" s="14" t="n">
        <v>10.0218509513638</v>
      </c>
      <c r="AP39" s="1" t="s">
        <v>86</v>
      </c>
      <c r="AQ39" s="14" t="n">
        <v>0.737440676730562</v>
      </c>
      <c r="AR39" s="14"/>
      <c r="AS39" s="14"/>
      <c r="AT39" s="14" t="n">
        <v>0.860230544152014</v>
      </c>
      <c r="AU39" s="14" t="n">
        <v>0.614650809309109</v>
      </c>
      <c r="AV39" s="14" t="n">
        <v>42.4440780400195</v>
      </c>
      <c r="AW39" s="14"/>
      <c r="AX39" s="14"/>
      <c r="AY39" s="14" t="n">
        <v>46.5117185191663</v>
      </c>
      <c r="AZ39" s="14" t="n">
        <v>38.3764375608726</v>
      </c>
      <c r="BA39" s="14" t="n">
        <v>5609.87993371734</v>
      </c>
      <c r="BB39" s="14" t="n">
        <v>279.775450964076</v>
      </c>
      <c r="BC39" s="14" t="n">
        <v>353.39314712681</v>
      </c>
      <c r="BF39" s="14"/>
      <c r="BG39" s="14"/>
      <c r="BH39" s="14" t="n">
        <v>17.4167613983154</v>
      </c>
      <c r="BI39" s="14" t="n">
        <v>15.3087682723999</v>
      </c>
      <c r="BJ39" s="14"/>
      <c r="BK39" s="14"/>
      <c r="BL39" s="14" t="n">
        <v>1.60017705444944</v>
      </c>
      <c r="BM39" s="14" t="n">
        <v>1.34958565247281</v>
      </c>
      <c r="BN39" s="14"/>
      <c r="BO39" s="14"/>
      <c r="BP39" s="14" t="n">
        <v>0.80008852722472</v>
      </c>
      <c r="BQ39" s="14" t="n">
        <v>0.674792826236403</v>
      </c>
      <c r="BR39" s="14"/>
      <c r="BS39" s="14"/>
      <c r="BT39" s="14" t="n">
        <v>44.5194034553237</v>
      </c>
      <c r="BU39" s="14" t="n">
        <v>40.3687526247152</v>
      </c>
      <c r="BV39" s="1" t="s">
        <v>87</v>
      </c>
    </row>
    <row r="40" customFormat="false" ht="15" hidden="false" customHeight="false" outlineLevel="0" collapsed="false">
      <c r="A40" s="12"/>
      <c r="B40" s="1" t="s">
        <v>113</v>
      </c>
      <c r="C40" s="1" t="s">
        <v>114</v>
      </c>
      <c r="D40" s="1" t="s">
        <v>77</v>
      </c>
      <c r="E40" s="1" t="s">
        <v>78</v>
      </c>
      <c r="F40" s="1" t="s">
        <v>107</v>
      </c>
      <c r="G40" s="1" t="s">
        <v>86</v>
      </c>
      <c r="H40" s="14" t="n">
        <v>22.1879425048828</v>
      </c>
      <c r="I40" s="14"/>
      <c r="J40" s="1" t="s">
        <v>81</v>
      </c>
      <c r="K40" s="1" t="s">
        <v>82</v>
      </c>
      <c r="L40" s="1" t="s">
        <v>29</v>
      </c>
      <c r="M40" s="1" t="s">
        <v>83</v>
      </c>
      <c r="N40" s="1" t="s">
        <v>83</v>
      </c>
      <c r="O40" s="1" t="s">
        <v>84</v>
      </c>
      <c r="P40" s="1" t="s">
        <v>88</v>
      </c>
      <c r="Q40" s="14" t="n">
        <v>443.758850097656</v>
      </c>
      <c r="R40" s="14"/>
      <c r="S40" s="14"/>
      <c r="T40" s="14" t="n">
        <v>24.5990447998047</v>
      </c>
      <c r="U40" s="14" t="n">
        <v>19.7817707061768</v>
      </c>
      <c r="V40" s="3" t="n">
        <v>17449</v>
      </c>
      <c r="W40" s="3" t="n">
        <v>326</v>
      </c>
      <c r="X40" s="3" t="n">
        <v>17123</v>
      </c>
      <c r="Y40" s="14" t="n">
        <v>11</v>
      </c>
      <c r="Z40" s="14" t="n">
        <v>230</v>
      </c>
      <c r="AA40" s="14" t="n">
        <v>315</v>
      </c>
      <c r="AB40" s="14" t="n">
        <v>16893</v>
      </c>
      <c r="AC40" s="14" t="n">
        <v>0.452581602328305</v>
      </c>
      <c r="AD40" s="14"/>
      <c r="AE40" s="14"/>
      <c r="AF40" s="14"/>
      <c r="AG40" s="14"/>
      <c r="AH40" s="14"/>
      <c r="AI40" s="14"/>
      <c r="AJ40" s="14"/>
      <c r="AK40" s="14" t="n">
        <v>1500</v>
      </c>
      <c r="AL40" s="14"/>
      <c r="AM40" s="14"/>
      <c r="AN40" s="14" t="n">
        <v>6.81325119516044</v>
      </c>
      <c r="AO40" s="14" t="n">
        <v>10.5648138633412</v>
      </c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 t="n">
        <v>4000.5224440873</v>
      </c>
      <c r="BB40" s="14" t="n">
        <v>963.029116040126</v>
      </c>
      <c r="BC40" s="14" t="n">
        <v>1019.77866185613</v>
      </c>
      <c r="BF40" s="14"/>
      <c r="BG40" s="14"/>
      <c r="BH40" s="14" t="n">
        <v>23.4174785614014</v>
      </c>
      <c r="BI40" s="14" t="n">
        <v>20.9596881866455</v>
      </c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" t="s">
        <v>87</v>
      </c>
    </row>
    <row r="41" customFormat="false" ht="15" hidden="false" customHeight="false" outlineLevel="0" collapsed="false">
      <c r="A41" s="12" t="s">
        <v>74</v>
      </c>
      <c r="B41" s="1" t="s">
        <v>115</v>
      </c>
      <c r="C41" s="1" t="s">
        <v>114</v>
      </c>
      <c r="D41" s="1" t="s">
        <v>77</v>
      </c>
      <c r="E41" s="1" t="s">
        <v>78</v>
      </c>
      <c r="F41" s="1" t="s">
        <v>107</v>
      </c>
      <c r="G41" s="1" t="s">
        <v>80</v>
      </c>
      <c r="H41" s="14" t="n">
        <v>13.6503238677979</v>
      </c>
      <c r="I41" s="14"/>
      <c r="J41" s="1" t="s">
        <v>81</v>
      </c>
      <c r="K41" s="1" t="s">
        <v>82</v>
      </c>
      <c r="L41" s="1" t="s">
        <v>29</v>
      </c>
      <c r="M41" s="1" t="s">
        <v>83</v>
      </c>
      <c r="N41" s="1" t="s">
        <v>83</v>
      </c>
      <c r="O41" s="1" t="s">
        <v>84</v>
      </c>
      <c r="P41" s="1" t="s">
        <v>85</v>
      </c>
      <c r="Q41" s="14" t="n">
        <v>273.006469726563</v>
      </c>
      <c r="R41" s="14"/>
      <c r="S41" s="14"/>
      <c r="T41" s="14" t="n">
        <v>15.3678970336914</v>
      </c>
      <c r="U41" s="14" t="n">
        <v>11.9352550506592</v>
      </c>
      <c r="V41" s="3" t="n">
        <v>21065</v>
      </c>
      <c r="W41" s="3" t="n">
        <v>243</v>
      </c>
      <c r="X41" s="3" t="n">
        <v>20822</v>
      </c>
      <c r="Y41" s="14" t="n">
        <v>16</v>
      </c>
      <c r="Z41" s="14" t="n">
        <v>227</v>
      </c>
      <c r="AA41" s="14" t="n">
        <v>372</v>
      </c>
      <c r="AB41" s="14" t="n">
        <v>20450</v>
      </c>
      <c r="AC41" s="14" t="n">
        <v>0.663160478502394</v>
      </c>
      <c r="AD41" s="14" t="n">
        <v>1.24821937084198</v>
      </c>
      <c r="AE41" s="14"/>
      <c r="AF41" s="14"/>
      <c r="AG41" s="14" t="n">
        <v>1.4483654270858</v>
      </c>
      <c r="AH41" s="14" t="n">
        <v>1.04807341475818</v>
      </c>
      <c r="AI41" s="14" t="n">
        <v>2</v>
      </c>
      <c r="AJ41" s="14"/>
      <c r="AK41" s="14" t="n">
        <v>500</v>
      </c>
      <c r="AL41" s="14"/>
      <c r="AM41" s="14"/>
      <c r="AN41" s="14" t="n">
        <v>4.50820512512136</v>
      </c>
      <c r="AO41" s="14" t="n">
        <v>10.0892992019824</v>
      </c>
      <c r="AP41" s="1" t="s">
        <v>86</v>
      </c>
      <c r="AQ41" s="14" t="n">
        <v>0.624109710460994</v>
      </c>
      <c r="AR41" s="14"/>
      <c r="AS41" s="14"/>
      <c r="AT41" s="14" t="n">
        <v>0.724182713542899</v>
      </c>
      <c r="AU41" s="14" t="n">
        <v>0.524036707379088</v>
      </c>
      <c r="AV41" s="14" t="n">
        <v>38.4278048730984</v>
      </c>
      <c r="AW41" s="14"/>
      <c r="AX41" s="14"/>
      <c r="AY41" s="14" t="n">
        <v>42.2217077313881</v>
      </c>
      <c r="AZ41" s="14" t="n">
        <v>34.6339020148086</v>
      </c>
      <c r="BA41" s="14" t="n">
        <v>5494.8617543664</v>
      </c>
      <c r="BB41" s="14" t="n">
        <v>282.736838414316</v>
      </c>
      <c r="BC41" s="14" t="n">
        <v>342.862466450222</v>
      </c>
      <c r="BF41" s="14"/>
      <c r="BG41" s="14"/>
      <c r="BH41" s="14" t="n">
        <v>14.5263233184814</v>
      </c>
      <c r="BI41" s="14" t="n">
        <v>12.7749757766724</v>
      </c>
      <c r="BJ41" s="14"/>
      <c r="BK41" s="14"/>
      <c r="BL41" s="14" t="n">
        <v>1.3503347010606</v>
      </c>
      <c r="BM41" s="14" t="n">
        <v>1.14610414078338</v>
      </c>
      <c r="BN41" s="14"/>
      <c r="BO41" s="14"/>
      <c r="BP41" s="14" t="n">
        <v>0.6751673505303</v>
      </c>
      <c r="BQ41" s="14" t="n">
        <v>0.573052070391688</v>
      </c>
      <c r="BR41" s="14"/>
      <c r="BS41" s="14"/>
      <c r="BT41" s="14" t="n">
        <v>40.3634690445626</v>
      </c>
      <c r="BU41" s="14" t="n">
        <v>36.4921407016342</v>
      </c>
      <c r="BV41" s="1" t="s">
        <v>87</v>
      </c>
    </row>
    <row r="42" customFormat="false" ht="15" hidden="false" customHeight="false" outlineLevel="0" collapsed="false">
      <c r="A42" s="12"/>
      <c r="B42" s="1" t="s">
        <v>115</v>
      </c>
      <c r="C42" s="1" t="s">
        <v>114</v>
      </c>
      <c r="D42" s="1" t="s">
        <v>77</v>
      </c>
      <c r="E42" s="1" t="s">
        <v>78</v>
      </c>
      <c r="F42" s="1" t="s">
        <v>107</v>
      </c>
      <c r="G42" s="1" t="s">
        <v>86</v>
      </c>
      <c r="H42" s="14" t="n">
        <v>21.8716735839844</v>
      </c>
      <c r="I42" s="14"/>
      <c r="J42" s="1" t="s">
        <v>81</v>
      </c>
      <c r="K42" s="1" t="s">
        <v>82</v>
      </c>
      <c r="L42" s="1" t="s">
        <v>29</v>
      </c>
      <c r="M42" s="1" t="s">
        <v>83</v>
      </c>
      <c r="N42" s="1" t="s">
        <v>83</v>
      </c>
      <c r="O42" s="1" t="s">
        <v>84</v>
      </c>
      <c r="P42" s="1" t="s">
        <v>88</v>
      </c>
      <c r="Q42" s="14" t="n">
        <v>437.433471679688</v>
      </c>
      <c r="R42" s="14"/>
      <c r="S42" s="14"/>
      <c r="T42" s="14" t="n">
        <v>24.0500392913818</v>
      </c>
      <c r="U42" s="14" t="n">
        <v>19.6973361968994</v>
      </c>
      <c r="V42" s="3" t="n">
        <v>21065</v>
      </c>
      <c r="W42" s="3" t="n">
        <v>388</v>
      </c>
      <c r="X42" s="3" t="n">
        <v>20677</v>
      </c>
      <c r="Y42" s="14" t="n">
        <v>16</v>
      </c>
      <c r="Z42" s="14" t="n">
        <v>227</v>
      </c>
      <c r="AA42" s="14" t="n">
        <v>372</v>
      </c>
      <c r="AB42" s="14" t="n">
        <v>20450</v>
      </c>
      <c r="AC42" s="14" t="n">
        <v>0.663160478502394</v>
      </c>
      <c r="AD42" s="14"/>
      <c r="AE42" s="14"/>
      <c r="AF42" s="14"/>
      <c r="AG42" s="14"/>
      <c r="AH42" s="14"/>
      <c r="AI42" s="14"/>
      <c r="AJ42" s="14"/>
      <c r="AK42" s="14" t="n">
        <v>1500</v>
      </c>
      <c r="AL42" s="14"/>
      <c r="AM42" s="14"/>
      <c r="AN42" s="14" t="n">
        <v>8.0218521045168</v>
      </c>
      <c r="AO42" s="14" t="n">
        <v>11.16358845701</v>
      </c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 t="n">
        <v>3935.65083045566</v>
      </c>
      <c r="BB42" s="14" t="n">
        <v>945.676129268759</v>
      </c>
      <c r="BC42" s="14" t="n">
        <v>1000.74900769556</v>
      </c>
      <c r="BF42" s="14"/>
      <c r="BG42" s="14"/>
      <c r="BH42" s="14" t="n">
        <v>22.9825820922852</v>
      </c>
      <c r="BI42" s="14" t="n">
        <v>20.7618160247803</v>
      </c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" t="s">
        <v>87</v>
      </c>
    </row>
    <row r="43" customFormat="false" ht="15" hidden="false" customHeight="false" outlineLevel="0" collapsed="false">
      <c r="A43" s="12" t="s">
        <v>89</v>
      </c>
      <c r="B43" s="1" t="s">
        <v>116</v>
      </c>
      <c r="C43" s="1" t="s">
        <v>117</v>
      </c>
      <c r="D43" s="1" t="s">
        <v>77</v>
      </c>
      <c r="E43" s="1" t="s">
        <v>93</v>
      </c>
      <c r="F43" s="1" t="s">
        <v>94</v>
      </c>
      <c r="G43" s="1" t="s">
        <v>80</v>
      </c>
      <c r="H43" s="14" t="n">
        <v>29.7378005981445</v>
      </c>
      <c r="I43" s="14"/>
      <c r="J43" s="1" t="s">
        <v>81</v>
      </c>
      <c r="K43" s="1" t="s">
        <v>82</v>
      </c>
      <c r="L43" s="1" t="s">
        <v>29</v>
      </c>
      <c r="M43" s="1" t="s">
        <v>83</v>
      </c>
      <c r="N43" s="1" t="s">
        <v>83</v>
      </c>
      <c r="O43" s="1" t="s">
        <v>84</v>
      </c>
      <c r="P43" s="1" t="s">
        <v>85</v>
      </c>
      <c r="Q43" s="14" t="n">
        <v>594.755981445313</v>
      </c>
      <c r="R43" s="14"/>
      <c r="S43" s="14"/>
      <c r="T43" s="14" t="n">
        <v>32.423770904541</v>
      </c>
      <c r="U43" s="14" t="n">
        <v>27.0579490661621</v>
      </c>
      <c r="V43" s="3" t="n">
        <v>18910</v>
      </c>
      <c r="W43" s="3" t="n">
        <v>472</v>
      </c>
      <c r="X43" s="3" t="n">
        <v>18438</v>
      </c>
      <c r="Y43" s="14" t="n">
        <v>134</v>
      </c>
      <c r="Z43" s="14" t="n">
        <v>338</v>
      </c>
      <c r="AA43" s="14" t="n">
        <v>2046</v>
      </c>
      <c r="AB43" s="14" t="n">
        <v>16392</v>
      </c>
      <c r="AC43" s="14" t="n">
        <v>5.72591291786186</v>
      </c>
      <c r="AD43" s="14" t="n">
        <v>0.412730425596237</v>
      </c>
      <c r="AE43" s="14"/>
      <c r="AF43" s="14"/>
      <c r="AG43" s="14" t="n">
        <v>0.453804626204264</v>
      </c>
      <c r="AH43" s="14" t="n">
        <v>0.37165619938511</v>
      </c>
      <c r="AI43" s="14" t="n">
        <v>2</v>
      </c>
      <c r="AJ43" s="14"/>
      <c r="AK43" s="14" t="n">
        <v>500</v>
      </c>
      <c r="AL43" s="14"/>
      <c r="AM43" s="14"/>
      <c r="AN43" s="14" t="n">
        <v>2.40702260909873</v>
      </c>
      <c r="AO43" s="14" t="n">
        <v>7.3356031385696</v>
      </c>
      <c r="AP43" s="1" t="s">
        <v>86</v>
      </c>
      <c r="AQ43" s="14" t="n">
        <v>0.206365206397344</v>
      </c>
      <c r="AR43" s="14"/>
      <c r="AS43" s="14"/>
      <c r="AT43" s="14" t="n">
        <v>0.226902313102132</v>
      </c>
      <c r="AU43" s="14" t="n">
        <v>0.185828099692555</v>
      </c>
      <c r="AV43" s="14" t="n">
        <v>17.1063625926039</v>
      </c>
      <c r="AW43" s="14"/>
      <c r="AX43" s="14"/>
      <c r="AY43" s="14" t="n">
        <v>18.5175401262031</v>
      </c>
      <c r="AZ43" s="14" t="n">
        <v>15.6951850590046</v>
      </c>
      <c r="BA43" s="14" t="n">
        <v>4449.73711977167</v>
      </c>
      <c r="BB43" s="14" t="n">
        <v>308.410608243834</v>
      </c>
      <c r="BC43" s="14" t="n">
        <v>411.779519583926</v>
      </c>
      <c r="BF43" s="14"/>
      <c r="BG43" s="14"/>
      <c r="BH43" s="14" t="n">
        <v>31.1074275970459</v>
      </c>
      <c r="BI43" s="14" t="n">
        <v>28.3697662353516</v>
      </c>
      <c r="BJ43" s="14"/>
      <c r="BK43" s="14"/>
      <c r="BL43" s="14" t="n">
        <v>0.433686609685528</v>
      </c>
      <c r="BM43" s="14" t="n">
        <v>0.391774215903846</v>
      </c>
      <c r="BN43" s="14"/>
      <c r="BO43" s="14"/>
      <c r="BP43" s="14" t="n">
        <v>0.216843304842764</v>
      </c>
      <c r="BQ43" s="14" t="n">
        <v>0.195887107951923</v>
      </c>
      <c r="BR43" s="14"/>
      <c r="BS43" s="14"/>
      <c r="BT43" s="14" t="n">
        <v>17.8263499468874</v>
      </c>
      <c r="BU43" s="14" t="n">
        <v>16.3863752383204</v>
      </c>
      <c r="BV43" s="1" t="s">
        <v>87</v>
      </c>
    </row>
    <row r="44" customFormat="false" ht="15" hidden="false" customHeight="false" outlineLevel="0" collapsed="false">
      <c r="A44" s="12"/>
      <c r="B44" s="1" t="s">
        <v>116</v>
      </c>
      <c r="C44" s="1" t="s">
        <v>117</v>
      </c>
      <c r="D44" s="1" t="s">
        <v>77</v>
      </c>
      <c r="E44" s="1" t="s">
        <v>93</v>
      </c>
      <c r="F44" s="1" t="s">
        <v>94</v>
      </c>
      <c r="G44" s="1" t="s">
        <v>86</v>
      </c>
      <c r="H44" s="14" t="n">
        <v>144.102783203125</v>
      </c>
      <c r="I44" s="14"/>
      <c r="J44" s="1" t="s">
        <v>81</v>
      </c>
      <c r="K44" s="1" t="s">
        <v>82</v>
      </c>
      <c r="L44" s="1" t="s">
        <v>29</v>
      </c>
      <c r="M44" s="1" t="s">
        <v>83</v>
      </c>
      <c r="N44" s="1" t="s">
        <v>83</v>
      </c>
      <c r="O44" s="1" t="s">
        <v>84</v>
      </c>
      <c r="P44" s="1" t="s">
        <v>88</v>
      </c>
      <c r="Q44" s="14" t="n">
        <v>2882.0556640625</v>
      </c>
      <c r="R44" s="14"/>
      <c r="S44" s="14"/>
      <c r="T44" s="14" t="n">
        <v>150.171432495117</v>
      </c>
      <c r="U44" s="14" t="n">
        <v>138.065292358398</v>
      </c>
      <c r="V44" s="3" t="n">
        <v>18910</v>
      </c>
      <c r="W44" s="3" t="n">
        <v>2180</v>
      </c>
      <c r="X44" s="3" t="n">
        <v>16730</v>
      </c>
      <c r="Y44" s="14" t="n">
        <v>134</v>
      </c>
      <c r="Z44" s="14" t="n">
        <v>338</v>
      </c>
      <c r="AA44" s="14" t="n">
        <v>2046</v>
      </c>
      <c r="AB44" s="14" t="n">
        <v>16392</v>
      </c>
      <c r="AC44" s="14" t="n">
        <v>5.72591291786186</v>
      </c>
      <c r="AD44" s="14"/>
      <c r="AE44" s="14"/>
      <c r="AF44" s="14"/>
      <c r="AG44" s="14"/>
      <c r="AH44" s="14"/>
      <c r="AI44" s="14"/>
      <c r="AJ44" s="14"/>
      <c r="AK44" s="14" t="n">
        <v>1500</v>
      </c>
      <c r="AL44" s="14"/>
      <c r="AM44" s="14"/>
      <c r="AN44" s="14" t="n">
        <v>5.14784426757088</v>
      </c>
      <c r="AO44" s="14" t="n">
        <v>10.6090027800484</v>
      </c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 t="n">
        <v>3880.62932392085</v>
      </c>
      <c r="BB44" s="14" t="n">
        <v>924.160476186585</v>
      </c>
      <c r="BC44" s="14" t="n">
        <v>1264.99083515331</v>
      </c>
      <c r="BF44" s="14"/>
      <c r="BG44" s="14"/>
      <c r="BH44" s="14" t="n">
        <v>147.195129394531</v>
      </c>
      <c r="BI44" s="14" t="n">
        <v>141.0185546875</v>
      </c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" t="s">
        <v>87</v>
      </c>
    </row>
    <row r="45" customFormat="false" ht="15" hidden="false" customHeight="false" outlineLevel="0" collapsed="false">
      <c r="A45" s="12" t="s">
        <v>74</v>
      </c>
      <c r="B45" s="1" t="s">
        <v>118</v>
      </c>
      <c r="C45" s="1" t="s">
        <v>117</v>
      </c>
      <c r="D45" s="1" t="s">
        <v>77</v>
      </c>
      <c r="E45" s="1" t="s">
        <v>93</v>
      </c>
      <c r="F45" s="1" t="s">
        <v>94</v>
      </c>
      <c r="G45" s="1" t="s">
        <v>80</v>
      </c>
      <c r="H45" s="14" t="n">
        <v>14.143500328064</v>
      </c>
      <c r="I45" s="14"/>
      <c r="J45" s="1" t="s">
        <v>81</v>
      </c>
      <c r="K45" s="1" t="s">
        <v>82</v>
      </c>
      <c r="L45" s="1" t="s">
        <v>29</v>
      </c>
      <c r="M45" s="1" t="s">
        <v>83</v>
      </c>
      <c r="N45" s="1" t="s">
        <v>83</v>
      </c>
      <c r="O45" s="1" t="s">
        <v>84</v>
      </c>
      <c r="P45" s="1" t="s">
        <v>85</v>
      </c>
      <c r="Q45" s="14" t="n">
        <v>282.869995117188</v>
      </c>
      <c r="R45" s="14"/>
      <c r="S45" s="14"/>
      <c r="T45" s="14" t="n">
        <v>15.9380178451538</v>
      </c>
      <c r="U45" s="14" t="n">
        <v>12.3517150878906</v>
      </c>
      <c r="V45" s="3" t="n">
        <v>20000</v>
      </c>
      <c r="W45" s="3" t="n">
        <v>239</v>
      </c>
      <c r="X45" s="3" t="n">
        <v>19761</v>
      </c>
      <c r="Y45" s="14" t="n">
        <v>60</v>
      </c>
      <c r="Z45" s="14" t="n">
        <v>179</v>
      </c>
      <c r="AA45" s="14" t="n">
        <v>1020</v>
      </c>
      <c r="AB45" s="14" t="n">
        <v>18741</v>
      </c>
      <c r="AC45" s="14" t="n">
        <v>2.96005724351035</v>
      </c>
      <c r="AD45" s="14" t="n">
        <v>0.433125108480454</v>
      </c>
      <c r="AE45" s="14"/>
      <c r="AF45" s="14"/>
      <c r="AG45" s="14" t="n">
        <v>0.493811860454249</v>
      </c>
      <c r="AH45" s="14" t="n">
        <v>0.372438378588314</v>
      </c>
      <c r="AI45" s="14" t="n">
        <v>2</v>
      </c>
      <c r="AJ45" s="14"/>
      <c r="AK45" s="14" t="n">
        <v>500</v>
      </c>
      <c r="AL45" s="14"/>
      <c r="AM45" s="14"/>
      <c r="AN45" s="14" t="n">
        <v>2.13063774384289</v>
      </c>
      <c r="AO45" s="14" t="n">
        <v>7.63599783234646</v>
      </c>
      <c r="AP45" s="1" t="s">
        <v>86</v>
      </c>
      <c r="AQ45" s="14" t="n">
        <v>0.216562559760641</v>
      </c>
      <c r="AR45" s="14"/>
      <c r="AS45" s="14"/>
      <c r="AT45" s="14" t="n">
        <v>0.246905930227125</v>
      </c>
      <c r="AU45" s="14" t="n">
        <v>0.186219189294157</v>
      </c>
      <c r="AV45" s="14" t="n">
        <v>17.801185645829</v>
      </c>
      <c r="AW45" s="14"/>
      <c r="AX45" s="14"/>
      <c r="AY45" s="14" t="n">
        <v>19.8513794939325</v>
      </c>
      <c r="AZ45" s="14" t="n">
        <v>15.7509917977255</v>
      </c>
      <c r="BA45" s="14" t="n">
        <v>4115.85369004764</v>
      </c>
      <c r="BB45" s="14" t="n">
        <v>318.486201478055</v>
      </c>
      <c r="BC45" s="14" t="n">
        <v>363.864742966461</v>
      </c>
      <c r="BF45" s="14"/>
      <c r="BG45" s="14"/>
      <c r="BH45" s="14" t="n">
        <v>15.0587291717529</v>
      </c>
      <c r="BI45" s="14" t="n">
        <v>13.2289838790894</v>
      </c>
      <c r="BJ45" s="14"/>
      <c r="BK45" s="14"/>
      <c r="BL45" s="14" t="n">
        <v>0.464087717544125</v>
      </c>
      <c r="BM45" s="14" t="n">
        <v>0.402162521498439</v>
      </c>
      <c r="BN45" s="14"/>
      <c r="BO45" s="14"/>
      <c r="BP45" s="14" t="n">
        <v>0.232043858772062</v>
      </c>
      <c r="BQ45" s="14" t="n">
        <v>0.201081260749219</v>
      </c>
      <c r="BR45" s="14"/>
      <c r="BS45" s="14"/>
      <c r="BT45" s="14" t="n">
        <v>18.8472020739949</v>
      </c>
      <c r="BU45" s="14" t="n">
        <v>16.755169217663</v>
      </c>
      <c r="BV45" s="1" t="s">
        <v>87</v>
      </c>
    </row>
    <row r="46" customFormat="false" ht="15" hidden="false" customHeight="false" outlineLevel="0" collapsed="false">
      <c r="A46" s="12"/>
      <c r="B46" s="1" t="s">
        <v>118</v>
      </c>
      <c r="C46" s="1" t="s">
        <v>117</v>
      </c>
      <c r="D46" s="1" t="s">
        <v>77</v>
      </c>
      <c r="E46" s="1" t="s">
        <v>93</v>
      </c>
      <c r="F46" s="1" t="s">
        <v>94</v>
      </c>
      <c r="G46" s="1" t="s">
        <v>86</v>
      </c>
      <c r="H46" s="14" t="n">
        <v>65.3090744018555</v>
      </c>
      <c r="I46" s="14"/>
      <c r="J46" s="1" t="s">
        <v>81</v>
      </c>
      <c r="K46" s="1" t="s">
        <v>82</v>
      </c>
      <c r="L46" s="1" t="s">
        <v>29</v>
      </c>
      <c r="M46" s="1" t="s">
        <v>83</v>
      </c>
      <c r="N46" s="1" t="s">
        <v>83</v>
      </c>
      <c r="O46" s="1" t="s">
        <v>84</v>
      </c>
      <c r="P46" s="1" t="s">
        <v>88</v>
      </c>
      <c r="Q46" s="14" t="n">
        <v>1306.18151855469</v>
      </c>
      <c r="R46" s="14"/>
      <c r="S46" s="14"/>
      <c r="T46" s="14" t="n">
        <v>69.2111282348633</v>
      </c>
      <c r="U46" s="14" t="n">
        <v>61.4199142456055</v>
      </c>
      <c r="V46" s="3" t="n">
        <v>20000</v>
      </c>
      <c r="W46" s="3" t="n">
        <v>1080</v>
      </c>
      <c r="X46" s="3" t="n">
        <v>18920</v>
      </c>
      <c r="Y46" s="14" t="n">
        <v>60</v>
      </c>
      <c r="Z46" s="14" t="n">
        <v>179</v>
      </c>
      <c r="AA46" s="14" t="n">
        <v>1020</v>
      </c>
      <c r="AB46" s="14" t="n">
        <v>18741</v>
      </c>
      <c r="AC46" s="14" t="n">
        <v>2.96005724351035</v>
      </c>
      <c r="AD46" s="14"/>
      <c r="AE46" s="14"/>
      <c r="AF46" s="14"/>
      <c r="AG46" s="14"/>
      <c r="AH46" s="14"/>
      <c r="AI46" s="14"/>
      <c r="AJ46" s="14"/>
      <c r="AK46" s="14" t="n">
        <v>1500</v>
      </c>
      <c r="AL46" s="14"/>
      <c r="AM46" s="14"/>
      <c r="AN46" s="14" t="n">
        <v>4.68085045016602</v>
      </c>
      <c r="AO46" s="14" t="n">
        <v>11.6130834266448</v>
      </c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 t="n">
        <v>3789.5091788963</v>
      </c>
      <c r="BB46" s="14" t="n">
        <v>922.352180377726</v>
      </c>
      <c r="BC46" s="14" t="n">
        <v>1077.17865829773</v>
      </c>
      <c r="BF46" s="14"/>
      <c r="BG46" s="14"/>
      <c r="BH46" s="14" t="n">
        <v>67.2983016967773</v>
      </c>
      <c r="BI46" s="14" t="n">
        <v>63.3232002258301</v>
      </c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" t="s">
        <v>87</v>
      </c>
    </row>
    <row r="47" customFormat="false" ht="15" hidden="false" customHeight="false" outlineLevel="0" collapsed="false">
      <c r="A47" s="12" t="s">
        <v>89</v>
      </c>
      <c r="B47" s="1" t="s">
        <v>119</v>
      </c>
      <c r="C47" s="1" t="s">
        <v>120</v>
      </c>
      <c r="D47" s="1" t="s">
        <v>77</v>
      </c>
      <c r="E47" s="1" t="s">
        <v>93</v>
      </c>
      <c r="F47" s="1" t="s">
        <v>94</v>
      </c>
      <c r="G47" s="1" t="s">
        <v>80</v>
      </c>
      <c r="H47" s="14" t="n">
        <v>139.929977416992</v>
      </c>
      <c r="I47" s="14"/>
      <c r="J47" s="1" t="s">
        <v>81</v>
      </c>
      <c r="K47" s="1" t="s">
        <v>82</v>
      </c>
      <c r="L47" s="1" t="s">
        <v>29</v>
      </c>
      <c r="M47" s="1" t="s">
        <v>83</v>
      </c>
      <c r="N47" s="1" t="s">
        <v>83</v>
      </c>
      <c r="O47" s="1" t="s">
        <v>84</v>
      </c>
      <c r="P47" s="1" t="s">
        <v>85</v>
      </c>
      <c r="Q47" s="14" t="n">
        <v>2798.599609375</v>
      </c>
      <c r="R47" s="14"/>
      <c r="S47" s="14"/>
      <c r="T47" s="14" t="n">
        <v>146.320648193359</v>
      </c>
      <c r="U47" s="14" t="n">
        <v>133.573822021484</v>
      </c>
      <c r="V47" s="3" t="n">
        <v>16533</v>
      </c>
      <c r="W47" s="3" t="n">
        <v>1854</v>
      </c>
      <c r="X47" s="3" t="n">
        <v>14679</v>
      </c>
      <c r="Y47" s="14" t="n">
        <v>318</v>
      </c>
      <c r="Z47" s="14" t="n">
        <v>1536</v>
      </c>
      <c r="AA47" s="14" t="n">
        <v>810</v>
      </c>
      <c r="AB47" s="14" t="n">
        <v>13869</v>
      </c>
      <c r="AC47" s="14" t="n">
        <v>16.3582159986716</v>
      </c>
      <c r="AD47" s="14" t="n">
        <v>3.36625957489014</v>
      </c>
      <c r="AE47" s="14"/>
      <c r="AF47" s="14"/>
      <c r="AG47" s="14" t="n">
        <v>3.61549178196745</v>
      </c>
      <c r="AH47" s="14" t="n">
        <v>3.11702735672728</v>
      </c>
      <c r="AI47" s="14" t="n">
        <v>2</v>
      </c>
      <c r="AJ47" s="14"/>
      <c r="AK47" s="14" t="n">
        <v>500</v>
      </c>
      <c r="AL47" s="14"/>
      <c r="AM47" s="14"/>
      <c r="AN47" s="14" t="n">
        <v>2.86344737350099</v>
      </c>
      <c r="AO47" s="14" t="n">
        <v>7.92372166554802</v>
      </c>
      <c r="AP47" s="1" t="s">
        <v>86</v>
      </c>
      <c r="AQ47" s="14" t="n">
        <v>1.68312978467368</v>
      </c>
      <c r="AR47" s="14"/>
      <c r="AS47" s="14"/>
      <c r="AT47" s="14" t="n">
        <v>1.80774589098372</v>
      </c>
      <c r="AU47" s="14" t="n">
        <v>1.55851367836364</v>
      </c>
      <c r="AV47" s="14" t="n">
        <v>62.730092084546</v>
      </c>
      <c r="AW47" s="14"/>
      <c r="AX47" s="14"/>
      <c r="AY47" s="14" t="n">
        <v>64.4610671694961</v>
      </c>
      <c r="AZ47" s="14" t="n">
        <v>60.9991169995959</v>
      </c>
      <c r="BA47" s="14" t="n">
        <v>4506.03512362549</v>
      </c>
      <c r="BB47" s="14" t="n">
        <v>305.584939953157</v>
      </c>
      <c r="BC47" s="14" t="n">
        <v>776.620725384023</v>
      </c>
      <c r="BF47" s="14"/>
      <c r="BG47" s="14"/>
      <c r="BH47" s="14" t="n">
        <v>143.186187744141</v>
      </c>
      <c r="BI47" s="14" t="n">
        <v>136.682754516602</v>
      </c>
      <c r="BJ47" s="14"/>
      <c r="BK47" s="14"/>
      <c r="BL47" s="14" t="n">
        <v>3.49341815465149</v>
      </c>
      <c r="BM47" s="14" t="n">
        <v>3.23910098404324</v>
      </c>
      <c r="BN47" s="14"/>
      <c r="BO47" s="14"/>
      <c r="BP47" s="14" t="n">
        <v>1.74670907732575</v>
      </c>
      <c r="BQ47" s="14" t="n">
        <v>1.61955049202162</v>
      </c>
      <c r="BR47" s="14"/>
      <c r="BS47" s="14"/>
      <c r="BT47" s="14" t="n">
        <v>63.6132377288632</v>
      </c>
      <c r="BU47" s="14" t="n">
        <v>61.8469464402289</v>
      </c>
      <c r="BV47" s="1" t="s">
        <v>87</v>
      </c>
    </row>
    <row r="48" customFormat="false" ht="15" hidden="false" customHeight="false" outlineLevel="0" collapsed="false">
      <c r="A48" s="12"/>
      <c r="B48" s="1" t="s">
        <v>119</v>
      </c>
      <c r="C48" s="1" t="s">
        <v>120</v>
      </c>
      <c r="D48" s="1" t="s">
        <v>77</v>
      </c>
      <c r="E48" s="1" t="s">
        <v>93</v>
      </c>
      <c r="F48" s="1" t="s">
        <v>94</v>
      </c>
      <c r="G48" s="1" t="s">
        <v>86</v>
      </c>
      <c r="H48" s="14" t="n">
        <v>83.1367721557617</v>
      </c>
      <c r="I48" s="14"/>
      <c r="J48" s="1" t="s">
        <v>81</v>
      </c>
      <c r="K48" s="1" t="s">
        <v>82</v>
      </c>
      <c r="L48" s="1" t="s">
        <v>29</v>
      </c>
      <c r="M48" s="1" t="s">
        <v>83</v>
      </c>
      <c r="N48" s="1" t="s">
        <v>83</v>
      </c>
      <c r="O48" s="1" t="s">
        <v>84</v>
      </c>
      <c r="P48" s="1" t="s">
        <v>88</v>
      </c>
      <c r="Q48" s="14" t="n">
        <v>1662.73547363281</v>
      </c>
      <c r="R48" s="14"/>
      <c r="S48" s="14"/>
      <c r="T48" s="14" t="n">
        <v>87.9995193481445</v>
      </c>
      <c r="U48" s="14" t="n">
        <v>78.2940292358398</v>
      </c>
      <c r="V48" s="3" t="n">
        <v>16533</v>
      </c>
      <c r="W48" s="3" t="n">
        <v>1128</v>
      </c>
      <c r="X48" s="3" t="n">
        <v>15405</v>
      </c>
      <c r="Y48" s="14" t="n">
        <v>318</v>
      </c>
      <c r="Z48" s="14" t="n">
        <v>1536</v>
      </c>
      <c r="AA48" s="14" t="n">
        <v>810</v>
      </c>
      <c r="AB48" s="14" t="n">
        <v>13869</v>
      </c>
      <c r="AC48" s="14" t="n">
        <v>16.3582159986716</v>
      </c>
      <c r="AD48" s="14"/>
      <c r="AE48" s="14"/>
      <c r="AF48" s="14"/>
      <c r="AG48" s="14"/>
      <c r="AH48" s="14"/>
      <c r="AI48" s="14"/>
      <c r="AJ48" s="14"/>
      <c r="AK48" s="14" t="n">
        <v>1500</v>
      </c>
      <c r="AL48" s="14"/>
      <c r="AM48" s="14"/>
      <c r="AN48" s="14" t="n">
        <v>4.23407267589088</v>
      </c>
      <c r="AO48" s="14" t="n">
        <v>7.64442629797876</v>
      </c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 t="n">
        <v>3985.15129262505</v>
      </c>
      <c r="BB48" s="14" t="n">
        <v>958.364721156699</v>
      </c>
      <c r="BC48" s="14" t="n">
        <v>1164.87383944233</v>
      </c>
      <c r="BF48" s="14"/>
      <c r="BG48" s="14"/>
      <c r="BH48" s="14" t="n">
        <v>85.6152496337891</v>
      </c>
      <c r="BI48" s="14" t="n">
        <v>80.6634902954102</v>
      </c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" t="s">
        <v>87</v>
      </c>
    </row>
    <row r="49" customFormat="false" ht="15" hidden="false" customHeight="false" outlineLevel="0" collapsed="false">
      <c r="A49" s="12" t="s">
        <v>74</v>
      </c>
      <c r="B49" s="1" t="s">
        <v>121</v>
      </c>
      <c r="C49" s="1" t="s">
        <v>122</v>
      </c>
      <c r="D49" s="1" t="s">
        <v>77</v>
      </c>
      <c r="E49" s="1" t="s">
        <v>78</v>
      </c>
      <c r="F49" s="1" t="s">
        <v>107</v>
      </c>
      <c r="G49" s="1" t="s">
        <v>80</v>
      </c>
      <c r="H49" s="14" t="n">
        <v>0.135249823331833</v>
      </c>
      <c r="I49" s="14"/>
      <c r="J49" s="1" t="s">
        <v>81</v>
      </c>
      <c r="K49" s="1" t="s">
        <v>82</v>
      </c>
      <c r="L49" s="1" t="s">
        <v>29</v>
      </c>
      <c r="M49" s="1" t="s">
        <v>83</v>
      </c>
      <c r="N49" s="1" t="s">
        <v>83</v>
      </c>
      <c r="O49" s="1" t="s">
        <v>84</v>
      </c>
      <c r="P49" s="1" t="s">
        <v>85</v>
      </c>
      <c r="Q49" s="14" t="n">
        <v>2.70499658584595</v>
      </c>
      <c r="R49" s="14"/>
      <c r="S49" s="14"/>
      <c r="T49" s="14" t="n">
        <v>0.433260053396225</v>
      </c>
      <c r="U49" s="14" t="n">
        <v>0.0204893499612808</v>
      </c>
      <c r="V49" s="3" t="n">
        <v>17398</v>
      </c>
      <c r="W49" s="3" t="n">
        <v>2</v>
      </c>
      <c r="X49" s="3" t="n">
        <v>17396</v>
      </c>
      <c r="Y49" s="14" t="n">
        <v>0</v>
      </c>
      <c r="Z49" s="14" t="n">
        <v>2</v>
      </c>
      <c r="AA49" s="14" t="n">
        <v>0</v>
      </c>
      <c r="AB49" s="14" t="n">
        <v>17396</v>
      </c>
      <c r="AC49" s="14" t="n">
        <v>0</v>
      </c>
      <c r="AD49" s="14"/>
      <c r="AE49" s="14"/>
      <c r="AF49" s="14"/>
      <c r="AG49" s="14"/>
      <c r="AH49" s="14"/>
      <c r="AI49" s="14"/>
      <c r="AJ49" s="14"/>
      <c r="AK49" s="14" t="n">
        <v>500</v>
      </c>
      <c r="AL49" s="14"/>
      <c r="AM49" s="14"/>
      <c r="AN49" s="14" t="n">
        <v>1.06997131957818</v>
      </c>
      <c r="AO49" s="14" t="n">
        <v>10.706997141629</v>
      </c>
      <c r="AP49" s="1" t="s">
        <v>86</v>
      </c>
      <c r="AQ49" s="14"/>
      <c r="AR49" s="14"/>
      <c r="AS49" s="14"/>
      <c r="AT49" s="14"/>
      <c r="AU49" s="14"/>
      <c r="AV49" s="14" t="n">
        <v>100</v>
      </c>
      <c r="AW49" s="14"/>
      <c r="AX49" s="14"/>
      <c r="AY49" s="14" t="n">
        <v>174.902142486797</v>
      </c>
      <c r="AZ49" s="14" t="n">
        <v>25.0978575132028</v>
      </c>
      <c r="BA49" s="14" t="n">
        <v>1426.48489379883</v>
      </c>
      <c r="BB49" s="14" t="n">
        <v>280.940311295928</v>
      </c>
      <c r="BC49" s="14" t="n">
        <v>281.071998223448</v>
      </c>
      <c r="BF49" s="14"/>
      <c r="BG49" s="14"/>
      <c r="BH49" s="14" t="n">
        <v>0.260031580924988</v>
      </c>
      <c r="BI49" s="14" t="n">
        <v>0.0586965121328831</v>
      </c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 t="n">
        <v>134.22437619416</v>
      </c>
      <c r="BU49" s="14" t="n">
        <v>65.7756238058398</v>
      </c>
      <c r="BV49" s="1" t="s">
        <v>87</v>
      </c>
    </row>
    <row r="50" customFormat="false" ht="15" hidden="false" customHeight="false" outlineLevel="0" collapsed="false">
      <c r="A50" s="12"/>
      <c r="B50" s="1" t="s">
        <v>121</v>
      </c>
      <c r="C50" s="1" t="s">
        <v>122</v>
      </c>
      <c r="D50" s="1" t="s">
        <v>77</v>
      </c>
      <c r="E50" s="1" t="s">
        <v>78</v>
      </c>
      <c r="F50" s="1" t="s">
        <v>107</v>
      </c>
      <c r="G50" s="1" t="s">
        <v>86</v>
      </c>
      <c r="H50" s="14" t="n">
        <v>0</v>
      </c>
      <c r="I50" s="14"/>
      <c r="J50" s="1" t="s">
        <v>81</v>
      </c>
      <c r="K50" s="1" t="s">
        <v>82</v>
      </c>
      <c r="L50" s="1" t="s">
        <v>29</v>
      </c>
      <c r="M50" s="1" t="s">
        <v>83</v>
      </c>
      <c r="N50" s="1" t="s">
        <v>83</v>
      </c>
      <c r="O50" s="1" t="s">
        <v>84</v>
      </c>
      <c r="P50" s="1" t="s">
        <v>88</v>
      </c>
      <c r="Q50" s="14" t="n">
        <v>0</v>
      </c>
      <c r="R50" s="14"/>
      <c r="S50" s="14"/>
      <c r="T50" s="14" t="n">
        <v>0.202610030770302</v>
      </c>
      <c r="U50" s="14" t="n">
        <v>0</v>
      </c>
      <c r="V50" s="3" t="n">
        <v>17398</v>
      </c>
      <c r="W50" s="3" t="n">
        <v>0</v>
      </c>
      <c r="X50" s="3" t="n">
        <v>17398</v>
      </c>
      <c r="Y50" s="14" t="n">
        <v>0</v>
      </c>
      <c r="Z50" s="14" t="n">
        <v>2</v>
      </c>
      <c r="AA50" s="14" t="n">
        <v>0</v>
      </c>
      <c r="AB50" s="14" t="n">
        <v>17396</v>
      </c>
      <c r="AC50" s="14" t="n">
        <v>0</v>
      </c>
      <c r="AD50" s="14"/>
      <c r="AE50" s="14"/>
      <c r="AF50" s="14"/>
      <c r="AG50" s="14"/>
      <c r="AH50" s="14"/>
      <c r="AI50" s="14"/>
      <c r="AJ50" s="14"/>
      <c r="AK50" s="14" t="n">
        <v>1500</v>
      </c>
      <c r="AL50" s="14"/>
      <c r="AM50" s="14"/>
      <c r="AN50" s="14"/>
      <c r="AO50" s="14" t="n">
        <v>12.5334702105079</v>
      </c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 t="n">
        <v>941.641625253178</v>
      </c>
      <c r="BC50" s="14" t="n">
        <v>941.641625253178</v>
      </c>
      <c r="BF50" s="14"/>
      <c r="BG50" s="14"/>
      <c r="BH50" s="14" t="n">
        <v>0.0925768166780472</v>
      </c>
      <c r="BI50" s="14" t="n">
        <v>0</v>
      </c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" t="s">
        <v>87</v>
      </c>
    </row>
    <row r="51" customFormat="false" ht="15" hidden="false" customHeight="false" outlineLevel="0" collapsed="false">
      <c r="A51" s="12" t="s">
        <v>89</v>
      </c>
      <c r="B51" s="1" t="s">
        <v>123</v>
      </c>
      <c r="C51" s="1" t="s">
        <v>122</v>
      </c>
      <c r="D51" s="1" t="s">
        <v>77</v>
      </c>
      <c r="E51" s="1" t="s">
        <v>78</v>
      </c>
      <c r="F51" s="1" t="s">
        <v>107</v>
      </c>
      <c r="G51" s="1" t="s">
        <v>80</v>
      </c>
      <c r="H51" s="14" t="n">
        <v>0.114861667156219</v>
      </c>
      <c r="I51" s="14"/>
      <c r="J51" s="1" t="s">
        <v>81</v>
      </c>
      <c r="K51" s="1" t="s">
        <v>82</v>
      </c>
      <c r="L51" s="1" t="s">
        <v>29</v>
      </c>
      <c r="M51" s="1" t="s">
        <v>83</v>
      </c>
      <c r="N51" s="1" t="s">
        <v>83</v>
      </c>
      <c r="O51" s="1" t="s">
        <v>84</v>
      </c>
      <c r="P51" s="1" t="s">
        <v>85</v>
      </c>
      <c r="Q51" s="14" t="n">
        <v>2.29723334312439</v>
      </c>
      <c r="R51" s="14"/>
      <c r="S51" s="14"/>
      <c r="T51" s="14" t="n">
        <v>0.367941468954086</v>
      </c>
      <c r="U51" s="14" t="n">
        <v>0.0174008216708899</v>
      </c>
      <c r="V51" s="3" t="n">
        <v>20486</v>
      </c>
      <c r="W51" s="3" t="n">
        <v>2</v>
      </c>
      <c r="X51" s="3" t="n">
        <v>20484</v>
      </c>
      <c r="Y51" s="14" t="n">
        <v>0</v>
      </c>
      <c r="Z51" s="14" t="n">
        <v>2</v>
      </c>
      <c r="AA51" s="14" t="n">
        <v>0</v>
      </c>
      <c r="AB51" s="14" t="n">
        <v>20484</v>
      </c>
      <c r="AC51" s="14" t="n">
        <v>0</v>
      </c>
      <c r="AD51" s="14"/>
      <c r="AE51" s="14"/>
      <c r="AF51" s="14"/>
      <c r="AG51" s="14"/>
      <c r="AH51" s="14"/>
      <c r="AI51" s="14"/>
      <c r="AJ51" s="14"/>
      <c r="AK51" s="14" t="n">
        <v>500</v>
      </c>
      <c r="AL51" s="14"/>
      <c r="AM51" s="14"/>
      <c r="AN51" s="14" t="n">
        <v>3.9652061275062</v>
      </c>
      <c r="AO51" s="14" t="n">
        <v>10.5449572617665</v>
      </c>
      <c r="AP51" s="1" t="s">
        <v>86</v>
      </c>
      <c r="AQ51" s="14"/>
      <c r="AR51" s="14"/>
      <c r="AS51" s="14"/>
      <c r="AT51" s="14"/>
      <c r="AU51" s="14"/>
      <c r="AV51" s="14" t="n">
        <v>100</v>
      </c>
      <c r="AW51" s="14"/>
      <c r="AX51" s="14"/>
      <c r="AY51" s="14" t="n">
        <v>174.90181930081</v>
      </c>
      <c r="AZ51" s="14" t="n">
        <v>25.0981806991898</v>
      </c>
      <c r="BA51" s="14" t="n">
        <v>1617.28588867188</v>
      </c>
      <c r="BB51" s="14" t="n">
        <v>282.716353158144</v>
      </c>
      <c r="BC51" s="14" t="n">
        <v>282.846644043189</v>
      </c>
      <c r="BF51" s="14"/>
      <c r="BG51" s="14"/>
      <c r="BH51" s="14" t="n">
        <v>0.220831498503685</v>
      </c>
      <c r="BI51" s="14" t="n">
        <v>0.0498485825955868</v>
      </c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 t="n">
        <v>134.224467828956</v>
      </c>
      <c r="BU51" s="14" t="n">
        <v>65.7755321710441</v>
      </c>
      <c r="BV51" s="1" t="s">
        <v>87</v>
      </c>
    </row>
    <row r="52" customFormat="false" ht="15" hidden="false" customHeight="false" outlineLevel="0" collapsed="false">
      <c r="A52" s="12"/>
      <c r="B52" s="1" t="s">
        <v>123</v>
      </c>
      <c r="C52" s="1" t="s">
        <v>122</v>
      </c>
      <c r="D52" s="1" t="s">
        <v>77</v>
      </c>
      <c r="E52" s="1" t="s">
        <v>78</v>
      </c>
      <c r="F52" s="1" t="s">
        <v>107</v>
      </c>
      <c r="G52" s="1" t="s">
        <v>86</v>
      </c>
      <c r="H52" s="14" t="n">
        <v>0</v>
      </c>
      <c r="I52" s="14"/>
      <c r="J52" s="1" t="s">
        <v>81</v>
      </c>
      <c r="K52" s="1" t="s">
        <v>82</v>
      </c>
      <c r="L52" s="1" t="s">
        <v>29</v>
      </c>
      <c r="M52" s="1" t="s">
        <v>83</v>
      </c>
      <c r="N52" s="1" t="s">
        <v>83</v>
      </c>
      <c r="O52" s="1" t="s">
        <v>84</v>
      </c>
      <c r="P52" s="1" t="s">
        <v>88</v>
      </c>
      <c r="Q52" s="14" t="n">
        <v>0</v>
      </c>
      <c r="R52" s="14"/>
      <c r="S52" s="14"/>
      <c r="T52" s="14" t="n">
        <v>0.172066956758499</v>
      </c>
      <c r="U52" s="14" t="n">
        <v>0</v>
      </c>
      <c r="V52" s="3" t="n">
        <v>20486</v>
      </c>
      <c r="W52" s="3" t="n">
        <v>0</v>
      </c>
      <c r="X52" s="3" t="n">
        <v>20486</v>
      </c>
      <c r="Y52" s="14" t="n">
        <v>0</v>
      </c>
      <c r="Z52" s="14" t="n">
        <v>2</v>
      </c>
      <c r="AA52" s="14" t="n">
        <v>0</v>
      </c>
      <c r="AB52" s="14" t="n">
        <v>20484</v>
      </c>
      <c r="AC52" s="14" t="n">
        <v>0</v>
      </c>
      <c r="AD52" s="14"/>
      <c r="AE52" s="14"/>
      <c r="AF52" s="14"/>
      <c r="AG52" s="14"/>
      <c r="AH52" s="14"/>
      <c r="AI52" s="14"/>
      <c r="AJ52" s="14"/>
      <c r="AK52" s="14" t="n">
        <v>1500</v>
      </c>
      <c r="AL52" s="14"/>
      <c r="AM52" s="14"/>
      <c r="AN52" s="14"/>
      <c r="AO52" s="14" t="n">
        <v>12.7226352755718</v>
      </c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 t="n">
        <v>924.650669022299</v>
      </c>
      <c r="BC52" s="14" t="n">
        <v>924.650669022299</v>
      </c>
      <c r="BF52" s="14"/>
      <c r="BG52" s="14"/>
      <c r="BH52" s="14" t="n">
        <v>0.0786215886473656</v>
      </c>
      <c r="BI52" s="14" t="n">
        <v>0</v>
      </c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" t="s">
        <v>87</v>
      </c>
    </row>
    <row r="53" customFormat="false" ht="15" hidden="false" customHeight="false" outlineLevel="0" collapsed="false">
      <c r="A53" s="12" t="s">
        <v>74</v>
      </c>
      <c r="B53" s="1" t="s">
        <v>124</v>
      </c>
      <c r="C53" s="1" t="s">
        <v>125</v>
      </c>
      <c r="D53" s="1" t="s">
        <v>77</v>
      </c>
      <c r="E53" s="1" t="s">
        <v>93</v>
      </c>
      <c r="F53" s="1" t="s">
        <v>94</v>
      </c>
      <c r="G53" s="1" t="s">
        <v>80</v>
      </c>
      <c r="H53" s="14" t="n">
        <v>111.426025390625</v>
      </c>
      <c r="I53" s="14"/>
      <c r="J53" s="1" t="s">
        <v>81</v>
      </c>
      <c r="K53" s="1" t="s">
        <v>82</v>
      </c>
      <c r="L53" s="1" t="s">
        <v>29</v>
      </c>
      <c r="M53" s="1" t="s">
        <v>83</v>
      </c>
      <c r="N53" s="1" t="s">
        <v>83</v>
      </c>
      <c r="O53" s="1" t="s">
        <v>84</v>
      </c>
      <c r="P53" s="1" t="s">
        <v>85</v>
      </c>
      <c r="Q53" s="14" t="n">
        <v>2228.5205078125</v>
      </c>
      <c r="R53" s="14"/>
      <c r="S53" s="14"/>
      <c r="T53" s="14" t="n">
        <v>116.70272064209</v>
      </c>
      <c r="U53" s="14" t="n">
        <v>106.172897338867</v>
      </c>
      <c r="V53" s="3" t="n">
        <v>19056</v>
      </c>
      <c r="W53" s="3" t="n">
        <v>1722</v>
      </c>
      <c r="X53" s="3" t="n">
        <v>17334</v>
      </c>
      <c r="Y53" s="14" t="n">
        <v>528</v>
      </c>
      <c r="Z53" s="14" t="n">
        <v>1194</v>
      </c>
      <c r="AA53" s="14" t="n">
        <v>2214</v>
      </c>
      <c r="AB53" s="14" t="n">
        <v>15120</v>
      </c>
      <c r="AC53" s="14" t="n">
        <v>22.0080678039981</v>
      </c>
      <c r="AD53" s="14" t="n">
        <v>1.21927285194397</v>
      </c>
      <c r="AE53" s="14"/>
      <c r="AF53" s="14"/>
      <c r="AG53" s="14" t="n">
        <v>1.29279878834822</v>
      </c>
      <c r="AH53" s="14" t="n">
        <v>1.14574694008616</v>
      </c>
      <c r="AI53" s="14" t="n">
        <v>2</v>
      </c>
      <c r="AJ53" s="14"/>
      <c r="AK53" s="14" t="n">
        <v>500</v>
      </c>
      <c r="AL53" s="14"/>
      <c r="AM53" s="14"/>
      <c r="AN53" s="14" t="n">
        <v>2.45502469467901</v>
      </c>
      <c r="AO53" s="14" t="n">
        <v>7.08365806433911</v>
      </c>
      <c r="AP53" s="1" t="s">
        <v>86</v>
      </c>
      <c r="AQ53" s="14" t="n">
        <v>0.609636432108595</v>
      </c>
      <c r="AR53" s="14"/>
      <c r="AS53" s="14"/>
      <c r="AT53" s="14" t="n">
        <v>0.646399394174111</v>
      </c>
      <c r="AU53" s="14" t="n">
        <v>0.572873470043079</v>
      </c>
      <c r="AV53" s="14" t="n">
        <v>37.874169591824</v>
      </c>
      <c r="AW53" s="14"/>
      <c r="AX53" s="14"/>
      <c r="AY53" s="14" t="n">
        <v>39.2930797885773</v>
      </c>
      <c r="AZ53" s="14" t="n">
        <v>36.4552593950707</v>
      </c>
      <c r="BA53" s="14" t="n">
        <v>4583.8416647385</v>
      </c>
      <c r="BB53" s="14" t="n">
        <v>303.496459932769</v>
      </c>
      <c r="BC53" s="14" t="n">
        <v>690.290878629004</v>
      </c>
      <c r="BF53" s="14"/>
      <c r="BG53" s="14"/>
      <c r="BH53" s="14" t="n">
        <v>114.115257263184</v>
      </c>
      <c r="BI53" s="14" t="n">
        <v>108.742919921875</v>
      </c>
      <c r="BJ53" s="14"/>
      <c r="BK53" s="14"/>
      <c r="BL53" s="14" t="n">
        <v>1.25678586188472</v>
      </c>
      <c r="BM53" s="14" t="n">
        <v>1.18175986654966</v>
      </c>
      <c r="BN53" s="14"/>
      <c r="BO53" s="14"/>
      <c r="BP53" s="14" t="n">
        <v>0.628392930942359</v>
      </c>
      <c r="BQ53" s="14" t="n">
        <v>0.590879933274831</v>
      </c>
      <c r="BR53" s="14"/>
      <c r="BS53" s="14"/>
      <c r="BT53" s="14" t="n">
        <v>38.5980989477663</v>
      </c>
      <c r="BU53" s="14" t="n">
        <v>37.1502402358818</v>
      </c>
      <c r="BV53" s="1" t="s">
        <v>87</v>
      </c>
    </row>
    <row r="54" customFormat="false" ht="15" hidden="false" customHeight="false" outlineLevel="0" collapsed="false">
      <c r="A54" s="12"/>
      <c r="B54" s="1" t="s">
        <v>124</v>
      </c>
      <c r="C54" s="1" t="s">
        <v>125</v>
      </c>
      <c r="D54" s="1" t="s">
        <v>77</v>
      </c>
      <c r="E54" s="1" t="s">
        <v>93</v>
      </c>
      <c r="F54" s="1" t="s">
        <v>94</v>
      </c>
      <c r="G54" s="1" t="s">
        <v>86</v>
      </c>
      <c r="H54" s="14" t="n">
        <v>182.774551391602</v>
      </c>
      <c r="I54" s="14"/>
      <c r="J54" s="1" t="s">
        <v>81</v>
      </c>
      <c r="K54" s="1" t="s">
        <v>82</v>
      </c>
      <c r="L54" s="1" t="s">
        <v>29</v>
      </c>
      <c r="M54" s="1" t="s">
        <v>83</v>
      </c>
      <c r="N54" s="1" t="s">
        <v>83</v>
      </c>
      <c r="O54" s="1" t="s">
        <v>84</v>
      </c>
      <c r="P54" s="1" t="s">
        <v>88</v>
      </c>
      <c r="Q54" s="14" t="n">
        <v>3655.49096679688</v>
      </c>
      <c r="R54" s="14"/>
      <c r="S54" s="14"/>
      <c r="T54" s="14" t="n">
        <v>189.64274597168</v>
      </c>
      <c r="U54" s="14" t="n">
        <v>175.946243286133</v>
      </c>
      <c r="V54" s="3" t="n">
        <v>19056</v>
      </c>
      <c r="W54" s="3" t="n">
        <v>2742</v>
      </c>
      <c r="X54" s="3" t="n">
        <v>16314</v>
      </c>
      <c r="Y54" s="14" t="n">
        <v>528</v>
      </c>
      <c r="Z54" s="14" t="n">
        <v>1194</v>
      </c>
      <c r="AA54" s="14" t="n">
        <v>2214</v>
      </c>
      <c r="AB54" s="14" t="n">
        <v>15120</v>
      </c>
      <c r="AC54" s="14" t="n">
        <v>22.0080678039981</v>
      </c>
      <c r="AD54" s="14"/>
      <c r="AE54" s="14"/>
      <c r="AF54" s="14"/>
      <c r="AG54" s="14"/>
      <c r="AH54" s="14"/>
      <c r="AI54" s="14"/>
      <c r="AJ54" s="14"/>
      <c r="AK54" s="14" t="n">
        <v>1500</v>
      </c>
      <c r="AL54" s="14"/>
      <c r="AM54" s="14"/>
      <c r="AN54" s="14" t="n">
        <v>5.03624627718842</v>
      </c>
      <c r="AO54" s="14" t="n">
        <v>7.67615118109834</v>
      </c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 t="n">
        <v>3982.76146214414</v>
      </c>
      <c r="BB54" s="14" t="n">
        <v>947.972986952499</v>
      </c>
      <c r="BC54" s="14" t="n">
        <v>1384.65382233114</v>
      </c>
      <c r="BF54" s="14"/>
      <c r="BG54" s="14"/>
      <c r="BH54" s="14" t="n">
        <v>186.273712158203</v>
      </c>
      <c r="BI54" s="14" t="n">
        <v>179.285766601563</v>
      </c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" t="s">
        <v>87</v>
      </c>
    </row>
    <row r="55" customFormat="false" ht="15" hidden="false" customHeight="false" outlineLevel="0" collapsed="false">
      <c r="A55" s="12" t="s">
        <v>89</v>
      </c>
      <c r="B55" s="1" t="s">
        <v>126</v>
      </c>
      <c r="C55" s="1" t="s">
        <v>125</v>
      </c>
      <c r="D55" s="1" t="s">
        <v>77</v>
      </c>
      <c r="E55" s="1" t="s">
        <v>93</v>
      </c>
      <c r="F55" s="1" t="s">
        <v>94</v>
      </c>
      <c r="G55" s="1" t="s">
        <v>80</v>
      </c>
      <c r="H55" s="14" t="n">
        <v>77.964958190918</v>
      </c>
      <c r="I55" s="14"/>
      <c r="J55" s="1" t="s">
        <v>81</v>
      </c>
      <c r="K55" s="1" t="s">
        <v>82</v>
      </c>
      <c r="L55" s="1" t="s">
        <v>29</v>
      </c>
      <c r="M55" s="1" t="s">
        <v>83</v>
      </c>
      <c r="N55" s="1" t="s">
        <v>83</v>
      </c>
      <c r="O55" s="1" t="s">
        <v>84</v>
      </c>
      <c r="P55" s="1" t="s">
        <v>85</v>
      </c>
      <c r="Q55" s="14" t="n">
        <v>1559.29919433594</v>
      </c>
      <c r="R55" s="14"/>
      <c r="S55" s="14"/>
      <c r="T55" s="14" t="n">
        <v>82.2700729370117</v>
      </c>
      <c r="U55" s="14" t="n">
        <v>73.6755447387695</v>
      </c>
      <c r="V55" s="3" t="n">
        <v>19728</v>
      </c>
      <c r="W55" s="3" t="n">
        <v>1265</v>
      </c>
      <c r="X55" s="3" t="n">
        <v>18463</v>
      </c>
      <c r="Y55" s="14" t="n">
        <v>353</v>
      </c>
      <c r="Z55" s="14" t="n">
        <v>912</v>
      </c>
      <c r="AA55" s="14" t="n">
        <v>1891</v>
      </c>
      <c r="AB55" s="14" t="n">
        <v>16572</v>
      </c>
      <c r="AC55" s="14" t="n">
        <v>14.9394874379358</v>
      </c>
      <c r="AD55" s="14" t="n">
        <v>1.09761822223663</v>
      </c>
      <c r="AE55" s="14"/>
      <c r="AF55" s="14"/>
      <c r="AG55" s="14" t="n">
        <v>1.173282521337</v>
      </c>
      <c r="AH55" s="14" t="n">
        <v>1.02195387581107</v>
      </c>
      <c r="AI55" s="14" t="n">
        <v>2</v>
      </c>
      <c r="AJ55" s="14"/>
      <c r="AK55" s="14" t="n">
        <v>500</v>
      </c>
      <c r="AL55" s="14"/>
      <c r="AM55" s="14"/>
      <c r="AN55" s="14" t="n">
        <v>2.50750026244745</v>
      </c>
      <c r="AO55" s="14" t="n">
        <v>7.4064221325609</v>
      </c>
      <c r="AP55" s="1" t="s">
        <v>86</v>
      </c>
      <c r="AQ55" s="14" t="n">
        <v>0.548809099287017</v>
      </c>
      <c r="AR55" s="14"/>
      <c r="AS55" s="14"/>
      <c r="AT55" s="14" t="n">
        <v>0.586641260668501</v>
      </c>
      <c r="AU55" s="14" t="n">
        <v>0.510976937905533</v>
      </c>
      <c r="AV55" s="14" t="n">
        <v>35.4342636248494</v>
      </c>
      <c r="AW55" s="14"/>
      <c r="AX55" s="14"/>
      <c r="AY55" s="14" t="n">
        <v>37.0113859179606</v>
      </c>
      <c r="AZ55" s="14" t="n">
        <v>33.8571413317382</v>
      </c>
      <c r="BA55" s="14" t="n">
        <v>4484.06715331549</v>
      </c>
      <c r="BB55" s="14" t="n">
        <v>306.369635426959</v>
      </c>
      <c r="BC55" s="14" t="n">
        <v>574.252206398623</v>
      </c>
      <c r="BF55" s="14"/>
      <c r="BG55" s="14"/>
      <c r="BH55" s="14" t="n">
        <v>80.1594696044922</v>
      </c>
      <c r="BI55" s="14" t="n">
        <v>75.7745361328125</v>
      </c>
      <c r="BJ55" s="14"/>
      <c r="BK55" s="14"/>
      <c r="BL55" s="14" t="n">
        <v>1.13622219281564</v>
      </c>
      <c r="BM55" s="14" t="n">
        <v>1.05901420433243</v>
      </c>
      <c r="BN55" s="14"/>
      <c r="BO55" s="14"/>
      <c r="BP55" s="14" t="n">
        <v>0.568111096407819</v>
      </c>
      <c r="BQ55" s="14" t="n">
        <v>0.529507102166215</v>
      </c>
      <c r="BR55" s="14"/>
      <c r="BS55" s="14"/>
      <c r="BT55" s="14" t="n">
        <v>36.238912602047</v>
      </c>
      <c r="BU55" s="14" t="n">
        <v>34.6296146476518</v>
      </c>
      <c r="BV55" s="1" t="s">
        <v>87</v>
      </c>
    </row>
    <row r="56" customFormat="false" ht="15" hidden="false" customHeight="false" outlineLevel="0" collapsed="false">
      <c r="A56" s="12"/>
      <c r="B56" s="1" t="s">
        <v>126</v>
      </c>
      <c r="C56" s="1" t="s">
        <v>125</v>
      </c>
      <c r="D56" s="1" t="s">
        <v>77</v>
      </c>
      <c r="E56" s="1" t="s">
        <v>93</v>
      </c>
      <c r="F56" s="1" t="s">
        <v>94</v>
      </c>
      <c r="G56" s="1" t="s">
        <v>86</v>
      </c>
      <c r="H56" s="14" t="n">
        <v>142.062072753906</v>
      </c>
      <c r="I56" s="14"/>
      <c r="J56" s="1" t="s">
        <v>81</v>
      </c>
      <c r="K56" s="1" t="s">
        <v>82</v>
      </c>
      <c r="L56" s="1" t="s">
        <v>29</v>
      </c>
      <c r="M56" s="1" t="s">
        <v>83</v>
      </c>
      <c r="N56" s="1" t="s">
        <v>83</v>
      </c>
      <c r="O56" s="1" t="s">
        <v>84</v>
      </c>
      <c r="P56" s="1" t="s">
        <v>88</v>
      </c>
      <c r="Q56" s="14" t="n">
        <v>2841.24145507813</v>
      </c>
      <c r="R56" s="14"/>
      <c r="S56" s="14"/>
      <c r="T56" s="14" t="n">
        <v>147.958312988281</v>
      </c>
      <c r="U56" s="14" t="n">
        <v>136.195251464844</v>
      </c>
      <c r="V56" s="3" t="n">
        <v>19728</v>
      </c>
      <c r="W56" s="3" t="n">
        <v>2244</v>
      </c>
      <c r="X56" s="3" t="n">
        <v>17484</v>
      </c>
      <c r="Y56" s="14" t="n">
        <v>353</v>
      </c>
      <c r="Z56" s="14" t="n">
        <v>912</v>
      </c>
      <c r="AA56" s="14" t="n">
        <v>1891</v>
      </c>
      <c r="AB56" s="14" t="n">
        <v>16572</v>
      </c>
      <c r="AC56" s="14" t="n">
        <v>14.9394874379358</v>
      </c>
      <c r="AD56" s="14"/>
      <c r="AE56" s="14"/>
      <c r="AF56" s="14"/>
      <c r="AG56" s="14"/>
      <c r="AH56" s="14"/>
      <c r="AI56" s="14"/>
      <c r="AJ56" s="14"/>
      <c r="AK56" s="14" t="n">
        <v>1500</v>
      </c>
      <c r="AL56" s="14"/>
      <c r="AM56" s="14"/>
      <c r="AN56" s="14" t="n">
        <v>4.96413224442894</v>
      </c>
      <c r="AO56" s="14" t="n">
        <v>9.0582043902921</v>
      </c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 t="n">
        <v>3863.89166803751</v>
      </c>
      <c r="BB56" s="14" t="n">
        <v>925.96453514614</v>
      </c>
      <c r="BC56" s="14" t="n">
        <v>1260.14481121103</v>
      </c>
      <c r="BF56" s="14"/>
      <c r="BG56" s="14"/>
      <c r="BH56" s="14" t="n">
        <v>145.066665649414</v>
      </c>
      <c r="BI56" s="14" t="n">
        <v>139.065139770508</v>
      </c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" t="s">
        <v>87</v>
      </c>
    </row>
    <row r="57" customFormat="false" ht="15" hidden="false" customHeight="false" outlineLevel="0" collapsed="false">
      <c r="A57" s="12" t="s">
        <v>74</v>
      </c>
      <c r="B57" s="1" t="s">
        <v>127</v>
      </c>
      <c r="C57" s="1" t="s">
        <v>120</v>
      </c>
      <c r="D57" s="1" t="s">
        <v>77</v>
      </c>
      <c r="E57" s="1" t="s">
        <v>93</v>
      </c>
      <c r="F57" s="1" t="s">
        <v>94</v>
      </c>
      <c r="G57" s="1" t="s">
        <v>80</v>
      </c>
      <c r="H57" s="14" t="n">
        <v>137.429061889648</v>
      </c>
      <c r="I57" s="14"/>
      <c r="J57" s="1" t="s">
        <v>81</v>
      </c>
      <c r="K57" s="1" t="s">
        <v>82</v>
      </c>
      <c r="L57" s="1" t="s">
        <v>29</v>
      </c>
      <c r="M57" s="1" t="s">
        <v>83</v>
      </c>
      <c r="N57" s="1" t="s">
        <v>83</v>
      </c>
      <c r="O57" s="1" t="s">
        <v>84</v>
      </c>
      <c r="P57" s="1" t="s">
        <v>85</v>
      </c>
      <c r="Q57" s="14" t="n">
        <v>2748.58129882813</v>
      </c>
      <c r="R57" s="14"/>
      <c r="S57" s="14"/>
      <c r="T57" s="14" t="n">
        <v>143.091979980469</v>
      </c>
      <c r="U57" s="14" t="n">
        <v>131.793273925781</v>
      </c>
      <c r="V57" s="3" t="n">
        <v>20644</v>
      </c>
      <c r="W57" s="3" t="n">
        <v>2276</v>
      </c>
      <c r="X57" s="3" t="n">
        <v>18368</v>
      </c>
      <c r="Y57" s="14" t="n">
        <v>403</v>
      </c>
      <c r="Z57" s="14" t="n">
        <v>1873</v>
      </c>
      <c r="AA57" s="14" t="n">
        <v>990</v>
      </c>
      <c r="AB57" s="14" t="n">
        <v>17378</v>
      </c>
      <c r="AC57" s="14" t="n">
        <v>17.0079186609095</v>
      </c>
      <c r="AD57" s="14" t="n">
        <v>3.34416961669922</v>
      </c>
      <c r="AE57" s="14"/>
      <c r="AF57" s="14"/>
      <c r="AG57" s="14" t="n">
        <v>3.56722230465166</v>
      </c>
      <c r="AH57" s="14" t="n">
        <v>3.12111688909855</v>
      </c>
      <c r="AI57" s="14" t="n">
        <v>2</v>
      </c>
      <c r="AJ57" s="14"/>
      <c r="AK57" s="14" t="n">
        <v>500</v>
      </c>
      <c r="AL57" s="14"/>
      <c r="AM57" s="14"/>
      <c r="AN57" s="14" t="n">
        <v>2.73808581884755</v>
      </c>
      <c r="AO57" s="14" t="n">
        <v>7.90321311572784</v>
      </c>
      <c r="AP57" s="1" t="s">
        <v>86</v>
      </c>
      <c r="AQ57" s="14" t="n">
        <v>1.67208479843755</v>
      </c>
      <c r="AR57" s="14"/>
      <c r="AS57" s="14"/>
      <c r="AT57" s="14" t="n">
        <v>1.78361115232583</v>
      </c>
      <c r="AU57" s="14" t="n">
        <v>1.56055844454928</v>
      </c>
      <c r="AV57" s="14" t="n">
        <v>62.5760379840965</v>
      </c>
      <c r="AW57" s="14"/>
      <c r="AX57" s="14"/>
      <c r="AY57" s="14" t="n">
        <v>64.1380236045108</v>
      </c>
      <c r="AZ57" s="14" t="n">
        <v>61.0140523636823</v>
      </c>
      <c r="BA57" s="14" t="n">
        <v>4358.9547355263</v>
      </c>
      <c r="BB57" s="14" t="n">
        <v>304.671496685374</v>
      </c>
      <c r="BC57" s="14" t="n">
        <v>751.656027377195</v>
      </c>
      <c r="BF57" s="14"/>
      <c r="BG57" s="14"/>
      <c r="BH57" s="14" t="n">
        <v>140.314895629883</v>
      </c>
      <c r="BI57" s="14" t="n">
        <v>134.550277709961</v>
      </c>
      <c r="BJ57" s="14"/>
      <c r="BK57" s="14"/>
      <c r="BL57" s="14" t="n">
        <v>3.45797148930332</v>
      </c>
      <c r="BM57" s="14" t="n">
        <v>3.23036770444689</v>
      </c>
      <c r="BN57" s="14"/>
      <c r="BO57" s="14"/>
      <c r="BP57" s="14" t="n">
        <v>1.72898574465166</v>
      </c>
      <c r="BQ57" s="14" t="n">
        <v>1.61518385222345</v>
      </c>
      <c r="BR57" s="14"/>
      <c r="BS57" s="14"/>
      <c r="BT57" s="14" t="n">
        <v>63.3729658551846</v>
      </c>
      <c r="BU57" s="14" t="n">
        <v>61.7791101130085</v>
      </c>
      <c r="BV57" s="1" t="s">
        <v>87</v>
      </c>
    </row>
    <row r="58" customFormat="false" ht="15" hidden="false" customHeight="false" outlineLevel="0" collapsed="false">
      <c r="A58" s="12"/>
      <c r="B58" s="1" t="s">
        <v>127</v>
      </c>
      <c r="C58" s="1" t="s">
        <v>120</v>
      </c>
      <c r="D58" s="1" t="s">
        <v>77</v>
      </c>
      <c r="E58" s="1" t="s">
        <v>93</v>
      </c>
      <c r="F58" s="1" t="s">
        <v>94</v>
      </c>
      <c r="G58" s="1" t="s">
        <v>86</v>
      </c>
      <c r="H58" s="14" t="n">
        <v>82.1902465820313</v>
      </c>
      <c r="I58" s="14"/>
      <c r="J58" s="1" t="s">
        <v>81</v>
      </c>
      <c r="K58" s="1" t="s">
        <v>82</v>
      </c>
      <c r="L58" s="1" t="s">
        <v>29</v>
      </c>
      <c r="M58" s="1" t="s">
        <v>83</v>
      </c>
      <c r="N58" s="1" t="s">
        <v>83</v>
      </c>
      <c r="O58" s="1" t="s">
        <v>84</v>
      </c>
      <c r="P58" s="1" t="s">
        <v>88</v>
      </c>
      <c r="Q58" s="14" t="n">
        <v>1643.80493164063</v>
      </c>
      <c r="R58" s="14"/>
      <c r="S58" s="14"/>
      <c r="T58" s="14" t="n">
        <v>86.515266418457</v>
      </c>
      <c r="U58" s="14" t="n">
        <v>77.8810882568359</v>
      </c>
      <c r="V58" s="3" t="n">
        <v>20644</v>
      </c>
      <c r="W58" s="3" t="n">
        <v>1393</v>
      </c>
      <c r="X58" s="3" t="n">
        <v>19251</v>
      </c>
      <c r="Y58" s="14" t="n">
        <v>403</v>
      </c>
      <c r="Z58" s="14" t="n">
        <v>1873</v>
      </c>
      <c r="AA58" s="14" t="n">
        <v>990</v>
      </c>
      <c r="AB58" s="14" t="n">
        <v>17378</v>
      </c>
      <c r="AC58" s="14" t="n">
        <v>17.0079186609095</v>
      </c>
      <c r="AD58" s="14"/>
      <c r="AE58" s="14"/>
      <c r="AF58" s="14"/>
      <c r="AG58" s="14"/>
      <c r="AH58" s="14"/>
      <c r="AI58" s="14"/>
      <c r="AJ58" s="14"/>
      <c r="AK58" s="14" t="n">
        <v>1500</v>
      </c>
      <c r="AL58" s="14"/>
      <c r="AM58" s="14"/>
      <c r="AN58" s="14" t="n">
        <v>4.22700232096413</v>
      </c>
      <c r="AO58" s="14" t="n">
        <v>7.68725556767741</v>
      </c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 t="n">
        <v>3936.99303769826</v>
      </c>
      <c r="BB58" s="14" t="n">
        <v>960.972444161472</v>
      </c>
      <c r="BC58" s="14" t="n">
        <v>1161.78607944517</v>
      </c>
      <c r="BF58" s="14"/>
      <c r="BG58" s="14"/>
      <c r="BH58" s="14" t="n">
        <v>84.3948974609375</v>
      </c>
      <c r="BI58" s="14" t="n">
        <v>79.9897232055664</v>
      </c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" t="s">
        <v>87</v>
      </c>
    </row>
    <row r="59" customFormat="false" ht="15" hidden="false" customHeight="false" outlineLevel="0" collapsed="false">
      <c r="A59" s="12" t="s">
        <v>89</v>
      </c>
      <c r="B59" s="1" t="s">
        <v>128</v>
      </c>
      <c r="C59" s="1" t="s">
        <v>76</v>
      </c>
      <c r="D59" s="1" t="s">
        <v>77</v>
      </c>
      <c r="E59" s="1" t="s">
        <v>78</v>
      </c>
      <c r="F59" s="1" t="s">
        <v>107</v>
      </c>
      <c r="G59" s="1" t="s">
        <v>80</v>
      </c>
      <c r="H59" s="14" t="n">
        <v>0.223557353019714</v>
      </c>
      <c r="I59" s="14"/>
      <c r="J59" s="1" t="s">
        <v>81</v>
      </c>
      <c r="K59" s="1" t="s">
        <v>82</v>
      </c>
      <c r="L59" s="1" t="s">
        <v>29</v>
      </c>
      <c r="M59" s="1" t="s">
        <v>83</v>
      </c>
      <c r="N59" s="1" t="s">
        <v>83</v>
      </c>
      <c r="O59" s="1" t="s">
        <v>84</v>
      </c>
      <c r="P59" s="1" t="s">
        <v>85</v>
      </c>
      <c r="Q59" s="14" t="n">
        <v>4.47114706039429</v>
      </c>
      <c r="R59" s="14"/>
      <c r="S59" s="14"/>
      <c r="T59" s="14" t="n">
        <v>0.527160346508026</v>
      </c>
      <c r="U59" s="14" t="n">
        <v>0.06745395809412</v>
      </c>
      <c r="V59" s="3" t="n">
        <v>21052</v>
      </c>
      <c r="W59" s="3" t="n">
        <v>4</v>
      </c>
      <c r="X59" s="3" t="n">
        <v>21048</v>
      </c>
      <c r="Y59" s="14" t="n">
        <v>0</v>
      </c>
      <c r="Z59" s="14" t="n">
        <v>4</v>
      </c>
      <c r="AA59" s="14" t="n">
        <v>0</v>
      </c>
      <c r="AB59" s="14" t="n">
        <v>21048</v>
      </c>
      <c r="AC59" s="14" t="n">
        <v>0</v>
      </c>
      <c r="AD59" s="14"/>
      <c r="AE59" s="14"/>
      <c r="AF59" s="14"/>
      <c r="AG59" s="14"/>
      <c r="AH59" s="14"/>
      <c r="AI59" s="14"/>
      <c r="AJ59" s="14"/>
      <c r="AK59" s="14" t="n">
        <v>500</v>
      </c>
      <c r="AL59" s="14"/>
      <c r="AM59" s="14"/>
      <c r="AN59" s="14" t="n">
        <v>1.96049663931491</v>
      </c>
      <c r="AO59" s="14" t="n">
        <v>10.4622633868827</v>
      </c>
      <c r="AP59" s="1" t="s">
        <v>86</v>
      </c>
      <c r="AQ59" s="14"/>
      <c r="AR59" s="14"/>
      <c r="AS59" s="14"/>
      <c r="AT59" s="14"/>
      <c r="AU59" s="14"/>
      <c r="AV59" s="14" t="n">
        <v>100</v>
      </c>
      <c r="AW59" s="14"/>
      <c r="AX59" s="14"/>
      <c r="AY59" s="14" t="n">
        <v>137.449105759771</v>
      </c>
      <c r="AZ59" s="14" t="n">
        <v>62.5508942402291</v>
      </c>
      <c r="BA59" s="14" t="n">
        <v>1032.0715637207</v>
      </c>
      <c r="BB59" s="14" t="n">
        <v>283.098149306509</v>
      </c>
      <c r="BC59" s="14" t="n">
        <v>283.240458524524</v>
      </c>
      <c r="BF59" s="14"/>
      <c r="BG59" s="14"/>
      <c r="BH59" s="14" t="n">
        <v>0.357097238302231</v>
      </c>
      <c r="BI59" s="14" t="n">
        <v>0.128372609615326</v>
      </c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 t="n">
        <v>117.111429424609</v>
      </c>
      <c r="BU59" s="14" t="n">
        <v>82.8885705753905</v>
      </c>
      <c r="BV59" s="1" t="s">
        <v>87</v>
      </c>
    </row>
    <row r="60" customFormat="false" ht="15" hidden="false" customHeight="false" outlineLevel="0" collapsed="false">
      <c r="A60" s="12"/>
      <c r="B60" s="1" t="s">
        <v>128</v>
      </c>
      <c r="C60" s="1" t="s">
        <v>76</v>
      </c>
      <c r="D60" s="1" t="s">
        <v>77</v>
      </c>
      <c r="E60" s="1" t="s">
        <v>78</v>
      </c>
      <c r="F60" s="1" t="s">
        <v>107</v>
      </c>
      <c r="G60" s="1" t="s">
        <v>86</v>
      </c>
      <c r="H60" s="14" t="n">
        <v>0</v>
      </c>
      <c r="I60" s="14"/>
      <c r="J60" s="1" t="s">
        <v>81</v>
      </c>
      <c r="K60" s="1" t="s">
        <v>82</v>
      </c>
      <c r="L60" s="1" t="s">
        <v>29</v>
      </c>
      <c r="M60" s="1" t="s">
        <v>83</v>
      </c>
      <c r="N60" s="1" t="s">
        <v>83</v>
      </c>
      <c r="O60" s="1" t="s">
        <v>84</v>
      </c>
      <c r="P60" s="1" t="s">
        <v>88</v>
      </c>
      <c r="Q60" s="14" t="n">
        <v>0</v>
      </c>
      <c r="R60" s="14"/>
      <c r="S60" s="14"/>
      <c r="T60" s="14" t="n">
        <v>0.167440459132195</v>
      </c>
      <c r="U60" s="14" t="n">
        <v>0</v>
      </c>
      <c r="V60" s="3" t="n">
        <v>21052</v>
      </c>
      <c r="W60" s="3" t="n">
        <v>0</v>
      </c>
      <c r="X60" s="3" t="n">
        <v>21052</v>
      </c>
      <c r="Y60" s="14" t="n">
        <v>0</v>
      </c>
      <c r="Z60" s="14" t="n">
        <v>4</v>
      </c>
      <c r="AA60" s="14" t="n">
        <v>0</v>
      </c>
      <c r="AB60" s="14" t="n">
        <v>21048</v>
      </c>
      <c r="AC60" s="14" t="n">
        <v>0</v>
      </c>
      <c r="AD60" s="14"/>
      <c r="AE60" s="14"/>
      <c r="AF60" s="14"/>
      <c r="AG60" s="14"/>
      <c r="AH60" s="14"/>
      <c r="AI60" s="14"/>
      <c r="AJ60" s="14"/>
      <c r="AK60" s="14" t="n">
        <v>1500</v>
      </c>
      <c r="AL60" s="14"/>
      <c r="AM60" s="14"/>
      <c r="AN60" s="14"/>
      <c r="AO60" s="14" t="n">
        <v>11.9112597445071</v>
      </c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 t="n">
        <v>951.915308736881</v>
      </c>
      <c r="BC60" s="14" t="n">
        <v>951.915308736881</v>
      </c>
      <c r="BF60" s="14"/>
      <c r="BG60" s="14"/>
      <c r="BH60" s="14" t="n">
        <v>0.0765077173709869</v>
      </c>
      <c r="BI60" s="14" t="n">
        <v>0</v>
      </c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" t="s">
        <v>87</v>
      </c>
    </row>
    <row r="61" customFormat="false" ht="15" hidden="false" customHeight="false" outlineLevel="0" collapsed="false">
      <c r="A61" s="12" t="s">
        <v>74</v>
      </c>
      <c r="B61" s="1" t="s">
        <v>129</v>
      </c>
      <c r="C61" s="1" t="s">
        <v>76</v>
      </c>
      <c r="D61" s="1" t="s">
        <v>77</v>
      </c>
      <c r="E61" s="1" t="s">
        <v>78</v>
      </c>
      <c r="F61" s="1" t="s">
        <v>107</v>
      </c>
      <c r="G61" s="1" t="s">
        <v>80</v>
      </c>
      <c r="H61" s="14" t="n">
        <v>0.256130307912827</v>
      </c>
      <c r="I61" s="14"/>
      <c r="J61" s="1" t="s">
        <v>81</v>
      </c>
      <c r="K61" s="1" t="s">
        <v>82</v>
      </c>
      <c r="L61" s="1" t="s">
        <v>29</v>
      </c>
      <c r="M61" s="1" t="s">
        <v>83</v>
      </c>
      <c r="N61" s="1" t="s">
        <v>83</v>
      </c>
      <c r="O61" s="1" t="s">
        <v>84</v>
      </c>
      <c r="P61" s="1" t="s">
        <v>85</v>
      </c>
      <c r="Q61" s="14" t="n">
        <v>5.12260627746582</v>
      </c>
      <c r="R61" s="14"/>
      <c r="S61" s="14"/>
      <c r="T61" s="14" t="n">
        <v>0.603980481624603</v>
      </c>
      <c r="U61" s="14" t="n">
        <v>0.0772814452648163</v>
      </c>
      <c r="V61" s="3" t="n">
        <v>18375</v>
      </c>
      <c r="W61" s="3" t="n">
        <v>4</v>
      </c>
      <c r="X61" s="3" t="n">
        <v>18371</v>
      </c>
      <c r="Y61" s="14" t="n">
        <v>0</v>
      </c>
      <c r="Z61" s="14" t="n">
        <v>4</v>
      </c>
      <c r="AA61" s="14" t="n">
        <v>0</v>
      </c>
      <c r="AB61" s="14" t="n">
        <v>18371</v>
      </c>
      <c r="AC61" s="14" t="n">
        <v>0</v>
      </c>
      <c r="AD61" s="14"/>
      <c r="AE61" s="14"/>
      <c r="AF61" s="14"/>
      <c r="AG61" s="14"/>
      <c r="AH61" s="14"/>
      <c r="AI61" s="14"/>
      <c r="AJ61" s="14"/>
      <c r="AK61" s="14" t="n">
        <v>500</v>
      </c>
      <c r="AL61" s="14"/>
      <c r="AM61" s="14"/>
      <c r="AN61" s="14" t="n">
        <v>1.98882135914965</v>
      </c>
      <c r="AO61" s="14" t="n">
        <v>10.523689359943</v>
      </c>
      <c r="AP61" s="1" t="s">
        <v>86</v>
      </c>
      <c r="AQ61" s="14"/>
      <c r="AR61" s="14"/>
      <c r="AS61" s="14"/>
      <c r="AT61" s="14"/>
      <c r="AU61" s="14"/>
      <c r="AV61" s="14" t="n">
        <v>100</v>
      </c>
      <c r="AW61" s="14"/>
      <c r="AX61" s="14"/>
      <c r="AY61" s="14" t="n">
        <v>137.448979306883</v>
      </c>
      <c r="AZ61" s="14" t="n">
        <v>62.551020693117</v>
      </c>
      <c r="BA61" s="14" t="n">
        <v>2022.88159179688</v>
      </c>
      <c r="BB61" s="14" t="n">
        <v>284.854484595067</v>
      </c>
      <c r="BC61" s="14" t="n">
        <v>285.232830632009</v>
      </c>
      <c r="BF61" s="14"/>
      <c r="BG61" s="14"/>
      <c r="BH61" s="14" t="n">
        <v>0.409130752086639</v>
      </c>
      <c r="BI61" s="14" t="n">
        <v>0.147076010704041</v>
      </c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 t="n">
        <v>117.111274940493</v>
      </c>
      <c r="BU61" s="14" t="n">
        <v>82.8887250595074</v>
      </c>
      <c r="BV61" s="1" t="s">
        <v>87</v>
      </c>
    </row>
    <row r="62" customFormat="false" ht="15" hidden="false" customHeight="false" outlineLevel="0" collapsed="false">
      <c r="A62" s="12"/>
      <c r="B62" s="1" t="s">
        <v>129</v>
      </c>
      <c r="C62" s="1" t="s">
        <v>76</v>
      </c>
      <c r="D62" s="1" t="s">
        <v>77</v>
      </c>
      <c r="E62" s="1" t="s">
        <v>78</v>
      </c>
      <c r="F62" s="1" t="s">
        <v>107</v>
      </c>
      <c r="G62" s="1" t="s">
        <v>86</v>
      </c>
      <c r="H62" s="14" t="n">
        <v>0</v>
      </c>
      <c r="I62" s="14"/>
      <c r="J62" s="1" t="s">
        <v>81</v>
      </c>
      <c r="K62" s="1" t="s">
        <v>82</v>
      </c>
      <c r="L62" s="1" t="s">
        <v>29</v>
      </c>
      <c r="M62" s="1" t="s">
        <v>83</v>
      </c>
      <c r="N62" s="1" t="s">
        <v>83</v>
      </c>
      <c r="O62" s="1" t="s">
        <v>84</v>
      </c>
      <c r="P62" s="1" t="s">
        <v>88</v>
      </c>
      <c r="Q62" s="14" t="n">
        <v>0</v>
      </c>
      <c r="R62" s="14"/>
      <c r="S62" s="14"/>
      <c r="T62" s="14" t="n">
        <v>0.19183637201786</v>
      </c>
      <c r="U62" s="14" t="n">
        <v>0</v>
      </c>
      <c r="V62" s="3" t="n">
        <v>18375</v>
      </c>
      <c r="W62" s="3" t="n">
        <v>0</v>
      </c>
      <c r="X62" s="3" t="n">
        <v>18375</v>
      </c>
      <c r="Y62" s="14" t="n">
        <v>0</v>
      </c>
      <c r="Z62" s="14" t="n">
        <v>4</v>
      </c>
      <c r="AA62" s="14" t="n">
        <v>0</v>
      </c>
      <c r="AB62" s="14" t="n">
        <v>18371</v>
      </c>
      <c r="AC62" s="14" t="n">
        <v>0</v>
      </c>
      <c r="AD62" s="14"/>
      <c r="AE62" s="14"/>
      <c r="AF62" s="14"/>
      <c r="AG62" s="14"/>
      <c r="AH62" s="14"/>
      <c r="AI62" s="14"/>
      <c r="AJ62" s="14"/>
      <c r="AK62" s="14" t="n">
        <v>1500</v>
      </c>
      <c r="AL62" s="14"/>
      <c r="AM62" s="14"/>
      <c r="AN62" s="14"/>
      <c r="AO62" s="14" t="n">
        <v>12.8449498716801</v>
      </c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 t="n">
        <v>929.079585655161</v>
      </c>
      <c r="BC62" s="14" t="n">
        <v>929.079585655161</v>
      </c>
      <c r="BF62" s="14"/>
      <c r="BG62" s="14"/>
      <c r="BH62" s="14" t="n">
        <v>0.087654322385788</v>
      </c>
      <c r="BI62" s="14" t="n">
        <v>0</v>
      </c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" t="s">
        <v>87</v>
      </c>
    </row>
    <row r="63" customFormat="false" ht="15" hidden="false" customHeight="false" outlineLevel="0" collapsed="false">
      <c r="A63" s="12" t="s">
        <v>89</v>
      </c>
      <c r="B63" s="1" t="s">
        <v>130</v>
      </c>
      <c r="C63" s="1" t="s">
        <v>131</v>
      </c>
      <c r="D63" s="1" t="s">
        <v>77</v>
      </c>
      <c r="E63" s="1" t="s">
        <v>93</v>
      </c>
      <c r="F63" s="1" t="s">
        <v>94</v>
      </c>
      <c r="G63" s="1" t="s">
        <v>80</v>
      </c>
      <c r="H63" s="14" t="n">
        <v>11.7517852783203</v>
      </c>
      <c r="I63" s="14"/>
      <c r="J63" s="1" t="s">
        <v>81</v>
      </c>
      <c r="K63" s="1" t="s">
        <v>82</v>
      </c>
      <c r="L63" s="1" t="s">
        <v>29</v>
      </c>
      <c r="M63" s="1" t="s">
        <v>83</v>
      </c>
      <c r="N63" s="1" t="s">
        <v>83</v>
      </c>
      <c r="O63" s="1" t="s">
        <v>84</v>
      </c>
      <c r="P63" s="1" t="s">
        <v>85</v>
      </c>
      <c r="Q63" s="14" t="n">
        <v>235.035705566406</v>
      </c>
      <c r="R63" s="14"/>
      <c r="S63" s="14"/>
      <c r="T63" s="14" t="n">
        <v>13.535530090332</v>
      </c>
      <c r="U63" s="14" t="n">
        <v>9.97074031829834</v>
      </c>
      <c r="V63" s="3" t="n">
        <v>16802</v>
      </c>
      <c r="W63" s="3" t="n">
        <v>167</v>
      </c>
      <c r="X63" s="3" t="n">
        <v>16635</v>
      </c>
      <c r="Y63" s="14" t="n">
        <v>63</v>
      </c>
      <c r="Z63" s="14" t="n">
        <v>104</v>
      </c>
      <c r="AA63" s="14" t="n">
        <v>1672</v>
      </c>
      <c r="AB63" s="14" t="n">
        <v>14963</v>
      </c>
      <c r="AC63" s="14" t="n">
        <v>3.60303849613208</v>
      </c>
      <c r="AD63" s="14" t="n">
        <v>0.183299839496613</v>
      </c>
      <c r="AE63" s="14"/>
      <c r="AF63" s="14"/>
      <c r="AG63" s="14" t="n">
        <v>0.212409475431372</v>
      </c>
      <c r="AH63" s="14" t="n">
        <v>0.154190213858654</v>
      </c>
      <c r="AI63" s="14" t="n">
        <v>2</v>
      </c>
      <c r="AJ63" s="14"/>
      <c r="AK63" s="14" t="n">
        <v>500</v>
      </c>
      <c r="AL63" s="14"/>
      <c r="AM63" s="14"/>
      <c r="AN63" s="14" t="n">
        <v>2.25101022313558</v>
      </c>
      <c r="AO63" s="14" t="n">
        <v>7.57697141204483</v>
      </c>
      <c r="AP63" s="1" t="s">
        <v>86</v>
      </c>
      <c r="AQ63" s="14" t="n">
        <v>0.0916499223225065</v>
      </c>
      <c r="AR63" s="14"/>
      <c r="AS63" s="14"/>
      <c r="AT63" s="14" t="n">
        <v>0.106204737715686</v>
      </c>
      <c r="AU63" s="14" t="n">
        <v>0.077095106929327</v>
      </c>
      <c r="AV63" s="14" t="n">
        <v>8.39554150542323</v>
      </c>
      <c r="AW63" s="14"/>
      <c r="AX63" s="14"/>
      <c r="AY63" s="14" t="n">
        <v>9.61689090995042</v>
      </c>
      <c r="AZ63" s="14" t="n">
        <v>7.17419210089605</v>
      </c>
      <c r="BA63" s="14" t="n">
        <v>4246.68025180109</v>
      </c>
      <c r="BB63" s="14" t="n">
        <v>304.689536294802</v>
      </c>
      <c r="BC63" s="14" t="n">
        <v>343.870136788169</v>
      </c>
      <c r="BF63" s="14"/>
      <c r="BG63" s="14"/>
      <c r="BH63" s="14" t="n">
        <v>12.6615209579468</v>
      </c>
      <c r="BI63" s="14" t="n">
        <v>10.842752456665</v>
      </c>
      <c r="BJ63" s="14"/>
      <c r="BK63" s="14"/>
      <c r="BL63" s="14" t="n">
        <v>0.19815167777893</v>
      </c>
      <c r="BM63" s="14" t="n">
        <v>0.168448011511096</v>
      </c>
      <c r="BN63" s="14"/>
      <c r="BO63" s="14"/>
      <c r="BP63" s="14" t="n">
        <v>0.0990758388894649</v>
      </c>
      <c r="BQ63" s="14" t="n">
        <v>0.0842240057555481</v>
      </c>
      <c r="BR63" s="14"/>
      <c r="BS63" s="14"/>
      <c r="BT63" s="14" t="n">
        <v>9.01867814660477</v>
      </c>
      <c r="BU63" s="14" t="n">
        <v>7.7724048642417</v>
      </c>
      <c r="BV63" s="1" t="s">
        <v>87</v>
      </c>
    </row>
    <row r="64" customFormat="false" ht="15" hidden="false" customHeight="false" outlineLevel="0" collapsed="false">
      <c r="A64" s="12"/>
      <c r="B64" s="1" t="s">
        <v>130</v>
      </c>
      <c r="C64" s="1" t="s">
        <v>131</v>
      </c>
      <c r="D64" s="1" t="s">
        <v>77</v>
      </c>
      <c r="E64" s="1" t="s">
        <v>93</v>
      </c>
      <c r="F64" s="1" t="s">
        <v>94</v>
      </c>
      <c r="G64" s="1" t="s">
        <v>86</v>
      </c>
      <c r="H64" s="14" t="n">
        <v>128.224716186523</v>
      </c>
      <c r="I64" s="14"/>
      <c r="J64" s="1" t="s">
        <v>81</v>
      </c>
      <c r="K64" s="1" t="s">
        <v>82</v>
      </c>
      <c r="L64" s="1" t="s">
        <v>29</v>
      </c>
      <c r="M64" s="1" t="s">
        <v>83</v>
      </c>
      <c r="N64" s="1" t="s">
        <v>83</v>
      </c>
      <c r="O64" s="1" t="s">
        <v>84</v>
      </c>
      <c r="P64" s="1" t="s">
        <v>88</v>
      </c>
      <c r="Q64" s="14" t="n">
        <v>2564.49438476563</v>
      </c>
      <c r="R64" s="14"/>
      <c r="S64" s="14"/>
      <c r="T64" s="14" t="n">
        <v>134.27685546875</v>
      </c>
      <c r="U64" s="14" t="n">
        <v>122.203536987305</v>
      </c>
      <c r="V64" s="3" t="n">
        <v>16802</v>
      </c>
      <c r="W64" s="3" t="n">
        <v>1735</v>
      </c>
      <c r="X64" s="3" t="n">
        <v>15067</v>
      </c>
      <c r="Y64" s="14" t="n">
        <v>63</v>
      </c>
      <c r="Z64" s="14" t="n">
        <v>104</v>
      </c>
      <c r="AA64" s="14" t="n">
        <v>1672</v>
      </c>
      <c r="AB64" s="14" t="n">
        <v>14963</v>
      </c>
      <c r="AC64" s="14" t="n">
        <v>3.60303849613208</v>
      </c>
      <c r="AD64" s="14"/>
      <c r="AE64" s="14"/>
      <c r="AF64" s="14"/>
      <c r="AG64" s="14"/>
      <c r="AH64" s="14"/>
      <c r="AI64" s="14"/>
      <c r="AJ64" s="14"/>
      <c r="AK64" s="14" t="n">
        <v>1500</v>
      </c>
      <c r="AL64" s="14"/>
      <c r="AM64" s="14"/>
      <c r="AN64" s="14" t="n">
        <v>4.91568289831071</v>
      </c>
      <c r="AO64" s="14" t="n">
        <v>11.3635057627122</v>
      </c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 t="n">
        <v>3910.1287137518</v>
      </c>
      <c r="BB64" s="14" t="n">
        <v>935.920020490507</v>
      </c>
      <c r="BC64" s="14" t="n">
        <v>1243.04132050291</v>
      </c>
      <c r="BF64" s="14"/>
      <c r="BG64" s="14"/>
      <c r="BH64" s="14" t="n">
        <v>131.308654785156</v>
      </c>
      <c r="BI64" s="14" t="n">
        <v>125.148826599121</v>
      </c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" t="s">
        <v>87</v>
      </c>
    </row>
    <row r="65" customFormat="false" ht="15" hidden="false" customHeight="false" outlineLevel="0" collapsed="false">
      <c r="A65" s="12" t="s">
        <v>74</v>
      </c>
      <c r="B65" s="1" t="s">
        <v>132</v>
      </c>
      <c r="C65" s="1" t="s">
        <v>131</v>
      </c>
      <c r="D65" s="1" t="s">
        <v>77</v>
      </c>
      <c r="E65" s="1" t="s">
        <v>93</v>
      </c>
      <c r="F65" s="1" t="s">
        <v>94</v>
      </c>
      <c r="G65" s="1" t="s">
        <v>80</v>
      </c>
      <c r="H65" s="14" t="n">
        <v>2.96347665786743</v>
      </c>
      <c r="I65" s="14"/>
      <c r="J65" s="1" t="s">
        <v>81</v>
      </c>
      <c r="K65" s="1" t="s">
        <v>82</v>
      </c>
      <c r="L65" s="1" t="s">
        <v>29</v>
      </c>
      <c r="M65" s="1" t="s">
        <v>83</v>
      </c>
      <c r="N65" s="1" t="s">
        <v>83</v>
      </c>
      <c r="O65" s="1" t="s">
        <v>84</v>
      </c>
      <c r="P65" s="1" t="s">
        <v>85</v>
      </c>
      <c r="Q65" s="14" t="n">
        <v>59.26953125</v>
      </c>
      <c r="R65" s="14"/>
      <c r="S65" s="14"/>
      <c r="T65" s="14" t="n">
        <v>3.85595703125</v>
      </c>
      <c r="U65" s="14" t="n">
        <v>2.22097706794739</v>
      </c>
      <c r="V65" s="3" t="n">
        <v>20272</v>
      </c>
      <c r="W65" s="3" t="n">
        <v>51</v>
      </c>
      <c r="X65" s="3" t="n">
        <v>20221</v>
      </c>
      <c r="Y65" s="14" t="n">
        <v>10</v>
      </c>
      <c r="Z65" s="14" t="n">
        <v>41</v>
      </c>
      <c r="AA65" s="14" t="n">
        <v>563</v>
      </c>
      <c r="AB65" s="14" t="n">
        <v>19658</v>
      </c>
      <c r="AC65" s="14" t="n">
        <v>0.512308618475518</v>
      </c>
      <c r="AD65" s="14" t="n">
        <v>0.175703778862953</v>
      </c>
      <c r="AE65" s="14"/>
      <c r="AF65" s="14"/>
      <c r="AG65" s="14" t="n">
        <v>0.226262773473493</v>
      </c>
      <c r="AH65" s="14" t="n">
        <v>0.125144771027911</v>
      </c>
      <c r="AI65" s="14" t="n">
        <v>2</v>
      </c>
      <c r="AJ65" s="14"/>
      <c r="AK65" s="14" t="n">
        <v>500</v>
      </c>
      <c r="AL65" s="14"/>
      <c r="AM65" s="14"/>
      <c r="AN65" s="14" t="n">
        <v>2.12482572736062</v>
      </c>
      <c r="AO65" s="14" t="n">
        <v>8.54661068941634</v>
      </c>
      <c r="AP65" s="1" t="s">
        <v>86</v>
      </c>
      <c r="AQ65" s="14" t="n">
        <v>0.0878518861253509</v>
      </c>
      <c r="AR65" s="14"/>
      <c r="AS65" s="14"/>
      <c r="AT65" s="14" t="n">
        <v>0.113131386736746</v>
      </c>
      <c r="AU65" s="14" t="n">
        <v>0.0625723855139554</v>
      </c>
      <c r="AV65" s="14" t="n">
        <v>8.0757212673737</v>
      </c>
      <c r="AW65" s="14"/>
      <c r="AX65" s="14"/>
      <c r="AY65" s="14" t="n">
        <v>10.2118575282578</v>
      </c>
      <c r="AZ65" s="14" t="n">
        <v>5.9395850064896</v>
      </c>
      <c r="BA65" s="14" t="n">
        <v>3907.9245114794</v>
      </c>
      <c r="BB65" s="14" t="n">
        <v>308.982163166801</v>
      </c>
      <c r="BC65" s="14" t="n">
        <v>318.036329492962</v>
      </c>
      <c r="BF65" s="14"/>
      <c r="BG65" s="14"/>
      <c r="BH65" s="14" t="n">
        <v>3.39694428443909</v>
      </c>
      <c r="BI65" s="14" t="n">
        <v>2.56867122650147</v>
      </c>
      <c r="BJ65" s="14"/>
      <c r="BK65" s="14"/>
      <c r="BL65" s="14" t="n">
        <v>0.201331541369454</v>
      </c>
      <c r="BM65" s="14" t="n">
        <v>0.15007600313195</v>
      </c>
      <c r="BN65" s="14"/>
      <c r="BO65" s="14"/>
      <c r="BP65" s="14" t="n">
        <v>0.100665770684727</v>
      </c>
      <c r="BQ65" s="14" t="n">
        <v>0.075038001565975</v>
      </c>
      <c r="BR65" s="14"/>
      <c r="BS65" s="14"/>
      <c r="BT65" s="14" t="n">
        <v>9.15850386940528</v>
      </c>
      <c r="BU65" s="14" t="n">
        <v>6.99293866534212</v>
      </c>
      <c r="BV65" s="1" t="s">
        <v>87</v>
      </c>
    </row>
    <row r="66" customFormat="false" ht="15" hidden="false" customHeight="false" outlineLevel="0" collapsed="false">
      <c r="A66" s="12"/>
      <c r="B66" s="1" t="s">
        <v>132</v>
      </c>
      <c r="C66" s="1" t="s">
        <v>131</v>
      </c>
      <c r="D66" s="1" t="s">
        <v>77</v>
      </c>
      <c r="E66" s="1" t="s">
        <v>93</v>
      </c>
      <c r="F66" s="1" t="s">
        <v>94</v>
      </c>
      <c r="G66" s="1" t="s">
        <v>86</v>
      </c>
      <c r="H66" s="14" t="n">
        <v>33.7326469421387</v>
      </c>
      <c r="I66" s="14"/>
      <c r="J66" s="1" t="s">
        <v>81</v>
      </c>
      <c r="K66" s="1" t="s">
        <v>82</v>
      </c>
      <c r="L66" s="1" t="s">
        <v>29</v>
      </c>
      <c r="M66" s="1" t="s">
        <v>83</v>
      </c>
      <c r="N66" s="1" t="s">
        <v>83</v>
      </c>
      <c r="O66" s="1" t="s">
        <v>84</v>
      </c>
      <c r="P66" s="1" t="s">
        <v>88</v>
      </c>
      <c r="Q66" s="14" t="n">
        <v>674.652954101563</v>
      </c>
      <c r="R66" s="14"/>
      <c r="S66" s="14"/>
      <c r="T66" s="14" t="n">
        <v>36.4980239868164</v>
      </c>
      <c r="U66" s="14" t="n">
        <v>30.9737548828125</v>
      </c>
      <c r="V66" s="3" t="n">
        <v>20272</v>
      </c>
      <c r="W66" s="3" t="n">
        <v>573</v>
      </c>
      <c r="X66" s="3" t="n">
        <v>19699</v>
      </c>
      <c r="Y66" s="14" t="n">
        <v>10</v>
      </c>
      <c r="Z66" s="14" t="n">
        <v>41</v>
      </c>
      <c r="AA66" s="14" t="n">
        <v>563</v>
      </c>
      <c r="AB66" s="14" t="n">
        <v>19658</v>
      </c>
      <c r="AC66" s="14" t="n">
        <v>0.512308618475518</v>
      </c>
      <c r="AD66" s="14"/>
      <c r="AE66" s="14"/>
      <c r="AF66" s="14"/>
      <c r="AG66" s="14"/>
      <c r="AH66" s="14"/>
      <c r="AI66" s="14"/>
      <c r="AJ66" s="14"/>
      <c r="AK66" s="14" t="n">
        <v>1500</v>
      </c>
      <c r="AL66" s="14"/>
      <c r="AM66" s="14"/>
      <c r="AN66" s="14" t="n">
        <v>4.09082666422248</v>
      </c>
      <c r="AO66" s="14" t="n">
        <v>12.6132329854643</v>
      </c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 t="n">
        <v>3673.54160808144</v>
      </c>
      <c r="BB66" s="14" t="n">
        <v>922.829394487253</v>
      </c>
      <c r="BC66" s="14" t="n">
        <v>1000.57989263196</v>
      </c>
      <c r="BF66" s="14"/>
      <c r="BG66" s="14"/>
      <c r="BH66" s="14" t="n">
        <v>35.1427421569824</v>
      </c>
      <c r="BI66" s="14" t="n">
        <v>32.3242416381836</v>
      </c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" t="s">
        <v>87</v>
      </c>
    </row>
    <row r="67" customFormat="false" ht="15" hidden="false" customHeight="false" outlineLevel="0" collapsed="false">
      <c r="A67" s="12" t="s">
        <v>89</v>
      </c>
      <c r="B67" s="1" t="s">
        <v>133</v>
      </c>
      <c r="C67" s="1" t="s">
        <v>120</v>
      </c>
      <c r="D67" s="1" t="s">
        <v>77</v>
      </c>
      <c r="E67" s="1" t="s">
        <v>93</v>
      </c>
      <c r="F67" s="1" t="s">
        <v>94</v>
      </c>
      <c r="G67" s="1" t="s">
        <v>80</v>
      </c>
      <c r="H67" s="14" t="n">
        <v>113.155830383301</v>
      </c>
      <c r="I67" s="14"/>
      <c r="J67" s="1" t="s">
        <v>81</v>
      </c>
      <c r="K67" s="1" t="s">
        <v>82</v>
      </c>
      <c r="L67" s="1" t="s">
        <v>29</v>
      </c>
      <c r="M67" s="1" t="s">
        <v>83</v>
      </c>
      <c r="N67" s="1" t="s">
        <v>83</v>
      </c>
      <c r="O67" s="1" t="s">
        <v>84</v>
      </c>
      <c r="P67" s="1" t="s">
        <v>85</v>
      </c>
      <c r="Q67" s="14" t="n">
        <v>2263.11669921875</v>
      </c>
      <c r="R67" s="14"/>
      <c r="S67" s="14"/>
      <c r="T67" s="14" t="n">
        <v>118.890853881836</v>
      </c>
      <c r="U67" s="14" t="n">
        <v>107.448631286621</v>
      </c>
      <c r="V67" s="3" t="n">
        <v>16401</v>
      </c>
      <c r="W67" s="3" t="n">
        <v>1504</v>
      </c>
      <c r="X67" s="3" t="n">
        <v>14897</v>
      </c>
      <c r="Y67" s="14" t="n">
        <v>283</v>
      </c>
      <c r="Z67" s="14" t="n">
        <v>1221</v>
      </c>
      <c r="AA67" s="14" t="n">
        <v>673</v>
      </c>
      <c r="AB67" s="14" t="n">
        <v>14224</v>
      </c>
      <c r="AC67" s="14" t="n">
        <v>16.2680124793189</v>
      </c>
      <c r="AD67" s="14" t="n">
        <v>3.20303988456726</v>
      </c>
      <c r="AE67" s="14"/>
      <c r="AF67" s="14"/>
      <c r="AG67" s="14" t="n">
        <v>3.46278115563624</v>
      </c>
      <c r="AH67" s="14" t="n">
        <v>2.9432986670338</v>
      </c>
      <c r="AI67" s="14" t="n">
        <v>2</v>
      </c>
      <c r="AJ67" s="14"/>
      <c r="AK67" s="14" t="n">
        <v>500</v>
      </c>
      <c r="AL67" s="14"/>
      <c r="AM67" s="14"/>
      <c r="AN67" s="14" t="n">
        <v>2.79334706474275</v>
      </c>
      <c r="AO67" s="14" t="n">
        <v>7.92948502909789</v>
      </c>
      <c r="AP67" s="1" t="s">
        <v>86</v>
      </c>
      <c r="AQ67" s="14" t="n">
        <v>1.60151995566751</v>
      </c>
      <c r="AR67" s="14"/>
      <c r="AS67" s="14"/>
      <c r="AT67" s="14" t="n">
        <v>1.73139057781812</v>
      </c>
      <c r="AU67" s="14" t="n">
        <v>1.4716493335169</v>
      </c>
      <c r="AV67" s="14" t="n">
        <v>61.5609329530046</v>
      </c>
      <c r="AW67" s="14"/>
      <c r="AX67" s="14"/>
      <c r="AY67" s="14" t="n">
        <v>63.4798517533031</v>
      </c>
      <c r="AZ67" s="14" t="n">
        <v>59.642014152706</v>
      </c>
      <c r="BA67" s="14" t="n">
        <v>4438.20429858756</v>
      </c>
      <c r="BB67" s="14" t="n">
        <v>310.54863209509</v>
      </c>
      <c r="BC67" s="14" t="n">
        <v>689.061779001051</v>
      </c>
      <c r="BF67" s="14"/>
      <c r="BG67" s="14"/>
      <c r="BH67" s="14" t="n">
        <v>116.078369140625</v>
      </c>
      <c r="BI67" s="14" t="n">
        <v>110.240539550781</v>
      </c>
      <c r="BJ67" s="14"/>
      <c r="BK67" s="14"/>
      <c r="BL67" s="14" t="n">
        <v>3.33556025077375</v>
      </c>
      <c r="BM67" s="14" t="n">
        <v>3.07051957189629</v>
      </c>
      <c r="BN67" s="14"/>
      <c r="BO67" s="14"/>
      <c r="BP67" s="14" t="n">
        <v>1.66778012538688</v>
      </c>
      <c r="BQ67" s="14" t="n">
        <v>1.53525978594814</v>
      </c>
      <c r="BR67" s="14"/>
      <c r="BS67" s="14"/>
      <c r="BT67" s="14" t="n">
        <v>62.539967959382</v>
      </c>
      <c r="BU67" s="14" t="n">
        <v>60.5818979466271</v>
      </c>
      <c r="BV67" s="1" t="s">
        <v>87</v>
      </c>
    </row>
    <row r="68" customFormat="false" ht="15" hidden="false" customHeight="false" outlineLevel="0" collapsed="false">
      <c r="A68" s="12"/>
      <c r="B68" s="1" t="s">
        <v>133</v>
      </c>
      <c r="C68" s="1" t="s">
        <v>120</v>
      </c>
      <c r="D68" s="1" t="s">
        <v>77</v>
      </c>
      <c r="E68" s="1" t="s">
        <v>93</v>
      </c>
      <c r="F68" s="1" t="s">
        <v>94</v>
      </c>
      <c r="G68" s="1" t="s">
        <v>86</v>
      </c>
      <c r="H68" s="14" t="n">
        <v>70.6552734375</v>
      </c>
      <c r="I68" s="14"/>
      <c r="J68" s="1" t="s">
        <v>81</v>
      </c>
      <c r="K68" s="1" t="s">
        <v>82</v>
      </c>
      <c r="L68" s="1" t="s">
        <v>29</v>
      </c>
      <c r="M68" s="1" t="s">
        <v>83</v>
      </c>
      <c r="N68" s="1" t="s">
        <v>83</v>
      </c>
      <c r="O68" s="1" t="s">
        <v>84</v>
      </c>
      <c r="P68" s="1" t="s">
        <v>88</v>
      </c>
      <c r="Q68" s="14" t="n">
        <v>1413.10546875</v>
      </c>
      <c r="R68" s="14"/>
      <c r="S68" s="14"/>
      <c r="T68" s="14" t="n">
        <v>75.1434020996094</v>
      </c>
      <c r="U68" s="14" t="n">
        <v>66.1842041015625</v>
      </c>
      <c r="V68" s="3" t="n">
        <v>16401</v>
      </c>
      <c r="W68" s="3" t="n">
        <v>956</v>
      </c>
      <c r="X68" s="3" t="n">
        <v>15445</v>
      </c>
      <c r="Y68" s="14" t="n">
        <v>283</v>
      </c>
      <c r="Z68" s="14" t="n">
        <v>1221</v>
      </c>
      <c r="AA68" s="14" t="n">
        <v>673</v>
      </c>
      <c r="AB68" s="14" t="n">
        <v>14224</v>
      </c>
      <c r="AC68" s="14" t="n">
        <v>16.2680124793189</v>
      </c>
      <c r="AD68" s="14"/>
      <c r="AE68" s="14"/>
      <c r="AF68" s="14"/>
      <c r="AG68" s="14"/>
      <c r="AH68" s="14"/>
      <c r="AI68" s="14"/>
      <c r="AJ68" s="14"/>
      <c r="AK68" s="14" t="n">
        <v>1500</v>
      </c>
      <c r="AL68" s="14"/>
      <c r="AM68" s="14"/>
      <c r="AN68" s="14" t="n">
        <v>4.76757729211455</v>
      </c>
      <c r="AO68" s="14" t="n">
        <v>8.1003802143426</v>
      </c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 t="n">
        <v>4031.87996887462</v>
      </c>
      <c r="BB68" s="14" t="n">
        <v>967.853306445723</v>
      </c>
      <c r="BC68" s="14" t="n">
        <v>1146.45275094801</v>
      </c>
      <c r="BF68" s="14"/>
      <c r="BG68" s="14"/>
      <c r="BH68" s="14" t="n">
        <v>72.9429931640625</v>
      </c>
      <c r="BI68" s="14" t="n">
        <v>68.3719940185547</v>
      </c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" t="s">
        <v>87</v>
      </c>
    </row>
    <row r="69" customFormat="false" ht="15" hidden="false" customHeight="false" outlineLevel="0" collapsed="false">
      <c r="A69" s="12" t="s">
        <v>74</v>
      </c>
      <c r="B69" s="1" t="s">
        <v>134</v>
      </c>
      <c r="C69" s="1" t="s">
        <v>99</v>
      </c>
      <c r="D69" s="1" t="s">
        <v>77</v>
      </c>
      <c r="E69" s="1" t="s">
        <v>78</v>
      </c>
      <c r="F69" s="1" t="s">
        <v>107</v>
      </c>
      <c r="G69" s="1" t="s">
        <v>80</v>
      </c>
      <c r="H69" s="14" t="n">
        <v>0</v>
      </c>
      <c r="I69" s="14"/>
      <c r="J69" s="1" t="s">
        <v>81</v>
      </c>
      <c r="K69" s="1" t="s">
        <v>82</v>
      </c>
      <c r="L69" s="1" t="s">
        <v>29</v>
      </c>
      <c r="M69" s="1" t="s">
        <v>83</v>
      </c>
      <c r="N69" s="1" t="s">
        <v>83</v>
      </c>
      <c r="O69" s="1" t="s">
        <v>84</v>
      </c>
      <c r="P69" s="1" t="s">
        <v>85</v>
      </c>
      <c r="Q69" s="14" t="n">
        <v>0</v>
      </c>
      <c r="R69" s="14"/>
      <c r="S69" s="14"/>
      <c r="T69" s="14" t="n">
        <v>0.185486420989037</v>
      </c>
      <c r="U69" s="14" t="n">
        <v>0</v>
      </c>
      <c r="V69" s="3" t="n">
        <v>19004</v>
      </c>
      <c r="W69" s="3" t="n">
        <v>0</v>
      </c>
      <c r="X69" s="3" t="n">
        <v>19004</v>
      </c>
      <c r="Y69" s="14" t="n">
        <v>0</v>
      </c>
      <c r="Z69" s="14" t="n">
        <v>0</v>
      </c>
      <c r="AA69" s="14" t="n">
        <v>0</v>
      </c>
      <c r="AB69" s="14" t="n">
        <v>19004</v>
      </c>
      <c r="AC69" s="14" t="n">
        <v>0</v>
      </c>
      <c r="AD69" s="14"/>
      <c r="AE69" s="14"/>
      <c r="AF69" s="14"/>
      <c r="AG69" s="14"/>
      <c r="AH69" s="14"/>
      <c r="AI69" s="14"/>
      <c r="AJ69" s="14"/>
      <c r="AK69" s="14" t="n">
        <v>500</v>
      </c>
      <c r="AL69" s="14"/>
      <c r="AM69" s="14"/>
      <c r="AN69" s="14"/>
      <c r="AO69" s="14" t="n">
        <v>10.5130954804552</v>
      </c>
      <c r="AP69" s="1" t="s">
        <v>86</v>
      </c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 t="n">
        <v>282.643104498624</v>
      </c>
      <c r="BC69" s="14" t="n">
        <v>282.643104498624</v>
      </c>
      <c r="BF69" s="14"/>
      <c r="BG69" s="14"/>
      <c r="BH69" s="14" t="n">
        <v>0.0847530066967011</v>
      </c>
      <c r="BI69" s="14" t="n">
        <v>0</v>
      </c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" t="s">
        <v>87</v>
      </c>
    </row>
    <row r="70" customFormat="false" ht="15" hidden="false" customHeight="false" outlineLevel="0" collapsed="false">
      <c r="A70" s="12"/>
      <c r="B70" s="1" t="s">
        <v>134</v>
      </c>
      <c r="C70" s="1" t="s">
        <v>99</v>
      </c>
      <c r="D70" s="1" t="s">
        <v>77</v>
      </c>
      <c r="E70" s="1" t="s">
        <v>78</v>
      </c>
      <c r="F70" s="1" t="s">
        <v>107</v>
      </c>
      <c r="G70" s="1" t="s">
        <v>86</v>
      </c>
      <c r="H70" s="14" t="n">
        <v>0</v>
      </c>
      <c r="I70" s="14"/>
      <c r="J70" s="1" t="s">
        <v>81</v>
      </c>
      <c r="K70" s="1" t="s">
        <v>82</v>
      </c>
      <c r="L70" s="1" t="s">
        <v>29</v>
      </c>
      <c r="M70" s="1" t="s">
        <v>83</v>
      </c>
      <c r="N70" s="1" t="s">
        <v>83</v>
      </c>
      <c r="O70" s="1" t="s">
        <v>84</v>
      </c>
      <c r="P70" s="1" t="s">
        <v>88</v>
      </c>
      <c r="Q70" s="14" t="n">
        <v>0</v>
      </c>
      <c r="R70" s="14"/>
      <c r="S70" s="14"/>
      <c r="T70" s="14" t="n">
        <v>0.185486420989037</v>
      </c>
      <c r="U70" s="14" t="n">
        <v>0</v>
      </c>
      <c r="V70" s="3" t="n">
        <v>19004</v>
      </c>
      <c r="W70" s="3" t="n">
        <v>0</v>
      </c>
      <c r="X70" s="3" t="n">
        <v>19004</v>
      </c>
      <c r="Y70" s="14" t="n">
        <v>0</v>
      </c>
      <c r="Z70" s="14" t="n">
        <v>0</v>
      </c>
      <c r="AA70" s="14" t="n">
        <v>0</v>
      </c>
      <c r="AB70" s="14" t="n">
        <v>19004</v>
      </c>
      <c r="AC70" s="14" t="n">
        <v>0</v>
      </c>
      <c r="AD70" s="14"/>
      <c r="AE70" s="14"/>
      <c r="AF70" s="14"/>
      <c r="AG70" s="14"/>
      <c r="AH70" s="14"/>
      <c r="AI70" s="14"/>
      <c r="AJ70" s="14"/>
      <c r="AK70" s="14" t="n">
        <v>1500</v>
      </c>
      <c r="AL70" s="14"/>
      <c r="AM70" s="14"/>
      <c r="AN70" s="14"/>
      <c r="AO70" s="14" t="n">
        <v>12.2460589734335</v>
      </c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 t="n">
        <v>946.809747084495</v>
      </c>
      <c r="BC70" s="14" t="n">
        <v>946.809747084495</v>
      </c>
      <c r="BF70" s="14"/>
      <c r="BG70" s="14"/>
      <c r="BH70" s="14" t="n">
        <v>0.0847530066967011</v>
      </c>
      <c r="BI70" s="14" t="n">
        <v>0</v>
      </c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" t="s">
        <v>87</v>
      </c>
    </row>
    <row r="71" customFormat="false" ht="15" hidden="false" customHeight="false" outlineLevel="0" collapsed="false">
      <c r="A71" s="12" t="s">
        <v>89</v>
      </c>
      <c r="B71" s="1" t="s">
        <v>135</v>
      </c>
      <c r="C71" s="1" t="s">
        <v>99</v>
      </c>
      <c r="D71" s="1" t="s">
        <v>77</v>
      </c>
      <c r="E71" s="1" t="s">
        <v>78</v>
      </c>
      <c r="F71" s="1" t="s">
        <v>107</v>
      </c>
      <c r="G71" s="1" t="s">
        <v>80</v>
      </c>
      <c r="H71" s="14" t="n">
        <v>0.116062797605991</v>
      </c>
      <c r="I71" s="14"/>
      <c r="J71" s="1" t="s">
        <v>81</v>
      </c>
      <c r="K71" s="1" t="s">
        <v>82</v>
      </c>
      <c r="L71" s="1" t="s">
        <v>29</v>
      </c>
      <c r="M71" s="1" t="s">
        <v>83</v>
      </c>
      <c r="N71" s="1" t="s">
        <v>83</v>
      </c>
      <c r="O71" s="1" t="s">
        <v>84</v>
      </c>
      <c r="P71" s="1" t="s">
        <v>85</v>
      </c>
      <c r="Q71" s="14" t="n">
        <v>2.32125592231751</v>
      </c>
      <c r="R71" s="14"/>
      <c r="S71" s="14"/>
      <c r="T71" s="14" t="n">
        <v>0.371789544820786</v>
      </c>
      <c r="U71" s="14" t="n">
        <v>0.0175827778875828</v>
      </c>
      <c r="V71" s="3" t="n">
        <v>20274</v>
      </c>
      <c r="W71" s="3" t="n">
        <v>2</v>
      </c>
      <c r="X71" s="3" t="n">
        <v>20272</v>
      </c>
      <c r="Y71" s="14" t="n">
        <v>0</v>
      </c>
      <c r="Z71" s="14" t="n">
        <v>2</v>
      </c>
      <c r="AA71" s="14" t="n">
        <v>0</v>
      </c>
      <c r="AB71" s="14" t="n">
        <v>20272</v>
      </c>
      <c r="AC71" s="14" t="n">
        <v>0</v>
      </c>
      <c r="AD71" s="14"/>
      <c r="AE71" s="14"/>
      <c r="AF71" s="14"/>
      <c r="AG71" s="14"/>
      <c r="AH71" s="14"/>
      <c r="AI71" s="14"/>
      <c r="AJ71" s="14"/>
      <c r="AK71" s="14" t="n">
        <v>500</v>
      </c>
      <c r="AL71" s="14"/>
      <c r="AM71" s="14"/>
      <c r="AN71" s="14" t="n">
        <v>4.56169695758867</v>
      </c>
      <c r="AO71" s="14" t="n">
        <v>10.4072882256816</v>
      </c>
      <c r="AP71" s="1" t="s">
        <v>86</v>
      </c>
      <c r="AQ71" s="14"/>
      <c r="AR71" s="14"/>
      <c r="AS71" s="14"/>
      <c r="AT71" s="14"/>
      <c r="AU71" s="14"/>
      <c r="AV71" s="14" t="n">
        <v>100</v>
      </c>
      <c r="AW71" s="14"/>
      <c r="AX71" s="14"/>
      <c r="AY71" s="14" t="n">
        <v>174.901841961755</v>
      </c>
      <c r="AZ71" s="14" t="n">
        <v>25.0981580382451</v>
      </c>
      <c r="BA71" s="14" t="n">
        <v>2796.65905761719</v>
      </c>
      <c r="BB71" s="14" t="n">
        <v>284.347834360534</v>
      </c>
      <c r="BC71" s="14" t="n">
        <v>284.59567013278</v>
      </c>
      <c r="BF71" s="14"/>
      <c r="BG71" s="14"/>
      <c r="BH71" s="14" t="n">
        <v>0.223140895366669</v>
      </c>
      <c r="BI71" s="14" t="n">
        <v>0.0503698475658894</v>
      </c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 t="n">
        <v>134.224469168557</v>
      </c>
      <c r="BU71" s="14" t="n">
        <v>65.7755308314425</v>
      </c>
      <c r="BV71" s="1" t="s">
        <v>87</v>
      </c>
    </row>
    <row r="72" customFormat="false" ht="15" hidden="false" customHeight="false" outlineLevel="0" collapsed="false">
      <c r="A72" s="12"/>
      <c r="B72" s="1" t="s">
        <v>135</v>
      </c>
      <c r="C72" s="1" t="s">
        <v>99</v>
      </c>
      <c r="D72" s="1" t="s">
        <v>77</v>
      </c>
      <c r="E72" s="1" t="s">
        <v>78</v>
      </c>
      <c r="F72" s="1" t="s">
        <v>107</v>
      </c>
      <c r="G72" s="1" t="s">
        <v>86</v>
      </c>
      <c r="H72" s="14" t="n">
        <v>0</v>
      </c>
      <c r="I72" s="14"/>
      <c r="J72" s="1" t="s">
        <v>81</v>
      </c>
      <c r="K72" s="1" t="s">
        <v>82</v>
      </c>
      <c r="L72" s="1" t="s">
        <v>29</v>
      </c>
      <c r="M72" s="1" t="s">
        <v>83</v>
      </c>
      <c r="N72" s="1" t="s">
        <v>83</v>
      </c>
      <c r="O72" s="1" t="s">
        <v>84</v>
      </c>
      <c r="P72" s="1" t="s">
        <v>88</v>
      </c>
      <c r="Q72" s="14" t="n">
        <v>0</v>
      </c>
      <c r="R72" s="14"/>
      <c r="S72" s="14"/>
      <c r="T72" s="14" t="n">
        <v>0.173866346478462</v>
      </c>
      <c r="U72" s="14" t="n">
        <v>0</v>
      </c>
      <c r="V72" s="3" t="n">
        <v>20274</v>
      </c>
      <c r="W72" s="3" t="n">
        <v>0</v>
      </c>
      <c r="X72" s="3" t="n">
        <v>20274</v>
      </c>
      <c r="Y72" s="14" t="n">
        <v>0</v>
      </c>
      <c r="Z72" s="14" t="n">
        <v>2</v>
      </c>
      <c r="AA72" s="14" t="n">
        <v>0</v>
      </c>
      <c r="AB72" s="14" t="n">
        <v>20272</v>
      </c>
      <c r="AC72" s="14" t="n">
        <v>0</v>
      </c>
      <c r="AD72" s="14"/>
      <c r="AE72" s="14"/>
      <c r="AF72" s="14"/>
      <c r="AG72" s="14"/>
      <c r="AH72" s="14"/>
      <c r="AI72" s="14"/>
      <c r="AJ72" s="14"/>
      <c r="AK72" s="14" t="n">
        <v>1500</v>
      </c>
      <c r="AL72" s="14"/>
      <c r="AM72" s="14"/>
      <c r="AN72" s="14"/>
      <c r="AO72" s="14" t="n">
        <v>12.8766835274004</v>
      </c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 t="n">
        <v>927.074170572748</v>
      </c>
      <c r="BC72" s="14" t="n">
        <v>927.074170572748</v>
      </c>
      <c r="BF72" s="14"/>
      <c r="BG72" s="14"/>
      <c r="BH72" s="14" t="n">
        <v>0.0794437527656555</v>
      </c>
      <c r="BI72" s="14" t="n">
        <v>0</v>
      </c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" t="s">
        <v>87</v>
      </c>
    </row>
    <row r="73" customFormat="false" ht="15" hidden="false" customHeight="false" outlineLevel="0" collapsed="false">
      <c r="A73" s="12" t="s">
        <v>74</v>
      </c>
      <c r="B73" s="1" t="s">
        <v>136</v>
      </c>
      <c r="C73" s="1" t="s">
        <v>137</v>
      </c>
      <c r="D73" s="1" t="s">
        <v>77</v>
      </c>
      <c r="E73" s="1" t="s">
        <v>93</v>
      </c>
      <c r="F73" s="1" t="s">
        <v>94</v>
      </c>
      <c r="G73" s="1" t="s">
        <v>80</v>
      </c>
      <c r="H73" s="14" t="n">
        <v>0.718654870986939</v>
      </c>
      <c r="I73" s="14"/>
      <c r="J73" s="1" t="s">
        <v>81</v>
      </c>
      <c r="K73" s="1" t="s">
        <v>82</v>
      </c>
      <c r="L73" s="1" t="s">
        <v>29</v>
      </c>
      <c r="M73" s="1" t="s">
        <v>83</v>
      </c>
      <c r="N73" s="1" t="s">
        <v>83</v>
      </c>
      <c r="O73" s="1" t="s">
        <v>84</v>
      </c>
      <c r="P73" s="1" t="s">
        <v>85</v>
      </c>
      <c r="Q73" s="14" t="n">
        <v>14.3730974197388</v>
      </c>
      <c r="R73" s="14"/>
      <c r="S73" s="14"/>
      <c r="T73" s="14" t="n">
        <v>1.23576974868774</v>
      </c>
      <c r="U73" s="14" t="n">
        <v>0.371032416820526</v>
      </c>
      <c r="V73" s="3" t="n">
        <v>18013</v>
      </c>
      <c r="W73" s="3" t="n">
        <v>11</v>
      </c>
      <c r="X73" s="3" t="n">
        <v>18002</v>
      </c>
      <c r="Y73" s="14" t="n">
        <v>2</v>
      </c>
      <c r="Z73" s="14" t="n">
        <v>9</v>
      </c>
      <c r="AA73" s="14" t="n">
        <v>27</v>
      </c>
      <c r="AB73" s="14" t="n">
        <v>17975</v>
      </c>
      <c r="AC73" s="14" t="n">
        <v>0.129748818673774</v>
      </c>
      <c r="AD73" s="14" t="n">
        <v>0.758241474628449</v>
      </c>
      <c r="AE73" s="14"/>
      <c r="AF73" s="14"/>
      <c r="AG73" s="14" t="n">
        <v>1.29249140965497</v>
      </c>
      <c r="AH73" s="14" t="n">
        <v>0.223991515267416</v>
      </c>
      <c r="AI73" s="14" t="n">
        <v>2</v>
      </c>
      <c r="AJ73" s="14"/>
      <c r="AK73" s="14" t="n">
        <v>500</v>
      </c>
      <c r="AL73" s="14"/>
      <c r="AM73" s="14"/>
      <c r="AN73" s="14" t="n">
        <v>2.25128983784866</v>
      </c>
      <c r="AO73" s="14" t="n">
        <v>9.03529400478755</v>
      </c>
      <c r="AP73" s="1" t="s">
        <v>86</v>
      </c>
      <c r="AQ73" s="14" t="n">
        <v>0.379120731230596</v>
      </c>
      <c r="AR73" s="14"/>
      <c r="AS73" s="14"/>
      <c r="AT73" s="14" t="n">
        <v>0.646245704827484</v>
      </c>
      <c r="AU73" s="14" t="n">
        <v>0.111995757633708</v>
      </c>
      <c r="AV73" s="14" t="n">
        <v>27.4900320650176</v>
      </c>
      <c r="AW73" s="14"/>
      <c r="AX73" s="14"/>
      <c r="AY73" s="14" t="n">
        <v>41.5346496474537</v>
      </c>
      <c r="AZ73" s="14" t="n">
        <v>13.4454144825815</v>
      </c>
      <c r="BA73" s="14" t="n">
        <v>4229.68645685369</v>
      </c>
      <c r="BB73" s="14" t="n">
        <v>308.676385209688</v>
      </c>
      <c r="BC73" s="14" t="n">
        <v>311.070828710942</v>
      </c>
      <c r="BF73" s="14"/>
      <c r="BG73" s="14"/>
      <c r="BH73" s="14" t="n">
        <v>0.958325803279877</v>
      </c>
      <c r="BI73" s="14" t="n">
        <v>0.522745192050934</v>
      </c>
      <c r="BJ73" s="14"/>
      <c r="BK73" s="14"/>
      <c r="BL73" s="14" t="n">
        <v>1.0276850185383</v>
      </c>
      <c r="BM73" s="14" t="n">
        <v>0.488797906384082</v>
      </c>
      <c r="BN73" s="14"/>
      <c r="BO73" s="14"/>
      <c r="BP73" s="14" t="n">
        <v>0.513842509269151</v>
      </c>
      <c r="BQ73" s="14" t="n">
        <v>0.244398953192041</v>
      </c>
      <c r="BR73" s="14"/>
      <c r="BS73" s="14"/>
      <c r="BT73" s="14" t="n">
        <v>34.5732928590184</v>
      </c>
      <c r="BU73" s="14" t="n">
        <v>20.4067712710168</v>
      </c>
      <c r="BV73" s="1" t="s">
        <v>87</v>
      </c>
    </row>
    <row r="74" customFormat="false" ht="15" hidden="false" customHeight="false" outlineLevel="0" collapsed="false">
      <c r="A74" s="12"/>
      <c r="B74" s="1" t="s">
        <v>136</v>
      </c>
      <c r="C74" s="1" t="s">
        <v>137</v>
      </c>
      <c r="D74" s="1" t="s">
        <v>77</v>
      </c>
      <c r="E74" s="1" t="s">
        <v>93</v>
      </c>
      <c r="F74" s="1" t="s">
        <v>94</v>
      </c>
      <c r="G74" s="1" t="s">
        <v>86</v>
      </c>
      <c r="H74" s="14" t="n">
        <v>1.895583152771</v>
      </c>
      <c r="I74" s="14"/>
      <c r="J74" s="1" t="s">
        <v>81</v>
      </c>
      <c r="K74" s="1" t="s">
        <v>82</v>
      </c>
      <c r="L74" s="1" t="s">
        <v>29</v>
      </c>
      <c r="M74" s="1" t="s">
        <v>83</v>
      </c>
      <c r="N74" s="1" t="s">
        <v>83</v>
      </c>
      <c r="O74" s="1" t="s">
        <v>84</v>
      </c>
      <c r="P74" s="1" t="s">
        <v>88</v>
      </c>
      <c r="Q74" s="14" t="n">
        <v>37.9116630554199</v>
      </c>
      <c r="R74" s="14"/>
      <c r="S74" s="14"/>
      <c r="T74" s="14" t="n">
        <v>2.67509627342224</v>
      </c>
      <c r="U74" s="14" t="n">
        <v>1.28480648994446</v>
      </c>
      <c r="V74" s="3" t="n">
        <v>18013</v>
      </c>
      <c r="W74" s="3" t="n">
        <v>29</v>
      </c>
      <c r="X74" s="3" t="n">
        <v>17984</v>
      </c>
      <c r="Y74" s="14" t="n">
        <v>2</v>
      </c>
      <c r="Z74" s="14" t="n">
        <v>9</v>
      </c>
      <c r="AA74" s="14" t="n">
        <v>27</v>
      </c>
      <c r="AB74" s="14" t="n">
        <v>17975</v>
      </c>
      <c r="AC74" s="14" t="n">
        <v>0.129748818673774</v>
      </c>
      <c r="AD74" s="14"/>
      <c r="AE74" s="14"/>
      <c r="AF74" s="14"/>
      <c r="AG74" s="14"/>
      <c r="AH74" s="14"/>
      <c r="AI74" s="14"/>
      <c r="AJ74" s="14"/>
      <c r="AK74" s="14" t="n">
        <v>1500</v>
      </c>
      <c r="AL74" s="14"/>
      <c r="AM74" s="14"/>
      <c r="AN74" s="14" t="n">
        <v>8.56206951518247</v>
      </c>
      <c r="AO74" s="14" t="n">
        <v>11.1174356285079</v>
      </c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 t="n">
        <v>4049.22137661638</v>
      </c>
      <c r="BB74" s="14" t="n">
        <v>994.290395770633</v>
      </c>
      <c r="BC74" s="14" t="n">
        <v>999.208676925606</v>
      </c>
      <c r="BF74" s="14"/>
      <c r="BG74" s="14"/>
      <c r="BH74" s="14" t="n">
        <v>2.26911163330078</v>
      </c>
      <c r="BI74" s="14" t="n">
        <v>1.56559765338898</v>
      </c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" t="s">
        <v>87</v>
      </c>
    </row>
    <row r="75" customFormat="false" ht="15" hidden="false" customHeight="false" outlineLevel="0" collapsed="false">
      <c r="A75" s="12" t="s">
        <v>89</v>
      </c>
      <c r="B75" s="1" t="s">
        <v>138</v>
      </c>
      <c r="C75" s="1" t="s">
        <v>137</v>
      </c>
      <c r="D75" s="1" t="s">
        <v>77</v>
      </c>
      <c r="E75" s="1" t="s">
        <v>93</v>
      </c>
      <c r="F75" s="1" t="s">
        <v>94</v>
      </c>
      <c r="G75" s="1" t="s">
        <v>80</v>
      </c>
      <c r="H75" s="14" t="n">
        <v>2.94937920570374</v>
      </c>
      <c r="I75" s="14"/>
      <c r="J75" s="1" t="s">
        <v>81</v>
      </c>
      <c r="K75" s="1" t="s">
        <v>82</v>
      </c>
      <c r="L75" s="1" t="s">
        <v>29</v>
      </c>
      <c r="M75" s="1" t="s">
        <v>83</v>
      </c>
      <c r="N75" s="1" t="s">
        <v>83</v>
      </c>
      <c r="O75" s="1" t="s">
        <v>84</v>
      </c>
      <c r="P75" s="1" t="s">
        <v>85</v>
      </c>
      <c r="Q75" s="14" t="n">
        <v>58.9875831604004</v>
      </c>
      <c r="R75" s="14"/>
      <c r="S75" s="14"/>
      <c r="T75" s="14" t="n">
        <v>3.85722851753235</v>
      </c>
      <c r="U75" s="14" t="n">
        <v>2.19688582420349</v>
      </c>
      <c r="V75" s="3" t="n">
        <v>19570</v>
      </c>
      <c r="W75" s="3" t="n">
        <v>49</v>
      </c>
      <c r="X75" s="3" t="n">
        <v>19521</v>
      </c>
      <c r="Y75" s="14" t="n">
        <v>4</v>
      </c>
      <c r="Z75" s="14" t="n">
        <v>45</v>
      </c>
      <c r="AA75" s="14" t="n">
        <v>78</v>
      </c>
      <c r="AB75" s="14" t="n">
        <v>19443</v>
      </c>
      <c r="AC75" s="14" t="n">
        <v>0.229633889595345</v>
      </c>
      <c r="AD75" s="14" t="n">
        <v>1.19411194324493</v>
      </c>
      <c r="AE75" s="14"/>
      <c r="AF75" s="14"/>
      <c r="AG75" s="14" t="n">
        <v>1.6188143867255</v>
      </c>
      <c r="AH75" s="14" t="n">
        <v>0.769409588600326</v>
      </c>
      <c r="AI75" s="14" t="n">
        <v>2</v>
      </c>
      <c r="AJ75" s="14"/>
      <c r="AK75" s="14" t="n">
        <v>500</v>
      </c>
      <c r="AL75" s="14"/>
      <c r="AM75" s="14"/>
      <c r="AN75" s="14" t="n">
        <v>3.3973919674722</v>
      </c>
      <c r="AO75" s="14" t="n">
        <v>8.80853485074163</v>
      </c>
      <c r="AP75" s="1" t="s">
        <v>86</v>
      </c>
      <c r="AQ75" s="14" t="n">
        <v>0.597055993831457</v>
      </c>
      <c r="AR75" s="14"/>
      <c r="AS75" s="14"/>
      <c r="AT75" s="14" t="n">
        <v>0.809407193362752</v>
      </c>
      <c r="AU75" s="14" t="n">
        <v>0.384704794300163</v>
      </c>
      <c r="AV75" s="14" t="n">
        <v>37.3847877680904</v>
      </c>
      <c r="AW75" s="14"/>
      <c r="AX75" s="14"/>
      <c r="AY75" s="14" t="n">
        <v>45.7103665065374</v>
      </c>
      <c r="AZ75" s="14" t="n">
        <v>29.0592090296434</v>
      </c>
      <c r="BA75" s="14" t="n">
        <v>4636.22232740753</v>
      </c>
      <c r="BB75" s="14" t="n">
        <v>310.395574628815</v>
      </c>
      <c r="BC75" s="14" t="n">
        <v>321.226719794178</v>
      </c>
      <c r="BF75" s="14"/>
      <c r="BG75" s="14"/>
      <c r="BH75" s="14" t="n">
        <v>3.38989210128784</v>
      </c>
      <c r="BI75" s="14" t="n">
        <v>2.54891324043274</v>
      </c>
      <c r="BJ75" s="14"/>
      <c r="BK75" s="14"/>
      <c r="BL75" s="14" t="n">
        <v>1.40928575231009</v>
      </c>
      <c r="BM75" s="14" t="n">
        <v>0.978938223015741</v>
      </c>
      <c r="BN75" s="14"/>
      <c r="BO75" s="14"/>
      <c r="BP75" s="14" t="n">
        <v>0.704642876155044</v>
      </c>
      <c r="BQ75" s="14" t="n">
        <v>0.48946911150787</v>
      </c>
      <c r="BR75" s="14"/>
      <c r="BS75" s="14"/>
      <c r="BT75" s="14" t="n">
        <v>41.6029087958318</v>
      </c>
      <c r="BU75" s="14" t="n">
        <v>33.166666740349</v>
      </c>
      <c r="BV75" s="1" t="s">
        <v>87</v>
      </c>
    </row>
    <row r="76" customFormat="false" ht="15" hidden="false" customHeight="false" outlineLevel="0" collapsed="false">
      <c r="A76" s="12"/>
      <c r="B76" s="1" t="s">
        <v>138</v>
      </c>
      <c r="C76" s="1" t="s">
        <v>137</v>
      </c>
      <c r="D76" s="1" t="s">
        <v>77</v>
      </c>
      <c r="E76" s="1" t="s">
        <v>93</v>
      </c>
      <c r="F76" s="1" t="s">
        <v>94</v>
      </c>
      <c r="G76" s="1" t="s">
        <v>86</v>
      </c>
      <c r="H76" s="14" t="n">
        <v>4.93987035751343</v>
      </c>
      <c r="I76" s="14"/>
      <c r="J76" s="1" t="s">
        <v>81</v>
      </c>
      <c r="K76" s="1" t="s">
        <v>82</v>
      </c>
      <c r="L76" s="1" t="s">
        <v>29</v>
      </c>
      <c r="M76" s="1" t="s">
        <v>83</v>
      </c>
      <c r="N76" s="1" t="s">
        <v>83</v>
      </c>
      <c r="O76" s="1" t="s">
        <v>84</v>
      </c>
      <c r="P76" s="1" t="s">
        <v>88</v>
      </c>
      <c r="Q76" s="14" t="n">
        <v>98.7974090576172</v>
      </c>
      <c r="R76" s="14"/>
      <c r="S76" s="14"/>
      <c r="T76" s="14" t="n">
        <v>6.0917911529541</v>
      </c>
      <c r="U76" s="14" t="n">
        <v>3.94378137588501</v>
      </c>
      <c r="V76" s="3" t="n">
        <v>19570</v>
      </c>
      <c r="W76" s="3" t="n">
        <v>82</v>
      </c>
      <c r="X76" s="3" t="n">
        <v>19488</v>
      </c>
      <c r="Y76" s="14" t="n">
        <v>4</v>
      </c>
      <c r="Z76" s="14" t="n">
        <v>45</v>
      </c>
      <c r="AA76" s="14" t="n">
        <v>78</v>
      </c>
      <c r="AB76" s="14" t="n">
        <v>19443</v>
      </c>
      <c r="AC76" s="14" t="n">
        <v>0.229633889595345</v>
      </c>
      <c r="AD76" s="14"/>
      <c r="AE76" s="14"/>
      <c r="AF76" s="14"/>
      <c r="AG76" s="14"/>
      <c r="AH76" s="14"/>
      <c r="AI76" s="14"/>
      <c r="AJ76" s="14"/>
      <c r="AK76" s="14" t="n">
        <v>1500</v>
      </c>
      <c r="AL76" s="14"/>
      <c r="AM76" s="14"/>
      <c r="AN76" s="14" t="n">
        <v>4.90752808774969</v>
      </c>
      <c r="AO76" s="14" t="n">
        <v>11.3017883416057</v>
      </c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 t="n">
        <v>4009.48344756336</v>
      </c>
      <c r="BB76" s="14" t="n">
        <v>978.688968724218</v>
      </c>
      <c r="BC76" s="14" t="n">
        <v>991.388260868562</v>
      </c>
      <c r="BF76" s="14"/>
      <c r="BG76" s="14"/>
      <c r="BH76" s="14" t="n">
        <v>5.50433492660523</v>
      </c>
      <c r="BI76" s="14" t="n">
        <v>4.41556215286255</v>
      </c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" t="s">
        <v>87</v>
      </c>
    </row>
    <row r="77" customFormat="false" ht="15" hidden="false" customHeight="false" outlineLevel="0" collapsed="false">
      <c r="A77" s="12" t="s">
        <v>74</v>
      </c>
      <c r="B77" s="1" t="s">
        <v>139</v>
      </c>
      <c r="C77" s="1" t="s">
        <v>140</v>
      </c>
      <c r="D77" s="1" t="s">
        <v>141</v>
      </c>
      <c r="E77" s="1" t="s">
        <v>142</v>
      </c>
      <c r="F77" s="1" t="s">
        <v>80</v>
      </c>
      <c r="G77" s="1" t="s">
        <v>80</v>
      </c>
      <c r="H77" s="14" t="n">
        <v>631.632385253906</v>
      </c>
      <c r="I77" s="14"/>
      <c r="J77" s="1" t="s">
        <v>81</v>
      </c>
      <c r="K77" s="1" t="s">
        <v>82</v>
      </c>
      <c r="L77" s="1" t="s">
        <v>29</v>
      </c>
      <c r="M77" s="1" t="s">
        <v>83</v>
      </c>
      <c r="N77" s="1" t="s">
        <v>83</v>
      </c>
      <c r="O77" s="1" t="s">
        <v>84</v>
      </c>
      <c r="P77" s="1" t="s">
        <v>85</v>
      </c>
      <c r="Q77" s="14" t="n">
        <v>12632.6474609375</v>
      </c>
      <c r="R77" s="14"/>
      <c r="S77" s="14"/>
      <c r="T77" s="14" t="n">
        <v>646.890319824219</v>
      </c>
      <c r="U77" s="14" t="n">
        <v>616.569885253906</v>
      </c>
      <c r="V77" s="3" t="n">
        <v>16443</v>
      </c>
      <c r="W77" s="3" t="n">
        <v>6831</v>
      </c>
      <c r="X77" s="3" t="n">
        <v>9612</v>
      </c>
      <c r="Y77" s="14" t="n">
        <v>1779</v>
      </c>
      <c r="Z77" s="14" t="n">
        <v>5052</v>
      </c>
      <c r="AA77" s="14" t="n">
        <v>2687</v>
      </c>
      <c r="AB77" s="14" t="n">
        <v>6925</v>
      </c>
      <c r="AC77" s="14" t="n">
        <v>0</v>
      </c>
      <c r="AD77" s="14" t="n">
        <v>3.38824701309204</v>
      </c>
      <c r="AE77" s="14"/>
      <c r="AF77" s="14"/>
      <c r="AG77" s="14" t="n">
        <v>3.51697993264618</v>
      </c>
      <c r="AH77" s="14" t="n">
        <v>3.25951392859719</v>
      </c>
      <c r="AI77" s="14" t="n">
        <v>2</v>
      </c>
      <c r="AJ77" s="14"/>
      <c r="AK77" s="14" t="n">
        <v>500</v>
      </c>
      <c r="AL77" s="14"/>
      <c r="AM77" s="14"/>
      <c r="AN77" s="14" t="n">
        <v>4.20327965936715</v>
      </c>
      <c r="AO77" s="14" t="n">
        <v>6.38047214437144</v>
      </c>
      <c r="AP77" s="1" t="s">
        <v>86</v>
      </c>
      <c r="AQ77" s="14" t="n">
        <v>1.69412346531084</v>
      </c>
      <c r="AR77" s="14"/>
      <c r="AS77" s="14"/>
      <c r="AT77" s="14" t="n">
        <v>1.75848996632309</v>
      </c>
      <c r="AU77" s="14" t="n">
        <v>1.6297569642986</v>
      </c>
      <c r="AV77" s="14" t="n">
        <v>62.882176230011</v>
      </c>
      <c r="AW77" s="14"/>
      <c r="AX77" s="14"/>
      <c r="AY77" s="14" t="n">
        <v>63.7689746533296</v>
      </c>
      <c r="AZ77" s="14" t="n">
        <v>61.9953778066923</v>
      </c>
      <c r="BA77" s="14" t="n">
        <v>5299.99092254616</v>
      </c>
      <c r="BB77" s="14" t="n">
        <v>288.628687354956</v>
      </c>
      <c r="BC77" s="14" t="n">
        <v>2370.52465698283</v>
      </c>
      <c r="BF77" s="14"/>
      <c r="BG77" s="14"/>
      <c r="BH77" s="14" t="n">
        <v>639.392333984375</v>
      </c>
      <c r="BI77" s="14" t="n">
        <v>623.92333984375</v>
      </c>
      <c r="BJ77" s="14"/>
      <c r="BK77" s="14"/>
      <c r="BL77" s="14" t="n">
        <v>3.45392497757632</v>
      </c>
      <c r="BM77" s="14" t="n">
        <v>3.32256888366706</v>
      </c>
      <c r="BN77" s="14"/>
      <c r="BO77" s="14"/>
      <c r="BP77" s="14" t="n">
        <v>1.72696248878816</v>
      </c>
      <c r="BQ77" s="14" t="n">
        <v>1.66128444183353</v>
      </c>
      <c r="BR77" s="14"/>
      <c r="BS77" s="14"/>
      <c r="BT77" s="14" t="n">
        <v>63.3346102412596</v>
      </c>
      <c r="BU77" s="14" t="n">
        <v>62.4297422187624</v>
      </c>
      <c r="BV77" s="1" t="s">
        <v>87</v>
      </c>
    </row>
    <row r="78" customFormat="false" ht="15" hidden="false" customHeight="false" outlineLevel="0" collapsed="false">
      <c r="A78" s="12"/>
      <c r="B78" s="1" t="s">
        <v>139</v>
      </c>
      <c r="C78" s="1" t="s">
        <v>140</v>
      </c>
      <c r="D78" s="1" t="s">
        <v>141</v>
      </c>
      <c r="E78" s="1" t="s">
        <v>142</v>
      </c>
      <c r="F78" s="1" t="s">
        <v>80</v>
      </c>
      <c r="G78" s="1" t="s">
        <v>86</v>
      </c>
      <c r="H78" s="14" t="n">
        <v>372.837280273438</v>
      </c>
      <c r="I78" s="14"/>
      <c r="J78" s="1" t="s">
        <v>81</v>
      </c>
      <c r="K78" s="1" t="s">
        <v>82</v>
      </c>
      <c r="L78" s="1" t="s">
        <v>29</v>
      </c>
      <c r="M78" s="1" t="s">
        <v>83</v>
      </c>
      <c r="N78" s="1" t="s">
        <v>83</v>
      </c>
      <c r="O78" s="1" t="s">
        <v>84</v>
      </c>
      <c r="P78" s="1" t="s">
        <v>88</v>
      </c>
      <c r="Q78" s="14" t="n">
        <v>7456.74560546875</v>
      </c>
      <c r="R78" s="14"/>
      <c r="S78" s="14"/>
      <c r="T78" s="14" t="n">
        <v>383.86962890625</v>
      </c>
      <c r="U78" s="14" t="n">
        <v>361.907470703125</v>
      </c>
      <c r="V78" s="3" t="n">
        <v>16443</v>
      </c>
      <c r="W78" s="3" t="n">
        <v>4466</v>
      </c>
      <c r="X78" s="3" t="n">
        <v>11977</v>
      </c>
      <c r="Y78" s="14" t="n">
        <v>1779</v>
      </c>
      <c r="Z78" s="14" t="n">
        <v>5052</v>
      </c>
      <c r="AA78" s="14" t="n">
        <v>2687</v>
      </c>
      <c r="AB78" s="14" t="n">
        <v>6925</v>
      </c>
      <c r="AC78" s="14" t="n">
        <v>0</v>
      </c>
      <c r="AD78" s="14"/>
      <c r="AE78" s="14"/>
      <c r="AF78" s="14"/>
      <c r="AG78" s="14"/>
      <c r="AH78" s="14"/>
      <c r="AI78" s="14"/>
      <c r="AJ78" s="14"/>
      <c r="AK78" s="14" t="n">
        <v>1500</v>
      </c>
      <c r="AL78" s="14"/>
      <c r="AM78" s="14"/>
      <c r="AN78" s="14" t="n">
        <v>10.5780514110727</v>
      </c>
      <c r="AO78" s="14" t="n">
        <v>3.7087852542727</v>
      </c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 t="n">
        <v>4018.38280235936</v>
      </c>
      <c r="BB78" s="14" t="n">
        <v>1046.00934221622</v>
      </c>
      <c r="BC78" s="14" t="n">
        <v>1853.32065237855</v>
      </c>
      <c r="BF78" s="14"/>
      <c r="BG78" s="14"/>
      <c r="BH78" s="14" t="n">
        <v>378.453094482422</v>
      </c>
      <c r="BI78" s="14" t="n">
        <v>367.248199462891</v>
      </c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" t="s">
        <v>87</v>
      </c>
    </row>
    <row r="79" customFormat="false" ht="15" hidden="false" customHeight="false" outlineLevel="0" collapsed="false">
      <c r="A79" s="12" t="s">
        <v>89</v>
      </c>
      <c r="B79" s="1" t="s">
        <v>143</v>
      </c>
      <c r="C79" s="1" t="s">
        <v>144</v>
      </c>
      <c r="D79" s="1" t="s">
        <v>77</v>
      </c>
      <c r="E79" s="1" t="s">
        <v>78</v>
      </c>
      <c r="F79" s="1" t="s">
        <v>79</v>
      </c>
      <c r="G79" s="1" t="s">
        <v>80</v>
      </c>
      <c r="H79" s="14" t="n">
        <v>0.259006142616272</v>
      </c>
      <c r="I79" s="14"/>
      <c r="J79" s="1" t="s">
        <v>81</v>
      </c>
      <c r="K79" s="1" t="s">
        <v>82</v>
      </c>
      <c r="L79" s="1" t="s">
        <v>29</v>
      </c>
      <c r="M79" s="1" t="s">
        <v>145</v>
      </c>
      <c r="N79" s="1" t="s">
        <v>83</v>
      </c>
      <c r="O79" s="1" t="s">
        <v>84</v>
      </c>
      <c r="P79" s="1" t="s">
        <v>85</v>
      </c>
      <c r="Q79" s="14" t="n">
        <v>5.18012285232544</v>
      </c>
      <c r="R79" s="14"/>
      <c r="S79" s="14"/>
      <c r="T79" s="14" t="n">
        <v>0.610763013362885</v>
      </c>
      <c r="U79" s="14" t="n">
        <v>0.0781490951776505</v>
      </c>
      <c r="V79" s="3" t="n">
        <v>18171</v>
      </c>
      <c r="W79" s="3" t="n">
        <v>4</v>
      </c>
      <c r="X79" s="3" t="n">
        <v>18167</v>
      </c>
      <c r="Y79" s="14" t="n">
        <v>0</v>
      </c>
      <c r="Z79" s="14" t="n">
        <v>4</v>
      </c>
      <c r="AA79" s="14" t="n">
        <v>1436</v>
      </c>
      <c r="AB79" s="14" t="n">
        <v>16731</v>
      </c>
      <c r="AC79" s="14" t="n">
        <v>0</v>
      </c>
      <c r="AD79" s="14" t="n">
        <v>0.00534846866503358</v>
      </c>
      <c r="AE79" s="14"/>
      <c r="AF79" s="14"/>
      <c r="AG79" s="14" t="n">
        <v>0.0108546566817756</v>
      </c>
      <c r="AH79" s="14" t="n">
        <v>0</v>
      </c>
      <c r="AI79" s="14" t="n">
        <v>2</v>
      </c>
      <c r="AJ79" s="14"/>
      <c r="AK79" s="14" t="n">
        <v>500</v>
      </c>
      <c r="AL79" s="14"/>
      <c r="AM79" s="14"/>
      <c r="AN79" s="14" t="n">
        <v>1.42813276577847</v>
      </c>
      <c r="AO79" s="14" t="n">
        <v>8.80656656633664</v>
      </c>
      <c r="AP79" s="1" t="s">
        <v>86</v>
      </c>
      <c r="AQ79" s="14" t="n">
        <v>0.00267423435623717</v>
      </c>
      <c r="AR79" s="14"/>
      <c r="AS79" s="14"/>
      <c r="AT79" s="14" t="n">
        <v>0.00542732834088782</v>
      </c>
      <c r="AU79" s="14" t="n">
        <v>0</v>
      </c>
      <c r="AV79" s="14" t="n">
        <v>0.266710190070272</v>
      </c>
      <c r="AW79" s="14"/>
      <c r="AX79" s="14"/>
      <c r="AY79" s="14" t="n">
        <v>0.540552990490318</v>
      </c>
      <c r="AZ79" s="14" t="n">
        <v>0</v>
      </c>
      <c r="BA79" s="14" t="n">
        <v>2919.78123474121</v>
      </c>
      <c r="BB79" s="14" t="n">
        <v>276.490253112729</v>
      </c>
      <c r="BC79" s="14" t="n">
        <v>277.072123341474</v>
      </c>
      <c r="BF79" s="14"/>
      <c r="BG79" s="14"/>
      <c r="BH79" s="14" t="n">
        <v>0.41372475028038</v>
      </c>
      <c r="BI79" s="14" t="n">
        <v>0.148727297782898</v>
      </c>
      <c r="BJ79" s="14"/>
      <c r="BK79" s="14"/>
      <c r="BL79" s="14" t="n">
        <v>0.00808820324836176</v>
      </c>
      <c r="BM79" s="14" t="n">
        <v>0.00260873417658691</v>
      </c>
      <c r="BN79" s="14"/>
      <c r="BO79" s="14"/>
      <c r="BP79" s="14" t="n">
        <v>0.00404410162418088</v>
      </c>
      <c r="BQ79" s="14" t="n">
        <v>0.00130436708829345</v>
      </c>
      <c r="BR79" s="14"/>
      <c r="BS79" s="14"/>
      <c r="BT79" s="14" t="n">
        <v>0.402967176191676</v>
      </c>
      <c r="BU79" s="14" t="n">
        <v>0.130453203948868</v>
      </c>
      <c r="BV79" s="1" t="s">
        <v>87</v>
      </c>
    </row>
    <row r="80" customFormat="false" ht="15" hidden="false" customHeight="false" outlineLevel="0" collapsed="false">
      <c r="A80" s="12"/>
      <c r="B80" s="1" t="s">
        <v>143</v>
      </c>
      <c r="C80" s="1" t="s">
        <v>144</v>
      </c>
      <c r="D80" s="1" t="s">
        <v>77</v>
      </c>
      <c r="E80" s="1" t="s">
        <v>78</v>
      </c>
      <c r="F80" s="1" t="s">
        <v>79</v>
      </c>
      <c r="G80" s="1" t="s">
        <v>86</v>
      </c>
      <c r="H80" s="14" t="n">
        <v>96.8524475097656</v>
      </c>
      <c r="I80" s="14"/>
      <c r="J80" s="1" t="s">
        <v>81</v>
      </c>
      <c r="K80" s="1" t="s">
        <v>82</v>
      </c>
      <c r="L80" s="1" t="s">
        <v>29</v>
      </c>
      <c r="M80" s="1" t="s">
        <v>145</v>
      </c>
      <c r="N80" s="1" t="s">
        <v>83</v>
      </c>
      <c r="O80" s="1" t="s">
        <v>84</v>
      </c>
      <c r="P80" s="1" t="s">
        <v>88</v>
      </c>
      <c r="Q80" s="14" t="n">
        <v>1937.04895019531</v>
      </c>
      <c r="R80" s="14"/>
      <c r="S80" s="14"/>
      <c r="T80" s="14" t="n">
        <v>101.874008178711</v>
      </c>
      <c r="U80" s="14" t="n">
        <v>91.8522262573242</v>
      </c>
      <c r="V80" s="3" t="n">
        <v>18171</v>
      </c>
      <c r="W80" s="3" t="n">
        <v>1436</v>
      </c>
      <c r="X80" s="3" t="n">
        <v>16735</v>
      </c>
      <c r="Y80" s="14" t="n">
        <v>0</v>
      </c>
      <c r="Z80" s="14" t="n">
        <v>4</v>
      </c>
      <c r="AA80" s="14" t="n">
        <v>1436</v>
      </c>
      <c r="AB80" s="14" t="n">
        <v>16731</v>
      </c>
      <c r="AC80" s="14" t="n">
        <v>0</v>
      </c>
      <c r="AD80" s="14"/>
      <c r="AE80" s="14"/>
      <c r="AF80" s="14"/>
      <c r="AG80" s="14"/>
      <c r="AH80" s="14"/>
      <c r="AI80" s="14"/>
      <c r="AJ80" s="14"/>
      <c r="AK80" s="14" t="n">
        <v>1500</v>
      </c>
      <c r="AL80" s="14"/>
      <c r="AM80" s="14"/>
      <c r="AN80" s="14" t="n">
        <v>6.01070343686232</v>
      </c>
      <c r="AO80" s="14" t="n">
        <v>12.0705734595912</v>
      </c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 t="n">
        <v>4057.3404497662</v>
      </c>
      <c r="BB80" s="14" t="n">
        <v>949.315051021525</v>
      </c>
      <c r="BC80" s="14" t="n">
        <v>1194.93303971765</v>
      </c>
      <c r="BF80" s="14"/>
      <c r="BG80" s="14"/>
      <c r="BH80" s="14" t="n">
        <v>99.4117889404297</v>
      </c>
      <c r="BI80" s="14" t="n">
        <v>94.2986602783203</v>
      </c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" t="s">
        <v>87</v>
      </c>
    </row>
    <row r="81" customFormat="false" ht="15" hidden="false" customHeight="false" outlineLevel="0" collapsed="false">
      <c r="A81" s="12" t="s">
        <v>74</v>
      </c>
      <c r="B81" s="1" t="s">
        <v>146</v>
      </c>
      <c r="C81" s="1" t="s">
        <v>144</v>
      </c>
      <c r="D81" s="1" t="s">
        <v>77</v>
      </c>
      <c r="E81" s="1" t="s">
        <v>78</v>
      </c>
      <c r="F81" s="1" t="s">
        <v>79</v>
      </c>
      <c r="G81" s="1" t="s">
        <v>80</v>
      </c>
      <c r="H81" s="14" t="n">
        <v>0.0610218420624733</v>
      </c>
      <c r="I81" s="14"/>
      <c r="J81" s="1" t="s">
        <v>81</v>
      </c>
      <c r="K81" s="1" t="s">
        <v>82</v>
      </c>
      <c r="L81" s="1" t="s">
        <v>29</v>
      </c>
      <c r="M81" s="1" t="s">
        <v>145</v>
      </c>
      <c r="N81" s="1" t="s">
        <v>83</v>
      </c>
      <c r="O81" s="1" t="s">
        <v>84</v>
      </c>
      <c r="P81" s="1" t="s">
        <v>85</v>
      </c>
      <c r="Q81" s="14" t="n">
        <v>1.22043681144714</v>
      </c>
      <c r="R81" s="14"/>
      <c r="S81" s="14"/>
      <c r="T81" s="14" t="n">
        <v>0.291468858718872</v>
      </c>
      <c r="U81" s="14" t="n">
        <v>0.00256285350769758</v>
      </c>
      <c r="V81" s="3" t="n">
        <v>19280</v>
      </c>
      <c r="W81" s="3" t="n">
        <v>1</v>
      </c>
      <c r="X81" s="3" t="n">
        <v>19279</v>
      </c>
      <c r="Y81" s="14" t="n">
        <v>0</v>
      </c>
      <c r="Z81" s="14" t="n">
        <v>1</v>
      </c>
      <c r="AA81" s="14" t="n">
        <v>364</v>
      </c>
      <c r="AB81" s="14" t="n">
        <v>18915</v>
      </c>
      <c r="AC81" s="14" t="n">
        <v>0</v>
      </c>
      <c r="AD81" s="14" t="n">
        <v>0.0054426146671176</v>
      </c>
      <c r="AE81" s="14"/>
      <c r="AF81" s="14"/>
      <c r="AG81" s="14" t="n">
        <v>0.0183386862140981</v>
      </c>
      <c r="AH81" s="14" t="n">
        <v>0</v>
      </c>
      <c r="AI81" s="14" t="n">
        <v>2</v>
      </c>
      <c r="AJ81" s="14"/>
      <c r="AK81" s="14" t="n">
        <v>500</v>
      </c>
      <c r="AL81" s="14"/>
      <c r="AM81" s="14"/>
      <c r="AN81" s="14"/>
      <c r="AO81" s="14" t="n">
        <v>10.1160207168263</v>
      </c>
      <c r="AP81" s="1" t="s">
        <v>86</v>
      </c>
      <c r="AQ81" s="14" t="n">
        <v>0.0027213073164318</v>
      </c>
      <c r="AR81" s="14"/>
      <c r="AS81" s="14"/>
      <c r="AT81" s="14" t="n">
        <v>0.00916934310704905</v>
      </c>
      <c r="AU81" s="14" t="n">
        <v>0</v>
      </c>
      <c r="AV81" s="14" t="n">
        <v>0.271392190090664</v>
      </c>
      <c r="AW81" s="14"/>
      <c r="AX81" s="14"/>
      <c r="AY81" s="14" t="n">
        <v>0.912700625260672</v>
      </c>
      <c r="AZ81" s="14" t="n">
        <v>0</v>
      </c>
      <c r="BA81" s="14" t="n">
        <v>3054.69091796875</v>
      </c>
      <c r="BB81" s="14" t="n">
        <v>280.189095394685</v>
      </c>
      <c r="BC81" s="14" t="n">
        <v>280.333001090877</v>
      </c>
      <c r="BF81" s="14"/>
      <c r="BG81" s="14"/>
      <c r="BH81" s="14" t="n">
        <v>0.151889219880104</v>
      </c>
      <c r="BI81" s="14" t="n">
        <v>0.0165366064757109</v>
      </c>
      <c r="BJ81" s="14"/>
      <c r="BK81" s="14"/>
      <c r="BL81" s="14" t="n">
        <v>0.0114854867597321</v>
      </c>
      <c r="BM81" s="14" t="n">
        <v>0</v>
      </c>
      <c r="BN81" s="14"/>
      <c r="BO81" s="14"/>
      <c r="BP81" s="14" t="n">
        <v>0.00574274337986607</v>
      </c>
      <c r="BQ81" s="14" t="n">
        <v>0</v>
      </c>
      <c r="BR81" s="14"/>
      <c r="BS81" s="14"/>
      <c r="BT81" s="14" t="n">
        <v>0.571898033533225</v>
      </c>
      <c r="BU81" s="14" t="n">
        <v>0</v>
      </c>
      <c r="BV81" s="1" t="s">
        <v>87</v>
      </c>
    </row>
    <row r="82" customFormat="false" ht="15" hidden="false" customHeight="false" outlineLevel="0" collapsed="false">
      <c r="A82" s="12"/>
      <c r="B82" s="1" t="s">
        <v>146</v>
      </c>
      <c r="C82" s="1" t="s">
        <v>144</v>
      </c>
      <c r="D82" s="1" t="s">
        <v>77</v>
      </c>
      <c r="E82" s="1" t="s">
        <v>78</v>
      </c>
      <c r="F82" s="1" t="s">
        <v>79</v>
      </c>
      <c r="G82" s="1" t="s">
        <v>86</v>
      </c>
      <c r="H82" s="14" t="n">
        <v>22.4237232208252</v>
      </c>
      <c r="I82" s="14"/>
      <c r="J82" s="1" t="s">
        <v>81</v>
      </c>
      <c r="K82" s="1" t="s">
        <v>82</v>
      </c>
      <c r="L82" s="1" t="s">
        <v>29</v>
      </c>
      <c r="M82" s="1" t="s">
        <v>145</v>
      </c>
      <c r="N82" s="1" t="s">
        <v>83</v>
      </c>
      <c r="O82" s="1" t="s">
        <v>84</v>
      </c>
      <c r="P82" s="1" t="s">
        <v>88</v>
      </c>
      <c r="Q82" s="14" t="n">
        <v>448.474456787109</v>
      </c>
      <c r="R82" s="14"/>
      <c r="S82" s="14"/>
      <c r="T82" s="14" t="n">
        <v>24.7296466827393</v>
      </c>
      <c r="U82" s="14" t="n">
        <v>20.1223087310791</v>
      </c>
      <c r="V82" s="3" t="n">
        <v>19280</v>
      </c>
      <c r="W82" s="3" t="n">
        <v>364</v>
      </c>
      <c r="X82" s="3" t="n">
        <v>18916</v>
      </c>
      <c r="Y82" s="14" t="n">
        <v>0</v>
      </c>
      <c r="Z82" s="14" t="n">
        <v>1</v>
      </c>
      <c r="AA82" s="14" t="n">
        <v>364</v>
      </c>
      <c r="AB82" s="14" t="n">
        <v>18915</v>
      </c>
      <c r="AC82" s="14" t="n">
        <v>0</v>
      </c>
      <c r="AD82" s="14"/>
      <c r="AE82" s="14"/>
      <c r="AF82" s="14"/>
      <c r="AG82" s="14"/>
      <c r="AH82" s="14"/>
      <c r="AI82" s="14"/>
      <c r="AJ82" s="14"/>
      <c r="AK82" s="14" t="n">
        <v>1500</v>
      </c>
      <c r="AL82" s="14"/>
      <c r="AM82" s="14"/>
      <c r="AN82" s="14" t="n">
        <v>13.170587810288</v>
      </c>
      <c r="AO82" s="14" t="n">
        <v>12.971380116546</v>
      </c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 t="n">
        <v>3951.23019040286</v>
      </c>
      <c r="BB82" s="14" t="n">
        <v>931.586611271207</v>
      </c>
      <c r="BC82" s="14" t="n">
        <v>988.5964796739</v>
      </c>
      <c r="BF82" s="14"/>
      <c r="BG82" s="14"/>
      <c r="BH82" s="14" t="n">
        <v>23.5996494293213</v>
      </c>
      <c r="BI82" s="14" t="n">
        <v>21.2489700317383</v>
      </c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" t="s">
        <v>87</v>
      </c>
    </row>
    <row r="83" customFormat="false" ht="15" hidden="false" customHeight="false" outlineLevel="0" collapsed="false">
      <c r="A83" s="12" t="s">
        <v>89</v>
      </c>
      <c r="B83" s="1" t="s">
        <v>147</v>
      </c>
      <c r="C83" s="1" t="s">
        <v>148</v>
      </c>
      <c r="D83" s="1" t="s">
        <v>77</v>
      </c>
      <c r="E83" s="1" t="s">
        <v>93</v>
      </c>
      <c r="F83" s="1" t="s">
        <v>94</v>
      </c>
      <c r="G83" s="1" t="s">
        <v>80</v>
      </c>
      <c r="H83" s="14" t="n">
        <v>436.97119140625</v>
      </c>
      <c r="I83" s="14"/>
      <c r="J83" s="1" t="s">
        <v>81</v>
      </c>
      <c r="K83" s="1" t="s">
        <v>82</v>
      </c>
      <c r="L83" s="1" t="s">
        <v>29</v>
      </c>
      <c r="M83" s="1" t="s">
        <v>83</v>
      </c>
      <c r="N83" s="1" t="s">
        <v>83</v>
      </c>
      <c r="O83" s="1" t="s">
        <v>84</v>
      </c>
      <c r="P83" s="1" t="s">
        <v>85</v>
      </c>
      <c r="Q83" s="14" t="n">
        <v>8739.423828125</v>
      </c>
      <c r="R83" s="14"/>
      <c r="S83" s="14"/>
      <c r="T83" s="14" t="n">
        <v>448.758666992188</v>
      </c>
      <c r="U83" s="14" t="n">
        <v>425.300659179688</v>
      </c>
      <c r="V83" s="3" t="n">
        <v>17386</v>
      </c>
      <c r="W83" s="3" t="n">
        <v>5394</v>
      </c>
      <c r="X83" s="3" t="n">
        <v>11992</v>
      </c>
      <c r="Y83" s="14" t="n">
        <v>1870</v>
      </c>
      <c r="Z83" s="14" t="n">
        <v>3524</v>
      </c>
      <c r="AA83" s="14" t="n">
        <v>2898</v>
      </c>
      <c r="AB83" s="14" t="n">
        <v>9094</v>
      </c>
      <c r="AC83" s="14" t="n">
        <v>51.6658963058725</v>
      </c>
      <c r="AD83" s="14" t="n">
        <v>2.31749224662781</v>
      </c>
      <c r="AE83" s="14"/>
      <c r="AF83" s="14"/>
      <c r="AG83" s="14" t="n">
        <v>2.40823454003698</v>
      </c>
      <c r="AH83" s="14" t="n">
        <v>2.22674988989122</v>
      </c>
      <c r="AI83" s="14" t="n">
        <v>2</v>
      </c>
      <c r="AJ83" s="14"/>
      <c r="AK83" s="14" t="n">
        <v>500</v>
      </c>
      <c r="AL83" s="14"/>
      <c r="AM83" s="14"/>
      <c r="AN83" s="14" t="n">
        <v>2.32629127093937</v>
      </c>
      <c r="AO83" s="14" t="n">
        <v>5.91048006941472</v>
      </c>
      <c r="AP83" s="1" t="s">
        <v>86</v>
      </c>
      <c r="AQ83" s="14" t="n">
        <v>1.15874610748205</v>
      </c>
      <c r="AR83" s="14"/>
      <c r="AS83" s="14"/>
      <c r="AT83" s="14" t="n">
        <v>1.20411727001849</v>
      </c>
      <c r="AU83" s="14" t="n">
        <v>1.11337494494561</v>
      </c>
      <c r="AV83" s="14" t="n">
        <v>53.6768128250897</v>
      </c>
      <c r="AW83" s="14"/>
      <c r="AX83" s="14"/>
      <c r="AY83" s="14" t="n">
        <v>54.6504043221325</v>
      </c>
      <c r="AZ83" s="14" t="n">
        <v>52.703221328047</v>
      </c>
      <c r="BA83" s="14" t="n">
        <v>4268.80752299828</v>
      </c>
      <c r="BB83" s="14" t="n">
        <v>300.519769087086</v>
      </c>
      <c r="BC83" s="14" t="n">
        <v>1531.67956113799</v>
      </c>
      <c r="BF83" s="14"/>
      <c r="BG83" s="14"/>
      <c r="BH83" s="14" t="n">
        <v>442.970458984375</v>
      </c>
      <c r="BI83" s="14" t="n">
        <v>431.002380371094</v>
      </c>
      <c r="BJ83" s="14"/>
      <c r="BK83" s="14"/>
      <c r="BL83" s="14" t="n">
        <v>2.36378826638623</v>
      </c>
      <c r="BM83" s="14" t="n">
        <v>2.27119616354197</v>
      </c>
      <c r="BN83" s="14"/>
      <c r="BO83" s="14"/>
      <c r="BP83" s="14" t="n">
        <v>1.18189413319312</v>
      </c>
      <c r="BQ83" s="14" t="n">
        <v>1.13559808177099</v>
      </c>
      <c r="BR83" s="14"/>
      <c r="BS83" s="14"/>
      <c r="BT83" s="14" t="n">
        <v>54.1735318806687</v>
      </c>
      <c r="BU83" s="14" t="n">
        <v>53.1800937695107</v>
      </c>
      <c r="BV83" s="1" t="s">
        <v>87</v>
      </c>
    </row>
    <row r="84" customFormat="false" ht="15" hidden="false" customHeight="false" outlineLevel="0" collapsed="false">
      <c r="A84" s="12"/>
      <c r="B84" s="1" t="s">
        <v>147</v>
      </c>
      <c r="C84" s="1" t="s">
        <v>148</v>
      </c>
      <c r="D84" s="1" t="s">
        <v>77</v>
      </c>
      <c r="E84" s="1" t="s">
        <v>93</v>
      </c>
      <c r="F84" s="1" t="s">
        <v>94</v>
      </c>
      <c r="G84" s="1" t="s">
        <v>86</v>
      </c>
      <c r="H84" s="14" t="n">
        <v>377.10693359375</v>
      </c>
      <c r="I84" s="14"/>
      <c r="J84" s="1" t="s">
        <v>81</v>
      </c>
      <c r="K84" s="1" t="s">
        <v>82</v>
      </c>
      <c r="L84" s="1" t="s">
        <v>29</v>
      </c>
      <c r="M84" s="1" t="s">
        <v>83</v>
      </c>
      <c r="N84" s="1" t="s">
        <v>83</v>
      </c>
      <c r="O84" s="1" t="s">
        <v>84</v>
      </c>
      <c r="P84" s="1" t="s">
        <v>88</v>
      </c>
      <c r="Q84" s="14" t="n">
        <v>7542.138671875</v>
      </c>
      <c r="R84" s="14"/>
      <c r="S84" s="14"/>
      <c r="T84" s="14" t="n">
        <v>387.906433105469</v>
      </c>
      <c r="U84" s="14" t="n">
        <v>366.405731201172</v>
      </c>
      <c r="V84" s="3" t="n">
        <v>17386</v>
      </c>
      <c r="W84" s="3" t="n">
        <v>4768</v>
      </c>
      <c r="X84" s="3" t="n">
        <v>12618</v>
      </c>
      <c r="Y84" s="14" t="n">
        <v>1870</v>
      </c>
      <c r="Z84" s="14" t="n">
        <v>3524</v>
      </c>
      <c r="AA84" s="14" t="n">
        <v>2898</v>
      </c>
      <c r="AB84" s="14" t="n">
        <v>9094</v>
      </c>
      <c r="AC84" s="14" t="n">
        <v>51.6658963058725</v>
      </c>
      <c r="AD84" s="14"/>
      <c r="AE84" s="14"/>
      <c r="AF84" s="14"/>
      <c r="AG84" s="14"/>
      <c r="AH84" s="14"/>
      <c r="AI84" s="14"/>
      <c r="AJ84" s="14"/>
      <c r="AK84" s="14" t="n">
        <v>1500</v>
      </c>
      <c r="AL84" s="14"/>
      <c r="AM84" s="14"/>
      <c r="AN84" s="14" t="n">
        <v>4.80739560280349</v>
      </c>
      <c r="AO84" s="14" t="n">
        <v>4.97550407251364</v>
      </c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 t="n">
        <v>4104.59893573531</v>
      </c>
      <c r="BB84" s="14" t="n">
        <v>997.336272332347</v>
      </c>
      <c r="BC84" s="14" t="n">
        <v>1849.48330897708</v>
      </c>
      <c r="BF84" s="14"/>
      <c r="BG84" s="14"/>
      <c r="BH84" s="14" t="n">
        <v>382.6044921875</v>
      </c>
      <c r="BI84" s="14" t="n">
        <v>371.634979248047</v>
      </c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" t="s">
        <v>87</v>
      </c>
    </row>
    <row r="85" customFormat="false" ht="15" hidden="false" customHeight="false" outlineLevel="0" collapsed="false">
      <c r="A85" s="12" t="s">
        <v>74</v>
      </c>
      <c r="B85" s="1" t="s">
        <v>149</v>
      </c>
      <c r="C85" s="1" t="s">
        <v>148</v>
      </c>
      <c r="D85" s="1" t="s">
        <v>77</v>
      </c>
      <c r="E85" s="1" t="s">
        <v>93</v>
      </c>
      <c r="F85" s="1" t="s">
        <v>94</v>
      </c>
      <c r="G85" s="1" t="s">
        <v>80</v>
      </c>
      <c r="H85" s="14" t="n">
        <v>19.0058078765869</v>
      </c>
      <c r="I85" s="14"/>
      <c r="J85" s="1" t="s">
        <v>81</v>
      </c>
      <c r="K85" s="1" t="s">
        <v>82</v>
      </c>
      <c r="L85" s="1" t="s">
        <v>29</v>
      </c>
      <c r="M85" s="1" t="s">
        <v>83</v>
      </c>
      <c r="N85" s="1" t="s">
        <v>83</v>
      </c>
      <c r="O85" s="1" t="s">
        <v>84</v>
      </c>
      <c r="P85" s="1" t="s">
        <v>85</v>
      </c>
      <c r="Q85" s="14" t="n">
        <v>380.116149902344</v>
      </c>
      <c r="R85" s="14"/>
      <c r="S85" s="14"/>
      <c r="T85" s="14" t="n">
        <v>21.1200618743897</v>
      </c>
      <c r="U85" s="14" t="n">
        <v>16.8953456878662</v>
      </c>
      <c r="V85" s="3" t="n">
        <v>19407</v>
      </c>
      <c r="W85" s="3" t="n">
        <v>311</v>
      </c>
      <c r="X85" s="3" t="n">
        <v>19096</v>
      </c>
      <c r="Y85" s="14" t="n">
        <v>20</v>
      </c>
      <c r="Z85" s="14" t="n">
        <v>291</v>
      </c>
      <c r="AA85" s="14" t="n">
        <v>405</v>
      </c>
      <c r="AB85" s="14" t="n">
        <v>18691</v>
      </c>
      <c r="AC85" s="14" t="n">
        <v>0.830470040593918</v>
      </c>
      <c r="AD85" s="14" t="n">
        <v>1.45916831493378</v>
      </c>
      <c r="AE85" s="14"/>
      <c r="AF85" s="14"/>
      <c r="AG85" s="14" t="n">
        <v>1.67258723719072</v>
      </c>
      <c r="AH85" s="14" t="n">
        <v>1.24574948211911</v>
      </c>
      <c r="AI85" s="14" t="n">
        <v>2</v>
      </c>
      <c r="AJ85" s="14"/>
      <c r="AK85" s="14" t="n">
        <v>500</v>
      </c>
      <c r="AL85" s="14"/>
      <c r="AM85" s="14"/>
      <c r="AN85" s="14" t="n">
        <v>1.94681229013085</v>
      </c>
      <c r="AO85" s="14" t="n">
        <v>8.89313643902822</v>
      </c>
      <c r="AP85" s="1" t="s">
        <v>86</v>
      </c>
      <c r="AQ85" s="14" t="n">
        <v>0.729584179827458</v>
      </c>
      <c r="AR85" s="14"/>
      <c r="AS85" s="14"/>
      <c r="AT85" s="14" t="n">
        <v>0.83629361859536</v>
      </c>
      <c r="AU85" s="14" t="n">
        <v>0.622874741059557</v>
      </c>
      <c r="AV85" s="14" t="n">
        <v>42.1826348978424</v>
      </c>
      <c r="AW85" s="14"/>
      <c r="AX85" s="14"/>
      <c r="AY85" s="14" t="n">
        <v>45.7497689252278</v>
      </c>
      <c r="AZ85" s="14" t="n">
        <v>38.6155008704569</v>
      </c>
      <c r="BA85" s="14" t="n">
        <v>3604.46080757951</v>
      </c>
      <c r="BB85" s="14" t="n">
        <v>302.693803235882</v>
      </c>
      <c r="BC85" s="14" t="n">
        <v>355.605100105613</v>
      </c>
      <c r="BF85" s="14"/>
      <c r="BG85" s="14"/>
      <c r="BH85" s="14" t="n">
        <v>20.0840339660645</v>
      </c>
      <c r="BI85" s="14" t="n">
        <v>17.9285678863525</v>
      </c>
      <c r="BJ85" s="14"/>
      <c r="BK85" s="14"/>
      <c r="BL85" s="14" t="n">
        <v>1.56805548106957</v>
      </c>
      <c r="BM85" s="14" t="n">
        <v>1.35028123824026</v>
      </c>
      <c r="BN85" s="14"/>
      <c r="BO85" s="14"/>
      <c r="BP85" s="14" t="n">
        <v>0.784027740534787</v>
      </c>
      <c r="BQ85" s="14" t="n">
        <v>0.67514061912013</v>
      </c>
      <c r="BR85" s="14"/>
      <c r="BS85" s="14"/>
      <c r="BT85" s="14" t="n">
        <v>44.0026002187504</v>
      </c>
      <c r="BU85" s="14" t="n">
        <v>40.3626695769344</v>
      </c>
      <c r="BV85" s="1" t="s">
        <v>87</v>
      </c>
    </row>
    <row r="86" customFormat="false" ht="15" hidden="false" customHeight="false" outlineLevel="0" collapsed="false">
      <c r="A86" s="12"/>
      <c r="B86" s="1" t="s">
        <v>149</v>
      </c>
      <c r="C86" s="1" t="s">
        <v>148</v>
      </c>
      <c r="D86" s="1" t="s">
        <v>77</v>
      </c>
      <c r="E86" s="1" t="s">
        <v>93</v>
      </c>
      <c r="F86" s="1" t="s">
        <v>94</v>
      </c>
      <c r="G86" s="1" t="s">
        <v>86</v>
      </c>
      <c r="H86" s="14" t="n">
        <v>26.0501918792725</v>
      </c>
      <c r="I86" s="14"/>
      <c r="J86" s="1" t="s">
        <v>81</v>
      </c>
      <c r="K86" s="1" t="s">
        <v>82</v>
      </c>
      <c r="L86" s="1" t="s">
        <v>29</v>
      </c>
      <c r="M86" s="1" t="s">
        <v>83</v>
      </c>
      <c r="N86" s="1" t="s">
        <v>83</v>
      </c>
      <c r="O86" s="1" t="s">
        <v>84</v>
      </c>
      <c r="P86" s="1" t="s">
        <v>88</v>
      </c>
      <c r="Q86" s="14" t="n">
        <v>521.003845214844</v>
      </c>
      <c r="R86" s="14"/>
      <c r="S86" s="14"/>
      <c r="T86" s="14" t="n">
        <v>28.5295486450195</v>
      </c>
      <c r="U86" s="14" t="n">
        <v>23.5760498046875</v>
      </c>
      <c r="V86" s="3" t="n">
        <v>19407</v>
      </c>
      <c r="W86" s="3" t="n">
        <v>425</v>
      </c>
      <c r="X86" s="3" t="n">
        <v>18982</v>
      </c>
      <c r="Y86" s="14" t="n">
        <v>20</v>
      </c>
      <c r="Z86" s="14" t="n">
        <v>291</v>
      </c>
      <c r="AA86" s="14" t="n">
        <v>405</v>
      </c>
      <c r="AB86" s="14" t="n">
        <v>18691</v>
      </c>
      <c r="AC86" s="14" t="n">
        <v>0.830470040593918</v>
      </c>
      <c r="AD86" s="14"/>
      <c r="AE86" s="14"/>
      <c r="AF86" s="14"/>
      <c r="AG86" s="14"/>
      <c r="AH86" s="14"/>
      <c r="AI86" s="14"/>
      <c r="AJ86" s="14"/>
      <c r="AK86" s="14" t="n">
        <v>1500</v>
      </c>
      <c r="AL86" s="14"/>
      <c r="AM86" s="14"/>
      <c r="AN86" s="14" t="n">
        <v>4.09881554990344</v>
      </c>
      <c r="AO86" s="14" t="n">
        <v>11.9547231913803</v>
      </c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 t="n">
        <v>3609.98734662224</v>
      </c>
      <c r="BB86" s="14" t="n">
        <v>911.605070375188</v>
      </c>
      <c r="BC86" s="14" t="n">
        <v>970.697792970385</v>
      </c>
      <c r="BF86" s="14"/>
      <c r="BG86" s="14"/>
      <c r="BH86" s="14" t="n">
        <v>27.3145179748535</v>
      </c>
      <c r="BI86" s="14" t="n">
        <v>24.787223815918</v>
      </c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" t="s">
        <v>87</v>
      </c>
    </row>
    <row r="87" customFormat="false" ht="15" hidden="false" customHeight="false" outlineLevel="0" collapsed="false">
      <c r="A87" s="12" t="s">
        <v>89</v>
      </c>
      <c r="B87" s="1" t="s">
        <v>150</v>
      </c>
      <c r="C87" s="1" t="s">
        <v>140</v>
      </c>
      <c r="D87" s="1" t="s">
        <v>141</v>
      </c>
      <c r="E87" s="1" t="s">
        <v>142</v>
      </c>
      <c r="F87" s="1" t="s">
        <v>80</v>
      </c>
      <c r="G87" s="1" t="s">
        <v>80</v>
      </c>
      <c r="H87" s="14" t="n">
        <v>709.229064941406</v>
      </c>
      <c r="I87" s="14"/>
      <c r="J87" s="1" t="s">
        <v>81</v>
      </c>
      <c r="K87" s="1" t="s">
        <v>82</v>
      </c>
      <c r="L87" s="1" t="s">
        <v>29</v>
      </c>
      <c r="M87" s="1" t="s">
        <v>83</v>
      </c>
      <c r="N87" s="1" t="s">
        <v>83</v>
      </c>
      <c r="O87" s="1" t="s">
        <v>84</v>
      </c>
      <c r="P87" s="1" t="s">
        <v>85</v>
      </c>
      <c r="Q87" s="14" t="n">
        <v>14184.5810546875</v>
      </c>
      <c r="R87" s="14"/>
      <c r="S87" s="14"/>
      <c r="T87" s="14" t="n">
        <v>723.887390136719</v>
      </c>
      <c r="U87" s="14" t="n">
        <v>694.751098632813</v>
      </c>
      <c r="V87" s="3" t="n">
        <v>20729</v>
      </c>
      <c r="W87" s="3" t="n">
        <v>9385</v>
      </c>
      <c r="X87" s="3" t="n">
        <v>11344</v>
      </c>
      <c r="Y87" s="14" t="n">
        <v>2620</v>
      </c>
      <c r="Z87" s="14" t="n">
        <v>6765</v>
      </c>
      <c r="AA87" s="14" t="n">
        <v>3293</v>
      </c>
      <c r="AB87" s="14" t="n">
        <v>8051</v>
      </c>
      <c r="AC87" s="14" t="n">
        <v>0</v>
      </c>
      <c r="AD87" s="14" t="n">
        <v>3.59022045135498</v>
      </c>
      <c r="AE87" s="14"/>
      <c r="AF87" s="14"/>
      <c r="AG87" s="14" t="n">
        <v>3.70808563930293</v>
      </c>
      <c r="AH87" s="14" t="n">
        <v>3.47235539824528</v>
      </c>
      <c r="AI87" s="14" t="n">
        <v>2</v>
      </c>
      <c r="AJ87" s="14"/>
      <c r="AK87" s="14" t="n">
        <v>500</v>
      </c>
      <c r="AL87" s="14"/>
      <c r="AM87" s="14"/>
      <c r="AN87" s="14" t="n">
        <v>4.0658847092567</v>
      </c>
      <c r="AO87" s="14" t="n">
        <v>6.46992910002443</v>
      </c>
      <c r="AP87" s="1" t="s">
        <v>86</v>
      </c>
      <c r="AQ87" s="14" t="n">
        <v>1.79511025938705</v>
      </c>
      <c r="AR87" s="14"/>
      <c r="AS87" s="14"/>
      <c r="AT87" s="14" t="n">
        <v>1.85404281965147</v>
      </c>
      <c r="AU87" s="14" t="n">
        <v>1.73617769912264</v>
      </c>
      <c r="AV87" s="14" t="n">
        <v>64.2232360372326</v>
      </c>
      <c r="AW87" s="14"/>
      <c r="AX87" s="14"/>
      <c r="AY87" s="14" t="n">
        <v>64.9775591596285</v>
      </c>
      <c r="AZ87" s="14" t="n">
        <v>63.4689129148368</v>
      </c>
      <c r="BA87" s="14" t="n">
        <v>5323.05922513382</v>
      </c>
      <c r="BB87" s="14" t="n">
        <v>284.326189626255</v>
      </c>
      <c r="BC87" s="14" t="n">
        <v>2565.59926301322</v>
      </c>
      <c r="BF87" s="14"/>
      <c r="BG87" s="14"/>
      <c r="BH87" s="14" t="n">
        <v>716.684997558594</v>
      </c>
      <c r="BI87" s="14" t="n">
        <v>701.820068359375</v>
      </c>
      <c r="BJ87" s="14"/>
      <c r="BK87" s="14"/>
      <c r="BL87" s="14" t="n">
        <v>3.65035426981142</v>
      </c>
      <c r="BM87" s="14" t="n">
        <v>3.53008676773679</v>
      </c>
      <c r="BN87" s="14"/>
      <c r="BO87" s="14"/>
      <c r="BP87" s="14" t="n">
        <v>1.82517713490571</v>
      </c>
      <c r="BQ87" s="14" t="n">
        <v>1.76504338386839</v>
      </c>
      <c r="BR87" s="14"/>
      <c r="BS87" s="14"/>
      <c r="BT87" s="14" t="n">
        <v>64.6080850802771</v>
      </c>
      <c r="BU87" s="14" t="n">
        <v>63.8383869941882</v>
      </c>
      <c r="BV87" s="1" t="s">
        <v>87</v>
      </c>
    </row>
    <row r="88" customFormat="false" ht="15" hidden="false" customHeight="false" outlineLevel="0" collapsed="false">
      <c r="A88" s="12"/>
      <c r="B88" s="1" t="s">
        <v>150</v>
      </c>
      <c r="C88" s="1" t="s">
        <v>140</v>
      </c>
      <c r="D88" s="1" t="s">
        <v>141</v>
      </c>
      <c r="E88" s="1" t="s">
        <v>142</v>
      </c>
      <c r="F88" s="1" t="s">
        <v>80</v>
      </c>
      <c r="G88" s="1" t="s">
        <v>86</v>
      </c>
      <c r="H88" s="14" t="n">
        <v>395.089416503906</v>
      </c>
      <c r="I88" s="14"/>
      <c r="J88" s="1" t="s">
        <v>81</v>
      </c>
      <c r="K88" s="1" t="s">
        <v>82</v>
      </c>
      <c r="L88" s="1" t="s">
        <v>29</v>
      </c>
      <c r="M88" s="1" t="s">
        <v>83</v>
      </c>
      <c r="N88" s="1" t="s">
        <v>83</v>
      </c>
      <c r="O88" s="1" t="s">
        <v>84</v>
      </c>
      <c r="P88" s="1" t="s">
        <v>88</v>
      </c>
      <c r="Q88" s="14" t="n">
        <v>7901.7880859375</v>
      </c>
      <c r="R88" s="14"/>
      <c r="S88" s="14"/>
      <c r="T88" s="14" t="n">
        <v>405.251007080078</v>
      </c>
      <c r="U88" s="14" t="n">
        <v>385.014862060547</v>
      </c>
      <c r="V88" s="3" t="n">
        <v>20729</v>
      </c>
      <c r="W88" s="3" t="n">
        <v>5913</v>
      </c>
      <c r="X88" s="3" t="n">
        <v>14816</v>
      </c>
      <c r="Y88" s="14" t="n">
        <v>2620</v>
      </c>
      <c r="Z88" s="14" t="n">
        <v>6765</v>
      </c>
      <c r="AA88" s="14" t="n">
        <v>3293</v>
      </c>
      <c r="AB88" s="14" t="n">
        <v>8051</v>
      </c>
      <c r="AC88" s="14" t="n">
        <v>0</v>
      </c>
      <c r="AD88" s="14"/>
      <c r="AE88" s="14"/>
      <c r="AF88" s="14"/>
      <c r="AG88" s="14"/>
      <c r="AH88" s="14"/>
      <c r="AI88" s="14"/>
      <c r="AJ88" s="14"/>
      <c r="AK88" s="14" t="n">
        <v>1500</v>
      </c>
      <c r="AL88" s="14"/>
      <c r="AM88" s="14"/>
      <c r="AN88" s="14" t="n">
        <v>9.54717071486593</v>
      </c>
      <c r="AO88" s="14" t="n">
        <v>3.58166784992055</v>
      </c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 t="n">
        <v>4070.34614611245</v>
      </c>
      <c r="BB88" s="14" t="n">
        <v>1052.08550220844</v>
      </c>
      <c r="BC88" s="14" t="n">
        <v>1913.05203158296</v>
      </c>
      <c r="BF88" s="14"/>
      <c r="BG88" s="14"/>
      <c r="BH88" s="14" t="n">
        <v>400.262939453125</v>
      </c>
      <c r="BI88" s="14" t="n">
        <v>389.938568115234</v>
      </c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" t="s">
        <v>87</v>
      </c>
    </row>
    <row r="89" customFormat="false" ht="15" hidden="false" customHeight="false" outlineLevel="0" collapsed="false">
      <c r="A89" s="12" t="s">
        <v>74</v>
      </c>
      <c r="H89" s="14"/>
      <c r="I89" s="14"/>
      <c r="Q89" s="14"/>
      <c r="R89" s="14"/>
      <c r="S89" s="14"/>
      <c r="T89" s="14"/>
      <c r="U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</row>
    <row r="90" customFormat="false" ht="15" hidden="false" customHeight="false" outlineLevel="0" collapsed="false">
      <c r="A90" s="12"/>
      <c r="H90" s="14"/>
      <c r="I90" s="14"/>
      <c r="Q90" s="14"/>
      <c r="R90" s="14"/>
      <c r="S90" s="14"/>
      <c r="T90" s="14"/>
      <c r="U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</row>
    <row r="91" customFormat="false" ht="15" hidden="false" customHeight="false" outlineLevel="0" collapsed="false">
      <c r="A91" s="12" t="s">
        <v>89</v>
      </c>
      <c r="H91" s="14"/>
      <c r="I91" s="14"/>
      <c r="Q91" s="14"/>
      <c r="R91" s="14"/>
      <c r="S91" s="14"/>
      <c r="T91" s="14"/>
      <c r="U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</row>
    <row r="92" customFormat="false" ht="15" hidden="false" customHeight="false" outlineLevel="0" collapsed="false">
      <c r="A92" s="12"/>
      <c r="H92" s="14"/>
      <c r="I92" s="14"/>
      <c r="Q92" s="14"/>
      <c r="R92" s="14"/>
      <c r="S92" s="14"/>
      <c r="T92" s="14"/>
      <c r="U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</row>
    <row r="93" customFormat="false" ht="15" hidden="false" customHeight="false" outlineLevel="0" collapsed="false">
      <c r="A93" s="12" t="s">
        <v>74</v>
      </c>
      <c r="H93" s="14"/>
      <c r="I93" s="14"/>
      <c r="Q93" s="14"/>
      <c r="R93" s="14"/>
      <c r="S93" s="14"/>
      <c r="T93" s="14"/>
      <c r="U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</row>
    <row r="94" customFormat="false" ht="15" hidden="false" customHeight="false" outlineLevel="0" collapsed="false">
      <c r="A94" s="12"/>
      <c r="H94" s="14"/>
      <c r="I94" s="14"/>
      <c r="Q94" s="14"/>
      <c r="R94" s="14"/>
      <c r="S94" s="14"/>
      <c r="T94" s="14"/>
      <c r="U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</row>
    <row r="95" customFormat="false" ht="15" hidden="false" customHeight="false" outlineLevel="0" collapsed="false">
      <c r="A95" s="12" t="s">
        <v>89</v>
      </c>
      <c r="H95" s="14"/>
      <c r="I95" s="14"/>
      <c r="Q95" s="14"/>
      <c r="R95" s="14"/>
      <c r="S95" s="14"/>
      <c r="T95" s="14"/>
      <c r="U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</row>
    <row r="96" customFormat="false" ht="15" hidden="false" customHeight="false" outlineLevel="0" collapsed="false">
      <c r="A96" s="12"/>
      <c r="H96" s="14"/>
      <c r="I96" s="14"/>
      <c r="Q96" s="14"/>
      <c r="R96" s="14"/>
      <c r="S96" s="14"/>
      <c r="T96" s="14"/>
      <c r="U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</row>
    <row r="97" customFormat="false" ht="15" hidden="false" customHeight="false" outlineLevel="0" collapsed="false">
      <c r="A97" s="12" t="s">
        <v>74</v>
      </c>
      <c r="H97" s="14"/>
      <c r="I97" s="14"/>
      <c r="Q97" s="14"/>
      <c r="R97" s="14"/>
      <c r="S97" s="14"/>
      <c r="T97" s="14"/>
      <c r="U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</row>
    <row r="98" customFormat="false" ht="15" hidden="false" customHeight="false" outlineLevel="0" collapsed="false">
      <c r="A98" s="12"/>
      <c r="H98" s="14"/>
      <c r="I98" s="14"/>
      <c r="Q98" s="14"/>
      <c r="R98" s="14"/>
      <c r="S98" s="14"/>
      <c r="T98" s="14"/>
      <c r="U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</row>
    <row r="99" customFormat="false" ht="15" hidden="false" customHeight="false" outlineLevel="0" collapsed="false">
      <c r="A99" s="12" t="s">
        <v>89</v>
      </c>
      <c r="H99" s="14"/>
      <c r="I99" s="14"/>
      <c r="Q99" s="14"/>
      <c r="R99" s="14"/>
      <c r="S99" s="14"/>
      <c r="T99" s="14"/>
      <c r="U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</row>
    <row r="100" customFormat="false" ht="15" hidden="false" customHeight="false" outlineLevel="0" collapsed="false">
      <c r="A100" s="12"/>
      <c r="H100" s="14"/>
      <c r="I100" s="14"/>
      <c r="Q100" s="14"/>
      <c r="R100" s="14"/>
      <c r="S100" s="14"/>
      <c r="T100" s="14"/>
      <c r="U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</row>
    <row r="101" customFormat="false" ht="15" hidden="false" customHeight="false" outlineLevel="0" collapsed="false">
      <c r="A101" s="12" t="s">
        <v>74</v>
      </c>
      <c r="H101" s="14"/>
      <c r="I101" s="14"/>
      <c r="Q101" s="14"/>
      <c r="R101" s="14"/>
      <c r="S101" s="14"/>
      <c r="T101" s="14"/>
      <c r="U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</row>
    <row r="102" customFormat="false" ht="15" hidden="false" customHeight="false" outlineLevel="0" collapsed="false">
      <c r="A102" s="12"/>
      <c r="H102" s="14"/>
      <c r="I102" s="14"/>
      <c r="Q102" s="14"/>
      <c r="R102" s="14"/>
      <c r="S102" s="14"/>
      <c r="T102" s="14"/>
      <c r="U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</row>
    <row r="103" customFormat="false" ht="15" hidden="false" customHeight="false" outlineLevel="0" collapsed="false">
      <c r="A103" s="12" t="s">
        <v>89</v>
      </c>
      <c r="H103" s="14"/>
      <c r="I103" s="14"/>
      <c r="Q103" s="14"/>
      <c r="R103" s="14"/>
      <c r="S103" s="14"/>
      <c r="T103" s="14"/>
      <c r="U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</row>
    <row r="104" customFormat="false" ht="15" hidden="false" customHeight="false" outlineLevel="0" collapsed="false">
      <c r="A104" s="12"/>
      <c r="H104" s="14"/>
      <c r="I104" s="14"/>
      <c r="Q104" s="14"/>
      <c r="R104" s="14"/>
      <c r="S104" s="14"/>
      <c r="T104" s="14"/>
      <c r="U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</row>
    <row r="105" customFormat="false" ht="15" hidden="false" customHeight="false" outlineLevel="0" collapsed="false">
      <c r="A105" s="12" t="s">
        <v>74</v>
      </c>
      <c r="H105" s="14"/>
      <c r="I105" s="14"/>
      <c r="Q105" s="14"/>
      <c r="R105" s="14"/>
      <c r="S105" s="14"/>
      <c r="T105" s="14"/>
      <c r="U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</row>
    <row r="106" customFormat="false" ht="15" hidden="false" customHeight="false" outlineLevel="0" collapsed="false">
      <c r="A106" s="12"/>
      <c r="H106" s="14"/>
      <c r="I106" s="14"/>
      <c r="Q106" s="14"/>
      <c r="R106" s="14"/>
      <c r="S106" s="14"/>
      <c r="T106" s="14"/>
      <c r="U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</row>
    <row r="107" customFormat="false" ht="15" hidden="false" customHeight="false" outlineLevel="0" collapsed="false">
      <c r="A107" s="12" t="s">
        <v>89</v>
      </c>
      <c r="H107" s="14"/>
      <c r="I107" s="14"/>
      <c r="Q107" s="14"/>
      <c r="R107" s="14"/>
      <c r="S107" s="14"/>
      <c r="T107" s="14"/>
      <c r="U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</row>
    <row r="108" customFormat="false" ht="15" hidden="false" customHeight="false" outlineLevel="0" collapsed="false">
      <c r="A108" s="12"/>
      <c r="H108" s="14"/>
      <c r="I108" s="14"/>
      <c r="Q108" s="14"/>
      <c r="R108" s="14"/>
      <c r="S108" s="14"/>
      <c r="T108" s="14"/>
      <c r="U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</row>
    <row r="109" customFormat="false" ht="15" hidden="false" customHeight="false" outlineLevel="0" collapsed="false">
      <c r="A109" s="12" t="s">
        <v>74</v>
      </c>
      <c r="H109" s="14"/>
      <c r="I109" s="14"/>
      <c r="Q109" s="14"/>
      <c r="R109" s="14"/>
      <c r="S109" s="14"/>
      <c r="T109" s="14"/>
      <c r="U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</row>
    <row r="110" customFormat="false" ht="15" hidden="false" customHeight="false" outlineLevel="0" collapsed="false">
      <c r="A110" s="12"/>
      <c r="H110" s="14"/>
      <c r="I110" s="14"/>
      <c r="Q110" s="14"/>
      <c r="R110" s="14"/>
      <c r="S110" s="14"/>
      <c r="T110" s="14"/>
      <c r="U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</row>
    <row r="111" customFormat="false" ht="15" hidden="false" customHeight="false" outlineLevel="0" collapsed="false">
      <c r="A111" s="12" t="s">
        <v>89</v>
      </c>
      <c r="H111" s="14"/>
      <c r="I111" s="14"/>
      <c r="Q111" s="14"/>
      <c r="R111" s="14"/>
      <c r="S111" s="14"/>
      <c r="T111" s="14"/>
      <c r="U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</row>
    <row r="112" customFormat="false" ht="15" hidden="false" customHeight="false" outlineLevel="0" collapsed="false">
      <c r="A112" s="12"/>
      <c r="H112" s="14"/>
      <c r="I112" s="14"/>
      <c r="Q112" s="14"/>
      <c r="R112" s="14"/>
      <c r="S112" s="14"/>
      <c r="T112" s="14"/>
      <c r="U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</row>
    <row r="113" customFormat="false" ht="15" hidden="false" customHeight="false" outlineLevel="0" collapsed="false">
      <c r="A113" s="12" t="s">
        <v>74</v>
      </c>
      <c r="H113" s="14"/>
      <c r="I113" s="14"/>
      <c r="Q113" s="14"/>
      <c r="R113" s="14"/>
      <c r="S113" s="14"/>
      <c r="T113" s="14"/>
      <c r="U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</row>
    <row r="114" customFormat="false" ht="15" hidden="false" customHeight="false" outlineLevel="0" collapsed="false">
      <c r="A114" s="12"/>
      <c r="H114" s="14"/>
      <c r="I114" s="14"/>
      <c r="Q114" s="14"/>
      <c r="R114" s="14"/>
      <c r="S114" s="14"/>
      <c r="T114" s="14"/>
      <c r="U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</row>
    <row r="115" customFormat="false" ht="15" hidden="false" customHeight="false" outlineLevel="0" collapsed="false">
      <c r="A115" s="12" t="s">
        <v>89</v>
      </c>
      <c r="H115" s="14"/>
      <c r="I115" s="14"/>
      <c r="Q115" s="14"/>
      <c r="R115" s="14"/>
      <c r="S115" s="14"/>
      <c r="T115" s="14"/>
      <c r="U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</row>
    <row r="116" customFormat="false" ht="15" hidden="false" customHeight="false" outlineLevel="0" collapsed="false">
      <c r="A116" s="12"/>
      <c r="H116" s="14"/>
      <c r="I116" s="14"/>
      <c r="Q116" s="14"/>
      <c r="R116" s="14"/>
      <c r="S116" s="14"/>
      <c r="T116" s="14"/>
      <c r="U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</row>
    <row r="117" customFormat="false" ht="15" hidden="false" customHeight="false" outlineLevel="0" collapsed="false">
      <c r="A117" s="12" t="s">
        <v>74</v>
      </c>
      <c r="H117" s="14"/>
      <c r="I117" s="14"/>
      <c r="Q117" s="14"/>
      <c r="R117" s="14"/>
      <c r="S117" s="14"/>
      <c r="T117" s="14"/>
      <c r="U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</row>
    <row r="118" customFormat="false" ht="15" hidden="false" customHeight="false" outlineLevel="0" collapsed="false">
      <c r="A118" s="12"/>
      <c r="H118" s="14"/>
      <c r="I118" s="14"/>
      <c r="Q118" s="14"/>
      <c r="R118" s="14"/>
      <c r="S118" s="14"/>
      <c r="T118" s="14"/>
      <c r="U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</row>
    <row r="119" customFormat="false" ht="15" hidden="false" customHeight="false" outlineLevel="0" collapsed="false">
      <c r="A119" s="12" t="s">
        <v>89</v>
      </c>
      <c r="H119" s="14"/>
      <c r="I119" s="14"/>
      <c r="Q119" s="14"/>
      <c r="R119" s="14"/>
      <c r="S119" s="14"/>
      <c r="T119" s="14"/>
      <c r="U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</row>
    <row r="120" customFormat="false" ht="15" hidden="false" customHeight="false" outlineLevel="0" collapsed="false">
      <c r="A120" s="12"/>
      <c r="H120" s="14"/>
      <c r="I120" s="14"/>
      <c r="Q120" s="14"/>
      <c r="R120" s="14"/>
      <c r="S120" s="14"/>
      <c r="T120" s="14"/>
      <c r="U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</row>
    <row r="121" customFormat="false" ht="15" hidden="false" customHeight="false" outlineLevel="0" collapsed="false">
      <c r="A121" s="12" t="s">
        <v>74</v>
      </c>
      <c r="H121" s="14"/>
      <c r="I121" s="14"/>
      <c r="Q121" s="14"/>
      <c r="R121" s="14"/>
      <c r="S121" s="14"/>
      <c r="T121" s="14"/>
      <c r="U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</row>
    <row r="122" customFormat="false" ht="15" hidden="false" customHeight="false" outlineLevel="0" collapsed="false">
      <c r="A122" s="12"/>
      <c r="H122" s="14"/>
      <c r="I122" s="14"/>
      <c r="Q122" s="14"/>
      <c r="R122" s="14"/>
      <c r="S122" s="14"/>
      <c r="T122" s="14"/>
      <c r="U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</row>
    <row r="123" customFormat="false" ht="15" hidden="false" customHeight="false" outlineLevel="0" collapsed="false">
      <c r="A123" s="12" t="s">
        <v>89</v>
      </c>
      <c r="H123" s="14"/>
      <c r="I123" s="14"/>
      <c r="Q123" s="14"/>
      <c r="R123" s="14"/>
      <c r="S123" s="14"/>
      <c r="T123" s="14"/>
      <c r="U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</row>
    <row r="124" customFormat="false" ht="15" hidden="false" customHeight="false" outlineLevel="0" collapsed="false">
      <c r="A124" s="12"/>
      <c r="H124" s="14"/>
      <c r="I124" s="14"/>
      <c r="Q124" s="14"/>
      <c r="R124" s="14"/>
      <c r="S124" s="14"/>
      <c r="T124" s="14"/>
      <c r="U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</row>
    <row r="125" customFormat="false" ht="15" hidden="false" customHeight="false" outlineLevel="0" collapsed="false">
      <c r="A125" s="12" t="s">
        <v>74</v>
      </c>
      <c r="H125" s="14"/>
      <c r="I125" s="14"/>
      <c r="Q125" s="14"/>
      <c r="R125" s="14"/>
      <c r="S125" s="14"/>
      <c r="T125" s="14"/>
      <c r="U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</row>
    <row r="126" customFormat="false" ht="15" hidden="false" customHeight="false" outlineLevel="0" collapsed="false">
      <c r="A126" s="12"/>
      <c r="H126" s="14"/>
      <c r="I126" s="14"/>
      <c r="Q126" s="14"/>
      <c r="R126" s="14"/>
      <c r="S126" s="14"/>
      <c r="T126" s="14"/>
      <c r="U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</row>
    <row r="127" customFormat="false" ht="15" hidden="false" customHeight="false" outlineLevel="0" collapsed="false">
      <c r="A127" s="12" t="s">
        <v>89</v>
      </c>
      <c r="H127" s="14"/>
      <c r="I127" s="14"/>
      <c r="Q127" s="14"/>
      <c r="R127" s="14"/>
      <c r="S127" s="14"/>
      <c r="T127" s="14"/>
      <c r="U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</row>
    <row r="128" customFormat="false" ht="15" hidden="false" customHeight="false" outlineLevel="0" collapsed="false">
      <c r="A128" s="12"/>
      <c r="H128" s="14"/>
      <c r="I128" s="14"/>
      <c r="Q128" s="14"/>
      <c r="R128" s="14"/>
      <c r="S128" s="14"/>
      <c r="T128" s="14"/>
      <c r="U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</row>
    <row r="129" customFormat="false" ht="15" hidden="false" customHeight="false" outlineLevel="0" collapsed="false">
      <c r="A129" s="12" t="s">
        <v>74</v>
      </c>
      <c r="H129" s="14"/>
      <c r="I129" s="14"/>
      <c r="Q129" s="14"/>
      <c r="R129" s="14"/>
      <c r="S129" s="14"/>
      <c r="T129" s="14"/>
      <c r="U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</row>
    <row r="130" customFormat="false" ht="15" hidden="false" customHeight="false" outlineLevel="0" collapsed="false">
      <c r="A130" s="12"/>
      <c r="H130" s="14"/>
      <c r="I130" s="14"/>
      <c r="Q130" s="14"/>
      <c r="R130" s="14"/>
      <c r="S130" s="14"/>
      <c r="T130" s="14"/>
      <c r="U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</row>
    <row r="131" customFormat="false" ht="15" hidden="false" customHeight="false" outlineLevel="0" collapsed="false">
      <c r="A131" s="12" t="s">
        <v>89</v>
      </c>
      <c r="H131" s="14"/>
      <c r="I131" s="14"/>
      <c r="Q131" s="14"/>
      <c r="R131" s="14"/>
      <c r="S131" s="14"/>
      <c r="T131" s="14"/>
      <c r="U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</row>
    <row r="132" customFormat="false" ht="15" hidden="false" customHeight="false" outlineLevel="0" collapsed="false">
      <c r="A132" s="12"/>
      <c r="H132" s="14"/>
      <c r="I132" s="14"/>
      <c r="Q132" s="14"/>
      <c r="R132" s="14"/>
      <c r="S132" s="14"/>
      <c r="T132" s="14"/>
      <c r="U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</row>
    <row r="133" customFormat="false" ht="15" hidden="false" customHeight="false" outlineLevel="0" collapsed="false">
      <c r="A133" s="12" t="s">
        <v>74</v>
      </c>
      <c r="H133" s="14"/>
      <c r="I133" s="14"/>
      <c r="Q133" s="14"/>
      <c r="R133" s="14"/>
      <c r="S133" s="14"/>
      <c r="T133" s="14"/>
      <c r="U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</row>
    <row r="134" customFormat="false" ht="15" hidden="false" customHeight="false" outlineLevel="0" collapsed="false">
      <c r="A134" s="12"/>
      <c r="H134" s="14"/>
      <c r="I134" s="14"/>
      <c r="Q134" s="14"/>
      <c r="R134" s="14"/>
      <c r="S134" s="14"/>
      <c r="T134" s="14"/>
      <c r="U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</row>
    <row r="135" customFormat="false" ht="15" hidden="false" customHeight="false" outlineLevel="0" collapsed="false">
      <c r="A135" s="12" t="s">
        <v>89</v>
      </c>
      <c r="H135" s="14"/>
      <c r="I135" s="14"/>
      <c r="Q135" s="14"/>
      <c r="R135" s="14"/>
      <c r="S135" s="14"/>
      <c r="T135" s="14"/>
      <c r="U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</row>
    <row r="136" customFormat="false" ht="15" hidden="false" customHeight="false" outlineLevel="0" collapsed="false">
      <c r="A136" s="12"/>
      <c r="H136" s="14"/>
      <c r="I136" s="14"/>
      <c r="Q136" s="14"/>
      <c r="R136" s="14"/>
      <c r="S136" s="14"/>
      <c r="T136" s="14"/>
      <c r="U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</row>
    <row r="137" customFormat="false" ht="15" hidden="false" customHeight="false" outlineLevel="0" collapsed="false">
      <c r="A137" s="12" t="s">
        <v>74</v>
      </c>
      <c r="H137" s="14"/>
      <c r="I137" s="14"/>
      <c r="Q137" s="14"/>
      <c r="R137" s="14"/>
      <c r="S137" s="14"/>
      <c r="T137" s="14"/>
      <c r="U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</row>
    <row r="138" customFormat="false" ht="15" hidden="false" customHeight="false" outlineLevel="0" collapsed="false">
      <c r="A138" s="12"/>
      <c r="H138" s="14"/>
      <c r="I138" s="14"/>
      <c r="Q138" s="14"/>
      <c r="R138" s="14"/>
      <c r="S138" s="14"/>
      <c r="T138" s="14"/>
      <c r="U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</row>
    <row r="139" customFormat="false" ht="15" hidden="false" customHeight="false" outlineLevel="0" collapsed="false">
      <c r="A139" s="12" t="s">
        <v>89</v>
      </c>
      <c r="H139" s="14"/>
      <c r="I139" s="14"/>
      <c r="Q139" s="14"/>
      <c r="R139" s="14"/>
      <c r="S139" s="14"/>
      <c r="T139" s="14"/>
      <c r="U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</row>
    <row r="140" customFormat="false" ht="15" hidden="false" customHeight="false" outlineLevel="0" collapsed="false">
      <c r="A140" s="12"/>
      <c r="H140" s="14"/>
      <c r="I140" s="14"/>
      <c r="Q140" s="14"/>
      <c r="R140" s="14"/>
      <c r="S140" s="14"/>
      <c r="T140" s="14"/>
      <c r="U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</row>
    <row r="141" customFormat="false" ht="15" hidden="false" customHeight="false" outlineLevel="0" collapsed="false">
      <c r="A141" s="12" t="s">
        <v>74</v>
      </c>
      <c r="H141" s="14"/>
      <c r="I141" s="14"/>
      <c r="Q141" s="14"/>
      <c r="R141" s="14"/>
      <c r="S141" s="14"/>
      <c r="T141" s="14"/>
      <c r="U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</row>
    <row r="142" customFormat="false" ht="15" hidden="false" customHeight="false" outlineLevel="0" collapsed="false">
      <c r="A142" s="12"/>
      <c r="H142" s="14"/>
      <c r="I142" s="14"/>
      <c r="Q142" s="14"/>
      <c r="R142" s="14"/>
      <c r="S142" s="14"/>
      <c r="T142" s="14"/>
      <c r="U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</row>
    <row r="143" customFormat="false" ht="15" hidden="false" customHeight="false" outlineLevel="0" collapsed="false">
      <c r="A143" s="12" t="s">
        <v>89</v>
      </c>
      <c r="H143" s="14"/>
      <c r="I143" s="14"/>
      <c r="Q143" s="14"/>
      <c r="R143" s="14"/>
      <c r="S143" s="14"/>
      <c r="T143" s="14"/>
      <c r="U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</row>
    <row r="144" customFormat="false" ht="15" hidden="false" customHeight="false" outlineLevel="0" collapsed="false">
      <c r="A144" s="12"/>
      <c r="H144" s="14"/>
      <c r="I144" s="14"/>
      <c r="Q144" s="14"/>
      <c r="R144" s="14"/>
      <c r="S144" s="14"/>
      <c r="T144" s="14"/>
      <c r="U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</row>
    <row r="145" customFormat="false" ht="15" hidden="false" customHeight="false" outlineLevel="0" collapsed="false">
      <c r="A145" s="12" t="s">
        <v>74</v>
      </c>
      <c r="H145" s="14"/>
      <c r="I145" s="14"/>
      <c r="Q145" s="14"/>
      <c r="R145" s="14"/>
      <c r="S145" s="14"/>
      <c r="T145" s="14"/>
      <c r="U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</row>
    <row r="146" customFormat="false" ht="15" hidden="false" customHeight="false" outlineLevel="0" collapsed="false">
      <c r="A146" s="12"/>
      <c r="H146" s="14"/>
      <c r="I146" s="14"/>
      <c r="Q146" s="14"/>
      <c r="R146" s="14"/>
      <c r="S146" s="14"/>
      <c r="T146" s="14"/>
      <c r="U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</row>
    <row r="147" customFormat="false" ht="15" hidden="false" customHeight="false" outlineLevel="0" collapsed="false">
      <c r="A147" s="12" t="s">
        <v>89</v>
      </c>
      <c r="H147" s="14"/>
      <c r="I147" s="14"/>
      <c r="Q147" s="14"/>
      <c r="R147" s="14"/>
      <c r="S147" s="14"/>
      <c r="T147" s="14"/>
      <c r="U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</row>
    <row r="148" customFormat="false" ht="15" hidden="false" customHeight="false" outlineLevel="0" collapsed="false">
      <c r="A148" s="12"/>
      <c r="H148" s="14"/>
      <c r="I148" s="14"/>
      <c r="Q148" s="14"/>
      <c r="R148" s="14"/>
      <c r="S148" s="14"/>
      <c r="T148" s="14"/>
      <c r="U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</row>
    <row r="149" customFormat="false" ht="15" hidden="false" customHeight="false" outlineLevel="0" collapsed="false">
      <c r="A149" s="12" t="s">
        <v>74</v>
      </c>
      <c r="H149" s="14"/>
      <c r="I149" s="14"/>
      <c r="Q149" s="14"/>
      <c r="R149" s="14"/>
      <c r="S149" s="14"/>
      <c r="T149" s="14"/>
      <c r="U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</row>
    <row r="150" customFormat="false" ht="15" hidden="false" customHeight="false" outlineLevel="0" collapsed="false">
      <c r="A150" s="12"/>
      <c r="H150" s="14"/>
      <c r="I150" s="14"/>
      <c r="Q150" s="14"/>
      <c r="R150" s="14"/>
      <c r="S150" s="14"/>
      <c r="T150" s="14"/>
      <c r="U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</row>
    <row r="151" customFormat="false" ht="15" hidden="false" customHeight="false" outlineLevel="0" collapsed="false">
      <c r="A151" s="12" t="s">
        <v>89</v>
      </c>
      <c r="H151" s="14"/>
      <c r="I151" s="14"/>
      <c r="Q151" s="14"/>
      <c r="R151" s="14"/>
      <c r="S151" s="14"/>
      <c r="T151" s="14"/>
      <c r="U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</row>
    <row r="152" customFormat="false" ht="15" hidden="false" customHeight="false" outlineLevel="0" collapsed="false">
      <c r="A152" s="12"/>
      <c r="H152" s="14"/>
      <c r="I152" s="14"/>
      <c r="Q152" s="14"/>
      <c r="R152" s="14"/>
      <c r="S152" s="14"/>
      <c r="T152" s="14"/>
      <c r="U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</row>
    <row r="153" customFormat="false" ht="15" hidden="false" customHeight="false" outlineLevel="0" collapsed="false">
      <c r="A153" s="12" t="s">
        <v>74</v>
      </c>
    </row>
    <row r="154" customFormat="false" ht="15" hidden="false" customHeight="false" outlineLevel="0" collapsed="false">
      <c r="A154" s="12"/>
    </row>
    <row r="155" customFormat="false" ht="15" hidden="false" customHeight="false" outlineLevel="0" collapsed="false">
      <c r="A155" s="12" t="s">
        <v>89</v>
      </c>
    </row>
    <row r="156" customFormat="false" ht="15" hidden="false" customHeight="false" outlineLevel="0" collapsed="false">
      <c r="A156" s="12"/>
    </row>
    <row r="157" customFormat="false" ht="15" hidden="false" customHeight="false" outlineLevel="0" collapsed="false">
      <c r="A157" s="12" t="s">
        <v>74</v>
      </c>
    </row>
    <row r="158" customFormat="false" ht="15" hidden="false" customHeight="false" outlineLevel="0" collapsed="false">
      <c r="A158" s="12"/>
    </row>
    <row r="159" customFormat="false" ht="15" hidden="false" customHeight="false" outlineLevel="0" collapsed="false">
      <c r="A159" s="12" t="s">
        <v>89</v>
      </c>
    </row>
    <row r="160" customFormat="false" ht="15" hidden="false" customHeight="false" outlineLevel="0" collapsed="false">
      <c r="A160" s="12"/>
    </row>
    <row r="161" customFormat="false" ht="15" hidden="false" customHeight="false" outlineLevel="0" collapsed="false">
      <c r="A161" s="12" t="s">
        <v>74</v>
      </c>
    </row>
    <row r="162" customFormat="false" ht="15" hidden="false" customHeight="false" outlineLevel="0" collapsed="false">
      <c r="A162" s="12"/>
    </row>
    <row r="163" customFormat="false" ht="15" hidden="false" customHeight="false" outlineLevel="0" collapsed="false">
      <c r="A163" s="12" t="s">
        <v>89</v>
      </c>
    </row>
    <row r="164" customFormat="false" ht="15" hidden="false" customHeight="false" outlineLevel="0" collapsed="false">
      <c r="A164" s="12"/>
    </row>
    <row r="165" customFormat="false" ht="15" hidden="false" customHeight="false" outlineLevel="0" collapsed="false">
      <c r="A165" s="12" t="s">
        <v>74</v>
      </c>
    </row>
    <row r="166" customFormat="false" ht="15" hidden="false" customHeight="false" outlineLevel="0" collapsed="false">
      <c r="A166" s="12"/>
    </row>
    <row r="167" customFormat="false" ht="15" hidden="false" customHeight="false" outlineLevel="0" collapsed="false">
      <c r="A167" s="12" t="s">
        <v>89</v>
      </c>
    </row>
    <row r="168" customFormat="false" ht="15" hidden="false" customHeight="false" outlineLevel="0" collapsed="false">
      <c r="A168" s="12"/>
    </row>
    <row r="169" customFormat="false" ht="15" hidden="false" customHeight="false" outlineLevel="0" collapsed="false">
      <c r="A169" s="12" t="s">
        <v>74</v>
      </c>
    </row>
    <row r="170" customFormat="false" ht="15" hidden="false" customHeight="false" outlineLevel="0" collapsed="false">
      <c r="A170" s="12"/>
    </row>
    <row r="171" customFormat="false" ht="15" hidden="false" customHeight="false" outlineLevel="0" collapsed="false">
      <c r="A171" s="12" t="s">
        <v>89</v>
      </c>
    </row>
    <row r="172" customFormat="false" ht="15" hidden="false" customHeight="false" outlineLevel="0" collapsed="false">
      <c r="A172" s="12"/>
    </row>
    <row r="173" customFormat="false" ht="15" hidden="false" customHeight="false" outlineLevel="0" collapsed="false">
      <c r="A173" s="12" t="s">
        <v>74</v>
      </c>
    </row>
    <row r="174" customFormat="false" ht="15" hidden="false" customHeight="false" outlineLevel="0" collapsed="false">
      <c r="A174" s="12"/>
    </row>
    <row r="175" customFormat="false" ht="15" hidden="false" customHeight="false" outlineLevel="0" collapsed="false">
      <c r="A175" s="12" t="s">
        <v>89</v>
      </c>
    </row>
    <row r="176" customFormat="false" ht="15" hidden="false" customHeight="false" outlineLevel="0" collapsed="false">
      <c r="A176" s="12"/>
    </row>
    <row r="177" customFormat="false" ht="15" hidden="false" customHeight="false" outlineLevel="0" collapsed="false">
      <c r="A177" s="12" t="s">
        <v>74</v>
      </c>
    </row>
    <row r="178" customFormat="false" ht="15" hidden="false" customHeight="false" outlineLevel="0" collapsed="false">
      <c r="A178" s="12"/>
    </row>
    <row r="179" customFormat="false" ht="15" hidden="false" customHeight="false" outlineLevel="0" collapsed="false">
      <c r="A179" s="12" t="s">
        <v>89</v>
      </c>
    </row>
    <row r="180" customFormat="false" ht="15" hidden="false" customHeight="false" outlineLevel="0" collapsed="false">
      <c r="A180" s="12"/>
    </row>
    <row r="181" customFormat="false" ht="15" hidden="false" customHeight="false" outlineLevel="0" collapsed="false">
      <c r="A181" s="12" t="s">
        <v>74</v>
      </c>
    </row>
    <row r="182" customFormat="false" ht="15" hidden="false" customHeight="false" outlineLevel="0" collapsed="false">
      <c r="A182" s="12"/>
    </row>
    <row r="183" customFormat="false" ht="15" hidden="false" customHeight="false" outlineLevel="0" collapsed="false">
      <c r="A183" s="12" t="s">
        <v>89</v>
      </c>
    </row>
    <row r="184" customFormat="false" ht="15" hidden="false" customHeight="false" outlineLevel="0" collapsed="false">
      <c r="A184" s="12"/>
    </row>
    <row r="185" customFormat="false" ht="15" hidden="false" customHeight="false" outlineLevel="0" collapsed="false">
      <c r="A185" s="12" t="s">
        <v>74</v>
      </c>
    </row>
    <row r="186" customFormat="false" ht="15" hidden="false" customHeight="false" outlineLevel="0" collapsed="false">
      <c r="A186" s="12"/>
    </row>
    <row r="187" customFormat="false" ht="15" hidden="false" customHeight="false" outlineLevel="0" collapsed="false">
      <c r="A187" s="12" t="s">
        <v>89</v>
      </c>
    </row>
    <row r="188" customFormat="false" ht="15" hidden="false" customHeight="false" outlineLevel="0" collapsed="false">
      <c r="A188" s="12"/>
    </row>
    <row r="189" customFormat="false" ht="15" hidden="false" customHeight="false" outlineLevel="0" collapsed="false">
      <c r="A189" s="12" t="s">
        <v>74</v>
      </c>
    </row>
    <row r="190" customFormat="false" ht="15" hidden="false" customHeight="false" outlineLevel="0" collapsed="false">
      <c r="A190" s="12"/>
    </row>
    <row r="191" customFormat="false" ht="15" hidden="false" customHeight="false" outlineLevel="0" collapsed="false">
      <c r="A191" s="12" t="s">
        <v>89</v>
      </c>
    </row>
    <row r="192" customFormat="false" ht="15" hidden="false" customHeight="false" outlineLevel="0" collapsed="false">
      <c r="A192" s="12"/>
    </row>
    <row r="193" customFormat="false" ht="15" hidden="false" customHeight="false" outlineLevel="0" collapsed="false">
      <c r="A193" s="12" t="s">
        <v>74</v>
      </c>
    </row>
    <row r="194" customFormat="false" ht="15" hidden="false" customHeight="false" outlineLevel="0" collapsed="false">
      <c r="A194" s="12"/>
    </row>
    <row r="195" customFormat="false" ht="15" hidden="false" customHeight="false" outlineLevel="0" collapsed="false">
      <c r="A195" s="12" t="s">
        <v>89</v>
      </c>
    </row>
    <row r="196" customFormat="false" ht="15" hidden="false" customHeight="false" outlineLevel="0" collapsed="false">
      <c r="A196" s="12"/>
    </row>
    <row r="197" customFormat="false" ht="15" hidden="false" customHeight="false" outlineLevel="0" collapsed="false">
      <c r="A197" s="12" t="s">
        <v>74</v>
      </c>
    </row>
    <row r="198" customFormat="false" ht="15" hidden="false" customHeight="false" outlineLevel="0" collapsed="false">
      <c r="A198" s="12"/>
    </row>
    <row r="199" customFormat="false" ht="15" hidden="false" customHeight="false" outlineLevel="0" collapsed="false">
      <c r="A199" s="12" t="s">
        <v>89</v>
      </c>
    </row>
    <row r="200" customFormat="false" ht="15" hidden="false" customHeight="false" outlineLevel="0" collapsed="false">
      <c r="A200" s="12"/>
    </row>
    <row r="201" customFormat="false" ht="15" hidden="false" customHeight="false" outlineLevel="0" collapsed="false">
      <c r="A201" s="12" t="s">
        <v>74</v>
      </c>
    </row>
    <row r="202" customFormat="false" ht="15" hidden="false" customHeight="false" outlineLevel="0" collapsed="false">
      <c r="A202" s="12"/>
    </row>
    <row r="203" customFormat="false" ht="15" hidden="false" customHeight="false" outlineLevel="0" collapsed="false">
      <c r="A203" s="12" t="s">
        <v>89</v>
      </c>
    </row>
    <row r="204" customFormat="false" ht="15" hidden="false" customHeight="false" outlineLevel="0" collapsed="false">
      <c r="A204" s="12"/>
    </row>
    <row r="205" customFormat="false" ht="15" hidden="false" customHeight="false" outlineLevel="0" collapsed="false">
      <c r="A205" s="12" t="s">
        <v>74</v>
      </c>
    </row>
    <row r="206" customFormat="false" ht="15" hidden="false" customHeight="false" outlineLevel="0" collapsed="false">
      <c r="A206" s="12"/>
    </row>
    <row r="207" customFormat="false" ht="15" hidden="false" customHeight="false" outlineLevel="0" collapsed="false">
      <c r="A207" s="12" t="s">
        <v>89</v>
      </c>
    </row>
    <row r="208" customFormat="false" ht="15" hidden="false" customHeight="false" outlineLevel="0" collapsed="false">
      <c r="A208" s="12"/>
    </row>
    <row r="209" customFormat="false" ht="15" hidden="false" customHeight="false" outlineLevel="0" collapsed="false">
      <c r="A209" s="12" t="s">
        <v>74</v>
      </c>
    </row>
    <row r="210" customFormat="false" ht="15" hidden="false" customHeight="false" outlineLevel="0" collapsed="false">
      <c r="A210" s="12"/>
    </row>
    <row r="211" customFormat="false" ht="15" hidden="false" customHeight="false" outlineLevel="0" collapsed="false">
      <c r="A211" s="12" t="s">
        <v>89</v>
      </c>
    </row>
    <row r="212" customFormat="false" ht="15" hidden="false" customHeight="false" outlineLevel="0" collapsed="false">
      <c r="A212" s="12"/>
    </row>
    <row r="213" customFormat="false" ht="15" hidden="false" customHeight="false" outlineLevel="0" collapsed="false">
      <c r="A213" s="12" t="s">
        <v>74</v>
      </c>
    </row>
    <row r="214" customFormat="false" ht="15" hidden="false" customHeight="false" outlineLevel="0" collapsed="false">
      <c r="A214" s="12"/>
    </row>
    <row r="215" customFormat="false" ht="15" hidden="false" customHeight="false" outlineLevel="0" collapsed="false">
      <c r="A215" s="12" t="s">
        <v>89</v>
      </c>
    </row>
    <row r="216" customFormat="false" ht="15" hidden="false" customHeight="false" outlineLevel="0" collapsed="false">
      <c r="A216" s="12"/>
    </row>
    <row r="217" customFormat="false" ht="15" hidden="false" customHeight="false" outlineLevel="0" collapsed="false">
      <c r="A217" s="12" t="s">
        <v>74</v>
      </c>
    </row>
    <row r="218" customFormat="false" ht="15" hidden="false" customHeight="false" outlineLevel="0" collapsed="false">
      <c r="A218" s="12"/>
    </row>
    <row r="219" customFormat="false" ht="15" hidden="false" customHeight="false" outlineLevel="0" collapsed="false">
      <c r="A219" s="12" t="s">
        <v>89</v>
      </c>
    </row>
    <row r="220" customFormat="false" ht="15" hidden="false" customHeight="false" outlineLevel="0" collapsed="false">
      <c r="A220" s="12"/>
    </row>
    <row r="221" customFormat="false" ht="15" hidden="false" customHeight="false" outlineLevel="0" collapsed="false">
      <c r="A221" s="12" t="s">
        <v>74</v>
      </c>
    </row>
    <row r="222" customFormat="false" ht="15" hidden="false" customHeight="false" outlineLevel="0" collapsed="false">
      <c r="A222" s="12"/>
    </row>
    <row r="223" customFormat="false" ht="15" hidden="false" customHeight="false" outlineLevel="0" collapsed="false">
      <c r="A223" s="12" t="s">
        <v>89</v>
      </c>
    </row>
    <row r="224" customFormat="false" ht="15" hidden="false" customHeight="false" outlineLevel="0" collapsed="false">
      <c r="A224" s="12"/>
    </row>
    <row r="225" customFormat="false" ht="15" hidden="false" customHeight="false" outlineLevel="0" collapsed="false">
      <c r="A225" s="12" t="s">
        <v>74</v>
      </c>
    </row>
    <row r="226" customFormat="false" ht="15" hidden="false" customHeight="false" outlineLevel="0" collapsed="false">
      <c r="A226" s="12"/>
    </row>
    <row r="227" customFormat="false" ht="15" hidden="false" customHeight="false" outlineLevel="0" collapsed="false">
      <c r="A227" s="12" t="s">
        <v>89</v>
      </c>
    </row>
    <row r="228" customFormat="false" ht="15" hidden="false" customHeight="false" outlineLevel="0" collapsed="false">
      <c r="A228" s="12"/>
    </row>
    <row r="229" customFormat="false" ht="15" hidden="false" customHeight="false" outlineLevel="0" collapsed="false">
      <c r="A229" s="12" t="s">
        <v>74</v>
      </c>
    </row>
    <row r="230" customFormat="false" ht="15" hidden="false" customHeight="false" outlineLevel="0" collapsed="false">
      <c r="A230" s="12"/>
    </row>
    <row r="231" customFormat="false" ht="15" hidden="false" customHeight="false" outlineLevel="0" collapsed="false">
      <c r="A231" s="12" t="s">
        <v>89</v>
      </c>
    </row>
    <row r="232" customFormat="false" ht="15" hidden="false" customHeight="false" outlineLevel="0" collapsed="false">
      <c r="A232" s="12"/>
    </row>
    <row r="233" customFormat="false" ht="15" hidden="false" customHeight="false" outlineLevel="0" collapsed="false">
      <c r="A233" s="12" t="s">
        <v>74</v>
      </c>
    </row>
    <row r="234" customFormat="false" ht="15" hidden="false" customHeight="false" outlineLevel="0" collapsed="false">
      <c r="A234" s="12"/>
    </row>
    <row r="235" customFormat="false" ht="15" hidden="false" customHeight="false" outlineLevel="0" collapsed="false">
      <c r="A235" s="12" t="s">
        <v>89</v>
      </c>
    </row>
    <row r="236" customFormat="false" ht="15" hidden="false" customHeight="false" outlineLevel="0" collapsed="false">
      <c r="A236" s="12"/>
    </row>
    <row r="237" customFormat="false" ht="15" hidden="false" customHeight="false" outlineLevel="0" collapsed="false">
      <c r="A237" s="12" t="s">
        <v>74</v>
      </c>
    </row>
    <row r="238" customFormat="false" ht="15" hidden="false" customHeight="false" outlineLevel="0" collapsed="false">
      <c r="A238" s="12"/>
    </row>
    <row r="239" customFormat="false" ht="15" hidden="false" customHeight="false" outlineLevel="0" collapsed="false">
      <c r="A239" s="12" t="s">
        <v>89</v>
      </c>
    </row>
    <row r="240" customFormat="false" ht="15" hidden="false" customHeight="false" outlineLevel="0" collapsed="false">
      <c r="A240" s="12"/>
    </row>
    <row r="241" customFormat="false" ht="15" hidden="false" customHeight="false" outlineLevel="0" collapsed="false">
      <c r="A241" s="12" t="s">
        <v>74</v>
      </c>
    </row>
    <row r="242" customFormat="false" ht="15" hidden="false" customHeight="false" outlineLevel="0" collapsed="false">
      <c r="A242" s="12"/>
    </row>
    <row r="243" customFormat="false" ht="15" hidden="false" customHeight="false" outlineLevel="0" collapsed="false">
      <c r="A243" s="12" t="s">
        <v>89</v>
      </c>
    </row>
    <row r="244" customFormat="false" ht="15" hidden="false" customHeight="false" outlineLevel="0" collapsed="false">
      <c r="A244" s="12"/>
    </row>
    <row r="245" customFormat="false" ht="15" hidden="false" customHeight="false" outlineLevel="0" collapsed="false">
      <c r="A245" s="12" t="s">
        <v>74</v>
      </c>
    </row>
    <row r="246" customFormat="false" ht="15" hidden="false" customHeight="false" outlineLevel="0" collapsed="false">
      <c r="A246" s="12"/>
    </row>
    <row r="247" customFormat="false" ht="15" hidden="false" customHeight="false" outlineLevel="0" collapsed="false">
      <c r="A247" s="12" t="s">
        <v>89</v>
      </c>
    </row>
    <row r="248" customFormat="false" ht="15" hidden="false" customHeight="false" outlineLevel="0" collapsed="false">
      <c r="A248" s="12"/>
    </row>
    <row r="249" customFormat="false" ht="15" hidden="false" customHeight="false" outlineLevel="0" collapsed="false">
      <c r="A249" s="12" t="s">
        <v>74</v>
      </c>
    </row>
    <row r="250" customFormat="false" ht="15" hidden="false" customHeight="false" outlineLevel="0" collapsed="false">
      <c r="A250" s="12"/>
    </row>
    <row r="251" customFormat="false" ht="15" hidden="false" customHeight="false" outlineLevel="0" collapsed="false">
      <c r="A251" s="12" t="s">
        <v>89</v>
      </c>
    </row>
    <row r="252" customFormat="false" ht="15" hidden="false" customHeight="false" outlineLevel="0" collapsed="false">
      <c r="A252" s="12"/>
    </row>
    <row r="253" customFormat="false" ht="15" hidden="false" customHeight="false" outlineLevel="0" collapsed="false">
      <c r="A253" s="12" t="s">
        <v>74</v>
      </c>
    </row>
    <row r="254" customFormat="false" ht="15" hidden="false" customHeight="false" outlineLevel="0" collapsed="false">
      <c r="A254" s="12"/>
    </row>
    <row r="255" customFormat="false" ht="15" hidden="false" customHeight="false" outlineLevel="0" collapsed="false">
      <c r="A255" s="12" t="s">
        <v>89</v>
      </c>
    </row>
    <row r="256" customFormat="false" ht="15" hidden="false" customHeight="false" outlineLevel="0" collapsed="false">
      <c r="A256" s="12"/>
    </row>
    <row r="257" customFormat="false" ht="15" hidden="false" customHeight="false" outlineLevel="0" collapsed="false">
      <c r="A257" s="12" t="s">
        <v>74</v>
      </c>
    </row>
    <row r="258" customFormat="false" ht="15" hidden="false" customHeight="false" outlineLevel="0" collapsed="false">
      <c r="A258" s="12"/>
    </row>
    <row r="259" customFormat="false" ht="15" hidden="false" customHeight="false" outlineLevel="0" collapsed="false">
      <c r="A259" s="12" t="s">
        <v>89</v>
      </c>
    </row>
    <row r="260" customFormat="false" ht="15" hidden="false" customHeight="false" outlineLevel="0" collapsed="false">
      <c r="A260" s="12"/>
    </row>
    <row r="261" customFormat="false" ht="15" hidden="false" customHeight="false" outlineLevel="0" collapsed="false">
      <c r="A261" s="12" t="s">
        <v>74</v>
      </c>
    </row>
    <row r="262" customFormat="false" ht="15" hidden="false" customHeight="false" outlineLevel="0" collapsed="false">
      <c r="A262" s="12"/>
    </row>
    <row r="263" customFormat="false" ht="15" hidden="false" customHeight="false" outlineLevel="0" collapsed="false">
      <c r="A263" s="12" t="s">
        <v>89</v>
      </c>
    </row>
    <row r="264" customFormat="false" ht="15" hidden="false" customHeight="false" outlineLevel="0" collapsed="false">
      <c r="A264" s="12"/>
    </row>
    <row r="265" customFormat="false" ht="15" hidden="false" customHeight="false" outlineLevel="0" collapsed="false">
      <c r="A265" s="12" t="s">
        <v>74</v>
      </c>
    </row>
    <row r="266" customFormat="false" ht="15" hidden="false" customHeight="false" outlineLevel="0" collapsed="false">
      <c r="A266" s="12"/>
    </row>
    <row r="267" customFormat="false" ht="15" hidden="false" customHeight="false" outlineLevel="0" collapsed="false">
      <c r="A267" s="12" t="s">
        <v>89</v>
      </c>
    </row>
    <row r="268" customFormat="false" ht="15" hidden="false" customHeight="false" outlineLevel="0" collapsed="false">
      <c r="A268" s="12"/>
    </row>
    <row r="269" customFormat="false" ht="15" hidden="false" customHeight="false" outlineLevel="0" collapsed="false">
      <c r="A269" s="12" t="s">
        <v>74</v>
      </c>
    </row>
    <row r="270" customFormat="false" ht="15" hidden="false" customHeight="false" outlineLevel="0" collapsed="false">
      <c r="A270" s="12"/>
    </row>
    <row r="271" customFormat="false" ht="15" hidden="false" customHeight="false" outlineLevel="0" collapsed="false">
      <c r="A271" s="12" t="s">
        <v>89</v>
      </c>
    </row>
    <row r="272" customFormat="false" ht="15" hidden="false" customHeight="false" outlineLevel="0" collapsed="false">
      <c r="A272" s="12"/>
    </row>
    <row r="273" customFormat="false" ht="15" hidden="false" customHeight="false" outlineLevel="0" collapsed="false">
      <c r="A273" s="12" t="s">
        <v>74</v>
      </c>
    </row>
    <row r="274" customFormat="false" ht="15" hidden="false" customHeight="false" outlineLevel="0" collapsed="false">
      <c r="A274" s="12"/>
    </row>
    <row r="275" customFormat="false" ht="15" hidden="false" customHeight="false" outlineLevel="0" collapsed="false">
      <c r="A275" s="12" t="s">
        <v>89</v>
      </c>
    </row>
    <row r="276" customFormat="false" ht="15" hidden="false" customHeight="false" outlineLevel="0" collapsed="false">
      <c r="A276" s="12"/>
    </row>
    <row r="277" customFormat="false" ht="15" hidden="false" customHeight="false" outlineLevel="0" collapsed="false">
      <c r="A277" s="12" t="s">
        <v>74</v>
      </c>
    </row>
    <row r="278" customFormat="false" ht="15" hidden="false" customHeight="false" outlineLevel="0" collapsed="false">
      <c r="A278" s="12"/>
    </row>
    <row r="279" customFormat="false" ht="15" hidden="false" customHeight="false" outlineLevel="0" collapsed="false">
      <c r="A279" s="12" t="s">
        <v>89</v>
      </c>
    </row>
    <row r="280" customFormat="false" ht="15" hidden="false" customHeight="false" outlineLevel="0" collapsed="false">
      <c r="A280" s="12"/>
    </row>
    <row r="281" customFormat="false" ht="15" hidden="false" customHeight="false" outlineLevel="0" collapsed="false">
      <c r="A281" s="12" t="s">
        <v>74</v>
      </c>
    </row>
    <row r="282" customFormat="false" ht="15" hidden="false" customHeight="false" outlineLevel="0" collapsed="false">
      <c r="A282" s="12"/>
    </row>
    <row r="283" customFormat="false" ht="15" hidden="false" customHeight="false" outlineLevel="0" collapsed="false">
      <c r="A283" s="12" t="s">
        <v>89</v>
      </c>
    </row>
    <row r="284" customFormat="false" ht="15" hidden="false" customHeight="false" outlineLevel="0" collapsed="false">
      <c r="A284" s="12"/>
    </row>
    <row r="285" customFormat="false" ht="15" hidden="false" customHeight="false" outlineLevel="0" collapsed="false">
      <c r="A285" s="12" t="s">
        <v>74</v>
      </c>
    </row>
    <row r="286" customFormat="false" ht="15" hidden="false" customHeight="false" outlineLevel="0" collapsed="false">
      <c r="A286" s="12"/>
    </row>
    <row r="287" customFormat="false" ht="15" hidden="false" customHeight="false" outlineLevel="0" collapsed="false">
      <c r="A287" s="12" t="s">
        <v>89</v>
      </c>
    </row>
    <row r="288" customFormat="false" ht="15" hidden="false" customHeight="false" outlineLevel="0" collapsed="false">
      <c r="A288" s="12"/>
    </row>
    <row r="289" customFormat="false" ht="15" hidden="false" customHeight="false" outlineLevel="0" collapsed="false">
      <c r="A289" s="12" t="s">
        <v>74</v>
      </c>
    </row>
    <row r="290" customFormat="false" ht="15" hidden="false" customHeight="false" outlineLevel="0" collapsed="false">
      <c r="A290" s="12"/>
    </row>
    <row r="291" customFormat="false" ht="15" hidden="false" customHeight="false" outlineLevel="0" collapsed="false">
      <c r="A291" s="12" t="s">
        <v>89</v>
      </c>
    </row>
    <row r="292" customFormat="false" ht="15" hidden="false" customHeight="false" outlineLevel="0" collapsed="false">
      <c r="A292" s="12"/>
    </row>
    <row r="293" customFormat="false" ht="15" hidden="false" customHeight="false" outlineLevel="0" collapsed="false">
      <c r="A293" s="12" t="s">
        <v>74</v>
      </c>
    </row>
    <row r="294" customFormat="false" ht="15" hidden="false" customHeight="false" outlineLevel="0" collapsed="false">
      <c r="A294" s="12"/>
    </row>
    <row r="295" customFormat="false" ht="15" hidden="false" customHeight="false" outlineLevel="0" collapsed="false">
      <c r="A295" s="12" t="s">
        <v>89</v>
      </c>
    </row>
    <row r="296" customFormat="false" ht="15" hidden="false" customHeight="false" outlineLevel="0" collapsed="false">
      <c r="A296" s="12"/>
    </row>
    <row r="297" customFormat="false" ht="15" hidden="false" customHeight="false" outlineLevel="0" collapsed="false">
      <c r="A297" s="12" t="s">
        <v>74</v>
      </c>
    </row>
    <row r="298" customFormat="false" ht="15" hidden="false" customHeight="false" outlineLevel="0" collapsed="false">
      <c r="A298" s="12"/>
    </row>
    <row r="299" customFormat="false" ht="15" hidden="false" customHeight="false" outlineLevel="0" collapsed="false">
      <c r="A299" s="12" t="s">
        <v>89</v>
      </c>
    </row>
    <row r="300" customFormat="false" ht="15" hidden="false" customHeight="false" outlineLevel="0" collapsed="false">
      <c r="A300" s="12"/>
    </row>
    <row r="301" customFormat="false" ht="15" hidden="false" customHeight="false" outlineLevel="0" collapsed="false">
      <c r="A301" s="12" t="s">
        <v>74</v>
      </c>
    </row>
    <row r="302" customFormat="false" ht="15" hidden="false" customHeight="false" outlineLevel="0" collapsed="false">
      <c r="A302" s="12"/>
    </row>
    <row r="303" customFormat="false" ht="15" hidden="false" customHeight="false" outlineLevel="0" collapsed="false">
      <c r="A303" s="12" t="s">
        <v>89</v>
      </c>
    </row>
    <row r="304" customFormat="false" ht="15" hidden="false" customHeight="false" outlineLevel="0" collapsed="false">
      <c r="A304" s="12"/>
    </row>
    <row r="305" customFormat="false" ht="15" hidden="false" customHeight="false" outlineLevel="0" collapsed="false">
      <c r="A305" s="12" t="s">
        <v>74</v>
      </c>
    </row>
    <row r="306" customFormat="false" ht="15" hidden="false" customHeight="false" outlineLevel="0" collapsed="false">
      <c r="A306" s="12"/>
    </row>
    <row r="307" customFormat="false" ht="15" hidden="false" customHeight="false" outlineLevel="0" collapsed="false">
      <c r="A307" s="12" t="s">
        <v>89</v>
      </c>
    </row>
    <row r="308" customFormat="false" ht="15" hidden="false" customHeight="false" outlineLevel="0" collapsed="false">
      <c r="A308" s="12"/>
    </row>
    <row r="309" customFormat="false" ht="15" hidden="false" customHeight="false" outlineLevel="0" collapsed="false">
      <c r="A309" s="12" t="s">
        <v>74</v>
      </c>
    </row>
    <row r="310" customFormat="false" ht="15" hidden="false" customHeight="false" outlineLevel="0" collapsed="false">
      <c r="A310" s="12"/>
    </row>
    <row r="311" customFormat="false" ht="15" hidden="false" customHeight="false" outlineLevel="0" collapsed="false">
      <c r="A311" s="12" t="s">
        <v>89</v>
      </c>
    </row>
    <row r="312" customFormat="false" ht="15" hidden="false" customHeight="false" outlineLevel="0" collapsed="false">
      <c r="A312" s="12"/>
    </row>
    <row r="313" customFormat="false" ht="15" hidden="false" customHeight="false" outlineLevel="0" collapsed="false">
      <c r="A313" s="12" t="s">
        <v>74</v>
      </c>
    </row>
    <row r="314" customFormat="false" ht="15" hidden="false" customHeight="false" outlineLevel="0" collapsed="false">
      <c r="A314" s="12"/>
    </row>
    <row r="315" customFormat="false" ht="15" hidden="false" customHeight="false" outlineLevel="0" collapsed="false">
      <c r="A315" s="12" t="s">
        <v>89</v>
      </c>
    </row>
    <row r="316" customFormat="false" ht="15" hidden="false" customHeight="false" outlineLevel="0" collapsed="false">
      <c r="A316" s="12"/>
    </row>
    <row r="317" customFormat="false" ht="15" hidden="false" customHeight="false" outlineLevel="0" collapsed="false">
      <c r="A317" s="12" t="s">
        <v>74</v>
      </c>
    </row>
    <row r="318" customFormat="false" ht="15" hidden="false" customHeight="false" outlineLevel="0" collapsed="false">
      <c r="A318" s="12"/>
    </row>
    <row r="319" customFormat="false" ht="15" hidden="false" customHeight="false" outlineLevel="0" collapsed="false">
      <c r="A319" s="12" t="s">
        <v>89</v>
      </c>
    </row>
    <row r="320" customFormat="false" ht="15" hidden="false" customHeight="false" outlineLevel="0" collapsed="false">
      <c r="A320" s="12"/>
    </row>
    <row r="321" customFormat="false" ht="15" hidden="false" customHeight="false" outlineLevel="0" collapsed="false">
      <c r="A321" s="12" t="s">
        <v>74</v>
      </c>
    </row>
    <row r="322" customFormat="false" ht="15" hidden="false" customHeight="false" outlineLevel="0" collapsed="false">
      <c r="A322" s="12"/>
    </row>
    <row r="323" customFormat="false" ht="15" hidden="false" customHeight="false" outlineLevel="0" collapsed="false">
      <c r="A323" s="12" t="s">
        <v>89</v>
      </c>
    </row>
    <row r="324" customFormat="false" ht="15" hidden="false" customHeight="false" outlineLevel="0" collapsed="false">
      <c r="A324" s="12"/>
    </row>
    <row r="325" customFormat="false" ht="15" hidden="false" customHeight="false" outlineLevel="0" collapsed="false">
      <c r="A325" s="12" t="s">
        <v>74</v>
      </c>
    </row>
    <row r="326" customFormat="false" ht="15" hidden="false" customHeight="false" outlineLevel="0" collapsed="false">
      <c r="A326" s="12"/>
    </row>
    <row r="327" customFormat="false" ht="15" hidden="false" customHeight="false" outlineLevel="0" collapsed="false">
      <c r="A327" s="12" t="s">
        <v>89</v>
      </c>
    </row>
    <row r="328" customFormat="false" ht="15" hidden="false" customHeight="false" outlineLevel="0" collapsed="false">
      <c r="A328" s="12"/>
    </row>
    <row r="329" customFormat="false" ht="15" hidden="false" customHeight="false" outlineLevel="0" collapsed="false">
      <c r="A329" s="12" t="s">
        <v>74</v>
      </c>
    </row>
    <row r="330" customFormat="false" ht="15" hidden="false" customHeight="false" outlineLevel="0" collapsed="false">
      <c r="A330" s="12"/>
    </row>
    <row r="331" customFormat="false" ht="15" hidden="false" customHeight="false" outlineLevel="0" collapsed="false">
      <c r="A331" s="12" t="s">
        <v>89</v>
      </c>
    </row>
    <row r="332" customFormat="false" ht="15" hidden="false" customHeight="false" outlineLevel="0" collapsed="false">
      <c r="A332" s="12"/>
    </row>
    <row r="333" customFormat="false" ht="15" hidden="false" customHeight="false" outlineLevel="0" collapsed="false">
      <c r="A333" s="12" t="s">
        <v>74</v>
      </c>
    </row>
    <row r="334" customFormat="false" ht="15" hidden="false" customHeight="false" outlineLevel="0" collapsed="false">
      <c r="A334" s="12"/>
    </row>
    <row r="335" customFormat="false" ht="15" hidden="false" customHeight="false" outlineLevel="0" collapsed="false">
      <c r="A335" s="12" t="s">
        <v>89</v>
      </c>
    </row>
    <row r="336" customFormat="false" ht="15" hidden="false" customHeight="false" outlineLevel="0" collapsed="false">
      <c r="A336" s="12"/>
    </row>
    <row r="337" customFormat="false" ht="15" hidden="false" customHeight="false" outlineLevel="0" collapsed="false">
      <c r="A337" s="12" t="s">
        <v>74</v>
      </c>
    </row>
    <row r="338" customFormat="false" ht="15" hidden="false" customHeight="false" outlineLevel="0" collapsed="false">
      <c r="A338" s="12"/>
    </row>
    <row r="339" customFormat="false" ht="15" hidden="false" customHeight="false" outlineLevel="0" collapsed="false">
      <c r="A339" s="12" t="s">
        <v>89</v>
      </c>
    </row>
    <row r="340" customFormat="false" ht="15" hidden="false" customHeight="false" outlineLevel="0" collapsed="false">
      <c r="A340" s="12"/>
    </row>
    <row r="341" customFormat="false" ht="15" hidden="false" customHeight="false" outlineLevel="0" collapsed="false">
      <c r="A341" s="12" t="s">
        <v>74</v>
      </c>
    </row>
    <row r="342" customFormat="false" ht="15" hidden="false" customHeight="false" outlineLevel="0" collapsed="false">
      <c r="A342" s="12"/>
    </row>
    <row r="343" customFormat="false" ht="15" hidden="false" customHeight="false" outlineLevel="0" collapsed="false">
      <c r="A343" s="12" t="s">
        <v>89</v>
      </c>
    </row>
    <row r="344" customFormat="false" ht="15" hidden="false" customHeight="false" outlineLevel="0" collapsed="false">
      <c r="A344" s="12"/>
    </row>
    <row r="345" customFormat="false" ht="15" hidden="false" customHeight="false" outlineLevel="0" collapsed="false">
      <c r="A345" s="12" t="s">
        <v>74</v>
      </c>
    </row>
    <row r="346" customFormat="false" ht="15" hidden="false" customHeight="false" outlineLevel="0" collapsed="false">
      <c r="A346" s="12"/>
    </row>
    <row r="347" customFormat="false" ht="15" hidden="false" customHeight="false" outlineLevel="0" collapsed="false">
      <c r="A347" s="12" t="s">
        <v>89</v>
      </c>
    </row>
    <row r="348" customFormat="false" ht="15" hidden="false" customHeight="false" outlineLevel="0" collapsed="false">
      <c r="A348" s="12"/>
    </row>
    <row r="349" customFormat="false" ht="15" hidden="false" customHeight="false" outlineLevel="0" collapsed="false">
      <c r="A349" s="12" t="s">
        <v>74</v>
      </c>
    </row>
    <row r="350" customFormat="false" ht="15" hidden="false" customHeight="false" outlineLevel="0" collapsed="false">
      <c r="A350" s="12"/>
    </row>
    <row r="351" customFormat="false" ht="15" hidden="false" customHeight="false" outlineLevel="0" collapsed="false">
      <c r="A351" s="12" t="s">
        <v>89</v>
      </c>
    </row>
    <row r="352" customFormat="false" ht="15" hidden="false" customHeight="false" outlineLevel="0" collapsed="false">
      <c r="A352" s="12"/>
    </row>
    <row r="353" customFormat="false" ht="15" hidden="false" customHeight="false" outlineLevel="0" collapsed="false">
      <c r="A353" s="12" t="s">
        <v>74</v>
      </c>
    </row>
    <row r="354" customFormat="false" ht="15" hidden="false" customHeight="false" outlineLevel="0" collapsed="false">
      <c r="A354" s="12"/>
    </row>
    <row r="355" customFormat="false" ht="15" hidden="false" customHeight="false" outlineLevel="0" collapsed="false">
      <c r="A355" s="12" t="s">
        <v>89</v>
      </c>
    </row>
    <row r="356" customFormat="false" ht="15" hidden="false" customHeight="false" outlineLevel="0" collapsed="false">
      <c r="A356" s="12"/>
    </row>
    <row r="357" customFormat="false" ht="15" hidden="false" customHeight="false" outlineLevel="0" collapsed="false">
      <c r="A357" s="12" t="s">
        <v>74</v>
      </c>
    </row>
    <row r="358" customFormat="false" ht="15" hidden="false" customHeight="false" outlineLevel="0" collapsed="false">
      <c r="A358" s="12"/>
    </row>
    <row r="359" customFormat="false" ht="15" hidden="false" customHeight="false" outlineLevel="0" collapsed="false">
      <c r="A359" s="12" t="s">
        <v>89</v>
      </c>
    </row>
    <row r="360" customFormat="false" ht="15" hidden="false" customHeight="false" outlineLevel="0" collapsed="false">
      <c r="A360" s="12"/>
    </row>
    <row r="361" customFormat="false" ht="15" hidden="false" customHeight="false" outlineLevel="0" collapsed="false">
      <c r="A361" s="12" t="s">
        <v>74</v>
      </c>
    </row>
    <row r="362" customFormat="false" ht="15" hidden="false" customHeight="false" outlineLevel="0" collapsed="false">
      <c r="A362" s="12"/>
    </row>
    <row r="363" customFormat="false" ht="15" hidden="false" customHeight="false" outlineLevel="0" collapsed="false">
      <c r="A363" s="12" t="s">
        <v>89</v>
      </c>
    </row>
    <row r="364" customFormat="false" ht="15" hidden="false" customHeight="false" outlineLevel="0" collapsed="false">
      <c r="A364" s="12"/>
    </row>
    <row r="365" customFormat="false" ht="15" hidden="false" customHeight="false" outlineLevel="0" collapsed="false">
      <c r="A365" s="12" t="s">
        <v>74</v>
      </c>
    </row>
    <row r="366" customFormat="false" ht="15" hidden="false" customHeight="false" outlineLevel="0" collapsed="false">
      <c r="A366" s="12"/>
    </row>
    <row r="367" customFormat="false" ht="15" hidden="false" customHeight="false" outlineLevel="0" collapsed="false">
      <c r="A367" s="12" t="s">
        <v>89</v>
      </c>
    </row>
    <row r="368" customFormat="false" ht="15" hidden="false" customHeight="false" outlineLevel="0" collapsed="false">
      <c r="A368" s="12"/>
    </row>
    <row r="369" customFormat="false" ht="15" hidden="false" customHeight="false" outlineLevel="0" collapsed="false">
      <c r="A369" s="12" t="s">
        <v>74</v>
      </c>
    </row>
    <row r="370" customFormat="false" ht="15" hidden="false" customHeight="false" outlineLevel="0" collapsed="false">
      <c r="A370" s="12"/>
    </row>
    <row r="371" customFormat="false" ht="15" hidden="false" customHeight="false" outlineLevel="0" collapsed="false">
      <c r="A371" s="12" t="s">
        <v>89</v>
      </c>
    </row>
    <row r="372" customFormat="false" ht="15" hidden="false" customHeight="false" outlineLevel="0" collapsed="false">
      <c r="A372" s="12"/>
    </row>
    <row r="373" customFormat="false" ht="15" hidden="false" customHeight="false" outlineLevel="0" collapsed="false">
      <c r="A373" s="12" t="s">
        <v>74</v>
      </c>
    </row>
    <row r="374" customFormat="false" ht="15" hidden="false" customHeight="false" outlineLevel="0" collapsed="false">
      <c r="A374" s="12"/>
    </row>
    <row r="375" customFormat="false" ht="15" hidden="false" customHeight="false" outlineLevel="0" collapsed="false">
      <c r="A375" s="12" t="s">
        <v>89</v>
      </c>
    </row>
    <row r="376" customFormat="false" ht="15" hidden="false" customHeight="false" outlineLevel="0" collapsed="false">
      <c r="A376" s="12"/>
    </row>
    <row r="377" customFormat="false" ht="15" hidden="false" customHeight="false" outlineLevel="0" collapsed="false">
      <c r="A377" s="12" t="s">
        <v>74</v>
      </c>
    </row>
    <row r="378" customFormat="false" ht="15" hidden="false" customHeight="false" outlineLevel="0" collapsed="false">
      <c r="A378" s="12"/>
    </row>
    <row r="379" customFormat="false" ht="15" hidden="false" customHeight="false" outlineLevel="0" collapsed="false">
      <c r="A379" s="12" t="s">
        <v>89</v>
      </c>
    </row>
    <row r="380" customFormat="false" ht="15" hidden="false" customHeight="false" outlineLevel="0" collapsed="false">
      <c r="A380" s="12"/>
    </row>
    <row r="381" customFormat="false" ht="15" hidden="false" customHeight="false" outlineLevel="0" collapsed="false">
      <c r="A381" s="12" t="s">
        <v>74</v>
      </c>
    </row>
    <row r="382" customFormat="false" ht="15" hidden="false" customHeight="false" outlineLevel="0" collapsed="false">
      <c r="A382" s="12"/>
    </row>
    <row r="383" customFormat="false" ht="15" hidden="false" customHeight="false" outlineLevel="0" collapsed="false">
      <c r="A383" s="12" t="s">
        <v>89</v>
      </c>
    </row>
    <row r="384" customFormat="false" ht="15" hidden="false" customHeight="false" outlineLevel="0" collapsed="false">
      <c r="A384" s="12"/>
    </row>
    <row r="385" customFormat="false" ht="15" hidden="false" customHeight="false" outlineLevel="0" collapsed="false">
      <c r="A385" s="12" t="s">
        <v>74</v>
      </c>
    </row>
    <row r="386" customFormat="false" ht="15" hidden="false" customHeight="false" outlineLevel="0" collapsed="false">
      <c r="A386" s="12"/>
    </row>
    <row r="387" customFormat="false" ht="15" hidden="false" customHeight="false" outlineLevel="0" collapsed="false">
      <c r="A387" s="12" t="s">
        <v>89</v>
      </c>
    </row>
    <row r="388" customFormat="false" ht="15" hidden="false" customHeight="false" outlineLevel="0" collapsed="false">
      <c r="A388" s="12"/>
    </row>
    <row r="389" customFormat="false" ht="15" hidden="false" customHeight="false" outlineLevel="0" collapsed="false">
      <c r="A389" s="12" t="s">
        <v>74</v>
      </c>
    </row>
    <row r="390" customFormat="false" ht="15" hidden="false" customHeight="false" outlineLevel="0" collapsed="false">
      <c r="A390" s="12"/>
    </row>
    <row r="391" customFormat="false" ht="15" hidden="false" customHeight="false" outlineLevel="0" collapsed="false">
      <c r="A391" s="12" t="s">
        <v>89</v>
      </c>
    </row>
    <row r="392" customFormat="false" ht="15" hidden="false" customHeight="false" outlineLevel="0" collapsed="false">
      <c r="A392" s="12"/>
    </row>
    <row r="393" customFormat="false" ht="15" hidden="false" customHeight="false" outlineLevel="0" collapsed="false">
      <c r="A393" s="12" t="s">
        <v>74</v>
      </c>
    </row>
    <row r="394" customFormat="false" ht="15" hidden="false" customHeight="false" outlineLevel="0" collapsed="false">
      <c r="A394" s="12"/>
    </row>
    <row r="395" customFormat="false" ht="15" hidden="false" customHeight="false" outlineLevel="0" collapsed="false">
      <c r="A395" s="12" t="s">
        <v>89</v>
      </c>
    </row>
    <row r="396" customFormat="false" ht="15" hidden="false" customHeight="false" outlineLevel="0" collapsed="false">
      <c r="A396" s="12"/>
    </row>
    <row r="397" customFormat="false" ht="15" hidden="false" customHeight="false" outlineLevel="0" collapsed="false">
      <c r="A397" s="12" t="s">
        <v>74</v>
      </c>
    </row>
    <row r="398" customFormat="false" ht="15" hidden="false" customHeight="false" outlineLevel="0" collapsed="false">
      <c r="A398" s="12"/>
    </row>
    <row r="399" customFormat="false" ht="15" hidden="false" customHeight="false" outlineLevel="0" collapsed="false">
      <c r="A399" s="12" t="s">
        <v>89</v>
      </c>
    </row>
    <row r="400" customFormat="false" ht="15" hidden="false" customHeight="false" outlineLevel="0" collapsed="false">
      <c r="A400" s="12"/>
    </row>
    <row r="401" customFormat="false" ht="15" hidden="false" customHeight="false" outlineLevel="0" collapsed="false">
      <c r="A401" s="12" t="s">
        <v>74</v>
      </c>
    </row>
    <row r="402" customFormat="false" ht="15" hidden="false" customHeight="false" outlineLevel="0" collapsed="false">
      <c r="A402" s="12"/>
    </row>
    <row r="403" customFormat="false" ht="15" hidden="false" customHeight="false" outlineLevel="0" collapsed="false">
      <c r="A403" s="12" t="s">
        <v>89</v>
      </c>
    </row>
    <row r="404" customFormat="false" ht="15" hidden="false" customHeight="false" outlineLevel="0" collapsed="false">
      <c r="A404" s="12"/>
    </row>
    <row r="405" customFormat="false" ht="15" hidden="false" customHeight="false" outlineLevel="0" collapsed="false">
      <c r="A405" s="12" t="s">
        <v>74</v>
      </c>
    </row>
    <row r="406" customFormat="false" ht="15" hidden="false" customHeight="false" outlineLevel="0" collapsed="false">
      <c r="A406" s="12"/>
    </row>
    <row r="407" customFormat="false" ht="15" hidden="false" customHeight="false" outlineLevel="0" collapsed="false">
      <c r="A407" s="12" t="s">
        <v>89</v>
      </c>
    </row>
    <row r="408" customFormat="false" ht="15" hidden="false" customHeight="false" outlineLevel="0" collapsed="false">
      <c r="A408" s="12"/>
    </row>
    <row r="409" customFormat="false" ht="15" hidden="false" customHeight="false" outlineLevel="0" collapsed="false">
      <c r="A409" s="12" t="s">
        <v>74</v>
      </c>
    </row>
    <row r="410" customFormat="false" ht="15" hidden="false" customHeight="false" outlineLevel="0" collapsed="false">
      <c r="A410" s="12"/>
    </row>
    <row r="411" customFormat="false" ht="15" hidden="false" customHeight="false" outlineLevel="0" collapsed="false">
      <c r="A411" s="12" t="s">
        <v>89</v>
      </c>
    </row>
    <row r="412" customFormat="false" ht="15" hidden="false" customHeight="false" outlineLevel="0" collapsed="false">
      <c r="A412" s="12"/>
    </row>
    <row r="413" customFormat="false" ht="15" hidden="false" customHeight="false" outlineLevel="0" collapsed="false">
      <c r="A413" s="12" t="s">
        <v>74</v>
      </c>
    </row>
    <row r="414" customFormat="false" ht="15" hidden="false" customHeight="false" outlineLevel="0" collapsed="false">
      <c r="A414" s="12"/>
    </row>
    <row r="415" customFormat="false" ht="15" hidden="false" customHeight="false" outlineLevel="0" collapsed="false">
      <c r="A415" s="12" t="s">
        <v>89</v>
      </c>
    </row>
    <row r="416" customFormat="false" ht="15" hidden="false" customHeight="false" outlineLevel="0" collapsed="false">
      <c r="A416" s="12"/>
    </row>
    <row r="417" customFormat="false" ht="15" hidden="false" customHeight="false" outlineLevel="0" collapsed="false">
      <c r="A417" s="12" t="s">
        <v>74</v>
      </c>
    </row>
    <row r="418" customFormat="false" ht="15" hidden="false" customHeight="false" outlineLevel="0" collapsed="false">
      <c r="A418" s="12"/>
    </row>
    <row r="419" customFormat="false" ht="15" hidden="false" customHeight="false" outlineLevel="0" collapsed="false">
      <c r="A419" s="12" t="s">
        <v>89</v>
      </c>
    </row>
    <row r="420" customFormat="false" ht="15" hidden="false" customHeight="false" outlineLevel="0" collapsed="false">
      <c r="A420" s="12"/>
    </row>
    <row r="421" customFormat="false" ht="15" hidden="false" customHeight="false" outlineLevel="0" collapsed="false">
      <c r="A421" s="12" t="s">
        <v>74</v>
      </c>
    </row>
    <row r="422" customFormat="false" ht="15" hidden="false" customHeight="false" outlineLevel="0" collapsed="false">
      <c r="A422" s="12"/>
    </row>
    <row r="423" customFormat="false" ht="15" hidden="false" customHeight="false" outlineLevel="0" collapsed="false">
      <c r="A423" s="12" t="s">
        <v>89</v>
      </c>
    </row>
    <row r="424" customFormat="false" ht="15" hidden="false" customHeight="false" outlineLevel="0" collapsed="false">
      <c r="A424" s="12"/>
    </row>
    <row r="425" customFormat="false" ht="15" hidden="false" customHeight="false" outlineLevel="0" collapsed="false">
      <c r="A425" s="12" t="s">
        <v>74</v>
      </c>
    </row>
    <row r="426" customFormat="false" ht="15" hidden="false" customHeight="false" outlineLevel="0" collapsed="false">
      <c r="A426" s="12"/>
    </row>
    <row r="427" customFormat="false" ht="15" hidden="false" customHeight="false" outlineLevel="0" collapsed="false">
      <c r="A427" s="12" t="s">
        <v>89</v>
      </c>
    </row>
    <row r="428" customFormat="false" ht="15" hidden="false" customHeight="false" outlineLevel="0" collapsed="false">
      <c r="A428" s="12"/>
    </row>
    <row r="429" customFormat="false" ht="15" hidden="false" customHeight="false" outlineLevel="0" collapsed="false">
      <c r="A429" s="12" t="s">
        <v>74</v>
      </c>
    </row>
    <row r="430" customFormat="false" ht="15" hidden="false" customHeight="false" outlineLevel="0" collapsed="false">
      <c r="A430" s="12"/>
    </row>
    <row r="431" customFormat="false" ht="15" hidden="false" customHeight="false" outlineLevel="0" collapsed="false">
      <c r="A431" s="12" t="s">
        <v>89</v>
      </c>
    </row>
    <row r="432" customFormat="false" ht="15" hidden="false" customHeight="false" outlineLevel="0" collapsed="false">
      <c r="A432" s="12"/>
    </row>
    <row r="433" customFormat="false" ht="15" hidden="false" customHeight="false" outlineLevel="0" collapsed="false">
      <c r="A433" s="12" t="s">
        <v>74</v>
      </c>
    </row>
    <row r="434" customFormat="false" ht="15" hidden="false" customHeight="false" outlineLevel="0" collapsed="false">
      <c r="A434" s="12"/>
    </row>
    <row r="435" customFormat="false" ht="15" hidden="false" customHeight="false" outlineLevel="0" collapsed="false">
      <c r="A435" s="12" t="s">
        <v>89</v>
      </c>
    </row>
    <row r="436" customFormat="false" ht="15" hidden="false" customHeight="false" outlineLevel="0" collapsed="false">
      <c r="A436" s="12"/>
    </row>
    <row r="437" customFormat="false" ht="15" hidden="false" customHeight="false" outlineLevel="0" collapsed="false">
      <c r="A437" s="12" t="s">
        <v>74</v>
      </c>
    </row>
    <row r="438" customFormat="false" ht="15" hidden="false" customHeight="false" outlineLevel="0" collapsed="false">
      <c r="A438" s="12"/>
    </row>
    <row r="439" customFormat="false" ht="15" hidden="false" customHeight="false" outlineLevel="0" collapsed="false">
      <c r="A439" s="12" t="s">
        <v>89</v>
      </c>
    </row>
    <row r="440" customFormat="false" ht="15" hidden="false" customHeight="false" outlineLevel="0" collapsed="false">
      <c r="A440" s="12"/>
    </row>
    <row r="441" customFormat="false" ht="15" hidden="false" customHeight="false" outlineLevel="0" collapsed="false">
      <c r="A441" s="12" t="s">
        <v>74</v>
      </c>
    </row>
    <row r="442" customFormat="false" ht="15" hidden="false" customHeight="false" outlineLevel="0" collapsed="false">
      <c r="A442" s="12"/>
    </row>
    <row r="443" customFormat="false" ht="15" hidden="false" customHeight="false" outlineLevel="0" collapsed="false">
      <c r="A443" s="12" t="s">
        <v>89</v>
      </c>
    </row>
    <row r="444" customFormat="false" ht="15" hidden="false" customHeight="false" outlineLevel="0" collapsed="false">
      <c r="A444" s="12"/>
    </row>
    <row r="445" customFormat="false" ht="15" hidden="false" customHeight="false" outlineLevel="0" collapsed="false">
      <c r="A445" s="12" t="s">
        <v>74</v>
      </c>
    </row>
    <row r="446" customFormat="false" ht="15" hidden="false" customHeight="false" outlineLevel="0" collapsed="false">
      <c r="A446" s="12"/>
    </row>
    <row r="447" customFormat="false" ht="15" hidden="false" customHeight="false" outlineLevel="0" collapsed="false">
      <c r="A447" s="12" t="s">
        <v>89</v>
      </c>
    </row>
    <row r="448" customFormat="false" ht="15" hidden="false" customHeight="false" outlineLevel="0" collapsed="false">
      <c r="A448" s="12"/>
    </row>
    <row r="449" customFormat="false" ht="15" hidden="false" customHeight="false" outlineLevel="0" collapsed="false">
      <c r="A449" s="12" t="s">
        <v>74</v>
      </c>
    </row>
    <row r="450" customFormat="false" ht="15" hidden="false" customHeight="false" outlineLevel="0" collapsed="false">
      <c r="A450" s="12"/>
    </row>
    <row r="451" customFormat="false" ht="15" hidden="false" customHeight="false" outlineLevel="0" collapsed="false">
      <c r="A451" s="12" t="s">
        <v>89</v>
      </c>
    </row>
    <row r="452" customFormat="false" ht="15" hidden="false" customHeight="false" outlineLevel="0" collapsed="false">
      <c r="A452" s="12"/>
    </row>
    <row r="453" customFormat="false" ht="15" hidden="false" customHeight="false" outlineLevel="0" collapsed="false">
      <c r="A453" s="12" t="s">
        <v>74</v>
      </c>
    </row>
    <row r="454" customFormat="false" ht="15" hidden="false" customHeight="false" outlineLevel="0" collapsed="false">
      <c r="A454" s="12"/>
    </row>
    <row r="455" customFormat="false" ht="15" hidden="false" customHeight="false" outlineLevel="0" collapsed="false">
      <c r="A455" s="12" t="s">
        <v>89</v>
      </c>
    </row>
    <row r="456" customFormat="false" ht="15" hidden="false" customHeight="false" outlineLevel="0" collapsed="false">
      <c r="A456" s="12"/>
    </row>
    <row r="457" customFormat="false" ht="15" hidden="false" customHeight="false" outlineLevel="0" collapsed="false">
      <c r="A457" s="12" t="s">
        <v>74</v>
      </c>
    </row>
    <row r="458" customFormat="false" ht="15" hidden="false" customHeight="false" outlineLevel="0" collapsed="false">
      <c r="A458" s="12"/>
    </row>
    <row r="459" customFormat="false" ht="15" hidden="false" customHeight="false" outlineLevel="0" collapsed="false">
      <c r="A459" s="12" t="s">
        <v>89</v>
      </c>
    </row>
    <row r="460" customFormat="false" ht="15" hidden="false" customHeight="false" outlineLevel="0" collapsed="false">
      <c r="A460" s="12"/>
    </row>
    <row r="461" customFormat="false" ht="15" hidden="false" customHeight="false" outlineLevel="0" collapsed="false">
      <c r="A461" s="12" t="s">
        <v>74</v>
      </c>
    </row>
    <row r="462" customFormat="false" ht="15" hidden="false" customHeight="false" outlineLevel="0" collapsed="false">
      <c r="A462" s="12"/>
    </row>
    <row r="463" customFormat="false" ht="15" hidden="false" customHeight="false" outlineLevel="0" collapsed="false">
      <c r="A463" s="12" t="s">
        <v>89</v>
      </c>
    </row>
    <row r="464" customFormat="false" ht="15" hidden="false" customHeight="false" outlineLevel="0" collapsed="false">
      <c r="A464" s="12"/>
    </row>
    <row r="465" customFormat="false" ht="15" hidden="false" customHeight="false" outlineLevel="0" collapsed="false">
      <c r="A465" s="12" t="s">
        <v>74</v>
      </c>
    </row>
    <row r="466" customFormat="false" ht="15" hidden="false" customHeight="false" outlineLevel="0" collapsed="false">
      <c r="A466" s="12"/>
    </row>
    <row r="467" customFormat="false" ht="15" hidden="false" customHeight="false" outlineLevel="0" collapsed="false">
      <c r="A467" s="12" t="s">
        <v>89</v>
      </c>
    </row>
    <row r="468" customFormat="false" ht="15" hidden="false" customHeight="false" outlineLevel="0" collapsed="false">
      <c r="A468" s="12"/>
    </row>
    <row r="469" customFormat="false" ht="15" hidden="false" customHeight="false" outlineLevel="0" collapsed="false">
      <c r="A469" s="12" t="s">
        <v>74</v>
      </c>
    </row>
    <row r="470" customFormat="false" ht="15" hidden="false" customHeight="false" outlineLevel="0" collapsed="false">
      <c r="A470" s="12"/>
    </row>
    <row r="471" customFormat="false" ht="15" hidden="false" customHeight="false" outlineLevel="0" collapsed="false">
      <c r="A471" s="12" t="s">
        <v>89</v>
      </c>
    </row>
    <row r="472" customFormat="false" ht="15" hidden="false" customHeight="false" outlineLevel="0" collapsed="false">
      <c r="A472" s="12"/>
    </row>
    <row r="473" customFormat="false" ht="15" hidden="false" customHeight="false" outlineLevel="0" collapsed="false">
      <c r="A473" s="12" t="s">
        <v>74</v>
      </c>
    </row>
    <row r="474" customFormat="false" ht="15" hidden="false" customHeight="false" outlineLevel="0" collapsed="false">
      <c r="A474" s="12"/>
    </row>
    <row r="475" customFormat="false" ht="15" hidden="false" customHeight="false" outlineLevel="0" collapsed="false">
      <c r="A475" s="12" t="s">
        <v>89</v>
      </c>
    </row>
    <row r="476" customFormat="false" ht="15" hidden="false" customHeight="false" outlineLevel="0" collapsed="false">
      <c r="A476" s="12"/>
    </row>
    <row r="477" customFormat="false" ht="15" hidden="false" customHeight="false" outlineLevel="0" collapsed="false">
      <c r="A477" s="12" t="s">
        <v>74</v>
      </c>
    </row>
    <row r="478" customFormat="false" ht="15" hidden="false" customHeight="false" outlineLevel="0" collapsed="false">
      <c r="A478" s="12"/>
    </row>
    <row r="479" customFormat="false" ht="15" hidden="false" customHeight="false" outlineLevel="0" collapsed="false">
      <c r="A479" s="12" t="s">
        <v>89</v>
      </c>
    </row>
    <row r="480" customFormat="false" ht="15" hidden="false" customHeight="false" outlineLevel="0" collapsed="false">
      <c r="A480" s="12"/>
    </row>
    <row r="481" customFormat="false" ht="15" hidden="false" customHeight="false" outlineLevel="0" collapsed="false">
      <c r="A481" s="12" t="s">
        <v>74</v>
      </c>
    </row>
    <row r="482" customFormat="false" ht="15" hidden="false" customHeight="false" outlineLevel="0" collapsed="false">
      <c r="A482" s="12"/>
    </row>
    <row r="483" customFormat="false" ht="15" hidden="false" customHeight="false" outlineLevel="0" collapsed="false">
      <c r="A483" s="12" t="s">
        <v>89</v>
      </c>
    </row>
    <row r="484" customFormat="false" ht="15" hidden="false" customHeight="false" outlineLevel="0" collapsed="false">
      <c r="A484" s="12"/>
    </row>
    <row r="485" customFormat="false" ht="15" hidden="false" customHeight="false" outlineLevel="0" collapsed="false">
      <c r="A485" s="12" t="s">
        <v>74</v>
      </c>
    </row>
    <row r="486" customFormat="false" ht="15" hidden="false" customHeight="false" outlineLevel="0" collapsed="false">
      <c r="A486" s="12"/>
    </row>
    <row r="487" customFormat="false" ht="15" hidden="false" customHeight="false" outlineLevel="0" collapsed="false">
      <c r="A487" s="12" t="s">
        <v>89</v>
      </c>
    </row>
    <row r="488" customFormat="false" ht="15" hidden="false" customHeight="false" outlineLevel="0" collapsed="false">
      <c r="A488" s="12"/>
    </row>
    <row r="489" customFormat="false" ht="15" hidden="false" customHeight="false" outlineLevel="0" collapsed="false">
      <c r="A489" s="12" t="s">
        <v>74</v>
      </c>
    </row>
    <row r="490" customFormat="false" ht="15" hidden="false" customHeight="false" outlineLevel="0" collapsed="false">
      <c r="A490" s="12"/>
    </row>
    <row r="491" customFormat="false" ht="15" hidden="false" customHeight="false" outlineLevel="0" collapsed="false">
      <c r="A491" s="12" t="s">
        <v>89</v>
      </c>
    </row>
    <row r="492" customFormat="false" ht="15" hidden="false" customHeight="false" outlineLevel="0" collapsed="false">
      <c r="A492" s="12"/>
    </row>
    <row r="493" customFormat="false" ht="15" hidden="false" customHeight="false" outlineLevel="0" collapsed="false">
      <c r="A493" s="12" t="s">
        <v>74</v>
      </c>
    </row>
    <row r="494" customFormat="false" ht="15" hidden="false" customHeight="false" outlineLevel="0" collapsed="false">
      <c r="A494" s="12"/>
    </row>
    <row r="495" customFormat="false" ht="15" hidden="false" customHeight="false" outlineLevel="0" collapsed="false">
      <c r="A495" s="12" t="s">
        <v>89</v>
      </c>
    </row>
    <row r="496" customFormat="false" ht="15" hidden="false" customHeight="false" outlineLevel="0" collapsed="false">
      <c r="A496" s="12"/>
    </row>
    <row r="497" customFormat="false" ht="15" hidden="false" customHeight="false" outlineLevel="0" collapsed="false">
      <c r="A497" s="12" t="s">
        <v>74</v>
      </c>
    </row>
    <row r="498" customFormat="false" ht="15" hidden="false" customHeight="false" outlineLevel="0" collapsed="false">
      <c r="A498" s="12"/>
    </row>
    <row r="499" customFormat="false" ht="15" hidden="false" customHeight="false" outlineLevel="0" collapsed="false">
      <c r="A499" s="12" t="s">
        <v>89</v>
      </c>
    </row>
    <row r="500" customFormat="false" ht="15" hidden="false" customHeight="false" outlineLevel="0" collapsed="false">
      <c r="A500" s="12"/>
    </row>
    <row r="501" customFormat="false" ht="15" hidden="false" customHeight="false" outlineLevel="0" collapsed="false">
      <c r="A501" s="12" t="s">
        <v>74</v>
      </c>
    </row>
    <row r="502" customFormat="false" ht="15" hidden="false" customHeight="false" outlineLevel="0" collapsed="false">
      <c r="A502" s="12"/>
    </row>
    <row r="503" customFormat="false" ht="15" hidden="false" customHeight="false" outlineLevel="0" collapsed="false">
      <c r="A503" s="12" t="s">
        <v>89</v>
      </c>
    </row>
    <row r="504" customFormat="false" ht="15" hidden="false" customHeight="false" outlineLevel="0" collapsed="false">
      <c r="A504" s="12"/>
    </row>
    <row r="505" customFormat="false" ht="15" hidden="false" customHeight="false" outlineLevel="0" collapsed="false">
      <c r="A505" s="12" t="s">
        <v>74</v>
      </c>
    </row>
    <row r="506" customFormat="false" ht="15" hidden="false" customHeight="false" outlineLevel="0" collapsed="false">
      <c r="A506" s="12"/>
    </row>
    <row r="507" customFormat="false" ht="15" hidden="false" customHeight="false" outlineLevel="0" collapsed="false">
      <c r="A507" s="12" t="s">
        <v>89</v>
      </c>
    </row>
  </sheetData>
  <autoFilter ref="B8:BV153">
    <sortState ref="B9:BV153">
      <sortCondition ref="A9:A153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8:J45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9" activeCellId="0" sqref="B9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13.29"/>
    <col collapsed="false" customWidth="true" hidden="false" outlineLevel="0" max="2" min="2" style="15" width="16.29"/>
    <col collapsed="false" customWidth="true" hidden="false" outlineLevel="0" max="5" min="3" style="15" width="15.29"/>
    <col collapsed="false" customWidth="true" hidden="false" outlineLevel="0" max="6" min="6" style="0" width="12"/>
    <col collapsed="false" customWidth="true" hidden="true" outlineLevel="0" max="7" min="7" style="0" width="16"/>
    <col collapsed="false" customWidth="true" hidden="true" outlineLevel="0" max="8" min="8" style="0" width="16.29"/>
    <col collapsed="false" customWidth="true" hidden="true" outlineLevel="0" max="9" min="9" style="0" width="15.29"/>
    <col collapsed="false" customWidth="true" hidden="true" outlineLevel="0" max="10" min="10" style="0" width="11.53"/>
  </cols>
  <sheetData>
    <row r="8" customFormat="false" ht="15" hidden="false" customHeight="false" outlineLevel="0" collapsed="false">
      <c r="A8" s="16" t="s">
        <v>151</v>
      </c>
      <c r="B8" s="17" t="s">
        <v>0</v>
      </c>
      <c r="C8" s="18"/>
      <c r="G8" s="16" t="s">
        <v>151</v>
      </c>
      <c r="H8" s="17" t="s">
        <v>0</v>
      </c>
      <c r="I8" s="18"/>
    </row>
    <row r="9" customFormat="false" ht="15" hidden="false" customHeight="false" outlineLevel="0" collapsed="false">
      <c r="A9" s="19" t="s">
        <v>2</v>
      </c>
      <c r="B9" s="20" t="s">
        <v>74</v>
      </c>
      <c r="C9" s="21" t="s">
        <v>89</v>
      </c>
      <c r="D9" s="15" t="s">
        <v>152</v>
      </c>
      <c r="E9" s="15" t="s">
        <v>153</v>
      </c>
      <c r="G9" s="19" t="s">
        <v>2</v>
      </c>
      <c r="H9" s="20" t="s">
        <v>74</v>
      </c>
      <c r="I9" s="21" t="s">
        <v>89</v>
      </c>
    </row>
    <row r="10" customFormat="false" ht="15" hidden="false" customHeight="false" outlineLevel="0" collapsed="false">
      <c r="A10" s="22" t="s">
        <v>144</v>
      </c>
      <c r="B10" s="23" t="n">
        <v>1</v>
      </c>
      <c r="C10" s="24" t="n">
        <v>1</v>
      </c>
      <c r="D10" s="25" t="n">
        <f aca="false">AVERAGE(B10,C10)</f>
        <v>1</v>
      </c>
      <c r="E10" s="25" t="n">
        <f aca="false">STDEV(B10,C10)/SQRT(COUNT(B10,C10))</f>
        <v>0</v>
      </c>
      <c r="G10" s="22" t="s">
        <v>76</v>
      </c>
      <c r="H10" s="23"/>
      <c r="I10" s="24"/>
      <c r="J10" s="26" t="n">
        <f aca="false">H10-I10</f>
        <v>0</v>
      </c>
    </row>
    <row r="11" customFormat="false" ht="15" hidden="false" customHeight="false" outlineLevel="0" collapsed="false">
      <c r="A11" s="27" t="s">
        <v>106</v>
      </c>
      <c r="B11" s="28" t="n">
        <v>1</v>
      </c>
      <c r="C11" s="29" t="n">
        <v>1</v>
      </c>
      <c r="D11" s="25" t="n">
        <f aca="false">AVERAGE(B11,C11)</f>
        <v>1</v>
      </c>
      <c r="E11" s="25" t="n">
        <f aca="false">STDEV(B11,C11)/SQRT(COUNT(B11,C11))</f>
        <v>0</v>
      </c>
      <c r="G11" s="27" t="s">
        <v>92</v>
      </c>
      <c r="H11" s="28" t="n">
        <v>1</v>
      </c>
      <c r="I11" s="29" t="n">
        <v>1</v>
      </c>
      <c r="J11" s="26" t="n">
        <f aca="false">H11-I11</f>
        <v>0</v>
      </c>
    </row>
    <row r="12" customFormat="false" ht="15" hidden="false" customHeight="false" outlineLevel="0" collapsed="false">
      <c r="A12" s="27" t="s">
        <v>114</v>
      </c>
      <c r="B12" s="28" t="n">
        <v>1</v>
      </c>
      <c r="C12" s="29" t="n">
        <v>1</v>
      </c>
      <c r="D12" s="25" t="n">
        <f aca="false">AVERAGE(B12,C12)</f>
        <v>1</v>
      </c>
      <c r="E12" s="25" t="n">
        <f aca="false">STDEV(B12,C12)/SQRT(COUNT(B12,C12))</f>
        <v>0</v>
      </c>
      <c r="G12" s="27" t="s">
        <v>97</v>
      </c>
      <c r="H12" s="28" t="n">
        <v>2</v>
      </c>
      <c r="I12" s="29" t="n">
        <v>1</v>
      </c>
      <c r="J12" s="26" t="n">
        <f aca="false">H12-I12</f>
        <v>1</v>
      </c>
    </row>
    <row r="13" customFormat="false" ht="15" hidden="false" customHeight="false" outlineLevel="0" collapsed="false">
      <c r="A13" s="27" t="s">
        <v>122</v>
      </c>
      <c r="B13" s="28"/>
      <c r="C13" s="29"/>
      <c r="D13" s="25" t="e">
        <f aca="false">AVERAGE(B13,C13)</f>
        <v>#DIV/0!</v>
      </c>
      <c r="E13" s="25" t="e">
        <f aca="false">STDEV(B13,C13)/SQRT(COUNT(B13,C13))</f>
        <v>#DIV/0!</v>
      </c>
      <c r="G13" s="27" t="s">
        <v>99</v>
      </c>
      <c r="H13" s="28"/>
      <c r="I13" s="29"/>
      <c r="J13" s="26" t="n">
        <f aca="false">H13-I13</f>
        <v>0</v>
      </c>
    </row>
    <row r="14" customFormat="false" ht="15" hidden="false" customHeight="false" outlineLevel="0" collapsed="false">
      <c r="A14" s="27" t="s">
        <v>76</v>
      </c>
      <c r="B14" s="28"/>
      <c r="C14" s="29"/>
      <c r="D14" s="25" t="e">
        <f aca="false">AVERAGE(B14,C14)</f>
        <v>#DIV/0!</v>
      </c>
      <c r="E14" s="25" t="e">
        <f aca="false">STDEV(B14,C14)/SQRT(COUNT(B14,C14))</f>
        <v>#DIV/0!</v>
      </c>
      <c r="G14" s="27" t="s">
        <v>102</v>
      </c>
      <c r="H14" s="28" t="n">
        <v>1</v>
      </c>
      <c r="I14" s="29" t="n">
        <v>1</v>
      </c>
      <c r="J14" s="26" t="n">
        <f aca="false">H14-I14</f>
        <v>0</v>
      </c>
    </row>
    <row r="15" customFormat="false" ht="15" hidden="false" customHeight="false" outlineLevel="0" collapsed="false">
      <c r="A15" s="27" t="s">
        <v>99</v>
      </c>
      <c r="B15" s="28"/>
      <c r="C15" s="29"/>
      <c r="D15" s="25" t="e">
        <f aca="false">AVERAGE(B15,C15)</f>
        <v>#DIV/0!</v>
      </c>
      <c r="E15" s="25" t="e">
        <f aca="false">STDEV(B15,C15)/SQRT(COUNT(B15,C15))</f>
        <v>#DIV/0!</v>
      </c>
      <c r="G15" s="27" t="s">
        <v>106</v>
      </c>
      <c r="H15" s="28" t="n">
        <v>1</v>
      </c>
      <c r="I15" s="29" t="n">
        <v>1</v>
      </c>
      <c r="J15" s="26" t="n">
        <f aca="false">H15-I15</f>
        <v>0</v>
      </c>
    </row>
    <row r="16" customFormat="false" ht="15" hidden="false" customHeight="false" outlineLevel="0" collapsed="false">
      <c r="A16" s="27" t="s">
        <v>140</v>
      </c>
      <c r="B16" s="28" t="n">
        <v>1</v>
      </c>
      <c r="C16" s="29" t="n">
        <v>1</v>
      </c>
      <c r="D16" s="25" t="n">
        <f aca="false">AVERAGE(B16,C16)</f>
        <v>1</v>
      </c>
      <c r="E16" s="25" t="n">
        <f aca="false">STDEV(B16,C16)/SQRT(COUNT(B16,C16))</f>
        <v>0</v>
      </c>
      <c r="G16" s="27" t="s">
        <v>110</v>
      </c>
      <c r="H16" s="28" t="n">
        <v>1</v>
      </c>
      <c r="I16" s="29" t="n">
        <v>1</v>
      </c>
      <c r="J16" s="26" t="n">
        <f aca="false">H16-I16</f>
        <v>0</v>
      </c>
    </row>
    <row r="17" customFormat="false" ht="15" hidden="false" customHeight="false" outlineLevel="0" collapsed="false">
      <c r="A17" s="27" t="s">
        <v>92</v>
      </c>
      <c r="B17" s="28" t="n">
        <v>1</v>
      </c>
      <c r="C17" s="29" t="n">
        <v>1</v>
      </c>
      <c r="D17" s="25" t="n">
        <f aca="false">AVERAGE(B17,C17)</f>
        <v>1</v>
      </c>
      <c r="E17" s="25" t="n">
        <f aca="false">STDEV(B17,C17)/SQRT(COUNT(B17,C17))</f>
        <v>0</v>
      </c>
      <c r="G17" s="27" t="s">
        <v>114</v>
      </c>
      <c r="H17" s="28" t="n">
        <v>1</v>
      </c>
      <c r="I17" s="29" t="n">
        <v>1</v>
      </c>
      <c r="J17" s="26" t="n">
        <f aca="false">H17-I17</f>
        <v>0</v>
      </c>
    </row>
    <row r="18" customFormat="false" ht="15" hidden="false" customHeight="false" outlineLevel="0" collapsed="false">
      <c r="A18" s="27" t="s">
        <v>102</v>
      </c>
      <c r="B18" s="28" t="n">
        <v>1</v>
      </c>
      <c r="C18" s="29" t="n">
        <v>1</v>
      </c>
      <c r="D18" s="25" t="n">
        <f aca="false">AVERAGE(B18,C18)</f>
        <v>1</v>
      </c>
      <c r="E18" s="25" t="n">
        <f aca="false">STDEV(B18,C18)/SQRT(COUNT(B18,C18))</f>
        <v>0</v>
      </c>
      <c r="G18" s="27" t="s">
        <v>117</v>
      </c>
      <c r="H18" s="28" t="n">
        <v>1</v>
      </c>
      <c r="I18" s="29" t="n">
        <v>1</v>
      </c>
      <c r="J18" s="26" t="n">
        <f aca="false">H18-I18</f>
        <v>0</v>
      </c>
    </row>
    <row r="19" customFormat="false" ht="15" hidden="false" customHeight="false" outlineLevel="0" collapsed="false">
      <c r="A19" s="27" t="s">
        <v>110</v>
      </c>
      <c r="B19" s="28" t="n">
        <v>1</v>
      </c>
      <c r="C19" s="29" t="n">
        <v>1</v>
      </c>
      <c r="D19" s="25" t="n">
        <f aca="false">AVERAGE(B19,C19)</f>
        <v>1</v>
      </c>
      <c r="E19" s="25" t="n">
        <f aca="false">STDEV(B19,C19)/SQRT(COUNT(B19,C19))</f>
        <v>0</v>
      </c>
      <c r="G19" s="27" t="s">
        <v>120</v>
      </c>
      <c r="H19" s="28" t="n">
        <v>1</v>
      </c>
      <c r="I19" s="29" t="n">
        <v>2</v>
      </c>
      <c r="J19" s="26" t="n">
        <f aca="false">H19-I19</f>
        <v>-1</v>
      </c>
    </row>
    <row r="20" customFormat="false" ht="15" hidden="false" customHeight="false" outlineLevel="0" collapsed="false">
      <c r="A20" s="27" t="s">
        <v>117</v>
      </c>
      <c r="B20" s="28" t="n">
        <v>1</v>
      </c>
      <c r="C20" s="29" t="n">
        <v>1</v>
      </c>
      <c r="D20" s="25" t="n">
        <f aca="false">AVERAGE(B20,C20)</f>
        <v>1</v>
      </c>
      <c r="E20" s="25" t="n">
        <f aca="false">STDEV(B20,C20)/SQRT(COUNT(B20,C20))</f>
        <v>0</v>
      </c>
      <c r="G20" s="27" t="s">
        <v>122</v>
      </c>
      <c r="H20" s="28"/>
      <c r="I20" s="29"/>
      <c r="J20" s="26" t="n">
        <f aca="false">H20-I20</f>
        <v>0</v>
      </c>
    </row>
    <row r="21" customFormat="false" ht="15" hidden="false" customHeight="false" outlineLevel="0" collapsed="false">
      <c r="A21" s="27" t="s">
        <v>125</v>
      </c>
      <c r="B21" s="28" t="n">
        <v>1</v>
      </c>
      <c r="C21" s="29" t="n">
        <v>1</v>
      </c>
      <c r="D21" s="25" t="n">
        <f aca="false">AVERAGE(B21,C21)</f>
        <v>1</v>
      </c>
      <c r="E21" s="25" t="n">
        <f aca="false">STDEV(B21,C21)/SQRT(COUNT(B21,C21))</f>
        <v>0</v>
      </c>
      <c r="G21" s="27" t="s">
        <v>125</v>
      </c>
      <c r="H21" s="28" t="n">
        <v>1</v>
      </c>
      <c r="I21" s="29" t="n">
        <v>1</v>
      </c>
      <c r="J21" s="26" t="n">
        <f aca="false">H21-I21</f>
        <v>0</v>
      </c>
    </row>
    <row r="22" customFormat="false" ht="15" hidden="false" customHeight="false" outlineLevel="0" collapsed="false">
      <c r="A22" s="27" t="s">
        <v>131</v>
      </c>
      <c r="B22" s="28" t="n">
        <v>1</v>
      </c>
      <c r="C22" s="29" t="n">
        <v>1</v>
      </c>
      <c r="D22" s="25" t="n">
        <f aca="false">AVERAGE(B22,C22)</f>
        <v>1</v>
      </c>
      <c r="E22" s="25" t="n">
        <f aca="false">STDEV(B22,C22)/SQRT(COUNT(B22,C22))</f>
        <v>0</v>
      </c>
      <c r="G22" s="27" t="s">
        <v>131</v>
      </c>
      <c r="H22" s="28" t="n">
        <v>1</v>
      </c>
      <c r="I22" s="29" t="n">
        <v>1</v>
      </c>
      <c r="J22" s="26" t="n">
        <f aca="false">H22-I22</f>
        <v>0</v>
      </c>
    </row>
    <row r="23" customFormat="false" ht="15" hidden="false" customHeight="false" outlineLevel="0" collapsed="false">
      <c r="A23" s="27" t="s">
        <v>137</v>
      </c>
      <c r="B23" s="28" t="n">
        <v>1</v>
      </c>
      <c r="C23" s="29" t="n">
        <v>1</v>
      </c>
      <c r="D23" s="25" t="n">
        <f aca="false">AVERAGE(B23,C23)</f>
        <v>1</v>
      </c>
      <c r="E23" s="25" t="n">
        <f aca="false">STDEV(B23,C23)/SQRT(COUNT(B23,C23))</f>
        <v>0</v>
      </c>
      <c r="G23" s="27" t="s">
        <v>137</v>
      </c>
      <c r="H23" s="28" t="n">
        <v>1</v>
      </c>
      <c r="I23" s="29" t="n">
        <v>1</v>
      </c>
      <c r="J23" s="26" t="n">
        <f aca="false">H23-I23</f>
        <v>0</v>
      </c>
    </row>
    <row r="24" customFormat="false" ht="15" hidden="false" customHeight="false" outlineLevel="0" collapsed="false">
      <c r="A24" s="27" t="s">
        <v>148</v>
      </c>
      <c r="B24" s="28" t="n">
        <v>1</v>
      </c>
      <c r="C24" s="29" t="n">
        <v>1</v>
      </c>
      <c r="D24" s="25" t="n">
        <f aca="false">AVERAGE(B24,C24)</f>
        <v>1</v>
      </c>
      <c r="E24" s="25" t="n">
        <f aca="false">STDEV(B24,C24)/SQRT(COUNT(B24,C24))</f>
        <v>0</v>
      </c>
      <c r="G24" s="27" t="s">
        <v>140</v>
      </c>
      <c r="H24" s="28" t="n">
        <v>1</v>
      </c>
      <c r="I24" s="29" t="n">
        <v>1</v>
      </c>
      <c r="J24" s="26" t="n">
        <f aca="false">H24-I24</f>
        <v>0</v>
      </c>
    </row>
    <row r="25" customFormat="false" ht="15" hidden="false" customHeight="false" outlineLevel="0" collapsed="false">
      <c r="A25" s="27" t="s">
        <v>97</v>
      </c>
      <c r="B25" s="28" t="n">
        <v>2</v>
      </c>
      <c r="C25" s="29" t="n">
        <v>1</v>
      </c>
      <c r="D25" s="25" t="n">
        <f aca="false">AVERAGE(B25,C25)</f>
        <v>1.5</v>
      </c>
      <c r="E25" s="25" t="n">
        <f aca="false">STDEV(B25,C25)/SQRT(COUNT(B25,C25))</f>
        <v>0.5</v>
      </c>
      <c r="G25" s="27" t="s">
        <v>144</v>
      </c>
      <c r="H25" s="28" t="n">
        <v>1</v>
      </c>
      <c r="I25" s="29" t="n">
        <v>1</v>
      </c>
      <c r="J25" s="26" t="n">
        <f aca="false">H25-I25</f>
        <v>0</v>
      </c>
    </row>
    <row r="26" customFormat="false" ht="15" hidden="false" customHeight="false" outlineLevel="0" collapsed="false">
      <c r="A26" s="27" t="s">
        <v>120</v>
      </c>
      <c r="B26" s="28" t="n">
        <v>1</v>
      </c>
      <c r="C26" s="29" t="n">
        <v>2</v>
      </c>
      <c r="D26" s="25" t="n">
        <f aca="false">AVERAGE(B26,C26)</f>
        <v>1.5</v>
      </c>
      <c r="E26" s="25" t="n">
        <f aca="false">STDEV(B26,C26)/SQRT(COUNT(B26,C26))</f>
        <v>0.5</v>
      </c>
      <c r="G26" s="27" t="s">
        <v>148</v>
      </c>
      <c r="H26" s="28" t="n">
        <v>1</v>
      </c>
      <c r="I26" s="29" t="n">
        <v>1</v>
      </c>
      <c r="J26" s="26" t="n">
        <f aca="false">H26-I26</f>
        <v>0</v>
      </c>
    </row>
    <row r="27" customFormat="false" ht="15" hidden="false" customHeight="false" outlineLevel="0" collapsed="false">
      <c r="A27" s="30" t="s">
        <v>154</v>
      </c>
      <c r="B27" s="31"/>
      <c r="C27" s="32"/>
      <c r="D27" s="25"/>
      <c r="E27" s="25"/>
      <c r="G27" s="30" t="s">
        <v>154</v>
      </c>
      <c r="H27" s="31"/>
      <c r="I27" s="32"/>
      <c r="J27" s="26" t="n">
        <f aca="false">H27-I27</f>
        <v>0</v>
      </c>
    </row>
    <row r="28" customFormat="false" ht="15" hidden="false" customHeight="false" outlineLevel="0" collapsed="false">
      <c r="D28" s="25"/>
      <c r="E28" s="25"/>
      <c r="J28" s="26" t="n">
        <f aca="false">H28-I28</f>
        <v>0</v>
      </c>
    </row>
    <row r="29" customFormat="false" ht="15" hidden="false" customHeight="false" outlineLevel="0" collapsed="false">
      <c r="D29" s="25"/>
      <c r="E29" s="25"/>
      <c r="J29" s="26" t="n">
        <f aca="false">H29-I29</f>
        <v>0</v>
      </c>
    </row>
    <row r="30" customFormat="false" ht="15" hidden="false" customHeight="false" outlineLevel="0" collapsed="false">
      <c r="D30" s="25"/>
      <c r="E30" s="25"/>
      <c r="J30" s="26" t="n">
        <f aca="false">H30-I30</f>
        <v>0</v>
      </c>
    </row>
    <row r="31" customFormat="false" ht="15" hidden="false" customHeight="false" outlineLevel="0" collapsed="false">
      <c r="D31" s="25"/>
      <c r="E31" s="25"/>
      <c r="J31" s="26" t="n">
        <f aca="false">H31-I31</f>
        <v>0</v>
      </c>
    </row>
    <row r="32" customFormat="false" ht="15" hidden="false" customHeight="false" outlineLevel="0" collapsed="false">
      <c r="D32" s="25"/>
      <c r="E32" s="25"/>
      <c r="J32" s="26" t="n">
        <f aca="false">H32-I32</f>
        <v>0</v>
      </c>
    </row>
    <row r="33" customFormat="false" ht="15" hidden="false" customHeight="false" outlineLevel="0" collapsed="false">
      <c r="D33" s="25"/>
      <c r="E33" s="25"/>
      <c r="J33" s="26" t="n">
        <f aca="false">H33-I33</f>
        <v>0</v>
      </c>
    </row>
    <row r="34" customFormat="false" ht="15" hidden="false" customHeight="false" outlineLevel="0" collapsed="false">
      <c r="D34" s="25"/>
      <c r="E34" s="25"/>
      <c r="J34" s="26" t="n">
        <f aca="false">H34-I34</f>
        <v>0</v>
      </c>
    </row>
    <row r="35" customFormat="false" ht="15" hidden="false" customHeight="false" outlineLevel="0" collapsed="false">
      <c r="D35" s="25"/>
      <c r="E35" s="25"/>
      <c r="J35" s="26" t="n">
        <f aca="false">H35-I35</f>
        <v>0</v>
      </c>
    </row>
    <row r="36" customFormat="false" ht="15" hidden="false" customHeight="false" outlineLevel="0" collapsed="false">
      <c r="D36" s="25"/>
      <c r="E36" s="25"/>
      <c r="J36" s="26" t="n">
        <f aca="false">H36-I36</f>
        <v>0</v>
      </c>
    </row>
    <row r="37" customFormat="false" ht="15" hidden="false" customHeight="false" outlineLevel="0" collapsed="false">
      <c r="D37" s="25"/>
      <c r="E37" s="25"/>
      <c r="J37" s="26" t="n">
        <f aca="false">H37-I37</f>
        <v>0</v>
      </c>
    </row>
    <row r="38" customFormat="false" ht="15" hidden="false" customHeight="false" outlineLevel="0" collapsed="false">
      <c r="D38" s="25"/>
      <c r="E38" s="25"/>
      <c r="J38" s="26" t="n">
        <f aca="false">H38-I38</f>
        <v>0</v>
      </c>
    </row>
    <row r="39" customFormat="false" ht="15" hidden="false" customHeight="false" outlineLevel="0" collapsed="false">
      <c r="D39" s="25"/>
      <c r="E39" s="25"/>
      <c r="J39" s="26" t="n">
        <f aca="false">H39-I39</f>
        <v>0</v>
      </c>
    </row>
    <row r="40" customFormat="false" ht="15" hidden="false" customHeight="false" outlineLevel="0" collapsed="false">
      <c r="D40" s="25"/>
      <c r="E40" s="25"/>
      <c r="J40" s="26" t="n">
        <f aca="false">H40-I40</f>
        <v>0</v>
      </c>
    </row>
    <row r="41" customFormat="false" ht="15" hidden="false" customHeight="false" outlineLevel="0" collapsed="false">
      <c r="D41" s="25"/>
      <c r="E41" s="25"/>
      <c r="J41" s="26" t="n">
        <f aca="false">H41-I41</f>
        <v>0</v>
      </c>
    </row>
    <row r="42" customFormat="false" ht="15" hidden="false" customHeight="false" outlineLevel="0" collapsed="false">
      <c r="D42" s="25"/>
      <c r="E42" s="25"/>
      <c r="J42" s="26" t="n">
        <f aca="false">H42-I42</f>
        <v>0</v>
      </c>
    </row>
    <row r="43" customFormat="false" ht="15" hidden="false" customHeight="false" outlineLevel="0" collapsed="false">
      <c r="D43" s="25"/>
      <c r="E43" s="25"/>
      <c r="J43" s="26" t="n">
        <f aca="false">H43-I43</f>
        <v>0</v>
      </c>
    </row>
    <row r="44" customFormat="false" ht="15" hidden="false" customHeight="false" outlineLevel="0" collapsed="false">
      <c r="D44" s="25"/>
      <c r="E44" s="25"/>
      <c r="J44" s="26" t="n">
        <f aca="false">H44-I44</f>
        <v>0</v>
      </c>
    </row>
    <row r="45" customFormat="false" ht="15" hidden="false" customHeight="false" outlineLevel="0" collapsed="false">
      <c r="D45" s="25"/>
      <c r="E45" s="25"/>
      <c r="J45" s="26" t="n">
        <f aca="false">H45-I45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J1000"/>
  <sheetViews>
    <sheetView showFormulas="false" showGridLines="false" showRowColHeaders="true" showZeros="true" rightToLeft="false" tabSelected="true" showOutlineSymbols="true" defaultGridColor="true" view="normal" topLeftCell="A1" colorId="64" zoomScale="125" zoomScaleNormal="125" zoomScalePageLayoutView="125" workbookViewId="0">
      <selection pane="topLeft" activeCell="C30" activeCellId="0" sqref="C30"/>
    </sheetView>
  </sheetViews>
  <sheetFormatPr defaultColWidth="8.859375" defaultRowHeight="12.75" zeroHeight="false" outlineLevelRow="0" outlineLevelCol="0"/>
  <cols>
    <col collapsed="false" customWidth="true" hidden="false" outlineLevel="0" max="1" min="1" style="33" width="8.42"/>
    <col collapsed="false" customWidth="true" hidden="false" outlineLevel="0" max="2" min="2" style="33" width="47.42"/>
    <col collapsed="false" customWidth="true" hidden="false" outlineLevel="0" max="3" min="3" style="33" width="10.42"/>
    <col collapsed="false" customWidth="true" hidden="false" outlineLevel="0" max="4" min="4" style="33" width="8.71"/>
    <col collapsed="false" customWidth="true" hidden="false" outlineLevel="0" max="5" min="5" style="34" width="14.29"/>
    <col collapsed="false" customWidth="true" hidden="true" outlineLevel="0" max="7" min="6" style="34" width="9"/>
    <col collapsed="false" customWidth="true" hidden="true" outlineLevel="0" max="8" min="8" style="35" width="11.85"/>
    <col collapsed="false" customWidth="true" hidden="false" outlineLevel="0" max="9" min="9" style="34" width="17"/>
    <col collapsed="false" customWidth="true" hidden="false" outlineLevel="0" max="10" min="10" style="34" width="20"/>
    <col collapsed="false" customWidth="false" hidden="false" outlineLevel="0" max="16384" min="11" style="34" width="8.86"/>
  </cols>
  <sheetData>
    <row r="1" s="34" customFormat="true" ht="12.75" hidden="false" customHeight="false" outlineLevel="0" collapsed="false">
      <c r="H1" s="35"/>
    </row>
    <row r="2" s="34" customFormat="true" ht="12.75" hidden="false" customHeight="false" outlineLevel="0" collapsed="false">
      <c r="H2" s="35"/>
    </row>
    <row r="3" s="34" customFormat="true" ht="12.75" hidden="false" customHeight="false" outlineLevel="0" collapsed="false">
      <c r="H3" s="35"/>
    </row>
    <row r="4" s="34" customFormat="true" ht="12.75" hidden="false" customHeight="false" outlineLevel="0" collapsed="false">
      <c r="H4" s="35"/>
    </row>
    <row r="5" s="34" customFormat="true" ht="12.75" hidden="false" customHeight="false" outlineLevel="0" collapsed="false">
      <c r="H5" s="35"/>
    </row>
    <row r="6" s="34" customFormat="true" ht="12.75" hidden="false" customHeight="false" outlineLevel="0" collapsed="false">
      <c r="H6" s="35"/>
    </row>
    <row r="7" s="34" customFormat="true" ht="12.75" hidden="false" customHeight="false" outlineLevel="0" collapsed="false">
      <c r="H7" s="35"/>
    </row>
    <row r="8" customFormat="false" ht="12.75" hidden="false" customHeight="true" outlineLevel="0" collapsed="false">
      <c r="A8" s="36" t="s">
        <v>155</v>
      </c>
      <c r="B8" s="36" t="s">
        <v>156</v>
      </c>
      <c r="C8" s="36" t="s">
        <v>157</v>
      </c>
      <c r="D8" s="36" t="s">
        <v>158</v>
      </c>
      <c r="E8" s="37" t="s">
        <v>159</v>
      </c>
      <c r="F8" s="37" t="s">
        <v>160</v>
      </c>
      <c r="G8" s="37" t="s">
        <v>161</v>
      </c>
      <c r="H8" s="38" t="s">
        <v>162</v>
      </c>
      <c r="I8" s="38" t="s">
        <v>163</v>
      </c>
      <c r="J8" s="38" t="s">
        <v>164</v>
      </c>
    </row>
    <row r="9" customFormat="false" ht="12.75" hidden="false" customHeight="true" outlineLevel="0" collapsed="false">
      <c r="E9" s="34" t="str">
        <f aca="false">MID(B9,9,1)</f>
        <v/>
      </c>
      <c r="F9" s="34" t="str">
        <f aca="false">MID(B9,10,1)</f>
        <v/>
      </c>
      <c r="G9" s="34" t="str">
        <f aca="false">MID(B9,11,1)</f>
        <v/>
      </c>
      <c r="H9" s="35" t="str">
        <f aca="false">IF(G9=".",F9,CONCATENATE(F9,G9))</f>
        <v/>
      </c>
      <c r="I9" s="34" t="n">
        <f aca="false">IFERROR(VALUE(H9),)</f>
        <v>0</v>
      </c>
      <c r="J9" s="34" t="e">
        <f aca="false">RIGHT(B9,LEN(B9)-FIND("/",B9, FIND("Single Cells",B9, 1)))</f>
        <v>#VALUE!</v>
      </c>
    </row>
    <row r="10" customFormat="false" ht="12.75" hidden="false" customHeight="true" outlineLevel="0" collapsed="false">
      <c r="E10" s="34" t="str">
        <f aca="false">MID(B10,9,1)</f>
        <v/>
      </c>
      <c r="F10" s="34" t="str">
        <f aca="false">MID(B10,10,1)</f>
        <v/>
      </c>
      <c r="G10" s="34" t="str">
        <f aca="false">MID(B10,11,1)</f>
        <v/>
      </c>
      <c r="H10" s="35" t="str">
        <f aca="false">IF(G10=".",F10,CONCATENATE(F10,G10))</f>
        <v/>
      </c>
      <c r="I10" s="34" t="n">
        <f aca="false">IFERROR(VALUE(H10),)</f>
        <v>0</v>
      </c>
      <c r="J10" s="34" t="e">
        <f aca="false">RIGHT(B10,LEN(B10)-FIND("/",B10, FIND("Single Cells",B10, 1)))</f>
        <v>#VALUE!</v>
      </c>
    </row>
    <row r="11" customFormat="false" ht="12.75" hidden="false" customHeight="true" outlineLevel="0" collapsed="false">
      <c r="E11" s="34" t="str">
        <f aca="false">MID(B11,9,1)</f>
        <v/>
      </c>
      <c r="F11" s="34" t="str">
        <f aca="false">MID(B11,10,1)</f>
        <v/>
      </c>
      <c r="G11" s="34" t="str">
        <f aca="false">MID(B11,11,1)</f>
        <v/>
      </c>
      <c r="H11" s="35" t="str">
        <f aca="false">IF(G11=".",F11,CONCATENATE(F11,G11))</f>
        <v/>
      </c>
      <c r="I11" s="34" t="n">
        <f aca="false">IFERROR(VALUE(H11),)</f>
        <v>0</v>
      </c>
      <c r="J11" s="34" t="e">
        <f aca="false">RIGHT(B11,LEN(B11)-FIND("/",B11, FIND("Single Cells",B11, 1)))</f>
        <v>#VALUE!</v>
      </c>
    </row>
    <row r="12" customFormat="false" ht="12.75" hidden="false" customHeight="true" outlineLevel="0" collapsed="false">
      <c r="E12" s="34" t="str">
        <f aca="false">MID(B12,9,1)</f>
        <v/>
      </c>
      <c r="F12" s="34" t="str">
        <f aca="false">MID(B12,10,1)</f>
        <v/>
      </c>
      <c r="G12" s="34" t="str">
        <f aca="false">MID(B12,11,1)</f>
        <v/>
      </c>
      <c r="H12" s="35" t="str">
        <f aca="false">IF(G12=".",F12,CONCATENATE(F12,G12))</f>
        <v/>
      </c>
      <c r="I12" s="34" t="n">
        <f aca="false">IFERROR(VALUE(H12),)</f>
        <v>0</v>
      </c>
      <c r="J12" s="34" t="e">
        <f aca="false">RIGHT(B12,LEN(B12)-FIND("/",B12, FIND("Single Cells",B12, 1)))</f>
        <v>#VALUE!</v>
      </c>
    </row>
    <row r="13" customFormat="false" ht="12.75" hidden="false" customHeight="true" outlineLevel="0" collapsed="false">
      <c r="E13" s="34" t="str">
        <f aca="false">MID(B13,9,1)</f>
        <v/>
      </c>
      <c r="F13" s="34" t="str">
        <f aca="false">MID(B13,10,1)</f>
        <v/>
      </c>
      <c r="G13" s="34" t="str">
        <f aca="false">MID(B13,11,1)</f>
        <v/>
      </c>
      <c r="H13" s="35" t="str">
        <f aca="false">IF(G13=".",F13,CONCATENATE(F13,G13))</f>
        <v/>
      </c>
      <c r="I13" s="34" t="n">
        <f aca="false">IFERROR(VALUE(H13),)</f>
        <v>0</v>
      </c>
      <c r="J13" s="34" t="e">
        <f aca="false">RIGHT(B13,LEN(B13)-FIND("/",B13, FIND("Single Cells",B13, 1)))</f>
        <v>#VALUE!</v>
      </c>
    </row>
    <row r="14" customFormat="false" ht="12.75" hidden="false" customHeight="true" outlineLevel="0" collapsed="false">
      <c r="E14" s="34" t="str">
        <f aca="false">MID(B14,9,1)</f>
        <v/>
      </c>
      <c r="F14" s="34" t="str">
        <f aca="false">MID(B14,10,1)</f>
        <v/>
      </c>
      <c r="G14" s="34" t="str">
        <f aca="false">MID(B14,11,1)</f>
        <v/>
      </c>
      <c r="H14" s="35" t="str">
        <f aca="false">IF(G14=".",F14,CONCATENATE(F14,G14))</f>
        <v/>
      </c>
      <c r="I14" s="34" t="n">
        <f aca="false">IFERROR(VALUE(H14),)</f>
        <v>0</v>
      </c>
      <c r="J14" s="34" t="e">
        <f aca="false">RIGHT(B14,LEN(B14)-FIND("/",B14, FIND("Single Cells",B14, 1)))</f>
        <v>#VALUE!</v>
      </c>
    </row>
    <row r="15" customFormat="false" ht="12.75" hidden="false" customHeight="true" outlineLevel="0" collapsed="false">
      <c r="E15" s="34" t="str">
        <f aca="false">MID(B15,9,1)</f>
        <v/>
      </c>
      <c r="F15" s="34" t="str">
        <f aca="false">MID(B15,10,1)</f>
        <v/>
      </c>
      <c r="G15" s="34" t="str">
        <f aca="false">MID(B15,11,1)</f>
        <v/>
      </c>
      <c r="H15" s="35" t="str">
        <f aca="false">IF(G15=".",F15,CONCATENATE(F15,G15))</f>
        <v/>
      </c>
      <c r="I15" s="34" t="n">
        <f aca="false">IFERROR(VALUE(H15),)</f>
        <v>0</v>
      </c>
      <c r="J15" s="34" t="e">
        <f aca="false">RIGHT(B15,LEN(B15)-FIND("/",B15, FIND("Single Cells",B15, 1)))</f>
        <v>#VALUE!</v>
      </c>
    </row>
    <row r="16" customFormat="false" ht="12.75" hidden="false" customHeight="true" outlineLevel="0" collapsed="false">
      <c r="E16" s="34" t="str">
        <f aca="false">MID(B16,9,1)</f>
        <v/>
      </c>
      <c r="F16" s="34" t="str">
        <f aca="false">MID(B16,10,1)</f>
        <v/>
      </c>
      <c r="G16" s="34" t="str">
        <f aca="false">MID(B16,11,1)</f>
        <v/>
      </c>
      <c r="H16" s="35" t="str">
        <f aca="false">IF(G16=".",F16,CONCATENATE(F16,G16))</f>
        <v/>
      </c>
      <c r="I16" s="34" t="n">
        <f aca="false">IFERROR(VALUE(H16),)</f>
        <v>0</v>
      </c>
      <c r="J16" s="34" t="e">
        <f aca="false">RIGHT(B16,LEN(B16)-FIND("/",B16, FIND("Single Cells",B16, 1)))</f>
        <v>#VALUE!</v>
      </c>
    </row>
    <row r="17" customFormat="false" ht="12.75" hidden="false" customHeight="true" outlineLevel="0" collapsed="false">
      <c r="E17" s="34" t="str">
        <f aca="false">MID(B17,9,1)</f>
        <v/>
      </c>
      <c r="F17" s="34" t="str">
        <f aca="false">MID(B17,10,1)</f>
        <v/>
      </c>
      <c r="G17" s="34" t="str">
        <f aca="false">MID(B17,11,1)</f>
        <v/>
      </c>
      <c r="H17" s="35" t="str">
        <f aca="false">IF(G17=".",F17,CONCATENATE(F17,G17))</f>
        <v/>
      </c>
      <c r="I17" s="34" t="n">
        <f aca="false">IFERROR(VALUE(H17),)</f>
        <v>0</v>
      </c>
      <c r="J17" s="34" t="e">
        <f aca="false">RIGHT(B17,LEN(B17)-FIND("/",B17, FIND("Single Cells",B17, 1)))</f>
        <v>#VALUE!</v>
      </c>
    </row>
    <row r="18" customFormat="false" ht="12.75" hidden="false" customHeight="true" outlineLevel="0" collapsed="false">
      <c r="E18" s="34" t="str">
        <f aca="false">MID(B18,9,1)</f>
        <v/>
      </c>
      <c r="F18" s="34" t="str">
        <f aca="false">MID(B18,10,1)</f>
        <v/>
      </c>
      <c r="G18" s="34" t="str">
        <f aca="false">MID(B18,11,1)</f>
        <v/>
      </c>
      <c r="H18" s="35" t="str">
        <f aca="false">IF(G18=".",F18,CONCATENATE(F18,G18))</f>
        <v/>
      </c>
      <c r="I18" s="34" t="n">
        <f aca="false">IFERROR(VALUE(H18),)</f>
        <v>0</v>
      </c>
      <c r="J18" s="34" t="e">
        <f aca="false">RIGHT(B18,LEN(B18)-FIND("/",B18, FIND("Single Cells",B18, 1)))</f>
        <v>#VALUE!</v>
      </c>
    </row>
    <row r="19" customFormat="false" ht="12.75" hidden="false" customHeight="true" outlineLevel="0" collapsed="false">
      <c r="E19" s="34" t="str">
        <f aca="false">MID(B19,9,1)</f>
        <v/>
      </c>
      <c r="F19" s="34" t="str">
        <f aca="false">MID(B19,10,1)</f>
        <v/>
      </c>
      <c r="G19" s="34" t="str">
        <f aca="false">MID(B19,11,1)</f>
        <v/>
      </c>
      <c r="H19" s="35" t="str">
        <f aca="false">IF(G19=".",F19,CONCATENATE(F19,G19))</f>
        <v/>
      </c>
      <c r="I19" s="34" t="n">
        <f aca="false">IFERROR(VALUE(H19),)</f>
        <v>0</v>
      </c>
      <c r="J19" s="34" t="e">
        <f aca="false">RIGHT(B19,LEN(B19)-FIND("/",B19, FIND("Single Cells",B19, 1)))</f>
        <v>#VALUE!</v>
      </c>
    </row>
    <row r="20" customFormat="false" ht="12.75" hidden="false" customHeight="true" outlineLevel="0" collapsed="false">
      <c r="E20" s="34" t="str">
        <f aca="false">MID(B20,9,1)</f>
        <v/>
      </c>
      <c r="F20" s="34" t="str">
        <f aca="false">MID(B20,10,1)</f>
        <v/>
      </c>
      <c r="G20" s="34" t="str">
        <f aca="false">MID(B20,11,1)</f>
        <v/>
      </c>
      <c r="H20" s="35" t="str">
        <f aca="false">IF(G20=".",F20,CONCATENATE(F20,G20))</f>
        <v/>
      </c>
      <c r="I20" s="34" t="n">
        <f aca="false">IFERROR(VALUE(H20),)</f>
        <v>0</v>
      </c>
      <c r="J20" s="34" t="e">
        <f aca="false">RIGHT(B20,LEN(B20)-FIND("/",B20, FIND("Single Cells",B20, 1)))</f>
        <v>#VALUE!</v>
      </c>
    </row>
    <row r="21" customFormat="false" ht="12.75" hidden="false" customHeight="true" outlineLevel="0" collapsed="false">
      <c r="E21" s="34" t="str">
        <f aca="false">MID(B21,9,1)</f>
        <v/>
      </c>
      <c r="F21" s="34" t="str">
        <f aca="false">MID(B21,10,1)</f>
        <v/>
      </c>
      <c r="G21" s="34" t="str">
        <f aca="false">MID(B21,11,1)</f>
        <v/>
      </c>
      <c r="H21" s="35" t="str">
        <f aca="false">IF(G21=".",F21,CONCATENATE(F21,G21))</f>
        <v/>
      </c>
      <c r="I21" s="34" t="n">
        <f aca="false">IFERROR(VALUE(H21),)</f>
        <v>0</v>
      </c>
      <c r="J21" s="34" t="e">
        <f aca="false">RIGHT(B21,LEN(B21)-FIND("/",B21, FIND("Single Cells",B21, 1)))</f>
        <v>#VALUE!</v>
      </c>
    </row>
    <row r="22" customFormat="false" ht="12.75" hidden="false" customHeight="true" outlineLevel="0" collapsed="false">
      <c r="E22" s="34" t="str">
        <f aca="false">MID(B22,9,1)</f>
        <v/>
      </c>
      <c r="F22" s="34" t="str">
        <f aca="false">MID(B22,10,1)</f>
        <v/>
      </c>
      <c r="G22" s="34" t="str">
        <f aca="false">MID(B22,11,1)</f>
        <v/>
      </c>
      <c r="H22" s="35" t="str">
        <f aca="false">IF(G22=".",F22,CONCATENATE(F22,G22))</f>
        <v/>
      </c>
      <c r="I22" s="34" t="n">
        <f aca="false">IFERROR(VALUE(H22),)</f>
        <v>0</v>
      </c>
      <c r="J22" s="34" t="e">
        <f aca="false">RIGHT(B22,LEN(B22)-FIND("/",B22, FIND("Single Cells",B22, 1)))</f>
        <v>#VALUE!</v>
      </c>
    </row>
    <row r="23" customFormat="false" ht="12.75" hidden="false" customHeight="true" outlineLevel="0" collapsed="false">
      <c r="E23" s="34" t="str">
        <f aca="false">MID(B23,9,1)</f>
        <v/>
      </c>
      <c r="F23" s="34" t="str">
        <f aca="false">MID(B23,10,1)</f>
        <v/>
      </c>
      <c r="G23" s="34" t="str">
        <f aca="false">MID(B23,11,1)</f>
        <v/>
      </c>
      <c r="H23" s="35" t="str">
        <f aca="false">IF(G23=".",F23,CONCATENATE(F23,G23))</f>
        <v/>
      </c>
      <c r="I23" s="34" t="n">
        <f aca="false">IFERROR(VALUE(H23),)</f>
        <v>0</v>
      </c>
      <c r="J23" s="34" t="e">
        <f aca="false">RIGHT(B23,LEN(B23)-FIND("/",B23, FIND("Single Cells",B23, 1)))</f>
        <v>#VALUE!</v>
      </c>
    </row>
    <row r="24" customFormat="false" ht="12.75" hidden="false" customHeight="true" outlineLevel="0" collapsed="false">
      <c r="E24" s="34" t="str">
        <f aca="false">MID(B24,9,1)</f>
        <v/>
      </c>
      <c r="F24" s="34" t="str">
        <f aca="false">MID(B24,10,1)</f>
        <v/>
      </c>
      <c r="G24" s="34" t="str">
        <f aca="false">MID(B24,11,1)</f>
        <v/>
      </c>
      <c r="H24" s="35" t="str">
        <f aca="false">IF(G24=".",F24,CONCATENATE(F24,G24))</f>
        <v/>
      </c>
      <c r="I24" s="34" t="n">
        <f aca="false">IFERROR(VALUE(H24),)</f>
        <v>0</v>
      </c>
      <c r="J24" s="34" t="e">
        <f aca="false">RIGHT(B24,LEN(B24)-FIND("/",B24, FIND("Single Cells",B24, 1)))</f>
        <v>#VALUE!</v>
      </c>
    </row>
    <row r="25" customFormat="false" ht="12.75" hidden="false" customHeight="true" outlineLevel="0" collapsed="false">
      <c r="E25" s="34" t="str">
        <f aca="false">MID(B25,9,1)</f>
        <v/>
      </c>
      <c r="F25" s="34" t="str">
        <f aca="false">MID(B25,10,1)</f>
        <v/>
      </c>
      <c r="G25" s="34" t="str">
        <f aca="false">MID(B25,11,1)</f>
        <v/>
      </c>
      <c r="H25" s="35" t="str">
        <f aca="false">IF(G25=".",F25,CONCATENATE(F25,G25))</f>
        <v/>
      </c>
      <c r="I25" s="34" t="n">
        <f aca="false">IFERROR(VALUE(H25),)</f>
        <v>0</v>
      </c>
      <c r="J25" s="34" t="e">
        <f aca="false">RIGHT(B25,LEN(B25)-FIND("/",B25, FIND("Single Cells",B25, 1)))</f>
        <v>#VALUE!</v>
      </c>
    </row>
    <row r="26" customFormat="false" ht="12.75" hidden="false" customHeight="true" outlineLevel="0" collapsed="false">
      <c r="E26" s="34" t="str">
        <f aca="false">MID(B26,9,1)</f>
        <v/>
      </c>
      <c r="F26" s="34" t="str">
        <f aca="false">MID(B26,10,1)</f>
        <v/>
      </c>
      <c r="G26" s="34" t="str">
        <f aca="false">MID(B26,11,1)</f>
        <v/>
      </c>
      <c r="H26" s="35" t="str">
        <f aca="false">IF(G26=".",F26,CONCATENATE(F26,G26))</f>
        <v/>
      </c>
      <c r="I26" s="34" t="n">
        <f aca="false">IFERROR(VALUE(H26),)</f>
        <v>0</v>
      </c>
      <c r="J26" s="34" t="e">
        <f aca="false">RIGHT(B26,LEN(B26)-FIND("/",B26, FIND("Single Cells",B26, 1)))</f>
        <v>#VALUE!</v>
      </c>
    </row>
    <row r="27" customFormat="false" ht="12.75" hidden="false" customHeight="true" outlineLevel="0" collapsed="false">
      <c r="E27" s="34" t="str">
        <f aca="false">MID(B27,9,1)</f>
        <v/>
      </c>
      <c r="F27" s="34" t="str">
        <f aca="false">MID(B27,10,1)</f>
        <v/>
      </c>
      <c r="G27" s="34" t="str">
        <f aca="false">MID(B27,11,1)</f>
        <v/>
      </c>
      <c r="H27" s="35" t="str">
        <f aca="false">IF(G27=".",F27,CONCATENATE(F27,G27))</f>
        <v/>
      </c>
      <c r="I27" s="34" t="n">
        <f aca="false">IFERROR(VALUE(H27),)</f>
        <v>0</v>
      </c>
      <c r="J27" s="34" t="e">
        <f aca="false">RIGHT(B27,LEN(B27)-FIND("/",B27, FIND("Single Cells",B27, 1)))</f>
        <v>#VALUE!</v>
      </c>
    </row>
    <row r="28" customFormat="false" ht="12.75" hidden="false" customHeight="true" outlineLevel="0" collapsed="false">
      <c r="E28" s="34" t="str">
        <f aca="false">MID(B28,9,1)</f>
        <v/>
      </c>
      <c r="F28" s="34" t="str">
        <f aca="false">MID(B28,10,1)</f>
        <v/>
      </c>
      <c r="G28" s="34" t="str">
        <f aca="false">MID(B28,11,1)</f>
        <v/>
      </c>
      <c r="H28" s="35" t="str">
        <f aca="false">IF(G28=".",F28,CONCATENATE(F28,G28))</f>
        <v/>
      </c>
      <c r="I28" s="34" t="n">
        <f aca="false">IFERROR(VALUE(H28),)</f>
        <v>0</v>
      </c>
      <c r="J28" s="34" t="e">
        <f aca="false">RIGHT(B28,LEN(B28)-FIND("/",B28, FIND("Single Cells",B28, 1)))</f>
        <v>#VALUE!</v>
      </c>
    </row>
    <row r="29" customFormat="false" ht="12.75" hidden="false" customHeight="true" outlineLevel="0" collapsed="false">
      <c r="E29" s="34" t="str">
        <f aca="false">MID(B29,9,1)</f>
        <v/>
      </c>
      <c r="F29" s="34" t="str">
        <f aca="false">MID(B29,10,1)</f>
        <v/>
      </c>
      <c r="G29" s="34" t="str">
        <f aca="false">MID(B29,11,1)</f>
        <v/>
      </c>
      <c r="H29" s="35" t="str">
        <f aca="false">IF(G29=".",F29,CONCATENATE(F29,G29))</f>
        <v/>
      </c>
      <c r="I29" s="34" t="n">
        <f aca="false">IFERROR(VALUE(H29),)</f>
        <v>0</v>
      </c>
      <c r="J29" s="34" t="e">
        <f aca="false">RIGHT(B29,LEN(B29)-FIND("/",B29, FIND("Single Cells",B29, 1)))</f>
        <v>#VALUE!</v>
      </c>
    </row>
    <row r="30" customFormat="false" ht="12.75" hidden="false" customHeight="true" outlineLevel="0" collapsed="false">
      <c r="E30" s="34" t="str">
        <f aca="false">MID(B30,9,1)</f>
        <v/>
      </c>
      <c r="F30" s="34" t="str">
        <f aca="false">MID(B30,10,1)</f>
        <v/>
      </c>
      <c r="G30" s="34" t="str">
        <f aca="false">MID(B30,11,1)</f>
        <v/>
      </c>
      <c r="H30" s="35" t="str">
        <f aca="false">IF(G30=".",F30,CONCATENATE(F30,G30))</f>
        <v/>
      </c>
      <c r="I30" s="34" t="n">
        <f aca="false">IFERROR(VALUE(H30),)</f>
        <v>0</v>
      </c>
      <c r="J30" s="34" t="e">
        <f aca="false">RIGHT(B30,LEN(B30)-FIND("/",B30, FIND("Single Cells",B30, 1)))</f>
        <v>#VALUE!</v>
      </c>
    </row>
    <row r="31" customFormat="false" ht="12.75" hidden="false" customHeight="true" outlineLevel="0" collapsed="false">
      <c r="E31" s="34" t="str">
        <f aca="false">MID(B31,9,1)</f>
        <v/>
      </c>
      <c r="F31" s="34" t="str">
        <f aca="false">MID(B31,10,1)</f>
        <v/>
      </c>
      <c r="G31" s="34" t="str">
        <f aca="false">MID(B31,11,1)</f>
        <v/>
      </c>
      <c r="H31" s="35" t="str">
        <f aca="false">IF(G31=".",F31,CONCATENATE(F31,G31))</f>
        <v/>
      </c>
      <c r="I31" s="34" t="n">
        <f aca="false">IFERROR(VALUE(H31),)</f>
        <v>0</v>
      </c>
      <c r="J31" s="34" t="e">
        <f aca="false">RIGHT(B31,LEN(B31)-FIND("/",B31, FIND("Single Cells",B31, 1)))</f>
        <v>#VALUE!</v>
      </c>
    </row>
    <row r="32" customFormat="false" ht="12.75" hidden="false" customHeight="true" outlineLevel="0" collapsed="false">
      <c r="E32" s="34" t="str">
        <f aca="false">MID(B32,9,1)</f>
        <v/>
      </c>
      <c r="F32" s="34" t="str">
        <f aca="false">MID(B32,10,1)</f>
        <v/>
      </c>
      <c r="G32" s="34" t="str">
        <f aca="false">MID(B32,11,1)</f>
        <v/>
      </c>
      <c r="H32" s="35" t="str">
        <f aca="false">IF(G32=".",F32,CONCATENATE(F32,G32))</f>
        <v/>
      </c>
      <c r="I32" s="34" t="n">
        <f aca="false">IFERROR(VALUE(H32),)</f>
        <v>0</v>
      </c>
      <c r="J32" s="34" t="e">
        <f aca="false">RIGHT(B32,LEN(B32)-FIND("/",B32, FIND("Single Cells",B32, 1)))</f>
        <v>#VALUE!</v>
      </c>
    </row>
    <row r="33" customFormat="false" ht="12.75" hidden="false" customHeight="true" outlineLevel="0" collapsed="false">
      <c r="E33" s="34" t="str">
        <f aca="false">MID(B33,9,1)</f>
        <v/>
      </c>
      <c r="F33" s="34" t="str">
        <f aca="false">MID(B33,10,1)</f>
        <v/>
      </c>
      <c r="G33" s="34" t="str">
        <f aca="false">MID(B33,11,1)</f>
        <v/>
      </c>
      <c r="H33" s="35" t="str">
        <f aca="false">IF(G33=".",F33,CONCATENATE(F33,G33))</f>
        <v/>
      </c>
      <c r="I33" s="34" t="n">
        <f aca="false">IFERROR(VALUE(H33),)</f>
        <v>0</v>
      </c>
      <c r="J33" s="34" t="e">
        <f aca="false">RIGHT(B33,LEN(B33)-FIND("/",B33, FIND("Single Cells",B33, 1)))</f>
        <v>#VALUE!</v>
      </c>
    </row>
    <row r="34" customFormat="false" ht="12.75" hidden="false" customHeight="true" outlineLevel="0" collapsed="false">
      <c r="E34" s="34" t="str">
        <f aca="false">MID(B34,9,1)</f>
        <v/>
      </c>
      <c r="F34" s="34" t="str">
        <f aca="false">MID(B34,10,1)</f>
        <v/>
      </c>
      <c r="G34" s="34" t="str">
        <f aca="false">MID(B34,11,1)</f>
        <v/>
      </c>
      <c r="H34" s="35" t="str">
        <f aca="false">IF(G34=".",F34,CONCATENATE(F34,G34))</f>
        <v/>
      </c>
      <c r="I34" s="34" t="n">
        <f aca="false">IFERROR(VALUE(H34),)</f>
        <v>0</v>
      </c>
      <c r="J34" s="34" t="e">
        <f aca="false">RIGHT(B34,LEN(B34)-FIND("/",B34, FIND("Single Cells",B34, 1)))</f>
        <v>#VALUE!</v>
      </c>
    </row>
    <row r="35" customFormat="false" ht="12.75" hidden="false" customHeight="true" outlineLevel="0" collapsed="false">
      <c r="E35" s="34" t="str">
        <f aca="false">MID(B35,9,1)</f>
        <v/>
      </c>
      <c r="F35" s="34" t="str">
        <f aca="false">MID(B35,10,1)</f>
        <v/>
      </c>
      <c r="G35" s="34" t="str">
        <f aca="false">MID(B35,11,1)</f>
        <v/>
      </c>
      <c r="H35" s="35" t="str">
        <f aca="false">IF(G35=".",F35,CONCATENATE(F35,G35))</f>
        <v/>
      </c>
      <c r="I35" s="34" t="n">
        <f aca="false">IFERROR(VALUE(H35),)</f>
        <v>0</v>
      </c>
      <c r="J35" s="34" t="e">
        <f aca="false">RIGHT(B35,LEN(B35)-FIND("/",B35, FIND("Single Cells",B35, 1)))</f>
        <v>#VALUE!</v>
      </c>
    </row>
    <row r="36" customFormat="false" ht="12.75" hidden="false" customHeight="true" outlineLevel="0" collapsed="false">
      <c r="E36" s="34" t="str">
        <f aca="false">MID(B36,9,1)</f>
        <v/>
      </c>
      <c r="F36" s="34" t="str">
        <f aca="false">MID(B36,10,1)</f>
        <v/>
      </c>
      <c r="G36" s="34" t="str">
        <f aca="false">MID(B36,11,1)</f>
        <v/>
      </c>
      <c r="H36" s="35" t="str">
        <f aca="false">IF(G36=".",F36,CONCATENATE(F36,G36))</f>
        <v/>
      </c>
      <c r="I36" s="34" t="n">
        <f aca="false">IFERROR(VALUE(H36),)</f>
        <v>0</v>
      </c>
      <c r="J36" s="34" t="e">
        <f aca="false">RIGHT(B36,LEN(B36)-FIND("/",B36, FIND("Single Cells",B36, 1)))</f>
        <v>#VALUE!</v>
      </c>
    </row>
    <row r="37" customFormat="false" ht="12.75" hidden="false" customHeight="true" outlineLevel="0" collapsed="false">
      <c r="E37" s="34" t="str">
        <f aca="false">MID(B37,9,1)</f>
        <v/>
      </c>
      <c r="F37" s="34" t="str">
        <f aca="false">MID(B37,10,1)</f>
        <v/>
      </c>
      <c r="G37" s="34" t="str">
        <f aca="false">MID(B37,11,1)</f>
        <v/>
      </c>
      <c r="H37" s="35" t="str">
        <f aca="false">IF(G37=".",F37,CONCATENATE(F37,G37))</f>
        <v/>
      </c>
      <c r="I37" s="34" t="n">
        <f aca="false">IFERROR(VALUE(H37),)</f>
        <v>0</v>
      </c>
      <c r="J37" s="34" t="e">
        <f aca="false">RIGHT(B37,LEN(B37)-FIND("/",B37, FIND("Single Cells",B37, 1)))</f>
        <v>#VALUE!</v>
      </c>
    </row>
    <row r="38" customFormat="false" ht="12.75" hidden="false" customHeight="true" outlineLevel="0" collapsed="false">
      <c r="E38" s="34" t="str">
        <f aca="false">MID(B38,9,1)</f>
        <v/>
      </c>
      <c r="F38" s="34" t="str">
        <f aca="false">MID(B38,10,1)</f>
        <v/>
      </c>
      <c r="G38" s="34" t="str">
        <f aca="false">MID(B38,11,1)</f>
        <v/>
      </c>
      <c r="H38" s="35" t="str">
        <f aca="false">IF(G38=".",F38,CONCATENATE(F38,G38))</f>
        <v/>
      </c>
      <c r="I38" s="34" t="n">
        <f aca="false">IFERROR(VALUE(H38),)</f>
        <v>0</v>
      </c>
      <c r="J38" s="34" t="e">
        <f aca="false">RIGHT(B38,LEN(B38)-FIND("/",B38, FIND("Single Cells",B38, 1)))</f>
        <v>#VALUE!</v>
      </c>
    </row>
    <row r="39" customFormat="false" ht="12.75" hidden="false" customHeight="true" outlineLevel="0" collapsed="false">
      <c r="E39" s="34" t="str">
        <f aca="false">MID(B39,9,1)</f>
        <v/>
      </c>
      <c r="F39" s="34" t="str">
        <f aca="false">MID(B39,10,1)</f>
        <v/>
      </c>
      <c r="G39" s="34" t="str">
        <f aca="false">MID(B39,11,1)</f>
        <v/>
      </c>
      <c r="H39" s="35" t="str">
        <f aca="false">IF(G39=".",F39,CONCATENATE(F39,G39))</f>
        <v/>
      </c>
      <c r="I39" s="34" t="n">
        <f aca="false">IFERROR(VALUE(H39),)</f>
        <v>0</v>
      </c>
      <c r="J39" s="34" t="e">
        <f aca="false">RIGHT(B39,LEN(B39)-FIND("/",B39, FIND("Single Cells",B39, 1)))</f>
        <v>#VALUE!</v>
      </c>
    </row>
    <row r="40" customFormat="false" ht="12.75" hidden="false" customHeight="true" outlineLevel="0" collapsed="false">
      <c r="E40" s="34" t="str">
        <f aca="false">MID(B40,9,1)</f>
        <v/>
      </c>
      <c r="F40" s="34" t="str">
        <f aca="false">MID(B40,10,1)</f>
        <v/>
      </c>
      <c r="G40" s="34" t="str">
        <f aca="false">MID(B40,11,1)</f>
        <v/>
      </c>
      <c r="H40" s="35" t="str">
        <f aca="false">IF(G40=".",F40,CONCATENATE(F40,G40))</f>
        <v/>
      </c>
      <c r="I40" s="34" t="n">
        <f aca="false">IFERROR(VALUE(H40),)</f>
        <v>0</v>
      </c>
      <c r="J40" s="34" t="e">
        <f aca="false">RIGHT(B40,LEN(B40)-FIND("/",B40, FIND("Single Cells",B40, 1)))</f>
        <v>#VALUE!</v>
      </c>
    </row>
    <row r="41" customFormat="false" ht="12.75" hidden="false" customHeight="true" outlineLevel="0" collapsed="false">
      <c r="E41" s="34" t="str">
        <f aca="false">MID(B41,9,1)</f>
        <v/>
      </c>
      <c r="F41" s="34" t="str">
        <f aca="false">MID(B41,10,1)</f>
        <v/>
      </c>
      <c r="G41" s="34" t="str">
        <f aca="false">MID(B41,11,1)</f>
        <v/>
      </c>
      <c r="H41" s="35" t="str">
        <f aca="false">IF(G41=".",F41,CONCATENATE(F41,G41))</f>
        <v/>
      </c>
      <c r="I41" s="34" t="n">
        <f aca="false">IFERROR(VALUE(H41),)</f>
        <v>0</v>
      </c>
      <c r="J41" s="34" t="e">
        <f aca="false">RIGHT(B41,LEN(B41)-FIND("/",B41, FIND("Single Cells",B41, 1)))</f>
        <v>#VALUE!</v>
      </c>
    </row>
    <row r="42" customFormat="false" ht="12.75" hidden="false" customHeight="true" outlineLevel="0" collapsed="false">
      <c r="E42" s="34" t="str">
        <f aca="false">MID(B42,9,1)</f>
        <v/>
      </c>
      <c r="F42" s="34" t="str">
        <f aca="false">MID(B42,10,1)</f>
        <v/>
      </c>
      <c r="G42" s="34" t="str">
        <f aca="false">MID(B42,11,1)</f>
        <v/>
      </c>
      <c r="H42" s="35" t="str">
        <f aca="false">IF(G42=".",F42,CONCATENATE(F42,G42))</f>
        <v/>
      </c>
      <c r="I42" s="34" t="n">
        <f aca="false">IFERROR(VALUE(H42),)</f>
        <v>0</v>
      </c>
      <c r="J42" s="34" t="e">
        <f aca="false">RIGHT(B42,LEN(B42)-FIND("/",B42, FIND("Single Cells",B42, 1)))</f>
        <v>#VALUE!</v>
      </c>
    </row>
    <row r="43" customFormat="false" ht="12.75" hidden="false" customHeight="true" outlineLevel="0" collapsed="false">
      <c r="E43" s="34" t="str">
        <f aca="false">MID(B43,9,1)</f>
        <v/>
      </c>
      <c r="F43" s="34" t="str">
        <f aca="false">MID(B43,10,1)</f>
        <v/>
      </c>
      <c r="G43" s="34" t="str">
        <f aca="false">MID(B43,11,1)</f>
        <v/>
      </c>
      <c r="H43" s="35" t="str">
        <f aca="false">IF(G43=".",F43,CONCATENATE(F43,G43))</f>
        <v/>
      </c>
      <c r="I43" s="34" t="n">
        <f aca="false">IFERROR(VALUE(H43),)</f>
        <v>0</v>
      </c>
      <c r="J43" s="34" t="e">
        <f aca="false">RIGHT(B43,LEN(B43)-FIND("/",B43, FIND("Single Cells",B43, 1)))</f>
        <v>#VALUE!</v>
      </c>
    </row>
    <row r="44" customFormat="false" ht="12.75" hidden="false" customHeight="true" outlineLevel="0" collapsed="false">
      <c r="E44" s="34" t="str">
        <f aca="false">MID(B44,9,1)</f>
        <v/>
      </c>
      <c r="F44" s="34" t="str">
        <f aca="false">MID(B44,10,1)</f>
        <v/>
      </c>
      <c r="G44" s="34" t="str">
        <f aca="false">MID(B44,11,1)</f>
        <v/>
      </c>
      <c r="H44" s="35" t="str">
        <f aca="false">IF(G44=".",F44,CONCATENATE(F44,G44))</f>
        <v/>
      </c>
      <c r="I44" s="34" t="n">
        <f aca="false">IFERROR(VALUE(H44),)</f>
        <v>0</v>
      </c>
      <c r="J44" s="34" t="e">
        <f aca="false">RIGHT(B44,LEN(B44)-FIND("/",B44, FIND("Single Cells",B44, 1)))</f>
        <v>#VALUE!</v>
      </c>
    </row>
    <row r="45" customFormat="false" ht="12.75" hidden="false" customHeight="true" outlineLevel="0" collapsed="false">
      <c r="E45" s="34" t="str">
        <f aca="false">MID(B45,9,1)</f>
        <v/>
      </c>
      <c r="F45" s="34" t="str">
        <f aca="false">MID(B45,10,1)</f>
        <v/>
      </c>
      <c r="G45" s="34" t="str">
        <f aca="false">MID(B45,11,1)</f>
        <v/>
      </c>
      <c r="H45" s="35" t="str">
        <f aca="false">IF(G45=".",F45,CONCATENATE(F45,G45))</f>
        <v/>
      </c>
      <c r="I45" s="34" t="n">
        <f aca="false">IFERROR(VALUE(H45),)</f>
        <v>0</v>
      </c>
      <c r="J45" s="34" t="e">
        <f aca="false">RIGHT(B45,LEN(B45)-FIND("/",B45, FIND("Single Cells",B45, 1)))</f>
        <v>#VALUE!</v>
      </c>
    </row>
    <row r="46" customFormat="false" ht="12.75" hidden="false" customHeight="true" outlineLevel="0" collapsed="false">
      <c r="E46" s="34" t="str">
        <f aca="false">MID(B46,9,1)</f>
        <v/>
      </c>
      <c r="F46" s="34" t="str">
        <f aca="false">MID(B46,10,1)</f>
        <v/>
      </c>
      <c r="G46" s="34" t="str">
        <f aca="false">MID(B46,11,1)</f>
        <v/>
      </c>
      <c r="H46" s="35" t="str">
        <f aca="false">IF(G46=".",F46,CONCATENATE(F46,G46))</f>
        <v/>
      </c>
      <c r="I46" s="34" t="n">
        <f aca="false">IFERROR(VALUE(H46),)</f>
        <v>0</v>
      </c>
      <c r="J46" s="34" t="e">
        <f aca="false">RIGHT(B46,LEN(B46)-FIND("/",B46, FIND("Single Cells",B46, 1)))</f>
        <v>#VALUE!</v>
      </c>
    </row>
    <row r="47" customFormat="false" ht="12.75" hidden="false" customHeight="true" outlineLevel="0" collapsed="false">
      <c r="E47" s="34" t="str">
        <f aca="false">MID(B47,9,1)</f>
        <v/>
      </c>
      <c r="F47" s="34" t="str">
        <f aca="false">MID(B47,10,1)</f>
        <v/>
      </c>
      <c r="G47" s="34" t="str">
        <f aca="false">MID(B47,11,1)</f>
        <v/>
      </c>
      <c r="H47" s="35" t="str">
        <f aca="false">IF(G47=".",F47,CONCATENATE(F47,G47))</f>
        <v/>
      </c>
      <c r="I47" s="34" t="n">
        <f aca="false">IFERROR(VALUE(H47),)</f>
        <v>0</v>
      </c>
      <c r="J47" s="34" t="e">
        <f aca="false">RIGHT(B47,LEN(B47)-FIND("/",B47, FIND("Single Cells",B47, 1)))</f>
        <v>#VALUE!</v>
      </c>
    </row>
    <row r="48" customFormat="false" ht="12.75" hidden="false" customHeight="true" outlineLevel="0" collapsed="false">
      <c r="E48" s="34" t="str">
        <f aca="false">MID(B48,9,1)</f>
        <v/>
      </c>
      <c r="F48" s="34" t="str">
        <f aca="false">MID(B48,10,1)</f>
        <v/>
      </c>
      <c r="G48" s="34" t="str">
        <f aca="false">MID(B48,11,1)</f>
        <v/>
      </c>
      <c r="H48" s="35" t="str">
        <f aca="false">IF(G48=".",F48,CONCATENATE(F48,G48))</f>
        <v/>
      </c>
      <c r="I48" s="34" t="n">
        <f aca="false">IFERROR(VALUE(H48),)</f>
        <v>0</v>
      </c>
      <c r="J48" s="34" t="e">
        <f aca="false">RIGHT(B48,LEN(B48)-FIND("/",B48, FIND("Single Cells",B48, 1)))</f>
        <v>#VALUE!</v>
      </c>
    </row>
    <row r="49" customFormat="false" ht="12.75" hidden="false" customHeight="true" outlineLevel="0" collapsed="false">
      <c r="E49" s="34" t="str">
        <f aca="false">MID(B49,9,1)</f>
        <v/>
      </c>
      <c r="F49" s="34" t="str">
        <f aca="false">MID(B49,10,1)</f>
        <v/>
      </c>
      <c r="G49" s="34" t="str">
        <f aca="false">MID(B49,11,1)</f>
        <v/>
      </c>
      <c r="H49" s="35" t="str">
        <f aca="false">IF(G49=".",F49,CONCATENATE(F49,G49))</f>
        <v/>
      </c>
      <c r="I49" s="34" t="n">
        <f aca="false">IFERROR(VALUE(H49),)</f>
        <v>0</v>
      </c>
      <c r="J49" s="34" t="e">
        <f aca="false">RIGHT(B49,LEN(B49)-FIND("/",B49, FIND("Single Cells",B49, 1)))</f>
        <v>#VALUE!</v>
      </c>
    </row>
    <row r="50" customFormat="false" ht="12.75" hidden="false" customHeight="true" outlineLevel="0" collapsed="false">
      <c r="E50" s="34" t="str">
        <f aca="false">MID(B50,9,1)</f>
        <v/>
      </c>
      <c r="F50" s="34" t="str">
        <f aca="false">MID(B50,10,1)</f>
        <v/>
      </c>
      <c r="G50" s="34" t="str">
        <f aca="false">MID(B50,11,1)</f>
        <v/>
      </c>
      <c r="H50" s="35" t="str">
        <f aca="false">IF(G50=".",F50,CONCATENATE(F50,G50))</f>
        <v/>
      </c>
      <c r="I50" s="34" t="n">
        <f aca="false">IFERROR(VALUE(H50),)</f>
        <v>0</v>
      </c>
      <c r="J50" s="34" t="e">
        <f aca="false">RIGHT(B50,LEN(B50)-FIND("/",B50, FIND("Single Cells",B50, 1)))</f>
        <v>#VALUE!</v>
      </c>
    </row>
    <row r="51" customFormat="false" ht="12.75" hidden="false" customHeight="true" outlineLevel="0" collapsed="false">
      <c r="E51" s="34" t="str">
        <f aca="false">MID(B51,9,1)</f>
        <v/>
      </c>
      <c r="F51" s="34" t="str">
        <f aca="false">MID(B51,10,1)</f>
        <v/>
      </c>
      <c r="G51" s="34" t="str">
        <f aca="false">MID(B51,11,1)</f>
        <v/>
      </c>
      <c r="H51" s="35" t="str">
        <f aca="false">IF(G51=".",F51,CONCATENATE(F51,G51))</f>
        <v/>
      </c>
      <c r="I51" s="34" t="n">
        <f aca="false">IFERROR(VALUE(H51),)</f>
        <v>0</v>
      </c>
      <c r="J51" s="34" t="e">
        <f aca="false">RIGHT(B51,LEN(B51)-FIND("/",B51, FIND("Single Cells",B51, 1)))</f>
        <v>#VALUE!</v>
      </c>
    </row>
    <row r="52" customFormat="false" ht="12.75" hidden="false" customHeight="true" outlineLevel="0" collapsed="false">
      <c r="E52" s="34" t="str">
        <f aca="false">MID(B52,9,1)</f>
        <v/>
      </c>
      <c r="F52" s="34" t="str">
        <f aca="false">MID(B52,10,1)</f>
        <v/>
      </c>
      <c r="G52" s="34" t="str">
        <f aca="false">MID(B52,11,1)</f>
        <v/>
      </c>
      <c r="H52" s="35" t="str">
        <f aca="false">IF(G52=".",F52,CONCATENATE(F52,G52))</f>
        <v/>
      </c>
      <c r="I52" s="34" t="n">
        <f aca="false">IFERROR(VALUE(H52),)</f>
        <v>0</v>
      </c>
      <c r="J52" s="34" t="e">
        <f aca="false">RIGHT(B52,LEN(B52)-FIND("/",B52, FIND("Single Cells",B52, 1)))</f>
        <v>#VALUE!</v>
      </c>
    </row>
    <row r="53" customFormat="false" ht="12.75" hidden="false" customHeight="true" outlineLevel="0" collapsed="false">
      <c r="E53" s="34" t="str">
        <f aca="false">MID(B53,9,1)</f>
        <v/>
      </c>
      <c r="F53" s="34" t="str">
        <f aca="false">MID(B53,10,1)</f>
        <v/>
      </c>
      <c r="G53" s="34" t="str">
        <f aca="false">MID(B53,11,1)</f>
        <v/>
      </c>
      <c r="H53" s="35" t="str">
        <f aca="false">IF(G53=".",F53,CONCATENATE(F53,G53))</f>
        <v/>
      </c>
      <c r="I53" s="34" t="n">
        <f aca="false">IFERROR(VALUE(H53),)</f>
        <v>0</v>
      </c>
      <c r="J53" s="34" t="e">
        <f aca="false">RIGHT(B53,LEN(B53)-FIND("/",B53, FIND("Single Cells",B53, 1)))</f>
        <v>#VALUE!</v>
      </c>
    </row>
    <row r="54" customFormat="false" ht="12.75" hidden="false" customHeight="true" outlineLevel="0" collapsed="false">
      <c r="E54" s="34" t="str">
        <f aca="false">MID(B54,9,1)</f>
        <v/>
      </c>
      <c r="F54" s="34" t="str">
        <f aca="false">MID(B54,10,1)</f>
        <v/>
      </c>
      <c r="G54" s="34" t="str">
        <f aca="false">MID(B54,11,1)</f>
        <v/>
      </c>
      <c r="H54" s="35" t="str">
        <f aca="false">IF(G54=".",F54,CONCATENATE(F54,G54))</f>
        <v/>
      </c>
      <c r="I54" s="34" t="n">
        <f aca="false">IFERROR(VALUE(H54),)</f>
        <v>0</v>
      </c>
      <c r="J54" s="34" t="e">
        <f aca="false">RIGHT(B54,LEN(B54)-FIND("/",B54, FIND("Single Cells",B54, 1)))</f>
        <v>#VALUE!</v>
      </c>
    </row>
    <row r="55" customFormat="false" ht="12.75" hidden="false" customHeight="true" outlineLevel="0" collapsed="false">
      <c r="E55" s="34" t="str">
        <f aca="false">MID(B55,9,1)</f>
        <v/>
      </c>
      <c r="F55" s="34" t="str">
        <f aca="false">MID(B55,10,1)</f>
        <v/>
      </c>
      <c r="G55" s="34" t="str">
        <f aca="false">MID(B55,11,1)</f>
        <v/>
      </c>
      <c r="H55" s="35" t="str">
        <f aca="false">IF(G55=".",F55,CONCATENATE(F55,G55))</f>
        <v/>
      </c>
      <c r="I55" s="34" t="n">
        <f aca="false">IFERROR(VALUE(H55),)</f>
        <v>0</v>
      </c>
      <c r="J55" s="34" t="e">
        <f aca="false">RIGHT(B55,LEN(B55)-FIND("/",B55, FIND("Single Cells",B55, 1)))</f>
        <v>#VALUE!</v>
      </c>
    </row>
    <row r="56" customFormat="false" ht="12.75" hidden="false" customHeight="true" outlineLevel="0" collapsed="false">
      <c r="E56" s="34" t="str">
        <f aca="false">MID(B56,9,1)</f>
        <v/>
      </c>
      <c r="F56" s="34" t="str">
        <f aca="false">MID(B56,10,1)</f>
        <v/>
      </c>
      <c r="G56" s="34" t="str">
        <f aca="false">MID(B56,11,1)</f>
        <v/>
      </c>
      <c r="H56" s="35" t="str">
        <f aca="false">IF(G56=".",F56,CONCATENATE(F56,G56))</f>
        <v/>
      </c>
      <c r="I56" s="34" t="n">
        <f aca="false">IFERROR(VALUE(H56),)</f>
        <v>0</v>
      </c>
      <c r="J56" s="34" t="e">
        <f aca="false">RIGHT(B56,LEN(B56)-FIND("/",B56, FIND("Single Cells",B56, 1)))</f>
        <v>#VALUE!</v>
      </c>
    </row>
    <row r="57" customFormat="false" ht="12.75" hidden="false" customHeight="true" outlineLevel="0" collapsed="false">
      <c r="E57" s="34" t="str">
        <f aca="false">MID(B57,9,1)</f>
        <v/>
      </c>
      <c r="F57" s="34" t="str">
        <f aca="false">MID(B57,10,1)</f>
        <v/>
      </c>
      <c r="G57" s="34" t="str">
        <f aca="false">MID(B57,11,1)</f>
        <v/>
      </c>
      <c r="H57" s="35" t="str">
        <f aca="false">IF(G57=".",F57,CONCATENATE(F57,G57))</f>
        <v/>
      </c>
      <c r="I57" s="34" t="n">
        <f aca="false">IFERROR(VALUE(H57),)</f>
        <v>0</v>
      </c>
      <c r="J57" s="34" t="e">
        <f aca="false">RIGHT(B57,LEN(B57)-FIND("/",B57, FIND("Single Cells",B57, 1)))</f>
        <v>#VALUE!</v>
      </c>
    </row>
    <row r="58" customFormat="false" ht="12.75" hidden="false" customHeight="true" outlineLevel="0" collapsed="false">
      <c r="E58" s="34" t="str">
        <f aca="false">MID(B58,9,1)</f>
        <v/>
      </c>
      <c r="F58" s="34" t="str">
        <f aca="false">MID(B58,10,1)</f>
        <v/>
      </c>
      <c r="G58" s="34" t="str">
        <f aca="false">MID(B58,11,1)</f>
        <v/>
      </c>
      <c r="H58" s="35" t="str">
        <f aca="false">IF(G58=".",F58,CONCATENATE(F58,G58))</f>
        <v/>
      </c>
      <c r="I58" s="34" t="n">
        <f aca="false">IFERROR(VALUE(H58),)</f>
        <v>0</v>
      </c>
      <c r="J58" s="34" t="e">
        <f aca="false">RIGHT(B58,LEN(B58)-FIND("/",B58, FIND("Single Cells",B58, 1)))</f>
        <v>#VALUE!</v>
      </c>
    </row>
    <row r="59" customFormat="false" ht="12.75" hidden="false" customHeight="true" outlineLevel="0" collapsed="false">
      <c r="E59" s="34" t="str">
        <f aca="false">MID(B59,9,1)</f>
        <v/>
      </c>
      <c r="F59" s="34" t="str">
        <f aca="false">MID(B59,10,1)</f>
        <v/>
      </c>
      <c r="G59" s="34" t="str">
        <f aca="false">MID(B59,11,1)</f>
        <v/>
      </c>
      <c r="H59" s="35" t="str">
        <f aca="false">IF(G59=".",F59,CONCATENATE(F59,G59))</f>
        <v/>
      </c>
      <c r="I59" s="34" t="n">
        <f aca="false">IFERROR(VALUE(H59),)</f>
        <v>0</v>
      </c>
      <c r="J59" s="34" t="e">
        <f aca="false">RIGHT(B59,LEN(B59)-FIND("/",B59, FIND("Single Cells",B59, 1)))</f>
        <v>#VALUE!</v>
      </c>
    </row>
    <row r="60" customFormat="false" ht="12.75" hidden="false" customHeight="true" outlineLevel="0" collapsed="false">
      <c r="E60" s="34" t="str">
        <f aca="false">MID(B60,9,1)</f>
        <v/>
      </c>
      <c r="F60" s="34" t="str">
        <f aca="false">MID(B60,10,1)</f>
        <v/>
      </c>
      <c r="G60" s="34" t="str">
        <f aca="false">MID(B60,11,1)</f>
        <v/>
      </c>
      <c r="H60" s="35" t="str">
        <f aca="false">IF(G60=".",F60,CONCATENATE(F60,G60))</f>
        <v/>
      </c>
      <c r="I60" s="34" t="n">
        <f aca="false">IFERROR(VALUE(H60),)</f>
        <v>0</v>
      </c>
      <c r="J60" s="34" t="e">
        <f aca="false">RIGHT(B60,LEN(B60)-FIND("/",B60, FIND("Single Cells",B60, 1)))</f>
        <v>#VALUE!</v>
      </c>
    </row>
    <row r="61" customFormat="false" ht="12.75" hidden="false" customHeight="true" outlineLevel="0" collapsed="false">
      <c r="E61" s="34" t="str">
        <f aca="false">MID(B61,9,1)</f>
        <v/>
      </c>
      <c r="F61" s="34" t="str">
        <f aca="false">MID(B61,10,1)</f>
        <v/>
      </c>
      <c r="G61" s="34" t="str">
        <f aca="false">MID(B61,11,1)</f>
        <v/>
      </c>
      <c r="H61" s="35" t="str">
        <f aca="false">IF(G61=".",F61,CONCATENATE(F61,G61))</f>
        <v/>
      </c>
      <c r="I61" s="34" t="n">
        <f aca="false">IFERROR(VALUE(H61),)</f>
        <v>0</v>
      </c>
      <c r="J61" s="34" t="e">
        <f aca="false">RIGHT(B61,LEN(B61)-FIND("/",B61, FIND("Single Cells",B61, 1)))</f>
        <v>#VALUE!</v>
      </c>
    </row>
    <row r="62" customFormat="false" ht="12.75" hidden="false" customHeight="true" outlineLevel="0" collapsed="false">
      <c r="E62" s="34" t="str">
        <f aca="false">MID(B62,9,1)</f>
        <v/>
      </c>
      <c r="F62" s="34" t="str">
        <f aca="false">MID(B62,10,1)</f>
        <v/>
      </c>
      <c r="G62" s="34" t="str">
        <f aca="false">MID(B62,11,1)</f>
        <v/>
      </c>
      <c r="H62" s="35" t="str">
        <f aca="false">IF(G62=".",F62,CONCATENATE(F62,G62))</f>
        <v/>
      </c>
      <c r="I62" s="34" t="n">
        <f aca="false">IFERROR(VALUE(H62),)</f>
        <v>0</v>
      </c>
      <c r="J62" s="34" t="e">
        <f aca="false">RIGHT(B62,LEN(B62)-FIND("/",B62, FIND("Single Cells",B62, 1)))</f>
        <v>#VALUE!</v>
      </c>
    </row>
    <row r="63" customFormat="false" ht="12.75" hidden="false" customHeight="true" outlineLevel="0" collapsed="false">
      <c r="E63" s="34" t="str">
        <f aca="false">MID(B63,9,1)</f>
        <v/>
      </c>
      <c r="F63" s="34" t="str">
        <f aca="false">MID(B63,10,1)</f>
        <v/>
      </c>
      <c r="G63" s="34" t="str">
        <f aca="false">MID(B63,11,1)</f>
        <v/>
      </c>
      <c r="H63" s="35" t="str">
        <f aca="false">IF(G63=".",F63,CONCATENATE(F63,G63))</f>
        <v/>
      </c>
      <c r="I63" s="34" t="n">
        <f aca="false">IFERROR(VALUE(H63),)</f>
        <v>0</v>
      </c>
      <c r="J63" s="34" t="e">
        <f aca="false">RIGHT(B63,LEN(B63)-FIND("/",B63, FIND("Single Cells",B63, 1)))</f>
        <v>#VALUE!</v>
      </c>
    </row>
    <row r="64" customFormat="false" ht="12.75" hidden="false" customHeight="true" outlineLevel="0" collapsed="false">
      <c r="E64" s="34" t="str">
        <f aca="false">MID(B64,9,1)</f>
        <v/>
      </c>
      <c r="F64" s="34" t="str">
        <f aca="false">MID(B64,10,1)</f>
        <v/>
      </c>
      <c r="G64" s="34" t="str">
        <f aca="false">MID(B64,11,1)</f>
        <v/>
      </c>
      <c r="H64" s="35" t="str">
        <f aca="false">IF(G64=".",F64,CONCATENATE(F64,G64))</f>
        <v/>
      </c>
      <c r="I64" s="34" t="n">
        <f aca="false">IFERROR(VALUE(H64),)</f>
        <v>0</v>
      </c>
      <c r="J64" s="34" t="e">
        <f aca="false">RIGHT(B64,LEN(B64)-FIND("/",B64, FIND("Single Cells",B64, 1)))</f>
        <v>#VALUE!</v>
      </c>
    </row>
    <row r="65" customFormat="false" ht="12.75" hidden="false" customHeight="true" outlineLevel="0" collapsed="false">
      <c r="E65" s="34" t="str">
        <f aca="false">MID(B65,9,1)</f>
        <v/>
      </c>
      <c r="F65" s="34" t="str">
        <f aca="false">MID(B65,10,1)</f>
        <v/>
      </c>
      <c r="G65" s="34" t="str">
        <f aca="false">MID(B65,11,1)</f>
        <v/>
      </c>
      <c r="H65" s="35" t="str">
        <f aca="false">IF(G65=".",F65,CONCATENATE(F65,G65))</f>
        <v/>
      </c>
      <c r="I65" s="34" t="n">
        <f aca="false">IFERROR(VALUE(H65),)</f>
        <v>0</v>
      </c>
      <c r="J65" s="34" t="e">
        <f aca="false">RIGHT(B65,LEN(B65)-FIND("/",B65, FIND("Single Cells",B65, 1)))</f>
        <v>#VALUE!</v>
      </c>
    </row>
    <row r="66" customFormat="false" ht="12.75" hidden="false" customHeight="true" outlineLevel="0" collapsed="false">
      <c r="E66" s="34" t="str">
        <f aca="false">MID(B66,9,1)</f>
        <v/>
      </c>
      <c r="F66" s="34" t="str">
        <f aca="false">MID(B66,10,1)</f>
        <v/>
      </c>
      <c r="G66" s="34" t="str">
        <f aca="false">MID(B66,11,1)</f>
        <v/>
      </c>
      <c r="H66" s="35" t="str">
        <f aca="false">IF(G66=".",F66,CONCATENATE(F66,G66))</f>
        <v/>
      </c>
      <c r="I66" s="34" t="n">
        <f aca="false">IFERROR(VALUE(H66),)</f>
        <v>0</v>
      </c>
      <c r="J66" s="34" t="e">
        <f aca="false">RIGHT(B66,LEN(B66)-FIND("/",B66, FIND("Single Cells",B66, 1)))</f>
        <v>#VALUE!</v>
      </c>
    </row>
    <row r="67" customFormat="false" ht="12.75" hidden="false" customHeight="true" outlineLevel="0" collapsed="false">
      <c r="E67" s="34" t="str">
        <f aca="false">MID(B67,9,1)</f>
        <v/>
      </c>
      <c r="F67" s="34" t="str">
        <f aca="false">MID(B67,10,1)</f>
        <v/>
      </c>
      <c r="G67" s="34" t="str">
        <f aca="false">MID(B67,11,1)</f>
        <v/>
      </c>
      <c r="H67" s="35" t="str">
        <f aca="false">IF(G67=".",F67,CONCATENATE(F67,G67))</f>
        <v/>
      </c>
      <c r="I67" s="34" t="n">
        <f aca="false">IFERROR(VALUE(H67),)</f>
        <v>0</v>
      </c>
      <c r="J67" s="34" t="e">
        <f aca="false">RIGHT(B67,LEN(B67)-FIND("/",B67, FIND("Single Cells",B67, 1)))</f>
        <v>#VALUE!</v>
      </c>
    </row>
    <row r="68" customFormat="false" ht="12.75" hidden="false" customHeight="true" outlineLevel="0" collapsed="false">
      <c r="E68" s="34" t="str">
        <f aca="false">MID(B68,9,1)</f>
        <v/>
      </c>
      <c r="F68" s="34" t="str">
        <f aca="false">MID(B68,10,1)</f>
        <v/>
      </c>
      <c r="G68" s="34" t="str">
        <f aca="false">MID(B68,11,1)</f>
        <v/>
      </c>
      <c r="H68" s="35" t="str">
        <f aca="false">IF(G68=".",F68,CONCATENATE(F68,G68))</f>
        <v/>
      </c>
      <c r="I68" s="34" t="n">
        <f aca="false">IFERROR(VALUE(H68),)</f>
        <v>0</v>
      </c>
      <c r="J68" s="34" t="e">
        <f aca="false">RIGHT(B68,LEN(B68)-FIND("/",B68, FIND("Single Cells",B68, 1)))</f>
        <v>#VALUE!</v>
      </c>
    </row>
    <row r="69" customFormat="false" ht="12.75" hidden="false" customHeight="true" outlineLevel="0" collapsed="false">
      <c r="E69" s="34" t="str">
        <f aca="false">MID(B69,9,1)</f>
        <v/>
      </c>
      <c r="F69" s="34" t="str">
        <f aca="false">MID(B69,10,1)</f>
        <v/>
      </c>
      <c r="G69" s="34" t="str">
        <f aca="false">MID(B69,11,1)</f>
        <v/>
      </c>
      <c r="H69" s="35" t="str">
        <f aca="false">IF(G69=".",F69,CONCATENATE(F69,G69))</f>
        <v/>
      </c>
      <c r="I69" s="34" t="n">
        <f aca="false">IFERROR(VALUE(H69),)</f>
        <v>0</v>
      </c>
      <c r="J69" s="34" t="e">
        <f aca="false">RIGHT(B69,LEN(B69)-FIND("/",B69, FIND("Single Cells",B69, 1)))</f>
        <v>#VALUE!</v>
      </c>
    </row>
    <row r="70" customFormat="false" ht="12.75" hidden="false" customHeight="true" outlineLevel="0" collapsed="false">
      <c r="E70" s="34" t="str">
        <f aca="false">MID(B70,9,1)</f>
        <v/>
      </c>
      <c r="F70" s="34" t="str">
        <f aca="false">MID(B70,10,1)</f>
        <v/>
      </c>
      <c r="G70" s="34" t="str">
        <f aca="false">MID(B70,11,1)</f>
        <v/>
      </c>
      <c r="H70" s="35" t="str">
        <f aca="false">IF(G70=".",F70,CONCATENATE(F70,G70))</f>
        <v/>
      </c>
      <c r="I70" s="34" t="n">
        <f aca="false">IFERROR(VALUE(H70),)</f>
        <v>0</v>
      </c>
      <c r="J70" s="34" t="e">
        <f aca="false">RIGHT(B70,LEN(B70)-FIND("/",B70, FIND("Single Cells",B70, 1)))</f>
        <v>#VALUE!</v>
      </c>
    </row>
    <row r="71" customFormat="false" ht="12.75" hidden="false" customHeight="true" outlineLevel="0" collapsed="false">
      <c r="E71" s="34" t="str">
        <f aca="false">MID(B71,9,1)</f>
        <v/>
      </c>
      <c r="F71" s="34" t="str">
        <f aca="false">MID(B71,10,1)</f>
        <v/>
      </c>
      <c r="G71" s="34" t="str">
        <f aca="false">MID(B71,11,1)</f>
        <v/>
      </c>
      <c r="H71" s="35" t="str">
        <f aca="false">IF(G71=".",F71,CONCATENATE(F71,G71))</f>
        <v/>
      </c>
      <c r="I71" s="34" t="n">
        <f aca="false">IFERROR(VALUE(H71),)</f>
        <v>0</v>
      </c>
      <c r="J71" s="34" t="e">
        <f aca="false">RIGHT(B71,LEN(B71)-FIND("/",B71, FIND("Single Cells",B71, 1)))</f>
        <v>#VALUE!</v>
      </c>
    </row>
    <row r="72" customFormat="false" ht="12.75" hidden="false" customHeight="true" outlineLevel="0" collapsed="false">
      <c r="E72" s="34" t="str">
        <f aca="false">MID(B72,9,1)</f>
        <v/>
      </c>
      <c r="F72" s="34" t="str">
        <f aca="false">MID(B72,10,1)</f>
        <v/>
      </c>
      <c r="G72" s="34" t="str">
        <f aca="false">MID(B72,11,1)</f>
        <v/>
      </c>
      <c r="H72" s="35" t="str">
        <f aca="false">IF(G72=".",F72,CONCATENATE(F72,G72))</f>
        <v/>
      </c>
      <c r="I72" s="34" t="n">
        <f aca="false">IFERROR(VALUE(H72),)</f>
        <v>0</v>
      </c>
      <c r="J72" s="34" t="e">
        <f aca="false">RIGHT(B72,LEN(B72)-FIND("/",B72, FIND("Single Cells",B72, 1)))</f>
        <v>#VALUE!</v>
      </c>
    </row>
    <row r="73" customFormat="false" ht="12.75" hidden="false" customHeight="true" outlineLevel="0" collapsed="false">
      <c r="E73" s="34" t="str">
        <f aca="false">MID(B73,9,1)</f>
        <v/>
      </c>
      <c r="F73" s="34" t="str">
        <f aca="false">MID(B73,10,1)</f>
        <v/>
      </c>
      <c r="G73" s="34" t="str">
        <f aca="false">MID(B73,11,1)</f>
        <v/>
      </c>
      <c r="H73" s="35" t="str">
        <f aca="false">IF(G73=".",F73,CONCATENATE(F73,G73))</f>
        <v/>
      </c>
      <c r="I73" s="34" t="n">
        <f aca="false">IFERROR(VALUE(H73),)</f>
        <v>0</v>
      </c>
      <c r="J73" s="34" t="e">
        <f aca="false">RIGHT(B73,LEN(B73)-FIND("/",B73, FIND("Single Cells",B73, 1)))</f>
        <v>#VALUE!</v>
      </c>
    </row>
    <row r="74" customFormat="false" ht="12.75" hidden="false" customHeight="true" outlineLevel="0" collapsed="false">
      <c r="E74" s="34" t="str">
        <f aca="false">MID(B74,9,1)</f>
        <v/>
      </c>
      <c r="F74" s="34" t="str">
        <f aca="false">MID(B74,10,1)</f>
        <v/>
      </c>
      <c r="G74" s="34" t="str">
        <f aca="false">MID(B74,11,1)</f>
        <v/>
      </c>
      <c r="H74" s="35" t="str">
        <f aca="false">IF(G74=".",F74,CONCATENATE(F74,G74))</f>
        <v/>
      </c>
      <c r="I74" s="34" t="n">
        <f aca="false">IFERROR(VALUE(H74),)</f>
        <v>0</v>
      </c>
      <c r="J74" s="34" t="e">
        <f aca="false">RIGHT(B74,LEN(B74)-FIND("/",B74, FIND("Single Cells",B74, 1)))</f>
        <v>#VALUE!</v>
      </c>
    </row>
    <row r="75" customFormat="false" ht="12.75" hidden="false" customHeight="true" outlineLevel="0" collapsed="false">
      <c r="E75" s="34" t="str">
        <f aca="false">MID(B75,9,1)</f>
        <v/>
      </c>
      <c r="F75" s="34" t="str">
        <f aca="false">MID(B75,10,1)</f>
        <v/>
      </c>
      <c r="G75" s="34" t="str">
        <f aca="false">MID(B75,11,1)</f>
        <v/>
      </c>
      <c r="H75" s="35" t="str">
        <f aca="false">IF(G75=".",F75,CONCATENATE(F75,G75))</f>
        <v/>
      </c>
      <c r="I75" s="34" t="n">
        <f aca="false">IFERROR(VALUE(H75),)</f>
        <v>0</v>
      </c>
      <c r="J75" s="34" t="e">
        <f aca="false">RIGHT(B75,LEN(B75)-FIND("/",B75, FIND("Single Cells",B75, 1)))</f>
        <v>#VALUE!</v>
      </c>
    </row>
    <row r="76" customFormat="false" ht="12.75" hidden="false" customHeight="true" outlineLevel="0" collapsed="false">
      <c r="E76" s="34" t="str">
        <f aca="false">MID(B76,9,1)</f>
        <v/>
      </c>
      <c r="F76" s="34" t="str">
        <f aca="false">MID(B76,10,1)</f>
        <v/>
      </c>
      <c r="G76" s="34" t="str">
        <f aca="false">MID(B76,11,1)</f>
        <v/>
      </c>
      <c r="H76" s="35" t="str">
        <f aca="false">IF(G76=".",F76,CONCATENATE(F76,G76))</f>
        <v/>
      </c>
      <c r="I76" s="34" t="n">
        <f aca="false">IFERROR(VALUE(H76),)</f>
        <v>0</v>
      </c>
      <c r="J76" s="34" t="e">
        <f aca="false">RIGHT(B76,LEN(B76)-FIND("/",B76, FIND("Single Cells",B76, 1)))</f>
        <v>#VALUE!</v>
      </c>
    </row>
    <row r="77" customFormat="false" ht="12.75" hidden="false" customHeight="true" outlineLevel="0" collapsed="false">
      <c r="E77" s="34" t="str">
        <f aca="false">MID(B77,9,1)</f>
        <v/>
      </c>
      <c r="F77" s="34" t="str">
        <f aca="false">MID(B77,10,1)</f>
        <v/>
      </c>
      <c r="G77" s="34" t="str">
        <f aca="false">MID(B77,11,1)</f>
        <v/>
      </c>
      <c r="H77" s="35" t="str">
        <f aca="false">IF(G77=".",F77,CONCATENATE(F77,G77))</f>
        <v/>
      </c>
      <c r="I77" s="34" t="n">
        <f aca="false">IFERROR(VALUE(H77),)</f>
        <v>0</v>
      </c>
      <c r="J77" s="34" t="e">
        <f aca="false">RIGHT(B77,LEN(B77)-FIND("/",B77, FIND("Single Cells",B77, 1)))</f>
        <v>#VALUE!</v>
      </c>
    </row>
    <row r="78" customFormat="false" ht="12.75" hidden="false" customHeight="true" outlineLevel="0" collapsed="false">
      <c r="E78" s="34" t="str">
        <f aca="false">MID(B78,9,1)</f>
        <v/>
      </c>
      <c r="F78" s="34" t="str">
        <f aca="false">MID(B78,10,1)</f>
        <v/>
      </c>
      <c r="G78" s="34" t="str">
        <f aca="false">MID(B78,11,1)</f>
        <v/>
      </c>
      <c r="H78" s="35" t="str">
        <f aca="false">IF(G78=".",F78,CONCATENATE(F78,G78))</f>
        <v/>
      </c>
      <c r="I78" s="34" t="n">
        <f aca="false">IFERROR(VALUE(H78),)</f>
        <v>0</v>
      </c>
      <c r="J78" s="34" t="e">
        <f aca="false">RIGHT(B78,LEN(B78)-FIND("/",B78, FIND("Single Cells",B78, 1)))</f>
        <v>#VALUE!</v>
      </c>
    </row>
    <row r="79" customFormat="false" ht="12.75" hidden="false" customHeight="true" outlineLevel="0" collapsed="false">
      <c r="E79" s="34" t="str">
        <f aca="false">MID(B79,9,1)</f>
        <v/>
      </c>
      <c r="F79" s="34" t="str">
        <f aca="false">MID(B79,10,1)</f>
        <v/>
      </c>
      <c r="G79" s="34" t="str">
        <f aca="false">MID(B79,11,1)</f>
        <v/>
      </c>
      <c r="H79" s="35" t="str">
        <f aca="false">IF(G79=".",F79,CONCATENATE(F79,G79))</f>
        <v/>
      </c>
      <c r="I79" s="34" t="n">
        <f aca="false">IFERROR(VALUE(H79),)</f>
        <v>0</v>
      </c>
      <c r="J79" s="34" t="e">
        <f aca="false">RIGHT(B79,LEN(B79)-FIND("/",B79, FIND("Single Cells",B79, 1)))</f>
        <v>#VALUE!</v>
      </c>
    </row>
    <row r="80" customFormat="false" ht="12.75" hidden="false" customHeight="true" outlineLevel="0" collapsed="false">
      <c r="E80" s="34" t="str">
        <f aca="false">MID(B80,9,1)</f>
        <v/>
      </c>
      <c r="F80" s="34" t="str">
        <f aca="false">MID(B80,10,1)</f>
        <v/>
      </c>
      <c r="G80" s="34" t="str">
        <f aca="false">MID(B80,11,1)</f>
        <v/>
      </c>
      <c r="H80" s="35" t="str">
        <f aca="false">IF(G80=".",F80,CONCATENATE(F80,G80))</f>
        <v/>
      </c>
      <c r="I80" s="34" t="n">
        <f aca="false">IFERROR(VALUE(H80),)</f>
        <v>0</v>
      </c>
      <c r="J80" s="34" t="e">
        <f aca="false">RIGHT(B80,LEN(B80)-FIND("/",B80, FIND("Single Cells",B80, 1)))</f>
        <v>#VALUE!</v>
      </c>
    </row>
    <row r="81" customFormat="false" ht="12.75" hidden="false" customHeight="true" outlineLevel="0" collapsed="false">
      <c r="E81" s="34" t="str">
        <f aca="false">MID(B81,9,1)</f>
        <v/>
      </c>
      <c r="F81" s="34" t="str">
        <f aca="false">MID(B81,10,1)</f>
        <v/>
      </c>
      <c r="G81" s="34" t="str">
        <f aca="false">MID(B81,11,1)</f>
        <v/>
      </c>
      <c r="H81" s="35" t="str">
        <f aca="false">IF(G81=".",F81,CONCATENATE(F81,G81))</f>
        <v/>
      </c>
      <c r="I81" s="34" t="n">
        <f aca="false">IFERROR(VALUE(H81),)</f>
        <v>0</v>
      </c>
      <c r="J81" s="34" t="e">
        <f aca="false">RIGHT(B81,LEN(B81)-FIND("/",B81, FIND("Single Cells",B81, 1)))</f>
        <v>#VALUE!</v>
      </c>
    </row>
    <row r="82" customFormat="false" ht="12.75" hidden="false" customHeight="true" outlineLevel="0" collapsed="false">
      <c r="E82" s="34" t="str">
        <f aca="false">MID(B82,9,1)</f>
        <v/>
      </c>
      <c r="F82" s="34" t="str">
        <f aca="false">MID(B82,10,1)</f>
        <v/>
      </c>
      <c r="G82" s="34" t="str">
        <f aca="false">MID(B82,11,1)</f>
        <v/>
      </c>
      <c r="H82" s="35" t="str">
        <f aca="false">IF(G82=".",F82,CONCATENATE(F82,G82))</f>
        <v/>
      </c>
      <c r="I82" s="34" t="n">
        <f aca="false">IFERROR(VALUE(H82),)</f>
        <v>0</v>
      </c>
      <c r="J82" s="34" t="e">
        <f aca="false">RIGHT(B82,LEN(B82)-FIND("/",B82, FIND("Single Cells",B82, 1)))</f>
        <v>#VALUE!</v>
      </c>
    </row>
    <row r="83" customFormat="false" ht="12.75" hidden="false" customHeight="true" outlineLevel="0" collapsed="false">
      <c r="E83" s="34" t="str">
        <f aca="false">MID(B83,9,1)</f>
        <v/>
      </c>
      <c r="F83" s="34" t="str">
        <f aca="false">MID(B83,10,1)</f>
        <v/>
      </c>
      <c r="G83" s="34" t="str">
        <f aca="false">MID(B83,11,1)</f>
        <v/>
      </c>
      <c r="H83" s="35" t="str">
        <f aca="false">IF(G83=".",F83,CONCATENATE(F83,G83))</f>
        <v/>
      </c>
      <c r="I83" s="34" t="n">
        <f aca="false">IFERROR(VALUE(H83),)</f>
        <v>0</v>
      </c>
      <c r="J83" s="34" t="e">
        <f aca="false">RIGHT(B83,LEN(B83)-FIND("/",B83, FIND("Single Cells",B83, 1)))</f>
        <v>#VALUE!</v>
      </c>
    </row>
    <row r="84" customFormat="false" ht="12.75" hidden="false" customHeight="true" outlineLevel="0" collapsed="false">
      <c r="E84" s="34" t="str">
        <f aca="false">MID(B84,9,1)</f>
        <v/>
      </c>
      <c r="F84" s="34" t="str">
        <f aca="false">MID(B84,10,1)</f>
        <v/>
      </c>
      <c r="G84" s="34" t="str">
        <f aca="false">MID(B84,11,1)</f>
        <v/>
      </c>
      <c r="H84" s="35" t="str">
        <f aca="false">IF(G84=".",F84,CONCATENATE(F84,G84))</f>
        <v/>
      </c>
      <c r="I84" s="34" t="n">
        <f aca="false">IFERROR(VALUE(H84),)</f>
        <v>0</v>
      </c>
      <c r="J84" s="34" t="e">
        <f aca="false">RIGHT(B84,LEN(B84)-FIND("/",B84, FIND("Single Cells",B84, 1)))</f>
        <v>#VALUE!</v>
      </c>
    </row>
    <row r="85" customFormat="false" ht="12.75" hidden="false" customHeight="true" outlineLevel="0" collapsed="false">
      <c r="E85" s="34" t="str">
        <f aca="false">MID(B85,9,1)</f>
        <v/>
      </c>
      <c r="F85" s="34" t="str">
        <f aca="false">MID(B85,10,1)</f>
        <v/>
      </c>
      <c r="G85" s="34" t="str">
        <f aca="false">MID(B85,11,1)</f>
        <v/>
      </c>
      <c r="H85" s="35" t="str">
        <f aca="false">IF(G85=".",F85,CONCATENATE(F85,G85))</f>
        <v/>
      </c>
      <c r="I85" s="34" t="n">
        <f aca="false">IFERROR(VALUE(H85),)</f>
        <v>0</v>
      </c>
      <c r="J85" s="34" t="e">
        <f aca="false">RIGHT(B85,LEN(B85)-FIND("/",B85, FIND("Single Cells",B85, 1)))</f>
        <v>#VALUE!</v>
      </c>
    </row>
    <row r="86" customFormat="false" ht="12.75" hidden="false" customHeight="true" outlineLevel="0" collapsed="false">
      <c r="E86" s="34" t="str">
        <f aca="false">MID(B86,9,1)</f>
        <v/>
      </c>
      <c r="F86" s="34" t="str">
        <f aca="false">MID(B86,10,1)</f>
        <v/>
      </c>
      <c r="G86" s="34" t="str">
        <f aca="false">MID(B86,11,1)</f>
        <v/>
      </c>
      <c r="H86" s="35" t="str">
        <f aca="false">IF(G86=".",F86,CONCATENATE(F86,G86))</f>
        <v/>
      </c>
      <c r="I86" s="34" t="n">
        <f aca="false">IFERROR(VALUE(H86),)</f>
        <v>0</v>
      </c>
      <c r="J86" s="34" t="e">
        <f aca="false">RIGHT(B86,LEN(B86)-FIND("/",B86, FIND("Single Cells",B86, 1)))</f>
        <v>#VALUE!</v>
      </c>
    </row>
    <row r="87" customFormat="false" ht="12.75" hidden="false" customHeight="true" outlineLevel="0" collapsed="false">
      <c r="E87" s="34" t="str">
        <f aca="false">MID(B87,9,1)</f>
        <v/>
      </c>
      <c r="F87" s="34" t="str">
        <f aca="false">MID(B87,10,1)</f>
        <v/>
      </c>
      <c r="G87" s="34" t="str">
        <f aca="false">MID(B87,11,1)</f>
        <v/>
      </c>
      <c r="H87" s="35" t="str">
        <f aca="false">IF(G87=".",F87,CONCATENATE(F87,G87))</f>
        <v/>
      </c>
      <c r="I87" s="34" t="n">
        <f aca="false">IFERROR(VALUE(H87),)</f>
        <v>0</v>
      </c>
      <c r="J87" s="34" t="e">
        <f aca="false">RIGHT(B87,LEN(B87)-FIND("/",B87, FIND("Single Cells",B87, 1)))</f>
        <v>#VALUE!</v>
      </c>
    </row>
    <row r="88" customFormat="false" ht="12.75" hidden="false" customHeight="true" outlineLevel="0" collapsed="false">
      <c r="E88" s="34" t="str">
        <f aca="false">MID(B88,9,1)</f>
        <v/>
      </c>
      <c r="F88" s="34" t="str">
        <f aca="false">MID(B88,10,1)</f>
        <v/>
      </c>
      <c r="G88" s="34" t="str">
        <f aca="false">MID(B88,11,1)</f>
        <v/>
      </c>
      <c r="H88" s="35" t="str">
        <f aca="false">IF(G88=".",F88,CONCATENATE(F88,G88))</f>
        <v/>
      </c>
      <c r="I88" s="34" t="n">
        <f aca="false">IFERROR(VALUE(H88),)</f>
        <v>0</v>
      </c>
      <c r="J88" s="34" t="e">
        <f aca="false">RIGHT(B88,LEN(B88)-FIND("/",B88, FIND("Single Cells",B88, 1)))</f>
        <v>#VALUE!</v>
      </c>
    </row>
    <row r="89" customFormat="false" ht="12.75" hidden="false" customHeight="true" outlineLevel="0" collapsed="false">
      <c r="E89" s="34" t="str">
        <f aca="false">MID(B89,9,1)</f>
        <v/>
      </c>
      <c r="F89" s="34" t="str">
        <f aca="false">MID(B89,10,1)</f>
        <v/>
      </c>
      <c r="G89" s="34" t="str">
        <f aca="false">MID(B89,11,1)</f>
        <v/>
      </c>
      <c r="H89" s="35" t="str">
        <f aca="false">IF(G89=".",F89,CONCATENATE(F89,G89))</f>
        <v/>
      </c>
      <c r="I89" s="34" t="n">
        <f aca="false">IFERROR(VALUE(H89),)</f>
        <v>0</v>
      </c>
      <c r="J89" s="34" t="e">
        <f aca="false">RIGHT(B89,LEN(B89)-FIND("/",B89, FIND("Single Cells",B89, 1)))</f>
        <v>#VALUE!</v>
      </c>
    </row>
    <row r="90" customFormat="false" ht="12.75" hidden="false" customHeight="true" outlineLevel="0" collapsed="false">
      <c r="E90" s="34" t="str">
        <f aca="false">MID(B90,9,1)</f>
        <v/>
      </c>
      <c r="F90" s="34" t="str">
        <f aca="false">MID(B90,10,1)</f>
        <v/>
      </c>
      <c r="G90" s="34" t="str">
        <f aca="false">MID(B90,11,1)</f>
        <v/>
      </c>
      <c r="H90" s="35" t="str">
        <f aca="false">IF(G90=".",F90,CONCATENATE(F90,G90))</f>
        <v/>
      </c>
      <c r="I90" s="34" t="n">
        <f aca="false">IFERROR(VALUE(H90),)</f>
        <v>0</v>
      </c>
      <c r="J90" s="34" t="e">
        <f aca="false">RIGHT(B90,LEN(B90)-FIND("/",B90, FIND("Single Cells",B90, 1)))</f>
        <v>#VALUE!</v>
      </c>
    </row>
    <row r="91" customFormat="false" ht="12.75" hidden="false" customHeight="true" outlineLevel="0" collapsed="false">
      <c r="E91" s="34" t="str">
        <f aca="false">MID(B91,9,1)</f>
        <v/>
      </c>
      <c r="F91" s="34" t="str">
        <f aca="false">MID(B91,10,1)</f>
        <v/>
      </c>
      <c r="G91" s="34" t="str">
        <f aca="false">MID(B91,11,1)</f>
        <v/>
      </c>
      <c r="H91" s="35" t="str">
        <f aca="false">IF(G91=".",F91,CONCATENATE(F91,G91))</f>
        <v/>
      </c>
      <c r="I91" s="34" t="n">
        <f aca="false">IFERROR(VALUE(H91),)</f>
        <v>0</v>
      </c>
      <c r="J91" s="34" t="e">
        <f aca="false">RIGHT(B91,LEN(B91)-FIND("/",B91, FIND("Single Cells",B91, 1)))</f>
        <v>#VALUE!</v>
      </c>
    </row>
    <row r="92" customFormat="false" ht="12.75" hidden="false" customHeight="true" outlineLevel="0" collapsed="false">
      <c r="E92" s="34" t="str">
        <f aca="false">MID(B92,9,1)</f>
        <v/>
      </c>
      <c r="F92" s="34" t="str">
        <f aca="false">MID(B92,10,1)</f>
        <v/>
      </c>
      <c r="G92" s="34" t="str">
        <f aca="false">MID(B92,11,1)</f>
        <v/>
      </c>
      <c r="H92" s="35" t="str">
        <f aca="false">IF(G92=".",F92,CONCATENATE(F92,G92))</f>
        <v/>
      </c>
      <c r="I92" s="34" t="n">
        <f aca="false">IFERROR(VALUE(H92),)</f>
        <v>0</v>
      </c>
      <c r="J92" s="34" t="e">
        <f aca="false">RIGHT(B92,LEN(B92)-FIND("/",B92, FIND("Single Cells",B92, 1)))</f>
        <v>#VALUE!</v>
      </c>
    </row>
    <row r="93" customFormat="false" ht="12.75" hidden="false" customHeight="true" outlineLevel="0" collapsed="false">
      <c r="E93" s="34" t="str">
        <f aca="false">MID(B93,9,1)</f>
        <v/>
      </c>
      <c r="F93" s="34" t="str">
        <f aca="false">MID(B93,10,1)</f>
        <v/>
      </c>
      <c r="G93" s="34" t="str">
        <f aca="false">MID(B93,11,1)</f>
        <v/>
      </c>
      <c r="H93" s="35" t="str">
        <f aca="false">IF(G93=".",F93,CONCATENATE(F93,G93))</f>
        <v/>
      </c>
      <c r="I93" s="34" t="n">
        <f aca="false">IFERROR(VALUE(H93),)</f>
        <v>0</v>
      </c>
      <c r="J93" s="34" t="e">
        <f aca="false">RIGHT(B93,LEN(B93)-FIND("/",B93, FIND("Single Cells",B93, 1)))</f>
        <v>#VALUE!</v>
      </c>
    </row>
    <row r="94" customFormat="false" ht="12.75" hidden="false" customHeight="true" outlineLevel="0" collapsed="false">
      <c r="E94" s="34" t="str">
        <f aca="false">MID(B94,9,1)</f>
        <v/>
      </c>
      <c r="F94" s="34" t="str">
        <f aca="false">MID(B94,10,1)</f>
        <v/>
      </c>
      <c r="G94" s="34" t="str">
        <f aca="false">MID(B94,11,1)</f>
        <v/>
      </c>
      <c r="H94" s="35" t="str">
        <f aca="false">IF(G94=".",F94,CONCATENATE(F94,G94))</f>
        <v/>
      </c>
      <c r="I94" s="34" t="n">
        <f aca="false">IFERROR(VALUE(H94),)</f>
        <v>0</v>
      </c>
      <c r="J94" s="34" t="e">
        <f aca="false">RIGHT(B94,LEN(B94)-FIND("/",B94, FIND("Single Cells",B94, 1)))</f>
        <v>#VALUE!</v>
      </c>
    </row>
    <row r="95" customFormat="false" ht="12.75" hidden="false" customHeight="true" outlineLevel="0" collapsed="false">
      <c r="E95" s="34" t="str">
        <f aca="false">MID(B95,9,1)</f>
        <v/>
      </c>
      <c r="F95" s="34" t="str">
        <f aca="false">MID(B95,10,1)</f>
        <v/>
      </c>
      <c r="G95" s="34" t="str">
        <f aca="false">MID(B95,11,1)</f>
        <v/>
      </c>
      <c r="H95" s="35" t="str">
        <f aca="false">IF(G95=".",F95,CONCATENATE(F95,G95))</f>
        <v/>
      </c>
      <c r="I95" s="34" t="n">
        <f aca="false">IFERROR(VALUE(H95),)</f>
        <v>0</v>
      </c>
      <c r="J95" s="34" t="e">
        <f aca="false">RIGHT(B95,LEN(B95)-FIND("/",B95, FIND("Single Cells",B95, 1)))</f>
        <v>#VALUE!</v>
      </c>
    </row>
    <row r="96" customFormat="false" ht="12.75" hidden="false" customHeight="true" outlineLevel="0" collapsed="false">
      <c r="E96" s="34" t="str">
        <f aca="false">MID(B96,9,1)</f>
        <v/>
      </c>
      <c r="F96" s="34" t="str">
        <f aca="false">MID(B96,10,1)</f>
        <v/>
      </c>
      <c r="G96" s="34" t="str">
        <f aca="false">MID(B96,11,1)</f>
        <v/>
      </c>
      <c r="H96" s="35" t="str">
        <f aca="false">IF(G96=".",F96,CONCATENATE(F96,G96))</f>
        <v/>
      </c>
      <c r="I96" s="34" t="n">
        <f aca="false">IFERROR(VALUE(H96),)</f>
        <v>0</v>
      </c>
      <c r="J96" s="34" t="e">
        <f aca="false">RIGHT(B96,LEN(B96)-FIND("/",B96, FIND("Single Cells",B96, 1)))</f>
        <v>#VALUE!</v>
      </c>
    </row>
    <row r="97" customFormat="false" ht="12.75" hidden="false" customHeight="true" outlineLevel="0" collapsed="false">
      <c r="E97" s="34" t="str">
        <f aca="false">MID(B97,9,1)</f>
        <v/>
      </c>
      <c r="F97" s="34" t="str">
        <f aca="false">MID(B97,10,1)</f>
        <v/>
      </c>
      <c r="G97" s="34" t="str">
        <f aca="false">MID(B97,11,1)</f>
        <v/>
      </c>
      <c r="H97" s="35" t="str">
        <f aca="false">IF(G97=".",F97,CONCATENATE(F97,G97))</f>
        <v/>
      </c>
      <c r="I97" s="34" t="n">
        <f aca="false">IFERROR(VALUE(H97),)</f>
        <v>0</v>
      </c>
      <c r="J97" s="34" t="e">
        <f aca="false">RIGHT(B97,LEN(B97)-FIND("/",B97, FIND("Single Cells",B97, 1)))</f>
        <v>#VALUE!</v>
      </c>
    </row>
    <row r="98" customFormat="false" ht="12.75" hidden="false" customHeight="true" outlineLevel="0" collapsed="false">
      <c r="E98" s="34" t="str">
        <f aca="false">MID(B98,9,1)</f>
        <v/>
      </c>
      <c r="F98" s="34" t="str">
        <f aca="false">MID(B98,10,1)</f>
        <v/>
      </c>
      <c r="G98" s="34" t="str">
        <f aca="false">MID(B98,11,1)</f>
        <v/>
      </c>
      <c r="H98" s="35" t="str">
        <f aca="false">IF(G98=".",F98,CONCATENATE(F98,G98))</f>
        <v/>
      </c>
      <c r="I98" s="34" t="n">
        <f aca="false">IFERROR(VALUE(H98),)</f>
        <v>0</v>
      </c>
      <c r="J98" s="34" t="e">
        <f aca="false">RIGHT(B98,LEN(B98)-FIND("/",B98, FIND("Single Cells",B98, 1)))</f>
        <v>#VALUE!</v>
      </c>
    </row>
    <row r="99" customFormat="false" ht="12.75" hidden="false" customHeight="true" outlineLevel="0" collapsed="false">
      <c r="E99" s="34" t="str">
        <f aca="false">MID(B99,9,1)</f>
        <v/>
      </c>
      <c r="F99" s="34" t="str">
        <f aca="false">MID(B99,10,1)</f>
        <v/>
      </c>
      <c r="G99" s="34" t="str">
        <f aca="false">MID(B99,11,1)</f>
        <v/>
      </c>
      <c r="H99" s="35" t="str">
        <f aca="false">IF(G99=".",F99,CONCATENATE(F99,G99))</f>
        <v/>
      </c>
      <c r="I99" s="34" t="n">
        <f aca="false">IFERROR(VALUE(H99),)</f>
        <v>0</v>
      </c>
      <c r="J99" s="34" t="e">
        <f aca="false">RIGHT(B99,LEN(B99)-FIND("/",B99, FIND("Single Cells",B99, 1)))</f>
        <v>#VALUE!</v>
      </c>
    </row>
    <row r="100" customFormat="false" ht="12.75" hidden="false" customHeight="true" outlineLevel="0" collapsed="false">
      <c r="E100" s="34" t="str">
        <f aca="false">MID(B100,9,1)</f>
        <v/>
      </c>
      <c r="F100" s="34" t="str">
        <f aca="false">MID(B100,10,1)</f>
        <v/>
      </c>
      <c r="G100" s="34" t="str">
        <f aca="false">MID(B100,11,1)</f>
        <v/>
      </c>
      <c r="H100" s="35" t="str">
        <f aca="false">IF(G100=".",F100,CONCATENATE(F100,G100))</f>
        <v/>
      </c>
      <c r="I100" s="34" t="n">
        <f aca="false">IFERROR(VALUE(H100),)</f>
        <v>0</v>
      </c>
      <c r="J100" s="34" t="e">
        <f aca="false">RIGHT(B100,LEN(B100)-FIND("/",B100, FIND("Single Cells",B100, 1)))</f>
        <v>#VALUE!</v>
      </c>
    </row>
    <row r="101" customFormat="false" ht="12.75" hidden="false" customHeight="true" outlineLevel="0" collapsed="false">
      <c r="E101" s="34" t="str">
        <f aca="false">MID(B101,9,1)</f>
        <v/>
      </c>
      <c r="F101" s="34" t="str">
        <f aca="false">MID(B101,10,1)</f>
        <v/>
      </c>
      <c r="G101" s="34" t="str">
        <f aca="false">MID(B101,11,1)</f>
        <v/>
      </c>
      <c r="H101" s="35" t="str">
        <f aca="false">IF(G101=".",F101,CONCATENATE(F101,G101))</f>
        <v/>
      </c>
      <c r="I101" s="34" t="n">
        <f aca="false">IFERROR(VALUE(H101),)</f>
        <v>0</v>
      </c>
      <c r="J101" s="34" t="e">
        <f aca="false">RIGHT(B101,LEN(B101)-FIND("/",B101, FIND("Single Cells",B101, 1)))</f>
        <v>#VALUE!</v>
      </c>
    </row>
    <row r="102" customFormat="false" ht="12.75" hidden="false" customHeight="true" outlineLevel="0" collapsed="false">
      <c r="E102" s="34" t="str">
        <f aca="false">MID(B102,9,1)</f>
        <v/>
      </c>
      <c r="F102" s="34" t="str">
        <f aca="false">MID(B102,10,1)</f>
        <v/>
      </c>
      <c r="G102" s="34" t="str">
        <f aca="false">MID(B102,11,1)</f>
        <v/>
      </c>
      <c r="H102" s="35" t="str">
        <f aca="false">IF(G102=".",F102,CONCATENATE(F102,G102))</f>
        <v/>
      </c>
      <c r="I102" s="34" t="n">
        <f aca="false">IFERROR(VALUE(H102),)</f>
        <v>0</v>
      </c>
      <c r="J102" s="34" t="e">
        <f aca="false">RIGHT(B102,LEN(B102)-FIND("/",B102, FIND("Single Cells",B102, 1)))</f>
        <v>#VALUE!</v>
      </c>
    </row>
    <row r="103" customFormat="false" ht="12.75" hidden="false" customHeight="true" outlineLevel="0" collapsed="false">
      <c r="E103" s="34" t="str">
        <f aca="false">MID(B103,9,1)</f>
        <v/>
      </c>
      <c r="F103" s="34" t="str">
        <f aca="false">MID(B103,10,1)</f>
        <v/>
      </c>
      <c r="G103" s="34" t="str">
        <f aca="false">MID(B103,11,1)</f>
        <v/>
      </c>
      <c r="H103" s="35" t="str">
        <f aca="false">IF(G103=".",F103,CONCATENATE(F103,G103))</f>
        <v/>
      </c>
      <c r="I103" s="34" t="n">
        <f aca="false">IFERROR(VALUE(H103),)</f>
        <v>0</v>
      </c>
      <c r="J103" s="34" t="e">
        <f aca="false">RIGHT(B103,LEN(B103)-FIND("/",B103, FIND("Single Cells",B103, 1)))</f>
        <v>#VALUE!</v>
      </c>
    </row>
    <row r="104" customFormat="false" ht="12.75" hidden="false" customHeight="true" outlineLevel="0" collapsed="false">
      <c r="E104" s="34" t="str">
        <f aca="false">MID(B104,9,1)</f>
        <v/>
      </c>
      <c r="F104" s="34" t="str">
        <f aca="false">MID(B104,10,1)</f>
        <v/>
      </c>
      <c r="G104" s="34" t="str">
        <f aca="false">MID(B104,11,1)</f>
        <v/>
      </c>
      <c r="H104" s="35" t="str">
        <f aca="false">IF(G104=".",F104,CONCATENATE(F104,G104))</f>
        <v/>
      </c>
      <c r="I104" s="34" t="n">
        <f aca="false">IFERROR(VALUE(H104),)</f>
        <v>0</v>
      </c>
      <c r="J104" s="34" t="e">
        <f aca="false">RIGHT(B104,LEN(B104)-FIND("/",B104, FIND("Single Cells",B104, 1)))</f>
        <v>#VALUE!</v>
      </c>
    </row>
    <row r="105" customFormat="false" ht="12.75" hidden="false" customHeight="true" outlineLevel="0" collapsed="false">
      <c r="E105" s="34" t="str">
        <f aca="false">MID(B105,9,1)</f>
        <v/>
      </c>
      <c r="F105" s="34" t="str">
        <f aca="false">MID(B105,10,1)</f>
        <v/>
      </c>
      <c r="G105" s="34" t="str">
        <f aca="false">MID(B105,11,1)</f>
        <v/>
      </c>
      <c r="H105" s="35" t="str">
        <f aca="false">IF(G105=".",F105,CONCATENATE(F105,G105))</f>
        <v/>
      </c>
      <c r="I105" s="34" t="n">
        <f aca="false">IFERROR(VALUE(H105),)</f>
        <v>0</v>
      </c>
      <c r="J105" s="34" t="e">
        <f aca="false">RIGHT(B105,LEN(B105)-FIND("/",B105, FIND("Single Cells",B105, 1)))</f>
        <v>#VALUE!</v>
      </c>
    </row>
    <row r="106" customFormat="false" ht="12.75" hidden="false" customHeight="true" outlineLevel="0" collapsed="false">
      <c r="E106" s="34" t="str">
        <f aca="false">MID(B106,9,1)</f>
        <v/>
      </c>
      <c r="F106" s="34" t="str">
        <f aca="false">MID(B106,10,1)</f>
        <v/>
      </c>
      <c r="G106" s="34" t="str">
        <f aca="false">MID(B106,11,1)</f>
        <v/>
      </c>
      <c r="H106" s="35" t="str">
        <f aca="false">IF(G106=".",F106,CONCATENATE(F106,G106))</f>
        <v/>
      </c>
      <c r="I106" s="34" t="n">
        <f aca="false">IFERROR(VALUE(H106),)</f>
        <v>0</v>
      </c>
      <c r="J106" s="34" t="e">
        <f aca="false">RIGHT(B106,LEN(B106)-FIND("/",B106, FIND("Single Cells",B106, 1)))</f>
        <v>#VALUE!</v>
      </c>
    </row>
    <row r="107" customFormat="false" ht="12.75" hidden="false" customHeight="true" outlineLevel="0" collapsed="false">
      <c r="E107" s="34" t="str">
        <f aca="false">MID(B107,9,1)</f>
        <v/>
      </c>
      <c r="F107" s="34" t="str">
        <f aca="false">MID(B107,10,1)</f>
        <v/>
      </c>
      <c r="G107" s="34" t="str">
        <f aca="false">MID(B107,11,1)</f>
        <v/>
      </c>
      <c r="H107" s="35" t="str">
        <f aca="false">IF(G107=".",F107,CONCATENATE(F107,G107))</f>
        <v/>
      </c>
      <c r="I107" s="34" t="n">
        <f aca="false">IFERROR(VALUE(H107),)</f>
        <v>0</v>
      </c>
      <c r="J107" s="34" t="e">
        <f aca="false">RIGHT(B107,LEN(B107)-FIND("/",B107, FIND("Single Cells",B107, 1)))</f>
        <v>#VALUE!</v>
      </c>
    </row>
    <row r="108" customFormat="false" ht="12.75" hidden="false" customHeight="true" outlineLevel="0" collapsed="false">
      <c r="E108" s="34" t="str">
        <f aca="false">MID(B108,9,1)</f>
        <v/>
      </c>
      <c r="F108" s="34" t="str">
        <f aca="false">MID(B108,10,1)</f>
        <v/>
      </c>
      <c r="G108" s="34" t="str">
        <f aca="false">MID(B108,11,1)</f>
        <v/>
      </c>
      <c r="H108" s="35" t="str">
        <f aca="false">IF(G108=".",F108,CONCATENATE(F108,G108))</f>
        <v/>
      </c>
      <c r="I108" s="34" t="n">
        <f aca="false">IFERROR(VALUE(H108),)</f>
        <v>0</v>
      </c>
      <c r="J108" s="34" t="e">
        <f aca="false">RIGHT(B108,LEN(B108)-FIND("/",B108, FIND("Single Cells",B108, 1)))</f>
        <v>#VALUE!</v>
      </c>
    </row>
    <row r="109" customFormat="false" ht="12.75" hidden="false" customHeight="true" outlineLevel="0" collapsed="false">
      <c r="E109" s="34" t="str">
        <f aca="false">MID(B109,9,1)</f>
        <v/>
      </c>
      <c r="F109" s="34" t="str">
        <f aca="false">MID(B109,10,1)</f>
        <v/>
      </c>
      <c r="G109" s="34" t="str">
        <f aca="false">MID(B109,11,1)</f>
        <v/>
      </c>
      <c r="H109" s="35" t="str">
        <f aca="false">IF(G109=".",F109,CONCATENATE(F109,G109))</f>
        <v/>
      </c>
      <c r="I109" s="34" t="n">
        <f aca="false">IFERROR(VALUE(H109),)</f>
        <v>0</v>
      </c>
      <c r="J109" s="34" t="e">
        <f aca="false">RIGHT(B109,LEN(B109)-FIND("/",B109, FIND("Single Cells",B109, 1)))</f>
        <v>#VALUE!</v>
      </c>
    </row>
    <row r="110" customFormat="false" ht="12.75" hidden="false" customHeight="true" outlineLevel="0" collapsed="false">
      <c r="E110" s="34" t="str">
        <f aca="false">MID(B110,9,1)</f>
        <v/>
      </c>
      <c r="F110" s="34" t="str">
        <f aca="false">MID(B110,10,1)</f>
        <v/>
      </c>
      <c r="G110" s="34" t="str">
        <f aca="false">MID(B110,11,1)</f>
        <v/>
      </c>
      <c r="H110" s="35" t="str">
        <f aca="false">IF(G110=".",F110,CONCATENATE(F110,G110))</f>
        <v/>
      </c>
      <c r="I110" s="34" t="n">
        <f aca="false">IFERROR(VALUE(H110),)</f>
        <v>0</v>
      </c>
      <c r="J110" s="34" t="e">
        <f aca="false">RIGHT(B110,LEN(B110)-FIND("/",B110, FIND("Single Cells",B110, 1)))</f>
        <v>#VALUE!</v>
      </c>
    </row>
    <row r="111" customFormat="false" ht="12.75" hidden="false" customHeight="true" outlineLevel="0" collapsed="false">
      <c r="E111" s="34" t="str">
        <f aca="false">MID(B111,9,1)</f>
        <v/>
      </c>
      <c r="F111" s="34" t="str">
        <f aca="false">MID(B111,10,1)</f>
        <v/>
      </c>
      <c r="G111" s="34" t="str">
        <f aca="false">MID(B111,11,1)</f>
        <v/>
      </c>
      <c r="H111" s="35" t="str">
        <f aca="false">IF(G111=".",F111,CONCATENATE(F111,G111))</f>
        <v/>
      </c>
      <c r="I111" s="34" t="n">
        <f aca="false">IFERROR(VALUE(H111),)</f>
        <v>0</v>
      </c>
      <c r="J111" s="34" t="e">
        <f aca="false">RIGHT(B111,LEN(B111)-FIND("/",B111, FIND("Single Cells",B111, 1)))</f>
        <v>#VALUE!</v>
      </c>
    </row>
    <row r="112" customFormat="false" ht="12.75" hidden="false" customHeight="true" outlineLevel="0" collapsed="false">
      <c r="E112" s="34" t="str">
        <f aca="false">MID(B112,9,1)</f>
        <v/>
      </c>
      <c r="F112" s="34" t="str">
        <f aca="false">MID(B112,10,1)</f>
        <v/>
      </c>
      <c r="G112" s="34" t="str">
        <f aca="false">MID(B112,11,1)</f>
        <v/>
      </c>
      <c r="H112" s="35" t="str">
        <f aca="false">IF(G112=".",F112,CONCATENATE(F112,G112))</f>
        <v/>
      </c>
      <c r="I112" s="34" t="n">
        <f aca="false">IFERROR(VALUE(H112),)</f>
        <v>0</v>
      </c>
      <c r="J112" s="34" t="e">
        <f aca="false">RIGHT(B112,LEN(B112)-FIND("/",B112, FIND("Single Cells",B112, 1)))</f>
        <v>#VALUE!</v>
      </c>
    </row>
    <row r="113" customFormat="false" ht="12.75" hidden="false" customHeight="true" outlineLevel="0" collapsed="false">
      <c r="E113" s="34" t="str">
        <f aca="false">MID(B113,9,1)</f>
        <v/>
      </c>
      <c r="F113" s="34" t="str">
        <f aca="false">MID(B113,10,1)</f>
        <v/>
      </c>
      <c r="G113" s="34" t="str">
        <f aca="false">MID(B113,11,1)</f>
        <v/>
      </c>
      <c r="H113" s="35" t="str">
        <f aca="false">IF(G113=".",F113,CONCATENATE(F113,G113))</f>
        <v/>
      </c>
      <c r="I113" s="34" t="n">
        <f aca="false">IFERROR(VALUE(H113),)</f>
        <v>0</v>
      </c>
      <c r="J113" s="34" t="e">
        <f aca="false">RIGHT(B113,LEN(B113)-FIND("/",B113, FIND("Single Cells",B113, 1)))</f>
        <v>#VALUE!</v>
      </c>
    </row>
    <row r="114" customFormat="false" ht="12.75" hidden="false" customHeight="true" outlineLevel="0" collapsed="false">
      <c r="E114" s="34" t="str">
        <f aca="false">MID(B114,9,1)</f>
        <v/>
      </c>
      <c r="F114" s="34" t="str">
        <f aca="false">MID(B114,10,1)</f>
        <v/>
      </c>
      <c r="G114" s="34" t="str">
        <f aca="false">MID(B114,11,1)</f>
        <v/>
      </c>
      <c r="H114" s="35" t="str">
        <f aca="false">IF(G114=".",F114,CONCATENATE(F114,G114))</f>
        <v/>
      </c>
      <c r="I114" s="34" t="n">
        <f aca="false">IFERROR(VALUE(H114),)</f>
        <v>0</v>
      </c>
      <c r="J114" s="34" t="e">
        <f aca="false">RIGHT(B114,LEN(B114)-FIND("/",B114, FIND("Single Cells",B114, 1)))</f>
        <v>#VALUE!</v>
      </c>
    </row>
    <row r="115" customFormat="false" ht="12.75" hidden="false" customHeight="true" outlineLevel="0" collapsed="false">
      <c r="E115" s="34" t="str">
        <f aca="false">MID(B115,9,1)</f>
        <v/>
      </c>
      <c r="F115" s="34" t="str">
        <f aca="false">MID(B115,10,1)</f>
        <v/>
      </c>
      <c r="G115" s="34" t="str">
        <f aca="false">MID(B115,11,1)</f>
        <v/>
      </c>
      <c r="H115" s="35" t="str">
        <f aca="false">IF(G115=".",F115,CONCATENATE(F115,G115))</f>
        <v/>
      </c>
      <c r="I115" s="34" t="n">
        <f aca="false">IFERROR(VALUE(H115),)</f>
        <v>0</v>
      </c>
      <c r="J115" s="34" t="e">
        <f aca="false">RIGHT(B115,LEN(B115)-FIND("/",B115, FIND("Single Cells",B115, 1)))</f>
        <v>#VALUE!</v>
      </c>
    </row>
    <row r="116" customFormat="false" ht="12.75" hidden="false" customHeight="true" outlineLevel="0" collapsed="false">
      <c r="E116" s="34" t="str">
        <f aca="false">MID(B116,9,1)</f>
        <v/>
      </c>
      <c r="F116" s="34" t="str">
        <f aca="false">MID(B116,10,1)</f>
        <v/>
      </c>
      <c r="G116" s="34" t="str">
        <f aca="false">MID(B116,11,1)</f>
        <v/>
      </c>
      <c r="H116" s="35" t="str">
        <f aca="false">IF(G116=".",F116,CONCATENATE(F116,G116))</f>
        <v/>
      </c>
      <c r="I116" s="34" t="n">
        <f aca="false">IFERROR(VALUE(H116),)</f>
        <v>0</v>
      </c>
      <c r="J116" s="34" t="e">
        <f aca="false">RIGHT(B116,LEN(B116)-FIND("/",B116, FIND("Single Cells",B116, 1)))</f>
        <v>#VALUE!</v>
      </c>
    </row>
    <row r="117" customFormat="false" ht="12.75" hidden="false" customHeight="true" outlineLevel="0" collapsed="false">
      <c r="E117" s="34" t="str">
        <f aca="false">MID(B117,9,1)</f>
        <v/>
      </c>
      <c r="F117" s="34" t="str">
        <f aca="false">MID(B117,10,1)</f>
        <v/>
      </c>
      <c r="G117" s="34" t="str">
        <f aca="false">MID(B117,11,1)</f>
        <v/>
      </c>
      <c r="H117" s="35" t="str">
        <f aca="false">IF(G117=".",F117,CONCATENATE(F117,G117))</f>
        <v/>
      </c>
      <c r="I117" s="34" t="n">
        <f aca="false">IFERROR(VALUE(H117),)</f>
        <v>0</v>
      </c>
      <c r="J117" s="34" t="e">
        <f aca="false">RIGHT(B117,LEN(B117)-FIND("/",B117, FIND("Single Cells",B117, 1)))</f>
        <v>#VALUE!</v>
      </c>
    </row>
    <row r="118" customFormat="false" ht="12.75" hidden="false" customHeight="true" outlineLevel="0" collapsed="false">
      <c r="E118" s="34" t="str">
        <f aca="false">MID(B118,9,1)</f>
        <v/>
      </c>
      <c r="F118" s="34" t="str">
        <f aca="false">MID(B118,10,1)</f>
        <v/>
      </c>
      <c r="G118" s="34" t="str">
        <f aca="false">MID(B118,11,1)</f>
        <v/>
      </c>
      <c r="H118" s="35" t="str">
        <f aca="false">IF(G118=".",F118,CONCATENATE(F118,G118))</f>
        <v/>
      </c>
      <c r="I118" s="34" t="n">
        <f aca="false">IFERROR(VALUE(H118),)</f>
        <v>0</v>
      </c>
      <c r="J118" s="34" t="e">
        <f aca="false">RIGHT(B118,LEN(B118)-FIND("/",B118, FIND("Single Cells",B118, 1)))</f>
        <v>#VALUE!</v>
      </c>
    </row>
    <row r="119" customFormat="false" ht="12.75" hidden="false" customHeight="true" outlineLevel="0" collapsed="false">
      <c r="E119" s="34" t="str">
        <f aca="false">MID(B119,9,1)</f>
        <v/>
      </c>
      <c r="F119" s="34" t="str">
        <f aca="false">MID(B119,10,1)</f>
        <v/>
      </c>
      <c r="G119" s="34" t="str">
        <f aca="false">MID(B119,11,1)</f>
        <v/>
      </c>
      <c r="H119" s="35" t="str">
        <f aca="false">IF(G119=".",F119,CONCATENATE(F119,G119))</f>
        <v/>
      </c>
      <c r="I119" s="34" t="n">
        <f aca="false">IFERROR(VALUE(H119),)</f>
        <v>0</v>
      </c>
      <c r="J119" s="34" t="e">
        <f aca="false">RIGHT(B119,LEN(B119)-FIND("/",B119, FIND("Single Cells",B119, 1)))</f>
        <v>#VALUE!</v>
      </c>
    </row>
    <row r="120" customFormat="false" ht="12.75" hidden="false" customHeight="true" outlineLevel="0" collapsed="false">
      <c r="E120" s="34" t="str">
        <f aca="false">MID(B120,9,1)</f>
        <v/>
      </c>
      <c r="F120" s="34" t="str">
        <f aca="false">MID(B120,10,1)</f>
        <v/>
      </c>
      <c r="G120" s="34" t="str">
        <f aca="false">MID(B120,11,1)</f>
        <v/>
      </c>
      <c r="H120" s="35" t="str">
        <f aca="false">IF(G120=".",F120,CONCATENATE(F120,G120))</f>
        <v/>
      </c>
      <c r="I120" s="34" t="n">
        <f aca="false">IFERROR(VALUE(H120),)</f>
        <v>0</v>
      </c>
      <c r="J120" s="34" t="e">
        <f aca="false">RIGHT(B120,LEN(B120)-FIND("/",B120, FIND("Single Cells",B120, 1)))</f>
        <v>#VALUE!</v>
      </c>
    </row>
    <row r="121" customFormat="false" ht="12.75" hidden="false" customHeight="true" outlineLevel="0" collapsed="false">
      <c r="E121" s="34" t="str">
        <f aca="false">MID(B121,9,1)</f>
        <v/>
      </c>
      <c r="F121" s="34" t="str">
        <f aca="false">MID(B121,10,1)</f>
        <v/>
      </c>
      <c r="G121" s="34" t="str">
        <f aca="false">MID(B121,11,1)</f>
        <v/>
      </c>
      <c r="H121" s="35" t="str">
        <f aca="false">IF(G121=".",F121,CONCATENATE(F121,G121))</f>
        <v/>
      </c>
      <c r="I121" s="34" t="n">
        <f aca="false">IFERROR(VALUE(H121),)</f>
        <v>0</v>
      </c>
      <c r="J121" s="34" t="e">
        <f aca="false">RIGHT(B121,LEN(B121)-FIND("/",B121, FIND("Single Cells",B121, 1)))</f>
        <v>#VALUE!</v>
      </c>
    </row>
    <row r="122" customFormat="false" ht="12.75" hidden="false" customHeight="true" outlineLevel="0" collapsed="false">
      <c r="E122" s="34" t="str">
        <f aca="false">MID(B122,9,1)</f>
        <v/>
      </c>
      <c r="F122" s="34" t="str">
        <f aca="false">MID(B122,10,1)</f>
        <v/>
      </c>
      <c r="G122" s="34" t="str">
        <f aca="false">MID(B122,11,1)</f>
        <v/>
      </c>
      <c r="H122" s="35" t="str">
        <f aca="false">IF(G122=".",F122,CONCATENATE(F122,G122))</f>
        <v/>
      </c>
      <c r="I122" s="34" t="n">
        <f aca="false">IFERROR(VALUE(H122),)</f>
        <v>0</v>
      </c>
      <c r="J122" s="34" t="e">
        <f aca="false">RIGHT(B122,LEN(B122)-FIND("/",B122, FIND("Single Cells",B122, 1)))</f>
        <v>#VALUE!</v>
      </c>
    </row>
    <row r="123" customFormat="false" ht="12.75" hidden="false" customHeight="true" outlineLevel="0" collapsed="false">
      <c r="E123" s="34" t="str">
        <f aca="false">MID(B123,9,1)</f>
        <v/>
      </c>
      <c r="F123" s="34" t="str">
        <f aca="false">MID(B123,10,1)</f>
        <v/>
      </c>
      <c r="G123" s="34" t="str">
        <f aca="false">MID(B123,11,1)</f>
        <v/>
      </c>
      <c r="H123" s="35" t="str">
        <f aca="false">IF(G123=".",F123,CONCATENATE(F123,G123))</f>
        <v/>
      </c>
      <c r="I123" s="34" t="n">
        <f aca="false">IFERROR(VALUE(H123),)</f>
        <v>0</v>
      </c>
      <c r="J123" s="34" t="e">
        <f aca="false">RIGHT(B123,LEN(B123)-FIND("/",B123, FIND("Single Cells",B123, 1)))</f>
        <v>#VALUE!</v>
      </c>
    </row>
    <row r="124" customFormat="false" ht="12.75" hidden="false" customHeight="true" outlineLevel="0" collapsed="false">
      <c r="E124" s="34" t="str">
        <f aca="false">MID(B124,9,1)</f>
        <v/>
      </c>
      <c r="F124" s="34" t="str">
        <f aca="false">MID(B124,10,1)</f>
        <v/>
      </c>
      <c r="G124" s="34" t="str">
        <f aca="false">MID(B124,11,1)</f>
        <v/>
      </c>
      <c r="H124" s="35" t="str">
        <f aca="false">IF(G124=".",F124,CONCATENATE(F124,G124))</f>
        <v/>
      </c>
      <c r="I124" s="34" t="n">
        <f aca="false">IFERROR(VALUE(H124),)</f>
        <v>0</v>
      </c>
      <c r="J124" s="34" t="e">
        <f aca="false">RIGHT(B124,LEN(B124)-FIND("/",B124, FIND("Single Cells",B124, 1)))</f>
        <v>#VALUE!</v>
      </c>
    </row>
    <row r="125" customFormat="false" ht="12.75" hidden="false" customHeight="true" outlineLevel="0" collapsed="false">
      <c r="E125" s="34" t="str">
        <f aca="false">MID(B125,9,1)</f>
        <v/>
      </c>
      <c r="F125" s="34" t="str">
        <f aca="false">MID(B125,10,1)</f>
        <v/>
      </c>
      <c r="G125" s="34" t="str">
        <f aca="false">MID(B125,11,1)</f>
        <v/>
      </c>
      <c r="H125" s="35" t="str">
        <f aca="false">IF(G125=".",F125,CONCATENATE(F125,G125))</f>
        <v/>
      </c>
      <c r="I125" s="34" t="n">
        <f aca="false">IFERROR(VALUE(H125),)</f>
        <v>0</v>
      </c>
      <c r="J125" s="34" t="e">
        <f aca="false">RIGHT(B125,LEN(B125)-FIND("/",B125, FIND("Single Cells",B125, 1)))</f>
        <v>#VALUE!</v>
      </c>
    </row>
    <row r="126" customFormat="false" ht="12.75" hidden="false" customHeight="true" outlineLevel="0" collapsed="false">
      <c r="E126" s="34" t="str">
        <f aca="false">MID(B126,9,1)</f>
        <v/>
      </c>
      <c r="F126" s="34" t="str">
        <f aca="false">MID(B126,10,1)</f>
        <v/>
      </c>
      <c r="G126" s="34" t="str">
        <f aca="false">MID(B126,11,1)</f>
        <v/>
      </c>
      <c r="H126" s="35" t="str">
        <f aca="false">IF(G126=".",F126,CONCATENATE(F126,G126))</f>
        <v/>
      </c>
      <c r="I126" s="34" t="n">
        <f aca="false">IFERROR(VALUE(H126),)</f>
        <v>0</v>
      </c>
      <c r="J126" s="34" t="e">
        <f aca="false">RIGHT(B126,LEN(B126)-FIND("/",B126, FIND("Single Cells",B126, 1)))</f>
        <v>#VALUE!</v>
      </c>
    </row>
    <row r="127" customFormat="false" ht="12.75" hidden="false" customHeight="true" outlineLevel="0" collapsed="false">
      <c r="E127" s="34" t="str">
        <f aca="false">MID(B127,9,1)</f>
        <v/>
      </c>
      <c r="F127" s="34" t="str">
        <f aca="false">MID(B127,10,1)</f>
        <v/>
      </c>
      <c r="G127" s="34" t="str">
        <f aca="false">MID(B127,11,1)</f>
        <v/>
      </c>
      <c r="H127" s="35" t="str">
        <f aca="false">IF(G127=".",F127,CONCATENATE(F127,G127))</f>
        <v/>
      </c>
      <c r="I127" s="34" t="n">
        <f aca="false">IFERROR(VALUE(H127),)</f>
        <v>0</v>
      </c>
      <c r="J127" s="34" t="e">
        <f aca="false">RIGHT(B127,LEN(B127)-FIND("/",B127, FIND("Single Cells",B127, 1)))</f>
        <v>#VALUE!</v>
      </c>
    </row>
    <row r="128" customFormat="false" ht="12.75" hidden="false" customHeight="true" outlineLevel="0" collapsed="false">
      <c r="E128" s="34" t="str">
        <f aca="false">MID(B128,9,1)</f>
        <v/>
      </c>
      <c r="F128" s="34" t="str">
        <f aca="false">MID(B128,10,1)</f>
        <v/>
      </c>
      <c r="G128" s="34" t="str">
        <f aca="false">MID(B128,11,1)</f>
        <v/>
      </c>
      <c r="H128" s="35" t="str">
        <f aca="false">IF(G128=".",F128,CONCATENATE(F128,G128))</f>
        <v/>
      </c>
      <c r="I128" s="34" t="n">
        <f aca="false">IFERROR(VALUE(H128),)</f>
        <v>0</v>
      </c>
      <c r="J128" s="34" t="e">
        <f aca="false">RIGHT(B128,LEN(B128)-FIND("/",B128, FIND("Single Cells",B128, 1)))</f>
        <v>#VALUE!</v>
      </c>
    </row>
    <row r="129" customFormat="false" ht="12.75" hidden="false" customHeight="true" outlineLevel="0" collapsed="false">
      <c r="E129" s="34" t="str">
        <f aca="false">MID(B129,9,1)</f>
        <v/>
      </c>
      <c r="F129" s="34" t="str">
        <f aca="false">MID(B129,10,1)</f>
        <v/>
      </c>
      <c r="G129" s="34" t="str">
        <f aca="false">MID(B129,11,1)</f>
        <v/>
      </c>
      <c r="H129" s="35" t="str">
        <f aca="false">IF(G129=".",F129,CONCATENATE(F129,G129))</f>
        <v/>
      </c>
      <c r="I129" s="34" t="n">
        <f aca="false">IFERROR(VALUE(H129),)</f>
        <v>0</v>
      </c>
      <c r="J129" s="34" t="e">
        <f aca="false">RIGHT(B129,LEN(B129)-FIND("/",B129, FIND("Single Cells",B129, 1)))</f>
        <v>#VALUE!</v>
      </c>
    </row>
    <row r="130" customFormat="false" ht="12.75" hidden="false" customHeight="true" outlineLevel="0" collapsed="false">
      <c r="E130" s="34" t="str">
        <f aca="false">MID(B130,9,1)</f>
        <v/>
      </c>
      <c r="F130" s="34" t="str">
        <f aca="false">MID(B130,10,1)</f>
        <v/>
      </c>
      <c r="G130" s="34" t="str">
        <f aca="false">MID(B130,11,1)</f>
        <v/>
      </c>
      <c r="H130" s="35" t="str">
        <f aca="false">IF(G130=".",F130,CONCATENATE(F130,G130))</f>
        <v/>
      </c>
      <c r="I130" s="34" t="n">
        <f aca="false">IFERROR(VALUE(H130),)</f>
        <v>0</v>
      </c>
      <c r="J130" s="34" t="e">
        <f aca="false">RIGHT(B130,LEN(B130)-FIND("/",B130, FIND("Single Cells",B130, 1)))</f>
        <v>#VALUE!</v>
      </c>
    </row>
    <row r="131" customFormat="false" ht="12.75" hidden="false" customHeight="true" outlineLevel="0" collapsed="false">
      <c r="E131" s="34" t="str">
        <f aca="false">MID(B131,9,1)</f>
        <v/>
      </c>
      <c r="F131" s="34" t="str">
        <f aca="false">MID(B131,10,1)</f>
        <v/>
      </c>
      <c r="G131" s="34" t="str">
        <f aca="false">MID(B131,11,1)</f>
        <v/>
      </c>
      <c r="H131" s="35" t="str">
        <f aca="false">IF(G131=".",F131,CONCATENATE(F131,G131))</f>
        <v/>
      </c>
      <c r="I131" s="34" t="n">
        <f aca="false">IFERROR(VALUE(H131),)</f>
        <v>0</v>
      </c>
      <c r="J131" s="34" t="e">
        <f aca="false">RIGHT(B131,LEN(B131)-FIND("/",B131, FIND("Single Cells",B131, 1)))</f>
        <v>#VALUE!</v>
      </c>
    </row>
    <row r="132" customFormat="false" ht="12.75" hidden="false" customHeight="true" outlineLevel="0" collapsed="false">
      <c r="E132" s="34" t="str">
        <f aca="false">MID(B132,9,1)</f>
        <v/>
      </c>
      <c r="F132" s="34" t="str">
        <f aca="false">MID(B132,10,1)</f>
        <v/>
      </c>
      <c r="G132" s="34" t="str">
        <f aca="false">MID(B132,11,1)</f>
        <v/>
      </c>
      <c r="H132" s="35" t="str">
        <f aca="false">IF(G132=".",F132,CONCATENATE(F132,G132))</f>
        <v/>
      </c>
      <c r="I132" s="34" t="n">
        <f aca="false">IFERROR(VALUE(H132),)</f>
        <v>0</v>
      </c>
      <c r="J132" s="34" t="e">
        <f aca="false">RIGHT(B132,LEN(B132)-FIND("/",B132, FIND("Single Cells",B132, 1)))</f>
        <v>#VALUE!</v>
      </c>
    </row>
    <row r="133" customFormat="false" ht="12.75" hidden="false" customHeight="true" outlineLevel="0" collapsed="false">
      <c r="E133" s="34" t="str">
        <f aca="false">MID(B133,9,1)</f>
        <v/>
      </c>
      <c r="F133" s="34" t="str">
        <f aca="false">MID(B133,10,1)</f>
        <v/>
      </c>
      <c r="G133" s="34" t="str">
        <f aca="false">MID(B133,11,1)</f>
        <v/>
      </c>
      <c r="H133" s="35" t="str">
        <f aca="false">IF(G133=".",F133,CONCATENATE(F133,G133))</f>
        <v/>
      </c>
      <c r="I133" s="34" t="n">
        <f aca="false">IFERROR(VALUE(H133),)</f>
        <v>0</v>
      </c>
      <c r="J133" s="34" t="e">
        <f aca="false">RIGHT(B133,LEN(B133)-FIND("/",B133, FIND("Single Cells",B133, 1)))</f>
        <v>#VALUE!</v>
      </c>
    </row>
    <row r="134" customFormat="false" ht="12.75" hidden="false" customHeight="true" outlineLevel="0" collapsed="false">
      <c r="E134" s="34" t="str">
        <f aca="false">MID(B134,9,1)</f>
        <v/>
      </c>
      <c r="F134" s="34" t="str">
        <f aca="false">MID(B134,10,1)</f>
        <v/>
      </c>
      <c r="G134" s="34" t="str">
        <f aca="false">MID(B134,11,1)</f>
        <v/>
      </c>
      <c r="H134" s="35" t="str">
        <f aca="false">IF(G134=".",F134,CONCATENATE(F134,G134))</f>
        <v/>
      </c>
      <c r="I134" s="34" t="n">
        <f aca="false">IFERROR(VALUE(H134),)</f>
        <v>0</v>
      </c>
      <c r="J134" s="34" t="e">
        <f aca="false">RIGHT(B134,LEN(B134)-FIND("/",B134, FIND("Single Cells",B134, 1)))</f>
        <v>#VALUE!</v>
      </c>
    </row>
    <row r="135" customFormat="false" ht="12.75" hidden="false" customHeight="true" outlineLevel="0" collapsed="false">
      <c r="E135" s="34" t="str">
        <f aca="false">MID(B135,9,1)</f>
        <v/>
      </c>
      <c r="F135" s="34" t="str">
        <f aca="false">MID(B135,10,1)</f>
        <v/>
      </c>
      <c r="G135" s="34" t="str">
        <f aca="false">MID(B135,11,1)</f>
        <v/>
      </c>
      <c r="H135" s="35" t="str">
        <f aca="false">IF(G135=".",F135,CONCATENATE(F135,G135))</f>
        <v/>
      </c>
      <c r="I135" s="34" t="n">
        <f aca="false">IFERROR(VALUE(H135),)</f>
        <v>0</v>
      </c>
      <c r="J135" s="34" t="e">
        <f aca="false">RIGHT(B135,LEN(B135)-FIND("/",B135, FIND("Single Cells",B135, 1)))</f>
        <v>#VALUE!</v>
      </c>
    </row>
    <row r="136" customFormat="false" ht="12.75" hidden="false" customHeight="true" outlineLevel="0" collapsed="false">
      <c r="E136" s="34" t="str">
        <f aca="false">MID(B136,9,1)</f>
        <v/>
      </c>
      <c r="F136" s="34" t="str">
        <f aca="false">MID(B136,10,1)</f>
        <v/>
      </c>
      <c r="G136" s="34" t="str">
        <f aca="false">MID(B136,11,1)</f>
        <v/>
      </c>
      <c r="H136" s="35" t="str">
        <f aca="false">IF(G136=".",F136,CONCATENATE(F136,G136))</f>
        <v/>
      </c>
      <c r="I136" s="34" t="n">
        <f aca="false">IFERROR(VALUE(H136),)</f>
        <v>0</v>
      </c>
      <c r="J136" s="34" t="e">
        <f aca="false">RIGHT(B136,LEN(B136)-FIND("/",B136, FIND("Single Cells",B136, 1)))</f>
        <v>#VALUE!</v>
      </c>
    </row>
    <row r="137" customFormat="false" ht="12.75" hidden="false" customHeight="true" outlineLevel="0" collapsed="false">
      <c r="E137" s="34" t="str">
        <f aca="false">MID(B137,9,1)</f>
        <v/>
      </c>
      <c r="F137" s="34" t="str">
        <f aca="false">MID(B137,10,1)</f>
        <v/>
      </c>
      <c r="G137" s="34" t="str">
        <f aca="false">MID(B137,11,1)</f>
        <v/>
      </c>
      <c r="H137" s="35" t="str">
        <f aca="false">IF(G137=".",F137,CONCATENATE(F137,G137))</f>
        <v/>
      </c>
      <c r="I137" s="34" t="n">
        <f aca="false">IFERROR(VALUE(H137),)</f>
        <v>0</v>
      </c>
      <c r="J137" s="34" t="e">
        <f aca="false">RIGHT(B137,LEN(B137)-FIND("/",B137, FIND("Single Cells",B137, 1)))</f>
        <v>#VALUE!</v>
      </c>
    </row>
    <row r="138" customFormat="false" ht="12.75" hidden="false" customHeight="true" outlineLevel="0" collapsed="false">
      <c r="E138" s="34" t="str">
        <f aca="false">MID(B138,9,1)</f>
        <v/>
      </c>
      <c r="F138" s="34" t="str">
        <f aca="false">MID(B138,10,1)</f>
        <v/>
      </c>
      <c r="G138" s="34" t="str">
        <f aca="false">MID(B138,11,1)</f>
        <v/>
      </c>
      <c r="H138" s="35" t="str">
        <f aca="false">IF(G138=".",F138,CONCATENATE(F138,G138))</f>
        <v/>
      </c>
      <c r="I138" s="34" t="n">
        <f aca="false">IFERROR(VALUE(H138),)</f>
        <v>0</v>
      </c>
      <c r="J138" s="34" t="e">
        <f aca="false">RIGHT(B138,LEN(B138)-FIND("/",B138, FIND("Single Cells",B138, 1)))</f>
        <v>#VALUE!</v>
      </c>
    </row>
    <row r="139" customFormat="false" ht="12.75" hidden="false" customHeight="true" outlineLevel="0" collapsed="false">
      <c r="E139" s="34" t="str">
        <f aca="false">MID(B139,9,1)</f>
        <v/>
      </c>
      <c r="F139" s="34" t="str">
        <f aca="false">MID(B139,10,1)</f>
        <v/>
      </c>
      <c r="G139" s="34" t="str">
        <f aca="false">MID(B139,11,1)</f>
        <v/>
      </c>
      <c r="H139" s="35" t="str">
        <f aca="false">IF(G139=".",F139,CONCATENATE(F139,G139))</f>
        <v/>
      </c>
      <c r="I139" s="34" t="n">
        <f aca="false">IFERROR(VALUE(H139),)</f>
        <v>0</v>
      </c>
      <c r="J139" s="34" t="e">
        <f aca="false">RIGHT(B139,LEN(B139)-FIND("/",B139, FIND("Single Cells",B139, 1)))</f>
        <v>#VALUE!</v>
      </c>
    </row>
    <row r="140" customFormat="false" ht="12.75" hidden="false" customHeight="true" outlineLevel="0" collapsed="false">
      <c r="E140" s="34" t="str">
        <f aca="false">MID(B140,9,1)</f>
        <v/>
      </c>
      <c r="F140" s="34" t="str">
        <f aca="false">MID(B140,10,1)</f>
        <v/>
      </c>
      <c r="G140" s="34" t="str">
        <f aca="false">MID(B140,11,1)</f>
        <v/>
      </c>
      <c r="H140" s="35" t="str">
        <f aca="false">IF(G140=".",F140,CONCATENATE(F140,G140))</f>
        <v/>
      </c>
      <c r="I140" s="34" t="n">
        <f aca="false">IFERROR(VALUE(H140),)</f>
        <v>0</v>
      </c>
      <c r="J140" s="34" t="e">
        <f aca="false">RIGHT(B140,LEN(B140)-FIND("/",B140, FIND("Single Cells",B140, 1)))</f>
        <v>#VALUE!</v>
      </c>
    </row>
    <row r="141" customFormat="false" ht="12.75" hidden="false" customHeight="true" outlineLevel="0" collapsed="false">
      <c r="E141" s="34" t="str">
        <f aca="false">MID(B141,9,1)</f>
        <v/>
      </c>
      <c r="F141" s="34" t="str">
        <f aca="false">MID(B141,10,1)</f>
        <v/>
      </c>
      <c r="G141" s="34" t="str">
        <f aca="false">MID(B141,11,1)</f>
        <v/>
      </c>
      <c r="H141" s="35" t="str">
        <f aca="false">IF(G141=".",F141,CONCATENATE(F141,G141))</f>
        <v/>
      </c>
      <c r="I141" s="34" t="n">
        <f aca="false">IFERROR(VALUE(H141),)</f>
        <v>0</v>
      </c>
      <c r="J141" s="34" t="e">
        <f aca="false">RIGHT(B141,LEN(B141)-FIND("/",B141, FIND("Single Cells",B141, 1)))</f>
        <v>#VALUE!</v>
      </c>
    </row>
    <row r="142" customFormat="false" ht="12.75" hidden="false" customHeight="true" outlineLevel="0" collapsed="false">
      <c r="E142" s="34" t="str">
        <f aca="false">MID(B142,9,1)</f>
        <v/>
      </c>
      <c r="F142" s="34" t="str">
        <f aca="false">MID(B142,10,1)</f>
        <v/>
      </c>
      <c r="G142" s="34" t="str">
        <f aca="false">MID(B142,11,1)</f>
        <v/>
      </c>
      <c r="H142" s="35" t="str">
        <f aca="false">IF(G142=".",F142,CONCATENATE(F142,G142))</f>
        <v/>
      </c>
      <c r="I142" s="34" t="n">
        <f aca="false">IFERROR(VALUE(H142),)</f>
        <v>0</v>
      </c>
      <c r="J142" s="34" t="e">
        <f aca="false">RIGHT(B142,LEN(B142)-FIND("/",B142, FIND("Single Cells",B142, 1)))</f>
        <v>#VALUE!</v>
      </c>
    </row>
    <row r="143" customFormat="false" ht="12.75" hidden="false" customHeight="true" outlineLevel="0" collapsed="false">
      <c r="E143" s="34" t="str">
        <f aca="false">MID(B143,9,1)</f>
        <v/>
      </c>
      <c r="F143" s="34" t="str">
        <f aca="false">MID(B143,10,1)</f>
        <v/>
      </c>
      <c r="G143" s="34" t="str">
        <f aca="false">MID(B143,11,1)</f>
        <v/>
      </c>
      <c r="H143" s="35" t="str">
        <f aca="false">IF(G143=".",F143,CONCATENATE(F143,G143))</f>
        <v/>
      </c>
      <c r="I143" s="34" t="n">
        <f aca="false">IFERROR(VALUE(H143),)</f>
        <v>0</v>
      </c>
      <c r="J143" s="34" t="e">
        <f aca="false">RIGHT(B143,LEN(B143)-FIND("/",B143, FIND("Single Cells",B143, 1)))</f>
        <v>#VALUE!</v>
      </c>
    </row>
    <row r="144" customFormat="false" ht="12.75" hidden="false" customHeight="true" outlineLevel="0" collapsed="false">
      <c r="E144" s="34" t="str">
        <f aca="false">MID(B144,9,1)</f>
        <v/>
      </c>
      <c r="F144" s="34" t="str">
        <f aca="false">MID(B144,10,1)</f>
        <v/>
      </c>
      <c r="G144" s="34" t="str">
        <f aca="false">MID(B144,11,1)</f>
        <v/>
      </c>
      <c r="H144" s="35" t="str">
        <f aca="false">IF(G144=".",F144,CONCATENATE(F144,G144))</f>
        <v/>
      </c>
      <c r="I144" s="34" t="n">
        <f aca="false">IFERROR(VALUE(H144),)</f>
        <v>0</v>
      </c>
      <c r="J144" s="34" t="e">
        <f aca="false">RIGHT(B144,LEN(B144)-FIND("/",B144, FIND("Single Cells",B144, 1)))</f>
        <v>#VALUE!</v>
      </c>
    </row>
    <row r="145" customFormat="false" ht="12.75" hidden="false" customHeight="true" outlineLevel="0" collapsed="false">
      <c r="E145" s="34" t="str">
        <f aca="false">MID(B145,9,1)</f>
        <v/>
      </c>
      <c r="F145" s="34" t="str">
        <f aca="false">MID(B145,10,1)</f>
        <v/>
      </c>
      <c r="G145" s="34" t="str">
        <f aca="false">MID(B145,11,1)</f>
        <v/>
      </c>
      <c r="H145" s="35" t="str">
        <f aca="false">IF(G145=".",F145,CONCATENATE(F145,G145))</f>
        <v/>
      </c>
      <c r="I145" s="34" t="n">
        <f aca="false">IFERROR(VALUE(H145),)</f>
        <v>0</v>
      </c>
      <c r="J145" s="34" t="e">
        <f aca="false">RIGHT(B145,LEN(B145)-FIND("/",B145, FIND("Single Cells",B145, 1)))</f>
        <v>#VALUE!</v>
      </c>
    </row>
    <row r="146" customFormat="false" ht="12.75" hidden="false" customHeight="true" outlineLevel="0" collapsed="false">
      <c r="E146" s="34" t="str">
        <f aca="false">MID(B146,9,1)</f>
        <v/>
      </c>
      <c r="F146" s="34" t="str">
        <f aca="false">MID(B146,10,1)</f>
        <v/>
      </c>
      <c r="G146" s="34" t="str">
        <f aca="false">MID(B146,11,1)</f>
        <v/>
      </c>
      <c r="H146" s="35" t="str">
        <f aca="false">IF(G146=".",F146,CONCATENATE(F146,G146))</f>
        <v/>
      </c>
      <c r="I146" s="34" t="n">
        <f aca="false">IFERROR(VALUE(H146),)</f>
        <v>0</v>
      </c>
      <c r="J146" s="34" t="e">
        <f aca="false">RIGHT(B146,LEN(B146)-FIND("/",B146, FIND("Single Cells",B146, 1)))</f>
        <v>#VALUE!</v>
      </c>
    </row>
    <row r="147" customFormat="false" ht="12.75" hidden="false" customHeight="true" outlineLevel="0" collapsed="false">
      <c r="E147" s="34" t="str">
        <f aca="false">MID(B147,9,1)</f>
        <v/>
      </c>
      <c r="F147" s="34" t="str">
        <f aca="false">MID(B147,10,1)</f>
        <v/>
      </c>
      <c r="G147" s="34" t="str">
        <f aca="false">MID(B147,11,1)</f>
        <v/>
      </c>
      <c r="H147" s="35" t="str">
        <f aca="false">IF(G147=".",F147,CONCATENATE(F147,G147))</f>
        <v/>
      </c>
      <c r="I147" s="34" t="n">
        <f aca="false">IFERROR(VALUE(H147),)</f>
        <v>0</v>
      </c>
      <c r="J147" s="34" t="e">
        <f aca="false">RIGHT(B147,LEN(B147)-FIND("/",B147, FIND("Single Cells",B147, 1)))</f>
        <v>#VALUE!</v>
      </c>
    </row>
    <row r="148" customFormat="false" ht="12.75" hidden="false" customHeight="true" outlineLevel="0" collapsed="false">
      <c r="E148" s="34" t="str">
        <f aca="false">MID(B148,9,1)</f>
        <v/>
      </c>
      <c r="F148" s="34" t="str">
        <f aca="false">MID(B148,10,1)</f>
        <v/>
      </c>
      <c r="G148" s="34" t="str">
        <f aca="false">MID(B148,11,1)</f>
        <v/>
      </c>
      <c r="H148" s="35" t="str">
        <f aca="false">IF(G148=".",F148,CONCATENATE(F148,G148))</f>
        <v/>
      </c>
      <c r="I148" s="34" t="n">
        <f aca="false">IFERROR(VALUE(H148),)</f>
        <v>0</v>
      </c>
      <c r="J148" s="34" t="e">
        <f aca="false">RIGHT(B148,LEN(B148)-FIND("/",B148, FIND("Single Cells",B148, 1)))</f>
        <v>#VALUE!</v>
      </c>
    </row>
    <row r="149" customFormat="false" ht="12.75" hidden="false" customHeight="true" outlineLevel="0" collapsed="false">
      <c r="E149" s="34" t="str">
        <f aca="false">MID(B149,9,1)</f>
        <v/>
      </c>
      <c r="F149" s="34" t="str">
        <f aca="false">MID(B149,10,1)</f>
        <v/>
      </c>
      <c r="G149" s="34" t="str">
        <f aca="false">MID(B149,11,1)</f>
        <v/>
      </c>
      <c r="H149" s="35" t="str">
        <f aca="false">IF(G149=".",F149,CONCATENATE(F149,G149))</f>
        <v/>
      </c>
      <c r="I149" s="34" t="n">
        <f aca="false">IFERROR(VALUE(H149),)</f>
        <v>0</v>
      </c>
      <c r="J149" s="34" t="e">
        <f aca="false">RIGHT(B149,LEN(B149)-FIND("/",B149, FIND("Single Cells",B149, 1)))</f>
        <v>#VALUE!</v>
      </c>
    </row>
    <row r="150" customFormat="false" ht="12.75" hidden="false" customHeight="true" outlineLevel="0" collapsed="false">
      <c r="E150" s="34" t="str">
        <f aca="false">MID(B150,9,1)</f>
        <v/>
      </c>
      <c r="F150" s="34" t="str">
        <f aca="false">MID(B150,10,1)</f>
        <v/>
      </c>
      <c r="G150" s="34" t="str">
        <f aca="false">MID(B150,11,1)</f>
        <v/>
      </c>
      <c r="H150" s="35" t="str">
        <f aca="false">IF(G150=".",F150,CONCATENATE(F150,G150))</f>
        <v/>
      </c>
      <c r="I150" s="34" t="n">
        <f aca="false">IFERROR(VALUE(H150),)</f>
        <v>0</v>
      </c>
      <c r="J150" s="34" t="e">
        <f aca="false">RIGHT(B150,LEN(B150)-FIND("/",B150, FIND("Single Cells",B150, 1)))</f>
        <v>#VALUE!</v>
      </c>
    </row>
    <row r="151" customFormat="false" ht="12.75" hidden="false" customHeight="true" outlineLevel="0" collapsed="false">
      <c r="E151" s="34" t="str">
        <f aca="false">MID(B151,9,1)</f>
        <v/>
      </c>
      <c r="F151" s="34" t="str">
        <f aca="false">MID(B151,10,1)</f>
        <v/>
      </c>
      <c r="G151" s="34" t="str">
        <f aca="false">MID(B151,11,1)</f>
        <v/>
      </c>
      <c r="H151" s="35" t="str">
        <f aca="false">IF(G151=".",F151,CONCATENATE(F151,G151))</f>
        <v/>
      </c>
      <c r="I151" s="34" t="n">
        <f aca="false">IFERROR(VALUE(H151),)</f>
        <v>0</v>
      </c>
      <c r="J151" s="34" t="e">
        <f aca="false">RIGHT(B151,LEN(B151)-FIND("/",B151, FIND("Single Cells",B151, 1)))</f>
        <v>#VALUE!</v>
      </c>
    </row>
    <row r="152" customFormat="false" ht="12.75" hidden="false" customHeight="true" outlineLevel="0" collapsed="false">
      <c r="E152" s="34" t="str">
        <f aca="false">MID(B152,9,1)</f>
        <v/>
      </c>
      <c r="F152" s="34" t="str">
        <f aca="false">MID(B152,10,1)</f>
        <v/>
      </c>
      <c r="G152" s="34" t="str">
        <f aca="false">MID(B152,11,1)</f>
        <v/>
      </c>
      <c r="H152" s="35" t="str">
        <f aca="false">IF(G152=".",F152,CONCATENATE(F152,G152))</f>
        <v/>
      </c>
      <c r="I152" s="34" t="n">
        <f aca="false">IFERROR(VALUE(H152),)</f>
        <v>0</v>
      </c>
      <c r="J152" s="34" t="e">
        <f aca="false">RIGHT(B152,LEN(B152)-FIND("/",B152, FIND("Single Cells",B152, 1)))</f>
        <v>#VALUE!</v>
      </c>
    </row>
    <row r="153" customFormat="false" ht="12.75" hidden="false" customHeight="true" outlineLevel="0" collapsed="false">
      <c r="E153" s="34" t="str">
        <f aca="false">MID(B153,9,1)</f>
        <v/>
      </c>
      <c r="F153" s="34" t="str">
        <f aca="false">MID(B153,10,1)</f>
        <v/>
      </c>
      <c r="G153" s="34" t="str">
        <f aca="false">MID(B153,11,1)</f>
        <v/>
      </c>
      <c r="H153" s="35" t="str">
        <f aca="false">IF(G153=".",F153,CONCATENATE(F153,G153))</f>
        <v/>
      </c>
      <c r="I153" s="34" t="n">
        <f aca="false">IFERROR(VALUE(H153),)</f>
        <v>0</v>
      </c>
      <c r="J153" s="34" t="e">
        <f aca="false">RIGHT(B153,LEN(B153)-FIND("/",B153, FIND("Single Cells",B153, 1)))</f>
        <v>#VALUE!</v>
      </c>
    </row>
    <row r="154" customFormat="false" ht="12.75" hidden="false" customHeight="true" outlineLevel="0" collapsed="false">
      <c r="E154" s="34" t="str">
        <f aca="false">MID(B154,9,1)</f>
        <v/>
      </c>
      <c r="F154" s="34" t="str">
        <f aca="false">MID(B154,10,1)</f>
        <v/>
      </c>
      <c r="G154" s="34" t="str">
        <f aca="false">MID(B154,11,1)</f>
        <v/>
      </c>
      <c r="H154" s="35" t="str">
        <f aca="false">IF(G154=".",F154,CONCATENATE(F154,G154))</f>
        <v/>
      </c>
      <c r="I154" s="34" t="n">
        <f aca="false">IFERROR(VALUE(H154),)</f>
        <v>0</v>
      </c>
      <c r="J154" s="34" t="e">
        <f aca="false">RIGHT(B154,LEN(B154)-FIND("/",B154, FIND("Single Cells",B154, 1)))</f>
        <v>#VALUE!</v>
      </c>
    </row>
    <row r="155" customFormat="false" ht="12.75" hidden="false" customHeight="true" outlineLevel="0" collapsed="false">
      <c r="E155" s="34" t="str">
        <f aca="false">MID(B155,9,1)</f>
        <v/>
      </c>
      <c r="F155" s="34" t="str">
        <f aca="false">MID(B155,10,1)</f>
        <v/>
      </c>
      <c r="G155" s="34" t="str">
        <f aca="false">MID(B155,11,1)</f>
        <v/>
      </c>
      <c r="H155" s="35" t="str">
        <f aca="false">IF(G155=".",F155,CONCATENATE(F155,G155))</f>
        <v/>
      </c>
      <c r="I155" s="34" t="n">
        <f aca="false">IFERROR(VALUE(H155),)</f>
        <v>0</v>
      </c>
      <c r="J155" s="34" t="e">
        <f aca="false">RIGHT(B155,LEN(B155)-FIND("/",B155, FIND("Single Cells",B155, 1)))</f>
        <v>#VALUE!</v>
      </c>
    </row>
    <row r="156" customFormat="false" ht="12.75" hidden="false" customHeight="true" outlineLevel="0" collapsed="false">
      <c r="E156" s="34" t="str">
        <f aca="false">MID(B156,9,1)</f>
        <v/>
      </c>
      <c r="F156" s="34" t="str">
        <f aca="false">MID(B156,10,1)</f>
        <v/>
      </c>
      <c r="G156" s="34" t="str">
        <f aca="false">MID(B156,11,1)</f>
        <v/>
      </c>
      <c r="H156" s="35" t="str">
        <f aca="false">IF(G156=".",F156,CONCATENATE(F156,G156))</f>
        <v/>
      </c>
      <c r="I156" s="34" t="n">
        <f aca="false">IFERROR(VALUE(H156),)</f>
        <v>0</v>
      </c>
      <c r="J156" s="34" t="e">
        <f aca="false">RIGHT(B156,LEN(B156)-FIND("/",B156, FIND("Single Cells",B156, 1)))</f>
        <v>#VALUE!</v>
      </c>
    </row>
    <row r="157" customFormat="false" ht="12.75" hidden="false" customHeight="true" outlineLevel="0" collapsed="false">
      <c r="E157" s="34" t="str">
        <f aca="false">MID(B157,9,1)</f>
        <v/>
      </c>
      <c r="F157" s="34" t="str">
        <f aca="false">MID(B157,10,1)</f>
        <v/>
      </c>
      <c r="G157" s="34" t="str">
        <f aca="false">MID(B157,11,1)</f>
        <v/>
      </c>
      <c r="H157" s="35" t="str">
        <f aca="false">IF(G157=".",F157,CONCATENATE(F157,G157))</f>
        <v/>
      </c>
      <c r="I157" s="34" t="n">
        <f aca="false">IFERROR(VALUE(H157),)</f>
        <v>0</v>
      </c>
      <c r="J157" s="34" t="e">
        <f aca="false">RIGHT(B157,LEN(B157)-FIND("/",B157, FIND("Single Cells",B157, 1)))</f>
        <v>#VALUE!</v>
      </c>
    </row>
    <row r="158" customFormat="false" ht="12.75" hidden="false" customHeight="true" outlineLevel="0" collapsed="false">
      <c r="E158" s="34" t="str">
        <f aca="false">MID(B158,9,1)</f>
        <v/>
      </c>
      <c r="F158" s="34" t="str">
        <f aca="false">MID(B158,10,1)</f>
        <v/>
      </c>
      <c r="G158" s="34" t="str">
        <f aca="false">MID(B158,11,1)</f>
        <v/>
      </c>
      <c r="H158" s="35" t="str">
        <f aca="false">IF(G158=".",F158,CONCATENATE(F158,G158))</f>
        <v/>
      </c>
      <c r="I158" s="34" t="n">
        <f aca="false">IFERROR(VALUE(H158),)</f>
        <v>0</v>
      </c>
      <c r="J158" s="34" t="e">
        <f aca="false">RIGHT(B158,LEN(B158)-FIND("/",B158, FIND("Single Cells",B158, 1)))</f>
        <v>#VALUE!</v>
      </c>
    </row>
    <row r="159" customFormat="false" ht="12.75" hidden="false" customHeight="true" outlineLevel="0" collapsed="false">
      <c r="E159" s="34" t="str">
        <f aca="false">MID(B159,9,1)</f>
        <v/>
      </c>
      <c r="F159" s="34" t="str">
        <f aca="false">MID(B159,10,1)</f>
        <v/>
      </c>
      <c r="G159" s="34" t="str">
        <f aca="false">MID(B159,11,1)</f>
        <v/>
      </c>
      <c r="H159" s="35" t="str">
        <f aca="false">IF(G159=".",F159,CONCATENATE(F159,G159))</f>
        <v/>
      </c>
      <c r="I159" s="34" t="n">
        <f aca="false">IFERROR(VALUE(H159),)</f>
        <v>0</v>
      </c>
      <c r="J159" s="34" t="e">
        <f aca="false">RIGHT(B159,LEN(B159)-FIND("/",B159, FIND("Single Cells",B159, 1)))</f>
        <v>#VALUE!</v>
      </c>
    </row>
    <row r="160" customFormat="false" ht="12.75" hidden="false" customHeight="true" outlineLevel="0" collapsed="false">
      <c r="E160" s="34" t="str">
        <f aca="false">MID(B160,9,1)</f>
        <v/>
      </c>
      <c r="F160" s="34" t="str">
        <f aca="false">MID(B160,10,1)</f>
        <v/>
      </c>
      <c r="G160" s="34" t="str">
        <f aca="false">MID(B160,11,1)</f>
        <v/>
      </c>
      <c r="H160" s="35" t="str">
        <f aca="false">IF(G160=".",F160,CONCATENATE(F160,G160))</f>
        <v/>
      </c>
      <c r="I160" s="34" t="n">
        <f aca="false">IFERROR(VALUE(H160),)</f>
        <v>0</v>
      </c>
      <c r="J160" s="34" t="e">
        <f aca="false">RIGHT(B160,LEN(B160)-FIND("/",B160, FIND("Single Cells",B160, 1)))</f>
        <v>#VALUE!</v>
      </c>
    </row>
    <row r="161" customFormat="false" ht="12.75" hidden="false" customHeight="true" outlineLevel="0" collapsed="false">
      <c r="E161" s="34" t="str">
        <f aca="false">MID(B161,9,1)</f>
        <v/>
      </c>
      <c r="F161" s="34" t="str">
        <f aca="false">MID(B161,10,1)</f>
        <v/>
      </c>
      <c r="G161" s="34" t="str">
        <f aca="false">MID(B161,11,1)</f>
        <v/>
      </c>
      <c r="H161" s="35" t="str">
        <f aca="false">IF(G161=".",F161,CONCATENATE(F161,G161))</f>
        <v/>
      </c>
      <c r="I161" s="34" t="n">
        <f aca="false">IFERROR(VALUE(H161),)</f>
        <v>0</v>
      </c>
      <c r="J161" s="34" t="e">
        <f aca="false">RIGHT(B161,LEN(B161)-FIND("/",B161, FIND("Single Cells",B161, 1)))</f>
        <v>#VALUE!</v>
      </c>
    </row>
    <row r="162" customFormat="false" ht="12.75" hidden="false" customHeight="true" outlineLevel="0" collapsed="false">
      <c r="E162" s="34" t="str">
        <f aca="false">MID(B162,9,1)</f>
        <v/>
      </c>
      <c r="F162" s="34" t="str">
        <f aca="false">MID(B162,10,1)</f>
        <v/>
      </c>
      <c r="G162" s="34" t="str">
        <f aca="false">MID(B162,11,1)</f>
        <v/>
      </c>
      <c r="H162" s="35" t="str">
        <f aca="false">IF(G162=".",F162,CONCATENATE(F162,G162))</f>
        <v/>
      </c>
      <c r="I162" s="34" t="n">
        <f aca="false">IFERROR(VALUE(H162),)</f>
        <v>0</v>
      </c>
      <c r="J162" s="34" t="e">
        <f aca="false">RIGHT(B162,LEN(B162)-FIND("/",B162, FIND("Single Cells",B162, 1)))</f>
        <v>#VALUE!</v>
      </c>
    </row>
    <row r="163" customFormat="false" ht="12.75" hidden="false" customHeight="true" outlineLevel="0" collapsed="false">
      <c r="E163" s="34" t="str">
        <f aca="false">MID(B163,9,1)</f>
        <v/>
      </c>
      <c r="F163" s="34" t="str">
        <f aca="false">MID(B163,10,1)</f>
        <v/>
      </c>
      <c r="G163" s="34" t="str">
        <f aca="false">MID(B163,11,1)</f>
        <v/>
      </c>
      <c r="H163" s="35" t="str">
        <f aca="false">IF(G163=".",F163,CONCATENATE(F163,G163))</f>
        <v/>
      </c>
      <c r="I163" s="34" t="n">
        <f aca="false">IFERROR(VALUE(H163),)</f>
        <v>0</v>
      </c>
      <c r="J163" s="34" t="e">
        <f aca="false">RIGHT(B163,LEN(B163)-FIND("/",B163, FIND("Single Cells",B163, 1)))</f>
        <v>#VALUE!</v>
      </c>
    </row>
    <row r="164" customFormat="false" ht="12.75" hidden="false" customHeight="true" outlineLevel="0" collapsed="false">
      <c r="E164" s="34" t="str">
        <f aca="false">MID(B164,9,1)</f>
        <v/>
      </c>
      <c r="F164" s="34" t="str">
        <f aca="false">MID(B164,10,1)</f>
        <v/>
      </c>
      <c r="G164" s="34" t="str">
        <f aca="false">MID(B164,11,1)</f>
        <v/>
      </c>
      <c r="H164" s="35" t="str">
        <f aca="false">IF(G164=".",F164,CONCATENATE(F164,G164))</f>
        <v/>
      </c>
      <c r="I164" s="34" t="n">
        <f aca="false">IFERROR(VALUE(H164),)</f>
        <v>0</v>
      </c>
      <c r="J164" s="34" t="e">
        <f aca="false">RIGHT(B164,LEN(B164)-FIND("/",B164, FIND("Single Cells",B164, 1)))</f>
        <v>#VALUE!</v>
      </c>
    </row>
    <row r="165" customFormat="false" ht="12.75" hidden="false" customHeight="true" outlineLevel="0" collapsed="false">
      <c r="E165" s="34" t="str">
        <f aca="false">MID(B165,9,1)</f>
        <v/>
      </c>
      <c r="F165" s="34" t="str">
        <f aca="false">MID(B165,10,1)</f>
        <v/>
      </c>
      <c r="G165" s="34" t="str">
        <f aca="false">MID(B165,11,1)</f>
        <v/>
      </c>
      <c r="H165" s="35" t="str">
        <f aca="false">IF(G165=".",F165,CONCATENATE(F165,G165))</f>
        <v/>
      </c>
      <c r="I165" s="34" t="n">
        <f aca="false">IFERROR(VALUE(H165),)</f>
        <v>0</v>
      </c>
      <c r="J165" s="34" t="e">
        <f aca="false">RIGHT(B165,LEN(B165)-FIND("/",B165, FIND("Single Cells",B165, 1)))</f>
        <v>#VALUE!</v>
      </c>
    </row>
    <row r="166" customFormat="false" ht="12.75" hidden="false" customHeight="true" outlineLevel="0" collapsed="false">
      <c r="E166" s="34" t="str">
        <f aca="false">MID(B166,9,1)</f>
        <v/>
      </c>
      <c r="F166" s="34" t="str">
        <f aca="false">MID(B166,10,1)</f>
        <v/>
      </c>
      <c r="G166" s="34" t="str">
        <f aca="false">MID(B166,11,1)</f>
        <v/>
      </c>
      <c r="H166" s="35" t="str">
        <f aca="false">IF(G166=".",F166,CONCATENATE(F166,G166))</f>
        <v/>
      </c>
      <c r="I166" s="34" t="n">
        <f aca="false">IFERROR(VALUE(H166),)</f>
        <v>0</v>
      </c>
      <c r="J166" s="34" t="e">
        <f aca="false">RIGHT(B166,LEN(B166)-FIND("/",B166, FIND("Single Cells",B166, 1)))</f>
        <v>#VALUE!</v>
      </c>
    </row>
    <row r="167" customFormat="false" ht="12.75" hidden="false" customHeight="true" outlineLevel="0" collapsed="false">
      <c r="E167" s="34" t="str">
        <f aca="false">MID(B167,9,1)</f>
        <v/>
      </c>
      <c r="F167" s="34" t="str">
        <f aca="false">MID(B167,10,1)</f>
        <v/>
      </c>
      <c r="G167" s="34" t="str">
        <f aca="false">MID(B167,11,1)</f>
        <v/>
      </c>
      <c r="H167" s="35" t="str">
        <f aca="false">IF(G167=".",F167,CONCATENATE(F167,G167))</f>
        <v/>
      </c>
      <c r="I167" s="34" t="n">
        <f aca="false">IFERROR(VALUE(H167),)</f>
        <v>0</v>
      </c>
      <c r="J167" s="34" t="e">
        <f aca="false">RIGHT(B167,LEN(B167)-FIND("/",B167, FIND("Single Cells",B167, 1)))</f>
        <v>#VALUE!</v>
      </c>
    </row>
    <row r="168" customFormat="false" ht="12.75" hidden="false" customHeight="true" outlineLevel="0" collapsed="false">
      <c r="E168" s="34" t="str">
        <f aca="false">MID(B168,9,1)</f>
        <v/>
      </c>
      <c r="F168" s="34" t="str">
        <f aca="false">MID(B168,10,1)</f>
        <v/>
      </c>
      <c r="G168" s="34" t="str">
        <f aca="false">MID(B168,11,1)</f>
        <v/>
      </c>
      <c r="H168" s="35" t="str">
        <f aca="false">IF(G168=".",F168,CONCATENATE(F168,G168))</f>
        <v/>
      </c>
      <c r="I168" s="34" t="n">
        <f aca="false">IFERROR(VALUE(H168),)</f>
        <v>0</v>
      </c>
      <c r="J168" s="34" t="e">
        <f aca="false">RIGHT(B168,LEN(B168)-FIND("/",B168, FIND("Single Cells",B168, 1)))</f>
        <v>#VALUE!</v>
      </c>
    </row>
    <row r="169" customFormat="false" ht="12.75" hidden="false" customHeight="true" outlineLevel="0" collapsed="false">
      <c r="E169" s="34" t="str">
        <f aca="false">MID(B169,9,1)</f>
        <v/>
      </c>
      <c r="F169" s="34" t="str">
        <f aca="false">MID(B169,10,1)</f>
        <v/>
      </c>
      <c r="G169" s="34" t="str">
        <f aca="false">MID(B169,11,1)</f>
        <v/>
      </c>
      <c r="H169" s="35" t="str">
        <f aca="false">IF(G169=".",F169,CONCATENATE(F169,G169))</f>
        <v/>
      </c>
      <c r="I169" s="34" t="n">
        <f aca="false">IFERROR(VALUE(H169),)</f>
        <v>0</v>
      </c>
      <c r="J169" s="34" t="e">
        <f aca="false">RIGHT(B169,LEN(B169)-FIND("/",B169, FIND("Single Cells",B169, 1)))</f>
        <v>#VALUE!</v>
      </c>
    </row>
    <row r="170" customFormat="false" ht="12.75" hidden="false" customHeight="true" outlineLevel="0" collapsed="false">
      <c r="E170" s="34" t="str">
        <f aca="false">MID(B170,9,1)</f>
        <v/>
      </c>
      <c r="F170" s="34" t="str">
        <f aca="false">MID(B170,10,1)</f>
        <v/>
      </c>
      <c r="G170" s="34" t="str">
        <f aca="false">MID(B170,11,1)</f>
        <v/>
      </c>
      <c r="H170" s="35" t="str">
        <f aca="false">IF(G170=".",F170,CONCATENATE(F170,G170))</f>
        <v/>
      </c>
      <c r="I170" s="34" t="n">
        <f aca="false">IFERROR(VALUE(H170),)</f>
        <v>0</v>
      </c>
      <c r="J170" s="34" t="e">
        <f aca="false">RIGHT(B170,LEN(B170)-FIND("/",B170, FIND("Single Cells",B170, 1)))</f>
        <v>#VALUE!</v>
      </c>
    </row>
    <row r="171" customFormat="false" ht="12.75" hidden="false" customHeight="true" outlineLevel="0" collapsed="false">
      <c r="E171" s="34" t="str">
        <f aca="false">MID(B171,9,1)</f>
        <v/>
      </c>
      <c r="F171" s="34" t="str">
        <f aca="false">MID(B171,10,1)</f>
        <v/>
      </c>
      <c r="G171" s="34" t="str">
        <f aca="false">MID(B171,11,1)</f>
        <v/>
      </c>
      <c r="H171" s="35" t="str">
        <f aca="false">IF(G171=".",F171,CONCATENATE(F171,G171))</f>
        <v/>
      </c>
      <c r="I171" s="34" t="n">
        <f aca="false">IFERROR(VALUE(H171),)</f>
        <v>0</v>
      </c>
      <c r="J171" s="34" t="e">
        <f aca="false">RIGHT(B171,LEN(B171)-FIND("/",B171, FIND("Single Cells",B171, 1)))</f>
        <v>#VALUE!</v>
      </c>
    </row>
    <row r="172" customFormat="false" ht="12.75" hidden="false" customHeight="true" outlineLevel="0" collapsed="false">
      <c r="E172" s="34" t="str">
        <f aca="false">MID(B172,9,1)</f>
        <v/>
      </c>
      <c r="F172" s="34" t="str">
        <f aca="false">MID(B172,10,1)</f>
        <v/>
      </c>
      <c r="G172" s="34" t="str">
        <f aca="false">MID(B172,11,1)</f>
        <v/>
      </c>
      <c r="H172" s="35" t="str">
        <f aca="false">IF(G172=".",F172,CONCATENATE(F172,G172))</f>
        <v/>
      </c>
      <c r="I172" s="34" t="n">
        <f aca="false">IFERROR(VALUE(H172),)</f>
        <v>0</v>
      </c>
      <c r="J172" s="34" t="e">
        <f aca="false">RIGHT(B172,LEN(B172)-FIND("/",B172, FIND("Single Cells",B172, 1)))</f>
        <v>#VALUE!</v>
      </c>
    </row>
    <row r="173" customFormat="false" ht="12.75" hidden="false" customHeight="true" outlineLevel="0" collapsed="false">
      <c r="E173" s="34" t="str">
        <f aca="false">MID(B173,9,1)</f>
        <v/>
      </c>
      <c r="F173" s="34" t="str">
        <f aca="false">MID(B173,10,1)</f>
        <v/>
      </c>
      <c r="G173" s="34" t="str">
        <f aca="false">MID(B173,11,1)</f>
        <v/>
      </c>
      <c r="H173" s="35" t="str">
        <f aca="false">IF(G173=".",F173,CONCATENATE(F173,G173))</f>
        <v/>
      </c>
      <c r="I173" s="34" t="n">
        <f aca="false">IFERROR(VALUE(H173),)</f>
        <v>0</v>
      </c>
      <c r="J173" s="34" t="e">
        <f aca="false">RIGHT(B173,LEN(B173)-FIND("/",B173, FIND("Single Cells",B173, 1)))</f>
        <v>#VALUE!</v>
      </c>
    </row>
    <row r="174" customFormat="false" ht="12.75" hidden="false" customHeight="true" outlineLevel="0" collapsed="false">
      <c r="E174" s="34" t="str">
        <f aca="false">MID(B174,9,1)</f>
        <v/>
      </c>
      <c r="F174" s="34" t="str">
        <f aca="false">MID(B174,10,1)</f>
        <v/>
      </c>
      <c r="G174" s="34" t="str">
        <f aca="false">MID(B174,11,1)</f>
        <v/>
      </c>
      <c r="H174" s="35" t="str">
        <f aca="false">IF(G174=".",F174,CONCATENATE(F174,G174))</f>
        <v/>
      </c>
      <c r="I174" s="34" t="n">
        <f aca="false">IFERROR(VALUE(H174),)</f>
        <v>0</v>
      </c>
      <c r="J174" s="34" t="e">
        <f aca="false">RIGHT(B174,LEN(B174)-FIND("/",B174, FIND("Single Cells",B174, 1)))</f>
        <v>#VALUE!</v>
      </c>
    </row>
    <row r="175" customFormat="false" ht="12.75" hidden="false" customHeight="true" outlineLevel="0" collapsed="false">
      <c r="E175" s="34" t="str">
        <f aca="false">MID(B175,9,1)</f>
        <v/>
      </c>
      <c r="F175" s="34" t="str">
        <f aca="false">MID(B175,10,1)</f>
        <v/>
      </c>
      <c r="G175" s="34" t="str">
        <f aca="false">MID(B175,11,1)</f>
        <v/>
      </c>
      <c r="H175" s="35" t="str">
        <f aca="false">IF(G175=".",F175,CONCATENATE(F175,G175))</f>
        <v/>
      </c>
      <c r="I175" s="34" t="n">
        <f aca="false">IFERROR(VALUE(H175),)</f>
        <v>0</v>
      </c>
      <c r="J175" s="34" t="e">
        <f aca="false">RIGHT(B175,LEN(B175)-FIND("/",B175, FIND("Single Cells",B175, 1)))</f>
        <v>#VALUE!</v>
      </c>
    </row>
    <row r="176" customFormat="false" ht="12.75" hidden="false" customHeight="true" outlineLevel="0" collapsed="false">
      <c r="E176" s="34" t="str">
        <f aca="false">MID(B176,9,1)</f>
        <v/>
      </c>
      <c r="F176" s="34" t="str">
        <f aca="false">MID(B176,10,1)</f>
        <v/>
      </c>
      <c r="G176" s="34" t="str">
        <f aca="false">MID(B176,11,1)</f>
        <v/>
      </c>
      <c r="H176" s="35" t="str">
        <f aca="false">IF(G176=".",F176,CONCATENATE(F176,G176))</f>
        <v/>
      </c>
      <c r="I176" s="34" t="n">
        <f aca="false">IFERROR(VALUE(H176),)</f>
        <v>0</v>
      </c>
      <c r="J176" s="34" t="e">
        <f aca="false">RIGHT(B176,LEN(B176)-FIND("/",B176, FIND("Single Cells",B176, 1)))</f>
        <v>#VALUE!</v>
      </c>
    </row>
    <row r="177" customFormat="false" ht="12.75" hidden="false" customHeight="true" outlineLevel="0" collapsed="false">
      <c r="E177" s="34" t="str">
        <f aca="false">MID(B177,9,1)</f>
        <v/>
      </c>
      <c r="F177" s="34" t="str">
        <f aca="false">MID(B177,10,1)</f>
        <v/>
      </c>
      <c r="G177" s="34" t="str">
        <f aca="false">MID(B177,11,1)</f>
        <v/>
      </c>
      <c r="H177" s="35" t="str">
        <f aca="false">IF(G177=".",F177,CONCATENATE(F177,G177))</f>
        <v/>
      </c>
      <c r="I177" s="34" t="n">
        <f aca="false">IFERROR(VALUE(H177),)</f>
        <v>0</v>
      </c>
      <c r="J177" s="34" t="e">
        <f aca="false">RIGHT(B177,LEN(B177)-FIND("/",B177, FIND("Single Cells",B177, 1)))</f>
        <v>#VALUE!</v>
      </c>
    </row>
    <row r="178" customFormat="false" ht="12.75" hidden="false" customHeight="true" outlineLevel="0" collapsed="false">
      <c r="E178" s="34" t="str">
        <f aca="false">MID(B178,9,1)</f>
        <v/>
      </c>
      <c r="F178" s="34" t="str">
        <f aca="false">MID(B178,10,1)</f>
        <v/>
      </c>
      <c r="G178" s="34" t="str">
        <f aca="false">MID(B178,11,1)</f>
        <v/>
      </c>
      <c r="H178" s="35" t="str">
        <f aca="false">IF(G178=".",F178,CONCATENATE(F178,G178))</f>
        <v/>
      </c>
      <c r="I178" s="34" t="n">
        <f aca="false">IFERROR(VALUE(H178),)</f>
        <v>0</v>
      </c>
      <c r="J178" s="34" t="e">
        <f aca="false">RIGHT(B178,LEN(B178)-FIND("/",B178, FIND("Single Cells",B178, 1)))</f>
        <v>#VALUE!</v>
      </c>
    </row>
    <row r="179" customFormat="false" ht="12.75" hidden="false" customHeight="true" outlineLevel="0" collapsed="false">
      <c r="E179" s="34" t="str">
        <f aca="false">MID(B179,9,1)</f>
        <v/>
      </c>
      <c r="F179" s="34" t="str">
        <f aca="false">MID(B179,10,1)</f>
        <v/>
      </c>
      <c r="G179" s="34" t="str">
        <f aca="false">MID(B179,11,1)</f>
        <v/>
      </c>
      <c r="H179" s="35" t="str">
        <f aca="false">IF(G179=".",F179,CONCATENATE(F179,G179))</f>
        <v/>
      </c>
      <c r="I179" s="34" t="n">
        <f aca="false">IFERROR(VALUE(H179),)</f>
        <v>0</v>
      </c>
      <c r="J179" s="34" t="e">
        <f aca="false">RIGHT(B179,LEN(B179)-FIND("/",B179, FIND("Single Cells",B179, 1)))</f>
        <v>#VALUE!</v>
      </c>
    </row>
    <row r="180" customFormat="false" ht="12.75" hidden="false" customHeight="true" outlineLevel="0" collapsed="false">
      <c r="E180" s="34" t="str">
        <f aca="false">MID(B180,9,1)</f>
        <v/>
      </c>
      <c r="F180" s="34" t="str">
        <f aca="false">MID(B180,10,1)</f>
        <v/>
      </c>
      <c r="G180" s="34" t="str">
        <f aca="false">MID(B180,11,1)</f>
        <v/>
      </c>
      <c r="H180" s="35" t="str">
        <f aca="false">IF(G180=".",F180,CONCATENATE(F180,G180))</f>
        <v/>
      </c>
      <c r="I180" s="34" t="n">
        <f aca="false">IFERROR(VALUE(H180),)</f>
        <v>0</v>
      </c>
      <c r="J180" s="34" t="e">
        <f aca="false">RIGHT(B180,LEN(B180)-FIND("/",B180, FIND("Single Cells",B180, 1)))</f>
        <v>#VALUE!</v>
      </c>
    </row>
    <row r="181" customFormat="false" ht="12.75" hidden="false" customHeight="true" outlineLevel="0" collapsed="false">
      <c r="E181" s="34" t="str">
        <f aca="false">MID(B181,9,1)</f>
        <v/>
      </c>
      <c r="F181" s="34" t="str">
        <f aca="false">MID(B181,10,1)</f>
        <v/>
      </c>
      <c r="G181" s="34" t="str">
        <f aca="false">MID(B181,11,1)</f>
        <v/>
      </c>
      <c r="H181" s="35" t="str">
        <f aca="false">IF(G181=".",F181,CONCATENATE(F181,G181))</f>
        <v/>
      </c>
      <c r="I181" s="34" t="n">
        <f aca="false">IFERROR(VALUE(H181),)</f>
        <v>0</v>
      </c>
      <c r="J181" s="34" t="e">
        <f aca="false">RIGHT(B181,LEN(B181)-FIND("/",B181, FIND("Single Cells",B181, 1)))</f>
        <v>#VALUE!</v>
      </c>
    </row>
    <row r="182" customFormat="false" ht="12.75" hidden="false" customHeight="true" outlineLevel="0" collapsed="false">
      <c r="E182" s="34" t="str">
        <f aca="false">MID(B182,9,1)</f>
        <v/>
      </c>
      <c r="F182" s="34" t="str">
        <f aca="false">MID(B182,10,1)</f>
        <v/>
      </c>
      <c r="G182" s="34" t="str">
        <f aca="false">MID(B182,11,1)</f>
        <v/>
      </c>
      <c r="H182" s="35" t="str">
        <f aca="false">IF(G182=".",F182,CONCATENATE(F182,G182))</f>
        <v/>
      </c>
      <c r="I182" s="34" t="n">
        <f aca="false">IFERROR(VALUE(H182),)</f>
        <v>0</v>
      </c>
      <c r="J182" s="34" t="e">
        <f aca="false">RIGHT(B182,LEN(B182)-FIND("/",B182, FIND("Single Cells",B182, 1)))</f>
        <v>#VALUE!</v>
      </c>
    </row>
    <row r="183" customFormat="false" ht="12.75" hidden="false" customHeight="true" outlineLevel="0" collapsed="false">
      <c r="E183" s="34" t="str">
        <f aca="false">MID(B183,9,1)</f>
        <v/>
      </c>
      <c r="F183" s="34" t="str">
        <f aca="false">MID(B183,10,1)</f>
        <v/>
      </c>
      <c r="G183" s="34" t="str">
        <f aca="false">MID(B183,11,1)</f>
        <v/>
      </c>
      <c r="H183" s="35" t="str">
        <f aca="false">IF(G183=".",F183,CONCATENATE(F183,G183))</f>
        <v/>
      </c>
      <c r="I183" s="34" t="n">
        <f aca="false">IFERROR(VALUE(H183),)</f>
        <v>0</v>
      </c>
      <c r="J183" s="34" t="e">
        <f aca="false">RIGHT(B183,LEN(B183)-FIND("/",B183, FIND("Single Cells",B183, 1)))</f>
        <v>#VALUE!</v>
      </c>
    </row>
    <row r="184" customFormat="false" ht="12.75" hidden="false" customHeight="true" outlineLevel="0" collapsed="false">
      <c r="E184" s="34" t="str">
        <f aca="false">MID(B184,9,1)</f>
        <v/>
      </c>
      <c r="F184" s="34" t="str">
        <f aca="false">MID(B184,10,1)</f>
        <v/>
      </c>
      <c r="G184" s="34" t="str">
        <f aca="false">MID(B184,11,1)</f>
        <v/>
      </c>
      <c r="H184" s="35" t="str">
        <f aca="false">IF(G184=".",F184,CONCATENATE(F184,G184))</f>
        <v/>
      </c>
      <c r="I184" s="34" t="n">
        <f aca="false">IFERROR(VALUE(H184),)</f>
        <v>0</v>
      </c>
      <c r="J184" s="34" t="e">
        <f aca="false">RIGHT(B184,LEN(B184)-FIND("/",B184, FIND("Single Cells",B184, 1)))</f>
        <v>#VALUE!</v>
      </c>
    </row>
    <row r="185" customFormat="false" ht="12.75" hidden="false" customHeight="true" outlineLevel="0" collapsed="false">
      <c r="E185" s="34" t="str">
        <f aca="false">MID(B185,9,1)</f>
        <v/>
      </c>
      <c r="F185" s="34" t="str">
        <f aca="false">MID(B185,10,1)</f>
        <v/>
      </c>
      <c r="G185" s="34" t="str">
        <f aca="false">MID(B185,11,1)</f>
        <v/>
      </c>
      <c r="H185" s="35" t="str">
        <f aca="false">IF(G185=".",F185,CONCATENATE(F185,G185))</f>
        <v/>
      </c>
      <c r="I185" s="34" t="n">
        <f aca="false">IFERROR(VALUE(H185),)</f>
        <v>0</v>
      </c>
      <c r="J185" s="34" t="e">
        <f aca="false">RIGHT(B185,LEN(B185)-FIND("/",B185, FIND("Single Cells",B185, 1)))</f>
        <v>#VALUE!</v>
      </c>
    </row>
    <row r="186" customFormat="false" ht="12.75" hidden="false" customHeight="true" outlineLevel="0" collapsed="false">
      <c r="E186" s="34" t="str">
        <f aca="false">MID(B186,9,1)</f>
        <v/>
      </c>
      <c r="F186" s="34" t="str">
        <f aca="false">MID(B186,10,1)</f>
        <v/>
      </c>
      <c r="G186" s="34" t="str">
        <f aca="false">MID(B186,11,1)</f>
        <v/>
      </c>
      <c r="H186" s="35" t="str">
        <f aca="false">IF(G186=".",F186,CONCATENATE(F186,G186))</f>
        <v/>
      </c>
      <c r="I186" s="34" t="n">
        <f aca="false">IFERROR(VALUE(H186),)</f>
        <v>0</v>
      </c>
      <c r="J186" s="34" t="e">
        <f aca="false">RIGHT(B186,LEN(B186)-FIND("/",B186, FIND("Single Cells",B186, 1)))</f>
        <v>#VALUE!</v>
      </c>
    </row>
    <row r="187" customFormat="false" ht="12.75" hidden="false" customHeight="true" outlineLevel="0" collapsed="false">
      <c r="E187" s="34" t="str">
        <f aca="false">MID(B187,9,1)</f>
        <v/>
      </c>
      <c r="F187" s="34" t="str">
        <f aca="false">MID(B187,10,1)</f>
        <v/>
      </c>
      <c r="G187" s="34" t="str">
        <f aca="false">MID(B187,11,1)</f>
        <v/>
      </c>
      <c r="H187" s="35" t="str">
        <f aca="false">IF(G187=".",F187,CONCATENATE(F187,G187))</f>
        <v/>
      </c>
      <c r="I187" s="34" t="n">
        <f aca="false">IFERROR(VALUE(H187),)</f>
        <v>0</v>
      </c>
      <c r="J187" s="34" t="e">
        <f aca="false">RIGHT(B187,LEN(B187)-FIND("/",B187, FIND("Single Cells",B187, 1)))</f>
        <v>#VALUE!</v>
      </c>
    </row>
    <row r="188" customFormat="false" ht="12.75" hidden="false" customHeight="true" outlineLevel="0" collapsed="false">
      <c r="E188" s="34" t="str">
        <f aca="false">MID(B188,9,1)</f>
        <v/>
      </c>
      <c r="F188" s="34" t="str">
        <f aca="false">MID(B188,10,1)</f>
        <v/>
      </c>
      <c r="G188" s="34" t="str">
        <f aca="false">MID(B188,11,1)</f>
        <v/>
      </c>
      <c r="H188" s="35" t="str">
        <f aca="false">IF(G188=".",F188,CONCATENATE(F188,G188))</f>
        <v/>
      </c>
      <c r="I188" s="34" t="n">
        <f aca="false">IFERROR(VALUE(H188),)</f>
        <v>0</v>
      </c>
      <c r="J188" s="34" t="e">
        <f aca="false">RIGHT(B188,LEN(B188)-FIND("/",B188, FIND("Single Cells",B188, 1)))</f>
        <v>#VALUE!</v>
      </c>
    </row>
    <row r="189" customFormat="false" ht="12.75" hidden="false" customHeight="true" outlineLevel="0" collapsed="false">
      <c r="E189" s="34" t="str">
        <f aca="false">MID(B189,9,1)</f>
        <v/>
      </c>
      <c r="F189" s="34" t="str">
        <f aca="false">MID(B189,10,1)</f>
        <v/>
      </c>
      <c r="G189" s="34" t="str">
        <f aca="false">MID(B189,11,1)</f>
        <v/>
      </c>
      <c r="H189" s="35" t="str">
        <f aca="false">IF(G189=".",F189,CONCATENATE(F189,G189))</f>
        <v/>
      </c>
      <c r="I189" s="34" t="n">
        <f aca="false">IFERROR(VALUE(H189),)</f>
        <v>0</v>
      </c>
      <c r="J189" s="34" t="e">
        <f aca="false">RIGHT(B189,LEN(B189)-FIND("/",B189, FIND("Single Cells",B189, 1)))</f>
        <v>#VALUE!</v>
      </c>
    </row>
    <row r="190" customFormat="false" ht="12.75" hidden="false" customHeight="true" outlineLevel="0" collapsed="false">
      <c r="E190" s="34" t="str">
        <f aca="false">MID(B190,9,1)</f>
        <v/>
      </c>
      <c r="F190" s="34" t="str">
        <f aca="false">MID(B190,10,1)</f>
        <v/>
      </c>
      <c r="G190" s="34" t="str">
        <f aca="false">MID(B190,11,1)</f>
        <v/>
      </c>
      <c r="H190" s="35" t="str">
        <f aca="false">IF(G190=".",F190,CONCATENATE(F190,G190))</f>
        <v/>
      </c>
      <c r="I190" s="34" t="n">
        <f aca="false">IFERROR(VALUE(H190),)</f>
        <v>0</v>
      </c>
      <c r="J190" s="34" t="e">
        <f aca="false">RIGHT(B190,LEN(B190)-FIND("/",B190, FIND("Single Cells",B190, 1)))</f>
        <v>#VALUE!</v>
      </c>
    </row>
    <row r="191" customFormat="false" ht="12.75" hidden="false" customHeight="true" outlineLevel="0" collapsed="false">
      <c r="E191" s="34" t="str">
        <f aca="false">MID(B191,9,1)</f>
        <v/>
      </c>
      <c r="F191" s="34" t="str">
        <f aca="false">MID(B191,10,1)</f>
        <v/>
      </c>
      <c r="G191" s="34" t="str">
        <f aca="false">MID(B191,11,1)</f>
        <v/>
      </c>
      <c r="H191" s="35" t="str">
        <f aca="false">IF(G191=".",F191,CONCATENATE(F191,G191))</f>
        <v/>
      </c>
      <c r="I191" s="34" t="n">
        <f aca="false">IFERROR(VALUE(H191),)</f>
        <v>0</v>
      </c>
      <c r="J191" s="34" t="e">
        <f aca="false">RIGHT(B191,LEN(B191)-FIND("/",B191, FIND("Single Cells",B191, 1)))</f>
        <v>#VALUE!</v>
      </c>
    </row>
    <row r="192" customFormat="false" ht="12.75" hidden="false" customHeight="true" outlineLevel="0" collapsed="false">
      <c r="E192" s="34" t="str">
        <f aca="false">MID(B192,9,1)</f>
        <v/>
      </c>
      <c r="F192" s="34" t="str">
        <f aca="false">MID(B192,10,1)</f>
        <v/>
      </c>
      <c r="G192" s="34" t="str">
        <f aca="false">MID(B192,11,1)</f>
        <v/>
      </c>
      <c r="H192" s="35" t="str">
        <f aca="false">IF(G192=".",F192,CONCATENATE(F192,G192))</f>
        <v/>
      </c>
      <c r="I192" s="34" t="n">
        <f aca="false">IFERROR(VALUE(H192),)</f>
        <v>0</v>
      </c>
      <c r="J192" s="34" t="e">
        <f aca="false">RIGHT(B192,LEN(B192)-FIND("/",B192, FIND("Single Cells",B192, 1)))</f>
        <v>#VALUE!</v>
      </c>
    </row>
    <row r="193" customFormat="false" ht="12.75" hidden="false" customHeight="true" outlineLevel="0" collapsed="false">
      <c r="E193" s="34" t="str">
        <f aca="false">MID(B193,9,1)</f>
        <v/>
      </c>
      <c r="F193" s="34" t="str">
        <f aca="false">MID(B193,10,1)</f>
        <v/>
      </c>
      <c r="G193" s="34" t="str">
        <f aca="false">MID(B193,11,1)</f>
        <v/>
      </c>
      <c r="H193" s="35" t="str">
        <f aca="false">IF(G193=".",F193,CONCATENATE(F193,G193))</f>
        <v/>
      </c>
      <c r="I193" s="34" t="n">
        <f aca="false">IFERROR(VALUE(H193),)</f>
        <v>0</v>
      </c>
      <c r="J193" s="34" t="e">
        <f aca="false">RIGHT(B193,LEN(B193)-FIND("/",B193, FIND("Single Cells",B193, 1)))</f>
        <v>#VALUE!</v>
      </c>
    </row>
    <row r="194" customFormat="false" ht="12.75" hidden="false" customHeight="true" outlineLevel="0" collapsed="false">
      <c r="E194" s="34" t="str">
        <f aca="false">MID(B194,9,1)</f>
        <v/>
      </c>
      <c r="F194" s="34" t="str">
        <f aca="false">MID(B194,10,1)</f>
        <v/>
      </c>
      <c r="G194" s="34" t="str">
        <f aca="false">MID(B194,11,1)</f>
        <v/>
      </c>
      <c r="H194" s="35" t="str">
        <f aca="false">IF(G194=".",F194,CONCATENATE(F194,G194))</f>
        <v/>
      </c>
      <c r="I194" s="34" t="n">
        <f aca="false">IFERROR(VALUE(H194),)</f>
        <v>0</v>
      </c>
      <c r="J194" s="34" t="e">
        <f aca="false">RIGHT(B194,LEN(B194)-FIND("/",B194, FIND("Single Cells",B194, 1)))</f>
        <v>#VALUE!</v>
      </c>
    </row>
    <row r="195" customFormat="false" ht="12.75" hidden="false" customHeight="true" outlineLevel="0" collapsed="false">
      <c r="E195" s="34" t="str">
        <f aca="false">MID(B195,9,1)</f>
        <v/>
      </c>
      <c r="F195" s="34" t="str">
        <f aca="false">MID(B195,10,1)</f>
        <v/>
      </c>
      <c r="G195" s="34" t="str">
        <f aca="false">MID(B195,11,1)</f>
        <v/>
      </c>
      <c r="H195" s="35" t="str">
        <f aca="false">IF(G195=".",F195,CONCATENATE(F195,G195))</f>
        <v/>
      </c>
      <c r="I195" s="34" t="n">
        <f aca="false">IFERROR(VALUE(H195),)</f>
        <v>0</v>
      </c>
      <c r="J195" s="34" t="e">
        <f aca="false">RIGHT(B195,LEN(B195)-FIND("/",B195, FIND("Single Cells",B195, 1)))</f>
        <v>#VALUE!</v>
      </c>
    </row>
    <row r="196" customFormat="false" ht="12.75" hidden="false" customHeight="true" outlineLevel="0" collapsed="false">
      <c r="E196" s="34" t="str">
        <f aca="false">MID(B196,9,1)</f>
        <v/>
      </c>
      <c r="F196" s="34" t="str">
        <f aca="false">MID(B196,10,1)</f>
        <v/>
      </c>
      <c r="G196" s="34" t="str">
        <f aca="false">MID(B196,11,1)</f>
        <v/>
      </c>
      <c r="H196" s="35" t="str">
        <f aca="false">IF(G196=".",F196,CONCATENATE(F196,G196))</f>
        <v/>
      </c>
      <c r="I196" s="34" t="n">
        <f aca="false">IFERROR(VALUE(H196),)</f>
        <v>0</v>
      </c>
      <c r="J196" s="34" t="e">
        <f aca="false">RIGHT(B196,LEN(B196)-FIND("/",B196, FIND("Single Cells",B196, 1)))</f>
        <v>#VALUE!</v>
      </c>
    </row>
    <row r="197" customFormat="false" ht="12.75" hidden="false" customHeight="true" outlineLevel="0" collapsed="false">
      <c r="E197" s="34" t="str">
        <f aca="false">MID(B197,9,1)</f>
        <v/>
      </c>
      <c r="F197" s="34" t="str">
        <f aca="false">MID(B197,10,1)</f>
        <v/>
      </c>
      <c r="G197" s="34" t="str">
        <f aca="false">MID(B197,11,1)</f>
        <v/>
      </c>
      <c r="H197" s="35" t="str">
        <f aca="false">IF(G197=".",F197,CONCATENATE(F197,G197))</f>
        <v/>
      </c>
      <c r="I197" s="34" t="n">
        <f aca="false">IFERROR(VALUE(H197),)</f>
        <v>0</v>
      </c>
      <c r="J197" s="34" t="e">
        <f aca="false">RIGHT(B197,LEN(B197)-FIND("/",B197, FIND("Single Cells",B197, 1)))</f>
        <v>#VALUE!</v>
      </c>
    </row>
    <row r="198" customFormat="false" ht="12.75" hidden="false" customHeight="true" outlineLevel="0" collapsed="false">
      <c r="E198" s="34" t="str">
        <f aca="false">MID(B198,9,1)</f>
        <v/>
      </c>
      <c r="F198" s="34" t="str">
        <f aca="false">MID(B198,10,1)</f>
        <v/>
      </c>
      <c r="G198" s="34" t="str">
        <f aca="false">MID(B198,11,1)</f>
        <v/>
      </c>
      <c r="H198" s="35" t="str">
        <f aca="false">IF(G198=".",F198,CONCATENATE(F198,G198))</f>
        <v/>
      </c>
      <c r="I198" s="34" t="n">
        <f aca="false">IFERROR(VALUE(H198),)</f>
        <v>0</v>
      </c>
      <c r="J198" s="34" t="e">
        <f aca="false">RIGHT(B198,LEN(B198)-FIND("/",B198, FIND("Single Cells",B198, 1)))</f>
        <v>#VALUE!</v>
      </c>
    </row>
    <row r="199" customFormat="false" ht="12.75" hidden="false" customHeight="true" outlineLevel="0" collapsed="false">
      <c r="E199" s="34" t="str">
        <f aca="false">MID(B199,9,1)</f>
        <v/>
      </c>
      <c r="F199" s="34" t="str">
        <f aca="false">MID(B199,10,1)</f>
        <v/>
      </c>
      <c r="G199" s="34" t="str">
        <f aca="false">MID(B199,11,1)</f>
        <v/>
      </c>
      <c r="H199" s="35" t="str">
        <f aca="false">IF(G199=".",F199,CONCATENATE(F199,G199))</f>
        <v/>
      </c>
      <c r="I199" s="34" t="n">
        <f aca="false">IFERROR(VALUE(H199),)</f>
        <v>0</v>
      </c>
      <c r="J199" s="34" t="e">
        <f aca="false">RIGHT(B199,LEN(B199)-FIND("/",B199, FIND("Single Cells",B199, 1)))</f>
        <v>#VALUE!</v>
      </c>
    </row>
    <row r="200" customFormat="false" ht="12.75" hidden="false" customHeight="true" outlineLevel="0" collapsed="false">
      <c r="E200" s="34" t="str">
        <f aca="false">MID(B200,9,1)</f>
        <v/>
      </c>
      <c r="F200" s="34" t="str">
        <f aca="false">MID(B200,10,1)</f>
        <v/>
      </c>
      <c r="G200" s="34" t="str">
        <f aca="false">MID(B200,11,1)</f>
        <v/>
      </c>
      <c r="H200" s="35" t="str">
        <f aca="false">IF(G200=".",F200,CONCATENATE(F200,G200))</f>
        <v/>
      </c>
      <c r="I200" s="34" t="n">
        <f aca="false">IFERROR(VALUE(H200),)</f>
        <v>0</v>
      </c>
      <c r="J200" s="34" t="e">
        <f aca="false">RIGHT(B200,LEN(B200)-FIND("/",B200, FIND("Single Cells",B200, 1)))</f>
        <v>#VALUE!</v>
      </c>
    </row>
    <row r="201" customFormat="false" ht="12.75" hidden="false" customHeight="true" outlineLevel="0" collapsed="false">
      <c r="E201" s="34" t="str">
        <f aca="false">MID(B201,9,1)</f>
        <v/>
      </c>
      <c r="F201" s="34" t="str">
        <f aca="false">MID(B201,10,1)</f>
        <v/>
      </c>
      <c r="G201" s="34" t="str">
        <f aca="false">MID(B201,11,1)</f>
        <v/>
      </c>
      <c r="H201" s="35" t="str">
        <f aca="false">IF(G201=".",F201,CONCATENATE(F201,G201))</f>
        <v/>
      </c>
      <c r="I201" s="34" t="n">
        <f aca="false">IFERROR(VALUE(H201),)</f>
        <v>0</v>
      </c>
      <c r="J201" s="34" t="e">
        <f aca="false">RIGHT(B201,LEN(B201)-FIND("/",B201, FIND("Single Cells",B201, 1)))</f>
        <v>#VALUE!</v>
      </c>
    </row>
    <row r="202" customFormat="false" ht="12.75" hidden="false" customHeight="true" outlineLevel="0" collapsed="false">
      <c r="E202" s="34" t="str">
        <f aca="false">MID(B202,9,1)</f>
        <v/>
      </c>
      <c r="F202" s="34" t="str">
        <f aca="false">MID(B202,10,1)</f>
        <v/>
      </c>
      <c r="G202" s="34" t="str">
        <f aca="false">MID(B202,11,1)</f>
        <v/>
      </c>
      <c r="H202" s="35" t="str">
        <f aca="false">IF(G202=".",F202,CONCATENATE(F202,G202))</f>
        <v/>
      </c>
      <c r="I202" s="34" t="n">
        <f aca="false">IFERROR(VALUE(H202),)</f>
        <v>0</v>
      </c>
      <c r="J202" s="34" t="e">
        <f aca="false">RIGHT(B202,LEN(B202)-FIND("/",B202, FIND("Single Cells",B202, 1)))</f>
        <v>#VALUE!</v>
      </c>
    </row>
    <row r="203" customFormat="false" ht="12.75" hidden="false" customHeight="true" outlineLevel="0" collapsed="false">
      <c r="E203" s="34" t="str">
        <f aca="false">MID(B203,9,1)</f>
        <v/>
      </c>
      <c r="F203" s="34" t="str">
        <f aca="false">MID(B203,10,1)</f>
        <v/>
      </c>
      <c r="G203" s="34" t="str">
        <f aca="false">MID(B203,11,1)</f>
        <v/>
      </c>
      <c r="H203" s="35" t="str">
        <f aca="false">IF(G203=".",F203,CONCATENATE(F203,G203))</f>
        <v/>
      </c>
      <c r="I203" s="34" t="n">
        <f aca="false">IFERROR(VALUE(H203),)</f>
        <v>0</v>
      </c>
      <c r="J203" s="34" t="e">
        <f aca="false">RIGHT(B203,LEN(B203)-FIND("/",B203, FIND("Single Cells",B203, 1)))</f>
        <v>#VALUE!</v>
      </c>
    </row>
    <row r="204" customFormat="false" ht="12.75" hidden="false" customHeight="true" outlineLevel="0" collapsed="false">
      <c r="E204" s="34" t="str">
        <f aca="false">MID(B204,9,1)</f>
        <v/>
      </c>
      <c r="F204" s="34" t="str">
        <f aca="false">MID(B204,10,1)</f>
        <v/>
      </c>
      <c r="G204" s="34" t="str">
        <f aca="false">MID(B204,11,1)</f>
        <v/>
      </c>
      <c r="H204" s="35" t="str">
        <f aca="false">IF(G204=".",F204,CONCATENATE(F204,G204))</f>
        <v/>
      </c>
      <c r="I204" s="34" t="n">
        <f aca="false">IFERROR(VALUE(H204),)</f>
        <v>0</v>
      </c>
      <c r="J204" s="34" t="e">
        <f aca="false">RIGHT(B204,LEN(B204)-FIND("/",B204, FIND("Single Cells",B204, 1)))</f>
        <v>#VALUE!</v>
      </c>
    </row>
    <row r="205" customFormat="false" ht="12.75" hidden="false" customHeight="true" outlineLevel="0" collapsed="false">
      <c r="E205" s="34" t="str">
        <f aca="false">MID(B205,9,1)</f>
        <v/>
      </c>
      <c r="F205" s="34" t="str">
        <f aca="false">MID(B205,10,1)</f>
        <v/>
      </c>
      <c r="G205" s="34" t="str">
        <f aca="false">MID(B205,11,1)</f>
        <v/>
      </c>
      <c r="H205" s="35" t="str">
        <f aca="false">IF(G205=".",F205,CONCATENATE(F205,G205))</f>
        <v/>
      </c>
      <c r="I205" s="34" t="n">
        <f aca="false">IFERROR(VALUE(H205),)</f>
        <v>0</v>
      </c>
      <c r="J205" s="34" t="e">
        <f aca="false">RIGHT(B205,LEN(B205)-FIND("/",B205, FIND("Single Cells",B205, 1)))</f>
        <v>#VALUE!</v>
      </c>
    </row>
    <row r="206" customFormat="false" ht="12.75" hidden="false" customHeight="true" outlineLevel="0" collapsed="false">
      <c r="E206" s="34" t="str">
        <f aca="false">MID(B206,9,1)</f>
        <v/>
      </c>
      <c r="F206" s="34" t="str">
        <f aca="false">MID(B206,10,1)</f>
        <v/>
      </c>
      <c r="G206" s="34" t="str">
        <f aca="false">MID(B206,11,1)</f>
        <v/>
      </c>
      <c r="H206" s="35" t="str">
        <f aca="false">IF(G206=".",F206,CONCATENATE(F206,G206))</f>
        <v/>
      </c>
      <c r="I206" s="34" t="n">
        <f aca="false">IFERROR(VALUE(H206),)</f>
        <v>0</v>
      </c>
      <c r="J206" s="34" t="e">
        <f aca="false">RIGHT(B206,LEN(B206)-FIND("/",B206, FIND("Single Cells",B206, 1)))</f>
        <v>#VALUE!</v>
      </c>
    </row>
    <row r="207" customFormat="false" ht="12.75" hidden="false" customHeight="true" outlineLevel="0" collapsed="false">
      <c r="E207" s="34" t="str">
        <f aca="false">MID(B207,9,1)</f>
        <v/>
      </c>
      <c r="F207" s="34" t="str">
        <f aca="false">MID(B207,10,1)</f>
        <v/>
      </c>
      <c r="G207" s="34" t="str">
        <f aca="false">MID(B207,11,1)</f>
        <v/>
      </c>
      <c r="H207" s="35" t="str">
        <f aca="false">IF(G207=".",F207,CONCATENATE(F207,G207))</f>
        <v/>
      </c>
      <c r="I207" s="34" t="n">
        <f aca="false">IFERROR(VALUE(H207),)</f>
        <v>0</v>
      </c>
      <c r="J207" s="34" t="e">
        <f aca="false">RIGHT(B207,LEN(B207)-FIND("/",B207, FIND("Single Cells",B207, 1)))</f>
        <v>#VALUE!</v>
      </c>
    </row>
    <row r="208" customFormat="false" ht="12.75" hidden="false" customHeight="true" outlineLevel="0" collapsed="false">
      <c r="E208" s="34" t="str">
        <f aca="false">MID(B208,9,1)</f>
        <v/>
      </c>
      <c r="F208" s="34" t="str">
        <f aca="false">MID(B208,10,1)</f>
        <v/>
      </c>
      <c r="G208" s="34" t="str">
        <f aca="false">MID(B208,11,1)</f>
        <v/>
      </c>
      <c r="H208" s="35" t="str">
        <f aca="false">IF(G208=".",F208,CONCATENATE(F208,G208))</f>
        <v/>
      </c>
      <c r="I208" s="34" t="n">
        <f aca="false">IFERROR(VALUE(H208),)</f>
        <v>0</v>
      </c>
      <c r="J208" s="34" t="e">
        <f aca="false">RIGHT(B208,LEN(B208)-FIND("/",B208, FIND("Single Cells",B208, 1)))</f>
        <v>#VALUE!</v>
      </c>
    </row>
    <row r="209" customFormat="false" ht="12.75" hidden="false" customHeight="true" outlineLevel="0" collapsed="false">
      <c r="E209" s="34" t="str">
        <f aca="false">MID(B209,9,1)</f>
        <v/>
      </c>
      <c r="F209" s="34" t="str">
        <f aca="false">MID(B209,10,1)</f>
        <v/>
      </c>
      <c r="G209" s="34" t="str">
        <f aca="false">MID(B209,11,1)</f>
        <v/>
      </c>
      <c r="H209" s="35" t="str">
        <f aca="false">IF(G209=".",F209,CONCATENATE(F209,G209))</f>
        <v/>
      </c>
      <c r="I209" s="34" t="n">
        <f aca="false">IFERROR(VALUE(H209),)</f>
        <v>0</v>
      </c>
      <c r="J209" s="34" t="e">
        <f aca="false">RIGHT(B209,LEN(B209)-FIND("/",B209, FIND("Single Cells",B209, 1)))</f>
        <v>#VALUE!</v>
      </c>
    </row>
    <row r="210" customFormat="false" ht="12.75" hidden="false" customHeight="true" outlineLevel="0" collapsed="false">
      <c r="E210" s="34" t="str">
        <f aca="false">MID(B210,9,1)</f>
        <v/>
      </c>
      <c r="F210" s="34" t="str">
        <f aca="false">MID(B210,10,1)</f>
        <v/>
      </c>
      <c r="G210" s="34" t="str">
        <f aca="false">MID(B210,11,1)</f>
        <v/>
      </c>
      <c r="H210" s="35" t="str">
        <f aca="false">IF(G210=".",F210,CONCATENATE(F210,G210))</f>
        <v/>
      </c>
      <c r="I210" s="34" t="n">
        <f aca="false">IFERROR(VALUE(H210),)</f>
        <v>0</v>
      </c>
      <c r="J210" s="34" t="e">
        <f aca="false">RIGHT(B210,LEN(B210)-FIND("/",B210, FIND("Single Cells",B210, 1)))</f>
        <v>#VALUE!</v>
      </c>
    </row>
    <row r="211" customFormat="false" ht="12.75" hidden="false" customHeight="true" outlineLevel="0" collapsed="false">
      <c r="E211" s="34" t="str">
        <f aca="false">MID(B211,9,1)</f>
        <v/>
      </c>
      <c r="F211" s="34" t="str">
        <f aca="false">MID(B211,10,1)</f>
        <v/>
      </c>
      <c r="G211" s="34" t="str">
        <f aca="false">MID(B211,11,1)</f>
        <v/>
      </c>
      <c r="H211" s="35" t="str">
        <f aca="false">IF(G211=".",F211,CONCATENATE(F211,G211))</f>
        <v/>
      </c>
      <c r="I211" s="34" t="n">
        <f aca="false">IFERROR(VALUE(H211),)</f>
        <v>0</v>
      </c>
      <c r="J211" s="34" t="e">
        <f aca="false">RIGHT(B211,LEN(B211)-FIND("/",B211, FIND("Single Cells",B211, 1)))</f>
        <v>#VALUE!</v>
      </c>
    </row>
    <row r="212" customFormat="false" ht="12.75" hidden="false" customHeight="true" outlineLevel="0" collapsed="false">
      <c r="E212" s="34" t="str">
        <f aca="false">MID(B212,9,1)</f>
        <v/>
      </c>
      <c r="F212" s="34" t="str">
        <f aca="false">MID(B212,10,1)</f>
        <v/>
      </c>
      <c r="G212" s="34" t="str">
        <f aca="false">MID(B212,11,1)</f>
        <v/>
      </c>
      <c r="H212" s="35" t="str">
        <f aca="false">IF(G212=".",F212,CONCATENATE(F212,G212))</f>
        <v/>
      </c>
      <c r="I212" s="34" t="n">
        <f aca="false">IFERROR(VALUE(H212),)</f>
        <v>0</v>
      </c>
      <c r="J212" s="34" t="e">
        <f aca="false">RIGHT(B212,LEN(B212)-FIND("/",B212, FIND("Single Cells",B212, 1)))</f>
        <v>#VALUE!</v>
      </c>
    </row>
    <row r="213" customFormat="false" ht="12.75" hidden="false" customHeight="true" outlineLevel="0" collapsed="false">
      <c r="E213" s="34" t="str">
        <f aca="false">MID(B213,9,1)</f>
        <v/>
      </c>
      <c r="F213" s="34" t="str">
        <f aca="false">MID(B213,10,1)</f>
        <v/>
      </c>
      <c r="G213" s="34" t="str">
        <f aca="false">MID(B213,11,1)</f>
        <v/>
      </c>
      <c r="H213" s="35" t="str">
        <f aca="false">IF(G213=".",F213,CONCATENATE(F213,G213))</f>
        <v/>
      </c>
      <c r="I213" s="34" t="n">
        <f aca="false">IFERROR(VALUE(H213),)</f>
        <v>0</v>
      </c>
      <c r="J213" s="34" t="e">
        <f aca="false">RIGHT(B213,LEN(B213)-FIND("/",B213, FIND("Single Cells",B213, 1)))</f>
        <v>#VALUE!</v>
      </c>
    </row>
    <row r="214" customFormat="false" ht="12.75" hidden="false" customHeight="true" outlineLevel="0" collapsed="false">
      <c r="E214" s="34" t="str">
        <f aca="false">MID(B214,9,1)</f>
        <v/>
      </c>
      <c r="F214" s="34" t="str">
        <f aca="false">MID(B214,10,1)</f>
        <v/>
      </c>
      <c r="G214" s="34" t="str">
        <f aca="false">MID(B214,11,1)</f>
        <v/>
      </c>
      <c r="H214" s="35" t="str">
        <f aca="false">IF(G214=".",F214,CONCATENATE(F214,G214))</f>
        <v/>
      </c>
      <c r="I214" s="34" t="n">
        <f aca="false">IFERROR(VALUE(H214),)</f>
        <v>0</v>
      </c>
      <c r="J214" s="34" t="e">
        <f aca="false">RIGHT(B214,LEN(B214)-FIND("/",B214, FIND("Single Cells",B214, 1)))</f>
        <v>#VALUE!</v>
      </c>
    </row>
    <row r="215" customFormat="false" ht="12.75" hidden="false" customHeight="true" outlineLevel="0" collapsed="false">
      <c r="E215" s="34" t="str">
        <f aca="false">MID(B215,9,1)</f>
        <v/>
      </c>
      <c r="F215" s="34" t="str">
        <f aca="false">MID(B215,10,1)</f>
        <v/>
      </c>
      <c r="G215" s="34" t="str">
        <f aca="false">MID(B215,11,1)</f>
        <v/>
      </c>
      <c r="H215" s="35" t="str">
        <f aca="false">IF(G215=".",F215,CONCATENATE(F215,G215))</f>
        <v/>
      </c>
      <c r="I215" s="34" t="n">
        <f aca="false">IFERROR(VALUE(H215),)</f>
        <v>0</v>
      </c>
      <c r="J215" s="34" t="e">
        <f aca="false">RIGHT(B215,LEN(B215)-FIND("/",B215, FIND("Single Cells",B215, 1)))</f>
        <v>#VALUE!</v>
      </c>
    </row>
    <row r="216" customFormat="false" ht="12.75" hidden="false" customHeight="true" outlineLevel="0" collapsed="false">
      <c r="E216" s="34" t="str">
        <f aca="false">MID(B216,9,1)</f>
        <v/>
      </c>
      <c r="F216" s="34" t="str">
        <f aca="false">MID(B216,10,1)</f>
        <v/>
      </c>
      <c r="G216" s="34" t="str">
        <f aca="false">MID(B216,11,1)</f>
        <v/>
      </c>
      <c r="H216" s="35" t="str">
        <f aca="false">IF(G216=".",F216,CONCATENATE(F216,G216))</f>
        <v/>
      </c>
      <c r="I216" s="34" t="n">
        <f aca="false">IFERROR(VALUE(H216),)</f>
        <v>0</v>
      </c>
      <c r="J216" s="34" t="e">
        <f aca="false">RIGHT(B216,LEN(B216)-FIND("/",B216, FIND("Single Cells",B216, 1)))</f>
        <v>#VALUE!</v>
      </c>
    </row>
    <row r="217" customFormat="false" ht="12.75" hidden="false" customHeight="true" outlineLevel="0" collapsed="false">
      <c r="E217" s="34" t="str">
        <f aca="false">MID(B217,9,1)</f>
        <v/>
      </c>
      <c r="F217" s="34" t="str">
        <f aca="false">MID(B217,10,1)</f>
        <v/>
      </c>
      <c r="G217" s="34" t="str">
        <f aca="false">MID(B217,11,1)</f>
        <v/>
      </c>
      <c r="H217" s="35" t="str">
        <f aca="false">IF(G217=".",F217,CONCATENATE(F217,G217))</f>
        <v/>
      </c>
      <c r="I217" s="34" t="n">
        <f aca="false">IFERROR(VALUE(H217),)</f>
        <v>0</v>
      </c>
      <c r="J217" s="34" t="e">
        <f aca="false">RIGHT(B217,LEN(B217)-FIND("/",B217, FIND("Single Cells",B217, 1)))</f>
        <v>#VALUE!</v>
      </c>
    </row>
    <row r="218" customFormat="false" ht="12.75" hidden="false" customHeight="true" outlineLevel="0" collapsed="false">
      <c r="E218" s="34" t="str">
        <f aca="false">MID(B218,9,1)</f>
        <v/>
      </c>
      <c r="F218" s="34" t="str">
        <f aca="false">MID(B218,10,1)</f>
        <v/>
      </c>
      <c r="G218" s="34" t="str">
        <f aca="false">MID(B218,11,1)</f>
        <v/>
      </c>
      <c r="H218" s="35" t="str">
        <f aca="false">IF(G218=".",F218,CONCATENATE(F218,G218))</f>
        <v/>
      </c>
      <c r="I218" s="34" t="n">
        <f aca="false">IFERROR(VALUE(H218),)</f>
        <v>0</v>
      </c>
      <c r="J218" s="34" t="e">
        <f aca="false">RIGHT(B218,LEN(B218)-FIND("/",B218, FIND("Single Cells",B218, 1)))</f>
        <v>#VALUE!</v>
      </c>
    </row>
    <row r="219" customFormat="false" ht="12.75" hidden="false" customHeight="true" outlineLevel="0" collapsed="false">
      <c r="E219" s="34" t="str">
        <f aca="false">MID(B219,9,1)</f>
        <v/>
      </c>
      <c r="F219" s="34" t="str">
        <f aca="false">MID(B219,10,1)</f>
        <v/>
      </c>
      <c r="G219" s="34" t="str">
        <f aca="false">MID(B219,11,1)</f>
        <v/>
      </c>
      <c r="H219" s="35" t="str">
        <f aca="false">IF(G219=".",F219,CONCATENATE(F219,G219))</f>
        <v/>
      </c>
      <c r="I219" s="34" t="n">
        <f aca="false">IFERROR(VALUE(H219),)</f>
        <v>0</v>
      </c>
      <c r="J219" s="34" t="e">
        <f aca="false">RIGHT(B219,LEN(B219)-FIND("/",B219, FIND("Single Cells",B219, 1)))</f>
        <v>#VALUE!</v>
      </c>
    </row>
    <row r="220" customFormat="false" ht="12.75" hidden="false" customHeight="true" outlineLevel="0" collapsed="false">
      <c r="E220" s="34" t="str">
        <f aca="false">MID(B220,9,1)</f>
        <v/>
      </c>
      <c r="F220" s="34" t="str">
        <f aca="false">MID(B220,10,1)</f>
        <v/>
      </c>
      <c r="G220" s="34" t="str">
        <f aca="false">MID(B220,11,1)</f>
        <v/>
      </c>
      <c r="H220" s="35" t="str">
        <f aca="false">IF(G220=".",F220,CONCATENATE(F220,G220))</f>
        <v/>
      </c>
      <c r="I220" s="34" t="n">
        <f aca="false">IFERROR(VALUE(H220),)</f>
        <v>0</v>
      </c>
      <c r="J220" s="34" t="e">
        <f aca="false">RIGHT(B220,LEN(B220)-FIND("/",B220, FIND("Single Cells",B220, 1)))</f>
        <v>#VALUE!</v>
      </c>
    </row>
    <row r="221" customFormat="false" ht="12.75" hidden="false" customHeight="true" outlineLevel="0" collapsed="false">
      <c r="E221" s="34" t="str">
        <f aca="false">MID(B221,9,1)</f>
        <v/>
      </c>
      <c r="F221" s="34" t="str">
        <f aca="false">MID(B221,10,1)</f>
        <v/>
      </c>
      <c r="G221" s="34" t="str">
        <f aca="false">MID(B221,11,1)</f>
        <v/>
      </c>
      <c r="H221" s="35" t="str">
        <f aca="false">IF(G221=".",F221,CONCATENATE(F221,G221))</f>
        <v/>
      </c>
      <c r="I221" s="34" t="n">
        <f aca="false">IFERROR(VALUE(H221),)</f>
        <v>0</v>
      </c>
      <c r="J221" s="34" t="e">
        <f aca="false">RIGHT(B221,LEN(B221)-FIND("/",B221, FIND("Single Cells",B221, 1)))</f>
        <v>#VALUE!</v>
      </c>
    </row>
    <row r="222" customFormat="false" ht="12.75" hidden="false" customHeight="true" outlineLevel="0" collapsed="false">
      <c r="E222" s="34" t="str">
        <f aca="false">MID(B222,9,1)</f>
        <v/>
      </c>
      <c r="F222" s="34" t="str">
        <f aca="false">MID(B222,10,1)</f>
        <v/>
      </c>
      <c r="G222" s="34" t="str">
        <f aca="false">MID(B222,11,1)</f>
        <v/>
      </c>
      <c r="H222" s="35" t="str">
        <f aca="false">IF(G222=".",F222,CONCATENATE(F222,G222))</f>
        <v/>
      </c>
      <c r="I222" s="34" t="n">
        <f aca="false">IFERROR(VALUE(H222),)</f>
        <v>0</v>
      </c>
      <c r="J222" s="34" t="e">
        <f aca="false">RIGHT(B222,LEN(B222)-FIND("/",B222, FIND("Single Cells",B222, 1)))</f>
        <v>#VALUE!</v>
      </c>
    </row>
    <row r="223" customFormat="false" ht="12.75" hidden="false" customHeight="true" outlineLevel="0" collapsed="false">
      <c r="E223" s="34" t="str">
        <f aca="false">MID(B223,9,1)</f>
        <v/>
      </c>
      <c r="F223" s="34" t="str">
        <f aca="false">MID(B223,10,1)</f>
        <v/>
      </c>
      <c r="G223" s="34" t="str">
        <f aca="false">MID(B223,11,1)</f>
        <v/>
      </c>
      <c r="H223" s="35" t="str">
        <f aca="false">IF(G223=".",F223,CONCATENATE(F223,G223))</f>
        <v/>
      </c>
      <c r="I223" s="34" t="n">
        <f aca="false">IFERROR(VALUE(H223),)</f>
        <v>0</v>
      </c>
      <c r="J223" s="34" t="e">
        <f aca="false">RIGHT(B223,LEN(B223)-FIND("/",B223, FIND("Single Cells",B223, 1)))</f>
        <v>#VALUE!</v>
      </c>
    </row>
    <row r="224" customFormat="false" ht="12.75" hidden="false" customHeight="true" outlineLevel="0" collapsed="false">
      <c r="E224" s="34" t="str">
        <f aca="false">MID(B224,9,1)</f>
        <v/>
      </c>
      <c r="F224" s="34" t="str">
        <f aca="false">MID(B224,10,1)</f>
        <v/>
      </c>
      <c r="G224" s="34" t="str">
        <f aca="false">MID(B224,11,1)</f>
        <v/>
      </c>
      <c r="H224" s="35" t="str">
        <f aca="false">IF(G224=".",F224,CONCATENATE(F224,G224))</f>
        <v/>
      </c>
      <c r="I224" s="34" t="n">
        <f aca="false">IFERROR(VALUE(H224),)</f>
        <v>0</v>
      </c>
      <c r="J224" s="34" t="e">
        <f aca="false">RIGHT(B224,LEN(B224)-FIND("/",B224, FIND("Single Cells",B224, 1)))</f>
        <v>#VALUE!</v>
      </c>
    </row>
    <row r="225" customFormat="false" ht="12.75" hidden="false" customHeight="true" outlineLevel="0" collapsed="false">
      <c r="E225" s="34" t="str">
        <f aca="false">MID(B225,9,1)</f>
        <v/>
      </c>
      <c r="F225" s="34" t="str">
        <f aca="false">MID(B225,10,1)</f>
        <v/>
      </c>
      <c r="G225" s="34" t="str">
        <f aca="false">MID(B225,11,1)</f>
        <v/>
      </c>
      <c r="H225" s="35" t="str">
        <f aca="false">IF(G225=".",F225,CONCATENATE(F225,G225))</f>
        <v/>
      </c>
      <c r="I225" s="34" t="n">
        <f aca="false">IFERROR(VALUE(H225),)</f>
        <v>0</v>
      </c>
      <c r="J225" s="34" t="e">
        <f aca="false">RIGHT(B225,LEN(B225)-FIND("/",B225, FIND("Single Cells",B225, 1)))</f>
        <v>#VALUE!</v>
      </c>
    </row>
    <row r="226" customFormat="false" ht="12.75" hidden="false" customHeight="true" outlineLevel="0" collapsed="false">
      <c r="E226" s="34" t="str">
        <f aca="false">MID(B226,9,1)</f>
        <v/>
      </c>
      <c r="F226" s="34" t="str">
        <f aca="false">MID(B226,10,1)</f>
        <v/>
      </c>
      <c r="G226" s="34" t="str">
        <f aca="false">MID(B226,11,1)</f>
        <v/>
      </c>
      <c r="H226" s="35" t="str">
        <f aca="false">IF(G226=".",F226,CONCATENATE(F226,G226))</f>
        <v/>
      </c>
      <c r="I226" s="34" t="n">
        <f aca="false">IFERROR(VALUE(H226),)</f>
        <v>0</v>
      </c>
      <c r="J226" s="34" t="e">
        <f aca="false">RIGHT(B226,LEN(B226)-FIND("/",B226, FIND("Single Cells",B226, 1)))</f>
        <v>#VALUE!</v>
      </c>
    </row>
    <row r="227" customFormat="false" ht="12.75" hidden="false" customHeight="true" outlineLevel="0" collapsed="false">
      <c r="E227" s="34" t="str">
        <f aca="false">MID(B227,9,1)</f>
        <v/>
      </c>
      <c r="F227" s="34" t="str">
        <f aca="false">MID(B227,10,1)</f>
        <v/>
      </c>
      <c r="G227" s="34" t="str">
        <f aca="false">MID(B227,11,1)</f>
        <v/>
      </c>
      <c r="H227" s="35" t="str">
        <f aca="false">IF(G227=".",F227,CONCATENATE(F227,G227))</f>
        <v/>
      </c>
      <c r="I227" s="34" t="n">
        <f aca="false">IFERROR(VALUE(H227),)</f>
        <v>0</v>
      </c>
      <c r="J227" s="34" t="e">
        <f aca="false">RIGHT(B227,LEN(B227)-FIND("/",B227, FIND("Single Cells",B227, 1)))</f>
        <v>#VALUE!</v>
      </c>
    </row>
    <row r="228" customFormat="false" ht="12.75" hidden="false" customHeight="true" outlineLevel="0" collapsed="false">
      <c r="E228" s="34" t="str">
        <f aca="false">MID(B228,9,1)</f>
        <v/>
      </c>
      <c r="F228" s="34" t="str">
        <f aca="false">MID(B228,10,1)</f>
        <v/>
      </c>
      <c r="G228" s="34" t="str">
        <f aca="false">MID(B228,11,1)</f>
        <v/>
      </c>
      <c r="H228" s="35" t="str">
        <f aca="false">IF(G228=".",F228,CONCATENATE(F228,G228))</f>
        <v/>
      </c>
      <c r="I228" s="34" t="n">
        <f aca="false">IFERROR(VALUE(H228),)</f>
        <v>0</v>
      </c>
      <c r="J228" s="34" t="e">
        <f aca="false">RIGHT(B228,LEN(B228)-FIND("/",B228, FIND("Single Cells",B228, 1)))</f>
        <v>#VALUE!</v>
      </c>
    </row>
    <row r="229" customFormat="false" ht="12.75" hidden="false" customHeight="true" outlineLevel="0" collapsed="false">
      <c r="E229" s="34" t="str">
        <f aca="false">MID(B229,9,1)</f>
        <v/>
      </c>
      <c r="F229" s="34" t="str">
        <f aca="false">MID(B229,10,1)</f>
        <v/>
      </c>
      <c r="G229" s="34" t="str">
        <f aca="false">MID(B229,11,1)</f>
        <v/>
      </c>
      <c r="H229" s="35" t="str">
        <f aca="false">IF(G229=".",F229,CONCATENATE(F229,G229))</f>
        <v/>
      </c>
      <c r="I229" s="34" t="n">
        <f aca="false">IFERROR(VALUE(H229),)</f>
        <v>0</v>
      </c>
      <c r="J229" s="34" t="e">
        <f aca="false">RIGHT(B229,LEN(B229)-FIND("/",B229, FIND("Single Cells",B229, 1)))</f>
        <v>#VALUE!</v>
      </c>
    </row>
    <row r="230" customFormat="false" ht="12.75" hidden="false" customHeight="true" outlineLevel="0" collapsed="false">
      <c r="E230" s="34" t="str">
        <f aca="false">MID(B230,9,1)</f>
        <v/>
      </c>
      <c r="F230" s="34" t="str">
        <f aca="false">MID(B230,10,1)</f>
        <v/>
      </c>
      <c r="G230" s="34" t="str">
        <f aca="false">MID(B230,11,1)</f>
        <v/>
      </c>
      <c r="H230" s="35" t="str">
        <f aca="false">IF(G230=".",F230,CONCATENATE(F230,G230))</f>
        <v/>
      </c>
      <c r="I230" s="34" t="n">
        <f aca="false">IFERROR(VALUE(H230),)</f>
        <v>0</v>
      </c>
      <c r="J230" s="34" t="e">
        <f aca="false">RIGHT(B230,LEN(B230)-FIND("/",B230, FIND("Single Cells",B230, 1)))</f>
        <v>#VALUE!</v>
      </c>
    </row>
    <row r="231" customFormat="false" ht="12.75" hidden="false" customHeight="true" outlineLevel="0" collapsed="false">
      <c r="E231" s="34" t="str">
        <f aca="false">MID(B231,9,1)</f>
        <v/>
      </c>
      <c r="F231" s="34" t="str">
        <f aca="false">MID(B231,10,1)</f>
        <v/>
      </c>
      <c r="G231" s="34" t="str">
        <f aca="false">MID(B231,11,1)</f>
        <v/>
      </c>
      <c r="H231" s="35" t="str">
        <f aca="false">IF(G231=".",F231,CONCATENATE(F231,G231))</f>
        <v/>
      </c>
      <c r="I231" s="34" t="n">
        <f aca="false">IFERROR(VALUE(H231),)</f>
        <v>0</v>
      </c>
      <c r="J231" s="34" t="e">
        <f aca="false">RIGHT(B231,LEN(B231)-FIND("/",B231, FIND("Single Cells",B231, 1)))</f>
        <v>#VALUE!</v>
      </c>
    </row>
    <row r="232" customFormat="false" ht="12.75" hidden="false" customHeight="true" outlineLevel="0" collapsed="false">
      <c r="E232" s="34" t="str">
        <f aca="false">MID(B232,9,1)</f>
        <v/>
      </c>
      <c r="F232" s="34" t="str">
        <f aca="false">MID(B232,10,1)</f>
        <v/>
      </c>
      <c r="G232" s="34" t="str">
        <f aca="false">MID(B232,11,1)</f>
        <v/>
      </c>
      <c r="H232" s="35" t="str">
        <f aca="false">IF(G232=".",F232,CONCATENATE(F232,G232))</f>
        <v/>
      </c>
      <c r="I232" s="34" t="n">
        <f aca="false">IFERROR(VALUE(H232),)</f>
        <v>0</v>
      </c>
      <c r="J232" s="34" t="e">
        <f aca="false">RIGHT(B232,LEN(B232)-FIND("/",B232, FIND("Single Cells",B232, 1)))</f>
        <v>#VALUE!</v>
      </c>
    </row>
    <row r="233" customFormat="false" ht="12.75" hidden="false" customHeight="true" outlineLevel="0" collapsed="false">
      <c r="E233" s="34" t="str">
        <f aca="false">MID(B233,9,1)</f>
        <v/>
      </c>
      <c r="F233" s="34" t="str">
        <f aca="false">MID(B233,10,1)</f>
        <v/>
      </c>
      <c r="G233" s="34" t="str">
        <f aca="false">MID(B233,11,1)</f>
        <v/>
      </c>
      <c r="H233" s="35" t="str">
        <f aca="false">IF(G233=".",F233,CONCATENATE(F233,G233))</f>
        <v/>
      </c>
      <c r="I233" s="34" t="n">
        <f aca="false">IFERROR(VALUE(H233),)</f>
        <v>0</v>
      </c>
      <c r="J233" s="34" t="e">
        <f aca="false">RIGHT(B233,LEN(B233)-FIND("/",B233, FIND("Single Cells",B233, 1)))</f>
        <v>#VALUE!</v>
      </c>
    </row>
    <row r="234" customFormat="false" ht="12.75" hidden="false" customHeight="true" outlineLevel="0" collapsed="false">
      <c r="E234" s="34" t="str">
        <f aca="false">MID(B234,9,1)</f>
        <v/>
      </c>
      <c r="F234" s="34" t="str">
        <f aca="false">MID(B234,10,1)</f>
        <v/>
      </c>
      <c r="G234" s="34" t="str">
        <f aca="false">MID(B234,11,1)</f>
        <v/>
      </c>
      <c r="H234" s="35" t="str">
        <f aca="false">IF(G234=".",F234,CONCATENATE(F234,G234))</f>
        <v/>
      </c>
      <c r="I234" s="34" t="n">
        <f aca="false">IFERROR(VALUE(H234),)</f>
        <v>0</v>
      </c>
      <c r="J234" s="34" t="e">
        <f aca="false">RIGHT(B234,LEN(B234)-FIND("/",B234, FIND("Single Cells",B234, 1)))</f>
        <v>#VALUE!</v>
      </c>
    </row>
    <row r="235" customFormat="false" ht="12.75" hidden="false" customHeight="true" outlineLevel="0" collapsed="false">
      <c r="E235" s="34" t="str">
        <f aca="false">MID(B235,9,1)</f>
        <v/>
      </c>
      <c r="F235" s="34" t="str">
        <f aca="false">MID(B235,10,1)</f>
        <v/>
      </c>
      <c r="G235" s="34" t="str">
        <f aca="false">MID(B235,11,1)</f>
        <v/>
      </c>
      <c r="H235" s="35" t="str">
        <f aca="false">IF(G235=".",F235,CONCATENATE(F235,G235))</f>
        <v/>
      </c>
      <c r="I235" s="34" t="n">
        <f aca="false">IFERROR(VALUE(H235),)</f>
        <v>0</v>
      </c>
      <c r="J235" s="34" t="e">
        <f aca="false">RIGHT(B235,LEN(B235)-FIND("/",B235, FIND("Single Cells",B235, 1)))</f>
        <v>#VALUE!</v>
      </c>
    </row>
    <row r="236" customFormat="false" ht="12.75" hidden="false" customHeight="true" outlineLevel="0" collapsed="false">
      <c r="E236" s="34" t="str">
        <f aca="false">MID(B236,9,1)</f>
        <v/>
      </c>
      <c r="F236" s="34" t="str">
        <f aca="false">MID(B236,10,1)</f>
        <v/>
      </c>
      <c r="G236" s="34" t="str">
        <f aca="false">MID(B236,11,1)</f>
        <v/>
      </c>
      <c r="H236" s="35" t="str">
        <f aca="false">IF(G236=".",F236,CONCATENATE(F236,G236))</f>
        <v/>
      </c>
      <c r="I236" s="34" t="n">
        <f aca="false">IFERROR(VALUE(H236),)</f>
        <v>0</v>
      </c>
      <c r="J236" s="34" t="e">
        <f aca="false">RIGHT(B236,LEN(B236)-FIND("/",B236, FIND("Single Cells",B236, 1)))</f>
        <v>#VALUE!</v>
      </c>
    </row>
    <row r="237" customFormat="false" ht="12.75" hidden="false" customHeight="true" outlineLevel="0" collapsed="false">
      <c r="E237" s="34" t="str">
        <f aca="false">MID(B237,9,1)</f>
        <v/>
      </c>
      <c r="F237" s="34" t="str">
        <f aca="false">MID(B237,10,1)</f>
        <v/>
      </c>
      <c r="G237" s="34" t="str">
        <f aca="false">MID(B237,11,1)</f>
        <v/>
      </c>
      <c r="H237" s="35" t="str">
        <f aca="false">IF(G237=".",F237,CONCATENATE(F237,G237))</f>
        <v/>
      </c>
      <c r="I237" s="34" t="n">
        <f aca="false">IFERROR(VALUE(H237),)</f>
        <v>0</v>
      </c>
      <c r="J237" s="34" t="e">
        <f aca="false">RIGHT(B237,LEN(B237)-FIND("/",B237, FIND("Single Cells",B237, 1)))</f>
        <v>#VALUE!</v>
      </c>
    </row>
    <row r="238" customFormat="false" ht="12.75" hidden="false" customHeight="true" outlineLevel="0" collapsed="false">
      <c r="E238" s="34" t="str">
        <f aca="false">MID(B238,9,1)</f>
        <v/>
      </c>
      <c r="F238" s="34" t="str">
        <f aca="false">MID(B238,10,1)</f>
        <v/>
      </c>
      <c r="G238" s="34" t="str">
        <f aca="false">MID(B238,11,1)</f>
        <v/>
      </c>
      <c r="H238" s="35" t="str">
        <f aca="false">IF(G238=".",F238,CONCATENATE(F238,G238))</f>
        <v/>
      </c>
      <c r="I238" s="34" t="n">
        <f aca="false">IFERROR(VALUE(H238),)</f>
        <v>0</v>
      </c>
      <c r="J238" s="34" t="e">
        <f aca="false">RIGHT(B238,LEN(B238)-FIND("/",B238, FIND("Single Cells",B238, 1)))</f>
        <v>#VALUE!</v>
      </c>
    </row>
    <row r="239" customFormat="false" ht="12.75" hidden="false" customHeight="true" outlineLevel="0" collapsed="false">
      <c r="E239" s="34" t="str">
        <f aca="false">MID(B239,9,1)</f>
        <v/>
      </c>
      <c r="F239" s="34" t="str">
        <f aca="false">MID(B239,10,1)</f>
        <v/>
      </c>
      <c r="G239" s="34" t="str">
        <f aca="false">MID(B239,11,1)</f>
        <v/>
      </c>
      <c r="H239" s="35" t="str">
        <f aca="false">IF(G239=".",F239,CONCATENATE(F239,G239))</f>
        <v/>
      </c>
      <c r="I239" s="34" t="n">
        <f aca="false">IFERROR(VALUE(H239),)</f>
        <v>0</v>
      </c>
      <c r="J239" s="34" t="e">
        <f aca="false">RIGHT(B239,LEN(B239)-FIND("/",B239, FIND("Single Cells",B239, 1)))</f>
        <v>#VALUE!</v>
      </c>
    </row>
    <row r="240" customFormat="false" ht="12.75" hidden="false" customHeight="true" outlineLevel="0" collapsed="false">
      <c r="E240" s="34" t="str">
        <f aca="false">MID(B240,9,1)</f>
        <v/>
      </c>
      <c r="F240" s="34" t="str">
        <f aca="false">MID(B240,10,1)</f>
        <v/>
      </c>
      <c r="G240" s="34" t="str">
        <f aca="false">MID(B240,11,1)</f>
        <v/>
      </c>
      <c r="H240" s="35" t="str">
        <f aca="false">IF(G240=".",F240,CONCATENATE(F240,G240))</f>
        <v/>
      </c>
      <c r="I240" s="34" t="n">
        <f aca="false">IFERROR(VALUE(H240),)</f>
        <v>0</v>
      </c>
      <c r="J240" s="34" t="e">
        <f aca="false">RIGHT(B240,LEN(B240)-FIND("/",B240, FIND("Single Cells",B240, 1)))</f>
        <v>#VALUE!</v>
      </c>
    </row>
    <row r="241" customFormat="false" ht="12.75" hidden="false" customHeight="true" outlineLevel="0" collapsed="false">
      <c r="E241" s="34" t="str">
        <f aca="false">MID(B241,9,1)</f>
        <v/>
      </c>
      <c r="F241" s="34" t="str">
        <f aca="false">MID(B241,10,1)</f>
        <v/>
      </c>
      <c r="G241" s="34" t="str">
        <f aca="false">MID(B241,11,1)</f>
        <v/>
      </c>
      <c r="H241" s="35" t="str">
        <f aca="false">IF(G241=".",F241,CONCATENATE(F241,G241))</f>
        <v/>
      </c>
      <c r="I241" s="34" t="n">
        <f aca="false">IFERROR(VALUE(H241),)</f>
        <v>0</v>
      </c>
      <c r="J241" s="34" t="e">
        <f aca="false">RIGHT(B241,LEN(B241)-FIND("/",B241, FIND("Single Cells",B241, 1)))</f>
        <v>#VALUE!</v>
      </c>
    </row>
    <row r="242" customFormat="false" ht="12.75" hidden="false" customHeight="true" outlineLevel="0" collapsed="false">
      <c r="E242" s="34" t="str">
        <f aca="false">MID(B242,9,1)</f>
        <v/>
      </c>
      <c r="F242" s="34" t="str">
        <f aca="false">MID(B242,10,1)</f>
        <v/>
      </c>
      <c r="G242" s="34" t="str">
        <f aca="false">MID(B242,11,1)</f>
        <v/>
      </c>
      <c r="H242" s="35" t="str">
        <f aca="false">IF(G242=".",F242,CONCATENATE(F242,G242))</f>
        <v/>
      </c>
      <c r="I242" s="34" t="n">
        <f aca="false">IFERROR(VALUE(H242),)</f>
        <v>0</v>
      </c>
      <c r="J242" s="34" t="e">
        <f aca="false">RIGHT(B242,LEN(B242)-FIND("/",B242, FIND("Single Cells",B242, 1)))</f>
        <v>#VALUE!</v>
      </c>
    </row>
    <row r="243" customFormat="false" ht="12.75" hidden="false" customHeight="true" outlineLevel="0" collapsed="false">
      <c r="E243" s="34" t="str">
        <f aca="false">MID(B243,9,1)</f>
        <v/>
      </c>
      <c r="F243" s="34" t="str">
        <f aca="false">MID(B243,10,1)</f>
        <v/>
      </c>
      <c r="G243" s="34" t="str">
        <f aca="false">MID(B243,11,1)</f>
        <v/>
      </c>
      <c r="H243" s="35" t="str">
        <f aca="false">IF(G243=".",F243,CONCATENATE(F243,G243))</f>
        <v/>
      </c>
      <c r="I243" s="34" t="n">
        <f aca="false">IFERROR(VALUE(H243),)</f>
        <v>0</v>
      </c>
      <c r="J243" s="34" t="e">
        <f aca="false">RIGHT(B243,LEN(B243)-FIND("/",B243, FIND("Single Cells",B243, 1)))</f>
        <v>#VALUE!</v>
      </c>
    </row>
    <row r="244" customFormat="false" ht="12.75" hidden="false" customHeight="true" outlineLevel="0" collapsed="false">
      <c r="E244" s="34" t="str">
        <f aca="false">MID(B244,9,1)</f>
        <v/>
      </c>
      <c r="F244" s="34" t="str">
        <f aca="false">MID(B244,10,1)</f>
        <v/>
      </c>
      <c r="G244" s="34" t="str">
        <f aca="false">MID(B244,11,1)</f>
        <v/>
      </c>
      <c r="H244" s="35" t="str">
        <f aca="false">IF(G244=".",F244,CONCATENATE(F244,G244))</f>
        <v/>
      </c>
      <c r="I244" s="34" t="n">
        <f aca="false">IFERROR(VALUE(H244),)</f>
        <v>0</v>
      </c>
      <c r="J244" s="34" t="e">
        <f aca="false">RIGHT(B244,LEN(B244)-FIND("/",B244, FIND("Single Cells",B244, 1)))</f>
        <v>#VALUE!</v>
      </c>
    </row>
    <row r="245" customFormat="false" ht="12.75" hidden="false" customHeight="true" outlineLevel="0" collapsed="false">
      <c r="E245" s="34" t="str">
        <f aca="false">MID(B245,9,1)</f>
        <v/>
      </c>
      <c r="F245" s="34" t="str">
        <f aca="false">MID(B245,10,1)</f>
        <v/>
      </c>
      <c r="G245" s="34" t="str">
        <f aca="false">MID(B245,11,1)</f>
        <v/>
      </c>
      <c r="H245" s="35" t="str">
        <f aca="false">IF(G245=".",F245,CONCATENATE(F245,G245))</f>
        <v/>
      </c>
      <c r="I245" s="34" t="n">
        <f aca="false">IFERROR(VALUE(H245),)</f>
        <v>0</v>
      </c>
      <c r="J245" s="34" t="e">
        <f aca="false">RIGHT(B245,LEN(B245)-FIND("/",B245, FIND("Single Cells",B245, 1)))</f>
        <v>#VALUE!</v>
      </c>
    </row>
    <row r="246" customFormat="false" ht="12.75" hidden="false" customHeight="true" outlineLevel="0" collapsed="false">
      <c r="E246" s="34" t="str">
        <f aca="false">MID(B246,9,1)</f>
        <v/>
      </c>
      <c r="F246" s="34" t="str">
        <f aca="false">MID(B246,10,1)</f>
        <v/>
      </c>
      <c r="G246" s="34" t="str">
        <f aca="false">MID(B246,11,1)</f>
        <v/>
      </c>
      <c r="H246" s="35" t="str">
        <f aca="false">IF(G246=".",F246,CONCATENATE(F246,G246))</f>
        <v/>
      </c>
      <c r="I246" s="34" t="n">
        <f aca="false">IFERROR(VALUE(H246),)</f>
        <v>0</v>
      </c>
      <c r="J246" s="34" t="e">
        <f aca="false">RIGHT(B246,LEN(B246)-FIND("/",B246, FIND("Single Cells",B246, 1)))</f>
        <v>#VALUE!</v>
      </c>
    </row>
    <row r="247" customFormat="false" ht="12.75" hidden="false" customHeight="true" outlineLevel="0" collapsed="false">
      <c r="E247" s="34" t="str">
        <f aca="false">MID(B247,9,1)</f>
        <v/>
      </c>
      <c r="F247" s="34" t="str">
        <f aca="false">MID(B247,10,1)</f>
        <v/>
      </c>
      <c r="G247" s="34" t="str">
        <f aca="false">MID(B247,11,1)</f>
        <v/>
      </c>
      <c r="H247" s="35" t="str">
        <f aca="false">IF(G247=".",F247,CONCATENATE(F247,G247))</f>
        <v/>
      </c>
      <c r="I247" s="34" t="n">
        <f aca="false">IFERROR(VALUE(H247),)</f>
        <v>0</v>
      </c>
      <c r="J247" s="34" t="e">
        <f aca="false">RIGHT(B247,LEN(B247)-FIND("/",B247, FIND("Single Cells",B247, 1)))</f>
        <v>#VALUE!</v>
      </c>
    </row>
    <row r="248" customFormat="false" ht="12.75" hidden="false" customHeight="true" outlineLevel="0" collapsed="false">
      <c r="E248" s="34" t="str">
        <f aca="false">MID(B248,9,1)</f>
        <v/>
      </c>
      <c r="F248" s="34" t="str">
        <f aca="false">MID(B248,10,1)</f>
        <v/>
      </c>
      <c r="G248" s="34" t="str">
        <f aca="false">MID(B248,11,1)</f>
        <v/>
      </c>
      <c r="H248" s="35" t="str">
        <f aca="false">IF(G248=".",F248,CONCATENATE(F248,G248))</f>
        <v/>
      </c>
      <c r="I248" s="34" t="n">
        <f aca="false">IFERROR(VALUE(H248),)</f>
        <v>0</v>
      </c>
      <c r="J248" s="34" t="e">
        <f aca="false">RIGHT(B248,LEN(B248)-FIND("/",B248, FIND("Single Cells",B248, 1)))</f>
        <v>#VALUE!</v>
      </c>
    </row>
    <row r="249" customFormat="false" ht="12.75" hidden="false" customHeight="true" outlineLevel="0" collapsed="false">
      <c r="E249" s="34" t="str">
        <f aca="false">MID(B249,9,1)</f>
        <v/>
      </c>
      <c r="F249" s="34" t="str">
        <f aca="false">MID(B249,10,1)</f>
        <v/>
      </c>
      <c r="G249" s="34" t="str">
        <f aca="false">MID(B249,11,1)</f>
        <v/>
      </c>
      <c r="H249" s="35" t="str">
        <f aca="false">IF(G249=".",F249,CONCATENATE(F249,G249))</f>
        <v/>
      </c>
      <c r="I249" s="34" t="n">
        <f aca="false">IFERROR(VALUE(H249),)</f>
        <v>0</v>
      </c>
      <c r="J249" s="34" t="e">
        <f aca="false">RIGHT(B249,LEN(B249)-FIND("/",B249, FIND("Single Cells",B249, 1)))</f>
        <v>#VALUE!</v>
      </c>
    </row>
    <row r="250" customFormat="false" ht="12.75" hidden="false" customHeight="true" outlineLevel="0" collapsed="false">
      <c r="E250" s="34" t="str">
        <f aca="false">MID(B250,9,1)</f>
        <v/>
      </c>
      <c r="F250" s="34" t="str">
        <f aca="false">MID(B250,10,1)</f>
        <v/>
      </c>
      <c r="G250" s="34" t="str">
        <f aca="false">MID(B250,11,1)</f>
        <v/>
      </c>
      <c r="H250" s="35" t="str">
        <f aca="false">IF(G250=".",F250,CONCATENATE(F250,G250))</f>
        <v/>
      </c>
      <c r="I250" s="34" t="n">
        <f aca="false">IFERROR(VALUE(H250),)</f>
        <v>0</v>
      </c>
      <c r="J250" s="34" t="e">
        <f aca="false">RIGHT(B250,LEN(B250)-FIND("/",B250, FIND("Single Cells",B250, 1)))</f>
        <v>#VALUE!</v>
      </c>
    </row>
    <row r="251" customFormat="false" ht="12.75" hidden="false" customHeight="true" outlineLevel="0" collapsed="false">
      <c r="E251" s="34" t="str">
        <f aca="false">MID(B251,9,1)</f>
        <v/>
      </c>
      <c r="F251" s="34" t="str">
        <f aca="false">MID(B251,10,1)</f>
        <v/>
      </c>
      <c r="G251" s="34" t="str">
        <f aca="false">MID(B251,11,1)</f>
        <v/>
      </c>
      <c r="H251" s="35" t="str">
        <f aca="false">IF(G251=".",F251,CONCATENATE(F251,G251))</f>
        <v/>
      </c>
      <c r="I251" s="34" t="n">
        <f aca="false">IFERROR(VALUE(H251),)</f>
        <v>0</v>
      </c>
      <c r="J251" s="34" t="e">
        <f aca="false">RIGHT(B251,LEN(B251)-FIND("/",B251, FIND("Single Cells",B251, 1)))</f>
        <v>#VALUE!</v>
      </c>
    </row>
    <row r="252" customFormat="false" ht="12.75" hidden="false" customHeight="true" outlineLevel="0" collapsed="false">
      <c r="E252" s="34" t="str">
        <f aca="false">MID(B252,9,1)</f>
        <v/>
      </c>
      <c r="F252" s="34" t="str">
        <f aca="false">MID(B252,10,1)</f>
        <v/>
      </c>
      <c r="G252" s="34" t="str">
        <f aca="false">MID(B252,11,1)</f>
        <v/>
      </c>
      <c r="H252" s="35" t="str">
        <f aca="false">IF(G252=".",F252,CONCATENATE(F252,G252))</f>
        <v/>
      </c>
      <c r="I252" s="34" t="n">
        <f aca="false">IFERROR(VALUE(H252),)</f>
        <v>0</v>
      </c>
      <c r="J252" s="34" t="e">
        <f aca="false">RIGHT(B252,LEN(B252)-FIND("/",B252, FIND("Single Cells",B252, 1)))</f>
        <v>#VALUE!</v>
      </c>
    </row>
    <row r="253" customFormat="false" ht="12.75" hidden="false" customHeight="true" outlineLevel="0" collapsed="false">
      <c r="E253" s="34" t="str">
        <f aca="false">MID(B253,9,1)</f>
        <v/>
      </c>
      <c r="F253" s="34" t="str">
        <f aca="false">MID(B253,10,1)</f>
        <v/>
      </c>
      <c r="G253" s="34" t="str">
        <f aca="false">MID(B253,11,1)</f>
        <v/>
      </c>
      <c r="H253" s="35" t="str">
        <f aca="false">IF(G253=".",F253,CONCATENATE(F253,G253))</f>
        <v/>
      </c>
      <c r="I253" s="34" t="n">
        <f aca="false">IFERROR(VALUE(H253),)</f>
        <v>0</v>
      </c>
      <c r="J253" s="34" t="e">
        <f aca="false">RIGHT(B253,LEN(B253)-FIND("/",B253, FIND("Single Cells",B253, 1)))</f>
        <v>#VALUE!</v>
      </c>
    </row>
    <row r="254" customFormat="false" ht="12.75" hidden="false" customHeight="true" outlineLevel="0" collapsed="false">
      <c r="E254" s="34" t="str">
        <f aca="false">MID(B254,9,1)</f>
        <v/>
      </c>
      <c r="F254" s="34" t="str">
        <f aca="false">MID(B254,10,1)</f>
        <v/>
      </c>
      <c r="G254" s="34" t="str">
        <f aca="false">MID(B254,11,1)</f>
        <v/>
      </c>
      <c r="H254" s="35" t="str">
        <f aca="false">IF(G254=".",F254,CONCATENATE(F254,G254))</f>
        <v/>
      </c>
      <c r="I254" s="34" t="n">
        <f aca="false">IFERROR(VALUE(H254),)</f>
        <v>0</v>
      </c>
      <c r="J254" s="34" t="e">
        <f aca="false">RIGHT(B254,LEN(B254)-FIND("/",B254, FIND("Single Cells",B254, 1)))</f>
        <v>#VALUE!</v>
      </c>
    </row>
    <row r="255" customFormat="false" ht="12.75" hidden="false" customHeight="true" outlineLevel="0" collapsed="false">
      <c r="E255" s="34" t="str">
        <f aca="false">MID(B255,9,1)</f>
        <v/>
      </c>
      <c r="F255" s="34" t="str">
        <f aca="false">MID(B255,10,1)</f>
        <v/>
      </c>
      <c r="G255" s="34" t="str">
        <f aca="false">MID(B255,11,1)</f>
        <v/>
      </c>
      <c r="H255" s="35" t="str">
        <f aca="false">IF(G255=".",F255,CONCATENATE(F255,G255))</f>
        <v/>
      </c>
      <c r="I255" s="34" t="n">
        <f aca="false">IFERROR(VALUE(H255),)</f>
        <v>0</v>
      </c>
      <c r="J255" s="34" t="e">
        <f aca="false">RIGHT(B255,LEN(B255)-FIND("/",B255, FIND("Single Cells",B255, 1)))</f>
        <v>#VALUE!</v>
      </c>
    </row>
    <row r="256" customFormat="false" ht="12.75" hidden="false" customHeight="true" outlineLevel="0" collapsed="false">
      <c r="E256" s="34" t="str">
        <f aca="false">MID(B256,9,1)</f>
        <v/>
      </c>
      <c r="F256" s="34" t="str">
        <f aca="false">MID(B256,10,1)</f>
        <v/>
      </c>
      <c r="G256" s="34" t="str">
        <f aca="false">MID(B256,11,1)</f>
        <v/>
      </c>
      <c r="H256" s="35" t="str">
        <f aca="false">IF(G256=".",F256,CONCATENATE(F256,G256))</f>
        <v/>
      </c>
      <c r="I256" s="34" t="n">
        <f aca="false">IFERROR(VALUE(H256),)</f>
        <v>0</v>
      </c>
      <c r="J256" s="34" t="e">
        <f aca="false">RIGHT(B256,LEN(B256)-FIND("/",B256, FIND("Single Cells",B256, 1)))</f>
        <v>#VALUE!</v>
      </c>
    </row>
    <row r="257" customFormat="false" ht="12.75" hidden="false" customHeight="true" outlineLevel="0" collapsed="false">
      <c r="E257" s="34" t="str">
        <f aca="false">MID(B257,9,1)</f>
        <v/>
      </c>
      <c r="F257" s="34" t="str">
        <f aca="false">MID(B257,10,1)</f>
        <v/>
      </c>
      <c r="G257" s="34" t="str">
        <f aca="false">MID(B257,11,1)</f>
        <v/>
      </c>
      <c r="H257" s="35" t="str">
        <f aca="false">IF(G257=".",F257,CONCATENATE(F257,G257))</f>
        <v/>
      </c>
      <c r="I257" s="34" t="n">
        <f aca="false">IFERROR(VALUE(H257),)</f>
        <v>0</v>
      </c>
      <c r="J257" s="34" t="e">
        <f aca="false">RIGHT(B257,LEN(B257)-FIND("/",B257, FIND("Single Cells",B257, 1)))</f>
        <v>#VALUE!</v>
      </c>
    </row>
    <row r="258" customFormat="false" ht="12.75" hidden="false" customHeight="true" outlineLevel="0" collapsed="false">
      <c r="E258" s="34" t="str">
        <f aca="false">MID(B258,9,1)</f>
        <v/>
      </c>
      <c r="F258" s="34" t="str">
        <f aca="false">MID(B258,10,1)</f>
        <v/>
      </c>
      <c r="G258" s="34" t="str">
        <f aca="false">MID(B258,11,1)</f>
        <v/>
      </c>
      <c r="H258" s="35" t="str">
        <f aca="false">IF(G258=".",F258,CONCATENATE(F258,G258))</f>
        <v/>
      </c>
      <c r="I258" s="34" t="n">
        <f aca="false">IFERROR(VALUE(H258),)</f>
        <v>0</v>
      </c>
      <c r="J258" s="34" t="e">
        <f aca="false">RIGHT(B258,LEN(B258)-FIND("/",B258, FIND("Single Cells",B258, 1)))</f>
        <v>#VALUE!</v>
      </c>
    </row>
    <row r="259" customFormat="false" ht="12.75" hidden="false" customHeight="true" outlineLevel="0" collapsed="false">
      <c r="E259" s="34" t="str">
        <f aca="false">MID(B259,9,1)</f>
        <v/>
      </c>
      <c r="F259" s="34" t="str">
        <f aca="false">MID(B259,10,1)</f>
        <v/>
      </c>
      <c r="G259" s="34" t="str">
        <f aca="false">MID(B259,11,1)</f>
        <v/>
      </c>
      <c r="H259" s="35" t="str">
        <f aca="false">IF(G259=".",F259,CONCATENATE(F259,G259))</f>
        <v/>
      </c>
      <c r="I259" s="34" t="n">
        <f aca="false">IFERROR(VALUE(H259),)</f>
        <v>0</v>
      </c>
      <c r="J259" s="34" t="e">
        <f aca="false">RIGHT(B259,LEN(B259)-FIND("/",B259, FIND("Single Cells",B259, 1)))</f>
        <v>#VALUE!</v>
      </c>
    </row>
    <row r="260" customFormat="false" ht="12.75" hidden="false" customHeight="true" outlineLevel="0" collapsed="false">
      <c r="E260" s="34" t="str">
        <f aca="false">MID(B260,9,1)</f>
        <v/>
      </c>
      <c r="F260" s="34" t="str">
        <f aca="false">MID(B260,10,1)</f>
        <v/>
      </c>
      <c r="G260" s="34" t="str">
        <f aca="false">MID(B260,11,1)</f>
        <v/>
      </c>
      <c r="H260" s="35" t="str">
        <f aca="false">IF(G260=".",F260,CONCATENATE(F260,G260))</f>
        <v/>
      </c>
      <c r="I260" s="34" t="n">
        <f aca="false">IFERROR(VALUE(H260),)</f>
        <v>0</v>
      </c>
      <c r="J260" s="34" t="e">
        <f aca="false">RIGHT(B260,LEN(B260)-FIND("/",B260, FIND("Single Cells",B260, 1)))</f>
        <v>#VALUE!</v>
      </c>
    </row>
    <row r="261" customFormat="false" ht="12.75" hidden="false" customHeight="true" outlineLevel="0" collapsed="false">
      <c r="E261" s="34" t="str">
        <f aca="false">MID(B261,9,1)</f>
        <v/>
      </c>
      <c r="F261" s="34" t="str">
        <f aca="false">MID(B261,10,1)</f>
        <v/>
      </c>
      <c r="G261" s="34" t="str">
        <f aca="false">MID(B261,11,1)</f>
        <v/>
      </c>
      <c r="H261" s="35" t="str">
        <f aca="false">IF(G261=".",F261,CONCATENATE(F261,G261))</f>
        <v/>
      </c>
      <c r="I261" s="34" t="n">
        <f aca="false">IFERROR(VALUE(H261),)</f>
        <v>0</v>
      </c>
      <c r="J261" s="34" t="e">
        <f aca="false">RIGHT(B261,LEN(B261)-FIND("/",B261, FIND("Single Cells",B261, 1)))</f>
        <v>#VALUE!</v>
      </c>
    </row>
    <row r="262" customFormat="false" ht="12.75" hidden="false" customHeight="true" outlineLevel="0" collapsed="false">
      <c r="E262" s="34" t="str">
        <f aca="false">MID(B262,9,1)</f>
        <v/>
      </c>
      <c r="F262" s="34" t="str">
        <f aca="false">MID(B262,10,1)</f>
        <v/>
      </c>
      <c r="G262" s="34" t="str">
        <f aca="false">MID(B262,11,1)</f>
        <v/>
      </c>
      <c r="H262" s="35" t="str">
        <f aca="false">IF(G262=".",F262,CONCATENATE(F262,G262))</f>
        <v/>
      </c>
      <c r="I262" s="34" t="n">
        <f aca="false">IFERROR(VALUE(H262),)</f>
        <v>0</v>
      </c>
      <c r="J262" s="34" t="e">
        <f aca="false">RIGHT(B262,LEN(B262)-FIND("/",B262, FIND("Single Cells",B262, 1)))</f>
        <v>#VALUE!</v>
      </c>
    </row>
    <row r="263" customFormat="false" ht="12.75" hidden="false" customHeight="true" outlineLevel="0" collapsed="false">
      <c r="E263" s="34" t="str">
        <f aca="false">MID(B263,9,1)</f>
        <v/>
      </c>
      <c r="F263" s="34" t="str">
        <f aca="false">MID(B263,10,1)</f>
        <v/>
      </c>
      <c r="G263" s="34" t="str">
        <f aca="false">MID(B263,11,1)</f>
        <v/>
      </c>
      <c r="H263" s="35" t="str">
        <f aca="false">IF(G263=".",F263,CONCATENATE(F263,G263))</f>
        <v/>
      </c>
      <c r="I263" s="34" t="n">
        <f aca="false">IFERROR(VALUE(H263),)</f>
        <v>0</v>
      </c>
      <c r="J263" s="34" t="e">
        <f aca="false">RIGHT(B263,LEN(B263)-FIND("/",B263, FIND("Single Cells",B263, 1)))</f>
        <v>#VALUE!</v>
      </c>
    </row>
    <row r="264" customFormat="false" ht="12.75" hidden="false" customHeight="true" outlineLevel="0" collapsed="false">
      <c r="E264" s="34" t="str">
        <f aca="false">MID(B264,9,1)</f>
        <v/>
      </c>
      <c r="F264" s="34" t="str">
        <f aca="false">MID(B264,10,1)</f>
        <v/>
      </c>
      <c r="G264" s="34" t="str">
        <f aca="false">MID(B264,11,1)</f>
        <v/>
      </c>
      <c r="H264" s="35" t="str">
        <f aca="false">IF(G264=".",F264,CONCATENATE(F264,G264))</f>
        <v/>
      </c>
      <c r="I264" s="34" t="n">
        <f aca="false">IFERROR(VALUE(H264),)</f>
        <v>0</v>
      </c>
      <c r="J264" s="34" t="e">
        <f aca="false">RIGHT(B264,LEN(B264)-FIND("/",B264, FIND("Single Cells",B264, 1)))</f>
        <v>#VALUE!</v>
      </c>
    </row>
    <row r="265" customFormat="false" ht="12.75" hidden="false" customHeight="true" outlineLevel="0" collapsed="false">
      <c r="E265" s="34" t="str">
        <f aca="false">MID(B265,9,1)</f>
        <v/>
      </c>
      <c r="F265" s="34" t="str">
        <f aca="false">MID(B265,10,1)</f>
        <v/>
      </c>
      <c r="G265" s="34" t="str">
        <f aca="false">MID(B265,11,1)</f>
        <v/>
      </c>
      <c r="H265" s="35" t="str">
        <f aca="false">IF(G265=".",F265,CONCATENATE(F265,G265))</f>
        <v/>
      </c>
      <c r="I265" s="34" t="n">
        <f aca="false">IFERROR(VALUE(H265),)</f>
        <v>0</v>
      </c>
      <c r="J265" s="34" t="e">
        <f aca="false">RIGHT(B265,LEN(B265)-FIND("/",B265, FIND("Single Cells",B265, 1)))</f>
        <v>#VALUE!</v>
      </c>
    </row>
    <row r="266" customFormat="false" ht="12.75" hidden="false" customHeight="true" outlineLevel="0" collapsed="false">
      <c r="E266" s="34" t="str">
        <f aca="false">MID(B266,9,1)</f>
        <v/>
      </c>
      <c r="F266" s="34" t="str">
        <f aca="false">MID(B266,10,1)</f>
        <v/>
      </c>
      <c r="G266" s="34" t="str">
        <f aca="false">MID(B266,11,1)</f>
        <v/>
      </c>
      <c r="H266" s="35" t="str">
        <f aca="false">IF(G266=".",F266,CONCATENATE(F266,G266))</f>
        <v/>
      </c>
      <c r="I266" s="34" t="n">
        <f aca="false">IFERROR(VALUE(H266),)</f>
        <v>0</v>
      </c>
      <c r="J266" s="34" t="e">
        <f aca="false">RIGHT(B266,LEN(B266)-FIND("/",B266, FIND("Single Cells",B266, 1)))</f>
        <v>#VALUE!</v>
      </c>
    </row>
    <row r="267" customFormat="false" ht="12.75" hidden="false" customHeight="true" outlineLevel="0" collapsed="false">
      <c r="E267" s="34" t="str">
        <f aca="false">MID(B267,9,1)</f>
        <v/>
      </c>
      <c r="F267" s="34" t="str">
        <f aca="false">MID(B267,10,1)</f>
        <v/>
      </c>
      <c r="G267" s="34" t="str">
        <f aca="false">MID(B267,11,1)</f>
        <v/>
      </c>
      <c r="H267" s="35" t="str">
        <f aca="false">IF(G267=".",F267,CONCATENATE(F267,G267))</f>
        <v/>
      </c>
      <c r="I267" s="34" t="n">
        <f aca="false">IFERROR(VALUE(H267),)</f>
        <v>0</v>
      </c>
      <c r="J267" s="34" t="e">
        <f aca="false">RIGHT(B267,LEN(B267)-FIND("/",B267, FIND("Single Cells",B267, 1)))</f>
        <v>#VALUE!</v>
      </c>
    </row>
    <row r="268" customFormat="false" ht="12.75" hidden="false" customHeight="true" outlineLevel="0" collapsed="false">
      <c r="E268" s="34" t="str">
        <f aca="false">MID(B268,9,1)</f>
        <v/>
      </c>
      <c r="F268" s="34" t="str">
        <f aca="false">MID(B268,10,1)</f>
        <v/>
      </c>
      <c r="G268" s="34" t="str">
        <f aca="false">MID(B268,11,1)</f>
        <v/>
      </c>
      <c r="H268" s="35" t="str">
        <f aca="false">IF(G268=".",F268,CONCATENATE(F268,G268))</f>
        <v/>
      </c>
      <c r="I268" s="34" t="n">
        <f aca="false">IFERROR(VALUE(H268),)</f>
        <v>0</v>
      </c>
      <c r="J268" s="34" t="e">
        <f aca="false">RIGHT(B268,LEN(B268)-FIND("/",B268, FIND("Single Cells",B268, 1)))</f>
        <v>#VALUE!</v>
      </c>
    </row>
    <row r="269" customFormat="false" ht="12.75" hidden="false" customHeight="true" outlineLevel="0" collapsed="false">
      <c r="E269" s="34" t="str">
        <f aca="false">MID(B269,9,1)</f>
        <v/>
      </c>
      <c r="F269" s="34" t="str">
        <f aca="false">MID(B269,10,1)</f>
        <v/>
      </c>
      <c r="G269" s="34" t="str">
        <f aca="false">MID(B269,11,1)</f>
        <v/>
      </c>
      <c r="H269" s="35" t="str">
        <f aca="false">IF(G269=".",F269,CONCATENATE(F269,G269))</f>
        <v/>
      </c>
      <c r="I269" s="34" t="n">
        <f aca="false">IFERROR(VALUE(H269),)</f>
        <v>0</v>
      </c>
      <c r="J269" s="34" t="e">
        <f aca="false">RIGHT(B269,LEN(B269)-FIND("/",B269, FIND("Single Cells",B269, 1)))</f>
        <v>#VALUE!</v>
      </c>
    </row>
    <row r="270" customFormat="false" ht="12.75" hidden="false" customHeight="true" outlineLevel="0" collapsed="false">
      <c r="E270" s="34" t="str">
        <f aca="false">MID(B270,9,1)</f>
        <v/>
      </c>
      <c r="F270" s="34" t="str">
        <f aca="false">MID(B270,10,1)</f>
        <v/>
      </c>
      <c r="G270" s="34" t="str">
        <f aca="false">MID(B270,11,1)</f>
        <v/>
      </c>
      <c r="H270" s="35" t="str">
        <f aca="false">IF(G270=".",F270,CONCATENATE(F270,G270))</f>
        <v/>
      </c>
      <c r="I270" s="34" t="n">
        <f aca="false">IFERROR(VALUE(H270),)</f>
        <v>0</v>
      </c>
      <c r="J270" s="34" t="e">
        <f aca="false">RIGHT(B270,LEN(B270)-FIND("/",B270, FIND("Single Cells",B270, 1)))</f>
        <v>#VALUE!</v>
      </c>
    </row>
    <row r="271" customFormat="false" ht="12.75" hidden="false" customHeight="true" outlineLevel="0" collapsed="false">
      <c r="E271" s="34" t="str">
        <f aca="false">MID(B271,9,1)</f>
        <v/>
      </c>
      <c r="F271" s="34" t="str">
        <f aca="false">MID(B271,10,1)</f>
        <v/>
      </c>
      <c r="G271" s="34" t="str">
        <f aca="false">MID(B271,11,1)</f>
        <v/>
      </c>
      <c r="H271" s="35" t="str">
        <f aca="false">IF(G271=".",F271,CONCATENATE(F271,G271))</f>
        <v/>
      </c>
      <c r="I271" s="34" t="n">
        <f aca="false">IFERROR(VALUE(H271),)</f>
        <v>0</v>
      </c>
      <c r="J271" s="34" t="e">
        <f aca="false">RIGHT(B271,LEN(B271)-FIND("/",B271, FIND("Single Cells",B271, 1)))</f>
        <v>#VALUE!</v>
      </c>
    </row>
    <row r="272" customFormat="false" ht="12.75" hidden="false" customHeight="true" outlineLevel="0" collapsed="false">
      <c r="E272" s="34" t="str">
        <f aca="false">MID(B272,9,1)</f>
        <v/>
      </c>
      <c r="F272" s="34" t="str">
        <f aca="false">MID(B272,10,1)</f>
        <v/>
      </c>
      <c r="G272" s="34" t="str">
        <f aca="false">MID(B272,11,1)</f>
        <v/>
      </c>
      <c r="H272" s="35" t="str">
        <f aca="false">IF(G272=".",F272,CONCATENATE(F272,G272))</f>
        <v/>
      </c>
      <c r="I272" s="34" t="n">
        <f aca="false">IFERROR(VALUE(H272),)</f>
        <v>0</v>
      </c>
      <c r="J272" s="34" t="e">
        <f aca="false">RIGHT(B272,LEN(B272)-FIND("/",B272, FIND("Single Cells",B272, 1)))</f>
        <v>#VALUE!</v>
      </c>
    </row>
    <row r="273" customFormat="false" ht="12.75" hidden="false" customHeight="true" outlineLevel="0" collapsed="false">
      <c r="E273" s="34" t="str">
        <f aca="false">MID(B273,9,1)</f>
        <v/>
      </c>
      <c r="F273" s="34" t="str">
        <f aca="false">MID(B273,10,1)</f>
        <v/>
      </c>
      <c r="G273" s="34" t="str">
        <f aca="false">MID(B273,11,1)</f>
        <v/>
      </c>
      <c r="H273" s="35" t="str">
        <f aca="false">IF(G273=".",F273,CONCATENATE(F273,G273))</f>
        <v/>
      </c>
      <c r="I273" s="34" t="n">
        <f aca="false">IFERROR(VALUE(H273),)</f>
        <v>0</v>
      </c>
      <c r="J273" s="34" t="e">
        <f aca="false">RIGHT(B273,LEN(B273)-FIND("/",B273, FIND("Single Cells",B273, 1)))</f>
        <v>#VALUE!</v>
      </c>
    </row>
    <row r="274" customFormat="false" ht="12.75" hidden="false" customHeight="true" outlineLevel="0" collapsed="false">
      <c r="E274" s="34" t="str">
        <f aca="false">MID(B274,9,1)</f>
        <v/>
      </c>
      <c r="F274" s="34" t="str">
        <f aca="false">MID(B274,10,1)</f>
        <v/>
      </c>
      <c r="G274" s="34" t="str">
        <f aca="false">MID(B274,11,1)</f>
        <v/>
      </c>
      <c r="H274" s="35" t="str">
        <f aca="false">IF(G274=".",F274,CONCATENATE(F274,G274))</f>
        <v/>
      </c>
      <c r="I274" s="34" t="n">
        <f aca="false">IFERROR(VALUE(H274),)</f>
        <v>0</v>
      </c>
      <c r="J274" s="34" t="e">
        <f aca="false">RIGHT(B274,LEN(B274)-FIND("/",B274, FIND("Single Cells",B274, 1)))</f>
        <v>#VALUE!</v>
      </c>
    </row>
    <row r="275" customFormat="false" ht="12.75" hidden="false" customHeight="true" outlineLevel="0" collapsed="false">
      <c r="E275" s="34" t="str">
        <f aca="false">MID(B275,9,1)</f>
        <v/>
      </c>
      <c r="F275" s="34" t="str">
        <f aca="false">MID(B275,10,1)</f>
        <v/>
      </c>
      <c r="G275" s="34" t="str">
        <f aca="false">MID(B275,11,1)</f>
        <v/>
      </c>
      <c r="H275" s="35" t="str">
        <f aca="false">IF(G275=".",F275,CONCATENATE(F275,G275))</f>
        <v/>
      </c>
      <c r="I275" s="34" t="n">
        <f aca="false">IFERROR(VALUE(H275),)</f>
        <v>0</v>
      </c>
      <c r="J275" s="34" t="e">
        <f aca="false">RIGHT(B275,LEN(B275)-FIND("/",B275, FIND("Single Cells",B275, 1)))</f>
        <v>#VALUE!</v>
      </c>
    </row>
    <row r="276" customFormat="false" ht="12.75" hidden="false" customHeight="true" outlineLevel="0" collapsed="false">
      <c r="E276" s="34" t="str">
        <f aca="false">MID(B276,9,1)</f>
        <v/>
      </c>
      <c r="F276" s="34" t="str">
        <f aca="false">MID(B276,10,1)</f>
        <v/>
      </c>
      <c r="G276" s="34" t="str">
        <f aca="false">MID(B276,11,1)</f>
        <v/>
      </c>
      <c r="H276" s="35" t="str">
        <f aca="false">IF(G276=".",F276,CONCATENATE(F276,G276))</f>
        <v/>
      </c>
      <c r="I276" s="34" t="n">
        <f aca="false">IFERROR(VALUE(H276),)</f>
        <v>0</v>
      </c>
      <c r="J276" s="34" t="e">
        <f aca="false">RIGHT(B276,LEN(B276)-FIND("/",B276, FIND("Single Cells",B276, 1)))</f>
        <v>#VALUE!</v>
      </c>
    </row>
    <row r="277" customFormat="false" ht="12.75" hidden="false" customHeight="true" outlineLevel="0" collapsed="false">
      <c r="E277" s="34" t="str">
        <f aca="false">MID(B277,9,1)</f>
        <v/>
      </c>
      <c r="F277" s="34" t="str">
        <f aca="false">MID(B277,10,1)</f>
        <v/>
      </c>
      <c r="G277" s="34" t="str">
        <f aca="false">MID(B277,11,1)</f>
        <v/>
      </c>
      <c r="H277" s="35" t="str">
        <f aca="false">IF(G277=".",F277,CONCATENATE(F277,G277))</f>
        <v/>
      </c>
      <c r="I277" s="34" t="n">
        <f aca="false">IFERROR(VALUE(H277),)</f>
        <v>0</v>
      </c>
      <c r="J277" s="34" t="e">
        <f aca="false">RIGHT(B277,LEN(B277)-FIND("/",B277, FIND("Single Cells",B277, 1)))</f>
        <v>#VALUE!</v>
      </c>
    </row>
    <row r="278" customFormat="false" ht="12.75" hidden="false" customHeight="true" outlineLevel="0" collapsed="false">
      <c r="E278" s="34" t="str">
        <f aca="false">MID(B278,9,1)</f>
        <v/>
      </c>
      <c r="F278" s="34" t="str">
        <f aca="false">MID(B278,10,1)</f>
        <v/>
      </c>
      <c r="G278" s="34" t="str">
        <f aca="false">MID(B278,11,1)</f>
        <v/>
      </c>
      <c r="H278" s="35" t="str">
        <f aca="false">IF(G278=".",F278,CONCATENATE(F278,G278))</f>
        <v/>
      </c>
      <c r="I278" s="34" t="n">
        <f aca="false">IFERROR(VALUE(H278),)</f>
        <v>0</v>
      </c>
      <c r="J278" s="34" t="e">
        <f aca="false">RIGHT(B278,LEN(B278)-FIND("/",B278, FIND("Single Cells",B278, 1)))</f>
        <v>#VALUE!</v>
      </c>
    </row>
    <row r="279" customFormat="false" ht="12.75" hidden="false" customHeight="true" outlineLevel="0" collapsed="false">
      <c r="E279" s="34" t="str">
        <f aca="false">MID(B279,9,1)</f>
        <v/>
      </c>
      <c r="F279" s="34" t="str">
        <f aca="false">MID(B279,10,1)</f>
        <v/>
      </c>
      <c r="G279" s="34" t="str">
        <f aca="false">MID(B279,11,1)</f>
        <v/>
      </c>
      <c r="H279" s="35" t="str">
        <f aca="false">IF(G279=".",F279,CONCATENATE(F279,G279))</f>
        <v/>
      </c>
      <c r="I279" s="34" t="n">
        <f aca="false">IFERROR(VALUE(H279),)</f>
        <v>0</v>
      </c>
      <c r="J279" s="34" t="e">
        <f aca="false">RIGHT(B279,LEN(B279)-FIND("/",B279, FIND("Single Cells",B279, 1)))</f>
        <v>#VALUE!</v>
      </c>
    </row>
    <row r="280" customFormat="false" ht="12.75" hidden="false" customHeight="true" outlineLevel="0" collapsed="false">
      <c r="E280" s="34" t="str">
        <f aca="false">MID(B280,9,1)</f>
        <v/>
      </c>
      <c r="F280" s="34" t="str">
        <f aca="false">MID(B280,10,1)</f>
        <v/>
      </c>
      <c r="G280" s="34" t="str">
        <f aca="false">MID(B280,11,1)</f>
        <v/>
      </c>
      <c r="H280" s="35" t="str">
        <f aca="false">IF(G280=".",F280,CONCATENATE(F280,G280))</f>
        <v/>
      </c>
      <c r="I280" s="34" t="n">
        <f aca="false">IFERROR(VALUE(H280),)</f>
        <v>0</v>
      </c>
      <c r="J280" s="34" t="e">
        <f aca="false">RIGHT(B280,LEN(B280)-FIND("/",B280, FIND("Single Cells",B280, 1)))</f>
        <v>#VALUE!</v>
      </c>
    </row>
    <row r="281" customFormat="false" ht="12.75" hidden="false" customHeight="true" outlineLevel="0" collapsed="false">
      <c r="E281" s="34" t="str">
        <f aca="false">MID(B281,9,1)</f>
        <v/>
      </c>
      <c r="F281" s="34" t="str">
        <f aca="false">MID(B281,10,1)</f>
        <v/>
      </c>
      <c r="G281" s="34" t="str">
        <f aca="false">MID(B281,11,1)</f>
        <v/>
      </c>
      <c r="H281" s="35" t="str">
        <f aca="false">IF(G281=".",F281,CONCATENATE(F281,G281))</f>
        <v/>
      </c>
      <c r="I281" s="34" t="n">
        <f aca="false">IFERROR(VALUE(H281),)</f>
        <v>0</v>
      </c>
      <c r="J281" s="34" t="e">
        <f aca="false">RIGHT(B281,LEN(B281)-FIND("/",B281, FIND("Single Cells",B281, 1)))</f>
        <v>#VALUE!</v>
      </c>
    </row>
    <row r="282" customFormat="false" ht="12.75" hidden="false" customHeight="true" outlineLevel="0" collapsed="false">
      <c r="E282" s="34" t="str">
        <f aca="false">MID(B282,9,1)</f>
        <v/>
      </c>
      <c r="F282" s="34" t="str">
        <f aca="false">MID(B282,10,1)</f>
        <v/>
      </c>
      <c r="G282" s="34" t="str">
        <f aca="false">MID(B282,11,1)</f>
        <v/>
      </c>
      <c r="H282" s="35" t="str">
        <f aca="false">IF(G282=".",F282,CONCATENATE(F282,G282))</f>
        <v/>
      </c>
      <c r="I282" s="34" t="n">
        <f aca="false">IFERROR(VALUE(H282),)</f>
        <v>0</v>
      </c>
      <c r="J282" s="34" t="e">
        <f aca="false">RIGHT(B282,LEN(B282)-FIND("/",B282, FIND("Single Cells",B282, 1)))</f>
        <v>#VALUE!</v>
      </c>
    </row>
    <row r="283" customFormat="false" ht="12.75" hidden="false" customHeight="true" outlineLevel="0" collapsed="false">
      <c r="E283" s="34" t="str">
        <f aca="false">MID(B283,9,1)</f>
        <v/>
      </c>
      <c r="F283" s="34" t="str">
        <f aca="false">MID(B283,10,1)</f>
        <v/>
      </c>
      <c r="G283" s="34" t="str">
        <f aca="false">MID(B283,11,1)</f>
        <v/>
      </c>
      <c r="H283" s="35" t="str">
        <f aca="false">IF(G283=".",F283,CONCATENATE(F283,G283))</f>
        <v/>
      </c>
      <c r="I283" s="34" t="n">
        <f aca="false">IFERROR(VALUE(H283),)</f>
        <v>0</v>
      </c>
      <c r="J283" s="34" t="e">
        <f aca="false">RIGHT(B283,LEN(B283)-FIND("/",B283, FIND("Single Cells",B283, 1)))</f>
        <v>#VALUE!</v>
      </c>
    </row>
    <row r="284" customFormat="false" ht="12.75" hidden="false" customHeight="true" outlineLevel="0" collapsed="false">
      <c r="E284" s="34" t="str">
        <f aca="false">MID(B284,9,1)</f>
        <v/>
      </c>
      <c r="F284" s="34" t="str">
        <f aca="false">MID(B284,10,1)</f>
        <v/>
      </c>
      <c r="G284" s="34" t="str">
        <f aca="false">MID(B284,11,1)</f>
        <v/>
      </c>
      <c r="H284" s="35" t="str">
        <f aca="false">IF(G284=".",F284,CONCATENATE(F284,G284))</f>
        <v/>
      </c>
      <c r="I284" s="34" t="n">
        <f aca="false">IFERROR(VALUE(H284),)</f>
        <v>0</v>
      </c>
      <c r="J284" s="34" t="e">
        <f aca="false">RIGHT(B284,LEN(B284)-FIND("/",B284, FIND("Single Cells",B284, 1)))</f>
        <v>#VALUE!</v>
      </c>
    </row>
    <row r="285" customFormat="false" ht="12.75" hidden="false" customHeight="true" outlineLevel="0" collapsed="false">
      <c r="E285" s="34" t="str">
        <f aca="false">MID(B285,9,1)</f>
        <v/>
      </c>
      <c r="F285" s="34" t="str">
        <f aca="false">MID(B285,10,1)</f>
        <v/>
      </c>
      <c r="G285" s="34" t="str">
        <f aca="false">MID(B285,11,1)</f>
        <v/>
      </c>
      <c r="H285" s="35" t="str">
        <f aca="false">IF(G285=".",F285,CONCATENATE(F285,G285))</f>
        <v/>
      </c>
      <c r="I285" s="34" t="n">
        <f aca="false">IFERROR(VALUE(H285),)</f>
        <v>0</v>
      </c>
      <c r="J285" s="34" t="e">
        <f aca="false">RIGHT(B285,LEN(B285)-FIND("/",B285, FIND("Single Cells",B285, 1)))</f>
        <v>#VALUE!</v>
      </c>
    </row>
    <row r="286" customFormat="false" ht="12.75" hidden="false" customHeight="true" outlineLevel="0" collapsed="false">
      <c r="E286" s="34" t="str">
        <f aca="false">MID(B286,9,1)</f>
        <v/>
      </c>
      <c r="F286" s="34" t="str">
        <f aca="false">MID(B286,10,1)</f>
        <v/>
      </c>
      <c r="G286" s="34" t="str">
        <f aca="false">MID(B286,11,1)</f>
        <v/>
      </c>
      <c r="H286" s="35" t="str">
        <f aca="false">IF(G286=".",F286,CONCATENATE(F286,G286))</f>
        <v/>
      </c>
      <c r="I286" s="34" t="n">
        <f aca="false">IFERROR(VALUE(H286),)</f>
        <v>0</v>
      </c>
      <c r="J286" s="34" t="e">
        <f aca="false">RIGHT(B286,LEN(B286)-FIND("/",B286, FIND("Single Cells",B286, 1)))</f>
        <v>#VALUE!</v>
      </c>
    </row>
    <row r="287" customFormat="false" ht="12.75" hidden="false" customHeight="true" outlineLevel="0" collapsed="false">
      <c r="E287" s="34" t="str">
        <f aca="false">MID(B287,9,1)</f>
        <v/>
      </c>
      <c r="F287" s="34" t="str">
        <f aca="false">MID(B287,10,1)</f>
        <v/>
      </c>
      <c r="G287" s="34" t="str">
        <f aca="false">MID(B287,11,1)</f>
        <v/>
      </c>
      <c r="H287" s="35" t="str">
        <f aca="false">IF(G287=".",F287,CONCATENATE(F287,G287))</f>
        <v/>
      </c>
      <c r="I287" s="34" t="n">
        <f aca="false">IFERROR(VALUE(H287),)</f>
        <v>0</v>
      </c>
      <c r="J287" s="34" t="e">
        <f aca="false">RIGHT(B287,LEN(B287)-FIND("/",B287, FIND("Single Cells",B287, 1)))</f>
        <v>#VALUE!</v>
      </c>
    </row>
    <row r="288" customFormat="false" ht="12.75" hidden="false" customHeight="true" outlineLevel="0" collapsed="false">
      <c r="E288" s="34" t="str">
        <f aca="false">MID(B288,9,1)</f>
        <v/>
      </c>
      <c r="F288" s="34" t="str">
        <f aca="false">MID(B288,10,1)</f>
        <v/>
      </c>
      <c r="G288" s="34" t="str">
        <f aca="false">MID(B288,11,1)</f>
        <v/>
      </c>
      <c r="H288" s="35" t="str">
        <f aca="false">IF(G288=".",F288,CONCATENATE(F288,G288))</f>
        <v/>
      </c>
      <c r="I288" s="34" t="n">
        <f aca="false">IFERROR(VALUE(H288),)</f>
        <v>0</v>
      </c>
      <c r="J288" s="34" t="e">
        <f aca="false">RIGHT(B288,LEN(B288)-FIND("/",B288, FIND("Single Cells",B288, 1)))</f>
        <v>#VALUE!</v>
      </c>
    </row>
    <row r="289" customFormat="false" ht="12.75" hidden="false" customHeight="true" outlineLevel="0" collapsed="false">
      <c r="E289" s="34" t="str">
        <f aca="false">MID(B289,9,1)</f>
        <v/>
      </c>
      <c r="F289" s="34" t="str">
        <f aca="false">MID(B289,10,1)</f>
        <v/>
      </c>
      <c r="G289" s="34" t="str">
        <f aca="false">MID(B289,11,1)</f>
        <v/>
      </c>
      <c r="H289" s="35" t="str">
        <f aca="false">IF(G289=".",F289,CONCATENATE(F289,G289))</f>
        <v/>
      </c>
      <c r="I289" s="34" t="n">
        <f aca="false">IFERROR(VALUE(H289),)</f>
        <v>0</v>
      </c>
      <c r="J289" s="34" t="e">
        <f aca="false">RIGHT(B289,LEN(B289)-FIND("/",B289, FIND("Single Cells",B289, 1)))</f>
        <v>#VALUE!</v>
      </c>
    </row>
    <row r="290" customFormat="false" ht="12.75" hidden="false" customHeight="true" outlineLevel="0" collapsed="false">
      <c r="E290" s="34" t="str">
        <f aca="false">MID(B290,9,1)</f>
        <v/>
      </c>
      <c r="F290" s="34" t="str">
        <f aca="false">MID(B290,10,1)</f>
        <v/>
      </c>
      <c r="G290" s="34" t="str">
        <f aca="false">MID(B290,11,1)</f>
        <v/>
      </c>
      <c r="H290" s="35" t="str">
        <f aca="false">IF(G290=".",F290,CONCATENATE(F290,G290))</f>
        <v/>
      </c>
      <c r="I290" s="34" t="n">
        <f aca="false">IFERROR(VALUE(H290),)</f>
        <v>0</v>
      </c>
      <c r="J290" s="34" t="e">
        <f aca="false">RIGHT(B290,LEN(B290)-FIND("/",B290, FIND("Single Cells",B290, 1)))</f>
        <v>#VALUE!</v>
      </c>
    </row>
    <row r="291" customFormat="false" ht="12.75" hidden="false" customHeight="true" outlineLevel="0" collapsed="false">
      <c r="E291" s="34" t="str">
        <f aca="false">MID(B291,9,1)</f>
        <v/>
      </c>
      <c r="F291" s="34" t="str">
        <f aca="false">MID(B291,10,1)</f>
        <v/>
      </c>
      <c r="G291" s="34" t="str">
        <f aca="false">MID(B291,11,1)</f>
        <v/>
      </c>
      <c r="H291" s="35" t="str">
        <f aca="false">IF(G291=".",F291,CONCATENATE(F291,G291))</f>
        <v/>
      </c>
      <c r="I291" s="34" t="n">
        <f aca="false">IFERROR(VALUE(H291),)</f>
        <v>0</v>
      </c>
      <c r="J291" s="34" t="e">
        <f aca="false">RIGHT(B291,LEN(B291)-FIND("/",B291, FIND("Single Cells",B291, 1)))</f>
        <v>#VALUE!</v>
      </c>
    </row>
    <row r="292" customFormat="false" ht="12.75" hidden="false" customHeight="true" outlineLevel="0" collapsed="false">
      <c r="E292" s="34" t="str">
        <f aca="false">MID(B292,9,1)</f>
        <v/>
      </c>
      <c r="F292" s="34" t="str">
        <f aca="false">MID(B292,10,1)</f>
        <v/>
      </c>
      <c r="G292" s="34" t="str">
        <f aca="false">MID(B292,11,1)</f>
        <v/>
      </c>
      <c r="H292" s="35" t="str">
        <f aca="false">IF(G292=".",F292,CONCATENATE(F292,G292))</f>
        <v/>
      </c>
      <c r="I292" s="34" t="n">
        <f aca="false">IFERROR(VALUE(H292),)</f>
        <v>0</v>
      </c>
      <c r="J292" s="34" t="e">
        <f aca="false">RIGHT(B292,LEN(B292)-FIND("/",B292, FIND("Single Cells",B292, 1)))</f>
        <v>#VALUE!</v>
      </c>
    </row>
    <row r="293" customFormat="false" ht="12.75" hidden="false" customHeight="true" outlineLevel="0" collapsed="false">
      <c r="E293" s="34" t="str">
        <f aca="false">MID(B293,9,1)</f>
        <v/>
      </c>
      <c r="F293" s="34" t="str">
        <f aca="false">MID(B293,10,1)</f>
        <v/>
      </c>
      <c r="G293" s="34" t="str">
        <f aca="false">MID(B293,11,1)</f>
        <v/>
      </c>
      <c r="H293" s="35" t="str">
        <f aca="false">IF(G293=".",F293,CONCATENATE(F293,G293))</f>
        <v/>
      </c>
      <c r="I293" s="34" t="n">
        <f aca="false">IFERROR(VALUE(H293),)</f>
        <v>0</v>
      </c>
      <c r="J293" s="34" t="e">
        <f aca="false">RIGHT(B293,LEN(B293)-FIND("/",B293, FIND("Single Cells",B293, 1)))</f>
        <v>#VALUE!</v>
      </c>
    </row>
    <row r="294" customFormat="false" ht="12.75" hidden="false" customHeight="true" outlineLevel="0" collapsed="false">
      <c r="E294" s="34" t="str">
        <f aca="false">MID(B294,9,1)</f>
        <v/>
      </c>
      <c r="F294" s="34" t="str">
        <f aca="false">MID(B294,10,1)</f>
        <v/>
      </c>
      <c r="G294" s="34" t="str">
        <f aca="false">MID(B294,11,1)</f>
        <v/>
      </c>
      <c r="H294" s="35" t="str">
        <f aca="false">IF(G294=".",F294,CONCATENATE(F294,G294))</f>
        <v/>
      </c>
      <c r="I294" s="34" t="n">
        <f aca="false">IFERROR(VALUE(H294),)</f>
        <v>0</v>
      </c>
      <c r="J294" s="34" t="e">
        <f aca="false">RIGHT(B294,LEN(B294)-FIND("/",B294, FIND("Single Cells",B294, 1)))</f>
        <v>#VALUE!</v>
      </c>
    </row>
    <row r="295" customFormat="false" ht="12.75" hidden="false" customHeight="true" outlineLevel="0" collapsed="false">
      <c r="E295" s="34" t="str">
        <f aca="false">MID(B295,9,1)</f>
        <v/>
      </c>
      <c r="F295" s="34" t="str">
        <f aca="false">MID(B295,10,1)</f>
        <v/>
      </c>
      <c r="G295" s="34" t="str">
        <f aca="false">MID(B295,11,1)</f>
        <v/>
      </c>
      <c r="H295" s="35" t="str">
        <f aca="false">IF(G295=".",F295,CONCATENATE(F295,G295))</f>
        <v/>
      </c>
      <c r="I295" s="34" t="n">
        <f aca="false">IFERROR(VALUE(H295),)</f>
        <v>0</v>
      </c>
      <c r="J295" s="34" t="e">
        <f aca="false">RIGHT(B295,LEN(B295)-FIND("/",B295, FIND("Single Cells",B295, 1)))</f>
        <v>#VALUE!</v>
      </c>
    </row>
    <row r="296" customFormat="false" ht="12.75" hidden="false" customHeight="true" outlineLevel="0" collapsed="false">
      <c r="E296" s="34" t="str">
        <f aca="false">MID(B296,9,1)</f>
        <v/>
      </c>
      <c r="F296" s="34" t="str">
        <f aca="false">MID(B296,10,1)</f>
        <v/>
      </c>
      <c r="G296" s="34" t="str">
        <f aca="false">MID(B296,11,1)</f>
        <v/>
      </c>
      <c r="H296" s="35" t="str">
        <f aca="false">IF(G296=".",F296,CONCATENATE(F296,G296))</f>
        <v/>
      </c>
      <c r="I296" s="34" t="n">
        <f aca="false">IFERROR(VALUE(H296),)</f>
        <v>0</v>
      </c>
      <c r="J296" s="34" t="e">
        <f aca="false">RIGHT(B296,LEN(B296)-FIND("/",B296, FIND("Single Cells",B296, 1)))</f>
        <v>#VALUE!</v>
      </c>
    </row>
    <row r="297" customFormat="false" ht="12.75" hidden="false" customHeight="true" outlineLevel="0" collapsed="false">
      <c r="E297" s="34" t="str">
        <f aca="false">MID(B297,9,1)</f>
        <v/>
      </c>
      <c r="F297" s="34" t="str">
        <f aca="false">MID(B297,10,1)</f>
        <v/>
      </c>
      <c r="G297" s="34" t="str">
        <f aca="false">MID(B297,11,1)</f>
        <v/>
      </c>
      <c r="H297" s="35" t="str">
        <f aca="false">IF(G297=".",F297,CONCATENATE(F297,G297))</f>
        <v/>
      </c>
      <c r="I297" s="34" t="n">
        <f aca="false">IFERROR(VALUE(H297),)</f>
        <v>0</v>
      </c>
      <c r="J297" s="34" t="e">
        <f aca="false">RIGHT(B297,LEN(B297)-FIND("/",B297, FIND("Single Cells",B297, 1)))</f>
        <v>#VALUE!</v>
      </c>
    </row>
    <row r="298" customFormat="false" ht="12.75" hidden="false" customHeight="true" outlineLevel="0" collapsed="false">
      <c r="E298" s="34" t="str">
        <f aca="false">MID(B298,9,1)</f>
        <v/>
      </c>
      <c r="F298" s="34" t="str">
        <f aca="false">MID(B298,10,1)</f>
        <v/>
      </c>
      <c r="G298" s="34" t="str">
        <f aca="false">MID(B298,11,1)</f>
        <v/>
      </c>
      <c r="H298" s="35" t="str">
        <f aca="false">IF(G298=".",F298,CONCATENATE(F298,G298))</f>
        <v/>
      </c>
      <c r="I298" s="34" t="n">
        <f aca="false">IFERROR(VALUE(H298),)</f>
        <v>0</v>
      </c>
      <c r="J298" s="34" t="e">
        <f aca="false">RIGHT(B298,LEN(B298)-FIND("/",B298, FIND("Single Cells",B298, 1)))</f>
        <v>#VALUE!</v>
      </c>
    </row>
    <row r="299" customFormat="false" ht="12.75" hidden="false" customHeight="true" outlineLevel="0" collapsed="false">
      <c r="E299" s="34" t="str">
        <f aca="false">MID(B299,9,1)</f>
        <v/>
      </c>
      <c r="F299" s="34" t="str">
        <f aca="false">MID(B299,10,1)</f>
        <v/>
      </c>
      <c r="G299" s="34" t="str">
        <f aca="false">MID(B299,11,1)</f>
        <v/>
      </c>
      <c r="H299" s="35" t="str">
        <f aca="false">IF(G299=".",F299,CONCATENATE(F299,G299))</f>
        <v/>
      </c>
      <c r="I299" s="34" t="n">
        <f aca="false">IFERROR(VALUE(H299),)</f>
        <v>0</v>
      </c>
      <c r="J299" s="34" t="e">
        <f aca="false">RIGHT(B299,LEN(B299)-FIND("/",B299, FIND("Single Cells",B299, 1)))</f>
        <v>#VALUE!</v>
      </c>
    </row>
    <row r="300" customFormat="false" ht="12.75" hidden="false" customHeight="true" outlineLevel="0" collapsed="false">
      <c r="E300" s="34" t="str">
        <f aca="false">MID(B300,9,1)</f>
        <v/>
      </c>
      <c r="F300" s="34" t="str">
        <f aca="false">MID(B300,10,1)</f>
        <v/>
      </c>
      <c r="G300" s="34" t="str">
        <f aca="false">MID(B300,11,1)</f>
        <v/>
      </c>
      <c r="H300" s="35" t="str">
        <f aca="false">IF(G300=".",F300,CONCATENATE(F300,G300))</f>
        <v/>
      </c>
      <c r="I300" s="34" t="n">
        <f aca="false">IFERROR(VALUE(H300),)</f>
        <v>0</v>
      </c>
      <c r="J300" s="34" t="e">
        <f aca="false">RIGHT(B300,LEN(B300)-FIND("/",B300, FIND("Single Cells",B300, 1)))</f>
        <v>#VALUE!</v>
      </c>
    </row>
    <row r="301" customFormat="false" ht="12.75" hidden="false" customHeight="true" outlineLevel="0" collapsed="false">
      <c r="E301" s="34" t="str">
        <f aca="false">MID(B301,9,1)</f>
        <v/>
      </c>
      <c r="F301" s="34" t="str">
        <f aca="false">MID(B301,10,1)</f>
        <v/>
      </c>
      <c r="G301" s="34" t="str">
        <f aca="false">MID(B301,11,1)</f>
        <v/>
      </c>
      <c r="H301" s="35" t="str">
        <f aca="false">IF(G301=".",F301,CONCATENATE(F301,G301))</f>
        <v/>
      </c>
      <c r="I301" s="34" t="n">
        <f aca="false">IFERROR(VALUE(H301),)</f>
        <v>0</v>
      </c>
      <c r="J301" s="34" t="e">
        <f aca="false">RIGHT(B301,LEN(B301)-FIND("/",B301, FIND("Single Cells",B301, 1)))</f>
        <v>#VALUE!</v>
      </c>
    </row>
    <row r="302" customFormat="false" ht="12.75" hidden="false" customHeight="true" outlineLevel="0" collapsed="false">
      <c r="E302" s="34" t="str">
        <f aca="false">MID(B302,9,1)</f>
        <v/>
      </c>
      <c r="F302" s="34" t="str">
        <f aca="false">MID(B302,10,1)</f>
        <v/>
      </c>
      <c r="G302" s="34" t="str">
        <f aca="false">MID(B302,11,1)</f>
        <v/>
      </c>
      <c r="H302" s="35" t="str">
        <f aca="false">IF(G302=".",F302,CONCATENATE(F302,G302))</f>
        <v/>
      </c>
      <c r="I302" s="34" t="n">
        <f aca="false">IFERROR(VALUE(H302),)</f>
        <v>0</v>
      </c>
      <c r="J302" s="34" t="e">
        <f aca="false">RIGHT(B302,LEN(B302)-FIND("/",B302, FIND("Single Cells",B302, 1)))</f>
        <v>#VALUE!</v>
      </c>
    </row>
    <row r="303" customFormat="false" ht="12.75" hidden="false" customHeight="true" outlineLevel="0" collapsed="false">
      <c r="E303" s="34" t="str">
        <f aca="false">MID(B303,9,1)</f>
        <v/>
      </c>
      <c r="F303" s="34" t="str">
        <f aca="false">MID(B303,10,1)</f>
        <v/>
      </c>
      <c r="G303" s="34" t="str">
        <f aca="false">MID(B303,11,1)</f>
        <v/>
      </c>
      <c r="H303" s="35" t="str">
        <f aca="false">IF(G303=".",F303,CONCATENATE(F303,G303))</f>
        <v/>
      </c>
      <c r="I303" s="34" t="n">
        <f aca="false">IFERROR(VALUE(H303),)</f>
        <v>0</v>
      </c>
      <c r="J303" s="34" t="e">
        <f aca="false">RIGHT(B303,LEN(B303)-FIND("/",B303, FIND("Single Cells",B303, 1)))</f>
        <v>#VALUE!</v>
      </c>
    </row>
    <row r="304" customFormat="false" ht="12.75" hidden="false" customHeight="true" outlineLevel="0" collapsed="false">
      <c r="E304" s="34" t="str">
        <f aca="false">MID(B304,9,1)</f>
        <v/>
      </c>
      <c r="F304" s="34" t="str">
        <f aca="false">MID(B304,10,1)</f>
        <v/>
      </c>
      <c r="G304" s="34" t="str">
        <f aca="false">MID(B304,11,1)</f>
        <v/>
      </c>
      <c r="H304" s="35" t="str">
        <f aca="false">IF(G304=".",F304,CONCATENATE(F304,G304))</f>
        <v/>
      </c>
      <c r="I304" s="34" t="n">
        <f aca="false">IFERROR(VALUE(H304),)</f>
        <v>0</v>
      </c>
      <c r="J304" s="34" t="e">
        <f aca="false">RIGHT(B304,LEN(B304)-FIND("/",B304, FIND("Single Cells",B304, 1)))</f>
        <v>#VALUE!</v>
      </c>
    </row>
    <row r="305" customFormat="false" ht="12.75" hidden="false" customHeight="true" outlineLevel="0" collapsed="false">
      <c r="E305" s="34" t="str">
        <f aca="false">MID(B305,9,1)</f>
        <v/>
      </c>
      <c r="F305" s="34" t="str">
        <f aca="false">MID(B305,10,1)</f>
        <v/>
      </c>
      <c r="G305" s="34" t="str">
        <f aca="false">MID(B305,11,1)</f>
        <v/>
      </c>
      <c r="H305" s="35" t="str">
        <f aca="false">IF(G305=".",F305,CONCATENATE(F305,G305))</f>
        <v/>
      </c>
      <c r="I305" s="34" t="n">
        <f aca="false">IFERROR(VALUE(H305),)</f>
        <v>0</v>
      </c>
      <c r="J305" s="34" t="e">
        <f aca="false">RIGHT(B305,LEN(B305)-FIND("/",B305, FIND("Single Cells",B305, 1)))</f>
        <v>#VALUE!</v>
      </c>
    </row>
    <row r="306" customFormat="false" ht="12.75" hidden="false" customHeight="true" outlineLevel="0" collapsed="false">
      <c r="E306" s="34" t="str">
        <f aca="false">MID(B306,9,1)</f>
        <v/>
      </c>
      <c r="F306" s="34" t="str">
        <f aca="false">MID(B306,10,1)</f>
        <v/>
      </c>
      <c r="G306" s="34" t="str">
        <f aca="false">MID(B306,11,1)</f>
        <v/>
      </c>
      <c r="H306" s="35" t="str">
        <f aca="false">IF(G306=".",F306,CONCATENATE(F306,G306))</f>
        <v/>
      </c>
      <c r="I306" s="34" t="n">
        <f aca="false">IFERROR(VALUE(H306),)</f>
        <v>0</v>
      </c>
      <c r="J306" s="34" t="e">
        <f aca="false">RIGHT(B306,LEN(B306)-FIND("/",B306, FIND("Single Cells",B306, 1)))</f>
        <v>#VALUE!</v>
      </c>
    </row>
    <row r="307" customFormat="false" ht="12.75" hidden="false" customHeight="true" outlineLevel="0" collapsed="false">
      <c r="E307" s="34" t="str">
        <f aca="false">MID(B307,9,1)</f>
        <v/>
      </c>
      <c r="F307" s="34" t="str">
        <f aca="false">MID(B307,10,1)</f>
        <v/>
      </c>
      <c r="G307" s="34" t="str">
        <f aca="false">MID(B307,11,1)</f>
        <v/>
      </c>
      <c r="H307" s="35" t="str">
        <f aca="false">IF(G307=".",F307,CONCATENATE(F307,G307))</f>
        <v/>
      </c>
      <c r="I307" s="34" t="n">
        <f aca="false">IFERROR(VALUE(H307),)</f>
        <v>0</v>
      </c>
      <c r="J307" s="34" t="e">
        <f aca="false">RIGHT(B307,LEN(B307)-FIND("/",B307, FIND("Single Cells",B307, 1)))</f>
        <v>#VALUE!</v>
      </c>
    </row>
    <row r="308" customFormat="false" ht="12.75" hidden="false" customHeight="true" outlineLevel="0" collapsed="false">
      <c r="E308" s="34" t="str">
        <f aca="false">MID(B308,9,1)</f>
        <v/>
      </c>
      <c r="F308" s="34" t="str">
        <f aca="false">MID(B308,10,1)</f>
        <v/>
      </c>
      <c r="G308" s="34" t="str">
        <f aca="false">MID(B308,11,1)</f>
        <v/>
      </c>
      <c r="H308" s="35" t="str">
        <f aca="false">IF(G308=".",F308,CONCATENATE(F308,G308))</f>
        <v/>
      </c>
      <c r="I308" s="34" t="n">
        <f aca="false">IFERROR(VALUE(H308),)</f>
        <v>0</v>
      </c>
      <c r="J308" s="34" t="e">
        <f aca="false">RIGHT(B308,LEN(B308)-FIND("/",B308, FIND("Single Cells",B308, 1)))</f>
        <v>#VALUE!</v>
      </c>
    </row>
    <row r="309" customFormat="false" ht="12.75" hidden="false" customHeight="true" outlineLevel="0" collapsed="false">
      <c r="E309" s="34" t="str">
        <f aca="false">MID(B309,9,1)</f>
        <v/>
      </c>
      <c r="F309" s="34" t="str">
        <f aca="false">MID(B309,10,1)</f>
        <v/>
      </c>
      <c r="G309" s="34" t="str">
        <f aca="false">MID(B309,11,1)</f>
        <v/>
      </c>
      <c r="H309" s="35" t="str">
        <f aca="false">IF(G309=".",F309,CONCATENATE(F309,G309))</f>
        <v/>
      </c>
      <c r="I309" s="34" t="n">
        <f aca="false">IFERROR(VALUE(H309),)</f>
        <v>0</v>
      </c>
      <c r="J309" s="34" t="e">
        <f aca="false">RIGHT(B309,LEN(B309)-FIND("/",B309, FIND("Single Cells",B309, 1)))</f>
        <v>#VALUE!</v>
      </c>
    </row>
    <row r="310" customFormat="false" ht="12.75" hidden="false" customHeight="true" outlineLevel="0" collapsed="false">
      <c r="E310" s="34" t="str">
        <f aca="false">MID(B310,9,1)</f>
        <v/>
      </c>
      <c r="F310" s="34" t="str">
        <f aca="false">MID(B310,10,1)</f>
        <v/>
      </c>
      <c r="G310" s="34" t="str">
        <f aca="false">MID(B310,11,1)</f>
        <v/>
      </c>
      <c r="H310" s="35" t="str">
        <f aca="false">IF(G310=".",F310,CONCATENATE(F310,G310))</f>
        <v/>
      </c>
      <c r="I310" s="34" t="n">
        <f aca="false">IFERROR(VALUE(H310),)</f>
        <v>0</v>
      </c>
      <c r="J310" s="34" t="e">
        <f aca="false">RIGHT(B310,LEN(B310)-FIND("/",B310, FIND("Single Cells",B310, 1)))</f>
        <v>#VALUE!</v>
      </c>
    </row>
    <row r="311" customFormat="false" ht="12.75" hidden="false" customHeight="true" outlineLevel="0" collapsed="false">
      <c r="E311" s="34" t="str">
        <f aca="false">MID(B311,9,1)</f>
        <v/>
      </c>
      <c r="F311" s="34" t="str">
        <f aca="false">MID(B311,10,1)</f>
        <v/>
      </c>
      <c r="G311" s="34" t="str">
        <f aca="false">MID(B311,11,1)</f>
        <v/>
      </c>
      <c r="H311" s="35" t="str">
        <f aca="false">IF(G311=".",F311,CONCATENATE(F311,G311))</f>
        <v/>
      </c>
      <c r="I311" s="34" t="n">
        <f aca="false">IFERROR(VALUE(H311),)</f>
        <v>0</v>
      </c>
      <c r="J311" s="34" t="e">
        <f aca="false">RIGHT(B311,LEN(B311)-FIND("/",B311, FIND("Single Cells",B311, 1)))</f>
        <v>#VALUE!</v>
      </c>
    </row>
    <row r="312" customFormat="false" ht="12.75" hidden="false" customHeight="true" outlineLevel="0" collapsed="false">
      <c r="E312" s="34" t="str">
        <f aca="false">MID(B312,9,1)</f>
        <v/>
      </c>
      <c r="F312" s="34" t="str">
        <f aca="false">MID(B312,10,1)</f>
        <v/>
      </c>
      <c r="G312" s="34" t="str">
        <f aca="false">MID(B312,11,1)</f>
        <v/>
      </c>
      <c r="H312" s="35" t="str">
        <f aca="false">IF(G312=".",F312,CONCATENATE(F312,G312))</f>
        <v/>
      </c>
      <c r="I312" s="34" t="n">
        <f aca="false">IFERROR(VALUE(H312),)</f>
        <v>0</v>
      </c>
      <c r="J312" s="34" t="e">
        <f aca="false">RIGHT(B312,LEN(B312)-FIND("/",B312, FIND("Single Cells",B312, 1)))</f>
        <v>#VALUE!</v>
      </c>
    </row>
    <row r="313" customFormat="false" ht="12.75" hidden="false" customHeight="true" outlineLevel="0" collapsed="false">
      <c r="E313" s="34" t="str">
        <f aca="false">MID(B313,9,1)</f>
        <v/>
      </c>
      <c r="F313" s="34" t="str">
        <f aca="false">MID(B313,10,1)</f>
        <v/>
      </c>
      <c r="G313" s="34" t="str">
        <f aca="false">MID(B313,11,1)</f>
        <v/>
      </c>
      <c r="H313" s="35" t="str">
        <f aca="false">IF(G313=".",F313,CONCATENATE(F313,G313))</f>
        <v/>
      </c>
      <c r="I313" s="34" t="n">
        <f aca="false">IFERROR(VALUE(H313),)</f>
        <v>0</v>
      </c>
      <c r="J313" s="34" t="e">
        <f aca="false">RIGHT(B313,LEN(B313)-FIND("/",B313, FIND("Single Cells",B313, 1)))</f>
        <v>#VALUE!</v>
      </c>
    </row>
    <row r="314" customFormat="false" ht="12.75" hidden="false" customHeight="true" outlineLevel="0" collapsed="false">
      <c r="E314" s="34" t="str">
        <f aca="false">MID(B314,9,1)</f>
        <v/>
      </c>
      <c r="F314" s="34" t="str">
        <f aca="false">MID(B314,10,1)</f>
        <v/>
      </c>
      <c r="G314" s="34" t="str">
        <f aca="false">MID(B314,11,1)</f>
        <v/>
      </c>
      <c r="H314" s="35" t="str">
        <f aca="false">IF(G314=".",F314,CONCATENATE(F314,G314))</f>
        <v/>
      </c>
      <c r="I314" s="34" t="n">
        <f aca="false">IFERROR(VALUE(H314),)</f>
        <v>0</v>
      </c>
      <c r="J314" s="34" t="e">
        <f aca="false">RIGHT(B314,LEN(B314)-FIND("/",B314, FIND("Single Cells",B314, 1)))</f>
        <v>#VALUE!</v>
      </c>
    </row>
    <row r="315" customFormat="false" ht="12.75" hidden="false" customHeight="true" outlineLevel="0" collapsed="false">
      <c r="E315" s="34" t="str">
        <f aca="false">MID(B315,9,1)</f>
        <v/>
      </c>
      <c r="F315" s="34" t="str">
        <f aca="false">MID(B315,10,1)</f>
        <v/>
      </c>
      <c r="G315" s="34" t="str">
        <f aca="false">MID(B315,11,1)</f>
        <v/>
      </c>
      <c r="H315" s="35" t="str">
        <f aca="false">IF(G315=".",F315,CONCATENATE(F315,G315))</f>
        <v/>
      </c>
      <c r="I315" s="34" t="n">
        <f aca="false">IFERROR(VALUE(H315),)</f>
        <v>0</v>
      </c>
      <c r="J315" s="34" t="e">
        <f aca="false">RIGHT(B315,LEN(B315)-FIND("/",B315, FIND("Single Cells",B315, 1)))</f>
        <v>#VALUE!</v>
      </c>
    </row>
    <row r="316" customFormat="false" ht="12.75" hidden="false" customHeight="true" outlineLevel="0" collapsed="false">
      <c r="E316" s="34" t="str">
        <f aca="false">MID(B316,9,1)</f>
        <v/>
      </c>
      <c r="F316" s="34" t="str">
        <f aca="false">MID(B316,10,1)</f>
        <v/>
      </c>
      <c r="G316" s="34" t="str">
        <f aca="false">MID(B316,11,1)</f>
        <v/>
      </c>
      <c r="H316" s="35" t="str">
        <f aca="false">IF(G316=".",F316,CONCATENATE(F316,G316))</f>
        <v/>
      </c>
      <c r="I316" s="34" t="n">
        <f aca="false">IFERROR(VALUE(H316),)</f>
        <v>0</v>
      </c>
      <c r="J316" s="34" t="e">
        <f aca="false">RIGHT(B316,LEN(B316)-FIND("/",B316, FIND("Single Cells",B316, 1)))</f>
        <v>#VALUE!</v>
      </c>
    </row>
    <row r="317" customFormat="false" ht="12.75" hidden="false" customHeight="true" outlineLevel="0" collapsed="false">
      <c r="E317" s="34" t="str">
        <f aca="false">MID(B317,9,1)</f>
        <v/>
      </c>
      <c r="F317" s="34" t="str">
        <f aca="false">MID(B317,10,1)</f>
        <v/>
      </c>
      <c r="G317" s="34" t="str">
        <f aca="false">MID(B317,11,1)</f>
        <v/>
      </c>
      <c r="H317" s="35" t="str">
        <f aca="false">IF(G317=".",F317,CONCATENATE(F317,G317))</f>
        <v/>
      </c>
      <c r="I317" s="34" t="n">
        <f aca="false">IFERROR(VALUE(H317),)</f>
        <v>0</v>
      </c>
      <c r="J317" s="34" t="e">
        <f aca="false">RIGHT(B317,LEN(B317)-FIND("/",B317, FIND("Single Cells",B317, 1)))</f>
        <v>#VALUE!</v>
      </c>
    </row>
    <row r="318" customFormat="false" ht="12.75" hidden="false" customHeight="true" outlineLevel="0" collapsed="false">
      <c r="E318" s="34" t="str">
        <f aca="false">MID(B318,9,1)</f>
        <v/>
      </c>
      <c r="F318" s="34" t="str">
        <f aca="false">MID(B318,10,1)</f>
        <v/>
      </c>
      <c r="G318" s="34" t="str">
        <f aca="false">MID(B318,11,1)</f>
        <v/>
      </c>
      <c r="H318" s="35" t="str">
        <f aca="false">IF(G318=".",F318,CONCATENATE(F318,G318))</f>
        <v/>
      </c>
      <c r="I318" s="34" t="n">
        <f aca="false">IFERROR(VALUE(H318),)</f>
        <v>0</v>
      </c>
      <c r="J318" s="34" t="e">
        <f aca="false">RIGHT(B318,LEN(B318)-FIND("/",B318, FIND("Single Cells",B318, 1)))</f>
        <v>#VALUE!</v>
      </c>
    </row>
    <row r="319" customFormat="false" ht="12.75" hidden="false" customHeight="true" outlineLevel="0" collapsed="false">
      <c r="E319" s="34" t="str">
        <f aca="false">MID(B319,9,1)</f>
        <v/>
      </c>
      <c r="F319" s="34" t="str">
        <f aca="false">MID(B319,10,1)</f>
        <v/>
      </c>
      <c r="G319" s="34" t="str">
        <f aca="false">MID(B319,11,1)</f>
        <v/>
      </c>
      <c r="H319" s="35" t="str">
        <f aca="false">IF(G319=".",F319,CONCATENATE(F319,G319))</f>
        <v/>
      </c>
      <c r="I319" s="34" t="n">
        <f aca="false">IFERROR(VALUE(H319),)</f>
        <v>0</v>
      </c>
      <c r="J319" s="34" t="e">
        <f aca="false">RIGHT(B319,LEN(B319)-FIND("/",B319, FIND("Single Cells",B319, 1)))</f>
        <v>#VALUE!</v>
      </c>
    </row>
    <row r="320" customFormat="false" ht="12.75" hidden="false" customHeight="true" outlineLevel="0" collapsed="false">
      <c r="E320" s="34" t="str">
        <f aca="false">MID(B320,9,1)</f>
        <v/>
      </c>
      <c r="F320" s="34" t="str">
        <f aca="false">MID(B320,10,1)</f>
        <v/>
      </c>
      <c r="G320" s="34" t="str">
        <f aca="false">MID(B320,11,1)</f>
        <v/>
      </c>
      <c r="H320" s="35" t="str">
        <f aca="false">IF(G320=".",F320,CONCATENATE(F320,G320))</f>
        <v/>
      </c>
      <c r="I320" s="34" t="n">
        <f aca="false">IFERROR(VALUE(H320),)</f>
        <v>0</v>
      </c>
      <c r="J320" s="34" t="e">
        <f aca="false">RIGHT(B320,LEN(B320)-FIND("/",B320, FIND("Single Cells",B320, 1)))</f>
        <v>#VALUE!</v>
      </c>
    </row>
    <row r="321" customFormat="false" ht="12.75" hidden="false" customHeight="true" outlineLevel="0" collapsed="false">
      <c r="E321" s="34" t="str">
        <f aca="false">MID(B321,9,1)</f>
        <v/>
      </c>
      <c r="F321" s="34" t="str">
        <f aca="false">MID(B321,10,1)</f>
        <v/>
      </c>
      <c r="G321" s="34" t="str">
        <f aca="false">MID(B321,11,1)</f>
        <v/>
      </c>
      <c r="H321" s="35" t="str">
        <f aca="false">IF(G321=".",F321,CONCATENATE(F321,G321))</f>
        <v/>
      </c>
      <c r="I321" s="34" t="n">
        <f aca="false">IFERROR(VALUE(H321),)</f>
        <v>0</v>
      </c>
      <c r="J321" s="34" t="e">
        <f aca="false">RIGHT(B321,LEN(B321)-FIND("/",B321, FIND("Single Cells",B321, 1)))</f>
        <v>#VALUE!</v>
      </c>
    </row>
    <row r="322" customFormat="false" ht="12.75" hidden="false" customHeight="true" outlineLevel="0" collapsed="false">
      <c r="E322" s="34" t="str">
        <f aca="false">MID(B322,9,1)</f>
        <v/>
      </c>
      <c r="F322" s="34" t="str">
        <f aca="false">MID(B322,10,1)</f>
        <v/>
      </c>
      <c r="G322" s="34" t="str">
        <f aca="false">MID(B322,11,1)</f>
        <v/>
      </c>
      <c r="H322" s="35" t="str">
        <f aca="false">IF(G322=".",F322,CONCATENATE(F322,G322))</f>
        <v/>
      </c>
      <c r="I322" s="34" t="n">
        <f aca="false">IFERROR(VALUE(H322),)</f>
        <v>0</v>
      </c>
      <c r="J322" s="34" t="e">
        <f aca="false">RIGHT(B322,LEN(B322)-FIND("/",B322, FIND("Single Cells",B322, 1)))</f>
        <v>#VALUE!</v>
      </c>
    </row>
    <row r="323" customFormat="false" ht="12.75" hidden="false" customHeight="true" outlineLevel="0" collapsed="false">
      <c r="E323" s="34" t="str">
        <f aca="false">MID(B323,9,1)</f>
        <v/>
      </c>
      <c r="F323" s="34" t="str">
        <f aca="false">MID(B323,10,1)</f>
        <v/>
      </c>
      <c r="G323" s="34" t="str">
        <f aca="false">MID(B323,11,1)</f>
        <v/>
      </c>
      <c r="H323" s="35" t="str">
        <f aca="false">IF(G323=".",F323,CONCATENATE(F323,G323))</f>
        <v/>
      </c>
      <c r="I323" s="34" t="n">
        <f aca="false">IFERROR(VALUE(H323),)</f>
        <v>0</v>
      </c>
      <c r="J323" s="34" t="e">
        <f aca="false">RIGHT(B323,LEN(B323)-FIND("/",B323, FIND("Single Cells",B323, 1)))</f>
        <v>#VALUE!</v>
      </c>
    </row>
    <row r="324" customFormat="false" ht="12.75" hidden="false" customHeight="true" outlineLevel="0" collapsed="false">
      <c r="E324" s="34" t="str">
        <f aca="false">MID(B324,9,1)</f>
        <v/>
      </c>
      <c r="F324" s="34" t="str">
        <f aca="false">MID(B324,10,1)</f>
        <v/>
      </c>
      <c r="G324" s="34" t="str">
        <f aca="false">MID(B324,11,1)</f>
        <v/>
      </c>
      <c r="H324" s="35" t="str">
        <f aca="false">IF(G324=".",F324,CONCATENATE(F324,G324))</f>
        <v/>
      </c>
      <c r="I324" s="34" t="n">
        <f aca="false">IFERROR(VALUE(H324),)</f>
        <v>0</v>
      </c>
      <c r="J324" s="34" t="e">
        <f aca="false">RIGHT(B324,LEN(B324)-FIND("/",B324, FIND("Single Cells",B324, 1)))</f>
        <v>#VALUE!</v>
      </c>
    </row>
    <row r="325" customFormat="false" ht="12.75" hidden="false" customHeight="true" outlineLevel="0" collapsed="false">
      <c r="E325" s="34" t="str">
        <f aca="false">MID(B325,9,1)</f>
        <v/>
      </c>
      <c r="F325" s="34" t="str">
        <f aca="false">MID(B325,10,1)</f>
        <v/>
      </c>
      <c r="G325" s="34" t="str">
        <f aca="false">MID(B325,11,1)</f>
        <v/>
      </c>
      <c r="H325" s="35" t="str">
        <f aca="false">IF(G325=".",F325,CONCATENATE(F325,G325))</f>
        <v/>
      </c>
      <c r="I325" s="34" t="n">
        <f aca="false">IFERROR(VALUE(H325),)</f>
        <v>0</v>
      </c>
      <c r="J325" s="34" t="e">
        <f aca="false">RIGHT(B325,LEN(B325)-FIND("/",B325, FIND("Single Cells",B325, 1)))</f>
        <v>#VALUE!</v>
      </c>
    </row>
    <row r="326" customFormat="false" ht="12.75" hidden="false" customHeight="true" outlineLevel="0" collapsed="false">
      <c r="E326" s="34" t="str">
        <f aca="false">MID(B326,9,1)</f>
        <v/>
      </c>
      <c r="F326" s="34" t="str">
        <f aca="false">MID(B326,10,1)</f>
        <v/>
      </c>
      <c r="G326" s="34" t="str">
        <f aca="false">MID(B326,11,1)</f>
        <v/>
      </c>
      <c r="H326" s="35" t="str">
        <f aca="false">IF(G326=".",F326,CONCATENATE(F326,G326))</f>
        <v/>
      </c>
      <c r="I326" s="34" t="n">
        <f aca="false">IFERROR(VALUE(H326),)</f>
        <v>0</v>
      </c>
      <c r="J326" s="34" t="e">
        <f aca="false">RIGHT(B326,LEN(B326)-FIND("/",B326, FIND("Single Cells",B326, 1)))</f>
        <v>#VALUE!</v>
      </c>
    </row>
    <row r="327" customFormat="false" ht="12.75" hidden="false" customHeight="true" outlineLevel="0" collapsed="false">
      <c r="E327" s="34" t="str">
        <f aca="false">MID(B327,9,1)</f>
        <v/>
      </c>
      <c r="F327" s="34" t="str">
        <f aca="false">MID(B327,10,1)</f>
        <v/>
      </c>
      <c r="G327" s="34" t="str">
        <f aca="false">MID(B327,11,1)</f>
        <v/>
      </c>
      <c r="H327" s="35" t="str">
        <f aca="false">IF(G327=".",F327,CONCATENATE(F327,G327))</f>
        <v/>
      </c>
      <c r="I327" s="34" t="n">
        <f aca="false">IFERROR(VALUE(H327),)</f>
        <v>0</v>
      </c>
      <c r="J327" s="34" t="e">
        <f aca="false">RIGHT(B327,LEN(B327)-FIND("/",B327, FIND("Single Cells",B327, 1)))</f>
        <v>#VALUE!</v>
      </c>
    </row>
    <row r="328" customFormat="false" ht="12.75" hidden="false" customHeight="true" outlineLevel="0" collapsed="false">
      <c r="E328" s="34" t="str">
        <f aca="false">MID(B328,9,1)</f>
        <v/>
      </c>
      <c r="F328" s="34" t="str">
        <f aca="false">MID(B328,10,1)</f>
        <v/>
      </c>
      <c r="G328" s="34" t="str">
        <f aca="false">MID(B328,11,1)</f>
        <v/>
      </c>
      <c r="H328" s="35" t="str">
        <f aca="false">IF(G328=".",F328,CONCATENATE(F328,G328))</f>
        <v/>
      </c>
      <c r="I328" s="34" t="n">
        <f aca="false">IFERROR(VALUE(H328),)</f>
        <v>0</v>
      </c>
      <c r="J328" s="34" t="e">
        <f aca="false">RIGHT(B328,LEN(B328)-FIND("/",B328, FIND("Single Cells",B328, 1)))</f>
        <v>#VALUE!</v>
      </c>
    </row>
    <row r="329" customFormat="false" ht="12.75" hidden="false" customHeight="true" outlineLevel="0" collapsed="false">
      <c r="E329" s="34" t="str">
        <f aca="false">MID(B329,9,1)</f>
        <v/>
      </c>
      <c r="F329" s="34" t="str">
        <f aca="false">MID(B329,10,1)</f>
        <v/>
      </c>
      <c r="G329" s="34" t="str">
        <f aca="false">MID(B329,11,1)</f>
        <v/>
      </c>
      <c r="H329" s="35" t="str">
        <f aca="false">IF(G329=".",F329,CONCATENATE(F329,G329))</f>
        <v/>
      </c>
      <c r="I329" s="34" t="n">
        <f aca="false">IFERROR(VALUE(H329),)</f>
        <v>0</v>
      </c>
      <c r="J329" s="34" t="e">
        <f aca="false">RIGHT(B329,LEN(B329)-FIND("/",B329, FIND("Single Cells",B329, 1)))</f>
        <v>#VALUE!</v>
      </c>
    </row>
    <row r="330" customFormat="false" ht="12.75" hidden="false" customHeight="true" outlineLevel="0" collapsed="false">
      <c r="E330" s="34" t="str">
        <f aca="false">MID(B330,9,1)</f>
        <v/>
      </c>
      <c r="F330" s="34" t="str">
        <f aca="false">MID(B330,10,1)</f>
        <v/>
      </c>
      <c r="G330" s="34" t="str">
        <f aca="false">MID(B330,11,1)</f>
        <v/>
      </c>
      <c r="H330" s="35" t="str">
        <f aca="false">IF(G330=".",F330,CONCATENATE(F330,G330))</f>
        <v/>
      </c>
      <c r="I330" s="34" t="n">
        <f aca="false">IFERROR(VALUE(H330),)</f>
        <v>0</v>
      </c>
      <c r="J330" s="34" t="e">
        <f aca="false">RIGHT(B330,LEN(B330)-FIND("/",B330, FIND("Single Cells",B330, 1)))</f>
        <v>#VALUE!</v>
      </c>
    </row>
    <row r="331" customFormat="false" ht="12.75" hidden="false" customHeight="true" outlineLevel="0" collapsed="false">
      <c r="E331" s="34" t="str">
        <f aca="false">MID(B331,9,1)</f>
        <v/>
      </c>
      <c r="F331" s="34" t="str">
        <f aca="false">MID(B331,10,1)</f>
        <v/>
      </c>
      <c r="G331" s="34" t="str">
        <f aca="false">MID(B331,11,1)</f>
        <v/>
      </c>
      <c r="H331" s="35" t="str">
        <f aca="false">IF(G331=".",F331,CONCATENATE(F331,G331))</f>
        <v/>
      </c>
      <c r="I331" s="34" t="n">
        <f aca="false">IFERROR(VALUE(H331),)</f>
        <v>0</v>
      </c>
      <c r="J331" s="34" t="e">
        <f aca="false">RIGHT(B331,LEN(B331)-FIND("/",B331, FIND("Single Cells",B331, 1)))</f>
        <v>#VALUE!</v>
      </c>
    </row>
    <row r="332" customFormat="false" ht="12.75" hidden="false" customHeight="true" outlineLevel="0" collapsed="false">
      <c r="E332" s="34" t="str">
        <f aca="false">MID(B332,9,1)</f>
        <v/>
      </c>
      <c r="F332" s="34" t="str">
        <f aca="false">MID(B332,10,1)</f>
        <v/>
      </c>
      <c r="G332" s="34" t="str">
        <f aca="false">MID(B332,11,1)</f>
        <v/>
      </c>
      <c r="H332" s="35" t="str">
        <f aca="false">IF(G332=".",F332,CONCATENATE(F332,G332))</f>
        <v/>
      </c>
      <c r="I332" s="34" t="n">
        <f aca="false">IFERROR(VALUE(H332),)</f>
        <v>0</v>
      </c>
      <c r="J332" s="34" t="e">
        <f aca="false">RIGHT(B332,LEN(B332)-FIND("/",B332, FIND("Single Cells",B332, 1)))</f>
        <v>#VALUE!</v>
      </c>
    </row>
    <row r="333" customFormat="false" ht="12.75" hidden="false" customHeight="true" outlineLevel="0" collapsed="false">
      <c r="E333" s="34" t="str">
        <f aca="false">MID(B333,9,1)</f>
        <v/>
      </c>
      <c r="F333" s="34" t="str">
        <f aca="false">MID(B333,10,1)</f>
        <v/>
      </c>
      <c r="G333" s="34" t="str">
        <f aca="false">MID(B333,11,1)</f>
        <v/>
      </c>
      <c r="H333" s="35" t="str">
        <f aca="false">IF(G333=".",F333,CONCATENATE(F333,G333))</f>
        <v/>
      </c>
      <c r="I333" s="34" t="n">
        <f aca="false">IFERROR(VALUE(H333),)</f>
        <v>0</v>
      </c>
      <c r="J333" s="34" t="e">
        <f aca="false">RIGHT(B333,LEN(B333)-FIND("/",B333, FIND("Single Cells",B333, 1)))</f>
        <v>#VALUE!</v>
      </c>
    </row>
    <row r="334" customFormat="false" ht="12.75" hidden="false" customHeight="true" outlineLevel="0" collapsed="false">
      <c r="E334" s="34" t="str">
        <f aca="false">MID(B334,9,1)</f>
        <v/>
      </c>
      <c r="F334" s="34" t="str">
        <f aca="false">MID(B334,10,1)</f>
        <v/>
      </c>
      <c r="G334" s="34" t="str">
        <f aca="false">MID(B334,11,1)</f>
        <v/>
      </c>
      <c r="H334" s="35" t="str">
        <f aca="false">IF(G334=".",F334,CONCATENATE(F334,G334))</f>
        <v/>
      </c>
      <c r="I334" s="34" t="n">
        <f aca="false">IFERROR(VALUE(H334),)</f>
        <v>0</v>
      </c>
      <c r="J334" s="34" t="e">
        <f aca="false">RIGHT(B334,LEN(B334)-FIND("/",B334, FIND("Single Cells",B334, 1)))</f>
        <v>#VALUE!</v>
      </c>
    </row>
    <row r="335" customFormat="false" ht="12.75" hidden="false" customHeight="true" outlineLevel="0" collapsed="false">
      <c r="E335" s="34" t="str">
        <f aca="false">MID(B335,9,1)</f>
        <v/>
      </c>
      <c r="F335" s="34" t="str">
        <f aca="false">MID(B335,10,1)</f>
        <v/>
      </c>
      <c r="G335" s="34" t="str">
        <f aca="false">MID(B335,11,1)</f>
        <v/>
      </c>
      <c r="H335" s="35" t="str">
        <f aca="false">IF(G335=".",F335,CONCATENATE(F335,G335))</f>
        <v/>
      </c>
      <c r="I335" s="34" t="n">
        <f aca="false">IFERROR(VALUE(H335),)</f>
        <v>0</v>
      </c>
      <c r="J335" s="34" t="e">
        <f aca="false">RIGHT(B335,LEN(B335)-FIND("/",B335, FIND("Single Cells",B335, 1)))</f>
        <v>#VALUE!</v>
      </c>
    </row>
    <row r="336" customFormat="false" ht="12.75" hidden="false" customHeight="true" outlineLevel="0" collapsed="false">
      <c r="E336" s="34" t="str">
        <f aca="false">MID(B336,9,1)</f>
        <v/>
      </c>
      <c r="F336" s="34" t="str">
        <f aca="false">MID(B336,10,1)</f>
        <v/>
      </c>
      <c r="G336" s="34" t="str">
        <f aca="false">MID(B336,11,1)</f>
        <v/>
      </c>
      <c r="H336" s="35" t="str">
        <f aca="false">IF(G336=".",F336,CONCATENATE(F336,G336))</f>
        <v/>
      </c>
      <c r="I336" s="34" t="n">
        <f aca="false">IFERROR(VALUE(H336),)</f>
        <v>0</v>
      </c>
      <c r="J336" s="34" t="e">
        <f aca="false">RIGHT(B336,LEN(B336)-FIND("/",B336, FIND("Single Cells",B336, 1)))</f>
        <v>#VALUE!</v>
      </c>
    </row>
    <row r="337" customFormat="false" ht="12.75" hidden="false" customHeight="true" outlineLevel="0" collapsed="false">
      <c r="E337" s="34" t="str">
        <f aca="false">MID(B337,9,1)</f>
        <v/>
      </c>
      <c r="F337" s="34" t="str">
        <f aca="false">MID(B337,10,1)</f>
        <v/>
      </c>
      <c r="G337" s="34" t="str">
        <f aca="false">MID(B337,11,1)</f>
        <v/>
      </c>
      <c r="H337" s="35" t="str">
        <f aca="false">IF(G337=".",F337,CONCATENATE(F337,G337))</f>
        <v/>
      </c>
      <c r="I337" s="34" t="n">
        <f aca="false">IFERROR(VALUE(H337),)</f>
        <v>0</v>
      </c>
      <c r="J337" s="34" t="e">
        <f aca="false">RIGHT(B337,LEN(B337)-FIND("/",B337, FIND("Single Cells",B337, 1)))</f>
        <v>#VALUE!</v>
      </c>
    </row>
    <row r="338" customFormat="false" ht="12.75" hidden="false" customHeight="true" outlineLevel="0" collapsed="false">
      <c r="E338" s="34" t="str">
        <f aca="false">MID(B338,9,1)</f>
        <v/>
      </c>
      <c r="F338" s="34" t="str">
        <f aca="false">MID(B338,10,1)</f>
        <v/>
      </c>
      <c r="G338" s="34" t="str">
        <f aca="false">MID(B338,11,1)</f>
        <v/>
      </c>
      <c r="H338" s="35" t="str">
        <f aca="false">IF(G338=".",F338,CONCATENATE(F338,G338))</f>
        <v/>
      </c>
      <c r="I338" s="34" t="n">
        <f aca="false">IFERROR(VALUE(H338),)</f>
        <v>0</v>
      </c>
      <c r="J338" s="34" t="e">
        <f aca="false">RIGHT(B338,LEN(B338)-FIND("/",B338, FIND("Single Cells",B338, 1)))</f>
        <v>#VALUE!</v>
      </c>
    </row>
    <row r="339" customFormat="false" ht="12.75" hidden="false" customHeight="true" outlineLevel="0" collapsed="false">
      <c r="E339" s="34" t="str">
        <f aca="false">MID(B339,9,1)</f>
        <v/>
      </c>
      <c r="F339" s="34" t="str">
        <f aca="false">MID(B339,10,1)</f>
        <v/>
      </c>
      <c r="G339" s="34" t="str">
        <f aca="false">MID(B339,11,1)</f>
        <v/>
      </c>
      <c r="H339" s="35" t="str">
        <f aca="false">IF(G339=".",F339,CONCATENATE(F339,G339))</f>
        <v/>
      </c>
      <c r="I339" s="34" t="n">
        <f aca="false">IFERROR(VALUE(H339),)</f>
        <v>0</v>
      </c>
      <c r="J339" s="34" t="e">
        <f aca="false">RIGHT(B339,LEN(B339)-FIND("/",B339, FIND("Single Cells",B339, 1)))</f>
        <v>#VALUE!</v>
      </c>
    </row>
    <row r="340" customFormat="false" ht="12.75" hidden="false" customHeight="true" outlineLevel="0" collapsed="false">
      <c r="E340" s="34" t="str">
        <f aca="false">MID(B340,9,1)</f>
        <v/>
      </c>
      <c r="F340" s="34" t="str">
        <f aca="false">MID(B340,10,1)</f>
        <v/>
      </c>
      <c r="G340" s="34" t="str">
        <f aca="false">MID(B340,11,1)</f>
        <v/>
      </c>
      <c r="H340" s="35" t="str">
        <f aca="false">IF(G340=".",F340,CONCATENATE(F340,G340))</f>
        <v/>
      </c>
      <c r="I340" s="34" t="n">
        <f aca="false">IFERROR(VALUE(H340),)</f>
        <v>0</v>
      </c>
      <c r="J340" s="34" t="e">
        <f aca="false">RIGHT(B340,LEN(B340)-FIND("/",B340, FIND("Single Cells",B340, 1)))</f>
        <v>#VALUE!</v>
      </c>
    </row>
    <row r="341" customFormat="false" ht="12.75" hidden="false" customHeight="true" outlineLevel="0" collapsed="false">
      <c r="E341" s="34" t="str">
        <f aca="false">MID(B341,9,1)</f>
        <v/>
      </c>
      <c r="F341" s="34" t="str">
        <f aca="false">MID(B341,10,1)</f>
        <v/>
      </c>
      <c r="G341" s="34" t="str">
        <f aca="false">MID(B341,11,1)</f>
        <v/>
      </c>
      <c r="H341" s="35" t="str">
        <f aca="false">IF(G341=".",F341,CONCATENATE(F341,G341))</f>
        <v/>
      </c>
      <c r="I341" s="34" t="n">
        <f aca="false">IFERROR(VALUE(H341),)</f>
        <v>0</v>
      </c>
      <c r="J341" s="34" t="e">
        <f aca="false">RIGHT(B341,LEN(B341)-FIND("/",B341, FIND("Single Cells",B341, 1)))</f>
        <v>#VALUE!</v>
      </c>
    </row>
    <row r="342" customFormat="false" ht="12.75" hidden="false" customHeight="true" outlineLevel="0" collapsed="false">
      <c r="E342" s="34" t="str">
        <f aca="false">MID(B342,9,1)</f>
        <v/>
      </c>
      <c r="F342" s="34" t="str">
        <f aca="false">MID(B342,10,1)</f>
        <v/>
      </c>
      <c r="G342" s="34" t="str">
        <f aca="false">MID(B342,11,1)</f>
        <v/>
      </c>
      <c r="H342" s="35" t="str">
        <f aca="false">IF(G342=".",F342,CONCATENATE(F342,G342))</f>
        <v/>
      </c>
      <c r="I342" s="34" t="n">
        <f aca="false">IFERROR(VALUE(H342),)</f>
        <v>0</v>
      </c>
      <c r="J342" s="34" t="e">
        <f aca="false">RIGHT(B342,LEN(B342)-FIND("/",B342, FIND("Single Cells",B342, 1)))</f>
        <v>#VALUE!</v>
      </c>
    </row>
    <row r="343" customFormat="false" ht="12.75" hidden="false" customHeight="true" outlineLevel="0" collapsed="false">
      <c r="E343" s="34" t="str">
        <f aca="false">MID(B343,9,1)</f>
        <v/>
      </c>
      <c r="F343" s="34" t="str">
        <f aca="false">MID(B343,10,1)</f>
        <v/>
      </c>
      <c r="G343" s="34" t="str">
        <f aca="false">MID(B343,11,1)</f>
        <v/>
      </c>
      <c r="H343" s="35" t="str">
        <f aca="false">IF(G343=".",F343,CONCATENATE(F343,G343))</f>
        <v/>
      </c>
      <c r="I343" s="34" t="n">
        <f aca="false">IFERROR(VALUE(H343),)</f>
        <v>0</v>
      </c>
      <c r="J343" s="34" t="e">
        <f aca="false">RIGHT(B343,LEN(B343)-FIND("/",B343, FIND("Single Cells",B343, 1)))</f>
        <v>#VALUE!</v>
      </c>
    </row>
    <row r="344" customFormat="false" ht="12.75" hidden="false" customHeight="true" outlineLevel="0" collapsed="false">
      <c r="E344" s="34" t="str">
        <f aca="false">MID(B344,9,1)</f>
        <v/>
      </c>
      <c r="F344" s="34" t="str">
        <f aca="false">MID(B344,10,1)</f>
        <v/>
      </c>
      <c r="G344" s="34" t="str">
        <f aca="false">MID(B344,11,1)</f>
        <v/>
      </c>
      <c r="H344" s="35" t="str">
        <f aca="false">IF(G344=".",F344,CONCATENATE(F344,G344))</f>
        <v/>
      </c>
      <c r="I344" s="34" t="n">
        <f aca="false">IFERROR(VALUE(H344),)</f>
        <v>0</v>
      </c>
      <c r="J344" s="34" t="e">
        <f aca="false">RIGHT(B344,LEN(B344)-FIND("/",B344, FIND("Single Cells",B344, 1)))</f>
        <v>#VALUE!</v>
      </c>
    </row>
    <row r="345" customFormat="false" ht="12.75" hidden="false" customHeight="true" outlineLevel="0" collapsed="false">
      <c r="E345" s="34" t="str">
        <f aca="false">MID(B345,9,1)</f>
        <v/>
      </c>
      <c r="F345" s="34" t="str">
        <f aca="false">MID(B345,10,1)</f>
        <v/>
      </c>
      <c r="G345" s="34" t="str">
        <f aca="false">MID(B345,11,1)</f>
        <v/>
      </c>
      <c r="H345" s="35" t="str">
        <f aca="false">IF(G345=".",F345,CONCATENATE(F345,G345))</f>
        <v/>
      </c>
      <c r="I345" s="34" t="n">
        <f aca="false">IFERROR(VALUE(H345),)</f>
        <v>0</v>
      </c>
      <c r="J345" s="34" t="e">
        <f aca="false">RIGHT(B345,LEN(B345)-FIND("/",B345, FIND("Single Cells",B345, 1)))</f>
        <v>#VALUE!</v>
      </c>
    </row>
    <row r="346" customFormat="false" ht="12.75" hidden="false" customHeight="true" outlineLevel="0" collapsed="false">
      <c r="E346" s="34" t="str">
        <f aca="false">MID(B346,9,1)</f>
        <v/>
      </c>
      <c r="F346" s="34" t="str">
        <f aca="false">MID(B346,10,1)</f>
        <v/>
      </c>
      <c r="G346" s="34" t="str">
        <f aca="false">MID(B346,11,1)</f>
        <v/>
      </c>
      <c r="H346" s="35" t="str">
        <f aca="false">IF(G346=".",F346,CONCATENATE(F346,G346))</f>
        <v/>
      </c>
      <c r="I346" s="34" t="n">
        <f aca="false">IFERROR(VALUE(H346),)</f>
        <v>0</v>
      </c>
      <c r="J346" s="34" t="e">
        <f aca="false">RIGHT(B346,LEN(B346)-FIND("/",B346, FIND("Single Cells",B346, 1)))</f>
        <v>#VALUE!</v>
      </c>
    </row>
    <row r="347" customFormat="false" ht="12.75" hidden="false" customHeight="true" outlineLevel="0" collapsed="false">
      <c r="E347" s="34" t="str">
        <f aca="false">MID(B347,9,1)</f>
        <v/>
      </c>
      <c r="F347" s="34" t="str">
        <f aca="false">MID(B347,10,1)</f>
        <v/>
      </c>
      <c r="G347" s="34" t="str">
        <f aca="false">MID(B347,11,1)</f>
        <v/>
      </c>
      <c r="H347" s="35" t="str">
        <f aca="false">IF(G347=".",F347,CONCATENATE(F347,G347))</f>
        <v/>
      </c>
      <c r="I347" s="34" t="n">
        <f aca="false">IFERROR(VALUE(H347),)</f>
        <v>0</v>
      </c>
      <c r="J347" s="34" t="e">
        <f aca="false">RIGHT(B347,LEN(B347)-FIND("/",B347, FIND("Single Cells",B347, 1)))</f>
        <v>#VALUE!</v>
      </c>
    </row>
    <row r="348" customFormat="false" ht="12.75" hidden="false" customHeight="true" outlineLevel="0" collapsed="false">
      <c r="E348" s="34" t="str">
        <f aca="false">MID(B348,9,1)</f>
        <v/>
      </c>
      <c r="F348" s="34" t="str">
        <f aca="false">MID(B348,10,1)</f>
        <v/>
      </c>
      <c r="G348" s="34" t="str">
        <f aca="false">MID(B348,11,1)</f>
        <v/>
      </c>
      <c r="H348" s="35" t="str">
        <f aca="false">IF(G348=".",F348,CONCATENATE(F348,G348))</f>
        <v/>
      </c>
      <c r="I348" s="34" t="n">
        <f aca="false">IFERROR(VALUE(H348),)</f>
        <v>0</v>
      </c>
      <c r="J348" s="34" t="e">
        <f aca="false">RIGHT(B348,LEN(B348)-FIND("/",B348, FIND("Single Cells",B348, 1)))</f>
        <v>#VALUE!</v>
      </c>
    </row>
    <row r="349" customFormat="false" ht="12.75" hidden="false" customHeight="true" outlineLevel="0" collapsed="false">
      <c r="E349" s="34" t="str">
        <f aca="false">MID(B349,9,1)</f>
        <v/>
      </c>
      <c r="F349" s="34" t="str">
        <f aca="false">MID(B349,10,1)</f>
        <v/>
      </c>
      <c r="G349" s="34" t="str">
        <f aca="false">MID(B349,11,1)</f>
        <v/>
      </c>
      <c r="H349" s="35" t="str">
        <f aca="false">IF(G349=".",F349,CONCATENATE(F349,G349))</f>
        <v/>
      </c>
      <c r="I349" s="34" t="n">
        <f aca="false">IFERROR(VALUE(H349),)</f>
        <v>0</v>
      </c>
      <c r="J349" s="34" t="e">
        <f aca="false">RIGHT(B349,LEN(B349)-FIND("/",B349, FIND("Single Cells",B349, 1)))</f>
        <v>#VALUE!</v>
      </c>
    </row>
    <row r="350" customFormat="false" ht="12.75" hidden="false" customHeight="true" outlineLevel="0" collapsed="false">
      <c r="E350" s="34" t="str">
        <f aca="false">MID(B350,9,1)</f>
        <v/>
      </c>
      <c r="F350" s="34" t="str">
        <f aca="false">MID(B350,10,1)</f>
        <v/>
      </c>
      <c r="G350" s="34" t="str">
        <f aca="false">MID(B350,11,1)</f>
        <v/>
      </c>
      <c r="H350" s="35" t="str">
        <f aca="false">IF(G350=".",F350,CONCATENATE(F350,G350))</f>
        <v/>
      </c>
      <c r="I350" s="34" t="n">
        <f aca="false">IFERROR(VALUE(H350),)</f>
        <v>0</v>
      </c>
      <c r="J350" s="34" t="e">
        <f aca="false">RIGHT(B350,LEN(B350)-FIND("/",B350, FIND("Single Cells",B350, 1)))</f>
        <v>#VALUE!</v>
      </c>
    </row>
    <row r="351" customFormat="false" ht="12.75" hidden="false" customHeight="true" outlineLevel="0" collapsed="false">
      <c r="E351" s="34" t="str">
        <f aca="false">MID(B351,9,1)</f>
        <v/>
      </c>
      <c r="F351" s="34" t="str">
        <f aca="false">MID(B351,10,1)</f>
        <v/>
      </c>
      <c r="G351" s="34" t="str">
        <f aca="false">MID(B351,11,1)</f>
        <v/>
      </c>
      <c r="H351" s="35" t="str">
        <f aca="false">IF(G351=".",F351,CONCATENATE(F351,G351))</f>
        <v/>
      </c>
      <c r="I351" s="34" t="n">
        <f aca="false">IFERROR(VALUE(H351),)</f>
        <v>0</v>
      </c>
      <c r="J351" s="34" t="e">
        <f aca="false">RIGHT(B351,LEN(B351)-FIND("/",B351, FIND("Single Cells",B351, 1)))</f>
        <v>#VALUE!</v>
      </c>
    </row>
    <row r="352" customFormat="false" ht="12.75" hidden="false" customHeight="true" outlineLevel="0" collapsed="false">
      <c r="E352" s="34" t="str">
        <f aca="false">MID(B352,9,1)</f>
        <v/>
      </c>
      <c r="F352" s="34" t="str">
        <f aca="false">MID(B352,10,1)</f>
        <v/>
      </c>
      <c r="G352" s="34" t="str">
        <f aca="false">MID(B352,11,1)</f>
        <v/>
      </c>
      <c r="H352" s="35" t="str">
        <f aca="false">IF(G352=".",F352,CONCATENATE(F352,G352))</f>
        <v/>
      </c>
      <c r="I352" s="34" t="n">
        <f aca="false">IFERROR(VALUE(H352),)</f>
        <v>0</v>
      </c>
      <c r="J352" s="34" t="e">
        <f aca="false">RIGHT(B352,LEN(B352)-FIND("/",B352, FIND("Single Cells",B352, 1)))</f>
        <v>#VALUE!</v>
      </c>
    </row>
    <row r="353" customFormat="false" ht="12.75" hidden="false" customHeight="true" outlineLevel="0" collapsed="false">
      <c r="E353" s="34" t="str">
        <f aca="false">MID(B353,9,1)</f>
        <v/>
      </c>
      <c r="F353" s="34" t="str">
        <f aca="false">MID(B353,10,1)</f>
        <v/>
      </c>
      <c r="G353" s="34" t="str">
        <f aca="false">MID(B353,11,1)</f>
        <v/>
      </c>
      <c r="H353" s="35" t="str">
        <f aca="false">IF(G353=".",F353,CONCATENATE(F353,G353))</f>
        <v/>
      </c>
      <c r="I353" s="34" t="n">
        <f aca="false">IFERROR(VALUE(H353),)</f>
        <v>0</v>
      </c>
      <c r="J353" s="34" t="e">
        <f aca="false">RIGHT(B353,LEN(B353)-FIND("/",B353, FIND("Single Cells",B353, 1)))</f>
        <v>#VALUE!</v>
      </c>
    </row>
    <row r="354" customFormat="false" ht="12.75" hidden="false" customHeight="true" outlineLevel="0" collapsed="false">
      <c r="E354" s="34" t="str">
        <f aca="false">MID(B354,9,1)</f>
        <v/>
      </c>
      <c r="F354" s="34" t="str">
        <f aca="false">MID(B354,10,1)</f>
        <v/>
      </c>
      <c r="G354" s="34" t="str">
        <f aca="false">MID(B354,11,1)</f>
        <v/>
      </c>
      <c r="H354" s="35" t="str">
        <f aca="false">IF(G354=".",F354,CONCATENATE(F354,G354))</f>
        <v/>
      </c>
      <c r="I354" s="34" t="n">
        <f aca="false">IFERROR(VALUE(H354),)</f>
        <v>0</v>
      </c>
      <c r="J354" s="34" t="e">
        <f aca="false">RIGHT(B354,LEN(B354)-FIND("/",B354, FIND("Single Cells",B354, 1)))</f>
        <v>#VALUE!</v>
      </c>
    </row>
    <row r="355" customFormat="false" ht="12.75" hidden="false" customHeight="true" outlineLevel="0" collapsed="false">
      <c r="E355" s="34" t="str">
        <f aca="false">MID(B355,9,1)</f>
        <v/>
      </c>
      <c r="F355" s="34" t="str">
        <f aca="false">MID(B355,10,1)</f>
        <v/>
      </c>
      <c r="G355" s="34" t="str">
        <f aca="false">MID(B355,11,1)</f>
        <v/>
      </c>
      <c r="H355" s="35" t="str">
        <f aca="false">IF(G355=".",F355,CONCATENATE(F355,G355))</f>
        <v/>
      </c>
      <c r="I355" s="34" t="n">
        <f aca="false">IFERROR(VALUE(H355),)</f>
        <v>0</v>
      </c>
      <c r="J355" s="34" t="e">
        <f aca="false">RIGHT(B355,LEN(B355)-FIND("/",B355, FIND("Single Cells",B355, 1)))</f>
        <v>#VALUE!</v>
      </c>
    </row>
    <row r="356" customFormat="false" ht="12.75" hidden="false" customHeight="true" outlineLevel="0" collapsed="false">
      <c r="E356" s="34" t="str">
        <f aca="false">MID(B356,9,1)</f>
        <v/>
      </c>
      <c r="F356" s="34" t="str">
        <f aca="false">MID(B356,10,1)</f>
        <v/>
      </c>
      <c r="G356" s="34" t="str">
        <f aca="false">MID(B356,11,1)</f>
        <v/>
      </c>
      <c r="H356" s="35" t="str">
        <f aca="false">IF(G356=".",F356,CONCATENATE(F356,G356))</f>
        <v/>
      </c>
      <c r="I356" s="34" t="n">
        <f aca="false">IFERROR(VALUE(H356),)</f>
        <v>0</v>
      </c>
      <c r="J356" s="34" t="e">
        <f aca="false">RIGHT(B356,LEN(B356)-FIND("/",B356, FIND("Single Cells",B356, 1)))</f>
        <v>#VALUE!</v>
      </c>
    </row>
    <row r="357" customFormat="false" ht="12.75" hidden="false" customHeight="true" outlineLevel="0" collapsed="false">
      <c r="E357" s="34" t="str">
        <f aca="false">MID(B357,9,1)</f>
        <v/>
      </c>
      <c r="F357" s="34" t="str">
        <f aca="false">MID(B357,10,1)</f>
        <v/>
      </c>
      <c r="G357" s="34" t="str">
        <f aca="false">MID(B357,11,1)</f>
        <v/>
      </c>
      <c r="H357" s="35" t="str">
        <f aca="false">IF(G357=".",F357,CONCATENATE(F357,G357))</f>
        <v/>
      </c>
      <c r="I357" s="34" t="n">
        <f aca="false">IFERROR(VALUE(H357),)</f>
        <v>0</v>
      </c>
      <c r="J357" s="34" t="e">
        <f aca="false">RIGHT(B357,LEN(B357)-FIND("/",B357, FIND("Single Cells",B357, 1)))</f>
        <v>#VALUE!</v>
      </c>
    </row>
    <row r="358" customFormat="false" ht="12.75" hidden="false" customHeight="true" outlineLevel="0" collapsed="false">
      <c r="E358" s="34" t="str">
        <f aca="false">MID(B358,9,1)</f>
        <v/>
      </c>
      <c r="F358" s="34" t="str">
        <f aca="false">MID(B358,10,1)</f>
        <v/>
      </c>
      <c r="G358" s="34" t="str">
        <f aca="false">MID(B358,11,1)</f>
        <v/>
      </c>
      <c r="H358" s="35" t="str">
        <f aca="false">IF(G358=".",F358,CONCATENATE(F358,G358))</f>
        <v/>
      </c>
      <c r="I358" s="34" t="n">
        <f aca="false">IFERROR(VALUE(H358),)</f>
        <v>0</v>
      </c>
      <c r="J358" s="34" t="e">
        <f aca="false">RIGHT(B358,LEN(B358)-FIND("/",B358, FIND("Single Cells",B358, 1)))</f>
        <v>#VALUE!</v>
      </c>
    </row>
    <row r="359" customFormat="false" ht="12.75" hidden="false" customHeight="true" outlineLevel="0" collapsed="false">
      <c r="E359" s="34" t="str">
        <f aca="false">MID(B359,9,1)</f>
        <v/>
      </c>
      <c r="F359" s="34" t="str">
        <f aca="false">MID(B359,10,1)</f>
        <v/>
      </c>
      <c r="G359" s="34" t="str">
        <f aca="false">MID(B359,11,1)</f>
        <v/>
      </c>
      <c r="H359" s="35" t="str">
        <f aca="false">IF(G359=".",F359,CONCATENATE(F359,G359))</f>
        <v/>
      </c>
      <c r="I359" s="34" t="n">
        <f aca="false">IFERROR(VALUE(H359),)</f>
        <v>0</v>
      </c>
      <c r="J359" s="34" t="e">
        <f aca="false">RIGHT(B359,LEN(B359)-FIND("/",B359, FIND("Single Cells",B359, 1)))</f>
        <v>#VALUE!</v>
      </c>
    </row>
    <row r="360" customFormat="false" ht="12.75" hidden="false" customHeight="true" outlineLevel="0" collapsed="false">
      <c r="E360" s="34" t="str">
        <f aca="false">MID(B360,9,1)</f>
        <v/>
      </c>
      <c r="F360" s="34" t="str">
        <f aca="false">MID(B360,10,1)</f>
        <v/>
      </c>
      <c r="G360" s="34" t="str">
        <f aca="false">MID(B360,11,1)</f>
        <v/>
      </c>
      <c r="H360" s="35" t="str">
        <f aca="false">IF(G360=".",F360,CONCATENATE(F360,G360))</f>
        <v/>
      </c>
      <c r="I360" s="34" t="n">
        <f aca="false">IFERROR(VALUE(H360),)</f>
        <v>0</v>
      </c>
      <c r="J360" s="34" t="e">
        <f aca="false">RIGHT(B360,LEN(B360)-FIND("/",B360, FIND("Single Cells",B360, 1)))</f>
        <v>#VALUE!</v>
      </c>
    </row>
    <row r="361" customFormat="false" ht="12.75" hidden="false" customHeight="true" outlineLevel="0" collapsed="false">
      <c r="E361" s="34" t="str">
        <f aca="false">MID(B361,9,1)</f>
        <v/>
      </c>
      <c r="F361" s="34" t="str">
        <f aca="false">MID(B361,10,1)</f>
        <v/>
      </c>
      <c r="G361" s="34" t="str">
        <f aca="false">MID(B361,11,1)</f>
        <v/>
      </c>
      <c r="H361" s="35" t="str">
        <f aca="false">IF(G361=".",F361,CONCATENATE(F361,G361))</f>
        <v/>
      </c>
      <c r="I361" s="34" t="n">
        <f aca="false">IFERROR(VALUE(H361),)</f>
        <v>0</v>
      </c>
      <c r="J361" s="34" t="e">
        <f aca="false">RIGHT(B361,LEN(B361)-FIND("/",B361, FIND("Single Cells",B361, 1)))</f>
        <v>#VALUE!</v>
      </c>
    </row>
    <row r="362" customFormat="false" ht="12.75" hidden="false" customHeight="true" outlineLevel="0" collapsed="false">
      <c r="E362" s="34" t="str">
        <f aca="false">MID(B362,9,1)</f>
        <v/>
      </c>
      <c r="F362" s="34" t="str">
        <f aca="false">MID(B362,10,1)</f>
        <v/>
      </c>
      <c r="G362" s="34" t="str">
        <f aca="false">MID(B362,11,1)</f>
        <v/>
      </c>
      <c r="H362" s="35" t="str">
        <f aca="false">IF(G362=".",F362,CONCATENATE(F362,G362))</f>
        <v/>
      </c>
      <c r="I362" s="34" t="n">
        <f aca="false">IFERROR(VALUE(H362),)</f>
        <v>0</v>
      </c>
      <c r="J362" s="34" t="e">
        <f aca="false">RIGHT(B362,LEN(B362)-FIND("/",B362, FIND("Single Cells",B362, 1)))</f>
        <v>#VALUE!</v>
      </c>
    </row>
    <row r="363" customFormat="false" ht="12.75" hidden="false" customHeight="true" outlineLevel="0" collapsed="false">
      <c r="E363" s="34" t="str">
        <f aca="false">MID(B363,9,1)</f>
        <v/>
      </c>
      <c r="F363" s="34" t="str">
        <f aca="false">MID(B363,10,1)</f>
        <v/>
      </c>
      <c r="G363" s="34" t="str">
        <f aca="false">MID(B363,11,1)</f>
        <v/>
      </c>
      <c r="H363" s="35" t="str">
        <f aca="false">IF(G363=".",F363,CONCATENATE(F363,G363))</f>
        <v/>
      </c>
      <c r="I363" s="34" t="n">
        <f aca="false">IFERROR(VALUE(H363),)</f>
        <v>0</v>
      </c>
      <c r="J363" s="34" t="e">
        <f aca="false">RIGHT(B363,LEN(B363)-FIND("/",B363, FIND("Single Cells",B363, 1)))</f>
        <v>#VALUE!</v>
      </c>
    </row>
    <row r="364" customFormat="false" ht="12.75" hidden="false" customHeight="true" outlineLevel="0" collapsed="false">
      <c r="E364" s="34" t="str">
        <f aca="false">MID(B364,9,1)</f>
        <v/>
      </c>
      <c r="F364" s="34" t="str">
        <f aca="false">MID(B364,10,1)</f>
        <v/>
      </c>
      <c r="G364" s="34" t="str">
        <f aca="false">MID(B364,11,1)</f>
        <v/>
      </c>
      <c r="H364" s="35" t="str">
        <f aca="false">IF(G364=".",F364,CONCATENATE(F364,G364))</f>
        <v/>
      </c>
      <c r="I364" s="34" t="n">
        <f aca="false">IFERROR(VALUE(H364),)</f>
        <v>0</v>
      </c>
      <c r="J364" s="34" t="e">
        <f aca="false">RIGHT(B364,LEN(B364)-FIND("/",B364, FIND("Single Cells",B364, 1)))</f>
        <v>#VALUE!</v>
      </c>
    </row>
    <row r="365" customFormat="false" ht="12.75" hidden="false" customHeight="true" outlineLevel="0" collapsed="false">
      <c r="E365" s="34" t="str">
        <f aca="false">MID(B365,9,1)</f>
        <v/>
      </c>
      <c r="F365" s="34" t="str">
        <f aca="false">MID(B365,10,1)</f>
        <v/>
      </c>
      <c r="G365" s="34" t="str">
        <f aca="false">MID(B365,11,1)</f>
        <v/>
      </c>
      <c r="H365" s="35" t="str">
        <f aca="false">IF(G365=".",F365,CONCATENATE(F365,G365))</f>
        <v/>
      </c>
      <c r="I365" s="34" t="n">
        <f aca="false">IFERROR(VALUE(H365),)</f>
        <v>0</v>
      </c>
      <c r="J365" s="34" t="e">
        <f aca="false">RIGHT(B365,LEN(B365)-FIND("/",B365, FIND("Single Cells",B365, 1)))</f>
        <v>#VALUE!</v>
      </c>
    </row>
    <row r="366" customFormat="false" ht="12.75" hidden="false" customHeight="true" outlineLevel="0" collapsed="false">
      <c r="E366" s="34" t="str">
        <f aca="false">MID(B366,9,1)</f>
        <v/>
      </c>
      <c r="F366" s="34" t="str">
        <f aca="false">MID(B366,10,1)</f>
        <v/>
      </c>
      <c r="G366" s="34" t="str">
        <f aca="false">MID(B366,11,1)</f>
        <v/>
      </c>
      <c r="H366" s="35" t="str">
        <f aca="false">IF(G366=".",F366,CONCATENATE(F366,G366))</f>
        <v/>
      </c>
      <c r="I366" s="34" t="n">
        <f aca="false">IFERROR(VALUE(H366),)</f>
        <v>0</v>
      </c>
      <c r="J366" s="34" t="e">
        <f aca="false">RIGHT(B366,LEN(B366)-FIND("/",B366, FIND("Single Cells",B366, 1)))</f>
        <v>#VALUE!</v>
      </c>
    </row>
    <row r="367" customFormat="false" ht="12.75" hidden="false" customHeight="true" outlineLevel="0" collapsed="false">
      <c r="E367" s="34" t="str">
        <f aca="false">MID(B367,9,1)</f>
        <v/>
      </c>
      <c r="F367" s="34" t="str">
        <f aca="false">MID(B367,10,1)</f>
        <v/>
      </c>
      <c r="G367" s="34" t="str">
        <f aca="false">MID(B367,11,1)</f>
        <v/>
      </c>
      <c r="H367" s="35" t="str">
        <f aca="false">IF(G367=".",F367,CONCATENATE(F367,G367))</f>
        <v/>
      </c>
      <c r="I367" s="34" t="n">
        <f aca="false">IFERROR(VALUE(H367),)</f>
        <v>0</v>
      </c>
      <c r="J367" s="34" t="e">
        <f aca="false">RIGHT(B367,LEN(B367)-FIND("/",B367, FIND("Single Cells",B367, 1)))</f>
        <v>#VALUE!</v>
      </c>
    </row>
    <row r="368" customFormat="false" ht="12.75" hidden="false" customHeight="true" outlineLevel="0" collapsed="false">
      <c r="E368" s="34" t="str">
        <f aca="false">MID(B368,9,1)</f>
        <v/>
      </c>
      <c r="F368" s="34" t="str">
        <f aca="false">MID(B368,10,1)</f>
        <v/>
      </c>
      <c r="G368" s="34" t="str">
        <f aca="false">MID(B368,11,1)</f>
        <v/>
      </c>
      <c r="H368" s="35" t="str">
        <f aca="false">IF(G368=".",F368,CONCATENATE(F368,G368))</f>
        <v/>
      </c>
      <c r="I368" s="34" t="n">
        <f aca="false">IFERROR(VALUE(H368),)</f>
        <v>0</v>
      </c>
      <c r="J368" s="34" t="e">
        <f aca="false">RIGHT(B368,LEN(B368)-FIND("/",B368, FIND("Single Cells",B368, 1)))</f>
        <v>#VALUE!</v>
      </c>
    </row>
    <row r="369" customFormat="false" ht="12.75" hidden="false" customHeight="true" outlineLevel="0" collapsed="false">
      <c r="E369" s="34" t="str">
        <f aca="false">MID(B369,9,1)</f>
        <v/>
      </c>
      <c r="F369" s="34" t="str">
        <f aca="false">MID(B369,10,1)</f>
        <v/>
      </c>
      <c r="G369" s="34" t="str">
        <f aca="false">MID(B369,11,1)</f>
        <v/>
      </c>
      <c r="H369" s="35" t="str">
        <f aca="false">IF(G369=".",F369,CONCATENATE(F369,G369))</f>
        <v/>
      </c>
      <c r="I369" s="34" t="n">
        <f aca="false">IFERROR(VALUE(H369),)</f>
        <v>0</v>
      </c>
      <c r="J369" s="34" t="e">
        <f aca="false">RIGHT(B369,LEN(B369)-FIND("/",B369, FIND("Single Cells",B369, 1)))</f>
        <v>#VALUE!</v>
      </c>
    </row>
    <row r="370" customFormat="false" ht="12.75" hidden="false" customHeight="true" outlineLevel="0" collapsed="false">
      <c r="E370" s="34" t="str">
        <f aca="false">MID(B370,9,1)</f>
        <v/>
      </c>
      <c r="F370" s="34" t="str">
        <f aca="false">MID(B370,10,1)</f>
        <v/>
      </c>
      <c r="G370" s="34" t="str">
        <f aca="false">MID(B370,11,1)</f>
        <v/>
      </c>
      <c r="H370" s="35" t="str">
        <f aca="false">IF(G370=".",F370,CONCATENATE(F370,G370))</f>
        <v/>
      </c>
      <c r="I370" s="34" t="n">
        <f aca="false">IFERROR(VALUE(H370),)</f>
        <v>0</v>
      </c>
      <c r="J370" s="34" t="e">
        <f aca="false">RIGHT(B370,LEN(B370)-FIND("/",B370, FIND("Single Cells",B370, 1)))</f>
        <v>#VALUE!</v>
      </c>
    </row>
    <row r="371" customFormat="false" ht="12.75" hidden="false" customHeight="true" outlineLevel="0" collapsed="false">
      <c r="E371" s="34" t="str">
        <f aca="false">MID(B371,9,1)</f>
        <v/>
      </c>
      <c r="F371" s="34" t="str">
        <f aca="false">MID(B371,10,1)</f>
        <v/>
      </c>
      <c r="G371" s="34" t="str">
        <f aca="false">MID(B371,11,1)</f>
        <v/>
      </c>
      <c r="H371" s="35" t="str">
        <f aca="false">IF(G371=".",F371,CONCATENATE(F371,G371))</f>
        <v/>
      </c>
      <c r="I371" s="34" t="n">
        <f aca="false">IFERROR(VALUE(H371),)</f>
        <v>0</v>
      </c>
      <c r="J371" s="34" t="e">
        <f aca="false">RIGHT(B371,LEN(B371)-FIND("/",B371, FIND("Single Cells",B371, 1)))</f>
        <v>#VALUE!</v>
      </c>
    </row>
    <row r="372" customFormat="false" ht="12.75" hidden="false" customHeight="true" outlineLevel="0" collapsed="false">
      <c r="E372" s="34" t="str">
        <f aca="false">MID(B372,9,1)</f>
        <v/>
      </c>
      <c r="F372" s="34" t="str">
        <f aca="false">MID(B372,10,1)</f>
        <v/>
      </c>
      <c r="G372" s="34" t="str">
        <f aca="false">MID(B372,11,1)</f>
        <v/>
      </c>
      <c r="H372" s="35" t="str">
        <f aca="false">IF(G372=".",F372,CONCATENATE(F372,G372))</f>
        <v/>
      </c>
      <c r="I372" s="34" t="n">
        <f aca="false">IFERROR(VALUE(H372),)</f>
        <v>0</v>
      </c>
      <c r="J372" s="34" t="e">
        <f aca="false">RIGHT(B372,LEN(B372)-FIND("/",B372, FIND("Single Cells",B372, 1)))</f>
        <v>#VALUE!</v>
      </c>
    </row>
    <row r="373" customFormat="false" ht="12.75" hidden="false" customHeight="true" outlineLevel="0" collapsed="false">
      <c r="E373" s="34" t="str">
        <f aca="false">MID(B373,9,1)</f>
        <v/>
      </c>
      <c r="F373" s="34" t="str">
        <f aca="false">MID(B373,10,1)</f>
        <v/>
      </c>
      <c r="G373" s="34" t="str">
        <f aca="false">MID(B373,11,1)</f>
        <v/>
      </c>
      <c r="H373" s="35" t="str">
        <f aca="false">IF(G373=".",F373,CONCATENATE(F373,G373))</f>
        <v/>
      </c>
      <c r="I373" s="34" t="n">
        <f aca="false">IFERROR(VALUE(H373),)</f>
        <v>0</v>
      </c>
      <c r="J373" s="34" t="e">
        <f aca="false">RIGHT(B373,LEN(B373)-FIND("/",B373, FIND("Single Cells",B373, 1)))</f>
        <v>#VALUE!</v>
      </c>
    </row>
    <row r="374" customFormat="false" ht="12.75" hidden="false" customHeight="true" outlineLevel="0" collapsed="false">
      <c r="E374" s="34" t="str">
        <f aca="false">MID(B374,9,1)</f>
        <v/>
      </c>
      <c r="F374" s="34" t="str">
        <f aca="false">MID(B374,10,1)</f>
        <v/>
      </c>
      <c r="G374" s="34" t="str">
        <f aca="false">MID(B374,11,1)</f>
        <v/>
      </c>
      <c r="H374" s="35" t="str">
        <f aca="false">IF(G374=".",F374,CONCATENATE(F374,G374))</f>
        <v/>
      </c>
      <c r="I374" s="34" t="n">
        <f aca="false">IFERROR(VALUE(H374),)</f>
        <v>0</v>
      </c>
      <c r="J374" s="34" t="e">
        <f aca="false">RIGHT(B374,LEN(B374)-FIND("/",B374, FIND("Single Cells",B374, 1)))</f>
        <v>#VALUE!</v>
      </c>
    </row>
    <row r="375" customFormat="false" ht="12.75" hidden="false" customHeight="true" outlineLevel="0" collapsed="false">
      <c r="E375" s="34" t="str">
        <f aca="false">MID(B375,9,1)</f>
        <v/>
      </c>
      <c r="F375" s="34" t="str">
        <f aca="false">MID(B375,10,1)</f>
        <v/>
      </c>
      <c r="G375" s="34" t="str">
        <f aca="false">MID(B375,11,1)</f>
        <v/>
      </c>
      <c r="H375" s="35" t="str">
        <f aca="false">IF(G375=".",F375,CONCATENATE(F375,G375))</f>
        <v/>
      </c>
      <c r="I375" s="34" t="n">
        <f aca="false">IFERROR(VALUE(H375),)</f>
        <v>0</v>
      </c>
      <c r="J375" s="34" t="e">
        <f aca="false">RIGHT(B375,LEN(B375)-FIND("/",B375, FIND("Single Cells",B375, 1)))</f>
        <v>#VALUE!</v>
      </c>
    </row>
    <row r="376" customFormat="false" ht="12.75" hidden="false" customHeight="true" outlineLevel="0" collapsed="false">
      <c r="E376" s="34" t="str">
        <f aca="false">MID(B376,9,1)</f>
        <v/>
      </c>
      <c r="F376" s="34" t="str">
        <f aca="false">MID(B376,10,1)</f>
        <v/>
      </c>
      <c r="G376" s="34" t="str">
        <f aca="false">MID(B376,11,1)</f>
        <v/>
      </c>
      <c r="H376" s="35" t="str">
        <f aca="false">IF(G376=".",F376,CONCATENATE(F376,G376))</f>
        <v/>
      </c>
      <c r="I376" s="34" t="n">
        <f aca="false">IFERROR(VALUE(H376),)</f>
        <v>0</v>
      </c>
      <c r="J376" s="34" t="e">
        <f aca="false">RIGHT(B376,LEN(B376)-FIND("/",B376, FIND("Single Cells",B376, 1)))</f>
        <v>#VALUE!</v>
      </c>
    </row>
    <row r="377" customFormat="false" ht="12.75" hidden="false" customHeight="true" outlineLevel="0" collapsed="false">
      <c r="E377" s="34" t="str">
        <f aca="false">MID(B377,9,1)</f>
        <v/>
      </c>
      <c r="F377" s="34" t="str">
        <f aca="false">MID(B377,10,1)</f>
        <v/>
      </c>
      <c r="G377" s="34" t="str">
        <f aca="false">MID(B377,11,1)</f>
        <v/>
      </c>
      <c r="H377" s="35" t="str">
        <f aca="false">IF(G377=".",F377,CONCATENATE(F377,G377))</f>
        <v/>
      </c>
      <c r="I377" s="34" t="n">
        <f aca="false">IFERROR(VALUE(H377),)</f>
        <v>0</v>
      </c>
      <c r="J377" s="34" t="e">
        <f aca="false">RIGHT(B377,LEN(B377)-FIND("/",B377, FIND("Single Cells",B377, 1)))</f>
        <v>#VALUE!</v>
      </c>
    </row>
    <row r="378" customFormat="false" ht="12.75" hidden="false" customHeight="true" outlineLevel="0" collapsed="false">
      <c r="E378" s="34" t="str">
        <f aca="false">MID(B378,9,1)</f>
        <v/>
      </c>
      <c r="F378" s="34" t="str">
        <f aca="false">MID(B378,10,1)</f>
        <v/>
      </c>
      <c r="G378" s="34" t="str">
        <f aca="false">MID(B378,11,1)</f>
        <v/>
      </c>
      <c r="H378" s="35" t="str">
        <f aca="false">IF(G378=".",F378,CONCATENATE(F378,G378))</f>
        <v/>
      </c>
      <c r="I378" s="34" t="n">
        <f aca="false">IFERROR(VALUE(H378),)</f>
        <v>0</v>
      </c>
      <c r="J378" s="34" t="e">
        <f aca="false">RIGHT(B378,LEN(B378)-FIND("/",B378, FIND("Single Cells",B378, 1)))</f>
        <v>#VALUE!</v>
      </c>
    </row>
    <row r="379" customFormat="false" ht="12.75" hidden="false" customHeight="true" outlineLevel="0" collapsed="false">
      <c r="E379" s="34" t="str">
        <f aca="false">MID(B379,9,1)</f>
        <v/>
      </c>
      <c r="F379" s="34" t="str">
        <f aca="false">MID(B379,10,1)</f>
        <v/>
      </c>
      <c r="G379" s="34" t="str">
        <f aca="false">MID(B379,11,1)</f>
        <v/>
      </c>
      <c r="H379" s="35" t="str">
        <f aca="false">IF(G379=".",F379,CONCATENATE(F379,G379))</f>
        <v/>
      </c>
      <c r="I379" s="34" t="n">
        <f aca="false">IFERROR(VALUE(H379),)</f>
        <v>0</v>
      </c>
      <c r="J379" s="34" t="e">
        <f aca="false">RIGHT(B379,LEN(B379)-FIND("/",B379, FIND("Single Cells",B379, 1)))</f>
        <v>#VALUE!</v>
      </c>
    </row>
    <row r="380" customFormat="false" ht="12.75" hidden="false" customHeight="true" outlineLevel="0" collapsed="false">
      <c r="E380" s="34" t="str">
        <f aca="false">MID(B380,9,1)</f>
        <v/>
      </c>
      <c r="F380" s="34" t="str">
        <f aca="false">MID(B380,10,1)</f>
        <v/>
      </c>
      <c r="G380" s="34" t="str">
        <f aca="false">MID(B380,11,1)</f>
        <v/>
      </c>
      <c r="H380" s="35" t="str">
        <f aca="false">IF(G380=".",F380,CONCATENATE(F380,G380))</f>
        <v/>
      </c>
      <c r="I380" s="34" t="n">
        <f aca="false">IFERROR(VALUE(H380),)</f>
        <v>0</v>
      </c>
      <c r="J380" s="34" t="e">
        <f aca="false">RIGHT(B380,LEN(B380)-FIND("/",B380, FIND("Single Cells",B380, 1)))</f>
        <v>#VALUE!</v>
      </c>
    </row>
    <row r="381" customFormat="false" ht="12.75" hidden="false" customHeight="true" outlineLevel="0" collapsed="false">
      <c r="E381" s="34" t="str">
        <f aca="false">MID(B381,9,1)</f>
        <v/>
      </c>
      <c r="F381" s="34" t="str">
        <f aca="false">MID(B381,10,1)</f>
        <v/>
      </c>
      <c r="G381" s="34" t="str">
        <f aca="false">MID(B381,11,1)</f>
        <v/>
      </c>
      <c r="H381" s="35" t="str">
        <f aca="false">IF(G381=".",F381,CONCATENATE(F381,G381))</f>
        <v/>
      </c>
      <c r="I381" s="34" t="n">
        <f aca="false">IFERROR(VALUE(H381),)</f>
        <v>0</v>
      </c>
      <c r="J381" s="34" t="e">
        <f aca="false">RIGHT(B381,LEN(B381)-FIND("/",B381, FIND("Single Cells",B381, 1)))</f>
        <v>#VALUE!</v>
      </c>
    </row>
    <row r="382" customFormat="false" ht="12.75" hidden="false" customHeight="true" outlineLevel="0" collapsed="false">
      <c r="E382" s="34" t="str">
        <f aca="false">MID(B382,9,1)</f>
        <v/>
      </c>
      <c r="F382" s="34" t="str">
        <f aca="false">MID(B382,10,1)</f>
        <v/>
      </c>
      <c r="G382" s="34" t="str">
        <f aca="false">MID(B382,11,1)</f>
        <v/>
      </c>
      <c r="H382" s="35" t="str">
        <f aca="false">IF(G382=".",F382,CONCATENATE(F382,G382))</f>
        <v/>
      </c>
      <c r="I382" s="34" t="n">
        <f aca="false">IFERROR(VALUE(H382),)</f>
        <v>0</v>
      </c>
      <c r="J382" s="34" t="e">
        <f aca="false">RIGHT(B382,LEN(B382)-FIND("/",B382, FIND("Single Cells",B382, 1)))</f>
        <v>#VALUE!</v>
      </c>
    </row>
    <row r="383" customFormat="false" ht="12.75" hidden="false" customHeight="true" outlineLevel="0" collapsed="false">
      <c r="E383" s="34" t="str">
        <f aca="false">MID(B383,9,1)</f>
        <v/>
      </c>
      <c r="F383" s="34" t="str">
        <f aca="false">MID(B383,10,1)</f>
        <v/>
      </c>
      <c r="G383" s="34" t="str">
        <f aca="false">MID(B383,11,1)</f>
        <v/>
      </c>
      <c r="H383" s="35" t="str">
        <f aca="false">IF(G383=".",F383,CONCATENATE(F383,G383))</f>
        <v/>
      </c>
      <c r="I383" s="34" t="n">
        <f aca="false">IFERROR(VALUE(H383),)</f>
        <v>0</v>
      </c>
      <c r="J383" s="34" t="e">
        <f aca="false">RIGHT(B383,LEN(B383)-FIND("/",B383, FIND("Single Cells",B383, 1)))</f>
        <v>#VALUE!</v>
      </c>
    </row>
    <row r="384" customFormat="false" ht="12.75" hidden="false" customHeight="true" outlineLevel="0" collapsed="false">
      <c r="E384" s="34" t="str">
        <f aca="false">MID(B384,9,1)</f>
        <v/>
      </c>
      <c r="F384" s="34" t="str">
        <f aca="false">MID(B384,10,1)</f>
        <v/>
      </c>
      <c r="G384" s="34" t="str">
        <f aca="false">MID(B384,11,1)</f>
        <v/>
      </c>
      <c r="H384" s="35" t="str">
        <f aca="false">IF(G384=".",F384,CONCATENATE(F384,G384))</f>
        <v/>
      </c>
      <c r="I384" s="34" t="n">
        <f aca="false">IFERROR(VALUE(H384),)</f>
        <v>0</v>
      </c>
      <c r="J384" s="34" t="e">
        <f aca="false">RIGHT(B384,LEN(B384)-FIND("/",B384, FIND("Single Cells",B384, 1)))</f>
        <v>#VALUE!</v>
      </c>
    </row>
    <row r="385" customFormat="false" ht="12.75" hidden="false" customHeight="true" outlineLevel="0" collapsed="false">
      <c r="E385" s="34" t="str">
        <f aca="false">MID(B385,9,1)</f>
        <v/>
      </c>
      <c r="F385" s="34" t="str">
        <f aca="false">MID(B385,10,1)</f>
        <v/>
      </c>
      <c r="G385" s="34" t="str">
        <f aca="false">MID(B385,11,1)</f>
        <v/>
      </c>
      <c r="H385" s="35" t="str">
        <f aca="false">IF(G385=".",F385,CONCATENATE(F385,G385))</f>
        <v/>
      </c>
      <c r="I385" s="34" t="n">
        <f aca="false">IFERROR(VALUE(H385),)</f>
        <v>0</v>
      </c>
      <c r="J385" s="34" t="e">
        <f aca="false">RIGHT(B385,LEN(B385)-FIND("/",B385, FIND("Single Cells",B385, 1)))</f>
        <v>#VALUE!</v>
      </c>
    </row>
    <row r="386" customFormat="false" ht="12.75" hidden="false" customHeight="true" outlineLevel="0" collapsed="false">
      <c r="E386" s="34" t="str">
        <f aca="false">MID(B386,9,1)</f>
        <v/>
      </c>
      <c r="F386" s="34" t="str">
        <f aca="false">MID(B386,10,1)</f>
        <v/>
      </c>
      <c r="G386" s="34" t="str">
        <f aca="false">MID(B386,11,1)</f>
        <v/>
      </c>
      <c r="H386" s="35" t="str">
        <f aca="false">IF(G386=".",F386,CONCATENATE(F386,G386))</f>
        <v/>
      </c>
      <c r="I386" s="34" t="n">
        <f aca="false">IFERROR(VALUE(H386),)</f>
        <v>0</v>
      </c>
      <c r="J386" s="34" t="e">
        <f aca="false">RIGHT(B386,LEN(B386)-FIND("/",B386, FIND("Single Cells",B386, 1)))</f>
        <v>#VALUE!</v>
      </c>
    </row>
    <row r="387" customFormat="false" ht="12.75" hidden="false" customHeight="true" outlineLevel="0" collapsed="false">
      <c r="E387" s="34" t="str">
        <f aca="false">MID(B387,9,1)</f>
        <v/>
      </c>
      <c r="F387" s="34" t="str">
        <f aca="false">MID(B387,10,1)</f>
        <v/>
      </c>
      <c r="G387" s="34" t="str">
        <f aca="false">MID(B387,11,1)</f>
        <v/>
      </c>
      <c r="H387" s="35" t="str">
        <f aca="false">IF(G387=".",F387,CONCATENATE(F387,G387))</f>
        <v/>
      </c>
      <c r="I387" s="34" t="n">
        <f aca="false">IFERROR(VALUE(H387),)</f>
        <v>0</v>
      </c>
      <c r="J387" s="34" t="e">
        <f aca="false">RIGHT(B387,LEN(B387)-FIND("/",B387, FIND("Single Cells",B387, 1)))</f>
        <v>#VALUE!</v>
      </c>
    </row>
    <row r="388" customFormat="false" ht="12.75" hidden="false" customHeight="true" outlineLevel="0" collapsed="false">
      <c r="E388" s="34" t="str">
        <f aca="false">MID(B388,9,1)</f>
        <v/>
      </c>
      <c r="F388" s="34" t="str">
        <f aca="false">MID(B388,10,1)</f>
        <v/>
      </c>
      <c r="G388" s="34" t="str">
        <f aca="false">MID(B388,11,1)</f>
        <v/>
      </c>
      <c r="H388" s="35" t="str">
        <f aca="false">IF(G388=".",F388,CONCATENATE(F388,G388))</f>
        <v/>
      </c>
      <c r="I388" s="34" t="n">
        <f aca="false">IFERROR(VALUE(H388),)</f>
        <v>0</v>
      </c>
      <c r="J388" s="34" t="e">
        <f aca="false">RIGHT(B388,LEN(B388)-FIND("/",B388, FIND("Single Cells",B388, 1)))</f>
        <v>#VALUE!</v>
      </c>
    </row>
    <row r="389" customFormat="false" ht="12.75" hidden="false" customHeight="true" outlineLevel="0" collapsed="false">
      <c r="E389" s="34" t="str">
        <f aca="false">MID(B389,9,1)</f>
        <v/>
      </c>
      <c r="F389" s="34" t="str">
        <f aca="false">MID(B389,10,1)</f>
        <v/>
      </c>
      <c r="G389" s="34" t="str">
        <f aca="false">MID(B389,11,1)</f>
        <v/>
      </c>
      <c r="H389" s="35" t="str">
        <f aca="false">IF(G389=".",F389,CONCATENATE(F389,G389))</f>
        <v/>
      </c>
      <c r="I389" s="34" t="n">
        <f aca="false">IFERROR(VALUE(H389),)</f>
        <v>0</v>
      </c>
      <c r="J389" s="34" t="e">
        <f aca="false">RIGHT(B389,LEN(B389)-FIND("/",B389, FIND("Single Cells",B389, 1)))</f>
        <v>#VALUE!</v>
      </c>
    </row>
    <row r="390" customFormat="false" ht="12.75" hidden="false" customHeight="true" outlineLevel="0" collapsed="false">
      <c r="E390" s="34" t="str">
        <f aca="false">MID(B390,9,1)</f>
        <v/>
      </c>
      <c r="F390" s="34" t="str">
        <f aca="false">MID(B390,10,1)</f>
        <v/>
      </c>
      <c r="G390" s="34" t="str">
        <f aca="false">MID(B390,11,1)</f>
        <v/>
      </c>
      <c r="H390" s="35" t="str">
        <f aca="false">IF(G390=".",F390,CONCATENATE(F390,G390))</f>
        <v/>
      </c>
      <c r="I390" s="34" t="n">
        <f aca="false">IFERROR(VALUE(H390),)</f>
        <v>0</v>
      </c>
      <c r="J390" s="34" t="e">
        <f aca="false">RIGHT(B390,LEN(B390)-FIND("/",B390, FIND("Single Cells",B390, 1)))</f>
        <v>#VALUE!</v>
      </c>
    </row>
    <row r="391" customFormat="false" ht="12.75" hidden="false" customHeight="true" outlineLevel="0" collapsed="false">
      <c r="E391" s="34" t="str">
        <f aca="false">MID(B391,9,1)</f>
        <v/>
      </c>
      <c r="F391" s="34" t="str">
        <f aca="false">MID(B391,10,1)</f>
        <v/>
      </c>
      <c r="G391" s="34" t="str">
        <f aca="false">MID(B391,11,1)</f>
        <v/>
      </c>
      <c r="H391" s="35" t="str">
        <f aca="false">IF(G391=".",F391,CONCATENATE(F391,G391))</f>
        <v/>
      </c>
      <c r="I391" s="34" t="n">
        <f aca="false">IFERROR(VALUE(H391),)</f>
        <v>0</v>
      </c>
      <c r="J391" s="34" t="e">
        <f aca="false">RIGHT(B391,LEN(B391)-FIND("/",B391, FIND("Single Cells",B391, 1)))</f>
        <v>#VALUE!</v>
      </c>
    </row>
    <row r="392" customFormat="false" ht="12.75" hidden="false" customHeight="true" outlineLevel="0" collapsed="false">
      <c r="E392" s="34" t="str">
        <f aca="false">MID(B392,9,1)</f>
        <v/>
      </c>
      <c r="F392" s="34" t="str">
        <f aca="false">MID(B392,10,1)</f>
        <v/>
      </c>
      <c r="G392" s="34" t="str">
        <f aca="false">MID(B392,11,1)</f>
        <v/>
      </c>
      <c r="H392" s="35" t="str">
        <f aca="false">IF(G392=".",F392,CONCATENATE(F392,G392))</f>
        <v/>
      </c>
      <c r="I392" s="34" t="n">
        <f aca="false">IFERROR(VALUE(H392),)</f>
        <v>0</v>
      </c>
      <c r="J392" s="34" t="e">
        <f aca="false">RIGHT(B392,LEN(B392)-FIND("/",B392, FIND("Single Cells",B392, 1)))</f>
        <v>#VALUE!</v>
      </c>
    </row>
    <row r="393" customFormat="false" ht="12.75" hidden="false" customHeight="true" outlineLevel="0" collapsed="false">
      <c r="E393" s="34" t="str">
        <f aca="false">MID(B393,9,1)</f>
        <v/>
      </c>
      <c r="F393" s="34" t="str">
        <f aca="false">MID(B393,10,1)</f>
        <v/>
      </c>
      <c r="G393" s="34" t="str">
        <f aca="false">MID(B393,11,1)</f>
        <v/>
      </c>
      <c r="H393" s="35" t="str">
        <f aca="false">IF(G393=".",F393,CONCATENATE(F393,G393))</f>
        <v/>
      </c>
      <c r="I393" s="34" t="n">
        <f aca="false">IFERROR(VALUE(H393),)</f>
        <v>0</v>
      </c>
      <c r="J393" s="34" t="e">
        <f aca="false">RIGHT(B393,LEN(B393)-FIND("/",B393, FIND("Single Cells",B393, 1)))</f>
        <v>#VALUE!</v>
      </c>
    </row>
    <row r="394" customFormat="false" ht="12.75" hidden="false" customHeight="true" outlineLevel="0" collapsed="false">
      <c r="E394" s="34" t="str">
        <f aca="false">MID(B394,9,1)</f>
        <v/>
      </c>
      <c r="F394" s="34" t="str">
        <f aca="false">MID(B394,10,1)</f>
        <v/>
      </c>
      <c r="G394" s="34" t="str">
        <f aca="false">MID(B394,11,1)</f>
        <v/>
      </c>
      <c r="H394" s="35" t="str">
        <f aca="false">IF(G394=".",F394,CONCATENATE(F394,G394))</f>
        <v/>
      </c>
      <c r="I394" s="34" t="n">
        <f aca="false">IFERROR(VALUE(H394),)</f>
        <v>0</v>
      </c>
      <c r="J394" s="34" t="e">
        <f aca="false">RIGHT(B394,LEN(B394)-FIND("/",B394, FIND("Single Cells",B394, 1)))</f>
        <v>#VALUE!</v>
      </c>
    </row>
    <row r="395" customFormat="false" ht="12.75" hidden="false" customHeight="true" outlineLevel="0" collapsed="false">
      <c r="E395" s="34" t="str">
        <f aca="false">MID(B395,9,1)</f>
        <v/>
      </c>
      <c r="F395" s="34" t="str">
        <f aca="false">MID(B395,10,1)</f>
        <v/>
      </c>
      <c r="G395" s="34" t="str">
        <f aca="false">MID(B395,11,1)</f>
        <v/>
      </c>
      <c r="H395" s="35" t="str">
        <f aca="false">IF(G395=".",F395,CONCATENATE(F395,G395))</f>
        <v/>
      </c>
      <c r="I395" s="34" t="n">
        <f aca="false">IFERROR(VALUE(H395),)</f>
        <v>0</v>
      </c>
      <c r="J395" s="34" t="e">
        <f aca="false">RIGHT(B395,LEN(B395)-FIND("/",B395, FIND("Single Cells",B395, 1)))</f>
        <v>#VALUE!</v>
      </c>
    </row>
    <row r="396" customFormat="false" ht="12.75" hidden="false" customHeight="true" outlineLevel="0" collapsed="false">
      <c r="E396" s="34" t="str">
        <f aca="false">MID(B396,9,1)</f>
        <v/>
      </c>
      <c r="F396" s="34" t="str">
        <f aca="false">MID(B396,10,1)</f>
        <v/>
      </c>
      <c r="G396" s="34" t="str">
        <f aca="false">MID(B396,11,1)</f>
        <v/>
      </c>
      <c r="H396" s="35" t="str">
        <f aca="false">IF(G396=".",F396,CONCATENATE(F396,G396))</f>
        <v/>
      </c>
      <c r="I396" s="34" t="n">
        <f aca="false">IFERROR(VALUE(H396),)</f>
        <v>0</v>
      </c>
      <c r="J396" s="34" t="e">
        <f aca="false">RIGHT(B396,LEN(B396)-FIND("/",B396, FIND("Single Cells",B396, 1)))</f>
        <v>#VALUE!</v>
      </c>
    </row>
    <row r="397" customFormat="false" ht="12.75" hidden="false" customHeight="true" outlineLevel="0" collapsed="false">
      <c r="E397" s="34" t="str">
        <f aca="false">MID(B397,9,1)</f>
        <v/>
      </c>
      <c r="F397" s="34" t="str">
        <f aca="false">MID(B397,10,1)</f>
        <v/>
      </c>
      <c r="G397" s="34" t="str">
        <f aca="false">MID(B397,11,1)</f>
        <v/>
      </c>
      <c r="H397" s="35" t="str">
        <f aca="false">IF(G397=".",F397,CONCATENATE(F397,G397))</f>
        <v/>
      </c>
      <c r="I397" s="34" t="n">
        <f aca="false">IFERROR(VALUE(H397),)</f>
        <v>0</v>
      </c>
      <c r="J397" s="34" t="e">
        <f aca="false">RIGHT(B397,LEN(B397)-FIND("/",B397, FIND("Single Cells",B397, 1)))</f>
        <v>#VALUE!</v>
      </c>
    </row>
    <row r="398" customFormat="false" ht="12.75" hidden="false" customHeight="true" outlineLevel="0" collapsed="false">
      <c r="E398" s="34" t="str">
        <f aca="false">MID(B398,9,1)</f>
        <v/>
      </c>
      <c r="F398" s="34" t="str">
        <f aca="false">MID(B398,10,1)</f>
        <v/>
      </c>
      <c r="G398" s="34" t="str">
        <f aca="false">MID(B398,11,1)</f>
        <v/>
      </c>
      <c r="H398" s="35" t="str">
        <f aca="false">IF(G398=".",F398,CONCATENATE(F398,G398))</f>
        <v/>
      </c>
      <c r="I398" s="34" t="n">
        <f aca="false">IFERROR(VALUE(H398),)</f>
        <v>0</v>
      </c>
      <c r="J398" s="34" t="e">
        <f aca="false">RIGHT(B398,LEN(B398)-FIND("/",B398, FIND("Single Cells",B398, 1)))</f>
        <v>#VALUE!</v>
      </c>
    </row>
    <row r="399" customFormat="false" ht="12.75" hidden="false" customHeight="true" outlineLevel="0" collapsed="false">
      <c r="E399" s="34" t="str">
        <f aca="false">MID(B399,9,1)</f>
        <v/>
      </c>
      <c r="F399" s="34" t="str">
        <f aca="false">MID(B399,10,1)</f>
        <v/>
      </c>
      <c r="G399" s="34" t="str">
        <f aca="false">MID(B399,11,1)</f>
        <v/>
      </c>
      <c r="H399" s="35" t="str">
        <f aca="false">IF(G399=".",F399,CONCATENATE(F399,G399))</f>
        <v/>
      </c>
      <c r="I399" s="34" t="n">
        <f aca="false">IFERROR(VALUE(H399),)</f>
        <v>0</v>
      </c>
      <c r="J399" s="34" t="e">
        <f aca="false">RIGHT(B399,LEN(B399)-FIND("/",B399, FIND("Single Cells",B399, 1)))</f>
        <v>#VALUE!</v>
      </c>
    </row>
    <row r="400" customFormat="false" ht="12.75" hidden="false" customHeight="true" outlineLevel="0" collapsed="false">
      <c r="E400" s="34" t="str">
        <f aca="false">MID(B400,9,1)</f>
        <v/>
      </c>
      <c r="F400" s="34" t="str">
        <f aca="false">MID(B400,10,1)</f>
        <v/>
      </c>
      <c r="G400" s="34" t="str">
        <f aca="false">MID(B400,11,1)</f>
        <v/>
      </c>
      <c r="H400" s="35" t="str">
        <f aca="false">IF(G400=".",F400,CONCATENATE(F400,G400))</f>
        <v/>
      </c>
      <c r="I400" s="34" t="n">
        <f aca="false">IFERROR(VALUE(H400),)</f>
        <v>0</v>
      </c>
      <c r="J400" s="34" t="e">
        <f aca="false">RIGHT(B400,LEN(B400)-FIND("/",B400, FIND("Single Cells",B400, 1)))</f>
        <v>#VALUE!</v>
      </c>
    </row>
    <row r="401" customFormat="false" ht="12.75" hidden="false" customHeight="true" outlineLevel="0" collapsed="false">
      <c r="E401" s="34" t="str">
        <f aca="false">MID(B401,9,1)</f>
        <v/>
      </c>
      <c r="F401" s="34" t="str">
        <f aca="false">MID(B401,10,1)</f>
        <v/>
      </c>
      <c r="G401" s="34" t="str">
        <f aca="false">MID(B401,11,1)</f>
        <v/>
      </c>
      <c r="H401" s="35" t="str">
        <f aca="false">IF(G401=".",F401,CONCATENATE(F401,G401))</f>
        <v/>
      </c>
      <c r="I401" s="34" t="n">
        <f aca="false">IFERROR(VALUE(H401),)</f>
        <v>0</v>
      </c>
      <c r="J401" s="34" t="e">
        <f aca="false">RIGHT(B401,LEN(B401)-FIND("/",B401, FIND("Single Cells",B401, 1)))</f>
        <v>#VALUE!</v>
      </c>
    </row>
    <row r="402" customFormat="false" ht="12.75" hidden="false" customHeight="true" outlineLevel="0" collapsed="false">
      <c r="E402" s="34" t="str">
        <f aca="false">MID(B402,9,1)</f>
        <v/>
      </c>
      <c r="F402" s="34" t="str">
        <f aca="false">MID(B402,10,1)</f>
        <v/>
      </c>
      <c r="G402" s="34" t="str">
        <f aca="false">MID(B402,11,1)</f>
        <v/>
      </c>
      <c r="H402" s="35" t="str">
        <f aca="false">IF(G402=".",F402,CONCATENATE(F402,G402))</f>
        <v/>
      </c>
      <c r="I402" s="34" t="n">
        <f aca="false">IFERROR(VALUE(H402),)</f>
        <v>0</v>
      </c>
      <c r="J402" s="34" t="e">
        <f aca="false">RIGHT(B402,LEN(B402)-FIND("/",B402, FIND("Single Cells",B402, 1)))</f>
        <v>#VALUE!</v>
      </c>
    </row>
    <row r="403" customFormat="false" ht="12.75" hidden="false" customHeight="true" outlineLevel="0" collapsed="false">
      <c r="E403" s="34" t="str">
        <f aca="false">MID(B403,9,1)</f>
        <v/>
      </c>
      <c r="F403" s="34" t="str">
        <f aca="false">MID(B403,10,1)</f>
        <v/>
      </c>
      <c r="G403" s="34" t="str">
        <f aca="false">MID(B403,11,1)</f>
        <v/>
      </c>
      <c r="H403" s="35" t="str">
        <f aca="false">IF(G403=".",F403,CONCATENATE(F403,G403))</f>
        <v/>
      </c>
      <c r="I403" s="34" t="n">
        <f aca="false">IFERROR(VALUE(H403),)</f>
        <v>0</v>
      </c>
      <c r="J403" s="34" t="e">
        <f aca="false">RIGHT(B403,LEN(B403)-FIND("/",B403, FIND("Single Cells",B403, 1)))</f>
        <v>#VALUE!</v>
      </c>
    </row>
    <row r="404" customFormat="false" ht="12.75" hidden="false" customHeight="true" outlineLevel="0" collapsed="false">
      <c r="E404" s="34" t="str">
        <f aca="false">MID(B404,9,1)</f>
        <v/>
      </c>
      <c r="F404" s="34" t="str">
        <f aca="false">MID(B404,10,1)</f>
        <v/>
      </c>
      <c r="G404" s="34" t="str">
        <f aca="false">MID(B404,11,1)</f>
        <v/>
      </c>
      <c r="H404" s="35" t="str">
        <f aca="false">IF(G404=".",F404,CONCATENATE(F404,G404))</f>
        <v/>
      </c>
      <c r="I404" s="34" t="n">
        <f aca="false">IFERROR(VALUE(H404),)</f>
        <v>0</v>
      </c>
      <c r="J404" s="34" t="e">
        <f aca="false">RIGHT(B404,LEN(B404)-FIND("/",B404, FIND("Single Cells",B404, 1)))</f>
        <v>#VALUE!</v>
      </c>
    </row>
    <row r="405" customFormat="false" ht="12.75" hidden="false" customHeight="true" outlineLevel="0" collapsed="false">
      <c r="E405" s="34" t="str">
        <f aca="false">MID(B405,9,1)</f>
        <v/>
      </c>
      <c r="F405" s="34" t="str">
        <f aca="false">MID(B405,10,1)</f>
        <v/>
      </c>
      <c r="G405" s="34" t="str">
        <f aca="false">MID(B405,11,1)</f>
        <v/>
      </c>
      <c r="H405" s="35" t="str">
        <f aca="false">IF(G405=".",F405,CONCATENATE(F405,G405))</f>
        <v/>
      </c>
      <c r="I405" s="34" t="n">
        <f aca="false">IFERROR(VALUE(H405),)</f>
        <v>0</v>
      </c>
      <c r="J405" s="34" t="e">
        <f aca="false">RIGHT(B405,LEN(B405)-FIND("/",B405, FIND("Single Cells",B405, 1)))</f>
        <v>#VALUE!</v>
      </c>
    </row>
    <row r="406" customFormat="false" ht="12.75" hidden="false" customHeight="true" outlineLevel="0" collapsed="false">
      <c r="E406" s="34" t="str">
        <f aca="false">MID(B406,9,1)</f>
        <v/>
      </c>
      <c r="F406" s="34" t="str">
        <f aca="false">MID(B406,10,1)</f>
        <v/>
      </c>
      <c r="G406" s="34" t="str">
        <f aca="false">MID(B406,11,1)</f>
        <v/>
      </c>
      <c r="H406" s="35" t="str">
        <f aca="false">IF(G406=".",F406,CONCATENATE(F406,G406))</f>
        <v/>
      </c>
      <c r="I406" s="34" t="n">
        <f aca="false">IFERROR(VALUE(H406),)</f>
        <v>0</v>
      </c>
      <c r="J406" s="34" t="e">
        <f aca="false">RIGHT(B406,LEN(B406)-FIND("/",B406, FIND("Single Cells",B406, 1)))</f>
        <v>#VALUE!</v>
      </c>
    </row>
    <row r="407" customFormat="false" ht="12.75" hidden="false" customHeight="true" outlineLevel="0" collapsed="false">
      <c r="E407" s="34" t="str">
        <f aca="false">MID(B407,9,1)</f>
        <v/>
      </c>
      <c r="F407" s="34" t="str">
        <f aca="false">MID(B407,10,1)</f>
        <v/>
      </c>
      <c r="G407" s="34" t="str">
        <f aca="false">MID(B407,11,1)</f>
        <v/>
      </c>
      <c r="H407" s="35" t="str">
        <f aca="false">IF(G407=".",F407,CONCATENATE(F407,G407))</f>
        <v/>
      </c>
      <c r="I407" s="34" t="n">
        <f aca="false">IFERROR(VALUE(H407),)</f>
        <v>0</v>
      </c>
      <c r="J407" s="34" t="e">
        <f aca="false">RIGHT(B407,LEN(B407)-FIND("/",B407, FIND("Single Cells",B407, 1)))</f>
        <v>#VALUE!</v>
      </c>
    </row>
    <row r="408" customFormat="false" ht="12.75" hidden="false" customHeight="true" outlineLevel="0" collapsed="false">
      <c r="E408" s="34" t="str">
        <f aca="false">MID(B408,9,1)</f>
        <v/>
      </c>
      <c r="F408" s="34" t="str">
        <f aca="false">MID(B408,10,1)</f>
        <v/>
      </c>
      <c r="G408" s="34" t="str">
        <f aca="false">MID(B408,11,1)</f>
        <v/>
      </c>
      <c r="H408" s="35" t="str">
        <f aca="false">IF(G408=".",F408,CONCATENATE(F408,G408))</f>
        <v/>
      </c>
      <c r="I408" s="34" t="n">
        <f aca="false">IFERROR(VALUE(H408),)</f>
        <v>0</v>
      </c>
      <c r="J408" s="34" t="e">
        <f aca="false">RIGHT(B408,LEN(B408)-FIND("/",B408, FIND("Single Cells",B408, 1)))</f>
        <v>#VALUE!</v>
      </c>
    </row>
    <row r="409" customFormat="false" ht="12.75" hidden="false" customHeight="true" outlineLevel="0" collapsed="false">
      <c r="E409" s="34" t="str">
        <f aca="false">MID(B409,9,1)</f>
        <v/>
      </c>
      <c r="F409" s="34" t="str">
        <f aca="false">MID(B409,10,1)</f>
        <v/>
      </c>
      <c r="G409" s="34" t="str">
        <f aca="false">MID(B409,11,1)</f>
        <v/>
      </c>
      <c r="H409" s="35" t="str">
        <f aca="false">IF(G409=".",F409,CONCATENATE(F409,G409))</f>
        <v/>
      </c>
      <c r="I409" s="34" t="n">
        <f aca="false">IFERROR(VALUE(H409),)</f>
        <v>0</v>
      </c>
      <c r="J409" s="34" t="e">
        <f aca="false">RIGHT(B409,LEN(B409)-FIND("/",B409, FIND("Single Cells",B409, 1)))</f>
        <v>#VALUE!</v>
      </c>
    </row>
    <row r="410" customFormat="false" ht="12.75" hidden="false" customHeight="true" outlineLevel="0" collapsed="false">
      <c r="E410" s="34" t="str">
        <f aca="false">MID(B410,9,1)</f>
        <v/>
      </c>
      <c r="F410" s="34" t="str">
        <f aca="false">MID(B410,10,1)</f>
        <v/>
      </c>
      <c r="G410" s="34" t="str">
        <f aca="false">MID(B410,11,1)</f>
        <v/>
      </c>
      <c r="H410" s="35" t="str">
        <f aca="false">IF(G410=".",F410,CONCATENATE(F410,G410))</f>
        <v/>
      </c>
      <c r="I410" s="34" t="n">
        <f aca="false">IFERROR(VALUE(H410),)</f>
        <v>0</v>
      </c>
      <c r="J410" s="34" t="e">
        <f aca="false">RIGHT(B410,LEN(B410)-FIND("/",B410, FIND("Single Cells",B410, 1)))</f>
        <v>#VALUE!</v>
      </c>
    </row>
    <row r="411" customFormat="false" ht="12.75" hidden="false" customHeight="true" outlineLevel="0" collapsed="false">
      <c r="E411" s="34" t="str">
        <f aca="false">MID(B411,9,1)</f>
        <v/>
      </c>
      <c r="F411" s="34" t="str">
        <f aca="false">MID(B411,10,1)</f>
        <v/>
      </c>
      <c r="G411" s="34" t="str">
        <f aca="false">MID(B411,11,1)</f>
        <v/>
      </c>
      <c r="H411" s="35" t="str">
        <f aca="false">IF(G411=".",F411,CONCATENATE(F411,G411))</f>
        <v/>
      </c>
      <c r="I411" s="34" t="n">
        <f aca="false">IFERROR(VALUE(H411),)</f>
        <v>0</v>
      </c>
      <c r="J411" s="34" t="e">
        <f aca="false">RIGHT(B411,LEN(B411)-FIND("/",B411, FIND("Single Cells",B411, 1)))</f>
        <v>#VALUE!</v>
      </c>
    </row>
    <row r="412" customFormat="false" ht="12.75" hidden="false" customHeight="true" outlineLevel="0" collapsed="false">
      <c r="E412" s="34" t="str">
        <f aca="false">MID(B412,9,1)</f>
        <v/>
      </c>
      <c r="F412" s="34" t="str">
        <f aca="false">MID(B412,10,1)</f>
        <v/>
      </c>
      <c r="G412" s="34" t="str">
        <f aca="false">MID(B412,11,1)</f>
        <v/>
      </c>
      <c r="H412" s="35" t="str">
        <f aca="false">IF(G412=".",F412,CONCATENATE(F412,G412))</f>
        <v/>
      </c>
      <c r="I412" s="34" t="n">
        <f aca="false">IFERROR(VALUE(H412),)</f>
        <v>0</v>
      </c>
      <c r="J412" s="34" t="e">
        <f aca="false">RIGHT(B412,LEN(B412)-FIND("/",B412, FIND("Single Cells",B412, 1)))</f>
        <v>#VALUE!</v>
      </c>
    </row>
    <row r="413" customFormat="false" ht="12.75" hidden="false" customHeight="true" outlineLevel="0" collapsed="false">
      <c r="E413" s="34" t="str">
        <f aca="false">MID(B413,9,1)</f>
        <v/>
      </c>
      <c r="F413" s="34" t="str">
        <f aca="false">MID(B413,10,1)</f>
        <v/>
      </c>
      <c r="G413" s="34" t="str">
        <f aca="false">MID(B413,11,1)</f>
        <v/>
      </c>
      <c r="H413" s="35" t="str">
        <f aca="false">IF(G413=".",F413,CONCATENATE(F413,G413))</f>
        <v/>
      </c>
      <c r="I413" s="34" t="n">
        <f aca="false">IFERROR(VALUE(H413),)</f>
        <v>0</v>
      </c>
      <c r="J413" s="34" t="e">
        <f aca="false">RIGHT(B413,LEN(B413)-FIND("/",B413, FIND("Single Cells",B413, 1)))</f>
        <v>#VALUE!</v>
      </c>
    </row>
    <row r="414" customFormat="false" ht="12.75" hidden="false" customHeight="true" outlineLevel="0" collapsed="false">
      <c r="E414" s="34" t="str">
        <f aca="false">MID(B414,9,1)</f>
        <v/>
      </c>
      <c r="F414" s="34" t="str">
        <f aca="false">MID(B414,10,1)</f>
        <v/>
      </c>
      <c r="G414" s="34" t="str">
        <f aca="false">MID(B414,11,1)</f>
        <v/>
      </c>
      <c r="H414" s="35" t="str">
        <f aca="false">IF(G414=".",F414,CONCATENATE(F414,G414))</f>
        <v/>
      </c>
      <c r="I414" s="34" t="n">
        <f aca="false">IFERROR(VALUE(H414),)</f>
        <v>0</v>
      </c>
      <c r="J414" s="34" t="e">
        <f aca="false">RIGHT(B414,LEN(B414)-FIND("/",B414, FIND("Single Cells",B414, 1)))</f>
        <v>#VALUE!</v>
      </c>
    </row>
    <row r="415" customFormat="false" ht="12.75" hidden="false" customHeight="true" outlineLevel="0" collapsed="false">
      <c r="E415" s="34" t="str">
        <f aca="false">MID(B415,9,1)</f>
        <v/>
      </c>
      <c r="F415" s="34" t="str">
        <f aca="false">MID(B415,10,1)</f>
        <v/>
      </c>
      <c r="G415" s="34" t="str">
        <f aca="false">MID(B415,11,1)</f>
        <v/>
      </c>
      <c r="H415" s="35" t="str">
        <f aca="false">IF(G415=".",F415,CONCATENATE(F415,G415))</f>
        <v/>
      </c>
      <c r="I415" s="34" t="n">
        <f aca="false">IFERROR(VALUE(H415),)</f>
        <v>0</v>
      </c>
      <c r="J415" s="34" t="e">
        <f aca="false">RIGHT(B415,LEN(B415)-FIND("/",B415, FIND("Single Cells",B415, 1)))</f>
        <v>#VALUE!</v>
      </c>
    </row>
    <row r="416" customFormat="false" ht="12.75" hidden="false" customHeight="true" outlineLevel="0" collapsed="false">
      <c r="E416" s="34" t="str">
        <f aca="false">MID(B416,9,1)</f>
        <v/>
      </c>
      <c r="F416" s="34" t="str">
        <f aca="false">MID(B416,10,1)</f>
        <v/>
      </c>
      <c r="G416" s="34" t="str">
        <f aca="false">MID(B416,11,1)</f>
        <v/>
      </c>
      <c r="H416" s="35" t="str">
        <f aca="false">IF(G416=".",F416,CONCATENATE(F416,G416))</f>
        <v/>
      </c>
      <c r="I416" s="34" t="n">
        <f aca="false">IFERROR(VALUE(H416),)</f>
        <v>0</v>
      </c>
      <c r="J416" s="34" t="e">
        <f aca="false">RIGHT(B416,LEN(B416)-FIND("/",B416, FIND("Single Cells",B416, 1)))</f>
        <v>#VALUE!</v>
      </c>
    </row>
    <row r="417" customFormat="false" ht="12.75" hidden="false" customHeight="true" outlineLevel="0" collapsed="false">
      <c r="E417" s="34" t="str">
        <f aca="false">MID(B417,9,1)</f>
        <v/>
      </c>
      <c r="F417" s="34" t="str">
        <f aca="false">MID(B417,10,1)</f>
        <v/>
      </c>
      <c r="G417" s="34" t="str">
        <f aca="false">MID(B417,11,1)</f>
        <v/>
      </c>
      <c r="H417" s="35" t="str">
        <f aca="false">IF(G417=".",F417,CONCATENATE(F417,G417))</f>
        <v/>
      </c>
      <c r="I417" s="34" t="n">
        <f aca="false">IFERROR(VALUE(H417),)</f>
        <v>0</v>
      </c>
      <c r="J417" s="34" t="e">
        <f aca="false">RIGHT(B417,LEN(B417)-FIND("/",B417, FIND("Single Cells",B417, 1)))</f>
        <v>#VALUE!</v>
      </c>
    </row>
    <row r="418" customFormat="false" ht="12.75" hidden="false" customHeight="true" outlineLevel="0" collapsed="false">
      <c r="E418" s="34" t="str">
        <f aca="false">MID(B418,9,1)</f>
        <v/>
      </c>
      <c r="F418" s="34" t="str">
        <f aca="false">MID(B418,10,1)</f>
        <v/>
      </c>
      <c r="G418" s="34" t="str">
        <f aca="false">MID(B418,11,1)</f>
        <v/>
      </c>
      <c r="H418" s="35" t="str">
        <f aca="false">IF(G418=".",F418,CONCATENATE(F418,G418))</f>
        <v/>
      </c>
      <c r="I418" s="34" t="n">
        <f aca="false">IFERROR(VALUE(H418),)</f>
        <v>0</v>
      </c>
      <c r="J418" s="34" t="e">
        <f aca="false">RIGHT(B418,LEN(B418)-FIND("/",B418, FIND("Single Cells",B418, 1)))</f>
        <v>#VALUE!</v>
      </c>
    </row>
    <row r="419" customFormat="false" ht="12.75" hidden="false" customHeight="true" outlineLevel="0" collapsed="false">
      <c r="E419" s="34" t="str">
        <f aca="false">MID(B419,9,1)</f>
        <v/>
      </c>
      <c r="F419" s="34" t="str">
        <f aca="false">MID(B419,10,1)</f>
        <v/>
      </c>
      <c r="G419" s="34" t="str">
        <f aca="false">MID(B419,11,1)</f>
        <v/>
      </c>
      <c r="H419" s="35" t="str">
        <f aca="false">IF(G419=".",F419,CONCATENATE(F419,G419))</f>
        <v/>
      </c>
      <c r="I419" s="34" t="n">
        <f aca="false">IFERROR(VALUE(H419),)</f>
        <v>0</v>
      </c>
      <c r="J419" s="34" t="e">
        <f aca="false">RIGHT(B419,LEN(B419)-FIND("/",B419, FIND("Single Cells",B419, 1)))</f>
        <v>#VALUE!</v>
      </c>
    </row>
    <row r="420" customFormat="false" ht="12.75" hidden="false" customHeight="true" outlineLevel="0" collapsed="false">
      <c r="E420" s="34" t="str">
        <f aca="false">MID(B420,9,1)</f>
        <v/>
      </c>
      <c r="F420" s="34" t="str">
        <f aca="false">MID(B420,10,1)</f>
        <v/>
      </c>
      <c r="G420" s="34" t="str">
        <f aca="false">MID(B420,11,1)</f>
        <v/>
      </c>
      <c r="H420" s="35" t="str">
        <f aca="false">IF(G420=".",F420,CONCATENATE(F420,G420))</f>
        <v/>
      </c>
      <c r="I420" s="34" t="n">
        <f aca="false">IFERROR(VALUE(H420),)</f>
        <v>0</v>
      </c>
      <c r="J420" s="34" t="e">
        <f aca="false">RIGHT(B420,LEN(B420)-FIND("/",B420, FIND("Single Cells",B420, 1)))</f>
        <v>#VALUE!</v>
      </c>
    </row>
    <row r="421" customFormat="false" ht="12.75" hidden="false" customHeight="true" outlineLevel="0" collapsed="false">
      <c r="E421" s="34" t="str">
        <f aca="false">MID(B421,9,1)</f>
        <v/>
      </c>
      <c r="F421" s="34" t="str">
        <f aca="false">MID(B421,10,1)</f>
        <v/>
      </c>
      <c r="G421" s="34" t="str">
        <f aca="false">MID(B421,11,1)</f>
        <v/>
      </c>
      <c r="H421" s="35" t="str">
        <f aca="false">IF(G421=".",F421,CONCATENATE(F421,G421))</f>
        <v/>
      </c>
      <c r="I421" s="34" t="n">
        <f aca="false">IFERROR(VALUE(H421),)</f>
        <v>0</v>
      </c>
      <c r="J421" s="34" t="e">
        <f aca="false">RIGHT(B421,LEN(B421)-FIND("/",B421, FIND("Single Cells",B421, 1)))</f>
        <v>#VALUE!</v>
      </c>
    </row>
    <row r="422" customFormat="false" ht="12.75" hidden="false" customHeight="true" outlineLevel="0" collapsed="false">
      <c r="E422" s="34" t="str">
        <f aca="false">MID(B422,9,1)</f>
        <v/>
      </c>
      <c r="F422" s="34" t="str">
        <f aca="false">MID(B422,10,1)</f>
        <v/>
      </c>
      <c r="G422" s="34" t="str">
        <f aca="false">MID(B422,11,1)</f>
        <v/>
      </c>
      <c r="H422" s="35" t="str">
        <f aca="false">IF(G422=".",F422,CONCATENATE(F422,G422))</f>
        <v/>
      </c>
      <c r="I422" s="34" t="n">
        <f aca="false">IFERROR(VALUE(H422),)</f>
        <v>0</v>
      </c>
      <c r="J422" s="34" t="e">
        <f aca="false">RIGHT(B422,LEN(B422)-FIND("/",B422, FIND("Single Cells",B422, 1)))</f>
        <v>#VALUE!</v>
      </c>
    </row>
    <row r="423" customFormat="false" ht="12.75" hidden="false" customHeight="true" outlineLevel="0" collapsed="false">
      <c r="E423" s="34" t="str">
        <f aca="false">MID(B423,9,1)</f>
        <v/>
      </c>
      <c r="F423" s="34" t="str">
        <f aca="false">MID(B423,10,1)</f>
        <v/>
      </c>
      <c r="G423" s="34" t="str">
        <f aca="false">MID(B423,11,1)</f>
        <v/>
      </c>
      <c r="H423" s="35" t="str">
        <f aca="false">IF(G423=".",F423,CONCATENATE(F423,G423))</f>
        <v/>
      </c>
      <c r="I423" s="34" t="n">
        <f aca="false">IFERROR(VALUE(H423),)</f>
        <v>0</v>
      </c>
      <c r="J423" s="34" t="e">
        <f aca="false">RIGHT(B423,LEN(B423)-FIND("/",B423, FIND("Single Cells",B423, 1)))</f>
        <v>#VALUE!</v>
      </c>
    </row>
    <row r="424" customFormat="false" ht="12.75" hidden="false" customHeight="true" outlineLevel="0" collapsed="false">
      <c r="E424" s="34" t="str">
        <f aca="false">MID(B424,9,1)</f>
        <v/>
      </c>
      <c r="F424" s="34" t="str">
        <f aca="false">MID(B424,10,1)</f>
        <v/>
      </c>
      <c r="G424" s="34" t="str">
        <f aca="false">MID(B424,11,1)</f>
        <v/>
      </c>
      <c r="H424" s="35" t="str">
        <f aca="false">IF(G424=".",F424,CONCATENATE(F424,G424))</f>
        <v/>
      </c>
      <c r="I424" s="34" t="n">
        <f aca="false">IFERROR(VALUE(H424),)</f>
        <v>0</v>
      </c>
      <c r="J424" s="34" t="e">
        <f aca="false">RIGHT(B424,LEN(B424)-FIND("/",B424, FIND("Single Cells",B424, 1)))</f>
        <v>#VALUE!</v>
      </c>
    </row>
    <row r="425" customFormat="false" ht="12.75" hidden="false" customHeight="true" outlineLevel="0" collapsed="false">
      <c r="E425" s="34" t="str">
        <f aca="false">MID(B425,9,1)</f>
        <v/>
      </c>
      <c r="F425" s="34" t="str">
        <f aca="false">MID(B425,10,1)</f>
        <v/>
      </c>
      <c r="G425" s="34" t="str">
        <f aca="false">MID(B425,11,1)</f>
        <v/>
      </c>
      <c r="H425" s="35" t="str">
        <f aca="false">IF(G425=".",F425,CONCATENATE(F425,G425))</f>
        <v/>
      </c>
      <c r="I425" s="34" t="n">
        <f aca="false">IFERROR(VALUE(H425),)</f>
        <v>0</v>
      </c>
      <c r="J425" s="34" t="e">
        <f aca="false">RIGHT(B425,LEN(B425)-FIND("/",B425, FIND("Single Cells",B425, 1)))</f>
        <v>#VALUE!</v>
      </c>
    </row>
    <row r="426" customFormat="false" ht="12.75" hidden="false" customHeight="true" outlineLevel="0" collapsed="false">
      <c r="E426" s="34" t="str">
        <f aca="false">MID(B426,9,1)</f>
        <v/>
      </c>
      <c r="F426" s="34" t="str">
        <f aca="false">MID(B426,10,1)</f>
        <v/>
      </c>
      <c r="G426" s="34" t="str">
        <f aca="false">MID(B426,11,1)</f>
        <v/>
      </c>
      <c r="H426" s="35" t="str">
        <f aca="false">IF(G426=".",F426,CONCATENATE(F426,G426))</f>
        <v/>
      </c>
      <c r="I426" s="34" t="n">
        <f aca="false">IFERROR(VALUE(H426),)</f>
        <v>0</v>
      </c>
      <c r="J426" s="34" t="e">
        <f aca="false">RIGHT(B426,LEN(B426)-FIND("/",B426, FIND("Single Cells",B426, 1)))</f>
        <v>#VALUE!</v>
      </c>
    </row>
    <row r="427" customFormat="false" ht="12.75" hidden="false" customHeight="true" outlineLevel="0" collapsed="false">
      <c r="E427" s="34" t="str">
        <f aca="false">MID(B427,9,1)</f>
        <v/>
      </c>
      <c r="F427" s="34" t="str">
        <f aca="false">MID(B427,10,1)</f>
        <v/>
      </c>
      <c r="G427" s="34" t="str">
        <f aca="false">MID(B427,11,1)</f>
        <v/>
      </c>
      <c r="H427" s="35" t="str">
        <f aca="false">IF(G427=".",F427,CONCATENATE(F427,G427))</f>
        <v/>
      </c>
      <c r="I427" s="34" t="n">
        <f aca="false">IFERROR(VALUE(H427),)</f>
        <v>0</v>
      </c>
      <c r="J427" s="34" t="e">
        <f aca="false">RIGHT(B427,LEN(B427)-FIND("/",B427, FIND("Single Cells",B427, 1)))</f>
        <v>#VALUE!</v>
      </c>
    </row>
    <row r="428" customFormat="false" ht="12.75" hidden="false" customHeight="true" outlineLevel="0" collapsed="false">
      <c r="E428" s="34" t="str">
        <f aca="false">MID(B428,9,1)</f>
        <v/>
      </c>
      <c r="F428" s="34" t="str">
        <f aca="false">MID(B428,10,1)</f>
        <v/>
      </c>
      <c r="G428" s="34" t="str">
        <f aca="false">MID(B428,11,1)</f>
        <v/>
      </c>
      <c r="H428" s="35" t="str">
        <f aca="false">IF(G428=".",F428,CONCATENATE(F428,G428))</f>
        <v/>
      </c>
      <c r="I428" s="34" t="n">
        <f aca="false">IFERROR(VALUE(H428),)</f>
        <v>0</v>
      </c>
      <c r="J428" s="34" t="e">
        <f aca="false">RIGHT(B428,LEN(B428)-FIND("/",B428, FIND("Single Cells",B428, 1)))</f>
        <v>#VALUE!</v>
      </c>
    </row>
    <row r="429" customFormat="false" ht="12.75" hidden="false" customHeight="true" outlineLevel="0" collapsed="false">
      <c r="E429" s="34" t="str">
        <f aca="false">MID(B429,9,1)</f>
        <v/>
      </c>
      <c r="F429" s="34" t="str">
        <f aca="false">MID(B429,10,1)</f>
        <v/>
      </c>
      <c r="G429" s="34" t="str">
        <f aca="false">MID(B429,11,1)</f>
        <v/>
      </c>
      <c r="H429" s="35" t="str">
        <f aca="false">IF(G429=".",F429,CONCATENATE(F429,G429))</f>
        <v/>
      </c>
      <c r="I429" s="34" t="n">
        <f aca="false">IFERROR(VALUE(H429),)</f>
        <v>0</v>
      </c>
      <c r="J429" s="34" t="e">
        <f aca="false">RIGHT(B429,LEN(B429)-FIND("/",B429, FIND("Single Cells",B429, 1)))</f>
        <v>#VALUE!</v>
      </c>
    </row>
    <row r="430" customFormat="false" ht="12.75" hidden="false" customHeight="true" outlineLevel="0" collapsed="false">
      <c r="E430" s="34" t="str">
        <f aca="false">MID(B430,9,1)</f>
        <v/>
      </c>
      <c r="F430" s="34" t="str">
        <f aca="false">MID(B430,10,1)</f>
        <v/>
      </c>
      <c r="G430" s="34" t="str">
        <f aca="false">MID(B430,11,1)</f>
        <v/>
      </c>
      <c r="H430" s="35" t="str">
        <f aca="false">IF(G430=".",F430,CONCATENATE(F430,G430))</f>
        <v/>
      </c>
      <c r="I430" s="34" t="n">
        <f aca="false">IFERROR(VALUE(H430),)</f>
        <v>0</v>
      </c>
      <c r="J430" s="34" t="e">
        <f aca="false">RIGHT(B430,LEN(B430)-FIND("/",B430, FIND("Single Cells",B430, 1)))</f>
        <v>#VALUE!</v>
      </c>
    </row>
    <row r="431" customFormat="false" ht="12.75" hidden="false" customHeight="true" outlineLevel="0" collapsed="false">
      <c r="E431" s="34" t="str">
        <f aca="false">MID(B431,9,1)</f>
        <v/>
      </c>
      <c r="F431" s="34" t="str">
        <f aca="false">MID(B431,10,1)</f>
        <v/>
      </c>
      <c r="G431" s="34" t="str">
        <f aca="false">MID(B431,11,1)</f>
        <v/>
      </c>
      <c r="H431" s="35" t="str">
        <f aca="false">IF(G431=".",F431,CONCATENATE(F431,G431))</f>
        <v/>
      </c>
      <c r="I431" s="34" t="n">
        <f aca="false">IFERROR(VALUE(H431),)</f>
        <v>0</v>
      </c>
      <c r="J431" s="34" t="e">
        <f aca="false">RIGHT(B431,LEN(B431)-FIND("/",B431, FIND("Single Cells",B431, 1)))</f>
        <v>#VALUE!</v>
      </c>
    </row>
    <row r="432" customFormat="false" ht="12.75" hidden="false" customHeight="true" outlineLevel="0" collapsed="false">
      <c r="E432" s="34" t="str">
        <f aca="false">MID(B432,9,1)</f>
        <v/>
      </c>
      <c r="F432" s="34" t="str">
        <f aca="false">MID(B432,10,1)</f>
        <v/>
      </c>
      <c r="G432" s="34" t="str">
        <f aca="false">MID(B432,11,1)</f>
        <v/>
      </c>
      <c r="H432" s="35" t="str">
        <f aca="false">IF(G432=".",F432,CONCATENATE(F432,G432))</f>
        <v/>
      </c>
      <c r="I432" s="34" t="n">
        <f aca="false">IFERROR(VALUE(H432),)</f>
        <v>0</v>
      </c>
      <c r="J432" s="34" t="e">
        <f aca="false">RIGHT(B432,LEN(B432)-FIND("/",B432, FIND("Single Cells",B432, 1)))</f>
        <v>#VALUE!</v>
      </c>
    </row>
    <row r="433" customFormat="false" ht="12.75" hidden="false" customHeight="true" outlineLevel="0" collapsed="false">
      <c r="E433" s="34" t="str">
        <f aca="false">MID(B433,9,1)</f>
        <v/>
      </c>
      <c r="F433" s="34" t="str">
        <f aca="false">MID(B433,10,1)</f>
        <v/>
      </c>
      <c r="G433" s="34" t="str">
        <f aca="false">MID(B433,11,1)</f>
        <v/>
      </c>
      <c r="H433" s="35" t="str">
        <f aca="false">IF(G433=".",F433,CONCATENATE(F433,G433))</f>
        <v/>
      </c>
      <c r="I433" s="34" t="n">
        <f aca="false">IFERROR(VALUE(H433),)</f>
        <v>0</v>
      </c>
      <c r="J433" s="34" t="e">
        <f aca="false">RIGHT(B433,LEN(B433)-FIND("/",B433, FIND("Single Cells",B433, 1)))</f>
        <v>#VALUE!</v>
      </c>
    </row>
    <row r="434" customFormat="false" ht="12.75" hidden="false" customHeight="true" outlineLevel="0" collapsed="false">
      <c r="E434" s="34" t="str">
        <f aca="false">MID(B434,9,1)</f>
        <v/>
      </c>
      <c r="F434" s="34" t="str">
        <f aca="false">MID(B434,10,1)</f>
        <v/>
      </c>
      <c r="G434" s="34" t="str">
        <f aca="false">MID(B434,11,1)</f>
        <v/>
      </c>
      <c r="H434" s="35" t="str">
        <f aca="false">IF(G434=".",F434,CONCATENATE(F434,G434))</f>
        <v/>
      </c>
      <c r="I434" s="34" t="n">
        <f aca="false">IFERROR(VALUE(H434),)</f>
        <v>0</v>
      </c>
      <c r="J434" s="34" t="e">
        <f aca="false">RIGHT(B434,LEN(B434)-FIND("/",B434, FIND("Single Cells",B434, 1)))</f>
        <v>#VALUE!</v>
      </c>
    </row>
    <row r="435" customFormat="false" ht="12.75" hidden="false" customHeight="true" outlineLevel="0" collapsed="false">
      <c r="E435" s="34" t="str">
        <f aca="false">MID(B435,9,1)</f>
        <v/>
      </c>
      <c r="F435" s="34" t="str">
        <f aca="false">MID(B435,10,1)</f>
        <v/>
      </c>
      <c r="G435" s="34" t="str">
        <f aca="false">MID(B435,11,1)</f>
        <v/>
      </c>
      <c r="H435" s="35" t="str">
        <f aca="false">IF(G435=".",F435,CONCATENATE(F435,G435))</f>
        <v/>
      </c>
      <c r="I435" s="34" t="n">
        <f aca="false">IFERROR(VALUE(H435),)</f>
        <v>0</v>
      </c>
      <c r="J435" s="34" t="e">
        <f aca="false">RIGHT(B435,LEN(B435)-FIND("/",B435, FIND("Single Cells",B435, 1)))</f>
        <v>#VALUE!</v>
      </c>
    </row>
    <row r="436" customFormat="false" ht="12.75" hidden="false" customHeight="true" outlineLevel="0" collapsed="false">
      <c r="E436" s="34" t="str">
        <f aca="false">MID(B436,9,1)</f>
        <v/>
      </c>
      <c r="F436" s="34" t="str">
        <f aca="false">MID(B436,10,1)</f>
        <v/>
      </c>
      <c r="G436" s="34" t="str">
        <f aca="false">MID(B436,11,1)</f>
        <v/>
      </c>
      <c r="H436" s="35" t="str">
        <f aca="false">IF(G436=".",F436,CONCATENATE(F436,G436))</f>
        <v/>
      </c>
      <c r="I436" s="34" t="n">
        <f aca="false">IFERROR(VALUE(H436),)</f>
        <v>0</v>
      </c>
      <c r="J436" s="34" t="e">
        <f aca="false">RIGHT(B436,LEN(B436)-FIND("/",B436, FIND("Single Cells",B436, 1)))</f>
        <v>#VALUE!</v>
      </c>
    </row>
    <row r="437" customFormat="false" ht="12.75" hidden="false" customHeight="true" outlineLevel="0" collapsed="false">
      <c r="E437" s="34" t="str">
        <f aca="false">MID(B437,9,1)</f>
        <v/>
      </c>
      <c r="F437" s="34" t="str">
        <f aca="false">MID(B437,10,1)</f>
        <v/>
      </c>
      <c r="G437" s="34" t="str">
        <f aca="false">MID(B437,11,1)</f>
        <v/>
      </c>
      <c r="H437" s="35" t="str">
        <f aca="false">IF(G437=".",F437,CONCATENATE(F437,G437))</f>
        <v/>
      </c>
      <c r="I437" s="34" t="n">
        <f aca="false">IFERROR(VALUE(H437),)</f>
        <v>0</v>
      </c>
      <c r="J437" s="34" t="e">
        <f aca="false">RIGHT(B437,LEN(B437)-FIND("/",B437, FIND("Single Cells",B437, 1)))</f>
        <v>#VALUE!</v>
      </c>
    </row>
    <row r="438" customFormat="false" ht="12.75" hidden="false" customHeight="true" outlineLevel="0" collapsed="false">
      <c r="E438" s="34" t="str">
        <f aca="false">MID(B438,9,1)</f>
        <v/>
      </c>
      <c r="F438" s="34" t="str">
        <f aca="false">MID(B438,10,1)</f>
        <v/>
      </c>
      <c r="G438" s="34" t="str">
        <f aca="false">MID(B438,11,1)</f>
        <v/>
      </c>
      <c r="H438" s="35" t="str">
        <f aca="false">IF(G438=".",F438,CONCATENATE(F438,G438))</f>
        <v/>
      </c>
      <c r="I438" s="34" t="n">
        <f aca="false">IFERROR(VALUE(H438),)</f>
        <v>0</v>
      </c>
      <c r="J438" s="34" t="e">
        <f aca="false">RIGHT(B438,LEN(B438)-FIND("/",B438, FIND("Single Cells",B438, 1)))</f>
        <v>#VALUE!</v>
      </c>
    </row>
    <row r="439" customFormat="false" ht="12.75" hidden="false" customHeight="true" outlineLevel="0" collapsed="false">
      <c r="E439" s="34" t="str">
        <f aca="false">MID(B439,9,1)</f>
        <v/>
      </c>
      <c r="F439" s="34" t="str">
        <f aca="false">MID(B439,10,1)</f>
        <v/>
      </c>
      <c r="G439" s="34" t="str">
        <f aca="false">MID(B439,11,1)</f>
        <v/>
      </c>
      <c r="H439" s="35" t="str">
        <f aca="false">IF(G439=".",F439,CONCATENATE(F439,G439))</f>
        <v/>
      </c>
      <c r="I439" s="34" t="n">
        <f aca="false">IFERROR(VALUE(H439),)</f>
        <v>0</v>
      </c>
      <c r="J439" s="34" t="e">
        <f aca="false">RIGHT(B439,LEN(B439)-FIND("/",B439, FIND("Single Cells",B439, 1)))</f>
        <v>#VALUE!</v>
      </c>
    </row>
    <row r="440" customFormat="false" ht="12.75" hidden="false" customHeight="true" outlineLevel="0" collapsed="false">
      <c r="E440" s="34" t="str">
        <f aca="false">MID(B440,9,1)</f>
        <v/>
      </c>
      <c r="F440" s="34" t="str">
        <f aca="false">MID(B440,10,1)</f>
        <v/>
      </c>
      <c r="G440" s="34" t="str">
        <f aca="false">MID(B440,11,1)</f>
        <v/>
      </c>
      <c r="H440" s="35" t="str">
        <f aca="false">IF(G440=".",F440,CONCATENATE(F440,G440))</f>
        <v/>
      </c>
      <c r="I440" s="34" t="n">
        <f aca="false">IFERROR(VALUE(H440),)</f>
        <v>0</v>
      </c>
      <c r="J440" s="34" t="e">
        <f aca="false">RIGHT(B440,LEN(B440)-FIND("/",B440, FIND("Single Cells",B440, 1)))</f>
        <v>#VALUE!</v>
      </c>
    </row>
    <row r="441" customFormat="false" ht="12.75" hidden="false" customHeight="true" outlineLevel="0" collapsed="false">
      <c r="E441" s="34" t="str">
        <f aca="false">MID(B441,9,1)</f>
        <v/>
      </c>
      <c r="F441" s="34" t="str">
        <f aca="false">MID(B441,10,1)</f>
        <v/>
      </c>
      <c r="G441" s="34" t="str">
        <f aca="false">MID(B441,11,1)</f>
        <v/>
      </c>
      <c r="H441" s="35" t="str">
        <f aca="false">IF(G441=".",F441,CONCATENATE(F441,G441))</f>
        <v/>
      </c>
      <c r="I441" s="34" t="n">
        <f aca="false">IFERROR(VALUE(H441),)</f>
        <v>0</v>
      </c>
      <c r="J441" s="34" t="e">
        <f aca="false">RIGHT(B441,LEN(B441)-FIND("/",B441, FIND("Single Cells",B441, 1)))</f>
        <v>#VALUE!</v>
      </c>
    </row>
    <row r="442" customFormat="false" ht="12.75" hidden="false" customHeight="true" outlineLevel="0" collapsed="false">
      <c r="E442" s="34" t="str">
        <f aca="false">MID(B442,9,1)</f>
        <v/>
      </c>
      <c r="F442" s="34" t="str">
        <f aca="false">MID(B442,10,1)</f>
        <v/>
      </c>
      <c r="G442" s="34" t="str">
        <f aca="false">MID(B442,11,1)</f>
        <v/>
      </c>
      <c r="H442" s="35" t="str">
        <f aca="false">IF(G442=".",F442,CONCATENATE(F442,G442))</f>
        <v/>
      </c>
      <c r="I442" s="34" t="n">
        <f aca="false">IFERROR(VALUE(H442),)</f>
        <v>0</v>
      </c>
      <c r="J442" s="34" t="e">
        <f aca="false">RIGHT(B442,LEN(B442)-FIND("/",B442, FIND("Single Cells",B442, 1)))</f>
        <v>#VALUE!</v>
      </c>
    </row>
    <row r="443" customFormat="false" ht="12.75" hidden="false" customHeight="true" outlineLevel="0" collapsed="false">
      <c r="E443" s="34" t="str">
        <f aca="false">MID(B443,9,1)</f>
        <v/>
      </c>
      <c r="F443" s="34" t="str">
        <f aca="false">MID(B443,10,1)</f>
        <v/>
      </c>
      <c r="G443" s="34" t="str">
        <f aca="false">MID(B443,11,1)</f>
        <v/>
      </c>
      <c r="H443" s="35" t="str">
        <f aca="false">IF(G443=".",F443,CONCATENATE(F443,G443))</f>
        <v/>
      </c>
      <c r="I443" s="34" t="n">
        <f aca="false">IFERROR(VALUE(H443),)</f>
        <v>0</v>
      </c>
      <c r="J443" s="34" t="e">
        <f aca="false">RIGHT(B443,LEN(B443)-FIND("/",B443, FIND("Single Cells",B443, 1)))</f>
        <v>#VALUE!</v>
      </c>
    </row>
    <row r="444" customFormat="false" ht="12.75" hidden="false" customHeight="true" outlineLevel="0" collapsed="false">
      <c r="E444" s="34" t="str">
        <f aca="false">MID(B444,9,1)</f>
        <v/>
      </c>
      <c r="F444" s="34" t="str">
        <f aca="false">MID(B444,10,1)</f>
        <v/>
      </c>
      <c r="G444" s="34" t="str">
        <f aca="false">MID(B444,11,1)</f>
        <v/>
      </c>
      <c r="H444" s="35" t="str">
        <f aca="false">IF(G444=".",F444,CONCATENATE(F444,G444))</f>
        <v/>
      </c>
      <c r="I444" s="34" t="n">
        <f aca="false">IFERROR(VALUE(H444),)</f>
        <v>0</v>
      </c>
      <c r="J444" s="34" t="e">
        <f aca="false">RIGHT(B444,LEN(B444)-FIND("/",B444, FIND("Single Cells",B444, 1)))</f>
        <v>#VALUE!</v>
      </c>
    </row>
    <row r="445" customFormat="false" ht="12.75" hidden="false" customHeight="true" outlineLevel="0" collapsed="false">
      <c r="E445" s="34" t="str">
        <f aca="false">MID(B445,9,1)</f>
        <v/>
      </c>
      <c r="F445" s="34" t="str">
        <f aca="false">MID(B445,10,1)</f>
        <v/>
      </c>
      <c r="G445" s="34" t="str">
        <f aca="false">MID(B445,11,1)</f>
        <v/>
      </c>
      <c r="H445" s="35" t="str">
        <f aca="false">IF(G445=".",F445,CONCATENATE(F445,G445))</f>
        <v/>
      </c>
      <c r="I445" s="34" t="n">
        <f aca="false">IFERROR(VALUE(H445),)</f>
        <v>0</v>
      </c>
      <c r="J445" s="34" t="e">
        <f aca="false">RIGHT(B445,LEN(B445)-FIND("/",B445, FIND("Single Cells",B445, 1)))</f>
        <v>#VALUE!</v>
      </c>
    </row>
    <row r="446" customFormat="false" ht="12.75" hidden="false" customHeight="true" outlineLevel="0" collapsed="false">
      <c r="E446" s="34" t="str">
        <f aca="false">MID(B446,9,1)</f>
        <v/>
      </c>
      <c r="F446" s="34" t="str">
        <f aca="false">MID(B446,10,1)</f>
        <v/>
      </c>
      <c r="G446" s="34" t="str">
        <f aca="false">MID(B446,11,1)</f>
        <v/>
      </c>
      <c r="H446" s="35" t="str">
        <f aca="false">IF(G446=".",F446,CONCATENATE(F446,G446))</f>
        <v/>
      </c>
      <c r="I446" s="34" t="n">
        <f aca="false">IFERROR(VALUE(H446),)</f>
        <v>0</v>
      </c>
      <c r="J446" s="34" t="e">
        <f aca="false">RIGHT(B446,LEN(B446)-FIND("/",B446, FIND("Single Cells",B446, 1)))</f>
        <v>#VALUE!</v>
      </c>
    </row>
    <row r="447" customFormat="false" ht="12.75" hidden="false" customHeight="true" outlineLevel="0" collapsed="false">
      <c r="E447" s="34" t="str">
        <f aca="false">MID(B447,9,1)</f>
        <v/>
      </c>
      <c r="F447" s="34" t="str">
        <f aca="false">MID(B447,10,1)</f>
        <v/>
      </c>
      <c r="G447" s="34" t="str">
        <f aca="false">MID(B447,11,1)</f>
        <v/>
      </c>
      <c r="H447" s="35" t="str">
        <f aca="false">IF(G447=".",F447,CONCATENATE(F447,G447))</f>
        <v/>
      </c>
      <c r="I447" s="34" t="n">
        <f aca="false">IFERROR(VALUE(H447),)</f>
        <v>0</v>
      </c>
      <c r="J447" s="34" t="e">
        <f aca="false">RIGHT(B447,LEN(B447)-FIND("/",B447, FIND("Single Cells",B447, 1)))</f>
        <v>#VALUE!</v>
      </c>
    </row>
    <row r="448" customFormat="false" ht="12.75" hidden="false" customHeight="true" outlineLevel="0" collapsed="false">
      <c r="E448" s="34" t="str">
        <f aca="false">MID(B448,9,1)</f>
        <v/>
      </c>
      <c r="F448" s="34" t="str">
        <f aca="false">MID(B448,10,1)</f>
        <v/>
      </c>
      <c r="G448" s="34" t="str">
        <f aca="false">MID(B448,11,1)</f>
        <v/>
      </c>
      <c r="H448" s="35" t="str">
        <f aca="false">IF(G448=".",F448,CONCATENATE(F448,G448))</f>
        <v/>
      </c>
      <c r="I448" s="34" t="n">
        <f aca="false">IFERROR(VALUE(H448),)</f>
        <v>0</v>
      </c>
      <c r="J448" s="34" t="e">
        <f aca="false">RIGHT(B448,LEN(B448)-FIND("/",B448, FIND("Single Cells",B448, 1)))</f>
        <v>#VALUE!</v>
      </c>
    </row>
    <row r="449" customFormat="false" ht="12.75" hidden="false" customHeight="true" outlineLevel="0" collapsed="false">
      <c r="E449" s="34" t="str">
        <f aca="false">MID(B449,9,1)</f>
        <v/>
      </c>
      <c r="F449" s="34" t="str">
        <f aca="false">MID(B449,10,1)</f>
        <v/>
      </c>
      <c r="G449" s="34" t="str">
        <f aca="false">MID(B449,11,1)</f>
        <v/>
      </c>
      <c r="H449" s="35" t="str">
        <f aca="false">IF(G449=".",F449,CONCATENATE(F449,G449))</f>
        <v/>
      </c>
      <c r="I449" s="34" t="n">
        <f aca="false">IFERROR(VALUE(H449),)</f>
        <v>0</v>
      </c>
      <c r="J449" s="34" t="e">
        <f aca="false">RIGHT(B449,LEN(B449)-FIND("/",B449, FIND("Single Cells",B449, 1)))</f>
        <v>#VALUE!</v>
      </c>
    </row>
    <row r="450" customFormat="false" ht="12.75" hidden="false" customHeight="true" outlineLevel="0" collapsed="false">
      <c r="E450" s="34" t="str">
        <f aca="false">MID(B450,9,1)</f>
        <v/>
      </c>
      <c r="F450" s="34" t="str">
        <f aca="false">MID(B450,10,1)</f>
        <v/>
      </c>
      <c r="G450" s="34" t="str">
        <f aca="false">MID(B450,11,1)</f>
        <v/>
      </c>
      <c r="H450" s="35" t="str">
        <f aca="false">IF(G450=".",F450,CONCATENATE(F450,G450))</f>
        <v/>
      </c>
      <c r="I450" s="34" t="n">
        <f aca="false">IFERROR(VALUE(H450),)</f>
        <v>0</v>
      </c>
      <c r="J450" s="34" t="e">
        <f aca="false">RIGHT(B450,LEN(B450)-FIND("/",B450, FIND("Single Cells",B450, 1)))</f>
        <v>#VALUE!</v>
      </c>
    </row>
    <row r="451" customFormat="false" ht="12.75" hidden="false" customHeight="true" outlineLevel="0" collapsed="false">
      <c r="E451" s="34" t="str">
        <f aca="false">MID(B451,9,1)</f>
        <v/>
      </c>
      <c r="F451" s="34" t="str">
        <f aca="false">MID(B451,10,1)</f>
        <v/>
      </c>
      <c r="G451" s="34" t="str">
        <f aca="false">MID(B451,11,1)</f>
        <v/>
      </c>
      <c r="H451" s="35" t="str">
        <f aca="false">IF(G451=".",F451,CONCATENATE(F451,G451))</f>
        <v/>
      </c>
      <c r="I451" s="34" t="n">
        <f aca="false">IFERROR(VALUE(H451),)</f>
        <v>0</v>
      </c>
      <c r="J451" s="34" t="e">
        <f aca="false">RIGHT(B451,LEN(B451)-FIND("/",B451, FIND("Single Cells",B451, 1)))</f>
        <v>#VALUE!</v>
      </c>
    </row>
    <row r="452" customFormat="false" ht="12.75" hidden="false" customHeight="true" outlineLevel="0" collapsed="false">
      <c r="E452" s="34" t="str">
        <f aca="false">MID(B452,9,1)</f>
        <v/>
      </c>
      <c r="F452" s="34" t="str">
        <f aca="false">MID(B452,10,1)</f>
        <v/>
      </c>
      <c r="G452" s="34" t="str">
        <f aca="false">MID(B452,11,1)</f>
        <v/>
      </c>
      <c r="H452" s="35" t="str">
        <f aca="false">IF(G452=".",F452,CONCATENATE(F452,G452))</f>
        <v/>
      </c>
      <c r="I452" s="34" t="n">
        <f aca="false">IFERROR(VALUE(H452),)</f>
        <v>0</v>
      </c>
      <c r="J452" s="34" t="e">
        <f aca="false">RIGHT(B452,LEN(B452)-FIND("/",B452, FIND("Single Cells",B452, 1)))</f>
        <v>#VALUE!</v>
      </c>
    </row>
    <row r="453" customFormat="false" ht="12.75" hidden="false" customHeight="true" outlineLevel="0" collapsed="false">
      <c r="E453" s="34" t="str">
        <f aca="false">MID(B453,9,1)</f>
        <v/>
      </c>
      <c r="F453" s="34" t="str">
        <f aca="false">MID(B453,10,1)</f>
        <v/>
      </c>
      <c r="G453" s="34" t="str">
        <f aca="false">MID(B453,11,1)</f>
        <v/>
      </c>
      <c r="H453" s="35" t="str">
        <f aca="false">IF(G453=".",F453,CONCATENATE(F453,G453))</f>
        <v/>
      </c>
      <c r="I453" s="34" t="n">
        <f aca="false">IFERROR(VALUE(H453),)</f>
        <v>0</v>
      </c>
      <c r="J453" s="34" t="e">
        <f aca="false">RIGHT(B453,LEN(B453)-FIND("/",B453, FIND("Single Cells",B453, 1)))</f>
        <v>#VALUE!</v>
      </c>
    </row>
    <row r="454" customFormat="false" ht="12.75" hidden="false" customHeight="true" outlineLevel="0" collapsed="false">
      <c r="E454" s="34" t="str">
        <f aca="false">MID(B454,9,1)</f>
        <v/>
      </c>
      <c r="F454" s="34" t="str">
        <f aca="false">MID(B454,10,1)</f>
        <v/>
      </c>
      <c r="G454" s="34" t="str">
        <f aca="false">MID(B454,11,1)</f>
        <v/>
      </c>
      <c r="H454" s="35" t="str">
        <f aca="false">IF(G454=".",F454,CONCATENATE(F454,G454))</f>
        <v/>
      </c>
      <c r="I454" s="34" t="n">
        <f aca="false">IFERROR(VALUE(H454),)</f>
        <v>0</v>
      </c>
      <c r="J454" s="34" t="e">
        <f aca="false">RIGHT(B454,LEN(B454)-FIND("/",B454, FIND("Single Cells",B454, 1)))</f>
        <v>#VALUE!</v>
      </c>
    </row>
    <row r="455" customFormat="false" ht="12.75" hidden="false" customHeight="true" outlineLevel="0" collapsed="false">
      <c r="E455" s="34" t="str">
        <f aca="false">MID(B455,9,1)</f>
        <v/>
      </c>
      <c r="F455" s="34" t="str">
        <f aca="false">MID(B455,10,1)</f>
        <v/>
      </c>
      <c r="G455" s="34" t="str">
        <f aca="false">MID(B455,11,1)</f>
        <v/>
      </c>
      <c r="H455" s="35" t="str">
        <f aca="false">IF(G455=".",F455,CONCATENATE(F455,G455))</f>
        <v/>
      </c>
      <c r="I455" s="34" t="n">
        <f aca="false">IFERROR(VALUE(H455),)</f>
        <v>0</v>
      </c>
      <c r="J455" s="34" t="e">
        <f aca="false">RIGHT(B455,LEN(B455)-FIND("/",B455, FIND("Single Cells",B455, 1)))</f>
        <v>#VALUE!</v>
      </c>
    </row>
    <row r="456" customFormat="false" ht="12.75" hidden="false" customHeight="true" outlineLevel="0" collapsed="false">
      <c r="E456" s="34" t="str">
        <f aca="false">MID(B456,9,1)</f>
        <v/>
      </c>
      <c r="F456" s="34" t="str">
        <f aca="false">MID(B456,10,1)</f>
        <v/>
      </c>
      <c r="G456" s="34" t="str">
        <f aca="false">MID(B456,11,1)</f>
        <v/>
      </c>
      <c r="H456" s="35" t="str">
        <f aca="false">IF(G456=".",F456,CONCATENATE(F456,G456))</f>
        <v/>
      </c>
      <c r="I456" s="34" t="n">
        <f aca="false">IFERROR(VALUE(H456),)</f>
        <v>0</v>
      </c>
      <c r="J456" s="34" t="e">
        <f aca="false">RIGHT(B456,LEN(B456)-FIND("/",B456, FIND("Single Cells",B456, 1)))</f>
        <v>#VALUE!</v>
      </c>
    </row>
    <row r="457" customFormat="false" ht="12.75" hidden="false" customHeight="true" outlineLevel="0" collapsed="false">
      <c r="E457" s="34" t="str">
        <f aca="false">MID(B457,9,1)</f>
        <v/>
      </c>
      <c r="F457" s="34" t="str">
        <f aca="false">MID(B457,10,1)</f>
        <v/>
      </c>
      <c r="G457" s="34" t="str">
        <f aca="false">MID(B457,11,1)</f>
        <v/>
      </c>
      <c r="H457" s="35" t="str">
        <f aca="false">IF(G457=".",F457,CONCATENATE(F457,G457))</f>
        <v/>
      </c>
      <c r="I457" s="34" t="n">
        <f aca="false">IFERROR(VALUE(H457),)</f>
        <v>0</v>
      </c>
      <c r="J457" s="34" t="e">
        <f aca="false">RIGHT(B457,LEN(B457)-FIND("/",B457, FIND("Single Cells",B457, 1)))</f>
        <v>#VALUE!</v>
      </c>
    </row>
    <row r="458" customFormat="false" ht="12.75" hidden="false" customHeight="true" outlineLevel="0" collapsed="false">
      <c r="E458" s="34" t="str">
        <f aca="false">MID(B458,9,1)</f>
        <v/>
      </c>
      <c r="F458" s="34" t="str">
        <f aca="false">MID(B458,10,1)</f>
        <v/>
      </c>
      <c r="G458" s="34" t="str">
        <f aca="false">MID(B458,11,1)</f>
        <v/>
      </c>
      <c r="H458" s="35" t="str">
        <f aca="false">IF(G458=".",F458,CONCATENATE(F458,G458))</f>
        <v/>
      </c>
      <c r="I458" s="34" t="n">
        <f aca="false">IFERROR(VALUE(H458),)</f>
        <v>0</v>
      </c>
      <c r="J458" s="34" t="e">
        <f aca="false">RIGHT(B458,LEN(B458)-FIND("/",B458, FIND("Single Cells",B458, 1)))</f>
        <v>#VALUE!</v>
      </c>
    </row>
    <row r="459" customFormat="false" ht="12.75" hidden="false" customHeight="true" outlineLevel="0" collapsed="false">
      <c r="E459" s="34" t="str">
        <f aca="false">MID(B459,9,1)</f>
        <v/>
      </c>
      <c r="F459" s="34" t="str">
        <f aca="false">MID(B459,10,1)</f>
        <v/>
      </c>
      <c r="G459" s="34" t="str">
        <f aca="false">MID(B459,11,1)</f>
        <v/>
      </c>
      <c r="H459" s="35" t="str">
        <f aca="false">IF(G459=".",F459,CONCATENATE(F459,G459))</f>
        <v/>
      </c>
      <c r="I459" s="34" t="n">
        <f aca="false">IFERROR(VALUE(H459),)</f>
        <v>0</v>
      </c>
      <c r="J459" s="34" t="e">
        <f aca="false">RIGHT(B459,LEN(B459)-FIND("/",B459, FIND("Single Cells",B459, 1)))</f>
        <v>#VALUE!</v>
      </c>
    </row>
    <row r="460" customFormat="false" ht="12.75" hidden="false" customHeight="true" outlineLevel="0" collapsed="false">
      <c r="E460" s="34" t="str">
        <f aca="false">MID(B460,9,1)</f>
        <v/>
      </c>
      <c r="F460" s="34" t="str">
        <f aca="false">MID(B460,10,1)</f>
        <v/>
      </c>
      <c r="G460" s="34" t="str">
        <f aca="false">MID(B460,11,1)</f>
        <v/>
      </c>
      <c r="H460" s="35" t="str">
        <f aca="false">IF(G460=".",F460,CONCATENATE(F460,G460))</f>
        <v/>
      </c>
      <c r="I460" s="34" t="n">
        <f aca="false">IFERROR(VALUE(H460),)</f>
        <v>0</v>
      </c>
      <c r="J460" s="34" t="e">
        <f aca="false">RIGHT(B460,LEN(B460)-FIND("/",B460, FIND("Single Cells",B460, 1)))</f>
        <v>#VALUE!</v>
      </c>
    </row>
    <row r="461" customFormat="false" ht="12.75" hidden="false" customHeight="true" outlineLevel="0" collapsed="false">
      <c r="E461" s="34" t="str">
        <f aca="false">MID(B461,9,1)</f>
        <v/>
      </c>
      <c r="F461" s="34" t="str">
        <f aca="false">MID(B461,10,1)</f>
        <v/>
      </c>
      <c r="G461" s="34" t="str">
        <f aca="false">MID(B461,11,1)</f>
        <v/>
      </c>
      <c r="H461" s="35" t="str">
        <f aca="false">IF(G461=".",F461,CONCATENATE(F461,G461))</f>
        <v/>
      </c>
      <c r="I461" s="34" t="n">
        <f aca="false">IFERROR(VALUE(H461),)</f>
        <v>0</v>
      </c>
      <c r="J461" s="34" t="e">
        <f aca="false">RIGHT(B461,LEN(B461)-FIND("/",B461, FIND("Single Cells",B461, 1)))</f>
        <v>#VALUE!</v>
      </c>
    </row>
    <row r="462" customFormat="false" ht="12.75" hidden="false" customHeight="true" outlineLevel="0" collapsed="false">
      <c r="E462" s="34" t="str">
        <f aca="false">MID(B462,9,1)</f>
        <v/>
      </c>
      <c r="F462" s="34" t="str">
        <f aca="false">MID(B462,10,1)</f>
        <v/>
      </c>
      <c r="G462" s="34" t="str">
        <f aca="false">MID(B462,11,1)</f>
        <v/>
      </c>
      <c r="H462" s="35" t="str">
        <f aca="false">IF(G462=".",F462,CONCATENATE(F462,G462))</f>
        <v/>
      </c>
      <c r="I462" s="34" t="n">
        <f aca="false">IFERROR(VALUE(H462),)</f>
        <v>0</v>
      </c>
      <c r="J462" s="34" t="e">
        <f aca="false">RIGHT(B462,LEN(B462)-FIND("/",B462, FIND("Single Cells",B462, 1)))</f>
        <v>#VALUE!</v>
      </c>
    </row>
    <row r="463" customFormat="false" ht="12.75" hidden="false" customHeight="true" outlineLevel="0" collapsed="false">
      <c r="E463" s="34" t="str">
        <f aca="false">MID(B463,9,1)</f>
        <v/>
      </c>
      <c r="F463" s="34" t="str">
        <f aca="false">MID(B463,10,1)</f>
        <v/>
      </c>
      <c r="G463" s="34" t="str">
        <f aca="false">MID(B463,11,1)</f>
        <v/>
      </c>
      <c r="H463" s="35" t="str">
        <f aca="false">IF(G463=".",F463,CONCATENATE(F463,G463))</f>
        <v/>
      </c>
      <c r="I463" s="34" t="n">
        <f aca="false">IFERROR(VALUE(H463),)</f>
        <v>0</v>
      </c>
      <c r="J463" s="34" t="e">
        <f aca="false">RIGHT(B463,LEN(B463)-FIND("/",B463, FIND("Single Cells",B463, 1)))</f>
        <v>#VALUE!</v>
      </c>
    </row>
    <row r="464" customFormat="false" ht="12.75" hidden="false" customHeight="true" outlineLevel="0" collapsed="false">
      <c r="E464" s="34" t="str">
        <f aca="false">MID(B464,9,1)</f>
        <v/>
      </c>
      <c r="F464" s="34" t="str">
        <f aca="false">MID(B464,10,1)</f>
        <v/>
      </c>
      <c r="G464" s="34" t="str">
        <f aca="false">MID(B464,11,1)</f>
        <v/>
      </c>
      <c r="H464" s="35" t="str">
        <f aca="false">IF(G464=".",F464,CONCATENATE(F464,G464))</f>
        <v/>
      </c>
      <c r="I464" s="34" t="n">
        <f aca="false">IFERROR(VALUE(H464),)</f>
        <v>0</v>
      </c>
      <c r="J464" s="34" t="e">
        <f aca="false">RIGHT(B464,LEN(B464)-FIND("/",B464, FIND("Single Cells",B464, 1)))</f>
        <v>#VALUE!</v>
      </c>
    </row>
    <row r="465" customFormat="false" ht="12.75" hidden="false" customHeight="true" outlineLevel="0" collapsed="false">
      <c r="E465" s="34" t="str">
        <f aca="false">MID(B465,9,1)</f>
        <v/>
      </c>
      <c r="F465" s="34" t="str">
        <f aca="false">MID(B465,10,1)</f>
        <v/>
      </c>
      <c r="G465" s="34" t="str">
        <f aca="false">MID(B465,11,1)</f>
        <v/>
      </c>
      <c r="H465" s="35" t="str">
        <f aca="false">IF(G465=".",F465,CONCATENATE(F465,G465))</f>
        <v/>
      </c>
      <c r="I465" s="34" t="n">
        <f aca="false">IFERROR(VALUE(H465),)</f>
        <v>0</v>
      </c>
      <c r="J465" s="34" t="e">
        <f aca="false">RIGHT(B465,LEN(B465)-FIND("/",B465, FIND("Single Cells",B465, 1)))</f>
        <v>#VALUE!</v>
      </c>
    </row>
    <row r="466" customFormat="false" ht="12.75" hidden="false" customHeight="true" outlineLevel="0" collapsed="false">
      <c r="E466" s="34" t="str">
        <f aca="false">MID(B466,9,1)</f>
        <v/>
      </c>
      <c r="F466" s="34" t="str">
        <f aca="false">MID(B466,10,1)</f>
        <v/>
      </c>
      <c r="G466" s="34" t="str">
        <f aca="false">MID(B466,11,1)</f>
        <v/>
      </c>
      <c r="H466" s="35" t="str">
        <f aca="false">IF(G466=".",F466,CONCATENATE(F466,G466))</f>
        <v/>
      </c>
      <c r="I466" s="34" t="n">
        <f aca="false">IFERROR(VALUE(H466),)</f>
        <v>0</v>
      </c>
      <c r="J466" s="34" t="e">
        <f aca="false">RIGHT(B466,LEN(B466)-FIND("/",B466, FIND("Single Cells",B466, 1)))</f>
        <v>#VALUE!</v>
      </c>
    </row>
    <row r="467" customFormat="false" ht="12.75" hidden="false" customHeight="true" outlineLevel="0" collapsed="false">
      <c r="E467" s="34" t="str">
        <f aca="false">MID(B467,9,1)</f>
        <v/>
      </c>
      <c r="F467" s="34" t="str">
        <f aca="false">MID(B467,10,1)</f>
        <v/>
      </c>
      <c r="G467" s="34" t="str">
        <f aca="false">MID(B467,11,1)</f>
        <v/>
      </c>
      <c r="H467" s="35" t="str">
        <f aca="false">IF(G467=".",F467,CONCATENATE(F467,G467))</f>
        <v/>
      </c>
      <c r="I467" s="34" t="n">
        <f aca="false">IFERROR(VALUE(H467),)</f>
        <v>0</v>
      </c>
      <c r="J467" s="34" t="e">
        <f aca="false">RIGHT(B467,LEN(B467)-FIND("/",B467, FIND("Single Cells",B467, 1)))</f>
        <v>#VALUE!</v>
      </c>
    </row>
    <row r="468" customFormat="false" ht="12.75" hidden="false" customHeight="true" outlineLevel="0" collapsed="false">
      <c r="E468" s="34" t="str">
        <f aca="false">MID(B468,9,1)</f>
        <v/>
      </c>
      <c r="F468" s="34" t="str">
        <f aca="false">MID(B468,10,1)</f>
        <v/>
      </c>
      <c r="G468" s="34" t="str">
        <f aca="false">MID(B468,11,1)</f>
        <v/>
      </c>
      <c r="H468" s="35" t="str">
        <f aca="false">IF(G468=".",F468,CONCATENATE(F468,G468))</f>
        <v/>
      </c>
      <c r="I468" s="34" t="n">
        <f aca="false">IFERROR(VALUE(H468),)</f>
        <v>0</v>
      </c>
      <c r="J468" s="34" t="e">
        <f aca="false">RIGHT(B468,LEN(B468)-FIND("/",B468, FIND("Single Cells",B468, 1)))</f>
        <v>#VALUE!</v>
      </c>
    </row>
    <row r="469" customFormat="false" ht="12.75" hidden="false" customHeight="true" outlineLevel="0" collapsed="false">
      <c r="E469" s="34" t="str">
        <f aca="false">MID(B469,9,1)</f>
        <v/>
      </c>
      <c r="F469" s="34" t="str">
        <f aca="false">MID(B469,10,1)</f>
        <v/>
      </c>
      <c r="G469" s="34" t="str">
        <f aca="false">MID(B469,11,1)</f>
        <v/>
      </c>
      <c r="H469" s="35" t="str">
        <f aca="false">IF(G469=".",F469,CONCATENATE(F469,G469))</f>
        <v/>
      </c>
      <c r="I469" s="34" t="n">
        <f aca="false">IFERROR(VALUE(H469),)</f>
        <v>0</v>
      </c>
      <c r="J469" s="34" t="e">
        <f aca="false">RIGHT(B469,LEN(B469)-FIND("/",B469, FIND("Single Cells",B469, 1)))</f>
        <v>#VALUE!</v>
      </c>
    </row>
    <row r="470" customFormat="false" ht="12.75" hidden="false" customHeight="true" outlineLevel="0" collapsed="false">
      <c r="E470" s="34" t="str">
        <f aca="false">MID(B470,9,1)</f>
        <v/>
      </c>
      <c r="F470" s="34" t="str">
        <f aca="false">MID(B470,10,1)</f>
        <v/>
      </c>
      <c r="G470" s="34" t="str">
        <f aca="false">MID(B470,11,1)</f>
        <v/>
      </c>
      <c r="H470" s="35" t="str">
        <f aca="false">IF(G470=".",F470,CONCATENATE(F470,G470))</f>
        <v/>
      </c>
      <c r="I470" s="34" t="n">
        <f aca="false">IFERROR(VALUE(H470),)</f>
        <v>0</v>
      </c>
      <c r="J470" s="34" t="e">
        <f aca="false">RIGHT(B470,LEN(B470)-FIND("/",B470, FIND("Single Cells",B470, 1)))</f>
        <v>#VALUE!</v>
      </c>
    </row>
    <row r="471" customFormat="false" ht="12.75" hidden="false" customHeight="true" outlineLevel="0" collapsed="false">
      <c r="E471" s="34" t="str">
        <f aca="false">MID(B471,9,1)</f>
        <v/>
      </c>
      <c r="F471" s="34" t="str">
        <f aca="false">MID(B471,10,1)</f>
        <v/>
      </c>
      <c r="G471" s="34" t="str">
        <f aca="false">MID(B471,11,1)</f>
        <v/>
      </c>
      <c r="H471" s="35" t="str">
        <f aca="false">IF(G471=".",F471,CONCATENATE(F471,G471))</f>
        <v/>
      </c>
      <c r="I471" s="34" t="n">
        <f aca="false">IFERROR(VALUE(H471),)</f>
        <v>0</v>
      </c>
      <c r="J471" s="34" t="e">
        <f aca="false">RIGHT(B471,LEN(B471)-FIND("/",B471, FIND("Single Cells",B471, 1)))</f>
        <v>#VALUE!</v>
      </c>
    </row>
    <row r="472" customFormat="false" ht="12.75" hidden="false" customHeight="true" outlineLevel="0" collapsed="false">
      <c r="E472" s="34" t="str">
        <f aca="false">MID(B472,9,1)</f>
        <v/>
      </c>
      <c r="F472" s="34" t="str">
        <f aca="false">MID(B472,10,1)</f>
        <v/>
      </c>
      <c r="G472" s="34" t="str">
        <f aca="false">MID(B472,11,1)</f>
        <v/>
      </c>
      <c r="H472" s="35" t="str">
        <f aca="false">IF(G472=".",F472,CONCATENATE(F472,G472))</f>
        <v/>
      </c>
      <c r="I472" s="34" t="n">
        <f aca="false">IFERROR(VALUE(H472),)</f>
        <v>0</v>
      </c>
      <c r="J472" s="34" t="e">
        <f aca="false">RIGHT(B472,LEN(B472)-FIND("/",B472, FIND("Single Cells",B472, 1)))</f>
        <v>#VALUE!</v>
      </c>
    </row>
    <row r="473" customFormat="false" ht="12.75" hidden="false" customHeight="true" outlineLevel="0" collapsed="false">
      <c r="E473" s="34" t="str">
        <f aca="false">MID(B473,9,1)</f>
        <v/>
      </c>
      <c r="F473" s="34" t="str">
        <f aca="false">MID(B473,10,1)</f>
        <v/>
      </c>
      <c r="G473" s="34" t="str">
        <f aca="false">MID(B473,11,1)</f>
        <v/>
      </c>
      <c r="H473" s="35" t="str">
        <f aca="false">IF(G473=".",F473,CONCATENATE(F473,G473))</f>
        <v/>
      </c>
      <c r="I473" s="34" t="n">
        <f aca="false">IFERROR(VALUE(H473),)</f>
        <v>0</v>
      </c>
      <c r="J473" s="34" t="e">
        <f aca="false">RIGHT(B473,LEN(B473)-FIND("/",B473, FIND("Single Cells",B473, 1)))</f>
        <v>#VALUE!</v>
      </c>
    </row>
    <row r="474" customFormat="false" ht="12.75" hidden="false" customHeight="true" outlineLevel="0" collapsed="false">
      <c r="E474" s="34" t="str">
        <f aca="false">MID(B474,9,1)</f>
        <v/>
      </c>
      <c r="F474" s="34" t="str">
        <f aca="false">MID(B474,10,1)</f>
        <v/>
      </c>
      <c r="G474" s="34" t="str">
        <f aca="false">MID(B474,11,1)</f>
        <v/>
      </c>
      <c r="H474" s="35" t="str">
        <f aca="false">IF(G474=".",F474,CONCATENATE(F474,G474))</f>
        <v/>
      </c>
      <c r="I474" s="34" t="n">
        <f aca="false">IFERROR(VALUE(H474),)</f>
        <v>0</v>
      </c>
      <c r="J474" s="34" t="e">
        <f aca="false">RIGHT(B474,LEN(B474)-FIND("/",B474, FIND("Single Cells",B474, 1)))</f>
        <v>#VALUE!</v>
      </c>
    </row>
    <row r="475" customFormat="false" ht="12.75" hidden="false" customHeight="true" outlineLevel="0" collapsed="false">
      <c r="E475" s="34" t="str">
        <f aca="false">MID(B475,9,1)</f>
        <v/>
      </c>
      <c r="F475" s="34" t="str">
        <f aca="false">MID(B475,10,1)</f>
        <v/>
      </c>
      <c r="G475" s="34" t="str">
        <f aca="false">MID(B475,11,1)</f>
        <v/>
      </c>
      <c r="H475" s="35" t="str">
        <f aca="false">IF(G475=".",F475,CONCATENATE(F475,G475))</f>
        <v/>
      </c>
      <c r="I475" s="34" t="n">
        <f aca="false">IFERROR(VALUE(H475),)</f>
        <v>0</v>
      </c>
      <c r="J475" s="34" t="e">
        <f aca="false">RIGHT(B475,LEN(B475)-FIND("/",B475, FIND("Single Cells",B475, 1)))</f>
        <v>#VALUE!</v>
      </c>
    </row>
    <row r="476" customFormat="false" ht="12.75" hidden="false" customHeight="true" outlineLevel="0" collapsed="false">
      <c r="E476" s="34" t="str">
        <f aca="false">MID(B476,9,1)</f>
        <v/>
      </c>
      <c r="F476" s="34" t="str">
        <f aca="false">MID(B476,10,1)</f>
        <v/>
      </c>
      <c r="G476" s="34" t="str">
        <f aca="false">MID(B476,11,1)</f>
        <v/>
      </c>
      <c r="H476" s="35" t="str">
        <f aca="false">IF(G476=".",F476,CONCATENATE(F476,G476))</f>
        <v/>
      </c>
      <c r="I476" s="34" t="n">
        <f aca="false">IFERROR(VALUE(H476),)</f>
        <v>0</v>
      </c>
      <c r="J476" s="34" t="e">
        <f aca="false">RIGHT(B476,LEN(B476)-FIND("/",B476, FIND("Single Cells",B476, 1)))</f>
        <v>#VALUE!</v>
      </c>
    </row>
    <row r="477" customFormat="false" ht="12.75" hidden="false" customHeight="true" outlineLevel="0" collapsed="false">
      <c r="E477" s="34" t="str">
        <f aca="false">MID(B477,9,1)</f>
        <v/>
      </c>
      <c r="F477" s="34" t="str">
        <f aca="false">MID(B477,10,1)</f>
        <v/>
      </c>
      <c r="G477" s="34" t="str">
        <f aca="false">MID(B477,11,1)</f>
        <v/>
      </c>
      <c r="H477" s="35" t="str">
        <f aca="false">IF(G477=".",F477,CONCATENATE(F477,G477))</f>
        <v/>
      </c>
      <c r="I477" s="34" t="n">
        <f aca="false">IFERROR(VALUE(H477),)</f>
        <v>0</v>
      </c>
      <c r="J477" s="34" t="e">
        <f aca="false">RIGHT(B477,LEN(B477)-FIND("/",B477, FIND("Single Cells",B477, 1)))</f>
        <v>#VALUE!</v>
      </c>
    </row>
    <row r="478" customFormat="false" ht="12.75" hidden="false" customHeight="true" outlineLevel="0" collapsed="false">
      <c r="E478" s="34" t="str">
        <f aca="false">MID(B478,9,1)</f>
        <v/>
      </c>
      <c r="F478" s="34" t="str">
        <f aca="false">MID(B478,10,1)</f>
        <v/>
      </c>
      <c r="G478" s="34" t="str">
        <f aca="false">MID(B478,11,1)</f>
        <v/>
      </c>
      <c r="H478" s="35" t="str">
        <f aca="false">IF(G478=".",F478,CONCATENATE(F478,G478))</f>
        <v/>
      </c>
      <c r="I478" s="34" t="n">
        <f aca="false">IFERROR(VALUE(H478),)</f>
        <v>0</v>
      </c>
      <c r="J478" s="34" t="e">
        <f aca="false">RIGHT(B478,LEN(B478)-FIND("/",B478, FIND("Single Cells",B478, 1)))</f>
        <v>#VALUE!</v>
      </c>
    </row>
    <row r="479" customFormat="false" ht="12.75" hidden="false" customHeight="true" outlineLevel="0" collapsed="false">
      <c r="E479" s="34" t="str">
        <f aca="false">MID(B479,9,1)</f>
        <v/>
      </c>
      <c r="F479" s="34" t="str">
        <f aca="false">MID(B479,10,1)</f>
        <v/>
      </c>
      <c r="G479" s="34" t="str">
        <f aca="false">MID(B479,11,1)</f>
        <v/>
      </c>
      <c r="H479" s="35" t="str">
        <f aca="false">IF(G479=".",F479,CONCATENATE(F479,G479))</f>
        <v/>
      </c>
      <c r="I479" s="34" t="n">
        <f aca="false">IFERROR(VALUE(H479),)</f>
        <v>0</v>
      </c>
      <c r="J479" s="34" t="e">
        <f aca="false">RIGHT(B479,LEN(B479)-FIND("/",B479, FIND("Single Cells",B479, 1)))</f>
        <v>#VALUE!</v>
      </c>
    </row>
    <row r="480" customFormat="false" ht="12.75" hidden="false" customHeight="true" outlineLevel="0" collapsed="false">
      <c r="E480" s="34" t="str">
        <f aca="false">MID(B480,9,1)</f>
        <v/>
      </c>
      <c r="F480" s="34" t="str">
        <f aca="false">MID(B480,10,1)</f>
        <v/>
      </c>
      <c r="G480" s="34" t="str">
        <f aca="false">MID(B480,11,1)</f>
        <v/>
      </c>
      <c r="H480" s="35" t="str">
        <f aca="false">IF(G480=".",F480,CONCATENATE(F480,G480))</f>
        <v/>
      </c>
      <c r="I480" s="34" t="n">
        <f aca="false">IFERROR(VALUE(H480),)</f>
        <v>0</v>
      </c>
      <c r="J480" s="34" t="e">
        <f aca="false">RIGHT(B480,LEN(B480)-FIND("/",B480, FIND("Single Cells",B480, 1)))</f>
        <v>#VALUE!</v>
      </c>
    </row>
    <row r="481" customFormat="false" ht="12.75" hidden="false" customHeight="true" outlineLevel="0" collapsed="false">
      <c r="E481" s="34" t="str">
        <f aca="false">MID(B481,9,1)</f>
        <v/>
      </c>
      <c r="F481" s="34" t="str">
        <f aca="false">MID(B481,10,1)</f>
        <v/>
      </c>
      <c r="G481" s="34" t="str">
        <f aca="false">MID(B481,11,1)</f>
        <v/>
      </c>
      <c r="H481" s="35" t="str">
        <f aca="false">IF(G481=".",F481,CONCATENATE(F481,G481))</f>
        <v/>
      </c>
      <c r="I481" s="34" t="n">
        <f aca="false">IFERROR(VALUE(H481),)</f>
        <v>0</v>
      </c>
      <c r="J481" s="34" t="e">
        <f aca="false">RIGHT(B481,LEN(B481)-FIND("/",B481, FIND("Single Cells",B481, 1)))</f>
        <v>#VALUE!</v>
      </c>
    </row>
    <row r="482" customFormat="false" ht="12.75" hidden="false" customHeight="true" outlineLevel="0" collapsed="false">
      <c r="E482" s="34" t="str">
        <f aca="false">MID(B482,9,1)</f>
        <v/>
      </c>
      <c r="F482" s="34" t="str">
        <f aca="false">MID(B482,10,1)</f>
        <v/>
      </c>
      <c r="G482" s="34" t="str">
        <f aca="false">MID(B482,11,1)</f>
        <v/>
      </c>
      <c r="H482" s="35" t="str">
        <f aca="false">IF(G482=".",F482,CONCATENATE(F482,G482))</f>
        <v/>
      </c>
      <c r="I482" s="34" t="n">
        <f aca="false">IFERROR(VALUE(H482),)</f>
        <v>0</v>
      </c>
      <c r="J482" s="34" t="e">
        <f aca="false">RIGHT(B482,LEN(B482)-FIND("/",B482, FIND("Single Cells",B482, 1)))</f>
        <v>#VALUE!</v>
      </c>
    </row>
    <row r="483" customFormat="false" ht="12.75" hidden="false" customHeight="true" outlineLevel="0" collapsed="false">
      <c r="E483" s="34" t="str">
        <f aca="false">MID(B483,9,1)</f>
        <v/>
      </c>
      <c r="F483" s="34" t="str">
        <f aca="false">MID(B483,10,1)</f>
        <v/>
      </c>
      <c r="G483" s="34" t="str">
        <f aca="false">MID(B483,11,1)</f>
        <v/>
      </c>
      <c r="H483" s="35" t="str">
        <f aca="false">IF(G483=".",F483,CONCATENATE(F483,G483))</f>
        <v/>
      </c>
      <c r="I483" s="34" t="n">
        <f aca="false">IFERROR(VALUE(H483),)</f>
        <v>0</v>
      </c>
      <c r="J483" s="34" t="e">
        <f aca="false">RIGHT(B483,LEN(B483)-FIND("/",B483, FIND("Single Cells",B483, 1)))</f>
        <v>#VALUE!</v>
      </c>
    </row>
    <row r="484" customFormat="false" ht="12.75" hidden="false" customHeight="true" outlineLevel="0" collapsed="false">
      <c r="E484" s="34" t="str">
        <f aca="false">MID(B484,9,1)</f>
        <v/>
      </c>
      <c r="F484" s="34" t="str">
        <f aca="false">MID(B484,10,1)</f>
        <v/>
      </c>
      <c r="G484" s="34" t="str">
        <f aca="false">MID(B484,11,1)</f>
        <v/>
      </c>
      <c r="H484" s="35" t="str">
        <f aca="false">IF(G484=".",F484,CONCATENATE(F484,G484))</f>
        <v/>
      </c>
      <c r="I484" s="34" t="n">
        <f aca="false">IFERROR(VALUE(H484),)</f>
        <v>0</v>
      </c>
      <c r="J484" s="34" t="e">
        <f aca="false">RIGHT(B484,LEN(B484)-FIND("/",B484, FIND("Single Cells",B484, 1)))</f>
        <v>#VALUE!</v>
      </c>
    </row>
    <row r="485" customFormat="false" ht="12.75" hidden="false" customHeight="true" outlineLevel="0" collapsed="false">
      <c r="E485" s="34" t="str">
        <f aca="false">MID(B485,9,1)</f>
        <v/>
      </c>
      <c r="F485" s="34" t="str">
        <f aca="false">MID(B485,10,1)</f>
        <v/>
      </c>
      <c r="G485" s="34" t="str">
        <f aca="false">MID(B485,11,1)</f>
        <v/>
      </c>
      <c r="H485" s="35" t="str">
        <f aca="false">IF(G485=".",F485,CONCATENATE(F485,G485))</f>
        <v/>
      </c>
      <c r="I485" s="34" t="n">
        <f aca="false">IFERROR(VALUE(H485),)</f>
        <v>0</v>
      </c>
      <c r="J485" s="34" t="e">
        <f aca="false">RIGHT(B485,LEN(B485)-FIND("/",B485, FIND("Single Cells",B485, 1)))</f>
        <v>#VALUE!</v>
      </c>
    </row>
    <row r="486" customFormat="false" ht="12.75" hidden="false" customHeight="true" outlineLevel="0" collapsed="false">
      <c r="E486" s="34" t="str">
        <f aca="false">MID(B486,9,1)</f>
        <v/>
      </c>
      <c r="F486" s="34" t="str">
        <f aca="false">MID(B486,10,1)</f>
        <v/>
      </c>
      <c r="G486" s="34" t="str">
        <f aca="false">MID(B486,11,1)</f>
        <v/>
      </c>
      <c r="H486" s="35" t="str">
        <f aca="false">IF(G486=".",F486,CONCATENATE(F486,G486))</f>
        <v/>
      </c>
      <c r="I486" s="34" t="n">
        <f aca="false">IFERROR(VALUE(H486),)</f>
        <v>0</v>
      </c>
      <c r="J486" s="34" t="e">
        <f aca="false">RIGHT(B486,LEN(B486)-FIND("/",B486, FIND("Single Cells",B486, 1)))</f>
        <v>#VALUE!</v>
      </c>
    </row>
    <row r="487" customFormat="false" ht="12.75" hidden="false" customHeight="true" outlineLevel="0" collapsed="false">
      <c r="E487" s="34" t="str">
        <f aca="false">MID(B487,9,1)</f>
        <v/>
      </c>
      <c r="F487" s="34" t="str">
        <f aca="false">MID(B487,10,1)</f>
        <v/>
      </c>
      <c r="G487" s="34" t="str">
        <f aca="false">MID(B487,11,1)</f>
        <v/>
      </c>
      <c r="H487" s="35" t="str">
        <f aca="false">IF(G487=".",F487,CONCATENATE(F487,G487))</f>
        <v/>
      </c>
      <c r="I487" s="34" t="n">
        <f aca="false">IFERROR(VALUE(H487),)</f>
        <v>0</v>
      </c>
      <c r="J487" s="34" t="e">
        <f aca="false">RIGHT(B487,LEN(B487)-FIND("/",B487, FIND("Single Cells",B487, 1)))</f>
        <v>#VALUE!</v>
      </c>
    </row>
    <row r="488" customFormat="false" ht="12.75" hidden="false" customHeight="true" outlineLevel="0" collapsed="false">
      <c r="E488" s="34" t="str">
        <f aca="false">MID(B488,9,1)</f>
        <v/>
      </c>
      <c r="F488" s="34" t="str">
        <f aca="false">MID(B488,10,1)</f>
        <v/>
      </c>
      <c r="G488" s="34" t="str">
        <f aca="false">MID(B488,11,1)</f>
        <v/>
      </c>
      <c r="H488" s="35" t="str">
        <f aca="false">IF(G488=".",F488,CONCATENATE(F488,G488))</f>
        <v/>
      </c>
      <c r="I488" s="34" t="n">
        <f aca="false">IFERROR(VALUE(H488),)</f>
        <v>0</v>
      </c>
      <c r="J488" s="34" t="e">
        <f aca="false">RIGHT(B488,LEN(B488)-FIND("/",B488, FIND("Single Cells",B488, 1)))</f>
        <v>#VALUE!</v>
      </c>
    </row>
    <row r="489" customFormat="false" ht="12.75" hidden="false" customHeight="true" outlineLevel="0" collapsed="false">
      <c r="E489" s="34" t="str">
        <f aca="false">MID(B489,9,1)</f>
        <v/>
      </c>
      <c r="F489" s="34" t="str">
        <f aca="false">MID(B489,10,1)</f>
        <v/>
      </c>
      <c r="G489" s="34" t="str">
        <f aca="false">MID(B489,11,1)</f>
        <v/>
      </c>
      <c r="H489" s="35" t="str">
        <f aca="false">IF(G489=".",F489,CONCATENATE(F489,G489))</f>
        <v/>
      </c>
      <c r="I489" s="34" t="n">
        <f aca="false">IFERROR(VALUE(H489),)</f>
        <v>0</v>
      </c>
      <c r="J489" s="34" t="e">
        <f aca="false">RIGHT(B489,LEN(B489)-FIND("/",B489, FIND("Single Cells",B489, 1)))</f>
        <v>#VALUE!</v>
      </c>
    </row>
    <row r="490" customFormat="false" ht="12.75" hidden="false" customHeight="true" outlineLevel="0" collapsed="false">
      <c r="E490" s="34" t="str">
        <f aca="false">MID(B490,9,1)</f>
        <v/>
      </c>
      <c r="F490" s="34" t="str">
        <f aca="false">MID(B490,10,1)</f>
        <v/>
      </c>
      <c r="G490" s="34" t="str">
        <f aca="false">MID(B490,11,1)</f>
        <v/>
      </c>
      <c r="H490" s="35" t="str">
        <f aca="false">IF(G490=".",F490,CONCATENATE(F490,G490))</f>
        <v/>
      </c>
      <c r="I490" s="34" t="n">
        <f aca="false">IFERROR(VALUE(H490),)</f>
        <v>0</v>
      </c>
      <c r="J490" s="34" t="e">
        <f aca="false">RIGHT(B490,LEN(B490)-FIND("/",B490, FIND("Single Cells",B490, 1)))</f>
        <v>#VALUE!</v>
      </c>
    </row>
    <row r="491" customFormat="false" ht="12.75" hidden="false" customHeight="true" outlineLevel="0" collapsed="false">
      <c r="E491" s="34" t="str">
        <f aca="false">MID(B491,9,1)</f>
        <v/>
      </c>
      <c r="F491" s="34" t="str">
        <f aca="false">MID(B491,10,1)</f>
        <v/>
      </c>
      <c r="G491" s="34" t="str">
        <f aca="false">MID(B491,11,1)</f>
        <v/>
      </c>
      <c r="H491" s="35" t="str">
        <f aca="false">IF(G491=".",F491,CONCATENATE(F491,G491))</f>
        <v/>
      </c>
      <c r="I491" s="34" t="n">
        <f aca="false">IFERROR(VALUE(H491),)</f>
        <v>0</v>
      </c>
      <c r="J491" s="34" t="e">
        <f aca="false">RIGHT(B491,LEN(B491)-FIND("/",B491, FIND("Single Cells",B491, 1)))</f>
        <v>#VALUE!</v>
      </c>
    </row>
    <row r="492" customFormat="false" ht="12.75" hidden="false" customHeight="true" outlineLevel="0" collapsed="false">
      <c r="E492" s="34" t="str">
        <f aca="false">MID(B492,9,1)</f>
        <v/>
      </c>
      <c r="F492" s="34" t="str">
        <f aca="false">MID(B492,10,1)</f>
        <v/>
      </c>
      <c r="G492" s="34" t="str">
        <f aca="false">MID(B492,11,1)</f>
        <v/>
      </c>
      <c r="H492" s="35" t="str">
        <f aca="false">IF(G492=".",F492,CONCATENATE(F492,G492))</f>
        <v/>
      </c>
      <c r="I492" s="34" t="n">
        <f aca="false">IFERROR(VALUE(H492),)</f>
        <v>0</v>
      </c>
      <c r="J492" s="34" t="e">
        <f aca="false">RIGHT(B492,LEN(B492)-FIND("/",B492, FIND("Single Cells",B492, 1)))</f>
        <v>#VALUE!</v>
      </c>
    </row>
    <row r="493" customFormat="false" ht="12.75" hidden="false" customHeight="true" outlineLevel="0" collapsed="false">
      <c r="E493" s="34" t="str">
        <f aca="false">MID(B493,9,1)</f>
        <v/>
      </c>
      <c r="F493" s="34" t="str">
        <f aca="false">MID(B493,10,1)</f>
        <v/>
      </c>
      <c r="G493" s="34" t="str">
        <f aca="false">MID(B493,11,1)</f>
        <v/>
      </c>
      <c r="H493" s="35" t="str">
        <f aca="false">IF(G493=".",F493,CONCATENATE(F493,G493))</f>
        <v/>
      </c>
      <c r="I493" s="34" t="n">
        <f aca="false">IFERROR(VALUE(H493),)</f>
        <v>0</v>
      </c>
      <c r="J493" s="34" t="e">
        <f aca="false">RIGHT(B493,LEN(B493)-FIND("/",B493, FIND("Single Cells",B493, 1)))</f>
        <v>#VALUE!</v>
      </c>
    </row>
    <row r="494" customFormat="false" ht="12.75" hidden="false" customHeight="true" outlineLevel="0" collapsed="false">
      <c r="E494" s="34" t="str">
        <f aca="false">MID(B494,9,1)</f>
        <v/>
      </c>
      <c r="F494" s="34" t="str">
        <f aca="false">MID(B494,10,1)</f>
        <v/>
      </c>
      <c r="G494" s="34" t="str">
        <f aca="false">MID(B494,11,1)</f>
        <v/>
      </c>
      <c r="H494" s="35" t="str">
        <f aca="false">IF(G494=".",F494,CONCATENATE(F494,G494))</f>
        <v/>
      </c>
      <c r="I494" s="34" t="n">
        <f aca="false">IFERROR(VALUE(H494),)</f>
        <v>0</v>
      </c>
      <c r="J494" s="34" t="e">
        <f aca="false">RIGHT(B494,LEN(B494)-FIND("/",B494, FIND("Single Cells",B494, 1)))</f>
        <v>#VALUE!</v>
      </c>
    </row>
    <row r="495" customFormat="false" ht="12.75" hidden="false" customHeight="true" outlineLevel="0" collapsed="false">
      <c r="E495" s="34" t="str">
        <f aca="false">MID(B495,9,1)</f>
        <v/>
      </c>
      <c r="F495" s="34" t="str">
        <f aca="false">MID(B495,10,1)</f>
        <v/>
      </c>
      <c r="G495" s="34" t="str">
        <f aca="false">MID(B495,11,1)</f>
        <v/>
      </c>
      <c r="H495" s="35" t="str">
        <f aca="false">IF(G495=".",F495,CONCATENATE(F495,G495))</f>
        <v/>
      </c>
      <c r="I495" s="34" t="n">
        <f aca="false">IFERROR(VALUE(H495),)</f>
        <v>0</v>
      </c>
      <c r="J495" s="34" t="e">
        <f aca="false">RIGHT(B495,LEN(B495)-FIND("/",B495, FIND("Single Cells",B495, 1)))</f>
        <v>#VALUE!</v>
      </c>
    </row>
    <row r="496" customFormat="false" ht="12.75" hidden="false" customHeight="true" outlineLevel="0" collapsed="false">
      <c r="E496" s="34" t="str">
        <f aca="false">MID(B496,9,1)</f>
        <v/>
      </c>
      <c r="F496" s="34" t="str">
        <f aca="false">MID(B496,10,1)</f>
        <v/>
      </c>
      <c r="G496" s="34" t="str">
        <f aca="false">MID(B496,11,1)</f>
        <v/>
      </c>
      <c r="H496" s="35" t="str">
        <f aca="false">IF(G496=".",F496,CONCATENATE(F496,G496))</f>
        <v/>
      </c>
      <c r="I496" s="34" t="n">
        <f aca="false">IFERROR(VALUE(H496),)</f>
        <v>0</v>
      </c>
      <c r="J496" s="34" t="e">
        <f aca="false">RIGHT(B496,LEN(B496)-FIND("/",B496, FIND("Single Cells",B496, 1)))</f>
        <v>#VALUE!</v>
      </c>
    </row>
    <row r="497" customFormat="false" ht="12.75" hidden="false" customHeight="true" outlineLevel="0" collapsed="false">
      <c r="E497" s="34" t="str">
        <f aca="false">MID(B497,9,1)</f>
        <v/>
      </c>
      <c r="F497" s="34" t="str">
        <f aca="false">MID(B497,10,1)</f>
        <v/>
      </c>
      <c r="G497" s="34" t="str">
        <f aca="false">MID(B497,11,1)</f>
        <v/>
      </c>
      <c r="H497" s="35" t="str">
        <f aca="false">IF(G497=".",F497,CONCATENATE(F497,G497))</f>
        <v/>
      </c>
      <c r="I497" s="34" t="n">
        <f aca="false">IFERROR(VALUE(H497),)</f>
        <v>0</v>
      </c>
      <c r="J497" s="34" t="e">
        <f aca="false">RIGHT(B497,LEN(B497)-FIND("/",B497, FIND("Single Cells",B497, 1)))</f>
        <v>#VALUE!</v>
      </c>
    </row>
    <row r="498" customFormat="false" ht="12.75" hidden="false" customHeight="true" outlineLevel="0" collapsed="false">
      <c r="E498" s="34" t="str">
        <f aca="false">MID(B498,9,1)</f>
        <v/>
      </c>
      <c r="F498" s="34" t="str">
        <f aca="false">MID(B498,10,1)</f>
        <v/>
      </c>
      <c r="G498" s="34" t="str">
        <f aca="false">MID(B498,11,1)</f>
        <v/>
      </c>
      <c r="H498" s="35" t="str">
        <f aca="false">IF(G498=".",F498,CONCATENATE(F498,G498))</f>
        <v/>
      </c>
      <c r="I498" s="34" t="n">
        <f aca="false">IFERROR(VALUE(H498),)</f>
        <v>0</v>
      </c>
      <c r="J498" s="34" t="e">
        <f aca="false">RIGHT(B498,LEN(B498)-FIND("/",B498, FIND("Single Cells",B498, 1)))</f>
        <v>#VALUE!</v>
      </c>
    </row>
    <row r="499" customFormat="false" ht="12.75" hidden="false" customHeight="true" outlineLevel="0" collapsed="false">
      <c r="E499" s="34" t="str">
        <f aca="false">MID(B499,9,1)</f>
        <v/>
      </c>
      <c r="F499" s="34" t="str">
        <f aca="false">MID(B499,10,1)</f>
        <v/>
      </c>
      <c r="G499" s="34" t="str">
        <f aca="false">MID(B499,11,1)</f>
        <v/>
      </c>
      <c r="H499" s="35" t="str">
        <f aca="false">IF(G499=".",F499,CONCATENATE(F499,G499))</f>
        <v/>
      </c>
      <c r="I499" s="34" t="n">
        <f aca="false">IFERROR(VALUE(H499),)</f>
        <v>0</v>
      </c>
      <c r="J499" s="34" t="e">
        <f aca="false">RIGHT(B499,LEN(B499)-FIND("/",B499, FIND("Single Cells",B499, 1)))</f>
        <v>#VALUE!</v>
      </c>
    </row>
    <row r="500" customFormat="false" ht="12.75" hidden="false" customHeight="true" outlineLevel="0" collapsed="false">
      <c r="E500" s="34" t="str">
        <f aca="false">MID(B500,9,1)</f>
        <v/>
      </c>
      <c r="F500" s="34" t="str">
        <f aca="false">MID(B500,10,1)</f>
        <v/>
      </c>
      <c r="G500" s="34" t="str">
        <f aca="false">MID(B500,11,1)</f>
        <v/>
      </c>
      <c r="H500" s="35" t="str">
        <f aca="false">IF(G500=".",F500,CONCATENATE(F500,G500))</f>
        <v/>
      </c>
      <c r="I500" s="34" t="n">
        <f aca="false">IFERROR(VALUE(H500),)</f>
        <v>0</v>
      </c>
      <c r="J500" s="34" t="e">
        <f aca="false">RIGHT(B500,LEN(B500)-FIND("/",B500, FIND("Single Cells",B500, 1)))</f>
        <v>#VALUE!</v>
      </c>
    </row>
    <row r="501" customFormat="false" ht="12.75" hidden="false" customHeight="true" outlineLevel="0" collapsed="false">
      <c r="E501" s="34" t="str">
        <f aca="false">MID(B501,9,1)</f>
        <v/>
      </c>
      <c r="F501" s="34" t="str">
        <f aca="false">MID(B501,10,1)</f>
        <v/>
      </c>
      <c r="G501" s="34" t="str">
        <f aca="false">MID(B501,11,1)</f>
        <v/>
      </c>
      <c r="H501" s="35" t="str">
        <f aca="false">IF(G501=".",F501,CONCATENATE(F501,G501))</f>
        <v/>
      </c>
      <c r="I501" s="34" t="n">
        <f aca="false">IFERROR(VALUE(H501),)</f>
        <v>0</v>
      </c>
      <c r="J501" s="34" t="e">
        <f aca="false">RIGHT(B501,LEN(B501)-FIND("/",B501, FIND("Single Cells",B501, 1)))</f>
        <v>#VALUE!</v>
      </c>
    </row>
    <row r="502" customFormat="false" ht="12.75" hidden="false" customHeight="true" outlineLevel="0" collapsed="false">
      <c r="E502" s="34" t="str">
        <f aca="false">MID(B502,9,1)</f>
        <v/>
      </c>
      <c r="F502" s="34" t="str">
        <f aca="false">MID(B502,10,1)</f>
        <v/>
      </c>
      <c r="G502" s="34" t="str">
        <f aca="false">MID(B502,11,1)</f>
        <v/>
      </c>
      <c r="H502" s="35" t="str">
        <f aca="false">IF(G502=".",F502,CONCATENATE(F502,G502))</f>
        <v/>
      </c>
      <c r="I502" s="34" t="n">
        <f aca="false">IFERROR(VALUE(H502),)</f>
        <v>0</v>
      </c>
      <c r="J502" s="34" t="e">
        <f aca="false">RIGHT(B502,LEN(B502)-FIND("/",B502, FIND("Single Cells",B502, 1)))</f>
        <v>#VALUE!</v>
      </c>
    </row>
    <row r="503" customFormat="false" ht="12.75" hidden="false" customHeight="true" outlineLevel="0" collapsed="false">
      <c r="E503" s="34" t="str">
        <f aca="false">MID(B503,9,1)</f>
        <v/>
      </c>
      <c r="F503" s="34" t="str">
        <f aca="false">MID(B503,10,1)</f>
        <v/>
      </c>
      <c r="G503" s="34" t="str">
        <f aca="false">MID(B503,11,1)</f>
        <v/>
      </c>
      <c r="H503" s="35" t="str">
        <f aca="false">IF(G503=".",F503,CONCATENATE(F503,G503))</f>
        <v/>
      </c>
      <c r="I503" s="34" t="n">
        <f aca="false">IFERROR(VALUE(H503),)</f>
        <v>0</v>
      </c>
      <c r="J503" s="34" t="e">
        <f aca="false">RIGHT(B503,LEN(B503)-FIND("/",B503, FIND("Single Cells",B503, 1)))</f>
        <v>#VALUE!</v>
      </c>
    </row>
    <row r="504" customFormat="false" ht="12.75" hidden="false" customHeight="true" outlineLevel="0" collapsed="false">
      <c r="E504" s="34" t="str">
        <f aca="false">MID(B504,9,1)</f>
        <v/>
      </c>
      <c r="F504" s="34" t="str">
        <f aca="false">MID(B504,10,1)</f>
        <v/>
      </c>
      <c r="G504" s="34" t="str">
        <f aca="false">MID(B504,11,1)</f>
        <v/>
      </c>
      <c r="H504" s="35" t="str">
        <f aca="false">IF(G504=".",F504,CONCATENATE(F504,G504))</f>
        <v/>
      </c>
      <c r="I504" s="34" t="n">
        <f aca="false">IFERROR(VALUE(H504),)</f>
        <v>0</v>
      </c>
      <c r="J504" s="34" t="e">
        <f aca="false">RIGHT(B504,LEN(B504)-FIND("/",B504, FIND("Single Cells",B504, 1)))</f>
        <v>#VALUE!</v>
      </c>
    </row>
    <row r="505" customFormat="false" ht="12.75" hidden="false" customHeight="true" outlineLevel="0" collapsed="false">
      <c r="E505" s="34" t="str">
        <f aca="false">MID(B505,9,1)</f>
        <v/>
      </c>
      <c r="F505" s="34" t="str">
        <f aca="false">MID(B505,10,1)</f>
        <v/>
      </c>
      <c r="G505" s="34" t="str">
        <f aca="false">MID(B505,11,1)</f>
        <v/>
      </c>
      <c r="H505" s="35" t="str">
        <f aca="false">IF(G505=".",F505,CONCATENATE(F505,G505))</f>
        <v/>
      </c>
      <c r="I505" s="34" t="n">
        <f aca="false">IFERROR(VALUE(H505),)</f>
        <v>0</v>
      </c>
      <c r="J505" s="34" t="e">
        <f aca="false">RIGHT(B505,LEN(B505)-FIND("/",B505, FIND("Single Cells",B505, 1)))</f>
        <v>#VALUE!</v>
      </c>
    </row>
    <row r="506" customFormat="false" ht="12.75" hidden="false" customHeight="true" outlineLevel="0" collapsed="false">
      <c r="E506" s="34" t="str">
        <f aca="false">MID(B506,9,1)</f>
        <v/>
      </c>
      <c r="F506" s="34" t="str">
        <f aca="false">MID(B506,10,1)</f>
        <v/>
      </c>
      <c r="G506" s="34" t="str">
        <f aca="false">MID(B506,11,1)</f>
        <v/>
      </c>
      <c r="H506" s="35" t="str">
        <f aca="false">IF(G506=".",F506,CONCATENATE(F506,G506))</f>
        <v/>
      </c>
      <c r="I506" s="34" t="n">
        <f aca="false">IFERROR(VALUE(H506),)</f>
        <v>0</v>
      </c>
      <c r="J506" s="34" t="e">
        <f aca="false">RIGHT(B506,LEN(B506)-FIND("/",B506, FIND("Single Cells",B506, 1)))</f>
        <v>#VALUE!</v>
      </c>
    </row>
    <row r="507" customFormat="false" ht="12.75" hidden="false" customHeight="true" outlineLevel="0" collapsed="false">
      <c r="E507" s="34" t="str">
        <f aca="false">MID(B507,9,1)</f>
        <v/>
      </c>
      <c r="F507" s="34" t="str">
        <f aca="false">MID(B507,10,1)</f>
        <v/>
      </c>
      <c r="G507" s="34" t="str">
        <f aca="false">MID(B507,11,1)</f>
        <v/>
      </c>
      <c r="H507" s="35" t="str">
        <f aca="false">IF(G507=".",F507,CONCATENATE(F507,G507))</f>
        <v/>
      </c>
      <c r="I507" s="34" t="n">
        <f aca="false">IFERROR(VALUE(H507),)</f>
        <v>0</v>
      </c>
      <c r="J507" s="34" t="e">
        <f aca="false">RIGHT(B507,LEN(B507)-FIND("/",B507, FIND("Single Cells",B507, 1)))</f>
        <v>#VALUE!</v>
      </c>
    </row>
    <row r="508" customFormat="false" ht="12.75" hidden="false" customHeight="true" outlineLevel="0" collapsed="false">
      <c r="E508" s="34" t="str">
        <f aca="false">MID(B508,9,1)</f>
        <v/>
      </c>
      <c r="F508" s="34" t="str">
        <f aca="false">MID(B508,10,1)</f>
        <v/>
      </c>
      <c r="G508" s="34" t="str">
        <f aca="false">MID(B508,11,1)</f>
        <v/>
      </c>
      <c r="H508" s="35" t="str">
        <f aca="false">IF(G508=".",F508,CONCATENATE(F508,G508))</f>
        <v/>
      </c>
      <c r="I508" s="34" t="n">
        <f aca="false">IFERROR(VALUE(H508),)</f>
        <v>0</v>
      </c>
      <c r="J508" s="34" t="e">
        <f aca="false">RIGHT(B508,LEN(B508)-FIND("/",B508, FIND("Single Cells",B508, 1)))</f>
        <v>#VALUE!</v>
      </c>
    </row>
    <row r="509" customFormat="false" ht="12.75" hidden="false" customHeight="false" outlineLevel="0" collapsed="false">
      <c r="E509" s="34" t="str">
        <f aca="false">MID(B509,9,1)</f>
        <v/>
      </c>
      <c r="F509" s="34" t="str">
        <f aca="false">MID(B509,10,1)</f>
        <v/>
      </c>
      <c r="G509" s="34" t="str">
        <f aca="false">MID(B509,11,1)</f>
        <v/>
      </c>
      <c r="H509" s="35" t="str">
        <f aca="false">IF(G509=".",F509,CONCATENATE(F509,G509))</f>
        <v/>
      </c>
      <c r="I509" s="34" t="n">
        <f aca="false">IFERROR(VALUE(H509),)</f>
        <v>0</v>
      </c>
      <c r="J509" s="34" t="e">
        <f aca="false">RIGHT(B509,LEN(B509)-FIND("/",B509, FIND("Single Cells",B509, 1)))</f>
        <v>#VALUE!</v>
      </c>
    </row>
    <row r="510" customFormat="false" ht="12.75" hidden="false" customHeight="false" outlineLevel="0" collapsed="false">
      <c r="E510" s="34" t="str">
        <f aca="false">MID(B510,9,1)</f>
        <v/>
      </c>
      <c r="F510" s="34" t="str">
        <f aca="false">MID(B510,10,1)</f>
        <v/>
      </c>
      <c r="G510" s="34" t="str">
        <f aca="false">MID(B510,11,1)</f>
        <v/>
      </c>
      <c r="H510" s="35" t="str">
        <f aca="false">IF(G510=".",F510,CONCATENATE(F510,G510))</f>
        <v/>
      </c>
      <c r="I510" s="34" t="n">
        <f aca="false">IFERROR(VALUE(H510),)</f>
        <v>0</v>
      </c>
      <c r="J510" s="34" t="e">
        <f aca="false">RIGHT(B510,LEN(B510)-FIND("/",B510, FIND("Single Cells",B510, 1)))</f>
        <v>#VALUE!</v>
      </c>
    </row>
    <row r="511" customFormat="false" ht="12.75" hidden="false" customHeight="false" outlineLevel="0" collapsed="false">
      <c r="E511" s="34" t="str">
        <f aca="false">MID(B511,9,1)</f>
        <v/>
      </c>
      <c r="F511" s="34" t="str">
        <f aca="false">MID(B511,10,1)</f>
        <v/>
      </c>
      <c r="G511" s="34" t="str">
        <f aca="false">MID(B511,11,1)</f>
        <v/>
      </c>
      <c r="H511" s="35" t="str">
        <f aca="false">IF(G511=".",F511,CONCATENATE(F511,G511))</f>
        <v/>
      </c>
      <c r="I511" s="34" t="n">
        <f aca="false">IFERROR(VALUE(H511),)</f>
        <v>0</v>
      </c>
      <c r="J511" s="34" t="e">
        <f aca="false">RIGHT(B511,LEN(B511)-FIND("/",B511, FIND("Single Cells",B511, 1)))</f>
        <v>#VALUE!</v>
      </c>
    </row>
    <row r="512" customFormat="false" ht="12.75" hidden="false" customHeight="false" outlineLevel="0" collapsed="false">
      <c r="E512" s="34" t="str">
        <f aca="false">MID(B512,9,1)</f>
        <v/>
      </c>
      <c r="F512" s="34" t="str">
        <f aca="false">MID(B512,10,1)</f>
        <v/>
      </c>
      <c r="G512" s="34" t="str">
        <f aca="false">MID(B512,11,1)</f>
        <v/>
      </c>
      <c r="H512" s="35" t="str">
        <f aca="false">IF(G512=".",F512,CONCATENATE(F512,G512))</f>
        <v/>
      </c>
      <c r="I512" s="34" t="n">
        <f aca="false">IFERROR(VALUE(H512),)</f>
        <v>0</v>
      </c>
      <c r="J512" s="34" t="e">
        <f aca="false">RIGHT(B512,LEN(B512)-FIND("/",B512, FIND("Single Cells",B512, 1)))</f>
        <v>#VALUE!</v>
      </c>
    </row>
    <row r="513" customFormat="false" ht="12.75" hidden="false" customHeight="false" outlineLevel="0" collapsed="false">
      <c r="E513" s="34" t="str">
        <f aca="false">MID(B513,9,1)</f>
        <v/>
      </c>
      <c r="F513" s="34" t="str">
        <f aca="false">MID(B513,10,1)</f>
        <v/>
      </c>
      <c r="G513" s="34" t="str">
        <f aca="false">MID(B513,11,1)</f>
        <v/>
      </c>
      <c r="H513" s="35" t="str">
        <f aca="false">IF(G513=".",F513,CONCATENATE(F513,G513))</f>
        <v/>
      </c>
      <c r="I513" s="34" t="n">
        <f aca="false">IFERROR(VALUE(H513),)</f>
        <v>0</v>
      </c>
      <c r="J513" s="34" t="e">
        <f aca="false">RIGHT(B513,LEN(B513)-FIND("/",B513, FIND("Single Cells",B513, 1)))</f>
        <v>#VALUE!</v>
      </c>
    </row>
    <row r="514" customFormat="false" ht="12.75" hidden="false" customHeight="false" outlineLevel="0" collapsed="false">
      <c r="E514" s="34" t="str">
        <f aca="false">MID(B514,9,1)</f>
        <v/>
      </c>
      <c r="F514" s="34" t="str">
        <f aca="false">MID(B514,10,1)</f>
        <v/>
      </c>
      <c r="G514" s="34" t="str">
        <f aca="false">MID(B514,11,1)</f>
        <v/>
      </c>
      <c r="H514" s="35" t="str">
        <f aca="false">IF(G514=".",F514,CONCATENATE(F514,G514))</f>
        <v/>
      </c>
      <c r="I514" s="34" t="n">
        <f aca="false">IFERROR(VALUE(H514),)</f>
        <v>0</v>
      </c>
      <c r="J514" s="34" t="e">
        <f aca="false">RIGHT(B514,LEN(B514)-FIND("/",B514, FIND("Single Cells",B514, 1)))</f>
        <v>#VALUE!</v>
      </c>
    </row>
    <row r="515" customFormat="false" ht="12.75" hidden="false" customHeight="false" outlineLevel="0" collapsed="false">
      <c r="E515" s="34" t="str">
        <f aca="false">MID(B515,9,1)</f>
        <v/>
      </c>
      <c r="F515" s="34" t="str">
        <f aca="false">MID(B515,10,1)</f>
        <v/>
      </c>
      <c r="G515" s="34" t="str">
        <f aca="false">MID(B515,11,1)</f>
        <v/>
      </c>
      <c r="H515" s="35" t="str">
        <f aca="false">IF(G515=".",F515,CONCATENATE(F515,G515))</f>
        <v/>
      </c>
      <c r="I515" s="34" t="n">
        <f aca="false">IFERROR(VALUE(H515),)</f>
        <v>0</v>
      </c>
      <c r="J515" s="34" t="e">
        <f aca="false">RIGHT(B515,LEN(B515)-FIND("/",B515, FIND("Single Cells",B515, 1)))</f>
        <v>#VALUE!</v>
      </c>
    </row>
    <row r="516" customFormat="false" ht="12.75" hidden="false" customHeight="false" outlineLevel="0" collapsed="false">
      <c r="E516" s="34" t="str">
        <f aca="false">MID(B516,9,1)</f>
        <v/>
      </c>
      <c r="F516" s="34" t="str">
        <f aca="false">MID(B516,10,1)</f>
        <v/>
      </c>
      <c r="G516" s="34" t="str">
        <f aca="false">MID(B516,11,1)</f>
        <v/>
      </c>
      <c r="H516" s="35" t="str">
        <f aca="false">IF(G516=".",F516,CONCATENATE(F516,G516))</f>
        <v/>
      </c>
      <c r="I516" s="34" t="n">
        <f aca="false">IFERROR(VALUE(H516),)</f>
        <v>0</v>
      </c>
      <c r="J516" s="34" t="e">
        <f aca="false">RIGHT(B516,LEN(B516)-FIND("/",B516, FIND("Single Cells",B516, 1)))</f>
        <v>#VALUE!</v>
      </c>
    </row>
    <row r="517" customFormat="false" ht="12.75" hidden="false" customHeight="false" outlineLevel="0" collapsed="false">
      <c r="E517" s="34" t="str">
        <f aca="false">MID(B517,9,1)</f>
        <v/>
      </c>
      <c r="F517" s="34" t="str">
        <f aca="false">MID(B517,10,1)</f>
        <v/>
      </c>
      <c r="G517" s="34" t="str">
        <f aca="false">MID(B517,11,1)</f>
        <v/>
      </c>
      <c r="H517" s="35" t="str">
        <f aca="false">IF(G517=".",F517,CONCATENATE(F517,G517))</f>
        <v/>
      </c>
      <c r="I517" s="34" t="n">
        <f aca="false">IFERROR(VALUE(H517),)</f>
        <v>0</v>
      </c>
      <c r="J517" s="34" t="e">
        <f aca="false">RIGHT(B517,LEN(B517)-FIND("/",B517, FIND("Single Cells",B517, 1)))</f>
        <v>#VALUE!</v>
      </c>
    </row>
    <row r="518" customFormat="false" ht="12.75" hidden="false" customHeight="false" outlineLevel="0" collapsed="false">
      <c r="E518" s="34" t="str">
        <f aca="false">MID(B518,9,1)</f>
        <v/>
      </c>
      <c r="F518" s="34" t="str">
        <f aca="false">MID(B518,10,1)</f>
        <v/>
      </c>
      <c r="G518" s="34" t="str">
        <f aca="false">MID(B518,11,1)</f>
        <v/>
      </c>
      <c r="H518" s="35" t="str">
        <f aca="false">IF(G518=".",F518,CONCATENATE(F518,G518))</f>
        <v/>
      </c>
      <c r="I518" s="34" t="n">
        <f aca="false">IFERROR(VALUE(H518),)</f>
        <v>0</v>
      </c>
      <c r="J518" s="34" t="e">
        <f aca="false">RIGHT(B518,LEN(B518)-FIND("/",B518, FIND("Single Cells",B518, 1)))</f>
        <v>#VALUE!</v>
      </c>
    </row>
    <row r="519" customFormat="false" ht="12.75" hidden="false" customHeight="false" outlineLevel="0" collapsed="false">
      <c r="E519" s="34" t="str">
        <f aca="false">MID(B519,9,1)</f>
        <v/>
      </c>
      <c r="F519" s="34" t="str">
        <f aca="false">MID(B519,10,1)</f>
        <v/>
      </c>
      <c r="G519" s="34" t="str">
        <f aca="false">MID(B519,11,1)</f>
        <v/>
      </c>
      <c r="H519" s="35" t="str">
        <f aca="false">IF(G519=".",F519,CONCATENATE(F519,G519))</f>
        <v/>
      </c>
      <c r="I519" s="34" t="n">
        <f aca="false">IFERROR(VALUE(H519),)</f>
        <v>0</v>
      </c>
      <c r="J519" s="34" t="e">
        <f aca="false">RIGHT(B519,LEN(B519)-FIND("/",B519, FIND("Single Cells",B519, 1)))</f>
        <v>#VALUE!</v>
      </c>
    </row>
    <row r="520" customFormat="false" ht="12.75" hidden="false" customHeight="false" outlineLevel="0" collapsed="false">
      <c r="E520" s="34" t="str">
        <f aca="false">MID(B520,9,1)</f>
        <v/>
      </c>
      <c r="F520" s="34" t="str">
        <f aca="false">MID(B520,10,1)</f>
        <v/>
      </c>
      <c r="G520" s="34" t="str">
        <f aca="false">MID(B520,11,1)</f>
        <v/>
      </c>
      <c r="H520" s="35" t="str">
        <f aca="false">IF(G520=".",F520,CONCATENATE(F520,G520))</f>
        <v/>
      </c>
      <c r="I520" s="34" t="n">
        <f aca="false">IFERROR(VALUE(H520),)</f>
        <v>0</v>
      </c>
      <c r="J520" s="34" t="e">
        <f aca="false">RIGHT(B520,LEN(B520)-FIND("/",B520, FIND("Single Cells",B520, 1)))</f>
        <v>#VALUE!</v>
      </c>
    </row>
    <row r="521" customFormat="false" ht="12.75" hidden="false" customHeight="false" outlineLevel="0" collapsed="false">
      <c r="E521" s="34" t="str">
        <f aca="false">MID(B521,9,1)</f>
        <v/>
      </c>
      <c r="F521" s="34" t="str">
        <f aca="false">MID(B521,10,1)</f>
        <v/>
      </c>
      <c r="G521" s="34" t="str">
        <f aca="false">MID(B521,11,1)</f>
        <v/>
      </c>
      <c r="H521" s="35" t="str">
        <f aca="false">IF(G521=".",F521,CONCATENATE(F521,G521))</f>
        <v/>
      </c>
      <c r="I521" s="34" t="n">
        <f aca="false">IFERROR(VALUE(H521),)</f>
        <v>0</v>
      </c>
      <c r="J521" s="34" t="e">
        <f aca="false">RIGHT(B521,LEN(B521)-FIND("/",B521, FIND("Single Cells",B521, 1)))</f>
        <v>#VALUE!</v>
      </c>
    </row>
    <row r="522" customFormat="false" ht="12.75" hidden="false" customHeight="false" outlineLevel="0" collapsed="false">
      <c r="E522" s="34" t="str">
        <f aca="false">MID(B522,9,1)</f>
        <v/>
      </c>
      <c r="F522" s="34" t="str">
        <f aca="false">MID(B522,10,1)</f>
        <v/>
      </c>
      <c r="G522" s="34" t="str">
        <f aca="false">MID(B522,11,1)</f>
        <v/>
      </c>
      <c r="H522" s="35" t="str">
        <f aca="false">IF(G522=".",F522,CONCATENATE(F522,G522))</f>
        <v/>
      </c>
      <c r="I522" s="34" t="n">
        <f aca="false">IFERROR(VALUE(H522),)</f>
        <v>0</v>
      </c>
      <c r="J522" s="34" t="e">
        <f aca="false">RIGHT(B522,LEN(B522)-FIND("/",B522, FIND("Single Cells",B522, 1)))</f>
        <v>#VALUE!</v>
      </c>
    </row>
    <row r="523" customFormat="false" ht="12.75" hidden="false" customHeight="false" outlineLevel="0" collapsed="false">
      <c r="E523" s="34" t="str">
        <f aca="false">MID(B523,9,1)</f>
        <v/>
      </c>
      <c r="F523" s="34" t="str">
        <f aca="false">MID(B523,10,1)</f>
        <v/>
      </c>
      <c r="G523" s="34" t="str">
        <f aca="false">MID(B523,11,1)</f>
        <v/>
      </c>
      <c r="H523" s="35" t="str">
        <f aca="false">IF(G523=".",F523,CONCATENATE(F523,G523))</f>
        <v/>
      </c>
      <c r="I523" s="34" t="n">
        <f aca="false">IFERROR(VALUE(H523),)</f>
        <v>0</v>
      </c>
      <c r="J523" s="34" t="e">
        <f aca="false">RIGHT(B523,LEN(B523)-FIND("/",B523, FIND("Single Cells",B523, 1)))</f>
        <v>#VALUE!</v>
      </c>
    </row>
    <row r="524" customFormat="false" ht="12.75" hidden="false" customHeight="false" outlineLevel="0" collapsed="false">
      <c r="E524" s="34" t="str">
        <f aca="false">MID(B524,9,1)</f>
        <v/>
      </c>
      <c r="F524" s="34" t="str">
        <f aca="false">MID(B524,10,1)</f>
        <v/>
      </c>
      <c r="G524" s="34" t="str">
        <f aca="false">MID(B524,11,1)</f>
        <v/>
      </c>
      <c r="H524" s="35" t="str">
        <f aca="false">IF(G524=".",F524,CONCATENATE(F524,G524))</f>
        <v/>
      </c>
      <c r="I524" s="34" t="n">
        <f aca="false">IFERROR(VALUE(H524),)</f>
        <v>0</v>
      </c>
      <c r="J524" s="34" t="e">
        <f aca="false">RIGHT(B524,LEN(B524)-FIND("/",B524, FIND("Single Cells",B524, 1)))</f>
        <v>#VALUE!</v>
      </c>
    </row>
    <row r="525" customFormat="false" ht="12.75" hidden="false" customHeight="false" outlineLevel="0" collapsed="false">
      <c r="E525" s="34" t="str">
        <f aca="false">MID(B525,9,1)</f>
        <v/>
      </c>
      <c r="F525" s="34" t="str">
        <f aca="false">MID(B525,10,1)</f>
        <v/>
      </c>
      <c r="G525" s="34" t="str">
        <f aca="false">MID(B525,11,1)</f>
        <v/>
      </c>
      <c r="H525" s="35" t="str">
        <f aca="false">IF(G525=".",F525,CONCATENATE(F525,G525))</f>
        <v/>
      </c>
      <c r="I525" s="34" t="n">
        <f aca="false">IFERROR(VALUE(H525),)</f>
        <v>0</v>
      </c>
      <c r="J525" s="34" t="e">
        <f aca="false">RIGHT(B525,LEN(B525)-FIND("/",B525, FIND("Single Cells",B525, 1)))</f>
        <v>#VALUE!</v>
      </c>
    </row>
    <row r="526" customFormat="false" ht="12.75" hidden="false" customHeight="false" outlineLevel="0" collapsed="false">
      <c r="E526" s="34" t="str">
        <f aca="false">MID(B526,9,1)</f>
        <v/>
      </c>
      <c r="F526" s="34" t="str">
        <f aca="false">MID(B526,10,1)</f>
        <v/>
      </c>
      <c r="G526" s="34" t="str">
        <f aca="false">MID(B526,11,1)</f>
        <v/>
      </c>
      <c r="H526" s="35" t="str">
        <f aca="false">IF(G526=".",F526,CONCATENATE(F526,G526))</f>
        <v/>
      </c>
      <c r="I526" s="34" t="n">
        <f aca="false">IFERROR(VALUE(H526),)</f>
        <v>0</v>
      </c>
      <c r="J526" s="34" t="e">
        <f aca="false">RIGHT(B526,LEN(B526)-FIND("/",B526, FIND("Single Cells",B526, 1)))</f>
        <v>#VALUE!</v>
      </c>
    </row>
    <row r="527" customFormat="false" ht="12.75" hidden="false" customHeight="false" outlineLevel="0" collapsed="false">
      <c r="E527" s="34" t="str">
        <f aca="false">MID(B527,9,1)</f>
        <v/>
      </c>
      <c r="F527" s="34" t="str">
        <f aca="false">MID(B527,10,1)</f>
        <v/>
      </c>
      <c r="G527" s="34" t="str">
        <f aca="false">MID(B527,11,1)</f>
        <v/>
      </c>
      <c r="H527" s="35" t="str">
        <f aca="false">IF(G527=".",F527,CONCATENATE(F527,G527))</f>
        <v/>
      </c>
      <c r="I527" s="34" t="n">
        <f aca="false">IFERROR(VALUE(H527),)</f>
        <v>0</v>
      </c>
      <c r="J527" s="34" t="e">
        <f aca="false">RIGHT(B527,LEN(B527)-FIND("/",B527, FIND("Single Cells",B527, 1)))</f>
        <v>#VALUE!</v>
      </c>
    </row>
    <row r="528" customFormat="false" ht="12.75" hidden="false" customHeight="false" outlineLevel="0" collapsed="false">
      <c r="E528" s="34" t="str">
        <f aca="false">MID(B528,9,1)</f>
        <v/>
      </c>
      <c r="F528" s="34" t="str">
        <f aca="false">MID(B528,10,1)</f>
        <v/>
      </c>
      <c r="G528" s="34" t="str">
        <f aca="false">MID(B528,11,1)</f>
        <v/>
      </c>
      <c r="H528" s="35" t="str">
        <f aca="false">IF(G528=".",F528,CONCATENATE(F528,G528))</f>
        <v/>
      </c>
      <c r="I528" s="34" t="n">
        <f aca="false">IFERROR(VALUE(H528),)</f>
        <v>0</v>
      </c>
      <c r="J528" s="34" t="e">
        <f aca="false">RIGHT(B528,LEN(B528)-FIND("/",B528, FIND("Single Cells",B528, 1)))</f>
        <v>#VALUE!</v>
      </c>
    </row>
    <row r="529" customFormat="false" ht="12.75" hidden="false" customHeight="false" outlineLevel="0" collapsed="false">
      <c r="E529" s="34" t="str">
        <f aca="false">MID(B529,9,1)</f>
        <v/>
      </c>
      <c r="F529" s="34" t="str">
        <f aca="false">MID(B529,10,1)</f>
        <v/>
      </c>
      <c r="G529" s="34" t="str">
        <f aca="false">MID(B529,11,1)</f>
        <v/>
      </c>
      <c r="H529" s="35" t="str">
        <f aca="false">IF(G529=".",F529,CONCATENATE(F529,G529))</f>
        <v/>
      </c>
      <c r="I529" s="34" t="n">
        <f aca="false">IFERROR(VALUE(H529),)</f>
        <v>0</v>
      </c>
      <c r="J529" s="34" t="e">
        <f aca="false">RIGHT(B529,LEN(B529)-FIND("/",B529, FIND("Single Cells",B529, 1)))</f>
        <v>#VALUE!</v>
      </c>
    </row>
    <row r="530" customFormat="false" ht="12.75" hidden="false" customHeight="false" outlineLevel="0" collapsed="false">
      <c r="E530" s="34" t="str">
        <f aca="false">MID(B530,9,1)</f>
        <v/>
      </c>
      <c r="F530" s="34" t="str">
        <f aca="false">MID(B530,10,1)</f>
        <v/>
      </c>
      <c r="G530" s="34" t="str">
        <f aca="false">MID(B530,11,1)</f>
        <v/>
      </c>
      <c r="H530" s="35" t="str">
        <f aca="false">IF(G530=".",F530,CONCATENATE(F530,G530))</f>
        <v/>
      </c>
      <c r="I530" s="34" t="n">
        <f aca="false">IFERROR(VALUE(H530),)</f>
        <v>0</v>
      </c>
      <c r="J530" s="34" t="e">
        <f aca="false">RIGHT(B530,LEN(B530)-FIND("/",B530, FIND("Single Cells",B530, 1)))</f>
        <v>#VALUE!</v>
      </c>
    </row>
    <row r="531" customFormat="false" ht="12.75" hidden="false" customHeight="false" outlineLevel="0" collapsed="false">
      <c r="E531" s="34" t="str">
        <f aca="false">MID(B531,9,1)</f>
        <v/>
      </c>
      <c r="F531" s="34" t="str">
        <f aca="false">MID(B531,10,1)</f>
        <v/>
      </c>
      <c r="G531" s="34" t="str">
        <f aca="false">MID(B531,11,1)</f>
        <v/>
      </c>
      <c r="H531" s="35" t="str">
        <f aca="false">IF(G531=".",F531,CONCATENATE(F531,G531))</f>
        <v/>
      </c>
      <c r="I531" s="34" t="n">
        <f aca="false">IFERROR(VALUE(H531),)</f>
        <v>0</v>
      </c>
      <c r="J531" s="34" t="e">
        <f aca="false">RIGHT(B531,LEN(B531)-FIND("/",B531, FIND("Single Cells",B531, 1)))</f>
        <v>#VALUE!</v>
      </c>
    </row>
    <row r="532" customFormat="false" ht="12.75" hidden="false" customHeight="false" outlineLevel="0" collapsed="false">
      <c r="E532" s="34" t="str">
        <f aca="false">MID(B532,9,1)</f>
        <v/>
      </c>
      <c r="F532" s="34" t="str">
        <f aca="false">MID(B532,10,1)</f>
        <v/>
      </c>
      <c r="G532" s="34" t="str">
        <f aca="false">MID(B532,11,1)</f>
        <v/>
      </c>
      <c r="H532" s="35" t="str">
        <f aca="false">IF(G532=".",F532,CONCATENATE(F532,G532))</f>
        <v/>
      </c>
      <c r="I532" s="34" t="n">
        <f aca="false">IFERROR(VALUE(H532),)</f>
        <v>0</v>
      </c>
      <c r="J532" s="34" t="e">
        <f aca="false">RIGHT(B532,LEN(B532)-FIND("/",B532, FIND("Single Cells",B532, 1)))</f>
        <v>#VALUE!</v>
      </c>
    </row>
    <row r="533" customFormat="false" ht="12.75" hidden="false" customHeight="false" outlineLevel="0" collapsed="false">
      <c r="E533" s="34" t="str">
        <f aca="false">MID(B533,9,1)</f>
        <v/>
      </c>
      <c r="F533" s="34" t="str">
        <f aca="false">MID(B533,10,1)</f>
        <v/>
      </c>
      <c r="G533" s="34" t="str">
        <f aca="false">MID(B533,11,1)</f>
        <v/>
      </c>
      <c r="H533" s="35" t="str">
        <f aca="false">IF(G533=".",F533,CONCATENATE(F533,G533))</f>
        <v/>
      </c>
      <c r="I533" s="34" t="n">
        <f aca="false">IFERROR(VALUE(H533),)</f>
        <v>0</v>
      </c>
      <c r="J533" s="34" t="e">
        <f aca="false">RIGHT(B533,LEN(B533)-FIND("/",B533, FIND("Single Cells",B533, 1)))</f>
        <v>#VALUE!</v>
      </c>
    </row>
    <row r="534" customFormat="false" ht="12.75" hidden="false" customHeight="false" outlineLevel="0" collapsed="false">
      <c r="E534" s="34" t="str">
        <f aca="false">MID(B534,9,1)</f>
        <v/>
      </c>
      <c r="F534" s="34" t="str">
        <f aca="false">MID(B534,10,1)</f>
        <v/>
      </c>
      <c r="G534" s="34" t="str">
        <f aca="false">MID(B534,11,1)</f>
        <v/>
      </c>
      <c r="H534" s="35" t="str">
        <f aca="false">IF(G534=".",F534,CONCATENATE(F534,G534))</f>
        <v/>
      </c>
      <c r="I534" s="34" t="n">
        <f aca="false">IFERROR(VALUE(H534),)</f>
        <v>0</v>
      </c>
      <c r="J534" s="34" t="e">
        <f aca="false">RIGHT(B534,LEN(B534)-FIND("/",B534, FIND("Single Cells",B534, 1)))</f>
        <v>#VALUE!</v>
      </c>
    </row>
    <row r="535" customFormat="false" ht="12.75" hidden="false" customHeight="false" outlineLevel="0" collapsed="false">
      <c r="E535" s="34" t="str">
        <f aca="false">MID(B535,9,1)</f>
        <v/>
      </c>
      <c r="F535" s="34" t="str">
        <f aca="false">MID(B535,10,1)</f>
        <v/>
      </c>
      <c r="G535" s="34" t="str">
        <f aca="false">MID(B535,11,1)</f>
        <v/>
      </c>
      <c r="H535" s="35" t="str">
        <f aca="false">IF(G535=".",F535,CONCATENATE(F535,G535))</f>
        <v/>
      </c>
      <c r="I535" s="34" t="n">
        <f aca="false">IFERROR(VALUE(H535),)</f>
        <v>0</v>
      </c>
      <c r="J535" s="34" t="e">
        <f aca="false">RIGHT(B535,LEN(B535)-FIND("/",B535, FIND("Single Cells",B535, 1)))</f>
        <v>#VALUE!</v>
      </c>
    </row>
    <row r="536" customFormat="false" ht="12.75" hidden="false" customHeight="false" outlineLevel="0" collapsed="false">
      <c r="E536" s="34" t="str">
        <f aca="false">MID(B536,9,1)</f>
        <v/>
      </c>
      <c r="F536" s="34" t="str">
        <f aca="false">MID(B536,10,1)</f>
        <v/>
      </c>
      <c r="G536" s="34" t="str">
        <f aca="false">MID(B536,11,1)</f>
        <v/>
      </c>
      <c r="H536" s="35" t="str">
        <f aca="false">IF(G536=".",F536,CONCATENATE(F536,G536))</f>
        <v/>
      </c>
      <c r="I536" s="34" t="n">
        <f aca="false">IFERROR(VALUE(H536),)</f>
        <v>0</v>
      </c>
      <c r="J536" s="34" t="e">
        <f aca="false">RIGHT(B536,LEN(B536)-FIND("/",B536, FIND("Single Cells",B536, 1)))</f>
        <v>#VALUE!</v>
      </c>
    </row>
    <row r="537" customFormat="false" ht="12.75" hidden="false" customHeight="false" outlineLevel="0" collapsed="false">
      <c r="E537" s="34" t="str">
        <f aca="false">MID(B537,9,1)</f>
        <v/>
      </c>
      <c r="F537" s="34" t="str">
        <f aca="false">MID(B537,10,1)</f>
        <v/>
      </c>
      <c r="G537" s="34" t="str">
        <f aca="false">MID(B537,11,1)</f>
        <v/>
      </c>
      <c r="H537" s="35" t="str">
        <f aca="false">IF(G537=".",F537,CONCATENATE(F537,G537))</f>
        <v/>
      </c>
      <c r="I537" s="34" t="n">
        <f aca="false">IFERROR(VALUE(H537),)</f>
        <v>0</v>
      </c>
      <c r="J537" s="34" t="e">
        <f aca="false">RIGHT(B537,LEN(B537)-FIND("/",B537, FIND("Single Cells",B537, 1)))</f>
        <v>#VALUE!</v>
      </c>
    </row>
    <row r="538" customFormat="false" ht="12.75" hidden="false" customHeight="false" outlineLevel="0" collapsed="false">
      <c r="E538" s="34" t="str">
        <f aca="false">MID(B538,9,1)</f>
        <v/>
      </c>
      <c r="F538" s="34" t="str">
        <f aca="false">MID(B538,10,1)</f>
        <v/>
      </c>
      <c r="G538" s="34" t="str">
        <f aca="false">MID(B538,11,1)</f>
        <v/>
      </c>
      <c r="H538" s="35" t="str">
        <f aca="false">IF(G538=".",F538,CONCATENATE(F538,G538))</f>
        <v/>
      </c>
      <c r="I538" s="34" t="n">
        <f aca="false">IFERROR(VALUE(H538),)</f>
        <v>0</v>
      </c>
      <c r="J538" s="34" t="e">
        <f aca="false">RIGHT(B538,LEN(B538)-FIND("/",B538, FIND("Single Cells",B538, 1)))</f>
        <v>#VALUE!</v>
      </c>
    </row>
    <row r="539" customFormat="false" ht="12.75" hidden="false" customHeight="false" outlineLevel="0" collapsed="false">
      <c r="E539" s="34" t="str">
        <f aca="false">MID(B539,9,1)</f>
        <v/>
      </c>
      <c r="F539" s="34" t="str">
        <f aca="false">MID(B539,10,1)</f>
        <v/>
      </c>
      <c r="G539" s="34" t="str">
        <f aca="false">MID(B539,11,1)</f>
        <v/>
      </c>
      <c r="H539" s="35" t="str">
        <f aca="false">IF(G539=".",F539,CONCATENATE(F539,G539))</f>
        <v/>
      </c>
      <c r="I539" s="34" t="n">
        <f aca="false">IFERROR(VALUE(H539),)</f>
        <v>0</v>
      </c>
      <c r="J539" s="34" t="e">
        <f aca="false">RIGHT(B539,LEN(B539)-FIND("/",B539, FIND("Single Cells",B539, 1)))</f>
        <v>#VALUE!</v>
      </c>
    </row>
    <row r="540" customFormat="false" ht="12.75" hidden="false" customHeight="false" outlineLevel="0" collapsed="false">
      <c r="E540" s="34" t="str">
        <f aca="false">MID(B540,9,1)</f>
        <v/>
      </c>
      <c r="F540" s="34" t="str">
        <f aca="false">MID(B540,10,1)</f>
        <v/>
      </c>
      <c r="G540" s="34" t="str">
        <f aca="false">MID(B540,11,1)</f>
        <v/>
      </c>
      <c r="H540" s="35" t="str">
        <f aca="false">IF(G540=".",F540,CONCATENATE(F540,G540))</f>
        <v/>
      </c>
      <c r="I540" s="34" t="n">
        <f aca="false">IFERROR(VALUE(H540),)</f>
        <v>0</v>
      </c>
      <c r="J540" s="34" t="e">
        <f aca="false">RIGHT(B540,LEN(B540)-FIND("/",B540, FIND("Single Cells",B540, 1)))</f>
        <v>#VALUE!</v>
      </c>
    </row>
    <row r="541" customFormat="false" ht="12.75" hidden="false" customHeight="false" outlineLevel="0" collapsed="false">
      <c r="E541" s="34" t="str">
        <f aca="false">MID(B541,9,1)</f>
        <v/>
      </c>
      <c r="F541" s="34" t="str">
        <f aca="false">MID(B541,10,1)</f>
        <v/>
      </c>
      <c r="G541" s="34" t="str">
        <f aca="false">MID(B541,11,1)</f>
        <v/>
      </c>
      <c r="H541" s="35" t="str">
        <f aca="false">IF(G541=".",F541,CONCATENATE(F541,G541))</f>
        <v/>
      </c>
      <c r="I541" s="34" t="n">
        <f aca="false">IFERROR(VALUE(H541),)</f>
        <v>0</v>
      </c>
      <c r="J541" s="34" t="e">
        <f aca="false">RIGHT(B541,LEN(B541)-FIND("/",B541, FIND("Single Cells",B541, 1)))</f>
        <v>#VALUE!</v>
      </c>
    </row>
    <row r="542" customFormat="false" ht="12.75" hidden="false" customHeight="false" outlineLevel="0" collapsed="false">
      <c r="E542" s="34" t="str">
        <f aca="false">MID(B542,9,1)</f>
        <v/>
      </c>
      <c r="F542" s="34" t="str">
        <f aca="false">MID(B542,10,1)</f>
        <v/>
      </c>
      <c r="G542" s="34" t="str">
        <f aca="false">MID(B542,11,1)</f>
        <v/>
      </c>
      <c r="H542" s="35" t="str">
        <f aca="false">IF(G542=".",F542,CONCATENATE(F542,G542))</f>
        <v/>
      </c>
      <c r="I542" s="34" t="n">
        <f aca="false">IFERROR(VALUE(H542),)</f>
        <v>0</v>
      </c>
      <c r="J542" s="34" t="e">
        <f aca="false">RIGHT(B542,LEN(B542)-FIND("/",B542, FIND("Single Cells",B542, 1)))</f>
        <v>#VALUE!</v>
      </c>
    </row>
    <row r="543" customFormat="false" ht="12.75" hidden="false" customHeight="false" outlineLevel="0" collapsed="false">
      <c r="E543" s="34" t="str">
        <f aca="false">MID(B543,9,1)</f>
        <v/>
      </c>
      <c r="F543" s="34" t="str">
        <f aca="false">MID(B543,10,1)</f>
        <v/>
      </c>
      <c r="G543" s="34" t="str">
        <f aca="false">MID(B543,11,1)</f>
        <v/>
      </c>
      <c r="H543" s="35" t="str">
        <f aca="false">IF(G543=".",F543,CONCATENATE(F543,G543))</f>
        <v/>
      </c>
      <c r="I543" s="34" t="n">
        <f aca="false">IFERROR(VALUE(H543),)</f>
        <v>0</v>
      </c>
      <c r="J543" s="34" t="e">
        <f aca="false">RIGHT(B543,LEN(B543)-FIND("/",B543, FIND("Single Cells",B543, 1)))</f>
        <v>#VALUE!</v>
      </c>
    </row>
    <row r="544" customFormat="false" ht="12.75" hidden="false" customHeight="false" outlineLevel="0" collapsed="false">
      <c r="E544" s="34" t="str">
        <f aca="false">MID(B544,9,1)</f>
        <v/>
      </c>
      <c r="F544" s="34" t="str">
        <f aca="false">MID(B544,10,1)</f>
        <v/>
      </c>
      <c r="G544" s="34" t="str">
        <f aca="false">MID(B544,11,1)</f>
        <v/>
      </c>
      <c r="H544" s="35" t="str">
        <f aca="false">IF(G544=".",F544,CONCATENATE(F544,G544))</f>
        <v/>
      </c>
      <c r="I544" s="34" t="n">
        <f aca="false">IFERROR(VALUE(H544),)</f>
        <v>0</v>
      </c>
      <c r="J544" s="34" t="e">
        <f aca="false">RIGHT(B544,LEN(B544)-FIND("/",B544, FIND("Single Cells",B544, 1)))</f>
        <v>#VALUE!</v>
      </c>
    </row>
    <row r="545" customFormat="false" ht="12.75" hidden="false" customHeight="false" outlineLevel="0" collapsed="false">
      <c r="E545" s="34" t="str">
        <f aca="false">MID(B545,9,1)</f>
        <v/>
      </c>
      <c r="F545" s="34" t="str">
        <f aca="false">MID(B545,10,1)</f>
        <v/>
      </c>
      <c r="G545" s="34" t="str">
        <f aca="false">MID(B545,11,1)</f>
        <v/>
      </c>
      <c r="H545" s="35" t="str">
        <f aca="false">IF(G545=".",F545,CONCATENATE(F545,G545))</f>
        <v/>
      </c>
      <c r="I545" s="34" t="n">
        <f aca="false">IFERROR(VALUE(H545),)</f>
        <v>0</v>
      </c>
      <c r="J545" s="34" t="e">
        <f aca="false">RIGHT(B545,LEN(B545)-FIND("/",B545, FIND("Single Cells",B545, 1)))</f>
        <v>#VALUE!</v>
      </c>
    </row>
    <row r="546" customFormat="false" ht="12.75" hidden="false" customHeight="false" outlineLevel="0" collapsed="false">
      <c r="E546" s="34" t="str">
        <f aca="false">MID(B546,9,1)</f>
        <v/>
      </c>
      <c r="F546" s="34" t="str">
        <f aca="false">MID(B546,10,1)</f>
        <v/>
      </c>
      <c r="G546" s="34" t="str">
        <f aca="false">MID(B546,11,1)</f>
        <v/>
      </c>
      <c r="H546" s="35" t="str">
        <f aca="false">IF(G546=".",F546,CONCATENATE(F546,G546))</f>
        <v/>
      </c>
      <c r="I546" s="34" t="n">
        <f aca="false">IFERROR(VALUE(H546),)</f>
        <v>0</v>
      </c>
      <c r="J546" s="34" t="e">
        <f aca="false">RIGHT(B546,LEN(B546)-FIND("/",B546, FIND("Single Cells",B546, 1)))</f>
        <v>#VALUE!</v>
      </c>
    </row>
    <row r="547" customFormat="false" ht="12.75" hidden="false" customHeight="false" outlineLevel="0" collapsed="false">
      <c r="E547" s="34" t="str">
        <f aca="false">MID(B547,9,1)</f>
        <v/>
      </c>
      <c r="F547" s="34" t="str">
        <f aca="false">MID(B547,10,1)</f>
        <v/>
      </c>
      <c r="G547" s="34" t="str">
        <f aca="false">MID(B547,11,1)</f>
        <v/>
      </c>
      <c r="H547" s="35" t="str">
        <f aca="false">IF(G547=".",F547,CONCATENATE(F547,G547))</f>
        <v/>
      </c>
      <c r="I547" s="34" t="n">
        <f aca="false">IFERROR(VALUE(H547),)</f>
        <v>0</v>
      </c>
      <c r="J547" s="34" t="e">
        <f aca="false">RIGHT(B547,LEN(B547)-FIND("/",B547, FIND("Single Cells",B547, 1)))</f>
        <v>#VALUE!</v>
      </c>
    </row>
    <row r="548" customFormat="false" ht="12.75" hidden="false" customHeight="false" outlineLevel="0" collapsed="false">
      <c r="E548" s="34" t="str">
        <f aca="false">MID(B548,9,1)</f>
        <v/>
      </c>
      <c r="F548" s="34" t="str">
        <f aca="false">MID(B548,10,1)</f>
        <v/>
      </c>
      <c r="G548" s="34" t="str">
        <f aca="false">MID(B548,11,1)</f>
        <v/>
      </c>
      <c r="H548" s="35" t="str">
        <f aca="false">IF(G548=".",F548,CONCATENATE(F548,G548))</f>
        <v/>
      </c>
      <c r="I548" s="34" t="n">
        <f aca="false">IFERROR(VALUE(H548),)</f>
        <v>0</v>
      </c>
      <c r="J548" s="34" t="e">
        <f aca="false">RIGHT(B548,LEN(B548)-FIND("/",B548, FIND("Single Cells",B548, 1)))</f>
        <v>#VALUE!</v>
      </c>
    </row>
    <row r="549" customFormat="false" ht="12.75" hidden="false" customHeight="false" outlineLevel="0" collapsed="false">
      <c r="E549" s="34" t="str">
        <f aca="false">MID(B549,9,1)</f>
        <v/>
      </c>
      <c r="F549" s="34" t="str">
        <f aca="false">MID(B549,10,1)</f>
        <v/>
      </c>
      <c r="G549" s="34" t="str">
        <f aca="false">MID(B549,11,1)</f>
        <v/>
      </c>
      <c r="H549" s="35" t="str">
        <f aca="false">IF(G549=".",F549,CONCATENATE(F549,G549))</f>
        <v/>
      </c>
      <c r="I549" s="34" t="n">
        <f aca="false">IFERROR(VALUE(H549),)</f>
        <v>0</v>
      </c>
      <c r="J549" s="34" t="e">
        <f aca="false">RIGHT(B549,LEN(B549)-FIND("/",B549, FIND("Single Cells",B549, 1)))</f>
        <v>#VALUE!</v>
      </c>
    </row>
    <row r="550" customFormat="false" ht="12.75" hidden="false" customHeight="false" outlineLevel="0" collapsed="false">
      <c r="E550" s="34" t="str">
        <f aca="false">MID(B550,9,1)</f>
        <v/>
      </c>
      <c r="F550" s="34" t="str">
        <f aca="false">MID(B550,10,1)</f>
        <v/>
      </c>
      <c r="G550" s="34" t="str">
        <f aca="false">MID(B550,11,1)</f>
        <v/>
      </c>
      <c r="H550" s="35" t="str">
        <f aca="false">IF(G550=".",F550,CONCATENATE(F550,G550))</f>
        <v/>
      </c>
      <c r="I550" s="34" t="n">
        <f aca="false">IFERROR(VALUE(H550),)</f>
        <v>0</v>
      </c>
      <c r="J550" s="34" t="e">
        <f aca="false">RIGHT(B550,LEN(B550)-FIND("/",B550, FIND("Single Cells",B550, 1)))</f>
        <v>#VALUE!</v>
      </c>
    </row>
    <row r="551" customFormat="false" ht="12.75" hidden="false" customHeight="false" outlineLevel="0" collapsed="false">
      <c r="E551" s="34" t="str">
        <f aca="false">MID(B551,9,1)</f>
        <v/>
      </c>
      <c r="F551" s="34" t="str">
        <f aca="false">MID(B551,10,1)</f>
        <v/>
      </c>
      <c r="G551" s="34" t="str">
        <f aca="false">MID(B551,11,1)</f>
        <v/>
      </c>
      <c r="H551" s="35" t="str">
        <f aca="false">IF(G551=".",F551,CONCATENATE(F551,G551))</f>
        <v/>
      </c>
      <c r="I551" s="34" t="n">
        <f aca="false">IFERROR(VALUE(H551),)</f>
        <v>0</v>
      </c>
      <c r="J551" s="34" t="e">
        <f aca="false">RIGHT(B551,LEN(B551)-FIND("/",B551, FIND("Single Cells",B551, 1)))</f>
        <v>#VALUE!</v>
      </c>
    </row>
    <row r="552" customFormat="false" ht="12.75" hidden="false" customHeight="false" outlineLevel="0" collapsed="false">
      <c r="E552" s="34" t="str">
        <f aca="false">MID(B552,9,1)</f>
        <v/>
      </c>
      <c r="F552" s="34" t="str">
        <f aca="false">MID(B552,10,1)</f>
        <v/>
      </c>
      <c r="G552" s="34" t="str">
        <f aca="false">MID(B552,11,1)</f>
        <v/>
      </c>
      <c r="H552" s="35" t="str">
        <f aca="false">IF(G552=".",F552,CONCATENATE(F552,G552))</f>
        <v/>
      </c>
      <c r="I552" s="34" t="n">
        <f aca="false">IFERROR(VALUE(H552),)</f>
        <v>0</v>
      </c>
      <c r="J552" s="34" t="e">
        <f aca="false">RIGHT(B552,LEN(B552)-FIND("/",B552, FIND("Single Cells",B552, 1)))</f>
        <v>#VALUE!</v>
      </c>
    </row>
    <row r="553" customFormat="false" ht="12.75" hidden="false" customHeight="false" outlineLevel="0" collapsed="false">
      <c r="E553" s="34" t="str">
        <f aca="false">MID(B553,9,1)</f>
        <v/>
      </c>
      <c r="F553" s="34" t="str">
        <f aca="false">MID(B553,10,1)</f>
        <v/>
      </c>
      <c r="G553" s="34" t="str">
        <f aca="false">MID(B553,11,1)</f>
        <v/>
      </c>
      <c r="H553" s="35" t="str">
        <f aca="false">IF(G553=".",F553,CONCATENATE(F553,G553))</f>
        <v/>
      </c>
      <c r="I553" s="34" t="n">
        <f aca="false">IFERROR(VALUE(H553),)</f>
        <v>0</v>
      </c>
      <c r="J553" s="34" t="e">
        <f aca="false">RIGHT(B553,LEN(B553)-FIND("/",B553, FIND("Single Cells",B553, 1)))</f>
        <v>#VALUE!</v>
      </c>
    </row>
    <row r="554" customFormat="false" ht="12.75" hidden="false" customHeight="false" outlineLevel="0" collapsed="false">
      <c r="E554" s="34" t="str">
        <f aca="false">MID(B554,9,1)</f>
        <v/>
      </c>
      <c r="F554" s="34" t="str">
        <f aca="false">MID(B554,10,1)</f>
        <v/>
      </c>
      <c r="G554" s="34" t="str">
        <f aca="false">MID(B554,11,1)</f>
        <v/>
      </c>
      <c r="H554" s="35" t="str">
        <f aca="false">IF(G554=".",F554,CONCATENATE(F554,G554))</f>
        <v/>
      </c>
      <c r="I554" s="34" t="n">
        <f aca="false">IFERROR(VALUE(H554),)</f>
        <v>0</v>
      </c>
      <c r="J554" s="34" t="e">
        <f aca="false">RIGHT(B554,LEN(B554)-FIND("/",B554, FIND("Single Cells",B554, 1)))</f>
        <v>#VALUE!</v>
      </c>
    </row>
    <row r="555" customFormat="false" ht="12.75" hidden="false" customHeight="false" outlineLevel="0" collapsed="false">
      <c r="E555" s="34" t="str">
        <f aca="false">MID(B555,9,1)</f>
        <v/>
      </c>
      <c r="F555" s="34" t="str">
        <f aca="false">MID(B555,10,1)</f>
        <v/>
      </c>
      <c r="G555" s="34" t="str">
        <f aca="false">MID(B555,11,1)</f>
        <v/>
      </c>
      <c r="H555" s="35" t="str">
        <f aca="false">IF(G555=".",F555,CONCATENATE(F555,G555))</f>
        <v/>
      </c>
      <c r="I555" s="34" t="n">
        <f aca="false">IFERROR(VALUE(H555),)</f>
        <v>0</v>
      </c>
      <c r="J555" s="34" t="e">
        <f aca="false">RIGHT(B555,LEN(B555)-FIND("/",B555, FIND("Single Cells",B555, 1)))</f>
        <v>#VALUE!</v>
      </c>
    </row>
    <row r="556" customFormat="false" ht="12.75" hidden="false" customHeight="false" outlineLevel="0" collapsed="false">
      <c r="E556" s="34" t="str">
        <f aca="false">MID(B556,9,1)</f>
        <v/>
      </c>
      <c r="F556" s="34" t="str">
        <f aca="false">MID(B556,10,1)</f>
        <v/>
      </c>
      <c r="G556" s="34" t="str">
        <f aca="false">MID(B556,11,1)</f>
        <v/>
      </c>
      <c r="H556" s="35" t="str">
        <f aca="false">IF(G556=".",F556,CONCATENATE(F556,G556))</f>
        <v/>
      </c>
      <c r="I556" s="34" t="n">
        <f aca="false">IFERROR(VALUE(H556),)</f>
        <v>0</v>
      </c>
      <c r="J556" s="34" t="e">
        <f aca="false">RIGHT(B556,LEN(B556)-FIND("/",B556, FIND("Single Cells",B556, 1)))</f>
        <v>#VALUE!</v>
      </c>
    </row>
    <row r="557" customFormat="false" ht="12.75" hidden="false" customHeight="false" outlineLevel="0" collapsed="false">
      <c r="E557" s="34" t="str">
        <f aca="false">MID(B557,9,1)</f>
        <v/>
      </c>
      <c r="F557" s="34" t="str">
        <f aca="false">MID(B557,10,1)</f>
        <v/>
      </c>
      <c r="G557" s="34" t="str">
        <f aca="false">MID(B557,11,1)</f>
        <v/>
      </c>
      <c r="H557" s="35" t="str">
        <f aca="false">IF(G557=".",F557,CONCATENATE(F557,G557))</f>
        <v/>
      </c>
      <c r="I557" s="34" t="n">
        <f aca="false">IFERROR(VALUE(H557),)</f>
        <v>0</v>
      </c>
      <c r="J557" s="34" t="e">
        <f aca="false">RIGHT(B557,LEN(B557)-FIND("/",B557, FIND("Single Cells",B557, 1)))</f>
        <v>#VALUE!</v>
      </c>
    </row>
    <row r="558" customFormat="false" ht="12.75" hidden="false" customHeight="false" outlineLevel="0" collapsed="false">
      <c r="E558" s="34" t="str">
        <f aca="false">MID(B558,9,1)</f>
        <v/>
      </c>
      <c r="F558" s="34" t="str">
        <f aca="false">MID(B558,10,1)</f>
        <v/>
      </c>
      <c r="G558" s="34" t="str">
        <f aca="false">MID(B558,11,1)</f>
        <v/>
      </c>
      <c r="H558" s="35" t="str">
        <f aca="false">IF(G558=".",F558,CONCATENATE(F558,G558))</f>
        <v/>
      </c>
      <c r="I558" s="34" t="n">
        <f aca="false">IFERROR(VALUE(H558),)</f>
        <v>0</v>
      </c>
      <c r="J558" s="34" t="e">
        <f aca="false">RIGHT(B558,LEN(B558)-FIND("/",B558, FIND("Single Cells",B558, 1)))</f>
        <v>#VALUE!</v>
      </c>
    </row>
    <row r="559" customFormat="false" ht="12.75" hidden="false" customHeight="false" outlineLevel="0" collapsed="false">
      <c r="E559" s="34" t="str">
        <f aca="false">MID(B559,9,1)</f>
        <v/>
      </c>
      <c r="F559" s="34" t="str">
        <f aca="false">MID(B559,10,1)</f>
        <v/>
      </c>
      <c r="G559" s="34" t="str">
        <f aca="false">MID(B559,11,1)</f>
        <v/>
      </c>
      <c r="H559" s="35" t="str">
        <f aca="false">IF(G559=".",F559,CONCATENATE(F559,G559))</f>
        <v/>
      </c>
      <c r="I559" s="34" t="n">
        <f aca="false">IFERROR(VALUE(H559),)</f>
        <v>0</v>
      </c>
      <c r="J559" s="34" t="e">
        <f aca="false">RIGHT(B559,LEN(B559)-FIND("/",B559, FIND("Single Cells",B559, 1)))</f>
        <v>#VALUE!</v>
      </c>
    </row>
    <row r="560" customFormat="false" ht="12.75" hidden="false" customHeight="false" outlineLevel="0" collapsed="false">
      <c r="E560" s="34" t="str">
        <f aca="false">MID(B560,9,1)</f>
        <v/>
      </c>
      <c r="F560" s="34" t="str">
        <f aca="false">MID(B560,10,1)</f>
        <v/>
      </c>
      <c r="G560" s="34" t="str">
        <f aca="false">MID(B560,11,1)</f>
        <v/>
      </c>
      <c r="H560" s="35" t="str">
        <f aca="false">IF(G560=".",F560,CONCATENATE(F560,G560))</f>
        <v/>
      </c>
      <c r="I560" s="34" t="n">
        <f aca="false">IFERROR(VALUE(H560),)</f>
        <v>0</v>
      </c>
      <c r="J560" s="34" t="e">
        <f aca="false">RIGHT(B560,LEN(B560)-FIND("/",B560, FIND("Single Cells",B560, 1)))</f>
        <v>#VALUE!</v>
      </c>
    </row>
    <row r="561" customFormat="false" ht="12.75" hidden="false" customHeight="false" outlineLevel="0" collapsed="false">
      <c r="E561" s="34" t="str">
        <f aca="false">MID(B561,9,1)</f>
        <v/>
      </c>
      <c r="F561" s="34" t="str">
        <f aca="false">MID(B561,10,1)</f>
        <v/>
      </c>
      <c r="G561" s="34" t="str">
        <f aca="false">MID(B561,11,1)</f>
        <v/>
      </c>
      <c r="H561" s="35" t="str">
        <f aca="false">IF(G561=".",F561,CONCATENATE(F561,G561))</f>
        <v/>
      </c>
      <c r="I561" s="34" t="n">
        <f aca="false">IFERROR(VALUE(H561),)</f>
        <v>0</v>
      </c>
      <c r="J561" s="34" t="e">
        <f aca="false">RIGHT(B561,LEN(B561)-FIND("/",B561, FIND("Single Cells",B561, 1)))</f>
        <v>#VALUE!</v>
      </c>
    </row>
    <row r="562" customFormat="false" ht="12.75" hidden="false" customHeight="false" outlineLevel="0" collapsed="false">
      <c r="E562" s="34" t="str">
        <f aca="false">MID(B562,9,1)</f>
        <v/>
      </c>
      <c r="F562" s="34" t="str">
        <f aca="false">MID(B562,10,1)</f>
        <v/>
      </c>
      <c r="G562" s="34" t="str">
        <f aca="false">MID(B562,11,1)</f>
        <v/>
      </c>
      <c r="H562" s="35" t="str">
        <f aca="false">IF(G562=".",F562,CONCATENATE(F562,G562))</f>
        <v/>
      </c>
      <c r="I562" s="34" t="n">
        <f aca="false">IFERROR(VALUE(H562),)</f>
        <v>0</v>
      </c>
      <c r="J562" s="34" t="e">
        <f aca="false">RIGHT(B562,LEN(B562)-FIND("/",B562, FIND("Single Cells",B562, 1)))</f>
        <v>#VALUE!</v>
      </c>
    </row>
    <row r="563" customFormat="false" ht="12.75" hidden="false" customHeight="false" outlineLevel="0" collapsed="false">
      <c r="E563" s="34" t="str">
        <f aca="false">MID(B563,9,1)</f>
        <v/>
      </c>
      <c r="F563" s="34" t="str">
        <f aca="false">MID(B563,10,1)</f>
        <v/>
      </c>
      <c r="G563" s="34" t="str">
        <f aca="false">MID(B563,11,1)</f>
        <v/>
      </c>
      <c r="H563" s="35" t="str">
        <f aca="false">IF(G563=".",F563,CONCATENATE(F563,G563))</f>
        <v/>
      </c>
      <c r="I563" s="34" t="n">
        <f aca="false">IFERROR(VALUE(H563),)</f>
        <v>0</v>
      </c>
      <c r="J563" s="34" t="e">
        <f aca="false">RIGHT(B563,LEN(B563)-FIND("/",B563, FIND("Single Cells",B563, 1)))</f>
        <v>#VALUE!</v>
      </c>
    </row>
    <row r="564" customFormat="false" ht="12.75" hidden="false" customHeight="false" outlineLevel="0" collapsed="false">
      <c r="E564" s="34" t="str">
        <f aca="false">MID(B564,9,1)</f>
        <v/>
      </c>
      <c r="F564" s="34" t="str">
        <f aca="false">MID(B564,10,1)</f>
        <v/>
      </c>
      <c r="G564" s="34" t="str">
        <f aca="false">MID(B564,11,1)</f>
        <v/>
      </c>
      <c r="H564" s="35" t="str">
        <f aca="false">IF(G564=".",F564,CONCATENATE(F564,G564))</f>
        <v/>
      </c>
      <c r="I564" s="34" t="n">
        <f aca="false">IFERROR(VALUE(H564),)</f>
        <v>0</v>
      </c>
      <c r="J564" s="34" t="e">
        <f aca="false">RIGHT(B564,LEN(B564)-FIND("/",B564, FIND("Single Cells",B564, 1)))</f>
        <v>#VALUE!</v>
      </c>
    </row>
    <row r="565" customFormat="false" ht="12.75" hidden="false" customHeight="false" outlineLevel="0" collapsed="false">
      <c r="E565" s="34" t="str">
        <f aca="false">MID(B565,9,1)</f>
        <v/>
      </c>
      <c r="F565" s="34" t="str">
        <f aca="false">MID(B565,10,1)</f>
        <v/>
      </c>
      <c r="G565" s="34" t="str">
        <f aca="false">MID(B565,11,1)</f>
        <v/>
      </c>
      <c r="H565" s="35" t="str">
        <f aca="false">IF(G565=".",F565,CONCATENATE(F565,G565))</f>
        <v/>
      </c>
      <c r="I565" s="34" t="n">
        <f aca="false">IFERROR(VALUE(H565),)</f>
        <v>0</v>
      </c>
      <c r="J565" s="34" t="e">
        <f aca="false">RIGHT(B565,LEN(B565)-FIND("/",B565, FIND("Single Cells",B565, 1)))</f>
        <v>#VALUE!</v>
      </c>
    </row>
    <row r="566" customFormat="false" ht="12.75" hidden="false" customHeight="false" outlineLevel="0" collapsed="false">
      <c r="E566" s="34" t="str">
        <f aca="false">MID(B566,9,1)</f>
        <v/>
      </c>
      <c r="F566" s="34" t="str">
        <f aca="false">MID(B566,10,1)</f>
        <v/>
      </c>
      <c r="G566" s="34" t="str">
        <f aca="false">MID(B566,11,1)</f>
        <v/>
      </c>
      <c r="H566" s="35" t="str">
        <f aca="false">IF(G566=".",F566,CONCATENATE(F566,G566))</f>
        <v/>
      </c>
      <c r="I566" s="34" t="n">
        <f aca="false">IFERROR(VALUE(H566),)</f>
        <v>0</v>
      </c>
      <c r="J566" s="34" t="e">
        <f aca="false">RIGHT(B566,LEN(B566)-FIND("/",B566, FIND("Single Cells",B566, 1)))</f>
        <v>#VALUE!</v>
      </c>
    </row>
    <row r="567" customFormat="false" ht="12.75" hidden="false" customHeight="false" outlineLevel="0" collapsed="false">
      <c r="E567" s="34" t="str">
        <f aca="false">MID(B567,9,1)</f>
        <v/>
      </c>
      <c r="F567" s="34" t="str">
        <f aca="false">MID(B567,10,1)</f>
        <v/>
      </c>
      <c r="G567" s="34" t="str">
        <f aca="false">MID(B567,11,1)</f>
        <v/>
      </c>
      <c r="H567" s="35" t="str">
        <f aca="false">IF(G567=".",F567,CONCATENATE(F567,G567))</f>
        <v/>
      </c>
      <c r="I567" s="34" t="n">
        <f aca="false">IFERROR(VALUE(H567),)</f>
        <v>0</v>
      </c>
      <c r="J567" s="34" t="e">
        <f aca="false">RIGHT(B567,LEN(B567)-FIND("/",B567, FIND("Single Cells",B567, 1)))</f>
        <v>#VALUE!</v>
      </c>
    </row>
    <row r="568" customFormat="false" ht="12.75" hidden="false" customHeight="false" outlineLevel="0" collapsed="false">
      <c r="E568" s="34" t="str">
        <f aca="false">MID(B568,9,1)</f>
        <v/>
      </c>
      <c r="F568" s="34" t="str">
        <f aca="false">MID(B568,10,1)</f>
        <v/>
      </c>
      <c r="G568" s="34" t="str">
        <f aca="false">MID(B568,11,1)</f>
        <v/>
      </c>
      <c r="H568" s="35" t="str">
        <f aca="false">IF(G568=".",F568,CONCATENATE(F568,G568))</f>
        <v/>
      </c>
      <c r="I568" s="34" t="n">
        <f aca="false">IFERROR(VALUE(H568),)</f>
        <v>0</v>
      </c>
      <c r="J568" s="34" t="e">
        <f aca="false">RIGHT(B568,LEN(B568)-FIND("/",B568, FIND("Single Cells",B568, 1)))</f>
        <v>#VALUE!</v>
      </c>
    </row>
    <row r="569" customFormat="false" ht="12.75" hidden="false" customHeight="false" outlineLevel="0" collapsed="false">
      <c r="E569" s="34" t="str">
        <f aca="false">MID(B569,9,1)</f>
        <v/>
      </c>
      <c r="F569" s="34" t="str">
        <f aca="false">MID(B569,10,1)</f>
        <v/>
      </c>
      <c r="G569" s="34" t="str">
        <f aca="false">MID(B569,11,1)</f>
        <v/>
      </c>
      <c r="H569" s="35" t="str">
        <f aca="false">IF(G569=".",F569,CONCATENATE(F569,G569))</f>
        <v/>
      </c>
      <c r="I569" s="34" t="n">
        <f aca="false">IFERROR(VALUE(H569),)</f>
        <v>0</v>
      </c>
      <c r="J569" s="34" t="e">
        <f aca="false">RIGHT(B569,LEN(B569)-FIND("/",B569, FIND("Single Cells",B569, 1)))</f>
        <v>#VALUE!</v>
      </c>
    </row>
    <row r="570" customFormat="false" ht="12.75" hidden="false" customHeight="false" outlineLevel="0" collapsed="false">
      <c r="E570" s="34" t="str">
        <f aca="false">MID(B570,9,1)</f>
        <v/>
      </c>
      <c r="F570" s="34" t="str">
        <f aca="false">MID(B570,10,1)</f>
        <v/>
      </c>
      <c r="G570" s="34" t="str">
        <f aca="false">MID(B570,11,1)</f>
        <v/>
      </c>
      <c r="H570" s="35" t="str">
        <f aca="false">IF(G570=".",F570,CONCATENATE(F570,G570))</f>
        <v/>
      </c>
      <c r="I570" s="34" t="n">
        <f aca="false">IFERROR(VALUE(H570),)</f>
        <v>0</v>
      </c>
      <c r="J570" s="34" t="e">
        <f aca="false">RIGHT(B570,LEN(B570)-FIND("/",B570, FIND("Single Cells",B570, 1)))</f>
        <v>#VALUE!</v>
      </c>
    </row>
    <row r="571" customFormat="false" ht="12.75" hidden="false" customHeight="false" outlineLevel="0" collapsed="false">
      <c r="E571" s="34" t="str">
        <f aca="false">MID(B571,9,1)</f>
        <v/>
      </c>
      <c r="F571" s="34" t="str">
        <f aca="false">MID(B571,10,1)</f>
        <v/>
      </c>
      <c r="G571" s="34" t="str">
        <f aca="false">MID(B571,11,1)</f>
        <v/>
      </c>
      <c r="H571" s="35" t="str">
        <f aca="false">IF(G571=".",F571,CONCATENATE(F571,G571))</f>
        <v/>
      </c>
      <c r="I571" s="34" t="n">
        <f aca="false">IFERROR(VALUE(H571),)</f>
        <v>0</v>
      </c>
      <c r="J571" s="34" t="e">
        <f aca="false">RIGHT(B571,LEN(B571)-FIND("/",B571, FIND("Single Cells",B571, 1)))</f>
        <v>#VALUE!</v>
      </c>
    </row>
    <row r="572" customFormat="false" ht="12.75" hidden="false" customHeight="false" outlineLevel="0" collapsed="false">
      <c r="E572" s="34" t="str">
        <f aca="false">MID(B572,9,1)</f>
        <v/>
      </c>
      <c r="F572" s="34" t="str">
        <f aca="false">MID(B572,10,1)</f>
        <v/>
      </c>
      <c r="G572" s="34" t="str">
        <f aca="false">MID(B572,11,1)</f>
        <v/>
      </c>
      <c r="H572" s="35" t="str">
        <f aca="false">IF(G572=".",F572,CONCATENATE(F572,G572))</f>
        <v/>
      </c>
      <c r="I572" s="34" t="n">
        <f aca="false">IFERROR(VALUE(H572),)</f>
        <v>0</v>
      </c>
      <c r="J572" s="34" t="e">
        <f aca="false">RIGHT(B572,LEN(B572)-FIND("/",B572, FIND("Single Cells",B572, 1)))</f>
        <v>#VALUE!</v>
      </c>
    </row>
    <row r="573" customFormat="false" ht="12.75" hidden="false" customHeight="false" outlineLevel="0" collapsed="false">
      <c r="E573" s="34" t="str">
        <f aca="false">MID(B573,9,1)</f>
        <v/>
      </c>
      <c r="F573" s="34" t="str">
        <f aca="false">MID(B573,10,1)</f>
        <v/>
      </c>
      <c r="G573" s="34" t="str">
        <f aca="false">MID(B573,11,1)</f>
        <v/>
      </c>
      <c r="H573" s="35" t="str">
        <f aca="false">IF(G573=".",F573,CONCATENATE(F573,G573))</f>
        <v/>
      </c>
      <c r="I573" s="34" t="n">
        <f aca="false">IFERROR(VALUE(H573),)</f>
        <v>0</v>
      </c>
      <c r="J573" s="34" t="e">
        <f aca="false">RIGHT(B573,LEN(B573)-FIND("/",B573, FIND("Single Cells",B573, 1)))</f>
        <v>#VALUE!</v>
      </c>
    </row>
    <row r="574" customFormat="false" ht="12.75" hidden="false" customHeight="false" outlineLevel="0" collapsed="false">
      <c r="E574" s="34" t="str">
        <f aca="false">MID(B574,9,1)</f>
        <v/>
      </c>
      <c r="F574" s="34" t="str">
        <f aca="false">MID(B574,10,1)</f>
        <v/>
      </c>
      <c r="G574" s="34" t="str">
        <f aca="false">MID(B574,11,1)</f>
        <v/>
      </c>
      <c r="H574" s="35" t="str">
        <f aca="false">IF(G574=".",F574,CONCATENATE(F574,G574))</f>
        <v/>
      </c>
      <c r="I574" s="34" t="n">
        <f aca="false">IFERROR(VALUE(H574),)</f>
        <v>0</v>
      </c>
      <c r="J574" s="34" t="e">
        <f aca="false">RIGHT(B574,LEN(B574)-FIND("/",B574, FIND("Single Cells",B574, 1)))</f>
        <v>#VALUE!</v>
      </c>
    </row>
    <row r="575" customFormat="false" ht="12.75" hidden="false" customHeight="false" outlineLevel="0" collapsed="false">
      <c r="E575" s="34" t="str">
        <f aca="false">MID(B575,9,1)</f>
        <v/>
      </c>
      <c r="F575" s="34" t="str">
        <f aca="false">MID(B575,10,1)</f>
        <v/>
      </c>
      <c r="G575" s="34" t="str">
        <f aca="false">MID(B575,11,1)</f>
        <v/>
      </c>
      <c r="H575" s="35" t="str">
        <f aca="false">IF(G575=".",F575,CONCATENATE(F575,G575))</f>
        <v/>
      </c>
      <c r="I575" s="34" t="n">
        <f aca="false">IFERROR(VALUE(H575),)</f>
        <v>0</v>
      </c>
      <c r="J575" s="34" t="e">
        <f aca="false">RIGHT(B575,LEN(B575)-FIND("/",B575, FIND("Single Cells",B575, 1)))</f>
        <v>#VALUE!</v>
      </c>
    </row>
    <row r="576" customFormat="false" ht="12.75" hidden="false" customHeight="false" outlineLevel="0" collapsed="false">
      <c r="E576" s="34" t="str">
        <f aca="false">MID(B576,9,1)</f>
        <v/>
      </c>
      <c r="F576" s="34" t="str">
        <f aca="false">MID(B576,10,1)</f>
        <v/>
      </c>
      <c r="G576" s="34" t="str">
        <f aca="false">MID(B576,11,1)</f>
        <v/>
      </c>
      <c r="H576" s="35" t="str">
        <f aca="false">IF(G576=".",F576,CONCATENATE(F576,G576))</f>
        <v/>
      </c>
      <c r="I576" s="34" t="n">
        <f aca="false">IFERROR(VALUE(H576),)</f>
        <v>0</v>
      </c>
      <c r="J576" s="34" t="e">
        <f aca="false">RIGHT(B576,LEN(B576)-FIND("/",B576, FIND("Single Cells",B576, 1)))</f>
        <v>#VALUE!</v>
      </c>
    </row>
    <row r="577" customFormat="false" ht="12.75" hidden="false" customHeight="false" outlineLevel="0" collapsed="false">
      <c r="E577" s="34" t="str">
        <f aca="false">MID(B577,9,1)</f>
        <v/>
      </c>
      <c r="F577" s="34" t="str">
        <f aca="false">MID(B577,10,1)</f>
        <v/>
      </c>
      <c r="G577" s="34" t="str">
        <f aca="false">MID(B577,11,1)</f>
        <v/>
      </c>
      <c r="H577" s="35" t="str">
        <f aca="false">IF(G577=".",F577,CONCATENATE(F577,G577))</f>
        <v/>
      </c>
      <c r="I577" s="34" t="n">
        <f aca="false">IFERROR(VALUE(H577),)</f>
        <v>0</v>
      </c>
      <c r="J577" s="34" t="e">
        <f aca="false">RIGHT(B577,LEN(B577)-FIND("/",B577, FIND("Single Cells",B577, 1)))</f>
        <v>#VALUE!</v>
      </c>
    </row>
    <row r="578" customFormat="false" ht="12.75" hidden="false" customHeight="false" outlineLevel="0" collapsed="false">
      <c r="E578" s="34" t="str">
        <f aca="false">MID(B578,9,1)</f>
        <v/>
      </c>
      <c r="F578" s="34" t="str">
        <f aca="false">MID(B578,10,1)</f>
        <v/>
      </c>
      <c r="G578" s="34" t="str">
        <f aca="false">MID(B578,11,1)</f>
        <v/>
      </c>
      <c r="H578" s="35" t="str">
        <f aca="false">IF(G578=".",F578,CONCATENATE(F578,G578))</f>
        <v/>
      </c>
      <c r="I578" s="34" t="n">
        <f aca="false">IFERROR(VALUE(H578),)</f>
        <v>0</v>
      </c>
      <c r="J578" s="34" t="e">
        <f aca="false">RIGHT(B578,LEN(B578)-FIND("/",B578, FIND("Single Cells",B578, 1)))</f>
        <v>#VALUE!</v>
      </c>
    </row>
    <row r="579" customFormat="false" ht="12.75" hidden="false" customHeight="false" outlineLevel="0" collapsed="false">
      <c r="E579" s="34" t="str">
        <f aca="false">MID(B579,9,1)</f>
        <v/>
      </c>
      <c r="F579" s="34" t="str">
        <f aca="false">MID(B579,10,1)</f>
        <v/>
      </c>
      <c r="G579" s="34" t="str">
        <f aca="false">MID(B579,11,1)</f>
        <v/>
      </c>
      <c r="H579" s="35" t="str">
        <f aca="false">IF(G579=".",F579,CONCATENATE(F579,G579))</f>
        <v/>
      </c>
      <c r="I579" s="34" t="n">
        <f aca="false">IFERROR(VALUE(H579),)</f>
        <v>0</v>
      </c>
      <c r="J579" s="34" t="e">
        <f aca="false">RIGHT(B579,LEN(B579)-FIND("/",B579, FIND("Single Cells",B579, 1)))</f>
        <v>#VALUE!</v>
      </c>
    </row>
    <row r="580" customFormat="false" ht="12.75" hidden="false" customHeight="false" outlineLevel="0" collapsed="false">
      <c r="E580" s="34" t="str">
        <f aca="false">MID(B580,9,1)</f>
        <v/>
      </c>
      <c r="F580" s="34" t="str">
        <f aca="false">MID(B580,10,1)</f>
        <v/>
      </c>
      <c r="G580" s="34" t="str">
        <f aca="false">MID(B580,11,1)</f>
        <v/>
      </c>
      <c r="H580" s="35" t="str">
        <f aca="false">IF(G580=".",F580,CONCATENATE(F580,G580))</f>
        <v/>
      </c>
      <c r="I580" s="34" t="n">
        <f aca="false">IFERROR(VALUE(H580),)</f>
        <v>0</v>
      </c>
      <c r="J580" s="34" t="e">
        <f aca="false">RIGHT(B580,LEN(B580)-FIND("/",B580, FIND("Single Cells",B580, 1)))</f>
        <v>#VALUE!</v>
      </c>
    </row>
    <row r="581" customFormat="false" ht="12.75" hidden="false" customHeight="false" outlineLevel="0" collapsed="false">
      <c r="E581" s="34" t="str">
        <f aca="false">MID(B581,9,1)</f>
        <v/>
      </c>
      <c r="F581" s="34" t="str">
        <f aca="false">MID(B581,10,1)</f>
        <v/>
      </c>
      <c r="G581" s="34" t="str">
        <f aca="false">MID(B581,11,1)</f>
        <v/>
      </c>
      <c r="H581" s="35" t="str">
        <f aca="false">IF(G581=".",F581,CONCATENATE(F581,G581))</f>
        <v/>
      </c>
      <c r="I581" s="34" t="n">
        <f aca="false">IFERROR(VALUE(H581),)</f>
        <v>0</v>
      </c>
      <c r="J581" s="34" t="e">
        <f aca="false">RIGHT(B581,LEN(B581)-FIND("/",B581, FIND("Single Cells",B581, 1)))</f>
        <v>#VALUE!</v>
      </c>
    </row>
    <row r="582" customFormat="false" ht="12.75" hidden="false" customHeight="false" outlineLevel="0" collapsed="false">
      <c r="E582" s="34" t="str">
        <f aca="false">MID(B582,9,1)</f>
        <v/>
      </c>
      <c r="F582" s="34" t="str">
        <f aca="false">MID(B582,10,1)</f>
        <v/>
      </c>
      <c r="G582" s="34" t="str">
        <f aca="false">MID(B582,11,1)</f>
        <v/>
      </c>
      <c r="H582" s="35" t="str">
        <f aca="false">IF(G582=".",F582,CONCATENATE(F582,G582))</f>
        <v/>
      </c>
      <c r="I582" s="34" t="n">
        <f aca="false">IFERROR(VALUE(H582),)</f>
        <v>0</v>
      </c>
      <c r="J582" s="34" t="e">
        <f aca="false">RIGHT(B582,LEN(B582)-FIND("/",B582, FIND("Single Cells",B582, 1)))</f>
        <v>#VALUE!</v>
      </c>
    </row>
    <row r="583" customFormat="false" ht="12.75" hidden="false" customHeight="false" outlineLevel="0" collapsed="false">
      <c r="E583" s="34" t="str">
        <f aca="false">MID(B583,9,1)</f>
        <v/>
      </c>
      <c r="F583" s="34" t="str">
        <f aca="false">MID(B583,10,1)</f>
        <v/>
      </c>
      <c r="G583" s="34" t="str">
        <f aca="false">MID(B583,11,1)</f>
        <v/>
      </c>
      <c r="H583" s="35" t="str">
        <f aca="false">IF(G583=".",F583,CONCATENATE(F583,G583))</f>
        <v/>
      </c>
      <c r="I583" s="34" t="n">
        <f aca="false">IFERROR(VALUE(H583),)</f>
        <v>0</v>
      </c>
      <c r="J583" s="34" t="e">
        <f aca="false">RIGHT(B583,LEN(B583)-FIND("/",B583, FIND("Single Cells",B583, 1)))</f>
        <v>#VALUE!</v>
      </c>
    </row>
    <row r="584" customFormat="false" ht="12.75" hidden="false" customHeight="false" outlineLevel="0" collapsed="false">
      <c r="E584" s="34" t="str">
        <f aca="false">MID(B584,9,1)</f>
        <v/>
      </c>
      <c r="F584" s="34" t="str">
        <f aca="false">MID(B584,10,1)</f>
        <v/>
      </c>
      <c r="G584" s="34" t="str">
        <f aca="false">MID(B584,11,1)</f>
        <v/>
      </c>
      <c r="H584" s="35" t="str">
        <f aca="false">IF(G584=".",F584,CONCATENATE(F584,G584))</f>
        <v/>
      </c>
      <c r="I584" s="34" t="n">
        <f aca="false">IFERROR(VALUE(H584),)</f>
        <v>0</v>
      </c>
      <c r="J584" s="34" t="e">
        <f aca="false">RIGHT(B584,LEN(B584)-FIND("/",B584, FIND("Single Cells",B584, 1)))</f>
        <v>#VALUE!</v>
      </c>
    </row>
    <row r="585" customFormat="false" ht="12.75" hidden="false" customHeight="false" outlineLevel="0" collapsed="false">
      <c r="E585" s="34" t="str">
        <f aca="false">MID(B585,9,1)</f>
        <v/>
      </c>
      <c r="F585" s="34" t="str">
        <f aca="false">MID(B585,10,1)</f>
        <v/>
      </c>
      <c r="G585" s="34" t="str">
        <f aca="false">MID(B585,11,1)</f>
        <v/>
      </c>
      <c r="H585" s="35" t="str">
        <f aca="false">IF(G585=".",F585,CONCATENATE(F585,G585))</f>
        <v/>
      </c>
      <c r="I585" s="34" t="n">
        <f aca="false">IFERROR(VALUE(H585),)</f>
        <v>0</v>
      </c>
      <c r="J585" s="34" t="e">
        <f aca="false">RIGHT(B585,LEN(B585)-FIND("/",B585, FIND("Single Cells",B585, 1)))</f>
        <v>#VALUE!</v>
      </c>
    </row>
    <row r="586" customFormat="false" ht="12.75" hidden="false" customHeight="false" outlineLevel="0" collapsed="false">
      <c r="E586" s="34" t="str">
        <f aca="false">MID(B586,9,1)</f>
        <v/>
      </c>
      <c r="F586" s="34" t="str">
        <f aca="false">MID(B586,10,1)</f>
        <v/>
      </c>
      <c r="G586" s="34" t="str">
        <f aca="false">MID(B586,11,1)</f>
        <v/>
      </c>
      <c r="H586" s="35" t="str">
        <f aca="false">IF(G586=".",F586,CONCATENATE(F586,G586))</f>
        <v/>
      </c>
      <c r="I586" s="34" t="n">
        <f aca="false">IFERROR(VALUE(H586),)</f>
        <v>0</v>
      </c>
      <c r="J586" s="34" t="e">
        <f aca="false">RIGHT(B586,LEN(B586)-FIND("/",B586, FIND("Single Cells",B586, 1)))</f>
        <v>#VALUE!</v>
      </c>
    </row>
    <row r="587" customFormat="false" ht="12.75" hidden="false" customHeight="false" outlineLevel="0" collapsed="false">
      <c r="E587" s="34" t="str">
        <f aca="false">MID(B587,9,1)</f>
        <v/>
      </c>
      <c r="F587" s="34" t="str">
        <f aca="false">MID(B587,10,1)</f>
        <v/>
      </c>
      <c r="G587" s="34" t="str">
        <f aca="false">MID(B587,11,1)</f>
        <v/>
      </c>
      <c r="H587" s="35" t="str">
        <f aca="false">IF(G587=".",F587,CONCATENATE(F587,G587))</f>
        <v/>
      </c>
      <c r="I587" s="34" t="n">
        <f aca="false">IFERROR(VALUE(H587),)</f>
        <v>0</v>
      </c>
      <c r="J587" s="34" t="e">
        <f aca="false">RIGHT(B587,LEN(B587)-FIND("/",B587, FIND("Single Cells",B587, 1)))</f>
        <v>#VALUE!</v>
      </c>
    </row>
    <row r="588" customFormat="false" ht="12.75" hidden="false" customHeight="false" outlineLevel="0" collapsed="false">
      <c r="E588" s="34" t="str">
        <f aca="false">MID(B588,9,1)</f>
        <v/>
      </c>
      <c r="F588" s="34" t="str">
        <f aca="false">MID(B588,10,1)</f>
        <v/>
      </c>
      <c r="G588" s="34" t="str">
        <f aca="false">MID(B588,11,1)</f>
        <v/>
      </c>
      <c r="H588" s="35" t="str">
        <f aca="false">IF(G588=".",F588,CONCATENATE(F588,G588))</f>
        <v/>
      </c>
      <c r="I588" s="34" t="n">
        <f aca="false">IFERROR(VALUE(H588),)</f>
        <v>0</v>
      </c>
      <c r="J588" s="34" t="e">
        <f aca="false">RIGHT(B588,LEN(B588)-FIND("/",B588, FIND("Single Cells",B588, 1)))</f>
        <v>#VALUE!</v>
      </c>
    </row>
    <row r="589" customFormat="false" ht="12.75" hidden="false" customHeight="false" outlineLevel="0" collapsed="false">
      <c r="E589" s="34" t="str">
        <f aca="false">MID(B589,9,1)</f>
        <v/>
      </c>
      <c r="F589" s="34" t="str">
        <f aca="false">MID(B589,10,1)</f>
        <v/>
      </c>
      <c r="G589" s="34" t="str">
        <f aca="false">MID(B589,11,1)</f>
        <v/>
      </c>
      <c r="H589" s="35" t="str">
        <f aca="false">IF(G589=".",F589,CONCATENATE(F589,G589))</f>
        <v/>
      </c>
      <c r="I589" s="34" t="n">
        <f aca="false">IFERROR(VALUE(H589),)</f>
        <v>0</v>
      </c>
      <c r="J589" s="34" t="e">
        <f aca="false">RIGHT(B589,LEN(B589)-FIND("/",B589, FIND("Single Cells",B589, 1)))</f>
        <v>#VALUE!</v>
      </c>
    </row>
    <row r="590" customFormat="false" ht="12.75" hidden="false" customHeight="false" outlineLevel="0" collapsed="false">
      <c r="E590" s="34" t="str">
        <f aca="false">MID(B590,9,1)</f>
        <v/>
      </c>
      <c r="F590" s="34" t="str">
        <f aca="false">MID(B590,10,1)</f>
        <v/>
      </c>
      <c r="G590" s="34" t="str">
        <f aca="false">MID(B590,11,1)</f>
        <v/>
      </c>
      <c r="H590" s="35" t="str">
        <f aca="false">IF(G590=".",F590,CONCATENATE(F590,G590))</f>
        <v/>
      </c>
      <c r="I590" s="34" t="n">
        <f aca="false">IFERROR(VALUE(H590),)</f>
        <v>0</v>
      </c>
      <c r="J590" s="34" t="e">
        <f aca="false">RIGHT(B590,LEN(B590)-FIND("/",B590, FIND("Single Cells",B590, 1)))</f>
        <v>#VALUE!</v>
      </c>
    </row>
    <row r="591" customFormat="false" ht="12.75" hidden="false" customHeight="false" outlineLevel="0" collapsed="false">
      <c r="E591" s="34" t="str">
        <f aca="false">MID(B591,9,1)</f>
        <v/>
      </c>
      <c r="F591" s="34" t="str">
        <f aca="false">MID(B591,10,1)</f>
        <v/>
      </c>
      <c r="G591" s="34" t="str">
        <f aca="false">MID(B591,11,1)</f>
        <v/>
      </c>
      <c r="H591" s="35" t="str">
        <f aca="false">IF(G591=".",F591,CONCATENATE(F591,G591))</f>
        <v/>
      </c>
      <c r="I591" s="34" t="n">
        <f aca="false">IFERROR(VALUE(H591),)</f>
        <v>0</v>
      </c>
      <c r="J591" s="34" t="e">
        <f aca="false">RIGHT(B591,LEN(B591)-FIND("/",B591, FIND("Single Cells",B591, 1)))</f>
        <v>#VALUE!</v>
      </c>
    </row>
    <row r="592" customFormat="false" ht="12.75" hidden="false" customHeight="false" outlineLevel="0" collapsed="false">
      <c r="E592" s="34" t="str">
        <f aca="false">MID(B592,9,1)</f>
        <v/>
      </c>
      <c r="F592" s="34" t="str">
        <f aca="false">MID(B592,10,1)</f>
        <v/>
      </c>
      <c r="G592" s="34" t="str">
        <f aca="false">MID(B592,11,1)</f>
        <v/>
      </c>
      <c r="H592" s="35" t="str">
        <f aca="false">IF(G592=".",F592,CONCATENATE(F592,G592))</f>
        <v/>
      </c>
      <c r="I592" s="34" t="n">
        <f aca="false">IFERROR(VALUE(H592),)</f>
        <v>0</v>
      </c>
      <c r="J592" s="34" t="e">
        <f aca="false">RIGHT(B592,LEN(B592)-FIND("/",B592, FIND("Single Cells",B592, 1)))</f>
        <v>#VALUE!</v>
      </c>
    </row>
    <row r="593" customFormat="false" ht="12.75" hidden="false" customHeight="false" outlineLevel="0" collapsed="false">
      <c r="E593" s="34" t="str">
        <f aca="false">MID(B593,9,1)</f>
        <v/>
      </c>
      <c r="F593" s="34" t="str">
        <f aca="false">MID(B593,10,1)</f>
        <v/>
      </c>
      <c r="G593" s="34" t="str">
        <f aca="false">MID(B593,11,1)</f>
        <v/>
      </c>
      <c r="H593" s="35" t="str">
        <f aca="false">IF(G593=".",F593,CONCATENATE(F593,G593))</f>
        <v/>
      </c>
      <c r="I593" s="34" t="n">
        <f aca="false">IFERROR(VALUE(H593),)</f>
        <v>0</v>
      </c>
      <c r="J593" s="34" t="e">
        <f aca="false">RIGHT(B593,LEN(B593)-FIND("/",B593, FIND("Single Cells",B593, 1)))</f>
        <v>#VALUE!</v>
      </c>
    </row>
    <row r="594" customFormat="false" ht="12.75" hidden="false" customHeight="false" outlineLevel="0" collapsed="false">
      <c r="E594" s="34" t="str">
        <f aca="false">MID(B594,9,1)</f>
        <v/>
      </c>
      <c r="F594" s="34" t="str">
        <f aca="false">MID(B594,10,1)</f>
        <v/>
      </c>
      <c r="G594" s="34" t="str">
        <f aca="false">MID(B594,11,1)</f>
        <v/>
      </c>
      <c r="H594" s="35" t="str">
        <f aca="false">IF(G594=".",F594,CONCATENATE(F594,G594))</f>
        <v/>
      </c>
      <c r="I594" s="34" t="n">
        <f aca="false">IFERROR(VALUE(H594),)</f>
        <v>0</v>
      </c>
      <c r="J594" s="34" t="e">
        <f aca="false">RIGHT(B594,LEN(B594)-FIND("/",B594, FIND("Single Cells",B594, 1)))</f>
        <v>#VALUE!</v>
      </c>
    </row>
    <row r="595" customFormat="false" ht="12.75" hidden="false" customHeight="false" outlineLevel="0" collapsed="false">
      <c r="E595" s="34" t="str">
        <f aca="false">MID(B595,9,1)</f>
        <v/>
      </c>
      <c r="F595" s="34" t="str">
        <f aca="false">MID(B595,10,1)</f>
        <v/>
      </c>
      <c r="G595" s="34" t="str">
        <f aca="false">MID(B595,11,1)</f>
        <v/>
      </c>
      <c r="H595" s="35" t="str">
        <f aca="false">IF(G595=".",F595,CONCATENATE(F595,G595))</f>
        <v/>
      </c>
      <c r="I595" s="34" t="n">
        <f aca="false">IFERROR(VALUE(H595),)</f>
        <v>0</v>
      </c>
      <c r="J595" s="34" t="e">
        <f aca="false">RIGHT(B595,LEN(B595)-FIND("/",B595, FIND("Single Cells",B595, 1)))</f>
        <v>#VALUE!</v>
      </c>
    </row>
    <row r="596" customFormat="false" ht="12.75" hidden="false" customHeight="false" outlineLevel="0" collapsed="false">
      <c r="E596" s="34" t="str">
        <f aca="false">MID(B596,9,1)</f>
        <v/>
      </c>
      <c r="F596" s="34" t="str">
        <f aca="false">MID(B596,10,1)</f>
        <v/>
      </c>
      <c r="G596" s="34" t="str">
        <f aca="false">MID(B596,11,1)</f>
        <v/>
      </c>
      <c r="H596" s="35" t="str">
        <f aca="false">IF(G596=".",F596,CONCATENATE(F596,G596))</f>
        <v/>
      </c>
      <c r="I596" s="34" t="n">
        <f aca="false">IFERROR(VALUE(H596),)</f>
        <v>0</v>
      </c>
      <c r="J596" s="34" t="e">
        <f aca="false">RIGHT(B596,LEN(B596)-FIND("/",B596, FIND("Single Cells",B596, 1)))</f>
        <v>#VALUE!</v>
      </c>
    </row>
    <row r="597" customFormat="false" ht="12.75" hidden="false" customHeight="false" outlineLevel="0" collapsed="false">
      <c r="E597" s="34" t="str">
        <f aca="false">MID(B597,9,1)</f>
        <v/>
      </c>
      <c r="F597" s="34" t="str">
        <f aca="false">MID(B597,10,1)</f>
        <v/>
      </c>
      <c r="G597" s="34" t="str">
        <f aca="false">MID(B597,11,1)</f>
        <v/>
      </c>
      <c r="H597" s="35" t="str">
        <f aca="false">IF(G597=".",F597,CONCATENATE(F597,G597))</f>
        <v/>
      </c>
      <c r="I597" s="34" t="n">
        <f aca="false">IFERROR(VALUE(H597),)</f>
        <v>0</v>
      </c>
      <c r="J597" s="34" t="e">
        <f aca="false">RIGHT(B597,LEN(B597)-FIND("/",B597, FIND("Single Cells",B597, 1)))</f>
        <v>#VALUE!</v>
      </c>
    </row>
    <row r="598" customFormat="false" ht="12.75" hidden="false" customHeight="false" outlineLevel="0" collapsed="false">
      <c r="E598" s="34" t="str">
        <f aca="false">MID(B598,9,1)</f>
        <v/>
      </c>
      <c r="F598" s="34" t="str">
        <f aca="false">MID(B598,10,1)</f>
        <v/>
      </c>
      <c r="G598" s="34" t="str">
        <f aca="false">MID(B598,11,1)</f>
        <v/>
      </c>
      <c r="H598" s="35" t="str">
        <f aca="false">IF(G598=".",F598,CONCATENATE(F598,G598))</f>
        <v/>
      </c>
      <c r="I598" s="34" t="n">
        <f aca="false">IFERROR(VALUE(H598),)</f>
        <v>0</v>
      </c>
      <c r="J598" s="34" t="e">
        <f aca="false">RIGHT(B598,LEN(B598)-FIND("/",B598, FIND("Single Cells",B598, 1)))</f>
        <v>#VALUE!</v>
      </c>
    </row>
    <row r="599" customFormat="false" ht="12.75" hidden="false" customHeight="false" outlineLevel="0" collapsed="false">
      <c r="E599" s="34" t="str">
        <f aca="false">MID(B599,9,1)</f>
        <v/>
      </c>
      <c r="F599" s="34" t="str">
        <f aca="false">MID(B599,10,1)</f>
        <v/>
      </c>
      <c r="G599" s="34" t="str">
        <f aca="false">MID(B599,11,1)</f>
        <v/>
      </c>
      <c r="H599" s="35" t="str">
        <f aca="false">IF(G599=".",F599,CONCATENATE(F599,G599))</f>
        <v/>
      </c>
      <c r="I599" s="34" t="n">
        <f aca="false">IFERROR(VALUE(H599),)</f>
        <v>0</v>
      </c>
      <c r="J599" s="34" t="e">
        <f aca="false">RIGHT(B599,LEN(B599)-FIND("/",B599, FIND("Single Cells",B599, 1)))</f>
        <v>#VALUE!</v>
      </c>
    </row>
    <row r="600" customFormat="false" ht="12.75" hidden="false" customHeight="false" outlineLevel="0" collapsed="false">
      <c r="E600" s="34" t="str">
        <f aca="false">MID(B600,9,1)</f>
        <v/>
      </c>
      <c r="F600" s="34" t="str">
        <f aca="false">MID(B600,10,1)</f>
        <v/>
      </c>
      <c r="G600" s="34" t="str">
        <f aca="false">MID(B600,11,1)</f>
        <v/>
      </c>
      <c r="H600" s="35" t="str">
        <f aca="false">IF(G600=".",F600,CONCATENATE(F600,G600))</f>
        <v/>
      </c>
      <c r="I600" s="34" t="n">
        <f aca="false">IFERROR(VALUE(H600),)</f>
        <v>0</v>
      </c>
      <c r="J600" s="34" t="e">
        <f aca="false">RIGHT(B600,LEN(B600)-FIND("/",B600, FIND("Single Cells",B600, 1)))</f>
        <v>#VALUE!</v>
      </c>
    </row>
    <row r="601" customFormat="false" ht="12.75" hidden="false" customHeight="false" outlineLevel="0" collapsed="false">
      <c r="E601" s="34" t="str">
        <f aca="false">MID(B601,9,1)</f>
        <v/>
      </c>
      <c r="F601" s="34" t="str">
        <f aca="false">MID(B601,10,1)</f>
        <v/>
      </c>
      <c r="G601" s="34" t="str">
        <f aca="false">MID(B601,11,1)</f>
        <v/>
      </c>
      <c r="H601" s="35" t="str">
        <f aca="false">IF(G601=".",F601,CONCATENATE(F601,G601))</f>
        <v/>
      </c>
      <c r="I601" s="34" t="n">
        <f aca="false">IFERROR(VALUE(H601),)</f>
        <v>0</v>
      </c>
      <c r="J601" s="34" t="e">
        <f aca="false">RIGHT(B601,LEN(B601)-FIND("/",B601, FIND("Single Cells",B601, 1)))</f>
        <v>#VALUE!</v>
      </c>
    </row>
    <row r="602" customFormat="false" ht="12.75" hidden="false" customHeight="false" outlineLevel="0" collapsed="false">
      <c r="E602" s="34" t="str">
        <f aca="false">MID(B602,9,1)</f>
        <v/>
      </c>
      <c r="F602" s="34" t="str">
        <f aca="false">MID(B602,10,1)</f>
        <v/>
      </c>
      <c r="G602" s="34" t="str">
        <f aca="false">MID(B602,11,1)</f>
        <v/>
      </c>
      <c r="H602" s="35" t="str">
        <f aca="false">IF(G602=".",F602,CONCATENATE(F602,G602))</f>
        <v/>
      </c>
      <c r="I602" s="34" t="n">
        <f aca="false">IFERROR(VALUE(H602),)</f>
        <v>0</v>
      </c>
      <c r="J602" s="34" t="e">
        <f aca="false">RIGHT(B602,LEN(B602)-FIND("/",B602, FIND("Single Cells",B602, 1)))</f>
        <v>#VALUE!</v>
      </c>
    </row>
    <row r="603" customFormat="false" ht="12.75" hidden="false" customHeight="false" outlineLevel="0" collapsed="false">
      <c r="E603" s="34" t="str">
        <f aca="false">MID(B603,9,1)</f>
        <v/>
      </c>
      <c r="F603" s="34" t="str">
        <f aca="false">MID(B603,10,1)</f>
        <v/>
      </c>
      <c r="G603" s="34" t="str">
        <f aca="false">MID(B603,11,1)</f>
        <v/>
      </c>
      <c r="H603" s="35" t="str">
        <f aca="false">IF(G603=".",F603,CONCATENATE(F603,G603))</f>
        <v/>
      </c>
      <c r="I603" s="34" t="n">
        <f aca="false">IFERROR(VALUE(H603),)</f>
        <v>0</v>
      </c>
      <c r="J603" s="34" t="e">
        <f aca="false">RIGHT(B603,LEN(B603)-FIND("/",B603, FIND("Single Cells",B603, 1)))</f>
        <v>#VALUE!</v>
      </c>
    </row>
    <row r="604" customFormat="false" ht="12.75" hidden="false" customHeight="false" outlineLevel="0" collapsed="false">
      <c r="E604" s="34" t="str">
        <f aca="false">MID(B604,9,1)</f>
        <v/>
      </c>
      <c r="F604" s="34" t="str">
        <f aca="false">MID(B604,10,1)</f>
        <v/>
      </c>
      <c r="G604" s="34" t="str">
        <f aca="false">MID(B604,11,1)</f>
        <v/>
      </c>
      <c r="H604" s="35" t="str">
        <f aca="false">IF(G604=".",F604,CONCATENATE(F604,G604))</f>
        <v/>
      </c>
      <c r="I604" s="34" t="n">
        <f aca="false">IFERROR(VALUE(H604),)</f>
        <v>0</v>
      </c>
      <c r="J604" s="34" t="e">
        <f aca="false">RIGHT(B604,LEN(B604)-FIND("/",B604, FIND("Single Cells",B604, 1)))</f>
        <v>#VALUE!</v>
      </c>
    </row>
    <row r="605" customFormat="false" ht="12.75" hidden="false" customHeight="false" outlineLevel="0" collapsed="false">
      <c r="E605" s="34" t="str">
        <f aca="false">MID(B605,9,1)</f>
        <v/>
      </c>
      <c r="F605" s="34" t="str">
        <f aca="false">MID(B605,10,1)</f>
        <v/>
      </c>
      <c r="G605" s="34" t="str">
        <f aca="false">MID(B605,11,1)</f>
        <v/>
      </c>
      <c r="H605" s="35" t="str">
        <f aca="false">IF(G605=".",F605,CONCATENATE(F605,G605))</f>
        <v/>
      </c>
      <c r="I605" s="34" t="n">
        <f aca="false">IFERROR(VALUE(H605),)</f>
        <v>0</v>
      </c>
      <c r="J605" s="34" t="e">
        <f aca="false">RIGHT(B605,LEN(B605)-FIND("/",B605, FIND("Single Cells",B605, 1)))</f>
        <v>#VALUE!</v>
      </c>
    </row>
    <row r="606" customFormat="false" ht="12.75" hidden="false" customHeight="false" outlineLevel="0" collapsed="false">
      <c r="E606" s="34" t="str">
        <f aca="false">MID(B606,9,1)</f>
        <v/>
      </c>
      <c r="F606" s="34" t="str">
        <f aca="false">MID(B606,10,1)</f>
        <v/>
      </c>
      <c r="G606" s="34" t="str">
        <f aca="false">MID(B606,11,1)</f>
        <v/>
      </c>
      <c r="H606" s="35" t="str">
        <f aca="false">IF(G606=".",F606,CONCATENATE(F606,G606))</f>
        <v/>
      </c>
      <c r="I606" s="34" t="n">
        <f aca="false">IFERROR(VALUE(H606),)</f>
        <v>0</v>
      </c>
      <c r="J606" s="34" t="e">
        <f aca="false">RIGHT(B606,LEN(B606)-FIND("/",B606, FIND("Single Cells",B606, 1)))</f>
        <v>#VALUE!</v>
      </c>
    </row>
    <row r="607" customFormat="false" ht="12.75" hidden="false" customHeight="false" outlineLevel="0" collapsed="false">
      <c r="E607" s="34" t="str">
        <f aca="false">MID(B607,9,1)</f>
        <v/>
      </c>
      <c r="F607" s="34" t="str">
        <f aca="false">MID(B607,10,1)</f>
        <v/>
      </c>
      <c r="G607" s="34" t="str">
        <f aca="false">MID(B607,11,1)</f>
        <v/>
      </c>
      <c r="H607" s="35" t="str">
        <f aca="false">IF(G607=".",F607,CONCATENATE(F607,G607))</f>
        <v/>
      </c>
      <c r="I607" s="34" t="n">
        <f aca="false">IFERROR(VALUE(H607),)</f>
        <v>0</v>
      </c>
      <c r="J607" s="34" t="e">
        <f aca="false">RIGHT(B607,LEN(B607)-FIND("/",B607, FIND("Single Cells",B607, 1)))</f>
        <v>#VALUE!</v>
      </c>
    </row>
    <row r="608" customFormat="false" ht="12.75" hidden="false" customHeight="false" outlineLevel="0" collapsed="false">
      <c r="E608" s="34" t="str">
        <f aca="false">MID(B608,9,1)</f>
        <v/>
      </c>
      <c r="F608" s="34" t="str">
        <f aca="false">MID(B608,10,1)</f>
        <v/>
      </c>
      <c r="G608" s="34" t="str">
        <f aca="false">MID(B608,11,1)</f>
        <v/>
      </c>
      <c r="H608" s="35" t="str">
        <f aca="false">IF(G608=".",F608,CONCATENATE(F608,G608))</f>
        <v/>
      </c>
      <c r="I608" s="34" t="n">
        <f aca="false">IFERROR(VALUE(H608),)</f>
        <v>0</v>
      </c>
      <c r="J608" s="34" t="e">
        <f aca="false">RIGHT(B608,LEN(B608)-FIND("/",B608, FIND("Single Cells",B608, 1)))</f>
        <v>#VALUE!</v>
      </c>
    </row>
    <row r="609" customFormat="false" ht="12.75" hidden="false" customHeight="false" outlineLevel="0" collapsed="false">
      <c r="E609" s="34" t="str">
        <f aca="false">MID(B609,9,1)</f>
        <v/>
      </c>
      <c r="F609" s="34" t="str">
        <f aca="false">MID(B609,10,1)</f>
        <v/>
      </c>
      <c r="G609" s="34" t="str">
        <f aca="false">MID(B609,11,1)</f>
        <v/>
      </c>
      <c r="H609" s="35" t="str">
        <f aca="false">IF(G609=".",F609,CONCATENATE(F609,G609))</f>
        <v/>
      </c>
      <c r="I609" s="34" t="n">
        <f aca="false">IFERROR(VALUE(H609),)</f>
        <v>0</v>
      </c>
      <c r="J609" s="34" t="e">
        <f aca="false">RIGHT(B609,LEN(B609)-FIND("/",B609, FIND("Single Cells",B609, 1)))</f>
        <v>#VALUE!</v>
      </c>
    </row>
    <row r="610" customFormat="false" ht="12.75" hidden="false" customHeight="false" outlineLevel="0" collapsed="false">
      <c r="E610" s="34" t="str">
        <f aca="false">MID(B610,9,1)</f>
        <v/>
      </c>
      <c r="F610" s="34" t="str">
        <f aca="false">MID(B610,10,1)</f>
        <v/>
      </c>
      <c r="G610" s="34" t="str">
        <f aca="false">MID(B610,11,1)</f>
        <v/>
      </c>
      <c r="H610" s="35" t="str">
        <f aca="false">IF(G610=".",F610,CONCATENATE(F610,G610))</f>
        <v/>
      </c>
      <c r="I610" s="34" t="n">
        <f aca="false">IFERROR(VALUE(H610),)</f>
        <v>0</v>
      </c>
      <c r="J610" s="34" t="e">
        <f aca="false">RIGHT(B610,LEN(B610)-FIND("/",B610, FIND("Single Cells",B610, 1)))</f>
        <v>#VALUE!</v>
      </c>
    </row>
    <row r="611" customFormat="false" ht="12.75" hidden="false" customHeight="false" outlineLevel="0" collapsed="false">
      <c r="E611" s="34" t="str">
        <f aca="false">MID(B611,9,1)</f>
        <v/>
      </c>
      <c r="F611" s="34" t="str">
        <f aca="false">MID(B611,10,1)</f>
        <v/>
      </c>
      <c r="G611" s="34" t="str">
        <f aca="false">MID(B611,11,1)</f>
        <v/>
      </c>
      <c r="H611" s="35" t="str">
        <f aca="false">IF(G611=".",F611,CONCATENATE(F611,G611))</f>
        <v/>
      </c>
      <c r="I611" s="34" t="n">
        <f aca="false">IFERROR(VALUE(H611),)</f>
        <v>0</v>
      </c>
      <c r="J611" s="34" t="e">
        <f aca="false">RIGHT(B611,LEN(B611)-FIND("/",B611, FIND("Single Cells",B611, 1)))</f>
        <v>#VALUE!</v>
      </c>
    </row>
    <row r="612" customFormat="false" ht="12.75" hidden="false" customHeight="false" outlineLevel="0" collapsed="false">
      <c r="E612" s="34" t="str">
        <f aca="false">MID(B612,9,1)</f>
        <v/>
      </c>
      <c r="F612" s="34" t="str">
        <f aca="false">MID(B612,10,1)</f>
        <v/>
      </c>
      <c r="G612" s="34" t="str">
        <f aca="false">MID(B612,11,1)</f>
        <v/>
      </c>
      <c r="H612" s="35" t="str">
        <f aca="false">IF(G612=".",F612,CONCATENATE(F612,G612))</f>
        <v/>
      </c>
      <c r="I612" s="34" t="n">
        <f aca="false">IFERROR(VALUE(H612),)</f>
        <v>0</v>
      </c>
      <c r="J612" s="34" t="e">
        <f aca="false">RIGHT(B612,LEN(B612)-FIND("/",B612, FIND("Single Cells",B612, 1)))</f>
        <v>#VALUE!</v>
      </c>
    </row>
    <row r="613" customFormat="false" ht="12.75" hidden="false" customHeight="false" outlineLevel="0" collapsed="false">
      <c r="E613" s="34" t="str">
        <f aca="false">MID(B613,9,1)</f>
        <v/>
      </c>
      <c r="F613" s="34" t="str">
        <f aca="false">MID(B613,10,1)</f>
        <v/>
      </c>
      <c r="G613" s="34" t="str">
        <f aca="false">MID(B613,11,1)</f>
        <v/>
      </c>
      <c r="H613" s="35" t="str">
        <f aca="false">IF(G613=".",F613,CONCATENATE(F613,G613))</f>
        <v/>
      </c>
      <c r="I613" s="34" t="n">
        <f aca="false">IFERROR(VALUE(H613),)</f>
        <v>0</v>
      </c>
      <c r="J613" s="34" t="e">
        <f aca="false">RIGHT(B613,LEN(B613)-FIND("/",B613, FIND("Single Cells",B613, 1)))</f>
        <v>#VALUE!</v>
      </c>
    </row>
    <row r="614" customFormat="false" ht="12.75" hidden="false" customHeight="false" outlineLevel="0" collapsed="false">
      <c r="E614" s="34" t="str">
        <f aca="false">MID(B614,9,1)</f>
        <v/>
      </c>
      <c r="F614" s="34" t="str">
        <f aca="false">MID(B614,10,1)</f>
        <v/>
      </c>
      <c r="G614" s="34" t="str">
        <f aca="false">MID(B614,11,1)</f>
        <v/>
      </c>
      <c r="H614" s="35" t="str">
        <f aca="false">IF(G614=".",F614,CONCATENATE(F614,G614))</f>
        <v/>
      </c>
      <c r="I614" s="34" t="n">
        <f aca="false">IFERROR(VALUE(H614),)</f>
        <v>0</v>
      </c>
      <c r="J614" s="34" t="e">
        <f aca="false">RIGHT(B614,LEN(B614)-FIND("/",B614, FIND("Single Cells",B614, 1)))</f>
        <v>#VALUE!</v>
      </c>
    </row>
    <row r="615" customFormat="false" ht="12.75" hidden="false" customHeight="false" outlineLevel="0" collapsed="false">
      <c r="E615" s="34" t="str">
        <f aca="false">MID(B615,9,1)</f>
        <v/>
      </c>
      <c r="F615" s="34" t="str">
        <f aca="false">MID(B615,10,1)</f>
        <v/>
      </c>
      <c r="G615" s="34" t="str">
        <f aca="false">MID(B615,11,1)</f>
        <v/>
      </c>
      <c r="H615" s="35" t="str">
        <f aca="false">IF(G615=".",F615,CONCATENATE(F615,G615))</f>
        <v/>
      </c>
      <c r="I615" s="34" t="n">
        <f aca="false">IFERROR(VALUE(H615),)</f>
        <v>0</v>
      </c>
      <c r="J615" s="34" t="e">
        <f aca="false">RIGHT(B615,LEN(B615)-FIND("/",B615, FIND("Single Cells",B615, 1)))</f>
        <v>#VALUE!</v>
      </c>
    </row>
    <row r="616" customFormat="false" ht="12.75" hidden="false" customHeight="false" outlineLevel="0" collapsed="false">
      <c r="E616" s="34" t="str">
        <f aca="false">MID(B616,9,1)</f>
        <v/>
      </c>
      <c r="F616" s="34" t="str">
        <f aca="false">MID(B616,10,1)</f>
        <v/>
      </c>
      <c r="G616" s="34" t="str">
        <f aca="false">MID(B616,11,1)</f>
        <v/>
      </c>
      <c r="H616" s="35" t="str">
        <f aca="false">IF(G616=".",F616,CONCATENATE(F616,G616))</f>
        <v/>
      </c>
      <c r="I616" s="34" t="n">
        <f aca="false">IFERROR(VALUE(H616),)</f>
        <v>0</v>
      </c>
      <c r="J616" s="34" t="e">
        <f aca="false">RIGHT(B616,LEN(B616)-FIND("/",B616, FIND("Single Cells",B616, 1)))</f>
        <v>#VALUE!</v>
      </c>
    </row>
    <row r="617" customFormat="false" ht="12.75" hidden="false" customHeight="false" outlineLevel="0" collapsed="false">
      <c r="E617" s="34" t="str">
        <f aca="false">MID(B617,9,1)</f>
        <v/>
      </c>
      <c r="F617" s="34" t="str">
        <f aca="false">MID(B617,10,1)</f>
        <v/>
      </c>
      <c r="G617" s="34" t="str">
        <f aca="false">MID(B617,11,1)</f>
        <v/>
      </c>
      <c r="H617" s="35" t="str">
        <f aca="false">IF(G617=".",F617,CONCATENATE(F617,G617))</f>
        <v/>
      </c>
      <c r="I617" s="34" t="n">
        <f aca="false">IFERROR(VALUE(H617),)</f>
        <v>0</v>
      </c>
      <c r="J617" s="34" t="e">
        <f aca="false">RIGHT(B617,LEN(B617)-FIND("/",B617, FIND("Single Cells",B617, 1)))</f>
        <v>#VALUE!</v>
      </c>
    </row>
    <row r="618" customFormat="false" ht="12.75" hidden="false" customHeight="false" outlineLevel="0" collapsed="false">
      <c r="E618" s="34" t="str">
        <f aca="false">MID(B618,9,1)</f>
        <v/>
      </c>
      <c r="F618" s="34" t="str">
        <f aca="false">MID(B618,10,1)</f>
        <v/>
      </c>
      <c r="G618" s="34" t="str">
        <f aca="false">MID(B618,11,1)</f>
        <v/>
      </c>
      <c r="H618" s="35" t="str">
        <f aca="false">IF(G618=".",F618,CONCATENATE(F618,G618))</f>
        <v/>
      </c>
      <c r="I618" s="34" t="n">
        <f aca="false">IFERROR(VALUE(H618),)</f>
        <v>0</v>
      </c>
      <c r="J618" s="34" t="e">
        <f aca="false">RIGHT(B618,LEN(B618)-FIND("/",B618, FIND("Single Cells",B618, 1)))</f>
        <v>#VALUE!</v>
      </c>
    </row>
    <row r="619" customFormat="false" ht="12.75" hidden="false" customHeight="false" outlineLevel="0" collapsed="false">
      <c r="E619" s="34" t="str">
        <f aca="false">MID(B619,9,1)</f>
        <v/>
      </c>
      <c r="F619" s="34" t="str">
        <f aca="false">MID(B619,10,1)</f>
        <v/>
      </c>
      <c r="G619" s="34" t="str">
        <f aca="false">MID(B619,11,1)</f>
        <v/>
      </c>
      <c r="H619" s="35" t="str">
        <f aca="false">IF(G619=".",F619,CONCATENATE(F619,G619))</f>
        <v/>
      </c>
      <c r="I619" s="34" t="n">
        <f aca="false">IFERROR(VALUE(H619),)</f>
        <v>0</v>
      </c>
      <c r="J619" s="34" t="e">
        <f aca="false">RIGHT(B619,LEN(B619)-FIND("/",B619, FIND("Single Cells",B619, 1)))</f>
        <v>#VALUE!</v>
      </c>
    </row>
    <row r="620" customFormat="false" ht="12.75" hidden="false" customHeight="false" outlineLevel="0" collapsed="false">
      <c r="E620" s="34" t="str">
        <f aca="false">MID(B620,9,1)</f>
        <v/>
      </c>
      <c r="F620" s="34" t="str">
        <f aca="false">MID(B620,10,1)</f>
        <v/>
      </c>
      <c r="G620" s="34" t="str">
        <f aca="false">MID(B620,11,1)</f>
        <v/>
      </c>
      <c r="H620" s="35" t="str">
        <f aca="false">IF(G620=".",F620,CONCATENATE(F620,G620))</f>
        <v/>
      </c>
      <c r="I620" s="34" t="n">
        <f aca="false">IFERROR(VALUE(H620),)</f>
        <v>0</v>
      </c>
      <c r="J620" s="34" t="e">
        <f aca="false">RIGHT(B620,LEN(B620)-FIND("/",B620, FIND("Single Cells",B620, 1)))</f>
        <v>#VALUE!</v>
      </c>
    </row>
    <row r="621" customFormat="false" ht="12.75" hidden="false" customHeight="false" outlineLevel="0" collapsed="false">
      <c r="E621" s="34" t="str">
        <f aca="false">MID(B621,9,1)</f>
        <v/>
      </c>
      <c r="F621" s="34" t="str">
        <f aca="false">MID(B621,10,1)</f>
        <v/>
      </c>
      <c r="G621" s="34" t="str">
        <f aca="false">MID(B621,11,1)</f>
        <v/>
      </c>
      <c r="H621" s="35" t="str">
        <f aca="false">IF(G621=".",F621,CONCATENATE(F621,G621))</f>
        <v/>
      </c>
      <c r="I621" s="34" t="n">
        <f aca="false">IFERROR(VALUE(H621),)</f>
        <v>0</v>
      </c>
      <c r="J621" s="34" t="e">
        <f aca="false">RIGHT(B621,LEN(B621)-FIND("/",B621, FIND("Single Cells",B621, 1)))</f>
        <v>#VALUE!</v>
      </c>
    </row>
    <row r="622" customFormat="false" ht="12.75" hidden="false" customHeight="false" outlineLevel="0" collapsed="false">
      <c r="E622" s="34" t="str">
        <f aca="false">MID(B622,9,1)</f>
        <v/>
      </c>
      <c r="F622" s="34" t="str">
        <f aca="false">MID(B622,10,1)</f>
        <v/>
      </c>
      <c r="G622" s="34" t="str">
        <f aca="false">MID(B622,11,1)</f>
        <v/>
      </c>
      <c r="H622" s="35" t="str">
        <f aca="false">IF(G622=".",F622,CONCATENATE(F622,G622))</f>
        <v/>
      </c>
      <c r="I622" s="34" t="n">
        <f aca="false">IFERROR(VALUE(H622),)</f>
        <v>0</v>
      </c>
      <c r="J622" s="34" t="e">
        <f aca="false">RIGHT(B622,LEN(B622)-FIND("/",B622, FIND("Single Cells",B622, 1)))</f>
        <v>#VALUE!</v>
      </c>
    </row>
    <row r="623" customFormat="false" ht="12.75" hidden="false" customHeight="false" outlineLevel="0" collapsed="false">
      <c r="E623" s="34" t="str">
        <f aca="false">MID(B623,9,1)</f>
        <v/>
      </c>
      <c r="F623" s="34" t="str">
        <f aca="false">MID(B623,10,1)</f>
        <v/>
      </c>
      <c r="G623" s="34" t="str">
        <f aca="false">MID(B623,11,1)</f>
        <v/>
      </c>
      <c r="H623" s="35" t="str">
        <f aca="false">IF(G623=".",F623,CONCATENATE(F623,G623))</f>
        <v/>
      </c>
      <c r="I623" s="34" t="n">
        <f aca="false">IFERROR(VALUE(H623),)</f>
        <v>0</v>
      </c>
      <c r="J623" s="34" t="e">
        <f aca="false">RIGHT(B623,LEN(B623)-FIND("/",B623, FIND("Single Cells",B623, 1)))</f>
        <v>#VALUE!</v>
      </c>
    </row>
    <row r="624" customFormat="false" ht="12.75" hidden="false" customHeight="false" outlineLevel="0" collapsed="false">
      <c r="E624" s="34" t="str">
        <f aca="false">MID(B624,9,1)</f>
        <v/>
      </c>
      <c r="F624" s="34" t="str">
        <f aca="false">MID(B624,10,1)</f>
        <v/>
      </c>
      <c r="G624" s="34" t="str">
        <f aca="false">MID(B624,11,1)</f>
        <v/>
      </c>
      <c r="H624" s="35" t="str">
        <f aca="false">IF(G624=".",F624,CONCATENATE(F624,G624))</f>
        <v/>
      </c>
      <c r="I624" s="34" t="n">
        <f aca="false">IFERROR(VALUE(H624),)</f>
        <v>0</v>
      </c>
      <c r="J624" s="34" t="e">
        <f aca="false">RIGHT(B624,LEN(B624)-FIND("/",B624, FIND("Single Cells",B624, 1)))</f>
        <v>#VALUE!</v>
      </c>
    </row>
    <row r="625" customFormat="false" ht="12.75" hidden="false" customHeight="false" outlineLevel="0" collapsed="false">
      <c r="E625" s="34" t="str">
        <f aca="false">MID(B625,9,1)</f>
        <v/>
      </c>
      <c r="F625" s="34" t="str">
        <f aca="false">MID(B625,10,1)</f>
        <v/>
      </c>
      <c r="G625" s="34" t="str">
        <f aca="false">MID(B625,11,1)</f>
        <v/>
      </c>
      <c r="H625" s="35" t="str">
        <f aca="false">IF(G625=".",F625,CONCATENATE(F625,G625))</f>
        <v/>
      </c>
      <c r="I625" s="34" t="n">
        <f aca="false">IFERROR(VALUE(H625),)</f>
        <v>0</v>
      </c>
      <c r="J625" s="34" t="e">
        <f aca="false">RIGHT(B625,LEN(B625)-FIND("/",B625, FIND("Single Cells",B625, 1)))</f>
        <v>#VALUE!</v>
      </c>
    </row>
    <row r="626" customFormat="false" ht="12.75" hidden="false" customHeight="false" outlineLevel="0" collapsed="false">
      <c r="E626" s="34" t="str">
        <f aca="false">MID(B626,9,1)</f>
        <v/>
      </c>
      <c r="F626" s="34" t="str">
        <f aca="false">MID(B626,10,1)</f>
        <v/>
      </c>
      <c r="G626" s="34" t="str">
        <f aca="false">MID(B626,11,1)</f>
        <v/>
      </c>
      <c r="H626" s="35" t="str">
        <f aca="false">IF(G626=".",F626,CONCATENATE(F626,G626))</f>
        <v/>
      </c>
      <c r="I626" s="34" t="n">
        <f aca="false">IFERROR(VALUE(H626),)</f>
        <v>0</v>
      </c>
      <c r="J626" s="34" t="e">
        <f aca="false">RIGHT(B626,LEN(B626)-FIND("/",B626, FIND("Single Cells",B626, 1)))</f>
        <v>#VALUE!</v>
      </c>
    </row>
    <row r="627" customFormat="false" ht="12.75" hidden="false" customHeight="false" outlineLevel="0" collapsed="false">
      <c r="E627" s="34" t="str">
        <f aca="false">MID(B627,9,1)</f>
        <v/>
      </c>
      <c r="F627" s="34" t="str">
        <f aca="false">MID(B627,10,1)</f>
        <v/>
      </c>
      <c r="G627" s="34" t="str">
        <f aca="false">MID(B627,11,1)</f>
        <v/>
      </c>
      <c r="H627" s="35" t="str">
        <f aca="false">IF(G627=".",F627,CONCATENATE(F627,G627))</f>
        <v/>
      </c>
      <c r="I627" s="34" t="n">
        <f aca="false">IFERROR(VALUE(H627),)</f>
        <v>0</v>
      </c>
      <c r="J627" s="34" t="e">
        <f aca="false">RIGHT(B627,LEN(B627)-FIND("/",B627, FIND("Single Cells",B627, 1)))</f>
        <v>#VALUE!</v>
      </c>
    </row>
    <row r="628" customFormat="false" ht="12.75" hidden="false" customHeight="false" outlineLevel="0" collapsed="false">
      <c r="E628" s="34" t="str">
        <f aca="false">MID(B628,9,1)</f>
        <v/>
      </c>
      <c r="F628" s="34" t="str">
        <f aca="false">MID(B628,10,1)</f>
        <v/>
      </c>
      <c r="G628" s="34" t="str">
        <f aca="false">MID(B628,11,1)</f>
        <v/>
      </c>
      <c r="H628" s="35" t="str">
        <f aca="false">IF(G628=".",F628,CONCATENATE(F628,G628))</f>
        <v/>
      </c>
      <c r="I628" s="34" t="n">
        <f aca="false">IFERROR(VALUE(H628),)</f>
        <v>0</v>
      </c>
      <c r="J628" s="34" t="e">
        <f aca="false">RIGHT(B628,LEN(B628)-FIND("/",B628, FIND("Single Cells",B628, 1)))</f>
        <v>#VALUE!</v>
      </c>
    </row>
    <row r="629" customFormat="false" ht="12.75" hidden="false" customHeight="false" outlineLevel="0" collapsed="false">
      <c r="E629" s="34" t="str">
        <f aca="false">MID(B629,9,1)</f>
        <v/>
      </c>
      <c r="F629" s="34" t="str">
        <f aca="false">MID(B629,10,1)</f>
        <v/>
      </c>
      <c r="G629" s="34" t="str">
        <f aca="false">MID(B629,11,1)</f>
        <v/>
      </c>
      <c r="H629" s="35" t="str">
        <f aca="false">IF(G629=".",F629,CONCATENATE(F629,G629))</f>
        <v/>
      </c>
      <c r="I629" s="34" t="n">
        <f aca="false">IFERROR(VALUE(H629),)</f>
        <v>0</v>
      </c>
      <c r="J629" s="34" t="e">
        <f aca="false">RIGHT(B629,LEN(B629)-FIND("/",B629, FIND("Single Cells",B629, 1)))</f>
        <v>#VALUE!</v>
      </c>
    </row>
    <row r="630" customFormat="false" ht="12.75" hidden="false" customHeight="false" outlineLevel="0" collapsed="false">
      <c r="E630" s="34" t="str">
        <f aca="false">MID(B630,9,1)</f>
        <v/>
      </c>
      <c r="F630" s="34" t="str">
        <f aca="false">MID(B630,10,1)</f>
        <v/>
      </c>
      <c r="G630" s="34" t="str">
        <f aca="false">MID(B630,11,1)</f>
        <v/>
      </c>
      <c r="H630" s="35" t="str">
        <f aca="false">IF(G630=".",F630,CONCATENATE(F630,G630))</f>
        <v/>
      </c>
      <c r="I630" s="34" t="n">
        <f aca="false">IFERROR(VALUE(H630),)</f>
        <v>0</v>
      </c>
      <c r="J630" s="34" t="e">
        <f aca="false">RIGHT(B630,LEN(B630)-FIND("/",B630, FIND("Single Cells",B630, 1)))</f>
        <v>#VALUE!</v>
      </c>
    </row>
    <row r="631" customFormat="false" ht="12.75" hidden="false" customHeight="false" outlineLevel="0" collapsed="false">
      <c r="E631" s="34" t="str">
        <f aca="false">MID(B631,9,1)</f>
        <v/>
      </c>
      <c r="F631" s="34" t="str">
        <f aca="false">MID(B631,10,1)</f>
        <v/>
      </c>
      <c r="G631" s="34" t="str">
        <f aca="false">MID(B631,11,1)</f>
        <v/>
      </c>
      <c r="H631" s="35" t="str">
        <f aca="false">IF(G631=".",F631,CONCATENATE(F631,G631))</f>
        <v/>
      </c>
      <c r="I631" s="34" t="n">
        <f aca="false">IFERROR(VALUE(H631),)</f>
        <v>0</v>
      </c>
      <c r="J631" s="34" t="e">
        <f aca="false">RIGHT(B631,LEN(B631)-FIND("/",B631, FIND("Single Cells",B631, 1)))</f>
        <v>#VALUE!</v>
      </c>
    </row>
    <row r="632" customFormat="false" ht="12.75" hidden="false" customHeight="false" outlineLevel="0" collapsed="false">
      <c r="E632" s="34" t="str">
        <f aca="false">MID(B632,9,1)</f>
        <v/>
      </c>
      <c r="F632" s="34" t="str">
        <f aca="false">MID(B632,10,1)</f>
        <v/>
      </c>
      <c r="G632" s="34" t="str">
        <f aca="false">MID(B632,11,1)</f>
        <v/>
      </c>
      <c r="H632" s="35" t="str">
        <f aca="false">IF(G632=".",F632,CONCATENATE(F632,G632))</f>
        <v/>
      </c>
      <c r="I632" s="34" t="n">
        <f aca="false">IFERROR(VALUE(H632),)</f>
        <v>0</v>
      </c>
      <c r="J632" s="34" t="e">
        <f aca="false">RIGHT(B632,LEN(B632)-FIND("/",B632, FIND("Single Cells",B632, 1)))</f>
        <v>#VALUE!</v>
      </c>
    </row>
    <row r="633" customFormat="false" ht="12.75" hidden="false" customHeight="false" outlineLevel="0" collapsed="false">
      <c r="E633" s="34" t="str">
        <f aca="false">MID(B633,9,1)</f>
        <v/>
      </c>
      <c r="F633" s="34" t="str">
        <f aca="false">MID(B633,10,1)</f>
        <v/>
      </c>
      <c r="G633" s="34" t="str">
        <f aca="false">MID(B633,11,1)</f>
        <v/>
      </c>
      <c r="H633" s="35" t="str">
        <f aca="false">IF(G633=".",F633,CONCATENATE(F633,G633))</f>
        <v/>
      </c>
      <c r="I633" s="34" t="n">
        <f aca="false">IFERROR(VALUE(H633),)</f>
        <v>0</v>
      </c>
      <c r="J633" s="34" t="e">
        <f aca="false">RIGHT(B633,LEN(B633)-FIND("/",B633, FIND("Single Cells",B633, 1)))</f>
        <v>#VALUE!</v>
      </c>
    </row>
    <row r="634" customFormat="false" ht="12.75" hidden="false" customHeight="false" outlineLevel="0" collapsed="false">
      <c r="E634" s="34" t="str">
        <f aca="false">MID(B634,9,1)</f>
        <v/>
      </c>
      <c r="F634" s="34" t="str">
        <f aca="false">MID(B634,10,1)</f>
        <v/>
      </c>
      <c r="G634" s="34" t="str">
        <f aca="false">MID(B634,11,1)</f>
        <v/>
      </c>
      <c r="H634" s="35" t="str">
        <f aca="false">IF(G634=".",F634,CONCATENATE(F634,G634))</f>
        <v/>
      </c>
      <c r="I634" s="34" t="n">
        <f aca="false">IFERROR(VALUE(H634),)</f>
        <v>0</v>
      </c>
      <c r="J634" s="34" t="e">
        <f aca="false">RIGHT(B634,LEN(B634)-FIND("/",B634, FIND("Single Cells",B634, 1)))</f>
        <v>#VALUE!</v>
      </c>
    </row>
    <row r="635" customFormat="false" ht="12.75" hidden="false" customHeight="false" outlineLevel="0" collapsed="false">
      <c r="E635" s="34" t="str">
        <f aca="false">MID(B635,9,1)</f>
        <v/>
      </c>
      <c r="F635" s="34" t="str">
        <f aca="false">MID(B635,10,1)</f>
        <v/>
      </c>
      <c r="G635" s="34" t="str">
        <f aca="false">MID(B635,11,1)</f>
        <v/>
      </c>
      <c r="H635" s="35" t="str">
        <f aca="false">IF(G635=".",F635,CONCATENATE(F635,G635))</f>
        <v/>
      </c>
      <c r="I635" s="34" t="n">
        <f aca="false">IFERROR(VALUE(H635),)</f>
        <v>0</v>
      </c>
      <c r="J635" s="34" t="e">
        <f aca="false">RIGHT(B635,LEN(B635)-FIND("/",B635, FIND("Single Cells",B635, 1)))</f>
        <v>#VALUE!</v>
      </c>
    </row>
    <row r="636" customFormat="false" ht="12.75" hidden="false" customHeight="false" outlineLevel="0" collapsed="false">
      <c r="E636" s="34" t="str">
        <f aca="false">MID(B636,9,1)</f>
        <v/>
      </c>
      <c r="F636" s="34" t="str">
        <f aca="false">MID(B636,10,1)</f>
        <v/>
      </c>
      <c r="G636" s="34" t="str">
        <f aca="false">MID(B636,11,1)</f>
        <v/>
      </c>
      <c r="H636" s="35" t="str">
        <f aca="false">IF(G636=".",F636,CONCATENATE(F636,G636))</f>
        <v/>
      </c>
      <c r="I636" s="34" t="n">
        <f aca="false">IFERROR(VALUE(H636),)</f>
        <v>0</v>
      </c>
      <c r="J636" s="34" t="e">
        <f aca="false">RIGHT(B636,LEN(B636)-FIND("/",B636, FIND("Single Cells",B636, 1)))</f>
        <v>#VALUE!</v>
      </c>
    </row>
    <row r="637" customFormat="false" ht="12.75" hidden="false" customHeight="false" outlineLevel="0" collapsed="false">
      <c r="E637" s="34" t="str">
        <f aca="false">MID(B637,9,1)</f>
        <v/>
      </c>
      <c r="F637" s="34" t="str">
        <f aca="false">MID(B637,10,1)</f>
        <v/>
      </c>
      <c r="G637" s="34" t="str">
        <f aca="false">MID(B637,11,1)</f>
        <v/>
      </c>
      <c r="H637" s="35" t="str">
        <f aca="false">IF(G637=".",F637,CONCATENATE(F637,G637))</f>
        <v/>
      </c>
      <c r="I637" s="34" t="n">
        <f aca="false">IFERROR(VALUE(H637),)</f>
        <v>0</v>
      </c>
      <c r="J637" s="34" t="e">
        <f aca="false">RIGHT(B637,LEN(B637)-FIND("/",B637, FIND("Single Cells",B637, 1)))</f>
        <v>#VALUE!</v>
      </c>
    </row>
    <row r="638" customFormat="false" ht="12.75" hidden="false" customHeight="false" outlineLevel="0" collapsed="false">
      <c r="E638" s="34" t="str">
        <f aca="false">MID(B638,9,1)</f>
        <v/>
      </c>
      <c r="F638" s="34" t="str">
        <f aca="false">MID(B638,10,1)</f>
        <v/>
      </c>
      <c r="G638" s="34" t="str">
        <f aca="false">MID(B638,11,1)</f>
        <v/>
      </c>
      <c r="H638" s="35" t="str">
        <f aca="false">IF(G638=".",F638,CONCATENATE(F638,G638))</f>
        <v/>
      </c>
      <c r="I638" s="34" t="n">
        <f aca="false">IFERROR(VALUE(H638),)</f>
        <v>0</v>
      </c>
      <c r="J638" s="34" t="e">
        <f aca="false">RIGHT(B638,LEN(B638)-FIND("/",B638, FIND("Single Cells",B638, 1)))</f>
        <v>#VALUE!</v>
      </c>
    </row>
    <row r="639" customFormat="false" ht="12.75" hidden="false" customHeight="false" outlineLevel="0" collapsed="false">
      <c r="E639" s="34" t="str">
        <f aca="false">MID(B639,9,1)</f>
        <v/>
      </c>
      <c r="F639" s="34" t="str">
        <f aca="false">MID(B639,10,1)</f>
        <v/>
      </c>
      <c r="G639" s="34" t="str">
        <f aca="false">MID(B639,11,1)</f>
        <v/>
      </c>
      <c r="H639" s="35" t="str">
        <f aca="false">IF(G639=".",F639,CONCATENATE(F639,G639))</f>
        <v/>
      </c>
      <c r="I639" s="34" t="n">
        <f aca="false">IFERROR(VALUE(H639),)</f>
        <v>0</v>
      </c>
      <c r="J639" s="34" t="e">
        <f aca="false">RIGHT(B639,LEN(B639)-FIND("/",B639, FIND("Single Cells",B639, 1)))</f>
        <v>#VALUE!</v>
      </c>
    </row>
    <row r="640" customFormat="false" ht="12.75" hidden="false" customHeight="false" outlineLevel="0" collapsed="false">
      <c r="E640" s="34" t="str">
        <f aca="false">MID(B640,9,1)</f>
        <v/>
      </c>
      <c r="F640" s="34" t="str">
        <f aca="false">MID(B640,10,1)</f>
        <v/>
      </c>
      <c r="G640" s="34" t="str">
        <f aca="false">MID(B640,11,1)</f>
        <v/>
      </c>
      <c r="H640" s="35" t="str">
        <f aca="false">IF(G640=".",F640,CONCATENATE(F640,G640))</f>
        <v/>
      </c>
      <c r="I640" s="34" t="n">
        <f aca="false">IFERROR(VALUE(H640),)</f>
        <v>0</v>
      </c>
      <c r="J640" s="34" t="e">
        <f aca="false">RIGHT(B640,LEN(B640)-FIND("/",B640, FIND("Single Cells",B640, 1)))</f>
        <v>#VALUE!</v>
      </c>
    </row>
    <row r="641" customFormat="false" ht="12.75" hidden="false" customHeight="false" outlineLevel="0" collapsed="false">
      <c r="E641" s="34" t="str">
        <f aca="false">MID(B641,9,1)</f>
        <v/>
      </c>
      <c r="F641" s="34" t="str">
        <f aca="false">MID(B641,10,1)</f>
        <v/>
      </c>
      <c r="G641" s="34" t="str">
        <f aca="false">MID(B641,11,1)</f>
        <v/>
      </c>
      <c r="H641" s="35" t="str">
        <f aca="false">IF(G641=".",F641,CONCATENATE(F641,G641))</f>
        <v/>
      </c>
      <c r="I641" s="34" t="n">
        <f aca="false">IFERROR(VALUE(H641),)</f>
        <v>0</v>
      </c>
      <c r="J641" s="34" t="e">
        <f aca="false">RIGHT(B641,LEN(B641)-FIND("/",B641, FIND("Single Cells",B641, 1)))</f>
        <v>#VALUE!</v>
      </c>
    </row>
    <row r="642" customFormat="false" ht="12.75" hidden="false" customHeight="false" outlineLevel="0" collapsed="false">
      <c r="E642" s="34" t="str">
        <f aca="false">MID(B642,9,1)</f>
        <v/>
      </c>
      <c r="F642" s="34" t="str">
        <f aca="false">MID(B642,10,1)</f>
        <v/>
      </c>
      <c r="G642" s="34" t="str">
        <f aca="false">MID(B642,11,1)</f>
        <v/>
      </c>
      <c r="H642" s="35" t="str">
        <f aca="false">IF(G642=".",F642,CONCATENATE(F642,G642))</f>
        <v/>
      </c>
      <c r="I642" s="34" t="n">
        <f aca="false">IFERROR(VALUE(H642),)</f>
        <v>0</v>
      </c>
      <c r="J642" s="34" t="e">
        <f aca="false">RIGHT(B642,LEN(B642)-FIND("/",B642, FIND("Single Cells",B642, 1)))</f>
        <v>#VALUE!</v>
      </c>
    </row>
    <row r="643" customFormat="false" ht="12.75" hidden="false" customHeight="false" outlineLevel="0" collapsed="false">
      <c r="E643" s="34" t="str">
        <f aca="false">MID(B643,9,1)</f>
        <v/>
      </c>
      <c r="F643" s="34" t="str">
        <f aca="false">MID(B643,10,1)</f>
        <v/>
      </c>
      <c r="G643" s="34" t="str">
        <f aca="false">MID(B643,11,1)</f>
        <v/>
      </c>
      <c r="H643" s="35" t="str">
        <f aca="false">IF(G643=".",F643,CONCATENATE(F643,G643))</f>
        <v/>
      </c>
      <c r="I643" s="34" t="n">
        <f aca="false">IFERROR(VALUE(H643),)</f>
        <v>0</v>
      </c>
      <c r="J643" s="34" t="e">
        <f aca="false">RIGHT(B643,LEN(B643)-FIND("/",B643, FIND("Single Cells",B643, 1)))</f>
        <v>#VALUE!</v>
      </c>
    </row>
    <row r="644" customFormat="false" ht="12.75" hidden="false" customHeight="false" outlineLevel="0" collapsed="false">
      <c r="E644" s="34" t="str">
        <f aca="false">MID(B644,9,1)</f>
        <v/>
      </c>
      <c r="F644" s="34" t="str">
        <f aca="false">MID(B644,10,1)</f>
        <v/>
      </c>
      <c r="G644" s="34" t="str">
        <f aca="false">MID(B644,11,1)</f>
        <v/>
      </c>
      <c r="H644" s="35" t="str">
        <f aca="false">IF(G644=".",F644,CONCATENATE(F644,G644))</f>
        <v/>
      </c>
      <c r="I644" s="34" t="n">
        <f aca="false">IFERROR(VALUE(H644),)</f>
        <v>0</v>
      </c>
      <c r="J644" s="34" t="e">
        <f aca="false">RIGHT(B644,LEN(B644)-FIND("/",B644, FIND("Single Cells",B644, 1)))</f>
        <v>#VALUE!</v>
      </c>
    </row>
    <row r="645" customFormat="false" ht="12.75" hidden="false" customHeight="false" outlineLevel="0" collapsed="false">
      <c r="E645" s="34" t="str">
        <f aca="false">MID(B645,9,1)</f>
        <v/>
      </c>
      <c r="F645" s="34" t="str">
        <f aca="false">MID(B645,10,1)</f>
        <v/>
      </c>
      <c r="G645" s="34" t="str">
        <f aca="false">MID(B645,11,1)</f>
        <v/>
      </c>
      <c r="H645" s="35" t="str">
        <f aca="false">IF(G645=".",F645,CONCATENATE(F645,G645))</f>
        <v/>
      </c>
      <c r="I645" s="34" t="n">
        <f aca="false">IFERROR(VALUE(H645),)</f>
        <v>0</v>
      </c>
      <c r="J645" s="34" t="e">
        <f aca="false">RIGHT(B645,LEN(B645)-FIND("/",B645, FIND("Single Cells",B645, 1)))</f>
        <v>#VALUE!</v>
      </c>
    </row>
    <row r="646" customFormat="false" ht="12.75" hidden="false" customHeight="false" outlineLevel="0" collapsed="false">
      <c r="E646" s="34" t="str">
        <f aca="false">MID(B646,9,1)</f>
        <v/>
      </c>
      <c r="F646" s="34" t="str">
        <f aca="false">MID(B646,10,1)</f>
        <v/>
      </c>
      <c r="G646" s="34" t="str">
        <f aca="false">MID(B646,11,1)</f>
        <v/>
      </c>
      <c r="H646" s="35" t="str">
        <f aca="false">IF(G646=".",F646,CONCATENATE(F646,G646))</f>
        <v/>
      </c>
      <c r="I646" s="34" t="n">
        <f aca="false">IFERROR(VALUE(H646),)</f>
        <v>0</v>
      </c>
      <c r="J646" s="34" t="e">
        <f aca="false">RIGHT(B646,LEN(B646)-FIND("/",B646, FIND("Single Cells",B646, 1)))</f>
        <v>#VALUE!</v>
      </c>
    </row>
    <row r="647" customFormat="false" ht="12.75" hidden="false" customHeight="false" outlineLevel="0" collapsed="false">
      <c r="E647" s="34" t="str">
        <f aca="false">MID(B647,9,1)</f>
        <v/>
      </c>
      <c r="F647" s="34" t="str">
        <f aca="false">MID(B647,10,1)</f>
        <v/>
      </c>
      <c r="G647" s="34" t="str">
        <f aca="false">MID(B647,11,1)</f>
        <v/>
      </c>
      <c r="H647" s="35" t="str">
        <f aca="false">IF(G647=".",F647,CONCATENATE(F647,G647))</f>
        <v/>
      </c>
      <c r="I647" s="34" t="n">
        <f aca="false">IFERROR(VALUE(H647),)</f>
        <v>0</v>
      </c>
      <c r="J647" s="34" t="e">
        <f aca="false">RIGHT(B647,LEN(B647)-FIND("/",B647, FIND("Single Cells",B647, 1)))</f>
        <v>#VALUE!</v>
      </c>
    </row>
    <row r="648" customFormat="false" ht="12.75" hidden="false" customHeight="false" outlineLevel="0" collapsed="false">
      <c r="E648" s="34" t="str">
        <f aca="false">MID(B648,9,1)</f>
        <v/>
      </c>
      <c r="F648" s="34" t="str">
        <f aca="false">MID(B648,10,1)</f>
        <v/>
      </c>
      <c r="G648" s="34" t="str">
        <f aca="false">MID(B648,11,1)</f>
        <v/>
      </c>
      <c r="H648" s="35" t="str">
        <f aca="false">IF(G648=".",F648,CONCATENATE(F648,G648))</f>
        <v/>
      </c>
      <c r="I648" s="34" t="n">
        <f aca="false">IFERROR(VALUE(H648),)</f>
        <v>0</v>
      </c>
      <c r="J648" s="34" t="e">
        <f aca="false">RIGHT(B648,LEN(B648)-FIND("/",B648, FIND("Single Cells",B648, 1)))</f>
        <v>#VALUE!</v>
      </c>
    </row>
    <row r="649" customFormat="false" ht="12.75" hidden="false" customHeight="false" outlineLevel="0" collapsed="false">
      <c r="E649" s="34" t="str">
        <f aca="false">MID(B649,9,1)</f>
        <v/>
      </c>
      <c r="F649" s="34" t="str">
        <f aca="false">MID(B649,10,1)</f>
        <v/>
      </c>
      <c r="G649" s="34" t="str">
        <f aca="false">MID(B649,11,1)</f>
        <v/>
      </c>
      <c r="H649" s="35" t="str">
        <f aca="false">IF(G649=".",F649,CONCATENATE(F649,G649))</f>
        <v/>
      </c>
      <c r="I649" s="34" t="n">
        <f aca="false">IFERROR(VALUE(H649),)</f>
        <v>0</v>
      </c>
      <c r="J649" s="34" t="e">
        <f aca="false">RIGHT(B649,LEN(B649)-FIND("/",B649, FIND("Single Cells",B649, 1)))</f>
        <v>#VALUE!</v>
      </c>
    </row>
    <row r="650" customFormat="false" ht="12.75" hidden="false" customHeight="false" outlineLevel="0" collapsed="false">
      <c r="E650" s="34" t="str">
        <f aca="false">MID(B650,9,1)</f>
        <v/>
      </c>
      <c r="F650" s="34" t="str">
        <f aca="false">MID(B650,10,1)</f>
        <v/>
      </c>
      <c r="G650" s="34" t="str">
        <f aca="false">MID(B650,11,1)</f>
        <v/>
      </c>
      <c r="H650" s="35" t="str">
        <f aca="false">IF(G650=".",F650,CONCATENATE(F650,G650))</f>
        <v/>
      </c>
      <c r="I650" s="34" t="n">
        <f aca="false">IFERROR(VALUE(H650),)</f>
        <v>0</v>
      </c>
      <c r="J650" s="34" t="e">
        <f aca="false">RIGHT(B650,LEN(B650)-FIND("/",B650, FIND("Single Cells",B650, 1)))</f>
        <v>#VALUE!</v>
      </c>
    </row>
    <row r="651" customFormat="false" ht="12.75" hidden="false" customHeight="false" outlineLevel="0" collapsed="false">
      <c r="E651" s="34" t="str">
        <f aca="false">MID(B651,9,1)</f>
        <v/>
      </c>
      <c r="F651" s="34" t="str">
        <f aca="false">MID(B651,10,1)</f>
        <v/>
      </c>
      <c r="G651" s="34" t="str">
        <f aca="false">MID(B651,11,1)</f>
        <v/>
      </c>
      <c r="H651" s="35" t="str">
        <f aca="false">IF(G651=".",F651,CONCATENATE(F651,G651))</f>
        <v/>
      </c>
      <c r="I651" s="34" t="n">
        <f aca="false">IFERROR(VALUE(H651),)</f>
        <v>0</v>
      </c>
      <c r="J651" s="34" t="e">
        <f aca="false">RIGHT(B651,LEN(B651)-FIND("/",B651, FIND("Single Cells",B651, 1)))</f>
        <v>#VALUE!</v>
      </c>
    </row>
    <row r="652" customFormat="false" ht="12.75" hidden="false" customHeight="false" outlineLevel="0" collapsed="false">
      <c r="E652" s="34" t="str">
        <f aca="false">MID(B652,9,1)</f>
        <v/>
      </c>
      <c r="F652" s="34" t="str">
        <f aca="false">MID(B652,10,1)</f>
        <v/>
      </c>
      <c r="G652" s="34" t="str">
        <f aca="false">MID(B652,11,1)</f>
        <v/>
      </c>
      <c r="H652" s="35" t="str">
        <f aca="false">IF(G652=".",F652,CONCATENATE(F652,G652))</f>
        <v/>
      </c>
      <c r="I652" s="34" t="n">
        <f aca="false">IFERROR(VALUE(H652),)</f>
        <v>0</v>
      </c>
      <c r="J652" s="34" t="e">
        <f aca="false">RIGHT(B652,LEN(B652)-FIND("/",B652, FIND("Single Cells",B652, 1)))</f>
        <v>#VALUE!</v>
      </c>
    </row>
    <row r="653" customFormat="false" ht="12.75" hidden="false" customHeight="false" outlineLevel="0" collapsed="false">
      <c r="E653" s="34" t="str">
        <f aca="false">MID(B653,9,1)</f>
        <v/>
      </c>
      <c r="F653" s="34" t="str">
        <f aca="false">MID(B653,10,1)</f>
        <v/>
      </c>
      <c r="G653" s="34" t="str">
        <f aca="false">MID(B653,11,1)</f>
        <v/>
      </c>
      <c r="H653" s="35" t="str">
        <f aca="false">IF(G653=".",F653,CONCATENATE(F653,G653))</f>
        <v/>
      </c>
      <c r="I653" s="34" t="n">
        <f aca="false">IFERROR(VALUE(H653),)</f>
        <v>0</v>
      </c>
      <c r="J653" s="34" t="e">
        <f aca="false">RIGHT(B653,LEN(B653)-FIND("/",B653, FIND("Single Cells",B653, 1)))</f>
        <v>#VALUE!</v>
      </c>
    </row>
    <row r="654" customFormat="false" ht="12.75" hidden="false" customHeight="false" outlineLevel="0" collapsed="false">
      <c r="E654" s="34" t="str">
        <f aca="false">MID(B654,9,1)</f>
        <v/>
      </c>
      <c r="F654" s="34" t="str">
        <f aca="false">MID(B654,10,1)</f>
        <v/>
      </c>
      <c r="G654" s="34" t="str">
        <f aca="false">MID(B654,11,1)</f>
        <v/>
      </c>
      <c r="H654" s="35" t="str">
        <f aca="false">IF(G654=".",F654,CONCATENATE(F654,G654))</f>
        <v/>
      </c>
      <c r="I654" s="34" t="n">
        <f aca="false">IFERROR(VALUE(H654),)</f>
        <v>0</v>
      </c>
      <c r="J654" s="34" t="e">
        <f aca="false">RIGHT(B654,LEN(B654)-FIND("/",B654, FIND("Single Cells",B654, 1)))</f>
        <v>#VALUE!</v>
      </c>
    </row>
    <row r="655" customFormat="false" ht="12.75" hidden="false" customHeight="false" outlineLevel="0" collapsed="false">
      <c r="E655" s="34" t="str">
        <f aca="false">MID(B655,9,1)</f>
        <v/>
      </c>
      <c r="F655" s="34" t="str">
        <f aca="false">MID(B655,10,1)</f>
        <v/>
      </c>
      <c r="G655" s="34" t="str">
        <f aca="false">MID(B655,11,1)</f>
        <v/>
      </c>
      <c r="H655" s="35" t="str">
        <f aca="false">IF(G655=".",F655,CONCATENATE(F655,G655))</f>
        <v/>
      </c>
      <c r="I655" s="34" t="n">
        <f aca="false">IFERROR(VALUE(H655),)</f>
        <v>0</v>
      </c>
      <c r="J655" s="34" t="e">
        <f aca="false">RIGHT(B655,LEN(B655)-FIND("/",B655, FIND("Single Cells",B655, 1)))</f>
        <v>#VALUE!</v>
      </c>
    </row>
    <row r="656" customFormat="false" ht="12.75" hidden="false" customHeight="false" outlineLevel="0" collapsed="false">
      <c r="E656" s="34" t="str">
        <f aca="false">MID(B656,9,1)</f>
        <v/>
      </c>
      <c r="F656" s="34" t="str">
        <f aca="false">MID(B656,10,1)</f>
        <v/>
      </c>
      <c r="G656" s="34" t="str">
        <f aca="false">MID(B656,11,1)</f>
        <v/>
      </c>
      <c r="H656" s="35" t="str">
        <f aca="false">IF(G656=".",F656,CONCATENATE(F656,G656))</f>
        <v/>
      </c>
      <c r="I656" s="34" t="n">
        <f aca="false">IFERROR(VALUE(H656),)</f>
        <v>0</v>
      </c>
      <c r="J656" s="34" t="e">
        <f aca="false">RIGHT(B656,LEN(B656)-FIND("/",B656, FIND("Single Cells",B656, 1)))</f>
        <v>#VALUE!</v>
      </c>
    </row>
    <row r="657" customFormat="false" ht="12.75" hidden="false" customHeight="false" outlineLevel="0" collapsed="false">
      <c r="E657" s="34" t="str">
        <f aca="false">MID(B657,9,1)</f>
        <v/>
      </c>
      <c r="F657" s="34" t="str">
        <f aca="false">MID(B657,10,1)</f>
        <v/>
      </c>
      <c r="G657" s="34" t="str">
        <f aca="false">MID(B657,11,1)</f>
        <v/>
      </c>
      <c r="H657" s="35" t="str">
        <f aca="false">IF(G657=".",F657,CONCATENATE(F657,G657))</f>
        <v/>
      </c>
      <c r="I657" s="34" t="n">
        <f aca="false">IFERROR(VALUE(H657),)</f>
        <v>0</v>
      </c>
      <c r="J657" s="34" t="e">
        <f aca="false">RIGHT(B657,LEN(B657)-FIND("/",B657, FIND("Single Cells",B657, 1)))</f>
        <v>#VALUE!</v>
      </c>
    </row>
    <row r="658" customFormat="false" ht="12.75" hidden="false" customHeight="false" outlineLevel="0" collapsed="false">
      <c r="E658" s="34" t="str">
        <f aca="false">MID(B658,9,1)</f>
        <v/>
      </c>
      <c r="F658" s="34" t="str">
        <f aca="false">MID(B658,10,1)</f>
        <v/>
      </c>
      <c r="G658" s="34" t="str">
        <f aca="false">MID(B658,11,1)</f>
        <v/>
      </c>
      <c r="H658" s="35" t="str">
        <f aca="false">IF(G658=".",F658,CONCATENATE(F658,G658))</f>
        <v/>
      </c>
      <c r="I658" s="34" t="n">
        <f aca="false">IFERROR(VALUE(H658),)</f>
        <v>0</v>
      </c>
      <c r="J658" s="34" t="e">
        <f aca="false">RIGHT(B658,LEN(B658)-FIND("/",B658, FIND("Single Cells",B658, 1)))</f>
        <v>#VALUE!</v>
      </c>
    </row>
    <row r="659" customFormat="false" ht="12.75" hidden="false" customHeight="false" outlineLevel="0" collapsed="false">
      <c r="E659" s="34" t="str">
        <f aca="false">MID(B659,9,1)</f>
        <v/>
      </c>
      <c r="F659" s="34" t="str">
        <f aca="false">MID(B659,10,1)</f>
        <v/>
      </c>
      <c r="G659" s="34" t="str">
        <f aca="false">MID(B659,11,1)</f>
        <v/>
      </c>
      <c r="H659" s="35" t="str">
        <f aca="false">IF(G659=".",F659,CONCATENATE(F659,G659))</f>
        <v/>
      </c>
      <c r="I659" s="34" t="n">
        <f aca="false">IFERROR(VALUE(H659),)</f>
        <v>0</v>
      </c>
      <c r="J659" s="34" t="e">
        <f aca="false">RIGHT(B659,LEN(B659)-FIND("/",B659, FIND("Single Cells",B659, 1)))</f>
        <v>#VALUE!</v>
      </c>
    </row>
    <row r="660" customFormat="false" ht="12.75" hidden="false" customHeight="false" outlineLevel="0" collapsed="false">
      <c r="E660" s="34" t="str">
        <f aca="false">MID(B660,9,1)</f>
        <v/>
      </c>
      <c r="F660" s="34" t="str">
        <f aca="false">MID(B660,10,1)</f>
        <v/>
      </c>
      <c r="G660" s="34" t="str">
        <f aca="false">MID(B660,11,1)</f>
        <v/>
      </c>
      <c r="H660" s="35" t="str">
        <f aca="false">IF(G660=".",F660,CONCATENATE(F660,G660))</f>
        <v/>
      </c>
      <c r="I660" s="34" t="n">
        <f aca="false">IFERROR(VALUE(H660),)</f>
        <v>0</v>
      </c>
      <c r="J660" s="34" t="e">
        <f aca="false">RIGHT(B660,LEN(B660)-FIND("/",B660, FIND("Single Cells",B660, 1)))</f>
        <v>#VALUE!</v>
      </c>
    </row>
    <row r="661" customFormat="false" ht="12.75" hidden="false" customHeight="false" outlineLevel="0" collapsed="false">
      <c r="E661" s="34" t="str">
        <f aca="false">MID(B661,9,1)</f>
        <v/>
      </c>
      <c r="F661" s="34" t="str">
        <f aca="false">MID(B661,10,1)</f>
        <v/>
      </c>
      <c r="G661" s="34" t="str">
        <f aca="false">MID(B661,11,1)</f>
        <v/>
      </c>
      <c r="H661" s="35" t="str">
        <f aca="false">IF(G661=".",F661,CONCATENATE(F661,G661))</f>
        <v/>
      </c>
      <c r="I661" s="34" t="n">
        <f aca="false">IFERROR(VALUE(H661),)</f>
        <v>0</v>
      </c>
      <c r="J661" s="34" t="e">
        <f aca="false">RIGHT(B661,LEN(B661)-FIND("/",B661, FIND("Single Cells",B661, 1)))</f>
        <v>#VALUE!</v>
      </c>
    </row>
    <row r="662" customFormat="false" ht="12.75" hidden="false" customHeight="false" outlineLevel="0" collapsed="false">
      <c r="E662" s="34" t="str">
        <f aca="false">MID(B662,9,1)</f>
        <v/>
      </c>
      <c r="F662" s="34" t="str">
        <f aca="false">MID(B662,10,1)</f>
        <v/>
      </c>
      <c r="G662" s="34" t="str">
        <f aca="false">MID(B662,11,1)</f>
        <v/>
      </c>
      <c r="H662" s="35" t="str">
        <f aca="false">IF(G662=".",F662,CONCATENATE(F662,G662))</f>
        <v/>
      </c>
      <c r="I662" s="34" t="n">
        <f aca="false">IFERROR(VALUE(H662),)</f>
        <v>0</v>
      </c>
      <c r="J662" s="34" t="e">
        <f aca="false">RIGHT(B662,LEN(B662)-FIND("/",B662, FIND("Single Cells",B662, 1)))</f>
        <v>#VALUE!</v>
      </c>
    </row>
    <row r="663" customFormat="false" ht="12.75" hidden="false" customHeight="false" outlineLevel="0" collapsed="false">
      <c r="E663" s="34" t="str">
        <f aca="false">MID(B663,9,1)</f>
        <v/>
      </c>
      <c r="F663" s="34" t="str">
        <f aca="false">MID(B663,10,1)</f>
        <v/>
      </c>
      <c r="G663" s="34" t="str">
        <f aca="false">MID(B663,11,1)</f>
        <v/>
      </c>
      <c r="H663" s="35" t="str">
        <f aca="false">IF(G663=".",F663,CONCATENATE(F663,G663))</f>
        <v/>
      </c>
      <c r="I663" s="34" t="n">
        <f aca="false">IFERROR(VALUE(H663),)</f>
        <v>0</v>
      </c>
      <c r="J663" s="34" t="e">
        <f aca="false">RIGHT(B663,LEN(B663)-FIND("/",B663, FIND("Single Cells",B663, 1)))</f>
        <v>#VALUE!</v>
      </c>
    </row>
    <row r="664" customFormat="false" ht="12.75" hidden="false" customHeight="false" outlineLevel="0" collapsed="false">
      <c r="E664" s="34" t="str">
        <f aca="false">MID(B664,9,1)</f>
        <v/>
      </c>
      <c r="F664" s="34" t="str">
        <f aca="false">MID(B664,10,1)</f>
        <v/>
      </c>
      <c r="G664" s="34" t="str">
        <f aca="false">MID(B664,11,1)</f>
        <v/>
      </c>
      <c r="H664" s="35" t="str">
        <f aca="false">IF(G664=".",F664,CONCATENATE(F664,G664))</f>
        <v/>
      </c>
      <c r="I664" s="34" t="n">
        <f aca="false">IFERROR(VALUE(H664),)</f>
        <v>0</v>
      </c>
      <c r="J664" s="34" t="e">
        <f aca="false">RIGHT(B664,LEN(B664)-FIND("/",B664, FIND("Single Cells",B664, 1)))</f>
        <v>#VALUE!</v>
      </c>
    </row>
    <row r="665" customFormat="false" ht="12.75" hidden="false" customHeight="false" outlineLevel="0" collapsed="false">
      <c r="E665" s="34" t="str">
        <f aca="false">MID(B665,9,1)</f>
        <v/>
      </c>
      <c r="F665" s="34" t="str">
        <f aca="false">MID(B665,10,1)</f>
        <v/>
      </c>
      <c r="G665" s="34" t="str">
        <f aca="false">MID(B665,11,1)</f>
        <v/>
      </c>
      <c r="H665" s="35" t="str">
        <f aca="false">IF(G665=".",F665,CONCATENATE(F665,G665))</f>
        <v/>
      </c>
      <c r="I665" s="34" t="n">
        <f aca="false">IFERROR(VALUE(H665),)</f>
        <v>0</v>
      </c>
      <c r="J665" s="34" t="e">
        <f aca="false">RIGHT(B665,LEN(B665)-FIND("/",B665, FIND("Single Cells",B665, 1)))</f>
        <v>#VALUE!</v>
      </c>
    </row>
    <row r="666" customFormat="false" ht="12.75" hidden="false" customHeight="false" outlineLevel="0" collapsed="false">
      <c r="E666" s="34" t="str">
        <f aca="false">MID(B666,9,1)</f>
        <v/>
      </c>
      <c r="F666" s="34" t="str">
        <f aca="false">MID(B666,10,1)</f>
        <v/>
      </c>
      <c r="G666" s="34" t="str">
        <f aca="false">MID(B666,11,1)</f>
        <v/>
      </c>
      <c r="H666" s="35" t="str">
        <f aca="false">IF(G666=".",F666,CONCATENATE(F666,G666))</f>
        <v/>
      </c>
      <c r="I666" s="34" t="n">
        <f aca="false">IFERROR(VALUE(H666),)</f>
        <v>0</v>
      </c>
      <c r="J666" s="34" t="e">
        <f aca="false">RIGHT(B666,LEN(B666)-FIND("/",B666, FIND("Single Cells",B666, 1)))</f>
        <v>#VALUE!</v>
      </c>
    </row>
    <row r="667" customFormat="false" ht="12.75" hidden="false" customHeight="false" outlineLevel="0" collapsed="false">
      <c r="E667" s="34" t="str">
        <f aca="false">MID(B667,9,1)</f>
        <v/>
      </c>
      <c r="F667" s="34" t="str">
        <f aca="false">MID(B667,10,1)</f>
        <v/>
      </c>
      <c r="G667" s="34" t="str">
        <f aca="false">MID(B667,11,1)</f>
        <v/>
      </c>
      <c r="H667" s="35" t="str">
        <f aca="false">IF(G667=".",F667,CONCATENATE(F667,G667))</f>
        <v/>
      </c>
      <c r="I667" s="34" t="n">
        <f aca="false">IFERROR(VALUE(H667),)</f>
        <v>0</v>
      </c>
      <c r="J667" s="34" t="e">
        <f aca="false">RIGHT(B667,LEN(B667)-FIND("/",B667, FIND("Single Cells",B667, 1)))</f>
        <v>#VALUE!</v>
      </c>
    </row>
    <row r="668" customFormat="false" ht="12.75" hidden="false" customHeight="false" outlineLevel="0" collapsed="false">
      <c r="E668" s="34" t="str">
        <f aca="false">MID(B668,9,1)</f>
        <v/>
      </c>
      <c r="F668" s="34" t="str">
        <f aca="false">MID(B668,10,1)</f>
        <v/>
      </c>
      <c r="G668" s="34" t="str">
        <f aca="false">MID(B668,11,1)</f>
        <v/>
      </c>
      <c r="H668" s="35" t="str">
        <f aca="false">IF(G668=".",F668,CONCATENATE(F668,G668))</f>
        <v/>
      </c>
      <c r="I668" s="34" t="n">
        <f aca="false">IFERROR(VALUE(H668),)</f>
        <v>0</v>
      </c>
      <c r="J668" s="34" t="e">
        <f aca="false">RIGHT(B668,LEN(B668)-FIND("/",B668, FIND("Single Cells",B668, 1)))</f>
        <v>#VALUE!</v>
      </c>
    </row>
    <row r="669" customFormat="false" ht="12.75" hidden="false" customHeight="false" outlineLevel="0" collapsed="false">
      <c r="E669" s="34" t="str">
        <f aca="false">MID(B669,9,1)</f>
        <v/>
      </c>
      <c r="F669" s="34" t="str">
        <f aca="false">MID(B669,10,1)</f>
        <v/>
      </c>
      <c r="G669" s="34" t="str">
        <f aca="false">MID(B669,11,1)</f>
        <v/>
      </c>
      <c r="H669" s="35" t="str">
        <f aca="false">IF(G669=".",F669,CONCATENATE(F669,G669))</f>
        <v/>
      </c>
      <c r="I669" s="34" t="n">
        <f aca="false">IFERROR(VALUE(H669),)</f>
        <v>0</v>
      </c>
      <c r="J669" s="34" t="e">
        <f aca="false">RIGHT(B669,LEN(B669)-FIND("/",B669, FIND("Single Cells",B669, 1)))</f>
        <v>#VALUE!</v>
      </c>
    </row>
    <row r="670" customFormat="false" ht="12.75" hidden="false" customHeight="false" outlineLevel="0" collapsed="false">
      <c r="E670" s="34" t="str">
        <f aca="false">MID(B670,9,1)</f>
        <v/>
      </c>
      <c r="F670" s="34" t="str">
        <f aca="false">MID(B670,10,1)</f>
        <v/>
      </c>
      <c r="G670" s="34" t="str">
        <f aca="false">MID(B670,11,1)</f>
        <v/>
      </c>
      <c r="H670" s="35" t="str">
        <f aca="false">IF(G670=".",F670,CONCATENATE(F670,G670))</f>
        <v/>
      </c>
      <c r="I670" s="34" t="n">
        <f aca="false">IFERROR(VALUE(H670),)</f>
        <v>0</v>
      </c>
      <c r="J670" s="34" t="e">
        <f aca="false">RIGHT(B670,LEN(B670)-FIND("/",B670, FIND("Single Cells",B670, 1)))</f>
        <v>#VALUE!</v>
      </c>
    </row>
    <row r="671" customFormat="false" ht="12.75" hidden="false" customHeight="false" outlineLevel="0" collapsed="false">
      <c r="E671" s="34" t="str">
        <f aca="false">MID(B671,9,1)</f>
        <v/>
      </c>
      <c r="F671" s="34" t="str">
        <f aca="false">MID(B671,10,1)</f>
        <v/>
      </c>
      <c r="G671" s="34" t="str">
        <f aca="false">MID(B671,11,1)</f>
        <v/>
      </c>
      <c r="H671" s="35" t="str">
        <f aca="false">IF(G671=".",F671,CONCATENATE(F671,G671))</f>
        <v/>
      </c>
      <c r="I671" s="34" t="n">
        <f aca="false">IFERROR(VALUE(H671),)</f>
        <v>0</v>
      </c>
      <c r="J671" s="34" t="e">
        <f aca="false">RIGHT(B671,LEN(B671)-FIND("/",B671, FIND("Single Cells",B671, 1)))</f>
        <v>#VALUE!</v>
      </c>
    </row>
    <row r="672" customFormat="false" ht="12.75" hidden="false" customHeight="false" outlineLevel="0" collapsed="false">
      <c r="E672" s="34" t="str">
        <f aca="false">MID(B672,9,1)</f>
        <v/>
      </c>
      <c r="F672" s="34" t="str">
        <f aca="false">MID(B672,10,1)</f>
        <v/>
      </c>
      <c r="G672" s="34" t="str">
        <f aca="false">MID(B672,11,1)</f>
        <v/>
      </c>
      <c r="H672" s="35" t="str">
        <f aca="false">IF(G672=".",F672,CONCATENATE(F672,G672))</f>
        <v/>
      </c>
      <c r="I672" s="34" t="n">
        <f aca="false">IFERROR(VALUE(H672),)</f>
        <v>0</v>
      </c>
      <c r="J672" s="34" t="e">
        <f aca="false">RIGHT(B672,LEN(B672)-FIND("/",B672, FIND("Single Cells",B672, 1)))</f>
        <v>#VALUE!</v>
      </c>
    </row>
    <row r="673" customFormat="false" ht="12.75" hidden="false" customHeight="false" outlineLevel="0" collapsed="false">
      <c r="E673" s="34" t="str">
        <f aca="false">MID(B673,9,1)</f>
        <v/>
      </c>
      <c r="F673" s="34" t="str">
        <f aca="false">MID(B673,10,1)</f>
        <v/>
      </c>
      <c r="G673" s="34" t="str">
        <f aca="false">MID(B673,11,1)</f>
        <v/>
      </c>
      <c r="H673" s="35" t="str">
        <f aca="false">IF(G673=".",F673,CONCATENATE(F673,G673))</f>
        <v/>
      </c>
      <c r="I673" s="34" t="n">
        <f aca="false">IFERROR(VALUE(H673),)</f>
        <v>0</v>
      </c>
      <c r="J673" s="34" t="e">
        <f aca="false">RIGHT(B673,LEN(B673)-FIND("/",B673, FIND("Single Cells",B673, 1)))</f>
        <v>#VALUE!</v>
      </c>
    </row>
    <row r="674" customFormat="false" ht="12.75" hidden="false" customHeight="false" outlineLevel="0" collapsed="false">
      <c r="E674" s="34" t="str">
        <f aca="false">MID(B674,9,1)</f>
        <v/>
      </c>
      <c r="F674" s="34" t="str">
        <f aca="false">MID(B674,10,1)</f>
        <v/>
      </c>
      <c r="G674" s="34" t="str">
        <f aca="false">MID(B674,11,1)</f>
        <v/>
      </c>
      <c r="H674" s="35" t="str">
        <f aca="false">IF(G674=".",F674,CONCATENATE(F674,G674))</f>
        <v/>
      </c>
      <c r="I674" s="34" t="n">
        <f aca="false">IFERROR(VALUE(H674),)</f>
        <v>0</v>
      </c>
      <c r="J674" s="34" t="e">
        <f aca="false">RIGHT(B674,LEN(B674)-FIND("/",B674, FIND("Single Cells",B674, 1)))</f>
        <v>#VALUE!</v>
      </c>
    </row>
    <row r="675" customFormat="false" ht="12.75" hidden="false" customHeight="false" outlineLevel="0" collapsed="false">
      <c r="E675" s="34" t="str">
        <f aca="false">MID(B675,9,1)</f>
        <v/>
      </c>
      <c r="F675" s="34" t="str">
        <f aca="false">MID(B675,10,1)</f>
        <v/>
      </c>
      <c r="G675" s="34" t="str">
        <f aca="false">MID(B675,11,1)</f>
        <v/>
      </c>
      <c r="H675" s="35" t="str">
        <f aca="false">IF(G675=".",F675,CONCATENATE(F675,G675))</f>
        <v/>
      </c>
      <c r="I675" s="34" t="n">
        <f aca="false">IFERROR(VALUE(H675),)</f>
        <v>0</v>
      </c>
      <c r="J675" s="34" t="e">
        <f aca="false">RIGHT(B675,LEN(B675)-FIND("/",B675, FIND("Single Cells",B675, 1)))</f>
        <v>#VALUE!</v>
      </c>
    </row>
    <row r="676" customFormat="false" ht="12.75" hidden="false" customHeight="false" outlineLevel="0" collapsed="false">
      <c r="E676" s="34" t="str">
        <f aca="false">MID(B676,9,1)</f>
        <v/>
      </c>
      <c r="F676" s="34" t="str">
        <f aca="false">MID(B676,10,1)</f>
        <v/>
      </c>
      <c r="G676" s="34" t="str">
        <f aca="false">MID(B676,11,1)</f>
        <v/>
      </c>
      <c r="H676" s="35" t="str">
        <f aca="false">IF(G676=".",F676,CONCATENATE(F676,G676))</f>
        <v/>
      </c>
      <c r="I676" s="34" t="n">
        <f aca="false">IFERROR(VALUE(H676),)</f>
        <v>0</v>
      </c>
      <c r="J676" s="34" t="e">
        <f aca="false">RIGHT(B676,LEN(B676)-FIND("/",B676, FIND("Single Cells",B676, 1)))</f>
        <v>#VALUE!</v>
      </c>
    </row>
    <row r="677" customFormat="false" ht="12.75" hidden="false" customHeight="false" outlineLevel="0" collapsed="false">
      <c r="E677" s="34" t="str">
        <f aca="false">MID(B677,9,1)</f>
        <v/>
      </c>
      <c r="F677" s="34" t="str">
        <f aca="false">MID(B677,10,1)</f>
        <v/>
      </c>
      <c r="G677" s="34" t="str">
        <f aca="false">MID(B677,11,1)</f>
        <v/>
      </c>
      <c r="H677" s="35" t="str">
        <f aca="false">IF(G677=".",F677,CONCATENATE(F677,G677))</f>
        <v/>
      </c>
      <c r="I677" s="34" t="n">
        <f aca="false">IFERROR(VALUE(H677),)</f>
        <v>0</v>
      </c>
      <c r="J677" s="34" t="e">
        <f aca="false">RIGHT(B677,LEN(B677)-FIND("/",B677, FIND("Single Cells",B677, 1)))</f>
        <v>#VALUE!</v>
      </c>
    </row>
    <row r="678" customFormat="false" ht="12.75" hidden="false" customHeight="false" outlineLevel="0" collapsed="false">
      <c r="E678" s="34" t="str">
        <f aca="false">MID(B678,9,1)</f>
        <v/>
      </c>
      <c r="F678" s="34" t="str">
        <f aca="false">MID(B678,10,1)</f>
        <v/>
      </c>
      <c r="G678" s="34" t="str">
        <f aca="false">MID(B678,11,1)</f>
        <v/>
      </c>
      <c r="H678" s="35" t="str">
        <f aca="false">IF(G678=".",F678,CONCATENATE(F678,G678))</f>
        <v/>
      </c>
      <c r="I678" s="34" t="n">
        <f aca="false">IFERROR(VALUE(H678),)</f>
        <v>0</v>
      </c>
      <c r="J678" s="34" t="e">
        <f aca="false">RIGHT(B678,LEN(B678)-FIND("/",B678, FIND("Single Cells",B678, 1)))</f>
        <v>#VALUE!</v>
      </c>
    </row>
    <row r="679" customFormat="false" ht="12.75" hidden="false" customHeight="false" outlineLevel="0" collapsed="false">
      <c r="E679" s="34" t="str">
        <f aca="false">MID(B679,9,1)</f>
        <v/>
      </c>
      <c r="F679" s="34" t="str">
        <f aca="false">MID(B679,10,1)</f>
        <v/>
      </c>
      <c r="G679" s="34" t="str">
        <f aca="false">MID(B679,11,1)</f>
        <v/>
      </c>
      <c r="H679" s="35" t="str">
        <f aca="false">IF(G679=".",F679,CONCATENATE(F679,G679))</f>
        <v/>
      </c>
      <c r="I679" s="34" t="n">
        <f aca="false">IFERROR(VALUE(H679),)</f>
        <v>0</v>
      </c>
      <c r="J679" s="34" t="e">
        <f aca="false">RIGHT(B679,LEN(B679)-FIND("/",B679, FIND("Single Cells",B679, 1)))</f>
        <v>#VALUE!</v>
      </c>
    </row>
    <row r="680" customFormat="false" ht="12.75" hidden="false" customHeight="false" outlineLevel="0" collapsed="false">
      <c r="E680" s="34" t="str">
        <f aca="false">MID(B680,9,1)</f>
        <v/>
      </c>
      <c r="F680" s="34" t="str">
        <f aca="false">MID(B680,10,1)</f>
        <v/>
      </c>
      <c r="G680" s="34" t="str">
        <f aca="false">MID(B680,11,1)</f>
        <v/>
      </c>
      <c r="H680" s="35" t="str">
        <f aca="false">IF(G680=".",F680,CONCATENATE(F680,G680))</f>
        <v/>
      </c>
      <c r="I680" s="34" t="n">
        <f aca="false">IFERROR(VALUE(H680),)</f>
        <v>0</v>
      </c>
      <c r="J680" s="34" t="e">
        <f aca="false">RIGHT(B680,LEN(B680)-FIND("/",B680, FIND("Single Cells",B680, 1)))</f>
        <v>#VALUE!</v>
      </c>
    </row>
    <row r="681" customFormat="false" ht="12.75" hidden="false" customHeight="false" outlineLevel="0" collapsed="false">
      <c r="E681" s="34" t="str">
        <f aca="false">MID(B681,9,1)</f>
        <v/>
      </c>
      <c r="F681" s="34" t="str">
        <f aca="false">MID(B681,10,1)</f>
        <v/>
      </c>
      <c r="G681" s="34" t="str">
        <f aca="false">MID(B681,11,1)</f>
        <v/>
      </c>
      <c r="H681" s="35" t="str">
        <f aca="false">IF(G681=".",F681,CONCATENATE(F681,G681))</f>
        <v/>
      </c>
      <c r="I681" s="34" t="n">
        <f aca="false">IFERROR(VALUE(H681),)</f>
        <v>0</v>
      </c>
      <c r="J681" s="34" t="e">
        <f aca="false">RIGHT(B681,LEN(B681)-FIND("/",B681, FIND("Single Cells",B681, 1)))</f>
        <v>#VALUE!</v>
      </c>
    </row>
    <row r="682" customFormat="false" ht="12.75" hidden="false" customHeight="false" outlineLevel="0" collapsed="false">
      <c r="E682" s="34" t="str">
        <f aca="false">MID(B682,9,1)</f>
        <v/>
      </c>
      <c r="F682" s="34" t="str">
        <f aca="false">MID(B682,10,1)</f>
        <v/>
      </c>
      <c r="G682" s="34" t="str">
        <f aca="false">MID(B682,11,1)</f>
        <v/>
      </c>
      <c r="H682" s="35" t="str">
        <f aca="false">IF(G682=".",F682,CONCATENATE(F682,G682))</f>
        <v/>
      </c>
      <c r="I682" s="34" t="n">
        <f aca="false">IFERROR(VALUE(H682),)</f>
        <v>0</v>
      </c>
      <c r="J682" s="34" t="e">
        <f aca="false">RIGHT(B682,LEN(B682)-FIND("/",B682, FIND("Single Cells",B682, 1)))</f>
        <v>#VALUE!</v>
      </c>
    </row>
    <row r="683" customFormat="false" ht="12.75" hidden="false" customHeight="false" outlineLevel="0" collapsed="false">
      <c r="E683" s="34" t="str">
        <f aca="false">MID(B683,9,1)</f>
        <v/>
      </c>
      <c r="F683" s="34" t="str">
        <f aca="false">MID(B683,10,1)</f>
        <v/>
      </c>
      <c r="G683" s="34" t="str">
        <f aca="false">MID(B683,11,1)</f>
        <v/>
      </c>
      <c r="H683" s="35" t="str">
        <f aca="false">IF(G683=".",F683,CONCATENATE(F683,G683))</f>
        <v/>
      </c>
      <c r="I683" s="34" t="n">
        <f aca="false">IFERROR(VALUE(H683),)</f>
        <v>0</v>
      </c>
      <c r="J683" s="34" t="e">
        <f aca="false">RIGHT(B683,LEN(B683)-FIND("/",B683, FIND("Single Cells",B683, 1)))</f>
        <v>#VALUE!</v>
      </c>
    </row>
    <row r="684" customFormat="false" ht="12.75" hidden="false" customHeight="false" outlineLevel="0" collapsed="false">
      <c r="E684" s="34" t="str">
        <f aca="false">MID(B684,9,1)</f>
        <v/>
      </c>
      <c r="F684" s="34" t="str">
        <f aca="false">MID(B684,10,1)</f>
        <v/>
      </c>
      <c r="G684" s="34" t="str">
        <f aca="false">MID(B684,11,1)</f>
        <v/>
      </c>
      <c r="H684" s="35" t="str">
        <f aca="false">IF(G684=".",F684,CONCATENATE(F684,G684))</f>
        <v/>
      </c>
      <c r="I684" s="34" t="n">
        <f aca="false">IFERROR(VALUE(H684),)</f>
        <v>0</v>
      </c>
      <c r="J684" s="34" t="e">
        <f aca="false">RIGHT(B684,LEN(B684)-FIND("/",B684, FIND("Single Cells",B684, 1)))</f>
        <v>#VALUE!</v>
      </c>
    </row>
    <row r="685" customFormat="false" ht="12.75" hidden="false" customHeight="false" outlineLevel="0" collapsed="false">
      <c r="E685" s="34" t="str">
        <f aca="false">MID(B685,9,1)</f>
        <v/>
      </c>
      <c r="F685" s="34" t="str">
        <f aca="false">MID(B685,10,1)</f>
        <v/>
      </c>
      <c r="G685" s="34" t="str">
        <f aca="false">MID(B685,11,1)</f>
        <v/>
      </c>
      <c r="H685" s="35" t="str">
        <f aca="false">IF(G685=".",F685,CONCATENATE(F685,G685))</f>
        <v/>
      </c>
      <c r="I685" s="34" t="n">
        <f aca="false">IFERROR(VALUE(H685),)</f>
        <v>0</v>
      </c>
      <c r="J685" s="34" t="e">
        <f aca="false">RIGHT(B685,LEN(B685)-FIND("/",B685, FIND("Single Cells",B685, 1)))</f>
        <v>#VALUE!</v>
      </c>
    </row>
    <row r="686" customFormat="false" ht="12.75" hidden="false" customHeight="false" outlineLevel="0" collapsed="false">
      <c r="E686" s="34" t="str">
        <f aca="false">MID(B686,9,1)</f>
        <v/>
      </c>
      <c r="F686" s="34" t="str">
        <f aca="false">MID(B686,10,1)</f>
        <v/>
      </c>
      <c r="G686" s="34" t="str">
        <f aca="false">MID(B686,11,1)</f>
        <v/>
      </c>
      <c r="H686" s="35" t="str">
        <f aca="false">IF(G686=".",F686,CONCATENATE(F686,G686))</f>
        <v/>
      </c>
      <c r="I686" s="34" t="n">
        <f aca="false">IFERROR(VALUE(H686),)</f>
        <v>0</v>
      </c>
      <c r="J686" s="34" t="e">
        <f aca="false">RIGHT(B686,LEN(B686)-FIND("/",B686, FIND("Single Cells",B686, 1)))</f>
        <v>#VALUE!</v>
      </c>
    </row>
    <row r="687" customFormat="false" ht="12.75" hidden="false" customHeight="false" outlineLevel="0" collapsed="false">
      <c r="E687" s="34" t="str">
        <f aca="false">MID(B687,9,1)</f>
        <v/>
      </c>
      <c r="F687" s="34" t="str">
        <f aca="false">MID(B687,10,1)</f>
        <v/>
      </c>
      <c r="G687" s="34" t="str">
        <f aca="false">MID(B687,11,1)</f>
        <v/>
      </c>
      <c r="H687" s="35" t="str">
        <f aca="false">IF(G687=".",F687,CONCATENATE(F687,G687))</f>
        <v/>
      </c>
      <c r="I687" s="34" t="n">
        <f aca="false">IFERROR(VALUE(H687),)</f>
        <v>0</v>
      </c>
      <c r="J687" s="34" t="e">
        <f aca="false">RIGHT(B687,LEN(B687)-FIND("/",B687, FIND("Single Cells",B687, 1)))</f>
        <v>#VALUE!</v>
      </c>
    </row>
    <row r="688" customFormat="false" ht="12.75" hidden="false" customHeight="false" outlineLevel="0" collapsed="false">
      <c r="E688" s="34" t="str">
        <f aca="false">MID(B688,9,1)</f>
        <v/>
      </c>
      <c r="F688" s="34" t="str">
        <f aca="false">MID(B688,10,1)</f>
        <v/>
      </c>
      <c r="G688" s="34" t="str">
        <f aca="false">MID(B688,11,1)</f>
        <v/>
      </c>
      <c r="H688" s="35" t="str">
        <f aca="false">IF(G688=".",F688,CONCATENATE(F688,G688))</f>
        <v/>
      </c>
      <c r="I688" s="34" t="n">
        <f aca="false">IFERROR(VALUE(H688),)</f>
        <v>0</v>
      </c>
      <c r="J688" s="34" t="e">
        <f aca="false">RIGHT(B688,LEN(B688)-FIND("/",B688, FIND("Single Cells",B688, 1)))</f>
        <v>#VALUE!</v>
      </c>
    </row>
    <row r="689" customFormat="false" ht="12.75" hidden="false" customHeight="false" outlineLevel="0" collapsed="false">
      <c r="E689" s="34" t="str">
        <f aca="false">MID(B689,9,1)</f>
        <v/>
      </c>
      <c r="F689" s="34" t="str">
        <f aca="false">MID(B689,10,1)</f>
        <v/>
      </c>
      <c r="G689" s="34" t="str">
        <f aca="false">MID(B689,11,1)</f>
        <v/>
      </c>
      <c r="H689" s="35" t="str">
        <f aca="false">IF(G689=".",F689,CONCATENATE(F689,G689))</f>
        <v/>
      </c>
      <c r="I689" s="34" t="n">
        <f aca="false">IFERROR(VALUE(H689),)</f>
        <v>0</v>
      </c>
      <c r="J689" s="34" t="e">
        <f aca="false">RIGHT(B689,LEN(B689)-FIND("/",B689, FIND("Single Cells",B689, 1)))</f>
        <v>#VALUE!</v>
      </c>
    </row>
    <row r="690" customFormat="false" ht="12.75" hidden="false" customHeight="false" outlineLevel="0" collapsed="false">
      <c r="E690" s="34" t="str">
        <f aca="false">MID(B690,9,1)</f>
        <v/>
      </c>
      <c r="F690" s="34" t="str">
        <f aca="false">MID(B690,10,1)</f>
        <v/>
      </c>
      <c r="G690" s="34" t="str">
        <f aca="false">MID(B690,11,1)</f>
        <v/>
      </c>
      <c r="H690" s="35" t="str">
        <f aca="false">IF(G690=".",F690,CONCATENATE(F690,G690))</f>
        <v/>
      </c>
      <c r="I690" s="34" t="n">
        <f aca="false">IFERROR(VALUE(H690),)</f>
        <v>0</v>
      </c>
      <c r="J690" s="34" t="e">
        <f aca="false">RIGHT(B690,LEN(B690)-FIND("/",B690, FIND("Single Cells",B690, 1)))</f>
        <v>#VALUE!</v>
      </c>
    </row>
    <row r="691" customFormat="false" ht="12.75" hidden="false" customHeight="false" outlineLevel="0" collapsed="false">
      <c r="E691" s="34" t="str">
        <f aca="false">MID(B691,9,1)</f>
        <v/>
      </c>
      <c r="F691" s="34" t="str">
        <f aca="false">MID(B691,10,1)</f>
        <v/>
      </c>
      <c r="G691" s="34" t="str">
        <f aca="false">MID(B691,11,1)</f>
        <v/>
      </c>
      <c r="H691" s="35" t="str">
        <f aca="false">IF(G691=".",F691,CONCATENATE(F691,G691))</f>
        <v/>
      </c>
      <c r="I691" s="34" t="n">
        <f aca="false">IFERROR(VALUE(H691),)</f>
        <v>0</v>
      </c>
      <c r="J691" s="34" t="e">
        <f aca="false">RIGHT(B691,LEN(B691)-FIND("/",B691, FIND("Single Cells",B691, 1)))</f>
        <v>#VALUE!</v>
      </c>
    </row>
    <row r="692" customFormat="false" ht="12.75" hidden="false" customHeight="false" outlineLevel="0" collapsed="false">
      <c r="E692" s="34" t="str">
        <f aca="false">MID(B692,9,1)</f>
        <v/>
      </c>
      <c r="F692" s="34" t="str">
        <f aca="false">MID(B692,10,1)</f>
        <v/>
      </c>
      <c r="G692" s="34" t="str">
        <f aca="false">MID(B692,11,1)</f>
        <v/>
      </c>
      <c r="H692" s="35" t="str">
        <f aca="false">IF(G692=".",F692,CONCATENATE(F692,G692))</f>
        <v/>
      </c>
      <c r="I692" s="34" t="n">
        <f aca="false">IFERROR(VALUE(H692),)</f>
        <v>0</v>
      </c>
      <c r="J692" s="34" t="e">
        <f aca="false">RIGHT(B692,LEN(B692)-FIND("/",B692, FIND("Single Cells",B692, 1)))</f>
        <v>#VALUE!</v>
      </c>
    </row>
    <row r="693" customFormat="false" ht="12.75" hidden="false" customHeight="false" outlineLevel="0" collapsed="false">
      <c r="E693" s="34" t="str">
        <f aca="false">MID(B693,9,1)</f>
        <v/>
      </c>
      <c r="F693" s="34" t="str">
        <f aca="false">MID(B693,10,1)</f>
        <v/>
      </c>
      <c r="G693" s="34" t="str">
        <f aca="false">MID(B693,11,1)</f>
        <v/>
      </c>
      <c r="H693" s="35" t="str">
        <f aca="false">IF(G693=".",F693,CONCATENATE(F693,G693))</f>
        <v/>
      </c>
      <c r="I693" s="34" t="n">
        <f aca="false">IFERROR(VALUE(H693),)</f>
        <v>0</v>
      </c>
      <c r="J693" s="34" t="e">
        <f aca="false">RIGHT(B693,LEN(B693)-FIND("/",B693, FIND("Single Cells",B693, 1)))</f>
        <v>#VALUE!</v>
      </c>
    </row>
    <row r="694" customFormat="false" ht="12.75" hidden="false" customHeight="false" outlineLevel="0" collapsed="false">
      <c r="E694" s="34" t="str">
        <f aca="false">MID(B694,9,1)</f>
        <v/>
      </c>
      <c r="F694" s="34" t="str">
        <f aca="false">MID(B694,10,1)</f>
        <v/>
      </c>
      <c r="G694" s="34" t="str">
        <f aca="false">MID(B694,11,1)</f>
        <v/>
      </c>
      <c r="H694" s="35" t="str">
        <f aca="false">IF(G694=".",F694,CONCATENATE(F694,G694))</f>
        <v/>
      </c>
      <c r="I694" s="34" t="n">
        <f aca="false">IFERROR(VALUE(H694),)</f>
        <v>0</v>
      </c>
      <c r="J694" s="34" t="e">
        <f aca="false">RIGHT(B694,LEN(B694)-FIND("/",B694, FIND("Single Cells",B694, 1)))</f>
        <v>#VALUE!</v>
      </c>
    </row>
    <row r="695" customFormat="false" ht="12.75" hidden="false" customHeight="false" outlineLevel="0" collapsed="false">
      <c r="E695" s="34" t="str">
        <f aca="false">MID(B695,9,1)</f>
        <v/>
      </c>
      <c r="F695" s="34" t="str">
        <f aca="false">MID(B695,10,1)</f>
        <v/>
      </c>
      <c r="G695" s="34" t="str">
        <f aca="false">MID(B695,11,1)</f>
        <v/>
      </c>
      <c r="H695" s="35" t="str">
        <f aca="false">IF(G695=".",F695,CONCATENATE(F695,G695))</f>
        <v/>
      </c>
      <c r="I695" s="34" t="n">
        <f aca="false">IFERROR(VALUE(H695),)</f>
        <v>0</v>
      </c>
      <c r="J695" s="34" t="e">
        <f aca="false">RIGHT(B695,LEN(B695)-FIND("/",B695, FIND("Single Cells",B695, 1)))</f>
        <v>#VALUE!</v>
      </c>
    </row>
    <row r="696" customFormat="false" ht="12.75" hidden="false" customHeight="false" outlineLevel="0" collapsed="false">
      <c r="E696" s="34" t="str">
        <f aca="false">MID(B696,9,1)</f>
        <v/>
      </c>
      <c r="F696" s="34" t="str">
        <f aca="false">MID(B696,10,1)</f>
        <v/>
      </c>
      <c r="G696" s="34" t="str">
        <f aca="false">MID(B696,11,1)</f>
        <v/>
      </c>
      <c r="H696" s="35" t="str">
        <f aca="false">IF(G696=".",F696,CONCATENATE(F696,G696))</f>
        <v/>
      </c>
      <c r="I696" s="34" t="n">
        <f aca="false">IFERROR(VALUE(H696),)</f>
        <v>0</v>
      </c>
      <c r="J696" s="34" t="e">
        <f aca="false">RIGHT(B696,LEN(B696)-FIND("/",B696, FIND("Single Cells",B696, 1)))</f>
        <v>#VALUE!</v>
      </c>
    </row>
    <row r="697" customFormat="false" ht="12.75" hidden="false" customHeight="false" outlineLevel="0" collapsed="false">
      <c r="E697" s="34" t="str">
        <f aca="false">MID(B697,9,1)</f>
        <v/>
      </c>
      <c r="F697" s="34" t="str">
        <f aca="false">MID(B697,10,1)</f>
        <v/>
      </c>
      <c r="G697" s="34" t="str">
        <f aca="false">MID(B697,11,1)</f>
        <v/>
      </c>
      <c r="H697" s="35" t="str">
        <f aca="false">IF(G697=".",F697,CONCATENATE(F697,G697))</f>
        <v/>
      </c>
      <c r="I697" s="34" t="n">
        <f aca="false">IFERROR(VALUE(H697),)</f>
        <v>0</v>
      </c>
      <c r="J697" s="34" t="e">
        <f aca="false">RIGHT(B697,LEN(B697)-FIND("/",B697, FIND("Single Cells",B697, 1)))</f>
        <v>#VALUE!</v>
      </c>
    </row>
    <row r="698" customFormat="false" ht="12.75" hidden="false" customHeight="false" outlineLevel="0" collapsed="false">
      <c r="E698" s="34" t="str">
        <f aca="false">MID(B698,9,1)</f>
        <v/>
      </c>
      <c r="F698" s="34" t="str">
        <f aca="false">MID(B698,10,1)</f>
        <v/>
      </c>
      <c r="G698" s="34" t="str">
        <f aca="false">MID(B698,11,1)</f>
        <v/>
      </c>
      <c r="H698" s="35" t="str">
        <f aca="false">IF(G698=".",F698,CONCATENATE(F698,G698))</f>
        <v/>
      </c>
      <c r="I698" s="34" t="n">
        <f aca="false">IFERROR(VALUE(H698),)</f>
        <v>0</v>
      </c>
      <c r="J698" s="34" t="e">
        <f aca="false">RIGHT(B698,LEN(B698)-FIND("/",B698, FIND("Single Cells",B698, 1)))</f>
        <v>#VALUE!</v>
      </c>
    </row>
    <row r="699" customFormat="false" ht="12.75" hidden="false" customHeight="false" outlineLevel="0" collapsed="false">
      <c r="E699" s="34" t="str">
        <f aca="false">MID(B699,9,1)</f>
        <v/>
      </c>
      <c r="F699" s="34" t="str">
        <f aca="false">MID(B699,10,1)</f>
        <v/>
      </c>
      <c r="G699" s="34" t="str">
        <f aca="false">MID(B699,11,1)</f>
        <v/>
      </c>
      <c r="H699" s="35" t="str">
        <f aca="false">IF(G699=".",F699,CONCATENATE(F699,G699))</f>
        <v/>
      </c>
      <c r="I699" s="34" t="n">
        <f aca="false">IFERROR(VALUE(H699),)</f>
        <v>0</v>
      </c>
      <c r="J699" s="34" t="e">
        <f aca="false">RIGHT(B699,LEN(B699)-FIND("/",B699, FIND("Single Cells",B699, 1)))</f>
        <v>#VALUE!</v>
      </c>
    </row>
    <row r="700" customFormat="false" ht="12.75" hidden="false" customHeight="false" outlineLevel="0" collapsed="false">
      <c r="E700" s="34" t="str">
        <f aca="false">MID(B700,9,1)</f>
        <v/>
      </c>
      <c r="F700" s="34" t="str">
        <f aca="false">MID(B700,10,1)</f>
        <v/>
      </c>
      <c r="G700" s="34" t="str">
        <f aca="false">MID(B700,11,1)</f>
        <v/>
      </c>
      <c r="H700" s="35" t="str">
        <f aca="false">IF(G700=".",F700,CONCATENATE(F700,G700))</f>
        <v/>
      </c>
      <c r="I700" s="34" t="n">
        <f aca="false">IFERROR(VALUE(H700),)</f>
        <v>0</v>
      </c>
      <c r="J700" s="34" t="e">
        <f aca="false">RIGHT(B700,LEN(B700)-FIND("/",B700, FIND("Single Cells",B700, 1)))</f>
        <v>#VALUE!</v>
      </c>
    </row>
    <row r="701" customFormat="false" ht="12.75" hidden="false" customHeight="false" outlineLevel="0" collapsed="false">
      <c r="E701" s="34" t="str">
        <f aca="false">MID(B701,9,1)</f>
        <v/>
      </c>
      <c r="F701" s="34" t="str">
        <f aca="false">MID(B701,10,1)</f>
        <v/>
      </c>
      <c r="G701" s="34" t="str">
        <f aca="false">MID(B701,11,1)</f>
        <v/>
      </c>
      <c r="H701" s="35" t="str">
        <f aca="false">IF(G701=".",F701,CONCATENATE(F701,G701))</f>
        <v/>
      </c>
      <c r="I701" s="34" t="n">
        <f aca="false">IFERROR(VALUE(H701),)</f>
        <v>0</v>
      </c>
      <c r="J701" s="34" t="e">
        <f aca="false">RIGHT(B701,LEN(B701)-FIND("/",B701, FIND("Single Cells",B701, 1)))</f>
        <v>#VALUE!</v>
      </c>
    </row>
    <row r="702" customFormat="false" ht="12.75" hidden="false" customHeight="false" outlineLevel="0" collapsed="false">
      <c r="E702" s="34" t="str">
        <f aca="false">MID(B702,9,1)</f>
        <v/>
      </c>
      <c r="F702" s="34" t="str">
        <f aca="false">MID(B702,10,1)</f>
        <v/>
      </c>
      <c r="G702" s="34" t="str">
        <f aca="false">MID(B702,11,1)</f>
        <v/>
      </c>
      <c r="H702" s="35" t="str">
        <f aca="false">IF(G702=".",F702,CONCATENATE(F702,G702))</f>
        <v/>
      </c>
      <c r="I702" s="34" t="n">
        <f aca="false">IFERROR(VALUE(H702),)</f>
        <v>0</v>
      </c>
      <c r="J702" s="34" t="e">
        <f aca="false">RIGHT(B702,LEN(B702)-FIND("/",B702, FIND("Single Cells",B702, 1)))</f>
        <v>#VALUE!</v>
      </c>
    </row>
    <row r="703" customFormat="false" ht="12.75" hidden="false" customHeight="false" outlineLevel="0" collapsed="false">
      <c r="E703" s="34" t="str">
        <f aca="false">MID(B703,9,1)</f>
        <v/>
      </c>
      <c r="F703" s="34" t="str">
        <f aca="false">MID(B703,10,1)</f>
        <v/>
      </c>
      <c r="G703" s="34" t="str">
        <f aca="false">MID(B703,11,1)</f>
        <v/>
      </c>
      <c r="H703" s="35" t="str">
        <f aca="false">IF(G703=".",F703,CONCATENATE(F703,G703))</f>
        <v/>
      </c>
      <c r="I703" s="34" t="n">
        <f aca="false">IFERROR(VALUE(H703),)</f>
        <v>0</v>
      </c>
      <c r="J703" s="34" t="e">
        <f aca="false">RIGHT(B703,LEN(B703)-FIND("/",B703, FIND("Single Cells",B703, 1)))</f>
        <v>#VALUE!</v>
      </c>
    </row>
    <row r="704" customFormat="false" ht="12.75" hidden="false" customHeight="false" outlineLevel="0" collapsed="false">
      <c r="E704" s="34" t="str">
        <f aca="false">MID(B704,9,1)</f>
        <v/>
      </c>
      <c r="F704" s="34" t="str">
        <f aca="false">MID(B704,10,1)</f>
        <v/>
      </c>
      <c r="G704" s="34" t="str">
        <f aca="false">MID(B704,11,1)</f>
        <v/>
      </c>
      <c r="H704" s="35" t="str">
        <f aca="false">IF(G704=".",F704,CONCATENATE(F704,G704))</f>
        <v/>
      </c>
      <c r="I704" s="34" t="n">
        <f aca="false">IFERROR(VALUE(H704),)</f>
        <v>0</v>
      </c>
      <c r="J704" s="34" t="e">
        <f aca="false">RIGHT(B704,LEN(B704)-FIND("/",B704, FIND("Single Cells",B704, 1)))</f>
        <v>#VALUE!</v>
      </c>
    </row>
    <row r="705" customFormat="false" ht="12.75" hidden="false" customHeight="false" outlineLevel="0" collapsed="false">
      <c r="E705" s="34" t="str">
        <f aca="false">MID(B705,9,1)</f>
        <v/>
      </c>
      <c r="F705" s="34" t="str">
        <f aca="false">MID(B705,10,1)</f>
        <v/>
      </c>
      <c r="G705" s="34" t="str">
        <f aca="false">MID(B705,11,1)</f>
        <v/>
      </c>
      <c r="H705" s="35" t="str">
        <f aca="false">IF(G705=".",F705,CONCATENATE(F705,G705))</f>
        <v/>
      </c>
      <c r="I705" s="34" t="n">
        <f aca="false">IFERROR(VALUE(H705),)</f>
        <v>0</v>
      </c>
      <c r="J705" s="34" t="e">
        <f aca="false">RIGHT(B705,LEN(B705)-FIND("/",B705, FIND("Single Cells",B705, 1)))</f>
        <v>#VALUE!</v>
      </c>
    </row>
    <row r="706" customFormat="false" ht="12.75" hidden="false" customHeight="false" outlineLevel="0" collapsed="false">
      <c r="E706" s="34" t="str">
        <f aca="false">MID(B706,9,1)</f>
        <v/>
      </c>
      <c r="F706" s="34" t="str">
        <f aca="false">MID(B706,10,1)</f>
        <v/>
      </c>
      <c r="G706" s="34" t="str">
        <f aca="false">MID(B706,11,1)</f>
        <v/>
      </c>
      <c r="H706" s="35" t="str">
        <f aca="false">IF(G706=".",F706,CONCATENATE(F706,G706))</f>
        <v/>
      </c>
      <c r="I706" s="34" t="n">
        <f aca="false">IFERROR(VALUE(H706),)</f>
        <v>0</v>
      </c>
      <c r="J706" s="34" t="e">
        <f aca="false">RIGHT(B706,LEN(B706)-FIND("/",B706, FIND("Single Cells",B706, 1)))</f>
        <v>#VALUE!</v>
      </c>
    </row>
    <row r="707" customFormat="false" ht="12.75" hidden="false" customHeight="false" outlineLevel="0" collapsed="false">
      <c r="E707" s="34" t="str">
        <f aca="false">MID(B707,9,1)</f>
        <v/>
      </c>
      <c r="F707" s="34" t="str">
        <f aca="false">MID(B707,10,1)</f>
        <v/>
      </c>
      <c r="G707" s="34" t="str">
        <f aca="false">MID(B707,11,1)</f>
        <v/>
      </c>
      <c r="H707" s="35" t="str">
        <f aca="false">IF(G707=".",F707,CONCATENATE(F707,G707))</f>
        <v/>
      </c>
      <c r="I707" s="34" t="n">
        <f aca="false">IFERROR(VALUE(H707),)</f>
        <v>0</v>
      </c>
      <c r="J707" s="34" t="e">
        <f aca="false">RIGHT(B707,LEN(B707)-FIND("/",B707, FIND("Single Cells",B707, 1)))</f>
        <v>#VALUE!</v>
      </c>
    </row>
    <row r="708" customFormat="false" ht="12.75" hidden="false" customHeight="false" outlineLevel="0" collapsed="false">
      <c r="E708" s="34" t="str">
        <f aca="false">MID(B708,9,1)</f>
        <v/>
      </c>
      <c r="F708" s="34" t="str">
        <f aca="false">MID(B708,10,1)</f>
        <v/>
      </c>
      <c r="G708" s="34" t="str">
        <f aca="false">MID(B708,11,1)</f>
        <v/>
      </c>
      <c r="H708" s="35" t="str">
        <f aca="false">IF(G708=".",F708,CONCATENATE(F708,G708))</f>
        <v/>
      </c>
      <c r="I708" s="34" t="n">
        <f aca="false">IFERROR(VALUE(H708),)</f>
        <v>0</v>
      </c>
      <c r="J708" s="34" t="e">
        <f aca="false">RIGHT(B708,LEN(B708)-FIND("/",B708, FIND("Single Cells",B708, 1)))</f>
        <v>#VALUE!</v>
      </c>
    </row>
    <row r="709" customFormat="false" ht="12.75" hidden="false" customHeight="false" outlineLevel="0" collapsed="false">
      <c r="E709" s="34" t="str">
        <f aca="false">MID(B709,9,1)</f>
        <v/>
      </c>
      <c r="F709" s="34" t="str">
        <f aca="false">MID(B709,10,1)</f>
        <v/>
      </c>
      <c r="G709" s="34" t="str">
        <f aca="false">MID(B709,11,1)</f>
        <v/>
      </c>
      <c r="H709" s="35" t="str">
        <f aca="false">IF(G709=".",F709,CONCATENATE(F709,G709))</f>
        <v/>
      </c>
      <c r="I709" s="34" t="n">
        <f aca="false">IFERROR(VALUE(H709),)</f>
        <v>0</v>
      </c>
      <c r="J709" s="34" t="e">
        <f aca="false">RIGHT(B709,LEN(B709)-FIND("/",B709, FIND("Single Cells",B709, 1)))</f>
        <v>#VALUE!</v>
      </c>
    </row>
    <row r="710" customFormat="false" ht="12.75" hidden="false" customHeight="false" outlineLevel="0" collapsed="false">
      <c r="E710" s="34" t="str">
        <f aca="false">MID(B710,9,1)</f>
        <v/>
      </c>
      <c r="F710" s="34" t="str">
        <f aca="false">MID(B710,10,1)</f>
        <v/>
      </c>
      <c r="G710" s="34" t="str">
        <f aca="false">MID(B710,11,1)</f>
        <v/>
      </c>
      <c r="H710" s="35" t="str">
        <f aca="false">IF(G710=".",F710,CONCATENATE(F710,G710))</f>
        <v/>
      </c>
      <c r="I710" s="34" t="n">
        <f aca="false">IFERROR(VALUE(H710),)</f>
        <v>0</v>
      </c>
      <c r="J710" s="34" t="e">
        <f aca="false">RIGHT(B710,LEN(B710)-FIND("/",B710, FIND("Single Cells",B710, 1)))</f>
        <v>#VALUE!</v>
      </c>
    </row>
    <row r="711" customFormat="false" ht="12.75" hidden="false" customHeight="false" outlineLevel="0" collapsed="false">
      <c r="E711" s="34" t="str">
        <f aca="false">MID(B711,9,1)</f>
        <v/>
      </c>
      <c r="F711" s="34" t="str">
        <f aca="false">MID(B711,10,1)</f>
        <v/>
      </c>
      <c r="G711" s="34" t="str">
        <f aca="false">MID(B711,11,1)</f>
        <v/>
      </c>
      <c r="H711" s="35" t="str">
        <f aca="false">IF(G711=".",F711,CONCATENATE(F711,G711))</f>
        <v/>
      </c>
      <c r="I711" s="34" t="n">
        <f aca="false">IFERROR(VALUE(H711),)</f>
        <v>0</v>
      </c>
      <c r="J711" s="34" t="e">
        <f aca="false">RIGHT(B711,LEN(B711)-FIND("/",B711, FIND("Single Cells",B711, 1)))</f>
        <v>#VALUE!</v>
      </c>
    </row>
    <row r="712" customFormat="false" ht="12.75" hidden="false" customHeight="false" outlineLevel="0" collapsed="false">
      <c r="E712" s="34" t="str">
        <f aca="false">MID(B712,9,1)</f>
        <v/>
      </c>
      <c r="F712" s="34" t="str">
        <f aca="false">MID(B712,10,1)</f>
        <v/>
      </c>
      <c r="G712" s="34" t="str">
        <f aca="false">MID(B712,11,1)</f>
        <v/>
      </c>
      <c r="H712" s="35" t="str">
        <f aca="false">IF(G712=".",F712,CONCATENATE(F712,G712))</f>
        <v/>
      </c>
      <c r="I712" s="34" t="n">
        <f aca="false">IFERROR(VALUE(H712),)</f>
        <v>0</v>
      </c>
      <c r="J712" s="34" t="e">
        <f aca="false">RIGHT(B712,LEN(B712)-FIND("/",B712, FIND("Single Cells",B712, 1)))</f>
        <v>#VALUE!</v>
      </c>
    </row>
    <row r="713" customFormat="false" ht="12.75" hidden="false" customHeight="false" outlineLevel="0" collapsed="false">
      <c r="E713" s="34" t="str">
        <f aca="false">MID(B713,9,1)</f>
        <v/>
      </c>
      <c r="F713" s="34" t="str">
        <f aca="false">MID(B713,10,1)</f>
        <v/>
      </c>
      <c r="G713" s="34" t="str">
        <f aca="false">MID(B713,11,1)</f>
        <v/>
      </c>
      <c r="H713" s="35" t="str">
        <f aca="false">IF(G713=".",F713,CONCATENATE(F713,G713))</f>
        <v/>
      </c>
      <c r="I713" s="34" t="n">
        <f aca="false">IFERROR(VALUE(H713),)</f>
        <v>0</v>
      </c>
      <c r="J713" s="34" t="e">
        <f aca="false">RIGHT(B713,LEN(B713)-FIND("/",B713, FIND("Single Cells",B713, 1)))</f>
        <v>#VALUE!</v>
      </c>
    </row>
    <row r="714" customFormat="false" ht="12.75" hidden="false" customHeight="false" outlineLevel="0" collapsed="false">
      <c r="E714" s="34" t="str">
        <f aca="false">MID(B714,9,1)</f>
        <v/>
      </c>
      <c r="F714" s="34" t="str">
        <f aca="false">MID(B714,10,1)</f>
        <v/>
      </c>
      <c r="G714" s="34" t="str">
        <f aca="false">MID(B714,11,1)</f>
        <v/>
      </c>
      <c r="H714" s="35" t="str">
        <f aca="false">IF(G714=".",F714,CONCATENATE(F714,G714))</f>
        <v/>
      </c>
      <c r="I714" s="34" t="n">
        <f aca="false">IFERROR(VALUE(H714),)</f>
        <v>0</v>
      </c>
      <c r="J714" s="34" t="e">
        <f aca="false">RIGHT(B714,LEN(B714)-FIND("/",B714, FIND("Single Cells",B714, 1)))</f>
        <v>#VALUE!</v>
      </c>
    </row>
    <row r="715" customFormat="false" ht="12.75" hidden="false" customHeight="false" outlineLevel="0" collapsed="false">
      <c r="E715" s="34" t="str">
        <f aca="false">MID(B715,9,1)</f>
        <v/>
      </c>
      <c r="F715" s="34" t="str">
        <f aca="false">MID(B715,10,1)</f>
        <v/>
      </c>
      <c r="G715" s="34" t="str">
        <f aca="false">MID(B715,11,1)</f>
        <v/>
      </c>
      <c r="H715" s="35" t="str">
        <f aca="false">IF(G715=".",F715,CONCATENATE(F715,G715))</f>
        <v/>
      </c>
      <c r="I715" s="34" t="n">
        <f aca="false">IFERROR(VALUE(H715),)</f>
        <v>0</v>
      </c>
      <c r="J715" s="34" t="e">
        <f aca="false">RIGHT(B715,LEN(B715)-FIND("/",B715, FIND("Single Cells",B715, 1)))</f>
        <v>#VALUE!</v>
      </c>
    </row>
    <row r="716" customFormat="false" ht="12.75" hidden="false" customHeight="false" outlineLevel="0" collapsed="false">
      <c r="E716" s="34" t="str">
        <f aca="false">MID(B716,9,1)</f>
        <v/>
      </c>
      <c r="F716" s="34" t="str">
        <f aca="false">MID(B716,10,1)</f>
        <v/>
      </c>
      <c r="G716" s="34" t="str">
        <f aca="false">MID(B716,11,1)</f>
        <v/>
      </c>
      <c r="H716" s="35" t="str">
        <f aca="false">IF(G716=".",F716,CONCATENATE(F716,G716))</f>
        <v/>
      </c>
      <c r="I716" s="34" t="n">
        <f aca="false">IFERROR(VALUE(H716),)</f>
        <v>0</v>
      </c>
      <c r="J716" s="34" t="e">
        <f aca="false">RIGHT(B716,LEN(B716)-FIND("/",B716, FIND("Single Cells",B716, 1)))</f>
        <v>#VALUE!</v>
      </c>
    </row>
    <row r="717" customFormat="false" ht="12.75" hidden="false" customHeight="false" outlineLevel="0" collapsed="false">
      <c r="E717" s="34" t="str">
        <f aca="false">MID(B717,9,1)</f>
        <v/>
      </c>
      <c r="F717" s="34" t="str">
        <f aca="false">MID(B717,10,1)</f>
        <v/>
      </c>
      <c r="G717" s="34" t="str">
        <f aca="false">MID(B717,11,1)</f>
        <v/>
      </c>
      <c r="H717" s="35" t="str">
        <f aca="false">IF(G717=".",F717,CONCATENATE(F717,G717))</f>
        <v/>
      </c>
      <c r="I717" s="34" t="n">
        <f aca="false">IFERROR(VALUE(H717),)</f>
        <v>0</v>
      </c>
      <c r="J717" s="34" t="e">
        <f aca="false">RIGHT(B717,LEN(B717)-FIND("/",B717, FIND("Single Cells",B717, 1)))</f>
        <v>#VALUE!</v>
      </c>
    </row>
    <row r="718" customFormat="false" ht="12.75" hidden="false" customHeight="false" outlineLevel="0" collapsed="false">
      <c r="E718" s="34" t="str">
        <f aca="false">MID(B718,9,1)</f>
        <v/>
      </c>
      <c r="F718" s="34" t="str">
        <f aca="false">MID(B718,10,1)</f>
        <v/>
      </c>
      <c r="G718" s="34" t="str">
        <f aca="false">MID(B718,11,1)</f>
        <v/>
      </c>
      <c r="H718" s="35" t="str">
        <f aca="false">IF(G718=".",F718,CONCATENATE(F718,G718))</f>
        <v/>
      </c>
      <c r="I718" s="34" t="n">
        <f aca="false">IFERROR(VALUE(H718),)</f>
        <v>0</v>
      </c>
      <c r="J718" s="34" t="e">
        <f aca="false">RIGHT(B718,LEN(B718)-FIND("/",B718, FIND("Single Cells",B718, 1)))</f>
        <v>#VALUE!</v>
      </c>
    </row>
    <row r="719" customFormat="false" ht="12.75" hidden="false" customHeight="false" outlineLevel="0" collapsed="false">
      <c r="E719" s="34" t="str">
        <f aca="false">MID(B719,9,1)</f>
        <v/>
      </c>
      <c r="F719" s="34" t="str">
        <f aca="false">MID(B719,10,1)</f>
        <v/>
      </c>
      <c r="G719" s="34" t="str">
        <f aca="false">MID(B719,11,1)</f>
        <v/>
      </c>
      <c r="H719" s="35" t="str">
        <f aca="false">IF(G719=".",F719,CONCATENATE(F719,G719))</f>
        <v/>
      </c>
      <c r="I719" s="34" t="n">
        <f aca="false">IFERROR(VALUE(H719),)</f>
        <v>0</v>
      </c>
      <c r="J719" s="34" t="e">
        <f aca="false">RIGHT(B719,LEN(B719)-FIND("/",B719, FIND("Single Cells",B719, 1)))</f>
        <v>#VALUE!</v>
      </c>
    </row>
    <row r="720" customFormat="false" ht="12.75" hidden="false" customHeight="false" outlineLevel="0" collapsed="false">
      <c r="E720" s="34" t="str">
        <f aca="false">MID(B720,9,1)</f>
        <v/>
      </c>
      <c r="F720" s="34" t="str">
        <f aca="false">MID(B720,10,1)</f>
        <v/>
      </c>
      <c r="G720" s="34" t="str">
        <f aca="false">MID(B720,11,1)</f>
        <v/>
      </c>
      <c r="H720" s="35" t="str">
        <f aca="false">IF(G720=".",F720,CONCATENATE(F720,G720))</f>
        <v/>
      </c>
      <c r="I720" s="34" t="n">
        <f aca="false">IFERROR(VALUE(H720),)</f>
        <v>0</v>
      </c>
      <c r="J720" s="34" t="e">
        <f aca="false">RIGHT(B720,LEN(B720)-FIND("/",B720, FIND("Single Cells",B720, 1)))</f>
        <v>#VALUE!</v>
      </c>
    </row>
    <row r="721" customFormat="false" ht="12.75" hidden="false" customHeight="false" outlineLevel="0" collapsed="false">
      <c r="E721" s="34" t="str">
        <f aca="false">MID(B721,9,1)</f>
        <v/>
      </c>
      <c r="F721" s="34" t="str">
        <f aca="false">MID(B721,10,1)</f>
        <v/>
      </c>
      <c r="G721" s="34" t="str">
        <f aca="false">MID(B721,11,1)</f>
        <v/>
      </c>
      <c r="H721" s="35" t="str">
        <f aca="false">IF(G721=".",F721,CONCATENATE(F721,G721))</f>
        <v/>
      </c>
      <c r="I721" s="34" t="n">
        <f aca="false">IFERROR(VALUE(H721),)</f>
        <v>0</v>
      </c>
      <c r="J721" s="34" t="e">
        <f aca="false">RIGHT(B721,LEN(B721)-FIND("/",B721, FIND("Single Cells",B721, 1)))</f>
        <v>#VALUE!</v>
      </c>
    </row>
    <row r="722" customFormat="false" ht="12.75" hidden="false" customHeight="false" outlineLevel="0" collapsed="false">
      <c r="E722" s="34" t="str">
        <f aca="false">MID(B722,9,1)</f>
        <v/>
      </c>
      <c r="F722" s="34" t="str">
        <f aca="false">MID(B722,10,1)</f>
        <v/>
      </c>
      <c r="G722" s="34" t="str">
        <f aca="false">MID(B722,11,1)</f>
        <v/>
      </c>
      <c r="H722" s="35" t="str">
        <f aca="false">IF(G722=".",F722,CONCATENATE(F722,G722))</f>
        <v/>
      </c>
      <c r="I722" s="34" t="n">
        <f aca="false">IFERROR(VALUE(H722),)</f>
        <v>0</v>
      </c>
      <c r="J722" s="34" t="e">
        <f aca="false">RIGHT(B722,LEN(B722)-FIND("/",B722, FIND("Single Cells",B722, 1)))</f>
        <v>#VALUE!</v>
      </c>
    </row>
    <row r="723" customFormat="false" ht="12.75" hidden="false" customHeight="false" outlineLevel="0" collapsed="false">
      <c r="E723" s="34" t="str">
        <f aca="false">MID(B723,9,1)</f>
        <v/>
      </c>
      <c r="F723" s="34" t="str">
        <f aca="false">MID(B723,10,1)</f>
        <v/>
      </c>
      <c r="G723" s="34" t="str">
        <f aca="false">MID(B723,11,1)</f>
        <v/>
      </c>
      <c r="H723" s="35" t="str">
        <f aca="false">IF(G723=".",F723,CONCATENATE(F723,G723))</f>
        <v/>
      </c>
      <c r="I723" s="34" t="n">
        <f aca="false">IFERROR(VALUE(H723),)</f>
        <v>0</v>
      </c>
      <c r="J723" s="34" t="e">
        <f aca="false">RIGHT(B723,LEN(B723)-FIND("/",B723, FIND("Single Cells",B723, 1)))</f>
        <v>#VALUE!</v>
      </c>
    </row>
    <row r="724" customFormat="false" ht="12.75" hidden="false" customHeight="false" outlineLevel="0" collapsed="false">
      <c r="E724" s="34" t="str">
        <f aca="false">MID(B724,9,1)</f>
        <v/>
      </c>
      <c r="F724" s="34" t="str">
        <f aca="false">MID(B724,10,1)</f>
        <v/>
      </c>
      <c r="G724" s="34" t="str">
        <f aca="false">MID(B724,11,1)</f>
        <v/>
      </c>
      <c r="H724" s="35" t="str">
        <f aca="false">IF(G724=".",F724,CONCATENATE(F724,G724))</f>
        <v/>
      </c>
      <c r="I724" s="34" t="n">
        <f aca="false">IFERROR(VALUE(H724),)</f>
        <v>0</v>
      </c>
      <c r="J724" s="34" t="e">
        <f aca="false">RIGHT(B724,LEN(B724)-FIND("/",B724, FIND("Single Cells",B724, 1)))</f>
        <v>#VALUE!</v>
      </c>
    </row>
    <row r="725" customFormat="false" ht="12.75" hidden="false" customHeight="false" outlineLevel="0" collapsed="false">
      <c r="E725" s="34" t="str">
        <f aca="false">MID(B725,9,1)</f>
        <v/>
      </c>
      <c r="F725" s="34" t="str">
        <f aca="false">MID(B725,10,1)</f>
        <v/>
      </c>
      <c r="G725" s="34" t="str">
        <f aca="false">MID(B725,11,1)</f>
        <v/>
      </c>
      <c r="H725" s="35" t="str">
        <f aca="false">IF(G725=".",F725,CONCATENATE(F725,G725))</f>
        <v/>
      </c>
      <c r="I725" s="34" t="n">
        <f aca="false">IFERROR(VALUE(H725),)</f>
        <v>0</v>
      </c>
      <c r="J725" s="34" t="e">
        <f aca="false">RIGHT(B725,LEN(B725)-FIND("/",B725, FIND("Single Cells",B725, 1)))</f>
        <v>#VALUE!</v>
      </c>
    </row>
    <row r="726" customFormat="false" ht="12.75" hidden="false" customHeight="false" outlineLevel="0" collapsed="false">
      <c r="E726" s="34" t="str">
        <f aca="false">MID(B726,9,1)</f>
        <v/>
      </c>
      <c r="F726" s="34" t="str">
        <f aca="false">MID(B726,10,1)</f>
        <v/>
      </c>
      <c r="G726" s="34" t="str">
        <f aca="false">MID(B726,11,1)</f>
        <v/>
      </c>
      <c r="H726" s="35" t="str">
        <f aca="false">IF(G726=".",F726,CONCATENATE(F726,G726))</f>
        <v/>
      </c>
      <c r="I726" s="34" t="n">
        <f aca="false">IFERROR(VALUE(H726),)</f>
        <v>0</v>
      </c>
      <c r="J726" s="34" t="e">
        <f aca="false">RIGHT(B726,LEN(B726)-FIND("/",B726, FIND("Single Cells",B726, 1)))</f>
        <v>#VALUE!</v>
      </c>
    </row>
    <row r="727" customFormat="false" ht="12.75" hidden="false" customHeight="false" outlineLevel="0" collapsed="false">
      <c r="E727" s="34" t="str">
        <f aca="false">MID(B727,9,1)</f>
        <v/>
      </c>
      <c r="F727" s="34" t="str">
        <f aca="false">MID(B727,10,1)</f>
        <v/>
      </c>
      <c r="G727" s="34" t="str">
        <f aca="false">MID(B727,11,1)</f>
        <v/>
      </c>
      <c r="H727" s="35" t="str">
        <f aca="false">IF(G727=".",F727,CONCATENATE(F727,G727))</f>
        <v/>
      </c>
      <c r="I727" s="34" t="n">
        <f aca="false">IFERROR(VALUE(H727),)</f>
        <v>0</v>
      </c>
      <c r="J727" s="34" t="e">
        <f aca="false">RIGHT(B727,LEN(B727)-FIND("/",B727, FIND("Single Cells",B727, 1)))</f>
        <v>#VALUE!</v>
      </c>
    </row>
    <row r="728" customFormat="false" ht="12.75" hidden="false" customHeight="false" outlineLevel="0" collapsed="false">
      <c r="E728" s="34" t="str">
        <f aca="false">MID(B728,9,1)</f>
        <v/>
      </c>
      <c r="F728" s="34" t="str">
        <f aca="false">MID(B728,10,1)</f>
        <v/>
      </c>
      <c r="G728" s="34" t="str">
        <f aca="false">MID(B728,11,1)</f>
        <v/>
      </c>
      <c r="H728" s="35" t="str">
        <f aca="false">IF(G728=".",F728,CONCATENATE(F728,G728))</f>
        <v/>
      </c>
      <c r="I728" s="34" t="n">
        <f aca="false">IFERROR(VALUE(H728),)</f>
        <v>0</v>
      </c>
      <c r="J728" s="34" t="e">
        <f aca="false">RIGHT(B728,LEN(B728)-FIND("/",B728, FIND("Single Cells",B728, 1)))</f>
        <v>#VALUE!</v>
      </c>
    </row>
    <row r="729" customFormat="false" ht="12.75" hidden="false" customHeight="false" outlineLevel="0" collapsed="false">
      <c r="E729" s="34" t="str">
        <f aca="false">MID(B729,9,1)</f>
        <v/>
      </c>
      <c r="F729" s="34" t="str">
        <f aca="false">MID(B729,10,1)</f>
        <v/>
      </c>
      <c r="G729" s="34" t="str">
        <f aca="false">MID(B729,11,1)</f>
        <v/>
      </c>
      <c r="H729" s="35" t="str">
        <f aca="false">IF(G729=".",F729,CONCATENATE(F729,G729))</f>
        <v/>
      </c>
      <c r="I729" s="34" t="n">
        <f aca="false">IFERROR(VALUE(H729),)</f>
        <v>0</v>
      </c>
      <c r="J729" s="34" t="e">
        <f aca="false">RIGHT(B729,LEN(B729)-FIND("/",B729, FIND("Single Cells",B729, 1)))</f>
        <v>#VALUE!</v>
      </c>
    </row>
    <row r="730" customFormat="false" ht="12.75" hidden="false" customHeight="false" outlineLevel="0" collapsed="false">
      <c r="E730" s="34" t="str">
        <f aca="false">MID(B730,9,1)</f>
        <v/>
      </c>
      <c r="F730" s="34" t="str">
        <f aca="false">MID(B730,10,1)</f>
        <v/>
      </c>
      <c r="G730" s="34" t="str">
        <f aca="false">MID(B730,11,1)</f>
        <v/>
      </c>
      <c r="H730" s="35" t="str">
        <f aca="false">IF(G730=".",F730,CONCATENATE(F730,G730))</f>
        <v/>
      </c>
      <c r="I730" s="34" t="n">
        <f aca="false">IFERROR(VALUE(H730),)</f>
        <v>0</v>
      </c>
      <c r="J730" s="34" t="e">
        <f aca="false">RIGHT(B730,LEN(B730)-FIND("/",B730, FIND("Single Cells",B730, 1)))</f>
        <v>#VALUE!</v>
      </c>
    </row>
    <row r="731" customFormat="false" ht="12.75" hidden="false" customHeight="false" outlineLevel="0" collapsed="false">
      <c r="E731" s="34" t="str">
        <f aca="false">MID(B731,9,1)</f>
        <v/>
      </c>
      <c r="F731" s="34" t="str">
        <f aca="false">MID(B731,10,1)</f>
        <v/>
      </c>
      <c r="G731" s="34" t="str">
        <f aca="false">MID(B731,11,1)</f>
        <v/>
      </c>
      <c r="H731" s="35" t="str">
        <f aca="false">IF(G731=".",F731,CONCATENATE(F731,G731))</f>
        <v/>
      </c>
      <c r="I731" s="34" t="n">
        <f aca="false">IFERROR(VALUE(H731),)</f>
        <v>0</v>
      </c>
      <c r="J731" s="34" t="e">
        <f aca="false">RIGHT(B731,LEN(B731)-FIND("/",B731, FIND("Single Cells",B731, 1)))</f>
        <v>#VALUE!</v>
      </c>
    </row>
    <row r="732" customFormat="false" ht="12.75" hidden="false" customHeight="false" outlineLevel="0" collapsed="false">
      <c r="E732" s="34" t="str">
        <f aca="false">MID(B732,9,1)</f>
        <v/>
      </c>
      <c r="F732" s="34" t="str">
        <f aca="false">MID(B732,10,1)</f>
        <v/>
      </c>
      <c r="G732" s="34" t="str">
        <f aca="false">MID(B732,11,1)</f>
        <v/>
      </c>
      <c r="H732" s="35" t="str">
        <f aca="false">IF(G732=".",F732,CONCATENATE(F732,G732))</f>
        <v/>
      </c>
      <c r="I732" s="34" t="n">
        <f aca="false">IFERROR(VALUE(H732),)</f>
        <v>0</v>
      </c>
      <c r="J732" s="34" t="e">
        <f aca="false">RIGHT(B732,LEN(B732)-FIND("/",B732, FIND("Single Cells",B732, 1)))</f>
        <v>#VALUE!</v>
      </c>
    </row>
    <row r="733" customFormat="false" ht="12.75" hidden="false" customHeight="false" outlineLevel="0" collapsed="false">
      <c r="E733" s="34" t="str">
        <f aca="false">MID(B733,9,1)</f>
        <v/>
      </c>
      <c r="F733" s="34" t="str">
        <f aca="false">MID(B733,10,1)</f>
        <v/>
      </c>
      <c r="G733" s="34" t="str">
        <f aca="false">MID(B733,11,1)</f>
        <v/>
      </c>
      <c r="H733" s="35" t="str">
        <f aca="false">IF(G733=".",F733,CONCATENATE(F733,G733))</f>
        <v/>
      </c>
      <c r="I733" s="34" t="n">
        <f aca="false">IFERROR(VALUE(H733),)</f>
        <v>0</v>
      </c>
      <c r="J733" s="34" t="e">
        <f aca="false">RIGHT(B733,LEN(B733)-FIND("/",B733, FIND("Single Cells",B733, 1)))</f>
        <v>#VALUE!</v>
      </c>
    </row>
    <row r="734" customFormat="false" ht="12.75" hidden="false" customHeight="false" outlineLevel="0" collapsed="false">
      <c r="E734" s="34" t="str">
        <f aca="false">MID(B734,9,1)</f>
        <v/>
      </c>
      <c r="F734" s="34" t="str">
        <f aca="false">MID(B734,10,1)</f>
        <v/>
      </c>
      <c r="G734" s="34" t="str">
        <f aca="false">MID(B734,11,1)</f>
        <v/>
      </c>
      <c r="H734" s="35" t="str">
        <f aca="false">IF(G734=".",F734,CONCATENATE(F734,G734))</f>
        <v/>
      </c>
      <c r="I734" s="34" t="n">
        <f aca="false">IFERROR(VALUE(H734),)</f>
        <v>0</v>
      </c>
      <c r="J734" s="34" t="e">
        <f aca="false">RIGHT(B734,LEN(B734)-FIND("/",B734, FIND("Single Cells",B734, 1)))</f>
        <v>#VALUE!</v>
      </c>
    </row>
    <row r="735" customFormat="false" ht="12.75" hidden="false" customHeight="false" outlineLevel="0" collapsed="false">
      <c r="E735" s="34" t="str">
        <f aca="false">MID(B735,9,1)</f>
        <v/>
      </c>
      <c r="F735" s="34" t="str">
        <f aca="false">MID(B735,10,1)</f>
        <v/>
      </c>
      <c r="G735" s="34" t="str">
        <f aca="false">MID(B735,11,1)</f>
        <v/>
      </c>
      <c r="H735" s="35" t="str">
        <f aca="false">IF(G735=".",F735,CONCATENATE(F735,G735))</f>
        <v/>
      </c>
      <c r="I735" s="34" t="n">
        <f aca="false">IFERROR(VALUE(H735),)</f>
        <v>0</v>
      </c>
      <c r="J735" s="34" t="e">
        <f aca="false">RIGHT(B735,LEN(B735)-FIND("/",B735, FIND("Single Cells",B735, 1)))</f>
        <v>#VALUE!</v>
      </c>
    </row>
    <row r="736" customFormat="false" ht="12.75" hidden="false" customHeight="false" outlineLevel="0" collapsed="false">
      <c r="E736" s="34" t="str">
        <f aca="false">MID(B736,9,1)</f>
        <v/>
      </c>
      <c r="F736" s="34" t="str">
        <f aca="false">MID(B736,10,1)</f>
        <v/>
      </c>
      <c r="G736" s="34" t="str">
        <f aca="false">MID(B736,11,1)</f>
        <v/>
      </c>
      <c r="H736" s="35" t="str">
        <f aca="false">IF(G736=".",F736,CONCATENATE(F736,G736))</f>
        <v/>
      </c>
      <c r="I736" s="34" t="n">
        <f aca="false">IFERROR(VALUE(H736),)</f>
        <v>0</v>
      </c>
      <c r="J736" s="34" t="e">
        <f aca="false">RIGHT(B736,LEN(B736)-FIND("/",B736, FIND("Single Cells",B736, 1)))</f>
        <v>#VALUE!</v>
      </c>
    </row>
    <row r="737" customFormat="false" ht="12.75" hidden="false" customHeight="false" outlineLevel="0" collapsed="false">
      <c r="E737" s="34" t="str">
        <f aca="false">MID(B737,9,1)</f>
        <v/>
      </c>
      <c r="F737" s="34" t="str">
        <f aca="false">MID(B737,10,1)</f>
        <v/>
      </c>
      <c r="G737" s="34" t="str">
        <f aca="false">MID(B737,11,1)</f>
        <v/>
      </c>
      <c r="H737" s="35" t="str">
        <f aca="false">IF(G737=".",F737,CONCATENATE(F737,G737))</f>
        <v/>
      </c>
      <c r="I737" s="34" t="n">
        <f aca="false">IFERROR(VALUE(H737),)</f>
        <v>0</v>
      </c>
      <c r="J737" s="34" t="e">
        <f aca="false">RIGHT(B737,LEN(B737)-FIND("/",B737, FIND("Single Cells",B737, 1)))</f>
        <v>#VALUE!</v>
      </c>
    </row>
    <row r="738" customFormat="false" ht="12.75" hidden="false" customHeight="false" outlineLevel="0" collapsed="false">
      <c r="E738" s="34" t="str">
        <f aca="false">MID(B738,9,1)</f>
        <v/>
      </c>
      <c r="F738" s="34" t="str">
        <f aca="false">MID(B738,10,1)</f>
        <v/>
      </c>
      <c r="G738" s="34" t="str">
        <f aca="false">MID(B738,11,1)</f>
        <v/>
      </c>
      <c r="H738" s="35" t="str">
        <f aca="false">IF(G738=".",F738,CONCATENATE(F738,G738))</f>
        <v/>
      </c>
      <c r="I738" s="34" t="n">
        <f aca="false">IFERROR(VALUE(H738),)</f>
        <v>0</v>
      </c>
      <c r="J738" s="34" t="e">
        <f aca="false">RIGHT(B738,LEN(B738)-FIND("/",B738, FIND("Single Cells",B738, 1)))</f>
        <v>#VALUE!</v>
      </c>
    </row>
    <row r="739" customFormat="false" ht="12.75" hidden="false" customHeight="false" outlineLevel="0" collapsed="false">
      <c r="E739" s="34" t="str">
        <f aca="false">MID(B739,9,1)</f>
        <v/>
      </c>
      <c r="F739" s="34" t="str">
        <f aca="false">MID(B739,10,1)</f>
        <v/>
      </c>
      <c r="G739" s="34" t="str">
        <f aca="false">MID(B739,11,1)</f>
        <v/>
      </c>
      <c r="H739" s="35" t="str">
        <f aca="false">IF(G739=".",F739,CONCATENATE(F739,G739))</f>
        <v/>
      </c>
      <c r="I739" s="34" t="n">
        <f aca="false">IFERROR(VALUE(H739),)</f>
        <v>0</v>
      </c>
      <c r="J739" s="34" t="e">
        <f aca="false">RIGHT(B739,LEN(B739)-FIND("/",B739, FIND("Single Cells",B739, 1)))</f>
        <v>#VALUE!</v>
      </c>
    </row>
    <row r="740" customFormat="false" ht="12.75" hidden="false" customHeight="false" outlineLevel="0" collapsed="false">
      <c r="E740" s="34" t="str">
        <f aca="false">MID(B740,9,1)</f>
        <v/>
      </c>
      <c r="F740" s="34" t="str">
        <f aca="false">MID(B740,10,1)</f>
        <v/>
      </c>
      <c r="G740" s="34" t="str">
        <f aca="false">MID(B740,11,1)</f>
        <v/>
      </c>
      <c r="H740" s="35" t="str">
        <f aca="false">IF(G740=".",F740,CONCATENATE(F740,G740))</f>
        <v/>
      </c>
      <c r="I740" s="34" t="n">
        <f aca="false">IFERROR(VALUE(H740),)</f>
        <v>0</v>
      </c>
      <c r="J740" s="34" t="e">
        <f aca="false">RIGHT(B740,LEN(B740)-FIND("/",B740, FIND("Single Cells",B740, 1)))</f>
        <v>#VALUE!</v>
      </c>
    </row>
    <row r="741" customFormat="false" ht="12.75" hidden="false" customHeight="false" outlineLevel="0" collapsed="false">
      <c r="E741" s="34" t="str">
        <f aca="false">MID(B741,9,1)</f>
        <v/>
      </c>
      <c r="F741" s="34" t="str">
        <f aca="false">MID(B741,10,1)</f>
        <v/>
      </c>
      <c r="G741" s="34" t="str">
        <f aca="false">MID(B741,11,1)</f>
        <v/>
      </c>
      <c r="H741" s="35" t="str">
        <f aca="false">IF(G741=".",F741,CONCATENATE(F741,G741))</f>
        <v/>
      </c>
      <c r="I741" s="34" t="n">
        <f aca="false">IFERROR(VALUE(H741),)</f>
        <v>0</v>
      </c>
      <c r="J741" s="34" t="e">
        <f aca="false">RIGHT(B741,LEN(B741)-FIND("/",B741, FIND("Single Cells",B741, 1)))</f>
        <v>#VALUE!</v>
      </c>
    </row>
    <row r="742" customFormat="false" ht="12.75" hidden="false" customHeight="false" outlineLevel="0" collapsed="false">
      <c r="E742" s="34" t="str">
        <f aca="false">MID(B742,9,1)</f>
        <v/>
      </c>
      <c r="F742" s="34" t="str">
        <f aca="false">MID(B742,10,1)</f>
        <v/>
      </c>
      <c r="G742" s="34" t="str">
        <f aca="false">MID(B742,11,1)</f>
        <v/>
      </c>
      <c r="H742" s="35" t="str">
        <f aca="false">IF(G742=".",F742,CONCATENATE(F742,G742))</f>
        <v/>
      </c>
      <c r="I742" s="34" t="n">
        <f aca="false">IFERROR(VALUE(H742),)</f>
        <v>0</v>
      </c>
      <c r="J742" s="34" t="e">
        <f aca="false">RIGHT(B742,LEN(B742)-FIND("/",B742, FIND("Single Cells",B742, 1)))</f>
        <v>#VALUE!</v>
      </c>
    </row>
    <row r="743" customFormat="false" ht="12.75" hidden="false" customHeight="false" outlineLevel="0" collapsed="false">
      <c r="E743" s="34" t="str">
        <f aca="false">MID(B743,9,1)</f>
        <v/>
      </c>
      <c r="F743" s="34" t="str">
        <f aca="false">MID(B743,10,1)</f>
        <v/>
      </c>
      <c r="G743" s="34" t="str">
        <f aca="false">MID(B743,11,1)</f>
        <v/>
      </c>
      <c r="H743" s="35" t="str">
        <f aca="false">IF(G743=".",F743,CONCATENATE(F743,G743))</f>
        <v/>
      </c>
      <c r="I743" s="34" t="n">
        <f aca="false">IFERROR(VALUE(H743),)</f>
        <v>0</v>
      </c>
      <c r="J743" s="34" t="e">
        <f aca="false">RIGHT(B743,LEN(B743)-FIND("/",B743, FIND("Single Cells",B743, 1)))</f>
        <v>#VALUE!</v>
      </c>
    </row>
    <row r="744" customFormat="false" ht="12.75" hidden="false" customHeight="false" outlineLevel="0" collapsed="false">
      <c r="E744" s="34" t="str">
        <f aca="false">MID(B744,9,1)</f>
        <v/>
      </c>
      <c r="F744" s="34" t="str">
        <f aca="false">MID(B744,10,1)</f>
        <v/>
      </c>
      <c r="G744" s="34" t="str">
        <f aca="false">MID(B744,11,1)</f>
        <v/>
      </c>
      <c r="H744" s="35" t="str">
        <f aca="false">IF(G744=".",F744,CONCATENATE(F744,G744))</f>
        <v/>
      </c>
      <c r="I744" s="34" t="n">
        <f aca="false">IFERROR(VALUE(H744),)</f>
        <v>0</v>
      </c>
      <c r="J744" s="34" t="e">
        <f aca="false">RIGHT(B744,LEN(B744)-FIND("/",B744, FIND("Single Cells",B744, 1)))</f>
        <v>#VALUE!</v>
      </c>
    </row>
    <row r="745" customFormat="false" ht="12.75" hidden="false" customHeight="false" outlineLevel="0" collapsed="false">
      <c r="E745" s="34" t="str">
        <f aca="false">MID(B745,9,1)</f>
        <v/>
      </c>
      <c r="F745" s="34" t="str">
        <f aca="false">MID(B745,10,1)</f>
        <v/>
      </c>
      <c r="G745" s="34" t="str">
        <f aca="false">MID(B745,11,1)</f>
        <v/>
      </c>
      <c r="H745" s="35" t="str">
        <f aca="false">IF(G745=".",F745,CONCATENATE(F745,G745))</f>
        <v/>
      </c>
      <c r="I745" s="34" t="n">
        <f aca="false">IFERROR(VALUE(H745),)</f>
        <v>0</v>
      </c>
      <c r="J745" s="34" t="e">
        <f aca="false">RIGHT(B745,LEN(B745)-FIND("/",B745, FIND("Single Cells",B745, 1)))</f>
        <v>#VALUE!</v>
      </c>
    </row>
    <row r="746" customFormat="false" ht="12.75" hidden="false" customHeight="false" outlineLevel="0" collapsed="false">
      <c r="E746" s="34" t="str">
        <f aca="false">MID(B746,9,1)</f>
        <v/>
      </c>
      <c r="F746" s="34" t="str">
        <f aca="false">MID(B746,10,1)</f>
        <v/>
      </c>
      <c r="G746" s="34" t="str">
        <f aca="false">MID(B746,11,1)</f>
        <v/>
      </c>
      <c r="H746" s="35" t="str">
        <f aca="false">IF(G746=".",F746,CONCATENATE(F746,G746))</f>
        <v/>
      </c>
      <c r="I746" s="34" t="n">
        <f aca="false">IFERROR(VALUE(H746),)</f>
        <v>0</v>
      </c>
      <c r="J746" s="34" t="e">
        <f aca="false">RIGHT(B746,LEN(B746)-FIND("/",B746, FIND("Single Cells",B746, 1)))</f>
        <v>#VALUE!</v>
      </c>
    </row>
    <row r="747" customFormat="false" ht="12.75" hidden="false" customHeight="false" outlineLevel="0" collapsed="false">
      <c r="E747" s="34" t="str">
        <f aca="false">MID(B747,9,1)</f>
        <v/>
      </c>
      <c r="F747" s="34" t="str">
        <f aca="false">MID(B747,10,1)</f>
        <v/>
      </c>
      <c r="G747" s="34" t="str">
        <f aca="false">MID(B747,11,1)</f>
        <v/>
      </c>
      <c r="H747" s="35" t="str">
        <f aca="false">IF(G747=".",F747,CONCATENATE(F747,G747))</f>
        <v/>
      </c>
      <c r="I747" s="34" t="n">
        <f aca="false">IFERROR(VALUE(H747),)</f>
        <v>0</v>
      </c>
      <c r="J747" s="34" t="e">
        <f aca="false">RIGHT(B747,LEN(B747)-FIND("/",B747, FIND("Single Cells",B747, 1)))</f>
        <v>#VALUE!</v>
      </c>
    </row>
    <row r="748" customFormat="false" ht="12.75" hidden="false" customHeight="false" outlineLevel="0" collapsed="false">
      <c r="E748" s="34" t="str">
        <f aca="false">MID(B748,9,1)</f>
        <v/>
      </c>
      <c r="F748" s="34" t="str">
        <f aca="false">MID(B748,10,1)</f>
        <v/>
      </c>
      <c r="G748" s="34" t="str">
        <f aca="false">MID(B748,11,1)</f>
        <v/>
      </c>
      <c r="H748" s="35" t="str">
        <f aca="false">IF(G748=".",F748,CONCATENATE(F748,G748))</f>
        <v/>
      </c>
      <c r="I748" s="34" t="n">
        <f aca="false">IFERROR(VALUE(H748),)</f>
        <v>0</v>
      </c>
      <c r="J748" s="34" t="e">
        <f aca="false">RIGHT(B748,LEN(B748)-FIND("/",B748, FIND("Single Cells",B748, 1)))</f>
        <v>#VALUE!</v>
      </c>
    </row>
    <row r="749" customFormat="false" ht="12.75" hidden="false" customHeight="false" outlineLevel="0" collapsed="false">
      <c r="E749" s="34" t="str">
        <f aca="false">MID(B749,9,1)</f>
        <v/>
      </c>
      <c r="F749" s="34" t="str">
        <f aca="false">MID(B749,10,1)</f>
        <v/>
      </c>
      <c r="G749" s="34" t="str">
        <f aca="false">MID(B749,11,1)</f>
        <v/>
      </c>
      <c r="H749" s="35" t="str">
        <f aca="false">IF(G749=".",F749,CONCATENATE(F749,G749))</f>
        <v/>
      </c>
      <c r="I749" s="34" t="n">
        <f aca="false">IFERROR(VALUE(H749),)</f>
        <v>0</v>
      </c>
      <c r="J749" s="34" t="e">
        <f aca="false">RIGHT(B749,LEN(B749)-FIND("/",B749, FIND("Single Cells",B749, 1)))</f>
        <v>#VALUE!</v>
      </c>
    </row>
    <row r="750" customFormat="false" ht="12.75" hidden="false" customHeight="false" outlineLevel="0" collapsed="false">
      <c r="E750" s="34" t="str">
        <f aca="false">MID(B750,9,1)</f>
        <v/>
      </c>
      <c r="F750" s="34" t="str">
        <f aca="false">MID(B750,10,1)</f>
        <v/>
      </c>
      <c r="G750" s="34" t="str">
        <f aca="false">MID(B750,11,1)</f>
        <v/>
      </c>
      <c r="H750" s="35" t="str">
        <f aca="false">IF(G750=".",F750,CONCATENATE(F750,G750))</f>
        <v/>
      </c>
      <c r="I750" s="34" t="n">
        <f aca="false">IFERROR(VALUE(H750),)</f>
        <v>0</v>
      </c>
      <c r="J750" s="34" t="e">
        <f aca="false">RIGHT(B750,LEN(B750)-FIND("/",B750, FIND("Single Cells",B750, 1)))</f>
        <v>#VALUE!</v>
      </c>
    </row>
    <row r="751" customFormat="false" ht="12.75" hidden="false" customHeight="false" outlineLevel="0" collapsed="false">
      <c r="E751" s="34" t="str">
        <f aca="false">MID(B751,9,1)</f>
        <v/>
      </c>
      <c r="F751" s="34" t="str">
        <f aca="false">MID(B751,10,1)</f>
        <v/>
      </c>
      <c r="G751" s="34" t="str">
        <f aca="false">MID(B751,11,1)</f>
        <v/>
      </c>
      <c r="H751" s="35" t="str">
        <f aca="false">IF(G751=".",F751,CONCATENATE(F751,G751))</f>
        <v/>
      </c>
      <c r="I751" s="34" t="n">
        <f aca="false">IFERROR(VALUE(H751),)</f>
        <v>0</v>
      </c>
      <c r="J751" s="34" t="e">
        <f aca="false">RIGHT(B751,LEN(B751)-FIND("/",B751, FIND("Single Cells",B751, 1)))</f>
        <v>#VALUE!</v>
      </c>
    </row>
    <row r="752" customFormat="false" ht="12.75" hidden="false" customHeight="false" outlineLevel="0" collapsed="false">
      <c r="E752" s="34" t="str">
        <f aca="false">MID(B752,9,1)</f>
        <v/>
      </c>
      <c r="F752" s="34" t="str">
        <f aca="false">MID(B752,10,1)</f>
        <v/>
      </c>
      <c r="G752" s="34" t="str">
        <f aca="false">MID(B752,11,1)</f>
        <v/>
      </c>
      <c r="H752" s="35" t="str">
        <f aca="false">IF(G752=".",F752,CONCATENATE(F752,G752))</f>
        <v/>
      </c>
      <c r="I752" s="34" t="n">
        <f aca="false">IFERROR(VALUE(H752),)</f>
        <v>0</v>
      </c>
      <c r="J752" s="34" t="e">
        <f aca="false">RIGHT(B752,LEN(B752)-FIND("/",B752, FIND("Single Cells",B752, 1)))</f>
        <v>#VALUE!</v>
      </c>
    </row>
    <row r="753" customFormat="false" ht="12.75" hidden="false" customHeight="false" outlineLevel="0" collapsed="false">
      <c r="E753" s="34" t="str">
        <f aca="false">MID(B753,9,1)</f>
        <v/>
      </c>
      <c r="F753" s="34" t="str">
        <f aca="false">MID(B753,10,1)</f>
        <v/>
      </c>
      <c r="G753" s="34" t="str">
        <f aca="false">MID(B753,11,1)</f>
        <v/>
      </c>
      <c r="H753" s="35" t="str">
        <f aca="false">IF(G753=".",F753,CONCATENATE(F753,G753))</f>
        <v/>
      </c>
      <c r="I753" s="34" t="n">
        <f aca="false">IFERROR(VALUE(H753),)</f>
        <v>0</v>
      </c>
      <c r="J753" s="34" t="e">
        <f aca="false">RIGHT(B753,LEN(B753)-FIND("/",B753, FIND("Single Cells",B753, 1)))</f>
        <v>#VALUE!</v>
      </c>
    </row>
    <row r="754" customFormat="false" ht="12.75" hidden="false" customHeight="false" outlineLevel="0" collapsed="false">
      <c r="E754" s="34" t="str">
        <f aca="false">MID(B754,9,1)</f>
        <v/>
      </c>
      <c r="F754" s="34" t="str">
        <f aca="false">MID(B754,10,1)</f>
        <v/>
      </c>
      <c r="G754" s="34" t="str">
        <f aca="false">MID(B754,11,1)</f>
        <v/>
      </c>
      <c r="H754" s="35" t="str">
        <f aca="false">IF(G754=".",F754,CONCATENATE(F754,G754))</f>
        <v/>
      </c>
      <c r="I754" s="34" t="n">
        <f aca="false">IFERROR(VALUE(H754),)</f>
        <v>0</v>
      </c>
      <c r="J754" s="34" t="e">
        <f aca="false">RIGHT(B754,LEN(B754)-FIND("/",B754, FIND("Single Cells",B754, 1)))</f>
        <v>#VALUE!</v>
      </c>
    </row>
    <row r="755" customFormat="false" ht="12.75" hidden="false" customHeight="false" outlineLevel="0" collapsed="false">
      <c r="E755" s="34" t="str">
        <f aca="false">MID(B755,9,1)</f>
        <v/>
      </c>
      <c r="F755" s="34" t="str">
        <f aca="false">MID(B755,10,1)</f>
        <v/>
      </c>
      <c r="G755" s="34" t="str">
        <f aca="false">MID(B755,11,1)</f>
        <v/>
      </c>
      <c r="H755" s="35" t="str">
        <f aca="false">IF(G755=".",F755,CONCATENATE(F755,G755))</f>
        <v/>
      </c>
      <c r="I755" s="34" t="n">
        <f aca="false">IFERROR(VALUE(H755),)</f>
        <v>0</v>
      </c>
      <c r="J755" s="34" t="e">
        <f aca="false">RIGHT(B755,LEN(B755)-FIND("/",B755, FIND("Single Cells",B755, 1)))</f>
        <v>#VALUE!</v>
      </c>
    </row>
    <row r="756" customFormat="false" ht="12.75" hidden="false" customHeight="false" outlineLevel="0" collapsed="false">
      <c r="E756" s="34" t="str">
        <f aca="false">MID(B756,9,1)</f>
        <v/>
      </c>
      <c r="F756" s="34" t="str">
        <f aca="false">MID(B756,10,1)</f>
        <v/>
      </c>
      <c r="G756" s="34" t="str">
        <f aca="false">MID(B756,11,1)</f>
        <v/>
      </c>
      <c r="H756" s="35" t="str">
        <f aca="false">IF(G756=".",F756,CONCATENATE(F756,G756))</f>
        <v/>
      </c>
      <c r="I756" s="34" t="n">
        <f aca="false">IFERROR(VALUE(H756),)</f>
        <v>0</v>
      </c>
      <c r="J756" s="34" t="e">
        <f aca="false">RIGHT(B756,LEN(B756)-FIND("/",B756, FIND("Single Cells",B756, 1)))</f>
        <v>#VALUE!</v>
      </c>
    </row>
    <row r="757" customFormat="false" ht="12.75" hidden="false" customHeight="false" outlineLevel="0" collapsed="false">
      <c r="E757" s="34" t="str">
        <f aca="false">MID(B757,9,1)</f>
        <v/>
      </c>
      <c r="F757" s="34" t="str">
        <f aca="false">MID(B757,10,1)</f>
        <v/>
      </c>
      <c r="G757" s="34" t="str">
        <f aca="false">MID(B757,11,1)</f>
        <v/>
      </c>
      <c r="H757" s="35" t="str">
        <f aca="false">IF(G757=".",F757,CONCATENATE(F757,G757))</f>
        <v/>
      </c>
      <c r="I757" s="34" t="n">
        <f aca="false">IFERROR(VALUE(H757),)</f>
        <v>0</v>
      </c>
      <c r="J757" s="34" t="e">
        <f aca="false">RIGHT(B757,LEN(B757)-FIND("/",B757, FIND("Single Cells",B757, 1)))</f>
        <v>#VALUE!</v>
      </c>
    </row>
    <row r="758" customFormat="false" ht="12.75" hidden="false" customHeight="false" outlineLevel="0" collapsed="false">
      <c r="E758" s="34" t="str">
        <f aca="false">MID(B758,9,1)</f>
        <v/>
      </c>
      <c r="F758" s="34" t="str">
        <f aca="false">MID(B758,10,1)</f>
        <v/>
      </c>
      <c r="G758" s="34" t="str">
        <f aca="false">MID(B758,11,1)</f>
        <v/>
      </c>
      <c r="H758" s="35" t="str">
        <f aca="false">IF(G758=".",F758,CONCATENATE(F758,G758))</f>
        <v/>
      </c>
      <c r="I758" s="34" t="n">
        <f aca="false">IFERROR(VALUE(H758),)</f>
        <v>0</v>
      </c>
      <c r="J758" s="34" t="e">
        <f aca="false">RIGHT(B758,LEN(B758)-FIND("/",B758, FIND("Single Cells",B758, 1)))</f>
        <v>#VALUE!</v>
      </c>
    </row>
    <row r="759" customFormat="false" ht="12.75" hidden="false" customHeight="false" outlineLevel="0" collapsed="false">
      <c r="E759" s="34" t="str">
        <f aca="false">MID(B759,9,1)</f>
        <v/>
      </c>
      <c r="F759" s="34" t="str">
        <f aca="false">MID(B759,10,1)</f>
        <v/>
      </c>
      <c r="G759" s="34" t="str">
        <f aca="false">MID(B759,11,1)</f>
        <v/>
      </c>
      <c r="H759" s="35" t="str">
        <f aca="false">IF(G759=".",F759,CONCATENATE(F759,G759))</f>
        <v/>
      </c>
      <c r="I759" s="34" t="n">
        <f aca="false">IFERROR(VALUE(H759),)</f>
        <v>0</v>
      </c>
      <c r="J759" s="34" t="e">
        <f aca="false">RIGHT(B759,LEN(B759)-FIND("/",B759, FIND("Single Cells",B759, 1)))</f>
        <v>#VALUE!</v>
      </c>
    </row>
    <row r="760" customFormat="false" ht="12.75" hidden="false" customHeight="false" outlineLevel="0" collapsed="false">
      <c r="E760" s="34" t="str">
        <f aca="false">MID(B760,9,1)</f>
        <v/>
      </c>
      <c r="F760" s="34" t="str">
        <f aca="false">MID(B760,10,1)</f>
        <v/>
      </c>
      <c r="G760" s="34" t="str">
        <f aca="false">MID(B760,11,1)</f>
        <v/>
      </c>
      <c r="H760" s="35" t="str">
        <f aca="false">IF(G760=".",F760,CONCATENATE(F760,G760))</f>
        <v/>
      </c>
      <c r="I760" s="34" t="n">
        <f aca="false">IFERROR(VALUE(H760),)</f>
        <v>0</v>
      </c>
      <c r="J760" s="34" t="e">
        <f aca="false">RIGHT(B760,LEN(B760)-FIND("/",B760, FIND("Single Cells",B760, 1)))</f>
        <v>#VALUE!</v>
      </c>
    </row>
    <row r="761" customFormat="false" ht="12.75" hidden="false" customHeight="false" outlineLevel="0" collapsed="false">
      <c r="E761" s="34" t="str">
        <f aca="false">MID(B761,9,1)</f>
        <v/>
      </c>
      <c r="F761" s="34" t="str">
        <f aca="false">MID(B761,10,1)</f>
        <v/>
      </c>
      <c r="G761" s="34" t="str">
        <f aca="false">MID(B761,11,1)</f>
        <v/>
      </c>
      <c r="H761" s="35" t="str">
        <f aca="false">IF(G761=".",F761,CONCATENATE(F761,G761))</f>
        <v/>
      </c>
      <c r="I761" s="34" t="n">
        <f aca="false">IFERROR(VALUE(H761),)</f>
        <v>0</v>
      </c>
      <c r="J761" s="34" t="e">
        <f aca="false">RIGHT(B761,LEN(B761)-FIND("/",B761, FIND("Single Cells",B761, 1)))</f>
        <v>#VALUE!</v>
      </c>
    </row>
    <row r="762" customFormat="false" ht="12.75" hidden="false" customHeight="false" outlineLevel="0" collapsed="false">
      <c r="E762" s="34" t="str">
        <f aca="false">MID(B762,9,1)</f>
        <v/>
      </c>
      <c r="F762" s="34" t="str">
        <f aca="false">MID(B762,10,1)</f>
        <v/>
      </c>
      <c r="G762" s="34" t="str">
        <f aca="false">MID(B762,11,1)</f>
        <v/>
      </c>
      <c r="H762" s="35" t="str">
        <f aca="false">IF(G762=".",F762,CONCATENATE(F762,G762))</f>
        <v/>
      </c>
      <c r="I762" s="34" t="n">
        <f aca="false">IFERROR(VALUE(H762),)</f>
        <v>0</v>
      </c>
      <c r="J762" s="34" t="e">
        <f aca="false">RIGHT(B762,LEN(B762)-FIND("/",B762, FIND("Single Cells",B762, 1)))</f>
        <v>#VALUE!</v>
      </c>
    </row>
    <row r="763" customFormat="false" ht="12.75" hidden="false" customHeight="false" outlineLevel="0" collapsed="false">
      <c r="E763" s="34" t="str">
        <f aca="false">MID(B763,9,1)</f>
        <v/>
      </c>
      <c r="F763" s="34" t="str">
        <f aca="false">MID(B763,10,1)</f>
        <v/>
      </c>
      <c r="G763" s="34" t="str">
        <f aca="false">MID(B763,11,1)</f>
        <v/>
      </c>
      <c r="H763" s="35" t="str">
        <f aca="false">IF(G763=".",F763,CONCATENATE(F763,G763))</f>
        <v/>
      </c>
      <c r="I763" s="34" t="n">
        <f aca="false">IFERROR(VALUE(H763),)</f>
        <v>0</v>
      </c>
      <c r="J763" s="34" t="e">
        <f aca="false">RIGHT(B763,LEN(B763)-FIND("/",B763, FIND("Single Cells",B763, 1)))</f>
        <v>#VALUE!</v>
      </c>
    </row>
    <row r="764" customFormat="false" ht="12.75" hidden="false" customHeight="false" outlineLevel="0" collapsed="false">
      <c r="E764" s="34" t="str">
        <f aca="false">MID(B764,9,1)</f>
        <v/>
      </c>
      <c r="F764" s="34" t="str">
        <f aca="false">MID(B764,10,1)</f>
        <v/>
      </c>
      <c r="G764" s="34" t="str">
        <f aca="false">MID(B764,11,1)</f>
        <v/>
      </c>
      <c r="H764" s="35" t="str">
        <f aca="false">IF(G764=".",F764,CONCATENATE(F764,G764))</f>
        <v/>
      </c>
      <c r="I764" s="34" t="n">
        <f aca="false">IFERROR(VALUE(H764),)</f>
        <v>0</v>
      </c>
      <c r="J764" s="34" t="e">
        <f aca="false">RIGHT(B764,LEN(B764)-FIND("/",B764, FIND("Single Cells",B764, 1)))</f>
        <v>#VALUE!</v>
      </c>
    </row>
    <row r="765" customFormat="false" ht="12.75" hidden="false" customHeight="false" outlineLevel="0" collapsed="false">
      <c r="E765" s="34" t="str">
        <f aca="false">MID(B765,9,1)</f>
        <v/>
      </c>
      <c r="F765" s="34" t="str">
        <f aca="false">MID(B765,10,1)</f>
        <v/>
      </c>
      <c r="G765" s="34" t="str">
        <f aca="false">MID(B765,11,1)</f>
        <v/>
      </c>
      <c r="H765" s="35" t="str">
        <f aca="false">IF(G765=".",F765,CONCATENATE(F765,G765))</f>
        <v/>
      </c>
      <c r="I765" s="34" t="n">
        <f aca="false">IFERROR(VALUE(H765),)</f>
        <v>0</v>
      </c>
      <c r="J765" s="34" t="e">
        <f aca="false">RIGHT(B765,LEN(B765)-FIND("/",B765, FIND("Single Cells",B765, 1)))</f>
        <v>#VALUE!</v>
      </c>
    </row>
    <row r="766" customFormat="false" ht="12.75" hidden="false" customHeight="false" outlineLevel="0" collapsed="false">
      <c r="E766" s="34" t="str">
        <f aca="false">MID(B766,9,1)</f>
        <v/>
      </c>
      <c r="F766" s="34" t="str">
        <f aca="false">MID(B766,10,1)</f>
        <v/>
      </c>
      <c r="G766" s="34" t="str">
        <f aca="false">MID(B766,11,1)</f>
        <v/>
      </c>
      <c r="H766" s="35" t="str">
        <f aca="false">IF(G766=".",F766,CONCATENATE(F766,G766))</f>
        <v/>
      </c>
      <c r="I766" s="34" t="n">
        <f aca="false">IFERROR(VALUE(H766),)</f>
        <v>0</v>
      </c>
      <c r="J766" s="34" t="e">
        <f aca="false">RIGHT(B766,LEN(B766)-FIND("/",B766, FIND("Single Cells",B766, 1)))</f>
        <v>#VALUE!</v>
      </c>
    </row>
    <row r="767" customFormat="false" ht="12.75" hidden="false" customHeight="false" outlineLevel="0" collapsed="false">
      <c r="E767" s="34" t="str">
        <f aca="false">MID(B767,9,1)</f>
        <v/>
      </c>
      <c r="F767" s="34" t="str">
        <f aca="false">MID(B767,10,1)</f>
        <v/>
      </c>
      <c r="G767" s="34" t="str">
        <f aca="false">MID(B767,11,1)</f>
        <v/>
      </c>
      <c r="H767" s="35" t="str">
        <f aca="false">IF(G767=".",F767,CONCATENATE(F767,G767))</f>
        <v/>
      </c>
      <c r="I767" s="34" t="n">
        <f aca="false">IFERROR(VALUE(H767),)</f>
        <v>0</v>
      </c>
      <c r="J767" s="34" t="e">
        <f aca="false">RIGHT(B767,LEN(B767)-FIND("/",B767, FIND("Single Cells",B767, 1)))</f>
        <v>#VALUE!</v>
      </c>
    </row>
    <row r="768" customFormat="false" ht="12.75" hidden="false" customHeight="false" outlineLevel="0" collapsed="false">
      <c r="E768" s="34" t="str">
        <f aca="false">MID(B768,9,1)</f>
        <v/>
      </c>
      <c r="F768" s="34" t="str">
        <f aca="false">MID(B768,10,1)</f>
        <v/>
      </c>
      <c r="G768" s="34" t="str">
        <f aca="false">MID(B768,11,1)</f>
        <v/>
      </c>
      <c r="H768" s="35" t="str">
        <f aca="false">IF(G768=".",F768,CONCATENATE(F768,G768))</f>
        <v/>
      </c>
      <c r="I768" s="34" t="n">
        <f aca="false">IFERROR(VALUE(H768),)</f>
        <v>0</v>
      </c>
      <c r="J768" s="34" t="e">
        <f aca="false">RIGHT(B768,LEN(B768)-FIND("/",B768, FIND("Single Cells",B768, 1)))</f>
        <v>#VALUE!</v>
      </c>
    </row>
    <row r="769" customFormat="false" ht="12.75" hidden="false" customHeight="false" outlineLevel="0" collapsed="false">
      <c r="E769" s="34" t="str">
        <f aca="false">MID(B769,9,1)</f>
        <v/>
      </c>
      <c r="F769" s="34" t="str">
        <f aca="false">MID(B769,10,1)</f>
        <v/>
      </c>
      <c r="G769" s="34" t="str">
        <f aca="false">MID(B769,11,1)</f>
        <v/>
      </c>
      <c r="H769" s="35" t="str">
        <f aca="false">IF(G769=".",F769,CONCATENATE(F769,G769))</f>
        <v/>
      </c>
      <c r="I769" s="34" t="n">
        <f aca="false">IFERROR(VALUE(H769),)</f>
        <v>0</v>
      </c>
      <c r="J769" s="34" t="e">
        <f aca="false">RIGHT(B769,LEN(B769)-FIND("/",B769, FIND("Single Cells",B769, 1)))</f>
        <v>#VALUE!</v>
      </c>
    </row>
    <row r="770" customFormat="false" ht="12.75" hidden="false" customHeight="false" outlineLevel="0" collapsed="false">
      <c r="E770" s="34" t="str">
        <f aca="false">MID(B770,9,1)</f>
        <v/>
      </c>
      <c r="F770" s="34" t="str">
        <f aca="false">MID(B770,10,1)</f>
        <v/>
      </c>
      <c r="G770" s="34" t="str">
        <f aca="false">MID(B770,11,1)</f>
        <v/>
      </c>
      <c r="H770" s="35" t="str">
        <f aca="false">IF(G770=".",F770,CONCATENATE(F770,G770))</f>
        <v/>
      </c>
      <c r="I770" s="34" t="n">
        <f aca="false">IFERROR(VALUE(H770),)</f>
        <v>0</v>
      </c>
      <c r="J770" s="34" t="e">
        <f aca="false">RIGHT(B770,LEN(B770)-FIND("/",B770, FIND("Single Cells",B770, 1)))</f>
        <v>#VALUE!</v>
      </c>
    </row>
    <row r="771" customFormat="false" ht="12.75" hidden="false" customHeight="false" outlineLevel="0" collapsed="false">
      <c r="E771" s="34" t="str">
        <f aca="false">MID(B771,9,1)</f>
        <v/>
      </c>
      <c r="F771" s="34" t="str">
        <f aca="false">MID(B771,10,1)</f>
        <v/>
      </c>
      <c r="G771" s="34" t="str">
        <f aca="false">MID(B771,11,1)</f>
        <v/>
      </c>
      <c r="H771" s="35" t="str">
        <f aca="false">IF(G771=".",F771,CONCATENATE(F771,G771))</f>
        <v/>
      </c>
      <c r="I771" s="34" t="n">
        <f aca="false">IFERROR(VALUE(H771),)</f>
        <v>0</v>
      </c>
      <c r="J771" s="34" t="e">
        <f aca="false">RIGHT(B771,LEN(B771)-FIND("/",B771, FIND("Single Cells",B771, 1)))</f>
        <v>#VALUE!</v>
      </c>
    </row>
    <row r="772" customFormat="false" ht="12.75" hidden="false" customHeight="false" outlineLevel="0" collapsed="false">
      <c r="E772" s="34" t="str">
        <f aca="false">MID(B772,9,1)</f>
        <v/>
      </c>
      <c r="F772" s="34" t="str">
        <f aca="false">MID(B772,10,1)</f>
        <v/>
      </c>
      <c r="G772" s="34" t="str">
        <f aca="false">MID(B772,11,1)</f>
        <v/>
      </c>
      <c r="H772" s="35" t="str">
        <f aca="false">IF(G772=".",F772,CONCATENATE(F772,G772))</f>
        <v/>
      </c>
      <c r="I772" s="34" t="n">
        <f aca="false">IFERROR(VALUE(H772),)</f>
        <v>0</v>
      </c>
      <c r="J772" s="34" t="e">
        <f aca="false">RIGHT(B772,LEN(B772)-FIND("/",B772, FIND("Single Cells",B772, 1)))</f>
        <v>#VALUE!</v>
      </c>
    </row>
    <row r="773" customFormat="false" ht="12.75" hidden="false" customHeight="false" outlineLevel="0" collapsed="false">
      <c r="E773" s="34" t="str">
        <f aca="false">MID(B773,9,1)</f>
        <v/>
      </c>
      <c r="F773" s="34" t="str">
        <f aca="false">MID(B773,10,1)</f>
        <v/>
      </c>
      <c r="G773" s="34" t="str">
        <f aca="false">MID(B773,11,1)</f>
        <v/>
      </c>
      <c r="H773" s="35" t="str">
        <f aca="false">IF(G773=".",F773,CONCATENATE(F773,G773))</f>
        <v/>
      </c>
      <c r="I773" s="34" t="n">
        <f aca="false">IFERROR(VALUE(H773),)</f>
        <v>0</v>
      </c>
      <c r="J773" s="34" t="e">
        <f aca="false">RIGHT(B773,LEN(B773)-FIND("/",B773, FIND("Single Cells",B773, 1)))</f>
        <v>#VALUE!</v>
      </c>
    </row>
    <row r="774" customFormat="false" ht="12.75" hidden="false" customHeight="false" outlineLevel="0" collapsed="false">
      <c r="E774" s="34" t="str">
        <f aca="false">MID(B774,9,1)</f>
        <v/>
      </c>
      <c r="F774" s="34" t="str">
        <f aca="false">MID(B774,10,1)</f>
        <v/>
      </c>
      <c r="G774" s="34" t="str">
        <f aca="false">MID(B774,11,1)</f>
        <v/>
      </c>
      <c r="H774" s="35" t="str">
        <f aca="false">IF(G774=".",F774,CONCATENATE(F774,G774))</f>
        <v/>
      </c>
      <c r="I774" s="34" t="n">
        <f aca="false">IFERROR(VALUE(H774),)</f>
        <v>0</v>
      </c>
      <c r="J774" s="34" t="e">
        <f aca="false">RIGHT(B774,LEN(B774)-FIND("/",B774, FIND("Single Cells",B774, 1)))</f>
        <v>#VALUE!</v>
      </c>
    </row>
    <row r="775" customFormat="false" ht="12.75" hidden="false" customHeight="false" outlineLevel="0" collapsed="false">
      <c r="E775" s="34" t="str">
        <f aca="false">MID(B775,9,1)</f>
        <v/>
      </c>
      <c r="F775" s="34" t="str">
        <f aca="false">MID(B775,10,1)</f>
        <v/>
      </c>
      <c r="G775" s="34" t="str">
        <f aca="false">MID(B775,11,1)</f>
        <v/>
      </c>
      <c r="H775" s="35" t="str">
        <f aca="false">IF(G775=".",F775,CONCATENATE(F775,G775))</f>
        <v/>
      </c>
      <c r="I775" s="34" t="n">
        <f aca="false">IFERROR(VALUE(H775),)</f>
        <v>0</v>
      </c>
      <c r="J775" s="34" t="e">
        <f aca="false">RIGHT(B775,LEN(B775)-FIND("/",B775, FIND("Single Cells",B775, 1)))</f>
        <v>#VALUE!</v>
      </c>
    </row>
    <row r="776" customFormat="false" ht="12.75" hidden="false" customHeight="false" outlineLevel="0" collapsed="false">
      <c r="E776" s="34" t="str">
        <f aca="false">MID(B776,9,1)</f>
        <v/>
      </c>
      <c r="F776" s="34" t="str">
        <f aca="false">MID(B776,10,1)</f>
        <v/>
      </c>
      <c r="G776" s="34" t="str">
        <f aca="false">MID(B776,11,1)</f>
        <v/>
      </c>
      <c r="H776" s="35" t="str">
        <f aca="false">IF(G776=".",F776,CONCATENATE(F776,G776))</f>
        <v/>
      </c>
      <c r="I776" s="34" t="n">
        <f aca="false">IFERROR(VALUE(H776),)</f>
        <v>0</v>
      </c>
      <c r="J776" s="34" t="e">
        <f aca="false">RIGHT(B776,LEN(B776)-FIND("/",B776, FIND("Single Cells",B776, 1)))</f>
        <v>#VALUE!</v>
      </c>
    </row>
    <row r="777" customFormat="false" ht="12.75" hidden="false" customHeight="false" outlineLevel="0" collapsed="false">
      <c r="E777" s="34" t="str">
        <f aca="false">MID(B777,9,1)</f>
        <v/>
      </c>
      <c r="F777" s="34" t="str">
        <f aca="false">MID(B777,10,1)</f>
        <v/>
      </c>
      <c r="G777" s="34" t="str">
        <f aca="false">MID(B777,11,1)</f>
        <v/>
      </c>
      <c r="H777" s="35" t="str">
        <f aca="false">IF(G777=".",F777,CONCATENATE(F777,G777))</f>
        <v/>
      </c>
      <c r="I777" s="34" t="n">
        <f aca="false">IFERROR(VALUE(H777),)</f>
        <v>0</v>
      </c>
      <c r="J777" s="34" t="e">
        <f aca="false">RIGHT(B777,LEN(B777)-FIND("/",B777, FIND("Single Cells",B777, 1)))</f>
        <v>#VALUE!</v>
      </c>
    </row>
    <row r="778" customFormat="false" ht="12.75" hidden="false" customHeight="false" outlineLevel="0" collapsed="false">
      <c r="E778" s="34" t="str">
        <f aca="false">MID(B778,9,1)</f>
        <v/>
      </c>
      <c r="F778" s="34" t="str">
        <f aca="false">MID(B778,10,1)</f>
        <v/>
      </c>
      <c r="G778" s="34" t="str">
        <f aca="false">MID(B778,11,1)</f>
        <v/>
      </c>
      <c r="H778" s="35" t="str">
        <f aca="false">IF(G778=".",F778,CONCATENATE(F778,G778))</f>
        <v/>
      </c>
      <c r="I778" s="34" t="n">
        <f aca="false">IFERROR(VALUE(H778),)</f>
        <v>0</v>
      </c>
      <c r="J778" s="34" t="e">
        <f aca="false">RIGHT(B778,LEN(B778)-FIND("/",B778, FIND("Single Cells",B778, 1)))</f>
        <v>#VALUE!</v>
      </c>
    </row>
    <row r="779" customFormat="false" ht="12.75" hidden="false" customHeight="false" outlineLevel="0" collapsed="false">
      <c r="E779" s="34" t="str">
        <f aca="false">MID(B779,9,1)</f>
        <v/>
      </c>
      <c r="F779" s="34" t="str">
        <f aca="false">MID(B779,10,1)</f>
        <v/>
      </c>
      <c r="G779" s="34" t="str">
        <f aca="false">MID(B779,11,1)</f>
        <v/>
      </c>
      <c r="H779" s="35" t="str">
        <f aca="false">IF(G779=".",F779,CONCATENATE(F779,G779))</f>
        <v/>
      </c>
      <c r="I779" s="34" t="n">
        <f aca="false">IFERROR(VALUE(H779),)</f>
        <v>0</v>
      </c>
      <c r="J779" s="34" t="e">
        <f aca="false">RIGHT(B779,LEN(B779)-FIND("/",B779, FIND("Single Cells",B779, 1)))</f>
        <v>#VALUE!</v>
      </c>
    </row>
    <row r="780" customFormat="false" ht="12.75" hidden="false" customHeight="false" outlineLevel="0" collapsed="false">
      <c r="E780" s="34" t="str">
        <f aca="false">MID(B780,9,1)</f>
        <v/>
      </c>
      <c r="F780" s="34" t="str">
        <f aca="false">MID(B780,10,1)</f>
        <v/>
      </c>
      <c r="G780" s="34" t="str">
        <f aca="false">MID(B780,11,1)</f>
        <v/>
      </c>
      <c r="H780" s="35" t="str">
        <f aca="false">IF(G780=".",F780,CONCATENATE(F780,G780))</f>
        <v/>
      </c>
      <c r="I780" s="34" t="n">
        <f aca="false">IFERROR(VALUE(H780),)</f>
        <v>0</v>
      </c>
      <c r="J780" s="34" t="e">
        <f aca="false">RIGHT(B780,LEN(B780)-FIND("/",B780, FIND("Single Cells",B780, 1)))</f>
        <v>#VALUE!</v>
      </c>
    </row>
    <row r="781" customFormat="false" ht="12.75" hidden="false" customHeight="false" outlineLevel="0" collapsed="false">
      <c r="E781" s="34" t="str">
        <f aca="false">MID(B781,9,1)</f>
        <v/>
      </c>
      <c r="F781" s="34" t="str">
        <f aca="false">MID(B781,10,1)</f>
        <v/>
      </c>
      <c r="G781" s="34" t="str">
        <f aca="false">MID(B781,11,1)</f>
        <v/>
      </c>
      <c r="H781" s="35" t="str">
        <f aca="false">IF(G781=".",F781,CONCATENATE(F781,G781))</f>
        <v/>
      </c>
      <c r="I781" s="34" t="n">
        <f aca="false">IFERROR(VALUE(H781),)</f>
        <v>0</v>
      </c>
      <c r="J781" s="34" t="e">
        <f aca="false">RIGHT(B781,LEN(B781)-FIND("/",B781, FIND("Single Cells",B781, 1)))</f>
        <v>#VALUE!</v>
      </c>
    </row>
    <row r="782" customFormat="false" ht="12.75" hidden="false" customHeight="false" outlineLevel="0" collapsed="false">
      <c r="E782" s="34" t="str">
        <f aca="false">MID(B782,9,1)</f>
        <v/>
      </c>
      <c r="F782" s="34" t="str">
        <f aca="false">MID(B782,10,1)</f>
        <v/>
      </c>
      <c r="G782" s="34" t="str">
        <f aca="false">MID(B782,11,1)</f>
        <v/>
      </c>
      <c r="H782" s="35" t="str">
        <f aca="false">IF(G782=".",F782,CONCATENATE(F782,G782))</f>
        <v/>
      </c>
      <c r="I782" s="34" t="n">
        <f aca="false">IFERROR(VALUE(H782),)</f>
        <v>0</v>
      </c>
      <c r="J782" s="34" t="e">
        <f aca="false">RIGHT(B782,LEN(B782)-FIND("/",B782, FIND("Single Cells",B782, 1)))</f>
        <v>#VALUE!</v>
      </c>
    </row>
    <row r="783" customFormat="false" ht="12.75" hidden="false" customHeight="false" outlineLevel="0" collapsed="false">
      <c r="E783" s="34" t="str">
        <f aca="false">MID(B783,9,1)</f>
        <v/>
      </c>
      <c r="F783" s="34" t="str">
        <f aca="false">MID(B783,10,1)</f>
        <v/>
      </c>
      <c r="G783" s="34" t="str">
        <f aca="false">MID(B783,11,1)</f>
        <v/>
      </c>
      <c r="H783" s="35" t="str">
        <f aca="false">IF(G783=".",F783,CONCATENATE(F783,G783))</f>
        <v/>
      </c>
      <c r="I783" s="34" t="n">
        <f aca="false">IFERROR(VALUE(H783),)</f>
        <v>0</v>
      </c>
      <c r="J783" s="34" t="e">
        <f aca="false">RIGHT(B783,LEN(B783)-FIND("/",B783, FIND("Single Cells",B783, 1)))</f>
        <v>#VALUE!</v>
      </c>
    </row>
    <row r="784" customFormat="false" ht="12.75" hidden="false" customHeight="false" outlineLevel="0" collapsed="false">
      <c r="E784" s="34" t="str">
        <f aca="false">MID(B784,9,1)</f>
        <v/>
      </c>
      <c r="F784" s="34" t="str">
        <f aca="false">MID(B784,10,1)</f>
        <v/>
      </c>
      <c r="G784" s="34" t="str">
        <f aca="false">MID(B784,11,1)</f>
        <v/>
      </c>
      <c r="H784" s="35" t="str">
        <f aca="false">IF(G784=".",F784,CONCATENATE(F784,G784))</f>
        <v/>
      </c>
      <c r="I784" s="34" t="n">
        <f aca="false">IFERROR(VALUE(H784),)</f>
        <v>0</v>
      </c>
      <c r="J784" s="34" t="e">
        <f aca="false">RIGHT(B784,LEN(B784)-FIND("/",B784, FIND("Single Cells",B784, 1)))</f>
        <v>#VALUE!</v>
      </c>
    </row>
    <row r="785" customFormat="false" ht="12.75" hidden="false" customHeight="false" outlineLevel="0" collapsed="false">
      <c r="E785" s="34" t="str">
        <f aca="false">MID(B785,9,1)</f>
        <v/>
      </c>
      <c r="F785" s="34" t="str">
        <f aca="false">MID(B785,10,1)</f>
        <v/>
      </c>
      <c r="G785" s="34" t="str">
        <f aca="false">MID(B785,11,1)</f>
        <v/>
      </c>
      <c r="H785" s="35" t="str">
        <f aca="false">IF(G785=".",F785,CONCATENATE(F785,G785))</f>
        <v/>
      </c>
      <c r="I785" s="34" t="n">
        <f aca="false">IFERROR(VALUE(H785),)</f>
        <v>0</v>
      </c>
      <c r="J785" s="34" t="e">
        <f aca="false">RIGHT(B785,LEN(B785)-FIND("/",B785, FIND("Single Cells",B785, 1)))</f>
        <v>#VALUE!</v>
      </c>
    </row>
    <row r="786" customFormat="false" ht="12.75" hidden="false" customHeight="false" outlineLevel="0" collapsed="false">
      <c r="E786" s="34" t="str">
        <f aca="false">MID(B786,9,1)</f>
        <v/>
      </c>
      <c r="F786" s="34" t="str">
        <f aca="false">MID(B786,10,1)</f>
        <v/>
      </c>
      <c r="G786" s="34" t="str">
        <f aca="false">MID(B786,11,1)</f>
        <v/>
      </c>
      <c r="H786" s="35" t="str">
        <f aca="false">IF(G786=".",F786,CONCATENATE(F786,G786))</f>
        <v/>
      </c>
      <c r="I786" s="34" t="n">
        <f aca="false">IFERROR(VALUE(H786),)</f>
        <v>0</v>
      </c>
      <c r="J786" s="34" t="e">
        <f aca="false">RIGHT(B786,LEN(B786)-FIND("/",B786, FIND("Single Cells",B786, 1)))</f>
        <v>#VALUE!</v>
      </c>
    </row>
    <row r="787" customFormat="false" ht="12.75" hidden="false" customHeight="false" outlineLevel="0" collapsed="false">
      <c r="E787" s="34" t="str">
        <f aca="false">MID(B787,9,1)</f>
        <v/>
      </c>
      <c r="F787" s="34" t="str">
        <f aca="false">MID(B787,10,1)</f>
        <v/>
      </c>
      <c r="G787" s="34" t="str">
        <f aca="false">MID(B787,11,1)</f>
        <v/>
      </c>
      <c r="H787" s="35" t="str">
        <f aca="false">IF(G787=".",F787,CONCATENATE(F787,G787))</f>
        <v/>
      </c>
      <c r="I787" s="34" t="n">
        <f aca="false">IFERROR(VALUE(H787),)</f>
        <v>0</v>
      </c>
      <c r="J787" s="34" t="e">
        <f aca="false">RIGHT(B787,LEN(B787)-FIND("/",B787, FIND("Single Cells",B787, 1)))</f>
        <v>#VALUE!</v>
      </c>
    </row>
    <row r="788" customFormat="false" ht="12.75" hidden="false" customHeight="false" outlineLevel="0" collapsed="false">
      <c r="E788" s="34" t="str">
        <f aca="false">MID(B788,9,1)</f>
        <v/>
      </c>
      <c r="F788" s="34" t="str">
        <f aca="false">MID(B788,10,1)</f>
        <v/>
      </c>
      <c r="G788" s="34" t="str">
        <f aca="false">MID(B788,11,1)</f>
        <v/>
      </c>
      <c r="H788" s="35" t="str">
        <f aca="false">IF(G788=".",F788,CONCATENATE(F788,G788))</f>
        <v/>
      </c>
      <c r="I788" s="34" t="n">
        <f aca="false">IFERROR(VALUE(H788),)</f>
        <v>0</v>
      </c>
      <c r="J788" s="34" t="e">
        <f aca="false">RIGHT(B788,LEN(B788)-FIND("/",B788, FIND("Single Cells",B788, 1)))</f>
        <v>#VALUE!</v>
      </c>
    </row>
    <row r="789" customFormat="false" ht="12.75" hidden="false" customHeight="false" outlineLevel="0" collapsed="false">
      <c r="E789" s="34" t="str">
        <f aca="false">MID(B789,9,1)</f>
        <v/>
      </c>
      <c r="F789" s="34" t="str">
        <f aca="false">MID(B789,10,1)</f>
        <v/>
      </c>
      <c r="G789" s="34" t="str">
        <f aca="false">MID(B789,11,1)</f>
        <v/>
      </c>
      <c r="H789" s="35" t="str">
        <f aca="false">IF(G789=".",F789,CONCATENATE(F789,G789))</f>
        <v/>
      </c>
      <c r="I789" s="34" t="n">
        <f aca="false">IFERROR(VALUE(H789),)</f>
        <v>0</v>
      </c>
      <c r="J789" s="34" t="e">
        <f aca="false">RIGHT(B789,LEN(B789)-FIND("/",B789, FIND("Single Cells",B789, 1)))</f>
        <v>#VALUE!</v>
      </c>
    </row>
    <row r="790" customFormat="false" ht="12.75" hidden="false" customHeight="false" outlineLevel="0" collapsed="false">
      <c r="E790" s="34" t="str">
        <f aca="false">MID(B790,9,1)</f>
        <v/>
      </c>
      <c r="F790" s="34" t="str">
        <f aca="false">MID(B790,10,1)</f>
        <v/>
      </c>
      <c r="G790" s="34" t="str">
        <f aca="false">MID(B790,11,1)</f>
        <v/>
      </c>
      <c r="H790" s="35" t="str">
        <f aca="false">IF(G790=".",F790,CONCATENATE(F790,G790))</f>
        <v/>
      </c>
      <c r="I790" s="34" t="n">
        <f aca="false">IFERROR(VALUE(H790),)</f>
        <v>0</v>
      </c>
      <c r="J790" s="34" t="e">
        <f aca="false">RIGHT(B790,LEN(B790)-FIND("/",B790, FIND("Single Cells",B790, 1)))</f>
        <v>#VALUE!</v>
      </c>
    </row>
    <row r="791" customFormat="false" ht="12.75" hidden="false" customHeight="false" outlineLevel="0" collapsed="false">
      <c r="E791" s="34" t="str">
        <f aca="false">MID(B791,9,1)</f>
        <v/>
      </c>
      <c r="F791" s="34" t="str">
        <f aca="false">MID(B791,10,1)</f>
        <v/>
      </c>
      <c r="G791" s="34" t="str">
        <f aca="false">MID(B791,11,1)</f>
        <v/>
      </c>
      <c r="H791" s="35" t="str">
        <f aca="false">IF(G791=".",F791,CONCATENATE(F791,G791))</f>
        <v/>
      </c>
      <c r="I791" s="34" t="n">
        <f aca="false">IFERROR(VALUE(H791),)</f>
        <v>0</v>
      </c>
      <c r="J791" s="34" t="e">
        <f aca="false">RIGHT(B791,LEN(B791)-FIND("/",B791, FIND("Single Cells",B791, 1)))</f>
        <v>#VALUE!</v>
      </c>
    </row>
    <row r="792" customFormat="false" ht="12.75" hidden="false" customHeight="false" outlineLevel="0" collapsed="false">
      <c r="E792" s="34" t="str">
        <f aca="false">MID(B792,9,1)</f>
        <v/>
      </c>
      <c r="F792" s="34" t="str">
        <f aca="false">MID(B792,10,1)</f>
        <v/>
      </c>
      <c r="G792" s="34" t="str">
        <f aca="false">MID(B792,11,1)</f>
        <v/>
      </c>
      <c r="H792" s="35" t="str">
        <f aca="false">IF(G792=".",F792,CONCATENATE(F792,G792))</f>
        <v/>
      </c>
      <c r="I792" s="34" t="n">
        <f aca="false">IFERROR(VALUE(H792),)</f>
        <v>0</v>
      </c>
      <c r="J792" s="34" t="e">
        <f aca="false">RIGHT(B792,LEN(B792)-FIND("/",B792, FIND("Single Cells",B792, 1)))</f>
        <v>#VALUE!</v>
      </c>
    </row>
    <row r="793" customFormat="false" ht="12.75" hidden="false" customHeight="false" outlineLevel="0" collapsed="false">
      <c r="E793" s="34" t="str">
        <f aca="false">MID(B793,9,1)</f>
        <v/>
      </c>
      <c r="F793" s="34" t="str">
        <f aca="false">MID(B793,10,1)</f>
        <v/>
      </c>
      <c r="G793" s="34" t="str">
        <f aca="false">MID(B793,11,1)</f>
        <v/>
      </c>
      <c r="H793" s="35" t="str">
        <f aca="false">IF(G793=".",F793,CONCATENATE(F793,G793))</f>
        <v/>
      </c>
      <c r="I793" s="34" t="n">
        <f aca="false">IFERROR(VALUE(H793),)</f>
        <v>0</v>
      </c>
      <c r="J793" s="34" t="e">
        <f aca="false">RIGHT(B793,LEN(B793)-FIND("/",B793, FIND("Single Cells",B793, 1)))</f>
        <v>#VALUE!</v>
      </c>
    </row>
    <row r="794" customFormat="false" ht="12.75" hidden="false" customHeight="false" outlineLevel="0" collapsed="false">
      <c r="E794" s="34" t="str">
        <f aca="false">MID(B794,9,1)</f>
        <v/>
      </c>
      <c r="F794" s="34" t="str">
        <f aca="false">MID(B794,10,1)</f>
        <v/>
      </c>
      <c r="G794" s="34" t="str">
        <f aca="false">MID(B794,11,1)</f>
        <v/>
      </c>
      <c r="H794" s="35" t="str">
        <f aca="false">IF(G794=".",F794,CONCATENATE(F794,G794))</f>
        <v/>
      </c>
      <c r="I794" s="34" t="n">
        <f aca="false">IFERROR(VALUE(H794),)</f>
        <v>0</v>
      </c>
      <c r="J794" s="34" t="e">
        <f aca="false">RIGHT(B794,LEN(B794)-FIND("/",B794, FIND("Single Cells",B794, 1)))</f>
        <v>#VALUE!</v>
      </c>
    </row>
    <row r="795" customFormat="false" ht="12.75" hidden="false" customHeight="false" outlineLevel="0" collapsed="false">
      <c r="E795" s="34" t="str">
        <f aca="false">MID(B795,9,1)</f>
        <v/>
      </c>
      <c r="F795" s="34" t="str">
        <f aca="false">MID(B795,10,1)</f>
        <v/>
      </c>
      <c r="G795" s="34" t="str">
        <f aca="false">MID(B795,11,1)</f>
        <v/>
      </c>
      <c r="H795" s="35" t="str">
        <f aca="false">IF(G795=".",F795,CONCATENATE(F795,G795))</f>
        <v/>
      </c>
      <c r="I795" s="34" t="n">
        <f aca="false">IFERROR(VALUE(H795),)</f>
        <v>0</v>
      </c>
      <c r="J795" s="34" t="e">
        <f aca="false">RIGHT(B795,LEN(B795)-FIND("/",B795, FIND("Single Cells",B795, 1)))</f>
        <v>#VALUE!</v>
      </c>
    </row>
    <row r="796" customFormat="false" ht="12.75" hidden="false" customHeight="false" outlineLevel="0" collapsed="false">
      <c r="E796" s="34" t="str">
        <f aca="false">MID(B796,9,1)</f>
        <v/>
      </c>
      <c r="F796" s="34" t="str">
        <f aca="false">MID(B796,10,1)</f>
        <v/>
      </c>
      <c r="G796" s="34" t="str">
        <f aca="false">MID(B796,11,1)</f>
        <v/>
      </c>
      <c r="H796" s="35" t="str">
        <f aca="false">IF(G796=".",F796,CONCATENATE(F796,G796))</f>
        <v/>
      </c>
      <c r="I796" s="34" t="n">
        <f aca="false">IFERROR(VALUE(H796),)</f>
        <v>0</v>
      </c>
      <c r="J796" s="34" t="e">
        <f aca="false">RIGHT(B796,LEN(B796)-FIND("/",B796, FIND("Single Cells",B796, 1)))</f>
        <v>#VALUE!</v>
      </c>
    </row>
    <row r="797" customFormat="false" ht="12.75" hidden="false" customHeight="false" outlineLevel="0" collapsed="false">
      <c r="E797" s="34" t="str">
        <f aca="false">MID(B797,9,1)</f>
        <v/>
      </c>
      <c r="F797" s="34" t="str">
        <f aca="false">MID(B797,10,1)</f>
        <v/>
      </c>
      <c r="G797" s="34" t="str">
        <f aca="false">MID(B797,11,1)</f>
        <v/>
      </c>
      <c r="H797" s="35" t="str">
        <f aca="false">IF(G797=".",F797,CONCATENATE(F797,G797))</f>
        <v/>
      </c>
      <c r="I797" s="34" t="n">
        <f aca="false">IFERROR(VALUE(H797),)</f>
        <v>0</v>
      </c>
      <c r="J797" s="34" t="e">
        <f aca="false">RIGHT(B797,LEN(B797)-FIND("/",B797, FIND("Single Cells",B797, 1)))</f>
        <v>#VALUE!</v>
      </c>
    </row>
    <row r="798" customFormat="false" ht="12.75" hidden="false" customHeight="false" outlineLevel="0" collapsed="false">
      <c r="E798" s="34" t="str">
        <f aca="false">MID(B798,9,1)</f>
        <v/>
      </c>
      <c r="F798" s="34" t="str">
        <f aca="false">MID(B798,10,1)</f>
        <v/>
      </c>
      <c r="G798" s="34" t="str">
        <f aca="false">MID(B798,11,1)</f>
        <v/>
      </c>
      <c r="H798" s="35" t="str">
        <f aca="false">IF(G798=".",F798,CONCATENATE(F798,G798))</f>
        <v/>
      </c>
      <c r="I798" s="34" t="n">
        <f aca="false">IFERROR(VALUE(H798),)</f>
        <v>0</v>
      </c>
      <c r="J798" s="34" t="e">
        <f aca="false">RIGHT(B798,LEN(B798)-FIND("/",B798, FIND("Single Cells",B798, 1)))</f>
        <v>#VALUE!</v>
      </c>
    </row>
    <row r="799" customFormat="false" ht="12.75" hidden="false" customHeight="false" outlineLevel="0" collapsed="false">
      <c r="E799" s="34" t="str">
        <f aca="false">MID(B799,9,1)</f>
        <v/>
      </c>
      <c r="F799" s="34" t="str">
        <f aca="false">MID(B799,10,1)</f>
        <v/>
      </c>
      <c r="G799" s="34" t="str">
        <f aca="false">MID(B799,11,1)</f>
        <v/>
      </c>
      <c r="H799" s="35" t="str">
        <f aca="false">IF(G799=".",F799,CONCATENATE(F799,G799))</f>
        <v/>
      </c>
      <c r="I799" s="34" t="n">
        <f aca="false">IFERROR(VALUE(H799),)</f>
        <v>0</v>
      </c>
      <c r="J799" s="34" t="e">
        <f aca="false">RIGHT(B799,LEN(B799)-FIND("/",B799, FIND("Single Cells",B799, 1)))</f>
        <v>#VALUE!</v>
      </c>
    </row>
    <row r="800" customFormat="false" ht="12.75" hidden="false" customHeight="false" outlineLevel="0" collapsed="false">
      <c r="E800" s="34" t="str">
        <f aca="false">MID(B800,9,1)</f>
        <v/>
      </c>
      <c r="F800" s="34" t="str">
        <f aca="false">MID(B800,10,1)</f>
        <v/>
      </c>
      <c r="G800" s="34" t="str">
        <f aca="false">MID(B800,11,1)</f>
        <v/>
      </c>
      <c r="H800" s="35" t="str">
        <f aca="false">IF(G800=".",F800,CONCATENATE(F800,G800))</f>
        <v/>
      </c>
      <c r="I800" s="34" t="n">
        <f aca="false">IFERROR(VALUE(H800),)</f>
        <v>0</v>
      </c>
      <c r="J800" s="34" t="e">
        <f aca="false">RIGHT(B800,LEN(B800)-FIND("/",B800, FIND("Single Cells",B800, 1)))</f>
        <v>#VALUE!</v>
      </c>
    </row>
    <row r="801" customFormat="false" ht="12.75" hidden="false" customHeight="false" outlineLevel="0" collapsed="false">
      <c r="E801" s="34" t="str">
        <f aca="false">MID(B801,9,1)</f>
        <v/>
      </c>
      <c r="F801" s="34" t="str">
        <f aca="false">MID(B801,10,1)</f>
        <v/>
      </c>
      <c r="G801" s="34" t="str">
        <f aca="false">MID(B801,11,1)</f>
        <v/>
      </c>
      <c r="H801" s="35" t="str">
        <f aca="false">IF(G801=".",F801,CONCATENATE(F801,G801))</f>
        <v/>
      </c>
      <c r="I801" s="34" t="n">
        <f aca="false">IFERROR(VALUE(H801),)</f>
        <v>0</v>
      </c>
      <c r="J801" s="34" t="e">
        <f aca="false">RIGHT(B801,LEN(B801)-FIND("/",B801, FIND("Single Cells",B801, 1)))</f>
        <v>#VALUE!</v>
      </c>
    </row>
    <row r="802" customFormat="false" ht="12.75" hidden="false" customHeight="false" outlineLevel="0" collapsed="false">
      <c r="E802" s="34" t="str">
        <f aca="false">MID(B802,9,1)</f>
        <v/>
      </c>
      <c r="F802" s="34" t="str">
        <f aca="false">MID(B802,10,1)</f>
        <v/>
      </c>
      <c r="G802" s="34" t="str">
        <f aca="false">MID(B802,11,1)</f>
        <v/>
      </c>
      <c r="H802" s="35" t="str">
        <f aca="false">IF(G802=".",F802,CONCATENATE(F802,G802))</f>
        <v/>
      </c>
      <c r="I802" s="34" t="n">
        <f aca="false">IFERROR(VALUE(H802),)</f>
        <v>0</v>
      </c>
      <c r="J802" s="34" t="e">
        <f aca="false">RIGHT(B802,LEN(B802)-FIND("/",B802, FIND("Single Cells",B802, 1)))</f>
        <v>#VALUE!</v>
      </c>
    </row>
    <row r="803" customFormat="false" ht="12.75" hidden="false" customHeight="false" outlineLevel="0" collapsed="false">
      <c r="E803" s="34" t="str">
        <f aca="false">MID(B803,9,1)</f>
        <v/>
      </c>
      <c r="F803" s="34" t="str">
        <f aca="false">MID(B803,10,1)</f>
        <v/>
      </c>
      <c r="G803" s="34" t="str">
        <f aca="false">MID(B803,11,1)</f>
        <v/>
      </c>
      <c r="H803" s="35" t="str">
        <f aca="false">IF(G803=".",F803,CONCATENATE(F803,G803))</f>
        <v/>
      </c>
      <c r="I803" s="34" t="n">
        <f aca="false">IFERROR(VALUE(H803),)</f>
        <v>0</v>
      </c>
      <c r="J803" s="34" t="e">
        <f aca="false">RIGHT(B803,LEN(B803)-FIND("/",B803, FIND("Single Cells",B803, 1)))</f>
        <v>#VALUE!</v>
      </c>
    </row>
    <row r="804" customFormat="false" ht="12.75" hidden="false" customHeight="false" outlineLevel="0" collapsed="false">
      <c r="E804" s="34" t="str">
        <f aca="false">MID(B804,9,1)</f>
        <v/>
      </c>
      <c r="F804" s="34" t="str">
        <f aca="false">MID(B804,10,1)</f>
        <v/>
      </c>
      <c r="G804" s="34" t="str">
        <f aca="false">MID(B804,11,1)</f>
        <v/>
      </c>
      <c r="H804" s="35" t="str">
        <f aca="false">IF(G804=".",F804,CONCATENATE(F804,G804))</f>
        <v/>
      </c>
      <c r="I804" s="34" t="n">
        <f aca="false">IFERROR(VALUE(H804),)</f>
        <v>0</v>
      </c>
      <c r="J804" s="34" t="e">
        <f aca="false">RIGHT(B804,LEN(B804)-FIND("/",B804, FIND("Single Cells",B804, 1)))</f>
        <v>#VALUE!</v>
      </c>
    </row>
    <row r="805" customFormat="false" ht="12.75" hidden="false" customHeight="false" outlineLevel="0" collapsed="false">
      <c r="E805" s="34" t="str">
        <f aca="false">MID(B805,9,1)</f>
        <v/>
      </c>
      <c r="F805" s="34" t="str">
        <f aca="false">MID(B805,10,1)</f>
        <v/>
      </c>
      <c r="G805" s="34" t="str">
        <f aca="false">MID(B805,11,1)</f>
        <v/>
      </c>
      <c r="H805" s="35" t="str">
        <f aca="false">IF(G805=".",F805,CONCATENATE(F805,G805))</f>
        <v/>
      </c>
      <c r="I805" s="34" t="n">
        <f aca="false">IFERROR(VALUE(H805),)</f>
        <v>0</v>
      </c>
      <c r="J805" s="34" t="e">
        <f aca="false">RIGHT(B805,LEN(B805)-FIND("/",B805, FIND("Single Cells",B805, 1)))</f>
        <v>#VALUE!</v>
      </c>
    </row>
    <row r="806" customFormat="false" ht="12.75" hidden="false" customHeight="false" outlineLevel="0" collapsed="false">
      <c r="E806" s="34" t="str">
        <f aca="false">MID(B806,9,1)</f>
        <v/>
      </c>
      <c r="F806" s="34" t="str">
        <f aca="false">MID(B806,10,1)</f>
        <v/>
      </c>
      <c r="G806" s="34" t="str">
        <f aca="false">MID(B806,11,1)</f>
        <v/>
      </c>
      <c r="H806" s="35" t="str">
        <f aca="false">IF(G806=".",F806,CONCATENATE(F806,G806))</f>
        <v/>
      </c>
      <c r="I806" s="34" t="n">
        <f aca="false">IFERROR(VALUE(H806),)</f>
        <v>0</v>
      </c>
      <c r="J806" s="34" t="e">
        <f aca="false">RIGHT(B806,LEN(B806)-FIND("/",B806, FIND("Single Cells",B806, 1)))</f>
        <v>#VALUE!</v>
      </c>
    </row>
    <row r="807" customFormat="false" ht="12.75" hidden="false" customHeight="false" outlineLevel="0" collapsed="false">
      <c r="E807" s="34" t="str">
        <f aca="false">MID(B807,9,1)</f>
        <v/>
      </c>
      <c r="F807" s="34" t="str">
        <f aca="false">MID(B807,10,1)</f>
        <v/>
      </c>
      <c r="G807" s="34" t="str">
        <f aca="false">MID(B807,11,1)</f>
        <v/>
      </c>
      <c r="H807" s="35" t="str">
        <f aca="false">IF(G807=".",F807,CONCATENATE(F807,G807))</f>
        <v/>
      </c>
      <c r="I807" s="34" t="n">
        <f aca="false">IFERROR(VALUE(H807),)</f>
        <v>0</v>
      </c>
      <c r="J807" s="34" t="e">
        <f aca="false">RIGHT(B807,LEN(B807)-FIND("/",B807, FIND("Single Cells",B807, 1)))</f>
        <v>#VALUE!</v>
      </c>
    </row>
    <row r="808" customFormat="false" ht="12.75" hidden="false" customHeight="false" outlineLevel="0" collapsed="false">
      <c r="E808" s="34" t="str">
        <f aca="false">MID(B808,9,1)</f>
        <v/>
      </c>
      <c r="F808" s="34" t="str">
        <f aca="false">MID(B808,10,1)</f>
        <v/>
      </c>
      <c r="G808" s="34" t="str">
        <f aca="false">MID(B808,11,1)</f>
        <v/>
      </c>
      <c r="H808" s="35" t="str">
        <f aca="false">IF(G808=".",F808,CONCATENATE(F808,G808))</f>
        <v/>
      </c>
      <c r="I808" s="34" t="n">
        <f aca="false">IFERROR(VALUE(H808),)</f>
        <v>0</v>
      </c>
      <c r="J808" s="34" t="e">
        <f aca="false">RIGHT(B808,LEN(B808)-FIND("/",B808, FIND("Single Cells",B808, 1)))</f>
        <v>#VALUE!</v>
      </c>
    </row>
    <row r="809" customFormat="false" ht="12.75" hidden="false" customHeight="false" outlineLevel="0" collapsed="false">
      <c r="E809" s="34" t="str">
        <f aca="false">MID(B809,9,1)</f>
        <v/>
      </c>
      <c r="F809" s="34" t="str">
        <f aca="false">MID(B809,10,1)</f>
        <v/>
      </c>
      <c r="G809" s="34" t="str">
        <f aca="false">MID(B809,11,1)</f>
        <v/>
      </c>
      <c r="H809" s="35" t="str">
        <f aca="false">IF(G809=".",F809,CONCATENATE(F809,G809))</f>
        <v/>
      </c>
      <c r="I809" s="34" t="n">
        <f aca="false">IFERROR(VALUE(H809),)</f>
        <v>0</v>
      </c>
      <c r="J809" s="34" t="e">
        <f aca="false">RIGHT(B809,LEN(B809)-FIND("/",B809, FIND("Single Cells",B809, 1)))</f>
        <v>#VALUE!</v>
      </c>
    </row>
    <row r="810" customFormat="false" ht="12.75" hidden="false" customHeight="false" outlineLevel="0" collapsed="false">
      <c r="E810" s="34" t="str">
        <f aca="false">MID(B810,9,1)</f>
        <v/>
      </c>
      <c r="F810" s="34" t="str">
        <f aca="false">MID(B810,10,1)</f>
        <v/>
      </c>
      <c r="G810" s="34" t="str">
        <f aca="false">MID(B810,11,1)</f>
        <v/>
      </c>
      <c r="H810" s="35" t="str">
        <f aca="false">IF(G810=".",F810,CONCATENATE(F810,G810))</f>
        <v/>
      </c>
      <c r="I810" s="34" t="n">
        <f aca="false">IFERROR(VALUE(H810),)</f>
        <v>0</v>
      </c>
      <c r="J810" s="34" t="e">
        <f aca="false">RIGHT(B810,LEN(B810)-FIND("/",B810, FIND("Single Cells",B810, 1)))</f>
        <v>#VALUE!</v>
      </c>
    </row>
    <row r="811" customFormat="false" ht="12.75" hidden="false" customHeight="false" outlineLevel="0" collapsed="false">
      <c r="E811" s="34" t="str">
        <f aca="false">MID(B811,9,1)</f>
        <v/>
      </c>
      <c r="F811" s="34" t="str">
        <f aca="false">MID(B811,10,1)</f>
        <v/>
      </c>
      <c r="G811" s="34" t="str">
        <f aca="false">MID(B811,11,1)</f>
        <v/>
      </c>
      <c r="H811" s="35" t="str">
        <f aca="false">IF(G811=".",F811,CONCATENATE(F811,G811))</f>
        <v/>
      </c>
      <c r="I811" s="34" t="n">
        <f aca="false">IFERROR(VALUE(H811),)</f>
        <v>0</v>
      </c>
      <c r="J811" s="34" t="e">
        <f aca="false">RIGHT(B811,LEN(B811)-FIND("/",B811, FIND("Single Cells",B811, 1)))</f>
        <v>#VALUE!</v>
      </c>
    </row>
    <row r="812" customFormat="false" ht="12.75" hidden="false" customHeight="false" outlineLevel="0" collapsed="false">
      <c r="E812" s="34" t="str">
        <f aca="false">MID(B812,9,1)</f>
        <v/>
      </c>
      <c r="F812" s="34" t="str">
        <f aca="false">MID(B812,10,1)</f>
        <v/>
      </c>
      <c r="G812" s="34" t="str">
        <f aca="false">MID(B812,11,1)</f>
        <v/>
      </c>
      <c r="H812" s="35" t="str">
        <f aca="false">IF(G812=".",F812,CONCATENATE(F812,G812))</f>
        <v/>
      </c>
      <c r="I812" s="34" t="n">
        <f aca="false">IFERROR(VALUE(H812),)</f>
        <v>0</v>
      </c>
      <c r="J812" s="34" t="e">
        <f aca="false">RIGHT(B812,LEN(B812)-FIND("/",B812, FIND("Single Cells",B812, 1)))</f>
        <v>#VALUE!</v>
      </c>
    </row>
    <row r="813" customFormat="false" ht="12.75" hidden="false" customHeight="false" outlineLevel="0" collapsed="false">
      <c r="E813" s="34" t="str">
        <f aca="false">MID(B813,9,1)</f>
        <v/>
      </c>
      <c r="F813" s="34" t="str">
        <f aca="false">MID(B813,10,1)</f>
        <v/>
      </c>
      <c r="G813" s="34" t="str">
        <f aca="false">MID(B813,11,1)</f>
        <v/>
      </c>
      <c r="H813" s="35" t="str">
        <f aca="false">IF(G813=".",F813,CONCATENATE(F813,G813))</f>
        <v/>
      </c>
      <c r="I813" s="34" t="n">
        <f aca="false">IFERROR(VALUE(H813),)</f>
        <v>0</v>
      </c>
      <c r="J813" s="34" t="e">
        <f aca="false">RIGHT(B813,LEN(B813)-FIND("/",B813, FIND("Single Cells",B813, 1)))</f>
        <v>#VALUE!</v>
      </c>
    </row>
    <row r="814" customFormat="false" ht="12.75" hidden="false" customHeight="false" outlineLevel="0" collapsed="false">
      <c r="E814" s="34" t="str">
        <f aca="false">MID(B814,9,1)</f>
        <v/>
      </c>
      <c r="F814" s="34" t="str">
        <f aca="false">MID(B814,10,1)</f>
        <v/>
      </c>
      <c r="G814" s="34" t="str">
        <f aca="false">MID(B814,11,1)</f>
        <v/>
      </c>
      <c r="H814" s="35" t="str">
        <f aca="false">IF(G814=".",F814,CONCATENATE(F814,G814))</f>
        <v/>
      </c>
      <c r="I814" s="34" t="n">
        <f aca="false">IFERROR(VALUE(H814),)</f>
        <v>0</v>
      </c>
      <c r="J814" s="34" t="e">
        <f aca="false">RIGHT(B814,LEN(B814)-FIND("/",B814, FIND("Single Cells",B814, 1)))</f>
        <v>#VALUE!</v>
      </c>
    </row>
    <row r="815" customFormat="false" ht="12.75" hidden="false" customHeight="false" outlineLevel="0" collapsed="false">
      <c r="E815" s="34" t="str">
        <f aca="false">MID(B815,9,1)</f>
        <v/>
      </c>
      <c r="F815" s="34" t="str">
        <f aca="false">MID(B815,10,1)</f>
        <v/>
      </c>
      <c r="G815" s="34" t="str">
        <f aca="false">MID(B815,11,1)</f>
        <v/>
      </c>
      <c r="H815" s="35" t="str">
        <f aca="false">IF(G815=".",F815,CONCATENATE(F815,G815))</f>
        <v/>
      </c>
      <c r="I815" s="34" t="n">
        <f aca="false">IFERROR(VALUE(H815),)</f>
        <v>0</v>
      </c>
      <c r="J815" s="34" t="e">
        <f aca="false">RIGHT(B815,LEN(B815)-FIND("/",B815, FIND("Single Cells",B815, 1)))</f>
        <v>#VALUE!</v>
      </c>
    </row>
    <row r="816" customFormat="false" ht="12.75" hidden="false" customHeight="false" outlineLevel="0" collapsed="false">
      <c r="E816" s="34" t="str">
        <f aca="false">MID(B816,9,1)</f>
        <v/>
      </c>
      <c r="F816" s="34" t="str">
        <f aca="false">MID(B816,10,1)</f>
        <v/>
      </c>
      <c r="G816" s="34" t="str">
        <f aca="false">MID(B816,11,1)</f>
        <v/>
      </c>
      <c r="H816" s="35" t="str">
        <f aca="false">IF(G816=".",F816,CONCATENATE(F816,G816))</f>
        <v/>
      </c>
      <c r="I816" s="34" t="n">
        <f aca="false">IFERROR(VALUE(H816),)</f>
        <v>0</v>
      </c>
      <c r="J816" s="34" t="e">
        <f aca="false">RIGHT(B816,LEN(B816)-FIND("/",B816, FIND("Single Cells",B816, 1)))</f>
        <v>#VALUE!</v>
      </c>
    </row>
    <row r="817" customFormat="false" ht="12.75" hidden="false" customHeight="false" outlineLevel="0" collapsed="false">
      <c r="E817" s="34" t="str">
        <f aca="false">MID(B817,9,1)</f>
        <v/>
      </c>
      <c r="F817" s="34" t="str">
        <f aca="false">MID(B817,10,1)</f>
        <v/>
      </c>
      <c r="G817" s="34" t="str">
        <f aca="false">MID(B817,11,1)</f>
        <v/>
      </c>
      <c r="H817" s="35" t="str">
        <f aca="false">IF(G817=".",F817,CONCATENATE(F817,G817))</f>
        <v/>
      </c>
      <c r="I817" s="34" t="n">
        <f aca="false">IFERROR(VALUE(H817),)</f>
        <v>0</v>
      </c>
      <c r="J817" s="34" t="e">
        <f aca="false">RIGHT(B817,LEN(B817)-FIND("/",B817, FIND("Single Cells",B817, 1)))</f>
        <v>#VALUE!</v>
      </c>
    </row>
    <row r="818" customFormat="false" ht="12.75" hidden="false" customHeight="false" outlineLevel="0" collapsed="false">
      <c r="E818" s="34" t="str">
        <f aca="false">MID(B818,9,1)</f>
        <v/>
      </c>
      <c r="F818" s="34" t="str">
        <f aca="false">MID(B818,10,1)</f>
        <v/>
      </c>
      <c r="G818" s="34" t="str">
        <f aca="false">MID(B818,11,1)</f>
        <v/>
      </c>
      <c r="H818" s="35" t="str">
        <f aca="false">IF(G818=".",F818,CONCATENATE(F818,G818))</f>
        <v/>
      </c>
      <c r="I818" s="34" t="n">
        <f aca="false">IFERROR(VALUE(H818),)</f>
        <v>0</v>
      </c>
      <c r="J818" s="34" t="e">
        <f aca="false">RIGHT(B818,LEN(B818)-FIND("/",B818, FIND("Single Cells",B818, 1)))</f>
        <v>#VALUE!</v>
      </c>
    </row>
    <row r="819" customFormat="false" ht="12.75" hidden="false" customHeight="false" outlineLevel="0" collapsed="false">
      <c r="E819" s="34" t="str">
        <f aca="false">MID(B819,9,1)</f>
        <v/>
      </c>
      <c r="F819" s="34" t="str">
        <f aca="false">MID(B819,10,1)</f>
        <v/>
      </c>
      <c r="G819" s="34" t="str">
        <f aca="false">MID(B819,11,1)</f>
        <v/>
      </c>
      <c r="H819" s="35" t="str">
        <f aca="false">IF(G819=".",F819,CONCATENATE(F819,G819))</f>
        <v/>
      </c>
      <c r="I819" s="34" t="n">
        <f aca="false">IFERROR(VALUE(H819),)</f>
        <v>0</v>
      </c>
      <c r="J819" s="34" t="e">
        <f aca="false">RIGHT(B819,LEN(B819)-FIND("/",B819, FIND("Single Cells",B819, 1)))</f>
        <v>#VALUE!</v>
      </c>
    </row>
    <row r="820" customFormat="false" ht="12.75" hidden="false" customHeight="false" outlineLevel="0" collapsed="false">
      <c r="E820" s="34" t="str">
        <f aca="false">MID(B820,9,1)</f>
        <v/>
      </c>
      <c r="F820" s="34" t="str">
        <f aca="false">MID(B820,10,1)</f>
        <v/>
      </c>
      <c r="G820" s="34" t="str">
        <f aca="false">MID(B820,11,1)</f>
        <v/>
      </c>
      <c r="H820" s="35" t="str">
        <f aca="false">IF(G820=".",F820,CONCATENATE(F820,G820))</f>
        <v/>
      </c>
      <c r="I820" s="34" t="n">
        <f aca="false">IFERROR(VALUE(H820),)</f>
        <v>0</v>
      </c>
      <c r="J820" s="34" t="e">
        <f aca="false">RIGHT(B820,LEN(B820)-FIND("/",B820, FIND("Single Cells",B820, 1)))</f>
        <v>#VALUE!</v>
      </c>
    </row>
    <row r="821" customFormat="false" ht="12.75" hidden="false" customHeight="false" outlineLevel="0" collapsed="false">
      <c r="E821" s="34" t="str">
        <f aca="false">MID(B821,9,1)</f>
        <v/>
      </c>
      <c r="F821" s="34" t="str">
        <f aca="false">MID(B821,10,1)</f>
        <v/>
      </c>
      <c r="G821" s="34" t="str">
        <f aca="false">MID(B821,11,1)</f>
        <v/>
      </c>
      <c r="H821" s="35" t="str">
        <f aca="false">IF(G821=".",F821,CONCATENATE(F821,G821))</f>
        <v/>
      </c>
      <c r="I821" s="34" t="n">
        <f aca="false">IFERROR(VALUE(H821),)</f>
        <v>0</v>
      </c>
      <c r="J821" s="34" t="e">
        <f aca="false">RIGHT(B821,LEN(B821)-FIND("/",B821, FIND("Single Cells",B821, 1)))</f>
        <v>#VALUE!</v>
      </c>
    </row>
    <row r="822" customFormat="false" ht="12.75" hidden="false" customHeight="false" outlineLevel="0" collapsed="false">
      <c r="E822" s="34" t="str">
        <f aca="false">MID(B822,9,1)</f>
        <v/>
      </c>
      <c r="F822" s="34" t="str">
        <f aca="false">MID(B822,10,1)</f>
        <v/>
      </c>
      <c r="G822" s="34" t="str">
        <f aca="false">MID(B822,11,1)</f>
        <v/>
      </c>
      <c r="H822" s="35" t="str">
        <f aca="false">IF(G822=".",F822,CONCATENATE(F822,G822))</f>
        <v/>
      </c>
      <c r="I822" s="34" t="n">
        <f aca="false">IFERROR(VALUE(H822),)</f>
        <v>0</v>
      </c>
      <c r="J822" s="34" t="e">
        <f aca="false">RIGHT(B822,LEN(B822)-FIND("/",B822, FIND("Single Cells",B822, 1)))</f>
        <v>#VALUE!</v>
      </c>
    </row>
    <row r="823" customFormat="false" ht="12.75" hidden="false" customHeight="false" outlineLevel="0" collapsed="false">
      <c r="E823" s="34" t="str">
        <f aca="false">MID(B823,9,1)</f>
        <v/>
      </c>
      <c r="F823" s="34" t="str">
        <f aca="false">MID(B823,10,1)</f>
        <v/>
      </c>
      <c r="G823" s="34" t="str">
        <f aca="false">MID(B823,11,1)</f>
        <v/>
      </c>
      <c r="H823" s="35" t="str">
        <f aca="false">IF(G823=".",F823,CONCATENATE(F823,G823))</f>
        <v/>
      </c>
      <c r="I823" s="34" t="n">
        <f aca="false">IFERROR(VALUE(H823),)</f>
        <v>0</v>
      </c>
      <c r="J823" s="34" t="e">
        <f aca="false">RIGHT(B823,LEN(B823)-FIND("/",B823, FIND("Single Cells",B823, 1)))</f>
        <v>#VALUE!</v>
      </c>
    </row>
    <row r="824" customFormat="false" ht="12.75" hidden="false" customHeight="false" outlineLevel="0" collapsed="false">
      <c r="E824" s="34" t="str">
        <f aca="false">MID(B824,9,1)</f>
        <v/>
      </c>
      <c r="F824" s="34" t="str">
        <f aca="false">MID(B824,10,1)</f>
        <v/>
      </c>
      <c r="G824" s="34" t="str">
        <f aca="false">MID(B824,11,1)</f>
        <v/>
      </c>
      <c r="H824" s="35" t="str">
        <f aca="false">IF(G824=".",F824,CONCATENATE(F824,G824))</f>
        <v/>
      </c>
      <c r="I824" s="34" t="n">
        <f aca="false">IFERROR(VALUE(H824),)</f>
        <v>0</v>
      </c>
      <c r="J824" s="34" t="e">
        <f aca="false">RIGHT(B824,LEN(B824)-FIND("/",B824, FIND("Single Cells",B824, 1)))</f>
        <v>#VALUE!</v>
      </c>
    </row>
    <row r="825" customFormat="false" ht="12.75" hidden="false" customHeight="false" outlineLevel="0" collapsed="false">
      <c r="E825" s="34" t="str">
        <f aca="false">MID(B825,9,1)</f>
        <v/>
      </c>
      <c r="F825" s="34" t="str">
        <f aca="false">MID(B825,10,1)</f>
        <v/>
      </c>
      <c r="G825" s="34" t="str">
        <f aca="false">MID(B825,11,1)</f>
        <v/>
      </c>
      <c r="H825" s="35" t="str">
        <f aca="false">IF(G825=".",F825,CONCATENATE(F825,G825))</f>
        <v/>
      </c>
      <c r="I825" s="34" t="n">
        <f aca="false">IFERROR(VALUE(H825),)</f>
        <v>0</v>
      </c>
      <c r="J825" s="34" t="e">
        <f aca="false">RIGHT(B825,LEN(B825)-FIND("/",B825, FIND("Single Cells",B825, 1)))</f>
        <v>#VALUE!</v>
      </c>
    </row>
    <row r="826" customFormat="false" ht="12.75" hidden="false" customHeight="false" outlineLevel="0" collapsed="false">
      <c r="E826" s="34" t="str">
        <f aca="false">MID(B826,9,1)</f>
        <v/>
      </c>
      <c r="F826" s="34" t="str">
        <f aca="false">MID(B826,10,1)</f>
        <v/>
      </c>
      <c r="G826" s="34" t="str">
        <f aca="false">MID(B826,11,1)</f>
        <v/>
      </c>
      <c r="H826" s="35" t="str">
        <f aca="false">IF(G826=".",F826,CONCATENATE(F826,G826))</f>
        <v/>
      </c>
      <c r="I826" s="34" t="n">
        <f aca="false">IFERROR(VALUE(H826),)</f>
        <v>0</v>
      </c>
      <c r="J826" s="34" t="e">
        <f aca="false">RIGHT(B826,LEN(B826)-FIND("/",B826, FIND("Single Cells",B826, 1)))</f>
        <v>#VALUE!</v>
      </c>
    </row>
    <row r="827" customFormat="false" ht="12.75" hidden="false" customHeight="false" outlineLevel="0" collapsed="false">
      <c r="E827" s="34" t="str">
        <f aca="false">MID(B827,9,1)</f>
        <v/>
      </c>
      <c r="F827" s="34" t="str">
        <f aca="false">MID(B827,10,1)</f>
        <v/>
      </c>
      <c r="G827" s="34" t="str">
        <f aca="false">MID(B827,11,1)</f>
        <v/>
      </c>
      <c r="H827" s="35" t="str">
        <f aca="false">IF(G827=".",F827,CONCATENATE(F827,G827))</f>
        <v/>
      </c>
      <c r="I827" s="34" t="n">
        <f aca="false">IFERROR(VALUE(H827),)</f>
        <v>0</v>
      </c>
      <c r="J827" s="34" t="e">
        <f aca="false">RIGHT(B827,LEN(B827)-FIND("/",B827, FIND("Single Cells",B827, 1)))</f>
        <v>#VALUE!</v>
      </c>
    </row>
    <row r="828" customFormat="false" ht="12.75" hidden="false" customHeight="false" outlineLevel="0" collapsed="false">
      <c r="E828" s="34" t="str">
        <f aca="false">MID(B828,9,1)</f>
        <v/>
      </c>
      <c r="F828" s="34" t="str">
        <f aca="false">MID(B828,10,1)</f>
        <v/>
      </c>
      <c r="G828" s="34" t="str">
        <f aca="false">MID(B828,11,1)</f>
        <v/>
      </c>
      <c r="H828" s="35" t="str">
        <f aca="false">IF(G828=".",F828,CONCATENATE(F828,G828))</f>
        <v/>
      </c>
      <c r="I828" s="34" t="n">
        <f aca="false">IFERROR(VALUE(H828),)</f>
        <v>0</v>
      </c>
      <c r="J828" s="34" t="e">
        <f aca="false">RIGHT(B828,LEN(B828)-FIND("/",B828, FIND("Single Cells",B828, 1)))</f>
        <v>#VALUE!</v>
      </c>
    </row>
    <row r="829" customFormat="false" ht="12.75" hidden="false" customHeight="false" outlineLevel="0" collapsed="false">
      <c r="E829" s="34" t="str">
        <f aca="false">MID(B829,9,1)</f>
        <v/>
      </c>
      <c r="F829" s="34" t="str">
        <f aca="false">MID(B829,10,1)</f>
        <v/>
      </c>
      <c r="G829" s="34" t="str">
        <f aca="false">MID(B829,11,1)</f>
        <v/>
      </c>
      <c r="H829" s="35" t="str">
        <f aca="false">IF(G829=".",F829,CONCATENATE(F829,G829))</f>
        <v/>
      </c>
      <c r="I829" s="34" t="n">
        <f aca="false">IFERROR(VALUE(H829),)</f>
        <v>0</v>
      </c>
      <c r="J829" s="34" t="e">
        <f aca="false">RIGHT(B829,LEN(B829)-FIND("/",B829, FIND("Single Cells",B829, 1)))</f>
        <v>#VALUE!</v>
      </c>
    </row>
    <row r="830" customFormat="false" ht="12.75" hidden="false" customHeight="false" outlineLevel="0" collapsed="false">
      <c r="E830" s="34" t="str">
        <f aca="false">MID(B830,9,1)</f>
        <v/>
      </c>
      <c r="F830" s="34" t="str">
        <f aca="false">MID(B830,10,1)</f>
        <v/>
      </c>
      <c r="G830" s="34" t="str">
        <f aca="false">MID(B830,11,1)</f>
        <v/>
      </c>
      <c r="H830" s="35" t="str">
        <f aca="false">IF(G830=".",F830,CONCATENATE(F830,G830))</f>
        <v/>
      </c>
      <c r="I830" s="34" t="n">
        <f aca="false">IFERROR(VALUE(H830),)</f>
        <v>0</v>
      </c>
      <c r="J830" s="34" t="e">
        <f aca="false">RIGHT(B830,LEN(B830)-FIND("/",B830, FIND("Single Cells",B830, 1)))</f>
        <v>#VALUE!</v>
      </c>
    </row>
    <row r="831" customFormat="false" ht="12.75" hidden="false" customHeight="false" outlineLevel="0" collapsed="false">
      <c r="E831" s="34" t="str">
        <f aca="false">MID(B831,9,1)</f>
        <v/>
      </c>
      <c r="F831" s="34" t="str">
        <f aca="false">MID(B831,10,1)</f>
        <v/>
      </c>
      <c r="G831" s="34" t="str">
        <f aca="false">MID(B831,11,1)</f>
        <v/>
      </c>
      <c r="H831" s="35" t="str">
        <f aca="false">IF(G831=".",F831,CONCATENATE(F831,G831))</f>
        <v/>
      </c>
      <c r="I831" s="34" t="n">
        <f aca="false">IFERROR(VALUE(H831),)</f>
        <v>0</v>
      </c>
      <c r="J831" s="34" t="e">
        <f aca="false">RIGHT(B831,LEN(B831)-FIND("/",B831, FIND("Single Cells",B831, 1)))</f>
        <v>#VALUE!</v>
      </c>
    </row>
    <row r="832" customFormat="false" ht="12.75" hidden="false" customHeight="false" outlineLevel="0" collapsed="false">
      <c r="E832" s="34" t="str">
        <f aca="false">MID(B832,9,1)</f>
        <v/>
      </c>
      <c r="F832" s="34" t="str">
        <f aca="false">MID(B832,10,1)</f>
        <v/>
      </c>
      <c r="G832" s="34" t="str">
        <f aca="false">MID(B832,11,1)</f>
        <v/>
      </c>
      <c r="H832" s="35" t="str">
        <f aca="false">IF(G832=".",F832,CONCATENATE(F832,G832))</f>
        <v/>
      </c>
      <c r="I832" s="34" t="n">
        <f aca="false">IFERROR(VALUE(H832),)</f>
        <v>0</v>
      </c>
      <c r="J832" s="34" t="e">
        <f aca="false">RIGHT(B832,LEN(B832)-FIND("/",B832, FIND("Single Cells",B832, 1)))</f>
        <v>#VALUE!</v>
      </c>
    </row>
    <row r="833" customFormat="false" ht="12.75" hidden="false" customHeight="false" outlineLevel="0" collapsed="false">
      <c r="E833" s="34" t="str">
        <f aca="false">MID(B833,9,1)</f>
        <v/>
      </c>
      <c r="F833" s="34" t="str">
        <f aca="false">MID(B833,10,1)</f>
        <v/>
      </c>
      <c r="G833" s="34" t="str">
        <f aca="false">MID(B833,11,1)</f>
        <v/>
      </c>
      <c r="H833" s="35" t="str">
        <f aca="false">IF(G833=".",F833,CONCATENATE(F833,G833))</f>
        <v/>
      </c>
      <c r="I833" s="34" t="n">
        <f aca="false">IFERROR(VALUE(H833),)</f>
        <v>0</v>
      </c>
      <c r="J833" s="34" t="e">
        <f aca="false">RIGHT(B833,LEN(B833)-FIND("/",B833, FIND("Single Cells",B833, 1)))</f>
        <v>#VALUE!</v>
      </c>
    </row>
    <row r="834" customFormat="false" ht="12.75" hidden="false" customHeight="false" outlineLevel="0" collapsed="false">
      <c r="E834" s="34" t="str">
        <f aca="false">MID(B834,9,1)</f>
        <v/>
      </c>
      <c r="F834" s="34" t="str">
        <f aca="false">MID(B834,10,1)</f>
        <v/>
      </c>
      <c r="G834" s="34" t="str">
        <f aca="false">MID(B834,11,1)</f>
        <v/>
      </c>
      <c r="H834" s="35" t="str">
        <f aca="false">IF(G834=".",F834,CONCATENATE(F834,G834))</f>
        <v/>
      </c>
      <c r="I834" s="34" t="n">
        <f aca="false">IFERROR(VALUE(H834),)</f>
        <v>0</v>
      </c>
      <c r="J834" s="34" t="e">
        <f aca="false">RIGHT(B834,LEN(B834)-FIND("/",B834, FIND("Single Cells",B834, 1)))</f>
        <v>#VALUE!</v>
      </c>
    </row>
    <row r="835" customFormat="false" ht="12.75" hidden="false" customHeight="false" outlineLevel="0" collapsed="false">
      <c r="E835" s="34" t="str">
        <f aca="false">MID(B835,9,1)</f>
        <v/>
      </c>
      <c r="F835" s="34" t="str">
        <f aca="false">MID(B835,10,1)</f>
        <v/>
      </c>
      <c r="G835" s="34" t="str">
        <f aca="false">MID(B835,11,1)</f>
        <v/>
      </c>
      <c r="H835" s="35" t="str">
        <f aca="false">IF(G835=".",F835,CONCATENATE(F835,G835))</f>
        <v/>
      </c>
      <c r="I835" s="34" t="n">
        <f aca="false">IFERROR(VALUE(H835),)</f>
        <v>0</v>
      </c>
      <c r="J835" s="34" t="e">
        <f aca="false">RIGHT(B835,LEN(B835)-FIND("/",B835, FIND("Single Cells",B835, 1)))</f>
        <v>#VALUE!</v>
      </c>
    </row>
    <row r="836" customFormat="false" ht="12.75" hidden="false" customHeight="false" outlineLevel="0" collapsed="false">
      <c r="E836" s="34" t="str">
        <f aca="false">MID(B836,9,1)</f>
        <v/>
      </c>
      <c r="F836" s="34" t="str">
        <f aca="false">MID(B836,10,1)</f>
        <v/>
      </c>
      <c r="G836" s="34" t="str">
        <f aca="false">MID(B836,11,1)</f>
        <v/>
      </c>
      <c r="H836" s="35" t="str">
        <f aca="false">IF(G836=".",F836,CONCATENATE(F836,G836))</f>
        <v/>
      </c>
      <c r="I836" s="34" t="n">
        <f aca="false">IFERROR(VALUE(H836),)</f>
        <v>0</v>
      </c>
      <c r="J836" s="34" t="e">
        <f aca="false">RIGHT(B836,LEN(B836)-FIND("/",B836, FIND("Single Cells",B836, 1)))</f>
        <v>#VALUE!</v>
      </c>
    </row>
    <row r="837" customFormat="false" ht="12.75" hidden="false" customHeight="false" outlineLevel="0" collapsed="false">
      <c r="E837" s="34" t="str">
        <f aca="false">MID(B837,9,1)</f>
        <v/>
      </c>
      <c r="F837" s="34" t="str">
        <f aca="false">MID(B837,10,1)</f>
        <v/>
      </c>
      <c r="G837" s="34" t="str">
        <f aca="false">MID(B837,11,1)</f>
        <v/>
      </c>
      <c r="H837" s="35" t="str">
        <f aca="false">IF(G837=".",F837,CONCATENATE(F837,G837))</f>
        <v/>
      </c>
      <c r="I837" s="34" t="n">
        <f aca="false">IFERROR(VALUE(H837),)</f>
        <v>0</v>
      </c>
      <c r="J837" s="34" t="e">
        <f aca="false">RIGHT(B837,LEN(B837)-FIND("/",B837, FIND("Single Cells",B837, 1)))</f>
        <v>#VALUE!</v>
      </c>
    </row>
    <row r="838" customFormat="false" ht="12.75" hidden="false" customHeight="false" outlineLevel="0" collapsed="false">
      <c r="E838" s="34" t="str">
        <f aca="false">MID(B838,9,1)</f>
        <v/>
      </c>
      <c r="F838" s="34" t="str">
        <f aca="false">MID(B838,10,1)</f>
        <v/>
      </c>
      <c r="G838" s="34" t="str">
        <f aca="false">MID(B838,11,1)</f>
        <v/>
      </c>
      <c r="H838" s="35" t="str">
        <f aca="false">IF(G838=".",F838,CONCATENATE(F838,G838))</f>
        <v/>
      </c>
      <c r="I838" s="34" t="n">
        <f aca="false">IFERROR(VALUE(H838),)</f>
        <v>0</v>
      </c>
      <c r="J838" s="34" t="e">
        <f aca="false">RIGHT(B838,LEN(B838)-FIND("/",B838, FIND("Single Cells",B838, 1)))</f>
        <v>#VALUE!</v>
      </c>
    </row>
    <row r="839" customFormat="false" ht="12.75" hidden="false" customHeight="false" outlineLevel="0" collapsed="false">
      <c r="E839" s="34" t="str">
        <f aca="false">MID(B839,9,1)</f>
        <v/>
      </c>
      <c r="F839" s="34" t="str">
        <f aca="false">MID(B839,10,1)</f>
        <v/>
      </c>
      <c r="G839" s="34" t="str">
        <f aca="false">MID(B839,11,1)</f>
        <v/>
      </c>
      <c r="H839" s="35" t="str">
        <f aca="false">IF(G839=".",F839,CONCATENATE(F839,G839))</f>
        <v/>
      </c>
      <c r="I839" s="34" t="n">
        <f aca="false">IFERROR(VALUE(H839),)</f>
        <v>0</v>
      </c>
      <c r="J839" s="34" t="e">
        <f aca="false">RIGHT(B839,LEN(B839)-FIND("/",B839, FIND("Single Cells",B839, 1)))</f>
        <v>#VALUE!</v>
      </c>
    </row>
    <row r="840" customFormat="false" ht="12.75" hidden="false" customHeight="false" outlineLevel="0" collapsed="false">
      <c r="E840" s="34" t="str">
        <f aca="false">MID(B840,9,1)</f>
        <v/>
      </c>
      <c r="F840" s="34" t="str">
        <f aca="false">MID(B840,10,1)</f>
        <v/>
      </c>
      <c r="G840" s="34" t="str">
        <f aca="false">MID(B840,11,1)</f>
        <v/>
      </c>
      <c r="H840" s="35" t="str">
        <f aca="false">IF(G840=".",F840,CONCATENATE(F840,G840))</f>
        <v/>
      </c>
      <c r="I840" s="34" t="n">
        <f aca="false">IFERROR(VALUE(H840),)</f>
        <v>0</v>
      </c>
      <c r="J840" s="34" t="e">
        <f aca="false">RIGHT(B840,LEN(B840)-FIND("/",B840, FIND("Single Cells",B840, 1)))</f>
        <v>#VALUE!</v>
      </c>
    </row>
    <row r="841" customFormat="false" ht="12.75" hidden="false" customHeight="false" outlineLevel="0" collapsed="false">
      <c r="E841" s="34" t="str">
        <f aca="false">MID(B841,9,1)</f>
        <v/>
      </c>
      <c r="F841" s="34" t="str">
        <f aca="false">MID(B841,10,1)</f>
        <v/>
      </c>
      <c r="G841" s="34" t="str">
        <f aca="false">MID(B841,11,1)</f>
        <v/>
      </c>
      <c r="H841" s="35" t="str">
        <f aca="false">IF(G841=".",F841,CONCATENATE(F841,G841))</f>
        <v/>
      </c>
      <c r="I841" s="34" t="n">
        <f aca="false">IFERROR(VALUE(H841),)</f>
        <v>0</v>
      </c>
      <c r="J841" s="34" t="e">
        <f aca="false">RIGHT(B841,LEN(B841)-FIND("/",B841, FIND("Single Cells",B841, 1)))</f>
        <v>#VALUE!</v>
      </c>
    </row>
    <row r="842" customFormat="false" ht="12.75" hidden="false" customHeight="false" outlineLevel="0" collapsed="false">
      <c r="E842" s="34" t="str">
        <f aca="false">MID(B842,9,1)</f>
        <v/>
      </c>
      <c r="F842" s="34" t="str">
        <f aca="false">MID(B842,10,1)</f>
        <v/>
      </c>
      <c r="G842" s="34" t="str">
        <f aca="false">MID(B842,11,1)</f>
        <v/>
      </c>
      <c r="H842" s="35" t="str">
        <f aca="false">IF(G842=".",F842,CONCATENATE(F842,G842))</f>
        <v/>
      </c>
      <c r="I842" s="34" t="n">
        <f aca="false">IFERROR(VALUE(H842),)</f>
        <v>0</v>
      </c>
      <c r="J842" s="34" t="e">
        <f aca="false">RIGHT(B842,LEN(B842)-FIND("/",B842, FIND("Single Cells",B842, 1)))</f>
        <v>#VALUE!</v>
      </c>
    </row>
    <row r="843" customFormat="false" ht="12.75" hidden="false" customHeight="false" outlineLevel="0" collapsed="false">
      <c r="E843" s="34" t="str">
        <f aca="false">MID(B843,9,1)</f>
        <v/>
      </c>
      <c r="F843" s="34" t="str">
        <f aca="false">MID(B843,10,1)</f>
        <v/>
      </c>
      <c r="G843" s="34" t="str">
        <f aca="false">MID(B843,11,1)</f>
        <v/>
      </c>
      <c r="H843" s="35" t="str">
        <f aca="false">IF(G843=".",F843,CONCATENATE(F843,G843))</f>
        <v/>
      </c>
      <c r="I843" s="34" t="n">
        <f aca="false">IFERROR(VALUE(H843),)</f>
        <v>0</v>
      </c>
      <c r="J843" s="34" t="e">
        <f aca="false">RIGHT(B843,LEN(B843)-FIND("/",B843, FIND("Single Cells",B843, 1)))</f>
        <v>#VALUE!</v>
      </c>
    </row>
    <row r="844" customFormat="false" ht="12.75" hidden="false" customHeight="false" outlineLevel="0" collapsed="false">
      <c r="E844" s="34" t="str">
        <f aca="false">MID(B844,9,1)</f>
        <v/>
      </c>
      <c r="F844" s="34" t="str">
        <f aca="false">MID(B844,10,1)</f>
        <v/>
      </c>
      <c r="G844" s="34" t="str">
        <f aca="false">MID(B844,11,1)</f>
        <v/>
      </c>
      <c r="H844" s="35" t="str">
        <f aca="false">IF(G844=".",F844,CONCATENATE(F844,G844))</f>
        <v/>
      </c>
      <c r="I844" s="34" t="n">
        <f aca="false">IFERROR(VALUE(H844),)</f>
        <v>0</v>
      </c>
      <c r="J844" s="34" t="e">
        <f aca="false">RIGHT(B844,LEN(B844)-FIND("/",B844, FIND("Single Cells",B844, 1)))</f>
        <v>#VALUE!</v>
      </c>
    </row>
    <row r="845" customFormat="false" ht="12.75" hidden="false" customHeight="false" outlineLevel="0" collapsed="false">
      <c r="E845" s="34" t="str">
        <f aca="false">MID(B845,9,1)</f>
        <v/>
      </c>
      <c r="F845" s="34" t="str">
        <f aca="false">MID(B845,10,1)</f>
        <v/>
      </c>
      <c r="G845" s="34" t="str">
        <f aca="false">MID(B845,11,1)</f>
        <v/>
      </c>
      <c r="H845" s="35" t="str">
        <f aca="false">IF(G845=".",F845,CONCATENATE(F845,G845))</f>
        <v/>
      </c>
      <c r="I845" s="34" t="n">
        <f aca="false">IFERROR(VALUE(H845),)</f>
        <v>0</v>
      </c>
      <c r="J845" s="34" t="e">
        <f aca="false">RIGHT(B845,LEN(B845)-FIND("/",B845, FIND("Single Cells",B845, 1)))</f>
        <v>#VALUE!</v>
      </c>
    </row>
    <row r="846" customFormat="false" ht="12.75" hidden="false" customHeight="false" outlineLevel="0" collapsed="false">
      <c r="E846" s="34" t="str">
        <f aca="false">MID(B846,9,1)</f>
        <v/>
      </c>
      <c r="F846" s="34" t="str">
        <f aca="false">MID(B846,10,1)</f>
        <v/>
      </c>
      <c r="G846" s="34" t="str">
        <f aca="false">MID(B846,11,1)</f>
        <v/>
      </c>
      <c r="H846" s="35" t="str">
        <f aca="false">IF(G846=".",F846,CONCATENATE(F846,G846))</f>
        <v/>
      </c>
      <c r="I846" s="34" t="n">
        <f aca="false">IFERROR(VALUE(H846),)</f>
        <v>0</v>
      </c>
      <c r="J846" s="34" t="e">
        <f aca="false">RIGHT(B846,LEN(B846)-FIND("/",B846, FIND("Single Cells",B846, 1)))</f>
        <v>#VALUE!</v>
      </c>
    </row>
    <row r="847" customFormat="false" ht="12.75" hidden="false" customHeight="false" outlineLevel="0" collapsed="false">
      <c r="E847" s="34" t="str">
        <f aca="false">MID(B847,9,1)</f>
        <v/>
      </c>
      <c r="F847" s="34" t="str">
        <f aca="false">MID(B847,10,1)</f>
        <v/>
      </c>
      <c r="G847" s="34" t="str">
        <f aca="false">MID(B847,11,1)</f>
        <v/>
      </c>
      <c r="H847" s="35" t="str">
        <f aca="false">IF(G847=".",F847,CONCATENATE(F847,G847))</f>
        <v/>
      </c>
      <c r="I847" s="34" t="n">
        <f aca="false">IFERROR(VALUE(H847),)</f>
        <v>0</v>
      </c>
      <c r="J847" s="34" t="e">
        <f aca="false">RIGHT(B847,LEN(B847)-FIND("/",B847, FIND("Single Cells",B847, 1)))</f>
        <v>#VALUE!</v>
      </c>
    </row>
    <row r="848" customFormat="false" ht="12.75" hidden="false" customHeight="false" outlineLevel="0" collapsed="false">
      <c r="E848" s="34" t="str">
        <f aca="false">MID(B848,9,1)</f>
        <v/>
      </c>
      <c r="F848" s="34" t="str">
        <f aca="false">MID(B848,10,1)</f>
        <v/>
      </c>
      <c r="G848" s="34" t="str">
        <f aca="false">MID(B848,11,1)</f>
        <v/>
      </c>
      <c r="H848" s="35" t="str">
        <f aca="false">IF(G848=".",F848,CONCATENATE(F848,G848))</f>
        <v/>
      </c>
      <c r="I848" s="34" t="n">
        <f aca="false">IFERROR(VALUE(H848),)</f>
        <v>0</v>
      </c>
      <c r="J848" s="34" t="e">
        <f aca="false">RIGHT(B848,LEN(B848)-FIND("/",B848, FIND("Single Cells",B848, 1)))</f>
        <v>#VALUE!</v>
      </c>
    </row>
    <row r="849" customFormat="false" ht="12.75" hidden="false" customHeight="false" outlineLevel="0" collapsed="false">
      <c r="E849" s="34" t="str">
        <f aca="false">MID(B849,9,1)</f>
        <v/>
      </c>
      <c r="F849" s="34" t="str">
        <f aca="false">MID(B849,10,1)</f>
        <v/>
      </c>
      <c r="G849" s="34" t="str">
        <f aca="false">MID(B849,11,1)</f>
        <v/>
      </c>
      <c r="H849" s="35" t="str">
        <f aca="false">IF(G849=".",F849,CONCATENATE(F849,G849))</f>
        <v/>
      </c>
      <c r="I849" s="34" t="n">
        <f aca="false">IFERROR(VALUE(H849),)</f>
        <v>0</v>
      </c>
      <c r="J849" s="34" t="e">
        <f aca="false">RIGHT(B849,LEN(B849)-FIND("/",B849, FIND("Single Cells",B849, 1)))</f>
        <v>#VALUE!</v>
      </c>
    </row>
    <row r="850" customFormat="false" ht="12.75" hidden="false" customHeight="false" outlineLevel="0" collapsed="false">
      <c r="E850" s="34" t="str">
        <f aca="false">MID(B850,9,1)</f>
        <v/>
      </c>
      <c r="F850" s="34" t="str">
        <f aca="false">MID(B850,10,1)</f>
        <v/>
      </c>
      <c r="G850" s="34" t="str">
        <f aca="false">MID(B850,11,1)</f>
        <v/>
      </c>
      <c r="H850" s="35" t="str">
        <f aca="false">IF(G850=".",F850,CONCATENATE(F850,G850))</f>
        <v/>
      </c>
      <c r="I850" s="34" t="n">
        <f aca="false">IFERROR(VALUE(H850),)</f>
        <v>0</v>
      </c>
      <c r="J850" s="34" t="e">
        <f aca="false">RIGHT(B850,LEN(B850)-FIND("/",B850, FIND("Single Cells",B850, 1)))</f>
        <v>#VALUE!</v>
      </c>
    </row>
    <row r="851" customFormat="false" ht="12.75" hidden="false" customHeight="false" outlineLevel="0" collapsed="false">
      <c r="E851" s="34" t="str">
        <f aca="false">MID(B851,9,1)</f>
        <v/>
      </c>
      <c r="F851" s="34" t="str">
        <f aca="false">MID(B851,10,1)</f>
        <v/>
      </c>
      <c r="G851" s="34" t="str">
        <f aca="false">MID(B851,11,1)</f>
        <v/>
      </c>
      <c r="H851" s="35" t="str">
        <f aca="false">IF(G851=".",F851,CONCATENATE(F851,G851))</f>
        <v/>
      </c>
      <c r="I851" s="34" t="n">
        <f aca="false">IFERROR(VALUE(H851),)</f>
        <v>0</v>
      </c>
      <c r="J851" s="34" t="e">
        <f aca="false">RIGHT(B851,LEN(B851)-FIND("/",B851, FIND("Single Cells",B851, 1)))</f>
        <v>#VALUE!</v>
      </c>
    </row>
    <row r="852" customFormat="false" ht="12.75" hidden="false" customHeight="false" outlineLevel="0" collapsed="false">
      <c r="E852" s="34" t="str">
        <f aca="false">MID(B852,9,1)</f>
        <v/>
      </c>
      <c r="F852" s="34" t="str">
        <f aca="false">MID(B852,10,1)</f>
        <v/>
      </c>
      <c r="G852" s="34" t="str">
        <f aca="false">MID(B852,11,1)</f>
        <v/>
      </c>
      <c r="H852" s="35" t="str">
        <f aca="false">IF(G852=".",F852,CONCATENATE(F852,G852))</f>
        <v/>
      </c>
      <c r="I852" s="34" t="n">
        <f aca="false">IFERROR(VALUE(H852),)</f>
        <v>0</v>
      </c>
      <c r="J852" s="34" t="e">
        <f aca="false">RIGHT(B852,LEN(B852)-FIND("/",B852, FIND("Single Cells",B852, 1)))</f>
        <v>#VALUE!</v>
      </c>
    </row>
    <row r="853" customFormat="false" ht="12.75" hidden="false" customHeight="false" outlineLevel="0" collapsed="false">
      <c r="E853" s="34" t="str">
        <f aca="false">MID(B853,9,1)</f>
        <v/>
      </c>
      <c r="F853" s="34" t="str">
        <f aca="false">MID(B853,10,1)</f>
        <v/>
      </c>
      <c r="G853" s="34" t="str">
        <f aca="false">MID(B853,11,1)</f>
        <v/>
      </c>
      <c r="H853" s="35" t="str">
        <f aca="false">IF(G853=".",F853,CONCATENATE(F853,G853))</f>
        <v/>
      </c>
      <c r="I853" s="34" t="n">
        <f aca="false">IFERROR(VALUE(H853),)</f>
        <v>0</v>
      </c>
      <c r="J853" s="34" t="e">
        <f aca="false">RIGHT(B853,LEN(B853)-FIND("/",B853, FIND("Single Cells",B853, 1)))</f>
        <v>#VALUE!</v>
      </c>
    </row>
    <row r="854" customFormat="false" ht="12.75" hidden="false" customHeight="false" outlineLevel="0" collapsed="false">
      <c r="E854" s="34" t="str">
        <f aca="false">MID(B854,9,1)</f>
        <v/>
      </c>
      <c r="F854" s="34" t="str">
        <f aca="false">MID(B854,10,1)</f>
        <v/>
      </c>
      <c r="G854" s="34" t="str">
        <f aca="false">MID(B854,11,1)</f>
        <v/>
      </c>
      <c r="H854" s="35" t="str">
        <f aca="false">IF(G854=".",F854,CONCATENATE(F854,G854))</f>
        <v/>
      </c>
      <c r="I854" s="34" t="n">
        <f aca="false">IFERROR(VALUE(H854),)</f>
        <v>0</v>
      </c>
      <c r="J854" s="34" t="e">
        <f aca="false">RIGHT(B854,LEN(B854)-FIND("/",B854, FIND("Single Cells",B854, 1)))</f>
        <v>#VALUE!</v>
      </c>
    </row>
    <row r="855" customFormat="false" ht="12.75" hidden="false" customHeight="false" outlineLevel="0" collapsed="false">
      <c r="E855" s="34" t="str">
        <f aca="false">MID(B855,9,1)</f>
        <v/>
      </c>
      <c r="F855" s="34" t="str">
        <f aca="false">MID(B855,10,1)</f>
        <v/>
      </c>
      <c r="G855" s="34" t="str">
        <f aca="false">MID(B855,11,1)</f>
        <v/>
      </c>
      <c r="H855" s="35" t="str">
        <f aca="false">IF(G855=".",F855,CONCATENATE(F855,G855))</f>
        <v/>
      </c>
      <c r="I855" s="34" t="n">
        <f aca="false">IFERROR(VALUE(H855),)</f>
        <v>0</v>
      </c>
      <c r="J855" s="34" t="e">
        <f aca="false">RIGHT(B855,LEN(B855)-FIND("/",B855, FIND("Single Cells",B855, 1)))</f>
        <v>#VALUE!</v>
      </c>
    </row>
    <row r="856" customFormat="false" ht="12.75" hidden="false" customHeight="false" outlineLevel="0" collapsed="false">
      <c r="E856" s="34" t="str">
        <f aca="false">MID(B856,9,1)</f>
        <v/>
      </c>
      <c r="F856" s="34" t="str">
        <f aca="false">MID(B856,10,1)</f>
        <v/>
      </c>
      <c r="G856" s="34" t="str">
        <f aca="false">MID(B856,11,1)</f>
        <v/>
      </c>
      <c r="H856" s="35" t="str">
        <f aca="false">IF(G856=".",F856,CONCATENATE(F856,G856))</f>
        <v/>
      </c>
      <c r="I856" s="34" t="n">
        <f aca="false">IFERROR(VALUE(H856),)</f>
        <v>0</v>
      </c>
      <c r="J856" s="34" t="e">
        <f aca="false">RIGHT(B856,LEN(B856)-FIND("/",B856, FIND("Single Cells",B856, 1)))</f>
        <v>#VALUE!</v>
      </c>
    </row>
    <row r="857" customFormat="false" ht="12.75" hidden="false" customHeight="false" outlineLevel="0" collapsed="false">
      <c r="E857" s="34" t="str">
        <f aca="false">MID(B857,9,1)</f>
        <v/>
      </c>
      <c r="F857" s="34" t="str">
        <f aca="false">MID(B857,10,1)</f>
        <v/>
      </c>
      <c r="G857" s="34" t="str">
        <f aca="false">MID(B857,11,1)</f>
        <v/>
      </c>
      <c r="H857" s="35" t="str">
        <f aca="false">IF(G857=".",F857,CONCATENATE(F857,G857))</f>
        <v/>
      </c>
      <c r="I857" s="34" t="n">
        <f aca="false">IFERROR(VALUE(H857),)</f>
        <v>0</v>
      </c>
      <c r="J857" s="34" t="e">
        <f aca="false">RIGHT(B857,LEN(B857)-FIND("/",B857, FIND("Single Cells",B857, 1)))</f>
        <v>#VALUE!</v>
      </c>
    </row>
    <row r="858" customFormat="false" ht="12.75" hidden="false" customHeight="false" outlineLevel="0" collapsed="false">
      <c r="E858" s="34" t="str">
        <f aca="false">MID(B858,9,1)</f>
        <v/>
      </c>
      <c r="F858" s="34" t="str">
        <f aca="false">MID(B858,10,1)</f>
        <v/>
      </c>
      <c r="G858" s="34" t="str">
        <f aca="false">MID(B858,11,1)</f>
        <v/>
      </c>
      <c r="H858" s="35" t="str">
        <f aca="false">IF(G858=".",F858,CONCATENATE(F858,G858))</f>
        <v/>
      </c>
      <c r="I858" s="34" t="n">
        <f aca="false">IFERROR(VALUE(H858),)</f>
        <v>0</v>
      </c>
      <c r="J858" s="34" t="e">
        <f aca="false">RIGHT(B858,LEN(B858)-FIND("/",B858, FIND("Single Cells",B858, 1)))</f>
        <v>#VALUE!</v>
      </c>
    </row>
    <row r="859" customFormat="false" ht="12.75" hidden="false" customHeight="false" outlineLevel="0" collapsed="false">
      <c r="E859" s="34" t="str">
        <f aca="false">MID(B859,9,1)</f>
        <v/>
      </c>
      <c r="F859" s="34" t="str">
        <f aca="false">MID(B859,10,1)</f>
        <v/>
      </c>
      <c r="G859" s="34" t="str">
        <f aca="false">MID(B859,11,1)</f>
        <v/>
      </c>
      <c r="H859" s="35" t="str">
        <f aca="false">IF(G859=".",F859,CONCATENATE(F859,G859))</f>
        <v/>
      </c>
      <c r="I859" s="34" t="n">
        <f aca="false">IFERROR(VALUE(H859),)</f>
        <v>0</v>
      </c>
      <c r="J859" s="34" t="e">
        <f aca="false">RIGHT(B859,LEN(B859)-FIND("/",B859, FIND("Single Cells",B859, 1)))</f>
        <v>#VALUE!</v>
      </c>
    </row>
    <row r="860" customFormat="false" ht="12.75" hidden="false" customHeight="false" outlineLevel="0" collapsed="false">
      <c r="E860" s="34" t="str">
        <f aca="false">MID(B860,9,1)</f>
        <v/>
      </c>
      <c r="F860" s="34" t="str">
        <f aca="false">MID(B860,10,1)</f>
        <v/>
      </c>
      <c r="G860" s="34" t="str">
        <f aca="false">MID(B860,11,1)</f>
        <v/>
      </c>
      <c r="H860" s="35" t="str">
        <f aca="false">IF(G860=".",F860,CONCATENATE(F860,G860))</f>
        <v/>
      </c>
      <c r="I860" s="34" t="n">
        <f aca="false">IFERROR(VALUE(H860),)</f>
        <v>0</v>
      </c>
      <c r="J860" s="34" t="e">
        <f aca="false">RIGHT(B860,LEN(B860)-FIND("/",B860, FIND("Single Cells",B860, 1)))</f>
        <v>#VALUE!</v>
      </c>
    </row>
    <row r="861" customFormat="false" ht="12.75" hidden="false" customHeight="false" outlineLevel="0" collapsed="false">
      <c r="E861" s="34" t="str">
        <f aca="false">MID(B861,9,1)</f>
        <v/>
      </c>
      <c r="F861" s="34" t="str">
        <f aca="false">MID(B861,10,1)</f>
        <v/>
      </c>
      <c r="G861" s="34" t="str">
        <f aca="false">MID(B861,11,1)</f>
        <v/>
      </c>
      <c r="H861" s="35" t="str">
        <f aca="false">IF(G861=".",F861,CONCATENATE(F861,G861))</f>
        <v/>
      </c>
      <c r="I861" s="34" t="n">
        <f aca="false">IFERROR(VALUE(H861),)</f>
        <v>0</v>
      </c>
      <c r="J861" s="34" t="e">
        <f aca="false">RIGHT(B861,LEN(B861)-FIND("/",B861, FIND("Single Cells",B861, 1)))</f>
        <v>#VALUE!</v>
      </c>
    </row>
    <row r="862" customFormat="false" ht="12.75" hidden="false" customHeight="false" outlineLevel="0" collapsed="false">
      <c r="E862" s="34" t="str">
        <f aca="false">MID(B862,9,1)</f>
        <v/>
      </c>
      <c r="F862" s="34" t="str">
        <f aca="false">MID(B862,10,1)</f>
        <v/>
      </c>
      <c r="G862" s="34" t="str">
        <f aca="false">MID(B862,11,1)</f>
        <v/>
      </c>
      <c r="H862" s="35" t="str">
        <f aca="false">IF(G862=".",F862,CONCATENATE(F862,G862))</f>
        <v/>
      </c>
      <c r="I862" s="34" t="n">
        <f aca="false">IFERROR(VALUE(H862),)</f>
        <v>0</v>
      </c>
      <c r="J862" s="34" t="e">
        <f aca="false">RIGHT(B862,LEN(B862)-FIND("/",B862, FIND("Single Cells",B862, 1)))</f>
        <v>#VALUE!</v>
      </c>
    </row>
    <row r="863" customFormat="false" ht="12.75" hidden="false" customHeight="false" outlineLevel="0" collapsed="false">
      <c r="E863" s="34" t="str">
        <f aca="false">MID(B863,9,1)</f>
        <v/>
      </c>
      <c r="F863" s="34" t="str">
        <f aca="false">MID(B863,10,1)</f>
        <v/>
      </c>
      <c r="G863" s="34" t="str">
        <f aca="false">MID(B863,11,1)</f>
        <v/>
      </c>
      <c r="H863" s="35" t="str">
        <f aca="false">IF(G863=".",F863,CONCATENATE(F863,G863))</f>
        <v/>
      </c>
      <c r="I863" s="34" t="n">
        <f aca="false">IFERROR(VALUE(H863),)</f>
        <v>0</v>
      </c>
      <c r="J863" s="34" t="e">
        <f aca="false">RIGHT(B863,LEN(B863)-FIND("/",B863, FIND("Single Cells",B863, 1)))</f>
        <v>#VALUE!</v>
      </c>
    </row>
    <row r="864" customFormat="false" ht="12.75" hidden="false" customHeight="false" outlineLevel="0" collapsed="false">
      <c r="E864" s="34" t="str">
        <f aca="false">MID(B864,9,1)</f>
        <v/>
      </c>
      <c r="F864" s="34" t="str">
        <f aca="false">MID(B864,10,1)</f>
        <v/>
      </c>
      <c r="G864" s="34" t="str">
        <f aca="false">MID(B864,11,1)</f>
        <v/>
      </c>
      <c r="H864" s="35" t="str">
        <f aca="false">IF(G864=".",F864,CONCATENATE(F864,G864))</f>
        <v/>
      </c>
      <c r="I864" s="34" t="n">
        <f aca="false">IFERROR(VALUE(H864),)</f>
        <v>0</v>
      </c>
      <c r="J864" s="34" t="e">
        <f aca="false">RIGHT(B864,LEN(B864)-FIND("/",B864, FIND("Single Cells",B864, 1)))</f>
        <v>#VALUE!</v>
      </c>
    </row>
    <row r="865" customFormat="false" ht="12.75" hidden="false" customHeight="false" outlineLevel="0" collapsed="false">
      <c r="E865" s="34" t="str">
        <f aca="false">MID(B865,9,1)</f>
        <v/>
      </c>
      <c r="F865" s="34" t="str">
        <f aca="false">MID(B865,10,1)</f>
        <v/>
      </c>
      <c r="G865" s="34" t="str">
        <f aca="false">MID(B865,11,1)</f>
        <v/>
      </c>
      <c r="H865" s="35" t="str">
        <f aca="false">IF(G865=".",F865,CONCATENATE(F865,G865))</f>
        <v/>
      </c>
      <c r="I865" s="34" t="n">
        <f aca="false">IFERROR(VALUE(H865),)</f>
        <v>0</v>
      </c>
      <c r="J865" s="34" t="e">
        <f aca="false">RIGHT(B865,LEN(B865)-FIND("/",B865, FIND("Single Cells",B865, 1)))</f>
        <v>#VALUE!</v>
      </c>
    </row>
    <row r="866" customFormat="false" ht="12.75" hidden="false" customHeight="false" outlineLevel="0" collapsed="false">
      <c r="E866" s="34" t="str">
        <f aca="false">MID(B866,9,1)</f>
        <v/>
      </c>
      <c r="F866" s="34" t="str">
        <f aca="false">MID(B866,10,1)</f>
        <v/>
      </c>
      <c r="G866" s="34" t="str">
        <f aca="false">MID(B866,11,1)</f>
        <v/>
      </c>
      <c r="H866" s="35" t="str">
        <f aca="false">IF(G866=".",F866,CONCATENATE(F866,G866))</f>
        <v/>
      </c>
      <c r="I866" s="34" t="n">
        <f aca="false">IFERROR(VALUE(H866),)</f>
        <v>0</v>
      </c>
      <c r="J866" s="34" t="e">
        <f aca="false">RIGHT(B866,LEN(B866)-FIND("/",B866, FIND("Single Cells",B866, 1)))</f>
        <v>#VALUE!</v>
      </c>
    </row>
    <row r="867" customFormat="false" ht="12.75" hidden="false" customHeight="false" outlineLevel="0" collapsed="false">
      <c r="E867" s="34" t="str">
        <f aca="false">MID(B867,9,1)</f>
        <v/>
      </c>
      <c r="F867" s="34" t="str">
        <f aca="false">MID(B867,10,1)</f>
        <v/>
      </c>
      <c r="G867" s="34" t="str">
        <f aca="false">MID(B867,11,1)</f>
        <v/>
      </c>
      <c r="H867" s="35" t="str">
        <f aca="false">IF(G867=".",F867,CONCATENATE(F867,G867))</f>
        <v/>
      </c>
      <c r="I867" s="34" t="n">
        <f aca="false">IFERROR(VALUE(H867),)</f>
        <v>0</v>
      </c>
      <c r="J867" s="34" t="e">
        <f aca="false">RIGHT(B867,LEN(B867)-FIND("/",B867, FIND("Single Cells",B867, 1)))</f>
        <v>#VALUE!</v>
      </c>
    </row>
    <row r="868" customFormat="false" ht="12.75" hidden="false" customHeight="false" outlineLevel="0" collapsed="false">
      <c r="E868" s="34" t="str">
        <f aca="false">MID(B868,9,1)</f>
        <v/>
      </c>
      <c r="F868" s="34" t="str">
        <f aca="false">MID(B868,10,1)</f>
        <v/>
      </c>
      <c r="G868" s="34" t="str">
        <f aca="false">MID(B868,11,1)</f>
        <v/>
      </c>
      <c r="H868" s="35" t="str">
        <f aca="false">IF(G868=".",F868,CONCATENATE(F868,G868))</f>
        <v/>
      </c>
      <c r="I868" s="34" t="n">
        <f aca="false">IFERROR(VALUE(H868),)</f>
        <v>0</v>
      </c>
      <c r="J868" s="34" t="e">
        <f aca="false">RIGHT(B868,LEN(B868)-FIND("/",B868, FIND("Single Cells",B868, 1)))</f>
        <v>#VALUE!</v>
      </c>
    </row>
    <row r="869" customFormat="false" ht="12.75" hidden="false" customHeight="false" outlineLevel="0" collapsed="false">
      <c r="E869" s="34" t="str">
        <f aca="false">MID(B869,9,1)</f>
        <v/>
      </c>
      <c r="F869" s="34" t="str">
        <f aca="false">MID(B869,10,1)</f>
        <v/>
      </c>
      <c r="G869" s="34" t="str">
        <f aca="false">MID(B869,11,1)</f>
        <v/>
      </c>
      <c r="H869" s="35" t="str">
        <f aca="false">IF(G869=".",F869,CONCATENATE(F869,G869))</f>
        <v/>
      </c>
      <c r="I869" s="34" t="n">
        <f aca="false">IFERROR(VALUE(H869),)</f>
        <v>0</v>
      </c>
      <c r="J869" s="34" t="e">
        <f aca="false">RIGHT(B869,LEN(B869)-FIND("/",B869, FIND("Single Cells",B869, 1)))</f>
        <v>#VALUE!</v>
      </c>
    </row>
    <row r="870" customFormat="false" ht="12.75" hidden="false" customHeight="false" outlineLevel="0" collapsed="false">
      <c r="E870" s="34" t="str">
        <f aca="false">MID(B870,9,1)</f>
        <v/>
      </c>
      <c r="F870" s="34" t="str">
        <f aca="false">MID(B870,10,1)</f>
        <v/>
      </c>
      <c r="G870" s="34" t="str">
        <f aca="false">MID(B870,11,1)</f>
        <v/>
      </c>
      <c r="H870" s="35" t="str">
        <f aca="false">IF(G870=".",F870,CONCATENATE(F870,G870))</f>
        <v/>
      </c>
      <c r="I870" s="34" t="n">
        <f aca="false">IFERROR(VALUE(H870),)</f>
        <v>0</v>
      </c>
      <c r="J870" s="34" t="e">
        <f aca="false">RIGHT(B870,LEN(B870)-FIND("/",B870, FIND("Single Cells",B870, 1)))</f>
        <v>#VALUE!</v>
      </c>
    </row>
    <row r="871" customFormat="false" ht="12.75" hidden="false" customHeight="false" outlineLevel="0" collapsed="false">
      <c r="E871" s="34" t="str">
        <f aca="false">MID(B871,9,1)</f>
        <v/>
      </c>
      <c r="F871" s="34" t="str">
        <f aca="false">MID(B871,10,1)</f>
        <v/>
      </c>
      <c r="G871" s="34" t="str">
        <f aca="false">MID(B871,11,1)</f>
        <v/>
      </c>
      <c r="H871" s="35" t="str">
        <f aca="false">IF(G871=".",F871,CONCATENATE(F871,G871))</f>
        <v/>
      </c>
      <c r="I871" s="34" t="n">
        <f aca="false">IFERROR(VALUE(H871),)</f>
        <v>0</v>
      </c>
      <c r="J871" s="34" t="e">
        <f aca="false">RIGHT(B871,LEN(B871)-FIND("/",B871, FIND("Single Cells",B871, 1)))</f>
        <v>#VALUE!</v>
      </c>
    </row>
    <row r="872" customFormat="false" ht="12.75" hidden="false" customHeight="false" outlineLevel="0" collapsed="false">
      <c r="E872" s="34" t="str">
        <f aca="false">MID(B872,9,1)</f>
        <v/>
      </c>
      <c r="F872" s="34" t="str">
        <f aca="false">MID(B872,10,1)</f>
        <v/>
      </c>
      <c r="G872" s="34" t="str">
        <f aca="false">MID(B872,11,1)</f>
        <v/>
      </c>
      <c r="H872" s="35" t="str">
        <f aca="false">IF(G872=".",F872,CONCATENATE(F872,G872))</f>
        <v/>
      </c>
      <c r="I872" s="34" t="n">
        <f aca="false">IFERROR(VALUE(H872),)</f>
        <v>0</v>
      </c>
      <c r="J872" s="34" t="e">
        <f aca="false">RIGHT(B872,LEN(B872)-FIND("/",B872, FIND("Single Cells",B872, 1)))</f>
        <v>#VALUE!</v>
      </c>
    </row>
    <row r="873" customFormat="false" ht="12.75" hidden="false" customHeight="false" outlineLevel="0" collapsed="false">
      <c r="E873" s="34" t="str">
        <f aca="false">MID(B873,9,1)</f>
        <v/>
      </c>
      <c r="F873" s="34" t="str">
        <f aca="false">MID(B873,10,1)</f>
        <v/>
      </c>
      <c r="G873" s="34" t="str">
        <f aca="false">MID(B873,11,1)</f>
        <v/>
      </c>
      <c r="H873" s="35" t="str">
        <f aca="false">IF(G873=".",F873,CONCATENATE(F873,G873))</f>
        <v/>
      </c>
      <c r="I873" s="34" t="n">
        <f aca="false">IFERROR(VALUE(H873),)</f>
        <v>0</v>
      </c>
      <c r="J873" s="34" t="e">
        <f aca="false">RIGHT(B873,LEN(B873)-FIND("/",B873, FIND("Single Cells",B873, 1)))</f>
        <v>#VALUE!</v>
      </c>
    </row>
    <row r="874" customFormat="false" ht="12.75" hidden="false" customHeight="false" outlineLevel="0" collapsed="false">
      <c r="E874" s="34" t="str">
        <f aca="false">MID(B874,9,1)</f>
        <v/>
      </c>
      <c r="F874" s="34" t="str">
        <f aca="false">MID(B874,10,1)</f>
        <v/>
      </c>
      <c r="G874" s="34" t="str">
        <f aca="false">MID(B874,11,1)</f>
        <v/>
      </c>
      <c r="H874" s="35" t="str">
        <f aca="false">IF(G874=".",F874,CONCATENATE(F874,G874))</f>
        <v/>
      </c>
      <c r="I874" s="34" t="n">
        <f aca="false">IFERROR(VALUE(H874),)</f>
        <v>0</v>
      </c>
      <c r="J874" s="34" t="e">
        <f aca="false">RIGHT(B874,LEN(B874)-FIND("/",B874, FIND("Single Cells",B874, 1)))</f>
        <v>#VALUE!</v>
      </c>
    </row>
    <row r="875" customFormat="false" ht="12.75" hidden="false" customHeight="false" outlineLevel="0" collapsed="false">
      <c r="E875" s="34" t="str">
        <f aca="false">MID(B875,9,1)</f>
        <v/>
      </c>
      <c r="F875" s="34" t="str">
        <f aca="false">MID(B875,10,1)</f>
        <v/>
      </c>
      <c r="G875" s="34" t="str">
        <f aca="false">MID(B875,11,1)</f>
        <v/>
      </c>
      <c r="H875" s="35" t="str">
        <f aca="false">IF(G875=".",F875,CONCATENATE(F875,G875))</f>
        <v/>
      </c>
      <c r="I875" s="34" t="n">
        <f aca="false">IFERROR(VALUE(H875),)</f>
        <v>0</v>
      </c>
      <c r="J875" s="34" t="e">
        <f aca="false">RIGHT(B875,LEN(B875)-FIND("/",B875, FIND("Single Cells",B875, 1)))</f>
        <v>#VALUE!</v>
      </c>
    </row>
    <row r="876" customFormat="false" ht="12.75" hidden="false" customHeight="false" outlineLevel="0" collapsed="false">
      <c r="E876" s="34" t="str">
        <f aca="false">MID(B876,9,1)</f>
        <v/>
      </c>
      <c r="F876" s="34" t="str">
        <f aca="false">MID(B876,10,1)</f>
        <v/>
      </c>
      <c r="G876" s="34" t="str">
        <f aca="false">MID(B876,11,1)</f>
        <v/>
      </c>
      <c r="H876" s="35" t="str">
        <f aca="false">IF(G876=".",F876,CONCATENATE(F876,G876))</f>
        <v/>
      </c>
      <c r="I876" s="34" t="n">
        <f aca="false">IFERROR(VALUE(H876),)</f>
        <v>0</v>
      </c>
      <c r="J876" s="34" t="e">
        <f aca="false">RIGHT(B876,LEN(B876)-FIND("/",B876, FIND("Single Cells",B876, 1)))</f>
        <v>#VALUE!</v>
      </c>
    </row>
    <row r="877" customFormat="false" ht="12.75" hidden="false" customHeight="false" outlineLevel="0" collapsed="false">
      <c r="E877" s="34" t="str">
        <f aca="false">MID(B877,9,1)</f>
        <v/>
      </c>
      <c r="F877" s="34" t="str">
        <f aca="false">MID(B877,10,1)</f>
        <v/>
      </c>
      <c r="G877" s="34" t="str">
        <f aca="false">MID(B877,11,1)</f>
        <v/>
      </c>
      <c r="H877" s="35" t="str">
        <f aca="false">IF(G877=".",F877,CONCATENATE(F877,G877))</f>
        <v/>
      </c>
      <c r="I877" s="34" t="n">
        <f aca="false">IFERROR(VALUE(H877),)</f>
        <v>0</v>
      </c>
      <c r="J877" s="34" t="e">
        <f aca="false">RIGHT(B877,LEN(B877)-FIND("/",B877, FIND("Single Cells",B877, 1)))</f>
        <v>#VALUE!</v>
      </c>
    </row>
    <row r="878" customFormat="false" ht="12.75" hidden="false" customHeight="false" outlineLevel="0" collapsed="false">
      <c r="E878" s="34" t="str">
        <f aca="false">MID(B878,9,1)</f>
        <v/>
      </c>
      <c r="F878" s="34" t="str">
        <f aca="false">MID(B878,10,1)</f>
        <v/>
      </c>
      <c r="G878" s="34" t="str">
        <f aca="false">MID(B878,11,1)</f>
        <v/>
      </c>
      <c r="H878" s="35" t="str">
        <f aca="false">IF(G878=".",F878,CONCATENATE(F878,G878))</f>
        <v/>
      </c>
      <c r="I878" s="34" t="n">
        <f aca="false">IFERROR(VALUE(H878),)</f>
        <v>0</v>
      </c>
      <c r="J878" s="34" t="e">
        <f aca="false">RIGHT(B878,LEN(B878)-FIND("/",B878, FIND("Single Cells",B878, 1)))</f>
        <v>#VALUE!</v>
      </c>
    </row>
    <row r="879" customFormat="false" ht="12.75" hidden="false" customHeight="false" outlineLevel="0" collapsed="false">
      <c r="E879" s="34" t="str">
        <f aca="false">MID(B879,9,1)</f>
        <v/>
      </c>
      <c r="F879" s="34" t="str">
        <f aca="false">MID(B879,10,1)</f>
        <v/>
      </c>
      <c r="G879" s="34" t="str">
        <f aca="false">MID(B879,11,1)</f>
        <v/>
      </c>
      <c r="H879" s="35" t="str">
        <f aca="false">IF(G879=".",F879,CONCATENATE(F879,G879))</f>
        <v/>
      </c>
      <c r="I879" s="34" t="n">
        <f aca="false">IFERROR(VALUE(H879),)</f>
        <v>0</v>
      </c>
      <c r="J879" s="34" t="e">
        <f aca="false">RIGHT(B879,LEN(B879)-FIND("/",B879, FIND("Single Cells",B879, 1)))</f>
        <v>#VALUE!</v>
      </c>
    </row>
    <row r="880" customFormat="false" ht="12.75" hidden="false" customHeight="false" outlineLevel="0" collapsed="false">
      <c r="E880" s="34" t="str">
        <f aca="false">MID(B880,9,1)</f>
        <v/>
      </c>
      <c r="F880" s="34" t="str">
        <f aca="false">MID(B880,10,1)</f>
        <v/>
      </c>
      <c r="G880" s="34" t="str">
        <f aca="false">MID(B880,11,1)</f>
        <v/>
      </c>
      <c r="H880" s="35" t="str">
        <f aca="false">IF(G880=".",F880,CONCATENATE(F880,G880))</f>
        <v/>
      </c>
      <c r="I880" s="34" t="n">
        <f aca="false">IFERROR(VALUE(H880),)</f>
        <v>0</v>
      </c>
      <c r="J880" s="34" t="e">
        <f aca="false">RIGHT(B880,LEN(B880)-FIND("/",B880, FIND("Single Cells",B880, 1)))</f>
        <v>#VALUE!</v>
      </c>
    </row>
    <row r="881" customFormat="false" ht="12.75" hidden="false" customHeight="false" outlineLevel="0" collapsed="false">
      <c r="E881" s="34" t="str">
        <f aca="false">MID(B881,9,1)</f>
        <v/>
      </c>
      <c r="F881" s="34" t="str">
        <f aca="false">MID(B881,10,1)</f>
        <v/>
      </c>
      <c r="G881" s="34" t="str">
        <f aca="false">MID(B881,11,1)</f>
        <v/>
      </c>
      <c r="H881" s="35" t="str">
        <f aca="false">IF(G881=".",F881,CONCATENATE(F881,G881))</f>
        <v/>
      </c>
      <c r="I881" s="34" t="n">
        <f aca="false">IFERROR(VALUE(H881),)</f>
        <v>0</v>
      </c>
      <c r="J881" s="34" t="e">
        <f aca="false">RIGHT(B881,LEN(B881)-FIND("/",B881, FIND("Single Cells",B881, 1)))</f>
        <v>#VALUE!</v>
      </c>
    </row>
    <row r="882" customFormat="false" ht="12.75" hidden="false" customHeight="false" outlineLevel="0" collapsed="false">
      <c r="E882" s="34" t="str">
        <f aca="false">MID(B882,9,1)</f>
        <v/>
      </c>
      <c r="F882" s="34" t="str">
        <f aca="false">MID(B882,10,1)</f>
        <v/>
      </c>
      <c r="G882" s="34" t="str">
        <f aca="false">MID(B882,11,1)</f>
        <v/>
      </c>
      <c r="H882" s="35" t="str">
        <f aca="false">IF(G882=".",F882,CONCATENATE(F882,G882))</f>
        <v/>
      </c>
      <c r="I882" s="34" t="n">
        <f aca="false">IFERROR(VALUE(H882),)</f>
        <v>0</v>
      </c>
      <c r="J882" s="34" t="e">
        <f aca="false">RIGHT(B882,LEN(B882)-FIND("/",B882, FIND("Single Cells",B882, 1)))</f>
        <v>#VALUE!</v>
      </c>
    </row>
    <row r="883" customFormat="false" ht="12.75" hidden="false" customHeight="false" outlineLevel="0" collapsed="false">
      <c r="E883" s="34" t="str">
        <f aca="false">MID(B883,9,1)</f>
        <v/>
      </c>
      <c r="F883" s="34" t="str">
        <f aca="false">MID(B883,10,1)</f>
        <v/>
      </c>
      <c r="G883" s="34" t="str">
        <f aca="false">MID(B883,11,1)</f>
        <v/>
      </c>
      <c r="H883" s="35" t="str">
        <f aca="false">IF(G883=".",F883,CONCATENATE(F883,G883))</f>
        <v/>
      </c>
      <c r="I883" s="34" t="n">
        <f aca="false">IFERROR(VALUE(H883),)</f>
        <v>0</v>
      </c>
      <c r="J883" s="34" t="e">
        <f aca="false">RIGHT(B883,LEN(B883)-FIND("/",B883, FIND("Single Cells",B883, 1)))</f>
        <v>#VALUE!</v>
      </c>
    </row>
    <row r="884" customFormat="false" ht="12.75" hidden="false" customHeight="false" outlineLevel="0" collapsed="false">
      <c r="E884" s="34" t="str">
        <f aca="false">MID(B884,9,1)</f>
        <v/>
      </c>
      <c r="F884" s="34" t="str">
        <f aca="false">MID(B884,10,1)</f>
        <v/>
      </c>
      <c r="G884" s="34" t="str">
        <f aca="false">MID(B884,11,1)</f>
        <v/>
      </c>
      <c r="H884" s="35" t="str">
        <f aca="false">IF(G884=".",F884,CONCATENATE(F884,G884))</f>
        <v/>
      </c>
      <c r="I884" s="34" t="n">
        <f aca="false">IFERROR(VALUE(H884),)</f>
        <v>0</v>
      </c>
      <c r="J884" s="34" t="e">
        <f aca="false">RIGHT(B884,LEN(B884)-FIND("/",B884, FIND("Single Cells",B884, 1)))</f>
        <v>#VALUE!</v>
      </c>
    </row>
    <row r="885" customFormat="false" ht="12.75" hidden="false" customHeight="false" outlineLevel="0" collapsed="false">
      <c r="E885" s="34" t="str">
        <f aca="false">MID(B885,9,1)</f>
        <v/>
      </c>
      <c r="F885" s="34" t="str">
        <f aca="false">MID(B885,10,1)</f>
        <v/>
      </c>
      <c r="G885" s="34" t="str">
        <f aca="false">MID(B885,11,1)</f>
        <v/>
      </c>
      <c r="H885" s="35" t="str">
        <f aca="false">IF(G885=".",F885,CONCATENATE(F885,G885))</f>
        <v/>
      </c>
      <c r="I885" s="34" t="n">
        <f aca="false">IFERROR(VALUE(H885),)</f>
        <v>0</v>
      </c>
      <c r="J885" s="34" t="e">
        <f aca="false">RIGHT(B885,LEN(B885)-FIND("/",B885, FIND("Single Cells",B885, 1)))</f>
        <v>#VALUE!</v>
      </c>
    </row>
    <row r="886" customFormat="false" ht="12.75" hidden="false" customHeight="false" outlineLevel="0" collapsed="false">
      <c r="E886" s="34" t="str">
        <f aca="false">MID(B886,9,1)</f>
        <v/>
      </c>
      <c r="F886" s="34" t="str">
        <f aca="false">MID(B886,10,1)</f>
        <v/>
      </c>
      <c r="G886" s="34" t="str">
        <f aca="false">MID(B886,11,1)</f>
        <v/>
      </c>
      <c r="H886" s="35" t="str">
        <f aca="false">IF(G886=".",F886,CONCATENATE(F886,G886))</f>
        <v/>
      </c>
      <c r="I886" s="34" t="n">
        <f aca="false">IFERROR(VALUE(H886),)</f>
        <v>0</v>
      </c>
      <c r="J886" s="34" t="e">
        <f aca="false">RIGHT(B886,LEN(B886)-FIND("/",B886, FIND("Single Cells",B886, 1)))</f>
        <v>#VALUE!</v>
      </c>
    </row>
    <row r="887" customFormat="false" ht="12.75" hidden="false" customHeight="false" outlineLevel="0" collapsed="false">
      <c r="E887" s="34" t="str">
        <f aca="false">MID(B887,9,1)</f>
        <v/>
      </c>
      <c r="F887" s="34" t="str">
        <f aca="false">MID(B887,10,1)</f>
        <v/>
      </c>
      <c r="G887" s="34" t="str">
        <f aca="false">MID(B887,11,1)</f>
        <v/>
      </c>
      <c r="H887" s="35" t="str">
        <f aca="false">IF(G887=".",F887,CONCATENATE(F887,G887))</f>
        <v/>
      </c>
      <c r="I887" s="34" t="n">
        <f aca="false">IFERROR(VALUE(H887),)</f>
        <v>0</v>
      </c>
      <c r="J887" s="34" t="e">
        <f aca="false">RIGHT(B887,LEN(B887)-FIND("/",B887, FIND("Single Cells",B887, 1)))</f>
        <v>#VALUE!</v>
      </c>
    </row>
    <row r="888" customFormat="false" ht="12.75" hidden="false" customHeight="false" outlineLevel="0" collapsed="false">
      <c r="E888" s="34" t="str">
        <f aca="false">MID(B888,9,1)</f>
        <v/>
      </c>
      <c r="F888" s="34" t="str">
        <f aca="false">MID(B888,10,1)</f>
        <v/>
      </c>
      <c r="G888" s="34" t="str">
        <f aca="false">MID(B888,11,1)</f>
        <v/>
      </c>
      <c r="H888" s="35" t="str">
        <f aca="false">IF(G888=".",F888,CONCATENATE(F888,G888))</f>
        <v/>
      </c>
      <c r="I888" s="34" t="n">
        <f aca="false">IFERROR(VALUE(H888),)</f>
        <v>0</v>
      </c>
      <c r="J888" s="34" t="e">
        <f aca="false">RIGHT(B888,LEN(B888)-FIND("/",B888, FIND("Single Cells",B888, 1)))</f>
        <v>#VALUE!</v>
      </c>
    </row>
    <row r="889" customFormat="false" ht="12.75" hidden="false" customHeight="false" outlineLevel="0" collapsed="false">
      <c r="E889" s="34" t="str">
        <f aca="false">MID(B889,9,1)</f>
        <v/>
      </c>
      <c r="F889" s="34" t="str">
        <f aca="false">MID(B889,10,1)</f>
        <v/>
      </c>
      <c r="G889" s="34" t="str">
        <f aca="false">MID(B889,11,1)</f>
        <v/>
      </c>
      <c r="H889" s="35" t="str">
        <f aca="false">IF(G889=".",F889,CONCATENATE(F889,G889))</f>
        <v/>
      </c>
      <c r="I889" s="34" t="n">
        <f aca="false">IFERROR(VALUE(H889),)</f>
        <v>0</v>
      </c>
      <c r="J889" s="34" t="e">
        <f aca="false">RIGHT(B889,LEN(B889)-FIND("/",B889, FIND("Single Cells",B889, 1)))</f>
        <v>#VALUE!</v>
      </c>
    </row>
    <row r="890" customFormat="false" ht="12.75" hidden="false" customHeight="false" outlineLevel="0" collapsed="false">
      <c r="E890" s="34" t="str">
        <f aca="false">MID(B890,9,1)</f>
        <v/>
      </c>
      <c r="F890" s="34" t="str">
        <f aca="false">MID(B890,10,1)</f>
        <v/>
      </c>
      <c r="G890" s="34" t="str">
        <f aca="false">MID(B890,11,1)</f>
        <v/>
      </c>
      <c r="H890" s="35" t="str">
        <f aca="false">IF(G890=".",F890,CONCATENATE(F890,G890))</f>
        <v/>
      </c>
      <c r="I890" s="34" t="n">
        <f aca="false">IFERROR(VALUE(H890),)</f>
        <v>0</v>
      </c>
      <c r="J890" s="34" t="e">
        <f aca="false">RIGHT(B890,LEN(B890)-FIND("/",B890, FIND("Single Cells",B890, 1)))</f>
        <v>#VALUE!</v>
      </c>
    </row>
    <row r="891" customFormat="false" ht="12.75" hidden="false" customHeight="false" outlineLevel="0" collapsed="false">
      <c r="E891" s="34" t="str">
        <f aca="false">MID(B891,9,1)</f>
        <v/>
      </c>
      <c r="F891" s="34" t="str">
        <f aca="false">MID(B891,10,1)</f>
        <v/>
      </c>
      <c r="G891" s="34" t="str">
        <f aca="false">MID(B891,11,1)</f>
        <v/>
      </c>
      <c r="H891" s="35" t="str">
        <f aca="false">IF(G891=".",F891,CONCATENATE(F891,G891))</f>
        <v/>
      </c>
      <c r="I891" s="34" t="n">
        <f aca="false">IFERROR(VALUE(H891),)</f>
        <v>0</v>
      </c>
      <c r="J891" s="34" t="e">
        <f aca="false">RIGHT(B891,LEN(B891)-FIND("/",B891, FIND("Single Cells",B891, 1)))</f>
        <v>#VALUE!</v>
      </c>
    </row>
    <row r="892" customFormat="false" ht="12.75" hidden="false" customHeight="false" outlineLevel="0" collapsed="false">
      <c r="E892" s="34" t="str">
        <f aca="false">MID(B892,9,1)</f>
        <v/>
      </c>
      <c r="F892" s="34" t="str">
        <f aca="false">MID(B892,10,1)</f>
        <v/>
      </c>
      <c r="G892" s="34" t="str">
        <f aca="false">MID(B892,11,1)</f>
        <v/>
      </c>
      <c r="H892" s="35" t="str">
        <f aca="false">IF(G892=".",F892,CONCATENATE(F892,G892))</f>
        <v/>
      </c>
      <c r="I892" s="34" t="n">
        <f aca="false">IFERROR(VALUE(H892),)</f>
        <v>0</v>
      </c>
      <c r="J892" s="34" t="e">
        <f aca="false">RIGHT(B892,LEN(B892)-FIND("/",B892, FIND("Single Cells",B892, 1)))</f>
        <v>#VALUE!</v>
      </c>
    </row>
    <row r="893" customFormat="false" ht="12.75" hidden="false" customHeight="false" outlineLevel="0" collapsed="false">
      <c r="E893" s="34" t="str">
        <f aca="false">MID(B893,9,1)</f>
        <v/>
      </c>
      <c r="F893" s="34" t="str">
        <f aca="false">MID(B893,10,1)</f>
        <v/>
      </c>
      <c r="G893" s="34" t="str">
        <f aca="false">MID(B893,11,1)</f>
        <v/>
      </c>
      <c r="H893" s="35" t="str">
        <f aca="false">IF(G893=".",F893,CONCATENATE(F893,G893))</f>
        <v/>
      </c>
      <c r="I893" s="34" t="n">
        <f aca="false">IFERROR(VALUE(H893),)</f>
        <v>0</v>
      </c>
      <c r="J893" s="34" t="e">
        <f aca="false">RIGHT(B893,LEN(B893)-FIND("/",B893, FIND("Single Cells",B893, 1)))</f>
        <v>#VALUE!</v>
      </c>
    </row>
    <row r="894" customFormat="false" ht="12.75" hidden="false" customHeight="false" outlineLevel="0" collapsed="false">
      <c r="E894" s="34" t="str">
        <f aca="false">MID(B894,9,1)</f>
        <v/>
      </c>
      <c r="F894" s="34" t="str">
        <f aca="false">MID(B894,10,1)</f>
        <v/>
      </c>
      <c r="G894" s="34" t="str">
        <f aca="false">MID(B894,11,1)</f>
        <v/>
      </c>
      <c r="H894" s="35" t="str">
        <f aca="false">IF(G894=".",F894,CONCATENATE(F894,G894))</f>
        <v/>
      </c>
      <c r="I894" s="34" t="n">
        <f aca="false">IFERROR(VALUE(H894),)</f>
        <v>0</v>
      </c>
      <c r="J894" s="34" t="e">
        <f aca="false">RIGHT(B894,LEN(B894)-FIND("/",B894, FIND("Single Cells",B894, 1)))</f>
        <v>#VALUE!</v>
      </c>
    </row>
    <row r="895" customFormat="false" ht="12.75" hidden="false" customHeight="false" outlineLevel="0" collapsed="false">
      <c r="E895" s="34" t="str">
        <f aca="false">MID(B895,9,1)</f>
        <v/>
      </c>
      <c r="F895" s="34" t="str">
        <f aca="false">MID(B895,10,1)</f>
        <v/>
      </c>
      <c r="G895" s="34" t="str">
        <f aca="false">MID(B895,11,1)</f>
        <v/>
      </c>
      <c r="H895" s="35" t="str">
        <f aca="false">IF(G895=".",F895,CONCATENATE(F895,G895))</f>
        <v/>
      </c>
      <c r="I895" s="34" t="n">
        <f aca="false">IFERROR(VALUE(H895),)</f>
        <v>0</v>
      </c>
      <c r="J895" s="34" t="e">
        <f aca="false">RIGHT(B895,LEN(B895)-FIND("/",B895, FIND("Single Cells",B895, 1)))</f>
        <v>#VALUE!</v>
      </c>
    </row>
    <row r="896" customFormat="false" ht="12.75" hidden="false" customHeight="false" outlineLevel="0" collapsed="false">
      <c r="E896" s="34" t="str">
        <f aca="false">MID(B896,9,1)</f>
        <v/>
      </c>
      <c r="F896" s="34" t="str">
        <f aca="false">MID(B896,10,1)</f>
        <v/>
      </c>
      <c r="G896" s="34" t="str">
        <f aca="false">MID(B896,11,1)</f>
        <v/>
      </c>
      <c r="H896" s="35" t="str">
        <f aca="false">IF(G896=".",F896,CONCATENATE(F896,G896))</f>
        <v/>
      </c>
      <c r="I896" s="34" t="n">
        <f aca="false">IFERROR(VALUE(H896),)</f>
        <v>0</v>
      </c>
      <c r="J896" s="34" t="e">
        <f aca="false">RIGHT(B896,LEN(B896)-FIND("/",B896, FIND("Single Cells",B896, 1)))</f>
        <v>#VALUE!</v>
      </c>
    </row>
    <row r="897" customFormat="false" ht="12.75" hidden="false" customHeight="false" outlineLevel="0" collapsed="false">
      <c r="E897" s="34" t="str">
        <f aca="false">MID(B897,9,1)</f>
        <v/>
      </c>
      <c r="F897" s="34" t="str">
        <f aca="false">MID(B897,10,1)</f>
        <v/>
      </c>
      <c r="G897" s="34" t="str">
        <f aca="false">MID(B897,11,1)</f>
        <v/>
      </c>
      <c r="H897" s="35" t="str">
        <f aca="false">IF(G897=".",F897,CONCATENATE(F897,G897))</f>
        <v/>
      </c>
      <c r="I897" s="34" t="n">
        <f aca="false">IFERROR(VALUE(H897),)</f>
        <v>0</v>
      </c>
      <c r="J897" s="34" t="e">
        <f aca="false">RIGHT(B897,LEN(B897)-FIND("/",B897, FIND("Single Cells",B897, 1)))</f>
        <v>#VALUE!</v>
      </c>
    </row>
    <row r="898" customFormat="false" ht="12.75" hidden="false" customHeight="false" outlineLevel="0" collapsed="false">
      <c r="E898" s="34" t="str">
        <f aca="false">MID(B898,9,1)</f>
        <v/>
      </c>
      <c r="F898" s="34" t="str">
        <f aca="false">MID(B898,10,1)</f>
        <v/>
      </c>
      <c r="G898" s="34" t="str">
        <f aca="false">MID(B898,11,1)</f>
        <v/>
      </c>
      <c r="H898" s="35" t="str">
        <f aca="false">IF(G898=".",F898,CONCATENATE(F898,G898))</f>
        <v/>
      </c>
      <c r="I898" s="34" t="n">
        <f aca="false">IFERROR(VALUE(H898),)</f>
        <v>0</v>
      </c>
      <c r="J898" s="34" t="e">
        <f aca="false">RIGHT(B898,LEN(B898)-FIND("/",B898, FIND("Single Cells",B898, 1)))</f>
        <v>#VALUE!</v>
      </c>
    </row>
    <row r="899" customFormat="false" ht="12.75" hidden="false" customHeight="false" outlineLevel="0" collapsed="false">
      <c r="E899" s="34" t="str">
        <f aca="false">MID(B899,9,1)</f>
        <v/>
      </c>
      <c r="F899" s="34" t="str">
        <f aca="false">MID(B899,10,1)</f>
        <v/>
      </c>
      <c r="G899" s="34" t="str">
        <f aca="false">MID(B899,11,1)</f>
        <v/>
      </c>
      <c r="H899" s="35" t="str">
        <f aca="false">IF(G899=".",F899,CONCATENATE(F899,G899))</f>
        <v/>
      </c>
      <c r="I899" s="34" t="n">
        <f aca="false">IFERROR(VALUE(H899),)</f>
        <v>0</v>
      </c>
      <c r="J899" s="34" t="e">
        <f aca="false">RIGHT(B899,LEN(B899)-FIND("/",B899, FIND("Single Cells",B899, 1)))</f>
        <v>#VALUE!</v>
      </c>
    </row>
    <row r="900" customFormat="false" ht="12.75" hidden="false" customHeight="false" outlineLevel="0" collapsed="false">
      <c r="E900" s="34" t="str">
        <f aca="false">MID(B900,9,1)</f>
        <v/>
      </c>
      <c r="F900" s="34" t="str">
        <f aca="false">MID(B900,10,1)</f>
        <v/>
      </c>
      <c r="G900" s="34" t="str">
        <f aca="false">MID(B900,11,1)</f>
        <v/>
      </c>
      <c r="H900" s="35" t="str">
        <f aca="false">IF(G900=".",F900,CONCATENATE(F900,G900))</f>
        <v/>
      </c>
      <c r="I900" s="34" t="n">
        <f aca="false">IFERROR(VALUE(H900),)</f>
        <v>0</v>
      </c>
      <c r="J900" s="34" t="e">
        <f aca="false">RIGHT(B900,LEN(B900)-FIND("/",B900, FIND("Single Cells",B900, 1)))</f>
        <v>#VALUE!</v>
      </c>
    </row>
    <row r="901" customFormat="false" ht="12.75" hidden="false" customHeight="false" outlineLevel="0" collapsed="false">
      <c r="E901" s="34" t="str">
        <f aca="false">MID(B901,9,1)</f>
        <v/>
      </c>
      <c r="F901" s="34" t="str">
        <f aca="false">MID(B901,10,1)</f>
        <v/>
      </c>
      <c r="G901" s="34" t="str">
        <f aca="false">MID(B901,11,1)</f>
        <v/>
      </c>
      <c r="H901" s="35" t="str">
        <f aca="false">IF(G901=".",F901,CONCATENATE(F901,G901))</f>
        <v/>
      </c>
      <c r="I901" s="34" t="n">
        <f aca="false">IFERROR(VALUE(H901),)</f>
        <v>0</v>
      </c>
      <c r="J901" s="34" t="e">
        <f aca="false">RIGHT(B901,LEN(B901)-FIND("/",B901, FIND("Single Cells",B901, 1)))</f>
        <v>#VALUE!</v>
      </c>
    </row>
    <row r="902" customFormat="false" ht="12.75" hidden="false" customHeight="false" outlineLevel="0" collapsed="false">
      <c r="E902" s="34" t="str">
        <f aca="false">MID(B902,9,1)</f>
        <v/>
      </c>
      <c r="F902" s="34" t="str">
        <f aca="false">MID(B902,10,1)</f>
        <v/>
      </c>
      <c r="G902" s="34" t="str">
        <f aca="false">MID(B902,11,1)</f>
        <v/>
      </c>
      <c r="H902" s="35" t="str">
        <f aca="false">IF(G902=".",F902,CONCATENATE(F902,G902))</f>
        <v/>
      </c>
      <c r="I902" s="34" t="n">
        <f aca="false">IFERROR(VALUE(H902),)</f>
        <v>0</v>
      </c>
      <c r="J902" s="34" t="e">
        <f aca="false">RIGHT(B902,LEN(B902)-FIND("/",B902, FIND("Single Cells",B902, 1)))</f>
        <v>#VALUE!</v>
      </c>
    </row>
    <row r="903" customFormat="false" ht="12.75" hidden="false" customHeight="false" outlineLevel="0" collapsed="false">
      <c r="E903" s="34" t="str">
        <f aca="false">MID(B903,9,1)</f>
        <v/>
      </c>
      <c r="F903" s="34" t="str">
        <f aca="false">MID(B903,10,1)</f>
        <v/>
      </c>
      <c r="G903" s="34" t="str">
        <f aca="false">MID(B903,11,1)</f>
        <v/>
      </c>
      <c r="H903" s="35" t="str">
        <f aca="false">IF(G903=".",F903,CONCATENATE(F903,G903))</f>
        <v/>
      </c>
      <c r="I903" s="34" t="n">
        <f aca="false">IFERROR(VALUE(H903),)</f>
        <v>0</v>
      </c>
      <c r="J903" s="34" t="e">
        <f aca="false">RIGHT(B903,LEN(B903)-FIND("/",B903, FIND("Single Cells",B903, 1)))</f>
        <v>#VALUE!</v>
      </c>
    </row>
    <row r="904" customFormat="false" ht="12.75" hidden="false" customHeight="false" outlineLevel="0" collapsed="false">
      <c r="E904" s="34" t="str">
        <f aca="false">MID(B904,9,1)</f>
        <v/>
      </c>
      <c r="F904" s="34" t="str">
        <f aca="false">MID(B904,10,1)</f>
        <v/>
      </c>
      <c r="G904" s="34" t="str">
        <f aca="false">MID(B904,11,1)</f>
        <v/>
      </c>
      <c r="H904" s="35" t="str">
        <f aca="false">IF(G904=".",F904,CONCATENATE(F904,G904))</f>
        <v/>
      </c>
      <c r="I904" s="34" t="n">
        <f aca="false">IFERROR(VALUE(H904),)</f>
        <v>0</v>
      </c>
      <c r="J904" s="34" t="e">
        <f aca="false">RIGHT(B904,LEN(B904)-FIND("/",B904, FIND("Single Cells",B904, 1)))</f>
        <v>#VALUE!</v>
      </c>
    </row>
    <row r="905" customFormat="false" ht="12.75" hidden="false" customHeight="false" outlineLevel="0" collapsed="false">
      <c r="E905" s="34" t="str">
        <f aca="false">MID(B905,9,1)</f>
        <v/>
      </c>
      <c r="F905" s="34" t="str">
        <f aca="false">MID(B905,10,1)</f>
        <v/>
      </c>
      <c r="G905" s="34" t="str">
        <f aca="false">MID(B905,11,1)</f>
        <v/>
      </c>
      <c r="H905" s="35" t="str">
        <f aca="false">IF(G905=".",F905,CONCATENATE(F905,G905))</f>
        <v/>
      </c>
      <c r="I905" s="34" t="n">
        <f aca="false">IFERROR(VALUE(H905),)</f>
        <v>0</v>
      </c>
      <c r="J905" s="34" t="e">
        <f aca="false">RIGHT(B905,LEN(B905)-FIND("/",B905, FIND("Single Cells",B905, 1)))</f>
        <v>#VALUE!</v>
      </c>
    </row>
    <row r="906" customFormat="false" ht="12.75" hidden="false" customHeight="false" outlineLevel="0" collapsed="false">
      <c r="E906" s="34" t="str">
        <f aca="false">MID(B906,9,1)</f>
        <v/>
      </c>
      <c r="F906" s="34" t="str">
        <f aca="false">MID(B906,10,1)</f>
        <v/>
      </c>
      <c r="G906" s="34" t="str">
        <f aca="false">MID(B906,11,1)</f>
        <v/>
      </c>
      <c r="H906" s="35" t="str">
        <f aca="false">IF(G906=".",F906,CONCATENATE(F906,G906))</f>
        <v/>
      </c>
      <c r="I906" s="34" t="n">
        <f aca="false">IFERROR(VALUE(H906),)</f>
        <v>0</v>
      </c>
      <c r="J906" s="34" t="e">
        <f aca="false">RIGHT(B906,LEN(B906)-FIND("/",B906, FIND("Single Cells",B906, 1)))</f>
        <v>#VALUE!</v>
      </c>
    </row>
    <row r="907" customFormat="false" ht="12.75" hidden="false" customHeight="false" outlineLevel="0" collapsed="false">
      <c r="E907" s="34" t="str">
        <f aca="false">MID(B907,9,1)</f>
        <v/>
      </c>
      <c r="F907" s="34" t="str">
        <f aca="false">MID(B907,10,1)</f>
        <v/>
      </c>
      <c r="G907" s="34" t="str">
        <f aca="false">MID(B907,11,1)</f>
        <v/>
      </c>
      <c r="H907" s="35" t="str">
        <f aca="false">IF(G907=".",F907,CONCATENATE(F907,G907))</f>
        <v/>
      </c>
      <c r="I907" s="34" t="n">
        <f aca="false">IFERROR(VALUE(H907),)</f>
        <v>0</v>
      </c>
      <c r="J907" s="34" t="e">
        <f aca="false">RIGHT(B907,LEN(B907)-FIND("/",B907, FIND("Single Cells",B907, 1)))</f>
        <v>#VALUE!</v>
      </c>
    </row>
    <row r="908" customFormat="false" ht="12.75" hidden="false" customHeight="false" outlineLevel="0" collapsed="false">
      <c r="E908" s="34" t="str">
        <f aca="false">MID(B908,9,1)</f>
        <v/>
      </c>
      <c r="F908" s="34" t="str">
        <f aca="false">MID(B908,10,1)</f>
        <v/>
      </c>
      <c r="G908" s="34" t="str">
        <f aca="false">MID(B908,11,1)</f>
        <v/>
      </c>
      <c r="H908" s="35" t="str">
        <f aca="false">IF(G908=".",F908,CONCATENATE(F908,G908))</f>
        <v/>
      </c>
      <c r="I908" s="34" t="n">
        <f aca="false">IFERROR(VALUE(H908),)</f>
        <v>0</v>
      </c>
      <c r="J908" s="34" t="e">
        <f aca="false">RIGHT(B908,LEN(B908)-FIND("/",B908, FIND("Single Cells",B908, 1)))</f>
        <v>#VALUE!</v>
      </c>
    </row>
    <row r="909" customFormat="false" ht="12.75" hidden="false" customHeight="false" outlineLevel="0" collapsed="false">
      <c r="E909" s="34" t="str">
        <f aca="false">MID(B909,9,1)</f>
        <v/>
      </c>
      <c r="F909" s="34" t="str">
        <f aca="false">MID(B909,10,1)</f>
        <v/>
      </c>
      <c r="G909" s="34" t="str">
        <f aca="false">MID(B909,11,1)</f>
        <v/>
      </c>
      <c r="H909" s="35" t="str">
        <f aca="false">IF(G909=".",F909,CONCATENATE(F909,G909))</f>
        <v/>
      </c>
      <c r="I909" s="34" t="n">
        <f aca="false">IFERROR(VALUE(H909),)</f>
        <v>0</v>
      </c>
      <c r="J909" s="34" t="e">
        <f aca="false">RIGHT(B909,LEN(B909)-FIND("/",B909, FIND("Single Cells",B909, 1)))</f>
        <v>#VALUE!</v>
      </c>
    </row>
    <row r="910" customFormat="false" ht="12.75" hidden="false" customHeight="false" outlineLevel="0" collapsed="false">
      <c r="E910" s="34" t="str">
        <f aca="false">MID(B910,9,1)</f>
        <v/>
      </c>
      <c r="F910" s="34" t="str">
        <f aca="false">MID(B910,10,1)</f>
        <v/>
      </c>
      <c r="G910" s="34" t="str">
        <f aca="false">MID(B910,11,1)</f>
        <v/>
      </c>
      <c r="H910" s="35" t="str">
        <f aca="false">IF(G910=".",F910,CONCATENATE(F910,G910))</f>
        <v/>
      </c>
      <c r="I910" s="34" t="n">
        <f aca="false">IFERROR(VALUE(H910),)</f>
        <v>0</v>
      </c>
      <c r="J910" s="34" t="e">
        <f aca="false">RIGHT(B910,LEN(B910)-FIND("/",B910, FIND("Single Cells",B910, 1)))</f>
        <v>#VALUE!</v>
      </c>
    </row>
    <row r="911" customFormat="false" ht="12.75" hidden="false" customHeight="false" outlineLevel="0" collapsed="false">
      <c r="E911" s="34" t="str">
        <f aca="false">MID(B911,9,1)</f>
        <v/>
      </c>
      <c r="F911" s="34" t="str">
        <f aca="false">MID(B911,10,1)</f>
        <v/>
      </c>
      <c r="G911" s="34" t="str">
        <f aca="false">MID(B911,11,1)</f>
        <v/>
      </c>
      <c r="H911" s="35" t="str">
        <f aca="false">IF(G911=".",F911,CONCATENATE(F911,G911))</f>
        <v/>
      </c>
      <c r="I911" s="34" t="n">
        <f aca="false">IFERROR(VALUE(H911),)</f>
        <v>0</v>
      </c>
      <c r="J911" s="34" t="e">
        <f aca="false">RIGHT(B911,LEN(B911)-FIND("/",B911, FIND("Single Cells",B911, 1)))</f>
        <v>#VALUE!</v>
      </c>
    </row>
    <row r="912" customFormat="false" ht="12.75" hidden="false" customHeight="false" outlineLevel="0" collapsed="false">
      <c r="E912" s="34" t="str">
        <f aca="false">MID(B912,9,1)</f>
        <v/>
      </c>
      <c r="F912" s="34" t="str">
        <f aca="false">MID(B912,10,1)</f>
        <v/>
      </c>
      <c r="G912" s="34" t="str">
        <f aca="false">MID(B912,11,1)</f>
        <v/>
      </c>
      <c r="H912" s="35" t="str">
        <f aca="false">IF(G912=".",F912,CONCATENATE(F912,G912))</f>
        <v/>
      </c>
      <c r="I912" s="34" t="n">
        <f aca="false">IFERROR(VALUE(H912),)</f>
        <v>0</v>
      </c>
      <c r="J912" s="34" t="e">
        <f aca="false">RIGHT(B912,LEN(B912)-FIND("/",B912, FIND("Single Cells",B912, 1)))</f>
        <v>#VALUE!</v>
      </c>
    </row>
    <row r="913" customFormat="false" ht="12.75" hidden="false" customHeight="false" outlineLevel="0" collapsed="false">
      <c r="E913" s="34" t="str">
        <f aca="false">MID(B913,9,1)</f>
        <v/>
      </c>
      <c r="F913" s="34" t="str">
        <f aca="false">MID(B913,10,1)</f>
        <v/>
      </c>
      <c r="G913" s="34" t="str">
        <f aca="false">MID(B913,11,1)</f>
        <v/>
      </c>
      <c r="H913" s="35" t="str">
        <f aca="false">IF(G913=".",F913,CONCATENATE(F913,G913))</f>
        <v/>
      </c>
      <c r="I913" s="34" t="n">
        <f aca="false">IFERROR(VALUE(H913),)</f>
        <v>0</v>
      </c>
      <c r="J913" s="34" t="e">
        <f aca="false">RIGHT(B913,LEN(B913)-FIND("/",B913, FIND("Single Cells",B913, 1)))</f>
        <v>#VALUE!</v>
      </c>
    </row>
    <row r="914" customFormat="false" ht="12.75" hidden="false" customHeight="false" outlineLevel="0" collapsed="false">
      <c r="E914" s="34" t="str">
        <f aca="false">MID(B914,9,1)</f>
        <v/>
      </c>
      <c r="F914" s="34" t="str">
        <f aca="false">MID(B914,10,1)</f>
        <v/>
      </c>
      <c r="G914" s="34" t="str">
        <f aca="false">MID(B914,11,1)</f>
        <v/>
      </c>
      <c r="H914" s="35" t="str">
        <f aca="false">IF(G914=".",F914,CONCATENATE(F914,G914))</f>
        <v/>
      </c>
      <c r="I914" s="34" t="n">
        <f aca="false">IFERROR(VALUE(H914),)</f>
        <v>0</v>
      </c>
      <c r="J914" s="34" t="e">
        <f aca="false">RIGHT(B914,LEN(B914)-FIND("/",B914, FIND("Single Cells",B914, 1)))</f>
        <v>#VALUE!</v>
      </c>
    </row>
    <row r="915" customFormat="false" ht="12.75" hidden="false" customHeight="false" outlineLevel="0" collapsed="false">
      <c r="E915" s="34" t="str">
        <f aca="false">MID(B915,9,1)</f>
        <v/>
      </c>
      <c r="F915" s="34" t="str">
        <f aca="false">MID(B915,10,1)</f>
        <v/>
      </c>
      <c r="G915" s="34" t="str">
        <f aca="false">MID(B915,11,1)</f>
        <v/>
      </c>
      <c r="H915" s="35" t="str">
        <f aca="false">IF(G915=".",F915,CONCATENATE(F915,G915))</f>
        <v/>
      </c>
      <c r="I915" s="34" t="n">
        <f aca="false">IFERROR(VALUE(H915),)</f>
        <v>0</v>
      </c>
      <c r="J915" s="34" t="e">
        <f aca="false">RIGHT(B915,LEN(B915)-FIND("/",B915, FIND("Single Cells",B915, 1)))</f>
        <v>#VALUE!</v>
      </c>
    </row>
    <row r="916" customFormat="false" ht="12.75" hidden="false" customHeight="false" outlineLevel="0" collapsed="false">
      <c r="E916" s="34" t="str">
        <f aca="false">MID(B916,9,1)</f>
        <v/>
      </c>
      <c r="F916" s="34" t="str">
        <f aca="false">MID(B916,10,1)</f>
        <v/>
      </c>
      <c r="G916" s="34" t="str">
        <f aca="false">MID(B916,11,1)</f>
        <v/>
      </c>
      <c r="H916" s="35" t="str">
        <f aca="false">IF(G916=".",F916,CONCATENATE(F916,G916))</f>
        <v/>
      </c>
      <c r="I916" s="34" t="n">
        <f aca="false">IFERROR(VALUE(H916),)</f>
        <v>0</v>
      </c>
      <c r="J916" s="34" t="e">
        <f aca="false">RIGHT(B916,LEN(B916)-FIND("/",B916, FIND("Single Cells",B916, 1)))</f>
        <v>#VALUE!</v>
      </c>
    </row>
    <row r="917" customFormat="false" ht="12.75" hidden="false" customHeight="false" outlineLevel="0" collapsed="false">
      <c r="E917" s="34" t="str">
        <f aca="false">MID(B917,9,1)</f>
        <v/>
      </c>
      <c r="F917" s="34" t="str">
        <f aca="false">MID(B917,10,1)</f>
        <v/>
      </c>
      <c r="G917" s="34" t="str">
        <f aca="false">MID(B917,11,1)</f>
        <v/>
      </c>
      <c r="H917" s="35" t="str">
        <f aca="false">IF(G917=".",F917,CONCATENATE(F917,G917))</f>
        <v/>
      </c>
      <c r="I917" s="34" t="n">
        <f aca="false">IFERROR(VALUE(H917),)</f>
        <v>0</v>
      </c>
      <c r="J917" s="34" t="e">
        <f aca="false">RIGHT(B917,LEN(B917)-FIND("/",B917, FIND("Single Cells",B917, 1)))</f>
        <v>#VALUE!</v>
      </c>
    </row>
    <row r="918" customFormat="false" ht="12.75" hidden="false" customHeight="false" outlineLevel="0" collapsed="false">
      <c r="E918" s="34" t="str">
        <f aca="false">MID(B918,9,1)</f>
        <v/>
      </c>
      <c r="F918" s="34" t="str">
        <f aca="false">MID(B918,10,1)</f>
        <v/>
      </c>
      <c r="G918" s="34" t="str">
        <f aca="false">MID(B918,11,1)</f>
        <v/>
      </c>
      <c r="H918" s="35" t="str">
        <f aca="false">IF(G918=".",F918,CONCATENATE(F918,G918))</f>
        <v/>
      </c>
      <c r="I918" s="34" t="n">
        <f aca="false">IFERROR(VALUE(H918),)</f>
        <v>0</v>
      </c>
      <c r="J918" s="34" t="e">
        <f aca="false">RIGHT(B918,LEN(B918)-FIND("/",B918, FIND("Single Cells",B918, 1)))</f>
        <v>#VALUE!</v>
      </c>
    </row>
    <row r="919" customFormat="false" ht="12.75" hidden="false" customHeight="false" outlineLevel="0" collapsed="false">
      <c r="E919" s="34" t="str">
        <f aca="false">MID(B919,9,1)</f>
        <v/>
      </c>
      <c r="F919" s="34" t="str">
        <f aca="false">MID(B919,10,1)</f>
        <v/>
      </c>
      <c r="G919" s="34" t="str">
        <f aca="false">MID(B919,11,1)</f>
        <v/>
      </c>
      <c r="H919" s="35" t="str">
        <f aca="false">IF(G919=".",F919,CONCATENATE(F919,G919))</f>
        <v/>
      </c>
      <c r="I919" s="34" t="n">
        <f aca="false">IFERROR(VALUE(H919),)</f>
        <v>0</v>
      </c>
      <c r="J919" s="34" t="e">
        <f aca="false">RIGHT(B919,LEN(B919)-FIND("/",B919, FIND("Single Cells",B919, 1)))</f>
        <v>#VALUE!</v>
      </c>
    </row>
    <row r="920" customFormat="false" ht="12.75" hidden="false" customHeight="false" outlineLevel="0" collapsed="false">
      <c r="E920" s="34" t="str">
        <f aca="false">MID(B920,9,1)</f>
        <v/>
      </c>
      <c r="F920" s="34" t="str">
        <f aca="false">MID(B920,10,1)</f>
        <v/>
      </c>
      <c r="G920" s="34" t="str">
        <f aca="false">MID(B920,11,1)</f>
        <v/>
      </c>
      <c r="H920" s="35" t="str">
        <f aca="false">IF(G920=".",F920,CONCATENATE(F920,G920))</f>
        <v/>
      </c>
      <c r="I920" s="34" t="n">
        <f aca="false">IFERROR(VALUE(H920),)</f>
        <v>0</v>
      </c>
      <c r="J920" s="34" t="e">
        <f aca="false">RIGHT(B920,LEN(B920)-FIND("/",B920, FIND("Single Cells",B920, 1)))</f>
        <v>#VALUE!</v>
      </c>
    </row>
    <row r="921" customFormat="false" ht="12.75" hidden="false" customHeight="false" outlineLevel="0" collapsed="false">
      <c r="E921" s="34" t="str">
        <f aca="false">MID(B921,9,1)</f>
        <v/>
      </c>
      <c r="F921" s="34" t="str">
        <f aca="false">MID(B921,10,1)</f>
        <v/>
      </c>
      <c r="G921" s="34" t="str">
        <f aca="false">MID(B921,11,1)</f>
        <v/>
      </c>
      <c r="H921" s="35" t="str">
        <f aca="false">IF(G921=".",F921,CONCATENATE(F921,G921))</f>
        <v/>
      </c>
      <c r="I921" s="34" t="n">
        <f aca="false">IFERROR(VALUE(H921),)</f>
        <v>0</v>
      </c>
      <c r="J921" s="34" t="e">
        <f aca="false">RIGHT(B921,LEN(B921)-FIND("/",B921, FIND("Single Cells",B921, 1)))</f>
        <v>#VALUE!</v>
      </c>
    </row>
    <row r="922" customFormat="false" ht="12.75" hidden="false" customHeight="false" outlineLevel="0" collapsed="false">
      <c r="E922" s="34" t="str">
        <f aca="false">MID(B922,9,1)</f>
        <v/>
      </c>
      <c r="F922" s="34" t="str">
        <f aca="false">MID(B922,10,1)</f>
        <v/>
      </c>
      <c r="G922" s="34" t="str">
        <f aca="false">MID(B922,11,1)</f>
        <v/>
      </c>
      <c r="H922" s="35" t="str">
        <f aca="false">IF(G922=".",F922,CONCATENATE(F922,G922))</f>
        <v/>
      </c>
      <c r="I922" s="34" t="n">
        <f aca="false">IFERROR(VALUE(H922),)</f>
        <v>0</v>
      </c>
      <c r="J922" s="34" t="e">
        <f aca="false">RIGHT(B922,LEN(B922)-FIND("/",B922, FIND("Single Cells",B922, 1)))</f>
        <v>#VALUE!</v>
      </c>
    </row>
    <row r="923" customFormat="false" ht="12.75" hidden="false" customHeight="false" outlineLevel="0" collapsed="false">
      <c r="E923" s="34" t="str">
        <f aca="false">MID(B923,9,1)</f>
        <v/>
      </c>
      <c r="F923" s="34" t="str">
        <f aca="false">MID(B923,10,1)</f>
        <v/>
      </c>
      <c r="G923" s="34" t="str">
        <f aca="false">MID(B923,11,1)</f>
        <v/>
      </c>
      <c r="H923" s="35" t="str">
        <f aca="false">IF(G923=".",F923,CONCATENATE(F923,G923))</f>
        <v/>
      </c>
      <c r="I923" s="34" t="n">
        <f aca="false">IFERROR(VALUE(H923),)</f>
        <v>0</v>
      </c>
      <c r="J923" s="34" t="e">
        <f aca="false">RIGHT(B923,LEN(B923)-FIND("/",B923, FIND("Single Cells",B923, 1)))</f>
        <v>#VALUE!</v>
      </c>
    </row>
    <row r="924" customFormat="false" ht="12.75" hidden="false" customHeight="false" outlineLevel="0" collapsed="false">
      <c r="E924" s="34" t="str">
        <f aca="false">MID(B924,9,1)</f>
        <v/>
      </c>
      <c r="F924" s="34" t="str">
        <f aca="false">MID(B924,10,1)</f>
        <v/>
      </c>
      <c r="G924" s="34" t="str">
        <f aca="false">MID(B924,11,1)</f>
        <v/>
      </c>
      <c r="H924" s="35" t="str">
        <f aca="false">IF(G924=".",F924,CONCATENATE(F924,G924))</f>
        <v/>
      </c>
      <c r="I924" s="34" t="n">
        <f aca="false">IFERROR(VALUE(H924),)</f>
        <v>0</v>
      </c>
      <c r="J924" s="34" t="e">
        <f aca="false">RIGHT(B924,LEN(B924)-FIND("/",B924, FIND("Single Cells",B924, 1)))</f>
        <v>#VALUE!</v>
      </c>
    </row>
    <row r="925" customFormat="false" ht="12.75" hidden="false" customHeight="false" outlineLevel="0" collapsed="false">
      <c r="E925" s="34" t="str">
        <f aca="false">MID(B925,9,1)</f>
        <v/>
      </c>
      <c r="F925" s="34" t="str">
        <f aca="false">MID(B925,10,1)</f>
        <v/>
      </c>
      <c r="G925" s="34" t="str">
        <f aca="false">MID(B925,11,1)</f>
        <v/>
      </c>
      <c r="H925" s="35" t="str">
        <f aca="false">IF(G925=".",F925,CONCATENATE(F925,G925))</f>
        <v/>
      </c>
      <c r="I925" s="34" t="n">
        <f aca="false">IFERROR(VALUE(H925),)</f>
        <v>0</v>
      </c>
      <c r="J925" s="34" t="e">
        <f aca="false">RIGHT(B925,LEN(B925)-FIND("/",B925, FIND("Single Cells",B925, 1)))</f>
        <v>#VALUE!</v>
      </c>
    </row>
    <row r="926" customFormat="false" ht="12.75" hidden="false" customHeight="false" outlineLevel="0" collapsed="false">
      <c r="E926" s="34" t="str">
        <f aca="false">MID(B926,9,1)</f>
        <v/>
      </c>
      <c r="F926" s="34" t="str">
        <f aca="false">MID(B926,10,1)</f>
        <v/>
      </c>
      <c r="G926" s="34" t="str">
        <f aca="false">MID(B926,11,1)</f>
        <v/>
      </c>
      <c r="H926" s="35" t="str">
        <f aca="false">IF(G926=".",F926,CONCATENATE(F926,G926))</f>
        <v/>
      </c>
      <c r="I926" s="34" t="n">
        <f aca="false">IFERROR(VALUE(H926),)</f>
        <v>0</v>
      </c>
      <c r="J926" s="34" t="e">
        <f aca="false">RIGHT(B926,LEN(B926)-FIND("/",B926, FIND("Single Cells",B926, 1)))</f>
        <v>#VALUE!</v>
      </c>
    </row>
    <row r="927" customFormat="false" ht="12.75" hidden="false" customHeight="false" outlineLevel="0" collapsed="false">
      <c r="E927" s="34" t="str">
        <f aca="false">MID(B927,9,1)</f>
        <v/>
      </c>
      <c r="F927" s="34" t="str">
        <f aca="false">MID(B927,10,1)</f>
        <v/>
      </c>
      <c r="G927" s="34" t="str">
        <f aca="false">MID(B927,11,1)</f>
        <v/>
      </c>
      <c r="H927" s="35" t="str">
        <f aca="false">IF(G927=".",F927,CONCATENATE(F927,G927))</f>
        <v/>
      </c>
      <c r="I927" s="34" t="n">
        <f aca="false">IFERROR(VALUE(H927),)</f>
        <v>0</v>
      </c>
      <c r="J927" s="34" t="e">
        <f aca="false">RIGHT(B927,LEN(B927)-FIND("/",B927, FIND("Single Cells",B927, 1)))</f>
        <v>#VALUE!</v>
      </c>
    </row>
    <row r="928" customFormat="false" ht="12.75" hidden="false" customHeight="false" outlineLevel="0" collapsed="false">
      <c r="E928" s="34" t="str">
        <f aca="false">MID(B928,9,1)</f>
        <v/>
      </c>
      <c r="F928" s="34" t="str">
        <f aca="false">MID(B928,10,1)</f>
        <v/>
      </c>
      <c r="G928" s="34" t="str">
        <f aca="false">MID(B928,11,1)</f>
        <v/>
      </c>
      <c r="H928" s="35" t="str">
        <f aca="false">IF(G928=".",F928,CONCATENATE(F928,G928))</f>
        <v/>
      </c>
      <c r="I928" s="34" t="n">
        <f aca="false">IFERROR(VALUE(H928),)</f>
        <v>0</v>
      </c>
      <c r="J928" s="34" t="e">
        <f aca="false">RIGHT(B928,LEN(B928)-FIND("/",B928, FIND("Single Cells",B928, 1)))</f>
        <v>#VALUE!</v>
      </c>
    </row>
    <row r="929" customFormat="false" ht="12.75" hidden="false" customHeight="false" outlineLevel="0" collapsed="false">
      <c r="E929" s="34" t="str">
        <f aca="false">MID(B929,9,1)</f>
        <v/>
      </c>
      <c r="F929" s="34" t="str">
        <f aca="false">MID(B929,10,1)</f>
        <v/>
      </c>
      <c r="G929" s="34" t="str">
        <f aca="false">MID(B929,11,1)</f>
        <v/>
      </c>
      <c r="H929" s="35" t="str">
        <f aca="false">IF(G929=".",F929,CONCATENATE(F929,G929))</f>
        <v/>
      </c>
      <c r="I929" s="34" t="n">
        <f aca="false">IFERROR(VALUE(H929),)</f>
        <v>0</v>
      </c>
      <c r="J929" s="34" t="e">
        <f aca="false">RIGHT(B929,LEN(B929)-FIND("/",B929, FIND("Single Cells",B929, 1)))</f>
        <v>#VALUE!</v>
      </c>
    </row>
    <row r="930" customFormat="false" ht="12.75" hidden="false" customHeight="false" outlineLevel="0" collapsed="false">
      <c r="E930" s="34" t="str">
        <f aca="false">MID(B930,9,1)</f>
        <v/>
      </c>
      <c r="F930" s="34" t="str">
        <f aca="false">MID(B930,10,1)</f>
        <v/>
      </c>
      <c r="G930" s="34" t="str">
        <f aca="false">MID(B930,11,1)</f>
        <v/>
      </c>
      <c r="H930" s="35" t="str">
        <f aca="false">IF(G930=".",F930,CONCATENATE(F930,G930))</f>
        <v/>
      </c>
      <c r="I930" s="34" t="n">
        <f aca="false">IFERROR(VALUE(H930),)</f>
        <v>0</v>
      </c>
      <c r="J930" s="34" t="e">
        <f aca="false">RIGHT(B930,LEN(B930)-FIND("/",B930, FIND("Single Cells",B930, 1)))</f>
        <v>#VALUE!</v>
      </c>
    </row>
    <row r="931" customFormat="false" ht="12.75" hidden="false" customHeight="false" outlineLevel="0" collapsed="false">
      <c r="E931" s="34" t="str">
        <f aca="false">MID(B931,9,1)</f>
        <v/>
      </c>
      <c r="F931" s="34" t="str">
        <f aca="false">MID(B931,10,1)</f>
        <v/>
      </c>
      <c r="G931" s="34" t="str">
        <f aca="false">MID(B931,11,1)</f>
        <v/>
      </c>
      <c r="H931" s="35" t="str">
        <f aca="false">IF(G931=".",F931,CONCATENATE(F931,G931))</f>
        <v/>
      </c>
      <c r="I931" s="34" t="n">
        <f aca="false">IFERROR(VALUE(H931),)</f>
        <v>0</v>
      </c>
      <c r="J931" s="34" t="e">
        <f aca="false">RIGHT(B931,LEN(B931)-FIND("/",B931, FIND("Single Cells",B931, 1)))</f>
        <v>#VALUE!</v>
      </c>
    </row>
    <row r="932" customFormat="false" ht="12.75" hidden="false" customHeight="false" outlineLevel="0" collapsed="false">
      <c r="E932" s="34" t="str">
        <f aca="false">MID(B932,9,1)</f>
        <v/>
      </c>
      <c r="F932" s="34" t="str">
        <f aca="false">MID(B932,10,1)</f>
        <v/>
      </c>
      <c r="G932" s="34" t="str">
        <f aca="false">MID(B932,11,1)</f>
        <v/>
      </c>
      <c r="H932" s="35" t="str">
        <f aca="false">IF(G932=".",F932,CONCATENATE(F932,G932))</f>
        <v/>
      </c>
      <c r="I932" s="34" t="n">
        <f aca="false">IFERROR(VALUE(H932),)</f>
        <v>0</v>
      </c>
      <c r="J932" s="34" t="e">
        <f aca="false">RIGHT(B932,LEN(B932)-FIND("/",B932, FIND("Single Cells",B932, 1)))</f>
        <v>#VALUE!</v>
      </c>
    </row>
    <row r="933" customFormat="false" ht="12.75" hidden="false" customHeight="false" outlineLevel="0" collapsed="false">
      <c r="E933" s="34" t="str">
        <f aca="false">MID(B933,9,1)</f>
        <v/>
      </c>
      <c r="F933" s="34" t="str">
        <f aca="false">MID(B933,10,1)</f>
        <v/>
      </c>
      <c r="G933" s="34" t="str">
        <f aca="false">MID(B933,11,1)</f>
        <v/>
      </c>
      <c r="H933" s="35" t="str">
        <f aca="false">IF(G933=".",F933,CONCATENATE(F933,G933))</f>
        <v/>
      </c>
      <c r="I933" s="34" t="n">
        <f aca="false">IFERROR(VALUE(H933),)</f>
        <v>0</v>
      </c>
      <c r="J933" s="34" t="e">
        <f aca="false">RIGHT(B933,LEN(B933)-FIND("/",B933, FIND("Single Cells",B933, 1)))</f>
        <v>#VALUE!</v>
      </c>
    </row>
    <row r="934" customFormat="false" ht="12.75" hidden="false" customHeight="false" outlineLevel="0" collapsed="false">
      <c r="E934" s="34" t="str">
        <f aca="false">MID(B934,9,1)</f>
        <v/>
      </c>
      <c r="F934" s="34" t="str">
        <f aca="false">MID(B934,10,1)</f>
        <v/>
      </c>
      <c r="G934" s="34" t="str">
        <f aca="false">MID(B934,11,1)</f>
        <v/>
      </c>
      <c r="H934" s="35" t="str">
        <f aca="false">IF(G934=".",F934,CONCATENATE(F934,G934))</f>
        <v/>
      </c>
      <c r="I934" s="34" t="n">
        <f aca="false">IFERROR(VALUE(H934),)</f>
        <v>0</v>
      </c>
      <c r="J934" s="34" t="e">
        <f aca="false">RIGHT(B934,LEN(B934)-FIND("/",B934, FIND("Single Cells",B934, 1)))</f>
        <v>#VALUE!</v>
      </c>
    </row>
    <row r="935" customFormat="false" ht="12.75" hidden="false" customHeight="false" outlineLevel="0" collapsed="false">
      <c r="E935" s="34" t="str">
        <f aca="false">MID(B935,9,1)</f>
        <v/>
      </c>
      <c r="F935" s="34" t="str">
        <f aca="false">MID(B935,10,1)</f>
        <v/>
      </c>
      <c r="G935" s="34" t="str">
        <f aca="false">MID(B935,11,1)</f>
        <v/>
      </c>
      <c r="H935" s="35" t="str">
        <f aca="false">IF(G935=".",F935,CONCATENATE(F935,G935))</f>
        <v/>
      </c>
      <c r="I935" s="34" t="n">
        <f aca="false">IFERROR(VALUE(H935),)</f>
        <v>0</v>
      </c>
      <c r="J935" s="34" t="e">
        <f aca="false">RIGHT(B935,LEN(B935)-FIND("/",B935, FIND("Single Cells",B935, 1)))</f>
        <v>#VALUE!</v>
      </c>
    </row>
    <row r="936" customFormat="false" ht="12.75" hidden="false" customHeight="false" outlineLevel="0" collapsed="false">
      <c r="E936" s="34" t="str">
        <f aca="false">MID(B936,9,1)</f>
        <v/>
      </c>
      <c r="F936" s="34" t="str">
        <f aca="false">MID(B936,10,1)</f>
        <v/>
      </c>
      <c r="G936" s="34" t="str">
        <f aca="false">MID(B936,11,1)</f>
        <v/>
      </c>
      <c r="H936" s="35" t="str">
        <f aca="false">IF(G936=".",F936,CONCATENATE(F936,G936))</f>
        <v/>
      </c>
      <c r="I936" s="34" t="n">
        <f aca="false">IFERROR(VALUE(H936),)</f>
        <v>0</v>
      </c>
      <c r="J936" s="34" t="e">
        <f aca="false">RIGHT(B936,LEN(B936)-FIND("/",B936, FIND("Single Cells",B936, 1)))</f>
        <v>#VALUE!</v>
      </c>
    </row>
    <row r="937" customFormat="false" ht="12.75" hidden="false" customHeight="false" outlineLevel="0" collapsed="false">
      <c r="E937" s="34" t="str">
        <f aca="false">MID(B937,9,1)</f>
        <v/>
      </c>
      <c r="F937" s="34" t="str">
        <f aca="false">MID(B937,10,1)</f>
        <v/>
      </c>
      <c r="G937" s="34" t="str">
        <f aca="false">MID(B937,11,1)</f>
        <v/>
      </c>
      <c r="H937" s="35" t="str">
        <f aca="false">IF(G937=".",F937,CONCATENATE(F937,G937))</f>
        <v/>
      </c>
      <c r="I937" s="34" t="n">
        <f aca="false">IFERROR(VALUE(H937),)</f>
        <v>0</v>
      </c>
      <c r="J937" s="34" t="e">
        <f aca="false">RIGHT(B937,LEN(B937)-FIND("/",B937, FIND("Single Cells",B937, 1)))</f>
        <v>#VALUE!</v>
      </c>
    </row>
    <row r="938" customFormat="false" ht="12.75" hidden="false" customHeight="false" outlineLevel="0" collapsed="false">
      <c r="E938" s="34" t="str">
        <f aca="false">MID(B938,9,1)</f>
        <v/>
      </c>
      <c r="F938" s="34" t="str">
        <f aca="false">MID(B938,10,1)</f>
        <v/>
      </c>
      <c r="G938" s="34" t="str">
        <f aca="false">MID(B938,11,1)</f>
        <v/>
      </c>
      <c r="H938" s="35" t="str">
        <f aca="false">IF(G938=".",F938,CONCATENATE(F938,G938))</f>
        <v/>
      </c>
      <c r="I938" s="34" t="n">
        <f aca="false">IFERROR(VALUE(H938),)</f>
        <v>0</v>
      </c>
      <c r="J938" s="34" t="e">
        <f aca="false">RIGHT(B938,LEN(B938)-FIND("/",B938, FIND("Single Cells",B938, 1)))</f>
        <v>#VALUE!</v>
      </c>
    </row>
    <row r="939" customFormat="false" ht="12.75" hidden="false" customHeight="false" outlineLevel="0" collapsed="false">
      <c r="E939" s="34" t="str">
        <f aca="false">MID(B939,9,1)</f>
        <v/>
      </c>
      <c r="F939" s="34" t="str">
        <f aca="false">MID(B939,10,1)</f>
        <v/>
      </c>
      <c r="G939" s="34" t="str">
        <f aca="false">MID(B939,11,1)</f>
        <v/>
      </c>
      <c r="H939" s="35" t="str">
        <f aca="false">IF(G939=".",F939,CONCATENATE(F939,G939))</f>
        <v/>
      </c>
      <c r="I939" s="34" t="n">
        <f aca="false">IFERROR(VALUE(H939),)</f>
        <v>0</v>
      </c>
      <c r="J939" s="34" t="e">
        <f aca="false">RIGHT(B939,LEN(B939)-FIND("/",B939, FIND("Single Cells",B939, 1)))</f>
        <v>#VALUE!</v>
      </c>
    </row>
    <row r="940" customFormat="false" ht="12.75" hidden="false" customHeight="false" outlineLevel="0" collapsed="false">
      <c r="E940" s="34" t="str">
        <f aca="false">MID(B940,9,1)</f>
        <v/>
      </c>
      <c r="F940" s="34" t="str">
        <f aca="false">MID(B940,10,1)</f>
        <v/>
      </c>
      <c r="G940" s="34" t="str">
        <f aca="false">MID(B940,11,1)</f>
        <v/>
      </c>
      <c r="H940" s="35" t="str">
        <f aca="false">IF(G940=".",F940,CONCATENATE(F940,G940))</f>
        <v/>
      </c>
      <c r="I940" s="34" t="n">
        <f aca="false">IFERROR(VALUE(H940),)</f>
        <v>0</v>
      </c>
      <c r="J940" s="34" t="e">
        <f aca="false">RIGHT(B940,LEN(B940)-FIND("/",B940, FIND("Single Cells",B940, 1)))</f>
        <v>#VALUE!</v>
      </c>
    </row>
    <row r="941" customFormat="false" ht="12.75" hidden="false" customHeight="false" outlineLevel="0" collapsed="false">
      <c r="E941" s="34" t="str">
        <f aca="false">MID(B941,9,1)</f>
        <v/>
      </c>
      <c r="F941" s="34" t="str">
        <f aca="false">MID(B941,10,1)</f>
        <v/>
      </c>
      <c r="G941" s="34" t="str">
        <f aca="false">MID(B941,11,1)</f>
        <v/>
      </c>
      <c r="H941" s="35" t="str">
        <f aca="false">IF(G941=".",F941,CONCATENATE(F941,G941))</f>
        <v/>
      </c>
      <c r="I941" s="34" t="n">
        <f aca="false">IFERROR(VALUE(H941),)</f>
        <v>0</v>
      </c>
      <c r="J941" s="34" t="e">
        <f aca="false">RIGHT(B941,LEN(B941)-FIND("/",B941, FIND("Single Cells",B941, 1)))</f>
        <v>#VALUE!</v>
      </c>
    </row>
    <row r="942" customFormat="false" ht="12.75" hidden="false" customHeight="false" outlineLevel="0" collapsed="false">
      <c r="E942" s="34" t="str">
        <f aca="false">MID(B942,9,1)</f>
        <v/>
      </c>
      <c r="F942" s="34" t="str">
        <f aca="false">MID(B942,10,1)</f>
        <v/>
      </c>
      <c r="G942" s="34" t="str">
        <f aca="false">MID(B942,11,1)</f>
        <v/>
      </c>
      <c r="H942" s="35" t="str">
        <f aca="false">IF(G942=".",F942,CONCATENATE(F942,G942))</f>
        <v/>
      </c>
      <c r="I942" s="34" t="n">
        <f aca="false">IFERROR(VALUE(H942),)</f>
        <v>0</v>
      </c>
      <c r="J942" s="34" t="e">
        <f aca="false">RIGHT(B942,LEN(B942)-FIND("/",B942, FIND("Single Cells",B942, 1)))</f>
        <v>#VALUE!</v>
      </c>
    </row>
    <row r="943" customFormat="false" ht="12.75" hidden="false" customHeight="false" outlineLevel="0" collapsed="false">
      <c r="E943" s="34" t="str">
        <f aca="false">MID(B943,9,1)</f>
        <v/>
      </c>
      <c r="F943" s="34" t="str">
        <f aca="false">MID(B943,10,1)</f>
        <v/>
      </c>
      <c r="G943" s="34" t="str">
        <f aca="false">MID(B943,11,1)</f>
        <v/>
      </c>
      <c r="H943" s="35" t="str">
        <f aca="false">IF(G943=".",F943,CONCATENATE(F943,G943))</f>
        <v/>
      </c>
      <c r="I943" s="34" t="n">
        <f aca="false">IFERROR(VALUE(H943),)</f>
        <v>0</v>
      </c>
      <c r="J943" s="34" t="e">
        <f aca="false">RIGHT(B943,LEN(B943)-FIND("/",B943, FIND("Single Cells",B943, 1)))</f>
        <v>#VALUE!</v>
      </c>
    </row>
    <row r="944" customFormat="false" ht="12.75" hidden="false" customHeight="false" outlineLevel="0" collapsed="false">
      <c r="E944" s="34" t="str">
        <f aca="false">MID(B944,9,1)</f>
        <v/>
      </c>
      <c r="F944" s="34" t="str">
        <f aca="false">MID(B944,10,1)</f>
        <v/>
      </c>
      <c r="G944" s="34" t="str">
        <f aca="false">MID(B944,11,1)</f>
        <v/>
      </c>
      <c r="H944" s="35" t="str">
        <f aca="false">IF(G944=".",F944,CONCATENATE(F944,G944))</f>
        <v/>
      </c>
      <c r="I944" s="34" t="n">
        <f aca="false">IFERROR(VALUE(H944),)</f>
        <v>0</v>
      </c>
      <c r="J944" s="34" t="e">
        <f aca="false">RIGHT(B944,LEN(B944)-FIND("/",B944, FIND("Single Cells",B944, 1)))</f>
        <v>#VALUE!</v>
      </c>
    </row>
    <row r="945" customFormat="false" ht="12.75" hidden="false" customHeight="false" outlineLevel="0" collapsed="false">
      <c r="E945" s="34" t="str">
        <f aca="false">MID(B945,9,1)</f>
        <v/>
      </c>
      <c r="F945" s="34" t="str">
        <f aca="false">MID(B945,10,1)</f>
        <v/>
      </c>
      <c r="G945" s="34" t="str">
        <f aca="false">MID(B945,11,1)</f>
        <v/>
      </c>
      <c r="H945" s="35" t="str">
        <f aca="false">IF(G945=".",F945,CONCATENATE(F945,G945))</f>
        <v/>
      </c>
      <c r="I945" s="34" t="n">
        <f aca="false">IFERROR(VALUE(H945),)</f>
        <v>0</v>
      </c>
      <c r="J945" s="34" t="e">
        <f aca="false">RIGHT(B945,LEN(B945)-FIND("/",B945, FIND("Single Cells",B945, 1)))</f>
        <v>#VALUE!</v>
      </c>
    </row>
    <row r="946" customFormat="false" ht="12.75" hidden="false" customHeight="false" outlineLevel="0" collapsed="false">
      <c r="E946" s="34" t="str">
        <f aca="false">MID(B946,9,1)</f>
        <v/>
      </c>
      <c r="F946" s="34" t="str">
        <f aca="false">MID(B946,10,1)</f>
        <v/>
      </c>
      <c r="G946" s="34" t="str">
        <f aca="false">MID(B946,11,1)</f>
        <v/>
      </c>
      <c r="H946" s="35" t="str">
        <f aca="false">IF(G946=".",F946,CONCATENATE(F946,G946))</f>
        <v/>
      </c>
      <c r="I946" s="34" t="n">
        <f aca="false">IFERROR(VALUE(H946),)</f>
        <v>0</v>
      </c>
      <c r="J946" s="34" t="e">
        <f aca="false">RIGHT(B946,LEN(B946)-FIND("/",B946, FIND("Single Cells",B946, 1)))</f>
        <v>#VALUE!</v>
      </c>
    </row>
    <row r="947" customFormat="false" ht="12.75" hidden="false" customHeight="false" outlineLevel="0" collapsed="false">
      <c r="E947" s="34" t="str">
        <f aca="false">MID(B947,9,1)</f>
        <v/>
      </c>
      <c r="F947" s="34" t="str">
        <f aca="false">MID(B947,10,1)</f>
        <v/>
      </c>
      <c r="G947" s="34" t="str">
        <f aca="false">MID(B947,11,1)</f>
        <v/>
      </c>
      <c r="H947" s="35" t="str">
        <f aca="false">IF(G947=".",F947,CONCATENATE(F947,G947))</f>
        <v/>
      </c>
      <c r="I947" s="34" t="n">
        <f aca="false">IFERROR(VALUE(H947),)</f>
        <v>0</v>
      </c>
      <c r="J947" s="34" t="e">
        <f aca="false">RIGHT(B947,LEN(B947)-FIND("/",B947, FIND("Single Cells",B947, 1)))</f>
        <v>#VALUE!</v>
      </c>
    </row>
    <row r="948" customFormat="false" ht="12.75" hidden="false" customHeight="false" outlineLevel="0" collapsed="false">
      <c r="E948" s="34" t="str">
        <f aca="false">MID(B948,9,1)</f>
        <v/>
      </c>
      <c r="F948" s="34" t="str">
        <f aca="false">MID(B948,10,1)</f>
        <v/>
      </c>
      <c r="G948" s="34" t="str">
        <f aca="false">MID(B948,11,1)</f>
        <v/>
      </c>
      <c r="H948" s="35" t="str">
        <f aca="false">IF(G948=".",F948,CONCATENATE(F948,G948))</f>
        <v/>
      </c>
      <c r="I948" s="34" t="n">
        <f aca="false">IFERROR(VALUE(H948),)</f>
        <v>0</v>
      </c>
      <c r="J948" s="34" t="e">
        <f aca="false">RIGHT(B948,LEN(B948)-FIND("/",B948, FIND("Single Cells",B948, 1)))</f>
        <v>#VALUE!</v>
      </c>
    </row>
    <row r="949" customFormat="false" ht="12.75" hidden="false" customHeight="false" outlineLevel="0" collapsed="false">
      <c r="E949" s="34" t="str">
        <f aca="false">MID(B949,9,1)</f>
        <v/>
      </c>
      <c r="F949" s="34" t="str">
        <f aca="false">MID(B949,10,1)</f>
        <v/>
      </c>
      <c r="G949" s="34" t="str">
        <f aca="false">MID(B949,11,1)</f>
        <v/>
      </c>
      <c r="H949" s="35" t="str">
        <f aca="false">IF(G949=".",F949,CONCATENATE(F949,G949))</f>
        <v/>
      </c>
      <c r="I949" s="34" t="n">
        <f aca="false">IFERROR(VALUE(H949),)</f>
        <v>0</v>
      </c>
      <c r="J949" s="34" t="e">
        <f aca="false">RIGHT(B949,LEN(B949)-FIND("/",B949, FIND("Single Cells",B949, 1)))</f>
        <v>#VALUE!</v>
      </c>
    </row>
    <row r="950" customFormat="false" ht="12.75" hidden="false" customHeight="false" outlineLevel="0" collapsed="false">
      <c r="E950" s="34" t="str">
        <f aca="false">MID(B950,9,1)</f>
        <v/>
      </c>
      <c r="F950" s="34" t="str">
        <f aca="false">MID(B950,10,1)</f>
        <v/>
      </c>
      <c r="G950" s="34" t="str">
        <f aca="false">MID(B950,11,1)</f>
        <v/>
      </c>
      <c r="H950" s="35" t="str">
        <f aca="false">IF(G950=".",F950,CONCATENATE(F950,G950))</f>
        <v/>
      </c>
      <c r="I950" s="34" t="n">
        <f aca="false">IFERROR(VALUE(H950),)</f>
        <v>0</v>
      </c>
      <c r="J950" s="34" t="e">
        <f aca="false">RIGHT(B950,LEN(B950)-FIND("/",B950, FIND("Single Cells",B950, 1)))</f>
        <v>#VALUE!</v>
      </c>
    </row>
    <row r="951" customFormat="false" ht="12.75" hidden="false" customHeight="false" outlineLevel="0" collapsed="false">
      <c r="E951" s="34" t="str">
        <f aca="false">MID(B951,9,1)</f>
        <v/>
      </c>
      <c r="F951" s="34" t="str">
        <f aca="false">MID(B951,10,1)</f>
        <v/>
      </c>
      <c r="G951" s="34" t="str">
        <f aca="false">MID(B951,11,1)</f>
        <v/>
      </c>
      <c r="H951" s="35" t="str">
        <f aca="false">IF(G951=".",F951,CONCATENATE(F951,G951))</f>
        <v/>
      </c>
      <c r="I951" s="34" t="n">
        <f aca="false">IFERROR(VALUE(H951),)</f>
        <v>0</v>
      </c>
      <c r="J951" s="34" t="e">
        <f aca="false">RIGHT(B951,LEN(B951)-FIND("/",B951, FIND("Single Cells",B951, 1)))</f>
        <v>#VALUE!</v>
      </c>
    </row>
    <row r="952" customFormat="false" ht="12.75" hidden="false" customHeight="false" outlineLevel="0" collapsed="false">
      <c r="E952" s="34" t="str">
        <f aca="false">MID(B952,9,1)</f>
        <v/>
      </c>
      <c r="F952" s="34" t="str">
        <f aca="false">MID(B952,10,1)</f>
        <v/>
      </c>
      <c r="G952" s="34" t="str">
        <f aca="false">MID(B952,11,1)</f>
        <v/>
      </c>
      <c r="H952" s="35" t="str">
        <f aca="false">IF(G952=".",F952,CONCATENATE(F952,G952))</f>
        <v/>
      </c>
      <c r="I952" s="34" t="n">
        <f aca="false">IFERROR(VALUE(H952),)</f>
        <v>0</v>
      </c>
      <c r="J952" s="34" t="e">
        <f aca="false">RIGHT(B952,LEN(B952)-FIND("/",B952, FIND("Single Cells",B952, 1)))</f>
        <v>#VALUE!</v>
      </c>
    </row>
    <row r="953" customFormat="false" ht="12.75" hidden="false" customHeight="false" outlineLevel="0" collapsed="false">
      <c r="E953" s="34" t="str">
        <f aca="false">MID(B953,9,1)</f>
        <v/>
      </c>
      <c r="F953" s="34" t="str">
        <f aca="false">MID(B953,10,1)</f>
        <v/>
      </c>
      <c r="G953" s="34" t="str">
        <f aca="false">MID(B953,11,1)</f>
        <v/>
      </c>
      <c r="H953" s="35" t="str">
        <f aca="false">IF(G953=".",F953,CONCATENATE(F953,G953))</f>
        <v/>
      </c>
      <c r="I953" s="34" t="n">
        <f aca="false">IFERROR(VALUE(H953),)</f>
        <v>0</v>
      </c>
      <c r="J953" s="34" t="e">
        <f aca="false">RIGHT(B953,LEN(B953)-FIND("/",B953, FIND("Single Cells",B953, 1)))</f>
        <v>#VALUE!</v>
      </c>
    </row>
    <row r="954" customFormat="false" ht="12.75" hidden="false" customHeight="false" outlineLevel="0" collapsed="false">
      <c r="E954" s="34" t="str">
        <f aca="false">MID(B954,9,1)</f>
        <v/>
      </c>
      <c r="F954" s="34" t="str">
        <f aca="false">MID(B954,10,1)</f>
        <v/>
      </c>
      <c r="G954" s="34" t="str">
        <f aca="false">MID(B954,11,1)</f>
        <v/>
      </c>
      <c r="H954" s="35" t="str">
        <f aca="false">IF(G954=".",F954,CONCATENATE(F954,G954))</f>
        <v/>
      </c>
      <c r="I954" s="34" t="n">
        <f aca="false">IFERROR(VALUE(H954),)</f>
        <v>0</v>
      </c>
      <c r="J954" s="34" t="e">
        <f aca="false">RIGHT(B954,LEN(B954)-FIND("/",B954, FIND("Single Cells",B954, 1)))</f>
        <v>#VALUE!</v>
      </c>
    </row>
    <row r="955" customFormat="false" ht="12.75" hidden="false" customHeight="false" outlineLevel="0" collapsed="false">
      <c r="E955" s="34" t="str">
        <f aca="false">MID(B955,9,1)</f>
        <v/>
      </c>
      <c r="F955" s="34" t="str">
        <f aca="false">MID(B955,10,1)</f>
        <v/>
      </c>
      <c r="G955" s="34" t="str">
        <f aca="false">MID(B955,11,1)</f>
        <v/>
      </c>
      <c r="H955" s="35" t="str">
        <f aca="false">IF(G955=".",F955,CONCATENATE(F955,G955))</f>
        <v/>
      </c>
      <c r="I955" s="34" t="n">
        <f aca="false">IFERROR(VALUE(H955),)</f>
        <v>0</v>
      </c>
      <c r="J955" s="34" t="e">
        <f aca="false">RIGHT(B955,LEN(B955)-FIND("/",B955, FIND("Single Cells",B955, 1)))</f>
        <v>#VALUE!</v>
      </c>
    </row>
    <row r="956" customFormat="false" ht="12.75" hidden="false" customHeight="false" outlineLevel="0" collapsed="false">
      <c r="E956" s="34" t="str">
        <f aca="false">MID(B956,9,1)</f>
        <v/>
      </c>
      <c r="F956" s="34" t="str">
        <f aca="false">MID(B956,10,1)</f>
        <v/>
      </c>
      <c r="G956" s="34" t="str">
        <f aca="false">MID(B956,11,1)</f>
        <v/>
      </c>
      <c r="H956" s="35" t="str">
        <f aca="false">IF(G956=".",F956,CONCATENATE(F956,G956))</f>
        <v/>
      </c>
      <c r="I956" s="34" t="n">
        <f aca="false">IFERROR(VALUE(H956),)</f>
        <v>0</v>
      </c>
      <c r="J956" s="34" t="e">
        <f aca="false">RIGHT(B956,LEN(B956)-FIND("/",B956, FIND("Single Cells",B956, 1)))</f>
        <v>#VALUE!</v>
      </c>
    </row>
    <row r="957" customFormat="false" ht="12.75" hidden="false" customHeight="false" outlineLevel="0" collapsed="false">
      <c r="E957" s="34" t="str">
        <f aca="false">MID(B957,9,1)</f>
        <v/>
      </c>
      <c r="F957" s="34" t="str">
        <f aca="false">MID(B957,10,1)</f>
        <v/>
      </c>
      <c r="G957" s="34" t="str">
        <f aca="false">MID(B957,11,1)</f>
        <v/>
      </c>
      <c r="H957" s="35" t="str">
        <f aca="false">IF(G957=".",F957,CONCATENATE(F957,G957))</f>
        <v/>
      </c>
      <c r="I957" s="34" t="n">
        <f aca="false">IFERROR(VALUE(H957),)</f>
        <v>0</v>
      </c>
      <c r="J957" s="34" t="e">
        <f aca="false">RIGHT(B957,LEN(B957)-FIND("/",B957, FIND("Single Cells",B957, 1)))</f>
        <v>#VALUE!</v>
      </c>
    </row>
    <row r="958" customFormat="false" ht="12.75" hidden="false" customHeight="false" outlineLevel="0" collapsed="false">
      <c r="E958" s="34" t="str">
        <f aca="false">MID(B958,9,1)</f>
        <v/>
      </c>
      <c r="F958" s="34" t="str">
        <f aca="false">MID(B958,10,1)</f>
        <v/>
      </c>
      <c r="G958" s="34" t="str">
        <f aca="false">MID(B958,11,1)</f>
        <v/>
      </c>
      <c r="H958" s="35" t="str">
        <f aca="false">IF(G958=".",F958,CONCATENATE(F958,G958))</f>
        <v/>
      </c>
      <c r="I958" s="34" t="n">
        <f aca="false">IFERROR(VALUE(H958),)</f>
        <v>0</v>
      </c>
      <c r="J958" s="34" t="e">
        <f aca="false">RIGHT(B958,LEN(B958)-FIND("/",B958, FIND("Single Cells",B958, 1)))</f>
        <v>#VALUE!</v>
      </c>
    </row>
    <row r="959" customFormat="false" ht="12.75" hidden="false" customHeight="false" outlineLevel="0" collapsed="false">
      <c r="E959" s="34" t="str">
        <f aca="false">MID(B959,9,1)</f>
        <v/>
      </c>
      <c r="F959" s="34" t="str">
        <f aca="false">MID(B959,10,1)</f>
        <v/>
      </c>
      <c r="G959" s="34" t="str">
        <f aca="false">MID(B959,11,1)</f>
        <v/>
      </c>
      <c r="H959" s="35" t="str">
        <f aca="false">IF(G959=".",F959,CONCATENATE(F959,G959))</f>
        <v/>
      </c>
      <c r="I959" s="34" t="n">
        <f aca="false">IFERROR(VALUE(H959),)</f>
        <v>0</v>
      </c>
      <c r="J959" s="34" t="e">
        <f aca="false">RIGHT(B959,LEN(B959)-FIND("/",B959, FIND("Single Cells",B959, 1)))</f>
        <v>#VALUE!</v>
      </c>
    </row>
    <row r="960" customFormat="false" ht="12.75" hidden="false" customHeight="false" outlineLevel="0" collapsed="false">
      <c r="E960" s="34" t="str">
        <f aca="false">MID(B960,9,1)</f>
        <v/>
      </c>
      <c r="F960" s="34" t="str">
        <f aca="false">MID(B960,10,1)</f>
        <v/>
      </c>
      <c r="G960" s="34" t="str">
        <f aca="false">MID(B960,11,1)</f>
        <v/>
      </c>
      <c r="H960" s="35" t="str">
        <f aca="false">IF(G960=".",F960,CONCATENATE(F960,G960))</f>
        <v/>
      </c>
      <c r="I960" s="34" t="n">
        <f aca="false">IFERROR(VALUE(H960),)</f>
        <v>0</v>
      </c>
      <c r="J960" s="34" t="e">
        <f aca="false">RIGHT(B960,LEN(B960)-FIND("/",B960, FIND("Single Cells",B960, 1)))</f>
        <v>#VALUE!</v>
      </c>
    </row>
    <row r="961" customFormat="false" ht="12.75" hidden="false" customHeight="false" outlineLevel="0" collapsed="false">
      <c r="E961" s="34" t="str">
        <f aca="false">MID(B961,9,1)</f>
        <v/>
      </c>
      <c r="F961" s="34" t="str">
        <f aca="false">MID(B961,10,1)</f>
        <v/>
      </c>
      <c r="G961" s="34" t="str">
        <f aca="false">MID(B961,11,1)</f>
        <v/>
      </c>
      <c r="H961" s="35" t="str">
        <f aca="false">IF(G961=".",F961,CONCATENATE(F961,G961))</f>
        <v/>
      </c>
      <c r="I961" s="34" t="n">
        <f aca="false">IFERROR(VALUE(H961),)</f>
        <v>0</v>
      </c>
      <c r="J961" s="34" t="e">
        <f aca="false">RIGHT(B961,LEN(B961)-FIND("/",B961, FIND("Single Cells",B961, 1)))</f>
        <v>#VALUE!</v>
      </c>
    </row>
    <row r="962" customFormat="false" ht="12.75" hidden="false" customHeight="false" outlineLevel="0" collapsed="false">
      <c r="E962" s="34" t="str">
        <f aca="false">MID(B962,9,1)</f>
        <v/>
      </c>
      <c r="F962" s="34" t="str">
        <f aca="false">MID(B962,10,1)</f>
        <v/>
      </c>
      <c r="G962" s="34" t="str">
        <f aca="false">MID(B962,11,1)</f>
        <v/>
      </c>
      <c r="H962" s="35" t="str">
        <f aca="false">IF(G962=".",F962,CONCATENATE(F962,G962))</f>
        <v/>
      </c>
      <c r="I962" s="34" t="n">
        <f aca="false">IFERROR(VALUE(H962),)</f>
        <v>0</v>
      </c>
      <c r="J962" s="34" t="e">
        <f aca="false">RIGHT(B962,LEN(B962)-FIND("/",B962, FIND("Single Cells",B962, 1)))</f>
        <v>#VALUE!</v>
      </c>
    </row>
    <row r="963" customFormat="false" ht="12.75" hidden="false" customHeight="false" outlineLevel="0" collapsed="false">
      <c r="E963" s="34" t="str">
        <f aca="false">MID(B963,9,1)</f>
        <v/>
      </c>
      <c r="F963" s="34" t="str">
        <f aca="false">MID(B963,10,1)</f>
        <v/>
      </c>
      <c r="G963" s="34" t="str">
        <f aca="false">MID(B963,11,1)</f>
        <v/>
      </c>
      <c r="H963" s="35" t="str">
        <f aca="false">IF(G963=".",F963,CONCATENATE(F963,G963))</f>
        <v/>
      </c>
      <c r="I963" s="34" t="n">
        <f aca="false">IFERROR(VALUE(H963),)</f>
        <v>0</v>
      </c>
      <c r="J963" s="34" t="e">
        <f aca="false">RIGHT(B963,LEN(B963)-FIND("/",B963, FIND("Single Cells",B963, 1)))</f>
        <v>#VALUE!</v>
      </c>
    </row>
    <row r="964" customFormat="false" ht="12.75" hidden="false" customHeight="false" outlineLevel="0" collapsed="false">
      <c r="E964" s="34" t="str">
        <f aca="false">MID(B964,9,1)</f>
        <v/>
      </c>
      <c r="F964" s="34" t="str">
        <f aca="false">MID(B964,10,1)</f>
        <v/>
      </c>
      <c r="G964" s="34" t="str">
        <f aca="false">MID(B964,11,1)</f>
        <v/>
      </c>
      <c r="H964" s="35" t="str">
        <f aca="false">IF(G964=".",F964,CONCATENATE(F964,G964))</f>
        <v/>
      </c>
      <c r="I964" s="34" t="n">
        <f aca="false">IFERROR(VALUE(H964),)</f>
        <v>0</v>
      </c>
      <c r="J964" s="34" t="e">
        <f aca="false">RIGHT(B964,LEN(B964)-FIND("/",B964, FIND("Single Cells",B964, 1)))</f>
        <v>#VALUE!</v>
      </c>
    </row>
    <row r="965" customFormat="false" ht="12.75" hidden="false" customHeight="false" outlineLevel="0" collapsed="false">
      <c r="E965" s="34" t="str">
        <f aca="false">MID(B965,9,1)</f>
        <v/>
      </c>
      <c r="F965" s="34" t="str">
        <f aca="false">MID(B965,10,1)</f>
        <v/>
      </c>
      <c r="G965" s="34" t="str">
        <f aca="false">MID(B965,11,1)</f>
        <v/>
      </c>
      <c r="H965" s="35" t="str">
        <f aca="false">IF(G965=".",F965,CONCATENATE(F965,G965))</f>
        <v/>
      </c>
      <c r="I965" s="34" t="n">
        <f aca="false">IFERROR(VALUE(H965),)</f>
        <v>0</v>
      </c>
      <c r="J965" s="34" t="e">
        <f aca="false">RIGHT(B965,LEN(B965)-FIND("/",B965, FIND("Single Cells",B965, 1)))</f>
        <v>#VALUE!</v>
      </c>
    </row>
    <row r="966" customFormat="false" ht="12.75" hidden="false" customHeight="false" outlineLevel="0" collapsed="false">
      <c r="E966" s="34" t="str">
        <f aca="false">MID(B966,9,1)</f>
        <v/>
      </c>
      <c r="F966" s="34" t="str">
        <f aca="false">MID(B966,10,1)</f>
        <v/>
      </c>
      <c r="G966" s="34" t="str">
        <f aca="false">MID(B966,11,1)</f>
        <v/>
      </c>
      <c r="H966" s="35" t="str">
        <f aca="false">IF(G966=".",F966,CONCATENATE(F966,G966))</f>
        <v/>
      </c>
      <c r="I966" s="34" t="n">
        <f aca="false">IFERROR(VALUE(H966),)</f>
        <v>0</v>
      </c>
      <c r="J966" s="34" t="e">
        <f aca="false">RIGHT(B966,LEN(B966)-FIND("/",B966, FIND("Single Cells",B966, 1)))</f>
        <v>#VALUE!</v>
      </c>
    </row>
    <row r="967" customFormat="false" ht="12.75" hidden="false" customHeight="false" outlineLevel="0" collapsed="false">
      <c r="E967" s="34" t="str">
        <f aca="false">MID(B967,9,1)</f>
        <v/>
      </c>
      <c r="F967" s="34" t="str">
        <f aca="false">MID(B967,10,1)</f>
        <v/>
      </c>
      <c r="G967" s="34" t="str">
        <f aca="false">MID(B967,11,1)</f>
        <v/>
      </c>
      <c r="H967" s="35" t="str">
        <f aca="false">IF(G967=".",F967,CONCATENATE(F967,G967))</f>
        <v/>
      </c>
      <c r="I967" s="34" t="n">
        <f aca="false">IFERROR(VALUE(H967),)</f>
        <v>0</v>
      </c>
      <c r="J967" s="34" t="e">
        <f aca="false">RIGHT(B967,LEN(B967)-FIND("/",B967, FIND("Single Cells",B967, 1)))</f>
        <v>#VALUE!</v>
      </c>
    </row>
    <row r="968" customFormat="false" ht="12.75" hidden="false" customHeight="false" outlineLevel="0" collapsed="false">
      <c r="E968" s="34" t="str">
        <f aca="false">MID(B968,9,1)</f>
        <v/>
      </c>
      <c r="F968" s="34" t="str">
        <f aca="false">MID(B968,10,1)</f>
        <v/>
      </c>
      <c r="G968" s="34" t="str">
        <f aca="false">MID(B968,11,1)</f>
        <v/>
      </c>
      <c r="H968" s="35" t="str">
        <f aca="false">IF(G968=".",F968,CONCATENATE(F968,G968))</f>
        <v/>
      </c>
      <c r="I968" s="34" t="n">
        <f aca="false">IFERROR(VALUE(H968),)</f>
        <v>0</v>
      </c>
      <c r="J968" s="34" t="e">
        <f aca="false">RIGHT(B968,LEN(B968)-FIND("/",B968, FIND("Single Cells",B968, 1)))</f>
        <v>#VALUE!</v>
      </c>
    </row>
    <row r="969" customFormat="false" ht="12.75" hidden="false" customHeight="false" outlineLevel="0" collapsed="false">
      <c r="E969" s="34" t="str">
        <f aca="false">MID(B969,9,1)</f>
        <v/>
      </c>
      <c r="F969" s="34" t="str">
        <f aca="false">MID(B969,10,1)</f>
        <v/>
      </c>
      <c r="G969" s="34" t="str">
        <f aca="false">MID(B969,11,1)</f>
        <v/>
      </c>
      <c r="H969" s="35" t="str">
        <f aca="false">IF(G969=".",F969,CONCATENATE(F969,G969))</f>
        <v/>
      </c>
      <c r="I969" s="34" t="n">
        <f aca="false">IFERROR(VALUE(H969),)</f>
        <v>0</v>
      </c>
      <c r="J969" s="34" t="e">
        <f aca="false">RIGHT(B969,LEN(B969)-FIND("/",B969, FIND("Single Cells",B969, 1)))</f>
        <v>#VALUE!</v>
      </c>
    </row>
    <row r="970" customFormat="false" ht="12.75" hidden="false" customHeight="false" outlineLevel="0" collapsed="false">
      <c r="E970" s="34" t="str">
        <f aca="false">MID(B970,9,1)</f>
        <v/>
      </c>
      <c r="F970" s="34" t="str">
        <f aca="false">MID(B970,10,1)</f>
        <v/>
      </c>
      <c r="G970" s="34" t="str">
        <f aca="false">MID(B970,11,1)</f>
        <v/>
      </c>
      <c r="H970" s="35" t="str">
        <f aca="false">IF(G970=".",F970,CONCATENATE(F970,G970))</f>
        <v/>
      </c>
      <c r="I970" s="34" t="n">
        <f aca="false">IFERROR(VALUE(H970),)</f>
        <v>0</v>
      </c>
      <c r="J970" s="34" t="e">
        <f aca="false">RIGHT(B970,LEN(B970)-FIND("/",B970, FIND("Single Cells",B970, 1)))</f>
        <v>#VALUE!</v>
      </c>
    </row>
    <row r="971" customFormat="false" ht="12.75" hidden="false" customHeight="false" outlineLevel="0" collapsed="false">
      <c r="E971" s="34" t="str">
        <f aca="false">MID(B971,9,1)</f>
        <v/>
      </c>
      <c r="F971" s="34" t="str">
        <f aca="false">MID(B971,10,1)</f>
        <v/>
      </c>
      <c r="G971" s="34" t="str">
        <f aca="false">MID(B971,11,1)</f>
        <v/>
      </c>
      <c r="H971" s="35" t="str">
        <f aca="false">IF(G971=".",F971,CONCATENATE(F971,G971))</f>
        <v/>
      </c>
      <c r="I971" s="34" t="n">
        <f aca="false">IFERROR(VALUE(H971),)</f>
        <v>0</v>
      </c>
      <c r="J971" s="34" t="e">
        <f aca="false">RIGHT(B971,LEN(B971)-FIND("/",B971, FIND("Single Cells",B971, 1)))</f>
        <v>#VALUE!</v>
      </c>
    </row>
    <row r="972" customFormat="false" ht="12.75" hidden="false" customHeight="false" outlineLevel="0" collapsed="false">
      <c r="E972" s="34" t="str">
        <f aca="false">MID(B972,9,1)</f>
        <v/>
      </c>
      <c r="F972" s="34" t="str">
        <f aca="false">MID(B972,10,1)</f>
        <v/>
      </c>
      <c r="G972" s="34" t="str">
        <f aca="false">MID(B972,11,1)</f>
        <v/>
      </c>
      <c r="H972" s="35" t="str">
        <f aca="false">IF(G972=".",F972,CONCATENATE(F972,G972))</f>
        <v/>
      </c>
      <c r="I972" s="34" t="n">
        <f aca="false">IFERROR(VALUE(H972),)</f>
        <v>0</v>
      </c>
      <c r="J972" s="34" t="e">
        <f aca="false">RIGHT(B972,LEN(B972)-FIND("/",B972, FIND("Single Cells",B972, 1)))</f>
        <v>#VALUE!</v>
      </c>
    </row>
    <row r="973" customFormat="false" ht="12.75" hidden="false" customHeight="false" outlineLevel="0" collapsed="false">
      <c r="E973" s="34" t="str">
        <f aca="false">MID(B973,9,1)</f>
        <v/>
      </c>
      <c r="F973" s="34" t="str">
        <f aca="false">MID(B973,10,1)</f>
        <v/>
      </c>
      <c r="G973" s="34" t="str">
        <f aca="false">MID(B973,11,1)</f>
        <v/>
      </c>
      <c r="H973" s="35" t="str">
        <f aca="false">IF(G973=".",F973,CONCATENATE(F973,G973))</f>
        <v/>
      </c>
      <c r="I973" s="34" t="n">
        <f aca="false">IFERROR(VALUE(H973),)</f>
        <v>0</v>
      </c>
      <c r="J973" s="34" t="e">
        <f aca="false">RIGHT(B973,LEN(B973)-FIND("/",B973, FIND("Single Cells",B973, 1)))</f>
        <v>#VALUE!</v>
      </c>
    </row>
    <row r="974" customFormat="false" ht="12.75" hidden="false" customHeight="false" outlineLevel="0" collapsed="false">
      <c r="E974" s="34" t="str">
        <f aca="false">MID(B974,9,1)</f>
        <v/>
      </c>
      <c r="F974" s="34" t="str">
        <f aca="false">MID(B974,10,1)</f>
        <v/>
      </c>
      <c r="G974" s="34" t="str">
        <f aca="false">MID(B974,11,1)</f>
        <v/>
      </c>
      <c r="H974" s="35" t="str">
        <f aca="false">IF(G974=".",F974,CONCATENATE(F974,G974))</f>
        <v/>
      </c>
      <c r="I974" s="34" t="n">
        <f aca="false">IFERROR(VALUE(H974),)</f>
        <v>0</v>
      </c>
      <c r="J974" s="34" t="e">
        <f aca="false">RIGHT(B974,LEN(B974)-FIND("/",B974, FIND("Single Cells",B974, 1)))</f>
        <v>#VALUE!</v>
      </c>
    </row>
    <row r="975" customFormat="false" ht="12.75" hidden="false" customHeight="false" outlineLevel="0" collapsed="false">
      <c r="E975" s="34" t="str">
        <f aca="false">MID(B975,9,1)</f>
        <v/>
      </c>
      <c r="F975" s="34" t="str">
        <f aca="false">MID(B975,10,1)</f>
        <v/>
      </c>
      <c r="G975" s="34" t="str">
        <f aca="false">MID(B975,11,1)</f>
        <v/>
      </c>
      <c r="H975" s="35" t="str">
        <f aca="false">IF(G975=".",F975,CONCATENATE(F975,G975))</f>
        <v/>
      </c>
      <c r="I975" s="34" t="n">
        <f aca="false">IFERROR(VALUE(H975),)</f>
        <v>0</v>
      </c>
      <c r="J975" s="34" t="e">
        <f aca="false">RIGHT(B975,LEN(B975)-FIND("/",B975, FIND("Single Cells",B975, 1)))</f>
        <v>#VALUE!</v>
      </c>
    </row>
    <row r="976" customFormat="false" ht="12.75" hidden="false" customHeight="false" outlineLevel="0" collapsed="false">
      <c r="E976" s="34" t="str">
        <f aca="false">MID(B976,9,1)</f>
        <v/>
      </c>
      <c r="F976" s="34" t="str">
        <f aca="false">MID(B976,10,1)</f>
        <v/>
      </c>
      <c r="G976" s="34" t="str">
        <f aca="false">MID(B976,11,1)</f>
        <v/>
      </c>
      <c r="H976" s="35" t="str">
        <f aca="false">IF(G976=".",F976,CONCATENATE(F976,G976))</f>
        <v/>
      </c>
      <c r="I976" s="34" t="n">
        <f aca="false">IFERROR(VALUE(H976),)</f>
        <v>0</v>
      </c>
      <c r="J976" s="34" t="e">
        <f aca="false">RIGHT(B976,LEN(B976)-FIND("/",B976, FIND("Single Cells",B976, 1)))</f>
        <v>#VALUE!</v>
      </c>
    </row>
    <row r="977" customFormat="false" ht="12.75" hidden="false" customHeight="false" outlineLevel="0" collapsed="false">
      <c r="E977" s="34" t="str">
        <f aca="false">MID(B977,9,1)</f>
        <v/>
      </c>
      <c r="F977" s="34" t="str">
        <f aca="false">MID(B977,10,1)</f>
        <v/>
      </c>
      <c r="G977" s="34" t="str">
        <f aca="false">MID(B977,11,1)</f>
        <v/>
      </c>
      <c r="H977" s="35" t="str">
        <f aca="false">IF(G977=".",F977,CONCATENATE(F977,G977))</f>
        <v/>
      </c>
      <c r="I977" s="34" t="n">
        <f aca="false">IFERROR(VALUE(H977),)</f>
        <v>0</v>
      </c>
      <c r="J977" s="34" t="e">
        <f aca="false">RIGHT(B977,LEN(B977)-FIND("/",B977, FIND("Single Cells",B977, 1)))</f>
        <v>#VALUE!</v>
      </c>
    </row>
    <row r="978" customFormat="false" ht="12.75" hidden="false" customHeight="false" outlineLevel="0" collapsed="false">
      <c r="E978" s="34" t="str">
        <f aca="false">MID(B978,9,1)</f>
        <v/>
      </c>
      <c r="F978" s="34" t="str">
        <f aca="false">MID(B978,10,1)</f>
        <v/>
      </c>
      <c r="G978" s="34" t="str">
        <f aca="false">MID(B978,11,1)</f>
        <v/>
      </c>
      <c r="H978" s="35" t="str">
        <f aca="false">IF(G978=".",F978,CONCATENATE(F978,G978))</f>
        <v/>
      </c>
      <c r="I978" s="34" t="n">
        <f aca="false">IFERROR(VALUE(H978),)</f>
        <v>0</v>
      </c>
      <c r="J978" s="34" t="e">
        <f aca="false">RIGHT(B978,LEN(B978)-FIND("/",B978, FIND("Single Cells",B978, 1)))</f>
        <v>#VALUE!</v>
      </c>
    </row>
    <row r="979" customFormat="false" ht="12.75" hidden="false" customHeight="false" outlineLevel="0" collapsed="false">
      <c r="E979" s="34" t="str">
        <f aca="false">MID(B979,9,1)</f>
        <v/>
      </c>
      <c r="F979" s="34" t="str">
        <f aca="false">MID(B979,10,1)</f>
        <v/>
      </c>
      <c r="G979" s="34" t="str">
        <f aca="false">MID(B979,11,1)</f>
        <v/>
      </c>
      <c r="H979" s="35" t="str">
        <f aca="false">IF(G979=".",F979,CONCATENATE(F979,G979))</f>
        <v/>
      </c>
      <c r="I979" s="34" t="n">
        <f aca="false">IFERROR(VALUE(H979),)</f>
        <v>0</v>
      </c>
      <c r="J979" s="34" t="e">
        <f aca="false">RIGHT(B979,LEN(B979)-FIND("/",B979, FIND("Single Cells",B979, 1)))</f>
        <v>#VALUE!</v>
      </c>
    </row>
    <row r="980" customFormat="false" ht="12.75" hidden="false" customHeight="false" outlineLevel="0" collapsed="false">
      <c r="E980" s="34" t="str">
        <f aca="false">MID(B980,9,1)</f>
        <v/>
      </c>
      <c r="F980" s="34" t="str">
        <f aca="false">MID(B980,10,1)</f>
        <v/>
      </c>
      <c r="G980" s="34" t="str">
        <f aca="false">MID(B980,11,1)</f>
        <v/>
      </c>
      <c r="H980" s="35" t="str">
        <f aca="false">IF(G980=".",F980,CONCATENATE(F980,G980))</f>
        <v/>
      </c>
      <c r="I980" s="34" t="n">
        <f aca="false">IFERROR(VALUE(H980),)</f>
        <v>0</v>
      </c>
      <c r="J980" s="34" t="e">
        <f aca="false">RIGHT(B980,LEN(B980)-FIND("/",B980, FIND("Single Cells",B980, 1)))</f>
        <v>#VALUE!</v>
      </c>
    </row>
    <row r="981" customFormat="false" ht="12.75" hidden="false" customHeight="false" outlineLevel="0" collapsed="false">
      <c r="E981" s="34" t="str">
        <f aca="false">MID(B981,9,1)</f>
        <v/>
      </c>
      <c r="F981" s="34" t="str">
        <f aca="false">MID(B981,10,1)</f>
        <v/>
      </c>
      <c r="G981" s="34" t="str">
        <f aca="false">MID(B981,11,1)</f>
        <v/>
      </c>
      <c r="H981" s="35" t="str">
        <f aca="false">IF(G981=".",F981,CONCATENATE(F981,G981))</f>
        <v/>
      </c>
      <c r="I981" s="34" t="n">
        <f aca="false">IFERROR(VALUE(H981),)</f>
        <v>0</v>
      </c>
      <c r="J981" s="34" t="e">
        <f aca="false">RIGHT(B981,LEN(B981)-FIND("/",B981, FIND("Single Cells",B981, 1)))</f>
        <v>#VALUE!</v>
      </c>
    </row>
    <row r="982" customFormat="false" ht="12.75" hidden="false" customHeight="false" outlineLevel="0" collapsed="false">
      <c r="E982" s="34" t="str">
        <f aca="false">MID(B982,9,1)</f>
        <v/>
      </c>
      <c r="F982" s="34" t="str">
        <f aca="false">MID(B982,10,1)</f>
        <v/>
      </c>
      <c r="G982" s="34" t="str">
        <f aca="false">MID(B982,11,1)</f>
        <v/>
      </c>
      <c r="H982" s="35" t="str">
        <f aca="false">IF(G982=".",F982,CONCATENATE(F982,G982))</f>
        <v/>
      </c>
      <c r="I982" s="34" t="n">
        <f aca="false">IFERROR(VALUE(H982),)</f>
        <v>0</v>
      </c>
      <c r="J982" s="34" t="e">
        <f aca="false">RIGHT(B982,LEN(B982)-FIND("/",B982, FIND("Single Cells",B982, 1)))</f>
        <v>#VALUE!</v>
      </c>
    </row>
    <row r="983" customFormat="false" ht="12.75" hidden="false" customHeight="false" outlineLevel="0" collapsed="false">
      <c r="E983" s="34" t="str">
        <f aca="false">MID(B983,9,1)</f>
        <v/>
      </c>
      <c r="F983" s="34" t="str">
        <f aca="false">MID(B983,10,1)</f>
        <v/>
      </c>
      <c r="G983" s="34" t="str">
        <f aca="false">MID(B983,11,1)</f>
        <v/>
      </c>
      <c r="H983" s="35" t="str">
        <f aca="false">IF(G983=".",F983,CONCATENATE(F983,G983))</f>
        <v/>
      </c>
      <c r="I983" s="34" t="n">
        <f aca="false">IFERROR(VALUE(H983),)</f>
        <v>0</v>
      </c>
      <c r="J983" s="34" t="e">
        <f aca="false">RIGHT(B983,LEN(B983)-FIND("/",B983, FIND("Single Cells",B983, 1)))</f>
        <v>#VALUE!</v>
      </c>
    </row>
    <row r="984" customFormat="false" ht="12.75" hidden="false" customHeight="false" outlineLevel="0" collapsed="false">
      <c r="E984" s="34" t="str">
        <f aca="false">MID(B984,9,1)</f>
        <v/>
      </c>
      <c r="F984" s="34" t="str">
        <f aca="false">MID(B984,10,1)</f>
        <v/>
      </c>
      <c r="G984" s="34" t="str">
        <f aca="false">MID(B984,11,1)</f>
        <v/>
      </c>
      <c r="H984" s="35" t="str">
        <f aca="false">IF(G984=".",F984,CONCATENATE(F984,G984))</f>
        <v/>
      </c>
      <c r="I984" s="34" t="n">
        <f aca="false">IFERROR(VALUE(H984),)</f>
        <v>0</v>
      </c>
      <c r="J984" s="34" t="e">
        <f aca="false">RIGHT(B984,LEN(B984)-FIND("/",B984, FIND("Single Cells",B984, 1)))</f>
        <v>#VALUE!</v>
      </c>
    </row>
    <row r="985" customFormat="false" ht="12.75" hidden="false" customHeight="false" outlineLevel="0" collapsed="false">
      <c r="E985" s="34" t="str">
        <f aca="false">MID(B985,9,1)</f>
        <v/>
      </c>
      <c r="F985" s="34" t="str">
        <f aca="false">MID(B985,10,1)</f>
        <v/>
      </c>
      <c r="G985" s="34" t="str">
        <f aca="false">MID(B985,11,1)</f>
        <v/>
      </c>
      <c r="H985" s="35" t="str">
        <f aca="false">IF(G985=".",F985,CONCATENATE(F985,G985))</f>
        <v/>
      </c>
      <c r="I985" s="34" t="n">
        <f aca="false">IFERROR(VALUE(H985),)</f>
        <v>0</v>
      </c>
      <c r="J985" s="34" t="e">
        <f aca="false">RIGHT(B985,LEN(B985)-FIND("/",B985, FIND("Single Cells",B985, 1)))</f>
        <v>#VALUE!</v>
      </c>
    </row>
    <row r="986" customFormat="false" ht="12.75" hidden="false" customHeight="false" outlineLevel="0" collapsed="false">
      <c r="E986" s="34" t="str">
        <f aca="false">MID(B986,9,1)</f>
        <v/>
      </c>
      <c r="F986" s="34" t="str">
        <f aca="false">MID(B986,10,1)</f>
        <v/>
      </c>
      <c r="G986" s="34" t="str">
        <f aca="false">MID(B986,11,1)</f>
        <v/>
      </c>
      <c r="H986" s="35" t="str">
        <f aca="false">IF(G986=".",F986,CONCATENATE(F986,G986))</f>
        <v/>
      </c>
      <c r="I986" s="34" t="n">
        <f aca="false">IFERROR(VALUE(H986),)</f>
        <v>0</v>
      </c>
      <c r="J986" s="34" t="e">
        <f aca="false">RIGHT(B986,LEN(B986)-FIND("/",B986, FIND("Single Cells",B986, 1)))</f>
        <v>#VALUE!</v>
      </c>
    </row>
    <row r="987" customFormat="false" ht="12.75" hidden="false" customHeight="false" outlineLevel="0" collapsed="false">
      <c r="E987" s="34" t="str">
        <f aca="false">MID(B987,9,1)</f>
        <v/>
      </c>
      <c r="F987" s="34" t="str">
        <f aca="false">MID(B987,10,1)</f>
        <v/>
      </c>
      <c r="G987" s="34" t="str">
        <f aca="false">MID(B987,11,1)</f>
        <v/>
      </c>
      <c r="H987" s="35" t="str">
        <f aca="false">IF(G987=".",F987,CONCATENATE(F987,G987))</f>
        <v/>
      </c>
      <c r="I987" s="34" t="n">
        <f aca="false">IFERROR(VALUE(H987),)</f>
        <v>0</v>
      </c>
      <c r="J987" s="34" t="e">
        <f aca="false">RIGHT(B987,LEN(B987)-FIND("/",B987, FIND("Single Cells",B987, 1)))</f>
        <v>#VALUE!</v>
      </c>
    </row>
    <row r="988" customFormat="false" ht="12.75" hidden="false" customHeight="false" outlineLevel="0" collapsed="false">
      <c r="E988" s="34" t="str">
        <f aca="false">MID(B988,9,1)</f>
        <v/>
      </c>
      <c r="F988" s="34" t="str">
        <f aca="false">MID(B988,10,1)</f>
        <v/>
      </c>
      <c r="G988" s="34" t="str">
        <f aca="false">MID(B988,11,1)</f>
        <v/>
      </c>
      <c r="H988" s="35" t="str">
        <f aca="false">IF(G988=".",F988,CONCATENATE(F988,G988))</f>
        <v/>
      </c>
      <c r="I988" s="34" t="n">
        <f aca="false">IFERROR(VALUE(H988),)</f>
        <v>0</v>
      </c>
      <c r="J988" s="34" t="e">
        <f aca="false">RIGHT(B988,LEN(B988)-FIND("/",B988, FIND("Single Cells",B988, 1)))</f>
        <v>#VALUE!</v>
      </c>
    </row>
    <row r="989" customFormat="false" ht="12.75" hidden="false" customHeight="false" outlineLevel="0" collapsed="false">
      <c r="E989" s="34" t="str">
        <f aca="false">MID(B989,9,1)</f>
        <v/>
      </c>
      <c r="F989" s="34" t="str">
        <f aca="false">MID(B989,10,1)</f>
        <v/>
      </c>
      <c r="G989" s="34" t="str">
        <f aca="false">MID(B989,11,1)</f>
        <v/>
      </c>
      <c r="H989" s="35" t="str">
        <f aca="false">IF(G989=".",F989,CONCATENATE(F989,G989))</f>
        <v/>
      </c>
      <c r="I989" s="34" t="n">
        <f aca="false">IFERROR(VALUE(H989),)</f>
        <v>0</v>
      </c>
      <c r="J989" s="34" t="e">
        <f aca="false">RIGHT(B989,LEN(B989)-FIND("/",B989, FIND("Single Cells",B989, 1)))</f>
        <v>#VALUE!</v>
      </c>
    </row>
    <row r="990" customFormat="false" ht="12.75" hidden="false" customHeight="false" outlineLevel="0" collapsed="false">
      <c r="E990" s="34" t="str">
        <f aca="false">MID(B990,9,1)</f>
        <v/>
      </c>
      <c r="F990" s="34" t="str">
        <f aca="false">MID(B990,10,1)</f>
        <v/>
      </c>
      <c r="G990" s="34" t="str">
        <f aca="false">MID(B990,11,1)</f>
        <v/>
      </c>
      <c r="H990" s="35" t="str">
        <f aca="false">IF(G990=".",F990,CONCATENATE(F990,G990))</f>
        <v/>
      </c>
      <c r="I990" s="34" t="n">
        <f aca="false">IFERROR(VALUE(H990),)</f>
        <v>0</v>
      </c>
      <c r="J990" s="34" t="e">
        <f aca="false">RIGHT(B990,LEN(B990)-FIND("/",B990, FIND("Single Cells",B990, 1)))</f>
        <v>#VALUE!</v>
      </c>
    </row>
    <row r="991" customFormat="false" ht="12.75" hidden="false" customHeight="false" outlineLevel="0" collapsed="false">
      <c r="E991" s="34" t="str">
        <f aca="false">MID(B991,9,1)</f>
        <v/>
      </c>
      <c r="F991" s="34" t="str">
        <f aca="false">MID(B991,10,1)</f>
        <v/>
      </c>
      <c r="G991" s="34" t="str">
        <f aca="false">MID(B991,11,1)</f>
        <v/>
      </c>
      <c r="H991" s="35" t="str">
        <f aca="false">IF(G991=".",F991,CONCATENATE(F991,G991))</f>
        <v/>
      </c>
      <c r="I991" s="34" t="n">
        <f aca="false">IFERROR(VALUE(H991),)</f>
        <v>0</v>
      </c>
      <c r="J991" s="34" t="e">
        <f aca="false">RIGHT(B991,LEN(B991)-FIND("/",B991, FIND("Single Cells",B991, 1)))</f>
        <v>#VALUE!</v>
      </c>
    </row>
    <row r="992" customFormat="false" ht="12.75" hidden="false" customHeight="false" outlineLevel="0" collapsed="false">
      <c r="E992" s="34" t="str">
        <f aca="false">MID(B992,9,1)</f>
        <v/>
      </c>
      <c r="F992" s="34" t="str">
        <f aca="false">MID(B992,10,1)</f>
        <v/>
      </c>
      <c r="G992" s="34" t="str">
        <f aca="false">MID(B992,11,1)</f>
        <v/>
      </c>
      <c r="H992" s="35" t="str">
        <f aca="false">IF(G992=".",F992,CONCATENATE(F992,G992))</f>
        <v/>
      </c>
      <c r="I992" s="34" t="n">
        <f aca="false">IFERROR(VALUE(H992),)</f>
        <v>0</v>
      </c>
      <c r="J992" s="34" t="e">
        <f aca="false">RIGHT(B992,LEN(B992)-FIND("/",B992, FIND("Single Cells",B992, 1)))</f>
        <v>#VALUE!</v>
      </c>
    </row>
    <row r="993" customFormat="false" ht="12.75" hidden="false" customHeight="false" outlineLevel="0" collapsed="false">
      <c r="E993" s="34" t="str">
        <f aca="false">MID(B993,9,1)</f>
        <v/>
      </c>
      <c r="F993" s="34" t="str">
        <f aca="false">MID(B993,10,1)</f>
        <v/>
      </c>
      <c r="G993" s="34" t="str">
        <f aca="false">MID(B993,11,1)</f>
        <v/>
      </c>
      <c r="H993" s="35" t="str">
        <f aca="false">IF(G993=".",F993,CONCATENATE(F993,G993))</f>
        <v/>
      </c>
      <c r="I993" s="34" t="n">
        <f aca="false">IFERROR(VALUE(H993),)</f>
        <v>0</v>
      </c>
      <c r="J993" s="34" t="e">
        <f aca="false">RIGHT(B993,LEN(B993)-FIND("/",B993, FIND("Single Cells",B993, 1)))</f>
        <v>#VALUE!</v>
      </c>
    </row>
    <row r="994" customFormat="false" ht="12.75" hidden="false" customHeight="false" outlineLevel="0" collapsed="false">
      <c r="E994" s="34" t="str">
        <f aca="false">MID(B994,9,1)</f>
        <v/>
      </c>
      <c r="F994" s="34" t="str">
        <f aca="false">MID(B994,10,1)</f>
        <v/>
      </c>
      <c r="G994" s="34" t="str">
        <f aca="false">MID(B994,11,1)</f>
        <v/>
      </c>
      <c r="H994" s="35" t="str">
        <f aca="false">IF(G994=".",F994,CONCATENATE(F994,G994))</f>
        <v/>
      </c>
      <c r="I994" s="34" t="n">
        <f aca="false">IFERROR(VALUE(H994),)</f>
        <v>0</v>
      </c>
      <c r="J994" s="34" t="e">
        <f aca="false">RIGHT(B994,LEN(B994)-FIND("/",B994, FIND("Single Cells",B994, 1)))</f>
        <v>#VALUE!</v>
      </c>
    </row>
    <row r="995" customFormat="false" ht="12.75" hidden="false" customHeight="false" outlineLevel="0" collapsed="false">
      <c r="E995" s="34" t="str">
        <f aca="false">MID(B995,9,1)</f>
        <v/>
      </c>
      <c r="F995" s="34" t="str">
        <f aca="false">MID(B995,10,1)</f>
        <v/>
      </c>
      <c r="G995" s="34" t="str">
        <f aca="false">MID(B995,11,1)</f>
        <v/>
      </c>
      <c r="H995" s="35" t="str">
        <f aca="false">IF(G995=".",F995,CONCATENATE(F995,G995))</f>
        <v/>
      </c>
      <c r="I995" s="34" t="n">
        <f aca="false">IFERROR(VALUE(H995),)</f>
        <v>0</v>
      </c>
      <c r="J995" s="34" t="e">
        <f aca="false">RIGHT(B995,LEN(B995)-FIND("/",B995, FIND("Single Cells",B995, 1)))</f>
        <v>#VALUE!</v>
      </c>
    </row>
    <row r="996" customFormat="false" ht="12.75" hidden="false" customHeight="false" outlineLevel="0" collapsed="false">
      <c r="E996" s="34" t="str">
        <f aca="false">MID(B996,9,1)</f>
        <v/>
      </c>
      <c r="F996" s="34" t="str">
        <f aca="false">MID(B996,10,1)</f>
        <v/>
      </c>
      <c r="G996" s="34" t="str">
        <f aca="false">MID(B996,11,1)</f>
        <v/>
      </c>
      <c r="H996" s="35" t="str">
        <f aca="false">IF(G996=".",F996,CONCATENATE(F996,G996))</f>
        <v/>
      </c>
      <c r="I996" s="34" t="n">
        <f aca="false">IFERROR(VALUE(H996),)</f>
        <v>0</v>
      </c>
      <c r="J996" s="34" t="e">
        <f aca="false">RIGHT(B996,LEN(B996)-FIND("/",B996, FIND("Single Cells",B996, 1)))</f>
        <v>#VALUE!</v>
      </c>
    </row>
    <row r="997" customFormat="false" ht="12.75" hidden="false" customHeight="false" outlineLevel="0" collapsed="false">
      <c r="E997" s="34" t="str">
        <f aca="false">MID(B997,9,1)</f>
        <v/>
      </c>
      <c r="F997" s="34" t="str">
        <f aca="false">MID(B997,10,1)</f>
        <v/>
      </c>
      <c r="G997" s="34" t="str">
        <f aca="false">MID(B997,11,1)</f>
        <v/>
      </c>
      <c r="H997" s="35" t="str">
        <f aca="false">IF(G997=".",F997,CONCATENATE(F997,G997))</f>
        <v/>
      </c>
      <c r="I997" s="34" t="n">
        <f aca="false">IFERROR(VALUE(H997),)</f>
        <v>0</v>
      </c>
      <c r="J997" s="34" t="e">
        <f aca="false">RIGHT(B997,LEN(B997)-FIND("/",B997, FIND("Single Cells",B997, 1)))</f>
        <v>#VALUE!</v>
      </c>
    </row>
    <row r="998" customFormat="false" ht="12.75" hidden="false" customHeight="false" outlineLevel="0" collapsed="false">
      <c r="E998" s="34" t="str">
        <f aca="false">MID(B998,9,1)</f>
        <v/>
      </c>
      <c r="F998" s="34" t="str">
        <f aca="false">MID(B998,10,1)</f>
        <v/>
      </c>
      <c r="G998" s="34" t="str">
        <f aca="false">MID(B998,11,1)</f>
        <v/>
      </c>
      <c r="H998" s="35" t="str">
        <f aca="false">IF(G998=".",F998,CONCATENATE(F998,G998))</f>
        <v/>
      </c>
      <c r="I998" s="34" t="n">
        <f aca="false">IFERROR(VALUE(H998),)</f>
        <v>0</v>
      </c>
      <c r="J998" s="34" t="e">
        <f aca="false">RIGHT(B998,LEN(B998)-FIND("/",B998, FIND("Single Cells",B998, 1)))</f>
        <v>#VALUE!</v>
      </c>
    </row>
    <row r="999" customFormat="false" ht="12.75" hidden="false" customHeight="false" outlineLevel="0" collapsed="false">
      <c r="E999" s="34" t="str">
        <f aca="false">MID(B999,9,1)</f>
        <v/>
      </c>
      <c r="F999" s="34" t="str">
        <f aca="false">MID(B999,10,1)</f>
        <v/>
      </c>
      <c r="G999" s="34" t="str">
        <f aca="false">MID(B999,11,1)</f>
        <v/>
      </c>
      <c r="H999" s="35" t="str">
        <f aca="false">IF(G999=".",F999,CONCATENATE(F999,G999))</f>
        <v/>
      </c>
      <c r="I999" s="34" t="n">
        <f aca="false">IFERROR(VALUE(H999),)</f>
        <v>0</v>
      </c>
      <c r="J999" s="34" t="e">
        <f aca="false">RIGHT(B999,LEN(B999)-FIND("/",B999, FIND("Single Cells",B999, 1)))</f>
        <v>#VALUE!</v>
      </c>
    </row>
    <row r="1000" customFormat="false" ht="12.75" hidden="false" customHeight="false" outlineLevel="0" collapsed="false">
      <c r="E1000" s="34" t="str">
        <f aca="false">MID(B1000,9,1)</f>
        <v/>
      </c>
      <c r="F1000" s="34" t="str">
        <f aca="false">MID(B1000,10,1)</f>
        <v/>
      </c>
      <c r="G1000" s="34" t="str">
        <f aca="false">MID(B1000,11,1)</f>
        <v/>
      </c>
      <c r="H1000" s="35" t="str">
        <f aca="false">IF(G1000=".",F1000,CONCATENATE(F1000,G1000))</f>
        <v/>
      </c>
      <c r="I1000" s="34" t="n">
        <f aca="false">IFERROR(VALUE(H1000),)</f>
        <v>0</v>
      </c>
      <c r="J1000" s="34" t="e">
        <f aca="false">RIGHT(B1000,LEN(B1000)-FIND("/",B1000, FIND("Single Cells",B1000, 1)))</f>
        <v>#VALUE!</v>
      </c>
    </row>
  </sheetData>
  <autoFilter ref="A8:H508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3" activeCellId="0" sqref="G23"/>
    </sheetView>
  </sheetViews>
  <sheetFormatPr defaultColWidth="9.1484375" defaultRowHeight="12.75" zeroHeight="false" outlineLevelRow="0" outlineLevelCol="0"/>
  <cols>
    <col collapsed="false" customWidth="false" hidden="false" outlineLevel="0" max="1" min="1" style="34" width="9.14"/>
    <col collapsed="false" customWidth="true" hidden="false" outlineLevel="0" max="2" min="2" style="34" width="14"/>
    <col collapsed="false" customWidth="false" hidden="false" outlineLevel="0" max="16384" min="3" style="34" width="9.14"/>
  </cols>
  <sheetData>
    <row r="2" customFormat="false" ht="23.25" hidden="false" customHeight="false" outlineLevel="0" collapsed="false">
      <c r="E2" s="39" t="s">
        <v>165</v>
      </c>
    </row>
    <row r="4" customFormat="false" ht="21" hidden="false" customHeight="false" outlineLevel="0" collapsed="false">
      <c r="A4" s="40"/>
      <c r="B4" s="41" t="n">
        <v>1</v>
      </c>
      <c r="C4" s="41" t="n">
        <v>2</v>
      </c>
      <c r="D4" s="41" t="n">
        <v>3</v>
      </c>
      <c r="E4" s="41" t="n">
        <v>4</v>
      </c>
      <c r="F4" s="41" t="n">
        <v>5</v>
      </c>
      <c r="G4" s="41" t="n">
        <v>6</v>
      </c>
      <c r="H4" s="41" t="n">
        <v>7</v>
      </c>
      <c r="I4" s="41" t="n">
        <v>8</v>
      </c>
      <c r="J4" s="41" t="n">
        <v>9</v>
      </c>
      <c r="K4" s="41" t="n">
        <v>10</v>
      </c>
      <c r="L4" s="41" t="n">
        <v>11</v>
      </c>
      <c r="M4" s="41" t="n">
        <v>12</v>
      </c>
      <c r="N4" s="42"/>
    </row>
    <row r="5" customFormat="false" ht="20.25" hidden="false" customHeight="false" outlineLevel="0" collapsed="false">
      <c r="A5" s="41" t="s">
        <v>166</v>
      </c>
      <c r="B5" s="43" t="n">
        <f aca="false">_xlfn.xlookup(_xlfn.CONCAT("*","Well-",$A5,B$4,"*"),'Flow 1 Input'!$B$9:$B$1000,'Flow 1 Input'!$C$9:$C$1000,0,2)</f>
        <v>0</v>
      </c>
      <c r="C5" s="43" t="n">
        <f aca="false">_xlfn.xlookup(_xlfn.CONCAT("*","Well-",$A5,C$4,"*"),'Flow 1 Input'!$B$9:$B$1000,'Flow 1 Input'!$C$9:$C$1000,0,2)</f>
        <v>0</v>
      </c>
      <c r="D5" s="43" t="n">
        <f aca="false">_xlfn.xlookup(_xlfn.CONCAT("*","Well-",$A5,D$4,"*"),'Flow 1 Input'!$B$9:$B$1000,'Flow 1 Input'!$C$9:$C$1000,0,2)</f>
        <v>0</v>
      </c>
      <c r="E5" s="43" t="n">
        <f aca="false">_xlfn.xlookup(_xlfn.CONCAT("*","Well-",$A5,E$4,"*"),'Flow 1 Input'!$B$9:$B$1000,'Flow 1 Input'!$C$9:$C$1000,0,2)</f>
        <v>0</v>
      </c>
      <c r="F5" s="43" t="n">
        <f aca="false">_xlfn.xlookup(_xlfn.CONCAT("*","Well-",$A5,F$4,"*"),'Flow 1 Input'!$B$9:$B$1000,'Flow 1 Input'!$C$9:$C$1000,0,2)</f>
        <v>0</v>
      </c>
      <c r="G5" s="43" t="n">
        <f aca="false">_xlfn.xlookup(_xlfn.CONCAT("*","Well-",$A5,G$4,"*"),'Flow 1 Input'!$B$9:$B$1000,'Flow 1 Input'!$C$9:$C$1000,0,2)</f>
        <v>0</v>
      </c>
      <c r="H5" s="43" t="n">
        <f aca="false">_xlfn.xlookup(_xlfn.CONCAT("*","Well-",$A5,H$4,"*"),'Flow 1 Input'!$B$9:$B$1000,'Flow 1 Input'!$C$9:$C$1000,0,2)</f>
        <v>0</v>
      </c>
      <c r="I5" s="43" t="n">
        <f aca="false">_xlfn.xlookup(_xlfn.CONCAT("*","Well-",$A5,I$4,"*"),'Flow 1 Input'!$B$9:$B$1000,'Flow 1 Input'!$C$9:$C$1000,0,2)</f>
        <v>0</v>
      </c>
      <c r="J5" s="43" t="n">
        <f aca="false">_xlfn.xlookup(_xlfn.CONCAT("*","Well-",$A5,J$4,"*"),'Flow 1 Input'!$B$9:$B$1000,'Flow 1 Input'!$C$9:$C$1000,0,2)</f>
        <v>0</v>
      </c>
      <c r="K5" s="43" t="n">
        <f aca="false">_xlfn.xlookup(_xlfn.CONCAT("*","Well-",$A5,K$4,"*"),'Flow 1 Input'!$B$9:$B$1000,'Flow 1 Input'!$C$9:$C$1000,0,2)</f>
        <v>0</v>
      </c>
      <c r="L5" s="43" t="n">
        <f aca="false">_xlfn.xlookup(_xlfn.CONCAT("*","Well-",$A5,L$4,"*"),'Flow 1 Input'!$B$9:$B$1000,'Flow 1 Input'!$C$9:$C$1000,0,2)</f>
        <v>0</v>
      </c>
      <c r="M5" s="43" t="n">
        <f aca="false">_xlfn.xlookup(_xlfn.CONCAT("*","Well-",$A5,M$4,"*"),'Flow 1 Input'!$B$9:$B$1000,'Flow 1 Input'!$C$9:$C$1000,0,2)</f>
        <v>0</v>
      </c>
      <c r="N5" s="44"/>
    </row>
    <row r="6" customFormat="false" ht="20.25" hidden="false" customHeight="false" outlineLevel="0" collapsed="false">
      <c r="A6" s="41" t="s">
        <v>167</v>
      </c>
      <c r="B6" s="43" t="n">
        <f aca="false">_xlfn.xlookup(_xlfn.CONCAT("*","Well-",$A6,B$4,"*"),'Flow 1 Input'!$B$9:$B$1000,'Flow 1 Input'!$C$9:$C$1000,0,2)</f>
        <v>0</v>
      </c>
      <c r="C6" s="43" t="n">
        <f aca="false">_xlfn.xlookup(_xlfn.CONCAT("*","Well-",$A6,C$4,"*"),'Flow 1 Input'!$B$9:$B$1000,'Flow 1 Input'!$C$9:$C$1000,0,2)</f>
        <v>0</v>
      </c>
      <c r="D6" s="43" t="n">
        <f aca="false">_xlfn.xlookup(_xlfn.CONCAT("*","Well-",$A6,D$4,"*"),'Flow 1 Input'!$B$9:$B$1000,'Flow 1 Input'!$C$9:$C$1000,0,2)</f>
        <v>0</v>
      </c>
      <c r="E6" s="43" t="n">
        <f aca="false">_xlfn.xlookup(_xlfn.CONCAT("*","Well-",$A6,E$4,"*"),'Flow 1 Input'!$B$9:$B$1000,'Flow 1 Input'!$C$9:$C$1000,0,2)</f>
        <v>0</v>
      </c>
      <c r="F6" s="43" t="n">
        <f aca="false">_xlfn.xlookup(_xlfn.CONCAT("*","Well-",$A6,F$4,"*"),'Flow 1 Input'!$B$9:$B$1000,'Flow 1 Input'!$C$9:$C$1000,0,2)</f>
        <v>0</v>
      </c>
      <c r="G6" s="43" t="n">
        <f aca="false">_xlfn.xlookup(_xlfn.CONCAT("*","Well-",$A6,G$4,"*"),'Flow 1 Input'!$B$9:$B$1000,'Flow 1 Input'!$C$9:$C$1000,0,2)</f>
        <v>0</v>
      </c>
      <c r="H6" s="43" t="n">
        <f aca="false">_xlfn.xlookup(_xlfn.CONCAT("*","Well-",$A6,H$4,"*"),'Flow 1 Input'!$B$9:$B$1000,'Flow 1 Input'!$C$9:$C$1000,0,2)</f>
        <v>0</v>
      </c>
      <c r="I6" s="43" t="n">
        <f aca="false">_xlfn.xlookup(_xlfn.CONCAT("*","Well-",$A6,I$4,"*"),'Flow 1 Input'!$B$9:$B$1000,'Flow 1 Input'!$C$9:$C$1000,0,2)</f>
        <v>0</v>
      </c>
      <c r="J6" s="43" t="n">
        <f aca="false">_xlfn.xlookup(_xlfn.CONCAT("*","Well-",$A6,J$4,"*"),'Flow 1 Input'!$B$9:$B$1000,'Flow 1 Input'!$C$9:$C$1000,0,2)</f>
        <v>0</v>
      </c>
      <c r="K6" s="43" t="n">
        <f aca="false">_xlfn.xlookup(_xlfn.CONCAT("*","Well-",$A6,K$4,"*"),'Flow 1 Input'!$B$9:$B$1000,'Flow 1 Input'!$C$9:$C$1000,0,2)</f>
        <v>0</v>
      </c>
      <c r="L6" s="43" t="n">
        <f aca="false">_xlfn.xlookup(_xlfn.CONCAT("*","Well-",$A6,L$4,"*"),'Flow 1 Input'!$B$9:$B$1000,'Flow 1 Input'!$C$9:$C$1000,0,2)</f>
        <v>0</v>
      </c>
      <c r="M6" s="43" t="n">
        <f aca="false">_xlfn.xlookup(_xlfn.CONCAT("*","Well-",$A6,M$4,"*"),'Flow 1 Input'!$B$9:$B$1000,'Flow 1 Input'!$C$9:$C$1000,0,2)</f>
        <v>0</v>
      </c>
      <c r="N6" s="44"/>
    </row>
    <row r="7" customFormat="false" ht="20.25" hidden="false" customHeight="false" outlineLevel="0" collapsed="false">
      <c r="A7" s="41" t="s">
        <v>168</v>
      </c>
      <c r="B7" s="43" t="n">
        <f aca="false">_xlfn.xlookup(_xlfn.CONCAT("*","Well-",$A7,B$4,"*"),'Flow 1 Input'!$B$9:$B$1000,'Flow 1 Input'!$C$9:$C$1000,0,2)</f>
        <v>0</v>
      </c>
      <c r="C7" s="43" t="n">
        <f aca="false">_xlfn.xlookup(_xlfn.CONCAT("*","Well-",$A7,C$4,"*"),'Flow 1 Input'!$B$9:$B$1000,'Flow 1 Input'!$C$9:$C$1000,0,2)</f>
        <v>0</v>
      </c>
      <c r="D7" s="43" t="n">
        <f aca="false">_xlfn.xlookup(_xlfn.CONCAT("*","Well-",$A7,D$4,"*"),'Flow 1 Input'!$B$9:$B$1000,'Flow 1 Input'!$C$9:$C$1000,0,2)</f>
        <v>0</v>
      </c>
      <c r="E7" s="43" t="n">
        <f aca="false">_xlfn.xlookup(_xlfn.CONCAT("*","Well-",$A7,E$4,"*"),'Flow 1 Input'!$B$9:$B$1000,'Flow 1 Input'!$C$9:$C$1000,0,2)</f>
        <v>0</v>
      </c>
      <c r="F7" s="43" t="n">
        <f aca="false">_xlfn.xlookup(_xlfn.CONCAT("*","Well-",$A7,F$4,"*"),'Flow 1 Input'!$B$9:$B$1000,'Flow 1 Input'!$C$9:$C$1000,0,2)</f>
        <v>0</v>
      </c>
      <c r="G7" s="43" t="n">
        <f aca="false">_xlfn.xlookup(_xlfn.CONCAT("*","Well-",$A7,G$4,"*"),'Flow 1 Input'!$B$9:$B$1000,'Flow 1 Input'!$C$9:$C$1000,0,2)</f>
        <v>0</v>
      </c>
      <c r="H7" s="43" t="n">
        <f aca="false">_xlfn.xlookup(_xlfn.CONCAT("*","Well-",$A7,H$4,"*"),'Flow 1 Input'!$B$9:$B$1000,'Flow 1 Input'!$C$9:$C$1000,0,2)</f>
        <v>0</v>
      </c>
      <c r="I7" s="43" t="n">
        <f aca="false">_xlfn.xlookup(_xlfn.CONCAT("*","Well-",$A7,I$4,"*"),'Flow 1 Input'!$B$9:$B$1000,'Flow 1 Input'!$C$9:$C$1000,0,2)</f>
        <v>0</v>
      </c>
      <c r="J7" s="43" t="n">
        <f aca="false">_xlfn.xlookup(_xlfn.CONCAT("*","Well-",$A7,J$4,"*"),'Flow 1 Input'!$B$9:$B$1000,'Flow 1 Input'!$C$9:$C$1000,0,2)</f>
        <v>0</v>
      </c>
      <c r="K7" s="43" t="n">
        <f aca="false">_xlfn.xlookup(_xlfn.CONCAT("*","Well-",$A7,K$4,"*"),'Flow 1 Input'!$B$9:$B$1000,'Flow 1 Input'!$C$9:$C$1000,0,2)</f>
        <v>0</v>
      </c>
      <c r="L7" s="43" t="n">
        <f aca="false">_xlfn.xlookup(_xlfn.CONCAT("*","Well-",$A7,L$4,"*"),'Flow 1 Input'!$B$9:$B$1000,'Flow 1 Input'!$C$9:$C$1000,0,2)</f>
        <v>0</v>
      </c>
      <c r="M7" s="43" t="n">
        <f aca="false">_xlfn.xlookup(_xlfn.CONCAT("*","Well-",$A7,M$4,"*"),'Flow 1 Input'!$B$9:$B$1000,'Flow 1 Input'!$C$9:$C$1000,0,2)</f>
        <v>0</v>
      </c>
      <c r="N7" s="44"/>
    </row>
    <row r="8" customFormat="false" ht="20.25" hidden="false" customHeight="false" outlineLevel="0" collapsed="false">
      <c r="A8" s="41" t="s">
        <v>169</v>
      </c>
      <c r="B8" s="43" t="n">
        <f aca="false">_xlfn.xlookup(_xlfn.CONCAT("*","Well-",$A8,B$4,"*"),'Flow 1 Input'!$B$9:$B$1000,'Flow 1 Input'!$C$9:$C$1000,0,2)</f>
        <v>0</v>
      </c>
      <c r="C8" s="43" t="n">
        <f aca="false">_xlfn.xlookup(_xlfn.CONCAT("*","Well-",$A8,C$4,"*"),'Flow 1 Input'!$B$9:$B$1000,'Flow 1 Input'!$C$9:$C$1000,0,2)</f>
        <v>0</v>
      </c>
      <c r="D8" s="43" t="n">
        <f aca="false">_xlfn.xlookup(_xlfn.CONCAT("*","Well-",$A8,D$4,"*"),'Flow 1 Input'!$B$9:$B$1000,'Flow 1 Input'!$C$9:$C$1000,0,2)</f>
        <v>0</v>
      </c>
      <c r="E8" s="43" t="n">
        <f aca="false">_xlfn.xlookup(_xlfn.CONCAT("*","Well-",$A8,E$4,"*"),'Flow 1 Input'!$B$9:$B$1000,'Flow 1 Input'!$C$9:$C$1000,0,2)</f>
        <v>0</v>
      </c>
      <c r="F8" s="43" t="n">
        <f aca="false">_xlfn.xlookup(_xlfn.CONCAT("*","Well-",$A8,F$4,"*"),'Flow 1 Input'!$B$9:$B$1000,'Flow 1 Input'!$C$9:$C$1000,0,2)</f>
        <v>0</v>
      </c>
      <c r="G8" s="43" t="n">
        <f aca="false">_xlfn.xlookup(_xlfn.CONCAT("*","Well-",$A8,G$4,"*"),'Flow 1 Input'!$B$9:$B$1000,'Flow 1 Input'!$C$9:$C$1000,0,2)</f>
        <v>0</v>
      </c>
      <c r="H8" s="43" t="n">
        <f aca="false">_xlfn.xlookup(_xlfn.CONCAT("*","Well-",$A8,H$4,"*"),'Flow 1 Input'!$B$9:$B$1000,'Flow 1 Input'!$C$9:$C$1000,0,2)</f>
        <v>0</v>
      </c>
      <c r="I8" s="43" t="n">
        <f aca="false">_xlfn.xlookup(_xlfn.CONCAT("*","Well-",$A8,I$4,"*"),'Flow 1 Input'!$B$9:$B$1000,'Flow 1 Input'!$C$9:$C$1000,0,2)</f>
        <v>0</v>
      </c>
      <c r="J8" s="43" t="n">
        <f aca="false">_xlfn.xlookup(_xlfn.CONCAT("*","Well-",$A8,J$4,"*"),'Flow 1 Input'!$B$9:$B$1000,'Flow 1 Input'!$C$9:$C$1000,0,2)</f>
        <v>0</v>
      </c>
      <c r="K8" s="43" t="n">
        <f aca="false">_xlfn.xlookup(_xlfn.CONCAT("*","Well-",$A8,K$4,"*"),'Flow 1 Input'!$B$9:$B$1000,'Flow 1 Input'!$C$9:$C$1000,0,2)</f>
        <v>0</v>
      </c>
      <c r="L8" s="43" t="n">
        <f aca="false">_xlfn.xlookup(_xlfn.CONCAT("*","Well-",$A8,L$4,"*"),'Flow 1 Input'!$B$9:$B$1000,'Flow 1 Input'!$C$9:$C$1000,0,2)</f>
        <v>0</v>
      </c>
      <c r="M8" s="43" t="n">
        <f aca="false">_xlfn.xlookup(_xlfn.CONCAT("*","Well-",$A8,M$4,"*"),'Flow 1 Input'!$B$9:$B$1000,'Flow 1 Input'!$C$9:$C$1000,0,2)</f>
        <v>0</v>
      </c>
      <c r="N8" s="44"/>
    </row>
    <row r="9" customFormat="false" ht="20.25" hidden="false" customHeight="false" outlineLevel="0" collapsed="false">
      <c r="A9" s="41" t="s">
        <v>170</v>
      </c>
      <c r="B9" s="43" t="n">
        <f aca="false">_xlfn.xlookup(_xlfn.CONCAT("*","Well-",$A9,B$4,"*"),'Flow 1 Input'!$B$9:$B$1000,'Flow 1 Input'!$C$9:$C$1000,0,2)</f>
        <v>0</v>
      </c>
      <c r="C9" s="43" t="n">
        <f aca="false">_xlfn.xlookup(_xlfn.CONCAT("*","Well-",$A9,C$4,"*"),'Flow 1 Input'!$B$9:$B$1000,'Flow 1 Input'!$C$9:$C$1000,0,2)</f>
        <v>0</v>
      </c>
      <c r="D9" s="43" t="n">
        <f aca="false">_xlfn.xlookup(_xlfn.CONCAT("*","Well-",$A9,D$4,"*"),'Flow 1 Input'!$B$9:$B$1000,'Flow 1 Input'!$C$9:$C$1000,0,2)</f>
        <v>0</v>
      </c>
      <c r="E9" s="43" t="n">
        <f aca="false">_xlfn.xlookup(_xlfn.CONCAT("*","Well-",$A9,E$4,"*"),'Flow 1 Input'!$B$9:$B$1000,'Flow 1 Input'!$C$9:$C$1000,0,2)</f>
        <v>0</v>
      </c>
      <c r="F9" s="43" t="n">
        <f aca="false">_xlfn.xlookup(_xlfn.CONCAT("*","Well-",$A9,F$4,"*"),'Flow 1 Input'!$B$9:$B$1000,'Flow 1 Input'!$C$9:$C$1000,0,2)</f>
        <v>0</v>
      </c>
      <c r="G9" s="43" t="n">
        <f aca="false">_xlfn.xlookup(_xlfn.CONCAT("*","Well-",$A9,G$4,"*"),'Flow 1 Input'!$B$9:$B$1000,'Flow 1 Input'!$C$9:$C$1000,0,2)</f>
        <v>0</v>
      </c>
      <c r="H9" s="43" t="n">
        <f aca="false">_xlfn.xlookup(_xlfn.CONCAT("*","Well-",$A9,H$4,"*"),'Flow 1 Input'!$B$9:$B$1000,'Flow 1 Input'!$C$9:$C$1000,0,2)</f>
        <v>0</v>
      </c>
      <c r="I9" s="43" t="n">
        <f aca="false">_xlfn.xlookup(_xlfn.CONCAT("*","Well-",$A9,I$4,"*"),'Flow 1 Input'!$B$9:$B$1000,'Flow 1 Input'!$C$9:$C$1000,0,2)</f>
        <v>0</v>
      </c>
      <c r="J9" s="43" t="n">
        <f aca="false">_xlfn.xlookup(_xlfn.CONCAT("*","Well-",$A9,J$4,"*"),'Flow 1 Input'!$B$9:$B$1000,'Flow 1 Input'!$C$9:$C$1000,0,2)</f>
        <v>0</v>
      </c>
      <c r="K9" s="43" t="n">
        <f aca="false">_xlfn.xlookup(_xlfn.CONCAT("*","Well-",$A9,K$4,"*"),'Flow 1 Input'!$B$9:$B$1000,'Flow 1 Input'!$C$9:$C$1000,0,2)</f>
        <v>0</v>
      </c>
      <c r="L9" s="43" t="n">
        <f aca="false">_xlfn.xlookup(_xlfn.CONCAT("*","Well-",$A9,L$4,"*"),'Flow 1 Input'!$B$9:$B$1000,'Flow 1 Input'!$C$9:$C$1000,0,2)</f>
        <v>0</v>
      </c>
      <c r="M9" s="43" t="n">
        <f aca="false">_xlfn.xlookup(_xlfn.CONCAT("*","Well-",$A9,M$4,"*"),'Flow 1 Input'!$B$9:$B$1000,'Flow 1 Input'!$C$9:$C$1000,0,2)</f>
        <v>0</v>
      </c>
      <c r="N9" s="44"/>
    </row>
    <row r="10" customFormat="false" ht="20.25" hidden="false" customHeight="false" outlineLevel="0" collapsed="false">
      <c r="A10" s="41" t="s">
        <v>171</v>
      </c>
      <c r="B10" s="43" t="n">
        <f aca="false">_xlfn.xlookup(_xlfn.CONCAT("*","Well-",$A10,B$4,"*"),'Flow 1 Input'!$B$9:$B$1000,'Flow 1 Input'!$C$9:$C$1000,0,2)</f>
        <v>0</v>
      </c>
      <c r="C10" s="43" t="n">
        <f aca="false">_xlfn.xlookup(_xlfn.CONCAT("*","Well-",$A10,C$4,"*"),'Flow 1 Input'!$B$9:$B$1000,'Flow 1 Input'!$C$9:$C$1000,0,2)</f>
        <v>0</v>
      </c>
      <c r="D10" s="43" t="n">
        <f aca="false">_xlfn.xlookup(_xlfn.CONCAT("*","Well-",$A10,D$4,"*"),'Flow 1 Input'!$B$9:$B$1000,'Flow 1 Input'!$C$9:$C$1000,0,2)</f>
        <v>0</v>
      </c>
      <c r="E10" s="43" t="n">
        <f aca="false">_xlfn.xlookup(_xlfn.CONCAT("*","Well-",$A10,E$4,"*"),'Flow 1 Input'!$B$9:$B$1000,'Flow 1 Input'!$C$9:$C$1000,0,2)</f>
        <v>0</v>
      </c>
      <c r="F10" s="43" t="n">
        <f aca="false">_xlfn.xlookup(_xlfn.CONCAT("*","Well-",$A10,F$4,"*"),'Flow 1 Input'!$B$9:$B$1000,'Flow 1 Input'!$C$9:$C$1000,0,2)</f>
        <v>0</v>
      </c>
      <c r="G10" s="43" t="n">
        <f aca="false">_xlfn.xlookup(_xlfn.CONCAT("*","Well-",$A10,G$4,"*"),'Flow 1 Input'!$B$9:$B$1000,'Flow 1 Input'!$C$9:$C$1000,0,2)</f>
        <v>0</v>
      </c>
      <c r="H10" s="43" t="n">
        <f aca="false">_xlfn.xlookup(_xlfn.CONCAT("*","Well-",$A10,H$4,"*"),'Flow 1 Input'!$B$9:$B$1000,'Flow 1 Input'!$C$9:$C$1000,0,2)</f>
        <v>0</v>
      </c>
      <c r="I10" s="43" t="n">
        <f aca="false">_xlfn.xlookup(_xlfn.CONCAT("*","Well-",$A10,I$4,"*"),'Flow 1 Input'!$B$9:$B$1000,'Flow 1 Input'!$C$9:$C$1000,0,2)</f>
        <v>0</v>
      </c>
      <c r="J10" s="43" t="n">
        <f aca="false">_xlfn.xlookup(_xlfn.CONCAT("*","Well-",$A10,J$4,"*"),'Flow 1 Input'!$B$9:$B$1000,'Flow 1 Input'!$C$9:$C$1000,0,2)</f>
        <v>0</v>
      </c>
      <c r="K10" s="43" t="n">
        <f aca="false">_xlfn.xlookup(_xlfn.CONCAT("*","Well-",$A10,K$4,"*"),'Flow 1 Input'!$B$9:$B$1000,'Flow 1 Input'!$C$9:$C$1000,0,2)</f>
        <v>0</v>
      </c>
      <c r="L10" s="43" t="n">
        <f aca="false">_xlfn.xlookup(_xlfn.CONCAT("*","Well-",$A10,L$4,"*"),'Flow 1 Input'!$B$9:$B$1000,'Flow 1 Input'!$C$9:$C$1000,0,2)</f>
        <v>0</v>
      </c>
      <c r="M10" s="43" t="n">
        <f aca="false">_xlfn.xlookup(_xlfn.CONCAT("*","Well-",$A10,M$4,"*"),'Flow 1 Input'!$B$9:$B$1000,'Flow 1 Input'!$C$9:$C$1000,0,2)</f>
        <v>0</v>
      </c>
      <c r="N10" s="44"/>
    </row>
    <row r="11" customFormat="false" ht="20.25" hidden="false" customHeight="false" outlineLevel="0" collapsed="false">
      <c r="A11" s="41" t="s">
        <v>172</v>
      </c>
      <c r="B11" s="43" t="n">
        <f aca="false">_xlfn.xlookup(_xlfn.CONCAT("*","Well-",$A11,B$4,"*"),'Flow 1 Input'!$B$9:$B$1000,'Flow 1 Input'!$C$9:$C$1000,0,2)</f>
        <v>0</v>
      </c>
      <c r="C11" s="43" t="n">
        <f aca="false">_xlfn.xlookup(_xlfn.CONCAT("*","Well-",$A11,C$4,"*"),'Flow 1 Input'!$B$9:$B$1000,'Flow 1 Input'!$C$9:$C$1000,0,2)</f>
        <v>0</v>
      </c>
      <c r="D11" s="43" t="n">
        <f aca="false">_xlfn.xlookup(_xlfn.CONCAT("*","Well-",$A11,D$4,"*"),'Flow 1 Input'!$B$9:$B$1000,'Flow 1 Input'!$C$9:$C$1000,0,2)</f>
        <v>0</v>
      </c>
      <c r="E11" s="43" t="n">
        <f aca="false">_xlfn.xlookup(_xlfn.CONCAT("*","Well-",$A11,E$4,"*"),'Flow 1 Input'!$B$9:$B$1000,'Flow 1 Input'!$C$9:$C$1000,0,2)</f>
        <v>0</v>
      </c>
      <c r="F11" s="43" t="n">
        <f aca="false">_xlfn.xlookup(_xlfn.CONCAT("*","Well-",$A11,F$4,"*"),'Flow 1 Input'!$B$9:$B$1000,'Flow 1 Input'!$C$9:$C$1000,0,2)</f>
        <v>0</v>
      </c>
      <c r="G11" s="43" t="n">
        <f aca="false">_xlfn.xlookup(_xlfn.CONCAT("*","Well-",$A11,G$4,"*"),'Flow 1 Input'!$B$9:$B$1000,'Flow 1 Input'!$C$9:$C$1000,0,2)</f>
        <v>0</v>
      </c>
      <c r="H11" s="43" t="n">
        <f aca="false">_xlfn.xlookup(_xlfn.CONCAT("*","Well-",$A11,H$4,"*"),'Flow 1 Input'!$B$9:$B$1000,'Flow 1 Input'!$C$9:$C$1000,0,2)</f>
        <v>0</v>
      </c>
      <c r="I11" s="43" t="n">
        <f aca="false">_xlfn.xlookup(_xlfn.CONCAT("*","Well-",$A11,I$4,"*"),'Flow 1 Input'!$B$9:$B$1000,'Flow 1 Input'!$C$9:$C$1000,0,2)</f>
        <v>0</v>
      </c>
      <c r="J11" s="43" t="n">
        <f aca="false">_xlfn.xlookup(_xlfn.CONCAT("*","Well-",$A11,J$4,"*"),'Flow 1 Input'!$B$9:$B$1000,'Flow 1 Input'!$C$9:$C$1000,0,2)</f>
        <v>0</v>
      </c>
      <c r="K11" s="43" t="n">
        <f aca="false">_xlfn.xlookup(_xlfn.CONCAT("*","Well-",$A11,K$4,"*"),'Flow 1 Input'!$B$9:$B$1000,'Flow 1 Input'!$C$9:$C$1000,0,2)</f>
        <v>0</v>
      </c>
      <c r="L11" s="43" t="n">
        <f aca="false">_xlfn.xlookup(_xlfn.CONCAT("*","Well-",$A11,L$4,"*"),'Flow 1 Input'!$B$9:$B$1000,'Flow 1 Input'!$C$9:$C$1000,0,2)</f>
        <v>0</v>
      </c>
      <c r="M11" s="43" t="n">
        <f aca="false">_xlfn.xlookup(_xlfn.CONCAT("*","Well-",$A11,M$4,"*"),'Flow 1 Input'!$B$9:$B$1000,'Flow 1 Input'!$C$9:$C$1000,0,2)</f>
        <v>0</v>
      </c>
      <c r="N11" s="44"/>
    </row>
    <row r="12" customFormat="false" ht="20.25" hidden="false" customHeight="false" outlineLevel="0" collapsed="false">
      <c r="A12" s="41" t="s">
        <v>173</v>
      </c>
      <c r="B12" s="43" t="n">
        <f aca="false">_xlfn.xlookup(_xlfn.CONCAT("*","Well-",$A12,B$4,"*"),'Flow 1 Input'!$B$9:$B$1000,'Flow 1 Input'!$C$9:$C$1000,0,2)</f>
        <v>0</v>
      </c>
      <c r="C12" s="43" t="n">
        <f aca="false">_xlfn.xlookup(_xlfn.CONCAT("*","Well-",$A12,C$4,"*"),'Flow 1 Input'!$B$9:$B$1000,'Flow 1 Input'!$C$9:$C$1000,0,2)</f>
        <v>0</v>
      </c>
      <c r="D12" s="43" t="n">
        <f aca="false">_xlfn.xlookup(_xlfn.CONCAT("*","Well-",$A12,D$4,"*"),'Flow 1 Input'!$B$9:$B$1000,'Flow 1 Input'!$C$9:$C$1000,0,2)</f>
        <v>0</v>
      </c>
      <c r="E12" s="43" t="n">
        <f aca="false">_xlfn.xlookup(_xlfn.CONCAT("*","Well-",$A12,E$4,"*"),'Flow 1 Input'!$B$9:$B$1000,'Flow 1 Input'!$C$9:$C$1000,0,2)</f>
        <v>0</v>
      </c>
      <c r="F12" s="43" t="n">
        <f aca="false">_xlfn.xlookup(_xlfn.CONCAT("*","Well-",$A12,F$4,"*"),'Flow 1 Input'!$B$9:$B$1000,'Flow 1 Input'!$C$9:$C$1000,0,2)</f>
        <v>0</v>
      </c>
      <c r="G12" s="43" t="n">
        <f aca="false">_xlfn.xlookup(_xlfn.CONCAT("*","Well-",$A12,G$4,"*"),'Flow 1 Input'!$B$9:$B$1000,'Flow 1 Input'!$C$9:$C$1000,0,2)</f>
        <v>0</v>
      </c>
      <c r="H12" s="43" t="n">
        <f aca="false">_xlfn.xlookup(_xlfn.CONCAT("*","Well-",$A12,H$4,"*"),'Flow 1 Input'!$B$9:$B$1000,'Flow 1 Input'!$C$9:$C$1000,0,2)</f>
        <v>0</v>
      </c>
      <c r="I12" s="43" t="n">
        <f aca="false">_xlfn.xlookup(_xlfn.CONCAT("*","Well-",$A12,I$4,"*"),'Flow 1 Input'!$B$9:$B$1000,'Flow 1 Input'!$C$9:$C$1000,0,2)</f>
        <v>0</v>
      </c>
      <c r="J12" s="43" t="n">
        <f aca="false">_xlfn.xlookup(_xlfn.CONCAT("*","Well-",$A12,J$4,"*"),'Flow 1 Input'!$B$9:$B$1000,'Flow 1 Input'!$C$9:$C$1000,0,2)</f>
        <v>0</v>
      </c>
      <c r="K12" s="43" t="n">
        <f aca="false">_xlfn.xlookup(_xlfn.CONCAT("*","Well-",$A12,K$4,"*"),'Flow 1 Input'!$B$9:$B$1000,'Flow 1 Input'!$C$9:$C$1000,0,2)</f>
        <v>0</v>
      </c>
      <c r="L12" s="43" t="n">
        <f aca="false">_xlfn.xlookup(_xlfn.CONCAT("*","Well-",$A12,L$4,"*"),'Flow 1 Input'!$B$9:$B$1000,'Flow 1 Input'!$C$9:$C$1000,0,2)</f>
        <v>0</v>
      </c>
      <c r="M12" s="43" t="n">
        <f aca="false">_xlfn.xlookup(_xlfn.CONCAT("*","Well-",$A12,M$4,"*"),'Flow 1 Input'!$B$9:$B$1000,'Flow 1 Input'!$C$9:$C$1000,0,2)</f>
        <v>0</v>
      </c>
      <c r="N12" s="44"/>
    </row>
    <row r="18" customFormat="false" ht="20.25" hidden="false" customHeight="false" outlineLevel="0" collapsed="false">
      <c r="F18" s="41"/>
    </row>
  </sheetData>
  <conditionalFormatting sqref="N6:N12">
    <cfRule type="expression" priority="2" aboveAverage="0" equalAverage="0" bottom="0" percent="0" rank="0" text="" dxfId="3">
      <formula>AND(N6&gt;0, N6&lt;=50)</formula>
    </cfRule>
  </conditionalFormatting>
  <conditionalFormatting sqref="N5">
    <cfRule type="expression" priority="3" aboveAverage="0" equalAverage="0" bottom="0" percent="0" rank="0" text="" dxfId="4">
      <formula>AND(N5&gt;0, N5&lt;=50)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J1000"/>
  <sheetViews>
    <sheetView showFormulas="false" showGridLines="false" showRowColHeaders="true" showZeros="true" rightToLeft="false" tabSelected="false" showOutlineSymbols="true" defaultGridColor="true" view="normal" topLeftCell="A1" colorId="64" zoomScale="125" zoomScaleNormal="125" zoomScalePageLayoutView="125" workbookViewId="0">
      <selection pane="topLeft" activeCell="J1" activeCellId="0" sqref="J1"/>
    </sheetView>
  </sheetViews>
  <sheetFormatPr defaultColWidth="8.859375" defaultRowHeight="12.75" zeroHeight="false" outlineLevelRow="0" outlineLevelCol="0"/>
  <cols>
    <col collapsed="false" customWidth="true" hidden="false" outlineLevel="0" max="1" min="1" style="33" width="8.42"/>
    <col collapsed="false" customWidth="true" hidden="false" outlineLevel="0" max="2" min="2" style="33" width="39.29"/>
    <col collapsed="false" customWidth="true" hidden="false" outlineLevel="0" max="3" min="3" style="33" width="10.42"/>
    <col collapsed="false" customWidth="true" hidden="false" outlineLevel="0" max="4" min="4" style="33" width="8.71"/>
    <col collapsed="false" customWidth="true" hidden="false" outlineLevel="0" max="5" min="5" style="34" width="14.29"/>
    <col collapsed="false" customWidth="true" hidden="true" outlineLevel="0" max="7" min="6" style="34" width="9"/>
    <col collapsed="false" customWidth="true" hidden="true" outlineLevel="0" max="8" min="8" style="35" width="11.85"/>
    <col collapsed="false" customWidth="true" hidden="false" outlineLevel="0" max="9" min="9" style="34" width="17"/>
    <col collapsed="false" customWidth="true" hidden="false" outlineLevel="0" max="10" min="10" style="34" width="20"/>
    <col collapsed="false" customWidth="false" hidden="false" outlineLevel="0" max="16384" min="11" style="34" width="8.86"/>
  </cols>
  <sheetData>
    <row r="1" s="34" customFormat="true" ht="12.75" hidden="false" customHeight="false" outlineLevel="0" collapsed="false">
      <c r="H1" s="35"/>
    </row>
    <row r="2" s="34" customFormat="true" ht="12.75" hidden="false" customHeight="false" outlineLevel="0" collapsed="false">
      <c r="H2" s="35"/>
    </row>
    <row r="3" s="34" customFormat="true" ht="12.75" hidden="false" customHeight="false" outlineLevel="0" collapsed="false">
      <c r="H3" s="35"/>
    </row>
    <row r="4" s="34" customFormat="true" ht="12.75" hidden="false" customHeight="false" outlineLevel="0" collapsed="false">
      <c r="H4" s="35"/>
    </row>
    <row r="5" s="34" customFormat="true" ht="12.75" hidden="false" customHeight="false" outlineLevel="0" collapsed="false">
      <c r="H5" s="35"/>
    </row>
    <row r="6" s="34" customFormat="true" ht="12.75" hidden="false" customHeight="false" outlineLevel="0" collapsed="false">
      <c r="H6" s="35"/>
    </row>
    <row r="7" s="34" customFormat="true" ht="12.75" hidden="false" customHeight="false" outlineLevel="0" collapsed="false">
      <c r="H7" s="35"/>
    </row>
    <row r="8" customFormat="false" ht="12.75" hidden="false" customHeight="true" outlineLevel="0" collapsed="false">
      <c r="A8" s="36" t="s">
        <v>155</v>
      </c>
      <c r="B8" s="36" t="s">
        <v>156</v>
      </c>
      <c r="C8" s="36" t="s">
        <v>157</v>
      </c>
      <c r="D8" s="36" t="s">
        <v>158</v>
      </c>
      <c r="E8" s="37" t="s">
        <v>159</v>
      </c>
      <c r="F8" s="37" t="s">
        <v>160</v>
      </c>
      <c r="G8" s="37" t="s">
        <v>161</v>
      </c>
      <c r="H8" s="38" t="s">
        <v>162</v>
      </c>
      <c r="I8" s="38" t="s">
        <v>163</v>
      </c>
      <c r="J8" s="38" t="s">
        <v>164</v>
      </c>
    </row>
    <row r="9" customFormat="false" ht="12.75" hidden="false" customHeight="true" outlineLevel="0" collapsed="false">
      <c r="E9" s="34" t="str">
        <f aca="false">MID(B9,9,1)</f>
        <v/>
      </c>
      <c r="F9" s="34" t="str">
        <f aca="false">MID(B9,10,1)</f>
        <v/>
      </c>
      <c r="G9" s="34" t="str">
        <f aca="false">MID(B9,11,1)</f>
        <v/>
      </c>
      <c r="H9" s="35" t="str">
        <f aca="false">IF(G9=".",F9,CONCATENATE(F9,G9))</f>
        <v/>
      </c>
      <c r="I9" s="34" t="n">
        <f aca="false">IFERROR(VALUE(H9),)</f>
        <v>0</v>
      </c>
      <c r="J9" s="34" t="e">
        <f aca="false">RIGHT(B9,LEN(B9)-FIND("/",B9, FIND("Single Cells",B9, 1)))</f>
        <v>#VALUE!</v>
      </c>
    </row>
    <row r="10" customFormat="false" ht="12.75" hidden="false" customHeight="true" outlineLevel="0" collapsed="false">
      <c r="E10" s="34" t="str">
        <f aca="false">MID(B10,9,1)</f>
        <v/>
      </c>
      <c r="F10" s="34" t="str">
        <f aca="false">MID(B10,10,1)</f>
        <v/>
      </c>
      <c r="G10" s="34" t="str">
        <f aca="false">MID(B10,11,1)</f>
        <v/>
      </c>
      <c r="H10" s="35" t="str">
        <f aca="false">IF(G10=".",F10,CONCATENATE(F10,G10))</f>
        <v/>
      </c>
      <c r="I10" s="34" t="n">
        <f aca="false">IFERROR(VALUE(H10),)</f>
        <v>0</v>
      </c>
      <c r="J10" s="34" t="e">
        <f aca="false">RIGHT(B10,LEN(B10)-FIND("/",B10, FIND("Single Cells",B10, 1)))</f>
        <v>#VALUE!</v>
      </c>
    </row>
    <row r="11" customFormat="false" ht="12.75" hidden="false" customHeight="true" outlineLevel="0" collapsed="false">
      <c r="E11" s="34" t="str">
        <f aca="false">MID(B11,9,1)</f>
        <v/>
      </c>
      <c r="F11" s="34" t="str">
        <f aca="false">MID(B11,10,1)</f>
        <v/>
      </c>
      <c r="G11" s="34" t="str">
        <f aca="false">MID(B11,11,1)</f>
        <v/>
      </c>
      <c r="H11" s="35" t="str">
        <f aca="false">IF(G11=".",F11,CONCATENATE(F11,G11))</f>
        <v/>
      </c>
      <c r="I11" s="34" t="n">
        <f aca="false">IFERROR(VALUE(H11),)</f>
        <v>0</v>
      </c>
      <c r="J11" s="34" t="e">
        <f aca="false">RIGHT(B11,LEN(B11)-FIND("/",B11, FIND("Single Cells",B11, 1)))</f>
        <v>#VALUE!</v>
      </c>
    </row>
    <row r="12" customFormat="false" ht="12.75" hidden="false" customHeight="true" outlineLevel="0" collapsed="false">
      <c r="E12" s="34" t="str">
        <f aca="false">MID(B12,9,1)</f>
        <v/>
      </c>
      <c r="F12" s="34" t="str">
        <f aca="false">MID(B12,10,1)</f>
        <v/>
      </c>
      <c r="G12" s="34" t="str">
        <f aca="false">MID(B12,11,1)</f>
        <v/>
      </c>
      <c r="H12" s="35" t="str">
        <f aca="false">IF(G12=".",F12,CONCATENATE(F12,G12))</f>
        <v/>
      </c>
      <c r="I12" s="34" t="n">
        <f aca="false">IFERROR(VALUE(H12),)</f>
        <v>0</v>
      </c>
      <c r="J12" s="34" t="e">
        <f aca="false">RIGHT(B12,LEN(B12)-FIND("/",B12, FIND("Single Cells",B12, 1)))</f>
        <v>#VALUE!</v>
      </c>
    </row>
    <row r="13" customFormat="false" ht="12.75" hidden="false" customHeight="true" outlineLevel="0" collapsed="false">
      <c r="E13" s="34" t="str">
        <f aca="false">MID(B13,9,1)</f>
        <v/>
      </c>
      <c r="F13" s="34" t="str">
        <f aca="false">MID(B13,10,1)</f>
        <v/>
      </c>
      <c r="G13" s="34" t="str">
        <f aca="false">MID(B13,11,1)</f>
        <v/>
      </c>
      <c r="H13" s="35" t="str">
        <f aca="false">IF(G13=".",F13,CONCATENATE(F13,G13))</f>
        <v/>
      </c>
      <c r="I13" s="34" t="n">
        <f aca="false">IFERROR(VALUE(H13),)</f>
        <v>0</v>
      </c>
      <c r="J13" s="34" t="e">
        <f aca="false">RIGHT(B13,LEN(B13)-FIND("/",B13, FIND("Single Cells",B13, 1)))</f>
        <v>#VALUE!</v>
      </c>
    </row>
    <row r="14" customFormat="false" ht="12.75" hidden="false" customHeight="true" outlineLevel="0" collapsed="false">
      <c r="E14" s="34" t="str">
        <f aca="false">MID(B14,9,1)</f>
        <v/>
      </c>
      <c r="F14" s="34" t="str">
        <f aca="false">MID(B14,10,1)</f>
        <v/>
      </c>
      <c r="G14" s="34" t="str">
        <f aca="false">MID(B14,11,1)</f>
        <v/>
      </c>
      <c r="H14" s="35" t="str">
        <f aca="false">IF(G14=".",F14,CONCATENATE(F14,G14))</f>
        <v/>
      </c>
      <c r="I14" s="34" t="n">
        <f aca="false">IFERROR(VALUE(H14),)</f>
        <v>0</v>
      </c>
      <c r="J14" s="34" t="e">
        <f aca="false">RIGHT(B14,LEN(B14)-FIND("/",B14, FIND("Single Cells",B14, 1)))</f>
        <v>#VALUE!</v>
      </c>
    </row>
    <row r="15" customFormat="false" ht="12.75" hidden="false" customHeight="true" outlineLevel="0" collapsed="false">
      <c r="E15" s="34" t="str">
        <f aca="false">MID(B15,9,1)</f>
        <v/>
      </c>
      <c r="F15" s="34" t="str">
        <f aca="false">MID(B15,10,1)</f>
        <v/>
      </c>
      <c r="G15" s="34" t="str">
        <f aca="false">MID(B15,11,1)</f>
        <v/>
      </c>
      <c r="H15" s="35" t="str">
        <f aca="false">IF(G15=".",F15,CONCATENATE(F15,G15))</f>
        <v/>
      </c>
      <c r="I15" s="34" t="n">
        <f aca="false">IFERROR(VALUE(H15),)</f>
        <v>0</v>
      </c>
      <c r="J15" s="34" t="e">
        <f aca="false">RIGHT(B15,LEN(B15)-FIND("/",B15, FIND("Single Cells",B15, 1)))</f>
        <v>#VALUE!</v>
      </c>
    </row>
    <row r="16" customFormat="false" ht="12.75" hidden="false" customHeight="true" outlineLevel="0" collapsed="false">
      <c r="E16" s="34" t="str">
        <f aca="false">MID(B16,9,1)</f>
        <v/>
      </c>
      <c r="F16" s="34" t="str">
        <f aca="false">MID(B16,10,1)</f>
        <v/>
      </c>
      <c r="G16" s="34" t="str">
        <f aca="false">MID(B16,11,1)</f>
        <v/>
      </c>
      <c r="H16" s="35" t="str">
        <f aca="false">IF(G16=".",F16,CONCATENATE(F16,G16))</f>
        <v/>
      </c>
      <c r="I16" s="34" t="n">
        <f aca="false">IFERROR(VALUE(H16),)</f>
        <v>0</v>
      </c>
      <c r="J16" s="34" t="e">
        <f aca="false">RIGHT(B16,LEN(B16)-FIND("/",B16, FIND("Single Cells",B16, 1)))</f>
        <v>#VALUE!</v>
      </c>
    </row>
    <row r="17" customFormat="false" ht="12.75" hidden="false" customHeight="true" outlineLevel="0" collapsed="false">
      <c r="E17" s="34" t="str">
        <f aca="false">MID(B17,9,1)</f>
        <v/>
      </c>
      <c r="F17" s="34" t="str">
        <f aca="false">MID(B17,10,1)</f>
        <v/>
      </c>
      <c r="G17" s="34" t="str">
        <f aca="false">MID(B17,11,1)</f>
        <v/>
      </c>
      <c r="H17" s="35" t="str">
        <f aca="false">IF(G17=".",F17,CONCATENATE(F17,G17))</f>
        <v/>
      </c>
      <c r="I17" s="34" t="n">
        <f aca="false">IFERROR(VALUE(H17),)</f>
        <v>0</v>
      </c>
      <c r="J17" s="34" t="e">
        <f aca="false">RIGHT(B17,LEN(B17)-FIND("/",B17, FIND("Single Cells",B17, 1)))</f>
        <v>#VALUE!</v>
      </c>
    </row>
    <row r="18" customFormat="false" ht="12.75" hidden="false" customHeight="true" outlineLevel="0" collapsed="false">
      <c r="E18" s="34" t="str">
        <f aca="false">MID(B18,9,1)</f>
        <v/>
      </c>
      <c r="F18" s="34" t="str">
        <f aca="false">MID(B18,10,1)</f>
        <v/>
      </c>
      <c r="G18" s="34" t="str">
        <f aca="false">MID(B18,11,1)</f>
        <v/>
      </c>
      <c r="H18" s="35" t="str">
        <f aca="false">IF(G18=".",F18,CONCATENATE(F18,G18))</f>
        <v/>
      </c>
      <c r="I18" s="34" t="n">
        <f aca="false">IFERROR(VALUE(H18),)</f>
        <v>0</v>
      </c>
      <c r="J18" s="34" t="e">
        <f aca="false">RIGHT(B18,LEN(B18)-FIND("/",B18, FIND("Single Cells",B18, 1)))</f>
        <v>#VALUE!</v>
      </c>
    </row>
    <row r="19" customFormat="false" ht="12.75" hidden="false" customHeight="true" outlineLevel="0" collapsed="false">
      <c r="E19" s="34" t="str">
        <f aca="false">MID(B19,9,1)</f>
        <v/>
      </c>
      <c r="F19" s="34" t="str">
        <f aca="false">MID(B19,10,1)</f>
        <v/>
      </c>
      <c r="G19" s="34" t="str">
        <f aca="false">MID(B19,11,1)</f>
        <v/>
      </c>
      <c r="H19" s="35" t="str">
        <f aca="false">IF(G19=".",F19,CONCATENATE(F19,G19))</f>
        <v/>
      </c>
      <c r="I19" s="34" t="n">
        <f aca="false">IFERROR(VALUE(H19),)</f>
        <v>0</v>
      </c>
      <c r="J19" s="34" t="e">
        <f aca="false">RIGHT(B19,LEN(B19)-FIND("/",B19, FIND("Single Cells",B19, 1)))</f>
        <v>#VALUE!</v>
      </c>
    </row>
    <row r="20" customFormat="false" ht="12.75" hidden="false" customHeight="true" outlineLevel="0" collapsed="false">
      <c r="E20" s="34" t="str">
        <f aca="false">MID(B20,9,1)</f>
        <v/>
      </c>
      <c r="F20" s="34" t="str">
        <f aca="false">MID(B20,10,1)</f>
        <v/>
      </c>
      <c r="G20" s="34" t="str">
        <f aca="false">MID(B20,11,1)</f>
        <v/>
      </c>
      <c r="H20" s="35" t="str">
        <f aca="false">IF(G20=".",F20,CONCATENATE(F20,G20))</f>
        <v/>
      </c>
      <c r="I20" s="34" t="n">
        <f aca="false">IFERROR(VALUE(H20),)</f>
        <v>0</v>
      </c>
      <c r="J20" s="34" t="e">
        <f aca="false">RIGHT(B20,LEN(B20)-FIND("/",B20, FIND("Single Cells",B20, 1)))</f>
        <v>#VALUE!</v>
      </c>
    </row>
    <row r="21" customFormat="false" ht="12.75" hidden="false" customHeight="true" outlineLevel="0" collapsed="false">
      <c r="E21" s="34" t="str">
        <f aca="false">MID(B21,9,1)</f>
        <v/>
      </c>
      <c r="F21" s="34" t="str">
        <f aca="false">MID(B21,10,1)</f>
        <v/>
      </c>
      <c r="G21" s="34" t="str">
        <f aca="false">MID(B21,11,1)</f>
        <v/>
      </c>
      <c r="H21" s="35" t="str">
        <f aca="false">IF(G21=".",F21,CONCATENATE(F21,G21))</f>
        <v/>
      </c>
      <c r="I21" s="34" t="n">
        <f aca="false">IFERROR(VALUE(H21),)</f>
        <v>0</v>
      </c>
      <c r="J21" s="34" t="e">
        <f aca="false">RIGHT(B21,LEN(B21)-FIND("/",B21, FIND("Single Cells",B21, 1)))</f>
        <v>#VALUE!</v>
      </c>
    </row>
    <row r="22" customFormat="false" ht="12.75" hidden="false" customHeight="true" outlineLevel="0" collapsed="false">
      <c r="E22" s="34" t="str">
        <f aca="false">MID(B22,9,1)</f>
        <v/>
      </c>
      <c r="F22" s="34" t="str">
        <f aca="false">MID(B22,10,1)</f>
        <v/>
      </c>
      <c r="G22" s="34" t="str">
        <f aca="false">MID(B22,11,1)</f>
        <v/>
      </c>
      <c r="H22" s="35" t="str">
        <f aca="false">IF(G22=".",F22,CONCATENATE(F22,G22))</f>
        <v/>
      </c>
      <c r="I22" s="34" t="n">
        <f aca="false">IFERROR(VALUE(H22),)</f>
        <v>0</v>
      </c>
      <c r="J22" s="34" t="e">
        <f aca="false">RIGHT(B22,LEN(B22)-FIND("/",B22, FIND("Single Cells",B22, 1)))</f>
        <v>#VALUE!</v>
      </c>
    </row>
    <row r="23" customFormat="false" ht="12.75" hidden="false" customHeight="true" outlineLevel="0" collapsed="false">
      <c r="E23" s="34" t="str">
        <f aca="false">MID(B23,9,1)</f>
        <v/>
      </c>
      <c r="F23" s="34" t="str">
        <f aca="false">MID(B23,10,1)</f>
        <v/>
      </c>
      <c r="G23" s="34" t="str">
        <f aca="false">MID(B23,11,1)</f>
        <v/>
      </c>
      <c r="H23" s="35" t="str">
        <f aca="false">IF(G23=".",F23,CONCATENATE(F23,G23))</f>
        <v/>
      </c>
      <c r="I23" s="34" t="n">
        <f aca="false">IFERROR(VALUE(H23),)</f>
        <v>0</v>
      </c>
      <c r="J23" s="34" t="e">
        <f aca="false">RIGHT(B23,LEN(B23)-FIND("/",B23, FIND("Single Cells",B23, 1)))</f>
        <v>#VALUE!</v>
      </c>
    </row>
    <row r="24" customFormat="false" ht="12.75" hidden="false" customHeight="true" outlineLevel="0" collapsed="false">
      <c r="E24" s="34" t="str">
        <f aca="false">MID(B24,9,1)</f>
        <v/>
      </c>
      <c r="F24" s="34" t="str">
        <f aca="false">MID(B24,10,1)</f>
        <v/>
      </c>
      <c r="G24" s="34" t="str">
        <f aca="false">MID(B24,11,1)</f>
        <v/>
      </c>
      <c r="H24" s="35" t="str">
        <f aca="false">IF(G24=".",F24,CONCATENATE(F24,G24))</f>
        <v/>
      </c>
      <c r="I24" s="34" t="n">
        <f aca="false">IFERROR(VALUE(H24),)</f>
        <v>0</v>
      </c>
      <c r="J24" s="34" t="e">
        <f aca="false">RIGHT(B24,LEN(B24)-FIND("/",B24, FIND("Single Cells",B24, 1)))</f>
        <v>#VALUE!</v>
      </c>
    </row>
    <row r="25" customFormat="false" ht="12.75" hidden="false" customHeight="true" outlineLevel="0" collapsed="false">
      <c r="E25" s="34" t="str">
        <f aca="false">MID(B25,9,1)</f>
        <v/>
      </c>
      <c r="F25" s="34" t="str">
        <f aca="false">MID(B25,10,1)</f>
        <v/>
      </c>
      <c r="G25" s="34" t="str">
        <f aca="false">MID(B25,11,1)</f>
        <v/>
      </c>
      <c r="H25" s="35" t="str">
        <f aca="false">IF(G25=".",F25,CONCATENATE(F25,G25))</f>
        <v/>
      </c>
      <c r="I25" s="34" t="n">
        <f aca="false">IFERROR(VALUE(H25),)</f>
        <v>0</v>
      </c>
      <c r="J25" s="34" t="e">
        <f aca="false">RIGHT(B25,LEN(B25)-FIND("/",B25, FIND("Single Cells",B25, 1)))</f>
        <v>#VALUE!</v>
      </c>
    </row>
    <row r="26" customFormat="false" ht="12.75" hidden="false" customHeight="true" outlineLevel="0" collapsed="false">
      <c r="E26" s="34" t="str">
        <f aca="false">MID(B26,9,1)</f>
        <v/>
      </c>
      <c r="F26" s="34" t="str">
        <f aca="false">MID(B26,10,1)</f>
        <v/>
      </c>
      <c r="G26" s="34" t="str">
        <f aca="false">MID(B26,11,1)</f>
        <v/>
      </c>
      <c r="H26" s="35" t="str">
        <f aca="false">IF(G26=".",F26,CONCATENATE(F26,G26))</f>
        <v/>
      </c>
      <c r="I26" s="34" t="n">
        <f aca="false">IFERROR(VALUE(H26),)</f>
        <v>0</v>
      </c>
      <c r="J26" s="34" t="e">
        <f aca="false">RIGHT(B26,LEN(B26)-FIND("/",B26, FIND("Single Cells",B26, 1)))</f>
        <v>#VALUE!</v>
      </c>
    </row>
    <row r="27" customFormat="false" ht="12.75" hidden="false" customHeight="true" outlineLevel="0" collapsed="false">
      <c r="E27" s="34" t="str">
        <f aca="false">MID(B27,9,1)</f>
        <v/>
      </c>
      <c r="F27" s="34" t="str">
        <f aca="false">MID(B27,10,1)</f>
        <v/>
      </c>
      <c r="G27" s="34" t="str">
        <f aca="false">MID(B27,11,1)</f>
        <v/>
      </c>
      <c r="H27" s="35" t="str">
        <f aca="false">IF(G27=".",F27,CONCATENATE(F27,G27))</f>
        <v/>
      </c>
      <c r="I27" s="34" t="n">
        <f aca="false">IFERROR(VALUE(H27),)</f>
        <v>0</v>
      </c>
      <c r="J27" s="34" t="e">
        <f aca="false">RIGHT(B27,LEN(B27)-FIND("/",B27, FIND("Single Cells",B27, 1)))</f>
        <v>#VALUE!</v>
      </c>
    </row>
    <row r="28" customFormat="false" ht="12.75" hidden="false" customHeight="true" outlineLevel="0" collapsed="false">
      <c r="E28" s="34" t="str">
        <f aca="false">MID(B28,9,1)</f>
        <v/>
      </c>
      <c r="F28" s="34" t="str">
        <f aca="false">MID(B28,10,1)</f>
        <v/>
      </c>
      <c r="G28" s="34" t="str">
        <f aca="false">MID(B28,11,1)</f>
        <v/>
      </c>
      <c r="H28" s="35" t="str">
        <f aca="false">IF(G28=".",F28,CONCATENATE(F28,G28))</f>
        <v/>
      </c>
      <c r="I28" s="34" t="n">
        <f aca="false">IFERROR(VALUE(H28),)</f>
        <v>0</v>
      </c>
      <c r="J28" s="34" t="e">
        <f aca="false">RIGHT(B28,LEN(B28)-FIND("/",B28, FIND("Single Cells",B28, 1)))</f>
        <v>#VALUE!</v>
      </c>
    </row>
    <row r="29" customFormat="false" ht="12.75" hidden="false" customHeight="true" outlineLevel="0" collapsed="false">
      <c r="E29" s="34" t="str">
        <f aca="false">MID(B29,9,1)</f>
        <v/>
      </c>
      <c r="F29" s="34" t="str">
        <f aca="false">MID(B29,10,1)</f>
        <v/>
      </c>
      <c r="G29" s="34" t="str">
        <f aca="false">MID(B29,11,1)</f>
        <v/>
      </c>
      <c r="H29" s="35" t="str">
        <f aca="false">IF(G29=".",F29,CONCATENATE(F29,G29))</f>
        <v/>
      </c>
      <c r="I29" s="34" t="n">
        <f aca="false">IFERROR(VALUE(H29),)</f>
        <v>0</v>
      </c>
      <c r="J29" s="34" t="e">
        <f aca="false">RIGHT(B29,LEN(B29)-FIND("/",B29, FIND("Single Cells",B29, 1)))</f>
        <v>#VALUE!</v>
      </c>
    </row>
    <row r="30" customFormat="false" ht="12.75" hidden="false" customHeight="true" outlineLevel="0" collapsed="false">
      <c r="E30" s="34" t="str">
        <f aca="false">MID(B30,9,1)</f>
        <v/>
      </c>
      <c r="F30" s="34" t="str">
        <f aca="false">MID(B30,10,1)</f>
        <v/>
      </c>
      <c r="G30" s="34" t="str">
        <f aca="false">MID(B30,11,1)</f>
        <v/>
      </c>
      <c r="H30" s="35" t="str">
        <f aca="false">IF(G30=".",F30,CONCATENATE(F30,G30))</f>
        <v/>
      </c>
      <c r="I30" s="34" t="n">
        <f aca="false">IFERROR(VALUE(H30),)</f>
        <v>0</v>
      </c>
      <c r="J30" s="34" t="e">
        <f aca="false">RIGHT(B30,LEN(B30)-FIND("/",B30, FIND("Single Cells",B30, 1)))</f>
        <v>#VALUE!</v>
      </c>
    </row>
    <row r="31" customFormat="false" ht="12.75" hidden="false" customHeight="true" outlineLevel="0" collapsed="false">
      <c r="E31" s="34" t="str">
        <f aca="false">MID(B31,9,1)</f>
        <v/>
      </c>
      <c r="F31" s="34" t="str">
        <f aca="false">MID(B31,10,1)</f>
        <v/>
      </c>
      <c r="G31" s="34" t="str">
        <f aca="false">MID(B31,11,1)</f>
        <v/>
      </c>
      <c r="H31" s="35" t="str">
        <f aca="false">IF(G31=".",F31,CONCATENATE(F31,G31))</f>
        <v/>
      </c>
      <c r="I31" s="34" t="n">
        <f aca="false">IFERROR(VALUE(H31),)</f>
        <v>0</v>
      </c>
      <c r="J31" s="34" t="e">
        <f aca="false">RIGHT(B31,LEN(B31)-FIND("/",B31, FIND("Single Cells",B31, 1)))</f>
        <v>#VALUE!</v>
      </c>
    </row>
    <row r="32" customFormat="false" ht="12.75" hidden="false" customHeight="true" outlineLevel="0" collapsed="false">
      <c r="E32" s="34" t="str">
        <f aca="false">MID(B32,9,1)</f>
        <v/>
      </c>
      <c r="F32" s="34" t="str">
        <f aca="false">MID(B32,10,1)</f>
        <v/>
      </c>
      <c r="G32" s="34" t="str">
        <f aca="false">MID(B32,11,1)</f>
        <v/>
      </c>
      <c r="H32" s="35" t="str">
        <f aca="false">IF(G32=".",F32,CONCATENATE(F32,G32))</f>
        <v/>
      </c>
      <c r="I32" s="34" t="n">
        <f aca="false">IFERROR(VALUE(H32),)</f>
        <v>0</v>
      </c>
      <c r="J32" s="34" t="e">
        <f aca="false">RIGHT(B32,LEN(B32)-FIND("/",B32, FIND("Single Cells",B32, 1)))</f>
        <v>#VALUE!</v>
      </c>
    </row>
    <row r="33" customFormat="false" ht="12.75" hidden="false" customHeight="true" outlineLevel="0" collapsed="false">
      <c r="E33" s="34" t="str">
        <f aca="false">MID(B33,9,1)</f>
        <v/>
      </c>
      <c r="F33" s="34" t="str">
        <f aca="false">MID(B33,10,1)</f>
        <v/>
      </c>
      <c r="G33" s="34" t="str">
        <f aca="false">MID(B33,11,1)</f>
        <v/>
      </c>
      <c r="H33" s="35" t="str">
        <f aca="false">IF(G33=".",F33,CONCATENATE(F33,G33))</f>
        <v/>
      </c>
      <c r="I33" s="34" t="n">
        <f aca="false">IFERROR(VALUE(H33),)</f>
        <v>0</v>
      </c>
      <c r="J33" s="34" t="e">
        <f aca="false">RIGHT(B33,LEN(B33)-FIND("/",B33, FIND("Single Cells",B33, 1)))</f>
        <v>#VALUE!</v>
      </c>
    </row>
    <row r="34" customFormat="false" ht="12.75" hidden="false" customHeight="true" outlineLevel="0" collapsed="false">
      <c r="E34" s="34" t="str">
        <f aca="false">MID(B34,9,1)</f>
        <v/>
      </c>
      <c r="F34" s="34" t="str">
        <f aca="false">MID(B34,10,1)</f>
        <v/>
      </c>
      <c r="G34" s="34" t="str">
        <f aca="false">MID(B34,11,1)</f>
        <v/>
      </c>
      <c r="H34" s="35" t="str">
        <f aca="false">IF(G34=".",F34,CONCATENATE(F34,G34))</f>
        <v/>
      </c>
      <c r="I34" s="34" t="n">
        <f aca="false">IFERROR(VALUE(H34),)</f>
        <v>0</v>
      </c>
      <c r="J34" s="34" t="e">
        <f aca="false">RIGHT(B34,LEN(B34)-FIND("/",B34, FIND("Single Cells",B34, 1)))</f>
        <v>#VALUE!</v>
      </c>
    </row>
    <row r="35" customFormat="false" ht="12.75" hidden="false" customHeight="true" outlineLevel="0" collapsed="false">
      <c r="E35" s="34" t="str">
        <f aca="false">MID(B35,9,1)</f>
        <v/>
      </c>
      <c r="F35" s="34" t="str">
        <f aca="false">MID(B35,10,1)</f>
        <v/>
      </c>
      <c r="G35" s="34" t="str">
        <f aca="false">MID(B35,11,1)</f>
        <v/>
      </c>
      <c r="H35" s="35" t="str">
        <f aca="false">IF(G35=".",F35,CONCATENATE(F35,G35))</f>
        <v/>
      </c>
      <c r="I35" s="34" t="n">
        <f aca="false">IFERROR(VALUE(H35),)</f>
        <v>0</v>
      </c>
      <c r="J35" s="34" t="e">
        <f aca="false">RIGHT(B35,LEN(B35)-FIND("/",B35, FIND("Single Cells",B35, 1)))</f>
        <v>#VALUE!</v>
      </c>
    </row>
    <row r="36" customFormat="false" ht="12.75" hidden="false" customHeight="true" outlineLevel="0" collapsed="false">
      <c r="E36" s="34" t="str">
        <f aca="false">MID(B36,9,1)</f>
        <v/>
      </c>
      <c r="F36" s="34" t="str">
        <f aca="false">MID(B36,10,1)</f>
        <v/>
      </c>
      <c r="G36" s="34" t="str">
        <f aca="false">MID(B36,11,1)</f>
        <v/>
      </c>
      <c r="H36" s="35" t="str">
        <f aca="false">IF(G36=".",F36,CONCATENATE(F36,G36))</f>
        <v/>
      </c>
      <c r="I36" s="34" t="n">
        <f aca="false">IFERROR(VALUE(H36),)</f>
        <v>0</v>
      </c>
      <c r="J36" s="34" t="e">
        <f aca="false">RIGHT(B36,LEN(B36)-FIND("/",B36, FIND("Single Cells",B36, 1)))</f>
        <v>#VALUE!</v>
      </c>
    </row>
    <row r="37" customFormat="false" ht="12.75" hidden="false" customHeight="true" outlineLevel="0" collapsed="false">
      <c r="E37" s="34" t="str">
        <f aca="false">MID(B37,9,1)</f>
        <v/>
      </c>
      <c r="F37" s="34" t="str">
        <f aca="false">MID(B37,10,1)</f>
        <v/>
      </c>
      <c r="G37" s="34" t="str">
        <f aca="false">MID(B37,11,1)</f>
        <v/>
      </c>
      <c r="H37" s="35" t="str">
        <f aca="false">IF(G37=".",F37,CONCATENATE(F37,G37))</f>
        <v/>
      </c>
      <c r="I37" s="34" t="n">
        <f aca="false">IFERROR(VALUE(H37),)</f>
        <v>0</v>
      </c>
      <c r="J37" s="34" t="e">
        <f aca="false">RIGHT(B37,LEN(B37)-FIND("/",B37, FIND("Single Cells",B37, 1)))</f>
        <v>#VALUE!</v>
      </c>
    </row>
    <row r="38" customFormat="false" ht="12.75" hidden="false" customHeight="true" outlineLevel="0" collapsed="false">
      <c r="E38" s="34" t="str">
        <f aca="false">MID(B38,9,1)</f>
        <v/>
      </c>
      <c r="F38" s="34" t="str">
        <f aca="false">MID(B38,10,1)</f>
        <v/>
      </c>
      <c r="G38" s="34" t="str">
        <f aca="false">MID(B38,11,1)</f>
        <v/>
      </c>
      <c r="H38" s="35" t="str">
        <f aca="false">IF(G38=".",F38,CONCATENATE(F38,G38))</f>
        <v/>
      </c>
      <c r="I38" s="34" t="n">
        <f aca="false">IFERROR(VALUE(H38),)</f>
        <v>0</v>
      </c>
      <c r="J38" s="34" t="e">
        <f aca="false">RIGHT(B38,LEN(B38)-FIND("/",B38, FIND("Single Cells",B38, 1)))</f>
        <v>#VALUE!</v>
      </c>
    </row>
    <row r="39" customFormat="false" ht="12.75" hidden="false" customHeight="true" outlineLevel="0" collapsed="false">
      <c r="E39" s="34" t="str">
        <f aca="false">MID(B39,9,1)</f>
        <v/>
      </c>
      <c r="F39" s="34" t="str">
        <f aca="false">MID(B39,10,1)</f>
        <v/>
      </c>
      <c r="G39" s="34" t="str">
        <f aca="false">MID(B39,11,1)</f>
        <v/>
      </c>
      <c r="H39" s="35" t="str">
        <f aca="false">IF(G39=".",F39,CONCATENATE(F39,G39))</f>
        <v/>
      </c>
      <c r="I39" s="34" t="n">
        <f aca="false">IFERROR(VALUE(H39),)</f>
        <v>0</v>
      </c>
      <c r="J39" s="34" t="e">
        <f aca="false">RIGHT(B39,LEN(B39)-FIND("/",B39, FIND("Single Cells",B39, 1)))</f>
        <v>#VALUE!</v>
      </c>
    </row>
    <row r="40" customFormat="false" ht="12.75" hidden="false" customHeight="true" outlineLevel="0" collapsed="false">
      <c r="E40" s="34" t="str">
        <f aca="false">MID(B40,9,1)</f>
        <v/>
      </c>
      <c r="F40" s="34" t="str">
        <f aca="false">MID(B40,10,1)</f>
        <v/>
      </c>
      <c r="G40" s="34" t="str">
        <f aca="false">MID(B40,11,1)</f>
        <v/>
      </c>
      <c r="H40" s="35" t="str">
        <f aca="false">IF(G40=".",F40,CONCATENATE(F40,G40))</f>
        <v/>
      </c>
      <c r="I40" s="34" t="n">
        <f aca="false">IFERROR(VALUE(H40),)</f>
        <v>0</v>
      </c>
      <c r="J40" s="34" t="e">
        <f aca="false">RIGHT(B40,LEN(B40)-FIND("/",B40, FIND("Single Cells",B40, 1)))</f>
        <v>#VALUE!</v>
      </c>
    </row>
    <row r="41" customFormat="false" ht="12.75" hidden="false" customHeight="true" outlineLevel="0" collapsed="false">
      <c r="E41" s="34" t="str">
        <f aca="false">MID(B41,9,1)</f>
        <v/>
      </c>
      <c r="F41" s="34" t="str">
        <f aca="false">MID(B41,10,1)</f>
        <v/>
      </c>
      <c r="G41" s="34" t="str">
        <f aca="false">MID(B41,11,1)</f>
        <v/>
      </c>
      <c r="H41" s="35" t="str">
        <f aca="false">IF(G41=".",F41,CONCATENATE(F41,G41))</f>
        <v/>
      </c>
      <c r="I41" s="34" t="n">
        <f aca="false">IFERROR(VALUE(H41),)</f>
        <v>0</v>
      </c>
      <c r="J41" s="34" t="e">
        <f aca="false">RIGHT(B41,LEN(B41)-FIND("/",B41, FIND("Single Cells",B41, 1)))</f>
        <v>#VALUE!</v>
      </c>
    </row>
    <row r="42" customFormat="false" ht="12.75" hidden="false" customHeight="true" outlineLevel="0" collapsed="false">
      <c r="E42" s="34" t="str">
        <f aca="false">MID(B42,9,1)</f>
        <v/>
      </c>
      <c r="F42" s="34" t="str">
        <f aca="false">MID(B42,10,1)</f>
        <v/>
      </c>
      <c r="G42" s="34" t="str">
        <f aca="false">MID(B42,11,1)</f>
        <v/>
      </c>
      <c r="H42" s="35" t="str">
        <f aca="false">IF(G42=".",F42,CONCATENATE(F42,G42))</f>
        <v/>
      </c>
      <c r="I42" s="34" t="n">
        <f aca="false">IFERROR(VALUE(H42),)</f>
        <v>0</v>
      </c>
      <c r="J42" s="34" t="e">
        <f aca="false">RIGHT(B42,LEN(B42)-FIND("/",B42, FIND("Single Cells",B42, 1)))</f>
        <v>#VALUE!</v>
      </c>
    </row>
    <row r="43" customFormat="false" ht="12.75" hidden="false" customHeight="true" outlineLevel="0" collapsed="false">
      <c r="E43" s="34" t="str">
        <f aca="false">MID(B43,9,1)</f>
        <v/>
      </c>
      <c r="F43" s="34" t="str">
        <f aca="false">MID(B43,10,1)</f>
        <v/>
      </c>
      <c r="G43" s="34" t="str">
        <f aca="false">MID(B43,11,1)</f>
        <v/>
      </c>
      <c r="H43" s="35" t="str">
        <f aca="false">IF(G43=".",F43,CONCATENATE(F43,G43))</f>
        <v/>
      </c>
      <c r="I43" s="34" t="n">
        <f aca="false">IFERROR(VALUE(H43),)</f>
        <v>0</v>
      </c>
      <c r="J43" s="34" t="e">
        <f aca="false">RIGHT(B43,LEN(B43)-FIND("/",B43, FIND("Single Cells",B43, 1)))</f>
        <v>#VALUE!</v>
      </c>
    </row>
    <row r="44" customFormat="false" ht="12.75" hidden="false" customHeight="true" outlineLevel="0" collapsed="false">
      <c r="E44" s="34" t="str">
        <f aca="false">MID(B44,9,1)</f>
        <v/>
      </c>
      <c r="F44" s="34" t="str">
        <f aca="false">MID(B44,10,1)</f>
        <v/>
      </c>
      <c r="G44" s="34" t="str">
        <f aca="false">MID(B44,11,1)</f>
        <v/>
      </c>
      <c r="H44" s="35" t="str">
        <f aca="false">IF(G44=".",F44,CONCATENATE(F44,G44))</f>
        <v/>
      </c>
      <c r="I44" s="34" t="n">
        <f aca="false">IFERROR(VALUE(H44),)</f>
        <v>0</v>
      </c>
      <c r="J44" s="34" t="e">
        <f aca="false">RIGHT(B44,LEN(B44)-FIND("/",B44, FIND("Single Cells",B44, 1)))</f>
        <v>#VALUE!</v>
      </c>
    </row>
    <row r="45" customFormat="false" ht="12.75" hidden="false" customHeight="true" outlineLevel="0" collapsed="false">
      <c r="E45" s="34" t="str">
        <f aca="false">MID(B45,9,1)</f>
        <v/>
      </c>
      <c r="F45" s="34" t="str">
        <f aca="false">MID(B45,10,1)</f>
        <v/>
      </c>
      <c r="G45" s="34" t="str">
        <f aca="false">MID(B45,11,1)</f>
        <v/>
      </c>
      <c r="H45" s="35" t="str">
        <f aca="false">IF(G45=".",F45,CONCATENATE(F45,G45))</f>
        <v/>
      </c>
      <c r="I45" s="34" t="n">
        <f aca="false">IFERROR(VALUE(H45),)</f>
        <v>0</v>
      </c>
      <c r="J45" s="34" t="e">
        <f aca="false">RIGHT(B45,LEN(B45)-FIND("/",B45, FIND("Single Cells",B45, 1)))</f>
        <v>#VALUE!</v>
      </c>
    </row>
    <row r="46" customFormat="false" ht="12.75" hidden="false" customHeight="true" outlineLevel="0" collapsed="false">
      <c r="E46" s="34" t="str">
        <f aca="false">MID(B46,9,1)</f>
        <v/>
      </c>
      <c r="F46" s="34" t="str">
        <f aca="false">MID(B46,10,1)</f>
        <v/>
      </c>
      <c r="G46" s="34" t="str">
        <f aca="false">MID(B46,11,1)</f>
        <v/>
      </c>
      <c r="H46" s="35" t="str">
        <f aca="false">IF(G46=".",F46,CONCATENATE(F46,G46))</f>
        <v/>
      </c>
      <c r="I46" s="34" t="n">
        <f aca="false">IFERROR(VALUE(H46),)</f>
        <v>0</v>
      </c>
      <c r="J46" s="34" t="e">
        <f aca="false">RIGHT(B46,LEN(B46)-FIND("/",B46, FIND("Single Cells",B46, 1)))</f>
        <v>#VALUE!</v>
      </c>
    </row>
    <row r="47" customFormat="false" ht="12.75" hidden="false" customHeight="true" outlineLevel="0" collapsed="false">
      <c r="E47" s="34" t="str">
        <f aca="false">MID(B47,9,1)</f>
        <v/>
      </c>
      <c r="F47" s="34" t="str">
        <f aca="false">MID(B47,10,1)</f>
        <v/>
      </c>
      <c r="G47" s="34" t="str">
        <f aca="false">MID(B47,11,1)</f>
        <v/>
      </c>
      <c r="H47" s="35" t="str">
        <f aca="false">IF(G47=".",F47,CONCATENATE(F47,G47))</f>
        <v/>
      </c>
      <c r="I47" s="34" t="n">
        <f aca="false">IFERROR(VALUE(H47),)</f>
        <v>0</v>
      </c>
      <c r="J47" s="34" t="e">
        <f aca="false">RIGHT(B47,LEN(B47)-FIND("/",B47, FIND("Single Cells",B47, 1)))</f>
        <v>#VALUE!</v>
      </c>
    </row>
    <row r="48" customFormat="false" ht="12.75" hidden="false" customHeight="true" outlineLevel="0" collapsed="false">
      <c r="E48" s="34" t="str">
        <f aca="false">MID(B48,9,1)</f>
        <v/>
      </c>
      <c r="F48" s="34" t="str">
        <f aca="false">MID(B48,10,1)</f>
        <v/>
      </c>
      <c r="G48" s="34" t="str">
        <f aca="false">MID(B48,11,1)</f>
        <v/>
      </c>
      <c r="H48" s="35" t="str">
        <f aca="false">IF(G48=".",F48,CONCATENATE(F48,G48))</f>
        <v/>
      </c>
      <c r="I48" s="34" t="n">
        <f aca="false">IFERROR(VALUE(H48),)</f>
        <v>0</v>
      </c>
      <c r="J48" s="34" t="e">
        <f aca="false">RIGHT(B48,LEN(B48)-FIND("/",B48, FIND("Single Cells",B48, 1)))</f>
        <v>#VALUE!</v>
      </c>
    </row>
    <row r="49" customFormat="false" ht="12.75" hidden="false" customHeight="true" outlineLevel="0" collapsed="false">
      <c r="E49" s="34" t="str">
        <f aca="false">MID(B49,9,1)</f>
        <v/>
      </c>
      <c r="F49" s="34" t="str">
        <f aca="false">MID(B49,10,1)</f>
        <v/>
      </c>
      <c r="G49" s="34" t="str">
        <f aca="false">MID(B49,11,1)</f>
        <v/>
      </c>
      <c r="H49" s="35" t="str">
        <f aca="false">IF(G49=".",F49,CONCATENATE(F49,G49))</f>
        <v/>
      </c>
      <c r="I49" s="34" t="n">
        <f aca="false">IFERROR(VALUE(H49),)</f>
        <v>0</v>
      </c>
      <c r="J49" s="34" t="e">
        <f aca="false">RIGHT(B49,LEN(B49)-FIND("/",B49, FIND("Single Cells",B49, 1)))</f>
        <v>#VALUE!</v>
      </c>
    </row>
    <row r="50" customFormat="false" ht="12.75" hidden="false" customHeight="true" outlineLevel="0" collapsed="false">
      <c r="E50" s="34" t="str">
        <f aca="false">MID(B50,9,1)</f>
        <v/>
      </c>
      <c r="F50" s="34" t="str">
        <f aca="false">MID(B50,10,1)</f>
        <v/>
      </c>
      <c r="G50" s="34" t="str">
        <f aca="false">MID(B50,11,1)</f>
        <v/>
      </c>
      <c r="H50" s="35" t="str">
        <f aca="false">IF(G50=".",F50,CONCATENATE(F50,G50))</f>
        <v/>
      </c>
      <c r="I50" s="34" t="n">
        <f aca="false">IFERROR(VALUE(H50),)</f>
        <v>0</v>
      </c>
      <c r="J50" s="34" t="e">
        <f aca="false">RIGHT(B50,LEN(B50)-FIND("/",B50, FIND("Single Cells",B50, 1)))</f>
        <v>#VALUE!</v>
      </c>
    </row>
    <row r="51" customFormat="false" ht="12.75" hidden="false" customHeight="true" outlineLevel="0" collapsed="false">
      <c r="E51" s="34" t="str">
        <f aca="false">MID(B51,9,1)</f>
        <v/>
      </c>
      <c r="F51" s="34" t="str">
        <f aca="false">MID(B51,10,1)</f>
        <v/>
      </c>
      <c r="G51" s="34" t="str">
        <f aca="false">MID(B51,11,1)</f>
        <v/>
      </c>
      <c r="H51" s="35" t="str">
        <f aca="false">IF(G51=".",F51,CONCATENATE(F51,G51))</f>
        <v/>
      </c>
      <c r="I51" s="34" t="n">
        <f aca="false">IFERROR(VALUE(H51),)</f>
        <v>0</v>
      </c>
      <c r="J51" s="34" t="e">
        <f aca="false">RIGHT(B51,LEN(B51)-FIND("/",B51, FIND("Single Cells",B51, 1)))</f>
        <v>#VALUE!</v>
      </c>
    </row>
    <row r="52" customFormat="false" ht="12.75" hidden="false" customHeight="true" outlineLevel="0" collapsed="false">
      <c r="E52" s="34" t="str">
        <f aca="false">MID(B52,9,1)</f>
        <v/>
      </c>
      <c r="F52" s="34" t="str">
        <f aca="false">MID(B52,10,1)</f>
        <v/>
      </c>
      <c r="G52" s="34" t="str">
        <f aca="false">MID(B52,11,1)</f>
        <v/>
      </c>
      <c r="H52" s="35" t="str">
        <f aca="false">IF(G52=".",F52,CONCATENATE(F52,G52))</f>
        <v/>
      </c>
      <c r="I52" s="34" t="n">
        <f aca="false">IFERROR(VALUE(H52),)</f>
        <v>0</v>
      </c>
      <c r="J52" s="34" t="e">
        <f aca="false">RIGHT(B52,LEN(B52)-FIND("/",B52, FIND("Single Cells",B52, 1)))</f>
        <v>#VALUE!</v>
      </c>
    </row>
    <row r="53" customFormat="false" ht="12.75" hidden="false" customHeight="true" outlineLevel="0" collapsed="false">
      <c r="E53" s="34" t="str">
        <f aca="false">MID(B53,9,1)</f>
        <v/>
      </c>
      <c r="F53" s="34" t="str">
        <f aca="false">MID(B53,10,1)</f>
        <v/>
      </c>
      <c r="G53" s="34" t="str">
        <f aca="false">MID(B53,11,1)</f>
        <v/>
      </c>
      <c r="H53" s="35" t="str">
        <f aca="false">IF(G53=".",F53,CONCATENATE(F53,G53))</f>
        <v/>
      </c>
      <c r="I53" s="34" t="n">
        <f aca="false">IFERROR(VALUE(H53),)</f>
        <v>0</v>
      </c>
      <c r="J53" s="34" t="e">
        <f aca="false">RIGHT(B53,LEN(B53)-FIND("/",B53, FIND("Single Cells",B53, 1)))</f>
        <v>#VALUE!</v>
      </c>
    </row>
    <row r="54" customFormat="false" ht="12.75" hidden="false" customHeight="true" outlineLevel="0" collapsed="false">
      <c r="E54" s="34" t="str">
        <f aca="false">MID(B54,9,1)</f>
        <v/>
      </c>
      <c r="F54" s="34" t="str">
        <f aca="false">MID(B54,10,1)</f>
        <v/>
      </c>
      <c r="G54" s="34" t="str">
        <f aca="false">MID(B54,11,1)</f>
        <v/>
      </c>
      <c r="H54" s="35" t="str">
        <f aca="false">IF(G54=".",F54,CONCATENATE(F54,G54))</f>
        <v/>
      </c>
      <c r="I54" s="34" t="n">
        <f aca="false">IFERROR(VALUE(H54),)</f>
        <v>0</v>
      </c>
      <c r="J54" s="34" t="e">
        <f aca="false">RIGHT(B54,LEN(B54)-FIND("/",B54, FIND("Single Cells",B54, 1)))</f>
        <v>#VALUE!</v>
      </c>
    </row>
    <row r="55" customFormat="false" ht="12.75" hidden="false" customHeight="true" outlineLevel="0" collapsed="false">
      <c r="E55" s="34" t="str">
        <f aca="false">MID(B55,9,1)</f>
        <v/>
      </c>
      <c r="F55" s="34" t="str">
        <f aca="false">MID(B55,10,1)</f>
        <v/>
      </c>
      <c r="G55" s="34" t="str">
        <f aca="false">MID(B55,11,1)</f>
        <v/>
      </c>
      <c r="H55" s="35" t="str">
        <f aca="false">IF(G55=".",F55,CONCATENATE(F55,G55))</f>
        <v/>
      </c>
      <c r="I55" s="34" t="n">
        <f aca="false">IFERROR(VALUE(H55),)</f>
        <v>0</v>
      </c>
      <c r="J55" s="34" t="e">
        <f aca="false">RIGHT(B55,LEN(B55)-FIND("/",B55, FIND("Single Cells",B55, 1)))</f>
        <v>#VALUE!</v>
      </c>
    </row>
    <row r="56" customFormat="false" ht="12.75" hidden="false" customHeight="true" outlineLevel="0" collapsed="false">
      <c r="E56" s="34" t="str">
        <f aca="false">MID(B56,9,1)</f>
        <v/>
      </c>
      <c r="F56" s="34" t="str">
        <f aca="false">MID(B56,10,1)</f>
        <v/>
      </c>
      <c r="G56" s="34" t="str">
        <f aca="false">MID(B56,11,1)</f>
        <v/>
      </c>
      <c r="H56" s="35" t="str">
        <f aca="false">IF(G56=".",F56,CONCATENATE(F56,G56))</f>
        <v/>
      </c>
      <c r="I56" s="34" t="n">
        <f aca="false">IFERROR(VALUE(H56),)</f>
        <v>0</v>
      </c>
      <c r="J56" s="34" t="e">
        <f aca="false">RIGHT(B56,LEN(B56)-FIND("/",B56, FIND("Single Cells",B56, 1)))</f>
        <v>#VALUE!</v>
      </c>
    </row>
    <row r="57" customFormat="false" ht="12.75" hidden="false" customHeight="true" outlineLevel="0" collapsed="false">
      <c r="E57" s="34" t="str">
        <f aca="false">MID(B57,9,1)</f>
        <v/>
      </c>
      <c r="F57" s="34" t="str">
        <f aca="false">MID(B57,10,1)</f>
        <v/>
      </c>
      <c r="G57" s="34" t="str">
        <f aca="false">MID(B57,11,1)</f>
        <v/>
      </c>
      <c r="H57" s="35" t="str">
        <f aca="false">IF(G57=".",F57,CONCATENATE(F57,G57))</f>
        <v/>
      </c>
      <c r="I57" s="34" t="n">
        <f aca="false">IFERROR(VALUE(H57),)</f>
        <v>0</v>
      </c>
      <c r="J57" s="34" t="e">
        <f aca="false">RIGHT(B57,LEN(B57)-FIND("/",B57, FIND("Single Cells",B57, 1)))</f>
        <v>#VALUE!</v>
      </c>
    </row>
    <row r="58" customFormat="false" ht="12.75" hidden="false" customHeight="true" outlineLevel="0" collapsed="false">
      <c r="E58" s="34" t="str">
        <f aca="false">MID(B58,9,1)</f>
        <v/>
      </c>
      <c r="F58" s="34" t="str">
        <f aca="false">MID(B58,10,1)</f>
        <v/>
      </c>
      <c r="G58" s="34" t="str">
        <f aca="false">MID(B58,11,1)</f>
        <v/>
      </c>
      <c r="H58" s="35" t="str">
        <f aca="false">IF(G58=".",F58,CONCATENATE(F58,G58))</f>
        <v/>
      </c>
      <c r="I58" s="34" t="n">
        <f aca="false">IFERROR(VALUE(H58),)</f>
        <v>0</v>
      </c>
      <c r="J58" s="34" t="e">
        <f aca="false">RIGHT(B58,LEN(B58)-FIND("/",B58, FIND("Single Cells",B58, 1)))</f>
        <v>#VALUE!</v>
      </c>
    </row>
    <row r="59" customFormat="false" ht="12.75" hidden="false" customHeight="true" outlineLevel="0" collapsed="false">
      <c r="E59" s="34" t="str">
        <f aca="false">MID(B59,9,1)</f>
        <v/>
      </c>
      <c r="F59" s="34" t="str">
        <f aca="false">MID(B59,10,1)</f>
        <v/>
      </c>
      <c r="G59" s="34" t="str">
        <f aca="false">MID(B59,11,1)</f>
        <v/>
      </c>
      <c r="H59" s="35" t="str">
        <f aca="false">IF(G59=".",F59,CONCATENATE(F59,G59))</f>
        <v/>
      </c>
      <c r="I59" s="34" t="n">
        <f aca="false">IFERROR(VALUE(H59),)</f>
        <v>0</v>
      </c>
      <c r="J59" s="34" t="e">
        <f aca="false">RIGHT(B59,LEN(B59)-FIND("/",B59, FIND("Single Cells",B59, 1)))</f>
        <v>#VALUE!</v>
      </c>
    </row>
    <row r="60" customFormat="false" ht="12.75" hidden="false" customHeight="true" outlineLevel="0" collapsed="false">
      <c r="E60" s="34" t="str">
        <f aca="false">MID(B60,9,1)</f>
        <v/>
      </c>
      <c r="F60" s="34" t="str">
        <f aca="false">MID(B60,10,1)</f>
        <v/>
      </c>
      <c r="G60" s="34" t="str">
        <f aca="false">MID(B60,11,1)</f>
        <v/>
      </c>
      <c r="H60" s="35" t="str">
        <f aca="false">IF(G60=".",F60,CONCATENATE(F60,G60))</f>
        <v/>
      </c>
      <c r="I60" s="34" t="n">
        <f aca="false">IFERROR(VALUE(H60),)</f>
        <v>0</v>
      </c>
      <c r="J60" s="34" t="e">
        <f aca="false">RIGHT(B60,LEN(B60)-FIND("/",B60, FIND("Single Cells",B60, 1)))</f>
        <v>#VALUE!</v>
      </c>
    </row>
    <row r="61" customFormat="false" ht="12.75" hidden="false" customHeight="true" outlineLevel="0" collapsed="false">
      <c r="E61" s="34" t="str">
        <f aca="false">MID(B61,9,1)</f>
        <v/>
      </c>
      <c r="F61" s="34" t="str">
        <f aca="false">MID(B61,10,1)</f>
        <v/>
      </c>
      <c r="G61" s="34" t="str">
        <f aca="false">MID(B61,11,1)</f>
        <v/>
      </c>
      <c r="H61" s="35" t="str">
        <f aca="false">IF(G61=".",F61,CONCATENATE(F61,G61))</f>
        <v/>
      </c>
      <c r="I61" s="34" t="n">
        <f aca="false">IFERROR(VALUE(H61),)</f>
        <v>0</v>
      </c>
      <c r="J61" s="34" t="e">
        <f aca="false">RIGHT(B61,LEN(B61)-FIND("/",B61, FIND("Single Cells",B61, 1)))</f>
        <v>#VALUE!</v>
      </c>
    </row>
    <row r="62" customFormat="false" ht="12.75" hidden="false" customHeight="true" outlineLevel="0" collapsed="false">
      <c r="E62" s="34" t="str">
        <f aca="false">MID(B62,9,1)</f>
        <v/>
      </c>
      <c r="F62" s="34" t="str">
        <f aca="false">MID(B62,10,1)</f>
        <v/>
      </c>
      <c r="G62" s="34" t="str">
        <f aca="false">MID(B62,11,1)</f>
        <v/>
      </c>
      <c r="H62" s="35" t="str">
        <f aca="false">IF(G62=".",F62,CONCATENATE(F62,G62))</f>
        <v/>
      </c>
      <c r="I62" s="34" t="n">
        <f aca="false">IFERROR(VALUE(H62),)</f>
        <v>0</v>
      </c>
      <c r="J62" s="34" t="e">
        <f aca="false">RIGHT(B62,LEN(B62)-FIND("/",B62, FIND("Single Cells",B62, 1)))</f>
        <v>#VALUE!</v>
      </c>
    </row>
    <row r="63" customFormat="false" ht="12.75" hidden="false" customHeight="true" outlineLevel="0" collapsed="false">
      <c r="E63" s="34" t="str">
        <f aca="false">MID(B63,9,1)</f>
        <v/>
      </c>
      <c r="F63" s="34" t="str">
        <f aca="false">MID(B63,10,1)</f>
        <v/>
      </c>
      <c r="G63" s="34" t="str">
        <f aca="false">MID(B63,11,1)</f>
        <v/>
      </c>
      <c r="H63" s="35" t="str">
        <f aca="false">IF(G63=".",F63,CONCATENATE(F63,G63))</f>
        <v/>
      </c>
      <c r="I63" s="34" t="n">
        <f aca="false">IFERROR(VALUE(H63),)</f>
        <v>0</v>
      </c>
      <c r="J63" s="34" t="e">
        <f aca="false">RIGHT(B63,LEN(B63)-FIND("/",B63, FIND("Single Cells",B63, 1)))</f>
        <v>#VALUE!</v>
      </c>
    </row>
    <row r="64" customFormat="false" ht="12.75" hidden="false" customHeight="true" outlineLevel="0" collapsed="false">
      <c r="E64" s="34" t="str">
        <f aca="false">MID(B64,9,1)</f>
        <v/>
      </c>
      <c r="F64" s="34" t="str">
        <f aca="false">MID(B64,10,1)</f>
        <v/>
      </c>
      <c r="G64" s="34" t="str">
        <f aca="false">MID(B64,11,1)</f>
        <v/>
      </c>
      <c r="H64" s="35" t="str">
        <f aca="false">IF(G64=".",F64,CONCATENATE(F64,G64))</f>
        <v/>
      </c>
      <c r="I64" s="34" t="n">
        <f aca="false">IFERROR(VALUE(H64),)</f>
        <v>0</v>
      </c>
      <c r="J64" s="34" t="e">
        <f aca="false">RIGHT(B64,LEN(B64)-FIND("/",B64, FIND("Single Cells",B64, 1)))</f>
        <v>#VALUE!</v>
      </c>
    </row>
    <row r="65" customFormat="false" ht="12.75" hidden="false" customHeight="true" outlineLevel="0" collapsed="false">
      <c r="E65" s="34" t="str">
        <f aca="false">MID(B65,9,1)</f>
        <v/>
      </c>
      <c r="F65" s="34" t="str">
        <f aca="false">MID(B65,10,1)</f>
        <v/>
      </c>
      <c r="G65" s="34" t="str">
        <f aca="false">MID(B65,11,1)</f>
        <v/>
      </c>
      <c r="H65" s="35" t="str">
        <f aca="false">IF(G65=".",F65,CONCATENATE(F65,G65))</f>
        <v/>
      </c>
      <c r="I65" s="34" t="n">
        <f aca="false">IFERROR(VALUE(H65),)</f>
        <v>0</v>
      </c>
      <c r="J65" s="34" t="e">
        <f aca="false">RIGHT(B65,LEN(B65)-FIND("/",B65, FIND("Single Cells",B65, 1)))</f>
        <v>#VALUE!</v>
      </c>
    </row>
    <row r="66" customFormat="false" ht="12.75" hidden="false" customHeight="true" outlineLevel="0" collapsed="false">
      <c r="E66" s="34" t="str">
        <f aca="false">MID(B66,9,1)</f>
        <v/>
      </c>
      <c r="F66" s="34" t="str">
        <f aca="false">MID(B66,10,1)</f>
        <v/>
      </c>
      <c r="G66" s="34" t="str">
        <f aca="false">MID(B66,11,1)</f>
        <v/>
      </c>
      <c r="H66" s="35" t="str">
        <f aca="false">IF(G66=".",F66,CONCATENATE(F66,G66))</f>
        <v/>
      </c>
      <c r="I66" s="34" t="n">
        <f aca="false">IFERROR(VALUE(H66),)</f>
        <v>0</v>
      </c>
      <c r="J66" s="34" t="e">
        <f aca="false">RIGHT(B66,LEN(B66)-FIND("/",B66, FIND("Single Cells",B66, 1)))</f>
        <v>#VALUE!</v>
      </c>
    </row>
    <row r="67" customFormat="false" ht="12.75" hidden="false" customHeight="true" outlineLevel="0" collapsed="false">
      <c r="E67" s="34" t="str">
        <f aca="false">MID(B67,9,1)</f>
        <v/>
      </c>
      <c r="F67" s="34" t="str">
        <f aca="false">MID(B67,10,1)</f>
        <v/>
      </c>
      <c r="G67" s="34" t="str">
        <f aca="false">MID(B67,11,1)</f>
        <v/>
      </c>
      <c r="H67" s="35" t="str">
        <f aca="false">IF(G67=".",F67,CONCATENATE(F67,G67))</f>
        <v/>
      </c>
      <c r="I67" s="34" t="n">
        <f aca="false">IFERROR(VALUE(H67),)</f>
        <v>0</v>
      </c>
      <c r="J67" s="34" t="e">
        <f aca="false">RIGHT(B67,LEN(B67)-FIND("/",B67, FIND("Single Cells",B67, 1)))</f>
        <v>#VALUE!</v>
      </c>
    </row>
    <row r="68" customFormat="false" ht="12.75" hidden="false" customHeight="true" outlineLevel="0" collapsed="false">
      <c r="E68" s="34" t="str">
        <f aca="false">MID(B68,9,1)</f>
        <v/>
      </c>
      <c r="F68" s="34" t="str">
        <f aca="false">MID(B68,10,1)</f>
        <v/>
      </c>
      <c r="G68" s="34" t="str">
        <f aca="false">MID(B68,11,1)</f>
        <v/>
      </c>
      <c r="H68" s="35" t="str">
        <f aca="false">IF(G68=".",F68,CONCATENATE(F68,G68))</f>
        <v/>
      </c>
      <c r="I68" s="34" t="n">
        <f aca="false">IFERROR(VALUE(H68),)</f>
        <v>0</v>
      </c>
      <c r="J68" s="34" t="e">
        <f aca="false">RIGHT(B68,LEN(B68)-FIND("/",B68, FIND("Single Cells",B68, 1)))</f>
        <v>#VALUE!</v>
      </c>
    </row>
    <row r="69" customFormat="false" ht="12.75" hidden="false" customHeight="true" outlineLevel="0" collapsed="false">
      <c r="E69" s="34" t="str">
        <f aca="false">MID(B69,9,1)</f>
        <v/>
      </c>
      <c r="F69" s="34" t="str">
        <f aca="false">MID(B69,10,1)</f>
        <v/>
      </c>
      <c r="G69" s="34" t="str">
        <f aca="false">MID(B69,11,1)</f>
        <v/>
      </c>
      <c r="H69" s="35" t="str">
        <f aca="false">IF(G69=".",F69,CONCATENATE(F69,G69))</f>
        <v/>
      </c>
      <c r="I69" s="34" t="n">
        <f aca="false">IFERROR(VALUE(H69),)</f>
        <v>0</v>
      </c>
      <c r="J69" s="34" t="e">
        <f aca="false">RIGHT(B69,LEN(B69)-FIND("/",B69, FIND("Single Cells",B69, 1)))</f>
        <v>#VALUE!</v>
      </c>
    </row>
    <row r="70" customFormat="false" ht="12.75" hidden="false" customHeight="true" outlineLevel="0" collapsed="false">
      <c r="E70" s="34" t="str">
        <f aca="false">MID(B70,9,1)</f>
        <v/>
      </c>
      <c r="F70" s="34" t="str">
        <f aca="false">MID(B70,10,1)</f>
        <v/>
      </c>
      <c r="G70" s="34" t="str">
        <f aca="false">MID(B70,11,1)</f>
        <v/>
      </c>
      <c r="H70" s="35" t="str">
        <f aca="false">IF(G70=".",F70,CONCATENATE(F70,G70))</f>
        <v/>
      </c>
      <c r="I70" s="34" t="n">
        <f aca="false">IFERROR(VALUE(H70),)</f>
        <v>0</v>
      </c>
      <c r="J70" s="34" t="e">
        <f aca="false">RIGHT(B70,LEN(B70)-FIND("/",B70, FIND("Single Cells",B70, 1)))</f>
        <v>#VALUE!</v>
      </c>
    </row>
    <row r="71" customFormat="false" ht="12.75" hidden="false" customHeight="true" outlineLevel="0" collapsed="false">
      <c r="E71" s="34" t="str">
        <f aca="false">MID(B71,9,1)</f>
        <v/>
      </c>
      <c r="F71" s="34" t="str">
        <f aca="false">MID(B71,10,1)</f>
        <v/>
      </c>
      <c r="G71" s="34" t="str">
        <f aca="false">MID(B71,11,1)</f>
        <v/>
      </c>
      <c r="H71" s="35" t="str">
        <f aca="false">IF(G71=".",F71,CONCATENATE(F71,G71))</f>
        <v/>
      </c>
      <c r="I71" s="34" t="n">
        <f aca="false">IFERROR(VALUE(H71),)</f>
        <v>0</v>
      </c>
      <c r="J71" s="34" t="e">
        <f aca="false">RIGHT(B71,LEN(B71)-FIND("/",B71, FIND("Single Cells",B71, 1)))</f>
        <v>#VALUE!</v>
      </c>
    </row>
    <row r="72" customFormat="false" ht="12.75" hidden="false" customHeight="true" outlineLevel="0" collapsed="false">
      <c r="E72" s="34" t="str">
        <f aca="false">MID(B72,9,1)</f>
        <v/>
      </c>
      <c r="F72" s="34" t="str">
        <f aca="false">MID(B72,10,1)</f>
        <v/>
      </c>
      <c r="G72" s="34" t="str">
        <f aca="false">MID(B72,11,1)</f>
        <v/>
      </c>
      <c r="H72" s="35" t="str">
        <f aca="false">IF(G72=".",F72,CONCATENATE(F72,G72))</f>
        <v/>
      </c>
      <c r="I72" s="34" t="n">
        <f aca="false">IFERROR(VALUE(H72),)</f>
        <v>0</v>
      </c>
      <c r="J72" s="34" t="e">
        <f aca="false">RIGHT(B72,LEN(B72)-FIND("/",B72, FIND("Single Cells",B72, 1)))</f>
        <v>#VALUE!</v>
      </c>
    </row>
    <row r="73" customFormat="false" ht="12.75" hidden="false" customHeight="true" outlineLevel="0" collapsed="false">
      <c r="E73" s="34" t="str">
        <f aca="false">MID(B73,9,1)</f>
        <v/>
      </c>
      <c r="F73" s="34" t="str">
        <f aca="false">MID(B73,10,1)</f>
        <v/>
      </c>
      <c r="G73" s="34" t="str">
        <f aca="false">MID(B73,11,1)</f>
        <v/>
      </c>
      <c r="H73" s="35" t="str">
        <f aca="false">IF(G73=".",F73,CONCATENATE(F73,G73))</f>
        <v/>
      </c>
      <c r="I73" s="34" t="n">
        <f aca="false">IFERROR(VALUE(H73),)</f>
        <v>0</v>
      </c>
      <c r="J73" s="34" t="e">
        <f aca="false">RIGHT(B73,LEN(B73)-FIND("/",B73, FIND("Single Cells",B73, 1)))</f>
        <v>#VALUE!</v>
      </c>
    </row>
    <row r="74" customFormat="false" ht="12.75" hidden="false" customHeight="true" outlineLevel="0" collapsed="false">
      <c r="E74" s="34" t="str">
        <f aca="false">MID(B74,9,1)</f>
        <v/>
      </c>
      <c r="F74" s="34" t="str">
        <f aca="false">MID(B74,10,1)</f>
        <v/>
      </c>
      <c r="G74" s="34" t="str">
        <f aca="false">MID(B74,11,1)</f>
        <v/>
      </c>
      <c r="H74" s="35" t="str">
        <f aca="false">IF(G74=".",F74,CONCATENATE(F74,G74))</f>
        <v/>
      </c>
      <c r="I74" s="34" t="n">
        <f aca="false">IFERROR(VALUE(H74),)</f>
        <v>0</v>
      </c>
      <c r="J74" s="34" t="e">
        <f aca="false">RIGHT(B74,LEN(B74)-FIND("/",B74, FIND("Single Cells",B74, 1)))</f>
        <v>#VALUE!</v>
      </c>
    </row>
    <row r="75" customFormat="false" ht="12.75" hidden="false" customHeight="true" outlineLevel="0" collapsed="false">
      <c r="E75" s="34" t="str">
        <f aca="false">MID(B75,9,1)</f>
        <v/>
      </c>
      <c r="F75" s="34" t="str">
        <f aca="false">MID(B75,10,1)</f>
        <v/>
      </c>
      <c r="G75" s="34" t="str">
        <f aca="false">MID(B75,11,1)</f>
        <v/>
      </c>
      <c r="H75" s="35" t="str">
        <f aca="false">IF(G75=".",F75,CONCATENATE(F75,G75))</f>
        <v/>
      </c>
      <c r="I75" s="34" t="n">
        <f aca="false">IFERROR(VALUE(H75),)</f>
        <v>0</v>
      </c>
      <c r="J75" s="34" t="e">
        <f aca="false">RIGHT(B75,LEN(B75)-FIND("/",B75, FIND("Single Cells",B75, 1)))</f>
        <v>#VALUE!</v>
      </c>
    </row>
    <row r="76" customFormat="false" ht="12.75" hidden="false" customHeight="true" outlineLevel="0" collapsed="false">
      <c r="E76" s="34" t="str">
        <f aca="false">MID(B76,9,1)</f>
        <v/>
      </c>
      <c r="F76" s="34" t="str">
        <f aca="false">MID(B76,10,1)</f>
        <v/>
      </c>
      <c r="G76" s="34" t="str">
        <f aca="false">MID(B76,11,1)</f>
        <v/>
      </c>
      <c r="H76" s="35" t="str">
        <f aca="false">IF(G76=".",F76,CONCATENATE(F76,G76))</f>
        <v/>
      </c>
      <c r="I76" s="34" t="n">
        <f aca="false">IFERROR(VALUE(H76),)</f>
        <v>0</v>
      </c>
      <c r="J76" s="34" t="e">
        <f aca="false">RIGHT(B76,LEN(B76)-FIND("/",B76, FIND("Single Cells",B76, 1)))</f>
        <v>#VALUE!</v>
      </c>
    </row>
    <row r="77" customFormat="false" ht="12.75" hidden="false" customHeight="true" outlineLevel="0" collapsed="false">
      <c r="E77" s="34" t="str">
        <f aca="false">MID(B77,9,1)</f>
        <v/>
      </c>
      <c r="F77" s="34" t="str">
        <f aca="false">MID(B77,10,1)</f>
        <v/>
      </c>
      <c r="G77" s="34" t="str">
        <f aca="false">MID(B77,11,1)</f>
        <v/>
      </c>
      <c r="H77" s="35" t="str">
        <f aca="false">IF(G77=".",F77,CONCATENATE(F77,G77))</f>
        <v/>
      </c>
      <c r="I77" s="34" t="n">
        <f aca="false">IFERROR(VALUE(H77),)</f>
        <v>0</v>
      </c>
      <c r="J77" s="34" t="e">
        <f aca="false">RIGHT(B77,LEN(B77)-FIND("/",B77, FIND("Single Cells",B77, 1)))</f>
        <v>#VALUE!</v>
      </c>
    </row>
    <row r="78" customFormat="false" ht="12.75" hidden="false" customHeight="true" outlineLevel="0" collapsed="false">
      <c r="E78" s="34" t="str">
        <f aca="false">MID(B78,9,1)</f>
        <v/>
      </c>
      <c r="F78" s="34" t="str">
        <f aca="false">MID(B78,10,1)</f>
        <v/>
      </c>
      <c r="G78" s="34" t="str">
        <f aca="false">MID(B78,11,1)</f>
        <v/>
      </c>
      <c r="H78" s="35" t="str">
        <f aca="false">IF(G78=".",F78,CONCATENATE(F78,G78))</f>
        <v/>
      </c>
      <c r="I78" s="34" t="n">
        <f aca="false">IFERROR(VALUE(H78),)</f>
        <v>0</v>
      </c>
      <c r="J78" s="34" t="e">
        <f aca="false">RIGHT(B78,LEN(B78)-FIND("/",B78, FIND("Single Cells",B78, 1)))</f>
        <v>#VALUE!</v>
      </c>
    </row>
    <row r="79" customFormat="false" ht="12.75" hidden="false" customHeight="true" outlineLevel="0" collapsed="false">
      <c r="E79" s="34" t="str">
        <f aca="false">MID(B79,9,1)</f>
        <v/>
      </c>
      <c r="F79" s="34" t="str">
        <f aca="false">MID(B79,10,1)</f>
        <v/>
      </c>
      <c r="G79" s="34" t="str">
        <f aca="false">MID(B79,11,1)</f>
        <v/>
      </c>
      <c r="H79" s="35" t="str">
        <f aca="false">IF(G79=".",F79,CONCATENATE(F79,G79))</f>
        <v/>
      </c>
      <c r="I79" s="34" t="n">
        <f aca="false">IFERROR(VALUE(H79),)</f>
        <v>0</v>
      </c>
      <c r="J79" s="34" t="e">
        <f aca="false">RIGHT(B79,LEN(B79)-FIND("/",B79, FIND("Single Cells",B79, 1)))</f>
        <v>#VALUE!</v>
      </c>
    </row>
    <row r="80" customFormat="false" ht="12.75" hidden="false" customHeight="true" outlineLevel="0" collapsed="false">
      <c r="E80" s="34" t="str">
        <f aca="false">MID(B80,9,1)</f>
        <v/>
      </c>
      <c r="F80" s="34" t="str">
        <f aca="false">MID(B80,10,1)</f>
        <v/>
      </c>
      <c r="G80" s="34" t="str">
        <f aca="false">MID(B80,11,1)</f>
        <v/>
      </c>
      <c r="H80" s="35" t="str">
        <f aca="false">IF(G80=".",F80,CONCATENATE(F80,G80))</f>
        <v/>
      </c>
      <c r="I80" s="34" t="n">
        <f aca="false">IFERROR(VALUE(H80),)</f>
        <v>0</v>
      </c>
      <c r="J80" s="34" t="e">
        <f aca="false">RIGHT(B80,LEN(B80)-FIND("/",B80, FIND("Single Cells",B80, 1)))</f>
        <v>#VALUE!</v>
      </c>
    </row>
    <row r="81" customFormat="false" ht="12.75" hidden="false" customHeight="true" outlineLevel="0" collapsed="false">
      <c r="E81" s="34" t="str">
        <f aca="false">MID(B81,9,1)</f>
        <v/>
      </c>
      <c r="F81" s="34" t="str">
        <f aca="false">MID(B81,10,1)</f>
        <v/>
      </c>
      <c r="G81" s="34" t="str">
        <f aca="false">MID(B81,11,1)</f>
        <v/>
      </c>
      <c r="H81" s="35" t="str">
        <f aca="false">IF(G81=".",F81,CONCATENATE(F81,G81))</f>
        <v/>
      </c>
      <c r="I81" s="34" t="n">
        <f aca="false">IFERROR(VALUE(H81),)</f>
        <v>0</v>
      </c>
      <c r="J81" s="34" t="e">
        <f aca="false">RIGHT(B81,LEN(B81)-FIND("/",B81, FIND("Single Cells",B81, 1)))</f>
        <v>#VALUE!</v>
      </c>
    </row>
    <row r="82" customFormat="false" ht="12.75" hidden="false" customHeight="true" outlineLevel="0" collapsed="false">
      <c r="E82" s="34" t="str">
        <f aca="false">MID(B82,9,1)</f>
        <v/>
      </c>
      <c r="F82" s="34" t="str">
        <f aca="false">MID(B82,10,1)</f>
        <v/>
      </c>
      <c r="G82" s="34" t="str">
        <f aca="false">MID(B82,11,1)</f>
        <v/>
      </c>
      <c r="H82" s="35" t="str">
        <f aca="false">IF(G82=".",F82,CONCATENATE(F82,G82))</f>
        <v/>
      </c>
      <c r="I82" s="34" t="n">
        <f aca="false">IFERROR(VALUE(H82),)</f>
        <v>0</v>
      </c>
      <c r="J82" s="34" t="e">
        <f aca="false">RIGHT(B82,LEN(B82)-FIND("/",B82, FIND("Single Cells",B82, 1)))</f>
        <v>#VALUE!</v>
      </c>
    </row>
    <row r="83" customFormat="false" ht="12.75" hidden="false" customHeight="true" outlineLevel="0" collapsed="false">
      <c r="E83" s="34" t="str">
        <f aca="false">MID(B83,9,1)</f>
        <v/>
      </c>
      <c r="F83" s="34" t="str">
        <f aca="false">MID(B83,10,1)</f>
        <v/>
      </c>
      <c r="G83" s="34" t="str">
        <f aca="false">MID(B83,11,1)</f>
        <v/>
      </c>
      <c r="H83" s="35" t="str">
        <f aca="false">IF(G83=".",F83,CONCATENATE(F83,G83))</f>
        <v/>
      </c>
      <c r="I83" s="34" t="n">
        <f aca="false">IFERROR(VALUE(H83),)</f>
        <v>0</v>
      </c>
      <c r="J83" s="34" t="e">
        <f aca="false">RIGHT(B83,LEN(B83)-FIND("/",B83, FIND("Single Cells",B83, 1)))</f>
        <v>#VALUE!</v>
      </c>
    </row>
    <row r="84" customFormat="false" ht="12.75" hidden="false" customHeight="true" outlineLevel="0" collapsed="false">
      <c r="E84" s="34" t="str">
        <f aca="false">MID(B84,9,1)</f>
        <v/>
      </c>
      <c r="F84" s="34" t="str">
        <f aca="false">MID(B84,10,1)</f>
        <v/>
      </c>
      <c r="G84" s="34" t="str">
        <f aca="false">MID(B84,11,1)</f>
        <v/>
      </c>
      <c r="H84" s="35" t="str">
        <f aca="false">IF(G84=".",F84,CONCATENATE(F84,G84))</f>
        <v/>
      </c>
      <c r="I84" s="34" t="n">
        <f aca="false">IFERROR(VALUE(H84),)</f>
        <v>0</v>
      </c>
      <c r="J84" s="34" t="e">
        <f aca="false">RIGHT(B84,LEN(B84)-FIND("/",B84, FIND("Single Cells",B84, 1)))</f>
        <v>#VALUE!</v>
      </c>
    </row>
    <row r="85" customFormat="false" ht="12.75" hidden="false" customHeight="true" outlineLevel="0" collapsed="false">
      <c r="E85" s="34" t="str">
        <f aca="false">MID(B85,9,1)</f>
        <v/>
      </c>
      <c r="F85" s="34" t="str">
        <f aca="false">MID(B85,10,1)</f>
        <v/>
      </c>
      <c r="G85" s="34" t="str">
        <f aca="false">MID(B85,11,1)</f>
        <v/>
      </c>
      <c r="H85" s="35" t="str">
        <f aca="false">IF(G85=".",F85,CONCATENATE(F85,G85))</f>
        <v/>
      </c>
      <c r="I85" s="34" t="n">
        <f aca="false">IFERROR(VALUE(H85),)</f>
        <v>0</v>
      </c>
      <c r="J85" s="34" t="e">
        <f aca="false">RIGHT(B85,LEN(B85)-FIND("/",B85, FIND("Single Cells",B85, 1)))</f>
        <v>#VALUE!</v>
      </c>
    </row>
    <row r="86" customFormat="false" ht="12.75" hidden="false" customHeight="true" outlineLevel="0" collapsed="false">
      <c r="E86" s="34" t="str">
        <f aca="false">MID(B86,9,1)</f>
        <v/>
      </c>
      <c r="F86" s="34" t="str">
        <f aca="false">MID(B86,10,1)</f>
        <v/>
      </c>
      <c r="G86" s="34" t="str">
        <f aca="false">MID(B86,11,1)</f>
        <v/>
      </c>
      <c r="H86" s="35" t="str">
        <f aca="false">IF(G86=".",F86,CONCATENATE(F86,G86))</f>
        <v/>
      </c>
      <c r="I86" s="34" t="n">
        <f aca="false">IFERROR(VALUE(H86),)</f>
        <v>0</v>
      </c>
      <c r="J86" s="34" t="e">
        <f aca="false">RIGHT(B86,LEN(B86)-FIND("/",B86, FIND("Single Cells",B86, 1)))</f>
        <v>#VALUE!</v>
      </c>
    </row>
    <row r="87" customFormat="false" ht="12.75" hidden="false" customHeight="true" outlineLevel="0" collapsed="false">
      <c r="E87" s="34" t="str">
        <f aca="false">MID(B87,9,1)</f>
        <v/>
      </c>
      <c r="F87" s="34" t="str">
        <f aca="false">MID(B87,10,1)</f>
        <v/>
      </c>
      <c r="G87" s="34" t="str">
        <f aca="false">MID(B87,11,1)</f>
        <v/>
      </c>
      <c r="H87" s="35" t="str">
        <f aca="false">IF(G87=".",F87,CONCATENATE(F87,G87))</f>
        <v/>
      </c>
      <c r="I87" s="34" t="n">
        <f aca="false">IFERROR(VALUE(H87),)</f>
        <v>0</v>
      </c>
      <c r="J87" s="34" t="e">
        <f aca="false">RIGHT(B87,LEN(B87)-FIND("/",B87, FIND("Single Cells",B87, 1)))</f>
        <v>#VALUE!</v>
      </c>
    </row>
    <row r="88" customFormat="false" ht="12.75" hidden="false" customHeight="true" outlineLevel="0" collapsed="false">
      <c r="E88" s="34" t="str">
        <f aca="false">MID(B88,9,1)</f>
        <v/>
      </c>
      <c r="F88" s="34" t="str">
        <f aca="false">MID(B88,10,1)</f>
        <v/>
      </c>
      <c r="G88" s="34" t="str">
        <f aca="false">MID(B88,11,1)</f>
        <v/>
      </c>
      <c r="H88" s="35" t="str">
        <f aca="false">IF(G88=".",F88,CONCATENATE(F88,G88))</f>
        <v/>
      </c>
      <c r="I88" s="34" t="n">
        <f aca="false">IFERROR(VALUE(H88),)</f>
        <v>0</v>
      </c>
      <c r="J88" s="34" t="e">
        <f aca="false">RIGHT(B88,LEN(B88)-FIND("/",B88, FIND("Single Cells",B88, 1)))</f>
        <v>#VALUE!</v>
      </c>
    </row>
    <row r="89" customFormat="false" ht="12.75" hidden="false" customHeight="true" outlineLevel="0" collapsed="false">
      <c r="E89" s="34" t="str">
        <f aca="false">MID(B89,9,1)</f>
        <v/>
      </c>
      <c r="F89" s="34" t="str">
        <f aca="false">MID(B89,10,1)</f>
        <v/>
      </c>
      <c r="G89" s="34" t="str">
        <f aca="false">MID(B89,11,1)</f>
        <v/>
      </c>
      <c r="H89" s="35" t="str">
        <f aca="false">IF(G89=".",F89,CONCATENATE(F89,G89))</f>
        <v/>
      </c>
      <c r="I89" s="34" t="n">
        <f aca="false">IFERROR(VALUE(H89),)</f>
        <v>0</v>
      </c>
      <c r="J89" s="34" t="e">
        <f aca="false">RIGHT(B89,LEN(B89)-FIND("/",B89, FIND("Single Cells",B89, 1)))</f>
        <v>#VALUE!</v>
      </c>
    </row>
    <row r="90" customFormat="false" ht="12.75" hidden="false" customHeight="true" outlineLevel="0" collapsed="false">
      <c r="E90" s="34" t="str">
        <f aca="false">MID(B90,9,1)</f>
        <v/>
      </c>
      <c r="F90" s="34" t="str">
        <f aca="false">MID(B90,10,1)</f>
        <v/>
      </c>
      <c r="G90" s="34" t="str">
        <f aca="false">MID(B90,11,1)</f>
        <v/>
      </c>
      <c r="H90" s="35" t="str">
        <f aca="false">IF(G90=".",F90,CONCATENATE(F90,G90))</f>
        <v/>
      </c>
      <c r="I90" s="34" t="n">
        <f aca="false">IFERROR(VALUE(H90),)</f>
        <v>0</v>
      </c>
      <c r="J90" s="34" t="e">
        <f aca="false">RIGHT(B90,LEN(B90)-FIND("/",B90, FIND("Single Cells",B90, 1)))</f>
        <v>#VALUE!</v>
      </c>
    </row>
    <row r="91" customFormat="false" ht="12.75" hidden="false" customHeight="true" outlineLevel="0" collapsed="false">
      <c r="E91" s="34" t="str">
        <f aca="false">MID(B91,9,1)</f>
        <v/>
      </c>
      <c r="F91" s="34" t="str">
        <f aca="false">MID(B91,10,1)</f>
        <v/>
      </c>
      <c r="G91" s="34" t="str">
        <f aca="false">MID(B91,11,1)</f>
        <v/>
      </c>
      <c r="H91" s="35" t="str">
        <f aca="false">IF(G91=".",F91,CONCATENATE(F91,G91))</f>
        <v/>
      </c>
      <c r="I91" s="34" t="n">
        <f aca="false">IFERROR(VALUE(H91),)</f>
        <v>0</v>
      </c>
      <c r="J91" s="34" t="e">
        <f aca="false">RIGHT(B91,LEN(B91)-FIND("/",B91, FIND("Single Cells",B91, 1)))</f>
        <v>#VALUE!</v>
      </c>
    </row>
    <row r="92" customFormat="false" ht="12.75" hidden="false" customHeight="true" outlineLevel="0" collapsed="false">
      <c r="E92" s="34" t="str">
        <f aca="false">MID(B92,9,1)</f>
        <v/>
      </c>
      <c r="F92" s="34" t="str">
        <f aca="false">MID(B92,10,1)</f>
        <v/>
      </c>
      <c r="G92" s="34" t="str">
        <f aca="false">MID(B92,11,1)</f>
        <v/>
      </c>
      <c r="H92" s="35" t="str">
        <f aca="false">IF(G92=".",F92,CONCATENATE(F92,G92))</f>
        <v/>
      </c>
      <c r="I92" s="34" t="n">
        <f aca="false">IFERROR(VALUE(H92),)</f>
        <v>0</v>
      </c>
      <c r="J92" s="34" t="e">
        <f aca="false">RIGHT(B92,LEN(B92)-FIND("/",B92, FIND("Single Cells",B92, 1)))</f>
        <v>#VALUE!</v>
      </c>
    </row>
    <row r="93" customFormat="false" ht="12.75" hidden="false" customHeight="true" outlineLevel="0" collapsed="false">
      <c r="E93" s="34" t="str">
        <f aca="false">MID(B93,9,1)</f>
        <v/>
      </c>
      <c r="F93" s="34" t="str">
        <f aca="false">MID(B93,10,1)</f>
        <v/>
      </c>
      <c r="G93" s="34" t="str">
        <f aca="false">MID(B93,11,1)</f>
        <v/>
      </c>
      <c r="H93" s="35" t="str">
        <f aca="false">IF(G93=".",F93,CONCATENATE(F93,G93))</f>
        <v/>
      </c>
      <c r="I93" s="34" t="n">
        <f aca="false">IFERROR(VALUE(H93),)</f>
        <v>0</v>
      </c>
      <c r="J93" s="34" t="e">
        <f aca="false">RIGHT(B93,LEN(B93)-FIND("/",B93, FIND("Single Cells",B93, 1)))</f>
        <v>#VALUE!</v>
      </c>
    </row>
    <row r="94" customFormat="false" ht="12.75" hidden="false" customHeight="true" outlineLevel="0" collapsed="false">
      <c r="E94" s="34" t="str">
        <f aca="false">MID(B94,9,1)</f>
        <v/>
      </c>
      <c r="F94" s="34" t="str">
        <f aca="false">MID(B94,10,1)</f>
        <v/>
      </c>
      <c r="G94" s="34" t="str">
        <f aca="false">MID(B94,11,1)</f>
        <v/>
      </c>
      <c r="H94" s="35" t="str">
        <f aca="false">IF(G94=".",F94,CONCATENATE(F94,G94))</f>
        <v/>
      </c>
      <c r="I94" s="34" t="n">
        <f aca="false">IFERROR(VALUE(H94),)</f>
        <v>0</v>
      </c>
      <c r="J94" s="34" t="e">
        <f aca="false">RIGHT(B94,LEN(B94)-FIND("/",B94, FIND("Single Cells",B94, 1)))</f>
        <v>#VALUE!</v>
      </c>
    </row>
    <row r="95" customFormat="false" ht="12.75" hidden="false" customHeight="true" outlineLevel="0" collapsed="false">
      <c r="E95" s="34" t="str">
        <f aca="false">MID(B95,9,1)</f>
        <v/>
      </c>
      <c r="F95" s="34" t="str">
        <f aca="false">MID(B95,10,1)</f>
        <v/>
      </c>
      <c r="G95" s="34" t="str">
        <f aca="false">MID(B95,11,1)</f>
        <v/>
      </c>
      <c r="H95" s="35" t="str">
        <f aca="false">IF(G95=".",F95,CONCATENATE(F95,G95))</f>
        <v/>
      </c>
      <c r="I95" s="34" t="n">
        <f aca="false">IFERROR(VALUE(H95),)</f>
        <v>0</v>
      </c>
      <c r="J95" s="34" t="e">
        <f aca="false">RIGHT(B95,LEN(B95)-FIND("/",B95, FIND("Single Cells",B95, 1)))</f>
        <v>#VALUE!</v>
      </c>
    </row>
    <row r="96" customFormat="false" ht="12.75" hidden="false" customHeight="true" outlineLevel="0" collapsed="false">
      <c r="E96" s="34" t="str">
        <f aca="false">MID(B96,9,1)</f>
        <v/>
      </c>
      <c r="F96" s="34" t="str">
        <f aca="false">MID(B96,10,1)</f>
        <v/>
      </c>
      <c r="G96" s="34" t="str">
        <f aca="false">MID(B96,11,1)</f>
        <v/>
      </c>
      <c r="H96" s="35" t="str">
        <f aca="false">IF(G96=".",F96,CONCATENATE(F96,G96))</f>
        <v/>
      </c>
      <c r="I96" s="34" t="n">
        <f aca="false">IFERROR(VALUE(H96),)</f>
        <v>0</v>
      </c>
      <c r="J96" s="34" t="e">
        <f aca="false">RIGHT(B96,LEN(B96)-FIND("/",B96, FIND("Single Cells",B96, 1)))</f>
        <v>#VALUE!</v>
      </c>
    </row>
    <row r="97" customFormat="false" ht="12.75" hidden="false" customHeight="true" outlineLevel="0" collapsed="false">
      <c r="E97" s="34" t="str">
        <f aca="false">MID(B97,9,1)</f>
        <v/>
      </c>
      <c r="F97" s="34" t="str">
        <f aca="false">MID(B97,10,1)</f>
        <v/>
      </c>
      <c r="G97" s="34" t="str">
        <f aca="false">MID(B97,11,1)</f>
        <v/>
      </c>
      <c r="H97" s="35" t="str">
        <f aca="false">IF(G97=".",F97,CONCATENATE(F97,G97))</f>
        <v/>
      </c>
      <c r="I97" s="34" t="n">
        <f aca="false">IFERROR(VALUE(H97),)</f>
        <v>0</v>
      </c>
      <c r="J97" s="34" t="e">
        <f aca="false">RIGHT(B97,LEN(B97)-FIND("/",B97, FIND("Single Cells",B97, 1)))</f>
        <v>#VALUE!</v>
      </c>
    </row>
    <row r="98" customFormat="false" ht="12.75" hidden="false" customHeight="true" outlineLevel="0" collapsed="false">
      <c r="E98" s="34" t="str">
        <f aca="false">MID(B98,9,1)</f>
        <v/>
      </c>
      <c r="F98" s="34" t="str">
        <f aca="false">MID(B98,10,1)</f>
        <v/>
      </c>
      <c r="G98" s="34" t="str">
        <f aca="false">MID(B98,11,1)</f>
        <v/>
      </c>
      <c r="H98" s="35" t="str">
        <f aca="false">IF(G98=".",F98,CONCATENATE(F98,G98))</f>
        <v/>
      </c>
      <c r="I98" s="34" t="n">
        <f aca="false">IFERROR(VALUE(H98),)</f>
        <v>0</v>
      </c>
      <c r="J98" s="34" t="e">
        <f aca="false">RIGHT(B98,LEN(B98)-FIND("/",B98, FIND("Single Cells",B98, 1)))</f>
        <v>#VALUE!</v>
      </c>
    </row>
    <row r="99" customFormat="false" ht="12.75" hidden="false" customHeight="true" outlineLevel="0" collapsed="false">
      <c r="E99" s="34" t="str">
        <f aca="false">MID(B99,9,1)</f>
        <v/>
      </c>
      <c r="F99" s="34" t="str">
        <f aca="false">MID(B99,10,1)</f>
        <v/>
      </c>
      <c r="G99" s="34" t="str">
        <f aca="false">MID(B99,11,1)</f>
        <v/>
      </c>
      <c r="H99" s="35" t="str">
        <f aca="false">IF(G99=".",F99,CONCATENATE(F99,G99))</f>
        <v/>
      </c>
      <c r="I99" s="34" t="n">
        <f aca="false">IFERROR(VALUE(H99),)</f>
        <v>0</v>
      </c>
      <c r="J99" s="34" t="e">
        <f aca="false">RIGHT(B99,LEN(B99)-FIND("/",B99, FIND("Single Cells",B99, 1)))</f>
        <v>#VALUE!</v>
      </c>
    </row>
    <row r="100" customFormat="false" ht="12.75" hidden="false" customHeight="true" outlineLevel="0" collapsed="false">
      <c r="E100" s="34" t="str">
        <f aca="false">MID(B100,9,1)</f>
        <v/>
      </c>
      <c r="F100" s="34" t="str">
        <f aca="false">MID(B100,10,1)</f>
        <v/>
      </c>
      <c r="G100" s="34" t="str">
        <f aca="false">MID(B100,11,1)</f>
        <v/>
      </c>
      <c r="H100" s="35" t="str">
        <f aca="false">IF(G100=".",F100,CONCATENATE(F100,G100))</f>
        <v/>
      </c>
      <c r="I100" s="34" t="n">
        <f aca="false">IFERROR(VALUE(H100),)</f>
        <v>0</v>
      </c>
      <c r="J100" s="34" t="e">
        <f aca="false">RIGHT(B100,LEN(B100)-FIND("/",B100, FIND("Single Cells",B100, 1)))</f>
        <v>#VALUE!</v>
      </c>
    </row>
    <row r="101" customFormat="false" ht="12.75" hidden="false" customHeight="true" outlineLevel="0" collapsed="false">
      <c r="E101" s="34" t="str">
        <f aca="false">MID(B101,9,1)</f>
        <v/>
      </c>
      <c r="F101" s="34" t="str">
        <f aca="false">MID(B101,10,1)</f>
        <v/>
      </c>
      <c r="G101" s="34" t="str">
        <f aca="false">MID(B101,11,1)</f>
        <v/>
      </c>
      <c r="H101" s="35" t="str">
        <f aca="false">IF(G101=".",F101,CONCATENATE(F101,G101))</f>
        <v/>
      </c>
      <c r="I101" s="34" t="n">
        <f aca="false">IFERROR(VALUE(H101),)</f>
        <v>0</v>
      </c>
      <c r="J101" s="34" t="e">
        <f aca="false">RIGHT(B101,LEN(B101)-FIND("/",B101, FIND("Single Cells",B101, 1)))</f>
        <v>#VALUE!</v>
      </c>
    </row>
    <row r="102" customFormat="false" ht="12.75" hidden="false" customHeight="true" outlineLevel="0" collapsed="false">
      <c r="E102" s="34" t="str">
        <f aca="false">MID(B102,9,1)</f>
        <v/>
      </c>
      <c r="F102" s="34" t="str">
        <f aca="false">MID(B102,10,1)</f>
        <v/>
      </c>
      <c r="G102" s="34" t="str">
        <f aca="false">MID(B102,11,1)</f>
        <v/>
      </c>
      <c r="H102" s="35" t="str">
        <f aca="false">IF(G102=".",F102,CONCATENATE(F102,G102))</f>
        <v/>
      </c>
      <c r="I102" s="34" t="n">
        <f aca="false">IFERROR(VALUE(H102),)</f>
        <v>0</v>
      </c>
      <c r="J102" s="34" t="e">
        <f aca="false">RIGHT(B102,LEN(B102)-FIND("/",B102, FIND("Single Cells",B102, 1)))</f>
        <v>#VALUE!</v>
      </c>
    </row>
    <row r="103" customFormat="false" ht="12.75" hidden="false" customHeight="true" outlineLevel="0" collapsed="false">
      <c r="E103" s="34" t="str">
        <f aca="false">MID(B103,9,1)</f>
        <v/>
      </c>
      <c r="F103" s="34" t="str">
        <f aca="false">MID(B103,10,1)</f>
        <v/>
      </c>
      <c r="G103" s="34" t="str">
        <f aca="false">MID(B103,11,1)</f>
        <v/>
      </c>
      <c r="H103" s="35" t="str">
        <f aca="false">IF(G103=".",F103,CONCATENATE(F103,G103))</f>
        <v/>
      </c>
      <c r="I103" s="34" t="n">
        <f aca="false">IFERROR(VALUE(H103),)</f>
        <v>0</v>
      </c>
      <c r="J103" s="34" t="e">
        <f aca="false">RIGHT(B103,LEN(B103)-FIND("/",B103, FIND("Single Cells",B103, 1)))</f>
        <v>#VALUE!</v>
      </c>
    </row>
    <row r="104" customFormat="false" ht="12.75" hidden="false" customHeight="true" outlineLevel="0" collapsed="false">
      <c r="E104" s="34" t="str">
        <f aca="false">MID(B104,9,1)</f>
        <v/>
      </c>
      <c r="F104" s="34" t="str">
        <f aca="false">MID(B104,10,1)</f>
        <v/>
      </c>
      <c r="G104" s="34" t="str">
        <f aca="false">MID(B104,11,1)</f>
        <v/>
      </c>
      <c r="H104" s="35" t="str">
        <f aca="false">IF(G104=".",F104,CONCATENATE(F104,G104))</f>
        <v/>
      </c>
      <c r="I104" s="34" t="n">
        <f aca="false">IFERROR(VALUE(H104),)</f>
        <v>0</v>
      </c>
      <c r="J104" s="34" t="e">
        <f aca="false">RIGHT(B104,LEN(B104)-FIND("/",B104, FIND("Single Cells",B104, 1)))</f>
        <v>#VALUE!</v>
      </c>
    </row>
    <row r="105" customFormat="false" ht="12.75" hidden="false" customHeight="true" outlineLevel="0" collapsed="false">
      <c r="E105" s="34" t="str">
        <f aca="false">MID(B105,9,1)</f>
        <v/>
      </c>
      <c r="F105" s="34" t="str">
        <f aca="false">MID(B105,10,1)</f>
        <v/>
      </c>
      <c r="G105" s="34" t="str">
        <f aca="false">MID(B105,11,1)</f>
        <v/>
      </c>
      <c r="H105" s="35" t="str">
        <f aca="false">IF(G105=".",F105,CONCATENATE(F105,G105))</f>
        <v/>
      </c>
      <c r="I105" s="34" t="n">
        <f aca="false">IFERROR(VALUE(H105),)</f>
        <v>0</v>
      </c>
      <c r="J105" s="34" t="e">
        <f aca="false">RIGHT(B105,LEN(B105)-FIND("/",B105, FIND("Single Cells",B105, 1)))</f>
        <v>#VALUE!</v>
      </c>
    </row>
    <row r="106" customFormat="false" ht="12.75" hidden="false" customHeight="true" outlineLevel="0" collapsed="false">
      <c r="E106" s="34" t="str">
        <f aca="false">MID(B106,9,1)</f>
        <v/>
      </c>
      <c r="F106" s="34" t="str">
        <f aca="false">MID(B106,10,1)</f>
        <v/>
      </c>
      <c r="G106" s="34" t="str">
        <f aca="false">MID(B106,11,1)</f>
        <v/>
      </c>
      <c r="H106" s="35" t="str">
        <f aca="false">IF(G106=".",F106,CONCATENATE(F106,G106))</f>
        <v/>
      </c>
      <c r="I106" s="34" t="n">
        <f aca="false">IFERROR(VALUE(H106),)</f>
        <v>0</v>
      </c>
      <c r="J106" s="34" t="e">
        <f aca="false">RIGHT(B106,LEN(B106)-FIND("/",B106, FIND("Single Cells",B106, 1)))</f>
        <v>#VALUE!</v>
      </c>
    </row>
    <row r="107" customFormat="false" ht="12.75" hidden="false" customHeight="true" outlineLevel="0" collapsed="false">
      <c r="E107" s="34" t="str">
        <f aca="false">MID(B107,9,1)</f>
        <v/>
      </c>
      <c r="F107" s="34" t="str">
        <f aca="false">MID(B107,10,1)</f>
        <v/>
      </c>
      <c r="G107" s="34" t="str">
        <f aca="false">MID(B107,11,1)</f>
        <v/>
      </c>
      <c r="H107" s="35" t="str">
        <f aca="false">IF(G107=".",F107,CONCATENATE(F107,G107))</f>
        <v/>
      </c>
      <c r="I107" s="34" t="n">
        <f aca="false">IFERROR(VALUE(H107),)</f>
        <v>0</v>
      </c>
      <c r="J107" s="34" t="e">
        <f aca="false">RIGHT(B107,LEN(B107)-FIND("/",B107, FIND("Single Cells",B107, 1)))</f>
        <v>#VALUE!</v>
      </c>
    </row>
    <row r="108" customFormat="false" ht="12.75" hidden="false" customHeight="true" outlineLevel="0" collapsed="false">
      <c r="E108" s="34" t="str">
        <f aca="false">MID(B108,9,1)</f>
        <v/>
      </c>
      <c r="F108" s="34" t="str">
        <f aca="false">MID(B108,10,1)</f>
        <v/>
      </c>
      <c r="G108" s="34" t="str">
        <f aca="false">MID(B108,11,1)</f>
        <v/>
      </c>
      <c r="H108" s="35" t="str">
        <f aca="false">IF(G108=".",F108,CONCATENATE(F108,G108))</f>
        <v/>
      </c>
      <c r="I108" s="34" t="n">
        <f aca="false">IFERROR(VALUE(H108),)</f>
        <v>0</v>
      </c>
      <c r="J108" s="34" t="e">
        <f aca="false">RIGHT(B108,LEN(B108)-FIND("/",B108, FIND("Single Cells",B108, 1)))</f>
        <v>#VALUE!</v>
      </c>
    </row>
    <row r="109" customFormat="false" ht="12.75" hidden="false" customHeight="true" outlineLevel="0" collapsed="false">
      <c r="E109" s="34" t="str">
        <f aca="false">MID(B109,9,1)</f>
        <v/>
      </c>
      <c r="F109" s="34" t="str">
        <f aca="false">MID(B109,10,1)</f>
        <v/>
      </c>
      <c r="G109" s="34" t="str">
        <f aca="false">MID(B109,11,1)</f>
        <v/>
      </c>
      <c r="H109" s="35" t="str">
        <f aca="false">IF(G109=".",F109,CONCATENATE(F109,G109))</f>
        <v/>
      </c>
      <c r="I109" s="34" t="n">
        <f aca="false">IFERROR(VALUE(H109),)</f>
        <v>0</v>
      </c>
      <c r="J109" s="34" t="e">
        <f aca="false">RIGHT(B109,LEN(B109)-FIND("/",B109, FIND("Single Cells",B109, 1)))</f>
        <v>#VALUE!</v>
      </c>
    </row>
    <row r="110" customFormat="false" ht="12.75" hidden="false" customHeight="true" outlineLevel="0" collapsed="false">
      <c r="E110" s="34" t="str">
        <f aca="false">MID(B110,9,1)</f>
        <v/>
      </c>
      <c r="F110" s="34" t="str">
        <f aca="false">MID(B110,10,1)</f>
        <v/>
      </c>
      <c r="G110" s="34" t="str">
        <f aca="false">MID(B110,11,1)</f>
        <v/>
      </c>
      <c r="H110" s="35" t="str">
        <f aca="false">IF(G110=".",F110,CONCATENATE(F110,G110))</f>
        <v/>
      </c>
      <c r="I110" s="34" t="n">
        <f aca="false">IFERROR(VALUE(H110),)</f>
        <v>0</v>
      </c>
      <c r="J110" s="34" t="e">
        <f aca="false">RIGHT(B110,LEN(B110)-FIND("/",B110, FIND("Single Cells",B110, 1)))</f>
        <v>#VALUE!</v>
      </c>
    </row>
    <row r="111" customFormat="false" ht="12.75" hidden="false" customHeight="true" outlineLevel="0" collapsed="false">
      <c r="E111" s="34" t="str">
        <f aca="false">MID(B111,9,1)</f>
        <v/>
      </c>
      <c r="F111" s="34" t="str">
        <f aca="false">MID(B111,10,1)</f>
        <v/>
      </c>
      <c r="G111" s="34" t="str">
        <f aca="false">MID(B111,11,1)</f>
        <v/>
      </c>
      <c r="H111" s="35" t="str">
        <f aca="false">IF(G111=".",F111,CONCATENATE(F111,G111))</f>
        <v/>
      </c>
      <c r="I111" s="34" t="n">
        <f aca="false">IFERROR(VALUE(H111),)</f>
        <v>0</v>
      </c>
      <c r="J111" s="34" t="e">
        <f aca="false">RIGHT(B111,LEN(B111)-FIND("/",B111, FIND("Single Cells",B111, 1)))</f>
        <v>#VALUE!</v>
      </c>
    </row>
    <row r="112" customFormat="false" ht="12.75" hidden="false" customHeight="true" outlineLevel="0" collapsed="false">
      <c r="E112" s="34" t="str">
        <f aca="false">MID(B112,9,1)</f>
        <v/>
      </c>
      <c r="F112" s="34" t="str">
        <f aca="false">MID(B112,10,1)</f>
        <v/>
      </c>
      <c r="G112" s="34" t="str">
        <f aca="false">MID(B112,11,1)</f>
        <v/>
      </c>
      <c r="H112" s="35" t="str">
        <f aca="false">IF(G112=".",F112,CONCATENATE(F112,G112))</f>
        <v/>
      </c>
      <c r="I112" s="34" t="n">
        <f aca="false">IFERROR(VALUE(H112),)</f>
        <v>0</v>
      </c>
      <c r="J112" s="34" t="e">
        <f aca="false">RIGHT(B112,LEN(B112)-FIND("/",B112, FIND("Single Cells",B112, 1)))</f>
        <v>#VALUE!</v>
      </c>
    </row>
    <row r="113" customFormat="false" ht="12.75" hidden="false" customHeight="true" outlineLevel="0" collapsed="false">
      <c r="E113" s="34" t="str">
        <f aca="false">MID(B113,9,1)</f>
        <v/>
      </c>
      <c r="F113" s="34" t="str">
        <f aca="false">MID(B113,10,1)</f>
        <v/>
      </c>
      <c r="G113" s="34" t="str">
        <f aca="false">MID(B113,11,1)</f>
        <v/>
      </c>
      <c r="H113" s="35" t="str">
        <f aca="false">IF(G113=".",F113,CONCATENATE(F113,G113))</f>
        <v/>
      </c>
      <c r="I113" s="34" t="n">
        <f aca="false">IFERROR(VALUE(H113),)</f>
        <v>0</v>
      </c>
      <c r="J113" s="34" t="e">
        <f aca="false">RIGHT(B113,LEN(B113)-FIND("/",B113, FIND("Single Cells",B113, 1)))</f>
        <v>#VALUE!</v>
      </c>
    </row>
    <row r="114" customFormat="false" ht="12.75" hidden="false" customHeight="true" outlineLevel="0" collapsed="false">
      <c r="E114" s="34" t="str">
        <f aca="false">MID(B114,9,1)</f>
        <v/>
      </c>
      <c r="F114" s="34" t="str">
        <f aca="false">MID(B114,10,1)</f>
        <v/>
      </c>
      <c r="G114" s="34" t="str">
        <f aca="false">MID(B114,11,1)</f>
        <v/>
      </c>
      <c r="H114" s="35" t="str">
        <f aca="false">IF(G114=".",F114,CONCATENATE(F114,G114))</f>
        <v/>
      </c>
      <c r="I114" s="34" t="n">
        <f aca="false">IFERROR(VALUE(H114),)</f>
        <v>0</v>
      </c>
      <c r="J114" s="34" t="e">
        <f aca="false">RIGHT(B114,LEN(B114)-FIND("/",B114, FIND("Single Cells",B114, 1)))</f>
        <v>#VALUE!</v>
      </c>
    </row>
    <row r="115" customFormat="false" ht="12.75" hidden="false" customHeight="true" outlineLevel="0" collapsed="false">
      <c r="E115" s="34" t="str">
        <f aca="false">MID(B115,9,1)</f>
        <v/>
      </c>
      <c r="F115" s="34" t="str">
        <f aca="false">MID(B115,10,1)</f>
        <v/>
      </c>
      <c r="G115" s="34" t="str">
        <f aca="false">MID(B115,11,1)</f>
        <v/>
      </c>
      <c r="H115" s="35" t="str">
        <f aca="false">IF(G115=".",F115,CONCATENATE(F115,G115))</f>
        <v/>
      </c>
      <c r="I115" s="34" t="n">
        <f aca="false">IFERROR(VALUE(H115),)</f>
        <v>0</v>
      </c>
      <c r="J115" s="34" t="e">
        <f aca="false">RIGHT(B115,LEN(B115)-FIND("/",B115, FIND("Single Cells",B115, 1)))</f>
        <v>#VALUE!</v>
      </c>
    </row>
    <row r="116" customFormat="false" ht="12.75" hidden="false" customHeight="true" outlineLevel="0" collapsed="false">
      <c r="E116" s="34" t="str">
        <f aca="false">MID(B116,9,1)</f>
        <v/>
      </c>
      <c r="F116" s="34" t="str">
        <f aca="false">MID(B116,10,1)</f>
        <v/>
      </c>
      <c r="G116" s="34" t="str">
        <f aca="false">MID(B116,11,1)</f>
        <v/>
      </c>
      <c r="H116" s="35" t="str">
        <f aca="false">IF(G116=".",F116,CONCATENATE(F116,G116))</f>
        <v/>
      </c>
      <c r="I116" s="34" t="n">
        <f aca="false">IFERROR(VALUE(H116),)</f>
        <v>0</v>
      </c>
      <c r="J116" s="34" t="e">
        <f aca="false">RIGHT(B116,LEN(B116)-FIND("/",B116, FIND("Single Cells",B116, 1)))</f>
        <v>#VALUE!</v>
      </c>
    </row>
    <row r="117" customFormat="false" ht="12.75" hidden="false" customHeight="true" outlineLevel="0" collapsed="false">
      <c r="E117" s="34" t="str">
        <f aca="false">MID(B117,9,1)</f>
        <v/>
      </c>
      <c r="F117" s="34" t="str">
        <f aca="false">MID(B117,10,1)</f>
        <v/>
      </c>
      <c r="G117" s="34" t="str">
        <f aca="false">MID(B117,11,1)</f>
        <v/>
      </c>
      <c r="H117" s="35" t="str">
        <f aca="false">IF(G117=".",F117,CONCATENATE(F117,G117))</f>
        <v/>
      </c>
      <c r="I117" s="34" t="n">
        <f aca="false">IFERROR(VALUE(H117),)</f>
        <v>0</v>
      </c>
      <c r="J117" s="34" t="e">
        <f aca="false">RIGHT(B117,LEN(B117)-FIND("/",B117, FIND("Single Cells",B117, 1)))</f>
        <v>#VALUE!</v>
      </c>
    </row>
    <row r="118" customFormat="false" ht="12.75" hidden="false" customHeight="true" outlineLevel="0" collapsed="false">
      <c r="E118" s="34" t="str">
        <f aca="false">MID(B118,9,1)</f>
        <v/>
      </c>
      <c r="F118" s="34" t="str">
        <f aca="false">MID(B118,10,1)</f>
        <v/>
      </c>
      <c r="G118" s="34" t="str">
        <f aca="false">MID(B118,11,1)</f>
        <v/>
      </c>
      <c r="H118" s="35" t="str">
        <f aca="false">IF(G118=".",F118,CONCATENATE(F118,G118))</f>
        <v/>
      </c>
      <c r="I118" s="34" t="n">
        <f aca="false">IFERROR(VALUE(H118),)</f>
        <v>0</v>
      </c>
      <c r="J118" s="34" t="e">
        <f aca="false">RIGHT(B118,LEN(B118)-FIND("/",B118, FIND("Single Cells",B118, 1)))</f>
        <v>#VALUE!</v>
      </c>
    </row>
    <row r="119" customFormat="false" ht="12.75" hidden="false" customHeight="true" outlineLevel="0" collapsed="false">
      <c r="E119" s="34" t="str">
        <f aca="false">MID(B119,9,1)</f>
        <v/>
      </c>
      <c r="F119" s="34" t="str">
        <f aca="false">MID(B119,10,1)</f>
        <v/>
      </c>
      <c r="G119" s="34" t="str">
        <f aca="false">MID(B119,11,1)</f>
        <v/>
      </c>
      <c r="H119" s="35" t="str">
        <f aca="false">IF(G119=".",F119,CONCATENATE(F119,G119))</f>
        <v/>
      </c>
      <c r="I119" s="34" t="n">
        <f aca="false">IFERROR(VALUE(H119),)</f>
        <v>0</v>
      </c>
      <c r="J119" s="34" t="e">
        <f aca="false">RIGHT(B119,LEN(B119)-FIND("/",B119, FIND("Single Cells",B119, 1)))</f>
        <v>#VALUE!</v>
      </c>
    </row>
    <row r="120" customFormat="false" ht="12.75" hidden="false" customHeight="true" outlineLevel="0" collapsed="false">
      <c r="E120" s="34" t="str">
        <f aca="false">MID(B120,9,1)</f>
        <v/>
      </c>
      <c r="F120" s="34" t="str">
        <f aca="false">MID(B120,10,1)</f>
        <v/>
      </c>
      <c r="G120" s="34" t="str">
        <f aca="false">MID(B120,11,1)</f>
        <v/>
      </c>
      <c r="H120" s="35" t="str">
        <f aca="false">IF(G120=".",F120,CONCATENATE(F120,G120))</f>
        <v/>
      </c>
      <c r="I120" s="34" t="n">
        <f aca="false">IFERROR(VALUE(H120),)</f>
        <v>0</v>
      </c>
      <c r="J120" s="34" t="e">
        <f aca="false">RIGHT(B120,LEN(B120)-FIND("/",B120, FIND("Single Cells",B120, 1)))</f>
        <v>#VALUE!</v>
      </c>
    </row>
    <row r="121" customFormat="false" ht="12.75" hidden="false" customHeight="true" outlineLevel="0" collapsed="false">
      <c r="E121" s="34" t="str">
        <f aca="false">MID(B121,9,1)</f>
        <v/>
      </c>
      <c r="F121" s="34" t="str">
        <f aca="false">MID(B121,10,1)</f>
        <v/>
      </c>
      <c r="G121" s="34" t="str">
        <f aca="false">MID(B121,11,1)</f>
        <v/>
      </c>
      <c r="H121" s="35" t="str">
        <f aca="false">IF(G121=".",F121,CONCATENATE(F121,G121))</f>
        <v/>
      </c>
      <c r="I121" s="34" t="n">
        <f aca="false">IFERROR(VALUE(H121),)</f>
        <v>0</v>
      </c>
      <c r="J121" s="34" t="e">
        <f aca="false">RIGHT(B121,LEN(B121)-FIND("/",B121, FIND("Single Cells",B121, 1)))</f>
        <v>#VALUE!</v>
      </c>
    </row>
    <row r="122" customFormat="false" ht="12.75" hidden="false" customHeight="true" outlineLevel="0" collapsed="false">
      <c r="E122" s="34" t="str">
        <f aca="false">MID(B122,9,1)</f>
        <v/>
      </c>
      <c r="F122" s="34" t="str">
        <f aca="false">MID(B122,10,1)</f>
        <v/>
      </c>
      <c r="G122" s="34" t="str">
        <f aca="false">MID(B122,11,1)</f>
        <v/>
      </c>
      <c r="H122" s="35" t="str">
        <f aca="false">IF(G122=".",F122,CONCATENATE(F122,G122))</f>
        <v/>
      </c>
      <c r="I122" s="34" t="n">
        <f aca="false">IFERROR(VALUE(H122),)</f>
        <v>0</v>
      </c>
      <c r="J122" s="34" t="e">
        <f aca="false">RIGHT(B122,LEN(B122)-FIND("/",B122, FIND("Single Cells",B122, 1)))</f>
        <v>#VALUE!</v>
      </c>
    </row>
    <row r="123" customFormat="false" ht="12.75" hidden="false" customHeight="true" outlineLevel="0" collapsed="false">
      <c r="E123" s="34" t="str">
        <f aca="false">MID(B123,9,1)</f>
        <v/>
      </c>
      <c r="F123" s="34" t="str">
        <f aca="false">MID(B123,10,1)</f>
        <v/>
      </c>
      <c r="G123" s="34" t="str">
        <f aca="false">MID(B123,11,1)</f>
        <v/>
      </c>
      <c r="H123" s="35" t="str">
        <f aca="false">IF(G123=".",F123,CONCATENATE(F123,G123))</f>
        <v/>
      </c>
      <c r="I123" s="34" t="n">
        <f aca="false">IFERROR(VALUE(H123),)</f>
        <v>0</v>
      </c>
      <c r="J123" s="34" t="e">
        <f aca="false">RIGHT(B123,LEN(B123)-FIND("/",B123, FIND("Single Cells",B123, 1)))</f>
        <v>#VALUE!</v>
      </c>
    </row>
    <row r="124" customFormat="false" ht="12.75" hidden="false" customHeight="true" outlineLevel="0" collapsed="false">
      <c r="E124" s="34" t="str">
        <f aca="false">MID(B124,9,1)</f>
        <v/>
      </c>
      <c r="F124" s="34" t="str">
        <f aca="false">MID(B124,10,1)</f>
        <v/>
      </c>
      <c r="G124" s="34" t="str">
        <f aca="false">MID(B124,11,1)</f>
        <v/>
      </c>
      <c r="H124" s="35" t="str">
        <f aca="false">IF(G124=".",F124,CONCATENATE(F124,G124))</f>
        <v/>
      </c>
      <c r="I124" s="34" t="n">
        <f aca="false">IFERROR(VALUE(H124),)</f>
        <v>0</v>
      </c>
      <c r="J124" s="34" t="e">
        <f aca="false">RIGHT(B124,LEN(B124)-FIND("/",B124, FIND("Single Cells",B124, 1)))</f>
        <v>#VALUE!</v>
      </c>
    </row>
    <row r="125" customFormat="false" ht="12.75" hidden="false" customHeight="true" outlineLevel="0" collapsed="false">
      <c r="E125" s="34" t="str">
        <f aca="false">MID(B125,9,1)</f>
        <v/>
      </c>
      <c r="F125" s="34" t="str">
        <f aca="false">MID(B125,10,1)</f>
        <v/>
      </c>
      <c r="G125" s="34" t="str">
        <f aca="false">MID(B125,11,1)</f>
        <v/>
      </c>
      <c r="H125" s="35" t="str">
        <f aca="false">IF(G125=".",F125,CONCATENATE(F125,G125))</f>
        <v/>
      </c>
      <c r="I125" s="34" t="n">
        <f aca="false">IFERROR(VALUE(H125),)</f>
        <v>0</v>
      </c>
      <c r="J125" s="34" t="e">
        <f aca="false">RIGHT(B125,LEN(B125)-FIND("/",B125, FIND("Single Cells",B125, 1)))</f>
        <v>#VALUE!</v>
      </c>
    </row>
    <row r="126" customFormat="false" ht="12.75" hidden="false" customHeight="true" outlineLevel="0" collapsed="false">
      <c r="E126" s="34" t="str">
        <f aca="false">MID(B126,9,1)</f>
        <v/>
      </c>
      <c r="F126" s="34" t="str">
        <f aca="false">MID(B126,10,1)</f>
        <v/>
      </c>
      <c r="G126" s="34" t="str">
        <f aca="false">MID(B126,11,1)</f>
        <v/>
      </c>
      <c r="H126" s="35" t="str">
        <f aca="false">IF(G126=".",F126,CONCATENATE(F126,G126))</f>
        <v/>
      </c>
      <c r="I126" s="34" t="n">
        <f aca="false">IFERROR(VALUE(H126),)</f>
        <v>0</v>
      </c>
      <c r="J126" s="34" t="e">
        <f aca="false">RIGHT(B126,LEN(B126)-FIND("/",B126, FIND("Single Cells",B126, 1)))</f>
        <v>#VALUE!</v>
      </c>
    </row>
    <row r="127" customFormat="false" ht="12.75" hidden="false" customHeight="true" outlineLevel="0" collapsed="false">
      <c r="E127" s="34" t="str">
        <f aca="false">MID(B127,9,1)</f>
        <v/>
      </c>
      <c r="F127" s="34" t="str">
        <f aca="false">MID(B127,10,1)</f>
        <v/>
      </c>
      <c r="G127" s="34" t="str">
        <f aca="false">MID(B127,11,1)</f>
        <v/>
      </c>
      <c r="H127" s="35" t="str">
        <f aca="false">IF(G127=".",F127,CONCATENATE(F127,G127))</f>
        <v/>
      </c>
      <c r="I127" s="34" t="n">
        <f aca="false">IFERROR(VALUE(H127),)</f>
        <v>0</v>
      </c>
      <c r="J127" s="34" t="e">
        <f aca="false">RIGHT(B127,LEN(B127)-FIND("/",B127, FIND("Single Cells",B127, 1)))</f>
        <v>#VALUE!</v>
      </c>
    </row>
    <row r="128" customFormat="false" ht="12.75" hidden="false" customHeight="true" outlineLevel="0" collapsed="false">
      <c r="E128" s="34" t="str">
        <f aca="false">MID(B128,9,1)</f>
        <v/>
      </c>
      <c r="F128" s="34" t="str">
        <f aca="false">MID(B128,10,1)</f>
        <v/>
      </c>
      <c r="G128" s="34" t="str">
        <f aca="false">MID(B128,11,1)</f>
        <v/>
      </c>
      <c r="H128" s="35" t="str">
        <f aca="false">IF(G128=".",F128,CONCATENATE(F128,G128))</f>
        <v/>
      </c>
      <c r="I128" s="34" t="n">
        <f aca="false">IFERROR(VALUE(H128),)</f>
        <v>0</v>
      </c>
      <c r="J128" s="34" t="e">
        <f aca="false">RIGHT(B128,LEN(B128)-FIND("/",B128, FIND("Single Cells",B128, 1)))</f>
        <v>#VALUE!</v>
      </c>
    </row>
    <row r="129" customFormat="false" ht="12.75" hidden="false" customHeight="true" outlineLevel="0" collapsed="false">
      <c r="E129" s="34" t="str">
        <f aca="false">MID(B129,9,1)</f>
        <v/>
      </c>
      <c r="F129" s="34" t="str">
        <f aca="false">MID(B129,10,1)</f>
        <v/>
      </c>
      <c r="G129" s="34" t="str">
        <f aca="false">MID(B129,11,1)</f>
        <v/>
      </c>
      <c r="H129" s="35" t="str">
        <f aca="false">IF(G129=".",F129,CONCATENATE(F129,G129))</f>
        <v/>
      </c>
      <c r="I129" s="34" t="n">
        <f aca="false">IFERROR(VALUE(H129),)</f>
        <v>0</v>
      </c>
      <c r="J129" s="34" t="e">
        <f aca="false">RIGHT(B129,LEN(B129)-FIND("/",B129, FIND("Single Cells",B129, 1)))</f>
        <v>#VALUE!</v>
      </c>
    </row>
    <row r="130" customFormat="false" ht="12.75" hidden="false" customHeight="true" outlineLevel="0" collapsed="false">
      <c r="E130" s="34" t="str">
        <f aca="false">MID(B130,9,1)</f>
        <v/>
      </c>
      <c r="F130" s="34" t="str">
        <f aca="false">MID(B130,10,1)</f>
        <v/>
      </c>
      <c r="G130" s="34" t="str">
        <f aca="false">MID(B130,11,1)</f>
        <v/>
      </c>
      <c r="H130" s="35" t="str">
        <f aca="false">IF(G130=".",F130,CONCATENATE(F130,G130))</f>
        <v/>
      </c>
      <c r="I130" s="34" t="n">
        <f aca="false">IFERROR(VALUE(H130),)</f>
        <v>0</v>
      </c>
      <c r="J130" s="34" t="e">
        <f aca="false">RIGHT(B130,LEN(B130)-FIND("/",B130, FIND("Single Cells",B130, 1)))</f>
        <v>#VALUE!</v>
      </c>
    </row>
    <row r="131" customFormat="false" ht="12.75" hidden="false" customHeight="true" outlineLevel="0" collapsed="false">
      <c r="E131" s="34" t="str">
        <f aca="false">MID(B131,9,1)</f>
        <v/>
      </c>
      <c r="F131" s="34" t="str">
        <f aca="false">MID(B131,10,1)</f>
        <v/>
      </c>
      <c r="G131" s="34" t="str">
        <f aca="false">MID(B131,11,1)</f>
        <v/>
      </c>
      <c r="H131" s="35" t="str">
        <f aca="false">IF(G131=".",F131,CONCATENATE(F131,G131))</f>
        <v/>
      </c>
      <c r="I131" s="34" t="n">
        <f aca="false">IFERROR(VALUE(H131),)</f>
        <v>0</v>
      </c>
      <c r="J131" s="34" t="e">
        <f aca="false">RIGHT(B131,LEN(B131)-FIND("/",B131, FIND("Single Cells",B131, 1)))</f>
        <v>#VALUE!</v>
      </c>
    </row>
    <row r="132" customFormat="false" ht="12.75" hidden="false" customHeight="true" outlineLevel="0" collapsed="false">
      <c r="E132" s="34" t="str">
        <f aca="false">MID(B132,9,1)</f>
        <v/>
      </c>
      <c r="F132" s="34" t="str">
        <f aca="false">MID(B132,10,1)</f>
        <v/>
      </c>
      <c r="G132" s="34" t="str">
        <f aca="false">MID(B132,11,1)</f>
        <v/>
      </c>
      <c r="H132" s="35" t="str">
        <f aca="false">IF(G132=".",F132,CONCATENATE(F132,G132))</f>
        <v/>
      </c>
      <c r="I132" s="34" t="n">
        <f aca="false">IFERROR(VALUE(H132),)</f>
        <v>0</v>
      </c>
      <c r="J132" s="34" t="e">
        <f aca="false">RIGHT(B132,LEN(B132)-FIND("/",B132, FIND("Single Cells",B132, 1)))</f>
        <v>#VALUE!</v>
      </c>
    </row>
    <row r="133" customFormat="false" ht="12.75" hidden="false" customHeight="true" outlineLevel="0" collapsed="false">
      <c r="E133" s="34" t="str">
        <f aca="false">MID(B133,9,1)</f>
        <v/>
      </c>
      <c r="F133" s="34" t="str">
        <f aca="false">MID(B133,10,1)</f>
        <v/>
      </c>
      <c r="G133" s="34" t="str">
        <f aca="false">MID(B133,11,1)</f>
        <v/>
      </c>
      <c r="H133" s="35" t="str">
        <f aca="false">IF(G133=".",F133,CONCATENATE(F133,G133))</f>
        <v/>
      </c>
      <c r="I133" s="34" t="n">
        <f aca="false">IFERROR(VALUE(H133),)</f>
        <v>0</v>
      </c>
      <c r="J133" s="34" t="e">
        <f aca="false">RIGHT(B133,LEN(B133)-FIND("/",B133, FIND("Single Cells",B133, 1)))</f>
        <v>#VALUE!</v>
      </c>
    </row>
    <row r="134" customFormat="false" ht="12.75" hidden="false" customHeight="true" outlineLevel="0" collapsed="false">
      <c r="E134" s="34" t="str">
        <f aca="false">MID(B134,9,1)</f>
        <v/>
      </c>
      <c r="F134" s="34" t="str">
        <f aca="false">MID(B134,10,1)</f>
        <v/>
      </c>
      <c r="G134" s="34" t="str">
        <f aca="false">MID(B134,11,1)</f>
        <v/>
      </c>
      <c r="H134" s="35" t="str">
        <f aca="false">IF(G134=".",F134,CONCATENATE(F134,G134))</f>
        <v/>
      </c>
      <c r="I134" s="34" t="n">
        <f aca="false">IFERROR(VALUE(H134),)</f>
        <v>0</v>
      </c>
      <c r="J134" s="34" t="e">
        <f aca="false">RIGHT(B134,LEN(B134)-FIND("/",B134, FIND("Single Cells",B134, 1)))</f>
        <v>#VALUE!</v>
      </c>
    </row>
    <row r="135" customFormat="false" ht="12.75" hidden="false" customHeight="true" outlineLevel="0" collapsed="false">
      <c r="E135" s="34" t="str">
        <f aca="false">MID(B135,9,1)</f>
        <v/>
      </c>
      <c r="F135" s="34" t="str">
        <f aca="false">MID(B135,10,1)</f>
        <v/>
      </c>
      <c r="G135" s="34" t="str">
        <f aca="false">MID(B135,11,1)</f>
        <v/>
      </c>
      <c r="H135" s="35" t="str">
        <f aca="false">IF(G135=".",F135,CONCATENATE(F135,G135))</f>
        <v/>
      </c>
      <c r="I135" s="34" t="n">
        <f aca="false">IFERROR(VALUE(H135),)</f>
        <v>0</v>
      </c>
      <c r="J135" s="34" t="e">
        <f aca="false">RIGHT(B135,LEN(B135)-FIND("/",B135, FIND("Single Cells",B135, 1)))</f>
        <v>#VALUE!</v>
      </c>
    </row>
    <row r="136" customFormat="false" ht="12.75" hidden="false" customHeight="true" outlineLevel="0" collapsed="false">
      <c r="E136" s="34" t="str">
        <f aca="false">MID(B136,9,1)</f>
        <v/>
      </c>
      <c r="F136" s="34" t="str">
        <f aca="false">MID(B136,10,1)</f>
        <v/>
      </c>
      <c r="G136" s="34" t="str">
        <f aca="false">MID(B136,11,1)</f>
        <v/>
      </c>
      <c r="H136" s="35" t="str">
        <f aca="false">IF(G136=".",F136,CONCATENATE(F136,G136))</f>
        <v/>
      </c>
      <c r="I136" s="34" t="n">
        <f aca="false">IFERROR(VALUE(H136),)</f>
        <v>0</v>
      </c>
      <c r="J136" s="34" t="e">
        <f aca="false">RIGHT(B136,LEN(B136)-FIND("/",B136, FIND("Single Cells",B136, 1)))</f>
        <v>#VALUE!</v>
      </c>
    </row>
    <row r="137" customFormat="false" ht="12.75" hidden="false" customHeight="true" outlineLevel="0" collapsed="false">
      <c r="E137" s="34" t="str">
        <f aca="false">MID(B137,9,1)</f>
        <v/>
      </c>
      <c r="F137" s="34" t="str">
        <f aca="false">MID(B137,10,1)</f>
        <v/>
      </c>
      <c r="G137" s="34" t="str">
        <f aca="false">MID(B137,11,1)</f>
        <v/>
      </c>
      <c r="H137" s="35" t="str">
        <f aca="false">IF(G137=".",F137,CONCATENATE(F137,G137))</f>
        <v/>
      </c>
      <c r="I137" s="34" t="n">
        <f aca="false">IFERROR(VALUE(H137),)</f>
        <v>0</v>
      </c>
      <c r="J137" s="34" t="e">
        <f aca="false">RIGHT(B137,LEN(B137)-FIND("/",B137, FIND("Single Cells",B137, 1)))</f>
        <v>#VALUE!</v>
      </c>
    </row>
    <row r="138" customFormat="false" ht="12.75" hidden="false" customHeight="true" outlineLevel="0" collapsed="false">
      <c r="E138" s="34" t="str">
        <f aca="false">MID(B138,9,1)</f>
        <v/>
      </c>
      <c r="F138" s="34" t="str">
        <f aca="false">MID(B138,10,1)</f>
        <v/>
      </c>
      <c r="G138" s="34" t="str">
        <f aca="false">MID(B138,11,1)</f>
        <v/>
      </c>
      <c r="H138" s="35" t="str">
        <f aca="false">IF(G138=".",F138,CONCATENATE(F138,G138))</f>
        <v/>
      </c>
      <c r="I138" s="34" t="n">
        <f aca="false">IFERROR(VALUE(H138),)</f>
        <v>0</v>
      </c>
      <c r="J138" s="34" t="e">
        <f aca="false">RIGHT(B138,LEN(B138)-FIND("/",B138, FIND("Single Cells",B138, 1)))</f>
        <v>#VALUE!</v>
      </c>
    </row>
    <row r="139" customFormat="false" ht="12.75" hidden="false" customHeight="true" outlineLevel="0" collapsed="false">
      <c r="E139" s="34" t="str">
        <f aca="false">MID(B139,9,1)</f>
        <v/>
      </c>
      <c r="F139" s="34" t="str">
        <f aca="false">MID(B139,10,1)</f>
        <v/>
      </c>
      <c r="G139" s="34" t="str">
        <f aca="false">MID(B139,11,1)</f>
        <v/>
      </c>
      <c r="H139" s="35" t="str">
        <f aca="false">IF(G139=".",F139,CONCATENATE(F139,G139))</f>
        <v/>
      </c>
      <c r="I139" s="34" t="n">
        <f aca="false">IFERROR(VALUE(H139),)</f>
        <v>0</v>
      </c>
      <c r="J139" s="34" t="e">
        <f aca="false">RIGHT(B139,LEN(B139)-FIND("/",B139, FIND("Single Cells",B139, 1)))</f>
        <v>#VALUE!</v>
      </c>
    </row>
    <row r="140" customFormat="false" ht="12.75" hidden="false" customHeight="true" outlineLevel="0" collapsed="false">
      <c r="E140" s="34" t="str">
        <f aca="false">MID(B140,9,1)</f>
        <v/>
      </c>
      <c r="F140" s="34" t="str">
        <f aca="false">MID(B140,10,1)</f>
        <v/>
      </c>
      <c r="G140" s="34" t="str">
        <f aca="false">MID(B140,11,1)</f>
        <v/>
      </c>
      <c r="H140" s="35" t="str">
        <f aca="false">IF(G140=".",F140,CONCATENATE(F140,G140))</f>
        <v/>
      </c>
      <c r="I140" s="34" t="n">
        <f aca="false">IFERROR(VALUE(H140),)</f>
        <v>0</v>
      </c>
      <c r="J140" s="34" t="e">
        <f aca="false">RIGHT(B140,LEN(B140)-FIND("/",B140, FIND("Single Cells",B140, 1)))</f>
        <v>#VALUE!</v>
      </c>
    </row>
    <row r="141" customFormat="false" ht="12.75" hidden="false" customHeight="true" outlineLevel="0" collapsed="false">
      <c r="E141" s="34" t="str">
        <f aca="false">MID(B141,9,1)</f>
        <v/>
      </c>
      <c r="F141" s="34" t="str">
        <f aca="false">MID(B141,10,1)</f>
        <v/>
      </c>
      <c r="G141" s="34" t="str">
        <f aca="false">MID(B141,11,1)</f>
        <v/>
      </c>
      <c r="H141" s="35" t="str">
        <f aca="false">IF(G141=".",F141,CONCATENATE(F141,G141))</f>
        <v/>
      </c>
      <c r="I141" s="34" t="n">
        <f aca="false">IFERROR(VALUE(H141),)</f>
        <v>0</v>
      </c>
      <c r="J141" s="34" t="e">
        <f aca="false">RIGHT(B141,LEN(B141)-FIND("/",B141, FIND("Single Cells",B141, 1)))</f>
        <v>#VALUE!</v>
      </c>
    </row>
    <row r="142" customFormat="false" ht="12.75" hidden="false" customHeight="true" outlineLevel="0" collapsed="false">
      <c r="E142" s="34" t="str">
        <f aca="false">MID(B142,9,1)</f>
        <v/>
      </c>
      <c r="F142" s="34" t="str">
        <f aca="false">MID(B142,10,1)</f>
        <v/>
      </c>
      <c r="G142" s="34" t="str">
        <f aca="false">MID(B142,11,1)</f>
        <v/>
      </c>
      <c r="H142" s="35" t="str">
        <f aca="false">IF(G142=".",F142,CONCATENATE(F142,G142))</f>
        <v/>
      </c>
      <c r="I142" s="34" t="n">
        <f aca="false">IFERROR(VALUE(H142),)</f>
        <v>0</v>
      </c>
      <c r="J142" s="34" t="e">
        <f aca="false">RIGHT(B142,LEN(B142)-FIND("/",B142, FIND("Single Cells",B142, 1)))</f>
        <v>#VALUE!</v>
      </c>
    </row>
    <row r="143" customFormat="false" ht="12.75" hidden="false" customHeight="true" outlineLevel="0" collapsed="false">
      <c r="E143" s="34" t="str">
        <f aca="false">MID(B143,9,1)</f>
        <v/>
      </c>
      <c r="F143" s="34" t="str">
        <f aca="false">MID(B143,10,1)</f>
        <v/>
      </c>
      <c r="G143" s="34" t="str">
        <f aca="false">MID(B143,11,1)</f>
        <v/>
      </c>
      <c r="H143" s="35" t="str">
        <f aca="false">IF(G143=".",F143,CONCATENATE(F143,G143))</f>
        <v/>
      </c>
      <c r="I143" s="34" t="n">
        <f aca="false">IFERROR(VALUE(H143),)</f>
        <v>0</v>
      </c>
      <c r="J143" s="34" t="e">
        <f aca="false">RIGHT(B143,LEN(B143)-FIND("/",B143, FIND("Single Cells",B143, 1)))</f>
        <v>#VALUE!</v>
      </c>
    </row>
    <row r="144" customFormat="false" ht="12.75" hidden="false" customHeight="true" outlineLevel="0" collapsed="false">
      <c r="E144" s="34" t="str">
        <f aca="false">MID(B144,9,1)</f>
        <v/>
      </c>
      <c r="F144" s="34" t="str">
        <f aca="false">MID(B144,10,1)</f>
        <v/>
      </c>
      <c r="G144" s="34" t="str">
        <f aca="false">MID(B144,11,1)</f>
        <v/>
      </c>
      <c r="H144" s="35" t="str">
        <f aca="false">IF(G144=".",F144,CONCATENATE(F144,G144))</f>
        <v/>
      </c>
      <c r="I144" s="34" t="n">
        <f aca="false">IFERROR(VALUE(H144),)</f>
        <v>0</v>
      </c>
      <c r="J144" s="34" t="e">
        <f aca="false">RIGHT(B144,LEN(B144)-FIND("/",B144, FIND("Single Cells",B144, 1)))</f>
        <v>#VALUE!</v>
      </c>
    </row>
    <row r="145" customFormat="false" ht="12.75" hidden="false" customHeight="true" outlineLevel="0" collapsed="false">
      <c r="E145" s="34" t="str">
        <f aca="false">MID(B145,9,1)</f>
        <v/>
      </c>
      <c r="F145" s="34" t="str">
        <f aca="false">MID(B145,10,1)</f>
        <v/>
      </c>
      <c r="G145" s="34" t="str">
        <f aca="false">MID(B145,11,1)</f>
        <v/>
      </c>
      <c r="H145" s="35" t="str">
        <f aca="false">IF(G145=".",F145,CONCATENATE(F145,G145))</f>
        <v/>
      </c>
      <c r="I145" s="34" t="n">
        <f aca="false">IFERROR(VALUE(H145),)</f>
        <v>0</v>
      </c>
      <c r="J145" s="34" t="e">
        <f aca="false">RIGHT(B145,LEN(B145)-FIND("/",B145, FIND("Single Cells",B145, 1)))</f>
        <v>#VALUE!</v>
      </c>
    </row>
    <row r="146" customFormat="false" ht="12.75" hidden="false" customHeight="true" outlineLevel="0" collapsed="false">
      <c r="E146" s="34" t="str">
        <f aca="false">MID(B146,9,1)</f>
        <v/>
      </c>
      <c r="F146" s="34" t="str">
        <f aca="false">MID(B146,10,1)</f>
        <v/>
      </c>
      <c r="G146" s="34" t="str">
        <f aca="false">MID(B146,11,1)</f>
        <v/>
      </c>
      <c r="H146" s="35" t="str">
        <f aca="false">IF(G146=".",F146,CONCATENATE(F146,G146))</f>
        <v/>
      </c>
      <c r="I146" s="34" t="n">
        <f aca="false">IFERROR(VALUE(H146),)</f>
        <v>0</v>
      </c>
      <c r="J146" s="34" t="e">
        <f aca="false">RIGHT(B146,LEN(B146)-FIND("/",B146, FIND("Single Cells",B146, 1)))</f>
        <v>#VALUE!</v>
      </c>
    </row>
    <row r="147" customFormat="false" ht="12.75" hidden="false" customHeight="true" outlineLevel="0" collapsed="false">
      <c r="E147" s="34" t="str">
        <f aca="false">MID(B147,9,1)</f>
        <v/>
      </c>
      <c r="F147" s="34" t="str">
        <f aca="false">MID(B147,10,1)</f>
        <v/>
      </c>
      <c r="G147" s="34" t="str">
        <f aca="false">MID(B147,11,1)</f>
        <v/>
      </c>
      <c r="H147" s="35" t="str">
        <f aca="false">IF(G147=".",F147,CONCATENATE(F147,G147))</f>
        <v/>
      </c>
      <c r="I147" s="34" t="n">
        <f aca="false">IFERROR(VALUE(H147),)</f>
        <v>0</v>
      </c>
      <c r="J147" s="34" t="e">
        <f aca="false">RIGHT(B147,LEN(B147)-FIND("/",B147, FIND("Single Cells",B147, 1)))</f>
        <v>#VALUE!</v>
      </c>
    </row>
    <row r="148" customFormat="false" ht="12.75" hidden="false" customHeight="true" outlineLevel="0" collapsed="false">
      <c r="E148" s="34" t="str">
        <f aca="false">MID(B148,9,1)</f>
        <v/>
      </c>
      <c r="F148" s="34" t="str">
        <f aca="false">MID(B148,10,1)</f>
        <v/>
      </c>
      <c r="G148" s="34" t="str">
        <f aca="false">MID(B148,11,1)</f>
        <v/>
      </c>
      <c r="H148" s="35" t="str">
        <f aca="false">IF(G148=".",F148,CONCATENATE(F148,G148))</f>
        <v/>
      </c>
      <c r="I148" s="34" t="n">
        <f aca="false">IFERROR(VALUE(H148),)</f>
        <v>0</v>
      </c>
      <c r="J148" s="34" t="e">
        <f aca="false">RIGHT(B148,LEN(B148)-FIND("/",B148, FIND("Single Cells",B148, 1)))</f>
        <v>#VALUE!</v>
      </c>
    </row>
    <row r="149" customFormat="false" ht="12.75" hidden="false" customHeight="true" outlineLevel="0" collapsed="false">
      <c r="E149" s="34" t="str">
        <f aca="false">MID(B149,9,1)</f>
        <v/>
      </c>
      <c r="F149" s="34" t="str">
        <f aca="false">MID(B149,10,1)</f>
        <v/>
      </c>
      <c r="G149" s="34" t="str">
        <f aca="false">MID(B149,11,1)</f>
        <v/>
      </c>
      <c r="H149" s="35" t="str">
        <f aca="false">IF(G149=".",F149,CONCATENATE(F149,G149))</f>
        <v/>
      </c>
      <c r="I149" s="34" t="n">
        <f aca="false">IFERROR(VALUE(H149),)</f>
        <v>0</v>
      </c>
      <c r="J149" s="34" t="e">
        <f aca="false">RIGHT(B149,LEN(B149)-FIND("/",B149, FIND("Single Cells",B149, 1)))</f>
        <v>#VALUE!</v>
      </c>
    </row>
    <row r="150" customFormat="false" ht="12.75" hidden="false" customHeight="true" outlineLevel="0" collapsed="false">
      <c r="E150" s="34" t="str">
        <f aca="false">MID(B150,9,1)</f>
        <v/>
      </c>
      <c r="F150" s="34" t="str">
        <f aca="false">MID(B150,10,1)</f>
        <v/>
      </c>
      <c r="G150" s="34" t="str">
        <f aca="false">MID(B150,11,1)</f>
        <v/>
      </c>
      <c r="H150" s="35" t="str">
        <f aca="false">IF(G150=".",F150,CONCATENATE(F150,G150))</f>
        <v/>
      </c>
      <c r="I150" s="34" t="n">
        <f aca="false">IFERROR(VALUE(H150),)</f>
        <v>0</v>
      </c>
      <c r="J150" s="34" t="e">
        <f aca="false">RIGHT(B150,LEN(B150)-FIND("/",B150, FIND("Single Cells",B150, 1)))</f>
        <v>#VALUE!</v>
      </c>
    </row>
    <row r="151" customFormat="false" ht="12.75" hidden="false" customHeight="true" outlineLevel="0" collapsed="false">
      <c r="E151" s="34" t="str">
        <f aca="false">MID(B151,9,1)</f>
        <v/>
      </c>
      <c r="F151" s="34" t="str">
        <f aca="false">MID(B151,10,1)</f>
        <v/>
      </c>
      <c r="G151" s="34" t="str">
        <f aca="false">MID(B151,11,1)</f>
        <v/>
      </c>
      <c r="H151" s="35" t="str">
        <f aca="false">IF(G151=".",F151,CONCATENATE(F151,G151))</f>
        <v/>
      </c>
      <c r="I151" s="34" t="n">
        <f aca="false">IFERROR(VALUE(H151),)</f>
        <v>0</v>
      </c>
      <c r="J151" s="34" t="e">
        <f aca="false">RIGHT(B151,LEN(B151)-FIND("/",B151, FIND("Single Cells",B151, 1)))</f>
        <v>#VALUE!</v>
      </c>
    </row>
    <row r="152" customFormat="false" ht="12.75" hidden="false" customHeight="true" outlineLevel="0" collapsed="false">
      <c r="E152" s="34" t="str">
        <f aca="false">MID(B152,9,1)</f>
        <v/>
      </c>
      <c r="F152" s="34" t="str">
        <f aca="false">MID(B152,10,1)</f>
        <v/>
      </c>
      <c r="G152" s="34" t="str">
        <f aca="false">MID(B152,11,1)</f>
        <v/>
      </c>
      <c r="H152" s="35" t="str">
        <f aca="false">IF(G152=".",F152,CONCATENATE(F152,G152))</f>
        <v/>
      </c>
      <c r="I152" s="34" t="n">
        <f aca="false">IFERROR(VALUE(H152),)</f>
        <v>0</v>
      </c>
      <c r="J152" s="34" t="e">
        <f aca="false">RIGHT(B152,LEN(B152)-FIND("/",B152, FIND("Single Cells",B152, 1)))</f>
        <v>#VALUE!</v>
      </c>
    </row>
    <row r="153" customFormat="false" ht="12.75" hidden="false" customHeight="true" outlineLevel="0" collapsed="false">
      <c r="E153" s="34" t="str">
        <f aca="false">MID(B153,9,1)</f>
        <v/>
      </c>
      <c r="F153" s="34" t="str">
        <f aca="false">MID(B153,10,1)</f>
        <v/>
      </c>
      <c r="G153" s="34" t="str">
        <f aca="false">MID(B153,11,1)</f>
        <v/>
      </c>
      <c r="H153" s="35" t="str">
        <f aca="false">IF(G153=".",F153,CONCATENATE(F153,G153))</f>
        <v/>
      </c>
      <c r="I153" s="34" t="n">
        <f aca="false">IFERROR(VALUE(H153),)</f>
        <v>0</v>
      </c>
      <c r="J153" s="34" t="e">
        <f aca="false">RIGHT(B153,LEN(B153)-FIND("/",B153, FIND("Single Cells",B153, 1)))</f>
        <v>#VALUE!</v>
      </c>
    </row>
    <row r="154" customFormat="false" ht="12.75" hidden="false" customHeight="true" outlineLevel="0" collapsed="false">
      <c r="E154" s="34" t="str">
        <f aca="false">MID(B154,9,1)</f>
        <v/>
      </c>
      <c r="F154" s="34" t="str">
        <f aca="false">MID(B154,10,1)</f>
        <v/>
      </c>
      <c r="G154" s="34" t="str">
        <f aca="false">MID(B154,11,1)</f>
        <v/>
      </c>
      <c r="H154" s="35" t="str">
        <f aca="false">IF(G154=".",F154,CONCATENATE(F154,G154))</f>
        <v/>
      </c>
      <c r="I154" s="34" t="n">
        <f aca="false">IFERROR(VALUE(H154),)</f>
        <v>0</v>
      </c>
      <c r="J154" s="34" t="e">
        <f aca="false">RIGHT(B154,LEN(B154)-FIND("/",B154, FIND("Single Cells",B154, 1)))</f>
        <v>#VALUE!</v>
      </c>
    </row>
    <row r="155" customFormat="false" ht="12.75" hidden="false" customHeight="true" outlineLevel="0" collapsed="false">
      <c r="E155" s="34" t="str">
        <f aca="false">MID(B155,9,1)</f>
        <v/>
      </c>
      <c r="F155" s="34" t="str">
        <f aca="false">MID(B155,10,1)</f>
        <v/>
      </c>
      <c r="G155" s="34" t="str">
        <f aca="false">MID(B155,11,1)</f>
        <v/>
      </c>
      <c r="H155" s="35" t="str">
        <f aca="false">IF(G155=".",F155,CONCATENATE(F155,G155))</f>
        <v/>
      </c>
      <c r="I155" s="34" t="n">
        <f aca="false">IFERROR(VALUE(H155),)</f>
        <v>0</v>
      </c>
      <c r="J155" s="34" t="e">
        <f aca="false">RIGHT(B155,LEN(B155)-FIND("/",B155, FIND("Single Cells",B155, 1)))</f>
        <v>#VALUE!</v>
      </c>
    </row>
    <row r="156" customFormat="false" ht="12.75" hidden="false" customHeight="true" outlineLevel="0" collapsed="false">
      <c r="E156" s="34" t="str">
        <f aca="false">MID(B156,9,1)</f>
        <v/>
      </c>
      <c r="F156" s="34" t="str">
        <f aca="false">MID(B156,10,1)</f>
        <v/>
      </c>
      <c r="G156" s="34" t="str">
        <f aca="false">MID(B156,11,1)</f>
        <v/>
      </c>
      <c r="H156" s="35" t="str">
        <f aca="false">IF(G156=".",F156,CONCATENATE(F156,G156))</f>
        <v/>
      </c>
      <c r="I156" s="34" t="n">
        <f aca="false">IFERROR(VALUE(H156),)</f>
        <v>0</v>
      </c>
      <c r="J156" s="34" t="e">
        <f aca="false">RIGHT(B156,LEN(B156)-FIND("/",B156, FIND("Single Cells",B156, 1)))</f>
        <v>#VALUE!</v>
      </c>
    </row>
    <row r="157" customFormat="false" ht="12.75" hidden="false" customHeight="true" outlineLevel="0" collapsed="false">
      <c r="E157" s="34" t="str">
        <f aca="false">MID(B157,9,1)</f>
        <v/>
      </c>
      <c r="F157" s="34" t="str">
        <f aca="false">MID(B157,10,1)</f>
        <v/>
      </c>
      <c r="G157" s="34" t="str">
        <f aca="false">MID(B157,11,1)</f>
        <v/>
      </c>
      <c r="H157" s="35" t="str">
        <f aca="false">IF(G157=".",F157,CONCATENATE(F157,G157))</f>
        <v/>
      </c>
      <c r="I157" s="34" t="n">
        <f aca="false">IFERROR(VALUE(H157),)</f>
        <v>0</v>
      </c>
      <c r="J157" s="34" t="e">
        <f aca="false">RIGHT(B157,LEN(B157)-FIND("/",B157, FIND("Single Cells",B157, 1)))</f>
        <v>#VALUE!</v>
      </c>
    </row>
    <row r="158" customFormat="false" ht="12.75" hidden="false" customHeight="true" outlineLevel="0" collapsed="false">
      <c r="E158" s="34" t="str">
        <f aca="false">MID(B158,9,1)</f>
        <v/>
      </c>
      <c r="F158" s="34" t="str">
        <f aca="false">MID(B158,10,1)</f>
        <v/>
      </c>
      <c r="G158" s="34" t="str">
        <f aca="false">MID(B158,11,1)</f>
        <v/>
      </c>
      <c r="H158" s="35" t="str">
        <f aca="false">IF(G158=".",F158,CONCATENATE(F158,G158))</f>
        <v/>
      </c>
      <c r="I158" s="34" t="n">
        <f aca="false">IFERROR(VALUE(H158),)</f>
        <v>0</v>
      </c>
      <c r="J158" s="34" t="e">
        <f aca="false">RIGHT(B158,LEN(B158)-FIND("/",B158, FIND("Single Cells",B158, 1)))</f>
        <v>#VALUE!</v>
      </c>
    </row>
    <row r="159" customFormat="false" ht="12.75" hidden="false" customHeight="true" outlineLevel="0" collapsed="false">
      <c r="E159" s="34" t="str">
        <f aca="false">MID(B159,9,1)</f>
        <v/>
      </c>
      <c r="F159" s="34" t="str">
        <f aca="false">MID(B159,10,1)</f>
        <v/>
      </c>
      <c r="G159" s="34" t="str">
        <f aca="false">MID(B159,11,1)</f>
        <v/>
      </c>
      <c r="H159" s="35" t="str">
        <f aca="false">IF(G159=".",F159,CONCATENATE(F159,G159))</f>
        <v/>
      </c>
      <c r="I159" s="34" t="n">
        <f aca="false">IFERROR(VALUE(H159),)</f>
        <v>0</v>
      </c>
      <c r="J159" s="34" t="e">
        <f aca="false">RIGHT(B159,LEN(B159)-FIND("/",B159, FIND("Single Cells",B159, 1)))</f>
        <v>#VALUE!</v>
      </c>
    </row>
    <row r="160" customFormat="false" ht="12.75" hidden="false" customHeight="true" outlineLevel="0" collapsed="false">
      <c r="E160" s="34" t="str">
        <f aca="false">MID(B160,9,1)</f>
        <v/>
      </c>
      <c r="F160" s="34" t="str">
        <f aca="false">MID(B160,10,1)</f>
        <v/>
      </c>
      <c r="G160" s="34" t="str">
        <f aca="false">MID(B160,11,1)</f>
        <v/>
      </c>
      <c r="H160" s="35" t="str">
        <f aca="false">IF(G160=".",F160,CONCATENATE(F160,G160))</f>
        <v/>
      </c>
      <c r="I160" s="34" t="n">
        <f aca="false">IFERROR(VALUE(H160),)</f>
        <v>0</v>
      </c>
      <c r="J160" s="34" t="e">
        <f aca="false">RIGHT(B160,LEN(B160)-FIND("/",B160, FIND("Single Cells",B160, 1)))</f>
        <v>#VALUE!</v>
      </c>
    </row>
    <row r="161" customFormat="false" ht="12.75" hidden="false" customHeight="true" outlineLevel="0" collapsed="false">
      <c r="E161" s="34" t="str">
        <f aca="false">MID(B161,9,1)</f>
        <v/>
      </c>
      <c r="F161" s="34" t="str">
        <f aca="false">MID(B161,10,1)</f>
        <v/>
      </c>
      <c r="G161" s="34" t="str">
        <f aca="false">MID(B161,11,1)</f>
        <v/>
      </c>
      <c r="H161" s="35" t="str">
        <f aca="false">IF(G161=".",F161,CONCATENATE(F161,G161))</f>
        <v/>
      </c>
      <c r="I161" s="34" t="n">
        <f aca="false">IFERROR(VALUE(H161),)</f>
        <v>0</v>
      </c>
      <c r="J161" s="34" t="e">
        <f aca="false">RIGHT(B161,LEN(B161)-FIND("/",B161, FIND("Single Cells",B161, 1)))</f>
        <v>#VALUE!</v>
      </c>
    </row>
    <row r="162" customFormat="false" ht="12.75" hidden="false" customHeight="true" outlineLevel="0" collapsed="false">
      <c r="E162" s="34" t="str">
        <f aca="false">MID(B162,9,1)</f>
        <v/>
      </c>
      <c r="F162" s="34" t="str">
        <f aca="false">MID(B162,10,1)</f>
        <v/>
      </c>
      <c r="G162" s="34" t="str">
        <f aca="false">MID(B162,11,1)</f>
        <v/>
      </c>
      <c r="H162" s="35" t="str">
        <f aca="false">IF(G162=".",F162,CONCATENATE(F162,G162))</f>
        <v/>
      </c>
      <c r="I162" s="34" t="n">
        <f aca="false">IFERROR(VALUE(H162),)</f>
        <v>0</v>
      </c>
      <c r="J162" s="34" t="e">
        <f aca="false">RIGHT(B162,LEN(B162)-FIND("/",B162, FIND("Single Cells",B162, 1)))</f>
        <v>#VALUE!</v>
      </c>
    </row>
    <row r="163" customFormat="false" ht="12.75" hidden="false" customHeight="true" outlineLevel="0" collapsed="false">
      <c r="E163" s="34" t="str">
        <f aca="false">MID(B163,9,1)</f>
        <v/>
      </c>
      <c r="F163" s="34" t="str">
        <f aca="false">MID(B163,10,1)</f>
        <v/>
      </c>
      <c r="G163" s="34" t="str">
        <f aca="false">MID(B163,11,1)</f>
        <v/>
      </c>
      <c r="H163" s="35" t="str">
        <f aca="false">IF(G163=".",F163,CONCATENATE(F163,G163))</f>
        <v/>
      </c>
      <c r="I163" s="34" t="n">
        <f aca="false">IFERROR(VALUE(H163),)</f>
        <v>0</v>
      </c>
      <c r="J163" s="34" t="e">
        <f aca="false">RIGHT(B163,LEN(B163)-FIND("/",B163, FIND("Single Cells",B163, 1)))</f>
        <v>#VALUE!</v>
      </c>
    </row>
    <row r="164" customFormat="false" ht="12.75" hidden="false" customHeight="true" outlineLevel="0" collapsed="false">
      <c r="E164" s="34" t="str">
        <f aca="false">MID(B164,9,1)</f>
        <v/>
      </c>
      <c r="F164" s="34" t="str">
        <f aca="false">MID(B164,10,1)</f>
        <v/>
      </c>
      <c r="G164" s="34" t="str">
        <f aca="false">MID(B164,11,1)</f>
        <v/>
      </c>
      <c r="H164" s="35" t="str">
        <f aca="false">IF(G164=".",F164,CONCATENATE(F164,G164))</f>
        <v/>
      </c>
      <c r="I164" s="34" t="n">
        <f aca="false">IFERROR(VALUE(H164),)</f>
        <v>0</v>
      </c>
      <c r="J164" s="34" t="e">
        <f aca="false">RIGHT(B164,LEN(B164)-FIND("/",B164, FIND("Single Cells",B164, 1)))</f>
        <v>#VALUE!</v>
      </c>
    </row>
    <row r="165" customFormat="false" ht="12.75" hidden="false" customHeight="true" outlineLevel="0" collapsed="false">
      <c r="E165" s="34" t="str">
        <f aca="false">MID(B165,9,1)</f>
        <v/>
      </c>
      <c r="F165" s="34" t="str">
        <f aca="false">MID(B165,10,1)</f>
        <v/>
      </c>
      <c r="G165" s="34" t="str">
        <f aca="false">MID(B165,11,1)</f>
        <v/>
      </c>
      <c r="H165" s="35" t="str">
        <f aca="false">IF(G165=".",F165,CONCATENATE(F165,G165))</f>
        <v/>
      </c>
      <c r="I165" s="34" t="n">
        <f aca="false">IFERROR(VALUE(H165),)</f>
        <v>0</v>
      </c>
      <c r="J165" s="34" t="e">
        <f aca="false">RIGHT(B165,LEN(B165)-FIND("/",B165, FIND("Single Cells",B165, 1)))</f>
        <v>#VALUE!</v>
      </c>
    </row>
    <row r="166" customFormat="false" ht="12.75" hidden="false" customHeight="true" outlineLevel="0" collapsed="false">
      <c r="E166" s="34" t="str">
        <f aca="false">MID(B166,9,1)</f>
        <v/>
      </c>
      <c r="F166" s="34" t="str">
        <f aca="false">MID(B166,10,1)</f>
        <v/>
      </c>
      <c r="G166" s="34" t="str">
        <f aca="false">MID(B166,11,1)</f>
        <v/>
      </c>
      <c r="H166" s="35" t="str">
        <f aca="false">IF(G166=".",F166,CONCATENATE(F166,G166))</f>
        <v/>
      </c>
      <c r="I166" s="34" t="n">
        <f aca="false">IFERROR(VALUE(H166),)</f>
        <v>0</v>
      </c>
      <c r="J166" s="34" t="e">
        <f aca="false">RIGHT(B166,LEN(B166)-FIND("/",B166, FIND("Single Cells",B166, 1)))</f>
        <v>#VALUE!</v>
      </c>
    </row>
    <row r="167" customFormat="false" ht="12.75" hidden="false" customHeight="true" outlineLevel="0" collapsed="false">
      <c r="E167" s="34" t="str">
        <f aca="false">MID(B167,9,1)</f>
        <v/>
      </c>
      <c r="F167" s="34" t="str">
        <f aca="false">MID(B167,10,1)</f>
        <v/>
      </c>
      <c r="G167" s="34" t="str">
        <f aca="false">MID(B167,11,1)</f>
        <v/>
      </c>
      <c r="H167" s="35" t="str">
        <f aca="false">IF(G167=".",F167,CONCATENATE(F167,G167))</f>
        <v/>
      </c>
      <c r="I167" s="34" t="n">
        <f aca="false">IFERROR(VALUE(H167),)</f>
        <v>0</v>
      </c>
      <c r="J167" s="34" t="e">
        <f aca="false">RIGHT(B167,LEN(B167)-FIND("/",B167, FIND("Single Cells",B167, 1)))</f>
        <v>#VALUE!</v>
      </c>
    </row>
    <row r="168" customFormat="false" ht="12.75" hidden="false" customHeight="true" outlineLevel="0" collapsed="false">
      <c r="E168" s="34" t="str">
        <f aca="false">MID(B168,9,1)</f>
        <v/>
      </c>
      <c r="F168" s="34" t="str">
        <f aca="false">MID(B168,10,1)</f>
        <v/>
      </c>
      <c r="G168" s="34" t="str">
        <f aca="false">MID(B168,11,1)</f>
        <v/>
      </c>
      <c r="H168" s="35" t="str">
        <f aca="false">IF(G168=".",F168,CONCATENATE(F168,G168))</f>
        <v/>
      </c>
      <c r="I168" s="34" t="n">
        <f aca="false">IFERROR(VALUE(H168),)</f>
        <v>0</v>
      </c>
      <c r="J168" s="34" t="e">
        <f aca="false">RIGHT(B168,LEN(B168)-FIND("/",B168, FIND("Single Cells",B168, 1)))</f>
        <v>#VALUE!</v>
      </c>
    </row>
    <row r="169" customFormat="false" ht="12.75" hidden="false" customHeight="true" outlineLevel="0" collapsed="false">
      <c r="E169" s="34" t="str">
        <f aca="false">MID(B169,9,1)</f>
        <v/>
      </c>
      <c r="F169" s="34" t="str">
        <f aca="false">MID(B169,10,1)</f>
        <v/>
      </c>
      <c r="G169" s="34" t="str">
        <f aca="false">MID(B169,11,1)</f>
        <v/>
      </c>
      <c r="H169" s="35" t="str">
        <f aca="false">IF(G169=".",F169,CONCATENATE(F169,G169))</f>
        <v/>
      </c>
      <c r="I169" s="34" t="n">
        <f aca="false">IFERROR(VALUE(H169),)</f>
        <v>0</v>
      </c>
      <c r="J169" s="34" t="e">
        <f aca="false">RIGHT(B169,LEN(B169)-FIND("/",B169, FIND("Single Cells",B169, 1)))</f>
        <v>#VALUE!</v>
      </c>
    </row>
    <row r="170" customFormat="false" ht="12.75" hidden="false" customHeight="true" outlineLevel="0" collapsed="false">
      <c r="E170" s="34" t="str">
        <f aca="false">MID(B170,9,1)</f>
        <v/>
      </c>
      <c r="F170" s="34" t="str">
        <f aca="false">MID(B170,10,1)</f>
        <v/>
      </c>
      <c r="G170" s="34" t="str">
        <f aca="false">MID(B170,11,1)</f>
        <v/>
      </c>
      <c r="H170" s="35" t="str">
        <f aca="false">IF(G170=".",F170,CONCATENATE(F170,G170))</f>
        <v/>
      </c>
      <c r="I170" s="34" t="n">
        <f aca="false">IFERROR(VALUE(H170),)</f>
        <v>0</v>
      </c>
      <c r="J170" s="34" t="e">
        <f aca="false">RIGHT(B170,LEN(B170)-FIND("/",B170, FIND("Single Cells",B170, 1)))</f>
        <v>#VALUE!</v>
      </c>
    </row>
    <row r="171" customFormat="false" ht="12.75" hidden="false" customHeight="true" outlineLevel="0" collapsed="false">
      <c r="E171" s="34" t="str">
        <f aca="false">MID(B171,9,1)</f>
        <v/>
      </c>
      <c r="F171" s="34" t="str">
        <f aca="false">MID(B171,10,1)</f>
        <v/>
      </c>
      <c r="G171" s="34" t="str">
        <f aca="false">MID(B171,11,1)</f>
        <v/>
      </c>
      <c r="H171" s="35" t="str">
        <f aca="false">IF(G171=".",F171,CONCATENATE(F171,G171))</f>
        <v/>
      </c>
      <c r="I171" s="34" t="n">
        <f aca="false">IFERROR(VALUE(H171),)</f>
        <v>0</v>
      </c>
      <c r="J171" s="34" t="e">
        <f aca="false">RIGHT(B171,LEN(B171)-FIND("/",B171, FIND("Single Cells",B171, 1)))</f>
        <v>#VALUE!</v>
      </c>
    </row>
    <row r="172" customFormat="false" ht="12.75" hidden="false" customHeight="true" outlineLevel="0" collapsed="false">
      <c r="E172" s="34" t="str">
        <f aca="false">MID(B172,9,1)</f>
        <v/>
      </c>
      <c r="F172" s="34" t="str">
        <f aca="false">MID(B172,10,1)</f>
        <v/>
      </c>
      <c r="G172" s="34" t="str">
        <f aca="false">MID(B172,11,1)</f>
        <v/>
      </c>
      <c r="H172" s="35" t="str">
        <f aca="false">IF(G172=".",F172,CONCATENATE(F172,G172))</f>
        <v/>
      </c>
      <c r="I172" s="34" t="n">
        <f aca="false">IFERROR(VALUE(H172),)</f>
        <v>0</v>
      </c>
      <c r="J172" s="34" t="e">
        <f aca="false">RIGHT(B172,LEN(B172)-FIND("/",B172, FIND("Single Cells",B172, 1)))</f>
        <v>#VALUE!</v>
      </c>
    </row>
    <row r="173" customFormat="false" ht="12.75" hidden="false" customHeight="true" outlineLevel="0" collapsed="false">
      <c r="E173" s="34" t="str">
        <f aca="false">MID(B173,9,1)</f>
        <v/>
      </c>
      <c r="F173" s="34" t="str">
        <f aca="false">MID(B173,10,1)</f>
        <v/>
      </c>
      <c r="G173" s="34" t="str">
        <f aca="false">MID(B173,11,1)</f>
        <v/>
      </c>
      <c r="H173" s="35" t="str">
        <f aca="false">IF(G173=".",F173,CONCATENATE(F173,G173))</f>
        <v/>
      </c>
      <c r="I173" s="34" t="n">
        <f aca="false">IFERROR(VALUE(H173),)</f>
        <v>0</v>
      </c>
      <c r="J173" s="34" t="e">
        <f aca="false">RIGHT(B173,LEN(B173)-FIND("/",B173, FIND("Single Cells",B173, 1)))</f>
        <v>#VALUE!</v>
      </c>
    </row>
    <row r="174" customFormat="false" ht="12.75" hidden="false" customHeight="true" outlineLevel="0" collapsed="false">
      <c r="E174" s="34" t="str">
        <f aca="false">MID(B174,9,1)</f>
        <v/>
      </c>
      <c r="F174" s="34" t="str">
        <f aca="false">MID(B174,10,1)</f>
        <v/>
      </c>
      <c r="G174" s="34" t="str">
        <f aca="false">MID(B174,11,1)</f>
        <v/>
      </c>
      <c r="H174" s="35" t="str">
        <f aca="false">IF(G174=".",F174,CONCATENATE(F174,G174))</f>
        <v/>
      </c>
      <c r="I174" s="34" t="n">
        <f aca="false">IFERROR(VALUE(H174),)</f>
        <v>0</v>
      </c>
      <c r="J174" s="34" t="e">
        <f aca="false">RIGHT(B174,LEN(B174)-FIND("/",B174, FIND("Single Cells",B174, 1)))</f>
        <v>#VALUE!</v>
      </c>
    </row>
    <row r="175" customFormat="false" ht="12.75" hidden="false" customHeight="true" outlineLevel="0" collapsed="false">
      <c r="E175" s="34" t="str">
        <f aca="false">MID(B175,9,1)</f>
        <v/>
      </c>
      <c r="F175" s="34" t="str">
        <f aca="false">MID(B175,10,1)</f>
        <v/>
      </c>
      <c r="G175" s="34" t="str">
        <f aca="false">MID(B175,11,1)</f>
        <v/>
      </c>
      <c r="H175" s="35" t="str">
        <f aca="false">IF(G175=".",F175,CONCATENATE(F175,G175))</f>
        <v/>
      </c>
      <c r="I175" s="34" t="n">
        <f aca="false">IFERROR(VALUE(H175),)</f>
        <v>0</v>
      </c>
      <c r="J175" s="34" t="e">
        <f aca="false">RIGHT(B175,LEN(B175)-FIND("/",B175, FIND("Single Cells",B175, 1)))</f>
        <v>#VALUE!</v>
      </c>
    </row>
    <row r="176" customFormat="false" ht="12.75" hidden="false" customHeight="true" outlineLevel="0" collapsed="false">
      <c r="E176" s="34" t="str">
        <f aca="false">MID(B176,9,1)</f>
        <v/>
      </c>
      <c r="F176" s="34" t="str">
        <f aca="false">MID(B176,10,1)</f>
        <v/>
      </c>
      <c r="G176" s="34" t="str">
        <f aca="false">MID(B176,11,1)</f>
        <v/>
      </c>
      <c r="H176" s="35" t="str">
        <f aca="false">IF(G176=".",F176,CONCATENATE(F176,G176))</f>
        <v/>
      </c>
      <c r="I176" s="34" t="n">
        <f aca="false">IFERROR(VALUE(H176),)</f>
        <v>0</v>
      </c>
      <c r="J176" s="34" t="e">
        <f aca="false">RIGHT(B176,LEN(B176)-FIND("/",B176, FIND("Single Cells",B176, 1)))</f>
        <v>#VALUE!</v>
      </c>
    </row>
    <row r="177" customFormat="false" ht="12.75" hidden="false" customHeight="true" outlineLevel="0" collapsed="false">
      <c r="E177" s="34" t="str">
        <f aca="false">MID(B177,9,1)</f>
        <v/>
      </c>
      <c r="F177" s="34" t="str">
        <f aca="false">MID(B177,10,1)</f>
        <v/>
      </c>
      <c r="G177" s="34" t="str">
        <f aca="false">MID(B177,11,1)</f>
        <v/>
      </c>
      <c r="H177" s="35" t="str">
        <f aca="false">IF(G177=".",F177,CONCATENATE(F177,G177))</f>
        <v/>
      </c>
      <c r="I177" s="34" t="n">
        <f aca="false">IFERROR(VALUE(H177),)</f>
        <v>0</v>
      </c>
      <c r="J177" s="34" t="e">
        <f aca="false">RIGHT(B177,LEN(B177)-FIND("/",B177, FIND("Single Cells",B177, 1)))</f>
        <v>#VALUE!</v>
      </c>
    </row>
    <row r="178" customFormat="false" ht="12.75" hidden="false" customHeight="true" outlineLevel="0" collapsed="false">
      <c r="E178" s="34" t="str">
        <f aca="false">MID(B178,9,1)</f>
        <v/>
      </c>
      <c r="F178" s="34" t="str">
        <f aca="false">MID(B178,10,1)</f>
        <v/>
      </c>
      <c r="G178" s="34" t="str">
        <f aca="false">MID(B178,11,1)</f>
        <v/>
      </c>
      <c r="H178" s="35" t="str">
        <f aca="false">IF(G178=".",F178,CONCATENATE(F178,G178))</f>
        <v/>
      </c>
      <c r="I178" s="34" t="n">
        <f aca="false">IFERROR(VALUE(H178),)</f>
        <v>0</v>
      </c>
      <c r="J178" s="34" t="e">
        <f aca="false">RIGHT(B178,LEN(B178)-FIND("/",B178, FIND("Single Cells",B178, 1)))</f>
        <v>#VALUE!</v>
      </c>
    </row>
    <row r="179" customFormat="false" ht="12.75" hidden="false" customHeight="true" outlineLevel="0" collapsed="false">
      <c r="E179" s="34" t="str">
        <f aca="false">MID(B179,9,1)</f>
        <v/>
      </c>
      <c r="F179" s="34" t="str">
        <f aca="false">MID(B179,10,1)</f>
        <v/>
      </c>
      <c r="G179" s="34" t="str">
        <f aca="false">MID(B179,11,1)</f>
        <v/>
      </c>
      <c r="H179" s="35" t="str">
        <f aca="false">IF(G179=".",F179,CONCATENATE(F179,G179))</f>
        <v/>
      </c>
      <c r="I179" s="34" t="n">
        <f aca="false">IFERROR(VALUE(H179),)</f>
        <v>0</v>
      </c>
      <c r="J179" s="34" t="e">
        <f aca="false">RIGHT(B179,LEN(B179)-FIND("/",B179, FIND("Single Cells",B179, 1)))</f>
        <v>#VALUE!</v>
      </c>
    </row>
    <row r="180" customFormat="false" ht="12.75" hidden="false" customHeight="true" outlineLevel="0" collapsed="false">
      <c r="E180" s="34" t="str">
        <f aca="false">MID(B180,9,1)</f>
        <v/>
      </c>
      <c r="F180" s="34" t="str">
        <f aca="false">MID(B180,10,1)</f>
        <v/>
      </c>
      <c r="G180" s="34" t="str">
        <f aca="false">MID(B180,11,1)</f>
        <v/>
      </c>
      <c r="H180" s="35" t="str">
        <f aca="false">IF(G180=".",F180,CONCATENATE(F180,G180))</f>
        <v/>
      </c>
      <c r="I180" s="34" t="n">
        <f aca="false">IFERROR(VALUE(H180),)</f>
        <v>0</v>
      </c>
      <c r="J180" s="34" t="e">
        <f aca="false">RIGHT(B180,LEN(B180)-FIND("/",B180, FIND("Single Cells",B180, 1)))</f>
        <v>#VALUE!</v>
      </c>
    </row>
    <row r="181" customFormat="false" ht="12.75" hidden="false" customHeight="true" outlineLevel="0" collapsed="false">
      <c r="E181" s="34" t="str">
        <f aca="false">MID(B181,9,1)</f>
        <v/>
      </c>
      <c r="F181" s="34" t="str">
        <f aca="false">MID(B181,10,1)</f>
        <v/>
      </c>
      <c r="G181" s="34" t="str">
        <f aca="false">MID(B181,11,1)</f>
        <v/>
      </c>
      <c r="H181" s="35" t="str">
        <f aca="false">IF(G181=".",F181,CONCATENATE(F181,G181))</f>
        <v/>
      </c>
      <c r="I181" s="34" t="n">
        <f aca="false">IFERROR(VALUE(H181),)</f>
        <v>0</v>
      </c>
      <c r="J181" s="34" t="e">
        <f aca="false">RIGHT(B181,LEN(B181)-FIND("/",B181, FIND("Single Cells",B181, 1)))</f>
        <v>#VALUE!</v>
      </c>
    </row>
    <row r="182" customFormat="false" ht="12.75" hidden="false" customHeight="true" outlineLevel="0" collapsed="false">
      <c r="E182" s="34" t="str">
        <f aca="false">MID(B182,9,1)</f>
        <v/>
      </c>
      <c r="F182" s="34" t="str">
        <f aca="false">MID(B182,10,1)</f>
        <v/>
      </c>
      <c r="G182" s="34" t="str">
        <f aca="false">MID(B182,11,1)</f>
        <v/>
      </c>
      <c r="H182" s="35" t="str">
        <f aca="false">IF(G182=".",F182,CONCATENATE(F182,G182))</f>
        <v/>
      </c>
      <c r="I182" s="34" t="n">
        <f aca="false">IFERROR(VALUE(H182),)</f>
        <v>0</v>
      </c>
      <c r="J182" s="34" t="e">
        <f aca="false">RIGHT(B182,LEN(B182)-FIND("/",B182, FIND("Single Cells",B182, 1)))</f>
        <v>#VALUE!</v>
      </c>
    </row>
    <row r="183" customFormat="false" ht="12.75" hidden="false" customHeight="true" outlineLevel="0" collapsed="false">
      <c r="E183" s="34" t="str">
        <f aca="false">MID(B183,9,1)</f>
        <v/>
      </c>
      <c r="F183" s="34" t="str">
        <f aca="false">MID(B183,10,1)</f>
        <v/>
      </c>
      <c r="G183" s="34" t="str">
        <f aca="false">MID(B183,11,1)</f>
        <v/>
      </c>
      <c r="H183" s="35" t="str">
        <f aca="false">IF(G183=".",F183,CONCATENATE(F183,G183))</f>
        <v/>
      </c>
      <c r="I183" s="34" t="n">
        <f aca="false">IFERROR(VALUE(H183),)</f>
        <v>0</v>
      </c>
      <c r="J183" s="34" t="e">
        <f aca="false">RIGHT(B183,LEN(B183)-FIND("/",B183, FIND("Single Cells",B183, 1)))</f>
        <v>#VALUE!</v>
      </c>
    </row>
    <row r="184" customFormat="false" ht="12.75" hidden="false" customHeight="true" outlineLevel="0" collapsed="false">
      <c r="E184" s="34" t="str">
        <f aca="false">MID(B184,9,1)</f>
        <v/>
      </c>
      <c r="F184" s="34" t="str">
        <f aca="false">MID(B184,10,1)</f>
        <v/>
      </c>
      <c r="G184" s="34" t="str">
        <f aca="false">MID(B184,11,1)</f>
        <v/>
      </c>
      <c r="H184" s="35" t="str">
        <f aca="false">IF(G184=".",F184,CONCATENATE(F184,G184))</f>
        <v/>
      </c>
      <c r="I184" s="34" t="n">
        <f aca="false">IFERROR(VALUE(H184),)</f>
        <v>0</v>
      </c>
      <c r="J184" s="34" t="e">
        <f aca="false">RIGHT(B184,LEN(B184)-FIND("/",B184, FIND("Single Cells",B184, 1)))</f>
        <v>#VALUE!</v>
      </c>
    </row>
    <row r="185" customFormat="false" ht="12.75" hidden="false" customHeight="true" outlineLevel="0" collapsed="false">
      <c r="E185" s="34" t="str">
        <f aca="false">MID(B185,9,1)</f>
        <v/>
      </c>
      <c r="F185" s="34" t="str">
        <f aca="false">MID(B185,10,1)</f>
        <v/>
      </c>
      <c r="G185" s="34" t="str">
        <f aca="false">MID(B185,11,1)</f>
        <v/>
      </c>
      <c r="H185" s="35" t="str">
        <f aca="false">IF(G185=".",F185,CONCATENATE(F185,G185))</f>
        <v/>
      </c>
      <c r="I185" s="34" t="n">
        <f aca="false">IFERROR(VALUE(H185),)</f>
        <v>0</v>
      </c>
      <c r="J185" s="34" t="e">
        <f aca="false">RIGHT(B185,LEN(B185)-FIND("/",B185, FIND("Single Cells",B185, 1)))</f>
        <v>#VALUE!</v>
      </c>
    </row>
    <row r="186" customFormat="false" ht="12.75" hidden="false" customHeight="true" outlineLevel="0" collapsed="false">
      <c r="E186" s="34" t="str">
        <f aca="false">MID(B186,9,1)</f>
        <v/>
      </c>
      <c r="F186" s="34" t="str">
        <f aca="false">MID(B186,10,1)</f>
        <v/>
      </c>
      <c r="G186" s="34" t="str">
        <f aca="false">MID(B186,11,1)</f>
        <v/>
      </c>
      <c r="H186" s="35" t="str">
        <f aca="false">IF(G186=".",F186,CONCATENATE(F186,G186))</f>
        <v/>
      </c>
      <c r="I186" s="34" t="n">
        <f aca="false">IFERROR(VALUE(H186),)</f>
        <v>0</v>
      </c>
      <c r="J186" s="34" t="e">
        <f aca="false">RIGHT(B186,LEN(B186)-FIND("/",B186, FIND("Single Cells",B186, 1)))</f>
        <v>#VALUE!</v>
      </c>
    </row>
    <row r="187" customFormat="false" ht="12.75" hidden="false" customHeight="true" outlineLevel="0" collapsed="false">
      <c r="E187" s="34" t="str">
        <f aca="false">MID(B187,9,1)</f>
        <v/>
      </c>
      <c r="F187" s="34" t="str">
        <f aca="false">MID(B187,10,1)</f>
        <v/>
      </c>
      <c r="G187" s="34" t="str">
        <f aca="false">MID(B187,11,1)</f>
        <v/>
      </c>
      <c r="H187" s="35" t="str">
        <f aca="false">IF(G187=".",F187,CONCATENATE(F187,G187))</f>
        <v/>
      </c>
      <c r="I187" s="34" t="n">
        <f aca="false">IFERROR(VALUE(H187),)</f>
        <v>0</v>
      </c>
      <c r="J187" s="34" t="e">
        <f aca="false">RIGHT(B187,LEN(B187)-FIND("/",B187, FIND("Single Cells",B187, 1)))</f>
        <v>#VALUE!</v>
      </c>
    </row>
    <row r="188" customFormat="false" ht="12.75" hidden="false" customHeight="true" outlineLevel="0" collapsed="false">
      <c r="E188" s="34" t="str">
        <f aca="false">MID(B188,9,1)</f>
        <v/>
      </c>
      <c r="F188" s="34" t="str">
        <f aca="false">MID(B188,10,1)</f>
        <v/>
      </c>
      <c r="G188" s="34" t="str">
        <f aca="false">MID(B188,11,1)</f>
        <v/>
      </c>
      <c r="H188" s="35" t="str">
        <f aca="false">IF(G188=".",F188,CONCATENATE(F188,G188))</f>
        <v/>
      </c>
      <c r="I188" s="34" t="n">
        <f aca="false">IFERROR(VALUE(H188),)</f>
        <v>0</v>
      </c>
      <c r="J188" s="34" t="e">
        <f aca="false">RIGHT(B188,LEN(B188)-FIND("/",B188, FIND("Single Cells",B188, 1)))</f>
        <v>#VALUE!</v>
      </c>
    </row>
    <row r="189" customFormat="false" ht="12.75" hidden="false" customHeight="true" outlineLevel="0" collapsed="false">
      <c r="E189" s="34" t="str">
        <f aca="false">MID(B189,9,1)</f>
        <v/>
      </c>
      <c r="F189" s="34" t="str">
        <f aca="false">MID(B189,10,1)</f>
        <v/>
      </c>
      <c r="G189" s="34" t="str">
        <f aca="false">MID(B189,11,1)</f>
        <v/>
      </c>
      <c r="H189" s="35" t="str">
        <f aca="false">IF(G189=".",F189,CONCATENATE(F189,G189))</f>
        <v/>
      </c>
      <c r="I189" s="34" t="n">
        <f aca="false">IFERROR(VALUE(H189),)</f>
        <v>0</v>
      </c>
      <c r="J189" s="34" t="e">
        <f aca="false">RIGHT(B189,LEN(B189)-FIND("/",B189, FIND("Single Cells",B189, 1)))</f>
        <v>#VALUE!</v>
      </c>
    </row>
    <row r="190" customFormat="false" ht="12.75" hidden="false" customHeight="true" outlineLevel="0" collapsed="false">
      <c r="E190" s="34" t="str">
        <f aca="false">MID(B190,9,1)</f>
        <v/>
      </c>
      <c r="F190" s="34" t="str">
        <f aca="false">MID(B190,10,1)</f>
        <v/>
      </c>
      <c r="G190" s="34" t="str">
        <f aca="false">MID(B190,11,1)</f>
        <v/>
      </c>
      <c r="H190" s="35" t="str">
        <f aca="false">IF(G190=".",F190,CONCATENATE(F190,G190))</f>
        <v/>
      </c>
      <c r="I190" s="34" t="n">
        <f aca="false">IFERROR(VALUE(H190),)</f>
        <v>0</v>
      </c>
      <c r="J190" s="34" t="e">
        <f aca="false">RIGHT(B190,LEN(B190)-FIND("/",B190, FIND("Single Cells",B190, 1)))</f>
        <v>#VALUE!</v>
      </c>
    </row>
    <row r="191" customFormat="false" ht="12.75" hidden="false" customHeight="true" outlineLevel="0" collapsed="false">
      <c r="E191" s="34" t="str">
        <f aca="false">MID(B191,9,1)</f>
        <v/>
      </c>
      <c r="F191" s="34" t="str">
        <f aca="false">MID(B191,10,1)</f>
        <v/>
      </c>
      <c r="G191" s="34" t="str">
        <f aca="false">MID(B191,11,1)</f>
        <v/>
      </c>
      <c r="H191" s="35" t="str">
        <f aca="false">IF(G191=".",F191,CONCATENATE(F191,G191))</f>
        <v/>
      </c>
      <c r="I191" s="34" t="n">
        <f aca="false">IFERROR(VALUE(H191),)</f>
        <v>0</v>
      </c>
      <c r="J191" s="34" t="e">
        <f aca="false">RIGHT(B191,LEN(B191)-FIND("/",B191, FIND("Single Cells",B191, 1)))</f>
        <v>#VALUE!</v>
      </c>
    </row>
    <row r="192" customFormat="false" ht="12.75" hidden="false" customHeight="true" outlineLevel="0" collapsed="false">
      <c r="E192" s="34" t="str">
        <f aca="false">MID(B192,9,1)</f>
        <v/>
      </c>
      <c r="F192" s="34" t="str">
        <f aca="false">MID(B192,10,1)</f>
        <v/>
      </c>
      <c r="G192" s="34" t="str">
        <f aca="false">MID(B192,11,1)</f>
        <v/>
      </c>
      <c r="H192" s="35" t="str">
        <f aca="false">IF(G192=".",F192,CONCATENATE(F192,G192))</f>
        <v/>
      </c>
      <c r="I192" s="34" t="n">
        <f aca="false">IFERROR(VALUE(H192),)</f>
        <v>0</v>
      </c>
      <c r="J192" s="34" t="e">
        <f aca="false">RIGHT(B192,LEN(B192)-FIND("/",B192, FIND("Single Cells",B192, 1)))</f>
        <v>#VALUE!</v>
      </c>
    </row>
    <row r="193" customFormat="false" ht="12.75" hidden="false" customHeight="true" outlineLevel="0" collapsed="false">
      <c r="E193" s="34" t="str">
        <f aca="false">MID(B193,9,1)</f>
        <v/>
      </c>
      <c r="F193" s="34" t="str">
        <f aca="false">MID(B193,10,1)</f>
        <v/>
      </c>
      <c r="G193" s="34" t="str">
        <f aca="false">MID(B193,11,1)</f>
        <v/>
      </c>
      <c r="H193" s="35" t="str">
        <f aca="false">IF(G193=".",F193,CONCATENATE(F193,G193))</f>
        <v/>
      </c>
      <c r="I193" s="34" t="n">
        <f aca="false">IFERROR(VALUE(H193),)</f>
        <v>0</v>
      </c>
      <c r="J193" s="34" t="e">
        <f aca="false">RIGHT(B193,LEN(B193)-FIND("/",B193, FIND("Single Cells",B193, 1)))</f>
        <v>#VALUE!</v>
      </c>
    </row>
    <row r="194" customFormat="false" ht="12.75" hidden="false" customHeight="true" outlineLevel="0" collapsed="false">
      <c r="E194" s="34" t="str">
        <f aca="false">MID(B194,9,1)</f>
        <v/>
      </c>
      <c r="F194" s="34" t="str">
        <f aca="false">MID(B194,10,1)</f>
        <v/>
      </c>
      <c r="G194" s="34" t="str">
        <f aca="false">MID(B194,11,1)</f>
        <v/>
      </c>
      <c r="H194" s="35" t="str">
        <f aca="false">IF(G194=".",F194,CONCATENATE(F194,G194))</f>
        <v/>
      </c>
      <c r="I194" s="34" t="n">
        <f aca="false">IFERROR(VALUE(H194),)</f>
        <v>0</v>
      </c>
      <c r="J194" s="34" t="e">
        <f aca="false">RIGHT(B194,LEN(B194)-FIND("/",B194, FIND("Single Cells",B194, 1)))</f>
        <v>#VALUE!</v>
      </c>
    </row>
    <row r="195" customFormat="false" ht="12.75" hidden="false" customHeight="true" outlineLevel="0" collapsed="false">
      <c r="E195" s="34" t="str">
        <f aca="false">MID(B195,9,1)</f>
        <v/>
      </c>
      <c r="F195" s="34" t="str">
        <f aca="false">MID(B195,10,1)</f>
        <v/>
      </c>
      <c r="G195" s="34" t="str">
        <f aca="false">MID(B195,11,1)</f>
        <v/>
      </c>
      <c r="H195" s="35" t="str">
        <f aca="false">IF(G195=".",F195,CONCATENATE(F195,G195))</f>
        <v/>
      </c>
      <c r="I195" s="34" t="n">
        <f aca="false">IFERROR(VALUE(H195),)</f>
        <v>0</v>
      </c>
      <c r="J195" s="34" t="e">
        <f aca="false">RIGHT(B195,LEN(B195)-FIND("/",B195, FIND("Single Cells",B195, 1)))</f>
        <v>#VALUE!</v>
      </c>
    </row>
    <row r="196" customFormat="false" ht="12.75" hidden="false" customHeight="true" outlineLevel="0" collapsed="false">
      <c r="E196" s="34" t="str">
        <f aca="false">MID(B196,9,1)</f>
        <v/>
      </c>
      <c r="F196" s="34" t="str">
        <f aca="false">MID(B196,10,1)</f>
        <v/>
      </c>
      <c r="G196" s="34" t="str">
        <f aca="false">MID(B196,11,1)</f>
        <v/>
      </c>
      <c r="H196" s="35" t="str">
        <f aca="false">IF(G196=".",F196,CONCATENATE(F196,G196))</f>
        <v/>
      </c>
      <c r="I196" s="34" t="n">
        <f aca="false">IFERROR(VALUE(H196),)</f>
        <v>0</v>
      </c>
      <c r="J196" s="34" t="e">
        <f aca="false">RIGHT(B196,LEN(B196)-FIND("/",B196, FIND("Single Cells",B196, 1)))</f>
        <v>#VALUE!</v>
      </c>
    </row>
    <row r="197" customFormat="false" ht="12.75" hidden="false" customHeight="true" outlineLevel="0" collapsed="false">
      <c r="E197" s="34" t="str">
        <f aca="false">MID(B197,9,1)</f>
        <v/>
      </c>
      <c r="F197" s="34" t="str">
        <f aca="false">MID(B197,10,1)</f>
        <v/>
      </c>
      <c r="G197" s="34" t="str">
        <f aca="false">MID(B197,11,1)</f>
        <v/>
      </c>
      <c r="H197" s="35" t="str">
        <f aca="false">IF(G197=".",F197,CONCATENATE(F197,G197))</f>
        <v/>
      </c>
      <c r="I197" s="34" t="n">
        <f aca="false">IFERROR(VALUE(H197),)</f>
        <v>0</v>
      </c>
      <c r="J197" s="34" t="e">
        <f aca="false">RIGHT(B197,LEN(B197)-FIND("/",B197, FIND("Single Cells",B197, 1)))</f>
        <v>#VALUE!</v>
      </c>
    </row>
    <row r="198" customFormat="false" ht="12.75" hidden="false" customHeight="true" outlineLevel="0" collapsed="false">
      <c r="E198" s="34" t="str">
        <f aca="false">MID(B198,9,1)</f>
        <v/>
      </c>
      <c r="F198" s="34" t="str">
        <f aca="false">MID(B198,10,1)</f>
        <v/>
      </c>
      <c r="G198" s="34" t="str">
        <f aca="false">MID(B198,11,1)</f>
        <v/>
      </c>
      <c r="H198" s="35" t="str">
        <f aca="false">IF(G198=".",F198,CONCATENATE(F198,G198))</f>
        <v/>
      </c>
      <c r="I198" s="34" t="n">
        <f aca="false">IFERROR(VALUE(H198),)</f>
        <v>0</v>
      </c>
      <c r="J198" s="34" t="e">
        <f aca="false">RIGHT(B198,LEN(B198)-FIND("/",B198, FIND("Single Cells",B198, 1)))</f>
        <v>#VALUE!</v>
      </c>
    </row>
    <row r="199" customFormat="false" ht="12.75" hidden="false" customHeight="true" outlineLevel="0" collapsed="false">
      <c r="E199" s="34" t="str">
        <f aca="false">MID(B199,9,1)</f>
        <v/>
      </c>
      <c r="F199" s="34" t="str">
        <f aca="false">MID(B199,10,1)</f>
        <v/>
      </c>
      <c r="G199" s="34" t="str">
        <f aca="false">MID(B199,11,1)</f>
        <v/>
      </c>
      <c r="H199" s="35" t="str">
        <f aca="false">IF(G199=".",F199,CONCATENATE(F199,G199))</f>
        <v/>
      </c>
      <c r="I199" s="34" t="n">
        <f aca="false">IFERROR(VALUE(H199),)</f>
        <v>0</v>
      </c>
      <c r="J199" s="34" t="e">
        <f aca="false">RIGHT(B199,LEN(B199)-FIND("/",B199, FIND("Single Cells",B199, 1)))</f>
        <v>#VALUE!</v>
      </c>
    </row>
    <row r="200" customFormat="false" ht="12.75" hidden="false" customHeight="true" outlineLevel="0" collapsed="false">
      <c r="E200" s="34" t="str">
        <f aca="false">MID(B200,9,1)</f>
        <v/>
      </c>
      <c r="F200" s="34" t="str">
        <f aca="false">MID(B200,10,1)</f>
        <v/>
      </c>
      <c r="G200" s="34" t="str">
        <f aca="false">MID(B200,11,1)</f>
        <v/>
      </c>
      <c r="H200" s="35" t="str">
        <f aca="false">IF(G200=".",F200,CONCATENATE(F200,G200))</f>
        <v/>
      </c>
      <c r="I200" s="34" t="n">
        <f aca="false">IFERROR(VALUE(H200),)</f>
        <v>0</v>
      </c>
      <c r="J200" s="34" t="e">
        <f aca="false">RIGHT(B200,LEN(B200)-FIND("/",B200, FIND("Single Cells",B200, 1)))</f>
        <v>#VALUE!</v>
      </c>
    </row>
    <row r="201" customFormat="false" ht="12.75" hidden="false" customHeight="true" outlineLevel="0" collapsed="false">
      <c r="E201" s="34" t="str">
        <f aca="false">MID(B201,9,1)</f>
        <v/>
      </c>
      <c r="F201" s="34" t="str">
        <f aca="false">MID(B201,10,1)</f>
        <v/>
      </c>
      <c r="G201" s="34" t="str">
        <f aca="false">MID(B201,11,1)</f>
        <v/>
      </c>
      <c r="H201" s="35" t="str">
        <f aca="false">IF(G201=".",F201,CONCATENATE(F201,G201))</f>
        <v/>
      </c>
      <c r="I201" s="34" t="n">
        <f aca="false">IFERROR(VALUE(H201),)</f>
        <v>0</v>
      </c>
      <c r="J201" s="34" t="e">
        <f aca="false">RIGHT(B201,LEN(B201)-FIND("/",B201, FIND("Single Cells",B201, 1)))</f>
        <v>#VALUE!</v>
      </c>
    </row>
    <row r="202" customFormat="false" ht="12.75" hidden="false" customHeight="true" outlineLevel="0" collapsed="false">
      <c r="E202" s="34" t="str">
        <f aca="false">MID(B202,9,1)</f>
        <v/>
      </c>
      <c r="F202" s="34" t="str">
        <f aca="false">MID(B202,10,1)</f>
        <v/>
      </c>
      <c r="G202" s="34" t="str">
        <f aca="false">MID(B202,11,1)</f>
        <v/>
      </c>
      <c r="H202" s="35" t="str">
        <f aca="false">IF(G202=".",F202,CONCATENATE(F202,G202))</f>
        <v/>
      </c>
      <c r="I202" s="34" t="n">
        <f aca="false">IFERROR(VALUE(H202),)</f>
        <v>0</v>
      </c>
      <c r="J202" s="34" t="e">
        <f aca="false">RIGHT(B202,LEN(B202)-FIND("/",B202, FIND("Single Cells",B202, 1)))</f>
        <v>#VALUE!</v>
      </c>
    </row>
    <row r="203" customFormat="false" ht="12.75" hidden="false" customHeight="true" outlineLevel="0" collapsed="false">
      <c r="E203" s="34" t="str">
        <f aca="false">MID(B203,9,1)</f>
        <v/>
      </c>
      <c r="F203" s="34" t="str">
        <f aca="false">MID(B203,10,1)</f>
        <v/>
      </c>
      <c r="G203" s="34" t="str">
        <f aca="false">MID(B203,11,1)</f>
        <v/>
      </c>
      <c r="H203" s="35" t="str">
        <f aca="false">IF(G203=".",F203,CONCATENATE(F203,G203))</f>
        <v/>
      </c>
      <c r="I203" s="34" t="n">
        <f aca="false">IFERROR(VALUE(H203),)</f>
        <v>0</v>
      </c>
      <c r="J203" s="34" t="e">
        <f aca="false">RIGHT(B203,LEN(B203)-FIND("/",B203, FIND("Single Cells",B203, 1)))</f>
        <v>#VALUE!</v>
      </c>
    </row>
    <row r="204" customFormat="false" ht="12.75" hidden="false" customHeight="true" outlineLevel="0" collapsed="false">
      <c r="E204" s="34" t="str">
        <f aca="false">MID(B204,9,1)</f>
        <v/>
      </c>
      <c r="F204" s="34" t="str">
        <f aca="false">MID(B204,10,1)</f>
        <v/>
      </c>
      <c r="G204" s="34" t="str">
        <f aca="false">MID(B204,11,1)</f>
        <v/>
      </c>
      <c r="H204" s="35" t="str">
        <f aca="false">IF(G204=".",F204,CONCATENATE(F204,G204))</f>
        <v/>
      </c>
      <c r="I204" s="34" t="n">
        <f aca="false">IFERROR(VALUE(H204),)</f>
        <v>0</v>
      </c>
      <c r="J204" s="34" t="e">
        <f aca="false">RIGHT(B204,LEN(B204)-FIND("/",B204, FIND("Single Cells",B204, 1)))</f>
        <v>#VALUE!</v>
      </c>
    </row>
    <row r="205" customFormat="false" ht="12.75" hidden="false" customHeight="true" outlineLevel="0" collapsed="false">
      <c r="E205" s="34" t="str">
        <f aca="false">MID(B205,9,1)</f>
        <v/>
      </c>
      <c r="F205" s="34" t="str">
        <f aca="false">MID(B205,10,1)</f>
        <v/>
      </c>
      <c r="G205" s="34" t="str">
        <f aca="false">MID(B205,11,1)</f>
        <v/>
      </c>
      <c r="H205" s="35" t="str">
        <f aca="false">IF(G205=".",F205,CONCATENATE(F205,G205))</f>
        <v/>
      </c>
      <c r="I205" s="34" t="n">
        <f aca="false">IFERROR(VALUE(H205),)</f>
        <v>0</v>
      </c>
      <c r="J205" s="34" t="e">
        <f aca="false">RIGHT(B205,LEN(B205)-FIND("/",B205, FIND("Single Cells",B205, 1)))</f>
        <v>#VALUE!</v>
      </c>
    </row>
    <row r="206" customFormat="false" ht="12.75" hidden="false" customHeight="true" outlineLevel="0" collapsed="false">
      <c r="E206" s="34" t="str">
        <f aca="false">MID(B206,9,1)</f>
        <v/>
      </c>
      <c r="F206" s="34" t="str">
        <f aca="false">MID(B206,10,1)</f>
        <v/>
      </c>
      <c r="G206" s="34" t="str">
        <f aca="false">MID(B206,11,1)</f>
        <v/>
      </c>
      <c r="H206" s="35" t="str">
        <f aca="false">IF(G206=".",F206,CONCATENATE(F206,G206))</f>
        <v/>
      </c>
      <c r="I206" s="34" t="n">
        <f aca="false">IFERROR(VALUE(H206),)</f>
        <v>0</v>
      </c>
      <c r="J206" s="34" t="e">
        <f aca="false">RIGHT(B206,LEN(B206)-FIND("/",B206, FIND("Single Cells",B206, 1)))</f>
        <v>#VALUE!</v>
      </c>
    </row>
    <row r="207" customFormat="false" ht="12.75" hidden="false" customHeight="true" outlineLevel="0" collapsed="false">
      <c r="E207" s="34" t="str">
        <f aca="false">MID(B207,9,1)</f>
        <v/>
      </c>
      <c r="F207" s="34" t="str">
        <f aca="false">MID(B207,10,1)</f>
        <v/>
      </c>
      <c r="G207" s="34" t="str">
        <f aca="false">MID(B207,11,1)</f>
        <v/>
      </c>
      <c r="H207" s="35" t="str">
        <f aca="false">IF(G207=".",F207,CONCATENATE(F207,G207))</f>
        <v/>
      </c>
      <c r="I207" s="34" t="n">
        <f aca="false">IFERROR(VALUE(H207),)</f>
        <v>0</v>
      </c>
      <c r="J207" s="34" t="e">
        <f aca="false">RIGHT(B207,LEN(B207)-FIND("/",B207, FIND("Single Cells",B207, 1)))</f>
        <v>#VALUE!</v>
      </c>
    </row>
    <row r="208" customFormat="false" ht="12.75" hidden="false" customHeight="true" outlineLevel="0" collapsed="false">
      <c r="E208" s="34" t="str">
        <f aca="false">MID(B208,9,1)</f>
        <v/>
      </c>
      <c r="F208" s="34" t="str">
        <f aca="false">MID(B208,10,1)</f>
        <v/>
      </c>
      <c r="G208" s="34" t="str">
        <f aca="false">MID(B208,11,1)</f>
        <v/>
      </c>
      <c r="H208" s="35" t="str">
        <f aca="false">IF(G208=".",F208,CONCATENATE(F208,G208))</f>
        <v/>
      </c>
      <c r="I208" s="34" t="n">
        <f aca="false">IFERROR(VALUE(H208),)</f>
        <v>0</v>
      </c>
      <c r="J208" s="34" t="e">
        <f aca="false">RIGHT(B208,LEN(B208)-FIND("/",B208, FIND("Single Cells",B208, 1)))</f>
        <v>#VALUE!</v>
      </c>
    </row>
    <row r="209" customFormat="false" ht="12.75" hidden="false" customHeight="true" outlineLevel="0" collapsed="false">
      <c r="E209" s="34" t="str">
        <f aca="false">MID(B209,9,1)</f>
        <v/>
      </c>
      <c r="F209" s="34" t="str">
        <f aca="false">MID(B209,10,1)</f>
        <v/>
      </c>
      <c r="G209" s="34" t="str">
        <f aca="false">MID(B209,11,1)</f>
        <v/>
      </c>
      <c r="H209" s="35" t="str">
        <f aca="false">IF(G209=".",F209,CONCATENATE(F209,G209))</f>
        <v/>
      </c>
      <c r="I209" s="34" t="n">
        <f aca="false">IFERROR(VALUE(H209),)</f>
        <v>0</v>
      </c>
      <c r="J209" s="34" t="e">
        <f aca="false">RIGHT(B209,LEN(B209)-FIND("/",B209, FIND("Single Cells",B209, 1)))</f>
        <v>#VALUE!</v>
      </c>
    </row>
    <row r="210" customFormat="false" ht="12.75" hidden="false" customHeight="true" outlineLevel="0" collapsed="false">
      <c r="E210" s="34" t="str">
        <f aca="false">MID(B210,9,1)</f>
        <v/>
      </c>
      <c r="F210" s="34" t="str">
        <f aca="false">MID(B210,10,1)</f>
        <v/>
      </c>
      <c r="G210" s="34" t="str">
        <f aca="false">MID(B210,11,1)</f>
        <v/>
      </c>
      <c r="H210" s="35" t="str">
        <f aca="false">IF(G210=".",F210,CONCATENATE(F210,G210))</f>
        <v/>
      </c>
      <c r="I210" s="34" t="n">
        <f aca="false">IFERROR(VALUE(H210),)</f>
        <v>0</v>
      </c>
      <c r="J210" s="34" t="e">
        <f aca="false">RIGHT(B210,LEN(B210)-FIND("/",B210, FIND("Single Cells",B210, 1)))</f>
        <v>#VALUE!</v>
      </c>
    </row>
    <row r="211" customFormat="false" ht="12.75" hidden="false" customHeight="true" outlineLevel="0" collapsed="false">
      <c r="E211" s="34" t="str">
        <f aca="false">MID(B211,9,1)</f>
        <v/>
      </c>
      <c r="F211" s="34" t="str">
        <f aca="false">MID(B211,10,1)</f>
        <v/>
      </c>
      <c r="G211" s="34" t="str">
        <f aca="false">MID(B211,11,1)</f>
        <v/>
      </c>
      <c r="H211" s="35" t="str">
        <f aca="false">IF(G211=".",F211,CONCATENATE(F211,G211))</f>
        <v/>
      </c>
      <c r="I211" s="34" t="n">
        <f aca="false">IFERROR(VALUE(H211),)</f>
        <v>0</v>
      </c>
      <c r="J211" s="34" t="e">
        <f aca="false">RIGHT(B211,LEN(B211)-FIND("/",B211, FIND("Single Cells",B211, 1)))</f>
        <v>#VALUE!</v>
      </c>
    </row>
    <row r="212" customFormat="false" ht="12.75" hidden="false" customHeight="true" outlineLevel="0" collapsed="false">
      <c r="E212" s="34" t="str">
        <f aca="false">MID(B212,9,1)</f>
        <v/>
      </c>
      <c r="F212" s="34" t="str">
        <f aca="false">MID(B212,10,1)</f>
        <v/>
      </c>
      <c r="G212" s="34" t="str">
        <f aca="false">MID(B212,11,1)</f>
        <v/>
      </c>
      <c r="H212" s="35" t="str">
        <f aca="false">IF(G212=".",F212,CONCATENATE(F212,G212))</f>
        <v/>
      </c>
      <c r="I212" s="34" t="n">
        <f aca="false">IFERROR(VALUE(H212),)</f>
        <v>0</v>
      </c>
      <c r="J212" s="34" t="e">
        <f aca="false">RIGHT(B212,LEN(B212)-FIND("/",B212, FIND("Single Cells",B212, 1)))</f>
        <v>#VALUE!</v>
      </c>
    </row>
    <row r="213" customFormat="false" ht="12.75" hidden="false" customHeight="true" outlineLevel="0" collapsed="false">
      <c r="E213" s="34" t="str">
        <f aca="false">MID(B213,9,1)</f>
        <v/>
      </c>
      <c r="F213" s="34" t="str">
        <f aca="false">MID(B213,10,1)</f>
        <v/>
      </c>
      <c r="G213" s="34" t="str">
        <f aca="false">MID(B213,11,1)</f>
        <v/>
      </c>
      <c r="H213" s="35" t="str">
        <f aca="false">IF(G213=".",F213,CONCATENATE(F213,G213))</f>
        <v/>
      </c>
      <c r="I213" s="34" t="n">
        <f aca="false">IFERROR(VALUE(H213),)</f>
        <v>0</v>
      </c>
      <c r="J213" s="34" t="e">
        <f aca="false">RIGHT(B213,LEN(B213)-FIND("/",B213, FIND("Single Cells",B213, 1)))</f>
        <v>#VALUE!</v>
      </c>
    </row>
    <row r="214" customFormat="false" ht="12.75" hidden="false" customHeight="true" outlineLevel="0" collapsed="false">
      <c r="E214" s="34" t="str">
        <f aca="false">MID(B214,9,1)</f>
        <v/>
      </c>
      <c r="F214" s="34" t="str">
        <f aca="false">MID(B214,10,1)</f>
        <v/>
      </c>
      <c r="G214" s="34" t="str">
        <f aca="false">MID(B214,11,1)</f>
        <v/>
      </c>
      <c r="H214" s="35" t="str">
        <f aca="false">IF(G214=".",F214,CONCATENATE(F214,G214))</f>
        <v/>
      </c>
      <c r="I214" s="34" t="n">
        <f aca="false">IFERROR(VALUE(H214),)</f>
        <v>0</v>
      </c>
      <c r="J214" s="34" t="e">
        <f aca="false">RIGHT(B214,LEN(B214)-FIND("/",B214, FIND("Single Cells",B214, 1)))</f>
        <v>#VALUE!</v>
      </c>
    </row>
    <row r="215" customFormat="false" ht="12.75" hidden="false" customHeight="true" outlineLevel="0" collapsed="false">
      <c r="E215" s="34" t="str">
        <f aca="false">MID(B215,9,1)</f>
        <v/>
      </c>
      <c r="F215" s="34" t="str">
        <f aca="false">MID(B215,10,1)</f>
        <v/>
      </c>
      <c r="G215" s="34" t="str">
        <f aca="false">MID(B215,11,1)</f>
        <v/>
      </c>
      <c r="H215" s="35" t="str">
        <f aca="false">IF(G215=".",F215,CONCATENATE(F215,G215))</f>
        <v/>
      </c>
      <c r="I215" s="34" t="n">
        <f aca="false">IFERROR(VALUE(H215),)</f>
        <v>0</v>
      </c>
      <c r="J215" s="34" t="e">
        <f aca="false">RIGHT(B215,LEN(B215)-FIND("/",B215, FIND("Single Cells",B215, 1)))</f>
        <v>#VALUE!</v>
      </c>
    </row>
    <row r="216" customFormat="false" ht="12.75" hidden="false" customHeight="true" outlineLevel="0" collapsed="false">
      <c r="E216" s="34" t="str">
        <f aca="false">MID(B216,9,1)</f>
        <v/>
      </c>
      <c r="F216" s="34" t="str">
        <f aca="false">MID(B216,10,1)</f>
        <v/>
      </c>
      <c r="G216" s="34" t="str">
        <f aca="false">MID(B216,11,1)</f>
        <v/>
      </c>
      <c r="H216" s="35" t="str">
        <f aca="false">IF(G216=".",F216,CONCATENATE(F216,G216))</f>
        <v/>
      </c>
      <c r="I216" s="34" t="n">
        <f aca="false">IFERROR(VALUE(H216),)</f>
        <v>0</v>
      </c>
      <c r="J216" s="34" t="e">
        <f aca="false">RIGHT(B216,LEN(B216)-FIND("/",B216, FIND("Single Cells",B216, 1)))</f>
        <v>#VALUE!</v>
      </c>
    </row>
    <row r="217" customFormat="false" ht="12.75" hidden="false" customHeight="true" outlineLevel="0" collapsed="false">
      <c r="E217" s="34" t="str">
        <f aca="false">MID(B217,9,1)</f>
        <v/>
      </c>
      <c r="F217" s="34" t="str">
        <f aca="false">MID(B217,10,1)</f>
        <v/>
      </c>
      <c r="G217" s="34" t="str">
        <f aca="false">MID(B217,11,1)</f>
        <v/>
      </c>
      <c r="H217" s="35" t="str">
        <f aca="false">IF(G217=".",F217,CONCATENATE(F217,G217))</f>
        <v/>
      </c>
      <c r="I217" s="34" t="n">
        <f aca="false">IFERROR(VALUE(H217),)</f>
        <v>0</v>
      </c>
      <c r="J217" s="34" t="e">
        <f aca="false">RIGHT(B217,LEN(B217)-FIND("/",B217, FIND("Single Cells",B217, 1)))</f>
        <v>#VALUE!</v>
      </c>
    </row>
    <row r="218" customFormat="false" ht="12.75" hidden="false" customHeight="true" outlineLevel="0" collapsed="false">
      <c r="E218" s="34" t="str">
        <f aca="false">MID(B218,9,1)</f>
        <v/>
      </c>
      <c r="F218" s="34" t="str">
        <f aca="false">MID(B218,10,1)</f>
        <v/>
      </c>
      <c r="G218" s="34" t="str">
        <f aca="false">MID(B218,11,1)</f>
        <v/>
      </c>
      <c r="H218" s="35" t="str">
        <f aca="false">IF(G218=".",F218,CONCATENATE(F218,G218))</f>
        <v/>
      </c>
      <c r="I218" s="34" t="n">
        <f aca="false">IFERROR(VALUE(H218),)</f>
        <v>0</v>
      </c>
      <c r="J218" s="34" t="e">
        <f aca="false">RIGHT(B218,LEN(B218)-FIND("/",B218, FIND("Single Cells",B218, 1)))</f>
        <v>#VALUE!</v>
      </c>
    </row>
    <row r="219" customFormat="false" ht="12.75" hidden="false" customHeight="true" outlineLevel="0" collapsed="false">
      <c r="E219" s="34" t="str">
        <f aca="false">MID(B219,9,1)</f>
        <v/>
      </c>
      <c r="F219" s="34" t="str">
        <f aca="false">MID(B219,10,1)</f>
        <v/>
      </c>
      <c r="G219" s="34" t="str">
        <f aca="false">MID(B219,11,1)</f>
        <v/>
      </c>
      <c r="H219" s="35" t="str">
        <f aca="false">IF(G219=".",F219,CONCATENATE(F219,G219))</f>
        <v/>
      </c>
      <c r="I219" s="34" t="n">
        <f aca="false">IFERROR(VALUE(H219),)</f>
        <v>0</v>
      </c>
      <c r="J219" s="34" t="e">
        <f aca="false">RIGHT(B219,LEN(B219)-FIND("/",B219, FIND("Single Cells",B219, 1)))</f>
        <v>#VALUE!</v>
      </c>
    </row>
    <row r="220" customFormat="false" ht="12.75" hidden="false" customHeight="true" outlineLevel="0" collapsed="false">
      <c r="E220" s="34" t="str">
        <f aca="false">MID(B220,9,1)</f>
        <v/>
      </c>
      <c r="F220" s="34" t="str">
        <f aca="false">MID(B220,10,1)</f>
        <v/>
      </c>
      <c r="G220" s="34" t="str">
        <f aca="false">MID(B220,11,1)</f>
        <v/>
      </c>
      <c r="H220" s="35" t="str">
        <f aca="false">IF(G220=".",F220,CONCATENATE(F220,G220))</f>
        <v/>
      </c>
      <c r="I220" s="34" t="n">
        <f aca="false">IFERROR(VALUE(H220),)</f>
        <v>0</v>
      </c>
      <c r="J220" s="34" t="e">
        <f aca="false">RIGHT(B220,LEN(B220)-FIND("/",B220, FIND("Single Cells",B220, 1)))</f>
        <v>#VALUE!</v>
      </c>
    </row>
    <row r="221" customFormat="false" ht="12.75" hidden="false" customHeight="true" outlineLevel="0" collapsed="false">
      <c r="E221" s="34" t="str">
        <f aca="false">MID(B221,9,1)</f>
        <v/>
      </c>
      <c r="F221" s="34" t="str">
        <f aca="false">MID(B221,10,1)</f>
        <v/>
      </c>
      <c r="G221" s="34" t="str">
        <f aca="false">MID(B221,11,1)</f>
        <v/>
      </c>
      <c r="H221" s="35" t="str">
        <f aca="false">IF(G221=".",F221,CONCATENATE(F221,G221))</f>
        <v/>
      </c>
      <c r="I221" s="34" t="n">
        <f aca="false">IFERROR(VALUE(H221),)</f>
        <v>0</v>
      </c>
      <c r="J221" s="34" t="e">
        <f aca="false">RIGHT(B221,LEN(B221)-FIND("/",B221, FIND("Single Cells",B221, 1)))</f>
        <v>#VALUE!</v>
      </c>
    </row>
    <row r="222" customFormat="false" ht="12.75" hidden="false" customHeight="true" outlineLevel="0" collapsed="false">
      <c r="E222" s="34" t="str">
        <f aca="false">MID(B222,9,1)</f>
        <v/>
      </c>
      <c r="F222" s="34" t="str">
        <f aca="false">MID(B222,10,1)</f>
        <v/>
      </c>
      <c r="G222" s="34" t="str">
        <f aca="false">MID(B222,11,1)</f>
        <v/>
      </c>
      <c r="H222" s="35" t="str">
        <f aca="false">IF(G222=".",F222,CONCATENATE(F222,G222))</f>
        <v/>
      </c>
      <c r="I222" s="34" t="n">
        <f aca="false">IFERROR(VALUE(H222),)</f>
        <v>0</v>
      </c>
      <c r="J222" s="34" t="e">
        <f aca="false">RIGHT(B222,LEN(B222)-FIND("/",B222, FIND("Single Cells",B222, 1)))</f>
        <v>#VALUE!</v>
      </c>
    </row>
    <row r="223" customFormat="false" ht="12.75" hidden="false" customHeight="true" outlineLevel="0" collapsed="false">
      <c r="E223" s="34" t="str">
        <f aca="false">MID(B223,9,1)</f>
        <v/>
      </c>
      <c r="F223" s="34" t="str">
        <f aca="false">MID(B223,10,1)</f>
        <v/>
      </c>
      <c r="G223" s="34" t="str">
        <f aca="false">MID(B223,11,1)</f>
        <v/>
      </c>
      <c r="H223" s="35" t="str">
        <f aca="false">IF(G223=".",F223,CONCATENATE(F223,G223))</f>
        <v/>
      </c>
      <c r="I223" s="34" t="n">
        <f aca="false">IFERROR(VALUE(H223),)</f>
        <v>0</v>
      </c>
      <c r="J223" s="34" t="e">
        <f aca="false">RIGHT(B223,LEN(B223)-FIND("/",B223, FIND("Single Cells",B223, 1)))</f>
        <v>#VALUE!</v>
      </c>
    </row>
    <row r="224" customFormat="false" ht="12.75" hidden="false" customHeight="true" outlineLevel="0" collapsed="false">
      <c r="E224" s="34" t="str">
        <f aca="false">MID(B224,9,1)</f>
        <v/>
      </c>
      <c r="F224" s="34" t="str">
        <f aca="false">MID(B224,10,1)</f>
        <v/>
      </c>
      <c r="G224" s="34" t="str">
        <f aca="false">MID(B224,11,1)</f>
        <v/>
      </c>
      <c r="H224" s="35" t="str">
        <f aca="false">IF(G224=".",F224,CONCATENATE(F224,G224))</f>
        <v/>
      </c>
      <c r="I224" s="34" t="n">
        <f aca="false">IFERROR(VALUE(H224),)</f>
        <v>0</v>
      </c>
      <c r="J224" s="34" t="e">
        <f aca="false">RIGHT(B224,LEN(B224)-FIND("/",B224, FIND("Single Cells",B224, 1)))</f>
        <v>#VALUE!</v>
      </c>
    </row>
    <row r="225" customFormat="false" ht="12.75" hidden="false" customHeight="true" outlineLevel="0" collapsed="false">
      <c r="E225" s="34" t="str">
        <f aca="false">MID(B225,9,1)</f>
        <v/>
      </c>
      <c r="F225" s="34" t="str">
        <f aca="false">MID(B225,10,1)</f>
        <v/>
      </c>
      <c r="G225" s="34" t="str">
        <f aca="false">MID(B225,11,1)</f>
        <v/>
      </c>
      <c r="H225" s="35" t="str">
        <f aca="false">IF(G225=".",F225,CONCATENATE(F225,G225))</f>
        <v/>
      </c>
      <c r="I225" s="34" t="n">
        <f aca="false">IFERROR(VALUE(H225),)</f>
        <v>0</v>
      </c>
      <c r="J225" s="34" t="e">
        <f aca="false">RIGHT(B225,LEN(B225)-FIND("/",B225, FIND("Single Cells",B225, 1)))</f>
        <v>#VALUE!</v>
      </c>
    </row>
    <row r="226" customFormat="false" ht="12.75" hidden="false" customHeight="true" outlineLevel="0" collapsed="false">
      <c r="E226" s="34" t="str">
        <f aca="false">MID(B226,9,1)</f>
        <v/>
      </c>
      <c r="F226" s="34" t="str">
        <f aca="false">MID(B226,10,1)</f>
        <v/>
      </c>
      <c r="G226" s="34" t="str">
        <f aca="false">MID(B226,11,1)</f>
        <v/>
      </c>
      <c r="H226" s="35" t="str">
        <f aca="false">IF(G226=".",F226,CONCATENATE(F226,G226))</f>
        <v/>
      </c>
      <c r="I226" s="34" t="n">
        <f aca="false">IFERROR(VALUE(H226),)</f>
        <v>0</v>
      </c>
      <c r="J226" s="34" t="e">
        <f aca="false">RIGHT(B226,LEN(B226)-FIND("/",B226, FIND("Single Cells",B226, 1)))</f>
        <v>#VALUE!</v>
      </c>
    </row>
    <row r="227" customFormat="false" ht="12.75" hidden="false" customHeight="true" outlineLevel="0" collapsed="false">
      <c r="E227" s="34" t="str">
        <f aca="false">MID(B227,9,1)</f>
        <v/>
      </c>
      <c r="F227" s="34" t="str">
        <f aca="false">MID(B227,10,1)</f>
        <v/>
      </c>
      <c r="G227" s="34" t="str">
        <f aca="false">MID(B227,11,1)</f>
        <v/>
      </c>
      <c r="H227" s="35" t="str">
        <f aca="false">IF(G227=".",F227,CONCATENATE(F227,G227))</f>
        <v/>
      </c>
      <c r="I227" s="34" t="n">
        <f aca="false">IFERROR(VALUE(H227),)</f>
        <v>0</v>
      </c>
      <c r="J227" s="34" t="e">
        <f aca="false">RIGHT(B227,LEN(B227)-FIND("/",B227, FIND("Single Cells",B227, 1)))</f>
        <v>#VALUE!</v>
      </c>
    </row>
    <row r="228" customFormat="false" ht="12.75" hidden="false" customHeight="true" outlineLevel="0" collapsed="false">
      <c r="E228" s="34" t="str">
        <f aca="false">MID(B228,9,1)</f>
        <v/>
      </c>
      <c r="F228" s="34" t="str">
        <f aca="false">MID(B228,10,1)</f>
        <v/>
      </c>
      <c r="G228" s="34" t="str">
        <f aca="false">MID(B228,11,1)</f>
        <v/>
      </c>
      <c r="H228" s="35" t="str">
        <f aca="false">IF(G228=".",F228,CONCATENATE(F228,G228))</f>
        <v/>
      </c>
      <c r="I228" s="34" t="n">
        <f aca="false">IFERROR(VALUE(H228),)</f>
        <v>0</v>
      </c>
      <c r="J228" s="34" t="e">
        <f aca="false">RIGHT(B228,LEN(B228)-FIND("/",B228, FIND("Single Cells",B228, 1)))</f>
        <v>#VALUE!</v>
      </c>
    </row>
    <row r="229" customFormat="false" ht="12.75" hidden="false" customHeight="true" outlineLevel="0" collapsed="false">
      <c r="E229" s="34" t="str">
        <f aca="false">MID(B229,9,1)</f>
        <v/>
      </c>
      <c r="F229" s="34" t="str">
        <f aca="false">MID(B229,10,1)</f>
        <v/>
      </c>
      <c r="G229" s="34" t="str">
        <f aca="false">MID(B229,11,1)</f>
        <v/>
      </c>
      <c r="H229" s="35" t="str">
        <f aca="false">IF(G229=".",F229,CONCATENATE(F229,G229))</f>
        <v/>
      </c>
      <c r="I229" s="34" t="n">
        <f aca="false">IFERROR(VALUE(H229),)</f>
        <v>0</v>
      </c>
      <c r="J229" s="34" t="e">
        <f aca="false">RIGHT(B229,LEN(B229)-FIND("/",B229, FIND("Single Cells",B229, 1)))</f>
        <v>#VALUE!</v>
      </c>
    </row>
    <row r="230" customFormat="false" ht="12.75" hidden="false" customHeight="true" outlineLevel="0" collapsed="false">
      <c r="E230" s="34" t="str">
        <f aca="false">MID(B230,9,1)</f>
        <v/>
      </c>
      <c r="F230" s="34" t="str">
        <f aca="false">MID(B230,10,1)</f>
        <v/>
      </c>
      <c r="G230" s="34" t="str">
        <f aca="false">MID(B230,11,1)</f>
        <v/>
      </c>
      <c r="H230" s="35" t="str">
        <f aca="false">IF(G230=".",F230,CONCATENATE(F230,G230))</f>
        <v/>
      </c>
      <c r="I230" s="34" t="n">
        <f aca="false">IFERROR(VALUE(H230),)</f>
        <v>0</v>
      </c>
      <c r="J230" s="34" t="e">
        <f aca="false">RIGHT(B230,LEN(B230)-FIND("/",B230, FIND("Single Cells",B230, 1)))</f>
        <v>#VALUE!</v>
      </c>
    </row>
    <row r="231" customFormat="false" ht="12.75" hidden="false" customHeight="true" outlineLevel="0" collapsed="false">
      <c r="E231" s="34" t="str">
        <f aca="false">MID(B231,9,1)</f>
        <v/>
      </c>
      <c r="F231" s="34" t="str">
        <f aca="false">MID(B231,10,1)</f>
        <v/>
      </c>
      <c r="G231" s="34" t="str">
        <f aca="false">MID(B231,11,1)</f>
        <v/>
      </c>
      <c r="H231" s="35" t="str">
        <f aca="false">IF(G231=".",F231,CONCATENATE(F231,G231))</f>
        <v/>
      </c>
      <c r="I231" s="34" t="n">
        <f aca="false">IFERROR(VALUE(H231),)</f>
        <v>0</v>
      </c>
      <c r="J231" s="34" t="e">
        <f aca="false">RIGHT(B231,LEN(B231)-FIND("/",B231, FIND("Single Cells",B231, 1)))</f>
        <v>#VALUE!</v>
      </c>
    </row>
    <row r="232" customFormat="false" ht="12.75" hidden="false" customHeight="true" outlineLevel="0" collapsed="false">
      <c r="E232" s="34" t="str">
        <f aca="false">MID(B232,9,1)</f>
        <v/>
      </c>
      <c r="F232" s="34" t="str">
        <f aca="false">MID(B232,10,1)</f>
        <v/>
      </c>
      <c r="G232" s="34" t="str">
        <f aca="false">MID(B232,11,1)</f>
        <v/>
      </c>
      <c r="H232" s="35" t="str">
        <f aca="false">IF(G232=".",F232,CONCATENATE(F232,G232))</f>
        <v/>
      </c>
      <c r="I232" s="34" t="n">
        <f aca="false">IFERROR(VALUE(H232),)</f>
        <v>0</v>
      </c>
      <c r="J232" s="34" t="e">
        <f aca="false">RIGHT(B232,LEN(B232)-FIND("/",B232, FIND("Single Cells",B232, 1)))</f>
        <v>#VALUE!</v>
      </c>
    </row>
    <row r="233" customFormat="false" ht="12.75" hidden="false" customHeight="true" outlineLevel="0" collapsed="false">
      <c r="E233" s="34" t="str">
        <f aca="false">MID(B233,9,1)</f>
        <v/>
      </c>
      <c r="F233" s="34" t="str">
        <f aca="false">MID(B233,10,1)</f>
        <v/>
      </c>
      <c r="G233" s="34" t="str">
        <f aca="false">MID(B233,11,1)</f>
        <v/>
      </c>
      <c r="H233" s="35" t="str">
        <f aca="false">IF(G233=".",F233,CONCATENATE(F233,G233))</f>
        <v/>
      </c>
      <c r="I233" s="34" t="n">
        <f aca="false">IFERROR(VALUE(H233),)</f>
        <v>0</v>
      </c>
      <c r="J233" s="34" t="e">
        <f aca="false">RIGHT(B233,LEN(B233)-FIND("/",B233, FIND("Single Cells",B233, 1)))</f>
        <v>#VALUE!</v>
      </c>
    </row>
    <row r="234" customFormat="false" ht="12.75" hidden="false" customHeight="true" outlineLevel="0" collapsed="false">
      <c r="E234" s="34" t="str">
        <f aca="false">MID(B234,9,1)</f>
        <v/>
      </c>
      <c r="F234" s="34" t="str">
        <f aca="false">MID(B234,10,1)</f>
        <v/>
      </c>
      <c r="G234" s="34" t="str">
        <f aca="false">MID(B234,11,1)</f>
        <v/>
      </c>
      <c r="H234" s="35" t="str">
        <f aca="false">IF(G234=".",F234,CONCATENATE(F234,G234))</f>
        <v/>
      </c>
      <c r="I234" s="34" t="n">
        <f aca="false">IFERROR(VALUE(H234),)</f>
        <v>0</v>
      </c>
      <c r="J234" s="34" t="e">
        <f aca="false">RIGHT(B234,LEN(B234)-FIND("/",B234, FIND("Single Cells",B234, 1)))</f>
        <v>#VALUE!</v>
      </c>
    </row>
    <row r="235" customFormat="false" ht="12.75" hidden="false" customHeight="true" outlineLevel="0" collapsed="false">
      <c r="E235" s="34" t="str">
        <f aca="false">MID(B235,9,1)</f>
        <v/>
      </c>
      <c r="F235" s="34" t="str">
        <f aca="false">MID(B235,10,1)</f>
        <v/>
      </c>
      <c r="G235" s="34" t="str">
        <f aca="false">MID(B235,11,1)</f>
        <v/>
      </c>
      <c r="H235" s="35" t="str">
        <f aca="false">IF(G235=".",F235,CONCATENATE(F235,G235))</f>
        <v/>
      </c>
      <c r="I235" s="34" t="n">
        <f aca="false">IFERROR(VALUE(H235),)</f>
        <v>0</v>
      </c>
      <c r="J235" s="34" t="e">
        <f aca="false">RIGHT(B235,LEN(B235)-FIND("/",B235, FIND("Single Cells",B235, 1)))</f>
        <v>#VALUE!</v>
      </c>
    </row>
    <row r="236" customFormat="false" ht="12.75" hidden="false" customHeight="true" outlineLevel="0" collapsed="false">
      <c r="E236" s="34" t="str">
        <f aca="false">MID(B236,9,1)</f>
        <v/>
      </c>
      <c r="F236" s="34" t="str">
        <f aca="false">MID(B236,10,1)</f>
        <v/>
      </c>
      <c r="G236" s="34" t="str">
        <f aca="false">MID(B236,11,1)</f>
        <v/>
      </c>
      <c r="H236" s="35" t="str">
        <f aca="false">IF(G236=".",F236,CONCATENATE(F236,G236))</f>
        <v/>
      </c>
      <c r="I236" s="34" t="n">
        <f aca="false">IFERROR(VALUE(H236),)</f>
        <v>0</v>
      </c>
      <c r="J236" s="34" t="e">
        <f aca="false">RIGHT(B236,LEN(B236)-FIND("/",B236, FIND("Single Cells",B236, 1)))</f>
        <v>#VALUE!</v>
      </c>
    </row>
    <row r="237" customFormat="false" ht="12.75" hidden="false" customHeight="true" outlineLevel="0" collapsed="false">
      <c r="E237" s="34" t="str">
        <f aca="false">MID(B237,9,1)</f>
        <v/>
      </c>
      <c r="F237" s="34" t="str">
        <f aca="false">MID(B237,10,1)</f>
        <v/>
      </c>
      <c r="G237" s="34" t="str">
        <f aca="false">MID(B237,11,1)</f>
        <v/>
      </c>
      <c r="H237" s="35" t="str">
        <f aca="false">IF(G237=".",F237,CONCATENATE(F237,G237))</f>
        <v/>
      </c>
      <c r="I237" s="34" t="n">
        <f aca="false">IFERROR(VALUE(H237),)</f>
        <v>0</v>
      </c>
      <c r="J237" s="34" t="e">
        <f aca="false">RIGHT(B237,LEN(B237)-FIND("/",B237, FIND("Single Cells",B237, 1)))</f>
        <v>#VALUE!</v>
      </c>
    </row>
    <row r="238" customFormat="false" ht="12.75" hidden="false" customHeight="true" outlineLevel="0" collapsed="false">
      <c r="E238" s="34" t="str">
        <f aca="false">MID(B238,9,1)</f>
        <v/>
      </c>
      <c r="F238" s="34" t="str">
        <f aca="false">MID(B238,10,1)</f>
        <v/>
      </c>
      <c r="G238" s="34" t="str">
        <f aca="false">MID(B238,11,1)</f>
        <v/>
      </c>
      <c r="H238" s="35" t="str">
        <f aca="false">IF(G238=".",F238,CONCATENATE(F238,G238))</f>
        <v/>
      </c>
      <c r="I238" s="34" t="n">
        <f aca="false">IFERROR(VALUE(H238),)</f>
        <v>0</v>
      </c>
      <c r="J238" s="34" t="e">
        <f aca="false">RIGHT(B238,LEN(B238)-FIND("/",B238, FIND("Single Cells",B238, 1)))</f>
        <v>#VALUE!</v>
      </c>
    </row>
    <row r="239" customFormat="false" ht="12.75" hidden="false" customHeight="true" outlineLevel="0" collapsed="false">
      <c r="E239" s="34" t="str">
        <f aca="false">MID(B239,9,1)</f>
        <v/>
      </c>
      <c r="F239" s="34" t="str">
        <f aca="false">MID(B239,10,1)</f>
        <v/>
      </c>
      <c r="G239" s="34" t="str">
        <f aca="false">MID(B239,11,1)</f>
        <v/>
      </c>
      <c r="H239" s="35" t="str">
        <f aca="false">IF(G239=".",F239,CONCATENATE(F239,G239))</f>
        <v/>
      </c>
      <c r="I239" s="34" t="n">
        <f aca="false">IFERROR(VALUE(H239),)</f>
        <v>0</v>
      </c>
      <c r="J239" s="34" t="e">
        <f aca="false">RIGHT(B239,LEN(B239)-FIND("/",B239, FIND("Single Cells",B239, 1)))</f>
        <v>#VALUE!</v>
      </c>
    </row>
    <row r="240" customFormat="false" ht="12.75" hidden="false" customHeight="true" outlineLevel="0" collapsed="false">
      <c r="E240" s="34" t="str">
        <f aca="false">MID(B240,9,1)</f>
        <v/>
      </c>
      <c r="F240" s="34" t="str">
        <f aca="false">MID(B240,10,1)</f>
        <v/>
      </c>
      <c r="G240" s="34" t="str">
        <f aca="false">MID(B240,11,1)</f>
        <v/>
      </c>
      <c r="H240" s="35" t="str">
        <f aca="false">IF(G240=".",F240,CONCATENATE(F240,G240))</f>
        <v/>
      </c>
      <c r="I240" s="34" t="n">
        <f aca="false">IFERROR(VALUE(H240),)</f>
        <v>0</v>
      </c>
      <c r="J240" s="34" t="e">
        <f aca="false">RIGHT(B240,LEN(B240)-FIND("/",B240, FIND("Single Cells",B240, 1)))</f>
        <v>#VALUE!</v>
      </c>
    </row>
    <row r="241" customFormat="false" ht="12.75" hidden="false" customHeight="true" outlineLevel="0" collapsed="false">
      <c r="E241" s="34" t="str">
        <f aca="false">MID(B241,9,1)</f>
        <v/>
      </c>
      <c r="F241" s="34" t="str">
        <f aca="false">MID(B241,10,1)</f>
        <v/>
      </c>
      <c r="G241" s="34" t="str">
        <f aca="false">MID(B241,11,1)</f>
        <v/>
      </c>
      <c r="H241" s="35" t="str">
        <f aca="false">IF(G241=".",F241,CONCATENATE(F241,G241))</f>
        <v/>
      </c>
      <c r="I241" s="34" t="n">
        <f aca="false">IFERROR(VALUE(H241),)</f>
        <v>0</v>
      </c>
      <c r="J241" s="34" t="e">
        <f aca="false">RIGHT(B241,LEN(B241)-FIND("/",B241, FIND("Single Cells",B241, 1)))</f>
        <v>#VALUE!</v>
      </c>
    </row>
    <row r="242" customFormat="false" ht="12.75" hidden="false" customHeight="true" outlineLevel="0" collapsed="false">
      <c r="E242" s="34" t="str">
        <f aca="false">MID(B242,9,1)</f>
        <v/>
      </c>
      <c r="F242" s="34" t="str">
        <f aca="false">MID(B242,10,1)</f>
        <v/>
      </c>
      <c r="G242" s="34" t="str">
        <f aca="false">MID(B242,11,1)</f>
        <v/>
      </c>
      <c r="H242" s="35" t="str">
        <f aca="false">IF(G242=".",F242,CONCATENATE(F242,G242))</f>
        <v/>
      </c>
      <c r="I242" s="34" t="n">
        <f aca="false">IFERROR(VALUE(H242),)</f>
        <v>0</v>
      </c>
      <c r="J242" s="34" t="e">
        <f aca="false">RIGHT(B242,LEN(B242)-FIND("/",B242, FIND("Single Cells",B242, 1)))</f>
        <v>#VALUE!</v>
      </c>
    </row>
    <row r="243" customFormat="false" ht="12.75" hidden="false" customHeight="true" outlineLevel="0" collapsed="false">
      <c r="E243" s="34" t="str">
        <f aca="false">MID(B243,9,1)</f>
        <v/>
      </c>
      <c r="F243" s="34" t="str">
        <f aca="false">MID(B243,10,1)</f>
        <v/>
      </c>
      <c r="G243" s="34" t="str">
        <f aca="false">MID(B243,11,1)</f>
        <v/>
      </c>
      <c r="H243" s="35" t="str">
        <f aca="false">IF(G243=".",F243,CONCATENATE(F243,G243))</f>
        <v/>
      </c>
      <c r="I243" s="34" t="n">
        <f aca="false">IFERROR(VALUE(H243),)</f>
        <v>0</v>
      </c>
      <c r="J243" s="34" t="e">
        <f aca="false">RIGHT(B243,LEN(B243)-FIND("/",B243, FIND("Single Cells",B243, 1)))</f>
        <v>#VALUE!</v>
      </c>
    </row>
    <row r="244" customFormat="false" ht="12.75" hidden="false" customHeight="true" outlineLevel="0" collapsed="false">
      <c r="E244" s="34" t="str">
        <f aca="false">MID(B244,9,1)</f>
        <v/>
      </c>
      <c r="F244" s="34" t="str">
        <f aca="false">MID(B244,10,1)</f>
        <v/>
      </c>
      <c r="G244" s="34" t="str">
        <f aca="false">MID(B244,11,1)</f>
        <v/>
      </c>
      <c r="H244" s="35" t="str">
        <f aca="false">IF(G244=".",F244,CONCATENATE(F244,G244))</f>
        <v/>
      </c>
      <c r="I244" s="34" t="n">
        <f aca="false">IFERROR(VALUE(H244),)</f>
        <v>0</v>
      </c>
      <c r="J244" s="34" t="e">
        <f aca="false">RIGHT(B244,LEN(B244)-FIND("/",B244, FIND("Single Cells",B244, 1)))</f>
        <v>#VALUE!</v>
      </c>
    </row>
    <row r="245" customFormat="false" ht="12.75" hidden="false" customHeight="true" outlineLevel="0" collapsed="false">
      <c r="E245" s="34" t="str">
        <f aca="false">MID(B245,9,1)</f>
        <v/>
      </c>
      <c r="F245" s="34" t="str">
        <f aca="false">MID(B245,10,1)</f>
        <v/>
      </c>
      <c r="G245" s="34" t="str">
        <f aca="false">MID(B245,11,1)</f>
        <v/>
      </c>
      <c r="H245" s="35" t="str">
        <f aca="false">IF(G245=".",F245,CONCATENATE(F245,G245))</f>
        <v/>
      </c>
      <c r="I245" s="34" t="n">
        <f aca="false">IFERROR(VALUE(H245),)</f>
        <v>0</v>
      </c>
      <c r="J245" s="34" t="e">
        <f aca="false">RIGHT(B245,LEN(B245)-FIND("/",B245, FIND("Single Cells",B245, 1)))</f>
        <v>#VALUE!</v>
      </c>
    </row>
    <row r="246" customFormat="false" ht="12.75" hidden="false" customHeight="true" outlineLevel="0" collapsed="false">
      <c r="E246" s="34" t="str">
        <f aca="false">MID(B246,9,1)</f>
        <v/>
      </c>
      <c r="F246" s="34" t="str">
        <f aca="false">MID(B246,10,1)</f>
        <v/>
      </c>
      <c r="G246" s="34" t="str">
        <f aca="false">MID(B246,11,1)</f>
        <v/>
      </c>
      <c r="H246" s="35" t="str">
        <f aca="false">IF(G246=".",F246,CONCATENATE(F246,G246))</f>
        <v/>
      </c>
      <c r="I246" s="34" t="n">
        <f aca="false">IFERROR(VALUE(H246),)</f>
        <v>0</v>
      </c>
      <c r="J246" s="34" t="e">
        <f aca="false">RIGHT(B246,LEN(B246)-FIND("/",B246, FIND("Single Cells",B246, 1)))</f>
        <v>#VALUE!</v>
      </c>
    </row>
    <row r="247" customFormat="false" ht="12.75" hidden="false" customHeight="true" outlineLevel="0" collapsed="false">
      <c r="E247" s="34" t="str">
        <f aca="false">MID(B247,9,1)</f>
        <v/>
      </c>
      <c r="F247" s="34" t="str">
        <f aca="false">MID(B247,10,1)</f>
        <v/>
      </c>
      <c r="G247" s="34" t="str">
        <f aca="false">MID(B247,11,1)</f>
        <v/>
      </c>
      <c r="H247" s="35" t="str">
        <f aca="false">IF(G247=".",F247,CONCATENATE(F247,G247))</f>
        <v/>
      </c>
      <c r="I247" s="34" t="n">
        <f aca="false">IFERROR(VALUE(H247),)</f>
        <v>0</v>
      </c>
      <c r="J247" s="34" t="e">
        <f aca="false">RIGHT(B247,LEN(B247)-FIND("/",B247, FIND("Single Cells",B247, 1)))</f>
        <v>#VALUE!</v>
      </c>
    </row>
    <row r="248" customFormat="false" ht="12.75" hidden="false" customHeight="true" outlineLevel="0" collapsed="false">
      <c r="E248" s="34" t="str">
        <f aca="false">MID(B248,9,1)</f>
        <v/>
      </c>
      <c r="F248" s="34" t="str">
        <f aca="false">MID(B248,10,1)</f>
        <v/>
      </c>
      <c r="G248" s="34" t="str">
        <f aca="false">MID(B248,11,1)</f>
        <v/>
      </c>
      <c r="H248" s="35" t="str">
        <f aca="false">IF(G248=".",F248,CONCATENATE(F248,G248))</f>
        <v/>
      </c>
      <c r="I248" s="34" t="n">
        <f aca="false">IFERROR(VALUE(H248),)</f>
        <v>0</v>
      </c>
      <c r="J248" s="34" t="e">
        <f aca="false">RIGHT(B248,LEN(B248)-FIND("/",B248, FIND("Single Cells",B248, 1)))</f>
        <v>#VALUE!</v>
      </c>
    </row>
    <row r="249" customFormat="false" ht="12.75" hidden="false" customHeight="true" outlineLevel="0" collapsed="false">
      <c r="E249" s="34" t="str">
        <f aca="false">MID(B249,9,1)</f>
        <v/>
      </c>
      <c r="F249" s="34" t="str">
        <f aca="false">MID(B249,10,1)</f>
        <v/>
      </c>
      <c r="G249" s="34" t="str">
        <f aca="false">MID(B249,11,1)</f>
        <v/>
      </c>
      <c r="H249" s="35" t="str">
        <f aca="false">IF(G249=".",F249,CONCATENATE(F249,G249))</f>
        <v/>
      </c>
      <c r="I249" s="34" t="n">
        <f aca="false">IFERROR(VALUE(H249),)</f>
        <v>0</v>
      </c>
      <c r="J249" s="34" t="e">
        <f aca="false">RIGHT(B249,LEN(B249)-FIND("/",B249, FIND("Single Cells",B249, 1)))</f>
        <v>#VALUE!</v>
      </c>
    </row>
    <row r="250" customFormat="false" ht="12.75" hidden="false" customHeight="true" outlineLevel="0" collapsed="false">
      <c r="E250" s="34" t="str">
        <f aca="false">MID(B250,9,1)</f>
        <v/>
      </c>
      <c r="F250" s="34" t="str">
        <f aca="false">MID(B250,10,1)</f>
        <v/>
      </c>
      <c r="G250" s="34" t="str">
        <f aca="false">MID(B250,11,1)</f>
        <v/>
      </c>
      <c r="H250" s="35" t="str">
        <f aca="false">IF(G250=".",F250,CONCATENATE(F250,G250))</f>
        <v/>
      </c>
      <c r="I250" s="34" t="n">
        <f aca="false">IFERROR(VALUE(H250),)</f>
        <v>0</v>
      </c>
      <c r="J250" s="34" t="e">
        <f aca="false">RIGHT(B250,LEN(B250)-FIND("/",B250, FIND("Single Cells",B250, 1)))</f>
        <v>#VALUE!</v>
      </c>
    </row>
    <row r="251" customFormat="false" ht="12.75" hidden="false" customHeight="true" outlineLevel="0" collapsed="false">
      <c r="E251" s="34" t="str">
        <f aca="false">MID(B251,9,1)</f>
        <v/>
      </c>
      <c r="F251" s="34" t="str">
        <f aca="false">MID(B251,10,1)</f>
        <v/>
      </c>
      <c r="G251" s="34" t="str">
        <f aca="false">MID(B251,11,1)</f>
        <v/>
      </c>
      <c r="H251" s="35" t="str">
        <f aca="false">IF(G251=".",F251,CONCATENATE(F251,G251))</f>
        <v/>
      </c>
      <c r="I251" s="34" t="n">
        <f aca="false">IFERROR(VALUE(H251),)</f>
        <v>0</v>
      </c>
      <c r="J251" s="34" t="e">
        <f aca="false">RIGHT(B251,LEN(B251)-FIND("/",B251, FIND("Single Cells",B251, 1)))</f>
        <v>#VALUE!</v>
      </c>
    </row>
    <row r="252" customFormat="false" ht="12.75" hidden="false" customHeight="true" outlineLevel="0" collapsed="false">
      <c r="E252" s="34" t="str">
        <f aca="false">MID(B252,9,1)</f>
        <v/>
      </c>
      <c r="F252" s="34" t="str">
        <f aca="false">MID(B252,10,1)</f>
        <v/>
      </c>
      <c r="G252" s="34" t="str">
        <f aca="false">MID(B252,11,1)</f>
        <v/>
      </c>
      <c r="H252" s="35" t="str">
        <f aca="false">IF(G252=".",F252,CONCATENATE(F252,G252))</f>
        <v/>
      </c>
      <c r="I252" s="34" t="n">
        <f aca="false">IFERROR(VALUE(H252),)</f>
        <v>0</v>
      </c>
      <c r="J252" s="34" t="e">
        <f aca="false">RIGHT(B252,LEN(B252)-FIND("/",B252, FIND("Single Cells",B252, 1)))</f>
        <v>#VALUE!</v>
      </c>
    </row>
    <row r="253" customFormat="false" ht="12.75" hidden="false" customHeight="true" outlineLevel="0" collapsed="false">
      <c r="E253" s="34" t="str">
        <f aca="false">MID(B253,9,1)</f>
        <v/>
      </c>
      <c r="F253" s="34" t="str">
        <f aca="false">MID(B253,10,1)</f>
        <v/>
      </c>
      <c r="G253" s="34" t="str">
        <f aca="false">MID(B253,11,1)</f>
        <v/>
      </c>
      <c r="H253" s="35" t="str">
        <f aca="false">IF(G253=".",F253,CONCATENATE(F253,G253))</f>
        <v/>
      </c>
      <c r="I253" s="34" t="n">
        <f aca="false">IFERROR(VALUE(H253),)</f>
        <v>0</v>
      </c>
      <c r="J253" s="34" t="e">
        <f aca="false">RIGHT(B253,LEN(B253)-FIND("/",B253, FIND("Single Cells",B253, 1)))</f>
        <v>#VALUE!</v>
      </c>
    </row>
    <row r="254" customFormat="false" ht="12.75" hidden="false" customHeight="true" outlineLevel="0" collapsed="false">
      <c r="E254" s="34" t="str">
        <f aca="false">MID(B254,9,1)</f>
        <v/>
      </c>
      <c r="F254" s="34" t="str">
        <f aca="false">MID(B254,10,1)</f>
        <v/>
      </c>
      <c r="G254" s="34" t="str">
        <f aca="false">MID(B254,11,1)</f>
        <v/>
      </c>
      <c r="H254" s="35" t="str">
        <f aca="false">IF(G254=".",F254,CONCATENATE(F254,G254))</f>
        <v/>
      </c>
      <c r="I254" s="34" t="n">
        <f aca="false">IFERROR(VALUE(H254),)</f>
        <v>0</v>
      </c>
      <c r="J254" s="34" t="e">
        <f aca="false">RIGHT(B254,LEN(B254)-FIND("/",B254, FIND("Single Cells",B254, 1)))</f>
        <v>#VALUE!</v>
      </c>
    </row>
    <row r="255" customFormat="false" ht="12.75" hidden="false" customHeight="true" outlineLevel="0" collapsed="false">
      <c r="E255" s="34" t="str">
        <f aca="false">MID(B255,9,1)</f>
        <v/>
      </c>
      <c r="F255" s="34" t="str">
        <f aca="false">MID(B255,10,1)</f>
        <v/>
      </c>
      <c r="G255" s="34" t="str">
        <f aca="false">MID(B255,11,1)</f>
        <v/>
      </c>
      <c r="H255" s="35" t="str">
        <f aca="false">IF(G255=".",F255,CONCATENATE(F255,G255))</f>
        <v/>
      </c>
      <c r="I255" s="34" t="n">
        <f aca="false">IFERROR(VALUE(H255),)</f>
        <v>0</v>
      </c>
      <c r="J255" s="34" t="e">
        <f aca="false">RIGHT(B255,LEN(B255)-FIND("/",B255, FIND("Single Cells",B255, 1)))</f>
        <v>#VALUE!</v>
      </c>
    </row>
    <row r="256" customFormat="false" ht="12.75" hidden="false" customHeight="true" outlineLevel="0" collapsed="false">
      <c r="E256" s="34" t="str">
        <f aca="false">MID(B256,9,1)</f>
        <v/>
      </c>
      <c r="F256" s="34" t="str">
        <f aca="false">MID(B256,10,1)</f>
        <v/>
      </c>
      <c r="G256" s="34" t="str">
        <f aca="false">MID(B256,11,1)</f>
        <v/>
      </c>
      <c r="H256" s="35" t="str">
        <f aca="false">IF(G256=".",F256,CONCATENATE(F256,G256))</f>
        <v/>
      </c>
      <c r="I256" s="34" t="n">
        <f aca="false">IFERROR(VALUE(H256),)</f>
        <v>0</v>
      </c>
      <c r="J256" s="34" t="e">
        <f aca="false">RIGHT(B256,LEN(B256)-FIND("/",B256, FIND("Single Cells",B256, 1)))</f>
        <v>#VALUE!</v>
      </c>
    </row>
    <row r="257" customFormat="false" ht="12.75" hidden="false" customHeight="true" outlineLevel="0" collapsed="false">
      <c r="E257" s="34" t="str">
        <f aca="false">MID(B257,9,1)</f>
        <v/>
      </c>
      <c r="F257" s="34" t="str">
        <f aca="false">MID(B257,10,1)</f>
        <v/>
      </c>
      <c r="G257" s="34" t="str">
        <f aca="false">MID(B257,11,1)</f>
        <v/>
      </c>
      <c r="H257" s="35" t="str">
        <f aca="false">IF(G257=".",F257,CONCATENATE(F257,G257))</f>
        <v/>
      </c>
      <c r="I257" s="34" t="n">
        <f aca="false">IFERROR(VALUE(H257),)</f>
        <v>0</v>
      </c>
      <c r="J257" s="34" t="e">
        <f aca="false">RIGHT(B257,LEN(B257)-FIND("/",B257, FIND("Single Cells",B257, 1)))</f>
        <v>#VALUE!</v>
      </c>
    </row>
    <row r="258" customFormat="false" ht="12.75" hidden="false" customHeight="true" outlineLevel="0" collapsed="false">
      <c r="E258" s="34" t="str">
        <f aca="false">MID(B258,9,1)</f>
        <v/>
      </c>
      <c r="F258" s="34" t="str">
        <f aca="false">MID(B258,10,1)</f>
        <v/>
      </c>
      <c r="G258" s="34" t="str">
        <f aca="false">MID(B258,11,1)</f>
        <v/>
      </c>
      <c r="H258" s="35" t="str">
        <f aca="false">IF(G258=".",F258,CONCATENATE(F258,G258))</f>
        <v/>
      </c>
      <c r="I258" s="34" t="n">
        <f aca="false">IFERROR(VALUE(H258),)</f>
        <v>0</v>
      </c>
      <c r="J258" s="34" t="e">
        <f aca="false">RIGHT(B258,LEN(B258)-FIND("/",B258, FIND("Single Cells",B258, 1)))</f>
        <v>#VALUE!</v>
      </c>
    </row>
    <row r="259" customFormat="false" ht="12.75" hidden="false" customHeight="true" outlineLevel="0" collapsed="false">
      <c r="E259" s="34" t="str">
        <f aca="false">MID(B259,9,1)</f>
        <v/>
      </c>
      <c r="F259" s="34" t="str">
        <f aca="false">MID(B259,10,1)</f>
        <v/>
      </c>
      <c r="G259" s="34" t="str">
        <f aca="false">MID(B259,11,1)</f>
        <v/>
      </c>
      <c r="H259" s="35" t="str">
        <f aca="false">IF(G259=".",F259,CONCATENATE(F259,G259))</f>
        <v/>
      </c>
      <c r="I259" s="34" t="n">
        <f aca="false">IFERROR(VALUE(H259),)</f>
        <v>0</v>
      </c>
      <c r="J259" s="34" t="e">
        <f aca="false">RIGHT(B259,LEN(B259)-FIND("/",B259, FIND("Single Cells",B259, 1)))</f>
        <v>#VALUE!</v>
      </c>
    </row>
    <row r="260" customFormat="false" ht="12.75" hidden="false" customHeight="true" outlineLevel="0" collapsed="false">
      <c r="E260" s="34" t="str">
        <f aca="false">MID(B260,9,1)</f>
        <v/>
      </c>
      <c r="F260" s="34" t="str">
        <f aca="false">MID(B260,10,1)</f>
        <v/>
      </c>
      <c r="G260" s="34" t="str">
        <f aca="false">MID(B260,11,1)</f>
        <v/>
      </c>
      <c r="H260" s="35" t="str">
        <f aca="false">IF(G260=".",F260,CONCATENATE(F260,G260))</f>
        <v/>
      </c>
      <c r="I260" s="34" t="n">
        <f aca="false">IFERROR(VALUE(H260),)</f>
        <v>0</v>
      </c>
      <c r="J260" s="34" t="e">
        <f aca="false">RIGHT(B260,LEN(B260)-FIND("/",B260, FIND("Single Cells",B260, 1)))</f>
        <v>#VALUE!</v>
      </c>
    </row>
    <row r="261" customFormat="false" ht="12.75" hidden="false" customHeight="true" outlineLevel="0" collapsed="false">
      <c r="E261" s="34" t="str">
        <f aca="false">MID(B261,9,1)</f>
        <v/>
      </c>
      <c r="F261" s="34" t="str">
        <f aca="false">MID(B261,10,1)</f>
        <v/>
      </c>
      <c r="G261" s="34" t="str">
        <f aca="false">MID(B261,11,1)</f>
        <v/>
      </c>
      <c r="H261" s="35" t="str">
        <f aca="false">IF(G261=".",F261,CONCATENATE(F261,G261))</f>
        <v/>
      </c>
      <c r="I261" s="34" t="n">
        <f aca="false">IFERROR(VALUE(H261),)</f>
        <v>0</v>
      </c>
      <c r="J261" s="34" t="e">
        <f aca="false">RIGHT(B261,LEN(B261)-FIND("/",B261, FIND("Single Cells",B261, 1)))</f>
        <v>#VALUE!</v>
      </c>
    </row>
    <row r="262" customFormat="false" ht="12.75" hidden="false" customHeight="true" outlineLevel="0" collapsed="false">
      <c r="E262" s="34" t="str">
        <f aca="false">MID(B262,9,1)</f>
        <v/>
      </c>
      <c r="F262" s="34" t="str">
        <f aca="false">MID(B262,10,1)</f>
        <v/>
      </c>
      <c r="G262" s="34" t="str">
        <f aca="false">MID(B262,11,1)</f>
        <v/>
      </c>
      <c r="H262" s="35" t="str">
        <f aca="false">IF(G262=".",F262,CONCATENATE(F262,G262))</f>
        <v/>
      </c>
      <c r="I262" s="34" t="n">
        <f aca="false">IFERROR(VALUE(H262),)</f>
        <v>0</v>
      </c>
      <c r="J262" s="34" t="e">
        <f aca="false">RIGHT(B262,LEN(B262)-FIND("/",B262, FIND("Single Cells",B262, 1)))</f>
        <v>#VALUE!</v>
      </c>
    </row>
    <row r="263" customFormat="false" ht="12.75" hidden="false" customHeight="true" outlineLevel="0" collapsed="false">
      <c r="E263" s="34" t="str">
        <f aca="false">MID(B263,9,1)</f>
        <v/>
      </c>
      <c r="F263" s="34" t="str">
        <f aca="false">MID(B263,10,1)</f>
        <v/>
      </c>
      <c r="G263" s="34" t="str">
        <f aca="false">MID(B263,11,1)</f>
        <v/>
      </c>
      <c r="H263" s="35" t="str">
        <f aca="false">IF(G263=".",F263,CONCATENATE(F263,G263))</f>
        <v/>
      </c>
      <c r="I263" s="34" t="n">
        <f aca="false">IFERROR(VALUE(H263),)</f>
        <v>0</v>
      </c>
      <c r="J263" s="34" t="e">
        <f aca="false">RIGHT(B263,LEN(B263)-FIND("/",B263, FIND("Single Cells",B263, 1)))</f>
        <v>#VALUE!</v>
      </c>
    </row>
    <row r="264" customFormat="false" ht="12.75" hidden="false" customHeight="true" outlineLevel="0" collapsed="false">
      <c r="E264" s="34" t="str">
        <f aca="false">MID(B264,9,1)</f>
        <v/>
      </c>
      <c r="F264" s="34" t="str">
        <f aca="false">MID(B264,10,1)</f>
        <v/>
      </c>
      <c r="G264" s="34" t="str">
        <f aca="false">MID(B264,11,1)</f>
        <v/>
      </c>
      <c r="H264" s="35" t="str">
        <f aca="false">IF(G264=".",F264,CONCATENATE(F264,G264))</f>
        <v/>
      </c>
      <c r="I264" s="34" t="n">
        <f aca="false">IFERROR(VALUE(H264),)</f>
        <v>0</v>
      </c>
      <c r="J264" s="34" t="e">
        <f aca="false">RIGHT(B264,LEN(B264)-FIND("/",B264, FIND("Single Cells",B264, 1)))</f>
        <v>#VALUE!</v>
      </c>
    </row>
    <row r="265" customFormat="false" ht="12.75" hidden="false" customHeight="true" outlineLevel="0" collapsed="false">
      <c r="E265" s="34" t="str">
        <f aca="false">MID(B265,9,1)</f>
        <v/>
      </c>
      <c r="F265" s="34" t="str">
        <f aca="false">MID(B265,10,1)</f>
        <v/>
      </c>
      <c r="G265" s="34" t="str">
        <f aca="false">MID(B265,11,1)</f>
        <v/>
      </c>
      <c r="H265" s="35" t="str">
        <f aca="false">IF(G265=".",F265,CONCATENATE(F265,G265))</f>
        <v/>
      </c>
      <c r="I265" s="34" t="n">
        <f aca="false">IFERROR(VALUE(H265),)</f>
        <v>0</v>
      </c>
      <c r="J265" s="34" t="e">
        <f aca="false">RIGHT(B265,LEN(B265)-FIND("/",B265, FIND("Single Cells",B265, 1)))</f>
        <v>#VALUE!</v>
      </c>
    </row>
    <row r="266" customFormat="false" ht="12.75" hidden="false" customHeight="true" outlineLevel="0" collapsed="false">
      <c r="E266" s="34" t="str">
        <f aca="false">MID(B266,9,1)</f>
        <v/>
      </c>
      <c r="F266" s="34" t="str">
        <f aca="false">MID(B266,10,1)</f>
        <v/>
      </c>
      <c r="G266" s="34" t="str">
        <f aca="false">MID(B266,11,1)</f>
        <v/>
      </c>
      <c r="H266" s="35" t="str">
        <f aca="false">IF(G266=".",F266,CONCATENATE(F266,G266))</f>
        <v/>
      </c>
      <c r="I266" s="34" t="n">
        <f aca="false">IFERROR(VALUE(H266),)</f>
        <v>0</v>
      </c>
      <c r="J266" s="34" t="e">
        <f aca="false">RIGHT(B266,LEN(B266)-FIND("/",B266, FIND("Single Cells",B266, 1)))</f>
        <v>#VALUE!</v>
      </c>
    </row>
    <row r="267" customFormat="false" ht="12.75" hidden="false" customHeight="true" outlineLevel="0" collapsed="false">
      <c r="E267" s="34" t="str">
        <f aca="false">MID(B267,9,1)</f>
        <v/>
      </c>
      <c r="F267" s="34" t="str">
        <f aca="false">MID(B267,10,1)</f>
        <v/>
      </c>
      <c r="G267" s="34" t="str">
        <f aca="false">MID(B267,11,1)</f>
        <v/>
      </c>
      <c r="H267" s="35" t="str">
        <f aca="false">IF(G267=".",F267,CONCATENATE(F267,G267))</f>
        <v/>
      </c>
      <c r="I267" s="34" t="n">
        <f aca="false">IFERROR(VALUE(H267),)</f>
        <v>0</v>
      </c>
      <c r="J267" s="34" t="e">
        <f aca="false">RIGHT(B267,LEN(B267)-FIND("/",B267, FIND("Single Cells",B267, 1)))</f>
        <v>#VALUE!</v>
      </c>
    </row>
    <row r="268" customFormat="false" ht="12.75" hidden="false" customHeight="true" outlineLevel="0" collapsed="false">
      <c r="E268" s="34" t="str">
        <f aca="false">MID(B268,9,1)</f>
        <v/>
      </c>
      <c r="F268" s="34" t="str">
        <f aca="false">MID(B268,10,1)</f>
        <v/>
      </c>
      <c r="G268" s="34" t="str">
        <f aca="false">MID(B268,11,1)</f>
        <v/>
      </c>
      <c r="H268" s="35" t="str">
        <f aca="false">IF(G268=".",F268,CONCATENATE(F268,G268))</f>
        <v/>
      </c>
      <c r="I268" s="34" t="n">
        <f aca="false">IFERROR(VALUE(H268),)</f>
        <v>0</v>
      </c>
      <c r="J268" s="34" t="e">
        <f aca="false">RIGHT(B268,LEN(B268)-FIND("/",B268, FIND("Single Cells",B268, 1)))</f>
        <v>#VALUE!</v>
      </c>
    </row>
    <row r="269" customFormat="false" ht="12.75" hidden="false" customHeight="true" outlineLevel="0" collapsed="false">
      <c r="E269" s="34" t="str">
        <f aca="false">MID(B269,9,1)</f>
        <v/>
      </c>
      <c r="F269" s="34" t="str">
        <f aca="false">MID(B269,10,1)</f>
        <v/>
      </c>
      <c r="G269" s="34" t="str">
        <f aca="false">MID(B269,11,1)</f>
        <v/>
      </c>
      <c r="H269" s="35" t="str">
        <f aca="false">IF(G269=".",F269,CONCATENATE(F269,G269))</f>
        <v/>
      </c>
      <c r="I269" s="34" t="n">
        <f aca="false">IFERROR(VALUE(H269),)</f>
        <v>0</v>
      </c>
      <c r="J269" s="34" t="e">
        <f aca="false">RIGHT(B269,LEN(B269)-FIND("/",B269, FIND("Single Cells",B269, 1)))</f>
        <v>#VALUE!</v>
      </c>
    </row>
    <row r="270" customFormat="false" ht="12.75" hidden="false" customHeight="true" outlineLevel="0" collapsed="false">
      <c r="E270" s="34" t="str">
        <f aca="false">MID(B270,9,1)</f>
        <v/>
      </c>
      <c r="F270" s="34" t="str">
        <f aca="false">MID(B270,10,1)</f>
        <v/>
      </c>
      <c r="G270" s="34" t="str">
        <f aca="false">MID(B270,11,1)</f>
        <v/>
      </c>
      <c r="H270" s="35" t="str">
        <f aca="false">IF(G270=".",F270,CONCATENATE(F270,G270))</f>
        <v/>
      </c>
      <c r="I270" s="34" t="n">
        <f aca="false">IFERROR(VALUE(H270),)</f>
        <v>0</v>
      </c>
      <c r="J270" s="34" t="e">
        <f aca="false">RIGHT(B270,LEN(B270)-FIND("/",B270, FIND("Single Cells",B270, 1)))</f>
        <v>#VALUE!</v>
      </c>
    </row>
    <row r="271" customFormat="false" ht="12.75" hidden="false" customHeight="true" outlineLevel="0" collapsed="false">
      <c r="E271" s="34" t="str">
        <f aca="false">MID(B271,9,1)</f>
        <v/>
      </c>
      <c r="F271" s="34" t="str">
        <f aca="false">MID(B271,10,1)</f>
        <v/>
      </c>
      <c r="G271" s="34" t="str">
        <f aca="false">MID(B271,11,1)</f>
        <v/>
      </c>
      <c r="H271" s="35" t="str">
        <f aca="false">IF(G271=".",F271,CONCATENATE(F271,G271))</f>
        <v/>
      </c>
      <c r="I271" s="34" t="n">
        <f aca="false">IFERROR(VALUE(H271),)</f>
        <v>0</v>
      </c>
      <c r="J271" s="34" t="e">
        <f aca="false">RIGHT(B271,LEN(B271)-FIND("/",B271, FIND("Single Cells",B271, 1)))</f>
        <v>#VALUE!</v>
      </c>
    </row>
    <row r="272" customFormat="false" ht="12.75" hidden="false" customHeight="true" outlineLevel="0" collapsed="false">
      <c r="E272" s="34" t="str">
        <f aca="false">MID(B272,9,1)</f>
        <v/>
      </c>
      <c r="F272" s="34" t="str">
        <f aca="false">MID(B272,10,1)</f>
        <v/>
      </c>
      <c r="G272" s="34" t="str">
        <f aca="false">MID(B272,11,1)</f>
        <v/>
      </c>
      <c r="H272" s="35" t="str">
        <f aca="false">IF(G272=".",F272,CONCATENATE(F272,G272))</f>
        <v/>
      </c>
      <c r="I272" s="34" t="n">
        <f aca="false">IFERROR(VALUE(H272),)</f>
        <v>0</v>
      </c>
      <c r="J272" s="34" t="e">
        <f aca="false">RIGHT(B272,LEN(B272)-FIND("/",B272, FIND("Single Cells",B272, 1)))</f>
        <v>#VALUE!</v>
      </c>
    </row>
    <row r="273" customFormat="false" ht="12.75" hidden="false" customHeight="true" outlineLevel="0" collapsed="false">
      <c r="E273" s="34" t="str">
        <f aca="false">MID(B273,9,1)</f>
        <v/>
      </c>
      <c r="F273" s="34" t="str">
        <f aca="false">MID(B273,10,1)</f>
        <v/>
      </c>
      <c r="G273" s="34" t="str">
        <f aca="false">MID(B273,11,1)</f>
        <v/>
      </c>
      <c r="H273" s="35" t="str">
        <f aca="false">IF(G273=".",F273,CONCATENATE(F273,G273))</f>
        <v/>
      </c>
      <c r="I273" s="34" t="n">
        <f aca="false">IFERROR(VALUE(H273),)</f>
        <v>0</v>
      </c>
      <c r="J273" s="34" t="e">
        <f aca="false">RIGHT(B273,LEN(B273)-FIND("/",B273, FIND("Single Cells",B273, 1)))</f>
        <v>#VALUE!</v>
      </c>
    </row>
    <row r="274" customFormat="false" ht="12.75" hidden="false" customHeight="true" outlineLevel="0" collapsed="false">
      <c r="E274" s="34" t="str">
        <f aca="false">MID(B274,9,1)</f>
        <v/>
      </c>
      <c r="F274" s="34" t="str">
        <f aca="false">MID(B274,10,1)</f>
        <v/>
      </c>
      <c r="G274" s="34" t="str">
        <f aca="false">MID(B274,11,1)</f>
        <v/>
      </c>
      <c r="H274" s="35" t="str">
        <f aca="false">IF(G274=".",F274,CONCATENATE(F274,G274))</f>
        <v/>
      </c>
      <c r="I274" s="34" t="n">
        <f aca="false">IFERROR(VALUE(H274),)</f>
        <v>0</v>
      </c>
      <c r="J274" s="34" t="e">
        <f aca="false">RIGHT(B274,LEN(B274)-FIND("/",B274, FIND("Single Cells",B274, 1)))</f>
        <v>#VALUE!</v>
      </c>
    </row>
    <row r="275" customFormat="false" ht="12.75" hidden="false" customHeight="true" outlineLevel="0" collapsed="false">
      <c r="E275" s="34" t="str">
        <f aca="false">MID(B275,9,1)</f>
        <v/>
      </c>
      <c r="F275" s="34" t="str">
        <f aca="false">MID(B275,10,1)</f>
        <v/>
      </c>
      <c r="G275" s="34" t="str">
        <f aca="false">MID(B275,11,1)</f>
        <v/>
      </c>
      <c r="H275" s="35" t="str">
        <f aca="false">IF(G275=".",F275,CONCATENATE(F275,G275))</f>
        <v/>
      </c>
      <c r="I275" s="34" t="n">
        <f aca="false">IFERROR(VALUE(H275),)</f>
        <v>0</v>
      </c>
      <c r="J275" s="34" t="e">
        <f aca="false">RIGHT(B275,LEN(B275)-FIND("/",B275, FIND("Single Cells",B275, 1)))</f>
        <v>#VALUE!</v>
      </c>
    </row>
    <row r="276" customFormat="false" ht="12.75" hidden="false" customHeight="true" outlineLevel="0" collapsed="false">
      <c r="E276" s="34" t="str">
        <f aca="false">MID(B276,9,1)</f>
        <v/>
      </c>
      <c r="F276" s="34" t="str">
        <f aca="false">MID(B276,10,1)</f>
        <v/>
      </c>
      <c r="G276" s="34" t="str">
        <f aca="false">MID(B276,11,1)</f>
        <v/>
      </c>
      <c r="H276" s="35" t="str">
        <f aca="false">IF(G276=".",F276,CONCATENATE(F276,G276))</f>
        <v/>
      </c>
      <c r="I276" s="34" t="n">
        <f aca="false">IFERROR(VALUE(H276),)</f>
        <v>0</v>
      </c>
      <c r="J276" s="34" t="e">
        <f aca="false">RIGHT(B276,LEN(B276)-FIND("/",B276, FIND("Single Cells",B276, 1)))</f>
        <v>#VALUE!</v>
      </c>
    </row>
    <row r="277" customFormat="false" ht="12.75" hidden="false" customHeight="true" outlineLevel="0" collapsed="false">
      <c r="E277" s="34" t="str">
        <f aca="false">MID(B277,9,1)</f>
        <v/>
      </c>
      <c r="F277" s="34" t="str">
        <f aca="false">MID(B277,10,1)</f>
        <v/>
      </c>
      <c r="G277" s="34" t="str">
        <f aca="false">MID(B277,11,1)</f>
        <v/>
      </c>
      <c r="H277" s="35" t="str">
        <f aca="false">IF(G277=".",F277,CONCATENATE(F277,G277))</f>
        <v/>
      </c>
      <c r="I277" s="34" t="n">
        <f aca="false">IFERROR(VALUE(H277),)</f>
        <v>0</v>
      </c>
      <c r="J277" s="34" t="e">
        <f aca="false">RIGHT(B277,LEN(B277)-FIND("/",B277, FIND("Single Cells",B277, 1)))</f>
        <v>#VALUE!</v>
      </c>
    </row>
    <row r="278" customFormat="false" ht="12.75" hidden="false" customHeight="true" outlineLevel="0" collapsed="false">
      <c r="E278" s="34" t="str">
        <f aca="false">MID(B278,9,1)</f>
        <v/>
      </c>
      <c r="F278" s="34" t="str">
        <f aca="false">MID(B278,10,1)</f>
        <v/>
      </c>
      <c r="G278" s="34" t="str">
        <f aca="false">MID(B278,11,1)</f>
        <v/>
      </c>
      <c r="H278" s="35" t="str">
        <f aca="false">IF(G278=".",F278,CONCATENATE(F278,G278))</f>
        <v/>
      </c>
      <c r="I278" s="34" t="n">
        <f aca="false">IFERROR(VALUE(H278),)</f>
        <v>0</v>
      </c>
      <c r="J278" s="34" t="e">
        <f aca="false">RIGHT(B278,LEN(B278)-FIND("/",B278, FIND("Single Cells",B278, 1)))</f>
        <v>#VALUE!</v>
      </c>
    </row>
    <row r="279" customFormat="false" ht="12.75" hidden="false" customHeight="true" outlineLevel="0" collapsed="false">
      <c r="E279" s="34" t="str">
        <f aca="false">MID(B279,9,1)</f>
        <v/>
      </c>
      <c r="F279" s="34" t="str">
        <f aca="false">MID(B279,10,1)</f>
        <v/>
      </c>
      <c r="G279" s="34" t="str">
        <f aca="false">MID(B279,11,1)</f>
        <v/>
      </c>
      <c r="H279" s="35" t="str">
        <f aca="false">IF(G279=".",F279,CONCATENATE(F279,G279))</f>
        <v/>
      </c>
      <c r="I279" s="34" t="n">
        <f aca="false">IFERROR(VALUE(H279),)</f>
        <v>0</v>
      </c>
      <c r="J279" s="34" t="e">
        <f aca="false">RIGHT(B279,LEN(B279)-FIND("/",B279, FIND("Single Cells",B279, 1)))</f>
        <v>#VALUE!</v>
      </c>
    </row>
    <row r="280" customFormat="false" ht="12.75" hidden="false" customHeight="true" outlineLevel="0" collapsed="false">
      <c r="E280" s="34" t="str">
        <f aca="false">MID(B280,9,1)</f>
        <v/>
      </c>
      <c r="F280" s="34" t="str">
        <f aca="false">MID(B280,10,1)</f>
        <v/>
      </c>
      <c r="G280" s="34" t="str">
        <f aca="false">MID(B280,11,1)</f>
        <v/>
      </c>
      <c r="H280" s="35" t="str">
        <f aca="false">IF(G280=".",F280,CONCATENATE(F280,G280))</f>
        <v/>
      </c>
      <c r="I280" s="34" t="n">
        <f aca="false">IFERROR(VALUE(H280),)</f>
        <v>0</v>
      </c>
      <c r="J280" s="34" t="e">
        <f aca="false">RIGHT(B280,LEN(B280)-FIND("/",B280, FIND("Single Cells",B280, 1)))</f>
        <v>#VALUE!</v>
      </c>
    </row>
    <row r="281" customFormat="false" ht="12.75" hidden="false" customHeight="true" outlineLevel="0" collapsed="false">
      <c r="E281" s="34" t="str">
        <f aca="false">MID(B281,9,1)</f>
        <v/>
      </c>
      <c r="F281" s="34" t="str">
        <f aca="false">MID(B281,10,1)</f>
        <v/>
      </c>
      <c r="G281" s="34" t="str">
        <f aca="false">MID(B281,11,1)</f>
        <v/>
      </c>
      <c r="H281" s="35" t="str">
        <f aca="false">IF(G281=".",F281,CONCATENATE(F281,G281))</f>
        <v/>
      </c>
      <c r="I281" s="34" t="n">
        <f aca="false">IFERROR(VALUE(H281),)</f>
        <v>0</v>
      </c>
      <c r="J281" s="34" t="e">
        <f aca="false">RIGHT(B281,LEN(B281)-FIND("/",B281, FIND("Single Cells",B281, 1)))</f>
        <v>#VALUE!</v>
      </c>
    </row>
    <row r="282" customFormat="false" ht="12.75" hidden="false" customHeight="true" outlineLevel="0" collapsed="false">
      <c r="E282" s="34" t="str">
        <f aca="false">MID(B282,9,1)</f>
        <v/>
      </c>
      <c r="F282" s="34" t="str">
        <f aca="false">MID(B282,10,1)</f>
        <v/>
      </c>
      <c r="G282" s="34" t="str">
        <f aca="false">MID(B282,11,1)</f>
        <v/>
      </c>
      <c r="H282" s="35" t="str">
        <f aca="false">IF(G282=".",F282,CONCATENATE(F282,G282))</f>
        <v/>
      </c>
      <c r="I282" s="34" t="n">
        <f aca="false">IFERROR(VALUE(H282),)</f>
        <v>0</v>
      </c>
      <c r="J282" s="34" t="e">
        <f aca="false">RIGHT(B282,LEN(B282)-FIND("/",B282, FIND("Single Cells",B282, 1)))</f>
        <v>#VALUE!</v>
      </c>
    </row>
    <row r="283" customFormat="false" ht="12.75" hidden="false" customHeight="true" outlineLevel="0" collapsed="false">
      <c r="E283" s="34" t="str">
        <f aca="false">MID(B283,9,1)</f>
        <v/>
      </c>
      <c r="F283" s="34" t="str">
        <f aca="false">MID(B283,10,1)</f>
        <v/>
      </c>
      <c r="G283" s="34" t="str">
        <f aca="false">MID(B283,11,1)</f>
        <v/>
      </c>
      <c r="H283" s="35" t="str">
        <f aca="false">IF(G283=".",F283,CONCATENATE(F283,G283))</f>
        <v/>
      </c>
      <c r="I283" s="34" t="n">
        <f aca="false">IFERROR(VALUE(H283),)</f>
        <v>0</v>
      </c>
      <c r="J283" s="34" t="e">
        <f aca="false">RIGHT(B283,LEN(B283)-FIND("/",B283, FIND("Single Cells",B283, 1)))</f>
        <v>#VALUE!</v>
      </c>
    </row>
    <row r="284" customFormat="false" ht="12.75" hidden="false" customHeight="true" outlineLevel="0" collapsed="false">
      <c r="E284" s="34" t="str">
        <f aca="false">MID(B284,9,1)</f>
        <v/>
      </c>
      <c r="F284" s="34" t="str">
        <f aca="false">MID(B284,10,1)</f>
        <v/>
      </c>
      <c r="G284" s="34" t="str">
        <f aca="false">MID(B284,11,1)</f>
        <v/>
      </c>
      <c r="H284" s="35" t="str">
        <f aca="false">IF(G284=".",F284,CONCATENATE(F284,G284))</f>
        <v/>
      </c>
      <c r="I284" s="34" t="n">
        <f aca="false">IFERROR(VALUE(H284),)</f>
        <v>0</v>
      </c>
      <c r="J284" s="34" t="e">
        <f aca="false">RIGHT(B284,LEN(B284)-FIND("/",B284, FIND("Single Cells",B284, 1)))</f>
        <v>#VALUE!</v>
      </c>
    </row>
    <row r="285" customFormat="false" ht="12.75" hidden="false" customHeight="true" outlineLevel="0" collapsed="false">
      <c r="E285" s="34" t="str">
        <f aca="false">MID(B285,9,1)</f>
        <v/>
      </c>
      <c r="F285" s="34" t="str">
        <f aca="false">MID(B285,10,1)</f>
        <v/>
      </c>
      <c r="G285" s="34" t="str">
        <f aca="false">MID(B285,11,1)</f>
        <v/>
      </c>
      <c r="H285" s="35" t="str">
        <f aca="false">IF(G285=".",F285,CONCATENATE(F285,G285))</f>
        <v/>
      </c>
      <c r="I285" s="34" t="n">
        <f aca="false">IFERROR(VALUE(H285),)</f>
        <v>0</v>
      </c>
      <c r="J285" s="34" t="e">
        <f aca="false">RIGHT(B285,LEN(B285)-FIND("/",B285, FIND("Single Cells",B285, 1)))</f>
        <v>#VALUE!</v>
      </c>
    </row>
    <row r="286" customFormat="false" ht="12.75" hidden="false" customHeight="true" outlineLevel="0" collapsed="false">
      <c r="E286" s="34" t="str">
        <f aca="false">MID(B286,9,1)</f>
        <v/>
      </c>
      <c r="F286" s="34" t="str">
        <f aca="false">MID(B286,10,1)</f>
        <v/>
      </c>
      <c r="G286" s="34" t="str">
        <f aca="false">MID(B286,11,1)</f>
        <v/>
      </c>
      <c r="H286" s="35" t="str">
        <f aca="false">IF(G286=".",F286,CONCATENATE(F286,G286))</f>
        <v/>
      </c>
      <c r="I286" s="34" t="n">
        <f aca="false">IFERROR(VALUE(H286),)</f>
        <v>0</v>
      </c>
      <c r="J286" s="34" t="e">
        <f aca="false">RIGHT(B286,LEN(B286)-FIND("/",B286, FIND("Single Cells",B286, 1)))</f>
        <v>#VALUE!</v>
      </c>
    </row>
    <row r="287" customFormat="false" ht="12.75" hidden="false" customHeight="true" outlineLevel="0" collapsed="false">
      <c r="E287" s="34" t="str">
        <f aca="false">MID(B287,9,1)</f>
        <v/>
      </c>
      <c r="F287" s="34" t="str">
        <f aca="false">MID(B287,10,1)</f>
        <v/>
      </c>
      <c r="G287" s="34" t="str">
        <f aca="false">MID(B287,11,1)</f>
        <v/>
      </c>
      <c r="H287" s="35" t="str">
        <f aca="false">IF(G287=".",F287,CONCATENATE(F287,G287))</f>
        <v/>
      </c>
      <c r="I287" s="34" t="n">
        <f aca="false">IFERROR(VALUE(H287),)</f>
        <v>0</v>
      </c>
      <c r="J287" s="34" t="e">
        <f aca="false">RIGHT(B287,LEN(B287)-FIND("/",B287, FIND("Single Cells",B287, 1)))</f>
        <v>#VALUE!</v>
      </c>
    </row>
    <row r="288" customFormat="false" ht="12.75" hidden="false" customHeight="true" outlineLevel="0" collapsed="false">
      <c r="E288" s="34" t="str">
        <f aca="false">MID(B288,9,1)</f>
        <v/>
      </c>
      <c r="F288" s="34" t="str">
        <f aca="false">MID(B288,10,1)</f>
        <v/>
      </c>
      <c r="G288" s="34" t="str">
        <f aca="false">MID(B288,11,1)</f>
        <v/>
      </c>
      <c r="H288" s="35" t="str">
        <f aca="false">IF(G288=".",F288,CONCATENATE(F288,G288))</f>
        <v/>
      </c>
      <c r="I288" s="34" t="n">
        <f aca="false">IFERROR(VALUE(H288),)</f>
        <v>0</v>
      </c>
      <c r="J288" s="34" t="e">
        <f aca="false">RIGHT(B288,LEN(B288)-FIND("/",B288, FIND("Single Cells",B288, 1)))</f>
        <v>#VALUE!</v>
      </c>
    </row>
    <row r="289" customFormat="false" ht="12.75" hidden="false" customHeight="true" outlineLevel="0" collapsed="false">
      <c r="E289" s="34" t="str">
        <f aca="false">MID(B289,9,1)</f>
        <v/>
      </c>
      <c r="F289" s="34" t="str">
        <f aca="false">MID(B289,10,1)</f>
        <v/>
      </c>
      <c r="G289" s="34" t="str">
        <f aca="false">MID(B289,11,1)</f>
        <v/>
      </c>
      <c r="H289" s="35" t="str">
        <f aca="false">IF(G289=".",F289,CONCATENATE(F289,G289))</f>
        <v/>
      </c>
      <c r="I289" s="34" t="n">
        <f aca="false">IFERROR(VALUE(H289),)</f>
        <v>0</v>
      </c>
      <c r="J289" s="34" t="e">
        <f aca="false">RIGHT(B289,LEN(B289)-FIND("/",B289, FIND("Single Cells",B289, 1)))</f>
        <v>#VALUE!</v>
      </c>
    </row>
    <row r="290" customFormat="false" ht="12.75" hidden="false" customHeight="true" outlineLevel="0" collapsed="false">
      <c r="E290" s="34" t="str">
        <f aca="false">MID(B290,9,1)</f>
        <v/>
      </c>
      <c r="F290" s="34" t="str">
        <f aca="false">MID(B290,10,1)</f>
        <v/>
      </c>
      <c r="G290" s="34" t="str">
        <f aca="false">MID(B290,11,1)</f>
        <v/>
      </c>
      <c r="H290" s="35" t="str">
        <f aca="false">IF(G290=".",F290,CONCATENATE(F290,G290))</f>
        <v/>
      </c>
      <c r="I290" s="34" t="n">
        <f aca="false">IFERROR(VALUE(H290),)</f>
        <v>0</v>
      </c>
      <c r="J290" s="34" t="e">
        <f aca="false">RIGHT(B290,LEN(B290)-FIND("/",B290, FIND("Single Cells",B290, 1)))</f>
        <v>#VALUE!</v>
      </c>
    </row>
    <row r="291" customFormat="false" ht="12.75" hidden="false" customHeight="true" outlineLevel="0" collapsed="false">
      <c r="E291" s="34" t="str">
        <f aca="false">MID(B291,9,1)</f>
        <v/>
      </c>
      <c r="F291" s="34" t="str">
        <f aca="false">MID(B291,10,1)</f>
        <v/>
      </c>
      <c r="G291" s="34" t="str">
        <f aca="false">MID(B291,11,1)</f>
        <v/>
      </c>
      <c r="H291" s="35" t="str">
        <f aca="false">IF(G291=".",F291,CONCATENATE(F291,G291))</f>
        <v/>
      </c>
      <c r="I291" s="34" t="n">
        <f aca="false">IFERROR(VALUE(H291),)</f>
        <v>0</v>
      </c>
      <c r="J291" s="34" t="e">
        <f aca="false">RIGHT(B291,LEN(B291)-FIND("/",B291, FIND("Single Cells",B291, 1)))</f>
        <v>#VALUE!</v>
      </c>
    </row>
    <row r="292" customFormat="false" ht="12.75" hidden="false" customHeight="true" outlineLevel="0" collapsed="false">
      <c r="E292" s="34" t="str">
        <f aca="false">MID(B292,9,1)</f>
        <v/>
      </c>
      <c r="F292" s="34" t="str">
        <f aca="false">MID(B292,10,1)</f>
        <v/>
      </c>
      <c r="G292" s="34" t="str">
        <f aca="false">MID(B292,11,1)</f>
        <v/>
      </c>
      <c r="H292" s="35" t="str">
        <f aca="false">IF(G292=".",F292,CONCATENATE(F292,G292))</f>
        <v/>
      </c>
      <c r="I292" s="34" t="n">
        <f aca="false">IFERROR(VALUE(H292),)</f>
        <v>0</v>
      </c>
      <c r="J292" s="34" t="e">
        <f aca="false">RIGHT(B292,LEN(B292)-FIND("/",B292, FIND("Single Cells",B292, 1)))</f>
        <v>#VALUE!</v>
      </c>
    </row>
    <row r="293" customFormat="false" ht="12.75" hidden="false" customHeight="true" outlineLevel="0" collapsed="false">
      <c r="E293" s="34" t="str">
        <f aca="false">MID(B293,9,1)</f>
        <v/>
      </c>
      <c r="F293" s="34" t="str">
        <f aca="false">MID(B293,10,1)</f>
        <v/>
      </c>
      <c r="G293" s="34" t="str">
        <f aca="false">MID(B293,11,1)</f>
        <v/>
      </c>
      <c r="H293" s="35" t="str">
        <f aca="false">IF(G293=".",F293,CONCATENATE(F293,G293))</f>
        <v/>
      </c>
      <c r="I293" s="34" t="n">
        <f aca="false">IFERROR(VALUE(H293),)</f>
        <v>0</v>
      </c>
      <c r="J293" s="34" t="e">
        <f aca="false">RIGHT(B293,LEN(B293)-FIND("/",B293, FIND("Single Cells",B293, 1)))</f>
        <v>#VALUE!</v>
      </c>
    </row>
    <row r="294" customFormat="false" ht="12.75" hidden="false" customHeight="true" outlineLevel="0" collapsed="false">
      <c r="E294" s="34" t="str">
        <f aca="false">MID(B294,9,1)</f>
        <v/>
      </c>
      <c r="F294" s="34" t="str">
        <f aca="false">MID(B294,10,1)</f>
        <v/>
      </c>
      <c r="G294" s="34" t="str">
        <f aca="false">MID(B294,11,1)</f>
        <v/>
      </c>
      <c r="H294" s="35" t="str">
        <f aca="false">IF(G294=".",F294,CONCATENATE(F294,G294))</f>
        <v/>
      </c>
      <c r="I294" s="34" t="n">
        <f aca="false">IFERROR(VALUE(H294),)</f>
        <v>0</v>
      </c>
      <c r="J294" s="34" t="e">
        <f aca="false">RIGHT(B294,LEN(B294)-FIND("/",B294, FIND("Single Cells",B294, 1)))</f>
        <v>#VALUE!</v>
      </c>
    </row>
    <row r="295" customFormat="false" ht="12.75" hidden="false" customHeight="true" outlineLevel="0" collapsed="false">
      <c r="E295" s="34" t="str">
        <f aca="false">MID(B295,9,1)</f>
        <v/>
      </c>
      <c r="F295" s="34" t="str">
        <f aca="false">MID(B295,10,1)</f>
        <v/>
      </c>
      <c r="G295" s="34" t="str">
        <f aca="false">MID(B295,11,1)</f>
        <v/>
      </c>
      <c r="H295" s="35" t="str">
        <f aca="false">IF(G295=".",F295,CONCATENATE(F295,G295))</f>
        <v/>
      </c>
      <c r="I295" s="34" t="n">
        <f aca="false">IFERROR(VALUE(H295),)</f>
        <v>0</v>
      </c>
      <c r="J295" s="34" t="e">
        <f aca="false">RIGHT(B295,LEN(B295)-FIND("/",B295, FIND("Single Cells",B295, 1)))</f>
        <v>#VALUE!</v>
      </c>
    </row>
    <row r="296" customFormat="false" ht="12.75" hidden="false" customHeight="true" outlineLevel="0" collapsed="false">
      <c r="E296" s="34" t="str">
        <f aca="false">MID(B296,9,1)</f>
        <v/>
      </c>
      <c r="F296" s="34" t="str">
        <f aca="false">MID(B296,10,1)</f>
        <v/>
      </c>
      <c r="G296" s="34" t="str">
        <f aca="false">MID(B296,11,1)</f>
        <v/>
      </c>
      <c r="H296" s="35" t="str">
        <f aca="false">IF(G296=".",F296,CONCATENATE(F296,G296))</f>
        <v/>
      </c>
      <c r="I296" s="34" t="n">
        <f aca="false">IFERROR(VALUE(H296),)</f>
        <v>0</v>
      </c>
      <c r="J296" s="34" t="e">
        <f aca="false">RIGHT(B296,LEN(B296)-FIND("/",B296, FIND("Single Cells",B296, 1)))</f>
        <v>#VALUE!</v>
      </c>
    </row>
    <row r="297" customFormat="false" ht="12.75" hidden="false" customHeight="true" outlineLevel="0" collapsed="false">
      <c r="E297" s="34" t="str">
        <f aca="false">MID(B297,9,1)</f>
        <v/>
      </c>
      <c r="F297" s="34" t="str">
        <f aca="false">MID(B297,10,1)</f>
        <v/>
      </c>
      <c r="G297" s="34" t="str">
        <f aca="false">MID(B297,11,1)</f>
        <v/>
      </c>
      <c r="H297" s="35" t="str">
        <f aca="false">IF(G297=".",F297,CONCATENATE(F297,G297))</f>
        <v/>
      </c>
      <c r="I297" s="34" t="n">
        <f aca="false">IFERROR(VALUE(H297),)</f>
        <v>0</v>
      </c>
      <c r="J297" s="34" t="e">
        <f aca="false">RIGHT(B297,LEN(B297)-FIND("/",B297, FIND("Single Cells",B297, 1)))</f>
        <v>#VALUE!</v>
      </c>
    </row>
    <row r="298" customFormat="false" ht="12.75" hidden="false" customHeight="true" outlineLevel="0" collapsed="false">
      <c r="E298" s="34" t="str">
        <f aca="false">MID(B298,9,1)</f>
        <v/>
      </c>
      <c r="F298" s="34" t="str">
        <f aca="false">MID(B298,10,1)</f>
        <v/>
      </c>
      <c r="G298" s="34" t="str">
        <f aca="false">MID(B298,11,1)</f>
        <v/>
      </c>
      <c r="H298" s="35" t="str">
        <f aca="false">IF(G298=".",F298,CONCATENATE(F298,G298))</f>
        <v/>
      </c>
      <c r="I298" s="34" t="n">
        <f aca="false">IFERROR(VALUE(H298),)</f>
        <v>0</v>
      </c>
      <c r="J298" s="34" t="e">
        <f aca="false">RIGHT(B298,LEN(B298)-FIND("/",B298, FIND("Single Cells",B298, 1)))</f>
        <v>#VALUE!</v>
      </c>
    </row>
    <row r="299" customFormat="false" ht="12.75" hidden="false" customHeight="true" outlineLevel="0" collapsed="false">
      <c r="E299" s="34" t="str">
        <f aca="false">MID(B299,9,1)</f>
        <v/>
      </c>
      <c r="F299" s="34" t="str">
        <f aca="false">MID(B299,10,1)</f>
        <v/>
      </c>
      <c r="G299" s="34" t="str">
        <f aca="false">MID(B299,11,1)</f>
        <v/>
      </c>
      <c r="H299" s="35" t="str">
        <f aca="false">IF(G299=".",F299,CONCATENATE(F299,G299))</f>
        <v/>
      </c>
      <c r="I299" s="34" t="n">
        <f aca="false">IFERROR(VALUE(H299),)</f>
        <v>0</v>
      </c>
      <c r="J299" s="34" t="e">
        <f aca="false">RIGHT(B299,LEN(B299)-FIND("/",B299, FIND("Single Cells",B299, 1)))</f>
        <v>#VALUE!</v>
      </c>
    </row>
    <row r="300" customFormat="false" ht="12.75" hidden="false" customHeight="true" outlineLevel="0" collapsed="false">
      <c r="E300" s="34" t="str">
        <f aca="false">MID(B300,9,1)</f>
        <v/>
      </c>
      <c r="F300" s="34" t="str">
        <f aca="false">MID(B300,10,1)</f>
        <v/>
      </c>
      <c r="G300" s="34" t="str">
        <f aca="false">MID(B300,11,1)</f>
        <v/>
      </c>
      <c r="H300" s="35" t="str">
        <f aca="false">IF(G300=".",F300,CONCATENATE(F300,G300))</f>
        <v/>
      </c>
      <c r="I300" s="34" t="n">
        <f aca="false">IFERROR(VALUE(H300),)</f>
        <v>0</v>
      </c>
      <c r="J300" s="34" t="e">
        <f aca="false">RIGHT(B300,LEN(B300)-FIND("/",B300, FIND("Single Cells",B300, 1)))</f>
        <v>#VALUE!</v>
      </c>
    </row>
    <row r="301" customFormat="false" ht="12.75" hidden="false" customHeight="true" outlineLevel="0" collapsed="false">
      <c r="E301" s="34" t="str">
        <f aca="false">MID(B301,9,1)</f>
        <v/>
      </c>
      <c r="F301" s="34" t="str">
        <f aca="false">MID(B301,10,1)</f>
        <v/>
      </c>
      <c r="G301" s="34" t="str">
        <f aca="false">MID(B301,11,1)</f>
        <v/>
      </c>
      <c r="H301" s="35" t="str">
        <f aca="false">IF(G301=".",F301,CONCATENATE(F301,G301))</f>
        <v/>
      </c>
      <c r="I301" s="34" t="n">
        <f aca="false">IFERROR(VALUE(H301),)</f>
        <v>0</v>
      </c>
      <c r="J301" s="34" t="e">
        <f aca="false">RIGHT(B301,LEN(B301)-FIND("/",B301, FIND("Single Cells",B301, 1)))</f>
        <v>#VALUE!</v>
      </c>
    </row>
    <row r="302" customFormat="false" ht="12.75" hidden="false" customHeight="true" outlineLevel="0" collapsed="false">
      <c r="E302" s="34" t="str">
        <f aca="false">MID(B302,9,1)</f>
        <v/>
      </c>
      <c r="F302" s="34" t="str">
        <f aca="false">MID(B302,10,1)</f>
        <v/>
      </c>
      <c r="G302" s="34" t="str">
        <f aca="false">MID(B302,11,1)</f>
        <v/>
      </c>
      <c r="H302" s="35" t="str">
        <f aca="false">IF(G302=".",F302,CONCATENATE(F302,G302))</f>
        <v/>
      </c>
      <c r="I302" s="34" t="n">
        <f aca="false">IFERROR(VALUE(H302),)</f>
        <v>0</v>
      </c>
      <c r="J302" s="34" t="e">
        <f aca="false">RIGHT(B302,LEN(B302)-FIND("/",B302, FIND("Single Cells",B302, 1)))</f>
        <v>#VALUE!</v>
      </c>
    </row>
    <row r="303" customFormat="false" ht="12.75" hidden="false" customHeight="true" outlineLevel="0" collapsed="false">
      <c r="E303" s="34" t="str">
        <f aca="false">MID(B303,9,1)</f>
        <v/>
      </c>
      <c r="F303" s="34" t="str">
        <f aca="false">MID(B303,10,1)</f>
        <v/>
      </c>
      <c r="G303" s="34" t="str">
        <f aca="false">MID(B303,11,1)</f>
        <v/>
      </c>
      <c r="H303" s="35" t="str">
        <f aca="false">IF(G303=".",F303,CONCATENATE(F303,G303))</f>
        <v/>
      </c>
      <c r="I303" s="34" t="n">
        <f aca="false">IFERROR(VALUE(H303),)</f>
        <v>0</v>
      </c>
      <c r="J303" s="34" t="e">
        <f aca="false">RIGHT(B303,LEN(B303)-FIND("/",B303, FIND("Single Cells",B303, 1)))</f>
        <v>#VALUE!</v>
      </c>
    </row>
    <row r="304" customFormat="false" ht="12.75" hidden="false" customHeight="true" outlineLevel="0" collapsed="false">
      <c r="E304" s="34" t="str">
        <f aca="false">MID(B304,9,1)</f>
        <v/>
      </c>
      <c r="F304" s="34" t="str">
        <f aca="false">MID(B304,10,1)</f>
        <v/>
      </c>
      <c r="G304" s="34" t="str">
        <f aca="false">MID(B304,11,1)</f>
        <v/>
      </c>
      <c r="H304" s="35" t="str">
        <f aca="false">IF(G304=".",F304,CONCATENATE(F304,G304))</f>
        <v/>
      </c>
      <c r="I304" s="34" t="n">
        <f aca="false">IFERROR(VALUE(H304),)</f>
        <v>0</v>
      </c>
      <c r="J304" s="34" t="e">
        <f aca="false">RIGHT(B304,LEN(B304)-FIND("/",B304, FIND("Single Cells",B304, 1)))</f>
        <v>#VALUE!</v>
      </c>
    </row>
    <row r="305" customFormat="false" ht="12.75" hidden="false" customHeight="true" outlineLevel="0" collapsed="false">
      <c r="E305" s="34" t="str">
        <f aca="false">MID(B305,9,1)</f>
        <v/>
      </c>
      <c r="F305" s="34" t="str">
        <f aca="false">MID(B305,10,1)</f>
        <v/>
      </c>
      <c r="G305" s="34" t="str">
        <f aca="false">MID(B305,11,1)</f>
        <v/>
      </c>
      <c r="H305" s="35" t="str">
        <f aca="false">IF(G305=".",F305,CONCATENATE(F305,G305))</f>
        <v/>
      </c>
      <c r="I305" s="34" t="n">
        <f aca="false">IFERROR(VALUE(H305),)</f>
        <v>0</v>
      </c>
      <c r="J305" s="34" t="e">
        <f aca="false">RIGHT(B305,LEN(B305)-FIND("/",B305, FIND("Single Cells",B305, 1)))</f>
        <v>#VALUE!</v>
      </c>
    </row>
    <row r="306" customFormat="false" ht="12.75" hidden="false" customHeight="true" outlineLevel="0" collapsed="false">
      <c r="E306" s="34" t="str">
        <f aca="false">MID(B306,9,1)</f>
        <v/>
      </c>
      <c r="F306" s="34" t="str">
        <f aca="false">MID(B306,10,1)</f>
        <v/>
      </c>
      <c r="G306" s="34" t="str">
        <f aca="false">MID(B306,11,1)</f>
        <v/>
      </c>
      <c r="H306" s="35" t="str">
        <f aca="false">IF(G306=".",F306,CONCATENATE(F306,G306))</f>
        <v/>
      </c>
      <c r="I306" s="34" t="n">
        <f aca="false">IFERROR(VALUE(H306),)</f>
        <v>0</v>
      </c>
      <c r="J306" s="34" t="e">
        <f aca="false">RIGHT(B306,LEN(B306)-FIND("/",B306, FIND("Single Cells",B306, 1)))</f>
        <v>#VALUE!</v>
      </c>
    </row>
    <row r="307" customFormat="false" ht="12.75" hidden="false" customHeight="true" outlineLevel="0" collapsed="false">
      <c r="E307" s="34" t="str">
        <f aca="false">MID(B307,9,1)</f>
        <v/>
      </c>
      <c r="F307" s="34" t="str">
        <f aca="false">MID(B307,10,1)</f>
        <v/>
      </c>
      <c r="G307" s="34" t="str">
        <f aca="false">MID(B307,11,1)</f>
        <v/>
      </c>
      <c r="H307" s="35" t="str">
        <f aca="false">IF(G307=".",F307,CONCATENATE(F307,G307))</f>
        <v/>
      </c>
      <c r="I307" s="34" t="n">
        <f aca="false">IFERROR(VALUE(H307),)</f>
        <v>0</v>
      </c>
      <c r="J307" s="34" t="e">
        <f aca="false">RIGHT(B307,LEN(B307)-FIND("/",B307, FIND("Single Cells",B307, 1)))</f>
        <v>#VALUE!</v>
      </c>
    </row>
    <row r="308" customFormat="false" ht="12.75" hidden="false" customHeight="true" outlineLevel="0" collapsed="false">
      <c r="E308" s="34" t="str">
        <f aca="false">MID(B308,9,1)</f>
        <v/>
      </c>
      <c r="F308" s="34" t="str">
        <f aca="false">MID(B308,10,1)</f>
        <v/>
      </c>
      <c r="G308" s="34" t="str">
        <f aca="false">MID(B308,11,1)</f>
        <v/>
      </c>
      <c r="H308" s="35" t="str">
        <f aca="false">IF(G308=".",F308,CONCATENATE(F308,G308))</f>
        <v/>
      </c>
      <c r="I308" s="34" t="n">
        <f aca="false">IFERROR(VALUE(H308),)</f>
        <v>0</v>
      </c>
      <c r="J308" s="34" t="e">
        <f aca="false">RIGHT(B308,LEN(B308)-FIND("/",B308, FIND("Single Cells",B308, 1)))</f>
        <v>#VALUE!</v>
      </c>
    </row>
    <row r="309" customFormat="false" ht="12.75" hidden="false" customHeight="true" outlineLevel="0" collapsed="false">
      <c r="E309" s="34" t="str">
        <f aca="false">MID(B309,9,1)</f>
        <v/>
      </c>
      <c r="F309" s="34" t="str">
        <f aca="false">MID(B309,10,1)</f>
        <v/>
      </c>
      <c r="G309" s="34" t="str">
        <f aca="false">MID(B309,11,1)</f>
        <v/>
      </c>
      <c r="H309" s="35" t="str">
        <f aca="false">IF(G309=".",F309,CONCATENATE(F309,G309))</f>
        <v/>
      </c>
      <c r="I309" s="34" t="n">
        <f aca="false">IFERROR(VALUE(H309),)</f>
        <v>0</v>
      </c>
      <c r="J309" s="34" t="e">
        <f aca="false">RIGHT(B309,LEN(B309)-FIND("/",B309, FIND("Single Cells",B309, 1)))</f>
        <v>#VALUE!</v>
      </c>
    </row>
    <row r="310" customFormat="false" ht="12.75" hidden="false" customHeight="true" outlineLevel="0" collapsed="false">
      <c r="E310" s="34" t="str">
        <f aca="false">MID(B310,9,1)</f>
        <v/>
      </c>
      <c r="F310" s="34" t="str">
        <f aca="false">MID(B310,10,1)</f>
        <v/>
      </c>
      <c r="G310" s="34" t="str">
        <f aca="false">MID(B310,11,1)</f>
        <v/>
      </c>
      <c r="H310" s="35" t="str">
        <f aca="false">IF(G310=".",F310,CONCATENATE(F310,G310))</f>
        <v/>
      </c>
      <c r="I310" s="34" t="n">
        <f aca="false">IFERROR(VALUE(H310),)</f>
        <v>0</v>
      </c>
      <c r="J310" s="34" t="e">
        <f aca="false">RIGHT(B310,LEN(B310)-FIND("/",B310, FIND("Single Cells",B310, 1)))</f>
        <v>#VALUE!</v>
      </c>
    </row>
    <row r="311" customFormat="false" ht="12.75" hidden="false" customHeight="true" outlineLevel="0" collapsed="false">
      <c r="E311" s="34" t="str">
        <f aca="false">MID(B311,9,1)</f>
        <v/>
      </c>
      <c r="F311" s="34" t="str">
        <f aca="false">MID(B311,10,1)</f>
        <v/>
      </c>
      <c r="G311" s="34" t="str">
        <f aca="false">MID(B311,11,1)</f>
        <v/>
      </c>
      <c r="H311" s="35" t="str">
        <f aca="false">IF(G311=".",F311,CONCATENATE(F311,G311))</f>
        <v/>
      </c>
      <c r="I311" s="34" t="n">
        <f aca="false">IFERROR(VALUE(H311),)</f>
        <v>0</v>
      </c>
      <c r="J311" s="34" t="e">
        <f aca="false">RIGHT(B311,LEN(B311)-FIND("/",B311, FIND("Single Cells",B311, 1)))</f>
        <v>#VALUE!</v>
      </c>
    </row>
    <row r="312" customFormat="false" ht="12.75" hidden="false" customHeight="true" outlineLevel="0" collapsed="false">
      <c r="E312" s="34" t="str">
        <f aca="false">MID(B312,9,1)</f>
        <v/>
      </c>
      <c r="F312" s="34" t="str">
        <f aca="false">MID(B312,10,1)</f>
        <v/>
      </c>
      <c r="G312" s="34" t="str">
        <f aca="false">MID(B312,11,1)</f>
        <v/>
      </c>
      <c r="H312" s="35" t="str">
        <f aca="false">IF(G312=".",F312,CONCATENATE(F312,G312))</f>
        <v/>
      </c>
      <c r="I312" s="34" t="n">
        <f aca="false">IFERROR(VALUE(H312),)</f>
        <v>0</v>
      </c>
      <c r="J312" s="34" t="e">
        <f aca="false">RIGHT(B312,LEN(B312)-FIND("/",B312, FIND("Single Cells",B312, 1)))</f>
        <v>#VALUE!</v>
      </c>
    </row>
    <row r="313" customFormat="false" ht="12.75" hidden="false" customHeight="true" outlineLevel="0" collapsed="false">
      <c r="E313" s="34" t="str">
        <f aca="false">MID(B313,9,1)</f>
        <v/>
      </c>
      <c r="F313" s="34" t="str">
        <f aca="false">MID(B313,10,1)</f>
        <v/>
      </c>
      <c r="G313" s="34" t="str">
        <f aca="false">MID(B313,11,1)</f>
        <v/>
      </c>
      <c r="H313" s="35" t="str">
        <f aca="false">IF(G313=".",F313,CONCATENATE(F313,G313))</f>
        <v/>
      </c>
      <c r="I313" s="34" t="n">
        <f aca="false">IFERROR(VALUE(H313),)</f>
        <v>0</v>
      </c>
      <c r="J313" s="34" t="e">
        <f aca="false">RIGHT(B313,LEN(B313)-FIND("/",B313, FIND("Single Cells",B313, 1)))</f>
        <v>#VALUE!</v>
      </c>
    </row>
    <row r="314" customFormat="false" ht="12.75" hidden="false" customHeight="true" outlineLevel="0" collapsed="false">
      <c r="E314" s="34" t="str">
        <f aca="false">MID(B314,9,1)</f>
        <v/>
      </c>
      <c r="F314" s="34" t="str">
        <f aca="false">MID(B314,10,1)</f>
        <v/>
      </c>
      <c r="G314" s="34" t="str">
        <f aca="false">MID(B314,11,1)</f>
        <v/>
      </c>
      <c r="H314" s="35" t="str">
        <f aca="false">IF(G314=".",F314,CONCATENATE(F314,G314))</f>
        <v/>
      </c>
      <c r="I314" s="34" t="n">
        <f aca="false">IFERROR(VALUE(H314),)</f>
        <v>0</v>
      </c>
      <c r="J314" s="34" t="e">
        <f aca="false">RIGHT(B314,LEN(B314)-FIND("/",B314, FIND("Single Cells",B314, 1)))</f>
        <v>#VALUE!</v>
      </c>
    </row>
    <row r="315" customFormat="false" ht="12.75" hidden="false" customHeight="true" outlineLevel="0" collapsed="false">
      <c r="E315" s="34" t="str">
        <f aca="false">MID(B315,9,1)</f>
        <v/>
      </c>
      <c r="F315" s="34" t="str">
        <f aca="false">MID(B315,10,1)</f>
        <v/>
      </c>
      <c r="G315" s="34" t="str">
        <f aca="false">MID(B315,11,1)</f>
        <v/>
      </c>
      <c r="H315" s="35" t="str">
        <f aca="false">IF(G315=".",F315,CONCATENATE(F315,G315))</f>
        <v/>
      </c>
      <c r="I315" s="34" t="n">
        <f aca="false">IFERROR(VALUE(H315),)</f>
        <v>0</v>
      </c>
      <c r="J315" s="34" t="e">
        <f aca="false">RIGHT(B315,LEN(B315)-FIND("/",B315, FIND("Single Cells",B315, 1)))</f>
        <v>#VALUE!</v>
      </c>
    </row>
    <row r="316" customFormat="false" ht="12.75" hidden="false" customHeight="true" outlineLevel="0" collapsed="false">
      <c r="E316" s="34" t="str">
        <f aca="false">MID(B316,9,1)</f>
        <v/>
      </c>
      <c r="F316" s="34" t="str">
        <f aca="false">MID(B316,10,1)</f>
        <v/>
      </c>
      <c r="G316" s="34" t="str">
        <f aca="false">MID(B316,11,1)</f>
        <v/>
      </c>
      <c r="H316" s="35" t="str">
        <f aca="false">IF(G316=".",F316,CONCATENATE(F316,G316))</f>
        <v/>
      </c>
      <c r="I316" s="34" t="n">
        <f aca="false">IFERROR(VALUE(H316),)</f>
        <v>0</v>
      </c>
      <c r="J316" s="34" t="e">
        <f aca="false">RIGHT(B316,LEN(B316)-FIND("/",B316, FIND("Single Cells",B316, 1)))</f>
        <v>#VALUE!</v>
      </c>
    </row>
    <row r="317" customFormat="false" ht="12.75" hidden="false" customHeight="true" outlineLevel="0" collapsed="false">
      <c r="E317" s="34" t="str">
        <f aca="false">MID(B317,9,1)</f>
        <v/>
      </c>
      <c r="F317" s="34" t="str">
        <f aca="false">MID(B317,10,1)</f>
        <v/>
      </c>
      <c r="G317" s="34" t="str">
        <f aca="false">MID(B317,11,1)</f>
        <v/>
      </c>
      <c r="H317" s="35" t="str">
        <f aca="false">IF(G317=".",F317,CONCATENATE(F317,G317))</f>
        <v/>
      </c>
      <c r="I317" s="34" t="n">
        <f aca="false">IFERROR(VALUE(H317),)</f>
        <v>0</v>
      </c>
      <c r="J317" s="34" t="e">
        <f aca="false">RIGHT(B317,LEN(B317)-FIND("/",B317, FIND("Single Cells",B317, 1)))</f>
        <v>#VALUE!</v>
      </c>
    </row>
    <row r="318" customFormat="false" ht="12.75" hidden="false" customHeight="true" outlineLevel="0" collapsed="false">
      <c r="E318" s="34" t="str">
        <f aca="false">MID(B318,9,1)</f>
        <v/>
      </c>
      <c r="F318" s="34" t="str">
        <f aca="false">MID(B318,10,1)</f>
        <v/>
      </c>
      <c r="G318" s="34" t="str">
        <f aca="false">MID(B318,11,1)</f>
        <v/>
      </c>
      <c r="H318" s="35" t="str">
        <f aca="false">IF(G318=".",F318,CONCATENATE(F318,G318))</f>
        <v/>
      </c>
      <c r="I318" s="34" t="n">
        <f aca="false">IFERROR(VALUE(H318),)</f>
        <v>0</v>
      </c>
      <c r="J318" s="34" t="e">
        <f aca="false">RIGHT(B318,LEN(B318)-FIND("/",B318, FIND("Single Cells",B318, 1)))</f>
        <v>#VALUE!</v>
      </c>
    </row>
    <row r="319" customFormat="false" ht="12.75" hidden="false" customHeight="true" outlineLevel="0" collapsed="false">
      <c r="E319" s="34" t="str">
        <f aca="false">MID(B319,9,1)</f>
        <v/>
      </c>
      <c r="F319" s="34" t="str">
        <f aca="false">MID(B319,10,1)</f>
        <v/>
      </c>
      <c r="G319" s="34" t="str">
        <f aca="false">MID(B319,11,1)</f>
        <v/>
      </c>
      <c r="H319" s="35" t="str">
        <f aca="false">IF(G319=".",F319,CONCATENATE(F319,G319))</f>
        <v/>
      </c>
      <c r="I319" s="34" t="n">
        <f aca="false">IFERROR(VALUE(H319),)</f>
        <v>0</v>
      </c>
      <c r="J319" s="34" t="e">
        <f aca="false">RIGHT(B319,LEN(B319)-FIND("/",B319, FIND("Single Cells",B319, 1)))</f>
        <v>#VALUE!</v>
      </c>
    </row>
    <row r="320" customFormat="false" ht="12.75" hidden="false" customHeight="true" outlineLevel="0" collapsed="false">
      <c r="E320" s="34" t="str">
        <f aca="false">MID(B320,9,1)</f>
        <v/>
      </c>
      <c r="F320" s="34" t="str">
        <f aca="false">MID(B320,10,1)</f>
        <v/>
      </c>
      <c r="G320" s="34" t="str">
        <f aca="false">MID(B320,11,1)</f>
        <v/>
      </c>
      <c r="H320" s="35" t="str">
        <f aca="false">IF(G320=".",F320,CONCATENATE(F320,G320))</f>
        <v/>
      </c>
      <c r="I320" s="34" t="n">
        <f aca="false">IFERROR(VALUE(H320),)</f>
        <v>0</v>
      </c>
      <c r="J320" s="34" t="e">
        <f aca="false">RIGHT(B320,LEN(B320)-FIND("/",B320, FIND("Single Cells",B320, 1)))</f>
        <v>#VALUE!</v>
      </c>
    </row>
    <row r="321" customFormat="false" ht="12.75" hidden="false" customHeight="true" outlineLevel="0" collapsed="false">
      <c r="E321" s="34" t="str">
        <f aca="false">MID(B321,9,1)</f>
        <v/>
      </c>
      <c r="F321" s="34" t="str">
        <f aca="false">MID(B321,10,1)</f>
        <v/>
      </c>
      <c r="G321" s="34" t="str">
        <f aca="false">MID(B321,11,1)</f>
        <v/>
      </c>
      <c r="H321" s="35" t="str">
        <f aca="false">IF(G321=".",F321,CONCATENATE(F321,G321))</f>
        <v/>
      </c>
      <c r="I321" s="34" t="n">
        <f aca="false">IFERROR(VALUE(H321),)</f>
        <v>0</v>
      </c>
      <c r="J321" s="34" t="e">
        <f aca="false">RIGHT(B321,LEN(B321)-FIND("/",B321, FIND("Single Cells",B321, 1)))</f>
        <v>#VALUE!</v>
      </c>
    </row>
    <row r="322" customFormat="false" ht="12.75" hidden="false" customHeight="true" outlineLevel="0" collapsed="false">
      <c r="E322" s="34" t="str">
        <f aca="false">MID(B322,9,1)</f>
        <v/>
      </c>
      <c r="F322" s="34" t="str">
        <f aca="false">MID(B322,10,1)</f>
        <v/>
      </c>
      <c r="G322" s="34" t="str">
        <f aca="false">MID(B322,11,1)</f>
        <v/>
      </c>
      <c r="H322" s="35" t="str">
        <f aca="false">IF(G322=".",F322,CONCATENATE(F322,G322))</f>
        <v/>
      </c>
      <c r="I322" s="34" t="n">
        <f aca="false">IFERROR(VALUE(H322),)</f>
        <v>0</v>
      </c>
      <c r="J322" s="34" t="e">
        <f aca="false">RIGHT(B322,LEN(B322)-FIND("/",B322, FIND("Single Cells",B322, 1)))</f>
        <v>#VALUE!</v>
      </c>
    </row>
    <row r="323" customFormat="false" ht="12.75" hidden="false" customHeight="true" outlineLevel="0" collapsed="false">
      <c r="E323" s="34" t="str">
        <f aca="false">MID(B323,9,1)</f>
        <v/>
      </c>
      <c r="F323" s="34" t="str">
        <f aca="false">MID(B323,10,1)</f>
        <v/>
      </c>
      <c r="G323" s="34" t="str">
        <f aca="false">MID(B323,11,1)</f>
        <v/>
      </c>
      <c r="H323" s="35" t="str">
        <f aca="false">IF(G323=".",F323,CONCATENATE(F323,G323))</f>
        <v/>
      </c>
      <c r="I323" s="34" t="n">
        <f aca="false">IFERROR(VALUE(H323),)</f>
        <v>0</v>
      </c>
      <c r="J323" s="34" t="e">
        <f aca="false">RIGHT(B323,LEN(B323)-FIND("/",B323, FIND("Single Cells",B323, 1)))</f>
        <v>#VALUE!</v>
      </c>
    </row>
    <row r="324" customFormat="false" ht="12.75" hidden="false" customHeight="true" outlineLevel="0" collapsed="false">
      <c r="E324" s="34" t="str">
        <f aca="false">MID(B324,9,1)</f>
        <v/>
      </c>
      <c r="F324" s="34" t="str">
        <f aca="false">MID(B324,10,1)</f>
        <v/>
      </c>
      <c r="G324" s="34" t="str">
        <f aca="false">MID(B324,11,1)</f>
        <v/>
      </c>
      <c r="H324" s="35" t="str">
        <f aca="false">IF(G324=".",F324,CONCATENATE(F324,G324))</f>
        <v/>
      </c>
      <c r="I324" s="34" t="n">
        <f aca="false">IFERROR(VALUE(H324),)</f>
        <v>0</v>
      </c>
      <c r="J324" s="34" t="e">
        <f aca="false">RIGHT(B324,LEN(B324)-FIND("/",B324, FIND("Single Cells",B324, 1)))</f>
        <v>#VALUE!</v>
      </c>
    </row>
    <row r="325" customFormat="false" ht="12.75" hidden="false" customHeight="true" outlineLevel="0" collapsed="false">
      <c r="E325" s="34" t="str">
        <f aca="false">MID(B325,9,1)</f>
        <v/>
      </c>
      <c r="F325" s="34" t="str">
        <f aca="false">MID(B325,10,1)</f>
        <v/>
      </c>
      <c r="G325" s="34" t="str">
        <f aca="false">MID(B325,11,1)</f>
        <v/>
      </c>
      <c r="H325" s="35" t="str">
        <f aca="false">IF(G325=".",F325,CONCATENATE(F325,G325))</f>
        <v/>
      </c>
      <c r="I325" s="34" t="n">
        <f aca="false">IFERROR(VALUE(H325),)</f>
        <v>0</v>
      </c>
      <c r="J325" s="34" t="e">
        <f aca="false">RIGHT(B325,LEN(B325)-FIND("/",B325, FIND("Single Cells",B325, 1)))</f>
        <v>#VALUE!</v>
      </c>
    </row>
    <row r="326" customFormat="false" ht="12.75" hidden="false" customHeight="true" outlineLevel="0" collapsed="false">
      <c r="E326" s="34" t="str">
        <f aca="false">MID(B326,9,1)</f>
        <v/>
      </c>
      <c r="F326" s="34" t="str">
        <f aca="false">MID(B326,10,1)</f>
        <v/>
      </c>
      <c r="G326" s="34" t="str">
        <f aca="false">MID(B326,11,1)</f>
        <v/>
      </c>
      <c r="H326" s="35" t="str">
        <f aca="false">IF(G326=".",F326,CONCATENATE(F326,G326))</f>
        <v/>
      </c>
      <c r="I326" s="34" t="n">
        <f aca="false">IFERROR(VALUE(H326),)</f>
        <v>0</v>
      </c>
      <c r="J326" s="34" t="e">
        <f aca="false">RIGHT(B326,LEN(B326)-FIND("/",B326, FIND("Single Cells",B326, 1)))</f>
        <v>#VALUE!</v>
      </c>
    </row>
    <row r="327" customFormat="false" ht="12.75" hidden="false" customHeight="true" outlineLevel="0" collapsed="false">
      <c r="E327" s="34" t="str">
        <f aca="false">MID(B327,9,1)</f>
        <v/>
      </c>
      <c r="F327" s="34" t="str">
        <f aca="false">MID(B327,10,1)</f>
        <v/>
      </c>
      <c r="G327" s="34" t="str">
        <f aca="false">MID(B327,11,1)</f>
        <v/>
      </c>
      <c r="H327" s="35" t="str">
        <f aca="false">IF(G327=".",F327,CONCATENATE(F327,G327))</f>
        <v/>
      </c>
      <c r="I327" s="34" t="n">
        <f aca="false">IFERROR(VALUE(H327),)</f>
        <v>0</v>
      </c>
      <c r="J327" s="34" t="e">
        <f aca="false">RIGHT(B327,LEN(B327)-FIND("/",B327, FIND("Single Cells",B327, 1)))</f>
        <v>#VALUE!</v>
      </c>
    </row>
    <row r="328" customFormat="false" ht="12.75" hidden="false" customHeight="true" outlineLevel="0" collapsed="false">
      <c r="E328" s="34" t="str">
        <f aca="false">MID(B328,9,1)</f>
        <v/>
      </c>
      <c r="F328" s="34" t="str">
        <f aca="false">MID(B328,10,1)</f>
        <v/>
      </c>
      <c r="G328" s="34" t="str">
        <f aca="false">MID(B328,11,1)</f>
        <v/>
      </c>
      <c r="H328" s="35" t="str">
        <f aca="false">IF(G328=".",F328,CONCATENATE(F328,G328))</f>
        <v/>
      </c>
      <c r="I328" s="34" t="n">
        <f aca="false">IFERROR(VALUE(H328),)</f>
        <v>0</v>
      </c>
      <c r="J328" s="34" t="e">
        <f aca="false">RIGHT(B328,LEN(B328)-FIND("/",B328, FIND("Single Cells",B328, 1)))</f>
        <v>#VALUE!</v>
      </c>
    </row>
    <row r="329" customFormat="false" ht="12.75" hidden="false" customHeight="true" outlineLevel="0" collapsed="false">
      <c r="E329" s="34" t="str">
        <f aca="false">MID(B329,9,1)</f>
        <v/>
      </c>
      <c r="F329" s="34" t="str">
        <f aca="false">MID(B329,10,1)</f>
        <v/>
      </c>
      <c r="G329" s="34" t="str">
        <f aca="false">MID(B329,11,1)</f>
        <v/>
      </c>
      <c r="H329" s="35" t="str">
        <f aca="false">IF(G329=".",F329,CONCATENATE(F329,G329))</f>
        <v/>
      </c>
      <c r="I329" s="34" t="n">
        <f aca="false">IFERROR(VALUE(H329),)</f>
        <v>0</v>
      </c>
      <c r="J329" s="34" t="e">
        <f aca="false">RIGHT(B329,LEN(B329)-FIND("/",B329, FIND("Single Cells",B329, 1)))</f>
        <v>#VALUE!</v>
      </c>
    </row>
    <row r="330" customFormat="false" ht="12.75" hidden="false" customHeight="true" outlineLevel="0" collapsed="false">
      <c r="E330" s="34" t="str">
        <f aca="false">MID(B330,9,1)</f>
        <v/>
      </c>
      <c r="F330" s="34" t="str">
        <f aca="false">MID(B330,10,1)</f>
        <v/>
      </c>
      <c r="G330" s="34" t="str">
        <f aca="false">MID(B330,11,1)</f>
        <v/>
      </c>
      <c r="H330" s="35" t="str">
        <f aca="false">IF(G330=".",F330,CONCATENATE(F330,G330))</f>
        <v/>
      </c>
      <c r="I330" s="34" t="n">
        <f aca="false">IFERROR(VALUE(H330),)</f>
        <v>0</v>
      </c>
      <c r="J330" s="34" t="e">
        <f aca="false">RIGHT(B330,LEN(B330)-FIND("/",B330, FIND("Single Cells",B330, 1)))</f>
        <v>#VALUE!</v>
      </c>
    </row>
    <row r="331" customFormat="false" ht="12.75" hidden="false" customHeight="true" outlineLevel="0" collapsed="false">
      <c r="E331" s="34" t="str">
        <f aca="false">MID(B331,9,1)</f>
        <v/>
      </c>
      <c r="F331" s="34" t="str">
        <f aca="false">MID(B331,10,1)</f>
        <v/>
      </c>
      <c r="G331" s="34" t="str">
        <f aca="false">MID(B331,11,1)</f>
        <v/>
      </c>
      <c r="H331" s="35" t="str">
        <f aca="false">IF(G331=".",F331,CONCATENATE(F331,G331))</f>
        <v/>
      </c>
      <c r="I331" s="34" t="n">
        <f aca="false">IFERROR(VALUE(H331),)</f>
        <v>0</v>
      </c>
      <c r="J331" s="34" t="e">
        <f aca="false">RIGHT(B331,LEN(B331)-FIND("/",B331, FIND("Single Cells",B331, 1)))</f>
        <v>#VALUE!</v>
      </c>
    </row>
    <row r="332" customFormat="false" ht="12.75" hidden="false" customHeight="true" outlineLevel="0" collapsed="false">
      <c r="E332" s="34" t="str">
        <f aca="false">MID(B332,9,1)</f>
        <v/>
      </c>
      <c r="F332" s="34" t="str">
        <f aca="false">MID(B332,10,1)</f>
        <v/>
      </c>
      <c r="G332" s="34" t="str">
        <f aca="false">MID(B332,11,1)</f>
        <v/>
      </c>
      <c r="H332" s="35" t="str">
        <f aca="false">IF(G332=".",F332,CONCATENATE(F332,G332))</f>
        <v/>
      </c>
      <c r="I332" s="34" t="n">
        <f aca="false">IFERROR(VALUE(H332),)</f>
        <v>0</v>
      </c>
      <c r="J332" s="34" t="e">
        <f aca="false">RIGHT(B332,LEN(B332)-FIND("/",B332, FIND("Single Cells",B332, 1)))</f>
        <v>#VALUE!</v>
      </c>
    </row>
    <row r="333" customFormat="false" ht="12.75" hidden="false" customHeight="true" outlineLevel="0" collapsed="false">
      <c r="E333" s="34" t="str">
        <f aca="false">MID(B333,9,1)</f>
        <v/>
      </c>
      <c r="F333" s="34" t="str">
        <f aca="false">MID(B333,10,1)</f>
        <v/>
      </c>
      <c r="G333" s="34" t="str">
        <f aca="false">MID(B333,11,1)</f>
        <v/>
      </c>
      <c r="H333" s="35" t="str">
        <f aca="false">IF(G333=".",F333,CONCATENATE(F333,G333))</f>
        <v/>
      </c>
      <c r="I333" s="34" t="n">
        <f aca="false">IFERROR(VALUE(H333),)</f>
        <v>0</v>
      </c>
      <c r="J333" s="34" t="e">
        <f aca="false">RIGHT(B333,LEN(B333)-FIND("/",B333, FIND("Single Cells",B333, 1)))</f>
        <v>#VALUE!</v>
      </c>
    </row>
    <row r="334" customFormat="false" ht="12.75" hidden="false" customHeight="true" outlineLevel="0" collapsed="false">
      <c r="E334" s="34" t="str">
        <f aca="false">MID(B334,9,1)</f>
        <v/>
      </c>
      <c r="F334" s="34" t="str">
        <f aca="false">MID(B334,10,1)</f>
        <v/>
      </c>
      <c r="G334" s="34" t="str">
        <f aca="false">MID(B334,11,1)</f>
        <v/>
      </c>
      <c r="H334" s="35" t="str">
        <f aca="false">IF(G334=".",F334,CONCATENATE(F334,G334))</f>
        <v/>
      </c>
      <c r="I334" s="34" t="n">
        <f aca="false">IFERROR(VALUE(H334),)</f>
        <v>0</v>
      </c>
      <c r="J334" s="34" t="e">
        <f aca="false">RIGHT(B334,LEN(B334)-FIND("/",B334, FIND("Single Cells",B334, 1)))</f>
        <v>#VALUE!</v>
      </c>
    </row>
    <row r="335" customFormat="false" ht="12.75" hidden="false" customHeight="true" outlineLevel="0" collapsed="false">
      <c r="E335" s="34" t="str">
        <f aca="false">MID(B335,9,1)</f>
        <v/>
      </c>
      <c r="F335" s="34" t="str">
        <f aca="false">MID(B335,10,1)</f>
        <v/>
      </c>
      <c r="G335" s="34" t="str">
        <f aca="false">MID(B335,11,1)</f>
        <v/>
      </c>
      <c r="H335" s="35" t="str">
        <f aca="false">IF(G335=".",F335,CONCATENATE(F335,G335))</f>
        <v/>
      </c>
      <c r="I335" s="34" t="n">
        <f aca="false">IFERROR(VALUE(H335),)</f>
        <v>0</v>
      </c>
      <c r="J335" s="34" t="e">
        <f aca="false">RIGHT(B335,LEN(B335)-FIND("/",B335, FIND("Single Cells",B335, 1)))</f>
        <v>#VALUE!</v>
      </c>
    </row>
    <row r="336" customFormat="false" ht="12.75" hidden="false" customHeight="true" outlineLevel="0" collapsed="false">
      <c r="E336" s="34" t="str">
        <f aca="false">MID(B336,9,1)</f>
        <v/>
      </c>
      <c r="F336" s="34" t="str">
        <f aca="false">MID(B336,10,1)</f>
        <v/>
      </c>
      <c r="G336" s="34" t="str">
        <f aca="false">MID(B336,11,1)</f>
        <v/>
      </c>
      <c r="H336" s="35" t="str">
        <f aca="false">IF(G336=".",F336,CONCATENATE(F336,G336))</f>
        <v/>
      </c>
      <c r="I336" s="34" t="n">
        <f aca="false">IFERROR(VALUE(H336),)</f>
        <v>0</v>
      </c>
      <c r="J336" s="34" t="e">
        <f aca="false">RIGHT(B336,LEN(B336)-FIND("/",B336, FIND("Single Cells",B336, 1)))</f>
        <v>#VALUE!</v>
      </c>
    </row>
    <row r="337" customFormat="false" ht="12.75" hidden="false" customHeight="true" outlineLevel="0" collapsed="false">
      <c r="E337" s="34" t="str">
        <f aca="false">MID(B337,9,1)</f>
        <v/>
      </c>
      <c r="F337" s="34" t="str">
        <f aca="false">MID(B337,10,1)</f>
        <v/>
      </c>
      <c r="G337" s="34" t="str">
        <f aca="false">MID(B337,11,1)</f>
        <v/>
      </c>
      <c r="H337" s="35" t="str">
        <f aca="false">IF(G337=".",F337,CONCATENATE(F337,G337))</f>
        <v/>
      </c>
      <c r="I337" s="34" t="n">
        <f aca="false">IFERROR(VALUE(H337),)</f>
        <v>0</v>
      </c>
      <c r="J337" s="34" t="e">
        <f aca="false">RIGHT(B337,LEN(B337)-FIND("/",B337, FIND("Single Cells",B337, 1)))</f>
        <v>#VALUE!</v>
      </c>
    </row>
    <row r="338" customFormat="false" ht="12.75" hidden="false" customHeight="true" outlineLevel="0" collapsed="false">
      <c r="E338" s="34" t="str">
        <f aca="false">MID(B338,9,1)</f>
        <v/>
      </c>
      <c r="F338" s="34" t="str">
        <f aca="false">MID(B338,10,1)</f>
        <v/>
      </c>
      <c r="G338" s="34" t="str">
        <f aca="false">MID(B338,11,1)</f>
        <v/>
      </c>
      <c r="H338" s="35" t="str">
        <f aca="false">IF(G338=".",F338,CONCATENATE(F338,G338))</f>
        <v/>
      </c>
      <c r="I338" s="34" t="n">
        <f aca="false">IFERROR(VALUE(H338),)</f>
        <v>0</v>
      </c>
      <c r="J338" s="34" t="e">
        <f aca="false">RIGHT(B338,LEN(B338)-FIND("/",B338, FIND("Single Cells",B338, 1)))</f>
        <v>#VALUE!</v>
      </c>
    </row>
    <row r="339" customFormat="false" ht="12.75" hidden="false" customHeight="true" outlineLevel="0" collapsed="false">
      <c r="E339" s="34" t="str">
        <f aca="false">MID(B339,9,1)</f>
        <v/>
      </c>
      <c r="F339" s="34" t="str">
        <f aca="false">MID(B339,10,1)</f>
        <v/>
      </c>
      <c r="G339" s="34" t="str">
        <f aca="false">MID(B339,11,1)</f>
        <v/>
      </c>
      <c r="H339" s="35" t="str">
        <f aca="false">IF(G339=".",F339,CONCATENATE(F339,G339))</f>
        <v/>
      </c>
      <c r="I339" s="34" t="n">
        <f aca="false">IFERROR(VALUE(H339),)</f>
        <v>0</v>
      </c>
      <c r="J339" s="34" t="e">
        <f aca="false">RIGHT(B339,LEN(B339)-FIND("/",B339, FIND("Single Cells",B339, 1)))</f>
        <v>#VALUE!</v>
      </c>
    </row>
    <row r="340" customFormat="false" ht="12.75" hidden="false" customHeight="true" outlineLevel="0" collapsed="false">
      <c r="E340" s="34" t="str">
        <f aca="false">MID(B340,9,1)</f>
        <v/>
      </c>
      <c r="F340" s="34" t="str">
        <f aca="false">MID(B340,10,1)</f>
        <v/>
      </c>
      <c r="G340" s="34" t="str">
        <f aca="false">MID(B340,11,1)</f>
        <v/>
      </c>
      <c r="H340" s="35" t="str">
        <f aca="false">IF(G340=".",F340,CONCATENATE(F340,G340))</f>
        <v/>
      </c>
      <c r="I340" s="34" t="n">
        <f aca="false">IFERROR(VALUE(H340),)</f>
        <v>0</v>
      </c>
      <c r="J340" s="34" t="e">
        <f aca="false">RIGHT(B340,LEN(B340)-FIND("/",B340, FIND("Single Cells",B340, 1)))</f>
        <v>#VALUE!</v>
      </c>
    </row>
    <row r="341" customFormat="false" ht="12.75" hidden="false" customHeight="true" outlineLevel="0" collapsed="false">
      <c r="E341" s="34" t="str">
        <f aca="false">MID(B341,9,1)</f>
        <v/>
      </c>
      <c r="F341" s="34" t="str">
        <f aca="false">MID(B341,10,1)</f>
        <v/>
      </c>
      <c r="G341" s="34" t="str">
        <f aca="false">MID(B341,11,1)</f>
        <v/>
      </c>
      <c r="H341" s="35" t="str">
        <f aca="false">IF(G341=".",F341,CONCATENATE(F341,G341))</f>
        <v/>
      </c>
      <c r="I341" s="34" t="n">
        <f aca="false">IFERROR(VALUE(H341),)</f>
        <v>0</v>
      </c>
      <c r="J341" s="34" t="e">
        <f aca="false">RIGHT(B341,LEN(B341)-FIND("/",B341, FIND("Single Cells",B341, 1)))</f>
        <v>#VALUE!</v>
      </c>
    </row>
    <row r="342" customFormat="false" ht="12.75" hidden="false" customHeight="true" outlineLevel="0" collapsed="false">
      <c r="E342" s="34" t="str">
        <f aca="false">MID(B342,9,1)</f>
        <v/>
      </c>
      <c r="F342" s="34" t="str">
        <f aca="false">MID(B342,10,1)</f>
        <v/>
      </c>
      <c r="G342" s="34" t="str">
        <f aca="false">MID(B342,11,1)</f>
        <v/>
      </c>
      <c r="H342" s="35" t="str">
        <f aca="false">IF(G342=".",F342,CONCATENATE(F342,G342))</f>
        <v/>
      </c>
      <c r="I342" s="34" t="n">
        <f aca="false">IFERROR(VALUE(H342),)</f>
        <v>0</v>
      </c>
      <c r="J342" s="34" t="e">
        <f aca="false">RIGHT(B342,LEN(B342)-FIND("/",B342, FIND("Single Cells",B342, 1)))</f>
        <v>#VALUE!</v>
      </c>
    </row>
    <row r="343" customFormat="false" ht="12.75" hidden="false" customHeight="true" outlineLevel="0" collapsed="false">
      <c r="E343" s="34" t="str">
        <f aca="false">MID(B343,9,1)</f>
        <v/>
      </c>
      <c r="F343" s="34" t="str">
        <f aca="false">MID(B343,10,1)</f>
        <v/>
      </c>
      <c r="G343" s="34" t="str">
        <f aca="false">MID(B343,11,1)</f>
        <v/>
      </c>
      <c r="H343" s="35" t="str">
        <f aca="false">IF(G343=".",F343,CONCATENATE(F343,G343))</f>
        <v/>
      </c>
      <c r="I343" s="34" t="n">
        <f aca="false">IFERROR(VALUE(H343),)</f>
        <v>0</v>
      </c>
      <c r="J343" s="34" t="e">
        <f aca="false">RIGHT(B343,LEN(B343)-FIND("/",B343, FIND("Single Cells",B343, 1)))</f>
        <v>#VALUE!</v>
      </c>
    </row>
    <row r="344" customFormat="false" ht="12.75" hidden="false" customHeight="true" outlineLevel="0" collapsed="false">
      <c r="E344" s="34" t="str">
        <f aca="false">MID(B344,9,1)</f>
        <v/>
      </c>
      <c r="F344" s="34" t="str">
        <f aca="false">MID(B344,10,1)</f>
        <v/>
      </c>
      <c r="G344" s="34" t="str">
        <f aca="false">MID(B344,11,1)</f>
        <v/>
      </c>
      <c r="H344" s="35" t="str">
        <f aca="false">IF(G344=".",F344,CONCATENATE(F344,G344))</f>
        <v/>
      </c>
      <c r="I344" s="34" t="n">
        <f aca="false">IFERROR(VALUE(H344),)</f>
        <v>0</v>
      </c>
      <c r="J344" s="34" t="e">
        <f aca="false">RIGHT(B344,LEN(B344)-FIND("/",B344, FIND("Single Cells",B344, 1)))</f>
        <v>#VALUE!</v>
      </c>
    </row>
    <row r="345" customFormat="false" ht="12.75" hidden="false" customHeight="true" outlineLevel="0" collapsed="false">
      <c r="E345" s="34" t="str">
        <f aca="false">MID(B345,9,1)</f>
        <v/>
      </c>
      <c r="F345" s="34" t="str">
        <f aca="false">MID(B345,10,1)</f>
        <v/>
      </c>
      <c r="G345" s="34" t="str">
        <f aca="false">MID(B345,11,1)</f>
        <v/>
      </c>
      <c r="H345" s="35" t="str">
        <f aca="false">IF(G345=".",F345,CONCATENATE(F345,G345))</f>
        <v/>
      </c>
      <c r="I345" s="34" t="n">
        <f aca="false">IFERROR(VALUE(H345),)</f>
        <v>0</v>
      </c>
      <c r="J345" s="34" t="e">
        <f aca="false">RIGHT(B345,LEN(B345)-FIND("/",B345, FIND("Single Cells",B345, 1)))</f>
        <v>#VALUE!</v>
      </c>
    </row>
    <row r="346" customFormat="false" ht="12.75" hidden="false" customHeight="true" outlineLevel="0" collapsed="false">
      <c r="E346" s="34" t="str">
        <f aca="false">MID(B346,9,1)</f>
        <v/>
      </c>
      <c r="F346" s="34" t="str">
        <f aca="false">MID(B346,10,1)</f>
        <v/>
      </c>
      <c r="G346" s="34" t="str">
        <f aca="false">MID(B346,11,1)</f>
        <v/>
      </c>
      <c r="H346" s="35" t="str">
        <f aca="false">IF(G346=".",F346,CONCATENATE(F346,G346))</f>
        <v/>
      </c>
      <c r="I346" s="34" t="n">
        <f aca="false">IFERROR(VALUE(H346),)</f>
        <v>0</v>
      </c>
      <c r="J346" s="34" t="e">
        <f aca="false">RIGHT(B346,LEN(B346)-FIND("/",B346, FIND("Single Cells",B346, 1)))</f>
        <v>#VALUE!</v>
      </c>
    </row>
    <row r="347" customFormat="false" ht="12.75" hidden="false" customHeight="true" outlineLevel="0" collapsed="false">
      <c r="E347" s="34" t="str">
        <f aca="false">MID(B347,9,1)</f>
        <v/>
      </c>
      <c r="F347" s="34" t="str">
        <f aca="false">MID(B347,10,1)</f>
        <v/>
      </c>
      <c r="G347" s="34" t="str">
        <f aca="false">MID(B347,11,1)</f>
        <v/>
      </c>
      <c r="H347" s="35" t="str">
        <f aca="false">IF(G347=".",F347,CONCATENATE(F347,G347))</f>
        <v/>
      </c>
      <c r="I347" s="34" t="n">
        <f aca="false">IFERROR(VALUE(H347),)</f>
        <v>0</v>
      </c>
      <c r="J347" s="34" t="e">
        <f aca="false">RIGHT(B347,LEN(B347)-FIND("/",B347, FIND("Single Cells",B347, 1)))</f>
        <v>#VALUE!</v>
      </c>
    </row>
    <row r="348" customFormat="false" ht="12.75" hidden="false" customHeight="true" outlineLevel="0" collapsed="false">
      <c r="E348" s="34" t="str">
        <f aca="false">MID(B348,9,1)</f>
        <v/>
      </c>
      <c r="F348" s="34" t="str">
        <f aca="false">MID(B348,10,1)</f>
        <v/>
      </c>
      <c r="G348" s="34" t="str">
        <f aca="false">MID(B348,11,1)</f>
        <v/>
      </c>
      <c r="H348" s="35" t="str">
        <f aca="false">IF(G348=".",F348,CONCATENATE(F348,G348))</f>
        <v/>
      </c>
      <c r="I348" s="34" t="n">
        <f aca="false">IFERROR(VALUE(H348),)</f>
        <v>0</v>
      </c>
      <c r="J348" s="34" t="e">
        <f aca="false">RIGHT(B348,LEN(B348)-FIND("/",B348, FIND("Single Cells",B348, 1)))</f>
        <v>#VALUE!</v>
      </c>
    </row>
    <row r="349" customFormat="false" ht="12.75" hidden="false" customHeight="true" outlineLevel="0" collapsed="false">
      <c r="E349" s="34" t="str">
        <f aca="false">MID(B349,9,1)</f>
        <v/>
      </c>
      <c r="F349" s="34" t="str">
        <f aca="false">MID(B349,10,1)</f>
        <v/>
      </c>
      <c r="G349" s="34" t="str">
        <f aca="false">MID(B349,11,1)</f>
        <v/>
      </c>
      <c r="H349" s="35" t="str">
        <f aca="false">IF(G349=".",F349,CONCATENATE(F349,G349))</f>
        <v/>
      </c>
      <c r="I349" s="34" t="n">
        <f aca="false">IFERROR(VALUE(H349),)</f>
        <v>0</v>
      </c>
      <c r="J349" s="34" t="e">
        <f aca="false">RIGHT(B349,LEN(B349)-FIND("/",B349, FIND("Single Cells",B349, 1)))</f>
        <v>#VALUE!</v>
      </c>
    </row>
    <row r="350" customFormat="false" ht="12.75" hidden="false" customHeight="true" outlineLevel="0" collapsed="false">
      <c r="E350" s="34" t="str">
        <f aca="false">MID(B350,9,1)</f>
        <v/>
      </c>
      <c r="F350" s="34" t="str">
        <f aca="false">MID(B350,10,1)</f>
        <v/>
      </c>
      <c r="G350" s="34" t="str">
        <f aca="false">MID(B350,11,1)</f>
        <v/>
      </c>
      <c r="H350" s="35" t="str">
        <f aca="false">IF(G350=".",F350,CONCATENATE(F350,G350))</f>
        <v/>
      </c>
      <c r="I350" s="34" t="n">
        <f aca="false">IFERROR(VALUE(H350),)</f>
        <v>0</v>
      </c>
      <c r="J350" s="34" t="e">
        <f aca="false">RIGHT(B350,LEN(B350)-FIND("/",B350, FIND("Single Cells",B350, 1)))</f>
        <v>#VALUE!</v>
      </c>
    </row>
    <row r="351" customFormat="false" ht="12.75" hidden="false" customHeight="true" outlineLevel="0" collapsed="false">
      <c r="E351" s="34" t="str">
        <f aca="false">MID(B351,9,1)</f>
        <v/>
      </c>
      <c r="F351" s="34" t="str">
        <f aca="false">MID(B351,10,1)</f>
        <v/>
      </c>
      <c r="G351" s="34" t="str">
        <f aca="false">MID(B351,11,1)</f>
        <v/>
      </c>
      <c r="H351" s="35" t="str">
        <f aca="false">IF(G351=".",F351,CONCATENATE(F351,G351))</f>
        <v/>
      </c>
      <c r="I351" s="34" t="n">
        <f aca="false">IFERROR(VALUE(H351),)</f>
        <v>0</v>
      </c>
      <c r="J351" s="34" t="e">
        <f aca="false">RIGHT(B351,LEN(B351)-FIND("/",B351, FIND("Single Cells",B351, 1)))</f>
        <v>#VALUE!</v>
      </c>
    </row>
    <row r="352" customFormat="false" ht="12.75" hidden="false" customHeight="true" outlineLevel="0" collapsed="false">
      <c r="E352" s="34" t="str">
        <f aca="false">MID(B352,9,1)</f>
        <v/>
      </c>
      <c r="F352" s="34" t="str">
        <f aca="false">MID(B352,10,1)</f>
        <v/>
      </c>
      <c r="G352" s="34" t="str">
        <f aca="false">MID(B352,11,1)</f>
        <v/>
      </c>
      <c r="H352" s="35" t="str">
        <f aca="false">IF(G352=".",F352,CONCATENATE(F352,G352))</f>
        <v/>
      </c>
      <c r="I352" s="34" t="n">
        <f aca="false">IFERROR(VALUE(H352),)</f>
        <v>0</v>
      </c>
      <c r="J352" s="34" t="e">
        <f aca="false">RIGHT(B352,LEN(B352)-FIND("/",B352, FIND("Single Cells",B352, 1)))</f>
        <v>#VALUE!</v>
      </c>
    </row>
    <row r="353" customFormat="false" ht="12.75" hidden="false" customHeight="true" outlineLevel="0" collapsed="false">
      <c r="E353" s="34" t="str">
        <f aca="false">MID(B353,9,1)</f>
        <v/>
      </c>
      <c r="F353" s="34" t="str">
        <f aca="false">MID(B353,10,1)</f>
        <v/>
      </c>
      <c r="G353" s="34" t="str">
        <f aca="false">MID(B353,11,1)</f>
        <v/>
      </c>
      <c r="H353" s="35" t="str">
        <f aca="false">IF(G353=".",F353,CONCATENATE(F353,G353))</f>
        <v/>
      </c>
      <c r="I353" s="34" t="n">
        <f aca="false">IFERROR(VALUE(H353),)</f>
        <v>0</v>
      </c>
      <c r="J353" s="34" t="e">
        <f aca="false">RIGHT(B353,LEN(B353)-FIND("/",B353, FIND("Single Cells",B353, 1)))</f>
        <v>#VALUE!</v>
      </c>
    </row>
    <row r="354" customFormat="false" ht="12.75" hidden="false" customHeight="true" outlineLevel="0" collapsed="false">
      <c r="E354" s="34" t="str">
        <f aca="false">MID(B354,9,1)</f>
        <v/>
      </c>
      <c r="F354" s="34" t="str">
        <f aca="false">MID(B354,10,1)</f>
        <v/>
      </c>
      <c r="G354" s="34" t="str">
        <f aca="false">MID(B354,11,1)</f>
        <v/>
      </c>
      <c r="H354" s="35" t="str">
        <f aca="false">IF(G354=".",F354,CONCATENATE(F354,G354))</f>
        <v/>
      </c>
      <c r="I354" s="34" t="n">
        <f aca="false">IFERROR(VALUE(H354),)</f>
        <v>0</v>
      </c>
      <c r="J354" s="34" t="e">
        <f aca="false">RIGHT(B354,LEN(B354)-FIND("/",B354, FIND("Single Cells",B354, 1)))</f>
        <v>#VALUE!</v>
      </c>
    </row>
    <row r="355" customFormat="false" ht="12.75" hidden="false" customHeight="true" outlineLevel="0" collapsed="false">
      <c r="E355" s="34" t="str">
        <f aca="false">MID(B355,9,1)</f>
        <v/>
      </c>
      <c r="F355" s="34" t="str">
        <f aca="false">MID(B355,10,1)</f>
        <v/>
      </c>
      <c r="G355" s="34" t="str">
        <f aca="false">MID(B355,11,1)</f>
        <v/>
      </c>
      <c r="H355" s="35" t="str">
        <f aca="false">IF(G355=".",F355,CONCATENATE(F355,G355))</f>
        <v/>
      </c>
      <c r="I355" s="34" t="n">
        <f aca="false">IFERROR(VALUE(H355),)</f>
        <v>0</v>
      </c>
      <c r="J355" s="34" t="e">
        <f aca="false">RIGHT(B355,LEN(B355)-FIND("/",B355, FIND("Single Cells",B355, 1)))</f>
        <v>#VALUE!</v>
      </c>
    </row>
    <row r="356" customFormat="false" ht="12.75" hidden="false" customHeight="true" outlineLevel="0" collapsed="false">
      <c r="E356" s="34" t="str">
        <f aca="false">MID(B356,9,1)</f>
        <v/>
      </c>
      <c r="F356" s="34" t="str">
        <f aca="false">MID(B356,10,1)</f>
        <v/>
      </c>
      <c r="G356" s="34" t="str">
        <f aca="false">MID(B356,11,1)</f>
        <v/>
      </c>
      <c r="H356" s="35" t="str">
        <f aca="false">IF(G356=".",F356,CONCATENATE(F356,G356))</f>
        <v/>
      </c>
      <c r="I356" s="34" t="n">
        <f aca="false">IFERROR(VALUE(H356),)</f>
        <v>0</v>
      </c>
      <c r="J356" s="34" t="e">
        <f aca="false">RIGHT(B356,LEN(B356)-FIND("/",B356, FIND("Single Cells",B356, 1)))</f>
        <v>#VALUE!</v>
      </c>
    </row>
    <row r="357" customFormat="false" ht="12.75" hidden="false" customHeight="true" outlineLevel="0" collapsed="false">
      <c r="E357" s="34" t="str">
        <f aca="false">MID(B357,9,1)</f>
        <v/>
      </c>
      <c r="F357" s="34" t="str">
        <f aca="false">MID(B357,10,1)</f>
        <v/>
      </c>
      <c r="G357" s="34" t="str">
        <f aca="false">MID(B357,11,1)</f>
        <v/>
      </c>
      <c r="H357" s="35" t="str">
        <f aca="false">IF(G357=".",F357,CONCATENATE(F357,G357))</f>
        <v/>
      </c>
      <c r="I357" s="34" t="n">
        <f aca="false">IFERROR(VALUE(H357),)</f>
        <v>0</v>
      </c>
      <c r="J357" s="34" t="e">
        <f aca="false">RIGHT(B357,LEN(B357)-FIND("/",B357, FIND("Single Cells",B357, 1)))</f>
        <v>#VALUE!</v>
      </c>
    </row>
    <row r="358" customFormat="false" ht="12.75" hidden="false" customHeight="true" outlineLevel="0" collapsed="false">
      <c r="E358" s="34" t="str">
        <f aca="false">MID(B358,9,1)</f>
        <v/>
      </c>
      <c r="F358" s="34" t="str">
        <f aca="false">MID(B358,10,1)</f>
        <v/>
      </c>
      <c r="G358" s="34" t="str">
        <f aca="false">MID(B358,11,1)</f>
        <v/>
      </c>
      <c r="H358" s="35" t="str">
        <f aca="false">IF(G358=".",F358,CONCATENATE(F358,G358))</f>
        <v/>
      </c>
      <c r="I358" s="34" t="n">
        <f aca="false">IFERROR(VALUE(H358),)</f>
        <v>0</v>
      </c>
      <c r="J358" s="34" t="e">
        <f aca="false">RIGHT(B358,LEN(B358)-FIND("/",B358, FIND("Single Cells",B358, 1)))</f>
        <v>#VALUE!</v>
      </c>
    </row>
    <row r="359" customFormat="false" ht="12.75" hidden="false" customHeight="true" outlineLevel="0" collapsed="false">
      <c r="E359" s="34" t="str">
        <f aca="false">MID(B359,9,1)</f>
        <v/>
      </c>
      <c r="F359" s="34" t="str">
        <f aca="false">MID(B359,10,1)</f>
        <v/>
      </c>
      <c r="G359" s="34" t="str">
        <f aca="false">MID(B359,11,1)</f>
        <v/>
      </c>
      <c r="H359" s="35" t="str">
        <f aca="false">IF(G359=".",F359,CONCATENATE(F359,G359))</f>
        <v/>
      </c>
      <c r="I359" s="34" t="n">
        <f aca="false">IFERROR(VALUE(H359),)</f>
        <v>0</v>
      </c>
      <c r="J359" s="34" t="e">
        <f aca="false">RIGHT(B359,LEN(B359)-FIND("/",B359, FIND("Single Cells",B359, 1)))</f>
        <v>#VALUE!</v>
      </c>
    </row>
    <row r="360" customFormat="false" ht="12.75" hidden="false" customHeight="true" outlineLevel="0" collapsed="false">
      <c r="E360" s="34" t="str">
        <f aca="false">MID(B360,9,1)</f>
        <v/>
      </c>
      <c r="F360" s="34" t="str">
        <f aca="false">MID(B360,10,1)</f>
        <v/>
      </c>
      <c r="G360" s="34" t="str">
        <f aca="false">MID(B360,11,1)</f>
        <v/>
      </c>
      <c r="H360" s="35" t="str">
        <f aca="false">IF(G360=".",F360,CONCATENATE(F360,G360))</f>
        <v/>
      </c>
      <c r="I360" s="34" t="n">
        <f aca="false">IFERROR(VALUE(H360),)</f>
        <v>0</v>
      </c>
      <c r="J360" s="34" t="e">
        <f aca="false">RIGHT(B360,LEN(B360)-FIND("/",B360, FIND("Single Cells",B360, 1)))</f>
        <v>#VALUE!</v>
      </c>
    </row>
    <row r="361" customFormat="false" ht="12.75" hidden="false" customHeight="true" outlineLevel="0" collapsed="false">
      <c r="E361" s="34" t="str">
        <f aca="false">MID(B361,9,1)</f>
        <v/>
      </c>
      <c r="F361" s="34" t="str">
        <f aca="false">MID(B361,10,1)</f>
        <v/>
      </c>
      <c r="G361" s="34" t="str">
        <f aca="false">MID(B361,11,1)</f>
        <v/>
      </c>
      <c r="H361" s="35" t="str">
        <f aca="false">IF(G361=".",F361,CONCATENATE(F361,G361))</f>
        <v/>
      </c>
      <c r="I361" s="34" t="n">
        <f aca="false">IFERROR(VALUE(H361),)</f>
        <v>0</v>
      </c>
      <c r="J361" s="34" t="e">
        <f aca="false">RIGHT(B361,LEN(B361)-FIND("/",B361, FIND("Single Cells",B361, 1)))</f>
        <v>#VALUE!</v>
      </c>
    </row>
    <row r="362" customFormat="false" ht="12.75" hidden="false" customHeight="true" outlineLevel="0" collapsed="false">
      <c r="E362" s="34" t="str">
        <f aca="false">MID(B362,9,1)</f>
        <v/>
      </c>
      <c r="F362" s="34" t="str">
        <f aca="false">MID(B362,10,1)</f>
        <v/>
      </c>
      <c r="G362" s="34" t="str">
        <f aca="false">MID(B362,11,1)</f>
        <v/>
      </c>
      <c r="H362" s="35" t="str">
        <f aca="false">IF(G362=".",F362,CONCATENATE(F362,G362))</f>
        <v/>
      </c>
      <c r="I362" s="34" t="n">
        <f aca="false">IFERROR(VALUE(H362),)</f>
        <v>0</v>
      </c>
      <c r="J362" s="34" t="e">
        <f aca="false">RIGHT(B362,LEN(B362)-FIND("/",B362, FIND("Single Cells",B362, 1)))</f>
        <v>#VALUE!</v>
      </c>
    </row>
    <row r="363" customFormat="false" ht="12.75" hidden="false" customHeight="true" outlineLevel="0" collapsed="false">
      <c r="E363" s="34" t="str">
        <f aca="false">MID(B363,9,1)</f>
        <v/>
      </c>
      <c r="F363" s="34" t="str">
        <f aca="false">MID(B363,10,1)</f>
        <v/>
      </c>
      <c r="G363" s="34" t="str">
        <f aca="false">MID(B363,11,1)</f>
        <v/>
      </c>
      <c r="H363" s="35" t="str">
        <f aca="false">IF(G363=".",F363,CONCATENATE(F363,G363))</f>
        <v/>
      </c>
      <c r="I363" s="34" t="n">
        <f aca="false">IFERROR(VALUE(H363),)</f>
        <v>0</v>
      </c>
      <c r="J363" s="34" t="e">
        <f aca="false">RIGHT(B363,LEN(B363)-FIND("/",B363, FIND("Single Cells",B363, 1)))</f>
        <v>#VALUE!</v>
      </c>
    </row>
    <row r="364" customFormat="false" ht="12.75" hidden="false" customHeight="true" outlineLevel="0" collapsed="false">
      <c r="E364" s="34" t="str">
        <f aca="false">MID(B364,9,1)</f>
        <v/>
      </c>
      <c r="F364" s="34" t="str">
        <f aca="false">MID(B364,10,1)</f>
        <v/>
      </c>
      <c r="G364" s="34" t="str">
        <f aca="false">MID(B364,11,1)</f>
        <v/>
      </c>
      <c r="H364" s="35" t="str">
        <f aca="false">IF(G364=".",F364,CONCATENATE(F364,G364))</f>
        <v/>
      </c>
      <c r="I364" s="34" t="n">
        <f aca="false">IFERROR(VALUE(H364),)</f>
        <v>0</v>
      </c>
      <c r="J364" s="34" t="e">
        <f aca="false">RIGHT(B364,LEN(B364)-FIND("/",B364, FIND("Single Cells",B364, 1)))</f>
        <v>#VALUE!</v>
      </c>
    </row>
    <row r="365" customFormat="false" ht="12.75" hidden="false" customHeight="true" outlineLevel="0" collapsed="false">
      <c r="E365" s="34" t="str">
        <f aca="false">MID(B365,9,1)</f>
        <v/>
      </c>
      <c r="F365" s="34" t="str">
        <f aca="false">MID(B365,10,1)</f>
        <v/>
      </c>
      <c r="G365" s="34" t="str">
        <f aca="false">MID(B365,11,1)</f>
        <v/>
      </c>
      <c r="H365" s="35" t="str">
        <f aca="false">IF(G365=".",F365,CONCATENATE(F365,G365))</f>
        <v/>
      </c>
      <c r="I365" s="34" t="n">
        <f aca="false">IFERROR(VALUE(H365),)</f>
        <v>0</v>
      </c>
      <c r="J365" s="34" t="e">
        <f aca="false">RIGHT(B365,LEN(B365)-FIND("/",B365, FIND("Single Cells",B365, 1)))</f>
        <v>#VALUE!</v>
      </c>
    </row>
    <row r="366" customFormat="false" ht="12.75" hidden="false" customHeight="true" outlineLevel="0" collapsed="false">
      <c r="E366" s="34" t="str">
        <f aca="false">MID(B366,9,1)</f>
        <v/>
      </c>
      <c r="F366" s="34" t="str">
        <f aca="false">MID(B366,10,1)</f>
        <v/>
      </c>
      <c r="G366" s="34" t="str">
        <f aca="false">MID(B366,11,1)</f>
        <v/>
      </c>
      <c r="H366" s="35" t="str">
        <f aca="false">IF(G366=".",F366,CONCATENATE(F366,G366))</f>
        <v/>
      </c>
      <c r="I366" s="34" t="n">
        <f aca="false">IFERROR(VALUE(H366),)</f>
        <v>0</v>
      </c>
      <c r="J366" s="34" t="e">
        <f aca="false">RIGHT(B366,LEN(B366)-FIND("/",B366, FIND("Single Cells",B366, 1)))</f>
        <v>#VALUE!</v>
      </c>
    </row>
    <row r="367" customFormat="false" ht="12.75" hidden="false" customHeight="true" outlineLevel="0" collapsed="false">
      <c r="E367" s="34" t="str">
        <f aca="false">MID(B367,9,1)</f>
        <v/>
      </c>
      <c r="F367" s="34" t="str">
        <f aca="false">MID(B367,10,1)</f>
        <v/>
      </c>
      <c r="G367" s="34" t="str">
        <f aca="false">MID(B367,11,1)</f>
        <v/>
      </c>
      <c r="H367" s="35" t="str">
        <f aca="false">IF(G367=".",F367,CONCATENATE(F367,G367))</f>
        <v/>
      </c>
      <c r="I367" s="34" t="n">
        <f aca="false">IFERROR(VALUE(H367),)</f>
        <v>0</v>
      </c>
      <c r="J367" s="34" t="e">
        <f aca="false">RIGHT(B367,LEN(B367)-FIND("/",B367, FIND("Single Cells",B367, 1)))</f>
        <v>#VALUE!</v>
      </c>
    </row>
    <row r="368" customFormat="false" ht="12.75" hidden="false" customHeight="true" outlineLevel="0" collapsed="false">
      <c r="E368" s="34" t="str">
        <f aca="false">MID(B368,9,1)</f>
        <v/>
      </c>
      <c r="F368" s="34" t="str">
        <f aca="false">MID(B368,10,1)</f>
        <v/>
      </c>
      <c r="G368" s="34" t="str">
        <f aca="false">MID(B368,11,1)</f>
        <v/>
      </c>
      <c r="H368" s="35" t="str">
        <f aca="false">IF(G368=".",F368,CONCATENATE(F368,G368))</f>
        <v/>
      </c>
      <c r="I368" s="34" t="n">
        <f aca="false">IFERROR(VALUE(H368),)</f>
        <v>0</v>
      </c>
      <c r="J368" s="34" t="e">
        <f aca="false">RIGHT(B368,LEN(B368)-FIND("/",B368, FIND("Single Cells",B368, 1)))</f>
        <v>#VALUE!</v>
      </c>
    </row>
    <row r="369" customFormat="false" ht="12.75" hidden="false" customHeight="true" outlineLevel="0" collapsed="false">
      <c r="E369" s="34" t="str">
        <f aca="false">MID(B369,9,1)</f>
        <v/>
      </c>
      <c r="F369" s="34" t="str">
        <f aca="false">MID(B369,10,1)</f>
        <v/>
      </c>
      <c r="G369" s="34" t="str">
        <f aca="false">MID(B369,11,1)</f>
        <v/>
      </c>
      <c r="H369" s="35" t="str">
        <f aca="false">IF(G369=".",F369,CONCATENATE(F369,G369))</f>
        <v/>
      </c>
      <c r="I369" s="34" t="n">
        <f aca="false">IFERROR(VALUE(H369),)</f>
        <v>0</v>
      </c>
      <c r="J369" s="34" t="e">
        <f aca="false">RIGHT(B369,LEN(B369)-FIND("/",B369, FIND("Single Cells",B369, 1)))</f>
        <v>#VALUE!</v>
      </c>
    </row>
    <row r="370" customFormat="false" ht="12.75" hidden="false" customHeight="true" outlineLevel="0" collapsed="false">
      <c r="E370" s="34" t="str">
        <f aca="false">MID(B370,9,1)</f>
        <v/>
      </c>
      <c r="F370" s="34" t="str">
        <f aca="false">MID(B370,10,1)</f>
        <v/>
      </c>
      <c r="G370" s="34" t="str">
        <f aca="false">MID(B370,11,1)</f>
        <v/>
      </c>
      <c r="H370" s="35" t="str">
        <f aca="false">IF(G370=".",F370,CONCATENATE(F370,G370))</f>
        <v/>
      </c>
      <c r="I370" s="34" t="n">
        <f aca="false">IFERROR(VALUE(H370),)</f>
        <v>0</v>
      </c>
      <c r="J370" s="34" t="e">
        <f aca="false">RIGHT(B370,LEN(B370)-FIND("/",B370, FIND("Single Cells",B370, 1)))</f>
        <v>#VALUE!</v>
      </c>
    </row>
    <row r="371" customFormat="false" ht="12.75" hidden="false" customHeight="true" outlineLevel="0" collapsed="false">
      <c r="E371" s="34" t="str">
        <f aca="false">MID(B371,9,1)</f>
        <v/>
      </c>
      <c r="F371" s="34" t="str">
        <f aca="false">MID(B371,10,1)</f>
        <v/>
      </c>
      <c r="G371" s="34" t="str">
        <f aca="false">MID(B371,11,1)</f>
        <v/>
      </c>
      <c r="H371" s="35" t="str">
        <f aca="false">IF(G371=".",F371,CONCATENATE(F371,G371))</f>
        <v/>
      </c>
      <c r="I371" s="34" t="n">
        <f aca="false">IFERROR(VALUE(H371),)</f>
        <v>0</v>
      </c>
      <c r="J371" s="34" t="e">
        <f aca="false">RIGHT(B371,LEN(B371)-FIND("/",B371, FIND("Single Cells",B371, 1)))</f>
        <v>#VALUE!</v>
      </c>
    </row>
    <row r="372" customFormat="false" ht="12.75" hidden="false" customHeight="true" outlineLevel="0" collapsed="false">
      <c r="E372" s="34" t="str">
        <f aca="false">MID(B372,9,1)</f>
        <v/>
      </c>
      <c r="F372" s="34" t="str">
        <f aca="false">MID(B372,10,1)</f>
        <v/>
      </c>
      <c r="G372" s="34" t="str">
        <f aca="false">MID(B372,11,1)</f>
        <v/>
      </c>
      <c r="H372" s="35" t="str">
        <f aca="false">IF(G372=".",F372,CONCATENATE(F372,G372))</f>
        <v/>
      </c>
      <c r="I372" s="34" t="n">
        <f aca="false">IFERROR(VALUE(H372),)</f>
        <v>0</v>
      </c>
      <c r="J372" s="34" t="e">
        <f aca="false">RIGHT(B372,LEN(B372)-FIND("/",B372, FIND("Single Cells",B372, 1)))</f>
        <v>#VALUE!</v>
      </c>
    </row>
    <row r="373" customFormat="false" ht="12.75" hidden="false" customHeight="true" outlineLevel="0" collapsed="false">
      <c r="E373" s="34" t="str">
        <f aca="false">MID(B373,9,1)</f>
        <v/>
      </c>
      <c r="F373" s="34" t="str">
        <f aca="false">MID(B373,10,1)</f>
        <v/>
      </c>
      <c r="G373" s="34" t="str">
        <f aca="false">MID(B373,11,1)</f>
        <v/>
      </c>
      <c r="H373" s="35" t="str">
        <f aca="false">IF(G373=".",F373,CONCATENATE(F373,G373))</f>
        <v/>
      </c>
      <c r="I373" s="34" t="n">
        <f aca="false">IFERROR(VALUE(H373),)</f>
        <v>0</v>
      </c>
      <c r="J373" s="34" t="e">
        <f aca="false">RIGHT(B373,LEN(B373)-FIND("/",B373, FIND("Single Cells",B373, 1)))</f>
        <v>#VALUE!</v>
      </c>
    </row>
    <row r="374" customFormat="false" ht="12.75" hidden="false" customHeight="true" outlineLevel="0" collapsed="false">
      <c r="E374" s="34" t="str">
        <f aca="false">MID(B374,9,1)</f>
        <v/>
      </c>
      <c r="F374" s="34" t="str">
        <f aca="false">MID(B374,10,1)</f>
        <v/>
      </c>
      <c r="G374" s="34" t="str">
        <f aca="false">MID(B374,11,1)</f>
        <v/>
      </c>
      <c r="H374" s="35" t="str">
        <f aca="false">IF(G374=".",F374,CONCATENATE(F374,G374))</f>
        <v/>
      </c>
      <c r="I374" s="34" t="n">
        <f aca="false">IFERROR(VALUE(H374),)</f>
        <v>0</v>
      </c>
      <c r="J374" s="34" t="e">
        <f aca="false">RIGHT(B374,LEN(B374)-FIND("/",B374, FIND("Single Cells",B374, 1)))</f>
        <v>#VALUE!</v>
      </c>
    </row>
    <row r="375" customFormat="false" ht="12.75" hidden="false" customHeight="true" outlineLevel="0" collapsed="false">
      <c r="E375" s="34" t="str">
        <f aca="false">MID(B375,9,1)</f>
        <v/>
      </c>
      <c r="F375" s="34" t="str">
        <f aca="false">MID(B375,10,1)</f>
        <v/>
      </c>
      <c r="G375" s="34" t="str">
        <f aca="false">MID(B375,11,1)</f>
        <v/>
      </c>
      <c r="H375" s="35" t="str">
        <f aca="false">IF(G375=".",F375,CONCATENATE(F375,G375))</f>
        <v/>
      </c>
      <c r="I375" s="34" t="n">
        <f aca="false">IFERROR(VALUE(H375),)</f>
        <v>0</v>
      </c>
      <c r="J375" s="34" t="e">
        <f aca="false">RIGHT(B375,LEN(B375)-FIND("/",B375, FIND("Single Cells",B375, 1)))</f>
        <v>#VALUE!</v>
      </c>
    </row>
    <row r="376" customFormat="false" ht="12.75" hidden="false" customHeight="true" outlineLevel="0" collapsed="false">
      <c r="E376" s="34" t="str">
        <f aca="false">MID(B376,9,1)</f>
        <v/>
      </c>
      <c r="F376" s="34" t="str">
        <f aca="false">MID(B376,10,1)</f>
        <v/>
      </c>
      <c r="G376" s="34" t="str">
        <f aca="false">MID(B376,11,1)</f>
        <v/>
      </c>
      <c r="H376" s="35" t="str">
        <f aca="false">IF(G376=".",F376,CONCATENATE(F376,G376))</f>
        <v/>
      </c>
      <c r="I376" s="34" t="n">
        <f aca="false">IFERROR(VALUE(H376),)</f>
        <v>0</v>
      </c>
      <c r="J376" s="34" t="e">
        <f aca="false">RIGHT(B376,LEN(B376)-FIND("/",B376, FIND("Single Cells",B376, 1)))</f>
        <v>#VALUE!</v>
      </c>
    </row>
    <row r="377" customFormat="false" ht="12.75" hidden="false" customHeight="true" outlineLevel="0" collapsed="false">
      <c r="E377" s="34" t="str">
        <f aca="false">MID(B377,9,1)</f>
        <v/>
      </c>
      <c r="F377" s="34" t="str">
        <f aca="false">MID(B377,10,1)</f>
        <v/>
      </c>
      <c r="G377" s="34" t="str">
        <f aca="false">MID(B377,11,1)</f>
        <v/>
      </c>
      <c r="H377" s="35" t="str">
        <f aca="false">IF(G377=".",F377,CONCATENATE(F377,G377))</f>
        <v/>
      </c>
      <c r="I377" s="34" t="n">
        <f aca="false">IFERROR(VALUE(H377),)</f>
        <v>0</v>
      </c>
      <c r="J377" s="34" t="e">
        <f aca="false">RIGHT(B377,LEN(B377)-FIND("/",B377, FIND("Single Cells",B377, 1)))</f>
        <v>#VALUE!</v>
      </c>
    </row>
    <row r="378" customFormat="false" ht="12.75" hidden="false" customHeight="true" outlineLevel="0" collapsed="false">
      <c r="E378" s="34" t="str">
        <f aca="false">MID(B378,9,1)</f>
        <v/>
      </c>
      <c r="F378" s="34" t="str">
        <f aca="false">MID(B378,10,1)</f>
        <v/>
      </c>
      <c r="G378" s="34" t="str">
        <f aca="false">MID(B378,11,1)</f>
        <v/>
      </c>
      <c r="H378" s="35" t="str">
        <f aca="false">IF(G378=".",F378,CONCATENATE(F378,G378))</f>
        <v/>
      </c>
      <c r="I378" s="34" t="n">
        <f aca="false">IFERROR(VALUE(H378),)</f>
        <v>0</v>
      </c>
      <c r="J378" s="34" t="e">
        <f aca="false">RIGHT(B378,LEN(B378)-FIND("/",B378, FIND("Single Cells",B378, 1)))</f>
        <v>#VALUE!</v>
      </c>
    </row>
    <row r="379" customFormat="false" ht="12.75" hidden="false" customHeight="true" outlineLevel="0" collapsed="false">
      <c r="E379" s="34" t="str">
        <f aca="false">MID(B379,9,1)</f>
        <v/>
      </c>
      <c r="F379" s="34" t="str">
        <f aca="false">MID(B379,10,1)</f>
        <v/>
      </c>
      <c r="G379" s="34" t="str">
        <f aca="false">MID(B379,11,1)</f>
        <v/>
      </c>
      <c r="H379" s="35" t="str">
        <f aca="false">IF(G379=".",F379,CONCATENATE(F379,G379))</f>
        <v/>
      </c>
      <c r="I379" s="34" t="n">
        <f aca="false">IFERROR(VALUE(H379),)</f>
        <v>0</v>
      </c>
      <c r="J379" s="34" t="e">
        <f aca="false">RIGHT(B379,LEN(B379)-FIND("/",B379, FIND("Single Cells",B379, 1)))</f>
        <v>#VALUE!</v>
      </c>
    </row>
    <row r="380" customFormat="false" ht="12.75" hidden="false" customHeight="true" outlineLevel="0" collapsed="false">
      <c r="E380" s="34" t="str">
        <f aca="false">MID(B380,9,1)</f>
        <v/>
      </c>
      <c r="F380" s="34" t="str">
        <f aca="false">MID(B380,10,1)</f>
        <v/>
      </c>
      <c r="G380" s="34" t="str">
        <f aca="false">MID(B380,11,1)</f>
        <v/>
      </c>
      <c r="H380" s="35" t="str">
        <f aca="false">IF(G380=".",F380,CONCATENATE(F380,G380))</f>
        <v/>
      </c>
      <c r="I380" s="34" t="n">
        <f aca="false">IFERROR(VALUE(H380),)</f>
        <v>0</v>
      </c>
      <c r="J380" s="34" t="e">
        <f aca="false">RIGHT(B380,LEN(B380)-FIND("/",B380, FIND("Single Cells",B380, 1)))</f>
        <v>#VALUE!</v>
      </c>
    </row>
    <row r="381" customFormat="false" ht="12.75" hidden="false" customHeight="true" outlineLevel="0" collapsed="false">
      <c r="E381" s="34" t="str">
        <f aca="false">MID(B381,9,1)</f>
        <v/>
      </c>
      <c r="F381" s="34" t="str">
        <f aca="false">MID(B381,10,1)</f>
        <v/>
      </c>
      <c r="G381" s="34" t="str">
        <f aca="false">MID(B381,11,1)</f>
        <v/>
      </c>
      <c r="H381" s="35" t="str">
        <f aca="false">IF(G381=".",F381,CONCATENATE(F381,G381))</f>
        <v/>
      </c>
      <c r="I381" s="34" t="n">
        <f aca="false">IFERROR(VALUE(H381),)</f>
        <v>0</v>
      </c>
      <c r="J381" s="34" t="e">
        <f aca="false">RIGHT(B381,LEN(B381)-FIND("/",B381, FIND("Single Cells",B381, 1)))</f>
        <v>#VALUE!</v>
      </c>
    </row>
    <row r="382" customFormat="false" ht="12.75" hidden="false" customHeight="true" outlineLevel="0" collapsed="false">
      <c r="E382" s="34" t="str">
        <f aca="false">MID(B382,9,1)</f>
        <v/>
      </c>
      <c r="F382" s="34" t="str">
        <f aca="false">MID(B382,10,1)</f>
        <v/>
      </c>
      <c r="G382" s="34" t="str">
        <f aca="false">MID(B382,11,1)</f>
        <v/>
      </c>
      <c r="H382" s="35" t="str">
        <f aca="false">IF(G382=".",F382,CONCATENATE(F382,G382))</f>
        <v/>
      </c>
      <c r="I382" s="34" t="n">
        <f aca="false">IFERROR(VALUE(H382),)</f>
        <v>0</v>
      </c>
      <c r="J382" s="34" t="e">
        <f aca="false">RIGHT(B382,LEN(B382)-FIND("/",B382, FIND("Single Cells",B382, 1)))</f>
        <v>#VALUE!</v>
      </c>
    </row>
    <row r="383" customFormat="false" ht="12.75" hidden="false" customHeight="true" outlineLevel="0" collapsed="false">
      <c r="E383" s="34" t="str">
        <f aca="false">MID(B383,9,1)</f>
        <v/>
      </c>
      <c r="F383" s="34" t="str">
        <f aca="false">MID(B383,10,1)</f>
        <v/>
      </c>
      <c r="G383" s="34" t="str">
        <f aca="false">MID(B383,11,1)</f>
        <v/>
      </c>
      <c r="H383" s="35" t="str">
        <f aca="false">IF(G383=".",F383,CONCATENATE(F383,G383))</f>
        <v/>
      </c>
      <c r="I383" s="34" t="n">
        <f aca="false">IFERROR(VALUE(H383),)</f>
        <v>0</v>
      </c>
      <c r="J383" s="34" t="e">
        <f aca="false">RIGHT(B383,LEN(B383)-FIND("/",B383, FIND("Single Cells",B383, 1)))</f>
        <v>#VALUE!</v>
      </c>
    </row>
    <row r="384" customFormat="false" ht="12.75" hidden="false" customHeight="true" outlineLevel="0" collapsed="false">
      <c r="E384" s="34" t="str">
        <f aca="false">MID(B384,9,1)</f>
        <v/>
      </c>
      <c r="F384" s="34" t="str">
        <f aca="false">MID(B384,10,1)</f>
        <v/>
      </c>
      <c r="G384" s="34" t="str">
        <f aca="false">MID(B384,11,1)</f>
        <v/>
      </c>
      <c r="H384" s="35" t="str">
        <f aca="false">IF(G384=".",F384,CONCATENATE(F384,G384))</f>
        <v/>
      </c>
      <c r="I384" s="34" t="n">
        <f aca="false">IFERROR(VALUE(H384),)</f>
        <v>0</v>
      </c>
      <c r="J384" s="34" t="e">
        <f aca="false">RIGHT(B384,LEN(B384)-FIND("/",B384, FIND("Single Cells",B384, 1)))</f>
        <v>#VALUE!</v>
      </c>
    </row>
    <row r="385" customFormat="false" ht="12.75" hidden="false" customHeight="true" outlineLevel="0" collapsed="false">
      <c r="E385" s="34" t="str">
        <f aca="false">MID(B385,9,1)</f>
        <v/>
      </c>
      <c r="F385" s="34" t="str">
        <f aca="false">MID(B385,10,1)</f>
        <v/>
      </c>
      <c r="G385" s="34" t="str">
        <f aca="false">MID(B385,11,1)</f>
        <v/>
      </c>
      <c r="H385" s="35" t="str">
        <f aca="false">IF(G385=".",F385,CONCATENATE(F385,G385))</f>
        <v/>
      </c>
      <c r="I385" s="34" t="n">
        <f aca="false">IFERROR(VALUE(H385),)</f>
        <v>0</v>
      </c>
      <c r="J385" s="34" t="e">
        <f aca="false">RIGHT(B385,LEN(B385)-FIND("/",B385, FIND("Single Cells",B385, 1)))</f>
        <v>#VALUE!</v>
      </c>
    </row>
    <row r="386" customFormat="false" ht="12.75" hidden="false" customHeight="true" outlineLevel="0" collapsed="false">
      <c r="E386" s="34" t="str">
        <f aca="false">MID(B386,9,1)</f>
        <v/>
      </c>
      <c r="F386" s="34" t="str">
        <f aca="false">MID(B386,10,1)</f>
        <v/>
      </c>
      <c r="G386" s="34" t="str">
        <f aca="false">MID(B386,11,1)</f>
        <v/>
      </c>
      <c r="H386" s="35" t="str">
        <f aca="false">IF(G386=".",F386,CONCATENATE(F386,G386))</f>
        <v/>
      </c>
      <c r="I386" s="34" t="n">
        <f aca="false">IFERROR(VALUE(H386),)</f>
        <v>0</v>
      </c>
      <c r="J386" s="34" t="e">
        <f aca="false">RIGHT(B386,LEN(B386)-FIND("/",B386, FIND("Single Cells",B386, 1)))</f>
        <v>#VALUE!</v>
      </c>
    </row>
    <row r="387" customFormat="false" ht="12.75" hidden="false" customHeight="true" outlineLevel="0" collapsed="false">
      <c r="E387" s="34" t="str">
        <f aca="false">MID(B387,9,1)</f>
        <v/>
      </c>
      <c r="F387" s="34" t="str">
        <f aca="false">MID(B387,10,1)</f>
        <v/>
      </c>
      <c r="G387" s="34" t="str">
        <f aca="false">MID(B387,11,1)</f>
        <v/>
      </c>
      <c r="H387" s="35" t="str">
        <f aca="false">IF(G387=".",F387,CONCATENATE(F387,G387))</f>
        <v/>
      </c>
      <c r="I387" s="34" t="n">
        <f aca="false">IFERROR(VALUE(H387),)</f>
        <v>0</v>
      </c>
      <c r="J387" s="34" t="e">
        <f aca="false">RIGHT(B387,LEN(B387)-FIND("/",B387, FIND("Single Cells",B387, 1)))</f>
        <v>#VALUE!</v>
      </c>
    </row>
    <row r="388" customFormat="false" ht="12.75" hidden="false" customHeight="true" outlineLevel="0" collapsed="false">
      <c r="E388" s="34" t="str">
        <f aca="false">MID(B388,9,1)</f>
        <v/>
      </c>
      <c r="F388" s="34" t="str">
        <f aca="false">MID(B388,10,1)</f>
        <v/>
      </c>
      <c r="G388" s="34" t="str">
        <f aca="false">MID(B388,11,1)</f>
        <v/>
      </c>
      <c r="H388" s="35" t="str">
        <f aca="false">IF(G388=".",F388,CONCATENATE(F388,G388))</f>
        <v/>
      </c>
      <c r="I388" s="34" t="n">
        <f aca="false">IFERROR(VALUE(H388),)</f>
        <v>0</v>
      </c>
      <c r="J388" s="34" t="e">
        <f aca="false">RIGHT(B388,LEN(B388)-FIND("/",B388, FIND("Single Cells",B388, 1)))</f>
        <v>#VALUE!</v>
      </c>
    </row>
    <row r="389" customFormat="false" ht="12.75" hidden="false" customHeight="true" outlineLevel="0" collapsed="false">
      <c r="E389" s="34" t="str">
        <f aca="false">MID(B389,9,1)</f>
        <v/>
      </c>
      <c r="F389" s="34" t="str">
        <f aca="false">MID(B389,10,1)</f>
        <v/>
      </c>
      <c r="G389" s="34" t="str">
        <f aca="false">MID(B389,11,1)</f>
        <v/>
      </c>
      <c r="H389" s="35" t="str">
        <f aca="false">IF(G389=".",F389,CONCATENATE(F389,G389))</f>
        <v/>
      </c>
      <c r="I389" s="34" t="n">
        <f aca="false">IFERROR(VALUE(H389),)</f>
        <v>0</v>
      </c>
      <c r="J389" s="34" t="e">
        <f aca="false">RIGHT(B389,LEN(B389)-FIND("/",B389, FIND("Single Cells",B389, 1)))</f>
        <v>#VALUE!</v>
      </c>
    </row>
    <row r="390" customFormat="false" ht="12.75" hidden="false" customHeight="true" outlineLevel="0" collapsed="false">
      <c r="E390" s="34" t="str">
        <f aca="false">MID(B390,9,1)</f>
        <v/>
      </c>
      <c r="F390" s="34" t="str">
        <f aca="false">MID(B390,10,1)</f>
        <v/>
      </c>
      <c r="G390" s="34" t="str">
        <f aca="false">MID(B390,11,1)</f>
        <v/>
      </c>
      <c r="H390" s="35" t="str">
        <f aca="false">IF(G390=".",F390,CONCATENATE(F390,G390))</f>
        <v/>
      </c>
      <c r="I390" s="34" t="n">
        <f aca="false">IFERROR(VALUE(H390),)</f>
        <v>0</v>
      </c>
      <c r="J390" s="34" t="e">
        <f aca="false">RIGHT(B390,LEN(B390)-FIND("/",B390, FIND("Single Cells",B390, 1)))</f>
        <v>#VALUE!</v>
      </c>
    </row>
    <row r="391" customFormat="false" ht="12.75" hidden="false" customHeight="true" outlineLevel="0" collapsed="false">
      <c r="E391" s="34" t="str">
        <f aca="false">MID(B391,9,1)</f>
        <v/>
      </c>
      <c r="F391" s="34" t="str">
        <f aca="false">MID(B391,10,1)</f>
        <v/>
      </c>
      <c r="G391" s="34" t="str">
        <f aca="false">MID(B391,11,1)</f>
        <v/>
      </c>
      <c r="H391" s="35" t="str">
        <f aca="false">IF(G391=".",F391,CONCATENATE(F391,G391))</f>
        <v/>
      </c>
      <c r="I391" s="34" t="n">
        <f aca="false">IFERROR(VALUE(H391),)</f>
        <v>0</v>
      </c>
      <c r="J391" s="34" t="e">
        <f aca="false">RIGHT(B391,LEN(B391)-FIND("/",B391, FIND("Single Cells",B391, 1)))</f>
        <v>#VALUE!</v>
      </c>
    </row>
    <row r="392" customFormat="false" ht="12.75" hidden="false" customHeight="true" outlineLevel="0" collapsed="false">
      <c r="E392" s="34" t="str">
        <f aca="false">MID(B392,9,1)</f>
        <v/>
      </c>
      <c r="F392" s="34" t="str">
        <f aca="false">MID(B392,10,1)</f>
        <v/>
      </c>
      <c r="G392" s="34" t="str">
        <f aca="false">MID(B392,11,1)</f>
        <v/>
      </c>
      <c r="H392" s="35" t="str">
        <f aca="false">IF(G392=".",F392,CONCATENATE(F392,G392))</f>
        <v/>
      </c>
      <c r="I392" s="34" t="n">
        <f aca="false">IFERROR(VALUE(H392),)</f>
        <v>0</v>
      </c>
      <c r="J392" s="34" t="e">
        <f aca="false">RIGHT(B392,LEN(B392)-FIND("/",B392, FIND("Single Cells",B392, 1)))</f>
        <v>#VALUE!</v>
      </c>
    </row>
    <row r="393" customFormat="false" ht="12.75" hidden="false" customHeight="true" outlineLevel="0" collapsed="false">
      <c r="E393" s="34" t="str">
        <f aca="false">MID(B393,9,1)</f>
        <v/>
      </c>
      <c r="F393" s="34" t="str">
        <f aca="false">MID(B393,10,1)</f>
        <v/>
      </c>
      <c r="G393" s="34" t="str">
        <f aca="false">MID(B393,11,1)</f>
        <v/>
      </c>
      <c r="H393" s="35" t="str">
        <f aca="false">IF(G393=".",F393,CONCATENATE(F393,G393))</f>
        <v/>
      </c>
      <c r="I393" s="34" t="n">
        <f aca="false">IFERROR(VALUE(H393),)</f>
        <v>0</v>
      </c>
      <c r="J393" s="34" t="e">
        <f aca="false">RIGHT(B393,LEN(B393)-FIND("/",B393, FIND("Single Cells",B393, 1)))</f>
        <v>#VALUE!</v>
      </c>
    </row>
    <row r="394" customFormat="false" ht="12.75" hidden="false" customHeight="true" outlineLevel="0" collapsed="false">
      <c r="E394" s="34" t="str">
        <f aca="false">MID(B394,9,1)</f>
        <v/>
      </c>
      <c r="F394" s="34" t="str">
        <f aca="false">MID(B394,10,1)</f>
        <v/>
      </c>
      <c r="G394" s="34" t="str">
        <f aca="false">MID(B394,11,1)</f>
        <v/>
      </c>
      <c r="H394" s="35" t="str">
        <f aca="false">IF(G394=".",F394,CONCATENATE(F394,G394))</f>
        <v/>
      </c>
      <c r="I394" s="34" t="n">
        <f aca="false">IFERROR(VALUE(H394),)</f>
        <v>0</v>
      </c>
      <c r="J394" s="34" t="e">
        <f aca="false">RIGHT(B394,LEN(B394)-FIND("/",B394, FIND("Single Cells",B394, 1)))</f>
        <v>#VALUE!</v>
      </c>
    </row>
    <row r="395" customFormat="false" ht="12.75" hidden="false" customHeight="true" outlineLevel="0" collapsed="false">
      <c r="E395" s="34" t="str">
        <f aca="false">MID(B395,9,1)</f>
        <v/>
      </c>
      <c r="F395" s="34" t="str">
        <f aca="false">MID(B395,10,1)</f>
        <v/>
      </c>
      <c r="G395" s="34" t="str">
        <f aca="false">MID(B395,11,1)</f>
        <v/>
      </c>
      <c r="H395" s="35" t="str">
        <f aca="false">IF(G395=".",F395,CONCATENATE(F395,G395))</f>
        <v/>
      </c>
      <c r="I395" s="34" t="n">
        <f aca="false">IFERROR(VALUE(H395),)</f>
        <v>0</v>
      </c>
      <c r="J395" s="34" t="e">
        <f aca="false">RIGHT(B395,LEN(B395)-FIND("/",B395, FIND("Single Cells",B395, 1)))</f>
        <v>#VALUE!</v>
      </c>
    </row>
    <row r="396" customFormat="false" ht="12.75" hidden="false" customHeight="true" outlineLevel="0" collapsed="false">
      <c r="E396" s="34" t="str">
        <f aca="false">MID(B396,9,1)</f>
        <v/>
      </c>
      <c r="F396" s="34" t="str">
        <f aca="false">MID(B396,10,1)</f>
        <v/>
      </c>
      <c r="G396" s="34" t="str">
        <f aca="false">MID(B396,11,1)</f>
        <v/>
      </c>
      <c r="H396" s="35" t="str">
        <f aca="false">IF(G396=".",F396,CONCATENATE(F396,G396))</f>
        <v/>
      </c>
      <c r="I396" s="34" t="n">
        <f aca="false">IFERROR(VALUE(H396),)</f>
        <v>0</v>
      </c>
      <c r="J396" s="34" t="e">
        <f aca="false">RIGHT(B396,LEN(B396)-FIND("/",B396, FIND("Single Cells",B396, 1)))</f>
        <v>#VALUE!</v>
      </c>
    </row>
    <row r="397" customFormat="false" ht="12.75" hidden="false" customHeight="true" outlineLevel="0" collapsed="false">
      <c r="E397" s="34" t="str">
        <f aca="false">MID(B397,9,1)</f>
        <v/>
      </c>
      <c r="F397" s="34" t="str">
        <f aca="false">MID(B397,10,1)</f>
        <v/>
      </c>
      <c r="G397" s="34" t="str">
        <f aca="false">MID(B397,11,1)</f>
        <v/>
      </c>
      <c r="H397" s="35" t="str">
        <f aca="false">IF(G397=".",F397,CONCATENATE(F397,G397))</f>
        <v/>
      </c>
      <c r="I397" s="34" t="n">
        <f aca="false">IFERROR(VALUE(H397),)</f>
        <v>0</v>
      </c>
      <c r="J397" s="34" t="e">
        <f aca="false">RIGHT(B397,LEN(B397)-FIND("/",B397, FIND("Single Cells",B397, 1)))</f>
        <v>#VALUE!</v>
      </c>
    </row>
    <row r="398" customFormat="false" ht="12.75" hidden="false" customHeight="true" outlineLevel="0" collapsed="false">
      <c r="E398" s="34" t="str">
        <f aca="false">MID(B398,9,1)</f>
        <v/>
      </c>
      <c r="F398" s="34" t="str">
        <f aca="false">MID(B398,10,1)</f>
        <v/>
      </c>
      <c r="G398" s="34" t="str">
        <f aca="false">MID(B398,11,1)</f>
        <v/>
      </c>
      <c r="H398" s="35" t="str">
        <f aca="false">IF(G398=".",F398,CONCATENATE(F398,G398))</f>
        <v/>
      </c>
      <c r="I398" s="34" t="n">
        <f aca="false">IFERROR(VALUE(H398),)</f>
        <v>0</v>
      </c>
      <c r="J398" s="34" t="e">
        <f aca="false">RIGHT(B398,LEN(B398)-FIND("/",B398, FIND("Single Cells",B398, 1)))</f>
        <v>#VALUE!</v>
      </c>
    </row>
    <row r="399" customFormat="false" ht="12.75" hidden="false" customHeight="true" outlineLevel="0" collapsed="false">
      <c r="E399" s="34" t="str">
        <f aca="false">MID(B399,9,1)</f>
        <v/>
      </c>
      <c r="F399" s="34" t="str">
        <f aca="false">MID(B399,10,1)</f>
        <v/>
      </c>
      <c r="G399" s="34" t="str">
        <f aca="false">MID(B399,11,1)</f>
        <v/>
      </c>
      <c r="H399" s="35" t="str">
        <f aca="false">IF(G399=".",F399,CONCATENATE(F399,G399))</f>
        <v/>
      </c>
      <c r="I399" s="34" t="n">
        <f aca="false">IFERROR(VALUE(H399),)</f>
        <v>0</v>
      </c>
      <c r="J399" s="34" t="e">
        <f aca="false">RIGHT(B399,LEN(B399)-FIND("/",B399, FIND("Single Cells",B399, 1)))</f>
        <v>#VALUE!</v>
      </c>
    </row>
    <row r="400" customFormat="false" ht="12.75" hidden="false" customHeight="true" outlineLevel="0" collapsed="false">
      <c r="E400" s="34" t="str">
        <f aca="false">MID(B400,9,1)</f>
        <v/>
      </c>
      <c r="F400" s="34" t="str">
        <f aca="false">MID(B400,10,1)</f>
        <v/>
      </c>
      <c r="G400" s="34" t="str">
        <f aca="false">MID(B400,11,1)</f>
        <v/>
      </c>
      <c r="H400" s="35" t="str">
        <f aca="false">IF(G400=".",F400,CONCATENATE(F400,G400))</f>
        <v/>
      </c>
      <c r="I400" s="34" t="n">
        <f aca="false">IFERROR(VALUE(H400),)</f>
        <v>0</v>
      </c>
      <c r="J400" s="34" t="e">
        <f aca="false">RIGHT(B400,LEN(B400)-FIND("/",B400, FIND("Single Cells",B400, 1)))</f>
        <v>#VALUE!</v>
      </c>
    </row>
    <row r="401" customFormat="false" ht="12.75" hidden="false" customHeight="true" outlineLevel="0" collapsed="false">
      <c r="E401" s="34" t="str">
        <f aca="false">MID(B401,9,1)</f>
        <v/>
      </c>
      <c r="F401" s="34" t="str">
        <f aca="false">MID(B401,10,1)</f>
        <v/>
      </c>
      <c r="G401" s="34" t="str">
        <f aca="false">MID(B401,11,1)</f>
        <v/>
      </c>
      <c r="H401" s="35" t="str">
        <f aca="false">IF(G401=".",F401,CONCATENATE(F401,G401))</f>
        <v/>
      </c>
      <c r="I401" s="34" t="n">
        <f aca="false">IFERROR(VALUE(H401),)</f>
        <v>0</v>
      </c>
      <c r="J401" s="34" t="e">
        <f aca="false">RIGHT(B401,LEN(B401)-FIND("/",B401, FIND("Single Cells",B401, 1)))</f>
        <v>#VALUE!</v>
      </c>
    </row>
    <row r="402" customFormat="false" ht="12.75" hidden="false" customHeight="true" outlineLevel="0" collapsed="false">
      <c r="E402" s="34" t="str">
        <f aca="false">MID(B402,9,1)</f>
        <v/>
      </c>
      <c r="F402" s="34" t="str">
        <f aca="false">MID(B402,10,1)</f>
        <v/>
      </c>
      <c r="G402" s="34" t="str">
        <f aca="false">MID(B402,11,1)</f>
        <v/>
      </c>
      <c r="H402" s="35" t="str">
        <f aca="false">IF(G402=".",F402,CONCATENATE(F402,G402))</f>
        <v/>
      </c>
      <c r="I402" s="34" t="n">
        <f aca="false">IFERROR(VALUE(H402),)</f>
        <v>0</v>
      </c>
      <c r="J402" s="34" t="e">
        <f aca="false">RIGHT(B402,LEN(B402)-FIND("/",B402, FIND("Single Cells",B402, 1)))</f>
        <v>#VALUE!</v>
      </c>
    </row>
    <row r="403" customFormat="false" ht="12.75" hidden="false" customHeight="true" outlineLevel="0" collapsed="false">
      <c r="E403" s="34" t="str">
        <f aca="false">MID(B403,9,1)</f>
        <v/>
      </c>
      <c r="F403" s="34" t="str">
        <f aca="false">MID(B403,10,1)</f>
        <v/>
      </c>
      <c r="G403" s="34" t="str">
        <f aca="false">MID(B403,11,1)</f>
        <v/>
      </c>
      <c r="H403" s="35" t="str">
        <f aca="false">IF(G403=".",F403,CONCATENATE(F403,G403))</f>
        <v/>
      </c>
      <c r="I403" s="34" t="n">
        <f aca="false">IFERROR(VALUE(H403),)</f>
        <v>0</v>
      </c>
      <c r="J403" s="34" t="e">
        <f aca="false">RIGHT(B403,LEN(B403)-FIND("/",B403, FIND("Single Cells",B403, 1)))</f>
        <v>#VALUE!</v>
      </c>
    </row>
    <row r="404" customFormat="false" ht="12.75" hidden="false" customHeight="true" outlineLevel="0" collapsed="false">
      <c r="E404" s="34" t="str">
        <f aca="false">MID(B404,9,1)</f>
        <v/>
      </c>
      <c r="F404" s="34" t="str">
        <f aca="false">MID(B404,10,1)</f>
        <v/>
      </c>
      <c r="G404" s="34" t="str">
        <f aca="false">MID(B404,11,1)</f>
        <v/>
      </c>
      <c r="H404" s="35" t="str">
        <f aca="false">IF(G404=".",F404,CONCATENATE(F404,G404))</f>
        <v/>
      </c>
      <c r="I404" s="34" t="n">
        <f aca="false">IFERROR(VALUE(H404),)</f>
        <v>0</v>
      </c>
      <c r="J404" s="34" t="e">
        <f aca="false">RIGHT(B404,LEN(B404)-FIND("/",B404, FIND("Single Cells",B404, 1)))</f>
        <v>#VALUE!</v>
      </c>
    </row>
    <row r="405" customFormat="false" ht="12.75" hidden="false" customHeight="true" outlineLevel="0" collapsed="false">
      <c r="E405" s="34" t="str">
        <f aca="false">MID(B405,9,1)</f>
        <v/>
      </c>
      <c r="F405" s="34" t="str">
        <f aca="false">MID(B405,10,1)</f>
        <v/>
      </c>
      <c r="G405" s="34" t="str">
        <f aca="false">MID(B405,11,1)</f>
        <v/>
      </c>
      <c r="H405" s="35" t="str">
        <f aca="false">IF(G405=".",F405,CONCATENATE(F405,G405))</f>
        <v/>
      </c>
      <c r="I405" s="34" t="n">
        <f aca="false">IFERROR(VALUE(H405),)</f>
        <v>0</v>
      </c>
      <c r="J405" s="34" t="e">
        <f aca="false">RIGHT(B405,LEN(B405)-FIND("/",B405, FIND("Single Cells",B405, 1)))</f>
        <v>#VALUE!</v>
      </c>
    </row>
    <row r="406" customFormat="false" ht="12.75" hidden="false" customHeight="true" outlineLevel="0" collapsed="false">
      <c r="E406" s="34" t="str">
        <f aca="false">MID(B406,9,1)</f>
        <v/>
      </c>
      <c r="F406" s="34" t="str">
        <f aca="false">MID(B406,10,1)</f>
        <v/>
      </c>
      <c r="G406" s="34" t="str">
        <f aca="false">MID(B406,11,1)</f>
        <v/>
      </c>
      <c r="H406" s="35" t="str">
        <f aca="false">IF(G406=".",F406,CONCATENATE(F406,G406))</f>
        <v/>
      </c>
      <c r="I406" s="34" t="n">
        <f aca="false">IFERROR(VALUE(H406),)</f>
        <v>0</v>
      </c>
      <c r="J406" s="34" t="e">
        <f aca="false">RIGHT(B406,LEN(B406)-FIND("/",B406, FIND("Single Cells",B406, 1)))</f>
        <v>#VALUE!</v>
      </c>
    </row>
    <row r="407" customFormat="false" ht="12.75" hidden="false" customHeight="true" outlineLevel="0" collapsed="false">
      <c r="E407" s="34" t="str">
        <f aca="false">MID(B407,9,1)</f>
        <v/>
      </c>
      <c r="F407" s="34" t="str">
        <f aca="false">MID(B407,10,1)</f>
        <v/>
      </c>
      <c r="G407" s="34" t="str">
        <f aca="false">MID(B407,11,1)</f>
        <v/>
      </c>
      <c r="H407" s="35" t="str">
        <f aca="false">IF(G407=".",F407,CONCATENATE(F407,G407))</f>
        <v/>
      </c>
      <c r="I407" s="34" t="n">
        <f aca="false">IFERROR(VALUE(H407),)</f>
        <v>0</v>
      </c>
      <c r="J407" s="34" t="e">
        <f aca="false">RIGHT(B407,LEN(B407)-FIND("/",B407, FIND("Single Cells",B407, 1)))</f>
        <v>#VALUE!</v>
      </c>
    </row>
    <row r="408" customFormat="false" ht="12.75" hidden="false" customHeight="true" outlineLevel="0" collapsed="false">
      <c r="E408" s="34" t="str">
        <f aca="false">MID(B408,9,1)</f>
        <v/>
      </c>
      <c r="F408" s="34" t="str">
        <f aca="false">MID(B408,10,1)</f>
        <v/>
      </c>
      <c r="G408" s="34" t="str">
        <f aca="false">MID(B408,11,1)</f>
        <v/>
      </c>
      <c r="H408" s="35" t="str">
        <f aca="false">IF(G408=".",F408,CONCATENATE(F408,G408))</f>
        <v/>
      </c>
      <c r="I408" s="34" t="n">
        <f aca="false">IFERROR(VALUE(H408),)</f>
        <v>0</v>
      </c>
      <c r="J408" s="34" t="e">
        <f aca="false">RIGHT(B408,LEN(B408)-FIND("/",B408, FIND("Single Cells",B408, 1)))</f>
        <v>#VALUE!</v>
      </c>
    </row>
    <row r="409" customFormat="false" ht="12.75" hidden="false" customHeight="true" outlineLevel="0" collapsed="false">
      <c r="E409" s="34" t="str">
        <f aca="false">MID(B409,9,1)</f>
        <v/>
      </c>
      <c r="F409" s="34" t="str">
        <f aca="false">MID(B409,10,1)</f>
        <v/>
      </c>
      <c r="G409" s="34" t="str">
        <f aca="false">MID(B409,11,1)</f>
        <v/>
      </c>
      <c r="H409" s="35" t="str">
        <f aca="false">IF(G409=".",F409,CONCATENATE(F409,G409))</f>
        <v/>
      </c>
      <c r="I409" s="34" t="n">
        <f aca="false">IFERROR(VALUE(H409),)</f>
        <v>0</v>
      </c>
      <c r="J409" s="34" t="e">
        <f aca="false">RIGHT(B409,LEN(B409)-FIND("/",B409, FIND("Single Cells",B409, 1)))</f>
        <v>#VALUE!</v>
      </c>
    </row>
    <row r="410" customFormat="false" ht="12.75" hidden="false" customHeight="true" outlineLevel="0" collapsed="false">
      <c r="E410" s="34" t="str">
        <f aca="false">MID(B410,9,1)</f>
        <v/>
      </c>
      <c r="F410" s="34" t="str">
        <f aca="false">MID(B410,10,1)</f>
        <v/>
      </c>
      <c r="G410" s="34" t="str">
        <f aca="false">MID(B410,11,1)</f>
        <v/>
      </c>
      <c r="H410" s="35" t="str">
        <f aca="false">IF(G410=".",F410,CONCATENATE(F410,G410))</f>
        <v/>
      </c>
      <c r="I410" s="34" t="n">
        <f aca="false">IFERROR(VALUE(H410),)</f>
        <v>0</v>
      </c>
      <c r="J410" s="34" t="e">
        <f aca="false">RIGHT(B410,LEN(B410)-FIND("/",B410, FIND("Single Cells",B410, 1)))</f>
        <v>#VALUE!</v>
      </c>
    </row>
    <row r="411" customFormat="false" ht="12.75" hidden="false" customHeight="true" outlineLevel="0" collapsed="false">
      <c r="E411" s="34" t="str">
        <f aca="false">MID(B411,9,1)</f>
        <v/>
      </c>
      <c r="F411" s="34" t="str">
        <f aca="false">MID(B411,10,1)</f>
        <v/>
      </c>
      <c r="G411" s="34" t="str">
        <f aca="false">MID(B411,11,1)</f>
        <v/>
      </c>
      <c r="H411" s="35" t="str">
        <f aca="false">IF(G411=".",F411,CONCATENATE(F411,G411))</f>
        <v/>
      </c>
      <c r="I411" s="34" t="n">
        <f aca="false">IFERROR(VALUE(H411),)</f>
        <v>0</v>
      </c>
      <c r="J411" s="34" t="e">
        <f aca="false">RIGHT(B411,LEN(B411)-FIND("/",B411, FIND("Single Cells",B411, 1)))</f>
        <v>#VALUE!</v>
      </c>
    </row>
    <row r="412" customFormat="false" ht="12.75" hidden="false" customHeight="true" outlineLevel="0" collapsed="false">
      <c r="E412" s="34" t="str">
        <f aca="false">MID(B412,9,1)</f>
        <v/>
      </c>
      <c r="F412" s="34" t="str">
        <f aca="false">MID(B412,10,1)</f>
        <v/>
      </c>
      <c r="G412" s="34" t="str">
        <f aca="false">MID(B412,11,1)</f>
        <v/>
      </c>
      <c r="H412" s="35" t="str">
        <f aca="false">IF(G412=".",F412,CONCATENATE(F412,G412))</f>
        <v/>
      </c>
      <c r="I412" s="34" t="n">
        <f aca="false">IFERROR(VALUE(H412),)</f>
        <v>0</v>
      </c>
      <c r="J412" s="34" t="e">
        <f aca="false">RIGHT(B412,LEN(B412)-FIND("/",B412, FIND("Single Cells",B412, 1)))</f>
        <v>#VALUE!</v>
      </c>
    </row>
    <row r="413" customFormat="false" ht="12.75" hidden="false" customHeight="true" outlineLevel="0" collapsed="false">
      <c r="E413" s="34" t="str">
        <f aca="false">MID(B413,9,1)</f>
        <v/>
      </c>
      <c r="F413" s="34" t="str">
        <f aca="false">MID(B413,10,1)</f>
        <v/>
      </c>
      <c r="G413" s="34" t="str">
        <f aca="false">MID(B413,11,1)</f>
        <v/>
      </c>
      <c r="H413" s="35" t="str">
        <f aca="false">IF(G413=".",F413,CONCATENATE(F413,G413))</f>
        <v/>
      </c>
      <c r="I413" s="34" t="n">
        <f aca="false">IFERROR(VALUE(H413),)</f>
        <v>0</v>
      </c>
      <c r="J413" s="34" t="e">
        <f aca="false">RIGHT(B413,LEN(B413)-FIND("/",B413, FIND("Single Cells",B413, 1)))</f>
        <v>#VALUE!</v>
      </c>
    </row>
    <row r="414" customFormat="false" ht="12.75" hidden="false" customHeight="true" outlineLevel="0" collapsed="false">
      <c r="E414" s="34" t="str">
        <f aca="false">MID(B414,9,1)</f>
        <v/>
      </c>
      <c r="F414" s="34" t="str">
        <f aca="false">MID(B414,10,1)</f>
        <v/>
      </c>
      <c r="G414" s="34" t="str">
        <f aca="false">MID(B414,11,1)</f>
        <v/>
      </c>
      <c r="H414" s="35" t="str">
        <f aca="false">IF(G414=".",F414,CONCATENATE(F414,G414))</f>
        <v/>
      </c>
      <c r="I414" s="34" t="n">
        <f aca="false">IFERROR(VALUE(H414),)</f>
        <v>0</v>
      </c>
      <c r="J414" s="34" t="e">
        <f aca="false">RIGHT(B414,LEN(B414)-FIND("/",B414, FIND("Single Cells",B414, 1)))</f>
        <v>#VALUE!</v>
      </c>
    </row>
    <row r="415" customFormat="false" ht="12.75" hidden="false" customHeight="true" outlineLevel="0" collapsed="false">
      <c r="E415" s="34" t="str">
        <f aca="false">MID(B415,9,1)</f>
        <v/>
      </c>
      <c r="F415" s="34" t="str">
        <f aca="false">MID(B415,10,1)</f>
        <v/>
      </c>
      <c r="G415" s="34" t="str">
        <f aca="false">MID(B415,11,1)</f>
        <v/>
      </c>
      <c r="H415" s="35" t="str">
        <f aca="false">IF(G415=".",F415,CONCATENATE(F415,G415))</f>
        <v/>
      </c>
      <c r="I415" s="34" t="n">
        <f aca="false">IFERROR(VALUE(H415),)</f>
        <v>0</v>
      </c>
      <c r="J415" s="34" t="e">
        <f aca="false">RIGHT(B415,LEN(B415)-FIND("/",B415, FIND("Single Cells",B415, 1)))</f>
        <v>#VALUE!</v>
      </c>
    </row>
    <row r="416" customFormat="false" ht="12.75" hidden="false" customHeight="true" outlineLevel="0" collapsed="false">
      <c r="E416" s="34" t="str">
        <f aca="false">MID(B416,9,1)</f>
        <v/>
      </c>
      <c r="F416" s="34" t="str">
        <f aca="false">MID(B416,10,1)</f>
        <v/>
      </c>
      <c r="G416" s="34" t="str">
        <f aca="false">MID(B416,11,1)</f>
        <v/>
      </c>
      <c r="H416" s="35" t="str">
        <f aca="false">IF(G416=".",F416,CONCATENATE(F416,G416))</f>
        <v/>
      </c>
      <c r="I416" s="34" t="n">
        <f aca="false">IFERROR(VALUE(H416),)</f>
        <v>0</v>
      </c>
      <c r="J416" s="34" t="e">
        <f aca="false">RIGHT(B416,LEN(B416)-FIND("/",B416, FIND("Single Cells",B416, 1)))</f>
        <v>#VALUE!</v>
      </c>
    </row>
    <row r="417" customFormat="false" ht="12.75" hidden="false" customHeight="true" outlineLevel="0" collapsed="false">
      <c r="E417" s="34" t="str">
        <f aca="false">MID(B417,9,1)</f>
        <v/>
      </c>
      <c r="F417" s="34" t="str">
        <f aca="false">MID(B417,10,1)</f>
        <v/>
      </c>
      <c r="G417" s="34" t="str">
        <f aca="false">MID(B417,11,1)</f>
        <v/>
      </c>
      <c r="H417" s="35" t="str">
        <f aca="false">IF(G417=".",F417,CONCATENATE(F417,G417))</f>
        <v/>
      </c>
      <c r="I417" s="34" t="n">
        <f aca="false">IFERROR(VALUE(H417),)</f>
        <v>0</v>
      </c>
      <c r="J417" s="34" t="e">
        <f aca="false">RIGHT(B417,LEN(B417)-FIND("/",B417, FIND("Single Cells",B417, 1)))</f>
        <v>#VALUE!</v>
      </c>
    </row>
    <row r="418" customFormat="false" ht="12.75" hidden="false" customHeight="true" outlineLevel="0" collapsed="false">
      <c r="E418" s="34" t="str">
        <f aca="false">MID(B418,9,1)</f>
        <v/>
      </c>
      <c r="F418" s="34" t="str">
        <f aca="false">MID(B418,10,1)</f>
        <v/>
      </c>
      <c r="G418" s="34" t="str">
        <f aca="false">MID(B418,11,1)</f>
        <v/>
      </c>
      <c r="H418" s="35" t="str">
        <f aca="false">IF(G418=".",F418,CONCATENATE(F418,G418))</f>
        <v/>
      </c>
      <c r="I418" s="34" t="n">
        <f aca="false">IFERROR(VALUE(H418),)</f>
        <v>0</v>
      </c>
      <c r="J418" s="34" t="e">
        <f aca="false">RIGHT(B418,LEN(B418)-FIND("/",B418, FIND("Single Cells",B418, 1)))</f>
        <v>#VALUE!</v>
      </c>
    </row>
    <row r="419" customFormat="false" ht="12.75" hidden="false" customHeight="true" outlineLevel="0" collapsed="false">
      <c r="E419" s="34" t="str">
        <f aca="false">MID(B419,9,1)</f>
        <v/>
      </c>
      <c r="F419" s="34" t="str">
        <f aca="false">MID(B419,10,1)</f>
        <v/>
      </c>
      <c r="G419" s="34" t="str">
        <f aca="false">MID(B419,11,1)</f>
        <v/>
      </c>
      <c r="H419" s="35" t="str">
        <f aca="false">IF(G419=".",F419,CONCATENATE(F419,G419))</f>
        <v/>
      </c>
      <c r="I419" s="34" t="n">
        <f aca="false">IFERROR(VALUE(H419),)</f>
        <v>0</v>
      </c>
      <c r="J419" s="34" t="e">
        <f aca="false">RIGHT(B419,LEN(B419)-FIND("/",B419, FIND("Single Cells",B419, 1)))</f>
        <v>#VALUE!</v>
      </c>
    </row>
    <row r="420" customFormat="false" ht="12.75" hidden="false" customHeight="true" outlineLevel="0" collapsed="false">
      <c r="E420" s="34" t="str">
        <f aca="false">MID(B420,9,1)</f>
        <v/>
      </c>
      <c r="F420" s="34" t="str">
        <f aca="false">MID(B420,10,1)</f>
        <v/>
      </c>
      <c r="G420" s="34" t="str">
        <f aca="false">MID(B420,11,1)</f>
        <v/>
      </c>
      <c r="H420" s="35" t="str">
        <f aca="false">IF(G420=".",F420,CONCATENATE(F420,G420))</f>
        <v/>
      </c>
      <c r="I420" s="34" t="n">
        <f aca="false">IFERROR(VALUE(H420),)</f>
        <v>0</v>
      </c>
      <c r="J420" s="34" t="e">
        <f aca="false">RIGHT(B420,LEN(B420)-FIND("/",B420, FIND("Single Cells",B420, 1)))</f>
        <v>#VALUE!</v>
      </c>
    </row>
    <row r="421" customFormat="false" ht="12.75" hidden="false" customHeight="true" outlineLevel="0" collapsed="false">
      <c r="E421" s="34" t="str">
        <f aca="false">MID(B421,9,1)</f>
        <v/>
      </c>
      <c r="F421" s="34" t="str">
        <f aca="false">MID(B421,10,1)</f>
        <v/>
      </c>
      <c r="G421" s="34" t="str">
        <f aca="false">MID(B421,11,1)</f>
        <v/>
      </c>
      <c r="H421" s="35" t="str">
        <f aca="false">IF(G421=".",F421,CONCATENATE(F421,G421))</f>
        <v/>
      </c>
      <c r="I421" s="34" t="n">
        <f aca="false">IFERROR(VALUE(H421),)</f>
        <v>0</v>
      </c>
      <c r="J421" s="34" t="e">
        <f aca="false">RIGHT(B421,LEN(B421)-FIND("/",B421, FIND("Single Cells",B421, 1)))</f>
        <v>#VALUE!</v>
      </c>
    </row>
    <row r="422" customFormat="false" ht="12.75" hidden="false" customHeight="true" outlineLevel="0" collapsed="false">
      <c r="E422" s="34" t="str">
        <f aca="false">MID(B422,9,1)</f>
        <v/>
      </c>
      <c r="F422" s="34" t="str">
        <f aca="false">MID(B422,10,1)</f>
        <v/>
      </c>
      <c r="G422" s="34" t="str">
        <f aca="false">MID(B422,11,1)</f>
        <v/>
      </c>
      <c r="H422" s="35" t="str">
        <f aca="false">IF(G422=".",F422,CONCATENATE(F422,G422))</f>
        <v/>
      </c>
      <c r="I422" s="34" t="n">
        <f aca="false">IFERROR(VALUE(H422),)</f>
        <v>0</v>
      </c>
      <c r="J422" s="34" t="e">
        <f aca="false">RIGHT(B422,LEN(B422)-FIND("/",B422, FIND("Single Cells",B422, 1)))</f>
        <v>#VALUE!</v>
      </c>
    </row>
    <row r="423" customFormat="false" ht="12.75" hidden="false" customHeight="true" outlineLevel="0" collapsed="false">
      <c r="E423" s="34" t="str">
        <f aca="false">MID(B423,9,1)</f>
        <v/>
      </c>
      <c r="F423" s="34" t="str">
        <f aca="false">MID(B423,10,1)</f>
        <v/>
      </c>
      <c r="G423" s="34" t="str">
        <f aca="false">MID(B423,11,1)</f>
        <v/>
      </c>
      <c r="H423" s="35" t="str">
        <f aca="false">IF(G423=".",F423,CONCATENATE(F423,G423))</f>
        <v/>
      </c>
      <c r="I423" s="34" t="n">
        <f aca="false">IFERROR(VALUE(H423),)</f>
        <v>0</v>
      </c>
      <c r="J423" s="34" t="e">
        <f aca="false">RIGHT(B423,LEN(B423)-FIND("/",B423, FIND("Single Cells",B423, 1)))</f>
        <v>#VALUE!</v>
      </c>
    </row>
    <row r="424" customFormat="false" ht="12.75" hidden="false" customHeight="true" outlineLevel="0" collapsed="false">
      <c r="E424" s="34" t="str">
        <f aca="false">MID(B424,9,1)</f>
        <v/>
      </c>
      <c r="F424" s="34" t="str">
        <f aca="false">MID(B424,10,1)</f>
        <v/>
      </c>
      <c r="G424" s="34" t="str">
        <f aca="false">MID(B424,11,1)</f>
        <v/>
      </c>
      <c r="H424" s="35" t="str">
        <f aca="false">IF(G424=".",F424,CONCATENATE(F424,G424))</f>
        <v/>
      </c>
      <c r="I424" s="34" t="n">
        <f aca="false">IFERROR(VALUE(H424),)</f>
        <v>0</v>
      </c>
      <c r="J424" s="34" t="e">
        <f aca="false">RIGHT(B424,LEN(B424)-FIND("/",B424, FIND("Single Cells",B424, 1)))</f>
        <v>#VALUE!</v>
      </c>
    </row>
    <row r="425" customFormat="false" ht="12.75" hidden="false" customHeight="true" outlineLevel="0" collapsed="false">
      <c r="E425" s="34" t="str">
        <f aca="false">MID(B425,9,1)</f>
        <v/>
      </c>
      <c r="F425" s="34" t="str">
        <f aca="false">MID(B425,10,1)</f>
        <v/>
      </c>
      <c r="G425" s="34" t="str">
        <f aca="false">MID(B425,11,1)</f>
        <v/>
      </c>
      <c r="H425" s="35" t="str">
        <f aca="false">IF(G425=".",F425,CONCATENATE(F425,G425))</f>
        <v/>
      </c>
      <c r="I425" s="34" t="n">
        <f aca="false">IFERROR(VALUE(H425),)</f>
        <v>0</v>
      </c>
      <c r="J425" s="34" t="e">
        <f aca="false">RIGHT(B425,LEN(B425)-FIND("/",B425, FIND("Single Cells",B425, 1)))</f>
        <v>#VALUE!</v>
      </c>
    </row>
    <row r="426" customFormat="false" ht="12.75" hidden="false" customHeight="true" outlineLevel="0" collapsed="false">
      <c r="E426" s="34" t="str">
        <f aca="false">MID(B426,9,1)</f>
        <v/>
      </c>
      <c r="F426" s="34" t="str">
        <f aca="false">MID(B426,10,1)</f>
        <v/>
      </c>
      <c r="G426" s="34" t="str">
        <f aca="false">MID(B426,11,1)</f>
        <v/>
      </c>
      <c r="H426" s="35" t="str">
        <f aca="false">IF(G426=".",F426,CONCATENATE(F426,G426))</f>
        <v/>
      </c>
      <c r="I426" s="34" t="n">
        <f aca="false">IFERROR(VALUE(H426),)</f>
        <v>0</v>
      </c>
      <c r="J426" s="34" t="e">
        <f aca="false">RIGHT(B426,LEN(B426)-FIND("/",B426, FIND("Single Cells",B426, 1)))</f>
        <v>#VALUE!</v>
      </c>
    </row>
    <row r="427" customFormat="false" ht="12.75" hidden="false" customHeight="true" outlineLevel="0" collapsed="false">
      <c r="E427" s="34" t="str">
        <f aca="false">MID(B427,9,1)</f>
        <v/>
      </c>
      <c r="F427" s="34" t="str">
        <f aca="false">MID(B427,10,1)</f>
        <v/>
      </c>
      <c r="G427" s="34" t="str">
        <f aca="false">MID(B427,11,1)</f>
        <v/>
      </c>
      <c r="H427" s="35" t="str">
        <f aca="false">IF(G427=".",F427,CONCATENATE(F427,G427))</f>
        <v/>
      </c>
      <c r="I427" s="34" t="n">
        <f aca="false">IFERROR(VALUE(H427),)</f>
        <v>0</v>
      </c>
      <c r="J427" s="34" t="e">
        <f aca="false">RIGHT(B427,LEN(B427)-FIND("/",B427, FIND("Single Cells",B427, 1)))</f>
        <v>#VALUE!</v>
      </c>
    </row>
    <row r="428" customFormat="false" ht="12.75" hidden="false" customHeight="true" outlineLevel="0" collapsed="false">
      <c r="E428" s="34" t="str">
        <f aca="false">MID(B428,9,1)</f>
        <v/>
      </c>
      <c r="F428" s="34" t="str">
        <f aca="false">MID(B428,10,1)</f>
        <v/>
      </c>
      <c r="G428" s="34" t="str">
        <f aca="false">MID(B428,11,1)</f>
        <v/>
      </c>
      <c r="H428" s="35" t="str">
        <f aca="false">IF(G428=".",F428,CONCATENATE(F428,G428))</f>
        <v/>
      </c>
      <c r="I428" s="34" t="n">
        <f aca="false">IFERROR(VALUE(H428),)</f>
        <v>0</v>
      </c>
      <c r="J428" s="34" t="e">
        <f aca="false">RIGHT(B428,LEN(B428)-FIND("/",B428, FIND("Single Cells",B428, 1)))</f>
        <v>#VALUE!</v>
      </c>
    </row>
    <row r="429" customFormat="false" ht="12.75" hidden="false" customHeight="true" outlineLevel="0" collapsed="false">
      <c r="E429" s="34" t="str">
        <f aca="false">MID(B429,9,1)</f>
        <v/>
      </c>
      <c r="F429" s="34" t="str">
        <f aca="false">MID(B429,10,1)</f>
        <v/>
      </c>
      <c r="G429" s="34" t="str">
        <f aca="false">MID(B429,11,1)</f>
        <v/>
      </c>
      <c r="H429" s="35" t="str">
        <f aca="false">IF(G429=".",F429,CONCATENATE(F429,G429))</f>
        <v/>
      </c>
      <c r="I429" s="34" t="n">
        <f aca="false">IFERROR(VALUE(H429),)</f>
        <v>0</v>
      </c>
      <c r="J429" s="34" t="e">
        <f aca="false">RIGHT(B429,LEN(B429)-FIND("/",B429, FIND("Single Cells",B429, 1)))</f>
        <v>#VALUE!</v>
      </c>
    </row>
    <row r="430" customFormat="false" ht="12.75" hidden="false" customHeight="true" outlineLevel="0" collapsed="false">
      <c r="E430" s="34" t="str">
        <f aca="false">MID(B430,9,1)</f>
        <v/>
      </c>
      <c r="F430" s="34" t="str">
        <f aca="false">MID(B430,10,1)</f>
        <v/>
      </c>
      <c r="G430" s="34" t="str">
        <f aca="false">MID(B430,11,1)</f>
        <v/>
      </c>
      <c r="H430" s="35" t="str">
        <f aca="false">IF(G430=".",F430,CONCATENATE(F430,G430))</f>
        <v/>
      </c>
      <c r="I430" s="34" t="n">
        <f aca="false">IFERROR(VALUE(H430),)</f>
        <v>0</v>
      </c>
      <c r="J430" s="34" t="e">
        <f aca="false">RIGHT(B430,LEN(B430)-FIND("/",B430, FIND("Single Cells",B430, 1)))</f>
        <v>#VALUE!</v>
      </c>
    </row>
    <row r="431" customFormat="false" ht="12.75" hidden="false" customHeight="true" outlineLevel="0" collapsed="false">
      <c r="E431" s="34" t="str">
        <f aca="false">MID(B431,9,1)</f>
        <v/>
      </c>
      <c r="F431" s="34" t="str">
        <f aca="false">MID(B431,10,1)</f>
        <v/>
      </c>
      <c r="G431" s="34" t="str">
        <f aca="false">MID(B431,11,1)</f>
        <v/>
      </c>
      <c r="H431" s="35" t="str">
        <f aca="false">IF(G431=".",F431,CONCATENATE(F431,G431))</f>
        <v/>
      </c>
      <c r="I431" s="34" t="n">
        <f aca="false">IFERROR(VALUE(H431),)</f>
        <v>0</v>
      </c>
      <c r="J431" s="34" t="e">
        <f aca="false">RIGHT(B431,LEN(B431)-FIND("/",B431, FIND("Single Cells",B431, 1)))</f>
        <v>#VALUE!</v>
      </c>
    </row>
    <row r="432" customFormat="false" ht="12.75" hidden="false" customHeight="true" outlineLevel="0" collapsed="false">
      <c r="E432" s="34" t="str">
        <f aca="false">MID(B432,9,1)</f>
        <v/>
      </c>
      <c r="F432" s="34" t="str">
        <f aca="false">MID(B432,10,1)</f>
        <v/>
      </c>
      <c r="G432" s="34" t="str">
        <f aca="false">MID(B432,11,1)</f>
        <v/>
      </c>
      <c r="H432" s="35" t="str">
        <f aca="false">IF(G432=".",F432,CONCATENATE(F432,G432))</f>
        <v/>
      </c>
      <c r="I432" s="34" t="n">
        <f aca="false">IFERROR(VALUE(H432),)</f>
        <v>0</v>
      </c>
      <c r="J432" s="34" t="e">
        <f aca="false">RIGHT(B432,LEN(B432)-FIND("/",B432, FIND("Single Cells",B432, 1)))</f>
        <v>#VALUE!</v>
      </c>
    </row>
    <row r="433" customFormat="false" ht="12.75" hidden="false" customHeight="true" outlineLevel="0" collapsed="false">
      <c r="E433" s="34" t="str">
        <f aca="false">MID(B433,9,1)</f>
        <v/>
      </c>
      <c r="F433" s="34" t="str">
        <f aca="false">MID(B433,10,1)</f>
        <v/>
      </c>
      <c r="G433" s="34" t="str">
        <f aca="false">MID(B433,11,1)</f>
        <v/>
      </c>
      <c r="H433" s="35" t="str">
        <f aca="false">IF(G433=".",F433,CONCATENATE(F433,G433))</f>
        <v/>
      </c>
      <c r="I433" s="34" t="n">
        <f aca="false">IFERROR(VALUE(H433),)</f>
        <v>0</v>
      </c>
      <c r="J433" s="34" t="e">
        <f aca="false">RIGHT(B433,LEN(B433)-FIND("/",B433, FIND("Single Cells",B433, 1)))</f>
        <v>#VALUE!</v>
      </c>
    </row>
    <row r="434" customFormat="false" ht="12.75" hidden="false" customHeight="true" outlineLevel="0" collapsed="false">
      <c r="E434" s="34" t="str">
        <f aca="false">MID(B434,9,1)</f>
        <v/>
      </c>
      <c r="F434" s="34" t="str">
        <f aca="false">MID(B434,10,1)</f>
        <v/>
      </c>
      <c r="G434" s="34" t="str">
        <f aca="false">MID(B434,11,1)</f>
        <v/>
      </c>
      <c r="H434" s="35" t="str">
        <f aca="false">IF(G434=".",F434,CONCATENATE(F434,G434))</f>
        <v/>
      </c>
      <c r="I434" s="34" t="n">
        <f aca="false">IFERROR(VALUE(H434),)</f>
        <v>0</v>
      </c>
      <c r="J434" s="34" t="e">
        <f aca="false">RIGHT(B434,LEN(B434)-FIND("/",B434, FIND("Single Cells",B434, 1)))</f>
        <v>#VALUE!</v>
      </c>
    </row>
    <row r="435" customFormat="false" ht="12.75" hidden="false" customHeight="true" outlineLevel="0" collapsed="false">
      <c r="E435" s="34" t="str">
        <f aca="false">MID(B435,9,1)</f>
        <v/>
      </c>
      <c r="F435" s="34" t="str">
        <f aca="false">MID(B435,10,1)</f>
        <v/>
      </c>
      <c r="G435" s="34" t="str">
        <f aca="false">MID(B435,11,1)</f>
        <v/>
      </c>
      <c r="H435" s="35" t="str">
        <f aca="false">IF(G435=".",F435,CONCATENATE(F435,G435))</f>
        <v/>
      </c>
      <c r="I435" s="34" t="n">
        <f aca="false">IFERROR(VALUE(H435),)</f>
        <v>0</v>
      </c>
      <c r="J435" s="34" t="e">
        <f aca="false">RIGHT(B435,LEN(B435)-FIND("/",B435, FIND("Single Cells",B435, 1)))</f>
        <v>#VALUE!</v>
      </c>
    </row>
    <row r="436" customFormat="false" ht="12.75" hidden="false" customHeight="true" outlineLevel="0" collapsed="false">
      <c r="E436" s="34" t="str">
        <f aca="false">MID(B436,9,1)</f>
        <v/>
      </c>
      <c r="F436" s="34" t="str">
        <f aca="false">MID(B436,10,1)</f>
        <v/>
      </c>
      <c r="G436" s="34" t="str">
        <f aca="false">MID(B436,11,1)</f>
        <v/>
      </c>
      <c r="H436" s="35" t="str">
        <f aca="false">IF(G436=".",F436,CONCATENATE(F436,G436))</f>
        <v/>
      </c>
      <c r="I436" s="34" t="n">
        <f aca="false">IFERROR(VALUE(H436),)</f>
        <v>0</v>
      </c>
      <c r="J436" s="34" t="e">
        <f aca="false">RIGHT(B436,LEN(B436)-FIND("/",B436, FIND("Single Cells",B436, 1)))</f>
        <v>#VALUE!</v>
      </c>
    </row>
    <row r="437" customFormat="false" ht="12.75" hidden="false" customHeight="true" outlineLevel="0" collapsed="false">
      <c r="E437" s="34" t="str">
        <f aca="false">MID(B437,9,1)</f>
        <v/>
      </c>
      <c r="F437" s="34" t="str">
        <f aca="false">MID(B437,10,1)</f>
        <v/>
      </c>
      <c r="G437" s="34" t="str">
        <f aca="false">MID(B437,11,1)</f>
        <v/>
      </c>
      <c r="H437" s="35" t="str">
        <f aca="false">IF(G437=".",F437,CONCATENATE(F437,G437))</f>
        <v/>
      </c>
      <c r="I437" s="34" t="n">
        <f aca="false">IFERROR(VALUE(H437),)</f>
        <v>0</v>
      </c>
      <c r="J437" s="34" t="e">
        <f aca="false">RIGHT(B437,LEN(B437)-FIND("/",B437, FIND("Single Cells",B437, 1)))</f>
        <v>#VALUE!</v>
      </c>
    </row>
    <row r="438" customFormat="false" ht="12.75" hidden="false" customHeight="true" outlineLevel="0" collapsed="false">
      <c r="E438" s="34" t="str">
        <f aca="false">MID(B438,9,1)</f>
        <v/>
      </c>
      <c r="F438" s="34" t="str">
        <f aca="false">MID(B438,10,1)</f>
        <v/>
      </c>
      <c r="G438" s="34" t="str">
        <f aca="false">MID(B438,11,1)</f>
        <v/>
      </c>
      <c r="H438" s="35" t="str">
        <f aca="false">IF(G438=".",F438,CONCATENATE(F438,G438))</f>
        <v/>
      </c>
      <c r="I438" s="34" t="n">
        <f aca="false">IFERROR(VALUE(H438),)</f>
        <v>0</v>
      </c>
      <c r="J438" s="34" t="e">
        <f aca="false">RIGHT(B438,LEN(B438)-FIND("/",B438, FIND("Single Cells",B438, 1)))</f>
        <v>#VALUE!</v>
      </c>
    </row>
    <row r="439" customFormat="false" ht="12.75" hidden="false" customHeight="true" outlineLevel="0" collapsed="false">
      <c r="E439" s="34" t="str">
        <f aca="false">MID(B439,9,1)</f>
        <v/>
      </c>
      <c r="F439" s="34" t="str">
        <f aca="false">MID(B439,10,1)</f>
        <v/>
      </c>
      <c r="G439" s="34" t="str">
        <f aca="false">MID(B439,11,1)</f>
        <v/>
      </c>
      <c r="H439" s="35" t="str">
        <f aca="false">IF(G439=".",F439,CONCATENATE(F439,G439))</f>
        <v/>
      </c>
      <c r="I439" s="34" t="n">
        <f aca="false">IFERROR(VALUE(H439),)</f>
        <v>0</v>
      </c>
      <c r="J439" s="34" t="e">
        <f aca="false">RIGHT(B439,LEN(B439)-FIND("/",B439, FIND("Single Cells",B439, 1)))</f>
        <v>#VALUE!</v>
      </c>
    </row>
    <row r="440" customFormat="false" ht="12.75" hidden="false" customHeight="true" outlineLevel="0" collapsed="false">
      <c r="E440" s="34" t="str">
        <f aca="false">MID(B440,9,1)</f>
        <v/>
      </c>
      <c r="F440" s="34" t="str">
        <f aca="false">MID(B440,10,1)</f>
        <v/>
      </c>
      <c r="G440" s="34" t="str">
        <f aca="false">MID(B440,11,1)</f>
        <v/>
      </c>
      <c r="H440" s="35" t="str">
        <f aca="false">IF(G440=".",F440,CONCATENATE(F440,G440))</f>
        <v/>
      </c>
      <c r="I440" s="34" t="n">
        <f aca="false">IFERROR(VALUE(H440),)</f>
        <v>0</v>
      </c>
      <c r="J440" s="34" t="e">
        <f aca="false">RIGHT(B440,LEN(B440)-FIND("/",B440, FIND("Single Cells",B440, 1)))</f>
        <v>#VALUE!</v>
      </c>
    </row>
    <row r="441" customFormat="false" ht="12.75" hidden="false" customHeight="true" outlineLevel="0" collapsed="false">
      <c r="E441" s="34" t="str">
        <f aca="false">MID(B441,9,1)</f>
        <v/>
      </c>
      <c r="F441" s="34" t="str">
        <f aca="false">MID(B441,10,1)</f>
        <v/>
      </c>
      <c r="G441" s="34" t="str">
        <f aca="false">MID(B441,11,1)</f>
        <v/>
      </c>
      <c r="H441" s="35" t="str">
        <f aca="false">IF(G441=".",F441,CONCATENATE(F441,G441))</f>
        <v/>
      </c>
      <c r="I441" s="34" t="n">
        <f aca="false">IFERROR(VALUE(H441),)</f>
        <v>0</v>
      </c>
      <c r="J441" s="34" t="e">
        <f aca="false">RIGHT(B441,LEN(B441)-FIND("/",B441, FIND("Single Cells",B441, 1)))</f>
        <v>#VALUE!</v>
      </c>
    </row>
    <row r="442" customFormat="false" ht="12.75" hidden="false" customHeight="true" outlineLevel="0" collapsed="false">
      <c r="E442" s="34" t="str">
        <f aca="false">MID(B442,9,1)</f>
        <v/>
      </c>
      <c r="F442" s="34" t="str">
        <f aca="false">MID(B442,10,1)</f>
        <v/>
      </c>
      <c r="G442" s="34" t="str">
        <f aca="false">MID(B442,11,1)</f>
        <v/>
      </c>
      <c r="H442" s="35" t="str">
        <f aca="false">IF(G442=".",F442,CONCATENATE(F442,G442))</f>
        <v/>
      </c>
      <c r="I442" s="34" t="n">
        <f aca="false">IFERROR(VALUE(H442),)</f>
        <v>0</v>
      </c>
      <c r="J442" s="34" t="e">
        <f aca="false">RIGHT(B442,LEN(B442)-FIND("/",B442, FIND("Single Cells",B442, 1)))</f>
        <v>#VALUE!</v>
      </c>
    </row>
    <row r="443" customFormat="false" ht="12.75" hidden="false" customHeight="true" outlineLevel="0" collapsed="false">
      <c r="E443" s="34" t="str">
        <f aca="false">MID(B443,9,1)</f>
        <v/>
      </c>
      <c r="F443" s="34" t="str">
        <f aca="false">MID(B443,10,1)</f>
        <v/>
      </c>
      <c r="G443" s="34" t="str">
        <f aca="false">MID(B443,11,1)</f>
        <v/>
      </c>
      <c r="H443" s="35" t="str">
        <f aca="false">IF(G443=".",F443,CONCATENATE(F443,G443))</f>
        <v/>
      </c>
      <c r="I443" s="34" t="n">
        <f aca="false">IFERROR(VALUE(H443),)</f>
        <v>0</v>
      </c>
      <c r="J443" s="34" t="e">
        <f aca="false">RIGHT(B443,LEN(B443)-FIND("/",B443, FIND("Single Cells",B443, 1)))</f>
        <v>#VALUE!</v>
      </c>
    </row>
    <row r="444" customFormat="false" ht="12.75" hidden="false" customHeight="true" outlineLevel="0" collapsed="false">
      <c r="E444" s="34" t="str">
        <f aca="false">MID(B444,9,1)</f>
        <v/>
      </c>
      <c r="F444" s="34" t="str">
        <f aca="false">MID(B444,10,1)</f>
        <v/>
      </c>
      <c r="G444" s="34" t="str">
        <f aca="false">MID(B444,11,1)</f>
        <v/>
      </c>
      <c r="H444" s="35" t="str">
        <f aca="false">IF(G444=".",F444,CONCATENATE(F444,G444))</f>
        <v/>
      </c>
      <c r="I444" s="34" t="n">
        <f aca="false">IFERROR(VALUE(H444),)</f>
        <v>0</v>
      </c>
      <c r="J444" s="34" t="e">
        <f aca="false">RIGHT(B444,LEN(B444)-FIND("/",B444, FIND("Single Cells",B444, 1)))</f>
        <v>#VALUE!</v>
      </c>
    </row>
    <row r="445" customFormat="false" ht="12.75" hidden="false" customHeight="true" outlineLevel="0" collapsed="false">
      <c r="E445" s="34" t="str">
        <f aca="false">MID(B445,9,1)</f>
        <v/>
      </c>
      <c r="F445" s="34" t="str">
        <f aca="false">MID(B445,10,1)</f>
        <v/>
      </c>
      <c r="G445" s="34" t="str">
        <f aca="false">MID(B445,11,1)</f>
        <v/>
      </c>
      <c r="H445" s="35" t="str">
        <f aca="false">IF(G445=".",F445,CONCATENATE(F445,G445))</f>
        <v/>
      </c>
      <c r="I445" s="34" t="n">
        <f aca="false">IFERROR(VALUE(H445),)</f>
        <v>0</v>
      </c>
      <c r="J445" s="34" t="e">
        <f aca="false">RIGHT(B445,LEN(B445)-FIND("/",B445, FIND("Single Cells",B445, 1)))</f>
        <v>#VALUE!</v>
      </c>
    </row>
    <row r="446" customFormat="false" ht="12.75" hidden="false" customHeight="true" outlineLevel="0" collapsed="false">
      <c r="E446" s="34" t="str">
        <f aca="false">MID(B446,9,1)</f>
        <v/>
      </c>
      <c r="F446" s="34" t="str">
        <f aca="false">MID(B446,10,1)</f>
        <v/>
      </c>
      <c r="G446" s="34" t="str">
        <f aca="false">MID(B446,11,1)</f>
        <v/>
      </c>
      <c r="H446" s="35" t="str">
        <f aca="false">IF(G446=".",F446,CONCATENATE(F446,G446))</f>
        <v/>
      </c>
      <c r="I446" s="34" t="n">
        <f aca="false">IFERROR(VALUE(H446),)</f>
        <v>0</v>
      </c>
      <c r="J446" s="34" t="e">
        <f aca="false">RIGHT(B446,LEN(B446)-FIND("/",B446, FIND("Single Cells",B446, 1)))</f>
        <v>#VALUE!</v>
      </c>
    </row>
    <row r="447" customFormat="false" ht="12.75" hidden="false" customHeight="true" outlineLevel="0" collapsed="false">
      <c r="E447" s="34" t="str">
        <f aca="false">MID(B447,9,1)</f>
        <v/>
      </c>
      <c r="F447" s="34" t="str">
        <f aca="false">MID(B447,10,1)</f>
        <v/>
      </c>
      <c r="G447" s="34" t="str">
        <f aca="false">MID(B447,11,1)</f>
        <v/>
      </c>
      <c r="H447" s="35" t="str">
        <f aca="false">IF(G447=".",F447,CONCATENATE(F447,G447))</f>
        <v/>
      </c>
      <c r="I447" s="34" t="n">
        <f aca="false">IFERROR(VALUE(H447),)</f>
        <v>0</v>
      </c>
      <c r="J447" s="34" t="e">
        <f aca="false">RIGHT(B447,LEN(B447)-FIND("/",B447, FIND("Single Cells",B447, 1)))</f>
        <v>#VALUE!</v>
      </c>
    </row>
    <row r="448" customFormat="false" ht="12.75" hidden="false" customHeight="true" outlineLevel="0" collapsed="false">
      <c r="E448" s="34" t="str">
        <f aca="false">MID(B448,9,1)</f>
        <v/>
      </c>
      <c r="F448" s="34" t="str">
        <f aca="false">MID(B448,10,1)</f>
        <v/>
      </c>
      <c r="G448" s="34" t="str">
        <f aca="false">MID(B448,11,1)</f>
        <v/>
      </c>
      <c r="H448" s="35" t="str">
        <f aca="false">IF(G448=".",F448,CONCATENATE(F448,G448))</f>
        <v/>
      </c>
      <c r="I448" s="34" t="n">
        <f aca="false">IFERROR(VALUE(H448),)</f>
        <v>0</v>
      </c>
      <c r="J448" s="34" t="e">
        <f aca="false">RIGHT(B448,LEN(B448)-FIND("/",B448, FIND("Single Cells",B448, 1)))</f>
        <v>#VALUE!</v>
      </c>
    </row>
    <row r="449" customFormat="false" ht="12.75" hidden="false" customHeight="true" outlineLevel="0" collapsed="false">
      <c r="E449" s="34" t="str">
        <f aca="false">MID(B449,9,1)</f>
        <v/>
      </c>
      <c r="F449" s="34" t="str">
        <f aca="false">MID(B449,10,1)</f>
        <v/>
      </c>
      <c r="G449" s="34" t="str">
        <f aca="false">MID(B449,11,1)</f>
        <v/>
      </c>
      <c r="H449" s="35" t="str">
        <f aca="false">IF(G449=".",F449,CONCATENATE(F449,G449))</f>
        <v/>
      </c>
      <c r="I449" s="34" t="n">
        <f aca="false">IFERROR(VALUE(H449),)</f>
        <v>0</v>
      </c>
      <c r="J449" s="34" t="e">
        <f aca="false">RIGHT(B449,LEN(B449)-FIND("/",B449, FIND("Single Cells",B449, 1)))</f>
        <v>#VALUE!</v>
      </c>
    </row>
    <row r="450" customFormat="false" ht="12.75" hidden="false" customHeight="true" outlineLevel="0" collapsed="false">
      <c r="E450" s="34" t="str">
        <f aca="false">MID(B450,9,1)</f>
        <v/>
      </c>
      <c r="F450" s="34" t="str">
        <f aca="false">MID(B450,10,1)</f>
        <v/>
      </c>
      <c r="G450" s="34" t="str">
        <f aca="false">MID(B450,11,1)</f>
        <v/>
      </c>
      <c r="H450" s="35" t="str">
        <f aca="false">IF(G450=".",F450,CONCATENATE(F450,G450))</f>
        <v/>
      </c>
      <c r="I450" s="34" t="n">
        <f aca="false">IFERROR(VALUE(H450),)</f>
        <v>0</v>
      </c>
      <c r="J450" s="34" t="e">
        <f aca="false">RIGHT(B450,LEN(B450)-FIND("/",B450, FIND("Single Cells",B450, 1)))</f>
        <v>#VALUE!</v>
      </c>
    </row>
    <row r="451" customFormat="false" ht="12.75" hidden="false" customHeight="true" outlineLevel="0" collapsed="false">
      <c r="E451" s="34" t="str">
        <f aca="false">MID(B451,9,1)</f>
        <v/>
      </c>
      <c r="F451" s="34" t="str">
        <f aca="false">MID(B451,10,1)</f>
        <v/>
      </c>
      <c r="G451" s="34" t="str">
        <f aca="false">MID(B451,11,1)</f>
        <v/>
      </c>
      <c r="H451" s="35" t="str">
        <f aca="false">IF(G451=".",F451,CONCATENATE(F451,G451))</f>
        <v/>
      </c>
      <c r="I451" s="34" t="n">
        <f aca="false">IFERROR(VALUE(H451),)</f>
        <v>0</v>
      </c>
      <c r="J451" s="34" t="e">
        <f aca="false">RIGHT(B451,LEN(B451)-FIND("/",B451, FIND("Single Cells",B451, 1)))</f>
        <v>#VALUE!</v>
      </c>
    </row>
    <row r="452" customFormat="false" ht="12.75" hidden="false" customHeight="true" outlineLevel="0" collapsed="false">
      <c r="E452" s="34" t="str">
        <f aca="false">MID(B452,9,1)</f>
        <v/>
      </c>
      <c r="F452" s="34" t="str">
        <f aca="false">MID(B452,10,1)</f>
        <v/>
      </c>
      <c r="G452" s="34" t="str">
        <f aca="false">MID(B452,11,1)</f>
        <v/>
      </c>
      <c r="H452" s="35" t="str">
        <f aca="false">IF(G452=".",F452,CONCATENATE(F452,G452))</f>
        <v/>
      </c>
      <c r="I452" s="34" t="n">
        <f aca="false">IFERROR(VALUE(H452),)</f>
        <v>0</v>
      </c>
      <c r="J452" s="34" t="e">
        <f aca="false">RIGHT(B452,LEN(B452)-FIND("/",B452, FIND("Single Cells",B452, 1)))</f>
        <v>#VALUE!</v>
      </c>
    </row>
    <row r="453" customFormat="false" ht="12.75" hidden="false" customHeight="true" outlineLevel="0" collapsed="false">
      <c r="E453" s="34" t="str">
        <f aca="false">MID(B453,9,1)</f>
        <v/>
      </c>
      <c r="F453" s="34" t="str">
        <f aca="false">MID(B453,10,1)</f>
        <v/>
      </c>
      <c r="G453" s="34" t="str">
        <f aca="false">MID(B453,11,1)</f>
        <v/>
      </c>
      <c r="H453" s="35" t="str">
        <f aca="false">IF(G453=".",F453,CONCATENATE(F453,G453))</f>
        <v/>
      </c>
      <c r="I453" s="34" t="n">
        <f aca="false">IFERROR(VALUE(H453),)</f>
        <v>0</v>
      </c>
      <c r="J453" s="34" t="e">
        <f aca="false">RIGHT(B453,LEN(B453)-FIND("/",B453, FIND("Single Cells",B453, 1)))</f>
        <v>#VALUE!</v>
      </c>
    </row>
    <row r="454" customFormat="false" ht="12.75" hidden="false" customHeight="true" outlineLevel="0" collapsed="false">
      <c r="E454" s="34" t="str">
        <f aca="false">MID(B454,9,1)</f>
        <v/>
      </c>
      <c r="F454" s="34" t="str">
        <f aca="false">MID(B454,10,1)</f>
        <v/>
      </c>
      <c r="G454" s="34" t="str">
        <f aca="false">MID(B454,11,1)</f>
        <v/>
      </c>
      <c r="H454" s="35" t="str">
        <f aca="false">IF(G454=".",F454,CONCATENATE(F454,G454))</f>
        <v/>
      </c>
      <c r="I454" s="34" t="n">
        <f aca="false">IFERROR(VALUE(H454),)</f>
        <v>0</v>
      </c>
      <c r="J454" s="34" t="e">
        <f aca="false">RIGHT(B454,LEN(B454)-FIND("/",B454, FIND("Single Cells",B454, 1)))</f>
        <v>#VALUE!</v>
      </c>
    </row>
    <row r="455" customFormat="false" ht="12.75" hidden="false" customHeight="true" outlineLevel="0" collapsed="false">
      <c r="E455" s="34" t="str">
        <f aca="false">MID(B455,9,1)</f>
        <v/>
      </c>
      <c r="F455" s="34" t="str">
        <f aca="false">MID(B455,10,1)</f>
        <v/>
      </c>
      <c r="G455" s="34" t="str">
        <f aca="false">MID(B455,11,1)</f>
        <v/>
      </c>
      <c r="H455" s="35" t="str">
        <f aca="false">IF(G455=".",F455,CONCATENATE(F455,G455))</f>
        <v/>
      </c>
      <c r="I455" s="34" t="n">
        <f aca="false">IFERROR(VALUE(H455),)</f>
        <v>0</v>
      </c>
      <c r="J455" s="34" t="e">
        <f aca="false">RIGHT(B455,LEN(B455)-FIND("/",B455, FIND("Single Cells",B455, 1)))</f>
        <v>#VALUE!</v>
      </c>
    </row>
    <row r="456" customFormat="false" ht="12.75" hidden="false" customHeight="true" outlineLevel="0" collapsed="false">
      <c r="E456" s="34" t="str">
        <f aca="false">MID(B456,9,1)</f>
        <v/>
      </c>
      <c r="F456" s="34" t="str">
        <f aca="false">MID(B456,10,1)</f>
        <v/>
      </c>
      <c r="G456" s="34" t="str">
        <f aca="false">MID(B456,11,1)</f>
        <v/>
      </c>
      <c r="H456" s="35" t="str">
        <f aca="false">IF(G456=".",F456,CONCATENATE(F456,G456))</f>
        <v/>
      </c>
      <c r="I456" s="34" t="n">
        <f aca="false">IFERROR(VALUE(H456),)</f>
        <v>0</v>
      </c>
      <c r="J456" s="34" t="e">
        <f aca="false">RIGHT(B456,LEN(B456)-FIND("/",B456, FIND("Single Cells",B456, 1)))</f>
        <v>#VALUE!</v>
      </c>
    </row>
    <row r="457" customFormat="false" ht="12.75" hidden="false" customHeight="true" outlineLevel="0" collapsed="false">
      <c r="E457" s="34" t="str">
        <f aca="false">MID(B457,9,1)</f>
        <v/>
      </c>
      <c r="F457" s="34" t="str">
        <f aca="false">MID(B457,10,1)</f>
        <v/>
      </c>
      <c r="G457" s="34" t="str">
        <f aca="false">MID(B457,11,1)</f>
        <v/>
      </c>
      <c r="H457" s="35" t="str">
        <f aca="false">IF(G457=".",F457,CONCATENATE(F457,G457))</f>
        <v/>
      </c>
      <c r="I457" s="34" t="n">
        <f aca="false">IFERROR(VALUE(H457),)</f>
        <v>0</v>
      </c>
      <c r="J457" s="34" t="e">
        <f aca="false">RIGHT(B457,LEN(B457)-FIND("/",B457, FIND("Single Cells",B457, 1)))</f>
        <v>#VALUE!</v>
      </c>
    </row>
    <row r="458" customFormat="false" ht="12.75" hidden="false" customHeight="true" outlineLevel="0" collapsed="false">
      <c r="E458" s="34" t="str">
        <f aca="false">MID(B458,9,1)</f>
        <v/>
      </c>
      <c r="F458" s="34" t="str">
        <f aca="false">MID(B458,10,1)</f>
        <v/>
      </c>
      <c r="G458" s="34" t="str">
        <f aca="false">MID(B458,11,1)</f>
        <v/>
      </c>
      <c r="H458" s="35" t="str">
        <f aca="false">IF(G458=".",F458,CONCATENATE(F458,G458))</f>
        <v/>
      </c>
      <c r="I458" s="34" t="n">
        <f aca="false">IFERROR(VALUE(H458),)</f>
        <v>0</v>
      </c>
      <c r="J458" s="34" t="e">
        <f aca="false">RIGHT(B458,LEN(B458)-FIND("/",B458, FIND("Single Cells",B458, 1)))</f>
        <v>#VALUE!</v>
      </c>
    </row>
    <row r="459" customFormat="false" ht="12.75" hidden="false" customHeight="true" outlineLevel="0" collapsed="false">
      <c r="E459" s="34" t="str">
        <f aca="false">MID(B459,9,1)</f>
        <v/>
      </c>
      <c r="F459" s="34" t="str">
        <f aca="false">MID(B459,10,1)</f>
        <v/>
      </c>
      <c r="G459" s="34" t="str">
        <f aca="false">MID(B459,11,1)</f>
        <v/>
      </c>
      <c r="H459" s="35" t="str">
        <f aca="false">IF(G459=".",F459,CONCATENATE(F459,G459))</f>
        <v/>
      </c>
      <c r="I459" s="34" t="n">
        <f aca="false">IFERROR(VALUE(H459),)</f>
        <v>0</v>
      </c>
      <c r="J459" s="34" t="e">
        <f aca="false">RIGHT(B459,LEN(B459)-FIND("/",B459, FIND("Single Cells",B459, 1)))</f>
        <v>#VALUE!</v>
      </c>
    </row>
    <row r="460" customFormat="false" ht="12.75" hidden="false" customHeight="true" outlineLevel="0" collapsed="false">
      <c r="E460" s="34" t="str">
        <f aca="false">MID(B460,9,1)</f>
        <v/>
      </c>
      <c r="F460" s="34" t="str">
        <f aca="false">MID(B460,10,1)</f>
        <v/>
      </c>
      <c r="G460" s="34" t="str">
        <f aca="false">MID(B460,11,1)</f>
        <v/>
      </c>
      <c r="H460" s="35" t="str">
        <f aca="false">IF(G460=".",F460,CONCATENATE(F460,G460))</f>
        <v/>
      </c>
      <c r="I460" s="34" t="n">
        <f aca="false">IFERROR(VALUE(H460),)</f>
        <v>0</v>
      </c>
      <c r="J460" s="34" t="e">
        <f aca="false">RIGHT(B460,LEN(B460)-FIND("/",B460, FIND("Single Cells",B460, 1)))</f>
        <v>#VALUE!</v>
      </c>
    </row>
    <row r="461" customFormat="false" ht="12.75" hidden="false" customHeight="true" outlineLevel="0" collapsed="false">
      <c r="E461" s="34" t="str">
        <f aca="false">MID(B461,9,1)</f>
        <v/>
      </c>
      <c r="F461" s="34" t="str">
        <f aca="false">MID(B461,10,1)</f>
        <v/>
      </c>
      <c r="G461" s="34" t="str">
        <f aca="false">MID(B461,11,1)</f>
        <v/>
      </c>
      <c r="H461" s="35" t="str">
        <f aca="false">IF(G461=".",F461,CONCATENATE(F461,G461))</f>
        <v/>
      </c>
      <c r="I461" s="34" t="n">
        <f aca="false">IFERROR(VALUE(H461),)</f>
        <v>0</v>
      </c>
      <c r="J461" s="34" t="e">
        <f aca="false">RIGHT(B461,LEN(B461)-FIND("/",B461, FIND("Single Cells",B461, 1)))</f>
        <v>#VALUE!</v>
      </c>
    </row>
    <row r="462" customFormat="false" ht="12.75" hidden="false" customHeight="true" outlineLevel="0" collapsed="false">
      <c r="E462" s="34" t="str">
        <f aca="false">MID(B462,9,1)</f>
        <v/>
      </c>
      <c r="F462" s="34" t="str">
        <f aca="false">MID(B462,10,1)</f>
        <v/>
      </c>
      <c r="G462" s="34" t="str">
        <f aca="false">MID(B462,11,1)</f>
        <v/>
      </c>
      <c r="H462" s="35" t="str">
        <f aca="false">IF(G462=".",F462,CONCATENATE(F462,G462))</f>
        <v/>
      </c>
      <c r="I462" s="34" t="n">
        <f aca="false">IFERROR(VALUE(H462),)</f>
        <v>0</v>
      </c>
      <c r="J462" s="34" t="e">
        <f aca="false">RIGHT(B462,LEN(B462)-FIND("/",B462, FIND("Single Cells",B462, 1)))</f>
        <v>#VALUE!</v>
      </c>
    </row>
    <row r="463" customFormat="false" ht="12.75" hidden="false" customHeight="true" outlineLevel="0" collapsed="false">
      <c r="E463" s="34" t="str">
        <f aca="false">MID(B463,9,1)</f>
        <v/>
      </c>
      <c r="F463" s="34" t="str">
        <f aca="false">MID(B463,10,1)</f>
        <v/>
      </c>
      <c r="G463" s="34" t="str">
        <f aca="false">MID(B463,11,1)</f>
        <v/>
      </c>
      <c r="H463" s="35" t="str">
        <f aca="false">IF(G463=".",F463,CONCATENATE(F463,G463))</f>
        <v/>
      </c>
      <c r="I463" s="34" t="n">
        <f aca="false">IFERROR(VALUE(H463),)</f>
        <v>0</v>
      </c>
      <c r="J463" s="34" t="e">
        <f aca="false">RIGHT(B463,LEN(B463)-FIND("/",B463, FIND("Single Cells",B463, 1)))</f>
        <v>#VALUE!</v>
      </c>
    </row>
    <row r="464" customFormat="false" ht="12.75" hidden="false" customHeight="true" outlineLevel="0" collapsed="false">
      <c r="E464" s="34" t="str">
        <f aca="false">MID(B464,9,1)</f>
        <v/>
      </c>
      <c r="F464" s="34" t="str">
        <f aca="false">MID(B464,10,1)</f>
        <v/>
      </c>
      <c r="G464" s="34" t="str">
        <f aca="false">MID(B464,11,1)</f>
        <v/>
      </c>
      <c r="H464" s="35" t="str">
        <f aca="false">IF(G464=".",F464,CONCATENATE(F464,G464))</f>
        <v/>
      </c>
      <c r="I464" s="34" t="n">
        <f aca="false">IFERROR(VALUE(H464),)</f>
        <v>0</v>
      </c>
      <c r="J464" s="34" t="e">
        <f aca="false">RIGHT(B464,LEN(B464)-FIND("/",B464, FIND("Single Cells",B464, 1)))</f>
        <v>#VALUE!</v>
      </c>
    </row>
    <row r="465" customFormat="false" ht="12.75" hidden="false" customHeight="true" outlineLevel="0" collapsed="false">
      <c r="E465" s="34" t="str">
        <f aca="false">MID(B465,9,1)</f>
        <v/>
      </c>
      <c r="F465" s="34" t="str">
        <f aca="false">MID(B465,10,1)</f>
        <v/>
      </c>
      <c r="G465" s="34" t="str">
        <f aca="false">MID(B465,11,1)</f>
        <v/>
      </c>
      <c r="H465" s="35" t="str">
        <f aca="false">IF(G465=".",F465,CONCATENATE(F465,G465))</f>
        <v/>
      </c>
      <c r="I465" s="34" t="n">
        <f aca="false">IFERROR(VALUE(H465),)</f>
        <v>0</v>
      </c>
      <c r="J465" s="34" t="e">
        <f aca="false">RIGHT(B465,LEN(B465)-FIND("/",B465, FIND("Single Cells",B465, 1)))</f>
        <v>#VALUE!</v>
      </c>
    </row>
    <row r="466" customFormat="false" ht="12.75" hidden="false" customHeight="true" outlineLevel="0" collapsed="false">
      <c r="E466" s="34" t="str">
        <f aca="false">MID(B466,9,1)</f>
        <v/>
      </c>
      <c r="F466" s="34" t="str">
        <f aca="false">MID(B466,10,1)</f>
        <v/>
      </c>
      <c r="G466" s="34" t="str">
        <f aca="false">MID(B466,11,1)</f>
        <v/>
      </c>
      <c r="H466" s="35" t="str">
        <f aca="false">IF(G466=".",F466,CONCATENATE(F466,G466))</f>
        <v/>
      </c>
      <c r="I466" s="34" t="n">
        <f aca="false">IFERROR(VALUE(H466),)</f>
        <v>0</v>
      </c>
      <c r="J466" s="34" t="e">
        <f aca="false">RIGHT(B466,LEN(B466)-FIND("/",B466, FIND("Single Cells",B466, 1)))</f>
        <v>#VALUE!</v>
      </c>
    </row>
    <row r="467" customFormat="false" ht="12.75" hidden="false" customHeight="true" outlineLevel="0" collapsed="false">
      <c r="E467" s="34" t="str">
        <f aca="false">MID(B467,9,1)</f>
        <v/>
      </c>
      <c r="F467" s="34" t="str">
        <f aca="false">MID(B467,10,1)</f>
        <v/>
      </c>
      <c r="G467" s="34" t="str">
        <f aca="false">MID(B467,11,1)</f>
        <v/>
      </c>
      <c r="H467" s="35" t="str">
        <f aca="false">IF(G467=".",F467,CONCATENATE(F467,G467))</f>
        <v/>
      </c>
      <c r="I467" s="34" t="n">
        <f aca="false">IFERROR(VALUE(H467),)</f>
        <v>0</v>
      </c>
      <c r="J467" s="34" t="e">
        <f aca="false">RIGHT(B467,LEN(B467)-FIND("/",B467, FIND("Single Cells",B467, 1)))</f>
        <v>#VALUE!</v>
      </c>
    </row>
    <row r="468" customFormat="false" ht="12.75" hidden="false" customHeight="true" outlineLevel="0" collapsed="false">
      <c r="E468" s="34" t="str">
        <f aca="false">MID(B468,9,1)</f>
        <v/>
      </c>
      <c r="F468" s="34" t="str">
        <f aca="false">MID(B468,10,1)</f>
        <v/>
      </c>
      <c r="G468" s="34" t="str">
        <f aca="false">MID(B468,11,1)</f>
        <v/>
      </c>
      <c r="H468" s="35" t="str">
        <f aca="false">IF(G468=".",F468,CONCATENATE(F468,G468))</f>
        <v/>
      </c>
      <c r="I468" s="34" t="n">
        <f aca="false">IFERROR(VALUE(H468),)</f>
        <v>0</v>
      </c>
      <c r="J468" s="34" t="e">
        <f aca="false">RIGHT(B468,LEN(B468)-FIND("/",B468, FIND("Single Cells",B468, 1)))</f>
        <v>#VALUE!</v>
      </c>
    </row>
    <row r="469" customFormat="false" ht="12.75" hidden="false" customHeight="true" outlineLevel="0" collapsed="false">
      <c r="E469" s="34" t="str">
        <f aca="false">MID(B469,9,1)</f>
        <v/>
      </c>
      <c r="F469" s="34" t="str">
        <f aca="false">MID(B469,10,1)</f>
        <v/>
      </c>
      <c r="G469" s="34" t="str">
        <f aca="false">MID(B469,11,1)</f>
        <v/>
      </c>
      <c r="H469" s="35" t="str">
        <f aca="false">IF(G469=".",F469,CONCATENATE(F469,G469))</f>
        <v/>
      </c>
      <c r="I469" s="34" t="n">
        <f aca="false">IFERROR(VALUE(H469),)</f>
        <v>0</v>
      </c>
      <c r="J469" s="34" t="e">
        <f aca="false">RIGHT(B469,LEN(B469)-FIND("/",B469, FIND("Single Cells",B469, 1)))</f>
        <v>#VALUE!</v>
      </c>
    </row>
    <row r="470" customFormat="false" ht="12.75" hidden="false" customHeight="true" outlineLevel="0" collapsed="false">
      <c r="E470" s="34" t="str">
        <f aca="false">MID(B470,9,1)</f>
        <v/>
      </c>
      <c r="F470" s="34" t="str">
        <f aca="false">MID(B470,10,1)</f>
        <v/>
      </c>
      <c r="G470" s="34" t="str">
        <f aca="false">MID(B470,11,1)</f>
        <v/>
      </c>
      <c r="H470" s="35" t="str">
        <f aca="false">IF(G470=".",F470,CONCATENATE(F470,G470))</f>
        <v/>
      </c>
      <c r="I470" s="34" t="n">
        <f aca="false">IFERROR(VALUE(H470),)</f>
        <v>0</v>
      </c>
      <c r="J470" s="34" t="e">
        <f aca="false">RIGHT(B470,LEN(B470)-FIND("/",B470, FIND("Single Cells",B470, 1)))</f>
        <v>#VALUE!</v>
      </c>
    </row>
    <row r="471" customFormat="false" ht="12.75" hidden="false" customHeight="true" outlineLevel="0" collapsed="false">
      <c r="E471" s="34" t="str">
        <f aca="false">MID(B471,9,1)</f>
        <v/>
      </c>
      <c r="F471" s="34" t="str">
        <f aca="false">MID(B471,10,1)</f>
        <v/>
      </c>
      <c r="G471" s="34" t="str">
        <f aca="false">MID(B471,11,1)</f>
        <v/>
      </c>
      <c r="H471" s="35" t="str">
        <f aca="false">IF(G471=".",F471,CONCATENATE(F471,G471))</f>
        <v/>
      </c>
      <c r="I471" s="34" t="n">
        <f aca="false">IFERROR(VALUE(H471),)</f>
        <v>0</v>
      </c>
      <c r="J471" s="34" t="e">
        <f aca="false">RIGHT(B471,LEN(B471)-FIND("/",B471, FIND("Single Cells",B471, 1)))</f>
        <v>#VALUE!</v>
      </c>
    </row>
    <row r="472" customFormat="false" ht="12.75" hidden="false" customHeight="true" outlineLevel="0" collapsed="false">
      <c r="E472" s="34" t="str">
        <f aca="false">MID(B472,9,1)</f>
        <v/>
      </c>
      <c r="F472" s="34" t="str">
        <f aca="false">MID(B472,10,1)</f>
        <v/>
      </c>
      <c r="G472" s="34" t="str">
        <f aca="false">MID(B472,11,1)</f>
        <v/>
      </c>
      <c r="H472" s="35" t="str">
        <f aca="false">IF(G472=".",F472,CONCATENATE(F472,G472))</f>
        <v/>
      </c>
      <c r="I472" s="34" t="n">
        <f aca="false">IFERROR(VALUE(H472),)</f>
        <v>0</v>
      </c>
      <c r="J472" s="34" t="e">
        <f aca="false">RIGHT(B472,LEN(B472)-FIND("/",B472, FIND("Single Cells",B472, 1)))</f>
        <v>#VALUE!</v>
      </c>
    </row>
    <row r="473" customFormat="false" ht="12.75" hidden="false" customHeight="true" outlineLevel="0" collapsed="false">
      <c r="E473" s="34" t="str">
        <f aca="false">MID(B473,9,1)</f>
        <v/>
      </c>
      <c r="F473" s="34" t="str">
        <f aca="false">MID(B473,10,1)</f>
        <v/>
      </c>
      <c r="G473" s="34" t="str">
        <f aca="false">MID(B473,11,1)</f>
        <v/>
      </c>
      <c r="H473" s="35" t="str">
        <f aca="false">IF(G473=".",F473,CONCATENATE(F473,G473))</f>
        <v/>
      </c>
      <c r="I473" s="34" t="n">
        <f aca="false">IFERROR(VALUE(H473),)</f>
        <v>0</v>
      </c>
      <c r="J473" s="34" t="e">
        <f aca="false">RIGHT(B473,LEN(B473)-FIND("/",B473, FIND("Single Cells",B473, 1)))</f>
        <v>#VALUE!</v>
      </c>
    </row>
    <row r="474" customFormat="false" ht="12.75" hidden="false" customHeight="true" outlineLevel="0" collapsed="false">
      <c r="E474" s="34" t="str">
        <f aca="false">MID(B474,9,1)</f>
        <v/>
      </c>
      <c r="F474" s="34" t="str">
        <f aca="false">MID(B474,10,1)</f>
        <v/>
      </c>
      <c r="G474" s="34" t="str">
        <f aca="false">MID(B474,11,1)</f>
        <v/>
      </c>
      <c r="H474" s="35" t="str">
        <f aca="false">IF(G474=".",F474,CONCATENATE(F474,G474))</f>
        <v/>
      </c>
      <c r="I474" s="34" t="n">
        <f aca="false">IFERROR(VALUE(H474),)</f>
        <v>0</v>
      </c>
      <c r="J474" s="34" t="e">
        <f aca="false">RIGHT(B474,LEN(B474)-FIND("/",B474, FIND("Single Cells",B474, 1)))</f>
        <v>#VALUE!</v>
      </c>
    </row>
    <row r="475" customFormat="false" ht="12.75" hidden="false" customHeight="true" outlineLevel="0" collapsed="false">
      <c r="E475" s="34" t="str">
        <f aca="false">MID(B475,9,1)</f>
        <v/>
      </c>
      <c r="F475" s="34" t="str">
        <f aca="false">MID(B475,10,1)</f>
        <v/>
      </c>
      <c r="G475" s="34" t="str">
        <f aca="false">MID(B475,11,1)</f>
        <v/>
      </c>
      <c r="H475" s="35" t="str">
        <f aca="false">IF(G475=".",F475,CONCATENATE(F475,G475))</f>
        <v/>
      </c>
      <c r="I475" s="34" t="n">
        <f aca="false">IFERROR(VALUE(H475),)</f>
        <v>0</v>
      </c>
      <c r="J475" s="34" t="e">
        <f aca="false">RIGHT(B475,LEN(B475)-FIND("/",B475, FIND("Single Cells",B475, 1)))</f>
        <v>#VALUE!</v>
      </c>
    </row>
    <row r="476" customFormat="false" ht="12.75" hidden="false" customHeight="true" outlineLevel="0" collapsed="false">
      <c r="E476" s="34" t="str">
        <f aca="false">MID(B476,9,1)</f>
        <v/>
      </c>
      <c r="F476" s="34" t="str">
        <f aca="false">MID(B476,10,1)</f>
        <v/>
      </c>
      <c r="G476" s="34" t="str">
        <f aca="false">MID(B476,11,1)</f>
        <v/>
      </c>
      <c r="H476" s="35" t="str">
        <f aca="false">IF(G476=".",F476,CONCATENATE(F476,G476))</f>
        <v/>
      </c>
      <c r="I476" s="34" t="n">
        <f aca="false">IFERROR(VALUE(H476),)</f>
        <v>0</v>
      </c>
      <c r="J476" s="34" t="e">
        <f aca="false">RIGHT(B476,LEN(B476)-FIND("/",B476, FIND("Single Cells",B476, 1)))</f>
        <v>#VALUE!</v>
      </c>
    </row>
    <row r="477" customFormat="false" ht="12.75" hidden="false" customHeight="true" outlineLevel="0" collapsed="false">
      <c r="E477" s="34" t="str">
        <f aca="false">MID(B477,9,1)</f>
        <v/>
      </c>
      <c r="F477" s="34" t="str">
        <f aca="false">MID(B477,10,1)</f>
        <v/>
      </c>
      <c r="G477" s="34" t="str">
        <f aca="false">MID(B477,11,1)</f>
        <v/>
      </c>
      <c r="H477" s="35" t="str">
        <f aca="false">IF(G477=".",F477,CONCATENATE(F477,G477))</f>
        <v/>
      </c>
      <c r="I477" s="34" t="n">
        <f aca="false">IFERROR(VALUE(H477),)</f>
        <v>0</v>
      </c>
      <c r="J477" s="34" t="e">
        <f aca="false">RIGHT(B477,LEN(B477)-FIND("/",B477, FIND("Single Cells",B477, 1)))</f>
        <v>#VALUE!</v>
      </c>
    </row>
    <row r="478" customFormat="false" ht="12.75" hidden="false" customHeight="true" outlineLevel="0" collapsed="false">
      <c r="E478" s="34" t="str">
        <f aca="false">MID(B478,9,1)</f>
        <v/>
      </c>
      <c r="F478" s="34" t="str">
        <f aca="false">MID(B478,10,1)</f>
        <v/>
      </c>
      <c r="G478" s="34" t="str">
        <f aca="false">MID(B478,11,1)</f>
        <v/>
      </c>
      <c r="H478" s="35" t="str">
        <f aca="false">IF(G478=".",F478,CONCATENATE(F478,G478))</f>
        <v/>
      </c>
      <c r="I478" s="34" t="n">
        <f aca="false">IFERROR(VALUE(H478),)</f>
        <v>0</v>
      </c>
      <c r="J478" s="34" t="e">
        <f aca="false">RIGHT(B478,LEN(B478)-FIND("/",B478, FIND("Single Cells",B478, 1)))</f>
        <v>#VALUE!</v>
      </c>
    </row>
    <row r="479" customFormat="false" ht="12.75" hidden="false" customHeight="true" outlineLevel="0" collapsed="false">
      <c r="E479" s="34" t="str">
        <f aca="false">MID(B479,9,1)</f>
        <v/>
      </c>
      <c r="F479" s="34" t="str">
        <f aca="false">MID(B479,10,1)</f>
        <v/>
      </c>
      <c r="G479" s="34" t="str">
        <f aca="false">MID(B479,11,1)</f>
        <v/>
      </c>
      <c r="H479" s="35" t="str">
        <f aca="false">IF(G479=".",F479,CONCATENATE(F479,G479))</f>
        <v/>
      </c>
      <c r="I479" s="34" t="n">
        <f aca="false">IFERROR(VALUE(H479),)</f>
        <v>0</v>
      </c>
      <c r="J479" s="34" t="e">
        <f aca="false">RIGHT(B479,LEN(B479)-FIND("/",B479, FIND("Single Cells",B479, 1)))</f>
        <v>#VALUE!</v>
      </c>
    </row>
    <row r="480" customFormat="false" ht="12.75" hidden="false" customHeight="true" outlineLevel="0" collapsed="false">
      <c r="E480" s="34" t="str">
        <f aca="false">MID(B480,9,1)</f>
        <v/>
      </c>
      <c r="F480" s="34" t="str">
        <f aca="false">MID(B480,10,1)</f>
        <v/>
      </c>
      <c r="G480" s="34" t="str">
        <f aca="false">MID(B480,11,1)</f>
        <v/>
      </c>
      <c r="H480" s="35" t="str">
        <f aca="false">IF(G480=".",F480,CONCATENATE(F480,G480))</f>
        <v/>
      </c>
      <c r="I480" s="34" t="n">
        <f aca="false">IFERROR(VALUE(H480),)</f>
        <v>0</v>
      </c>
      <c r="J480" s="34" t="e">
        <f aca="false">RIGHT(B480,LEN(B480)-FIND("/",B480, FIND("Single Cells",B480, 1)))</f>
        <v>#VALUE!</v>
      </c>
    </row>
    <row r="481" customFormat="false" ht="12.75" hidden="false" customHeight="true" outlineLevel="0" collapsed="false">
      <c r="E481" s="34" t="str">
        <f aca="false">MID(B481,9,1)</f>
        <v/>
      </c>
      <c r="F481" s="34" t="str">
        <f aca="false">MID(B481,10,1)</f>
        <v/>
      </c>
      <c r="G481" s="34" t="str">
        <f aca="false">MID(B481,11,1)</f>
        <v/>
      </c>
      <c r="H481" s="35" t="str">
        <f aca="false">IF(G481=".",F481,CONCATENATE(F481,G481))</f>
        <v/>
      </c>
      <c r="I481" s="34" t="n">
        <f aca="false">IFERROR(VALUE(H481),)</f>
        <v>0</v>
      </c>
      <c r="J481" s="34" t="e">
        <f aca="false">RIGHT(B481,LEN(B481)-FIND("/",B481, FIND("Single Cells",B481, 1)))</f>
        <v>#VALUE!</v>
      </c>
    </row>
    <row r="482" customFormat="false" ht="12.75" hidden="false" customHeight="true" outlineLevel="0" collapsed="false">
      <c r="E482" s="34" t="str">
        <f aca="false">MID(B482,9,1)</f>
        <v/>
      </c>
      <c r="F482" s="34" t="str">
        <f aca="false">MID(B482,10,1)</f>
        <v/>
      </c>
      <c r="G482" s="34" t="str">
        <f aca="false">MID(B482,11,1)</f>
        <v/>
      </c>
      <c r="H482" s="35" t="str">
        <f aca="false">IF(G482=".",F482,CONCATENATE(F482,G482))</f>
        <v/>
      </c>
      <c r="I482" s="34" t="n">
        <f aca="false">IFERROR(VALUE(H482),)</f>
        <v>0</v>
      </c>
      <c r="J482" s="34" t="e">
        <f aca="false">RIGHT(B482,LEN(B482)-FIND("/",B482, FIND("Single Cells",B482, 1)))</f>
        <v>#VALUE!</v>
      </c>
    </row>
    <row r="483" customFormat="false" ht="12.75" hidden="false" customHeight="true" outlineLevel="0" collapsed="false">
      <c r="E483" s="34" t="str">
        <f aca="false">MID(B483,9,1)</f>
        <v/>
      </c>
      <c r="F483" s="34" t="str">
        <f aca="false">MID(B483,10,1)</f>
        <v/>
      </c>
      <c r="G483" s="34" t="str">
        <f aca="false">MID(B483,11,1)</f>
        <v/>
      </c>
      <c r="H483" s="35" t="str">
        <f aca="false">IF(G483=".",F483,CONCATENATE(F483,G483))</f>
        <v/>
      </c>
      <c r="I483" s="34" t="n">
        <f aca="false">IFERROR(VALUE(H483),)</f>
        <v>0</v>
      </c>
      <c r="J483" s="34" t="e">
        <f aca="false">RIGHT(B483,LEN(B483)-FIND("/",B483, FIND("Single Cells",B483, 1)))</f>
        <v>#VALUE!</v>
      </c>
    </row>
    <row r="484" customFormat="false" ht="12.75" hidden="false" customHeight="true" outlineLevel="0" collapsed="false">
      <c r="E484" s="34" t="str">
        <f aca="false">MID(B484,9,1)</f>
        <v/>
      </c>
      <c r="F484" s="34" t="str">
        <f aca="false">MID(B484,10,1)</f>
        <v/>
      </c>
      <c r="G484" s="34" t="str">
        <f aca="false">MID(B484,11,1)</f>
        <v/>
      </c>
      <c r="H484" s="35" t="str">
        <f aca="false">IF(G484=".",F484,CONCATENATE(F484,G484))</f>
        <v/>
      </c>
      <c r="I484" s="34" t="n">
        <f aca="false">IFERROR(VALUE(H484),)</f>
        <v>0</v>
      </c>
      <c r="J484" s="34" t="e">
        <f aca="false">RIGHT(B484,LEN(B484)-FIND("/",B484, FIND("Single Cells",B484, 1)))</f>
        <v>#VALUE!</v>
      </c>
    </row>
    <row r="485" customFormat="false" ht="12.75" hidden="false" customHeight="true" outlineLevel="0" collapsed="false">
      <c r="E485" s="34" t="str">
        <f aca="false">MID(B485,9,1)</f>
        <v/>
      </c>
      <c r="F485" s="34" t="str">
        <f aca="false">MID(B485,10,1)</f>
        <v/>
      </c>
      <c r="G485" s="34" t="str">
        <f aca="false">MID(B485,11,1)</f>
        <v/>
      </c>
      <c r="H485" s="35" t="str">
        <f aca="false">IF(G485=".",F485,CONCATENATE(F485,G485))</f>
        <v/>
      </c>
      <c r="I485" s="34" t="n">
        <f aca="false">IFERROR(VALUE(H485),)</f>
        <v>0</v>
      </c>
      <c r="J485" s="34" t="e">
        <f aca="false">RIGHT(B485,LEN(B485)-FIND("/",B485, FIND("Single Cells",B485, 1)))</f>
        <v>#VALUE!</v>
      </c>
    </row>
    <row r="486" customFormat="false" ht="12.75" hidden="false" customHeight="true" outlineLevel="0" collapsed="false">
      <c r="E486" s="34" t="str">
        <f aca="false">MID(B486,9,1)</f>
        <v/>
      </c>
      <c r="F486" s="34" t="str">
        <f aca="false">MID(B486,10,1)</f>
        <v/>
      </c>
      <c r="G486" s="34" t="str">
        <f aca="false">MID(B486,11,1)</f>
        <v/>
      </c>
      <c r="H486" s="35" t="str">
        <f aca="false">IF(G486=".",F486,CONCATENATE(F486,G486))</f>
        <v/>
      </c>
      <c r="I486" s="34" t="n">
        <f aca="false">IFERROR(VALUE(H486),)</f>
        <v>0</v>
      </c>
      <c r="J486" s="34" t="e">
        <f aca="false">RIGHT(B486,LEN(B486)-FIND("/",B486, FIND("Single Cells",B486, 1)))</f>
        <v>#VALUE!</v>
      </c>
    </row>
    <row r="487" customFormat="false" ht="12.75" hidden="false" customHeight="true" outlineLevel="0" collapsed="false">
      <c r="E487" s="34" t="str">
        <f aca="false">MID(B487,9,1)</f>
        <v/>
      </c>
      <c r="F487" s="34" t="str">
        <f aca="false">MID(B487,10,1)</f>
        <v/>
      </c>
      <c r="G487" s="34" t="str">
        <f aca="false">MID(B487,11,1)</f>
        <v/>
      </c>
      <c r="H487" s="35" t="str">
        <f aca="false">IF(G487=".",F487,CONCATENATE(F487,G487))</f>
        <v/>
      </c>
      <c r="I487" s="34" t="n">
        <f aca="false">IFERROR(VALUE(H487),)</f>
        <v>0</v>
      </c>
      <c r="J487" s="34" t="e">
        <f aca="false">RIGHT(B487,LEN(B487)-FIND("/",B487, FIND("Single Cells",B487, 1)))</f>
        <v>#VALUE!</v>
      </c>
    </row>
    <row r="488" customFormat="false" ht="12.75" hidden="false" customHeight="true" outlineLevel="0" collapsed="false">
      <c r="E488" s="34" t="str">
        <f aca="false">MID(B488,9,1)</f>
        <v/>
      </c>
      <c r="F488" s="34" t="str">
        <f aca="false">MID(B488,10,1)</f>
        <v/>
      </c>
      <c r="G488" s="34" t="str">
        <f aca="false">MID(B488,11,1)</f>
        <v/>
      </c>
      <c r="H488" s="35" t="str">
        <f aca="false">IF(G488=".",F488,CONCATENATE(F488,G488))</f>
        <v/>
      </c>
      <c r="I488" s="34" t="n">
        <f aca="false">IFERROR(VALUE(H488),)</f>
        <v>0</v>
      </c>
      <c r="J488" s="34" t="e">
        <f aca="false">RIGHT(B488,LEN(B488)-FIND("/",B488, FIND("Single Cells",B488, 1)))</f>
        <v>#VALUE!</v>
      </c>
    </row>
    <row r="489" customFormat="false" ht="12.75" hidden="false" customHeight="true" outlineLevel="0" collapsed="false">
      <c r="E489" s="34" t="str">
        <f aca="false">MID(B489,9,1)</f>
        <v/>
      </c>
      <c r="F489" s="34" t="str">
        <f aca="false">MID(B489,10,1)</f>
        <v/>
      </c>
      <c r="G489" s="34" t="str">
        <f aca="false">MID(B489,11,1)</f>
        <v/>
      </c>
      <c r="H489" s="35" t="str">
        <f aca="false">IF(G489=".",F489,CONCATENATE(F489,G489))</f>
        <v/>
      </c>
      <c r="I489" s="34" t="n">
        <f aca="false">IFERROR(VALUE(H489),)</f>
        <v>0</v>
      </c>
      <c r="J489" s="34" t="e">
        <f aca="false">RIGHT(B489,LEN(B489)-FIND("/",B489, FIND("Single Cells",B489, 1)))</f>
        <v>#VALUE!</v>
      </c>
    </row>
    <row r="490" customFormat="false" ht="12.75" hidden="false" customHeight="true" outlineLevel="0" collapsed="false">
      <c r="E490" s="34" t="str">
        <f aca="false">MID(B490,9,1)</f>
        <v/>
      </c>
      <c r="F490" s="34" t="str">
        <f aca="false">MID(B490,10,1)</f>
        <v/>
      </c>
      <c r="G490" s="34" t="str">
        <f aca="false">MID(B490,11,1)</f>
        <v/>
      </c>
      <c r="H490" s="35" t="str">
        <f aca="false">IF(G490=".",F490,CONCATENATE(F490,G490))</f>
        <v/>
      </c>
      <c r="I490" s="34" t="n">
        <f aca="false">IFERROR(VALUE(H490),)</f>
        <v>0</v>
      </c>
      <c r="J490" s="34" t="e">
        <f aca="false">RIGHT(B490,LEN(B490)-FIND("/",B490, FIND("Single Cells",B490, 1)))</f>
        <v>#VALUE!</v>
      </c>
    </row>
    <row r="491" customFormat="false" ht="12.75" hidden="false" customHeight="true" outlineLevel="0" collapsed="false">
      <c r="E491" s="34" t="str">
        <f aca="false">MID(B491,9,1)</f>
        <v/>
      </c>
      <c r="F491" s="34" t="str">
        <f aca="false">MID(B491,10,1)</f>
        <v/>
      </c>
      <c r="G491" s="34" t="str">
        <f aca="false">MID(B491,11,1)</f>
        <v/>
      </c>
      <c r="H491" s="35" t="str">
        <f aca="false">IF(G491=".",F491,CONCATENATE(F491,G491))</f>
        <v/>
      </c>
      <c r="I491" s="34" t="n">
        <f aca="false">IFERROR(VALUE(H491),)</f>
        <v>0</v>
      </c>
      <c r="J491" s="34" t="e">
        <f aca="false">RIGHT(B491,LEN(B491)-FIND("/",B491, FIND("Single Cells",B491, 1)))</f>
        <v>#VALUE!</v>
      </c>
    </row>
    <row r="492" customFormat="false" ht="12.75" hidden="false" customHeight="true" outlineLevel="0" collapsed="false">
      <c r="E492" s="34" t="str">
        <f aca="false">MID(B492,9,1)</f>
        <v/>
      </c>
      <c r="F492" s="34" t="str">
        <f aca="false">MID(B492,10,1)</f>
        <v/>
      </c>
      <c r="G492" s="34" t="str">
        <f aca="false">MID(B492,11,1)</f>
        <v/>
      </c>
      <c r="H492" s="35" t="str">
        <f aca="false">IF(G492=".",F492,CONCATENATE(F492,G492))</f>
        <v/>
      </c>
      <c r="I492" s="34" t="n">
        <f aca="false">IFERROR(VALUE(H492),)</f>
        <v>0</v>
      </c>
      <c r="J492" s="34" t="e">
        <f aca="false">RIGHT(B492,LEN(B492)-FIND("/",B492, FIND("Single Cells",B492, 1)))</f>
        <v>#VALUE!</v>
      </c>
    </row>
    <row r="493" customFormat="false" ht="12.75" hidden="false" customHeight="true" outlineLevel="0" collapsed="false">
      <c r="E493" s="34" t="str">
        <f aca="false">MID(B493,9,1)</f>
        <v/>
      </c>
      <c r="F493" s="34" t="str">
        <f aca="false">MID(B493,10,1)</f>
        <v/>
      </c>
      <c r="G493" s="34" t="str">
        <f aca="false">MID(B493,11,1)</f>
        <v/>
      </c>
      <c r="H493" s="35" t="str">
        <f aca="false">IF(G493=".",F493,CONCATENATE(F493,G493))</f>
        <v/>
      </c>
      <c r="I493" s="34" t="n">
        <f aca="false">IFERROR(VALUE(H493),)</f>
        <v>0</v>
      </c>
      <c r="J493" s="34" t="e">
        <f aca="false">RIGHT(B493,LEN(B493)-FIND("/",B493, FIND("Single Cells",B493, 1)))</f>
        <v>#VALUE!</v>
      </c>
    </row>
    <row r="494" customFormat="false" ht="12.75" hidden="false" customHeight="true" outlineLevel="0" collapsed="false">
      <c r="E494" s="34" t="str">
        <f aca="false">MID(B494,9,1)</f>
        <v/>
      </c>
      <c r="F494" s="34" t="str">
        <f aca="false">MID(B494,10,1)</f>
        <v/>
      </c>
      <c r="G494" s="34" t="str">
        <f aca="false">MID(B494,11,1)</f>
        <v/>
      </c>
      <c r="H494" s="35" t="str">
        <f aca="false">IF(G494=".",F494,CONCATENATE(F494,G494))</f>
        <v/>
      </c>
      <c r="I494" s="34" t="n">
        <f aca="false">IFERROR(VALUE(H494),)</f>
        <v>0</v>
      </c>
      <c r="J494" s="34" t="e">
        <f aca="false">RIGHT(B494,LEN(B494)-FIND("/",B494, FIND("Single Cells",B494, 1)))</f>
        <v>#VALUE!</v>
      </c>
    </row>
    <row r="495" customFormat="false" ht="12.75" hidden="false" customHeight="true" outlineLevel="0" collapsed="false">
      <c r="E495" s="34" t="str">
        <f aca="false">MID(B495,9,1)</f>
        <v/>
      </c>
      <c r="F495" s="34" t="str">
        <f aca="false">MID(B495,10,1)</f>
        <v/>
      </c>
      <c r="G495" s="34" t="str">
        <f aca="false">MID(B495,11,1)</f>
        <v/>
      </c>
      <c r="H495" s="35" t="str">
        <f aca="false">IF(G495=".",F495,CONCATENATE(F495,G495))</f>
        <v/>
      </c>
      <c r="I495" s="34" t="n">
        <f aca="false">IFERROR(VALUE(H495),)</f>
        <v>0</v>
      </c>
      <c r="J495" s="34" t="e">
        <f aca="false">RIGHT(B495,LEN(B495)-FIND("/",B495, FIND("Single Cells",B495, 1)))</f>
        <v>#VALUE!</v>
      </c>
    </row>
    <row r="496" customFormat="false" ht="12.75" hidden="false" customHeight="true" outlineLevel="0" collapsed="false">
      <c r="E496" s="34" t="str">
        <f aca="false">MID(B496,9,1)</f>
        <v/>
      </c>
      <c r="F496" s="34" t="str">
        <f aca="false">MID(B496,10,1)</f>
        <v/>
      </c>
      <c r="G496" s="34" t="str">
        <f aca="false">MID(B496,11,1)</f>
        <v/>
      </c>
      <c r="H496" s="35" t="str">
        <f aca="false">IF(G496=".",F496,CONCATENATE(F496,G496))</f>
        <v/>
      </c>
      <c r="I496" s="34" t="n">
        <f aca="false">IFERROR(VALUE(H496),)</f>
        <v>0</v>
      </c>
      <c r="J496" s="34" t="e">
        <f aca="false">RIGHT(B496,LEN(B496)-FIND("/",B496, FIND("Single Cells",B496, 1)))</f>
        <v>#VALUE!</v>
      </c>
    </row>
    <row r="497" customFormat="false" ht="12.75" hidden="false" customHeight="true" outlineLevel="0" collapsed="false">
      <c r="E497" s="34" t="str">
        <f aca="false">MID(B497,9,1)</f>
        <v/>
      </c>
      <c r="F497" s="34" t="str">
        <f aca="false">MID(B497,10,1)</f>
        <v/>
      </c>
      <c r="G497" s="34" t="str">
        <f aca="false">MID(B497,11,1)</f>
        <v/>
      </c>
      <c r="H497" s="35" t="str">
        <f aca="false">IF(G497=".",F497,CONCATENATE(F497,G497))</f>
        <v/>
      </c>
      <c r="I497" s="34" t="n">
        <f aca="false">IFERROR(VALUE(H497),)</f>
        <v>0</v>
      </c>
      <c r="J497" s="34" t="e">
        <f aca="false">RIGHT(B497,LEN(B497)-FIND("/",B497, FIND("Single Cells",B497, 1)))</f>
        <v>#VALUE!</v>
      </c>
    </row>
    <row r="498" customFormat="false" ht="12.75" hidden="false" customHeight="true" outlineLevel="0" collapsed="false">
      <c r="E498" s="34" t="str">
        <f aca="false">MID(B498,9,1)</f>
        <v/>
      </c>
      <c r="F498" s="34" t="str">
        <f aca="false">MID(B498,10,1)</f>
        <v/>
      </c>
      <c r="G498" s="34" t="str">
        <f aca="false">MID(B498,11,1)</f>
        <v/>
      </c>
      <c r="H498" s="35" t="str">
        <f aca="false">IF(G498=".",F498,CONCATENATE(F498,G498))</f>
        <v/>
      </c>
      <c r="I498" s="34" t="n">
        <f aca="false">IFERROR(VALUE(H498),)</f>
        <v>0</v>
      </c>
      <c r="J498" s="34" t="e">
        <f aca="false">RIGHT(B498,LEN(B498)-FIND("/",B498, FIND("Single Cells",B498, 1)))</f>
        <v>#VALUE!</v>
      </c>
    </row>
    <row r="499" customFormat="false" ht="12.75" hidden="false" customHeight="true" outlineLevel="0" collapsed="false">
      <c r="E499" s="34" t="str">
        <f aca="false">MID(B499,9,1)</f>
        <v/>
      </c>
      <c r="F499" s="34" t="str">
        <f aca="false">MID(B499,10,1)</f>
        <v/>
      </c>
      <c r="G499" s="34" t="str">
        <f aca="false">MID(B499,11,1)</f>
        <v/>
      </c>
      <c r="H499" s="35" t="str">
        <f aca="false">IF(G499=".",F499,CONCATENATE(F499,G499))</f>
        <v/>
      </c>
      <c r="I499" s="34" t="n">
        <f aca="false">IFERROR(VALUE(H499),)</f>
        <v>0</v>
      </c>
      <c r="J499" s="34" t="e">
        <f aca="false">RIGHT(B499,LEN(B499)-FIND("/",B499, FIND("Single Cells",B499, 1)))</f>
        <v>#VALUE!</v>
      </c>
    </row>
    <row r="500" customFormat="false" ht="12.75" hidden="false" customHeight="true" outlineLevel="0" collapsed="false">
      <c r="E500" s="34" t="str">
        <f aca="false">MID(B500,9,1)</f>
        <v/>
      </c>
      <c r="F500" s="34" t="str">
        <f aca="false">MID(B500,10,1)</f>
        <v/>
      </c>
      <c r="G500" s="34" t="str">
        <f aca="false">MID(B500,11,1)</f>
        <v/>
      </c>
      <c r="H500" s="35" t="str">
        <f aca="false">IF(G500=".",F500,CONCATENATE(F500,G500))</f>
        <v/>
      </c>
      <c r="I500" s="34" t="n">
        <f aca="false">IFERROR(VALUE(H500),)</f>
        <v>0</v>
      </c>
      <c r="J500" s="34" t="e">
        <f aca="false">RIGHT(B500,LEN(B500)-FIND("/",B500, FIND("Single Cells",B500, 1)))</f>
        <v>#VALUE!</v>
      </c>
    </row>
    <row r="501" customFormat="false" ht="12.75" hidden="false" customHeight="true" outlineLevel="0" collapsed="false">
      <c r="E501" s="34" t="str">
        <f aca="false">MID(B501,9,1)</f>
        <v/>
      </c>
      <c r="F501" s="34" t="str">
        <f aca="false">MID(B501,10,1)</f>
        <v/>
      </c>
      <c r="G501" s="34" t="str">
        <f aca="false">MID(B501,11,1)</f>
        <v/>
      </c>
      <c r="H501" s="35" t="str">
        <f aca="false">IF(G501=".",F501,CONCATENATE(F501,G501))</f>
        <v/>
      </c>
      <c r="I501" s="34" t="n">
        <f aca="false">IFERROR(VALUE(H501),)</f>
        <v>0</v>
      </c>
      <c r="J501" s="34" t="e">
        <f aca="false">RIGHT(B501,LEN(B501)-FIND("/",B501, FIND("Single Cells",B501, 1)))</f>
        <v>#VALUE!</v>
      </c>
    </row>
    <row r="502" customFormat="false" ht="12.75" hidden="false" customHeight="true" outlineLevel="0" collapsed="false">
      <c r="E502" s="34" t="str">
        <f aca="false">MID(B502,9,1)</f>
        <v/>
      </c>
      <c r="F502" s="34" t="str">
        <f aca="false">MID(B502,10,1)</f>
        <v/>
      </c>
      <c r="G502" s="34" t="str">
        <f aca="false">MID(B502,11,1)</f>
        <v/>
      </c>
      <c r="H502" s="35" t="str">
        <f aca="false">IF(G502=".",F502,CONCATENATE(F502,G502))</f>
        <v/>
      </c>
      <c r="I502" s="34" t="n">
        <f aca="false">IFERROR(VALUE(H502),)</f>
        <v>0</v>
      </c>
      <c r="J502" s="34" t="e">
        <f aca="false">RIGHT(B502,LEN(B502)-FIND("/",B502, FIND("Single Cells",B502, 1)))</f>
        <v>#VALUE!</v>
      </c>
    </row>
    <row r="503" customFormat="false" ht="12.75" hidden="false" customHeight="true" outlineLevel="0" collapsed="false">
      <c r="E503" s="34" t="str">
        <f aca="false">MID(B503,9,1)</f>
        <v/>
      </c>
      <c r="F503" s="34" t="str">
        <f aca="false">MID(B503,10,1)</f>
        <v/>
      </c>
      <c r="G503" s="34" t="str">
        <f aca="false">MID(B503,11,1)</f>
        <v/>
      </c>
      <c r="H503" s="35" t="str">
        <f aca="false">IF(G503=".",F503,CONCATENATE(F503,G503))</f>
        <v/>
      </c>
      <c r="I503" s="34" t="n">
        <f aca="false">IFERROR(VALUE(H503),)</f>
        <v>0</v>
      </c>
      <c r="J503" s="34" t="e">
        <f aca="false">RIGHT(B503,LEN(B503)-FIND("/",B503, FIND("Single Cells",B503, 1)))</f>
        <v>#VALUE!</v>
      </c>
    </row>
    <row r="504" customFormat="false" ht="12.75" hidden="false" customHeight="true" outlineLevel="0" collapsed="false">
      <c r="E504" s="34" t="str">
        <f aca="false">MID(B504,9,1)</f>
        <v/>
      </c>
      <c r="F504" s="34" t="str">
        <f aca="false">MID(B504,10,1)</f>
        <v/>
      </c>
      <c r="G504" s="34" t="str">
        <f aca="false">MID(B504,11,1)</f>
        <v/>
      </c>
      <c r="H504" s="35" t="str">
        <f aca="false">IF(G504=".",F504,CONCATENATE(F504,G504))</f>
        <v/>
      </c>
      <c r="I504" s="34" t="n">
        <f aca="false">IFERROR(VALUE(H504),)</f>
        <v>0</v>
      </c>
      <c r="J504" s="34" t="e">
        <f aca="false">RIGHT(B504,LEN(B504)-FIND("/",B504, FIND("Single Cells",B504, 1)))</f>
        <v>#VALUE!</v>
      </c>
    </row>
    <row r="505" customFormat="false" ht="12.75" hidden="false" customHeight="true" outlineLevel="0" collapsed="false">
      <c r="E505" s="34" t="str">
        <f aca="false">MID(B505,9,1)</f>
        <v/>
      </c>
      <c r="F505" s="34" t="str">
        <f aca="false">MID(B505,10,1)</f>
        <v/>
      </c>
      <c r="G505" s="34" t="str">
        <f aca="false">MID(B505,11,1)</f>
        <v/>
      </c>
      <c r="H505" s="35" t="str">
        <f aca="false">IF(G505=".",F505,CONCATENATE(F505,G505))</f>
        <v/>
      </c>
      <c r="I505" s="34" t="n">
        <f aca="false">IFERROR(VALUE(H505),)</f>
        <v>0</v>
      </c>
      <c r="J505" s="34" t="e">
        <f aca="false">RIGHT(B505,LEN(B505)-FIND("/",B505, FIND("Single Cells",B505, 1)))</f>
        <v>#VALUE!</v>
      </c>
    </row>
    <row r="506" customFormat="false" ht="12.75" hidden="false" customHeight="true" outlineLevel="0" collapsed="false">
      <c r="E506" s="34" t="str">
        <f aca="false">MID(B506,9,1)</f>
        <v/>
      </c>
      <c r="F506" s="34" t="str">
        <f aca="false">MID(B506,10,1)</f>
        <v/>
      </c>
      <c r="G506" s="34" t="str">
        <f aca="false">MID(B506,11,1)</f>
        <v/>
      </c>
      <c r="H506" s="35" t="str">
        <f aca="false">IF(G506=".",F506,CONCATENATE(F506,G506))</f>
        <v/>
      </c>
      <c r="I506" s="34" t="n">
        <f aca="false">IFERROR(VALUE(H506),)</f>
        <v>0</v>
      </c>
      <c r="J506" s="34" t="e">
        <f aca="false">RIGHT(B506,LEN(B506)-FIND("/",B506, FIND("Single Cells",B506, 1)))</f>
        <v>#VALUE!</v>
      </c>
    </row>
    <row r="507" customFormat="false" ht="12.75" hidden="false" customHeight="true" outlineLevel="0" collapsed="false">
      <c r="E507" s="34" t="str">
        <f aca="false">MID(B507,9,1)</f>
        <v/>
      </c>
      <c r="F507" s="34" t="str">
        <f aca="false">MID(B507,10,1)</f>
        <v/>
      </c>
      <c r="G507" s="34" t="str">
        <f aca="false">MID(B507,11,1)</f>
        <v/>
      </c>
      <c r="H507" s="35" t="str">
        <f aca="false">IF(G507=".",F507,CONCATENATE(F507,G507))</f>
        <v/>
      </c>
      <c r="I507" s="34" t="n">
        <f aca="false">IFERROR(VALUE(H507),)</f>
        <v>0</v>
      </c>
      <c r="J507" s="34" t="e">
        <f aca="false">RIGHT(B507,LEN(B507)-FIND("/",B507, FIND("Single Cells",B507, 1)))</f>
        <v>#VALUE!</v>
      </c>
    </row>
    <row r="508" customFormat="false" ht="12.75" hidden="false" customHeight="true" outlineLevel="0" collapsed="false">
      <c r="E508" s="34" t="str">
        <f aca="false">MID(B508,9,1)</f>
        <v/>
      </c>
      <c r="F508" s="34" t="str">
        <f aca="false">MID(B508,10,1)</f>
        <v/>
      </c>
      <c r="G508" s="34" t="str">
        <f aca="false">MID(B508,11,1)</f>
        <v/>
      </c>
      <c r="H508" s="35" t="str">
        <f aca="false">IF(G508=".",F508,CONCATENATE(F508,G508))</f>
        <v/>
      </c>
      <c r="I508" s="34" t="n">
        <f aca="false">IFERROR(VALUE(H508),)</f>
        <v>0</v>
      </c>
      <c r="J508" s="34" t="e">
        <f aca="false">RIGHT(B508,LEN(B508)-FIND("/",B508, FIND("Single Cells",B508, 1)))</f>
        <v>#VALUE!</v>
      </c>
    </row>
    <row r="509" customFormat="false" ht="12.75" hidden="false" customHeight="false" outlineLevel="0" collapsed="false">
      <c r="E509" s="34" t="str">
        <f aca="false">MID(B509,9,1)</f>
        <v/>
      </c>
      <c r="F509" s="34" t="str">
        <f aca="false">MID(B509,10,1)</f>
        <v/>
      </c>
      <c r="G509" s="34" t="str">
        <f aca="false">MID(B509,11,1)</f>
        <v/>
      </c>
      <c r="H509" s="35" t="str">
        <f aca="false">IF(G509=".",F509,CONCATENATE(F509,G509))</f>
        <v/>
      </c>
      <c r="I509" s="34" t="n">
        <f aca="false">IFERROR(VALUE(H509),)</f>
        <v>0</v>
      </c>
      <c r="J509" s="34" t="e">
        <f aca="false">RIGHT(B509,LEN(B509)-FIND("/",B509, FIND("Single Cells",B509, 1)))</f>
        <v>#VALUE!</v>
      </c>
    </row>
    <row r="510" customFormat="false" ht="12.75" hidden="false" customHeight="false" outlineLevel="0" collapsed="false">
      <c r="E510" s="34" t="str">
        <f aca="false">MID(B510,9,1)</f>
        <v/>
      </c>
      <c r="F510" s="34" t="str">
        <f aca="false">MID(B510,10,1)</f>
        <v/>
      </c>
      <c r="G510" s="34" t="str">
        <f aca="false">MID(B510,11,1)</f>
        <v/>
      </c>
      <c r="H510" s="35" t="str">
        <f aca="false">IF(G510=".",F510,CONCATENATE(F510,G510))</f>
        <v/>
      </c>
      <c r="I510" s="34" t="n">
        <f aca="false">IFERROR(VALUE(H510),)</f>
        <v>0</v>
      </c>
      <c r="J510" s="34" t="e">
        <f aca="false">RIGHT(B510,LEN(B510)-FIND("/",B510, FIND("Single Cells",B510, 1)))</f>
        <v>#VALUE!</v>
      </c>
    </row>
    <row r="511" customFormat="false" ht="12.75" hidden="false" customHeight="false" outlineLevel="0" collapsed="false">
      <c r="E511" s="34" t="str">
        <f aca="false">MID(B511,9,1)</f>
        <v/>
      </c>
      <c r="F511" s="34" t="str">
        <f aca="false">MID(B511,10,1)</f>
        <v/>
      </c>
      <c r="G511" s="34" t="str">
        <f aca="false">MID(B511,11,1)</f>
        <v/>
      </c>
      <c r="H511" s="35" t="str">
        <f aca="false">IF(G511=".",F511,CONCATENATE(F511,G511))</f>
        <v/>
      </c>
      <c r="I511" s="34" t="n">
        <f aca="false">IFERROR(VALUE(H511),)</f>
        <v>0</v>
      </c>
      <c r="J511" s="34" t="e">
        <f aca="false">RIGHT(B511,LEN(B511)-FIND("/",B511, FIND("Single Cells",B511, 1)))</f>
        <v>#VALUE!</v>
      </c>
    </row>
    <row r="512" customFormat="false" ht="12.75" hidden="false" customHeight="false" outlineLevel="0" collapsed="false">
      <c r="E512" s="34" t="str">
        <f aca="false">MID(B512,9,1)</f>
        <v/>
      </c>
      <c r="F512" s="34" t="str">
        <f aca="false">MID(B512,10,1)</f>
        <v/>
      </c>
      <c r="G512" s="34" t="str">
        <f aca="false">MID(B512,11,1)</f>
        <v/>
      </c>
      <c r="H512" s="35" t="str">
        <f aca="false">IF(G512=".",F512,CONCATENATE(F512,G512))</f>
        <v/>
      </c>
      <c r="I512" s="34" t="n">
        <f aca="false">IFERROR(VALUE(H512),)</f>
        <v>0</v>
      </c>
      <c r="J512" s="34" t="e">
        <f aca="false">RIGHT(B512,LEN(B512)-FIND("/",B512, FIND("Single Cells",B512, 1)))</f>
        <v>#VALUE!</v>
      </c>
    </row>
    <row r="513" customFormat="false" ht="12.75" hidden="false" customHeight="false" outlineLevel="0" collapsed="false">
      <c r="E513" s="34" t="str">
        <f aca="false">MID(B513,9,1)</f>
        <v/>
      </c>
      <c r="F513" s="34" t="str">
        <f aca="false">MID(B513,10,1)</f>
        <v/>
      </c>
      <c r="G513" s="34" t="str">
        <f aca="false">MID(B513,11,1)</f>
        <v/>
      </c>
      <c r="H513" s="35" t="str">
        <f aca="false">IF(G513=".",F513,CONCATENATE(F513,G513))</f>
        <v/>
      </c>
      <c r="I513" s="34" t="n">
        <f aca="false">IFERROR(VALUE(H513),)</f>
        <v>0</v>
      </c>
      <c r="J513" s="34" t="e">
        <f aca="false">RIGHT(B513,LEN(B513)-FIND("/",B513, FIND("Single Cells",B513, 1)))</f>
        <v>#VALUE!</v>
      </c>
    </row>
    <row r="514" customFormat="false" ht="12.75" hidden="false" customHeight="false" outlineLevel="0" collapsed="false">
      <c r="E514" s="34" t="str">
        <f aca="false">MID(B514,9,1)</f>
        <v/>
      </c>
      <c r="F514" s="34" t="str">
        <f aca="false">MID(B514,10,1)</f>
        <v/>
      </c>
      <c r="G514" s="34" t="str">
        <f aca="false">MID(B514,11,1)</f>
        <v/>
      </c>
      <c r="H514" s="35" t="str">
        <f aca="false">IF(G514=".",F514,CONCATENATE(F514,G514))</f>
        <v/>
      </c>
      <c r="I514" s="34" t="n">
        <f aca="false">IFERROR(VALUE(H514),)</f>
        <v>0</v>
      </c>
      <c r="J514" s="34" t="e">
        <f aca="false">RIGHT(B514,LEN(B514)-FIND("/",B514, FIND("Single Cells",B514, 1)))</f>
        <v>#VALUE!</v>
      </c>
    </row>
    <row r="515" customFormat="false" ht="12.75" hidden="false" customHeight="false" outlineLevel="0" collapsed="false">
      <c r="E515" s="34" t="str">
        <f aca="false">MID(B515,9,1)</f>
        <v/>
      </c>
      <c r="F515" s="34" t="str">
        <f aca="false">MID(B515,10,1)</f>
        <v/>
      </c>
      <c r="G515" s="34" t="str">
        <f aca="false">MID(B515,11,1)</f>
        <v/>
      </c>
      <c r="H515" s="35" t="str">
        <f aca="false">IF(G515=".",F515,CONCATENATE(F515,G515))</f>
        <v/>
      </c>
      <c r="I515" s="34" t="n">
        <f aca="false">IFERROR(VALUE(H515),)</f>
        <v>0</v>
      </c>
      <c r="J515" s="34" t="e">
        <f aca="false">RIGHT(B515,LEN(B515)-FIND("/",B515, FIND("Single Cells",B515, 1)))</f>
        <v>#VALUE!</v>
      </c>
    </row>
    <row r="516" customFormat="false" ht="12.75" hidden="false" customHeight="false" outlineLevel="0" collapsed="false">
      <c r="E516" s="34" t="str">
        <f aca="false">MID(B516,9,1)</f>
        <v/>
      </c>
      <c r="F516" s="34" t="str">
        <f aca="false">MID(B516,10,1)</f>
        <v/>
      </c>
      <c r="G516" s="34" t="str">
        <f aca="false">MID(B516,11,1)</f>
        <v/>
      </c>
      <c r="H516" s="35" t="str">
        <f aca="false">IF(G516=".",F516,CONCATENATE(F516,G516))</f>
        <v/>
      </c>
      <c r="I516" s="34" t="n">
        <f aca="false">IFERROR(VALUE(H516),)</f>
        <v>0</v>
      </c>
      <c r="J516" s="34" t="e">
        <f aca="false">RIGHT(B516,LEN(B516)-FIND("/",B516, FIND("Single Cells",B516, 1)))</f>
        <v>#VALUE!</v>
      </c>
    </row>
    <row r="517" customFormat="false" ht="12.75" hidden="false" customHeight="false" outlineLevel="0" collapsed="false">
      <c r="E517" s="34" t="str">
        <f aca="false">MID(B517,9,1)</f>
        <v/>
      </c>
      <c r="F517" s="34" t="str">
        <f aca="false">MID(B517,10,1)</f>
        <v/>
      </c>
      <c r="G517" s="34" t="str">
        <f aca="false">MID(B517,11,1)</f>
        <v/>
      </c>
      <c r="H517" s="35" t="str">
        <f aca="false">IF(G517=".",F517,CONCATENATE(F517,G517))</f>
        <v/>
      </c>
      <c r="I517" s="34" t="n">
        <f aca="false">IFERROR(VALUE(H517),)</f>
        <v>0</v>
      </c>
      <c r="J517" s="34" t="e">
        <f aca="false">RIGHT(B517,LEN(B517)-FIND("/",B517, FIND("Single Cells",B517, 1)))</f>
        <v>#VALUE!</v>
      </c>
    </row>
    <row r="518" customFormat="false" ht="12.75" hidden="false" customHeight="false" outlineLevel="0" collapsed="false">
      <c r="E518" s="34" t="str">
        <f aca="false">MID(B518,9,1)</f>
        <v/>
      </c>
      <c r="F518" s="34" t="str">
        <f aca="false">MID(B518,10,1)</f>
        <v/>
      </c>
      <c r="G518" s="34" t="str">
        <f aca="false">MID(B518,11,1)</f>
        <v/>
      </c>
      <c r="H518" s="35" t="str">
        <f aca="false">IF(G518=".",F518,CONCATENATE(F518,G518))</f>
        <v/>
      </c>
      <c r="I518" s="34" t="n">
        <f aca="false">IFERROR(VALUE(H518),)</f>
        <v>0</v>
      </c>
      <c r="J518" s="34" t="e">
        <f aca="false">RIGHT(B518,LEN(B518)-FIND("/",B518, FIND("Single Cells",B518, 1)))</f>
        <v>#VALUE!</v>
      </c>
    </row>
    <row r="519" customFormat="false" ht="12.75" hidden="false" customHeight="false" outlineLevel="0" collapsed="false">
      <c r="E519" s="34" t="str">
        <f aca="false">MID(B519,9,1)</f>
        <v/>
      </c>
      <c r="F519" s="34" t="str">
        <f aca="false">MID(B519,10,1)</f>
        <v/>
      </c>
      <c r="G519" s="34" t="str">
        <f aca="false">MID(B519,11,1)</f>
        <v/>
      </c>
      <c r="H519" s="35" t="str">
        <f aca="false">IF(G519=".",F519,CONCATENATE(F519,G519))</f>
        <v/>
      </c>
      <c r="I519" s="34" t="n">
        <f aca="false">IFERROR(VALUE(H519),)</f>
        <v>0</v>
      </c>
      <c r="J519" s="34" t="e">
        <f aca="false">RIGHT(B519,LEN(B519)-FIND("/",B519, FIND("Single Cells",B519, 1)))</f>
        <v>#VALUE!</v>
      </c>
    </row>
    <row r="520" customFormat="false" ht="12.75" hidden="false" customHeight="false" outlineLevel="0" collapsed="false">
      <c r="E520" s="34" t="str">
        <f aca="false">MID(B520,9,1)</f>
        <v/>
      </c>
      <c r="F520" s="34" t="str">
        <f aca="false">MID(B520,10,1)</f>
        <v/>
      </c>
      <c r="G520" s="34" t="str">
        <f aca="false">MID(B520,11,1)</f>
        <v/>
      </c>
      <c r="H520" s="35" t="str">
        <f aca="false">IF(G520=".",F520,CONCATENATE(F520,G520))</f>
        <v/>
      </c>
      <c r="I520" s="34" t="n">
        <f aca="false">IFERROR(VALUE(H520),)</f>
        <v>0</v>
      </c>
      <c r="J520" s="34" t="e">
        <f aca="false">RIGHT(B520,LEN(B520)-FIND("/",B520, FIND("Single Cells",B520, 1)))</f>
        <v>#VALUE!</v>
      </c>
    </row>
    <row r="521" customFormat="false" ht="12.75" hidden="false" customHeight="false" outlineLevel="0" collapsed="false">
      <c r="E521" s="34" t="str">
        <f aca="false">MID(B521,9,1)</f>
        <v/>
      </c>
      <c r="F521" s="34" t="str">
        <f aca="false">MID(B521,10,1)</f>
        <v/>
      </c>
      <c r="G521" s="34" t="str">
        <f aca="false">MID(B521,11,1)</f>
        <v/>
      </c>
      <c r="H521" s="35" t="str">
        <f aca="false">IF(G521=".",F521,CONCATENATE(F521,G521))</f>
        <v/>
      </c>
      <c r="I521" s="34" t="n">
        <f aca="false">IFERROR(VALUE(H521),)</f>
        <v>0</v>
      </c>
      <c r="J521" s="34" t="e">
        <f aca="false">RIGHT(B521,LEN(B521)-FIND("/",B521, FIND("Single Cells",B521, 1)))</f>
        <v>#VALUE!</v>
      </c>
    </row>
    <row r="522" customFormat="false" ht="12.75" hidden="false" customHeight="false" outlineLevel="0" collapsed="false">
      <c r="E522" s="34" t="str">
        <f aca="false">MID(B522,9,1)</f>
        <v/>
      </c>
      <c r="F522" s="34" t="str">
        <f aca="false">MID(B522,10,1)</f>
        <v/>
      </c>
      <c r="G522" s="34" t="str">
        <f aca="false">MID(B522,11,1)</f>
        <v/>
      </c>
      <c r="H522" s="35" t="str">
        <f aca="false">IF(G522=".",F522,CONCATENATE(F522,G522))</f>
        <v/>
      </c>
      <c r="I522" s="34" t="n">
        <f aca="false">IFERROR(VALUE(H522),)</f>
        <v>0</v>
      </c>
      <c r="J522" s="34" t="e">
        <f aca="false">RIGHT(B522,LEN(B522)-FIND("/",B522, FIND("Single Cells",B522, 1)))</f>
        <v>#VALUE!</v>
      </c>
    </row>
    <row r="523" customFormat="false" ht="12.75" hidden="false" customHeight="false" outlineLevel="0" collapsed="false">
      <c r="E523" s="34" t="str">
        <f aca="false">MID(B523,9,1)</f>
        <v/>
      </c>
      <c r="F523" s="34" t="str">
        <f aca="false">MID(B523,10,1)</f>
        <v/>
      </c>
      <c r="G523" s="34" t="str">
        <f aca="false">MID(B523,11,1)</f>
        <v/>
      </c>
      <c r="H523" s="35" t="str">
        <f aca="false">IF(G523=".",F523,CONCATENATE(F523,G523))</f>
        <v/>
      </c>
      <c r="I523" s="34" t="n">
        <f aca="false">IFERROR(VALUE(H523),)</f>
        <v>0</v>
      </c>
      <c r="J523" s="34" t="e">
        <f aca="false">RIGHT(B523,LEN(B523)-FIND("/",B523, FIND("Single Cells",B523, 1)))</f>
        <v>#VALUE!</v>
      </c>
    </row>
    <row r="524" customFormat="false" ht="12.75" hidden="false" customHeight="false" outlineLevel="0" collapsed="false">
      <c r="E524" s="34" t="str">
        <f aca="false">MID(B524,9,1)</f>
        <v/>
      </c>
      <c r="F524" s="34" t="str">
        <f aca="false">MID(B524,10,1)</f>
        <v/>
      </c>
      <c r="G524" s="34" t="str">
        <f aca="false">MID(B524,11,1)</f>
        <v/>
      </c>
      <c r="H524" s="35" t="str">
        <f aca="false">IF(G524=".",F524,CONCATENATE(F524,G524))</f>
        <v/>
      </c>
      <c r="I524" s="34" t="n">
        <f aca="false">IFERROR(VALUE(H524),)</f>
        <v>0</v>
      </c>
      <c r="J524" s="34" t="e">
        <f aca="false">RIGHT(B524,LEN(B524)-FIND("/",B524, FIND("Single Cells",B524, 1)))</f>
        <v>#VALUE!</v>
      </c>
    </row>
    <row r="525" customFormat="false" ht="12.75" hidden="false" customHeight="false" outlineLevel="0" collapsed="false">
      <c r="E525" s="34" t="str">
        <f aca="false">MID(B525,9,1)</f>
        <v/>
      </c>
      <c r="F525" s="34" t="str">
        <f aca="false">MID(B525,10,1)</f>
        <v/>
      </c>
      <c r="G525" s="34" t="str">
        <f aca="false">MID(B525,11,1)</f>
        <v/>
      </c>
      <c r="H525" s="35" t="str">
        <f aca="false">IF(G525=".",F525,CONCATENATE(F525,G525))</f>
        <v/>
      </c>
      <c r="I525" s="34" t="n">
        <f aca="false">IFERROR(VALUE(H525),)</f>
        <v>0</v>
      </c>
      <c r="J525" s="34" t="e">
        <f aca="false">RIGHT(B525,LEN(B525)-FIND("/",B525, FIND("Single Cells",B525, 1)))</f>
        <v>#VALUE!</v>
      </c>
    </row>
    <row r="526" customFormat="false" ht="12.75" hidden="false" customHeight="false" outlineLevel="0" collapsed="false">
      <c r="E526" s="34" t="str">
        <f aca="false">MID(B526,9,1)</f>
        <v/>
      </c>
      <c r="F526" s="34" t="str">
        <f aca="false">MID(B526,10,1)</f>
        <v/>
      </c>
      <c r="G526" s="34" t="str">
        <f aca="false">MID(B526,11,1)</f>
        <v/>
      </c>
      <c r="H526" s="35" t="str">
        <f aca="false">IF(G526=".",F526,CONCATENATE(F526,G526))</f>
        <v/>
      </c>
      <c r="I526" s="34" t="n">
        <f aca="false">IFERROR(VALUE(H526),)</f>
        <v>0</v>
      </c>
      <c r="J526" s="34" t="e">
        <f aca="false">RIGHT(B526,LEN(B526)-FIND("/",B526, FIND("Single Cells",B526, 1)))</f>
        <v>#VALUE!</v>
      </c>
    </row>
    <row r="527" customFormat="false" ht="12.75" hidden="false" customHeight="false" outlineLevel="0" collapsed="false">
      <c r="E527" s="34" t="str">
        <f aca="false">MID(B527,9,1)</f>
        <v/>
      </c>
      <c r="F527" s="34" t="str">
        <f aca="false">MID(B527,10,1)</f>
        <v/>
      </c>
      <c r="G527" s="34" t="str">
        <f aca="false">MID(B527,11,1)</f>
        <v/>
      </c>
      <c r="H527" s="35" t="str">
        <f aca="false">IF(G527=".",F527,CONCATENATE(F527,G527))</f>
        <v/>
      </c>
      <c r="I527" s="34" t="n">
        <f aca="false">IFERROR(VALUE(H527),)</f>
        <v>0</v>
      </c>
      <c r="J527" s="34" t="e">
        <f aca="false">RIGHT(B527,LEN(B527)-FIND("/",B527, FIND("Single Cells",B527, 1)))</f>
        <v>#VALUE!</v>
      </c>
    </row>
    <row r="528" customFormat="false" ht="12.75" hidden="false" customHeight="false" outlineLevel="0" collapsed="false">
      <c r="E528" s="34" t="str">
        <f aca="false">MID(B528,9,1)</f>
        <v/>
      </c>
      <c r="F528" s="34" t="str">
        <f aca="false">MID(B528,10,1)</f>
        <v/>
      </c>
      <c r="G528" s="34" t="str">
        <f aca="false">MID(B528,11,1)</f>
        <v/>
      </c>
      <c r="H528" s="35" t="str">
        <f aca="false">IF(G528=".",F528,CONCATENATE(F528,G528))</f>
        <v/>
      </c>
      <c r="I528" s="34" t="n">
        <f aca="false">IFERROR(VALUE(H528),)</f>
        <v>0</v>
      </c>
      <c r="J528" s="34" t="e">
        <f aca="false">RIGHT(B528,LEN(B528)-FIND("/",B528, FIND("Single Cells",B528, 1)))</f>
        <v>#VALUE!</v>
      </c>
    </row>
    <row r="529" customFormat="false" ht="12.75" hidden="false" customHeight="false" outlineLevel="0" collapsed="false">
      <c r="E529" s="34" t="str">
        <f aca="false">MID(B529,9,1)</f>
        <v/>
      </c>
      <c r="F529" s="34" t="str">
        <f aca="false">MID(B529,10,1)</f>
        <v/>
      </c>
      <c r="G529" s="34" t="str">
        <f aca="false">MID(B529,11,1)</f>
        <v/>
      </c>
      <c r="H529" s="35" t="str">
        <f aca="false">IF(G529=".",F529,CONCATENATE(F529,G529))</f>
        <v/>
      </c>
      <c r="I529" s="34" t="n">
        <f aca="false">IFERROR(VALUE(H529),)</f>
        <v>0</v>
      </c>
      <c r="J529" s="34" t="e">
        <f aca="false">RIGHT(B529,LEN(B529)-FIND("/",B529, FIND("Single Cells",B529, 1)))</f>
        <v>#VALUE!</v>
      </c>
    </row>
    <row r="530" customFormat="false" ht="12.75" hidden="false" customHeight="false" outlineLevel="0" collapsed="false">
      <c r="E530" s="34" t="str">
        <f aca="false">MID(B530,9,1)</f>
        <v/>
      </c>
      <c r="F530" s="34" t="str">
        <f aca="false">MID(B530,10,1)</f>
        <v/>
      </c>
      <c r="G530" s="34" t="str">
        <f aca="false">MID(B530,11,1)</f>
        <v/>
      </c>
      <c r="H530" s="35" t="str">
        <f aca="false">IF(G530=".",F530,CONCATENATE(F530,G530))</f>
        <v/>
      </c>
      <c r="I530" s="34" t="n">
        <f aca="false">IFERROR(VALUE(H530),)</f>
        <v>0</v>
      </c>
      <c r="J530" s="34" t="e">
        <f aca="false">RIGHT(B530,LEN(B530)-FIND("/",B530, FIND("Single Cells",B530, 1)))</f>
        <v>#VALUE!</v>
      </c>
    </row>
    <row r="531" customFormat="false" ht="12.75" hidden="false" customHeight="false" outlineLevel="0" collapsed="false">
      <c r="E531" s="34" t="str">
        <f aca="false">MID(B531,9,1)</f>
        <v/>
      </c>
      <c r="F531" s="34" t="str">
        <f aca="false">MID(B531,10,1)</f>
        <v/>
      </c>
      <c r="G531" s="34" t="str">
        <f aca="false">MID(B531,11,1)</f>
        <v/>
      </c>
      <c r="H531" s="35" t="str">
        <f aca="false">IF(G531=".",F531,CONCATENATE(F531,G531))</f>
        <v/>
      </c>
      <c r="I531" s="34" t="n">
        <f aca="false">IFERROR(VALUE(H531),)</f>
        <v>0</v>
      </c>
      <c r="J531" s="34" t="e">
        <f aca="false">RIGHT(B531,LEN(B531)-FIND("/",B531, FIND("Single Cells",B531, 1)))</f>
        <v>#VALUE!</v>
      </c>
    </row>
    <row r="532" customFormat="false" ht="12.75" hidden="false" customHeight="false" outlineLevel="0" collapsed="false">
      <c r="E532" s="34" t="str">
        <f aca="false">MID(B532,9,1)</f>
        <v/>
      </c>
      <c r="F532" s="34" t="str">
        <f aca="false">MID(B532,10,1)</f>
        <v/>
      </c>
      <c r="G532" s="34" t="str">
        <f aca="false">MID(B532,11,1)</f>
        <v/>
      </c>
      <c r="H532" s="35" t="str">
        <f aca="false">IF(G532=".",F532,CONCATENATE(F532,G532))</f>
        <v/>
      </c>
      <c r="I532" s="34" t="n">
        <f aca="false">IFERROR(VALUE(H532),)</f>
        <v>0</v>
      </c>
      <c r="J532" s="34" t="e">
        <f aca="false">RIGHT(B532,LEN(B532)-FIND("/",B532, FIND("Single Cells",B532, 1)))</f>
        <v>#VALUE!</v>
      </c>
    </row>
    <row r="533" customFormat="false" ht="12.75" hidden="false" customHeight="false" outlineLevel="0" collapsed="false">
      <c r="E533" s="34" t="str">
        <f aca="false">MID(B533,9,1)</f>
        <v/>
      </c>
      <c r="F533" s="34" t="str">
        <f aca="false">MID(B533,10,1)</f>
        <v/>
      </c>
      <c r="G533" s="34" t="str">
        <f aca="false">MID(B533,11,1)</f>
        <v/>
      </c>
      <c r="H533" s="35" t="str">
        <f aca="false">IF(G533=".",F533,CONCATENATE(F533,G533))</f>
        <v/>
      </c>
      <c r="I533" s="34" t="n">
        <f aca="false">IFERROR(VALUE(H533),)</f>
        <v>0</v>
      </c>
      <c r="J533" s="34" t="e">
        <f aca="false">RIGHT(B533,LEN(B533)-FIND("/",B533, FIND("Single Cells",B533, 1)))</f>
        <v>#VALUE!</v>
      </c>
    </row>
    <row r="534" customFormat="false" ht="12.75" hidden="false" customHeight="false" outlineLevel="0" collapsed="false">
      <c r="E534" s="34" t="str">
        <f aca="false">MID(B534,9,1)</f>
        <v/>
      </c>
      <c r="F534" s="34" t="str">
        <f aca="false">MID(B534,10,1)</f>
        <v/>
      </c>
      <c r="G534" s="34" t="str">
        <f aca="false">MID(B534,11,1)</f>
        <v/>
      </c>
      <c r="H534" s="35" t="str">
        <f aca="false">IF(G534=".",F534,CONCATENATE(F534,G534))</f>
        <v/>
      </c>
      <c r="I534" s="34" t="n">
        <f aca="false">IFERROR(VALUE(H534),)</f>
        <v>0</v>
      </c>
      <c r="J534" s="34" t="e">
        <f aca="false">RIGHT(B534,LEN(B534)-FIND("/",B534, FIND("Single Cells",B534, 1)))</f>
        <v>#VALUE!</v>
      </c>
    </row>
    <row r="535" customFormat="false" ht="12.75" hidden="false" customHeight="false" outlineLevel="0" collapsed="false">
      <c r="E535" s="34" t="str">
        <f aca="false">MID(B535,9,1)</f>
        <v/>
      </c>
      <c r="F535" s="34" t="str">
        <f aca="false">MID(B535,10,1)</f>
        <v/>
      </c>
      <c r="G535" s="34" t="str">
        <f aca="false">MID(B535,11,1)</f>
        <v/>
      </c>
      <c r="H535" s="35" t="str">
        <f aca="false">IF(G535=".",F535,CONCATENATE(F535,G535))</f>
        <v/>
      </c>
      <c r="I535" s="34" t="n">
        <f aca="false">IFERROR(VALUE(H535),)</f>
        <v>0</v>
      </c>
      <c r="J535" s="34" t="e">
        <f aca="false">RIGHT(B535,LEN(B535)-FIND("/",B535, FIND("Single Cells",B535, 1)))</f>
        <v>#VALUE!</v>
      </c>
    </row>
    <row r="536" customFormat="false" ht="12.75" hidden="false" customHeight="false" outlineLevel="0" collapsed="false">
      <c r="E536" s="34" t="str">
        <f aca="false">MID(B536,9,1)</f>
        <v/>
      </c>
      <c r="F536" s="34" t="str">
        <f aca="false">MID(B536,10,1)</f>
        <v/>
      </c>
      <c r="G536" s="34" t="str">
        <f aca="false">MID(B536,11,1)</f>
        <v/>
      </c>
      <c r="H536" s="35" t="str">
        <f aca="false">IF(G536=".",F536,CONCATENATE(F536,G536))</f>
        <v/>
      </c>
      <c r="I536" s="34" t="n">
        <f aca="false">IFERROR(VALUE(H536),)</f>
        <v>0</v>
      </c>
      <c r="J536" s="34" t="e">
        <f aca="false">RIGHT(B536,LEN(B536)-FIND("/",B536, FIND("Single Cells",B536, 1)))</f>
        <v>#VALUE!</v>
      </c>
    </row>
    <row r="537" customFormat="false" ht="12.75" hidden="false" customHeight="false" outlineLevel="0" collapsed="false">
      <c r="E537" s="34" t="str">
        <f aca="false">MID(B537,9,1)</f>
        <v/>
      </c>
      <c r="F537" s="34" t="str">
        <f aca="false">MID(B537,10,1)</f>
        <v/>
      </c>
      <c r="G537" s="34" t="str">
        <f aca="false">MID(B537,11,1)</f>
        <v/>
      </c>
      <c r="H537" s="35" t="str">
        <f aca="false">IF(G537=".",F537,CONCATENATE(F537,G537))</f>
        <v/>
      </c>
      <c r="I537" s="34" t="n">
        <f aca="false">IFERROR(VALUE(H537),)</f>
        <v>0</v>
      </c>
      <c r="J537" s="34" t="e">
        <f aca="false">RIGHT(B537,LEN(B537)-FIND("/",B537, FIND("Single Cells",B537, 1)))</f>
        <v>#VALUE!</v>
      </c>
    </row>
    <row r="538" customFormat="false" ht="12.75" hidden="false" customHeight="false" outlineLevel="0" collapsed="false">
      <c r="E538" s="34" t="str">
        <f aca="false">MID(B538,9,1)</f>
        <v/>
      </c>
      <c r="F538" s="34" t="str">
        <f aca="false">MID(B538,10,1)</f>
        <v/>
      </c>
      <c r="G538" s="34" t="str">
        <f aca="false">MID(B538,11,1)</f>
        <v/>
      </c>
      <c r="H538" s="35" t="str">
        <f aca="false">IF(G538=".",F538,CONCATENATE(F538,G538))</f>
        <v/>
      </c>
      <c r="I538" s="34" t="n">
        <f aca="false">IFERROR(VALUE(H538),)</f>
        <v>0</v>
      </c>
      <c r="J538" s="34" t="e">
        <f aca="false">RIGHT(B538,LEN(B538)-FIND("/",B538, FIND("Single Cells",B538, 1)))</f>
        <v>#VALUE!</v>
      </c>
    </row>
    <row r="539" customFormat="false" ht="12.75" hidden="false" customHeight="false" outlineLevel="0" collapsed="false">
      <c r="E539" s="34" t="str">
        <f aca="false">MID(B539,9,1)</f>
        <v/>
      </c>
      <c r="F539" s="34" t="str">
        <f aca="false">MID(B539,10,1)</f>
        <v/>
      </c>
      <c r="G539" s="34" t="str">
        <f aca="false">MID(B539,11,1)</f>
        <v/>
      </c>
      <c r="H539" s="35" t="str">
        <f aca="false">IF(G539=".",F539,CONCATENATE(F539,G539))</f>
        <v/>
      </c>
      <c r="I539" s="34" t="n">
        <f aca="false">IFERROR(VALUE(H539),)</f>
        <v>0</v>
      </c>
      <c r="J539" s="34" t="e">
        <f aca="false">RIGHT(B539,LEN(B539)-FIND("/",B539, FIND("Single Cells",B539, 1)))</f>
        <v>#VALUE!</v>
      </c>
    </row>
    <row r="540" customFormat="false" ht="12.75" hidden="false" customHeight="false" outlineLevel="0" collapsed="false">
      <c r="E540" s="34" t="str">
        <f aca="false">MID(B540,9,1)</f>
        <v/>
      </c>
      <c r="F540" s="34" t="str">
        <f aca="false">MID(B540,10,1)</f>
        <v/>
      </c>
      <c r="G540" s="34" t="str">
        <f aca="false">MID(B540,11,1)</f>
        <v/>
      </c>
      <c r="H540" s="35" t="str">
        <f aca="false">IF(G540=".",F540,CONCATENATE(F540,G540))</f>
        <v/>
      </c>
      <c r="I540" s="34" t="n">
        <f aca="false">IFERROR(VALUE(H540),)</f>
        <v>0</v>
      </c>
      <c r="J540" s="34" t="e">
        <f aca="false">RIGHT(B540,LEN(B540)-FIND("/",B540, FIND("Single Cells",B540, 1)))</f>
        <v>#VALUE!</v>
      </c>
    </row>
    <row r="541" customFormat="false" ht="12.75" hidden="false" customHeight="false" outlineLevel="0" collapsed="false">
      <c r="E541" s="34" t="str">
        <f aca="false">MID(B541,9,1)</f>
        <v/>
      </c>
      <c r="F541" s="34" t="str">
        <f aca="false">MID(B541,10,1)</f>
        <v/>
      </c>
      <c r="G541" s="34" t="str">
        <f aca="false">MID(B541,11,1)</f>
        <v/>
      </c>
      <c r="H541" s="35" t="str">
        <f aca="false">IF(G541=".",F541,CONCATENATE(F541,G541))</f>
        <v/>
      </c>
      <c r="I541" s="34" t="n">
        <f aca="false">IFERROR(VALUE(H541),)</f>
        <v>0</v>
      </c>
      <c r="J541" s="34" t="e">
        <f aca="false">RIGHT(B541,LEN(B541)-FIND("/",B541, FIND("Single Cells",B541, 1)))</f>
        <v>#VALUE!</v>
      </c>
    </row>
    <row r="542" customFormat="false" ht="12.75" hidden="false" customHeight="false" outlineLevel="0" collapsed="false">
      <c r="E542" s="34" t="str">
        <f aca="false">MID(B542,9,1)</f>
        <v/>
      </c>
      <c r="F542" s="34" t="str">
        <f aca="false">MID(B542,10,1)</f>
        <v/>
      </c>
      <c r="G542" s="34" t="str">
        <f aca="false">MID(B542,11,1)</f>
        <v/>
      </c>
      <c r="H542" s="35" t="str">
        <f aca="false">IF(G542=".",F542,CONCATENATE(F542,G542))</f>
        <v/>
      </c>
      <c r="I542" s="34" t="n">
        <f aca="false">IFERROR(VALUE(H542),)</f>
        <v>0</v>
      </c>
      <c r="J542" s="34" t="e">
        <f aca="false">RIGHT(B542,LEN(B542)-FIND("/",B542, FIND("Single Cells",B542, 1)))</f>
        <v>#VALUE!</v>
      </c>
    </row>
    <row r="543" customFormat="false" ht="12.75" hidden="false" customHeight="false" outlineLevel="0" collapsed="false">
      <c r="E543" s="34" t="str">
        <f aca="false">MID(B543,9,1)</f>
        <v/>
      </c>
      <c r="F543" s="34" t="str">
        <f aca="false">MID(B543,10,1)</f>
        <v/>
      </c>
      <c r="G543" s="34" t="str">
        <f aca="false">MID(B543,11,1)</f>
        <v/>
      </c>
      <c r="H543" s="35" t="str">
        <f aca="false">IF(G543=".",F543,CONCATENATE(F543,G543))</f>
        <v/>
      </c>
      <c r="I543" s="34" t="n">
        <f aca="false">IFERROR(VALUE(H543),)</f>
        <v>0</v>
      </c>
      <c r="J543" s="34" t="e">
        <f aca="false">RIGHT(B543,LEN(B543)-FIND("/",B543, FIND("Single Cells",B543, 1)))</f>
        <v>#VALUE!</v>
      </c>
    </row>
    <row r="544" customFormat="false" ht="12.75" hidden="false" customHeight="false" outlineLevel="0" collapsed="false">
      <c r="E544" s="34" t="str">
        <f aca="false">MID(B544,9,1)</f>
        <v/>
      </c>
      <c r="F544" s="34" t="str">
        <f aca="false">MID(B544,10,1)</f>
        <v/>
      </c>
      <c r="G544" s="34" t="str">
        <f aca="false">MID(B544,11,1)</f>
        <v/>
      </c>
      <c r="H544" s="35" t="str">
        <f aca="false">IF(G544=".",F544,CONCATENATE(F544,G544))</f>
        <v/>
      </c>
      <c r="I544" s="34" t="n">
        <f aca="false">IFERROR(VALUE(H544),)</f>
        <v>0</v>
      </c>
      <c r="J544" s="34" t="e">
        <f aca="false">RIGHT(B544,LEN(B544)-FIND("/",B544, FIND("Single Cells",B544, 1)))</f>
        <v>#VALUE!</v>
      </c>
    </row>
    <row r="545" customFormat="false" ht="12.75" hidden="false" customHeight="false" outlineLevel="0" collapsed="false">
      <c r="E545" s="34" t="str">
        <f aca="false">MID(B545,9,1)</f>
        <v/>
      </c>
      <c r="F545" s="34" t="str">
        <f aca="false">MID(B545,10,1)</f>
        <v/>
      </c>
      <c r="G545" s="34" t="str">
        <f aca="false">MID(B545,11,1)</f>
        <v/>
      </c>
      <c r="H545" s="35" t="str">
        <f aca="false">IF(G545=".",F545,CONCATENATE(F545,G545))</f>
        <v/>
      </c>
      <c r="I545" s="34" t="n">
        <f aca="false">IFERROR(VALUE(H545),)</f>
        <v>0</v>
      </c>
      <c r="J545" s="34" t="e">
        <f aca="false">RIGHT(B545,LEN(B545)-FIND("/",B545, FIND("Single Cells",B545, 1)))</f>
        <v>#VALUE!</v>
      </c>
    </row>
    <row r="546" customFormat="false" ht="12.75" hidden="false" customHeight="false" outlineLevel="0" collapsed="false">
      <c r="E546" s="34" t="str">
        <f aca="false">MID(B546,9,1)</f>
        <v/>
      </c>
      <c r="F546" s="34" t="str">
        <f aca="false">MID(B546,10,1)</f>
        <v/>
      </c>
      <c r="G546" s="34" t="str">
        <f aca="false">MID(B546,11,1)</f>
        <v/>
      </c>
      <c r="H546" s="35" t="str">
        <f aca="false">IF(G546=".",F546,CONCATENATE(F546,G546))</f>
        <v/>
      </c>
      <c r="I546" s="34" t="n">
        <f aca="false">IFERROR(VALUE(H546),)</f>
        <v>0</v>
      </c>
      <c r="J546" s="34" t="e">
        <f aca="false">RIGHT(B546,LEN(B546)-FIND("/",B546, FIND("Single Cells",B546, 1)))</f>
        <v>#VALUE!</v>
      </c>
    </row>
    <row r="547" customFormat="false" ht="12.75" hidden="false" customHeight="false" outlineLevel="0" collapsed="false">
      <c r="E547" s="34" t="str">
        <f aca="false">MID(B547,9,1)</f>
        <v/>
      </c>
      <c r="F547" s="34" t="str">
        <f aca="false">MID(B547,10,1)</f>
        <v/>
      </c>
      <c r="G547" s="34" t="str">
        <f aca="false">MID(B547,11,1)</f>
        <v/>
      </c>
      <c r="H547" s="35" t="str">
        <f aca="false">IF(G547=".",F547,CONCATENATE(F547,G547))</f>
        <v/>
      </c>
      <c r="I547" s="34" t="n">
        <f aca="false">IFERROR(VALUE(H547),)</f>
        <v>0</v>
      </c>
      <c r="J547" s="34" t="e">
        <f aca="false">RIGHT(B547,LEN(B547)-FIND("/",B547, FIND("Single Cells",B547, 1)))</f>
        <v>#VALUE!</v>
      </c>
    </row>
    <row r="548" customFormat="false" ht="12.75" hidden="false" customHeight="false" outlineLevel="0" collapsed="false">
      <c r="E548" s="34" t="str">
        <f aca="false">MID(B548,9,1)</f>
        <v/>
      </c>
      <c r="F548" s="34" t="str">
        <f aca="false">MID(B548,10,1)</f>
        <v/>
      </c>
      <c r="G548" s="34" t="str">
        <f aca="false">MID(B548,11,1)</f>
        <v/>
      </c>
      <c r="H548" s="35" t="str">
        <f aca="false">IF(G548=".",F548,CONCATENATE(F548,G548))</f>
        <v/>
      </c>
      <c r="I548" s="34" t="n">
        <f aca="false">IFERROR(VALUE(H548),)</f>
        <v>0</v>
      </c>
      <c r="J548" s="34" t="e">
        <f aca="false">RIGHT(B548,LEN(B548)-FIND("/",B548, FIND("Single Cells",B548, 1)))</f>
        <v>#VALUE!</v>
      </c>
    </row>
    <row r="549" customFormat="false" ht="12.75" hidden="false" customHeight="false" outlineLevel="0" collapsed="false">
      <c r="E549" s="34" t="str">
        <f aca="false">MID(B549,9,1)</f>
        <v/>
      </c>
      <c r="F549" s="34" t="str">
        <f aca="false">MID(B549,10,1)</f>
        <v/>
      </c>
      <c r="G549" s="34" t="str">
        <f aca="false">MID(B549,11,1)</f>
        <v/>
      </c>
      <c r="H549" s="35" t="str">
        <f aca="false">IF(G549=".",F549,CONCATENATE(F549,G549))</f>
        <v/>
      </c>
      <c r="I549" s="34" t="n">
        <f aca="false">IFERROR(VALUE(H549),)</f>
        <v>0</v>
      </c>
      <c r="J549" s="34" t="e">
        <f aca="false">RIGHT(B549,LEN(B549)-FIND("/",B549, FIND("Single Cells",B549, 1)))</f>
        <v>#VALUE!</v>
      </c>
    </row>
    <row r="550" customFormat="false" ht="12.75" hidden="false" customHeight="false" outlineLevel="0" collapsed="false">
      <c r="E550" s="34" t="str">
        <f aca="false">MID(B550,9,1)</f>
        <v/>
      </c>
      <c r="F550" s="34" t="str">
        <f aca="false">MID(B550,10,1)</f>
        <v/>
      </c>
      <c r="G550" s="34" t="str">
        <f aca="false">MID(B550,11,1)</f>
        <v/>
      </c>
      <c r="H550" s="35" t="str">
        <f aca="false">IF(G550=".",F550,CONCATENATE(F550,G550))</f>
        <v/>
      </c>
      <c r="I550" s="34" t="n">
        <f aca="false">IFERROR(VALUE(H550),)</f>
        <v>0</v>
      </c>
      <c r="J550" s="34" t="e">
        <f aca="false">RIGHT(B550,LEN(B550)-FIND("/",B550, FIND("Single Cells",B550, 1)))</f>
        <v>#VALUE!</v>
      </c>
    </row>
    <row r="551" customFormat="false" ht="12.75" hidden="false" customHeight="false" outlineLevel="0" collapsed="false">
      <c r="E551" s="34" t="str">
        <f aca="false">MID(B551,9,1)</f>
        <v/>
      </c>
      <c r="F551" s="34" t="str">
        <f aca="false">MID(B551,10,1)</f>
        <v/>
      </c>
      <c r="G551" s="34" t="str">
        <f aca="false">MID(B551,11,1)</f>
        <v/>
      </c>
      <c r="H551" s="35" t="str">
        <f aca="false">IF(G551=".",F551,CONCATENATE(F551,G551))</f>
        <v/>
      </c>
      <c r="I551" s="34" t="n">
        <f aca="false">IFERROR(VALUE(H551),)</f>
        <v>0</v>
      </c>
      <c r="J551" s="34" t="e">
        <f aca="false">RIGHT(B551,LEN(B551)-FIND("/",B551, FIND("Single Cells",B551, 1)))</f>
        <v>#VALUE!</v>
      </c>
    </row>
    <row r="552" customFormat="false" ht="12.75" hidden="false" customHeight="false" outlineLevel="0" collapsed="false">
      <c r="E552" s="34" t="str">
        <f aca="false">MID(B552,9,1)</f>
        <v/>
      </c>
      <c r="F552" s="34" t="str">
        <f aca="false">MID(B552,10,1)</f>
        <v/>
      </c>
      <c r="G552" s="34" t="str">
        <f aca="false">MID(B552,11,1)</f>
        <v/>
      </c>
      <c r="H552" s="35" t="str">
        <f aca="false">IF(G552=".",F552,CONCATENATE(F552,G552))</f>
        <v/>
      </c>
      <c r="I552" s="34" t="n">
        <f aca="false">IFERROR(VALUE(H552),)</f>
        <v>0</v>
      </c>
      <c r="J552" s="34" t="e">
        <f aca="false">RIGHT(B552,LEN(B552)-FIND("/",B552, FIND("Single Cells",B552, 1)))</f>
        <v>#VALUE!</v>
      </c>
    </row>
    <row r="553" customFormat="false" ht="12.75" hidden="false" customHeight="false" outlineLevel="0" collapsed="false">
      <c r="E553" s="34" t="str">
        <f aca="false">MID(B553,9,1)</f>
        <v/>
      </c>
      <c r="F553" s="34" t="str">
        <f aca="false">MID(B553,10,1)</f>
        <v/>
      </c>
      <c r="G553" s="34" t="str">
        <f aca="false">MID(B553,11,1)</f>
        <v/>
      </c>
      <c r="H553" s="35" t="str">
        <f aca="false">IF(G553=".",F553,CONCATENATE(F553,G553))</f>
        <v/>
      </c>
      <c r="I553" s="34" t="n">
        <f aca="false">IFERROR(VALUE(H553),)</f>
        <v>0</v>
      </c>
      <c r="J553" s="34" t="e">
        <f aca="false">RIGHT(B553,LEN(B553)-FIND("/",B553, FIND("Single Cells",B553, 1)))</f>
        <v>#VALUE!</v>
      </c>
    </row>
    <row r="554" customFormat="false" ht="12.75" hidden="false" customHeight="false" outlineLevel="0" collapsed="false">
      <c r="E554" s="34" t="str">
        <f aca="false">MID(B554,9,1)</f>
        <v/>
      </c>
      <c r="F554" s="34" t="str">
        <f aca="false">MID(B554,10,1)</f>
        <v/>
      </c>
      <c r="G554" s="34" t="str">
        <f aca="false">MID(B554,11,1)</f>
        <v/>
      </c>
      <c r="H554" s="35" t="str">
        <f aca="false">IF(G554=".",F554,CONCATENATE(F554,G554))</f>
        <v/>
      </c>
      <c r="I554" s="34" t="n">
        <f aca="false">IFERROR(VALUE(H554),)</f>
        <v>0</v>
      </c>
      <c r="J554" s="34" t="e">
        <f aca="false">RIGHT(B554,LEN(B554)-FIND("/",B554, FIND("Single Cells",B554, 1)))</f>
        <v>#VALUE!</v>
      </c>
    </row>
    <row r="555" customFormat="false" ht="12.75" hidden="false" customHeight="false" outlineLevel="0" collapsed="false">
      <c r="E555" s="34" t="str">
        <f aca="false">MID(B555,9,1)</f>
        <v/>
      </c>
      <c r="F555" s="34" t="str">
        <f aca="false">MID(B555,10,1)</f>
        <v/>
      </c>
      <c r="G555" s="34" t="str">
        <f aca="false">MID(B555,11,1)</f>
        <v/>
      </c>
      <c r="H555" s="35" t="str">
        <f aca="false">IF(G555=".",F555,CONCATENATE(F555,G555))</f>
        <v/>
      </c>
      <c r="I555" s="34" t="n">
        <f aca="false">IFERROR(VALUE(H555),)</f>
        <v>0</v>
      </c>
      <c r="J555" s="34" t="e">
        <f aca="false">RIGHT(B555,LEN(B555)-FIND("/",B555, FIND("Single Cells",B555, 1)))</f>
        <v>#VALUE!</v>
      </c>
    </row>
    <row r="556" customFormat="false" ht="12.75" hidden="false" customHeight="false" outlineLevel="0" collapsed="false">
      <c r="E556" s="34" t="str">
        <f aca="false">MID(B556,9,1)</f>
        <v/>
      </c>
      <c r="F556" s="34" t="str">
        <f aca="false">MID(B556,10,1)</f>
        <v/>
      </c>
      <c r="G556" s="34" t="str">
        <f aca="false">MID(B556,11,1)</f>
        <v/>
      </c>
      <c r="H556" s="35" t="str">
        <f aca="false">IF(G556=".",F556,CONCATENATE(F556,G556))</f>
        <v/>
      </c>
      <c r="I556" s="34" t="n">
        <f aca="false">IFERROR(VALUE(H556),)</f>
        <v>0</v>
      </c>
      <c r="J556" s="34" t="e">
        <f aca="false">RIGHT(B556,LEN(B556)-FIND("/",B556, FIND("Single Cells",B556, 1)))</f>
        <v>#VALUE!</v>
      </c>
    </row>
    <row r="557" customFormat="false" ht="12.75" hidden="false" customHeight="false" outlineLevel="0" collapsed="false">
      <c r="E557" s="34" t="str">
        <f aca="false">MID(B557,9,1)</f>
        <v/>
      </c>
      <c r="F557" s="34" t="str">
        <f aca="false">MID(B557,10,1)</f>
        <v/>
      </c>
      <c r="G557" s="34" t="str">
        <f aca="false">MID(B557,11,1)</f>
        <v/>
      </c>
      <c r="H557" s="35" t="str">
        <f aca="false">IF(G557=".",F557,CONCATENATE(F557,G557))</f>
        <v/>
      </c>
      <c r="I557" s="34" t="n">
        <f aca="false">IFERROR(VALUE(H557),)</f>
        <v>0</v>
      </c>
      <c r="J557" s="34" t="e">
        <f aca="false">RIGHT(B557,LEN(B557)-FIND("/",B557, FIND("Single Cells",B557, 1)))</f>
        <v>#VALUE!</v>
      </c>
    </row>
    <row r="558" customFormat="false" ht="12.75" hidden="false" customHeight="false" outlineLevel="0" collapsed="false">
      <c r="E558" s="34" t="str">
        <f aca="false">MID(B558,9,1)</f>
        <v/>
      </c>
      <c r="F558" s="34" t="str">
        <f aca="false">MID(B558,10,1)</f>
        <v/>
      </c>
      <c r="G558" s="34" t="str">
        <f aca="false">MID(B558,11,1)</f>
        <v/>
      </c>
      <c r="H558" s="35" t="str">
        <f aca="false">IF(G558=".",F558,CONCATENATE(F558,G558))</f>
        <v/>
      </c>
      <c r="I558" s="34" t="n">
        <f aca="false">IFERROR(VALUE(H558),)</f>
        <v>0</v>
      </c>
      <c r="J558" s="34" t="e">
        <f aca="false">RIGHT(B558,LEN(B558)-FIND("/",B558, FIND("Single Cells",B558, 1)))</f>
        <v>#VALUE!</v>
      </c>
    </row>
    <row r="559" customFormat="false" ht="12.75" hidden="false" customHeight="false" outlineLevel="0" collapsed="false">
      <c r="E559" s="34" t="str">
        <f aca="false">MID(B559,9,1)</f>
        <v/>
      </c>
      <c r="F559" s="34" t="str">
        <f aca="false">MID(B559,10,1)</f>
        <v/>
      </c>
      <c r="G559" s="34" t="str">
        <f aca="false">MID(B559,11,1)</f>
        <v/>
      </c>
      <c r="H559" s="35" t="str">
        <f aca="false">IF(G559=".",F559,CONCATENATE(F559,G559))</f>
        <v/>
      </c>
      <c r="I559" s="34" t="n">
        <f aca="false">IFERROR(VALUE(H559),)</f>
        <v>0</v>
      </c>
      <c r="J559" s="34" t="e">
        <f aca="false">RIGHT(B559,LEN(B559)-FIND("/",B559, FIND("Single Cells",B559, 1)))</f>
        <v>#VALUE!</v>
      </c>
    </row>
    <row r="560" customFormat="false" ht="12.75" hidden="false" customHeight="false" outlineLevel="0" collapsed="false">
      <c r="E560" s="34" t="str">
        <f aca="false">MID(B560,9,1)</f>
        <v/>
      </c>
      <c r="F560" s="34" t="str">
        <f aca="false">MID(B560,10,1)</f>
        <v/>
      </c>
      <c r="G560" s="34" t="str">
        <f aca="false">MID(B560,11,1)</f>
        <v/>
      </c>
      <c r="H560" s="35" t="str">
        <f aca="false">IF(G560=".",F560,CONCATENATE(F560,G560))</f>
        <v/>
      </c>
      <c r="I560" s="34" t="n">
        <f aca="false">IFERROR(VALUE(H560),)</f>
        <v>0</v>
      </c>
      <c r="J560" s="34" t="e">
        <f aca="false">RIGHT(B560,LEN(B560)-FIND("/",B560, FIND("Single Cells",B560, 1)))</f>
        <v>#VALUE!</v>
      </c>
    </row>
    <row r="561" customFormat="false" ht="12.75" hidden="false" customHeight="false" outlineLevel="0" collapsed="false">
      <c r="E561" s="34" t="str">
        <f aca="false">MID(B561,9,1)</f>
        <v/>
      </c>
      <c r="F561" s="34" t="str">
        <f aca="false">MID(B561,10,1)</f>
        <v/>
      </c>
      <c r="G561" s="34" t="str">
        <f aca="false">MID(B561,11,1)</f>
        <v/>
      </c>
      <c r="H561" s="35" t="str">
        <f aca="false">IF(G561=".",F561,CONCATENATE(F561,G561))</f>
        <v/>
      </c>
      <c r="I561" s="34" t="n">
        <f aca="false">IFERROR(VALUE(H561),)</f>
        <v>0</v>
      </c>
      <c r="J561" s="34" t="e">
        <f aca="false">RIGHT(B561,LEN(B561)-FIND("/",B561, FIND("Single Cells",B561, 1)))</f>
        <v>#VALUE!</v>
      </c>
    </row>
    <row r="562" customFormat="false" ht="12.75" hidden="false" customHeight="false" outlineLevel="0" collapsed="false">
      <c r="E562" s="34" t="str">
        <f aca="false">MID(B562,9,1)</f>
        <v/>
      </c>
      <c r="F562" s="34" t="str">
        <f aca="false">MID(B562,10,1)</f>
        <v/>
      </c>
      <c r="G562" s="34" t="str">
        <f aca="false">MID(B562,11,1)</f>
        <v/>
      </c>
      <c r="H562" s="35" t="str">
        <f aca="false">IF(G562=".",F562,CONCATENATE(F562,G562))</f>
        <v/>
      </c>
      <c r="I562" s="34" t="n">
        <f aca="false">IFERROR(VALUE(H562),)</f>
        <v>0</v>
      </c>
      <c r="J562" s="34" t="e">
        <f aca="false">RIGHT(B562,LEN(B562)-FIND("/",B562, FIND("Single Cells",B562, 1)))</f>
        <v>#VALUE!</v>
      </c>
    </row>
    <row r="563" customFormat="false" ht="12.75" hidden="false" customHeight="false" outlineLevel="0" collapsed="false">
      <c r="E563" s="34" t="str">
        <f aca="false">MID(B563,9,1)</f>
        <v/>
      </c>
      <c r="F563" s="34" t="str">
        <f aca="false">MID(B563,10,1)</f>
        <v/>
      </c>
      <c r="G563" s="34" t="str">
        <f aca="false">MID(B563,11,1)</f>
        <v/>
      </c>
      <c r="H563" s="35" t="str">
        <f aca="false">IF(G563=".",F563,CONCATENATE(F563,G563))</f>
        <v/>
      </c>
      <c r="I563" s="34" t="n">
        <f aca="false">IFERROR(VALUE(H563),)</f>
        <v>0</v>
      </c>
      <c r="J563" s="34" t="e">
        <f aca="false">RIGHT(B563,LEN(B563)-FIND("/",B563, FIND("Single Cells",B563, 1)))</f>
        <v>#VALUE!</v>
      </c>
    </row>
    <row r="564" customFormat="false" ht="12.75" hidden="false" customHeight="false" outlineLevel="0" collapsed="false">
      <c r="E564" s="34" t="str">
        <f aca="false">MID(B564,9,1)</f>
        <v/>
      </c>
      <c r="F564" s="34" t="str">
        <f aca="false">MID(B564,10,1)</f>
        <v/>
      </c>
      <c r="G564" s="34" t="str">
        <f aca="false">MID(B564,11,1)</f>
        <v/>
      </c>
      <c r="H564" s="35" t="str">
        <f aca="false">IF(G564=".",F564,CONCATENATE(F564,G564))</f>
        <v/>
      </c>
      <c r="I564" s="34" t="n">
        <f aca="false">IFERROR(VALUE(H564),)</f>
        <v>0</v>
      </c>
      <c r="J564" s="34" t="e">
        <f aca="false">RIGHT(B564,LEN(B564)-FIND("/",B564, FIND("Single Cells",B564, 1)))</f>
        <v>#VALUE!</v>
      </c>
    </row>
    <row r="565" customFormat="false" ht="12.75" hidden="false" customHeight="false" outlineLevel="0" collapsed="false">
      <c r="E565" s="34" t="str">
        <f aca="false">MID(B565,9,1)</f>
        <v/>
      </c>
      <c r="F565" s="34" t="str">
        <f aca="false">MID(B565,10,1)</f>
        <v/>
      </c>
      <c r="G565" s="34" t="str">
        <f aca="false">MID(B565,11,1)</f>
        <v/>
      </c>
      <c r="H565" s="35" t="str">
        <f aca="false">IF(G565=".",F565,CONCATENATE(F565,G565))</f>
        <v/>
      </c>
      <c r="I565" s="34" t="n">
        <f aca="false">IFERROR(VALUE(H565),)</f>
        <v>0</v>
      </c>
      <c r="J565" s="34" t="e">
        <f aca="false">RIGHT(B565,LEN(B565)-FIND("/",B565, FIND("Single Cells",B565, 1)))</f>
        <v>#VALUE!</v>
      </c>
    </row>
    <row r="566" customFormat="false" ht="12.75" hidden="false" customHeight="false" outlineLevel="0" collapsed="false">
      <c r="E566" s="34" t="str">
        <f aca="false">MID(B566,9,1)</f>
        <v/>
      </c>
      <c r="F566" s="34" t="str">
        <f aca="false">MID(B566,10,1)</f>
        <v/>
      </c>
      <c r="G566" s="34" t="str">
        <f aca="false">MID(B566,11,1)</f>
        <v/>
      </c>
      <c r="H566" s="35" t="str">
        <f aca="false">IF(G566=".",F566,CONCATENATE(F566,G566))</f>
        <v/>
      </c>
      <c r="I566" s="34" t="n">
        <f aca="false">IFERROR(VALUE(H566),)</f>
        <v>0</v>
      </c>
      <c r="J566" s="34" t="e">
        <f aca="false">RIGHT(B566,LEN(B566)-FIND("/",B566, FIND("Single Cells",B566, 1)))</f>
        <v>#VALUE!</v>
      </c>
    </row>
    <row r="567" customFormat="false" ht="12.75" hidden="false" customHeight="false" outlineLevel="0" collapsed="false">
      <c r="E567" s="34" t="str">
        <f aca="false">MID(B567,9,1)</f>
        <v/>
      </c>
      <c r="F567" s="34" t="str">
        <f aca="false">MID(B567,10,1)</f>
        <v/>
      </c>
      <c r="G567" s="34" t="str">
        <f aca="false">MID(B567,11,1)</f>
        <v/>
      </c>
      <c r="H567" s="35" t="str">
        <f aca="false">IF(G567=".",F567,CONCATENATE(F567,G567))</f>
        <v/>
      </c>
      <c r="I567" s="34" t="n">
        <f aca="false">IFERROR(VALUE(H567),)</f>
        <v>0</v>
      </c>
      <c r="J567" s="34" t="e">
        <f aca="false">RIGHT(B567,LEN(B567)-FIND("/",B567, FIND("Single Cells",B567, 1)))</f>
        <v>#VALUE!</v>
      </c>
    </row>
    <row r="568" customFormat="false" ht="12.75" hidden="false" customHeight="false" outlineLevel="0" collapsed="false">
      <c r="E568" s="34" t="str">
        <f aca="false">MID(B568,9,1)</f>
        <v/>
      </c>
      <c r="F568" s="34" t="str">
        <f aca="false">MID(B568,10,1)</f>
        <v/>
      </c>
      <c r="G568" s="34" t="str">
        <f aca="false">MID(B568,11,1)</f>
        <v/>
      </c>
      <c r="H568" s="35" t="str">
        <f aca="false">IF(G568=".",F568,CONCATENATE(F568,G568))</f>
        <v/>
      </c>
      <c r="I568" s="34" t="n">
        <f aca="false">IFERROR(VALUE(H568),)</f>
        <v>0</v>
      </c>
      <c r="J568" s="34" t="e">
        <f aca="false">RIGHT(B568,LEN(B568)-FIND("/",B568, FIND("Single Cells",B568, 1)))</f>
        <v>#VALUE!</v>
      </c>
    </row>
    <row r="569" customFormat="false" ht="12.75" hidden="false" customHeight="false" outlineLevel="0" collapsed="false">
      <c r="E569" s="34" t="str">
        <f aca="false">MID(B569,9,1)</f>
        <v/>
      </c>
      <c r="F569" s="34" t="str">
        <f aca="false">MID(B569,10,1)</f>
        <v/>
      </c>
      <c r="G569" s="34" t="str">
        <f aca="false">MID(B569,11,1)</f>
        <v/>
      </c>
      <c r="H569" s="35" t="str">
        <f aca="false">IF(G569=".",F569,CONCATENATE(F569,G569))</f>
        <v/>
      </c>
      <c r="I569" s="34" t="n">
        <f aca="false">IFERROR(VALUE(H569),)</f>
        <v>0</v>
      </c>
      <c r="J569" s="34" t="e">
        <f aca="false">RIGHT(B569,LEN(B569)-FIND("/",B569, FIND("Single Cells",B569, 1)))</f>
        <v>#VALUE!</v>
      </c>
    </row>
    <row r="570" customFormat="false" ht="12.75" hidden="false" customHeight="false" outlineLevel="0" collapsed="false">
      <c r="E570" s="34" t="str">
        <f aca="false">MID(B570,9,1)</f>
        <v/>
      </c>
      <c r="F570" s="34" t="str">
        <f aca="false">MID(B570,10,1)</f>
        <v/>
      </c>
      <c r="G570" s="34" t="str">
        <f aca="false">MID(B570,11,1)</f>
        <v/>
      </c>
      <c r="H570" s="35" t="str">
        <f aca="false">IF(G570=".",F570,CONCATENATE(F570,G570))</f>
        <v/>
      </c>
      <c r="I570" s="34" t="n">
        <f aca="false">IFERROR(VALUE(H570),)</f>
        <v>0</v>
      </c>
      <c r="J570" s="34" t="e">
        <f aca="false">RIGHT(B570,LEN(B570)-FIND("/",B570, FIND("Single Cells",B570, 1)))</f>
        <v>#VALUE!</v>
      </c>
    </row>
    <row r="571" customFormat="false" ht="12.75" hidden="false" customHeight="false" outlineLevel="0" collapsed="false">
      <c r="E571" s="34" t="str">
        <f aca="false">MID(B571,9,1)</f>
        <v/>
      </c>
      <c r="F571" s="34" t="str">
        <f aca="false">MID(B571,10,1)</f>
        <v/>
      </c>
      <c r="G571" s="34" t="str">
        <f aca="false">MID(B571,11,1)</f>
        <v/>
      </c>
      <c r="H571" s="35" t="str">
        <f aca="false">IF(G571=".",F571,CONCATENATE(F571,G571))</f>
        <v/>
      </c>
      <c r="I571" s="34" t="n">
        <f aca="false">IFERROR(VALUE(H571),)</f>
        <v>0</v>
      </c>
      <c r="J571" s="34" t="e">
        <f aca="false">RIGHT(B571,LEN(B571)-FIND("/",B571, FIND("Single Cells",B571, 1)))</f>
        <v>#VALUE!</v>
      </c>
    </row>
    <row r="572" customFormat="false" ht="12.75" hidden="false" customHeight="false" outlineLevel="0" collapsed="false">
      <c r="E572" s="34" t="str">
        <f aca="false">MID(B572,9,1)</f>
        <v/>
      </c>
      <c r="F572" s="34" t="str">
        <f aca="false">MID(B572,10,1)</f>
        <v/>
      </c>
      <c r="G572" s="34" t="str">
        <f aca="false">MID(B572,11,1)</f>
        <v/>
      </c>
      <c r="H572" s="35" t="str">
        <f aca="false">IF(G572=".",F572,CONCATENATE(F572,G572))</f>
        <v/>
      </c>
      <c r="I572" s="34" t="n">
        <f aca="false">IFERROR(VALUE(H572),)</f>
        <v>0</v>
      </c>
      <c r="J572" s="34" t="e">
        <f aca="false">RIGHT(B572,LEN(B572)-FIND("/",B572, FIND("Single Cells",B572, 1)))</f>
        <v>#VALUE!</v>
      </c>
    </row>
    <row r="573" customFormat="false" ht="12.75" hidden="false" customHeight="false" outlineLevel="0" collapsed="false">
      <c r="E573" s="34" t="str">
        <f aca="false">MID(B573,9,1)</f>
        <v/>
      </c>
      <c r="F573" s="34" t="str">
        <f aca="false">MID(B573,10,1)</f>
        <v/>
      </c>
      <c r="G573" s="34" t="str">
        <f aca="false">MID(B573,11,1)</f>
        <v/>
      </c>
      <c r="H573" s="35" t="str">
        <f aca="false">IF(G573=".",F573,CONCATENATE(F573,G573))</f>
        <v/>
      </c>
      <c r="I573" s="34" t="n">
        <f aca="false">IFERROR(VALUE(H573),)</f>
        <v>0</v>
      </c>
      <c r="J573" s="34" t="e">
        <f aca="false">RIGHT(B573,LEN(B573)-FIND("/",B573, FIND("Single Cells",B573, 1)))</f>
        <v>#VALUE!</v>
      </c>
    </row>
    <row r="574" customFormat="false" ht="12.75" hidden="false" customHeight="false" outlineLevel="0" collapsed="false">
      <c r="E574" s="34" t="str">
        <f aca="false">MID(B574,9,1)</f>
        <v/>
      </c>
      <c r="F574" s="34" t="str">
        <f aca="false">MID(B574,10,1)</f>
        <v/>
      </c>
      <c r="G574" s="34" t="str">
        <f aca="false">MID(B574,11,1)</f>
        <v/>
      </c>
      <c r="H574" s="35" t="str">
        <f aca="false">IF(G574=".",F574,CONCATENATE(F574,G574))</f>
        <v/>
      </c>
      <c r="I574" s="34" t="n">
        <f aca="false">IFERROR(VALUE(H574),)</f>
        <v>0</v>
      </c>
      <c r="J574" s="34" t="e">
        <f aca="false">RIGHT(B574,LEN(B574)-FIND("/",B574, FIND("Single Cells",B574, 1)))</f>
        <v>#VALUE!</v>
      </c>
    </row>
    <row r="575" customFormat="false" ht="12.75" hidden="false" customHeight="false" outlineLevel="0" collapsed="false">
      <c r="E575" s="34" t="str">
        <f aca="false">MID(B575,9,1)</f>
        <v/>
      </c>
      <c r="F575" s="34" t="str">
        <f aca="false">MID(B575,10,1)</f>
        <v/>
      </c>
      <c r="G575" s="34" t="str">
        <f aca="false">MID(B575,11,1)</f>
        <v/>
      </c>
      <c r="H575" s="35" t="str">
        <f aca="false">IF(G575=".",F575,CONCATENATE(F575,G575))</f>
        <v/>
      </c>
      <c r="I575" s="34" t="n">
        <f aca="false">IFERROR(VALUE(H575),)</f>
        <v>0</v>
      </c>
      <c r="J575" s="34" t="e">
        <f aca="false">RIGHT(B575,LEN(B575)-FIND("/",B575, FIND("Single Cells",B575, 1)))</f>
        <v>#VALUE!</v>
      </c>
    </row>
    <row r="576" customFormat="false" ht="12.75" hidden="false" customHeight="false" outlineLevel="0" collapsed="false">
      <c r="E576" s="34" t="str">
        <f aca="false">MID(B576,9,1)</f>
        <v/>
      </c>
      <c r="F576" s="34" t="str">
        <f aca="false">MID(B576,10,1)</f>
        <v/>
      </c>
      <c r="G576" s="34" t="str">
        <f aca="false">MID(B576,11,1)</f>
        <v/>
      </c>
      <c r="H576" s="35" t="str">
        <f aca="false">IF(G576=".",F576,CONCATENATE(F576,G576))</f>
        <v/>
      </c>
      <c r="I576" s="34" t="n">
        <f aca="false">IFERROR(VALUE(H576),)</f>
        <v>0</v>
      </c>
      <c r="J576" s="34" t="e">
        <f aca="false">RIGHT(B576,LEN(B576)-FIND("/",B576, FIND("Single Cells",B576, 1)))</f>
        <v>#VALUE!</v>
      </c>
    </row>
    <row r="577" customFormat="false" ht="12.75" hidden="false" customHeight="false" outlineLevel="0" collapsed="false">
      <c r="E577" s="34" t="str">
        <f aca="false">MID(B577,9,1)</f>
        <v/>
      </c>
      <c r="F577" s="34" t="str">
        <f aca="false">MID(B577,10,1)</f>
        <v/>
      </c>
      <c r="G577" s="34" t="str">
        <f aca="false">MID(B577,11,1)</f>
        <v/>
      </c>
      <c r="H577" s="35" t="str">
        <f aca="false">IF(G577=".",F577,CONCATENATE(F577,G577))</f>
        <v/>
      </c>
      <c r="I577" s="34" t="n">
        <f aca="false">IFERROR(VALUE(H577),)</f>
        <v>0</v>
      </c>
      <c r="J577" s="34" t="e">
        <f aca="false">RIGHT(B577,LEN(B577)-FIND("/",B577, FIND("Single Cells",B577, 1)))</f>
        <v>#VALUE!</v>
      </c>
    </row>
    <row r="578" customFormat="false" ht="12.75" hidden="false" customHeight="false" outlineLevel="0" collapsed="false">
      <c r="E578" s="34" t="str">
        <f aca="false">MID(B578,9,1)</f>
        <v/>
      </c>
      <c r="F578" s="34" t="str">
        <f aca="false">MID(B578,10,1)</f>
        <v/>
      </c>
      <c r="G578" s="34" t="str">
        <f aca="false">MID(B578,11,1)</f>
        <v/>
      </c>
      <c r="H578" s="35" t="str">
        <f aca="false">IF(G578=".",F578,CONCATENATE(F578,G578))</f>
        <v/>
      </c>
      <c r="I578" s="34" t="n">
        <f aca="false">IFERROR(VALUE(H578),)</f>
        <v>0</v>
      </c>
      <c r="J578" s="34" t="e">
        <f aca="false">RIGHT(B578,LEN(B578)-FIND("/",B578, FIND("Single Cells",B578, 1)))</f>
        <v>#VALUE!</v>
      </c>
    </row>
    <row r="579" customFormat="false" ht="12.75" hidden="false" customHeight="false" outlineLevel="0" collapsed="false">
      <c r="E579" s="34" t="str">
        <f aca="false">MID(B579,9,1)</f>
        <v/>
      </c>
      <c r="F579" s="34" t="str">
        <f aca="false">MID(B579,10,1)</f>
        <v/>
      </c>
      <c r="G579" s="34" t="str">
        <f aca="false">MID(B579,11,1)</f>
        <v/>
      </c>
      <c r="H579" s="35" t="str">
        <f aca="false">IF(G579=".",F579,CONCATENATE(F579,G579))</f>
        <v/>
      </c>
      <c r="I579" s="34" t="n">
        <f aca="false">IFERROR(VALUE(H579),)</f>
        <v>0</v>
      </c>
      <c r="J579" s="34" t="e">
        <f aca="false">RIGHT(B579,LEN(B579)-FIND("/",B579, FIND("Single Cells",B579, 1)))</f>
        <v>#VALUE!</v>
      </c>
    </row>
    <row r="580" customFormat="false" ht="12.75" hidden="false" customHeight="false" outlineLevel="0" collapsed="false">
      <c r="E580" s="34" t="str">
        <f aca="false">MID(B580,9,1)</f>
        <v/>
      </c>
      <c r="F580" s="34" t="str">
        <f aca="false">MID(B580,10,1)</f>
        <v/>
      </c>
      <c r="G580" s="34" t="str">
        <f aca="false">MID(B580,11,1)</f>
        <v/>
      </c>
      <c r="H580" s="35" t="str">
        <f aca="false">IF(G580=".",F580,CONCATENATE(F580,G580))</f>
        <v/>
      </c>
      <c r="I580" s="34" t="n">
        <f aca="false">IFERROR(VALUE(H580),)</f>
        <v>0</v>
      </c>
      <c r="J580" s="34" t="e">
        <f aca="false">RIGHT(B580,LEN(B580)-FIND("/",B580, FIND("Single Cells",B580, 1)))</f>
        <v>#VALUE!</v>
      </c>
    </row>
    <row r="581" customFormat="false" ht="12.75" hidden="false" customHeight="false" outlineLevel="0" collapsed="false">
      <c r="E581" s="34" t="str">
        <f aca="false">MID(B581,9,1)</f>
        <v/>
      </c>
      <c r="F581" s="34" t="str">
        <f aca="false">MID(B581,10,1)</f>
        <v/>
      </c>
      <c r="G581" s="34" t="str">
        <f aca="false">MID(B581,11,1)</f>
        <v/>
      </c>
      <c r="H581" s="35" t="str">
        <f aca="false">IF(G581=".",F581,CONCATENATE(F581,G581))</f>
        <v/>
      </c>
      <c r="I581" s="34" t="n">
        <f aca="false">IFERROR(VALUE(H581),)</f>
        <v>0</v>
      </c>
      <c r="J581" s="34" t="e">
        <f aca="false">RIGHT(B581,LEN(B581)-FIND("/",B581, FIND("Single Cells",B581, 1)))</f>
        <v>#VALUE!</v>
      </c>
    </row>
    <row r="582" customFormat="false" ht="12.75" hidden="false" customHeight="false" outlineLevel="0" collapsed="false">
      <c r="E582" s="34" t="str">
        <f aca="false">MID(B582,9,1)</f>
        <v/>
      </c>
      <c r="F582" s="34" t="str">
        <f aca="false">MID(B582,10,1)</f>
        <v/>
      </c>
      <c r="G582" s="34" t="str">
        <f aca="false">MID(B582,11,1)</f>
        <v/>
      </c>
      <c r="H582" s="35" t="str">
        <f aca="false">IF(G582=".",F582,CONCATENATE(F582,G582))</f>
        <v/>
      </c>
      <c r="I582" s="34" t="n">
        <f aca="false">IFERROR(VALUE(H582),)</f>
        <v>0</v>
      </c>
      <c r="J582" s="34" t="e">
        <f aca="false">RIGHT(B582,LEN(B582)-FIND("/",B582, FIND("Single Cells",B582, 1)))</f>
        <v>#VALUE!</v>
      </c>
    </row>
    <row r="583" customFormat="false" ht="12.75" hidden="false" customHeight="false" outlineLevel="0" collapsed="false">
      <c r="E583" s="34" t="str">
        <f aca="false">MID(B583,9,1)</f>
        <v/>
      </c>
      <c r="F583" s="34" t="str">
        <f aca="false">MID(B583,10,1)</f>
        <v/>
      </c>
      <c r="G583" s="34" t="str">
        <f aca="false">MID(B583,11,1)</f>
        <v/>
      </c>
      <c r="H583" s="35" t="str">
        <f aca="false">IF(G583=".",F583,CONCATENATE(F583,G583))</f>
        <v/>
      </c>
      <c r="I583" s="34" t="n">
        <f aca="false">IFERROR(VALUE(H583),)</f>
        <v>0</v>
      </c>
      <c r="J583" s="34" t="e">
        <f aca="false">RIGHT(B583,LEN(B583)-FIND("/",B583, FIND("Single Cells",B583, 1)))</f>
        <v>#VALUE!</v>
      </c>
    </row>
    <row r="584" customFormat="false" ht="12.75" hidden="false" customHeight="false" outlineLevel="0" collapsed="false">
      <c r="E584" s="34" t="str">
        <f aca="false">MID(B584,9,1)</f>
        <v/>
      </c>
      <c r="F584" s="34" t="str">
        <f aca="false">MID(B584,10,1)</f>
        <v/>
      </c>
      <c r="G584" s="34" t="str">
        <f aca="false">MID(B584,11,1)</f>
        <v/>
      </c>
      <c r="H584" s="35" t="str">
        <f aca="false">IF(G584=".",F584,CONCATENATE(F584,G584))</f>
        <v/>
      </c>
      <c r="I584" s="34" t="n">
        <f aca="false">IFERROR(VALUE(H584),)</f>
        <v>0</v>
      </c>
      <c r="J584" s="34" t="e">
        <f aca="false">RIGHT(B584,LEN(B584)-FIND("/",B584, FIND("Single Cells",B584, 1)))</f>
        <v>#VALUE!</v>
      </c>
    </row>
    <row r="585" customFormat="false" ht="12.75" hidden="false" customHeight="false" outlineLevel="0" collapsed="false">
      <c r="E585" s="34" t="str">
        <f aca="false">MID(B585,9,1)</f>
        <v/>
      </c>
      <c r="F585" s="34" t="str">
        <f aca="false">MID(B585,10,1)</f>
        <v/>
      </c>
      <c r="G585" s="34" t="str">
        <f aca="false">MID(B585,11,1)</f>
        <v/>
      </c>
      <c r="H585" s="35" t="str">
        <f aca="false">IF(G585=".",F585,CONCATENATE(F585,G585))</f>
        <v/>
      </c>
      <c r="I585" s="34" t="n">
        <f aca="false">IFERROR(VALUE(H585),)</f>
        <v>0</v>
      </c>
      <c r="J585" s="34" t="e">
        <f aca="false">RIGHT(B585,LEN(B585)-FIND("/",B585, FIND("Single Cells",B585, 1)))</f>
        <v>#VALUE!</v>
      </c>
    </row>
    <row r="586" customFormat="false" ht="12.75" hidden="false" customHeight="false" outlineLevel="0" collapsed="false">
      <c r="E586" s="34" t="str">
        <f aca="false">MID(B586,9,1)</f>
        <v/>
      </c>
      <c r="F586" s="34" t="str">
        <f aca="false">MID(B586,10,1)</f>
        <v/>
      </c>
      <c r="G586" s="34" t="str">
        <f aca="false">MID(B586,11,1)</f>
        <v/>
      </c>
      <c r="H586" s="35" t="str">
        <f aca="false">IF(G586=".",F586,CONCATENATE(F586,G586))</f>
        <v/>
      </c>
      <c r="I586" s="34" t="n">
        <f aca="false">IFERROR(VALUE(H586),)</f>
        <v>0</v>
      </c>
      <c r="J586" s="34" t="e">
        <f aca="false">RIGHT(B586,LEN(B586)-FIND("/",B586, FIND("Single Cells",B586, 1)))</f>
        <v>#VALUE!</v>
      </c>
    </row>
    <row r="587" customFormat="false" ht="12.75" hidden="false" customHeight="false" outlineLevel="0" collapsed="false">
      <c r="E587" s="34" t="str">
        <f aca="false">MID(B587,9,1)</f>
        <v/>
      </c>
      <c r="F587" s="34" t="str">
        <f aca="false">MID(B587,10,1)</f>
        <v/>
      </c>
      <c r="G587" s="34" t="str">
        <f aca="false">MID(B587,11,1)</f>
        <v/>
      </c>
      <c r="H587" s="35" t="str">
        <f aca="false">IF(G587=".",F587,CONCATENATE(F587,G587))</f>
        <v/>
      </c>
      <c r="I587" s="34" t="n">
        <f aca="false">IFERROR(VALUE(H587),)</f>
        <v>0</v>
      </c>
      <c r="J587" s="34" t="e">
        <f aca="false">RIGHT(B587,LEN(B587)-FIND("/",B587, FIND("Single Cells",B587, 1)))</f>
        <v>#VALUE!</v>
      </c>
    </row>
    <row r="588" customFormat="false" ht="12.75" hidden="false" customHeight="false" outlineLevel="0" collapsed="false">
      <c r="E588" s="34" t="str">
        <f aca="false">MID(B588,9,1)</f>
        <v/>
      </c>
      <c r="F588" s="34" t="str">
        <f aca="false">MID(B588,10,1)</f>
        <v/>
      </c>
      <c r="G588" s="34" t="str">
        <f aca="false">MID(B588,11,1)</f>
        <v/>
      </c>
      <c r="H588" s="35" t="str">
        <f aca="false">IF(G588=".",F588,CONCATENATE(F588,G588))</f>
        <v/>
      </c>
      <c r="I588" s="34" t="n">
        <f aca="false">IFERROR(VALUE(H588),)</f>
        <v>0</v>
      </c>
      <c r="J588" s="34" t="e">
        <f aca="false">RIGHT(B588,LEN(B588)-FIND("/",B588, FIND("Single Cells",B588, 1)))</f>
        <v>#VALUE!</v>
      </c>
    </row>
    <row r="589" customFormat="false" ht="12.75" hidden="false" customHeight="false" outlineLevel="0" collapsed="false">
      <c r="E589" s="34" t="str">
        <f aca="false">MID(B589,9,1)</f>
        <v/>
      </c>
      <c r="F589" s="34" t="str">
        <f aca="false">MID(B589,10,1)</f>
        <v/>
      </c>
      <c r="G589" s="34" t="str">
        <f aca="false">MID(B589,11,1)</f>
        <v/>
      </c>
      <c r="H589" s="35" t="str">
        <f aca="false">IF(G589=".",F589,CONCATENATE(F589,G589))</f>
        <v/>
      </c>
      <c r="I589" s="34" t="n">
        <f aca="false">IFERROR(VALUE(H589),)</f>
        <v>0</v>
      </c>
      <c r="J589" s="34" t="e">
        <f aca="false">RIGHT(B589,LEN(B589)-FIND("/",B589, FIND("Single Cells",B589, 1)))</f>
        <v>#VALUE!</v>
      </c>
    </row>
    <row r="590" customFormat="false" ht="12.75" hidden="false" customHeight="false" outlineLevel="0" collapsed="false">
      <c r="E590" s="34" t="str">
        <f aca="false">MID(B590,9,1)</f>
        <v/>
      </c>
      <c r="F590" s="34" t="str">
        <f aca="false">MID(B590,10,1)</f>
        <v/>
      </c>
      <c r="G590" s="34" t="str">
        <f aca="false">MID(B590,11,1)</f>
        <v/>
      </c>
      <c r="H590" s="35" t="str">
        <f aca="false">IF(G590=".",F590,CONCATENATE(F590,G590))</f>
        <v/>
      </c>
      <c r="I590" s="34" t="n">
        <f aca="false">IFERROR(VALUE(H590),)</f>
        <v>0</v>
      </c>
      <c r="J590" s="34" t="e">
        <f aca="false">RIGHT(B590,LEN(B590)-FIND("/",B590, FIND("Single Cells",B590, 1)))</f>
        <v>#VALUE!</v>
      </c>
    </row>
    <row r="591" customFormat="false" ht="12.75" hidden="false" customHeight="false" outlineLevel="0" collapsed="false">
      <c r="E591" s="34" t="str">
        <f aca="false">MID(B591,9,1)</f>
        <v/>
      </c>
      <c r="F591" s="34" t="str">
        <f aca="false">MID(B591,10,1)</f>
        <v/>
      </c>
      <c r="G591" s="34" t="str">
        <f aca="false">MID(B591,11,1)</f>
        <v/>
      </c>
      <c r="H591" s="35" t="str">
        <f aca="false">IF(G591=".",F591,CONCATENATE(F591,G591))</f>
        <v/>
      </c>
      <c r="I591" s="34" t="n">
        <f aca="false">IFERROR(VALUE(H591),)</f>
        <v>0</v>
      </c>
      <c r="J591" s="34" t="e">
        <f aca="false">RIGHT(B591,LEN(B591)-FIND("/",B591, FIND("Single Cells",B591, 1)))</f>
        <v>#VALUE!</v>
      </c>
    </row>
    <row r="592" customFormat="false" ht="12.75" hidden="false" customHeight="false" outlineLevel="0" collapsed="false">
      <c r="E592" s="34" t="str">
        <f aca="false">MID(B592,9,1)</f>
        <v/>
      </c>
      <c r="F592" s="34" t="str">
        <f aca="false">MID(B592,10,1)</f>
        <v/>
      </c>
      <c r="G592" s="34" t="str">
        <f aca="false">MID(B592,11,1)</f>
        <v/>
      </c>
      <c r="H592" s="35" t="str">
        <f aca="false">IF(G592=".",F592,CONCATENATE(F592,G592))</f>
        <v/>
      </c>
      <c r="I592" s="34" t="n">
        <f aca="false">IFERROR(VALUE(H592),)</f>
        <v>0</v>
      </c>
      <c r="J592" s="34" t="e">
        <f aca="false">RIGHT(B592,LEN(B592)-FIND("/",B592, FIND("Single Cells",B592, 1)))</f>
        <v>#VALUE!</v>
      </c>
    </row>
    <row r="593" customFormat="false" ht="12.75" hidden="false" customHeight="false" outlineLevel="0" collapsed="false">
      <c r="E593" s="34" t="str">
        <f aca="false">MID(B593,9,1)</f>
        <v/>
      </c>
      <c r="F593" s="34" t="str">
        <f aca="false">MID(B593,10,1)</f>
        <v/>
      </c>
      <c r="G593" s="34" t="str">
        <f aca="false">MID(B593,11,1)</f>
        <v/>
      </c>
      <c r="H593" s="35" t="str">
        <f aca="false">IF(G593=".",F593,CONCATENATE(F593,G593))</f>
        <v/>
      </c>
      <c r="I593" s="34" t="n">
        <f aca="false">IFERROR(VALUE(H593),)</f>
        <v>0</v>
      </c>
      <c r="J593" s="34" t="e">
        <f aca="false">RIGHT(B593,LEN(B593)-FIND("/",B593, FIND("Single Cells",B593, 1)))</f>
        <v>#VALUE!</v>
      </c>
    </row>
    <row r="594" customFormat="false" ht="12.75" hidden="false" customHeight="false" outlineLevel="0" collapsed="false">
      <c r="E594" s="34" t="str">
        <f aca="false">MID(B594,9,1)</f>
        <v/>
      </c>
      <c r="F594" s="34" t="str">
        <f aca="false">MID(B594,10,1)</f>
        <v/>
      </c>
      <c r="G594" s="34" t="str">
        <f aca="false">MID(B594,11,1)</f>
        <v/>
      </c>
      <c r="H594" s="35" t="str">
        <f aca="false">IF(G594=".",F594,CONCATENATE(F594,G594))</f>
        <v/>
      </c>
      <c r="I594" s="34" t="n">
        <f aca="false">IFERROR(VALUE(H594),)</f>
        <v>0</v>
      </c>
      <c r="J594" s="34" t="e">
        <f aca="false">RIGHT(B594,LEN(B594)-FIND("/",B594, FIND("Single Cells",B594, 1)))</f>
        <v>#VALUE!</v>
      </c>
    </row>
    <row r="595" customFormat="false" ht="12.75" hidden="false" customHeight="false" outlineLevel="0" collapsed="false">
      <c r="E595" s="34" t="str">
        <f aca="false">MID(B595,9,1)</f>
        <v/>
      </c>
      <c r="F595" s="34" t="str">
        <f aca="false">MID(B595,10,1)</f>
        <v/>
      </c>
      <c r="G595" s="34" t="str">
        <f aca="false">MID(B595,11,1)</f>
        <v/>
      </c>
      <c r="H595" s="35" t="str">
        <f aca="false">IF(G595=".",F595,CONCATENATE(F595,G595))</f>
        <v/>
      </c>
      <c r="I595" s="34" t="n">
        <f aca="false">IFERROR(VALUE(H595),)</f>
        <v>0</v>
      </c>
      <c r="J595" s="34" t="e">
        <f aca="false">RIGHT(B595,LEN(B595)-FIND("/",B595, FIND("Single Cells",B595, 1)))</f>
        <v>#VALUE!</v>
      </c>
    </row>
    <row r="596" customFormat="false" ht="12.75" hidden="false" customHeight="false" outlineLevel="0" collapsed="false">
      <c r="E596" s="34" t="str">
        <f aca="false">MID(B596,9,1)</f>
        <v/>
      </c>
      <c r="F596" s="34" t="str">
        <f aca="false">MID(B596,10,1)</f>
        <v/>
      </c>
      <c r="G596" s="34" t="str">
        <f aca="false">MID(B596,11,1)</f>
        <v/>
      </c>
      <c r="H596" s="35" t="str">
        <f aca="false">IF(G596=".",F596,CONCATENATE(F596,G596))</f>
        <v/>
      </c>
      <c r="I596" s="34" t="n">
        <f aca="false">IFERROR(VALUE(H596),)</f>
        <v>0</v>
      </c>
      <c r="J596" s="34" t="e">
        <f aca="false">RIGHT(B596,LEN(B596)-FIND("/",B596, FIND("Single Cells",B596, 1)))</f>
        <v>#VALUE!</v>
      </c>
    </row>
    <row r="597" customFormat="false" ht="12.75" hidden="false" customHeight="false" outlineLevel="0" collapsed="false">
      <c r="E597" s="34" t="str">
        <f aca="false">MID(B597,9,1)</f>
        <v/>
      </c>
      <c r="F597" s="34" t="str">
        <f aca="false">MID(B597,10,1)</f>
        <v/>
      </c>
      <c r="G597" s="34" t="str">
        <f aca="false">MID(B597,11,1)</f>
        <v/>
      </c>
      <c r="H597" s="35" t="str">
        <f aca="false">IF(G597=".",F597,CONCATENATE(F597,G597))</f>
        <v/>
      </c>
      <c r="I597" s="34" t="n">
        <f aca="false">IFERROR(VALUE(H597),)</f>
        <v>0</v>
      </c>
      <c r="J597" s="34" t="e">
        <f aca="false">RIGHT(B597,LEN(B597)-FIND("/",B597, FIND("Single Cells",B597, 1)))</f>
        <v>#VALUE!</v>
      </c>
    </row>
    <row r="598" customFormat="false" ht="12.75" hidden="false" customHeight="false" outlineLevel="0" collapsed="false">
      <c r="E598" s="34" t="str">
        <f aca="false">MID(B598,9,1)</f>
        <v/>
      </c>
      <c r="F598" s="34" t="str">
        <f aca="false">MID(B598,10,1)</f>
        <v/>
      </c>
      <c r="G598" s="34" t="str">
        <f aca="false">MID(B598,11,1)</f>
        <v/>
      </c>
      <c r="H598" s="35" t="str">
        <f aca="false">IF(G598=".",F598,CONCATENATE(F598,G598))</f>
        <v/>
      </c>
      <c r="I598" s="34" t="n">
        <f aca="false">IFERROR(VALUE(H598),)</f>
        <v>0</v>
      </c>
      <c r="J598" s="34" t="e">
        <f aca="false">RIGHT(B598,LEN(B598)-FIND("/",B598, FIND("Single Cells",B598, 1)))</f>
        <v>#VALUE!</v>
      </c>
    </row>
    <row r="599" customFormat="false" ht="12.75" hidden="false" customHeight="false" outlineLevel="0" collapsed="false">
      <c r="E599" s="34" t="str">
        <f aca="false">MID(B599,9,1)</f>
        <v/>
      </c>
      <c r="F599" s="34" t="str">
        <f aca="false">MID(B599,10,1)</f>
        <v/>
      </c>
      <c r="G599" s="34" t="str">
        <f aca="false">MID(B599,11,1)</f>
        <v/>
      </c>
      <c r="H599" s="35" t="str">
        <f aca="false">IF(G599=".",F599,CONCATENATE(F599,G599))</f>
        <v/>
      </c>
      <c r="I599" s="34" t="n">
        <f aca="false">IFERROR(VALUE(H599),)</f>
        <v>0</v>
      </c>
      <c r="J599" s="34" t="e">
        <f aca="false">RIGHT(B599,LEN(B599)-FIND("/",B599, FIND("Single Cells",B599, 1)))</f>
        <v>#VALUE!</v>
      </c>
    </row>
    <row r="600" customFormat="false" ht="12.75" hidden="false" customHeight="false" outlineLevel="0" collapsed="false">
      <c r="E600" s="34" t="str">
        <f aca="false">MID(B600,9,1)</f>
        <v/>
      </c>
      <c r="F600" s="34" t="str">
        <f aca="false">MID(B600,10,1)</f>
        <v/>
      </c>
      <c r="G600" s="34" t="str">
        <f aca="false">MID(B600,11,1)</f>
        <v/>
      </c>
      <c r="H600" s="35" t="str">
        <f aca="false">IF(G600=".",F600,CONCATENATE(F600,G600))</f>
        <v/>
      </c>
      <c r="I600" s="34" t="n">
        <f aca="false">IFERROR(VALUE(H600),)</f>
        <v>0</v>
      </c>
      <c r="J600" s="34" t="e">
        <f aca="false">RIGHT(B600,LEN(B600)-FIND("/",B600, FIND("Single Cells",B600, 1)))</f>
        <v>#VALUE!</v>
      </c>
    </row>
    <row r="601" customFormat="false" ht="12.75" hidden="false" customHeight="false" outlineLevel="0" collapsed="false">
      <c r="E601" s="34" t="str">
        <f aca="false">MID(B601,9,1)</f>
        <v/>
      </c>
      <c r="F601" s="34" t="str">
        <f aca="false">MID(B601,10,1)</f>
        <v/>
      </c>
      <c r="G601" s="34" t="str">
        <f aca="false">MID(B601,11,1)</f>
        <v/>
      </c>
      <c r="H601" s="35" t="str">
        <f aca="false">IF(G601=".",F601,CONCATENATE(F601,G601))</f>
        <v/>
      </c>
      <c r="I601" s="34" t="n">
        <f aca="false">IFERROR(VALUE(H601),)</f>
        <v>0</v>
      </c>
      <c r="J601" s="34" t="e">
        <f aca="false">RIGHT(B601,LEN(B601)-FIND("/",B601, FIND("Single Cells",B601, 1)))</f>
        <v>#VALUE!</v>
      </c>
    </row>
    <row r="602" customFormat="false" ht="12.75" hidden="false" customHeight="false" outlineLevel="0" collapsed="false">
      <c r="E602" s="34" t="str">
        <f aca="false">MID(B602,9,1)</f>
        <v/>
      </c>
      <c r="F602" s="34" t="str">
        <f aca="false">MID(B602,10,1)</f>
        <v/>
      </c>
      <c r="G602" s="34" t="str">
        <f aca="false">MID(B602,11,1)</f>
        <v/>
      </c>
      <c r="H602" s="35" t="str">
        <f aca="false">IF(G602=".",F602,CONCATENATE(F602,G602))</f>
        <v/>
      </c>
      <c r="I602" s="34" t="n">
        <f aca="false">IFERROR(VALUE(H602),)</f>
        <v>0</v>
      </c>
      <c r="J602" s="34" t="e">
        <f aca="false">RIGHT(B602,LEN(B602)-FIND("/",B602, FIND("Single Cells",B602, 1)))</f>
        <v>#VALUE!</v>
      </c>
    </row>
    <row r="603" customFormat="false" ht="12.75" hidden="false" customHeight="false" outlineLevel="0" collapsed="false">
      <c r="E603" s="34" t="str">
        <f aca="false">MID(B603,9,1)</f>
        <v/>
      </c>
      <c r="F603" s="34" t="str">
        <f aca="false">MID(B603,10,1)</f>
        <v/>
      </c>
      <c r="G603" s="34" t="str">
        <f aca="false">MID(B603,11,1)</f>
        <v/>
      </c>
      <c r="H603" s="35" t="str">
        <f aca="false">IF(G603=".",F603,CONCATENATE(F603,G603))</f>
        <v/>
      </c>
      <c r="I603" s="34" t="n">
        <f aca="false">IFERROR(VALUE(H603),)</f>
        <v>0</v>
      </c>
      <c r="J603" s="34" t="e">
        <f aca="false">RIGHT(B603,LEN(B603)-FIND("/",B603, FIND("Single Cells",B603, 1)))</f>
        <v>#VALUE!</v>
      </c>
    </row>
    <row r="604" customFormat="false" ht="12.75" hidden="false" customHeight="false" outlineLevel="0" collapsed="false">
      <c r="E604" s="34" t="str">
        <f aca="false">MID(B604,9,1)</f>
        <v/>
      </c>
      <c r="F604" s="34" t="str">
        <f aca="false">MID(B604,10,1)</f>
        <v/>
      </c>
      <c r="G604" s="34" t="str">
        <f aca="false">MID(B604,11,1)</f>
        <v/>
      </c>
      <c r="H604" s="35" t="str">
        <f aca="false">IF(G604=".",F604,CONCATENATE(F604,G604))</f>
        <v/>
      </c>
      <c r="I604" s="34" t="n">
        <f aca="false">IFERROR(VALUE(H604),)</f>
        <v>0</v>
      </c>
      <c r="J604" s="34" t="e">
        <f aca="false">RIGHT(B604,LEN(B604)-FIND("/",B604, FIND("Single Cells",B604, 1)))</f>
        <v>#VALUE!</v>
      </c>
    </row>
    <row r="605" customFormat="false" ht="12.75" hidden="false" customHeight="false" outlineLevel="0" collapsed="false">
      <c r="E605" s="34" t="str">
        <f aca="false">MID(B605,9,1)</f>
        <v/>
      </c>
      <c r="F605" s="34" t="str">
        <f aca="false">MID(B605,10,1)</f>
        <v/>
      </c>
      <c r="G605" s="34" t="str">
        <f aca="false">MID(B605,11,1)</f>
        <v/>
      </c>
      <c r="H605" s="35" t="str">
        <f aca="false">IF(G605=".",F605,CONCATENATE(F605,G605))</f>
        <v/>
      </c>
      <c r="I605" s="34" t="n">
        <f aca="false">IFERROR(VALUE(H605),)</f>
        <v>0</v>
      </c>
      <c r="J605" s="34" t="e">
        <f aca="false">RIGHT(B605,LEN(B605)-FIND("/",B605, FIND("Single Cells",B605, 1)))</f>
        <v>#VALUE!</v>
      </c>
    </row>
    <row r="606" customFormat="false" ht="12.75" hidden="false" customHeight="false" outlineLevel="0" collapsed="false">
      <c r="E606" s="34" t="str">
        <f aca="false">MID(B606,9,1)</f>
        <v/>
      </c>
      <c r="F606" s="34" t="str">
        <f aca="false">MID(B606,10,1)</f>
        <v/>
      </c>
      <c r="G606" s="34" t="str">
        <f aca="false">MID(B606,11,1)</f>
        <v/>
      </c>
      <c r="H606" s="35" t="str">
        <f aca="false">IF(G606=".",F606,CONCATENATE(F606,G606))</f>
        <v/>
      </c>
      <c r="I606" s="34" t="n">
        <f aca="false">IFERROR(VALUE(H606),)</f>
        <v>0</v>
      </c>
      <c r="J606" s="34" t="e">
        <f aca="false">RIGHT(B606,LEN(B606)-FIND("/",B606, FIND("Single Cells",B606, 1)))</f>
        <v>#VALUE!</v>
      </c>
    </row>
    <row r="607" customFormat="false" ht="12.75" hidden="false" customHeight="false" outlineLevel="0" collapsed="false">
      <c r="E607" s="34" t="str">
        <f aca="false">MID(B607,9,1)</f>
        <v/>
      </c>
      <c r="F607" s="34" t="str">
        <f aca="false">MID(B607,10,1)</f>
        <v/>
      </c>
      <c r="G607" s="34" t="str">
        <f aca="false">MID(B607,11,1)</f>
        <v/>
      </c>
      <c r="H607" s="35" t="str">
        <f aca="false">IF(G607=".",F607,CONCATENATE(F607,G607))</f>
        <v/>
      </c>
      <c r="I607" s="34" t="n">
        <f aca="false">IFERROR(VALUE(H607),)</f>
        <v>0</v>
      </c>
      <c r="J607" s="34" t="e">
        <f aca="false">RIGHT(B607,LEN(B607)-FIND("/",B607, FIND("Single Cells",B607, 1)))</f>
        <v>#VALUE!</v>
      </c>
    </row>
    <row r="608" customFormat="false" ht="12.75" hidden="false" customHeight="false" outlineLevel="0" collapsed="false">
      <c r="E608" s="34" t="str">
        <f aca="false">MID(B608,9,1)</f>
        <v/>
      </c>
      <c r="F608" s="34" t="str">
        <f aca="false">MID(B608,10,1)</f>
        <v/>
      </c>
      <c r="G608" s="34" t="str">
        <f aca="false">MID(B608,11,1)</f>
        <v/>
      </c>
      <c r="H608" s="35" t="str">
        <f aca="false">IF(G608=".",F608,CONCATENATE(F608,G608))</f>
        <v/>
      </c>
      <c r="I608" s="34" t="n">
        <f aca="false">IFERROR(VALUE(H608),)</f>
        <v>0</v>
      </c>
      <c r="J608" s="34" t="e">
        <f aca="false">RIGHT(B608,LEN(B608)-FIND("/",B608, FIND("Single Cells",B608, 1)))</f>
        <v>#VALUE!</v>
      </c>
    </row>
    <row r="609" customFormat="false" ht="12.75" hidden="false" customHeight="false" outlineLevel="0" collapsed="false">
      <c r="E609" s="34" t="str">
        <f aca="false">MID(B609,9,1)</f>
        <v/>
      </c>
      <c r="F609" s="34" t="str">
        <f aca="false">MID(B609,10,1)</f>
        <v/>
      </c>
      <c r="G609" s="34" t="str">
        <f aca="false">MID(B609,11,1)</f>
        <v/>
      </c>
      <c r="H609" s="35" t="str">
        <f aca="false">IF(G609=".",F609,CONCATENATE(F609,G609))</f>
        <v/>
      </c>
      <c r="I609" s="34" t="n">
        <f aca="false">IFERROR(VALUE(H609),)</f>
        <v>0</v>
      </c>
      <c r="J609" s="34" t="e">
        <f aca="false">RIGHT(B609,LEN(B609)-FIND("/",B609, FIND("Single Cells",B609, 1)))</f>
        <v>#VALUE!</v>
      </c>
    </row>
    <row r="610" customFormat="false" ht="12.75" hidden="false" customHeight="false" outlineLevel="0" collapsed="false">
      <c r="E610" s="34" t="str">
        <f aca="false">MID(B610,9,1)</f>
        <v/>
      </c>
      <c r="F610" s="34" t="str">
        <f aca="false">MID(B610,10,1)</f>
        <v/>
      </c>
      <c r="G610" s="34" t="str">
        <f aca="false">MID(B610,11,1)</f>
        <v/>
      </c>
      <c r="H610" s="35" t="str">
        <f aca="false">IF(G610=".",F610,CONCATENATE(F610,G610))</f>
        <v/>
      </c>
      <c r="I610" s="34" t="n">
        <f aca="false">IFERROR(VALUE(H610),)</f>
        <v>0</v>
      </c>
      <c r="J610" s="34" t="e">
        <f aca="false">RIGHT(B610,LEN(B610)-FIND("/",B610, FIND("Single Cells",B610, 1)))</f>
        <v>#VALUE!</v>
      </c>
    </row>
    <row r="611" customFormat="false" ht="12.75" hidden="false" customHeight="false" outlineLevel="0" collapsed="false">
      <c r="E611" s="34" t="str">
        <f aca="false">MID(B611,9,1)</f>
        <v/>
      </c>
      <c r="F611" s="34" t="str">
        <f aca="false">MID(B611,10,1)</f>
        <v/>
      </c>
      <c r="G611" s="34" t="str">
        <f aca="false">MID(B611,11,1)</f>
        <v/>
      </c>
      <c r="H611" s="35" t="str">
        <f aca="false">IF(G611=".",F611,CONCATENATE(F611,G611))</f>
        <v/>
      </c>
      <c r="I611" s="34" t="n">
        <f aca="false">IFERROR(VALUE(H611),)</f>
        <v>0</v>
      </c>
      <c r="J611" s="34" t="e">
        <f aca="false">RIGHT(B611,LEN(B611)-FIND("/",B611, FIND("Single Cells",B611, 1)))</f>
        <v>#VALUE!</v>
      </c>
    </row>
    <row r="612" customFormat="false" ht="12.75" hidden="false" customHeight="false" outlineLevel="0" collapsed="false">
      <c r="E612" s="34" t="str">
        <f aca="false">MID(B612,9,1)</f>
        <v/>
      </c>
      <c r="F612" s="34" t="str">
        <f aca="false">MID(B612,10,1)</f>
        <v/>
      </c>
      <c r="G612" s="34" t="str">
        <f aca="false">MID(B612,11,1)</f>
        <v/>
      </c>
      <c r="H612" s="35" t="str">
        <f aca="false">IF(G612=".",F612,CONCATENATE(F612,G612))</f>
        <v/>
      </c>
      <c r="I612" s="34" t="n">
        <f aca="false">IFERROR(VALUE(H612),)</f>
        <v>0</v>
      </c>
      <c r="J612" s="34" t="e">
        <f aca="false">RIGHT(B612,LEN(B612)-FIND("/",B612, FIND("Single Cells",B612, 1)))</f>
        <v>#VALUE!</v>
      </c>
    </row>
    <row r="613" customFormat="false" ht="12.75" hidden="false" customHeight="false" outlineLevel="0" collapsed="false">
      <c r="E613" s="34" t="str">
        <f aca="false">MID(B613,9,1)</f>
        <v/>
      </c>
      <c r="F613" s="34" t="str">
        <f aca="false">MID(B613,10,1)</f>
        <v/>
      </c>
      <c r="G613" s="34" t="str">
        <f aca="false">MID(B613,11,1)</f>
        <v/>
      </c>
      <c r="H613" s="35" t="str">
        <f aca="false">IF(G613=".",F613,CONCATENATE(F613,G613))</f>
        <v/>
      </c>
      <c r="I613" s="34" t="n">
        <f aca="false">IFERROR(VALUE(H613),)</f>
        <v>0</v>
      </c>
      <c r="J613" s="34" t="e">
        <f aca="false">RIGHT(B613,LEN(B613)-FIND("/",B613, FIND("Single Cells",B613, 1)))</f>
        <v>#VALUE!</v>
      </c>
    </row>
    <row r="614" customFormat="false" ht="12.75" hidden="false" customHeight="false" outlineLevel="0" collapsed="false">
      <c r="E614" s="34" t="str">
        <f aca="false">MID(B614,9,1)</f>
        <v/>
      </c>
      <c r="F614" s="34" t="str">
        <f aca="false">MID(B614,10,1)</f>
        <v/>
      </c>
      <c r="G614" s="34" t="str">
        <f aca="false">MID(B614,11,1)</f>
        <v/>
      </c>
      <c r="H614" s="35" t="str">
        <f aca="false">IF(G614=".",F614,CONCATENATE(F614,G614))</f>
        <v/>
      </c>
      <c r="I614" s="34" t="n">
        <f aca="false">IFERROR(VALUE(H614),)</f>
        <v>0</v>
      </c>
      <c r="J614" s="34" t="e">
        <f aca="false">RIGHT(B614,LEN(B614)-FIND("/",B614, FIND("Single Cells",B614, 1)))</f>
        <v>#VALUE!</v>
      </c>
    </row>
    <row r="615" customFormat="false" ht="12.75" hidden="false" customHeight="false" outlineLevel="0" collapsed="false">
      <c r="E615" s="34" t="str">
        <f aca="false">MID(B615,9,1)</f>
        <v/>
      </c>
      <c r="F615" s="34" t="str">
        <f aca="false">MID(B615,10,1)</f>
        <v/>
      </c>
      <c r="G615" s="34" t="str">
        <f aca="false">MID(B615,11,1)</f>
        <v/>
      </c>
      <c r="H615" s="35" t="str">
        <f aca="false">IF(G615=".",F615,CONCATENATE(F615,G615))</f>
        <v/>
      </c>
      <c r="I615" s="34" t="n">
        <f aca="false">IFERROR(VALUE(H615),)</f>
        <v>0</v>
      </c>
      <c r="J615" s="34" t="e">
        <f aca="false">RIGHT(B615,LEN(B615)-FIND("/",B615, FIND("Single Cells",B615, 1)))</f>
        <v>#VALUE!</v>
      </c>
    </row>
    <row r="616" customFormat="false" ht="12.75" hidden="false" customHeight="false" outlineLevel="0" collapsed="false">
      <c r="E616" s="34" t="str">
        <f aca="false">MID(B616,9,1)</f>
        <v/>
      </c>
      <c r="F616" s="34" t="str">
        <f aca="false">MID(B616,10,1)</f>
        <v/>
      </c>
      <c r="G616" s="34" t="str">
        <f aca="false">MID(B616,11,1)</f>
        <v/>
      </c>
      <c r="H616" s="35" t="str">
        <f aca="false">IF(G616=".",F616,CONCATENATE(F616,G616))</f>
        <v/>
      </c>
      <c r="I616" s="34" t="n">
        <f aca="false">IFERROR(VALUE(H616),)</f>
        <v>0</v>
      </c>
      <c r="J616" s="34" t="e">
        <f aca="false">RIGHT(B616,LEN(B616)-FIND("/",B616, FIND("Single Cells",B616, 1)))</f>
        <v>#VALUE!</v>
      </c>
    </row>
    <row r="617" customFormat="false" ht="12.75" hidden="false" customHeight="false" outlineLevel="0" collapsed="false">
      <c r="E617" s="34" t="str">
        <f aca="false">MID(B617,9,1)</f>
        <v/>
      </c>
      <c r="F617" s="34" t="str">
        <f aca="false">MID(B617,10,1)</f>
        <v/>
      </c>
      <c r="G617" s="34" t="str">
        <f aca="false">MID(B617,11,1)</f>
        <v/>
      </c>
      <c r="H617" s="35" t="str">
        <f aca="false">IF(G617=".",F617,CONCATENATE(F617,G617))</f>
        <v/>
      </c>
      <c r="I617" s="34" t="n">
        <f aca="false">IFERROR(VALUE(H617),)</f>
        <v>0</v>
      </c>
      <c r="J617" s="34" t="e">
        <f aca="false">RIGHT(B617,LEN(B617)-FIND("/",B617, FIND("Single Cells",B617, 1)))</f>
        <v>#VALUE!</v>
      </c>
    </row>
    <row r="618" customFormat="false" ht="12.75" hidden="false" customHeight="false" outlineLevel="0" collapsed="false">
      <c r="E618" s="34" t="str">
        <f aca="false">MID(B618,9,1)</f>
        <v/>
      </c>
      <c r="F618" s="34" t="str">
        <f aca="false">MID(B618,10,1)</f>
        <v/>
      </c>
      <c r="G618" s="34" t="str">
        <f aca="false">MID(B618,11,1)</f>
        <v/>
      </c>
      <c r="H618" s="35" t="str">
        <f aca="false">IF(G618=".",F618,CONCATENATE(F618,G618))</f>
        <v/>
      </c>
      <c r="I618" s="34" t="n">
        <f aca="false">IFERROR(VALUE(H618),)</f>
        <v>0</v>
      </c>
      <c r="J618" s="34" t="e">
        <f aca="false">RIGHT(B618,LEN(B618)-FIND("/",B618, FIND("Single Cells",B618, 1)))</f>
        <v>#VALUE!</v>
      </c>
    </row>
    <row r="619" customFormat="false" ht="12.75" hidden="false" customHeight="false" outlineLevel="0" collapsed="false">
      <c r="E619" s="34" t="str">
        <f aca="false">MID(B619,9,1)</f>
        <v/>
      </c>
      <c r="F619" s="34" t="str">
        <f aca="false">MID(B619,10,1)</f>
        <v/>
      </c>
      <c r="G619" s="34" t="str">
        <f aca="false">MID(B619,11,1)</f>
        <v/>
      </c>
      <c r="H619" s="35" t="str">
        <f aca="false">IF(G619=".",F619,CONCATENATE(F619,G619))</f>
        <v/>
      </c>
      <c r="I619" s="34" t="n">
        <f aca="false">IFERROR(VALUE(H619),)</f>
        <v>0</v>
      </c>
      <c r="J619" s="34" t="e">
        <f aca="false">RIGHT(B619,LEN(B619)-FIND("/",B619, FIND("Single Cells",B619, 1)))</f>
        <v>#VALUE!</v>
      </c>
    </row>
    <row r="620" customFormat="false" ht="12.75" hidden="false" customHeight="false" outlineLevel="0" collapsed="false">
      <c r="E620" s="34" t="str">
        <f aca="false">MID(B620,9,1)</f>
        <v/>
      </c>
      <c r="F620" s="34" t="str">
        <f aca="false">MID(B620,10,1)</f>
        <v/>
      </c>
      <c r="G620" s="34" t="str">
        <f aca="false">MID(B620,11,1)</f>
        <v/>
      </c>
      <c r="H620" s="35" t="str">
        <f aca="false">IF(G620=".",F620,CONCATENATE(F620,G620))</f>
        <v/>
      </c>
      <c r="I620" s="34" t="n">
        <f aca="false">IFERROR(VALUE(H620),)</f>
        <v>0</v>
      </c>
      <c r="J620" s="34" t="e">
        <f aca="false">RIGHT(B620,LEN(B620)-FIND("/",B620, FIND("Single Cells",B620, 1)))</f>
        <v>#VALUE!</v>
      </c>
    </row>
    <row r="621" customFormat="false" ht="12.75" hidden="false" customHeight="false" outlineLevel="0" collapsed="false">
      <c r="E621" s="34" t="str">
        <f aca="false">MID(B621,9,1)</f>
        <v/>
      </c>
      <c r="F621" s="34" t="str">
        <f aca="false">MID(B621,10,1)</f>
        <v/>
      </c>
      <c r="G621" s="34" t="str">
        <f aca="false">MID(B621,11,1)</f>
        <v/>
      </c>
      <c r="H621" s="35" t="str">
        <f aca="false">IF(G621=".",F621,CONCATENATE(F621,G621))</f>
        <v/>
      </c>
      <c r="I621" s="34" t="n">
        <f aca="false">IFERROR(VALUE(H621),)</f>
        <v>0</v>
      </c>
      <c r="J621" s="34" t="e">
        <f aca="false">RIGHT(B621,LEN(B621)-FIND("/",B621, FIND("Single Cells",B621, 1)))</f>
        <v>#VALUE!</v>
      </c>
    </row>
    <row r="622" customFormat="false" ht="12.75" hidden="false" customHeight="false" outlineLevel="0" collapsed="false">
      <c r="E622" s="34" t="str">
        <f aca="false">MID(B622,9,1)</f>
        <v/>
      </c>
      <c r="F622" s="34" t="str">
        <f aca="false">MID(B622,10,1)</f>
        <v/>
      </c>
      <c r="G622" s="34" t="str">
        <f aca="false">MID(B622,11,1)</f>
        <v/>
      </c>
      <c r="H622" s="35" t="str">
        <f aca="false">IF(G622=".",F622,CONCATENATE(F622,G622))</f>
        <v/>
      </c>
      <c r="I622" s="34" t="n">
        <f aca="false">IFERROR(VALUE(H622),)</f>
        <v>0</v>
      </c>
      <c r="J622" s="34" t="e">
        <f aca="false">RIGHT(B622,LEN(B622)-FIND("/",B622, FIND("Single Cells",B622, 1)))</f>
        <v>#VALUE!</v>
      </c>
    </row>
    <row r="623" customFormat="false" ht="12.75" hidden="false" customHeight="false" outlineLevel="0" collapsed="false">
      <c r="E623" s="34" t="str">
        <f aca="false">MID(B623,9,1)</f>
        <v/>
      </c>
      <c r="F623" s="34" t="str">
        <f aca="false">MID(B623,10,1)</f>
        <v/>
      </c>
      <c r="G623" s="34" t="str">
        <f aca="false">MID(B623,11,1)</f>
        <v/>
      </c>
      <c r="H623" s="35" t="str">
        <f aca="false">IF(G623=".",F623,CONCATENATE(F623,G623))</f>
        <v/>
      </c>
      <c r="I623" s="34" t="n">
        <f aca="false">IFERROR(VALUE(H623),)</f>
        <v>0</v>
      </c>
      <c r="J623" s="34" t="e">
        <f aca="false">RIGHT(B623,LEN(B623)-FIND("/",B623, FIND("Single Cells",B623, 1)))</f>
        <v>#VALUE!</v>
      </c>
    </row>
    <row r="624" customFormat="false" ht="12.75" hidden="false" customHeight="false" outlineLevel="0" collapsed="false">
      <c r="E624" s="34" t="str">
        <f aca="false">MID(B624,9,1)</f>
        <v/>
      </c>
      <c r="F624" s="34" t="str">
        <f aca="false">MID(B624,10,1)</f>
        <v/>
      </c>
      <c r="G624" s="34" t="str">
        <f aca="false">MID(B624,11,1)</f>
        <v/>
      </c>
      <c r="H624" s="35" t="str">
        <f aca="false">IF(G624=".",F624,CONCATENATE(F624,G624))</f>
        <v/>
      </c>
      <c r="I624" s="34" t="n">
        <f aca="false">IFERROR(VALUE(H624),)</f>
        <v>0</v>
      </c>
      <c r="J624" s="34" t="e">
        <f aca="false">RIGHT(B624,LEN(B624)-FIND("/",B624, FIND("Single Cells",B624, 1)))</f>
        <v>#VALUE!</v>
      </c>
    </row>
    <row r="625" customFormat="false" ht="12.75" hidden="false" customHeight="false" outlineLevel="0" collapsed="false">
      <c r="E625" s="34" t="str">
        <f aca="false">MID(B625,9,1)</f>
        <v/>
      </c>
      <c r="F625" s="34" t="str">
        <f aca="false">MID(B625,10,1)</f>
        <v/>
      </c>
      <c r="G625" s="34" t="str">
        <f aca="false">MID(B625,11,1)</f>
        <v/>
      </c>
      <c r="H625" s="35" t="str">
        <f aca="false">IF(G625=".",F625,CONCATENATE(F625,G625))</f>
        <v/>
      </c>
      <c r="I625" s="34" t="n">
        <f aca="false">IFERROR(VALUE(H625),)</f>
        <v>0</v>
      </c>
      <c r="J625" s="34" t="e">
        <f aca="false">RIGHT(B625,LEN(B625)-FIND("/",B625, FIND("Single Cells",B625, 1)))</f>
        <v>#VALUE!</v>
      </c>
    </row>
    <row r="626" customFormat="false" ht="12.75" hidden="false" customHeight="false" outlineLevel="0" collapsed="false">
      <c r="E626" s="34" t="str">
        <f aca="false">MID(B626,9,1)</f>
        <v/>
      </c>
      <c r="F626" s="34" t="str">
        <f aca="false">MID(B626,10,1)</f>
        <v/>
      </c>
      <c r="G626" s="34" t="str">
        <f aca="false">MID(B626,11,1)</f>
        <v/>
      </c>
      <c r="H626" s="35" t="str">
        <f aca="false">IF(G626=".",F626,CONCATENATE(F626,G626))</f>
        <v/>
      </c>
      <c r="I626" s="34" t="n">
        <f aca="false">IFERROR(VALUE(H626),)</f>
        <v>0</v>
      </c>
      <c r="J626" s="34" t="e">
        <f aca="false">RIGHT(B626,LEN(B626)-FIND("/",B626, FIND("Single Cells",B626, 1)))</f>
        <v>#VALUE!</v>
      </c>
    </row>
    <row r="627" customFormat="false" ht="12.75" hidden="false" customHeight="false" outlineLevel="0" collapsed="false">
      <c r="E627" s="34" t="str">
        <f aca="false">MID(B627,9,1)</f>
        <v/>
      </c>
      <c r="F627" s="34" t="str">
        <f aca="false">MID(B627,10,1)</f>
        <v/>
      </c>
      <c r="G627" s="34" t="str">
        <f aca="false">MID(B627,11,1)</f>
        <v/>
      </c>
      <c r="H627" s="35" t="str">
        <f aca="false">IF(G627=".",F627,CONCATENATE(F627,G627))</f>
        <v/>
      </c>
      <c r="I627" s="34" t="n">
        <f aca="false">IFERROR(VALUE(H627),)</f>
        <v>0</v>
      </c>
      <c r="J627" s="34" t="e">
        <f aca="false">RIGHT(B627,LEN(B627)-FIND("/",B627, FIND("Single Cells",B627, 1)))</f>
        <v>#VALUE!</v>
      </c>
    </row>
    <row r="628" customFormat="false" ht="12.75" hidden="false" customHeight="false" outlineLevel="0" collapsed="false">
      <c r="E628" s="34" t="str">
        <f aca="false">MID(B628,9,1)</f>
        <v/>
      </c>
      <c r="F628" s="34" t="str">
        <f aca="false">MID(B628,10,1)</f>
        <v/>
      </c>
      <c r="G628" s="34" t="str">
        <f aca="false">MID(B628,11,1)</f>
        <v/>
      </c>
      <c r="H628" s="35" t="str">
        <f aca="false">IF(G628=".",F628,CONCATENATE(F628,G628))</f>
        <v/>
      </c>
      <c r="I628" s="34" t="n">
        <f aca="false">IFERROR(VALUE(H628),)</f>
        <v>0</v>
      </c>
      <c r="J628" s="34" t="e">
        <f aca="false">RIGHT(B628,LEN(B628)-FIND("/",B628, FIND("Single Cells",B628, 1)))</f>
        <v>#VALUE!</v>
      </c>
    </row>
    <row r="629" customFormat="false" ht="12.75" hidden="false" customHeight="false" outlineLevel="0" collapsed="false">
      <c r="E629" s="34" t="str">
        <f aca="false">MID(B629,9,1)</f>
        <v/>
      </c>
      <c r="F629" s="34" t="str">
        <f aca="false">MID(B629,10,1)</f>
        <v/>
      </c>
      <c r="G629" s="34" t="str">
        <f aca="false">MID(B629,11,1)</f>
        <v/>
      </c>
      <c r="H629" s="35" t="str">
        <f aca="false">IF(G629=".",F629,CONCATENATE(F629,G629))</f>
        <v/>
      </c>
      <c r="I629" s="34" t="n">
        <f aca="false">IFERROR(VALUE(H629),)</f>
        <v>0</v>
      </c>
      <c r="J629" s="34" t="e">
        <f aca="false">RIGHT(B629,LEN(B629)-FIND("/",B629, FIND("Single Cells",B629, 1)))</f>
        <v>#VALUE!</v>
      </c>
    </row>
    <row r="630" customFormat="false" ht="12.75" hidden="false" customHeight="false" outlineLevel="0" collapsed="false">
      <c r="E630" s="34" t="str">
        <f aca="false">MID(B630,9,1)</f>
        <v/>
      </c>
      <c r="F630" s="34" t="str">
        <f aca="false">MID(B630,10,1)</f>
        <v/>
      </c>
      <c r="G630" s="34" t="str">
        <f aca="false">MID(B630,11,1)</f>
        <v/>
      </c>
      <c r="H630" s="35" t="str">
        <f aca="false">IF(G630=".",F630,CONCATENATE(F630,G630))</f>
        <v/>
      </c>
      <c r="I630" s="34" t="n">
        <f aca="false">IFERROR(VALUE(H630),)</f>
        <v>0</v>
      </c>
      <c r="J630" s="34" t="e">
        <f aca="false">RIGHT(B630,LEN(B630)-FIND("/",B630, FIND("Single Cells",B630, 1)))</f>
        <v>#VALUE!</v>
      </c>
    </row>
    <row r="631" customFormat="false" ht="12.75" hidden="false" customHeight="false" outlineLevel="0" collapsed="false">
      <c r="E631" s="34" t="str">
        <f aca="false">MID(B631,9,1)</f>
        <v/>
      </c>
      <c r="F631" s="34" t="str">
        <f aca="false">MID(B631,10,1)</f>
        <v/>
      </c>
      <c r="G631" s="34" t="str">
        <f aca="false">MID(B631,11,1)</f>
        <v/>
      </c>
      <c r="H631" s="35" t="str">
        <f aca="false">IF(G631=".",F631,CONCATENATE(F631,G631))</f>
        <v/>
      </c>
      <c r="I631" s="34" t="n">
        <f aca="false">IFERROR(VALUE(H631),)</f>
        <v>0</v>
      </c>
      <c r="J631" s="34" t="e">
        <f aca="false">RIGHT(B631,LEN(B631)-FIND("/",B631, FIND("Single Cells",B631, 1)))</f>
        <v>#VALUE!</v>
      </c>
    </row>
    <row r="632" customFormat="false" ht="12.75" hidden="false" customHeight="false" outlineLevel="0" collapsed="false">
      <c r="E632" s="34" t="str">
        <f aca="false">MID(B632,9,1)</f>
        <v/>
      </c>
      <c r="F632" s="34" t="str">
        <f aca="false">MID(B632,10,1)</f>
        <v/>
      </c>
      <c r="G632" s="34" t="str">
        <f aca="false">MID(B632,11,1)</f>
        <v/>
      </c>
      <c r="H632" s="35" t="str">
        <f aca="false">IF(G632=".",F632,CONCATENATE(F632,G632))</f>
        <v/>
      </c>
      <c r="I632" s="34" t="n">
        <f aca="false">IFERROR(VALUE(H632),)</f>
        <v>0</v>
      </c>
      <c r="J632" s="34" t="e">
        <f aca="false">RIGHT(B632,LEN(B632)-FIND("/",B632, FIND("Single Cells",B632, 1)))</f>
        <v>#VALUE!</v>
      </c>
    </row>
    <row r="633" customFormat="false" ht="12.75" hidden="false" customHeight="false" outlineLevel="0" collapsed="false">
      <c r="E633" s="34" t="str">
        <f aca="false">MID(B633,9,1)</f>
        <v/>
      </c>
      <c r="F633" s="34" t="str">
        <f aca="false">MID(B633,10,1)</f>
        <v/>
      </c>
      <c r="G633" s="34" t="str">
        <f aca="false">MID(B633,11,1)</f>
        <v/>
      </c>
      <c r="H633" s="35" t="str">
        <f aca="false">IF(G633=".",F633,CONCATENATE(F633,G633))</f>
        <v/>
      </c>
      <c r="I633" s="34" t="n">
        <f aca="false">IFERROR(VALUE(H633),)</f>
        <v>0</v>
      </c>
      <c r="J633" s="34" t="e">
        <f aca="false">RIGHT(B633,LEN(B633)-FIND("/",B633, FIND("Single Cells",B633, 1)))</f>
        <v>#VALUE!</v>
      </c>
    </row>
    <row r="634" customFormat="false" ht="12.75" hidden="false" customHeight="false" outlineLevel="0" collapsed="false">
      <c r="E634" s="34" t="str">
        <f aca="false">MID(B634,9,1)</f>
        <v/>
      </c>
      <c r="F634" s="34" t="str">
        <f aca="false">MID(B634,10,1)</f>
        <v/>
      </c>
      <c r="G634" s="34" t="str">
        <f aca="false">MID(B634,11,1)</f>
        <v/>
      </c>
      <c r="H634" s="35" t="str">
        <f aca="false">IF(G634=".",F634,CONCATENATE(F634,G634))</f>
        <v/>
      </c>
      <c r="I634" s="34" t="n">
        <f aca="false">IFERROR(VALUE(H634),)</f>
        <v>0</v>
      </c>
      <c r="J634" s="34" t="e">
        <f aca="false">RIGHT(B634,LEN(B634)-FIND("/",B634, FIND("Single Cells",B634, 1)))</f>
        <v>#VALUE!</v>
      </c>
    </row>
    <row r="635" customFormat="false" ht="12.75" hidden="false" customHeight="false" outlineLevel="0" collapsed="false">
      <c r="E635" s="34" t="str">
        <f aca="false">MID(B635,9,1)</f>
        <v/>
      </c>
      <c r="F635" s="34" t="str">
        <f aca="false">MID(B635,10,1)</f>
        <v/>
      </c>
      <c r="G635" s="34" t="str">
        <f aca="false">MID(B635,11,1)</f>
        <v/>
      </c>
      <c r="H635" s="35" t="str">
        <f aca="false">IF(G635=".",F635,CONCATENATE(F635,G635))</f>
        <v/>
      </c>
      <c r="I635" s="34" t="n">
        <f aca="false">IFERROR(VALUE(H635),)</f>
        <v>0</v>
      </c>
      <c r="J635" s="34" t="e">
        <f aca="false">RIGHT(B635,LEN(B635)-FIND("/",B635, FIND("Single Cells",B635, 1)))</f>
        <v>#VALUE!</v>
      </c>
    </row>
    <row r="636" customFormat="false" ht="12.75" hidden="false" customHeight="false" outlineLevel="0" collapsed="false">
      <c r="E636" s="34" t="str">
        <f aca="false">MID(B636,9,1)</f>
        <v/>
      </c>
      <c r="F636" s="34" t="str">
        <f aca="false">MID(B636,10,1)</f>
        <v/>
      </c>
      <c r="G636" s="34" t="str">
        <f aca="false">MID(B636,11,1)</f>
        <v/>
      </c>
      <c r="H636" s="35" t="str">
        <f aca="false">IF(G636=".",F636,CONCATENATE(F636,G636))</f>
        <v/>
      </c>
      <c r="I636" s="34" t="n">
        <f aca="false">IFERROR(VALUE(H636),)</f>
        <v>0</v>
      </c>
      <c r="J636" s="34" t="e">
        <f aca="false">RIGHT(B636,LEN(B636)-FIND("/",B636, FIND("Single Cells",B636, 1)))</f>
        <v>#VALUE!</v>
      </c>
    </row>
    <row r="637" customFormat="false" ht="12.75" hidden="false" customHeight="false" outlineLevel="0" collapsed="false">
      <c r="E637" s="34" t="str">
        <f aca="false">MID(B637,9,1)</f>
        <v/>
      </c>
      <c r="F637" s="34" t="str">
        <f aca="false">MID(B637,10,1)</f>
        <v/>
      </c>
      <c r="G637" s="34" t="str">
        <f aca="false">MID(B637,11,1)</f>
        <v/>
      </c>
      <c r="H637" s="35" t="str">
        <f aca="false">IF(G637=".",F637,CONCATENATE(F637,G637))</f>
        <v/>
      </c>
      <c r="I637" s="34" t="n">
        <f aca="false">IFERROR(VALUE(H637),)</f>
        <v>0</v>
      </c>
      <c r="J637" s="34" t="e">
        <f aca="false">RIGHT(B637,LEN(B637)-FIND("/",B637, FIND("Single Cells",B637, 1)))</f>
        <v>#VALUE!</v>
      </c>
    </row>
    <row r="638" customFormat="false" ht="12.75" hidden="false" customHeight="false" outlineLevel="0" collapsed="false">
      <c r="E638" s="34" t="str">
        <f aca="false">MID(B638,9,1)</f>
        <v/>
      </c>
      <c r="F638" s="34" t="str">
        <f aca="false">MID(B638,10,1)</f>
        <v/>
      </c>
      <c r="G638" s="34" t="str">
        <f aca="false">MID(B638,11,1)</f>
        <v/>
      </c>
      <c r="H638" s="35" t="str">
        <f aca="false">IF(G638=".",F638,CONCATENATE(F638,G638))</f>
        <v/>
      </c>
      <c r="I638" s="34" t="n">
        <f aca="false">IFERROR(VALUE(H638),)</f>
        <v>0</v>
      </c>
      <c r="J638" s="34" t="e">
        <f aca="false">RIGHT(B638,LEN(B638)-FIND("/",B638, FIND("Single Cells",B638, 1)))</f>
        <v>#VALUE!</v>
      </c>
    </row>
    <row r="639" customFormat="false" ht="12.75" hidden="false" customHeight="false" outlineLevel="0" collapsed="false">
      <c r="E639" s="34" t="str">
        <f aca="false">MID(B639,9,1)</f>
        <v/>
      </c>
      <c r="F639" s="34" t="str">
        <f aca="false">MID(B639,10,1)</f>
        <v/>
      </c>
      <c r="G639" s="34" t="str">
        <f aca="false">MID(B639,11,1)</f>
        <v/>
      </c>
      <c r="H639" s="35" t="str">
        <f aca="false">IF(G639=".",F639,CONCATENATE(F639,G639))</f>
        <v/>
      </c>
      <c r="I639" s="34" t="n">
        <f aca="false">IFERROR(VALUE(H639),)</f>
        <v>0</v>
      </c>
      <c r="J639" s="34" t="e">
        <f aca="false">RIGHT(B639,LEN(B639)-FIND("/",B639, FIND("Single Cells",B639, 1)))</f>
        <v>#VALUE!</v>
      </c>
    </row>
    <row r="640" customFormat="false" ht="12.75" hidden="false" customHeight="false" outlineLevel="0" collapsed="false">
      <c r="E640" s="34" t="str">
        <f aca="false">MID(B640,9,1)</f>
        <v/>
      </c>
      <c r="F640" s="34" t="str">
        <f aca="false">MID(B640,10,1)</f>
        <v/>
      </c>
      <c r="G640" s="34" t="str">
        <f aca="false">MID(B640,11,1)</f>
        <v/>
      </c>
      <c r="H640" s="35" t="str">
        <f aca="false">IF(G640=".",F640,CONCATENATE(F640,G640))</f>
        <v/>
      </c>
      <c r="I640" s="34" t="n">
        <f aca="false">IFERROR(VALUE(H640),)</f>
        <v>0</v>
      </c>
      <c r="J640" s="34" t="e">
        <f aca="false">RIGHT(B640,LEN(B640)-FIND("/",B640, FIND("Single Cells",B640, 1)))</f>
        <v>#VALUE!</v>
      </c>
    </row>
    <row r="641" customFormat="false" ht="12.75" hidden="false" customHeight="false" outlineLevel="0" collapsed="false">
      <c r="E641" s="34" t="str">
        <f aca="false">MID(B641,9,1)</f>
        <v/>
      </c>
      <c r="F641" s="34" t="str">
        <f aca="false">MID(B641,10,1)</f>
        <v/>
      </c>
      <c r="G641" s="34" t="str">
        <f aca="false">MID(B641,11,1)</f>
        <v/>
      </c>
      <c r="H641" s="35" t="str">
        <f aca="false">IF(G641=".",F641,CONCATENATE(F641,G641))</f>
        <v/>
      </c>
      <c r="I641" s="34" t="n">
        <f aca="false">IFERROR(VALUE(H641),)</f>
        <v>0</v>
      </c>
      <c r="J641" s="34" t="e">
        <f aca="false">RIGHT(B641,LEN(B641)-FIND("/",B641, FIND("Single Cells",B641, 1)))</f>
        <v>#VALUE!</v>
      </c>
    </row>
    <row r="642" customFormat="false" ht="12.75" hidden="false" customHeight="false" outlineLevel="0" collapsed="false">
      <c r="E642" s="34" t="str">
        <f aca="false">MID(B642,9,1)</f>
        <v/>
      </c>
      <c r="F642" s="34" t="str">
        <f aca="false">MID(B642,10,1)</f>
        <v/>
      </c>
      <c r="G642" s="34" t="str">
        <f aca="false">MID(B642,11,1)</f>
        <v/>
      </c>
      <c r="H642" s="35" t="str">
        <f aca="false">IF(G642=".",F642,CONCATENATE(F642,G642))</f>
        <v/>
      </c>
      <c r="I642" s="34" t="n">
        <f aca="false">IFERROR(VALUE(H642),)</f>
        <v>0</v>
      </c>
      <c r="J642" s="34" t="e">
        <f aca="false">RIGHT(B642,LEN(B642)-FIND("/",B642, FIND("Single Cells",B642, 1)))</f>
        <v>#VALUE!</v>
      </c>
    </row>
    <row r="643" customFormat="false" ht="12.75" hidden="false" customHeight="false" outlineLevel="0" collapsed="false">
      <c r="E643" s="34" t="str">
        <f aca="false">MID(B643,9,1)</f>
        <v/>
      </c>
      <c r="F643" s="34" t="str">
        <f aca="false">MID(B643,10,1)</f>
        <v/>
      </c>
      <c r="G643" s="34" t="str">
        <f aca="false">MID(B643,11,1)</f>
        <v/>
      </c>
      <c r="H643" s="35" t="str">
        <f aca="false">IF(G643=".",F643,CONCATENATE(F643,G643))</f>
        <v/>
      </c>
      <c r="I643" s="34" t="n">
        <f aca="false">IFERROR(VALUE(H643),)</f>
        <v>0</v>
      </c>
      <c r="J643" s="34" t="e">
        <f aca="false">RIGHT(B643,LEN(B643)-FIND("/",B643, FIND("Single Cells",B643, 1)))</f>
        <v>#VALUE!</v>
      </c>
    </row>
    <row r="644" customFormat="false" ht="12.75" hidden="false" customHeight="false" outlineLevel="0" collapsed="false">
      <c r="E644" s="34" t="str">
        <f aca="false">MID(B644,9,1)</f>
        <v/>
      </c>
      <c r="F644" s="34" t="str">
        <f aca="false">MID(B644,10,1)</f>
        <v/>
      </c>
      <c r="G644" s="34" t="str">
        <f aca="false">MID(B644,11,1)</f>
        <v/>
      </c>
      <c r="H644" s="35" t="str">
        <f aca="false">IF(G644=".",F644,CONCATENATE(F644,G644))</f>
        <v/>
      </c>
      <c r="I644" s="34" t="n">
        <f aca="false">IFERROR(VALUE(H644),)</f>
        <v>0</v>
      </c>
      <c r="J644" s="34" t="e">
        <f aca="false">RIGHT(B644,LEN(B644)-FIND("/",B644, FIND("Single Cells",B644, 1)))</f>
        <v>#VALUE!</v>
      </c>
    </row>
    <row r="645" customFormat="false" ht="12.75" hidden="false" customHeight="false" outlineLevel="0" collapsed="false">
      <c r="E645" s="34" t="str">
        <f aca="false">MID(B645,9,1)</f>
        <v/>
      </c>
      <c r="F645" s="34" t="str">
        <f aca="false">MID(B645,10,1)</f>
        <v/>
      </c>
      <c r="G645" s="34" t="str">
        <f aca="false">MID(B645,11,1)</f>
        <v/>
      </c>
      <c r="H645" s="35" t="str">
        <f aca="false">IF(G645=".",F645,CONCATENATE(F645,G645))</f>
        <v/>
      </c>
      <c r="I645" s="34" t="n">
        <f aca="false">IFERROR(VALUE(H645),)</f>
        <v>0</v>
      </c>
      <c r="J645" s="34" t="e">
        <f aca="false">RIGHT(B645,LEN(B645)-FIND("/",B645, FIND("Single Cells",B645, 1)))</f>
        <v>#VALUE!</v>
      </c>
    </row>
    <row r="646" customFormat="false" ht="12.75" hidden="false" customHeight="false" outlineLevel="0" collapsed="false">
      <c r="E646" s="34" t="str">
        <f aca="false">MID(B646,9,1)</f>
        <v/>
      </c>
      <c r="F646" s="34" t="str">
        <f aca="false">MID(B646,10,1)</f>
        <v/>
      </c>
      <c r="G646" s="34" t="str">
        <f aca="false">MID(B646,11,1)</f>
        <v/>
      </c>
      <c r="H646" s="35" t="str">
        <f aca="false">IF(G646=".",F646,CONCATENATE(F646,G646))</f>
        <v/>
      </c>
      <c r="I646" s="34" t="n">
        <f aca="false">IFERROR(VALUE(H646),)</f>
        <v>0</v>
      </c>
      <c r="J646" s="34" t="e">
        <f aca="false">RIGHT(B646,LEN(B646)-FIND("/",B646, FIND("Single Cells",B646, 1)))</f>
        <v>#VALUE!</v>
      </c>
    </row>
    <row r="647" customFormat="false" ht="12.75" hidden="false" customHeight="false" outlineLevel="0" collapsed="false">
      <c r="E647" s="34" t="str">
        <f aca="false">MID(B647,9,1)</f>
        <v/>
      </c>
      <c r="F647" s="34" t="str">
        <f aca="false">MID(B647,10,1)</f>
        <v/>
      </c>
      <c r="G647" s="34" t="str">
        <f aca="false">MID(B647,11,1)</f>
        <v/>
      </c>
      <c r="H647" s="35" t="str">
        <f aca="false">IF(G647=".",F647,CONCATENATE(F647,G647))</f>
        <v/>
      </c>
      <c r="I647" s="34" t="n">
        <f aca="false">IFERROR(VALUE(H647),)</f>
        <v>0</v>
      </c>
      <c r="J647" s="34" t="e">
        <f aca="false">RIGHT(B647,LEN(B647)-FIND("/",B647, FIND("Single Cells",B647, 1)))</f>
        <v>#VALUE!</v>
      </c>
    </row>
    <row r="648" customFormat="false" ht="12.75" hidden="false" customHeight="false" outlineLevel="0" collapsed="false">
      <c r="E648" s="34" t="str">
        <f aca="false">MID(B648,9,1)</f>
        <v/>
      </c>
      <c r="F648" s="34" t="str">
        <f aca="false">MID(B648,10,1)</f>
        <v/>
      </c>
      <c r="G648" s="34" t="str">
        <f aca="false">MID(B648,11,1)</f>
        <v/>
      </c>
      <c r="H648" s="35" t="str">
        <f aca="false">IF(G648=".",F648,CONCATENATE(F648,G648))</f>
        <v/>
      </c>
      <c r="I648" s="34" t="n">
        <f aca="false">IFERROR(VALUE(H648),)</f>
        <v>0</v>
      </c>
      <c r="J648" s="34" t="e">
        <f aca="false">RIGHT(B648,LEN(B648)-FIND("/",B648, FIND("Single Cells",B648, 1)))</f>
        <v>#VALUE!</v>
      </c>
    </row>
    <row r="649" customFormat="false" ht="12.75" hidden="false" customHeight="false" outlineLevel="0" collapsed="false">
      <c r="E649" s="34" t="str">
        <f aca="false">MID(B649,9,1)</f>
        <v/>
      </c>
      <c r="F649" s="34" t="str">
        <f aca="false">MID(B649,10,1)</f>
        <v/>
      </c>
      <c r="G649" s="34" t="str">
        <f aca="false">MID(B649,11,1)</f>
        <v/>
      </c>
      <c r="H649" s="35" t="str">
        <f aca="false">IF(G649=".",F649,CONCATENATE(F649,G649))</f>
        <v/>
      </c>
      <c r="I649" s="34" t="n">
        <f aca="false">IFERROR(VALUE(H649),)</f>
        <v>0</v>
      </c>
      <c r="J649" s="34" t="e">
        <f aca="false">RIGHT(B649,LEN(B649)-FIND("/",B649, FIND("Single Cells",B649, 1)))</f>
        <v>#VALUE!</v>
      </c>
    </row>
    <row r="650" customFormat="false" ht="12.75" hidden="false" customHeight="false" outlineLevel="0" collapsed="false">
      <c r="E650" s="34" t="str">
        <f aca="false">MID(B650,9,1)</f>
        <v/>
      </c>
      <c r="F650" s="34" t="str">
        <f aca="false">MID(B650,10,1)</f>
        <v/>
      </c>
      <c r="G650" s="34" t="str">
        <f aca="false">MID(B650,11,1)</f>
        <v/>
      </c>
      <c r="H650" s="35" t="str">
        <f aca="false">IF(G650=".",F650,CONCATENATE(F650,G650))</f>
        <v/>
      </c>
      <c r="I650" s="34" t="n">
        <f aca="false">IFERROR(VALUE(H650),)</f>
        <v>0</v>
      </c>
      <c r="J650" s="34" t="e">
        <f aca="false">RIGHT(B650,LEN(B650)-FIND("/",B650, FIND("Single Cells",B650, 1)))</f>
        <v>#VALUE!</v>
      </c>
    </row>
    <row r="651" customFormat="false" ht="12.75" hidden="false" customHeight="false" outlineLevel="0" collapsed="false">
      <c r="E651" s="34" t="str">
        <f aca="false">MID(B651,9,1)</f>
        <v/>
      </c>
      <c r="F651" s="34" t="str">
        <f aca="false">MID(B651,10,1)</f>
        <v/>
      </c>
      <c r="G651" s="34" t="str">
        <f aca="false">MID(B651,11,1)</f>
        <v/>
      </c>
      <c r="H651" s="35" t="str">
        <f aca="false">IF(G651=".",F651,CONCATENATE(F651,G651))</f>
        <v/>
      </c>
      <c r="I651" s="34" t="n">
        <f aca="false">IFERROR(VALUE(H651),)</f>
        <v>0</v>
      </c>
      <c r="J651" s="34" t="e">
        <f aca="false">RIGHT(B651,LEN(B651)-FIND("/",B651, FIND("Single Cells",B651, 1)))</f>
        <v>#VALUE!</v>
      </c>
    </row>
    <row r="652" customFormat="false" ht="12.75" hidden="false" customHeight="false" outlineLevel="0" collapsed="false">
      <c r="E652" s="34" t="str">
        <f aca="false">MID(B652,9,1)</f>
        <v/>
      </c>
      <c r="F652" s="34" t="str">
        <f aca="false">MID(B652,10,1)</f>
        <v/>
      </c>
      <c r="G652" s="34" t="str">
        <f aca="false">MID(B652,11,1)</f>
        <v/>
      </c>
      <c r="H652" s="35" t="str">
        <f aca="false">IF(G652=".",F652,CONCATENATE(F652,G652))</f>
        <v/>
      </c>
      <c r="I652" s="34" t="n">
        <f aca="false">IFERROR(VALUE(H652),)</f>
        <v>0</v>
      </c>
      <c r="J652" s="34" t="e">
        <f aca="false">RIGHT(B652,LEN(B652)-FIND("/",B652, FIND("Single Cells",B652, 1)))</f>
        <v>#VALUE!</v>
      </c>
    </row>
    <row r="653" customFormat="false" ht="12.75" hidden="false" customHeight="false" outlineLevel="0" collapsed="false">
      <c r="E653" s="34" t="str">
        <f aca="false">MID(B653,9,1)</f>
        <v/>
      </c>
      <c r="F653" s="34" t="str">
        <f aca="false">MID(B653,10,1)</f>
        <v/>
      </c>
      <c r="G653" s="34" t="str">
        <f aca="false">MID(B653,11,1)</f>
        <v/>
      </c>
      <c r="H653" s="35" t="str">
        <f aca="false">IF(G653=".",F653,CONCATENATE(F653,G653))</f>
        <v/>
      </c>
      <c r="I653" s="34" t="n">
        <f aca="false">IFERROR(VALUE(H653),)</f>
        <v>0</v>
      </c>
      <c r="J653" s="34" t="e">
        <f aca="false">RIGHT(B653,LEN(B653)-FIND("/",B653, FIND("Single Cells",B653, 1)))</f>
        <v>#VALUE!</v>
      </c>
    </row>
    <row r="654" customFormat="false" ht="12.75" hidden="false" customHeight="false" outlineLevel="0" collapsed="false">
      <c r="E654" s="34" t="str">
        <f aca="false">MID(B654,9,1)</f>
        <v/>
      </c>
      <c r="F654" s="34" t="str">
        <f aca="false">MID(B654,10,1)</f>
        <v/>
      </c>
      <c r="G654" s="34" t="str">
        <f aca="false">MID(B654,11,1)</f>
        <v/>
      </c>
      <c r="H654" s="35" t="str">
        <f aca="false">IF(G654=".",F654,CONCATENATE(F654,G654))</f>
        <v/>
      </c>
      <c r="I654" s="34" t="n">
        <f aca="false">IFERROR(VALUE(H654),)</f>
        <v>0</v>
      </c>
      <c r="J654" s="34" t="e">
        <f aca="false">RIGHT(B654,LEN(B654)-FIND("/",B654, FIND("Single Cells",B654, 1)))</f>
        <v>#VALUE!</v>
      </c>
    </row>
    <row r="655" customFormat="false" ht="12.75" hidden="false" customHeight="false" outlineLevel="0" collapsed="false">
      <c r="E655" s="34" t="str">
        <f aca="false">MID(B655,9,1)</f>
        <v/>
      </c>
      <c r="F655" s="34" t="str">
        <f aca="false">MID(B655,10,1)</f>
        <v/>
      </c>
      <c r="G655" s="34" t="str">
        <f aca="false">MID(B655,11,1)</f>
        <v/>
      </c>
      <c r="H655" s="35" t="str">
        <f aca="false">IF(G655=".",F655,CONCATENATE(F655,G655))</f>
        <v/>
      </c>
      <c r="I655" s="34" t="n">
        <f aca="false">IFERROR(VALUE(H655),)</f>
        <v>0</v>
      </c>
      <c r="J655" s="34" t="e">
        <f aca="false">RIGHT(B655,LEN(B655)-FIND("/",B655, FIND("Single Cells",B655, 1)))</f>
        <v>#VALUE!</v>
      </c>
    </row>
    <row r="656" customFormat="false" ht="12.75" hidden="false" customHeight="false" outlineLevel="0" collapsed="false">
      <c r="E656" s="34" t="str">
        <f aca="false">MID(B656,9,1)</f>
        <v/>
      </c>
      <c r="F656" s="34" t="str">
        <f aca="false">MID(B656,10,1)</f>
        <v/>
      </c>
      <c r="G656" s="34" t="str">
        <f aca="false">MID(B656,11,1)</f>
        <v/>
      </c>
      <c r="H656" s="35" t="str">
        <f aca="false">IF(G656=".",F656,CONCATENATE(F656,G656))</f>
        <v/>
      </c>
      <c r="I656" s="34" t="n">
        <f aca="false">IFERROR(VALUE(H656),)</f>
        <v>0</v>
      </c>
      <c r="J656" s="34" t="e">
        <f aca="false">RIGHT(B656,LEN(B656)-FIND("/",B656, FIND("Single Cells",B656, 1)))</f>
        <v>#VALUE!</v>
      </c>
    </row>
    <row r="657" customFormat="false" ht="12.75" hidden="false" customHeight="false" outlineLevel="0" collapsed="false">
      <c r="E657" s="34" t="str">
        <f aca="false">MID(B657,9,1)</f>
        <v/>
      </c>
      <c r="F657" s="34" t="str">
        <f aca="false">MID(B657,10,1)</f>
        <v/>
      </c>
      <c r="G657" s="34" t="str">
        <f aca="false">MID(B657,11,1)</f>
        <v/>
      </c>
      <c r="H657" s="35" t="str">
        <f aca="false">IF(G657=".",F657,CONCATENATE(F657,G657))</f>
        <v/>
      </c>
      <c r="I657" s="34" t="n">
        <f aca="false">IFERROR(VALUE(H657),)</f>
        <v>0</v>
      </c>
      <c r="J657" s="34" t="e">
        <f aca="false">RIGHT(B657,LEN(B657)-FIND("/",B657, FIND("Single Cells",B657, 1)))</f>
        <v>#VALUE!</v>
      </c>
    </row>
    <row r="658" customFormat="false" ht="12.75" hidden="false" customHeight="false" outlineLevel="0" collapsed="false">
      <c r="E658" s="34" t="str">
        <f aca="false">MID(B658,9,1)</f>
        <v/>
      </c>
      <c r="F658" s="34" t="str">
        <f aca="false">MID(B658,10,1)</f>
        <v/>
      </c>
      <c r="G658" s="34" t="str">
        <f aca="false">MID(B658,11,1)</f>
        <v/>
      </c>
      <c r="H658" s="35" t="str">
        <f aca="false">IF(G658=".",F658,CONCATENATE(F658,G658))</f>
        <v/>
      </c>
      <c r="I658" s="34" t="n">
        <f aca="false">IFERROR(VALUE(H658),)</f>
        <v>0</v>
      </c>
      <c r="J658" s="34" t="e">
        <f aca="false">RIGHT(B658,LEN(B658)-FIND("/",B658, FIND("Single Cells",B658, 1)))</f>
        <v>#VALUE!</v>
      </c>
    </row>
    <row r="659" customFormat="false" ht="12.75" hidden="false" customHeight="false" outlineLevel="0" collapsed="false">
      <c r="E659" s="34" t="str">
        <f aca="false">MID(B659,9,1)</f>
        <v/>
      </c>
      <c r="F659" s="34" t="str">
        <f aca="false">MID(B659,10,1)</f>
        <v/>
      </c>
      <c r="G659" s="34" t="str">
        <f aca="false">MID(B659,11,1)</f>
        <v/>
      </c>
      <c r="H659" s="35" t="str">
        <f aca="false">IF(G659=".",F659,CONCATENATE(F659,G659))</f>
        <v/>
      </c>
      <c r="I659" s="34" t="n">
        <f aca="false">IFERROR(VALUE(H659),)</f>
        <v>0</v>
      </c>
      <c r="J659" s="34" t="e">
        <f aca="false">RIGHT(B659,LEN(B659)-FIND("/",B659, FIND("Single Cells",B659, 1)))</f>
        <v>#VALUE!</v>
      </c>
    </row>
    <row r="660" customFormat="false" ht="12.75" hidden="false" customHeight="false" outlineLevel="0" collapsed="false">
      <c r="E660" s="34" t="str">
        <f aca="false">MID(B660,9,1)</f>
        <v/>
      </c>
      <c r="F660" s="34" t="str">
        <f aca="false">MID(B660,10,1)</f>
        <v/>
      </c>
      <c r="G660" s="34" t="str">
        <f aca="false">MID(B660,11,1)</f>
        <v/>
      </c>
      <c r="H660" s="35" t="str">
        <f aca="false">IF(G660=".",F660,CONCATENATE(F660,G660))</f>
        <v/>
      </c>
      <c r="I660" s="34" t="n">
        <f aca="false">IFERROR(VALUE(H660),)</f>
        <v>0</v>
      </c>
      <c r="J660" s="34" t="e">
        <f aca="false">RIGHT(B660,LEN(B660)-FIND("/",B660, FIND("Single Cells",B660, 1)))</f>
        <v>#VALUE!</v>
      </c>
    </row>
    <row r="661" customFormat="false" ht="12.75" hidden="false" customHeight="false" outlineLevel="0" collapsed="false">
      <c r="E661" s="34" t="str">
        <f aca="false">MID(B661,9,1)</f>
        <v/>
      </c>
      <c r="F661" s="34" t="str">
        <f aca="false">MID(B661,10,1)</f>
        <v/>
      </c>
      <c r="G661" s="34" t="str">
        <f aca="false">MID(B661,11,1)</f>
        <v/>
      </c>
      <c r="H661" s="35" t="str">
        <f aca="false">IF(G661=".",F661,CONCATENATE(F661,G661))</f>
        <v/>
      </c>
      <c r="I661" s="34" t="n">
        <f aca="false">IFERROR(VALUE(H661),)</f>
        <v>0</v>
      </c>
      <c r="J661" s="34" t="e">
        <f aca="false">RIGHT(B661,LEN(B661)-FIND("/",B661, FIND("Single Cells",B661, 1)))</f>
        <v>#VALUE!</v>
      </c>
    </row>
    <row r="662" customFormat="false" ht="12.75" hidden="false" customHeight="false" outlineLevel="0" collapsed="false">
      <c r="E662" s="34" t="str">
        <f aca="false">MID(B662,9,1)</f>
        <v/>
      </c>
      <c r="F662" s="34" t="str">
        <f aca="false">MID(B662,10,1)</f>
        <v/>
      </c>
      <c r="G662" s="34" t="str">
        <f aca="false">MID(B662,11,1)</f>
        <v/>
      </c>
      <c r="H662" s="35" t="str">
        <f aca="false">IF(G662=".",F662,CONCATENATE(F662,G662))</f>
        <v/>
      </c>
      <c r="I662" s="34" t="n">
        <f aca="false">IFERROR(VALUE(H662),)</f>
        <v>0</v>
      </c>
      <c r="J662" s="34" t="e">
        <f aca="false">RIGHT(B662,LEN(B662)-FIND("/",B662, FIND("Single Cells",B662, 1)))</f>
        <v>#VALUE!</v>
      </c>
    </row>
    <row r="663" customFormat="false" ht="12.75" hidden="false" customHeight="false" outlineLevel="0" collapsed="false">
      <c r="E663" s="34" t="str">
        <f aca="false">MID(B663,9,1)</f>
        <v/>
      </c>
      <c r="F663" s="34" t="str">
        <f aca="false">MID(B663,10,1)</f>
        <v/>
      </c>
      <c r="G663" s="34" t="str">
        <f aca="false">MID(B663,11,1)</f>
        <v/>
      </c>
      <c r="H663" s="35" t="str">
        <f aca="false">IF(G663=".",F663,CONCATENATE(F663,G663))</f>
        <v/>
      </c>
      <c r="I663" s="34" t="n">
        <f aca="false">IFERROR(VALUE(H663),)</f>
        <v>0</v>
      </c>
      <c r="J663" s="34" t="e">
        <f aca="false">RIGHT(B663,LEN(B663)-FIND("/",B663, FIND("Single Cells",B663, 1)))</f>
        <v>#VALUE!</v>
      </c>
    </row>
    <row r="664" customFormat="false" ht="12.75" hidden="false" customHeight="false" outlineLevel="0" collapsed="false">
      <c r="E664" s="34" t="str">
        <f aca="false">MID(B664,9,1)</f>
        <v/>
      </c>
      <c r="F664" s="34" t="str">
        <f aca="false">MID(B664,10,1)</f>
        <v/>
      </c>
      <c r="G664" s="34" t="str">
        <f aca="false">MID(B664,11,1)</f>
        <v/>
      </c>
      <c r="H664" s="35" t="str">
        <f aca="false">IF(G664=".",F664,CONCATENATE(F664,G664))</f>
        <v/>
      </c>
      <c r="I664" s="34" t="n">
        <f aca="false">IFERROR(VALUE(H664),)</f>
        <v>0</v>
      </c>
      <c r="J664" s="34" t="e">
        <f aca="false">RIGHT(B664,LEN(B664)-FIND("/",B664, FIND("Single Cells",B664, 1)))</f>
        <v>#VALUE!</v>
      </c>
    </row>
    <row r="665" customFormat="false" ht="12.75" hidden="false" customHeight="false" outlineLevel="0" collapsed="false">
      <c r="E665" s="34" t="str">
        <f aca="false">MID(B665,9,1)</f>
        <v/>
      </c>
      <c r="F665" s="34" t="str">
        <f aca="false">MID(B665,10,1)</f>
        <v/>
      </c>
      <c r="G665" s="34" t="str">
        <f aca="false">MID(B665,11,1)</f>
        <v/>
      </c>
      <c r="H665" s="35" t="str">
        <f aca="false">IF(G665=".",F665,CONCATENATE(F665,G665))</f>
        <v/>
      </c>
      <c r="I665" s="34" t="n">
        <f aca="false">IFERROR(VALUE(H665),)</f>
        <v>0</v>
      </c>
      <c r="J665" s="34" t="e">
        <f aca="false">RIGHT(B665,LEN(B665)-FIND("/",B665, FIND("Single Cells",B665, 1)))</f>
        <v>#VALUE!</v>
      </c>
    </row>
    <row r="666" customFormat="false" ht="12.75" hidden="false" customHeight="false" outlineLevel="0" collapsed="false">
      <c r="E666" s="34" t="str">
        <f aca="false">MID(B666,9,1)</f>
        <v/>
      </c>
      <c r="F666" s="34" t="str">
        <f aca="false">MID(B666,10,1)</f>
        <v/>
      </c>
      <c r="G666" s="34" t="str">
        <f aca="false">MID(B666,11,1)</f>
        <v/>
      </c>
      <c r="H666" s="35" t="str">
        <f aca="false">IF(G666=".",F666,CONCATENATE(F666,G666))</f>
        <v/>
      </c>
      <c r="I666" s="34" t="n">
        <f aca="false">IFERROR(VALUE(H666),)</f>
        <v>0</v>
      </c>
      <c r="J666" s="34" t="e">
        <f aca="false">RIGHT(B666,LEN(B666)-FIND("/",B666, FIND("Single Cells",B666, 1)))</f>
        <v>#VALUE!</v>
      </c>
    </row>
    <row r="667" customFormat="false" ht="12.75" hidden="false" customHeight="false" outlineLevel="0" collapsed="false">
      <c r="E667" s="34" t="str">
        <f aca="false">MID(B667,9,1)</f>
        <v/>
      </c>
      <c r="F667" s="34" t="str">
        <f aca="false">MID(B667,10,1)</f>
        <v/>
      </c>
      <c r="G667" s="34" t="str">
        <f aca="false">MID(B667,11,1)</f>
        <v/>
      </c>
      <c r="H667" s="35" t="str">
        <f aca="false">IF(G667=".",F667,CONCATENATE(F667,G667))</f>
        <v/>
      </c>
      <c r="I667" s="34" t="n">
        <f aca="false">IFERROR(VALUE(H667),)</f>
        <v>0</v>
      </c>
      <c r="J667" s="34" t="e">
        <f aca="false">RIGHT(B667,LEN(B667)-FIND("/",B667, FIND("Single Cells",B667, 1)))</f>
        <v>#VALUE!</v>
      </c>
    </row>
    <row r="668" customFormat="false" ht="12.75" hidden="false" customHeight="false" outlineLevel="0" collapsed="false">
      <c r="E668" s="34" t="str">
        <f aca="false">MID(B668,9,1)</f>
        <v/>
      </c>
      <c r="F668" s="34" t="str">
        <f aca="false">MID(B668,10,1)</f>
        <v/>
      </c>
      <c r="G668" s="34" t="str">
        <f aca="false">MID(B668,11,1)</f>
        <v/>
      </c>
      <c r="H668" s="35" t="str">
        <f aca="false">IF(G668=".",F668,CONCATENATE(F668,G668))</f>
        <v/>
      </c>
      <c r="I668" s="34" t="n">
        <f aca="false">IFERROR(VALUE(H668),)</f>
        <v>0</v>
      </c>
      <c r="J668" s="34" t="e">
        <f aca="false">RIGHT(B668,LEN(B668)-FIND("/",B668, FIND("Single Cells",B668, 1)))</f>
        <v>#VALUE!</v>
      </c>
    </row>
    <row r="669" customFormat="false" ht="12.75" hidden="false" customHeight="false" outlineLevel="0" collapsed="false">
      <c r="E669" s="34" t="str">
        <f aca="false">MID(B669,9,1)</f>
        <v/>
      </c>
      <c r="F669" s="34" t="str">
        <f aca="false">MID(B669,10,1)</f>
        <v/>
      </c>
      <c r="G669" s="34" t="str">
        <f aca="false">MID(B669,11,1)</f>
        <v/>
      </c>
      <c r="H669" s="35" t="str">
        <f aca="false">IF(G669=".",F669,CONCATENATE(F669,G669))</f>
        <v/>
      </c>
      <c r="I669" s="34" t="n">
        <f aca="false">IFERROR(VALUE(H669),)</f>
        <v>0</v>
      </c>
      <c r="J669" s="34" t="e">
        <f aca="false">RIGHT(B669,LEN(B669)-FIND("/",B669, FIND("Single Cells",B669, 1)))</f>
        <v>#VALUE!</v>
      </c>
    </row>
    <row r="670" customFormat="false" ht="12.75" hidden="false" customHeight="false" outlineLevel="0" collapsed="false">
      <c r="E670" s="34" t="str">
        <f aca="false">MID(B670,9,1)</f>
        <v/>
      </c>
      <c r="F670" s="34" t="str">
        <f aca="false">MID(B670,10,1)</f>
        <v/>
      </c>
      <c r="G670" s="34" t="str">
        <f aca="false">MID(B670,11,1)</f>
        <v/>
      </c>
      <c r="H670" s="35" t="str">
        <f aca="false">IF(G670=".",F670,CONCATENATE(F670,G670))</f>
        <v/>
      </c>
      <c r="I670" s="34" t="n">
        <f aca="false">IFERROR(VALUE(H670),)</f>
        <v>0</v>
      </c>
      <c r="J670" s="34" t="e">
        <f aca="false">RIGHT(B670,LEN(B670)-FIND("/",B670, FIND("Single Cells",B670, 1)))</f>
        <v>#VALUE!</v>
      </c>
    </row>
    <row r="671" customFormat="false" ht="12.75" hidden="false" customHeight="false" outlineLevel="0" collapsed="false">
      <c r="E671" s="34" t="str">
        <f aca="false">MID(B671,9,1)</f>
        <v/>
      </c>
      <c r="F671" s="34" t="str">
        <f aca="false">MID(B671,10,1)</f>
        <v/>
      </c>
      <c r="G671" s="34" t="str">
        <f aca="false">MID(B671,11,1)</f>
        <v/>
      </c>
      <c r="H671" s="35" t="str">
        <f aca="false">IF(G671=".",F671,CONCATENATE(F671,G671))</f>
        <v/>
      </c>
      <c r="I671" s="34" t="n">
        <f aca="false">IFERROR(VALUE(H671),)</f>
        <v>0</v>
      </c>
      <c r="J671" s="34" t="e">
        <f aca="false">RIGHT(B671,LEN(B671)-FIND("/",B671, FIND("Single Cells",B671, 1)))</f>
        <v>#VALUE!</v>
      </c>
    </row>
    <row r="672" customFormat="false" ht="12.75" hidden="false" customHeight="false" outlineLevel="0" collapsed="false">
      <c r="E672" s="34" t="str">
        <f aca="false">MID(B672,9,1)</f>
        <v/>
      </c>
      <c r="F672" s="34" t="str">
        <f aca="false">MID(B672,10,1)</f>
        <v/>
      </c>
      <c r="G672" s="34" t="str">
        <f aca="false">MID(B672,11,1)</f>
        <v/>
      </c>
      <c r="H672" s="35" t="str">
        <f aca="false">IF(G672=".",F672,CONCATENATE(F672,G672))</f>
        <v/>
      </c>
      <c r="I672" s="34" t="n">
        <f aca="false">IFERROR(VALUE(H672),)</f>
        <v>0</v>
      </c>
      <c r="J672" s="34" t="e">
        <f aca="false">RIGHT(B672,LEN(B672)-FIND("/",B672, FIND("Single Cells",B672, 1)))</f>
        <v>#VALUE!</v>
      </c>
    </row>
    <row r="673" customFormat="false" ht="12.75" hidden="false" customHeight="false" outlineLevel="0" collapsed="false">
      <c r="E673" s="34" t="str">
        <f aca="false">MID(B673,9,1)</f>
        <v/>
      </c>
      <c r="F673" s="34" t="str">
        <f aca="false">MID(B673,10,1)</f>
        <v/>
      </c>
      <c r="G673" s="34" t="str">
        <f aca="false">MID(B673,11,1)</f>
        <v/>
      </c>
      <c r="H673" s="35" t="str">
        <f aca="false">IF(G673=".",F673,CONCATENATE(F673,G673))</f>
        <v/>
      </c>
      <c r="I673" s="34" t="n">
        <f aca="false">IFERROR(VALUE(H673),)</f>
        <v>0</v>
      </c>
      <c r="J673" s="34" t="e">
        <f aca="false">RIGHT(B673,LEN(B673)-FIND("/",B673, FIND("Single Cells",B673, 1)))</f>
        <v>#VALUE!</v>
      </c>
    </row>
    <row r="674" customFormat="false" ht="12.75" hidden="false" customHeight="false" outlineLevel="0" collapsed="false">
      <c r="E674" s="34" t="str">
        <f aca="false">MID(B674,9,1)</f>
        <v/>
      </c>
      <c r="F674" s="34" t="str">
        <f aca="false">MID(B674,10,1)</f>
        <v/>
      </c>
      <c r="G674" s="34" t="str">
        <f aca="false">MID(B674,11,1)</f>
        <v/>
      </c>
      <c r="H674" s="35" t="str">
        <f aca="false">IF(G674=".",F674,CONCATENATE(F674,G674))</f>
        <v/>
      </c>
      <c r="I674" s="34" t="n">
        <f aca="false">IFERROR(VALUE(H674),)</f>
        <v>0</v>
      </c>
      <c r="J674" s="34" t="e">
        <f aca="false">RIGHT(B674,LEN(B674)-FIND("/",B674, FIND("Single Cells",B674, 1)))</f>
        <v>#VALUE!</v>
      </c>
    </row>
    <row r="675" customFormat="false" ht="12.75" hidden="false" customHeight="false" outlineLevel="0" collapsed="false">
      <c r="E675" s="34" t="str">
        <f aca="false">MID(B675,9,1)</f>
        <v/>
      </c>
      <c r="F675" s="34" t="str">
        <f aca="false">MID(B675,10,1)</f>
        <v/>
      </c>
      <c r="G675" s="34" t="str">
        <f aca="false">MID(B675,11,1)</f>
        <v/>
      </c>
      <c r="H675" s="35" t="str">
        <f aca="false">IF(G675=".",F675,CONCATENATE(F675,G675))</f>
        <v/>
      </c>
      <c r="I675" s="34" t="n">
        <f aca="false">IFERROR(VALUE(H675),)</f>
        <v>0</v>
      </c>
      <c r="J675" s="34" t="e">
        <f aca="false">RIGHT(B675,LEN(B675)-FIND("/",B675, FIND("Single Cells",B675, 1)))</f>
        <v>#VALUE!</v>
      </c>
    </row>
    <row r="676" customFormat="false" ht="12.75" hidden="false" customHeight="false" outlineLevel="0" collapsed="false">
      <c r="E676" s="34" t="str">
        <f aca="false">MID(B676,9,1)</f>
        <v/>
      </c>
      <c r="F676" s="34" t="str">
        <f aca="false">MID(B676,10,1)</f>
        <v/>
      </c>
      <c r="G676" s="34" t="str">
        <f aca="false">MID(B676,11,1)</f>
        <v/>
      </c>
      <c r="H676" s="35" t="str">
        <f aca="false">IF(G676=".",F676,CONCATENATE(F676,G676))</f>
        <v/>
      </c>
      <c r="I676" s="34" t="n">
        <f aca="false">IFERROR(VALUE(H676),)</f>
        <v>0</v>
      </c>
      <c r="J676" s="34" t="e">
        <f aca="false">RIGHT(B676,LEN(B676)-FIND("/",B676, FIND("Single Cells",B676, 1)))</f>
        <v>#VALUE!</v>
      </c>
    </row>
    <row r="677" customFormat="false" ht="12.75" hidden="false" customHeight="false" outlineLevel="0" collapsed="false">
      <c r="E677" s="34" t="str">
        <f aca="false">MID(B677,9,1)</f>
        <v/>
      </c>
      <c r="F677" s="34" t="str">
        <f aca="false">MID(B677,10,1)</f>
        <v/>
      </c>
      <c r="G677" s="34" t="str">
        <f aca="false">MID(B677,11,1)</f>
        <v/>
      </c>
      <c r="H677" s="35" t="str">
        <f aca="false">IF(G677=".",F677,CONCATENATE(F677,G677))</f>
        <v/>
      </c>
      <c r="I677" s="34" t="n">
        <f aca="false">IFERROR(VALUE(H677),)</f>
        <v>0</v>
      </c>
      <c r="J677" s="34" t="e">
        <f aca="false">RIGHT(B677,LEN(B677)-FIND("/",B677, FIND("Single Cells",B677, 1)))</f>
        <v>#VALUE!</v>
      </c>
    </row>
    <row r="678" customFormat="false" ht="12.75" hidden="false" customHeight="false" outlineLevel="0" collapsed="false">
      <c r="E678" s="34" t="str">
        <f aca="false">MID(B678,9,1)</f>
        <v/>
      </c>
      <c r="F678" s="34" t="str">
        <f aca="false">MID(B678,10,1)</f>
        <v/>
      </c>
      <c r="G678" s="34" t="str">
        <f aca="false">MID(B678,11,1)</f>
        <v/>
      </c>
      <c r="H678" s="35" t="str">
        <f aca="false">IF(G678=".",F678,CONCATENATE(F678,G678))</f>
        <v/>
      </c>
      <c r="I678" s="34" t="n">
        <f aca="false">IFERROR(VALUE(H678),)</f>
        <v>0</v>
      </c>
      <c r="J678" s="34" t="e">
        <f aca="false">RIGHT(B678,LEN(B678)-FIND("/",B678, FIND("Single Cells",B678, 1)))</f>
        <v>#VALUE!</v>
      </c>
    </row>
    <row r="679" customFormat="false" ht="12.75" hidden="false" customHeight="false" outlineLevel="0" collapsed="false">
      <c r="E679" s="34" t="str">
        <f aca="false">MID(B679,9,1)</f>
        <v/>
      </c>
      <c r="F679" s="34" t="str">
        <f aca="false">MID(B679,10,1)</f>
        <v/>
      </c>
      <c r="G679" s="34" t="str">
        <f aca="false">MID(B679,11,1)</f>
        <v/>
      </c>
      <c r="H679" s="35" t="str">
        <f aca="false">IF(G679=".",F679,CONCATENATE(F679,G679))</f>
        <v/>
      </c>
      <c r="I679" s="34" t="n">
        <f aca="false">IFERROR(VALUE(H679),)</f>
        <v>0</v>
      </c>
      <c r="J679" s="34" t="e">
        <f aca="false">RIGHT(B679,LEN(B679)-FIND("/",B679, FIND("Single Cells",B679, 1)))</f>
        <v>#VALUE!</v>
      </c>
    </row>
    <row r="680" customFormat="false" ht="12.75" hidden="false" customHeight="false" outlineLevel="0" collapsed="false">
      <c r="E680" s="34" t="str">
        <f aca="false">MID(B680,9,1)</f>
        <v/>
      </c>
      <c r="F680" s="34" t="str">
        <f aca="false">MID(B680,10,1)</f>
        <v/>
      </c>
      <c r="G680" s="34" t="str">
        <f aca="false">MID(B680,11,1)</f>
        <v/>
      </c>
      <c r="H680" s="35" t="str">
        <f aca="false">IF(G680=".",F680,CONCATENATE(F680,G680))</f>
        <v/>
      </c>
      <c r="I680" s="34" t="n">
        <f aca="false">IFERROR(VALUE(H680),)</f>
        <v>0</v>
      </c>
      <c r="J680" s="34" t="e">
        <f aca="false">RIGHT(B680,LEN(B680)-FIND("/",B680, FIND("Single Cells",B680, 1)))</f>
        <v>#VALUE!</v>
      </c>
    </row>
    <row r="681" customFormat="false" ht="12.75" hidden="false" customHeight="false" outlineLevel="0" collapsed="false">
      <c r="E681" s="34" t="str">
        <f aca="false">MID(B681,9,1)</f>
        <v/>
      </c>
      <c r="F681" s="34" t="str">
        <f aca="false">MID(B681,10,1)</f>
        <v/>
      </c>
      <c r="G681" s="34" t="str">
        <f aca="false">MID(B681,11,1)</f>
        <v/>
      </c>
      <c r="H681" s="35" t="str">
        <f aca="false">IF(G681=".",F681,CONCATENATE(F681,G681))</f>
        <v/>
      </c>
      <c r="I681" s="34" t="n">
        <f aca="false">IFERROR(VALUE(H681),)</f>
        <v>0</v>
      </c>
      <c r="J681" s="34" t="e">
        <f aca="false">RIGHT(B681,LEN(B681)-FIND("/",B681, FIND("Single Cells",B681, 1)))</f>
        <v>#VALUE!</v>
      </c>
    </row>
    <row r="682" customFormat="false" ht="12.75" hidden="false" customHeight="false" outlineLevel="0" collapsed="false">
      <c r="E682" s="34" t="str">
        <f aca="false">MID(B682,9,1)</f>
        <v/>
      </c>
      <c r="F682" s="34" t="str">
        <f aca="false">MID(B682,10,1)</f>
        <v/>
      </c>
      <c r="G682" s="34" t="str">
        <f aca="false">MID(B682,11,1)</f>
        <v/>
      </c>
      <c r="H682" s="35" t="str">
        <f aca="false">IF(G682=".",F682,CONCATENATE(F682,G682))</f>
        <v/>
      </c>
      <c r="I682" s="34" t="n">
        <f aca="false">IFERROR(VALUE(H682),)</f>
        <v>0</v>
      </c>
      <c r="J682" s="34" t="e">
        <f aca="false">RIGHT(B682,LEN(B682)-FIND("/",B682, FIND("Single Cells",B682, 1)))</f>
        <v>#VALUE!</v>
      </c>
    </row>
    <row r="683" customFormat="false" ht="12.75" hidden="false" customHeight="false" outlineLevel="0" collapsed="false">
      <c r="E683" s="34" t="str">
        <f aca="false">MID(B683,9,1)</f>
        <v/>
      </c>
      <c r="F683" s="34" t="str">
        <f aca="false">MID(B683,10,1)</f>
        <v/>
      </c>
      <c r="G683" s="34" t="str">
        <f aca="false">MID(B683,11,1)</f>
        <v/>
      </c>
      <c r="H683" s="35" t="str">
        <f aca="false">IF(G683=".",F683,CONCATENATE(F683,G683))</f>
        <v/>
      </c>
      <c r="I683" s="34" t="n">
        <f aca="false">IFERROR(VALUE(H683),)</f>
        <v>0</v>
      </c>
      <c r="J683" s="34" t="e">
        <f aca="false">RIGHT(B683,LEN(B683)-FIND("/",B683, FIND("Single Cells",B683, 1)))</f>
        <v>#VALUE!</v>
      </c>
    </row>
    <row r="684" customFormat="false" ht="12.75" hidden="false" customHeight="false" outlineLevel="0" collapsed="false">
      <c r="E684" s="34" t="str">
        <f aca="false">MID(B684,9,1)</f>
        <v/>
      </c>
      <c r="F684" s="34" t="str">
        <f aca="false">MID(B684,10,1)</f>
        <v/>
      </c>
      <c r="G684" s="34" t="str">
        <f aca="false">MID(B684,11,1)</f>
        <v/>
      </c>
      <c r="H684" s="35" t="str">
        <f aca="false">IF(G684=".",F684,CONCATENATE(F684,G684))</f>
        <v/>
      </c>
      <c r="I684" s="34" t="n">
        <f aca="false">IFERROR(VALUE(H684),)</f>
        <v>0</v>
      </c>
      <c r="J684" s="34" t="e">
        <f aca="false">RIGHT(B684,LEN(B684)-FIND("/",B684, FIND("Single Cells",B684, 1)))</f>
        <v>#VALUE!</v>
      </c>
    </row>
    <row r="685" customFormat="false" ht="12.75" hidden="false" customHeight="false" outlineLevel="0" collapsed="false">
      <c r="E685" s="34" t="str">
        <f aca="false">MID(B685,9,1)</f>
        <v/>
      </c>
      <c r="F685" s="34" t="str">
        <f aca="false">MID(B685,10,1)</f>
        <v/>
      </c>
      <c r="G685" s="34" t="str">
        <f aca="false">MID(B685,11,1)</f>
        <v/>
      </c>
      <c r="H685" s="35" t="str">
        <f aca="false">IF(G685=".",F685,CONCATENATE(F685,G685))</f>
        <v/>
      </c>
      <c r="I685" s="34" t="n">
        <f aca="false">IFERROR(VALUE(H685),)</f>
        <v>0</v>
      </c>
      <c r="J685" s="34" t="e">
        <f aca="false">RIGHT(B685,LEN(B685)-FIND("/",B685, FIND("Single Cells",B685, 1)))</f>
        <v>#VALUE!</v>
      </c>
    </row>
    <row r="686" customFormat="false" ht="12.75" hidden="false" customHeight="false" outlineLevel="0" collapsed="false">
      <c r="E686" s="34" t="str">
        <f aca="false">MID(B686,9,1)</f>
        <v/>
      </c>
      <c r="F686" s="34" t="str">
        <f aca="false">MID(B686,10,1)</f>
        <v/>
      </c>
      <c r="G686" s="34" t="str">
        <f aca="false">MID(B686,11,1)</f>
        <v/>
      </c>
      <c r="H686" s="35" t="str">
        <f aca="false">IF(G686=".",F686,CONCATENATE(F686,G686))</f>
        <v/>
      </c>
      <c r="I686" s="34" t="n">
        <f aca="false">IFERROR(VALUE(H686),)</f>
        <v>0</v>
      </c>
      <c r="J686" s="34" t="e">
        <f aca="false">RIGHT(B686,LEN(B686)-FIND("/",B686, FIND("Single Cells",B686, 1)))</f>
        <v>#VALUE!</v>
      </c>
    </row>
    <row r="687" customFormat="false" ht="12.75" hidden="false" customHeight="false" outlineLevel="0" collapsed="false">
      <c r="E687" s="34" t="str">
        <f aca="false">MID(B687,9,1)</f>
        <v/>
      </c>
      <c r="F687" s="34" t="str">
        <f aca="false">MID(B687,10,1)</f>
        <v/>
      </c>
      <c r="G687" s="34" t="str">
        <f aca="false">MID(B687,11,1)</f>
        <v/>
      </c>
      <c r="H687" s="35" t="str">
        <f aca="false">IF(G687=".",F687,CONCATENATE(F687,G687))</f>
        <v/>
      </c>
      <c r="I687" s="34" t="n">
        <f aca="false">IFERROR(VALUE(H687),)</f>
        <v>0</v>
      </c>
      <c r="J687" s="34" t="e">
        <f aca="false">RIGHT(B687,LEN(B687)-FIND("/",B687, FIND("Single Cells",B687, 1)))</f>
        <v>#VALUE!</v>
      </c>
    </row>
    <row r="688" customFormat="false" ht="12.75" hidden="false" customHeight="false" outlineLevel="0" collapsed="false">
      <c r="E688" s="34" t="str">
        <f aca="false">MID(B688,9,1)</f>
        <v/>
      </c>
      <c r="F688" s="34" t="str">
        <f aca="false">MID(B688,10,1)</f>
        <v/>
      </c>
      <c r="G688" s="34" t="str">
        <f aca="false">MID(B688,11,1)</f>
        <v/>
      </c>
      <c r="H688" s="35" t="str">
        <f aca="false">IF(G688=".",F688,CONCATENATE(F688,G688))</f>
        <v/>
      </c>
      <c r="I688" s="34" t="n">
        <f aca="false">IFERROR(VALUE(H688),)</f>
        <v>0</v>
      </c>
      <c r="J688" s="34" t="e">
        <f aca="false">RIGHT(B688,LEN(B688)-FIND("/",B688, FIND("Single Cells",B688, 1)))</f>
        <v>#VALUE!</v>
      </c>
    </row>
    <row r="689" customFormat="false" ht="12.75" hidden="false" customHeight="false" outlineLevel="0" collapsed="false">
      <c r="E689" s="34" t="str">
        <f aca="false">MID(B689,9,1)</f>
        <v/>
      </c>
      <c r="F689" s="34" t="str">
        <f aca="false">MID(B689,10,1)</f>
        <v/>
      </c>
      <c r="G689" s="34" t="str">
        <f aca="false">MID(B689,11,1)</f>
        <v/>
      </c>
      <c r="H689" s="35" t="str">
        <f aca="false">IF(G689=".",F689,CONCATENATE(F689,G689))</f>
        <v/>
      </c>
      <c r="I689" s="34" t="n">
        <f aca="false">IFERROR(VALUE(H689),)</f>
        <v>0</v>
      </c>
      <c r="J689" s="34" t="e">
        <f aca="false">RIGHT(B689,LEN(B689)-FIND("/",B689, FIND("Single Cells",B689, 1)))</f>
        <v>#VALUE!</v>
      </c>
    </row>
    <row r="690" customFormat="false" ht="12.75" hidden="false" customHeight="false" outlineLevel="0" collapsed="false">
      <c r="E690" s="34" t="str">
        <f aca="false">MID(B690,9,1)</f>
        <v/>
      </c>
      <c r="F690" s="34" t="str">
        <f aca="false">MID(B690,10,1)</f>
        <v/>
      </c>
      <c r="G690" s="34" t="str">
        <f aca="false">MID(B690,11,1)</f>
        <v/>
      </c>
      <c r="H690" s="35" t="str">
        <f aca="false">IF(G690=".",F690,CONCATENATE(F690,G690))</f>
        <v/>
      </c>
      <c r="I690" s="34" t="n">
        <f aca="false">IFERROR(VALUE(H690),)</f>
        <v>0</v>
      </c>
      <c r="J690" s="34" t="e">
        <f aca="false">RIGHT(B690,LEN(B690)-FIND("/",B690, FIND("Single Cells",B690, 1)))</f>
        <v>#VALUE!</v>
      </c>
    </row>
    <row r="691" customFormat="false" ht="12.75" hidden="false" customHeight="false" outlineLevel="0" collapsed="false">
      <c r="E691" s="34" t="str">
        <f aca="false">MID(B691,9,1)</f>
        <v/>
      </c>
      <c r="F691" s="34" t="str">
        <f aca="false">MID(B691,10,1)</f>
        <v/>
      </c>
      <c r="G691" s="34" t="str">
        <f aca="false">MID(B691,11,1)</f>
        <v/>
      </c>
      <c r="H691" s="35" t="str">
        <f aca="false">IF(G691=".",F691,CONCATENATE(F691,G691))</f>
        <v/>
      </c>
      <c r="I691" s="34" t="n">
        <f aca="false">IFERROR(VALUE(H691),)</f>
        <v>0</v>
      </c>
      <c r="J691" s="34" t="e">
        <f aca="false">RIGHT(B691,LEN(B691)-FIND("/",B691, FIND("Single Cells",B691, 1)))</f>
        <v>#VALUE!</v>
      </c>
    </row>
    <row r="692" customFormat="false" ht="12.75" hidden="false" customHeight="false" outlineLevel="0" collapsed="false">
      <c r="E692" s="34" t="str">
        <f aca="false">MID(B692,9,1)</f>
        <v/>
      </c>
      <c r="F692" s="34" t="str">
        <f aca="false">MID(B692,10,1)</f>
        <v/>
      </c>
      <c r="G692" s="34" t="str">
        <f aca="false">MID(B692,11,1)</f>
        <v/>
      </c>
      <c r="H692" s="35" t="str">
        <f aca="false">IF(G692=".",F692,CONCATENATE(F692,G692))</f>
        <v/>
      </c>
      <c r="I692" s="34" t="n">
        <f aca="false">IFERROR(VALUE(H692),)</f>
        <v>0</v>
      </c>
      <c r="J692" s="34" t="e">
        <f aca="false">RIGHT(B692,LEN(B692)-FIND("/",B692, FIND("Single Cells",B692, 1)))</f>
        <v>#VALUE!</v>
      </c>
    </row>
    <row r="693" customFormat="false" ht="12.75" hidden="false" customHeight="false" outlineLevel="0" collapsed="false">
      <c r="E693" s="34" t="str">
        <f aca="false">MID(B693,9,1)</f>
        <v/>
      </c>
      <c r="F693" s="34" t="str">
        <f aca="false">MID(B693,10,1)</f>
        <v/>
      </c>
      <c r="G693" s="34" t="str">
        <f aca="false">MID(B693,11,1)</f>
        <v/>
      </c>
      <c r="H693" s="35" t="str">
        <f aca="false">IF(G693=".",F693,CONCATENATE(F693,G693))</f>
        <v/>
      </c>
      <c r="I693" s="34" t="n">
        <f aca="false">IFERROR(VALUE(H693),)</f>
        <v>0</v>
      </c>
      <c r="J693" s="34" t="e">
        <f aca="false">RIGHT(B693,LEN(B693)-FIND("/",B693, FIND("Single Cells",B693, 1)))</f>
        <v>#VALUE!</v>
      </c>
    </row>
    <row r="694" customFormat="false" ht="12.75" hidden="false" customHeight="false" outlineLevel="0" collapsed="false">
      <c r="E694" s="34" t="str">
        <f aca="false">MID(B694,9,1)</f>
        <v/>
      </c>
      <c r="F694" s="34" t="str">
        <f aca="false">MID(B694,10,1)</f>
        <v/>
      </c>
      <c r="G694" s="34" t="str">
        <f aca="false">MID(B694,11,1)</f>
        <v/>
      </c>
      <c r="H694" s="35" t="str">
        <f aca="false">IF(G694=".",F694,CONCATENATE(F694,G694))</f>
        <v/>
      </c>
      <c r="I694" s="34" t="n">
        <f aca="false">IFERROR(VALUE(H694),)</f>
        <v>0</v>
      </c>
      <c r="J694" s="34" t="e">
        <f aca="false">RIGHT(B694,LEN(B694)-FIND("/",B694, FIND("Single Cells",B694, 1)))</f>
        <v>#VALUE!</v>
      </c>
    </row>
    <row r="695" customFormat="false" ht="12.75" hidden="false" customHeight="false" outlineLevel="0" collapsed="false">
      <c r="E695" s="34" t="str">
        <f aca="false">MID(B695,9,1)</f>
        <v/>
      </c>
      <c r="F695" s="34" t="str">
        <f aca="false">MID(B695,10,1)</f>
        <v/>
      </c>
      <c r="G695" s="34" t="str">
        <f aca="false">MID(B695,11,1)</f>
        <v/>
      </c>
      <c r="H695" s="35" t="str">
        <f aca="false">IF(G695=".",F695,CONCATENATE(F695,G695))</f>
        <v/>
      </c>
      <c r="I695" s="34" t="n">
        <f aca="false">IFERROR(VALUE(H695),)</f>
        <v>0</v>
      </c>
      <c r="J695" s="34" t="e">
        <f aca="false">RIGHT(B695,LEN(B695)-FIND("/",B695, FIND("Single Cells",B695, 1)))</f>
        <v>#VALUE!</v>
      </c>
    </row>
    <row r="696" customFormat="false" ht="12.75" hidden="false" customHeight="false" outlineLevel="0" collapsed="false">
      <c r="E696" s="34" t="str">
        <f aca="false">MID(B696,9,1)</f>
        <v/>
      </c>
      <c r="F696" s="34" t="str">
        <f aca="false">MID(B696,10,1)</f>
        <v/>
      </c>
      <c r="G696" s="34" t="str">
        <f aca="false">MID(B696,11,1)</f>
        <v/>
      </c>
      <c r="H696" s="35" t="str">
        <f aca="false">IF(G696=".",F696,CONCATENATE(F696,G696))</f>
        <v/>
      </c>
      <c r="I696" s="34" t="n">
        <f aca="false">IFERROR(VALUE(H696),)</f>
        <v>0</v>
      </c>
      <c r="J696" s="34" t="e">
        <f aca="false">RIGHT(B696,LEN(B696)-FIND("/",B696, FIND("Single Cells",B696, 1)))</f>
        <v>#VALUE!</v>
      </c>
    </row>
    <row r="697" customFormat="false" ht="12.75" hidden="false" customHeight="false" outlineLevel="0" collapsed="false">
      <c r="E697" s="34" t="str">
        <f aca="false">MID(B697,9,1)</f>
        <v/>
      </c>
      <c r="F697" s="34" t="str">
        <f aca="false">MID(B697,10,1)</f>
        <v/>
      </c>
      <c r="G697" s="34" t="str">
        <f aca="false">MID(B697,11,1)</f>
        <v/>
      </c>
      <c r="H697" s="35" t="str">
        <f aca="false">IF(G697=".",F697,CONCATENATE(F697,G697))</f>
        <v/>
      </c>
      <c r="I697" s="34" t="n">
        <f aca="false">IFERROR(VALUE(H697),)</f>
        <v>0</v>
      </c>
      <c r="J697" s="34" t="e">
        <f aca="false">RIGHT(B697,LEN(B697)-FIND("/",B697, FIND("Single Cells",B697, 1)))</f>
        <v>#VALUE!</v>
      </c>
    </row>
    <row r="698" customFormat="false" ht="12.75" hidden="false" customHeight="false" outlineLevel="0" collapsed="false">
      <c r="E698" s="34" t="str">
        <f aca="false">MID(B698,9,1)</f>
        <v/>
      </c>
      <c r="F698" s="34" t="str">
        <f aca="false">MID(B698,10,1)</f>
        <v/>
      </c>
      <c r="G698" s="34" t="str">
        <f aca="false">MID(B698,11,1)</f>
        <v/>
      </c>
      <c r="H698" s="35" t="str">
        <f aca="false">IF(G698=".",F698,CONCATENATE(F698,G698))</f>
        <v/>
      </c>
      <c r="I698" s="34" t="n">
        <f aca="false">IFERROR(VALUE(H698),)</f>
        <v>0</v>
      </c>
      <c r="J698" s="34" t="e">
        <f aca="false">RIGHT(B698,LEN(B698)-FIND("/",B698, FIND("Single Cells",B698, 1)))</f>
        <v>#VALUE!</v>
      </c>
    </row>
    <row r="699" customFormat="false" ht="12.75" hidden="false" customHeight="false" outlineLevel="0" collapsed="false">
      <c r="E699" s="34" t="str">
        <f aca="false">MID(B699,9,1)</f>
        <v/>
      </c>
      <c r="F699" s="34" t="str">
        <f aca="false">MID(B699,10,1)</f>
        <v/>
      </c>
      <c r="G699" s="34" t="str">
        <f aca="false">MID(B699,11,1)</f>
        <v/>
      </c>
      <c r="H699" s="35" t="str">
        <f aca="false">IF(G699=".",F699,CONCATENATE(F699,G699))</f>
        <v/>
      </c>
      <c r="I699" s="34" t="n">
        <f aca="false">IFERROR(VALUE(H699),)</f>
        <v>0</v>
      </c>
      <c r="J699" s="34" t="e">
        <f aca="false">RIGHT(B699,LEN(B699)-FIND("/",B699, FIND("Single Cells",B699, 1)))</f>
        <v>#VALUE!</v>
      </c>
    </row>
    <row r="700" customFormat="false" ht="12.75" hidden="false" customHeight="false" outlineLevel="0" collapsed="false">
      <c r="E700" s="34" t="str">
        <f aca="false">MID(B700,9,1)</f>
        <v/>
      </c>
      <c r="F700" s="34" t="str">
        <f aca="false">MID(B700,10,1)</f>
        <v/>
      </c>
      <c r="G700" s="34" t="str">
        <f aca="false">MID(B700,11,1)</f>
        <v/>
      </c>
      <c r="H700" s="35" t="str">
        <f aca="false">IF(G700=".",F700,CONCATENATE(F700,G700))</f>
        <v/>
      </c>
      <c r="I700" s="34" t="n">
        <f aca="false">IFERROR(VALUE(H700),)</f>
        <v>0</v>
      </c>
      <c r="J700" s="34" t="e">
        <f aca="false">RIGHT(B700,LEN(B700)-FIND("/",B700, FIND("Single Cells",B700, 1)))</f>
        <v>#VALUE!</v>
      </c>
    </row>
    <row r="701" customFormat="false" ht="12.75" hidden="false" customHeight="false" outlineLevel="0" collapsed="false">
      <c r="E701" s="34" t="str">
        <f aca="false">MID(B701,9,1)</f>
        <v/>
      </c>
      <c r="F701" s="34" t="str">
        <f aca="false">MID(B701,10,1)</f>
        <v/>
      </c>
      <c r="G701" s="34" t="str">
        <f aca="false">MID(B701,11,1)</f>
        <v/>
      </c>
      <c r="H701" s="35" t="str">
        <f aca="false">IF(G701=".",F701,CONCATENATE(F701,G701))</f>
        <v/>
      </c>
      <c r="I701" s="34" t="n">
        <f aca="false">IFERROR(VALUE(H701),)</f>
        <v>0</v>
      </c>
      <c r="J701" s="34" t="e">
        <f aca="false">RIGHT(B701,LEN(B701)-FIND("/",B701, FIND("Single Cells",B701, 1)))</f>
        <v>#VALUE!</v>
      </c>
    </row>
    <row r="702" customFormat="false" ht="12.75" hidden="false" customHeight="false" outlineLevel="0" collapsed="false">
      <c r="E702" s="34" t="str">
        <f aca="false">MID(B702,9,1)</f>
        <v/>
      </c>
      <c r="F702" s="34" t="str">
        <f aca="false">MID(B702,10,1)</f>
        <v/>
      </c>
      <c r="G702" s="34" t="str">
        <f aca="false">MID(B702,11,1)</f>
        <v/>
      </c>
      <c r="H702" s="35" t="str">
        <f aca="false">IF(G702=".",F702,CONCATENATE(F702,G702))</f>
        <v/>
      </c>
      <c r="I702" s="34" t="n">
        <f aca="false">IFERROR(VALUE(H702),)</f>
        <v>0</v>
      </c>
      <c r="J702" s="34" t="e">
        <f aca="false">RIGHT(B702,LEN(B702)-FIND("/",B702, FIND("Single Cells",B702, 1)))</f>
        <v>#VALUE!</v>
      </c>
    </row>
    <row r="703" customFormat="false" ht="12.75" hidden="false" customHeight="false" outlineLevel="0" collapsed="false">
      <c r="E703" s="34" t="str">
        <f aca="false">MID(B703,9,1)</f>
        <v/>
      </c>
      <c r="F703" s="34" t="str">
        <f aca="false">MID(B703,10,1)</f>
        <v/>
      </c>
      <c r="G703" s="34" t="str">
        <f aca="false">MID(B703,11,1)</f>
        <v/>
      </c>
      <c r="H703" s="35" t="str">
        <f aca="false">IF(G703=".",F703,CONCATENATE(F703,G703))</f>
        <v/>
      </c>
      <c r="I703" s="34" t="n">
        <f aca="false">IFERROR(VALUE(H703),)</f>
        <v>0</v>
      </c>
      <c r="J703" s="34" t="e">
        <f aca="false">RIGHT(B703,LEN(B703)-FIND("/",B703, FIND("Single Cells",B703, 1)))</f>
        <v>#VALUE!</v>
      </c>
    </row>
    <row r="704" customFormat="false" ht="12.75" hidden="false" customHeight="false" outlineLevel="0" collapsed="false">
      <c r="E704" s="34" t="str">
        <f aca="false">MID(B704,9,1)</f>
        <v/>
      </c>
      <c r="F704" s="34" t="str">
        <f aca="false">MID(B704,10,1)</f>
        <v/>
      </c>
      <c r="G704" s="34" t="str">
        <f aca="false">MID(B704,11,1)</f>
        <v/>
      </c>
      <c r="H704" s="35" t="str">
        <f aca="false">IF(G704=".",F704,CONCATENATE(F704,G704))</f>
        <v/>
      </c>
      <c r="I704" s="34" t="n">
        <f aca="false">IFERROR(VALUE(H704),)</f>
        <v>0</v>
      </c>
      <c r="J704" s="34" t="e">
        <f aca="false">RIGHT(B704,LEN(B704)-FIND("/",B704, FIND("Single Cells",B704, 1)))</f>
        <v>#VALUE!</v>
      </c>
    </row>
    <row r="705" customFormat="false" ht="12.75" hidden="false" customHeight="false" outlineLevel="0" collapsed="false">
      <c r="E705" s="34" t="str">
        <f aca="false">MID(B705,9,1)</f>
        <v/>
      </c>
      <c r="F705" s="34" t="str">
        <f aca="false">MID(B705,10,1)</f>
        <v/>
      </c>
      <c r="G705" s="34" t="str">
        <f aca="false">MID(B705,11,1)</f>
        <v/>
      </c>
      <c r="H705" s="35" t="str">
        <f aca="false">IF(G705=".",F705,CONCATENATE(F705,G705))</f>
        <v/>
      </c>
      <c r="I705" s="34" t="n">
        <f aca="false">IFERROR(VALUE(H705),)</f>
        <v>0</v>
      </c>
      <c r="J705" s="34" t="e">
        <f aca="false">RIGHT(B705,LEN(B705)-FIND("/",B705, FIND("Single Cells",B705, 1)))</f>
        <v>#VALUE!</v>
      </c>
    </row>
    <row r="706" customFormat="false" ht="12.75" hidden="false" customHeight="false" outlineLevel="0" collapsed="false">
      <c r="E706" s="34" t="str">
        <f aca="false">MID(B706,9,1)</f>
        <v/>
      </c>
      <c r="F706" s="34" t="str">
        <f aca="false">MID(B706,10,1)</f>
        <v/>
      </c>
      <c r="G706" s="34" t="str">
        <f aca="false">MID(B706,11,1)</f>
        <v/>
      </c>
      <c r="H706" s="35" t="str">
        <f aca="false">IF(G706=".",F706,CONCATENATE(F706,G706))</f>
        <v/>
      </c>
      <c r="I706" s="34" t="n">
        <f aca="false">IFERROR(VALUE(H706),)</f>
        <v>0</v>
      </c>
      <c r="J706" s="34" t="e">
        <f aca="false">RIGHT(B706,LEN(B706)-FIND("/",B706, FIND("Single Cells",B706, 1)))</f>
        <v>#VALUE!</v>
      </c>
    </row>
    <row r="707" customFormat="false" ht="12.75" hidden="false" customHeight="false" outlineLevel="0" collapsed="false">
      <c r="E707" s="34" t="str">
        <f aca="false">MID(B707,9,1)</f>
        <v/>
      </c>
      <c r="F707" s="34" t="str">
        <f aca="false">MID(B707,10,1)</f>
        <v/>
      </c>
      <c r="G707" s="34" t="str">
        <f aca="false">MID(B707,11,1)</f>
        <v/>
      </c>
      <c r="H707" s="35" t="str">
        <f aca="false">IF(G707=".",F707,CONCATENATE(F707,G707))</f>
        <v/>
      </c>
      <c r="I707" s="34" t="n">
        <f aca="false">IFERROR(VALUE(H707),)</f>
        <v>0</v>
      </c>
      <c r="J707" s="34" t="e">
        <f aca="false">RIGHT(B707,LEN(B707)-FIND("/",B707, FIND("Single Cells",B707, 1)))</f>
        <v>#VALUE!</v>
      </c>
    </row>
    <row r="708" customFormat="false" ht="12.75" hidden="false" customHeight="false" outlineLevel="0" collapsed="false">
      <c r="E708" s="34" t="str">
        <f aca="false">MID(B708,9,1)</f>
        <v/>
      </c>
      <c r="F708" s="34" t="str">
        <f aca="false">MID(B708,10,1)</f>
        <v/>
      </c>
      <c r="G708" s="34" t="str">
        <f aca="false">MID(B708,11,1)</f>
        <v/>
      </c>
      <c r="H708" s="35" t="str">
        <f aca="false">IF(G708=".",F708,CONCATENATE(F708,G708))</f>
        <v/>
      </c>
      <c r="I708" s="34" t="n">
        <f aca="false">IFERROR(VALUE(H708),)</f>
        <v>0</v>
      </c>
      <c r="J708" s="34" t="e">
        <f aca="false">RIGHT(B708,LEN(B708)-FIND("/",B708, FIND("Single Cells",B708, 1)))</f>
        <v>#VALUE!</v>
      </c>
    </row>
    <row r="709" customFormat="false" ht="12.75" hidden="false" customHeight="false" outlineLevel="0" collapsed="false">
      <c r="E709" s="34" t="str">
        <f aca="false">MID(B709,9,1)</f>
        <v/>
      </c>
      <c r="F709" s="34" t="str">
        <f aca="false">MID(B709,10,1)</f>
        <v/>
      </c>
      <c r="G709" s="34" t="str">
        <f aca="false">MID(B709,11,1)</f>
        <v/>
      </c>
      <c r="H709" s="35" t="str">
        <f aca="false">IF(G709=".",F709,CONCATENATE(F709,G709))</f>
        <v/>
      </c>
      <c r="I709" s="34" t="n">
        <f aca="false">IFERROR(VALUE(H709),)</f>
        <v>0</v>
      </c>
      <c r="J709" s="34" t="e">
        <f aca="false">RIGHT(B709,LEN(B709)-FIND("/",B709, FIND("Single Cells",B709, 1)))</f>
        <v>#VALUE!</v>
      </c>
    </row>
    <row r="710" customFormat="false" ht="12.75" hidden="false" customHeight="false" outlineLevel="0" collapsed="false">
      <c r="E710" s="34" t="str">
        <f aca="false">MID(B710,9,1)</f>
        <v/>
      </c>
      <c r="F710" s="34" t="str">
        <f aca="false">MID(B710,10,1)</f>
        <v/>
      </c>
      <c r="G710" s="34" t="str">
        <f aca="false">MID(B710,11,1)</f>
        <v/>
      </c>
      <c r="H710" s="35" t="str">
        <f aca="false">IF(G710=".",F710,CONCATENATE(F710,G710))</f>
        <v/>
      </c>
      <c r="I710" s="34" t="n">
        <f aca="false">IFERROR(VALUE(H710),)</f>
        <v>0</v>
      </c>
      <c r="J710" s="34" t="e">
        <f aca="false">RIGHT(B710,LEN(B710)-FIND("/",B710, FIND("Single Cells",B710, 1)))</f>
        <v>#VALUE!</v>
      </c>
    </row>
    <row r="711" customFormat="false" ht="12.75" hidden="false" customHeight="false" outlineLevel="0" collapsed="false">
      <c r="E711" s="34" t="str">
        <f aca="false">MID(B711,9,1)</f>
        <v/>
      </c>
      <c r="F711" s="34" t="str">
        <f aca="false">MID(B711,10,1)</f>
        <v/>
      </c>
      <c r="G711" s="34" t="str">
        <f aca="false">MID(B711,11,1)</f>
        <v/>
      </c>
      <c r="H711" s="35" t="str">
        <f aca="false">IF(G711=".",F711,CONCATENATE(F711,G711))</f>
        <v/>
      </c>
      <c r="I711" s="34" t="n">
        <f aca="false">IFERROR(VALUE(H711),)</f>
        <v>0</v>
      </c>
      <c r="J711" s="34" t="e">
        <f aca="false">RIGHT(B711,LEN(B711)-FIND("/",B711, FIND("Single Cells",B711, 1)))</f>
        <v>#VALUE!</v>
      </c>
    </row>
    <row r="712" customFormat="false" ht="12.75" hidden="false" customHeight="false" outlineLevel="0" collapsed="false">
      <c r="E712" s="34" t="str">
        <f aca="false">MID(B712,9,1)</f>
        <v/>
      </c>
      <c r="F712" s="34" t="str">
        <f aca="false">MID(B712,10,1)</f>
        <v/>
      </c>
      <c r="G712" s="34" t="str">
        <f aca="false">MID(B712,11,1)</f>
        <v/>
      </c>
      <c r="H712" s="35" t="str">
        <f aca="false">IF(G712=".",F712,CONCATENATE(F712,G712))</f>
        <v/>
      </c>
      <c r="I712" s="34" t="n">
        <f aca="false">IFERROR(VALUE(H712),)</f>
        <v>0</v>
      </c>
      <c r="J712" s="34" t="e">
        <f aca="false">RIGHT(B712,LEN(B712)-FIND("/",B712, FIND("Single Cells",B712, 1)))</f>
        <v>#VALUE!</v>
      </c>
    </row>
    <row r="713" customFormat="false" ht="12.75" hidden="false" customHeight="false" outlineLevel="0" collapsed="false">
      <c r="E713" s="34" t="str">
        <f aca="false">MID(B713,9,1)</f>
        <v/>
      </c>
      <c r="F713" s="34" t="str">
        <f aca="false">MID(B713,10,1)</f>
        <v/>
      </c>
      <c r="G713" s="34" t="str">
        <f aca="false">MID(B713,11,1)</f>
        <v/>
      </c>
      <c r="H713" s="35" t="str">
        <f aca="false">IF(G713=".",F713,CONCATENATE(F713,G713))</f>
        <v/>
      </c>
      <c r="I713" s="34" t="n">
        <f aca="false">IFERROR(VALUE(H713),)</f>
        <v>0</v>
      </c>
      <c r="J713" s="34" t="e">
        <f aca="false">RIGHT(B713,LEN(B713)-FIND("/",B713, FIND("Single Cells",B713, 1)))</f>
        <v>#VALUE!</v>
      </c>
    </row>
    <row r="714" customFormat="false" ht="12.75" hidden="false" customHeight="false" outlineLevel="0" collapsed="false">
      <c r="E714" s="34" t="str">
        <f aca="false">MID(B714,9,1)</f>
        <v/>
      </c>
      <c r="F714" s="34" t="str">
        <f aca="false">MID(B714,10,1)</f>
        <v/>
      </c>
      <c r="G714" s="34" t="str">
        <f aca="false">MID(B714,11,1)</f>
        <v/>
      </c>
      <c r="H714" s="35" t="str">
        <f aca="false">IF(G714=".",F714,CONCATENATE(F714,G714))</f>
        <v/>
      </c>
      <c r="I714" s="34" t="n">
        <f aca="false">IFERROR(VALUE(H714),)</f>
        <v>0</v>
      </c>
      <c r="J714" s="34" t="e">
        <f aca="false">RIGHT(B714,LEN(B714)-FIND("/",B714, FIND("Single Cells",B714, 1)))</f>
        <v>#VALUE!</v>
      </c>
    </row>
    <row r="715" customFormat="false" ht="12.75" hidden="false" customHeight="false" outlineLevel="0" collapsed="false">
      <c r="E715" s="34" t="str">
        <f aca="false">MID(B715,9,1)</f>
        <v/>
      </c>
      <c r="F715" s="34" t="str">
        <f aca="false">MID(B715,10,1)</f>
        <v/>
      </c>
      <c r="G715" s="34" t="str">
        <f aca="false">MID(B715,11,1)</f>
        <v/>
      </c>
      <c r="H715" s="35" t="str">
        <f aca="false">IF(G715=".",F715,CONCATENATE(F715,G715))</f>
        <v/>
      </c>
      <c r="I715" s="34" t="n">
        <f aca="false">IFERROR(VALUE(H715),)</f>
        <v>0</v>
      </c>
      <c r="J715" s="34" t="e">
        <f aca="false">RIGHT(B715,LEN(B715)-FIND("/",B715, FIND("Single Cells",B715, 1)))</f>
        <v>#VALUE!</v>
      </c>
    </row>
    <row r="716" customFormat="false" ht="12.75" hidden="false" customHeight="false" outlineLevel="0" collapsed="false">
      <c r="E716" s="34" t="str">
        <f aca="false">MID(B716,9,1)</f>
        <v/>
      </c>
      <c r="F716" s="34" t="str">
        <f aca="false">MID(B716,10,1)</f>
        <v/>
      </c>
      <c r="G716" s="34" t="str">
        <f aca="false">MID(B716,11,1)</f>
        <v/>
      </c>
      <c r="H716" s="35" t="str">
        <f aca="false">IF(G716=".",F716,CONCATENATE(F716,G716))</f>
        <v/>
      </c>
      <c r="I716" s="34" t="n">
        <f aca="false">IFERROR(VALUE(H716),)</f>
        <v>0</v>
      </c>
      <c r="J716" s="34" t="e">
        <f aca="false">RIGHT(B716,LEN(B716)-FIND("/",B716, FIND("Single Cells",B716, 1)))</f>
        <v>#VALUE!</v>
      </c>
    </row>
    <row r="717" customFormat="false" ht="12.75" hidden="false" customHeight="false" outlineLevel="0" collapsed="false">
      <c r="E717" s="34" t="str">
        <f aca="false">MID(B717,9,1)</f>
        <v/>
      </c>
      <c r="F717" s="34" t="str">
        <f aca="false">MID(B717,10,1)</f>
        <v/>
      </c>
      <c r="G717" s="34" t="str">
        <f aca="false">MID(B717,11,1)</f>
        <v/>
      </c>
      <c r="H717" s="35" t="str">
        <f aca="false">IF(G717=".",F717,CONCATENATE(F717,G717))</f>
        <v/>
      </c>
      <c r="I717" s="34" t="n">
        <f aca="false">IFERROR(VALUE(H717),)</f>
        <v>0</v>
      </c>
      <c r="J717" s="34" t="e">
        <f aca="false">RIGHT(B717,LEN(B717)-FIND("/",B717, FIND("Single Cells",B717, 1)))</f>
        <v>#VALUE!</v>
      </c>
    </row>
    <row r="718" customFormat="false" ht="12.75" hidden="false" customHeight="false" outlineLevel="0" collapsed="false">
      <c r="E718" s="34" t="str">
        <f aca="false">MID(B718,9,1)</f>
        <v/>
      </c>
      <c r="F718" s="34" t="str">
        <f aca="false">MID(B718,10,1)</f>
        <v/>
      </c>
      <c r="G718" s="34" t="str">
        <f aca="false">MID(B718,11,1)</f>
        <v/>
      </c>
      <c r="H718" s="35" t="str">
        <f aca="false">IF(G718=".",F718,CONCATENATE(F718,G718))</f>
        <v/>
      </c>
      <c r="I718" s="34" t="n">
        <f aca="false">IFERROR(VALUE(H718),)</f>
        <v>0</v>
      </c>
      <c r="J718" s="34" t="e">
        <f aca="false">RIGHT(B718,LEN(B718)-FIND("/",B718, FIND("Single Cells",B718, 1)))</f>
        <v>#VALUE!</v>
      </c>
    </row>
    <row r="719" customFormat="false" ht="12.75" hidden="false" customHeight="false" outlineLevel="0" collapsed="false">
      <c r="E719" s="34" t="str">
        <f aca="false">MID(B719,9,1)</f>
        <v/>
      </c>
      <c r="F719" s="34" t="str">
        <f aca="false">MID(B719,10,1)</f>
        <v/>
      </c>
      <c r="G719" s="34" t="str">
        <f aca="false">MID(B719,11,1)</f>
        <v/>
      </c>
      <c r="H719" s="35" t="str">
        <f aca="false">IF(G719=".",F719,CONCATENATE(F719,G719))</f>
        <v/>
      </c>
      <c r="I719" s="34" t="n">
        <f aca="false">IFERROR(VALUE(H719),)</f>
        <v>0</v>
      </c>
      <c r="J719" s="34" t="e">
        <f aca="false">RIGHT(B719,LEN(B719)-FIND("/",B719, FIND("Single Cells",B719, 1)))</f>
        <v>#VALUE!</v>
      </c>
    </row>
    <row r="720" customFormat="false" ht="12.75" hidden="false" customHeight="false" outlineLevel="0" collapsed="false">
      <c r="E720" s="34" t="str">
        <f aca="false">MID(B720,9,1)</f>
        <v/>
      </c>
      <c r="F720" s="34" t="str">
        <f aca="false">MID(B720,10,1)</f>
        <v/>
      </c>
      <c r="G720" s="34" t="str">
        <f aca="false">MID(B720,11,1)</f>
        <v/>
      </c>
      <c r="H720" s="35" t="str">
        <f aca="false">IF(G720=".",F720,CONCATENATE(F720,G720))</f>
        <v/>
      </c>
      <c r="I720" s="34" t="n">
        <f aca="false">IFERROR(VALUE(H720),)</f>
        <v>0</v>
      </c>
      <c r="J720" s="34" t="e">
        <f aca="false">RIGHT(B720,LEN(B720)-FIND("/",B720, FIND("Single Cells",B720, 1)))</f>
        <v>#VALUE!</v>
      </c>
    </row>
    <row r="721" customFormat="false" ht="12.75" hidden="false" customHeight="false" outlineLevel="0" collapsed="false">
      <c r="E721" s="34" t="str">
        <f aca="false">MID(B721,9,1)</f>
        <v/>
      </c>
      <c r="F721" s="34" t="str">
        <f aca="false">MID(B721,10,1)</f>
        <v/>
      </c>
      <c r="G721" s="34" t="str">
        <f aca="false">MID(B721,11,1)</f>
        <v/>
      </c>
      <c r="H721" s="35" t="str">
        <f aca="false">IF(G721=".",F721,CONCATENATE(F721,G721))</f>
        <v/>
      </c>
      <c r="I721" s="34" t="n">
        <f aca="false">IFERROR(VALUE(H721),)</f>
        <v>0</v>
      </c>
      <c r="J721" s="34" t="e">
        <f aca="false">RIGHT(B721,LEN(B721)-FIND("/",B721, FIND("Single Cells",B721, 1)))</f>
        <v>#VALUE!</v>
      </c>
    </row>
    <row r="722" customFormat="false" ht="12.75" hidden="false" customHeight="false" outlineLevel="0" collapsed="false">
      <c r="E722" s="34" t="str">
        <f aca="false">MID(B722,9,1)</f>
        <v/>
      </c>
      <c r="F722" s="34" t="str">
        <f aca="false">MID(B722,10,1)</f>
        <v/>
      </c>
      <c r="G722" s="34" t="str">
        <f aca="false">MID(B722,11,1)</f>
        <v/>
      </c>
      <c r="H722" s="35" t="str">
        <f aca="false">IF(G722=".",F722,CONCATENATE(F722,G722))</f>
        <v/>
      </c>
      <c r="I722" s="34" t="n">
        <f aca="false">IFERROR(VALUE(H722),)</f>
        <v>0</v>
      </c>
      <c r="J722" s="34" t="e">
        <f aca="false">RIGHT(B722,LEN(B722)-FIND("/",B722, FIND("Single Cells",B722, 1)))</f>
        <v>#VALUE!</v>
      </c>
    </row>
    <row r="723" customFormat="false" ht="12.75" hidden="false" customHeight="false" outlineLevel="0" collapsed="false">
      <c r="E723" s="34" t="str">
        <f aca="false">MID(B723,9,1)</f>
        <v/>
      </c>
      <c r="F723" s="34" t="str">
        <f aca="false">MID(B723,10,1)</f>
        <v/>
      </c>
      <c r="G723" s="34" t="str">
        <f aca="false">MID(B723,11,1)</f>
        <v/>
      </c>
      <c r="H723" s="35" t="str">
        <f aca="false">IF(G723=".",F723,CONCATENATE(F723,G723))</f>
        <v/>
      </c>
      <c r="I723" s="34" t="n">
        <f aca="false">IFERROR(VALUE(H723),)</f>
        <v>0</v>
      </c>
      <c r="J723" s="34" t="e">
        <f aca="false">RIGHT(B723,LEN(B723)-FIND("/",B723, FIND("Single Cells",B723, 1)))</f>
        <v>#VALUE!</v>
      </c>
    </row>
    <row r="724" customFormat="false" ht="12.75" hidden="false" customHeight="false" outlineLevel="0" collapsed="false">
      <c r="E724" s="34" t="str">
        <f aca="false">MID(B724,9,1)</f>
        <v/>
      </c>
      <c r="F724" s="34" t="str">
        <f aca="false">MID(B724,10,1)</f>
        <v/>
      </c>
      <c r="G724" s="34" t="str">
        <f aca="false">MID(B724,11,1)</f>
        <v/>
      </c>
      <c r="H724" s="35" t="str">
        <f aca="false">IF(G724=".",F724,CONCATENATE(F724,G724))</f>
        <v/>
      </c>
      <c r="I724" s="34" t="n">
        <f aca="false">IFERROR(VALUE(H724),)</f>
        <v>0</v>
      </c>
      <c r="J724" s="34" t="e">
        <f aca="false">RIGHT(B724,LEN(B724)-FIND("/",B724, FIND("Single Cells",B724, 1)))</f>
        <v>#VALUE!</v>
      </c>
    </row>
    <row r="725" customFormat="false" ht="12.75" hidden="false" customHeight="false" outlineLevel="0" collapsed="false">
      <c r="E725" s="34" t="str">
        <f aca="false">MID(B725,9,1)</f>
        <v/>
      </c>
      <c r="F725" s="34" t="str">
        <f aca="false">MID(B725,10,1)</f>
        <v/>
      </c>
      <c r="G725" s="34" t="str">
        <f aca="false">MID(B725,11,1)</f>
        <v/>
      </c>
      <c r="H725" s="35" t="str">
        <f aca="false">IF(G725=".",F725,CONCATENATE(F725,G725))</f>
        <v/>
      </c>
      <c r="I725" s="34" t="n">
        <f aca="false">IFERROR(VALUE(H725),)</f>
        <v>0</v>
      </c>
      <c r="J725" s="34" t="e">
        <f aca="false">RIGHT(B725,LEN(B725)-FIND("/",B725, FIND("Single Cells",B725, 1)))</f>
        <v>#VALUE!</v>
      </c>
    </row>
    <row r="726" customFormat="false" ht="12.75" hidden="false" customHeight="false" outlineLevel="0" collapsed="false">
      <c r="E726" s="34" t="str">
        <f aca="false">MID(B726,9,1)</f>
        <v/>
      </c>
      <c r="F726" s="34" t="str">
        <f aca="false">MID(B726,10,1)</f>
        <v/>
      </c>
      <c r="G726" s="34" t="str">
        <f aca="false">MID(B726,11,1)</f>
        <v/>
      </c>
      <c r="H726" s="35" t="str">
        <f aca="false">IF(G726=".",F726,CONCATENATE(F726,G726))</f>
        <v/>
      </c>
      <c r="I726" s="34" t="n">
        <f aca="false">IFERROR(VALUE(H726),)</f>
        <v>0</v>
      </c>
      <c r="J726" s="34" t="e">
        <f aca="false">RIGHT(B726,LEN(B726)-FIND("/",B726, FIND("Single Cells",B726, 1)))</f>
        <v>#VALUE!</v>
      </c>
    </row>
    <row r="727" customFormat="false" ht="12.75" hidden="false" customHeight="false" outlineLevel="0" collapsed="false">
      <c r="E727" s="34" t="str">
        <f aca="false">MID(B727,9,1)</f>
        <v/>
      </c>
      <c r="F727" s="34" t="str">
        <f aca="false">MID(B727,10,1)</f>
        <v/>
      </c>
      <c r="G727" s="34" t="str">
        <f aca="false">MID(B727,11,1)</f>
        <v/>
      </c>
      <c r="H727" s="35" t="str">
        <f aca="false">IF(G727=".",F727,CONCATENATE(F727,G727))</f>
        <v/>
      </c>
      <c r="I727" s="34" t="n">
        <f aca="false">IFERROR(VALUE(H727),)</f>
        <v>0</v>
      </c>
      <c r="J727" s="34" t="e">
        <f aca="false">RIGHT(B727,LEN(B727)-FIND("/",B727, FIND("Single Cells",B727, 1)))</f>
        <v>#VALUE!</v>
      </c>
    </row>
    <row r="728" customFormat="false" ht="12.75" hidden="false" customHeight="false" outlineLevel="0" collapsed="false">
      <c r="E728" s="34" t="str">
        <f aca="false">MID(B728,9,1)</f>
        <v/>
      </c>
      <c r="F728" s="34" t="str">
        <f aca="false">MID(B728,10,1)</f>
        <v/>
      </c>
      <c r="G728" s="34" t="str">
        <f aca="false">MID(B728,11,1)</f>
        <v/>
      </c>
      <c r="H728" s="35" t="str">
        <f aca="false">IF(G728=".",F728,CONCATENATE(F728,G728))</f>
        <v/>
      </c>
      <c r="I728" s="34" t="n">
        <f aca="false">IFERROR(VALUE(H728),)</f>
        <v>0</v>
      </c>
      <c r="J728" s="34" t="e">
        <f aca="false">RIGHT(B728,LEN(B728)-FIND("/",B728, FIND("Single Cells",B728, 1)))</f>
        <v>#VALUE!</v>
      </c>
    </row>
    <row r="729" customFormat="false" ht="12.75" hidden="false" customHeight="false" outlineLevel="0" collapsed="false">
      <c r="E729" s="34" t="str">
        <f aca="false">MID(B729,9,1)</f>
        <v/>
      </c>
      <c r="F729" s="34" t="str">
        <f aca="false">MID(B729,10,1)</f>
        <v/>
      </c>
      <c r="G729" s="34" t="str">
        <f aca="false">MID(B729,11,1)</f>
        <v/>
      </c>
      <c r="H729" s="35" t="str">
        <f aca="false">IF(G729=".",F729,CONCATENATE(F729,G729))</f>
        <v/>
      </c>
      <c r="I729" s="34" t="n">
        <f aca="false">IFERROR(VALUE(H729),)</f>
        <v>0</v>
      </c>
      <c r="J729" s="34" t="e">
        <f aca="false">RIGHT(B729,LEN(B729)-FIND("/",B729, FIND("Single Cells",B729, 1)))</f>
        <v>#VALUE!</v>
      </c>
    </row>
    <row r="730" customFormat="false" ht="12.75" hidden="false" customHeight="false" outlineLevel="0" collapsed="false">
      <c r="E730" s="34" t="str">
        <f aca="false">MID(B730,9,1)</f>
        <v/>
      </c>
      <c r="F730" s="34" t="str">
        <f aca="false">MID(B730,10,1)</f>
        <v/>
      </c>
      <c r="G730" s="34" t="str">
        <f aca="false">MID(B730,11,1)</f>
        <v/>
      </c>
      <c r="H730" s="35" t="str">
        <f aca="false">IF(G730=".",F730,CONCATENATE(F730,G730))</f>
        <v/>
      </c>
      <c r="I730" s="34" t="n">
        <f aca="false">IFERROR(VALUE(H730),)</f>
        <v>0</v>
      </c>
      <c r="J730" s="34" t="e">
        <f aca="false">RIGHT(B730,LEN(B730)-FIND("/",B730, FIND("Single Cells",B730, 1)))</f>
        <v>#VALUE!</v>
      </c>
    </row>
    <row r="731" customFormat="false" ht="12.75" hidden="false" customHeight="false" outlineLevel="0" collapsed="false">
      <c r="E731" s="34" t="str">
        <f aca="false">MID(B731,9,1)</f>
        <v/>
      </c>
      <c r="F731" s="34" t="str">
        <f aca="false">MID(B731,10,1)</f>
        <v/>
      </c>
      <c r="G731" s="34" t="str">
        <f aca="false">MID(B731,11,1)</f>
        <v/>
      </c>
      <c r="H731" s="35" t="str">
        <f aca="false">IF(G731=".",F731,CONCATENATE(F731,G731))</f>
        <v/>
      </c>
      <c r="I731" s="34" t="n">
        <f aca="false">IFERROR(VALUE(H731),)</f>
        <v>0</v>
      </c>
      <c r="J731" s="34" t="e">
        <f aca="false">RIGHT(B731,LEN(B731)-FIND("/",B731, FIND("Single Cells",B731, 1)))</f>
        <v>#VALUE!</v>
      </c>
    </row>
    <row r="732" customFormat="false" ht="12.75" hidden="false" customHeight="false" outlineLevel="0" collapsed="false">
      <c r="E732" s="34" t="str">
        <f aca="false">MID(B732,9,1)</f>
        <v/>
      </c>
      <c r="F732" s="34" t="str">
        <f aca="false">MID(B732,10,1)</f>
        <v/>
      </c>
      <c r="G732" s="34" t="str">
        <f aca="false">MID(B732,11,1)</f>
        <v/>
      </c>
      <c r="H732" s="35" t="str">
        <f aca="false">IF(G732=".",F732,CONCATENATE(F732,G732))</f>
        <v/>
      </c>
      <c r="I732" s="34" t="n">
        <f aca="false">IFERROR(VALUE(H732),)</f>
        <v>0</v>
      </c>
      <c r="J732" s="34" t="e">
        <f aca="false">RIGHT(B732,LEN(B732)-FIND("/",B732, FIND("Single Cells",B732, 1)))</f>
        <v>#VALUE!</v>
      </c>
    </row>
    <row r="733" customFormat="false" ht="12.75" hidden="false" customHeight="false" outlineLevel="0" collapsed="false">
      <c r="E733" s="34" t="str">
        <f aca="false">MID(B733,9,1)</f>
        <v/>
      </c>
      <c r="F733" s="34" t="str">
        <f aca="false">MID(B733,10,1)</f>
        <v/>
      </c>
      <c r="G733" s="34" t="str">
        <f aca="false">MID(B733,11,1)</f>
        <v/>
      </c>
      <c r="H733" s="35" t="str">
        <f aca="false">IF(G733=".",F733,CONCATENATE(F733,G733))</f>
        <v/>
      </c>
      <c r="I733" s="34" t="n">
        <f aca="false">IFERROR(VALUE(H733),)</f>
        <v>0</v>
      </c>
      <c r="J733" s="34" t="e">
        <f aca="false">RIGHT(B733,LEN(B733)-FIND("/",B733, FIND("Single Cells",B733, 1)))</f>
        <v>#VALUE!</v>
      </c>
    </row>
    <row r="734" customFormat="false" ht="12.75" hidden="false" customHeight="false" outlineLevel="0" collapsed="false">
      <c r="E734" s="34" t="str">
        <f aca="false">MID(B734,9,1)</f>
        <v/>
      </c>
      <c r="F734" s="34" t="str">
        <f aca="false">MID(B734,10,1)</f>
        <v/>
      </c>
      <c r="G734" s="34" t="str">
        <f aca="false">MID(B734,11,1)</f>
        <v/>
      </c>
      <c r="H734" s="35" t="str">
        <f aca="false">IF(G734=".",F734,CONCATENATE(F734,G734))</f>
        <v/>
      </c>
      <c r="I734" s="34" t="n">
        <f aca="false">IFERROR(VALUE(H734),)</f>
        <v>0</v>
      </c>
      <c r="J734" s="34" t="e">
        <f aca="false">RIGHT(B734,LEN(B734)-FIND("/",B734, FIND("Single Cells",B734, 1)))</f>
        <v>#VALUE!</v>
      </c>
    </row>
    <row r="735" customFormat="false" ht="12.75" hidden="false" customHeight="false" outlineLevel="0" collapsed="false">
      <c r="E735" s="34" t="str">
        <f aca="false">MID(B735,9,1)</f>
        <v/>
      </c>
      <c r="F735" s="34" t="str">
        <f aca="false">MID(B735,10,1)</f>
        <v/>
      </c>
      <c r="G735" s="34" t="str">
        <f aca="false">MID(B735,11,1)</f>
        <v/>
      </c>
      <c r="H735" s="35" t="str">
        <f aca="false">IF(G735=".",F735,CONCATENATE(F735,G735))</f>
        <v/>
      </c>
      <c r="I735" s="34" t="n">
        <f aca="false">IFERROR(VALUE(H735),)</f>
        <v>0</v>
      </c>
      <c r="J735" s="34" t="e">
        <f aca="false">RIGHT(B735,LEN(B735)-FIND("/",B735, FIND("Single Cells",B735, 1)))</f>
        <v>#VALUE!</v>
      </c>
    </row>
    <row r="736" customFormat="false" ht="12.75" hidden="false" customHeight="false" outlineLevel="0" collapsed="false">
      <c r="E736" s="34" t="str">
        <f aca="false">MID(B736,9,1)</f>
        <v/>
      </c>
      <c r="F736" s="34" t="str">
        <f aca="false">MID(B736,10,1)</f>
        <v/>
      </c>
      <c r="G736" s="34" t="str">
        <f aca="false">MID(B736,11,1)</f>
        <v/>
      </c>
      <c r="H736" s="35" t="str">
        <f aca="false">IF(G736=".",F736,CONCATENATE(F736,G736))</f>
        <v/>
      </c>
      <c r="I736" s="34" t="n">
        <f aca="false">IFERROR(VALUE(H736),)</f>
        <v>0</v>
      </c>
      <c r="J736" s="34" t="e">
        <f aca="false">RIGHT(B736,LEN(B736)-FIND("/",B736, FIND("Single Cells",B736, 1)))</f>
        <v>#VALUE!</v>
      </c>
    </row>
    <row r="737" customFormat="false" ht="12.75" hidden="false" customHeight="false" outlineLevel="0" collapsed="false">
      <c r="E737" s="34" t="str">
        <f aca="false">MID(B737,9,1)</f>
        <v/>
      </c>
      <c r="F737" s="34" t="str">
        <f aca="false">MID(B737,10,1)</f>
        <v/>
      </c>
      <c r="G737" s="34" t="str">
        <f aca="false">MID(B737,11,1)</f>
        <v/>
      </c>
      <c r="H737" s="35" t="str">
        <f aca="false">IF(G737=".",F737,CONCATENATE(F737,G737))</f>
        <v/>
      </c>
      <c r="I737" s="34" t="n">
        <f aca="false">IFERROR(VALUE(H737),)</f>
        <v>0</v>
      </c>
      <c r="J737" s="34" t="e">
        <f aca="false">RIGHT(B737,LEN(B737)-FIND("/",B737, FIND("Single Cells",B737, 1)))</f>
        <v>#VALUE!</v>
      </c>
    </row>
    <row r="738" customFormat="false" ht="12.75" hidden="false" customHeight="false" outlineLevel="0" collapsed="false">
      <c r="E738" s="34" t="str">
        <f aca="false">MID(B738,9,1)</f>
        <v/>
      </c>
      <c r="F738" s="34" t="str">
        <f aca="false">MID(B738,10,1)</f>
        <v/>
      </c>
      <c r="G738" s="34" t="str">
        <f aca="false">MID(B738,11,1)</f>
        <v/>
      </c>
      <c r="H738" s="35" t="str">
        <f aca="false">IF(G738=".",F738,CONCATENATE(F738,G738))</f>
        <v/>
      </c>
      <c r="I738" s="34" t="n">
        <f aca="false">IFERROR(VALUE(H738),)</f>
        <v>0</v>
      </c>
      <c r="J738" s="34" t="e">
        <f aca="false">RIGHT(B738,LEN(B738)-FIND("/",B738, FIND("Single Cells",B738, 1)))</f>
        <v>#VALUE!</v>
      </c>
    </row>
    <row r="739" customFormat="false" ht="12.75" hidden="false" customHeight="false" outlineLevel="0" collapsed="false">
      <c r="E739" s="34" t="str">
        <f aca="false">MID(B739,9,1)</f>
        <v/>
      </c>
      <c r="F739" s="34" t="str">
        <f aca="false">MID(B739,10,1)</f>
        <v/>
      </c>
      <c r="G739" s="34" t="str">
        <f aca="false">MID(B739,11,1)</f>
        <v/>
      </c>
      <c r="H739" s="35" t="str">
        <f aca="false">IF(G739=".",F739,CONCATENATE(F739,G739))</f>
        <v/>
      </c>
      <c r="I739" s="34" t="n">
        <f aca="false">IFERROR(VALUE(H739),)</f>
        <v>0</v>
      </c>
      <c r="J739" s="34" t="e">
        <f aca="false">RIGHT(B739,LEN(B739)-FIND("/",B739, FIND("Single Cells",B739, 1)))</f>
        <v>#VALUE!</v>
      </c>
    </row>
    <row r="740" customFormat="false" ht="12.75" hidden="false" customHeight="false" outlineLevel="0" collapsed="false">
      <c r="E740" s="34" t="str">
        <f aca="false">MID(B740,9,1)</f>
        <v/>
      </c>
      <c r="F740" s="34" t="str">
        <f aca="false">MID(B740,10,1)</f>
        <v/>
      </c>
      <c r="G740" s="34" t="str">
        <f aca="false">MID(B740,11,1)</f>
        <v/>
      </c>
      <c r="H740" s="35" t="str">
        <f aca="false">IF(G740=".",F740,CONCATENATE(F740,G740))</f>
        <v/>
      </c>
      <c r="I740" s="34" t="n">
        <f aca="false">IFERROR(VALUE(H740),)</f>
        <v>0</v>
      </c>
      <c r="J740" s="34" t="e">
        <f aca="false">RIGHT(B740,LEN(B740)-FIND("/",B740, FIND("Single Cells",B740, 1)))</f>
        <v>#VALUE!</v>
      </c>
    </row>
    <row r="741" customFormat="false" ht="12.75" hidden="false" customHeight="false" outlineLevel="0" collapsed="false">
      <c r="E741" s="34" t="str">
        <f aca="false">MID(B741,9,1)</f>
        <v/>
      </c>
      <c r="F741" s="34" t="str">
        <f aca="false">MID(B741,10,1)</f>
        <v/>
      </c>
      <c r="G741" s="34" t="str">
        <f aca="false">MID(B741,11,1)</f>
        <v/>
      </c>
      <c r="H741" s="35" t="str">
        <f aca="false">IF(G741=".",F741,CONCATENATE(F741,G741))</f>
        <v/>
      </c>
      <c r="I741" s="34" t="n">
        <f aca="false">IFERROR(VALUE(H741),)</f>
        <v>0</v>
      </c>
      <c r="J741" s="34" t="e">
        <f aca="false">RIGHT(B741,LEN(B741)-FIND("/",B741, FIND("Single Cells",B741, 1)))</f>
        <v>#VALUE!</v>
      </c>
    </row>
    <row r="742" customFormat="false" ht="12.75" hidden="false" customHeight="false" outlineLevel="0" collapsed="false">
      <c r="E742" s="34" t="str">
        <f aca="false">MID(B742,9,1)</f>
        <v/>
      </c>
      <c r="F742" s="34" t="str">
        <f aca="false">MID(B742,10,1)</f>
        <v/>
      </c>
      <c r="G742" s="34" t="str">
        <f aca="false">MID(B742,11,1)</f>
        <v/>
      </c>
      <c r="H742" s="35" t="str">
        <f aca="false">IF(G742=".",F742,CONCATENATE(F742,G742))</f>
        <v/>
      </c>
      <c r="I742" s="34" t="n">
        <f aca="false">IFERROR(VALUE(H742),)</f>
        <v>0</v>
      </c>
      <c r="J742" s="34" t="e">
        <f aca="false">RIGHT(B742,LEN(B742)-FIND("/",B742, FIND("Single Cells",B742, 1)))</f>
        <v>#VALUE!</v>
      </c>
    </row>
    <row r="743" customFormat="false" ht="12.75" hidden="false" customHeight="false" outlineLevel="0" collapsed="false">
      <c r="E743" s="34" t="str">
        <f aca="false">MID(B743,9,1)</f>
        <v/>
      </c>
      <c r="F743" s="34" t="str">
        <f aca="false">MID(B743,10,1)</f>
        <v/>
      </c>
      <c r="G743" s="34" t="str">
        <f aca="false">MID(B743,11,1)</f>
        <v/>
      </c>
      <c r="H743" s="35" t="str">
        <f aca="false">IF(G743=".",F743,CONCATENATE(F743,G743))</f>
        <v/>
      </c>
      <c r="I743" s="34" t="n">
        <f aca="false">IFERROR(VALUE(H743),)</f>
        <v>0</v>
      </c>
      <c r="J743" s="34" t="e">
        <f aca="false">RIGHT(B743,LEN(B743)-FIND("/",B743, FIND("Single Cells",B743, 1)))</f>
        <v>#VALUE!</v>
      </c>
    </row>
    <row r="744" customFormat="false" ht="12.75" hidden="false" customHeight="false" outlineLevel="0" collapsed="false">
      <c r="E744" s="34" t="str">
        <f aca="false">MID(B744,9,1)</f>
        <v/>
      </c>
      <c r="F744" s="34" t="str">
        <f aca="false">MID(B744,10,1)</f>
        <v/>
      </c>
      <c r="G744" s="34" t="str">
        <f aca="false">MID(B744,11,1)</f>
        <v/>
      </c>
      <c r="H744" s="35" t="str">
        <f aca="false">IF(G744=".",F744,CONCATENATE(F744,G744))</f>
        <v/>
      </c>
      <c r="I744" s="34" t="n">
        <f aca="false">IFERROR(VALUE(H744),)</f>
        <v>0</v>
      </c>
      <c r="J744" s="34" t="e">
        <f aca="false">RIGHT(B744,LEN(B744)-FIND("/",B744, FIND("Single Cells",B744, 1)))</f>
        <v>#VALUE!</v>
      </c>
    </row>
    <row r="745" customFormat="false" ht="12.75" hidden="false" customHeight="false" outlineLevel="0" collapsed="false">
      <c r="E745" s="34" t="str">
        <f aca="false">MID(B745,9,1)</f>
        <v/>
      </c>
      <c r="F745" s="34" t="str">
        <f aca="false">MID(B745,10,1)</f>
        <v/>
      </c>
      <c r="G745" s="34" t="str">
        <f aca="false">MID(B745,11,1)</f>
        <v/>
      </c>
      <c r="H745" s="35" t="str">
        <f aca="false">IF(G745=".",F745,CONCATENATE(F745,G745))</f>
        <v/>
      </c>
      <c r="I745" s="34" t="n">
        <f aca="false">IFERROR(VALUE(H745),)</f>
        <v>0</v>
      </c>
      <c r="J745" s="34" t="e">
        <f aca="false">RIGHT(B745,LEN(B745)-FIND("/",B745, FIND("Single Cells",B745, 1)))</f>
        <v>#VALUE!</v>
      </c>
    </row>
    <row r="746" customFormat="false" ht="12.75" hidden="false" customHeight="false" outlineLevel="0" collapsed="false">
      <c r="E746" s="34" t="str">
        <f aca="false">MID(B746,9,1)</f>
        <v/>
      </c>
      <c r="F746" s="34" t="str">
        <f aca="false">MID(B746,10,1)</f>
        <v/>
      </c>
      <c r="G746" s="34" t="str">
        <f aca="false">MID(B746,11,1)</f>
        <v/>
      </c>
      <c r="H746" s="35" t="str">
        <f aca="false">IF(G746=".",F746,CONCATENATE(F746,G746))</f>
        <v/>
      </c>
      <c r="I746" s="34" t="n">
        <f aca="false">IFERROR(VALUE(H746),)</f>
        <v>0</v>
      </c>
      <c r="J746" s="34" t="e">
        <f aca="false">RIGHT(B746,LEN(B746)-FIND("/",B746, FIND("Single Cells",B746, 1)))</f>
        <v>#VALUE!</v>
      </c>
    </row>
    <row r="747" customFormat="false" ht="12.75" hidden="false" customHeight="false" outlineLevel="0" collapsed="false">
      <c r="E747" s="34" t="str">
        <f aca="false">MID(B747,9,1)</f>
        <v/>
      </c>
      <c r="F747" s="34" t="str">
        <f aca="false">MID(B747,10,1)</f>
        <v/>
      </c>
      <c r="G747" s="34" t="str">
        <f aca="false">MID(B747,11,1)</f>
        <v/>
      </c>
      <c r="H747" s="35" t="str">
        <f aca="false">IF(G747=".",F747,CONCATENATE(F747,G747))</f>
        <v/>
      </c>
      <c r="I747" s="34" t="n">
        <f aca="false">IFERROR(VALUE(H747),)</f>
        <v>0</v>
      </c>
      <c r="J747" s="34" t="e">
        <f aca="false">RIGHT(B747,LEN(B747)-FIND("/",B747, FIND("Single Cells",B747, 1)))</f>
        <v>#VALUE!</v>
      </c>
    </row>
    <row r="748" customFormat="false" ht="12.75" hidden="false" customHeight="false" outlineLevel="0" collapsed="false">
      <c r="E748" s="34" t="str">
        <f aca="false">MID(B748,9,1)</f>
        <v/>
      </c>
      <c r="F748" s="34" t="str">
        <f aca="false">MID(B748,10,1)</f>
        <v/>
      </c>
      <c r="G748" s="34" t="str">
        <f aca="false">MID(B748,11,1)</f>
        <v/>
      </c>
      <c r="H748" s="35" t="str">
        <f aca="false">IF(G748=".",F748,CONCATENATE(F748,G748))</f>
        <v/>
      </c>
      <c r="I748" s="34" t="n">
        <f aca="false">IFERROR(VALUE(H748),)</f>
        <v>0</v>
      </c>
      <c r="J748" s="34" t="e">
        <f aca="false">RIGHT(B748,LEN(B748)-FIND("/",B748, FIND("Single Cells",B748, 1)))</f>
        <v>#VALUE!</v>
      </c>
    </row>
    <row r="749" customFormat="false" ht="12.75" hidden="false" customHeight="false" outlineLevel="0" collapsed="false">
      <c r="E749" s="34" t="str">
        <f aca="false">MID(B749,9,1)</f>
        <v/>
      </c>
      <c r="F749" s="34" t="str">
        <f aca="false">MID(B749,10,1)</f>
        <v/>
      </c>
      <c r="G749" s="34" t="str">
        <f aca="false">MID(B749,11,1)</f>
        <v/>
      </c>
      <c r="H749" s="35" t="str">
        <f aca="false">IF(G749=".",F749,CONCATENATE(F749,G749))</f>
        <v/>
      </c>
      <c r="I749" s="34" t="n">
        <f aca="false">IFERROR(VALUE(H749),)</f>
        <v>0</v>
      </c>
      <c r="J749" s="34" t="e">
        <f aca="false">RIGHT(B749,LEN(B749)-FIND("/",B749, FIND("Single Cells",B749, 1)))</f>
        <v>#VALUE!</v>
      </c>
    </row>
    <row r="750" customFormat="false" ht="12.75" hidden="false" customHeight="false" outlineLevel="0" collapsed="false">
      <c r="E750" s="34" t="str">
        <f aca="false">MID(B750,9,1)</f>
        <v/>
      </c>
      <c r="F750" s="34" t="str">
        <f aca="false">MID(B750,10,1)</f>
        <v/>
      </c>
      <c r="G750" s="34" t="str">
        <f aca="false">MID(B750,11,1)</f>
        <v/>
      </c>
      <c r="H750" s="35" t="str">
        <f aca="false">IF(G750=".",F750,CONCATENATE(F750,G750))</f>
        <v/>
      </c>
      <c r="I750" s="34" t="n">
        <f aca="false">IFERROR(VALUE(H750),)</f>
        <v>0</v>
      </c>
      <c r="J750" s="34" t="e">
        <f aca="false">RIGHT(B750,LEN(B750)-FIND("/",B750, FIND("Single Cells",B750, 1)))</f>
        <v>#VALUE!</v>
      </c>
    </row>
    <row r="751" customFormat="false" ht="12.75" hidden="false" customHeight="false" outlineLevel="0" collapsed="false">
      <c r="E751" s="34" t="str">
        <f aca="false">MID(B751,9,1)</f>
        <v/>
      </c>
      <c r="F751" s="34" t="str">
        <f aca="false">MID(B751,10,1)</f>
        <v/>
      </c>
      <c r="G751" s="34" t="str">
        <f aca="false">MID(B751,11,1)</f>
        <v/>
      </c>
      <c r="H751" s="35" t="str">
        <f aca="false">IF(G751=".",F751,CONCATENATE(F751,G751))</f>
        <v/>
      </c>
      <c r="I751" s="34" t="n">
        <f aca="false">IFERROR(VALUE(H751),)</f>
        <v>0</v>
      </c>
      <c r="J751" s="34" t="e">
        <f aca="false">RIGHT(B751,LEN(B751)-FIND("/",B751, FIND("Single Cells",B751, 1)))</f>
        <v>#VALUE!</v>
      </c>
    </row>
    <row r="752" customFormat="false" ht="12.75" hidden="false" customHeight="false" outlineLevel="0" collapsed="false">
      <c r="E752" s="34" t="str">
        <f aca="false">MID(B752,9,1)</f>
        <v/>
      </c>
      <c r="F752" s="34" t="str">
        <f aca="false">MID(B752,10,1)</f>
        <v/>
      </c>
      <c r="G752" s="34" t="str">
        <f aca="false">MID(B752,11,1)</f>
        <v/>
      </c>
      <c r="H752" s="35" t="str">
        <f aca="false">IF(G752=".",F752,CONCATENATE(F752,G752))</f>
        <v/>
      </c>
      <c r="I752" s="34" t="n">
        <f aca="false">IFERROR(VALUE(H752),)</f>
        <v>0</v>
      </c>
      <c r="J752" s="34" t="e">
        <f aca="false">RIGHT(B752,LEN(B752)-FIND("/",B752, FIND("Single Cells",B752, 1)))</f>
        <v>#VALUE!</v>
      </c>
    </row>
    <row r="753" customFormat="false" ht="12.75" hidden="false" customHeight="false" outlineLevel="0" collapsed="false">
      <c r="E753" s="34" t="str">
        <f aca="false">MID(B753,9,1)</f>
        <v/>
      </c>
      <c r="F753" s="34" t="str">
        <f aca="false">MID(B753,10,1)</f>
        <v/>
      </c>
      <c r="G753" s="34" t="str">
        <f aca="false">MID(B753,11,1)</f>
        <v/>
      </c>
      <c r="H753" s="35" t="str">
        <f aca="false">IF(G753=".",F753,CONCATENATE(F753,G753))</f>
        <v/>
      </c>
      <c r="I753" s="34" t="n">
        <f aca="false">IFERROR(VALUE(H753),)</f>
        <v>0</v>
      </c>
      <c r="J753" s="34" t="e">
        <f aca="false">RIGHT(B753,LEN(B753)-FIND("/",B753, FIND("Single Cells",B753, 1)))</f>
        <v>#VALUE!</v>
      </c>
    </row>
    <row r="754" customFormat="false" ht="12.75" hidden="false" customHeight="false" outlineLevel="0" collapsed="false">
      <c r="E754" s="34" t="str">
        <f aca="false">MID(B754,9,1)</f>
        <v/>
      </c>
      <c r="F754" s="34" t="str">
        <f aca="false">MID(B754,10,1)</f>
        <v/>
      </c>
      <c r="G754" s="34" t="str">
        <f aca="false">MID(B754,11,1)</f>
        <v/>
      </c>
      <c r="H754" s="35" t="str">
        <f aca="false">IF(G754=".",F754,CONCATENATE(F754,G754))</f>
        <v/>
      </c>
      <c r="I754" s="34" t="n">
        <f aca="false">IFERROR(VALUE(H754),)</f>
        <v>0</v>
      </c>
      <c r="J754" s="34" t="e">
        <f aca="false">RIGHT(B754,LEN(B754)-FIND("/",B754, FIND("Single Cells",B754, 1)))</f>
        <v>#VALUE!</v>
      </c>
    </row>
    <row r="755" customFormat="false" ht="12.75" hidden="false" customHeight="false" outlineLevel="0" collapsed="false">
      <c r="E755" s="34" t="str">
        <f aca="false">MID(B755,9,1)</f>
        <v/>
      </c>
      <c r="F755" s="34" t="str">
        <f aca="false">MID(B755,10,1)</f>
        <v/>
      </c>
      <c r="G755" s="34" t="str">
        <f aca="false">MID(B755,11,1)</f>
        <v/>
      </c>
      <c r="H755" s="35" t="str">
        <f aca="false">IF(G755=".",F755,CONCATENATE(F755,G755))</f>
        <v/>
      </c>
      <c r="I755" s="34" t="n">
        <f aca="false">IFERROR(VALUE(H755),)</f>
        <v>0</v>
      </c>
      <c r="J755" s="34" t="e">
        <f aca="false">RIGHT(B755,LEN(B755)-FIND("/",B755, FIND("Single Cells",B755, 1)))</f>
        <v>#VALUE!</v>
      </c>
    </row>
    <row r="756" customFormat="false" ht="12.75" hidden="false" customHeight="false" outlineLevel="0" collapsed="false">
      <c r="E756" s="34" t="str">
        <f aca="false">MID(B756,9,1)</f>
        <v/>
      </c>
      <c r="F756" s="34" t="str">
        <f aca="false">MID(B756,10,1)</f>
        <v/>
      </c>
      <c r="G756" s="34" t="str">
        <f aca="false">MID(B756,11,1)</f>
        <v/>
      </c>
      <c r="H756" s="35" t="str">
        <f aca="false">IF(G756=".",F756,CONCATENATE(F756,G756))</f>
        <v/>
      </c>
      <c r="I756" s="34" t="n">
        <f aca="false">IFERROR(VALUE(H756),)</f>
        <v>0</v>
      </c>
      <c r="J756" s="34" t="e">
        <f aca="false">RIGHT(B756,LEN(B756)-FIND("/",B756, FIND("Single Cells",B756, 1)))</f>
        <v>#VALUE!</v>
      </c>
    </row>
    <row r="757" customFormat="false" ht="12.75" hidden="false" customHeight="false" outlineLevel="0" collapsed="false">
      <c r="E757" s="34" t="str">
        <f aca="false">MID(B757,9,1)</f>
        <v/>
      </c>
      <c r="F757" s="34" t="str">
        <f aca="false">MID(B757,10,1)</f>
        <v/>
      </c>
      <c r="G757" s="34" t="str">
        <f aca="false">MID(B757,11,1)</f>
        <v/>
      </c>
      <c r="H757" s="35" t="str">
        <f aca="false">IF(G757=".",F757,CONCATENATE(F757,G757))</f>
        <v/>
      </c>
      <c r="I757" s="34" t="n">
        <f aca="false">IFERROR(VALUE(H757),)</f>
        <v>0</v>
      </c>
      <c r="J757" s="34" t="e">
        <f aca="false">RIGHT(B757,LEN(B757)-FIND("/",B757, FIND("Single Cells",B757, 1)))</f>
        <v>#VALUE!</v>
      </c>
    </row>
    <row r="758" customFormat="false" ht="12.75" hidden="false" customHeight="false" outlineLevel="0" collapsed="false">
      <c r="E758" s="34" t="str">
        <f aca="false">MID(B758,9,1)</f>
        <v/>
      </c>
      <c r="F758" s="34" t="str">
        <f aca="false">MID(B758,10,1)</f>
        <v/>
      </c>
      <c r="G758" s="34" t="str">
        <f aca="false">MID(B758,11,1)</f>
        <v/>
      </c>
      <c r="H758" s="35" t="str">
        <f aca="false">IF(G758=".",F758,CONCATENATE(F758,G758))</f>
        <v/>
      </c>
      <c r="I758" s="34" t="n">
        <f aca="false">IFERROR(VALUE(H758),)</f>
        <v>0</v>
      </c>
      <c r="J758" s="34" t="e">
        <f aca="false">RIGHT(B758,LEN(B758)-FIND("/",B758, FIND("Single Cells",B758, 1)))</f>
        <v>#VALUE!</v>
      </c>
    </row>
    <row r="759" customFormat="false" ht="12.75" hidden="false" customHeight="false" outlineLevel="0" collapsed="false">
      <c r="E759" s="34" t="str">
        <f aca="false">MID(B759,9,1)</f>
        <v/>
      </c>
      <c r="F759" s="34" t="str">
        <f aca="false">MID(B759,10,1)</f>
        <v/>
      </c>
      <c r="G759" s="34" t="str">
        <f aca="false">MID(B759,11,1)</f>
        <v/>
      </c>
      <c r="H759" s="35" t="str">
        <f aca="false">IF(G759=".",F759,CONCATENATE(F759,G759))</f>
        <v/>
      </c>
      <c r="I759" s="34" t="n">
        <f aca="false">IFERROR(VALUE(H759),)</f>
        <v>0</v>
      </c>
      <c r="J759" s="34" t="e">
        <f aca="false">RIGHT(B759,LEN(B759)-FIND("/",B759, FIND("Single Cells",B759, 1)))</f>
        <v>#VALUE!</v>
      </c>
    </row>
    <row r="760" customFormat="false" ht="12.75" hidden="false" customHeight="false" outlineLevel="0" collapsed="false">
      <c r="E760" s="34" t="str">
        <f aca="false">MID(B760,9,1)</f>
        <v/>
      </c>
      <c r="F760" s="34" t="str">
        <f aca="false">MID(B760,10,1)</f>
        <v/>
      </c>
      <c r="G760" s="34" t="str">
        <f aca="false">MID(B760,11,1)</f>
        <v/>
      </c>
      <c r="H760" s="35" t="str">
        <f aca="false">IF(G760=".",F760,CONCATENATE(F760,G760))</f>
        <v/>
      </c>
      <c r="I760" s="34" t="n">
        <f aca="false">IFERROR(VALUE(H760),)</f>
        <v>0</v>
      </c>
      <c r="J760" s="34" t="e">
        <f aca="false">RIGHT(B760,LEN(B760)-FIND("/",B760, FIND("Single Cells",B760, 1)))</f>
        <v>#VALUE!</v>
      </c>
    </row>
    <row r="761" customFormat="false" ht="12.75" hidden="false" customHeight="false" outlineLevel="0" collapsed="false">
      <c r="E761" s="34" t="str">
        <f aca="false">MID(B761,9,1)</f>
        <v/>
      </c>
      <c r="F761" s="34" t="str">
        <f aca="false">MID(B761,10,1)</f>
        <v/>
      </c>
      <c r="G761" s="34" t="str">
        <f aca="false">MID(B761,11,1)</f>
        <v/>
      </c>
      <c r="H761" s="35" t="str">
        <f aca="false">IF(G761=".",F761,CONCATENATE(F761,G761))</f>
        <v/>
      </c>
      <c r="I761" s="34" t="n">
        <f aca="false">IFERROR(VALUE(H761),)</f>
        <v>0</v>
      </c>
      <c r="J761" s="34" t="e">
        <f aca="false">RIGHT(B761,LEN(B761)-FIND("/",B761, FIND("Single Cells",B761, 1)))</f>
        <v>#VALUE!</v>
      </c>
    </row>
    <row r="762" customFormat="false" ht="12.75" hidden="false" customHeight="false" outlineLevel="0" collapsed="false">
      <c r="E762" s="34" t="str">
        <f aca="false">MID(B762,9,1)</f>
        <v/>
      </c>
      <c r="F762" s="34" t="str">
        <f aca="false">MID(B762,10,1)</f>
        <v/>
      </c>
      <c r="G762" s="34" t="str">
        <f aca="false">MID(B762,11,1)</f>
        <v/>
      </c>
      <c r="H762" s="35" t="str">
        <f aca="false">IF(G762=".",F762,CONCATENATE(F762,G762))</f>
        <v/>
      </c>
      <c r="I762" s="34" t="n">
        <f aca="false">IFERROR(VALUE(H762),)</f>
        <v>0</v>
      </c>
      <c r="J762" s="34" t="e">
        <f aca="false">RIGHT(B762,LEN(B762)-FIND("/",B762, FIND("Single Cells",B762, 1)))</f>
        <v>#VALUE!</v>
      </c>
    </row>
    <row r="763" customFormat="false" ht="12.75" hidden="false" customHeight="false" outlineLevel="0" collapsed="false">
      <c r="E763" s="34" t="str">
        <f aca="false">MID(B763,9,1)</f>
        <v/>
      </c>
      <c r="F763" s="34" t="str">
        <f aca="false">MID(B763,10,1)</f>
        <v/>
      </c>
      <c r="G763" s="34" t="str">
        <f aca="false">MID(B763,11,1)</f>
        <v/>
      </c>
      <c r="H763" s="35" t="str">
        <f aca="false">IF(G763=".",F763,CONCATENATE(F763,G763))</f>
        <v/>
      </c>
      <c r="I763" s="34" t="n">
        <f aca="false">IFERROR(VALUE(H763),)</f>
        <v>0</v>
      </c>
      <c r="J763" s="34" t="e">
        <f aca="false">RIGHT(B763,LEN(B763)-FIND("/",B763, FIND("Single Cells",B763, 1)))</f>
        <v>#VALUE!</v>
      </c>
    </row>
    <row r="764" customFormat="false" ht="12.75" hidden="false" customHeight="false" outlineLevel="0" collapsed="false">
      <c r="E764" s="34" t="str">
        <f aca="false">MID(B764,9,1)</f>
        <v/>
      </c>
      <c r="F764" s="34" t="str">
        <f aca="false">MID(B764,10,1)</f>
        <v/>
      </c>
      <c r="G764" s="34" t="str">
        <f aca="false">MID(B764,11,1)</f>
        <v/>
      </c>
      <c r="H764" s="35" t="str">
        <f aca="false">IF(G764=".",F764,CONCATENATE(F764,G764))</f>
        <v/>
      </c>
      <c r="I764" s="34" t="n">
        <f aca="false">IFERROR(VALUE(H764),)</f>
        <v>0</v>
      </c>
      <c r="J764" s="34" t="e">
        <f aca="false">RIGHT(B764,LEN(B764)-FIND("/",B764, FIND("Single Cells",B764, 1)))</f>
        <v>#VALUE!</v>
      </c>
    </row>
    <row r="765" customFormat="false" ht="12.75" hidden="false" customHeight="false" outlineLevel="0" collapsed="false">
      <c r="E765" s="34" t="str">
        <f aca="false">MID(B765,9,1)</f>
        <v/>
      </c>
      <c r="F765" s="34" t="str">
        <f aca="false">MID(B765,10,1)</f>
        <v/>
      </c>
      <c r="G765" s="34" t="str">
        <f aca="false">MID(B765,11,1)</f>
        <v/>
      </c>
      <c r="H765" s="35" t="str">
        <f aca="false">IF(G765=".",F765,CONCATENATE(F765,G765))</f>
        <v/>
      </c>
      <c r="I765" s="34" t="n">
        <f aca="false">IFERROR(VALUE(H765),)</f>
        <v>0</v>
      </c>
      <c r="J765" s="34" t="e">
        <f aca="false">RIGHT(B765,LEN(B765)-FIND("/",B765, FIND("Single Cells",B765, 1)))</f>
        <v>#VALUE!</v>
      </c>
    </row>
    <row r="766" customFormat="false" ht="12.75" hidden="false" customHeight="false" outlineLevel="0" collapsed="false">
      <c r="E766" s="34" t="str">
        <f aca="false">MID(B766,9,1)</f>
        <v/>
      </c>
      <c r="F766" s="34" t="str">
        <f aca="false">MID(B766,10,1)</f>
        <v/>
      </c>
      <c r="G766" s="34" t="str">
        <f aca="false">MID(B766,11,1)</f>
        <v/>
      </c>
      <c r="H766" s="35" t="str">
        <f aca="false">IF(G766=".",F766,CONCATENATE(F766,G766))</f>
        <v/>
      </c>
      <c r="I766" s="34" t="n">
        <f aca="false">IFERROR(VALUE(H766),)</f>
        <v>0</v>
      </c>
      <c r="J766" s="34" t="e">
        <f aca="false">RIGHT(B766,LEN(B766)-FIND("/",B766, FIND("Single Cells",B766, 1)))</f>
        <v>#VALUE!</v>
      </c>
    </row>
    <row r="767" customFormat="false" ht="12.75" hidden="false" customHeight="false" outlineLevel="0" collapsed="false">
      <c r="E767" s="34" t="str">
        <f aca="false">MID(B767,9,1)</f>
        <v/>
      </c>
      <c r="F767" s="34" t="str">
        <f aca="false">MID(B767,10,1)</f>
        <v/>
      </c>
      <c r="G767" s="34" t="str">
        <f aca="false">MID(B767,11,1)</f>
        <v/>
      </c>
      <c r="H767" s="35" t="str">
        <f aca="false">IF(G767=".",F767,CONCATENATE(F767,G767))</f>
        <v/>
      </c>
      <c r="I767" s="34" t="n">
        <f aca="false">IFERROR(VALUE(H767),)</f>
        <v>0</v>
      </c>
      <c r="J767" s="34" t="e">
        <f aca="false">RIGHT(B767,LEN(B767)-FIND("/",B767, FIND("Single Cells",B767, 1)))</f>
        <v>#VALUE!</v>
      </c>
    </row>
    <row r="768" customFormat="false" ht="12.75" hidden="false" customHeight="false" outlineLevel="0" collapsed="false">
      <c r="E768" s="34" t="str">
        <f aca="false">MID(B768,9,1)</f>
        <v/>
      </c>
      <c r="F768" s="34" t="str">
        <f aca="false">MID(B768,10,1)</f>
        <v/>
      </c>
      <c r="G768" s="34" t="str">
        <f aca="false">MID(B768,11,1)</f>
        <v/>
      </c>
      <c r="H768" s="35" t="str">
        <f aca="false">IF(G768=".",F768,CONCATENATE(F768,G768))</f>
        <v/>
      </c>
      <c r="I768" s="34" t="n">
        <f aca="false">IFERROR(VALUE(H768),)</f>
        <v>0</v>
      </c>
      <c r="J768" s="34" t="e">
        <f aca="false">RIGHT(B768,LEN(B768)-FIND("/",B768, FIND("Single Cells",B768, 1)))</f>
        <v>#VALUE!</v>
      </c>
    </row>
    <row r="769" customFormat="false" ht="12.75" hidden="false" customHeight="false" outlineLevel="0" collapsed="false">
      <c r="E769" s="34" t="str">
        <f aca="false">MID(B769,9,1)</f>
        <v/>
      </c>
      <c r="F769" s="34" t="str">
        <f aca="false">MID(B769,10,1)</f>
        <v/>
      </c>
      <c r="G769" s="34" t="str">
        <f aca="false">MID(B769,11,1)</f>
        <v/>
      </c>
      <c r="H769" s="35" t="str">
        <f aca="false">IF(G769=".",F769,CONCATENATE(F769,G769))</f>
        <v/>
      </c>
      <c r="I769" s="34" t="n">
        <f aca="false">IFERROR(VALUE(H769),)</f>
        <v>0</v>
      </c>
      <c r="J769" s="34" t="e">
        <f aca="false">RIGHT(B769,LEN(B769)-FIND("/",B769, FIND("Single Cells",B769, 1)))</f>
        <v>#VALUE!</v>
      </c>
    </row>
    <row r="770" customFormat="false" ht="12.75" hidden="false" customHeight="false" outlineLevel="0" collapsed="false">
      <c r="E770" s="34" t="str">
        <f aca="false">MID(B770,9,1)</f>
        <v/>
      </c>
      <c r="F770" s="34" t="str">
        <f aca="false">MID(B770,10,1)</f>
        <v/>
      </c>
      <c r="G770" s="34" t="str">
        <f aca="false">MID(B770,11,1)</f>
        <v/>
      </c>
      <c r="H770" s="35" t="str">
        <f aca="false">IF(G770=".",F770,CONCATENATE(F770,G770))</f>
        <v/>
      </c>
      <c r="I770" s="34" t="n">
        <f aca="false">IFERROR(VALUE(H770),)</f>
        <v>0</v>
      </c>
      <c r="J770" s="34" t="e">
        <f aca="false">RIGHT(B770,LEN(B770)-FIND("/",B770, FIND("Single Cells",B770, 1)))</f>
        <v>#VALUE!</v>
      </c>
    </row>
    <row r="771" customFormat="false" ht="12.75" hidden="false" customHeight="false" outlineLevel="0" collapsed="false">
      <c r="E771" s="34" t="str">
        <f aca="false">MID(B771,9,1)</f>
        <v/>
      </c>
      <c r="F771" s="34" t="str">
        <f aca="false">MID(B771,10,1)</f>
        <v/>
      </c>
      <c r="G771" s="34" t="str">
        <f aca="false">MID(B771,11,1)</f>
        <v/>
      </c>
      <c r="H771" s="35" t="str">
        <f aca="false">IF(G771=".",F771,CONCATENATE(F771,G771))</f>
        <v/>
      </c>
      <c r="I771" s="34" t="n">
        <f aca="false">IFERROR(VALUE(H771),)</f>
        <v>0</v>
      </c>
      <c r="J771" s="34" t="e">
        <f aca="false">RIGHT(B771,LEN(B771)-FIND("/",B771, FIND("Single Cells",B771, 1)))</f>
        <v>#VALUE!</v>
      </c>
    </row>
    <row r="772" customFormat="false" ht="12.75" hidden="false" customHeight="false" outlineLevel="0" collapsed="false">
      <c r="E772" s="34" t="str">
        <f aca="false">MID(B772,9,1)</f>
        <v/>
      </c>
      <c r="F772" s="34" t="str">
        <f aca="false">MID(B772,10,1)</f>
        <v/>
      </c>
      <c r="G772" s="34" t="str">
        <f aca="false">MID(B772,11,1)</f>
        <v/>
      </c>
      <c r="H772" s="35" t="str">
        <f aca="false">IF(G772=".",F772,CONCATENATE(F772,G772))</f>
        <v/>
      </c>
      <c r="I772" s="34" t="n">
        <f aca="false">IFERROR(VALUE(H772),)</f>
        <v>0</v>
      </c>
      <c r="J772" s="34" t="e">
        <f aca="false">RIGHT(B772,LEN(B772)-FIND("/",B772, FIND("Single Cells",B772, 1)))</f>
        <v>#VALUE!</v>
      </c>
    </row>
    <row r="773" customFormat="false" ht="12.75" hidden="false" customHeight="false" outlineLevel="0" collapsed="false">
      <c r="E773" s="34" t="str">
        <f aca="false">MID(B773,9,1)</f>
        <v/>
      </c>
      <c r="F773" s="34" t="str">
        <f aca="false">MID(B773,10,1)</f>
        <v/>
      </c>
      <c r="G773" s="34" t="str">
        <f aca="false">MID(B773,11,1)</f>
        <v/>
      </c>
      <c r="H773" s="35" t="str">
        <f aca="false">IF(G773=".",F773,CONCATENATE(F773,G773))</f>
        <v/>
      </c>
      <c r="I773" s="34" t="n">
        <f aca="false">IFERROR(VALUE(H773),)</f>
        <v>0</v>
      </c>
      <c r="J773" s="34" t="e">
        <f aca="false">RIGHT(B773,LEN(B773)-FIND("/",B773, FIND("Single Cells",B773, 1)))</f>
        <v>#VALUE!</v>
      </c>
    </row>
    <row r="774" customFormat="false" ht="12.75" hidden="false" customHeight="false" outlineLevel="0" collapsed="false">
      <c r="E774" s="34" t="str">
        <f aca="false">MID(B774,9,1)</f>
        <v/>
      </c>
      <c r="F774" s="34" t="str">
        <f aca="false">MID(B774,10,1)</f>
        <v/>
      </c>
      <c r="G774" s="34" t="str">
        <f aca="false">MID(B774,11,1)</f>
        <v/>
      </c>
      <c r="H774" s="35" t="str">
        <f aca="false">IF(G774=".",F774,CONCATENATE(F774,G774))</f>
        <v/>
      </c>
      <c r="I774" s="34" t="n">
        <f aca="false">IFERROR(VALUE(H774),)</f>
        <v>0</v>
      </c>
      <c r="J774" s="34" t="e">
        <f aca="false">RIGHT(B774,LEN(B774)-FIND("/",B774, FIND("Single Cells",B774, 1)))</f>
        <v>#VALUE!</v>
      </c>
    </row>
    <row r="775" customFormat="false" ht="12.75" hidden="false" customHeight="false" outlineLevel="0" collapsed="false">
      <c r="E775" s="34" t="str">
        <f aca="false">MID(B775,9,1)</f>
        <v/>
      </c>
      <c r="F775" s="34" t="str">
        <f aca="false">MID(B775,10,1)</f>
        <v/>
      </c>
      <c r="G775" s="34" t="str">
        <f aca="false">MID(B775,11,1)</f>
        <v/>
      </c>
      <c r="H775" s="35" t="str">
        <f aca="false">IF(G775=".",F775,CONCATENATE(F775,G775))</f>
        <v/>
      </c>
      <c r="I775" s="34" t="n">
        <f aca="false">IFERROR(VALUE(H775),)</f>
        <v>0</v>
      </c>
      <c r="J775" s="34" t="e">
        <f aca="false">RIGHT(B775,LEN(B775)-FIND("/",B775, FIND("Single Cells",B775, 1)))</f>
        <v>#VALUE!</v>
      </c>
    </row>
    <row r="776" customFormat="false" ht="12.75" hidden="false" customHeight="false" outlineLevel="0" collapsed="false">
      <c r="E776" s="34" t="str">
        <f aca="false">MID(B776,9,1)</f>
        <v/>
      </c>
      <c r="F776" s="34" t="str">
        <f aca="false">MID(B776,10,1)</f>
        <v/>
      </c>
      <c r="G776" s="34" t="str">
        <f aca="false">MID(B776,11,1)</f>
        <v/>
      </c>
      <c r="H776" s="35" t="str">
        <f aca="false">IF(G776=".",F776,CONCATENATE(F776,G776))</f>
        <v/>
      </c>
      <c r="I776" s="34" t="n">
        <f aca="false">IFERROR(VALUE(H776),)</f>
        <v>0</v>
      </c>
      <c r="J776" s="34" t="e">
        <f aca="false">RIGHT(B776,LEN(B776)-FIND("/",B776, FIND("Single Cells",B776, 1)))</f>
        <v>#VALUE!</v>
      </c>
    </row>
    <row r="777" customFormat="false" ht="12.75" hidden="false" customHeight="false" outlineLevel="0" collapsed="false">
      <c r="E777" s="34" t="str">
        <f aca="false">MID(B777,9,1)</f>
        <v/>
      </c>
      <c r="F777" s="34" t="str">
        <f aca="false">MID(B777,10,1)</f>
        <v/>
      </c>
      <c r="G777" s="34" t="str">
        <f aca="false">MID(B777,11,1)</f>
        <v/>
      </c>
      <c r="H777" s="35" t="str">
        <f aca="false">IF(G777=".",F777,CONCATENATE(F777,G777))</f>
        <v/>
      </c>
      <c r="I777" s="34" t="n">
        <f aca="false">IFERROR(VALUE(H777),)</f>
        <v>0</v>
      </c>
      <c r="J777" s="34" t="e">
        <f aca="false">RIGHT(B777,LEN(B777)-FIND("/",B777, FIND("Single Cells",B777, 1)))</f>
        <v>#VALUE!</v>
      </c>
    </row>
    <row r="778" customFormat="false" ht="12.75" hidden="false" customHeight="false" outlineLevel="0" collapsed="false">
      <c r="E778" s="34" t="str">
        <f aca="false">MID(B778,9,1)</f>
        <v/>
      </c>
      <c r="F778" s="34" t="str">
        <f aca="false">MID(B778,10,1)</f>
        <v/>
      </c>
      <c r="G778" s="34" t="str">
        <f aca="false">MID(B778,11,1)</f>
        <v/>
      </c>
      <c r="H778" s="35" t="str">
        <f aca="false">IF(G778=".",F778,CONCATENATE(F778,G778))</f>
        <v/>
      </c>
      <c r="I778" s="34" t="n">
        <f aca="false">IFERROR(VALUE(H778),)</f>
        <v>0</v>
      </c>
      <c r="J778" s="34" t="e">
        <f aca="false">RIGHT(B778,LEN(B778)-FIND("/",B778, FIND("Single Cells",B778, 1)))</f>
        <v>#VALUE!</v>
      </c>
    </row>
    <row r="779" customFormat="false" ht="12.75" hidden="false" customHeight="false" outlineLevel="0" collapsed="false">
      <c r="E779" s="34" t="str">
        <f aca="false">MID(B779,9,1)</f>
        <v/>
      </c>
      <c r="F779" s="34" t="str">
        <f aca="false">MID(B779,10,1)</f>
        <v/>
      </c>
      <c r="G779" s="34" t="str">
        <f aca="false">MID(B779,11,1)</f>
        <v/>
      </c>
      <c r="H779" s="35" t="str">
        <f aca="false">IF(G779=".",F779,CONCATENATE(F779,G779))</f>
        <v/>
      </c>
      <c r="I779" s="34" t="n">
        <f aca="false">IFERROR(VALUE(H779),)</f>
        <v>0</v>
      </c>
      <c r="J779" s="34" t="e">
        <f aca="false">RIGHT(B779,LEN(B779)-FIND("/",B779, FIND("Single Cells",B779, 1)))</f>
        <v>#VALUE!</v>
      </c>
    </row>
    <row r="780" customFormat="false" ht="12.75" hidden="false" customHeight="false" outlineLevel="0" collapsed="false">
      <c r="E780" s="34" t="str">
        <f aca="false">MID(B780,9,1)</f>
        <v/>
      </c>
      <c r="F780" s="34" t="str">
        <f aca="false">MID(B780,10,1)</f>
        <v/>
      </c>
      <c r="G780" s="34" t="str">
        <f aca="false">MID(B780,11,1)</f>
        <v/>
      </c>
      <c r="H780" s="35" t="str">
        <f aca="false">IF(G780=".",F780,CONCATENATE(F780,G780))</f>
        <v/>
      </c>
      <c r="I780" s="34" t="n">
        <f aca="false">IFERROR(VALUE(H780),)</f>
        <v>0</v>
      </c>
      <c r="J780" s="34" t="e">
        <f aca="false">RIGHT(B780,LEN(B780)-FIND("/",B780, FIND("Single Cells",B780, 1)))</f>
        <v>#VALUE!</v>
      </c>
    </row>
    <row r="781" customFormat="false" ht="12.75" hidden="false" customHeight="false" outlineLevel="0" collapsed="false">
      <c r="E781" s="34" t="str">
        <f aca="false">MID(B781,9,1)</f>
        <v/>
      </c>
      <c r="F781" s="34" t="str">
        <f aca="false">MID(B781,10,1)</f>
        <v/>
      </c>
      <c r="G781" s="34" t="str">
        <f aca="false">MID(B781,11,1)</f>
        <v/>
      </c>
      <c r="H781" s="35" t="str">
        <f aca="false">IF(G781=".",F781,CONCATENATE(F781,G781))</f>
        <v/>
      </c>
      <c r="I781" s="34" t="n">
        <f aca="false">IFERROR(VALUE(H781),)</f>
        <v>0</v>
      </c>
      <c r="J781" s="34" t="e">
        <f aca="false">RIGHT(B781,LEN(B781)-FIND("/",B781, FIND("Single Cells",B781, 1)))</f>
        <v>#VALUE!</v>
      </c>
    </row>
    <row r="782" customFormat="false" ht="12.75" hidden="false" customHeight="false" outlineLevel="0" collapsed="false">
      <c r="E782" s="34" t="str">
        <f aca="false">MID(B782,9,1)</f>
        <v/>
      </c>
      <c r="F782" s="34" t="str">
        <f aca="false">MID(B782,10,1)</f>
        <v/>
      </c>
      <c r="G782" s="34" t="str">
        <f aca="false">MID(B782,11,1)</f>
        <v/>
      </c>
      <c r="H782" s="35" t="str">
        <f aca="false">IF(G782=".",F782,CONCATENATE(F782,G782))</f>
        <v/>
      </c>
      <c r="I782" s="34" t="n">
        <f aca="false">IFERROR(VALUE(H782),)</f>
        <v>0</v>
      </c>
      <c r="J782" s="34" t="e">
        <f aca="false">RIGHT(B782,LEN(B782)-FIND("/",B782, FIND("Single Cells",B782, 1)))</f>
        <v>#VALUE!</v>
      </c>
    </row>
    <row r="783" customFormat="false" ht="12.75" hidden="false" customHeight="false" outlineLevel="0" collapsed="false">
      <c r="E783" s="34" t="str">
        <f aca="false">MID(B783,9,1)</f>
        <v/>
      </c>
      <c r="F783" s="34" t="str">
        <f aca="false">MID(B783,10,1)</f>
        <v/>
      </c>
      <c r="G783" s="34" t="str">
        <f aca="false">MID(B783,11,1)</f>
        <v/>
      </c>
      <c r="H783" s="35" t="str">
        <f aca="false">IF(G783=".",F783,CONCATENATE(F783,G783))</f>
        <v/>
      </c>
      <c r="I783" s="34" t="n">
        <f aca="false">IFERROR(VALUE(H783),)</f>
        <v>0</v>
      </c>
      <c r="J783" s="34" t="e">
        <f aca="false">RIGHT(B783,LEN(B783)-FIND("/",B783, FIND("Single Cells",B783, 1)))</f>
        <v>#VALUE!</v>
      </c>
    </row>
    <row r="784" customFormat="false" ht="12.75" hidden="false" customHeight="false" outlineLevel="0" collapsed="false">
      <c r="E784" s="34" t="str">
        <f aca="false">MID(B784,9,1)</f>
        <v/>
      </c>
      <c r="F784" s="34" t="str">
        <f aca="false">MID(B784,10,1)</f>
        <v/>
      </c>
      <c r="G784" s="34" t="str">
        <f aca="false">MID(B784,11,1)</f>
        <v/>
      </c>
      <c r="H784" s="35" t="str">
        <f aca="false">IF(G784=".",F784,CONCATENATE(F784,G784))</f>
        <v/>
      </c>
      <c r="I784" s="34" t="n">
        <f aca="false">IFERROR(VALUE(H784),)</f>
        <v>0</v>
      </c>
      <c r="J784" s="34" t="e">
        <f aca="false">RIGHT(B784,LEN(B784)-FIND("/",B784, FIND("Single Cells",B784, 1)))</f>
        <v>#VALUE!</v>
      </c>
    </row>
    <row r="785" customFormat="false" ht="12.75" hidden="false" customHeight="false" outlineLevel="0" collapsed="false">
      <c r="E785" s="34" t="str">
        <f aca="false">MID(B785,9,1)</f>
        <v/>
      </c>
      <c r="F785" s="34" t="str">
        <f aca="false">MID(B785,10,1)</f>
        <v/>
      </c>
      <c r="G785" s="34" t="str">
        <f aca="false">MID(B785,11,1)</f>
        <v/>
      </c>
      <c r="H785" s="35" t="str">
        <f aca="false">IF(G785=".",F785,CONCATENATE(F785,G785))</f>
        <v/>
      </c>
      <c r="I785" s="34" t="n">
        <f aca="false">IFERROR(VALUE(H785),)</f>
        <v>0</v>
      </c>
      <c r="J785" s="34" t="e">
        <f aca="false">RIGHT(B785,LEN(B785)-FIND("/",B785, FIND("Single Cells",B785, 1)))</f>
        <v>#VALUE!</v>
      </c>
    </row>
    <row r="786" customFormat="false" ht="12.75" hidden="false" customHeight="false" outlineLevel="0" collapsed="false">
      <c r="E786" s="34" t="str">
        <f aca="false">MID(B786,9,1)</f>
        <v/>
      </c>
      <c r="F786" s="34" t="str">
        <f aca="false">MID(B786,10,1)</f>
        <v/>
      </c>
      <c r="G786" s="34" t="str">
        <f aca="false">MID(B786,11,1)</f>
        <v/>
      </c>
      <c r="H786" s="35" t="str">
        <f aca="false">IF(G786=".",F786,CONCATENATE(F786,G786))</f>
        <v/>
      </c>
      <c r="I786" s="34" t="n">
        <f aca="false">IFERROR(VALUE(H786),)</f>
        <v>0</v>
      </c>
      <c r="J786" s="34" t="e">
        <f aca="false">RIGHT(B786,LEN(B786)-FIND("/",B786, FIND("Single Cells",B786, 1)))</f>
        <v>#VALUE!</v>
      </c>
    </row>
    <row r="787" customFormat="false" ht="12.75" hidden="false" customHeight="false" outlineLevel="0" collapsed="false">
      <c r="E787" s="34" t="str">
        <f aca="false">MID(B787,9,1)</f>
        <v/>
      </c>
      <c r="F787" s="34" t="str">
        <f aca="false">MID(B787,10,1)</f>
        <v/>
      </c>
      <c r="G787" s="34" t="str">
        <f aca="false">MID(B787,11,1)</f>
        <v/>
      </c>
      <c r="H787" s="35" t="str">
        <f aca="false">IF(G787=".",F787,CONCATENATE(F787,G787))</f>
        <v/>
      </c>
      <c r="I787" s="34" t="n">
        <f aca="false">IFERROR(VALUE(H787),)</f>
        <v>0</v>
      </c>
      <c r="J787" s="34" t="e">
        <f aca="false">RIGHT(B787,LEN(B787)-FIND("/",B787, FIND("Single Cells",B787, 1)))</f>
        <v>#VALUE!</v>
      </c>
    </row>
    <row r="788" customFormat="false" ht="12.75" hidden="false" customHeight="false" outlineLevel="0" collapsed="false">
      <c r="E788" s="34" t="str">
        <f aca="false">MID(B788,9,1)</f>
        <v/>
      </c>
      <c r="F788" s="34" t="str">
        <f aca="false">MID(B788,10,1)</f>
        <v/>
      </c>
      <c r="G788" s="34" t="str">
        <f aca="false">MID(B788,11,1)</f>
        <v/>
      </c>
      <c r="H788" s="35" t="str">
        <f aca="false">IF(G788=".",F788,CONCATENATE(F788,G788))</f>
        <v/>
      </c>
      <c r="I788" s="34" t="n">
        <f aca="false">IFERROR(VALUE(H788),)</f>
        <v>0</v>
      </c>
      <c r="J788" s="34" t="e">
        <f aca="false">RIGHT(B788,LEN(B788)-FIND("/",B788, FIND("Single Cells",B788, 1)))</f>
        <v>#VALUE!</v>
      </c>
    </row>
    <row r="789" customFormat="false" ht="12.75" hidden="false" customHeight="false" outlineLevel="0" collapsed="false">
      <c r="E789" s="34" t="str">
        <f aca="false">MID(B789,9,1)</f>
        <v/>
      </c>
      <c r="F789" s="34" t="str">
        <f aca="false">MID(B789,10,1)</f>
        <v/>
      </c>
      <c r="G789" s="34" t="str">
        <f aca="false">MID(B789,11,1)</f>
        <v/>
      </c>
      <c r="H789" s="35" t="str">
        <f aca="false">IF(G789=".",F789,CONCATENATE(F789,G789))</f>
        <v/>
      </c>
      <c r="I789" s="34" t="n">
        <f aca="false">IFERROR(VALUE(H789),)</f>
        <v>0</v>
      </c>
      <c r="J789" s="34" t="e">
        <f aca="false">RIGHT(B789,LEN(B789)-FIND("/",B789, FIND("Single Cells",B789, 1)))</f>
        <v>#VALUE!</v>
      </c>
    </row>
    <row r="790" customFormat="false" ht="12.75" hidden="false" customHeight="false" outlineLevel="0" collapsed="false">
      <c r="E790" s="34" t="str">
        <f aca="false">MID(B790,9,1)</f>
        <v/>
      </c>
      <c r="F790" s="34" t="str">
        <f aca="false">MID(B790,10,1)</f>
        <v/>
      </c>
      <c r="G790" s="34" t="str">
        <f aca="false">MID(B790,11,1)</f>
        <v/>
      </c>
      <c r="H790" s="35" t="str">
        <f aca="false">IF(G790=".",F790,CONCATENATE(F790,G790))</f>
        <v/>
      </c>
      <c r="I790" s="34" t="n">
        <f aca="false">IFERROR(VALUE(H790),)</f>
        <v>0</v>
      </c>
      <c r="J790" s="34" t="e">
        <f aca="false">RIGHT(B790,LEN(B790)-FIND("/",B790, FIND("Single Cells",B790, 1)))</f>
        <v>#VALUE!</v>
      </c>
    </row>
    <row r="791" customFormat="false" ht="12.75" hidden="false" customHeight="false" outlineLevel="0" collapsed="false">
      <c r="E791" s="34" t="str">
        <f aca="false">MID(B791,9,1)</f>
        <v/>
      </c>
      <c r="F791" s="34" t="str">
        <f aca="false">MID(B791,10,1)</f>
        <v/>
      </c>
      <c r="G791" s="34" t="str">
        <f aca="false">MID(B791,11,1)</f>
        <v/>
      </c>
      <c r="H791" s="35" t="str">
        <f aca="false">IF(G791=".",F791,CONCATENATE(F791,G791))</f>
        <v/>
      </c>
      <c r="I791" s="34" t="n">
        <f aca="false">IFERROR(VALUE(H791),)</f>
        <v>0</v>
      </c>
      <c r="J791" s="34" t="e">
        <f aca="false">RIGHT(B791,LEN(B791)-FIND("/",B791, FIND("Single Cells",B791, 1)))</f>
        <v>#VALUE!</v>
      </c>
    </row>
    <row r="792" customFormat="false" ht="12.75" hidden="false" customHeight="false" outlineLevel="0" collapsed="false">
      <c r="E792" s="34" t="str">
        <f aca="false">MID(B792,9,1)</f>
        <v/>
      </c>
      <c r="F792" s="34" t="str">
        <f aca="false">MID(B792,10,1)</f>
        <v/>
      </c>
      <c r="G792" s="34" t="str">
        <f aca="false">MID(B792,11,1)</f>
        <v/>
      </c>
      <c r="H792" s="35" t="str">
        <f aca="false">IF(G792=".",F792,CONCATENATE(F792,G792))</f>
        <v/>
      </c>
      <c r="I792" s="34" t="n">
        <f aca="false">IFERROR(VALUE(H792),)</f>
        <v>0</v>
      </c>
      <c r="J792" s="34" t="e">
        <f aca="false">RIGHT(B792,LEN(B792)-FIND("/",B792, FIND("Single Cells",B792, 1)))</f>
        <v>#VALUE!</v>
      </c>
    </row>
    <row r="793" customFormat="false" ht="12.75" hidden="false" customHeight="false" outlineLevel="0" collapsed="false">
      <c r="E793" s="34" t="str">
        <f aca="false">MID(B793,9,1)</f>
        <v/>
      </c>
      <c r="F793" s="34" t="str">
        <f aca="false">MID(B793,10,1)</f>
        <v/>
      </c>
      <c r="G793" s="34" t="str">
        <f aca="false">MID(B793,11,1)</f>
        <v/>
      </c>
      <c r="H793" s="35" t="str">
        <f aca="false">IF(G793=".",F793,CONCATENATE(F793,G793))</f>
        <v/>
      </c>
      <c r="I793" s="34" t="n">
        <f aca="false">IFERROR(VALUE(H793),)</f>
        <v>0</v>
      </c>
      <c r="J793" s="34" t="e">
        <f aca="false">RIGHT(B793,LEN(B793)-FIND("/",B793, FIND("Single Cells",B793, 1)))</f>
        <v>#VALUE!</v>
      </c>
    </row>
    <row r="794" customFormat="false" ht="12.75" hidden="false" customHeight="false" outlineLevel="0" collapsed="false">
      <c r="E794" s="34" t="str">
        <f aca="false">MID(B794,9,1)</f>
        <v/>
      </c>
      <c r="F794" s="34" t="str">
        <f aca="false">MID(B794,10,1)</f>
        <v/>
      </c>
      <c r="G794" s="34" t="str">
        <f aca="false">MID(B794,11,1)</f>
        <v/>
      </c>
      <c r="H794" s="35" t="str">
        <f aca="false">IF(G794=".",F794,CONCATENATE(F794,G794))</f>
        <v/>
      </c>
      <c r="I794" s="34" t="n">
        <f aca="false">IFERROR(VALUE(H794),)</f>
        <v>0</v>
      </c>
      <c r="J794" s="34" t="e">
        <f aca="false">RIGHT(B794,LEN(B794)-FIND("/",B794, FIND("Single Cells",B794, 1)))</f>
        <v>#VALUE!</v>
      </c>
    </row>
    <row r="795" customFormat="false" ht="12.75" hidden="false" customHeight="false" outlineLevel="0" collapsed="false">
      <c r="E795" s="34" t="str">
        <f aca="false">MID(B795,9,1)</f>
        <v/>
      </c>
      <c r="F795" s="34" t="str">
        <f aca="false">MID(B795,10,1)</f>
        <v/>
      </c>
      <c r="G795" s="34" t="str">
        <f aca="false">MID(B795,11,1)</f>
        <v/>
      </c>
      <c r="H795" s="35" t="str">
        <f aca="false">IF(G795=".",F795,CONCATENATE(F795,G795))</f>
        <v/>
      </c>
      <c r="I795" s="34" t="n">
        <f aca="false">IFERROR(VALUE(H795),)</f>
        <v>0</v>
      </c>
      <c r="J795" s="34" t="e">
        <f aca="false">RIGHT(B795,LEN(B795)-FIND("/",B795, FIND("Single Cells",B795, 1)))</f>
        <v>#VALUE!</v>
      </c>
    </row>
    <row r="796" customFormat="false" ht="12.75" hidden="false" customHeight="false" outlineLevel="0" collapsed="false">
      <c r="E796" s="34" t="str">
        <f aca="false">MID(B796,9,1)</f>
        <v/>
      </c>
      <c r="F796" s="34" t="str">
        <f aca="false">MID(B796,10,1)</f>
        <v/>
      </c>
      <c r="G796" s="34" t="str">
        <f aca="false">MID(B796,11,1)</f>
        <v/>
      </c>
      <c r="H796" s="35" t="str">
        <f aca="false">IF(G796=".",F796,CONCATENATE(F796,G796))</f>
        <v/>
      </c>
      <c r="I796" s="34" t="n">
        <f aca="false">IFERROR(VALUE(H796),)</f>
        <v>0</v>
      </c>
      <c r="J796" s="34" t="e">
        <f aca="false">RIGHT(B796,LEN(B796)-FIND("/",B796, FIND("Single Cells",B796, 1)))</f>
        <v>#VALUE!</v>
      </c>
    </row>
    <row r="797" customFormat="false" ht="12.75" hidden="false" customHeight="false" outlineLevel="0" collapsed="false">
      <c r="E797" s="34" t="str">
        <f aca="false">MID(B797,9,1)</f>
        <v/>
      </c>
      <c r="F797" s="34" t="str">
        <f aca="false">MID(B797,10,1)</f>
        <v/>
      </c>
      <c r="G797" s="34" t="str">
        <f aca="false">MID(B797,11,1)</f>
        <v/>
      </c>
      <c r="H797" s="35" t="str">
        <f aca="false">IF(G797=".",F797,CONCATENATE(F797,G797))</f>
        <v/>
      </c>
      <c r="I797" s="34" t="n">
        <f aca="false">IFERROR(VALUE(H797),)</f>
        <v>0</v>
      </c>
      <c r="J797" s="34" t="e">
        <f aca="false">RIGHT(B797,LEN(B797)-FIND("/",B797, FIND("Single Cells",B797, 1)))</f>
        <v>#VALUE!</v>
      </c>
    </row>
    <row r="798" customFormat="false" ht="12.75" hidden="false" customHeight="false" outlineLevel="0" collapsed="false">
      <c r="E798" s="34" t="str">
        <f aca="false">MID(B798,9,1)</f>
        <v/>
      </c>
      <c r="F798" s="34" t="str">
        <f aca="false">MID(B798,10,1)</f>
        <v/>
      </c>
      <c r="G798" s="34" t="str">
        <f aca="false">MID(B798,11,1)</f>
        <v/>
      </c>
      <c r="H798" s="35" t="str">
        <f aca="false">IF(G798=".",F798,CONCATENATE(F798,G798))</f>
        <v/>
      </c>
      <c r="I798" s="34" t="n">
        <f aca="false">IFERROR(VALUE(H798),)</f>
        <v>0</v>
      </c>
      <c r="J798" s="34" t="e">
        <f aca="false">RIGHT(B798,LEN(B798)-FIND("/",B798, FIND("Single Cells",B798, 1)))</f>
        <v>#VALUE!</v>
      </c>
    </row>
    <row r="799" customFormat="false" ht="12.75" hidden="false" customHeight="false" outlineLevel="0" collapsed="false">
      <c r="E799" s="34" t="str">
        <f aca="false">MID(B799,9,1)</f>
        <v/>
      </c>
      <c r="F799" s="34" t="str">
        <f aca="false">MID(B799,10,1)</f>
        <v/>
      </c>
      <c r="G799" s="34" t="str">
        <f aca="false">MID(B799,11,1)</f>
        <v/>
      </c>
      <c r="H799" s="35" t="str">
        <f aca="false">IF(G799=".",F799,CONCATENATE(F799,G799))</f>
        <v/>
      </c>
      <c r="I799" s="34" t="n">
        <f aca="false">IFERROR(VALUE(H799),)</f>
        <v>0</v>
      </c>
      <c r="J799" s="34" t="e">
        <f aca="false">RIGHT(B799,LEN(B799)-FIND("/",B799, FIND("Single Cells",B799, 1)))</f>
        <v>#VALUE!</v>
      </c>
    </row>
    <row r="800" customFormat="false" ht="12.75" hidden="false" customHeight="false" outlineLevel="0" collapsed="false">
      <c r="E800" s="34" t="str">
        <f aca="false">MID(B800,9,1)</f>
        <v/>
      </c>
      <c r="F800" s="34" t="str">
        <f aca="false">MID(B800,10,1)</f>
        <v/>
      </c>
      <c r="G800" s="34" t="str">
        <f aca="false">MID(B800,11,1)</f>
        <v/>
      </c>
      <c r="H800" s="35" t="str">
        <f aca="false">IF(G800=".",F800,CONCATENATE(F800,G800))</f>
        <v/>
      </c>
      <c r="I800" s="34" t="n">
        <f aca="false">IFERROR(VALUE(H800),)</f>
        <v>0</v>
      </c>
      <c r="J800" s="34" t="e">
        <f aca="false">RIGHT(B800,LEN(B800)-FIND("/",B800, FIND("Single Cells",B800, 1)))</f>
        <v>#VALUE!</v>
      </c>
    </row>
    <row r="801" customFormat="false" ht="12.75" hidden="false" customHeight="false" outlineLevel="0" collapsed="false">
      <c r="E801" s="34" t="str">
        <f aca="false">MID(B801,9,1)</f>
        <v/>
      </c>
      <c r="F801" s="34" t="str">
        <f aca="false">MID(B801,10,1)</f>
        <v/>
      </c>
      <c r="G801" s="34" t="str">
        <f aca="false">MID(B801,11,1)</f>
        <v/>
      </c>
      <c r="H801" s="35" t="str">
        <f aca="false">IF(G801=".",F801,CONCATENATE(F801,G801))</f>
        <v/>
      </c>
      <c r="I801" s="34" t="n">
        <f aca="false">IFERROR(VALUE(H801),)</f>
        <v>0</v>
      </c>
      <c r="J801" s="34" t="e">
        <f aca="false">RIGHT(B801,LEN(B801)-FIND("/",B801, FIND("Single Cells",B801, 1)))</f>
        <v>#VALUE!</v>
      </c>
    </row>
    <row r="802" customFormat="false" ht="12.75" hidden="false" customHeight="false" outlineLevel="0" collapsed="false">
      <c r="E802" s="34" t="str">
        <f aca="false">MID(B802,9,1)</f>
        <v/>
      </c>
      <c r="F802" s="34" t="str">
        <f aca="false">MID(B802,10,1)</f>
        <v/>
      </c>
      <c r="G802" s="34" t="str">
        <f aca="false">MID(B802,11,1)</f>
        <v/>
      </c>
      <c r="H802" s="35" t="str">
        <f aca="false">IF(G802=".",F802,CONCATENATE(F802,G802))</f>
        <v/>
      </c>
      <c r="I802" s="34" t="n">
        <f aca="false">IFERROR(VALUE(H802),)</f>
        <v>0</v>
      </c>
      <c r="J802" s="34" t="e">
        <f aca="false">RIGHT(B802,LEN(B802)-FIND("/",B802, FIND("Single Cells",B802, 1)))</f>
        <v>#VALUE!</v>
      </c>
    </row>
    <row r="803" customFormat="false" ht="12.75" hidden="false" customHeight="false" outlineLevel="0" collapsed="false">
      <c r="E803" s="34" t="str">
        <f aca="false">MID(B803,9,1)</f>
        <v/>
      </c>
      <c r="F803" s="34" t="str">
        <f aca="false">MID(B803,10,1)</f>
        <v/>
      </c>
      <c r="G803" s="34" t="str">
        <f aca="false">MID(B803,11,1)</f>
        <v/>
      </c>
      <c r="H803" s="35" t="str">
        <f aca="false">IF(G803=".",F803,CONCATENATE(F803,G803))</f>
        <v/>
      </c>
      <c r="I803" s="34" t="n">
        <f aca="false">IFERROR(VALUE(H803),)</f>
        <v>0</v>
      </c>
      <c r="J803" s="34" t="e">
        <f aca="false">RIGHT(B803,LEN(B803)-FIND("/",B803, FIND("Single Cells",B803, 1)))</f>
        <v>#VALUE!</v>
      </c>
    </row>
    <row r="804" customFormat="false" ht="12.75" hidden="false" customHeight="false" outlineLevel="0" collapsed="false">
      <c r="E804" s="34" t="str">
        <f aca="false">MID(B804,9,1)</f>
        <v/>
      </c>
      <c r="F804" s="34" t="str">
        <f aca="false">MID(B804,10,1)</f>
        <v/>
      </c>
      <c r="G804" s="34" t="str">
        <f aca="false">MID(B804,11,1)</f>
        <v/>
      </c>
      <c r="H804" s="35" t="str">
        <f aca="false">IF(G804=".",F804,CONCATENATE(F804,G804))</f>
        <v/>
      </c>
      <c r="I804" s="34" t="n">
        <f aca="false">IFERROR(VALUE(H804),)</f>
        <v>0</v>
      </c>
      <c r="J804" s="34" t="e">
        <f aca="false">RIGHT(B804,LEN(B804)-FIND("/",B804, FIND("Single Cells",B804, 1)))</f>
        <v>#VALUE!</v>
      </c>
    </row>
    <row r="805" customFormat="false" ht="12.75" hidden="false" customHeight="false" outlineLevel="0" collapsed="false">
      <c r="E805" s="34" t="str">
        <f aca="false">MID(B805,9,1)</f>
        <v/>
      </c>
      <c r="F805" s="34" t="str">
        <f aca="false">MID(B805,10,1)</f>
        <v/>
      </c>
      <c r="G805" s="34" t="str">
        <f aca="false">MID(B805,11,1)</f>
        <v/>
      </c>
      <c r="H805" s="35" t="str">
        <f aca="false">IF(G805=".",F805,CONCATENATE(F805,G805))</f>
        <v/>
      </c>
      <c r="I805" s="34" t="n">
        <f aca="false">IFERROR(VALUE(H805),)</f>
        <v>0</v>
      </c>
      <c r="J805" s="34" t="e">
        <f aca="false">RIGHT(B805,LEN(B805)-FIND("/",B805, FIND("Single Cells",B805, 1)))</f>
        <v>#VALUE!</v>
      </c>
    </row>
    <row r="806" customFormat="false" ht="12.75" hidden="false" customHeight="false" outlineLevel="0" collapsed="false">
      <c r="E806" s="34" t="str">
        <f aca="false">MID(B806,9,1)</f>
        <v/>
      </c>
      <c r="F806" s="34" t="str">
        <f aca="false">MID(B806,10,1)</f>
        <v/>
      </c>
      <c r="G806" s="34" t="str">
        <f aca="false">MID(B806,11,1)</f>
        <v/>
      </c>
      <c r="H806" s="35" t="str">
        <f aca="false">IF(G806=".",F806,CONCATENATE(F806,G806))</f>
        <v/>
      </c>
      <c r="I806" s="34" t="n">
        <f aca="false">IFERROR(VALUE(H806),)</f>
        <v>0</v>
      </c>
      <c r="J806" s="34" t="e">
        <f aca="false">RIGHT(B806,LEN(B806)-FIND("/",B806, FIND("Single Cells",B806, 1)))</f>
        <v>#VALUE!</v>
      </c>
    </row>
    <row r="807" customFormat="false" ht="12.75" hidden="false" customHeight="false" outlineLevel="0" collapsed="false">
      <c r="E807" s="34" t="str">
        <f aca="false">MID(B807,9,1)</f>
        <v/>
      </c>
      <c r="F807" s="34" t="str">
        <f aca="false">MID(B807,10,1)</f>
        <v/>
      </c>
      <c r="G807" s="34" t="str">
        <f aca="false">MID(B807,11,1)</f>
        <v/>
      </c>
      <c r="H807" s="35" t="str">
        <f aca="false">IF(G807=".",F807,CONCATENATE(F807,G807))</f>
        <v/>
      </c>
      <c r="I807" s="34" t="n">
        <f aca="false">IFERROR(VALUE(H807),)</f>
        <v>0</v>
      </c>
      <c r="J807" s="34" t="e">
        <f aca="false">RIGHT(B807,LEN(B807)-FIND("/",B807, FIND("Single Cells",B807, 1)))</f>
        <v>#VALUE!</v>
      </c>
    </row>
    <row r="808" customFormat="false" ht="12.75" hidden="false" customHeight="false" outlineLevel="0" collapsed="false">
      <c r="E808" s="34" t="str">
        <f aca="false">MID(B808,9,1)</f>
        <v/>
      </c>
      <c r="F808" s="34" t="str">
        <f aca="false">MID(B808,10,1)</f>
        <v/>
      </c>
      <c r="G808" s="34" t="str">
        <f aca="false">MID(B808,11,1)</f>
        <v/>
      </c>
      <c r="H808" s="35" t="str">
        <f aca="false">IF(G808=".",F808,CONCATENATE(F808,G808))</f>
        <v/>
      </c>
      <c r="I808" s="34" t="n">
        <f aca="false">IFERROR(VALUE(H808),)</f>
        <v>0</v>
      </c>
      <c r="J808" s="34" t="e">
        <f aca="false">RIGHT(B808,LEN(B808)-FIND("/",B808, FIND("Single Cells",B808, 1)))</f>
        <v>#VALUE!</v>
      </c>
    </row>
    <row r="809" customFormat="false" ht="12.75" hidden="false" customHeight="false" outlineLevel="0" collapsed="false">
      <c r="E809" s="34" t="str">
        <f aca="false">MID(B809,9,1)</f>
        <v/>
      </c>
      <c r="F809" s="34" t="str">
        <f aca="false">MID(B809,10,1)</f>
        <v/>
      </c>
      <c r="G809" s="34" t="str">
        <f aca="false">MID(B809,11,1)</f>
        <v/>
      </c>
      <c r="H809" s="35" t="str">
        <f aca="false">IF(G809=".",F809,CONCATENATE(F809,G809))</f>
        <v/>
      </c>
      <c r="I809" s="34" t="n">
        <f aca="false">IFERROR(VALUE(H809),)</f>
        <v>0</v>
      </c>
      <c r="J809" s="34" t="e">
        <f aca="false">RIGHT(B809,LEN(B809)-FIND("/",B809, FIND("Single Cells",B809, 1)))</f>
        <v>#VALUE!</v>
      </c>
    </row>
    <row r="810" customFormat="false" ht="12.75" hidden="false" customHeight="false" outlineLevel="0" collapsed="false">
      <c r="E810" s="34" t="str">
        <f aca="false">MID(B810,9,1)</f>
        <v/>
      </c>
      <c r="F810" s="34" t="str">
        <f aca="false">MID(B810,10,1)</f>
        <v/>
      </c>
      <c r="G810" s="34" t="str">
        <f aca="false">MID(B810,11,1)</f>
        <v/>
      </c>
      <c r="H810" s="35" t="str">
        <f aca="false">IF(G810=".",F810,CONCATENATE(F810,G810))</f>
        <v/>
      </c>
      <c r="I810" s="34" t="n">
        <f aca="false">IFERROR(VALUE(H810),)</f>
        <v>0</v>
      </c>
      <c r="J810" s="34" t="e">
        <f aca="false">RIGHT(B810,LEN(B810)-FIND("/",B810, FIND("Single Cells",B810, 1)))</f>
        <v>#VALUE!</v>
      </c>
    </row>
    <row r="811" customFormat="false" ht="12.75" hidden="false" customHeight="false" outlineLevel="0" collapsed="false">
      <c r="E811" s="34" t="str">
        <f aca="false">MID(B811,9,1)</f>
        <v/>
      </c>
      <c r="F811" s="34" t="str">
        <f aca="false">MID(B811,10,1)</f>
        <v/>
      </c>
      <c r="G811" s="34" t="str">
        <f aca="false">MID(B811,11,1)</f>
        <v/>
      </c>
      <c r="H811" s="35" t="str">
        <f aca="false">IF(G811=".",F811,CONCATENATE(F811,G811))</f>
        <v/>
      </c>
      <c r="I811" s="34" t="n">
        <f aca="false">IFERROR(VALUE(H811),)</f>
        <v>0</v>
      </c>
      <c r="J811" s="34" t="e">
        <f aca="false">RIGHT(B811,LEN(B811)-FIND("/",B811, FIND("Single Cells",B811, 1)))</f>
        <v>#VALUE!</v>
      </c>
    </row>
    <row r="812" customFormat="false" ht="12.75" hidden="false" customHeight="false" outlineLevel="0" collapsed="false">
      <c r="E812" s="34" t="str">
        <f aca="false">MID(B812,9,1)</f>
        <v/>
      </c>
      <c r="F812" s="34" t="str">
        <f aca="false">MID(B812,10,1)</f>
        <v/>
      </c>
      <c r="G812" s="34" t="str">
        <f aca="false">MID(B812,11,1)</f>
        <v/>
      </c>
      <c r="H812" s="35" t="str">
        <f aca="false">IF(G812=".",F812,CONCATENATE(F812,G812))</f>
        <v/>
      </c>
      <c r="I812" s="34" t="n">
        <f aca="false">IFERROR(VALUE(H812),)</f>
        <v>0</v>
      </c>
      <c r="J812" s="34" t="e">
        <f aca="false">RIGHT(B812,LEN(B812)-FIND("/",B812, FIND("Single Cells",B812, 1)))</f>
        <v>#VALUE!</v>
      </c>
    </row>
    <row r="813" customFormat="false" ht="12.75" hidden="false" customHeight="false" outlineLevel="0" collapsed="false">
      <c r="E813" s="34" t="str">
        <f aca="false">MID(B813,9,1)</f>
        <v/>
      </c>
      <c r="F813" s="34" t="str">
        <f aca="false">MID(B813,10,1)</f>
        <v/>
      </c>
      <c r="G813" s="34" t="str">
        <f aca="false">MID(B813,11,1)</f>
        <v/>
      </c>
      <c r="H813" s="35" t="str">
        <f aca="false">IF(G813=".",F813,CONCATENATE(F813,G813))</f>
        <v/>
      </c>
      <c r="I813" s="34" t="n">
        <f aca="false">IFERROR(VALUE(H813),)</f>
        <v>0</v>
      </c>
      <c r="J813" s="34" t="e">
        <f aca="false">RIGHT(B813,LEN(B813)-FIND("/",B813, FIND("Single Cells",B813, 1)))</f>
        <v>#VALUE!</v>
      </c>
    </row>
    <row r="814" customFormat="false" ht="12.75" hidden="false" customHeight="false" outlineLevel="0" collapsed="false">
      <c r="E814" s="34" t="str">
        <f aca="false">MID(B814,9,1)</f>
        <v/>
      </c>
      <c r="F814" s="34" t="str">
        <f aca="false">MID(B814,10,1)</f>
        <v/>
      </c>
      <c r="G814" s="34" t="str">
        <f aca="false">MID(B814,11,1)</f>
        <v/>
      </c>
      <c r="H814" s="35" t="str">
        <f aca="false">IF(G814=".",F814,CONCATENATE(F814,G814))</f>
        <v/>
      </c>
      <c r="I814" s="34" t="n">
        <f aca="false">IFERROR(VALUE(H814),)</f>
        <v>0</v>
      </c>
      <c r="J814" s="34" t="e">
        <f aca="false">RIGHT(B814,LEN(B814)-FIND("/",B814, FIND("Single Cells",B814, 1)))</f>
        <v>#VALUE!</v>
      </c>
    </row>
    <row r="815" customFormat="false" ht="12.75" hidden="false" customHeight="false" outlineLevel="0" collapsed="false">
      <c r="E815" s="34" t="str">
        <f aca="false">MID(B815,9,1)</f>
        <v/>
      </c>
      <c r="F815" s="34" t="str">
        <f aca="false">MID(B815,10,1)</f>
        <v/>
      </c>
      <c r="G815" s="34" t="str">
        <f aca="false">MID(B815,11,1)</f>
        <v/>
      </c>
      <c r="H815" s="35" t="str">
        <f aca="false">IF(G815=".",F815,CONCATENATE(F815,G815))</f>
        <v/>
      </c>
      <c r="I815" s="34" t="n">
        <f aca="false">IFERROR(VALUE(H815),)</f>
        <v>0</v>
      </c>
      <c r="J815" s="34" t="e">
        <f aca="false">RIGHT(B815,LEN(B815)-FIND("/",B815, FIND("Single Cells",B815, 1)))</f>
        <v>#VALUE!</v>
      </c>
    </row>
    <row r="816" customFormat="false" ht="12.75" hidden="false" customHeight="false" outlineLevel="0" collapsed="false">
      <c r="E816" s="34" t="str">
        <f aca="false">MID(B816,9,1)</f>
        <v/>
      </c>
      <c r="F816" s="34" t="str">
        <f aca="false">MID(B816,10,1)</f>
        <v/>
      </c>
      <c r="G816" s="34" t="str">
        <f aca="false">MID(B816,11,1)</f>
        <v/>
      </c>
      <c r="H816" s="35" t="str">
        <f aca="false">IF(G816=".",F816,CONCATENATE(F816,G816))</f>
        <v/>
      </c>
      <c r="I816" s="34" t="n">
        <f aca="false">IFERROR(VALUE(H816),)</f>
        <v>0</v>
      </c>
      <c r="J816" s="34" t="e">
        <f aca="false">RIGHT(B816,LEN(B816)-FIND("/",B816, FIND("Single Cells",B816, 1)))</f>
        <v>#VALUE!</v>
      </c>
    </row>
    <row r="817" customFormat="false" ht="12.75" hidden="false" customHeight="false" outlineLevel="0" collapsed="false">
      <c r="E817" s="34" t="str">
        <f aca="false">MID(B817,9,1)</f>
        <v/>
      </c>
      <c r="F817" s="34" t="str">
        <f aca="false">MID(B817,10,1)</f>
        <v/>
      </c>
      <c r="G817" s="34" t="str">
        <f aca="false">MID(B817,11,1)</f>
        <v/>
      </c>
      <c r="H817" s="35" t="str">
        <f aca="false">IF(G817=".",F817,CONCATENATE(F817,G817))</f>
        <v/>
      </c>
      <c r="I817" s="34" t="n">
        <f aca="false">IFERROR(VALUE(H817),)</f>
        <v>0</v>
      </c>
      <c r="J817" s="34" t="e">
        <f aca="false">RIGHT(B817,LEN(B817)-FIND("/",B817, FIND("Single Cells",B817, 1)))</f>
        <v>#VALUE!</v>
      </c>
    </row>
    <row r="818" customFormat="false" ht="12.75" hidden="false" customHeight="false" outlineLevel="0" collapsed="false">
      <c r="E818" s="34" t="str">
        <f aca="false">MID(B818,9,1)</f>
        <v/>
      </c>
      <c r="F818" s="34" t="str">
        <f aca="false">MID(B818,10,1)</f>
        <v/>
      </c>
      <c r="G818" s="34" t="str">
        <f aca="false">MID(B818,11,1)</f>
        <v/>
      </c>
      <c r="H818" s="35" t="str">
        <f aca="false">IF(G818=".",F818,CONCATENATE(F818,G818))</f>
        <v/>
      </c>
      <c r="I818" s="34" t="n">
        <f aca="false">IFERROR(VALUE(H818),)</f>
        <v>0</v>
      </c>
      <c r="J818" s="34" t="e">
        <f aca="false">RIGHT(B818,LEN(B818)-FIND("/",B818, FIND("Single Cells",B818, 1)))</f>
        <v>#VALUE!</v>
      </c>
    </row>
    <row r="819" customFormat="false" ht="12.75" hidden="false" customHeight="false" outlineLevel="0" collapsed="false">
      <c r="E819" s="34" t="str">
        <f aca="false">MID(B819,9,1)</f>
        <v/>
      </c>
      <c r="F819" s="34" t="str">
        <f aca="false">MID(B819,10,1)</f>
        <v/>
      </c>
      <c r="G819" s="34" t="str">
        <f aca="false">MID(B819,11,1)</f>
        <v/>
      </c>
      <c r="H819" s="35" t="str">
        <f aca="false">IF(G819=".",F819,CONCATENATE(F819,G819))</f>
        <v/>
      </c>
      <c r="I819" s="34" t="n">
        <f aca="false">IFERROR(VALUE(H819),)</f>
        <v>0</v>
      </c>
      <c r="J819" s="34" t="e">
        <f aca="false">RIGHT(B819,LEN(B819)-FIND("/",B819, FIND("Single Cells",B819, 1)))</f>
        <v>#VALUE!</v>
      </c>
    </row>
    <row r="820" customFormat="false" ht="12.75" hidden="false" customHeight="false" outlineLevel="0" collapsed="false">
      <c r="E820" s="34" t="str">
        <f aca="false">MID(B820,9,1)</f>
        <v/>
      </c>
      <c r="F820" s="34" t="str">
        <f aca="false">MID(B820,10,1)</f>
        <v/>
      </c>
      <c r="G820" s="34" t="str">
        <f aca="false">MID(B820,11,1)</f>
        <v/>
      </c>
      <c r="H820" s="35" t="str">
        <f aca="false">IF(G820=".",F820,CONCATENATE(F820,G820))</f>
        <v/>
      </c>
      <c r="I820" s="34" t="n">
        <f aca="false">IFERROR(VALUE(H820),)</f>
        <v>0</v>
      </c>
      <c r="J820" s="34" t="e">
        <f aca="false">RIGHT(B820,LEN(B820)-FIND("/",B820, FIND("Single Cells",B820, 1)))</f>
        <v>#VALUE!</v>
      </c>
    </row>
    <row r="821" customFormat="false" ht="12.75" hidden="false" customHeight="false" outlineLevel="0" collapsed="false">
      <c r="E821" s="34" t="str">
        <f aca="false">MID(B821,9,1)</f>
        <v/>
      </c>
      <c r="F821" s="34" t="str">
        <f aca="false">MID(B821,10,1)</f>
        <v/>
      </c>
      <c r="G821" s="34" t="str">
        <f aca="false">MID(B821,11,1)</f>
        <v/>
      </c>
      <c r="H821" s="35" t="str">
        <f aca="false">IF(G821=".",F821,CONCATENATE(F821,G821))</f>
        <v/>
      </c>
      <c r="I821" s="34" t="n">
        <f aca="false">IFERROR(VALUE(H821),)</f>
        <v>0</v>
      </c>
      <c r="J821" s="34" t="e">
        <f aca="false">RIGHT(B821,LEN(B821)-FIND("/",B821, FIND("Single Cells",B821, 1)))</f>
        <v>#VALUE!</v>
      </c>
    </row>
    <row r="822" customFormat="false" ht="12.75" hidden="false" customHeight="false" outlineLevel="0" collapsed="false">
      <c r="E822" s="34" t="str">
        <f aca="false">MID(B822,9,1)</f>
        <v/>
      </c>
      <c r="F822" s="34" t="str">
        <f aca="false">MID(B822,10,1)</f>
        <v/>
      </c>
      <c r="G822" s="34" t="str">
        <f aca="false">MID(B822,11,1)</f>
        <v/>
      </c>
      <c r="H822" s="35" t="str">
        <f aca="false">IF(G822=".",F822,CONCATENATE(F822,G822))</f>
        <v/>
      </c>
      <c r="I822" s="34" t="n">
        <f aca="false">IFERROR(VALUE(H822),)</f>
        <v>0</v>
      </c>
      <c r="J822" s="34" t="e">
        <f aca="false">RIGHT(B822,LEN(B822)-FIND("/",B822, FIND("Single Cells",B822, 1)))</f>
        <v>#VALUE!</v>
      </c>
    </row>
    <row r="823" customFormat="false" ht="12.75" hidden="false" customHeight="false" outlineLevel="0" collapsed="false">
      <c r="E823" s="34" t="str">
        <f aca="false">MID(B823,9,1)</f>
        <v/>
      </c>
      <c r="F823" s="34" t="str">
        <f aca="false">MID(B823,10,1)</f>
        <v/>
      </c>
      <c r="G823" s="34" t="str">
        <f aca="false">MID(B823,11,1)</f>
        <v/>
      </c>
      <c r="H823" s="35" t="str">
        <f aca="false">IF(G823=".",F823,CONCATENATE(F823,G823))</f>
        <v/>
      </c>
      <c r="I823" s="34" t="n">
        <f aca="false">IFERROR(VALUE(H823),)</f>
        <v>0</v>
      </c>
      <c r="J823" s="34" t="e">
        <f aca="false">RIGHT(B823,LEN(B823)-FIND("/",B823, FIND("Single Cells",B823, 1)))</f>
        <v>#VALUE!</v>
      </c>
    </row>
    <row r="824" customFormat="false" ht="12.75" hidden="false" customHeight="false" outlineLevel="0" collapsed="false">
      <c r="E824" s="34" t="str">
        <f aca="false">MID(B824,9,1)</f>
        <v/>
      </c>
      <c r="F824" s="34" t="str">
        <f aca="false">MID(B824,10,1)</f>
        <v/>
      </c>
      <c r="G824" s="34" t="str">
        <f aca="false">MID(B824,11,1)</f>
        <v/>
      </c>
      <c r="H824" s="35" t="str">
        <f aca="false">IF(G824=".",F824,CONCATENATE(F824,G824))</f>
        <v/>
      </c>
      <c r="I824" s="34" t="n">
        <f aca="false">IFERROR(VALUE(H824),)</f>
        <v>0</v>
      </c>
      <c r="J824" s="34" t="e">
        <f aca="false">RIGHT(B824,LEN(B824)-FIND("/",B824, FIND("Single Cells",B824, 1)))</f>
        <v>#VALUE!</v>
      </c>
    </row>
    <row r="825" customFormat="false" ht="12.75" hidden="false" customHeight="false" outlineLevel="0" collapsed="false">
      <c r="E825" s="34" t="str">
        <f aca="false">MID(B825,9,1)</f>
        <v/>
      </c>
      <c r="F825" s="34" t="str">
        <f aca="false">MID(B825,10,1)</f>
        <v/>
      </c>
      <c r="G825" s="34" t="str">
        <f aca="false">MID(B825,11,1)</f>
        <v/>
      </c>
      <c r="H825" s="35" t="str">
        <f aca="false">IF(G825=".",F825,CONCATENATE(F825,G825))</f>
        <v/>
      </c>
      <c r="I825" s="34" t="n">
        <f aca="false">IFERROR(VALUE(H825),)</f>
        <v>0</v>
      </c>
      <c r="J825" s="34" t="e">
        <f aca="false">RIGHT(B825,LEN(B825)-FIND("/",B825, FIND("Single Cells",B825, 1)))</f>
        <v>#VALUE!</v>
      </c>
    </row>
    <row r="826" customFormat="false" ht="12.75" hidden="false" customHeight="false" outlineLevel="0" collapsed="false">
      <c r="E826" s="34" t="str">
        <f aca="false">MID(B826,9,1)</f>
        <v/>
      </c>
      <c r="F826" s="34" t="str">
        <f aca="false">MID(B826,10,1)</f>
        <v/>
      </c>
      <c r="G826" s="34" t="str">
        <f aca="false">MID(B826,11,1)</f>
        <v/>
      </c>
      <c r="H826" s="35" t="str">
        <f aca="false">IF(G826=".",F826,CONCATENATE(F826,G826))</f>
        <v/>
      </c>
      <c r="I826" s="34" t="n">
        <f aca="false">IFERROR(VALUE(H826),)</f>
        <v>0</v>
      </c>
      <c r="J826" s="34" t="e">
        <f aca="false">RIGHT(B826,LEN(B826)-FIND("/",B826, FIND("Single Cells",B826, 1)))</f>
        <v>#VALUE!</v>
      </c>
    </row>
    <row r="827" customFormat="false" ht="12.75" hidden="false" customHeight="false" outlineLevel="0" collapsed="false">
      <c r="E827" s="34" t="str">
        <f aca="false">MID(B827,9,1)</f>
        <v/>
      </c>
      <c r="F827" s="34" t="str">
        <f aca="false">MID(B827,10,1)</f>
        <v/>
      </c>
      <c r="G827" s="34" t="str">
        <f aca="false">MID(B827,11,1)</f>
        <v/>
      </c>
      <c r="H827" s="35" t="str">
        <f aca="false">IF(G827=".",F827,CONCATENATE(F827,G827))</f>
        <v/>
      </c>
      <c r="I827" s="34" t="n">
        <f aca="false">IFERROR(VALUE(H827),)</f>
        <v>0</v>
      </c>
      <c r="J827" s="34" t="e">
        <f aca="false">RIGHT(B827,LEN(B827)-FIND("/",B827, FIND("Single Cells",B827, 1)))</f>
        <v>#VALUE!</v>
      </c>
    </row>
    <row r="828" customFormat="false" ht="12.75" hidden="false" customHeight="false" outlineLevel="0" collapsed="false">
      <c r="E828" s="34" t="str">
        <f aca="false">MID(B828,9,1)</f>
        <v/>
      </c>
      <c r="F828" s="34" t="str">
        <f aca="false">MID(B828,10,1)</f>
        <v/>
      </c>
      <c r="G828" s="34" t="str">
        <f aca="false">MID(B828,11,1)</f>
        <v/>
      </c>
      <c r="H828" s="35" t="str">
        <f aca="false">IF(G828=".",F828,CONCATENATE(F828,G828))</f>
        <v/>
      </c>
      <c r="I828" s="34" t="n">
        <f aca="false">IFERROR(VALUE(H828),)</f>
        <v>0</v>
      </c>
      <c r="J828" s="34" t="e">
        <f aca="false">RIGHT(B828,LEN(B828)-FIND("/",B828, FIND("Single Cells",B828, 1)))</f>
        <v>#VALUE!</v>
      </c>
    </row>
    <row r="829" customFormat="false" ht="12.75" hidden="false" customHeight="false" outlineLevel="0" collapsed="false">
      <c r="E829" s="34" t="str">
        <f aca="false">MID(B829,9,1)</f>
        <v/>
      </c>
      <c r="F829" s="34" t="str">
        <f aca="false">MID(B829,10,1)</f>
        <v/>
      </c>
      <c r="G829" s="34" t="str">
        <f aca="false">MID(B829,11,1)</f>
        <v/>
      </c>
      <c r="H829" s="35" t="str">
        <f aca="false">IF(G829=".",F829,CONCATENATE(F829,G829))</f>
        <v/>
      </c>
      <c r="I829" s="34" t="n">
        <f aca="false">IFERROR(VALUE(H829),)</f>
        <v>0</v>
      </c>
      <c r="J829" s="34" t="e">
        <f aca="false">RIGHT(B829,LEN(B829)-FIND("/",B829, FIND("Single Cells",B829, 1)))</f>
        <v>#VALUE!</v>
      </c>
    </row>
    <row r="830" customFormat="false" ht="12.75" hidden="false" customHeight="false" outlineLevel="0" collapsed="false">
      <c r="E830" s="34" t="str">
        <f aca="false">MID(B830,9,1)</f>
        <v/>
      </c>
      <c r="F830" s="34" t="str">
        <f aca="false">MID(B830,10,1)</f>
        <v/>
      </c>
      <c r="G830" s="34" t="str">
        <f aca="false">MID(B830,11,1)</f>
        <v/>
      </c>
      <c r="H830" s="35" t="str">
        <f aca="false">IF(G830=".",F830,CONCATENATE(F830,G830))</f>
        <v/>
      </c>
      <c r="I830" s="34" t="n">
        <f aca="false">IFERROR(VALUE(H830),)</f>
        <v>0</v>
      </c>
      <c r="J830" s="34" t="e">
        <f aca="false">RIGHT(B830,LEN(B830)-FIND("/",B830, FIND("Single Cells",B830, 1)))</f>
        <v>#VALUE!</v>
      </c>
    </row>
    <row r="831" customFormat="false" ht="12.75" hidden="false" customHeight="false" outlineLevel="0" collapsed="false">
      <c r="E831" s="34" t="str">
        <f aca="false">MID(B831,9,1)</f>
        <v/>
      </c>
      <c r="F831" s="34" t="str">
        <f aca="false">MID(B831,10,1)</f>
        <v/>
      </c>
      <c r="G831" s="34" t="str">
        <f aca="false">MID(B831,11,1)</f>
        <v/>
      </c>
      <c r="H831" s="35" t="str">
        <f aca="false">IF(G831=".",F831,CONCATENATE(F831,G831))</f>
        <v/>
      </c>
      <c r="I831" s="34" t="n">
        <f aca="false">IFERROR(VALUE(H831),)</f>
        <v>0</v>
      </c>
      <c r="J831" s="34" t="e">
        <f aca="false">RIGHT(B831,LEN(B831)-FIND("/",B831, FIND("Single Cells",B831, 1)))</f>
        <v>#VALUE!</v>
      </c>
    </row>
    <row r="832" customFormat="false" ht="12.75" hidden="false" customHeight="false" outlineLevel="0" collapsed="false">
      <c r="E832" s="34" t="str">
        <f aca="false">MID(B832,9,1)</f>
        <v/>
      </c>
      <c r="F832" s="34" t="str">
        <f aca="false">MID(B832,10,1)</f>
        <v/>
      </c>
      <c r="G832" s="34" t="str">
        <f aca="false">MID(B832,11,1)</f>
        <v/>
      </c>
      <c r="H832" s="35" t="str">
        <f aca="false">IF(G832=".",F832,CONCATENATE(F832,G832))</f>
        <v/>
      </c>
      <c r="I832" s="34" t="n">
        <f aca="false">IFERROR(VALUE(H832),)</f>
        <v>0</v>
      </c>
      <c r="J832" s="34" t="e">
        <f aca="false">RIGHT(B832,LEN(B832)-FIND("/",B832, FIND("Single Cells",B832, 1)))</f>
        <v>#VALUE!</v>
      </c>
    </row>
    <row r="833" customFormat="false" ht="12.75" hidden="false" customHeight="false" outlineLevel="0" collapsed="false">
      <c r="E833" s="34" t="str">
        <f aca="false">MID(B833,9,1)</f>
        <v/>
      </c>
      <c r="F833" s="34" t="str">
        <f aca="false">MID(B833,10,1)</f>
        <v/>
      </c>
      <c r="G833" s="34" t="str">
        <f aca="false">MID(B833,11,1)</f>
        <v/>
      </c>
      <c r="H833" s="35" t="str">
        <f aca="false">IF(G833=".",F833,CONCATENATE(F833,G833))</f>
        <v/>
      </c>
      <c r="I833" s="34" t="n">
        <f aca="false">IFERROR(VALUE(H833),)</f>
        <v>0</v>
      </c>
      <c r="J833" s="34" t="e">
        <f aca="false">RIGHT(B833,LEN(B833)-FIND("/",B833, FIND("Single Cells",B833, 1)))</f>
        <v>#VALUE!</v>
      </c>
    </row>
    <row r="834" customFormat="false" ht="12.75" hidden="false" customHeight="false" outlineLevel="0" collapsed="false">
      <c r="E834" s="34" t="str">
        <f aca="false">MID(B834,9,1)</f>
        <v/>
      </c>
      <c r="F834" s="34" t="str">
        <f aca="false">MID(B834,10,1)</f>
        <v/>
      </c>
      <c r="G834" s="34" t="str">
        <f aca="false">MID(B834,11,1)</f>
        <v/>
      </c>
      <c r="H834" s="35" t="str">
        <f aca="false">IF(G834=".",F834,CONCATENATE(F834,G834))</f>
        <v/>
      </c>
      <c r="I834" s="34" t="n">
        <f aca="false">IFERROR(VALUE(H834),)</f>
        <v>0</v>
      </c>
      <c r="J834" s="34" t="e">
        <f aca="false">RIGHT(B834,LEN(B834)-FIND("/",B834, FIND("Single Cells",B834, 1)))</f>
        <v>#VALUE!</v>
      </c>
    </row>
    <row r="835" customFormat="false" ht="12.75" hidden="false" customHeight="false" outlineLevel="0" collapsed="false">
      <c r="E835" s="34" t="str">
        <f aca="false">MID(B835,9,1)</f>
        <v/>
      </c>
      <c r="F835" s="34" t="str">
        <f aca="false">MID(B835,10,1)</f>
        <v/>
      </c>
      <c r="G835" s="34" t="str">
        <f aca="false">MID(B835,11,1)</f>
        <v/>
      </c>
      <c r="H835" s="35" t="str">
        <f aca="false">IF(G835=".",F835,CONCATENATE(F835,G835))</f>
        <v/>
      </c>
      <c r="I835" s="34" t="n">
        <f aca="false">IFERROR(VALUE(H835),)</f>
        <v>0</v>
      </c>
      <c r="J835" s="34" t="e">
        <f aca="false">RIGHT(B835,LEN(B835)-FIND("/",B835, FIND("Single Cells",B835, 1)))</f>
        <v>#VALUE!</v>
      </c>
    </row>
    <row r="836" customFormat="false" ht="12.75" hidden="false" customHeight="false" outlineLevel="0" collapsed="false">
      <c r="E836" s="34" t="str">
        <f aca="false">MID(B836,9,1)</f>
        <v/>
      </c>
      <c r="F836" s="34" t="str">
        <f aca="false">MID(B836,10,1)</f>
        <v/>
      </c>
      <c r="G836" s="34" t="str">
        <f aca="false">MID(B836,11,1)</f>
        <v/>
      </c>
      <c r="H836" s="35" t="str">
        <f aca="false">IF(G836=".",F836,CONCATENATE(F836,G836))</f>
        <v/>
      </c>
      <c r="I836" s="34" t="n">
        <f aca="false">IFERROR(VALUE(H836),)</f>
        <v>0</v>
      </c>
      <c r="J836" s="34" t="e">
        <f aca="false">RIGHT(B836,LEN(B836)-FIND("/",B836, FIND("Single Cells",B836, 1)))</f>
        <v>#VALUE!</v>
      </c>
    </row>
    <row r="837" customFormat="false" ht="12.75" hidden="false" customHeight="false" outlineLevel="0" collapsed="false">
      <c r="E837" s="34" t="str">
        <f aca="false">MID(B837,9,1)</f>
        <v/>
      </c>
      <c r="F837" s="34" t="str">
        <f aca="false">MID(B837,10,1)</f>
        <v/>
      </c>
      <c r="G837" s="34" t="str">
        <f aca="false">MID(B837,11,1)</f>
        <v/>
      </c>
      <c r="H837" s="35" t="str">
        <f aca="false">IF(G837=".",F837,CONCATENATE(F837,G837))</f>
        <v/>
      </c>
      <c r="I837" s="34" t="n">
        <f aca="false">IFERROR(VALUE(H837),)</f>
        <v>0</v>
      </c>
      <c r="J837" s="34" t="e">
        <f aca="false">RIGHT(B837,LEN(B837)-FIND("/",B837, FIND("Single Cells",B837, 1)))</f>
        <v>#VALUE!</v>
      </c>
    </row>
    <row r="838" customFormat="false" ht="12.75" hidden="false" customHeight="false" outlineLevel="0" collapsed="false">
      <c r="E838" s="34" t="str">
        <f aca="false">MID(B838,9,1)</f>
        <v/>
      </c>
      <c r="F838" s="34" t="str">
        <f aca="false">MID(B838,10,1)</f>
        <v/>
      </c>
      <c r="G838" s="34" t="str">
        <f aca="false">MID(B838,11,1)</f>
        <v/>
      </c>
      <c r="H838" s="35" t="str">
        <f aca="false">IF(G838=".",F838,CONCATENATE(F838,G838))</f>
        <v/>
      </c>
      <c r="I838" s="34" t="n">
        <f aca="false">IFERROR(VALUE(H838),)</f>
        <v>0</v>
      </c>
      <c r="J838" s="34" t="e">
        <f aca="false">RIGHT(B838,LEN(B838)-FIND("/",B838, FIND("Single Cells",B838, 1)))</f>
        <v>#VALUE!</v>
      </c>
    </row>
    <row r="839" customFormat="false" ht="12.75" hidden="false" customHeight="false" outlineLevel="0" collapsed="false">
      <c r="E839" s="34" t="str">
        <f aca="false">MID(B839,9,1)</f>
        <v/>
      </c>
      <c r="F839" s="34" t="str">
        <f aca="false">MID(B839,10,1)</f>
        <v/>
      </c>
      <c r="G839" s="34" t="str">
        <f aca="false">MID(B839,11,1)</f>
        <v/>
      </c>
      <c r="H839" s="35" t="str">
        <f aca="false">IF(G839=".",F839,CONCATENATE(F839,G839))</f>
        <v/>
      </c>
      <c r="I839" s="34" t="n">
        <f aca="false">IFERROR(VALUE(H839),)</f>
        <v>0</v>
      </c>
      <c r="J839" s="34" t="e">
        <f aca="false">RIGHT(B839,LEN(B839)-FIND("/",B839, FIND("Single Cells",B839, 1)))</f>
        <v>#VALUE!</v>
      </c>
    </row>
    <row r="840" customFormat="false" ht="12.75" hidden="false" customHeight="false" outlineLevel="0" collapsed="false">
      <c r="E840" s="34" t="str">
        <f aca="false">MID(B840,9,1)</f>
        <v/>
      </c>
      <c r="F840" s="34" t="str">
        <f aca="false">MID(B840,10,1)</f>
        <v/>
      </c>
      <c r="G840" s="34" t="str">
        <f aca="false">MID(B840,11,1)</f>
        <v/>
      </c>
      <c r="H840" s="35" t="str">
        <f aca="false">IF(G840=".",F840,CONCATENATE(F840,G840))</f>
        <v/>
      </c>
      <c r="I840" s="34" t="n">
        <f aca="false">IFERROR(VALUE(H840),)</f>
        <v>0</v>
      </c>
      <c r="J840" s="34" t="e">
        <f aca="false">RIGHT(B840,LEN(B840)-FIND("/",B840, FIND("Single Cells",B840, 1)))</f>
        <v>#VALUE!</v>
      </c>
    </row>
    <row r="841" customFormat="false" ht="12.75" hidden="false" customHeight="false" outlineLevel="0" collapsed="false">
      <c r="E841" s="34" t="str">
        <f aca="false">MID(B841,9,1)</f>
        <v/>
      </c>
      <c r="F841" s="34" t="str">
        <f aca="false">MID(B841,10,1)</f>
        <v/>
      </c>
      <c r="G841" s="34" t="str">
        <f aca="false">MID(B841,11,1)</f>
        <v/>
      </c>
      <c r="H841" s="35" t="str">
        <f aca="false">IF(G841=".",F841,CONCATENATE(F841,G841))</f>
        <v/>
      </c>
      <c r="I841" s="34" t="n">
        <f aca="false">IFERROR(VALUE(H841),)</f>
        <v>0</v>
      </c>
      <c r="J841" s="34" t="e">
        <f aca="false">RIGHT(B841,LEN(B841)-FIND("/",B841, FIND("Single Cells",B841, 1)))</f>
        <v>#VALUE!</v>
      </c>
    </row>
    <row r="842" customFormat="false" ht="12.75" hidden="false" customHeight="false" outlineLevel="0" collapsed="false">
      <c r="E842" s="34" t="str">
        <f aca="false">MID(B842,9,1)</f>
        <v/>
      </c>
      <c r="F842" s="34" t="str">
        <f aca="false">MID(B842,10,1)</f>
        <v/>
      </c>
      <c r="G842" s="34" t="str">
        <f aca="false">MID(B842,11,1)</f>
        <v/>
      </c>
      <c r="H842" s="35" t="str">
        <f aca="false">IF(G842=".",F842,CONCATENATE(F842,G842))</f>
        <v/>
      </c>
      <c r="I842" s="34" t="n">
        <f aca="false">IFERROR(VALUE(H842),)</f>
        <v>0</v>
      </c>
      <c r="J842" s="34" t="e">
        <f aca="false">RIGHT(B842,LEN(B842)-FIND("/",B842, FIND("Single Cells",B842, 1)))</f>
        <v>#VALUE!</v>
      </c>
    </row>
    <row r="843" customFormat="false" ht="12.75" hidden="false" customHeight="false" outlineLevel="0" collapsed="false">
      <c r="E843" s="34" t="str">
        <f aca="false">MID(B843,9,1)</f>
        <v/>
      </c>
      <c r="F843" s="34" t="str">
        <f aca="false">MID(B843,10,1)</f>
        <v/>
      </c>
      <c r="G843" s="34" t="str">
        <f aca="false">MID(B843,11,1)</f>
        <v/>
      </c>
      <c r="H843" s="35" t="str">
        <f aca="false">IF(G843=".",F843,CONCATENATE(F843,G843))</f>
        <v/>
      </c>
      <c r="I843" s="34" t="n">
        <f aca="false">IFERROR(VALUE(H843),)</f>
        <v>0</v>
      </c>
      <c r="J843" s="34" t="e">
        <f aca="false">RIGHT(B843,LEN(B843)-FIND("/",B843, FIND("Single Cells",B843, 1)))</f>
        <v>#VALUE!</v>
      </c>
    </row>
    <row r="844" customFormat="false" ht="12.75" hidden="false" customHeight="false" outlineLevel="0" collapsed="false">
      <c r="E844" s="34" t="str">
        <f aca="false">MID(B844,9,1)</f>
        <v/>
      </c>
      <c r="F844" s="34" t="str">
        <f aca="false">MID(B844,10,1)</f>
        <v/>
      </c>
      <c r="G844" s="34" t="str">
        <f aca="false">MID(B844,11,1)</f>
        <v/>
      </c>
      <c r="H844" s="35" t="str">
        <f aca="false">IF(G844=".",F844,CONCATENATE(F844,G844))</f>
        <v/>
      </c>
      <c r="I844" s="34" t="n">
        <f aca="false">IFERROR(VALUE(H844),)</f>
        <v>0</v>
      </c>
      <c r="J844" s="34" t="e">
        <f aca="false">RIGHT(B844,LEN(B844)-FIND("/",B844, FIND("Single Cells",B844, 1)))</f>
        <v>#VALUE!</v>
      </c>
    </row>
    <row r="845" customFormat="false" ht="12.75" hidden="false" customHeight="false" outlineLevel="0" collapsed="false">
      <c r="E845" s="34" t="str">
        <f aca="false">MID(B845,9,1)</f>
        <v/>
      </c>
      <c r="F845" s="34" t="str">
        <f aca="false">MID(B845,10,1)</f>
        <v/>
      </c>
      <c r="G845" s="34" t="str">
        <f aca="false">MID(B845,11,1)</f>
        <v/>
      </c>
      <c r="H845" s="35" t="str">
        <f aca="false">IF(G845=".",F845,CONCATENATE(F845,G845))</f>
        <v/>
      </c>
      <c r="I845" s="34" t="n">
        <f aca="false">IFERROR(VALUE(H845),)</f>
        <v>0</v>
      </c>
      <c r="J845" s="34" t="e">
        <f aca="false">RIGHT(B845,LEN(B845)-FIND("/",B845, FIND("Single Cells",B845, 1)))</f>
        <v>#VALUE!</v>
      </c>
    </row>
    <row r="846" customFormat="false" ht="12.75" hidden="false" customHeight="false" outlineLevel="0" collapsed="false">
      <c r="E846" s="34" t="str">
        <f aca="false">MID(B846,9,1)</f>
        <v/>
      </c>
      <c r="F846" s="34" t="str">
        <f aca="false">MID(B846,10,1)</f>
        <v/>
      </c>
      <c r="G846" s="34" t="str">
        <f aca="false">MID(B846,11,1)</f>
        <v/>
      </c>
      <c r="H846" s="35" t="str">
        <f aca="false">IF(G846=".",F846,CONCATENATE(F846,G846))</f>
        <v/>
      </c>
      <c r="I846" s="34" t="n">
        <f aca="false">IFERROR(VALUE(H846),)</f>
        <v>0</v>
      </c>
      <c r="J846" s="34" t="e">
        <f aca="false">RIGHT(B846,LEN(B846)-FIND("/",B846, FIND("Single Cells",B846, 1)))</f>
        <v>#VALUE!</v>
      </c>
    </row>
    <row r="847" customFormat="false" ht="12.75" hidden="false" customHeight="false" outlineLevel="0" collapsed="false">
      <c r="E847" s="34" t="str">
        <f aca="false">MID(B847,9,1)</f>
        <v/>
      </c>
      <c r="F847" s="34" t="str">
        <f aca="false">MID(B847,10,1)</f>
        <v/>
      </c>
      <c r="G847" s="34" t="str">
        <f aca="false">MID(B847,11,1)</f>
        <v/>
      </c>
      <c r="H847" s="35" t="str">
        <f aca="false">IF(G847=".",F847,CONCATENATE(F847,G847))</f>
        <v/>
      </c>
      <c r="I847" s="34" t="n">
        <f aca="false">IFERROR(VALUE(H847),)</f>
        <v>0</v>
      </c>
      <c r="J847" s="34" t="e">
        <f aca="false">RIGHT(B847,LEN(B847)-FIND("/",B847, FIND("Single Cells",B847, 1)))</f>
        <v>#VALUE!</v>
      </c>
    </row>
    <row r="848" customFormat="false" ht="12.75" hidden="false" customHeight="false" outlineLevel="0" collapsed="false">
      <c r="E848" s="34" t="str">
        <f aca="false">MID(B848,9,1)</f>
        <v/>
      </c>
      <c r="F848" s="34" t="str">
        <f aca="false">MID(B848,10,1)</f>
        <v/>
      </c>
      <c r="G848" s="34" t="str">
        <f aca="false">MID(B848,11,1)</f>
        <v/>
      </c>
      <c r="H848" s="35" t="str">
        <f aca="false">IF(G848=".",F848,CONCATENATE(F848,G848))</f>
        <v/>
      </c>
      <c r="I848" s="34" t="n">
        <f aca="false">IFERROR(VALUE(H848),)</f>
        <v>0</v>
      </c>
      <c r="J848" s="34" t="e">
        <f aca="false">RIGHT(B848,LEN(B848)-FIND("/",B848, FIND("Single Cells",B848, 1)))</f>
        <v>#VALUE!</v>
      </c>
    </row>
    <row r="849" customFormat="false" ht="12.75" hidden="false" customHeight="false" outlineLevel="0" collapsed="false">
      <c r="E849" s="34" t="str">
        <f aca="false">MID(B849,9,1)</f>
        <v/>
      </c>
      <c r="F849" s="34" t="str">
        <f aca="false">MID(B849,10,1)</f>
        <v/>
      </c>
      <c r="G849" s="34" t="str">
        <f aca="false">MID(B849,11,1)</f>
        <v/>
      </c>
      <c r="H849" s="35" t="str">
        <f aca="false">IF(G849=".",F849,CONCATENATE(F849,G849))</f>
        <v/>
      </c>
      <c r="I849" s="34" t="n">
        <f aca="false">IFERROR(VALUE(H849),)</f>
        <v>0</v>
      </c>
      <c r="J849" s="34" t="e">
        <f aca="false">RIGHT(B849,LEN(B849)-FIND("/",B849, FIND("Single Cells",B849, 1)))</f>
        <v>#VALUE!</v>
      </c>
    </row>
    <row r="850" customFormat="false" ht="12.75" hidden="false" customHeight="false" outlineLevel="0" collapsed="false">
      <c r="E850" s="34" t="str">
        <f aca="false">MID(B850,9,1)</f>
        <v/>
      </c>
      <c r="F850" s="34" t="str">
        <f aca="false">MID(B850,10,1)</f>
        <v/>
      </c>
      <c r="G850" s="34" t="str">
        <f aca="false">MID(B850,11,1)</f>
        <v/>
      </c>
      <c r="H850" s="35" t="str">
        <f aca="false">IF(G850=".",F850,CONCATENATE(F850,G850))</f>
        <v/>
      </c>
      <c r="I850" s="34" t="n">
        <f aca="false">IFERROR(VALUE(H850),)</f>
        <v>0</v>
      </c>
      <c r="J850" s="34" t="e">
        <f aca="false">RIGHT(B850,LEN(B850)-FIND("/",B850, FIND("Single Cells",B850, 1)))</f>
        <v>#VALUE!</v>
      </c>
    </row>
    <row r="851" customFormat="false" ht="12.75" hidden="false" customHeight="false" outlineLevel="0" collapsed="false">
      <c r="E851" s="34" t="str">
        <f aca="false">MID(B851,9,1)</f>
        <v/>
      </c>
      <c r="F851" s="34" t="str">
        <f aca="false">MID(B851,10,1)</f>
        <v/>
      </c>
      <c r="G851" s="34" t="str">
        <f aca="false">MID(B851,11,1)</f>
        <v/>
      </c>
      <c r="H851" s="35" t="str">
        <f aca="false">IF(G851=".",F851,CONCATENATE(F851,G851))</f>
        <v/>
      </c>
      <c r="I851" s="34" t="n">
        <f aca="false">IFERROR(VALUE(H851),)</f>
        <v>0</v>
      </c>
      <c r="J851" s="34" t="e">
        <f aca="false">RIGHT(B851,LEN(B851)-FIND("/",B851, FIND("Single Cells",B851, 1)))</f>
        <v>#VALUE!</v>
      </c>
    </row>
    <row r="852" customFormat="false" ht="12.75" hidden="false" customHeight="false" outlineLevel="0" collapsed="false">
      <c r="E852" s="34" t="str">
        <f aca="false">MID(B852,9,1)</f>
        <v/>
      </c>
      <c r="F852" s="34" t="str">
        <f aca="false">MID(B852,10,1)</f>
        <v/>
      </c>
      <c r="G852" s="34" t="str">
        <f aca="false">MID(B852,11,1)</f>
        <v/>
      </c>
      <c r="H852" s="35" t="str">
        <f aca="false">IF(G852=".",F852,CONCATENATE(F852,G852))</f>
        <v/>
      </c>
      <c r="I852" s="34" t="n">
        <f aca="false">IFERROR(VALUE(H852),)</f>
        <v>0</v>
      </c>
      <c r="J852" s="34" t="e">
        <f aca="false">RIGHT(B852,LEN(B852)-FIND("/",B852, FIND("Single Cells",B852, 1)))</f>
        <v>#VALUE!</v>
      </c>
    </row>
    <row r="853" customFormat="false" ht="12.75" hidden="false" customHeight="false" outlineLevel="0" collapsed="false">
      <c r="E853" s="34" t="str">
        <f aca="false">MID(B853,9,1)</f>
        <v/>
      </c>
      <c r="F853" s="34" t="str">
        <f aca="false">MID(B853,10,1)</f>
        <v/>
      </c>
      <c r="G853" s="34" t="str">
        <f aca="false">MID(B853,11,1)</f>
        <v/>
      </c>
      <c r="H853" s="35" t="str">
        <f aca="false">IF(G853=".",F853,CONCATENATE(F853,G853))</f>
        <v/>
      </c>
      <c r="I853" s="34" t="n">
        <f aca="false">IFERROR(VALUE(H853),)</f>
        <v>0</v>
      </c>
      <c r="J853" s="34" t="e">
        <f aca="false">RIGHT(B853,LEN(B853)-FIND("/",B853, FIND("Single Cells",B853, 1)))</f>
        <v>#VALUE!</v>
      </c>
    </row>
    <row r="854" customFormat="false" ht="12.75" hidden="false" customHeight="false" outlineLevel="0" collapsed="false">
      <c r="E854" s="34" t="str">
        <f aca="false">MID(B854,9,1)</f>
        <v/>
      </c>
      <c r="F854" s="34" t="str">
        <f aca="false">MID(B854,10,1)</f>
        <v/>
      </c>
      <c r="G854" s="34" t="str">
        <f aca="false">MID(B854,11,1)</f>
        <v/>
      </c>
      <c r="H854" s="35" t="str">
        <f aca="false">IF(G854=".",F854,CONCATENATE(F854,G854))</f>
        <v/>
      </c>
      <c r="I854" s="34" t="n">
        <f aca="false">IFERROR(VALUE(H854),)</f>
        <v>0</v>
      </c>
      <c r="J854" s="34" t="e">
        <f aca="false">RIGHT(B854,LEN(B854)-FIND("/",B854, FIND("Single Cells",B854, 1)))</f>
        <v>#VALUE!</v>
      </c>
    </row>
    <row r="855" customFormat="false" ht="12.75" hidden="false" customHeight="false" outlineLevel="0" collapsed="false">
      <c r="E855" s="34" t="str">
        <f aca="false">MID(B855,9,1)</f>
        <v/>
      </c>
      <c r="F855" s="34" t="str">
        <f aca="false">MID(B855,10,1)</f>
        <v/>
      </c>
      <c r="G855" s="34" t="str">
        <f aca="false">MID(B855,11,1)</f>
        <v/>
      </c>
      <c r="H855" s="35" t="str">
        <f aca="false">IF(G855=".",F855,CONCATENATE(F855,G855))</f>
        <v/>
      </c>
      <c r="I855" s="34" t="n">
        <f aca="false">IFERROR(VALUE(H855),)</f>
        <v>0</v>
      </c>
      <c r="J855" s="34" t="e">
        <f aca="false">RIGHT(B855,LEN(B855)-FIND("/",B855, FIND("Single Cells",B855, 1)))</f>
        <v>#VALUE!</v>
      </c>
    </row>
    <row r="856" customFormat="false" ht="12.75" hidden="false" customHeight="false" outlineLevel="0" collapsed="false">
      <c r="E856" s="34" t="str">
        <f aca="false">MID(B856,9,1)</f>
        <v/>
      </c>
      <c r="F856" s="34" t="str">
        <f aca="false">MID(B856,10,1)</f>
        <v/>
      </c>
      <c r="G856" s="34" t="str">
        <f aca="false">MID(B856,11,1)</f>
        <v/>
      </c>
      <c r="H856" s="35" t="str">
        <f aca="false">IF(G856=".",F856,CONCATENATE(F856,G856))</f>
        <v/>
      </c>
      <c r="I856" s="34" t="n">
        <f aca="false">IFERROR(VALUE(H856),)</f>
        <v>0</v>
      </c>
      <c r="J856" s="34" t="e">
        <f aca="false">RIGHT(B856,LEN(B856)-FIND("/",B856, FIND("Single Cells",B856, 1)))</f>
        <v>#VALUE!</v>
      </c>
    </row>
    <row r="857" customFormat="false" ht="12.75" hidden="false" customHeight="false" outlineLevel="0" collapsed="false">
      <c r="E857" s="34" t="str">
        <f aca="false">MID(B857,9,1)</f>
        <v/>
      </c>
      <c r="F857" s="34" t="str">
        <f aca="false">MID(B857,10,1)</f>
        <v/>
      </c>
      <c r="G857" s="34" t="str">
        <f aca="false">MID(B857,11,1)</f>
        <v/>
      </c>
      <c r="H857" s="35" t="str">
        <f aca="false">IF(G857=".",F857,CONCATENATE(F857,G857))</f>
        <v/>
      </c>
      <c r="I857" s="34" t="n">
        <f aca="false">IFERROR(VALUE(H857),)</f>
        <v>0</v>
      </c>
      <c r="J857" s="34" t="e">
        <f aca="false">RIGHT(B857,LEN(B857)-FIND("/",B857, FIND("Single Cells",B857, 1)))</f>
        <v>#VALUE!</v>
      </c>
    </row>
    <row r="858" customFormat="false" ht="12.75" hidden="false" customHeight="false" outlineLevel="0" collapsed="false">
      <c r="E858" s="34" t="str">
        <f aca="false">MID(B858,9,1)</f>
        <v/>
      </c>
      <c r="F858" s="34" t="str">
        <f aca="false">MID(B858,10,1)</f>
        <v/>
      </c>
      <c r="G858" s="34" t="str">
        <f aca="false">MID(B858,11,1)</f>
        <v/>
      </c>
      <c r="H858" s="35" t="str">
        <f aca="false">IF(G858=".",F858,CONCATENATE(F858,G858))</f>
        <v/>
      </c>
      <c r="I858" s="34" t="n">
        <f aca="false">IFERROR(VALUE(H858),)</f>
        <v>0</v>
      </c>
      <c r="J858" s="34" t="e">
        <f aca="false">RIGHT(B858,LEN(B858)-FIND("/",B858, FIND("Single Cells",B858, 1)))</f>
        <v>#VALUE!</v>
      </c>
    </row>
    <row r="859" customFormat="false" ht="12.75" hidden="false" customHeight="false" outlineLevel="0" collapsed="false">
      <c r="E859" s="34" t="str">
        <f aca="false">MID(B859,9,1)</f>
        <v/>
      </c>
      <c r="F859" s="34" t="str">
        <f aca="false">MID(B859,10,1)</f>
        <v/>
      </c>
      <c r="G859" s="34" t="str">
        <f aca="false">MID(B859,11,1)</f>
        <v/>
      </c>
      <c r="H859" s="35" t="str">
        <f aca="false">IF(G859=".",F859,CONCATENATE(F859,G859))</f>
        <v/>
      </c>
      <c r="I859" s="34" t="n">
        <f aca="false">IFERROR(VALUE(H859),)</f>
        <v>0</v>
      </c>
      <c r="J859" s="34" t="e">
        <f aca="false">RIGHT(B859,LEN(B859)-FIND("/",B859, FIND("Single Cells",B859, 1)))</f>
        <v>#VALUE!</v>
      </c>
    </row>
    <row r="860" customFormat="false" ht="12.75" hidden="false" customHeight="false" outlineLevel="0" collapsed="false">
      <c r="E860" s="34" t="str">
        <f aca="false">MID(B860,9,1)</f>
        <v/>
      </c>
      <c r="F860" s="34" t="str">
        <f aca="false">MID(B860,10,1)</f>
        <v/>
      </c>
      <c r="G860" s="34" t="str">
        <f aca="false">MID(B860,11,1)</f>
        <v/>
      </c>
      <c r="H860" s="35" t="str">
        <f aca="false">IF(G860=".",F860,CONCATENATE(F860,G860))</f>
        <v/>
      </c>
      <c r="I860" s="34" t="n">
        <f aca="false">IFERROR(VALUE(H860),)</f>
        <v>0</v>
      </c>
      <c r="J860" s="34" t="e">
        <f aca="false">RIGHT(B860,LEN(B860)-FIND("/",B860, FIND("Single Cells",B860, 1)))</f>
        <v>#VALUE!</v>
      </c>
    </row>
    <row r="861" customFormat="false" ht="12.75" hidden="false" customHeight="false" outlineLevel="0" collapsed="false">
      <c r="E861" s="34" t="str">
        <f aca="false">MID(B861,9,1)</f>
        <v/>
      </c>
      <c r="F861" s="34" t="str">
        <f aca="false">MID(B861,10,1)</f>
        <v/>
      </c>
      <c r="G861" s="34" t="str">
        <f aca="false">MID(B861,11,1)</f>
        <v/>
      </c>
      <c r="H861" s="35" t="str">
        <f aca="false">IF(G861=".",F861,CONCATENATE(F861,G861))</f>
        <v/>
      </c>
      <c r="I861" s="34" t="n">
        <f aca="false">IFERROR(VALUE(H861),)</f>
        <v>0</v>
      </c>
      <c r="J861" s="34" t="e">
        <f aca="false">RIGHT(B861,LEN(B861)-FIND("/",B861, FIND("Single Cells",B861, 1)))</f>
        <v>#VALUE!</v>
      </c>
    </row>
    <row r="862" customFormat="false" ht="12.75" hidden="false" customHeight="false" outlineLevel="0" collapsed="false">
      <c r="E862" s="34" t="str">
        <f aca="false">MID(B862,9,1)</f>
        <v/>
      </c>
      <c r="F862" s="34" t="str">
        <f aca="false">MID(B862,10,1)</f>
        <v/>
      </c>
      <c r="G862" s="34" t="str">
        <f aca="false">MID(B862,11,1)</f>
        <v/>
      </c>
      <c r="H862" s="35" t="str">
        <f aca="false">IF(G862=".",F862,CONCATENATE(F862,G862))</f>
        <v/>
      </c>
      <c r="I862" s="34" t="n">
        <f aca="false">IFERROR(VALUE(H862),)</f>
        <v>0</v>
      </c>
      <c r="J862" s="34" t="e">
        <f aca="false">RIGHT(B862,LEN(B862)-FIND("/",B862, FIND("Single Cells",B862, 1)))</f>
        <v>#VALUE!</v>
      </c>
    </row>
    <row r="863" customFormat="false" ht="12.75" hidden="false" customHeight="false" outlineLevel="0" collapsed="false">
      <c r="E863" s="34" t="str">
        <f aca="false">MID(B863,9,1)</f>
        <v/>
      </c>
      <c r="F863" s="34" t="str">
        <f aca="false">MID(B863,10,1)</f>
        <v/>
      </c>
      <c r="G863" s="34" t="str">
        <f aca="false">MID(B863,11,1)</f>
        <v/>
      </c>
      <c r="H863" s="35" t="str">
        <f aca="false">IF(G863=".",F863,CONCATENATE(F863,G863))</f>
        <v/>
      </c>
      <c r="I863" s="34" t="n">
        <f aca="false">IFERROR(VALUE(H863),)</f>
        <v>0</v>
      </c>
      <c r="J863" s="34" t="e">
        <f aca="false">RIGHT(B863,LEN(B863)-FIND("/",B863, FIND("Single Cells",B863, 1)))</f>
        <v>#VALUE!</v>
      </c>
    </row>
    <row r="864" customFormat="false" ht="12.75" hidden="false" customHeight="false" outlineLevel="0" collapsed="false">
      <c r="E864" s="34" t="str">
        <f aca="false">MID(B864,9,1)</f>
        <v/>
      </c>
      <c r="F864" s="34" t="str">
        <f aca="false">MID(B864,10,1)</f>
        <v/>
      </c>
      <c r="G864" s="34" t="str">
        <f aca="false">MID(B864,11,1)</f>
        <v/>
      </c>
      <c r="H864" s="35" t="str">
        <f aca="false">IF(G864=".",F864,CONCATENATE(F864,G864))</f>
        <v/>
      </c>
      <c r="I864" s="34" t="n">
        <f aca="false">IFERROR(VALUE(H864),)</f>
        <v>0</v>
      </c>
      <c r="J864" s="34" t="e">
        <f aca="false">RIGHT(B864,LEN(B864)-FIND("/",B864, FIND("Single Cells",B864, 1)))</f>
        <v>#VALUE!</v>
      </c>
    </row>
    <row r="865" customFormat="false" ht="12.75" hidden="false" customHeight="false" outlineLevel="0" collapsed="false">
      <c r="E865" s="34" t="str">
        <f aca="false">MID(B865,9,1)</f>
        <v/>
      </c>
      <c r="F865" s="34" t="str">
        <f aca="false">MID(B865,10,1)</f>
        <v/>
      </c>
      <c r="G865" s="34" t="str">
        <f aca="false">MID(B865,11,1)</f>
        <v/>
      </c>
      <c r="H865" s="35" t="str">
        <f aca="false">IF(G865=".",F865,CONCATENATE(F865,G865))</f>
        <v/>
      </c>
      <c r="I865" s="34" t="n">
        <f aca="false">IFERROR(VALUE(H865),)</f>
        <v>0</v>
      </c>
      <c r="J865" s="34" t="e">
        <f aca="false">RIGHT(B865,LEN(B865)-FIND("/",B865, FIND("Single Cells",B865, 1)))</f>
        <v>#VALUE!</v>
      </c>
    </row>
    <row r="866" customFormat="false" ht="12.75" hidden="false" customHeight="false" outlineLevel="0" collapsed="false">
      <c r="E866" s="34" t="str">
        <f aca="false">MID(B866,9,1)</f>
        <v/>
      </c>
      <c r="F866" s="34" t="str">
        <f aca="false">MID(B866,10,1)</f>
        <v/>
      </c>
      <c r="G866" s="34" t="str">
        <f aca="false">MID(B866,11,1)</f>
        <v/>
      </c>
      <c r="H866" s="35" t="str">
        <f aca="false">IF(G866=".",F866,CONCATENATE(F866,G866))</f>
        <v/>
      </c>
      <c r="I866" s="34" t="n">
        <f aca="false">IFERROR(VALUE(H866),)</f>
        <v>0</v>
      </c>
      <c r="J866" s="34" t="e">
        <f aca="false">RIGHT(B866,LEN(B866)-FIND("/",B866, FIND("Single Cells",B866, 1)))</f>
        <v>#VALUE!</v>
      </c>
    </row>
    <row r="867" customFormat="false" ht="12.75" hidden="false" customHeight="false" outlineLevel="0" collapsed="false">
      <c r="E867" s="34" t="str">
        <f aca="false">MID(B867,9,1)</f>
        <v/>
      </c>
      <c r="F867" s="34" t="str">
        <f aca="false">MID(B867,10,1)</f>
        <v/>
      </c>
      <c r="G867" s="34" t="str">
        <f aca="false">MID(B867,11,1)</f>
        <v/>
      </c>
      <c r="H867" s="35" t="str">
        <f aca="false">IF(G867=".",F867,CONCATENATE(F867,G867))</f>
        <v/>
      </c>
      <c r="I867" s="34" t="n">
        <f aca="false">IFERROR(VALUE(H867),)</f>
        <v>0</v>
      </c>
      <c r="J867" s="34" t="e">
        <f aca="false">RIGHT(B867,LEN(B867)-FIND("/",B867, FIND("Single Cells",B867, 1)))</f>
        <v>#VALUE!</v>
      </c>
    </row>
    <row r="868" customFormat="false" ht="12.75" hidden="false" customHeight="false" outlineLevel="0" collapsed="false">
      <c r="E868" s="34" t="str">
        <f aca="false">MID(B868,9,1)</f>
        <v/>
      </c>
      <c r="F868" s="34" t="str">
        <f aca="false">MID(B868,10,1)</f>
        <v/>
      </c>
      <c r="G868" s="34" t="str">
        <f aca="false">MID(B868,11,1)</f>
        <v/>
      </c>
      <c r="H868" s="35" t="str">
        <f aca="false">IF(G868=".",F868,CONCATENATE(F868,G868))</f>
        <v/>
      </c>
      <c r="I868" s="34" t="n">
        <f aca="false">IFERROR(VALUE(H868),)</f>
        <v>0</v>
      </c>
      <c r="J868" s="34" t="e">
        <f aca="false">RIGHT(B868,LEN(B868)-FIND("/",B868, FIND("Single Cells",B868, 1)))</f>
        <v>#VALUE!</v>
      </c>
    </row>
    <row r="869" customFormat="false" ht="12.75" hidden="false" customHeight="false" outlineLevel="0" collapsed="false">
      <c r="E869" s="34" t="str">
        <f aca="false">MID(B869,9,1)</f>
        <v/>
      </c>
      <c r="F869" s="34" t="str">
        <f aca="false">MID(B869,10,1)</f>
        <v/>
      </c>
      <c r="G869" s="34" t="str">
        <f aca="false">MID(B869,11,1)</f>
        <v/>
      </c>
      <c r="H869" s="35" t="str">
        <f aca="false">IF(G869=".",F869,CONCATENATE(F869,G869))</f>
        <v/>
      </c>
      <c r="I869" s="34" t="n">
        <f aca="false">IFERROR(VALUE(H869),)</f>
        <v>0</v>
      </c>
      <c r="J869" s="34" t="e">
        <f aca="false">RIGHT(B869,LEN(B869)-FIND("/",B869, FIND("Single Cells",B869, 1)))</f>
        <v>#VALUE!</v>
      </c>
    </row>
    <row r="870" customFormat="false" ht="12.75" hidden="false" customHeight="false" outlineLevel="0" collapsed="false">
      <c r="E870" s="34" t="str">
        <f aca="false">MID(B870,9,1)</f>
        <v/>
      </c>
      <c r="F870" s="34" t="str">
        <f aca="false">MID(B870,10,1)</f>
        <v/>
      </c>
      <c r="G870" s="34" t="str">
        <f aca="false">MID(B870,11,1)</f>
        <v/>
      </c>
      <c r="H870" s="35" t="str">
        <f aca="false">IF(G870=".",F870,CONCATENATE(F870,G870))</f>
        <v/>
      </c>
      <c r="I870" s="34" t="n">
        <f aca="false">IFERROR(VALUE(H870),)</f>
        <v>0</v>
      </c>
      <c r="J870" s="34" t="e">
        <f aca="false">RIGHT(B870,LEN(B870)-FIND("/",B870, FIND("Single Cells",B870, 1)))</f>
        <v>#VALUE!</v>
      </c>
    </row>
    <row r="871" customFormat="false" ht="12.75" hidden="false" customHeight="false" outlineLevel="0" collapsed="false">
      <c r="E871" s="34" t="str">
        <f aca="false">MID(B871,9,1)</f>
        <v/>
      </c>
      <c r="F871" s="34" t="str">
        <f aca="false">MID(B871,10,1)</f>
        <v/>
      </c>
      <c r="G871" s="34" t="str">
        <f aca="false">MID(B871,11,1)</f>
        <v/>
      </c>
      <c r="H871" s="35" t="str">
        <f aca="false">IF(G871=".",F871,CONCATENATE(F871,G871))</f>
        <v/>
      </c>
      <c r="I871" s="34" t="n">
        <f aca="false">IFERROR(VALUE(H871),)</f>
        <v>0</v>
      </c>
      <c r="J871" s="34" t="e">
        <f aca="false">RIGHT(B871,LEN(B871)-FIND("/",B871, FIND("Single Cells",B871, 1)))</f>
        <v>#VALUE!</v>
      </c>
    </row>
    <row r="872" customFormat="false" ht="12.75" hidden="false" customHeight="false" outlineLevel="0" collapsed="false">
      <c r="E872" s="34" t="str">
        <f aca="false">MID(B872,9,1)</f>
        <v/>
      </c>
      <c r="F872" s="34" t="str">
        <f aca="false">MID(B872,10,1)</f>
        <v/>
      </c>
      <c r="G872" s="34" t="str">
        <f aca="false">MID(B872,11,1)</f>
        <v/>
      </c>
      <c r="H872" s="35" t="str">
        <f aca="false">IF(G872=".",F872,CONCATENATE(F872,G872))</f>
        <v/>
      </c>
      <c r="I872" s="34" t="n">
        <f aca="false">IFERROR(VALUE(H872),)</f>
        <v>0</v>
      </c>
      <c r="J872" s="34" t="e">
        <f aca="false">RIGHT(B872,LEN(B872)-FIND("/",B872, FIND("Single Cells",B872, 1)))</f>
        <v>#VALUE!</v>
      </c>
    </row>
    <row r="873" customFormat="false" ht="12.75" hidden="false" customHeight="false" outlineLevel="0" collapsed="false">
      <c r="E873" s="34" t="str">
        <f aca="false">MID(B873,9,1)</f>
        <v/>
      </c>
      <c r="F873" s="34" t="str">
        <f aca="false">MID(B873,10,1)</f>
        <v/>
      </c>
      <c r="G873" s="34" t="str">
        <f aca="false">MID(B873,11,1)</f>
        <v/>
      </c>
      <c r="H873" s="35" t="str">
        <f aca="false">IF(G873=".",F873,CONCATENATE(F873,G873))</f>
        <v/>
      </c>
      <c r="I873" s="34" t="n">
        <f aca="false">IFERROR(VALUE(H873),)</f>
        <v>0</v>
      </c>
      <c r="J873" s="34" t="e">
        <f aca="false">RIGHT(B873,LEN(B873)-FIND("/",B873, FIND("Single Cells",B873, 1)))</f>
        <v>#VALUE!</v>
      </c>
    </row>
    <row r="874" customFormat="false" ht="12.75" hidden="false" customHeight="false" outlineLevel="0" collapsed="false">
      <c r="E874" s="34" t="str">
        <f aca="false">MID(B874,9,1)</f>
        <v/>
      </c>
      <c r="F874" s="34" t="str">
        <f aca="false">MID(B874,10,1)</f>
        <v/>
      </c>
      <c r="G874" s="34" t="str">
        <f aca="false">MID(B874,11,1)</f>
        <v/>
      </c>
      <c r="H874" s="35" t="str">
        <f aca="false">IF(G874=".",F874,CONCATENATE(F874,G874))</f>
        <v/>
      </c>
      <c r="I874" s="34" t="n">
        <f aca="false">IFERROR(VALUE(H874),)</f>
        <v>0</v>
      </c>
      <c r="J874" s="34" t="e">
        <f aca="false">RIGHT(B874,LEN(B874)-FIND("/",B874, FIND("Single Cells",B874, 1)))</f>
        <v>#VALUE!</v>
      </c>
    </row>
    <row r="875" customFormat="false" ht="12.75" hidden="false" customHeight="false" outlineLevel="0" collapsed="false">
      <c r="E875" s="34" t="str">
        <f aca="false">MID(B875,9,1)</f>
        <v/>
      </c>
      <c r="F875" s="34" t="str">
        <f aca="false">MID(B875,10,1)</f>
        <v/>
      </c>
      <c r="G875" s="34" t="str">
        <f aca="false">MID(B875,11,1)</f>
        <v/>
      </c>
      <c r="H875" s="35" t="str">
        <f aca="false">IF(G875=".",F875,CONCATENATE(F875,G875))</f>
        <v/>
      </c>
      <c r="I875" s="34" t="n">
        <f aca="false">IFERROR(VALUE(H875),)</f>
        <v>0</v>
      </c>
      <c r="J875" s="34" t="e">
        <f aca="false">RIGHT(B875,LEN(B875)-FIND("/",B875, FIND("Single Cells",B875, 1)))</f>
        <v>#VALUE!</v>
      </c>
    </row>
    <row r="876" customFormat="false" ht="12.75" hidden="false" customHeight="false" outlineLevel="0" collapsed="false">
      <c r="E876" s="34" t="str">
        <f aca="false">MID(B876,9,1)</f>
        <v/>
      </c>
      <c r="F876" s="34" t="str">
        <f aca="false">MID(B876,10,1)</f>
        <v/>
      </c>
      <c r="G876" s="34" t="str">
        <f aca="false">MID(B876,11,1)</f>
        <v/>
      </c>
      <c r="H876" s="35" t="str">
        <f aca="false">IF(G876=".",F876,CONCATENATE(F876,G876))</f>
        <v/>
      </c>
      <c r="I876" s="34" t="n">
        <f aca="false">IFERROR(VALUE(H876),)</f>
        <v>0</v>
      </c>
      <c r="J876" s="34" t="e">
        <f aca="false">RIGHT(B876,LEN(B876)-FIND("/",B876, FIND("Single Cells",B876, 1)))</f>
        <v>#VALUE!</v>
      </c>
    </row>
    <row r="877" customFormat="false" ht="12.75" hidden="false" customHeight="false" outlineLevel="0" collapsed="false">
      <c r="E877" s="34" t="str">
        <f aca="false">MID(B877,9,1)</f>
        <v/>
      </c>
      <c r="F877" s="34" t="str">
        <f aca="false">MID(B877,10,1)</f>
        <v/>
      </c>
      <c r="G877" s="34" t="str">
        <f aca="false">MID(B877,11,1)</f>
        <v/>
      </c>
      <c r="H877" s="35" t="str">
        <f aca="false">IF(G877=".",F877,CONCATENATE(F877,G877))</f>
        <v/>
      </c>
      <c r="I877" s="34" t="n">
        <f aca="false">IFERROR(VALUE(H877),)</f>
        <v>0</v>
      </c>
      <c r="J877" s="34" t="e">
        <f aca="false">RIGHT(B877,LEN(B877)-FIND("/",B877, FIND("Single Cells",B877, 1)))</f>
        <v>#VALUE!</v>
      </c>
    </row>
    <row r="878" customFormat="false" ht="12.75" hidden="false" customHeight="false" outlineLevel="0" collapsed="false">
      <c r="E878" s="34" t="str">
        <f aca="false">MID(B878,9,1)</f>
        <v/>
      </c>
      <c r="F878" s="34" t="str">
        <f aca="false">MID(B878,10,1)</f>
        <v/>
      </c>
      <c r="G878" s="34" t="str">
        <f aca="false">MID(B878,11,1)</f>
        <v/>
      </c>
      <c r="H878" s="35" t="str">
        <f aca="false">IF(G878=".",F878,CONCATENATE(F878,G878))</f>
        <v/>
      </c>
      <c r="I878" s="34" t="n">
        <f aca="false">IFERROR(VALUE(H878),)</f>
        <v>0</v>
      </c>
      <c r="J878" s="34" t="e">
        <f aca="false">RIGHT(B878,LEN(B878)-FIND("/",B878, FIND("Single Cells",B878, 1)))</f>
        <v>#VALUE!</v>
      </c>
    </row>
    <row r="879" customFormat="false" ht="12.75" hidden="false" customHeight="false" outlineLevel="0" collapsed="false">
      <c r="E879" s="34" t="str">
        <f aca="false">MID(B879,9,1)</f>
        <v/>
      </c>
      <c r="F879" s="34" t="str">
        <f aca="false">MID(B879,10,1)</f>
        <v/>
      </c>
      <c r="G879" s="34" t="str">
        <f aca="false">MID(B879,11,1)</f>
        <v/>
      </c>
      <c r="H879" s="35" t="str">
        <f aca="false">IF(G879=".",F879,CONCATENATE(F879,G879))</f>
        <v/>
      </c>
      <c r="I879" s="34" t="n">
        <f aca="false">IFERROR(VALUE(H879),)</f>
        <v>0</v>
      </c>
      <c r="J879" s="34" t="e">
        <f aca="false">RIGHT(B879,LEN(B879)-FIND("/",B879, FIND("Single Cells",B879, 1)))</f>
        <v>#VALUE!</v>
      </c>
    </row>
    <row r="880" customFormat="false" ht="12.75" hidden="false" customHeight="false" outlineLevel="0" collapsed="false">
      <c r="E880" s="34" t="str">
        <f aca="false">MID(B880,9,1)</f>
        <v/>
      </c>
      <c r="F880" s="34" t="str">
        <f aca="false">MID(B880,10,1)</f>
        <v/>
      </c>
      <c r="G880" s="34" t="str">
        <f aca="false">MID(B880,11,1)</f>
        <v/>
      </c>
      <c r="H880" s="35" t="str">
        <f aca="false">IF(G880=".",F880,CONCATENATE(F880,G880))</f>
        <v/>
      </c>
      <c r="I880" s="34" t="n">
        <f aca="false">IFERROR(VALUE(H880),)</f>
        <v>0</v>
      </c>
      <c r="J880" s="34" t="e">
        <f aca="false">RIGHT(B880,LEN(B880)-FIND("/",B880, FIND("Single Cells",B880, 1)))</f>
        <v>#VALUE!</v>
      </c>
    </row>
    <row r="881" customFormat="false" ht="12.75" hidden="false" customHeight="false" outlineLevel="0" collapsed="false">
      <c r="E881" s="34" t="str">
        <f aca="false">MID(B881,9,1)</f>
        <v/>
      </c>
      <c r="F881" s="34" t="str">
        <f aca="false">MID(B881,10,1)</f>
        <v/>
      </c>
      <c r="G881" s="34" t="str">
        <f aca="false">MID(B881,11,1)</f>
        <v/>
      </c>
      <c r="H881" s="35" t="str">
        <f aca="false">IF(G881=".",F881,CONCATENATE(F881,G881))</f>
        <v/>
      </c>
      <c r="I881" s="34" t="n">
        <f aca="false">IFERROR(VALUE(H881),)</f>
        <v>0</v>
      </c>
      <c r="J881" s="34" t="e">
        <f aca="false">RIGHT(B881,LEN(B881)-FIND("/",B881, FIND("Single Cells",B881, 1)))</f>
        <v>#VALUE!</v>
      </c>
    </row>
    <row r="882" customFormat="false" ht="12.75" hidden="false" customHeight="false" outlineLevel="0" collapsed="false">
      <c r="E882" s="34" t="str">
        <f aca="false">MID(B882,9,1)</f>
        <v/>
      </c>
      <c r="F882" s="34" t="str">
        <f aca="false">MID(B882,10,1)</f>
        <v/>
      </c>
      <c r="G882" s="34" t="str">
        <f aca="false">MID(B882,11,1)</f>
        <v/>
      </c>
      <c r="H882" s="35" t="str">
        <f aca="false">IF(G882=".",F882,CONCATENATE(F882,G882))</f>
        <v/>
      </c>
      <c r="I882" s="34" t="n">
        <f aca="false">IFERROR(VALUE(H882),)</f>
        <v>0</v>
      </c>
      <c r="J882" s="34" t="e">
        <f aca="false">RIGHT(B882,LEN(B882)-FIND("/",B882, FIND("Single Cells",B882, 1)))</f>
        <v>#VALUE!</v>
      </c>
    </row>
    <row r="883" customFormat="false" ht="12.75" hidden="false" customHeight="false" outlineLevel="0" collapsed="false">
      <c r="E883" s="34" t="str">
        <f aca="false">MID(B883,9,1)</f>
        <v/>
      </c>
      <c r="F883" s="34" t="str">
        <f aca="false">MID(B883,10,1)</f>
        <v/>
      </c>
      <c r="G883" s="34" t="str">
        <f aca="false">MID(B883,11,1)</f>
        <v/>
      </c>
      <c r="H883" s="35" t="str">
        <f aca="false">IF(G883=".",F883,CONCATENATE(F883,G883))</f>
        <v/>
      </c>
      <c r="I883" s="34" t="n">
        <f aca="false">IFERROR(VALUE(H883),)</f>
        <v>0</v>
      </c>
      <c r="J883" s="34" t="e">
        <f aca="false">RIGHT(B883,LEN(B883)-FIND("/",B883, FIND("Single Cells",B883, 1)))</f>
        <v>#VALUE!</v>
      </c>
    </row>
    <row r="884" customFormat="false" ht="12.75" hidden="false" customHeight="false" outlineLevel="0" collapsed="false">
      <c r="E884" s="34" t="str">
        <f aca="false">MID(B884,9,1)</f>
        <v/>
      </c>
      <c r="F884" s="34" t="str">
        <f aca="false">MID(B884,10,1)</f>
        <v/>
      </c>
      <c r="G884" s="34" t="str">
        <f aca="false">MID(B884,11,1)</f>
        <v/>
      </c>
      <c r="H884" s="35" t="str">
        <f aca="false">IF(G884=".",F884,CONCATENATE(F884,G884))</f>
        <v/>
      </c>
      <c r="I884" s="34" t="n">
        <f aca="false">IFERROR(VALUE(H884),)</f>
        <v>0</v>
      </c>
      <c r="J884" s="34" t="e">
        <f aca="false">RIGHT(B884,LEN(B884)-FIND("/",B884, FIND("Single Cells",B884, 1)))</f>
        <v>#VALUE!</v>
      </c>
    </row>
    <row r="885" customFormat="false" ht="12.75" hidden="false" customHeight="false" outlineLevel="0" collapsed="false">
      <c r="E885" s="34" t="str">
        <f aca="false">MID(B885,9,1)</f>
        <v/>
      </c>
      <c r="F885" s="34" t="str">
        <f aca="false">MID(B885,10,1)</f>
        <v/>
      </c>
      <c r="G885" s="34" t="str">
        <f aca="false">MID(B885,11,1)</f>
        <v/>
      </c>
      <c r="H885" s="35" t="str">
        <f aca="false">IF(G885=".",F885,CONCATENATE(F885,G885))</f>
        <v/>
      </c>
      <c r="I885" s="34" t="n">
        <f aca="false">IFERROR(VALUE(H885),)</f>
        <v>0</v>
      </c>
      <c r="J885" s="34" t="e">
        <f aca="false">RIGHT(B885,LEN(B885)-FIND("/",B885, FIND("Single Cells",B885, 1)))</f>
        <v>#VALUE!</v>
      </c>
    </row>
    <row r="886" customFormat="false" ht="12.75" hidden="false" customHeight="false" outlineLevel="0" collapsed="false">
      <c r="E886" s="34" t="str">
        <f aca="false">MID(B886,9,1)</f>
        <v/>
      </c>
      <c r="F886" s="34" t="str">
        <f aca="false">MID(B886,10,1)</f>
        <v/>
      </c>
      <c r="G886" s="34" t="str">
        <f aca="false">MID(B886,11,1)</f>
        <v/>
      </c>
      <c r="H886" s="35" t="str">
        <f aca="false">IF(G886=".",F886,CONCATENATE(F886,G886))</f>
        <v/>
      </c>
      <c r="I886" s="34" t="n">
        <f aca="false">IFERROR(VALUE(H886),)</f>
        <v>0</v>
      </c>
      <c r="J886" s="34" t="e">
        <f aca="false">RIGHT(B886,LEN(B886)-FIND("/",B886, FIND("Single Cells",B886, 1)))</f>
        <v>#VALUE!</v>
      </c>
    </row>
    <row r="887" customFormat="false" ht="12.75" hidden="false" customHeight="false" outlineLevel="0" collapsed="false">
      <c r="E887" s="34" t="str">
        <f aca="false">MID(B887,9,1)</f>
        <v/>
      </c>
      <c r="F887" s="34" t="str">
        <f aca="false">MID(B887,10,1)</f>
        <v/>
      </c>
      <c r="G887" s="34" t="str">
        <f aca="false">MID(B887,11,1)</f>
        <v/>
      </c>
      <c r="H887" s="35" t="str">
        <f aca="false">IF(G887=".",F887,CONCATENATE(F887,G887))</f>
        <v/>
      </c>
      <c r="I887" s="34" t="n">
        <f aca="false">IFERROR(VALUE(H887),)</f>
        <v>0</v>
      </c>
      <c r="J887" s="34" t="e">
        <f aca="false">RIGHT(B887,LEN(B887)-FIND("/",B887, FIND("Single Cells",B887, 1)))</f>
        <v>#VALUE!</v>
      </c>
    </row>
    <row r="888" customFormat="false" ht="12.75" hidden="false" customHeight="false" outlineLevel="0" collapsed="false">
      <c r="E888" s="34" t="str">
        <f aca="false">MID(B888,9,1)</f>
        <v/>
      </c>
      <c r="F888" s="34" t="str">
        <f aca="false">MID(B888,10,1)</f>
        <v/>
      </c>
      <c r="G888" s="34" t="str">
        <f aca="false">MID(B888,11,1)</f>
        <v/>
      </c>
      <c r="H888" s="35" t="str">
        <f aca="false">IF(G888=".",F888,CONCATENATE(F888,G888))</f>
        <v/>
      </c>
      <c r="I888" s="34" t="n">
        <f aca="false">IFERROR(VALUE(H888),)</f>
        <v>0</v>
      </c>
      <c r="J888" s="34" t="e">
        <f aca="false">RIGHT(B888,LEN(B888)-FIND("/",B888, FIND("Single Cells",B888, 1)))</f>
        <v>#VALUE!</v>
      </c>
    </row>
    <row r="889" customFormat="false" ht="12.75" hidden="false" customHeight="false" outlineLevel="0" collapsed="false">
      <c r="E889" s="34" t="str">
        <f aca="false">MID(B889,9,1)</f>
        <v/>
      </c>
      <c r="F889" s="34" t="str">
        <f aca="false">MID(B889,10,1)</f>
        <v/>
      </c>
      <c r="G889" s="34" t="str">
        <f aca="false">MID(B889,11,1)</f>
        <v/>
      </c>
      <c r="H889" s="35" t="str">
        <f aca="false">IF(G889=".",F889,CONCATENATE(F889,G889))</f>
        <v/>
      </c>
      <c r="I889" s="34" t="n">
        <f aca="false">IFERROR(VALUE(H889),)</f>
        <v>0</v>
      </c>
      <c r="J889" s="34" t="e">
        <f aca="false">RIGHT(B889,LEN(B889)-FIND("/",B889, FIND("Single Cells",B889, 1)))</f>
        <v>#VALUE!</v>
      </c>
    </row>
    <row r="890" customFormat="false" ht="12.75" hidden="false" customHeight="false" outlineLevel="0" collapsed="false">
      <c r="E890" s="34" t="str">
        <f aca="false">MID(B890,9,1)</f>
        <v/>
      </c>
      <c r="F890" s="34" t="str">
        <f aca="false">MID(B890,10,1)</f>
        <v/>
      </c>
      <c r="G890" s="34" t="str">
        <f aca="false">MID(B890,11,1)</f>
        <v/>
      </c>
      <c r="H890" s="35" t="str">
        <f aca="false">IF(G890=".",F890,CONCATENATE(F890,G890))</f>
        <v/>
      </c>
      <c r="I890" s="34" t="n">
        <f aca="false">IFERROR(VALUE(H890),)</f>
        <v>0</v>
      </c>
      <c r="J890" s="34" t="e">
        <f aca="false">RIGHT(B890,LEN(B890)-FIND("/",B890, FIND("Single Cells",B890, 1)))</f>
        <v>#VALUE!</v>
      </c>
    </row>
    <row r="891" customFormat="false" ht="12.75" hidden="false" customHeight="false" outlineLevel="0" collapsed="false">
      <c r="E891" s="34" t="str">
        <f aca="false">MID(B891,9,1)</f>
        <v/>
      </c>
      <c r="F891" s="34" t="str">
        <f aca="false">MID(B891,10,1)</f>
        <v/>
      </c>
      <c r="G891" s="34" t="str">
        <f aca="false">MID(B891,11,1)</f>
        <v/>
      </c>
      <c r="H891" s="35" t="str">
        <f aca="false">IF(G891=".",F891,CONCATENATE(F891,G891))</f>
        <v/>
      </c>
      <c r="I891" s="34" t="n">
        <f aca="false">IFERROR(VALUE(H891),)</f>
        <v>0</v>
      </c>
      <c r="J891" s="34" t="e">
        <f aca="false">RIGHT(B891,LEN(B891)-FIND("/",B891, FIND("Single Cells",B891, 1)))</f>
        <v>#VALUE!</v>
      </c>
    </row>
    <row r="892" customFormat="false" ht="12.75" hidden="false" customHeight="false" outlineLevel="0" collapsed="false">
      <c r="E892" s="34" t="str">
        <f aca="false">MID(B892,9,1)</f>
        <v/>
      </c>
      <c r="F892" s="34" t="str">
        <f aca="false">MID(B892,10,1)</f>
        <v/>
      </c>
      <c r="G892" s="34" t="str">
        <f aca="false">MID(B892,11,1)</f>
        <v/>
      </c>
      <c r="H892" s="35" t="str">
        <f aca="false">IF(G892=".",F892,CONCATENATE(F892,G892))</f>
        <v/>
      </c>
      <c r="I892" s="34" t="n">
        <f aca="false">IFERROR(VALUE(H892),)</f>
        <v>0</v>
      </c>
      <c r="J892" s="34" t="e">
        <f aca="false">RIGHT(B892,LEN(B892)-FIND("/",B892, FIND("Single Cells",B892, 1)))</f>
        <v>#VALUE!</v>
      </c>
    </row>
    <row r="893" customFormat="false" ht="12.75" hidden="false" customHeight="false" outlineLevel="0" collapsed="false">
      <c r="E893" s="34" t="str">
        <f aca="false">MID(B893,9,1)</f>
        <v/>
      </c>
      <c r="F893" s="34" t="str">
        <f aca="false">MID(B893,10,1)</f>
        <v/>
      </c>
      <c r="G893" s="34" t="str">
        <f aca="false">MID(B893,11,1)</f>
        <v/>
      </c>
      <c r="H893" s="35" t="str">
        <f aca="false">IF(G893=".",F893,CONCATENATE(F893,G893))</f>
        <v/>
      </c>
      <c r="I893" s="34" t="n">
        <f aca="false">IFERROR(VALUE(H893),)</f>
        <v>0</v>
      </c>
      <c r="J893" s="34" t="e">
        <f aca="false">RIGHT(B893,LEN(B893)-FIND("/",B893, FIND("Single Cells",B893, 1)))</f>
        <v>#VALUE!</v>
      </c>
    </row>
    <row r="894" customFormat="false" ht="12.75" hidden="false" customHeight="false" outlineLevel="0" collapsed="false">
      <c r="E894" s="34" t="str">
        <f aca="false">MID(B894,9,1)</f>
        <v/>
      </c>
      <c r="F894" s="34" t="str">
        <f aca="false">MID(B894,10,1)</f>
        <v/>
      </c>
      <c r="G894" s="34" t="str">
        <f aca="false">MID(B894,11,1)</f>
        <v/>
      </c>
      <c r="H894" s="35" t="str">
        <f aca="false">IF(G894=".",F894,CONCATENATE(F894,G894))</f>
        <v/>
      </c>
      <c r="I894" s="34" t="n">
        <f aca="false">IFERROR(VALUE(H894),)</f>
        <v>0</v>
      </c>
      <c r="J894" s="34" t="e">
        <f aca="false">RIGHT(B894,LEN(B894)-FIND("/",B894, FIND("Single Cells",B894, 1)))</f>
        <v>#VALUE!</v>
      </c>
    </row>
    <row r="895" customFormat="false" ht="12.75" hidden="false" customHeight="false" outlineLevel="0" collapsed="false">
      <c r="E895" s="34" t="str">
        <f aca="false">MID(B895,9,1)</f>
        <v/>
      </c>
      <c r="F895" s="34" t="str">
        <f aca="false">MID(B895,10,1)</f>
        <v/>
      </c>
      <c r="G895" s="34" t="str">
        <f aca="false">MID(B895,11,1)</f>
        <v/>
      </c>
      <c r="H895" s="35" t="str">
        <f aca="false">IF(G895=".",F895,CONCATENATE(F895,G895))</f>
        <v/>
      </c>
      <c r="I895" s="34" t="n">
        <f aca="false">IFERROR(VALUE(H895),)</f>
        <v>0</v>
      </c>
      <c r="J895" s="34" t="e">
        <f aca="false">RIGHT(B895,LEN(B895)-FIND("/",B895, FIND("Single Cells",B895, 1)))</f>
        <v>#VALUE!</v>
      </c>
    </row>
    <row r="896" customFormat="false" ht="12.75" hidden="false" customHeight="false" outlineLevel="0" collapsed="false">
      <c r="E896" s="34" t="str">
        <f aca="false">MID(B896,9,1)</f>
        <v/>
      </c>
      <c r="F896" s="34" t="str">
        <f aca="false">MID(B896,10,1)</f>
        <v/>
      </c>
      <c r="G896" s="34" t="str">
        <f aca="false">MID(B896,11,1)</f>
        <v/>
      </c>
      <c r="H896" s="35" t="str">
        <f aca="false">IF(G896=".",F896,CONCATENATE(F896,G896))</f>
        <v/>
      </c>
      <c r="I896" s="34" t="n">
        <f aca="false">IFERROR(VALUE(H896),)</f>
        <v>0</v>
      </c>
      <c r="J896" s="34" t="e">
        <f aca="false">RIGHT(B896,LEN(B896)-FIND("/",B896, FIND("Single Cells",B896, 1)))</f>
        <v>#VALUE!</v>
      </c>
    </row>
    <row r="897" customFormat="false" ht="12.75" hidden="false" customHeight="false" outlineLevel="0" collapsed="false">
      <c r="E897" s="34" t="str">
        <f aca="false">MID(B897,9,1)</f>
        <v/>
      </c>
      <c r="F897" s="34" t="str">
        <f aca="false">MID(B897,10,1)</f>
        <v/>
      </c>
      <c r="G897" s="34" t="str">
        <f aca="false">MID(B897,11,1)</f>
        <v/>
      </c>
      <c r="H897" s="35" t="str">
        <f aca="false">IF(G897=".",F897,CONCATENATE(F897,G897))</f>
        <v/>
      </c>
      <c r="I897" s="34" t="n">
        <f aca="false">IFERROR(VALUE(H897),)</f>
        <v>0</v>
      </c>
      <c r="J897" s="34" t="e">
        <f aca="false">RIGHT(B897,LEN(B897)-FIND("/",B897, FIND("Single Cells",B897, 1)))</f>
        <v>#VALUE!</v>
      </c>
    </row>
    <row r="898" customFormat="false" ht="12.75" hidden="false" customHeight="false" outlineLevel="0" collapsed="false">
      <c r="E898" s="34" t="str">
        <f aca="false">MID(B898,9,1)</f>
        <v/>
      </c>
      <c r="F898" s="34" t="str">
        <f aca="false">MID(B898,10,1)</f>
        <v/>
      </c>
      <c r="G898" s="34" t="str">
        <f aca="false">MID(B898,11,1)</f>
        <v/>
      </c>
      <c r="H898" s="35" t="str">
        <f aca="false">IF(G898=".",F898,CONCATENATE(F898,G898))</f>
        <v/>
      </c>
      <c r="I898" s="34" t="n">
        <f aca="false">IFERROR(VALUE(H898),)</f>
        <v>0</v>
      </c>
      <c r="J898" s="34" t="e">
        <f aca="false">RIGHT(B898,LEN(B898)-FIND("/",B898, FIND("Single Cells",B898, 1)))</f>
        <v>#VALUE!</v>
      </c>
    </row>
    <row r="899" customFormat="false" ht="12.75" hidden="false" customHeight="false" outlineLevel="0" collapsed="false">
      <c r="E899" s="34" t="str">
        <f aca="false">MID(B899,9,1)</f>
        <v/>
      </c>
      <c r="F899" s="34" t="str">
        <f aca="false">MID(B899,10,1)</f>
        <v/>
      </c>
      <c r="G899" s="34" t="str">
        <f aca="false">MID(B899,11,1)</f>
        <v/>
      </c>
      <c r="H899" s="35" t="str">
        <f aca="false">IF(G899=".",F899,CONCATENATE(F899,G899))</f>
        <v/>
      </c>
      <c r="I899" s="34" t="n">
        <f aca="false">IFERROR(VALUE(H899),)</f>
        <v>0</v>
      </c>
      <c r="J899" s="34" t="e">
        <f aca="false">RIGHT(B899,LEN(B899)-FIND("/",B899, FIND("Single Cells",B899, 1)))</f>
        <v>#VALUE!</v>
      </c>
    </row>
    <row r="900" customFormat="false" ht="12.75" hidden="false" customHeight="false" outlineLevel="0" collapsed="false">
      <c r="E900" s="34" t="str">
        <f aca="false">MID(B900,9,1)</f>
        <v/>
      </c>
      <c r="F900" s="34" t="str">
        <f aca="false">MID(B900,10,1)</f>
        <v/>
      </c>
      <c r="G900" s="34" t="str">
        <f aca="false">MID(B900,11,1)</f>
        <v/>
      </c>
      <c r="H900" s="35" t="str">
        <f aca="false">IF(G900=".",F900,CONCATENATE(F900,G900))</f>
        <v/>
      </c>
      <c r="I900" s="34" t="n">
        <f aca="false">IFERROR(VALUE(H900),)</f>
        <v>0</v>
      </c>
      <c r="J900" s="34" t="e">
        <f aca="false">RIGHT(B900,LEN(B900)-FIND("/",B900, FIND("Single Cells",B900, 1)))</f>
        <v>#VALUE!</v>
      </c>
    </row>
    <row r="901" customFormat="false" ht="12.75" hidden="false" customHeight="false" outlineLevel="0" collapsed="false">
      <c r="E901" s="34" t="str">
        <f aca="false">MID(B901,9,1)</f>
        <v/>
      </c>
      <c r="F901" s="34" t="str">
        <f aca="false">MID(B901,10,1)</f>
        <v/>
      </c>
      <c r="G901" s="34" t="str">
        <f aca="false">MID(B901,11,1)</f>
        <v/>
      </c>
      <c r="H901" s="35" t="str">
        <f aca="false">IF(G901=".",F901,CONCATENATE(F901,G901))</f>
        <v/>
      </c>
      <c r="I901" s="34" t="n">
        <f aca="false">IFERROR(VALUE(H901),)</f>
        <v>0</v>
      </c>
      <c r="J901" s="34" t="e">
        <f aca="false">RIGHT(B901,LEN(B901)-FIND("/",B901, FIND("Single Cells",B901, 1)))</f>
        <v>#VALUE!</v>
      </c>
    </row>
    <row r="902" customFormat="false" ht="12.75" hidden="false" customHeight="false" outlineLevel="0" collapsed="false">
      <c r="E902" s="34" t="str">
        <f aca="false">MID(B902,9,1)</f>
        <v/>
      </c>
      <c r="F902" s="34" t="str">
        <f aca="false">MID(B902,10,1)</f>
        <v/>
      </c>
      <c r="G902" s="34" t="str">
        <f aca="false">MID(B902,11,1)</f>
        <v/>
      </c>
      <c r="H902" s="35" t="str">
        <f aca="false">IF(G902=".",F902,CONCATENATE(F902,G902))</f>
        <v/>
      </c>
      <c r="I902" s="34" t="n">
        <f aca="false">IFERROR(VALUE(H902),)</f>
        <v>0</v>
      </c>
      <c r="J902" s="34" t="e">
        <f aca="false">RIGHT(B902,LEN(B902)-FIND("/",B902, FIND("Single Cells",B902, 1)))</f>
        <v>#VALUE!</v>
      </c>
    </row>
    <row r="903" customFormat="false" ht="12.75" hidden="false" customHeight="false" outlineLevel="0" collapsed="false">
      <c r="E903" s="34" t="str">
        <f aca="false">MID(B903,9,1)</f>
        <v/>
      </c>
      <c r="F903" s="34" t="str">
        <f aca="false">MID(B903,10,1)</f>
        <v/>
      </c>
      <c r="G903" s="34" t="str">
        <f aca="false">MID(B903,11,1)</f>
        <v/>
      </c>
      <c r="H903" s="35" t="str">
        <f aca="false">IF(G903=".",F903,CONCATENATE(F903,G903))</f>
        <v/>
      </c>
      <c r="I903" s="34" t="n">
        <f aca="false">IFERROR(VALUE(H903),)</f>
        <v>0</v>
      </c>
      <c r="J903" s="34" t="e">
        <f aca="false">RIGHT(B903,LEN(B903)-FIND("/",B903, FIND("Single Cells",B903, 1)))</f>
        <v>#VALUE!</v>
      </c>
    </row>
    <row r="904" customFormat="false" ht="12.75" hidden="false" customHeight="false" outlineLevel="0" collapsed="false">
      <c r="E904" s="34" t="str">
        <f aca="false">MID(B904,9,1)</f>
        <v/>
      </c>
      <c r="F904" s="34" t="str">
        <f aca="false">MID(B904,10,1)</f>
        <v/>
      </c>
      <c r="G904" s="34" t="str">
        <f aca="false">MID(B904,11,1)</f>
        <v/>
      </c>
      <c r="H904" s="35" t="str">
        <f aca="false">IF(G904=".",F904,CONCATENATE(F904,G904))</f>
        <v/>
      </c>
      <c r="I904" s="34" t="n">
        <f aca="false">IFERROR(VALUE(H904),)</f>
        <v>0</v>
      </c>
      <c r="J904" s="34" t="e">
        <f aca="false">RIGHT(B904,LEN(B904)-FIND("/",B904, FIND("Single Cells",B904, 1)))</f>
        <v>#VALUE!</v>
      </c>
    </row>
    <row r="905" customFormat="false" ht="12.75" hidden="false" customHeight="false" outlineLevel="0" collapsed="false">
      <c r="E905" s="34" t="str">
        <f aca="false">MID(B905,9,1)</f>
        <v/>
      </c>
      <c r="F905" s="34" t="str">
        <f aca="false">MID(B905,10,1)</f>
        <v/>
      </c>
      <c r="G905" s="34" t="str">
        <f aca="false">MID(B905,11,1)</f>
        <v/>
      </c>
      <c r="H905" s="35" t="str">
        <f aca="false">IF(G905=".",F905,CONCATENATE(F905,G905))</f>
        <v/>
      </c>
      <c r="I905" s="34" t="n">
        <f aca="false">IFERROR(VALUE(H905),)</f>
        <v>0</v>
      </c>
      <c r="J905" s="34" t="e">
        <f aca="false">RIGHT(B905,LEN(B905)-FIND("/",B905, FIND("Single Cells",B905, 1)))</f>
        <v>#VALUE!</v>
      </c>
    </row>
    <row r="906" customFormat="false" ht="12.75" hidden="false" customHeight="false" outlineLevel="0" collapsed="false">
      <c r="E906" s="34" t="str">
        <f aca="false">MID(B906,9,1)</f>
        <v/>
      </c>
      <c r="F906" s="34" t="str">
        <f aca="false">MID(B906,10,1)</f>
        <v/>
      </c>
      <c r="G906" s="34" t="str">
        <f aca="false">MID(B906,11,1)</f>
        <v/>
      </c>
      <c r="H906" s="35" t="str">
        <f aca="false">IF(G906=".",F906,CONCATENATE(F906,G906))</f>
        <v/>
      </c>
      <c r="I906" s="34" t="n">
        <f aca="false">IFERROR(VALUE(H906),)</f>
        <v>0</v>
      </c>
      <c r="J906" s="34" t="e">
        <f aca="false">RIGHT(B906,LEN(B906)-FIND("/",B906, FIND("Single Cells",B906, 1)))</f>
        <v>#VALUE!</v>
      </c>
    </row>
    <row r="907" customFormat="false" ht="12.75" hidden="false" customHeight="false" outlineLevel="0" collapsed="false">
      <c r="E907" s="34" t="str">
        <f aca="false">MID(B907,9,1)</f>
        <v/>
      </c>
      <c r="F907" s="34" t="str">
        <f aca="false">MID(B907,10,1)</f>
        <v/>
      </c>
      <c r="G907" s="34" t="str">
        <f aca="false">MID(B907,11,1)</f>
        <v/>
      </c>
      <c r="H907" s="35" t="str">
        <f aca="false">IF(G907=".",F907,CONCATENATE(F907,G907))</f>
        <v/>
      </c>
      <c r="I907" s="34" t="n">
        <f aca="false">IFERROR(VALUE(H907),)</f>
        <v>0</v>
      </c>
      <c r="J907" s="34" t="e">
        <f aca="false">RIGHT(B907,LEN(B907)-FIND("/",B907, FIND("Single Cells",B907, 1)))</f>
        <v>#VALUE!</v>
      </c>
    </row>
    <row r="908" customFormat="false" ht="12.75" hidden="false" customHeight="false" outlineLevel="0" collapsed="false">
      <c r="E908" s="34" t="str">
        <f aca="false">MID(B908,9,1)</f>
        <v/>
      </c>
      <c r="F908" s="34" t="str">
        <f aca="false">MID(B908,10,1)</f>
        <v/>
      </c>
      <c r="G908" s="34" t="str">
        <f aca="false">MID(B908,11,1)</f>
        <v/>
      </c>
      <c r="H908" s="35" t="str">
        <f aca="false">IF(G908=".",F908,CONCATENATE(F908,G908))</f>
        <v/>
      </c>
      <c r="I908" s="34" t="n">
        <f aca="false">IFERROR(VALUE(H908),)</f>
        <v>0</v>
      </c>
      <c r="J908" s="34" t="e">
        <f aca="false">RIGHT(B908,LEN(B908)-FIND("/",B908, FIND("Single Cells",B908, 1)))</f>
        <v>#VALUE!</v>
      </c>
    </row>
    <row r="909" customFormat="false" ht="12.75" hidden="false" customHeight="false" outlineLevel="0" collapsed="false">
      <c r="E909" s="34" t="str">
        <f aca="false">MID(B909,9,1)</f>
        <v/>
      </c>
      <c r="F909" s="34" t="str">
        <f aca="false">MID(B909,10,1)</f>
        <v/>
      </c>
      <c r="G909" s="34" t="str">
        <f aca="false">MID(B909,11,1)</f>
        <v/>
      </c>
      <c r="H909" s="35" t="str">
        <f aca="false">IF(G909=".",F909,CONCATENATE(F909,G909))</f>
        <v/>
      </c>
      <c r="I909" s="34" t="n">
        <f aca="false">IFERROR(VALUE(H909),)</f>
        <v>0</v>
      </c>
      <c r="J909" s="34" t="e">
        <f aca="false">RIGHT(B909,LEN(B909)-FIND("/",B909, FIND("Single Cells",B909, 1)))</f>
        <v>#VALUE!</v>
      </c>
    </row>
    <row r="910" customFormat="false" ht="12.75" hidden="false" customHeight="false" outlineLevel="0" collapsed="false">
      <c r="E910" s="34" t="str">
        <f aca="false">MID(B910,9,1)</f>
        <v/>
      </c>
      <c r="F910" s="34" t="str">
        <f aca="false">MID(B910,10,1)</f>
        <v/>
      </c>
      <c r="G910" s="34" t="str">
        <f aca="false">MID(B910,11,1)</f>
        <v/>
      </c>
      <c r="H910" s="35" t="str">
        <f aca="false">IF(G910=".",F910,CONCATENATE(F910,G910))</f>
        <v/>
      </c>
      <c r="I910" s="34" t="n">
        <f aca="false">IFERROR(VALUE(H910),)</f>
        <v>0</v>
      </c>
      <c r="J910" s="34" t="e">
        <f aca="false">RIGHT(B910,LEN(B910)-FIND("/",B910, FIND("Single Cells",B910, 1)))</f>
        <v>#VALUE!</v>
      </c>
    </row>
    <row r="911" customFormat="false" ht="12.75" hidden="false" customHeight="false" outlineLevel="0" collapsed="false">
      <c r="E911" s="34" t="str">
        <f aca="false">MID(B911,9,1)</f>
        <v/>
      </c>
      <c r="F911" s="34" t="str">
        <f aca="false">MID(B911,10,1)</f>
        <v/>
      </c>
      <c r="G911" s="34" t="str">
        <f aca="false">MID(B911,11,1)</f>
        <v/>
      </c>
      <c r="H911" s="35" t="str">
        <f aca="false">IF(G911=".",F911,CONCATENATE(F911,G911))</f>
        <v/>
      </c>
      <c r="I911" s="34" t="n">
        <f aca="false">IFERROR(VALUE(H911),)</f>
        <v>0</v>
      </c>
      <c r="J911" s="34" t="e">
        <f aca="false">RIGHT(B911,LEN(B911)-FIND("/",B911, FIND("Single Cells",B911, 1)))</f>
        <v>#VALUE!</v>
      </c>
    </row>
    <row r="912" customFormat="false" ht="12.75" hidden="false" customHeight="false" outlineLevel="0" collapsed="false">
      <c r="E912" s="34" t="str">
        <f aca="false">MID(B912,9,1)</f>
        <v/>
      </c>
      <c r="F912" s="34" t="str">
        <f aca="false">MID(B912,10,1)</f>
        <v/>
      </c>
      <c r="G912" s="34" t="str">
        <f aca="false">MID(B912,11,1)</f>
        <v/>
      </c>
      <c r="H912" s="35" t="str">
        <f aca="false">IF(G912=".",F912,CONCATENATE(F912,G912))</f>
        <v/>
      </c>
      <c r="I912" s="34" t="n">
        <f aca="false">IFERROR(VALUE(H912),)</f>
        <v>0</v>
      </c>
      <c r="J912" s="34" t="e">
        <f aca="false">RIGHT(B912,LEN(B912)-FIND("/",B912, FIND("Single Cells",B912, 1)))</f>
        <v>#VALUE!</v>
      </c>
    </row>
    <row r="913" customFormat="false" ht="12.75" hidden="false" customHeight="false" outlineLevel="0" collapsed="false">
      <c r="E913" s="34" t="str">
        <f aca="false">MID(B913,9,1)</f>
        <v/>
      </c>
      <c r="F913" s="34" t="str">
        <f aca="false">MID(B913,10,1)</f>
        <v/>
      </c>
      <c r="G913" s="34" t="str">
        <f aca="false">MID(B913,11,1)</f>
        <v/>
      </c>
      <c r="H913" s="35" t="str">
        <f aca="false">IF(G913=".",F913,CONCATENATE(F913,G913))</f>
        <v/>
      </c>
      <c r="I913" s="34" t="n">
        <f aca="false">IFERROR(VALUE(H913),)</f>
        <v>0</v>
      </c>
      <c r="J913" s="34" t="e">
        <f aca="false">RIGHT(B913,LEN(B913)-FIND("/",B913, FIND("Single Cells",B913, 1)))</f>
        <v>#VALUE!</v>
      </c>
    </row>
    <row r="914" customFormat="false" ht="12.75" hidden="false" customHeight="false" outlineLevel="0" collapsed="false">
      <c r="E914" s="34" t="str">
        <f aca="false">MID(B914,9,1)</f>
        <v/>
      </c>
      <c r="F914" s="34" t="str">
        <f aca="false">MID(B914,10,1)</f>
        <v/>
      </c>
      <c r="G914" s="34" t="str">
        <f aca="false">MID(B914,11,1)</f>
        <v/>
      </c>
      <c r="H914" s="35" t="str">
        <f aca="false">IF(G914=".",F914,CONCATENATE(F914,G914))</f>
        <v/>
      </c>
      <c r="I914" s="34" t="n">
        <f aca="false">IFERROR(VALUE(H914),)</f>
        <v>0</v>
      </c>
      <c r="J914" s="34" t="e">
        <f aca="false">RIGHT(B914,LEN(B914)-FIND("/",B914, FIND("Single Cells",B914, 1)))</f>
        <v>#VALUE!</v>
      </c>
    </row>
    <row r="915" customFormat="false" ht="12.75" hidden="false" customHeight="false" outlineLevel="0" collapsed="false">
      <c r="E915" s="34" t="str">
        <f aca="false">MID(B915,9,1)</f>
        <v/>
      </c>
      <c r="F915" s="34" t="str">
        <f aca="false">MID(B915,10,1)</f>
        <v/>
      </c>
      <c r="G915" s="34" t="str">
        <f aca="false">MID(B915,11,1)</f>
        <v/>
      </c>
      <c r="H915" s="35" t="str">
        <f aca="false">IF(G915=".",F915,CONCATENATE(F915,G915))</f>
        <v/>
      </c>
      <c r="I915" s="34" t="n">
        <f aca="false">IFERROR(VALUE(H915),)</f>
        <v>0</v>
      </c>
      <c r="J915" s="34" t="e">
        <f aca="false">RIGHT(B915,LEN(B915)-FIND("/",B915, FIND("Single Cells",B915, 1)))</f>
        <v>#VALUE!</v>
      </c>
    </row>
    <row r="916" customFormat="false" ht="12.75" hidden="false" customHeight="false" outlineLevel="0" collapsed="false">
      <c r="E916" s="34" t="str">
        <f aca="false">MID(B916,9,1)</f>
        <v/>
      </c>
      <c r="F916" s="34" t="str">
        <f aca="false">MID(B916,10,1)</f>
        <v/>
      </c>
      <c r="G916" s="34" t="str">
        <f aca="false">MID(B916,11,1)</f>
        <v/>
      </c>
      <c r="H916" s="35" t="str">
        <f aca="false">IF(G916=".",F916,CONCATENATE(F916,G916))</f>
        <v/>
      </c>
      <c r="I916" s="34" t="n">
        <f aca="false">IFERROR(VALUE(H916),)</f>
        <v>0</v>
      </c>
      <c r="J916" s="34" t="e">
        <f aca="false">RIGHT(B916,LEN(B916)-FIND("/",B916, FIND("Single Cells",B916, 1)))</f>
        <v>#VALUE!</v>
      </c>
    </row>
    <row r="917" customFormat="false" ht="12.75" hidden="false" customHeight="false" outlineLevel="0" collapsed="false">
      <c r="E917" s="34" t="str">
        <f aca="false">MID(B917,9,1)</f>
        <v/>
      </c>
      <c r="F917" s="34" t="str">
        <f aca="false">MID(B917,10,1)</f>
        <v/>
      </c>
      <c r="G917" s="34" t="str">
        <f aca="false">MID(B917,11,1)</f>
        <v/>
      </c>
      <c r="H917" s="35" t="str">
        <f aca="false">IF(G917=".",F917,CONCATENATE(F917,G917))</f>
        <v/>
      </c>
      <c r="I917" s="34" t="n">
        <f aca="false">IFERROR(VALUE(H917),)</f>
        <v>0</v>
      </c>
      <c r="J917" s="34" t="e">
        <f aca="false">RIGHT(B917,LEN(B917)-FIND("/",B917, FIND("Single Cells",B917, 1)))</f>
        <v>#VALUE!</v>
      </c>
    </row>
    <row r="918" customFormat="false" ht="12.75" hidden="false" customHeight="false" outlineLevel="0" collapsed="false">
      <c r="E918" s="34" t="str">
        <f aca="false">MID(B918,9,1)</f>
        <v/>
      </c>
      <c r="F918" s="34" t="str">
        <f aca="false">MID(B918,10,1)</f>
        <v/>
      </c>
      <c r="G918" s="34" t="str">
        <f aca="false">MID(B918,11,1)</f>
        <v/>
      </c>
      <c r="H918" s="35" t="str">
        <f aca="false">IF(G918=".",F918,CONCATENATE(F918,G918))</f>
        <v/>
      </c>
      <c r="I918" s="34" t="n">
        <f aca="false">IFERROR(VALUE(H918),)</f>
        <v>0</v>
      </c>
      <c r="J918" s="34" t="e">
        <f aca="false">RIGHT(B918,LEN(B918)-FIND("/",B918, FIND("Single Cells",B918, 1)))</f>
        <v>#VALUE!</v>
      </c>
    </row>
    <row r="919" customFormat="false" ht="12.75" hidden="false" customHeight="false" outlineLevel="0" collapsed="false">
      <c r="E919" s="34" t="str">
        <f aca="false">MID(B919,9,1)</f>
        <v/>
      </c>
      <c r="F919" s="34" t="str">
        <f aca="false">MID(B919,10,1)</f>
        <v/>
      </c>
      <c r="G919" s="34" t="str">
        <f aca="false">MID(B919,11,1)</f>
        <v/>
      </c>
      <c r="H919" s="35" t="str">
        <f aca="false">IF(G919=".",F919,CONCATENATE(F919,G919))</f>
        <v/>
      </c>
      <c r="I919" s="34" t="n">
        <f aca="false">IFERROR(VALUE(H919),)</f>
        <v>0</v>
      </c>
      <c r="J919" s="34" t="e">
        <f aca="false">RIGHT(B919,LEN(B919)-FIND("/",B919, FIND("Single Cells",B919, 1)))</f>
        <v>#VALUE!</v>
      </c>
    </row>
    <row r="920" customFormat="false" ht="12.75" hidden="false" customHeight="false" outlineLevel="0" collapsed="false">
      <c r="E920" s="34" t="str">
        <f aca="false">MID(B920,9,1)</f>
        <v/>
      </c>
      <c r="F920" s="34" t="str">
        <f aca="false">MID(B920,10,1)</f>
        <v/>
      </c>
      <c r="G920" s="34" t="str">
        <f aca="false">MID(B920,11,1)</f>
        <v/>
      </c>
      <c r="H920" s="35" t="str">
        <f aca="false">IF(G920=".",F920,CONCATENATE(F920,G920))</f>
        <v/>
      </c>
      <c r="I920" s="34" t="n">
        <f aca="false">IFERROR(VALUE(H920),)</f>
        <v>0</v>
      </c>
      <c r="J920" s="34" t="e">
        <f aca="false">RIGHT(B920,LEN(B920)-FIND("/",B920, FIND("Single Cells",B920, 1)))</f>
        <v>#VALUE!</v>
      </c>
    </row>
    <row r="921" customFormat="false" ht="12.75" hidden="false" customHeight="false" outlineLevel="0" collapsed="false">
      <c r="E921" s="34" t="str">
        <f aca="false">MID(B921,9,1)</f>
        <v/>
      </c>
      <c r="F921" s="34" t="str">
        <f aca="false">MID(B921,10,1)</f>
        <v/>
      </c>
      <c r="G921" s="34" t="str">
        <f aca="false">MID(B921,11,1)</f>
        <v/>
      </c>
      <c r="H921" s="35" t="str">
        <f aca="false">IF(G921=".",F921,CONCATENATE(F921,G921))</f>
        <v/>
      </c>
      <c r="I921" s="34" t="n">
        <f aca="false">IFERROR(VALUE(H921),)</f>
        <v>0</v>
      </c>
      <c r="J921" s="34" t="e">
        <f aca="false">RIGHT(B921,LEN(B921)-FIND("/",B921, FIND("Single Cells",B921, 1)))</f>
        <v>#VALUE!</v>
      </c>
    </row>
    <row r="922" customFormat="false" ht="12.75" hidden="false" customHeight="false" outlineLevel="0" collapsed="false">
      <c r="E922" s="34" t="str">
        <f aca="false">MID(B922,9,1)</f>
        <v/>
      </c>
      <c r="F922" s="34" t="str">
        <f aca="false">MID(B922,10,1)</f>
        <v/>
      </c>
      <c r="G922" s="34" t="str">
        <f aca="false">MID(B922,11,1)</f>
        <v/>
      </c>
      <c r="H922" s="35" t="str">
        <f aca="false">IF(G922=".",F922,CONCATENATE(F922,G922))</f>
        <v/>
      </c>
      <c r="I922" s="34" t="n">
        <f aca="false">IFERROR(VALUE(H922),)</f>
        <v>0</v>
      </c>
      <c r="J922" s="34" t="e">
        <f aca="false">RIGHT(B922,LEN(B922)-FIND("/",B922, FIND("Single Cells",B922, 1)))</f>
        <v>#VALUE!</v>
      </c>
    </row>
    <row r="923" customFormat="false" ht="12.75" hidden="false" customHeight="false" outlineLevel="0" collapsed="false">
      <c r="E923" s="34" t="str">
        <f aca="false">MID(B923,9,1)</f>
        <v/>
      </c>
      <c r="F923" s="34" t="str">
        <f aca="false">MID(B923,10,1)</f>
        <v/>
      </c>
      <c r="G923" s="34" t="str">
        <f aca="false">MID(B923,11,1)</f>
        <v/>
      </c>
      <c r="H923" s="35" t="str">
        <f aca="false">IF(G923=".",F923,CONCATENATE(F923,G923))</f>
        <v/>
      </c>
      <c r="I923" s="34" t="n">
        <f aca="false">IFERROR(VALUE(H923),)</f>
        <v>0</v>
      </c>
      <c r="J923" s="34" t="e">
        <f aca="false">RIGHT(B923,LEN(B923)-FIND("/",B923, FIND("Single Cells",B923, 1)))</f>
        <v>#VALUE!</v>
      </c>
    </row>
    <row r="924" customFormat="false" ht="12.75" hidden="false" customHeight="false" outlineLevel="0" collapsed="false">
      <c r="E924" s="34" t="str">
        <f aca="false">MID(B924,9,1)</f>
        <v/>
      </c>
      <c r="F924" s="34" t="str">
        <f aca="false">MID(B924,10,1)</f>
        <v/>
      </c>
      <c r="G924" s="34" t="str">
        <f aca="false">MID(B924,11,1)</f>
        <v/>
      </c>
      <c r="H924" s="35" t="str">
        <f aca="false">IF(G924=".",F924,CONCATENATE(F924,G924))</f>
        <v/>
      </c>
      <c r="I924" s="34" t="n">
        <f aca="false">IFERROR(VALUE(H924),)</f>
        <v>0</v>
      </c>
      <c r="J924" s="34" t="e">
        <f aca="false">RIGHT(B924,LEN(B924)-FIND("/",B924, FIND("Single Cells",B924, 1)))</f>
        <v>#VALUE!</v>
      </c>
    </row>
    <row r="925" customFormat="false" ht="12.75" hidden="false" customHeight="false" outlineLevel="0" collapsed="false">
      <c r="E925" s="34" t="str">
        <f aca="false">MID(B925,9,1)</f>
        <v/>
      </c>
      <c r="F925" s="34" t="str">
        <f aca="false">MID(B925,10,1)</f>
        <v/>
      </c>
      <c r="G925" s="34" t="str">
        <f aca="false">MID(B925,11,1)</f>
        <v/>
      </c>
      <c r="H925" s="35" t="str">
        <f aca="false">IF(G925=".",F925,CONCATENATE(F925,G925))</f>
        <v/>
      </c>
      <c r="I925" s="34" t="n">
        <f aca="false">IFERROR(VALUE(H925),)</f>
        <v>0</v>
      </c>
      <c r="J925" s="34" t="e">
        <f aca="false">RIGHT(B925,LEN(B925)-FIND("/",B925, FIND("Single Cells",B925, 1)))</f>
        <v>#VALUE!</v>
      </c>
    </row>
    <row r="926" customFormat="false" ht="12.75" hidden="false" customHeight="false" outlineLevel="0" collapsed="false">
      <c r="E926" s="34" t="str">
        <f aca="false">MID(B926,9,1)</f>
        <v/>
      </c>
      <c r="F926" s="34" t="str">
        <f aca="false">MID(B926,10,1)</f>
        <v/>
      </c>
      <c r="G926" s="34" t="str">
        <f aca="false">MID(B926,11,1)</f>
        <v/>
      </c>
      <c r="H926" s="35" t="str">
        <f aca="false">IF(G926=".",F926,CONCATENATE(F926,G926))</f>
        <v/>
      </c>
      <c r="I926" s="34" t="n">
        <f aca="false">IFERROR(VALUE(H926),)</f>
        <v>0</v>
      </c>
      <c r="J926" s="34" t="e">
        <f aca="false">RIGHT(B926,LEN(B926)-FIND("/",B926, FIND("Single Cells",B926, 1)))</f>
        <v>#VALUE!</v>
      </c>
    </row>
    <row r="927" customFormat="false" ht="12.75" hidden="false" customHeight="false" outlineLevel="0" collapsed="false">
      <c r="E927" s="34" t="str">
        <f aca="false">MID(B927,9,1)</f>
        <v/>
      </c>
      <c r="F927" s="34" t="str">
        <f aca="false">MID(B927,10,1)</f>
        <v/>
      </c>
      <c r="G927" s="34" t="str">
        <f aca="false">MID(B927,11,1)</f>
        <v/>
      </c>
      <c r="H927" s="35" t="str">
        <f aca="false">IF(G927=".",F927,CONCATENATE(F927,G927))</f>
        <v/>
      </c>
      <c r="I927" s="34" t="n">
        <f aca="false">IFERROR(VALUE(H927),)</f>
        <v>0</v>
      </c>
      <c r="J927" s="34" t="e">
        <f aca="false">RIGHT(B927,LEN(B927)-FIND("/",B927, FIND("Single Cells",B927, 1)))</f>
        <v>#VALUE!</v>
      </c>
    </row>
    <row r="928" customFormat="false" ht="12.75" hidden="false" customHeight="false" outlineLevel="0" collapsed="false">
      <c r="E928" s="34" t="str">
        <f aca="false">MID(B928,9,1)</f>
        <v/>
      </c>
      <c r="F928" s="34" t="str">
        <f aca="false">MID(B928,10,1)</f>
        <v/>
      </c>
      <c r="G928" s="34" t="str">
        <f aca="false">MID(B928,11,1)</f>
        <v/>
      </c>
      <c r="H928" s="35" t="str">
        <f aca="false">IF(G928=".",F928,CONCATENATE(F928,G928))</f>
        <v/>
      </c>
      <c r="I928" s="34" t="n">
        <f aca="false">IFERROR(VALUE(H928),)</f>
        <v>0</v>
      </c>
      <c r="J928" s="34" t="e">
        <f aca="false">RIGHT(B928,LEN(B928)-FIND("/",B928, FIND("Single Cells",B928, 1)))</f>
        <v>#VALUE!</v>
      </c>
    </row>
    <row r="929" customFormat="false" ht="12.75" hidden="false" customHeight="false" outlineLevel="0" collapsed="false">
      <c r="E929" s="34" t="str">
        <f aca="false">MID(B929,9,1)</f>
        <v/>
      </c>
      <c r="F929" s="34" t="str">
        <f aca="false">MID(B929,10,1)</f>
        <v/>
      </c>
      <c r="G929" s="34" t="str">
        <f aca="false">MID(B929,11,1)</f>
        <v/>
      </c>
      <c r="H929" s="35" t="str">
        <f aca="false">IF(G929=".",F929,CONCATENATE(F929,G929))</f>
        <v/>
      </c>
      <c r="I929" s="34" t="n">
        <f aca="false">IFERROR(VALUE(H929),)</f>
        <v>0</v>
      </c>
      <c r="J929" s="34" t="e">
        <f aca="false">RIGHT(B929,LEN(B929)-FIND("/",B929, FIND("Single Cells",B929, 1)))</f>
        <v>#VALUE!</v>
      </c>
    </row>
    <row r="930" customFormat="false" ht="12.75" hidden="false" customHeight="false" outlineLevel="0" collapsed="false">
      <c r="E930" s="34" t="str">
        <f aca="false">MID(B930,9,1)</f>
        <v/>
      </c>
      <c r="F930" s="34" t="str">
        <f aca="false">MID(B930,10,1)</f>
        <v/>
      </c>
      <c r="G930" s="34" t="str">
        <f aca="false">MID(B930,11,1)</f>
        <v/>
      </c>
      <c r="H930" s="35" t="str">
        <f aca="false">IF(G930=".",F930,CONCATENATE(F930,G930))</f>
        <v/>
      </c>
      <c r="I930" s="34" t="n">
        <f aca="false">IFERROR(VALUE(H930),)</f>
        <v>0</v>
      </c>
      <c r="J930" s="34" t="e">
        <f aca="false">RIGHT(B930,LEN(B930)-FIND("/",B930, FIND("Single Cells",B930, 1)))</f>
        <v>#VALUE!</v>
      </c>
    </row>
    <row r="931" customFormat="false" ht="12.75" hidden="false" customHeight="false" outlineLevel="0" collapsed="false">
      <c r="E931" s="34" t="str">
        <f aca="false">MID(B931,9,1)</f>
        <v/>
      </c>
      <c r="F931" s="34" t="str">
        <f aca="false">MID(B931,10,1)</f>
        <v/>
      </c>
      <c r="G931" s="34" t="str">
        <f aca="false">MID(B931,11,1)</f>
        <v/>
      </c>
      <c r="H931" s="35" t="str">
        <f aca="false">IF(G931=".",F931,CONCATENATE(F931,G931))</f>
        <v/>
      </c>
      <c r="I931" s="34" t="n">
        <f aca="false">IFERROR(VALUE(H931),)</f>
        <v>0</v>
      </c>
      <c r="J931" s="34" t="e">
        <f aca="false">RIGHT(B931,LEN(B931)-FIND("/",B931, FIND("Single Cells",B931, 1)))</f>
        <v>#VALUE!</v>
      </c>
    </row>
    <row r="932" customFormat="false" ht="12.75" hidden="false" customHeight="false" outlineLevel="0" collapsed="false">
      <c r="E932" s="34" t="str">
        <f aca="false">MID(B932,9,1)</f>
        <v/>
      </c>
      <c r="F932" s="34" t="str">
        <f aca="false">MID(B932,10,1)</f>
        <v/>
      </c>
      <c r="G932" s="34" t="str">
        <f aca="false">MID(B932,11,1)</f>
        <v/>
      </c>
      <c r="H932" s="35" t="str">
        <f aca="false">IF(G932=".",F932,CONCATENATE(F932,G932))</f>
        <v/>
      </c>
      <c r="I932" s="34" t="n">
        <f aca="false">IFERROR(VALUE(H932),)</f>
        <v>0</v>
      </c>
      <c r="J932" s="34" t="e">
        <f aca="false">RIGHT(B932,LEN(B932)-FIND("/",B932, FIND("Single Cells",B932, 1)))</f>
        <v>#VALUE!</v>
      </c>
    </row>
    <row r="933" customFormat="false" ht="12.75" hidden="false" customHeight="false" outlineLevel="0" collapsed="false">
      <c r="E933" s="34" t="str">
        <f aca="false">MID(B933,9,1)</f>
        <v/>
      </c>
      <c r="F933" s="34" t="str">
        <f aca="false">MID(B933,10,1)</f>
        <v/>
      </c>
      <c r="G933" s="34" t="str">
        <f aca="false">MID(B933,11,1)</f>
        <v/>
      </c>
      <c r="H933" s="35" t="str">
        <f aca="false">IF(G933=".",F933,CONCATENATE(F933,G933))</f>
        <v/>
      </c>
      <c r="I933" s="34" t="n">
        <f aca="false">IFERROR(VALUE(H933),)</f>
        <v>0</v>
      </c>
      <c r="J933" s="34" t="e">
        <f aca="false">RIGHT(B933,LEN(B933)-FIND("/",B933, FIND("Single Cells",B933, 1)))</f>
        <v>#VALUE!</v>
      </c>
    </row>
    <row r="934" customFormat="false" ht="12.75" hidden="false" customHeight="false" outlineLevel="0" collapsed="false">
      <c r="E934" s="34" t="str">
        <f aca="false">MID(B934,9,1)</f>
        <v/>
      </c>
      <c r="F934" s="34" t="str">
        <f aca="false">MID(B934,10,1)</f>
        <v/>
      </c>
      <c r="G934" s="34" t="str">
        <f aca="false">MID(B934,11,1)</f>
        <v/>
      </c>
      <c r="H934" s="35" t="str">
        <f aca="false">IF(G934=".",F934,CONCATENATE(F934,G934))</f>
        <v/>
      </c>
      <c r="I934" s="34" t="n">
        <f aca="false">IFERROR(VALUE(H934),)</f>
        <v>0</v>
      </c>
      <c r="J934" s="34" t="e">
        <f aca="false">RIGHT(B934,LEN(B934)-FIND("/",B934, FIND("Single Cells",B934, 1)))</f>
        <v>#VALUE!</v>
      </c>
    </row>
    <row r="935" customFormat="false" ht="12.75" hidden="false" customHeight="false" outlineLevel="0" collapsed="false">
      <c r="E935" s="34" t="str">
        <f aca="false">MID(B935,9,1)</f>
        <v/>
      </c>
      <c r="F935" s="34" t="str">
        <f aca="false">MID(B935,10,1)</f>
        <v/>
      </c>
      <c r="G935" s="34" t="str">
        <f aca="false">MID(B935,11,1)</f>
        <v/>
      </c>
      <c r="H935" s="35" t="str">
        <f aca="false">IF(G935=".",F935,CONCATENATE(F935,G935))</f>
        <v/>
      </c>
      <c r="I935" s="34" t="n">
        <f aca="false">IFERROR(VALUE(H935),)</f>
        <v>0</v>
      </c>
      <c r="J935" s="34" t="e">
        <f aca="false">RIGHT(B935,LEN(B935)-FIND("/",B935, FIND("Single Cells",B935, 1)))</f>
        <v>#VALUE!</v>
      </c>
    </row>
    <row r="936" customFormat="false" ht="12.75" hidden="false" customHeight="false" outlineLevel="0" collapsed="false">
      <c r="E936" s="34" t="str">
        <f aca="false">MID(B936,9,1)</f>
        <v/>
      </c>
      <c r="F936" s="34" t="str">
        <f aca="false">MID(B936,10,1)</f>
        <v/>
      </c>
      <c r="G936" s="34" t="str">
        <f aca="false">MID(B936,11,1)</f>
        <v/>
      </c>
      <c r="H936" s="35" t="str">
        <f aca="false">IF(G936=".",F936,CONCATENATE(F936,G936))</f>
        <v/>
      </c>
      <c r="I936" s="34" t="n">
        <f aca="false">IFERROR(VALUE(H936),)</f>
        <v>0</v>
      </c>
      <c r="J936" s="34" t="e">
        <f aca="false">RIGHT(B936,LEN(B936)-FIND("/",B936, FIND("Single Cells",B936, 1)))</f>
        <v>#VALUE!</v>
      </c>
    </row>
    <row r="937" customFormat="false" ht="12.75" hidden="false" customHeight="false" outlineLevel="0" collapsed="false">
      <c r="E937" s="34" t="str">
        <f aca="false">MID(B937,9,1)</f>
        <v/>
      </c>
      <c r="F937" s="34" t="str">
        <f aca="false">MID(B937,10,1)</f>
        <v/>
      </c>
      <c r="G937" s="34" t="str">
        <f aca="false">MID(B937,11,1)</f>
        <v/>
      </c>
      <c r="H937" s="35" t="str">
        <f aca="false">IF(G937=".",F937,CONCATENATE(F937,G937))</f>
        <v/>
      </c>
      <c r="I937" s="34" t="n">
        <f aca="false">IFERROR(VALUE(H937),)</f>
        <v>0</v>
      </c>
      <c r="J937" s="34" t="e">
        <f aca="false">RIGHT(B937,LEN(B937)-FIND("/",B937, FIND("Single Cells",B937, 1)))</f>
        <v>#VALUE!</v>
      </c>
    </row>
    <row r="938" customFormat="false" ht="12.75" hidden="false" customHeight="false" outlineLevel="0" collapsed="false">
      <c r="E938" s="34" t="str">
        <f aca="false">MID(B938,9,1)</f>
        <v/>
      </c>
      <c r="F938" s="34" t="str">
        <f aca="false">MID(B938,10,1)</f>
        <v/>
      </c>
      <c r="G938" s="34" t="str">
        <f aca="false">MID(B938,11,1)</f>
        <v/>
      </c>
      <c r="H938" s="35" t="str">
        <f aca="false">IF(G938=".",F938,CONCATENATE(F938,G938))</f>
        <v/>
      </c>
      <c r="I938" s="34" t="n">
        <f aca="false">IFERROR(VALUE(H938),)</f>
        <v>0</v>
      </c>
      <c r="J938" s="34" t="e">
        <f aca="false">RIGHT(B938,LEN(B938)-FIND("/",B938, FIND("Single Cells",B938, 1)))</f>
        <v>#VALUE!</v>
      </c>
    </row>
    <row r="939" customFormat="false" ht="12.75" hidden="false" customHeight="false" outlineLevel="0" collapsed="false">
      <c r="E939" s="34" t="str">
        <f aca="false">MID(B939,9,1)</f>
        <v/>
      </c>
      <c r="F939" s="34" t="str">
        <f aca="false">MID(B939,10,1)</f>
        <v/>
      </c>
      <c r="G939" s="34" t="str">
        <f aca="false">MID(B939,11,1)</f>
        <v/>
      </c>
      <c r="H939" s="35" t="str">
        <f aca="false">IF(G939=".",F939,CONCATENATE(F939,G939))</f>
        <v/>
      </c>
      <c r="I939" s="34" t="n">
        <f aca="false">IFERROR(VALUE(H939),)</f>
        <v>0</v>
      </c>
      <c r="J939" s="34" t="e">
        <f aca="false">RIGHT(B939,LEN(B939)-FIND("/",B939, FIND("Single Cells",B939, 1)))</f>
        <v>#VALUE!</v>
      </c>
    </row>
    <row r="940" customFormat="false" ht="12.75" hidden="false" customHeight="false" outlineLevel="0" collapsed="false">
      <c r="E940" s="34" t="str">
        <f aca="false">MID(B940,9,1)</f>
        <v/>
      </c>
      <c r="F940" s="34" t="str">
        <f aca="false">MID(B940,10,1)</f>
        <v/>
      </c>
      <c r="G940" s="34" t="str">
        <f aca="false">MID(B940,11,1)</f>
        <v/>
      </c>
      <c r="H940" s="35" t="str">
        <f aca="false">IF(G940=".",F940,CONCATENATE(F940,G940))</f>
        <v/>
      </c>
      <c r="I940" s="34" t="n">
        <f aca="false">IFERROR(VALUE(H940),)</f>
        <v>0</v>
      </c>
      <c r="J940" s="34" t="e">
        <f aca="false">RIGHT(B940,LEN(B940)-FIND("/",B940, FIND("Single Cells",B940, 1)))</f>
        <v>#VALUE!</v>
      </c>
    </row>
    <row r="941" customFormat="false" ht="12.75" hidden="false" customHeight="false" outlineLevel="0" collapsed="false">
      <c r="E941" s="34" t="str">
        <f aca="false">MID(B941,9,1)</f>
        <v/>
      </c>
      <c r="F941" s="34" t="str">
        <f aca="false">MID(B941,10,1)</f>
        <v/>
      </c>
      <c r="G941" s="34" t="str">
        <f aca="false">MID(B941,11,1)</f>
        <v/>
      </c>
      <c r="H941" s="35" t="str">
        <f aca="false">IF(G941=".",F941,CONCATENATE(F941,G941))</f>
        <v/>
      </c>
      <c r="I941" s="34" t="n">
        <f aca="false">IFERROR(VALUE(H941),)</f>
        <v>0</v>
      </c>
      <c r="J941" s="34" t="e">
        <f aca="false">RIGHT(B941,LEN(B941)-FIND("/",B941, FIND("Single Cells",B941, 1)))</f>
        <v>#VALUE!</v>
      </c>
    </row>
    <row r="942" customFormat="false" ht="12.75" hidden="false" customHeight="false" outlineLevel="0" collapsed="false">
      <c r="E942" s="34" t="str">
        <f aca="false">MID(B942,9,1)</f>
        <v/>
      </c>
      <c r="F942" s="34" t="str">
        <f aca="false">MID(B942,10,1)</f>
        <v/>
      </c>
      <c r="G942" s="34" t="str">
        <f aca="false">MID(B942,11,1)</f>
        <v/>
      </c>
      <c r="H942" s="35" t="str">
        <f aca="false">IF(G942=".",F942,CONCATENATE(F942,G942))</f>
        <v/>
      </c>
      <c r="I942" s="34" t="n">
        <f aca="false">IFERROR(VALUE(H942),)</f>
        <v>0</v>
      </c>
      <c r="J942" s="34" t="e">
        <f aca="false">RIGHT(B942,LEN(B942)-FIND("/",B942, FIND("Single Cells",B942, 1)))</f>
        <v>#VALUE!</v>
      </c>
    </row>
    <row r="943" customFormat="false" ht="12.75" hidden="false" customHeight="false" outlineLevel="0" collapsed="false">
      <c r="E943" s="34" t="str">
        <f aca="false">MID(B943,9,1)</f>
        <v/>
      </c>
      <c r="F943" s="34" t="str">
        <f aca="false">MID(B943,10,1)</f>
        <v/>
      </c>
      <c r="G943" s="34" t="str">
        <f aca="false">MID(B943,11,1)</f>
        <v/>
      </c>
      <c r="H943" s="35" t="str">
        <f aca="false">IF(G943=".",F943,CONCATENATE(F943,G943))</f>
        <v/>
      </c>
      <c r="I943" s="34" t="n">
        <f aca="false">IFERROR(VALUE(H943),)</f>
        <v>0</v>
      </c>
      <c r="J943" s="34" t="e">
        <f aca="false">RIGHT(B943,LEN(B943)-FIND("/",B943, FIND("Single Cells",B943, 1)))</f>
        <v>#VALUE!</v>
      </c>
    </row>
    <row r="944" customFormat="false" ht="12.75" hidden="false" customHeight="false" outlineLevel="0" collapsed="false">
      <c r="E944" s="34" t="str">
        <f aca="false">MID(B944,9,1)</f>
        <v/>
      </c>
      <c r="F944" s="34" t="str">
        <f aca="false">MID(B944,10,1)</f>
        <v/>
      </c>
      <c r="G944" s="34" t="str">
        <f aca="false">MID(B944,11,1)</f>
        <v/>
      </c>
      <c r="H944" s="35" t="str">
        <f aca="false">IF(G944=".",F944,CONCATENATE(F944,G944))</f>
        <v/>
      </c>
      <c r="I944" s="34" t="n">
        <f aca="false">IFERROR(VALUE(H944),)</f>
        <v>0</v>
      </c>
      <c r="J944" s="34" t="e">
        <f aca="false">RIGHT(B944,LEN(B944)-FIND("/",B944, FIND("Single Cells",B944, 1)))</f>
        <v>#VALUE!</v>
      </c>
    </row>
    <row r="945" customFormat="false" ht="12.75" hidden="false" customHeight="false" outlineLevel="0" collapsed="false">
      <c r="E945" s="34" t="str">
        <f aca="false">MID(B945,9,1)</f>
        <v/>
      </c>
      <c r="F945" s="34" t="str">
        <f aca="false">MID(B945,10,1)</f>
        <v/>
      </c>
      <c r="G945" s="34" t="str">
        <f aca="false">MID(B945,11,1)</f>
        <v/>
      </c>
      <c r="H945" s="35" t="str">
        <f aca="false">IF(G945=".",F945,CONCATENATE(F945,G945))</f>
        <v/>
      </c>
      <c r="I945" s="34" t="n">
        <f aca="false">IFERROR(VALUE(H945),)</f>
        <v>0</v>
      </c>
      <c r="J945" s="34" t="e">
        <f aca="false">RIGHT(B945,LEN(B945)-FIND("/",B945, FIND("Single Cells",B945, 1)))</f>
        <v>#VALUE!</v>
      </c>
    </row>
    <row r="946" customFormat="false" ht="12.75" hidden="false" customHeight="false" outlineLevel="0" collapsed="false">
      <c r="E946" s="34" t="str">
        <f aca="false">MID(B946,9,1)</f>
        <v/>
      </c>
      <c r="F946" s="34" t="str">
        <f aca="false">MID(B946,10,1)</f>
        <v/>
      </c>
      <c r="G946" s="34" t="str">
        <f aca="false">MID(B946,11,1)</f>
        <v/>
      </c>
      <c r="H946" s="35" t="str">
        <f aca="false">IF(G946=".",F946,CONCATENATE(F946,G946))</f>
        <v/>
      </c>
      <c r="I946" s="34" t="n">
        <f aca="false">IFERROR(VALUE(H946),)</f>
        <v>0</v>
      </c>
      <c r="J946" s="34" t="e">
        <f aca="false">RIGHT(B946,LEN(B946)-FIND("/",B946, FIND("Single Cells",B946, 1)))</f>
        <v>#VALUE!</v>
      </c>
    </row>
    <row r="947" customFormat="false" ht="12.75" hidden="false" customHeight="false" outlineLevel="0" collapsed="false">
      <c r="E947" s="34" t="str">
        <f aca="false">MID(B947,9,1)</f>
        <v/>
      </c>
      <c r="F947" s="34" t="str">
        <f aca="false">MID(B947,10,1)</f>
        <v/>
      </c>
      <c r="G947" s="34" t="str">
        <f aca="false">MID(B947,11,1)</f>
        <v/>
      </c>
      <c r="H947" s="35" t="str">
        <f aca="false">IF(G947=".",F947,CONCATENATE(F947,G947))</f>
        <v/>
      </c>
      <c r="I947" s="34" t="n">
        <f aca="false">IFERROR(VALUE(H947),)</f>
        <v>0</v>
      </c>
      <c r="J947" s="34" t="e">
        <f aca="false">RIGHT(B947,LEN(B947)-FIND("/",B947, FIND("Single Cells",B947, 1)))</f>
        <v>#VALUE!</v>
      </c>
    </row>
    <row r="948" customFormat="false" ht="12.75" hidden="false" customHeight="false" outlineLevel="0" collapsed="false">
      <c r="E948" s="34" t="str">
        <f aca="false">MID(B948,9,1)</f>
        <v/>
      </c>
      <c r="F948" s="34" t="str">
        <f aca="false">MID(B948,10,1)</f>
        <v/>
      </c>
      <c r="G948" s="34" t="str">
        <f aca="false">MID(B948,11,1)</f>
        <v/>
      </c>
      <c r="H948" s="35" t="str">
        <f aca="false">IF(G948=".",F948,CONCATENATE(F948,G948))</f>
        <v/>
      </c>
      <c r="I948" s="34" t="n">
        <f aca="false">IFERROR(VALUE(H948),)</f>
        <v>0</v>
      </c>
      <c r="J948" s="34" t="e">
        <f aca="false">RIGHT(B948,LEN(B948)-FIND("/",B948, FIND("Single Cells",B948, 1)))</f>
        <v>#VALUE!</v>
      </c>
    </row>
    <row r="949" customFormat="false" ht="12.75" hidden="false" customHeight="false" outlineLevel="0" collapsed="false">
      <c r="E949" s="34" t="str">
        <f aca="false">MID(B949,9,1)</f>
        <v/>
      </c>
      <c r="F949" s="34" t="str">
        <f aca="false">MID(B949,10,1)</f>
        <v/>
      </c>
      <c r="G949" s="34" t="str">
        <f aca="false">MID(B949,11,1)</f>
        <v/>
      </c>
      <c r="H949" s="35" t="str">
        <f aca="false">IF(G949=".",F949,CONCATENATE(F949,G949))</f>
        <v/>
      </c>
      <c r="I949" s="34" t="n">
        <f aca="false">IFERROR(VALUE(H949),)</f>
        <v>0</v>
      </c>
      <c r="J949" s="34" t="e">
        <f aca="false">RIGHT(B949,LEN(B949)-FIND("/",B949, FIND("Single Cells",B949, 1)))</f>
        <v>#VALUE!</v>
      </c>
    </row>
    <row r="950" customFormat="false" ht="12.75" hidden="false" customHeight="false" outlineLevel="0" collapsed="false">
      <c r="E950" s="34" t="str">
        <f aca="false">MID(B950,9,1)</f>
        <v/>
      </c>
      <c r="F950" s="34" t="str">
        <f aca="false">MID(B950,10,1)</f>
        <v/>
      </c>
      <c r="G950" s="34" t="str">
        <f aca="false">MID(B950,11,1)</f>
        <v/>
      </c>
      <c r="H950" s="35" t="str">
        <f aca="false">IF(G950=".",F950,CONCATENATE(F950,G950))</f>
        <v/>
      </c>
      <c r="I950" s="34" t="n">
        <f aca="false">IFERROR(VALUE(H950),)</f>
        <v>0</v>
      </c>
      <c r="J950" s="34" t="e">
        <f aca="false">RIGHT(B950,LEN(B950)-FIND("/",B950, FIND("Single Cells",B950, 1)))</f>
        <v>#VALUE!</v>
      </c>
    </row>
    <row r="951" customFormat="false" ht="12.75" hidden="false" customHeight="false" outlineLevel="0" collapsed="false">
      <c r="E951" s="34" t="str">
        <f aca="false">MID(B951,9,1)</f>
        <v/>
      </c>
      <c r="F951" s="34" t="str">
        <f aca="false">MID(B951,10,1)</f>
        <v/>
      </c>
      <c r="G951" s="34" t="str">
        <f aca="false">MID(B951,11,1)</f>
        <v/>
      </c>
      <c r="H951" s="35" t="str">
        <f aca="false">IF(G951=".",F951,CONCATENATE(F951,G951))</f>
        <v/>
      </c>
      <c r="I951" s="34" t="n">
        <f aca="false">IFERROR(VALUE(H951),)</f>
        <v>0</v>
      </c>
      <c r="J951" s="34" t="e">
        <f aca="false">RIGHT(B951,LEN(B951)-FIND("/",B951, FIND("Single Cells",B951, 1)))</f>
        <v>#VALUE!</v>
      </c>
    </row>
    <row r="952" customFormat="false" ht="12.75" hidden="false" customHeight="false" outlineLevel="0" collapsed="false">
      <c r="E952" s="34" t="str">
        <f aca="false">MID(B952,9,1)</f>
        <v/>
      </c>
      <c r="F952" s="34" t="str">
        <f aca="false">MID(B952,10,1)</f>
        <v/>
      </c>
      <c r="G952" s="34" t="str">
        <f aca="false">MID(B952,11,1)</f>
        <v/>
      </c>
      <c r="H952" s="35" t="str">
        <f aca="false">IF(G952=".",F952,CONCATENATE(F952,G952))</f>
        <v/>
      </c>
      <c r="I952" s="34" t="n">
        <f aca="false">IFERROR(VALUE(H952),)</f>
        <v>0</v>
      </c>
      <c r="J952" s="34" t="e">
        <f aca="false">RIGHT(B952,LEN(B952)-FIND("/",B952, FIND("Single Cells",B952, 1)))</f>
        <v>#VALUE!</v>
      </c>
    </row>
    <row r="953" customFormat="false" ht="12.75" hidden="false" customHeight="false" outlineLevel="0" collapsed="false">
      <c r="E953" s="34" t="str">
        <f aca="false">MID(B953,9,1)</f>
        <v/>
      </c>
      <c r="F953" s="34" t="str">
        <f aca="false">MID(B953,10,1)</f>
        <v/>
      </c>
      <c r="G953" s="34" t="str">
        <f aca="false">MID(B953,11,1)</f>
        <v/>
      </c>
      <c r="H953" s="35" t="str">
        <f aca="false">IF(G953=".",F953,CONCATENATE(F953,G953))</f>
        <v/>
      </c>
      <c r="I953" s="34" t="n">
        <f aca="false">IFERROR(VALUE(H953),)</f>
        <v>0</v>
      </c>
      <c r="J953" s="34" t="e">
        <f aca="false">RIGHT(B953,LEN(B953)-FIND("/",B953, FIND("Single Cells",B953, 1)))</f>
        <v>#VALUE!</v>
      </c>
    </row>
    <row r="954" customFormat="false" ht="12.75" hidden="false" customHeight="false" outlineLevel="0" collapsed="false">
      <c r="E954" s="34" t="str">
        <f aca="false">MID(B954,9,1)</f>
        <v/>
      </c>
      <c r="F954" s="34" t="str">
        <f aca="false">MID(B954,10,1)</f>
        <v/>
      </c>
      <c r="G954" s="34" t="str">
        <f aca="false">MID(B954,11,1)</f>
        <v/>
      </c>
      <c r="H954" s="35" t="str">
        <f aca="false">IF(G954=".",F954,CONCATENATE(F954,G954))</f>
        <v/>
      </c>
      <c r="I954" s="34" t="n">
        <f aca="false">IFERROR(VALUE(H954),)</f>
        <v>0</v>
      </c>
      <c r="J954" s="34" t="e">
        <f aca="false">RIGHT(B954,LEN(B954)-FIND("/",B954, FIND("Single Cells",B954, 1)))</f>
        <v>#VALUE!</v>
      </c>
    </row>
    <row r="955" customFormat="false" ht="12.75" hidden="false" customHeight="false" outlineLevel="0" collapsed="false">
      <c r="E955" s="34" t="str">
        <f aca="false">MID(B955,9,1)</f>
        <v/>
      </c>
      <c r="F955" s="34" t="str">
        <f aca="false">MID(B955,10,1)</f>
        <v/>
      </c>
      <c r="G955" s="34" t="str">
        <f aca="false">MID(B955,11,1)</f>
        <v/>
      </c>
      <c r="H955" s="35" t="str">
        <f aca="false">IF(G955=".",F955,CONCATENATE(F955,G955))</f>
        <v/>
      </c>
      <c r="I955" s="34" t="n">
        <f aca="false">IFERROR(VALUE(H955),)</f>
        <v>0</v>
      </c>
      <c r="J955" s="34" t="e">
        <f aca="false">RIGHT(B955,LEN(B955)-FIND("/",B955, FIND("Single Cells",B955, 1)))</f>
        <v>#VALUE!</v>
      </c>
    </row>
    <row r="956" customFormat="false" ht="12.75" hidden="false" customHeight="false" outlineLevel="0" collapsed="false">
      <c r="E956" s="34" t="str">
        <f aca="false">MID(B956,9,1)</f>
        <v/>
      </c>
      <c r="F956" s="34" t="str">
        <f aca="false">MID(B956,10,1)</f>
        <v/>
      </c>
      <c r="G956" s="34" t="str">
        <f aca="false">MID(B956,11,1)</f>
        <v/>
      </c>
      <c r="H956" s="35" t="str">
        <f aca="false">IF(G956=".",F956,CONCATENATE(F956,G956))</f>
        <v/>
      </c>
      <c r="I956" s="34" t="n">
        <f aca="false">IFERROR(VALUE(H956),)</f>
        <v>0</v>
      </c>
      <c r="J956" s="34" t="e">
        <f aca="false">RIGHT(B956,LEN(B956)-FIND("/",B956, FIND("Single Cells",B956, 1)))</f>
        <v>#VALUE!</v>
      </c>
    </row>
    <row r="957" customFormat="false" ht="12.75" hidden="false" customHeight="false" outlineLevel="0" collapsed="false">
      <c r="E957" s="34" t="str">
        <f aca="false">MID(B957,9,1)</f>
        <v/>
      </c>
      <c r="F957" s="34" t="str">
        <f aca="false">MID(B957,10,1)</f>
        <v/>
      </c>
      <c r="G957" s="34" t="str">
        <f aca="false">MID(B957,11,1)</f>
        <v/>
      </c>
      <c r="H957" s="35" t="str">
        <f aca="false">IF(G957=".",F957,CONCATENATE(F957,G957))</f>
        <v/>
      </c>
      <c r="I957" s="34" t="n">
        <f aca="false">IFERROR(VALUE(H957),)</f>
        <v>0</v>
      </c>
      <c r="J957" s="34" t="e">
        <f aca="false">RIGHT(B957,LEN(B957)-FIND("/",B957, FIND("Single Cells",B957, 1)))</f>
        <v>#VALUE!</v>
      </c>
    </row>
    <row r="958" customFormat="false" ht="12.75" hidden="false" customHeight="false" outlineLevel="0" collapsed="false">
      <c r="E958" s="34" t="str">
        <f aca="false">MID(B958,9,1)</f>
        <v/>
      </c>
      <c r="F958" s="34" t="str">
        <f aca="false">MID(B958,10,1)</f>
        <v/>
      </c>
      <c r="G958" s="34" t="str">
        <f aca="false">MID(B958,11,1)</f>
        <v/>
      </c>
      <c r="H958" s="35" t="str">
        <f aca="false">IF(G958=".",F958,CONCATENATE(F958,G958))</f>
        <v/>
      </c>
      <c r="I958" s="34" t="n">
        <f aca="false">IFERROR(VALUE(H958),)</f>
        <v>0</v>
      </c>
      <c r="J958" s="34" t="e">
        <f aca="false">RIGHT(B958,LEN(B958)-FIND("/",B958, FIND("Single Cells",B958, 1)))</f>
        <v>#VALUE!</v>
      </c>
    </row>
    <row r="959" customFormat="false" ht="12.75" hidden="false" customHeight="false" outlineLevel="0" collapsed="false">
      <c r="E959" s="34" t="str">
        <f aca="false">MID(B959,9,1)</f>
        <v/>
      </c>
      <c r="F959" s="34" t="str">
        <f aca="false">MID(B959,10,1)</f>
        <v/>
      </c>
      <c r="G959" s="34" t="str">
        <f aca="false">MID(B959,11,1)</f>
        <v/>
      </c>
      <c r="H959" s="35" t="str">
        <f aca="false">IF(G959=".",F959,CONCATENATE(F959,G959))</f>
        <v/>
      </c>
      <c r="I959" s="34" t="n">
        <f aca="false">IFERROR(VALUE(H959),)</f>
        <v>0</v>
      </c>
      <c r="J959" s="34" t="e">
        <f aca="false">RIGHT(B959,LEN(B959)-FIND("/",B959, FIND("Single Cells",B959, 1)))</f>
        <v>#VALUE!</v>
      </c>
    </row>
    <row r="960" customFormat="false" ht="12.75" hidden="false" customHeight="false" outlineLevel="0" collapsed="false">
      <c r="E960" s="34" t="str">
        <f aca="false">MID(B960,9,1)</f>
        <v/>
      </c>
      <c r="F960" s="34" t="str">
        <f aca="false">MID(B960,10,1)</f>
        <v/>
      </c>
      <c r="G960" s="34" t="str">
        <f aca="false">MID(B960,11,1)</f>
        <v/>
      </c>
      <c r="H960" s="35" t="str">
        <f aca="false">IF(G960=".",F960,CONCATENATE(F960,G960))</f>
        <v/>
      </c>
      <c r="I960" s="34" t="n">
        <f aca="false">IFERROR(VALUE(H960),)</f>
        <v>0</v>
      </c>
      <c r="J960" s="34" t="e">
        <f aca="false">RIGHT(B960,LEN(B960)-FIND("/",B960, FIND("Single Cells",B960, 1)))</f>
        <v>#VALUE!</v>
      </c>
    </row>
    <row r="961" customFormat="false" ht="12.75" hidden="false" customHeight="false" outlineLevel="0" collapsed="false">
      <c r="E961" s="34" t="str">
        <f aca="false">MID(B961,9,1)</f>
        <v/>
      </c>
      <c r="F961" s="34" t="str">
        <f aca="false">MID(B961,10,1)</f>
        <v/>
      </c>
      <c r="G961" s="34" t="str">
        <f aca="false">MID(B961,11,1)</f>
        <v/>
      </c>
      <c r="H961" s="35" t="str">
        <f aca="false">IF(G961=".",F961,CONCATENATE(F961,G961))</f>
        <v/>
      </c>
      <c r="I961" s="34" t="n">
        <f aca="false">IFERROR(VALUE(H961),)</f>
        <v>0</v>
      </c>
      <c r="J961" s="34" t="e">
        <f aca="false">RIGHT(B961,LEN(B961)-FIND("/",B961, FIND("Single Cells",B961, 1)))</f>
        <v>#VALUE!</v>
      </c>
    </row>
    <row r="962" customFormat="false" ht="12.75" hidden="false" customHeight="false" outlineLevel="0" collapsed="false">
      <c r="E962" s="34" t="str">
        <f aca="false">MID(B962,9,1)</f>
        <v/>
      </c>
      <c r="F962" s="34" t="str">
        <f aca="false">MID(B962,10,1)</f>
        <v/>
      </c>
      <c r="G962" s="34" t="str">
        <f aca="false">MID(B962,11,1)</f>
        <v/>
      </c>
      <c r="H962" s="35" t="str">
        <f aca="false">IF(G962=".",F962,CONCATENATE(F962,G962))</f>
        <v/>
      </c>
      <c r="I962" s="34" t="n">
        <f aca="false">IFERROR(VALUE(H962),)</f>
        <v>0</v>
      </c>
      <c r="J962" s="34" t="e">
        <f aca="false">RIGHT(B962,LEN(B962)-FIND("/",B962, FIND("Single Cells",B962, 1)))</f>
        <v>#VALUE!</v>
      </c>
    </row>
    <row r="963" customFormat="false" ht="12.75" hidden="false" customHeight="false" outlineLevel="0" collapsed="false">
      <c r="E963" s="34" t="str">
        <f aca="false">MID(B963,9,1)</f>
        <v/>
      </c>
      <c r="F963" s="34" t="str">
        <f aca="false">MID(B963,10,1)</f>
        <v/>
      </c>
      <c r="G963" s="34" t="str">
        <f aca="false">MID(B963,11,1)</f>
        <v/>
      </c>
      <c r="H963" s="35" t="str">
        <f aca="false">IF(G963=".",F963,CONCATENATE(F963,G963))</f>
        <v/>
      </c>
      <c r="I963" s="34" t="n">
        <f aca="false">IFERROR(VALUE(H963),)</f>
        <v>0</v>
      </c>
      <c r="J963" s="34" t="e">
        <f aca="false">RIGHT(B963,LEN(B963)-FIND("/",B963, FIND("Single Cells",B963, 1)))</f>
        <v>#VALUE!</v>
      </c>
    </row>
    <row r="964" customFormat="false" ht="12.75" hidden="false" customHeight="false" outlineLevel="0" collapsed="false">
      <c r="E964" s="34" t="str">
        <f aca="false">MID(B964,9,1)</f>
        <v/>
      </c>
      <c r="F964" s="34" t="str">
        <f aca="false">MID(B964,10,1)</f>
        <v/>
      </c>
      <c r="G964" s="34" t="str">
        <f aca="false">MID(B964,11,1)</f>
        <v/>
      </c>
      <c r="H964" s="35" t="str">
        <f aca="false">IF(G964=".",F964,CONCATENATE(F964,G964))</f>
        <v/>
      </c>
      <c r="I964" s="34" t="n">
        <f aca="false">IFERROR(VALUE(H964),)</f>
        <v>0</v>
      </c>
      <c r="J964" s="34" t="e">
        <f aca="false">RIGHT(B964,LEN(B964)-FIND("/",B964, FIND("Single Cells",B964, 1)))</f>
        <v>#VALUE!</v>
      </c>
    </row>
    <row r="965" customFormat="false" ht="12.75" hidden="false" customHeight="false" outlineLevel="0" collapsed="false">
      <c r="E965" s="34" t="str">
        <f aca="false">MID(B965,9,1)</f>
        <v/>
      </c>
      <c r="F965" s="34" t="str">
        <f aca="false">MID(B965,10,1)</f>
        <v/>
      </c>
      <c r="G965" s="34" t="str">
        <f aca="false">MID(B965,11,1)</f>
        <v/>
      </c>
      <c r="H965" s="35" t="str">
        <f aca="false">IF(G965=".",F965,CONCATENATE(F965,G965))</f>
        <v/>
      </c>
      <c r="I965" s="34" t="n">
        <f aca="false">IFERROR(VALUE(H965),)</f>
        <v>0</v>
      </c>
      <c r="J965" s="34" t="e">
        <f aca="false">RIGHT(B965,LEN(B965)-FIND("/",B965, FIND("Single Cells",B965, 1)))</f>
        <v>#VALUE!</v>
      </c>
    </row>
    <row r="966" customFormat="false" ht="12.75" hidden="false" customHeight="false" outlineLevel="0" collapsed="false">
      <c r="E966" s="34" t="str">
        <f aca="false">MID(B966,9,1)</f>
        <v/>
      </c>
      <c r="F966" s="34" t="str">
        <f aca="false">MID(B966,10,1)</f>
        <v/>
      </c>
      <c r="G966" s="34" t="str">
        <f aca="false">MID(B966,11,1)</f>
        <v/>
      </c>
      <c r="H966" s="35" t="str">
        <f aca="false">IF(G966=".",F966,CONCATENATE(F966,G966))</f>
        <v/>
      </c>
      <c r="I966" s="34" t="n">
        <f aca="false">IFERROR(VALUE(H966),)</f>
        <v>0</v>
      </c>
      <c r="J966" s="34" t="e">
        <f aca="false">RIGHT(B966,LEN(B966)-FIND("/",B966, FIND("Single Cells",B966, 1)))</f>
        <v>#VALUE!</v>
      </c>
    </row>
    <row r="967" customFormat="false" ht="12.75" hidden="false" customHeight="false" outlineLevel="0" collapsed="false">
      <c r="E967" s="34" t="str">
        <f aca="false">MID(B967,9,1)</f>
        <v/>
      </c>
      <c r="F967" s="34" t="str">
        <f aca="false">MID(B967,10,1)</f>
        <v/>
      </c>
      <c r="G967" s="34" t="str">
        <f aca="false">MID(B967,11,1)</f>
        <v/>
      </c>
      <c r="H967" s="35" t="str">
        <f aca="false">IF(G967=".",F967,CONCATENATE(F967,G967))</f>
        <v/>
      </c>
      <c r="I967" s="34" t="n">
        <f aca="false">IFERROR(VALUE(H967),)</f>
        <v>0</v>
      </c>
      <c r="J967" s="34" t="e">
        <f aca="false">RIGHT(B967,LEN(B967)-FIND("/",B967, FIND("Single Cells",B967, 1)))</f>
        <v>#VALUE!</v>
      </c>
    </row>
    <row r="968" customFormat="false" ht="12.75" hidden="false" customHeight="false" outlineLevel="0" collapsed="false">
      <c r="E968" s="34" t="str">
        <f aca="false">MID(B968,9,1)</f>
        <v/>
      </c>
      <c r="F968" s="34" t="str">
        <f aca="false">MID(B968,10,1)</f>
        <v/>
      </c>
      <c r="G968" s="34" t="str">
        <f aca="false">MID(B968,11,1)</f>
        <v/>
      </c>
      <c r="H968" s="35" t="str">
        <f aca="false">IF(G968=".",F968,CONCATENATE(F968,G968))</f>
        <v/>
      </c>
      <c r="I968" s="34" t="n">
        <f aca="false">IFERROR(VALUE(H968),)</f>
        <v>0</v>
      </c>
      <c r="J968" s="34" t="e">
        <f aca="false">RIGHT(B968,LEN(B968)-FIND("/",B968, FIND("Single Cells",B968, 1)))</f>
        <v>#VALUE!</v>
      </c>
    </row>
    <row r="969" customFormat="false" ht="12.75" hidden="false" customHeight="false" outlineLevel="0" collapsed="false">
      <c r="E969" s="34" t="str">
        <f aca="false">MID(B969,9,1)</f>
        <v/>
      </c>
      <c r="F969" s="34" t="str">
        <f aca="false">MID(B969,10,1)</f>
        <v/>
      </c>
      <c r="G969" s="34" t="str">
        <f aca="false">MID(B969,11,1)</f>
        <v/>
      </c>
      <c r="H969" s="35" t="str">
        <f aca="false">IF(G969=".",F969,CONCATENATE(F969,G969))</f>
        <v/>
      </c>
      <c r="I969" s="34" t="n">
        <f aca="false">IFERROR(VALUE(H969),)</f>
        <v>0</v>
      </c>
      <c r="J969" s="34" t="e">
        <f aca="false">RIGHT(B969,LEN(B969)-FIND("/",B969, FIND("Single Cells",B969, 1)))</f>
        <v>#VALUE!</v>
      </c>
    </row>
    <row r="970" customFormat="false" ht="12.75" hidden="false" customHeight="false" outlineLevel="0" collapsed="false">
      <c r="E970" s="34" t="str">
        <f aca="false">MID(B970,9,1)</f>
        <v/>
      </c>
      <c r="F970" s="34" t="str">
        <f aca="false">MID(B970,10,1)</f>
        <v/>
      </c>
      <c r="G970" s="34" t="str">
        <f aca="false">MID(B970,11,1)</f>
        <v/>
      </c>
      <c r="H970" s="35" t="str">
        <f aca="false">IF(G970=".",F970,CONCATENATE(F970,G970))</f>
        <v/>
      </c>
      <c r="I970" s="34" t="n">
        <f aca="false">IFERROR(VALUE(H970),)</f>
        <v>0</v>
      </c>
      <c r="J970" s="34" t="e">
        <f aca="false">RIGHT(B970,LEN(B970)-FIND("/",B970, FIND("Single Cells",B970, 1)))</f>
        <v>#VALUE!</v>
      </c>
    </row>
    <row r="971" customFormat="false" ht="12.75" hidden="false" customHeight="false" outlineLevel="0" collapsed="false">
      <c r="E971" s="34" t="str">
        <f aca="false">MID(B971,9,1)</f>
        <v/>
      </c>
      <c r="F971" s="34" t="str">
        <f aca="false">MID(B971,10,1)</f>
        <v/>
      </c>
      <c r="G971" s="34" t="str">
        <f aca="false">MID(B971,11,1)</f>
        <v/>
      </c>
      <c r="H971" s="35" t="str">
        <f aca="false">IF(G971=".",F971,CONCATENATE(F971,G971))</f>
        <v/>
      </c>
      <c r="I971" s="34" t="n">
        <f aca="false">IFERROR(VALUE(H971),)</f>
        <v>0</v>
      </c>
      <c r="J971" s="34" t="e">
        <f aca="false">RIGHT(B971,LEN(B971)-FIND("/",B971, FIND("Single Cells",B971, 1)))</f>
        <v>#VALUE!</v>
      </c>
    </row>
    <row r="972" customFormat="false" ht="12.75" hidden="false" customHeight="false" outlineLevel="0" collapsed="false">
      <c r="E972" s="34" t="str">
        <f aca="false">MID(B972,9,1)</f>
        <v/>
      </c>
      <c r="F972" s="34" t="str">
        <f aca="false">MID(B972,10,1)</f>
        <v/>
      </c>
      <c r="G972" s="34" t="str">
        <f aca="false">MID(B972,11,1)</f>
        <v/>
      </c>
      <c r="H972" s="35" t="str">
        <f aca="false">IF(G972=".",F972,CONCATENATE(F972,G972))</f>
        <v/>
      </c>
      <c r="I972" s="34" t="n">
        <f aca="false">IFERROR(VALUE(H972),)</f>
        <v>0</v>
      </c>
      <c r="J972" s="34" t="e">
        <f aca="false">RIGHT(B972,LEN(B972)-FIND("/",B972, FIND("Single Cells",B972, 1)))</f>
        <v>#VALUE!</v>
      </c>
    </row>
    <row r="973" customFormat="false" ht="12.75" hidden="false" customHeight="false" outlineLevel="0" collapsed="false">
      <c r="E973" s="34" t="str">
        <f aca="false">MID(B973,9,1)</f>
        <v/>
      </c>
      <c r="F973" s="34" t="str">
        <f aca="false">MID(B973,10,1)</f>
        <v/>
      </c>
      <c r="G973" s="34" t="str">
        <f aca="false">MID(B973,11,1)</f>
        <v/>
      </c>
      <c r="H973" s="35" t="str">
        <f aca="false">IF(G973=".",F973,CONCATENATE(F973,G973))</f>
        <v/>
      </c>
      <c r="I973" s="34" t="n">
        <f aca="false">IFERROR(VALUE(H973),)</f>
        <v>0</v>
      </c>
      <c r="J973" s="34" t="e">
        <f aca="false">RIGHT(B973,LEN(B973)-FIND("/",B973, FIND("Single Cells",B973, 1)))</f>
        <v>#VALUE!</v>
      </c>
    </row>
    <row r="974" customFormat="false" ht="12.75" hidden="false" customHeight="false" outlineLevel="0" collapsed="false">
      <c r="E974" s="34" t="str">
        <f aca="false">MID(B974,9,1)</f>
        <v/>
      </c>
      <c r="F974" s="34" t="str">
        <f aca="false">MID(B974,10,1)</f>
        <v/>
      </c>
      <c r="G974" s="34" t="str">
        <f aca="false">MID(B974,11,1)</f>
        <v/>
      </c>
      <c r="H974" s="35" t="str">
        <f aca="false">IF(G974=".",F974,CONCATENATE(F974,G974))</f>
        <v/>
      </c>
      <c r="I974" s="34" t="n">
        <f aca="false">IFERROR(VALUE(H974),)</f>
        <v>0</v>
      </c>
      <c r="J974" s="34" t="e">
        <f aca="false">RIGHT(B974,LEN(B974)-FIND("/",B974, FIND("Single Cells",B974, 1)))</f>
        <v>#VALUE!</v>
      </c>
    </row>
    <row r="975" customFormat="false" ht="12.75" hidden="false" customHeight="false" outlineLevel="0" collapsed="false">
      <c r="E975" s="34" t="str">
        <f aca="false">MID(B975,9,1)</f>
        <v/>
      </c>
      <c r="F975" s="34" t="str">
        <f aca="false">MID(B975,10,1)</f>
        <v/>
      </c>
      <c r="G975" s="34" t="str">
        <f aca="false">MID(B975,11,1)</f>
        <v/>
      </c>
      <c r="H975" s="35" t="str">
        <f aca="false">IF(G975=".",F975,CONCATENATE(F975,G975))</f>
        <v/>
      </c>
      <c r="I975" s="34" t="n">
        <f aca="false">IFERROR(VALUE(H975),)</f>
        <v>0</v>
      </c>
      <c r="J975" s="34" t="e">
        <f aca="false">RIGHT(B975,LEN(B975)-FIND("/",B975, FIND("Single Cells",B975, 1)))</f>
        <v>#VALUE!</v>
      </c>
    </row>
    <row r="976" customFormat="false" ht="12.75" hidden="false" customHeight="false" outlineLevel="0" collapsed="false">
      <c r="E976" s="34" t="str">
        <f aca="false">MID(B976,9,1)</f>
        <v/>
      </c>
      <c r="F976" s="34" t="str">
        <f aca="false">MID(B976,10,1)</f>
        <v/>
      </c>
      <c r="G976" s="34" t="str">
        <f aca="false">MID(B976,11,1)</f>
        <v/>
      </c>
      <c r="H976" s="35" t="str">
        <f aca="false">IF(G976=".",F976,CONCATENATE(F976,G976))</f>
        <v/>
      </c>
      <c r="I976" s="34" t="n">
        <f aca="false">IFERROR(VALUE(H976),)</f>
        <v>0</v>
      </c>
      <c r="J976" s="34" t="e">
        <f aca="false">RIGHT(B976,LEN(B976)-FIND("/",B976, FIND("Single Cells",B976, 1)))</f>
        <v>#VALUE!</v>
      </c>
    </row>
    <row r="977" customFormat="false" ht="12.75" hidden="false" customHeight="false" outlineLevel="0" collapsed="false">
      <c r="E977" s="34" t="str">
        <f aca="false">MID(B977,9,1)</f>
        <v/>
      </c>
      <c r="F977" s="34" t="str">
        <f aca="false">MID(B977,10,1)</f>
        <v/>
      </c>
      <c r="G977" s="34" t="str">
        <f aca="false">MID(B977,11,1)</f>
        <v/>
      </c>
      <c r="H977" s="35" t="str">
        <f aca="false">IF(G977=".",F977,CONCATENATE(F977,G977))</f>
        <v/>
      </c>
      <c r="I977" s="34" t="n">
        <f aca="false">IFERROR(VALUE(H977),)</f>
        <v>0</v>
      </c>
      <c r="J977" s="34" t="e">
        <f aca="false">RIGHT(B977,LEN(B977)-FIND("/",B977, FIND("Single Cells",B977, 1)))</f>
        <v>#VALUE!</v>
      </c>
    </row>
    <row r="978" customFormat="false" ht="12.75" hidden="false" customHeight="false" outlineLevel="0" collapsed="false">
      <c r="E978" s="34" t="str">
        <f aca="false">MID(B978,9,1)</f>
        <v/>
      </c>
      <c r="F978" s="34" t="str">
        <f aca="false">MID(B978,10,1)</f>
        <v/>
      </c>
      <c r="G978" s="34" t="str">
        <f aca="false">MID(B978,11,1)</f>
        <v/>
      </c>
      <c r="H978" s="35" t="str">
        <f aca="false">IF(G978=".",F978,CONCATENATE(F978,G978))</f>
        <v/>
      </c>
      <c r="I978" s="34" t="n">
        <f aca="false">IFERROR(VALUE(H978),)</f>
        <v>0</v>
      </c>
      <c r="J978" s="34" t="e">
        <f aca="false">RIGHT(B978,LEN(B978)-FIND("/",B978, FIND("Single Cells",B978, 1)))</f>
        <v>#VALUE!</v>
      </c>
    </row>
    <row r="979" customFormat="false" ht="12.75" hidden="false" customHeight="false" outlineLevel="0" collapsed="false">
      <c r="E979" s="34" t="str">
        <f aca="false">MID(B979,9,1)</f>
        <v/>
      </c>
      <c r="F979" s="34" t="str">
        <f aca="false">MID(B979,10,1)</f>
        <v/>
      </c>
      <c r="G979" s="34" t="str">
        <f aca="false">MID(B979,11,1)</f>
        <v/>
      </c>
      <c r="H979" s="35" t="str">
        <f aca="false">IF(G979=".",F979,CONCATENATE(F979,G979))</f>
        <v/>
      </c>
      <c r="I979" s="34" t="n">
        <f aca="false">IFERROR(VALUE(H979),)</f>
        <v>0</v>
      </c>
      <c r="J979" s="34" t="e">
        <f aca="false">RIGHT(B979,LEN(B979)-FIND("/",B979, FIND("Single Cells",B979, 1)))</f>
        <v>#VALUE!</v>
      </c>
    </row>
    <row r="980" customFormat="false" ht="12.75" hidden="false" customHeight="false" outlineLevel="0" collapsed="false">
      <c r="E980" s="34" t="str">
        <f aca="false">MID(B980,9,1)</f>
        <v/>
      </c>
      <c r="F980" s="34" t="str">
        <f aca="false">MID(B980,10,1)</f>
        <v/>
      </c>
      <c r="G980" s="34" t="str">
        <f aca="false">MID(B980,11,1)</f>
        <v/>
      </c>
      <c r="H980" s="35" t="str">
        <f aca="false">IF(G980=".",F980,CONCATENATE(F980,G980))</f>
        <v/>
      </c>
      <c r="I980" s="34" t="n">
        <f aca="false">IFERROR(VALUE(H980),)</f>
        <v>0</v>
      </c>
      <c r="J980" s="34" t="e">
        <f aca="false">RIGHT(B980,LEN(B980)-FIND("/",B980, FIND("Single Cells",B980, 1)))</f>
        <v>#VALUE!</v>
      </c>
    </row>
    <row r="981" customFormat="false" ht="12.75" hidden="false" customHeight="false" outlineLevel="0" collapsed="false">
      <c r="E981" s="34" t="str">
        <f aca="false">MID(B981,9,1)</f>
        <v/>
      </c>
      <c r="F981" s="34" t="str">
        <f aca="false">MID(B981,10,1)</f>
        <v/>
      </c>
      <c r="G981" s="34" t="str">
        <f aca="false">MID(B981,11,1)</f>
        <v/>
      </c>
      <c r="H981" s="35" t="str">
        <f aca="false">IF(G981=".",F981,CONCATENATE(F981,G981))</f>
        <v/>
      </c>
      <c r="I981" s="34" t="n">
        <f aca="false">IFERROR(VALUE(H981),)</f>
        <v>0</v>
      </c>
      <c r="J981" s="34" t="e">
        <f aca="false">RIGHT(B981,LEN(B981)-FIND("/",B981, FIND("Single Cells",B981, 1)))</f>
        <v>#VALUE!</v>
      </c>
    </row>
    <row r="982" customFormat="false" ht="12.75" hidden="false" customHeight="false" outlineLevel="0" collapsed="false">
      <c r="E982" s="34" t="str">
        <f aca="false">MID(B982,9,1)</f>
        <v/>
      </c>
      <c r="F982" s="34" t="str">
        <f aca="false">MID(B982,10,1)</f>
        <v/>
      </c>
      <c r="G982" s="34" t="str">
        <f aca="false">MID(B982,11,1)</f>
        <v/>
      </c>
      <c r="H982" s="35" t="str">
        <f aca="false">IF(G982=".",F982,CONCATENATE(F982,G982))</f>
        <v/>
      </c>
      <c r="I982" s="34" t="n">
        <f aca="false">IFERROR(VALUE(H982),)</f>
        <v>0</v>
      </c>
      <c r="J982" s="34" t="e">
        <f aca="false">RIGHT(B982,LEN(B982)-FIND("/",B982, FIND("Single Cells",B982, 1)))</f>
        <v>#VALUE!</v>
      </c>
    </row>
    <row r="983" customFormat="false" ht="12.75" hidden="false" customHeight="false" outlineLevel="0" collapsed="false">
      <c r="E983" s="34" t="str">
        <f aca="false">MID(B983,9,1)</f>
        <v/>
      </c>
      <c r="F983" s="34" t="str">
        <f aca="false">MID(B983,10,1)</f>
        <v/>
      </c>
      <c r="G983" s="34" t="str">
        <f aca="false">MID(B983,11,1)</f>
        <v/>
      </c>
      <c r="H983" s="35" t="str">
        <f aca="false">IF(G983=".",F983,CONCATENATE(F983,G983))</f>
        <v/>
      </c>
      <c r="I983" s="34" t="n">
        <f aca="false">IFERROR(VALUE(H983),)</f>
        <v>0</v>
      </c>
      <c r="J983" s="34" t="e">
        <f aca="false">RIGHT(B983,LEN(B983)-FIND("/",B983, FIND("Single Cells",B983, 1)))</f>
        <v>#VALUE!</v>
      </c>
    </row>
    <row r="984" customFormat="false" ht="12.75" hidden="false" customHeight="false" outlineLevel="0" collapsed="false">
      <c r="E984" s="34" t="str">
        <f aca="false">MID(B984,9,1)</f>
        <v/>
      </c>
      <c r="F984" s="34" t="str">
        <f aca="false">MID(B984,10,1)</f>
        <v/>
      </c>
      <c r="G984" s="34" t="str">
        <f aca="false">MID(B984,11,1)</f>
        <v/>
      </c>
      <c r="H984" s="35" t="str">
        <f aca="false">IF(G984=".",F984,CONCATENATE(F984,G984))</f>
        <v/>
      </c>
      <c r="I984" s="34" t="n">
        <f aca="false">IFERROR(VALUE(H984),)</f>
        <v>0</v>
      </c>
      <c r="J984" s="34" t="e">
        <f aca="false">RIGHT(B984,LEN(B984)-FIND("/",B984, FIND("Single Cells",B984, 1)))</f>
        <v>#VALUE!</v>
      </c>
    </row>
    <row r="985" customFormat="false" ht="12.75" hidden="false" customHeight="false" outlineLevel="0" collapsed="false">
      <c r="E985" s="34" t="str">
        <f aca="false">MID(B985,9,1)</f>
        <v/>
      </c>
      <c r="F985" s="34" t="str">
        <f aca="false">MID(B985,10,1)</f>
        <v/>
      </c>
      <c r="G985" s="34" t="str">
        <f aca="false">MID(B985,11,1)</f>
        <v/>
      </c>
      <c r="H985" s="35" t="str">
        <f aca="false">IF(G985=".",F985,CONCATENATE(F985,G985))</f>
        <v/>
      </c>
      <c r="I985" s="34" t="n">
        <f aca="false">IFERROR(VALUE(H985),)</f>
        <v>0</v>
      </c>
      <c r="J985" s="34" t="e">
        <f aca="false">RIGHT(B985,LEN(B985)-FIND("/",B985, FIND("Single Cells",B985, 1)))</f>
        <v>#VALUE!</v>
      </c>
    </row>
    <row r="986" customFormat="false" ht="12.75" hidden="false" customHeight="false" outlineLevel="0" collapsed="false">
      <c r="E986" s="34" t="str">
        <f aca="false">MID(B986,9,1)</f>
        <v/>
      </c>
      <c r="F986" s="34" t="str">
        <f aca="false">MID(B986,10,1)</f>
        <v/>
      </c>
      <c r="G986" s="34" t="str">
        <f aca="false">MID(B986,11,1)</f>
        <v/>
      </c>
      <c r="H986" s="35" t="str">
        <f aca="false">IF(G986=".",F986,CONCATENATE(F986,G986))</f>
        <v/>
      </c>
      <c r="I986" s="34" t="n">
        <f aca="false">IFERROR(VALUE(H986),)</f>
        <v>0</v>
      </c>
      <c r="J986" s="34" t="e">
        <f aca="false">RIGHT(B986,LEN(B986)-FIND("/",B986, FIND("Single Cells",B986, 1)))</f>
        <v>#VALUE!</v>
      </c>
    </row>
    <row r="987" customFormat="false" ht="12.75" hidden="false" customHeight="false" outlineLevel="0" collapsed="false">
      <c r="E987" s="34" t="str">
        <f aca="false">MID(B987,9,1)</f>
        <v/>
      </c>
      <c r="F987" s="34" t="str">
        <f aca="false">MID(B987,10,1)</f>
        <v/>
      </c>
      <c r="G987" s="34" t="str">
        <f aca="false">MID(B987,11,1)</f>
        <v/>
      </c>
      <c r="H987" s="35" t="str">
        <f aca="false">IF(G987=".",F987,CONCATENATE(F987,G987))</f>
        <v/>
      </c>
      <c r="I987" s="34" t="n">
        <f aca="false">IFERROR(VALUE(H987),)</f>
        <v>0</v>
      </c>
      <c r="J987" s="34" t="e">
        <f aca="false">RIGHT(B987,LEN(B987)-FIND("/",B987, FIND("Single Cells",B987, 1)))</f>
        <v>#VALUE!</v>
      </c>
    </row>
    <row r="988" customFormat="false" ht="12.75" hidden="false" customHeight="false" outlineLevel="0" collapsed="false">
      <c r="E988" s="34" t="str">
        <f aca="false">MID(B988,9,1)</f>
        <v/>
      </c>
      <c r="F988" s="34" t="str">
        <f aca="false">MID(B988,10,1)</f>
        <v/>
      </c>
      <c r="G988" s="34" t="str">
        <f aca="false">MID(B988,11,1)</f>
        <v/>
      </c>
      <c r="H988" s="35" t="str">
        <f aca="false">IF(G988=".",F988,CONCATENATE(F988,G988))</f>
        <v/>
      </c>
      <c r="I988" s="34" t="n">
        <f aca="false">IFERROR(VALUE(H988),)</f>
        <v>0</v>
      </c>
      <c r="J988" s="34" t="e">
        <f aca="false">RIGHT(B988,LEN(B988)-FIND("/",B988, FIND("Single Cells",B988, 1)))</f>
        <v>#VALUE!</v>
      </c>
    </row>
    <row r="989" customFormat="false" ht="12.75" hidden="false" customHeight="false" outlineLevel="0" collapsed="false">
      <c r="E989" s="34" t="str">
        <f aca="false">MID(B989,9,1)</f>
        <v/>
      </c>
      <c r="F989" s="34" t="str">
        <f aca="false">MID(B989,10,1)</f>
        <v/>
      </c>
      <c r="G989" s="34" t="str">
        <f aca="false">MID(B989,11,1)</f>
        <v/>
      </c>
      <c r="H989" s="35" t="str">
        <f aca="false">IF(G989=".",F989,CONCATENATE(F989,G989))</f>
        <v/>
      </c>
      <c r="I989" s="34" t="n">
        <f aca="false">IFERROR(VALUE(H989),)</f>
        <v>0</v>
      </c>
      <c r="J989" s="34" t="e">
        <f aca="false">RIGHT(B989,LEN(B989)-FIND("/",B989, FIND("Single Cells",B989, 1)))</f>
        <v>#VALUE!</v>
      </c>
    </row>
    <row r="990" customFormat="false" ht="12.75" hidden="false" customHeight="false" outlineLevel="0" collapsed="false">
      <c r="E990" s="34" t="str">
        <f aca="false">MID(B990,9,1)</f>
        <v/>
      </c>
      <c r="F990" s="34" t="str">
        <f aca="false">MID(B990,10,1)</f>
        <v/>
      </c>
      <c r="G990" s="34" t="str">
        <f aca="false">MID(B990,11,1)</f>
        <v/>
      </c>
      <c r="H990" s="35" t="str">
        <f aca="false">IF(G990=".",F990,CONCATENATE(F990,G990))</f>
        <v/>
      </c>
      <c r="I990" s="34" t="n">
        <f aca="false">IFERROR(VALUE(H990),)</f>
        <v>0</v>
      </c>
      <c r="J990" s="34" t="e">
        <f aca="false">RIGHT(B990,LEN(B990)-FIND("/",B990, FIND("Single Cells",B990, 1)))</f>
        <v>#VALUE!</v>
      </c>
    </row>
    <row r="991" customFormat="false" ht="12.75" hidden="false" customHeight="false" outlineLevel="0" collapsed="false">
      <c r="E991" s="34" t="str">
        <f aca="false">MID(B991,9,1)</f>
        <v/>
      </c>
      <c r="F991" s="34" t="str">
        <f aca="false">MID(B991,10,1)</f>
        <v/>
      </c>
      <c r="G991" s="34" t="str">
        <f aca="false">MID(B991,11,1)</f>
        <v/>
      </c>
      <c r="H991" s="35" t="str">
        <f aca="false">IF(G991=".",F991,CONCATENATE(F991,G991))</f>
        <v/>
      </c>
      <c r="I991" s="34" t="n">
        <f aca="false">IFERROR(VALUE(H991),)</f>
        <v>0</v>
      </c>
      <c r="J991" s="34" t="e">
        <f aca="false">RIGHT(B991,LEN(B991)-FIND("/",B991, FIND("Single Cells",B991, 1)))</f>
        <v>#VALUE!</v>
      </c>
    </row>
    <row r="992" customFormat="false" ht="12.75" hidden="false" customHeight="false" outlineLevel="0" collapsed="false">
      <c r="E992" s="34" t="str">
        <f aca="false">MID(B992,9,1)</f>
        <v/>
      </c>
      <c r="F992" s="34" t="str">
        <f aca="false">MID(B992,10,1)</f>
        <v/>
      </c>
      <c r="G992" s="34" t="str">
        <f aca="false">MID(B992,11,1)</f>
        <v/>
      </c>
      <c r="H992" s="35" t="str">
        <f aca="false">IF(G992=".",F992,CONCATENATE(F992,G992))</f>
        <v/>
      </c>
      <c r="I992" s="34" t="n">
        <f aca="false">IFERROR(VALUE(H992),)</f>
        <v>0</v>
      </c>
      <c r="J992" s="34" t="e">
        <f aca="false">RIGHT(B992,LEN(B992)-FIND("/",B992, FIND("Single Cells",B992, 1)))</f>
        <v>#VALUE!</v>
      </c>
    </row>
    <row r="993" customFormat="false" ht="12.75" hidden="false" customHeight="false" outlineLevel="0" collapsed="false">
      <c r="E993" s="34" t="str">
        <f aca="false">MID(B993,9,1)</f>
        <v/>
      </c>
      <c r="F993" s="34" t="str">
        <f aca="false">MID(B993,10,1)</f>
        <v/>
      </c>
      <c r="G993" s="34" t="str">
        <f aca="false">MID(B993,11,1)</f>
        <v/>
      </c>
      <c r="H993" s="35" t="str">
        <f aca="false">IF(G993=".",F993,CONCATENATE(F993,G993))</f>
        <v/>
      </c>
      <c r="I993" s="34" t="n">
        <f aca="false">IFERROR(VALUE(H993),)</f>
        <v>0</v>
      </c>
      <c r="J993" s="34" t="e">
        <f aca="false">RIGHT(B993,LEN(B993)-FIND("/",B993, FIND("Single Cells",B993, 1)))</f>
        <v>#VALUE!</v>
      </c>
    </row>
    <row r="994" customFormat="false" ht="12.75" hidden="false" customHeight="false" outlineLevel="0" collapsed="false">
      <c r="E994" s="34" t="str">
        <f aca="false">MID(B994,9,1)</f>
        <v/>
      </c>
      <c r="F994" s="34" t="str">
        <f aca="false">MID(B994,10,1)</f>
        <v/>
      </c>
      <c r="G994" s="34" t="str">
        <f aca="false">MID(B994,11,1)</f>
        <v/>
      </c>
      <c r="H994" s="35" t="str">
        <f aca="false">IF(G994=".",F994,CONCATENATE(F994,G994))</f>
        <v/>
      </c>
      <c r="I994" s="34" t="n">
        <f aca="false">IFERROR(VALUE(H994),)</f>
        <v>0</v>
      </c>
      <c r="J994" s="34" t="e">
        <f aca="false">RIGHT(B994,LEN(B994)-FIND("/",B994, FIND("Single Cells",B994, 1)))</f>
        <v>#VALUE!</v>
      </c>
    </row>
    <row r="995" customFormat="false" ht="12.75" hidden="false" customHeight="false" outlineLevel="0" collapsed="false">
      <c r="E995" s="34" t="str">
        <f aca="false">MID(B995,9,1)</f>
        <v/>
      </c>
      <c r="F995" s="34" t="str">
        <f aca="false">MID(B995,10,1)</f>
        <v/>
      </c>
      <c r="G995" s="34" t="str">
        <f aca="false">MID(B995,11,1)</f>
        <v/>
      </c>
      <c r="H995" s="35" t="str">
        <f aca="false">IF(G995=".",F995,CONCATENATE(F995,G995))</f>
        <v/>
      </c>
      <c r="I995" s="34" t="n">
        <f aca="false">IFERROR(VALUE(H995),)</f>
        <v>0</v>
      </c>
      <c r="J995" s="34" t="e">
        <f aca="false">RIGHT(B995,LEN(B995)-FIND("/",B995, FIND("Single Cells",B995, 1)))</f>
        <v>#VALUE!</v>
      </c>
    </row>
    <row r="996" customFormat="false" ht="12.75" hidden="false" customHeight="false" outlineLevel="0" collapsed="false">
      <c r="E996" s="34" t="str">
        <f aca="false">MID(B996,9,1)</f>
        <v/>
      </c>
      <c r="F996" s="34" t="str">
        <f aca="false">MID(B996,10,1)</f>
        <v/>
      </c>
      <c r="G996" s="34" t="str">
        <f aca="false">MID(B996,11,1)</f>
        <v/>
      </c>
      <c r="H996" s="35" t="str">
        <f aca="false">IF(G996=".",F996,CONCATENATE(F996,G996))</f>
        <v/>
      </c>
      <c r="I996" s="34" t="n">
        <f aca="false">IFERROR(VALUE(H996),)</f>
        <v>0</v>
      </c>
      <c r="J996" s="34" t="e">
        <f aca="false">RIGHT(B996,LEN(B996)-FIND("/",B996, FIND("Single Cells",B996, 1)))</f>
        <v>#VALUE!</v>
      </c>
    </row>
    <row r="997" customFormat="false" ht="12.75" hidden="false" customHeight="false" outlineLevel="0" collapsed="false">
      <c r="E997" s="34" t="str">
        <f aca="false">MID(B997,9,1)</f>
        <v/>
      </c>
      <c r="F997" s="34" t="str">
        <f aca="false">MID(B997,10,1)</f>
        <v/>
      </c>
      <c r="G997" s="34" t="str">
        <f aca="false">MID(B997,11,1)</f>
        <v/>
      </c>
      <c r="H997" s="35" t="str">
        <f aca="false">IF(G997=".",F997,CONCATENATE(F997,G997))</f>
        <v/>
      </c>
      <c r="I997" s="34" t="n">
        <f aca="false">IFERROR(VALUE(H997),)</f>
        <v>0</v>
      </c>
      <c r="J997" s="34" t="e">
        <f aca="false">RIGHT(B997,LEN(B997)-FIND("/",B997, FIND("Single Cells",B997, 1)))</f>
        <v>#VALUE!</v>
      </c>
    </row>
    <row r="998" customFormat="false" ht="12.75" hidden="false" customHeight="false" outlineLevel="0" collapsed="false">
      <c r="E998" s="34" t="str">
        <f aca="false">MID(B998,9,1)</f>
        <v/>
      </c>
      <c r="F998" s="34" t="str">
        <f aca="false">MID(B998,10,1)</f>
        <v/>
      </c>
      <c r="G998" s="34" t="str">
        <f aca="false">MID(B998,11,1)</f>
        <v/>
      </c>
      <c r="H998" s="35" t="str">
        <f aca="false">IF(G998=".",F998,CONCATENATE(F998,G998))</f>
        <v/>
      </c>
      <c r="I998" s="34" t="n">
        <f aca="false">IFERROR(VALUE(H998),)</f>
        <v>0</v>
      </c>
      <c r="J998" s="34" t="e">
        <f aca="false">RIGHT(B998,LEN(B998)-FIND("/",B998, FIND("Single Cells",B998, 1)))</f>
        <v>#VALUE!</v>
      </c>
    </row>
    <row r="999" customFormat="false" ht="12.75" hidden="false" customHeight="false" outlineLevel="0" collapsed="false">
      <c r="E999" s="34" t="str">
        <f aca="false">MID(B999,9,1)</f>
        <v/>
      </c>
      <c r="F999" s="34" t="str">
        <f aca="false">MID(B999,10,1)</f>
        <v/>
      </c>
      <c r="G999" s="34" t="str">
        <f aca="false">MID(B999,11,1)</f>
        <v/>
      </c>
      <c r="H999" s="35" t="str">
        <f aca="false">IF(G999=".",F999,CONCATENATE(F999,G999))</f>
        <v/>
      </c>
      <c r="I999" s="34" t="n">
        <f aca="false">IFERROR(VALUE(H999),)</f>
        <v>0</v>
      </c>
      <c r="J999" s="34" t="e">
        <f aca="false">RIGHT(B999,LEN(B999)-FIND("/",B999, FIND("Single Cells",B999, 1)))</f>
        <v>#VALUE!</v>
      </c>
    </row>
    <row r="1000" customFormat="false" ht="12.75" hidden="false" customHeight="false" outlineLevel="0" collapsed="false">
      <c r="E1000" s="34" t="str">
        <f aca="false">MID(B1000,9,1)</f>
        <v/>
      </c>
      <c r="F1000" s="34" t="str">
        <f aca="false">MID(B1000,10,1)</f>
        <v/>
      </c>
      <c r="G1000" s="34" t="str">
        <f aca="false">MID(B1000,11,1)</f>
        <v/>
      </c>
      <c r="H1000" s="35" t="str">
        <f aca="false">IF(G1000=".",F1000,CONCATENATE(F1000,G1000))</f>
        <v/>
      </c>
      <c r="I1000" s="34" t="n">
        <f aca="false">IFERROR(VALUE(H1000),)</f>
        <v>0</v>
      </c>
      <c r="J1000" s="34" t="e">
        <f aca="false">RIGHT(B1000,LEN(B1000)-FIND("/",B1000, FIND("Single Cells",B1000, 1)))</f>
        <v>#VALUE!</v>
      </c>
    </row>
  </sheetData>
  <autoFilter ref="A8:H508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" activeCellId="0" sqref="E3"/>
    </sheetView>
  </sheetViews>
  <sheetFormatPr defaultColWidth="9.1484375" defaultRowHeight="12.75" zeroHeight="false" outlineLevelRow="0" outlineLevelCol="0"/>
  <cols>
    <col collapsed="false" customWidth="false" hidden="false" outlineLevel="0" max="1" min="1" style="34" width="9.14"/>
    <col collapsed="false" customWidth="true" hidden="false" outlineLevel="0" max="2" min="2" style="34" width="14"/>
    <col collapsed="false" customWidth="false" hidden="false" outlineLevel="0" max="16384" min="3" style="34" width="9.14"/>
  </cols>
  <sheetData>
    <row r="2" customFormat="false" ht="23.25" hidden="false" customHeight="false" outlineLevel="0" collapsed="false">
      <c r="E2" s="39" t="s">
        <v>174</v>
      </c>
    </row>
    <row r="4" customFormat="false" ht="21" hidden="false" customHeight="false" outlineLevel="0" collapsed="false">
      <c r="A4" s="40"/>
      <c r="B4" s="41" t="n">
        <v>1</v>
      </c>
      <c r="C4" s="41" t="n">
        <v>2</v>
      </c>
      <c r="D4" s="41" t="n">
        <v>3</v>
      </c>
      <c r="E4" s="41" t="n">
        <v>4</v>
      </c>
      <c r="F4" s="41" t="n">
        <v>5</v>
      </c>
      <c r="G4" s="41" t="n">
        <v>6</v>
      </c>
      <c r="H4" s="41" t="n">
        <v>7</v>
      </c>
      <c r="I4" s="41" t="n">
        <v>8</v>
      </c>
      <c r="J4" s="41" t="n">
        <v>9</v>
      </c>
      <c r="K4" s="41" t="n">
        <v>10</v>
      </c>
      <c r="L4" s="41" t="n">
        <v>11</v>
      </c>
      <c r="M4" s="41" t="n">
        <v>12</v>
      </c>
      <c r="N4" s="42"/>
    </row>
    <row r="5" customFormat="false" ht="20.25" hidden="false" customHeight="false" outlineLevel="0" collapsed="false">
      <c r="A5" s="41" t="s">
        <v>166</v>
      </c>
      <c r="B5" s="43" t="n">
        <f aca="false">_xlfn.xlookup(_xlfn.CONCAT("*","-Well-",$A5,B$4,"*"),'Flow 2 Input'!$B$9:$B$1000,'Flow 2 Input'!$C$9:$C$1000,0,2)</f>
        <v>0</v>
      </c>
      <c r="C5" s="43" t="n">
        <f aca="false">_xlfn.xlookup(_xlfn.CONCAT("*","-Well-",$A5,C$4,"*"),'Flow 2 Input'!$B$9:$B$1000,'Flow 2 Input'!$C$9:$C$1000,0,2)</f>
        <v>0</v>
      </c>
      <c r="D5" s="43" t="n">
        <f aca="false">_xlfn.xlookup(_xlfn.CONCAT("*","-Well-",$A5,D$4,"*"),'Flow 2 Input'!$B$9:$B$1000,'Flow 2 Input'!$C$9:$C$1000,0,2)</f>
        <v>0</v>
      </c>
      <c r="E5" s="43" t="n">
        <f aca="false">_xlfn.xlookup(_xlfn.CONCAT("*","-Well-",$A5,E$4,"*"),'Flow 2 Input'!$B$9:$B$1000,'Flow 2 Input'!$C$9:$C$1000,0,2)</f>
        <v>0</v>
      </c>
      <c r="F5" s="43" t="n">
        <f aca="false">_xlfn.xlookup(_xlfn.CONCAT("*","-Well-",$A5,F$4,"*"),'Flow 2 Input'!$B$9:$B$1000,'Flow 2 Input'!$C$9:$C$1000,0,2)</f>
        <v>0</v>
      </c>
      <c r="G5" s="43" t="n">
        <f aca="false">_xlfn.xlookup(_xlfn.CONCAT("*","-Well-",$A5,G$4,"*"),'Flow 2 Input'!$B$9:$B$1000,'Flow 2 Input'!$C$9:$C$1000,0,2)</f>
        <v>0</v>
      </c>
      <c r="H5" s="43" t="n">
        <f aca="false">_xlfn.xlookup(_xlfn.CONCAT("*","-Well-",$A5,H$4,"*"),'Flow 2 Input'!$B$9:$B$1000,'Flow 2 Input'!$C$9:$C$1000,0,2)</f>
        <v>0</v>
      </c>
      <c r="I5" s="43" t="n">
        <f aca="false">_xlfn.xlookup(_xlfn.CONCAT("*","-Well-",$A5,I$4,"*"),'Flow 2 Input'!$B$9:$B$1000,'Flow 2 Input'!$C$9:$C$1000,0,2)</f>
        <v>0</v>
      </c>
      <c r="J5" s="43" t="n">
        <f aca="false">_xlfn.xlookup(_xlfn.CONCAT("*","-Well-",$A5,J$4,"*"),'Flow 2 Input'!$B$9:$B$1000,'Flow 2 Input'!$C$9:$C$1000,0,2)</f>
        <v>0</v>
      </c>
      <c r="K5" s="43" t="n">
        <f aca="false">_xlfn.xlookup(_xlfn.CONCAT("*","-Well-",$A5,K$4,"*"),'Flow 2 Input'!$B$9:$B$1000,'Flow 2 Input'!$C$9:$C$1000,0,2)</f>
        <v>0</v>
      </c>
      <c r="L5" s="43" t="n">
        <f aca="false">_xlfn.xlookup(_xlfn.CONCAT("*","-Well-",$A5,L$4,"*"),'Flow 2 Input'!$B$9:$B$1000,'Flow 2 Input'!$C$9:$C$1000,0,2)</f>
        <v>0</v>
      </c>
      <c r="M5" s="43" t="n">
        <f aca="false">_xlfn.xlookup(_xlfn.CONCAT("*","-Well-",$A5,M$4,"*"),'Flow 2 Input'!$B$9:$B$1000,'Flow 2 Input'!$C$9:$C$1000,0,2)</f>
        <v>0</v>
      </c>
      <c r="N5" s="44"/>
    </row>
    <row r="6" customFormat="false" ht="20.25" hidden="false" customHeight="false" outlineLevel="0" collapsed="false">
      <c r="A6" s="41" t="s">
        <v>167</v>
      </c>
      <c r="B6" s="43" t="n">
        <f aca="false">_xlfn.xlookup(_xlfn.CONCAT("*","-Well-",$A6,B$4,"*"),'Flow 2 Input'!$B$9:$B$1000,'Flow 2 Input'!$C$9:$C$1000,0,2)</f>
        <v>0</v>
      </c>
      <c r="C6" s="43" t="n">
        <f aca="false">_xlfn.xlookup(_xlfn.CONCAT("*","-Well-",$A6,C$4,"*"),'Flow 2 Input'!$B$9:$B$1000,'Flow 2 Input'!$C$9:$C$1000,0,2)</f>
        <v>0</v>
      </c>
      <c r="D6" s="43" t="n">
        <f aca="false">_xlfn.xlookup(_xlfn.CONCAT("*","-Well-",$A6,D$4,"*"),'Flow 2 Input'!$B$9:$B$1000,'Flow 2 Input'!$C$9:$C$1000,0,2)</f>
        <v>0</v>
      </c>
      <c r="E6" s="43" t="n">
        <f aca="false">_xlfn.xlookup(_xlfn.CONCAT("*","-Well-",$A6,E$4,"*"),'Flow 2 Input'!$B$9:$B$1000,'Flow 2 Input'!$C$9:$C$1000,0,2)</f>
        <v>0</v>
      </c>
      <c r="F6" s="43" t="n">
        <f aca="false">_xlfn.xlookup(_xlfn.CONCAT("*","-Well-",$A6,F$4,"*"),'Flow 2 Input'!$B$9:$B$1000,'Flow 2 Input'!$C$9:$C$1000,0,2)</f>
        <v>0</v>
      </c>
      <c r="G6" s="43" t="n">
        <f aca="false">_xlfn.xlookup(_xlfn.CONCAT("*","-Well-",$A6,G$4,"*"),'Flow 2 Input'!$B$9:$B$1000,'Flow 2 Input'!$C$9:$C$1000,0,2)</f>
        <v>0</v>
      </c>
      <c r="H6" s="43" t="n">
        <f aca="false">_xlfn.xlookup(_xlfn.CONCAT("*","-Well-",$A6,H$4,"*"),'Flow 2 Input'!$B$9:$B$1000,'Flow 2 Input'!$C$9:$C$1000,0,2)</f>
        <v>0</v>
      </c>
      <c r="I6" s="43" t="n">
        <f aca="false">_xlfn.xlookup(_xlfn.CONCAT("*","-Well-",$A6,I$4,"*"),'Flow 2 Input'!$B$9:$B$1000,'Flow 2 Input'!$C$9:$C$1000,0,2)</f>
        <v>0</v>
      </c>
      <c r="J6" s="43" t="n">
        <f aca="false">_xlfn.xlookup(_xlfn.CONCAT("*","-Well-",$A6,J$4,"*"),'Flow 2 Input'!$B$9:$B$1000,'Flow 2 Input'!$C$9:$C$1000,0,2)</f>
        <v>0</v>
      </c>
      <c r="K6" s="43" t="n">
        <f aca="false">_xlfn.xlookup(_xlfn.CONCAT("*","-Well-",$A6,K$4,"*"),'Flow 2 Input'!$B$9:$B$1000,'Flow 2 Input'!$C$9:$C$1000,0,2)</f>
        <v>0</v>
      </c>
      <c r="L6" s="43" t="n">
        <f aca="false">_xlfn.xlookup(_xlfn.CONCAT("*","-Well-",$A6,L$4,"*"),'Flow 2 Input'!$B$9:$B$1000,'Flow 2 Input'!$C$9:$C$1000,0,2)</f>
        <v>0</v>
      </c>
      <c r="M6" s="43" t="n">
        <f aca="false">_xlfn.xlookup(_xlfn.CONCAT("*","-Well-",$A6,M$4,"*"),'Flow 2 Input'!$B$9:$B$1000,'Flow 2 Input'!$C$9:$C$1000,0,2)</f>
        <v>0</v>
      </c>
      <c r="N6" s="44"/>
    </row>
    <row r="7" customFormat="false" ht="20.25" hidden="false" customHeight="false" outlineLevel="0" collapsed="false">
      <c r="A7" s="41" t="s">
        <v>168</v>
      </c>
      <c r="B7" s="43" t="n">
        <f aca="false">_xlfn.xlookup(_xlfn.CONCAT("*","-Well-",$A7,B$4,"*"),'Flow 2 Input'!$B$9:$B$1000,'Flow 2 Input'!$C$9:$C$1000,0,2)</f>
        <v>0</v>
      </c>
      <c r="C7" s="43" t="n">
        <f aca="false">_xlfn.xlookup(_xlfn.CONCAT("*","-Well-",$A7,C$4,"*"),'Flow 2 Input'!$B$9:$B$1000,'Flow 2 Input'!$C$9:$C$1000,0,2)</f>
        <v>0</v>
      </c>
      <c r="D7" s="43" t="n">
        <f aca="false">_xlfn.xlookup(_xlfn.CONCAT("*","-Well-",$A7,D$4,"*"),'Flow 2 Input'!$B$9:$B$1000,'Flow 2 Input'!$C$9:$C$1000,0,2)</f>
        <v>0</v>
      </c>
      <c r="E7" s="43" t="n">
        <f aca="false">_xlfn.xlookup(_xlfn.CONCAT("*","-Well-",$A7,E$4,"*"),'Flow 2 Input'!$B$9:$B$1000,'Flow 2 Input'!$C$9:$C$1000,0,2)</f>
        <v>0</v>
      </c>
      <c r="F7" s="43" t="n">
        <f aca="false">_xlfn.xlookup(_xlfn.CONCAT("*","-Well-",$A7,F$4,"*"),'Flow 2 Input'!$B$9:$B$1000,'Flow 2 Input'!$C$9:$C$1000,0,2)</f>
        <v>0</v>
      </c>
      <c r="G7" s="43" t="n">
        <f aca="false">_xlfn.xlookup(_xlfn.CONCAT("*","-Well-",$A7,G$4,"*"),'Flow 2 Input'!$B$9:$B$1000,'Flow 2 Input'!$C$9:$C$1000,0,2)</f>
        <v>0</v>
      </c>
      <c r="H7" s="43" t="n">
        <f aca="false">_xlfn.xlookup(_xlfn.CONCAT("*","-Well-",$A7,H$4,"*"),'Flow 2 Input'!$B$9:$B$1000,'Flow 2 Input'!$C$9:$C$1000,0,2)</f>
        <v>0</v>
      </c>
      <c r="I7" s="43" t="n">
        <f aca="false">_xlfn.xlookup(_xlfn.CONCAT("*","-Well-",$A7,I$4,"*"),'Flow 2 Input'!$B$9:$B$1000,'Flow 2 Input'!$C$9:$C$1000,0,2)</f>
        <v>0</v>
      </c>
      <c r="J7" s="43" t="n">
        <f aca="false">_xlfn.xlookup(_xlfn.CONCAT("*","-Well-",$A7,J$4,"*"),'Flow 2 Input'!$B$9:$B$1000,'Flow 2 Input'!$C$9:$C$1000,0,2)</f>
        <v>0</v>
      </c>
      <c r="K7" s="43" t="n">
        <f aca="false">_xlfn.xlookup(_xlfn.CONCAT("*","-Well-",$A7,K$4,"*"),'Flow 2 Input'!$B$9:$B$1000,'Flow 2 Input'!$C$9:$C$1000,0,2)</f>
        <v>0</v>
      </c>
      <c r="L7" s="43" t="n">
        <f aca="false">_xlfn.xlookup(_xlfn.CONCAT("*","-Well-",$A7,L$4,"*"),'Flow 2 Input'!$B$9:$B$1000,'Flow 2 Input'!$C$9:$C$1000,0,2)</f>
        <v>0</v>
      </c>
      <c r="M7" s="43" t="n">
        <f aca="false">_xlfn.xlookup(_xlfn.CONCAT("*","-Well-",$A7,M$4,"*"),'Flow 2 Input'!$B$9:$B$1000,'Flow 2 Input'!$C$9:$C$1000,0,2)</f>
        <v>0</v>
      </c>
      <c r="N7" s="44"/>
    </row>
    <row r="8" customFormat="false" ht="20.25" hidden="false" customHeight="false" outlineLevel="0" collapsed="false">
      <c r="A8" s="41" t="s">
        <v>169</v>
      </c>
      <c r="B8" s="43" t="n">
        <f aca="false">_xlfn.xlookup(_xlfn.CONCAT("*","-Well-",$A8,B$4,"*"),'Flow 2 Input'!$B$9:$B$1000,'Flow 2 Input'!$C$9:$C$1000,0,2)</f>
        <v>0</v>
      </c>
      <c r="C8" s="43" t="n">
        <f aca="false">_xlfn.xlookup(_xlfn.CONCAT("*","-Well-",$A8,C$4,"*"),'Flow 2 Input'!$B$9:$B$1000,'Flow 2 Input'!$C$9:$C$1000,0,2)</f>
        <v>0</v>
      </c>
      <c r="D8" s="43" t="n">
        <f aca="false">_xlfn.xlookup(_xlfn.CONCAT("*","-Well-",$A8,D$4,"*"),'Flow 2 Input'!$B$9:$B$1000,'Flow 2 Input'!$C$9:$C$1000,0,2)</f>
        <v>0</v>
      </c>
      <c r="E8" s="43" t="n">
        <f aca="false">_xlfn.xlookup(_xlfn.CONCAT("*","-Well-",$A8,E$4,"*"),'Flow 2 Input'!$B$9:$B$1000,'Flow 2 Input'!$C$9:$C$1000,0,2)</f>
        <v>0</v>
      </c>
      <c r="F8" s="43" t="n">
        <f aca="false">_xlfn.xlookup(_xlfn.CONCAT("*","-Well-",$A8,F$4,"*"),'Flow 2 Input'!$B$9:$B$1000,'Flow 2 Input'!$C$9:$C$1000,0,2)</f>
        <v>0</v>
      </c>
      <c r="G8" s="43" t="n">
        <f aca="false">_xlfn.xlookup(_xlfn.CONCAT("*","-Well-",$A8,G$4,"*"),'Flow 2 Input'!$B$9:$B$1000,'Flow 2 Input'!$C$9:$C$1000,0,2)</f>
        <v>0</v>
      </c>
      <c r="H8" s="43" t="n">
        <f aca="false">_xlfn.xlookup(_xlfn.CONCAT("*","-Well-",$A8,H$4,"*"),'Flow 2 Input'!$B$9:$B$1000,'Flow 2 Input'!$C$9:$C$1000,0,2)</f>
        <v>0</v>
      </c>
      <c r="I8" s="43" t="n">
        <f aca="false">_xlfn.xlookup(_xlfn.CONCAT("*","-Well-",$A8,I$4,"*"),'Flow 2 Input'!$B$9:$B$1000,'Flow 2 Input'!$C$9:$C$1000,0,2)</f>
        <v>0</v>
      </c>
      <c r="J8" s="43" t="n">
        <f aca="false">_xlfn.xlookup(_xlfn.CONCAT("*","-Well-",$A8,J$4,"*"),'Flow 2 Input'!$B$9:$B$1000,'Flow 2 Input'!$C$9:$C$1000,0,2)</f>
        <v>0</v>
      </c>
      <c r="K8" s="43" t="n">
        <f aca="false">_xlfn.xlookup(_xlfn.CONCAT("*","-Well-",$A8,K$4,"*"),'Flow 2 Input'!$B$9:$B$1000,'Flow 2 Input'!$C$9:$C$1000,0,2)</f>
        <v>0</v>
      </c>
      <c r="L8" s="43" t="n">
        <f aca="false">_xlfn.xlookup(_xlfn.CONCAT("*","-Well-",$A8,L$4,"*"),'Flow 2 Input'!$B$9:$B$1000,'Flow 2 Input'!$C$9:$C$1000,0,2)</f>
        <v>0</v>
      </c>
      <c r="M8" s="43" t="n">
        <f aca="false">_xlfn.xlookup(_xlfn.CONCAT("*","-Well-",$A8,M$4,"*"),'Flow 2 Input'!$B$9:$B$1000,'Flow 2 Input'!$C$9:$C$1000,0,2)</f>
        <v>0</v>
      </c>
      <c r="N8" s="44"/>
    </row>
    <row r="9" customFormat="false" ht="20.25" hidden="false" customHeight="false" outlineLevel="0" collapsed="false">
      <c r="A9" s="41" t="s">
        <v>170</v>
      </c>
      <c r="B9" s="43" t="n">
        <f aca="false">_xlfn.xlookup(_xlfn.CONCAT("*","-Well-",$A9,B$4,"*"),'Flow 2 Input'!$B$9:$B$1000,'Flow 2 Input'!$C$9:$C$1000,0,2)</f>
        <v>0</v>
      </c>
      <c r="C9" s="43" t="n">
        <f aca="false">_xlfn.xlookup(_xlfn.CONCAT("*","-Well-",$A9,C$4,"*"),'Flow 2 Input'!$B$9:$B$1000,'Flow 2 Input'!$C$9:$C$1000,0,2)</f>
        <v>0</v>
      </c>
      <c r="D9" s="43" t="n">
        <f aca="false">_xlfn.xlookup(_xlfn.CONCAT("*","-Well-",$A9,D$4,"*"),'Flow 2 Input'!$B$9:$B$1000,'Flow 2 Input'!$C$9:$C$1000,0,2)</f>
        <v>0</v>
      </c>
      <c r="E9" s="43" t="n">
        <f aca="false">_xlfn.xlookup(_xlfn.CONCAT("*","-Well-",$A9,E$4,"*"),'Flow 2 Input'!$B$9:$B$1000,'Flow 2 Input'!$C$9:$C$1000,0,2)</f>
        <v>0</v>
      </c>
      <c r="F9" s="43" t="n">
        <f aca="false">_xlfn.xlookup(_xlfn.CONCAT("*","-Well-",$A9,F$4,"*"),'Flow 2 Input'!$B$9:$B$1000,'Flow 2 Input'!$C$9:$C$1000,0,2)</f>
        <v>0</v>
      </c>
      <c r="G9" s="43" t="n">
        <f aca="false">_xlfn.xlookup(_xlfn.CONCAT("*","-Well-",$A9,G$4,"*"),'Flow 2 Input'!$B$9:$B$1000,'Flow 2 Input'!$C$9:$C$1000,0,2)</f>
        <v>0</v>
      </c>
      <c r="H9" s="43" t="n">
        <f aca="false">_xlfn.xlookup(_xlfn.CONCAT("*","-Well-",$A9,H$4,"*"),'Flow 2 Input'!$B$9:$B$1000,'Flow 2 Input'!$C$9:$C$1000,0,2)</f>
        <v>0</v>
      </c>
      <c r="I9" s="43" t="n">
        <f aca="false">_xlfn.xlookup(_xlfn.CONCAT("*","-Well-",$A9,I$4,"*"),'Flow 2 Input'!$B$9:$B$1000,'Flow 2 Input'!$C$9:$C$1000,0,2)</f>
        <v>0</v>
      </c>
      <c r="J9" s="43" t="n">
        <f aca="false">_xlfn.xlookup(_xlfn.CONCAT("*","-Well-",$A9,J$4,"*"),'Flow 2 Input'!$B$9:$B$1000,'Flow 2 Input'!$C$9:$C$1000,0,2)</f>
        <v>0</v>
      </c>
      <c r="K9" s="43" t="n">
        <f aca="false">_xlfn.xlookup(_xlfn.CONCAT("*","-Well-",$A9,K$4,"*"),'Flow 2 Input'!$B$9:$B$1000,'Flow 2 Input'!$C$9:$C$1000,0,2)</f>
        <v>0</v>
      </c>
      <c r="L9" s="43" t="n">
        <f aca="false">_xlfn.xlookup(_xlfn.CONCAT("*","-Well-",$A9,L$4,"*"),'Flow 2 Input'!$B$9:$B$1000,'Flow 2 Input'!$C$9:$C$1000,0,2)</f>
        <v>0</v>
      </c>
      <c r="M9" s="43" t="n">
        <f aca="false">_xlfn.xlookup(_xlfn.CONCAT("*","-Well-",$A9,M$4,"*"),'Flow 2 Input'!$B$9:$B$1000,'Flow 2 Input'!$C$9:$C$1000,0,2)</f>
        <v>0</v>
      </c>
      <c r="N9" s="44"/>
    </row>
    <row r="10" customFormat="false" ht="20.25" hidden="false" customHeight="false" outlineLevel="0" collapsed="false">
      <c r="A10" s="41" t="s">
        <v>171</v>
      </c>
      <c r="B10" s="43" t="n">
        <f aca="false">_xlfn.xlookup(_xlfn.CONCAT("*","-Well-",$A10,B$4,"*"),'Flow 2 Input'!$B$9:$B$1000,'Flow 2 Input'!$C$9:$C$1000,0,2)</f>
        <v>0</v>
      </c>
      <c r="C10" s="43" t="n">
        <f aca="false">_xlfn.xlookup(_xlfn.CONCAT("*","-Well-",$A10,C$4,"*"),'Flow 2 Input'!$B$9:$B$1000,'Flow 2 Input'!$C$9:$C$1000,0,2)</f>
        <v>0</v>
      </c>
      <c r="D10" s="43" t="n">
        <f aca="false">_xlfn.xlookup(_xlfn.CONCAT("*","-Well-",$A10,D$4,"*"),'Flow 2 Input'!$B$9:$B$1000,'Flow 2 Input'!$C$9:$C$1000,0,2)</f>
        <v>0</v>
      </c>
      <c r="E10" s="43" t="n">
        <f aca="false">_xlfn.xlookup(_xlfn.CONCAT("*","-Well-",$A10,E$4,"*"),'Flow 2 Input'!$B$9:$B$1000,'Flow 2 Input'!$C$9:$C$1000,0,2)</f>
        <v>0</v>
      </c>
      <c r="F10" s="43" t="n">
        <f aca="false">_xlfn.xlookup(_xlfn.CONCAT("*","-Well-",$A10,F$4,"*"),'Flow 2 Input'!$B$9:$B$1000,'Flow 2 Input'!$C$9:$C$1000,0,2)</f>
        <v>0</v>
      </c>
      <c r="G10" s="43" t="n">
        <f aca="false">_xlfn.xlookup(_xlfn.CONCAT("*","-Well-",$A10,G$4,"*"),'Flow 2 Input'!$B$9:$B$1000,'Flow 2 Input'!$C$9:$C$1000,0,2)</f>
        <v>0</v>
      </c>
      <c r="H10" s="43" t="n">
        <f aca="false">_xlfn.xlookup(_xlfn.CONCAT("*","-Well-",$A10,H$4,"*"),'Flow 2 Input'!$B$9:$B$1000,'Flow 2 Input'!$C$9:$C$1000,0,2)</f>
        <v>0</v>
      </c>
      <c r="I10" s="43" t="n">
        <f aca="false">_xlfn.xlookup(_xlfn.CONCAT("*","-Well-",$A10,I$4,"*"),'Flow 2 Input'!$B$9:$B$1000,'Flow 2 Input'!$C$9:$C$1000,0,2)</f>
        <v>0</v>
      </c>
      <c r="J10" s="43" t="n">
        <f aca="false">_xlfn.xlookup(_xlfn.CONCAT("*","-Well-",$A10,J$4,"*"),'Flow 2 Input'!$B$9:$B$1000,'Flow 2 Input'!$C$9:$C$1000,0,2)</f>
        <v>0</v>
      </c>
      <c r="K10" s="43" t="n">
        <f aca="false">_xlfn.xlookup(_xlfn.CONCAT("*","-Well-",$A10,K$4,"*"),'Flow 2 Input'!$B$9:$B$1000,'Flow 2 Input'!$C$9:$C$1000,0,2)</f>
        <v>0</v>
      </c>
      <c r="L10" s="43" t="n">
        <f aca="false">_xlfn.xlookup(_xlfn.CONCAT("*","-Well-",$A10,L$4,"*"),'Flow 2 Input'!$B$9:$B$1000,'Flow 2 Input'!$C$9:$C$1000,0,2)</f>
        <v>0</v>
      </c>
      <c r="M10" s="43" t="n">
        <f aca="false">_xlfn.xlookup(_xlfn.CONCAT("*","-Well-",$A10,M$4,"*"),'Flow 2 Input'!$B$9:$B$1000,'Flow 2 Input'!$C$9:$C$1000,0,2)</f>
        <v>0</v>
      </c>
      <c r="N10" s="44"/>
    </row>
    <row r="11" customFormat="false" ht="20.25" hidden="false" customHeight="false" outlineLevel="0" collapsed="false">
      <c r="A11" s="41" t="s">
        <v>172</v>
      </c>
      <c r="B11" s="43" t="n">
        <f aca="false">_xlfn.xlookup(_xlfn.CONCAT("*","-Well-",$A11,B$4,"*"),'Flow 2 Input'!$B$9:$B$1000,'Flow 2 Input'!$C$9:$C$1000,0,2)</f>
        <v>0</v>
      </c>
      <c r="C11" s="43" t="n">
        <f aca="false">_xlfn.xlookup(_xlfn.CONCAT("*","-Well-",$A11,C$4,"*"),'Flow 2 Input'!$B$9:$B$1000,'Flow 2 Input'!$C$9:$C$1000,0,2)</f>
        <v>0</v>
      </c>
      <c r="D11" s="43" t="n">
        <f aca="false">_xlfn.xlookup(_xlfn.CONCAT("*","-Well-",$A11,D$4,"*"),'Flow 2 Input'!$B$9:$B$1000,'Flow 2 Input'!$C$9:$C$1000,0,2)</f>
        <v>0</v>
      </c>
      <c r="E11" s="43" t="n">
        <f aca="false">_xlfn.xlookup(_xlfn.CONCAT("*","-Well-",$A11,E$4,"*"),'Flow 2 Input'!$B$9:$B$1000,'Flow 2 Input'!$C$9:$C$1000,0,2)</f>
        <v>0</v>
      </c>
      <c r="F11" s="43" t="n">
        <f aca="false">_xlfn.xlookup(_xlfn.CONCAT("*","-Well-",$A11,F$4,"*"),'Flow 2 Input'!$B$9:$B$1000,'Flow 2 Input'!$C$9:$C$1000,0,2)</f>
        <v>0</v>
      </c>
      <c r="G11" s="43" t="n">
        <f aca="false">_xlfn.xlookup(_xlfn.CONCAT("*","-Well-",$A11,G$4,"*"),'Flow 2 Input'!$B$9:$B$1000,'Flow 2 Input'!$C$9:$C$1000,0,2)</f>
        <v>0</v>
      </c>
      <c r="H11" s="43" t="n">
        <f aca="false">_xlfn.xlookup(_xlfn.CONCAT("*","-Well-",$A11,H$4,"*"),'Flow 2 Input'!$B$9:$B$1000,'Flow 2 Input'!$C$9:$C$1000,0,2)</f>
        <v>0</v>
      </c>
      <c r="I11" s="43" t="n">
        <f aca="false">_xlfn.xlookup(_xlfn.CONCAT("*","-Well-",$A11,I$4,"*"),'Flow 2 Input'!$B$9:$B$1000,'Flow 2 Input'!$C$9:$C$1000,0,2)</f>
        <v>0</v>
      </c>
      <c r="J11" s="43" t="n">
        <f aca="false">_xlfn.xlookup(_xlfn.CONCAT("*","-Well-",$A11,J$4,"*"),'Flow 2 Input'!$B$9:$B$1000,'Flow 2 Input'!$C$9:$C$1000,0,2)</f>
        <v>0</v>
      </c>
      <c r="K11" s="43" t="n">
        <f aca="false">_xlfn.xlookup(_xlfn.CONCAT("*","-Well-",$A11,K$4,"*"),'Flow 2 Input'!$B$9:$B$1000,'Flow 2 Input'!$C$9:$C$1000,0,2)</f>
        <v>0</v>
      </c>
      <c r="L11" s="43" t="n">
        <f aca="false">_xlfn.xlookup(_xlfn.CONCAT("*","-Well-",$A11,L$4,"*"),'Flow 2 Input'!$B$9:$B$1000,'Flow 2 Input'!$C$9:$C$1000,0,2)</f>
        <v>0</v>
      </c>
      <c r="M11" s="43" t="n">
        <f aca="false">_xlfn.xlookup(_xlfn.CONCAT("*","-Well-",$A11,M$4,"*"),'Flow 2 Input'!$B$9:$B$1000,'Flow 2 Input'!$C$9:$C$1000,0,2)</f>
        <v>0</v>
      </c>
      <c r="N11" s="44"/>
    </row>
    <row r="12" customFormat="false" ht="20.25" hidden="false" customHeight="false" outlineLevel="0" collapsed="false">
      <c r="A12" s="41" t="s">
        <v>173</v>
      </c>
      <c r="B12" s="43" t="n">
        <f aca="false">_xlfn.xlookup(_xlfn.CONCAT("*","-Well-",$A12,B$4,"*"),'Flow 2 Input'!$B$9:$B$1000,'Flow 2 Input'!$C$9:$C$1000,0,2)</f>
        <v>0</v>
      </c>
      <c r="C12" s="43" t="n">
        <f aca="false">_xlfn.xlookup(_xlfn.CONCAT("*","-Well-",$A12,C$4,"*"),'Flow 2 Input'!$B$9:$B$1000,'Flow 2 Input'!$C$9:$C$1000,0,2)</f>
        <v>0</v>
      </c>
      <c r="D12" s="43" t="n">
        <f aca="false">_xlfn.xlookup(_xlfn.CONCAT("*","-Well-",$A12,D$4,"*"),'Flow 2 Input'!$B$9:$B$1000,'Flow 2 Input'!$C$9:$C$1000,0,2)</f>
        <v>0</v>
      </c>
      <c r="E12" s="43" t="n">
        <f aca="false">_xlfn.xlookup(_xlfn.CONCAT("*","-Well-",$A12,E$4,"*"),'Flow 2 Input'!$B$9:$B$1000,'Flow 2 Input'!$C$9:$C$1000,0,2)</f>
        <v>0</v>
      </c>
      <c r="F12" s="43" t="n">
        <f aca="false">_xlfn.xlookup(_xlfn.CONCAT("*","-Well-",$A12,F$4,"*"),'Flow 2 Input'!$B$9:$B$1000,'Flow 2 Input'!$C$9:$C$1000,0,2)</f>
        <v>0</v>
      </c>
      <c r="G12" s="43" t="n">
        <f aca="false">_xlfn.xlookup(_xlfn.CONCAT("*","-Well-",$A12,G$4,"*"),'Flow 2 Input'!$B$9:$B$1000,'Flow 2 Input'!$C$9:$C$1000,0,2)</f>
        <v>0</v>
      </c>
      <c r="H12" s="43" t="n">
        <f aca="false">_xlfn.xlookup(_xlfn.CONCAT("*","-Well-",$A12,H$4,"*"),'Flow 2 Input'!$B$9:$B$1000,'Flow 2 Input'!$C$9:$C$1000,0,2)</f>
        <v>0</v>
      </c>
      <c r="I12" s="43" t="n">
        <f aca="false">_xlfn.xlookup(_xlfn.CONCAT("*","-Well-",$A12,I$4,"*"),'Flow 2 Input'!$B$9:$B$1000,'Flow 2 Input'!$C$9:$C$1000,0,2)</f>
        <v>0</v>
      </c>
      <c r="J12" s="43" t="n">
        <f aca="false">_xlfn.xlookup(_xlfn.CONCAT("*","-Well-",$A12,J$4,"*"),'Flow 2 Input'!$B$9:$B$1000,'Flow 2 Input'!$C$9:$C$1000,0,2)</f>
        <v>0</v>
      </c>
      <c r="K12" s="43" t="n">
        <f aca="false">_xlfn.xlookup(_xlfn.CONCAT("*","-Well-",$A12,K$4,"*"),'Flow 2 Input'!$B$9:$B$1000,'Flow 2 Input'!$C$9:$C$1000,0,2)</f>
        <v>0</v>
      </c>
      <c r="L12" s="43" t="n">
        <f aca="false">_xlfn.xlookup(_xlfn.CONCAT("*","-Well-",$A12,L$4,"*"),'Flow 2 Input'!$B$9:$B$1000,'Flow 2 Input'!$C$9:$C$1000,0,2)</f>
        <v>0</v>
      </c>
      <c r="M12" s="43" t="n">
        <f aca="false">_xlfn.xlookup(_xlfn.CONCAT("*","-Well-",$A12,M$4,"*"),'Flow 2 Input'!$B$9:$B$1000,'Flow 2 Input'!$C$9:$C$1000,0,2)</f>
        <v>0</v>
      </c>
      <c r="N12" s="44"/>
    </row>
    <row r="18" customFormat="false" ht="20.25" hidden="false" customHeight="false" outlineLevel="0" collapsed="false">
      <c r="F18" s="43"/>
    </row>
  </sheetData>
  <conditionalFormatting sqref="N6:N12">
    <cfRule type="expression" priority="2" aboveAverage="0" equalAverage="0" bottom="0" percent="0" rank="0" text="" dxfId="5">
      <formula>AND(N6&gt;0, N6&lt;=50)</formula>
    </cfRule>
  </conditionalFormatting>
  <conditionalFormatting sqref="N5">
    <cfRule type="expression" priority="3" aboveAverage="0" equalAverage="0" bottom="0" percent="0" rank="0" text="" dxfId="6">
      <formula>AND(N5&gt;0, N5&lt;=50)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J1000"/>
  <sheetViews>
    <sheetView showFormulas="false" showGridLines="false" showRowColHeaders="true" showZeros="true" rightToLeft="false" tabSelected="false" showOutlineSymbols="true" defaultGridColor="true" view="normal" topLeftCell="A1" colorId="64" zoomScale="125" zoomScaleNormal="125" zoomScalePageLayoutView="125" workbookViewId="0">
      <selection pane="topLeft" activeCell="J1" activeCellId="0" sqref="J1"/>
    </sheetView>
  </sheetViews>
  <sheetFormatPr defaultColWidth="8.859375" defaultRowHeight="12.75" zeroHeight="false" outlineLevelRow="0" outlineLevelCol="0"/>
  <cols>
    <col collapsed="false" customWidth="true" hidden="false" outlineLevel="0" max="1" min="1" style="33" width="8.42"/>
    <col collapsed="false" customWidth="true" hidden="false" outlineLevel="0" max="2" min="2" style="33" width="47.42"/>
    <col collapsed="false" customWidth="true" hidden="false" outlineLevel="0" max="3" min="3" style="33" width="10.42"/>
    <col collapsed="false" customWidth="true" hidden="false" outlineLevel="0" max="4" min="4" style="33" width="8.71"/>
    <col collapsed="false" customWidth="true" hidden="false" outlineLevel="0" max="5" min="5" style="34" width="14.29"/>
    <col collapsed="false" customWidth="true" hidden="true" outlineLevel="0" max="7" min="6" style="34" width="9"/>
    <col collapsed="false" customWidth="true" hidden="true" outlineLevel="0" max="8" min="8" style="35" width="11.85"/>
    <col collapsed="false" customWidth="true" hidden="false" outlineLevel="0" max="9" min="9" style="34" width="17"/>
    <col collapsed="false" customWidth="true" hidden="false" outlineLevel="0" max="10" min="10" style="34" width="20"/>
    <col collapsed="false" customWidth="false" hidden="false" outlineLevel="0" max="16384" min="11" style="34" width="8.86"/>
  </cols>
  <sheetData>
    <row r="1" s="34" customFormat="true" ht="12.75" hidden="false" customHeight="false" outlineLevel="0" collapsed="false">
      <c r="H1" s="35"/>
    </row>
    <row r="2" s="34" customFormat="true" ht="12.75" hidden="false" customHeight="false" outlineLevel="0" collapsed="false">
      <c r="H2" s="35"/>
    </row>
    <row r="3" s="34" customFormat="true" ht="12.75" hidden="false" customHeight="false" outlineLevel="0" collapsed="false">
      <c r="H3" s="35"/>
    </row>
    <row r="4" s="34" customFormat="true" ht="12.75" hidden="false" customHeight="false" outlineLevel="0" collapsed="false">
      <c r="H4" s="35"/>
    </row>
    <row r="5" s="34" customFormat="true" ht="12.75" hidden="false" customHeight="false" outlineLevel="0" collapsed="false">
      <c r="H5" s="35"/>
    </row>
    <row r="6" s="34" customFormat="true" ht="12.75" hidden="false" customHeight="false" outlineLevel="0" collapsed="false">
      <c r="H6" s="35"/>
    </row>
    <row r="7" s="34" customFormat="true" ht="12.75" hidden="false" customHeight="false" outlineLevel="0" collapsed="false">
      <c r="H7" s="35"/>
    </row>
    <row r="8" customFormat="false" ht="12.75" hidden="false" customHeight="true" outlineLevel="0" collapsed="false">
      <c r="A8" s="36" t="s">
        <v>155</v>
      </c>
      <c r="B8" s="36" t="s">
        <v>156</v>
      </c>
      <c r="C8" s="36" t="s">
        <v>157</v>
      </c>
      <c r="D8" s="36" t="s">
        <v>158</v>
      </c>
      <c r="E8" s="37" t="s">
        <v>159</v>
      </c>
      <c r="F8" s="37" t="s">
        <v>160</v>
      </c>
      <c r="G8" s="37" t="s">
        <v>161</v>
      </c>
      <c r="H8" s="38" t="s">
        <v>162</v>
      </c>
      <c r="I8" s="38" t="s">
        <v>163</v>
      </c>
      <c r="J8" s="38" t="s">
        <v>164</v>
      </c>
    </row>
    <row r="9" customFormat="false" ht="12.75" hidden="false" customHeight="true" outlineLevel="0" collapsed="false">
      <c r="E9" s="34" t="str">
        <f aca="false">MID(B9,9,1)</f>
        <v/>
      </c>
      <c r="F9" s="34" t="str">
        <f aca="false">MID(B9,10,1)</f>
        <v/>
      </c>
      <c r="G9" s="34" t="str">
        <f aca="false">MID(B9,11,1)</f>
        <v/>
      </c>
      <c r="H9" s="35" t="str">
        <f aca="false">IF(G9=".",F9,CONCATENATE(F9,G9))</f>
        <v/>
      </c>
      <c r="I9" s="34" t="n">
        <f aca="false">IFERROR(VALUE(H9),)</f>
        <v>0</v>
      </c>
      <c r="J9" s="34" t="e">
        <f aca="false">RIGHT(B9,LEN(B9)-FIND("/",B9, FIND("Single Cells",B9, 1)))</f>
        <v>#VALUE!</v>
      </c>
    </row>
    <row r="10" customFormat="false" ht="12.75" hidden="false" customHeight="true" outlineLevel="0" collapsed="false">
      <c r="E10" s="34" t="str">
        <f aca="false">MID(B10,9,1)</f>
        <v/>
      </c>
      <c r="F10" s="34" t="str">
        <f aca="false">MID(B10,10,1)</f>
        <v/>
      </c>
      <c r="G10" s="34" t="str">
        <f aca="false">MID(B10,11,1)</f>
        <v/>
      </c>
      <c r="H10" s="35" t="str">
        <f aca="false">IF(G10=".",F10,CONCATENATE(F10,G10))</f>
        <v/>
      </c>
      <c r="I10" s="34" t="n">
        <f aca="false">IFERROR(VALUE(H10),)</f>
        <v>0</v>
      </c>
      <c r="J10" s="34" t="e">
        <f aca="false">RIGHT(B10,LEN(B10)-FIND("/",B10, FIND("Single Cells",B10, 1)))</f>
        <v>#VALUE!</v>
      </c>
    </row>
    <row r="11" customFormat="false" ht="12.75" hidden="false" customHeight="true" outlineLevel="0" collapsed="false">
      <c r="E11" s="34" t="str">
        <f aca="false">MID(B11,9,1)</f>
        <v/>
      </c>
      <c r="F11" s="34" t="str">
        <f aca="false">MID(B11,10,1)</f>
        <v/>
      </c>
      <c r="G11" s="34" t="str">
        <f aca="false">MID(B11,11,1)</f>
        <v/>
      </c>
      <c r="H11" s="35" t="str">
        <f aca="false">IF(G11=".",F11,CONCATENATE(F11,G11))</f>
        <v/>
      </c>
      <c r="I11" s="34" t="n">
        <f aca="false">IFERROR(VALUE(H11),)</f>
        <v>0</v>
      </c>
      <c r="J11" s="34" t="e">
        <f aca="false">RIGHT(B11,LEN(B11)-FIND("/",B11, FIND("Single Cells",B11, 1)))</f>
        <v>#VALUE!</v>
      </c>
    </row>
    <row r="12" customFormat="false" ht="12.75" hidden="false" customHeight="true" outlineLevel="0" collapsed="false">
      <c r="E12" s="34" t="str">
        <f aca="false">MID(B12,9,1)</f>
        <v/>
      </c>
      <c r="F12" s="34" t="str">
        <f aca="false">MID(B12,10,1)</f>
        <v/>
      </c>
      <c r="G12" s="34" t="str">
        <f aca="false">MID(B12,11,1)</f>
        <v/>
      </c>
      <c r="H12" s="35" t="str">
        <f aca="false">IF(G12=".",F12,CONCATENATE(F12,G12))</f>
        <v/>
      </c>
      <c r="I12" s="34" t="n">
        <f aca="false">IFERROR(VALUE(H12),)</f>
        <v>0</v>
      </c>
      <c r="J12" s="34" t="e">
        <f aca="false">RIGHT(B12,LEN(B12)-FIND("/",B12, FIND("Single Cells",B12, 1)))</f>
        <v>#VALUE!</v>
      </c>
    </row>
    <row r="13" customFormat="false" ht="12.75" hidden="false" customHeight="true" outlineLevel="0" collapsed="false">
      <c r="E13" s="34" t="str">
        <f aca="false">MID(B13,9,1)</f>
        <v/>
      </c>
      <c r="F13" s="34" t="str">
        <f aca="false">MID(B13,10,1)</f>
        <v/>
      </c>
      <c r="G13" s="34" t="str">
        <f aca="false">MID(B13,11,1)</f>
        <v/>
      </c>
      <c r="H13" s="35" t="str">
        <f aca="false">IF(G13=".",F13,CONCATENATE(F13,G13))</f>
        <v/>
      </c>
      <c r="I13" s="34" t="n">
        <f aca="false">IFERROR(VALUE(H13),)</f>
        <v>0</v>
      </c>
      <c r="J13" s="34" t="e">
        <f aca="false">RIGHT(B13,LEN(B13)-FIND("/",B13, FIND("Single Cells",B13, 1)))</f>
        <v>#VALUE!</v>
      </c>
    </row>
    <row r="14" customFormat="false" ht="12.75" hidden="false" customHeight="true" outlineLevel="0" collapsed="false">
      <c r="E14" s="34" t="str">
        <f aca="false">MID(B14,9,1)</f>
        <v/>
      </c>
      <c r="F14" s="34" t="str">
        <f aca="false">MID(B14,10,1)</f>
        <v/>
      </c>
      <c r="G14" s="34" t="str">
        <f aca="false">MID(B14,11,1)</f>
        <v/>
      </c>
      <c r="H14" s="35" t="str">
        <f aca="false">IF(G14=".",F14,CONCATENATE(F14,G14))</f>
        <v/>
      </c>
      <c r="I14" s="34" t="n">
        <f aca="false">IFERROR(VALUE(H14),)</f>
        <v>0</v>
      </c>
      <c r="J14" s="34" t="e">
        <f aca="false">RIGHT(B14,LEN(B14)-FIND("/",B14, FIND("Single Cells",B14, 1)))</f>
        <v>#VALUE!</v>
      </c>
    </row>
    <row r="15" customFormat="false" ht="12.75" hidden="false" customHeight="true" outlineLevel="0" collapsed="false">
      <c r="E15" s="34" t="str">
        <f aca="false">MID(B15,9,1)</f>
        <v/>
      </c>
      <c r="F15" s="34" t="str">
        <f aca="false">MID(B15,10,1)</f>
        <v/>
      </c>
      <c r="G15" s="34" t="str">
        <f aca="false">MID(B15,11,1)</f>
        <v/>
      </c>
      <c r="H15" s="35" t="str">
        <f aca="false">IF(G15=".",F15,CONCATENATE(F15,G15))</f>
        <v/>
      </c>
      <c r="I15" s="34" t="n">
        <f aca="false">IFERROR(VALUE(H15),)</f>
        <v>0</v>
      </c>
      <c r="J15" s="34" t="e">
        <f aca="false">RIGHT(B15,LEN(B15)-FIND("/",B15, FIND("Single Cells",B15, 1)))</f>
        <v>#VALUE!</v>
      </c>
    </row>
    <row r="16" customFormat="false" ht="12.75" hidden="false" customHeight="true" outlineLevel="0" collapsed="false">
      <c r="E16" s="34" t="str">
        <f aca="false">MID(B16,9,1)</f>
        <v/>
      </c>
      <c r="F16" s="34" t="str">
        <f aca="false">MID(B16,10,1)</f>
        <v/>
      </c>
      <c r="G16" s="34" t="str">
        <f aca="false">MID(B16,11,1)</f>
        <v/>
      </c>
      <c r="H16" s="35" t="str">
        <f aca="false">IF(G16=".",F16,CONCATENATE(F16,G16))</f>
        <v/>
      </c>
      <c r="I16" s="34" t="n">
        <f aca="false">IFERROR(VALUE(H16),)</f>
        <v>0</v>
      </c>
      <c r="J16" s="34" t="e">
        <f aca="false">RIGHT(B16,LEN(B16)-FIND("/",B16, FIND("Single Cells",B16, 1)))</f>
        <v>#VALUE!</v>
      </c>
    </row>
    <row r="17" customFormat="false" ht="12.75" hidden="false" customHeight="true" outlineLevel="0" collapsed="false">
      <c r="E17" s="34" t="str">
        <f aca="false">MID(B17,9,1)</f>
        <v/>
      </c>
      <c r="F17" s="34" t="str">
        <f aca="false">MID(B17,10,1)</f>
        <v/>
      </c>
      <c r="G17" s="34" t="str">
        <f aca="false">MID(B17,11,1)</f>
        <v/>
      </c>
      <c r="H17" s="35" t="str">
        <f aca="false">IF(G17=".",F17,CONCATENATE(F17,G17))</f>
        <v/>
      </c>
      <c r="I17" s="34" t="n">
        <f aca="false">IFERROR(VALUE(H17),)</f>
        <v>0</v>
      </c>
      <c r="J17" s="34" t="e">
        <f aca="false">RIGHT(B17,LEN(B17)-FIND("/",B17, FIND("Single Cells",B17, 1)))</f>
        <v>#VALUE!</v>
      </c>
    </row>
    <row r="18" customFormat="false" ht="12.75" hidden="false" customHeight="true" outlineLevel="0" collapsed="false">
      <c r="E18" s="34" t="str">
        <f aca="false">MID(B18,9,1)</f>
        <v/>
      </c>
      <c r="F18" s="34" t="str">
        <f aca="false">MID(B18,10,1)</f>
        <v/>
      </c>
      <c r="G18" s="34" t="str">
        <f aca="false">MID(B18,11,1)</f>
        <v/>
      </c>
      <c r="H18" s="35" t="str">
        <f aca="false">IF(G18=".",F18,CONCATENATE(F18,G18))</f>
        <v/>
      </c>
      <c r="I18" s="34" t="n">
        <f aca="false">IFERROR(VALUE(H18),)</f>
        <v>0</v>
      </c>
      <c r="J18" s="34" t="e">
        <f aca="false">RIGHT(B18,LEN(B18)-FIND("/",B18, FIND("Single Cells",B18, 1)))</f>
        <v>#VALUE!</v>
      </c>
    </row>
    <row r="19" customFormat="false" ht="12.75" hidden="false" customHeight="true" outlineLevel="0" collapsed="false">
      <c r="E19" s="34" t="str">
        <f aca="false">MID(B19,9,1)</f>
        <v/>
      </c>
      <c r="F19" s="34" t="str">
        <f aca="false">MID(B19,10,1)</f>
        <v/>
      </c>
      <c r="G19" s="34" t="str">
        <f aca="false">MID(B19,11,1)</f>
        <v/>
      </c>
      <c r="H19" s="35" t="str">
        <f aca="false">IF(G19=".",F19,CONCATENATE(F19,G19))</f>
        <v/>
      </c>
      <c r="I19" s="34" t="n">
        <f aca="false">IFERROR(VALUE(H19),)</f>
        <v>0</v>
      </c>
      <c r="J19" s="34" t="e">
        <f aca="false">RIGHT(B19,LEN(B19)-FIND("/",B19, FIND("Single Cells",B19, 1)))</f>
        <v>#VALUE!</v>
      </c>
    </row>
    <row r="20" customFormat="false" ht="12.75" hidden="false" customHeight="true" outlineLevel="0" collapsed="false">
      <c r="E20" s="34" t="str">
        <f aca="false">MID(B20,9,1)</f>
        <v/>
      </c>
      <c r="F20" s="34" t="str">
        <f aca="false">MID(B20,10,1)</f>
        <v/>
      </c>
      <c r="G20" s="34" t="str">
        <f aca="false">MID(B20,11,1)</f>
        <v/>
      </c>
      <c r="H20" s="35" t="str">
        <f aca="false">IF(G20=".",F20,CONCATENATE(F20,G20))</f>
        <v/>
      </c>
      <c r="I20" s="34" t="n">
        <f aca="false">IFERROR(VALUE(H20),)</f>
        <v>0</v>
      </c>
      <c r="J20" s="34" t="e">
        <f aca="false">RIGHT(B20,LEN(B20)-FIND("/",B20, FIND("Single Cells",B20, 1)))</f>
        <v>#VALUE!</v>
      </c>
    </row>
    <row r="21" customFormat="false" ht="12.75" hidden="false" customHeight="true" outlineLevel="0" collapsed="false">
      <c r="E21" s="34" t="str">
        <f aca="false">MID(B21,9,1)</f>
        <v/>
      </c>
      <c r="F21" s="34" t="str">
        <f aca="false">MID(B21,10,1)</f>
        <v/>
      </c>
      <c r="G21" s="34" t="str">
        <f aca="false">MID(B21,11,1)</f>
        <v/>
      </c>
      <c r="H21" s="35" t="str">
        <f aca="false">IF(G21=".",F21,CONCATENATE(F21,G21))</f>
        <v/>
      </c>
      <c r="I21" s="34" t="n">
        <f aca="false">IFERROR(VALUE(H21),)</f>
        <v>0</v>
      </c>
      <c r="J21" s="34" t="e">
        <f aca="false">RIGHT(B21,LEN(B21)-FIND("/",B21, FIND("Single Cells",B21, 1)))</f>
        <v>#VALUE!</v>
      </c>
    </row>
    <row r="22" customFormat="false" ht="12.75" hidden="false" customHeight="true" outlineLevel="0" collapsed="false">
      <c r="E22" s="34" t="str">
        <f aca="false">MID(B22,9,1)</f>
        <v/>
      </c>
      <c r="F22" s="34" t="str">
        <f aca="false">MID(B22,10,1)</f>
        <v/>
      </c>
      <c r="G22" s="34" t="str">
        <f aca="false">MID(B22,11,1)</f>
        <v/>
      </c>
      <c r="H22" s="35" t="str">
        <f aca="false">IF(G22=".",F22,CONCATENATE(F22,G22))</f>
        <v/>
      </c>
      <c r="I22" s="34" t="n">
        <f aca="false">IFERROR(VALUE(H22),)</f>
        <v>0</v>
      </c>
      <c r="J22" s="34" t="e">
        <f aca="false">RIGHT(B22,LEN(B22)-FIND("/",B22, FIND("Single Cells",B22, 1)))</f>
        <v>#VALUE!</v>
      </c>
    </row>
    <row r="23" customFormat="false" ht="12.75" hidden="false" customHeight="true" outlineLevel="0" collapsed="false">
      <c r="E23" s="34" t="str">
        <f aca="false">MID(B23,9,1)</f>
        <v/>
      </c>
      <c r="F23" s="34" t="str">
        <f aca="false">MID(B23,10,1)</f>
        <v/>
      </c>
      <c r="G23" s="34" t="str">
        <f aca="false">MID(B23,11,1)</f>
        <v/>
      </c>
      <c r="H23" s="35" t="str">
        <f aca="false">IF(G23=".",F23,CONCATENATE(F23,G23))</f>
        <v/>
      </c>
      <c r="I23" s="34" t="n">
        <f aca="false">IFERROR(VALUE(H23),)</f>
        <v>0</v>
      </c>
      <c r="J23" s="34" t="e">
        <f aca="false">RIGHT(B23,LEN(B23)-FIND("/",B23, FIND("Single Cells",B23, 1)))</f>
        <v>#VALUE!</v>
      </c>
    </row>
    <row r="24" customFormat="false" ht="12.75" hidden="false" customHeight="true" outlineLevel="0" collapsed="false">
      <c r="E24" s="34" t="str">
        <f aca="false">MID(B24,9,1)</f>
        <v/>
      </c>
      <c r="F24" s="34" t="str">
        <f aca="false">MID(B24,10,1)</f>
        <v/>
      </c>
      <c r="G24" s="34" t="str">
        <f aca="false">MID(B24,11,1)</f>
        <v/>
      </c>
      <c r="H24" s="35" t="str">
        <f aca="false">IF(G24=".",F24,CONCATENATE(F24,G24))</f>
        <v/>
      </c>
      <c r="I24" s="34" t="n">
        <f aca="false">IFERROR(VALUE(H24),)</f>
        <v>0</v>
      </c>
      <c r="J24" s="34" t="e">
        <f aca="false">RIGHT(B24,LEN(B24)-FIND("/",B24, FIND("Single Cells",B24, 1)))</f>
        <v>#VALUE!</v>
      </c>
    </row>
    <row r="25" customFormat="false" ht="12.75" hidden="false" customHeight="true" outlineLevel="0" collapsed="false">
      <c r="E25" s="34" t="str">
        <f aca="false">MID(B25,9,1)</f>
        <v/>
      </c>
      <c r="F25" s="34" t="str">
        <f aca="false">MID(B25,10,1)</f>
        <v/>
      </c>
      <c r="G25" s="34" t="str">
        <f aca="false">MID(B25,11,1)</f>
        <v/>
      </c>
      <c r="H25" s="35" t="str">
        <f aca="false">IF(G25=".",F25,CONCATENATE(F25,G25))</f>
        <v/>
      </c>
      <c r="I25" s="34" t="n">
        <f aca="false">IFERROR(VALUE(H25),)</f>
        <v>0</v>
      </c>
      <c r="J25" s="34" t="e">
        <f aca="false">RIGHT(B25,LEN(B25)-FIND("/",B25, FIND("Single Cells",B25, 1)))</f>
        <v>#VALUE!</v>
      </c>
    </row>
    <row r="26" customFormat="false" ht="12.75" hidden="false" customHeight="true" outlineLevel="0" collapsed="false">
      <c r="E26" s="34" t="str">
        <f aca="false">MID(B26,9,1)</f>
        <v/>
      </c>
      <c r="F26" s="34" t="str">
        <f aca="false">MID(B26,10,1)</f>
        <v/>
      </c>
      <c r="G26" s="34" t="str">
        <f aca="false">MID(B26,11,1)</f>
        <v/>
      </c>
      <c r="H26" s="35" t="str">
        <f aca="false">IF(G26=".",F26,CONCATENATE(F26,G26))</f>
        <v/>
      </c>
      <c r="I26" s="34" t="n">
        <f aca="false">IFERROR(VALUE(H26),)</f>
        <v>0</v>
      </c>
      <c r="J26" s="34" t="e">
        <f aca="false">RIGHT(B26,LEN(B26)-FIND("/",B26, FIND("Single Cells",B26, 1)))</f>
        <v>#VALUE!</v>
      </c>
    </row>
    <row r="27" customFormat="false" ht="12.75" hidden="false" customHeight="true" outlineLevel="0" collapsed="false">
      <c r="E27" s="34" t="str">
        <f aca="false">MID(B27,9,1)</f>
        <v/>
      </c>
      <c r="F27" s="34" t="str">
        <f aca="false">MID(B27,10,1)</f>
        <v/>
      </c>
      <c r="G27" s="34" t="str">
        <f aca="false">MID(B27,11,1)</f>
        <v/>
      </c>
      <c r="H27" s="35" t="str">
        <f aca="false">IF(G27=".",F27,CONCATENATE(F27,G27))</f>
        <v/>
      </c>
      <c r="I27" s="34" t="n">
        <f aca="false">IFERROR(VALUE(H27),)</f>
        <v>0</v>
      </c>
      <c r="J27" s="34" t="e">
        <f aca="false">RIGHT(B27,LEN(B27)-FIND("/",B27, FIND("Single Cells",B27, 1)))</f>
        <v>#VALUE!</v>
      </c>
    </row>
    <row r="28" customFormat="false" ht="12.75" hidden="false" customHeight="true" outlineLevel="0" collapsed="false">
      <c r="E28" s="34" t="str">
        <f aca="false">MID(B28,9,1)</f>
        <v/>
      </c>
      <c r="F28" s="34" t="str">
        <f aca="false">MID(B28,10,1)</f>
        <v/>
      </c>
      <c r="G28" s="34" t="str">
        <f aca="false">MID(B28,11,1)</f>
        <v/>
      </c>
      <c r="H28" s="35" t="str">
        <f aca="false">IF(G28=".",F28,CONCATENATE(F28,G28))</f>
        <v/>
      </c>
      <c r="I28" s="34" t="n">
        <f aca="false">IFERROR(VALUE(H28),)</f>
        <v>0</v>
      </c>
      <c r="J28" s="34" t="e">
        <f aca="false">RIGHT(B28,LEN(B28)-FIND("/",B28, FIND("Single Cells",B28, 1)))</f>
        <v>#VALUE!</v>
      </c>
    </row>
    <row r="29" customFormat="false" ht="12.75" hidden="false" customHeight="true" outlineLevel="0" collapsed="false">
      <c r="E29" s="34" t="str">
        <f aca="false">MID(B29,9,1)</f>
        <v/>
      </c>
      <c r="F29" s="34" t="str">
        <f aca="false">MID(B29,10,1)</f>
        <v/>
      </c>
      <c r="G29" s="34" t="str">
        <f aca="false">MID(B29,11,1)</f>
        <v/>
      </c>
      <c r="H29" s="35" t="str">
        <f aca="false">IF(G29=".",F29,CONCATENATE(F29,G29))</f>
        <v/>
      </c>
      <c r="I29" s="34" t="n">
        <f aca="false">IFERROR(VALUE(H29),)</f>
        <v>0</v>
      </c>
      <c r="J29" s="34" t="e">
        <f aca="false">RIGHT(B29,LEN(B29)-FIND("/",B29, FIND("Single Cells",B29, 1)))</f>
        <v>#VALUE!</v>
      </c>
    </row>
    <row r="30" customFormat="false" ht="12.75" hidden="false" customHeight="true" outlineLevel="0" collapsed="false">
      <c r="E30" s="34" t="str">
        <f aca="false">MID(B30,9,1)</f>
        <v/>
      </c>
      <c r="F30" s="34" t="str">
        <f aca="false">MID(B30,10,1)</f>
        <v/>
      </c>
      <c r="G30" s="34" t="str">
        <f aca="false">MID(B30,11,1)</f>
        <v/>
      </c>
      <c r="H30" s="35" t="str">
        <f aca="false">IF(G30=".",F30,CONCATENATE(F30,G30))</f>
        <v/>
      </c>
      <c r="I30" s="34" t="n">
        <f aca="false">IFERROR(VALUE(H30),)</f>
        <v>0</v>
      </c>
      <c r="J30" s="34" t="e">
        <f aca="false">RIGHT(B30,LEN(B30)-FIND("/",B30, FIND("Single Cells",B30, 1)))</f>
        <v>#VALUE!</v>
      </c>
    </row>
    <row r="31" customFormat="false" ht="12.75" hidden="false" customHeight="true" outlineLevel="0" collapsed="false">
      <c r="E31" s="34" t="str">
        <f aca="false">MID(B31,9,1)</f>
        <v/>
      </c>
      <c r="F31" s="34" t="str">
        <f aca="false">MID(B31,10,1)</f>
        <v/>
      </c>
      <c r="G31" s="34" t="str">
        <f aca="false">MID(B31,11,1)</f>
        <v/>
      </c>
      <c r="H31" s="35" t="str">
        <f aca="false">IF(G31=".",F31,CONCATENATE(F31,G31))</f>
        <v/>
      </c>
      <c r="I31" s="34" t="n">
        <f aca="false">IFERROR(VALUE(H31),)</f>
        <v>0</v>
      </c>
      <c r="J31" s="34" t="e">
        <f aca="false">RIGHT(B31,LEN(B31)-FIND("/",B31, FIND("Single Cells",B31, 1)))</f>
        <v>#VALUE!</v>
      </c>
    </row>
    <row r="32" customFormat="false" ht="12.75" hidden="false" customHeight="true" outlineLevel="0" collapsed="false">
      <c r="E32" s="34" t="str">
        <f aca="false">MID(B32,9,1)</f>
        <v/>
      </c>
      <c r="F32" s="34" t="str">
        <f aca="false">MID(B32,10,1)</f>
        <v/>
      </c>
      <c r="G32" s="34" t="str">
        <f aca="false">MID(B32,11,1)</f>
        <v/>
      </c>
      <c r="H32" s="35" t="str">
        <f aca="false">IF(G32=".",F32,CONCATENATE(F32,G32))</f>
        <v/>
      </c>
      <c r="I32" s="34" t="n">
        <f aca="false">IFERROR(VALUE(H32),)</f>
        <v>0</v>
      </c>
      <c r="J32" s="34" t="e">
        <f aca="false">RIGHT(B32,LEN(B32)-FIND("/",B32, FIND("Single Cells",B32, 1)))</f>
        <v>#VALUE!</v>
      </c>
    </row>
    <row r="33" customFormat="false" ht="12.75" hidden="false" customHeight="true" outlineLevel="0" collapsed="false">
      <c r="E33" s="34" t="str">
        <f aca="false">MID(B33,9,1)</f>
        <v/>
      </c>
      <c r="F33" s="34" t="str">
        <f aca="false">MID(B33,10,1)</f>
        <v/>
      </c>
      <c r="G33" s="34" t="str">
        <f aca="false">MID(B33,11,1)</f>
        <v/>
      </c>
      <c r="H33" s="35" t="str">
        <f aca="false">IF(G33=".",F33,CONCATENATE(F33,G33))</f>
        <v/>
      </c>
      <c r="I33" s="34" t="n">
        <f aca="false">IFERROR(VALUE(H33),)</f>
        <v>0</v>
      </c>
      <c r="J33" s="34" t="e">
        <f aca="false">RIGHT(B33,LEN(B33)-FIND("/",B33, FIND("Single Cells",B33, 1)))</f>
        <v>#VALUE!</v>
      </c>
    </row>
    <row r="34" customFormat="false" ht="12.75" hidden="false" customHeight="true" outlineLevel="0" collapsed="false">
      <c r="E34" s="34" t="str">
        <f aca="false">MID(B34,9,1)</f>
        <v/>
      </c>
      <c r="F34" s="34" t="str">
        <f aca="false">MID(B34,10,1)</f>
        <v/>
      </c>
      <c r="G34" s="34" t="str">
        <f aca="false">MID(B34,11,1)</f>
        <v/>
      </c>
      <c r="H34" s="35" t="str">
        <f aca="false">IF(G34=".",F34,CONCATENATE(F34,G34))</f>
        <v/>
      </c>
      <c r="I34" s="34" t="n">
        <f aca="false">IFERROR(VALUE(H34),)</f>
        <v>0</v>
      </c>
      <c r="J34" s="34" t="e">
        <f aca="false">RIGHT(B34,LEN(B34)-FIND("/",B34, FIND("Single Cells",B34, 1)))</f>
        <v>#VALUE!</v>
      </c>
    </row>
    <row r="35" customFormat="false" ht="12.75" hidden="false" customHeight="true" outlineLevel="0" collapsed="false">
      <c r="E35" s="34" t="str">
        <f aca="false">MID(B35,9,1)</f>
        <v/>
      </c>
      <c r="F35" s="34" t="str">
        <f aca="false">MID(B35,10,1)</f>
        <v/>
      </c>
      <c r="G35" s="34" t="str">
        <f aca="false">MID(B35,11,1)</f>
        <v/>
      </c>
      <c r="H35" s="35" t="str">
        <f aca="false">IF(G35=".",F35,CONCATENATE(F35,G35))</f>
        <v/>
      </c>
      <c r="I35" s="34" t="n">
        <f aca="false">IFERROR(VALUE(H35),)</f>
        <v>0</v>
      </c>
      <c r="J35" s="34" t="e">
        <f aca="false">RIGHT(B35,LEN(B35)-FIND("/",B35, FIND("Single Cells",B35, 1)))</f>
        <v>#VALUE!</v>
      </c>
    </row>
    <row r="36" customFormat="false" ht="12.75" hidden="false" customHeight="true" outlineLevel="0" collapsed="false">
      <c r="E36" s="34" t="str">
        <f aca="false">MID(B36,9,1)</f>
        <v/>
      </c>
      <c r="F36" s="34" t="str">
        <f aca="false">MID(B36,10,1)</f>
        <v/>
      </c>
      <c r="G36" s="34" t="str">
        <f aca="false">MID(B36,11,1)</f>
        <v/>
      </c>
      <c r="H36" s="35" t="str">
        <f aca="false">IF(G36=".",F36,CONCATENATE(F36,G36))</f>
        <v/>
      </c>
      <c r="I36" s="34" t="n">
        <f aca="false">IFERROR(VALUE(H36),)</f>
        <v>0</v>
      </c>
      <c r="J36" s="34" t="e">
        <f aca="false">RIGHT(B36,LEN(B36)-FIND("/",B36, FIND("Single Cells",B36, 1)))</f>
        <v>#VALUE!</v>
      </c>
    </row>
    <row r="37" customFormat="false" ht="12.75" hidden="false" customHeight="true" outlineLevel="0" collapsed="false">
      <c r="E37" s="34" t="str">
        <f aca="false">MID(B37,9,1)</f>
        <v/>
      </c>
      <c r="F37" s="34" t="str">
        <f aca="false">MID(B37,10,1)</f>
        <v/>
      </c>
      <c r="G37" s="34" t="str">
        <f aca="false">MID(B37,11,1)</f>
        <v/>
      </c>
      <c r="H37" s="35" t="str">
        <f aca="false">IF(G37=".",F37,CONCATENATE(F37,G37))</f>
        <v/>
      </c>
      <c r="I37" s="34" t="n">
        <f aca="false">IFERROR(VALUE(H37),)</f>
        <v>0</v>
      </c>
      <c r="J37" s="34" t="e">
        <f aca="false">RIGHT(B37,LEN(B37)-FIND("/",B37, FIND("Single Cells",B37, 1)))</f>
        <v>#VALUE!</v>
      </c>
    </row>
    <row r="38" customFormat="false" ht="12.75" hidden="false" customHeight="true" outlineLevel="0" collapsed="false">
      <c r="E38" s="34" t="str">
        <f aca="false">MID(B38,9,1)</f>
        <v/>
      </c>
      <c r="F38" s="34" t="str">
        <f aca="false">MID(B38,10,1)</f>
        <v/>
      </c>
      <c r="G38" s="34" t="str">
        <f aca="false">MID(B38,11,1)</f>
        <v/>
      </c>
      <c r="H38" s="35" t="str">
        <f aca="false">IF(G38=".",F38,CONCATENATE(F38,G38))</f>
        <v/>
      </c>
      <c r="I38" s="34" t="n">
        <f aca="false">IFERROR(VALUE(H38),)</f>
        <v>0</v>
      </c>
      <c r="J38" s="34" t="e">
        <f aca="false">RIGHT(B38,LEN(B38)-FIND("/",B38, FIND("Single Cells",B38, 1)))</f>
        <v>#VALUE!</v>
      </c>
    </row>
    <row r="39" customFormat="false" ht="12.75" hidden="false" customHeight="true" outlineLevel="0" collapsed="false">
      <c r="E39" s="34" t="str">
        <f aca="false">MID(B39,9,1)</f>
        <v/>
      </c>
      <c r="F39" s="34" t="str">
        <f aca="false">MID(B39,10,1)</f>
        <v/>
      </c>
      <c r="G39" s="34" t="str">
        <f aca="false">MID(B39,11,1)</f>
        <v/>
      </c>
      <c r="H39" s="35" t="str">
        <f aca="false">IF(G39=".",F39,CONCATENATE(F39,G39))</f>
        <v/>
      </c>
      <c r="I39" s="34" t="n">
        <f aca="false">IFERROR(VALUE(H39),)</f>
        <v>0</v>
      </c>
      <c r="J39" s="34" t="e">
        <f aca="false">RIGHT(B39,LEN(B39)-FIND("/",B39, FIND("Single Cells",B39, 1)))</f>
        <v>#VALUE!</v>
      </c>
    </row>
    <row r="40" customFormat="false" ht="12.75" hidden="false" customHeight="true" outlineLevel="0" collapsed="false">
      <c r="E40" s="34" t="str">
        <f aca="false">MID(B40,9,1)</f>
        <v/>
      </c>
      <c r="F40" s="34" t="str">
        <f aca="false">MID(B40,10,1)</f>
        <v/>
      </c>
      <c r="G40" s="34" t="str">
        <f aca="false">MID(B40,11,1)</f>
        <v/>
      </c>
      <c r="H40" s="35" t="str">
        <f aca="false">IF(G40=".",F40,CONCATENATE(F40,G40))</f>
        <v/>
      </c>
      <c r="I40" s="34" t="n">
        <f aca="false">IFERROR(VALUE(H40),)</f>
        <v>0</v>
      </c>
      <c r="J40" s="34" t="e">
        <f aca="false">RIGHT(B40,LEN(B40)-FIND("/",B40, FIND("Single Cells",B40, 1)))</f>
        <v>#VALUE!</v>
      </c>
    </row>
    <row r="41" customFormat="false" ht="12.75" hidden="false" customHeight="true" outlineLevel="0" collapsed="false">
      <c r="E41" s="34" t="str">
        <f aca="false">MID(B41,9,1)</f>
        <v/>
      </c>
      <c r="F41" s="34" t="str">
        <f aca="false">MID(B41,10,1)</f>
        <v/>
      </c>
      <c r="G41" s="34" t="str">
        <f aca="false">MID(B41,11,1)</f>
        <v/>
      </c>
      <c r="H41" s="35" t="str">
        <f aca="false">IF(G41=".",F41,CONCATENATE(F41,G41))</f>
        <v/>
      </c>
      <c r="I41" s="34" t="n">
        <f aca="false">IFERROR(VALUE(H41),)</f>
        <v>0</v>
      </c>
      <c r="J41" s="34" t="e">
        <f aca="false">RIGHT(B41,LEN(B41)-FIND("/",B41, FIND("Single Cells",B41, 1)))</f>
        <v>#VALUE!</v>
      </c>
    </row>
    <row r="42" customFormat="false" ht="12.75" hidden="false" customHeight="true" outlineLevel="0" collapsed="false">
      <c r="E42" s="34" t="str">
        <f aca="false">MID(B42,9,1)</f>
        <v/>
      </c>
      <c r="F42" s="34" t="str">
        <f aca="false">MID(B42,10,1)</f>
        <v/>
      </c>
      <c r="G42" s="34" t="str">
        <f aca="false">MID(B42,11,1)</f>
        <v/>
      </c>
      <c r="H42" s="35" t="str">
        <f aca="false">IF(G42=".",F42,CONCATENATE(F42,G42))</f>
        <v/>
      </c>
      <c r="I42" s="34" t="n">
        <f aca="false">IFERROR(VALUE(H42),)</f>
        <v>0</v>
      </c>
      <c r="J42" s="34" t="e">
        <f aca="false">RIGHT(B42,LEN(B42)-FIND("/",B42, FIND("Single Cells",B42, 1)))</f>
        <v>#VALUE!</v>
      </c>
    </row>
    <row r="43" customFormat="false" ht="12.75" hidden="false" customHeight="true" outlineLevel="0" collapsed="false">
      <c r="E43" s="34" t="str">
        <f aca="false">MID(B43,9,1)</f>
        <v/>
      </c>
      <c r="F43" s="34" t="str">
        <f aca="false">MID(B43,10,1)</f>
        <v/>
      </c>
      <c r="G43" s="34" t="str">
        <f aca="false">MID(B43,11,1)</f>
        <v/>
      </c>
      <c r="H43" s="35" t="str">
        <f aca="false">IF(G43=".",F43,CONCATENATE(F43,G43))</f>
        <v/>
      </c>
      <c r="I43" s="34" t="n">
        <f aca="false">IFERROR(VALUE(H43),)</f>
        <v>0</v>
      </c>
      <c r="J43" s="34" t="e">
        <f aca="false">RIGHT(B43,LEN(B43)-FIND("/",B43, FIND("Single Cells",B43, 1)))</f>
        <v>#VALUE!</v>
      </c>
    </row>
    <row r="44" customFormat="false" ht="12.75" hidden="false" customHeight="true" outlineLevel="0" collapsed="false">
      <c r="E44" s="34" t="str">
        <f aca="false">MID(B44,9,1)</f>
        <v/>
      </c>
      <c r="F44" s="34" t="str">
        <f aca="false">MID(B44,10,1)</f>
        <v/>
      </c>
      <c r="G44" s="34" t="str">
        <f aca="false">MID(B44,11,1)</f>
        <v/>
      </c>
      <c r="H44" s="35" t="str">
        <f aca="false">IF(G44=".",F44,CONCATENATE(F44,G44))</f>
        <v/>
      </c>
      <c r="I44" s="34" t="n">
        <f aca="false">IFERROR(VALUE(H44),)</f>
        <v>0</v>
      </c>
      <c r="J44" s="34" t="e">
        <f aca="false">RIGHT(B44,LEN(B44)-FIND("/",B44, FIND("Single Cells",B44, 1)))</f>
        <v>#VALUE!</v>
      </c>
    </row>
    <row r="45" customFormat="false" ht="12.75" hidden="false" customHeight="true" outlineLevel="0" collapsed="false">
      <c r="E45" s="34" t="str">
        <f aca="false">MID(B45,9,1)</f>
        <v/>
      </c>
      <c r="F45" s="34" t="str">
        <f aca="false">MID(B45,10,1)</f>
        <v/>
      </c>
      <c r="G45" s="34" t="str">
        <f aca="false">MID(B45,11,1)</f>
        <v/>
      </c>
      <c r="H45" s="35" t="str">
        <f aca="false">IF(G45=".",F45,CONCATENATE(F45,G45))</f>
        <v/>
      </c>
      <c r="I45" s="34" t="n">
        <f aca="false">IFERROR(VALUE(H45),)</f>
        <v>0</v>
      </c>
      <c r="J45" s="34" t="e">
        <f aca="false">RIGHT(B45,LEN(B45)-FIND("/",B45, FIND("Single Cells",B45, 1)))</f>
        <v>#VALUE!</v>
      </c>
    </row>
    <row r="46" customFormat="false" ht="12.75" hidden="false" customHeight="true" outlineLevel="0" collapsed="false">
      <c r="E46" s="34" t="str">
        <f aca="false">MID(B46,9,1)</f>
        <v/>
      </c>
      <c r="F46" s="34" t="str">
        <f aca="false">MID(B46,10,1)</f>
        <v/>
      </c>
      <c r="G46" s="34" t="str">
        <f aca="false">MID(B46,11,1)</f>
        <v/>
      </c>
      <c r="H46" s="35" t="str">
        <f aca="false">IF(G46=".",F46,CONCATENATE(F46,G46))</f>
        <v/>
      </c>
      <c r="I46" s="34" t="n">
        <f aca="false">IFERROR(VALUE(H46),)</f>
        <v>0</v>
      </c>
      <c r="J46" s="34" t="e">
        <f aca="false">RIGHT(B46,LEN(B46)-FIND("/",B46, FIND("Single Cells",B46, 1)))</f>
        <v>#VALUE!</v>
      </c>
    </row>
    <row r="47" customFormat="false" ht="12.75" hidden="false" customHeight="true" outlineLevel="0" collapsed="false">
      <c r="E47" s="34" t="str">
        <f aca="false">MID(B47,9,1)</f>
        <v/>
      </c>
      <c r="F47" s="34" t="str">
        <f aca="false">MID(B47,10,1)</f>
        <v/>
      </c>
      <c r="G47" s="34" t="str">
        <f aca="false">MID(B47,11,1)</f>
        <v/>
      </c>
      <c r="H47" s="35" t="str">
        <f aca="false">IF(G47=".",F47,CONCATENATE(F47,G47))</f>
        <v/>
      </c>
      <c r="I47" s="34" t="n">
        <f aca="false">IFERROR(VALUE(H47),)</f>
        <v>0</v>
      </c>
      <c r="J47" s="34" t="e">
        <f aca="false">RIGHT(B47,LEN(B47)-FIND("/",B47, FIND("Single Cells",B47, 1)))</f>
        <v>#VALUE!</v>
      </c>
    </row>
    <row r="48" customFormat="false" ht="12.75" hidden="false" customHeight="true" outlineLevel="0" collapsed="false">
      <c r="E48" s="34" t="str">
        <f aca="false">MID(B48,9,1)</f>
        <v/>
      </c>
      <c r="F48" s="34" t="str">
        <f aca="false">MID(B48,10,1)</f>
        <v/>
      </c>
      <c r="G48" s="34" t="str">
        <f aca="false">MID(B48,11,1)</f>
        <v/>
      </c>
      <c r="H48" s="35" t="str">
        <f aca="false">IF(G48=".",F48,CONCATENATE(F48,G48))</f>
        <v/>
      </c>
      <c r="I48" s="34" t="n">
        <f aca="false">IFERROR(VALUE(H48),)</f>
        <v>0</v>
      </c>
      <c r="J48" s="34" t="e">
        <f aca="false">RIGHT(B48,LEN(B48)-FIND("/",B48, FIND("Single Cells",B48, 1)))</f>
        <v>#VALUE!</v>
      </c>
    </row>
    <row r="49" customFormat="false" ht="12.75" hidden="false" customHeight="true" outlineLevel="0" collapsed="false">
      <c r="E49" s="34" t="str">
        <f aca="false">MID(B49,9,1)</f>
        <v/>
      </c>
      <c r="F49" s="34" t="str">
        <f aca="false">MID(B49,10,1)</f>
        <v/>
      </c>
      <c r="G49" s="34" t="str">
        <f aca="false">MID(B49,11,1)</f>
        <v/>
      </c>
      <c r="H49" s="35" t="str">
        <f aca="false">IF(G49=".",F49,CONCATENATE(F49,G49))</f>
        <v/>
      </c>
      <c r="I49" s="34" t="n">
        <f aca="false">IFERROR(VALUE(H49),)</f>
        <v>0</v>
      </c>
      <c r="J49" s="34" t="e">
        <f aca="false">RIGHT(B49,LEN(B49)-FIND("/",B49, FIND("Single Cells",B49, 1)))</f>
        <v>#VALUE!</v>
      </c>
    </row>
    <row r="50" customFormat="false" ht="12.75" hidden="false" customHeight="true" outlineLevel="0" collapsed="false">
      <c r="E50" s="34" t="str">
        <f aca="false">MID(B50,9,1)</f>
        <v/>
      </c>
      <c r="F50" s="34" t="str">
        <f aca="false">MID(B50,10,1)</f>
        <v/>
      </c>
      <c r="G50" s="34" t="str">
        <f aca="false">MID(B50,11,1)</f>
        <v/>
      </c>
      <c r="H50" s="35" t="str">
        <f aca="false">IF(G50=".",F50,CONCATENATE(F50,G50))</f>
        <v/>
      </c>
      <c r="I50" s="34" t="n">
        <f aca="false">IFERROR(VALUE(H50),)</f>
        <v>0</v>
      </c>
      <c r="J50" s="34" t="e">
        <f aca="false">RIGHT(B50,LEN(B50)-FIND("/",B50, FIND("Single Cells",B50, 1)))</f>
        <v>#VALUE!</v>
      </c>
    </row>
    <row r="51" customFormat="false" ht="12.75" hidden="false" customHeight="true" outlineLevel="0" collapsed="false">
      <c r="E51" s="34" t="str">
        <f aca="false">MID(B51,9,1)</f>
        <v/>
      </c>
      <c r="F51" s="34" t="str">
        <f aca="false">MID(B51,10,1)</f>
        <v/>
      </c>
      <c r="G51" s="34" t="str">
        <f aca="false">MID(B51,11,1)</f>
        <v/>
      </c>
      <c r="H51" s="35" t="str">
        <f aca="false">IF(G51=".",F51,CONCATENATE(F51,G51))</f>
        <v/>
      </c>
      <c r="I51" s="34" t="n">
        <f aca="false">IFERROR(VALUE(H51),)</f>
        <v>0</v>
      </c>
      <c r="J51" s="34" t="e">
        <f aca="false">RIGHT(B51,LEN(B51)-FIND("/",B51, FIND("Single Cells",B51, 1)))</f>
        <v>#VALUE!</v>
      </c>
    </row>
    <row r="52" customFormat="false" ht="12.75" hidden="false" customHeight="true" outlineLevel="0" collapsed="false">
      <c r="E52" s="34" t="str">
        <f aca="false">MID(B52,9,1)</f>
        <v/>
      </c>
      <c r="F52" s="34" t="str">
        <f aca="false">MID(B52,10,1)</f>
        <v/>
      </c>
      <c r="G52" s="34" t="str">
        <f aca="false">MID(B52,11,1)</f>
        <v/>
      </c>
      <c r="H52" s="35" t="str">
        <f aca="false">IF(G52=".",F52,CONCATENATE(F52,G52))</f>
        <v/>
      </c>
      <c r="I52" s="34" t="n">
        <f aca="false">IFERROR(VALUE(H52),)</f>
        <v>0</v>
      </c>
      <c r="J52" s="34" t="e">
        <f aca="false">RIGHT(B52,LEN(B52)-FIND("/",B52, FIND("Single Cells",B52, 1)))</f>
        <v>#VALUE!</v>
      </c>
    </row>
    <row r="53" customFormat="false" ht="12.75" hidden="false" customHeight="true" outlineLevel="0" collapsed="false">
      <c r="E53" s="34" t="str">
        <f aca="false">MID(B53,9,1)</f>
        <v/>
      </c>
      <c r="F53" s="34" t="str">
        <f aca="false">MID(B53,10,1)</f>
        <v/>
      </c>
      <c r="G53" s="34" t="str">
        <f aca="false">MID(B53,11,1)</f>
        <v/>
      </c>
      <c r="H53" s="35" t="str">
        <f aca="false">IF(G53=".",F53,CONCATENATE(F53,G53))</f>
        <v/>
      </c>
      <c r="I53" s="34" t="n">
        <f aca="false">IFERROR(VALUE(H53),)</f>
        <v>0</v>
      </c>
      <c r="J53" s="34" t="e">
        <f aca="false">RIGHT(B53,LEN(B53)-FIND("/",B53, FIND("Single Cells",B53, 1)))</f>
        <v>#VALUE!</v>
      </c>
    </row>
    <row r="54" customFormat="false" ht="12.75" hidden="false" customHeight="true" outlineLevel="0" collapsed="false">
      <c r="E54" s="34" t="str">
        <f aca="false">MID(B54,9,1)</f>
        <v/>
      </c>
      <c r="F54" s="34" t="str">
        <f aca="false">MID(B54,10,1)</f>
        <v/>
      </c>
      <c r="G54" s="34" t="str">
        <f aca="false">MID(B54,11,1)</f>
        <v/>
      </c>
      <c r="H54" s="35" t="str">
        <f aca="false">IF(G54=".",F54,CONCATENATE(F54,G54))</f>
        <v/>
      </c>
      <c r="I54" s="34" t="n">
        <f aca="false">IFERROR(VALUE(H54),)</f>
        <v>0</v>
      </c>
      <c r="J54" s="34" t="e">
        <f aca="false">RIGHT(B54,LEN(B54)-FIND("/",B54, FIND("Single Cells",B54, 1)))</f>
        <v>#VALUE!</v>
      </c>
    </row>
    <row r="55" customFormat="false" ht="12.75" hidden="false" customHeight="true" outlineLevel="0" collapsed="false">
      <c r="E55" s="34" t="str">
        <f aca="false">MID(B55,9,1)</f>
        <v/>
      </c>
      <c r="F55" s="34" t="str">
        <f aca="false">MID(B55,10,1)</f>
        <v/>
      </c>
      <c r="G55" s="34" t="str">
        <f aca="false">MID(B55,11,1)</f>
        <v/>
      </c>
      <c r="H55" s="35" t="str">
        <f aca="false">IF(G55=".",F55,CONCATENATE(F55,G55))</f>
        <v/>
      </c>
      <c r="I55" s="34" t="n">
        <f aca="false">IFERROR(VALUE(H55),)</f>
        <v>0</v>
      </c>
      <c r="J55" s="34" t="e">
        <f aca="false">RIGHT(B55,LEN(B55)-FIND("/",B55, FIND("Single Cells",B55, 1)))</f>
        <v>#VALUE!</v>
      </c>
    </row>
    <row r="56" customFormat="false" ht="12.75" hidden="false" customHeight="true" outlineLevel="0" collapsed="false">
      <c r="E56" s="34" t="str">
        <f aca="false">MID(B56,9,1)</f>
        <v/>
      </c>
      <c r="F56" s="34" t="str">
        <f aca="false">MID(B56,10,1)</f>
        <v/>
      </c>
      <c r="G56" s="34" t="str">
        <f aca="false">MID(B56,11,1)</f>
        <v/>
      </c>
      <c r="H56" s="35" t="str">
        <f aca="false">IF(G56=".",F56,CONCATENATE(F56,G56))</f>
        <v/>
      </c>
      <c r="I56" s="34" t="n">
        <f aca="false">IFERROR(VALUE(H56),)</f>
        <v>0</v>
      </c>
      <c r="J56" s="34" t="e">
        <f aca="false">RIGHT(B56,LEN(B56)-FIND("/",B56, FIND("Single Cells",B56, 1)))</f>
        <v>#VALUE!</v>
      </c>
    </row>
    <row r="57" customFormat="false" ht="12.75" hidden="false" customHeight="true" outlineLevel="0" collapsed="false">
      <c r="E57" s="34" t="str">
        <f aca="false">MID(B57,9,1)</f>
        <v/>
      </c>
      <c r="F57" s="34" t="str">
        <f aca="false">MID(B57,10,1)</f>
        <v/>
      </c>
      <c r="G57" s="34" t="str">
        <f aca="false">MID(B57,11,1)</f>
        <v/>
      </c>
      <c r="H57" s="35" t="str">
        <f aca="false">IF(G57=".",F57,CONCATENATE(F57,G57))</f>
        <v/>
      </c>
      <c r="I57" s="34" t="n">
        <f aca="false">IFERROR(VALUE(H57),)</f>
        <v>0</v>
      </c>
      <c r="J57" s="34" t="e">
        <f aca="false">RIGHT(B57,LEN(B57)-FIND("/",B57, FIND("Single Cells",B57, 1)))</f>
        <v>#VALUE!</v>
      </c>
    </row>
    <row r="58" customFormat="false" ht="12.75" hidden="false" customHeight="true" outlineLevel="0" collapsed="false">
      <c r="E58" s="34" t="str">
        <f aca="false">MID(B58,9,1)</f>
        <v/>
      </c>
      <c r="F58" s="34" t="str">
        <f aca="false">MID(B58,10,1)</f>
        <v/>
      </c>
      <c r="G58" s="34" t="str">
        <f aca="false">MID(B58,11,1)</f>
        <v/>
      </c>
      <c r="H58" s="35" t="str">
        <f aca="false">IF(G58=".",F58,CONCATENATE(F58,G58))</f>
        <v/>
      </c>
      <c r="I58" s="34" t="n">
        <f aca="false">IFERROR(VALUE(H58),)</f>
        <v>0</v>
      </c>
      <c r="J58" s="34" t="e">
        <f aca="false">RIGHT(B58,LEN(B58)-FIND("/",B58, FIND("Single Cells",B58, 1)))</f>
        <v>#VALUE!</v>
      </c>
    </row>
    <row r="59" customFormat="false" ht="12.75" hidden="false" customHeight="true" outlineLevel="0" collapsed="false">
      <c r="E59" s="34" t="str">
        <f aca="false">MID(B59,9,1)</f>
        <v/>
      </c>
      <c r="F59" s="34" t="str">
        <f aca="false">MID(B59,10,1)</f>
        <v/>
      </c>
      <c r="G59" s="34" t="str">
        <f aca="false">MID(B59,11,1)</f>
        <v/>
      </c>
      <c r="H59" s="35" t="str">
        <f aca="false">IF(G59=".",F59,CONCATENATE(F59,G59))</f>
        <v/>
      </c>
      <c r="I59" s="34" t="n">
        <f aca="false">IFERROR(VALUE(H59),)</f>
        <v>0</v>
      </c>
      <c r="J59" s="34" t="e">
        <f aca="false">RIGHT(B59,LEN(B59)-FIND("/",B59, FIND("Single Cells",B59, 1)))</f>
        <v>#VALUE!</v>
      </c>
    </row>
    <row r="60" customFormat="false" ht="12.75" hidden="false" customHeight="true" outlineLevel="0" collapsed="false">
      <c r="E60" s="34" t="str">
        <f aca="false">MID(B60,9,1)</f>
        <v/>
      </c>
      <c r="F60" s="34" t="str">
        <f aca="false">MID(B60,10,1)</f>
        <v/>
      </c>
      <c r="G60" s="34" t="str">
        <f aca="false">MID(B60,11,1)</f>
        <v/>
      </c>
      <c r="H60" s="35" t="str">
        <f aca="false">IF(G60=".",F60,CONCATENATE(F60,G60))</f>
        <v/>
      </c>
      <c r="I60" s="34" t="n">
        <f aca="false">IFERROR(VALUE(H60),)</f>
        <v>0</v>
      </c>
      <c r="J60" s="34" t="e">
        <f aca="false">RIGHT(B60,LEN(B60)-FIND("/",B60, FIND("Single Cells",B60, 1)))</f>
        <v>#VALUE!</v>
      </c>
    </row>
    <row r="61" customFormat="false" ht="12.75" hidden="false" customHeight="true" outlineLevel="0" collapsed="false">
      <c r="E61" s="34" t="str">
        <f aca="false">MID(B61,9,1)</f>
        <v/>
      </c>
      <c r="F61" s="34" t="str">
        <f aca="false">MID(B61,10,1)</f>
        <v/>
      </c>
      <c r="G61" s="34" t="str">
        <f aca="false">MID(B61,11,1)</f>
        <v/>
      </c>
      <c r="H61" s="35" t="str">
        <f aca="false">IF(G61=".",F61,CONCATENATE(F61,G61))</f>
        <v/>
      </c>
      <c r="I61" s="34" t="n">
        <f aca="false">IFERROR(VALUE(H61),)</f>
        <v>0</v>
      </c>
      <c r="J61" s="34" t="e">
        <f aca="false">RIGHT(B61,LEN(B61)-FIND("/",B61, FIND("Single Cells",B61, 1)))</f>
        <v>#VALUE!</v>
      </c>
    </row>
    <row r="62" customFormat="false" ht="12.75" hidden="false" customHeight="true" outlineLevel="0" collapsed="false">
      <c r="E62" s="34" t="str">
        <f aca="false">MID(B62,9,1)</f>
        <v/>
      </c>
      <c r="F62" s="34" t="str">
        <f aca="false">MID(B62,10,1)</f>
        <v/>
      </c>
      <c r="G62" s="34" t="str">
        <f aca="false">MID(B62,11,1)</f>
        <v/>
      </c>
      <c r="H62" s="35" t="str">
        <f aca="false">IF(G62=".",F62,CONCATENATE(F62,G62))</f>
        <v/>
      </c>
      <c r="I62" s="34" t="n">
        <f aca="false">IFERROR(VALUE(H62),)</f>
        <v>0</v>
      </c>
      <c r="J62" s="34" t="e">
        <f aca="false">RIGHT(B62,LEN(B62)-FIND("/",B62, FIND("Single Cells",B62, 1)))</f>
        <v>#VALUE!</v>
      </c>
    </row>
    <row r="63" customFormat="false" ht="12.75" hidden="false" customHeight="true" outlineLevel="0" collapsed="false">
      <c r="E63" s="34" t="str">
        <f aca="false">MID(B63,9,1)</f>
        <v/>
      </c>
      <c r="F63" s="34" t="str">
        <f aca="false">MID(B63,10,1)</f>
        <v/>
      </c>
      <c r="G63" s="34" t="str">
        <f aca="false">MID(B63,11,1)</f>
        <v/>
      </c>
      <c r="H63" s="35" t="str">
        <f aca="false">IF(G63=".",F63,CONCATENATE(F63,G63))</f>
        <v/>
      </c>
      <c r="I63" s="34" t="n">
        <f aca="false">IFERROR(VALUE(H63),)</f>
        <v>0</v>
      </c>
      <c r="J63" s="34" t="e">
        <f aca="false">RIGHT(B63,LEN(B63)-FIND("/",B63, FIND("Single Cells",B63, 1)))</f>
        <v>#VALUE!</v>
      </c>
    </row>
    <row r="64" customFormat="false" ht="12.75" hidden="false" customHeight="true" outlineLevel="0" collapsed="false">
      <c r="E64" s="34" t="str">
        <f aca="false">MID(B64,9,1)</f>
        <v/>
      </c>
      <c r="F64" s="34" t="str">
        <f aca="false">MID(B64,10,1)</f>
        <v/>
      </c>
      <c r="G64" s="34" t="str">
        <f aca="false">MID(B64,11,1)</f>
        <v/>
      </c>
      <c r="H64" s="35" t="str">
        <f aca="false">IF(G64=".",F64,CONCATENATE(F64,G64))</f>
        <v/>
      </c>
      <c r="I64" s="34" t="n">
        <f aca="false">IFERROR(VALUE(H64),)</f>
        <v>0</v>
      </c>
      <c r="J64" s="34" t="e">
        <f aca="false">RIGHT(B64,LEN(B64)-FIND("/",B64, FIND("Single Cells",B64, 1)))</f>
        <v>#VALUE!</v>
      </c>
    </row>
    <row r="65" customFormat="false" ht="12.75" hidden="false" customHeight="true" outlineLevel="0" collapsed="false">
      <c r="E65" s="34" t="str">
        <f aca="false">MID(B65,9,1)</f>
        <v/>
      </c>
      <c r="F65" s="34" t="str">
        <f aca="false">MID(B65,10,1)</f>
        <v/>
      </c>
      <c r="G65" s="34" t="str">
        <f aca="false">MID(B65,11,1)</f>
        <v/>
      </c>
      <c r="H65" s="35" t="str">
        <f aca="false">IF(G65=".",F65,CONCATENATE(F65,G65))</f>
        <v/>
      </c>
      <c r="I65" s="34" t="n">
        <f aca="false">IFERROR(VALUE(H65),)</f>
        <v>0</v>
      </c>
      <c r="J65" s="34" t="e">
        <f aca="false">RIGHT(B65,LEN(B65)-FIND("/",B65, FIND("Single Cells",B65, 1)))</f>
        <v>#VALUE!</v>
      </c>
    </row>
    <row r="66" customFormat="false" ht="12.75" hidden="false" customHeight="true" outlineLevel="0" collapsed="false">
      <c r="E66" s="34" t="str">
        <f aca="false">MID(B66,9,1)</f>
        <v/>
      </c>
      <c r="F66" s="34" t="str">
        <f aca="false">MID(B66,10,1)</f>
        <v/>
      </c>
      <c r="G66" s="34" t="str">
        <f aca="false">MID(B66,11,1)</f>
        <v/>
      </c>
      <c r="H66" s="35" t="str">
        <f aca="false">IF(G66=".",F66,CONCATENATE(F66,G66))</f>
        <v/>
      </c>
      <c r="I66" s="34" t="n">
        <f aca="false">IFERROR(VALUE(H66),)</f>
        <v>0</v>
      </c>
      <c r="J66" s="34" t="e">
        <f aca="false">RIGHT(B66,LEN(B66)-FIND("/",B66, FIND("Single Cells",B66, 1)))</f>
        <v>#VALUE!</v>
      </c>
    </row>
    <row r="67" customFormat="false" ht="12.75" hidden="false" customHeight="true" outlineLevel="0" collapsed="false">
      <c r="E67" s="34" t="str">
        <f aca="false">MID(B67,9,1)</f>
        <v/>
      </c>
      <c r="F67" s="34" t="str">
        <f aca="false">MID(B67,10,1)</f>
        <v/>
      </c>
      <c r="G67" s="34" t="str">
        <f aca="false">MID(B67,11,1)</f>
        <v/>
      </c>
      <c r="H67" s="35" t="str">
        <f aca="false">IF(G67=".",F67,CONCATENATE(F67,G67))</f>
        <v/>
      </c>
      <c r="I67" s="34" t="n">
        <f aca="false">IFERROR(VALUE(H67),)</f>
        <v>0</v>
      </c>
      <c r="J67" s="34" t="e">
        <f aca="false">RIGHT(B67,LEN(B67)-FIND("/",B67, FIND("Single Cells",B67, 1)))</f>
        <v>#VALUE!</v>
      </c>
    </row>
    <row r="68" customFormat="false" ht="12.75" hidden="false" customHeight="true" outlineLevel="0" collapsed="false">
      <c r="E68" s="34" t="str">
        <f aca="false">MID(B68,9,1)</f>
        <v/>
      </c>
      <c r="F68" s="34" t="str">
        <f aca="false">MID(B68,10,1)</f>
        <v/>
      </c>
      <c r="G68" s="34" t="str">
        <f aca="false">MID(B68,11,1)</f>
        <v/>
      </c>
      <c r="H68" s="35" t="str">
        <f aca="false">IF(G68=".",F68,CONCATENATE(F68,G68))</f>
        <v/>
      </c>
      <c r="I68" s="34" t="n">
        <f aca="false">IFERROR(VALUE(H68),)</f>
        <v>0</v>
      </c>
      <c r="J68" s="34" t="e">
        <f aca="false">RIGHT(B68,LEN(B68)-FIND("/",B68, FIND("Single Cells",B68, 1)))</f>
        <v>#VALUE!</v>
      </c>
    </row>
    <row r="69" customFormat="false" ht="12.75" hidden="false" customHeight="true" outlineLevel="0" collapsed="false">
      <c r="E69" s="34" t="str">
        <f aca="false">MID(B69,9,1)</f>
        <v/>
      </c>
      <c r="F69" s="34" t="str">
        <f aca="false">MID(B69,10,1)</f>
        <v/>
      </c>
      <c r="G69" s="34" t="str">
        <f aca="false">MID(B69,11,1)</f>
        <v/>
      </c>
      <c r="H69" s="35" t="str">
        <f aca="false">IF(G69=".",F69,CONCATENATE(F69,G69))</f>
        <v/>
      </c>
      <c r="I69" s="34" t="n">
        <f aca="false">IFERROR(VALUE(H69),)</f>
        <v>0</v>
      </c>
      <c r="J69" s="34" t="e">
        <f aca="false">RIGHT(B69,LEN(B69)-FIND("/",B69, FIND("Single Cells",B69, 1)))</f>
        <v>#VALUE!</v>
      </c>
    </row>
    <row r="70" customFormat="false" ht="12.75" hidden="false" customHeight="true" outlineLevel="0" collapsed="false">
      <c r="E70" s="34" t="str">
        <f aca="false">MID(B70,9,1)</f>
        <v/>
      </c>
      <c r="F70" s="34" t="str">
        <f aca="false">MID(B70,10,1)</f>
        <v/>
      </c>
      <c r="G70" s="34" t="str">
        <f aca="false">MID(B70,11,1)</f>
        <v/>
      </c>
      <c r="H70" s="35" t="str">
        <f aca="false">IF(G70=".",F70,CONCATENATE(F70,G70))</f>
        <v/>
      </c>
      <c r="I70" s="34" t="n">
        <f aca="false">IFERROR(VALUE(H70),)</f>
        <v>0</v>
      </c>
      <c r="J70" s="34" t="e">
        <f aca="false">RIGHT(B70,LEN(B70)-FIND("/",B70, FIND("Single Cells",B70, 1)))</f>
        <v>#VALUE!</v>
      </c>
    </row>
    <row r="71" customFormat="false" ht="12.75" hidden="false" customHeight="true" outlineLevel="0" collapsed="false">
      <c r="E71" s="34" t="str">
        <f aca="false">MID(B71,9,1)</f>
        <v/>
      </c>
      <c r="F71" s="34" t="str">
        <f aca="false">MID(B71,10,1)</f>
        <v/>
      </c>
      <c r="G71" s="34" t="str">
        <f aca="false">MID(B71,11,1)</f>
        <v/>
      </c>
      <c r="H71" s="35" t="str">
        <f aca="false">IF(G71=".",F71,CONCATENATE(F71,G71))</f>
        <v/>
      </c>
      <c r="I71" s="34" t="n">
        <f aca="false">IFERROR(VALUE(H71),)</f>
        <v>0</v>
      </c>
      <c r="J71" s="34" t="e">
        <f aca="false">RIGHT(B71,LEN(B71)-FIND("/",B71, FIND("Single Cells",B71, 1)))</f>
        <v>#VALUE!</v>
      </c>
    </row>
    <row r="72" customFormat="false" ht="12.75" hidden="false" customHeight="true" outlineLevel="0" collapsed="false">
      <c r="E72" s="34" t="str">
        <f aca="false">MID(B72,9,1)</f>
        <v/>
      </c>
      <c r="F72" s="34" t="str">
        <f aca="false">MID(B72,10,1)</f>
        <v/>
      </c>
      <c r="G72" s="34" t="str">
        <f aca="false">MID(B72,11,1)</f>
        <v/>
      </c>
      <c r="H72" s="35" t="str">
        <f aca="false">IF(G72=".",F72,CONCATENATE(F72,G72))</f>
        <v/>
      </c>
      <c r="I72" s="34" t="n">
        <f aca="false">IFERROR(VALUE(H72),)</f>
        <v>0</v>
      </c>
      <c r="J72" s="34" t="e">
        <f aca="false">RIGHT(B72,LEN(B72)-FIND("/",B72, FIND("Single Cells",B72, 1)))</f>
        <v>#VALUE!</v>
      </c>
    </row>
    <row r="73" customFormat="false" ht="12.75" hidden="false" customHeight="true" outlineLevel="0" collapsed="false">
      <c r="E73" s="34" t="str">
        <f aca="false">MID(B73,9,1)</f>
        <v/>
      </c>
      <c r="F73" s="34" t="str">
        <f aca="false">MID(B73,10,1)</f>
        <v/>
      </c>
      <c r="G73" s="34" t="str">
        <f aca="false">MID(B73,11,1)</f>
        <v/>
      </c>
      <c r="H73" s="35" t="str">
        <f aca="false">IF(G73=".",F73,CONCATENATE(F73,G73))</f>
        <v/>
      </c>
      <c r="I73" s="34" t="n">
        <f aca="false">IFERROR(VALUE(H73),)</f>
        <v>0</v>
      </c>
      <c r="J73" s="34" t="e">
        <f aca="false">RIGHT(B73,LEN(B73)-FIND("/",B73, FIND("Single Cells",B73, 1)))</f>
        <v>#VALUE!</v>
      </c>
    </row>
    <row r="74" customFormat="false" ht="12.75" hidden="false" customHeight="true" outlineLevel="0" collapsed="false">
      <c r="E74" s="34" t="str">
        <f aca="false">MID(B74,9,1)</f>
        <v/>
      </c>
      <c r="F74" s="34" t="str">
        <f aca="false">MID(B74,10,1)</f>
        <v/>
      </c>
      <c r="G74" s="34" t="str">
        <f aca="false">MID(B74,11,1)</f>
        <v/>
      </c>
      <c r="H74" s="35" t="str">
        <f aca="false">IF(G74=".",F74,CONCATENATE(F74,G74))</f>
        <v/>
      </c>
      <c r="I74" s="34" t="n">
        <f aca="false">IFERROR(VALUE(H74),)</f>
        <v>0</v>
      </c>
      <c r="J74" s="34" t="e">
        <f aca="false">RIGHT(B74,LEN(B74)-FIND("/",B74, FIND("Single Cells",B74, 1)))</f>
        <v>#VALUE!</v>
      </c>
    </row>
    <row r="75" customFormat="false" ht="12.75" hidden="false" customHeight="true" outlineLevel="0" collapsed="false">
      <c r="E75" s="34" t="str">
        <f aca="false">MID(B75,9,1)</f>
        <v/>
      </c>
      <c r="F75" s="34" t="str">
        <f aca="false">MID(B75,10,1)</f>
        <v/>
      </c>
      <c r="G75" s="34" t="str">
        <f aca="false">MID(B75,11,1)</f>
        <v/>
      </c>
      <c r="H75" s="35" t="str">
        <f aca="false">IF(G75=".",F75,CONCATENATE(F75,G75))</f>
        <v/>
      </c>
      <c r="I75" s="34" t="n">
        <f aca="false">IFERROR(VALUE(H75),)</f>
        <v>0</v>
      </c>
      <c r="J75" s="34" t="e">
        <f aca="false">RIGHT(B75,LEN(B75)-FIND("/",B75, FIND("Single Cells",B75, 1)))</f>
        <v>#VALUE!</v>
      </c>
    </row>
    <row r="76" customFormat="false" ht="12.75" hidden="false" customHeight="true" outlineLevel="0" collapsed="false">
      <c r="E76" s="34" t="str">
        <f aca="false">MID(B76,9,1)</f>
        <v/>
      </c>
      <c r="F76" s="34" t="str">
        <f aca="false">MID(B76,10,1)</f>
        <v/>
      </c>
      <c r="G76" s="34" t="str">
        <f aca="false">MID(B76,11,1)</f>
        <v/>
      </c>
      <c r="H76" s="35" t="str">
        <f aca="false">IF(G76=".",F76,CONCATENATE(F76,G76))</f>
        <v/>
      </c>
      <c r="I76" s="34" t="n">
        <f aca="false">IFERROR(VALUE(H76),)</f>
        <v>0</v>
      </c>
      <c r="J76" s="34" t="e">
        <f aca="false">RIGHT(B76,LEN(B76)-FIND("/",B76, FIND("Single Cells",B76, 1)))</f>
        <v>#VALUE!</v>
      </c>
    </row>
    <row r="77" customFormat="false" ht="12.75" hidden="false" customHeight="true" outlineLevel="0" collapsed="false">
      <c r="E77" s="34" t="str">
        <f aca="false">MID(B77,9,1)</f>
        <v/>
      </c>
      <c r="F77" s="34" t="str">
        <f aca="false">MID(B77,10,1)</f>
        <v/>
      </c>
      <c r="G77" s="34" t="str">
        <f aca="false">MID(B77,11,1)</f>
        <v/>
      </c>
      <c r="H77" s="35" t="str">
        <f aca="false">IF(G77=".",F77,CONCATENATE(F77,G77))</f>
        <v/>
      </c>
      <c r="I77" s="34" t="n">
        <f aca="false">IFERROR(VALUE(H77),)</f>
        <v>0</v>
      </c>
      <c r="J77" s="34" t="e">
        <f aca="false">RIGHT(B77,LEN(B77)-FIND("/",B77, FIND("Single Cells",B77, 1)))</f>
        <v>#VALUE!</v>
      </c>
    </row>
    <row r="78" customFormat="false" ht="12.75" hidden="false" customHeight="true" outlineLevel="0" collapsed="false">
      <c r="E78" s="34" t="str">
        <f aca="false">MID(B78,9,1)</f>
        <v/>
      </c>
      <c r="F78" s="34" t="str">
        <f aca="false">MID(B78,10,1)</f>
        <v/>
      </c>
      <c r="G78" s="34" t="str">
        <f aca="false">MID(B78,11,1)</f>
        <v/>
      </c>
      <c r="H78" s="35" t="str">
        <f aca="false">IF(G78=".",F78,CONCATENATE(F78,G78))</f>
        <v/>
      </c>
      <c r="I78" s="34" t="n">
        <f aca="false">IFERROR(VALUE(H78),)</f>
        <v>0</v>
      </c>
      <c r="J78" s="34" t="e">
        <f aca="false">RIGHT(B78,LEN(B78)-FIND("/",B78, FIND("Single Cells",B78, 1)))</f>
        <v>#VALUE!</v>
      </c>
    </row>
    <row r="79" customFormat="false" ht="12.75" hidden="false" customHeight="true" outlineLevel="0" collapsed="false">
      <c r="E79" s="34" t="str">
        <f aca="false">MID(B79,9,1)</f>
        <v/>
      </c>
      <c r="F79" s="34" t="str">
        <f aca="false">MID(B79,10,1)</f>
        <v/>
      </c>
      <c r="G79" s="34" t="str">
        <f aca="false">MID(B79,11,1)</f>
        <v/>
      </c>
      <c r="H79" s="35" t="str">
        <f aca="false">IF(G79=".",F79,CONCATENATE(F79,G79))</f>
        <v/>
      </c>
      <c r="I79" s="34" t="n">
        <f aca="false">IFERROR(VALUE(H79),)</f>
        <v>0</v>
      </c>
      <c r="J79" s="34" t="e">
        <f aca="false">RIGHT(B79,LEN(B79)-FIND("/",B79, FIND("Single Cells",B79, 1)))</f>
        <v>#VALUE!</v>
      </c>
    </row>
    <row r="80" customFormat="false" ht="12.75" hidden="false" customHeight="true" outlineLevel="0" collapsed="false">
      <c r="E80" s="34" t="str">
        <f aca="false">MID(B80,9,1)</f>
        <v/>
      </c>
      <c r="F80" s="34" t="str">
        <f aca="false">MID(B80,10,1)</f>
        <v/>
      </c>
      <c r="G80" s="34" t="str">
        <f aca="false">MID(B80,11,1)</f>
        <v/>
      </c>
      <c r="H80" s="35" t="str">
        <f aca="false">IF(G80=".",F80,CONCATENATE(F80,G80))</f>
        <v/>
      </c>
      <c r="I80" s="34" t="n">
        <f aca="false">IFERROR(VALUE(H80),)</f>
        <v>0</v>
      </c>
      <c r="J80" s="34" t="e">
        <f aca="false">RIGHT(B80,LEN(B80)-FIND("/",B80, FIND("Single Cells",B80, 1)))</f>
        <v>#VALUE!</v>
      </c>
    </row>
    <row r="81" customFormat="false" ht="12.75" hidden="false" customHeight="true" outlineLevel="0" collapsed="false">
      <c r="E81" s="34" t="str">
        <f aca="false">MID(B81,9,1)</f>
        <v/>
      </c>
      <c r="F81" s="34" t="str">
        <f aca="false">MID(B81,10,1)</f>
        <v/>
      </c>
      <c r="G81" s="34" t="str">
        <f aca="false">MID(B81,11,1)</f>
        <v/>
      </c>
      <c r="H81" s="35" t="str">
        <f aca="false">IF(G81=".",F81,CONCATENATE(F81,G81))</f>
        <v/>
      </c>
      <c r="I81" s="34" t="n">
        <f aca="false">IFERROR(VALUE(H81),)</f>
        <v>0</v>
      </c>
      <c r="J81" s="34" t="e">
        <f aca="false">RIGHT(B81,LEN(B81)-FIND("/",B81, FIND("Single Cells",B81, 1)))</f>
        <v>#VALUE!</v>
      </c>
    </row>
    <row r="82" customFormat="false" ht="12.75" hidden="false" customHeight="true" outlineLevel="0" collapsed="false">
      <c r="E82" s="34" t="str">
        <f aca="false">MID(B82,9,1)</f>
        <v/>
      </c>
      <c r="F82" s="34" t="str">
        <f aca="false">MID(B82,10,1)</f>
        <v/>
      </c>
      <c r="G82" s="34" t="str">
        <f aca="false">MID(B82,11,1)</f>
        <v/>
      </c>
      <c r="H82" s="35" t="str">
        <f aca="false">IF(G82=".",F82,CONCATENATE(F82,G82))</f>
        <v/>
      </c>
      <c r="I82" s="34" t="n">
        <f aca="false">IFERROR(VALUE(H82),)</f>
        <v>0</v>
      </c>
      <c r="J82" s="34" t="e">
        <f aca="false">RIGHT(B82,LEN(B82)-FIND("/",B82, FIND("Single Cells",B82, 1)))</f>
        <v>#VALUE!</v>
      </c>
    </row>
    <row r="83" customFormat="false" ht="12.75" hidden="false" customHeight="true" outlineLevel="0" collapsed="false">
      <c r="E83" s="34" t="str">
        <f aca="false">MID(B83,9,1)</f>
        <v/>
      </c>
      <c r="F83" s="34" t="str">
        <f aca="false">MID(B83,10,1)</f>
        <v/>
      </c>
      <c r="G83" s="34" t="str">
        <f aca="false">MID(B83,11,1)</f>
        <v/>
      </c>
      <c r="H83" s="35" t="str">
        <f aca="false">IF(G83=".",F83,CONCATENATE(F83,G83))</f>
        <v/>
      </c>
      <c r="I83" s="34" t="n">
        <f aca="false">IFERROR(VALUE(H83),)</f>
        <v>0</v>
      </c>
      <c r="J83" s="34" t="e">
        <f aca="false">RIGHT(B83,LEN(B83)-FIND("/",B83, FIND("Single Cells",B83, 1)))</f>
        <v>#VALUE!</v>
      </c>
    </row>
    <row r="84" customFormat="false" ht="12.75" hidden="false" customHeight="true" outlineLevel="0" collapsed="false">
      <c r="E84" s="34" t="str">
        <f aca="false">MID(B84,9,1)</f>
        <v/>
      </c>
      <c r="F84" s="34" t="str">
        <f aca="false">MID(B84,10,1)</f>
        <v/>
      </c>
      <c r="G84" s="34" t="str">
        <f aca="false">MID(B84,11,1)</f>
        <v/>
      </c>
      <c r="H84" s="35" t="str">
        <f aca="false">IF(G84=".",F84,CONCATENATE(F84,G84))</f>
        <v/>
      </c>
      <c r="I84" s="34" t="n">
        <f aca="false">IFERROR(VALUE(H84),)</f>
        <v>0</v>
      </c>
      <c r="J84" s="34" t="e">
        <f aca="false">RIGHT(B84,LEN(B84)-FIND("/",B84, FIND("Single Cells",B84, 1)))</f>
        <v>#VALUE!</v>
      </c>
    </row>
    <row r="85" customFormat="false" ht="12.75" hidden="false" customHeight="true" outlineLevel="0" collapsed="false">
      <c r="E85" s="34" t="str">
        <f aca="false">MID(B85,9,1)</f>
        <v/>
      </c>
      <c r="F85" s="34" t="str">
        <f aca="false">MID(B85,10,1)</f>
        <v/>
      </c>
      <c r="G85" s="34" t="str">
        <f aca="false">MID(B85,11,1)</f>
        <v/>
      </c>
      <c r="H85" s="35" t="str">
        <f aca="false">IF(G85=".",F85,CONCATENATE(F85,G85))</f>
        <v/>
      </c>
      <c r="I85" s="34" t="n">
        <f aca="false">IFERROR(VALUE(H85),)</f>
        <v>0</v>
      </c>
      <c r="J85" s="34" t="e">
        <f aca="false">RIGHT(B85,LEN(B85)-FIND("/",B85, FIND("Single Cells",B85, 1)))</f>
        <v>#VALUE!</v>
      </c>
    </row>
    <row r="86" customFormat="false" ht="12.75" hidden="false" customHeight="true" outlineLevel="0" collapsed="false">
      <c r="E86" s="34" t="str">
        <f aca="false">MID(B86,9,1)</f>
        <v/>
      </c>
      <c r="F86" s="34" t="str">
        <f aca="false">MID(B86,10,1)</f>
        <v/>
      </c>
      <c r="G86" s="34" t="str">
        <f aca="false">MID(B86,11,1)</f>
        <v/>
      </c>
      <c r="H86" s="35" t="str">
        <f aca="false">IF(G86=".",F86,CONCATENATE(F86,G86))</f>
        <v/>
      </c>
      <c r="I86" s="34" t="n">
        <f aca="false">IFERROR(VALUE(H86),)</f>
        <v>0</v>
      </c>
      <c r="J86" s="34" t="e">
        <f aca="false">RIGHT(B86,LEN(B86)-FIND("/",B86, FIND("Single Cells",B86, 1)))</f>
        <v>#VALUE!</v>
      </c>
    </row>
    <row r="87" customFormat="false" ht="12.75" hidden="false" customHeight="true" outlineLevel="0" collapsed="false">
      <c r="E87" s="34" t="str">
        <f aca="false">MID(B87,9,1)</f>
        <v/>
      </c>
      <c r="F87" s="34" t="str">
        <f aca="false">MID(B87,10,1)</f>
        <v/>
      </c>
      <c r="G87" s="34" t="str">
        <f aca="false">MID(B87,11,1)</f>
        <v/>
      </c>
      <c r="H87" s="35" t="str">
        <f aca="false">IF(G87=".",F87,CONCATENATE(F87,G87))</f>
        <v/>
      </c>
      <c r="I87" s="34" t="n">
        <f aca="false">IFERROR(VALUE(H87),)</f>
        <v>0</v>
      </c>
      <c r="J87" s="34" t="e">
        <f aca="false">RIGHT(B87,LEN(B87)-FIND("/",B87, FIND("Single Cells",B87, 1)))</f>
        <v>#VALUE!</v>
      </c>
    </row>
    <row r="88" customFormat="false" ht="12.75" hidden="false" customHeight="true" outlineLevel="0" collapsed="false">
      <c r="E88" s="34" t="str">
        <f aca="false">MID(B88,9,1)</f>
        <v/>
      </c>
      <c r="F88" s="34" t="str">
        <f aca="false">MID(B88,10,1)</f>
        <v/>
      </c>
      <c r="G88" s="34" t="str">
        <f aca="false">MID(B88,11,1)</f>
        <v/>
      </c>
      <c r="H88" s="35" t="str">
        <f aca="false">IF(G88=".",F88,CONCATENATE(F88,G88))</f>
        <v/>
      </c>
      <c r="I88" s="34" t="n">
        <f aca="false">IFERROR(VALUE(H88),)</f>
        <v>0</v>
      </c>
      <c r="J88" s="34" t="e">
        <f aca="false">RIGHT(B88,LEN(B88)-FIND("/",B88, FIND("Single Cells",B88, 1)))</f>
        <v>#VALUE!</v>
      </c>
    </row>
    <row r="89" customFormat="false" ht="12.75" hidden="false" customHeight="true" outlineLevel="0" collapsed="false">
      <c r="E89" s="34" t="str">
        <f aca="false">MID(B89,9,1)</f>
        <v/>
      </c>
      <c r="F89" s="34" t="str">
        <f aca="false">MID(B89,10,1)</f>
        <v/>
      </c>
      <c r="G89" s="34" t="str">
        <f aca="false">MID(B89,11,1)</f>
        <v/>
      </c>
      <c r="H89" s="35" t="str">
        <f aca="false">IF(G89=".",F89,CONCATENATE(F89,G89))</f>
        <v/>
      </c>
      <c r="I89" s="34" t="n">
        <f aca="false">IFERROR(VALUE(H89),)</f>
        <v>0</v>
      </c>
      <c r="J89" s="34" t="e">
        <f aca="false">RIGHT(B89,LEN(B89)-FIND("/",B89, FIND("Single Cells",B89, 1)))</f>
        <v>#VALUE!</v>
      </c>
    </row>
    <row r="90" customFormat="false" ht="12.75" hidden="false" customHeight="true" outlineLevel="0" collapsed="false">
      <c r="E90" s="34" t="str">
        <f aca="false">MID(B90,9,1)</f>
        <v/>
      </c>
      <c r="F90" s="34" t="str">
        <f aca="false">MID(B90,10,1)</f>
        <v/>
      </c>
      <c r="G90" s="34" t="str">
        <f aca="false">MID(B90,11,1)</f>
        <v/>
      </c>
      <c r="H90" s="35" t="str">
        <f aca="false">IF(G90=".",F90,CONCATENATE(F90,G90))</f>
        <v/>
      </c>
      <c r="I90" s="34" t="n">
        <f aca="false">IFERROR(VALUE(H90),)</f>
        <v>0</v>
      </c>
      <c r="J90" s="34" t="e">
        <f aca="false">RIGHT(B90,LEN(B90)-FIND("/",B90, FIND("Single Cells",B90, 1)))</f>
        <v>#VALUE!</v>
      </c>
    </row>
    <row r="91" customFormat="false" ht="12.75" hidden="false" customHeight="true" outlineLevel="0" collapsed="false">
      <c r="E91" s="34" t="str">
        <f aca="false">MID(B91,9,1)</f>
        <v/>
      </c>
      <c r="F91" s="34" t="str">
        <f aca="false">MID(B91,10,1)</f>
        <v/>
      </c>
      <c r="G91" s="34" t="str">
        <f aca="false">MID(B91,11,1)</f>
        <v/>
      </c>
      <c r="H91" s="35" t="str">
        <f aca="false">IF(G91=".",F91,CONCATENATE(F91,G91))</f>
        <v/>
      </c>
      <c r="I91" s="34" t="n">
        <f aca="false">IFERROR(VALUE(H91),)</f>
        <v>0</v>
      </c>
      <c r="J91" s="34" t="e">
        <f aca="false">RIGHT(B91,LEN(B91)-FIND("/",B91, FIND("Single Cells",B91, 1)))</f>
        <v>#VALUE!</v>
      </c>
    </row>
    <row r="92" customFormat="false" ht="12.75" hidden="false" customHeight="true" outlineLevel="0" collapsed="false">
      <c r="E92" s="34" t="str">
        <f aca="false">MID(B92,9,1)</f>
        <v/>
      </c>
      <c r="F92" s="34" t="str">
        <f aca="false">MID(B92,10,1)</f>
        <v/>
      </c>
      <c r="G92" s="34" t="str">
        <f aca="false">MID(B92,11,1)</f>
        <v/>
      </c>
      <c r="H92" s="35" t="str">
        <f aca="false">IF(G92=".",F92,CONCATENATE(F92,G92))</f>
        <v/>
      </c>
      <c r="I92" s="34" t="n">
        <f aca="false">IFERROR(VALUE(H92),)</f>
        <v>0</v>
      </c>
      <c r="J92" s="34" t="e">
        <f aca="false">RIGHT(B92,LEN(B92)-FIND("/",B92, FIND("Single Cells",B92, 1)))</f>
        <v>#VALUE!</v>
      </c>
    </row>
    <row r="93" customFormat="false" ht="12.75" hidden="false" customHeight="true" outlineLevel="0" collapsed="false">
      <c r="E93" s="34" t="str">
        <f aca="false">MID(B93,9,1)</f>
        <v/>
      </c>
      <c r="F93" s="34" t="str">
        <f aca="false">MID(B93,10,1)</f>
        <v/>
      </c>
      <c r="G93" s="34" t="str">
        <f aca="false">MID(B93,11,1)</f>
        <v/>
      </c>
      <c r="H93" s="35" t="str">
        <f aca="false">IF(G93=".",F93,CONCATENATE(F93,G93))</f>
        <v/>
      </c>
      <c r="I93" s="34" t="n">
        <f aca="false">IFERROR(VALUE(H93),)</f>
        <v>0</v>
      </c>
      <c r="J93" s="34" t="e">
        <f aca="false">RIGHT(B93,LEN(B93)-FIND("/",B93, FIND("Single Cells",B93, 1)))</f>
        <v>#VALUE!</v>
      </c>
    </row>
    <row r="94" customFormat="false" ht="12.75" hidden="false" customHeight="true" outlineLevel="0" collapsed="false">
      <c r="E94" s="34" t="str">
        <f aca="false">MID(B94,9,1)</f>
        <v/>
      </c>
      <c r="F94" s="34" t="str">
        <f aca="false">MID(B94,10,1)</f>
        <v/>
      </c>
      <c r="G94" s="34" t="str">
        <f aca="false">MID(B94,11,1)</f>
        <v/>
      </c>
      <c r="H94" s="35" t="str">
        <f aca="false">IF(G94=".",F94,CONCATENATE(F94,G94))</f>
        <v/>
      </c>
      <c r="I94" s="34" t="n">
        <f aca="false">IFERROR(VALUE(H94),)</f>
        <v>0</v>
      </c>
      <c r="J94" s="34" t="e">
        <f aca="false">RIGHT(B94,LEN(B94)-FIND("/",B94, FIND("Single Cells",B94, 1)))</f>
        <v>#VALUE!</v>
      </c>
    </row>
    <row r="95" customFormat="false" ht="12.75" hidden="false" customHeight="true" outlineLevel="0" collapsed="false">
      <c r="E95" s="34" t="str">
        <f aca="false">MID(B95,9,1)</f>
        <v/>
      </c>
      <c r="F95" s="34" t="str">
        <f aca="false">MID(B95,10,1)</f>
        <v/>
      </c>
      <c r="G95" s="34" t="str">
        <f aca="false">MID(B95,11,1)</f>
        <v/>
      </c>
      <c r="H95" s="35" t="str">
        <f aca="false">IF(G95=".",F95,CONCATENATE(F95,G95))</f>
        <v/>
      </c>
      <c r="I95" s="34" t="n">
        <f aca="false">IFERROR(VALUE(H95),)</f>
        <v>0</v>
      </c>
      <c r="J95" s="34" t="e">
        <f aca="false">RIGHT(B95,LEN(B95)-FIND("/",B95, FIND("Single Cells",B95, 1)))</f>
        <v>#VALUE!</v>
      </c>
    </row>
    <row r="96" customFormat="false" ht="12.75" hidden="false" customHeight="true" outlineLevel="0" collapsed="false">
      <c r="E96" s="34" t="str">
        <f aca="false">MID(B96,9,1)</f>
        <v/>
      </c>
      <c r="F96" s="34" t="str">
        <f aca="false">MID(B96,10,1)</f>
        <v/>
      </c>
      <c r="G96" s="34" t="str">
        <f aca="false">MID(B96,11,1)</f>
        <v/>
      </c>
      <c r="H96" s="35" t="str">
        <f aca="false">IF(G96=".",F96,CONCATENATE(F96,G96))</f>
        <v/>
      </c>
      <c r="I96" s="34" t="n">
        <f aca="false">IFERROR(VALUE(H96),)</f>
        <v>0</v>
      </c>
      <c r="J96" s="34" t="e">
        <f aca="false">RIGHT(B96,LEN(B96)-FIND("/",B96, FIND("Single Cells",B96, 1)))</f>
        <v>#VALUE!</v>
      </c>
    </row>
    <row r="97" customFormat="false" ht="12.75" hidden="false" customHeight="true" outlineLevel="0" collapsed="false">
      <c r="E97" s="34" t="str">
        <f aca="false">MID(B97,9,1)</f>
        <v/>
      </c>
      <c r="F97" s="34" t="str">
        <f aca="false">MID(B97,10,1)</f>
        <v/>
      </c>
      <c r="G97" s="34" t="str">
        <f aca="false">MID(B97,11,1)</f>
        <v/>
      </c>
      <c r="H97" s="35" t="str">
        <f aca="false">IF(G97=".",F97,CONCATENATE(F97,G97))</f>
        <v/>
      </c>
      <c r="I97" s="34" t="n">
        <f aca="false">IFERROR(VALUE(H97),)</f>
        <v>0</v>
      </c>
      <c r="J97" s="34" t="e">
        <f aca="false">RIGHT(B97,LEN(B97)-FIND("/",B97, FIND("Single Cells",B97, 1)))</f>
        <v>#VALUE!</v>
      </c>
    </row>
    <row r="98" customFormat="false" ht="12.75" hidden="false" customHeight="true" outlineLevel="0" collapsed="false">
      <c r="E98" s="34" t="str">
        <f aca="false">MID(B98,9,1)</f>
        <v/>
      </c>
      <c r="F98" s="34" t="str">
        <f aca="false">MID(B98,10,1)</f>
        <v/>
      </c>
      <c r="G98" s="34" t="str">
        <f aca="false">MID(B98,11,1)</f>
        <v/>
      </c>
      <c r="H98" s="35" t="str">
        <f aca="false">IF(G98=".",F98,CONCATENATE(F98,G98))</f>
        <v/>
      </c>
      <c r="I98" s="34" t="n">
        <f aca="false">IFERROR(VALUE(H98),)</f>
        <v>0</v>
      </c>
      <c r="J98" s="34" t="e">
        <f aca="false">RIGHT(B98,LEN(B98)-FIND("/",B98, FIND("Single Cells",B98, 1)))</f>
        <v>#VALUE!</v>
      </c>
    </row>
    <row r="99" customFormat="false" ht="12.75" hidden="false" customHeight="true" outlineLevel="0" collapsed="false">
      <c r="E99" s="34" t="str">
        <f aca="false">MID(B99,9,1)</f>
        <v/>
      </c>
      <c r="F99" s="34" t="str">
        <f aca="false">MID(B99,10,1)</f>
        <v/>
      </c>
      <c r="G99" s="34" t="str">
        <f aca="false">MID(B99,11,1)</f>
        <v/>
      </c>
      <c r="H99" s="35" t="str">
        <f aca="false">IF(G99=".",F99,CONCATENATE(F99,G99))</f>
        <v/>
      </c>
      <c r="I99" s="34" t="n">
        <f aca="false">IFERROR(VALUE(H99),)</f>
        <v>0</v>
      </c>
      <c r="J99" s="34" t="e">
        <f aca="false">RIGHT(B99,LEN(B99)-FIND("/",B99, FIND("Single Cells",B99, 1)))</f>
        <v>#VALUE!</v>
      </c>
    </row>
    <row r="100" customFormat="false" ht="12.75" hidden="false" customHeight="true" outlineLevel="0" collapsed="false">
      <c r="E100" s="34" t="str">
        <f aca="false">MID(B100,9,1)</f>
        <v/>
      </c>
      <c r="F100" s="34" t="str">
        <f aca="false">MID(B100,10,1)</f>
        <v/>
      </c>
      <c r="G100" s="34" t="str">
        <f aca="false">MID(B100,11,1)</f>
        <v/>
      </c>
      <c r="H100" s="35" t="str">
        <f aca="false">IF(G100=".",F100,CONCATENATE(F100,G100))</f>
        <v/>
      </c>
      <c r="I100" s="34" t="n">
        <f aca="false">IFERROR(VALUE(H100),)</f>
        <v>0</v>
      </c>
      <c r="J100" s="34" t="e">
        <f aca="false">RIGHT(B100,LEN(B100)-FIND("/",B100, FIND("Single Cells",B100, 1)))</f>
        <v>#VALUE!</v>
      </c>
    </row>
    <row r="101" customFormat="false" ht="12.75" hidden="false" customHeight="true" outlineLevel="0" collapsed="false">
      <c r="E101" s="34" t="str">
        <f aca="false">MID(B101,9,1)</f>
        <v/>
      </c>
      <c r="F101" s="34" t="str">
        <f aca="false">MID(B101,10,1)</f>
        <v/>
      </c>
      <c r="G101" s="34" t="str">
        <f aca="false">MID(B101,11,1)</f>
        <v/>
      </c>
      <c r="H101" s="35" t="str">
        <f aca="false">IF(G101=".",F101,CONCATENATE(F101,G101))</f>
        <v/>
      </c>
      <c r="I101" s="34" t="n">
        <f aca="false">IFERROR(VALUE(H101),)</f>
        <v>0</v>
      </c>
      <c r="J101" s="34" t="e">
        <f aca="false">RIGHT(B101,LEN(B101)-FIND("/",B101, FIND("Single Cells",B101, 1)))</f>
        <v>#VALUE!</v>
      </c>
    </row>
    <row r="102" customFormat="false" ht="12.75" hidden="false" customHeight="true" outlineLevel="0" collapsed="false">
      <c r="E102" s="34" t="str">
        <f aca="false">MID(B102,9,1)</f>
        <v/>
      </c>
      <c r="F102" s="34" t="str">
        <f aca="false">MID(B102,10,1)</f>
        <v/>
      </c>
      <c r="G102" s="34" t="str">
        <f aca="false">MID(B102,11,1)</f>
        <v/>
      </c>
      <c r="H102" s="35" t="str">
        <f aca="false">IF(G102=".",F102,CONCATENATE(F102,G102))</f>
        <v/>
      </c>
      <c r="I102" s="34" t="n">
        <f aca="false">IFERROR(VALUE(H102),)</f>
        <v>0</v>
      </c>
      <c r="J102" s="34" t="e">
        <f aca="false">RIGHT(B102,LEN(B102)-FIND("/",B102, FIND("Single Cells",B102, 1)))</f>
        <v>#VALUE!</v>
      </c>
    </row>
    <row r="103" customFormat="false" ht="12.75" hidden="false" customHeight="true" outlineLevel="0" collapsed="false">
      <c r="E103" s="34" t="str">
        <f aca="false">MID(B103,9,1)</f>
        <v/>
      </c>
      <c r="F103" s="34" t="str">
        <f aca="false">MID(B103,10,1)</f>
        <v/>
      </c>
      <c r="G103" s="34" t="str">
        <f aca="false">MID(B103,11,1)</f>
        <v/>
      </c>
      <c r="H103" s="35" t="str">
        <f aca="false">IF(G103=".",F103,CONCATENATE(F103,G103))</f>
        <v/>
      </c>
      <c r="I103" s="34" t="n">
        <f aca="false">IFERROR(VALUE(H103),)</f>
        <v>0</v>
      </c>
      <c r="J103" s="34" t="e">
        <f aca="false">RIGHT(B103,LEN(B103)-FIND("/",B103, FIND("Single Cells",B103, 1)))</f>
        <v>#VALUE!</v>
      </c>
    </row>
    <row r="104" customFormat="false" ht="12.75" hidden="false" customHeight="true" outlineLevel="0" collapsed="false">
      <c r="E104" s="34" t="str">
        <f aca="false">MID(B104,9,1)</f>
        <v/>
      </c>
      <c r="F104" s="34" t="str">
        <f aca="false">MID(B104,10,1)</f>
        <v/>
      </c>
      <c r="G104" s="34" t="str">
        <f aca="false">MID(B104,11,1)</f>
        <v/>
      </c>
      <c r="H104" s="35" t="str">
        <f aca="false">IF(G104=".",F104,CONCATENATE(F104,G104))</f>
        <v/>
      </c>
      <c r="I104" s="34" t="n">
        <f aca="false">IFERROR(VALUE(H104),)</f>
        <v>0</v>
      </c>
      <c r="J104" s="34" t="e">
        <f aca="false">RIGHT(B104,LEN(B104)-FIND("/",B104, FIND("Single Cells",B104, 1)))</f>
        <v>#VALUE!</v>
      </c>
    </row>
    <row r="105" customFormat="false" ht="12.75" hidden="false" customHeight="true" outlineLevel="0" collapsed="false">
      <c r="E105" s="34" t="str">
        <f aca="false">MID(B105,9,1)</f>
        <v/>
      </c>
      <c r="F105" s="34" t="str">
        <f aca="false">MID(B105,10,1)</f>
        <v/>
      </c>
      <c r="G105" s="34" t="str">
        <f aca="false">MID(B105,11,1)</f>
        <v/>
      </c>
      <c r="H105" s="35" t="str">
        <f aca="false">IF(G105=".",F105,CONCATENATE(F105,G105))</f>
        <v/>
      </c>
      <c r="I105" s="34" t="n">
        <f aca="false">IFERROR(VALUE(H105),)</f>
        <v>0</v>
      </c>
      <c r="J105" s="34" t="e">
        <f aca="false">RIGHT(B105,LEN(B105)-FIND("/",B105, FIND("Single Cells",B105, 1)))</f>
        <v>#VALUE!</v>
      </c>
    </row>
    <row r="106" customFormat="false" ht="12.75" hidden="false" customHeight="true" outlineLevel="0" collapsed="false">
      <c r="E106" s="34" t="str">
        <f aca="false">MID(B106,9,1)</f>
        <v/>
      </c>
      <c r="F106" s="34" t="str">
        <f aca="false">MID(B106,10,1)</f>
        <v/>
      </c>
      <c r="G106" s="34" t="str">
        <f aca="false">MID(B106,11,1)</f>
        <v/>
      </c>
      <c r="H106" s="35" t="str">
        <f aca="false">IF(G106=".",F106,CONCATENATE(F106,G106))</f>
        <v/>
      </c>
      <c r="I106" s="34" t="n">
        <f aca="false">IFERROR(VALUE(H106),)</f>
        <v>0</v>
      </c>
      <c r="J106" s="34" t="e">
        <f aca="false">RIGHT(B106,LEN(B106)-FIND("/",B106, FIND("Single Cells",B106, 1)))</f>
        <v>#VALUE!</v>
      </c>
    </row>
    <row r="107" customFormat="false" ht="12.75" hidden="false" customHeight="true" outlineLevel="0" collapsed="false">
      <c r="E107" s="34" t="str">
        <f aca="false">MID(B107,9,1)</f>
        <v/>
      </c>
      <c r="F107" s="34" t="str">
        <f aca="false">MID(B107,10,1)</f>
        <v/>
      </c>
      <c r="G107" s="34" t="str">
        <f aca="false">MID(B107,11,1)</f>
        <v/>
      </c>
      <c r="H107" s="35" t="str">
        <f aca="false">IF(G107=".",F107,CONCATENATE(F107,G107))</f>
        <v/>
      </c>
      <c r="I107" s="34" t="n">
        <f aca="false">IFERROR(VALUE(H107),)</f>
        <v>0</v>
      </c>
      <c r="J107" s="34" t="e">
        <f aca="false">RIGHT(B107,LEN(B107)-FIND("/",B107, FIND("Single Cells",B107, 1)))</f>
        <v>#VALUE!</v>
      </c>
    </row>
    <row r="108" customFormat="false" ht="12.75" hidden="false" customHeight="true" outlineLevel="0" collapsed="false">
      <c r="E108" s="34" t="str">
        <f aca="false">MID(B108,9,1)</f>
        <v/>
      </c>
      <c r="F108" s="34" t="str">
        <f aca="false">MID(B108,10,1)</f>
        <v/>
      </c>
      <c r="G108" s="34" t="str">
        <f aca="false">MID(B108,11,1)</f>
        <v/>
      </c>
      <c r="H108" s="35" t="str">
        <f aca="false">IF(G108=".",F108,CONCATENATE(F108,G108))</f>
        <v/>
      </c>
      <c r="I108" s="34" t="n">
        <f aca="false">IFERROR(VALUE(H108),)</f>
        <v>0</v>
      </c>
      <c r="J108" s="34" t="e">
        <f aca="false">RIGHT(B108,LEN(B108)-FIND("/",B108, FIND("Single Cells",B108, 1)))</f>
        <v>#VALUE!</v>
      </c>
    </row>
    <row r="109" customFormat="false" ht="12.75" hidden="false" customHeight="true" outlineLevel="0" collapsed="false">
      <c r="E109" s="34" t="str">
        <f aca="false">MID(B109,9,1)</f>
        <v/>
      </c>
      <c r="F109" s="34" t="str">
        <f aca="false">MID(B109,10,1)</f>
        <v/>
      </c>
      <c r="G109" s="34" t="str">
        <f aca="false">MID(B109,11,1)</f>
        <v/>
      </c>
      <c r="H109" s="35" t="str">
        <f aca="false">IF(G109=".",F109,CONCATENATE(F109,G109))</f>
        <v/>
      </c>
      <c r="I109" s="34" t="n">
        <f aca="false">IFERROR(VALUE(H109),)</f>
        <v>0</v>
      </c>
      <c r="J109" s="34" t="e">
        <f aca="false">RIGHT(B109,LEN(B109)-FIND("/",B109, FIND("Single Cells",B109, 1)))</f>
        <v>#VALUE!</v>
      </c>
    </row>
    <row r="110" customFormat="false" ht="12.75" hidden="false" customHeight="true" outlineLevel="0" collapsed="false">
      <c r="E110" s="34" t="str">
        <f aca="false">MID(B110,9,1)</f>
        <v/>
      </c>
      <c r="F110" s="34" t="str">
        <f aca="false">MID(B110,10,1)</f>
        <v/>
      </c>
      <c r="G110" s="34" t="str">
        <f aca="false">MID(B110,11,1)</f>
        <v/>
      </c>
      <c r="H110" s="35" t="str">
        <f aca="false">IF(G110=".",F110,CONCATENATE(F110,G110))</f>
        <v/>
      </c>
      <c r="I110" s="34" t="n">
        <f aca="false">IFERROR(VALUE(H110),)</f>
        <v>0</v>
      </c>
      <c r="J110" s="34" t="e">
        <f aca="false">RIGHT(B110,LEN(B110)-FIND("/",B110, FIND("Single Cells",B110, 1)))</f>
        <v>#VALUE!</v>
      </c>
    </row>
    <row r="111" customFormat="false" ht="12.75" hidden="false" customHeight="true" outlineLevel="0" collapsed="false">
      <c r="E111" s="34" t="str">
        <f aca="false">MID(B111,9,1)</f>
        <v/>
      </c>
      <c r="F111" s="34" t="str">
        <f aca="false">MID(B111,10,1)</f>
        <v/>
      </c>
      <c r="G111" s="34" t="str">
        <f aca="false">MID(B111,11,1)</f>
        <v/>
      </c>
      <c r="H111" s="35" t="str">
        <f aca="false">IF(G111=".",F111,CONCATENATE(F111,G111))</f>
        <v/>
      </c>
      <c r="I111" s="34" t="n">
        <f aca="false">IFERROR(VALUE(H111),)</f>
        <v>0</v>
      </c>
      <c r="J111" s="34" t="e">
        <f aca="false">RIGHT(B111,LEN(B111)-FIND("/",B111, FIND("Single Cells",B111, 1)))</f>
        <v>#VALUE!</v>
      </c>
    </row>
    <row r="112" customFormat="false" ht="12.75" hidden="false" customHeight="true" outlineLevel="0" collapsed="false">
      <c r="E112" s="34" t="str">
        <f aca="false">MID(B112,9,1)</f>
        <v/>
      </c>
      <c r="F112" s="34" t="str">
        <f aca="false">MID(B112,10,1)</f>
        <v/>
      </c>
      <c r="G112" s="34" t="str">
        <f aca="false">MID(B112,11,1)</f>
        <v/>
      </c>
      <c r="H112" s="35" t="str">
        <f aca="false">IF(G112=".",F112,CONCATENATE(F112,G112))</f>
        <v/>
      </c>
      <c r="I112" s="34" t="n">
        <f aca="false">IFERROR(VALUE(H112),)</f>
        <v>0</v>
      </c>
      <c r="J112" s="34" t="e">
        <f aca="false">RIGHT(B112,LEN(B112)-FIND("/",B112, FIND("Single Cells",B112, 1)))</f>
        <v>#VALUE!</v>
      </c>
    </row>
    <row r="113" customFormat="false" ht="12.75" hidden="false" customHeight="true" outlineLevel="0" collapsed="false">
      <c r="E113" s="34" t="str">
        <f aca="false">MID(B113,9,1)</f>
        <v/>
      </c>
      <c r="F113" s="34" t="str">
        <f aca="false">MID(B113,10,1)</f>
        <v/>
      </c>
      <c r="G113" s="34" t="str">
        <f aca="false">MID(B113,11,1)</f>
        <v/>
      </c>
      <c r="H113" s="35" t="str">
        <f aca="false">IF(G113=".",F113,CONCATENATE(F113,G113))</f>
        <v/>
      </c>
      <c r="I113" s="34" t="n">
        <f aca="false">IFERROR(VALUE(H113),)</f>
        <v>0</v>
      </c>
      <c r="J113" s="34" t="e">
        <f aca="false">RIGHT(B113,LEN(B113)-FIND("/",B113, FIND("Single Cells",B113, 1)))</f>
        <v>#VALUE!</v>
      </c>
    </row>
    <row r="114" customFormat="false" ht="12.75" hidden="false" customHeight="true" outlineLevel="0" collapsed="false">
      <c r="E114" s="34" t="str">
        <f aca="false">MID(B114,9,1)</f>
        <v/>
      </c>
      <c r="F114" s="34" t="str">
        <f aca="false">MID(B114,10,1)</f>
        <v/>
      </c>
      <c r="G114" s="34" t="str">
        <f aca="false">MID(B114,11,1)</f>
        <v/>
      </c>
      <c r="H114" s="35" t="str">
        <f aca="false">IF(G114=".",F114,CONCATENATE(F114,G114))</f>
        <v/>
      </c>
      <c r="I114" s="34" t="n">
        <f aca="false">IFERROR(VALUE(H114),)</f>
        <v>0</v>
      </c>
      <c r="J114" s="34" t="e">
        <f aca="false">RIGHT(B114,LEN(B114)-FIND("/",B114, FIND("Single Cells",B114, 1)))</f>
        <v>#VALUE!</v>
      </c>
    </row>
    <row r="115" customFormat="false" ht="12.75" hidden="false" customHeight="true" outlineLevel="0" collapsed="false">
      <c r="E115" s="34" t="str">
        <f aca="false">MID(B115,9,1)</f>
        <v/>
      </c>
      <c r="F115" s="34" t="str">
        <f aca="false">MID(B115,10,1)</f>
        <v/>
      </c>
      <c r="G115" s="34" t="str">
        <f aca="false">MID(B115,11,1)</f>
        <v/>
      </c>
      <c r="H115" s="35" t="str">
        <f aca="false">IF(G115=".",F115,CONCATENATE(F115,G115))</f>
        <v/>
      </c>
      <c r="I115" s="34" t="n">
        <f aca="false">IFERROR(VALUE(H115),)</f>
        <v>0</v>
      </c>
      <c r="J115" s="34" t="e">
        <f aca="false">RIGHT(B115,LEN(B115)-FIND("/",B115, FIND("Single Cells",B115, 1)))</f>
        <v>#VALUE!</v>
      </c>
    </row>
    <row r="116" customFormat="false" ht="12.75" hidden="false" customHeight="true" outlineLevel="0" collapsed="false">
      <c r="E116" s="34" t="str">
        <f aca="false">MID(B116,9,1)</f>
        <v/>
      </c>
      <c r="F116" s="34" t="str">
        <f aca="false">MID(B116,10,1)</f>
        <v/>
      </c>
      <c r="G116" s="34" t="str">
        <f aca="false">MID(B116,11,1)</f>
        <v/>
      </c>
      <c r="H116" s="35" t="str">
        <f aca="false">IF(G116=".",F116,CONCATENATE(F116,G116))</f>
        <v/>
      </c>
      <c r="I116" s="34" t="n">
        <f aca="false">IFERROR(VALUE(H116),)</f>
        <v>0</v>
      </c>
      <c r="J116" s="34" t="e">
        <f aca="false">RIGHT(B116,LEN(B116)-FIND("/",B116, FIND("Single Cells",B116, 1)))</f>
        <v>#VALUE!</v>
      </c>
    </row>
    <row r="117" customFormat="false" ht="12.75" hidden="false" customHeight="true" outlineLevel="0" collapsed="false">
      <c r="E117" s="34" t="str">
        <f aca="false">MID(B117,9,1)</f>
        <v/>
      </c>
      <c r="F117" s="34" t="str">
        <f aca="false">MID(B117,10,1)</f>
        <v/>
      </c>
      <c r="G117" s="34" t="str">
        <f aca="false">MID(B117,11,1)</f>
        <v/>
      </c>
      <c r="H117" s="35" t="str">
        <f aca="false">IF(G117=".",F117,CONCATENATE(F117,G117))</f>
        <v/>
      </c>
      <c r="I117" s="34" t="n">
        <f aca="false">IFERROR(VALUE(H117),)</f>
        <v>0</v>
      </c>
      <c r="J117" s="34" t="e">
        <f aca="false">RIGHT(B117,LEN(B117)-FIND("/",B117, FIND("Single Cells",B117, 1)))</f>
        <v>#VALUE!</v>
      </c>
    </row>
    <row r="118" customFormat="false" ht="12.75" hidden="false" customHeight="true" outlineLevel="0" collapsed="false">
      <c r="E118" s="34" t="str">
        <f aca="false">MID(B118,9,1)</f>
        <v/>
      </c>
      <c r="F118" s="34" t="str">
        <f aca="false">MID(B118,10,1)</f>
        <v/>
      </c>
      <c r="G118" s="34" t="str">
        <f aca="false">MID(B118,11,1)</f>
        <v/>
      </c>
      <c r="H118" s="35" t="str">
        <f aca="false">IF(G118=".",F118,CONCATENATE(F118,G118))</f>
        <v/>
      </c>
      <c r="I118" s="34" t="n">
        <f aca="false">IFERROR(VALUE(H118),)</f>
        <v>0</v>
      </c>
      <c r="J118" s="34" t="e">
        <f aca="false">RIGHT(B118,LEN(B118)-FIND("/",B118, FIND("Single Cells",B118, 1)))</f>
        <v>#VALUE!</v>
      </c>
    </row>
    <row r="119" customFormat="false" ht="12.75" hidden="false" customHeight="true" outlineLevel="0" collapsed="false">
      <c r="E119" s="34" t="str">
        <f aca="false">MID(B119,9,1)</f>
        <v/>
      </c>
      <c r="F119" s="34" t="str">
        <f aca="false">MID(B119,10,1)</f>
        <v/>
      </c>
      <c r="G119" s="34" t="str">
        <f aca="false">MID(B119,11,1)</f>
        <v/>
      </c>
      <c r="H119" s="35" t="str">
        <f aca="false">IF(G119=".",F119,CONCATENATE(F119,G119))</f>
        <v/>
      </c>
      <c r="I119" s="34" t="n">
        <f aca="false">IFERROR(VALUE(H119),)</f>
        <v>0</v>
      </c>
      <c r="J119" s="34" t="e">
        <f aca="false">RIGHT(B119,LEN(B119)-FIND("/",B119, FIND("Single Cells",B119, 1)))</f>
        <v>#VALUE!</v>
      </c>
    </row>
    <row r="120" customFormat="false" ht="12.75" hidden="false" customHeight="true" outlineLevel="0" collapsed="false">
      <c r="E120" s="34" t="str">
        <f aca="false">MID(B120,9,1)</f>
        <v/>
      </c>
      <c r="F120" s="34" t="str">
        <f aca="false">MID(B120,10,1)</f>
        <v/>
      </c>
      <c r="G120" s="34" t="str">
        <f aca="false">MID(B120,11,1)</f>
        <v/>
      </c>
      <c r="H120" s="35" t="str">
        <f aca="false">IF(G120=".",F120,CONCATENATE(F120,G120))</f>
        <v/>
      </c>
      <c r="I120" s="34" t="n">
        <f aca="false">IFERROR(VALUE(H120),)</f>
        <v>0</v>
      </c>
      <c r="J120" s="34" t="e">
        <f aca="false">RIGHT(B120,LEN(B120)-FIND("/",B120, FIND("Single Cells",B120, 1)))</f>
        <v>#VALUE!</v>
      </c>
    </row>
    <row r="121" customFormat="false" ht="12.75" hidden="false" customHeight="true" outlineLevel="0" collapsed="false">
      <c r="E121" s="34" t="str">
        <f aca="false">MID(B121,9,1)</f>
        <v/>
      </c>
      <c r="F121" s="34" t="str">
        <f aca="false">MID(B121,10,1)</f>
        <v/>
      </c>
      <c r="G121" s="34" t="str">
        <f aca="false">MID(B121,11,1)</f>
        <v/>
      </c>
      <c r="H121" s="35" t="str">
        <f aca="false">IF(G121=".",F121,CONCATENATE(F121,G121))</f>
        <v/>
      </c>
      <c r="I121" s="34" t="n">
        <f aca="false">IFERROR(VALUE(H121),)</f>
        <v>0</v>
      </c>
      <c r="J121" s="34" t="e">
        <f aca="false">RIGHT(B121,LEN(B121)-FIND("/",B121, FIND("Single Cells",B121, 1)))</f>
        <v>#VALUE!</v>
      </c>
    </row>
    <row r="122" customFormat="false" ht="12.75" hidden="false" customHeight="true" outlineLevel="0" collapsed="false">
      <c r="E122" s="34" t="str">
        <f aca="false">MID(B122,9,1)</f>
        <v/>
      </c>
      <c r="F122" s="34" t="str">
        <f aca="false">MID(B122,10,1)</f>
        <v/>
      </c>
      <c r="G122" s="34" t="str">
        <f aca="false">MID(B122,11,1)</f>
        <v/>
      </c>
      <c r="H122" s="35" t="str">
        <f aca="false">IF(G122=".",F122,CONCATENATE(F122,G122))</f>
        <v/>
      </c>
      <c r="I122" s="34" t="n">
        <f aca="false">IFERROR(VALUE(H122),)</f>
        <v>0</v>
      </c>
      <c r="J122" s="34" t="e">
        <f aca="false">RIGHT(B122,LEN(B122)-FIND("/",B122, FIND("Single Cells",B122, 1)))</f>
        <v>#VALUE!</v>
      </c>
    </row>
    <row r="123" customFormat="false" ht="12.75" hidden="false" customHeight="true" outlineLevel="0" collapsed="false">
      <c r="E123" s="34" t="str">
        <f aca="false">MID(B123,9,1)</f>
        <v/>
      </c>
      <c r="F123" s="34" t="str">
        <f aca="false">MID(B123,10,1)</f>
        <v/>
      </c>
      <c r="G123" s="34" t="str">
        <f aca="false">MID(B123,11,1)</f>
        <v/>
      </c>
      <c r="H123" s="35" t="str">
        <f aca="false">IF(G123=".",F123,CONCATENATE(F123,G123))</f>
        <v/>
      </c>
      <c r="I123" s="34" t="n">
        <f aca="false">IFERROR(VALUE(H123),)</f>
        <v>0</v>
      </c>
      <c r="J123" s="34" t="e">
        <f aca="false">RIGHT(B123,LEN(B123)-FIND("/",B123, FIND("Single Cells",B123, 1)))</f>
        <v>#VALUE!</v>
      </c>
    </row>
    <row r="124" customFormat="false" ht="12.75" hidden="false" customHeight="true" outlineLevel="0" collapsed="false">
      <c r="E124" s="34" t="str">
        <f aca="false">MID(B124,9,1)</f>
        <v/>
      </c>
      <c r="F124" s="34" t="str">
        <f aca="false">MID(B124,10,1)</f>
        <v/>
      </c>
      <c r="G124" s="34" t="str">
        <f aca="false">MID(B124,11,1)</f>
        <v/>
      </c>
      <c r="H124" s="35" t="str">
        <f aca="false">IF(G124=".",F124,CONCATENATE(F124,G124))</f>
        <v/>
      </c>
      <c r="I124" s="34" t="n">
        <f aca="false">IFERROR(VALUE(H124),)</f>
        <v>0</v>
      </c>
      <c r="J124" s="34" t="e">
        <f aca="false">RIGHT(B124,LEN(B124)-FIND("/",B124, FIND("Single Cells",B124, 1)))</f>
        <v>#VALUE!</v>
      </c>
    </row>
    <row r="125" customFormat="false" ht="12.75" hidden="false" customHeight="true" outlineLevel="0" collapsed="false">
      <c r="E125" s="34" t="str">
        <f aca="false">MID(B125,9,1)</f>
        <v/>
      </c>
      <c r="F125" s="34" t="str">
        <f aca="false">MID(B125,10,1)</f>
        <v/>
      </c>
      <c r="G125" s="34" t="str">
        <f aca="false">MID(B125,11,1)</f>
        <v/>
      </c>
      <c r="H125" s="35" t="str">
        <f aca="false">IF(G125=".",F125,CONCATENATE(F125,G125))</f>
        <v/>
      </c>
      <c r="I125" s="34" t="n">
        <f aca="false">IFERROR(VALUE(H125),)</f>
        <v>0</v>
      </c>
      <c r="J125" s="34" t="e">
        <f aca="false">RIGHT(B125,LEN(B125)-FIND("/",B125, FIND("Single Cells",B125, 1)))</f>
        <v>#VALUE!</v>
      </c>
    </row>
    <row r="126" customFormat="false" ht="12.75" hidden="false" customHeight="true" outlineLevel="0" collapsed="false">
      <c r="E126" s="34" t="str">
        <f aca="false">MID(B126,9,1)</f>
        <v/>
      </c>
      <c r="F126" s="34" t="str">
        <f aca="false">MID(B126,10,1)</f>
        <v/>
      </c>
      <c r="G126" s="34" t="str">
        <f aca="false">MID(B126,11,1)</f>
        <v/>
      </c>
      <c r="H126" s="35" t="str">
        <f aca="false">IF(G126=".",F126,CONCATENATE(F126,G126))</f>
        <v/>
      </c>
      <c r="I126" s="34" t="n">
        <f aca="false">IFERROR(VALUE(H126),)</f>
        <v>0</v>
      </c>
      <c r="J126" s="34" t="e">
        <f aca="false">RIGHT(B126,LEN(B126)-FIND("/",B126, FIND("Single Cells",B126, 1)))</f>
        <v>#VALUE!</v>
      </c>
    </row>
    <row r="127" customFormat="false" ht="12.75" hidden="false" customHeight="true" outlineLevel="0" collapsed="false">
      <c r="E127" s="34" t="str">
        <f aca="false">MID(B127,9,1)</f>
        <v/>
      </c>
      <c r="F127" s="34" t="str">
        <f aca="false">MID(B127,10,1)</f>
        <v/>
      </c>
      <c r="G127" s="34" t="str">
        <f aca="false">MID(B127,11,1)</f>
        <v/>
      </c>
      <c r="H127" s="35" t="str">
        <f aca="false">IF(G127=".",F127,CONCATENATE(F127,G127))</f>
        <v/>
      </c>
      <c r="I127" s="34" t="n">
        <f aca="false">IFERROR(VALUE(H127),)</f>
        <v>0</v>
      </c>
      <c r="J127" s="34" t="e">
        <f aca="false">RIGHT(B127,LEN(B127)-FIND("/",B127, FIND("Single Cells",B127, 1)))</f>
        <v>#VALUE!</v>
      </c>
    </row>
    <row r="128" customFormat="false" ht="12.75" hidden="false" customHeight="true" outlineLevel="0" collapsed="false">
      <c r="E128" s="34" t="str">
        <f aca="false">MID(B128,9,1)</f>
        <v/>
      </c>
      <c r="F128" s="34" t="str">
        <f aca="false">MID(B128,10,1)</f>
        <v/>
      </c>
      <c r="G128" s="34" t="str">
        <f aca="false">MID(B128,11,1)</f>
        <v/>
      </c>
      <c r="H128" s="35" t="str">
        <f aca="false">IF(G128=".",F128,CONCATENATE(F128,G128))</f>
        <v/>
      </c>
      <c r="I128" s="34" t="n">
        <f aca="false">IFERROR(VALUE(H128),)</f>
        <v>0</v>
      </c>
      <c r="J128" s="34" t="e">
        <f aca="false">RIGHT(B128,LEN(B128)-FIND("/",B128, FIND("Single Cells",B128, 1)))</f>
        <v>#VALUE!</v>
      </c>
    </row>
    <row r="129" customFormat="false" ht="12.75" hidden="false" customHeight="true" outlineLevel="0" collapsed="false">
      <c r="E129" s="34" t="str">
        <f aca="false">MID(B129,9,1)</f>
        <v/>
      </c>
      <c r="F129" s="34" t="str">
        <f aca="false">MID(B129,10,1)</f>
        <v/>
      </c>
      <c r="G129" s="34" t="str">
        <f aca="false">MID(B129,11,1)</f>
        <v/>
      </c>
      <c r="H129" s="35" t="str">
        <f aca="false">IF(G129=".",F129,CONCATENATE(F129,G129))</f>
        <v/>
      </c>
      <c r="I129" s="34" t="n">
        <f aca="false">IFERROR(VALUE(H129),)</f>
        <v>0</v>
      </c>
      <c r="J129" s="34" t="e">
        <f aca="false">RIGHT(B129,LEN(B129)-FIND("/",B129, FIND("Single Cells",B129, 1)))</f>
        <v>#VALUE!</v>
      </c>
    </row>
    <row r="130" customFormat="false" ht="12.75" hidden="false" customHeight="true" outlineLevel="0" collapsed="false">
      <c r="E130" s="34" t="str">
        <f aca="false">MID(B130,9,1)</f>
        <v/>
      </c>
      <c r="F130" s="34" t="str">
        <f aca="false">MID(B130,10,1)</f>
        <v/>
      </c>
      <c r="G130" s="34" t="str">
        <f aca="false">MID(B130,11,1)</f>
        <v/>
      </c>
      <c r="H130" s="35" t="str">
        <f aca="false">IF(G130=".",F130,CONCATENATE(F130,G130))</f>
        <v/>
      </c>
      <c r="I130" s="34" t="n">
        <f aca="false">IFERROR(VALUE(H130),)</f>
        <v>0</v>
      </c>
      <c r="J130" s="34" t="e">
        <f aca="false">RIGHT(B130,LEN(B130)-FIND("/",B130, FIND("Single Cells",B130, 1)))</f>
        <v>#VALUE!</v>
      </c>
    </row>
    <row r="131" customFormat="false" ht="12.75" hidden="false" customHeight="true" outlineLevel="0" collapsed="false">
      <c r="E131" s="34" t="str">
        <f aca="false">MID(B131,9,1)</f>
        <v/>
      </c>
      <c r="F131" s="34" t="str">
        <f aca="false">MID(B131,10,1)</f>
        <v/>
      </c>
      <c r="G131" s="34" t="str">
        <f aca="false">MID(B131,11,1)</f>
        <v/>
      </c>
      <c r="H131" s="35" t="str">
        <f aca="false">IF(G131=".",F131,CONCATENATE(F131,G131))</f>
        <v/>
      </c>
      <c r="I131" s="34" t="n">
        <f aca="false">IFERROR(VALUE(H131),)</f>
        <v>0</v>
      </c>
      <c r="J131" s="34" t="e">
        <f aca="false">RIGHT(B131,LEN(B131)-FIND("/",B131, FIND("Single Cells",B131, 1)))</f>
        <v>#VALUE!</v>
      </c>
    </row>
    <row r="132" customFormat="false" ht="12.75" hidden="false" customHeight="true" outlineLevel="0" collapsed="false">
      <c r="E132" s="34" t="str">
        <f aca="false">MID(B132,9,1)</f>
        <v/>
      </c>
      <c r="F132" s="34" t="str">
        <f aca="false">MID(B132,10,1)</f>
        <v/>
      </c>
      <c r="G132" s="34" t="str">
        <f aca="false">MID(B132,11,1)</f>
        <v/>
      </c>
      <c r="H132" s="35" t="str">
        <f aca="false">IF(G132=".",F132,CONCATENATE(F132,G132))</f>
        <v/>
      </c>
      <c r="I132" s="34" t="n">
        <f aca="false">IFERROR(VALUE(H132),)</f>
        <v>0</v>
      </c>
      <c r="J132" s="34" t="e">
        <f aca="false">RIGHT(B132,LEN(B132)-FIND("/",B132, FIND("Single Cells",B132, 1)))</f>
        <v>#VALUE!</v>
      </c>
    </row>
    <row r="133" customFormat="false" ht="12.75" hidden="false" customHeight="true" outlineLevel="0" collapsed="false">
      <c r="E133" s="34" t="str">
        <f aca="false">MID(B133,9,1)</f>
        <v/>
      </c>
      <c r="F133" s="34" t="str">
        <f aca="false">MID(B133,10,1)</f>
        <v/>
      </c>
      <c r="G133" s="34" t="str">
        <f aca="false">MID(B133,11,1)</f>
        <v/>
      </c>
      <c r="H133" s="35" t="str">
        <f aca="false">IF(G133=".",F133,CONCATENATE(F133,G133))</f>
        <v/>
      </c>
      <c r="I133" s="34" t="n">
        <f aca="false">IFERROR(VALUE(H133),)</f>
        <v>0</v>
      </c>
      <c r="J133" s="34" t="e">
        <f aca="false">RIGHT(B133,LEN(B133)-FIND("/",B133, FIND("Single Cells",B133, 1)))</f>
        <v>#VALUE!</v>
      </c>
    </row>
    <row r="134" customFormat="false" ht="12.75" hidden="false" customHeight="true" outlineLevel="0" collapsed="false">
      <c r="E134" s="34" t="str">
        <f aca="false">MID(B134,9,1)</f>
        <v/>
      </c>
      <c r="F134" s="34" t="str">
        <f aca="false">MID(B134,10,1)</f>
        <v/>
      </c>
      <c r="G134" s="34" t="str">
        <f aca="false">MID(B134,11,1)</f>
        <v/>
      </c>
      <c r="H134" s="35" t="str">
        <f aca="false">IF(G134=".",F134,CONCATENATE(F134,G134))</f>
        <v/>
      </c>
      <c r="I134" s="34" t="n">
        <f aca="false">IFERROR(VALUE(H134),)</f>
        <v>0</v>
      </c>
      <c r="J134" s="34" t="e">
        <f aca="false">RIGHT(B134,LEN(B134)-FIND("/",B134, FIND("Single Cells",B134, 1)))</f>
        <v>#VALUE!</v>
      </c>
    </row>
    <row r="135" customFormat="false" ht="12.75" hidden="false" customHeight="true" outlineLevel="0" collapsed="false">
      <c r="E135" s="34" t="str">
        <f aca="false">MID(B135,9,1)</f>
        <v/>
      </c>
      <c r="F135" s="34" t="str">
        <f aca="false">MID(B135,10,1)</f>
        <v/>
      </c>
      <c r="G135" s="34" t="str">
        <f aca="false">MID(B135,11,1)</f>
        <v/>
      </c>
      <c r="H135" s="35" t="str">
        <f aca="false">IF(G135=".",F135,CONCATENATE(F135,G135))</f>
        <v/>
      </c>
      <c r="I135" s="34" t="n">
        <f aca="false">IFERROR(VALUE(H135),)</f>
        <v>0</v>
      </c>
      <c r="J135" s="34" t="e">
        <f aca="false">RIGHT(B135,LEN(B135)-FIND("/",B135, FIND("Single Cells",B135, 1)))</f>
        <v>#VALUE!</v>
      </c>
    </row>
    <row r="136" customFormat="false" ht="12.75" hidden="false" customHeight="true" outlineLevel="0" collapsed="false">
      <c r="E136" s="34" t="str">
        <f aca="false">MID(B136,9,1)</f>
        <v/>
      </c>
      <c r="F136" s="34" t="str">
        <f aca="false">MID(B136,10,1)</f>
        <v/>
      </c>
      <c r="G136" s="34" t="str">
        <f aca="false">MID(B136,11,1)</f>
        <v/>
      </c>
      <c r="H136" s="35" t="str">
        <f aca="false">IF(G136=".",F136,CONCATENATE(F136,G136))</f>
        <v/>
      </c>
      <c r="I136" s="34" t="n">
        <f aca="false">IFERROR(VALUE(H136),)</f>
        <v>0</v>
      </c>
      <c r="J136" s="34" t="e">
        <f aca="false">RIGHT(B136,LEN(B136)-FIND("/",B136, FIND("Single Cells",B136, 1)))</f>
        <v>#VALUE!</v>
      </c>
    </row>
    <row r="137" customFormat="false" ht="12.75" hidden="false" customHeight="true" outlineLevel="0" collapsed="false">
      <c r="E137" s="34" t="str">
        <f aca="false">MID(B137,9,1)</f>
        <v/>
      </c>
      <c r="F137" s="34" t="str">
        <f aca="false">MID(B137,10,1)</f>
        <v/>
      </c>
      <c r="G137" s="34" t="str">
        <f aca="false">MID(B137,11,1)</f>
        <v/>
      </c>
      <c r="H137" s="35" t="str">
        <f aca="false">IF(G137=".",F137,CONCATENATE(F137,G137))</f>
        <v/>
      </c>
      <c r="I137" s="34" t="n">
        <f aca="false">IFERROR(VALUE(H137),)</f>
        <v>0</v>
      </c>
      <c r="J137" s="34" t="e">
        <f aca="false">RIGHT(B137,LEN(B137)-FIND("/",B137, FIND("Single Cells",B137, 1)))</f>
        <v>#VALUE!</v>
      </c>
    </row>
    <row r="138" customFormat="false" ht="12.75" hidden="false" customHeight="true" outlineLevel="0" collapsed="false">
      <c r="E138" s="34" t="str">
        <f aca="false">MID(B138,9,1)</f>
        <v/>
      </c>
      <c r="F138" s="34" t="str">
        <f aca="false">MID(B138,10,1)</f>
        <v/>
      </c>
      <c r="G138" s="34" t="str">
        <f aca="false">MID(B138,11,1)</f>
        <v/>
      </c>
      <c r="H138" s="35" t="str">
        <f aca="false">IF(G138=".",F138,CONCATENATE(F138,G138))</f>
        <v/>
      </c>
      <c r="I138" s="34" t="n">
        <f aca="false">IFERROR(VALUE(H138),)</f>
        <v>0</v>
      </c>
      <c r="J138" s="34" t="e">
        <f aca="false">RIGHT(B138,LEN(B138)-FIND("/",B138, FIND("Single Cells",B138, 1)))</f>
        <v>#VALUE!</v>
      </c>
    </row>
    <row r="139" customFormat="false" ht="12.75" hidden="false" customHeight="true" outlineLevel="0" collapsed="false">
      <c r="E139" s="34" t="str">
        <f aca="false">MID(B139,9,1)</f>
        <v/>
      </c>
      <c r="F139" s="34" t="str">
        <f aca="false">MID(B139,10,1)</f>
        <v/>
      </c>
      <c r="G139" s="34" t="str">
        <f aca="false">MID(B139,11,1)</f>
        <v/>
      </c>
      <c r="H139" s="35" t="str">
        <f aca="false">IF(G139=".",F139,CONCATENATE(F139,G139))</f>
        <v/>
      </c>
      <c r="I139" s="34" t="n">
        <f aca="false">IFERROR(VALUE(H139),)</f>
        <v>0</v>
      </c>
      <c r="J139" s="34" t="e">
        <f aca="false">RIGHT(B139,LEN(B139)-FIND("/",B139, FIND("Single Cells",B139, 1)))</f>
        <v>#VALUE!</v>
      </c>
    </row>
    <row r="140" customFormat="false" ht="12.75" hidden="false" customHeight="true" outlineLevel="0" collapsed="false">
      <c r="E140" s="34" t="str">
        <f aca="false">MID(B140,9,1)</f>
        <v/>
      </c>
      <c r="F140" s="34" t="str">
        <f aca="false">MID(B140,10,1)</f>
        <v/>
      </c>
      <c r="G140" s="34" t="str">
        <f aca="false">MID(B140,11,1)</f>
        <v/>
      </c>
      <c r="H140" s="35" t="str">
        <f aca="false">IF(G140=".",F140,CONCATENATE(F140,G140))</f>
        <v/>
      </c>
      <c r="I140" s="34" t="n">
        <f aca="false">IFERROR(VALUE(H140),)</f>
        <v>0</v>
      </c>
      <c r="J140" s="34" t="e">
        <f aca="false">RIGHT(B140,LEN(B140)-FIND("/",B140, FIND("Single Cells",B140, 1)))</f>
        <v>#VALUE!</v>
      </c>
    </row>
    <row r="141" customFormat="false" ht="12.75" hidden="false" customHeight="true" outlineLevel="0" collapsed="false">
      <c r="E141" s="34" t="str">
        <f aca="false">MID(B141,9,1)</f>
        <v/>
      </c>
      <c r="F141" s="34" t="str">
        <f aca="false">MID(B141,10,1)</f>
        <v/>
      </c>
      <c r="G141" s="34" t="str">
        <f aca="false">MID(B141,11,1)</f>
        <v/>
      </c>
      <c r="H141" s="35" t="str">
        <f aca="false">IF(G141=".",F141,CONCATENATE(F141,G141))</f>
        <v/>
      </c>
      <c r="I141" s="34" t="n">
        <f aca="false">IFERROR(VALUE(H141),)</f>
        <v>0</v>
      </c>
      <c r="J141" s="34" t="e">
        <f aca="false">RIGHT(B141,LEN(B141)-FIND("/",B141, FIND("Single Cells",B141, 1)))</f>
        <v>#VALUE!</v>
      </c>
    </row>
    <row r="142" customFormat="false" ht="12.75" hidden="false" customHeight="true" outlineLevel="0" collapsed="false">
      <c r="E142" s="34" t="str">
        <f aca="false">MID(B142,9,1)</f>
        <v/>
      </c>
      <c r="F142" s="34" t="str">
        <f aca="false">MID(B142,10,1)</f>
        <v/>
      </c>
      <c r="G142" s="34" t="str">
        <f aca="false">MID(B142,11,1)</f>
        <v/>
      </c>
      <c r="H142" s="35" t="str">
        <f aca="false">IF(G142=".",F142,CONCATENATE(F142,G142))</f>
        <v/>
      </c>
      <c r="I142" s="34" t="n">
        <f aca="false">IFERROR(VALUE(H142),)</f>
        <v>0</v>
      </c>
      <c r="J142" s="34" t="e">
        <f aca="false">RIGHT(B142,LEN(B142)-FIND("/",B142, FIND("Single Cells",B142, 1)))</f>
        <v>#VALUE!</v>
      </c>
    </row>
    <row r="143" customFormat="false" ht="12.75" hidden="false" customHeight="true" outlineLevel="0" collapsed="false">
      <c r="E143" s="34" t="str">
        <f aca="false">MID(B143,9,1)</f>
        <v/>
      </c>
      <c r="F143" s="34" t="str">
        <f aca="false">MID(B143,10,1)</f>
        <v/>
      </c>
      <c r="G143" s="34" t="str">
        <f aca="false">MID(B143,11,1)</f>
        <v/>
      </c>
      <c r="H143" s="35" t="str">
        <f aca="false">IF(G143=".",F143,CONCATENATE(F143,G143))</f>
        <v/>
      </c>
      <c r="I143" s="34" t="n">
        <f aca="false">IFERROR(VALUE(H143),)</f>
        <v>0</v>
      </c>
      <c r="J143" s="34" t="e">
        <f aca="false">RIGHT(B143,LEN(B143)-FIND("/",B143, FIND("Single Cells",B143, 1)))</f>
        <v>#VALUE!</v>
      </c>
    </row>
    <row r="144" customFormat="false" ht="12.75" hidden="false" customHeight="true" outlineLevel="0" collapsed="false">
      <c r="E144" s="34" t="str">
        <f aca="false">MID(B144,9,1)</f>
        <v/>
      </c>
      <c r="F144" s="34" t="str">
        <f aca="false">MID(B144,10,1)</f>
        <v/>
      </c>
      <c r="G144" s="34" t="str">
        <f aca="false">MID(B144,11,1)</f>
        <v/>
      </c>
      <c r="H144" s="35" t="str">
        <f aca="false">IF(G144=".",F144,CONCATENATE(F144,G144))</f>
        <v/>
      </c>
      <c r="I144" s="34" t="n">
        <f aca="false">IFERROR(VALUE(H144),)</f>
        <v>0</v>
      </c>
      <c r="J144" s="34" t="e">
        <f aca="false">RIGHT(B144,LEN(B144)-FIND("/",B144, FIND("Single Cells",B144, 1)))</f>
        <v>#VALUE!</v>
      </c>
    </row>
    <row r="145" customFormat="false" ht="12.75" hidden="false" customHeight="true" outlineLevel="0" collapsed="false">
      <c r="E145" s="34" t="str">
        <f aca="false">MID(B145,9,1)</f>
        <v/>
      </c>
      <c r="F145" s="34" t="str">
        <f aca="false">MID(B145,10,1)</f>
        <v/>
      </c>
      <c r="G145" s="34" t="str">
        <f aca="false">MID(B145,11,1)</f>
        <v/>
      </c>
      <c r="H145" s="35" t="str">
        <f aca="false">IF(G145=".",F145,CONCATENATE(F145,G145))</f>
        <v/>
      </c>
      <c r="I145" s="34" t="n">
        <f aca="false">IFERROR(VALUE(H145),)</f>
        <v>0</v>
      </c>
      <c r="J145" s="34" t="e">
        <f aca="false">RIGHT(B145,LEN(B145)-FIND("/",B145, FIND("Single Cells",B145, 1)))</f>
        <v>#VALUE!</v>
      </c>
    </row>
    <row r="146" customFormat="false" ht="12.75" hidden="false" customHeight="true" outlineLevel="0" collapsed="false">
      <c r="E146" s="34" t="str">
        <f aca="false">MID(B146,9,1)</f>
        <v/>
      </c>
      <c r="F146" s="34" t="str">
        <f aca="false">MID(B146,10,1)</f>
        <v/>
      </c>
      <c r="G146" s="34" t="str">
        <f aca="false">MID(B146,11,1)</f>
        <v/>
      </c>
      <c r="H146" s="35" t="str">
        <f aca="false">IF(G146=".",F146,CONCATENATE(F146,G146))</f>
        <v/>
      </c>
      <c r="I146" s="34" t="n">
        <f aca="false">IFERROR(VALUE(H146),)</f>
        <v>0</v>
      </c>
      <c r="J146" s="34" t="e">
        <f aca="false">RIGHT(B146,LEN(B146)-FIND("/",B146, FIND("Single Cells",B146, 1)))</f>
        <v>#VALUE!</v>
      </c>
    </row>
    <row r="147" customFormat="false" ht="12.75" hidden="false" customHeight="true" outlineLevel="0" collapsed="false">
      <c r="E147" s="34" t="str">
        <f aca="false">MID(B147,9,1)</f>
        <v/>
      </c>
      <c r="F147" s="34" t="str">
        <f aca="false">MID(B147,10,1)</f>
        <v/>
      </c>
      <c r="G147" s="34" t="str">
        <f aca="false">MID(B147,11,1)</f>
        <v/>
      </c>
      <c r="H147" s="35" t="str">
        <f aca="false">IF(G147=".",F147,CONCATENATE(F147,G147))</f>
        <v/>
      </c>
      <c r="I147" s="34" t="n">
        <f aca="false">IFERROR(VALUE(H147),)</f>
        <v>0</v>
      </c>
      <c r="J147" s="34" t="e">
        <f aca="false">RIGHT(B147,LEN(B147)-FIND("/",B147, FIND("Single Cells",B147, 1)))</f>
        <v>#VALUE!</v>
      </c>
    </row>
    <row r="148" customFormat="false" ht="12.75" hidden="false" customHeight="true" outlineLevel="0" collapsed="false">
      <c r="E148" s="34" t="str">
        <f aca="false">MID(B148,9,1)</f>
        <v/>
      </c>
      <c r="F148" s="34" t="str">
        <f aca="false">MID(B148,10,1)</f>
        <v/>
      </c>
      <c r="G148" s="34" t="str">
        <f aca="false">MID(B148,11,1)</f>
        <v/>
      </c>
      <c r="H148" s="35" t="str">
        <f aca="false">IF(G148=".",F148,CONCATENATE(F148,G148))</f>
        <v/>
      </c>
      <c r="I148" s="34" t="n">
        <f aca="false">IFERROR(VALUE(H148),)</f>
        <v>0</v>
      </c>
      <c r="J148" s="34" t="e">
        <f aca="false">RIGHT(B148,LEN(B148)-FIND("/",B148, FIND("Single Cells",B148, 1)))</f>
        <v>#VALUE!</v>
      </c>
    </row>
    <row r="149" customFormat="false" ht="12.75" hidden="false" customHeight="true" outlineLevel="0" collapsed="false">
      <c r="E149" s="34" t="str">
        <f aca="false">MID(B149,9,1)</f>
        <v/>
      </c>
      <c r="F149" s="34" t="str">
        <f aca="false">MID(B149,10,1)</f>
        <v/>
      </c>
      <c r="G149" s="34" t="str">
        <f aca="false">MID(B149,11,1)</f>
        <v/>
      </c>
      <c r="H149" s="35" t="str">
        <f aca="false">IF(G149=".",F149,CONCATENATE(F149,G149))</f>
        <v/>
      </c>
      <c r="I149" s="34" t="n">
        <f aca="false">IFERROR(VALUE(H149),)</f>
        <v>0</v>
      </c>
      <c r="J149" s="34" t="e">
        <f aca="false">RIGHT(B149,LEN(B149)-FIND("/",B149, FIND("Single Cells",B149, 1)))</f>
        <v>#VALUE!</v>
      </c>
    </row>
    <row r="150" customFormat="false" ht="12.75" hidden="false" customHeight="true" outlineLevel="0" collapsed="false">
      <c r="E150" s="34" t="str">
        <f aca="false">MID(B150,9,1)</f>
        <v/>
      </c>
      <c r="F150" s="34" t="str">
        <f aca="false">MID(B150,10,1)</f>
        <v/>
      </c>
      <c r="G150" s="34" t="str">
        <f aca="false">MID(B150,11,1)</f>
        <v/>
      </c>
      <c r="H150" s="35" t="str">
        <f aca="false">IF(G150=".",F150,CONCATENATE(F150,G150))</f>
        <v/>
      </c>
      <c r="I150" s="34" t="n">
        <f aca="false">IFERROR(VALUE(H150),)</f>
        <v>0</v>
      </c>
      <c r="J150" s="34" t="e">
        <f aca="false">RIGHT(B150,LEN(B150)-FIND("/",B150, FIND("Single Cells",B150, 1)))</f>
        <v>#VALUE!</v>
      </c>
    </row>
    <row r="151" customFormat="false" ht="12.75" hidden="false" customHeight="true" outlineLevel="0" collapsed="false">
      <c r="E151" s="34" t="str">
        <f aca="false">MID(B151,9,1)</f>
        <v/>
      </c>
      <c r="F151" s="34" t="str">
        <f aca="false">MID(B151,10,1)</f>
        <v/>
      </c>
      <c r="G151" s="34" t="str">
        <f aca="false">MID(B151,11,1)</f>
        <v/>
      </c>
      <c r="H151" s="35" t="str">
        <f aca="false">IF(G151=".",F151,CONCATENATE(F151,G151))</f>
        <v/>
      </c>
      <c r="I151" s="34" t="n">
        <f aca="false">IFERROR(VALUE(H151),)</f>
        <v>0</v>
      </c>
      <c r="J151" s="34" t="e">
        <f aca="false">RIGHT(B151,LEN(B151)-FIND("/",B151, FIND("Single Cells",B151, 1)))</f>
        <v>#VALUE!</v>
      </c>
    </row>
    <row r="152" customFormat="false" ht="12.75" hidden="false" customHeight="true" outlineLevel="0" collapsed="false">
      <c r="E152" s="34" t="str">
        <f aca="false">MID(B152,9,1)</f>
        <v/>
      </c>
      <c r="F152" s="34" t="str">
        <f aca="false">MID(B152,10,1)</f>
        <v/>
      </c>
      <c r="G152" s="34" t="str">
        <f aca="false">MID(B152,11,1)</f>
        <v/>
      </c>
      <c r="H152" s="35" t="str">
        <f aca="false">IF(G152=".",F152,CONCATENATE(F152,G152))</f>
        <v/>
      </c>
      <c r="I152" s="34" t="n">
        <f aca="false">IFERROR(VALUE(H152),)</f>
        <v>0</v>
      </c>
      <c r="J152" s="34" t="e">
        <f aca="false">RIGHT(B152,LEN(B152)-FIND("/",B152, FIND("Single Cells",B152, 1)))</f>
        <v>#VALUE!</v>
      </c>
    </row>
    <row r="153" customFormat="false" ht="12.75" hidden="false" customHeight="true" outlineLevel="0" collapsed="false">
      <c r="E153" s="34" t="str">
        <f aca="false">MID(B153,9,1)</f>
        <v/>
      </c>
      <c r="F153" s="34" t="str">
        <f aca="false">MID(B153,10,1)</f>
        <v/>
      </c>
      <c r="G153" s="34" t="str">
        <f aca="false">MID(B153,11,1)</f>
        <v/>
      </c>
      <c r="H153" s="35" t="str">
        <f aca="false">IF(G153=".",F153,CONCATENATE(F153,G153))</f>
        <v/>
      </c>
      <c r="I153" s="34" t="n">
        <f aca="false">IFERROR(VALUE(H153),)</f>
        <v>0</v>
      </c>
      <c r="J153" s="34" t="e">
        <f aca="false">RIGHT(B153,LEN(B153)-FIND("/",B153, FIND("Single Cells",B153, 1)))</f>
        <v>#VALUE!</v>
      </c>
    </row>
    <row r="154" customFormat="false" ht="12.75" hidden="false" customHeight="true" outlineLevel="0" collapsed="false">
      <c r="E154" s="34" t="str">
        <f aca="false">MID(B154,9,1)</f>
        <v/>
      </c>
      <c r="F154" s="34" t="str">
        <f aca="false">MID(B154,10,1)</f>
        <v/>
      </c>
      <c r="G154" s="34" t="str">
        <f aca="false">MID(B154,11,1)</f>
        <v/>
      </c>
      <c r="H154" s="35" t="str">
        <f aca="false">IF(G154=".",F154,CONCATENATE(F154,G154))</f>
        <v/>
      </c>
      <c r="I154" s="34" t="n">
        <f aca="false">IFERROR(VALUE(H154),)</f>
        <v>0</v>
      </c>
      <c r="J154" s="34" t="e">
        <f aca="false">RIGHT(B154,LEN(B154)-FIND("/",B154, FIND("Single Cells",B154, 1)))</f>
        <v>#VALUE!</v>
      </c>
    </row>
    <row r="155" customFormat="false" ht="12.75" hidden="false" customHeight="true" outlineLevel="0" collapsed="false">
      <c r="E155" s="34" t="str">
        <f aca="false">MID(B155,9,1)</f>
        <v/>
      </c>
      <c r="F155" s="34" t="str">
        <f aca="false">MID(B155,10,1)</f>
        <v/>
      </c>
      <c r="G155" s="34" t="str">
        <f aca="false">MID(B155,11,1)</f>
        <v/>
      </c>
      <c r="H155" s="35" t="str">
        <f aca="false">IF(G155=".",F155,CONCATENATE(F155,G155))</f>
        <v/>
      </c>
      <c r="I155" s="34" t="n">
        <f aca="false">IFERROR(VALUE(H155),)</f>
        <v>0</v>
      </c>
      <c r="J155" s="34" t="e">
        <f aca="false">RIGHT(B155,LEN(B155)-FIND("/",B155, FIND("Single Cells",B155, 1)))</f>
        <v>#VALUE!</v>
      </c>
    </row>
    <row r="156" customFormat="false" ht="12.75" hidden="false" customHeight="true" outlineLevel="0" collapsed="false">
      <c r="E156" s="34" t="str">
        <f aca="false">MID(B156,9,1)</f>
        <v/>
      </c>
      <c r="F156" s="34" t="str">
        <f aca="false">MID(B156,10,1)</f>
        <v/>
      </c>
      <c r="G156" s="34" t="str">
        <f aca="false">MID(B156,11,1)</f>
        <v/>
      </c>
      <c r="H156" s="35" t="str">
        <f aca="false">IF(G156=".",F156,CONCATENATE(F156,G156))</f>
        <v/>
      </c>
      <c r="I156" s="34" t="n">
        <f aca="false">IFERROR(VALUE(H156),)</f>
        <v>0</v>
      </c>
      <c r="J156" s="34" t="e">
        <f aca="false">RIGHT(B156,LEN(B156)-FIND("/",B156, FIND("Single Cells",B156, 1)))</f>
        <v>#VALUE!</v>
      </c>
    </row>
    <row r="157" customFormat="false" ht="12.75" hidden="false" customHeight="true" outlineLevel="0" collapsed="false">
      <c r="E157" s="34" t="str">
        <f aca="false">MID(B157,9,1)</f>
        <v/>
      </c>
      <c r="F157" s="34" t="str">
        <f aca="false">MID(B157,10,1)</f>
        <v/>
      </c>
      <c r="G157" s="34" t="str">
        <f aca="false">MID(B157,11,1)</f>
        <v/>
      </c>
      <c r="H157" s="35" t="str">
        <f aca="false">IF(G157=".",F157,CONCATENATE(F157,G157))</f>
        <v/>
      </c>
      <c r="I157" s="34" t="n">
        <f aca="false">IFERROR(VALUE(H157),)</f>
        <v>0</v>
      </c>
      <c r="J157" s="34" t="e">
        <f aca="false">RIGHT(B157,LEN(B157)-FIND("/",B157, FIND("Single Cells",B157, 1)))</f>
        <v>#VALUE!</v>
      </c>
    </row>
    <row r="158" customFormat="false" ht="12.75" hidden="false" customHeight="true" outlineLevel="0" collapsed="false">
      <c r="E158" s="34" t="str">
        <f aca="false">MID(B158,9,1)</f>
        <v/>
      </c>
      <c r="F158" s="34" t="str">
        <f aca="false">MID(B158,10,1)</f>
        <v/>
      </c>
      <c r="G158" s="34" t="str">
        <f aca="false">MID(B158,11,1)</f>
        <v/>
      </c>
      <c r="H158" s="35" t="str">
        <f aca="false">IF(G158=".",F158,CONCATENATE(F158,G158))</f>
        <v/>
      </c>
      <c r="I158" s="34" t="n">
        <f aca="false">IFERROR(VALUE(H158),)</f>
        <v>0</v>
      </c>
      <c r="J158" s="34" t="e">
        <f aca="false">RIGHT(B158,LEN(B158)-FIND("/",B158, FIND("Single Cells",B158, 1)))</f>
        <v>#VALUE!</v>
      </c>
    </row>
    <row r="159" customFormat="false" ht="12.75" hidden="false" customHeight="true" outlineLevel="0" collapsed="false">
      <c r="E159" s="34" t="str">
        <f aca="false">MID(B159,9,1)</f>
        <v/>
      </c>
      <c r="F159" s="34" t="str">
        <f aca="false">MID(B159,10,1)</f>
        <v/>
      </c>
      <c r="G159" s="34" t="str">
        <f aca="false">MID(B159,11,1)</f>
        <v/>
      </c>
      <c r="H159" s="35" t="str">
        <f aca="false">IF(G159=".",F159,CONCATENATE(F159,G159))</f>
        <v/>
      </c>
      <c r="I159" s="34" t="n">
        <f aca="false">IFERROR(VALUE(H159),)</f>
        <v>0</v>
      </c>
      <c r="J159" s="34" t="e">
        <f aca="false">RIGHT(B159,LEN(B159)-FIND("/",B159, FIND("Single Cells",B159, 1)))</f>
        <v>#VALUE!</v>
      </c>
    </row>
    <row r="160" customFormat="false" ht="12.75" hidden="false" customHeight="true" outlineLevel="0" collapsed="false">
      <c r="E160" s="34" t="str">
        <f aca="false">MID(B160,9,1)</f>
        <v/>
      </c>
      <c r="F160" s="34" t="str">
        <f aca="false">MID(B160,10,1)</f>
        <v/>
      </c>
      <c r="G160" s="34" t="str">
        <f aca="false">MID(B160,11,1)</f>
        <v/>
      </c>
      <c r="H160" s="35" t="str">
        <f aca="false">IF(G160=".",F160,CONCATENATE(F160,G160))</f>
        <v/>
      </c>
      <c r="I160" s="34" t="n">
        <f aca="false">IFERROR(VALUE(H160),)</f>
        <v>0</v>
      </c>
      <c r="J160" s="34" t="e">
        <f aca="false">RIGHT(B160,LEN(B160)-FIND("/",B160, FIND("Single Cells",B160, 1)))</f>
        <v>#VALUE!</v>
      </c>
    </row>
    <row r="161" customFormat="false" ht="12.75" hidden="false" customHeight="true" outlineLevel="0" collapsed="false">
      <c r="E161" s="34" t="str">
        <f aca="false">MID(B161,9,1)</f>
        <v/>
      </c>
      <c r="F161" s="34" t="str">
        <f aca="false">MID(B161,10,1)</f>
        <v/>
      </c>
      <c r="G161" s="34" t="str">
        <f aca="false">MID(B161,11,1)</f>
        <v/>
      </c>
      <c r="H161" s="35" t="str">
        <f aca="false">IF(G161=".",F161,CONCATENATE(F161,G161))</f>
        <v/>
      </c>
      <c r="I161" s="34" t="n">
        <f aca="false">IFERROR(VALUE(H161),)</f>
        <v>0</v>
      </c>
      <c r="J161" s="34" t="e">
        <f aca="false">RIGHT(B161,LEN(B161)-FIND("/",B161, FIND("Single Cells",B161, 1)))</f>
        <v>#VALUE!</v>
      </c>
    </row>
    <row r="162" customFormat="false" ht="12.75" hidden="false" customHeight="true" outlineLevel="0" collapsed="false">
      <c r="E162" s="34" t="str">
        <f aca="false">MID(B162,9,1)</f>
        <v/>
      </c>
      <c r="F162" s="34" t="str">
        <f aca="false">MID(B162,10,1)</f>
        <v/>
      </c>
      <c r="G162" s="34" t="str">
        <f aca="false">MID(B162,11,1)</f>
        <v/>
      </c>
      <c r="H162" s="35" t="str">
        <f aca="false">IF(G162=".",F162,CONCATENATE(F162,G162))</f>
        <v/>
      </c>
      <c r="I162" s="34" t="n">
        <f aca="false">IFERROR(VALUE(H162),)</f>
        <v>0</v>
      </c>
      <c r="J162" s="34" t="e">
        <f aca="false">RIGHT(B162,LEN(B162)-FIND("/",B162, FIND("Single Cells",B162, 1)))</f>
        <v>#VALUE!</v>
      </c>
    </row>
    <row r="163" customFormat="false" ht="12.75" hidden="false" customHeight="true" outlineLevel="0" collapsed="false">
      <c r="E163" s="34" t="str">
        <f aca="false">MID(B163,9,1)</f>
        <v/>
      </c>
      <c r="F163" s="34" t="str">
        <f aca="false">MID(B163,10,1)</f>
        <v/>
      </c>
      <c r="G163" s="34" t="str">
        <f aca="false">MID(B163,11,1)</f>
        <v/>
      </c>
      <c r="H163" s="35" t="str">
        <f aca="false">IF(G163=".",F163,CONCATENATE(F163,G163))</f>
        <v/>
      </c>
      <c r="I163" s="34" t="n">
        <f aca="false">IFERROR(VALUE(H163),)</f>
        <v>0</v>
      </c>
      <c r="J163" s="34" t="e">
        <f aca="false">RIGHT(B163,LEN(B163)-FIND("/",B163, FIND("Single Cells",B163, 1)))</f>
        <v>#VALUE!</v>
      </c>
    </row>
    <row r="164" customFormat="false" ht="12.75" hidden="false" customHeight="true" outlineLevel="0" collapsed="false">
      <c r="E164" s="34" t="str">
        <f aca="false">MID(B164,9,1)</f>
        <v/>
      </c>
      <c r="F164" s="34" t="str">
        <f aca="false">MID(B164,10,1)</f>
        <v/>
      </c>
      <c r="G164" s="34" t="str">
        <f aca="false">MID(B164,11,1)</f>
        <v/>
      </c>
      <c r="H164" s="35" t="str">
        <f aca="false">IF(G164=".",F164,CONCATENATE(F164,G164))</f>
        <v/>
      </c>
      <c r="I164" s="34" t="n">
        <f aca="false">IFERROR(VALUE(H164),)</f>
        <v>0</v>
      </c>
      <c r="J164" s="34" t="e">
        <f aca="false">RIGHT(B164,LEN(B164)-FIND("/",B164, FIND("Single Cells",B164, 1)))</f>
        <v>#VALUE!</v>
      </c>
    </row>
    <row r="165" customFormat="false" ht="12.75" hidden="false" customHeight="true" outlineLevel="0" collapsed="false">
      <c r="E165" s="34" t="str">
        <f aca="false">MID(B165,9,1)</f>
        <v/>
      </c>
      <c r="F165" s="34" t="str">
        <f aca="false">MID(B165,10,1)</f>
        <v/>
      </c>
      <c r="G165" s="34" t="str">
        <f aca="false">MID(B165,11,1)</f>
        <v/>
      </c>
      <c r="H165" s="35" t="str">
        <f aca="false">IF(G165=".",F165,CONCATENATE(F165,G165))</f>
        <v/>
      </c>
      <c r="I165" s="34" t="n">
        <f aca="false">IFERROR(VALUE(H165),)</f>
        <v>0</v>
      </c>
      <c r="J165" s="34" t="e">
        <f aca="false">RIGHT(B165,LEN(B165)-FIND("/",B165, FIND("Single Cells",B165, 1)))</f>
        <v>#VALUE!</v>
      </c>
    </row>
    <row r="166" customFormat="false" ht="12.75" hidden="false" customHeight="true" outlineLevel="0" collapsed="false">
      <c r="E166" s="34" t="str">
        <f aca="false">MID(B166,9,1)</f>
        <v/>
      </c>
      <c r="F166" s="34" t="str">
        <f aca="false">MID(B166,10,1)</f>
        <v/>
      </c>
      <c r="G166" s="34" t="str">
        <f aca="false">MID(B166,11,1)</f>
        <v/>
      </c>
      <c r="H166" s="35" t="str">
        <f aca="false">IF(G166=".",F166,CONCATENATE(F166,G166))</f>
        <v/>
      </c>
      <c r="I166" s="34" t="n">
        <f aca="false">IFERROR(VALUE(H166),)</f>
        <v>0</v>
      </c>
      <c r="J166" s="34" t="e">
        <f aca="false">RIGHT(B166,LEN(B166)-FIND("/",B166, FIND("Single Cells",B166, 1)))</f>
        <v>#VALUE!</v>
      </c>
    </row>
    <row r="167" customFormat="false" ht="12.75" hidden="false" customHeight="true" outlineLevel="0" collapsed="false">
      <c r="E167" s="34" t="str">
        <f aca="false">MID(B167,9,1)</f>
        <v/>
      </c>
      <c r="F167" s="34" t="str">
        <f aca="false">MID(B167,10,1)</f>
        <v/>
      </c>
      <c r="G167" s="34" t="str">
        <f aca="false">MID(B167,11,1)</f>
        <v/>
      </c>
      <c r="H167" s="35" t="str">
        <f aca="false">IF(G167=".",F167,CONCATENATE(F167,G167))</f>
        <v/>
      </c>
      <c r="I167" s="34" t="n">
        <f aca="false">IFERROR(VALUE(H167),)</f>
        <v>0</v>
      </c>
      <c r="J167" s="34" t="e">
        <f aca="false">RIGHT(B167,LEN(B167)-FIND("/",B167, FIND("Single Cells",B167, 1)))</f>
        <v>#VALUE!</v>
      </c>
    </row>
    <row r="168" customFormat="false" ht="12.75" hidden="false" customHeight="true" outlineLevel="0" collapsed="false">
      <c r="E168" s="34" t="str">
        <f aca="false">MID(B168,9,1)</f>
        <v/>
      </c>
      <c r="F168" s="34" t="str">
        <f aca="false">MID(B168,10,1)</f>
        <v/>
      </c>
      <c r="G168" s="34" t="str">
        <f aca="false">MID(B168,11,1)</f>
        <v/>
      </c>
      <c r="H168" s="35" t="str">
        <f aca="false">IF(G168=".",F168,CONCATENATE(F168,G168))</f>
        <v/>
      </c>
      <c r="I168" s="34" t="n">
        <f aca="false">IFERROR(VALUE(H168),)</f>
        <v>0</v>
      </c>
      <c r="J168" s="34" t="e">
        <f aca="false">RIGHT(B168,LEN(B168)-FIND("/",B168, FIND("Single Cells",B168, 1)))</f>
        <v>#VALUE!</v>
      </c>
    </row>
    <row r="169" customFormat="false" ht="12.75" hidden="false" customHeight="true" outlineLevel="0" collapsed="false">
      <c r="E169" s="34" t="str">
        <f aca="false">MID(B169,9,1)</f>
        <v/>
      </c>
      <c r="F169" s="34" t="str">
        <f aca="false">MID(B169,10,1)</f>
        <v/>
      </c>
      <c r="G169" s="34" t="str">
        <f aca="false">MID(B169,11,1)</f>
        <v/>
      </c>
      <c r="H169" s="35" t="str">
        <f aca="false">IF(G169=".",F169,CONCATENATE(F169,G169))</f>
        <v/>
      </c>
      <c r="I169" s="34" t="n">
        <f aca="false">IFERROR(VALUE(H169),)</f>
        <v>0</v>
      </c>
      <c r="J169" s="34" t="e">
        <f aca="false">RIGHT(B169,LEN(B169)-FIND("/",B169, FIND("Single Cells",B169, 1)))</f>
        <v>#VALUE!</v>
      </c>
    </row>
    <row r="170" customFormat="false" ht="12.75" hidden="false" customHeight="true" outlineLevel="0" collapsed="false">
      <c r="E170" s="34" t="str">
        <f aca="false">MID(B170,9,1)</f>
        <v/>
      </c>
      <c r="F170" s="34" t="str">
        <f aca="false">MID(B170,10,1)</f>
        <v/>
      </c>
      <c r="G170" s="34" t="str">
        <f aca="false">MID(B170,11,1)</f>
        <v/>
      </c>
      <c r="H170" s="35" t="str">
        <f aca="false">IF(G170=".",F170,CONCATENATE(F170,G170))</f>
        <v/>
      </c>
      <c r="I170" s="34" t="n">
        <f aca="false">IFERROR(VALUE(H170),)</f>
        <v>0</v>
      </c>
      <c r="J170" s="34" t="e">
        <f aca="false">RIGHT(B170,LEN(B170)-FIND("/",B170, FIND("Single Cells",B170, 1)))</f>
        <v>#VALUE!</v>
      </c>
    </row>
    <row r="171" customFormat="false" ht="12.75" hidden="false" customHeight="true" outlineLevel="0" collapsed="false">
      <c r="E171" s="34" t="str">
        <f aca="false">MID(B171,9,1)</f>
        <v/>
      </c>
      <c r="F171" s="34" t="str">
        <f aca="false">MID(B171,10,1)</f>
        <v/>
      </c>
      <c r="G171" s="34" t="str">
        <f aca="false">MID(B171,11,1)</f>
        <v/>
      </c>
      <c r="H171" s="35" t="str">
        <f aca="false">IF(G171=".",F171,CONCATENATE(F171,G171))</f>
        <v/>
      </c>
      <c r="I171" s="34" t="n">
        <f aca="false">IFERROR(VALUE(H171),)</f>
        <v>0</v>
      </c>
      <c r="J171" s="34" t="e">
        <f aca="false">RIGHT(B171,LEN(B171)-FIND("/",B171, FIND("Single Cells",B171, 1)))</f>
        <v>#VALUE!</v>
      </c>
    </row>
    <row r="172" customFormat="false" ht="12.75" hidden="false" customHeight="true" outlineLevel="0" collapsed="false">
      <c r="E172" s="34" t="str">
        <f aca="false">MID(B172,9,1)</f>
        <v/>
      </c>
      <c r="F172" s="34" t="str">
        <f aca="false">MID(B172,10,1)</f>
        <v/>
      </c>
      <c r="G172" s="34" t="str">
        <f aca="false">MID(B172,11,1)</f>
        <v/>
      </c>
      <c r="H172" s="35" t="str">
        <f aca="false">IF(G172=".",F172,CONCATENATE(F172,G172))</f>
        <v/>
      </c>
      <c r="I172" s="34" t="n">
        <f aca="false">IFERROR(VALUE(H172),)</f>
        <v>0</v>
      </c>
      <c r="J172" s="34" t="e">
        <f aca="false">RIGHT(B172,LEN(B172)-FIND("/",B172, FIND("Single Cells",B172, 1)))</f>
        <v>#VALUE!</v>
      </c>
    </row>
    <row r="173" customFormat="false" ht="12.75" hidden="false" customHeight="true" outlineLevel="0" collapsed="false">
      <c r="E173" s="34" t="str">
        <f aca="false">MID(B173,9,1)</f>
        <v/>
      </c>
      <c r="F173" s="34" t="str">
        <f aca="false">MID(B173,10,1)</f>
        <v/>
      </c>
      <c r="G173" s="34" t="str">
        <f aca="false">MID(B173,11,1)</f>
        <v/>
      </c>
      <c r="H173" s="35" t="str">
        <f aca="false">IF(G173=".",F173,CONCATENATE(F173,G173))</f>
        <v/>
      </c>
      <c r="I173" s="34" t="n">
        <f aca="false">IFERROR(VALUE(H173),)</f>
        <v>0</v>
      </c>
      <c r="J173" s="34" t="e">
        <f aca="false">RIGHT(B173,LEN(B173)-FIND("/",B173, FIND("Single Cells",B173, 1)))</f>
        <v>#VALUE!</v>
      </c>
    </row>
    <row r="174" customFormat="false" ht="12.75" hidden="false" customHeight="true" outlineLevel="0" collapsed="false">
      <c r="E174" s="34" t="str">
        <f aca="false">MID(B174,9,1)</f>
        <v/>
      </c>
      <c r="F174" s="34" t="str">
        <f aca="false">MID(B174,10,1)</f>
        <v/>
      </c>
      <c r="G174" s="34" t="str">
        <f aca="false">MID(B174,11,1)</f>
        <v/>
      </c>
      <c r="H174" s="35" t="str">
        <f aca="false">IF(G174=".",F174,CONCATENATE(F174,G174))</f>
        <v/>
      </c>
      <c r="I174" s="34" t="n">
        <f aca="false">IFERROR(VALUE(H174),)</f>
        <v>0</v>
      </c>
      <c r="J174" s="34" t="e">
        <f aca="false">RIGHT(B174,LEN(B174)-FIND("/",B174, FIND("Single Cells",B174, 1)))</f>
        <v>#VALUE!</v>
      </c>
    </row>
    <row r="175" customFormat="false" ht="12.75" hidden="false" customHeight="true" outlineLevel="0" collapsed="false">
      <c r="E175" s="34" t="str">
        <f aca="false">MID(B175,9,1)</f>
        <v/>
      </c>
      <c r="F175" s="34" t="str">
        <f aca="false">MID(B175,10,1)</f>
        <v/>
      </c>
      <c r="G175" s="34" t="str">
        <f aca="false">MID(B175,11,1)</f>
        <v/>
      </c>
      <c r="H175" s="35" t="str">
        <f aca="false">IF(G175=".",F175,CONCATENATE(F175,G175))</f>
        <v/>
      </c>
      <c r="I175" s="34" t="n">
        <f aca="false">IFERROR(VALUE(H175),)</f>
        <v>0</v>
      </c>
      <c r="J175" s="34" t="e">
        <f aca="false">RIGHT(B175,LEN(B175)-FIND("/",B175, FIND("Single Cells",B175, 1)))</f>
        <v>#VALUE!</v>
      </c>
    </row>
    <row r="176" customFormat="false" ht="12.75" hidden="false" customHeight="true" outlineLevel="0" collapsed="false">
      <c r="E176" s="34" t="str">
        <f aca="false">MID(B176,9,1)</f>
        <v/>
      </c>
      <c r="F176" s="34" t="str">
        <f aca="false">MID(B176,10,1)</f>
        <v/>
      </c>
      <c r="G176" s="34" t="str">
        <f aca="false">MID(B176,11,1)</f>
        <v/>
      </c>
      <c r="H176" s="35" t="str">
        <f aca="false">IF(G176=".",F176,CONCATENATE(F176,G176))</f>
        <v/>
      </c>
      <c r="I176" s="34" t="n">
        <f aca="false">IFERROR(VALUE(H176),)</f>
        <v>0</v>
      </c>
      <c r="J176" s="34" t="e">
        <f aca="false">RIGHT(B176,LEN(B176)-FIND("/",B176, FIND("Single Cells",B176, 1)))</f>
        <v>#VALUE!</v>
      </c>
    </row>
    <row r="177" customFormat="false" ht="12.75" hidden="false" customHeight="true" outlineLevel="0" collapsed="false">
      <c r="E177" s="34" t="str">
        <f aca="false">MID(B177,9,1)</f>
        <v/>
      </c>
      <c r="F177" s="34" t="str">
        <f aca="false">MID(B177,10,1)</f>
        <v/>
      </c>
      <c r="G177" s="34" t="str">
        <f aca="false">MID(B177,11,1)</f>
        <v/>
      </c>
      <c r="H177" s="35" t="str">
        <f aca="false">IF(G177=".",F177,CONCATENATE(F177,G177))</f>
        <v/>
      </c>
      <c r="I177" s="34" t="n">
        <f aca="false">IFERROR(VALUE(H177),)</f>
        <v>0</v>
      </c>
      <c r="J177" s="34" t="e">
        <f aca="false">RIGHT(B177,LEN(B177)-FIND("/",B177, FIND("Single Cells",B177, 1)))</f>
        <v>#VALUE!</v>
      </c>
    </row>
    <row r="178" customFormat="false" ht="12.75" hidden="false" customHeight="true" outlineLevel="0" collapsed="false">
      <c r="E178" s="34" t="str">
        <f aca="false">MID(B178,9,1)</f>
        <v/>
      </c>
      <c r="F178" s="34" t="str">
        <f aca="false">MID(B178,10,1)</f>
        <v/>
      </c>
      <c r="G178" s="34" t="str">
        <f aca="false">MID(B178,11,1)</f>
        <v/>
      </c>
      <c r="H178" s="35" t="str">
        <f aca="false">IF(G178=".",F178,CONCATENATE(F178,G178))</f>
        <v/>
      </c>
      <c r="I178" s="34" t="n">
        <f aca="false">IFERROR(VALUE(H178),)</f>
        <v>0</v>
      </c>
      <c r="J178" s="34" t="e">
        <f aca="false">RIGHT(B178,LEN(B178)-FIND("/",B178, FIND("Single Cells",B178, 1)))</f>
        <v>#VALUE!</v>
      </c>
    </row>
    <row r="179" customFormat="false" ht="12.75" hidden="false" customHeight="true" outlineLevel="0" collapsed="false">
      <c r="E179" s="34" t="str">
        <f aca="false">MID(B179,9,1)</f>
        <v/>
      </c>
      <c r="F179" s="34" t="str">
        <f aca="false">MID(B179,10,1)</f>
        <v/>
      </c>
      <c r="G179" s="34" t="str">
        <f aca="false">MID(B179,11,1)</f>
        <v/>
      </c>
      <c r="H179" s="35" t="str">
        <f aca="false">IF(G179=".",F179,CONCATENATE(F179,G179))</f>
        <v/>
      </c>
      <c r="I179" s="34" t="n">
        <f aca="false">IFERROR(VALUE(H179),)</f>
        <v>0</v>
      </c>
      <c r="J179" s="34" t="e">
        <f aca="false">RIGHT(B179,LEN(B179)-FIND("/",B179, FIND("Single Cells",B179, 1)))</f>
        <v>#VALUE!</v>
      </c>
    </row>
    <row r="180" customFormat="false" ht="12.75" hidden="false" customHeight="true" outlineLevel="0" collapsed="false">
      <c r="E180" s="34" t="str">
        <f aca="false">MID(B180,9,1)</f>
        <v/>
      </c>
      <c r="F180" s="34" t="str">
        <f aca="false">MID(B180,10,1)</f>
        <v/>
      </c>
      <c r="G180" s="34" t="str">
        <f aca="false">MID(B180,11,1)</f>
        <v/>
      </c>
      <c r="H180" s="35" t="str">
        <f aca="false">IF(G180=".",F180,CONCATENATE(F180,G180))</f>
        <v/>
      </c>
      <c r="I180" s="34" t="n">
        <f aca="false">IFERROR(VALUE(H180),)</f>
        <v>0</v>
      </c>
      <c r="J180" s="34" t="e">
        <f aca="false">RIGHT(B180,LEN(B180)-FIND("/",B180, FIND("Single Cells",B180, 1)))</f>
        <v>#VALUE!</v>
      </c>
    </row>
    <row r="181" customFormat="false" ht="12.75" hidden="false" customHeight="true" outlineLevel="0" collapsed="false">
      <c r="E181" s="34" t="str">
        <f aca="false">MID(B181,9,1)</f>
        <v/>
      </c>
      <c r="F181" s="34" t="str">
        <f aca="false">MID(B181,10,1)</f>
        <v/>
      </c>
      <c r="G181" s="34" t="str">
        <f aca="false">MID(B181,11,1)</f>
        <v/>
      </c>
      <c r="H181" s="35" t="str">
        <f aca="false">IF(G181=".",F181,CONCATENATE(F181,G181))</f>
        <v/>
      </c>
      <c r="I181" s="34" t="n">
        <f aca="false">IFERROR(VALUE(H181),)</f>
        <v>0</v>
      </c>
      <c r="J181" s="34" t="e">
        <f aca="false">RIGHT(B181,LEN(B181)-FIND("/",B181, FIND("Single Cells",B181, 1)))</f>
        <v>#VALUE!</v>
      </c>
    </row>
    <row r="182" customFormat="false" ht="12.75" hidden="false" customHeight="true" outlineLevel="0" collapsed="false">
      <c r="E182" s="34" t="str">
        <f aca="false">MID(B182,9,1)</f>
        <v/>
      </c>
      <c r="F182" s="34" t="str">
        <f aca="false">MID(B182,10,1)</f>
        <v/>
      </c>
      <c r="G182" s="34" t="str">
        <f aca="false">MID(B182,11,1)</f>
        <v/>
      </c>
      <c r="H182" s="35" t="str">
        <f aca="false">IF(G182=".",F182,CONCATENATE(F182,G182))</f>
        <v/>
      </c>
      <c r="I182" s="34" t="n">
        <f aca="false">IFERROR(VALUE(H182),)</f>
        <v>0</v>
      </c>
      <c r="J182" s="34" t="e">
        <f aca="false">RIGHT(B182,LEN(B182)-FIND("/",B182, FIND("Single Cells",B182, 1)))</f>
        <v>#VALUE!</v>
      </c>
    </row>
    <row r="183" customFormat="false" ht="12.75" hidden="false" customHeight="true" outlineLevel="0" collapsed="false">
      <c r="E183" s="34" t="str">
        <f aca="false">MID(B183,9,1)</f>
        <v/>
      </c>
      <c r="F183" s="34" t="str">
        <f aca="false">MID(B183,10,1)</f>
        <v/>
      </c>
      <c r="G183" s="34" t="str">
        <f aca="false">MID(B183,11,1)</f>
        <v/>
      </c>
      <c r="H183" s="35" t="str">
        <f aca="false">IF(G183=".",F183,CONCATENATE(F183,G183))</f>
        <v/>
      </c>
      <c r="I183" s="34" t="n">
        <f aca="false">IFERROR(VALUE(H183),)</f>
        <v>0</v>
      </c>
      <c r="J183" s="34" t="e">
        <f aca="false">RIGHT(B183,LEN(B183)-FIND("/",B183, FIND("Single Cells",B183, 1)))</f>
        <v>#VALUE!</v>
      </c>
    </row>
    <row r="184" customFormat="false" ht="12.75" hidden="false" customHeight="true" outlineLevel="0" collapsed="false">
      <c r="E184" s="34" t="str">
        <f aca="false">MID(B184,9,1)</f>
        <v/>
      </c>
      <c r="F184" s="34" t="str">
        <f aca="false">MID(B184,10,1)</f>
        <v/>
      </c>
      <c r="G184" s="34" t="str">
        <f aca="false">MID(B184,11,1)</f>
        <v/>
      </c>
      <c r="H184" s="35" t="str">
        <f aca="false">IF(G184=".",F184,CONCATENATE(F184,G184))</f>
        <v/>
      </c>
      <c r="I184" s="34" t="n">
        <f aca="false">IFERROR(VALUE(H184),)</f>
        <v>0</v>
      </c>
      <c r="J184" s="34" t="e">
        <f aca="false">RIGHT(B184,LEN(B184)-FIND("/",B184, FIND("Single Cells",B184, 1)))</f>
        <v>#VALUE!</v>
      </c>
    </row>
    <row r="185" customFormat="false" ht="12.75" hidden="false" customHeight="true" outlineLevel="0" collapsed="false">
      <c r="E185" s="34" t="str">
        <f aca="false">MID(B185,9,1)</f>
        <v/>
      </c>
      <c r="F185" s="34" t="str">
        <f aca="false">MID(B185,10,1)</f>
        <v/>
      </c>
      <c r="G185" s="34" t="str">
        <f aca="false">MID(B185,11,1)</f>
        <v/>
      </c>
      <c r="H185" s="35" t="str">
        <f aca="false">IF(G185=".",F185,CONCATENATE(F185,G185))</f>
        <v/>
      </c>
      <c r="I185" s="34" t="n">
        <f aca="false">IFERROR(VALUE(H185),)</f>
        <v>0</v>
      </c>
      <c r="J185" s="34" t="e">
        <f aca="false">RIGHT(B185,LEN(B185)-FIND("/",B185, FIND("Single Cells",B185, 1)))</f>
        <v>#VALUE!</v>
      </c>
    </row>
    <row r="186" customFormat="false" ht="12.75" hidden="false" customHeight="true" outlineLevel="0" collapsed="false">
      <c r="E186" s="34" t="str">
        <f aca="false">MID(B186,9,1)</f>
        <v/>
      </c>
      <c r="F186" s="34" t="str">
        <f aca="false">MID(B186,10,1)</f>
        <v/>
      </c>
      <c r="G186" s="34" t="str">
        <f aca="false">MID(B186,11,1)</f>
        <v/>
      </c>
      <c r="H186" s="35" t="str">
        <f aca="false">IF(G186=".",F186,CONCATENATE(F186,G186))</f>
        <v/>
      </c>
      <c r="I186" s="34" t="n">
        <f aca="false">IFERROR(VALUE(H186),)</f>
        <v>0</v>
      </c>
      <c r="J186" s="34" t="e">
        <f aca="false">RIGHT(B186,LEN(B186)-FIND("/",B186, FIND("Single Cells",B186, 1)))</f>
        <v>#VALUE!</v>
      </c>
    </row>
    <row r="187" customFormat="false" ht="12.75" hidden="false" customHeight="true" outlineLevel="0" collapsed="false">
      <c r="E187" s="34" t="str">
        <f aca="false">MID(B187,9,1)</f>
        <v/>
      </c>
      <c r="F187" s="34" t="str">
        <f aca="false">MID(B187,10,1)</f>
        <v/>
      </c>
      <c r="G187" s="34" t="str">
        <f aca="false">MID(B187,11,1)</f>
        <v/>
      </c>
      <c r="H187" s="35" t="str">
        <f aca="false">IF(G187=".",F187,CONCATENATE(F187,G187))</f>
        <v/>
      </c>
      <c r="I187" s="34" t="n">
        <f aca="false">IFERROR(VALUE(H187),)</f>
        <v>0</v>
      </c>
      <c r="J187" s="34" t="e">
        <f aca="false">RIGHT(B187,LEN(B187)-FIND("/",B187, FIND("Single Cells",B187, 1)))</f>
        <v>#VALUE!</v>
      </c>
    </row>
    <row r="188" customFormat="false" ht="12.75" hidden="false" customHeight="true" outlineLevel="0" collapsed="false">
      <c r="E188" s="34" t="str">
        <f aca="false">MID(B188,9,1)</f>
        <v/>
      </c>
      <c r="F188" s="34" t="str">
        <f aca="false">MID(B188,10,1)</f>
        <v/>
      </c>
      <c r="G188" s="34" t="str">
        <f aca="false">MID(B188,11,1)</f>
        <v/>
      </c>
      <c r="H188" s="35" t="str">
        <f aca="false">IF(G188=".",F188,CONCATENATE(F188,G188))</f>
        <v/>
      </c>
      <c r="I188" s="34" t="n">
        <f aca="false">IFERROR(VALUE(H188),)</f>
        <v>0</v>
      </c>
      <c r="J188" s="34" t="e">
        <f aca="false">RIGHT(B188,LEN(B188)-FIND("/",B188, FIND("Single Cells",B188, 1)))</f>
        <v>#VALUE!</v>
      </c>
    </row>
    <row r="189" customFormat="false" ht="12.75" hidden="false" customHeight="true" outlineLevel="0" collapsed="false">
      <c r="E189" s="34" t="str">
        <f aca="false">MID(B189,9,1)</f>
        <v/>
      </c>
      <c r="F189" s="34" t="str">
        <f aca="false">MID(B189,10,1)</f>
        <v/>
      </c>
      <c r="G189" s="34" t="str">
        <f aca="false">MID(B189,11,1)</f>
        <v/>
      </c>
      <c r="H189" s="35" t="str">
        <f aca="false">IF(G189=".",F189,CONCATENATE(F189,G189))</f>
        <v/>
      </c>
      <c r="I189" s="34" t="n">
        <f aca="false">IFERROR(VALUE(H189),)</f>
        <v>0</v>
      </c>
      <c r="J189" s="34" t="e">
        <f aca="false">RIGHT(B189,LEN(B189)-FIND("/",B189, FIND("Single Cells",B189, 1)))</f>
        <v>#VALUE!</v>
      </c>
    </row>
    <row r="190" customFormat="false" ht="12.75" hidden="false" customHeight="true" outlineLevel="0" collapsed="false">
      <c r="E190" s="34" t="str">
        <f aca="false">MID(B190,9,1)</f>
        <v/>
      </c>
      <c r="F190" s="34" t="str">
        <f aca="false">MID(B190,10,1)</f>
        <v/>
      </c>
      <c r="G190" s="34" t="str">
        <f aca="false">MID(B190,11,1)</f>
        <v/>
      </c>
      <c r="H190" s="35" t="str">
        <f aca="false">IF(G190=".",F190,CONCATENATE(F190,G190))</f>
        <v/>
      </c>
      <c r="I190" s="34" t="n">
        <f aca="false">IFERROR(VALUE(H190),)</f>
        <v>0</v>
      </c>
      <c r="J190" s="34" t="e">
        <f aca="false">RIGHT(B190,LEN(B190)-FIND("/",B190, FIND("Single Cells",B190, 1)))</f>
        <v>#VALUE!</v>
      </c>
    </row>
    <row r="191" customFormat="false" ht="12.75" hidden="false" customHeight="true" outlineLevel="0" collapsed="false">
      <c r="E191" s="34" t="str">
        <f aca="false">MID(B191,9,1)</f>
        <v/>
      </c>
      <c r="F191" s="34" t="str">
        <f aca="false">MID(B191,10,1)</f>
        <v/>
      </c>
      <c r="G191" s="34" t="str">
        <f aca="false">MID(B191,11,1)</f>
        <v/>
      </c>
      <c r="H191" s="35" t="str">
        <f aca="false">IF(G191=".",F191,CONCATENATE(F191,G191))</f>
        <v/>
      </c>
      <c r="I191" s="34" t="n">
        <f aca="false">IFERROR(VALUE(H191),)</f>
        <v>0</v>
      </c>
      <c r="J191" s="34" t="e">
        <f aca="false">RIGHT(B191,LEN(B191)-FIND("/",B191, FIND("Single Cells",B191, 1)))</f>
        <v>#VALUE!</v>
      </c>
    </row>
    <row r="192" customFormat="false" ht="12.75" hidden="false" customHeight="true" outlineLevel="0" collapsed="false">
      <c r="E192" s="34" t="str">
        <f aca="false">MID(B192,9,1)</f>
        <v/>
      </c>
      <c r="F192" s="34" t="str">
        <f aca="false">MID(B192,10,1)</f>
        <v/>
      </c>
      <c r="G192" s="34" t="str">
        <f aca="false">MID(B192,11,1)</f>
        <v/>
      </c>
      <c r="H192" s="35" t="str">
        <f aca="false">IF(G192=".",F192,CONCATENATE(F192,G192))</f>
        <v/>
      </c>
      <c r="I192" s="34" t="n">
        <f aca="false">IFERROR(VALUE(H192),)</f>
        <v>0</v>
      </c>
      <c r="J192" s="34" t="e">
        <f aca="false">RIGHT(B192,LEN(B192)-FIND("/",B192, FIND("Single Cells",B192, 1)))</f>
        <v>#VALUE!</v>
      </c>
    </row>
    <row r="193" customFormat="false" ht="12.75" hidden="false" customHeight="true" outlineLevel="0" collapsed="false">
      <c r="E193" s="34" t="str">
        <f aca="false">MID(B193,9,1)</f>
        <v/>
      </c>
      <c r="F193" s="34" t="str">
        <f aca="false">MID(B193,10,1)</f>
        <v/>
      </c>
      <c r="G193" s="34" t="str">
        <f aca="false">MID(B193,11,1)</f>
        <v/>
      </c>
      <c r="H193" s="35" t="str">
        <f aca="false">IF(G193=".",F193,CONCATENATE(F193,G193))</f>
        <v/>
      </c>
      <c r="I193" s="34" t="n">
        <f aca="false">IFERROR(VALUE(H193),)</f>
        <v>0</v>
      </c>
      <c r="J193" s="34" t="e">
        <f aca="false">RIGHT(B193,LEN(B193)-FIND("/",B193, FIND("Single Cells",B193, 1)))</f>
        <v>#VALUE!</v>
      </c>
    </row>
    <row r="194" customFormat="false" ht="12.75" hidden="false" customHeight="true" outlineLevel="0" collapsed="false">
      <c r="E194" s="34" t="str">
        <f aca="false">MID(B194,9,1)</f>
        <v/>
      </c>
      <c r="F194" s="34" t="str">
        <f aca="false">MID(B194,10,1)</f>
        <v/>
      </c>
      <c r="G194" s="34" t="str">
        <f aca="false">MID(B194,11,1)</f>
        <v/>
      </c>
      <c r="H194" s="35" t="str">
        <f aca="false">IF(G194=".",F194,CONCATENATE(F194,G194))</f>
        <v/>
      </c>
      <c r="I194" s="34" t="n">
        <f aca="false">IFERROR(VALUE(H194),)</f>
        <v>0</v>
      </c>
      <c r="J194" s="34" t="e">
        <f aca="false">RIGHT(B194,LEN(B194)-FIND("/",B194, FIND("Single Cells",B194, 1)))</f>
        <v>#VALUE!</v>
      </c>
    </row>
    <row r="195" customFormat="false" ht="12.75" hidden="false" customHeight="true" outlineLevel="0" collapsed="false">
      <c r="E195" s="34" t="str">
        <f aca="false">MID(B195,9,1)</f>
        <v/>
      </c>
      <c r="F195" s="34" t="str">
        <f aca="false">MID(B195,10,1)</f>
        <v/>
      </c>
      <c r="G195" s="34" t="str">
        <f aca="false">MID(B195,11,1)</f>
        <v/>
      </c>
      <c r="H195" s="35" t="str">
        <f aca="false">IF(G195=".",F195,CONCATENATE(F195,G195))</f>
        <v/>
      </c>
      <c r="I195" s="34" t="n">
        <f aca="false">IFERROR(VALUE(H195),)</f>
        <v>0</v>
      </c>
      <c r="J195" s="34" t="e">
        <f aca="false">RIGHT(B195,LEN(B195)-FIND("/",B195, FIND("Single Cells",B195, 1)))</f>
        <v>#VALUE!</v>
      </c>
    </row>
    <row r="196" customFormat="false" ht="12.75" hidden="false" customHeight="true" outlineLevel="0" collapsed="false">
      <c r="E196" s="34" t="str">
        <f aca="false">MID(B196,9,1)</f>
        <v/>
      </c>
      <c r="F196" s="34" t="str">
        <f aca="false">MID(B196,10,1)</f>
        <v/>
      </c>
      <c r="G196" s="34" t="str">
        <f aca="false">MID(B196,11,1)</f>
        <v/>
      </c>
      <c r="H196" s="35" t="str">
        <f aca="false">IF(G196=".",F196,CONCATENATE(F196,G196))</f>
        <v/>
      </c>
      <c r="I196" s="34" t="n">
        <f aca="false">IFERROR(VALUE(H196),)</f>
        <v>0</v>
      </c>
      <c r="J196" s="34" t="e">
        <f aca="false">RIGHT(B196,LEN(B196)-FIND("/",B196, FIND("Single Cells",B196, 1)))</f>
        <v>#VALUE!</v>
      </c>
    </row>
    <row r="197" customFormat="false" ht="12.75" hidden="false" customHeight="true" outlineLevel="0" collapsed="false">
      <c r="E197" s="34" t="str">
        <f aca="false">MID(B197,9,1)</f>
        <v/>
      </c>
      <c r="F197" s="34" t="str">
        <f aca="false">MID(B197,10,1)</f>
        <v/>
      </c>
      <c r="G197" s="34" t="str">
        <f aca="false">MID(B197,11,1)</f>
        <v/>
      </c>
      <c r="H197" s="35" t="str">
        <f aca="false">IF(G197=".",F197,CONCATENATE(F197,G197))</f>
        <v/>
      </c>
      <c r="I197" s="34" t="n">
        <f aca="false">IFERROR(VALUE(H197),)</f>
        <v>0</v>
      </c>
      <c r="J197" s="34" t="e">
        <f aca="false">RIGHT(B197,LEN(B197)-FIND("/",B197, FIND("Single Cells",B197, 1)))</f>
        <v>#VALUE!</v>
      </c>
    </row>
    <row r="198" customFormat="false" ht="12.75" hidden="false" customHeight="true" outlineLevel="0" collapsed="false">
      <c r="E198" s="34" t="str">
        <f aca="false">MID(B198,9,1)</f>
        <v/>
      </c>
      <c r="F198" s="34" t="str">
        <f aca="false">MID(B198,10,1)</f>
        <v/>
      </c>
      <c r="G198" s="34" t="str">
        <f aca="false">MID(B198,11,1)</f>
        <v/>
      </c>
      <c r="H198" s="35" t="str">
        <f aca="false">IF(G198=".",F198,CONCATENATE(F198,G198))</f>
        <v/>
      </c>
      <c r="I198" s="34" t="n">
        <f aca="false">IFERROR(VALUE(H198),)</f>
        <v>0</v>
      </c>
      <c r="J198" s="34" t="e">
        <f aca="false">RIGHT(B198,LEN(B198)-FIND("/",B198, FIND("Single Cells",B198, 1)))</f>
        <v>#VALUE!</v>
      </c>
    </row>
    <row r="199" customFormat="false" ht="12.75" hidden="false" customHeight="true" outlineLevel="0" collapsed="false">
      <c r="E199" s="34" t="str">
        <f aca="false">MID(B199,9,1)</f>
        <v/>
      </c>
      <c r="F199" s="34" t="str">
        <f aca="false">MID(B199,10,1)</f>
        <v/>
      </c>
      <c r="G199" s="34" t="str">
        <f aca="false">MID(B199,11,1)</f>
        <v/>
      </c>
      <c r="H199" s="35" t="str">
        <f aca="false">IF(G199=".",F199,CONCATENATE(F199,G199))</f>
        <v/>
      </c>
      <c r="I199" s="34" t="n">
        <f aca="false">IFERROR(VALUE(H199),)</f>
        <v>0</v>
      </c>
      <c r="J199" s="34" t="e">
        <f aca="false">RIGHT(B199,LEN(B199)-FIND("/",B199, FIND("Single Cells",B199, 1)))</f>
        <v>#VALUE!</v>
      </c>
    </row>
    <row r="200" customFormat="false" ht="12.75" hidden="false" customHeight="true" outlineLevel="0" collapsed="false">
      <c r="E200" s="34" t="str">
        <f aca="false">MID(B200,9,1)</f>
        <v/>
      </c>
      <c r="F200" s="34" t="str">
        <f aca="false">MID(B200,10,1)</f>
        <v/>
      </c>
      <c r="G200" s="34" t="str">
        <f aca="false">MID(B200,11,1)</f>
        <v/>
      </c>
      <c r="H200" s="35" t="str">
        <f aca="false">IF(G200=".",F200,CONCATENATE(F200,G200))</f>
        <v/>
      </c>
      <c r="I200" s="34" t="n">
        <f aca="false">IFERROR(VALUE(H200),)</f>
        <v>0</v>
      </c>
      <c r="J200" s="34" t="e">
        <f aca="false">RIGHT(B200,LEN(B200)-FIND("/",B200, FIND("Single Cells",B200, 1)))</f>
        <v>#VALUE!</v>
      </c>
    </row>
    <row r="201" customFormat="false" ht="12.75" hidden="false" customHeight="true" outlineLevel="0" collapsed="false">
      <c r="E201" s="34" t="str">
        <f aca="false">MID(B201,9,1)</f>
        <v/>
      </c>
      <c r="F201" s="34" t="str">
        <f aca="false">MID(B201,10,1)</f>
        <v/>
      </c>
      <c r="G201" s="34" t="str">
        <f aca="false">MID(B201,11,1)</f>
        <v/>
      </c>
      <c r="H201" s="35" t="str">
        <f aca="false">IF(G201=".",F201,CONCATENATE(F201,G201))</f>
        <v/>
      </c>
      <c r="I201" s="34" t="n">
        <f aca="false">IFERROR(VALUE(H201),)</f>
        <v>0</v>
      </c>
      <c r="J201" s="34" t="e">
        <f aca="false">RIGHT(B201,LEN(B201)-FIND("/",B201, FIND("Single Cells",B201, 1)))</f>
        <v>#VALUE!</v>
      </c>
    </row>
    <row r="202" customFormat="false" ht="12.75" hidden="false" customHeight="true" outlineLevel="0" collapsed="false">
      <c r="E202" s="34" t="str">
        <f aca="false">MID(B202,9,1)</f>
        <v/>
      </c>
      <c r="F202" s="34" t="str">
        <f aca="false">MID(B202,10,1)</f>
        <v/>
      </c>
      <c r="G202" s="34" t="str">
        <f aca="false">MID(B202,11,1)</f>
        <v/>
      </c>
      <c r="H202" s="35" t="str">
        <f aca="false">IF(G202=".",F202,CONCATENATE(F202,G202))</f>
        <v/>
      </c>
      <c r="I202" s="34" t="n">
        <f aca="false">IFERROR(VALUE(H202),)</f>
        <v>0</v>
      </c>
      <c r="J202" s="34" t="e">
        <f aca="false">RIGHT(B202,LEN(B202)-FIND("/",B202, FIND("Single Cells",B202, 1)))</f>
        <v>#VALUE!</v>
      </c>
    </row>
    <row r="203" customFormat="false" ht="12.75" hidden="false" customHeight="true" outlineLevel="0" collapsed="false">
      <c r="E203" s="34" t="str">
        <f aca="false">MID(B203,9,1)</f>
        <v/>
      </c>
      <c r="F203" s="34" t="str">
        <f aca="false">MID(B203,10,1)</f>
        <v/>
      </c>
      <c r="G203" s="34" t="str">
        <f aca="false">MID(B203,11,1)</f>
        <v/>
      </c>
      <c r="H203" s="35" t="str">
        <f aca="false">IF(G203=".",F203,CONCATENATE(F203,G203))</f>
        <v/>
      </c>
      <c r="I203" s="34" t="n">
        <f aca="false">IFERROR(VALUE(H203),)</f>
        <v>0</v>
      </c>
      <c r="J203" s="34" t="e">
        <f aca="false">RIGHT(B203,LEN(B203)-FIND("/",B203, FIND("Single Cells",B203, 1)))</f>
        <v>#VALUE!</v>
      </c>
    </row>
    <row r="204" customFormat="false" ht="12.75" hidden="false" customHeight="true" outlineLevel="0" collapsed="false">
      <c r="E204" s="34" t="str">
        <f aca="false">MID(B204,9,1)</f>
        <v/>
      </c>
      <c r="F204" s="34" t="str">
        <f aca="false">MID(B204,10,1)</f>
        <v/>
      </c>
      <c r="G204" s="34" t="str">
        <f aca="false">MID(B204,11,1)</f>
        <v/>
      </c>
      <c r="H204" s="35" t="str">
        <f aca="false">IF(G204=".",F204,CONCATENATE(F204,G204))</f>
        <v/>
      </c>
      <c r="I204" s="34" t="n">
        <f aca="false">IFERROR(VALUE(H204),)</f>
        <v>0</v>
      </c>
      <c r="J204" s="34" t="e">
        <f aca="false">RIGHT(B204,LEN(B204)-FIND("/",B204, FIND("Single Cells",B204, 1)))</f>
        <v>#VALUE!</v>
      </c>
    </row>
    <row r="205" customFormat="false" ht="12.75" hidden="false" customHeight="true" outlineLevel="0" collapsed="false">
      <c r="E205" s="34" t="str">
        <f aca="false">MID(B205,9,1)</f>
        <v/>
      </c>
      <c r="F205" s="34" t="str">
        <f aca="false">MID(B205,10,1)</f>
        <v/>
      </c>
      <c r="G205" s="34" t="str">
        <f aca="false">MID(B205,11,1)</f>
        <v/>
      </c>
      <c r="H205" s="35" t="str">
        <f aca="false">IF(G205=".",F205,CONCATENATE(F205,G205))</f>
        <v/>
      </c>
      <c r="I205" s="34" t="n">
        <f aca="false">IFERROR(VALUE(H205),)</f>
        <v>0</v>
      </c>
      <c r="J205" s="34" t="e">
        <f aca="false">RIGHT(B205,LEN(B205)-FIND("/",B205, FIND("Single Cells",B205, 1)))</f>
        <v>#VALUE!</v>
      </c>
    </row>
    <row r="206" customFormat="false" ht="12.75" hidden="false" customHeight="true" outlineLevel="0" collapsed="false">
      <c r="E206" s="34" t="str">
        <f aca="false">MID(B206,9,1)</f>
        <v/>
      </c>
      <c r="F206" s="34" t="str">
        <f aca="false">MID(B206,10,1)</f>
        <v/>
      </c>
      <c r="G206" s="34" t="str">
        <f aca="false">MID(B206,11,1)</f>
        <v/>
      </c>
      <c r="H206" s="35" t="str">
        <f aca="false">IF(G206=".",F206,CONCATENATE(F206,G206))</f>
        <v/>
      </c>
      <c r="I206" s="34" t="n">
        <f aca="false">IFERROR(VALUE(H206),)</f>
        <v>0</v>
      </c>
      <c r="J206" s="34" t="e">
        <f aca="false">RIGHT(B206,LEN(B206)-FIND("/",B206, FIND("Single Cells",B206, 1)))</f>
        <v>#VALUE!</v>
      </c>
    </row>
    <row r="207" customFormat="false" ht="12.75" hidden="false" customHeight="true" outlineLevel="0" collapsed="false">
      <c r="E207" s="34" t="str">
        <f aca="false">MID(B207,9,1)</f>
        <v/>
      </c>
      <c r="F207" s="34" t="str">
        <f aca="false">MID(B207,10,1)</f>
        <v/>
      </c>
      <c r="G207" s="34" t="str">
        <f aca="false">MID(B207,11,1)</f>
        <v/>
      </c>
      <c r="H207" s="35" t="str">
        <f aca="false">IF(G207=".",F207,CONCATENATE(F207,G207))</f>
        <v/>
      </c>
      <c r="I207" s="34" t="n">
        <f aca="false">IFERROR(VALUE(H207),)</f>
        <v>0</v>
      </c>
      <c r="J207" s="34" t="e">
        <f aca="false">RIGHT(B207,LEN(B207)-FIND("/",B207, FIND("Single Cells",B207, 1)))</f>
        <v>#VALUE!</v>
      </c>
    </row>
    <row r="208" customFormat="false" ht="12.75" hidden="false" customHeight="true" outlineLevel="0" collapsed="false">
      <c r="E208" s="34" t="str">
        <f aca="false">MID(B208,9,1)</f>
        <v/>
      </c>
      <c r="F208" s="34" t="str">
        <f aca="false">MID(B208,10,1)</f>
        <v/>
      </c>
      <c r="G208" s="34" t="str">
        <f aca="false">MID(B208,11,1)</f>
        <v/>
      </c>
      <c r="H208" s="35" t="str">
        <f aca="false">IF(G208=".",F208,CONCATENATE(F208,G208))</f>
        <v/>
      </c>
      <c r="I208" s="34" t="n">
        <f aca="false">IFERROR(VALUE(H208),)</f>
        <v>0</v>
      </c>
      <c r="J208" s="34" t="e">
        <f aca="false">RIGHT(B208,LEN(B208)-FIND("/",B208, FIND("Single Cells",B208, 1)))</f>
        <v>#VALUE!</v>
      </c>
    </row>
    <row r="209" customFormat="false" ht="12.75" hidden="false" customHeight="true" outlineLevel="0" collapsed="false">
      <c r="E209" s="34" t="str">
        <f aca="false">MID(B209,9,1)</f>
        <v/>
      </c>
      <c r="F209" s="34" t="str">
        <f aca="false">MID(B209,10,1)</f>
        <v/>
      </c>
      <c r="G209" s="34" t="str">
        <f aca="false">MID(B209,11,1)</f>
        <v/>
      </c>
      <c r="H209" s="35" t="str">
        <f aca="false">IF(G209=".",F209,CONCATENATE(F209,G209))</f>
        <v/>
      </c>
      <c r="I209" s="34" t="n">
        <f aca="false">IFERROR(VALUE(H209),)</f>
        <v>0</v>
      </c>
      <c r="J209" s="34" t="e">
        <f aca="false">RIGHT(B209,LEN(B209)-FIND("/",B209, FIND("Single Cells",B209, 1)))</f>
        <v>#VALUE!</v>
      </c>
    </row>
    <row r="210" customFormat="false" ht="12.75" hidden="false" customHeight="true" outlineLevel="0" collapsed="false">
      <c r="E210" s="34" t="str">
        <f aca="false">MID(B210,9,1)</f>
        <v/>
      </c>
      <c r="F210" s="34" t="str">
        <f aca="false">MID(B210,10,1)</f>
        <v/>
      </c>
      <c r="G210" s="34" t="str">
        <f aca="false">MID(B210,11,1)</f>
        <v/>
      </c>
      <c r="H210" s="35" t="str">
        <f aca="false">IF(G210=".",F210,CONCATENATE(F210,G210))</f>
        <v/>
      </c>
      <c r="I210" s="34" t="n">
        <f aca="false">IFERROR(VALUE(H210),)</f>
        <v>0</v>
      </c>
      <c r="J210" s="34" t="e">
        <f aca="false">RIGHT(B210,LEN(B210)-FIND("/",B210, FIND("Single Cells",B210, 1)))</f>
        <v>#VALUE!</v>
      </c>
    </row>
    <row r="211" customFormat="false" ht="12.75" hidden="false" customHeight="true" outlineLevel="0" collapsed="false">
      <c r="E211" s="34" t="str">
        <f aca="false">MID(B211,9,1)</f>
        <v/>
      </c>
      <c r="F211" s="34" t="str">
        <f aca="false">MID(B211,10,1)</f>
        <v/>
      </c>
      <c r="G211" s="34" t="str">
        <f aca="false">MID(B211,11,1)</f>
        <v/>
      </c>
      <c r="H211" s="35" t="str">
        <f aca="false">IF(G211=".",F211,CONCATENATE(F211,G211))</f>
        <v/>
      </c>
      <c r="I211" s="34" t="n">
        <f aca="false">IFERROR(VALUE(H211),)</f>
        <v>0</v>
      </c>
      <c r="J211" s="34" t="e">
        <f aca="false">RIGHT(B211,LEN(B211)-FIND("/",B211, FIND("Single Cells",B211, 1)))</f>
        <v>#VALUE!</v>
      </c>
    </row>
    <row r="212" customFormat="false" ht="12.75" hidden="false" customHeight="true" outlineLevel="0" collapsed="false">
      <c r="E212" s="34" t="str">
        <f aca="false">MID(B212,9,1)</f>
        <v/>
      </c>
      <c r="F212" s="34" t="str">
        <f aca="false">MID(B212,10,1)</f>
        <v/>
      </c>
      <c r="G212" s="34" t="str">
        <f aca="false">MID(B212,11,1)</f>
        <v/>
      </c>
      <c r="H212" s="35" t="str">
        <f aca="false">IF(G212=".",F212,CONCATENATE(F212,G212))</f>
        <v/>
      </c>
      <c r="I212" s="34" t="n">
        <f aca="false">IFERROR(VALUE(H212),)</f>
        <v>0</v>
      </c>
      <c r="J212" s="34" t="e">
        <f aca="false">RIGHT(B212,LEN(B212)-FIND("/",B212, FIND("Single Cells",B212, 1)))</f>
        <v>#VALUE!</v>
      </c>
    </row>
    <row r="213" customFormat="false" ht="12.75" hidden="false" customHeight="true" outlineLevel="0" collapsed="false">
      <c r="E213" s="34" t="str">
        <f aca="false">MID(B213,9,1)</f>
        <v/>
      </c>
      <c r="F213" s="34" t="str">
        <f aca="false">MID(B213,10,1)</f>
        <v/>
      </c>
      <c r="G213" s="34" t="str">
        <f aca="false">MID(B213,11,1)</f>
        <v/>
      </c>
      <c r="H213" s="35" t="str">
        <f aca="false">IF(G213=".",F213,CONCATENATE(F213,G213))</f>
        <v/>
      </c>
      <c r="I213" s="34" t="n">
        <f aca="false">IFERROR(VALUE(H213),)</f>
        <v>0</v>
      </c>
      <c r="J213" s="34" t="e">
        <f aca="false">RIGHT(B213,LEN(B213)-FIND("/",B213, FIND("Single Cells",B213, 1)))</f>
        <v>#VALUE!</v>
      </c>
    </row>
    <row r="214" customFormat="false" ht="12.75" hidden="false" customHeight="true" outlineLevel="0" collapsed="false">
      <c r="E214" s="34" t="str">
        <f aca="false">MID(B214,9,1)</f>
        <v/>
      </c>
      <c r="F214" s="34" t="str">
        <f aca="false">MID(B214,10,1)</f>
        <v/>
      </c>
      <c r="G214" s="34" t="str">
        <f aca="false">MID(B214,11,1)</f>
        <v/>
      </c>
      <c r="H214" s="35" t="str">
        <f aca="false">IF(G214=".",F214,CONCATENATE(F214,G214))</f>
        <v/>
      </c>
      <c r="I214" s="34" t="n">
        <f aca="false">IFERROR(VALUE(H214),)</f>
        <v>0</v>
      </c>
      <c r="J214" s="34" t="e">
        <f aca="false">RIGHT(B214,LEN(B214)-FIND("/",B214, FIND("Single Cells",B214, 1)))</f>
        <v>#VALUE!</v>
      </c>
    </row>
    <row r="215" customFormat="false" ht="12.75" hidden="false" customHeight="true" outlineLevel="0" collapsed="false">
      <c r="E215" s="34" t="str">
        <f aca="false">MID(B215,9,1)</f>
        <v/>
      </c>
      <c r="F215" s="34" t="str">
        <f aca="false">MID(B215,10,1)</f>
        <v/>
      </c>
      <c r="G215" s="34" t="str">
        <f aca="false">MID(B215,11,1)</f>
        <v/>
      </c>
      <c r="H215" s="35" t="str">
        <f aca="false">IF(G215=".",F215,CONCATENATE(F215,G215))</f>
        <v/>
      </c>
      <c r="I215" s="34" t="n">
        <f aca="false">IFERROR(VALUE(H215),)</f>
        <v>0</v>
      </c>
      <c r="J215" s="34" t="e">
        <f aca="false">RIGHT(B215,LEN(B215)-FIND("/",B215, FIND("Single Cells",B215, 1)))</f>
        <v>#VALUE!</v>
      </c>
    </row>
    <row r="216" customFormat="false" ht="12.75" hidden="false" customHeight="true" outlineLevel="0" collapsed="false">
      <c r="E216" s="34" t="str">
        <f aca="false">MID(B216,9,1)</f>
        <v/>
      </c>
      <c r="F216" s="34" t="str">
        <f aca="false">MID(B216,10,1)</f>
        <v/>
      </c>
      <c r="G216" s="34" t="str">
        <f aca="false">MID(B216,11,1)</f>
        <v/>
      </c>
      <c r="H216" s="35" t="str">
        <f aca="false">IF(G216=".",F216,CONCATENATE(F216,G216))</f>
        <v/>
      </c>
      <c r="I216" s="34" t="n">
        <f aca="false">IFERROR(VALUE(H216),)</f>
        <v>0</v>
      </c>
      <c r="J216" s="34" t="e">
        <f aca="false">RIGHT(B216,LEN(B216)-FIND("/",B216, FIND("Single Cells",B216, 1)))</f>
        <v>#VALUE!</v>
      </c>
    </row>
    <row r="217" customFormat="false" ht="12.75" hidden="false" customHeight="true" outlineLevel="0" collapsed="false">
      <c r="E217" s="34" t="str">
        <f aca="false">MID(B217,9,1)</f>
        <v/>
      </c>
      <c r="F217" s="34" t="str">
        <f aca="false">MID(B217,10,1)</f>
        <v/>
      </c>
      <c r="G217" s="34" t="str">
        <f aca="false">MID(B217,11,1)</f>
        <v/>
      </c>
      <c r="H217" s="35" t="str">
        <f aca="false">IF(G217=".",F217,CONCATENATE(F217,G217))</f>
        <v/>
      </c>
      <c r="I217" s="34" t="n">
        <f aca="false">IFERROR(VALUE(H217),)</f>
        <v>0</v>
      </c>
      <c r="J217" s="34" t="e">
        <f aca="false">RIGHT(B217,LEN(B217)-FIND("/",B217, FIND("Single Cells",B217, 1)))</f>
        <v>#VALUE!</v>
      </c>
    </row>
    <row r="218" customFormat="false" ht="12.75" hidden="false" customHeight="true" outlineLevel="0" collapsed="false">
      <c r="E218" s="34" t="str">
        <f aca="false">MID(B218,9,1)</f>
        <v/>
      </c>
      <c r="F218" s="34" t="str">
        <f aca="false">MID(B218,10,1)</f>
        <v/>
      </c>
      <c r="G218" s="34" t="str">
        <f aca="false">MID(B218,11,1)</f>
        <v/>
      </c>
      <c r="H218" s="35" t="str">
        <f aca="false">IF(G218=".",F218,CONCATENATE(F218,G218))</f>
        <v/>
      </c>
      <c r="I218" s="34" t="n">
        <f aca="false">IFERROR(VALUE(H218),)</f>
        <v>0</v>
      </c>
      <c r="J218" s="34" t="e">
        <f aca="false">RIGHT(B218,LEN(B218)-FIND("/",B218, FIND("Single Cells",B218, 1)))</f>
        <v>#VALUE!</v>
      </c>
    </row>
    <row r="219" customFormat="false" ht="12.75" hidden="false" customHeight="true" outlineLevel="0" collapsed="false">
      <c r="E219" s="34" t="str">
        <f aca="false">MID(B219,9,1)</f>
        <v/>
      </c>
      <c r="F219" s="34" t="str">
        <f aca="false">MID(B219,10,1)</f>
        <v/>
      </c>
      <c r="G219" s="34" t="str">
        <f aca="false">MID(B219,11,1)</f>
        <v/>
      </c>
      <c r="H219" s="35" t="str">
        <f aca="false">IF(G219=".",F219,CONCATENATE(F219,G219))</f>
        <v/>
      </c>
      <c r="I219" s="34" t="n">
        <f aca="false">IFERROR(VALUE(H219),)</f>
        <v>0</v>
      </c>
      <c r="J219" s="34" t="e">
        <f aca="false">RIGHT(B219,LEN(B219)-FIND("/",B219, FIND("Single Cells",B219, 1)))</f>
        <v>#VALUE!</v>
      </c>
    </row>
    <row r="220" customFormat="false" ht="12.75" hidden="false" customHeight="true" outlineLevel="0" collapsed="false">
      <c r="E220" s="34" t="str">
        <f aca="false">MID(B220,9,1)</f>
        <v/>
      </c>
      <c r="F220" s="34" t="str">
        <f aca="false">MID(B220,10,1)</f>
        <v/>
      </c>
      <c r="G220" s="34" t="str">
        <f aca="false">MID(B220,11,1)</f>
        <v/>
      </c>
      <c r="H220" s="35" t="str">
        <f aca="false">IF(G220=".",F220,CONCATENATE(F220,G220))</f>
        <v/>
      </c>
      <c r="I220" s="34" t="n">
        <f aca="false">IFERROR(VALUE(H220),)</f>
        <v>0</v>
      </c>
      <c r="J220" s="34" t="e">
        <f aca="false">RIGHT(B220,LEN(B220)-FIND("/",B220, FIND("Single Cells",B220, 1)))</f>
        <v>#VALUE!</v>
      </c>
    </row>
    <row r="221" customFormat="false" ht="12.75" hidden="false" customHeight="true" outlineLevel="0" collapsed="false">
      <c r="E221" s="34" t="str">
        <f aca="false">MID(B221,9,1)</f>
        <v/>
      </c>
      <c r="F221" s="34" t="str">
        <f aca="false">MID(B221,10,1)</f>
        <v/>
      </c>
      <c r="G221" s="34" t="str">
        <f aca="false">MID(B221,11,1)</f>
        <v/>
      </c>
      <c r="H221" s="35" t="str">
        <f aca="false">IF(G221=".",F221,CONCATENATE(F221,G221))</f>
        <v/>
      </c>
      <c r="I221" s="34" t="n">
        <f aca="false">IFERROR(VALUE(H221),)</f>
        <v>0</v>
      </c>
      <c r="J221" s="34" t="e">
        <f aca="false">RIGHT(B221,LEN(B221)-FIND("/",B221, FIND("Single Cells",B221, 1)))</f>
        <v>#VALUE!</v>
      </c>
    </row>
    <row r="222" customFormat="false" ht="12.75" hidden="false" customHeight="true" outlineLevel="0" collapsed="false">
      <c r="E222" s="34" t="str">
        <f aca="false">MID(B222,9,1)</f>
        <v/>
      </c>
      <c r="F222" s="34" t="str">
        <f aca="false">MID(B222,10,1)</f>
        <v/>
      </c>
      <c r="G222" s="34" t="str">
        <f aca="false">MID(B222,11,1)</f>
        <v/>
      </c>
      <c r="H222" s="35" t="str">
        <f aca="false">IF(G222=".",F222,CONCATENATE(F222,G222))</f>
        <v/>
      </c>
      <c r="I222" s="34" t="n">
        <f aca="false">IFERROR(VALUE(H222),)</f>
        <v>0</v>
      </c>
      <c r="J222" s="34" t="e">
        <f aca="false">RIGHT(B222,LEN(B222)-FIND("/",B222, FIND("Single Cells",B222, 1)))</f>
        <v>#VALUE!</v>
      </c>
    </row>
    <row r="223" customFormat="false" ht="12.75" hidden="false" customHeight="true" outlineLevel="0" collapsed="false">
      <c r="E223" s="34" t="str">
        <f aca="false">MID(B223,9,1)</f>
        <v/>
      </c>
      <c r="F223" s="34" t="str">
        <f aca="false">MID(B223,10,1)</f>
        <v/>
      </c>
      <c r="G223" s="34" t="str">
        <f aca="false">MID(B223,11,1)</f>
        <v/>
      </c>
      <c r="H223" s="35" t="str">
        <f aca="false">IF(G223=".",F223,CONCATENATE(F223,G223))</f>
        <v/>
      </c>
      <c r="I223" s="34" t="n">
        <f aca="false">IFERROR(VALUE(H223),)</f>
        <v>0</v>
      </c>
      <c r="J223" s="34" t="e">
        <f aca="false">RIGHT(B223,LEN(B223)-FIND("/",B223, FIND("Single Cells",B223, 1)))</f>
        <v>#VALUE!</v>
      </c>
    </row>
    <row r="224" customFormat="false" ht="12.75" hidden="false" customHeight="true" outlineLevel="0" collapsed="false">
      <c r="E224" s="34" t="str">
        <f aca="false">MID(B224,9,1)</f>
        <v/>
      </c>
      <c r="F224" s="34" t="str">
        <f aca="false">MID(B224,10,1)</f>
        <v/>
      </c>
      <c r="G224" s="34" t="str">
        <f aca="false">MID(B224,11,1)</f>
        <v/>
      </c>
      <c r="H224" s="35" t="str">
        <f aca="false">IF(G224=".",F224,CONCATENATE(F224,G224))</f>
        <v/>
      </c>
      <c r="I224" s="34" t="n">
        <f aca="false">IFERROR(VALUE(H224),)</f>
        <v>0</v>
      </c>
      <c r="J224" s="34" t="e">
        <f aca="false">RIGHT(B224,LEN(B224)-FIND("/",B224, FIND("Single Cells",B224, 1)))</f>
        <v>#VALUE!</v>
      </c>
    </row>
    <row r="225" customFormat="false" ht="12.75" hidden="false" customHeight="true" outlineLevel="0" collapsed="false">
      <c r="E225" s="34" t="str">
        <f aca="false">MID(B225,9,1)</f>
        <v/>
      </c>
      <c r="F225" s="34" t="str">
        <f aca="false">MID(B225,10,1)</f>
        <v/>
      </c>
      <c r="G225" s="34" t="str">
        <f aca="false">MID(B225,11,1)</f>
        <v/>
      </c>
      <c r="H225" s="35" t="str">
        <f aca="false">IF(G225=".",F225,CONCATENATE(F225,G225))</f>
        <v/>
      </c>
      <c r="I225" s="34" t="n">
        <f aca="false">IFERROR(VALUE(H225),)</f>
        <v>0</v>
      </c>
      <c r="J225" s="34" t="e">
        <f aca="false">RIGHT(B225,LEN(B225)-FIND("/",B225, FIND("Single Cells",B225, 1)))</f>
        <v>#VALUE!</v>
      </c>
    </row>
    <row r="226" customFormat="false" ht="12.75" hidden="false" customHeight="true" outlineLevel="0" collapsed="false">
      <c r="E226" s="34" t="str">
        <f aca="false">MID(B226,9,1)</f>
        <v/>
      </c>
      <c r="F226" s="34" t="str">
        <f aca="false">MID(B226,10,1)</f>
        <v/>
      </c>
      <c r="G226" s="34" t="str">
        <f aca="false">MID(B226,11,1)</f>
        <v/>
      </c>
      <c r="H226" s="35" t="str">
        <f aca="false">IF(G226=".",F226,CONCATENATE(F226,G226))</f>
        <v/>
      </c>
      <c r="I226" s="34" t="n">
        <f aca="false">IFERROR(VALUE(H226),)</f>
        <v>0</v>
      </c>
      <c r="J226" s="34" t="e">
        <f aca="false">RIGHT(B226,LEN(B226)-FIND("/",B226, FIND("Single Cells",B226, 1)))</f>
        <v>#VALUE!</v>
      </c>
    </row>
    <row r="227" customFormat="false" ht="12.75" hidden="false" customHeight="true" outlineLevel="0" collapsed="false">
      <c r="E227" s="34" t="str">
        <f aca="false">MID(B227,9,1)</f>
        <v/>
      </c>
      <c r="F227" s="34" t="str">
        <f aca="false">MID(B227,10,1)</f>
        <v/>
      </c>
      <c r="G227" s="34" t="str">
        <f aca="false">MID(B227,11,1)</f>
        <v/>
      </c>
      <c r="H227" s="35" t="str">
        <f aca="false">IF(G227=".",F227,CONCATENATE(F227,G227))</f>
        <v/>
      </c>
      <c r="I227" s="34" t="n">
        <f aca="false">IFERROR(VALUE(H227),)</f>
        <v>0</v>
      </c>
      <c r="J227" s="34" t="e">
        <f aca="false">RIGHT(B227,LEN(B227)-FIND("/",B227, FIND("Single Cells",B227, 1)))</f>
        <v>#VALUE!</v>
      </c>
    </row>
    <row r="228" customFormat="false" ht="12.75" hidden="false" customHeight="true" outlineLevel="0" collapsed="false">
      <c r="E228" s="34" t="str">
        <f aca="false">MID(B228,9,1)</f>
        <v/>
      </c>
      <c r="F228" s="34" t="str">
        <f aca="false">MID(B228,10,1)</f>
        <v/>
      </c>
      <c r="G228" s="34" t="str">
        <f aca="false">MID(B228,11,1)</f>
        <v/>
      </c>
      <c r="H228" s="35" t="str">
        <f aca="false">IF(G228=".",F228,CONCATENATE(F228,G228))</f>
        <v/>
      </c>
      <c r="I228" s="34" t="n">
        <f aca="false">IFERROR(VALUE(H228),)</f>
        <v>0</v>
      </c>
      <c r="J228" s="34" t="e">
        <f aca="false">RIGHT(B228,LEN(B228)-FIND("/",B228, FIND("Single Cells",B228, 1)))</f>
        <v>#VALUE!</v>
      </c>
    </row>
    <row r="229" customFormat="false" ht="12.75" hidden="false" customHeight="true" outlineLevel="0" collapsed="false">
      <c r="E229" s="34" t="str">
        <f aca="false">MID(B229,9,1)</f>
        <v/>
      </c>
      <c r="F229" s="34" t="str">
        <f aca="false">MID(B229,10,1)</f>
        <v/>
      </c>
      <c r="G229" s="34" t="str">
        <f aca="false">MID(B229,11,1)</f>
        <v/>
      </c>
      <c r="H229" s="35" t="str">
        <f aca="false">IF(G229=".",F229,CONCATENATE(F229,G229))</f>
        <v/>
      </c>
      <c r="I229" s="34" t="n">
        <f aca="false">IFERROR(VALUE(H229),)</f>
        <v>0</v>
      </c>
      <c r="J229" s="34" t="e">
        <f aca="false">RIGHT(B229,LEN(B229)-FIND("/",B229, FIND("Single Cells",B229, 1)))</f>
        <v>#VALUE!</v>
      </c>
    </row>
    <row r="230" customFormat="false" ht="12.75" hidden="false" customHeight="true" outlineLevel="0" collapsed="false">
      <c r="E230" s="34" t="str">
        <f aca="false">MID(B230,9,1)</f>
        <v/>
      </c>
      <c r="F230" s="34" t="str">
        <f aca="false">MID(B230,10,1)</f>
        <v/>
      </c>
      <c r="G230" s="34" t="str">
        <f aca="false">MID(B230,11,1)</f>
        <v/>
      </c>
      <c r="H230" s="35" t="str">
        <f aca="false">IF(G230=".",F230,CONCATENATE(F230,G230))</f>
        <v/>
      </c>
      <c r="I230" s="34" t="n">
        <f aca="false">IFERROR(VALUE(H230),)</f>
        <v>0</v>
      </c>
      <c r="J230" s="34" t="e">
        <f aca="false">RIGHT(B230,LEN(B230)-FIND("/",B230, FIND("Single Cells",B230, 1)))</f>
        <v>#VALUE!</v>
      </c>
    </row>
    <row r="231" customFormat="false" ht="12.75" hidden="false" customHeight="true" outlineLevel="0" collapsed="false">
      <c r="E231" s="34" t="str">
        <f aca="false">MID(B231,9,1)</f>
        <v/>
      </c>
      <c r="F231" s="34" t="str">
        <f aca="false">MID(B231,10,1)</f>
        <v/>
      </c>
      <c r="G231" s="34" t="str">
        <f aca="false">MID(B231,11,1)</f>
        <v/>
      </c>
      <c r="H231" s="35" t="str">
        <f aca="false">IF(G231=".",F231,CONCATENATE(F231,G231))</f>
        <v/>
      </c>
      <c r="I231" s="34" t="n">
        <f aca="false">IFERROR(VALUE(H231),)</f>
        <v>0</v>
      </c>
      <c r="J231" s="34" t="e">
        <f aca="false">RIGHT(B231,LEN(B231)-FIND("/",B231, FIND("Single Cells",B231, 1)))</f>
        <v>#VALUE!</v>
      </c>
    </row>
    <row r="232" customFormat="false" ht="12.75" hidden="false" customHeight="true" outlineLevel="0" collapsed="false">
      <c r="E232" s="34" t="str">
        <f aca="false">MID(B232,9,1)</f>
        <v/>
      </c>
      <c r="F232" s="34" t="str">
        <f aca="false">MID(B232,10,1)</f>
        <v/>
      </c>
      <c r="G232" s="34" t="str">
        <f aca="false">MID(B232,11,1)</f>
        <v/>
      </c>
      <c r="H232" s="35" t="str">
        <f aca="false">IF(G232=".",F232,CONCATENATE(F232,G232))</f>
        <v/>
      </c>
      <c r="I232" s="34" t="n">
        <f aca="false">IFERROR(VALUE(H232),)</f>
        <v>0</v>
      </c>
      <c r="J232" s="34" t="e">
        <f aca="false">RIGHT(B232,LEN(B232)-FIND("/",B232, FIND("Single Cells",B232, 1)))</f>
        <v>#VALUE!</v>
      </c>
    </row>
    <row r="233" customFormat="false" ht="12.75" hidden="false" customHeight="true" outlineLevel="0" collapsed="false">
      <c r="E233" s="34" t="str">
        <f aca="false">MID(B233,9,1)</f>
        <v/>
      </c>
      <c r="F233" s="34" t="str">
        <f aca="false">MID(B233,10,1)</f>
        <v/>
      </c>
      <c r="G233" s="34" t="str">
        <f aca="false">MID(B233,11,1)</f>
        <v/>
      </c>
      <c r="H233" s="35" t="str">
        <f aca="false">IF(G233=".",F233,CONCATENATE(F233,G233))</f>
        <v/>
      </c>
      <c r="I233" s="34" t="n">
        <f aca="false">IFERROR(VALUE(H233),)</f>
        <v>0</v>
      </c>
      <c r="J233" s="34" t="e">
        <f aca="false">RIGHT(B233,LEN(B233)-FIND("/",B233, FIND("Single Cells",B233, 1)))</f>
        <v>#VALUE!</v>
      </c>
    </row>
    <row r="234" customFormat="false" ht="12.75" hidden="false" customHeight="true" outlineLevel="0" collapsed="false">
      <c r="E234" s="34" t="str">
        <f aca="false">MID(B234,9,1)</f>
        <v/>
      </c>
      <c r="F234" s="34" t="str">
        <f aca="false">MID(B234,10,1)</f>
        <v/>
      </c>
      <c r="G234" s="34" t="str">
        <f aca="false">MID(B234,11,1)</f>
        <v/>
      </c>
      <c r="H234" s="35" t="str">
        <f aca="false">IF(G234=".",F234,CONCATENATE(F234,G234))</f>
        <v/>
      </c>
      <c r="I234" s="34" t="n">
        <f aca="false">IFERROR(VALUE(H234),)</f>
        <v>0</v>
      </c>
      <c r="J234" s="34" t="e">
        <f aca="false">RIGHT(B234,LEN(B234)-FIND("/",B234, FIND("Single Cells",B234, 1)))</f>
        <v>#VALUE!</v>
      </c>
    </row>
    <row r="235" customFormat="false" ht="12.75" hidden="false" customHeight="true" outlineLevel="0" collapsed="false">
      <c r="E235" s="34" t="str">
        <f aca="false">MID(B235,9,1)</f>
        <v/>
      </c>
      <c r="F235" s="34" t="str">
        <f aca="false">MID(B235,10,1)</f>
        <v/>
      </c>
      <c r="G235" s="34" t="str">
        <f aca="false">MID(B235,11,1)</f>
        <v/>
      </c>
      <c r="H235" s="35" t="str">
        <f aca="false">IF(G235=".",F235,CONCATENATE(F235,G235))</f>
        <v/>
      </c>
      <c r="I235" s="34" t="n">
        <f aca="false">IFERROR(VALUE(H235),)</f>
        <v>0</v>
      </c>
      <c r="J235" s="34" t="e">
        <f aca="false">RIGHT(B235,LEN(B235)-FIND("/",B235, FIND("Single Cells",B235, 1)))</f>
        <v>#VALUE!</v>
      </c>
    </row>
    <row r="236" customFormat="false" ht="12.75" hidden="false" customHeight="true" outlineLevel="0" collapsed="false">
      <c r="E236" s="34" t="str">
        <f aca="false">MID(B236,9,1)</f>
        <v/>
      </c>
      <c r="F236" s="34" t="str">
        <f aca="false">MID(B236,10,1)</f>
        <v/>
      </c>
      <c r="G236" s="34" t="str">
        <f aca="false">MID(B236,11,1)</f>
        <v/>
      </c>
      <c r="H236" s="35" t="str">
        <f aca="false">IF(G236=".",F236,CONCATENATE(F236,G236))</f>
        <v/>
      </c>
      <c r="I236" s="34" t="n">
        <f aca="false">IFERROR(VALUE(H236),)</f>
        <v>0</v>
      </c>
      <c r="J236" s="34" t="e">
        <f aca="false">RIGHT(B236,LEN(B236)-FIND("/",B236, FIND("Single Cells",B236, 1)))</f>
        <v>#VALUE!</v>
      </c>
    </row>
    <row r="237" customFormat="false" ht="12.75" hidden="false" customHeight="true" outlineLevel="0" collapsed="false">
      <c r="E237" s="34" t="str">
        <f aca="false">MID(B237,9,1)</f>
        <v/>
      </c>
      <c r="F237" s="34" t="str">
        <f aca="false">MID(B237,10,1)</f>
        <v/>
      </c>
      <c r="G237" s="34" t="str">
        <f aca="false">MID(B237,11,1)</f>
        <v/>
      </c>
      <c r="H237" s="35" t="str">
        <f aca="false">IF(G237=".",F237,CONCATENATE(F237,G237))</f>
        <v/>
      </c>
      <c r="I237" s="34" t="n">
        <f aca="false">IFERROR(VALUE(H237),)</f>
        <v>0</v>
      </c>
      <c r="J237" s="34" t="e">
        <f aca="false">RIGHT(B237,LEN(B237)-FIND("/",B237, FIND("Single Cells",B237, 1)))</f>
        <v>#VALUE!</v>
      </c>
    </row>
    <row r="238" customFormat="false" ht="12.75" hidden="false" customHeight="true" outlineLevel="0" collapsed="false">
      <c r="E238" s="34" t="str">
        <f aca="false">MID(B238,9,1)</f>
        <v/>
      </c>
      <c r="F238" s="34" t="str">
        <f aca="false">MID(B238,10,1)</f>
        <v/>
      </c>
      <c r="G238" s="34" t="str">
        <f aca="false">MID(B238,11,1)</f>
        <v/>
      </c>
      <c r="H238" s="35" t="str">
        <f aca="false">IF(G238=".",F238,CONCATENATE(F238,G238))</f>
        <v/>
      </c>
      <c r="I238" s="34" t="n">
        <f aca="false">IFERROR(VALUE(H238),)</f>
        <v>0</v>
      </c>
      <c r="J238" s="34" t="e">
        <f aca="false">RIGHT(B238,LEN(B238)-FIND("/",B238, FIND("Single Cells",B238, 1)))</f>
        <v>#VALUE!</v>
      </c>
    </row>
    <row r="239" customFormat="false" ht="12.75" hidden="false" customHeight="true" outlineLevel="0" collapsed="false">
      <c r="E239" s="34" t="str">
        <f aca="false">MID(B239,9,1)</f>
        <v/>
      </c>
      <c r="F239" s="34" t="str">
        <f aca="false">MID(B239,10,1)</f>
        <v/>
      </c>
      <c r="G239" s="34" t="str">
        <f aca="false">MID(B239,11,1)</f>
        <v/>
      </c>
      <c r="H239" s="35" t="str">
        <f aca="false">IF(G239=".",F239,CONCATENATE(F239,G239))</f>
        <v/>
      </c>
      <c r="I239" s="34" t="n">
        <f aca="false">IFERROR(VALUE(H239),)</f>
        <v>0</v>
      </c>
      <c r="J239" s="34" t="e">
        <f aca="false">RIGHT(B239,LEN(B239)-FIND("/",B239, FIND("Single Cells",B239, 1)))</f>
        <v>#VALUE!</v>
      </c>
    </row>
    <row r="240" customFormat="false" ht="12.75" hidden="false" customHeight="true" outlineLevel="0" collapsed="false">
      <c r="E240" s="34" t="str">
        <f aca="false">MID(B240,9,1)</f>
        <v/>
      </c>
      <c r="F240" s="34" t="str">
        <f aca="false">MID(B240,10,1)</f>
        <v/>
      </c>
      <c r="G240" s="34" t="str">
        <f aca="false">MID(B240,11,1)</f>
        <v/>
      </c>
      <c r="H240" s="35" t="str">
        <f aca="false">IF(G240=".",F240,CONCATENATE(F240,G240))</f>
        <v/>
      </c>
      <c r="I240" s="34" t="n">
        <f aca="false">IFERROR(VALUE(H240),)</f>
        <v>0</v>
      </c>
      <c r="J240" s="34" t="e">
        <f aca="false">RIGHT(B240,LEN(B240)-FIND("/",B240, FIND("Single Cells",B240, 1)))</f>
        <v>#VALUE!</v>
      </c>
    </row>
    <row r="241" customFormat="false" ht="12.75" hidden="false" customHeight="true" outlineLevel="0" collapsed="false">
      <c r="E241" s="34" t="str">
        <f aca="false">MID(B241,9,1)</f>
        <v/>
      </c>
      <c r="F241" s="34" t="str">
        <f aca="false">MID(B241,10,1)</f>
        <v/>
      </c>
      <c r="G241" s="34" t="str">
        <f aca="false">MID(B241,11,1)</f>
        <v/>
      </c>
      <c r="H241" s="35" t="str">
        <f aca="false">IF(G241=".",F241,CONCATENATE(F241,G241))</f>
        <v/>
      </c>
      <c r="I241" s="34" t="n">
        <f aca="false">IFERROR(VALUE(H241),)</f>
        <v>0</v>
      </c>
      <c r="J241" s="34" t="e">
        <f aca="false">RIGHT(B241,LEN(B241)-FIND("/",B241, FIND("Single Cells",B241, 1)))</f>
        <v>#VALUE!</v>
      </c>
    </row>
    <row r="242" customFormat="false" ht="12.75" hidden="false" customHeight="true" outlineLevel="0" collapsed="false">
      <c r="E242" s="34" t="str">
        <f aca="false">MID(B242,9,1)</f>
        <v/>
      </c>
      <c r="F242" s="34" t="str">
        <f aca="false">MID(B242,10,1)</f>
        <v/>
      </c>
      <c r="G242" s="34" t="str">
        <f aca="false">MID(B242,11,1)</f>
        <v/>
      </c>
      <c r="H242" s="35" t="str">
        <f aca="false">IF(G242=".",F242,CONCATENATE(F242,G242))</f>
        <v/>
      </c>
      <c r="I242" s="34" t="n">
        <f aca="false">IFERROR(VALUE(H242),)</f>
        <v>0</v>
      </c>
      <c r="J242" s="34" t="e">
        <f aca="false">RIGHT(B242,LEN(B242)-FIND("/",B242, FIND("Single Cells",B242, 1)))</f>
        <v>#VALUE!</v>
      </c>
    </row>
    <row r="243" customFormat="false" ht="12.75" hidden="false" customHeight="true" outlineLevel="0" collapsed="false">
      <c r="E243" s="34" t="str">
        <f aca="false">MID(B243,9,1)</f>
        <v/>
      </c>
      <c r="F243" s="34" t="str">
        <f aca="false">MID(B243,10,1)</f>
        <v/>
      </c>
      <c r="G243" s="34" t="str">
        <f aca="false">MID(B243,11,1)</f>
        <v/>
      </c>
      <c r="H243" s="35" t="str">
        <f aca="false">IF(G243=".",F243,CONCATENATE(F243,G243))</f>
        <v/>
      </c>
      <c r="I243" s="34" t="n">
        <f aca="false">IFERROR(VALUE(H243),)</f>
        <v>0</v>
      </c>
      <c r="J243" s="34" t="e">
        <f aca="false">RIGHT(B243,LEN(B243)-FIND("/",B243, FIND("Single Cells",B243, 1)))</f>
        <v>#VALUE!</v>
      </c>
    </row>
    <row r="244" customFormat="false" ht="12.75" hidden="false" customHeight="true" outlineLevel="0" collapsed="false">
      <c r="E244" s="34" t="str">
        <f aca="false">MID(B244,9,1)</f>
        <v/>
      </c>
      <c r="F244" s="34" t="str">
        <f aca="false">MID(B244,10,1)</f>
        <v/>
      </c>
      <c r="G244" s="34" t="str">
        <f aca="false">MID(B244,11,1)</f>
        <v/>
      </c>
      <c r="H244" s="35" t="str">
        <f aca="false">IF(G244=".",F244,CONCATENATE(F244,G244))</f>
        <v/>
      </c>
      <c r="I244" s="34" t="n">
        <f aca="false">IFERROR(VALUE(H244),)</f>
        <v>0</v>
      </c>
      <c r="J244" s="34" t="e">
        <f aca="false">RIGHT(B244,LEN(B244)-FIND("/",B244, FIND("Single Cells",B244, 1)))</f>
        <v>#VALUE!</v>
      </c>
    </row>
    <row r="245" customFormat="false" ht="12.75" hidden="false" customHeight="true" outlineLevel="0" collapsed="false">
      <c r="E245" s="34" t="str">
        <f aca="false">MID(B245,9,1)</f>
        <v/>
      </c>
      <c r="F245" s="34" t="str">
        <f aca="false">MID(B245,10,1)</f>
        <v/>
      </c>
      <c r="G245" s="34" t="str">
        <f aca="false">MID(B245,11,1)</f>
        <v/>
      </c>
      <c r="H245" s="35" t="str">
        <f aca="false">IF(G245=".",F245,CONCATENATE(F245,G245))</f>
        <v/>
      </c>
      <c r="I245" s="34" t="n">
        <f aca="false">IFERROR(VALUE(H245),)</f>
        <v>0</v>
      </c>
      <c r="J245" s="34" t="e">
        <f aca="false">RIGHT(B245,LEN(B245)-FIND("/",B245, FIND("Single Cells",B245, 1)))</f>
        <v>#VALUE!</v>
      </c>
    </row>
    <row r="246" customFormat="false" ht="12.75" hidden="false" customHeight="true" outlineLevel="0" collapsed="false">
      <c r="E246" s="34" t="str">
        <f aca="false">MID(B246,9,1)</f>
        <v/>
      </c>
      <c r="F246" s="34" t="str">
        <f aca="false">MID(B246,10,1)</f>
        <v/>
      </c>
      <c r="G246" s="34" t="str">
        <f aca="false">MID(B246,11,1)</f>
        <v/>
      </c>
      <c r="H246" s="35" t="str">
        <f aca="false">IF(G246=".",F246,CONCATENATE(F246,G246))</f>
        <v/>
      </c>
      <c r="I246" s="34" t="n">
        <f aca="false">IFERROR(VALUE(H246),)</f>
        <v>0</v>
      </c>
      <c r="J246" s="34" t="e">
        <f aca="false">RIGHT(B246,LEN(B246)-FIND("/",B246, FIND("Single Cells",B246, 1)))</f>
        <v>#VALUE!</v>
      </c>
    </row>
    <row r="247" customFormat="false" ht="12.75" hidden="false" customHeight="true" outlineLevel="0" collapsed="false">
      <c r="E247" s="34" t="str">
        <f aca="false">MID(B247,9,1)</f>
        <v/>
      </c>
      <c r="F247" s="34" t="str">
        <f aca="false">MID(B247,10,1)</f>
        <v/>
      </c>
      <c r="G247" s="34" t="str">
        <f aca="false">MID(B247,11,1)</f>
        <v/>
      </c>
      <c r="H247" s="35" t="str">
        <f aca="false">IF(G247=".",F247,CONCATENATE(F247,G247))</f>
        <v/>
      </c>
      <c r="I247" s="34" t="n">
        <f aca="false">IFERROR(VALUE(H247),)</f>
        <v>0</v>
      </c>
      <c r="J247" s="34" t="e">
        <f aca="false">RIGHT(B247,LEN(B247)-FIND("/",B247, FIND("Single Cells",B247, 1)))</f>
        <v>#VALUE!</v>
      </c>
    </row>
    <row r="248" customFormat="false" ht="12.75" hidden="false" customHeight="true" outlineLevel="0" collapsed="false">
      <c r="E248" s="34" t="str">
        <f aca="false">MID(B248,9,1)</f>
        <v/>
      </c>
      <c r="F248" s="34" t="str">
        <f aca="false">MID(B248,10,1)</f>
        <v/>
      </c>
      <c r="G248" s="34" t="str">
        <f aca="false">MID(B248,11,1)</f>
        <v/>
      </c>
      <c r="H248" s="35" t="str">
        <f aca="false">IF(G248=".",F248,CONCATENATE(F248,G248))</f>
        <v/>
      </c>
      <c r="I248" s="34" t="n">
        <f aca="false">IFERROR(VALUE(H248),)</f>
        <v>0</v>
      </c>
      <c r="J248" s="34" t="e">
        <f aca="false">RIGHT(B248,LEN(B248)-FIND("/",B248, FIND("Single Cells",B248, 1)))</f>
        <v>#VALUE!</v>
      </c>
    </row>
    <row r="249" customFormat="false" ht="12.75" hidden="false" customHeight="true" outlineLevel="0" collapsed="false">
      <c r="E249" s="34" t="str">
        <f aca="false">MID(B249,9,1)</f>
        <v/>
      </c>
      <c r="F249" s="34" t="str">
        <f aca="false">MID(B249,10,1)</f>
        <v/>
      </c>
      <c r="G249" s="34" t="str">
        <f aca="false">MID(B249,11,1)</f>
        <v/>
      </c>
      <c r="H249" s="35" t="str">
        <f aca="false">IF(G249=".",F249,CONCATENATE(F249,G249))</f>
        <v/>
      </c>
      <c r="I249" s="34" t="n">
        <f aca="false">IFERROR(VALUE(H249),)</f>
        <v>0</v>
      </c>
      <c r="J249" s="34" t="e">
        <f aca="false">RIGHT(B249,LEN(B249)-FIND("/",B249, FIND("Single Cells",B249, 1)))</f>
        <v>#VALUE!</v>
      </c>
    </row>
    <row r="250" customFormat="false" ht="12.75" hidden="false" customHeight="true" outlineLevel="0" collapsed="false">
      <c r="E250" s="34" t="str">
        <f aca="false">MID(B250,9,1)</f>
        <v/>
      </c>
      <c r="F250" s="34" t="str">
        <f aca="false">MID(B250,10,1)</f>
        <v/>
      </c>
      <c r="G250" s="34" t="str">
        <f aca="false">MID(B250,11,1)</f>
        <v/>
      </c>
      <c r="H250" s="35" t="str">
        <f aca="false">IF(G250=".",F250,CONCATENATE(F250,G250))</f>
        <v/>
      </c>
      <c r="I250" s="34" t="n">
        <f aca="false">IFERROR(VALUE(H250),)</f>
        <v>0</v>
      </c>
      <c r="J250" s="34" t="e">
        <f aca="false">RIGHT(B250,LEN(B250)-FIND("/",B250, FIND("Single Cells",B250, 1)))</f>
        <v>#VALUE!</v>
      </c>
    </row>
    <row r="251" customFormat="false" ht="12.75" hidden="false" customHeight="true" outlineLevel="0" collapsed="false">
      <c r="E251" s="34" t="str">
        <f aca="false">MID(B251,9,1)</f>
        <v/>
      </c>
      <c r="F251" s="34" t="str">
        <f aca="false">MID(B251,10,1)</f>
        <v/>
      </c>
      <c r="G251" s="34" t="str">
        <f aca="false">MID(B251,11,1)</f>
        <v/>
      </c>
      <c r="H251" s="35" t="str">
        <f aca="false">IF(G251=".",F251,CONCATENATE(F251,G251))</f>
        <v/>
      </c>
      <c r="I251" s="34" t="n">
        <f aca="false">IFERROR(VALUE(H251),)</f>
        <v>0</v>
      </c>
      <c r="J251" s="34" t="e">
        <f aca="false">RIGHT(B251,LEN(B251)-FIND("/",B251, FIND("Single Cells",B251, 1)))</f>
        <v>#VALUE!</v>
      </c>
    </row>
    <row r="252" customFormat="false" ht="12.75" hidden="false" customHeight="true" outlineLevel="0" collapsed="false">
      <c r="E252" s="34" t="str">
        <f aca="false">MID(B252,9,1)</f>
        <v/>
      </c>
      <c r="F252" s="34" t="str">
        <f aca="false">MID(B252,10,1)</f>
        <v/>
      </c>
      <c r="G252" s="34" t="str">
        <f aca="false">MID(B252,11,1)</f>
        <v/>
      </c>
      <c r="H252" s="35" t="str">
        <f aca="false">IF(G252=".",F252,CONCATENATE(F252,G252))</f>
        <v/>
      </c>
      <c r="I252" s="34" t="n">
        <f aca="false">IFERROR(VALUE(H252),)</f>
        <v>0</v>
      </c>
      <c r="J252" s="34" t="e">
        <f aca="false">RIGHT(B252,LEN(B252)-FIND("/",B252, FIND("Single Cells",B252, 1)))</f>
        <v>#VALUE!</v>
      </c>
    </row>
    <row r="253" customFormat="false" ht="12.75" hidden="false" customHeight="true" outlineLevel="0" collapsed="false">
      <c r="E253" s="34" t="str">
        <f aca="false">MID(B253,9,1)</f>
        <v/>
      </c>
      <c r="F253" s="34" t="str">
        <f aca="false">MID(B253,10,1)</f>
        <v/>
      </c>
      <c r="G253" s="34" t="str">
        <f aca="false">MID(B253,11,1)</f>
        <v/>
      </c>
      <c r="H253" s="35" t="str">
        <f aca="false">IF(G253=".",F253,CONCATENATE(F253,G253))</f>
        <v/>
      </c>
      <c r="I253" s="34" t="n">
        <f aca="false">IFERROR(VALUE(H253),)</f>
        <v>0</v>
      </c>
      <c r="J253" s="34" t="e">
        <f aca="false">RIGHT(B253,LEN(B253)-FIND("/",B253, FIND("Single Cells",B253, 1)))</f>
        <v>#VALUE!</v>
      </c>
    </row>
    <row r="254" customFormat="false" ht="12.75" hidden="false" customHeight="true" outlineLevel="0" collapsed="false">
      <c r="E254" s="34" t="str">
        <f aca="false">MID(B254,9,1)</f>
        <v/>
      </c>
      <c r="F254" s="34" t="str">
        <f aca="false">MID(B254,10,1)</f>
        <v/>
      </c>
      <c r="G254" s="34" t="str">
        <f aca="false">MID(B254,11,1)</f>
        <v/>
      </c>
      <c r="H254" s="35" t="str">
        <f aca="false">IF(G254=".",F254,CONCATENATE(F254,G254))</f>
        <v/>
      </c>
      <c r="I254" s="34" t="n">
        <f aca="false">IFERROR(VALUE(H254),)</f>
        <v>0</v>
      </c>
      <c r="J254" s="34" t="e">
        <f aca="false">RIGHT(B254,LEN(B254)-FIND("/",B254, FIND("Single Cells",B254, 1)))</f>
        <v>#VALUE!</v>
      </c>
    </row>
    <row r="255" customFormat="false" ht="12.75" hidden="false" customHeight="true" outlineLevel="0" collapsed="false">
      <c r="E255" s="34" t="str">
        <f aca="false">MID(B255,9,1)</f>
        <v/>
      </c>
      <c r="F255" s="34" t="str">
        <f aca="false">MID(B255,10,1)</f>
        <v/>
      </c>
      <c r="G255" s="34" t="str">
        <f aca="false">MID(B255,11,1)</f>
        <v/>
      </c>
      <c r="H255" s="35" t="str">
        <f aca="false">IF(G255=".",F255,CONCATENATE(F255,G255))</f>
        <v/>
      </c>
      <c r="I255" s="34" t="n">
        <f aca="false">IFERROR(VALUE(H255),)</f>
        <v>0</v>
      </c>
      <c r="J255" s="34" t="e">
        <f aca="false">RIGHT(B255,LEN(B255)-FIND("/",B255, FIND("Single Cells",B255, 1)))</f>
        <v>#VALUE!</v>
      </c>
    </row>
    <row r="256" customFormat="false" ht="12.75" hidden="false" customHeight="true" outlineLevel="0" collapsed="false">
      <c r="E256" s="34" t="str">
        <f aca="false">MID(B256,9,1)</f>
        <v/>
      </c>
      <c r="F256" s="34" t="str">
        <f aca="false">MID(B256,10,1)</f>
        <v/>
      </c>
      <c r="G256" s="34" t="str">
        <f aca="false">MID(B256,11,1)</f>
        <v/>
      </c>
      <c r="H256" s="35" t="str">
        <f aca="false">IF(G256=".",F256,CONCATENATE(F256,G256))</f>
        <v/>
      </c>
      <c r="I256" s="34" t="n">
        <f aca="false">IFERROR(VALUE(H256),)</f>
        <v>0</v>
      </c>
      <c r="J256" s="34" t="e">
        <f aca="false">RIGHT(B256,LEN(B256)-FIND("/",B256, FIND("Single Cells",B256, 1)))</f>
        <v>#VALUE!</v>
      </c>
    </row>
    <row r="257" customFormat="false" ht="12.75" hidden="false" customHeight="true" outlineLevel="0" collapsed="false">
      <c r="E257" s="34" t="str">
        <f aca="false">MID(B257,9,1)</f>
        <v/>
      </c>
      <c r="F257" s="34" t="str">
        <f aca="false">MID(B257,10,1)</f>
        <v/>
      </c>
      <c r="G257" s="34" t="str">
        <f aca="false">MID(B257,11,1)</f>
        <v/>
      </c>
      <c r="H257" s="35" t="str">
        <f aca="false">IF(G257=".",F257,CONCATENATE(F257,G257))</f>
        <v/>
      </c>
      <c r="I257" s="34" t="n">
        <f aca="false">IFERROR(VALUE(H257),)</f>
        <v>0</v>
      </c>
      <c r="J257" s="34" t="e">
        <f aca="false">RIGHT(B257,LEN(B257)-FIND("/",B257, FIND("Single Cells",B257, 1)))</f>
        <v>#VALUE!</v>
      </c>
    </row>
    <row r="258" customFormat="false" ht="12.75" hidden="false" customHeight="true" outlineLevel="0" collapsed="false">
      <c r="E258" s="34" t="str">
        <f aca="false">MID(B258,9,1)</f>
        <v/>
      </c>
      <c r="F258" s="34" t="str">
        <f aca="false">MID(B258,10,1)</f>
        <v/>
      </c>
      <c r="G258" s="34" t="str">
        <f aca="false">MID(B258,11,1)</f>
        <v/>
      </c>
      <c r="H258" s="35" t="str">
        <f aca="false">IF(G258=".",F258,CONCATENATE(F258,G258))</f>
        <v/>
      </c>
      <c r="I258" s="34" t="n">
        <f aca="false">IFERROR(VALUE(H258),)</f>
        <v>0</v>
      </c>
      <c r="J258" s="34" t="e">
        <f aca="false">RIGHT(B258,LEN(B258)-FIND("/",B258, FIND("Single Cells",B258, 1)))</f>
        <v>#VALUE!</v>
      </c>
    </row>
    <row r="259" customFormat="false" ht="12.75" hidden="false" customHeight="true" outlineLevel="0" collapsed="false">
      <c r="E259" s="34" t="str">
        <f aca="false">MID(B259,9,1)</f>
        <v/>
      </c>
      <c r="F259" s="34" t="str">
        <f aca="false">MID(B259,10,1)</f>
        <v/>
      </c>
      <c r="G259" s="34" t="str">
        <f aca="false">MID(B259,11,1)</f>
        <v/>
      </c>
      <c r="H259" s="35" t="str">
        <f aca="false">IF(G259=".",F259,CONCATENATE(F259,G259))</f>
        <v/>
      </c>
      <c r="I259" s="34" t="n">
        <f aca="false">IFERROR(VALUE(H259),)</f>
        <v>0</v>
      </c>
      <c r="J259" s="34" t="e">
        <f aca="false">RIGHT(B259,LEN(B259)-FIND("/",B259, FIND("Single Cells",B259, 1)))</f>
        <v>#VALUE!</v>
      </c>
    </row>
    <row r="260" customFormat="false" ht="12.75" hidden="false" customHeight="true" outlineLevel="0" collapsed="false">
      <c r="E260" s="34" t="str">
        <f aca="false">MID(B260,9,1)</f>
        <v/>
      </c>
      <c r="F260" s="34" t="str">
        <f aca="false">MID(B260,10,1)</f>
        <v/>
      </c>
      <c r="G260" s="34" t="str">
        <f aca="false">MID(B260,11,1)</f>
        <v/>
      </c>
      <c r="H260" s="35" t="str">
        <f aca="false">IF(G260=".",F260,CONCATENATE(F260,G260))</f>
        <v/>
      </c>
      <c r="I260" s="34" t="n">
        <f aca="false">IFERROR(VALUE(H260),)</f>
        <v>0</v>
      </c>
      <c r="J260" s="34" t="e">
        <f aca="false">RIGHT(B260,LEN(B260)-FIND("/",B260, FIND("Single Cells",B260, 1)))</f>
        <v>#VALUE!</v>
      </c>
    </row>
    <row r="261" customFormat="false" ht="12.75" hidden="false" customHeight="true" outlineLevel="0" collapsed="false">
      <c r="E261" s="34" t="str">
        <f aca="false">MID(B261,9,1)</f>
        <v/>
      </c>
      <c r="F261" s="34" t="str">
        <f aca="false">MID(B261,10,1)</f>
        <v/>
      </c>
      <c r="G261" s="34" t="str">
        <f aca="false">MID(B261,11,1)</f>
        <v/>
      </c>
      <c r="H261" s="35" t="str">
        <f aca="false">IF(G261=".",F261,CONCATENATE(F261,G261))</f>
        <v/>
      </c>
      <c r="I261" s="34" t="n">
        <f aca="false">IFERROR(VALUE(H261),)</f>
        <v>0</v>
      </c>
      <c r="J261" s="34" t="e">
        <f aca="false">RIGHT(B261,LEN(B261)-FIND("/",B261, FIND("Single Cells",B261, 1)))</f>
        <v>#VALUE!</v>
      </c>
    </row>
    <row r="262" customFormat="false" ht="12.75" hidden="false" customHeight="true" outlineLevel="0" collapsed="false">
      <c r="E262" s="34" t="str">
        <f aca="false">MID(B262,9,1)</f>
        <v/>
      </c>
      <c r="F262" s="34" t="str">
        <f aca="false">MID(B262,10,1)</f>
        <v/>
      </c>
      <c r="G262" s="34" t="str">
        <f aca="false">MID(B262,11,1)</f>
        <v/>
      </c>
      <c r="H262" s="35" t="str">
        <f aca="false">IF(G262=".",F262,CONCATENATE(F262,G262))</f>
        <v/>
      </c>
      <c r="I262" s="34" t="n">
        <f aca="false">IFERROR(VALUE(H262),)</f>
        <v>0</v>
      </c>
      <c r="J262" s="34" t="e">
        <f aca="false">RIGHT(B262,LEN(B262)-FIND("/",B262, FIND("Single Cells",B262, 1)))</f>
        <v>#VALUE!</v>
      </c>
    </row>
    <row r="263" customFormat="false" ht="12.75" hidden="false" customHeight="true" outlineLevel="0" collapsed="false">
      <c r="E263" s="34" t="str">
        <f aca="false">MID(B263,9,1)</f>
        <v/>
      </c>
      <c r="F263" s="34" t="str">
        <f aca="false">MID(B263,10,1)</f>
        <v/>
      </c>
      <c r="G263" s="34" t="str">
        <f aca="false">MID(B263,11,1)</f>
        <v/>
      </c>
      <c r="H263" s="35" t="str">
        <f aca="false">IF(G263=".",F263,CONCATENATE(F263,G263))</f>
        <v/>
      </c>
      <c r="I263" s="34" t="n">
        <f aca="false">IFERROR(VALUE(H263),)</f>
        <v>0</v>
      </c>
      <c r="J263" s="34" t="e">
        <f aca="false">RIGHT(B263,LEN(B263)-FIND("/",B263, FIND("Single Cells",B263, 1)))</f>
        <v>#VALUE!</v>
      </c>
    </row>
    <row r="264" customFormat="false" ht="12.75" hidden="false" customHeight="true" outlineLevel="0" collapsed="false">
      <c r="E264" s="34" t="str">
        <f aca="false">MID(B264,9,1)</f>
        <v/>
      </c>
      <c r="F264" s="34" t="str">
        <f aca="false">MID(B264,10,1)</f>
        <v/>
      </c>
      <c r="G264" s="34" t="str">
        <f aca="false">MID(B264,11,1)</f>
        <v/>
      </c>
      <c r="H264" s="35" t="str">
        <f aca="false">IF(G264=".",F264,CONCATENATE(F264,G264))</f>
        <v/>
      </c>
      <c r="I264" s="34" t="n">
        <f aca="false">IFERROR(VALUE(H264),)</f>
        <v>0</v>
      </c>
      <c r="J264" s="34" t="e">
        <f aca="false">RIGHT(B264,LEN(B264)-FIND("/",B264, FIND("Single Cells",B264, 1)))</f>
        <v>#VALUE!</v>
      </c>
    </row>
    <row r="265" customFormat="false" ht="12.75" hidden="false" customHeight="true" outlineLevel="0" collapsed="false">
      <c r="E265" s="34" t="str">
        <f aca="false">MID(B265,9,1)</f>
        <v/>
      </c>
      <c r="F265" s="34" t="str">
        <f aca="false">MID(B265,10,1)</f>
        <v/>
      </c>
      <c r="G265" s="34" t="str">
        <f aca="false">MID(B265,11,1)</f>
        <v/>
      </c>
      <c r="H265" s="35" t="str">
        <f aca="false">IF(G265=".",F265,CONCATENATE(F265,G265))</f>
        <v/>
      </c>
      <c r="I265" s="34" t="n">
        <f aca="false">IFERROR(VALUE(H265),)</f>
        <v>0</v>
      </c>
      <c r="J265" s="34" t="e">
        <f aca="false">RIGHT(B265,LEN(B265)-FIND("/",B265, FIND("Single Cells",B265, 1)))</f>
        <v>#VALUE!</v>
      </c>
    </row>
    <row r="266" customFormat="false" ht="12.75" hidden="false" customHeight="true" outlineLevel="0" collapsed="false">
      <c r="E266" s="34" t="str">
        <f aca="false">MID(B266,9,1)</f>
        <v/>
      </c>
      <c r="F266" s="34" t="str">
        <f aca="false">MID(B266,10,1)</f>
        <v/>
      </c>
      <c r="G266" s="34" t="str">
        <f aca="false">MID(B266,11,1)</f>
        <v/>
      </c>
      <c r="H266" s="35" t="str">
        <f aca="false">IF(G266=".",F266,CONCATENATE(F266,G266))</f>
        <v/>
      </c>
      <c r="I266" s="34" t="n">
        <f aca="false">IFERROR(VALUE(H266),)</f>
        <v>0</v>
      </c>
      <c r="J266" s="34" t="e">
        <f aca="false">RIGHT(B266,LEN(B266)-FIND("/",B266, FIND("Single Cells",B266, 1)))</f>
        <v>#VALUE!</v>
      </c>
    </row>
    <row r="267" customFormat="false" ht="12.75" hidden="false" customHeight="true" outlineLevel="0" collapsed="false">
      <c r="E267" s="34" t="str">
        <f aca="false">MID(B267,9,1)</f>
        <v/>
      </c>
      <c r="F267" s="34" t="str">
        <f aca="false">MID(B267,10,1)</f>
        <v/>
      </c>
      <c r="G267" s="34" t="str">
        <f aca="false">MID(B267,11,1)</f>
        <v/>
      </c>
      <c r="H267" s="35" t="str">
        <f aca="false">IF(G267=".",F267,CONCATENATE(F267,G267))</f>
        <v/>
      </c>
      <c r="I267" s="34" t="n">
        <f aca="false">IFERROR(VALUE(H267),)</f>
        <v>0</v>
      </c>
      <c r="J267" s="34" t="e">
        <f aca="false">RIGHT(B267,LEN(B267)-FIND("/",B267, FIND("Single Cells",B267, 1)))</f>
        <v>#VALUE!</v>
      </c>
    </row>
    <row r="268" customFormat="false" ht="12.75" hidden="false" customHeight="true" outlineLevel="0" collapsed="false">
      <c r="E268" s="34" t="str">
        <f aca="false">MID(B268,9,1)</f>
        <v/>
      </c>
      <c r="F268" s="34" t="str">
        <f aca="false">MID(B268,10,1)</f>
        <v/>
      </c>
      <c r="G268" s="34" t="str">
        <f aca="false">MID(B268,11,1)</f>
        <v/>
      </c>
      <c r="H268" s="35" t="str">
        <f aca="false">IF(G268=".",F268,CONCATENATE(F268,G268))</f>
        <v/>
      </c>
      <c r="I268" s="34" t="n">
        <f aca="false">IFERROR(VALUE(H268),)</f>
        <v>0</v>
      </c>
      <c r="J268" s="34" t="e">
        <f aca="false">RIGHT(B268,LEN(B268)-FIND("/",B268, FIND("Single Cells",B268, 1)))</f>
        <v>#VALUE!</v>
      </c>
    </row>
    <row r="269" customFormat="false" ht="12.75" hidden="false" customHeight="true" outlineLevel="0" collapsed="false">
      <c r="E269" s="34" t="str">
        <f aca="false">MID(B269,9,1)</f>
        <v/>
      </c>
      <c r="F269" s="34" t="str">
        <f aca="false">MID(B269,10,1)</f>
        <v/>
      </c>
      <c r="G269" s="34" t="str">
        <f aca="false">MID(B269,11,1)</f>
        <v/>
      </c>
      <c r="H269" s="35" t="str">
        <f aca="false">IF(G269=".",F269,CONCATENATE(F269,G269))</f>
        <v/>
      </c>
      <c r="I269" s="34" t="n">
        <f aca="false">IFERROR(VALUE(H269),)</f>
        <v>0</v>
      </c>
      <c r="J269" s="34" t="e">
        <f aca="false">RIGHT(B269,LEN(B269)-FIND("/",B269, FIND("Single Cells",B269, 1)))</f>
        <v>#VALUE!</v>
      </c>
    </row>
    <row r="270" customFormat="false" ht="12.75" hidden="false" customHeight="true" outlineLevel="0" collapsed="false">
      <c r="E270" s="34" t="str">
        <f aca="false">MID(B270,9,1)</f>
        <v/>
      </c>
      <c r="F270" s="34" t="str">
        <f aca="false">MID(B270,10,1)</f>
        <v/>
      </c>
      <c r="G270" s="34" t="str">
        <f aca="false">MID(B270,11,1)</f>
        <v/>
      </c>
      <c r="H270" s="35" t="str">
        <f aca="false">IF(G270=".",F270,CONCATENATE(F270,G270))</f>
        <v/>
      </c>
      <c r="I270" s="34" t="n">
        <f aca="false">IFERROR(VALUE(H270),)</f>
        <v>0</v>
      </c>
      <c r="J270" s="34" t="e">
        <f aca="false">RIGHT(B270,LEN(B270)-FIND("/",B270, FIND("Single Cells",B270, 1)))</f>
        <v>#VALUE!</v>
      </c>
    </row>
    <row r="271" customFormat="false" ht="12.75" hidden="false" customHeight="true" outlineLevel="0" collapsed="false">
      <c r="E271" s="34" t="str">
        <f aca="false">MID(B271,9,1)</f>
        <v/>
      </c>
      <c r="F271" s="34" t="str">
        <f aca="false">MID(B271,10,1)</f>
        <v/>
      </c>
      <c r="G271" s="34" t="str">
        <f aca="false">MID(B271,11,1)</f>
        <v/>
      </c>
      <c r="H271" s="35" t="str">
        <f aca="false">IF(G271=".",F271,CONCATENATE(F271,G271))</f>
        <v/>
      </c>
      <c r="I271" s="34" t="n">
        <f aca="false">IFERROR(VALUE(H271),)</f>
        <v>0</v>
      </c>
      <c r="J271" s="34" t="e">
        <f aca="false">RIGHT(B271,LEN(B271)-FIND("/",B271, FIND("Single Cells",B271, 1)))</f>
        <v>#VALUE!</v>
      </c>
    </row>
    <row r="272" customFormat="false" ht="12.75" hidden="false" customHeight="true" outlineLevel="0" collapsed="false">
      <c r="E272" s="34" t="str">
        <f aca="false">MID(B272,9,1)</f>
        <v/>
      </c>
      <c r="F272" s="34" t="str">
        <f aca="false">MID(B272,10,1)</f>
        <v/>
      </c>
      <c r="G272" s="34" t="str">
        <f aca="false">MID(B272,11,1)</f>
        <v/>
      </c>
      <c r="H272" s="35" t="str">
        <f aca="false">IF(G272=".",F272,CONCATENATE(F272,G272))</f>
        <v/>
      </c>
      <c r="I272" s="34" t="n">
        <f aca="false">IFERROR(VALUE(H272),)</f>
        <v>0</v>
      </c>
      <c r="J272" s="34" t="e">
        <f aca="false">RIGHT(B272,LEN(B272)-FIND("/",B272, FIND("Single Cells",B272, 1)))</f>
        <v>#VALUE!</v>
      </c>
    </row>
    <row r="273" customFormat="false" ht="12.75" hidden="false" customHeight="true" outlineLevel="0" collapsed="false">
      <c r="E273" s="34" t="str">
        <f aca="false">MID(B273,9,1)</f>
        <v/>
      </c>
      <c r="F273" s="34" t="str">
        <f aca="false">MID(B273,10,1)</f>
        <v/>
      </c>
      <c r="G273" s="34" t="str">
        <f aca="false">MID(B273,11,1)</f>
        <v/>
      </c>
      <c r="H273" s="35" t="str">
        <f aca="false">IF(G273=".",F273,CONCATENATE(F273,G273))</f>
        <v/>
      </c>
      <c r="I273" s="34" t="n">
        <f aca="false">IFERROR(VALUE(H273),)</f>
        <v>0</v>
      </c>
      <c r="J273" s="34" t="e">
        <f aca="false">RIGHT(B273,LEN(B273)-FIND("/",B273, FIND("Single Cells",B273, 1)))</f>
        <v>#VALUE!</v>
      </c>
    </row>
    <row r="274" customFormat="false" ht="12.75" hidden="false" customHeight="true" outlineLevel="0" collapsed="false">
      <c r="E274" s="34" t="str">
        <f aca="false">MID(B274,9,1)</f>
        <v/>
      </c>
      <c r="F274" s="34" t="str">
        <f aca="false">MID(B274,10,1)</f>
        <v/>
      </c>
      <c r="G274" s="34" t="str">
        <f aca="false">MID(B274,11,1)</f>
        <v/>
      </c>
      <c r="H274" s="35" t="str">
        <f aca="false">IF(G274=".",F274,CONCATENATE(F274,G274))</f>
        <v/>
      </c>
      <c r="I274" s="34" t="n">
        <f aca="false">IFERROR(VALUE(H274),)</f>
        <v>0</v>
      </c>
      <c r="J274" s="34" t="e">
        <f aca="false">RIGHT(B274,LEN(B274)-FIND("/",B274, FIND("Single Cells",B274, 1)))</f>
        <v>#VALUE!</v>
      </c>
    </row>
    <row r="275" customFormat="false" ht="12.75" hidden="false" customHeight="true" outlineLevel="0" collapsed="false">
      <c r="E275" s="34" t="str">
        <f aca="false">MID(B275,9,1)</f>
        <v/>
      </c>
      <c r="F275" s="34" t="str">
        <f aca="false">MID(B275,10,1)</f>
        <v/>
      </c>
      <c r="G275" s="34" t="str">
        <f aca="false">MID(B275,11,1)</f>
        <v/>
      </c>
      <c r="H275" s="35" t="str">
        <f aca="false">IF(G275=".",F275,CONCATENATE(F275,G275))</f>
        <v/>
      </c>
      <c r="I275" s="34" t="n">
        <f aca="false">IFERROR(VALUE(H275),)</f>
        <v>0</v>
      </c>
      <c r="J275" s="34" t="e">
        <f aca="false">RIGHT(B275,LEN(B275)-FIND("/",B275, FIND("Single Cells",B275, 1)))</f>
        <v>#VALUE!</v>
      </c>
    </row>
    <row r="276" customFormat="false" ht="12.75" hidden="false" customHeight="true" outlineLevel="0" collapsed="false">
      <c r="E276" s="34" t="str">
        <f aca="false">MID(B276,9,1)</f>
        <v/>
      </c>
      <c r="F276" s="34" t="str">
        <f aca="false">MID(B276,10,1)</f>
        <v/>
      </c>
      <c r="G276" s="34" t="str">
        <f aca="false">MID(B276,11,1)</f>
        <v/>
      </c>
      <c r="H276" s="35" t="str">
        <f aca="false">IF(G276=".",F276,CONCATENATE(F276,G276))</f>
        <v/>
      </c>
      <c r="I276" s="34" t="n">
        <f aca="false">IFERROR(VALUE(H276),)</f>
        <v>0</v>
      </c>
      <c r="J276" s="34" t="e">
        <f aca="false">RIGHT(B276,LEN(B276)-FIND("/",B276, FIND("Single Cells",B276, 1)))</f>
        <v>#VALUE!</v>
      </c>
    </row>
    <row r="277" customFormat="false" ht="12.75" hidden="false" customHeight="true" outlineLevel="0" collapsed="false">
      <c r="E277" s="34" t="str">
        <f aca="false">MID(B277,9,1)</f>
        <v/>
      </c>
      <c r="F277" s="34" t="str">
        <f aca="false">MID(B277,10,1)</f>
        <v/>
      </c>
      <c r="G277" s="34" t="str">
        <f aca="false">MID(B277,11,1)</f>
        <v/>
      </c>
      <c r="H277" s="35" t="str">
        <f aca="false">IF(G277=".",F277,CONCATENATE(F277,G277))</f>
        <v/>
      </c>
      <c r="I277" s="34" t="n">
        <f aca="false">IFERROR(VALUE(H277),)</f>
        <v>0</v>
      </c>
      <c r="J277" s="34" t="e">
        <f aca="false">RIGHT(B277,LEN(B277)-FIND("/",B277, FIND("Single Cells",B277, 1)))</f>
        <v>#VALUE!</v>
      </c>
    </row>
    <row r="278" customFormat="false" ht="12.75" hidden="false" customHeight="true" outlineLevel="0" collapsed="false">
      <c r="E278" s="34" t="str">
        <f aca="false">MID(B278,9,1)</f>
        <v/>
      </c>
      <c r="F278" s="34" t="str">
        <f aca="false">MID(B278,10,1)</f>
        <v/>
      </c>
      <c r="G278" s="34" t="str">
        <f aca="false">MID(B278,11,1)</f>
        <v/>
      </c>
      <c r="H278" s="35" t="str">
        <f aca="false">IF(G278=".",F278,CONCATENATE(F278,G278))</f>
        <v/>
      </c>
      <c r="I278" s="34" t="n">
        <f aca="false">IFERROR(VALUE(H278),)</f>
        <v>0</v>
      </c>
      <c r="J278" s="34" t="e">
        <f aca="false">RIGHT(B278,LEN(B278)-FIND("/",B278, FIND("Single Cells",B278, 1)))</f>
        <v>#VALUE!</v>
      </c>
    </row>
    <row r="279" customFormat="false" ht="12.75" hidden="false" customHeight="true" outlineLevel="0" collapsed="false">
      <c r="E279" s="34" t="str">
        <f aca="false">MID(B279,9,1)</f>
        <v/>
      </c>
      <c r="F279" s="34" t="str">
        <f aca="false">MID(B279,10,1)</f>
        <v/>
      </c>
      <c r="G279" s="34" t="str">
        <f aca="false">MID(B279,11,1)</f>
        <v/>
      </c>
      <c r="H279" s="35" t="str">
        <f aca="false">IF(G279=".",F279,CONCATENATE(F279,G279))</f>
        <v/>
      </c>
      <c r="I279" s="34" t="n">
        <f aca="false">IFERROR(VALUE(H279),)</f>
        <v>0</v>
      </c>
      <c r="J279" s="34" t="e">
        <f aca="false">RIGHT(B279,LEN(B279)-FIND("/",B279, FIND("Single Cells",B279, 1)))</f>
        <v>#VALUE!</v>
      </c>
    </row>
    <row r="280" customFormat="false" ht="12.75" hidden="false" customHeight="true" outlineLevel="0" collapsed="false">
      <c r="E280" s="34" t="str">
        <f aca="false">MID(B280,9,1)</f>
        <v/>
      </c>
      <c r="F280" s="34" t="str">
        <f aca="false">MID(B280,10,1)</f>
        <v/>
      </c>
      <c r="G280" s="34" t="str">
        <f aca="false">MID(B280,11,1)</f>
        <v/>
      </c>
      <c r="H280" s="35" t="str">
        <f aca="false">IF(G280=".",F280,CONCATENATE(F280,G280))</f>
        <v/>
      </c>
      <c r="I280" s="34" t="n">
        <f aca="false">IFERROR(VALUE(H280),)</f>
        <v>0</v>
      </c>
      <c r="J280" s="34" t="e">
        <f aca="false">RIGHT(B280,LEN(B280)-FIND("/",B280, FIND("Single Cells",B280, 1)))</f>
        <v>#VALUE!</v>
      </c>
    </row>
    <row r="281" customFormat="false" ht="12.75" hidden="false" customHeight="true" outlineLevel="0" collapsed="false">
      <c r="E281" s="34" t="str">
        <f aca="false">MID(B281,9,1)</f>
        <v/>
      </c>
      <c r="F281" s="34" t="str">
        <f aca="false">MID(B281,10,1)</f>
        <v/>
      </c>
      <c r="G281" s="34" t="str">
        <f aca="false">MID(B281,11,1)</f>
        <v/>
      </c>
      <c r="H281" s="35" t="str">
        <f aca="false">IF(G281=".",F281,CONCATENATE(F281,G281))</f>
        <v/>
      </c>
      <c r="I281" s="34" t="n">
        <f aca="false">IFERROR(VALUE(H281),)</f>
        <v>0</v>
      </c>
      <c r="J281" s="34" t="e">
        <f aca="false">RIGHT(B281,LEN(B281)-FIND("/",B281, FIND("Single Cells",B281, 1)))</f>
        <v>#VALUE!</v>
      </c>
    </row>
    <row r="282" customFormat="false" ht="12.75" hidden="false" customHeight="true" outlineLevel="0" collapsed="false">
      <c r="E282" s="34" t="str">
        <f aca="false">MID(B282,9,1)</f>
        <v/>
      </c>
      <c r="F282" s="34" t="str">
        <f aca="false">MID(B282,10,1)</f>
        <v/>
      </c>
      <c r="G282" s="34" t="str">
        <f aca="false">MID(B282,11,1)</f>
        <v/>
      </c>
      <c r="H282" s="35" t="str">
        <f aca="false">IF(G282=".",F282,CONCATENATE(F282,G282))</f>
        <v/>
      </c>
      <c r="I282" s="34" t="n">
        <f aca="false">IFERROR(VALUE(H282),)</f>
        <v>0</v>
      </c>
      <c r="J282" s="34" t="e">
        <f aca="false">RIGHT(B282,LEN(B282)-FIND("/",B282, FIND("Single Cells",B282, 1)))</f>
        <v>#VALUE!</v>
      </c>
    </row>
    <row r="283" customFormat="false" ht="12.75" hidden="false" customHeight="true" outlineLevel="0" collapsed="false">
      <c r="E283" s="34" t="str">
        <f aca="false">MID(B283,9,1)</f>
        <v/>
      </c>
      <c r="F283" s="34" t="str">
        <f aca="false">MID(B283,10,1)</f>
        <v/>
      </c>
      <c r="G283" s="34" t="str">
        <f aca="false">MID(B283,11,1)</f>
        <v/>
      </c>
      <c r="H283" s="35" t="str">
        <f aca="false">IF(G283=".",F283,CONCATENATE(F283,G283))</f>
        <v/>
      </c>
      <c r="I283" s="34" t="n">
        <f aca="false">IFERROR(VALUE(H283),)</f>
        <v>0</v>
      </c>
      <c r="J283" s="34" t="e">
        <f aca="false">RIGHT(B283,LEN(B283)-FIND("/",B283, FIND("Single Cells",B283, 1)))</f>
        <v>#VALUE!</v>
      </c>
    </row>
    <row r="284" customFormat="false" ht="12.75" hidden="false" customHeight="true" outlineLevel="0" collapsed="false">
      <c r="E284" s="34" t="str">
        <f aca="false">MID(B284,9,1)</f>
        <v/>
      </c>
      <c r="F284" s="34" t="str">
        <f aca="false">MID(B284,10,1)</f>
        <v/>
      </c>
      <c r="G284" s="34" t="str">
        <f aca="false">MID(B284,11,1)</f>
        <v/>
      </c>
      <c r="H284" s="35" t="str">
        <f aca="false">IF(G284=".",F284,CONCATENATE(F284,G284))</f>
        <v/>
      </c>
      <c r="I284" s="34" t="n">
        <f aca="false">IFERROR(VALUE(H284),)</f>
        <v>0</v>
      </c>
      <c r="J284" s="34" t="e">
        <f aca="false">RIGHT(B284,LEN(B284)-FIND("/",B284, FIND("Single Cells",B284, 1)))</f>
        <v>#VALUE!</v>
      </c>
    </row>
    <row r="285" customFormat="false" ht="12.75" hidden="false" customHeight="true" outlineLevel="0" collapsed="false">
      <c r="E285" s="34" t="str">
        <f aca="false">MID(B285,9,1)</f>
        <v/>
      </c>
      <c r="F285" s="34" t="str">
        <f aca="false">MID(B285,10,1)</f>
        <v/>
      </c>
      <c r="G285" s="34" t="str">
        <f aca="false">MID(B285,11,1)</f>
        <v/>
      </c>
      <c r="H285" s="35" t="str">
        <f aca="false">IF(G285=".",F285,CONCATENATE(F285,G285))</f>
        <v/>
      </c>
      <c r="I285" s="34" t="n">
        <f aca="false">IFERROR(VALUE(H285),)</f>
        <v>0</v>
      </c>
      <c r="J285" s="34" t="e">
        <f aca="false">RIGHT(B285,LEN(B285)-FIND("/",B285, FIND("Single Cells",B285, 1)))</f>
        <v>#VALUE!</v>
      </c>
    </row>
    <row r="286" customFormat="false" ht="12.75" hidden="false" customHeight="true" outlineLevel="0" collapsed="false">
      <c r="E286" s="34" t="str">
        <f aca="false">MID(B286,9,1)</f>
        <v/>
      </c>
      <c r="F286" s="34" t="str">
        <f aca="false">MID(B286,10,1)</f>
        <v/>
      </c>
      <c r="G286" s="34" t="str">
        <f aca="false">MID(B286,11,1)</f>
        <v/>
      </c>
      <c r="H286" s="35" t="str">
        <f aca="false">IF(G286=".",F286,CONCATENATE(F286,G286))</f>
        <v/>
      </c>
      <c r="I286" s="34" t="n">
        <f aca="false">IFERROR(VALUE(H286),)</f>
        <v>0</v>
      </c>
      <c r="J286" s="34" t="e">
        <f aca="false">RIGHT(B286,LEN(B286)-FIND("/",B286, FIND("Single Cells",B286, 1)))</f>
        <v>#VALUE!</v>
      </c>
    </row>
    <row r="287" customFormat="false" ht="12.75" hidden="false" customHeight="true" outlineLevel="0" collapsed="false">
      <c r="E287" s="34" t="str">
        <f aca="false">MID(B287,9,1)</f>
        <v/>
      </c>
      <c r="F287" s="34" t="str">
        <f aca="false">MID(B287,10,1)</f>
        <v/>
      </c>
      <c r="G287" s="34" t="str">
        <f aca="false">MID(B287,11,1)</f>
        <v/>
      </c>
      <c r="H287" s="35" t="str">
        <f aca="false">IF(G287=".",F287,CONCATENATE(F287,G287))</f>
        <v/>
      </c>
      <c r="I287" s="34" t="n">
        <f aca="false">IFERROR(VALUE(H287),)</f>
        <v>0</v>
      </c>
      <c r="J287" s="34" t="e">
        <f aca="false">RIGHT(B287,LEN(B287)-FIND("/",B287, FIND("Single Cells",B287, 1)))</f>
        <v>#VALUE!</v>
      </c>
    </row>
    <row r="288" customFormat="false" ht="12.75" hidden="false" customHeight="true" outlineLevel="0" collapsed="false">
      <c r="E288" s="34" t="str">
        <f aca="false">MID(B288,9,1)</f>
        <v/>
      </c>
      <c r="F288" s="34" t="str">
        <f aca="false">MID(B288,10,1)</f>
        <v/>
      </c>
      <c r="G288" s="34" t="str">
        <f aca="false">MID(B288,11,1)</f>
        <v/>
      </c>
      <c r="H288" s="35" t="str">
        <f aca="false">IF(G288=".",F288,CONCATENATE(F288,G288))</f>
        <v/>
      </c>
      <c r="I288" s="34" t="n">
        <f aca="false">IFERROR(VALUE(H288),)</f>
        <v>0</v>
      </c>
      <c r="J288" s="34" t="e">
        <f aca="false">RIGHT(B288,LEN(B288)-FIND("/",B288, FIND("Single Cells",B288, 1)))</f>
        <v>#VALUE!</v>
      </c>
    </row>
    <row r="289" customFormat="false" ht="12.75" hidden="false" customHeight="true" outlineLevel="0" collapsed="false">
      <c r="E289" s="34" t="str">
        <f aca="false">MID(B289,9,1)</f>
        <v/>
      </c>
      <c r="F289" s="34" t="str">
        <f aca="false">MID(B289,10,1)</f>
        <v/>
      </c>
      <c r="G289" s="34" t="str">
        <f aca="false">MID(B289,11,1)</f>
        <v/>
      </c>
      <c r="H289" s="35" t="str">
        <f aca="false">IF(G289=".",F289,CONCATENATE(F289,G289))</f>
        <v/>
      </c>
      <c r="I289" s="34" t="n">
        <f aca="false">IFERROR(VALUE(H289),)</f>
        <v>0</v>
      </c>
      <c r="J289" s="34" t="e">
        <f aca="false">RIGHT(B289,LEN(B289)-FIND("/",B289, FIND("Single Cells",B289, 1)))</f>
        <v>#VALUE!</v>
      </c>
    </row>
    <row r="290" customFormat="false" ht="12.75" hidden="false" customHeight="true" outlineLevel="0" collapsed="false">
      <c r="E290" s="34" t="str">
        <f aca="false">MID(B290,9,1)</f>
        <v/>
      </c>
      <c r="F290" s="34" t="str">
        <f aca="false">MID(B290,10,1)</f>
        <v/>
      </c>
      <c r="G290" s="34" t="str">
        <f aca="false">MID(B290,11,1)</f>
        <v/>
      </c>
      <c r="H290" s="35" t="str">
        <f aca="false">IF(G290=".",F290,CONCATENATE(F290,G290))</f>
        <v/>
      </c>
      <c r="I290" s="34" t="n">
        <f aca="false">IFERROR(VALUE(H290),)</f>
        <v>0</v>
      </c>
      <c r="J290" s="34" t="e">
        <f aca="false">RIGHT(B290,LEN(B290)-FIND("/",B290, FIND("Single Cells",B290, 1)))</f>
        <v>#VALUE!</v>
      </c>
    </row>
    <row r="291" customFormat="false" ht="12.75" hidden="false" customHeight="true" outlineLevel="0" collapsed="false">
      <c r="E291" s="34" t="str">
        <f aca="false">MID(B291,9,1)</f>
        <v/>
      </c>
      <c r="F291" s="34" t="str">
        <f aca="false">MID(B291,10,1)</f>
        <v/>
      </c>
      <c r="G291" s="34" t="str">
        <f aca="false">MID(B291,11,1)</f>
        <v/>
      </c>
      <c r="H291" s="35" t="str">
        <f aca="false">IF(G291=".",F291,CONCATENATE(F291,G291))</f>
        <v/>
      </c>
      <c r="I291" s="34" t="n">
        <f aca="false">IFERROR(VALUE(H291),)</f>
        <v>0</v>
      </c>
      <c r="J291" s="34" t="e">
        <f aca="false">RIGHT(B291,LEN(B291)-FIND("/",B291, FIND("Single Cells",B291, 1)))</f>
        <v>#VALUE!</v>
      </c>
    </row>
    <row r="292" customFormat="false" ht="12.75" hidden="false" customHeight="true" outlineLevel="0" collapsed="false">
      <c r="E292" s="34" t="str">
        <f aca="false">MID(B292,9,1)</f>
        <v/>
      </c>
      <c r="F292" s="34" t="str">
        <f aca="false">MID(B292,10,1)</f>
        <v/>
      </c>
      <c r="G292" s="34" t="str">
        <f aca="false">MID(B292,11,1)</f>
        <v/>
      </c>
      <c r="H292" s="35" t="str">
        <f aca="false">IF(G292=".",F292,CONCATENATE(F292,G292))</f>
        <v/>
      </c>
      <c r="I292" s="34" t="n">
        <f aca="false">IFERROR(VALUE(H292),)</f>
        <v>0</v>
      </c>
      <c r="J292" s="34" t="e">
        <f aca="false">RIGHT(B292,LEN(B292)-FIND("/",B292, FIND("Single Cells",B292, 1)))</f>
        <v>#VALUE!</v>
      </c>
    </row>
    <row r="293" customFormat="false" ht="12.75" hidden="false" customHeight="true" outlineLevel="0" collapsed="false">
      <c r="E293" s="34" t="str">
        <f aca="false">MID(B293,9,1)</f>
        <v/>
      </c>
      <c r="F293" s="34" t="str">
        <f aca="false">MID(B293,10,1)</f>
        <v/>
      </c>
      <c r="G293" s="34" t="str">
        <f aca="false">MID(B293,11,1)</f>
        <v/>
      </c>
      <c r="H293" s="35" t="str">
        <f aca="false">IF(G293=".",F293,CONCATENATE(F293,G293))</f>
        <v/>
      </c>
      <c r="I293" s="34" t="n">
        <f aca="false">IFERROR(VALUE(H293),)</f>
        <v>0</v>
      </c>
      <c r="J293" s="34" t="e">
        <f aca="false">RIGHT(B293,LEN(B293)-FIND("/",B293, FIND("Single Cells",B293, 1)))</f>
        <v>#VALUE!</v>
      </c>
    </row>
    <row r="294" customFormat="false" ht="12.75" hidden="false" customHeight="true" outlineLevel="0" collapsed="false">
      <c r="E294" s="34" t="str">
        <f aca="false">MID(B294,9,1)</f>
        <v/>
      </c>
      <c r="F294" s="34" t="str">
        <f aca="false">MID(B294,10,1)</f>
        <v/>
      </c>
      <c r="G294" s="34" t="str">
        <f aca="false">MID(B294,11,1)</f>
        <v/>
      </c>
      <c r="H294" s="35" t="str">
        <f aca="false">IF(G294=".",F294,CONCATENATE(F294,G294))</f>
        <v/>
      </c>
      <c r="I294" s="34" t="n">
        <f aca="false">IFERROR(VALUE(H294),)</f>
        <v>0</v>
      </c>
      <c r="J294" s="34" t="e">
        <f aca="false">RIGHT(B294,LEN(B294)-FIND("/",B294, FIND("Single Cells",B294, 1)))</f>
        <v>#VALUE!</v>
      </c>
    </row>
    <row r="295" customFormat="false" ht="12.75" hidden="false" customHeight="true" outlineLevel="0" collapsed="false">
      <c r="E295" s="34" t="str">
        <f aca="false">MID(B295,9,1)</f>
        <v/>
      </c>
      <c r="F295" s="34" t="str">
        <f aca="false">MID(B295,10,1)</f>
        <v/>
      </c>
      <c r="G295" s="34" t="str">
        <f aca="false">MID(B295,11,1)</f>
        <v/>
      </c>
      <c r="H295" s="35" t="str">
        <f aca="false">IF(G295=".",F295,CONCATENATE(F295,G295))</f>
        <v/>
      </c>
      <c r="I295" s="34" t="n">
        <f aca="false">IFERROR(VALUE(H295),)</f>
        <v>0</v>
      </c>
      <c r="J295" s="34" t="e">
        <f aca="false">RIGHT(B295,LEN(B295)-FIND("/",B295, FIND("Single Cells",B295, 1)))</f>
        <v>#VALUE!</v>
      </c>
    </row>
    <row r="296" customFormat="false" ht="12.75" hidden="false" customHeight="true" outlineLevel="0" collapsed="false">
      <c r="E296" s="34" t="str">
        <f aca="false">MID(B296,9,1)</f>
        <v/>
      </c>
      <c r="F296" s="34" t="str">
        <f aca="false">MID(B296,10,1)</f>
        <v/>
      </c>
      <c r="G296" s="34" t="str">
        <f aca="false">MID(B296,11,1)</f>
        <v/>
      </c>
      <c r="H296" s="35" t="str">
        <f aca="false">IF(G296=".",F296,CONCATENATE(F296,G296))</f>
        <v/>
      </c>
      <c r="I296" s="34" t="n">
        <f aca="false">IFERROR(VALUE(H296),)</f>
        <v>0</v>
      </c>
      <c r="J296" s="34" t="e">
        <f aca="false">RIGHT(B296,LEN(B296)-FIND("/",B296, FIND("Single Cells",B296, 1)))</f>
        <v>#VALUE!</v>
      </c>
    </row>
    <row r="297" customFormat="false" ht="12.75" hidden="false" customHeight="true" outlineLevel="0" collapsed="false">
      <c r="E297" s="34" t="str">
        <f aca="false">MID(B297,9,1)</f>
        <v/>
      </c>
      <c r="F297" s="34" t="str">
        <f aca="false">MID(B297,10,1)</f>
        <v/>
      </c>
      <c r="G297" s="34" t="str">
        <f aca="false">MID(B297,11,1)</f>
        <v/>
      </c>
      <c r="H297" s="35" t="str">
        <f aca="false">IF(G297=".",F297,CONCATENATE(F297,G297))</f>
        <v/>
      </c>
      <c r="I297" s="34" t="n">
        <f aca="false">IFERROR(VALUE(H297),)</f>
        <v>0</v>
      </c>
      <c r="J297" s="34" t="e">
        <f aca="false">RIGHT(B297,LEN(B297)-FIND("/",B297, FIND("Single Cells",B297, 1)))</f>
        <v>#VALUE!</v>
      </c>
    </row>
    <row r="298" customFormat="false" ht="12.75" hidden="false" customHeight="true" outlineLevel="0" collapsed="false">
      <c r="E298" s="34" t="str">
        <f aca="false">MID(B298,9,1)</f>
        <v/>
      </c>
      <c r="F298" s="34" t="str">
        <f aca="false">MID(B298,10,1)</f>
        <v/>
      </c>
      <c r="G298" s="34" t="str">
        <f aca="false">MID(B298,11,1)</f>
        <v/>
      </c>
      <c r="H298" s="35" t="str">
        <f aca="false">IF(G298=".",F298,CONCATENATE(F298,G298))</f>
        <v/>
      </c>
      <c r="I298" s="34" t="n">
        <f aca="false">IFERROR(VALUE(H298),)</f>
        <v>0</v>
      </c>
      <c r="J298" s="34" t="e">
        <f aca="false">RIGHT(B298,LEN(B298)-FIND("/",B298, FIND("Single Cells",B298, 1)))</f>
        <v>#VALUE!</v>
      </c>
    </row>
    <row r="299" customFormat="false" ht="12.75" hidden="false" customHeight="true" outlineLevel="0" collapsed="false">
      <c r="E299" s="34" t="str">
        <f aca="false">MID(B299,9,1)</f>
        <v/>
      </c>
      <c r="F299" s="34" t="str">
        <f aca="false">MID(B299,10,1)</f>
        <v/>
      </c>
      <c r="G299" s="34" t="str">
        <f aca="false">MID(B299,11,1)</f>
        <v/>
      </c>
      <c r="H299" s="35" t="str">
        <f aca="false">IF(G299=".",F299,CONCATENATE(F299,G299))</f>
        <v/>
      </c>
      <c r="I299" s="34" t="n">
        <f aca="false">IFERROR(VALUE(H299),)</f>
        <v>0</v>
      </c>
      <c r="J299" s="34" t="e">
        <f aca="false">RIGHT(B299,LEN(B299)-FIND("/",B299, FIND("Single Cells",B299, 1)))</f>
        <v>#VALUE!</v>
      </c>
    </row>
    <row r="300" customFormat="false" ht="12.75" hidden="false" customHeight="true" outlineLevel="0" collapsed="false">
      <c r="E300" s="34" t="str">
        <f aca="false">MID(B300,9,1)</f>
        <v/>
      </c>
      <c r="F300" s="34" t="str">
        <f aca="false">MID(B300,10,1)</f>
        <v/>
      </c>
      <c r="G300" s="34" t="str">
        <f aca="false">MID(B300,11,1)</f>
        <v/>
      </c>
      <c r="H300" s="35" t="str">
        <f aca="false">IF(G300=".",F300,CONCATENATE(F300,G300))</f>
        <v/>
      </c>
      <c r="I300" s="34" t="n">
        <f aca="false">IFERROR(VALUE(H300),)</f>
        <v>0</v>
      </c>
      <c r="J300" s="34" t="e">
        <f aca="false">RIGHT(B300,LEN(B300)-FIND("/",B300, FIND("Single Cells",B300, 1)))</f>
        <v>#VALUE!</v>
      </c>
    </row>
    <row r="301" customFormat="false" ht="12.75" hidden="false" customHeight="true" outlineLevel="0" collapsed="false">
      <c r="E301" s="34" t="str">
        <f aca="false">MID(B301,9,1)</f>
        <v/>
      </c>
      <c r="F301" s="34" t="str">
        <f aca="false">MID(B301,10,1)</f>
        <v/>
      </c>
      <c r="G301" s="34" t="str">
        <f aca="false">MID(B301,11,1)</f>
        <v/>
      </c>
      <c r="H301" s="35" t="str">
        <f aca="false">IF(G301=".",F301,CONCATENATE(F301,G301))</f>
        <v/>
      </c>
      <c r="I301" s="34" t="n">
        <f aca="false">IFERROR(VALUE(H301),)</f>
        <v>0</v>
      </c>
      <c r="J301" s="34" t="e">
        <f aca="false">RIGHT(B301,LEN(B301)-FIND("/",B301, FIND("Single Cells",B301, 1)))</f>
        <v>#VALUE!</v>
      </c>
    </row>
    <row r="302" customFormat="false" ht="12.75" hidden="false" customHeight="true" outlineLevel="0" collapsed="false">
      <c r="E302" s="34" t="str">
        <f aca="false">MID(B302,9,1)</f>
        <v/>
      </c>
      <c r="F302" s="34" t="str">
        <f aca="false">MID(B302,10,1)</f>
        <v/>
      </c>
      <c r="G302" s="34" t="str">
        <f aca="false">MID(B302,11,1)</f>
        <v/>
      </c>
      <c r="H302" s="35" t="str">
        <f aca="false">IF(G302=".",F302,CONCATENATE(F302,G302))</f>
        <v/>
      </c>
      <c r="I302" s="34" t="n">
        <f aca="false">IFERROR(VALUE(H302),)</f>
        <v>0</v>
      </c>
      <c r="J302" s="34" t="e">
        <f aca="false">RIGHT(B302,LEN(B302)-FIND("/",B302, FIND("Single Cells",B302, 1)))</f>
        <v>#VALUE!</v>
      </c>
    </row>
    <row r="303" customFormat="false" ht="12.75" hidden="false" customHeight="true" outlineLevel="0" collapsed="false">
      <c r="E303" s="34" t="str">
        <f aca="false">MID(B303,9,1)</f>
        <v/>
      </c>
      <c r="F303" s="34" t="str">
        <f aca="false">MID(B303,10,1)</f>
        <v/>
      </c>
      <c r="G303" s="34" t="str">
        <f aca="false">MID(B303,11,1)</f>
        <v/>
      </c>
      <c r="H303" s="35" t="str">
        <f aca="false">IF(G303=".",F303,CONCATENATE(F303,G303))</f>
        <v/>
      </c>
      <c r="I303" s="34" t="n">
        <f aca="false">IFERROR(VALUE(H303),)</f>
        <v>0</v>
      </c>
      <c r="J303" s="34" t="e">
        <f aca="false">RIGHT(B303,LEN(B303)-FIND("/",B303, FIND("Single Cells",B303, 1)))</f>
        <v>#VALUE!</v>
      </c>
    </row>
    <row r="304" customFormat="false" ht="12.75" hidden="false" customHeight="true" outlineLevel="0" collapsed="false">
      <c r="E304" s="34" t="str">
        <f aca="false">MID(B304,9,1)</f>
        <v/>
      </c>
      <c r="F304" s="34" t="str">
        <f aca="false">MID(B304,10,1)</f>
        <v/>
      </c>
      <c r="G304" s="34" t="str">
        <f aca="false">MID(B304,11,1)</f>
        <v/>
      </c>
      <c r="H304" s="35" t="str">
        <f aca="false">IF(G304=".",F304,CONCATENATE(F304,G304))</f>
        <v/>
      </c>
      <c r="I304" s="34" t="n">
        <f aca="false">IFERROR(VALUE(H304),)</f>
        <v>0</v>
      </c>
      <c r="J304" s="34" t="e">
        <f aca="false">RIGHT(B304,LEN(B304)-FIND("/",B304, FIND("Single Cells",B304, 1)))</f>
        <v>#VALUE!</v>
      </c>
    </row>
    <row r="305" customFormat="false" ht="12.75" hidden="false" customHeight="true" outlineLevel="0" collapsed="false">
      <c r="E305" s="34" t="str">
        <f aca="false">MID(B305,9,1)</f>
        <v/>
      </c>
      <c r="F305" s="34" t="str">
        <f aca="false">MID(B305,10,1)</f>
        <v/>
      </c>
      <c r="G305" s="34" t="str">
        <f aca="false">MID(B305,11,1)</f>
        <v/>
      </c>
      <c r="H305" s="35" t="str">
        <f aca="false">IF(G305=".",F305,CONCATENATE(F305,G305))</f>
        <v/>
      </c>
      <c r="I305" s="34" t="n">
        <f aca="false">IFERROR(VALUE(H305),)</f>
        <v>0</v>
      </c>
      <c r="J305" s="34" t="e">
        <f aca="false">RIGHT(B305,LEN(B305)-FIND("/",B305, FIND("Single Cells",B305, 1)))</f>
        <v>#VALUE!</v>
      </c>
    </row>
    <row r="306" customFormat="false" ht="12.75" hidden="false" customHeight="true" outlineLevel="0" collapsed="false">
      <c r="E306" s="34" t="str">
        <f aca="false">MID(B306,9,1)</f>
        <v/>
      </c>
      <c r="F306" s="34" t="str">
        <f aca="false">MID(B306,10,1)</f>
        <v/>
      </c>
      <c r="G306" s="34" t="str">
        <f aca="false">MID(B306,11,1)</f>
        <v/>
      </c>
      <c r="H306" s="35" t="str">
        <f aca="false">IF(G306=".",F306,CONCATENATE(F306,G306))</f>
        <v/>
      </c>
      <c r="I306" s="34" t="n">
        <f aca="false">IFERROR(VALUE(H306),)</f>
        <v>0</v>
      </c>
      <c r="J306" s="34" t="e">
        <f aca="false">RIGHT(B306,LEN(B306)-FIND("/",B306, FIND("Single Cells",B306, 1)))</f>
        <v>#VALUE!</v>
      </c>
    </row>
    <row r="307" customFormat="false" ht="12.75" hidden="false" customHeight="true" outlineLevel="0" collapsed="false">
      <c r="E307" s="34" t="str">
        <f aca="false">MID(B307,9,1)</f>
        <v/>
      </c>
      <c r="F307" s="34" t="str">
        <f aca="false">MID(B307,10,1)</f>
        <v/>
      </c>
      <c r="G307" s="34" t="str">
        <f aca="false">MID(B307,11,1)</f>
        <v/>
      </c>
      <c r="H307" s="35" t="str">
        <f aca="false">IF(G307=".",F307,CONCATENATE(F307,G307))</f>
        <v/>
      </c>
      <c r="I307" s="34" t="n">
        <f aca="false">IFERROR(VALUE(H307),)</f>
        <v>0</v>
      </c>
      <c r="J307" s="34" t="e">
        <f aca="false">RIGHT(B307,LEN(B307)-FIND("/",B307, FIND("Single Cells",B307, 1)))</f>
        <v>#VALUE!</v>
      </c>
    </row>
    <row r="308" customFormat="false" ht="12.75" hidden="false" customHeight="true" outlineLevel="0" collapsed="false">
      <c r="E308" s="34" t="str">
        <f aca="false">MID(B308,9,1)</f>
        <v/>
      </c>
      <c r="F308" s="34" t="str">
        <f aca="false">MID(B308,10,1)</f>
        <v/>
      </c>
      <c r="G308" s="34" t="str">
        <f aca="false">MID(B308,11,1)</f>
        <v/>
      </c>
      <c r="H308" s="35" t="str">
        <f aca="false">IF(G308=".",F308,CONCATENATE(F308,G308))</f>
        <v/>
      </c>
      <c r="I308" s="34" t="n">
        <f aca="false">IFERROR(VALUE(H308),)</f>
        <v>0</v>
      </c>
      <c r="J308" s="34" t="e">
        <f aca="false">RIGHT(B308,LEN(B308)-FIND("/",B308, FIND("Single Cells",B308, 1)))</f>
        <v>#VALUE!</v>
      </c>
    </row>
    <row r="309" customFormat="false" ht="12.75" hidden="false" customHeight="true" outlineLevel="0" collapsed="false">
      <c r="E309" s="34" t="str">
        <f aca="false">MID(B309,9,1)</f>
        <v/>
      </c>
      <c r="F309" s="34" t="str">
        <f aca="false">MID(B309,10,1)</f>
        <v/>
      </c>
      <c r="G309" s="34" t="str">
        <f aca="false">MID(B309,11,1)</f>
        <v/>
      </c>
      <c r="H309" s="35" t="str">
        <f aca="false">IF(G309=".",F309,CONCATENATE(F309,G309))</f>
        <v/>
      </c>
      <c r="I309" s="34" t="n">
        <f aca="false">IFERROR(VALUE(H309),)</f>
        <v>0</v>
      </c>
      <c r="J309" s="34" t="e">
        <f aca="false">RIGHT(B309,LEN(B309)-FIND("/",B309, FIND("Single Cells",B309, 1)))</f>
        <v>#VALUE!</v>
      </c>
    </row>
    <row r="310" customFormat="false" ht="12.75" hidden="false" customHeight="true" outlineLevel="0" collapsed="false">
      <c r="E310" s="34" t="str">
        <f aca="false">MID(B310,9,1)</f>
        <v/>
      </c>
      <c r="F310" s="34" t="str">
        <f aca="false">MID(B310,10,1)</f>
        <v/>
      </c>
      <c r="G310" s="34" t="str">
        <f aca="false">MID(B310,11,1)</f>
        <v/>
      </c>
      <c r="H310" s="35" t="str">
        <f aca="false">IF(G310=".",F310,CONCATENATE(F310,G310))</f>
        <v/>
      </c>
      <c r="I310" s="34" t="n">
        <f aca="false">IFERROR(VALUE(H310),)</f>
        <v>0</v>
      </c>
      <c r="J310" s="34" t="e">
        <f aca="false">RIGHT(B310,LEN(B310)-FIND("/",B310, FIND("Single Cells",B310, 1)))</f>
        <v>#VALUE!</v>
      </c>
    </row>
    <row r="311" customFormat="false" ht="12.75" hidden="false" customHeight="true" outlineLevel="0" collapsed="false">
      <c r="E311" s="34" t="str">
        <f aca="false">MID(B311,9,1)</f>
        <v/>
      </c>
      <c r="F311" s="34" t="str">
        <f aca="false">MID(B311,10,1)</f>
        <v/>
      </c>
      <c r="G311" s="34" t="str">
        <f aca="false">MID(B311,11,1)</f>
        <v/>
      </c>
      <c r="H311" s="35" t="str">
        <f aca="false">IF(G311=".",F311,CONCATENATE(F311,G311))</f>
        <v/>
      </c>
      <c r="I311" s="34" t="n">
        <f aca="false">IFERROR(VALUE(H311),)</f>
        <v>0</v>
      </c>
      <c r="J311" s="34" t="e">
        <f aca="false">RIGHT(B311,LEN(B311)-FIND("/",B311, FIND("Single Cells",B311, 1)))</f>
        <v>#VALUE!</v>
      </c>
    </row>
    <row r="312" customFormat="false" ht="12.75" hidden="false" customHeight="true" outlineLevel="0" collapsed="false">
      <c r="E312" s="34" t="str">
        <f aca="false">MID(B312,9,1)</f>
        <v/>
      </c>
      <c r="F312" s="34" t="str">
        <f aca="false">MID(B312,10,1)</f>
        <v/>
      </c>
      <c r="G312" s="34" t="str">
        <f aca="false">MID(B312,11,1)</f>
        <v/>
      </c>
      <c r="H312" s="35" t="str">
        <f aca="false">IF(G312=".",F312,CONCATENATE(F312,G312))</f>
        <v/>
      </c>
      <c r="I312" s="34" t="n">
        <f aca="false">IFERROR(VALUE(H312),)</f>
        <v>0</v>
      </c>
      <c r="J312" s="34" t="e">
        <f aca="false">RIGHT(B312,LEN(B312)-FIND("/",B312, FIND("Single Cells",B312, 1)))</f>
        <v>#VALUE!</v>
      </c>
    </row>
    <row r="313" customFormat="false" ht="12.75" hidden="false" customHeight="true" outlineLevel="0" collapsed="false">
      <c r="E313" s="34" t="str">
        <f aca="false">MID(B313,9,1)</f>
        <v/>
      </c>
      <c r="F313" s="34" t="str">
        <f aca="false">MID(B313,10,1)</f>
        <v/>
      </c>
      <c r="G313" s="34" t="str">
        <f aca="false">MID(B313,11,1)</f>
        <v/>
      </c>
      <c r="H313" s="35" t="str">
        <f aca="false">IF(G313=".",F313,CONCATENATE(F313,G313))</f>
        <v/>
      </c>
      <c r="I313" s="34" t="n">
        <f aca="false">IFERROR(VALUE(H313),)</f>
        <v>0</v>
      </c>
      <c r="J313" s="34" t="e">
        <f aca="false">RIGHT(B313,LEN(B313)-FIND("/",B313, FIND("Single Cells",B313, 1)))</f>
        <v>#VALUE!</v>
      </c>
    </row>
    <row r="314" customFormat="false" ht="12.75" hidden="false" customHeight="true" outlineLevel="0" collapsed="false">
      <c r="E314" s="34" t="str">
        <f aca="false">MID(B314,9,1)</f>
        <v/>
      </c>
      <c r="F314" s="34" t="str">
        <f aca="false">MID(B314,10,1)</f>
        <v/>
      </c>
      <c r="G314" s="34" t="str">
        <f aca="false">MID(B314,11,1)</f>
        <v/>
      </c>
      <c r="H314" s="35" t="str">
        <f aca="false">IF(G314=".",F314,CONCATENATE(F314,G314))</f>
        <v/>
      </c>
      <c r="I314" s="34" t="n">
        <f aca="false">IFERROR(VALUE(H314),)</f>
        <v>0</v>
      </c>
      <c r="J314" s="34" t="e">
        <f aca="false">RIGHT(B314,LEN(B314)-FIND("/",B314, FIND("Single Cells",B314, 1)))</f>
        <v>#VALUE!</v>
      </c>
    </row>
    <row r="315" customFormat="false" ht="12.75" hidden="false" customHeight="true" outlineLevel="0" collapsed="false">
      <c r="E315" s="34" t="str">
        <f aca="false">MID(B315,9,1)</f>
        <v/>
      </c>
      <c r="F315" s="34" t="str">
        <f aca="false">MID(B315,10,1)</f>
        <v/>
      </c>
      <c r="G315" s="34" t="str">
        <f aca="false">MID(B315,11,1)</f>
        <v/>
      </c>
      <c r="H315" s="35" t="str">
        <f aca="false">IF(G315=".",F315,CONCATENATE(F315,G315))</f>
        <v/>
      </c>
      <c r="I315" s="34" t="n">
        <f aca="false">IFERROR(VALUE(H315),)</f>
        <v>0</v>
      </c>
      <c r="J315" s="34" t="e">
        <f aca="false">RIGHT(B315,LEN(B315)-FIND("/",B315, FIND("Single Cells",B315, 1)))</f>
        <v>#VALUE!</v>
      </c>
    </row>
    <row r="316" customFormat="false" ht="12.75" hidden="false" customHeight="true" outlineLevel="0" collapsed="false">
      <c r="E316" s="34" t="str">
        <f aca="false">MID(B316,9,1)</f>
        <v/>
      </c>
      <c r="F316" s="34" t="str">
        <f aca="false">MID(B316,10,1)</f>
        <v/>
      </c>
      <c r="G316" s="34" t="str">
        <f aca="false">MID(B316,11,1)</f>
        <v/>
      </c>
      <c r="H316" s="35" t="str">
        <f aca="false">IF(G316=".",F316,CONCATENATE(F316,G316))</f>
        <v/>
      </c>
      <c r="I316" s="34" t="n">
        <f aca="false">IFERROR(VALUE(H316),)</f>
        <v>0</v>
      </c>
      <c r="J316" s="34" t="e">
        <f aca="false">RIGHT(B316,LEN(B316)-FIND("/",B316, FIND("Single Cells",B316, 1)))</f>
        <v>#VALUE!</v>
      </c>
    </row>
    <row r="317" customFormat="false" ht="12.75" hidden="false" customHeight="true" outlineLevel="0" collapsed="false">
      <c r="E317" s="34" t="str">
        <f aca="false">MID(B317,9,1)</f>
        <v/>
      </c>
      <c r="F317" s="34" t="str">
        <f aca="false">MID(B317,10,1)</f>
        <v/>
      </c>
      <c r="G317" s="34" t="str">
        <f aca="false">MID(B317,11,1)</f>
        <v/>
      </c>
      <c r="H317" s="35" t="str">
        <f aca="false">IF(G317=".",F317,CONCATENATE(F317,G317))</f>
        <v/>
      </c>
      <c r="I317" s="34" t="n">
        <f aca="false">IFERROR(VALUE(H317),)</f>
        <v>0</v>
      </c>
      <c r="J317" s="34" t="e">
        <f aca="false">RIGHT(B317,LEN(B317)-FIND("/",B317, FIND("Single Cells",B317, 1)))</f>
        <v>#VALUE!</v>
      </c>
    </row>
    <row r="318" customFormat="false" ht="12.75" hidden="false" customHeight="true" outlineLevel="0" collapsed="false">
      <c r="E318" s="34" t="str">
        <f aca="false">MID(B318,9,1)</f>
        <v/>
      </c>
      <c r="F318" s="34" t="str">
        <f aca="false">MID(B318,10,1)</f>
        <v/>
      </c>
      <c r="G318" s="34" t="str">
        <f aca="false">MID(B318,11,1)</f>
        <v/>
      </c>
      <c r="H318" s="35" t="str">
        <f aca="false">IF(G318=".",F318,CONCATENATE(F318,G318))</f>
        <v/>
      </c>
      <c r="I318" s="34" t="n">
        <f aca="false">IFERROR(VALUE(H318),)</f>
        <v>0</v>
      </c>
      <c r="J318" s="34" t="e">
        <f aca="false">RIGHT(B318,LEN(B318)-FIND("/",B318, FIND("Single Cells",B318, 1)))</f>
        <v>#VALUE!</v>
      </c>
    </row>
    <row r="319" customFormat="false" ht="12.75" hidden="false" customHeight="true" outlineLevel="0" collapsed="false">
      <c r="E319" s="34" t="str">
        <f aca="false">MID(B319,9,1)</f>
        <v/>
      </c>
      <c r="F319" s="34" t="str">
        <f aca="false">MID(B319,10,1)</f>
        <v/>
      </c>
      <c r="G319" s="34" t="str">
        <f aca="false">MID(B319,11,1)</f>
        <v/>
      </c>
      <c r="H319" s="35" t="str">
        <f aca="false">IF(G319=".",F319,CONCATENATE(F319,G319))</f>
        <v/>
      </c>
      <c r="I319" s="34" t="n">
        <f aca="false">IFERROR(VALUE(H319),)</f>
        <v>0</v>
      </c>
      <c r="J319" s="34" t="e">
        <f aca="false">RIGHT(B319,LEN(B319)-FIND("/",B319, FIND("Single Cells",B319, 1)))</f>
        <v>#VALUE!</v>
      </c>
    </row>
    <row r="320" customFormat="false" ht="12.75" hidden="false" customHeight="true" outlineLevel="0" collapsed="false">
      <c r="E320" s="34" t="str">
        <f aca="false">MID(B320,9,1)</f>
        <v/>
      </c>
      <c r="F320" s="34" t="str">
        <f aca="false">MID(B320,10,1)</f>
        <v/>
      </c>
      <c r="G320" s="34" t="str">
        <f aca="false">MID(B320,11,1)</f>
        <v/>
      </c>
      <c r="H320" s="35" t="str">
        <f aca="false">IF(G320=".",F320,CONCATENATE(F320,G320))</f>
        <v/>
      </c>
      <c r="I320" s="34" t="n">
        <f aca="false">IFERROR(VALUE(H320),)</f>
        <v>0</v>
      </c>
      <c r="J320" s="34" t="e">
        <f aca="false">RIGHT(B320,LEN(B320)-FIND("/",B320, FIND("Single Cells",B320, 1)))</f>
        <v>#VALUE!</v>
      </c>
    </row>
    <row r="321" customFormat="false" ht="12.75" hidden="false" customHeight="true" outlineLevel="0" collapsed="false">
      <c r="E321" s="34" t="str">
        <f aca="false">MID(B321,9,1)</f>
        <v/>
      </c>
      <c r="F321" s="34" t="str">
        <f aca="false">MID(B321,10,1)</f>
        <v/>
      </c>
      <c r="G321" s="34" t="str">
        <f aca="false">MID(B321,11,1)</f>
        <v/>
      </c>
      <c r="H321" s="35" t="str">
        <f aca="false">IF(G321=".",F321,CONCATENATE(F321,G321))</f>
        <v/>
      </c>
      <c r="I321" s="34" t="n">
        <f aca="false">IFERROR(VALUE(H321),)</f>
        <v>0</v>
      </c>
      <c r="J321" s="34" t="e">
        <f aca="false">RIGHT(B321,LEN(B321)-FIND("/",B321, FIND("Single Cells",B321, 1)))</f>
        <v>#VALUE!</v>
      </c>
    </row>
    <row r="322" customFormat="false" ht="12.75" hidden="false" customHeight="true" outlineLevel="0" collapsed="false">
      <c r="E322" s="34" t="str">
        <f aca="false">MID(B322,9,1)</f>
        <v/>
      </c>
      <c r="F322" s="34" t="str">
        <f aca="false">MID(B322,10,1)</f>
        <v/>
      </c>
      <c r="G322" s="34" t="str">
        <f aca="false">MID(B322,11,1)</f>
        <v/>
      </c>
      <c r="H322" s="35" t="str">
        <f aca="false">IF(G322=".",F322,CONCATENATE(F322,G322))</f>
        <v/>
      </c>
      <c r="I322" s="34" t="n">
        <f aca="false">IFERROR(VALUE(H322),)</f>
        <v>0</v>
      </c>
      <c r="J322" s="34" t="e">
        <f aca="false">RIGHT(B322,LEN(B322)-FIND("/",B322, FIND("Single Cells",B322, 1)))</f>
        <v>#VALUE!</v>
      </c>
    </row>
    <row r="323" customFormat="false" ht="12.75" hidden="false" customHeight="true" outlineLevel="0" collapsed="false">
      <c r="E323" s="34" t="str">
        <f aca="false">MID(B323,9,1)</f>
        <v/>
      </c>
      <c r="F323" s="34" t="str">
        <f aca="false">MID(B323,10,1)</f>
        <v/>
      </c>
      <c r="G323" s="34" t="str">
        <f aca="false">MID(B323,11,1)</f>
        <v/>
      </c>
      <c r="H323" s="35" t="str">
        <f aca="false">IF(G323=".",F323,CONCATENATE(F323,G323))</f>
        <v/>
      </c>
      <c r="I323" s="34" t="n">
        <f aca="false">IFERROR(VALUE(H323),)</f>
        <v>0</v>
      </c>
      <c r="J323" s="34" t="e">
        <f aca="false">RIGHT(B323,LEN(B323)-FIND("/",B323, FIND("Single Cells",B323, 1)))</f>
        <v>#VALUE!</v>
      </c>
    </row>
    <row r="324" customFormat="false" ht="12.75" hidden="false" customHeight="true" outlineLevel="0" collapsed="false">
      <c r="E324" s="34" t="str">
        <f aca="false">MID(B324,9,1)</f>
        <v/>
      </c>
      <c r="F324" s="34" t="str">
        <f aca="false">MID(B324,10,1)</f>
        <v/>
      </c>
      <c r="G324" s="34" t="str">
        <f aca="false">MID(B324,11,1)</f>
        <v/>
      </c>
      <c r="H324" s="35" t="str">
        <f aca="false">IF(G324=".",F324,CONCATENATE(F324,G324))</f>
        <v/>
      </c>
      <c r="I324" s="34" t="n">
        <f aca="false">IFERROR(VALUE(H324),)</f>
        <v>0</v>
      </c>
      <c r="J324" s="34" t="e">
        <f aca="false">RIGHT(B324,LEN(B324)-FIND("/",B324, FIND("Single Cells",B324, 1)))</f>
        <v>#VALUE!</v>
      </c>
    </row>
    <row r="325" customFormat="false" ht="12.75" hidden="false" customHeight="true" outlineLevel="0" collapsed="false">
      <c r="E325" s="34" t="str">
        <f aca="false">MID(B325,9,1)</f>
        <v/>
      </c>
      <c r="F325" s="34" t="str">
        <f aca="false">MID(B325,10,1)</f>
        <v/>
      </c>
      <c r="G325" s="34" t="str">
        <f aca="false">MID(B325,11,1)</f>
        <v/>
      </c>
      <c r="H325" s="35" t="str">
        <f aca="false">IF(G325=".",F325,CONCATENATE(F325,G325))</f>
        <v/>
      </c>
      <c r="I325" s="34" t="n">
        <f aca="false">IFERROR(VALUE(H325),)</f>
        <v>0</v>
      </c>
      <c r="J325" s="34" t="e">
        <f aca="false">RIGHT(B325,LEN(B325)-FIND("/",B325, FIND("Single Cells",B325, 1)))</f>
        <v>#VALUE!</v>
      </c>
    </row>
    <row r="326" customFormat="false" ht="12.75" hidden="false" customHeight="true" outlineLevel="0" collapsed="false">
      <c r="E326" s="34" t="str">
        <f aca="false">MID(B326,9,1)</f>
        <v/>
      </c>
      <c r="F326" s="34" t="str">
        <f aca="false">MID(B326,10,1)</f>
        <v/>
      </c>
      <c r="G326" s="34" t="str">
        <f aca="false">MID(B326,11,1)</f>
        <v/>
      </c>
      <c r="H326" s="35" t="str">
        <f aca="false">IF(G326=".",F326,CONCATENATE(F326,G326))</f>
        <v/>
      </c>
      <c r="I326" s="34" t="n">
        <f aca="false">IFERROR(VALUE(H326),)</f>
        <v>0</v>
      </c>
      <c r="J326" s="34" t="e">
        <f aca="false">RIGHT(B326,LEN(B326)-FIND("/",B326, FIND("Single Cells",B326, 1)))</f>
        <v>#VALUE!</v>
      </c>
    </row>
    <row r="327" customFormat="false" ht="12.75" hidden="false" customHeight="true" outlineLevel="0" collapsed="false">
      <c r="E327" s="34" t="str">
        <f aca="false">MID(B327,9,1)</f>
        <v/>
      </c>
      <c r="F327" s="34" t="str">
        <f aca="false">MID(B327,10,1)</f>
        <v/>
      </c>
      <c r="G327" s="34" t="str">
        <f aca="false">MID(B327,11,1)</f>
        <v/>
      </c>
      <c r="H327" s="35" t="str">
        <f aca="false">IF(G327=".",F327,CONCATENATE(F327,G327))</f>
        <v/>
      </c>
      <c r="I327" s="34" t="n">
        <f aca="false">IFERROR(VALUE(H327),)</f>
        <v>0</v>
      </c>
      <c r="J327" s="34" t="e">
        <f aca="false">RIGHT(B327,LEN(B327)-FIND("/",B327, FIND("Single Cells",B327, 1)))</f>
        <v>#VALUE!</v>
      </c>
    </row>
    <row r="328" customFormat="false" ht="12.75" hidden="false" customHeight="true" outlineLevel="0" collapsed="false">
      <c r="E328" s="34" t="str">
        <f aca="false">MID(B328,9,1)</f>
        <v/>
      </c>
      <c r="F328" s="34" t="str">
        <f aca="false">MID(B328,10,1)</f>
        <v/>
      </c>
      <c r="G328" s="34" t="str">
        <f aca="false">MID(B328,11,1)</f>
        <v/>
      </c>
      <c r="H328" s="35" t="str">
        <f aca="false">IF(G328=".",F328,CONCATENATE(F328,G328))</f>
        <v/>
      </c>
      <c r="I328" s="34" t="n">
        <f aca="false">IFERROR(VALUE(H328),)</f>
        <v>0</v>
      </c>
      <c r="J328" s="34" t="e">
        <f aca="false">RIGHT(B328,LEN(B328)-FIND("/",B328, FIND("Single Cells",B328, 1)))</f>
        <v>#VALUE!</v>
      </c>
    </row>
    <row r="329" customFormat="false" ht="12.75" hidden="false" customHeight="true" outlineLevel="0" collapsed="false">
      <c r="E329" s="34" t="str">
        <f aca="false">MID(B329,9,1)</f>
        <v/>
      </c>
      <c r="F329" s="34" t="str">
        <f aca="false">MID(B329,10,1)</f>
        <v/>
      </c>
      <c r="G329" s="34" t="str">
        <f aca="false">MID(B329,11,1)</f>
        <v/>
      </c>
      <c r="H329" s="35" t="str">
        <f aca="false">IF(G329=".",F329,CONCATENATE(F329,G329))</f>
        <v/>
      </c>
      <c r="I329" s="34" t="n">
        <f aca="false">IFERROR(VALUE(H329),)</f>
        <v>0</v>
      </c>
      <c r="J329" s="34" t="e">
        <f aca="false">RIGHT(B329,LEN(B329)-FIND("/",B329, FIND("Single Cells",B329, 1)))</f>
        <v>#VALUE!</v>
      </c>
    </row>
    <row r="330" customFormat="false" ht="12.75" hidden="false" customHeight="true" outlineLevel="0" collapsed="false">
      <c r="E330" s="34" t="str">
        <f aca="false">MID(B330,9,1)</f>
        <v/>
      </c>
      <c r="F330" s="34" t="str">
        <f aca="false">MID(B330,10,1)</f>
        <v/>
      </c>
      <c r="G330" s="34" t="str">
        <f aca="false">MID(B330,11,1)</f>
        <v/>
      </c>
      <c r="H330" s="35" t="str">
        <f aca="false">IF(G330=".",F330,CONCATENATE(F330,G330))</f>
        <v/>
      </c>
      <c r="I330" s="34" t="n">
        <f aca="false">IFERROR(VALUE(H330),)</f>
        <v>0</v>
      </c>
      <c r="J330" s="34" t="e">
        <f aca="false">RIGHT(B330,LEN(B330)-FIND("/",B330, FIND("Single Cells",B330, 1)))</f>
        <v>#VALUE!</v>
      </c>
    </row>
    <row r="331" customFormat="false" ht="12.75" hidden="false" customHeight="true" outlineLevel="0" collapsed="false">
      <c r="E331" s="34" t="str">
        <f aca="false">MID(B331,9,1)</f>
        <v/>
      </c>
      <c r="F331" s="34" t="str">
        <f aca="false">MID(B331,10,1)</f>
        <v/>
      </c>
      <c r="G331" s="34" t="str">
        <f aca="false">MID(B331,11,1)</f>
        <v/>
      </c>
      <c r="H331" s="35" t="str">
        <f aca="false">IF(G331=".",F331,CONCATENATE(F331,G331))</f>
        <v/>
      </c>
      <c r="I331" s="34" t="n">
        <f aca="false">IFERROR(VALUE(H331),)</f>
        <v>0</v>
      </c>
      <c r="J331" s="34" t="e">
        <f aca="false">RIGHT(B331,LEN(B331)-FIND("/",B331, FIND("Single Cells",B331, 1)))</f>
        <v>#VALUE!</v>
      </c>
    </row>
    <row r="332" customFormat="false" ht="12.75" hidden="false" customHeight="true" outlineLevel="0" collapsed="false">
      <c r="E332" s="34" t="str">
        <f aca="false">MID(B332,9,1)</f>
        <v/>
      </c>
      <c r="F332" s="34" t="str">
        <f aca="false">MID(B332,10,1)</f>
        <v/>
      </c>
      <c r="G332" s="34" t="str">
        <f aca="false">MID(B332,11,1)</f>
        <v/>
      </c>
      <c r="H332" s="35" t="str">
        <f aca="false">IF(G332=".",F332,CONCATENATE(F332,G332))</f>
        <v/>
      </c>
      <c r="I332" s="34" t="n">
        <f aca="false">IFERROR(VALUE(H332),)</f>
        <v>0</v>
      </c>
      <c r="J332" s="34" t="e">
        <f aca="false">RIGHT(B332,LEN(B332)-FIND("/",B332, FIND("Single Cells",B332, 1)))</f>
        <v>#VALUE!</v>
      </c>
    </row>
    <row r="333" customFormat="false" ht="12.75" hidden="false" customHeight="true" outlineLevel="0" collapsed="false">
      <c r="E333" s="34" t="str">
        <f aca="false">MID(B333,9,1)</f>
        <v/>
      </c>
      <c r="F333" s="34" t="str">
        <f aca="false">MID(B333,10,1)</f>
        <v/>
      </c>
      <c r="G333" s="34" t="str">
        <f aca="false">MID(B333,11,1)</f>
        <v/>
      </c>
      <c r="H333" s="35" t="str">
        <f aca="false">IF(G333=".",F333,CONCATENATE(F333,G333))</f>
        <v/>
      </c>
      <c r="I333" s="34" t="n">
        <f aca="false">IFERROR(VALUE(H333),)</f>
        <v>0</v>
      </c>
      <c r="J333" s="34" t="e">
        <f aca="false">RIGHT(B333,LEN(B333)-FIND("/",B333, FIND("Single Cells",B333, 1)))</f>
        <v>#VALUE!</v>
      </c>
    </row>
    <row r="334" customFormat="false" ht="12.75" hidden="false" customHeight="true" outlineLevel="0" collapsed="false">
      <c r="E334" s="34" t="str">
        <f aca="false">MID(B334,9,1)</f>
        <v/>
      </c>
      <c r="F334" s="34" t="str">
        <f aca="false">MID(B334,10,1)</f>
        <v/>
      </c>
      <c r="G334" s="34" t="str">
        <f aca="false">MID(B334,11,1)</f>
        <v/>
      </c>
      <c r="H334" s="35" t="str">
        <f aca="false">IF(G334=".",F334,CONCATENATE(F334,G334))</f>
        <v/>
      </c>
      <c r="I334" s="34" t="n">
        <f aca="false">IFERROR(VALUE(H334),)</f>
        <v>0</v>
      </c>
      <c r="J334" s="34" t="e">
        <f aca="false">RIGHT(B334,LEN(B334)-FIND("/",B334, FIND("Single Cells",B334, 1)))</f>
        <v>#VALUE!</v>
      </c>
    </row>
    <row r="335" customFormat="false" ht="12.75" hidden="false" customHeight="true" outlineLevel="0" collapsed="false">
      <c r="E335" s="34" t="str">
        <f aca="false">MID(B335,9,1)</f>
        <v/>
      </c>
      <c r="F335" s="34" t="str">
        <f aca="false">MID(B335,10,1)</f>
        <v/>
      </c>
      <c r="G335" s="34" t="str">
        <f aca="false">MID(B335,11,1)</f>
        <v/>
      </c>
      <c r="H335" s="35" t="str">
        <f aca="false">IF(G335=".",F335,CONCATENATE(F335,G335))</f>
        <v/>
      </c>
      <c r="I335" s="34" t="n">
        <f aca="false">IFERROR(VALUE(H335),)</f>
        <v>0</v>
      </c>
      <c r="J335" s="34" t="e">
        <f aca="false">RIGHT(B335,LEN(B335)-FIND("/",B335, FIND("Single Cells",B335, 1)))</f>
        <v>#VALUE!</v>
      </c>
    </row>
    <row r="336" customFormat="false" ht="12.75" hidden="false" customHeight="true" outlineLevel="0" collapsed="false">
      <c r="E336" s="34" t="str">
        <f aca="false">MID(B336,9,1)</f>
        <v/>
      </c>
      <c r="F336" s="34" t="str">
        <f aca="false">MID(B336,10,1)</f>
        <v/>
      </c>
      <c r="G336" s="34" t="str">
        <f aca="false">MID(B336,11,1)</f>
        <v/>
      </c>
      <c r="H336" s="35" t="str">
        <f aca="false">IF(G336=".",F336,CONCATENATE(F336,G336))</f>
        <v/>
      </c>
      <c r="I336" s="34" t="n">
        <f aca="false">IFERROR(VALUE(H336),)</f>
        <v>0</v>
      </c>
      <c r="J336" s="34" t="e">
        <f aca="false">RIGHT(B336,LEN(B336)-FIND("/",B336, FIND("Single Cells",B336, 1)))</f>
        <v>#VALUE!</v>
      </c>
    </row>
    <row r="337" customFormat="false" ht="12.75" hidden="false" customHeight="true" outlineLevel="0" collapsed="false">
      <c r="E337" s="34" t="str">
        <f aca="false">MID(B337,9,1)</f>
        <v/>
      </c>
      <c r="F337" s="34" t="str">
        <f aca="false">MID(B337,10,1)</f>
        <v/>
      </c>
      <c r="G337" s="34" t="str">
        <f aca="false">MID(B337,11,1)</f>
        <v/>
      </c>
      <c r="H337" s="35" t="str">
        <f aca="false">IF(G337=".",F337,CONCATENATE(F337,G337))</f>
        <v/>
      </c>
      <c r="I337" s="34" t="n">
        <f aca="false">IFERROR(VALUE(H337),)</f>
        <v>0</v>
      </c>
      <c r="J337" s="34" t="e">
        <f aca="false">RIGHT(B337,LEN(B337)-FIND("/",B337, FIND("Single Cells",B337, 1)))</f>
        <v>#VALUE!</v>
      </c>
    </row>
    <row r="338" customFormat="false" ht="12.75" hidden="false" customHeight="true" outlineLevel="0" collapsed="false">
      <c r="E338" s="34" t="str">
        <f aca="false">MID(B338,9,1)</f>
        <v/>
      </c>
      <c r="F338" s="34" t="str">
        <f aca="false">MID(B338,10,1)</f>
        <v/>
      </c>
      <c r="G338" s="34" t="str">
        <f aca="false">MID(B338,11,1)</f>
        <v/>
      </c>
      <c r="H338" s="35" t="str">
        <f aca="false">IF(G338=".",F338,CONCATENATE(F338,G338))</f>
        <v/>
      </c>
      <c r="I338" s="34" t="n">
        <f aca="false">IFERROR(VALUE(H338),)</f>
        <v>0</v>
      </c>
      <c r="J338" s="34" t="e">
        <f aca="false">RIGHT(B338,LEN(B338)-FIND("/",B338, FIND("Single Cells",B338, 1)))</f>
        <v>#VALUE!</v>
      </c>
    </row>
    <row r="339" customFormat="false" ht="12.75" hidden="false" customHeight="true" outlineLevel="0" collapsed="false">
      <c r="E339" s="34" t="str">
        <f aca="false">MID(B339,9,1)</f>
        <v/>
      </c>
      <c r="F339" s="34" t="str">
        <f aca="false">MID(B339,10,1)</f>
        <v/>
      </c>
      <c r="G339" s="34" t="str">
        <f aca="false">MID(B339,11,1)</f>
        <v/>
      </c>
      <c r="H339" s="35" t="str">
        <f aca="false">IF(G339=".",F339,CONCATENATE(F339,G339))</f>
        <v/>
      </c>
      <c r="I339" s="34" t="n">
        <f aca="false">IFERROR(VALUE(H339),)</f>
        <v>0</v>
      </c>
      <c r="J339" s="34" t="e">
        <f aca="false">RIGHT(B339,LEN(B339)-FIND("/",B339, FIND("Single Cells",B339, 1)))</f>
        <v>#VALUE!</v>
      </c>
    </row>
    <row r="340" customFormat="false" ht="12.75" hidden="false" customHeight="true" outlineLevel="0" collapsed="false">
      <c r="E340" s="34" t="str">
        <f aca="false">MID(B340,9,1)</f>
        <v/>
      </c>
      <c r="F340" s="34" t="str">
        <f aca="false">MID(B340,10,1)</f>
        <v/>
      </c>
      <c r="G340" s="34" t="str">
        <f aca="false">MID(B340,11,1)</f>
        <v/>
      </c>
      <c r="H340" s="35" t="str">
        <f aca="false">IF(G340=".",F340,CONCATENATE(F340,G340))</f>
        <v/>
      </c>
      <c r="I340" s="34" t="n">
        <f aca="false">IFERROR(VALUE(H340),)</f>
        <v>0</v>
      </c>
      <c r="J340" s="34" t="e">
        <f aca="false">RIGHT(B340,LEN(B340)-FIND("/",B340, FIND("Single Cells",B340, 1)))</f>
        <v>#VALUE!</v>
      </c>
    </row>
    <row r="341" customFormat="false" ht="12.75" hidden="false" customHeight="true" outlineLevel="0" collapsed="false">
      <c r="E341" s="34" t="str">
        <f aca="false">MID(B341,9,1)</f>
        <v/>
      </c>
      <c r="F341" s="34" t="str">
        <f aca="false">MID(B341,10,1)</f>
        <v/>
      </c>
      <c r="G341" s="34" t="str">
        <f aca="false">MID(B341,11,1)</f>
        <v/>
      </c>
      <c r="H341" s="35" t="str">
        <f aca="false">IF(G341=".",F341,CONCATENATE(F341,G341))</f>
        <v/>
      </c>
      <c r="I341" s="34" t="n">
        <f aca="false">IFERROR(VALUE(H341),)</f>
        <v>0</v>
      </c>
      <c r="J341" s="34" t="e">
        <f aca="false">RIGHT(B341,LEN(B341)-FIND("/",B341, FIND("Single Cells",B341, 1)))</f>
        <v>#VALUE!</v>
      </c>
    </row>
    <row r="342" customFormat="false" ht="12.75" hidden="false" customHeight="true" outlineLevel="0" collapsed="false">
      <c r="E342" s="34" t="str">
        <f aca="false">MID(B342,9,1)</f>
        <v/>
      </c>
      <c r="F342" s="34" t="str">
        <f aca="false">MID(B342,10,1)</f>
        <v/>
      </c>
      <c r="G342" s="34" t="str">
        <f aca="false">MID(B342,11,1)</f>
        <v/>
      </c>
      <c r="H342" s="35" t="str">
        <f aca="false">IF(G342=".",F342,CONCATENATE(F342,G342))</f>
        <v/>
      </c>
      <c r="I342" s="34" t="n">
        <f aca="false">IFERROR(VALUE(H342),)</f>
        <v>0</v>
      </c>
      <c r="J342" s="34" t="e">
        <f aca="false">RIGHT(B342,LEN(B342)-FIND("/",B342, FIND("Single Cells",B342, 1)))</f>
        <v>#VALUE!</v>
      </c>
    </row>
    <row r="343" customFormat="false" ht="12.75" hidden="false" customHeight="true" outlineLevel="0" collapsed="false">
      <c r="E343" s="34" t="str">
        <f aca="false">MID(B343,9,1)</f>
        <v/>
      </c>
      <c r="F343" s="34" t="str">
        <f aca="false">MID(B343,10,1)</f>
        <v/>
      </c>
      <c r="G343" s="34" t="str">
        <f aca="false">MID(B343,11,1)</f>
        <v/>
      </c>
      <c r="H343" s="35" t="str">
        <f aca="false">IF(G343=".",F343,CONCATENATE(F343,G343))</f>
        <v/>
      </c>
      <c r="I343" s="34" t="n">
        <f aca="false">IFERROR(VALUE(H343),)</f>
        <v>0</v>
      </c>
      <c r="J343" s="34" t="e">
        <f aca="false">RIGHT(B343,LEN(B343)-FIND("/",B343, FIND("Single Cells",B343, 1)))</f>
        <v>#VALUE!</v>
      </c>
    </row>
    <row r="344" customFormat="false" ht="12.75" hidden="false" customHeight="true" outlineLevel="0" collapsed="false">
      <c r="E344" s="34" t="str">
        <f aca="false">MID(B344,9,1)</f>
        <v/>
      </c>
      <c r="F344" s="34" t="str">
        <f aca="false">MID(B344,10,1)</f>
        <v/>
      </c>
      <c r="G344" s="34" t="str">
        <f aca="false">MID(B344,11,1)</f>
        <v/>
      </c>
      <c r="H344" s="35" t="str">
        <f aca="false">IF(G344=".",F344,CONCATENATE(F344,G344))</f>
        <v/>
      </c>
      <c r="I344" s="34" t="n">
        <f aca="false">IFERROR(VALUE(H344),)</f>
        <v>0</v>
      </c>
      <c r="J344" s="34" t="e">
        <f aca="false">RIGHT(B344,LEN(B344)-FIND("/",B344, FIND("Single Cells",B344, 1)))</f>
        <v>#VALUE!</v>
      </c>
    </row>
    <row r="345" customFormat="false" ht="12.75" hidden="false" customHeight="true" outlineLevel="0" collapsed="false">
      <c r="E345" s="34" t="str">
        <f aca="false">MID(B345,9,1)</f>
        <v/>
      </c>
      <c r="F345" s="34" t="str">
        <f aca="false">MID(B345,10,1)</f>
        <v/>
      </c>
      <c r="G345" s="34" t="str">
        <f aca="false">MID(B345,11,1)</f>
        <v/>
      </c>
      <c r="H345" s="35" t="str">
        <f aca="false">IF(G345=".",F345,CONCATENATE(F345,G345))</f>
        <v/>
      </c>
      <c r="I345" s="34" t="n">
        <f aca="false">IFERROR(VALUE(H345),)</f>
        <v>0</v>
      </c>
      <c r="J345" s="34" t="e">
        <f aca="false">RIGHT(B345,LEN(B345)-FIND("/",B345, FIND("Single Cells",B345, 1)))</f>
        <v>#VALUE!</v>
      </c>
    </row>
    <row r="346" customFormat="false" ht="12.75" hidden="false" customHeight="true" outlineLevel="0" collapsed="false">
      <c r="E346" s="34" t="str">
        <f aca="false">MID(B346,9,1)</f>
        <v/>
      </c>
      <c r="F346" s="34" t="str">
        <f aca="false">MID(B346,10,1)</f>
        <v/>
      </c>
      <c r="G346" s="34" t="str">
        <f aca="false">MID(B346,11,1)</f>
        <v/>
      </c>
      <c r="H346" s="35" t="str">
        <f aca="false">IF(G346=".",F346,CONCATENATE(F346,G346))</f>
        <v/>
      </c>
      <c r="I346" s="34" t="n">
        <f aca="false">IFERROR(VALUE(H346),)</f>
        <v>0</v>
      </c>
      <c r="J346" s="34" t="e">
        <f aca="false">RIGHT(B346,LEN(B346)-FIND("/",B346, FIND("Single Cells",B346, 1)))</f>
        <v>#VALUE!</v>
      </c>
    </row>
    <row r="347" customFormat="false" ht="12.75" hidden="false" customHeight="true" outlineLevel="0" collapsed="false">
      <c r="E347" s="34" t="str">
        <f aca="false">MID(B347,9,1)</f>
        <v/>
      </c>
      <c r="F347" s="34" t="str">
        <f aca="false">MID(B347,10,1)</f>
        <v/>
      </c>
      <c r="G347" s="34" t="str">
        <f aca="false">MID(B347,11,1)</f>
        <v/>
      </c>
      <c r="H347" s="35" t="str">
        <f aca="false">IF(G347=".",F347,CONCATENATE(F347,G347))</f>
        <v/>
      </c>
      <c r="I347" s="34" t="n">
        <f aca="false">IFERROR(VALUE(H347),)</f>
        <v>0</v>
      </c>
      <c r="J347" s="34" t="e">
        <f aca="false">RIGHT(B347,LEN(B347)-FIND("/",B347, FIND("Single Cells",B347, 1)))</f>
        <v>#VALUE!</v>
      </c>
    </row>
    <row r="348" customFormat="false" ht="12.75" hidden="false" customHeight="true" outlineLevel="0" collapsed="false">
      <c r="E348" s="34" t="str">
        <f aca="false">MID(B348,9,1)</f>
        <v/>
      </c>
      <c r="F348" s="34" t="str">
        <f aca="false">MID(B348,10,1)</f>
        <v/>
      </c>
      <c r="G348" s="34" t="str">
        <f aca="false">MID(B348,11,1)</f>
        <v/>
      </c>
      <c r="H348" s="35" t="str">
        <f aca="false">IF(G348=".",F348,CONCATENATE(F348,G348))</f>
        <v/>
      </c>
      <c r="I348" s="34" t="n">
        <f aca="false">IFERROR(VALUE(H348),)</f>
        <v>0</v>
      </c>
      <c r="J348" s="34" t="e">
        <f aca="false">RIGHT(B348,LEN(B348)-FIND("/",B348, FIND("Single Cells",B348, 1)))</f>
        <v>#VALUE!</v>
      </c>
    </row>
    <row r="349" customFormat="false" ht="12.75" hidden="false" customHeight="true" outlineLevel="0" collapsed="false">
      <c r="E349" s="34" t="str">
        <f aca="false">MID(B349,9,1)</f>
        <v/>
      </c>
      <c r="F349" s="34" t="str">
        <f aca="false">MID(B349,10,1)</f>
        <v/>
      </c>
      <c r="G349" s="34" t="str">
        <f aca="false">MID(B349,11,1)</f>
        <v/>
      </c>
      <c r="H349" s="35" t="str">
        <f aca="false">IF(G349=".",F349,CONCATENATE(F349,G349))</f>
        <v/>
      </c>
      <c r="I349" s="34" t="n">
        <f aca="false">IFERROR(VALUE(H349),)</f>
        <v>0</v>
      </c>
      <c r="J349" s="34" t="e">
        <f aca="false">RIGHT(B349,LEN(B349)-FIND("/",B349, FIND("Single Cells",B349, 1)))</f>
        <v>#VALUE!</v>
      </c>
    </row>
    <row r="350" customFormat="false" ht="12.75" hidden="false" customHeight="true" outlineLevel="0" collapsed="false">
      <c r="E350" s="34" t="str">
        <f aca="false">MID(B350,9,1)</f>
        <v/>
      </c>
      <c r="F350" s="34" t="str">
        <f aca="false">MID(B350,10,1)</f>
        <v/>
      </c>
      <c r="G350" s="34" t="str">
        <f aca="false">MID(B350,11,1)</f>
        <v/>
      </c>
      <c r="H350" s="35" t="str">
        <f aca="false">IF(G350=".",F350,CONCATENATE(F350,G350))</f>
        <v/>
      </c>
      <c r="I350" s="34" t="n">
        <f aca="false">IFERROR(VALUE(H350),)</f>
        <v>0</v>
      </c>
      <c r="J350" s="34" t="e">
        <f aca="false">RIGHT(B350,LEN(B350)-FIND("/",B350, FIND("Single Cells",B350, 1)))</f>
        <v>#VALUE!</v>
      </c>
    </row>
    <row r="351" customFormat="false" ht="12.75" hidden="false" customHeight="true" outlineLevel="0" collapsed="false">
      <c r="E351" s="34" t="str">
        <f aca="false">MID(B351,9,1)</f>
        <v/>
      </c>
      <c r="F351" s="34" t="str">
        <f aca="false">MID(B351,10,1)</f>
        <v/>
      </c>
      <c r="G351" s="34" t="str">
        <f aca="false">MID(B351,11,1)</f>
        <v/>
      </c>
      <c r="H351" s="35" t="str">
        <f aca="false">IF(G351=".",F351,CONCATENATE(F351,G351))</f>
        <v/>
      </c>
      <c r="I351" s="34" t="n">
        <f aca="false">IFERROR(VALUE(H351),)</f>
        <v>0</v>
      </c>
      <c r="J351" s="34" t="e">
        <f aca="false">RIGHT(B351,LEN(B351)-FIND("/",B351, FIND("Single Cells",B351, 1)))</f>
        <v>#VALUE!</v>
      </c>
    </row>
    <row r="352" customFormat="false" ht="12.75" hidden="false" customHeight="true" outlineLevel="0" collapsed="false">
      <c r="E352" s="34" t="str">
        <f aca="false">MID(B352,9,1)</f>
        <v/>
      </c>
      <c r="F352" s="34" t="str">
        <f aca="false">MID(B352,10,1)</f>
        <v/>
      </c>
      <c r="G352" s="34" t="str">
        <f aca="false">MID(B352,11,1)</f>
        <v/>
      </c>
      <c r="H352" s="35" t="str">
        <f aca="false">IF(G352=".",F352,CONCATENATE(F352,G352))</f>
        <v/>
      </c>
      <c r="I352" s="34" t="n">
        <f aca="false">IFERROR(VALUE(H352),)</f>
        <v>0</v>
      </c>
      <c r="J352" s="34" t="e">
        <f aca="false">RIGHT(B352,LEN(B352)-FIND("/",B352, FIND("Single Cells",B352, 1)))</f>
        <v>#VALUE!</v>
      </c>
    </row>
    <row r="353" customFormat="false" ht="12.75" hidden="false" customHeight="true" outlineLevel="0" collapsed="false">
      <c r="E353" s="34" t="str">
        <f aca="false">MID(B353,9,1)</f>
        <v/>
      </c>
      <c r="F353" s="34" t="str">
        <f aca="false">MID(B353,10,1)</f>
        <v/>
      </c>
      <c r="G353" s="34" t="str">
        <f aca="false">MID(B353,11,1)</f>
        <v/>
      </c>
      <c r="H353" s="35" t="str">
        <f aca="false">IF(G353=".",F353,CONCATENATE(F353,G353))</f>
        <v/>
      </c>
      <c r="I353" s="34" t="n">
        <f aca="false">IFERROR(VALUE(H353),)</f>
        <v>0</v>
      </c>
      <c r="J353" s="34" t="e">
        <f aca="false">RIGHT(B353,LEN(B353)-FIND("/",B353, FIND("Single Cells",B353, 1)))</f>
        <v>#VALUE!</v>
      </c>
    </row>
    <row r="354" customFormat="false" ht="12.75" hidden="false" customHeight="true" outlineLevel="0" collapsed="false">
      <c r="E354" s="34" t="str">
        <f aca="false">MID(B354,9,1)</f>
        <v/>
      </c>
      <c r="F354" s="34" t="str">
        <f aca="false">MID(B354,10,1)</f>
        <v/>
      </c>
      <c r="G354" s="34" t="str">
        <f aca="false">MID(B354,11,1)</f>
        <v/>
      </c>
      <c r="H354" s="35" t="str">
        <f aca="false">IF(G354=".",F354,CONCATENATE(F354,G354))</f>
        <v/>
      </c>
      <c r="I354" s="34" t="n">
        <f aca="false">IFERROR(VALUE(H354),)</f>
        <v>0</v>
      </c>
      <c r="J354" s="34" t="e">
        <f aca="false">RIGHT(B354,LEN(B354)-FIND("/",B354, FIND("Single Cells",B354, 1)))</f>
        <v>#VALUE!</v>
      </c>
    </row>
    <row r="355" customFormat="false" ht="12.75" hidden="false" customHeight="true" outlineLevel="0" collapsed="false">
      <c r="E355" s="34" t="str">
        <f aca="false">MID(B355,9,1)</f>
        <v/>
      </c>
      <c r="F355" s="34" t="str">
        <f aca="false">MID(B355,10,1)</f>
        <v/>
      </c>
      <c r="G355" s="34" t="str">
        <f aca="false">MID(B355,11,1)</f>
        <v/>
      </c>
      <c r="H355" s="35" t="str">
        <f aca="false">IF(G355=".",F355,CONCATENATE(F355,G355))</f>
        <v/>
      </c>
      <c r="I355" s="34" t="n">
        <f aca="false">IFERROR(VALUE(H355),)</f>
        <v>0</v>
      </c>
      <c r="J355" s="34" t="e">
        <f aca="false">RIGHT(B355,LEN(B355)-FIND("/",B355, FIND("Single Cells",B355, 1)))</f>
        <v>#VALUE!</v>
      </c>
    </row>
    <row r="356" customFormat="false" ht="12.75" hidden="false" customHeight="true" outlineLevel="0" collapsed="false">
      <c r="E356" s="34" t="str">
        <f aca="false">MID(B356,9,1)</f>
        <v/>
      </c>
      <c r="F356" s="34" t="str">
        <f aca="false">MID(B356,10,1)</f>
        <v/>
      </c>
      <c r="G356" s="34" t="str">
        <f aca="false">MID(B356,11,1)</f>
        <v/>
      </c>
      <c r="H356" s="35" t="str">
        <f aca="false">IF(G356=".",F356,CONCATENATE(F356,G356))</f>
        <v/>
      </c>
      <c r="I356" s="34" t="n">
        <f aca="false">IFERROR(VALUE(H356),)</f>
        <v>0</v>
      </c>
      <c r="J356" s="34" t="e">
        <f aca="false">RIGHT(B356,LEN(B356)-FIND("/",B356, FIND("Single Cells",B356, 1)))</f>
        <v>#VALUE!</v>
      </c>
    </row>
    <row r="357" customFormat="false" ht="12.75" hidden="false" customHeight="true" outlineLevel="0" collapsed="false">
      <c r="E357" s="34" t="str">
        <f aca="false">MID(B357,9,1)</f>
        <v/>
      </c>
      <c r="F357" s="34" t="str">
        <f aca="false">MID(B357,10,1)</f>
        <v/>
      </c>
      <c r="G357" s="34" t="str">
        <f aca="false">MID(B357,11,1)</f>
        <v/>
      </c>
      <c r="H357" s="35" t="str">
        <f aca="false">IF(G357=".",F357,CONCATENATE(F357,G357))</f>
        <v/>
      </c>
      <c r="I357" s="34" t="n">
        <f aca="false">IFERROR(VALUE(H357),)</f>
        <v>0</v>
      </c>
      <c r="J357" s="34" t="e">
        <f aca="false">RIGHT(B357,LEN(B357)-FIND("/",B357, FIND("Single Cells",B357, 1)))</f>
        <v>#VALUE!</v>
      </c>
    </row>
    <row r="358" customFormat="false" ht="12.75" hidden="false" customHeight="true" outlineLevel="0" collapsed="false">
      <c r="E358" s="34" t="str">
        <f aca="false">MID(B358,9,1)</f>
        <v/>
      </c>
      <c r="F358" s="34" t="str">
        <f aca="false">MID(B358,10,1)</f>
        <v/>
      </c>
      <c r="G358" s="34" t="str">
        <f aca="false">MID(B358,11,1)</f>
        <v/>
      </c>
      <c r="H358" s="35" t="str">
        <f aca="false">IF(G358=".",F358,CONCATENATE(F358,G358))</f>
        <v/>
      </c>
      <c r="I358" s="34" t="n">
        <f aca="false">IFERROR(VALUE(H358),)</f>
        <v>0</v>
      </c>
      <c r="J358" s="34" t="e">
        <f aca="false">RIGHT(B358,LEN(B358)-FIND("/",B358, FIND("Single Cells",B358, 1)))</f>
        <v>#VALUE!</v>
      </c>
    </row>
    <row r="359" customFormat="false" ht="12.75" hidden="false" customHeight="true" outlineLevel="0" collapsed="false">
      <c r="E359" s="34" t="str">
        <f aca="false">MID(B359,9,1)</f>
        <v/>
      </c>
      <c r="F359" s="34" t="str">
        <f aca="false">MID(B359,10,1)</f>
        <v/>
      </c>
      <c r="G359" s="34" t="str">
        <f aca="false">MID(B359,11,1)</f>
        <v/>
      </c>
      <c r="H359" s="35" t="str">
        <f aca="false">IF(G359=".",F359,CONCATENATE(F359,G359))</f>
        <v/>
      </c>
      <c r="I359" s="34" t="n">
        <f aca="false">IFERROR(VALUE(H359),)</f>
        <v>0</v>
      </c>
      <c r="J359" s="34" t="e">
        <f aca="false">RIGHT(B359,LEN(B359)-FIND("/",B359, FIND("Single Cells",B359, 1)))</f>
        <v>#VALUE!</v>
      </c>
    </row>
    <row r="360" customFormat="false" ht="12.75" hidden="false" customHeight="true" outlineLevel="0" collapsed="false">
      <c r="E360" s="34" t="str">
        <f aca="false">MID(B360,9,1)</f>
        <v/>
      </c>
      <c r="F360" s="34" t="str">
        <f aca="false">MID(B360,10,1)</f>
        <v/>
      </c>
      <c r="G360" s="34" t="str">
        <f aca="false">MID(B360,11,1)</f>
        <v/>
      </c>
      <c r="H360" s="35" t="str">
        <f aca="false">IF(G360=".",F360,CONCATENATE(F360,G360))</f>
        <v/>
      </c>
      <c r="I360" s="34" t="n">
        <f aca="false">IFERROR(VALUE(H360),)</f>
        <v>0</v>
      </c>
      <c r="J360" s="34" t="e">
        <f aca="false">RIGHT(B360,LEN(B360)-FIND("/",B360, FIND("Single Cells",B360, 1)))</f>
        <v>#VALUE!</v>
      </c>
    </row>
    <row r="361" customFormat="false" ht="12.75" hidden="false" customHeight="true" outlineLevel="0" collapsed="false">
      <c r="E361" s="34" t="str">
        <f aca="false">MID(B361,9,1)</f>
        <v/>
      </c>
      <c r="F361" s="34" t="str">
        <f aca="false">MID(B361,10,1)</f>
        <v/>
      </c>
      <c r="G361" s="34" t="str">
        <f aca="false">MID(B361,11,1)</f>
        <v/>
      </c>
      <c r="H361" s="35" t="str">
        <f aca="false">IF(G361=".",F361,CONCATENATE(F361,G361))</f>
        <v/>
      </c>
      <c r="I361" s="34" t="n">
        <f aca="false">IFERROR(VALUE(H361),)</f>
        <v>0</v>
      </c>
      <c r="J361" s="34" t="e">
        <f aca="false">RIGHT(B361,LEN(B361)-FIND("/",B361, FIND("Single Cells",B361, 1)))</f>
        <v>#VALUE!</v>
      </c>
    </row>
    <row r="362" customFormat="false" ht="12.75" hidden="false" customHeight="true" outlineLevel="0" collapsed="false">
      <c r="E362" s="34" t="str">
        <f aca="false">MID(B362,9,1)</f>
        <v/>
      </c>
      <c r="F362" s="34" t="str">
        <f aca="false">MID(B362,10,1)</f>
        <v/>
      </c>
      <c r="G362" s="34" t="str">
        <f aca="false">MID(B362,11,1)</f>
        <v/>
      </c>
      <c r="H362" s="35" t="str">
        <f aca="false">IF(G362=".",F362,CONCATENATE(F362,G362))</f>
        <v/>
      </c>
      <c r="I362" s="34" t="n">
        <f aca="false">IFERROR(VALUE(H362),)</f>
        <v>0</v>
      </c>
      <c r="J362" s="34" t="e">
        <f aca="false">RIGHT(B362,LEN(B362)-FIND("/",B362, FIND("Single Cells",B362, 1)))</f>
        <v>#VALUE!</v>
      </c>
    </row>
    <row r="363" customFormat="false" ht="12.75" hidden="false" customHeight="true" outlineLevel="0" collapsed="false">
      <c r="E363" s="34" t="str">
        <f aca="false">MID(B363,9,1)</f>
        <v/>
      </c>
      <c r="F363" s="34" t="str">
        <f aca="false">MID(B363,10,1)</f>
        <v/>
      </c>
      <c r="G363" s="34" t="str">
        <f aca="false">MID(B363,11,1)</f>
        <v/>
      </c>
      <c r="H363" s="35" t="str">
        <f aca="false">IF(G363=".",F363,CONCATENATE(F363,G363))</f>
        <v/>
      </c>
      <c r="I363" s="34" t="n">
        <f aca="false">IFERROR(VALUE(H363),)</f>
        <v>0</v>
      </c>
      <c r="J363" s="34" t="e">
        <f aca="false">RIGHT(B363,LEN(B363)-FIND("/",B363, FIND("Single Cells",B363, 1)))</f>
        <v>#VALUE!</v>
      </c>
    </row>
    <row r="364" customFormat="false" ht="12.75" hidden="false" customHeight="true" outlineLevel="0" collapsed="false">
      <c r="E364" s="34" t="str">
        <f aca="false">MID(B364,9,1)</f>
        <v/>
      </c>
      <c r="F364" s="34" t="str">
        <f aca="false">MID(B364,10,1)</f>
        <v/>
      </c>
      <c r="G364" s="34" t="str">
        <f aca="false">MID(B364,11,1)</f>
        <v/>
      </c>
      <c r="H364" s="35" t="str">
        <f aca="false">IF(G364=".",F364,CONCATENATE(F364,G364))</f>
        <v/>
      </c>
      <c r="I364" s="34" t="n">
        <f aca="false">IFERROR(VALUE(H364),)</f>
        <v>0</v>
      </c>
      <c r="J364" s="34" t="e">
        <f aca="false">RIGHT(B364,LEN(B364)-FIND("/",B364, FIND("Single Cells",B364, 1)))</f>
        <v>#VALUE!</v>
      </c>
    </row>
    <row r="365" customFormat="false" ht="12.75" hidden="false" customHeight="true" outlineLevel="0" collapsed="false">
      <c r="E365" s="34" t="str">
        <f aca="false">MID(B365,9,1)</f>
        <v/>
      </c>
      <c r="F365" s="34" t="str">
        <f aca="false">MID(B365,10,1)</f>
        <v/>
      </c>
      <c r="G365" s="34" t="str">
        <f aca="false">MID(B365,11,1)</f>
        <v/>
      </c>
      <c r="H365" s="35" t="str">
        <f aca="false">IF(G365=".",F365,CONCATENATE(F365,G365))</f>
        <v/>
      </c>
      <c r="I365" s="34" t="n">
        <f aca="false">IFERROR(VALUE(H365),)</f>
        <v>0</v>
      </c>
      <c r="J365" s="34" t="e">
        <f aca="false">RIGHT(B365,LEN(B365)-FIND("/",B365, FIND("Single Cells",B365, 1)))</f>
        <v>#VALUE!</v>
      </c>
    </row>
    <row r="366" customFormat="false" ht="12.75" hidden="false" customHeight="true" outlineLevel="0" collapsed="false">
      <c r="E366" s="34" t="str">
        <f aca="false">MID(B366,9,1)</f>
        <v/>
      </c>
      <c r="F366" s="34" t="str">
        <f aca="false">MID(B366,10,1)</f>
        <v/>
      </c>
      <c r="G366" s="34" t="str">
        <f aca="false">MID(B366,11,1)</f>
        <v/>
      </c>
      <c r="H366" s="35" t="str">
        <f aca="false">IF(G366=".",F366,CONCATENATE(F366,G366))</f>
        <v/>
      </c>
      <c r="I366" s="34" t="n">
        <f aca="false">IFERROR(VALUE(H366),)</f>
        <v>0</v>
      </c>
      <c r="J366" s="34" t="e">
        <f aca="false">RIGHT(B366,LEN(B366)-FIND("/",B366, FIND("Single Cells",B366, 1)))</f>
        <v>#VALUE!</v>
      </c>
    </row>
    <row r="367" customFormat="false" ht="12.75" hidden="false" customHeight="true" outlineLevel="0" collapsed="false">
      <c r="E367" s="34" t="str">
        <f aca="false">MID(B367,9,1)</f>
        <v/>
      </c>
      <c r="F367" s="34" t="str">
        <f aca="false">MID(B367,10,1)</f>
        <v/>
      </c>
      <c r="G367" s="34" t="str">
        <f aca="false">MID(B367,11,1)</f>
        <v/>
      </c>
      <c r="H367" s="35" t="str">
        <f aca="false">IF(G367=".",F367,CONCATENATE(F367,G367))</f>
        <v/>
      </c>
      <c r="I367" s="34" t="n">
        <f aca="false">IFERROR(VALUE(H367),)</f>
        <v>0</v>
      </c>
      <c r="J367" s="34" t="e">
        <f aca="false">RIGHT(B367,LEN(B367)-FIND("/",B367, FIND("Single Cells",B367, 1)))</f>
        <v>#VALUE!</v>
      </c>
    </row>
    <row r="368" customFormat="false" ht="12.75" hidden="false" customHeight="true" outlineLevel="0" collapsed="false">
      <c r="E368" s="34" t="str">
        <f aca="false">MID(B368,9,1)</f>
        <v/>
      </c>
      <c r="F368" s="34" t="str">
        <f aca="false">MID(B368,10,1)</f>
        <v/>
      </c>
      <c r="G368" s="34" t="str">
        <f aca="false">MID(B368,11,1)</f>
        <v/>
      </c>
      <c r="H368" s="35" t="str">
        <f aca="false">IF(G368=".",F368,CONCATENATE(F368,G368))</f>
        <v/>
      </c>
      <c r="I368" s="34" t="n">
        <f aca="false">IFERROR(VALUE(H368),)</f>
        <v>0</v>
      </c>
      <c r="J368" s="34" t="e">
        <f aca="false">RIGHT(B368,LEN(B368)-FIND("/",B368, FIND("Single Cells",B368, 1)))</f>
        <v>#VALUE!</v>
      </c>
    </row>
    <row r="369" customFormat="false" ht="12.75" hidden="false" customHeight="true" outlineLevel="0" collapsed="false">
      <c r="E369" s="34" t="str">
        <f aca="false">MID(B369,9,1)</f>
        <v/>
      </c>
      <c r="F369" s="34" t="str">
        <f aca="false">MID(B369,10,1)</f>
        <v/>
      </c>
      <c r="G369" s="34" t="str">
        <f aca="false">MID(B369,11,1)</f>
        <v/>
      </c>
      <c r="H369" s="35" t="str">
        <f aca="false">IF(G369=".",F369,CONCATENATE(F369,G369))</f>
        <v/>
      </c>
      <c r="I369" s="34" t="n">
        <f aca="false">IFERROR(VALUE(H369),)</f>
        <v>0</v>
      </c>
      <c r="J369" s="34" t="e">
        <f aca="false">RIGHT(B369,LEN(B369)-FIND("/",B369, FIND("Single Cells",B369, 1)))</f>
        <v>#VALUE!</v>
      </c>
    </row>
    <row r="370" customFormat="false" ht="12.75" hidden="false" customHeight="true" outlineLevel="0" collapsed="false">
      <c r="E370" s="34" t="str">
        <f aca="false">MID(B370,9,1)</f>
        <v/>
      </c>
      <c r="F370" s="34" t="str">
        <f aca="false">MID(B370,10,1)</f>
        <v/>
      </c>
      <c r="G370" s="34" t="str">
        <f aca="false">MID(B370,11,1)</f>
        <v/>
      </c>
      <c r="H370" s="35" t="str">
        <f aca="false">IF(G370=".",F370,CONCATENATE(F370,G370))</f>
        <v/>
      </c>
      <c r="I370" s="34" t="n">
        <f aca="false">IFERROR(VALUE(H370),)</f>
        <v>0</v>
      </c>
      <c r="J370" s="34" t="e">
        <f aca="false">RIGHT(B370,LEN(B370)-FIND("/",B370, FIND("Single Cells",B370, 1)))</f>
        <v>#VALUE!</v>
      </c>
    </row>
    <row r="371" customFormat="false" ht="12.75" hidden="false" customHeight="true" outlineLevel="0" collapsed="false">
      <c r="E371" s="34" t="str">
        <f aca="false">MID(B371,9,1)</f>
        <v/>
      </c>
      <c r="F371" s="34" t="str">
        <f aca="false">MID(B371,10,1)</f>
        <v/>
      </c>
      <c r="G371" s="34" t="str">
        <f aca="false">MID(B371,11,1)</f>
        <v/>
      </c>
      <c r="H371" s="35" t="str">
        <f aca="false">IF(G371=".",F371,CONCATENATE(F371,G371))</f>
        <v/>
      </c>
      <c r="I371" s="34" t="n">
        <f aca="false">IFERROR(VALUE(H371),)</f>
        <v>0</v>
      </c>
      <c r="J371" s="34" t="e">
        <f aca="false">RIGHT(B371,LEN(B371)-FIND("/",B371, FIND("Single Cells",B371, 1)))</f>
        <v>#VALUE!</v>
      </c>
    </row>
    <row r="372" customFormat="false" ht="12.75" hidden="false" customHeight="true" outlineLevel="0" collapsed="false">
      <c r="E372" s="34" t="str">
        <f aca="false">MID(B372,9,1)</f>
        <v/>
      </c>
      <c r="F372" s="34" t="str">
        <f aca="false">MID(B372,10,1)</f>
        <v/>
      </c>
      <c r="G372" s="34" t="str">
        <f aca="false">MID(B372,11,1)</f>
        <v/>
      </c>
      <c r="H372" s="35" t="str">
        <f aca="false">IF(G372=".",F372,CONCATENATE(F372,G372))</f>
        <v/>
      </c>
      <c r="I372" s="34" t="n">
        <f aca="false">IFERROR(VALUE(H372),)</f>
        <v>0</v>
      </c>
      <c r="J372" s="34" t="e">
        <f aca="false">RIGHT(B372,LEN(B372)-FIND("/",B372, FIND("Single Cells",B372, 1)))</f>
        <v>#VALUE!</v>
      </c>
    </row>
    <row r="373" customFormat="false" ht="12.75" hidden="false" customHeight="true" outlineLevel="0" collapsed="false">
      <c r="E373" s="34" t="str">
        <f aca="false">MID(B373,9,1)</f>
        <v/>
      </c>
      <c r="F373" s="34" t="str">
        <f aca="false">MID(B373,10,1)</f>
        <v/>
      </c>
      <c r="G373" s="34" t="str">
        <f aca="false">MID(B373,11,1)</f>
        <v/>
      </c>
      <c r="H373" s="35" t="str">
        <f aca="false">IF(G373=".",F373,CONCATENATE(F373,G373))</f>
        <v/>
      </c>
      <c r="I373" s="34" t="n">
        <f aca="false">IFERROR(VALUE(H373),)</f>
        <v>0</v>
      </c>
      <c r="J373" s="34" t="e">
        <f aca="false">RIGHT(B373,LEN(B373)-FIND("/",B373, FIND("Single Cells",B373, 1)))</f>
        <v>#VALUE!</v>
      </c>
    </row>
    <row r="374" customFormat="false" ht="12.75" hidden="false" customHeight="true" outlineLevel="0" collapsed="false">
      <c r="E374" s="34" t="str">
        <f aca="false">MID(B374,9,1)</f>
        <v/>
      </c>
      <c r="F374" s="34" t="str">
        <f aca="false">MID(B374,10,1)</f>
        <v/>
      </c>
      <c r="G374" s="34" t="str">
        <f aca="false">MID(B374,11,1)</f>
        <v/>
      </c>
      <c r="H374" s="35" t="str">
        <f aca="false">IF(G374=".",F374,CONCATENATE(F374,G374))</f>
        <v/>
      </c>
      <c r="I374" s="34" t="n">
        <f aca="false">IFERROR(VALUE(H374),)</f>
        <v>0</v>
      </c>
      <c r="J374" s="34" t="e">
        <f aca="false">RIGHT(B374,LEN(B374)-FIND("/",B374, FIND("Single Cells",B374, 1)))</f>
        <v>#VALUE!</v>
      </c>
    </row>
    <row r="375" customFormat="false" ht="12.75" hidden="false" customHeight="true" outlineLevel="0" collapsed="false">
      <c r="E375" s="34" t="str">
        <f aca="false">MID(B375,9,1)</f>
        <v/>
      </c>
      <c r="F375" s="34" t="str">
        <f aca="false">MID(B375,10,1)</f>
        <v/>
      </c>
      <c r="G375" s="34" t="str">
        <f aca="false">MID(B375,11,1)</f>
        <v/>
      </c>
      <c r="H375" s="35" t="str">
        <f aca="false">IF(G375=".",F375,CONCATENATE(F375,G375))</f>
        <v/>
      </c>
      <c r="I375" s="34" t="n">
        <f aca="false">IFERROR(VALUE(H375),)</f>
        <v>0</v>
      </c>
      <c r="J375" s="34" t="e">
        <f aca="false">RIGHT(B375,LEN(B375)-FIND("/",B375, FIND("Single Cells",B375, 1)))</f>
        <v>#VALUE!</v>
      </c>
    </row>
    <row r="376" customFormat="false" ht="12.75" hidden="false" customHeight="true" outlineLevel="0" collapsed="false">
      <c r="E376" s="34" t="str">
        <f aca="false">MID(B376,9,1)</f>
        <v/>
      </c>
      <c r="F376" s="34" t="str">
        <f aca="false">MID(B376,10,1)</f>
        <v/>
      </c>
      <c r="G376" s="34" t="str">
        <f aca="false">MID(B376,11,1)</f>
        <v/>
      </c>
      <c r="H376" s="35" t="str">
        <f aca="false">IF(G376=".",F376,CONCATENATE(F376,G376))</f>
        <v/>
      </c>
      <c r="I376" s="34" t="n">
        <f aca="false">IFERROR(VALUE(H376),)</f>
        <v>0</v>
      </c>
      <c r="J376" s="34" t="e">
        <f aca="false">RIGHT(B376,LEN(B376)-FIND("/",B376, FIND("Single Cells",B376, 1)))</f>
        <v>#VALUE!</v>
      </c>
    </row>
    <row r="377" customFormat="false" ht="12.75" hidden="false" customHeight="true" outlineLevel="0" collapsed="false">
      <c r="E377" s="34" t="str">
        <f aca="false">MID(B377,9,1)</f>
        <v/>
      </c>
      <c r="F377" s="34" t="str">
        <f aca="false">MID(B377,10,1)</f>
        <v/>
      </c>
      <c r="G377" s="34" t="str">
        <f aca="false">MID(B377,11,1)</f>
        <v/>
      </c>
      <c r="H377" s="35" t="str">
        <f aca="false">IF(G377=".",F377,CONCATENATE(F377,G377))</f>
        <v/>
      </c>
      <c r="I377" s="34" t="n">
        <f aca="false">IFERROR(VALUE(H377),)</f>
        <v>0</v>
      </c>
      <c r="J377" s="34" t="e">
        <f aca="false">RIGHT(B377,LEN(B377)-FIND("/",B377, FIND("Single Cells",B377, 1)))</f>
        <v>#VALUE!</v>
      </c>
    </row>
    <row r="378" customFormat="false" ht="12.75" hidden="false" customHeight="true" outlineLevel="0" collapsed="false">
      <c r="E378" s="34" t="str">
        <f aca="false">MID(B378,9,1)</f>
        <v/>
      </c>
      <c r="F378" s="34" t="str">
        <f aca="false">MID(B378,10,1)</f>
        <v/>
      </c>
      <c r="G378" s="34" t="str">
        <f aca="false">MID(B378,11,1)</f>
        <v/>
      </c>
      <c r="H378" s="35" t="str">
        <f aca="false">IF(G378=".",F378,CONCATENATE(F378,G378))</f>
        <v/>
      </c>
      <c r="I378" s="34" t="n">
        <f aca="false">IFERROR(VALUE(H378),)</f>
        <v>0</v>
      </c>
      <c r="J378" s="34" t="e">
        <f aca="false">RIGHT(B378,LEN(B378)-FIND("/",B378, FIND("Single Cells",B378, 1)))</f>
        <v>#VALUE!</v>
      </c>
    </row>
    <row r="379" customFormat="false" ht="12.75" hidden="false" customHeight="true" outlineLevel="0" collapsed="false">
      <c r="E379" s="34" t="str">
        <f aca="false">MID(B379,9,1)</f>
        <v/>
      </c>
      <c r="F379" s="34" t="str">
        <f aca="false">MID(B379,10,1)</f>
        <v/>
      </c>
      <c r="G379" s="34" t="str">
        <f aca="false">MID(B379,11,1)</f>
        <v/>
      </c>
      <c r="H379" s="35" t="str">
        <f aca="false">IF(G379=".",F379,CONCATENATE(F379,G379))</f>
        <v/>
      </c>
      <c r="I379" s="34" t="n">
        <f aca="false">IFERROR(VALUE(H379),)</f>
        <v>0</v>
      </c>
      <c r="J379" s="34" t="e">
        <f aca="false">RIGHT(B379,LEN(B379)-FIND("/",B379, FIND("Single Cells",B379, 1)))</f>
        <v>#VALUE!</v>
      </c>
    </row>
    <row r="380" customFormat="false" ht="12.75" hidden="false" customHeight="true" outlineLevel="0" collapsed="false">
      <c r="E380" s="34" t="str">
        <f aca="false">MID(B380,9,1)</f>
        <v/>
      </c>
      <c r="F380" s="34" t="str">
        <f aca="false">MID(B380,10,1)</f>
        <v/>
      </c>
      <c r="G380" s="34" t="str">
        <f aca="false">MID(B380,11,1)</f>
        <v/>
      </c>
      <c r="H380" s="35" t="str">
        <f aca="false">IF(G380=".",F380,CONCATENATE(F380,G380))</f>
        <v/>
      </c>
      <c r="I380" s="34" t="n">
        <f aca="false">IFERROR(VALUE(H380),)</f>
        <v>0</v>
      </c>
      <c r="J380" s="34" t="e">
        <f aca="false">RIGHT(B380,LEN(B380)-FIND("/",B380, FIND("Single Cells",B380, 1)))</f>
        <v>#VALUE!</v>
      </c>
    </row>
    <row r="381" customFormat="false" ht="12.75" hidden="false" customHeight="true" outlineLevel="0" collapsed="false">
      <c r="E381" s="34" t="str">
        <f aca="false">MID(B381,9,1)</f>
        <v/>
      </c>
      <c r="F381" s="34" t="str">
        <f aca="false">MID(B381,10,1)</f>
        <v/>
      </c>
      <c r="G381" s="34" t="str">
        <f aca="false">MID(B381,11,1)</f>
        <v/>
      </c>
      <c r="H381" s="35" t="str">
        <f aca="false">IF(G381=".",F381,CONCATENATE(F381,G381))</f>
        <v/>
      </c>
      <c r="I381" s="34" t="n">
        <f aca="false">IFERROR(VALUE(H381),)</f>
        <v>0</v>
      </c>
      <c r="J381" s="34" t="e">
        <f aca="false">RIGHT(B381,LEN(B381)-FIND("/",B381, FIND("Single Cells",B381, 1)))</f>
        <v>#VALUE!</v>
      </c>
    </row>
    <row r="382" customFormat="false" ht="12.75" hidden="false" customHeight="true" outlineLevel="0" collapsed="false">
      <c r="E382" s="34" t="str">
        <f aca="false">MID(B382,9,1)</f>
        <v/>
      </c>
      <c r="F382" s="34" t="str">
        <f aca="false">MID(B382,10,1)</f>
        <v/>
      </c>
      <c r="G382" s="34" t="str">
        <f aca="false">MID(B382,11,1)</f>
        <v/>
      </c>
      <c r="H382" s="35" t="str">
        <f aca="false">IF(G382=".",F382,CONCATENATE(F382,G382))</f>
        <v/>
      </c>
      <c r="I382" s="34" t="n">
        <f aca="false">IFERROR(VALUE(H382),)</f>
        <v>0</v>
      </c>
      <c r="J382" s="34" t="e">
        <f aca="false">RIGHT(B382,LEN(B382)-FIND("/",B382, FIND("Single Cells",B382, 1)))</f>
        <v>#VALUE!</v>
      </c>
    </row>
    <row r="383" customFormat="false" ht="12.75" hidden="false" customHeight="true" outlineLevel="0" collapsed="false">
      <c r="E383" s="34" t="str">
        <f aca="false">MID(B383,9,1)</f>
        <v/>
      </c>
      <c r="F383" s="34" t="str">
        <f aca="false">MID(B383,10,1)</f>
        <v/>
      </c>
      <c r="G383" s="34" t="str">
        <f aca="false">MID(B383,11,1)</f>
        <v/>
      </c>
      <c r="H383" s="35" t="str">
        <f aca="false">IF(G383=".",F383,CONCATENATE(F383,G383))</f>
        <v/>
      </c>
      <c r="I383" s="34" t="n">
        <f aca="false">IFERROR(VALUE(H383),)</f>
        <v>0</v>
      </c>
      <c r="J383" s="34" t="e">
        <f aca="false">RIGHT(B383,LEN(B383)-FIND("/",B383, FIND("Single Cells",B383, 1)))</f>
        <v>#VALUE!</v>
      </c>
    </row>
    <row r="384" customFormat="false" ht="12.75" hidden="false" customHeight="true" outlineLevel="0" collapsed="false">
      <c r="E384" s="34" t="str">
        <f aca="false">MID(B384,9,1)</f>
        <v/>
      </c>
      <c r="F384" s="34" t="str">
        <f aca="false">MID(B384,10,1)</f>
        <v/>
      </c>
      <c r="G384" s="34" t="str">
        <f aca="false">MID(B384,11,1)</f>
        <v/>
      </c>
      <c r="H384" s="35" t="str">
        <f aca="false">IF(G384=".",F384,CONCATENATE(F384,G384))</f>
        <v/>
      </c>
      <c r="I384" s="34" t="n">
        <f aca="false">IFERROR(VALUE(H384),)</f>
        <v>0</v>
      </c>
      <c r="J384" s="34" t="e">
        <f aca="false">RIGHT(B384,LEN(B384)-FIND("/",B384, FIND("Single Cells",B384, 1)))</f>
        <v>#VALUE!</v>
      </c>
    </row>
    <row r="385" customFormat="false" ht="12.75" hidden="false" customHeight="true" outlineLevel="0" collapsed="false">
      <c r="E385" s="34" t="str">
        <f aca="false">MID(B385,9,1)</f>
        <v/>
      </c>
      <c r="F385" s="34" t="str">
        <f aca="false">MID(B385,10,1)</f>
        <v/>
      </c>
      <c r="G385" s="34" t="str">
        <f aca="false">MID(B385,11,1)</f>
        <v/>
      </c>
      <c r="H385" s="35" t="str">
        <f aca="false">IF(G385=".",F385,CONCATENATE(F385,G385))</f>
        <v/>
      </c>
      <c r="I385" s="34" t="n">
        <f aca="false">IFERROR(VALUE(H385),)</f>
        <v>0</v>
      </c>
      <c r="J385" s="34" t="e">
        <f aca="false">RIGHT(B385,LEN(B385)-FIND("/",B385, FIND("Single Cells",B385, 1)))</f>
        <v>#VALUE!</v>
      </c>
    </row>
    <row r="386" customFormat="false" ht="12.75" hidden="false" customHeight="true" outlineLevel="0" collapsed="false">
      <c r="E386" s="34" t="str">
        <f aca="false">MID(B386,9,1)</f>
        <v/>
      </c>
      <c r="F386" s="34" t="str">
        <f aca="false">MID(B386,10,1)</f>
        <v/>
      </c>
      <c r="G386" s="34" t="str">
        <f aca="false">MID(B386,11,1)</f>
        <v/>
      </c>
      <c r="H386" s="35" t="str">
        <f aca="false">IF(G386=".",F386,CONCATENATE(F386,G386))</f>
        <v/>
      </c>
      <c r="I386" s="34" t="n">
        <f aca="false">IFERROR(VALUE(H386),)</f>
        <v>0</v>
      </c>
      <c r="J386" s="34" t="e">
        <f aca="false">RIGHT(B386,LEN(B386)-FIND("/",B386, FIND("Single Cells",B386, 1)))</f>
        <v>#VALUE!</v>
      </c>
    </row>
    <row r="387" customFormat="false" ht="12.75" hidden="false" customHeight="true" outlineLevel="0" collapsed="false">
      <c r="E387" s="34" t="str">
        <f aca="false">MID(B387,9,1)</f>
        <v/>
      </c>
      <c r="F387" s="34" t="str">
        <f aca="false">MID(B387,10,1)</f>
        <v/>
      </c>
      <c r="G387" s="34" t="str">
        <f aca="false">MID(B387,11,1)</f>
        <v/>
      </c>
      <c r="H387" s="35" t="str">
        <f aca="false">IF(G387=".",F387,CONCATENATE(F387,G387))</f>
        <v/>
      </c>
      <c r="I387" s="34" t="n">
        <f aca="false">IFERROR(VALUE(H387),)</f>
        <v>0</v>
      </c>
      <c r="J387" s="34" t="e">
        <f aca="false">RIGHT(B387,LEN(B387)-FIND("/",B387, FIND("Single Cells",B387, 1)))</f>
        <v>#VALUE!</v>
      </c>
    </row>
    <row r="388" customFormat="false" ht="12.75" hidden="false" customHeight="true" outlineLevel="0" collapsed="false">
      <c r="E388" s="34" t="str">
        <f aca="false">MID(B388,9,1)</f>
        <v/>
      </c>
      <c r="F388" s="34" t="str">
        <f aca="false">MID(B388,10,1)</f>
        <v/>
      </c>
      <c r="G388" s="34" t="str">
        <f aca="false">MID(B388,11,1)</f>
        <v/>
      </c>
      <c r="H388" s="35" t="str">
        <f aca="false">IF(G388=".",F388,CONCATENATE(F388,G388))</f>
        <v/>
      </c>
      <c r="I388" s="34" t="n">
        <f aca="false">IFERROR(VALUE(H388),)</f>
        <v>0</v>
      </c>
      <c r="J388" s="34" t="e">
        <f aca="false">RIGHT(B388,LEN(B388)-FIND("/",B388, FIND("Single Cells",B388, 1)))</f>
        <v>#VALUE!</v>
      </c>
    </row>
    <row r="389" customFormat="false" ht="12.75" hidden="false" customHeight="true" outlineLevel="0" collapsed="false">
      <c r="E389" s="34" t="str">
        <f aca="false">MID(B389,9,1)</f>
        <v/>
      </c>
      <c r="F389" s="34" t="str">
        <f aca="false">MID(B389,10,1)</f>
        <v/>
      </c>
      <c r="G389" s="34" t="str">
        <f aca="false">MID(B389,11,1)</f>
        <v/>
      </c>
      <c r="H389" s="35" t="str">
        <f aca="false">IF(G389=".",F389,CONCATENATE(F389,G389))</f>
        <v/>
      </c>
      <c r="I389" s="34" t="n">
        <f aca="false">IFERROR(VALUE(H389),)</f>
        <v>0</v>
      </c>
      <c r="J389" s="34" t="e">
        <f aca="false">RIGHT(B389,LEN(B389)-FIND("/",B389, FIND("Single Cells",B389, 1)))</f>
        <v>#VALUE!</v>
      </c>
    </row>
    <row r="390" customFormat="false" ht="12.75" hidden="false" customHeight="true" outlineLevel="0" collapsed="false">
      <c r="E390" s="34" t="str">
        <f aca="false">MID(B390,9,1)</f>
        <v/>
      </c>
      <c r="F390" s="34" t="str">
        <f aca="false">MID(B390,10,1)</f>
        <v/>
      </c>
      <c r="G390" s="34" t="str">
        <f aca="false">MID(B390,11,1)</f>
        <v/>
      </c>
      <c r="H390" s="35" t="str">
        <f aca="false">IF(G390=".",F390,CONCATENATE(F390,G390))</f>
        <v/>
      </c>
      <c r="I390" s="34" t="n">
        <f aca="false">IFERROR(VALUE(H390),)</f>
        <v>0</v>
      </c>
      <c r="J390" s="34" t="e">
        <f aca="false">RIGHT(B390,LEN(B390)-FIND("/",B390, FIND("Single Cells",B390, 1)))</f>
        <v>#VALUE!</v>
      </c>
    </row>
    <row r="391" customFormat="false" ht="12.75" hidden="false" customHeight="true" outlineLevel="0" collapsed="false">
      <c r="E391" s="34" t="str">
        <f aca="false">MID(B391,9,1)</f>
        <v/>
      </c>
      <c r="F391" s="34" t="str">
        <f aca="false">MID(B391,10,1)</f>
        <v/>
      </c>
      <c r="G391" s="34" t="str">
        <f aca="false">MID(B391,11,1)</f>
        <v/>
      </c>
      <c r="H391" s="35" t="str">
        <f aca="false">IF(G391=".",F391,CONCATENATE(F391,G391))</f>
        <v/>
      </c>
      <c r="I391" s="34" t="n">
        <f aca="false">IFERROR(VALUE(H391),)</f>
        <v>0</v>
      </c>
      <c r="J391" s="34" t="e">
        <f aca="false">RIGHT(B391,LEN(B391)-FIND("/",B391, FIND("Single Cells",B391, 1)))</f>
        <v>#VALUE!</v>
      </c>
    </row>
    <row r="392" customFormat="false" ht="12.75" hidden="false" customHeight="true" outlineLevel="0" collapsed="false">
      <c r="E392" s="34" t="str">
        <f aca="false">MID(B392,9,1)</f>
        <v/>
      </c>
      <c r="F392" s="34" t="str">
        <f aca="false">MID(B392,10,1)</f>
        <v/>
      </c>
      <c r="G392" s="34" t="str">
        <f aca="false">MID(B392,11,1)</f>
        <v/>
      </c>
      <c r="H392" s="35" t="str">
        <f aca="false">IF(G392=".",F392,CONCATENATE(F392,G392))</f>
        <v/>
      </c>
      <c r="I392" s="34" t="n">
        <f aca="false">IFERROR(VALUE(H392),)</f>
        <v>0</v>
      </c>
      <c r="J392" s="34" t="e">
        <f aca="false">RIGHT(B392,LEN(B392)-FIND("/",B392, FIND("Single Cells",B392, 1)))</f>
        <v>#VALUE!</v>
      </c>
    </row>
    <row r="393" customFormat="false" ht="12.75" hidden="false" customHeight="true" outlineLevel="0" collapsed="false">
      <c r="E393" s="34" t="str">
        <f aca="false">MID(B393,9,1)</f>
        <v/>
      </c>
      <c r="F393" s="34" t="str">
        <f aca="false">MID(B393,10,1)</f>
        <v/>
      </c>
      <c r="G393" s="34" t="str">
        <f aca="false">MID(B393,11,1)</f>
        <v/>
      </c>
      <c r="H393" s="35" t="str">
        <f aca="false">IF(G393=".",F393,CONCATENATE(F393,G393))</f>
        <v/>
      </c>
      <c r="I393" s="34" t="n">
        <f aca="false">IFERROR(VALUE(H393),)</f>
        <v>0</v>
      </c>
      <c r="J393" s="34" t="e">
        <f aca="false">RIGHT(B393,LEN(B393)-FIND("/",B393, FIND("Single Cells",B393, 1)))</f>
        <v>#VALUE!</v>
      </c>
    </row>
    <row r="394" customFormat="false" ht="12.75" hidden="false" customHeight="true" outlineLevel="0" collapsed="false">
      <c r="E394" s="34" t="str">
        <f aca="false">MID(B394,9,1)</f>
        <v/>
      </c>
      <c r="F394" s="34" t="str">
        <f aca="false">MID(B394,10,1)</f>
        <v/>
      </c>
      <c r="G394" s="34" t="str">
        <f aca="false">MID(B394,11,1)</f>
        <v/>
      </c>
      <c r="H394" s="35" t="str">
        <f aca="false">IF(G394=".",F394,CONCATENATE(F394,G394))</f>
        <v/>
      </c>
      <c r="I394" s="34" t="n">
        <f aca="false">IFERROR(VALUE(H394),)</f>
        <v>0</v>
      </c>
      <c r="J394" s="34" t="e">
        <f aca="false">RIGHT(B394,LEN(B394)-FIND("/",B394, FIND("Single Cells",B394, 1)))</f>
        <v>#VALUE!</v>
      </c>
    </row>
    <row r="395" customFormat="false" ht="12.75" hidden="false" customHeight="true" outlineLevel="0" collapsed="false">
      <c r="E395" s="34" t="str">
        <f aca="false">MID(B395,9,1)</f>
        <v/>
      </c>
      <c r="F395" s="34" t="str">
        <f aca="false">MID(B395,10,1)</f>
        <v/>
      </c>
      <c r="G395" s="34" t="str">
        <f aca="false">MID(B395,11,1)</f>
        <v/>
      </c>
      <c r="H395" s="35" t="str">
        <f aca="false">IF(G395=".",F395,CONCATENATE(F395,G395))</f>
        <v/>
      </c>
      <c r="I395" s="34" t="n">
        <f aca="false">IFERROR(VALUE(H395),)</f>
        <v>0</v>
      </c>
      <c r="J395" s="34" t="e">
        <f aca="false">RIGHT(B395,LEN(B395)-FIND("/",B395, FIND("Single Cells",B395, 1)))</f>
        <v>#VALUE!</v>
      </c>
    </row>
    <row r="396" customFormat="false" ht="12.75" hidden="false" customHeight="true" outlineLevel="0" collapsed="false">
      <c r="E396" s="34" t="str">
        <f aca="false">MID(B396,9,1)</f>
        <v/>
      </c>
      <c r="F396" s="34" t="str">
        <f aca="false">MID(B396,10,1)</f>
        <v/>
      </c>
      <c r="G396" s="34" t="str">
        <f aca="false">MID(B396,11,1)</f>
        <v/>
      </c>
      <c r="H396" s="35" t="str">
        <f aca="false">IF(G396=".",F396,CONCATENATE(F396,G396))</f>
        <v/>
      </c>
      <c r="I396" s="34" t="n">
        <f aca="false">IFERROR(VALUE(H396),)</f>
        <v>0</v>
      </c>
      <c r="J396" s="34" t="e">
        <f aca="false">RIGHT(B396,LEN(B396)-FIND("/",B396, FIND("Single Cells",B396, 1)))</f>
        <v>#VALUE!</v>
      </c>
    </row>
    <row r="397" customFormat="false" ht="12.75" hidden="false" customHeight="true" outlineLevel="0" collapsed="false">
      <c r="E397" s="34" t="str">
        <f aca="false">MID(B397,9,1)</f>
        <v/>
      </c>
      <c r="F397" s="34" t="str">
        <f aca="false">MID(B397,10,1)</f>
        <v/>
      </c>
      <c r="G397" s="34" t="str">
        <f aca="false">MID(B397,11,1)</f>
        <v/>
      </c>
      <c r="H397" s="35" t="str">
        <f aca="false">IF(G397=".",F397,CONCATENATE(F397,G397))</f>
        <v/>
      </c>
      <c r="I397" s="34" t="n">
        <f aca="false">IFERROR(VALUE(H397),)</f>
        <v>0</v>
      </c>
      <c r="J397" s="34" t="e">
        <f aca="false">RIGHT(B397,LEN(B397)-FIND("/",B397, FIND("Single Cells",B397, 1)))</f>
        <v>#VALUE!</v>
      </c>
    </row>
    <row r="398" customFormat="false" ht="12.75" hidden="false" customHeight="true" outlineLevel="0" collapsed="false">
      <c r="E398" s="34" t="str">
        <f aca="false">MID(B398,9,1)</f>
        <v/>
      </c>
      <c r="F398" s="34" t="str">
        <f aca="false">MID(B398,10,1)</f>
        <v/>
      </c>
      <c r="G398" s="34" t="str">
        <f aca="false">MID(B398,11,1)</f>
        <v/>
      </c>
      <c r="H398" s="35" t="str">
        <f aca="false">IF(G398=".",F398,CONCATENATE(F398,G398))</f>
        <v/>
      </c>
      <c r="I398" s="34" t="n">
        <f aca="false">IFERROR(VALUE(H398),)</f>
        <v>0</v>
      </c>
      <c r="J398" s="34" t="e">
        <f aca="false">RIGHT(B398,LEN(B398)-FIND("/",B398, FIND("Single Cells",B398, 1)))</f>
        <v>#VALUE!</v>
      </c>
    </row>
    <row r="399" customFormat="false" ht="12.75" hidden="false" customHeight="true" outlineLevel="0" collapsed="false">
      <c r="E399" s="34" t="str">
        <f aca="false">MID(B399,9,1)</f>
        <v/>
      </c>
      <c r="F399" s="34" t="str">
        <f aca="false">MID(B399,10,1)</f>
        <v/>
      </c>
      <c r="G399" s="34" t="str">
        <f aca="false">MID(B399,11,1)</f>
        <v/>
      </c>
      <c r="H399" s="35" t="str">
        <f aca="false">IF(G399=".",F399,CONCATENATE(F399,G399))</f>
        <v/>
      </c>
      <c r="I399" s="34" t="n">
        <f aca="false">IFERROR(VALUE(H399),)</f>
        <v>0</v>
      </c>
      <c r="J399" s="34" t="e">
        <f aca="false">RIGHT(B399,LEN(B399)-FIND("/",B399, FIND("Single Cells",B399, 1)))</f>
        <v>#VALUE!</v>
      </c>
    </row>
    <row r="400" customFormat="false" ht="12.75" hidden="false" customHeight="true" outlineLevel="0" collapsed="false">
      <c r="E400" s="34" t="str">
        <f aca="false">MID(B400,9,1)</f>
        <v/>
      </c>
      <c r="F400" s="34" t="str">
        <f aca="false">MID(B400,10,1)</f>
        <v/>
      </c>
      <c r="G400" s="34" t="str">
        <f aca="false">MID(B400,11,1)</f>
        <v/>
      </c>
      <c r="H400" s="35" t="str">
        <f aca="false">IF(G400=".",F400,CONCATENATE(F400,G400))</f>
        <v/>
      </c>
      <c r="I400" s="34" t="n">
        <f aca="false">IFERROR(VALUE(H400),)</f>
        <v>0</v>
      </c>
      <c r="J400" s="34" t="e">
        <f aca="false">RIGHT(B400,LEN(B400)-FIND("/",B400, FIND("Single Cells",B400, 1)))</f>
        <v>#VALUE!</v>
      </c>
    </row>
    <row r="401" customFormat="false" ht="12.75" hidden="false" customHeight="true" outlineLevel="0" collapsed="false">
      <c r="E401" s="34" t="str">
        <f aca="false">MID(B401,9,1)</f>
        <v/>
      </c>
      <c r="F401" s="34" t="str">
        <f aca="false">MID(B401,10,1)</f>
        <v/>
      </c>
      <c r="G401" s="34" t="str">
        <f aca="false">MID(B401,11,1)</f>
        <v/>
      </c>
      <c r="H401" s="35" t="str">
        <f aca="false">IF(G401=".",F401,CONCATENATE(F401,G401))</f>
        <v/>
      </c>
      <c r="I401" s="34" t="n">
        <f aca="false">IFERROR(VALUE(H401),)</f>
        <v>0</v>
      </c>
      <c r="J401" s="34" t="e">
        <f aca="false">RIGHT(B401,LEN(B401)-FIND("/",B401, FIND("Single Cells",B401, 1)))</f>
        <v>#VALUE!</v>
      </c>
    </row>
    <row r="402" customFormat="false" ht="12.75" hidden="false" customHeight="true" outlineLevel="0" collapsed="false">
      <c r="E402" s="34" t="str">
        <f aca="false">MID(B402,9,1)</f>
        <v/>
      </c>
      <c r="F402" s="34" t="str">
        <f aca="false">MID(B402,10,1)</f>
        <v/>
      </c>
      <c r="G402" s="34" t="str">
        <f aca="false">MID(B402,11,1)</f>
        <v/>
      </c>
      <c r="H402" s="35" t="str">
        <f aca="false">IF(G402=".",F402,CONCATENATE(F402,G402))</f>
        <v/>
      </c>
      <c r="I402" s="34" t="n">
        <f aca="false">IFERROR(VALUE(H402),)</f>
        <v>0</v>
      </c>
      <c r="J402" s="34" t="e">
        <f aca="false">RIGHT(B402,LEN(B402)-FIND("/",B402, FIND("Single Cells",B402, 1)))</f>
        <v>#VALUE!</v>
      </c>
    </row>
    <row r="403" customFormat="false" ht="12.75" hidden="false" customHeight="true" outlineLevel="0" collapsed="false">
      <c r="E403" s="34" t="str">
        <f aca="false">MID(B403,9,1)</f>
        <v/>
      </c>
      <c r="F403" s="34" t="str">
        <f aca="false">MID(B403,10,1)</f>
        <v/>
      </c>
      <c r="G403" s="34" t="str">
        <f aca="false">MID(B403,11,1)</f>
        <v/>
      </c>
      <c r="H403" s="35" t="str">
        <f aca="false">IF(G403=".",F403,CONCATENATE(F403,G403))</f>
        <v/>
      </c>
      <c r="I403" s="34" t="n">
        <f aca="false">IFERROR(VALUE(H403),)</f>
        <v>0</v>
      </c>
      <c r="J403" s="34" t="e">
        <f aca="false">RIGHT(B403,LEN(B403)-FIND("/",B403, FIND("Single Cells",B403, 1)))</f>
        <v>#VALUE!</v>
      </c>
    </row>
    <row r="404" customFormat="false" ht="12.75" hidden="false" customHeight="true" outlineLevel="0" collapsed="false">
      <c r="E404" s="34" t="str">
        <f aca="false">MID(B404,9,1)</f>
        <v/>
      </c>
      <c r="F404" s="34" t="str">
        <f aca="false">MID(B404,10,1)</f>
        <v/>
      </c>
      <c r="G404" s="34" t="str">
        <f aca="false">MID(B404,11,1)</f>
        <v/>
      </c>
      <c r="H404" s="35" t="str">
        <f aca="false">IF(G404=".",F404,CONCATENATE(F404,G404))</f>
        <v/>
      </c>
      <c r="I404" s="34" t="n">
        <f aca="false">IFERROR(VALUE(H404),)</f>
        <v>0</v>
      </c>
      <c r="J404" s="34" t="e">
        <f aca="false">RIGHT(B404,LEN(B404)-FIND("/",B404, FIND("Single Cells",B404, 1)))</f>
        <v>#VALUE!</v>
      </c>
    </row>
    <row r="405" customFormat="false" ht="12.75" hidden="false" customHeight="true" outlineLevel="0" collapsed="false">
      <c r="E405" s="34" t="str">
        <f aca="false">MID(B405,9,1)</f>
        <v/>
      </c>
      <c r="F405" s="34" t="str">
        <f aca="false">MID(B405,10,1)</f>
        <v/>
      </c>
      <c r="G405" s="34" t="str">
        <f aca="false">MID(B405,11,1)</f>
        <v/>
      </c>
      <c r="H405" s="35" t="str">
        <f aca="false">IF(G405=".",F405,CONCATENATE(F405,G405))</f>
        <v/>
      </c>
      <c r="I405" s="34" t="n">
        <f aca="false">IFERROR(VALUE(H405),)</f>
        <v>0</v>
      </c>
      <c r="J405" s="34" t="e">
        <f aca="false">RIGHT(B405,LEN(B405)-FIND("/",B405, FIND("Single Cells",B405, 1)))</f>
        <v>#VALUE!</v>
      </c>
    </row>
    <row r="406" customFormat="false" ht="12.75" hidden="false" customHeight="true" outlineLevel="0" collapsed="false">
      <c r="E406" s="34" t="str">
        <f aca="false">MID(B406,9,1)</f>
        <v/>
      </c>
      <c r="F406" s="34" t="str">
        <f aca="false">MID(B406,10,1)</f>
        <v/>
      </c>
      <c r="G406" s="34" t="str">
        <f aca="false">MID(B406,11,1)</f>
        <v/>
      </c>
      <c r="H406" s="35" t="str">
        <f aca="false">IF(G406=".",F406,CONCATENATE(F406,G406))</f>
        <v/>
      </c>
      <c r="I406" s="34" t="n">
        <f aca="false">IFERROR(VALUE(H406),)</f>
        <v>0</v>
      </c>
      <c r="J406" s="34" t="e">
        <f aca="false">RIGHT(B406,LEN(B406)-FIND("/",B406, FIND("Single Cells",B406, 1)))</f>
        <v>#VALUE!</v>
      </c>
    </row>
    <row r="407" customFormat="false" ht="12.75" hidden="false" customHeight="true" outlineLevel="0" collapsed="false">
      <c r="E407" s="34" t="str">
        <f aca="false">MID(B407,9,1)</f>
        <v/>
      </c>
      <c r="F407" s="34" t="str">
        <f aca="false">MID(B407,10,1)</f>
        <v/>
      </c>
      <c r="G407" s="34" t="str">
        <f aca="false">MID(B407,11,1)</f>
        <v/>
      </c>
      <c r="H407" s="35" t="str">
        <f aca="false">IF(G407=".",F407,CONCATENATE(F407,G407))</f>
        <v/>
      </c>
      <c r="I407" s="34" t="n">
        <f aca="false">IFERROR(VALUE(H407),)</f>
        <v>0</v>
      </c>
      <c r="J407" s="34" t="e">
        <f aca="false">RIGHT(B407,LEN(B407)-FIND("/",B407, FIND("Single Cells",B407, 1)))</f>
        <v>#VALUE!</v>
      </c>
    </row>
    <row r="408" customFormat="false" ht="12.75" hidden="false" customHeight="true" outlineLevel="0" collapsed="false">
      <c r="E408" s="34" t="str">
        <f aca="false">MID(B408,9,1)</f>
        <v/>
      </c>
      <c r="F408" s="34" t="str">
        <f aca="false">MID(B408,10,1)</f>
        <v/>
      </c>
      <c r="G408" s="34" t="str">
        <f aca="false">MID(B408,11,1)</f>
        <v/>
      </c>
      <c r="H408" s="35" t="str">
        <f aca="false">IF(G408=".",F408,CONCATENATE(F408,G408))</f>
        <v/>
      </c>
      <c r="I408" s="34" t="n">
        <f aca="false">IFERROR(VALUE(H408),)</f>
        <v>0</v>
      </c>
      <c r="J408" s="34" t="e">
        <f aca="false">RIGHT(B408,LEN(B408)-FIND("/",B408, FIND("Single Cells",B408, 1)))</f>
        <v>#VALUE!</v>
      </c>
    </row>
    <row r="409" customFormat="false" ht="12.75" hidden="false" customHeight="true" outlineLevel="0" collapsed="false">
      <c r="E409" s="34" t="str">
        <f aca="false">MID(B409,9,1)</f>
        <v/>
      </c>
      <c r="F409" s="34" t="str">
        <f aca="false">MID(B409,10,1)</f>
        <v/>
      </c>
      <c r="G409" s="34" t="str">
        <f aca="false">MID(B409,11,1)</f>
        <v/>
      </c>
      <c r="H409" s="35" t="str">
        <f aca="false">IF(G409=".",F409,CONCATENATE(F409,G409))</f>
        <v/>
      </c>
      <c r="I409" s="34" t="n">
        <f aca="false">IFERROR(VALUE(H409),)</f>
        <v>0</v>
      </c>
      <c r="J409" s="34" t="e">
        <f aca="false">RIGHT(B409,LEN(B409)-FIND("/",B409, FIND("Single Cells",B409, 1)))</f>
        <v>#VALUE!</v>
      </c>
    </row>
    <row r="410" customFormat="false" ht="12.75" hidden="false" customHeight="true" outlineLevel="0" collapsed="false">
      <c r="E410" s="34" t="str">
        <f aca="false">MID(B410,9,1)</f>
        <v/>
      </c>
      <c r="F410" s="34" t="str">
        <f aca="false">MID(B410,10,1)</f>
        <v/>
      </c>
      <c r="G410" s="34" t="str">
        <f aca="false">MID(B410,11,1)</f>
        <v/>
      </c>
      <c r="H410" s="35" t="str">
        <f aca="false">IF(G410=".",F410,CONCATENATE(F410,G410))</f>
        <v/>
      </c>
      <c r="I410" s="34" t="n">
        <f aca="false">IFERROR(VALUE(H410),)</f>
        <v>0</v>
      </c>
      <c r="J410" s="34" t="e">
        <f aca="false">RIGHT(B410,LEN(B410)-FIND("/",B410, FIND("Single Cells",B410, 1)))</f>
        <v>#VALUE!</v>
      </c>
    </row>
    <row r="411" customFormat="false" ht="12.75" hidden="false" customHeight="true" outlineLevel="0" collapsed="false">
      <c r="E411" s="34" t="str">
        <f aca="false">MID(B411,9,1)</f>
        <v/>
      </c>
      <c r="F411" s="34" t="str">
        <f aca="false">MID(B411,10,1)</f>
        <v/>
      </c>
      <c r="G411" s="34" t="str">
        <f aca="false">MID(B411,11,1)</f>
        <v/>
      </c>
      <c r="H411" s="35" t="str">
        <f aca="false">IF(G411=".",F411,CONCATENATE(F411,G411))</f>
        <v/>
      </c>
      <c r="I411" s="34" t="n">
        <f aca="false">IFERROR(VALUE(H411),)</f>
        <v>0</v>
      </c>
      <c r="J411" s="34" t="e">
        <f aca="false">RIGHT(B411,LEN(B411)-FIND("/",B411, FIND("Single Cells",B411, 1)))</f>
        <v>#VALUE!</v>
      </c>
    </row>
    <row r="412" customFormat="false" ht="12.75" hidden="false" customHeight="true" outlineLevel="0" collapsed="false">
      <c r="E412" s="34" t="str">
        <f aca="false">MID(B412,9,1)</f>
        <v/>
      </c>
      <c r="F412" s="34" t="str">
        <f aca="false">MID(B412,10,1)</f>
        <v/>
      </c>
      <c r="G412" s="34" t="str">
        <f aca="false">MID(B412,11,1)</f>
        <v/>
      </c>
      <c r="H412" s="35" t="str">
        <f aca="false">IF(G412=".",F412,CONCATENATE(F412,G412))</f>
        <v/>
      </c>
      <c r="I412" s="34" t="n">
        <f aca="false">IFERROR(VALUE(H412),)</f>
        <v>0</v>
      </c>
      <c r="J412" s="34" t="e">
        <f aca="false">RIGHT(B412,LEN(B412)-FIND("/",B412, FIND("Single Cells",B412, 1)))</f>
        <v>#VALUE!</v>
      </c>
    </row>
    <row r="413" customFormat="false" ht="12.75" hidden="false" customHeight="true" outlineLevel="0" collapsed="false">
      <c r="E413" s="34" t="str">
        <f aca="false">MID(B413,9,1)</f>
        <v/>
      </c>
      <c r="F413" s="34" t="str">
        <f aca="false">MID(B413,10,1)</f>
        <v/>
      </c>
      <c r="G413" s="34" t="str">
        <f aca="false">MID(B413,11,1)</f>
        <v/>
      </c>
      <c r="H413" s="35" t="str">
        <f aca="false">IF(G413=".",F413,CONCATENATE(F413,G413))</f>
        <v/>
      </c>
      <c r="I413" s="34" t="n">
        <f aca="false">IFERROR(VALUE(H413),)</f>
        <v>0</v>
      </c>
      <c r="J413" s="34" t="e">
        <f aca="false">RIGHT(B413,LEN(B413)-FIND("/",B413, FIND("Single Cells",B413, 1)))</f>
        <v>#VALUE!</v>
      </c>
    </row>
    <row r="414" customFormat="false" ht="12.75" hidden="false" customHeight="true" outlineLevel="0" collapsed="false">
      <c r="E414" s="34" t="str">
        <f aca="false">MID(B414,9,1)</f>
        <v/>
      </c>
      <c r="F414" s="34" t="str">
        <f aca="false">MID(B414,10,1)</f>
        <v/>
      </c>
      <c r="G414" s="34" t="str">
        <f aca="false">MID(B414,11,1)</f>
        <v/>
      </c>
      <c r="H414" s="35" t="str">
        <f aca="false">IF(G414=".",F414,CONCATENATE(F414,G414))</f>
        <v/>
      </c>
      <c r="I414" s="34" t="n">
        <f aca="false">IFERROR(VALUE(H414),)</f>
        <v>0</v>
      </c>
      <c r="J414" s="34" t="e">
        <f aca="false">RIGHT(B414,LEN(B414)-FIND("/",B414, FIND("Single Cells",B414, 1)))</f>
        <v>#VALUE!</v>
      </c>
    </row>
    <row r="415" customFormat="false" ht="12.75" hidden="false" customHeight="true" outlineLevel="0" collapsed="false">
      <c r="E415" s="34" t="str">
        <f aca="false">MID(B415,9,1)</f>
        <v/>
      </c>
      <c r="F415" s="34" t="str">
        <f aca="false">MID(B415,10,1)</f>
        <v/>
      </c>
      <c r="G415" s="34" t="str">
        <f aca="false">MID(B415,11,1)</f>
        <v/>
      </c>
      <c r="H415" s="35" t="str">
        <f aca="false">IF(G415=".",F415,CONCATENATE(F415,G415))</f>
        <v/>
      </c>
      <c r="I415" s="34" t="n">
        <f aca="false">IFERROR(VALUE(H415),)</f>
        <v>0</v>
      </c>
      <c r="J415" s="34" t="e">
        <f aca="false">RIGHT(B415,LEN(B415)-FIND("/",B415, FIND("Single Cells",B415, 1)))</f>
        <v>#VALUE!</v>
      </c>
    </row>
    <row r="416" customFormat="false" ht="12.75" hidden="false" customHeight="true" outlineLevel="0" collapsed="false">
      <c r="E416" s="34" t="str">
        <f aca="false">MID(B416,9,1)</f>
        <v/>
      </c>
      <c r="F416" s="34" t="str">
        <f aca="false">MID(B416,10,1)</f>
        <v/>
      </c>
      <c r="G416" s="34" t="str">
        <f aca="false">MID(B416,11,1)</f>
        <v/>
      </c>
      <c r="H416" s="35" t="str">
        <f aca="false">IF(G416=".",F416,CONCATENATE(F416,G416))</f>
        <v/>
      </c>
      <c r="I416" s="34" t="n">
        <f aca="false">IFERROR(VALUE(H416),)</f>
        <v>0</v>
      </c>
      <c r="J416" s="34" t="e">
        <f aca="false">RIGHT(B416,LEN(B416)-FIND("/",B416, FIND("Single Cells",B416, 1)))</f>
        <v>#VALUE!</v>
      </c>
    </row>
    <row r="417" customFormat="false" ht="12.75" hidden="false" customHeight="true" outlineLevel="0" collapsed="false">
      <c r="E417" s="34" t="str">
        <f aca="false">MID(B417,9,1)</f>
        <v/>
      </c>
      <c r="F417" s="34" t="str">
        <f aca="false">MID(B417,10,1)</f>
        <v/>
      </c>
      <c r="G417" s="34" t="str">
        <f aca="false">MID(B417,11,1)</f>
        <v/>
      </c>
      <c r="H417" s="35" t="str">
        <f aca="false">IF(G417=".",F417,CONCATENATE(F417,G417))</f>
        <v/>
      </c>
      <c r="I417" s="34" t="n">
        <f aca="false">IFERROR(VALUE(H417),)</f>
        <v>0</v>
      </c>
      <c r="J417" s="34" t="e">
        <f aca="false">RIGHT(B417,LEN(B417)-FIND("/",B417, FIND("Single Cells",B417, 1)))</f>
        <v>#VALUE!</v>
      </c>
    </row>
    <row r="418" customFormat="false" ht="12.75" hidden="false" customHeight="true" outlineLevel="0" collapsed="false">
      <c r="E418" s="34" t="str">
        <f aca="false">MID(B418,9,1)</f>
        <v/>
      </c>
      <c r="F418" s="34" t="str">
        <f aca="false">MID(B418,10,1)</f>
        <v/>
      </c>
      <c r="G418" s="34" t="str">
        <f aca="false">MID(B418,11,1)</f>
        <v/>
      </c>
      <c r="H418" s="35" t="str">
        <f aca="false">IF(G418=".",F418,CONCATENATE(F418,G418))</f>
        <v/>
      </c>
      <c r="I418" s="34" t="n">
        <f aca="false">IFERROR(VALUE(H418),)</f>
        <v>0</v>
      </c>
      <c r="J418" s="34" t="e">
        <f aca="false">RIGHT(B418,LEN(B418)-FIND("/",B418, FIND("Single Cells",B418, 1)))</f>
        <v>#VALUE!</v>
      </c>
    </row>
    <row r="419" customFormat="false" ht="12.75" hidden="false" customHeight="true" outlineLevel="0" collapsed="false">
      <c r="E419" s="34" t="str">
        <f aca="false">MID(B419,9,1)</f>
        <v/>
      </c>
      <c r="F419" s="34" t="str">
        <f aca="false">MID(B419,10,1)</f>
        <v/>
      </c>
      <c r="G419" s="34" t="str">
        <f aca="false">MID(B419,11,1)</f>
        <v/>
      </c>
      <c r="H419" s="35" t="str">
        <f aca="false">IF(G419=".",F419,CONCATENATE(F419,G419))</f>
        <v/>
      </c>
      <c r="I419" s="34" t="n">
        <f aca="false">IFERROR(VALUE(H419),)</f>
        <v>0</v>
      </c>
      <c r="J419" s="34" t="e">
        <f aca="false">RIGHT(B419,LEN(B419)-FIND("/",B419, FIND("Single Cells",B419, 1)))</f>
        <v>#VALUE!</v>
      </c>
    </row>
    <row r="420" customFormat="false" ht="12.75" hidden="false" customHeight="true" outlineLevel="0" collapsed="false">
      <c r="E420" s="34" t="str">
        <f aca="false">MID(B420,9,1)</f>
        <v/>
      </c>
      <c r="F420" s="34" t="str">
        <f aca="false">MID(B420,10,1)</f>
        <v/>
      </c>
      <c r="G420" s="34" t="str">
        <f aca="false">MID(B420,11,1)</f>
        <v/>
      </c>
      <c r="H420" s="35" t="str">
        <f aca="false">IF(G420=".",F420,CONCATENATE(F420,G420))</f>
        <v/>
      </c>
      <c r="I420" s="34" t="n">
        <f aca="false">IFERROR(VALUE(H420),)</f>
        <v>0</v>
      </c>
      <c r="J420" s="34" t="e">
        <f aca="false">RIGHT(B420,LEN(B420)-FIND("/",B420, FIND("Single Cells",B420, 1)))</f>
        <v>#VALUE!</v>
      </c>
    </row>
    <row r="421" customFormat="false" ht="12.75" hidden="false" customHeight="true" outlineLevel="0" collapsed="false">
      <c r="E421" s="34" t="str">
        <f aca="false">MID(B421,9,1)</f>
        <v/>
      </c>
      <c r="F421" s="34" t="str">
        <f aca="false">MID(B421,10,1)</f>
        <v/>
      </c>
      <c r="G421" s="34" t="str">
        <f aca="false">MID(B421,11,1)</f>
        <v/>
      </c>
      <c r="H421" s="35" t="str">
        <f aca="false">IF(G421=".",F421,CONCATENATE(F421,G421))</f>
        <v/>
      </c>
      <c r="I421" s="34" t="n">
        <f aca="false">IFERROR(VALUE(H421),)</f>
        <v>0</v>
      </c>
      <c r="J421" s="34" t="e">
        <f aca="false">RIGHT(B421,LEN(B421)-FIND("/",B421, FIND("Single Cells",B421, 1)))</f>
        <v>#VALUE!</v>
      </c>
    </row>
    <row r="422" customFormat="false" ht="12.75" hidden="false" customHeight="true" outlineLevel="0" collapsed="false">
      <c r="E422" s="34" t="str">
        <f aca="false">MID(B422,9,1)</f>
        <v/>
      </c>
      <c r="F422" s="34" t="str">
        <f aca="false">MID(B422,10,1)</f>
        <v/>
      </c>
      <c r="G422" s="34" t="str">
        <f aca="false">MID(B422,11,1)</f>
        <v/>
      </c>
      <c r="H422" s="35" t="str">
        <f aca="false">IF(G422=".",F422,CONCATENATE(F422,G422))</f>
        <v/>
      </c>
      <c r="I422" s="34" t="n">
        <f aca="false">IFERROR(VALUE(H422),)</f>
        <v>0</v>
      </c>
      <c r="J422" s="34" t="e">
        <f aca="false">RIGHT(B422,LEN(B422)-FIND("/",B422, FIND("Single Cells",B422, 1)))</f>
        <v>#VALUE!</v>
      </c>
    </row>
    <row r="423" customFormat="false" ht="12.75" hidden="false" customHeight="true" outlineLevel="0" collapsed="false">
      <c r="E423" s="34" t="str">
        <f aca="false">MID(B423,9,1)</f>
        <v/>
      </c>
      <c r="F423" s="34" t="str">
        <f aca="false">MID(B423,10,1)</f>
        <v/>
      </c>
      <c r="G423" s="34" t="str">
        <f aca="false">MID(B423,11,1)</f>
        <v/>
      </c>
      <c r="H423" s="35" t="str">
        <f aca="false">IF(G423=".",F423,CONCATENATE(F423,G423))</f>
        <v/>
      </c>
      <c r="I423" s="34" t="n">
        <f aca="false">IFERROR(VALUE(H423),)</f>
        <v>0</v>
      </c>
      <c r="J423" s="34" t="e">
        <f aca="false">RIGHT(B423,LEN(B423)-FIND("/",B423, FIND("Single Cells",B423, 1)))</f>
        <v>#VALUE!</v>
      </c>
    </row>
    <row r="424" customFormat="false" ht="12.75" hidden="false" customHeight="true" outlineLevel="0" collapsed="false">
      <c r="E424" s="34" t="str">
        <f aca="false">MID(B424,9,1)</f>
        <v/>
      </c>
      <c r="F424" s="34" t="str">
        <f aca="false">MID(B424,10,1)</f>
        <v/>
      </c>
      <c r="G424" s="34" t="str">
        <f aca="false">MID(B424,11,1)</f>
        <v/>
      </c>
      <c r="H424" s="35" t="str">
        <f aca="false">IF(G424=".",F424,CONCATENATE(F424,G424))</f>
        <v/>
      </c>
      <c r="I424" s="34" t="n">
        <f aca="false">IFERROR(VALUE(H424),)</f>
        <v>0</v>
      </c>
      <c r="J424" s="34" t="e">
        <f aca="false">RIGHT(B424,LEN(B424)-FIND("/",B424, FIND("Single Cells",B424, 1)))</f>
        <v>#VALUE!</v>
      </c>
    </row>
    <row r="425" customFormat="false" ht="12.75" hidden="false" customHeight="true" outlineLevel="0" collapsed="false">
      <c r="E425" s="34" t="str">
        <f aca="false">MID(B425,9,1)</f>
        <v/>
      </c>
      <c r="F425" s="34" t="str">
        <f aca="false">MID(B425,10,1)</f>
        <v/>
      </c>
      <c r="G425" s="34" t="str">
        <f aca="false">MID(B425,11,1)</f>
        <v/>
      </c>
      <c r="H425" s="35" t="str">
        <f aca="false">IF(G425=".",F425,CONCATENATE(F425,G425))</f>
        <v/>
      </c>
      <c r="I425" s="34" t="n">
        <f aca="false">IFERROR(VALUE(H425),)</f>
        <v>0</v>
      </c>
      <c r="J425" s="34" t="e">
        <f aca="false">RIGHT(B425,LEN(B425)-FIND("/",B425, FIND("Single Cells",B425, 1)))</f>
        <v>#VALUE!</v>
      </c>
    </row>
    <row r="426" customFormat="false" ht="12.75" hidden="false" customHeight="true" outlineLevel="0" collapsed="false">
      <c r="E426" s="34" t="str">
        <f aca="false">MID(B426,9,1)</f>
        <v/>
      </c>
      <c r="F426" s="34" t="str">
        <f aca="false">MID(B426,10,1)</f>
        <v/>
      </c>
      <c r="G426" s="34" t="str">
        <f aca="false">MID(B426,11,1)</f>
        <v/>
      </c>
      <c r="H426" s="35" t="str">
        <f aca="false">IF(G426=".",F426,CONCATENATE(F426,G426))</f>
        <v/>
      </c>
      <c r="I426" s="34" t="n">
        <f aca="false">IFERROR(VALUE(H426),)</f>
        <v>0</v>
      </c>
      <c r="J426" s="34" t="e">
        <f aca="false">RIGHT(B426,LEN(B426)-FIND("/",B426, FIND("Single Cells",B426, 1)))</f>
        <v>#VALUE!</v>
      </c>
    </row>
    <row r="427" customFormat="false" ht="12.75" hidden="false" customHeight="true" outlineLevel="0" collapsed="false">
      <c r="E427" s="34" t="str">
        <f aca="false">MID(B427,9,1)</f>
        <v/>
      </c>
      <c r="F427" s="34" t="str">
        <f aca="false">MID(B427,10,1)</f>
        <v/>
      </c>
      <c r="G427" s="34" t="str">
        <f aca="false">MID(B427,11,1)</f>
        <v/>
      </c>
      <c r="H427" s="35" t="str">
        <f aca="false">IF(G427=".",F427,CONCATENATE(F427,G427))</f>
        <v/>
      </c>
      <c r="I427" s="34" t="n">
        <f aca="false">IFERROR(VALUE(H427),)</f>
        <v>0</v>
      </c>
      <c r="J427" s="34" t="e">
        <f aca="false">RIGHT(B427,LEN(B427)-FIND("/",B427, FIND("Single Cells",B427, 1)))</f>
        <v>#VALUE!</v>
      </c>
    </row>
    <row r="428" customFormat="false" ht="12.75" hidden="false" customHeight="true" outlineLevel="0" collapsed="false">
      <c r="E428" s="34" t="str">
        <f aca="false">MID(B428,9,1)</f>
        <v/>
      </c>
      <c r="F428" s="34" t="str">
        <f aca="false">MID(B428,10,1)</f>
        <v/>
      </c>
      <c r="G428" s="34" t="str">
        <f aca="false">MID(B428,11,1)</f>
        <v/>
      </c>
      <c r="H428" s="35" t="str">
        <f aca="false">IF(G428=".",F428,CONCATENATE(F428,G428))</f>
        <v/>
      </c>
      <c r="I428" s="34" t="n">
        <f aca="false">IFERROR(VALUE(H428),)</f>
        <v>0</v>
      </c>
      <c r="J428" s="34" t="e">
        <f aca="false">RIGHT(B428,LEN(B428)-FIND("/",B428, FIND("Single Cells",B428, 1)))</f>
        <v>#VALUE!</v>
      </c>
    </row>
    <row r="429" customFormat="false" ht="12.75" hidden="false" customHeight="true" outlineLevel="0" collapsed="false">
      <c r="E429" s="34" t="str">
        <f aca="false">MID(B429,9,1)</f>
        <v/>
      </c>
      <c r="F429" s="34" t="str">
        <f aca="false">MID(B429,10,1)</f>
        <v/>
      </c>
      <c r="G429" s="34" t="str">
        <f aca="false">MID(B429,11,1)</f>
        <v/>
      </c>
      <c r="H429" s="35" t="str">
        <f aca="false">IF(G429=".",F429,CONCATENATE(F429,G429))</f>
        <v/>
      </c>
      <c r="I429" s="34" t="n">
        <f aca="false">IFERROR(VALUE(H429),)</f>
        <v>0</v>
      </c>
      <c r="J429" s="34" t="e">
        <f aca="false">RIGHT(B429,LEN(B429)-FIND("/",B429, FIND("Single Cells",B429, 1)))</f>
        <v>#VALUE!</v>
      </c>
    </row>
    <row r="430" customFormat="false" ht="12.75" hidden="false" customHeight="true" outlineLevel="0" collapsed="false">
      <c r="E430" s="34" t="str">
        <f aca="false">MID(B430,9,1)</f>
        <v/>
      </c>
      <c r="F430" s="34" t="str">
        <f aca="false">MID(B430,10,1)</f>
        <v/>
      </c>
      <c r="G430" s="34" t="str">
        <f aca="false">MID(B430,11,1)</f>
        <v/>
      </c>
      <c r="H430" s="35" t="str">
        <f aca="false">IF(G430=".",F430,CONCATENATE(F430,G430))</f>
        <v/>
      </c>
      <c r="I430" s="34" t="n">
        <f aca="false">IFERROR(VALUE(H430),)</f>
        <v>0</v>
      </c>
      <c r="J430" s="34" t="e">
        <f aca="false">RIGHT(B430,LEN(B430)-FIND("/",B430, FIND("Single Cells",B430, 1)))</f>
        <v>#VALUE!</v>
      </c>
    </row>
    <row r="431" customFormat="false" ht="12.75" hidden="false" customHeight="true" outlineLevel="0" collapsed="false">
      <c r="E431" s="34" t="str">
        <f aca="false">MID(B431,9,1)</f>
        <v/>
      </c>
      <c r="F431" s="34" t="str">
        <f aca="false">MID(B431,10,1)</f>
        <v/>
      </c>
      <c r="G431" s="34" t="str">
        <f aca="false">MID(B431,11,1)</f>
        <v/>
      </c>
      <c r="H431" s="35" t="str">
        <f aca="false">IF(G431=".",F431,CONCATENATE(F431,G431))</f>
        <v/>
      </c>
      <c r="I431" s="34" t="n">
        <f aca="false">IFERROR(VALUE(H431),)</f>
        <v>0</v>
      </c>
      <c r="J431" s="34" t="e">
        <f aca="false">RIGHT(B431,LEN(B431)-FIND("/",B431, FIND("Single Cells",B431, 1)))</f>
        <v>#VALUE!</v>
      </c>
    </row>
    <row r="432" customFormat="false" ht="12.75" hidden="false" customHeight="true" outlineLevel="0" collapsed="false">
      <c r="E432" s="34" t="str">
        <f aca="false">MID(B432,9,1)</f>
        <v/>
      </c>
      <c r="F432" s="34" t="str">
        <f aca="false">MID(B432,10,1)</f>
        <v/>
      </c>
      <c r="G432" s="34" t="str">
        <f aca="false">MID(B432,11,1)</f>
        <v/>
      </c>
      <c r="H432" s="35" t="str">
        <f aca="false">IF(G432=".",F432,CONCATENATE(F432,G432))</f>
        <v/>
      </c>
      <c r="I432" s="34" t="n">
        <f aca="false">IFERROR(VALUE(H432),)</f>
        <v>0</v>
      </c>
      <c r="J432" s="34" t="e">
        <f aca="false">RIGHT(B432,LEN(B432)-FIND("/",B432, FIND("Single Cells",B432, 1)))</f>
        <v>#VALUE!</v>
      </c>
    </row>
    <row r="433" customFormat="false" ht="12.75" hidden="false" customHeight="true" outlineLevel="0" collapsed="false">
      <c r="E433" s="34" t="str">
        <f aca="false">MID(B433,9,1)</f>
        <v/>
      </c>
      <c r="F433" s="34" t="str">
        <f aca="false">MID(B433,10,1)</f>
        <v/>
      </c>
      <c r="G433" s="34" t="str">
        <f aca="false">MID(B433,11,1)</f>
        <v/>
      </c>
      <c r="H433" s="35" t="str">
        <f aca="false">IF(G433=".",F433,CONCATENATE(F433,G433))</f>
        <v/>
      </c>
      <c r="I433" s="34" t="n">
        <f aca="false">IFERROR(VALUE(H433),)</f>
        <v>0</v>
      </c>
      <c r="J433" s="34" t="e">
        <f aca="false">RIGHT(B433,LEN(B433)-FIND("/",B433, FIND("Single Cells",B433, 1)))</f>
        <v>#VALUE!</v>
      </c>
    </row>
    <row r="434" customFormat="false" ht="12.75" hidden="false" customHeight="true" outlineLevel="0" collapsed="false">
      <c r="E434" s="34" t="str">
        <f aca="false">MID(B434,9,1)</f>
        <v/>
      </c>
      <c r="F434" s="34" t="str">
        <f aca="false">MID(B434,10,1)</f>
        <v/>
      </c>
      <c r="G434" s="34" t="str">
        <f aca="false">MID(B434,11,1)</f>
        <v/>
      </c>
      <c r="H434" s="35" t="str">
        <f aca="false">IF(G434=".",F434,CONCATENATE(F434,G434))</f>
        <v/>
      </c>
      <c r="I434" s="34" t="n">
        <f aca="false">IFERROR(VALUE(H434),)</f>
        <v>0</v>
      </c>
      <c r="J434" s="34" t="e">
        <f aca="false">RIGHT(B434,LEN(B434)-FIND("/",B434, FIND("Single Cells",B434, 1)))</f>
        <v>#VALUE!</v>
      </c>
    </row>
    <row r="435" customFormat="false" ht="12.75" hidden="false" customHeight="true" outlineLevel="0" collapsed="false">
      <c r="E435" s="34" t="str">
        <f aca="false">MID(B435,9,1)</f>
        <v/>
      </c>
      <c r="F435" s="34" t="str">
        <f aca="false">MID(B435,10,1)</f>
        <v/>
      </c>
      <c r="G435" s="34" t="str">
        <f aca="false">MID(B435,11,1)</f>
        <v/>
      </c>
      <c r="H435" s="35" t="str">
        <f aca="false">IF(G435=".",F435,CONCATENATE(F435,G435))</f>
        <v/>
      </c>
      <c r="I435" s="34" t="n">
        <f aca="false">IFERROR(VALUE(H435),)</f>
        <v>0</v>
      </c>
      <c r="J435" s="34" t="e">
        <f aca="false">RIGHT(B435,LEN(B435)-FIND("/",B435, FIND("Single Cells",B435, 1)))</f>
        <v>#VALUE!</v>
      </c>
    </row>
    <row r="436" customFormat="false" ht="12.75" hidden="false" customHeight="true" outlineLevel="0" collapsed="false">
      <c r="E436" s="34" t="str">
        <f aca="false">MID(B436,9,1)</f>
        <v/>
      </c>
      <c r="F436" s="34" t="str">
        <f aca="false">MID(B436,10,1)</f>
        <v/>
      </c>
      <c r="G436" s="34" t="str">
        <f aca="false">MID(B436,11,1)</f>
        <v/>
      </c>
      <c r="H436" s="35" t="str">
        <f aca="false">IF(G436=".",F436,CONCATENATE(F436,G436))</f>
        <v/>
      </c>
      <c r="I436" s="34" t="n">
        <f aca="false">IFERROR(VALUE(H436),)</f>
        <v>0</v>
      </c>
      <c r="J436" s="34" t="e">
        <f aca="false">RIGHT(B436,LEN(B436)-FIND("/",B436, FIND("Single Cells",B436, 1)))</f>
        <v>#VALUE!</v>
      </c>
    </row>
    <row r="437" customFormat="false" ht="12.75" hidden="false" customHeight="true" outlineLevel="0" collapsed="false">
      <c r="E437" s="34" t="str">
        <f aca="false">MID(B437,9,1)</f>
        <v/>
      </c>
      <c r="F437" s="34" t="str">
        <f aca="false">MID(B437,10,1)</f>
        <v/>
      </c>
      <c r="G437" s="34" t="str">
        <f aca="false">MID(B437,11,1)</f>
        <v/>
      </c>
      <c r="H437" s="35" t="str">
        <f aca="false">IF(G437=".",F437,CONCATENATE(F437,G437))</f>
        <v/>
      </c>
      <c r="I437" s="34" t="n">
        <f aca="false">IFERROR(VALUE(H437),)</f>
        <v>0</v>
      </c>
      <c r="J437" s="34" t="e">
        <f aca="false">RIGHT(B437,LEN(B437)-FIND("/",B437, FIND("Single Cells",B437, 1)))</f>
        <v>#VALUE!</v>
      </c>
    </row>
    <row r="438" customFormat="false" ht="12.75" hidden="false" customHeight="true" outlineLevel="0" collapsed="false">
      <c r="E438" s="34" t="str">
        <f aca="false">MID(B438,9,1)</f>
        <v/>
      </c>
      <c r="F438" s="34" t="str">
        <f aca="false">MID(B438,10,1)</f>
        <v/>
      </c>
      <c r="G438" s="34" t="str">
        <f aca="false">MID(B438,11,1)</f>
        <v/>
      </c>
      <c r="H438" s="35" t="str">
        <f aca="false">IF(G438=".",F438,CONCATENATE(F438,G438))</f>
        <v/>
      </c>
      <c r="I438" s="34" t="n">
        <f aca="false">IFERROR(VALUE(H438),)</f>
        <v>0</v>
      </c>
      <c r="J438" s="34" t="e">
        <f aca="false">RIGHT(B438,LEN(B438)-FIND("/",B438, FIND("Single Cells",B438, 1)))</f>
        <v>#VALUE!</v>
      </c>
    </row>
    <row r="439" customFormat="false" ht="12.75" hidden="false" customHeight="true" outlineLevel="0" collapsed="false">
      <c r="E439" s="34" t="str">
        <f aca="false">MID(B439,9,1)</f>
        <v/>
      </c>
      <c r="F439" s="34" t="str">
        <f aca="false">MID(B439,10,1)</f>
        <v/>
      </c>
      <c r="G439" s="34" t="str">
        <f aca="false">MID(B439,11,1)</f>
        <v/>
      </c>
      <c r="H439" s="35" t="str">
        <f aca="false">IF(G439=".",F439,CONCATENATE(F439,G439))</f>
        <v/>
      </c>
      <c r="I439" s="34" t="n">
        <f aca="false">IFERROR(VALUE(H439),)</f>
        <v>0</v>
      </c>
      <c r="J439" s="34" t="e">
        <f aca="false">RIGHT(B439,LEN(B439)-FIND("/",B439, FIND("Single Cells",B439, 1)))</f>
        <v>#VALUE!</v>
      </c>
    </row>
    <row r="440" customFormat="false" ht="12.75" hidden="false" customHeight="true" outlineLevel="0" collapsed="false">
      <c r="E440" s="34" t="str">
        <f aca="false">MID(B440,9,1)</f>
        <v/>
      </c>
      <c r="F440" s="34" t="str">
        <f aca="false">MID(B440,10,1)</f>
        <v/>
      </c>
      <c r="G440" s="34" t="str">
        <f aca="false">MID(B440,11,1)</f>
        <v/>
      </c>
      <c r="H440" s="35" t="str">
        <f aca="false">IF(G440=".",F440,CONCATENATE(F440,G440))</f>
        <v/>
      </c>
      <c r="I440" s="34" t="n">
        <f aca="false">IFERROR(VALUE(H440),)</f>
        <v>0</v>
      </c>
      <c r="J440" s="34" t="e">
        <f aca="false">RIGHT(B440,LEN(B440)-FIND("/",B440, FIND("Single Cells",B440, 1)))</f>
        <v>#VALUE!</v>
      </c>
    </row>
    <row r="441" customFormat="false" ht="12.75" hidden="false" customHeight="true" outlineLevel="0" collapsed="false">
      <c r="E441" s="34" t="str">
        <f aca="false">MID(B441,9,1)</f>
        <v/>
      </c>
      <c r="F441" s="34" t="str">
        <f aca="false">MID(B441,10,1)</f>
        <v/>
      </c>
      <c r="G441" s="34" t="str">
        <f aca="false">MID(B441,11,1)</f>
        <v/>
      </c>
      <c r="H441" s="35" t="str">
        <f aca="false">IF(G441=".",F441,CONCATENATE(F441,G441))</f>
        <v/>
      </c>
      <c r="I441" s="34" t="n">
        <f aca="false">IFERROR(VALUE(H441),)</f>
        <v>0</v>
      </c>
      <c r="J441" s="34" t="e">
        <f aca="false">RIGHT(B441,LEN(B441)-FIND("/",B441, FIND("Single Cells",B441, 1)))</f>
        <v>#VALUE!</v>
      </c>
    </row>
    <row r="442" customFormat="false" ht="12.75" hidden="false" customHeight="true" outlineLevel="0" collapsed="false">
      <c r="E442" s="34" t="str">
        <f aca="false">MID(B442,9,1)</f>
        <v/>
      </c>
      <c r="F442" s="34" t="str">
        <f aca="false">MID(B442,10,1)</f>
        <v/>
      </c>
      <c r="G442" s="34" t="str">
        <f aca="false">MID(B442,11,1)</f>
        <v/>
      </c>
      <c r="H442" s="35" t="str">
        <f aca="false">IF(G442=".",F442,CONCATENATE(F442,G442))</f>
        <v/>
      </c>
      <c r="I442" s="34" t="n">
        <f aca="false">IFERROR(VALUE(H442),)</f>
        <v>0</v>
      </c>
      <c r="J442" s="34" t="e">
        <f aca="false">RIGHT(B442,LEN(B442)-FIND("/",B442, FIND("Single Cells",B442, 1)))</f>
        <v>#VALUE!</v>
      </c>
    </row>
    <row r="443" customFormat="false" ht="12.75" hidden="false" customHeight="true" outlineLevel="0" collapsed="false">
      <c r="E443" s="34" t="str">
        <f aca="false">MID(B443,9,1)</f>
        <v/>
      </c>
      <c r="F443" s="34" t="str">
        <f aca="false">MID(B443,10,1)</f>
        <v/>
      </c>
      <c r="G443" s="34" t="str">
        <f aca="false">MID(B443,11,1)</f>
        <v/>
      </c>
      <c r="H443" s="35" t="str">
        <f aca="false">IF(G443=".",F443,CONCATENATE(F443,G443))</f>
        <v/>
      </c>
      <c r="I443" s="34" t="n">
        <f aca="false">IFERROR(VALUE(H443),)</f>
        <v>0</v>
      </c>
      <c r="J443" s="34" t="e">
        <f aca="false">RIGHT(B443,LEN(B443)-FIND("/",B443, FIND("Single Cells",B443, 1)))</f>
        <v>#VALUE!</v>
      </c>
    </row>
    <row r="444" customFormat="false" ht="12.75" hidden="false" customHeight="true" outlineLevel="0" collapsed="false">
      <c r="E444" s="34" t="str">
        <f aca="false">MID(B444,9,1)</f>
        <v/>
      </c>
      <c r="F444" s="34" t="str">
        <f aca="false">MID(B444,10,1)</f>
        <v/>
      </c>
      <c r="G444" s="34" t="str">
        <f aca="false">MID(B444,11,1)</f>
        <v/>
      </c>
      <c r="H444" s="35" t="str">
        <f aca="false">IF(G444=".",F444,CONCATENATE(F444,G444))</f>
        <v/>
      </c>
      <c r="I444" s="34" t="n">
        <f aca="false">IFERROR(VALUE(H444),)</f>
        <v>0</v>
      </c>
      <c r="J444" s="34" t="e">
        <f aca="false">RIGHT(B444,LEN(B444)-FIND("/",B444, FIND("Single Cells",B444, 1)))</f>
        <v>#VALUE!</v>
      </c>
    </row>
    <row r="445" customFormat="false" ht="12.75" hidden="false" customHeight="true" outlineLevel="0" collapsed="false">
      <c r="E445" s="34" t="str">
        <f aca="false">MID(B445,9,1)</f>
        <v/>
      </c>
      <c r="F445" s="34" t="str">
        <f aca="false">MID(B445,10,1)</f>
        <v/>
      </c>
      <c r="G445" s="34" t="str">
        <f aca="false">MID(B445,11,1)</f>
        <v/>
      </c>
      <c r="H445" s="35" t="str">
        <f aca="false">IF(G445=".",F445,CONCATENATE(F445,G445))</f>
        <v/>
      </c>
      <c r="I445" s="34" t="n">
        <f aca="false">IFERROR(VALUE(H445),)</f>
        <v>0</v>
      </c>
      <c r="J445" s="34" t="e">
        <f aca="false">RIGHT(B445,LEN(B445)-FIND("/",B445, FIND("Single Cells",B445, 1)))</f>
        <v>#VALUE!</v>
      </c>
    </row>
    <row r="446" customFormat="false" ht="12.75" hidden="false" customHeight="true" outlineLevel="0" collapsed="false">
      <c r="E446" s="34" t="str">
        <f aca="false">MID(B446,9,1)</f>
        <v/>
      </c>
      <c r="F446" s="34" t="str">
        <f aca="false">MID(B446,10,1)</f>
        <v/>
      </c>
      <c r="G446" s="34" t="str">
        <f aca="false">MID(B446,11,1)</f>
        <v/>
      </c>
      <c r="H446" s="35" t="str">
        <f aca="false">IF(G446=".",F446,CONCATENATE(F446,G446))</f>
        <v/>
      </c>
      <c r="I446" s="34" t="n">
        <f aca="false">IFERROR(VALUE(H446),)</f>
        <v>0</v>
      </c>
      <c r="J446" s="34" t="e">
        <f aca="false">RIGHT(B446,LEN(B446)-FIND("/",B446, FIND("Single Cells",B446, 1)))</f>
        <v>#VALUE!</v>
      </c>
    </row>
    <row r="447" customFormat="false" ht="12.75" hidden="false" customHeight="true" outlineLevel="0" collapsed="false">
      <c r="E447" s="34" t="str">
        <f aca="false">MID(B447,9,1)</f>
        <v/>
      </c>
      <c r="F447" s="34" t="str">
        <f aca="false">MID(B447,10,1)</f>
        <v/>
      </c>
      <c r="G447" s="34" t="str">
        <f aca="false">MID(B447,11,1)</f>
        <v/>
      </c>
      <c r="H447" s="35" t="str">
        <f aca="false">IF(G447=".",F447,CONCATENATE(F447,G447))</f>
        <v/>
      </c>
      <c r="I447" s="34" t="n">
        <f aca="false">IFERROR(VALUE(H447),)</f>
        <v>0</v>
      </c>
      <c r="J447" s="34" t="e">
        <f aca="false">RIGHT(B447,LEN(B447)-FIND("/",B447, FIND("Single Cells",B447, 1)))</f>
        <v>#VALUE!</v>
      </c>
    </row>
    <row r="448" customFormat="false" ht="12.75" hidden="false" customHeight="true" outlineLevel="0" collapsed="false">
      <c r="E448" s="34" t="str">
        <f aca="false">MID(B448,9,1)</f>
        <v/>
      </c>
      <c r="F448" s="34" t="str">
        <f aca="false">MID(B448,10,1)</f>
        <v/>
      </c>
      <c r="G448" s="34" t="str">
        <f aca="false">MID(B448,11,1)</f>
        <v/>
      </c>
      <c r="H448" s="35" t="str">
        <f aca="false">IF(G448=".",F448,CONCATENATE(F448,G448))</f>
        <v/>
      </c>
      <c r="I448" s="34" t="n">
        <f aca="false">IFERROR(VALUE(H448),)</f>
        <v>0</v>
      </c>
      <c r="J448" s="34" t="e">
        <f aca="false">RIGHT(B448,LEN(B448)-FIND("/",B448, FIND("Single Cells",B448, 1)))</f>
        <v>#VALUE!</v>
      </c>
    </row>
    <row r="449" customFormat="false" ht="12.75" hidden="false" customHeight="true" outlineLevel="0" collapsed="false">
      <c r="E449" s="34" t="str">
        <f aca="false">MID(B449,9,1)</f>
        <v/>
      </c>
      <c r="F449" s="34" t="str">
        <f aca="false">MID(B449,10,1)</f>
        <v/>
      </c>
      <c r="G449" s="34" t="str">
        <f aca="false">MID(B449,11,1)</f>
        <v/>
      </c>
      <c r="H449" s="35" t="str">
        <f aca="false">IF(G449=".",F449,CONCATENATE(F449,G449))</f>
        <v/>
      </c>
      <c r="I449" s="34" t="n">
        <f aca="false">IFERROR(VALUE(H449),)</f>
        <v>0</v>
      </c>
      <c r="J449" s="34" t="e">
        <f aca="false">RIGHT(B449,LEN(B449)-FIND("/",B449, FIND("Single Cells",B449, 1)))</f>
        <v>#VALUE!</v>
      </c>
    </row>
    <row r="450" customFormat="false" ht="12.75" hidden="false" customHeight="true" outlineLevel="0" collapsed="false">
      <c r="E450" s="34" t="str">
        <f aca="false">MID(B450,9,1)</f>
        <v/>
      </c>
      <c r="F450" s="34" t="str">
        <f aca="false">MID(B450,10,1)</f>
        <v/>
      </c>
      <c r="G450" s="34" t="str">
        <f aca="false">MID(B450,11,1)</f>
        <v/>
      </c>
      <c r="H450" s="35" t="str">
        <f aca="false">IF(G450=".",F450,CONCATENATE(F450,G450))</f>
        <v/>
      </c>
      <c r="I450" s="34" t="n">
        <f aca="false">IFERROR(VALUE(H450),)</f>
        <v>0</v>
      </c>
      <c r="J450" s="34" t="e">
        <f aca="false">RIGHT(B450,LEN(B450)-FIND("/",B450, FIND("Single Cells",B450, 1)))</f>
        <v>#VALUE!</v>
      </c>
    </row>
    <row r="451" customFormat="false" ht="12.75" hidden="false" customHeight="true" outlineLevel="0" collapsed="false">
      <c r="E451" s="34" t="str">
        <f aca="false">MID(B451,9,1)</f>
        <v/>
      </c>
      <c r="F451" s="34" t="str">
        <f aca="false">MID(B451,10,1)</f>
        <v/>
      </c>
      <c r="G451" s="34" t="str">
        <f aca="false">MID(B451,11,1)</f>
        <v/>
      </c>
      <c r="H451" s="35" t="str">
        <f aca="false">IF(G451=".",F451,CONCATENATE(F451,G451))</f>
        <v/>
      </c>
      <c r="I451" s="34" t="n">
        <f aca="false">IFERROR(VALUE(H451),)</f>
        <v>0</v>
      </c>
      <c r="J451" s="34" t="e">
        <f aca="false">RIGHT(B451,LEN(B451)-FIND("/",B451, FIND("Single Cells",B451, 1)))</f>
        <v>#VALUE!</v>
      </c>
    </row>
    <row r="452" customFormat="false" ht="12.75" hidden="false" customHeight="true" outlineLevel="0" collapsed="false">
      <c r="E452" s="34" t="str">
        <f aca="false">MID(B452,9,1)</f>
        <v/>
      </c>
      <c r="F452" s="34" t="str">
        <f aca="false">MID(B452,10,1)</f>
        <v/>
      </c>
      <c r="G452" s="34" t="str">
        <f aca="false">MID(B452,11,1)</f>
        <v/>
      </c>
      <c r="H452" s="35" t="str">
        <f aca="false">IF(G452=".",F452,CONCATENATE(F452,G452))</f>
        <v/>
      </c>
      <c r="I452" s="34" t="n">
        <f aca="false">IFERROR(VALUE(H452),)</f>
        <v>0</v>
      </c>
      <c r="J452" s="34" t="e">
        <f aca="false">RIGHT(B452,LEN(B452)-FIND("/",B452, FIND("Single Cells",B452, 1)))</f>
        <v>#VALUE!</v>
      </c>
    </row>
    <row r="453" customFormat="false" ht="12.75" hidden="false" customHeight="true" outlineLevel="0" collapsed="false">
      <c r="E453" s="34" t="str">
        <f aca="false">MID(B453,9,1)</f>
        <v/>
      </c>
      <c r="F453" s="34" t="str">
        <f aca="false">MID(B453,10,1)</f>
        <v/>
      </c>
      <c r="G453" s="34" t="str">
        <f aca="false">MID(B453,11,1)</f>
        <v/>
      </c>
      <c r="H453" s="35" t="str">
        <f aca="false">IF(G453=".",F453,CONCATENATE(F453,G453))</f>
        <v/>
      </c>
      <c r="I453" s="34" t="n">
        <f aca="false">IFERROR(VALUE(H453),)</f>
        <v>0</v>
      </c>
      <c r="J453" s="34" t="e">
        <f aca="false">RIGHT(B453,LEN(B453)-FIND("/",B453, FIND("Single Cells",B453, 1)))</f>
        <v>#VALUE!</v>
      </c>
    </row>
    <row r="454" customFormat="false" ht="12.75" hidden="false" customHeight="true" outlineLevel="0" collapsed="false">
      <c r="E454" s="34" t="str">
        <f aca="false">MID(B454,9,1)</f>
        <v/>
      </c>
      <c r="F454" s="34" t="str">
        <f aca="false">MID(B454,10,1)</f>
        <v/>
      </c>
      <c r="G454" s="34" t="str">
        <f aca="false">MID(B454,11,1)</f>
        <v/>
      </c>
      <c r="H454" s="35" t="str">
        <f aca="false">IF(G454=".",F454,CONCATENATE(F454,G454))</f>
        <v/>
      </c>
      <c r="I454" s="34" t="n">
        <f aca="false">IFERROR(VALUE(H454),)</f>
        <v>0</v>
      </c>
      <c r="J454" s="34" t="e">
        <f aca="false">RIGHT(B454,LEN(B454)-FIND("/",B454, FIND("Single Cells",B454, 1)))</f>
        <v>#VALUE!</v>
      </c>
    </row>
    <row r="455" customFormat="false" ht="12.75" hidden="false" customHeight="true" outlineLevel="0" collapsed="false">
      <c r="E455" s="34" t="str">
        <f aca="false">MID(B455,9,1)</f>
        <v/>
      </c>
      <c r="F455" s="34" t="str">
        <f aca="false">MID(B455,10,1)</f>
        <v/>
      </c>
      <c r="G455" s="34" t="str">
        <f aca="false">MID(B455,11,1)</f>
        <v/>
      </c>
      <c r="H455" s="35" t="str">
        <f aca="false">IF(G455=".",F455,CONCATENATE(F455,G455))</f>
        <v/>
      </c>
      <c r="I455" s="34" t="n">
        <f aca="false">IFERROR(VALUE(H455),)</f>
        <v>0</v>
      </c>
      <c r="J455" s="34" t="e">
        <f aca="false">RIGHT(B455,LEN(B455)-FIND("/",B455, FIND("Single Cells",B455, 1)))</f>
        <v>#VALUE!</v>
      </c>
    </row>
    <row r="456" customFormat="false" ht="12.75" hidden="false" customHeight="true" outlineLevel="0" collapsed="false">
      <c r="E456" s="34" t="str">
        <f aca="false">MID(B456,9,1)</f>
        <v/>
      </c>
      <c r="F456" s="34" t="str">
        <f aca="false">MID(B456,10,1)</f>
        <v/>
      </c>
      <c r="G456" s="34" t="str">
        <f aca="false">MID(B456,11,1)</f>
        <v/>
      </c>
      <c r="H456" s="35" t="str">
        <f aca="false">IF(G456=".",F456,CONCATENATE(F456,G456))</f>
        <v/>
      </c>
      <c r="I456" s="34" t="n">
        <f aca="false">IFERROR(VALUE(H456),)</f>
        <v>0</v>
      </c>
      <c r="J456" s="34" t="e">
        <f aca="false">RIGHT(B456,LEN(B456)-FIND("/",B456, FIND("Single Cells",B456, 1)))</f>
        <v>#VALUE!</v>
      </c>
    </row>
    <row r="457" customFormat="false" ht="12.75" hidden="false" customHeight="true" outlineLevel="0" collapsed="false">
      <c r="E457" s="34" t="str">
        <f aca="false">MID(B457,9,1)</f>
        <v/>
      </c>
      <c r="F457" s="34" t="str">
        <f aca="false">MID(B457,10,1)</f>
        <v/>
      </c>
      <c r="G457" s="34" t="str">
        <f aca="false">MID(B457,11,1)</f>
        <v/>
      </c>
      <c r="H457" s="35" t="str">
        <f aca="false">IF(G457=".",F457,CONCATENATE(F457,G457))</f>
        <v/>
      </c>
      <c r="I457" s="34" t="n">
        <f aca="false">IFERROR(VALUE(H457),)</f>
        <v>0</v>
      </c>
      <c r="J457" s="34" t="e">
        <f aca="false">RIGHT(B457,LEN(B457)-FIND("/",B457, FIND("Single Cells",B457, 1)))</f>
        <v>#VALUE!</v>
      </c>
    </row>
    <row r="458" customFormat="false" ht="12.75" hidden="false" customHeight="true" outlineLevel="0" collapsed="false">
      <c r="E458" s="34" t="str">
        <f aca="false">MID(B458,9,1)</f>
        <v/>
      </c>
      <c r="F458" s="34" t="str">
        <f aca="false">MID(B458,10,1)</f>
        <v/>
      </c>
      <c r="G458" s="34" t="str">
        <f aca="false">MID(B458,11,1)</f>
        <v/>
      </c>
      <c r="H458" s="35" t="str">
        <f aca="false">IF(G458=".",F458,CONCATENATE(F458,G458))</f>
        <v/>
      </c>
      <c r="I458" s="34" t="n">
        <f aca="false">IFERROR(VALUE(H458),)</f>
        <v>0</v>
      </c>
      <c r="J458" s="34" t="e">
        <f aca="false">RIGHT(B458,LEN(B458)-FIND("/",B458, FIND("Single Cells",B458, 1)))</f>
        <v>#VALUE!</v>
      </c>
    </row>
    <row r="459" customFormat="false" ht="12.75" hidden="false" customHeight="true" outlineLevel="0" collapsed="false">
      <c r="E459" s="34" t="str">
        <f aca="false">MID(B459,9,1)</f>
        <v/>
      </c>
      <c r="F459" s="34" t="str">
        <f aca="false">MID(B459,10,1)</f>
        <v/>
      </c>
      <c r="G459" s="34" t="str">
        <f aca="false">MID(B459,11,1)</f>
        <v/>
      </c>
      <c r="H459" s="35" t="str">
        <f aca="false">IF(G459=".",F459,CONCATENATE(F459,G459))</f>
        <v/>
      </c>
      <c r="I459" s="34" t="n">
        <f aca="false">IFERROR(VALUE(H459),)</f>
        <v>0</v>
      </c>
      <c r="J459" s="34" t="e">
        <f aca="false">RIGHT(B459,LEN(B459)-FIND("/",B459, FIND("Single Cells",B459, 1)))</f>
        <v>#VALUE!</v>
      </c>
    </row>
    <row r="460" customFormat="false" ht="12.75" hidden="false" customHeight="true" outlineLevel="0" collapsed="false">
      <c r="E460" s="34" t="str">
        <f aca="false">MID(B460,9,1)</f>
        <v/>
      </c>
      <c r="F460" s="34" t="str">
        <f aca="false">MID(B460,10,1)</f>
        <v/>
      </c>
      <c r="G460" s="34" t="str">
        <f aca="false">MID(B460,11,1)</f>
        <v/>
      </c>
      <c r="H460" s="35" t="str">
        <f aca="false">IF(G460=".",F460,CONCATENATE(F460,G460))</f>
        <v/>
      </c>
      <c r="I460" s="34" t="n">
        <f aca="false">IFERROR(VALUE(H460),)</f>
        <v>0</v>
      </c>
      <c r="J460" s="34" t="e">
        <f aca="false">RIGHT(B460,LEN(B460)-FIND("/",B460, FIND("Single Cells",B460, 1)))</f>
        <v>#VALUE!</v>
      </c>
    </row>
    <row r="461" customFormat="false" ht="12.75" hidden="false" customHeight="true" outlineLevel="0" collapsed="false">
      <c r="E461" s="34" t="str">
        <f aca="false">MID(B461,9,1)</f>
        <v/>
      </c>
      <c r="F461" s="34" t="str">
        <f aca="false">MID(B461,10,1)</f>
        <v/>
      </c>
      <c r="G461" s="34" t="str">
        <f aca="false">MID(B461,11,1)</f>
        <v/>
      </c>
      <c r="H461" s="35" t="str">
        <f aca="false">IF(G461=".",F461,CONCATENATE(F461,G461))</f>
        <v/>
      </c>
      <c r="I461" s="34" t="n">
        <f aca="false">IFERROR(VALUE(H461),)</f>
        <v>0</v>
      </c>
      <c r="J461" s="34" t="e">
        <f aca="false">RIGHT(B461,LEN(B461)-FIND("/",B461, FIND("Single Cells",B461, 1)))</f>
        <v>#VALUE!</v>
      </c>
    </row>
    <row r="462" customFormat="false" ht="12.75" hidden="false" customHeight="true" outlineLevel="0" collapsed="false">
      <c r="E462" s="34" t="str">
        <f aca="false">MID(B462,9,1)</f>
        <v/>
      </c>
      <c r="F462" s="34" t="str">
        <f aca="false">MID(B462,10,1)</f>
        <v/>
      </c>
      <c r="G462" s="34" t="str">
        <f aca="false">MID(B462,11,1)</f>
        <v/>
      </c>
      <c r="H462" s="35" t="str">
        <f aca="false">IF(G462=".",F462,CONCATENATE(F462,G462))</f>
        <v/>
      </c>
      <c r="I462" s="34" t="n">
        <f aca="false">IFERROR(VALUE(H462),)</f>
        <v>0</v>
      </c>
      <c r="J462" s="34" t="e">
        <f aca="false">RIGHT(B462,LEN(B462)-FIND("/",B462, FIND("Single Cells",B462, 1)))</f>
        <v>#VALUE!</v>
      </c>
    </row>
    <row r="463" customFormat="false" ht="12.75" hidden="false" customHeight="true" outlineLevel="0" collapsed="false">
      <c r="E463" s="34" t="str">
        <f aca="false">MID(B463,9,1)</f>
        <v/>
      </c>
      <c r="F463" s="34" t="str">
        <f aca="false">MID(B463,10,1)</f>
        <v/>
      </c>
      <c r="G463" s="34" t="str">
        <f aca="false">MID(B463,11,1)</f>
        <v/>
      </c>
      <c r="H463" s="35" t="str">
        <f aca="false">IF(G463=".",F463,CONCATENATE(F463,G463))</f>
        <v/>
      </c>
      <c r="I463" s="34" t="n">
        <f aca="false">IFERROR(VALUE(H463),)</f>
        <v>0</v>
      </c>
      <c r="J463" s="34" t="e">
        <f aca="false">RIGHT(B463,LEN(B463)-FIND("/",B463, FIND("Single Cells",B463, 1)))</f>
        <v>#VALUE!</v>
      </c>
    </row>
    <row r="464" customFormat="false" ht="12.75" hidden="false" customHeight="true" outlineLevel="0" collapsed="false">
      <c r="E464" s="34" t="str">
        <f aca="false">MID(B464,9,1)</f>
        <v/>
      </c>
      <c r="F464" s="34" t="str">
        <f aca="false">MID(B464,10,1)</f>
        <v/>
      </c>
      <c r="G464" s="34" t="str">
        <f aca="false">MID(B464,11,1)</f>
        <v/>
      </c>
      <c r="H464" s="35" t="str">
        <f aca="false">IF(G464=".",F464,CONCATENATE(F464,G464))</f>
        <v/>
      </c>
      <c r="I464" s="34" t="n">
        <f aca="false">IFERROR(VALUE(H464),)</f>
        <v>0</v>
      </c>
      <c r="J464" s="34" t="e">
        <f aca="false">RIGHT(B464,LEN(B464)-FIND("/",B464, FIND("Single Cells",B464, 1)))</f>
        <v>#VALUE!</v>
      </c>
    </row>
    <row r="465" customFormat="false" ht="12.75" hidden="false" customHeight="true" outlineLevel="0" collapsed="false">
      <c r="E465" s="34" t="str">
        <f aca="false">MID(B465,9,1)</f>
        <v/>
      </c>
      <c r="F465" s="34" t="str">
        <f aca="false">MID(B465,10,1)</f>
        <v/>
      </c>
      <c r="G465" s="34" t="str">
        <f aca="false">MID(B465,11,1)</f>
        <v/>
      </c>
      <c r="H465" s="35" t="str">
        <f aca="false">IF(G465=".",F465,CONCATENATE(F465,G465))</f>
        <v/>
      </c>
      <c r="I465" s="34" t="n">
        <f aca="false">IFERROR(VALUE(H465),)</f>
        <v>0</v>
      </c>
      <c r="J465" s="34" t="e">
        <f aca="false">RIGHT(B465,LEN(B465)-FIND("/",B465, FIND("Single Cells",B465, 1)))</f>
        <v>#VALUE!</v>
      </c>
    </row>
    <row r="466" customFormat="false" ht="12.75" hidden="false" customHeight="true" outlineLevel="0" collapsed="false">
      <c r="E466" s="34" t="str">
        <f aca="false">MID(B466,9,1)</f>
        <v/>
      </c>
      <c r="F466" s="34" t="str">
        <f aca="false">MID(B466,10,1)</f>
        <v/>
      </c>
      <c r="G466" s="34" t="str">
        <f aca="false">MID(B466,11,1)</f>
        <v/>
      </c>
      <c r="H466" s="35" t="str">
        <f aca="false">IF(G466=".",F466,CONCATENATE(F466,G466))</f>
        <v/>
      </c>
      <c r="I466" s="34" t="n">
        <f aca="false">IFERROR(VALUE(H466),)</f>
        <v>0</v>
      </c>
      <c r="J466" s="34" t="e">
        <f aca="false">RIGHT(B466,LEN(B466)-FIND("/",B466, FIND("Single Cells",B466, 1)))</f>
        <v>#VALUE!</v>
      </c>
    </row>
    <row r="467" customFormat="false" ht="12.75" hidden="false" customHeight="true" outlineLevel="0" collapsed="false">
      <c r="E467" s="34" t="str">
        <f aca="false">MID(B467,9,1)</f>
        <v/>
      </c>
      <c r="F467" s="34" t="str">
        <f aca="false">MID(B467,10,1)</f>
        <v/>
      </c>
      <c r="G467" s="34" t="str">
        <f aca="false">MID(B467,11,1)</f>
        <v/>
      </c>
      <c r="H467" s="35" t="str">
        <f aca="false">IF(G467=".",F467,CONCATENATE(F467,G467))</f>
        <v/>
      </c>
      <c r="I467" s="34" t="n">
        <f aca="false">IFERROR(VALUE(H467),)</f>
        <v>0</v>
      </c>
      <c r="J467" s="34" t="e">
        <f aca="false">RIGHT(B467,LEN(B467)-FIND("/",B467, FIND("Single Cells",B467, 1)))</f>
        <v>#VALUE!</v>
      </c>
    </row>
    <row r="468" customFormat="false" ht="12.75" hidden="false" customHeight="true" outlineLevel="0" collapsed="false">
      <c r="E468" s="34" t="str">
        <f aca="false">MID(B468,9,1)</f>
        <v/>
      </c>
      <c r="F468" s="34" t="str">
        <f aca="false">MID(B468,10,1)</f>
        <v/>
      </c>
      <c r="G468" s="34" t="str">
        <f aca="false">MID(B468,11,1)</f>
        <v/>
      </c>
      <c r="H468" s="35" t="str">
        <f aca="false">IF(G468=".",F468,CONCATENATE(F468,G468))</f>
        <v/>
      </c>
      <c r="I468" s="34" t="n">
        <f aca="false">IFERROR(VALUE(H468),)</f>
        <v>0</v>
      </c>
      <c r="J468" s="34" t="e">
        <f aca="false">RIGHT(B468,LEN(B468)-FIND("/",B468, FIND("Single Cells",B468, 1)))</f>
        <v>#VALUE!</v>
      </c>
    </row>
    <row r="469" customFormat="false" ht="12.75" hidden="false" customHeight="true" outlineLevel="0" collapsed="false">
      <c r="E469" s="34" t="str">
        <f aca="false">MID(B469,9,1)</f>
        <v/>
      </c>
      <c r="F469" s="34" t="str">
        <f aca="false">MID(B469,10,1)</f>
        <v/>
      </c>
      <c r="G469" s="34" t="str">
        <f aca="false">MID(B469,11,1)</f>
        <v/>
      </c>
      <c r="H469" s="35" t="str">
        <f aca="false">IF(G469=".",F469,CONCATENATE(F469,G469))</f>
        <v/>
      </c>
      <c r="I469" s="34" t="n">
        <f aca="false">IFERROR(VALUE(H469),)</f>
        <v>0</v>
      </c>
      <c r="J469" s="34" t="e">
        <f aca="false">RIGHT(B469,LEN(B469)-FIND("/",B469, FIND("Single Cells",B469, 1)))</f>
        <v>#VALUE!</v>
      </c>
    </row>
    <row r="470" customFormat="false" ht="12.75" hidden="false" customHeight="true" outlineLevel="0" collapsed="false">
      <c r="E470" s="34" t="str">
        <f aca="false">MID(B470,9,1)</f>
        <v/>
      </c>
      <c r="F470" s="34" t="str">
        <f aca="false">MID(B470,10,1)</f>
        <v/>
      </c>
      <c r="G470" s="34" t="str">
        <f aca="false">MID(B470,11,1)</f>
        <v/>
      </c>
      <c r="H470" s="35" t="str">
        <f aca="false">IF(G470=".",F470,CONCATENATE(F470,G470))</f>
        <v/>
      </c>
      <c r="I470" s="34" t="n">
        <f aca="false">IFERROR(VALUE(H470),)</f>
        <v>0</v>
      </c>
      <c r="J470" s="34" t="e">
        <f aca="false">RIGHT(B470,LEN(B470)-FIND("/",B470, FIND("Single Cells",B470, 1)))</f>
        <v>#VALUE!</v>
      </c>
    </row>
    <row r="471" customFormat="false" ht="12.75" hidden="false" customHeight="true" outlineLevel="0" collapsed="false">
      <c r="E471" s="34" t="str">
        <f aca="false">MID(B471,9,1)</f>
        <v/>
      </c>
      <c r="F471" s="34" t="str">
        <f aca="false">MID(B471,10,1)</f>
        <v/>
      </c>
      <c r="G471" s="34" t="str">
        <f aca="false">MID(B471,11,1)</f>
        <v/>
      </c>
      <c r="H471" s="35" t="str">
        <f aca="false">IF(G471=".",F471,CONCATENATE(F471,G471))</f>
        <v/>
      </c>
      <c r="I471" s="34" t="n">
        <f aca="false">IFERROR(VALUE(H471),)</f>
        <v>0</v>
      </c>
      <c r="J471" s="34" t="e">
        <f aca="false">RIGHT(B471,LEN(B471)-FIND("/",B471, FIND("Single Cells",B471, 1)))</f>
        <v>#VALUE!</v>
      </c>
    </row>
    <row r="472" customFormat="false" ht="12.75" hidden="false" customHeight="true" outlineLevel="0" collapsed="false">
      <c r="E472" s="34" t="str">
        <f aca="false">MID(B472,9,1)</f>
        <v/>
      </c>
      <c r="F472" s="34" t="str">
        <f aca="false">MID(B472,10,1)</f>
        <v/>
      </c>
      <c r="G472" s="34" t="str">
        <f aca="false">MID(B472,11,1)</f>
        <v/>
      </c>
      <c r="H472" s="35" t="str">
        <f aca="false">IF(G472=".",F472,CONCATENATE(F472,G472))</f>
        <v/>
      </c>
      <c r="I472" s="34" t="n">
        <f aca="false">IFERROR(VALUE(H472),)</f>
        <v>0</v>
      </c>
      <c r="J472" s="34" t="e">
        <f aca="false">RIGHT(B472,LEN(B472)-FIND("/",B472, FIND("Single Cells",B472, 1)))</f>
        <v>#VALUE!</v>
      </c>
    </row>
    <row r="473" customFormat="false" ht="12.75" hidden="false" customHeight="true" outlineLevel="0" collapsed="false">
      <c r="E473" s="34" t="str">
        <f aca="false">MID(B473,9,1)</f>
        <v/>
      </c>
      <c r="F473" s="34" t="str">
        <f aca="false">MID(B473,10,1)</f>
        <v/>
      </c>
      <c r="G473" s="34" t="str">
        <f aca="false">MID(B473,11,1)</f>
        <v/>
      </c>
      <c r="H473" s="35" t="str">
        <f aca="false">IF(G473=".",F473,CONCATENATE(F473,G473))</f>
        <v/>
      </c>
      <c r="I473" s="34" t="n">
        <f aca="false">IFERROR(VALUE(H473),)</f>
        <v>0</v>
      </c>
      <c r="J473" s="34" t="e">
        <f aca="false">RIGHT(B473,LEN(B473)-FIND("/",B473, FIND("Single Cells",B473, 1)))</f>
        <v>#VALUE!</v>
      </c>
    </row>
    <row r="474" customFormat="false" ht="12.75" hidden="false" customHeight="true" outlineLevel="0" collapsed="false">
      <c r="E474" s="34" t="str">
        <f aca="false">MID(B474,9,1)</f>
        <v/>
      </c>
      <c r="F474" s="34" t="str">
        <f aca="false">MID(B474,10,1)</f>
        <v/>
      </c>
      <c r="G474" s="34" t="str">
        <f aca="false">MID(B474,11,1)</f>
        <v/>
      </c>
      <c r="H474" s="35" t="str">
        <f aca="false">IF(G474=".",F474,CONCATENATE(F474,G474))</f>
        <v/>
      </c>
      <c r="I474" s="34" t="n">
        <f aca="false">IFERROR(VALUE(H474),)</f>
        <v>0</v>
      </c>
      <c r="J474" s="34" t="e">
        <f aca="false">RIGHT(B474,LEN(B474)-FIND("/",B474, FIND("Single Cells",B474, 1)))</f>
        <v>#VALUE!</v>
      </c>
    </row>
    <row r="475" customFormat="false" ht="12.75" hidden="false" customHeight="true" outlineLevel="0" collapsed="false">
      <c r="E475" s="34" t="str">
        <f aca="false">MID(B475,9,1)</f>
        <v/>
      </c>
      <c r="F475" s="34" t="str">
        <f aca="false">MID(B475,10,1)</f>
        <v/>
      </c>
      <c r="G475" s="34" t="str">
        <f aca="false">MID(B475,11,1)</f>
        <v/>
      </c>
      <c r="H475" s="35" t="str">
        <f aca="false">IF(G475=".",F475,CONCATENATE(F475,G475))</f>
        <v/>
      </c>
      <c r="I475" s="34" t="n">
        <f aca="false">IFERROR(VALUE(H475),)</f>
        <v>0</v>
      </c>
      <c r="J475" s="34" t="e">
        <f aca="false">RIGHT(B475,LEN(B475)-FIND("/",B475, FIND("Single Cells",B475, 1)))</f>
        <v>#VALUE!</v>
      </c>
    </row>
    <row r="476" customFormat="false" ht="12.75" hidden="false" customHeight="true" outlineLevel="0" collapsed="false">
      <c r="E476" s="34" t="str">
        <f aca="false">MID(B476,9,1)</f>
        <v/>
      </c>
      <c r="F476" s="34" t="str">
        <f aca="false">MID(B476,10,1)</f>
        <v/>
      </c>
      <c r="G476" s="34" t="str">
        <f aca="false">MID(B476,11,1)</f>
        <v/>
      </c>
      <c r="H476" s="35" t="str">
        <f aca="false">IF(G476=".",F476,CONCATENATE(F476,G476))</f>
        <v/>
      </c>
      <c r="I476" s="34" t="n">
        <f aca="false">IFERROR(VALUE(H476),)</f>
        <v>0</v>
      </c>
      <c r="J476" s="34" t="e">
        <f aca="false">RIGHT(B476,LEN(B476)-FIND("/",B476, FIND("Single Cells",B476, 1)))</f>
        <v>#VALUE!</v>
      </c>
    </row>
    <row r="477" customFormat="false" ht="12.75" hidden="false" customHeight="true" outlineLevel="0" collapsed="false">
      <c r="E477" s="34" t="str">
        <f aca="false">MID(B477,9,1)</f>
        <v/>
      </c>
      <c r="F477" s="34" t="str">
        <f aca="false">MID(B477,10,1)</f>
        <v/>
      </c>
      <c r="G477" s="34" t="str">
        <f aca="false">MID(B477,11,1)</f>
        <v/>
      </c>
      <c r="H477" s="35" t="str">
        <f aca="false">IF(G477=".",F477,CONCATENATE(F477,G477))</f>
        <v/>
      </c>
      <c r="I477" s="34" t="n">
        <f aca="false">IFERROR(VALUE(H477),)</f>
        <v>0</v>
      </c>
      <c r="J477" s="34" t="e">
        <f aca="false">RIGHT(B477,LEN(B477)-FIND("/",B477, FIND("Single Cells",B477, 1)))</f>
        <v>#VALUE!</v>
      </c>
    </row>
    <row r="478" customFormat="false" ht="12.75" hidden="false" customHeight="true" outlineLevel="0" collapsed="false">
      <c r="E478" s="34" t="str">
        <f aca="false">MID(B478,9,1)</f>
        <v/>
      </c>
      <c r="F478" s="34" t="str">
        <f aca="false">MID(B478,10,1)</f>
        <v/>
      </c>
      <c r="G478" s="34" t="str">
        <f aca="false">MID(B478,11,1)</f>
        <v/>
      </c>
      <c r="H478" s="35" t="str">
        <f aca="false">IF(G478=".",F478,CONCATENATE(F478,G478))</f>
        <v/>
      </c>
      <c r="I478" s="34" t="n">
        <f aca="false">IFERROR(VALUE(H478),)</f>
        <v>0</v>
      </c>
      <c r="J478" s="34" t="e">
        <f aca="false">RIGHT(B478,LEN(B478)-FIND("/",B478, FIND("Single Cells",B478, 1)))</f>
        <v>#VALUE!</v>
      </c>
    </row>
    <row r="479" customFormat="false" ht="12.75" hidden="false" customHeight="true" outlineLevel="0" collapsed="false">
      <c r="E479" s="34" t="str">
        <f aca="false">MID(B479,9,1)</f>
        <v/>
      </c>
      <c r="F479" s="34" t="str">
        <f aca="false">MID(B479,10,1)</f>
        <v/>
      </c>
      <c r="G479" s="34" t="str">
        <f aca="false">MID(B479,11,1)</f>
        <v/>
      </c>
      <c r="H479" s="35" t="str">
        <f aca="false">IF(G479=".",F479,CONCATENATE(F479,G479))</f>
        <v/>
      </c>
      <c r="I479" s="34" t="n">
        <f aca="false">IFERROR(VALUE(H479),)</f>
        <v>0</v>
      </c>
      <c r="J479" s="34" t="e">
        <f aca="false">RIGHT(B479,LEN(B479)-FIND("/",B479, FIND("Single Cells",B479, 1)))</f>
        <v>#VALUE!</v>
      </c>
    </row>
    <row r="480" customFormat="false" ht="12.75" hidden="false" customHeight="true" outlineLevel="0" collapsed="false">
      <c r="E480" s="34" t="str">
        <f aca="false">MID(B480,9,1)</f>
        <v/>
      </c>
      <c r="F480" s="34" t="str">
        <f aca="false">MID(B480,10,1)</f>
        <v/>
      </c>
      <c r="G480" s="34" t="str">
        <f aca="false">MID(B480,11,1)</f>
        <v/>
      </c>
      <c r="H480" s="35" t="str">
        <f aca="false">IF(G480=".",F480,CONCATENATE(F480,G480))</f>
        <v/>
      </c>
      <c r="I480" s="34" t="n">
        <f aca="false">IFERROR(VALUE(H480),)</f>
        <v>0</v>
      </c>
      <c r="J480" s="34" t="e">
        <f aca="false">RIGHT(B480,LEN(B480)-FIND("/",B480, FIND("Single Cells",B480, 1)))</f>
        <v>#VALUE!</v>
      </c>
    </row>
    <row r="481" customFormat="false" ht="12.75" hidden="false" customHeight="true" outlineLevel="0" collapsed="false">
      <c r="E481" s="34" t="str">
        <f aca="false">MID(B481,9,1)</f>
        <v/>
      </c>
      <c r="F481" s="34" t="str">
        <f aca="false">MID(B481,10,1)</f>
        <v/>
      </c>
      <c r="G481" s="34" t="str">
        <f aca="false">MID(B481,11,1)</f>
        <v/>
      </c>
      <c r="H481" s="35" t="str">
        <f aca="false">IF(G481=".",F481,CONCATENATE(F481,G481))</f>
        <v/>
      </c>
      <c r="I481" s="34" t="n">
        <f aca="false">IFERROR(VALUE(H481),)</f>
        <v>0</v>
      </c>
      <c r="J481" s="34" t="e">
        <f aca="false">RIGHT(B481,LEN(B481)-FIND("/",B481, FIND("Single Cells",B481, 1)))</f>
        <v>#VALUE!</v>
      </c>
    </row>
    <row r="482" customFormat="false" ht="12.75" hidden="false" customHeight="true" outlineLevel="0" collapsed="false">
      <c r="E482" s="34" t="str">
        <f aca="false">MID(B482,9,1)</f>
        <v/>
      </c>
      <c r="F482" s="34" t="str">
        <f aca="false">MID(B482,10,1)</f>
        <v/>
      </c>
      <c r="G482" s="34" t="str">
        <f aca="false">MID(B482,11,1)</f>
        <v/>
      </c>
      <c r="H482" s="35" t="str">
        <f aca="false">IF(G482=".",F482,CONCATENATE(F482,G482))</f>
        <v/>
      </c>
      <c r="I482" s="34" t="n">
        <f aca="false">IFERROR(VALUE(H482),)</f>
        <v>0</v>
      </c>
      <c r="J482" s="34" t="e">
        <f aca="false">RIGHT(B482,LEN(B482)-FIND("/",B482, FIND("Single Cells",B482, 1)))</f>
        <v>#VALUE!</v>
      </c>
    </row>
    <row r="483" customFormat="false" ht="12.75" hidden="false" customHeight="true" outlineLevel="0" collapsed="false">
      <c r="E483" s="34" t="str">
        <f aca="false">MID(B483,9,1)</f>
        <v/>
      </c>
      <c r="F483" s="34" t="str">
        <f aca="false">MID(B483,10,1)</f>
        <v/>
      </c>
      <c r="G483" s="34" t="str">
        <f aca="false">MID(B483,11,1)</f>
        <v/>
      </c>
      <c r="H483" s="35" t="str">
        <f aca="false">IF(G483=".",F483,CONCATENATE(F483,G483))</f>
        <v/>
      </c>
      <c r="I483" s="34" t="n">
        <f aca="false">IFERROR(VALUE(H483),)</f>
        <v>0</v>
      </c>
      <c r="J483" s="34" t="e">
        <f aca="false">RIGHT(B483,LEN(B483)-FIND("/",B483, FIND("Single Cells",B483, 1)))</f>
        <v>#VALUE!</v>
      </c>
    </row>
    <row r="484" customFormat="false" ht="12.75" hidden="false" customHeight="true" outlineLevel="0" collapsed="false">
      <c r="E484" s="34" t="str">
        <f aca="false">MID(B484,9,1)</f>
        <v/>
      </c>
      <c r="F484" s="34" t="str">
        <f aca="false">MID(B484,10,1)</f>
        <v/>
      </c>
      <c r="G484" s="34" t="str">
        <f aca="false">MID(B484,11,1)</f>
        <v/>
      </c>
      <c r="H484" s="35" t="str">
        <f aca="false">IF(G484=".",F484,CONCATENATE(F484,G484))</f>
        <v/>
      </c>
      <c r="I484" s="34" t="n">
        <f aca="false">IFERROR(VALUE(H484),)</f>
        <v>0</v>
      </c>
      <c r="J484" s="34" t="e">
        <f aca="false">RIGHT(B484,LEN(B484)-FIND("/",B484, FIND("Single Cells",B484, 1)))</f>
        <v>#VALUE!</v>
      </c>
    </row>
    <row r="485" customFormat="false" ht="12.75" hidden="false" customHeight="true" outlineLevel="0" collapsed="false">
      <c r="E485" s="34" t="str">
        <f aca="false">MID(B485,9,1)</f>
        <v/>
      </c>
      <c r="F485" s="34" t="str">
        <f aca="false">MID(B485,10,1)</f>
        <v/>
      </c>
      <c r="G485" s="34" t="str">
        <f aca="false">MID(B485,11,1)</f>
        <v/>
      </c>
      <c r="H485" s="35" t="str">
        <f aca="false">IF(G485=".",F485,CONCATENATE(F485,G485))</f>
        <v/>
      </c>
      <c r="I485" s="34" t="n">
        <f aca="false">IFERROR(VALUE(H485),)</f>
        <v>0</v>
      </c>
      <c r="J485" s="34" t="e">
        <f aca="false">RIGHT(B485,LEN(B485)-FIND("/",B485, FIND("Single Cells",B485, 1)))</f>
        <v>#VALUE!</v>
      </c>
    </row>
    <row r="486" customFormat="false" ht="12.75" hidden="false" customHeight="true" outlineLevel="0" collapsed="false">
      <c r="E486" s="34" t="str">
        <f aca="false">MID(B486,9,1)</f>
        <v/>
      </c>
      <c r="F486" s="34" t="str">
        <f aca="false">MID(B486,10,1)</f>
        <v/>
      </c>
      <c r="G486" s="34" t="str">
        <f aca="false">MID(B486,11,1)</f>
        <v/>
      </c>
      <c r="H486" s="35" t="str">
        <f aca="false">IF(G486=".",F486,CONCATENATE(F486,G486))</f>
        <v/>
      </c>
      <c r="I486" s="34" t="n">
        <f aca="false">IFERROR(VALUE(H486),)</f>
        <v>0</v>
      </c>
      <c r="J486" s="34" t="e">
        <f aca="false">RIGHT(B486,LEN(B486)-FIND("/",B486, FIND("Single Cells",B486, 1)))</f>
        <v>#VALUE!</v>
      </c>
    </row>
    <row r="487" customFormat="false" ht="12.75" hidden="false" customHeight="true" outlineLevel="0" collapsed="false">
      <c r="E487" s="34" t="str">
        <f aca="false">MID(B487,9,1)</f>
        <v/>
      </c>
      <c r="F487" s="34" t="str">
        <f aca="false">MID(B487,10,1)</f>
        <v/>
      </c>
      <c r="G487" s="34" t="str">
        <f aca="false">MID(B487,11,1)</f>
        <v/>
      </c>
      <c r="H487" s="35" t="str">
        <f aca="false">IF(G487=".",F487,CONCATENATE(F487,G487))</f>
        <v/>
      </c>
      <c r="I487" s="34" t="n">
        <f aca="false">IFERROR(VALUE(H487),)</f>
        <v>0</v>
      </c>
      <c r="J487" s="34" t="e">
        <f aca="false">RIGHT(B487,LEN(B487)-FIND("/",B487, FIND("Single Cells",B487, 1)))</f>
        <v>#VALUE!</v>
      </c>
    </row>
    <row r="488" customFormat="false" ht="12.75" hidden="false" customHeight="true" outlineLevel="0" collapsed="false">
      <c r="E488" s="34" t="str">
        <f aca="false">MID(B488,9,1)</f>
        <v/>
      </c>
      <c r="F488" s="34" t="str">
        <f aca="false">MID(B488,10,1)</f>
        <v/>
      </c>
      <c r="G488" s="34" t="str">
        <f aca="false">MID(B488,11,1)</f>
        <v/>
      </c>
      <c r="H488" s="35" t="str">
        <f aca="false">IF(G488=".",F488,CONCATENATE(F488,G488))</f>
        <v/>
      </c>
      <c r="I488" s="34" t="n">
        <f aca="false">IFERROR(VALUE(H488),)</f>
        <v>0</v>
      </c>
      <c r="J488" s="34" t="e">
        <f aca="false">RIGHT(B488,LEN(B488)-FIND("/",B488, FIND("Single Cells",B488, 1)))</f>
        <v>#VALUE!</v>
      </c>
    </row>
    <row r="489" customFormat="false" ht="12.75" hidden="false" customHeight="true" outlineLevel="0" collapsed="false">
      <c r="E489" s="34" t="str">
        <f aca="false">MID(B489,9,1)</f>
        <v/>
      </c>
      <c r="F489" s="34" t="str">
        <f aca="false">MID(B489,10,1)</f>
        <v/>
      </c>
      <c r="G489" s="34" t="str">
        <f aca="false">MID(B489,11,1)</f>
        <v/>
      </c>
      <c r="H489" s="35" t="str">
        <f aca="false">IF(G489=".",F489,CONCATENATE(F489,G489))</f>
        <v/>
      </c>
      <c r="I489" s="34" t="n">
        <f aca="false">IFERROR(VALUE(H489),)</f>
        <v>0</v>
      </c>
      <c r="J489" s="34" t="e">
        <f aca="false">RIGHT(B489,LEN(B489)-FIND("/",B489, FIND("Single Cells",B489, 1)))</f>
        <v>#VALUE!</v>
      </c>
    </row>
    <row r="490" customFormat="false" ht="12.75" hidden="false" customHeight="true" outlineLevel="0" collapsed="false">
      <c r="E490" s="34" t="str">
        <f aca="false">MID(B490,9,1)</f>
        <v/>
      </c>
      <c r="F490" s="34" t="str">
        <f aca="false">MID(B490,10,1)</f>
        <v/>
      </c>
      <c r="G490" s="34" t="str">
        <f aca="false">MID(B490,11,1)</f>
        <v/>
      </c>
      <c r="H490" s="35" t="str">
        <f aca="false">IF(G490=".",F490,CONCATENATE(F490,G490))</f>
        <v/>
      </c>
      <c r="I490" s="34" t="n">
        <f aca="false">IFERROR(VALUE(H490),)</f>
        <v>0</v>
      </c>
      <c r="J490" s="34" t="e">
        <f aca="false">RIGHT(B490,LEN(B490)-FIND("/",B490, FIND("Single Cells",B490, 1)))</f>
        <v>#VALUE!</v>
      </c>
    </row>
    <row r="491" customFormat="false" ht="12.75" hidden="false" customHeight="true" outlineLevel="0" collapsed="false">
      <c r="E491" s="34" t="str">
        <f aca="false">MID(B491,9,1)</f>
        <v/>
      </c>
      <c r="F491" s="34" t="str">
        <f aca="false">MID(B491,10,1)</f>
        <v/>
      </c>
      <c r="G491" s="34" t="str">
        <f aca="false">MID(B491,11,1)</f>
        <v/>
      </c>
      <c r="H491" s="35" t="str">
        <f aca="false">IF(G491=".",F491,CONCATENATE(F491,G491))</f>
        <v/>
      </c>
      <c r="I491" s="34" t="n">
        <f aca="false">IFERROR(VALUE(H491),)</f>
        <v>0</v>
      </c>
      <c r="J491" s="34" t="e">
        <f aca="false">RIGHT(B491,LEN(B491)-FIND("/",B491, FIND("Single Cells",B491, 1)))</f>
        <v>#VALUE!</v>
      </c>
    </row>
    <row r="492" customFormat="false" ht="12.75" hidden="false" customHeight="true" outlineLevel="0" collapsed="false">
      <c r="E492" s="34" t="str">
        <f aca="false">MID(B492,9,1)</f>
        <v/>
      </c>
      <c r="F492" s="34" t="str">
        <f aca="false">MID(B492,10,1)</f>
        <v/>
      </c>
      <c r="G492" s="34" t="str">
        <f aca="false">MID(B492,11,1)</f>
        <v/>
      </c>
      <c r="H492" s="35" t="str">
        <f aca="false">IF(G492=".",F492,CONCATENATE(F492,G492))</f>
        <v/>
      </c>
      <c r="I492" s="34" t="n">
        <f aca="false">IFERROR(VALUE(H492),)</f>
        <v>0</v>
      </c>
      <c r="J492" s="34" t="e">
        <f aca="false">RIGHT(B492,LEN(B492)-FIND("/",B492, FIND("Single Cells",B492, 1)))</f>
        <v>#VALUE!</v>
      </c>
    </row>
    <row r="493" customFormat="false" ht="12.75" hidden="false" customHeight="true" outlineLevel="0" collapsed="false">
      <c r="E493" s="34" t="str">
        <f aca="false">MID(B493,9,1)</f>
        <v/>
      </c>
      <c r="F493" s="34" t="str">
        <f aca="false">MID(B493,10,1)</f>
        <v/>
      </c>
      <c r="G493" s="34" t="str">
        <f aca="false">MID(B493,11,1)</f>
        <v/>
      </c>
      <c r="H493" s="35" t="str">
        <f aca="false">IF(G493=".",F493,CONCATENATE(F493,G493))</f>
        <v/>
      </c>
      <c r="I493" s="34" t="n">
        <f aca="false">IFERROR(VALUE(H493),)</f>
        <v>0</v>
      </c>
      <c r="J493" s="34" t="e">
        <f aca="false">RIGHT(B493,LEN(B493)-FIND("/",B493, FIND("Single Cells",B493, 1)))</f>
        <v>#VALUE!</v>
      </c>
    </row>
    <row r="494" customFormat="false" ht="12.75" hidden="false" customHeight="true" outlineLevel="0" collapsed="false">
      <c r="E494" s="34" t="str">
        <f aca="false">MID(B494,9,1)</f>
        <v/>
      </c>
      <c r="F494" s="34" t="str">
        <f aca="false">MID(B494,10,1)</f>
        <v/>
      </c>
      <c r="G494" s="34" t="str">
        <f aca="false">MID(B494,11,1)</f>
        <v/>
      </c>
      <c r="H494" s="35" t="str">
        <f aca="false">IF(G494=".",F494,CONCATENATE(F494,G494))</f>
        <v/>
      </c>
      <c r="I494" s="34" t="n">
        <f aca="false">IFERROR(VALUE(H494),)</f>
        <v>0</v>
      </c>
      <c r="J494" s="34" t="e">
        <f aca="false">RIGHT(B494,LEN(B494)-FIND("/",B494, FIND("Single Cells",B494, 1)))</f>
        <v>#VALUE!</v>
      </c>
    </row>
    <row r="495" customFormat="false" ht="12.75" hidden="false" customHeight="true" outlineLevel="0" collapsed="false">
      <c r="E495" s="34" t="str">
        <f aca="false">MID(B495,9,1)</f>
        <v/>
      </c>
      <c r="F495" s="34" t="str">
        <f aca="false">MID(B495,10,1)</f>
        <v/>
      </c>
      <c r="G495" s="34" t="str">
        <f aca="false">MID(B495,11,1)</f>
        <v/>
      </c>
      <c r="H495" s="35" t="str">
        <f aca="false">IF(G495=".",F495,CONCATENATE(F495,G495))</f>
        <v/>
      </c>
      <c r="I495" s="34" t="n">
        <f aca="false">IFERROR(VALUE(H495),)</f>
        <v>0</v>
      </c>
      <c r="J495" s="34" t="e">
        <f aca="false">RIGHT(B495,LEN(B495)-FIND("/",B495, FIND("Single Cells",B495, 1)))</f>
        <v>#VALUE!</v>
      </c>
    </row>
    <row r="496" customFormat="false" ht="12.75" hidden="false" customHeight="true" outlineLevel="0" collapsed="false">
      <c r="E496" s="34" t="str">
        <f aca="false">MID(B496,9,1)</f>
        <v/>
      </c>
      <c r="F496" s="34" t="str">
        <f aca="false">MID(B496,10,1)</f>
        <v/>
      </c>
      <c r="G496" s="34" t="str">
        <f aca="false">MID(B496,11,1)</f>
        <v/>
      </c>
      <c r="H496" s="35" t="str">
        <f aca="false">IF(G496=".",F496,CONCATENATE(F496,G496))</f>
        <v/>
      </c>
      <c r="I496" s="34" t="n">
        <f aca="false">IFERROR(VALUE(H496),)</f>
        <v>0</v>
      </c>
      <c r="J496" s="34" t="e">
        <f aca="false">RIGHT(B496,LEN(B496)-FIND("/",B496, FIND("Single Cells",B496, 1)))</f>
        <v>#VALUE!</v>
      </c>
    </row>
    <row r="497" customFormat="false" ht="12.75" hidden="false" customHeight="true" outlineLevel="0" collapsed="false">
      <c r="E497" s="34" t="str">
        <f aca="false">MID(B497,9,1)</f>
        <v/>
      </c>
      <c r="F497" s="34" t="str">
        <f aca="false">MID(B497,10,1)</f>
        <v/>
      </c>
      <c r="G497" s="34" t="str">
        <f aca="false">MID(B497,11,1)</f>
        <v/>
      </c>
      <c r="H497" s="35" t="str">
        <f aca="false">IF(G497=".",F497,CONCATENATE(F497,G497))</f>
        <v/>
      </c>
      <c r="I497" s="34" t="n">
        <f aca="false">IFERROR(VALUE(H497),)</f>
        <v>0</v>
      </c>
      <c r="J497" s="34" t="e">
        <f aca="false">RIGHT(B497,LEN(B497)-FIND("/",B497, FIND("Single Cells",B497, 1)))</f>
        <v>#VALUE!</v>
      </c>
    </row>
    <row r="498" customFormat="false" ht="12.75" hidden="false" customHeight="true" outlineLevel="0" collapsed="false">
      <c r="E498" s="34" t="str">
        <f aca="false">MID(B498,9,1)</f>
        <v/>
      </c>
      <c r="F498" s="34" t="str">
        <f aca="false">MID(B498,10,1)</f>
        <v/>
      </c>
      <c r="G498" s="34" t="str">
        <f aca="false">MID(B498,11,1)</f>
        <v/>
      </c>
      <c r="H498" s="35" t="str">
        <f aca="false">IF(G498=".",F498,CONCATENATE(F498,G498))</f>
        <v/>
      </c>
      <c r="I498" s="34" t="n">
        <f aca="false">IFERROR(VALUE(H498),)</f>
        <v>0</v>
      </c>
      <c r="J498" s="34" t="e">
        <f aca="false">RIGHT(B498,LEN(B498)-FIND("/",B498, FIND("Single Cells",B498, 1)))</f>
        <v>#VALUE!</v>
      </c>
    </row>
    <row r="499" customFormat="false" ht="12.75" hidden="false" customHeight="true" outlineLevel="0" collapsed="false">
      <c r="E499" s="34" t="str">
        <f aca="false">MID(B499,9,1)</f>
        <v/>
      </c>
      <c r="F499" s="34" t="str">
        <f aca="false">MID(B499,10,1)</f>
        <v/>
      </c>
      <c r="G499" s="34" t="str">
        <f aca="false">MID(B499,11,1)</f>
        <v/>
      </c>
      <c r="H499" s="35" t="str">
        <f aca="false">IF(G499=".",F499,CONCATENATE(F499,G499))</f>
        <v/>
      </c>
      <c r="I499" s="34" t="n">
        <f aca="false">IFERROR(VALUE(H499),)</f>
        <v>0</v>
      </c>
      <c r="J499" s="34" t="e">
        <f aca="false">RIGHT(B499,LEN(B499)-FIND("/",B499, FIND("Single Cells",B499, 1)))</f>
        <v>#VALUE!</v>
      </c>
    </row>
    <row r="500" customFormat="false" ht="12.75" hidden="false" customHeight="true" outlineLevel="0" collapsed="false">
      <c r="E500" s="34" t="str">
        <f aca="false">MID(B500,9,1)</f>
        <v/>
      </c>
      <c r="F500" s="34" t="str">
        <f aca="false">MID(B500,10,1)</f>
        <v/>
      </c>
      <c r="G500" s="34" t="str">
        <f aca="false">MID(B500,11,1)</f>
        <v/>
      </c>
      <c r="H500" s="35" t="str">
        <f aca="false">IF(G500=".",F500,CONCATENATE(F500,G500))</f>
        <v/>
      </c>
      <c r="I500" s="34" t="n">
        <f aca="false">IFERROR(VALUE(H500),)</f>
        <v>0</v>
      </c>
      <c r="J500" s="34" t="e">
        <f aca="false">RIGHT(B500,LEN(B500)-FIND("/",B500, FIND("Single Cells",B500, 1)))</f>
        <v>#VALUE!</v>
      </c>
    </row>
    <row r="501" customFormat="false" ht="12.75" hidden="false" customHeight="true" outlineLevel="0" collapsed="false">
      <c r="E501" s="34" t="str">
        <f aca="false">MID(B501,9,1)</f>
        <v/>
      </c>
      <c r="F501" s="34" t="str">
        <f aca="false">MID(B501,10,1)</f>
        <v/>
      </c>
      <c r="G501" s="34" t="str">
        <f aca="false">MID(B501,11,1)</f>
        <v/>
      </c>
      <c r="H501" s="35" t="str">
        <f aca="false">IF(G501=".",F501,CONCATENATE(F501,G501))</f>
        <v/>
      </c>
      <c r="I501" s="34" t="n">
        <f aca="false">IFERROR(VALUE(H501),)</f>
        <v>0</v>
      </c>
      <c r="J501" s="34" t="e">
        <f aca="false">RIGHT(B501,LEN(B501)-FIND("/",B501, FIND("Single Cells",B501, 1)))</f>
        <v>#VALUE!</v>
      </c>
    </row>
    <row r="502" customFormat="false" ht="12.75" hidden="false" customHeight="true" outlineLevel="0" collapsed="false">
      <c r="E502" s="34" t="str">
        <f aca="false">MID(B502,9,1)</f>
        <v/>
      </c>
      <c r="F502" s="34" t="str">
        <f aca="false">MID(B502,10,1)</f>
        <v/>
      </c>
      <c r="G502" s="34" t="str">
        <f aca="false">MID(B502,11,1)</f>
        <v/>
      </c>
      <c r="H502" s="35" t="str">
        <f aca="false">IF(G502=".",F502,CONCATENATE(F502,G502))</f>
        <v/>
      </c>
      <c r="I502" s="34" t="n">
        <f aca="false">IFERROR(VALUE(H502),)</f>
        <v>0</v>
      </c>
      <c r="J502" s="34" t="e">
        <f aca="false">RIGHT(B502,LEN(B502)-FIND("/",B502, FIND("Single Cells",B502, 1)))</f>
        <v>#VALUE!</v>
      </c>
    </row>
    <row r="503" customFormat="false" ht="12.75" hidden="false" customHeight="true" outlineLevel="0" collapsed="false">
      <c r="E503" s="34" t="str">
        <f aca="false">MID(B503,9,1)</f>
        <v/>
      </c>
      <c r="F503" s="34" t="str">
        <f aca="false">MID(B503,10,1)</f>
        <v/>
      </c>
      <c r="G503" s="34" t="str">
        <f aca="false">MID(B503,11,1)</f>
        <v/>
      </c>
      <c r="H503" s="35" t="str">
        <f aca="false">IF(G503=".",F503,CONCATENATE(F503,G503))</f>
        <v/>
      </c>
      <c r="I503" s="34" t="n">
        <f aca="false">IFERROR(VALUE(H503),)</f>
        <v>0</v>
      </c>
      <c r="J503" s="34" t="e">
        <f aca="false">RIGHT(B503,LEN(B503)-FIND("/",B503, FIND("Single Cells",B503, 1)))</f>
        <v>#VALUE!</v>
      </c>
    </row>
    <row r="504" customFormat="false" ht="12.75" hidden="false" customHeight="true" outlineLevel="0" collapsed="false">
      <c r="E504" s="34" t="str">
        <f aca="false">MID(B504,9,1)</f>
        <v/>
      </c>
      <c r="F504" s="34" t="str">
        <f aca="false">MID(B504,10,1)</f>
        <v/>
      </c>
      <c r="G504" s="34" t="str">
        <f aca="false">MID(B504,11,1)</f>
        <v/>
      </c>
      <c r="H504" s="35" t="str">
        <f aca="false">IF(G504=".",F504,CONCATENATE(F504,G504))</f>
        <v/>
      </c>
      <c r="I504" s="34" t="n">
        <f aca="false">IFERROR(VALUE(H504),)</f>
        <v>0</v>
      </c>
      <c r="J504" s="34" t="e">
        <f aca="false">RIGHT(B504,LEN(B504)-FIND("/",B504, FIND("Single Cells",B504, 1)))</f>
        <v>#VALUE!</v>
      </c>
    </row>
    <row r="505" customFormat="false" ht="12.75" hidden="false" customHeight="true" outlineLevel="0" collapsed="false">
      <c r="E505" s="34" t="str">
        <f aca="false">MID(B505,9,1)</f>
        <v/>
      </c>
      <c r="F505" s="34" t="str">
        <f aca="false">MID(B505,10,1)</f>
        <v/>
      </c>
      <c r="G505" s="34" t="str">
        <f aca="false">MID(B505,11,1)</f>
        <v/>
      </c>
      <c r="H505" s="35" t="str">
        <f aca="false">IF(G505=".",F505,CONCATENATE(F505,G505))</f>
        <v/>
      </c>
      <c r="I505" s="34" t="n">
        <f aca="false">IFERROR(VALUE(H505),)</f>
        <v>0</v>
      </c>
      <c r="J505" s="34" t="e">
        <f aca="false">RIGHT(B505,LEN(B505)-FIND("/",B505, FIND("Single Cells",B505, 1)))</f>
        <v>#VALUE!</v>
      </c>
    </row>
    <row r="506" customFormat="false" ht="12.75" hidden="false" customHeight="true" outlineLevel="0" collapsed="false">
      <c r="E506" s="34" t="str">
        <f aca="false">MID(B506,9,1)</f>
        <v/>
      </c>
      <c r="F506" s="34" t="str">
        <f aca="false">MID(B506,10,1)</f>
        <v/>
      </c>
      <c r="G506" s="34" t="str">
        <f aca="false">MID(B506,11,1)</f>
        <v/>
      </c>
      <c r="H506" s="35" t="str">
        <f aca="false">IF(G506=".",F506,CONCATENATE(F506,G506))</f>
        <v/>
      </c>
      <c r="I506" s="34" t="n">
        <f aca="false">IFERROR(VALUE(H506),)</f>
        <v>0</v>
      </c>
      <c r="J506" s="34" t="e">
        <f aca="false">RIGHT(B506,LEN(B506)-FIND("/",B506, FIND("Single Cells",B506, 1)))</f>
        <v>#VALUE!</v>
      </c>
    </row>
    <row r="507" customFormat="false" ht="12.75" hidden="false" customHeight="true" outlineLevel="0" collapsed="false">
      <c r="E507" s="34" t="str">
        <f aca="false">MID(B507,9,1)</f>
        <v/>
      </c>
      <c r="F507" s="34" t="str">
        <f aca="false">MID(B507,10,1)</f>
        <v/>
      </c>
      <c r="G507" s="34" t="str">
        <f aca="false">MID(B507,11,1)</f>
        <v/>
      </c>
      <c r="H507" s="35" t="str">
        <f aca="false">IF(G507=".",F507,CONCATENATE(F507,G507))</f>
        <v/>
      </c>
      <c r="I507" s="34" t="n">
        <f aca="false">IFERROR(VALUE(H507),)</f>
        <v>0</v>
      </c>
      <c r="J507" s="34" t="e">
        <f aca="false">RIGHT(B507,LEN(B507)-FIND("/",B507, FIND("Single Cells",B507, 1)))</f>
        <v>#VALUE!</v>
      </c>
    </row>
    <row r="508" customFormat="false" ht="12.75" hidden="false" customHeight="true" outlineLevel="0" collapsed="false">
      <c r="E508" s="34" t="str">
        <f aca="false">MID(B508,9,1)</f>
        <v/>
      </c>
      <c r="F508" s="34" t="str">
        <f aca="false">MID(B508,10,1)</f>
        <v/>
      </c>
      <c r="G508" s="34" t="str">
        <f aca="false">MID(B508,11,1)</f>
        <v/>
      </c>
      <c r="H508" s="35" t="str">
        <f aca="false">IF(G508=".",F508,CONCATENATE(F508,G508))</f>
        <v/>
      </c>
      <c r="I508" s="34" t="n">
        <f aca="false">IFERROR(VALUE(H508),)</f>
        <v>0</v>
      </c>
      <c r="J508" s="34" t="e">
        <f aca="false">RIGHT(B508,LEN(B508)-FIND("/",B508, FIND("Single Cells",B508, 1)))</f>
        <v>#VALUE!</v>
      </c>
    </row>
    <row r="509" customFormat="false" ht="12.75" hidden="false" customHeight="false" outlineLevel="0" collapsed="false">
      <c r="E509" s="34" t="str">
        <f aca="false">MID(B509,9,1)</f>
        <v/>
      </c>
      <c r="F509" s="34" t="str">
        <f aca="false">MID(B509,10,1)</f>
        <v/>
      </c>
      <c r="G509" s="34" t="str">
        <f aca="false">MID(B509,11,1)</f>
        <v/>
      </c>
      <c r="H509" s="35" t="str">
        <f aca="false">IF(G509=".",F509,CONCATENATE(F509,G509))</f>
        <v/>
      </c>
      <c r="I509" s="34" t="n">
        <f aca="false">IFERROR(VALUE(H509),)</f>
        <v>0</v>
      </c>
      <c r="J509" s="34" t="e">
        <f aca="false">RIGHT(B509,LEN(B509)-FIND("/",B509, FIND("Single Cells",B509, 1)))</f>
        <v>#VALUE!</v>
      </c>
    </row>
    <row r="510" customFormat="false" ht="12.75" hidden="false" customHeight="false" outlineLevel="0" collapsed="false">
      <c r="E510" s="34" t="str">
        <f aca="false">MID(B510,9,1)</f>
        <v/>
      </c>
      <c r="F510" s="34" t="str">
        <f aca="false">MID(B510,10,1)</f>
        <v/>
      </c>
      <c r="G510" s="34" t="str">
        <f aca="false">MID(B510,11,1)</f>
        <v/>
      </c>
      <c r="H510" s="35" t="str">
        <f aca="false">IF(G510=".",F510,CONCATENATE(F510,G510))</f>
        <v/>
      </c>
      <c r="I510" s="34" t="n">
        <f aca="false">IFERROR(VALUE(H510),)</f>
        <v>0</v>
      </c>
      <c r="J510" s="34" t="e">
        <f aca="false">RIGHT(B510,LEN(B510)-FIND("/",B510, FIND("Single Cells",B510, 1)))</f>
        <v>#VALUE!</v>
      </c>
    </row>
    <row r="511" customFormat="false" ht="12.75" hidden="false" customHeight="false" outlineLevel="0" collapsed="false">
      <c r="E511" s="34" t="str">
        <f aca="false">MID(B511,9,1)</f>
        <v/>
      </c>
      <c r="F511" s="34" t="str">
        <f aca="false">MID(B511,10,1)</f>
        <v/>
      </c>
      <c r="G511" s="34" t="str">
        <f aca="false">MID(B511,11,1)</f>
        <v/>
      </c>
      <c r="H511" s="35" t="str">
        <f aca="false">IF(G511=".",F511,CONCATENATE(F511,G511))</f>
        <v/>
      </c>
      <c r="I511" s="34" t="n">
        <f aca="false">IFERROR(VALUE(H511),)</f>
        <v>0</v>
      </c>
      <c r="J511" s="34" t="e">
        <f aca="false">RIGHT(B511,LEN(B511)-FIND("/",B511, FIND("Single Cells",B511, 1)))</f>
        <v>#VALUE!</v>
      </c>
    </row>
    <row r="512" customFormat="false" ht="12.75" hidden="false" customHeight="false" outlineLevel="0" collapsed="false">
      <c r="E512" s="34" t="str">
        <f aca="false">MID(B512,9,1)</f>
        <v/>
      </c>
      <c r="F512" s="34" t="str">
        <f aca="false">MID(B512,10,1)</f>
        <v/>
      </c>
      <c r="G512" s="34" t="str">
        <f aca="false">MID(B512,11,1)</f>
        <v/>
      </c>
      <c r="H512" s="35" t="str">
        <f aca="false">IF(G512=".",F512,CONCATENATE(F512,G512))</f>
        <v/>
      </c>
      <c r="I512" s="34" t="n">
        <f aca="false">IFERROR(VALUE(H512),)</f>
        <v>0</v>
      </c>
      <c r="J512" s="34" t="e">
        <f aca="false">RIGHT(B512,LEN(B512)-FIND("/",B512, FIND("Single Cells",B512, 1)))</f>
        <v>#VALUE!</v>
      </c>
    </row>
    <row r="513" customFormat="false" ht="12.75" hidden="false" customHeight="false" outlineLevel="0" collapsed="false">
      <c r="E513" s="34" t="str">
        <f aca="false">MID(B513,9,1)</f>
        <v/>
      </c>
      <c r="F513" s="34" t="str">
        <f aca="false">MID(B513,10,1)</f>
        <v/>
      </c>
      <c r="G513" s="34" t="str">
        <f aca="false">MID(B513,11,1)</f>
        <v/>
      </c>
      <c r="H513" s="35" t="str">
        <f aca="false">IF(G513=".",F513,CONCATENATE(F513,G513))</f>
        <v/>
      </c>
      <c r="I513" s="34" t="n">
        <f aca="false">IFERROR(VALUE(H513),)</f>
        <v>0</v>
      </c>
      <c r="J513" s="34" t="e">
        <f aca="false">RIGHT(B513,LEN(B513)-FIND("/",B513, FIND("Single Cells",B513, 1)))</f>
        <v>#VALUE!</v>
      </c>
    </row>
    <row r="514" customFormat="false" ht="12.75" hidden="false" customHeight="false" outlineLevel="0" collapsed="false">
      <c r="E514" s="34" t="str">
        <f aca="false">MID(B514,9,1)</f>
        <v/>
      </c>
      <c r="F514" s="34" t="str">
        <f aca="false">MID(B514,10,1)</f>
        <v/>
      </c>
      <c r="G514" s="34" t="str">
        <f aca="false">MID(B514,11,1)</f>
        <v/>
      </c>
      <c r="H514" s="35" t="str">
        <f aca="false">IF(G514=".",F514,CONCATENATE(F514,G514))</f>
        <v/>
      </c>
      <c r="I514" s="34" t="n">
        <f aca="false">IFERROR(VALUE(H514),)</f>
        <v>0</v>
      </c>
      <c r="J514" s="34" t="e">
        <f aca="false">RIGHT(B514,LEN(B514)-FIND("/",B514, FIND("Single Cells",B514, 1)))</f>
        <v>#VALUE!</v>
      </c>
    </row>
    <row r="515" customFormat="false" ht="12.75" hidden="false" customHeight="false" outlineLevel="0" collapsed="false">
      <c r="E515" s="34" t="str">
        <f aca="false">MID(B515,9,1)</f>
        <v/>
      </c>
      <c r="F515" s="34" t="str">
        <f aca="false">MID(B515,10,1)</f>
        <v/>
      </c>
      <c r="G515" s="34" t="str">
        <f aca="false">MID(B515,11,1)</f>
        <v/>
      </c>
      <c r="H515" s="35" t="str">
        <f aca="false">IF(G515=".",F515,CONCATENATE(F515,G515))</f>
        <v/>
      </c>
      <c r="I515" s="34" t="n">
        <f aca="false">IFERROR(VALUE(H515),)</f>
        <v>0</v>
      </c>
      <c r="J515" s="34" t="e">
        <f aca="false">RIGHT(B515,LEN(B515)-FIND("/",B515, FIND("Single Cells",B515, 1)))</f>
        <v>#VALUE!</v>
      </c>
    </row>
    <row r="516" customFormat="false" ht="12.75" hidden="false" customHeight="false" outlineLevel="0" collapsed="false">
      <c r="E516" s="34" t="str">
        <f aca="false">MID(B516,9,1)</f>
        <v/>
      </c>
      <c r="F516" s="34" t="str">
        <f aca="false">MID(B516,10,1)</f>
        <v/>
      </c>
      <c r="G516" s="34" t="str">
        <f aca="false">MID(B516,11,1)</f>
        <v/>
      </c>
      <c r="H516" s="35" t="str">
        <f aca="false">IF(G516=".",F516,CONCATENATE(F516,G516))</f>
        <v/>
      </c>
      <c r="I516" s="34" t="n">
        <f aca="false">IFERROR(VALUE(H516),)</f>
        <v>0</v>
      </c>
      <c r="J516" s="34" t="e">
        <f aca="false">RIGHT(B516,LEN(B516)-FIND("/",B516, FIND("Single Cells",B516, 1)))</f>
        <v>#VALUE!</v>
      </c>
    </row>
    <row r="517" customFormat="false" ht="12.75" hidden="false" customHeight="false" outlineLevel="0" collapsed="false">
      <c r="E517" s="34" t="str">
        <f aca="false">MID(B517,9,1)</f>
        <v/>
      </c>
      <c r="F517" s="34" t="str">
        <f aca="false">MID(B517,10,1)</f>
        <v/>
      </c>
      <c r="G517" s="34" t="str">
        <f aca="false">MID(B517,11,1)</f>
        <v/>
      </c>
      <c r="H517" s="35" t="str">
        <f aca="false">IF(G517=".",F517,CONCATENATE(F517,G517))</f>
        <v/>
      </c>
      <c r="I517" s="34" t="n">
        <f aca="false">IFERROR(VALUE(H517),)</f>
        <v>0</v>
      </c>
      <c r="J517" s="34" t="e">
        <f aca="false">RIGHT(B517,LEN(B517)-FIND("/",B517, FIND("Single Cells",B517, 1)))</f>
        <v>#VALUE!</v>
      </c>
    </row>
    <row r="518" customFormat="false" ht="12.75" hidden="false" customHeight="false" outlineLevel="0" collapsed="false">
      <c r="E518" s="34" t="str">
        <f aca="false">MID(B518,9,1)</f>
        <v/>
      </c>
      <c r="F518" s="34" t="str">
        <f aca="false">MID(B518,10,1)</f>
        <v/>
      </c>
      <c r="G518" s="34" t="str">
        <f aca="false">MID(B518,11,1)</f>
        <v/>
      </c>
      <c r="H518" s="35" t="str">
        <f aca="false">IF(G518=".",F518,CONCATENATE(F518,G518))</f>
        <v/>
      </c>
      <c r="I518" s="34" t="n">
        <f aca="false">IFERROR(VALUE(H518),)</f>
        <v>0</v>
      </c>
      <c r="J518" s="34" t="e">
        <f aca="false">RIGHT(B518,LEN(B518)-FIND("/",B518, FIND("Single Cells",B518, 1)))</f>
        <v>#VALUE!</v>
      </c>
    </row>
    <row r="519" customFormat="false" ht="12.75" hidden="false" customHeight="false" outlineLevel="0" collapsed="false">
      <c r="E519" s="34" t="str">
        <f aca="false">MID(B519,9,1)</f>
        <v/>
      </c>
      <c r="F519" s="34" t="str">
        <f aca="false">MID(B519,10,1)</f>
        <v/>
      </c>
      <c r="G519" s="34" t="str">
        <f aca="false">MID(B519,11,1)</f>
        <v/>
      </c>
      <c r="H519" s="35" t="str">
        <f aca="false">IF(G519=".",F519,CONCATENATE(F519,G519))</f>
        <v/>
      </c>
      <c r="I519" s="34" t="n">
        <f aca="false">IFERROR(VALUE(H519),)</f>
        <v>0</v>
      </c>
      <c r="J519" s="34" t="e">
        <f aca="false">RIGHT(B519,LEN(B519)-FIND("/",B519, FIND("Single Cells",B519, 1)))</f>
        <v>#VALUE!</v>
      </c>
    </row>
    <row r="520" customFormat="false" ht="12.75" hidden="false" customHeight="false" outlineLevel="0" collapsed="false">
      <c r="E520" s="34" t="str">
        <f aca="false">MID(B520,9,1)</f>
        <v/>
      </c>
      <c r="F520" s="34" t="str">
        <f aca="false">MID(B520,10,1)</f>
        <v/>
      </c>
      <c r="G520" s="34" t="str">
        <f aca="false">MID(B520,11,1)</f>
        <v/>
      </c>
      <c r="H520" s="35" t="str">
        <f aca="false">IF(G520=".",F520,CONCATENATE(F520,G520))</f>
        <v/>
      </c>
      <c r="I520" s="34" t="n">
        <f aca="false">IFERROR(VALUE(H520),)</f>
        <v>0</v>
      </c>
      <c r="J520" s="34" t="e">
        <f aca="false">RIGHT(B520,LEN(B520)-FIND("/",B520, FIND("Single Cells",B520, 1)))</f>
        <v>#VALUE!</v>
      </c>
    </row>
    <row r="521" customFormat="false" ht="12.75" hidden="false" customHeight="false" outlineLevel="0" collapsed="false">
      <c r="E521" s="34" t="str">
        <f aca="false">MID(B521,9,1)</f>
        <v/>
      </c>
      <c r="F521" s="34" t="str">
        <f aca="false">MID(B521,10,1)</f>
        <v/>
      </c>
      <c r="G521" s="34" t="str">
        <f aca="false">MID(B521,11,1)</f>
        <v/>
      </c>
      <c r="H521" s="35" t="str">
        <f aca="false">IF(G521=".",F521,CONCATENATE(F521,G521))</f>
        <v/>
      </c>
      <c r="I521" s="34" t="n">
        <f aca="false">IFERROR(VALUE(H521),)</f>
        <v>0</v>
      </c>
      <c r="J521" s="34" t="e">
        <f aca="false">RIGHT(B521,LEN(B521)-FIND("/",B521, FIND("Single Cells",B521, 1)))</f>
        <v>#VALUE!</v>
      </c>
    </row>
    <row r="522" customFormat="false" ht="12.75" hidden="false" customHeight="false" outlineLevel="0" collapsed="false">
      <c r="E522" s="34" t="str">
        <f aca="false">MID(B522,9,1)</f>
        <v/>
      </c>
      <c r="F522" s="34" t="str">
        <f aca="false">MID(B522,10,1)</f>
        <v/>
      </c>
      <c r="G522" s="34" t="str">
        <f aca="false">MID(B522,11,1)</f>
        <v/>
      </c>
      <c r="H522" s="35" t="str">
        <f aca="false">IF(G522=".",F522,CONCATENATE(F522,G522))</f>
        <v/>
      </c>
      <c r="I522" s="34" t="n">
        <f aca="false">IFERROR(VALUE(H522),)</f>
        <v>0</v>
      </c>
      <c r="J522" s="34" t="e">
        <f aca="false">RIGHT(B522,LEN(B522)-FIND("/",B522, FIND("Single Cells",B522, 1)))</f>
        <v>#VALUE!</v>
      </c>
    </row>
    <row r="523" customFormat="false" ht="12.75" hidden="false" customHeight="false" outlineLevel="0" collapsed="false">
      <c r="E523" s="34" t="str">
        <f aca="false">MID(B523,9,1)</f>
        <v/>
      </c>
      <c r="F523" s="34" t="str">
        <f aca="false">MID(B523,10,1)</f>
        <v/>
      </c>
      <c r="G523" s="34" t="str">
        <f aca="false">MID(B523,11,1)</f>
        <v/>
      </c>
      <c r="H523" s="35" t="str">
        <f aca="false">IF(G523=".",F523,CONCATENATE(F523,G523))</f>
        <v/>
      </c>
      <c r="I523" s="34" t="n">
        <f aca="false">IFERROR(VALUE(H523),)</f>
        <v>0</v>
      </c>
      <c r="J523" s="34" t="e">
        <f aca="false">RIGHT(B523,LEN(B523)-FIND("/",B523, FIND("Single Cells",B523, 1)))</f>
        <v>#VALUE!</v>
      </c>
    </row>
    <row r="524" customFormat="false" ht="12.75" hidden="false" customHeight="false" outlineLevel="0" collapsed="false">
      <c r="E524" s="34" t="str">
        <f aca="false">MID(B524,9,1)</f>
        <v/>
      </c>
      <c r="F524" s="34" t="str">
        <f aca="false">MID(B524,10,1)</f>
        <v/>
      </c>
      <c r="G524" s="34" t="str">
        <f aca="false">MID(B524,11,1)</f>
        <v/>
      </c>
      <c r="H524" s="35" t="str">
        <f aca="false">IF(G524=".",F524,CONCATENATE(F524,G524))</f>
        <v/>
      </c>
      <c r="I524" s="34" t="n">
        <f aca="false">IFERROR(VALUE(H524),)</f>
        <v>0</v>
      </c>
      <c r="J524" s="34" t="e">
        <f aca="false">RIGHT(B524,LEN(B524)-FIND("/",B524, FIND("Single Cells",B524, 1)))</f>
        <v>#VALUE!</v>
      </c>
    </row>
    <row r="525" customFormat="false" ht="12.75" hidden="false" customHeight="false" outlineLevel="0" collapsed="false">
      <c r="E525" s="34" t="str">
        <f aca="false">MID(B525,9,1)</f>
        <v/>
      </c>
      <c r="F525" s="34" t="str">
        <f aca="false">MID(B525,10,1)</f>
        <v/>
      </c>
      <c r="G525" s="34" t="str">
        <f aca="false">MID(B525,11,1)</f>
        <v/>
      </c>
      <c r="H525" s="35" t="str">
        <f aca="false">IF(G525=".",F525,CONCATENATE(F525,G525))</f>
        <v/>
      </c>
      <c r="I525" s="34" t="n">
        <f aca="false">IFERROR(VALUE(H525),)</f>
        <v>0</v>
      </c>
      <c r="J525" s="34" t="e">
        <f aca="false">RIGHT(B525,LEN(B525)-FIND("/",B525, FIND("Single Cells",B525, 1)))</f>
        <v>#VALUE!</v>
      </c>
    </row>
    <row r="526" customFormat="false" ht="12.75" hidden="false" customHeight="false" outlineLevel="0" collapsed="false">
      <c r="E526" s="34" t="str">
        <f aca="false">MID(B526,9,1)</f>
        <v/>
      </c>
      <c r="F526" s="34" t="str">
        <f aca="false">MID(B526,10,1)</f>
        <v/>
      </c>
      <c r="G526" s="34" t="str">
        <f aca="false">MID(B526,11,1)</f>
        <v/>
      </c>
      <c r="H526" s="35" t="str">
        <f aca="false">IF(G526=".",F526,CONCATENATE(F526,G526))</f>
        <v/>
      </c>
      <c r="I526" s="34" t="n">
        <f aca="false">IFERROR(VALUE(H526),)</f>
        <v>0</v>
      </c>
      <c r="J526" s="34" t="e">
        <f aca="false">RIGHT(B526,LEN(B526)-FIND("/",B526, FIND("Single Cells",B526, 1)))</f>
        <v>#VALUE!</v>
      </c>
    </row>
    <row r="527" customFormat="false" ht="12.75" hidden="false" customHeight="false" outlineLevel="0" collapsed="false">
      <c r="E527" s="34" t="str">
        <f aca="false">MID(B527,9,1)</f>
        <v/>
      </c>
      <c r="F527" s="34" t="str">
        <f aca="false">MID(B527,10,1)</f>
        <v/>
      </c>
      <c r="G527" s="34" t="str">
        <f aca="false">MID(B527,11,1)</f>
        <v/>
      </c>
      <c r="H527" s="35" t="str">
        <f aca="false">IF(G527=".",F527,CONCATENATE(F527,G527))</f>
        <v/>
      </c>
      <c r="I527" s="34" t="n">
        <f aca="false">IFERROR(VALUE(H527),)</f>
        <v>0</v>
      </c>
      <c r="J527" s="34" t="e">
        <f aca="false">RIGHT(B527,LEN(B527)-FIND("/",B527, FIND("Single Cells",B527, 1)))</f>
        <v>#VALUE!</v>
      </c>
    </row>
    <row r="528" customFormat="false" ht="12.75" hidden="false" customHeight="false" outlineLevel="0" collapsed="false">
      <c r="E528" s="34" t="str">
        <f aca="false">MID(B528,9,1)</f>
        <v/>
      </c>
      <c r="F528" s="34" t="str">
        <f aca="false">MID(B528,10,1)</f>
        <v/>
      </c>
      <c r="G528" s="34" t="str">
        <f aca="false">MID(B528,11,1)</f>
        <v/>
      </c>
      <c r="H528" s="35" t="str">
        <f aca="false">IF(G528=".",F528,CONCATENATE(F528,G528))</f>
        <v/>
      </c>
      <c r="I528" s="34" t="n">
        <f aca="false">IFERROR(VALUE(H528),)</f>
        <v>0</v>
      </c>
      <c r="J528" s="34" t="e">
        <f aca="false">RIGHT(B528,LEN(B528)-FIND("/",B528, FIND("Single Cells",B528, 1)))</f>
        <v>#VALUE!</v>
      </c>
    </row>
    <row r="529" customFormat="false" ht="12.75" hidden="false" customHeight="false" outlineLevel="0" collapsed="false">
      <c r="E529" s="34" t="str">
        <f aca="false">MID(B529,9,1)</f>
        <v/>
      </c>
      <c r="F529" s="34" t="str">
        <f aca="false">MID(B529,10,1)</f>
        <v/>
      </c>
      <c r="G529" s="34" t="str">
        <f aca="false">MID(B529,11,1)</f>
        <v/>
      </c>
      <c r="H529" s="35" t="str">
        <f aca="false">IF(G529=".",F529,CONCATENATE(F529,G529))</f>
        <v/>
      </c>
      <c r="I529" s="34" t="n">
        <f aca="false">IFERROR(VALUE(H529),)</f>
        <v>0</v>
      </c>
      <c r="J529" s="34" t="e">
        <f aca="false">RIGHT(B529,LEN(B529)-FIND("/",B529, FIND("Single Cells",B529, 1)))</f>
        <v>#VALUE!</v>
      </c>
    </row>
    <row r="530" customFormat="false" ht="12.75" hidden="false" customHeight="false" outlineLevel="0" collapsed="false">
      <c r="E530" s="34" t="str">
        <f aca="false">MID(B530,9,1)</f>
        <v/>
      </c>
      <c r="F530" s="34" t="str">
        <f aca="false">MID(B530,10,1)</f>
        <v/>
      </c>
      <c r="G530" s="34" t="str">
        <f aca="false">MID(B530,11,1)</f>
        <v/>
      </c>
      <c r="H530" s="35" t="str">
        <f aca="false">IF(G530=".",F530,CONCATENATE(F530,G530))</f>
        <v/>
      </c>
      <c r="I530" s="34" t="n">
        <f aca="false">IFERROR(VALUE(H530),)</f>
        <v>0</v>
      </c>
      <c r="J530" s="34" t="e">
        <f aca="false">RIGHT(B530,LEN(B530)-FIND("/",B530, FIND("Single Cells",B530, 1)))</f>
        <v>#VALUE!</v>
      </c>
    </row>
    <row r="531" customFormat="false" ht="12.75" hidden="false" customHeight="false" outlineLevel="0" collapsed="false">
      <c r="E531" s="34" t="str">
        <f aca="false">MID(B531,9,1)</f>
        <v/>
      </c>
      <c r="F531" s="34" t="str">
        <f aca="false">MID(B531,10,1)</f>
        <v/>
      </c>
      <c r="G531" s="34" t="str">
        <f aca="false">MID(B531,11,1)</f>
        <v/>
      </c>
      <c r="H531" s="35" t="str">
        <f aca="false">IF(G531=".",F531,CONCATENATE(F531,G531))</f>
        <v/>
      </c>
      <c r="I531" s="34" t="n">
        <f aca="false">IFERROR(VALUE(H531),)</f>
        <v>0</v>
      </c>
      <c r="J531" s="34" t="e">
        <f aca="false">RIGHT(B531,LEN(B531)-FIND("/",B531, FIND("Single Cells",B531, 1)))</f>
        <v>#VALUE!</v>
      </c>
    </row>
    <row r="532" customFormat="false" ht="12.75" hidden="false" customHeight="false" outlineLevel="0" collapsed="false">
      <c r="E532" s="34" t="str">
        <f aca="false">MID(B532,9,1)</f>
        <v/>
      </c>
      <c r="F532" s="34" t="str">
        <f aca="false">MID(B532,10,1)</f>
        <v/>
      </c>
      <c r="G532" s="34" t="str">
        <f aca="false">MID(B532,11,1)</f>
        <v/>
      </c>
      <c r="H532" s="35" t="str">
        <f aca="false">IF(G532=".",F532,CONCATENATE(F532,G532))</f>
        <v/>
      </c>
      <c r="I532" s="34" t="n">
        <f aca="false">IFERROR(VALUE(H532),)</f>
        <v>0</v>
      </c>
      <c r="J532" s="34" t="e">
        <f aca="false">RIGHT(B532,LEN(B532)-FIND("/",B532, FIND("Single Cells",B532, 1)))</f>
        <v>#VALUE!</v>
      </c>
    </row>
    <row r="533" customFormat="false" ht="12.75" hidden="false" customHeight="false" outlineLevel="0" collapsed="false">
      <c r="E533" s="34" t="str">
        <f aca="false">MID(B533,9,1)</f>
        <v/>
      </c>
      <c r="F533" s="34" t="str">
        <f aca="false">MID(B533,10,1)</f>
        <v/>
      </c>
      <c r="G533" s="34" t="str">
        <f aca="false">MID(B533,11,1)</f>
        <v/>
      </c>
      <c r="H533" s="35" t="str">
        <f aca="false">IF(G533=".",F533,CONCATENATE(F533,G533))</f>
        <v/>
      </c>
      <c r="I533" s="34" t="n">
        <f aca="false">IFERROR(VALUE(H533),)</f>
        <v>0</v>
      </c>
      <c r="J533" s="34" t="e">
        <f aca="false">RIGHT(B533,LEN(B533)-FIND("/",B533, FIND("Single Cells",B533, 1)))</f>
        <v>#VALUE!</v>
      </c>
    </row>
    <row r="534" customFormat="false" ht="12.75" hidden="false" customHeight="false" outlineLevel="0" collapsed="false">
      <c r="E534" s="34" t="str">
        <f aca="false">MID(B534,9,1)</f>
        <v/>
      </c>
      <c r="F534" s="34" t="str">
        <f aca="false">MID(B534,10,1)</f>
        <v/>
      </c>
      <c r="G534" s="34" t="str">
        <f aca="false">MID(B534,11,1)</f>
        <v/>
      </c>
      <c r="H534" s="35" t="str">
        <f aca="false">IF(G534=".",F534,CONCATENATE(F534,G534))</f>
        <v/>
      </c>
      <c r="I534" s="34" t="n">
        <f aca="false">IFERROR(VALUE(H534),)</f>
        <v>0</v>
      </c>
      <c r="J534" s="34" t="e">
        <f aca="false">RIGHT(B534,LEN(B534)-FIND("/",B534, FIND("Single Cells",B534, 1)))</f>
        <v>#VALUE!</v>
      </c>
    </row>
    <row r="535" customFormat="false" ht="12.75" hidden="false" customHeight="false" outlineLevel="0" collapsed="false">
      <c r="E535" s="34" t="str">
        <f aca="false">MID(B535,9,1)</f>
        <v/>
      </c>
      <c r="F535" s="34" t="str">
        <f aca="false">MID(B535,10,1)</f>
        <v/>
      </c>
      <c r="G535" s="34" t="str">
        <f aca="false">MID(B535,11,1)</f>
        <v/>
      </c>
      <c r="H535" s="35" t="str">
        <f aca="false">IF(G535=".",F535,CONCATENATE(F535,G535))</f>
        <v/>
      </c>
      <c r="I535" s="34" t="n">
        <f aca="false">IFERROR(VALUE(H535),)</f>
        <v>0</v>
      </c>
      <c r="J535" s="34" t="e">
        <f aca="false">RIGHT(B535,LEN(B535)-FIND("/",B535, FIND("Single Cells",B535, 1)))</f>
        <v>#VALUE!</v>
      </c>
    </row>
    <row r="536" customFormat="false" ht="12.75" hidden="false" customHeight="false" outlineLevel="0" collapsed="false">
      <c r="E536" s="34" t="str">
        <f aca="false">MID(B536,9,1)</f>
        <v/>
      </c>
      <c r="F536" s="34" t="str">
        <f aca="false">MID(B536,10,1)</f>
        <v/>
      </c>
      <c r="G536" s="34" t="str">
        <f aca="false">MID(B536,11,1)</f>
        <v/>
      </c>
      <c r="H536" s="35" t="str">
        <f aca="false">IF(G536=".",F536,CONCATENATE(F536,G536))</f>
        <v/>
      </c>
      <c r="I536" s="34" t="n">
        <f aca="false">IFERROR(VALUE(H536),)</f>
        <v>0</v>
      </c>
      <c r="J536" s="34" t="e">
        <f aca="false">RIGHT(B536,LEN(B536)-FIND("/",B536, FIND("Single Cells",B536, 1)))</f>
        <v>#VALUE!</v>
      </c>
    </row>
    <row r="537" customFormat="false" ht="12.75" hidden="false" customHeight="false" outlineLevel="0" collapsed="false">
      <c r="E537" s="34" t="str">
        <f aca="false">MID(B537,9,1)</f>
        <v/>
      </c>
      <c r="F537" s="34" t="str">
        <f aca="false">MID(B537,10,1)</f>
        <v/>
      </c>
      <c r="G537" s="34" t="str">
        <f aca="false">MID(B537,11,1)</f>
        <v/>
      </c>
      <c r="H537" s="35" t="str">
        <f aca="false">IF(G537=".",F537,CONCATENATE(F537,G537))</f>
        <v/>
      </c>
      <c r="I537" s="34" t="n">
        <f aca="false">IFERROR(VALUE(H537),)</f>
        <v>0</v>
      </c>
      <c r="J537" s="34" t="e">
        <f aca="false">RIGHT(B537,LEN(B537)-FIND("/",B537, FIND("Single Cells",B537, 1)))</f>
        <v>#VALUE!</v>
      </c>
    </row>
    <row r="538" customFormat="false" ht="12.75" hidden="false" customHeight="false" outlineLevel="0" collapsed="false">
      <c r="E538" s="34" t="str">
        <f aca="false">MID(B538,9,1)</f>
        <v/>
      </c>
      <c r="F538" s="34" t="str">
        <f aca="false">MID(B538,10,1)</f>
        <v/>
      </c>
      <c r="G538" s="34" t="str">
        <f aca="false">MID(B538,11,1)</f>
        <v/>
      </c>
      <c r="H538" s="35" t="str">
        <f aca="false">IF(G538=".",F538,CONCATENATE(F538,G538))</f>
        <v/>
      </c>
      <c r="I538" s="34" t="n">
        <f aca="false">IFERROR(VALUE(H538),)</f>
        <v>0</v>
      </c>
      <c r="J538" s="34" t="e">
        <f aca="false">RIGHT(B538,LEN(B538)-FIND("/",B538, FIND("Single Cells",B538, 1)))</f>
        <v>#VALUE!</v>
      </c>
    </row>
    <row r="539" customFormat="false" ht="12.75" hidden="false" customHeight="false" outlineLevel="0" collapsed="false">
      <c r="E539" s="34" t="str">
        <f aca="false">MID(B539,9,1)</f>
        <v/>
      </c>
      <c r="F539" s="34" t="str">
        <f aca="false">MID(B539,10,1)</f>
        <v/>
      </c>
      <c r="G539" s="34" t="str">
        <f aca="false">MID(B539,11,1)</f>
        <v/>
      </c>
      <c r="H539" s="35" t="str">
        <f aca="false">IF(G539=".",F539,CONCATENATE(F539,G539))</f>
        <v/>
      </c>
      <c r="I539" s="34" t="n">
        <f aca="false">IFERROR(VALUE(H539),)</f>
        <v>0</v>
      </c>
      <c r="J539" s="34" t="e">
        <f aca="false">RIGHT(B539,LEN(B539)-FIND("/",B539, FIND("Single Cells",B539, 1)))</f>
        <v>#VALUE!</v>
      </c>
    </row>
    <row r="540" customFormat="false" ht="12.75" hidden="false" customHeight="false" outlineLevel="0" collapsed="false">
      <c r="E540" s="34" t="str">
        <f aca="false">MID(B540,9,1)</f>
        <v/>
      </c>
      <c r="F540" s="34" t="str">
        <f aca="false">MID(B540,10,1)</f>
        <v/>
      </c>
      <c r="G540" s="34" t="str">
        <f aca="false">MID(B540,11,1)</f>
        <v/>
      </c>
      <c r="H540" s="35" t="str">
        <f aca="false">IF(G540=".",F540,CONCATENATE(F540,G540))</f>
        <v/>
      </c>
      <c r="I540" s="34" t="n">
        <f aca="false">IFERROR(VALUE(H540),)</f>
        <v>0</v>
      </c>
      <c r="J540" s="34" t="e">
        <f aca="false">RIGHT(B540,LEN(B540)-FIND("/",B540, FIND("Single Cells",B540, 1)))</f>
        <v>#VALUE!</v>
      </c>
    </row>
    <row r="541" customFormat="false" ht="12.75" hidden="false" customHeight="false" outlineLevel="0" collapsed="false">
      <c r="E541" s="34" t="str">
        <f aca="false">MID(B541,9,1)</f>
        <v/>
      </c>
      <c r="F541" s="34" t="str">
        <f aca="false">MID(B541,10,1)</f>
        <v/>
      </c>
      <c r="G541" s="34" t="str">
        <f aca="false">MID(B541,11,1)</f>
        <v/>
      </c>
      <c r="H541" s="35" t="str">
        <f aca="false">IF(G541=".",F541,CONCATENATE(F541,G541))</f>
        <v/>
      </c>
      <c r="I541" s="34" t="n">
        <f aca="false">IFERROR(VALUE(H541),)</f>
        <v>0</v>
      </c>
      <c r="J541" s="34" t="e">
        <f aca="false">RIGHT(B541,LEN(B541)-FIND("/",B541, FIND("Single Cells",B541, 1)))</f>
        <v>#VALUE!</v>
      </c>
    </row>
    <row r="542" customFormat="false" ht="12.75" hidden="false" customHeight="false" outlineLevel="0" collapsed="false">
      <c r="E542" s="34" t="str">
        <f aca="false">MID(B542,9,1)</f>
        <v/>
      </c>
      <c r="F542" s="34" t="str">
        <f aca="false">MID(B542,10,1)</f>
        <v/>
      </c>
      <c r="G542" s="34" t="str">
        <f aca="false">MID(B542,11,1)</f>
        <v/>
      </c>
      <c r="H542" s="35" t="str">
        <f aca="false">IF(G542=".",F542,CONCATENATE(F542,G542))</f>
        <v/>
      </c>
      <c r="I542" s="34" t="n">
        <f aca="false">IFERROR(VALUE(H542),)</f>
        <v>0</v>
      </c>
      <c r="J542" s="34" t="e">
        <f aca="false">RIGHT(B542,LEN(B542)-FIND("/",B542, FIND("Single Cells",B542, 1)))</f>
        <v>#VALUE!</v>
      </c>
    </row>
    <row r="543" customFormat="false" ht="12.75" hidden="false" customHeight="false" outlineLevel="0" collapsed="false">
      <c r="E543" s="34" t="str">
        <f aca="false">MID(B543,9,1)</f>
        <v/>
      </c>
      <c r="F543" s="34" t="str">
        <f aca="false">MID(B543,10,1)</f>
        <v/>
      </c>
      <c r="G543" s="34" t="str">
        <f aca="false">MID(B543,11,1)</f>
        <v/>
      </c>
      <c r="H543" s="35" t="str">
        <f aca="false">IF(G543=".",F543,CONCATENATE(F543,G543))</f>
        <v/>
      </c>
      <c r="I543" s="34" t="n">
        <f aca="false">IFERROR(VALUE(H543),)</f>
        <v>0</v>
      </c>
      <c r="J543" s="34" t="e">
        <f aca="false">RIGHT(B543,LEN(B543)-FIND("/",B543, FIND("Single Cells",B543, 1)))</f>
        <v>#VALUE!</v>
      </c>
    </row>
    <row r="544" customFormat="false" ht="12.75" hidden="false" customHeight="false" outlineLevel="0" collapsed="false">
      <c r="E544" s="34" t="str">
        <f aca="false">MID(B544,9,1)</f>
        <v/>
      </c>
      <c r="F544" s="34" t="str">
        <f aca="false">MID(B544,10,1)</f>
        <v/>
      </c>
      <c r="G544" s="34" t="str">
        <f aca="false">MID(B544,11,1)</f>
        <v/>
      </c>
      <c r="H544" s="35" t="str">
        <f aca="false">IF(G544=".",F544,CONCATENATE(F544,G544))</f>
        <v/>
      </c>
      <c r="I544" s="34" t="n">
        <f aca="false">IFERROR(VALUE(H544),)</f>
        <v>0</v>
      </c>
      <c r="J544" s="34" t="e">
        <f aca="false">RIGHT(B544,LEN(B544)-FIND("/",B544, FIND("Single Cells",B544, 1)))</f>
        <v>#VALUE!</v>
      </c>
    </row>
    <row r="545" customFormat="false" ht="12.75" hidden="false" customHeight="false" outlineLevel="0" collapsed="false">
      <c r="E545" s="34" t="str">
        <f aca="false">MID(B545,9,1)</f>
        <v/>
      </c>
      <c r="F545" s="34" t="str">
        <f aca="false">MID(B545,10,1)</f>
        <v/>
      </c>
      <c r="G545" s="34" t="str">
        <f aca="false">MID(B545,11,1)</f>
        <v/>
      </c>
      <c r="H545" s="35" t="str">
        <f aca="false">IF(G545=".",F545,CONCATENATE(F545,G545))</f>
        <v/>
      </c>
      <c r="I545" s="34" t="n">
        <f aca="false">IFERROR(VALUE(H545),)</f>
        <v>0</v>
      </c>
      <c r="J545" s="34" t="e">
        <f aca="false">RIGHT(B545,LEN(B545)-FIND("/",B545, FIND("Single Cells",B545, 1)))</f>
        <v>#VALUE!</v>
      </c>
    </row>
    <row r="546" customFormat="false" ht="12.75" hidden="false" customHeight="false" outlineLevel="0" collapsed="false">
      <c r="E546" s="34" t="str">
        <f aca="false">MID(B546,9,1)</f>
        <v/>
      </c>
      <c r="F546" s="34" t="str">
        <f aca="false">MID(B546,10,1)</f>
        <v/>
      </c>
      <c r="G546" s="34" t="str">
        <f aca="false">MID(B546,11,1)</f>
        <v/>
      </c>
      <c r="H546" s="35" t="str">
        <f aca="false">IF(G546=".",F546,CONCATENATE(F546,G546))</f>
        <v/>
      </c>
      <c r="I546" s="34" t="n">
        <f aca="false">IFERROR(VALUE(H546),)</f>
        <v>0</v>
      </c>
      <c r="J546" s="34" t="e">
        <f aca="false">RIGHT(B546,LEN(B546)-FIND("/",B546, FIND("Single Cells",B546, 1)))</f>
        <v>#VALUE!</v>
      </c>
    </row>
    <row r="547" customFormat="false" ht="12.75" hidden="false" customHeight="false" outlineLevel="0" collapsed="false">
      <c r="E547" s="34" t="str">
        <f aca="false">MID(B547,9,1)</f>
        <v/>
      </c>
      <c r="F547" s="34" t="str">
        <f aca="false">MID(B547,10,1)</f>
        <v/>
      </c>
      <c r="G547" s="34" t="str">
        <f aca="false">MID(B547,11,1)</f>
        <v/>
      </c>
      <c r="H547" s="35" t="str">
        <f aca="false">IF(G547=".",F547,CONCATENATE(F547,G547))</f>
        <v/>
      </c>
      <c r="I547" s="34" t="n">
        <f aca="false">IFERROR(VALUE(H547),)</f>
        <v>0</v>
      </c>
      <c r="J547" s="34" t="e">
        <f aca="false">RIGHT(B547,LEN(B547)-FIND("/",B547, FIND("Single Cells",B547, 1)))</f>
        <v>#VALUE!</v>
      </c>
    </row>
    <row r="548" customFormat="false" ht="12.75" hidden="false" customHeight="false" outlineLevel="0" collapsed="false">
      <c r="E548" s="34" t="str">
        <f aca="false">MID(B548,9,1)</f>
        <v/>
      </c>
      <c r="F548" s="34" t="str">
        <f aca="false">MID(B548,10,1)</f>
        <v/>
      </c>
      <c r="G548" s="34" t="str">
        <f aca="false">MID(B548,11,1)</f>
        <v/>
      </c>
      <c r="H548" s="35" t="str">
        <f aca="false">IF(G548=".",F548,CONCATENATE(F548,G548))</f>
        <v/>
      </c>
      <c r="I548" s="34" t="n">
        <f aca="false">IFERROR(VALUE(H548),)</f>
        <v>0</v>
      </c>
      <c r="J548" s="34" t="e">
        <f aca="false">RIGHT(B548,LEN(B548)-FIND("/",B548, FIND("Single Cells",B548, 1)))</f>
        <v>#VALUE!</v>
      </c>
    </row>
    <row r="549" customFormat="false" ht="12.75" hidden="false" customHeight="false" outlineLevel="0" collapsed="false">
      <c r="E549" s="34" t="str">
        <f aca="false">MID(B549,9,1)</f>
        <v/>
      </c>
      <c r="F549" s="34" t="str">
        <f aca="false">MID(B549,10,1)</f>
        <v/>
      </c>
      <c r="G549" s="34" t="str">
        <f aca="false">MID(B549,11,1)</f>
        <v/>
      </c>
      <c r="H549" s="35" t="str">
        <f aca="false">IF(G549=".",F549,CONCATENATE(F549,G549))</f>
        <v/>
      </c>
      <c r="I549" s="34" t="n">
        <f aca="false">IFERROR(VALUE(H549),)</f>
        <v>0</v>
      </c>
      <c r="J549" s="34" t="e">
        <f aca="false">RIGHT(B549,LEN(B549)-FIND("/",B549, FIND("Single Cells",B549, 1)))</f>
        <v>#VALUE!</v>
      </c>
    </row>
    <row r="550" customFormat="false" ht="12.75" hidden="false" customHeight="false" outlineLevel="0" collapsed="false">
      <c r="E550" s="34" t="str">
        <f aca="false">MID(B550,9,1)</f>
        <v/>
      </c>
      <c r="F550" s="34" t="str">
        <f aca="false">MID(B550,10,1)</f>
        <v/>
      </c>
      <c r="G550" s="34" t="str">
        <f aca="false">MID(B550,11,1)</f>
        <v/>
      </c>
      <c r="H550" s="35" t="str">
        <f aca="false">IF(G550=".",F550,CONCATENATE(F550,G550))</f>
        <v/>
      </c>
      <c r="I550" s="34" t="n">
        <f aca="false">IFERROR(VALUE(H550),)</f>
        <v>0</v>
      </c>
      <c r="J550" s="34" t="e">
        <f aca="false">RIGHT(B550,LEN(B550)-FIND("/",B550, FIND("Single Cells",B550, 1)))</f>
        <v>#VALUE!</v>
      </c>
    </row>
    <row r="551" customFormat="false" ht="12.75" hidden="false" customHeight="false" outlineLevel="0" collapsed="false">
      <c r="E551" s="34" t="str">
        <f aca="false">MID(B551,9,1)</f>
        <v/>
      </c>
      <c r="F551" s="34" t="str">
        <f aca="false">MID(B551,10,1)</f>
        <v/>
      </c>
      <c r="G551" s="34" t="str">
        <f aca="false">MID(B551,11,1)</f>
        <v/>
      </c>
      <c r="H551" s="35" t="str">
        <f aca="false">IF(G551=".",F551,CONCATENATE(F551,G551))</f>
        <v/>
      </c>
      <c r="I551" s="34" t="n">
        <f aca="false">IFERROR(VALUE(H551),)</f>
        <v>0</v>
      </c>
      <c r="J551" s="34" t="e">
        <f aca="false">RIGHT(B551,LEN(B551)-FIND("/",B551, FIND("Single Cells",B551, 1)))</f>
        <v>#VALUE!</v>
      </c>
    </row>
    <row r="552" customFormat="false" ht="12.75" hidden="false" customHeight="false" outlineLevel="0" collapsed="false">
      <c r="E552" s="34" t="str">
        <f aca="false">MID(B552,9,1)</f>
        <v/>
      </c>
      <c r="F552" s="34" t="str">
        <f aca="false">MID(B552,10,1)</f>
        <v/>
      </c>
      <c r="G552" s="34" t="str">
        <f aca="false">MID(B552,11,1)</f>
        <v/>
      </c>
      <c r="H552" s="35" t="str">
        <f aca="false">IF(G552=".",F552,CONCATENATE(F552,G552))</f>
        <v/>
      </c>
      <c r="I552" s="34" t="n">
        <f aca="false">IFERROR(VALUE(H552),)</f>
        <v>0</v>
      </c>
      <c r="J552" s="34" t="e">
        <f aca="false">RIGHT(B552,LEN(B552)-FIND("/",B552, FIND("Single Cells",B552, 1)))</f>
        <v>#VALUE!</v>
      </c>
    </row>
    <row r="553" customFormat="false" ht="12.75" hidden="false" customHeight="false" outlineLevel="0" collapsed="false">
      <c r="E553" s="34" t="str">
        <f aca="false">MID(B553,9,1)</f>
        <v/>
      </c>
      <c r="F553" s="34" t="str">
        <f aca="false">MID(B553,10,1)</f>
        <v/>
      </c>
      <c r="G553" s="34" t="str">
        <f aca="false">MID(B553,11,1)</f>
        <v/>
      </c>
      <c r="H553" s="35" t="str">
        <f aca="false">IF(G553=".",F553,CONCATENATE(F553,G553))</f>
        <v/>
      </c>
      <c r="I553" s="34" t="n">
        <f aca="false">IFERROR(VALUE(H553),)</f>
        <v>0</v>
      </c>
      <c r="J553" s="34" t="e">
        <f aca="false">RIGHT(B553,LEN(B553)-FIND("/",B553, FIND("Single Cells",B553, 1)))</f>
        <v>#VALUE!</v>
      </c>
    </row>
    <row r="554" customFormat="false" ht="12.75" hidden="false" customHeight="false" outlineLevel="0" collapsed="false">
      <c r="E554" s="34" t="str">
        <f aca="false">MID(B554,9,1)</f>
        <v/>
      </c>
      <c r="F554" s="34" t="str">
        <f aca="false">MID(B554,10,1)</f>
        <v/>
      </c>
      <c r="G554" s="34" t="str">
        <f aca="false">MID(B554,11,1)</f>
        <v/>
      </c>
      <c r="H554" s="35" t="str">
        <f aca="false">IF(G554=".",F554,CONCATENATE(F554,G554))</f>
        <v/>
      </c>
      <c r="I554" s="34" t="n">
        <f aca="false">IFERROR(VALUE(H554),)</f>
        <v>0</v>
      </c>
      <c r="J554" s="34" t="e">
        <f aca="false">RIGHT(B554,LEN(B554)-FIND("/",B554, FIND("Single Cells",B554, 1)))</f>
        <v>#VALUE!</v>
      </c>
    </row>
    <row r="555" customFormat="false" ht="12.75" hidden="false" customHeight="false" outlineLevel="0" collapsed="false">
      <c r="E555" s="34" t="str">
        <f aca="false">MID(B555,9,1)</f>
        <v/>
      </c>
      <c r="F555" s="34" t="str">
        <f aca="false">MID(B555,10,1)</f>
        <v/>
      </c>
      <c r="G555" s="34" t="str">
        <f aca="false">MID(B555,11,1)</f>
        <v/>
      </c>
      <c r="H555" s="35" t="str">
        <f aca="false">IF(G555=".",F555,CONCATENATE(F555,G555))</f>
        <v/>
      </c>
      <c r="I555" s="34" t="n">
        <f aca="false">IFERROR(VALUE(H555),)</f>
        <v>0</v>
      </c>
      <c r="J555" s="34" t="e">
        <f aca="false">RIGHT(B555,LEN(B555)-FIND("/",B555, FIND("Single Cells",B555, 1)))</f>
        <v>#VALUE!</v>
      </c>
    </row>
    <row r="556" customFormat="false" ht="12.75" hidden="false" customHeight="false" outlineLevel="0" collapsed="false">
      <c r="E556" s="34" t="str">
        <f aca="false">MID(B556,9,1)</f>
        <v/>
      </c>
      <c r="F556" s="34" t="str">
        <f aca="false">MID(B556,10,1)</f>
        <v/>
      </c>
      <c r="G556" s="34" t="str">
        <f aca="false">MID(B556,11,1)</f>
        <v/>
      </c>
      <c r="H556" s="35" t="str">
        <f aca="false">IF(G556=".",F556,CONCATENATE(F556,G556))</f>
        <v/>
      </c>
      <c r="I556" s="34" t="n">
        <f aca="false">IFERROR(VALUE(H556),)</f>
        <v>0</v>
      </c>
      <c r="J556" s="34" t="e">
        <f aca="false">RIGHT(B556,LEN(B556)-FIND("/",B556, FIND("Single Cells",B556, 1)))</f>
        <v>#VALUE!</v>
      </c>
    </row>
    <row r="557" customFormat="false" ht="12.75" hidden="false" customHeight="false" outlineLevel="0" collapsed="false">
      <c r="E557" s="34" t="str">
        <f aca="false">MID(B557,9,1)</f>
        <v/>
      </c>
      <c r="F557" s="34" t="str">
        <f aca="false">MID(B557,10,1)</f>
        <v/>
      </c>
      <c r="G557" s="34" t="str">
        <f aca="false">MID(B557,11,1)</f>
        <v/>
      </c>
      <c r="H557" s="35" t="str">
        <f aca="false">IF(G557=".",F557,CONCATENATE(F557,G557))</f>
        <v/>
      </c>
      <c r="I557" s="34" t="n">
        <f aca="false">IFERROR(VALUE(H557),)</f>
        <v>0</v>
      </c>
      <c r="J557" s="34" t="e">
        <f aca="false">RIGHT(B557,LEN(B557)-FIND("/",B557, FIND("Single Cells",B557, 1)))</f>
        <v>#VALUE!</v>
      </c>
    </row>
    <row r="558" customFormat="false" ht="12.75" hidden="false" customHeight="false" outlineLevel="0" collapsed="false">
      <c r="E558" s="34" t="str">
        <f aca="false">MID(B558,9,1)</f>
        <v/>
      </c>
      <c r="F558" s="34" t="str">
        <f aca="false">MID(B558,10,1)</f>
        <v/>
      </c>
      <c r="G558" s="34" t="str">
        <f aca="false">MID(B558,11,1)</f>
        <v/>
      </c>
      <c r="H558" s="35" t="str">
        <f aca="false">IF(G558=".",F558,CONCATENATE(F558,G558))</f>
        <v/>
      </c>
      <c r="I558" s="34" t="n">
        <f aca="false">IFERROR(VALUE(H558),)</f>
        <v>0</v>
      </c>
      <c r="J558" s="34" t="e">
        <f aca="false">RIGHT(B558,LEN(B558)-FIND("/",B558, FIND("Single Cells",B558, 1)))</f>
        <v>#VALUE!</v>
      </c>
    </row>
    <row r="559" customFormat="false" ht="12.75" hidden="false" customHeight="false" outlineLevel="0" collapsed="false">
      <c r="E559" s="34" t="str">
        <f aca="false">MID(B559,9,1)</f>
        <v/>
      </c>
      <c r="F559" s="34" t="str">
        <f aca="false">MID(B559,10,1)</f>
        <v/>
      </c>
      <c r="G559" s="34" t="str">
        <f aca="false">MID(B559,11,1)</f>
        <v/>
      </c>
      <c r="H559" s="35" t="str">
        <f aca="false">IF(G559=".",F559,CONCATENATE(F559,G559))</f>
        <v/>
      </c>
      <c r="I559" s="34" t="n">
        <f aca="false">IFERROR(VALUE(H559),)</f>
        <v>0</v>
      </c>
      <c r="J559" s="34" t="e">
        <f aca="false">RIGHT(B559,LEN(B559)-FIND("/",B559, FIND("Single Cells",B559, 1)))</f>
        <v>#VALUE!</v>
      </c>
    </row>
    <row r="560" customFormat="false" ht="12.75" hidden="false" customHeight="false" outlineLevel="0" collapsed="false">
      <c r="E560" s="34" t="str">
        <f aca="false">MID(B560,9,1)</f>
        <v/>
      </c>
      <c r="F560" s="34" t="str">
        <f aca="false">MID(B560,10,1)</f>
        <v/>
      </c>
      <c r="G560" s="34" t="str">
        <f aca="false">MID(B560,11,1)</f>
        <v/>
      </c>
      <c r="H560" s="35" t="str">
        <f aca="false">IF(G560=".",F560,CONCATENATE(F560,G560))</f>
        <v/>
      </c>
      <c r="I560" s="34" t="n">
        <f aca="false">IFERROR(VALUE(H560),)</f>
        <v>0</v>
      </c>
      <c r="J560" s="34" t="e">
        <f aca="false">RIGHT(B560,LEN(B560)-FIND("/",B560, FIND("Single Cells",B560, 1)))</f>
        <v>#VALUE!</v>
      </c>
    </row>
    <row r="561" customFormat="false" ht="12.75" hidden="false" customHeight="false" outlineLevel="0" collapsed="false">
      <c r="E561" s="34" t="str">
        <f aca="false">MID(B561,9,1)</f>
        <v/>
      </c>
      <c r="F561" s="34" t="str">
        <f aca="false">MID(B561,10,1)</f>
        <v/>
      </c>
      <c r="G561" s="34" t="str">
        <f aca="false">MID(B561,11,1)</f>
        <v/>
      </c>
      <c r="H561" s="35" t="str">
        <f aca="false">IF(G561=".",F561,CONCATENATE(F561,G561))</f>
        <v/>
      </c>
      <c r="I561" s="34" t="n">
        <f aca="false">IFERROR(VALUE(H561),)</f>
        <v>0</v>
      </c>
      <c r="J561" s="34" t="e">
        <f aca="false">RIGHT(B561,LEN(B561)-FIND("/",B561, FIND("Single Cells",B561, 1)))</f>
        <v>#VALUE!</v>
      </c>
    </row>
    <row r="562" customFormat="false" ht="12.75" hidden="false" customHeight="false" outlineLevel="0" collapsed="false">
      <c r="E562" s="34" t="str">
        <f aca="false">MID(B562,9,1)</f>
        <v/>
      </c>
      <c r="F562" s="34" t="str">
        <f aca="false">MID(B562,10,1)</f>
        <v/>
      </c>
      <c r="G562" s="34" t="str">
        <f aca="false">MID(B562,11,1)</f>
        <v/>
      </c>
      <c r="H562" s="35" t="str">
        <f aca="false">IF(G562=".",F562,CONCATENATE(F562,G562))</f>
        <v/>
      </c>
      <c r="I562" s="34" t="n">
        <f aca="false">IFERROR(VALUE(H562),)</f>
        <v>0</v>
      </c>
      <c r="J562" s="34" t="e">
        <f aca="false">RIGHT(B562,LEN(B562)-FIND("/",B562, FIND("Single Cells",B562, 1)))</f>
        <v>#VALUE!</v>
      </c>
    </row>
    <row r="563" customFormat="false" ht="12.75" hidden="false" customHeight="false" outlineLevel="0" collapsed="false">
      <c r="E563" s="34" t="str">
        <f aca="false">MID(B563,9,1)</f>
        <v/>
      </c>
      <c r="F563" s="34" t="str">
        <f aca="false">MID(B563,10,1)</f>
        <v/>
      </c>
      <c r="G563" s="34" t="str">
        <f aca="false">MID(B563,11,1)</f>
        <v/>
      </c>
      <c r="H563" s="35" t="str">
        <f aca="false">IF(G563=".",F563,CONCATENATE(F563,G563))</f>
        <v/>
      </c>
      <c r="I563" s="34" t="n">
        <f aca="false">IFERROR(VALUE(H563),)</f>
        <v>0</v>
      </c>
      <c r="J563" s="34" t="e">
        <f aca="false">RIGHT(B563,LEN(B563)-FIND("/",B563, FIND("Single Cells",B563, 1)))</f>
        <v>#VALUE!</v>
      </c>
    </row>
    <row r="564" customFormat="false" ht="12.75" hidden="false" customHeight="false" outlineLevel="0" collapsed="false">
      <c r="E564" s="34" t="str">
        <f aca="false">MID(B564,9,1)</f>
        <v/>
      </c>
      <c r="F564" s="34" t="str">
        <f aca="false">MID(B564,10,1)</f>
        <v/>
      </c>
      <c r="G564" s="34" t="str">
        <f aca="false">MID(B564,11,1)</f>
        <v/>
      </c>
      <c r="H564" s="35" t="str">
        <f aca="false">IF(G564=".",F564,CONCATENATE(F564,G564))</f>
        <v/>
      </c>
      <c r="I564" s="34" t="n">
        <f aca="false">IFERROR(VALUE(H564),)</f>
        <v>0</v>
      </c>
      <c r="J564" s="34" t="e">
        <f aca="false">RIGHT(B564,LEN(B564)-FIND("/",B564, FIND("Single Cells",B564, 1)))</f>
        <v>#VALUE!</v>
      </c>
    </row>
    <row r="565" customFormat="false" ht="12.75" hidden="false" customHeight="false" outlineLevel="0" collapsed="false">
      <c r="E565" s="34" t="str">
        <f aca="false">MID(B565,9,1)</f>
        <v/>
      </c>
      <c r="F565" s="34" t="str">
        <f aca="false">MID(B565,10,1)</f>
        <v/>
      </c>
      <c r="G565" s="34" t="str">
        <f aca="false">MID(B565,11,1)</f>
        <v/>
      </c>
      <c r="H565" s="35" t="str">
        <f aca="false">IF(G565=".",F565,CONCATENATE(F565,G565))</f>
        <v/>
      </c>
      <c r="I565" s="34" t="n">
        <f aca="false">IFERROR(VALUE(H565),)</f>
        <v>0</v>
      </c>
      <c r="J565" s="34" t="e">
        <f aca="false">RIGHT(B565,LEN(B565)-FIND("/",B565, FIND("Single Cells",B565, 1)))</f>
        <v>#VALUE!</v>
      </c>
    </row>
    <row r="566" customFormat="false" ht="12.75" hidden="false" customHeight="false" outlineLevel="0" collapsed="false">
      <c r="E566" s="34" t="str">
        <f aca="false">MID(B566,9,1)</f>
        <v/>
      </c>
      <c r="F566" s="34" t="str">
        <f aca="false">MID(B566,10,1)</f>
        <v/>
      </c>
      <c r="G566" s="34" t="str">
        <f aca="false">MID(B566,11,1)</f>
        <v/>
      </c>
      <c r="H566" s="35" t="str">
        <f aca="false">IF(G566=".",F566,CONCATENATE(F566,G566))</f>
        <v/>
      </c>
      <c r="I566" s="34" t="n">
        <f aca="false">IFERROR(VALUE(H566),)</f>
        <v>0</v>
      </c>
      <c r="J566" s="34" t="e">
        <f aca="false">RIGHT(B566,LEN(B566)-FIND("/",B566, FIND("Single Cells",B566, 1)))</f>
        <v>#VALUE!</v>
      </c>
    </row>
    <row r="567" customFormat="false" ht="12.75" hidden="false" customHeight="false" outlineLevel="0" collapsed="false">
      <c r="E567" s="34" t="str">
        <f aca="false">MID(B567,9,1)</f>
        <v/>
      </c>
      <c r="F567" s="34" t="str">
        <f aca="false">MID(B567,10,1)</f>
        <v/>
      </c>
      <c r="G567" s="34" t="str">
        <f aca="false">MID(B567,11,1)</f>
        <v/>
      </c>
      <c r="H567" s="35" t="str">
        <f aca="false">IF(G567=".",F567,CONCATENATE(F567,G567))</f>
        <v/>
      </c>
      <c r="I567" s="34" t="n">
        <f aca="false">IFERROR(VALUE(H567),)</f>
        <v>0</v>
      </c>
      <c r="J567" s="34" t="e">
        <f aca="false">RIGHT(B567,LEN(B567)-FIND("/",B567, FIND("Single Cells",B567, 1)))</f>
        <v>#VALUE!</v>
      </c>
    </row>
    <row r="568" customFormat="false" ht="12.75" hidden="false" customHeight="false" outlineLevel="0" collapsed="false">
      <c r="E568" s="34" t="str">
        <f aca="false">MID(B568,9,1)</f>
        <v/>
      </c>
      <c r="F568" s="34" t="str">
        <f aca="false">MID(B568,10,1)</f>
        <v/>
      </c>
      <c r="G568" s="34" t="str">
        <f aca="false">MID(B568,11,1)</f>
        <v/>
      </c>
      <c r="H568" s="35" t="str">
        <f aca="false">IF(G568=".",F568,CONCATENATE(F568,G568))</f>
        <v/>
      </c>
      <c r="I568" s="34" t="n">
        <f aca="false">IFERROR(VALUE(H568),)</f>
        <v>0</v>
      </c>
      <c r="J568" s="34" t="e">
        <f aca="false">RIGHT(B568,LEN(B568)-FIND("/",B568, FIND("Single Cells",B568, 1)))</f>
        <v>#VALUE!</v>
      </c>
    </row>
    <row r="569" customFormat="false" ht="12.75" hidden="false" customHeight="false" outlineLevel="0" collapsed="false">
      <c r="E569" s="34" t="str">
        <f aca="false">MID(B569,9,1)</f>
        <v/>
      </c>
      <c r="F569" s="34" t="str">
        <f aca="false">MID(B569,10,1)</f>
        <v/>
      </c>
      <c r="G569" s="34" t="str">
        <f aca="false">MID(B569,11,1)</f>
        <v/>
      </c>
      <c r="H569" s="35" t="str">
        <f aca="false">IF(G569=".",F569,CONCATENATE(F569,G569))</f>
        <v/>
      </c>
      <c r="I569" s="34" t="n">
        <f aca="false">IFERROR(VALUE(H569),)</f>
        <v>0</v>
      </c>
      <c r="J569" s="34" t="e">
        <f aca="false">RIGHT(B569,LEN(B569)-FIND("/",B569, FIND("Single Cells",B569, 1)))</f>
        <v>#VALUE!</v>
      </c>
    </row>
    <row r="570" customFormat="false" ht="12.75" hidden="false" customHeight="false" outlineLevel="0" collapsed="false">
      <c r="E570" s="34" t="str">
        <f aca="false">MID(B570,9,1)</f>
        <v/>
      </c>
      <c r="F570" s="34" t="str">
        <f aca="false">MID(B570,10,1)</f>
        <v/>
      </c>
      <c r="G570" s="34" t="str">
        <f aca="false">MID(B570,11,1)</f>
        <v/>
      </c>
      <c r="H570" s="35" t="str">
        <f aca="false">IF(G570=".",F570,CONCATENATE(F570,G570))</f>
        <v/>
      </c>
      <c r="I570" s="34" t="n">
        <f aca="false">IFERROR(VALUE(H570),)</f>
        <v>0</v>
      </c>
      <c r="J570" s="34" t="e">
        <f aca="false">RIGHT(B570,LEN(B570)-FIND("/",B570, FIND("Single Cells",B570, 1)))</f>
        <v>#VALUE!</v>
      </c>
    </row>
    <row r="571" customFormat="false" ht="12.75" hidden="false" customHeight="false" outlineLevel="0" collapsed="false">
      <c r="E571" s="34" t="str">
        <f aca="false">MID(B571,9,1)</f>
        <v/>
      </c>
      <c r="F571" s="34" t="str">
        <f aca="false">MID(B571,10,1)</f>
        <v/>
      </c>
      <c r="G571" s="34" t="str">
        <f aca="false">MID(B571,11,1)</f>
        <v/>
      </c>
      <c r="H571" s="35" t="str">
        <f aca="false">IF(G571=".",F571,CONCATENATE(F571,G571))</f>
        <v/>
      </c>
      <c r="I571" s="34" t="n">
        <f aca="false">IFERROR(VALUE(H571),)</f>
        <v>0</v>
      </c>
      <c r="J571" s="34" t="e">
        <f aca="false">RIGHT(B571,LEN(B571)-FIND("/",B571, FIND("Single Cells",B571, 1)))</f>
        <v>#VALUE!</v>
      </c>
    </row>
    <row r="572" customFormat="false" ht="12.75" hidden="false" customHeight="false" outlineLevel="0" collapsed="false">
      <c r="E572" s="34" t="str">
        <f aca="false">MID(B572,9,1)</f>
        <v/>
      </c>
      <c r="F572" s="34" t="str">
        <f aca="false">MID(B572,10,1)</f>
        <v/>
      </c>
      <c r="G572" s="34" t="str">
        <f aca="false">MID(B572,11,1)</f>
        <v/>
      </c>
      <c r="H572" s="35" t="str">
        <f aca="false">IF(G572=".",F572,CONCATENATE(F572,G572))</f>
        <v/>
      </c>
      <c r="I572" s="34" t="n">
        <f aca="false">IFERROR(VALUE(H572),)</f>
        <v>0</v>
      </c>
      <c r="J572" s="34" t="e">
        <f aca="false">RIGHT(B572,LEN(B572)-FIND("/",B572, FIND("Single Cells",B572, 1)))</f>
        <v>#VALUE!</v>
      </c>
    </row>
    <row r="573" customFormat="false" ht="12.75" hidden="false" customHeight="false" outlineLevel="0" collapsed="false">
      <c r="E573" s="34" t="str">
        <f aca="false">MID(B573,9,1)</f>
        <v/>
      </c>
      <c r="F573" s="34" t="str">
        <f aca="false">MID(B573,10,1)</f>
        <v/>
      </c>
      <c r="G573" s="34" t="str">
        <f aca="false">MID(B573,11,1)</f>
        <v/>
      </c>
      <c r="H573" s="35" t="str">
        <f aca="false">IF(G573=".",F573,CONCATENATE(F573,G573))</f>
        <v/>
      </c>
      <c r="I573" s="34" t="n">
        <f aca="false">IFERROR(VALUE(H573),)</f>
        <v>0</v>
      </c>
      <c r="J573" s="34" t="e">
        <f aca="false">RIGHT(B573,LEN(B573)-FIND("/",B573, FIND("Single Cells",B573, 1)))</f>
        <v>#VALUE!</v>
      </c>
    </row>
    <row r="574" customFormat="false" ht="12.75" hidden="false" customHeight="false" outlineLevel="0" collapsed="false">
      <c r="E574" s="34" t="str">
        <f aca="false">MID(B574,9,1)</f>
        <v/>
      </c>
      <c r="F574" s="34" t="str">
        <f aca="false">MID(B574,10,1)</f>
        <v/>
      </c>
      <c r="G574" s="34" t="str">
        <f aca="false">MID(B574,11,1)</f>
        <v/>
      </c>
      <c r="H574" s="35" t="str">
        <f aca="false">IF(G574=".",F574,CONCATENATE(F574,G574))</f>
        <v/>
      </c>
      <c r="I574" s="34" t="n">
        <f aca="false">IFERROR(VALUE(H574),)</f>
        <v>0</v>
      </c>
      <c r="J574" s="34" t="e">
        <f aca="false">RIGHT(B574,LEN(B574)-FIND("/",B574, FIND("Single Cells",B574, 1)))</f>
        <v>#VALUE!</v>
      </c>
    </row>
    <row r="575" customFormat="false" ht="12.75" hidden="false" customHeight="false" outlineLevel="0" collapsed="false">
      <c r="E575" s="34" t="str">
        <f aca="false">MID(B575,9,1)</f>
        <v/>
      </c>
      <c r="F575" s="34" t="str">
        <f aca="false">MID(B575,10,1)</f>
        <v/>
      </c>
      <c r="G575" s="34" t="str">
        <f aca="false">MID(B575,11,1)</f>
        <v/>
      </c>
      <c r="H575" s="35" t="str">
        <f aca="false">IF(G575=".",F575,CONCATENATE(F575,G575))</f>
        <v/>
      </c>
      <c r="I575" s="34" t="n">
        <f aca="false">IFERROR(VALUE(H575),)</f>
        <v>0</v>
      </c>
      <c r="J575" s="34" t="e">
        <f aca="false">RIGHT(B575,LEN(B575)-FIND("/",B575, FIND("Single Cells",B575, 1)))</f>
        <v>#VALUE!</v>
      </c>
    </row>
    <row r="576" customFormat="false" ht="12.75" hidden="false" customHeight="false" outlineLevel="0" collapsed="false">
      <c r="E576" s="34" t="str">
        <f aca="false">MID(B576,9,1)</f>
        <v/>
      </c>
      <c r="F576" s="34" t="str">
        <f aca="false">MID(B576,10,1)</f>
        <v/>
      </c>
      <c r="G576" s="34" t="str">
        <f aca="false">MID(B576,11,1)</f>
        <v/>
      </c>
      <c r="H576" s="35" t="str">
        <f aca="false">IF(G576=".",F576,CONCATENATE(F576,G576))</f>
        <v/>
      </c>
      <c r="I576" s="34" t="n">
        <f aca="false">IFERROR(VALUE(H576),)</f>
        <v>0</v>
      </c>
      <c r="J576" s="34" t="e">
        <f aca="false">RIGHT(B576,LEN(B576)-FIND("/",B576, FIND("Single Cells",B576, 1)))</f>
        <v>#VALUE!</v>
      </c>
    </row>
    <row r="577" customFormat="false" ht="12.75" hidden="false" customHeight="false" outlineLevel="0" collapsed="false">
      <c r="E577" s="34" t="str">
        <f aca="false">MID(B577,9,1)</f>
        <v/>
      </c>
      <c r="F577" s="34" t="str">
        <f aca="false">MID(B577,10,1)</f>
        <v/>
      </c>
      <c r="G577" s="34" t="str">
        <f aca="false">MID(B577,11,1)</f>
        <v/>
      </c>
      <c r="H577" s="35" t="str">
        <f aca="false">IF(G577=".",F577,CONCATENATE(F577,G577))</f>
        <v/>
      </c>
      <c r="I577" s="34" t="n">
        <f aca="false">IFERROR(VALUE(H577),)</f>
        <v>0</v>
      </c>
      <c r="J577" s="34" t="e">
        <f aca="false">RIGHT(B577,LEN(B577)-FIND("/",B577, FIND("Single Cells",B577, 1)))</f>
        <v>#VALUE!</v>
      </c>
    </row>
    <row r="578" customFormat="false" ht="12.75" hidden="false" customHeight="false" outlineLevel="0" collapsed="false">
      <c r="E578" s="34" t="str">
        <f aca="false">MID(B578,9,1)</f>
        <v/>
      </c>
      <c r="F578" s="34" t="str">
        <f aca="false">MID(B578,10,1)</f>
        <v/>
      </c>
      <c r="G578" s="34" t="str">
        <f aca="false">MID(B578,11,1)</f>
        <v/>
      </c>
      <c r="H578" s="35" t="str">
        <f aca="false">IF(G578=".",F578,CONCATENATE(F578,G578))</f>
        <v/>
      </c>
      <c r="I578" s="34" t="n">
        <f aca="false">IFERROR(VALUE(H578),)</f>
        <v>0</v>
      </c>
      <c r="J578" s="34" t="e">
        <f aca="false">RIGHT(B578,LEN(B578)-FIND("/",B578, FIND("Single Cells",B578, 1)))</f>
        <v>#VALUE!</v>
      </c>
    </row>
    <row r="579" customFormat="false" ht="12.75" hidden="false" customHeight="false" outlineLevel="0" collapsed="false">
      <c r="E579" s="34" t="str">
        <f aca="false">MID(B579,9,1)</f>
        <v/>
      </c>
      <c r="F579" s="34" t="str">
        <f aca="false">MID(B579,10,1)</f>
        <v/>
      </c>
      <c r="G579" s="34" t="str">
        <f aca="false">MID(B579,11,1)</f>
        <v/>
      </c>
      <c r="H579" s="35" t="str">
        <f aca="false">IF(G579=".",F579,CONCATENATE(F579,G579))</f>
        <v/>
      </c>
      <c r="I579" s="34" t="n">
        <f aca="false">IFERROR(VALUE(H579),)</f>
        <v>0</v>
      </c>
      <c r="J579" s="34" t="e">
        <f aca="false">RIGHT(B579,LEN(B579)-FIND("/",B579, FIND("Single Cells",B579, 1)))</f>
        <v>#VALUE!</v>
      </c>
    </row>
    <row r="580" customFormat="false" ht="12.75" hidden="false" customHeight="false" outlineLevel="0" collapsed="false">
      <c r="E580" s="34" t="str">
        <f aca="false">MID(B580,9,1)</f>
        <v/>
      </c>
      <c r="F580" s="34" t="str">
        <f aca="false">MID(B580,10,1)</f>
        <v/>
      </c>
      <c r="G580" s="34" t="str">
        <f aca="false">MID(B580,11,1)</f>
        <v/>
      </c>
      <c r="H580" s="35" t="str">
        <f aca="false">IF(G580=".",F580,CONCATENATE(F580,G580))</f>
        <v/>
      </c>
      <c r="I580" s="34" t="n">
        <f aca="false">IFERROR(VALUE(H580),)</f>
        <v>0</v>
      </c>
      <c r="J580" s="34" t="e">
        <f aca="false">RIGHT(B580,LEN(B580)-FIND("/",B580, FIND("Single Cells",B580, 1)))</f>
        <v>#VALUE!</v>
      </c>
    </row>
    <row r="581" customFormat="false" ht="12.75" hidden="false" customHeight="false" outlineLevel="0" collapsed="false">
      <c r="E581" s="34" t="str">
        <f aca="false">MID(B581,9,1)</f>
        <v/>
      </c>
      <c r="F581" s="34" t="str">
        <f aca="false">MID(B581,10,1)</f>
        <v/>
      </c>
      <c r="G581" s="34" t="str">
        <f aca="false">MID(B581,11,1)</f>
        <v/>
      </c>
      <c r="H581" s="35" t="str">
        <f aca="false">IF(G581=".",F581,CONCATENATE(F581,G581))</f>
        <v/>
      </c>
      <c r="I581" s="34" t="n">
        <f aca="false">IFERROR(VALUE(H581),)</f>
        <v>0</v>
      </c>
      <c r="J581" s="34" t="e">
        <f aca="false">RIGHT(B581,LEN(B581)-FIND("/",B581, FIND("Single Cells",B581, 1)))</f>
        <v>#VALUE!</v>
      </c>
    </row>
    <row r="582" customFormat="false" ht="12.75" hidden="false" customHeight="false" outlineLevel="0" collapsed="false">
      <c r="E582" s="34" t="str">
        <f aca="false">MID(B582,9,1)</f>
        <v/>
      </c>
      <c r="F582" s="34" t="str">
        <f aca="false">MID(B582,10,1)</f>
        <v/>
      </c>
      <c r="G582" s="34" t="str">
        <f aca="false">MID(B582,11,1)</f>
        <v/>
      </c>
      <c r="H582" s="35" t="str">
        <f aca="false">IF(G582=".",F582,CONCATENATE(F582,G582))</f>
        <v/>
      </c>
      <c r="I582" s="34" t="n">
        <f aca="false">IFERROR(VALUE(H582),)</f>
        <v>0</v>
      </c>
      <c r="J582" s="34" t="e">
        <f aca="false">RIGHT(B582,LEN(B582)-FIND("/",B582, FIND("Single Cells",B582, 1)))</f>
        <v>#VALUE!</v>
      </c>
    </row>
    <row r="583" customFormat="false" ht="12.75" hidden="false" customHeight="false" outlineLevel="0" collapsed="false">
      <c r="E583" s="34" t="str">
        <f aca="false">MID(B583,9,1)</f>
        <v/>
      </c>
      <c r="F583" s="34" t="str">
        <f aca="false">MID(B583,10,1)</f>
        <v/>
      </c>
      <c r="G583" s="34" t="str">
        <f aca="false">MID(B583,11,1)</f>
        <v/>
      </c>
      <c r="H583" s="35" t="str">
        <f aca="false">IF(G583=".",F583,CONCATENATE(F583,G583))</f>
        <v/>
      </c>
      <c r="I583" s="34" t="n">
        <f aca="false">IFERROR(VALUE(H583),)</f>
        <v>0</v>
      </c>
      <c r="J583" s="34" t="e">
        <f aca="false">RIGHT(B583,LEN(B583)-FIND("/",B583, FIND("Single Cells",B583, 1)))</f>
        <v>#VALUE!</v>
      </c>
    </row>
    <row r="584" customFormat="false" ht="12.75" hidden="false" customHeight="false" outlineLevel="0" collapsed="false">
      <c r="E584" s="34" t="str">
        <f aca="false">MID(B584,9,1)</f>
        <v/>
      </c>
      <c r="F584" s="34" t="str">
        <f aca="false">MID(B584,10,1)</f>
        <v/>
      </c>
      <c r="G584" s="34" t="str">
        <f aca="false">MID(B584,11,1)</f>
        <v/>
      </c>
      <c r="H584" s="35" t="str">
        <f aca="false">IF(G584=".",F584,CONCATENATE(F584,G584))</f>
        <v/>
      </c>
      <c r="I584" s="34" t="n">
        <f aca="false">IFERROR(VALUE(H584),)</f>
        <v>0</v>
      </c>
      <c r="J584" s="34" t="e">
        <f aca="false">RIGHT(B584,LEN(B584)-FIND("/",B584, FIND("Single Cells",B584, 1)))</f>
        <v>#VALUE!</v>
      </c>
    </row>
    <row r="585" customFormat="false" ht="12.75" hidden="false" customHeight="false" outlineLevel="0" collapsed="false">
      <c r="E585" s="34" t="str">
        <f aca="false">MID(B585,9,1)</f>
        <v/>
      </c>
      <c r="F585" s="34" t="str">
        <f aca="false">MID(B585,10,1)</f>
        <v/>
      </c>
      <c r="G585" s="34" t="str">
        <f aca="false">MID(B585,11,1)</f>
        <v/>
      </c>
      <c r="H585" s="35" t="str">
        <f aca="false">IF(G585=".",F585,CONCATENATE(F585,G585))</f>
        <v/>
      </c>
      <c r="I585" s="34" t="n">
        <f aca="false">IFERROR(VALUE(H585),)</f>
        <v>0</v>
      </c>
      <c r="J585" s="34" t="e">
        <f aca="false">RIGHT(B585,LEN(B585)-FIND("/",B585, FIND("Single Cells",B585, 1)))</f>
        <v>#VALUE!</v>
      </c>
    </row>
    <row r="586" customFormat="false" ht="12.75" hidden="false" customHeight="false" outlineLevel="0" collapsed="false">
      <c r="E586" s="34" t="str">
        <f aca="false">MID(B586,9,1)</f>
        <v/>
      </c>
      <c r="F586" s="34" t="str">
        <f aca="false">MID(B586,10,1)</f>
        <v/>
      </c>
      <c r="G586" s="34" t="str">
        <f aca="false">MID(B586,11,1)</f>
        <v/>
      </c>
      <c r="H586" s="35" t="str">
        <f aca="false">IF(G586=".",F586,CONCATENATE(F586,G586))</f>
        <v/>
      </c>
      <c r="I586" s="34" t="n">
        <f aca="false">IFERROR(VALUE(H586),)</f>
        <v>0</v>
      </c>
      <c r="J586" s="34" t="e">
        <f aca="false">RIGHT(B586,LEN(B586)-FIND("/",B586, FIND("Single Cells",B586, 1)))</f>
        <v>#VALUE!</v>
      </c>
    </row>
    <row r="587" customFormat="false" ht="12.75" hidden="false" customHeight="false" outlineLevel="0" collapsed="false">
      <c r="E587" s="34" t="str">
        <f aca="false">MID(B587,9,1)</f>
        <v/>
      </c>
      <c r="F587" s="34" t="str">
        <f aca="false">MID(B587,10,1)</f>
        <v/>
      </c>
      <c r="G587" s="34" t="str">
        <f aca="false">MID(B587,11,1)</f>
        <v/>
      </c>
      <c r="H587" s="35" t="str">
        <f aca="false">IF(G587=".",F587,CONCATENATE(F587,G587))</f>
        <v/>
      </c>
      <c r="I587" s="34" t="n">
        <f aca="false">IFERROR(VALUE(H587),)</f>
        <v>0</v>
      </c>
      <c r="J587" s="34" t="e">
        <f aca="false">RIGHT(B587,LEN(B587)-FIND("/",B587, FIND("Single Cells",B587, 1)))</f>
        <v>#VALUE!</v>
      </c>
    </row>
    <row r="588" customFormat="false" ht="12.75" hidden="false" customHeight="false" outlineLevel="0" collapsed="false">
      <c r="E588" s="34" t="str">
        <f aca="false">MID(B588,9,1)</f>
        <v/>
      </c>
      <c r="F588" s="34" t="str">
        <f aca="false">MID(B588,10,1)</f>
        <v/>
      </c>
      <c r="G588" s="34" t="str">
        <f aca="false">MID(B588,11,1)</f>
        <v/>
      </c>
      <c r="H588" s="35" t="str">
        <f aca="false">IF(G588=".",F588,CONCATENATE(F588,G588))</f>
        <v/>
      </c>
      <c r="I588" s="34" t="n">
        <f aca="false">IFERROR(VALUE(H588),)</f>
        <v>0</v>
      </c>
      <c r="J588" s="34" t="e">
        <f aca="false">RIGHT(B588,LEN(B588)-FIND("/",B588, FIND("Single Cells",B588, 1)))</f>
        <v>#VALUE!</v>
      </c>
    </row>
    <row r="589" customFormat="false" ht="12.75" hidden="false" customHeight="false" outlineLevel="0" collapsed="false">
      <c r="E589" s="34" t="str">
        <f aca="false">MID(B589,9,1)</f>
        <v/>
      </c>
      <c r="F589" s="34" t="str">
        <f aca="false">MID(B589,10,1)</f>
        <v/>
      </c>
      <c r="G589" s="34" t="str">
        <f aca="false">MID(B589,11,1)</f>
        <v/>
      </c>
      <c r="H589" s="35" t="str">
        <f aca="false">IF(G589=".",F589,CONCATENATE(F589,G589))</f>
        <v/>
      </c>
      <c r="I589" s="34" t="n">
        <f aca="false">IFERROR(VALUE(H589),)</f>
        <v>0</v>
      </c>
      <c r="J589" s="34" t="e">
        <f aca="false">RIGHT(B589,LEN(B589)-FIND("/",B589, FIND("Single Cells",B589, 1)))</f>
        <v>#VALUE!</v>
      </c>
    </row>
    <row r="590" customFormat="false" ht="12.75" hidden="false" customHeight="false" outlineLevel="0" collapsed="false">
      <c r="E590" s="34" t="str">
        <f aca="false">MID(B590,9,1)</f>
        <v/>
      </c>
      <c r="F590" s="34" t="str">
        <f aca="false">MID(B590,10,1)</f>
        <v/>
      </c>
      <c r="G590" s="34" t="str">
        <f aca="false">MID(B590,11,1)</f>
        <v/>
      </c>
      <c r="H590" s="35" t="str">
        <f aca="false">IF(G590=".",F590,CONCATENATE(F590,G590))</f>
        <v/>
      </c>
      <c r="I590" s="34" t="n">
        <f aca="false">IFERROR(VALUE(H590),)</f>
        <v>0</v>
      </c>
      <c r="J590" s="34" t="e">
        <f aca="false">RIGHT(B590,LEN(B590)-FIND("/",B590, FIND("Single Cells",B590, 1)))</f>
        <v>#VALUE!</v>
      </c>
    </row>
    <row r="591" customFormat="false" ht="12.75" hidden="false" customHeight="false" outlineLevel="0" collapsed="false">
      <c r="E591" s="34" t="str">
        <f aca="false">MID(B591,9,1)</f>
        <v/>
      </c>
      <c r="F591" s="34" t="str">
        <f aca="false">MID(B591,10,1)</f>
        <v/>
      </c>
      <c r="G591" s="34" t="str">
        <f aca="false">MID(B591,11,1)</f>
        <v/>
      </c>
      <c r="H591" s="35" t="str">
        <f aca="false">IF(G591=".",F591,CONCATENATE(F591,G591))</f>
        <v/>
      </c>
      <c r="I591" s="34" t="n">
        <f aca="false">IFERROR(VALUE(H591),)</f>
        <v>0</v>
      </c>
      <c r="J591" s="34" t="e">
        <f aca="false">RIGHT(B591,LEN(B591)-FIND("/",B591, FIND("Single Cells",B591, 1)))</f>
        <v>#VALUE!</v>
      </c>
    </row>
    <row r="592" customFormat="false" ht="12.75" hidden="false" customHeight="false" outlineLevel="0" collapsed="false">
      <c r="E592" s="34" t="str">
        <f aca="false">MID(B592,9,1)</f>
        <v/>
      </c>
      <c r="F592" s="34" t="str">
        <f aca="false">MID(B592,10,1)</f>
        <v/>
      </c>
      <c r="G592" s="34" t="str">
        <f aca="false">MID(B592,11,1)</f>
        <v/>
      </c>
      <c r="H592" s="35" t="str">
        <f aca="false">IF(G592=".",F592,CONCATENATE(F592,G592))</f>
        <v/>
      </c>
      <c r="I592" s="34" t="n">
        <f aca="false">IFERROR(VALUE(H592),)</f>
        <v>0</v>
      </c>
      <c r="J592" s="34" t="e">
        <f aca="false">RIGHT(B592,LEN(B592)-FIND("/",B592, FIND("Single Cells",B592, 1)))</f>
        <v>#VALUE!</v>
      </c>
    </row>
    <row r="593" customFormat="false" ht="12.75" hidden="false" customHeight="false" outlineLevel="0" collapsed="false">
      <c r="E593" s="34" t="str">
        <f aca="false">MID(B593,9,1)</f>
        <v/>
      </c>
      <c r="F593" s="34" t="str">
        <f aca="false">MID(B593,10,1)</f>
        <v/>
      </c>
      <c r="G593" s="34" t="str">
        <f aca="false">MID(B593,11,1)</f>
        <v/>
      </c>
      <c r="H593" s="35" t="str">
        <f aca="false">IF(G593=".",F593,CONCATENATE(F593,G593))</f>
        <v/>
      </c>
      <c r="I593" s="34" t="n">
        <f aca="false">IFERROR(VALUE(H593),)</f>
        <v>0</v>
      </c>
      <c r="J593" s="34" t="e">
        <f aca="false">RIGHT(B593,LEN(B593)-FIND("/",B593, FIND("Single Cells",B593, 1)))</f>
        <v>#VALUE!</v>
      </c>
    </row>
    <row r="594" customFormat="false" ht="12.75" hidden="false" customHeight="false" outlineLevel="0" collapsed="false">
      <c r="E594" s="34" t="str">
        <f aca="false">MID(B594,9,1)</f>
        <v/>
      </c>
      <c r="F594" s="34" t="str">
        <f aca="false">MID(B594,10,1)</f>
        <v/>
      </c>
      <c r="G594" s="34" t="str">
        <f aca="false">MID(B594,11,1)</f>
        <v/>
      </c>
      <c r="H594" s="35" t="str">
        <f aca="false">IF(G594=".",F594,CONCATENATE(F594,G594))</f>
        <v/>
      </c>
      <c r="I594" s="34" t="n">
        <f aca="false">IFERROR(VALUE(H594),)</f>
        <v>0</v>
      </c>
      <c r="J594" s="34" t="e">
        <f aca="false">RIGHT(B594,LEN(B594)-FIND("/",B594, FIND("Single Cells",B594, 1)))</f>
        <v>#VALUE!</v>
      </c>
    </row>
    <row r="595" customFormat="false" ht="12.75" hidden="false" customHeight="false" outlineLevel="0" collapsed="false">
      <c r="E595" s="34" t="str">
        <f aca="false">MID(B595,9,1)</f>
        <v/>
      </c>
      <c r="F595" s="34" t="str">
        <f aca="false">MID(B595,10,1)</f>
        <v/>
      </c>
      <c r="G595" s="34" t="str">
        <f aca="false">MID(B595,11,1)</f>
        <v/>
      </c>
      <c r="H595" s="35" t="str">
        <f aca="false">IF(G595=".",F595,CONCATENATE(F595,G595))</f>
        <v/>
      </c>
      <c r="I595" s="34" t="n">
        <f aca="false">IFERROR(VALUE(H595),)</f>
        <v>0</v>
      </c>
      <c r="J595" s="34" t="e">
        <f aca="false">RIGHT(B595,LEN(B595)-FIND("/",B595, FIND("Single Cells",B595, 1)))</f>
        <v>#VALUE!</v>
      </c>
    </row>
    <row r="596" customFormat="false" ht="12.75" hidden="false" customHeight="false" outlineLevel="0" collapsed="false">
      <c r="E596" s="34" t="str">
        <f aca="false">MID(B596,9,1)</f>
        <v/>
      </c>
      <c r="F596" s="34" t="str">
        <f aca="false">MID(B596,10,1)</f>
        <v/>
      </c>
      <c r="G596" s="34" t="str">
        <f aca="false">MID(B596,11,1)</f>
        <v/>
      </c>
      <c r="H596" s="35" t="str">
        <f aca="false">IF(G596=".",F596,CONCATENATE(F596,G596))</f>
        <v/>
      </c>
      <c r="I596" s="34" t="n">
        <f aca="false">IFERROR(VALUE(H596),)</f>
        <v>0</v>
      </c>
      <c r="J596" s="34" t="e">
        <f aca="false">RIGHT(B596,LEN(B596)-FIND("/",B596, FIND("Single Cells",B596, 1)))</f>
        <v>#VALUE!</v>
      </c>
    </row>
    <row r="597" customFormat="false" ht="12.75" hidden="false" customHeight="false" outlineLevel="0" collapsed="false">
      <c r="E597" s="34" t="str">
        <f aca="false">MID(B597,9,1)</f>
        <v/>
      </c>
      <c r="F597" s="34" t="str">
        <f aca="false">MID(B597,10,1)</f>
        <v/>
      </c>
      <c r="G597" s="34" t="str">
        <f aca="false">MID(B597,11,1)</f>
        <v/>
      </c>
      <c r="H597" s="35" t="str">
        <f aca="false">IF(G597=".",F597,CONCATENATE(F597,G597))</f>
        <v/>
      </c>
      <c r="I597" s="34" t="n">
        <f aca="false">IFERROR(VALUE(H597),)</f>
        <v>0</v>
      </c>
      <c r="J597" s="34" t="e">
        <f aca="false">RIGHT(B597,LEN(B597)-FIND("/",B597, FIND("Single Cells",B597, 1)))</f>
        <v>#VALUE!</v>
      </c>
    </row>
    <row r="598" customFormat="false" ht="12.75" hidden="false" customHeight="false" outlineLevel="0" collapsed="false">
      <c r="E598" s="34" t="str">
        <f aca="false">MID(B598,9,1)</f>
        <v/>
      </c>
      <c r="F598" s="34" t="str">
        <f aca="false">MID(B598,10,1)</f>
        <v/>
      </c>
      <c r="G598" s="34" t="str">
        <f aca="false">MID(B598,11,1)</f>
        <v/>
      </c>
      <c r="H598" s="35" t="str">
        <f aca="false">IF(G598=".",F598,CONCATENATE(F598,G598))</f>
        <v/>
      </c>
      <c r="I598" s="34" t="n">
        <f aca="false">IFERROR(VALUE(H598),)</f>
        <v>0</v>
      </c>
      <c r="J598" s="34" t="e">
        <f aca="false">RIGHT(B598,LEN(B598)-FIND("/",B598, FIND("Single Cells",B598, 1)))</f>
        <v>#VALUE!</v>
      </c>
    </row>
    <row r="599" customFormat="false" ht="12.75" hidden="false" customHeight="false" outlineLevel="0" collapsed="false">
      <c r="E599" s="34" t="str">
        <f aca="false">MID(B599,9,1)</f>
        <v/>
      </c>
      <c r="F599" s="34" t="str">
        <f aca="false">MID(B599,10,1)</f>
        <v/>
      </c>
      <c r="G599" s="34" t="str">
        <f aca="false">MID(B599,11,1)</f>
        <v/>
      </c>
      <c r="H599" s="35" t="str">
        <f aca="false">IF(G599=".",F599,CONCATENATE(F599,G599))</f>
        <v/>
      </c>
      <c r="I599" s="34" t="n">
        <f aca="false">IFERROR(VALUE(H599),)</f>
        <v>0</v>
      </c>
      <c r="J599" s="34" t="e">
        <f aca="false">RIGHT(B599,LEN(B599)-FIND("/",B599, FIND("Single Cells",B599, 1)))</f>
        <v>#VALUE!</v>
      </c>
    </row>
    <row r="600" customFormat="false" ht="12.75" hidden="false" customHeight="false" outlineLevel="0" collapsed="false">
      <c r="E600" s="34" t="str">
        <f aca="false">MID(B600,9,1)</f>
        <v/>
      </c>
      <c r="F600" s="34" t="str">
        <f aca="false">MID(B600,10,1)</f>
        <v/>
      </c>
      <c r="G600" s="34" t="str">
        <f aca="false">MID(B600,11,1)</f>
        <v/>
      </c>
      <c r="H600" s="35" t="str">
        <f aca="false">IF(G600=".",F600,CONCATENATE(F600,G600))</f>
        <v/>
      </c>
      <c r="I600" s="34" t="n">
        <f aca="false">IFERROR(VALUE(H600),)</f>
        <v>0</v>
      </c>
      <c r="J600" s="34" t="e">
        <f aca="false">RIGHT(B600,LEN(B600)-FIND("/",B600, FIND("Single Cells",B600, 1)))</f>
        <v>#VALUE!</v>
      </c>
    </row>
    <row r="601" customFormat="false" ht="12.75" hidden="false" customHeight="false" outlineLevel="0" collapsed="false">
      <c r="E601" s="34" t="str">
        <f aca="false">MID(B601,9,1)</f>
        <v/>
      </c>
      <c r="F601" s="34" t="str">
        <f aca="false">MID(B601,10,1)</f>
        <v/>
      </c>
      <c r="G601" s="34" t="str">
        <f aca="false">MID(B601,11,1)</f>
        <v/>
      </c>
      <c r="H601" s="35" t="str">
        <f aca="false">IF(G601=".",F601,CONCATENATE(F601,G601))</f>
        <v/>
      </c>
      <c r="I601" s="34" t="n">
        <f aca="false">IFERROR(VALUE(H601),)</f>
        <v>0</v>
      </c>
      <c r="J601" s="34" t="e">
        <f aca="false">RIGHT(B601,LEN(B601)-FIND("/",B601, FIND("Single Cells",B601, 1)))</f>
        <v>#VALUE!</v>
      </c>
    </row>
    <row r="602" customFormat="false" ht="12.75" hidden="false" customHeight="false" outlineLevel="0" collapsed="false">
      <c r="E602" s="34" t="str">
        <f aca="false">MID(B602,9,1)</f>
        <v/>
      </c>
      <c r="F602" s="34" t="str">
        <f aca="false">MID(B602,10,1)</f>
        <v/>
      </c>
      <c r="G602" s="34" t="str">
        <f aca="false">MID(B602,11,1)</f>
        <v/>
      </c>
      <c r="H602" s="35" t="str">
        <f aca="false">IF(G602=".",F602,CONCATENATE(F602,G602))</f>
        <v/>
      </c>
      <c r="I602" s="34" t="n">
        <f aca="false">IFERROR(VALUE(H602),)</f>
        <v>0</v>
      </c>
      <c r="J602" s="34" t="e">
        <f aca="false">RIGHT(B602,LEN(B602)-FIND("/",B602, FIND("Single Cells",B602, 1)))</f>
        <v>#VALUE!</v>
      </c>
    </row>
    <row r="603" customFormat="false" ht="12.75" hidden="false" customHeight="false" outlineLevel="0" collapsed="false">
      <c r="E603" s="34" t="str">
        <f aca="false">MID(B603,9,1)</f>
        <v/>
      </c>
      <c r="F603" s="34" t="str">
        <f aca="false">MID(B603,10,1)</f>
        <v/>
      </c>
      <c r="G603" s="34" t="str">
        <f aca="false">MID(B603,11,1)</f>
        <v/>
      </c>
      <c r="H603" s="35" t="str">
        <f aca="false">IF(G603=".",F603,CONCATENATE(F603,G603))</f>
        <v/>
      </c>
      <c r="I603" s="34" t="n">
        <f aca="false">IFERROR(VALUE(H603),)</f>
        <v>0</v>
      </c>
      <c r="J603" s="34" t="e">
        <f aca="false">RIGHT(B603,LEN(B603)-FIND("/",B603, FIND("Single Cells",B603, 1)))</f>
        <v>#VALUE!</v>
      </c>
    </row>
    <row r="604" customFormat="false" ht="12.75" hidden="false" customHeight="false" outlineLevel="0" collapsed="false">
      <c r="E604" s="34" t="str">
        <f aca="false">MID(B604,9,1)</f>
        <v/>
      </c>
      <c r="F604" s="34" t="str">
        <f aca="false">MID(B604,10,1)</f>
        <v/>
      </c>
      <c r="G604" s="34" t="str">
        <f aca="false">MID(B604,11,1)</f>
        <v/>
      </c>
      <c r="H604" s="35" t="str">
        <f aca="false">IF(G604=".",F604,CONCATENATE(F604,G604))</f>
        <v/>
      </c>
      <c r="I604" s="34" t="n">
        <f aca="false">IFERROR(VALUE(H604),)</f>
        <v>0</v>
      </c>
      <c r="J604" s="34" t="e">
        <f aca="false">RIGHT(B604,LEN(B604)-FIND("/",B604, FIND("Single Cells",B604, 1)))</f>
        <v>#VALUE!</v>
      </c>
    </row>
    <row r="605" customFormat="false" ht="12.75" hidden="false" customHeight="false" outlineLevel="0" collapsed="false">
      <c r="E605" s="34" t="str">
        <f aca="false">MID(B605,9,1)</f>
        <v/>
      </c>
      <c r="F605" s="34" t="str">
        <f aca="false">MID(B605,10,1)</f>
        <v/>
      </c>
      <c r="G605" s="34" t="str">
        <f aca="false">MID(B605,11,1)</f>
        <v/>
      </c>
      <c r="H605" s="35" t="str">
        <f aca="false">IF(G605=".",F605,CONCATENATE(F605,G605))</f>
        <v/>
      </c>
      <c r="I605" s="34" t="n">
        <f aca="false">IFERROR(VALUE(H605),)</f>
        <v>0</v>
      </c>
      <c r="J605" s="34" t="e">
        <f aca="false">RIGHT(B605,LEN(B605)-FIND("/",B605, FIND("Single Cells",B605, 1)))</f>
        <v>#VALUE!</v>
      </c>
    </row>
    <row r="606" customFormat="false" ht="12.75" hidden="false" customHeight="false" outlineLevel="0" collapsed="false">
      <c r="E606" s="34" t="str">
        <f aca="false">MID(B606,9,1)</f>
        <v/>
      </c>
      <c r="F606" s="34" t="str">
        <f aca="false">MID(B606,10,1)</f>
        <v/>
      </c>
      <c r="G606" s="34" t="str">
        <f aca="false">MID(B606,11,1)</f>
        <v/>
      </c>
      <c r="H606" s="35" t="str">
        <f aca="false">IF(G606=".",F606,CONCATENATE(F606,G606))</f>
        <v/>
      </c>
      <c r="I606" s="34" t="n">
        <f aca="false">IFERROR(VALUE(H606),)</f>
        <v>0</v>
      </c>
      <c r="J606" s="34" t="e">
        <f aca="false">RIGHT(B606,LEN(B606)-FIND("/",B606, FIND("Single Cells",B606, 1)))</f>
        <v>#VALUE!</v>
      </c>
    </row>
    <row r="607" customFormat="false" ht="12.75" hidden="false" customHeight="false" outlineLevel="0" collapsed="false">
      <c r="E607" s="34" t="str">
        <f aca="false">MID(B607,9,1)</f>
        <v/>
      </c>
      <c r="F607" s="34" t="str">
        <f aca="false">MID(B607,10,1)</f>
        <v/>
      </c>
      <c r="G607" s="34" t="str">
        <f aca="false">MID(B607,11,1)</f>
        <v/>
      </c>
      <c r="H607" s="35" t="str">
        <f aca="false">IF(G607=".",F607,CONCATENATE(F607,G607))</f>
        <v/>
      </c>
      <c r="I607" s="34" t="n">
        <f aca="false">IFERROR(VALUE(H607),)</f>
        <v>0</v>
      </c>
      <c r="J607" s="34" t="e">
        <f aca="false">RIGHT(B607,LEN(B607)-FIND("/",B607, FIND("Single Cells",B607, 1)))</f>
        <v>#VALUE!</v>
      </c>
    </row>
    <row r="608" customFormat="false" ht="12.75" hidden="false" customHeight="false" outlineLevel="0" collapsed="false">
      <c r="E608" s="34" t="str">
        <f aca="false">MID(B608,9,1)</f>
        <v/>
      </c>
      <c r="F608" s="34" t="str">
        <f aca="false">MID(B608,10,1)</f>
        <v/>
      </c>
      <c r="G608" s="34" t="str">
        <f aca="false">MID(B608,11,1)</f>
        <v/>
      </c>
      <c r="H608" s="35" t="str">
        <f aca="false">IF(G608=".",F608,CONCATENATE(F608,G608))</f>
        <v/>
      </c>
      <c r="I608" s="34" t="n">
        <f aca="false">IFERROR(VALUE(H608),)</f>
        <v>0</v>
      </c>
      <c r="J608" s="34" t="e">
        <f aca="false">RIGHT(B608,LEN(B608)-FIND("/",B608, FIND("Single Cells",B608, 1)))</f>
        <v>#VALUE!</v>
      </c>
    </row>
    <row r="609" customFormat="false" ht="12.75" hidden="false" customHeight="false" outlineLevel="0" collapsed="false">
      <c r="E609" s="34" t="str">
        <f aca="false">MID(B609,9,1)</f>
        <v/>
      </c>
      <c r="F609" s="34" t="str">
        <f aca="false">MID(B609,10,1)</f>
        <v/>
      </c>
      <c r="G609" s="34" t="str">
        <f aca="false">MID(B609,11,1)</f>
        <v/>
      </c>
      <c r="H609" s="35" t="str">
        <f aca="false">IF(G609=".",F609,CONCATENATE(F609,G609))</f>
        <v/>
      </c>
      <c r="I609" s="34" t="n">
        <f aca="false">IFERROR(VALUE(H609),)</f>
        <v>0</v>
      </c>
      <c r="J609" s="34" t="e">
        <f aca="false">RIGHT(B609,LEN(B609)-FIND("/",B609, FIND("Single Cells",B609, 1)))</f>
        <v>#VALUE!</v>
      </c>
    </row>
    <row r="610" customFormat="false" ht="12.75" hidden="false" customHeight="false" outlineLevel="0" collapsed="false">
      <c r="E610" s="34" t="str">
        <f aca="false">MID(B610,9,1)</f>
        <v/>
      </c>
      <c r="F610" s="34" t="str">
        <f aca="false">MID(B610,10,1)</f>
        <v/>
      </c>
      <c r="G610" s="34" t="str">
        <f aca="false">MID(B610,11,1)</f>
        <v/>
      </c>
      <c r="H610" s="35" t="str">
        <f aca="false">IF(G610=".",F610,CONCATENATE(F610,G610))</f>
        <v/>
      </c>
      <c r="I610" s="34" t="n">
        <f aca="false">IFERROR(VALUE(H610),)</f>
        <v>0</v>
      </c>
      <c r="J610" s="34" t="e">
        <f aca="false">RIGHT(B610,LEN(B610)-FIND("/",B610, FIND("Single Cells",B610, 1)))</f>
        <v>#VALUE!</v>
      </c>
    </row>
    <row r="611" customFormat="false" ht="12.75" hidden="false" customHeight="false" outlineLevel="0" collapsed="false">
      <c r="E611" s="34" t="str">
        <f aca="false">MID(B611,9,1)</f>
        <v/>
      </c>
      <c r="F611" s="34" t="str">
        <f aca="false">MID(B611,10,1)</f>
        <v/>
      </c>
      <c r="G611" s="34" t="str">
        <f aca="false">MID(B611,11,1)</f>
        <v/>
      </c>
      <c r="H611" s="35" t="str">
        <f aca="false">IF(G611=".",F611,CONCATENATE(F611,G611))</f>
        <v/>
      </c>
      <c r="I611" s="34" t="n">
        <f aca="false">IFERROR(VALUE(H611),)</f>
        <v>0</v>
      </c>
      <c r="J611" s="34" t="e">
        <f aca="false">RIGHT(B611,LEN(B611)-FIND("/",B611, FIND("Single Cells",B611, 1)))</f>
        <v>#VALUE!</v>
      </c>
    </row>
    <row r="612" customFormat="false" ht="12.75" hidden="false" customHeight="false" outlineLevel="0" collapsed="false">
      <c r="E612" s="34" t="str">
        <f aca="false">MID(B612,9,1)</f>
        <v/>
      </c>
      <c r="F612" s="34" t="str">
        <f aca="false">MID(B612,10,1)</f>
        <v/>
      </c>
      <c r="G612" s="34" t="str">
        <f aca="false">MID(B612,11,1)</f>
        <v/>
      </c>
      <c r="H612" s="35" t="str">
        <f aca="false">IF(G612=".",F612,CONCATENATE(F612,G612))</f>
        <v/>
      </c>
      <c r="I612" s="34" t="n">
        <f aca="false">IFERROR(VALUE(H612),)</f>
        <v>0</v>
      </c>
      <c r="J612" s="34" t="e">
        <f aca="false">RIGHT(B612,LEN(B612)-FIND("/",B612, FIND("Single Cells",B612, 1)))</f>
        <v>#VALUE!</v>
      </c>
    </row>
    <row r="613" customFormat="false" ht="12.75" hidden="false" customHeight="false" outlineLevel="0" collapsed="false">
      <c r="E613" s="34" t="str">
        <f aca="false">MID(B613,9,1)</f>
        <v/>
      </c>
      <c r="F613" s="34" t="str">
        <f aca="false">MID(B613,10,1)</f>
        <v/>
      </c>
      <c r="G613" s="34" t="str">
        <f aca="false">MID(B613,11,1)</f>
        <v/>
      </c>
      <c r="H613" s="35" t="str">
        <f aca="false">IF(G613=".",F613,CONCATENATE(F613,G613))</f>
        <v/>
      </c>
      <c r="I613" s="34" t="n">
        <f aca="false">IFERROR(VALUE(H613),)</f>
        <v>0</v>
      </c>
      <c r="J613" s="34" t="e">
        <f aca="false">RIGHT(B613,LEN(B613)-FIND("/",B613, FIND("Single Cells",B613, 1)))</f>
        <v>#VALUE!</v>
      </c>
    </row>
    <row r="614" customFormat="false" ht="12.75" hidden="false" customHeight="false" outlineLevel="0" collapsed="false">
      <c r="E614" s="34" t="str">
        <f aca="false">MID(B614,9,1)</f>
        <v/>
      </c>
      <c r="F614" s="34" t="str">
        <f aca="false">MID(B614,10,1)</f>
        <v/>
      </c>
      <c r="G614" s="34" t="str">
        <f aca="false">MID(B614,11,1)</f>
        <v/>
      </c>
      <c r="H614" s="35" t="str">
        <f aca="false">IF(G614=".",F614,CONCATENATE(F614,G614))</f>
        <v/>
      </c>
      <c r="I614" s="34" t="n">
        <f aca="false">IFERROR(VALUE(H614),)</f>
        <v>0</v>
      </c>
      <c r="J614" s="34" t="e">
        <f aca="false">RIGHT(B614,LEN(B614)-FIND("/",B614, FIND("Single Cells",B614, 1)))</f>
        <v>#VALUE!</v>
      </c>
    </row>
    <row r="615" customFormat="false" ht="12.75" hidden="false" customHeight="false" outlineLevel="0" collapsed="false">
      <c r="E615" s="34" t="str">
        <f aca="false">MID(B615,9,1)</f>
        <v/>
      </c>
      <c r="F615" s="34" t="str">
        <f aca="false">MID(B615,10,1)</f>
        <v/>
      </c>
      <c r="G615" s="34" t="str">
        <f aca="false">MID(B615,11,1)</f>
        <v/>
      </c>
      <c r="H615" s="35" t="str">
        <f aca="false">IF(G615=".",F615,CONCATENATE(F615,G615))</f>
        <v/>
      </c>
      <c r="I615" s="34" t="n">
        <f aca="false">IFERROR(VALUE(H615),)</f>
        <v>0</v>
      </c>
      <c r="J615" s="34" t="e">
        <f aca="false">RIGHT(B615,LEN(B615)-FIND("/",B615, FIND("Single Cells",B615, 1)))</f>
        <v>#VALUE!</v>
      </c>
    </row>
    <row r="616" customFormat="false" ht="12.75" hidden="false" customHeight="false" outlineLevel="0" collapsed="false">
      <c r="E616" s="34" t="str">
        <f aca="false">MID(B616,9,1)</f>
        <v/>
      </c>
      <c r="F616" s="34" t="str">
        <f aca="false">MID(B616,10,1)</f>
        <v/>
      </c>
      <c r="G616" s="34" t="str">
        <f aca="false">MID(B616,11,1)</f>
        <v/>
      </c>
      <c r="H616" s="35" t="str">
        <f aca="false">IF(G616=".",F616,CONCATENATE(F616,G616))</f>
        <v/>
      </c>
      <c r="I616" s="34" t="n">
        <f aca="false">IFERROR(VALUE(H616),)</f>
        <v>0</v>
      </c>
      <c r="J616" s="34" t="e">
        <f aca="false">RIGHT(B616,LEN(B616)-FIND("/",B616, FIND("Single Cells",B616, 1)))</f>
        <v>#VALUE!</v>
      </c>
    </row>
    <row r="617" customFormat="false" ht="12.75" hidden="false" customHeight="false" outlineLevel="0" collapsed="false">
      <c r="E617" s="34" t="str">
        <f aca="false">MID(B617,9,1)</f>
        <v/>
      </c>
      <c r="F617" s="34" t="str">
        <f aca="false">MID(B617,10,1)</f>
        <v/>
      </c>
      <c r="G617" s="34" t="str">
        <f aca="false">MID(B617,11,1)</f>
        <v/>
      </c>
      <c r="H617" s="35" t="str">
        <f aca="false">IF(G617=".",F617,CONCATENATE(F617,G617))</f>
        <v/>
      </c>
      <c r="I617" s="34" t="n">
        <f aca="false">IFERROR(VALUE(H617),)</f>
        <v>0</v>
      </c>
      <c r="J617" s="34" t="e">
        <f aca="false">RIGHT(B617,LEN(B617)-FIND("/",B617, FIND("Single Cells",B617, 1)))</f>
        <v>#VALUE!</v>
      </c>
    </row>
    <row r="618" customFormat="false" ht="12.75" hidden="false" customHeight="false" outlineLevel="0" collapsed="false">
      <c r="E618" s="34" t="str">
        <f aca="false">MID(B618,9,1)</f>
        <v/>
      </c>
      <c r="F618" s="34" t="str">
        <f aca="false">MID(B618,10,1)</f>
        <v/>
      </c>
      <c r="G618" s="34" t="str">
        <f aca="false">MID(B618,11,1)</f>
        <v/>
      </c>
      <c r="H618" s="35" t="str">
        <f aca="false">IF(G618=".",F618,CONCATENATE(F618,G618))</f>
        <v/>
      </c>
      <c r="I618" s="34" t="n">
        <f aca="false">IFERROR(VALUE(H618),)</f>
        <v>0</v>
      </c>
      <c r="J618" s="34" t="e">
        <f aca="false">RIGHT(B618,LEN(B618)-FIND("/",B618, FIND("Single Cells",B618, 1)))</f>
        <v>#VALUE!</v>
      </c>
    </row>
    <row r="619" customFormat="false" ht="12.75" hidden="false" customHeight="false" outlineLevel="0" collapsed="false">
      <c r="E619" s="34" t="str">
        <f aca="false">MID(B619,9,1)</f>
        <v/>
      </c>
      <c r="F619" s="34" t="str">
        <f aca="false">MID(B619,10,1)</f>
        <v/>
      </c>
      <c r="G619" s="34" t="str">
        <f aca="false">MID(B619,11,1)</f>
        <v/>
      </c>
      <c r="H619" s="35" t="str">
        <f aca="false">IF(G619=".",F619,CONCATENATE(F619,G619))</f>
        <v/>
      </c>
      <c r="I619" s="34" t="n">
        <f aca="false">IFERROR(VALUE(H619),)</f>
        <v>0</v>
      </c>
      <c r="J619" s="34" t="e">
        <f aca="false">RIGHT(B619,LEN(B619)-FIND("/",B619, FIND("Single Cells",B619, 1)))</f>
        <v>#VALUE!</v>
      </c>
    </row>
    <row r="620" customFormat="false" ht="12.75" hidden="false" customHeight="false" outlineLevel="0" collapsed="false">
      <c r="E620" s="34" t="str">
        <f aca="false">MID(B620,9,1)</f>
        <v/>
      </c>
      <c r="F620" s="34" t="str">
        <f aca="false">MID(B620,10,1)</f>
        <v/>
      </c>
      <c r="G620" s="34" t="str">
        <f aca="false">MID(B620,11,1)</f>
        <v/>
      </c>
      <c r="H620" s="35" t="str">
        <f aca="false">IF(G620=".",F620,CONCATENATE(F620,G620))</f>
        <v/>
      </c>
      <c r="I620" s="34" t="n">
        <f aca="false">IFERROR(VALUE(H620),)</f>
        <v>0</v>
      </c>
      <c r="J620" s="34" t="e">
        <f aca="false">RIGHT(B620,LEN(B620)-FIND("/",B620, FIND("Single Cells",B620, 1)))</f>
        <v>#VALUE!</v>
      </c>
    </row>
    <row r="621" customFormat="false" ht="12.75" hidden="false" customHeight="false" outlineLevel="0" collapsed="false">
      <c r="E621" s="34" t="str">
        <f aca="false">MID(B621,9,1)</f>
        <v/>
      </c>
      <c r="F621" s="34" t="str">
        <f aca="false">MID(B621,10,1)</f>
        <v/>
      </c>
      <c r="G621" s="34" t="str">
        <f aca="false">MID(B621,11,1)</f>
        <v/>
      </c>
      <c r="H621" s="35" t="str">
        <f aca="false">IF(G621=".",F621,CONCATENATE(F621,G621))</f>
        <v/>
      </c>
      <c r="I621" s="34" t="n">
        <f aca="false">IFERROR(VALUE(H621),)</f>
        <v>0</v>
      </c>
      <c r="J621" s="34" t="e">
        <f aca="false">RIGHT(B621,LEN(B621)-FIND("/",B621, FIND("Single Cells",B621, 1)))</f>
        <v>#VALUE!</v>
      </c>
    </row>
    <row r="622" customFormat="false" ht="12.75" hidden="false" customHeight="false" outlineLevel="0" collapsed="false">
      <c r="E622" s="34" t="str">
        <f aca="false">MID(B622,9,1)</f>
        <v/>
      </c>
      <c r="F622" s="34" t="str">
        <f aca="false">MID(B622,10,1)</f>
        <v/>
      </c>
      <c r="G622" s="34" t="str">
        <f aca="false">MID(B622,11,1)</f>
        <v/>
      </c>
      <c r="H622" s="35" t="str">
        <f aca="false">IF(G622=".",F622,CONCATENATE(F622,G622))</f>
        <v/>
      </c>
      <c r="I622" s="34" t="n">
        <f aca="false">IFERROR(VALUE(H622),)</f>
        <v>0</v>
      </c>
      <c r="J622" s="34" t="e">
        <f aca="false">RIGHT(B622,LEN(B622)-FIND("/",B622, FIND("Single Cells",B622, 1)))</f>
        <v>#VALUE!</v>
      </c>
    </row>
    <row r="623" customFormat="false" ht="12.75" hidden="false" customHeight="false" outlineLevel="0" collapsed="false">
      <c r="E623" s="34" t="str">
        <f aca="false">MID(B623,9,1)</f>
        <v/>
      </c>
      <c r="F623" s="34" t="str">
        <f aca="false">MID(B623,10,1)</f>
        <v/>
      </c>
      <c r="G623" s="34" t="str">
        <f aca="false">MID(B623,11,1)</f>
        <v/>
      </c>
      <c r="H623" s="35" t="str">
        <f aca="false">IF(G623=".",F623,CONCATENATE(F623,G623))</f>
        <v/>
      </c>
      <c r="I623" s="34" t="n">
        <f aca="false">IFERROR(VALUE(H623),)</f>
        <v>0</v>
      </c>
      <c r="J623" s="34" t="e">
        <f aca="false">RIGHT(B623,LEN(B623)-FIND("/",B623, FIND("Single Cells",B623, 1)))</f>
        <v>#VALUE!</v>
      </c>
    </row>
    <row r="624" customFormat="false" ht="12.75" hidden="false" customHeight="false" outlineLevel="0" collapsed="false">
      <c r="E624" s="34" t="str">
        <f aca="false">MID(B624,9,1)</f>
        <v/>
      </c>
      <c r="F624" s="34" t="str">
        <f aca="false">MID(B624,10,1)</f>
        <v/>
      </c>
      <c r="G624" s="34" t="str">
        <f aca="false">MID(B624,11,1)</f>
        <v/>
      </c>
      <c r="H624" s="35" t="str">
        <f aca="false">IF(G624=".",F624,CONCATENATE(F624,G624))</f>
        <v/>
      </c>
      <c r="I624" s="34" t="n">
        <f aca="false">IFERROR(VALUE(H624),)</f>
        <v>0</v>
      </c>
      <c r="J624" s="34" t="e">
        <f aca="false">RIGHT(B624,LEN(B624)-FIND("/",B624, FIND("Single Cells",B624, 1)))</f>
        <v>#VALUE!</v>
      </c>
    </row>
    <row r="625" customFormat="false" ht="12.75" hidden="false" customHeight="false" outlineLevel="0" collapsed="false">
      <c r="E625" s="34" t="str">
        <f aca="false">MID(B625,9,1)</f>
        <v/>
      </c>
      <c r="F625" s="34" t="str">
        <f aca="false">MID(B625,10,1)</f>
        <v/>
      </c>
      <c r="G625" s="34" t="str">
        <f aca="false">MID(B625,11,1)</f>
        <v/>
      </c>
      <c r="H625" s="35" t="str">
        <f aca="false">IF(G625=".",F625,CONCATENATE(F625,G625))</f>
        <v/>
      </c>
      <c r="I625" s="34" t="n">
        <f aca="false">IFERROR(VALUE(H625),)</f>
        <v>0</v>
      </c>
      <c r="J625" s="34" t="e">
        <f aca="false">RIGHT(B625,LEN(B625)-FIND("/",B625, FIND("Single Cells",B625, 1)))</f>
        <v>#VALUE!</v>
      </c>
    </row>
    <row r="626" customFormat="false" ht="12.75" hidden="false" customHeight="false" outlineLevel="0" collapsed="false">
      <c r="E626" s="34" t="str">
        <f aca="false">MID(B626,9,1)</f>
        <v/>
      </c>
      <c r="F626" s="34" t="str">
        <f aca="false">MID(B626,10,1)</f>
        <v/>
      </c>
      <c r="G626" s="34" t="str">
        <f aca="false">MID(B626,11,1)</f>
        <v/>
      </c>
      <c r="H626" s="35" t="str">
        <f aca="false">IF(G626=".",F626,CONCATENATE(F626,G626))</f>
        <v/>
      </c>
      <c r="I626" s="34" t="n">
        <f aca="false">IFERROR(VALUE(H626),)</f>
        <v>0</v>
      </c>
      <c r="J626" s="34" t="e">
        <f aca="false">RIGHT(B626,LEN(B626)-FIND("/",B626, FIND("Single Cells",B626, 1)))</f>
        <v>#VALUE!</v>
      </c>
    </row>
    <row r="627" customFormat="false" ht="12.75" hidden="false" customHeight="false" outlineLevel="0" collapsed="false">
      <c r="E627" s="34" t="str">
        <f aca="false">MID(B627,9,1)</f>
        <v/>
      </c>
      <c r="F627" s="34" t="str">
        <f aca="false">MID(B627,10,1)</f>
        <v/>
      </c>
      <c r="G627" s="34" t="str">
        <f aca="false">MID(B627,11,1)</f>
        <v/>
      </c>
      <c r="H627" s="35" t="str">
        <f aca="false">IF(G627=".",F627,CONCATENATE(F627,G627))</f>
        <v/>
      </c>
      <c r="I627" s="34" t="n">
        <f aca="false">IFERROR(VALUE(H627),)</f>
        <v>0</v>
      </c>
      <c r="J627" s="34" t="e">
        <f aca="false">RIGHT(B627,LEN(B627)-FIND("/",B627, FIND("Single Cells",B627, 1)))</f>
        <v>#VALUE!</v>
      </c>
    </row>
    <row r="628" customFormat="false" ht="12.75" hidden="false" customHeight="false" outlineLevel="0" collapsed="false">
      <c r="E628" s="34" t="str">
        <f aca="false">MID(B628,9,1)</f>
        <v/>
      </c>
      <c r="F628" s="34" t="str">
        <f aca="false">MID(B628,10,1)</f>
        <v/>
      </c>
      <c r="G628" s="34" t="str">
        <f aca="false">MID(B628,11,1)</f>
        <v/>
      </c>
      <c r="H628" s="35" t="str">
        <f aca="false">IF(G628=".",F628,CONCATENATE(F628,G628))</f>
        <v/>
      </c>
      <c r="I628" s="34" t="n">
        <f aca="false">IFERROR(VALUE(H628),)</f>
        <v>0</v>
      </c>
      <c r="J628" s="34" t="e">
        <f aca="false">RIGHT(B628,LEN(B628)-FIND("/",B628, FIND("Single Cells",B628, 1)))</f>
        <v>#VALUE!</v>
      </c>
    </row>
    <row r="629" customFormat="false" ht="12.75" hidden="false" customHeight="false" outlineLevel="0" collapsed="false">
      <c r="E629" s="34" t="str">
        <f aca="false">MID(B629,9,1)</f>
        <v/>
      </c>
      <c r="F629" s="34" t="str">
        <f aca="false">MID(B629,10,1)</f>
        <v/>
      </c>
      <c r="G629" s="34" t="str">
        <f aca="false">MID(B629,11,1)</f>
        <v/>
      </c>
      <c r="H629" s="35" t="str">
        <f aca="false">IF(G629=".",F629,CONCATENATE(F629,G629))</f>
        <v/>
      </c>
      <c r="I629" s="34" t="n">
        <f aca="false">IFERROR(VALUE(H629),)</f>
        <v>0</v>
      </c>
      <c r="J629" s="34" t="e">
        <f aca="false">RIGHT(B629,LEN(B629)-FIND("/",B629, FIND("Single Cells",B629, 1)))</f>
        <v>#VALUE!</v>
      </c>
    </row>
    <row r="630" customFormat="false" ht="12.75" hidden="false" customHeight="false" outlineLevel="0" collapsed="false">
      <c r="E630" s="34" t="str">
        <f aca="false">MID(B630,9,1)</f>
        <v/>
      </c>
      <c r="F630" s="34" t="str">
        <f aca="false">MID(B630,10,1)</f>
        <v/>
      </c>
      <c r="G630" s="34" t="str">
        <f aca="false">MID(B630,11,1)</f>
        <v/>
      </c>
      <c r="H630" s="35" t="str">
        <f aca="false">IF(G630=".",F630,CONCATENATE(F630,G630))</f>
        <v/>
      </c>
      <c r="I630" s="34" t="n">
        <f aca="false">IFERROR(VALUE(H630),)</f>
        <v>0</v>
      </c>
      <c r="J630" s="34" t="e">
        <f aca="false">RIGHT(B630,LEN(B630)-FIND("/",B630, FIND("Single Cells",B630, 1)))</f>
        <v>#VALUE!</v>
      </c>
    </row>
    <row r="631" customFormat="false" ht="12.75" hidden="false" customHeight="false" outlineLevel="0" collapsed="false">
      <c r="E631" s="34" t="str">
        <f aca="false">MID(B631,9,1)</f>
        <v/>
      </c>
      <c r="F631" s="34" t="str">
        <f aca="false">MID(B631,10,1)</f>
        <v/>
      </c>
      <c r="G631" s="34" t="str">
        <f aca="false">MID(B631,11,1)</f>
        <v/>
      </c>
      <c r="H631" s="35" t="str">
        <f aca="false">IF(G631=".",F631,CONCATENATE(F631,G631))</f>
        <v/>
      </c>
      <c r="I631" s="34" t="n">
        <f aca="false">IFERROR(VALUE(H631),)</f>
        <v>0</v>
      </c>
      <c r="J631" s="34" t="e">
        <f aca="false">RIGHT(B631,LEN(B631)-FIND("/",B631, FIND("Single Cells",B631, 1)))</f>
        <v>#VALUE!</v>
      </c>
    </row>
    <row r="632" customFormat="false" ht="12.75" hidden="false" customHeight="false" outlineLevel="0" collapsed="false">
      <c r="E632" s="34" t="str">
        <f aca="false">MID(B632,9,1)</f>
        <v/>
      </c>
      <c r="F632" s="34" t="str">
        <f aca="false">MID(B632,10,1)</f>
        <v/>
      </c>
      <c r="G632" s="34" t="str">
        <f aca="false">MID(B632,11,1)</f>
        <v/>
      </c>
      <c r="H632" s="35" t="str">
        <f aca="false">IF(G632=".",F632,CONCATENATE(F632,G632))</f>
        <v/>
      </c>
      <c r="I632" s="34" t="n">
        <f aca="false">IFERROR(VALUE(H632),)</f>
        <v>0</v>
      </c>
      <c r="J632" s="34" t="e">
        <f aca="false">RIGHT(B632,LEN(B632)-FIND("/",B632, FIND("Single Cells",B632, 1)))</f>
        <v>#VALUE!</v>
      </c>
    </row>
    <row r="633" customFormat="false" ht="12.75" hidden="false" customHeight="false" outlineLevel="0" collapsed="false">
      <c r="E633" s="34" t="str">
        <f aca="false">MID(B633,9,1)</f>
        <v/>
      </c>
      <c r="F633" s="34" t="str">
        <f aca="false">MID(B633,10,1)</f>
        <v/>
      </c>
      <c r="G633" s="34" t="str">
        <f aca="false">MID(B633,11,1)</f>
        <v/>
      </c>
      <c r="H633" s="35" t="str">
        <f aca="false">IF(G633=".",F633,CONCATENATE(F633,G633))</f>
        <v/>
      </c>
      <c r="I633" s="34" t="n">
        <f aca="false">IFERROR(VALUE(H633),)</f>
        <v>0</v>
      </c>
      <c r="J633" s="34" t="e">
        <f aca="false">RIGHT(B633,LEN(B633)-FIND("/",B633, FIND("Single Cells",B633, 1)))</f>
        <v>#VALUE!</v>
      </c>
    </row>
    <row r="634" customFormat="false" ht="12.75" hidden="false" customHeight="false" outlineLevel="0" collapsed="false">
      <c r="E634" s="34" t="str">
        <f aca="false">MID(B634,9,1)</f>
        <v/>
      </c>
      <c r="F634" s="34" t="str">
        <f aca="false">MID(B634,10,1)</f>
        <v/>
      </c>
      <c r="G634" s="34" t="str">
        <f aca="false">MID(B634,11,1)</f>
        <v/>
      </c>
      <c r="H634" s="35" t="str">
        <f aca="false">IF(G634=".",F634,CONCATENATE(F634,G634))</f>
        <v/>
      </c>
      <c r="I634" s="34" t="n">
        <f aca="false">IFERROR(VALUE(H634),)</f>
        <v>0</v>
      </c>
      <c r="J634" s="34" t="e">
        <f aca="false">RIGHT(B634,LEN(B634)-FIND("/",B634, FIND("Single Cells",B634, 1)))</f>
        <v>#VALUE!</v>
      </c>
    </row>
    <row r="635" customFormat="false" ht="12.75" hidden="false" customHeight="false" outlineLevel="0" collapsed="false">
      <c r="E635" s="34" t="str">
        <f aca="false">MID(B635,9,1)</f>
        <v/>
      </c>
      <c r="F635" s="34" t="str">
        <f aca="false">MID(B635,10,1)</f>
        <v/>
      </c>
      <c r="G635" s="34" t="str">
        <f aca="false">MID(B635,11,1)</f>
        <v/>
      </c>
      <c r="H635" s="35" t="str">
        <f aca="false">IF(G635=".",F635,CONCATENATE(F635,G635))</f>
        <v/>
      </c>
      <c r="I635" s="34" t="n">
        <f aca="false">IFERROR(VALUE(H635),)</f>
        <v>0</v>
      </c>
      <c r="J635" s="34" t="e">
        <f aca="false">RIGHT(B635,LEN(B635)-FIND("/",B635, FIND("Single Cells",B635, 1)))</f>
        <v>#VALUE!</v>
      </c>
    </row>
    <row r="636" customFormat="false" ht="12.75" hidden="false" customHeight="false" outlineLevel="0" collapsed="false">
      <c r="E636" s="34" t="str">
        <f aca="false">MID(B636,9,1)</f>
        <v/>
      </c>
      <c r="F636" s="34" t="str">
        <f aca="false">MID(B636,10,1)</f>
        <v/>
      </c>
      <c r="G636" s="34" t="str">
        <f aca="false">MID(B636,11,1)</f>
        <v/>
      </c>
      <c r="H636" s="35" t="str">
        <f aca="false">IF(G636=".",F636,CONCATENATE(F636,G636))</f>
        <v/>
      </c>
      <c r="I636" s="34" t="n">
        <f aca="false">IFERROR(VALUE(H636),)</f>
        <v>0</v>
      </c>
      <c r="J636" s="34" t="e">
        <f aca="false">RIGHT(B636,LEN(B636)-FIND("/",B636, FIND("Single Cells",B636, 1)))</f>
        <v>#VALUE!</v>
      </c>
    </row>
    <row r="637" customFormat="false" ht="12.75" hidden="false" customHeight="false" outlineLevel="0" collapsed="false">
      <c r="E637" s="34" t="str">
        <f aca="false">MID(B637,9,1)</f>
        <v/>
      </c>
      <c r="F637" s="34" t="str">
        <f aca="false">MID(B637,10,1)</f>
        <v/>
      </c>
      <c r="G637" s="34" t="str">
        <f aca="false">MID(B637,11,1)</f>
        <v/>
      </c>
      <c r="H637" s="35" t="str">
        <f aca="false">IF(G637=".",F637,CONCATENATE(F637,G637))</f>
        <v/>
      </c>
      <c r="I637" s="34" t="n">
        <f aca="false">IFERROR(VALUE(H637),)</f>
        <v>0</v>
      </c>
      <c r="J637" s="34" t="e">
        <f aca="false">RIGHT(B637,LEN(B637)-FIND("/",B637, FIND("Single Cells",B637, 1)))</f>
        <v>#VALUE!</v>
      </c>
    </row>
    <row r="638" customFormat="false" ht="12.75" hidden="false" customHeight="false" outlineLevel="0" collapsed="false">
      <c r="E638" s="34" t="str">
        <f aca="false">MID(B638,9,1)</f>
        <v/>
      </c>
      <c r="F638" s="34" t="str">
        <f aca="false">MID(B638,10,1)</f>
        <v/>
      </c>
      <c r="G638" s="34" t="str">
        <f aca="false">MID(B638,11,1)</f>
        <v/>
      </c>
      <c r="H638" s="35" t="str">
        <f aca="false">IF(G638=".",F638,CONCATENATE(F638,G638))</f>
        <v/>
      </c>
      <c r="I638" s="34" t="n">
        <f aca="false">IFERROR(VALUE(H638),)</f>
        <v>0</v>
      </c>
      <c r="J638" s="34" t="e">
        <f aca="false">RIGHT(B638,LEN(B638)-FIND("/",B638, FIND("Single Cells",B638, 1)))</f>
        <v>#VALUE!</v>
      </c>
    </row>
    <row r="639" customFormat="false" ht="12.75" hidden="false" customHeight="false" outlineLevel="0" collapsed="false">
      <c r="E639" s="34" t="str">
        <f aca="false">MID(B639,9,1)</f>
        <v/>
      </c>
      <c r="F639" s="34" t="str">
        <f aca="false">MID(B639,10,1)</f>
        <v/>
      </c>
      <c r="G639" s="34" t="str">
        <f aca="false">MID(B639,11,1)</f>
        <v/>
      </c>
      <c r="H639" s="35" t="str">
        <f aca="false">IF(G639=".",F639,CONCATENATE(F639,G639))</f>
        <v/>
      </c>
      <c r="I639" s="34" t="n">
        <f aca="false">IFERROR(VALUE(H639),)</f>
        <v>0</v>
      </c>
      <c r="J639" s="34" t="e">
        <f aca="false">RIGHT(B639,LEN(B639)-FIND("/",B639, FIND("Single Cells",B639, 1)))</f>
        <v>#VALUE!</v>
      </c>
    </row>
    <row r="640" customFormat="false" ht="12.75" hidden="false" customHeight="false" outlineLevel="0" collapsed="false">
      <c r="E640" s="34" t="str">
        <f aca="false">MID(B640,9,1)</f>
        <v/>
      </c>
      <c r="F640" s="34" t="str">
        <f aca="false">MID(B640,10,1)</f>
        <v/>
      </c>
      <c r="G640" s="34" t="str">
        <f aca="false">MID(B640,11,1)</f>
        <v/>
      </c>
      <c r="H640" s="35" t="str">
        <f aca="false">IF(G640=".",F640,CONCATENATE(F640,G640))</f>
        <v/>
      </c>
      <c r="I640" s="34" t="n">
        <f aca="false">IFERROR(VALUE(H640),)</f>
        <v>0</v>
      </c>
      <c r="J640" s="34" t="e">
        <f aca="false">RIGHT(B640,LEN(B640)-FIND("/",B640, FIND("Single Cells",B640, 1)))</f>
        <v>#VALUE!</v>
      </c>
    </row>
    <row r="641" customFormat="false" ht="12.75" hidden="false" customHeight="false" outlineLevel="0" collapsed="false">
      <c r="E641" s="34" t="str">
        <f aca="false">MID(B641,9,1)</f>
        <v/>
      </c>
      <c r="F641" s="34" t="str">
        <f aca="false">MID(B641,10,1)</f>
        <v/>
      </c>
      <c r="G641" s="34" t="str">
        <f aca="false">MID(B641,11,1)</f>
        <v/>
      </c>
      <c r="H641" s="35" t="str">
        <f aca="false">IF(G641=".",F641,CONCATENATE(F641,G641))</f>
        <v/>
      </c>
      <c r="I641" s="34" t="n">
        <f aca="false">IFERROR(VALUE(H641),)</f>
        <v>0</v>
      </c>
      <c r="J641" s="34" t="e">
        <f aca="false">RIGHT(B641,LEN(B641)-FIND("/",B641, FIND("Single Cells",B641, 1)))</f>
        <v>#VALUE!</v>
      </c>
    </row>
    <row r="642" customFormat="false" ht="12.75" hidden="false" customHeight="false" outlineLevel="0" collapsed="false">
      <c r="E642" s="34" t="str">
        <f aca="false">MID(B642,9,1)</f>
        <v/>
      </c>
      <c r="F642" s="34" t="str">
        <f aca="false">MID(B642,10,1)</f>
        <v/>
      </c>
      <c r="G642" s="34" t="str">
        <f aca="false">MID(B642,11,1)</f>
        <v/>
      </c>
      <c r="H642" s="35" t="str">
        <f aca="false">IF(G642=".",F642,CONCATENATE(F642,G642))</f>
        <v/>
      </c>
      <c r="I642" s="34" t="n">
        <f aca="false">IFERROR(VALUE(H642),)</f>
        <v>0</v>
      </c>
      <c r="J642" s="34" t="e">
        <f aca="false">RIGHT(B642,LEN(B642)-FIND("/",B642, FIND("Single Cells",B642, 1)))</f>
        <v>#VALUE!</v>
      </c>
    </row>
    <row r="643" customFormat="false" ht="12.75" hidden="false" customHeight="false" outlineLevel="0" collapsed="false">
      <c r="E643" s="34" t="str">
        <f aca="false">MID(B643,9,1)</f>
        <v/>
      </c>
      <c r="F643" s="34" t="str">
        <f aca="false">MID(B643,10,1)</f>
        <v/>
      </c>
      <c r="G643" s="34" t="str">
        <f aca="false">MID(B643,11,1)</f>
        <v/>
      </c>
      <c r="H643" s="35" t="str">
        <f aca="false">IF(G643=".",F643,CONCATENATE(F643,G643))</f>
        <v/>
      </c>
      <c r="I643" s="34" t="n">
        <f aca="false">IFERROR(VALUE(H643),)</f>
        <v>0</v>
      </c>
      <c r="J643" s="34" t="e">
        <f aca="false">RIGHT(B643,LEN(B643)-FIND("/",B643, FIND("Single Cells",B643, 1)))</f>
        <v>#VALUE!</v>
      </c>
    </row>
    <row r="644" customFormat="false" ht="12.75" hidden="false" customHeight="false" outlineLevel="0" collapsed="false">
      <c r="E644" s="34" t="str">
        <f aca="false">MID(B644,9,1)</f>
        <v/>
      </c>
      <c r="F644" s="34" t="str">
        <f aca="false">MID(B644,10,1)</f>
        <v/>
      </c>
      <c r="G644" s="34" t="str">
        <f aca="false">MID(B644,11,1)</f>
        <v/>
      </c>
      <c r="H644" s="35" t="str">
        <f aca="false">IF(G644=".",F644,CONCATENATE(F644,G644))</f>
        <v/>
      </c>
      <c r="I644" s="34" t="n">
        <f aca="false">IFERROR(VALUE(H644),)</f>
        <v>0</v>
      </c>
      <c r="J644" s="34" t="e">
        <f aca="false">RIGHT(B644,LEN(B644)-FIND("/",B644, FIND("Single Cells",B644, 1)))</f>
        <v>#VALUE!</v>
      </c>
    </row>
    <row r="645" customFormat="false" ht="12.75" hidden="false" customHeight="false" outlineLevel="0" collapsed="false">
      <c r="E645" s="34" t="str">
        <f aca="false">MID(B645,9,1)</f>
        <v/>
      </c>
      <c r="F645" s="34" t="str">
        <f aca="false">MID(B645,10,1)</f>
        <v/>
      </c>
      <c r="G645" s="34" t="str">
        <f aca="false">MID(B645,11,1)</f>
        <v/>
      </c>
      <c r="H645" s="35" t="str">
        <f aca="false">IF(G645=".",F645,CONCATENATE(F645,G645))</f>
        <v/>
      </c>
      <c r="I645" s="34" t="n">
        <f aca="false">IFERROR(VALUE(H645),)</f>
        <v>0</v>
      </c>
      <c r="J645" s="34" t="e">
        <f aca="false">RIGHT(B645,LEN(B645)-FIND("/",B645, FIND("Single Cells",B645, 1)))</f>
        <v>#VALUE!</v>
      </c>
    </row>
    <row r="646" customFormat="false" ht="12.75" hidden="false" customHeight="false" outlineLevel="0" collapsed="false">
      <c r="E646" s="34" t="str">
        <f aca="false">MID(B646,9,1)</f>
        <v/>
      </c>
      <c r="F646" s="34" t="str">
        <f aca="false">MID(B646,10,1)</f>
        <v/>
      </c>
      <c r="G646" s="34" t="str">
        <f aca="false">MID(B646,11,1)</f>
        <v/>
      </c>
      <c r="H646" s="35" t="str">
        <f aca="false">IF(G646=".",F646,CONCATENATE(F646,G646))</f>
        <v/>
      </c>
      <c r="I646" s="34" t="n">
        <f aca="false">IFERROR(VALUE(H646),)</f>
        <v>0</v>
      </c>
      <c r="J646" s="34" t="e">
        <f aca="false">RIGHT(B646,LEN(B646)-FIND("/",B646, FIND("Single Cells",B646, 1)))</f>
        <v>#VALUE!</v>
      </c>
    </row>
    <row r="647" customFormat="false" ht="12.75" hidden="false" customHeight="false" outlineLevel="0" collapsed="false">
      <c r="E647" s="34" t="str">
        <f aca="false">MID(B647,9,1)</f>
        <v/>
      </c>
      <c r="F647" s="34" t="str">
        <f aca="false">MID(B647,10,1)</f>
        <v/>
      </c>
      <c r="G647" s="34" t="str">
        <f aca="false">MID(B647,11,1)</f>
        <v/>
      </c>
      <c r="H647" s="35" t="str">
        <f aca="false">IF(G647=".",F647,CONCATENATE(F647,G647))</f>
        <v/>
      </c>
      <c r="I647" s="34" t="n">
        <f aca="false">IFERROR(VALUE(H647),)</f>
        <v>0</v>
      </c>
      <c r="J647" s="34" t="e">
        <f aca="false">RIGHT(B647,LEN(B647)-FIND("/",B647, FIND("Single Cells",B647, 1)))</f>
        <v>#VALUE!</v>
      </c>
    </row>
    <row r="648" customFormat="false" ht="12.75" hidden="false" customHeight="false" outlineLevel="0" collapsed="false">
      <c r="E648" s="34" t="str">
        <f aca="false">MID(B648,9,1)</f>
        <v/>
      </c>
      <c r="F648" s="34" t="str">
        <f aca="false">MID(B648,10,1)</f>
        <v/>
      </c>
      <c r="G648" s="34" t="str">
        <f aca="false">MID(B648,11,1)</f>
        <v/>
      </c>
      <c r="H648" s="35" t="str">
        <f aca="false">IF(G648=".",F648,CONCATENATE(F648,G648))</f>
        <v/>
      </c>
      <c r="I648" s="34" t="n">
        <f aca="false">IFERROR(VALUE(H648),)</f>
        <v>0</v>
      </c>
      <c r="J648" s="34" t="e">
        <f aca="false">RIGHT(B648,LEN(B648)-FIND("/",B648, FIND("Single Cells",B648, 1)))</f>
        <v>#VALUE!</v>
      </c>
    </row>
    <row r="649" customFormat="false" ht="12.75" hidden="false" customHeight="false" outlineLevel="0" collapsed="false">
      <c r="E649" s="34" t="str">
        <f aca="false">MID(B649,9,1)</f>
        <v/>
      </c>
      <c r="F649" s="34" t="str">
        <f aca="false">MID(B649,10,1)</f>
        <v/>
      </c>
      <c r="G649" s="34" t="str">
        <f aca="false">MID(B649,11,1)</f>
        <v/>
      </c>
      <c r="H649" s="35" t="str">
        <f aca="false">IF(G649=".",F649,CONCATENATE(F649,G649))</f>
        <v/>
      </c>
      <c r="I649" s="34" t="n">
        <f aca="false">IFERROR(VALUE(H649),)</f>
        <v>0</v>
      </c>
      <c r="J649" s="34" t="e">
        <f aca="false">RIGHT(B649,LEN(B649)-FIND("/",B649, FIND("Single Cells",B649, 1)))</f>
        <v>#VALUE!</v>
      </c>
    </row>
    <row r="650" customFormat="false" ht="12.75" hidden="false" customHeight="false" outlineLevel="0" collapsed="false">
      <c r="E650" s="34" t="str">
        <f aca="false">MID(B650,9,1)</f>
        <v/>
      </c>
      <c r="F650" s="34" t="str">
        <f aca="false">MID(B650,10,1)</f>
        <v/>
      </c>
      <c r="G650" s="34" t="str">
        <f aca="false">MID(B650,11,1)</f>
        <v/>
      </c>
      <c r="H650" s="35" t="str">
        <f aca="false">IF(G650=".",F650,CONCATENATE(F650,G650))</f>
        <v/>
      </c>
      <c r="I650" s="34" t="n">
        <f aca="false">IFERROR(VALUE(H650),)</f>
        <v>0</v>
      </c>
      <c r="J650" s="34" t="e">
        <f aca="false">RIGHT(B650,LEN(B650)-FIND("/",B650, FIND("Single Cells",B650, 1)))</f>
        <v>#VALUE!</v>
      </c>
    </row>
    <row r="651" customFormat="false" ht="12.75" hidden="false" customHeight="false" outlineLevel="0" collapsed="false">
      <c r="E651" s="34" t="str">
        <f aca="false">MID(B651,9,1)</f>
        <v/>
      </c>
      <c r="F651" s="34" t="str">
        <f aca="false">MID(B651,10,1)</f>
        <v/>
      </c>
      <c r="G651" s="34" t="str">
        <f aca="false">MID(B651,11,1)</f>
        <v/>
      </c>
      <c r="H651" s="35" t="str">
        <f aca="false">IF(G651=".",F651,CONCATENATE(F651,G651))</f>
        <v/>
      </c>
      <c r="I651" s="34" t="n">
        <f aca="false">IFERROR(VALUE(H651),)</f>
        <v>0</v>
      </c>
      <c r="J651" s="34" t="e">
        <f aca="false">RIGHT(B651,LEN(B651)-FIND("/",B651, FIND("Single Cells",B651, 1)))</f>
        <v>#VALUE!</v>
      </c>
    </row>
    <row r="652" customFormat="false" ht="12.75" hidden="false" customHeight="false" outlineLevel="0" collapsed="false">
      <c r="E652" s="34" t="str">
        <f aca="false">MID(B652,9,1)</f>
        <v/>
      </c>
      <c r="F652" s="34" t="str">
        <f aca="false">MID(B652,10,1)</f>
        <v/>
      </c>
      <c r="G652" s="34" t="str">
        <f aca="false">MID(B652,11,1)</f>
        <v/>
      </c>
      <c r="H652" s="35" t="str">
        <f aca="false">IF(G652=".",F652,CONCATENATE(F652,G652))</f>
        <v/>
      </c>
      <c r="I652" s="34" t="n">
        <f aca="false">IFERROR(VALUE(H652),)</f>
        <v>0</v>
      </c>
      <c r="J652" s="34" t="e">
        <f aca="false">RIGHT(B652,LEN(B652)-FIND("/",B652, FIND("Single Cells",B652, 1)))</f>
        <v>#VALUE!</v>
      </c>
    </row>
    <row r="653" customFormat="false" ht="12.75" hidden="false" customHeight="false" outlineLevel="0" collapsed="false">
      <c r="E653" s="34" t="str">
        <f aca="false">MID(B653,9,1)</f>
        <v/>
      </c>
      <c r="F653" s="34" t="str">
        <f aca="false">MID(B653,10,1)</f>
        <v/>
      </c>
      <c r="G653" s="34" t="str">
        <f aca="false">MID(B653,11,1)</f>
        <v/>
      </c>
      <c r="H653" s="35" t="str">
        <f aca="false">IF(G653=".",F653,CONCATENATE(F653,G653))</f>
        <v/>
      </c>
      <c r="I653" s="34" t="n">
        <f aca="false">IFERROR(VALUE(H653),)</f>
        <v>0</v>
      </c>
      <c r="J653" s="34" t="e">
        <f aca="false">RIGHT(B653,LEN(B653)-FIND("/",B653, FIND("Single Cells",B653, 1)))</f>
        <v>#VALUE!</v>
      </c>
    </row>
    <row r="654" customFormat="false" ht="12.75" hidden="false" customHeight="false" outlineLevel="0" collapsed="false">
      <c r="E654" s="34" t="str">
        <f aca="false">MID(B654,9,1)</f>
        <v/>
      </c>
      <c r="F654" s="34" t="str">
        <f aca="false">MID(B654,10,1)</f>
        <v/>
      </c>
      <c r="G654" s="34" t="str">
        <f aca="false">MID(B654,11,1)</f>
        <v/>
      </c>
      <c r="H654" s="35" t="str">
        <f aca="false">IF(G654=".",F654,CONCATENATE(F654,G654))</f>
        <v/>
      </c>
      <c r="I654" s="34" t="n">
        <f aca="false">IFERROR(VALUE(H654),)</f>
        <v>0</v>
      </c>
      <c r="J654" s="34" t="e">
        <f aca="false">RIGHT(B654,LEN(B654)-FIND("/",B654, FIND("Single Cells",B654, 1)))</f>
        <v>#VALUE!</v>
      </c>
    </row>
    <row r="655" customFormat="false" ht="12.75" hidden="false" customHeight="false" outlineLevel="0" collapsed="false">
      <c r="E655" s="34" t="str">
        <f aca="false">MID(B655,9,1)</f>
        <v/>
      </c>
      <c r="F655" s="34" t="str">
        <f aca="false">MID(B655,10,1)</f>
        <v/>
      </c>
      <c r="G655" s="34" t="str">
        <f aca="false">MID(B655,11,1)</f>
        <v/>
      </c>
      <c r="H655" s="35" t="str">
        <f aca="false">IF(G655=".",F655,CONCATENATE(F655,G655))</f>
        <v/>
      </c>
      <c r="I655" s="34" t="n">
        <f aca="false">IFERROR(VALUE(H655),)</f>
        <v>0</v>
      </c>
      <c r="J655" s="34" t="e">
        <f aca="false">RIGHT(B655,LEN(B655)-FIND("/",B655, FIND("Single Cells",B655, 1)))</f>
        <v>#VALUE!</v>
      </c>
    </row>
    <row r="656" customFormat="false" ht="12.75" hidden="false" customHeight="false" outlineLevel="0" collapsed="false">
      <c r="E656" s="34" t="str">
        <f aca="false">MID(B656,9,1)</f>
        <v/>
      </c>
      <c r="F656" s="34" t="str">
        <f aca="false">MID(B656,10,1)</f>
        <v/>
      </c>
      <c r="G656" s="34" t="str">
        <f aca="false">MID(B656,11,1)</f>
        <v/>
      </c>
      <c r="H656" s="35" t="str">
        <f aca="false">IF(G656=".",F656,CONCATENATE(F656,G656))</f>
        <v/>
      </c>
      <c r="I656" s="34" t="n">
        <f aca="false">IFERROR(VALUE(H656),)</f>
        <v>0</v>
      </c>
      <c r="J656" s="34" t="e">
        <f aca="false">RIGHT(B656,LEN(B656)-FIND("/",B656, FIND("Single Cells",B656, 1)))</f>
        <v>#VALUE!</v>
      </c>
    </row>
    <row r="657" customFormat="false" ht="12.75" hidden="false" customHeight="false" outlineLevel="0" collapsed="false">
      <c r="E657" s="34" t="str">
        <f aca="false">MID(B657,9,1)</f>
        <v/>
      </c>
      <c r="F657" s="34" t="str">
        <f aca="false">MID(B657,10,1)</f>
        <v/>
      </c>
      <c r="G657" s="34" t="str">
        <f aca="false">MID(B657,11,1)</f>
        <v/>
      </c>
      <c r="H657" s="35" t="str">
        <f aca="false">IF(G657=".",F657,CONCATENATE(F657,G657))</f>
        <v/>
      </c>
      <c r="I657" s="34" t="n">
        <f aca="false">IFERROR(VALUE(H657),)</f>
        <v>0</v>
      </c>
      <c r="J657" s="34" t="e">
        <f aca="false">RIGHT(B657,LEN(B657)-FIND("/",B657, FIND("Single Cells",B657, 1)))</f>
        <v>#VALUE!</v>
      </c>
    </row>
    <row r="658" customFormat="false" ht="12.75" hidden="false" customHeight="false" outlineLevel="0" collapsed="false">
      <c r="E658" s="34" t="str">
        <f aca="false">MID(B658,9,1)</f>
        <v/>
      </c>
      <c r="F658" s="34" t="str">
        <f aca="false">MID(B658,10,1)</f>
        <v/>
      </c>
      <c r="G658" s="34" t="str">
        <f aca="false">MID(B658,11,1)</f>
        <v/>
      </c>
      <c r="H658" s="35" t="str">
        <f aca="false">IF(G658=".",F658,CONCATENATE(F658,G658))</f>
        <v/>
      </c>
      <c r="I658" s="34" t="n">
        <f aca="false">IFERROR(VALUE(H658),)</f>
        <v>0</v>
      </c>
      <c r="J658" s="34" t="e">
        <f aca="false">RIGHT(B658,LEN(B658)-FIND("/",B658, FIND("Single Cells",B658, 1)))</f>
        <v>#VALUE!</v>
      </c>
    </row>
    <row r="659" customFormat="false" ht="12.75" hidden="false" customHeight="false" outlineLevel="0" collapsed="false">
      <c r="E659" s="34" t="str">
        <f aca="false">MID(B659,9,1)</f>
        <v/>
      </c>
      <c r="F659" s="34" t="str">
        <f aca="false">MID(B659,10,1)</f>
        <v/>
      </c>
      <c r="G659" s="34" t="str">
        <f aca="false">MID(B659,11,1)</f>
        <v/>
      </c>
      <c r="H659" s="35" t="str">
        <f aca="false">IF(G659=".",F659,CONCATENATE(F659,G659))</f>
        <v/>
      </c>
      <c r="I659" s="34" t="n">
        <f aca="false">IFERROR(VALUE(H659),)</f>
        <v>0</v>
      </c>
      <c r="J659" s="34" t="e">
        <f aca="false">RIGHT(B659,LEN(B659)-FIND("/",B659, FIND("Single Cells",B659, 1)))</f>
        <v>#VALUE!</v>
      </c>
    </row>
    <row r="660" customFormat="false" ht="12.75" hidden="false" customHeight="false" outlineLevel="0" collapsed="false">
      <c r="E660" s="34" t="str">
        <f aca="false">MID(B660,9,1)</f>
        <v/>
      </c>
      <c r="F660" s="34" t="str">
        <f aca="false">MID(B660,10,1)</f>
        <v/>
      </c>
      <c r="G660" s="34" t="str">
        <f aca="false">MID(B660,11,1)</f>
        <v/>
      </c>
      <c r="H660" s="35" t="str">
        <f aca="false">IF(G660=".",F660,CONCATENATE(F660,G660))</f>
        <v/>
      </c>
      <c r="I660" s="34" t="n">
        <f aca="false">IFERROR(VALUE(H660),)</f>
        <v>0</v>
      </c>
      <c r="J660" s="34" t="e">
        <f aca="false">RIGHT(B660,LEN(B660)-FIND("/",B660, FIND("Single Cells",B660, 1)))</f>
        <v>#VALUE!</v>
      </c>
    </row>
    <row r="661" customFormat="false" ht="12.75" hidden="false" customHeight="false" outlineLevel="0" collapsed="false">
      <c r="E661" s="34" t="str">
        <f aca="false">MID(B661,9,1)</f>
        <v/>
      </c>
      <c r="F661" s="34" t="str">
        <f aca="false">MID(B661,10,1)</f>
        <v/>
      </c>
      <c r="G661" s="34" t="str">
        <f aca="false">MID(B661,11,1)</f>
        <v/>
      </c>
      <c r="H661" s="35" t="str">
        <f aca="false">IF(G661=".",F661,CONCATENATE(F661,G661))</f>
        <v/>
      </c>
      <c r="I661" s="34" t="n">
        <f aca="false">IFERROR(VALUE(H661),)</f>
        <v>0</v>
      </c>
      <c r="J661" s="34" t="e">
        <f aca="false">RIGHT(B661,LEN(B661)-FIND("/",B661, FIND("Single Cells",B661, 1)))</f>
        <v>#VALUE!</v>
      </c>
    </row>
    <row r="662" customFormat="false" ht="12.75" hidden="false" customHeight="false" outlineLevel="0" collapsed="false">
      <c r="E662" s="34" t="str">
        <f aca="false">MID(B662,9,1)</f>
        <v/>
      </c>
      <c r="F662" s="34" t="str">
        <f aca="false">MID(B662,10,1)</f>
        <v/>
      </c>
      <c r="G662" s="34" t="str">
        <f aca="false">MID(B662,11,1)</f>
        <v/>
      </c>
      <c r="H662" s="35" t="str">
        <f aca="false">IF(G662=".",F662,CONCATENATE(F662,G662))</f>
        <v/>
      </c>
      <c r="I662" s="34" t="n">
        <f aca="false">IFERROR(VALUE(H662),)</f>
        <v>0</v>
      </c>
      <c r="J662" s="34" t="e">
        <f aca="false">RIGHT(B662,LEN(B662)-FIND("/",B662, FIND("Single Cells",B662, 1)))</f>
        <v>#VALUE!</v>
      </c>
    </row>
    <row r="663" customFormat="false" ht="12.75" hidden="false" customHeight="false" outlineLevel="0" collapsed="false">
      <c r="E663" s="34" t="str">
        <f aca="false">MID(B663,9,1)</f>
        <v/>
      </c>
      <c r="F663" s="34" t="str">
        <f aca="false">MID(B663,10,1)</f>
        <v/>
      </c>
      <c r="G663" s="34" t="str">
        <f aca="false">MID(B663,11,1)</f>
        <v/>
      </c>
      <c r="H663" s="35" t="str">
        <f aca="false">IF(G663=".",F663,CONCATENATE(F663,G663))</f>
        <v/>
      </c>
      <c r="I663" s="34" t="n">
        <f aca="false">IFERROR(VALUE(H663),)</f>
        <v>0</v>
      </c>
      <c r="J663" s="34" t="e">
        <f aca="false">RIGHT(B663,LEN(B663)-FIND("/",B663, FIND("Single Cells",B663, 1)))</f>
        <v>#VALUE!</v>
      </c>
    </row>
    <row r="664" customFormat="false" ht="12.75" hidden="false" customHeight="false" outlineLevel="0" collapsed="false">
      <c r="E664" s="34" t="str">
        <f aca="false">MID(B664,9,1)</f>
        <v/>
      </c>
      <c r="F664" s="34" t="str">
        <f aca="false">MID(B664,10,1)</f>
        <v/>
      </c>
      <c r="G664" s="34" t="str">
        <f aca="false">MID(B664,11,1)</f>
        <v/>
      </c>
      <c r="H664" s="35" t="str">
        <f aca="false">IF(G664=".",F664,CONCATENATE(F664,G664))</f>
        <v/>
      </c>
      <c r="I664" s="34" t="n">
        <f aca="false">IFERROR(VALUE(H664),)</f>
        <v>0</v>
      </c>
      <c r="J664" s="34" t="e">
        <f aca="false">RIGHT(B664,LEN(B664)-FIND("/",B664, FIND("Single Cells",B664, 1)))</f>
        <v>#VALUE!</v>
      </c>
    </row>
    <row r="665" customFormat="false" ht="12.75" hidden="false" customHeight="false" outlineLevel="0" collapsed="false">
      <c r="E665" s="34" t="str">
        <f aca="false">MID(B665,9,1)</f>
        <v/>
      </c>
      <c r="F665" s="34" t="str">
        <f aca="false">MID(B665,10,1)</f>
        <v/>
      </c>
      <c r="G665" s="34" t="str">
        <f aca="false">MID(B665,11,1)</f>
        <v/>
      </c>
      <c r="H665" s="35" t="str">
        <f aca="false">IF(G665=".",F665,CONCATENATE(F665,G665))</f>
        <v/>
      </c>
      <c r="I665" s="34" t="n">
        <f aca="false">IFERROR(VALUE(H665),)</f>
        <v>0</v>
      </c>
      <c r="J665" s="34" t="e">
        <f aca="false">RIGHT(B665,LEN(B665)-FIND("/",B665, FIND("Single Cells",B665, 1)))</f>
        <v>#VALUE!</v>
      </c>
    </row>
    <row r="666" customFormat="false" ht="12.75" hidden="false" customHeight="false" outlineLevel="0" collapsed="false">
      <c r="E666" s="34" t="str">
        <f aca="false">MID(B666,9,1)</f>
        <v/>
      </c>
      <c r="F666" s="34" t="str">
        <f aca="false">MID(B666,10,1)</f>
        <v/>
      </c>
      <c r="G666" s="34" t="str">
        <f aca="false">MID(B666,11,1)</f>
        <v/>
      </c>
      <c r="H666" s="35" t="str">
        <f aca="false">IF(G666=".",F666,CONCATENATE(F666,G666))</f>
        <v/>
      </c>
      <c r="I666" s="34" t="n">
        <f aca="false">IFERROR(VALUE(H666),)</f>
        <v>0</v>
      </c>
      <c r="J666" s="34" t="e">
        <f aca="false">RIGHT(B666,LEN(B666)-FIND("/",B666, FIND("Single Cells",B666, 1)))</f>
        <v>#VALUE!</v>
      </c>
    </row>
    <row r="667" customFormat="false" ht="12.75" hidden="false" customHeight="false" outlineLevel="0" collapsed="false">
      <c r="E667" s="34" t="str">
        <f aca="false">MID(B667,9,1)</f>
        <v/>
      </c>
      <c r="F667" s="34" t="str">
        <f aca="false">MID(B667,10,1)</f>
        <v/>
      </c>
      <c r="G667" s="34" t="str">
        <f aca="false">MID(B667,11,1)</f>
        <v/>
      </c>
      <c r="H667" s="35" t="str">
        <f aca="false">IF(G667=".",F667,CONCATENATE(F667,G667))</f>
        <v/>
      </c>
      <c r="I667" s="34" t="n">
        <f aca="false">IFERROR(VALUE(H667),)</f>
        <v>0</v>
      </c>
      <c r="J667" s="34" t="e">
        <f aca="false">RIGHT(B667,LEN(B667)-FIND("/",B667, FIND("Single Cells",B667, 1)))</f>
        <v>#VALUE!</v>
      </c>
    </row>
    <row r="668" customFormat="false" ht="12.75" hidden="false" customHeight="false" outlineLevel="0" collapsed="false">
      <c r="E668" s="34" t="str">
        <f aca="false">MID(B668,9,1)</f>
        <v/>
      </c>
      <c r="F668" s="34" t="str">
        <f aca="false">MID(B668,10,1)</f>
        <v/>
      </c>
      <c r="G668" s="34" t="str">
        <f aca="false">MID(B668,11,1)</f>
        <v/>
      </c>
      <c r="H668" s="35" t="str">
        <f aca="false">IF(G668=".",F668,CONCATENATE(F668,G668))</f>
        <v/>
      </c>
      <c r="I668" s="34" t="n">
        <f aca="false">IFERROR(VALUE(H668),)</f>
        <v>0</v>
      </c>
      <c r="J668" s="34" t="e">
        <f aca="false">RIGHT(B668,LEN(B668)-FIND("/",B668, FIND("Single Cells",B668, 1)))</f>
        <v>#VALUE!</v>
      </c>
    </row>
    <row r="669" customFormat="false" ht="12.75" hidden="false" customHeight="false" outlineLevel="0" collapsed="false">
      <c r="E669" s="34" t="str">
        <f aca="false">MID(B669,9,1)</f>
        <v/>
      </c>
      <c r="F669" s="34" t="str">
        <f aca="false">MID(B669,10,1)</f>
        <v/>
      </c>
      <c r="G669" s="34" t="str">
        <f aca="false">MID(B669,11,1)</f>
        <v/>
      </c>
      <c r="H669" s="35" t="str">
        <f aca="false">IF(G669=".",F669,CONCATENATE(F669,G669))</f>
        <v/>
      </c>
      <c r="I669" s="34" t="n">
        <f aca="false">IFERROR(VALUE(H669),)</f>
        <v>0</v>
      </c>
      <c r="J669" s="34" t="e">
        <f aca="false">RIGHT(B669,LEN(B669)-FIND("/",B669, FIND("Single Cells",B669, 1)))</f>
        <v>#VALUE!</v>
      </c>
    </row>
    <row r="670" customFormat="false" ht="12.75" hidden="false" customHeight="false" outlineLevel="0" collapsed="false">
      <c r="E670" s="34" t="str">
        <f aca="false">MID(B670,9,1)</f>
        <v/>
      </c>
      <c r="F670" s="34" t="str">
        <f aca="false">MID(B670,10,1)</f>
        <v/>
      </c>
      <c r="G670" s="34" t="str">
        <f aca="false">MID(B670,11,1)</f>
        <v/>
      </c>
      <c r="H670" s="35" t="str">
        <f aca="false">IF(G670=".",F670,CONCATENATE(F670,G670))</f>
        <v/>
      </c>
      <c r="I670" s="34" t="n">
        <f aca="false">IFERROR(VALUE(H670),)</f>
        <v>0</v>
      </c>
      <c r="J670" s="34" t="e">
        <f aca="false">RIGHT(B670,LEN(B670)-FIND("/",B670, FIND("Single Cells",B670, 1)))</f>
        <v>#VALUE!</v>
      </c>
    </row>
    <row r="671" customFormat="false" ht="12.75" hidden="false" customHeight="false" outlineLevel="0" collapsed="false">
      <c r="E671" s="34" t="str">
        <f aca="false">MID(B671,9,1)</f>
        <v/>
      </c>
      <c r="F671" s="34" t="str">
        <f aca="false">MID(B671,10,1)</f>
        <v/>
      </c>
      <c r="G671" s="34" t="str">
        <f aca="false">MID(B671,11,1)</f>
        <v/>
      </c>
      <c r="H671" s="35" t="str">
        <f aca="false">IF(G671=".",F671,CONCATENATE(F671,G671))</f>
        <v/>
      </c>
      <c r="I671" s="34" t="n">
        <f aca="false">IFERROR(VALUE(H671),)</f>
        <v>0</v>
      </c>
      <c r="J671" s="34" t="e">
        <f aca="false">RIGHT(B671,LEN(B671)-FIND("/",B671, FIND("Single Cells",B671, 1)))</f>
        <v>#VALUE!</v>
      </c>
    </row>
    <row r="672" customFormat="false" ht="12.75" hidden="false" customHeight="false" outlineLevel="0" collapsed="false">
      <c r="E672" s="34" t="str">
        <f aca="false">MID(B672,9,1)</f>
        <v/>
      </c>
      <c r="F672" s="34" t="str">
        <f aca="false">MID(B672,10,1)</f>
        <v/>
      </c>
      <c r="G672" s="34" t="str">
        <f aca="false">MID(B672,11,1)</f>
        <v/>
      </c>
      <c r="H672" s="35" t="str">
        <f aca="false">IF(G672=".",F672,CONCATENATE(F672,G672))</f>
        <v/>
      </c>
      <c r="I672" s="34" t="n">
        <f aca="false">IFERROR(VALUE(H672),)</f>
        <v>0</v>
      </c>
      <c r="J672" s="34" t="e">
        <f aca="false">RIGHT(B672,LEN(B672)-FIND("/",B672, FIND("Single Cells",B672, 1)))</f>
        <v>#VALUE!</v>
      </c>
    </row>
    <row r="673" customFormat="false" ht="12.75" hidden="false" customHeight="false" outlineLevel="0" collapsed="false">
      <c r="E673" s="34" t="str">
        <f aca="false">MID(B673,9,1)</f>
        <v/>
      </c>
      <c r="F673" s="34" t="str">
        <f aca="false">MID(B673,10,1)</f>
        <v/>
      </c>
      <c r="G673" s="34" t="str">
        <f aca="false">MID(B673,11,1)</f>
        <v/>
      </c>
      <c r="H673" s="35" t="str">
        <f aca="false">IF(G673=".",F673,CONCATENATE(F673,G673))</f>
        <v/>
      </c>
      <c r="I673" s="34" t="n">
        <f aca="false">IFERROR(VALUE(H673),)</f>
        <v>0</v>
      </c>
      <c r="J673" s="34" t="e">
        <f aca="false">RIGHT(B673,LEN(B673)-FIND("/",B673, FIND("Single Cells",B673, 1)))</f>
        <v>#VALUE!</v>
      </c>
    </row>
    <row r="674" customFormat="false" ht="12.75" hidden="false" customHeight="false" outlineLevel="0" collapsed="false">
      <c r="E674" s="34" t="str">
        <f aca="false">MID(B674,9,1)</f>
        <v/>
      </c>
      <c r="F674" s="34" t="str">
        <f aca="false">MID(B674,10,1)</f>
        <v/>
      </c>
      <c r="G674" s="34" t="str">
        <f aca="false">MID(B674,11,1)</f>
        <v/>
      </c>
      <c r="H674" s="35" t="str">
        <f aca="false">IF(G674=".",F674,CONCATENATE(F674,G674))</f>
        <v/>
      </c>
      <c r="I674" s="34" t="n">
        <f aca="false">IFERROR(VALUE(H674),)</f>
        <v>0</v>
      </c>
      <c r="J674" s="34" t="e">
        <f aca="false">RIGHT(B674,LEN(B674)-FIND("/",B674, FIND("Single Cells",B674, 1)))</f>
        <v>#VALUE!</v>
      </c>
    </row>
    <row r="675" customFormat="false" ht="12.75" hidden="false" customHeight="false" outlineLevel="0" collapsed="false">
      <c r="E675" s="34" t="str">
        <f aca="false">MID(B675,9,1)</f>
        <v/>
      </c>
      <c r="F675" s="34" t="str">
        <f aca="false">MID(B675,10,1)</f>
        <v/>
      </c>
      <c r="G675" s="34" t="str">
        <f aca="false">MID(B675,11,1)</f>
        <v/>
      </c>
      <c r="H675" s="35" t="str">
        <f aca="false">IF(G675=".",F675,CONCATENATE(F675,G675))</f>
        <v/>
      </c>
      <c r="I675" s="34" t="n">
        <f aca="false">IFERROR(VALUE(H675),)</f>
        <v>0</v>
      </c>
      <c r="J675" s="34" t="e">
        <f aca="false">RIGHT(B675,LEN(B675)-FIND("/",B675, FIND("Single Cells",B675, 1)))</f>
        <v>#VALUE!</v>
      </c>
    </row>
    <row r="676" customFormat="false" ht="12.75" hidden="false" customHeight="false" outlineLevel="0" collapsed="false">
      <c r="E676" s="34" t="str">
        <f aca="false">MID(B676,9,1)</f>
        <v/>
      </c>
      <c r="F676" s="34" t="str">
        <f aca="false">MID(B676,10,1)</f>
        <v/>
      </c>
      <c r="G676" s="34" t="str">
        <f aca="false">MID(B676,11,1)</f>
        <v/>
      </c>
      <c r="H676" s="35" t="str">
        <f aca="false">IF(G676=".",F676,CONCATENATE(F676,G676))</f>
        <v/>
      </c>
      <c r="I676" s="34" t="n">
        <f aca="false">IFERROR(VALUE(H676),)</f>
        <v>0</v>
      </c>
      <c r="J676" s="34" t="e">
        <f aca="false">RIGHT(B676,LEN(B676)-FIND("/",B676, FIND("Single Cells",B676, 1)))</f>
        <v>#VALUE!</v>
      </c>
    </row>
    <row r="677" customFormat="false" ht="12.75" hidden="false" customHeight="false" outlineLevel="0" collapsed="false">
      <c r="E677" s="34" t="str">
        <f aca="false">MID(B677,9,1)</f>
        <v/>
      </c>
      <c r="F677" s="34" t="str">
        <f aca="false">MID(B677,10,1)</f>
        <v/>
      </c>
      <c r="G677" s="34" t="str">
        <f aca="false">MID(B677,11,1)</f>
        <v/>
      </c>
      <c r="H677" s="35" t="str">
        <f aca="false">IF(G677=".",F677,CONCATENATE(F677,G677))</f>
        <v/>
      </c>
      <c r="I677" s="34" t="n">
        <f aca="false">IFERROR(VALUE(H677),)</f>
        <v>0</v>
      </c>
      <c r="J677" s="34" t="e">
        <f aca="false">RIGHT(B677,LEN(B677)-FIND("/",B677, FIND("Single Cells",B677, 1)))</f>
        <v>#VALUE!</v>
      </c>
    </row>
    <row r="678" customFormat="false" ht="12.75" hidden="false" customHeight="false" outlineLevel="0" collapsed="false">
      <c r="E678" s="34" t="str">
        <f aca="false">MID(B678,9,1)</f>
        <v/>
      </c>
      <c r="F678" s="34" t="str">
        <f aca="false">MID(B678,10,1)</f>
        <v/>
      </c>
      <c r="G678" s="34" t="str">
        <f aca="false">MID(B678,11,1)</f>
        <v/>
      </c>
      <c r="H678" s="35" t="str">
        <f aca="false">IF(G678=".",F678,CONCATENATE(F678,G678))</f>
        <v/>
      </c>
      <c r="I678" s="34" t="n">
        <f aca="false">IFERROR(VALUE(H678),)</f>
        <v>0</v>
      </c>
      <c r="J678" s="34" t="e">
        <f aca="false">RIGHT(B678,LEN(B678)-FIND("/",B678, FIND("Single Cells",B678, 1)))</f>
        <v>#VALUE!</v>
      </c>
    </row>
    <row r="679" customFormat="false" ht="12.75" hidden="false" customHeight="false" outlineLevel="0" collapsed="false">
      <c r="E679" s="34" t="str">
        <f aca="false">MID(B679,9,1)</f>
        <v/>
      </c>
      <c r="F679" s="34" t="str">
        <f aca="false">MID(B679,10,1)</f>
        <v/>
      </c>
      <c r="G679" s="34" t="str">
        <f aca="false">MID(B679,11,1)</f>
        <v/>
      </c>
      <c r="H679" s="35" t="str">
        <f aca="false">IF(G679=".",F679,CONCATENATE(F679,G679))</f>
        <v/>
      </c>
      <c r="I679" s="34" t="n">
        <f aca="false">IFERROR(VALUE(H679),)</f>
        <v>0</v>
      </c>
      <c r="J679" s="34" t="e">
        <f aca="false">RIGHT(B679,LEN(B679)-FIND("/",B679, FIND("Single Cells",B679, 1)))</f>
        <v>#VALUE!</v>
      </c>
    </row>
    <row r="680" customFormat="false" ht="12.75" hidden="false" customHeight="false" outlineLevel="0" collapsed="false">
      <c r="E680" s="34" t="str">
        <f aca="false">MID(B680,9,1)</f>
        <v/>
      </c>
      <c r="F680" s="34" t="str">
        <f aca="false">MID(B680,10,1)</f>
        <v/>
      </c>
      <c r="G680" s="34" t="str">
        <f aca="false">MID(B680,11,1)</f>
        <v/>
      </c>
      <c r="H680" s="35" t="str">
        <f aca="false">IF(G680=".",F680,CONCATENATE(F680,G680))</f>
        <v/>
      </c>
      <c r="I680" s="34" t="n">
        <f aca="false">IFERROR(VALUE(H680),)</f>
        <v>0</v>
      </c>
      <c r="J680" s="34" t="e">
        <f aca="false">RIGHT(B680,LEN(B680)-FIND("/",B680, FIND("Single Cells",B680, 1)))</f>
        <v>#VALUE!</v>
      </c>
    </row>
    <row r="681" customFormat="false" ht="12.75" hidden="false" customHeight="false" outlineLevel="0" collapsed="false">
      <c r="E681" s="34" t="str">
        <f aca="false">MID(B681,9,1)</f>
        <v/>
      </c>
      <c r="F681" s="34" t="str">
        <f aca="false">MID(B681,10,1)</f>
        <v/>
      </c>
      <c r="G681" s="34" t="str">
        <f aca="false">MID(B681,11,1)</f>
        <v/>
      </c>
      <c r="H681" s="35" t="str">
        <f aca="false">IF(G681=".",F681,CONCATENATE(F681,G681))</f>
        <v/>
      </c>
      <c r="I681" s="34" t="n">
        <f aca="false">IFERROR(VALUE(H681),)</f>
        <v>0</v>
      </c>
      <c r="J681" s="34" t="e">
        <f aca="false">RIGHT(B681,LEN(B681)-FIND("/",B681, FIND("Single Cells",B681, 1)))</f>
        <v>#VALUE!</v>
      </c>
    </row>
    <row r="682" customFormat="false" ht="12.75" hidden="false" customHeight="false" outlineLevel="0" collapsed="false">
      <c r="E682" s="34" t="str">
        <f aca="false">MID(B682,9,1)</f>
        <v/>
      </c>
      <c r="F682" s="34" t="str">
        <f aca="false">MID(B682,10,1)</f>
        <v/>
      </c>
      <c r="G682" s="34" t="str">
        <f aca="false">MID(B682,11,1)</f>
        <v/>
      </c>
      <c r="H682" s="35" t="str">
        <f aca="false">IF(G682=".",F682,CONCATENATE(F682,G682))</f>
        <v/>
      </c>
      <c r="I682" s="34" t="n">
        <f aca="false">IFERROR(VALUE(H682),)</f>
        <v>0</v>
      </c>
      <c r="J682" s="34" t="e">
        <f aca="false">RIGHT(B682,LEN(B682)-FIND("/",B682, FIND("Single Cells",B682, 1)))</f>
        <v>#VALUE!</v>
      </c>
    </row>
    <row r="683" customFormat="false" ht="12.75" hidden="false" customHeight="false" outlineLevel="0" collapsed="false">
      <c r="E683" s="34" t="str">
        <f aca="false">MID(B683,9,1)</f>
        <v/>
      </c>
      <c r="F683" s="34" t="str">
        <f aca="false">MID(B683,10,1)</f>
        <v/>
      </c>
      <c r="G683" s="34" t="str">
        <f aca="false">MID(B683,11,1)</f>
        <v/>
      </c>
      <c r="H683" s="35" t="str">
        <f aca="false">IF(G683=".",F683,CONCATENATE(F683,G683))</f>
        <v/>
      </c>
      <c r="I683" s="34" t="n">
        <f aca="false">IFERROR(VALUE(H683),)</f>
        <v>0</v>
      </c>
      <c r="J683" s="34" t="e">
        <f aca="false">RIGHT(B683,LEN(B683)-FIND("/",B683, FIND("Single Cells",B683, 1)))</f>
        <v>#VALUE!</v>
      </c>
    </row>
    <row r="684" customFormat="false" ht="12.75" hidden="false" customHeight="false" outlineLevel="0" collapsed="false">
      <c r="E684" s="34" t="str">
        <f aca="false">MID(B684,9,1)</f>
        <v/>
      </c>
      <c r="F684" s="34" t="str">
        <f aca="false">MID(B684,10,1)</f>
        <v/>
      </c>
      <c r="G684" s="34" t="str">
        <f aca="false">MID(B684,11,1)</f>
        <v/>
      </c>
      <c r="H684" s="35" t="str">
        <f aca="false">IF(G684=".",F684,CONCATENATE(F684,G684))</f>
        <v/>
      </c>
      <c r="I684" s="34" t="n">
        <f aca="false">IFERROR(VALUE(H684),)</f>
        <v>0</v>
      </c>
      <c r="J684" s="34" t="e">
        <f aca="false">RIGHT(B684,LEN(B684)-FIND("/",B684, FIND("Single Cells",B684, 1)))</f>
        <v>#VALUE!</v>
      </c>
    </row>
    <row r="685" customFormat="false" ht="12.75" hidden="false" customHeight="false" outlineLevel="0" collapsed="false">
      <c r="E685" s="34" t="str">
        <f aca="false">MID(B685,9,1)</f>
        <v/>
      </c>
      <c r="F685" s="34" t="str">
        <f aca="false">MID(B685,10,1)</f>
        <v/>
      </c>
      <c r="G685" s="34" t="str">
        <f aca="false">MID(B685,11,1)</f>
        <v/>
      </c>
      <c r="H685" s="35" t="str">
        <f aca="false">IF(G685=".",F685,CONCATENATE(F685,G685))</f>
        <v/>
      </c>
      <c r="I685" s="34" t="n">
        <f aca="false">IFERROR(VALUE(H685),)</f>
        <v>0</v>
      </c>
      <c r="J685" s="34" t="e">
        <f aca="false">RIGHT(B685,LEN(B685)-FIND("/",B685, FIND("Single Cells",B685, 1)))</f>
        <v>#VALUE!</v>
      </c>
    </row>
    <row r="686" customFormat="false" ht="12.75" hidden="false" customHeight="false" outlineLevel="0" collapsed="false">
      <c r="E686" s="34" t="str">
        <f aca="false">MID(B686,9,1)</f>
        <v/>
      </c>
      <c r="F686" s="34" t="str">
        <f aca="false">MID(B686,10,1)</f>
        <v/>
      </c>
      <c r="G686" s="34" t="str">
        <f aca="false">MID(B686,11,1)</f>
        <v/>
      </c>
      <c r="H686" s="35" t="str">
        <f aca="false">IF(G686=".",F686,CONCATENATE(F686,G686))</f>
        <v/>
      </c>
      <c r="I686" s="34" t="n">
        <f aca="false">IFERROR(VALUE(H686),)</f>
        <v>0</v>
      </c>
      <c r="J686" s="34" t="e">
        <f aca="false">RIGHT(B686,LEN(B686)-FIND("/",B686, FIND("Single Cells",B686, 1)))</f>
        <v>#VALUE!</v>
      </c>
    </row>
    <row r="687" customFormat="false" ht="12.75" hidden="false" customHeight="false" outlineLevel="0" collapsed="false">
      <c r="E687" s="34" t="str">
        <f aca="false">MID(B687,9,1)</f>
        <v/>
      </c>
      <c r="F687" s="34" t="str">
        <f aca="false">MID(B687,10,1)</f>
        <v/>
      </c>
      <c r="G687" s="34" t="str">
        <f aca="false">MID(B687,11,1)</f>
        <v/>
      </c>
      <c r="H687" s="35" t="str">
        <f aca="false">IF(G687=".",F687,CONCATENATE(F687,G687))</f>
        <v/>
      </c>
      <c r="I687" s="34" t="n">
        <f aca="false">IFERROR(VALUE(H687),)</f>
        <v>0</v>
      </c>
      <c r="J687" s="34" t="e">
        <f aca="false">RIGHT(B687,LEN(B687)-FIND("/",B687, FIND("Single Cells",B687, 1)))</f>
        <v>#VALUE!</v>
      </c>
    </row>
    <row r="688" customFormat="false" ht="12.75" hidden="false" customHeight="false" outlineLevel="0" collapsed="false">
      <c r="E688" s="34" t="str">
        <f aca="false">MID(B688,9,1)</f>
        <v/>
      </c>
      <c r="F688" s="34" t="str">
        <f aca="false">MID(B688,10,1)</f>
        <v/>
      </c>
      <c r="G688" s="34" t="str">
        <f aca="false">MID(B688,11,1)</f>
        <v/>
      </c>
      <c r="H688" s="35" t="str">
        <f aca="false">IF(G688=".",F688,CONCATENATE(F688,G688))</f>
        <v/>
      </c>
      <c r="I688" s="34" t="n">
        <f aca="false">IFERROR(VALUE(H688),)</f>
        <v>0</v>
      </c>
      <c r="J688" s="34" t="e">
        <f aca="false">RIGHT(B688,LEN(B688)-FIND("/",B688, FIND("Single Cells",B688, 1)))</f>
        <v>#VALUE!</v>
      </c>
    </row>
    <row r="689" customFormat="false" ht="12.75" hidden="false" customHeight="false" outlineLevel="0" collapsed="false">
      <c r="E689" s="34" t="str">
        <f aca="false">MID(B689,9,1)</f>
        <v/>
      </c>
      <c r="F689" s="34" t="str">
        <f aca="false">MID(B689,10,1)</f>
        <v/>
      </c>
      <c r="G689" s="34" t="str">
        <f aca="false">MID(B689,11,1)</f>
        <v/>
      </c>
      <c r="H689" s="35" t="str">
        <f aca="false">IF(G689=".",F689,CONCATENATE(F689,G689))</f>
        <v/>
      </c>
      <c r="I689" s="34" t="n">
        <f aca="false">IFERROR(VALUE(H689),)</f>
        <v>0</v>
      </c>
      <c r="J689" s="34" t="e">
        <f aca="false">RIGHT(B689,LEN(B689)-FIND("/",B689, FIND("Single Cells",B689, 1)))</f>
        <v>#VALUE!</v>
      </c>
    </row>
    <row r="690" customFormat="false" ht="12.75" hidden="false" customHeight="false" outlineLevel="0" collapsed="false">
      <c r="E690" s="34" t="str">
        <f aca="false">MID(B690,9,1)</f>
        <v/>
      </c>
      <c r="F690" s="34" t="str">
        <f aca="false">MID(B690,10,1)</f>
        <v/>
      </c>
      <c r="G690" s="34" t="str">
        <f aca="false">MID(B690,11,1)</f>
        <v/>
      </c>
      <c r="H690" s="35" t="str">
        <f aca="false">IF(G690=".",F690,CONCATENATE(F690,G690))</f>
        <v/>
      </c>
      <c r="I690" s="34" t="n">
        <f aca="false">IFERROR(VALUE(H690),)</f>
        <v>0</v>
      </c>
      <c r="J690" s="34" t="e">
        <f aca="false">RIGHT(B690,LEN(B690)-FIND("/",B690, FIND("Single Cells",B690, 1)))</f>
        <v>#VALUE!</v>
      </c>
    </row>
    <row r="691" customFormat="false" ht="12.75" hidden="false" customHeight="false" outlineLevel="0" collapsed="false">
      <c r="E691" s="34" t="str">
        <f aca="false">MID(B691,9,1)</f>
        <v/>
      </c>
      <c r="F691" s="34" t="str">
        <f aca="false">MID(B691,10,1)</f>
        <v/>
      </c>
      <c r="G691" s="34" t="str">
        <f aca="false">MID(B691,11,1)</f>
        <v/>
      </c>
      <c r="H691" s="35" t="str">
        <f aca="false">IF(G691=".",F691,CONCATENATE(F691,G691))</f>
        <v/>
      </c>
      <c r="I691" s="34" t="n">
        <f aca="false">IFERROR(VALUE(H691),)</f>
        <v>0</v>
      </c>
      <c r="J691" s="34" t="e">
        <f aca="false">RIGHT(B691,LEN(B691)-FIND("/",B691, FIND("Single Cells",B691, 1)))</f>
        <v>#VALUE!</v>
      </c>
    </row>
    <row r="692" customFormat="false" ht="12.75" hidden="false" customHeight="false" outlineLevel="0" collapsed="false">
      <c r="E692" s="34" t="str">
        <f aca="false">MID(B692,9,1)</f>
        <v/>
      </c>
      <c r="F692" s="34" t="str">
        <f aca="false">MID(B692,10,1)</f>
        <v/>
      </c>
      <c r="G692" s="34" t="str">
        <f aca="false">MID(B692,11,1)</f>
        <v/>
      </c>
      <c r="H692" s="35" t="str">
        <f aca="false">IF(G692=".",F692,CONCATENATE(F692,G692))</f>
        <v/>
      </c>
      <c r="I692" s="34" t="n">
        <f aca="false">IFERROR(VALUE(H692),)</f>
        <v>0</v>
      </c>
      <c r="J692" s="34" t="e">
        <f aca="false">RIGHT(B692,LEN(B692)-FIND("/",B692, FIND("Single Cells",B692, 1)))</f>
        <v>#VALUE!</v>
      </c>
    </row>
    <row r="693" customFormat="false" ht="12.75" hidden="false" customHeight="false" outlineLevel="0" collapsed="false">
      <c r="E693" s="34" t="str">
        <f aca="false">MID(B693,9,1)</f>
        <v/>
      </c>
      <c r="F693" s="34" t="str">
        <f aca="false">MID(B693,10,1)</f>
        <v/>
      </c>
      <c r="G693" s="34" t="str">
        <f aca="false">MID(B693,11,1)</f>
        <v/>
      </c>
      <c r="H693" s="35" t="str">
        <f aca="false">IF(G693=".",F693,CONCATENATE(F693,G693))</f>
        <v/>
      </c>
      <c r="I693" s="34" t="n">
        <f aca="false">IFERROR(VALUE(H693),)</f>
        <v>0</v>
      </c>
      <c r="J693" s="34" t="e">
        <f aca="false">RIGHT(B693,LEN(B693)-FIND("/",B693, FIND("Single Cells",B693, 1)))</f>
        <v>#VALUE!</v>
      </c>
    </row>
    <row r="694" customFormat="false" ht="12.75" hidden="false" customHeight="false" outlineLevel="0" collapsed="false">
      <c r="E694" s="34" t="str">
        <f aca="false">MID(B694,9,1)</f>
        <v/>
      </c>
      <c r="F694" s="34" t="str">
        <f aca="false">MID(B694,10,1)</f>
        <v/>
      </c>
      <c r="G694" s="34" t="str">
        <f aca="false">MID(B694,11,1)</f>
        <v/>
      </c>
      <c r="H694" s="35" t="str">
        <f aca="false">IF(G694=".",F694,CONCATENATE(F694,G694))</f>
        <v/>
      </c>
      <c r="I694" s="34" t="n">
        <f aca="false">IFERROR(VALUE(H694),)</f>
        <v>0</v>
      </c>
      <c r="J694" s="34" t="e">
        <f aca="false">RIGHT(B694,LEN(B694)-FIND("/",B694, FIND("Single Cells",B694, 1)))</f>
        <v>#VALUE!</v>
      </c>
    </row>
    <row r="695" customFormat="false" ht="12.75" hidden="false" customHeight="false" outlineLevel="0" collapsed="false">
      <c r="E695" s="34" t="str">
        <f aca="false">MID(B695,9,1)</f>
        <v/>
      </c>
      <c r="F695" s="34" t="str">
        <f aca="false">MID(B695,10,1)</f>
        <v/>
      </c>
      <c r="G695" s="34" t="str">
        <f aca="false">MID(B695,11,1)</f>
        <v/>
      </c>
      <c r="H695" s="35" t="str">
        <f aca="false">IF(G695=".",F695,CONCATENATE(F695,G695))</f>
        <v/>
      </c>
      <c r="I695" s="34" t="n">
        <f aca="false">IFERROR(VALUE(H695),)</f>
        <v>0</v>
      </c>
      <c r="J695" s="34" t="e">
        <f aca="false">RIGHT(B695,LEN(B695)-FIND("/",B695, FIND("Single Cells",B695, 1)))</f>
        <v>#VALUE!</v>
      </c>
    </row>
    <row r="696" customFormat="false" ht="12.75" hidden="false" customHeight="false" outlineLevel="0" collapsed="false">
      <c r="E696" s="34" t="str">
        <f aca="false">MID(B696,9,1)</f>
        <v/>
      </c>
      <c r="F696" s="34" t="str">
        <f aca="false">MID(B696,10,1)</f>
        <v/>
      </c>
      <c r="G696" s="34" t="str">
        <f aca="false">MID(B696,11,1)</f>
        <v/>
      </c>
      <c r="H696" s="35" t="str">
        <f aca="false">IF(G696=".",F696,CONCATENATE(F696,G696))</f>
        <v/>
      </c>
      <c r="I696" s="34" t="n">
        <f aca="false">IFERROR(VALUE(H696),)</f>
        <v>0</v>
      </c>
      <c r="J696" s="34" t="e">
        <f aca="false">RIGHT(B696,LEN(B696)-FIND("/",B696, FIND("Single Cells",B696, 1)))</f>
        <v>#VALUE!</v>
      </c>
    </row>
    <row r="697" customFormat="false" ht="12.75" hidden="false" customHeight="false" outlineLevel="0" collapsed="false">
      <c r="E697" s="34" t="str">
        <f aca="false">MID(B697,9,1)</f>
        <v/>
      </c>
      <c r="F697" s="34" t="str">
        <f aca="false">MID(B697,10,1)</f>
        <v/>
      </c>
      <c r="G697" s="34" t="str">
        <f aca="false">MID(B697,11,1)</f>
        <v/>
      </c>
      <c r="H697" s="35" t="str">
        <f aca="false">IF(G697=".",F697,CONCATENATE(F697,G697))</f>
        <v/>
      </c>
      <c r="I697" s="34" t="n">
        <f aca="false">IFERROR(VALUE(H697),)</f>
        <v>0</v>
      </c>
      <c r="J697" s="34" t="e">
        <f aca="false">RIGHT(B697,LEN(B697)-FIND("/",B697, FIND("Single Cells",B697, 1)))</f>
        <v>#VALUE!</v>
      </c>
    </row>
    <row r="698" customFormat="false" ht="12.75" hidden="false" customHeight="false" outlineLevel="0" collapsed="false">
      <c r="E698" s="34" t="str">
        <f aca="false">MID(B698,9,1)</f>
        <v/>
      </c>
      <c r="F698" s="34" t="str">
        <f aca="false">MID(B698,10,1)</f>
        <v/>
      </c>
      <c r="G698" s="34" t="str">
        <f aca="false">MID(B698,11,1)</f>
        <v/>
      </c>
      <c r="H698" s="35" t="str">
        <f aca="false">IF(G698=".",F698,CONCATENATE(F698,G698))</f>
        <v/>
      </c>
      <c r="I698" s="34" t="n">
        <f aca="false">IFERROR(VALUE(H698),)</f>
        <v>0</v>
      </c>
      <c r="J698" s="34" t="e">
        <f aca="false">RIGHT(B698,LEN(B698)-FIND("/",B698, FIND("Single Cells",B698, 1)))</f>
        <v>#VALUE!</v>
      </c>
    </row>
    <row r="699" customFormat="false" ht="12.75" hidden="false" customHeight="false" outlineLevel="0" collapsed="false">
      <c r="E699" s="34" t="str">
        <f aca="false">MID(B699,9,1)</f>
        <v/>
      </c>
      <c r="F699" s="34" t="str">
        <f aca="false">MID(B699,10,1)</f>
        <v/>
      </c>
      <c r="G699" s="34" t="str">
        <f aca="false">MID(B699,11,1)</f>
        <v/>
      </c>
      <c r="H699" s="35" t="str">
        <f aca="false">IF(G699=".",F699,CONCATENATE(F699,G699))</f>
        <v/>
      </c>
      <c r="I699" s="34" t="n">
        <f aca="false">IFERROR(VALUE(H699),)</f>
        <v>0</v>
      </c>
      <c r="J699" s="34" t="e">
        <f aca="false">RIGHT(B699,LEN(B699)-FIND("/",B699, FIND("Single Cells",B699, 1)))</f>
        <v>#VALUE!</v>
      </c>
    </row>
    <row r="700" customFormat="false" ht="12.75" hidden="false" customHeight="false" outlineLevel="0" collapsed="false">
      <c r="E700" s="34" t="str">
        <f aca="false">MID(B700,9,1)</f>
        <v/>
      </c>
      <c r="F700" s="34" t="str">
        <f aca="false">MID(B700,10,1)</f>
        <v/>
      </c>
      <c r="G700" s="34" t="str">
        <f aca="false">MID(B700,11,1)</f>
        <v/>
      </c>
      <c r="H700" s="35" t="str">
        <f aca="false">IF(G700=".",F700,CONCATENATE(F700,G700))</f>
        <v/>
      </c>
      <c r="I700" s="34" t="n">
        <f aca="false">IFERROR(VALUE(H700),)</f>
        <v>0</v>
      </c>
      <c r="J700" s="34" t="e">
        <f aca="false">RIGHT(B700,LEN(B700)-FIND("/",B700, FIND("Single Cells",B700, 1)))</f>
        <v>#VALUE!</v>
      </c>
    </row>
    <row r="701" customFormat="false" ht="12.75" hidden="false" customHeight="false" outlineLevel="0" collapsed="false">
      <c r="E701" s="34" t="str">
        <f aca="false">MID(B701,9,1)</f>
        <v/>
      </c>
      <c r="F701" s="34" t="str">
        <f aca="false">MID(B701,10,1)</f>
        <v/>
      </c>
      <c r="G701" s="34" t="str">
        <f aca="false">MID(B701,11,1)</f>
        <v/>
      </c>
      <c r="H701" s="35" t="str">
        <f aca="false">IF(G701=".",F701,CONCATENATE(F701,G701))</f>
        <v/>
      </c>
      <c r="I701" s="34" t="n">
        <f aca="false">IFERROR(VALUE(H701),)</f>
        <v>0</v>
      </c>
      <c r="J701" s="34" t="e">
        <f aca="false">RIGHT(B701,LEN(B701)-FIND("/",B701, FIND("Single Cells",B701, 1)))</f>
        <v>#VALUE!</v>
      </c>
    </row>
    <row r="702" customFormat="false" ht="12.75" hidden="false" customHeight="false" outlineLevel="0" collapsed="false">
      <c r="E702" s="34" t="str">
        <f aca="false">MID(B702,9,1)</f>
        <v/>
      </c>
      <c r="F702" s="34" t="str">
        <f aca="false">MID(B702,10,1)</f>
        <v/>
      </c>
      <c r="G702" s="34" t="str">
        <f aca="false">MID(B702,11,1)</f>
        <v/>
      </c>
      <c r="H702" s="35" t="str">
        <f aca="false">IF(G702=".",F702,CONCATENATE(F702,G702))</f>
        <v/>
      </c>
      <c r="I702" s="34" t="n">
        <f aca="false">IFERROR(VALUE(H702),)</f>
        <v>0</v>
      </c>
      <c r="J702" s="34" t="e">
        <f aca="false">RIGHT(B702,LEN(B702)-FIND("/",B702, FIND("Single Cells",B702, 1)))</f>
        <v>#VALUE!</v>
      </c>
    </row>
    <row r="703" customFormat="false" ht="12.75" hidden="false" customHeight="false" outlineLevel="0" collapsed="false">
      <c r="E703" s="34" t="str">
        <f aca="false">MID(B703,9,1)</f>
        <v/>
      </c>
      <c r="F703" s="34" t="str">
        <f aca="false">MID(B703,10,1)</f>
        <v/>
      </c>
      <c r="G703" s="34" t="str">
        <f aca="false">MID(B703,11,1)</f>
        <v/>
      </c>
      <c r="H703" s="35" t="str">
        <f aca="false">IF(G703=".",F703,CONCATENATE(F703,G703))</f>
        <v/>
      </c>
      <c r="I703" s="34" t="n">
        <f aca="false">IFERROR(VALUE(H703),)</f>
        <v>0</v>
      </c>
      <c r="J703" s="34" t="e">
        <f aca="false">RIGHT(B703,LEN(B703)-FIND("/",B703, FIND("Single Cells",B703, 1)))</f>
        <v>#VALUE!</v>
      </c>
    </row>
    <row r="704" customFormat="false" ht="12.75" hidden="false" customHeight="false" outlineLevel="0" collapsed="false">
      <c r="E704" s="34" t="str">
        <f aca="false">MID(B704,9,1)</f>
        <v/>
      </c>
      <c r="F704" s="34" t="str">
        <f aca="false">MID(B704,10,1)</f>
        <v/>
      </c>
      <c r="G704" s="34" t="str">
        <f aca="false">MID(B704,11,1)</f>
        <v/>
      </c>
      <c r="H704" s="35" t="str">
        <f aca="false">IF(G704=".",F704,CONCATENATE(F704,G704))</f>
        <v/>
      </c>
      <c r="I704" s="34" t="n">
        <f aca="false">IFERROR(VALUE(H704),)</f>
        <v>0</v>
      </c>
      <c r="J704" s="34" t="e">
        <f aca="false">RIGHT(B704,LEN(B704)-FIND("/",B704, FIND("Single Cells",B704, 1)))</f>
        <v>#VALUE!</v>
      </c>
    </row>
    <row r="705" customFormat="false" ht="12.75" hidden="false" customHeight="false" outlineLevel="0" collapsed="false">
      <c r="E705" s="34" t="str">
        <f aca="false">MID(B705,9,1)</f>
        <v/>
      </c>
      <c r="F705" s="34" t="str">
        <f aca="false">MID(B705,10,1)</f>
        <v/>
      </c>
      <c r="G705" s="34" t="str">
        <f aca="false">MID(B705,11,1)</f>
        <v/>
      </c>
      <c r="H705" s="35" t="str">
        <f aca="false">IF(G705=".",F705,CONCATENATE(F705,G705))</f>
        <v/>
      </c>
      <c r="I705" s="34" t="n">
        <f aca="false">IFERROR(VALUE(H705),)</f>
        <v>0</v>
      </c>
      <c r="J705" s="34" t="e">
        <f aca="false">RIGHT(B705,LEN(B705)-FIND("/",B705, FIND("Single Cells",B705, 1)))</f>
        <v>#VALUE!</v>
      </c>
    </row>
    <row r="706" customFormat="false" ht="12.75" hidden="false" customHeight="false" outlineLevel="0" collapsed="false">
      <c r="E706" s="34" t="str">
        <f aca="false">MID(B706,9,1)</f>
        <v/>
      </c>
      <c r="F706" s="34" t="str">
        <f aca="false">MID(B706,10,1)</f>
        <v/>
      </c>
      <c r="G706" s="34" t="str">
        <f aca="false">MID(B706,11,1)</f>
        <v/>
      </c>
      <c r="H706" s="35" t="str">
        <f aca="false">IF(G706=".",F706,CONCATENATE(F706,G706))</f>
        <v/>
      </c>
      <c r="I706" s="34" t="n">
        <f aca="false">IFERROR(VALUE(H706),)</f>
        <v>0</v>
      </c>
      <c r="J706" s="34" t="e">
        <f aca="false">RIGHT(B706,LEN(B706)-FIND("/",B706, FIND("Single Cells",B706, 1)))</f>
        <v>#VALUE!</v>
      </c>
    </row>
    <row r="707" customFormat="false" ht="12.75" hidden="false" customHeight="false" outlineLevel="0" collapsed="false">
      <c r="E707" s="34" t="str">
        <f aca="false">MID(B707,9,1)</f>
        <v/>
      </c>
      <c r="F707" s="34" t="str">
        <f aca="false">MID(B707,10,1)</f>
        <v/>
      </c>
      <c r="G707" s="34" t="str">
        <f aca="false">MID(B707,11,1)</f>
        <v/>
      </c>
      <c r="H707" s="35" t="str">
        <f aca="false">IF(G707=".",F707,CONCATENATE(F707,G707))</f>
        <v/>
      </c>
      <c r="I707" s="34" t="n">
        <f aca="false">IFERROR(VALUE(H707),)</f>
        <v>0</v>
      </c>
      <c r="J707" s="34" t="e">
        <f aca="false">RIGHT(B707,LEN(B707)-FIND("/",B707, FIND("Single Cells",B707, 1)))</f>
        <v>#VALUE!</v>
      </c>
    </row>
    <row r="708" customFormat="false" ht="12.75" hidden="false" customHeight="false" outlineLevel="0" collapsed="false">
      <c r="E708" s="34" t="str">
        <f aca="false">MID(B708,9,1)</f>
        <v/>
      </c>
      <c r="F708" s="34" t="str">
        <f aca="false">MID(B708,10,1)</f>
        <v/>
      </c>
      <c r="G708" s="34" t="str">
        <f aca="false">MID(B708,11,1)</f>
        <v/>
      </c>
      <c r="H708" s="35" t="str">
        <f aca="false">IF(G708=".",F708,CONCATENATE(F708,G708))</f>
        <v/>
      </c>
      <c r="I708" s="34" t="n">
        <f aca="false">IFERROR(VALUE(H708),)</f>
        <v>0</v>
      </c>
      <c r="J708" s="34" t="e">
        <f aca="false">RIGHT(B708,LEN(B708)-FIND("/",B708, FIND("Single Cells",B708, 1)))</f>
        <v>#VALUE!</v>
      </c>
    </row>
    <row r="709" customFormat="false" ht="12.75" hidden="false" customHeight="false" outlineLevel="0" collapsed="false">
      <c r="E709" s="34" t="str">
        <f aca="false">MID(B709,9,1)</f>
        <v/>
      </c>
      <c r="F709" s="34" t="str">
        <f aca="false">MID(B709,10,1)</f>
        <v/>
      </c>
      <c r="G709" s="34" t="str">
        <f aca="false">MID(B709,11,1)</f>
        <v/>
      </c>
      <c r="H709" s="35" t="str">
        <f aca="false">IF(G709=".",F709,CONCATENATE(F709,G709))</f>
        <v/>
      </c>
      <c r="I709" s="34" t="n">
        <f aca="false">IFERROR(VALUE(H709),)</f>
        <v>0</v>
      </c>
      <c r="J709" s="34" t="e">
        <f aca="false">RIGHT(B709,LEN(B709)-FIND("/",B709, FIND("Single Cells",B709, 1)))</f>
        <v>#VALUE!</v>
      </c>
    </row>
    <row r="710" customFormat="false" ht="12.75" hidden="false" customHeight="false" outlineLevel="0" collapsed="false">
      <c r="E710" s="34" t="str">
        <f aca="false">MID(B710,9,1)</f>
        <v/>
      </c>
      <c r="F710" s="34" t="str">
        <f aca="false">MID(B710,10,1)</f>
        <v/>
      </c>
      <c r="G710" s="34" t="str">
        <f aca="false">MID(B710,11,1)</f>
        <v/>
      </c>
      <c r="H710" s="35" t="str">
        <f aca="false">IF(G710=".",F710,CONCATENATE(F710,G710))</f>
        <v/>
      </c>
      <c r="I710" s="34" t="n">
        <f aca="false">IFERROR(VALUE(H710),)</f>
        <v>0</v>
      </c>
      <c r="J710" s="34" t="e">
        <f aca="false">RIGHT(B710,LEN(B710)-FIND("/",B710, FIND("Single Cells",B710, 1)))</f>
        <v>#VALUE!</v>
      </c>
    </row>
    <row r="711" customFormat="false" ht="12.75" hidden="false" customHeight="false" outlineLevel="0" collapsed="false">
      <c r="E711" s="34" t="str">
        <f aca="false">MID(B711,9,1)</f>
        <v/>
      </c>
      <c r="F711" s="34" t="str">
        <f aca="false">MID(B711,10,1)</f>
        <v/>
      </c>
      <c r="G711" s="34" t="str">
        <f aca="false">MID(B711,11,1)</f>
        <v/>
      </c>
      <c r="H711" s="35" t="str">
        <f aca="false">IF(G711=".",F711,CONCATENATE(F711,G711))</f>
        <v/>
      </c>
      <c r="I711" s="34" t="n">
        <f aca="false">IFERROR(VALUE(H711),)</f>
        <v>0</v>
      </c>
      <c r="J711" s="34" t="e">
        <f aca="false">RIGHT(B711,LEN(B711)-FIND("/",B711, FIND("Single Cells",B711, 1)))</f>
        <v>#VALUE!</v>
      </c>
    </row>
    <row r="712" customFormat="false" ht="12.75" hidden="false" customHeight="false" outlineLevel="0" collapsed="false">
      <c r="E712" s="34" t="str">
        <f aca="false">MID(B712,9,1)</f>
        <v/>
      </c>
      <c r="F712" s="34" t="str">
        <f aca="false">MID(B712,10,1)</f>
        <v/>
      </c>
      <c r="G712" s="34" t="str">
        <f aca="false">MID(B712,11,1)</f>
        <v/>
      </c>
      <c r="H712" s="35" t="str">
        <f aca="false">IF(G712=".",F712,CONCATENATE(F712,G712))</f>
        <v/>
      </c>
      <c r="I712" s="34" t="n">
        <f aca="false">IFERROR(VALUE(H712),)</f>
        <v>0</v>
      </c>
      <c r="J712" s="34" t="e">
        <f aca="false">RIGHT(B712,LEN(B712)-FIND("/",B712, FIND("Single Cells",B712, 1)))</f>
        <v>#VALUE!</v>
      </c>
    </row>
    <row r="713" customFormat="false" ht="12.75" hidden="false" customHeight="false" outlineLevel="0" collapsed="false">
      <c r="E713" s="34" t="str">
        <f aca="false">MID(B713,9,1)</f>
        <v/>
      </c>
      <c r="F713" s="34" t="str">
        <f aca="false">MID(B713,10,1)</f>
        <v/>
      </c>
      <c r="G713" s="34" t="str">
        <f aca="false">MID(B713,11,1)</f>
        <v/>
      </c>
      <c r="H713" s="35" t="str">
        <f aca="false">IF(G713=".",F713,CONCATENATE(F713,G713))</f>
        <v/>
      </c>
      <c r="I713" s="34" t="n">
        <f aca="false">IFERROR(VALUE(H713),)</f>
        <v>0</v>
      </c>
      <c r="J713" s="34" t="e">
        <f aca="false">RIGHT(B713,LEN(B713)-FIND("/",B713, FIND("Single Cells",B713, 1)))</f>
        <v>#VALUE!</v>
      </c>
    </row>
    <row r="714" customFormat="false" ht="12.75" hidden="false" customHeight="false" outlineLevel="0" collapsed="false">
      <c r="E714" s="34" t="str">
        <f aca="false">MID(B714,9,1)</f>
        <v/>
      </c>
      <c r="F714" s="34" t="str">
        <f aca="false">MID(B714,10,1)</f>
        <v/>
      </c>
      <c r="G714" s="34" t="str">
        <f aca="false">MID(B714,11,1)</f>
        <v/>
      </c>
      <c r="H714" s="35" t="str">
        <f aca="false">IF(G714=".",F714,CONCATENATE(F714,G714))</f>
        <v/>
      </c>
      <c r="I714" s="34" t="n">
        <f aca="false">IFERROR(VALUE(H714),)</f>
        <v>0</v>
      </c>
      <c r="J714" s="34" t="e">
        <f aca="false">RIGHT(B714,LEN(B714)-FIND("/",B714, FIND("Single Cells",B714, 1)))</f>
        <v>#VALUE!</v>
      </c>
    </row>
    <row r="715" customFormat="false" ht="12.75" hidden="false" customHeight="false" outlineLevel="0" collapsed="false">
      <c r="E715" s="34" t="str">
        <f aca="false">MID(B715,9,1)</f>
        <v/>
      </c>
      <c r="F715" s="34" t="str">
        <f aca="false">MID(B715,10,1)</f>
        <v/>
      </c>
      <c r="G715" s="34" t="str">
        <f aca="false">MID(B715,11,1)</f>
        <v/>
      </c>
      <c r="H715" s="35" t="str">
        <f aca="false">IF(G715=".",F715,CONCATENATE(F715,G715))</f>
        <v/>
      </c>
      <c r="I715" s="34" t="n">
        <f aca="false">IFERROR(VALUE(H715),)</f>
        <v>0</v>
      </c>
      <c r="J715" s="34" t="e">
        <f aca="false">RIGHT(B715,LEN(B715)-FIND("/",B715, FIND("Single Cells",B715, 1)))</f>
        <v>#VALUE!</v>
      </c>
    </row>
    <row r="716" customFormat="false" ht="12.75" hidden="false" customHeight="false" outlineLevel="0" collapsed="false">
      <c r="E716" s="34" t="str">
        <f aca="false">MID(B716,9,1)</f>
        <v/>
      </c>
      <c r="F716" s="34" t="str">
        <f aca="false">MID(B716,10,1)</f>
        <v/>
      </c>
      <c r="G716" s="34" t="str">
        <f aca="false">MID(B716,11,1)</f>
        <v/>
      </c>
      <c r="H716" s="35" t="str">
        <f aca="false">IF(G716=".",F716,CONCATENATE(F716,G716))</f>
        <v/>
      </c>
      <c r="I716" s="34" t="n">
        <f aca="false">IFERROR(VALUE(H716),)</f>
        <v>0</v>
      </c>
      <c r="J716" s="34" t="e">
        <f aca="false">RIGHT(B716,LEN(B716)-FIND("/",B716, FIND("Single Cells",B716, 1)))</f>
        <v>#VALUE!</v>
      </c>
    </row>
    <row r="717" customFormat="false" ht="12.75" hidden="false" customHeight="false" outlineLevel="0" collapsed="false">
      <c r="E717" s="34" t="str">
        <f aca="false">MID(B717,9,1)</f>
        <v/>
      </c>
      <c r="F717" s="34" t="str">
        <f aca="false">MID(B717,10,1)</f>
        <v/>
      </c>
      <c r="G717" s="34" t="str">
        <f aca="false">MID(B717,11,1)</f>
        <v/>
      </c>
      <c r="H717" s="35" t="str">
        <f aca="false">IF(G717=".",F717,CONCATENATE(F717,G717))</f>
        <v/>
      </c>
      <c r="I717" s="34" t="n">
        <f aca="false">IFERROR(VALUE(H717),)</f>
        <v>0</v>
      </c>
      <c r="J717" s="34" t="e">
        <f aca="false">RIGHT(B717,LEN(B717)-FIND("/",B717, FIND("Single Cells",B717, 1)))</f>
        <v>#VALUE!</v>
      </c>
    </row>
    <row r="718" customFormat="false" ht="12.75" hidden="false" customHeight="false" outlineLevel="0" collapsed="false">
      <c r="E718" s="34" t="str">
        <f aca="false">MID(B718,9,1)</f>
        <v/>
      </c>
      <c r="F718" s="34" t="str">
        <f aca="false">MID(B718,10,1)</f>
        <v/>
      </c>
      <c r="G718" s="34" t="str">
        <f aca="false">MID(B718,11,1)</f>
        <v/>
      </c>
      <c r="H718" s="35" t="str">
        <f aca="false">IF(G718=".",F718,CONCATENATE(F718,G718))</f>
        <v/>
      </c>
      <c r="I718" s="34" t="n">
        <f aca="false">IFERROR(VALUE(H718),)</f>
        <v>0</v>
      </c>
      <c r="J718" s="34" t="e">
        <f aca="false">RIGHT(B718,LEN(B718)-FIND("/",B718, FIND("Single Cells",B718, 1)))</f>
        <v>#VALUE!</v>
      </c>
    </row>
    <row r="719" customFormat="false" ht="12.75" hidden="false" customHeight="false" outlineLevel="0" collapsed="false">
      <c r="E719" s="34" t="str">
        <f aca="false">MID(B719,9,1)</f>
        <v/>
      </c>
      <c r="F719" s="34" t="str">
        <f aca="false">MID(B719,10,1)</f>
        <v/>
      </c>
      <c r="G719" s="34" t="str">
        <f aca="false">MID(B719,11,1)</f>
        <v/>
      </c>
      <c r="H719" s="35" t="str">
        <f aca="false">IF(G719=".",F719,CONCATENATE(F719,G719))</f>
        <v/>
      </c>
      <c r="I719" s="34" t="n">
        <f aca="false">IFERROR(VALUE(H719),)</f>
        <v>0</v>
      </c>
      <c r="J719" s="34" t="e">
        <f aca="false">RIGHT(B719,LEN(B719)-FIND("/",B719, FIND("Single Cells",B719, 1)))</f>
        <v>#VALUE!</v>
      </c>
    </row>
    <row r="720" customFormat="false" ht="12.75" hidden="false" customHeight="false" outlineLevel="0" collapsed="false">
      <c r="E720" s="34" t="str">
        <f aca="false">MID(B720,9,1)</f>
        <v/>
      </c>
      <c r="F720" s="34" t="str">
        <f aca="false">MID(B720,10,1)</f>
        <v/>
      </c>
      <c r="G720" s="34" t="str">
        <f aca="false">MID(B720,11,1)</f>
        <v/>
      </c>
      <c r="H720" s="35" t="str">
        <f aca="false">IF(G720=".",F720,CONCATENATE(F720,G720))</f>
        <v/>
      </c>
      <c r="I720" s="34" t="n">
        <f aca="false">IFERROR(VALUE(H720),)</f>
        <v>0</v>
      </c>
      <c r="J720" s="34" t="e">
        <f aca="false">RIGHT(B720,LEN(B720)-FIND("/",B720, FIND("Single Cells",B720, 1)))</f>
        <v>#VALUE!</v>
      </c>
    </row>
    <row r="721" customFormat="false" ht="12.75" hidden="false" customHeight="false" outlineLevel="0" collapsed="false">
      <c r="E721" s="34" t="str">
        <f aca="false">MID(B721,9,1)</f>
        <v/>
      </c>
      <c r="F721" s="34" t="str">
        <f aca="false">MID(B721,10,1)</f>
        <v/>
      </c>
      <c r="G721" s="34" t="str">
        <f aca="false">MID(B721,11,1)</f>
        <v/>
      </c>
      <c r="H721" s="35" t="str">
        <f aca="false">IF(G721=".",F721,CONCATENATE(F721,G721))</f>
        <v/>
      </c>
      <c r="I721" s="34" t="n">
        <f aca="false">IFERROR(VALUE(H721),)</f>
        <v>0</v>
      </c>
      <c r="J721" s="34" t="e">
        <f aca="false">RIGHT(B721,LEN(B721)-FIND("/",B721, FIND("Single Cells",B721, 1)))</f>
        <v>#VALUE!</v>
      </c>
    </row>
    <row r="722" customFormat="false" ht="12.75" hidden="false" customHeight="false" outlineLevel="0" collapsed="false">
      <c r="E722" s="34" t="str">
        <f aca="false">MID(B722,9,1)</f>
        <v/>
      </c>
      <c r="F722" s="34" t="str">
        <f aca="false">MID(B722,10,1)</f>
        <v/>
      </c>
      <c r="G722" s="34" t="str">
        <f aca="false">MID(B722,11,1)</f>
        <v/>
      </c>
      <c r="H722" s="35" t="str">
        <f aca="false">IF(G722=".",F722,CONCATENATE(F722,G722))</f>
        <v/>
      </c>
      <c r="I722" s="34" t="n">
        <f aca="false">IFERROR(VALUE(H722),)</f>
        <v>0</v>
      </c>
      <c r="J722" s="34" t="e">
        <f aca="false">RIGHT(B722,LEN(B722)-FIND("/",B722, FIND("Single Cells",B722, 1)))</f>
        <v>#VALUE!</v>
      </c>
    </row>
    <row r="723" customFormat="false" ht="12.75" hidden="false" customHeight="false" outlineLevel="0" collapsed="false">
      <c r="E723" s="34" t="str">
        <f aca="false">MID(B723,9,1)</f>
        <v/>
      </c>
      <c r="F723" s="34" t="str">
        <f aca="false">MID(B723,10,1)</f>
        <v/>
      </c>
      <c r="G723" s="34" t="str">
        <f aca="false">MID(B723,11,1)</f>
        <v/>
      </c>
      <c r="H723" s="35" t="str">
        <f aca="false">IF(G723=".",F723,CONCATENATE(F723,G723))</f>
        <v/>
      </c>
      <c r="I723" s="34" t="n">
        <f aca="false">IFERROR(VALUE(H723),)</f>
        <v>0</v>
      </c>
      <c r="J723" s="34" t="e">
        <f aca="false">RIGHT(B723,LEN(B723)-FIND("/",B723, FIND("Single Cells",B723, 1)))</f>
        <v>#VALUE!</v>
      </c>
    </row>
    <row r="724" customFormat="false" ht="12.75" hidden="false" customHeight="false" outlineLevel="0" collapsed="false">
      <c r="E724" s="34" t="str">
        <f aca="false">MID(B724,9,1)</f>
        <v/>
      </c>
      <c r="F724" s="34" t="str">
        <f aca="false">MID(B724,10,1)</f>
        <v/>
      </c>
      <c r="G724" s="34" t="str">
        <f aca="false">MID(B724,11,1)</f>
        <v/>
      </c>
      <c r="H724" s="35" t="str">
        <f aca="false">IF(G724=".",F724,CONCATENATE(F724,G724))</f>
        <v/>
      </c>
      <c r="I724" s="34" t="n">
        <f aca="false">IFERROR(VALUE(H724),)</f>
        <v>0</v>
      </c>
      <c r="J724" s="34" t="e">
        <f aca="false">RIGHT(B724,LEN(B724)-FIND("/",B724, FIND("Single Cells",B724, 1)))</f>
        <v>#VALUE!</v>
      </c>
    </row>
    <row r="725" customFormat="false" ht="12.75" hidden="false" customHeight="false" outlineLevel="0" collapsed="false">
      <c r="E725" s="34" t="str">
        <f aca="false">MID(B725,9,1)</f>
        <v/>
      </c>
      <c r="F725" s="34" t="str">
        <f aca="false">MID(B725,10,1)</f>
        <v/>
      </c>
      <c r="G725" s="34" t="str">
        <f aca="false">MID(B725,11,1)</f>
        <v/>
      </c>
      <c r="H725" s="35" t="str">
        <f aca="false">IF(G725=".",F725,CONCATENATE(F725,G725))</f>
        <v/>
      </c>
      <c r="I725" s="34" t="n">
        <f aca="false">IFERROR(VALUE(H725),)</f>
        <v>0</v>
      </c>
      <c r="J725" s="34" t="e">
        <f aca="false">RIGHT(B725,LEN(B725)-FIND("/",B725, FIND("Single Cells",B725, 1)))</f>
        <v>#VALUE!</v>
      </c>
    </row>
    <row r="726" customFormat="false" ht="12.75" hidden="false" customHeight="false" outlineLevel="0" collapsed="false">
      <c r="E726" s="34" t="str">
        <f aca="false">MID(B726,9,1)</f>
        <v/>
      </c>
      <c r="F726" s="34" t="str">
        <f aca="false">MID(B726,10,1)</f>
        <v/>
      </c>
      <c r="G726" s="34" t="str">
        <f aca="false">MID(B726,11,1)</f>
        <v/>
      </c>
      <c r="H726" s="35" t="str">
        <f aca="false">IF(G726=".",F726,CONCATENATE(F726,G726))</f>
        <v/>
      </c>
      <c r="I726" s="34" t="n">
        <f aca="false">IFERROR(VALUE(H726),)</f>
        <v>0</v>
      </c>
      <c r="J726" s="34" t="e">
        <f aca="false">RIGHT(B726,LEN(B726)-FIND("/",B726, FIND("Single Cells",B726, 1)))</f>
        <v>#VALUE!</v>
      </c>
    </row>
    <row r="727" customFormat="false" ht="12.75" hidden="false" customHeight="false" outlineLevel="0" collapsed="false">
      <c r="E727" s="34" t="str">
        <f aca="false">MID(B727,9,1)</f>
        <v/>
      </c>
      <c r="F727" s="34" t="str">
        <f aca="false">MID(B727,10,1)</f>
        <v/>
      </c>
      <c r="G727" s="34" t="str">
        <f aca="false">MID(B727,11,1)</f>
        <v/>
      </c>
      <c r="H727" s="35" t="str">
        <f aca="false">IF(G727=".",F727,CONCATENATE(F727,G727))</f>
        <v/>
      </c>
      <c r="I727" s="34" t="n">
        <f aca="false">IFERROR(VALUE(H727),)</f>
        <v>0</v>
      </c>
      <c r="J727" s="34" t="e">
        <f aca="false">RIGHT(B727,LEN(B727)-FIND("/",B727, FIND("Single Cells",B727, 1)))</f>
        <v>#VALUE!</v>
      </c>
    </row>
    <row r="728" customFormat="false" ht="12.75" hidden="false" customHeight="false" outlineLevel="0" collapsed="false">
      <c r="E728" s="34" t="str">
        <f aca="false">MID(B728,9,1)</f>
        <v/>
      </c>
      <c r="F728" s="34" t="str">
        <f aca="false">MID(B728,10,1)</f>
        <v/>
      </c>
      <c r="G728" s="34" t="str">
        <f aca="false">MID(B728,11,1)</f>
        <v/>
      </c>
      <c r="H728" s="35" t="str">
        <f aca="false">IF(G728=".",F728,CONCATENATE(F728,G728))</f>
        <v/>
      </c>
      <c r="I728" s="34" t="n">
        <f aca="false">IFERROR(VALUE(H728),)</f>
        <v>0</v>
      </c>
      <c r="J728" s="34" t="e">
        <f aca="false">RIGHT(B728,LEN(B728)-FIND("/",B728, FIND("Single Cells",B728, 1)))</f>
        <v>#VALUE!</v>
      </c>
    </row>
    <row r="729" customFormat="false" ht="12.75" hidden="false" customHeight="false" outlineLevel="0" collapsed="false">
      <c r="E729" s="34" t="str">
        <f aca="false">MID(B729,9,1)</f>
        <v/>
      </c>
      <c r="F729" s="34" t="str">
        <f aca="false">MID(B729,10,1)</f>
        <v/>
      </c>
      <c r="G729" s="34" t="str">
        <f aca="false">MID(B729,11,1)</f>
        <v/>
      </c>
      <c r="H729" s="35" t="str">
        <f aca="false">IF(G729=".",F729,CONCATENATE(F729,G729))</f>
        <v/>
      </c>
      <c r="I729" s="34" t="n">
        <f aca="false">IFERROR(VALUE(H729),)</f>
        <v>0</v>
      </c>
      <c r="J729" s="34" t="e">
        <f aca="false">RIGHT(B729,LEN(B729)-FIND("/",B729, FIND("Single Cells",B729, 1)))</f>
        <v>#VALUE!</v>
      </c>
    </row>
    <row r="730" customFormat="false" ht="12.75" hidden="false" customHeight="false" outlineLevel="0" collapsed="false">
      <c r="E730" s="34" t="str">
        <f aca="false">MID(B730,9,1)</f>
        <v/>
      </c>
      <c r="F730" s="34" t="str">
        <f aca="false">MID(B730,10,1)</f>
        <v/>
      </c>
      <c r="G730" s="34" t="str">
        <f aca="false">MID(B730,11,1)</f>
        <v/>
      </c>
      <c r="H730" s="35" t="str">
        <f aca="false">IF(G730=".",F730,CONCATENATE(F730,G730))</f>
        <v/>
      </c>
      <c r="I730" s="34" t="n">
        <f aca="false">IFERROR(VALUE(H730),)</f>
        <v>0</v>
      </c>
      <c r="J730" s="34" t="e">
        <f aca="false">RIGHT(B730,LEN(B730)-FIND("/",B730, FIND("Single Cells",B730, 1)))</f>
        <v>#VALUE!</v>
      </c>
    </row>
    <row r="731" customFormat="false" ht="12.75" hidden="false" customHeight="false" outlineLevel="0" collapsed="false">
      <c r="E731" s="34" t="str">
        <f aca="false">MID(B731,9,1)</f>
        <v/>
      </c>
      <c r="F731" s="34" t="str">
        <f aca="false">MID(B731,10,1)</f>
        <v/>
      </c>
      <c r="G731" s="34" t="str">
        <f aca="false">MID(B731,11,1)</f>
        <v/>
      </c>
      <c r="H731" s="35" t="str">
        <f aca="false">IF(G731=".",F731,CONCATENATE(F731,G731))</f>
        <v/>
      </c>
      <c r="I731" s="34" t="n">
        <f aca="false">IFERROR(VALUE(H731),)</f>
        <v>0</v>
      </c>
      <c r="J731" s="34" t="e">
        <f aca="false">RIGHT(B731,LEN(B731)-FIND("/",B731, FIND("Single Cells",B731, 1)))</f>
        <v>#VALUE!</v>
      </c>
    </row>
    <row r="732" customFormat="false" ht="12.75" hidden="false" customHeight="false" outlineLevel="0" collapsed="false">
      <c r="E732" s="34" t="str">
        <f aca="false">MID(B732,9,1)</f>
        <v/>
      </c>
      <c r="F732" s="34" t="str">
        <f aca="false">MID(B732,10,1)</f>
        <v/>
      </c>
      <c r="G732" s="34" t="str">
        <f aca="false">MID(B732,11,1)</f>
        <v/>
      </c>
      <c r="H732" s="35" t="str">
        <f aca="false">IF(G732=".",F732,CONCATENATE(F732,G732))</f>
        <v/>
      </c>
      <c r="I732" s="34" t="n">
        <f aca="false">IFERROR(VALUE(H732),)</f>
        <v>0</v>
      </c>
      <c r="J732" s="34" t="e">
        <f aca="false">RIGHT(B732,LEN(B732)-FIND("/",B732, FIND("Single Cells",B732, 1)))</f>
        <v>#VALUE!</v>
      </c>
    </row>
    <row r="733" customFormat="false" ht="12.75" hidden="false" customHeight="false" outlineLevel="0" collapsed="false">
      <c r="E733" s="34" t="str">
        <f aca="false">MID(B733,9,1)</f>
        <v/>
      </c>
      <c r="F733" s="34" t="str">
        <f aca="false">MID(B733,10,1)</f>
        <v/>
      </c>
      <c r="G733" s="34" t="str">
        <f aca="false">MID(B733,11,1)</f>
        <v/>
      </c>
      <c r="H733" s="35" t="str">
        <f aca="false">IF(G733=".",F733,CONCATENATE(F733,G733))</f>
        <v/>
      </c>
      <c r="I733" s="34" t="n">
        <f aca="false">IFERROR(VALUE(H733),)</f>
        <v>0</v>
      </c>
      <c r="J733" s="34" t="e">
        <f aca="false">RIGHT(B733,LEN(B733)-FIND("/",B733, FIND("Single Cells",B733, 1)))</f>
        <v>#VALUE!</v>
      </c>
    </row>
    <row r="734" customFormat="false" ht="12.75" hidden="false" customHeight="false" outlineLevel="0" collapsed="false">
      <c r="E734" s="34" t="str">
        <f aca="false">MID(B734,9,1)</f>
        <v/>
      </c>
      <c r="F734" s="34" t="str">
        <f aca="false">MID(B734,10,1)</f>
        <v/>
      </c>
      <c r="G734" s="34" t="str">
        <f aca="false">MID(B734,11,1)</f>
        <v/>
      </c>
      <c r="H734" s="35" t="str">
        <f aca="false">IF(G734=".",F734,CONCATENATE(F734,G734))</f>
        <v/>
      </c>
      <c r="I734" s="34" t="n">
        <f aca="false">IFERROR(VALUE(H734),)</f>
        <v>0</v>
      </c>
      <c r="J734" s="34" t="e">
        <f aca="false">RIGHT(B734,LEN(B734)-FIND("/",B734, FIND("Single Cells",B734, 1)))</f>
        <v>#VALUE!</v>
      </c>
    </row>
    <row r="735" customFormat="false" ht="12.75" hidden="false" customHeight="false" outlineLevel="0" collapsed="false">
      <c r="E735" s="34" t="str">
        <f aca="false">MID(B735,9,1)</f>
        <v/>
      </c>
      <c r="F735" s="34" t="str">
        <f aca="false">MID(B735,10,1)</f>
        <v/>
      </c>
      <c r="G735" s="34" t="str">
        <f aca="false">MID(B735,11,1)</f>
        <v/>
      </c>
      <c r="H735" s="35" t="str">
        <f aca="false">IF(G735=".",F735,CONCATENATE(F735,G735))</f>
        <v/>
      </c>
      <c r="I735" s="34" t="n">
        <f aca="false">IFERROR(VALUE(H735),)</f>
        <v>0</v>
      </c>
      <c r="J735" s="34" t="e">
        <f aca="false">RIGHT(B735,LEN(B735)-FIND("/",B735, FIND("Single Cells",B735, 1)))</f>
        <v>#VALUE!</v>
      </c>
    </row>
    <row r="736" customFormat="false" ht="12.75" hidden="false" customHeight="false" outlineLevel="0" collapsed="false">
      <c r="E736" s="34" t="str">
        <f aca="false">MID(B736,9,1)</f>
        <v/>
      </c>
      <c r="F736" s="34" t="str">
        <f aca="false">MID(B736,10,1)</f>
        <v/>
      </c>
      <c r="G736" s="34" t="str">
        <f aca="false">MID(B736,11,1)</f>
        <v/>
      </c>
      <c r="H736" s="35" t="str">
        <f aca="false">IF(G736=".",F736,CONCATENATE(F736,G736))</f>
        <v/>
      </c>
      <c r="I736" s="34" t="n">
        <f aca="false">IFERROR(VALUE(H736),)</f>
        <v>0</v>
      </c>
      <c r="J736" s="34" t="e">
        <f aca="false">RIGHT(B736,LEN(B736)-FIND("/",B736, FIND("Single Cells",B736, 1)))</f>
        <v>#VALUE!</v>
      </c>
    </row>
    <row r="737" customFormat="false" ht="12.75" hidden="false" customHeight="false" outlineLevel="0" collapsed="false">
      <c r="E737" s="34" t="str">
        <f aca="false">MID(B737,9,1)</f>
        <v/>
      </c>
      <c r="F737" s="34" t="str">
        <f aca="false">MID(B737,10,1)</f>
        <v/>
      </c>
      <c r="G737" s="34" t="str">
        <f aca="false">MID(B737,11,1)</f>
        <v/>
      </c>
      <c r="H737" s="35" t="str">
        <f aca="false">IF(G737=".",F737,CONCATENATE(F737,G737))</f>
        <v/>
      </c>
      <c r="I737" s="34" t="n">
        <f aca="false">IFERROR(VALUE(H737),)</f>
        <v>0</v>
      </c>
      <c r="J737" s="34" t="e">
        <f aca="false">RIGHT(B737,LEN(B737)-FIND("/",B737, FIND("Single Cells",B737, 1)))</f>
        <v>#VALUE!</v>
      </c>
    </row>
    <row r="738" customFormat="false" ht="12.75" hidden="false" customHeight="false" outlineLevel="0" collapsed="false">
      <c r="E738" s="34" t="str">
        <f aca="false">MID(B738,9,1)</f>
        <v/>
      </c>
      <c r="F738" s="34" t="str">
        <f aca="false">MID(B738,10,1)</f>
        <v/>
      </c>
      <c r="G738" s="34" t="str">
        <f aca="false">MID(B738,11,1)</f>
        <v/>
      </c>
      <c r="H738" s="35" t="str">
        <f aca="false">IF(G738=".",F738,CONCATENATE(F738,G738))</f>
        <v/>
      </c>
      <c r="I738" s="34" t="n">
        <f aca="false">IFERROR(VALUE(H738),)</f>
        <v>0</v>
      </c>
      <c r="J738" s="34" t="e">
        <f aca="false">RIGHT(B738,LEN(B738)-FIND("/",B738, FIND("Single Cells",B738, 1)))</f>
        <v>#VALUE!</v>
      </c>
    </row>
    <row r="739" customFormat="false" ht="12.75" hidden="false" customHeight="false" outlineLevel="0" collapsed="false">
      <c r="E739" s="34" t="str">
        <f aca="false">MID(B739,9,1)</f>
        <v/>
      </c>
      <c r="F739" s="34" t="str">
        <f aca="false">MID(B739,10,1)</f>
        <v/>
      </c>
      <c r="G739" s="34" t="str">
        <f aca="false">MID(B739,11,1)</f>
        <v/>
      </c>
      <c r="H739" s="35" t="str">
        <f aca="false">IF(G739=".",F739,CONCATENATE(F739,G739))</f>
        <v/>
      </c>
      <c r="I739" s="34" t="n">
        <f aca="false">IFERROR(VALUE(H739),)</f>
        <v>0</v>
      </c>
      <c r="J739" s="34" t="e">
        <f aca="false">RIGHT(B739,LEN(B739)-FIND("/",B739, FIND("Single Cells",B739, 1)))</f>
        <v>#VALUE!</v>
      </c>
    </row>
    <row r="740" customFormat="false" ht="12.75" hidden="false" customHeight="false" outlineLevel="0" collapsed="false">
      <c r="E740" s="34" t="str">
        <f aca="false">MID(B740,9,1)</f>
        <v/>
      </c>
      <c r="F740" s="34" t="str">
        <f aca="false">MID(B740,10,1)</f>
        <v/>
      </c>
      <c r="G740" s="34" t="str">
        <f aca="false">MID(B740,11,1)</f>
        <v/>
      </c>
      <c r="H740" s="35" t="str">
        <f aca="false">IF(G740=".",F740,CONCATENATE(F740,G740))</f>
        <v/>
      </c>
      <c r="I740" s="34" t="n">
        <f aca="false">IFERROR(VALUE(H740),)</f>
        <v>0</v>
      </c>
      <c r="J740" s="34" t="e">
        <f aca="false">RIGHT(B740,LEN(B740)-FIND("/",B740, FIND("Single Cells",B740, 1)))</f>
        <v>#VALUE!</v>
      </c>
    </row>
    <row r="741" customFormat="false" ht="12.75" hidden="false" customHeight="false" outlineLevel="0" collapsed="false">
      <c r="E741" s="34" t="str">
        <f aca="false">MID(B741,9,1)</f>
        <v/>
      </c>
      <c r="F741" s="34" t="str">
        <f aca="false">MID(B741,10,1)</f>
        <v/>
      </c>
      <c r="G741" s="34" t="str">
        <f aca="false">MID(B741,11,1)</f>
        <v/>
      </c>
      <c r="H741" s="35" t="str">
        <f aca="false">IF(G741=".",F741,CONCATENATE(F741,G741))</f>
        <v/>
      </c>
      <c r="I741" s="34" t="n">
        <f aca="false">IFERROR(VALUE(H741),)</f>
        <v>0</v>
      </c>
      <c r="J741" s="34" t="e">
        <f aca="false">RIGHT(B741,LEN(B741)-FIND("/",B741, FIND("Single Cells",B741, 1)))</f>
        <v>#VALUE!</v>
      </c>
    </row>
    <row r="742" customFormat="false" ht="12.75" hidden="false" customHeight="false" outlineLevel="0" collapsed="false">
      <c r="E742" s="34" t="str">
        <f aca="false">MID(B742,9,1)</f>
        <v/>
      </c>
      <c r="F742" s="34" t="str">
        <f aca="false">MID(B742,10,1)</f>
        <v/>
      </c>
      <c r="G742" s="34" t="str">
        <f aca="false">MID(B742,11,1)</f>
        <v/>
      </c>
      <c r="H742" s="35" t="str">
        <f aca="false">IF(G742=".",F742,CONCATENATE(F742,G742))</f>
        <v/>
      </c>
      <c r="I742" s="34" t="n">
        <f aca="false">IFERROR(VALUE(H742),)</f>
        <v>0</v>
      </c>
      <c r="J742" s="34" t="e">
        <f aca="false">RIGHT(B742,LEN(B742)-FIND("/",B742, FIND("Single Cells",B742, 1)))</f>
        <v>#VALUE!</v>
      </c>
    </row>
    <row r="743" customFormat="false" ht="12.75" hidden="false" customHeight="false" outlineLevel="0" collapsed="false">
      <c r="E743" s="34" t="str">
        <f aca="false">MID(B743,9,1)</f>
        <v/>
      </c>
      <c r="F743" s="34" t="str">
        <f aca="false">MID(B743,10,1)</f>
        <v/>
      </c>
      <c r="G743" s="34" t="str">
        <f aca="false">MID(B743,11,1)</f>
        <v/>
      </c>
      <c r="H743" s="35" t="str">
        <f aca="false">IF(G743=".",F743,CONCATENATE(F743,G743))</f>
        <v/>
      </c>
      <c r="I743" s="34" t="n">
        <f aca="false">IFERROR(VALUE(H743),)</f>
        <v>0</v>
      </c>
      <c r="J743" s="34" t="e">
        <f aca="false">RIGHT(B743,LEN(B743)-FIND("/",B743, FIND("Single Cells",B743, 1)))</f>
        <v>#VALUE!</v>
      </c>
    </row>
    <row r="744" customFormat="false" ht="12.75" hidden="false" customHeight="false" outlineLevel="0" collapsed="false">
      <c r="E744" s="34" t="str">
        <f aca="false">MID(B744,9,1)</f>
        <v/>
      </c>
      <c r="F744" s="34" t="str">
        <f aca="false">MID(B744,10,1)</f>
        <v/>
      </c>
      <c r="G744" s="34" t="str">
        <f aca="false">MID(B744,11,1)</f>
        <v/>
      </c>
      <c r="H744" s="35" t="str">
        <f aca="false">IF(G744=".",F744,CONCATENATE(F744,G744))</f>
        <v/>
      </c>
      <c r="I744" s="34" t="n">
        <f aca="false">IFERROR(VALUE(H744),)</f>
        <v>0</v>
      </c>
      <c r="J744" s="34" t="e">
        <f aca="false">RIGHT(B744,LEN(B744)-FIND("/",B744, FIND("Single Cells",B744, 1)))</f>
        <v>#VALUE!</v>
      </c>
    </row>
    <row r="745" customFormat="false" ht="12.75" hidden="false" customHeight="false" outlineLevel="0" collapsed="false">
      <c r="E745" s="34" t="str">
        <f aca="false">MID(B745,9,1)</f>
        <v/>
      </c>
      <c r="F745" s="34" t="str">
        <f aca="false">MID(B745,10,1)</f>
        <v/>
      </c>
      <c r="G745" s="34" t="str">
        <f aca="false">MID(B745,11,1)</f>
        <v/>
      </c>
      <c r="H745" s="35" t="str">
        <f aca="false">IF(G745=".",F745,CONCATENATE(F745,G745))</f>
        <v/>
      </c>
      <c r="I745" s="34" t="n">
        <f aca="false">IFERROR(VALUE(H745),)</f>
        <v>0</v>
      </c>
      <c r="J745" s="34" t="e">
        <f aca="false">RIGHT(B745,LEN(B745)-FIND("/",B745, FIND("Single Cells",B745, 1)))</f>
        <v>#VALUE!</v>
      </c>
    </row>
    <row r="746" customFormat="false" ht="12.75" hidden="false" customHeight="false" outlineLevel="0" collapsed="false">
      <c r="E746" s="34" t="str">
        <f aca="false">MID(B746,9,1)</f>
        <v/>
      </c>
      <c r="F746" s="34" t="str">
        <f aca="false">MID(B746,10,1)</f>
        <v/>
      </c>
      <c r="G746" s="34" t="str">
        <f aca="false">MID(B746,11,1)</f>
        <v/>
      </c>
      <c r="H746" s="35" t="str">
        <f aca="false">IF(G746=".",F746,CONCATENATE(F746,G746))</f>
        <v/>
      </c>
      <c r="I746" s="34" t="n">
        <f aca="false">IFERROR(VALUE(H746),)</f>
        <v>0</v>
      </c>
      <c r="J746" s="34" t="e">
        <f aca="false">RIGHT(B746,LEN(B746)-FIND("/",B746, FIND("Single Cells",B746, 1)))</f>
        <v>#VALUE!</v>
      </c>
    </row>
    <row r="747" customFormat="false" ht="12.75" hidden="false" customHeight="false" outlineLevel="0" collapsed="false">
      <c r="E747" s="34" t="str">
        <f aca="false">MID(B747,9,1)</f>
        <v/>
      </c>
      <c r="F747" s="34" t="str">
        <f aca="false">MID(B747,10,1)</f>
        <v/>
      </c>
      <c r="G747" s="34" t="str">
        <f aca="false">MID(B747,11,1)</f>
        <v/>
      </c>
      <c r="H747" s="35" t="str">
        <f aca="false">IF(G747=".",F747,CONCATENATE(F747,G747))</f>
        <v/>
      </c>
      <c r="I747" s="34" t="n">
        <f aca="false">IFERROR(VALUE(H747),)</f>
        <v>0</v>
      </c>
      <c r="J747" s="34" t="e">
        <f aca="false">RIGHT(B747,LEN(B747)-FIND("/",B747, FIND("Single Cells",B747, 1)))</f>
        <v>#VALUE!</v>
      </c>
    </row>
    <row r="748" customFormat="false" ht="12.75" hidden="false" customHeight="false" outlineLevel="0" collapsed="false">
      <c r="E748" s="34" t="str">
        <f aca="false">MID(B748,9,1)</f>
        <v/>
      </c>
      <c r="F748" s="34" t="str">
        <f aca="false">MID(B748,10,1)</f>
        <v/>
      </c>
      <c r="G748" s="34" t="str">
        <f aca="false">MID(B748,11,1)</f>
        <v/>
      </c>
      <c r="H748" s="35" t="str">
        <f aca="false">IF(G748=".",F748,CONCATENATE(F748,G748))</f>
        <v/>
      </c>
      <c r="I748" s="34" t="n">
        <f aca="false">IFERROR(VALUE(H748),)</f>
        <v>0</v>
      </c>
      <c r="J748" s="34" t="e">
        <f aca="false">RIGHT(B748,LEN(B748)-FIND("/",B748, FIND("Single Cells",B748, 1)))</f>
        <v>#VALUE!</v>
      </c>
    </row>
    <row r="749" customFormat="false" ht="12.75" hidden="false" customHeight="false" outlineLevel="0" collapsed="false">
      <c r="E749" s="34" t="str">
        <f aca="false">MID(B749,9,1)</f>
        <v/>
      </c>
      <c r="F749" s="34" t="str">
        <f aca="false">MID(B749,10,1)</f>
        <v/>
      </c>
      <c r="G749" s="34" t="str">
        <f aca="false">MID(B749,11,1)</f>
        <v/>
      </c>
      <c r="H749" s="35" t="str">
        <f aca="false">IF(G749=".",F749,CONCATENATE(F749,G749))</f>
        <v/>
      </c>
      <c r="I749" s="34" t="n">
        <f aca="false">IFERROR(VALUE(H749),)</f>
        <v>0</v>
      </c>
      <c r="J749" s="34" t="e">
        <f aca="false">RIGHT(B749,LEN(B749)-FIND("/",B749, FIND("Single Cells",B749, 1)))</f>
        <v>#VALUE!</v>
      </c>
    </row>
    <row r="750" customFormat="false" ht="12.75" hidden="false" customHeight="false" outlineLevel="0" collapsed="false">
      <c r="E750" s="34" t="str">
        <f aca="false">MID(B750,9,1)</f>
        <v/>
      </c>
      <c r="F750" s="34" t="str">
        <f aca="false">MID(B750,10,1)</f>
        <v/>
      </c>
      <c r="G750" s="34" t="str">
        <f aca="false">MID(B750,11,1)</f>
        <v/>
      </c>
      <c r="H750" s="35" t="str">
        <f aca="false">IF(G750=".",F750,CONCATENATE(F750,G750))</f>
        <v/>
      </c>
      <c r="I750" s="34" t="n">
        <f aca="false">IFERROR(VALUE(H750),)</f>
        <v>0</v>
      </c>
      <c r="J750" s="34" t="e">
        <f aca="false">RIGHT(B750,LEN(B750)-FIND("/",B750, FIND("Single Cells",B750, 1)))</f>
        <v>#VALUE!</v>
      </c>
    </row>
    <row r="751" customFormat="false" ht="12.75" hidden="false" customHeight="false" outlineLevel="0" collapsed="false">
      <c r="E751" s="34" t="str">
        <f aca="false">MID(B751,9,1)</f>
        <v/>
      </c>
      <c r="F751" s="34" t="str">
        <f aca="false">MID(B751,10,1)</f>
        <v/>
      </c>
      <c r="G751" s="34" t="str">
        <f aca="false">MID(B751,11,1)</f>
        <v/>
      </c>
      <c r="H751" s="35" t="str">
        <f aca="false">IF(G751=".",F751,CONCATENATE(F751,G751))</f>
        <v/>
      </c>
      <c r="I751" s="34" t="n">
        <f aca="false">IFERROR(VALUE(H751),)</f>
        <v>0</v>
      </c>
      <c r="J751" s="34" t="e">
        <f aca="false">RIGHT(B751,LEN(B751)-FIND("/",B751, FIND("Single Cells",B751, 1)))</f>
        <v>#VALUE!</v>
      </c>
    </row>
    <row r="752" customFormat="false" ht="12.75" hidden="false" customHeight="false" outlineLevel="0" collapsed="false">
      <c r="E752" s="34" t="str">
        <f aca="false">MID(B752,9,1)</f>
        <v/>
      </c>
      <c r="F752" s="34" t="str">
        <f aca="false">MID(B752,10,1)</f>
        <v/>
      </c>
      <c r="G752" s="34" t="str">
        <f aca="false">MID(B752,11,1)</f>
        <v/>
      </c>
      <c r="H752" s="35" t="str">
        <f aca="false">IF(G752=".",F752,CONCATENATE(F752,G752))</f>
        <v/>
      </c>
      <c r="I752" s="34" t="n">
        <f aca="false">IFERROR(VALUE(H752),)</f>
        <v>0</v>
      </c>
      <c r="J752" s="34" t="e">
        <f aca="false">RIGHT(B752,LEN(B752)-FIND("/",B752, FIND("Single Cells",B752, 1)))</f>
        <v>#VALUE!</v>
      </c>
    </row>
    <row r="753" customFormat="false" ht="12.75" hidden="false" customHeight="false" outlineLevel="0" collapsed="false">
      <c r="E753" s="34" t="str">
        <f aca="false">MID(B753,9,1)</f>
        <v/>
      </c>
      <c r="F753" s="34" t="str">
        <f aca="false">MID(B753,10,1)</f>
        <v/>
      </c>
      <c r="G753" s="34" t="str">
        <f aca="false">MID(B753,11,1)</f>
        <v/>
      </c>
      <c r="H753" s="35" t="str">
        <f aca="false">IF(G753=".",F753,CONCATENATE(F753,G753))</f>
        <v/>
      </c>
      <c r="I753" s="34" t="n">
        <f aca="false">IFERROR(VALUE(H753),)</f>
        <v>0</v>
      </c>
      <c r="J753" s="34" t="e">
        <f aca="false">RIGHT(B753,LEN(B753)-FIND("/",B753, FIND("Single Cells",B753, 1)))</f>
        <v>#VALUE!</v>
      </c>
    </row>
    <row r="754" customFormat="false" ht="12.75" hidden="false" customHeight="false" outlineLevel="0" collapsed="false">
      <c r="E754" s="34" t="str">
        <f aca="false">MID(B754,9,1)</f>
        <v/>
      </c>
      <c r="F754" s="34" t="str">
        <f aca="false">MID(B754,10,1)</f>
        <v/>
      </c>
      <c r="G754" s="34" t="str">
        <f aca="false">MID(B754,11,1)</f>
        <v/>
      </c>
      <c r="H754" s="35" t="str">
        <f aca="false">IF(G754=".",F754,CONCATENATE(F754,G754))</f>
        <v/>
      </c>
      <c r="I754" s="34" t="n">
        <f aca="false">IFERROR(VALUE(H754),)</f>
        <v>0</v>
      </c>
      <c r="J754" s="34" t="e">
        <f aca="false">RIGHT(B754,LEN(B754)-FIND("/",B754, FIND("Single Cells",B754, 1)))</f>
        <v>#VALUE!</v>
      </c>
    </row>
    <row r="755" customFormat="false" ht="12.75" hidden="false" customHeight="false" outlineLevel="0" collapsed="false">
      <c r="E755" s="34" t="str">
        <f aca="false">MID(B755,9,1)</f>
        <v/>
      </c>
      <c r="F755" s="34" t="str">
        <f aca="false">MID(B755,10,1)</f>
        <v/>
      </c>
      <c r="G755" s="34" t="str">
        <f aca="false">MID(B755,11,1)</f>
        <v/>
      </c>
      <c r="H755" s="35" t="str">
        <f aca="false">IF(G755=".",F755,CONCATENATE(F755,G755))</f>
        <v/>
      </c>
      <c r="I755" s="34" t="n">
        <f aca="false">IFERROR(VALUE(H755),)</f>
        <v>0</v>
      </c>
      <c r="J755" s="34" t="e">
        <f aca="false">RIGHT(B755,LEN(B755)-FIND("/",B755, FIND("Single Cells",B755, 1)))</f>
        <v>#VALUE!</v>
      </c>
    </row>
    <row r="756" customFormat="false" ht="12.75" hidden="false" customHeight="false" outlineLevel="0" collapsed="false">
      <c r="E756" s="34" t="str">
        <f aca="false">MID(B756,9,1)</f>
        <v/>
      </c>
      <c r="F756" s="34" t="str">
        <f aca="false">MID(B756,10,1)</f>
        <v/>
      </c>
      <c r="G756" s="34" t="str">
        <f aca="false">MID(B756,11,1)</f>
        <v/>
      </c>
      <c r="H756" s="35" t="str">
        <f aca="false">IF(G756=".",F756,CONCATENATE(F756,G756))</f>
        <v/>
      </c>
      <c r="I756" s="34" t="n">
        <f aca="false">IFERROR(VALUE(H756),)</f>
        <v>0</v>
      </c>
      <c r="J756" s="34" t="e">
        <f aca="false">RIGHT(B756,LEN(B756)-FIND("/",B756, FIND("Single Cells",B756, 1)))</f>
        <v>#VALUE!</v>
      </c>
    </row>
    <row r="757" customFormat="false" ht="12.75" hidden="false" customHeight="false" outlineLevel="0" collapsed="false">
      <c r="E757" s="34" t="str">
        <f aca="false">MID(B757,9,1)</f>
        <v/>
      </c>
      <c r="F757" s="34" t="str">
        <f aca="false">MID(B757,10,1)</f>
        <v/>
      </c>
      <c r="G757" s="34" t="str">
        <f aca="false">MID(B757,11,1)</f>
        <v/>
      </c>
      <c r="H757" s="35" t="str">
        <f aca="false">IF(G757=".",F757,CONCATENATE(F757,G757))</f>
        <v/>
      </c>
      <c r="I757" s="34" t="n">
        <f aca="false">IFERROR(VALUE(H757),)</f>
        <v>0</v>
      </c>
      <c r="J757" s="34" t="e">
        <f aca="false">RIGHT(B757,LEN(B757)-FIND("/",B757, FIND("Single Cells",B757, 1)))</f>
        <v>#VALUE!</v>
      </c>
    </row>
    <row r="758" customFormat="false" ht="12.75" hidden="false" customHeight="false" outlineLevel="0" collapsed="false">
      <c r="E758" s="34" t="str">
        <f aca="false">MID(B758,9,1)</f>
        <v/>
      </c>
      <c r="F758" s="34" t="str">
        <f aca="false">MID(B758,10,1)</f>
        <v/>
      </c>
      <c r="G758" s="34" t="str">
        <f aca="false">MID(B758,11,1)</f>
        <v/>
      </c>
      <c r="H758" s="35" t="str">
        <f aca="false">IF(G758=".",F758,CONCATENATE(F758,G758))</f>
        <v/>
      </c>
      <c r="I758" s="34" t="n">
        <f aca="false">IFERROR(VALUE(H758),)</f>
        <v>0</v>
      </c>
      <c r="J758" s="34" t="e">
        <f aca="false">RIGHT(B758,LEN(B758)-FIND("/",B758, FIND("Single Cells",B758, 1)))</f>
        <v>#VALUE!</v>
      </c>
    </row>
    <row r="759" customFormat="false" ht="12.75" hidden="false" customHeight="false" outlineLevel="0" collapsed="false">
      <c r="E759" s="34" t="str">
        <f aca="false">MID(B759,9,1)</f>
        <v/>
      </c>
      <c r="F759" s="34" t="str">
        <f aca="false">MID(B759,10,1)</f>
        <v/>
      </c>
      <c r="G759" s="34" t="str">
        <f aca="false">MID(B759,11,1)</f>
        <v/>
      </c>
      <c r="H759" s="35" t="str">
        <f aca="false">IF(G759=".",F759,CONCATENATE(F759,G759))</f>
        <v/>
      </c>
      <c r="I759" s="34" t="n">
        <f aca="false">IFERROR(VALUE(H759),)</f>
        <v>0</v>
      </c>
      <c r="J759" s="34" t="e">
        <f aca="false">RIGHT(B759,LEN(B759)-FIND("/",B759, FIND("Single Cells",B759, 1)))</f>
        <v>#VALUE!</v>
      </c>
    </row>
    <row r="760" customFormat="false" ht="12.75" hidden="false" customHeight="false" outlineLevel="0" collapsed="false">
      <c r="E760" s="34" t="str">
        <f aca="false">MID(B760,9,1)</f>
        <v/>
      </c>
      <c r="F760" s="34" t="str">
        <f aca="false">MID(B760,10,1)</f>
        <v/>
      </c>
      <c r="G760" s="34" t="str">
        <f aca="false">MID(B760,11,1)</f>
        <v/>
      </c>
      <c r="H760" s="35" t="str">
        <f aca="false">IF(G760=".",F760,CONCATENATE(F760,G760))</f>
        <v/>
      </c>
      <c r="I760" s="34" t="n">
        <f aca="false">IFERROR(VALUE(H760),)</f>
        <v>0</v>
      </c>
      <c r="J760" s="34" t="e">
        <f aca="false">RIGHT(B760,LEN(B760)-FIND("/",B760, FIND("Single Cells",B760, 1)))</f>
        <v>#VALUE!</v>
      </c>
    </row>
    <row r="761" customFormat="false" ht="12.75" hidden="false" customHeight="false" outlineLevel="0" collapsed="false">
      <c r="E761" s="34" t="str">
        <f aca="false">MID(B761,9,1)</f>
        <v/>
      </c>
      <c r="F761" s="34" t="str">
        <f aca="false">MID(B761,10,1)</f>
        <v/>
      </c>
      <c r="G761" s="34" t="str">
        <f aca="false">MID(B761,11,1)</f>
        <v/>
      </c>
      <c r="H761" s="35" t="str">
        <f aca="false">IF(G761=".",F761,CONCATENATE(F761,G761))</f>
        <v/>
      </c>
      <c r="I761" s="34" t="n">
        <f aca="false">IFERROR(VALUE(H761),)</f>
        <v>0</v>
      </c>
      <c r="J761" s="34" t="e">
        <f aca="false">RIGHT(B761,LEN(B761)-FIND("/",B761, FIND("Single Cells",B761, 1)))</f>
        <v>#VALUE!</v>
      </c>
    </row>
    <row r="762" customFormat="false" ht="12.75" hidden="false" customHeight="false" outlineLevel="0" collapsed="false">
      <c r="E762" s="34" t="str">
        <f aca="false">MID(B762,9,1)</f>
        <v/>
      </c>
      <c r="F762" s="34" t="str">
        <f aca="false">MID(B762,10,1)</f>
        <v/>
      </c>
      <c r="G762" s="34" t="str">
        <f aca="false">MID(B762,11,1)</f>
        <v/>
      </c>
      <c r="H762" s="35" t="str">
        <f aca="false">IF(G762=".",F762,CONCATENATE(F762,G762))</f>
        <v/>
      </c>
      <c r="I762" s="34" t="n">
        <f aca="false">IFERROR(VALUE(H762),)</f>
        <v>0</v>
      </c>
      <c r="J762" s="34" t="e">
        <f aca="false">RIGHT(B762,LEN(B762)-FIND("/",B762, FIND("Single Cells",B762, 1)))</f>
        <v>#VALUE!</v>
      </c>
    </row>
    <row r="763" customFormat="false" ht="12.75" hidden="false" customHeight="false" outlineLevel="0" collapsed="false">
      <c r="E763" s="34" t="str">
        <f aca="false">MID(B763,9,1)</f>
        <v/>
      </c>
      <c r="F763" s="34" t="str">
        <f aca="false">MID(B763,10,1)</f>
        <v/>
      </c>
      <c r="G763" s="34" t="str">
        <f aca="false">MID(B763,11,1)</f>
        <v/>
      </c>
      <c r="H763" s="35" t="str">
        <f aca="false">IF(G763=".",F763,CONCATENATE(F763,G763))</f>
        <v/>
      </c>
      <c r="I763" s="34" t="n">
        <f aca="false">IFERROR(VALUE(H763),)</f>
        <v>0</v>
      </c>
      <c r="J763" s="34" t="e">
        <f aca="false">RIGHT(B763,LEN(B763)-FIND("/",B763, FIND("Single Cells",B763, 1)))</f>
        <v>#VALUE!</v>
      </c>
    </row>
    <row r="764" customFormat="false" ht="12.75" hidden="false" customHeight="false" outlineLevel="0" collapsed="false">
      <c r="E764" s="34" t="str">
        <f aca="false">MID(B764,9,1)</f>
        <v/>
      </c>
      <c r="F764" s="34" t="str">
        <f aca="false">MID(B764,10,1)</f>
        <v/>
      </c>
      <c r="G764" s="34" t="str">
        <f aca="false">MID(B764,11,1)</f>
        <v/>
      </c>
      <c r="H764" s="35" t="str">
        <f aca="false">IF(G764=".",F764,CONCATENATE(F764,G764))</f>
        <v/>
      </c>
      <c r="I764" s="34" t="n">
        <f aca="false">IFERROR(VALUE(H764),)</f>
        <v>0</v>
      </c>
      <c r="J764" s="34" t="e">
        <f aca="false">RIGHT(B764,LEN(B764)-FIND("/",B764, FIND("Single Cells",B764, 1)))</f>
        <v>#VALUE!</v>
      </c>
    </row>
    <row r="765" customFormat="false" ht="12.75" hidden="false" customHeight="false" outlineLevel="0" collapsed="false">
      <c r="E765" s="34" t="str">
        <f aca="false">MID(B765,9,1)</f>
        <v/>
      </c>
      <c r="F765" s="34" t="str">
        <f aca="false">MID(B765,10,1)</f>
        <v/>
      </c>
      <c r="G765" s="34" t="str">
        <f aca="false">MID(B765,11,1)</f>
        <v/>
      </c>
      <c r="H765" s="35" t="str">
        <f aca="false">IF(G765=".",F765,CONCATENATE(F765,G765))</f>
        <v/>
      </c>
      <c r="I765" s="34" t="n">
        <f aca="false">IFERROR(VALUE(H765),)</f>
        <v>0</v>
      </c>
      <c r="J765" s="34" t="e">
        <f aca="false">RIGHT(B765,LEN(B765)-FIND("/",B765, FIND("Single Cells",B765, 1)))</f>
        <v>#VALUE!</v>
      </c>
    </row>
    <row r="766" customFormat="false" ht="12.75" hidden="false" customHeight="false" outlineLevel="0" collapsed="false">
      <c r="E766" s="34" t="str">
        <f aca="false">MID(B766,9,1)</f>
        <v/>
      </c>
      <c r="F766" s="34" t="str">
        <f aca="false">MID(B766,10,1)</f>
        <v/>
      </c>
      <c r="G766" s="34" t="str">
        <f aca="false">MID(B766,11,1)</f>
        <v/>
      </c>
      <c r="H766" s="35" t="str">
        <f aca="false">IF(G766=".",F766,CONCATENATE(F766,G766))</f>
        <v/>
      </c>
      <c r="I766" s="34" t="n">
        <f aca="false">IFERROR(VALUE(H766),)</f>
        <v>0</v>
      </c>
      <c r="J766" s="34" t="e">
        <f aca="false">RIGHT(B766,LEN(B766)-FIND("/",B766, FIND("Single Cells",B766, 1)))</f>
        <v>#VALUE!</v>
      </c>
    </row>
    <row r="767" customFormat="false" ht="12.75" hidden="false" customHeight="false" outlineLevel="0" collapsed="false">
      <c r="E767" s="34" t="str">
        <f aca="false">MID(B767,9,1)</f>
        <v/>
      </c>
      <c r="F767" s="34" t="str">
        <f aca="false">MID(B767,10,1)</f>
        <v/>
      </c>
      <c r="G767" s="34" t="str">
        <f aca="false">MID(B767,11,1)</f>
        <v/>
      </c>
      <c r="H767" s="35" t="str">
        <f aca="false">IF(G767=".",F767,CONCATENATE(F767,G767))</f>
        <v/>
      </c>
      <c r="I767" s="34" t="n">
        <f aca="false">IFERROR(VALUE(H767),)</f>
        <v>0</v>
      </c>
      <c r="J767" s="34" t="e">
        <f aca="false">RIGHT(B767,LEN(B767)-FIND("/",B767, FIND("Single Cells",B767, 1)))</f>
        <v>#VALUE!</v>
      </c>
    </row>
    <row r="768" customFormat="false" ht="12.75" hidden="false" customHeight="false" outlineLevel="0" collapsed="false">
      <c r="E768" s="34" t="str">
        <f aca="false">MID(B768,9,1)</f>
        <v/>
      </c>
      <c r="F768" s="34" t="str">
        <f aca="false">MID(B768,10,1)</f>
        <v/>
      </c>
      <c r="G768" s="34" t="str">
        <f aca="false">MID(B768,11,1)</f>
        <v/>
      </c>
      <c r="H768" s="35" t="str">
        <f aca="false">IF(G768=".",F768,CONCATENATE(F768,G768))</f>
        <v/>
      </c>
      <c r="I768" s="34" t="n">
        <f aca="false">IFERROR(VALUE(H768),)</f>
        <v>0</v>
      </c>
      <c r="J768" s="34" t="e">
        <f aca="false">RIGHT(B768,LEN(B768)-FIND("/",B768, FIND("Single Cells",B768, 1)))</f>
        <v>#VALUE!</v>
      </c>
    </row>
    <row r="769" customFormat="false" ht="12.75" hidden="false" customHeight="false" outlineLevel="0" collapsed="false">
      <c r="E769" s="34" t="str">
        <f aca="false">MID(B769,9,1)</f>
        <v/>
      </c>
      <c r="F769" s="34" t="str">
        <f aca="false">MID(B769,10,1)</f>
        <v/>
      </c>
      <c r="G769" s="34" t="str">
        <f aca="false">MID(B769,11,1)</f>
        <v/>
      </c>
      <c r="H769" s="35" t="str">
        <f aca="false">IF(G769=".",F769,CONCATENATE(F769,G769))</f>
        <v/>
      </c>
      <c r="I769" s="34" t="n">
        <f aca="false">IFERROR(VALUE(H769),)</f>
        <v>0</v>
      </c>
      <c r="J769" s="34" t="e">
        <f aca="false">RIGHT(B769,LEN(B769)-FIND("/",B769, FIND("Single Cells",B769, 1)))</f>
        <v>#VALUE!</v>
      </c>
    </row>
    <row r="770" customFormat="false" ht="12.75" hidden="false" customHeight="false" outlineLevel="0" collapsed="false">
      <c r="E770" s="34" t="str">
        <f aca="false">MID(B770,9,1)</f>
        <v/>
      </c>
      <c r="F770" s="34" t="str">
        <f aca="false">MID(B770,10,1)</f>
        <v/>
      </c>
      <c r="G770" s="34" t="str">
        <f aca="false">MID(B770,11,1)</f>
        <v/>
      </c>
      <c r="H770" s="35" t="str">
        <f aca="false">IF(G770=".",F770,CONCATENATE(F770,G770))</f>
        <v/>
      </c>
      <c r="I770" s="34" t="n">
        <f aca="false">IFERROR(VALUE(H770),)</f>
        <v>0</v>
      </c>
      <c r="J770" s="34" t="e">
        <f aca="false">RIGHT(B770,LEN(B770)-FIND("/",B770, FIND("Single Cells",B770, 1)))</f>
        <v>#VALUE!</v>
      </c>
    </row>
    <row r="771" customFormat="false" ht="12.75" hidden="false" customHeight="false" outlineLevel="0" collapsed="false">
      <c r="E771" s="34" t="str">
        <f aca="false">MID(B771,9,1)</f>
        <v/>
      </c>
      <c r="F771" s="34" t="str">
        <f aca="false">MID(B771,10,1)</f>
        <v/>
      </c>
      <c r="G771" s="34" t="str">
        <f aca="false">MID(B771,11,1)</f>
        <v/>
      </c>
      <c r="H771" s="35" t="str">
        <f aca="false">IF(G771=".",F771,CONCATENATE(F771,G771))</f>
        <v/>
      </c>
      <c r="I771" s="34" t="n">
        <f aca="false">IFERROR(VALUE(H771),)</f>
        <v>0</v>
      </c>
      <c r="J771" s="34" t="e">
        <f aca="false">RIGHT(B771,LEN(B771)-FIND("/",B771, FIND("Single Cells",B771, 1)))</f>
        <v>#VALUE!</v>
      </c>
    </row>
    <row r="772" customFormat="false" ht="12.75" hidden="false" customHeight="false" outlineLevel="0" collapsed="false">
      <c r="E772" s="34" t="str">
        <f aca="false">MID(B772,9,1)</f>
        <v/>
      </c>
      <c r="F772" s="34" t="str">
        <f aca="false">MID(B772,10,1)</f>
        <v/>
      </c>
      <c r="G772" s="34" t="str">
        <f aca="false">MID(B772,11,1)</f>
        <v/>
      </c>
      <c r="H772" s="35" t="str">
        <f aca="false">IF(G772=".",F772,CONCATENATE(F772,G772))</f>
        <v/>
      </c>
      <c r="I772" s="34" t="n">
        <f aca="false">IFERROR(VALUE(H772),)</f>
        <v>0</v>
      </c>
      <c r="J772" s="34" t="e">
        <f aca="false">RIGHT(B772,LEN(B772)-FIND("/",B772, FIND("Single Cells",B772, 1)))</f>
        <v>#VALUE!</v>
      </c>
    </row>
    <row r="773" customFormat="false" ht="12.75" hidden="false" customHeight="false" outlineLevel="0" collapsed="false">
      <c r="E773" s="34" t="str">
        <f aca="false">MID(B773,9,1)</f>
        <v/>
      </c>
      <c r="F773" s="34" t="str">
        <f aca="false">MID(B773,10,1)</f>
        <v/>
      </c>
      <c r="G773" s="34" t="str">
        <f aca="false">MID(B773,11,1)</f>
        <v/>
      </c>
      <c r="H773" s="35" t="str">
        <f aca="false">IF(G773=".",F773,CONCATENATE(F773,G773))</f>
        <v/>
      </c>
      <c r="I773" s="34" t="n">
        <f aca="false">IFERROR(VALUE(H773),)</f>
        <v>0</v>
      </c>
      <c r="J773" s="34" t="e">
        <f aca="false">RIGHT(B773,LEN(B773)-FIND("/",B773, FIND("Single Cells",B773, 1)))</f>
        <v>#VALUE!</v>
      </c>
    </row>
    <row r="774" customFormat="false" ht="12.75" hidden="false" customHeight="false" outlineLevel="0" collapsed="false">
      <c r="E774" s="34" t="str">
        <f aca="false">MID(B774,9,1)</f>
        <v/>
      </c>
      <c r="F774" s="34" t="str">
        <f aca="false">MID(B774,10,1)</f>
        <v/>
      </c>
      <c r="G774" s="34" t="str">
        <f aca="false">MID(B774,11,1)</f>
        <v/>
      </c>
      <c r="H774" s="35" t="str">
        <f aca="false">IF(G774=".",F774,CONCATENATE(F774,G774))</f>
        <v/>
      </c>
      <c r="I774" s="34" t="n">
        <f aca="false">IFERROR(VALUE(H774),)</f>
        <v>0</v>
      </c>
      <c r="J774" s="34" t="e">
        <f aca="false">RIGHT(B774,LEN(B774)-FIND("/",B774, FIND("Single Cells",B774, 1)))</f>
        <v>#VALUE!</v>
      </c>
    </row>
    <row r="775" customFormat="false" ht="12.75" hidden="false" customHeight="false" outlineLevel="0" collapsed="false">
      <c r="E775" s="34" t="str">
        <f aca="false">MID(B775,9,1)</f>
        <v/>
      </c>
      <c r="F775" s="34" t="str">
        <f aca="false">MID(B775,10,1)</f>
        <v/>
      </c>
      <c r="G775" s="34" t="str">
        <f aca="false">MID(B775,11,1)</f>
        <v/>
      </c>
      <c r="H775" s="35" t="str">
        <f aca="false">IF(G775=".",F775,CONCATENATE(F775,G775))</f>
        <v/>
      </c>
      <c r="I775" s="34" t="n">
        <f aca="false">IFERROR(VALUE(H775),)</f>
        <v>0</v>
      </c>
      <c r="J775" s="34" t="e">
        <f aca="false">RIGHT(B775,LEN(B775)-FIND("/",B775, FIND("Single Cells",B775, 1)))</f>
        <v>#VALUE!</v>
      </c>
    </row>
    <row r="776" customFormat="false" ht="12.75" hidden="false" customHeight="false" outlineLevel="0" collapsed="false">
      <c r="E776" s="34" t="str">
        <f aca="false">MID(B776,9,1)</f>
        <v/>
      </c>
      <c r="F776" s="34" t="str">
        <f aca="false">MID(B776,10,1)</f>
        <v/>
      </c>
      <c r="G776" s="34" t="str">
        <f aca="false">MID(B776,11,1)</f>
        <v/>
      </c>
      <c r="H776" s="35" t="str">
        <f aca="false">IF(G776=".",F776,CONCATENATE(F776,G776))</f>
        <v/>
      </c>
      <c r="I776" s="34" t="n">
        <f aca="false">IFERROR(VALUE(H776),)</f>
        <v>0</v>
      </c>
      <c r="J776" s="34" t="e">
        <f aca="false">RIGHT(B776,LEN(B776)-FIND("/",B776, FIND("Single Cells",B776, 1)))</f>
        <v>#VALUE!</v>
      </c>
    </row>
    <row r="777" customFormat="false" ht="12.75" hidden="false" customHeight="false" outlineLevel="0" collapsed="false">
      <c r="E777" s="34" t="str">
        <f aca="false">MID(B777,9,1)</f>
        <v/>
      </c>
      <c r="F777" s="34" t="str">
        <f aca="false">MID(B777,10,1)</f>
        <v/>
      </c>
      <c r="G777" s="34" t="str">
        <f aca="false">MID(B777,11,1)</f>
        <v/>
      </c>
      <c r="H777" s="35" t="str">
        <f aca="false">IF(G777=".",F777,CONCATENATE(F777,G777))</f>
        <v/>
      </c>
      <c r="I777" s="34" t="n">
        <f aca="false">IFERROR(VALUE(H777),)</f>
        <v>0</v>
      </c>
      <c r="J777" s="34" t="e">
        <f aca="false">RIGHT(B777,LEN(B777)-FIND("/",B777, FIND("Single Cells",B777, 1)))</f>
        <v>#VALUE!</v>
      </c>
    </row>
    <row r="778" customFormat="false" ht="12.75" hidden="false" customHeight="false" outlineLevel="0" collapsed="false">
      <c r="E778" s="34" t="str">
        <f aca="false">MID(B778,9,1)</f>
        <v/>
      </c>
      <c r="F778" s="34" t="str">
        <f aca="false">MID(B778,10,1)</f>
        <v/>
      </c>
      <c r="G778" s="34" t="str">
        <f aca="false">MID(B778,11,1)</f>
        <v/>
      </c>
      <c r="H778" s="35" t="str">
        <f aca="false">IF(G778=".",F778,CONCATENATE(F778,G778))</f>
        <v/>
      </c>
      <c r="I778" s="34" t="n">
        <f aca="false">IFERROR(VALUE(H778),)</f>
        <v>0</v>
      </c>
      <c r="J778" s="34" t="e">
        <f aca="false">RIGHT(B778,LEN(B778)-FIND("/",B778, FIND("Single Cells",B778, 1)))</f>
        <v>#VALUE!</v>
      </c>
    </row>
    <row r="779" customFormat="false" ht="12.75" hidden="false" customHeight="false" outlineLevel="0" collapsed="false">
      <c r="E779" s="34" t="str">
        <f aca="false">MID(B779,9,1)</f>
        <v/>
      </c>
      <c r="F779" s="34" t="str">
        <f aca="false">MID(B779,10,1)</f>
        <v/>
      </c>
      <c r="G779" s="34" t="str">
        <f aca="false">MID(B779,11,1)</f>
        <v/>
      </c>
      <c r="H779" s="35" t="str">
        <f aca="false">IF(G779=".",F779,CONCATENATE(F779,G779))</f>
        <v/>
      </c>
      <c r="I779" s="34" t="n">
        <f aca="false">IFERROR(VALUE(H779),)</f>
        <v>0</v>
      </c>
      <c r="J779" s="34" t="e">
        <f aca="false">RIGHT(B779,LEN(B779)-FIND("/",B779, FIND("Single Cells",B779, 1)))</f>
        <v>#VALUE!</v>
      </c>
    </row>
    <row r="780" customFormat="false" ht="12.75" hidden="false" customHeight="false" outlineLevel="0" collapsed="false">
      <c r="E780" s="34" t="str">
        <f aca="false">MID(B780,9,1)</f>
        <v/>
      </c>
      <c r="F780" s="34" t="str">
        <f aca="false">MID(B780,10,1)</f>
        <v/>
      </c>
      <c r="G780" s="34" t="str">
        <f aca="false">MID(B780,11,1)</f>
        <v/>
      </c>
      <c r="H780" s="35" t="str">
        <f aca="false">IF(G780=".",F780,CONCATENATE(F780,G780))</f>
        <v/>
      </c>
      <c r="I780" s="34" t="n">
        <f aca="false">IFERROR(VALUE(H780),)</f>
        <v>0</v>
      </c>
      <c r="J780" s="34" t="e">
        <f aca="false">RIGHT(B780,LEN(B780)-FIND("/",B780, FIND("Single Cells",B780, 1)))</f>
        <v>#VALUE!</v>
      </c>
    </row>
    <row r="781" customFormat="false" ht="12.75" hidden="false" customHeight="false" outlineLevel="0" collapsed="false">
      <c r="E781" s="34" t="str">
        <f aca="false">MID(B781,9,1)</f>
        <v/>
      </c>
      <c r="F781" s="34" t="str">
        <f aca="false">MID(B781,10,1)</f>
        <v/>
      </c>
      <c r="G781" s="34" t="str">
        <f aca="false">MID(B781,11,1)</f>
        <v/>
      </c>
      <c r="H781" s="35" t="str">
        <f aca="false">IF(G781=".",F781,CONCATENATE(F781,G781))</f>
        <v/>
      </c>
      <c r="I781" s="34" t="n">
        <f aca="false">IFERROR(VALUE(H781),)</f>
        <v>0</v>
      </c>
      <c r="J781" s="34" t="e">
        <f aca="false">RIGHT(B781,LEN(B781)-FIND("/",B781, FIND("Single Cells",B781, 1)))</f>
        <v>#VALUE!</v>
      </c>
    </row>
    <row r="782" customFormat="false" ht="12.75" hidden="false" customHeight="false" outlineLevel="0" collapsed="false">
      <c r="E782" s="34" t="str">
        <f aca="false">MID(B782,9,1)</f>
        <v/>
      </c>
      <c r="F782" s="34" t="str">
        <f aca="false">MID(B782,10,1)</f>
        <v/>
      </c>
      <c r="G782" s="34" t="str">
        <f aca="false">MID(B782,11,1)</f>
        <v/>
      </c>
      <c r="H782" s="35" t="str">
        <f aca="false">IF(G782=".",F782,CONCATENATE(F782,G782))</f>
        <v/>
      </c>
      <c r="I782" s="34" t="n">
        <f aca="false">IFERROR(VALUE(H782),)</f>
        <v>0</v>
      </c>
      <c r="J782" s="34" t="e">
        <f aca="false">RIGHT(B782,LEN(B782)-FIND("/",B782, FIND("Single Cells",B782, 1)))</f>
        <v>#VALUE!</v>
      </c>
    </row>
    <row r="783" customFormat="false" ht="12.75" hidden="false" customHeight="false" outlineLevel="0" collapsed="false">
      <c r="E783" s="34" t="str">
        <f aca="false">MID(B783,9,1)</f>
        <v/>
      </c>
      <c r="F783" s="34" t="str">
        <f aca="false">MID(B783,10,1)</f>
        <v/>
      </c>
      <c r="G783" s="34" t="str">
        <f aca="false">MID(B783,11,1)</f>
        <v/>
      </c>
      <c r="H783" s="35" t="str">
        <f aca="false">IF(G783=".",F783,CONCATENATE(F783,G783))</f>
        <v/>
      </c>
      <c r="I783" s="34" t="n">
        <f aca="false">IFERROR(VALUE(H783),)</f>
        <v>0</v>
      </c>
      <c r="J783" s="34" t="e">
        <f aca="false">RIGHT(B783,LEN(B783)-FIND("/",B783, FIND("Single Cells",B783, 1)))</f>
        <v>#VALUE!</v>
      </c>
    </row>
    <row r="784" customFormat="false" ht="12.75" hidden="false" customHeight="false" outlineLevel="0" collapsed="false">
      <c r="E784" s="34" t="str">
        <f aca="false">MID(B784,9,1)</f>
        <v/>
      </c>
      <c r="F784" s="34" t="str">
        <f aca="false">MID(B784,10,1)</f>
        <v/>
      </c>
      <c r="G784" s="34" t="str">
        <f aca="false">MID(B784,11,1)</f>
        <v/>
      </c>
      <c r="H784" s="35" t="str">
        <f aca="false">IF(G784=".",F784,CONCATENATE(F784,G784))</f>
        <v/>
      </c>
      <c r="I784" s="34" t="n">
        <f aca="false">IFERROR(VALUE(H784),)</f>
        <v>0</v>
      </c>
      <c r="J784" s="34" t="e">
        <f aca="false">RIGHT(B784,LEN(B784)-FIND("/",B784, FIND("Single Cells",B784, 1)))</f>
        <v>#VALUE!</v>
      </c>
    </row>
    <row r="785" customFormat="false" ht="12.75" hidden="false" customHeight="false" outlineLevel="0" collapsed="false">
      <c r="E785" s="34" t="str">
        <f aca="false">MID(B785,9,1)</f>
        <v/>
      </c>
      <c r="F785" s="34" t="str">
        <f aca="false">MID(B785,10,1)</f>
        <v/>
      </c>
      <c r="G785" s="34" t="str">
        <f aca="false">MID(B785,11,1)</f>
        <v/>
      </c>
      <c r="H785" s="35" t="str">
        <f aca="false">IF(G785=".",F785,CONCATENATE(F785,G785))</f>
        <v/>
      </c>
      <c r="I785" s="34" t="n">
        <f aca="false">IFERROR(VALUE(H785),)</f>
        <v>0</v>
      </c>
      <c r="J785" s="34" t="e">
        <f aca="false">RIGHT(B785,LEN(B785)-FIND("/",B785, FIND("Single Cells",B785, 1)))</f>
        <v>#VALUE!</v>
      </c>
    </row>
    <row r="786" customFormat="false" ht="12.75" hidden="false" customHeight="false" outlineLevel="0" collapsed="false">
      <c r="E786" s="34" t="str">
        <f aca="false">MID(B786,9,1)</f>
        <v/>
      </c>
      <c r="F786" s="34" t="str">
        <f aca="false">MID(B786,10,1)</f>
        <v/>
      </c>
      <c r="G786" s="34" t="str">
        <f aca="false">MID(B786,11,1)</f>
        <v/>
      </c>
      <c r="H786" s="35" t="str">
        <f aca="false">IF(G786=".",F786,CONCATENATE(F786,G786))</f>
        <v/>
      </c>
      <c r="I786" s="34" t="n">
        <f aca="false">IFERROR(VALUE(H786),)</f>
        <v>0</v>
      </c>
      <c r="J786" s="34" t="e">
        <f aca="false">RIGHT(B786,LEN(B786)-FIND("/",B786, FIND("Single Cells",B786, 1)))</f>
        <v>#VALUE!</v>
      </c>
    </row>
    <row r="787" customFormat="false" ht="12.75" hidden="false" customHeight="false" outlineLevel="0" collapsed="false">
      <c r="E787" s="34" t="str">
        <f aca="false">MID(B787,9,1)</f>
        <v/>
      </c>
      <c r="F787" s="34" t="str">
        <f aca="false">MID(B787,10,1)</f>
        <v/>
      </c>
      <c r="G787" s="34" t="str">
        <f aca="false">MID(B787,11,1)</f>
        <v/>
      </c>
      <c r="H787" s="35" t="str">
        <f aca="false">IF(G787=".",F787,CONCATENATE(F787,G787))</f>
        <v/>
      </c>
      <c r="I787" s="34" t="n">
        <f aca="false">IFERROR(VALUE(H787),)</f>
        <v>0</v>
      </c>
      <c r="J787" s="34" t="e">
        <f aca="false">RIGHT(B787,LEN(B787)-FIND("/",B787, FIND("Single Cells",B787, 1)))</f>
        <v>#VALUE!</v>
      </c>
    </row>
    <row r="788" customFormat="false" ht="12.75" hidden="false" customHeight="false" outlineLevel="0" collapsed="false">
      <c r="E788" s="34" t="str">
        <f aca="false">MID(B788,9,1)</f>
        <v/>
      </c>
      <c r="F788" s="34" t="str">
        <f aca="false">MID(B788,10,1)</f>
        <v/>
      </c>
      <c r="G788" s="34" t="str">
        <f aca="false">MID(B788,11,1)</f>
        <v/>
      </c>
      <c r="H788" s="35" t="str">
        <f aca="false">IF(G788=".",F788,CONCATENATE(F788,G788))</f>
        <v/>
      </c>
      <c r="I788" s="34" t="n">
        <f aca="false">IFERROR(VALUE(H788),)</f>
        <v>0</v>
      </c>
      <c r="J788" s="34" t="e">
        <f aca="false">RIGHT(B788,LEN(B788)-FIND("/",B788, FIND("Single Cells",B788, 1)))</f>
        <v>#VALUE!</v>
      </c>
    </row>
    <row r="789" customFormat="false" ht="12.75" hidden="false" customHeight="false" outlineLevel="0" collapsed="false">
      <c r="E789" s="34" t="str">
        <f aca="false">MID(B789,9,1)</f>
        <v/>
      </c>
      <c r="F789" s="34" t="str">
        <f aca="false">MID(B789,10,1)</f>
        <v/>
      </c>
      <c r="G789" s="34" t="str">
        <f aca="false">MID(B789,11,1)</f>
        <v/>
      </c>
      <c r="H789" s="35" t="str">
        <f aca="false">IF(G789=".",F789,CONCATENATE(F789,G789))</f>
        <v/>
      </c>
      <c r="I789" s="34" t="n">
        <f aca="false">IFERROR(VALUE(H789),)</f>
        <v>0</v>
      </c>
      <c r="J789" s="34" t="e">
        <f aca="false">RIGHT(B789,LEN(B789)-FIND("/",B789, FIND("Single Cells",B789, 1)))</f>
        <v>#VALUE!</v>
      </c>
    </row>
    <row r="790" customFormat="false" ht="12.75" hidden="false" customHeight="false" outlineLevel="0" collapsed="false">
      <c r="E790" s="34" t="str">
        <f aca="false">MID(B790,9,1)</f>
        <v/>
      </c>
      <c r="F790" s="34" t="str">
        <f aca="false">MID(B790,10,1)</f>
        <v/>
      </c>
      <c r="G790" s="34" t="str">
        <f aca="false">MID(B790,11,1)</f>
        <v/>
      </c>
      <c r="H790" s="35" t="str">
        <f aca="false">IF(G790=".",F790,CONCATENATE(F790,G790))</f>
        <v/>
      </c>
      <c r="I790" s="34" t="n">
        <f aca="false">IFERROR(VALUE(H790),)</f>
        <v>0</v>
      </c>
      <c r="J790" s="34" t="e">
        <f aca="false">RIGHT(B790,LEN(B790)-FIND("/",B790, FIND("Single Cells",B790, 1)))</f>
        <v>#VALUE!</v>
      </c>
    </row>
    <row r="791" customFormat="false" ht="12.75" hidden="false" customHeight="false" outlineLevel="0" collapsed="false">
      <c r="E791" s="34" t="str">
        <f aca="false">MID(B791,9,1)</f>
        <v/>
      </c>
      <c r="F791" s="34" t="str">
        <f aca="false">MID(B791,10,1)</f>
        <v/>
      </c>
      <c r="G791" s="34" t="str">
        <f aca="false">MID(B791,11,1)</f>
        <v/>
      </c>
      <c r="H791" s="35" t="str">
        <f aca="false">IF(G791=".",F791,CONCATENATE(F791,G791))</f>
        <v/>
      </c>
      <c r="I791" s="34" t="n">
        <f aca="false">IFERROR(VALUE(H791),)</f>
        <v>0</v>
      </c>
      <c r="J791" s="34" t="e">
        <f aca="false">RIGHT(B791,LEN(B791)-FIND("/",B791, FIND("Single Cells",B791, 1)))</f>
        <v>#VALUE!</v>
      </c>
    </row>
    <row r="792" customFormat="false" ht="12.75" hidden="false" customHeight="false" outlineLevel="0" collapsed="false">
      <c r="E792" s="34" t="str">
        <f aca="false">MID(B792,9,1)</f>
        <v/>
      </c>
      <c r="F792" s="34" t="str">
        <f aca="false">MID(B792,10,1)</f>
        <v/>
      </c>
      <c r="G792" s="34" t="str">
        <f aca="false">MID(B792,11,1)</f>
        <v/>
      </c>
      <c r="H792" s="35" t="str">
        <f aca="false">IF(G792=".",F792,CONCATENATE(F792,G792))</f>
        <v/>
      </c>
      <c r="I792" s="34" t="n">
        <f aca="false">IFERROR(VALUE(H792),)</f>
        <v>0</v>
      </c>
      <c r="J792" s="34" t="e">
        <f aca="false">RIGHT(B792,LEN(B792)-FIND("/",B792, FIND("Single Cells",B792, 1)))</f>
        <v>#VALUE!</v>
      </c>
    </row>
    <row r="793" customFormat="false" ht="12.75" hidden="false" customHeight="false" outlineLevel="0" collapsed="false">
      <c r="E793" s="34" t="str">
        <f aca="false">MID(B793,9,1)</f>
        <v/>
      </c>
      <c r="F793" s="34" t="str">
        <f aca="false">MID(B793,10,1)</f>
        <v/>
      </c>
      <c r="G793" s="34" t="str">
        <f aca="false">MID(B793,11,1)</f>
        <v/>
      </c>
      <c r="H793" s="35" t="str">
        <f aca="false">IF(G793=".",F793,CONCATENATE(F793,G793))</f>
        <v/>
      </c>
      <c r="I793" s="34" t="n">
        <f aca="false">IFERROR(VALUE(H793),)</f>
        <v>0</v>
      </c>
      <c r="J793" s="34" t="e">
        <f aca="false">RIGHT(B793,LEN(B793)-FIND("/",B793, FIND("Single Cells",B793, 1)))</f>
        <v>#VALUE!</v>
      </c>
    </row>
    <row r="794" customFormat="false" ht="12.75" hidden="false" customHeight="false" outlineLevel="0" collapsed="false">
      <c r="E794" s="34" t="str">
        <f aca="false">MID(B794,9,1)</f>
        <v/>
      </c>
      <c r="F794" s="34" t="str">
        <f aca="false">MID(B794,10,1)</f>
        <v/>
      </c>
      <c r="G794" s="34" t="str">
        <f aca="false">MID(B794,11,1)</f>
        <v/>
      </c>
      <c r="H794" s="35" t="str">
        <f aca="false">IF(G794=".",F794,CONCATENATE(F794,G794))</f>
        <v/>
      </c>
      <c r="I794" s="34" t="n">
        <f aca="false">IFERROR(VALUE(H794),)</f>
        <v>0</v>
      </c>
      <c r="J794" s="34" t="e">
        <f aca="false">RIGHT(B794,LEN(B794)-FIND("/",B794, FIND("Single Cells",B794, 1)))</f>
        <v>#VALUE!</v>
      </c>
    </row>
    <row r="795" customFormat="false" ht="12.75" hidden="false" customHeight="false" outlineLevel="0" collapsed="false">
      <c r="E795" s="34" t="str">
        <f aca="false">MID(B795,9,1)</f>
        <v/>
      </c>
      <c r="F795" s="34" t="str">
        <f aca="false">MID(B795,10,1)</f>
        <v/>
      </c>
      <c r="G795" s="34" t="str">
        <f aca="false">MID(B795,11,1)</f>
        <v/>
      </c>
      <c r="H795" s="35" t="str">
        <f aca="false">IF(G795=".",F795,CONCATENATE(F795,G795))</f>
        <v/>
      </c>
      <c r="I795" s="34" t="n">
        <f aca="false">IFERROR(VALUE(H795),)</f>
        <v>0</v>
      </c>
      <c r="J795" s="34" t="e">
        <f aca="false">RIGHT(B795,LEN(B795)-FIND("/",B795, FIND("Single Cells",B795, 1)))</f>
        <v>#VALUE!</v>
      </c>
    </row>
    <row r="796" customFormat="false" ht="12.75" hidden="false" customHeight="false" outlineLevel="0" collapsed="false">
      <c r="E796" s="34" t="str">
        <f aca="false">MID(B796,9,1)</f>
        <v/>
      </c>
      <c r="F796" s="34" t="str">
        <f aca="false">MID(B796,10,1)</f>
        <v/>
      </c>
      <c r="G796" s="34" t="str">
        <f aca="false">MID(B796,11,1)</f>
        <v/>
      </c>
      <c r="H796" s="35" t="str">
        <f aca="false">IF(G796=".",F796,CONCATENATE(F796,G796))</f>
        <v/>
      </c>
      <c r="I796" s="34" t="n">
        <f aca="false">IFERROR(VALUE(H796),)</f>
        <v>0</v>
      </c>
      <c r="J796" s="34" t="e">
        <f aca="false">RIGHT(B796,LEN(B796)-FIND("/",B796, FIND("Single Cells",B796, 1)))</f>
        <v>#VALUE!</v>
      </c>
    </row>
    <row r="797" customFormat="false" ht="12.75" hidden="false" customHeight="false" outlineLevel="0" collapsed="false">
      <c r="E797" s="34" t="str">
        <f aca="false">MID(B797,9,1)</f>
        <v/>
      </c>
      <c r="F797" s="34" t="str">
        <f aca="false">MID(B797,10,1)</f>
        <v/>
      </c>
      <c r="G797" s="34" t="str">
        <f aca="false">MID(B797,11,1)</f>
        <v/>
      </c>
      <c r="H797" s="35" t="str">
        <f aca="false">IF(G797=".",F797,CONCATENATE(F797,G797))</f>
        <v/>
      </c>
      <c r="I797" s="34" t="n">
        <f aca="false">IFERROR(VALUE(H797),)</f>
        <v>0</v>
      </c>
      <c r="J797" s="34" t="e">
        <f aca="false">RIGHT(B797,LEN(B797)-FIND("/",B797, FIND("Single Cells",B797, 1)))</f>
        <v>#VALUE!</v>
      </c>
    </row>
    <row r="798" customFormat="false" ht="12.75" hidden="false" customHeight="false" outlineLevel="0" collapsed="false">
      <c r="E798" s="34" t="str">
        <f aca="false">MID(B798,9,1)</f>
        <v/>
      </c>
      <c r="F798" s="34" t="str">
        <f aca="false">MID(B798,10,1)</f>
        <v/>
      </c>
      <c r="G798" s="34" t="str">
        <f aca="false">MID(B798,11,1)</f>
        <v/>
      </c>
      <c r="H798" s="35" t="str">
        <f aca="false">IF(G798=".",F798,CONCATENATE(F798,G798))</f>
        <v/>
      </c>
      <c r="I798" s="34" t="n">
        <f aca="false">IFERROR(VALUE(H798),)</f>
        <v>0</v>
      </c>
      <c r="J798" s="34" t="e">
        <f aca="false">RIGHT(B798,LEN(B798)-FIND("/",B798, FIND("Single Cells",B798, 1)))</f>
        <v>#VALUE!</v>
      </c>
    </row>
    <row r="799" customFormat="false" ht="12.75" hidden="false" customHeight="false" outlineLevel="0" collapsed="false">
      <c r="E799" s="34" t="str">
        <f aca="false">MID(B799,9,1)</f>
        <v/>
      </c>
      <c r="F799" s="34" t="str">
        <f aca="false">MID(B799,10,1)</f>
        <v/>
      </c>
      <c r="G799" s="34" t="str">
        <f aca="false">MID(B799,11,1)</f>
        <v/>
      </c>
      <c r="H799" s="35" t="str">
        <f aca="false">IF(G799=".",F799,CONCATENATE(F799,G799))</f>
        <v/>
      </c>
      <c r="I799" s="34" t="n">
        <f aca="false">IFERROR(VALUE(H799),)</f>
        <v>0</v>
      </c>
      <c r="J799" s="34" t="e">
        <f aca="false">RIGHT(B799,LEN(B799)-FIND("/",B799, FIND("Single Cells",B799, 1)))</f>
        <v>#VALUE!</v>
      </c>
    </row>
    <row r="800" customFormat="false" ht="12.75" hidden="false" customHeight="false" outlineLevel="0" collapsed="false">
      <c r="E800" s="34" t="str">
        <f aca="false">MID(B800,9,1)</f>
        <v/>
      </c>
      <c r="F800" s="34" t="str">
        <f aca="false">MID(B800,10,1)</f>
        <v/>
      </c>
      <c r="G800" s="34" t="str">
        <f aca="false">MID(B800,11,1)</f>
        <v/>
      </c>
      <c r="H800" s="35" t="str">
        <f aca="false">IF(G800=".",F800,CONCATENATE(F800,G800))</f>
        <v/>
      </c>
      <c r="I800" s="34" t="n">
        <f aca="false">IFERROR(VALUE(H800),)</f>
        <v>0</v>
      </c>
      <c r="J800" s="34" t="e">
        <f aca="false">RIGHT(B800,LEN(B800)-FIND("/",B800, FIND("Single Cells",B800, 1)))</f>
        <v>#VALUE!</v>
      </c>
    </row>
    <row r="801" customFormat="false" ht="12.75" hidden="false" customHeight="false" outlineLevel="0" collapsed="false">
      <c r="E801" s="34" t="str">
        <f aca="false">MID(B801,9,1)</f>
        <v/>
      </c>
      <c r="F801" s="34" t="str">
        <f aca="false">MID(B801,10,1)</f>
        <v/>
      </c>
      <c r="G801" s="34" t="str">
        <f aca="false">MID(B801,11,1)</f>
        <v/>
      </c>
      <c r="H801" s="35" t="str">
        <f aca="false">IF(G801=".",F801,CONCATENATE(F801,G801))</f>
        <v/>
      </c>
      <c r="I801" s="34" t="n">
        <f aca="false">IFERROR(VALUE(H801),)</f>
        <v>0</v>
      </c>
      <c r="J801" s="34" t="e">
        <f aca="false">RIGHT(B801,LEN(B801)-FIND("/",B801, FIND("Single Cells",B801, 1)))</f>
        <v>#VALUE!</v>
      </c>
    </row>
    <row r="802" customFormat="false" ht="12.75" hidden="false" customHeight="false" outlineLevel="0" collapsed="false">
      <c r="E802" s="34" t="str">
        <f aca="false">MID(B802,9,1)</f>
        <v/>
      </c>
      <c r="F802" s="34" t="str">
        <f aca="false">MID(B802,10,1)</f>
        <v/>
      </c>
      <c r="G802" s="34" t="str">
        <f aca="false">MID(B802,11,1)</f>
        <v/>
      </c>
      <c r="H802" s="35" t="str">
        <f aca="false">IF(G802=".",F802,CONCATENATE(F802,G802))</f>
        <v/>
      </c>
      <c r="I802" s="34" t="n">
        <f aca="false">IFERROR(VALUE(H802),)</f>
        <v>0</v>
      </c>
      <c r="J802" s="34" t="e">
        <f aca="false">RIGHT(B802,LEN(B802)-FIND("/",B802, FIND("Single Cells",B802, 1)))</f>
        <v>#VALUE!</v>
      </c>
    </row>
    <row r="803" customFormat="false" ht="12.75" hidden="false" customHeight="false" outlineLevel="0" collapsed="false">
      <c r="E803" s="34" t="str">
        <f aca="false">MID(B803,9,1)</f>
        <v/>
      </c>
      <c r="F803" s="34" t="str">
        <f aca="false">MID(B803,10,1)</f>
        <v/>
      </c>
      <c r="G803" s="34" t="str">
        <f aca="false">MID(B803,11,1)</f>
        <v/>
      </c>
      <c r="H803" s="35" t="str">
        <f aca="false">IF(G803=".",F803,CONCATENATE(F803,G803))</f>
        <v/>
      </c>
      <c r="I803" s="34" t="n">
        <f aca="false">IFERROR(VALUE(H803),)</f>
        <v>0</v>
      </c>
      <c r="J803" s="34" t="e">
        <f aca="false">RIGHT(B803,LEN(B803)-FIND("/",B803, FIND("Single Cells",B803, 1)))</f>
        <v>#VALUE!</v>
      </c>
    </row>
    <row r="804" customFormat="false" ht="12.75" hidden="false" customHeight="false" outlineLevel="0" collapsed="false">
      <c r="E804" s="34" t="str">
        <f aca="false">MID(B804,9,1)</f>
        <v/>
      </c>
      <c r="F804" s="34" t="str">
        <f aca="false">MID(B804,10,1)</f>
        <v/>
      </c>
      <c r="G804" s="34" t="str">
        <f aca="false">MID(B804,11,1)</f>
        <v/>
      </c>
      <c r="H804" s="35" t="str">
        <f aca="false">IF(G804=".",F804,CONCATENATE(F804,G804))</f>
        <v/>
      </c>
      <c r="I804" s="34" t="n">
        <f aca="false">IFERROR(VALUE(H804),)</f>
        <v>0</v>
      </c>
      <c r="J804" s="34" t="e">
        <f aca="false">RIGHT(B804,LEN(B804)-FIND("/",B804, FIND("Single Cells",B804, 1)))</f>
        <v>#VALUE!</v>
      </c>
    </row>
    <row r="805" customFormat="false" ht="12.75" hidden="false" customHeight="false" outlineLevel="0" collapsed="false">
      <c r="E805" s="34" t="str">
        <f aca="false">MID(B805,9,1)</f>
        <v/>
      </c>
      <c r="F805" s="34" t="str">
        <f aca="false">MID(B805,10,1)</f>
        <v/>
      </c>
      <c r="G805" s="34" t="str">
        <f aca="false">MID(B805,11,1)</f>
        <v/>
      </c>
      <c r="H805" s="35" t="str">
        <f aca="false">IF(G805=".",F805,CONCATENATE(F805,G805))</f>
        <v/>
      </c>
      <c r="I805" s="34" t="n">
        <f aca="false">IFERROR(VALUE(H805),)</f>
        <v>0</v>
      </c>
      <c r="J805" s="34" t="e">
        <f aca="false">RIGHT(B805,LEN(B805)-FIND("/",B805, FIND("Single Cells",B805, 1)))</f>
        <v>#VALUE!</v>
      </c>
    </row>
    <row r="806" customFormat="false" ht="12.75" hidden="false" customHeight="false" outlineLevel="0" collapsed="false">
      <c r="E806" s="34" t="str">
        <f aca="false">MID(B806,9,1)</f>
        <v/>
      </c>
      <c r="F806" s="34" t="str">
        <f aca="false">MID(B806,10,1)</f>
        <v/>
      </c>
      <c r="G806" s="34" t="str">
        <f aca="false">MID(B806,11,1)</f>
        <v/>
      </c>
      <c r="H806" s="35" t="str">
        <f aca="false">IF(G806=".",F806,CONCATENATE(F806,G806))</f>
        <v/>
      </c>
      <c r="I806" s="34" t="n">
        <f aca="false">IFERROR(VALUE(H806),)</f>
        <v>0</v>
      </c>
      <c r="J806" s="34" t="e">
        <f aca="false">RIGHT(B806,LEN(B806)-FIND("/",B806, FIND("Single Cells",B806, 1)))</f>
        <v>#VALUE!</v>
      </c>
    </row>
    <row r="807" customFormat="false" ht="12.75" hidden="false" customHeight="false" outlineLevel="0" collapsed="false">
      <c r="E807" s="34" t="str">
        <f aca="false">MID(B807,9,1)</f>
        <v/>
      </c>
      <c r="F807" s="34" t="str">
        <f aca="false">MID(B807,10,1)</f>
        <v/>
      </c>
      <c r="G807" s="34" t="str">
        <f aca="false">MID(B807,11,1)</f>
        <v/>
      </c>
      <c r="H807" s="35" t="str">
        <f aca="false">IF(G807=".",F807,CONCATENATE(F807,G807))</f>
        <v/>
      </c>
      <c r="I807" s="34" t="n">
        <f aca="false">IFERROR(VALUE(H807),)</f>
        <v>0</v>
      </c>
      <c r="J807" s="34" t="e">
        <f aca="false">RIGHT(B807,LEN(B807)-FIND("/",B807, FIND("Single Cells",B807, 1)))</f>
        <v>#VALUE!</v>
      </c>
    </row>
    <row r="808" customFormat="false" ht="12.75" hidden="false" customHeight="false" outlineLevel="0" collapsed="false">
      <c r="E808" s="34" t="str">
        <f aca="false">MID(B808,9,1)</f>
        <v/>
      </c>
      <c r="F808" s="34" t="str">
        <f aca="false">MID(B808,10,1)</f>
        <v/>
      </c>
      <c r="G808" s="34" t="str">
        <f aca="false">MID(B808,11,1)</f>
        <v/>
      </c>
      <c r="H808" s="35" t="str">
        <f aca="false">IF(G808=".",F808,CONCATENATE(F808,G808))</f>
        <v/>
      </c>
      <c r="I808" s="34" t="n">
        <f aca="false">IFERROR(VALUE(H808),)</f>
        <v>0</v>
      </c>
      <c r="J808" s="34" t="e">
        <f aca="false">RIGHT(B808,LEN(B808)-FIND("/",B808, FIND("Single Cells",B808, 1)))</f>
        <v>#VALUE!</v>
      </c>
    </row>
    <row r="809" customFormat="false" ht="12.75" hidden="false" customHeight="false" outlineLevel="0" collapsed="false">
      <c r="E809" s="34" t="str">
        <f aca="false">MID(B809,9,1)</f>
        <v/>
      </c>
      <c r="F809" s="34" t="str">
        <f aca="false">MID(B809,10,1)</f>
        <v/>
      </c>
      <c r="G809" s="34" t="str">
        <f aca="false">MID(B809,11,1)</f>
        <v/>
      </c>
      <c r="H809" s="35" t="str">
        <f aca="false">IF(G809=".",F809,CONCATENATE(F809,G809))</f>
        <v/>
      </c>
      <c r="I809" s="34" t="n">
        <f aca="false">IFERROR(VALUE(H809),)</f>
        <v>0</v>
      </c>
      <c r="J809" s="34" t="e">
        <f aca="false">RIGHT(B809,LEN(B809)-FIND("/",B809, FIND("Single Cells",B809, 1)))</f>
        <v>#VALUE!</v>
      </c>
    </row>
    <row r="810" customFormat="false" ht="12.75" hidden="false" customHeight="false" outlineLevel="0" collapsed="false">
      <c r="E810" s="34" t="str">
        <f aca="false">MID(B810,9,1)</f>
        <v/>
      </c>
      <c r="F810" s="34" t="str">
        <f aca="false">MID(B810,10,1)</f>
        <v/>
      </c>
      <c r="G810" s="34" t="str">
        <f aca="false">MID(B810,11,1)</f>
        <v/>
      </c>
      <c r="H810" s="35" t="str">
        <f aca="false">IF(G810=".",F810,CONCATENATE(F810,G810))</f>
        <v/>
      </c>
      <c r="I810" s="34" t="n">
        <f aca="false">IFERROR(VALUE(H810),)</f>
        <v>0</v>
      </c>
      <c r="J810" s="34" t="e">
        <f aca="false">RIGHT(B810,LEN(B810)-FIND("/",B810, FIND("Single Cells",B810, 1)))</f>
        <v>#VALUE!</v>
      </c>
    </row>
    <row r="811" customFormat="false" ht="12.75" hidden="false" customHeight="false" outlineLevel="0" collapsed="false">
      <c r="E811" s="34" t="str">
        <f aca="false">MID(B811,9,1)</f>
        <v/>
      </c>
      <c r="F811" s="34" t="str">
        <f aca="false">MID(B811,10,1)</f>
        <v/>
      </c>
      <c r="G811" s="34" t="str">
        <f aca="false">MID(B811,11,1)</f>
        <v/>
      </c>
      <c r="H811" s="35" t="str">
        <f aca="false">IF(G811=".",F811,CONCATENATE(F811,G811))</f>
        <v/>
      </c>
      <c r="I811" s="34" t="n">
        <f aca="false">IFERROR(VALUE(H811),)</f>
        <v>0</v>
      </c>
      <c r="J811" s="34" t="e">
        <f aca="false">RIGHT(B811,LEN(B811)-FIND("/",B811, FIND("Single Cells",B811, 1)))</f>
        <v>#VALUE!</v>
      </c>
    </row>
    <row r="812" customFormat="false" ht="12.75" hidden="false" customHeight="false" outlineLevel="0" collapsed="false">
      <c r="E812" s="34" t="str">
        <f aca="false">MID(B812,9,1)</f>
        <v/>
      </c>
      <c r="F812" s="34" t="str">
        <f aca="false">MID(B812,10,1)</f>
        <v/>
      </c>
      <c r="G812" s="34" t="str">
        <f aca="false">MID(B812,11,1)</f>
        <v/>
      </c>
      <c r="H812" s="35" t="str">
        <f aca="false">IF(G812=".",F812,CONCATENATE(F812,G812))</f>
        <v/>
      </c>
      <c r="I812" s="34" t="n">
        <f aca="false">IFERROR(VALUE(H812),)</f>
        <v>0</v>
      </c>
      <c r="J812" s="34" t="e">
        <f aca="false">RIGHT(B812,LEN(B812)-FIND("/",B812, FIND("Single Cells",B812, 1)))</f>
        <v>#VALUE!</v>
      </c>
    </row>
    <row r="813" customFormat="false" ht="12.75" hidden="false" customHeight="false" outlineLevel="0" collapsed="false">
      <c r="E813" s="34" t="str">
        <f aca="false">MID(B813,9,1)</f>
        <v/>
      </c>
      <c r="F813" s="34" t="str">
        <f aca="false">MID(B813,10,1)</f>
        <v/>
      </c>
      <c r="G813" s="34" t="str">
        <f aca="false">MID(B813,11,1)</f>
        <v/>
      </c>
      <c r="H813" s="35" t="str">
        <f aca="false">IF(G813=".",F813,CONCATENATE(F813,G813))</f>
        <v/>
      </c>
      <c r="I813" s="34" t="n">
        <f aca="false">IFERROR(VALUE(H813),)</f>
        <v>0</v>
      </c>
      <c r="J813" s="34" t="e">
        <f aca="false">RIGHT(B813,LEN(B813)-FIND("/",B813, FIND("Single Cells",B813, 1)))</f>
        <v>#VALUE!</v>
      </c>
    </row>
    <row r="814" customFormat="false" ht="12.75" hidden="false" customHeight="false" outlineLevel="0" collapsed="false">
      <c r="E814" s="34" t="str">
        <f aca="false">MID(B814,9,1)</f>
        <v/>
      </c>
      <c r="F814" s="34" t="str">
        <f aca="false">MID(B814,10,1)</f>
        <v/>
      </c>
      <c r="G814" s="34" t="str">
        <f aca="false">MID(B814,11,1)</f>
        <v/>
      </c>
      <c r="H814" s="35" t="str">
        <f aca="false">IF(G814=".",F814,CONCATENATE(F814,G814))</f>
        <v/>
      </c>
      <c r="I814" s="34" t="n">
        <f aca="false">IFERROR(VALUE(H814),)</f>
        <v>0</v>
      </c>
      <c r="J814" s="34" t="e">
        <f aca="false">RIGHT(B814,LEN(B814)-FIND("/",B814, FIND("Single Cells",B814, 1)))</f>
        <v>#VALUE!</v>
      </c>
    </row>
    <row r="815" customFormat="false" ht="12.75" hidden="false" customHeight="false" outlineLevel="0" collapsed="false">
      <c r="E815" s="34" t="str">
        <f aca="false">MID(B815,9,1)</f>
        <v/>
      </c>
      <c r="F815" s="34" t="str">
        <f aca="false">MID(B815,10,1)</f>
        <v/>
      </c>
      <c r="G815" s="34" t="str">
        <f aca="false">MID(B815,11,1)</f>
        <v/>
      </c>
      <c r="H815" s="35" t="str">
        <f aca="false">IF(G815=".",F815,CONCATENATE(F815,G815))</f>
        <v/>
      </c>
      <c r="I815" s="34" t="n">
        <f aca="false">IFERROR(VALUE(H815),)</f>
        <v>0</v>
      </c>
      <c r="J815" s="34" t="e">
        <f aca="false">RIGHT(B815,LEN(B815)-FIND("/",B815, FIND("Single Cells",B815, 1)))</f>
        <v>#VALUE!</v>
      </c>
    </row>
    <row r="816" customFormat="false" ht="12.75" hidden="false" customHeight="false" outlineLevel="0" collapsed="false">
      <c r="E816" s="34" t="str">
        <f aca="false">MID(B816,9,1)</f>
        <v/>
      </c>
      <c r="F816" s="34" t="str">
        <f aca="false">MID(B816,10,1)</f>
        <v/>
      </c>
      <c r="G816" s="34" t="str">
        <f aca="false">MID(B816,11,1)</f>
        <v/>
      </c>
      <c r="H816" s="35" t="str">
        <f aca="false">IF(G816=".",F816,CONCATENATE(F816,G816))</f>
        <v/>
      </c>
      <c r="I816" s="34" t="n">
        <f aca="false">IFERROR(VALUE(H816),)</f>
        <v>0</v>
      </c>
      <c r="J816" s="34" t="e">
        <f aca="false">RIGHT(B816,LEN(B816)-FIND("/",B816, FIND("Single Cells",B816, 1)))</f>
        <v>#VALUE!</v>
      </c>
    </row>
    <row r="817" customFormat="false" ht="12.75" hidden="false" customHeight="false" outlineLevel="0" collapsed="false">
      <c r="E817" s="34" t="str">
        <f aca="false">MID(B817,9,1)</f>
        <v/>
      </c>
      <c r="F817" s="34" t="str">
        <f aca="false">MID(B817,10,1)</f>
        <v/>
      </c>
      <c r="G817" s="34" t="str">
        <f aca="false">MID(B817,11,1)</f>
        <v/>
      </c>
      <c r="H817" s="35" t="str">
        <f aca="false">IF(G817=".",F817,CONCATENATE(F817,G817))</f>
        <v/>
      </c>
      <c r="I817" s="34" t="n">
        <f aca="false">IFERROR(VALUE(H817),)</f>
        <v>0</v>
      </c>
      <c r="J817" s="34" t="e">
        <f aca="false">RIGHT(B817,LEN(B817)-FIND("/",B817, FIND("Single Cells",B817, 1)))</f>
        <v>#VALUE!</v>
      </c>
    </row>
    <row r="818" customFormat="false" ht="12.75" hidden="false" customHeight="false" outlineLevel="0" collapsed="false">
      <c r="E818" s="34" t="str">
        <f aca="false">MID(B818,9,1)</f>
        <v/>
      </c>
      <c r="F818" s="34" t="str">
        <f aca="false">MID(B818,10,1)</f>
        <v/>
      </c>
      <c r="G818" s="34" t="str">
        <f aca="false">MID(B818,11,1)</f>
        <v/>
      </c>
      <c r="H818" s="35" t="str">
        <f aca="false">IF(G818=".",F818,CONCATENATE(F818,G818))</f>
        <v/>
      </c>
      <c r="I818" s="34" t="n">
        <f aca="false">IFERROR(VALUE(H818),)</f>
        <v>0</v>
      </c>
      <c r="J818" s="34" t="e">
        <f aca="false">RIGHT(B818,LEN(B818)-FIND("/",B818, FIND("Single Cells",B818, 1)))</f>
        <v>#VALUE!</v>
      </c>
    </row>
    <row r="819" customFormat="false" ht="12.75" hidden="false" customHeight="false" outlineLevel="0" collapsed="false">
      <c r="E819" s="34" t="str">
        <f aca="false">MID(B819,9,1)</f>
        <v/>
      </c>
      <c r="F819" s="34" t="str">
        <f aca="false">MID(B819,10,1)</f>
        <v/>
      </c>
      <c r="G819" s="34" t="str">
        <f aca="false">MID(B819,11,1)</f>
        <v/>
      </c>
      <c r="H819" s="35" t="str">
        <f aca="false">IF(G819=".",F819,CONCATENATE(F819,G819))</f>
        <v/>
      </c>
      <c r="I819" s="34" t="n">
        <f aca="false">IFERROR(VALUE(H819),)</f>
        <v>0</v>
      </c>
      <c r="J819" s="34" t="e">
        <f aca="false">RIGHT(B819,LEN(B819)-FIND("/",B819, FIND("Single Cells",B819, 1)))</f>
        <v>#VALUE!</v>
      </c>
    </row>
    <row r="820" customFormat="false" ht="12.75" hidden="false" customHeight="false" outlineLevel="0" collapsed="false">
      <c r="E820" s="34" t="str">
        <f aca="false">MID(B820,9,1)</f>
        <v/>
      </c>
      <c r="F820" s="34" t="str">
        <f aca="false">MID(B820,10,1)</f>
        <v/>
      </c>
      <c r="G820" s="34" t="str">
        <f aca="false">MID(B820,11,1)</f>
        <v/>
      </c>
      <c r="H820" s="35" t="str">
        <f aca="false">IF(G820=".",F820,CONCATENATE(F820,G820))</f>
        <v/>
      </c>
      <c r="I820" s="34" t="n">
        <f aca="false">IFERROR(VALUE(H820),)</f>
        <v>0</v>
      </c>
      <c r="J820" s="34" t="e">
        <f aca="false">RIGHT(B820,LEN(B820)-FIND("/",B820, FIND("Single Cells",B820, 1)))</f>
        <v>#VALUE!</v>
      </c>
    </row>
    <row r="821" customFormat="false" ht="12.75" hidden="false" customHeight="false" outlineLevel="0" collapsed="false">
      <c r="E821" s="34" t="str">
        <f aca="false">MID(B821,9,1)</f>
        <v/>
      </c>
      <c r="F821" s="34" t="str">
        <f aca="false">MID(B821,10,1)</f>
        <v/>
      </c>
      <c r="G821" s="34" t="str">
        <f aca="false">MID(B821,11,1)</f>
        <v/>
      </c>
      <c r="H821" s="35" t="str">
        <f aca="false">IF(G821=".",F821,CONCATENATE(F821,G821))</f>
        <v/>
      </c>
      <c r="I821" s="34" t="n">
        <f aca="false">IFERROR(VALUE(H821),)</f>
        <v>0</v>
      </c>
      <c r="J821" s="34" t="e">
        <f aca="false">RIGHT(B821,LEN(B821)-FIND("/",B821, FIND("Single Cells",B821, 1)))</f>
        <v>#VALUE!</v>
      </c>
    </row>
    <row r="822" customFormat="false" ht="12.75" hidden="false" customHeight="false" outlineLevel="0" collapsed="false">
      <c r="E822" s="34" t="str">
        <f aca="false">MID(B822,9,1)</f>
        <v/>
      </c>
      <c r="F822" s="34" t="str">
        <f aca="false">MID(B822,10,1)</f>
        <v/>
      </c>
      <c r="G822" s="34" t="str">
        <f aca="false">MID(B822,11,1)</f>
        <v/>
      </c>
      <c r="H822" s="35" t="str">
        <f aca="false">IF(G822=".",F822,CONCATENATE(F822,G822))</f>
        <v/>
      </c>
      <c r="I822" s="34" t="n">
        <f aca="false">IFERROR(VALUE(H822),)</f>
        <v>0</v>
      </c>
      <c r="J822" s="34" t="e">
        <f aca="false">RIGHT(B822,LEN(B822)-FIND("/",B822, FIND("Single Cells",B822, 1)))</f>
        <v>#VALUE!</v>
      </c>
    </row>
    <row r="823" customFormat="false" ht="12.75" hidden="false" customHeight="false" outlineLevel="0" collapsed="false">
      <c r="E823" s="34" t="str">
        <f aca="false">MID(B823,9,1)</f>
        <v/>
      </c>
      <c r="F823" s="34" t="str">
        <f aca="false">MID(B823,10,1)</f>
        <v/>
      </c>
      <c r="G823" s="34" t="str">
        <f aca="false">MID(B823,11,1)</f>
        <v/>
      </c>
      <c r="H823" s="35" t="str">
        <f aca="false">IF(G823=".",F823,CONCATENATE(F823,G823))</f>
        <v/>
      </c>
      <c r="I823" s="34" t="n">
        <f aca="false">IFERROR(VALUE(H823),)</f>
        <v>0</v>
      </c>
      <c r="J823" s="34" t="e">
        <f aca="false">RIGHT(B823,LEN(B823)-FIND("/",B823, FIND("Single Cells",B823, 1)))</f>
        <v>#VALUE!</v>
      </c>
    </row>
    <row r="824" customFormat="false" ht="12.75" hidden="false" customHeight="false" outlineLevel="0" collapsed="false">
      <c r="E824" s="34" t="str">
        <f aca="false">MID(B824,9,1)</f>
        <v/>
      </c>
      <c r="F824" s="34" t="str">
        <f aca="false">MID(B824,10,1)</f>
        <v/>
      </c>
      <c r="G824" s="34" t="str">
        <f aca="false">MID(B824,11,1)</f>
        <v/>
      </c>
      <c r="H824" s="35" t="str">
        <f aca="false">IF(G824=".",F824,CONCATENATE(F824,G824))</f>
        <v/>
      </c>
      <c r="I824" s="34" t="n">
        <f aca="false">IFERROR(VALUE(H824),)</f>
        <v>0</v>
      </c>
      <c r="J824" s="34" t="e">
        <f aca="false">RIGHT(B824,LEN(B824)-FIND("/",B824, FIND("Single Cells",B824, 1)))</f>
        <v>#VALUE!</v>
      </c>
    </row>
    <row r="825" customFormat="false" ht="12.75" hidden="false" customHeight="false" outlineLevel="0" collapsed="false">
      <c r="E825" s="34" t="str">
        <f aca="false">MID(B825,9,1)</f>
        <v/>
      </c>
      <c r="F825" s="34" t="str">
        <f aca="false">MID(B825,10,1)</f>
        <v/>
      </c>
      <c r="G825" s="34" t="str">
        <f aca="false">MID(B825,11,1)</f>
        <v/>
      </c>
      <c r="H825" s="35" t="str">
        <f aca="false">IF(G825=".",F825,CONCATENATE(F825,G825))</f>
        <v/>
      </c>
      <c r="I825" s="34" t="n">
        <f aca="false">IFERROR(VALUE(H825),)</f>
        <v>0</v>
      </c>
      <c r="J825" s="34" t="e">
        <f aca="false">RIGHT(B825,LEN(B825)-FIND("/",B825, FIND("Single Cells",B825, 1)))</f>
        <v>#VALUE!</v>
      </c>
    </row>
    <row r="826" customFormat="false" ht="12.75" hidden="false" customHeight="false" outlineLevel="0" collapsed="false">
      <c r="E826" s="34" t="str">
        <f aca="false">MID(B826,9,1)</f>
        <v/>
      </c>
      <c r="F826" s="34" t="str">
        <f aca="false">MID(B826,10,1)</f>
        <v/>
      </c>
      <c r="G826" s="34" t="str">
        <f aca="false">MID(B826,11,1)</f>
        <v/>
      </c>
      <c r="H826" s="35" t="str">
        <f aca="false">IF(G826=".",F826,CONCATENATE(F826,G826))</f>
        <v/>
      </c>
      <c r="I826" s="34" t="n">
        <f aca="false">IFERROR(VALUE(H826),)</f>
        <v>0</v>
      </c>
      <c r="J826" s="34" t="e">
        <f aca="false">RIGHT(B826,LEN(B826)-FIND("/",B826, FIND("Single Cells",B826, 1)))</f>
        <v>#VALUE!</v>
      </c>
    </row>
    <row r="827" customFormat="false" ht="12.75" hidden="false" customHeight="false" outlineLevel="0" collapsed="false">
      <c r="E827" s="34" t="str">
        <f aca="false">MID(B827,9,1)</f>
        <v/>
      </c>
      <c r="F827" s="34" t="str">
        <f aca="false">MID(B827,10,1)</f>
        <v/>
      </c>
      <c r="G827" s="34" t="str">
        <f aca="false">MID(B827,11,1)</f>
        <v/>
      </c>
      <c r="H827" s="35" t="str">
        <f aca="false">IF(G827=".",F827,CONCATENATE(F827,G827))</f>
        <v/>
      </c>
      <c r="I827" s="34" t="n">
        <f aca="false">IFERROR(VALUE(H827),)</f>
        <v>0</v>
      </c>
      <c r="J827" s="34" t="e">
        <f aca="false">RIGHT(B827,LEN(B827)-FIND("/",B827, FIND("Single Cells",B827, 1)))</f>
        <v>#VALUE!</v>
      </c>
    </row>
    <row r="828" customFormat="false" ht="12.75" hidden="false" customHeight="false" outlineLevel="0" collapsed="false">
      <c r="E828" s="34" t="str">
        <f aca="false">MID(B828,9,1)</f>
        <v/>
      </c>
      <c r="F828" s="34" t="str">
        <f aca="false">MID(B828,10,1)</f>
        <v/>
      </c>
      <c r="G828" s="34" t="str">
        <f aca="false">MID(B828,11,1)</f>
        <v/>
      </c>
      <c r="H828" s="35" t="str">
        <f aca="false">IF(G828=".",F828,CONCATENATE(F828,G828))</f>
        <v/>
      </c>
      <c r="I828" s="34" t="n">
        <f aca="false">IFERROR(VALUE(H828),)</f>
        <v>0</v>
      </c>
      <c r="J828" s="34" t="e">
        <f aca="false">RIGHT(B828,LEN(B828)-FIND("/",B828, FIND("Single Cells",B828, 1)))</f>
        <v>#VALUE!</v>
      </c>
    </row>
    <row r="829" customFormat="false" ht="12.75" hidden="false" customHeight="false" outlineLevel="0" collapsed="false">
      <c r="E829" s="34" t="str">
        <f aca="false">MID(B829,9,1)</f>
        <v/>
      </c>
      <c r="F829" s="34" t="str">
        <f aca="false">MID(B829,10,1)</f>
        <v/>
      </c>
      <c r="G829" s="34" t="str">
        <f aca="false">MID(B829,11,1)</f>
        <v/>
      </c>
      <c r="H829" s="35" t="str">
        <f aca="false">IF(G829=".",F829,CONCATENATE(F829,G829))</f>
        <v/>
      </c>
      <c r="I829" s="34" t="n">
        <f aca="false">IFERROR(VALUE(H829),)</f>
        <v>0</v>
      </c>
      <c r="J829" s="34" t="e">
        <f aca="false">RIGHT(B829,LEN(B829)-FIND("/",B829, FIND("Single Cells",B829, 1)))</f>
        <v>#VALUE!</v>
      </c>
    </row>
    <row r="830" customFormat="false" ht="12.75" hidden="false" customHeight="false" outlineLevel="0" collapsed="false">
      <c r="E830" s="34" t="str">
        <f aca="false">MID(B830,9,1)</f>
        <v/>
      </c>
      <c r="F830" s="34" t="str">
        <f aca="false">MID(B830,10,1)</f>
        <v/>
      </c>
      <c r="G830" s="34" t="str">
        <f aca="false">MID(B830,11,1)</f>
        <v/>
      </c>
      <c r="H830" s="35" t="str">
        <f aca="false">IF(G830=".",F830,CONCATENATE(F830,G830))</f>
        <v/>
      </c>
      <c r="I830" s="34" t="n">
        <f aca="false">IFERROR(VALUE(H830),)</f>
        <v>0</v>
      </c>
      <c r="J830" s="34" t="e">
        <f aca="false">RIGHT(B830,LEN(B830)-FIND("/",B830, FIND("Single Cells",B830, 1)))</f>
        <v>#VALUE!</v>
      </c>
    </row>
    <row r="831" customFormat="false" ht="12.75" hidden="false" customHeight="false" outlineLevel="0" collapsed="false">
      <c r="E831" s="34" t="str">
        <f aca="false">MID(B831,9,1)</f>
        <v/>
      </c>
      <c r="F831" s="34" t="str">
        <f aca="false">MID(B831,10,1)</f>
        <v/>
      </c>
      <c r="G831" s="34" t="str">
        <f aca="false">MID(B831,11,1)</f>
        <v/>
      </c>
      <c r="H831" s="35" t="str">
        <f aca="false">IF(G831=".",F831,CONCATENATE(F831,G831))</f>
        <v/>
      </c>
      <c r="I831" s="34" t="n">
        <f aca="false">IFERROR(VALUE(H831),)</f>
        <v>0</v>
      </c>
      <c r="J831" s="34" t="e">
        <f aca="false">RIGHT(B831,LEN(B831)-FIND("/",B831, FIND("Single Cells",B831, 1)))</f>
        <v>#VALUE!</v>
      </c>
    </row>
    <row r="832" customFormat="false" ht="12.75" hidden="false" customHeight="false" outlineLevel="0" collapsed="false">
      <c r="E832" s="34" t="str">
        <f aca="false">MID(B832,9,1)</f>
        <v/>
      </c>
      <c r="F832" s="34" t="str">
        <f aca="false">MID(B832,10,1)</f>
        <v/>
      </c>
      <c r="G832" s="34" t="str">
        <f aca="false">MID(B832,11,1)</f>
        <v/>
      </c>
      <c r="H832" s="35" t="str">
        <f aca="false">IF(G832=".",F832,CONCATENATE(F832,G832))</f>
        <v/>
      </c>
      <c r="I832" s="34" t="n">
        <f aca="false">IFERROR(VALUE(H832),)</f>
        <v>0</v>
      </c>
      <c r="J832" s="34" t="e">
        <f aca="false">RIGHT(B832,LEN(B832)-FIND("/",B832, FIND("Single Cells",B832, 1)))</f>
        <v>#VALUE!</v>
      </c>
    </row>
    <row r="833" customFormat="false" ht="12.75" hidden="false" customHeight="false" outlineLevel="0" collapsed="false">
      <c r="E833" s="34" t="str">
        <f aca="false">MID(B833,9,1)</f>
        <v/>
      </c>
      <c r="F833" s="34" t="str">
        <f aca="false">MID(B833,10,1)</f>
        <v/>
      </c>
      <c r="G833" s="34" t="str">
        <f aca="false">MID(B833,11,1)</f>
        <v/>
      </c>
      <c r="H833" s="35" t="str">
        <f aca="false">IF(G833=".",F833,CONCATENATE(F833,G833))</f>
        <v/>
      </c>
      <c r="I833" s="34" t="n">
        <f aca="false">IFERROR(VALUE(H833),)</f>
        <v>0</v>
      </c>
      <c r="J833" s="34" t="e">
        <f aca="false">RIGHT(B833,LEN(B833)-FIND("/",B833, FIND("Single Cells",B833, 1)))</f>
        <v>#VALUE!</v>
      </c>
    </row>
    <row r="834" customFormat="false" ht="12.75" hidden="false" customHeight="false" outlineLevel="0" collapsed="false">
      <c r="E834" s="34" t="str">
        <f aca="false">MID(B834,9,1)</f>
        <v/>
      </c>
      <c r="F834" s="34" t="str">
        <f aca="false">MID(B834,10,1)</f>
        <v/>
      </c>
      <c r="G834" s="34" t="str">
        <f aca="false">MID(B834,11,1)</f>
        <v/>
      </c>
      <c r="H834" s="35" t="str">
        <f aca="false">IF(G834=".",F834,CONCATENATE(F834,G834))</f>
        <v/>
      </c>
      <c r="I834" s="34" t="n">
        <f aca="false">IFERROR(VALUE(H834),)</f>
        <v>0</v>
      </c>
      <c r="J834" s="34" t="e">
        <f aca="false">RIGHT(B834,LEN(B834)-FIND("/",B834, FIND("Single Cells",B834, 1)))</f>
        <v>#VALUE!</v>
      </c>
    </row>
    <row r="835" customFormat="false" ht="12.75" hidden="false" customHeight="false" outlineLevel="0" collapsed="false">
      <c r="E835" s="34" t="str">
        <f aca="false">MID(B835,9,1)</f>
        <v/>
      </c>
      <c r="F835" s="34" t="str">
        <f aca="false">MID(B835,10,1)</f>
        <v/>
      </c>
      <c r="G835" s="34" t="str">
        <f aca="false">MID(B835,11,1)</f>
        <v/>
      </c>
      <c r="H835" s="35" t="str">
        <f aca="false">IF(G835=".",F835,CONCATENATE(F835,G835))</f>
        <v/>
      </c>
      <c r="I835" s="34" t="n">
        <f aca="false">IFERROR(VALUE(H835),)</f>
        <v>0</v>
      </c>
      <c r="J835" s="34" t="e">
        <f aca="false">RIGHT(B835,LEN(B835)-FIND("/",B835, FIND("Single Cells",B835, 1)))</f>
        <v>#VALUE!</v>
      </c>
    </row>
    <row r="836" customFormat="false" ht="12.75" hidden="false" customHeight="false" outlineLevel="0" collapsed="false">
      <c r="E836" s="34" t="str">
        <f aca="false">MID(B836,9,1)</f>
        <v/>
      </c>
      <c r="F836" s="34" t="str">
        <f aca="false">MID(B836,10,1)</f>
        <v/>
      </c>
      <c r="G836" s="34" t="str">
        <f aca="false">MID(B836,11,1)</f>
        <v/>
      </c>
      <c r="H836" s="35" t="str">
        <f aca="false">IF(G836=".",F836,CONCATENATE(F836,G836))</f>
        <v/>
      </c>
      <c r="I836" s="34" t="n">
        <f aca="false">IFERROR(VALUE(H836),)</f>
        <v>0</v>
      </c>
      <c r="J836" s="34" t="e">
        <f aca="false">RIGHT(B836,LEN(B836)-FIND("/",B836, FIND("Single Cells",B836, 1)))</f>
        <v>#VALUE!</v>
      </c>
    </row>
    <row r="837" customFormat="false" ht="12.75" hidden="false" customHeight="false" outlineLevel="0" collapsed="false">
      <c r="E837" s="34" t="str">
        <f aca="false">MID(B837,9,1)</f>
        <v/>
      </c>
      <c r="F837" s="34" t="str">
        <f aca="false">MID(B837,10,1)</f>
        <v/>
      </c>
      <c r="G837" s="34" t="str">
        <f aca="false">MID(B837,11,1)</f>
        <v/>
      </c>
      <c r="H837" s="35" t="str">
        <f aca="false">IF(G837=".",F837,CONCATENATE(F837,G837))</f>
        <v/>
      </c>
      <c r="I837" s="34" t="n">
        <f aca="false">IFERROR(VALUE(H837),)</f>
        <v>0</v>
      </c>
      <c r="J837" s="34" t="e">
        <f aca="false">RIGHT(B837,LEN(B837)-FIND("/",B837, FIND("Single Cells",B837, 1)))</f>
        <v>#VALUE!</v>
      </c>
    </row>
    <row r="838" customFormat="false" ht="12.75" hidden="false" customHeight="false" outlineLevel="0" collapsed="false">
      <c r="E838" s="34" t="str">
        <f aca="false">MID(B838,9,1)</f>
        <v/>
      </c>
      <c r="F838" s="34" t="str">
        <f aca="false">MID(B838,10,1)</f>
        <v/>
      </c>
      <c r="G838" s="34" t="str">
        <f aca="false">MID(B838,11,1)</f>
        <v/>
      </c>
      <c r="H838" s="35" t="str">
        <f aca="false">IF(G838=".",F838,CONCATENATE(F838,G838))</f>
        <v/>
      </c>
      <c r="I838" s="34" t="n">
        <f aca="false">IFERROR(VALUE(H838),)</f>
        <v>0</v>
      </c>
      <c r="J838" s="34" t="e">
        <f aca="false">RIGHT(B838,LEN(B838)-FIND("/",B838, FIND("Single Cells",B838, 1)))</f>
        <v>#VALUE!</v>
      </c>
    </row>
    <row r="839" customFormat="false" ht="12.75" hidden="false" customHeight="false" outlineLevel="0" collapsed="false">
      <c r="E839" s="34" t="str">
        <f aca="false">MID(B839,9,1)</f>
        <v/>
      </c>
      <c r="F839" s="34" t="str">
        <f aca="false">MID(B839,10,1)</f>
        <v/>
      </c>
      <c r="G839" s="34" t="str">
        <f aca="false">MID(B839,11,1)</f>
        <v/>
      </c>
      <c r="H839" s="35" t="str">
        <f aca="false">IF(G839=".",F839,CONCATENATE(F839,G839))</f>
        <v/>
      </c>
      <c r="I839" s="34" t="n">
        <f aca="false">IFERROR(VALUE(H839),)</f>
        <v>0</v>
      </c>
      <c r="J839" s="34" t="e">
        <f aca="false">RIGHT(B839,LEN(B839)-FIND("/",B839, FIND("Single Cells",B839, 1)))</f>
        <v>#VALUE!</v>
      </c>
    </row>
    <row r="840" customFormat="false" ht="12.75" hidden="false" customHeight="false" outlineLevel="0" collapsed="false">
      <c r="E840" s="34" t="str">
        <f aca="false">MID(B840,9,1)</f>
        <v/>
      </c>
      <c r="F840" s="34" t="str">
        <f aca="false">MID(B840,10,1)</f>
        <v/>
      </c>
      <c r="G840" s="34" t="str">
        <f aca="false">MID(B840,11,1)</f>
        <v/>
      </c>
      <c r="H840" s="35" t="str">
        <f aca="false">IF(G840=".",F840,CONCATENATE(F840,G840))</f>
        <v/>
      </c>
      <c r="I840" s="34" t="n">
        <f aca="false">IFERROR(VALUE(H840),)</f>
        <v>0</v>
      </c>
      <c r="J840" s="34" t="e">
        <f aca="false">RIGHT(B840,LEN(B840)-FIND("/",B840, FIND("Single Cells",B840, 1)))</f>
        <v>#VALUE!</v>
      </c>
    </row>
    <row r="841" customFormat="false" ht="12.75" hidden="false" customHeight="false" outlineLevel="0" collapsed="false">
      <c r="E841" s="34" t="str">
        <f aca="false">MID(B841,9,1)</f>
        <v/>
      </c>
      <c r="F841" s="34" t="str">
        <f aca="false">MID(B841,10,1)</f>
        <v/>
      </c>
      <c r="G841" s="34" t="str">
        <f aca="false">MID(B841,11,1)</f>
        <v/>
      </c>
      <c r="H841" s="35" t="str">
        <f aca="false">IF(G841=".",F841,CONCATENATE(F841,G841))</f>
        <v/>
      </c>
      <c r="I841" s="34" t="n">
        <f aca="false">IFERROR(VALUE(H841),)</f>
        <v>0</v>
      </c>
      <c r="J841" s="34" t="e">
        <f aca="false">RIGHT(B841,LEN(B841)-FIND("/",B841, FIND("Single Cells",B841, 1)))</f>
        <v>#VALUE!</v>
      </c>
    </row>
    <row r="842" customFormat="false" ht="12.75" hidden="false" customHeight="false" outlineLevel="0" collapsed="false">
      <c r="E842" s="34" t="str">
        <f aca="false">MID(B842,9,1)</f>
        <v/>
      </c>
      <c r="F842" s="34" t="str">
        <f aca="false">MID(B842,10,1)</f>
        <v/>
      </c>
      <c r="G842" s="34" t="str">
        <f aca="false">MID(B842,11,1)</f>
        <v/>
      </c>
      <c r="H842" s="35" t="str">
        <f aca="false">IF(G842=".",F842,CONCATENATE(F842,G842))</f>
        <v/>
      </c>
      <c r="I842" s="34" t="n">
        <f aca="false">IFERROR(VALUE(H842),)</f>
        <v>0</v>
      </c>
      <c r="J842" s="34" t="e">
        <f aca="false">RIGHT(B842,LEN(B842)-FIND("/",B842, FIND("Single Cells",B842, 1)))</f>
        <v>#VALUE!</v>
      </c>
    </row>
    <row r="843" customFormat="false" ht="12.75" hidden="false" customHeight="false" outlineLevel="0" collapsed="false">
      <c r="E843" s="34" t="str">
        <f aca="false">MID(B843,9,1)</f>
        <v/>
      </c>
      <c r="F843" s="34" t="str">
        <f aca="false">MID(B843,10,1)</f>
        <v/>
      </c>
      <c r="G843" s="34" t="str">
        <f aca="false">MID(B843,11,1)</f>
        <v/>
      </c>
      <c r="H843" s="35" t="str">
        <f aca="false">IF(G843=".",F843,CONCATENATE(F843,G843))</f>
        <v/>
      </c>
      <c r="I843" s="34" t="n">
        <f aca="false">IFERROR(VALUE(H843),)</f>
        <v>0</v>
      </c>
      <c r="J843" s="34" t="e">
        <f aca="false">RIGHT(B843,LEN(B843)-FIND("/",B843, FIND("Single Cells",B843, 1)))</f>
        <v>#VALUE!</v>
      </c>
    </row>
    <row r="844" customFormat="false" ht="12.75" hidden="false" customHeight="false" outlineLevel="0" collapsed="false">
      <c r="E844" s="34" t="str">
        <f aca="false">MID(B844,9,1)</f>
        <v/>
      </c>
      <c r="F844" s="34" t="str">
        <f aca="false">MID(B844,10,1)</f>
        <v/>
      </c>
      <c r="G844" s="34" t="str">
        <f aca="false">MID(B844,11,1)</f>
        <v/>
      </c>
      <c r="H844" s="35" t="str">
        <f aca="false">IF(G844=".",F844,CONCATENATE(F844,G844))</f>
        <v/>
      </c>
      <c r="I844" s="34" t="n">
        <f aca="false">IFERROR(VALUE(H844),)</f>
        <v>0</v>
      </c>
      <c r="J844" s="34" t="e">
        <f aca="false">RIGHT(B844,LEN(B844)-FIND("/",B844, FIND("Single Cells",B844, 1)))</f>
        <v>#VALUE!</v>
      </c>
    </row>
    <row r="845" customFormat="false" ht="12.75" hidden="false" customHeight="false" outlineLevel="0" collapsed="false">
      <c r="E845" s="34" t="str">
        <f aca="false">MID(B845,9,1)</f>
        <v/>
      </c>
      <c r="F845" s="34" t="str">
        <f aca="false">MID(B845,10,1)</f>
        <v/>
      </c>
      <c r="G845" s="34" t="str">
        <f aca="false">MID(B845,11,1)</f>
        <v/>
      </c>
      <c r="H845" s="35" t="str">
        <f aca="false">IF(G845=".",F845,CONCATENATE(F845,G845))</f>
        <v/>
      </c>
      <c r="I845" s="34" t="n">
        <f aca="false">IFERROR(VALUE(H845),)</f>
        <v>0</v>
      </c>
      <c r="J845" s="34" t="e">
        <f aca="false">RIGHT(B845,LEN(B845)-FIND("/",B845, FIND("Single Cells",B845, 1)))</f>
        <v>#VALUE!</v>
      </c>
    </row>
    <row r="846" customFormat="false" ht="12.75" hidden="false" customHeight="false" outlineLevel="0" collapsed="false">
      <c r="E846" s="34" t="str">
        <f aca="false">MID(B846,9,1)</f>
        <v/>
      </c>
      <c r="F846" s="34" t="str">
        <f aca="false">MID(B846,10,1)</f>
        <v/>
      </c>
      <c r="G846" s="34" t="str">
        <f aca="false">MID(B846,11,1)</f>
        <v/>
      </c>
      <c r="H846" s="35" t="str">
        <f aca="false">IF(G846=".",F846,CONCATENATE(F846,G846))</f>
        <v/>
      </c>
      <c r="I846" s="34" t="n">
        <f aca="false">IFERROR(VALUE(H846),)</f>
        <v>0</v>
      </c>
      <c r="J846" s="34" t="e">
        <f aca="false">RIGHT(B846,LEN(B846)-FIND("/",B846, FIND("Single Cells",B846, 1)))</f>
        <v>#VALUE!</v>
      </c>
    </row>
    <row r="847" customFormat="false" ht="12.75" hidden="false" customHeight="false" outlineLevel="0" collapsed="false">
      <c r="E847" s="34" t="str">
        <f aca="false">MID(B847,9,1)</f>
        <v/>
      </c>
      <c r="F847" s="34" t="str">
        <f aca="false">MID(B847,10,1)</f>
        <v/>
      </c>
      <c r="G847" s="34" t="str">
        <f aca="false">MID(B847,11,1)</f>
        <v/>
      </c>
      <c r="H847" s="35" t="str">
        <f aca="false">IF(G847=".",F847,CONCATENATE(F847,G847))</f>
        <v/>
      </c>
      <c r="I847" s="34" t="n">
        <f aca="false">IFERROR(VALUE(H847),)</f>
        <v>0</v>
      </c>
      <c r="J847" s="34" t="e">
        <f aca="false">RIGHT(B847,LEN(B847)-FIND("/",B847, FIND("Single Cells",B847, 1)))</f>
        <v>#VALUE!</v>
      </c>
    </row>
    <row r="848" customFormat="false" ht="12.75" hidden="false" customHeight="false" outlineLevel="0" collapsed="false">
      <c r="E848" s="34" t="str">
        <f aca="false">MID(B848,9,1)</f>
        <v/>
      </c>
      <c r="F848" s="34" t="str">
        <f aca="false">MID(B848,10,1)</f>
        <v/>
      </c>
      <c r="G848" s="34" t="str">
        <f aca="false">MID(B848,11,1)</f>
        <v/>
      </c>
      <c r="H848" s="35" t="str">
        <f aca="false">IF(G848=".",F848,CONCATENATE(F848,G848))</f>
        <v/>
      </c>
      <c r="I848" s="34" t="n">
        <f aca="false">IFERROR(VALUE(H848),)</f>
        <v>0</v>
      </c>
      <c r="J848" s="34" t="e">
        <f aca="false">RIGHT(B848,LEN(B848)-FIND("/",B848, FIND("Single Cells",B848, 1)))</f>
        <v>#VALUE!</v>
      </c>
    </row>
    <row r="849" customFormat="false" ht="12.75" hidden="false" customHeight="false" outlineLevel="0" collapsed="false">
      <c r="E849" s="34" t="str">
        <f aca="false">MID(B849,9,1)</f>
        <v/>
      </c>
      <c r="F849" s="34" t="str">
        <f aca="false">MID(B849,10,1)</f>
        <v/>
      </c>
      <c r="G849" s="34" t="str">
        <f aca="false">MID(B849,11,1)</f>
        <v/>
      </c>
      <c r="H849" s="35" t="str">
        <f aca="false">IF(G849=".",F849,CONCATENATE(F849,G849))</f>
        <v/>
      </c>
      <c r="I849" s="34" t="n">
        <f aca="false">IFERROR(VALUE(H849),)</f>
        <v>0</v>
      </c>
      <c r="J849" s="34" t="e">
        <f aca="false">RIGHT(B849,LEN(B849)-FIND("/",B849, FIND("Single Cells",B849, 1)))</f>
        <v>#VALUE!</v>
      </c>
    </row>
    <row r="850" customFormat="false" ht="12.75" hidden="false" customHeight="false" outlineLevel="0" collapsed="false">
      <c r="E850" s="34" t="str">
        <f aca="false">MID(B850,9,1)</f>
        <v/>
      </c>
      <c r="F850" s="34" t="str">
        <f aca="false">MID(B850,10,1)</f>
        <v/>
      </c>
      <c r="G850" s="34" t="str">
        <f aca="false">MID(B850,11,1)</f>
        <v/>
      </c>
      <c r="H850" s="35" t="str">
        <f aca="false">IF(G850=".",F850,CONCATENATE(F850,G850))</f>
        <v/>
      </c>
      <c r="I850" s="34" t="n">
        <f aca="false">IFERROR(VALUE(H850),)</f>
        <v>0</v>
      </c>
      <c r="J850" s="34" t="e">
        <f aca="false">RIGHT(B850,LEN(B850)-FIND("/",B850, FIND("Single Cells",B850, 1)))</f>
        <v>#VALUE!</v>
      </c>
    </row>
    <row r="851" customFormat="false" ht="12.75" hidden="false" customHeight="false" outlineLevel="0" collapsed="false">
      <c r="E851" s="34" t="str">
        <f aca="false">MID(B851,9,1)</f>
        <v/>
      </c>
      <c r="F851" s="34" t="str">
        <f aca="false">MID(B851,10,1)</f>
        <v/>
      </c>
      <c r="G851" s="34" t="str">
        <f aca="false">MID(B851,11,1)</f>
        <v/>
      </c>
      <c r="H851" s="35" t="str">
        <f aca="false">IF(G851=".",F851,CONCATENATE(F851,G851))</f>
        <v/>
      </c>
      <c r="I851" s="34" t="n">
        <f aca="false">IFERROR(VALUE(H851),)</f>
        <v>0</v>
      </c>
      <c r="J851" s="34" t="e">
        <f aca="false">RIGHT(B851,LEN(B851)-FIND("/",B851, FIND("Single Cells",B851, 1)))</f>
        <v>#VALUE!</v>
      </c>
    </row>
    <row r="852" customFormat="false" ht="12.75" hidden="false" customHeight="false" outlineLevel="0" collapsed="false">
      <c r="E852" s="34" t="str">
        <f aca="false">MID(B852,9,1)</f>
        <v/>
      </c>
      <c r="F852" s="34" t="str">
        <f aca="false">MID(B852,10,1)</f>
        <v/>
      </c>
      <c r="G852" s="34" t="str">
        <f aca="false">MID(B852,11,1)</f>
        <v/>
      </c>
      <c r="H852" s="35" t="str">
        <f aca="false">IF(G852=".",F852,CONCATENATE(F852,G852))</f>
        <v/>
      </c>
      <c r="I852" s="34" t="n">
        <f aca="false">IFERROR(VALUE(H852),)</f>
        <v>0</v>
      </c>
      <c r="J852" s="34" t="e">
        <f aca="false">RIGHT(B852,LEN(B852)-FIND("/",B852, FIND("Single Cells",B852, 1)))</f>
        <v>#VALUE!</v>
      </c>
    </row>
    <row r="853" customFormat="false" ht="12.75" hidden="false" customHeight="false" outlineLevel="0" collapsed="false">
      <c r="E853" s="34" t="str">
        <f aca="false">MID(B853,9,1)</f>
        <v/>
      </c>
      <c r="F853" s="34" t="str">
        <f aca="false">MID(B853,10,1)</f>
        <v/>
      </c>
      <c r="G853" s="34" t="str">
        <f aca="false">MID(B853,11,1)</f>
        <v/>
      </c>
      <c r="H853" s="35" t="str">
        <f aca="false">IF(G853=".",F853,CONCATENATE(F853,G853))</f>
        <v/>
      </c>
      <c r="I853" s="34" t="n">
        <f aca="false">IFERROR(VALUE(H853),)</f>
        <v>0</v>
      </c>
      <c r="J853" s="34" t="e">
        <f aca="false">RIGHT(B853,LEN(B853)-FIND("/",B853, FIND("Single Cells",B853, 1)))</f>
        <v>#VALUE!</v>
      </c>
    </row>
    <row r="854" customFormat="false" ht="12.75" hidden="false" customHeight="false" outlineLevel="0" collapsed="false">
      <c r="E854" s="34" t="str">
        <f aca="false">MID(B854,9,1)</f>
        <v/>
      </c>
      <c r="F854" s="34" t="str">
        <f aca="false">MID(B854,10,1)</f>
        <v/>
      </c>
      <c r="G854" s="34" t="str">
        <f aca="false">MID(B854,11,1)</f>
        <v/>
      </c>
      <c r="H854" s="35" t="str">
        <f aca="false">IF(G854=".",F854,CONCATENATE(F854,G854))</f>
        <v/>
      </c>
      <c r="I854" s="34" t="n">
        <f aca="false">IFERROR(VALUE(H854),)</f>
        <v>0</v>
      </c>
      <c r="J854" s="34" t="e">
        <f aca="false">RIGHT(B854,LEN(B854)-FIND("/",B854, FIND("Single Cells",B854, 1)))</f>
        <v>#VALUE!</v>
      </c>
    </row>
    <row r="855" customFormat="false" ht="12.75" hidden="false" customHeight="false" outlineLevel="0" collapsed="false">
      <c r="E855" s="34" t="str">
        <f aca="false">MID(B855,9,1)</f>
        <v/>
      </c>
      <c r="F855" s="34" t="str">
        <f aca="false">MID(B855,10,1)</f>
        <v/>
      </c>
      <c r="G855" s="34" t="str">
        <f aca="false">MID(B855,11,1)</f>
        <v/>
      </c>
      <c r="H855" s="35" t="str">
        <f aca="false">IF(G855=".",F855,CONCATENATE(F855,G855))</f>
        <v/>
      </c>
      <c r="I855" s="34" t="n">
        <f aca="false">IFERROR(VALUE(H855),)</f>
        <v>0</v>
      </c>
      <c r="J855" s="34" t="e">
        <f aca="false">RIGHT(B855,LEN(B855)-FIND("/",B855, FIND("Single Cells",B855, 1)))</f>
        <v>#VALUE!</v>
      </c>
    </row>
    <row r="856" customFormat="false" ht="12.75" hidden="false" customHeight="false" outlineLevel="0" collapsed="false">
      <c r="E856" s="34" t="str">
        <f aca="false">MID(B856,9,1)</f>
        <v/>
      </c>
      <c r="F856" s="34" t="str">
        <f aca="false">MID(B856,10,1)</f>
        <v/>
      </c>
      <c r="G856" s="34" t="str">
        <f aca="false">MID(B856,11,1)</f>
        <v/>
      </c>
      <c r="H856" s="35" t="str">
        <f aca="false">IF(G856=".",F856,CONCATENATE(F856,G856))</f>
        <v/>
      </c>
      <c r="I856" s="34" t="n">
        <f aca="false">IFERROR(VALUE(H856),)</f>
        <v>0</v>
      </c>
      <c r="J856" s="34" t="e">
        <f aca="false">RIGHT(B856,LEN(B856)-FIND("/",B856, FIND("Single Cells",B856, 1)))</f>
        <v>#VALUE!</v>
      </c>
    </row>
    <row r="857" customFormat="false" ht="12.75" hidden="false" customHeight="false" outlineLevel="0" collapsed="false">
      <c r="E857" s="34" t="str">
        <f aca="false">MID(B857,9,1)</f>
        <v/>
      </c>
      <c r="F857" s="34" t="str">
        <f aca="false">MID(B857,10,1)</f>
        <v/>
      </c>
      <c r="G857" s="34" t="str">
        <f aca="false">MID(B857,11,1)</f>
        <v/>
      </c>
      <c r="H857" s="35" t="str">
        <f aca="false">IF(G857=".",F857,CONCATENATE(F857,G857))</f>
        <v/>
      </c>
      <c r="I857" s="34" t="n">
        <f aca="false">IFERROR(VALUE(H857),)</f>
        <v>0</v>
      </c>
      <c r="J857" s="34" t="e">
        <f aca="false">RIGHT(B857,LEN(B857)-FIND("/",B857, FIND("Single Cells",B857, 1)))</f>
        <v>#VALUE!</v>
      </c>
    </row>
    <row r="858" customFormat="false" ht="12.75" hidden="false" customHeight="false" outlineLevel="0" collapsed="false">
      <c r="E858" s="34" t="str">
        <f aca="false">MID(B858,9,1)</f>
        <v/>
      </c>
      <c r="F858" s="34" t="str">
        <f aca="false">MID(B858,10,1)</f>
        <v/>
      </c>
      <c r="G858" s="34" t="str">
        <f aca="false">MID(B858,11,1)</f>
        <v/>
      </c>
      <c r="H858" s="35" t="str">
        <f aca="false">IF(G858=".",F858,CONCATENATE(F858,G858))</f>
        <v/>
      </c>
      <c r="I858" s="34" t="n">
        <f aca="false">IFERROR(VALUE(H858),)</f>
        <v>0</v>
      </c>
      <c r="J858" s="34" t="e">
        <f aca="false">RIGHT(B858,LEN(B858)-FIND("/",B858, FIND("Single Cells",B858, 1)))</f>
        <v>#VALUE!</v>
      </c>
    </row>
    <row r="859" customFormat="false" ht="12.75" hidden="false" customHeight="false" outlineLevel="0" collapsed="false">
      <c r="E859" s="34" t="str">
        <f aca="false">MID(B859,9,1)</f>
        <v/>
      </c>
      <c r="F859" s="34" t="str">
        <f aca="false">MID(B859,10,1)</f>
        <v/>
      </c>
      <c r="G859" s="34" t="str">
        <f aca="false">MID(B859,11,1)</f>
        <v/>
      </c>
      <c r="H859" s="35" t="str">
        <f aca="false">IF(G859=".",F859,CONCATENATE(F859,G859))</f>
        <v/>
      </c>
      <c r="I859" s="34" t="n">
        <f aca="false">IFERROR(VALUE(H859),)</f>
        <v>0</v>
      </c>
      <c r="J859" s="34" t="e">
        <f aca="false">RIGHT(B859,LEN(B859)-FIND("/",B859, FIND("Single Cells",B859, 1)))</f>
        <v>#VALUE!</v>
      </c>
    </row>
    <row r="860" customFormat="false" ht="12.75" hidden="false" customHeight="false" outlineLevel="0" collapsed="false">
      <c r="E860" s="34" t="str">
        <f aca="false">MID(B860,9,1)</f>
        <v/>
      </c>
      <c r="F860" s="34" t="str">
        <f aca="false">MID(B860,10,1)</f>
        <v/>
      </c>
      <c r="G860" s="34" t="str">
        <f aca="false">MID(B860,11,1)</f>
        <v/>
      </c>
      <c r="H860" s="35" t="str">
        <f aca="false">IF(G860=".",F860,CONCATENATE(F860,G860))</f>
        <v/>
      </c>
      <c r="I860" s="34" t="n">
        <f aca="false">IFERROR(VALUE(H860),)</f>
        <v>0</v>
      </c>
      <c r="J860" s="34" t="e">
        <f aca="false">RIGHT(B860,LEN(B860)-FIND("/",B860, FIND("Single Cells",B860, 1)))</f>
        <v>#VALUE!</v>
      </c>
    </row>
    <row r="861" customFormat="false" ht="12.75" hidden="false" customHeight="false" outlineLevel="0" collapsed="false">
      <c r="E861" s="34" t="str">
        <f aca="false">MID(B861,9,1)</f>
        <v/>
      </c>
      <c r="F861" s="34" t="str">
        <f aca="false">MID(B861,10,1)</f>
        <v/>
      </c>
      <c r="G861" s="34" t="str">
        <f aca="false">MID(B861,11,1)</f>
        <v/>
      </c>
      <c r="H861" s="35" t="str">
        <f aca="false">IF(G861=".",F861,CONCATENATE(F861,G861))</f>
        <v/>
      </c>
      <c r="I861" s="34" t="n">
        <f aca="false">IFERROR(VALUE(H861),)</f>
        <v>0</v>
      </c>
      <c r="J861" s="34" t="e">
        <f aca="false">RIGHT(B861,LEN(B861)-FIND("/",B861, FIND("Single Cells",B861, 1)))</f>
        <v>#VALUE!</v>
      </c>
    </row>
    <row r="862" customFormat="false" ht="12.75" hidden="false" customHeight="false" outlineLevel="0" collapsed="false">
      <c r="E862" s="34" t="str">
        <f aca="false">MID(B862,9,1)</f>
        <v/>
      </c>
      <c r="F862" s="34" t="str">
        <f aca="false">MID(B862,10,1)</f>
        <v/>
      </c>
      <c r="G862" s="34" t="str">
        <f aca="false">MID(B862,11,1)</f>
        <v/>
      </c>
      <c r="H862" s="35" t="str">
        <f aca="false">IF(G862=".",F862,CONCATENATE(F862,G862))</f>
        <v/>
      </c>
      <c r="I862" s="34" t="n">
        <f aca="false">IFERROR(VALUE(H862),)</f>
        <v>0</v>
      </c>
      <c r="J862" s="34" t="e">
        <f aca="false">RIGHT(B862,LEN(B862)-FIND("/",B862, FIND("Single Cells",B862, 1)))</f>
        <v>#VALUE!</v>
      </c>
    </row>
    <row r="863" customFormat="false" ht="12.75" hidden="false" customHeight="false" outlineLevel="0" collapsed="false">
      <c r="E863" s="34" t="str">
        <f aca="false">MID(B863,9,1)</f>
        <v/>
      </c>
      <c r="F863" s="34" t="str">
        <f aca="false">MID(B863,10,1)</f>
        <v/>
      </c>
      <c r="G863" s="34" t="str">
        <f aca="false">MID(B863,11,1)</f>
        <v/>
      </c>
      <c r="H863" s="35" t="str">
        <f aca="false">IF(G863=".",F863,CONCATENATE(F863,G863))</f>
        <v/>
      </c>
      <c r="I863" s="34" t="n">
        <f aca="false">IFERROR(VALUE(H863),)</f>
        <v>0</v>
      </c>
      <c r="J863" s="34" t="e">
        <f aca="false">RIGHT(B863,LEN(B863)-FIND("/",B863, FIND("Single Cells",B863, 1)))</f>
        <v>#VALUE!</v>
      </c>
    </row>
    <row r="864" customFormat="false" ht="12.75" hidden="false" customHeight="false" outlineLevel="0" collapsed="false">
      <c r="E864" s="34" t="str">
        <f aca="false">MID(B864,9,1)</f>
        <v/>
      </c>
      <c r="F864" s="34" t="str">
        <f aca="false">MID(B864,10,1)</f>
        <v/>
      </c>
      <c r="G864" s="34" t="str">
        <f aca="false">MID(B864,11,1)</f>
        <v/>
      </c>
      <c r="H864" s="35" t="str">
        <f aca="false">IF(G864=".",F864,CONCATENATE(F864,G864))</f>
        <v/>
      </c>
      <c r="I864" s="34" t="n">
        <f aca="false">IFERROR(VALUE(H864),)</f>
        <v>0</v>
      </c>
      <c r="J864" s="34" t="e">
        <f aca="false">RIGHT(B864,LEN(B864)-FIND("/",B864, FIND("Single Cells",B864, 1)))</f>
        <v>#VALUE!</v>
      </c>
    </row>
    <row r="865" customFormat="false" ht="12.75" hidden="false" customHeight="false" outlineLevel="0" collapsed="false">
      <c r="E865" s="34" t="str">
        <f aca="false">MID(B865,9,1)</f>
        <v/>
      </c>
      <c r="F865" s="34" t="str">
        <f aca="false">MID(B865,10,1)</f>
        <v/>
      </c>
      <c r="G865" s="34" t="str">
        <f aca="false">MID(B865,11,1)</f>
        <v/>
      </c>
      <c r="H865" s="35" t="str">
        <f aca="false">IF(G865=".",F865,CONCATENATE(F865,G865))</f>
        <v/>
      </c>
      <c r="I865" s="34" t="n">
        <f aca="false">IFERROR(VALUE(H865),)</f>
        <v>0</v>
      </c>
      <c r="J865" s="34" t="e">
        <f aca="false">RIGHT(B865,LEN(B865)-FIND("/",B865, FIND("Single Cells",B865, 1)))</f>
        <v>#VALUE!</v>
      </c>
    </row>
    <row r="866" customFormat="false" ht="12.75" hidden="false" customHeight="false" outlineLevel="0" collapsed="false">
      <c r="E866" s="34" t="str">
        <f aca="false">MID(B866,9,1)</f>
        <v/>
      </c>
      <c r="F866" s="34" t="str">
        <f aca="false">MID(B866,10,1)</f>
        <v/>
      </c>
      <c r="G866" s="34" t="str">
        <f aca="false">MID(B866,11,1)</f>
        <v/>
      </c>
      <c r="H866" s="35" t="str">
        <f aca="false">IF(G866=".",F866,CONCATENATE(F866,G866))</f>
        <v/>
      </c>
      <c r="I866" s="34" t="n">
        <f aca="false">IFERROR(VALUE(H866),)</f>
        <v>0</v>
      </c>
      <c r="J866" s="34" t="e">
        <f aca="false">RIGHT(B866,LEN(B866)-FIND("/",B866, FIND("Single Cells",B866, 1)))</f>
        <v>#VALUE!</v>
      </c>
    </row>
    <row r="867" customFormat="false" ht="12.75" hidden="false" customHeight="false" outlineLevel="0" collapsed="false">
      <c r="E867" s="34" t="str">
        <f aca="false">MID(B867,9,1)</f>
        <v/>
      </c>
      <c r="F867" s="34" t="str">
        <f aca="false">MID(B867,10,1)</f>
        <v/>
      </c>
      <c r="G867" s="34" t="str">
        <f aca="false">MID(B867,11,1)</f>
        <v/>
      </c>
      <c r="H867" s="35" t="str">
        <f aca="false">IF(G867=".",F867,CONCATENATE(F867,G867))</f>
        <v/>
      </c>
      <c r="I867" s="34" t="n">
        <f aca="false">IFERROR(VALUE(H867),)</f>
        <v>0</v>
      </c>
      <c r="J867" s="34" t="e">
        <f aca="false">RIGHT(B867,LEN(B867)-FIND("/",B867, FIND("Single Cells",B867, 1)))</f>
        <v>#VALUE!</v>
      </c>
    </row>
    <row r="868" customFormat="false" ht="12.75" hidden="false" customHeight="false" outlineLevel="0" collapsed="false">
      <c r="E868" s="34" t="str">
        <f aca="false">MID(B868,9,1)</f>
        <v/>
      </c>
      <c r="F868" s="34" t="str">
        <f aca="false">MID(B868,10,1)</f>
        <v/>
      </c>
      <c r="G868" s="34" t="str">
        <f aca="false">MID(B868,11,1)</f>
        <v/>
      </c>
      <c r="H868" s="35" t="str">
        <f aca="false">IF(G868=".",F868,CONCATENATE(F868,G868))</f>
        <v/>
      </c>
      <c r="I868" s="34" t="n">
        <f aca="false">IFERROR(VALUE(H868),)</f>
        <v>0</v>
      </c>
      <c r="J868" s="34" t="e">
        <f aca="false">RIGHT(B868,LEN(B868)-FIND("/",B868, FIND("Single Cells",B868, 1)))</f>
        <v>#VALUE!</v>
      </c>
    </row>
    <row r="869" customFormat="false" ht="12.75" hidden="false" customHeight="false" outlineLevel="0" collapsed="false">
      <c r="E869" s="34" t="str">
        <f aca="false">MID(B869,9,1)</f>
        <v/>
      </c>
      <c r="F869" s="34" t="str">
        <f aca="false">MID(B869,10,1)</f>
        <v/>
      </c>
      <c r="G869" s="34" t="str">
        <f aca="false">MID(B869,11,1)</f>
        <v/>
      </c>
      <c r="H869" s="35" t="str">
        <f aca="false">IF(G869=".",F869,CONCATENATE(F869,G869))</f>
        <v/>
      </c>
      <c r="I869" s="34" t="n">
        <f aca="false">IFERROR(VALUE(H869),)</f>
        <v>0</v>
      </c>
      <c r="J869" s="34" t="e">
        <f aca="false">RIGHT(B869,LEN(B869)-FIND("/",B869, FIND("Single Cells",B869, 1)))</f>
        <v>#VALUE!</v>
      </c>
    </row>
    <row r="870" customFormat="false" ht="12.75" hidden="false" customHeight="false" outlineLevel="0" collapsed="false">
      <c r="E870" s="34" t="str">
        <f aca="false">MID(B870,9,1)</f>
        <v/>
      </c>
      <c r="F870" s="34" t="str">
        <f aca="false">MID(B870,10,1)</f>
        <v/>
      </c>
      <c r="G870" s="34" t="str">
        <f aca="false">MID(B870,11,1)</f>
        <v/>
      </c>
      <c r="H870" s="35" t="str">
        <f aca="false">IF(G870=".",F870,CONCATENATE(F870,G870))</f>
        <v/>
      </c>
      <c r="I870" s="34" t="n">
        <f aca="false">IFERROR(VALUE(H870),)</f>
        <v>0</v>
      </c>
      <c r="J870" s="34" t="e">
        <f aca="false">RIGHT(B870,LEN(B870)-FIND("/",B870, FIND("Single Cells",B870, 1)))</f>
        <v>#VALUE!</v>
      </c>
    </row>
    <row r="871" customFormat="false" ht="12.75" hidden="false" customHeight="false" outlineLevel="0" collapsed="false">
      <c r="E871" s="34" t="str">
        <f aca="false">MID(B871,9,1)</f>
        <v/>
      </c>
      <c r="F871" s="34" t="str">
        <f aca="false">MID(B871,10,1)</f>
        <v/>
      </c>
      <c r="G871" s="34" t="str">
        <f aca="false">MID(B871,11,1)</f>
        <v/>
      </c>
      <c r="H871" s="35" t="str">
        <f aca="false">IF(G871=".",F871,CONCATENATE(F871,G871))</f>
        <v/>
      </c>
      <c r="I871" s="34" t="n">
        <f aca="false">IFERROR(VALUE(H871),)</f>
        <v>0</v>
      </c>
      <c r="J871" s="34" t="e">
        <f aca="false">RIGHT(B871,LEN(B871)-FIND("/",B871, FIND("Single Cells",B871, 1)))</f>
        <v>#VALUE!</v>
      </c>
    </row>
    <row r="872" customFormat="false" ht="12.75" hidden="false" customHeight="false" outlineLevel="0" collapsed="false">
      <c r="E872" s="34" t="str">
        <f aca="false">MID(B872,9,1)</f>
        <v/>
      </c>
      <c r="F872" s="34" t="str">
        <f aca="false">MID(B872,10,1)</f>
        <v/>
      </c>
      <c r="G872" s="34" t="str">
        <f aca="false">MID(B872,11,1)</f>
        <v/>
      </c>
      <c r="H872" s="35" t="str">
        <f aca="false">IF(G872=".",F872,CONCATENATE(F872,G872))</f>
        <v/>
      </c>
      <c r="I872" s="34" t="n">
        <f aca="false">IFERROR(VALUE(H872),)</f>
        <v>0</v>
      </c>
      <c r="J872" s="34" t="e">
        <f aca="false">RIGHT(B872,LEN(B872)-FIND("/",B872, FIND("Single Cells",B872, 1)))</f>
        <v>#VALUE!</v>
      </c>
    </row>
    <row r="873" customFormat="false" ht="12.75" hidden="false" customHeight="false" outlineLevel="0" collapsed="false">
      <c r="E873" s="34" t="str">
        <f aca="false">MID(B873,9,1)</f>
        <v/>
      </c>
      <c r="F873" s="34" t="str">
        <f aca="false">MID(B873,10,1)</f>
        <v/>
      </c>
      <c r="G873" s="34" t="str">
        <f aca="false">MID(B873,11,1)</f>
        <v/>
      </c>
      <c r="H873" s="35" t="str">
        <f aca="false">IF(G873=".",F873,CONCATENATE(F873,G873))</f>
        <v/>
      </c>
      <c r="I873" s="34" t="n">
        <f aca="false">IFERROR(VALUE(H873),)</f>
        <v>0</v>
      </c>
      <c r="J873" s="34" t="e">
        <f aca="false">RIGHT(B873,LEN(B873)-FIND("/",B873, FIND("Single Cells",B873, 1)))</f>
        <v>#VALUE!</v>
      </c>
    </row>
    <row r="874" customFormat="false" ht="12.75" hidden="false" customHeight="false" outlineLevel="0" collapsed="false">
      <c r="E874" s="34" t="str">
        <f aca="false">MID(B874,9,1)</f>
        <v/>
      </c>
      <c r="F874" s="34" t="str">
        <f aca="false">MID(B874,10,1)</f>
        <v/>
      </c>
      <c r="G874" s="34" t="str">
        <f aca="false">MID(B874,11,1)</f>
        <v/>
      </c>
      <c r="H874" s="35" t="str">
        <f aca="false">IF(G874=".",F874,CONCATENATE(F874,G874))</f>
        <v/>
      </c>
      <c r="I874" s="34" t="n">
        <f aca="false">IFERROR(VALUE(H874),)</f>
        <v>0</v>
      </c>
      <c r="J874" s="34" t="e">
        <f aca="false">RIGHT(B874,LEN(B874)-FIND("/",B874, FIND("Single Cells",B874, 1)))</f>
        <v>#VALUE!</v>
      </c>
    </row>
    <row r="875" customFormat="false" ht="12.75" hidden="false" customHeight="false" outlineLevel="0" collapsed="false">
      <c r="E875" s="34" t="str">
        <f aca="false">MID(B875,9,1)</f>
        <v/>
      </c>
      <c r="F875" s="34" t="str">
        <f aca="false">MID(B875,10,1)</f>
        <v/>
      </c>
      <c r="G875" s="34" t="str">
        <f aca="false">MID(B875,11,1)</f>
        <v/>
      </c>
      <c r="H875" s="35" t="str">
        <f aca="false">IF(G875=".",F875,CONCATENATE(F875,G875))</f>
        <v/>
      </c>
      <c r="I875" s="34" t="n">
        <f aca="false">IFERROR(VALUE(H875),)</f>
        <v>0</v>
      </c>
      <c r="J875" s="34" t="e">
        <f aca="false">RIGHT(B875,LEN(B875)-FIND("/",B875, FIND("Single Cells",B875, 1)))</f>
        <v>#VALUE!</v>
      </c>
    </row>
    <row r="876" customFormat="false" ht="12.75" hidden="false" customHeight="false" outlineLevel="0" collapsed="false">
      <c r="E876" s="34" t="str">
        <f aca="false">MID(B876,9,1)</f>
        <v/>
      </c>
      <c r="F876" s="34" t="str">
        <f aca="false">MID(B876,10,1)</f>
        <v/>
      </c>
      <c r="G876" s="34" t="str">
        <f aca="false">MID(B876,11,1)</f>
        <v/>
      </c>
      <c r="H876" s="35" t="str">
        <f aca="false">IF(G876=".",F876,CONCATENATE(F876,G876))</f>
        <v/>
      </c>
      <c r="I876" s="34" t="n">
        <f aca="false">IFERROR(VALUE(H876),)</f>
        <v>0</v>
      </c>
      <c r="J876" s="34" t="e">
        <f aca="false">RIGHT(B876,LEN(B876)-FIND("/",B876, FIND("Single Cells",B876, 1)))</f>
        <v>#VALUE!</v>
      </c>
    </row>
    <row r="877" customFormat="false" ht="12.75" hidden="false" customHeight="false" outlineLevel="0" collapsed="false">
      <c r="E877" s="34" t="str">
        <f aca="false">MID(B877,9,1)</f>
        <v/>
      </c>
      <c r="F877" s="34" t="str">
        <f aca="false">MID(B877,10,1)</f>
        <v/>
      </c>
      <c r="G877" s="34" t="str">
        <f aca="false">MID(B877,11,1)</f>
        <v/>
      </c>
      <c r="H877" s="35" t="str">
        <f aca="false">IF(G877=".",F877,CONCATENATE(F877,G877))</f>
        <v/>
      </c>
      <c r="I877" s="34" t="n">
        <f aca="false">IFERROR(VALUE(H877),)</f>
        <v>0</v>
      </c>
      <c r="J877" s="34" t="e">
        <f aca="false">RIGHT(B877,LEN(B877)-FIND("/",B877, FIND("Single Cells",B877, 1)))</f>
        <v>#VALUE!</v>
      </c>
    </row>
    <row r="878" customFormat="false" ht="12.75" hidden="false" customHeight="false" outlineLevel="0" collapsed="false">
      <c r="E878" s="34" t="str">
        <f aca="false">MID(B878,9,1)</f>
        <v/>
      </c>
      <c r="F878" s="34" t="str">
        <f aca="false">MID(B878,10,1)</f>
        <v/>
      </c>
      <c r="G878" s="34" t="str">
        <f aca="false">MID(B878,11,1)</f>
        <v/>
      </c>
      <c r="H878" s="35" t="str">
        <f aca="false">IF(G878=".",F878,CONCATENATE(F878,G878))</f>
        <v/>
      </c>
      <c r="I878" s="34" t="n">
        <f aca="false">IFERROR(VALUE(H878),)</f>
        <v>0</v>
      </c>
      <c r="J878" s="34" t="e">
        <f aca="false">RIGHT(B878,LEN(B878)-FIND("/",B878, FIND("Single Cells",B878, 1)))</f>
        <v>#VALUE!</v>
      </c>
    </row>
    <row r="879" customFormat="false" ht="12.75" hidden="false" customHeight="false" outlineLevel="0" collapsed="false">
      <c r="E879" s="34" t="str">
        <f aca="false">MID(B879,9,1)</f>
        <v/>
      </c>
      <c r="F879" s="34" t="str">
        <f aca="false">MID(B879,10,1)</f>
        <v/>
      </c>
      <c r="G879" s="34" t="str">
        <f aca="false">MID(B879,11,1)</f>
        <v/>
      </c>
      <c r="H879" s="35" t="str">
        <f aca="false">IF(G879=".",F879,CONCATENATE(F879,G879))</f>
        <v/>
      </c>
      <c r="I879" s="34" t="n">
        <f aca="false">IFERROR(VALUE(H879),)</f>
        <v>0</v>
      </c>
      <c r="J879" s="34" t="e">
        <f aca="false">RIGHT(B879,LEN(B879)-FIND("/",B879, FIND("Single Cells",B879, 1)))</f>
        <v>#VALUE!</v>
      </c>
    </row>
    <row r="880" customFormat="false" ht="12.75" hidden="false" customHeight="false" outlineLevel="0" collapsed="false">
      <c r="E880" s="34" t="str">
        <f aca="false">MID(B880,9,1)</f>
        <v/>
      </c>
      <c r="F880" s="34" t="str">
        <f aca="false">MID(B880,10,1)</f>
        <v/>
      </c>
      <c r="G880" s="34" t="str">
        <f aca="false">MID(B880,11,1)</f>
        <v/>
      </c>
      <c r="H880" s="35" t="str">
        <f aca="false">IF(G880=".",F880,CONCATENATE(F880,G880))</f>
        <v/>
      </c>
      <c r="I880" s="34" t="n">
        <f aca="false">IFERROR(VALUE(H880),)</f>
        <v>0</v>
      </c>
      <c r="J880" s="34" t="e">
        <f aca="false">RIGHT(B880,LEN(B880)-FIND("/",B880, FIND("Single Cells",B880, 1)))</f>
        <v>#VALUE!</v>
      </c>
    </row>
    <row r="881" customFormat="false" ht="12.75" hidden="false" customHeight="false" outlineLevel="0" collapsed="false">
      <c r="E881" s="34" t="str">
        <f aca="false">MID(B881,9,1)</f>
        <v/>
      </c>
      <c r="F881" s="34" t="str">
        <f aca="false">MID(B881,10,1)</f>
        <v/>
      </c>
      <c r="G881" s="34" t="str">
        <f aca="false">MID(B881,11,1)</f>
        <v/>
      </c>
      <c r="H881" s="35" t="str">
        <f aca="false">IF(G881=".",F881,CONCATENATE(F881,G881))</f>
        <v/>
      </c>
      <c r="I881" s="34" t="n">
        <f aca="false">IFERROR(VALUE(H881),)</f>
        <v>0</v>
      </c>
      <c r="J881" s="34" t="e">
        <f aca="false">RIGHT(B881,LEN(B881)-FIND("/",B881, FIND("Single Cells",B881, 1)))</f>
        <v>#VALUE!</v>
      </c>
    </row>
    <row r="882" customFormat="false" ht="12.75" hidden="false" customHeight="false" outlineLevel="0" collapsed="false">
      <c r="E882" s="34" t="str">
        <f aca="false">MID(B882,9,1)</f>
        <v/>
      </c>
      <c r="F882" s="34" t="str">
        <f aca="false">MID(B882,10,1)</f>
        <v/>
      </c>
      <c r="G882" s="34" t="str">
        <f aca="false">MID(B882,11,1)</f>
        <v/>
      </c>
      <c r="H882" s="35" t="str">
        <f aca="false">IF(G882=".",F882,CONCATENATE(F882,G882))</f>
        <v/>
      </c>
      <c r="I882" s="34" t="n">
        <f aca="false">IFERROR(VALUE(H882),)</f>
        <v>0</v>
      </c>
      <c r="J882" s="34" t="e">
        <f aca="false">RIGHT(B882,LEN(B882)-FIND("/",B882, FIND("Single Cells",B882, 1)))</f>
        <v>#VALUE!</v>
      </c>
    </row>
    <row r="883" customFormat="false" ht="12.75" hidden="false" customHeight="false" outlineLevel="0" collapsed="false">
      <c r="E883" s="34" t="str">
        <f aca="false">MID(B883,9,1)</f>
        <v/>
      </c>
      <c r="F883" s="34" t="str">
        <f aca="false">MID(B883,10,1)</f>
        <v/>
      </c>
      <c r="G883" s="34" t="str">
        <f aca="false">MID(B883,11,1)</f>
        <v/>
      </c>
      <c r="H883" s="35" t="str">
        <f aca="false">IF(G883=".",F883,CONCATENATE(F883,G883))</f>
        <v/>
      </c>
      <c r="I883" s="34" t="n">
        <f aca="false">IFERROR(VALUE(H883),)</f>
        <v>0</v>
      </c>
      <c r="J883" s="34" t="e">
        <f aca="false">RIGHT(B883,LEN(B883)-FIND("/",B883, FIND("Single Cells",B883, 1)))</f>
        <v>#VALUE!</v>
      </c>
    </row>
    <row r="884" customFormat="false" ht="12.75" hidden="false" customHeight="false" outlineLevel="0" collapsed="false">
      <c r="E884" s="34" t="str">
        <f aca="false">MID(B884,9,1)</f>
        <v/>
      </c>
      <c r="F884" s="34" t="str">
        <f aca="false">MID(B884,10,1)</f>
        <v/>
      </c>
      <c r="G884" s="34" t="str">
        <f aca="false">MID(B884,11,1)</f>
        <v/>
      </c>
      <c r="H884" s="35" t="str">
        <f aca="false">IF(G884=".",F884,CONCATENATE(F884,G884))</f>
        <v/>
      </c>
      <c r="I884" s="34" t="n">
        <f aca="false">IFERROR(VALUE(H884),)</f>
        <v>0</v>
      </c>
      <c r="J884" s="34" t="e">
        <f aca="false">RIGHT(B884,LEN(B884)-FIND("/",B884, FIND("Single Cells",B884, 1)))</f>
        <v>#VALUE!</v>
      </c>
    </row>
    <row r="885" customFormat="false" ht="12.75" hidden="false" customHeight="false" outlineLevel="0" collapsed="false">
      <c r="E885" s="34" t="str">
        <f aca="false">MID(B885,9,1)</f>
        <v/>
      </c>
      <c r="F885" s="34" t="str">
        <f aca="false">MID(B885,10,1)</f>
        <v/>
      </c>
      <c r="G885" s="34" t="str">
        <f aca="false">MID(B885,11,1)</f>
        <v/>
      </c>
      <c r="H885" s="35" t="str">
        <f aca="false">IF(G885=".",F885,CONCATENATE(F885,G885))</f>
        <v/>
      </c>
      <c r="I885" s="34" t="n">
        <f aca="false">IFERROR(VALUE(H885),)</f>
        <v>0</v>
      </c>
      <c r="J885" s="34" t="e">
        <f aca="false">RIGHT(B885,LEN(B885)-FIND("/",B885, FIND("Single Cells",B885, 1)))</f>
        <v>#VALUE!</v>
      </c>
    </row>
    <row r="886" customFormat="false" ht="12.75" hidden="false" customHeight="false" outlineLevel="0" collapsed="false">
      <c r="E886" s="34" t="str">
        <f aca="false">MID(B886,9,1)</f>
        <v/>
      </c>
      <c r="F886" s="34" t="str">
        <f aca="false">MID(B886,10,1)</f>
        <v/>
      </c>
      <c r="G886" s="34" t="str">
        <f aca="false">MID(B886,11,1)</f>
        <v/>
      </c>
      <c r="H886" s="35" t="str">
        <f aca="false">IF(G886=".",F886,CONCATENATE(F886,G886))</f>
        <v/>
      </c>
      <c r="I886" s="34" t="n">
        <f aca="false">IFERROR(VALUE(H886),)</f>
        <v>0</v>
      </c>
      <c r="J886" s="34" t="e">
        <f aca="false">RIGHT(B886,LEN(B886)-FIND("/",B886, FIND("Single Cells",B886, 1)))</f>
        <v>#VALUE!</v>
      </c>
    </row>
    <row r="887" customFormat="false" ht="12.75" hidden="false" customHeight="false" outlineLevel="0" collapsed="false">
      <c r="E887" s="34" t="str">
        <f aca="false">MID(B887,9,1)</f>
        <v/>
      </c>
      <c r="F887" s="34" t="str">
        <f aca="false">MID(B887,10,1)</f>
        <v/>
      </c>
      <c r="G887" s="34" t="str">
        <f aca="false">MID(B887,11,1)</f>
        <v/>
      </c>
      <c r="H887" s="35" t="str">
        <f aca="false">IF(G887=".",F887,CONCATENATE(F887,G887))</f>
        <v/>
      </c>
      <c r="I887" s="34" t="n">
        <f aca="false">IFERROR(VALUE(H887),)</f>
        <v>0</v>
      </c>
      <c r="J887" s="34" t="e">
        <f aca="false">RIGHT(B887,LEN(B887)-FIND("/",B887, FIND("Single Cells",B887, 1)))</f>
        <v>#VALUE!</v>
      </c>
    </row>
    <row r="888" customFormat="false" ht="12.75" hidden="false" customHeight="false" outlineLevel="0" collapsed="false">
      <c r="E888" s="34" t="str">
        <f aca="false">MID(B888,9,1)</f>
        <v/>
      </c>
      <c r="F888" s="34" t="str">
        <f aca="false">MID(B888,10,1)</f>
        <v/>
      </c>
      <c r="G888" s="34" t="str">
        <f aca="false">MID(B888,11,1)</f>
        <v/>
      </c>
      <c r="H888" s="35" t="str">
        <f aca="false">IF(G888=".",F888,CONCATENATE(F888,G888))</f>
        <v/>
      </c>
      <c r="I888" s="34" t="n">
        <f aca="false">IFERROR(VALUE(H888),)</f>
        <v>0</v>
      </c>
      <c r="J888" s="34" t="e">
        <f aca="false">RIGHT(B888,LEN(B888)-FIND("/",B888, FIND("Single Cells",B888, 1)))</f>
        <v>#VALUE!</v>
      </c>
    </row>
    <row r="889" customFormat="false" ht="12.75" hidden="false" customHeight="false" outlineLevel="0" collapsed="false">
      <c r="E889" s="34" t="str">
        <f aca="false">MID(B889,9,1)</f>
        <v/>
      </c>
      <c r="F889" s="34" t="str">
        <f aca="false">MID(B889,10,1)</f>
        <v/>
      </c>
      <c r="G889" s="34" t="str">
        <f aca="false">MID(B889,11,1)</f>
        <v/>
      </c>
      <c r="H889" s="35" t="str">
        <f aca="false">IF(G889=".",F889,CONCATENATE(F889,G889))</f>
        <v/>
      </c>
      <c r="I889" s="34" t="n">
        <f aca="false">IFERROR(VALUE(H889),)</f>
        <v>0</v>
      </c>
      <c r="J889" s="34" t="e">
        <f aca="false">RIGHT(B889,LEN(B889)-FIND("/",B889, FIND("Single Cells",B889, 1)))</f>
        <v>#VALUE!</v>
      </c>
    </row>
    <row r="890" customFormat="false" ht="12.75" hidden="false" customHeight="false" outlineLevel="0" collapsed="false">
      <c r="E890" s="34" t="str">
        <f aca="false">MID(B890,9,1)</f>
        <v/>
      </c>
      <c r="F890" s="34" t="str">
        <f aca="false">MID(B890,10,1)</f>
        <v/>
      </c>
      <c r="G890" s="34" t="str">
        <f aca="false">MID(B890,11,1)</f>
        <v/>
      </c>
      <c r="H890" s="35" t="str">
        <f aca="false">IF(G890=".",F890,CONCATENATE(F890,G890))</f>
        <v/>
      </c>
      <c r="I890" s="34" t="n">
        <f aca="false">IFERROR(VALUE(H890),)</f>
        <v>0</v>
      </c>
      <c r="J890" s="34" t="e">
        <f aca="false">RIGHT(B890,LEN(B890)-FIND("/",B890, FIND("Single Cells",B890, 1)))</f>
        <v>#VALUE!</v>
      </c>
    </row>
    <row r="891" customFormat="false" ht="12.75" hidden="false" customHeight="false" outlineLevel="0" collapsed="false">
      <c r="E891" s="34" t="str">
        <f aca="false">MID(B891,9,1)</f>
        <v/>
      </c>
      <c r="F891" s="34" t="str">
        <f aca="false">MID(B891,10,1)</f>
        <v/>
      </c>
      <c r="G891" s="34" t="str">
        <f aca="false">MID(B891,11,1)</f>
        <v/>
      </c>
      <c r="H891" s="35" t="str">
        <f aca="false">IF(G891=".",F891,CONCATENATE(F891,G891))</f>
        <v/>
      </c>
      <c r="I891" s="34" t="n">
        <f aca="false">IFERROR(VALUE(H891),)</f>
        <v>0</v>
      </c>
      <c r="J891" s="34" t="e">
        <f aca="false">RIGHT(B891,LEN(B891)-FIND("/",B891, FIND("Single Cells",B891, 1)))</f>
        <v>#VALUE!</v>
      </c>
    </row>
    <row r="892" customFormat="false" ht="12.75" hidden="false" customHeight="false" outlineLevel="0" collapsed="false">
      <c r="E892" s="34" t="str">
        <f aca="false">MID(B892,9,1)</f>
        <v/>
      </c>
      <c r="F892" s="34" t="str">
        <f aca="false">MID(B892,10,1)</f>
        <v/>
      </c>
      <c r="G892" s="34" t="str">
        <f aca="false">MID(B892,11,1)</f>
        <v/>
      </c>
      <c r="H892" s="35" t="str">
        <f aca="false">IF(G892=".",F892,CONCATENATE(F892,G892))</f>
        <v/>
      </c>
      <c r="I892" s="34" t="n">
        <f aca="false">IFERROR(VALUE(H892),)</f>
        <v>0</v>
      </c>
      <c r="J892" s="34" t="e">
        <f aca="false">RIGHT(B892,LEN(B892)-FIND("/",B892, FIND("Single Cells",B892, 1)))</f>
        <v>#VALUE!</v>
      </c>
    </row>
    <row r="893" customFormat="false" ht="12.75" hidden="false" customHeight="false" outlineLevel="0" collapsed="false">
      <c r="E893" s="34" t="str">
        <f aca="false">MID(B893,9,1)</f>
        <v/>
      </c>
      <c r="F893" s="34" t="str">
        <f aca="false">MID(B893,10,1)</f>
        <v/>
      </c>
      <c r="G893" s="34" t="str">
        <f aca="false">MID(B893,11,1)</f>
        <v/>
      </c>
      <c r="H893" s="35" t="str">
        <f aca="false">IF(G893=".",F893,CONCATENATE(F893,G893))</f>
        <v/>
      </c>
      <c r="I893" s="34" t="n">
        <f aca="false">IFERROR(VALUE(H893),)</f>
        <v>0</v>
      </c>
      <c r="J893" s="34" t="e">
        <f aca="false">RIGHT(B893,LEN(B893)-FIND("/",B893, FIND("Single Cells",B893, 1)))</f>
        <v>#VALUE!</v>
      </c>
    </row>
    <row r="894" customFormat="false" ht="12.75" hidden="false" customHeight="false" outlineLevel="0" collapsed="false">
      <c r="E894" s="34" t="str">
        <f aca="false">MID(B894,9,1)</f>
        <v/>
      </c>
      <c r="F894" s="34" t="str">
        <f aca="false">MID(B894,10,1)</f>
        <v/>
      </c>
      <c r="G894" s="34" t="str">
        <f aca="false">MID(B894,11,1)</f>
        <v/>
      </c>
      <c r="H894" s="35" t="str">
        <f aca="false">IF(G894=".",F894,CONCATENATE(F894,G894))</f>
        <v/>
      </c>
      <c r="I894" s="34" t="n">
        <f aca="false">IFERROR(VALUE(H894),)</f>
        <v>0</v>
      </c>
      <c r="J894" s="34" t="e">
        <f aca="false">RIGHT(B894,LEN(B894)-FIND("/",B894, FIND("Single Cells",B894, 1)))</f>
        <v>#VALUE!</v>
      </c>
    </row>
    <row r="895" customFormat="false" ht="12.75" hidden="false" customHeight="false" outlineLevel="0" collapsed="false">
      <c r="E895" s="34" t="str">
        <f aca="false">MID(B895,9,1)</f>
        <v/>
      </c>
      <c r="F895" s="34" t="str">
        <f aca="false">MID(B895,10,1)</f>
        <v/>
      </c>
      <c r="G895" s="34" t="str">
        <f aca="false">MID(B895,11,1)</f>
        <v/>
      </c>
      <c r="H895" s="35" t="str">
        <f aca="false">IF(G895=".",F895,CONCATENATE(F895,G895))</f>
        <v/>
      </c>
      <c r="I895" s="34" t="n">
        <f aca="false">IFERROR(VALUE(H895),)</f>
        <v>0</v>
      </c>
      <c r="J895" s="34" t="e">
        <f aca="false">RIGHT(B895,LEN(B895)-FIND("/",B895, FIND("Single Cells",B895, 1)))</f>
        <v>#VALUE!</v>
      </c>
    </row>
    <row r="896" customFormat="false" ht="12.75" hidden="false" customHeight="false" outlineLevel="0" collapsed="false">
      <c r="E896" s="34" t="str">
        <f aca="false">MID(B896,9,1)</f>
        <v/>
      </c>
      <c r="F896" s="34" t="str">
        <f aca="false">MID(B896,10,1)</f>
        <v/>
      </c>
      <c r="G896" s="34" t="str">
        <f aca="false">MID(B896,11,1)</f>
        <v/>
      </c>
      <c r="H896" s="35" t="str">
        <f aca="false">IF(G896=".",F896,CONCATENATE(F896,G896))</f>
        <v/>
      </c>
      <c r="I896" s="34" t="n">
        <f aca="false">IFERROR(VALUE(H896),)</f>
        <v>0</v>
      </c>
      <c r="J896" s="34" t="e">
        <f aca="false">RIGHT(B896,LEN(B896)-FIND("/",B896, FIND("Single Cells",B896, 1)))</f>
        <v>#VALUE!</v>
      </c>
    </row>
    <row r="897" customFormat="false" ht="12.75" hidden="false" customHeight="false" outlineLevel="0" collapsed="false">
      <c r="E897" s="34" t="str">
        <f aca="false">MID(B897,9,1)</f>
        <v/>
      </c>
      <c r="F897" s="34" t="str">
        <f aca="false">MID(B897,10,1)</f>
        <v/>
      </c>
      <c r="G897" s="34" t="str">
        <f aca="false">MID(B897,11,1)</f>
        <v/>
      </c>
      <c r="H897" s="35" t="str">
        <f aca="false">IF(G897=".",F897,CONCATENATE(F897,G897))</f>
        <v/>
      </c>
      <c r="I897" s="34" t="n">
        <f aca="false">IFERROR(VALUE(H897),)</f>
        <v>0</v>
      </c>
      <c r="J897" s="34" t="e">
        <f aca="false">RIGHT(B897,LEN(B897)-FIND("/",B897, FIND("Single Cells",B897, 1)))</f>
        <v>#VALUE!</v>
      </c>
    </row>
    <row r="898" customFormat="false" ht="12.75" hidden="false" customHeight="false" outlineLevel="0" collapsed="false">
      <c r="E898" s="34" t="str">
        <f aca="false">MID(B898,9,1)</f>
        <v/>
      </c>
      <c r="F898" s="34" t="str">
        <f aca="false">MID(B898,10,1)</f>
        <v/>
      </c>
      <c r="G898" s="34" t="str">
        <f aca="false">MID(B898,11,1)</f>
        <v/>
      </c>
      <c r="H898" s="35" t="str">
        <f aca="false">IF(G898=".",F898,CONCATENATE(F898,G898))</f>
        <v/>
      </c>
      <c r="I898" s="34" t="n">
        <f aca="false">IFERROR(VALUE(H898),)</f>
        <v>0</v>
      </c>
      <c r="J898" s="34" t="e">
        <f aca="false">RIGHT(B898,LEN(B898)-FIND("/",B898, FIND("Single Cells",B898, 1)))</f>
        <v>#VALUE!</v>
      </c>
    </row>
    <row r="899" customFormat="false" ht="12.75" hidden="false" customHeight="false" outlineLevel="0" collapsed="false">
      <c r="E899" s="34" t="str">
        <f aca="false">MID(B899,9,1)</f>
        <v/>
      </c>
      <c r="F899" s="34" t="str">
        <f aca="false">MID(B899,10,1)</f>
        <v/>
      </c>
      <c r="G899" s="34" t="str">
        <f aca="false">MID(B899,11,1)</f>
        <v/>
      </c>
      <c r="H899" s="35" t="str">
        <f aca="false">IF(G899=".",F899,CONCATENATE(F899,G899))</f>
        <v/>
      </c>
      <c r="I899" s="34" t="n">
        <f aca="false">IFERROR(VALUE(H899),)</f>
        <v>0</v>
      </c>
      <c r="J899" s="34" t="e">
        <f aca="false">RIGHT(B899,LEN(B899)-FIND("/",B899, FIND("Single Cells",B899, 1)))</f>
        <v>#VALUE!</v>
      </c>
    </row>
    <row r="900" customFormat="false" ht="12.75" hidden="false" customHeight="false" outlineLevel="0" collapsed="false">
      <c r="E900" s="34" t="str">
        <f aca="false">MID(B900,9,1)</f>
        <v/>
      </c>
      <c r="F900" s="34" t="str">
        <f aca="false">MID(B900,10,1)</f>
        <v/>
      </c>
      <c r="G900" s="34" t="str">
        <f aca="false">MID(B900,11,1)</f>
        <v/>
      </c>
      <c r="H900" s="35" t="str">
        <f aca="false">IF(G900=".",F900,CONCATENATE(F900,G900))</f>
        <v/>
      </c>
      <c r="I900" s="34" t="n">
        <f aca="false">IFERROR(VALUE(H900),)</f>
        <v>0</v>
      </c>
      <c r="J900" s="34" t="e">
        <f aca="false">RIGHT(B900,LEN(B900)-FIND("/",B900, FIND("Single Cells",B900, 1)))</f>
        <v>#VALUE!</v>
      </c>
    </row>
    <row r="901" customFormat="false" ht="12.75" hidden="false" customHeight="false" outlineLevel="0" collapsed="false">
      <c r="E901" s="34" t="str">
        <f aca="false">MID(B901,9,1)</f>
        <v/>
      </c>
      <c r="F901" s="34" t="str">
        <f aca="false">MID(B901,10,1)</f>
        <v/>
      </c>
      <c r="G901" s="34" t="str">
        <f aca="false">MID(B901,11,1)</f>
        <v/>
      </c>
      <c r="H901" s="35" t="str">
        <f aca="false">IF(G901=".",F901,CONCATENATE(F901,G901))</f>
        <v/>
      </c>
      <c r="I901" s="34" t="n">
        <f aca="false">IFERROR(VALUE(H901),)</f>
        <v>0</v>
      </c>
      <c r="J901" s="34" t="e">
        <f aca="false">RIGHT(B901,LEN(B901)-FIND("/",B901, FIND("Single Cells",B901, 1)))</f>
        <v>#VALUE!</v>
      </c>
    </row>
    <row r="902" customFormat="false" ht="12.75" hidden="false" customHeight="false" outlineLevel="0" collapsed="false">
      <c r="E902" s="34" t="str">
        <f aca="false">MID(B902,9,1)</f>
        <v/>
      </c>
      <c r="F902" s="34" t="str">
        <f aca="false">MID(B902,10,1)</f>
        <v/>
      </c>
      <c r="G902" s="34" t="str">
        <f aca="false">MID(B902,11,1)</f>
        <v/>
      </c>
      <c r="H902" s="35" t="str">
        <f aca="false">IF(G902=".",F902,CONCATENATE(F902,G902))</f>
        <v/>
      </c>
      <c r="I902" s="34" t="n">
        <f aca="false">IFERROR(VALUE(H902),)</f>
        <v>0</v>
      </c>
      <c r="J902" s="34" t="e">
        <f aca="false">RIGHT(B902,LEN(B902)-FIND("/",B902, FIND("Single Cells",B902, 1)))</f>
        <v>#VALUE!</v>
      </c>
    </row>
    <row r="903" customFormat="false" ht="12.75" hidden="false" customHeight="false" outlineLevel="0" collapsed="false">
      <c r="E903" s="34" t="str">
        <f aca="false">MID(B903,9,1)</f>
        <v/>
      </c>
      <c r="F903" s="34" t="str">
        <f aca="false">MID(B903,10,1)</f>
        <v/>
      </c>
      <c r="G903" s="34" t="str">
        <f aca="false">MID(B903,11,1)</f>
        <v/>
      </c>
      <c r="H903" s="35" t="str">
        <f aca="false">IF(G903=".",F903,CONCATENATE(F903,G903))</f>
        <v/>
      </c>
      <c r="I903" s="34" t="n">
        <f aca="false">IFERROR(VALUE(H903),)</f>
        <v>0</v>
      </c>
      <c r="J903" s="34" t="e">
        <f aca="false">RIGHT(B903,LEN(B903)-FIND("/",B903, FIND("Single Cells",B903, 1)))</f>
        <v>#VALUE!</v>
      </c>
    </row>
    <row r="904" customFormat="false" ht="12.75" hidden="false" customHeight="false" outlineLevel="0" collapsed="false">
      <c r="E904" s="34" t="str">
        <f aca="false">MID(B904,9,1)</f>
        <v/>
      </c>
      <c r="F904" s="34" t="str">
        <f aca="false">MID(B904,10,1)</f>
        <v/>
      </c>
      <c r="G904" s="34" t="str">
        <f aca="false">MID(B904,11,1)</f>
        <v/>
      </c>
      <c r="H904" s="35" t="str">
        <f aca="false">IF(G904=".",F904,CONCATENATE(F904,G904))</f>
        <v/>
      </c>
      <c r="I904" s="34" t="n">
        <f aca="false">IFERROR(VALUE(H904),)</f>
        <v>0</v>
      </c>
      <c r="J904" s="34" t="e">
        <f aca="false">RIGHT(B904,LEN(B904)-FIND("/",B904, FIND("Single Cells",B904, 1)))</f>
        <v>#VALUE!</v>
      </c>
    </row>
    <row r="905" customFormat="false" ht="12.75" hidden="false" customHeight="false" outlineLevel="0" collapsed="false">
      <c r="E905" s="34" t="str">
        <f aca="false">MID(B905,9,1)</f>
        <v/>
      </c>
      <c r="F905" s="34" t="str">
        <f aca="false">MID(B905,10,1)</f>
        <v/>
      </c>
      <c r="G905" s="34" t="str">
        <f aca="false">MID(B905,11,1)</f>
        <v/>
      </c>
      <c r="H905" s="35" t="str">
        <f aca="false">IF(G905=".",F905,CONCATENATE(F905,G905))</f>
        <v/>
      </c>
      <c r="I905" s="34" t="n">
        <f aca="false">IFERROR(VALUE(H905),)</f>
        <v>0</v>
      </c>
      <c r="J905" s="34" t="e">
        <f aca="false">RIGHT(B905,LEN(B905)-FIND("/",B905, FIND("Single Cells",B905, 1)))</f>
        <v>#VALUE!</v>
      </c>
    </row>
    <row r="906" customFormat="false" ht="12.75" hidden="false" customHeight="false" outlineLevel="0" collapsed="false">
      <c r="E906" s="34" t="str">
        <f aca="false">MID(B906,9,1)</f>
        <v/>
      </c>
      <c r="F906" s="34" t="str">
        <f aca="false">MID(B906,10,1)</f>
        <v/>
      </c>
      <c r="G906" s="34" t="str">
        <f aca="false">MID(B906,11,1)</f>
        <v/>
      </c>
      <c r="H906" s="35" t="str">
        <f aca="false">IF(G906=".",F906,CONCATENATE(F906,G906))</f>
        <v/>
      </c>
      <c r="I906" s="34" t="n">
        <f aca="false">IFERROR(VALUE(H906),)</f>
        <v>0</v>
      </c>
      <c r="J906" s="34" t="e">
        <f aca="false">RIGHT(B906,LEN(B906)-FIND("/",B906, FIND("Single Cells",B906, 1)))</f>
        <v>#VALUE!</v>
      </c>
    </row>
    <row r="907" customFormat="false" ht="12.75" hidden="false" customHeight="false" outlineLevel="0" collapsed="false">
      <c r="E907" s="34" t="str">
        <f aca="false">MID(B907,9,1)</f>
        <v/>
      </c>
      <c r="F907" s="34" t="str">
        <f aca="false">MID(B907,10,1)</f>
        <v/>
      </c>
      <c r="G907" s="34" t="str">
        <f aca="false">MID(B907,11,1)</f>
        <v/>
      </c>
      <c r="H907" s="35" t="str">
        <f aca="false">IF(G907=".",F907,CONCATENATE(F907,G907))</f>
        <v/>
      </c>
      <c r="I907" s="34" t="n">
        <f aca="false">IFERROR(VALUE(H907),)</f>
        <v>0</v>
      </c>
      <c r="J907" s="34" t="e">
        <f aca="false">RIGHT(B907,LEN(B907)-FIND("/",B907, FIND("Single Cells",B907, 1)))</f>
        <v>#VALUE!</v>
      </c>
    </row>
    <row r="908" customFormat="false" ht="12.75" hidden="false" customHeight="false" outlineLevel="0" collapsed="false">
      <c r="E908" s="34" t="str">
        <f aca="false">MID(B908,9,1)</f>
        <v/>
      </c>
      <c r="F908" s="34" t="str">
        <f aca="false">MID(B908,10,1)</f>
        <v/>
      </c>
      <c r="G908" s="34" t="str">
        <f aca="false">MID(B908,11,1)</f>
        <v/>
      </c>
      <c r="H908" s="35" t="str">
        <f aca="false">IF(G908=".",F908,CONCATENATE(F908,G908))</f>
        <v/>
      </c>
      <c r="I908" s="34" t="n">
        <f aca="false">IFERROR(VALUE(H908),)</f>
        <v>0</v>
      </c>
      <c r="J908" s="34" t="e">
        <f aca="false">RIGHT(B908,LEN(B908)-FIND("/",B908, FIND("Single Cells",B908, 1)))</f>
        <v>#VALUE!</v>
      </c>
    </row>
    <row r="909" customFormat="false" ht="12.75" hidden="false" customHeight="false" outlineLevel="0" collapsed="false">
      <c r="E909" s="34" t="str">
        <f aca="false">MID(B909,9,1)</f>
        <v/>
      </c>
      <c r="F909" s="34" t="str">
        <f aca="false">MID(B909,10,1)</f>
        <v/>
      </c>
      <c r="G909" s="34" t="str">
        <f aca="false">MID(B909,11,1)</f>
        <v/>
      </c>
      <c r="H909" s="35" t="str">
        <f aca="false">IF(G909=".",F909,CONCATENATE(F909,G909))</f>
        <v/>
      </c>
      <c r="I909" s="34" t="n">
        <f aca="false">IFERROR(VALUE(H909),)</f>
        <v>0</v>
      </c>
      <c r="J909" s="34" t="e">
        <f aca="false">RIGHT(B909,LEN(B909)-FIND("/",B909, FIND("Single Cells",B909, 1)))</f>
        <v>#VALUE!</v>
      </c>
    </row>
    <row r="910" customFormat="false" ht="12.75" hidden="false" customHeight="false" outlineLevel="0" collapsed="false">
      <c r="E910" s="34" t="str">
        <f aca="false">MID(B910,9,1)</f>
        <v/>
      </c>
      <c r="F910" s="34" t="str">
        <f aca="false">MID(B910,10,1)</f>
        <v/>
      </c>
      <c r="G910" s="34" t="str">
        <f aca="false">MID(B910,11,1)</f>
        <v/>
      </c>
      <c r="H910" s="35" t="str">
        <f aca="false">IF(G910=".",F910,CONCATENATE(F910,G910))</f>
        <v/>
      </c>
      <c r="I910" s="34" t="n">
        <f aca="false">IFERROR(VALUE(H910),)</f>
        <v>0</v>
      </c>
      <c r="J910" s="34" t="e">
        <f aca="false">RIGHT(B910,LEN(B910)-FIND("/",B910, FIND("Single Cells",B910, 1)))</f>
        <v>#VALUE!</v>
      </c>
    </row>
    <row r="911" customFormat="false" ht="12.75" hidden="false" customHeight="false" outlineLevel="0" collapsed="false">
      <c r="E911" s="34" t="str">
        <f aca="false">MID(B911,9,1)</f>
        <v/>
      </c>
      <c r="F911" s="34" t="str">
        <f aca="false">MID(B911,10,1)</f>
        <v/>
      </c>
      <c r="G911" s="34" t="str">
        <f aca="false">MID(B911,11,1)</f>
        <v/>
      </c>
      <c r="H911" s="35" t="str">
        <f aca="false">IF(G911=".",F911,CONCATENATE(F911,G911))</f>
        <v/>
      </c>
      <c r="I911" s="34" t="n">
        <f aca="false">IFERROR(VALUE(H911),)</f>
        <v>0</v>
      </c>
      <c r="J911" s="34" t="e">
        <f aca="false">RIGHT(B911,LEN(B911)-FIND("/",B911, FIND("Single Cells",B911, 1)))</f>
        <v>#VALUE!</v>
      </c>
    </row>
    <row r="912" customFormat="false" ht="12.75" hidden="false" customHeight="false" outlineLevel="0" collapsed="false">
      <c r="E912" s="34" t="str">
        <f aca="false">MID(B912,9,1)</f>
        <v/>
      </c>
      <c r="F912" s="34" t="str">
        <f aca="false">MID(B912,10,1)</f>
        <v/>
      </c>
      <c r="G912" s="34" t="str">
        <f aca="false">MID(B912,11,1)</f>
        <v/>
      </c>
      <c r="H912" s="35" t="str">
        <f aca="false">IF(G912=".",F912,CONCATENATE(F912,G912))</f>
        <v/>
      </c>
      <c r="I912" s="34" t="n">
        <f aca="false">IFERROR(VALUE(H912),)</f>
        <v>0</v>
      </c>
      <c r="J912" s="34" t="e">
        <f aca="false">RIGHT(B912,LEN(B912)-FIND("/",B912, FIND("Single Cells",B912, 1)))</f>
        <v>#VALUE!</v>
      </c>
    </row>
    <row r="913" customFormat="false" ht="12.75" hidden="false" customHeight="false" outlineLevel="0" collapsed="false">
      <c r="E913" s="34" t="str">
        <f aca="false">MID(B913,9,1)</f>
        <v/>
      </c>
      <c r="F913" s="34" t="str">
        <f aca="false">MID(B913,10,1)</f>
        <v/>
      </c>
      <c r="G913" s="34" t="str">
        <f aca="false">MID(B913,11,1)</f>
        <v/>
      </c>
      <c r="H913" s="35" t="str">
        <f aca="false">IF(G913=".",F913,CONCATENATE(F913,G913))</f>
        <v/>
      </c>
      <c r="I913" s="34" t="n">
        <f aca="false">IFERROR(VALUE(H913),)</f>
        <v>0</v>
      </c>
      <c r="J913" s="34" t="e">
        <f aca="false">RIGHT(B913,LEN(B913)-FIND("/",B913, FIND("Single Cells",B913, 1)))</f>
        <v>#VALUE!</v>
      </c>
    </row>
    <row r="914" customFormat="false" ht="12.75" hidden="false" customHeight="false" outlineLevel="0" collapsed="false">
      <c r="E914" s="34" t="str">
        <f aca="false">MID(B914,9,1)</f>
        <v/>
      </c>
      <c r="F914" s="34" t="str">
        <f aca="false">MID(B914,10,1)</f>
        <v/>
      </c>
      <c r="G914" s="34" t="str">
        <f aca="false">MID(B914,11,1)</f>
        <v/>
      </c>
      <c r="H914" s="35" t="str">
        <f aca="false">IF(G914=".",F914,CONCATENATE(F914,G914))</f>
        <v/>
      </c>
      <c r="I914" s="34" t="n">
        <f aca="false">IFERROR(VALUE(H914),)</f>
        <v>0</v>
      </c>
      <c r="J914" s="34" t="e">
        <f aca="false">RIGHT(B914,LEN(B914)-FIND("/",B914, FIND("Single Cells",B914, 1)))</f>
        <v>#VALUE!</v>
      </c>
    </row>
    <row r="915" customFormat="false" ht="12.75" hidden="false" customHeight="false" outlineLevel="0" collapsed="false">
      <c r="E915" s="34" t="str">
        <f aca="false">MID(B915,9,1)</f>
        <v/>
      </c>
      <c r="F915" s="34" t="str">
        <f aca="false">MID(B915,10,1)</f>
        <v/>
      </c>
      <c r="G915" s="34" t="str">
        <f aca="false">MID(B915,11,1)</f>
        <v/>
      </c>
      <c r="H915" s="35" t="str">
        <f aca="false">IF(G915=".",F915,CONCATENATE(F915,G915))</f>
        <v/>
      </c>
      <c r="I915" s="34" t="n">
        <f aca="false">IFERROR(VALUE(H915),)</f>
        <v>0</v>
      </c>
      <c r="J915" s="34" t="e">
        <f aca="false">RIGHT(B915,LEN(B915)-FIND("/",B915, FIND("Single Cells",B915, 1)))</f>
        <v>#VALUE!</v>
      </c>
    </row>
    <row r="916" customFormat="false" ht="12.75" hidden="false" customHeight="false" outlineLevel="0" collapsed="false">
      <c r="E916" s="34" t="str">
        <f aca="false">MID(B916,9,1)</f>
        <v/>
      </c>
      <c r="F916" s="34" t="str">
        <f aca="false">MID(B916,10,1)</f>
        <v/>
      </c>
      <c r="G916" s="34" t="str">
        <f aca="false">MID(B916,11,1)</f>
        <v/>
      </c>
      <c r="H916" s="35" t="str">
        <f aca="false">IF(G916=".",F916,CONCATENATE(F916,G916))</f>
        <v/>
      </c>
      <c r="I916" s="34" t="n">
        <f aca="false">IFERROR(VALUE(H916),)</f>
        <v>0</v>
      </c>
      <c r="J916" s="34" t="e">
        <f aca="false">RIGHT(B916,LEN(B916)-FIND("/",B916, FIND("Single Cells",B916, 1)))</f>
        <v>#VALUE!</v>
      </c>
    </row>
    <row r="917" customFormat="false" ht="12.75" hidden="false" customHeight="false" outlineLevel="0" collapsed="false">
      <c r="E917" s="34" t="str">
        <f aca="false">MID(B917,9,1)</f>
        <v/>
      </c>
      <c r="F917" s="34" t="str">
        <f aca="false">MID(B917,10,1)</f>
        <v/>
      </c>
      <c r="G917" s="34" t="str">
        <f aca="false">MID(B917,11,1)</f>
        <v/>
      </c>
      <c r="H917" s="35" t="str">
        <f aca="false">IF(G917=".",F917,CONCATENATE(F917,G917))</f>
        <v/>
      </c>
      <c r="I917" s="34" t="n">
        <f aca="false">IFERROR(VALUE(H917),)</f>
        <v>0</v>
      </c>
      <c r="J917" s="34" t="e">
        <f aca="false">RIGHT(B917,LEN(B917)-FIND("/",B917, FIND("Single Cells",B917, 1)))</f>
        <v>#VALUE!</v>
      </c>
    </row>
    <row r="918" customFormat="false" ht="12.75" hidden="false" customHeight="false" outlineLevel="0" collapsed="false">
      <c r="E918" s="34" t="str">
        <f aca="false">MID(B918,9,1)</f>
        <v/>
      </c>
      <c r="F918" s="34" t="str">
        <f aca="false">MID(B918,10,1)</f>
        <v/>
      </c>
      <c r="G918" s="34" t="str">
        <f aca="false">MID(B918,11,1)</f>
        <v/>
      </c>
      <c r="H918" s="35" t="str">
        <f aca="false">IF(G918=".",F918,CONCATENATE(F918,G918))</f>
        <v/>
      </c>
      <c r="I918" s="34" t="n">
        <f aca="false">IFERROR(VALUE(H918),)</f>
        <v>0</v>
      </c>
      <c r="J918" s="34" t="e">
        <f aca="false">RIGHT(B918,LEN(B918)-FIND("/",B918, FIND("Single Cells",B918, 1)))</f>
        <v>#VALUE!</v>
      </c>
    </row>
    <row r="919" customFormat="false" ht="12.75" hidden="false" customHeight="false" outlineLevel="0" collapsed="false">
      <c r="E919" s="34" t="str">
        <f aca="false">MID(B919,9,1)</f>
        <v/>
      </c>
      <c r="F919" s="34" t="str">
        <f aca="false">MID(B919,10,1)</f>
        <v/>
      </c>
      <c r="G919" s="34" t="str">
        <f aca="false">MID(B919,11,1)</f>
        <v/>
      </c>
      <c r="H919" s="35" t="str">
        <f aca="false">IF(G919=".",F919,CONCATENATE(F919,G919))</f>
        <v/>
      </c>
      <c r="I919" s="34" t="n">
        <f aca="false">IFERROR(VALUE(H919),)</f>
        <v>0</v>
      </c>
      <c r="J919" s="34" t="e">
        <f aca="false">RIGHT(B919,LEN(B919)-FIND("/",B919, FIND("Single Cells",B919, 1)))</f>
        <v>#VALUE!</v>
      </c>
    </row>
    <row r="920" customFormat="false" ht="12.75" hidden="false" customHeight="false" outlineLevel="0" collapsed="false">
      <c r="E920" s="34" t="str">
        <f aca="false">MID(B920,9,1)</f>
        <v/>
      </c>
      <c r="F920" s="34" t="str">
        <f aca="false">MID(B920,10,1)</f>
        <v/>
      </c>
      <c r="G920" s="34" t="str">
        <f aca="false">MID(B920,11,1)</f>
        <v/>
      </c>
      <c r="H920" s="35" t="str">
        <f aca="false">IF(G920=".",F920,CONCATENATE(F920,G920))</f>
        <v/>
      </c>
      <c r="I920" s="34" t="n">
        <f aca="false">IFERROR(VALUE(H920),)</f>
        <v>0</v>
      </c>
      <c r="J920" s="34" t="e">
        <f aca="false">RIGHT(B920,LEN(B920)-FIND("/",B920, FIND("Single Cells",B920, 1)))</f>
        <v>#VALUE!</v>
      </c>
    </row>
    <row r="921" customFormat="false" ht="12.75" hidden="false" customHeight="false" outlineLevel="0" collapsed="false">
      <c r="E921" s="34" t="str">
        <f aca="false">MID(B921,9,1)</f>
        <v/>
      </c>
      <c r="F921" s="34" t="str">
        <f aca="false">MID(B921,10,1)</f>
        <v/>
      </c>
      <c r="G921" s="34" t="str">
        <f aca="false">MID(B921,11,1)</f>
        <v/>
      </c>
      <c r="H921" s="35" t="str">
        <f aca="false">IF(G921=".",F921,CONCATENATE(F921,G921))</f>
        <v/>
      </c>
      <c r="I921" s="34" t="n">
        <f aca="false">IFERROR(VALUE(H921),)</f>
        <v>0</v>
      </c>
      <c r="J921" s="34" t="e">
        <f aca="false">RIGHT(B921,LEN(B921)-FIND("/",B921, FIND("Single Cells",B921, 1)))</f>
        <v>#VALUE!</v>
      </c>
    </row>
    <row r="922" customFormat="false" ht="12.75" hidden="false" customHeight="false" outlineLevel="0" collapsed="false">
      <c r="E922" s="34" t="str">
        <f aca="false">MID(B922,9,1)</f>
        <v/>
      </c>
      <c r="F922" s="34" t="str">
        <f aca="false">MID(B922,10,1)</f>
        <v/>
      </c>
      <c r="G922" s="34" t="str">
        <f aca="false">MID(B922,11,1)</f>
        <v/>
      </c>
      <c r="H922" s="35" t="str">
        <f aca="false">IF(G922=".",F922,CONCATENATE(F922,G922))</f>
        <v/>
      </c>
      <c r="I922" s="34" t="n">
        <f aca="false">IFERROR(VALUE(H922),)</f>
        <v>0</v>
      </c>
      <c r="J922" s="34" t="e">
        <f aca="false">RIGHT(B922,LEN(B922)-FIND("/",B922, FIND("Single Cells",B922, 1)))</f>
        <v>#VALUE!</v>
      </c>
    </row>
    <row r="923" customFormat="false" ht="12.75" hidden="false" customHeight="false" outlineLevel="0" collapsed="false">
      <c r="E923" s="34" t="str">
        <f aca="false">MID(B923,9,1)</f>
        <v/>
      </c>
      <c r="F923" s="34" t="str">
        <f aca="false">MID(B923,10,1)</f>
        <v/>
      </c>
      <c r="G923" s="34" t="str">
        <f aca="false">MID(B923,11,1)</f>
        <v/>
      </c>
      <c r="H923" s="35" t="str">
        <f aca="false">IF(G923=".",F923,CONCATENATE(F923,G923))</f>
        <v/>
      </c>
      <c r="I923" s="34" t="n">
        <f aca="false">IFERROR(VALUE(H923),)</f>
        <v>0</v>
      </c>
      <c r="J923" s="34" t="e">
        <f aca="false">RIGHT(B923,LEN(B923)-FIND("/",B923, FIND("Single Cells",B923, 1)))</f>
        <v>#VALUE!</v>
      </c>
    </row>
    <row r="924" customFormat="false" ht="12.75" hidden="false" customHeight="false" outlineLevel="0" collapsed="false">
      <c r="E924" s="34" t="str">
        <f aca="false">MID(B924,9,1)</f>
        <v/>
      </c>
      <c r="F924" s="34" t="str">
        <f aca="false">MID(B924,10,1)</f>
        <v/>
      </c>
      <c r="G924" s="34" t="str">
        <f aca="false">MID(B924,11,1)</f>
        <v/>
      </c>
      <c r="H924" s="35" t="str">
        <f aca="false">IF(G924=".",F924,CONCATENATE(F924,G924))</f>
        <v/>
      </c>
      <c r="I924" s="34" t="n">
        <f aca="false">IFERROR(VALUE(H924),)</f>
        <v>0</v>
      </c>
      <c r="J924" s="34" t="e">
        <f aca="false">RIGHT(B924,LEN(B924)-FIND("/",B924, FIND("Single Cells",B924, 1)))</f>
        <v>#VALUE!</v>
      </c>
    </row>
    <row r="925" customFormat="false" ht="12.75" hidden="false" customHeight="false" outlineLevel="0" collapsed="false">
      <c r="E925" s="34" t="str">
        <f aca="false">MID(B925,9,1)</f>
        <v/>
      </c>
      <c r="F925" s="34" t="str">
        <f aca="false">MID(B925,10,1)</f>
        <v/>
      </c>
      <c r="G925" s="34" t="str">
        <f aca="false">MID(B925,11,1)</f>
        <v/>
      </c>
      <c r="H925" s="35" t="str">
        <f aca="false">IF(G925=".",F925,CONCATENATE(F925,G925))</f>
        <v/>
      </c>
      <c r="I925" s="34" t="n">
        <f aca="false">IFERROR(VALUE(H925),)</f>
        <v>0</v>
      </c>
      <c r="J925" s="34" t="e">
        <f aca="false">RIGHT(B925,LEN(B925)-FIND("/",B925, FIND("Single Cells",B925, 1)))</f>
        <v>#VALUE!</v>
      </c>
    </row>
    <row r="926" customFormat="false" ht="12.75" hidden="false" customHeight="false" outlineLevel="0" collapsed="false">
      <c r="E926" s="34" t="str">
        <f aca="false">MID(B926,9,1)</f>
        <v/>
      </c>
      <c r="F926" s="34" t="str">
        <f aca="false">MID(B926,10,1)</f>
        <v/>
      </c>
      <c r="G926" s="34" t="str">
        <f aca="false">MID(B926,11,1)</f>
        <v/>
      </c>
      <c r="H926" s="35" t="str">
        <f aca="false">IF(G926=".",F926,CONCATENATE(F926,G926))</f>
        <v/>
      </c>
      <c r="I926" s="34" t="n">
        <f aca="false">IFERROR(VALUE(H926),)</f>
        <v>0</v>
      </c>
      <c r="J926" s="34" t="e">
        <f aca="false">RIGHT(B926,LEN(B926)-FIND("/",B926, FIND("Single Cells",B926, 1)))</f>
        <v>#VALUE!</v>
      </c>
    </row>
    <row r="927" customFormat="false" ht="12.75" hidden="false" customHeight="false" outlineLevel="0" collapsed="false">
      <c r="E927" s="34" t="str">
        <f aca="false">MID(B927,9,1)</f>
        <v/>
      </c>
      <c r="F927" s="34" t="str">
        <f aca="false">MID(B927,10,1)</f>
        <v/>
      </c>
      <c r="G927" s="34" t="str">
        <f aca="false">MID(B927,11,1)</f>
        <v/>
      </c>
      <c r="H927" s="35" t="str">
        <f aca="false">IF(G927=".",F927,CONCATENATE(F927,G927))</f>
        <v/>
      </c>
      <c r="I927" s="34" t="n">
        <f aca="false">IFERROR(VALUE(H927),)</f>
        <v>0</v>
      </c>
      <c r="J927" s="34" t="e">
        <f aca="false">RIGHT(B927,LEN(B927)-FIND("/",B927, FIND("Single Cells",B927, 1)))</f>
        <v>#VALUE!</v>
      </c>
    </row>
    <row r="928" customFormat="false" ht="12.75" hidden="false" customHeight="false" outlineLevel="0" collapsed="false">
      <c r="E928" s="34" t="str">
        <f aca="false">MID(B928,9,1)</f>
        <v/>
      </c>
      <c r="F928" s="34" t="str">
        <f aca="false">MID(B928,10,1)</f>
        <v/>
      </c>
      <c r="G928" s="34" t="str">
        <f aca="false">MID(B928,11,1)</f>
        <v/>
      </c>
      <c r="H928" s="35" t="str">
        <f aca="false">IF(G928=".",F928,CONCATENATE(F928,G928))</f>
        <v/>
      </c>
      <c r="I928" s="34" t="n">
        <f aca="false">IFERROR(VALUE(H928),)</f>
        <v>0</v>
      </c>
      <c r="J928" s="34" t="e">
        <f aca="false">RIGHT(B928,LEN(B928)-FIND("/",B928, FIND("Single Cells",B928, 1)))</f>
        <v>#VALUE!</v>
      </c>
    </row>
    <row r="929" customFormat="false" ht="12.75" hidden="false" customHeight="false" outlineLevel="0" collapsed="false">
      <c r="E929" s="34" t="str">
        <f aca="false">MID(B929,9,1)</f>
        <v/>
      </c>
      <c r="F929" s="34" t="str">
        <f aca="false">MID(B929,10,1)</f>
        <v/>
      </c>
      <c r="G929" s="34" t="str">
        <f aca="false">MID(B929,11,1)</f>
        <v/>
      </c>
      <c r="H929" s="35" t="str">
        <f aca="false">IF(G929=".",F929,CONCATENATE(F929,G929))</f>
        <v/>
      </c>
      <c r="I929" s="34" t="n">
        <f aca="false">IFERROR(VALUE(H929),)</f>
        <v>0</v>
      </c>
      <c r="J929" s="34" t="e">
        <f aca="false">RIGHT(B929,LEN(B929)-FIND("/",B929, FIND("Single Cells",B929, 1)))</f>
        <v>#VALUE!</v>
      </c>
    </row>
    <row r="930" customFormat="false" ht="12.75" hidden="false" customHeight="false" outlineLevel="0" collapsed="false">
      <c r="E930" s="34" t="str">
        <f aca="false">MID(B930,9,1)</f>
        <v/>
      </c>
      <c r="F930" s="34" t="str">
        <f aca="false">MID(B930,10,1)</f>
        <v/>
      </c>
      <c r="G930" s="34" t="str">
        <f aca="false">MID(B930,11,1)</f>
        <v/>
      </c>
      <c r="H930" s="35" t="str">
        <f aca="false">IF(G930=".",F930,CONCATENATE(F930,G930))</f>
        <v/>
      </c>
      <c r="I930" s="34" t="n">
        <f aca="false">IFERROR(VALUE(H930),)</f>
        <v>0</v>
      </c>
      <c r="J930" s="34" t="e">
        <f aca="false">RIGHT(B930,LEN(B930)-FIND("/",B930, FIND("Single Cells",B930, 1)))</f>
        <v>#VALUE!</v>
      </c>
    </row>
    <row r="931" customFormat="false" ht="12.75" hidden="false" customHeight="false" outlineLevel="0" collapsed="false">
      <c r="E931" s="34" t="str">
        <f aca="false">MID(B931,9,1)</f>
        <v/>
      </c>
      <c r="F931" s="34" t="str">
        <f aca="false">MID(B931,10,1)</f>
        <v/>
      </c>
      <c r="G931" s="34" t="str">
        <f aca="false">MID(B931,11,1)</f>
        <v/>
      </c>
      <c r="H931" s="35" t="str">
        <f aca="false">IF(G931=".",F931,CONCATENATE(F931,G931))</f>
        <v/>
      </c>
      <c r="I931" s="34" t="n">
        <f aca="false">IFERROR(VALUE(H931),)</f>
        <v>0</v>
      </c>
      <c r="J931" s="34" t="e">
        <f aca="false">RIGHT(B931,LEN(B931)-FIND("/",B931, FIND("Single Cells",B931, 1)))</f>
        <v>#VALUE!</v>
      </c>
    </row>
    <row r="932" customFormat="false" ht="12.75" hidden="false" customHeight="false" outlineLevel="0" collapsed="false">
      <c r="E932" s="34" t="str">
        <f aca="false">MID(B932,9,1)</f>
        <v/>
      </c>
      <c r="F932" s="34" t="str">
        <f aca="false">MID(B932,10,1)</f>
        <v/>
      </c>
      <c r="G932" s="34" t="str">
        <f aca="false">MID(B932,11,1)</f>
        <v/>
      </c>
      <c r="H932" s="35" t="str">
        <f aca="false">IF(G932=".",F932,CONCATENATE(F932,G932))</f>
        <v/>
      </c>
      <c r="I932" s="34" t="n">
        <f aca="false">IFERROR(VALUE(H932),)</f>
        <v>0</v>
      </c>
      <c r="J932" s="34" t="e">
        <f aca="false">RIGHT(B932,LEN(B932)-FIND("/",B932, FIND("Single Cells",B932, 1)))</f>
        <v>#VALUE!</v>
      </c>
    </row>
    <row r="933" customFormat="false" ht="12.75" hidden="false" customHeight="false" outlineLevel="0" collapsed="false">
      <c r="E933" s="34" t="str">
        <f aca="false">MID(B933,9,1)</f>
        <v/>
      </c>
      <c r="F933" s="34" t="str">
        <f aca="false">MID(B933,10,1)</f>
        <v/>
      </c>
      <c r="G933" s="34" t="str">
        <f aca="false">MID(B933,11,1)</f>
        <v/>
      </c>
      <c r="H933" s="35" t="str">
        <f aca="false">IF(G933=".",F933,CONCATENATE(F933,G933))</f>
        <v/>
      </c>
      <c r="I933" s="34" t="n">
        <f aca="false">IFERROR(VALUE(H933),)</f>
        <v>0</v>
      </c>
      <c r="J933" s="34" t="e">
        <f aca="false">RIGHT(B933,LEN(B933)-FIND("/",B933, FIND("Single Cells",B933, 1)))</f>
        <v>#VALUE!</v>
      </c>
    </row>
    <row r="934" customFormat="false" ht="12.75" hidden="false" customHeight="false" outlineLevel="0" collapsed="false">
      <c r="E934" s="34" t="str">
        <f aca="false">MID(B934,9,1)</f>
        <v/>
      </c>
      <c r="F934" s="34" t="str">
        <f aca="false">MID(B934,10,1)</f>
        <v/>
      </c>
      <c r="G934" s="34" t="str">
        <f aca="false">MID(B934,11,1)</f>
        <v/>
      </c>
      <c r="H934" s="35" t="str">
        <f aca="false">IF(G934=".",F934,CONCATENATE(F934,G934))</f>
        <v/>
      </c>
      <c r="I934" s="34" t="n">
        <f aca="false">IFERROR(VALUE(H934),)</f>
        <v>0</v>
      </c>
      <c r="J934" s="34" t="e">
        <f aca="false">RIGHT(B934,LEN(B934)-FIND("/",B934, FIND("Single Cells",B934, 1)))</f>
        <v>#VALUE!</v>
      </c>
    </row>
    <row r="935" customFormat="false" ht="12.75" hidden="false" customHeight="false" outlineLevel="0" collapsed="false">
      <c r="E935" s="34" t="str">
        <f aca="false">MID(B935,9,1)</f>
        <v/>
      </c>
      <c r="F935" s="34" t="str">
        <f aca="false">MID(B935,10,1)</f>
        <v/>
      </c>
      <c r="G935" s="34" t="str">
        <f aca="false">MID(B935,11,1)</f>
        <v/>
      </c>
      <c r="H935" s="35" t="str">
        <f aca="false">IF(G935=".",F935,CONCATENATE(F935,G935))</f>
        <v/>
      </c>
      <c r="I935" s="34" t="n">
        <f aca="false">IFERROR(VALUE(H935),)</f>
        <v>0</v>
      </c>
      <c r="J935" s="34" t="e">
        <f aca="false">RIGHT(B935,LEN(B935)-FIND("/",B935, FIND("Single Cells",B935, 1)))</f>
        <v>#VALUE!</v>
      </c>
    </row>
    <row r="936" customFormat="false" ht="12.75" hidden="false" customHeight="false" outlineLevel="0" collapsed="false">
      <c r="E936" s="34" t="str">
        <f aca="false">MID(B936,9,1)</f>
        <v/>
      </c>
      <c r="F936" s="34" t="str">
        <f aca="false">MID(B936,10,1)</f>
        <v/>
      </c>
      <c r="G936" s="34" t="str">
        <f aca="false">MID(B936,11,1)</f>
        <v/>
      </c>
      <c r="H936" s="35" t="str">
        <f aca="false">IF(G936=".",F936,CONCATENATE(F936,G936))</f>
        <v/>
      </c>
      <c r="I936" s="34" t="n">
        <f aca="false">IFERROR(VALUE(H936),)</f>
        <v>0</v>
      </c>
      <c r="J936" s="34" t="e">
        <f aca="false">RIGHT(B936,LEN(B936)-FIND("/",B936, FIND("Single Cells",B936, 1)))</f>
        <v>#VALUE!</v>
      </c>
    </row>
    <row r="937" customFormat="false" ht="12.75" hidden="false" customHeight="false" outlineLevel="0" collapsed="false">
      <c r="E937" s="34" t="str">
        <f aca="false">MID(B937,9,1)</f>
        <v/>
      </c>
      <c r="F937" s="34" t="str">
        <f aca="false">MID(B937,10,1)</f>
        <v/>
      </c>
      <c r="G937" s="34" t="str">
        <f aca="false">MID(B937,11,1)</f>
        <v/>
      </c>
      <c r="H937" s="35" t="str">
        <f aca="false">IF(G937=".",F937,CONCATENATE(F937,G937))</f>
        <v/>
      </c>
      <c r="I937" s="34" t="n">
        <f aca="false">IFERROR(VALUE(H937),)</f>
        <v>0</v>
      </c>
      <c r="J937" s="34" t="e">
        <f aca="false">RIGHT(B937,LEN(B937)-FIND("/",B937, FIND("Single Cells",B937, 1)))</f>
        <v>#VALUE!</v>
      </c>
    </row>
    <row r="938" customFormat="false" ht="12.75" hidden="false" customHeight="false" outlineLevel="0" collapsed="false">
      <c r="E938" s="34" t="str">
        <f aca="false">MID(B938,9,1)</f>
        <v/>
      </c>
      <c r="F938" s="34" t="str">
        <f aca="false">MID(B938,10,1)</f>
        <v/>
      </c>
      <c r="G938" s="34" t="str">
        <f aca="false">MID(B938,11,1)</f>
        <v/>
      </c>
      <c r="H938" s="35" t="str">
        <f aca="false">IF(G938=".",F938,CONCATENATE(F938,G938))</f>
        <v/>
      </c>
      <c r="I938" s="34" t="n">
        <f aca="false">IFERROR(VALUE(H938),)</f>
        <v>0</v>
      </c>
      <c r="J938" s="34" t="e">
        <f aca="false">RIGHT(B938,LEN(B938)-FIND("/",B938, FIND("Single Cells",B938, 1)))</f>
        <v>#VALUE!</v>
      </c>
    </row>
    <row r="939" customFormat="false" ht="12.75" hidden="false" customHeight="false" outlineLevel="0" collapsed="false">
      <c r="E939" s="34" t="str">
        <f aca="false">MID(B939,9,1)</f>
        <v/>
      </c>
      <c r="F939" s="34" t="str">
        <f aca="false">MID(B939,10,1)</f>
        <v/>
      </c>
      <c r="G939" s="34" t="str">
        <f aca="false">MID(B939,11,1)</f>
        <v/>
      </c>
      <c r="H939" s="35" t="str">
        <f aca="false">IF(G939=".",F939,CONCATENATE(F939,G939))</f>
        <v/>
      </c>
      <c r="I939" s="34" t="n">
        <f aca="false">IFERROR(VALUE(H939),)</f>
        <v>0</v>
      </c>
      <c r="J939" s="34" t="e">
        <f aca="false">RIGHT(B939,LEN(B939)-FIND("/",B939, FIND("Single Cells",B939, 1)))</f>
        <v>#VALUE!</v>
      </c>
    </row>
    <row r="940" customFormat="false" ht="12.75" hidden="false" customHeight="false" outlineLevel="0" collapsed="false">
      <c r="E940" s="34" t="str">
        <f aca="false">MID(B940,9,1)</f>
        <v/>
      </c>
      <c r="F940" s="34" t="str">
        <f aca="false">MID(B940,10,1)</f>
        <v/>
      </c>
      <c r="G940" s="34" t="str">
        <f aca="false">MID(B940,11,1)</f>
        <v/>
      </c>
      <c r="H940" s="35" t="str">
        <f aca="false">IF(G940=".",F940,CONCATENATE(F940,G940))</f>
        <v/>
      </c>
      <c r="I940" s="34" t="n">
        <f aca="false">IFERROR(VALUE(H940),)</f>
        <v>0</v>
      </c>
      <c r="J940" s="34" t="e">
        <f aca="false">RIGHT(B940,LEN(B940)-FIND("/",B940, FIND("Single Cells",B940, 1)))</f>
        <v>#VALUE!</v>
      </c>
    </row>
    <row r="941" customFormat="false" ht="12.75" hidden="false" customHeight="false" outlineLevel="0" collapsed="false">
      <c r="E941" s="34" t="str">
        <f aca="false">MID(B941,9,1)</f>
        <v/>
      </c>
      <c r="F941" s="34" t="str">
        <f aca="false">MID(B941,10,1)</f>
        <v/>
      </c>
      <c r="G941" s="34" t="str">
        <f aca="false">MID(B941,11,1)</f>
        <v/>
      </c>
      <c r="H941" s="35" t="str">
        <f aca="false">IF(G941=".",F941,CONCATENATE(F941,G941))</f>
        <v/>
      </c>
      <c r="I941" s="34" t="n">
        <f aca="false">IFERROR(VALUE(H941),)</f>
        <v>0</v>
      </c>
      <c r="J941" s="34" t="e">
        <f aca="false">RIGHT(B941,LEN(B941)-FIND("/",B941, FIND("Single Cells",B941, 1)))</f>
        <v>#VALUE!</v>
      </c>
    </row>
    <row r="942" customFormat="false" ht="12.75" hidden="false" customHeight="false" outlineLevel="0" collapsed="false">
      <c r="E942" s="34" t="str">
        <f aca="false">MID(B942,9,1)</f>
        <v/>
      </c>
      <c r="F942" s="34" t="str">
        <f aca="false">MID(B942,10,1)</f>
        <v/>
      </c>
      <c r="G942" s="34" t="str">
        <f aca="false">MID(B942,11,1)</f>
        <v/>
      </c>
      <c r="H942" s="35" t="str">
        <f aca="false">IF(G942=".",F942,CONCATENATE(F942,G942))</f>
        <v/>
      </c>
      <c r="I942" s="34" t="n">
        <f aca="false">IFERROR(VALUE(H942),)</f>
        <v>0</v>
      </c>
      <c r="J942" s="34" t="e">
        <f aca="false">RIGHT(B942,LEN(B942)-FIND("/",B942, FIND("Single Cells",B942, 1)))</f>
        <v>#VALUE!</v>
      </c>
    </row>
    <row r="943" customFormat="false" ht="12.75" hidden="false" customHeight="false" outlineLevel="0" collapsed="false">
      <c r="E943" s="34" t="str">
        <f aca="false">MID(B943,9,1)</f>
        <v/>
      </c>
      <c r="F943" s="34" t="str">
        <f aca="false">MID(B943,10,1)</f>
        <v/>
      </c>
      <c r="G943" s="34" t="str">
        <f aca="false">MID(B943,11,1)</f>
        <v/>
      </c>
      <c r="H943" s="35" t="str">
        <f aca="false">IF(G943=".",F943,CONCATENATE(F943,G943))</f>
        <v/>
      </c>
      <c r="I943" s="34" t="n">
        <f aca="false">IFERROR(VALUE(H943),)</f>
        <v>0</v>
      </c>
      <c r="J943" s="34" t="e">
        <f aca="false">RIGHT(B943,LEN(B943)-FIND("/",B943, FIND("Single Cells",B943, 1)))</f>
        <v>#VALUE!</v>
      </c>
    </row>
    <row r="944" customFormat="false" ht="12.75" hidden="false" customHeight="false" outlineLevel="0" collapsed="false">
      <c r="E944" s="34" t="str">
        <f aca="false">MID(B944,9,1)</f>
        <v/>
      </c>
      <c r="F944" s="34" t="str">
        <f aca="false">MID(B944,10,1)</f>
        <v/>
      </c>
      <c r="G944" s="34" t="str">
        <f aca="false">MID(B944,11,1)</f>
        <v/>
      </c>
      <c r="H944" s="35" t="str">
        <f aca="false">IF(G944=".",F944,CONCATENATE(F944,G944))</f>
        <v/>
      </c>
      <c r="I944" s="34" t="n">
        <f aca="false">IFERROR(VALUE(H944),)</f>
        <v>0</v>
      </c>
      <c r="J944" s="34" t="e">
        <f aca="false">RIGHT(B944,LEN(B944)-FIND("/",B944, FIND("Single Cells",B944, 1)))</f>
        <v>#VALUE!</v>
      </c>
    </row>
    <row r="945" customFormat="false" ht="12.75" hidden="false" customHeight="false" outlineLevel="0" collapsed="false">
      <c r="E945" s="34" t="str">
        <f aca="false">MID(B945,9,1)</f>
        <v/>
      </c>
      <c r="F945" s="34" t="str">
        <f aca="false">MID(B945,10,1)</f>
        <v/>
      </c>
      <c r="G945" s="34" t="str">
        <f aca="false">MID(B945,11,1)</f>
        <v/>
      </c>
      <c r="H945" s="35" t="str">
        <f aca="false">IF(G945=".",F945,CONCATENATE(F945,G945))</f>
        <v/>
      </c>
      <c r="I945" s="34" t="n">
        <f aca="false">IFERROR(VALUE(H945),)</f>
        <v>0</v>
      </c>
      <c r="J945" s="34" t="e">
        <f aca="false">RIGHT(B945,LEN(B945)-FIND("/",B945, FIND("Single Cells",B945, 1)))</f>
        <v>#VALUE!</v>
      </c>
    </row>
    <row r="946" customFormat="false" ht="12.75" hidden="false" customHeight="false" outlineLevel="0" collapsed="false">
      <c r="E946" s="34" t="str">
        <f aca="false">MID(B946,9,1)</f>
        <v/>
      </c>
      <c r="F946" s="34" t="str">
        <f aca="false">MID(B946,10,1)</f>
        <v/>
      </c>
      <c r="G946" s="34" t="str">
        <f aca="false">MID(B946,11,1)</f>
        <v/>
      </c>
      <c r="H946" s="35" t="str">
        <f aca="false">IF(G946=".",F946,CONCATENATE(F946,G946))</f>
        <v/>
      </c>
      <c r="I946" s="34" t="n">
        <f aca="false">IFERROR(VALUE(H946),)</f>
        <v>0</v>
      </c>
      <c r="J946" s="34" t="e">
        <f aca="false">RIGHT(B946,LEN(B946)-FIND("/",B946, FIND("Single Cells",B946, 1)))</f>
        <v>#VALUE!</v>
      </c>
    </row>
    <row r="947" customFormat="false" ht="12.75" hidden="false" customHeight="false" outlineLevel="0" collapsed="false">
      <c r="E947" s="34" t="str">
        <f aca="false">MID(B947,9,1)</f>
        <v/>
      </c>
      <c r="F947" s="34" t="str">
        <f aca="false">MID(B947,10,1)</f>
        <v/>
      </c>
      <c r="G947" s="34" t="str">
        <f aca="false">MID(B947,11,1)</f>
        <v/>
      </c>
      <c r="H947" s="35" t="str">
        <f aca="false">IF(G947=".",F947,CONCATENATE(F947,G947))</f>
        <v/>
      </c>
      <c r="I947" s="34" t="n">
        <f aca="false">IFERROR(VALUE(H947),)</f>
        <v>0</v>
      </c>
      <c r="J947" s="34" t="e">
        <f aca="false">RIGHT(B947,LEN(B947)-FIND("/",B947, FIND("Single Cells",B947, 1)))</f>
        <v>#VALUE!</v>
      </c>
    </row>
    <row r="948" customFormat="false" ht="12.75" hidden="false" customHeight="false" outlineLevel="0" collapsed="false">
      <c r="E948" s="34" t="str">
        <f aca="false">MID(B948,9,1)</f>
        <v/>
      </c>
      <c r="F948" s="34" t="str">
        <f aca="false">MID(B948,10,1)</f>
        <v/>
      </c>
      <c r="G948" s="34" t="str">
        <f aca="false">MID(B948,11,1)</f>
        <v/>
      </c>
      <c r="H948" s="35" t="str">
        <f aca="false">IF(G948=".",F948,CONCATENATE(F948,G948))</f>
        <v/>
      </c>
      <c r="I948" s="34" t="n">
        <f aca="false">IFERROR(VALUE(H948),)</f>
        <v>0</v>
      </c>
      <c r="J948" s="34" t="e">
        <f aca="false">RIGHT(B948,LEN(B948)-FIND("/",B948, FIND("Single Cells",B948, 1)))</f>
        <v>#VALUE!</v>
      </c>
    </row>
    <row r="949" customFormat="false" ht="12.75" hidden="false" customHeight="false" outlineLevel="0" collapsed="false">
      <c r="E949" s="34" t="str">
        <f aca="false">MID(B949,9,1)</f>
        <v/>
      </c>
      <c r="F949" s="34" t="str">
        <f aca="false">MID(B949,10,1)</f>
        <v/>
      </c>
      <c r="G949" s="34" t="str">
        <f aca="false">MID(B949,11,1)</f>
        <v/>
      </c>
      <c r="H949" s="35" t="str">
        <f aca="false">IF(G949=".",F949,CONCATENATE(F949,G949))</f>
        <v/>
      </c>
      <c r="I949" s="34" t="n">
        <f aca="false">IFERROR(VALUE(H949),)</f>
        <v>0</v>
      </c>
      <c r="J949" s="34" t="e">
        <f aca="false">RIGHT(B949,LEN(B949)-FIND("/",B949, FIND("Single Cells",B949, 1)))</f>
        <v>#VALUE!</v>
      </c>
    </row>
    <row r="950" customFormat="false" ht="12.75" hidden="false" customHeight="false" outlineLevel="0" collapsed="false">
      <c r="E950" s="34" t="str">
        <f aca="false">MID(B950,9,1)</f>
        <v/>
      </c>
      <c r="F950" s="34" t="str">
        <f aca="false">MID(B950,10,1)</f>
        <v/>
      </c>
      <c r="G950" s="34" t="str">
        <f aca="false">MID(B950,11,1)</f>
        <v/>
      </c>
      <c r="H950" s="35" t="str">
        <f aca="false">IF(G950=".",F950,CONCATENATE(F950,G950))</f>
        <v/>
      </c>
      <c r="I950" s="34" t="n">
        <f aca="false">IFERROR(VALUE(H950),)</f>
        <v>0</v>
      </c>
      <c r="J950" s="34" t="e">
        <f aca="false">RIGHT(B950,LEN(B950)-FIND("/",B950, FIND("Single Cells",B950, 1)))</f>
        <v>#VALUE!</v>
      </c>
    </row>
    <row r="951" customFormat="false" ht="12.75" hidden="false" customHeight="false" outlineLevel="0" collapsed="false">
      <c r="E951" s="34" t="str">
        <f aca="false">MID(B951,9,1)</f>
        <v/>
      </c>
      <c r="F951" s="34" t="str">
        <f aca="false">MID(B951,10,1)</f>
        <v/>
      </c>
      <c r="G951" s="34" t="str">
        <f aca="false">MID(B951,11,1)</f>
        <v/>
      </c>
      <c r="H951" s="35" t="str">
        <f aca="false">IF(G951=".",F951,CONCATENATE(F951,G951))</f>
        <v/>
      </c>
      <c r="I951" s="34" t="n">
        <f aca="false">IFERROR(VALUE(H951),)</f>
        <v>0</v>
      </c>
      <c r="J951" s="34" t="e">
        <f aca="false">RIGHT(B951,LEN(B951)-FIND("/",B951, FIND("Single Cells",B951, 1)))</f>
        <v>#VALUE!</v>
      </c>
    </row>
    <row r="952" customFormat="false" ht="12.75" hidden="false" customHeight="false" outlineLevel="0" collapsed="false">
      <c r="E952" s="34" t="str">
        <f aca="false">MID(B952,9,1)</f>
        <v/>
      </c>
      <c r="F952" s="34" t="str">
        <f aca="false">MID(B952,10,1)</f>
        <v/>
      </c>
      <c r="G952" s="34" t="str">
        <f aca="false">MID(B952,11,1)</f>
        <v/>
      </c>
      <c r="H952" s="35" t="str">
        <f aca="false">IF(G952=".",F952,CONCATENATE(F952,G952))</f>
        <v/>
      </c>
      <c r="I952" s="34" t="n">
        <f aca="false">IFERROR(VALUE(H952),)</f>
        <v>0</v>
      </c>
      <c r="J952" s="34" t="e">
        <f aca="false">RIGHT(B952,LEN(B952)-FIND("/",B952, FIND("Single Cells",B952, 1)))</f>
        <v>#VALUE!</v>
      </c>
    </row>
    <row r="953" customFormat="false" ht="12.75" hidden="false" customHeight="false" outlineLevel="0" collapsed="false">
      <c r="E953" s="34" t="str">
        <f aca="false">MID(B953,9,1)</f>
        <v/>
      </c>
      <c r="F953" s="34" t="str">
        <f aca="false">MID(B953,10,1)</f>
        <v/>
      </c>
      <c r="G953" s="34" t="str">
        <f aca="false">MID(B953,11,1)</f>
        <v/>
      </c>
      <c r="H953" s="35" t="str">
        <f aca="false">IF(G953=".",F953,CONCATENATE(F953,G953))</f>
        <v/>
      </c>
      <c r="I953" s="34" t="n">
        <f aca="false">IFERROR(VALUE(H953),)</f>
        <v>0</v>
      </c>
      <c r="J953" s="34" t="e">
        <f aca="false">RIGHT(B953,LEN(B953)-FIND("/",B953, FIND("Single Cells",B953, 1)))</f>
        <v>#VALUE!</v>
      </c>
    </row>
    <row r="954" customFormat="false" ht="12.75" hidden="false" customHeight="false" outlineLevel="0" collapsed="false">
      <c r="E954" s="34" t="str">
        <f aca="false">MID(B954,9,1)</f>
        <v/>
      </c>
      <c r="F954" s="34" t="str">
        <f aca="false">MID(B954,10,1)</f>
        <v/>
      </c>
      <c r="G954" s="34" t="str">
        <f aca="false">MID(B954,11,1)</f>
        <v/>
      </c>
      <c r="H954" s="35" t="str">
        <f aca="false">IF(G954=".",F954,CONCATENATE(F954,G954))</f>
        <v/>
      </c>
      <c r="I954" s="34" t="n">
        <f aca="false">IFERROR(VALUE(H954),)</f>
        <v>0</v>
      </c>
      <c r="J954" s="34" t="e">
        <f aca="false">RIGHT(B954,LEN(B954)-FIND("/",B954, FIND("Single Cells",B954, 1)))</f>
        <v>#VALUE!</v>
      </c>
    </row>
    <row r="955" customFormat="false" ht="12.75" hidden="false" customHeight="false" outlineLevel="0" collapsed="false">
      <c r="E955" s="34" t="str">
        <f aca="false">MID(B955,9,1)</f>
        <v/>
      </c>
      <c r="F955" s="34" t="str">
        <f aca="false">MID(B955,10,1)</f>
        <v/>
      </c>
      <c r="G955" s="34" t="str">
        <f aca="false">MID(B955,11,1)</f>
        <v/>
      </c>
      <c r="H955" s="35" t="str">
        <f aca="false">IF(G955=".",F955,CONCATENATE(F955,G955))</f>
        <v/>
      </c>
      <c r="I955" s="34" t="n">
        <f aca="false">IFERROR(VALUE(H955),)</f>
        <v>0</v>
      </c>
      <c r="J955" s="34" t="e">
        <f aca="false">RIGHT(B955,LEN(B955)-FIND("/",B955, FIND("Single Cells",B955, 1)))</f>
        <v>#VALUE!</v>
      </c>
    </row>
    <row r="956" customFormat="false" ht="12.75" hidden="false" customHeight="false" outlineLevel="0" collapsed="false">
      <c r="E956" s="34" t="str">
        <f aca="false">MID(B956,9,1)</f>
        <v/>
      </c>
      <c r="F956" s="34" t="str">
        <f aca="false">MID(B956,10,1)</f>
        <v/>
      </c>
      <c r="G956" s="34" t="str">
        <f aca="false">MID(B956,11,1)</f>
        <v/>
      </c>
      <c r="H956" s="35" t="str">
        <f aca="false">IF(G956=".",F956,CONCATENATE(F956,G956))</f>
        <v/>
      </c>
      <c r="I956" s="34" t="n">
        <f aca="false">IFERROR(VALUE(H956),)</f>
        <v>0</v>
      </c>
      <c r="J956" s="34" t="e">
        <f aca="false">RIGHT(B956,LEN(B956)-FIND("/",B956, FIND("Single Cells",B956, 1)))</f>
        <v>#VALUE!</v>
      </c>
    </row>
    <row r="957" customFormat="false" ht="12.75" hidden="false" customHeight="false" outlineLevel="0" collapsed="false">
      <c r="E957" s="34" t="str">
        <f aca="false">MID(B957,9,1)</f>
        <v/>
      </c>
      <c r="F957" s="34" t="str">
        <f aca="false">MID(B957,10,1)</f>
        <v/>
      </c>
      <c r="G957" s="34" t="str">
        <f aca="false">MID(B957,11,1)</f>
        <v/>
      </c>
      <c r="H957" s="35" t="str">
        <f aca="false">IF(G957=".",F957,CONCATENATE(F957,G957))</f>
        <v/>
      </c>
      <c r="I957" s="34" t="n">
        <f aca="false">IFERROR(VALUE(H957),)</f>
        <v>0</v>
      </c>
      <c r="J957" s="34" t="e">
        <f aca="false">RIGHT(B957,LEN(B957)-FIND("/",B957, FIND("Single Cells",B957, 1)))</f>
        <v>#VALUE!</v>
      </c>
    </row>
    <row r="958" customFormat="false" ht="12.75" hidden="false" customHeight="false" outlineLevel="0" collapsed="false">
      <c r="E958" s="34" t="str">
        <f aca="false">MID(B958,9,1)</f>
        <v/>
      </c>
      <c r="F958" s="34" t="str">
        <f aca="false">MID(B958,10,1)</f>
        <v/>
      </c>
      <c r="G958" s="34" t="str">
        <f aca="false">MID(B958,11,1)</f>
        <v/>
      </c>
      <c r="H958" s="35" t="str">
        <f aca="false">IF(G958=".",F958,CONCATENATE(F958,G958))</f>
        <v/>
      </c>
      <c r="I958" s="34" t="n">
        <f aca="false">IFERROR(VALUE(H958),)</f>
        <v>0</v>
      </c>
      <c r="J958" s="34" t="e">
        <f aca="false">RIGHT(B958,LEN(B958)-FIND("/",B958, FIND("Single Cells",B958, 1)))</f>
        <v>#VALUE!</v>
      </c>
    </row>
    <row r="959" customFormat="false" ht="12.75" hidden="false" customHeight="false" outlineLevel="0" collapsed="false">
      <c r="E959" s="34" t="str">
        <f aca="false">MID(B959,9,1)</f>
        <v/>
      </c>
      <c r="F959" s="34" t="str">
        <f aca="false">MID(B959,10,1)</f>
        <v/>
      </c>
      <c r="G959" s="34" t="str">
        <f aca="false">MID(B959,11,1)</f>
        <v/>
      </c>
      <c r="H959" s="35" t="str">
        <f aca="false">IF(G959=".",F959,CONCATENATE(F959,G959))</f>
        <v/>
      </c>
      <c r="I959" s="34" t="n">
        <f aca="false">IFERROR(VALUE(H959),)</f>
        <v>0</v>
      </c>
      <c r="J959" s="34" t="e">
        <f aca="false">RIGHT(B959,LEN(B959)-FIND("/",B959, FIND("Single Cells",B959, 1)))</f>
        <v>#VALUE!</v>
      </c>
    </row>
    <row r="960" customFormat="false" ht="12.75" hidden="false" customHeight="false" outlineLevel="0" collapsed="false">
      <c r="E960" s="34" t="str">
        <f aca="false">MID(B960,9,1)</f>
        <v/>
      </c>
      <c r="F960" s="34" t="str">
        <f aca="false">MID(B960,10,1)</f>
        <v/>
      </c>
      <c r="G960" s="34" t="str">
        <f aca="false">MID(B960,11,1)</f>
        <v/>
      </c>
      <c r="H960" s="35" t="str">
        <f aca="false">IF(G960=".",F960,CONCATENATE(F960,G960))</f>
        <v/>
      </c>
      <c r="I960" s="34" t="n">
        <f aca="false">IFERROR(VALUE(H960),)</f>
        <v>0</v>
      </c>
      <c r="J960" s="34" t="e">
        <f aca="false">RIGHT(B960,LEN(B960)-FIND("/",B960, FIND("Single Cells",B960, 1)))</f>
        <v>#VALUE!</v>
      </c>
    </row>
    <row r="961" customFormat="false" ht="12.75" hidden="false" customHeight="false" outlineLevel="0" collapsed="false">
      <c r="E961" s="34" t="str">
        <f aca="false">MID(B961,9,1)</f>
        <v/>
      </c>
      <c r="F961" s="34" t="str">
        <f aca="false">MID(B961,10,1)</f>
        <v/>
      </c>
      <c r="G961" s="34" t="str">
        <f aca="false">MID(B961,11,1)</f>
        <v/>
      </c>
      <c r="H961" s="35" t="str">
        <f aca="false">IF(G961=".",F961,CONCATENATE(F961,G961))</f>
        <v/>
      </c>
      <c r="I961" s="34" t="n">
        <f aca="false">IFERROR(VALUE(H961),)</f>
        <v>0</v>
      </c>
      <c r="J961" s="34" t="e">
        <f aca="false">RIGHT(B961,LEN(B961)-FIND("/",B961, FIND("Single Cells",B961, 1)))</f>
        <v>#VALUE!</v>
      </c>
    </row>
    <row r="962" customFormat="false" ht="12.75" hidden="false" customHeight="false" outlineLevel="0" collapsed="false">
      <c r="E962" s="34" t="str">
        <f aca="false">MID(B962,9,1)</f>
        <v/>
      </c>
      <c r="F962" s="34" t="str">
        <f aca="false">MID(B962,10,1)</f>
        <v/>
      </c>
      <c r="G962" s="34" t="str">
        <f aca="false">MID(B962,11,1)</f>
        <v/>
      </c>
      <c r="H962" s="35" t="str">
        <f aca="false">IF(G962=".",F962,CONCATENATE(F962,G962))</f>
        <v/>
      </c>
      <c r="I962" s="34" t="n">
        <f aca="false">IFERROR(VALUE(H962),)</f>
        <v>0</v>
      </c>
      <c r="J962" s="34" t="e">
        <f aca="false">RIGHT(B962,LEN(B962)-FIND("/",B962, FIND("Single Cells",B962, 1)))</f>
        <v>#VALUE!</v>
      </c>
    </row>
    <row r="963" customFormat="false" ht="12.75" hidden="false" customHeight="false" outlineLevel="0" collapsed="false">
      <c r="E963" s="34" t="str">
        <f aca="false">MID(B963,9,1)</f>
        <v/>
      </c>
      <c r="F963" s="34" t="str">
        <f aca="false">MID(B963,10,1)</f>
        <v/>
      </c>
      <c r="G963" s="34" t="str">
        <f aca="false">MID(B963,11,1)</f>
        <v/>
      </c>
      <c r="H963" s="35" t="str">
        <f aca="false">IF(G963=".",F963,CONCATENATE(F963,G963))</f>
        <v/>
      </c>
      <c r="I963" s="34" t="n">
        <f aca="false">IFERROR(VALUE(H963),)</f>
        <v>0</v>
      </c>
      <c r="J963" s="34" t="e">
        <f aca="false">RIGHT(B963,LEN(B963)-FIND("/",B963, FIND("Single Cells",B963, 1)))</f>
        <v>#VALUE!</v>
      </c>
    </row>
    <row r="964" customFormat="false" ht="12.75" hidden="false" customHeight="false" outlineLevel="0" collapsed="false">
      <c r="E964" s="34" t="str">
        <f aca="false">MID(B964,9,1)</f>
        <v/>
      </c>
      <c r="F964" s="34" t="str">
        <f aca="false">MID(B964,10,1)</f>
        <v/>
      </c>
      <c r="G964" s="34" t="str">
        <f aca="false">MID(B964,11,1)</f>
        <v/>
      </c>
      <c r="H964" s="35" t="str">
        <f aca="false">IF(G964=".",F964,CONCATENATE(F964,G964))</f>
        <v/>
      </c>
      <c r="I964" s="34" t="n">
        <f aca="false">IFERROR(VALUE(H964),)</f>
        <v>0</v>
      </c>
      <c r="J964" s="34" t="e">
        <f aca="false">RIGHT(B964,LEN(B964)-FIND("/",B964, FIND("Single Cells",B964, 1)))</f>
        <v>#VALUE!</v>
      </c>
    </row>
    <row r="965" customFormat="false" ht="12.75" hidden="false" customHeight="false" outlineLevel="0" collapsed="false">
      <c r="E965" s="34" t="str">
        <f aca="false">MID(B965,9,1)</f>
        <v/>
      </c>
      <c r="F965" s="34" t="str">
        <f aca="false">MID(B965,10,1)</f>
        <v/>
      </c>
      <c r="G965" s="34" t="str">
        <f aca="false">MID(B965,11,1)</f>
        <v/>
      </c>
      <c r="H965" s="35" t="str">
        <f aca="false">IF(G965=".",F965,CONCATENATE(F965,G965))</f>
        <v/>
      </c>
      <c r="I965" s="34" t="n">
        <f aca="false">IFERROR(VALUE(H965),)</f>
        <v>0</v>
      </c>
      <c r="J965" s="34" t="e">
        <f aca="false">RIGHT(B965,LEN(B965)-FIND("/",B965, FIND("Single Cells",B965, 1)))</f>
        <v>#VALUE!</v>
      </c>
    </row>
    <row r="966" customFormat="false" ht="12.75" hidden="false" customHeight="false" outlineLevel="0" collapsed="false">
      <c r="E966" s="34" t="str">
        <f aca="false">MID(B966,9,1)</f>
        <v/>
      </c>
      <c r="F966" s="34" t="str">
        <f aca="false">MID(B966,10,1)</f>
        <v/>
      </c>
      <c r="G966" s="34" t="str">
        <f aca="false">MID(B966,11,1)</f>
        <v/>
      </c>
      <c r="H966" s="35" t="str">
        <f aca="false">IF(G966=".",F966,CONCATENATE(F966,G966))</f>
        <v/>
      </c>
      <c r="I966" s="34" t="n">
        <f aca="false">IFERROR(VALUE(H966),)</f>
        <v>0</v>
      </c>
      <c r="J966" s="34" t="e">
        <f aca="false">RIGHT(B966,LEN(B966)-FIND("/",B966, FIND("Single Cells",B966, 1)))</f>
        <v>#VALUE!</v>
      </c>
    </row>
    <row r="967" customFormat="false" ht="12.75" hidden="false" customHeight="false" outlineLevel="0" collapsed="false">
      <c r="E967" s="34" t="str">
        <f aca="false">MID(B967,9,1)</f>
        <v/>
      </c>
      <c r="F967" s="34" t="str">
        <f aca="false">MID(B967,10,1)</f>
        <v/>
      </c>
      <c r="G967" s="34" t="str">
        <f aca="false">MID(B967,11,1)</f>
        <v/>
      </c>
      <c r="H967" s="35" t="str">
        <f aca="false">IF(G967=".",F967,CONCATENATE(F967,G967))</f>
        <v/>
      </c>
      <c r="I967" s="34" t="n">
        <f aca="false">IFERROR(VALUE(H967),)</f>
        <v>0</v>
      </c>
      <c r="J967" s="34" t="e">
        <f aca="false">RIGHT(B967,LEN(B967)-FIND("/",B967, FIND("Single Cells",B967, 1)))</f>
        <v>#VALUE!</v>
      </c>
    </row>
    <row r="968" customFormat="false" ht="12.75" hidden="false" customHeight="false" outlineLevel="0" collapsed="false">
      <c r="E968" s="34" t="str">
        <f aca="false">MID(B968,9,1)</f>
        <v/>
      </c>
      <c r="F968" s="34" t="str">
        <f aca="false">MID(B968,10,1)</f>
        <v/>
      </c>
      <c r="G968" s="34" t="str">
        <f aca="false">MID(B968,11,1)</f>
        <v/>
      </c>
      <c r="H968" s="35" t="str">
        <f aca="false">IF(G968=".",F968,CONCATENATE(F968,G968))</f>
        <v/>
      </c>
      <c r="I968" s="34" t="n">
        <f aca="false">IFERROR(VALUE(H968),)</f>
        <v>0</v>
      </c>
      <c r="J968" s="34" t="e">
        <f aca="false">RIGHT(B968,LEN(B968)-FIND("/",B968, FIND("Single Cells",B968, 1)))</f>
        <v>#VALUE!</v>
      </c>
    </row>
    <row r="969" customFormat="false" ht="12.75" hidden="false" customHeight="false" outlineLevel="0" collapsed="false">
      <c r="E969" s="34" t="str">
        <f aca="false">MID(B969,9,1)</f>
        <v/>
      </c>
      <c r="F969" s="34" t="str">
        <f aca="false">MID(B969,10,1)</f>
        <v/>
      </c>
      <c r="G969" s="34" t="str">
        <f aca="false">MID(B969,11,1)</f>
        <v/>
      </c>
      <c r="H969" s="35" t="str">
        <f aca="false">IF(G969=".",F969,CONCATENATE(F969,G969))</f>
        <v/>
      </c>
      <c r="I969" s="34" t="n">
        <f aca="false">IFERROR(VALUE(H969),)</f>
        <v>0</v>
      </c>
      <c r="J969" s="34" t="e">
        <f aca="false">RIGHT(B969,LEN(B969)-FIND("/",B969, FIND("Single Cells",B969, 1)))</f>
        <v>#VALUE!</v>
      </c>
    </row>
    <row r="970" customFormat="false" ht="12.75" hidden="false" customHeight="false" outlineLevel="0" collapsed="false">
      <c r="E970" s="34" t="str">
        <f aca="false">MID(B970,9,1)</f>
        <v/>
      </c>
      <c r="F970" s="34" t="str">
        <f aca="false">MID(B970,10,1)</f>
        <v/>
      </c>
      <c r="G970" s="34" t="str">
        <f aca="false">MID(B970,11,1)</f>
        <v/>
      </c>
      <c r="H970" s="35" t="str">
        <f aca="false">IF(G970=".",F970,CONCATENATE(F970,G970))</f>
        <v/>
      </c>
      <c r="I970" s="34" t="n">
        <f aca="false">IFERROR(VALUE(H970),)</f>
        <v>0</v>
      </c>
      <c r="J970" s="34" t="e">
        <f aca="false">RIGHT(B970,LEN(B970)-FIND("/",B970, FIND("Single Cells",B970, 1)))</f>
        <v>#VALUE!</v>
      </c>
    </row>
    <row r="971" customFormat="false" ht="12.75" hidden="false" customHeight="false" outlineLevel="0" collapsed="false">
      <c r="E971" s="34" t="str">
        <f aca="false">MID(B971,9,1)</f>
        <v/>
      </c>
      <c r="F971" s="34" t="str">
        <f aca="false">MID(B971,10,1)</f>
        <v/>
      </c>
      <c r="G971" s="34" t="str">
        <f aca="false">MID(B971,11,1)</f>
        <v/>
      </c>
      <c r="H971" s="35" t="str">
        <f aca="false">IF(G971=".",F971,CONCATENATE(F971,G971))</f>
        <v/>
      </c>
      <c r="I971" s="34" t="n">
        <f aca="false">IFERROR(VALUE(H971),)</f>
        <v>0</v>
      </c>
      <c r="J971" s="34" t="e">
        <f aca="false">RIGHT(B971,LEN(B971)-FIND("/",B971, FIND("Single Cells",B971, 1)))</f>
        <v>#VALUE!</v>
      </c>
    </row>
    <row r="972" customFormat="false" ht="12.75" hidden="false" customHeight="false" outlineLevel="0" collapsed="false">
      <c r="E972" s="34" t="str">
        <f aca="false">MID(B972,9,1)</f>
        <v/>
      </c>
      <c r="F972" s="34" t="str">
        <f aca="false">MID(B972,10,1)</f>
        <v/>
      </c>
      <c r="G972" s="34" t="str">
        <f aca="false">MID(B972,11,1)</f>
        <v/>
      </c>
      <c r="H972" s="35" t="str">
        <f aca="false">IF(G972=".",F972,CONCATENATE(F972,G972))</f>
        <v/>
      </c>
      <c r="I972" s="34" t="n">
        <f aca="false">IFERROR(VALUE(H972),)</f>
        <v>0</v>
      </c>
      <c r="J972" s="34" t="e">
        <f aca="false">RIGHT(B972,LEN(B972)-FIND("/",B972, FIND("Single Cells",B972, 1)))</f>
        <v>#VALUE!</v>
      </c>
    </row>
    <row r="973" customFormat="false" ht="12.75" hidden="false" customHeight="false" outlineLevel="0" collapsed="false">
      <c r="E973" s="34" t="str">
        <f aca="false">MID(B973,9,1)</f>
        <v/>
      </c>
      <c r="F973" s="34" t="str">
        <f aca="false">MID(B973,10,1)</f>
        <v/>
      </c>
      <c r="G973" s="34" t="str">
        <f aca="false">MID(B973,11,1)</f>
        <v/>
      </c>
      <c r="H973" s="35" t="str">
        <f aca="false">IF(G973=".",F973,CONCATENATE(F973,G973))</f>
        <v/>
      </c>
      <c r="I973" s="34" t="n">
        <f aca="false">IFERROR(VALUE(H973),)</f>
        <v>0</v>
      </c>
      <c r="J973" s="34" t="e">
        <f aca="false">RIGHT(B973,LEN(B973)-FIND("/",B973, FIND("Single Cells",B973, 1)))</f>
        <v>#VALUE!</v>
      </c>
    </row>
    <row r="974" customFormat="false" ht="12.75" hidden="false" customHeight="false" outlineLevel="0" collapsed="false">
      <c r="E974" s="34" t="str">
        <f aca="false">MID(B974,9,1)</f>
        <v/>
      </c>
      <c r="F974" s="34" t="str">
        <f aca="false">MID(B974,10,1)</f>
        <v/>
      </c>
      <c r="G974" s="34" t="str">
        <f aca="false">MID(B974,11,1)</f>
        <v/>
      </c>
      <c r="H974" s="35" t="str">
        <f aca="false">IF(G974=".",F974,CONCATENATE(F974,G974))</f>
        <v/>
      </c>
      <c r="I974" s="34" t="n">
        <f aca="false">IFERROR(VALUE(H974),)</f>
        <v>0</v>
      </c>
      <c r="J974" s="34" t="e">
        <f aca="false">RIGHT(B974,LEN(B974)-FIND("/",B974, FIND("Single Cells",B974, 1)))</f>
        <v>#VALUE!</v>
      </c>
    </row>
    <row r="975" customFormat="false" ht="12.75" hidden="false" customHeight="false" outlineLevel="0" collapsed="false">
      <c r="E975" s="34" t="str">
        <f aca="false">MID(B975,9,1)</f>
        <v/>
      </c>
      <c r="F975" s="34" t="str">
        <f aca="false">MID(B975,10,1)</f>
        <v/>
      </c>
      <c r="G975" s="34" t="str">
        <f aca="false">MID(B975,11,1)</f>
        <v/>
      </c>
      <c r="H975" s="35" t="str">
        <f aca="false">IF(G975=".",F975,CONCATENATE(F975,G975))</f>
        <v/>
      </c>
      <c r="I975" s="34" t="n">
        <f aca="false">IFERROR(VALUE(H975),)</f>
        <v>0</v>
      </c>
      <c r="J975" s="34" t="e">
        <f aca="false">RIGHT(B975,LEN(B975)-FIND("/",B975, FIND("Single Cells",B975, 1)))</f>
        <v>#VALUE!</v>
      </c>
    </row>
    <row r="976" customFormat="false" ht="12.75" hidden="false" customHeight="false" outlineLevel="0" collapsed="false">
      <c r="E976" s="34" t="str">
        <f aca="false">MID(B976,9,1)</f>
        <v/>
      </c>
      <c r="F976" s="34" t="str">
        <f aca="false">MID(B976,10,1)</f>
        <v/>
      </c>
      <c r="G976" s="34" t="str">
        <f aca="false">MID(B976,11,1)</f>
        <v/>
      </c>
      <c r="H976" s="35" t="str">
        <f aca="false">IF(G976=".",F976,CONCATENATE(F976,G976))</f>
        <v/>
      </c>
      <c r="I976" s="34" t="n">
        <f aca="false">IFERROR(VALUE(H976),)</f>
        <v>0</v>
      </c>
      <c r="J976" s="34" t="e">
        <f aca="false">RIGHT(B976,LEN(B976)-FIND("/",B976, FIND("Single Cells",B976, 1)))</f>
        <v>#VALUE!</v>
      </c>
    </row>
    <row r="977" customFormat="false" ht="12.75" hidden="false" customHeight="false" outlineLevel="0" collapsed="false">
      <c r="E977" s="34" t="str">
        <f aca="false">MID(B977,9,1)</f>
        <v/>
      </c>
      <c r="F977" s="34" t="str">
        <f aca="false">MID(B977,10,1)</f>
        <v/>
      </c>
      <c r="G977" s="34" t="str">
        <f aca="false">MID(B977,11,1)</f>
        <v/>
      </c>
      <c r="H977" s="35" t="str">
        <f aca="false">IF(G977=".",F977,CONCATENATE(F977,G977))</f>
        <v/>
      </c>
      <c r="I977" s="34" t="n">
        <f aca="false">IFERROR(VALUE(H977),)</f>
        <v>0</v>
      </c>
      <c r="J977" s="34" t="e">
        <f aca="false">RIGHT(B977,LEN(B977)-FIND("/",B977, FIND("Single Cells",B977, 1)))</f>
        <v>#VALUE!</v>
      </c>
    </row>
    <row r="978" customFormat="false" ht="12.75" hidden="false" customHeight="false" outlineLevel="0" collapsed="false">
      <c r="E978" s="34" t="str">
        <f aca="false">MID(B978,9,1)</f>
        <v/>
      </c>
      <c r="F978" s="34" t="str">
        <f aca="false">MID(B978,10,1)</f>
        <v/>
      </c>
      <c r="G978" s="34" t="str">
        <f aca="false">MID(B978,11,1)</f>
        <v/>
      </c>
      <c r="H978" s="35" t="str">
        <f aca="false">IF(G978=".",F978,CONCATENATE(F978,G978))</f>
        <v/>
      </c>
      <c r="I978" s="34" t="n">
        <f aca="false">IFERROR(VALUE(H978),)</f>
        <v>0</v>
      </c>
      <c r="J978" s="34" t="e">
        <f aca="false">RIGHT(B978,LEN(B978)-FIND("/",B978, FIND("Single Cells",B978, 1)))</f>
        <v>#VALUE!</v>
      </c>
    </row>
    <row r="979" customFormat="false" ht="12.75" hidden="false" customHeight="false" outlineLevel="0" collapsed="false">
      <c r="E979" s="34" t="str">
        <f aca="false">MID(B979,9,1)</f>
        <v/>
      </c>
      <c r="F979" s="34" t="str">
        <f aca="false">MID(B979,10,1)</f>
        <v/>
      </c>
      <c r="G979" s="34" t="str">
        <f aca="false">MID(B979,11,1)</f>
        <v/>
      </c>
      <c r="H979" s="35" t="str">
        <f aca="false">IF(G979=".",F979,CONCATENATE(F979,G979))</f>
        <v/>
      </c>
      <c r="I979" s="34" t="n">
        <f aca="false">IFERROR(VALUE(H979),)</f>
        <v>0</v>
      </c>
      <c r="J979" s="34" t="e">
        <f aca="false">RIGHT(B979,LEN(B979)-FIND("/",B979, FIND("Single Cells",B979, 1)))</f>
        <v>#VALUE!</v>
      </c>
    </row>
    <row r="980" customFormat="false" ht="12.75" hidden="false" customHeight="false" outlineLevel="0" collapsed="false">
      <c r="E980" s="34" t="str">
        <f aca="false">MID(B980,9,1)</f>
        <v/>
      </c>
      <c r="F980" s="34" t="str">
        <f aca="false">MID(B980,10,1)</f>
        <v/>
      </c>
      <c r="G980" s="34" t="str">
        <f aca="false">MID(B980,11,1)</f>
        <v/>
      </c>
      <c r="H980" s="35" t="str">
        <f aca="false">IF(G980=".",F980,CONCATENATE(F980,G980))</f>
        <v/>
      </c>
      <c r="I980" s="34" t="n">
        <f aca="false">IFERROR(VALUE(H980),)</f>
        <v>0</v>
      </c>
      <c r="J980" s="34" t="e">
        <f aca="false">RIGHT(B980,LEN(B980)-FIND("/",B980, FIND("Single Cells",B980, 1)))</f>
        <v>#VALUE!</v>
      </c>
    </row>
    <row r="981" customFormat="false" ht="12.75" hidden="false" customHeight="false" outlineLevel="0" collapsed="false">
      <c r="E981" s="34" t="str">
        <f aca="false">MID(B981,9,1)</f>
        <v/>
      </c>
      <c r="F981" s="34" t="str">
        <f aca="false">MID(B981,10,1)</f>
        <v/>
      </c>
      <c r="G981" s="34" t="str">
        <f aca="false">MID(B981,11,1)</f>
        <v/>
      </c>
      <c r="H981" s="35" t="str">
        <f aca="false">IF(G981=".",F981,CONCATENATE(F981,G981))</f>
        <v/>
      </c>
      <c r="I981" s="34" t="n">
        <f aca="false">IFERROR(VALUE(H981),)</f>
        <v>0</v>
      </c>
      <c r="J981" s="34" t="e">
        <f aca="false">RIGHT(B981,LEN(B981)-FIND("/",B981, FIND("Single Cells",B981, 1)))</f>
        <v>#VALUE!</v>
      </c>
    </row>
    <row r="982" customFormat="false" ht="12.75" hidden="false" customHeight="false" outlineLevel="0" collapsed="false">
      <c r="E982" s="34" t="str">
        <f aca="false">MID(B982,9,1)</f>
        <v/>
      </c>
      <c r="F982" s="34" t="str">
        <f aca="false">MID(B982,10,1)</f>
        <v/>
      </c>
      <c r="G982" s="34" t="str">
        <f aca="false">MID(B982,11,1)</f>
        <v/>
      </c>
      <c r="H982" s="35" t="str">
        <f aca="false">IF(G982=".",F982,CONCATENATE(F982,G982))</f>
        <v/>
      </c>
      <c r="I982" s="34" t="n">
        <f aca="false">IFERROR(VALUE(H982),)</f>
        <v>0</v>
      </c>
      <c r="J982" s="34" t="e">
        <f aca="false">RIGHT(B982,LEN(B982)-FIND("/",B982, FIND("Single Cells",B982, 1)))</f>
        <v>#VALUE!</v>
      </c>
    </row>
    <row r="983" customFormat="false" ht="12.75" hidden="false" customHeight="false" outlineLevel="0" collapsed="false">
      <c r="E983" s="34" t="str">
        <f aca="false">MID(B983,9,1)</f>
        <v/>
      </c>
      <c r="F983" s="34" t="str">
        <f aca="false">MID(B983,10,1)</f>
        <v/>
      </c>
      <c r="G983" s="34" t="str">
        <f aca="false">MID(B983,11,1)</f>
        <v/>
      </c>
      <c r="H983" s="35" t="str">
        <f aca="false">IF(G983=".",F983,CONCATENATE(F983,G983))</f>
        <v/>
      </c>
      <c r="I983" s="34" t="n">
        <f aca="false">IFERROR(VALUE(H983),)</f>
        <v>0</v>
      </c>
      <c r="J983" s="34" t="e">
        <f aca="false">RIGHT(B983,LEN(B983)-FIND("/",B983, FIND("Single Cells",B983, 1)))</f>
        <v>#VALUE!</v>
      </c>
    </row>
    <row r="984" customFormat="false" ht="12.75" hidden="false" customHeight="false" outlineLevel="0" collapsed="false">
      <c r="E984" s="34" t="str">
        <f aca="false">MID(B984,9,1)</f>
        <v/>
      </c>
      <c r="F984" s="34" t="str">
        <f aca="false">MID(B984,10,1)</f>
        <v/>
      </c>
      <c r="G984" s="34" t="str">
        <f aca="false">MID(B984,11,1)</f>
        <v/>
      </c>
      <c r="H984" s="35" t="str">
        <f aca="false">IF(G984=".",F984,CONCATENATE(F984,G984))</f>
        <v/>
      </c>
      <c r="I984" s="34" t="n">
        <f aca="false">IFERROR(VALUE(H984),)</f>
        <v>0</v>
      </c>
      <c r="J984" s="34" t="e">
        <f aca="false">RIGHT(B984,LEN(B984)-FIND("/",B984, FIND("Single Cells",B984, 1)))</f>
        <v>#VALUE!</v>
      </c>
    </row>
    <row r="985" customFormat="false" ht="12.75" hidden="false" customHeight="false" outlineLevel="0" collapsed="false">
      <c r="E985" s="34" t="str">
        <f aca="false">MID(B985,9,1)</f>
        <v/>
      </c>
      <c r="F985" s="34" t="str">
        <f aca="false">MID(B985,10,1)</f>
        <v/>
      </c>
      <c r="G985" s="34" t="str">
        <f aca="false">MID(B985,11,1)</f>
        <v/>
      </c>
      <c r="H985" s="35" t="str">
        <f aca="false">IF(G985=".",F985,CONCATENATE(F985,G985))</f>
        <v/>
      </c>
      <c r="I985" s="34" t="n">
        <f aca="false">IFERROR(VALUE(H985),)</f>
        <v>0</v>
      </c>
      <c r="J985" s="34" t="e">
        <f aca="false">RIGHT(B985,LEN(B985)-FIND("/",B985, FIND("Single Cells",B985, 1)))</f>
        <v>#VALUE!</v>
      </c>
    </row>
    <row r="986" customFormat="false" ht="12.75" hidden="false" customHeight="false" outlineLevel="0" collapsed="false">
      <c r="E986" s="34" t="str">
        <f aca="false">MID(B986,9,1)</f>
        <v/>
      </c>
      <c r="F986" s="34" t="str">
        <f aca="false">MID(B986,10,1)</f>
        <v/>
      </c>
      <c r="G986" s="34" t="str">
        <f aca="false">MID(B986,11,1)</f>
        <v/>
      </c>
      <c r="H986" s="35" t="str">
        <f aca="false">IF(G986=".",F986,CONCATENATE(F986,G986))</f>
        <v/>
      </c>
      <c r="I986" s="34" t="n">
        <f aca="false">IFERROR(VALUE(H986),)</f>
        <v>0</v>
      </c>
      <c r="J986" s="34" t="e">
        <f aca="false">RIGHT(B986,LEN(B986)-FIND("/",B986, FIND("Single Cells",B986, 1)))</f>
        <v>#VALUE!</v>
      </c>
    </row>
    <row r="987" customFormat="false" ht="12.75" hidden="false" customHeight="false" outlineLevel="0" collapsed="false">
      <c r="E987" s="34" t="str">
        <f aca="false">MID(B987,9,1)</f>
        <v/>
      </c>
      <c r="F987" s="34" t="str">
        <f aca="false">MID(B987,10,1)</f>
        <v/>
      </c>
      <c r="G987" s="34" t="str">
        <f aca="false">MID(B987,11,1)</f>
        <v/>
      </c>
      <c r="H987" s="35" t="str">
        <f aca="false">IF(G987=".",F987,CONCATENATE(F987,G987))</f>
        <v/>
      </c>
      <c r="I987" s="34" t="n">
        <f aca="false">IFERROR(VALUE(H987),)</f>
        <v>0</v>
      </c>
      <c r="J987" s="34" t="e">
        <f aca="false">RIGHT(B987,LEN(B987)-FIND("/",B987, FIND("Single Cells",B987, 1)))</f>
        <v>#VALUE!</v>
      </c>
    </row>
    <row r="988" customFormat="false" ht="12.75" hidden="false" customHeight="false" outlineLevel="0" collapsed="false">
      <c r="E988" s="34" t="str">
        <f aca="false">MID(B988,9,1)</f>
        <v/>
      </c>
      <c r="F988" s="34" t="str">
        <f aca="false">MID(B988,10,1)</f>
        <v/>
      </c>
      <c r="G988" s="34" t="str">
        <f aca="false">MID(B988,11,1)</f>
        <v/>
      </c>
      <c r="H988" s="35" t="str">
        <f aca="false">IF(G988=".",F988,CONCATENATE(F988,G988))</f>
        <v/>
      </c>
      <c r="I988" s="34" t="n">
        <f aca="false">IFERROR(VALUE(H988),)</f>
        <v>0</v>
      </c>
      <c r="J988" s="34" t="e">
        <f aca="false">RIGHT(B988,LEN(B988)-FIND("/",B988, FIND("Single Cells",B988, 1)))</f>
        <v>#VALUE!</v>
      </c>
    </row>
    <row r="989" customFormat="false" ht="12.75" hidden="false" customHeight="false" outlineLevel="0" collapsed="false">
      <c r="E989" s="34" t="str">
        <f aca="false">MID(B989,9,1)</f>
        <v/>
      </c>
      <c r="F989" s="34" t="str">
        <f aca="false">MID(B989,10,1)</f>
        <v/>
      </c>
      <c r="G989" s="34" t="str">
        <f aca="false">MID(B989,11,1)</f>
        <v/>
      </c>
      <c r="H989" s="35" t="str">
        <f aca="false">IF(G989=".",F989,CONCATENATE(F989,G989))</f>
        <v/>
      </c>
      <c r="I989" s="34" t="n">
        <f aca="false">IFERROR(VALUE(H989),)</f>
        <v>0</v>
      </c>
      <c r="J989" s="34" t="e">
        <f aca="false">RIGHT(B989,LEN(B989)-FIND("/",B989, FIND("Single Cells",B989, 1)))</f>
        <v>#VALUE!</v>
      </c>
    </row>
    <row r="990" customFormat="false" ht="12.75" hidden="false" customHeight="false" outlineLevel="0" collapsed="false">
      <c r="E990" s="34" t="str">
        <f aca="false">MID(B990,9,1)</f>
        <v/>
      </c>
      <c r="F990" s="34" t="str">
        <f aca="false">MID(B990,10,1)</f>
        <v/>
      </c>
      <c r="G990" s="34" t="str">
        <f aca="false">MID(B990,11,1)</f>
        <v/>
      </c>
      <c r="H990" s="35" t="str">
        <f aca="false">IF(G990=".",F990,CONCATENATE(F990,G990))</f>
        <v/>
      </c>
      <c r="I990" s="34" t="n">
        <f aca="false">IFERROR(VALUE(H990),)</f>
        <v>0</v>
      </c>
      <c r="J990" s="34" t="e">
        <f aca="false">RIGHT(B990,LEN(B990)-FIND("/",B990, FIND("Single Cells",B990, 1)))</f>
        <v>#VALUE!</v>
      </c>
    </row>
    <row r="991" customFormat="false" ht="12.75" hidden="false" customHeight="false" outlineLevel="0" collapsed="false">
      <c r="E991" s="34" t="str">
        <f aca="false">MID(B991,9,1)</f>
        <v/>
      </c>
      <c r="F991" s="34" t="str">
        <f aca="false">MID(B991,10,1)</f>
        <v/>
      </c>
      <c r="G991" s="34" t="str">
        <f aca="false">MID(B991,11,1)</f>
        <v/>
      </c>
      <c r="H991" s="35" t="str">
        <f aca="false">IF(G991=".",F991,CONCATENATE(F991,G991))</f>
        <v/>
      </c>
      <c r="I991" s="34" t="n">
        <f aca="false">IFERROR(VALUE(H991),)</f>
        <v>0</v>
      </c>
      <c r="J991" s="34" t="e">
        <f aca="false">RIGHT(B991,LEN(B991)-FIND("/",B991, FIND("Single Cells",B991, 1)))</f>
        <v>#VALUE!</v>
      </c>
    </row>
    <row r="992" customFormat="false" ht="12.75" hidden="false" customHeight="false" outlineLevel="0" collapsed="false">
      <c r="E992" s="34" t="str">
        <f aca="false">MID(B992,9,1)</f>
        <v/>
      </c>
      <c r="F992" s="34" t="str">
        <f aca="false">MID(B992,10,1)</f>
        <v/>
      </c>
      <c r="G992" s="34" t="str">
        <f aca="false">MID(B992,11,1)</f>
        <v/>
      </c>
      <c r="H992" s="35" t="str">
        <f aca="false">IF(G992=".",F992,CONCATENATE(F992,G992))</f>
        <v/>
      </c>
      <c r="I992" s="34" t="n">
        <f aca="false">IFERROR(VALUE(H992),)</f>
        <v>0</v>
      </c>
      <c r="J992" s="34" t="e">
        <f aca="false">RIGHT(B992,LEN(B992)-FIND("/",B992, FIND("Single Cells",B992, 1)))</f>
        <v>#VALUE!</v>
      </c>
    </row>
    <row r="993" customFormat="false" ht="12.75" hidden="false" customHeight="false" outlineLevel="0" collapsed="false">
      <c r="E993" s="34" t="str">
        <f aca="false">MID(B993,9,1)</f>
        <v/>
      </c>
      <c r="F993" s="34" t="str">
        <f aca="false">MID(B993,10,1)</f>
        <v/>
      </c>
      <c r="G993" s="34" t="str">
        <f aca="false">MID(B993,11,1)</f>
        <v/>
      </c>
      <c r="H993" s="35" t="str">
        <f aca="false">IF(G993=".",F993,CONCATENATE(F993,G993))</f>
        <v/>
      </c>
      <c r="I993" s="34" t="n">
        <f aca="false">IFERROR(VALUE(H993),)</f>
        <v>0</v>
      </c>
      <c r="J993" s="34" t="e">
        <f aca="false">RIGHT(B993,LEN(B993)-FIND("/",B993, FIND("Single Cells",B993, 1)))</f>
        <v>#VALUE!</v>
      </c>
    </row>
    <row r="994" customFormat="false" ht="12.75" hidden="false" customHeight="false" outlineLevel="0" collapsed="false">
      <c r="E994" s="34" t="str">
        <f aca="false">MID(B994,9,1)</f>
        <v/>
      </c>
      <c r="F994" s="34" t="str">
        <f aca="false">MID(B994,10,1)</f>
        <v/>
      </c>
      <c r="G994" s="34" t="str">
        <f aca="false">MID(B994,11,1)</f>
        <v/>
      </c>
      <c r="H994" s="35" t="str">
        <f aca="false">IF(G994=".",F994,CONCATENATE(F994,G994))</f>
        <v/>
      </c>
      <c r="I994" s="34" t="n">
        <f aca="false">IFERROR(VALUE(H994),)</f>
        <v>0</v>
      </c>
      <c r="J994" s="34" t="e">
        <f aca="false">RIGHT(B994,LEN(B994)-FIND("/",B994, FIND("Single Cells",B994, 1)))</f>
        <v>#VALUE!</v>
      </c>
    </row>
    <row r="995" customFormat="false" ht="12.75" hidden="false" customHeight="false" outlineLevel="0" collapsed="false">
      <c r="E995" s="34" t="str">
        <f aca="false">MID(B995,9,1)</f>
        <v/>
      </c>
      <c r="F995" s="34" t="str">
        <f aca="false">MID(B995,10,1)</f>
        <v/>
      </c>
      <c r="G995" s="34" t="str">
        <f aca="false">MID(B995,11,1)</f>
        <v/>
      </c>
      <c r="H995" s="35" t="str">
        <f aca="false">IF(G995=".",F995,CONCATENATE(F995,G995))</f>
        <v/>
      </c>
      <c r="I995" s="34" t="n">
        <f aca="false">IFERROR(VALUE(H995),)</f>
        <v>0</v>
      </c>
      <c r="J995" s="34" t="e">
        <f aca="false">RIGHT(B995,LEN(B995)-FIND("/",B995, FIND("Single Cells",B995, 1)))</f>
        <v>#VALUE!</v>
      </c>
    </row>
    <row r="996" customFormat="false" ht="12.75" hidden="false" customHeight="false" outlineLevel="0" collapsed="false">
      <c r="E996" s="34" t="str">
        <f aca="false">MID(B996,9,1)</f>
        <v/>
      </c>
      <c r="F996" s="34" t="str">
        <f aca="false">MID(B996,10,1)</f>
        <v/>
      </c>
      <c r="G996" s="34" t="str">
        <f aca="false">MID(B996,11,1)</f>
        <v/>
      </c>
      <c r="H996" s="35" t="str">
        <f aca="false">IF(G996=".",F996,CONCATENATE(F996,G996))</f>
        <v/>
      </c>
      <c r="I996" s="34" t="n">
        <f aca="false">IFERROR(VALUE(H996),)</f>
        <v>0</v>
      </c>
      <c r="J996" s="34" t="e">
        <f aca="false">RIGHT(B996,LEN(B996)-FIND("/",B996, FIND("Single Cells",B996, 1)))</f>
        <v>#VALUE!</v>
      </c>
    </row>
    <row r="997" customFormat="false" ht="12.75" hidden="false" customHeight="false" outlineLevel="0" collapsed="false">
      <c r="E997" s="34" t="str">
        <f aca="false">MID(B997,9,1)</f>
        <v/>
      </c>
      <c r="F997" s="34" t="str">
        <f aca="false">MID(B997,10,1)</f>
        <v/>
      </c>
      <c r="G997" s="34" t="str">
        <f aca="false">MID(B997,11,1)</f>
        <v/>
      </c>
      <c r="H997" s="35" t="str">
        <f aca="false">IF(G997=".",F997,CONCATENATE(F997,G997))</f>
        <v/>
      </c>
      <c r="I997" s="34" t="n">
        <f aca="false">IFERROR(VALUE(H997),)</f>
        <v>0</v>
      </c>
      <c r="J997" s="34" t="e">
        <f aca="false">RIGHT(B997,LEN(B997)-FIND("/",B997, FIND("Single Cells",B997, 1)))</f>
        <v>#VALUE!</v>
      </c>
    </row>
    <row r="998" customFormat="false" ht="12.75" hidden="false" customHeight="false" outlineLevel="0" collapsed="false">
      <c r="E998" s="34" t="str">
        <f aca="false">MID(B998,9,1)</f>
        <v/>
      </c>
      <c r="F998" s="34" t="str">
        <f aca="false">MID(B998,10,1)</f>
        <v/>
      </c>
      <c r="G998" s="34" t="str">
        <f aca="false">MID(B998,11,1)</f>
        <v/>
      </c>
      <c r="H998" s="35" t="str">
        <f aca="false">IF(G998=".",F998,CONCATENATE(F998,G998))</f>
        <v/>
      </c>
      <c r="I998" s="34" t="n">
        <f aca="false">IFERROR(VALUE(H998),)</f>
        <v>0</v>
      </c>
      <c r="J998" s="34" t="e">
        <f aca="false">RIGHT(B998,LEN(B998)-FIND("/",B998, FIND("Single Cells",B998, 1)))</f>
        <v>#VALUE!</v>
      </c>
    </row>
    <row r="999" customFormat="false" ht="12.75" hidden="false" customHeight="false" outlineLevel="0" collapsed="false">
      <c r="E999" s="34" t="str">
        <f aca="false">MID(B999,9,1)</f>
        <v/>
      </c>
      <c r="F999" s="34" t="str">
        <f aca="false">MID(B999,10,1)</f>
        <v/>
      </c>
      <c r="G999" s="34" t="str">
        <f aca="false">MID(B999,11,1)</f>
        <v/>
      </c>
      <c r="H999" s="35" t="str">
        <f aca="false">IF(G999=".",F999,CONCATENATE(F999,G999))</f>
        <v/>
      </c>
      <c r="I999" s="34" t="n">
        <f aca="false">IFERROR(VALUE(H999),)</f>
        <v>0</v>
      </c>
      <c r="J999" s="34" t="e">
        <f aca="false">RIGHT(B999,LEN(B999)-FIND("/",B999, FIND("Single Cells",B999, 1)))</f>
        <v>#VALUE!</v>
      </c>
    </row>
    <row r="1000" customFormat="false" ht="12.75" hidden="false" customHeight="false" outlineLevel="0" collapsed="false">
      <c r="E1000" s="34" t="str">
        <f aca="false">MID(B1000,9,1)</f>
        <v/>
      </c>
      <c r="F1000" s="34" t="str">
        <f aca="false">MID(B1000,10,1)</f>
        <v/>
      </c>
      <c r="G1000" s="34" t="str">
        <f aca="false">MID(B1000,11,1)</f>
        <v/>
      </c>
      <c r="H1000" s="35" t="str">
        <f aca="false">IF(G1000=".",F1000,CONCATENATE(F1000,G1000))</f>
        <v/>
      </c>
      <c r="I1000" s="34" t="n">
        <f aca="false">IFERROR(VALUE(H1000),)</f>
        <v>0</v>
      </c>
      <c r="J1000" s="34" t="e">
        <f aca="false">RIGHT(B1000,LEN(B1000)-FIND("/",B1000, FIND("Single Cells",B1000, 1)))</f>
        <v>#VALUE!</v>
      </c>
    </row>
  </sheetData>
  <autoFilter ref="A8:H508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6" activeCellId="0" sqref="B6"/>
    </sheetView>
  </sheetViews>
  <sheetFormatPr defaultColWidth="9.1484375" defaultRowHeight="12.75" zeroHeight="false" outlineLevelRow="0" outlineLevelCol="0"/>
  <cols>
    <col collapsed="false" customWidth="false" hidden="false" outlineLevel="0" max="1" min="1" style="34" width="9.14"/>
    <col collapsed="false" customWidth="true" hidden="false" outlineLevel="0" max="2" min="2" style="34" width="14"/>
    <col collapsed="false" customWidth="false" hidden="false" outlineLevel="0" max="16384" min="3" style="34" width="9.14"/>
  </cols>
  <sheetData>
    <row r="2" customFormat="false" ht="23.25" hidden="false" customHeight="false" outlineLevel="0" collapsed="false">
      <c r="E2" s="39" t="s">
        <v>175</v>
      </c>
    </row>
    <row r="4" customFormat="false" ht="21" hidden="false" customHeight="false" outlineLevel="0" collapsed="false">
      <c r="A4" s="40"/>
      <c r="B4" s="41" t="n">
        <v>1</v>
      </c>
      <c r="C4" s="41" t="n">
        <v>2</v>
      </c>
      <c r="D4" s="41" t="n">
        <v>3</v>
      </c>
      <c r="E4" s="41" t="n">
        <v>4</v>
      </c>
      <c r="F4" s="41" t="n">
        <v>5</v>
      </c>
      <c r="G4" s="41" t="n">
        <v>6</v>
      </c>
      <c r="H4" s="41" t="n">
        <v>7</v>
      </c>
      <c r="I4" s="41" t="n">
        <v>8</v>
      </c>
      <c r="J4" s="41" t="n">
        <v>9</v>
      </c>
      <c r="K4" s="41" t="n">
        <v>10</v>
      </c>
      <c r="L4" s="41" t="n">
        <v>11</v>
      </c>
      <c r="M4" s="41" t="n">
        <v>12</v>
      </c>
      <c r="N4" s="42"/>
    </row>
    <row r="5" customFormat="false" ht="20.25" hidden="false" customHeight="false" outlineLevel="0" collapsed="false">
      <c r="A5" s="41" t="s">
        <v>166</v>
      </c>
      <c r="B5" s="43" t="n">
        <f aca="false">_xlfn.xlookup(_xlfn.CONCAT("*","Well-",$A5,B$4,"*"),'Flow 3 Input'!$B$9:$B$1000,'Flow 3 Input'!$C$9:$C$1000,0,2)</f>
        <v>0</v>
      </c>
      <c r="C5" s="43" t="n">
        <f aca="false">_xlfn.xlookup(_xlfn.CONCAT("*","Well-",$A5,C$4,"*"),'Flow 3 Input'!$B$9:$B$1000,'Flow 3 Input'!$C$9:$C$1000,0,2)</f>
        <v>0</v>
      </c>
      <c r="D5" s="43" t="n">
        <f aca="false">_xlfn.xlookup(_xlfn.CONCAT("*","Well-",$A5,D$4,"*"),'Flow 3 Input'!$B$9:$B$1000,'Flow 3 Input'!$C$9:$C$1000,0,2)</f>
        <v>0</v>
      </c>
      <c r="E5" s="43" t="n">
        <f aca="false">_xlfn.xlookup(_xlfn.CONCAT("*","Well-",$A5,E$4,"*"),'Flow 3 Input'!$B$9:$B$1000,'Flow 3 Input'!$C$9:$C$1000,0,2)</f>
        <v>0</v>
      </c>
      <c r="F5" s="43" t="n">
        <f aca="false">_xlfn.xlookup(_xlfn.CONCAT("*","Well-",$A5,F$4,"*"),'Flow 3 Input'!$B$9:$B$1000,'Flow 3 Input'!$C$9:$C$1000,0,2)</f>
        <v>0</v>
      </c>
      <c r="G5" s="43" t="n">
        <f aca="false">_xlfn.xlookup(_xlfn.CONCAT("*","Well-",$A5,G$4,"*"),'Flow 3 Input'!$B$9:$B$1000,'Flow 3 Input'!$C$9:$C$1000,0,2)</f>
        <v>0</v>
      </c>
      <c r="H5" s="43" t="n">
        <f aca="false">_xlfn.xlookup(_xlfn.CONCAT("*","Well-",$A5,H$4,"*"),'Flow 3 Input'!$B$9:$B$1000,'Flow 3 Input'!$C$9:$C$1000,0,2)</f>
        <v>0</v>
      </c>
      <c r="I5" s="43" t="n">
        <f aca="false">_xlfn.xlookup(_xlfn.CONCAT("*","Well-",$A5,I$4,"*"),'Flow 3 Input'!$B$9:$B$1000,'Flow 3 Input'!$C$9:$C$1000,0,2)</f>
        <v>0</v>
      </c>
      <c r="J5" s="43" t="n">
        <f aca="false">_xlfn.xlookup(_xlfn.CONCAT("*","Well-",$A5,J$4,"*"),'Flow 3 Input'!$B$9:$B$1000,'Flow 3 Input'!$C$9:$C$1000,0,2)</f>
        <v>0</v>
      </c>
      <c r="K5" s="43" t="n">
        <f aca="false">_xlfn.xlookup(_xlfn.CONCAT("*","Well-",$A5,K$4,"*"),'Flow 3 Input'!$B$9:$B$1000,'Flow 3 Input'!$C$9:$C$1000,0,2)</f>
        <v>0</v>
      </c>
      <c r="L5" s="43" t="n">
        <f aca="false">_xlfn.xlookup(_xlfn.CONCAT("*","Well-",$A5,L$4,"*"),'Flow 3 Input'!$B$9:$B$1000,'Flow 3 Input'!$C$9:$C$1000,0,2)</f>
        <v>0</v>
      </c>
      <c r="M5" s="43" t="n">
        <f aca="false">_xlfn.xlookup(_xlfn.CONCAT("*","Well-",$A5,M$4,"*"),'Flow 3 Input'!$B$9:$B$1000,'Flow 3 Input'!$C$9:$C$1000,0,2)</f>
        <v>0</v>
      </c>
      <c r="N5" s="44"/>
    </row>
    <row r="6" customFormat="false" ht="20.25" hidden="false" customHeight="false" outlineLevel="0" collapsed="false">
      <c r="A6" s="41" t="s">
        <v>167</v>
      </c>
      <c r="B6" s="43" t="n">
        <f aca="false">_xlfn.xlookup(_xlfn.CONCAT("*","Well-",$A6,B$4,"*"),'Flow 3 Input'!$B$9:$B$1000,'Flow 3 Input'!$C$9:$C$1000,0,2)</f>
        <v>0</v>
      </c>
      <c r="C6" s="43" t="n">
        <f aca="false">_xlfn.xlookup(_xlfn.CONCAT("*","Well-",$A6,C$4,"*"),'Flow 3 Input'!$B$9:$B$1000,'Flow 3 Input'!$C$9:$C$1000,0,2)</f>
        <v>0</v>
      </c>
      <c r="D6" s="43" t="n">
        <f aca="false">_xlfn.xlookup(_xlfn.CONCAT("*","Well-",$A6,D$4,"*"),'Flow 3 Input'!$B$9:$B$1000,'Flow 3 Input'!$C$9:$C$1000,0,2)</f>
        <v>0</v>
      </c>
      <c r="E6" s="43" t="n">
        <f aca="false">_xlfn.xlookup(_xlfn.CONCAT("*","Well-",$A6,E$4,"*"),'Flow 3 Input'!$B$9:$B$1000,'Flow 3 Input'!$C$9:$C$1000,0,2)</f>
        <v>0</v>
      </c>
      <c r="F6" s="43" t="n">
        <f aca="false">_xlfn.xlookup(_xlfn.CONCAT("*","Well-",$A6,F$4,"*"),'Flow 3 Input'!$B$9:$B$1000,'Flow 3 Input'!$C$9:$C$1000,0,2)</f>
        <v>0</v>
      </c>
      <c r="G6" s="43" t="n">
        <f aca="false">_xlfn.xlookup(_xlfn.CONCAT("*","Well-",$A6,G$4,"*"),'Flow 3 Input'!$B$9:$B$1000,'Flow 3 Input'!$C$9:$C$1000,0,2)</f>
        <v>0</v>
      </c>
      <c r="H6" s="43" t="n">
        <f aca="false">_xlfn.xlookup(_xlfn.CONCAT("*","Well-",$A6,H$4,"*"),'Flow 3 Input'!$B$9:$B$1000,'Flow 3 Input'!$C$9:$C$1000,0,2)</f>
        <v>0</v>
      </c>
      <c r="I6" s="43" t="n">
        <f aca="false">_xlfn.xlookup(_xlfn.CONCAT("*","Well-",$A6,I$4,"*"),'Flow 3 Input'!$B$9:$B$1000,'Flow 3 Input'!$C$9:$C$1000,0,2)</f>
        <v>0</v>
      </c>
      <c r="J6" s="43" t="n">
        <f aca="false">_xlfn.xlookup(_xlfn.CONCAT("*","Well-",$A6,J$4,"*"),'Flow 3 Input'!$B$9:$B$1000,'Flow 3 Input'!$C$9:$C$1000,0,2)</f>
        <v>0</v>
      </c>
      <c r="K6" s="43" t="n">
        <f aca="false">_xlfn.xlookup(_xlfn.CONCAT("*","Well-",$A6,K$4,"*"),'Flow 3 Input'!$B$9:$B$1000,'Flow 3 Input'!$C$9:$C$1000,0,2)</f>
        <v>0</v>
      </c>
      <c r="L6" s="43" t="n">
        <f aca="false">_xlfn.xlookup(_xlfn.CONCAT("*","Well-",$A6,L$4,"*"),'Flow 3 Input'!$B$9:$B$1000,'Flow 3 Input'!$C$9:$C$1000,0,2)</f>
        <v>0</v>
      </c>
      <c r="M6" s="43" t="n">
        <f aca="false">_xlfn.xlookup(_xlfn.CONCAT("*","Well-",$A6,M$4,"*"),'Flow 3 Input'!$B$9:$B$1000,'Flow 3 Input'!$C$9:$C$1000,0,2)</f>
        <v>0</v>
      </c>
      <c r="N6" s="44"/>
    </row>
    <row r="7" customFormat="false" ht="20.25" hidden="false" customHeight="false" outlineLevel="0" collapsed="false">
      <c r="A7" s="41" t="s">
        <v>168</v>
      </c>
      <c r="B7" s="43" t="n">
        <f aca="false">_xlfn.xlookup(_xlfn.CONCAT("*","Well-",$A7,B$4,"*"),'Flow 3 Input'!$B$9:$B$1000,'Flow 3 Input'!$C$9:$C$1000,0,2)</f>
        <v>0</v>
      </c>
      <c r="C7" s="43" t="n">
        <f aca="false">_xlfn.xlookup(_xlfn.CONCAT("*","Well-",$A7,C$4,"*"),'Flow 3 Input'!$B$9:$B$1000,'Flow 3 Input'!$C$9:$C$1000,0,2)</f>
        <v>0</v>
      </c>
      <c r="D7" s="43" t="n">
        <f aca="false">_xlfn.xlookup(_xlfn.CONCAT("*","Well-",$A7,D$4,"*"),'Flow 3 Input'!$B$9:$B$1000,'Flow 3 Input'!$C$9:$C$1000,0,2)</f>
        <v>0</v>
      </c>
      <c r="E7" s="43" t="n">
        <f aca="false">_xlfn.xlookup(_xlfn.CONCAT("*","Well-",$A7,E$4,"*"),'Flow 3 Input'!$B$9:$B$1000,'Flow 3 Input'!$C$9:$C$1000,0,2)</f>
        <v>0</v>
      </c>
      <c r="F7" s="43" t="n">
        <f aca="false">_xlfn.xlookup(_xlfn.CONCAT("*","Well-",$A7,F$4,"*"),'Flow 3 Input'!$B$9:$B$1000,'Flow 3 Input'!$C$9:$C$1000,0,2)</f>
        <v>0</v>
      </c>
      <c r="G7" s="43" t="n">
        <f aca="false">_xlfn.xlookup(_xlfn.CONCAT("*","Well-",$A7,G$4,"*"),'Flow 3 Input'!$B$9:$B$1000,'Flow 3 Input'!$C$9:$C$1000,0,2)</f>
        <v>0</v>
      </c>
      <c r="H7" s="43" t="n">
        <f aca="false">_xlfn.xlookup(_xlfn.CONCAT("*","Well-",$A7,H$4,"*"),'Flow 3 Input'!$B$9:$B$1000,'Flow 3 Input'!$C$9:$C$1000,0,2)</f>
        <v>0</v>
      </c>
      <c r="I7" s="43" t="n">
        <f aca="false">_xlfn.xlookup(_xlfn.CONCAT("*","Well-",$A7,I$4,"*"),'Flow 3 Input'!$B$9:$B$1000,'Flow 3 Input'!$C$9:$C$1000,0,2)</f>
        <v>0</v>
      </c>
      <c r="J7" s="43" t="n">
        <f aca="false">_xlfn.xlookup(_xlfn.CONCAT("*","Well-",$A7,J$4,"*"),'Flow 3 Input'!$B$9:$B$1000,'Flow 3 Input'!$C$9:$C$1000,0,2)</f>
        <v>0</v>
      </c>
      <c r="K7" s="43" t="n">
        <f aca="false">_xlfn.xlookup(_xlfn.CONCAT("*","Well-",$A7,K$4,"*"),'Flow 3 Input'!$B$9:$B$1000,'Flow 3 Input'!$C$9:$C$1000,0,2)</f>
        <v>0</v>
      </c>
      <c r="L7" s="43" t="n">
        <f aca="false">_xlfn.xlookup(_xlfn.CONCAT("*","Well-",$A7,L$4,"*"),'Flow 3 Input'!$B$9:$B$1000,'Flow 3 Input'!$C$9:$C$1000,0,2)</f>
        <v>0</v>
      </c>
      <c r="M7" s="43" t="n">
        <f aca="false">_xlfn.xlookup(_xlfn.CONCAT("*","Well-",$A7,M$4,"*"),'Flow 3 Input'!$B$9:$B$1000,'Flow 3 Input'!$C$9:$C$1000,0,2)</f>
        <v>0</v>
      </c>
      <c r="N7" s="44"/>
    </row>
    <row r="8" customFormat="false" ht="20.25" hidden="false" customHeight="false" outlineLevel="0" collapsed="false">
      <c r="A8" s="41" t="s">
        <v>169</v>
      </c>
      <c r="B8" s="43" t="n">
        <f aca="false">_xlfn.xlookup(_xlfn.CONCAT("*","Well-",$A8,B$4,"*"),'Flow 3 Input'!$B$9:$B$1000,'Flow 3 Input'!$C$9:$C$1000,0,2)</f>
        <v>0</v>
      </c>
      <c r="C8" s="43" t="n">
        <f aca="false">_xlfn.xlookup(_xlfn.CONCAT("*","Well-",$A8,C$4,"*"),'Flow 3 Input'!$B$9:$B$1000,'Flow 3 Input'!$C$9:$C$1000,0,2)</f>
        <v>0</v>
      </c>
      <c r="D8" s="43" t="n">
        <f aca="false">_xlfn.xlookup(_xlfn.CONCAT("*","Well-",$A8,D$4,"*"),'Flow 3 Input'!$B$9:$B$1000,'Flow 3 Input'!$C$9:$C$1000,0,2)</f>
        <v>0</v>
      </c>
      <c r="E8" s="43" t="n">
        <f aca="false">_xlfn.xlookup(_xlfn.CONCAT("*","Well-",$A8,E$4,"*"),'Flow 3 Input'!$B$9:$B$1000,'Flow 3 Input'!$C$9:$C$1000,0,2)</f>
        <v>0</v>
      </c>
      <c r="F8" s="43" t="n">
        <f aca="false">_xlfn.xlookup(_xlfn.CONCAT("*","Well-",$A8,F$4,"*"),'Flow 3 Input'!$B$9:$B$1000,'Flow 3 Input'!$C$9:$C$1000,0,2)</f>
        <v>0</v>
      </c>
      <c r="G8" s="43" t="n">
        <f aca="false">_xlfn.xlookup(_xlfn.CONCAT("*","Well-",$A8,G$4,"*"),'Flow 3 Input'!$B$9:$B$1000,'Flow 3 Input'!$C$9:$C$1000,0,2)</f>
        <v>0</v>
      </c>
      <c r="H8" s="43" t="n">
        <f aca="false">_xlfn.xlookup(_xlfn.CONCAT("*","Well-",$A8,H$4,"*"),'Flow 3 Input'!$B$9:$B$1000,'Flow 3 Input'!$C$9:$C$1000,0,2)</f>
        <v>0</v>
      </c>
      <c r="I8" s="43" t="n">
        <f aca="false">_xlfn.xlookup(_xlfn.CONCAT("*","Well-",$A8,I$4,"*"),'Flow 3 Input'!$B$9:$B$1000,'Flow 3 Input'!$C$9:$C$1000,0,2)</f>
        <v>0</v>
      </c>
      <c r="J8" s="43" t="n">
        <f aca="false">_xlfn.xlookup(_xlfn.CONCAT("*","Well-",$A8,J$4,"*"),'Flow 3 Input'!$B$9:$B$1000,'Flow 3 Input'!$C$9:$C$1000,0,2)</f>
        <v>0</v>
      </c>
      <c r="K8" s="43" t="n">
        <f aca="false">_xlfn.xlookup(_xlfn.CONCAT("*","Well-",$A8,K$4,"*"),'Flow 3 Input'!$B$9:$B$1000,'Flow 3 Input'!$C$9:$C$1000,0,2)</f>
        <v>0</v>
      </c>
      <c r="L8" s="43" t="n">
        <f aca="false">_xlfn.xlookup(_xlfn.CONCAT("*","Well-",$A8,L$4,"*"),'Flow 3 Input'!$B$9:$B$1000,'Flow 3 Input'!$C$9:$C$1000,0,2)</f>
        <v>0</v>
      </c>
      <c r="M8" s="43" t="n">
        <f aca="false">_xlfn.xlookup(_xlfn.CONCAT("*","Well-",$A8,M$4,"*"),'Flow 3 Input'!$B$9:$B$1000,'Flow 3 Input'!$C$9:$C$1000,0,2)</f>
        <v>0</v>
      </c>
      <c r="N8" s="44"/>
    </row>
    <row r="9" customFormat="false" ht="20.25" hidden="false" customHeight="false" outlineLevel="0" collapsed="false">
      <c r="A9" s="41" t="s">
        <v>170</v>
      </c>
      <c r="B9" s="43" t="n">
        <f aca="false">_xlfn.xlookup(_xlfn.CONCAT("*","Well-",$A9,B$4,"*"),'Flow 3 Input'!$B$9:$B$1000,'Flow 3 Input'!$C$9:$C$1000,0,2)</f>
        <v>0</v>
      </c>
      <c r="C9" s="43" t="n">
        <f aca="false">_xlfn.xlookup(_xlfn.CONCAT("*","Well-",$A9,C$4,"*"),'Flow 3 Input'!$B$9:$B$1000,'Flow 3 Input'!$C$9:$C$1000,0,2)</f>
        <v>0</v>
      </c>
      <c r="D9" s="43" t="n">
        <f aca="false">_xlfn.xlookup(_xlfn.CONCAT("*","Well-",$A9,D$4,"*"),'Flow 3 Input'!$B$9:$B$1000,'Flow 3 Input'!$C$9:$C$1000,0,2)</f>
        <v>0</v>
      </c>
      <c r="E9" s="43" t="n">
        <f aca="false">_xlfn.xlookup(_xlfn.CONCAT("*","Well-",$A9,E$4,"*"),'Flow 3 Input'!$B$9:$B$1000,'Flow 3 Input'!$C$9:$C$1000,0,2)</f>
        <v>0</v>
      </c>
      <c r="F9" s="43" t="n">
        <f aca="false">_xlfn.xlookup(_xlfn.CONCAT("*","Well-",$A9,F$4,"*"),'Flow 3 Input'!$B$9:$B$1000,'Flow 3 Input'!$C$9:$C$1000,0,2)</f>
        <v>0</v>
      </c>
      <c r="G9" s="43" t="n">
        <f aca="false">_xlfn.xlookup(_xlfn.CONCAT("*","Well-",$A9,G$4,"*"),'Flow 3 Input'!$B$9:$B$1000,'Flow 3 Input'!$C$9:$C$1000,0,2)</f>
        <v>0</v>
      </c>
      <c r="H9" s="43" t="n">
        <f aca="false">_xlfn.xlookup(_xlfn.CONCAT("*","Well-",$A9,H$4,"*"),'Flow 3 Input'!$B$9:$B$1000,'Flow 3 Input'!$C$9:$C$1000,0,2)</f>
        <v>0</v>
      </c>
      <c r="I9" s="43" t="n">
        <f aca="false">_xlfn.xlookup(_xlfn.CONCAT("*","Well-",$A9,I$4,"*"),'Flow 3 Input'!$B$9:$B$1000,'Flow 3 Input'!$C$9:$C$1000,0,2)</f>
        <v>0</v>
      </c>
      <c r="J9" s="43" t="n">
        <f aca="false">_xlfn.xlookup(_xlfn.CONCAT("*","Well-",$A9,J$4,"*"),'Flow 3 Input'!$B$9:$B$1000,'Flow 3 Input'!$C$9:$C$1000,0,2)</f>
        <v>0</v>
      </c>
      <c r="K9" s="43" t="n">
        <f aca="false">_xlfn.xlookup(_xlfn.CONCAT("*","Well-",$A9,K$4,"*"),'Flow 3 Input'!$B$9:$B$1000,'Flow 3 Input'!$C$9:$C$1000,0,2)</f>
        <v>0</v>
      </c>
      <c r="L9" s="43" t="n">
        <f aca="false">_xlfn.xlookup(_xlfn.CONCAT("*","Well-",$A9,L$4,"*"),'Flow 3 Input'!$B$9:$B$1000,'Flow 3 Input'!$C$9:$C$1000,0,2)</f>
        <v>0</v>
      </c>
      <c r="M9" s="43" t="n">
        <f aca="false">_xlfn.xlookup(_xlfn.CONCAT("*","Well-",$A9,M$4,"*"),'Flow 3 Input'!$B$9:$B$1000,'Flow 3 Input'!$C$9:$C$1000,0,2)</f>
        <v>0</v>
      </c>
      <c r="N9" s="44"/>
    </row>
    <row r="10" customFormat="false" ht="20.25" hidden="false" customHeight="false" outlineLevel="0" collapsed="false">
      <c r="A10" s="41" t="s">
        <v>171</v>
      </c>
      <c r="B10" s="43" t="n">
        <f aca="false">_xlfn.xlookup(_xlfn.CONCAT("*","Well-",$A10,B$4,"*"),'Flow 3 Input'!$B$9:$B$1000,'Flow 3 Input'!$C$9:$C$1000,0,2)</f>
        <v>0</v>
      </c>
      <c r="C10" s="43" t="n">
        <f aca="false">_xlfn.xlookup(_xlfn.CONCAT("*","Well-",$A10,C$4,"*"),'Flow 3 Input'!$B$9:$B$1000,'Flow 3 Input'!$C$9:$C$1000,0,2)</f>
        <v>0</v>
      </c>
      <c r="D10" s="43" t="n">
        <f aca="false">_xlfn.xlookup(_xlfn.CONCAT("*","Well-",$A10,D$4,"*"),'Flow 3 Input'!$B$9:$B$1000,'Flow 3 Input'!$C$9:$C$1000,0,2)</f>
        <v>0</v>
      </c>
      <c r="E10" s="43" t="n">
        <f aca="false">_xlfn.xlookup(_xlfn.CONCAT("*","Well-",$A10,E$4,"*"),'Flow 3 Input'!$B$9:$B$1000,'Flow 3 Input'!$C$9:$C$1000,0,2)</f>
        <v>0</v>
      </c>
      <c r="F10" s="43" t="n">
        <f aca="false">_xlfn.xlookup(_xlfn.CONCAT("*","Well-",$A10,F$4,"*"),'Flow 3 Input'!$B$9:$B$1000,'Flow 3 Input'!$C$9:$C$1000,0,2)</f>
        <v>0</v>
      </c>
      <c r="G10" s="43" t="n">
        <f aca="false">_xlfn.xlookup(_xlfn.CONCAT("*","Well-",$A10,G$4,"*"),'Flow 3 Input'!$B$9:$B$1000,'Flow 3 Input'!$C$9:$C$1000,0,2)</f>
        <v>0</v>
      </c>
      <c r="H10" s="43" t="n">
        <f aca="false">_xlfn.xlookup(_xlfn.CONCAT("*","Well-",$A10,H$4,"*"),'Flow 3 Input'!$B$9:$B$1000,'Flow 3 Input'!$C$9:$C$1000,0,2)</f>
        <v>0</v>
      </c>
      <c r="I10" s="43" t="n">
        <f aca="false">_xlfn.xlookup(_xlfn.CONCAT("*","Well-",$A10,I$4,"*"),'Flow 3 Input'!$B$9:$B$1000,'Flow 3 Input'!$C$9:$C$1000,0,2)</f>
        <v>0</v>
      </c>
      <c r="J10" s="43" t="n">
        <f aca="false">_xlfn.xlookup(_xlfn.CONCAT("*","Well-",$A10,J$4,"*"),'Flow 3 Input'!$B$9:$B$1000,'Flow 3 Input'!$C$9:$C$1000,0,2)</f>
        <v>0</v>
      </c>
      <c r="K10" s="43" t="n">
        <f aca="false">_xlfn.xlookup(_xlfn.CONCAT("*","Well-",$A10,K$4,"*"),'Flow 3 Input'!$B$9:$B$1000,'Flow 3 Input'!$C$9:$C$1000,0,2)</f>
        <v>0</v>
      </c>
      <c r="L10" s="43" t="n">
        <f aca="false">_xlfn.xlookup(_xlfn.CONCAT("*","Well-",$A10,L$4,"*"),'Flow 3 Input'!$B$9:$B$1000,'Flow 3 Input'!$C$9:$C$1000,0,2)</f>
        <v>0</v>
      </c>
      <c r="M10" s="43" t="n">
        <f aca="false">_xlfn.xlookup(_xlfn.CONCAT("*","Well-",$A10,M$4,"*"),'Flow 3 Input'!$B$9:$B$1000,'Flow 3 Input'!$C$9:$C$1000,0,2)</f>
        <v>0</v>
      </c>
      <c r="N10" s="44"/>
    </row>
    <row r="11" customFormat="false" ht="20.25" hidden="false" customHeight="false" outlineLevel="0" collapsed="false">
      <c r="A11" s="41" t="s">
        <v>172</v>
      </c>
      <c r="B11" s="43" t="n">
        <f aca="false">_xlfn.xlookup(_xlfn.CONCAT("*","Well-",$A11,B$4,"*"),'Flow 3 Input'!$B$9:$B$1000,'Flow 3 Input'!$C$9:$C$1000,0,2)</f>
        <v>0</v>
      </c>
      <c r="C11" s="43" t="n">
        <f aca="false">_xlfn.xlookup(_xlfn.CONCAT("*","Well-",$A11,C$4,"*"),'Flow 3 Input'!$B$9:$B$1000,'Flow 3 Input'!$C$9:$C$1000,0,2)</f>
        <v>0</v>
      </c>
      <c r="D11" s="43" t="n">
        <f aca="false">_xlfn.xlookup(_xlfn.CONCAT("*","Well-",$A11,D$4,"*"),'Flow 3 Input'!$B$9:$B$1000,'Flow 3 Input'!$C$9:$C$1000,0,2)</f>
        <v>0</v>
      </c>
      <c r="E11" s="43" t="n">
        <f aca="false">_xlfn.xlookup(_xlfn.CONCAT("*","Well-",$A11,E$4,"*"),'Flow 3 Input'!$B$9:$B$1000,'Flow 3 Input'!$C$9:$C$1000,0,2)</f>
        <v>0</v>
      </c>
      <c r="F11" s="43" t="n">
        <f aca="false">_xlfn.xlookup(_xlfn.CONCAT("*","Well-",$A11,F$4,"*"),'Flow 3 Input'!$B$9:$B$1000,'Flow 3 Input'!$C$9:$C$1000,0,2)</f>
        <v>0</v>
      </c>
      <c r="G11" s="43" t="n">
        <f aca="false">_xlfn.xlookup(_xlfn.CONCAT("*","Well-",$A11,G$4,"*"),'Flow 3 Input'!$B$9:$B$1000,'Flow 3 Input'!$C$9:$C$1000,0,2)</f>
        <v>0</v>
      </c>
      <c r="H11" s="43" t="n">
        <f aca="false">_xlfn.xlookup(_xlfn.CONCAT("*","Well-",$A11,H$4,"*"),'Flow 3 Input'!$B$9:$B$1000,'Flow 3 Input'!$C$9:$C$1000,0,2)</f>
        <v>0</v>
      </c>
      <c r="I11" s="43" t="n">
        <f aca="false">_xlfn.xlookup(_xlfn.CONCAT("*","Well-",$A11,I$4,"*"),'Flow 3 Input'!$B$9:$B$1000,'Flow 3 Input'!$C$9:$C$1000,0,2)</f>
        <v>0</v>
      </c>
      <c r="J11" s="43" t="n">
        <f aca="false">_xlfn.xlookup(_xlfn.CONCAT("*","Well-",$A11,J$4,"*"),'Flow 3 Input'!$B$9:$B$1000,'Flow 3 Input'!$C$9:$C$1000,0,2)</f>
        <v>0</v>
      </c>
      <c r="K11" s="43" t="n">
        <f aca="false">_xlfn.xlookup(_xlfn.CONCAT("*","Well-",$A11,K$4,"*"),'Flow 3 Input'!$B$9:$B$1000,'Flow 3 Input'!$C$9:$C$1000,0,2)</f>
        <v>0</v>
      </c>
      <c r="L11" s="43" t="n">
        <f aca="false">_xlfn.xlookup(_xlfn.CONCAT("*","Well-",$A11,L$4,"*"),'Flow 3 Input'!$B$9:$B$1000,'Flow 3 Input'!$C$9:$C$1000,0,2)</f>
        <v>0</v>
      </c>
      <c r="M11" s="43" t="n">
        <f aca="false">_xlfn.xlookup(_xlfn.CONCAT("*","Well-",$A11,M$4,"*"),'Flow 3 Input'!$B$9:$B$1000,'Flow 3 Input'!$C$9:$C$1000,0,2)</f>
        <v>0</v>
      </c>
      <c r="N11" s="44"/>
    </row>
    <row r="12" customFormat="false" ht="20.25" hidden="false" customHeight="false" outlineLevel="0" collapsed="false">
      <c r="A12" s="41" t="s">
        <v>173</v>
      </c>
      <c r="B12" s="43" t="n">
        <f aca="false">_xlfn.xlookup(_xlfn.CONCAT("*","Well-",$A12,B$4,"*"),'Flow 3 Input'!$B$9:$B$1000,'Flow 3 Input'!$C$9:$C$1000,0,2)</f>
        <v>0</v>
      </c>
      <c r="C12" s="43" t="n">
        <f aca="false">_xlfn.xlookup(_xlfn.CONCAT("*","Well-",$A12,C$4,"*"),'Flow 3 Input'!$B$9:$B$1000,'Flow 3 Input'!$C$9:$C$1000,0,2)</f>
        <v>0</v>
      </c>
      <c r="D12" s="43" t="n">
        <f aca="false">_xlfn.xlookup(_xlfn.CONCAT("*","Well-",$A12,D$4,"*"),'Flow 3 Input'!$B$9:$B$1000,'Flow 3 Input'!$C$9:$C$1000,0,2)</f>
        <v>0</v>
      </c>
      <c r="E12" s="43" t="n">
        <f aca="false">_xlfn.xlookup(_xlfn.CONCAT("*","Well-",$A12,E$4,"*"),'Flow 3 Input'!$B$9:$B$1000,'Flow 3 Input'!$C$9:$C$1000,0,2)</f>
        <v>0</v>
      </c>
      <c r="F12" s="43" t="n">
        <f aca="false">_xlfn.xlookup(_xlfn.CONCAT("*","Well-",$A12,F$4,"*"),'Flow 3 Input'!$B$9:$B$1000,'Flow 3 Input'!$C$9:$C$1000,0,2)</f>
        <v>0</v>
      </c>
      <c r="G12" s="43" t="n">
        <f aca="false">_xlfn.xlookup(_xlfn.CONCAT("*","Well-",$A12,G$4,"*"),'Flow 3 Input'!$B$9:$B$1000,'Flow 3 Input'!$C$9:$C$1000,0,2)</f>
        <v>0</v>
      </c>
      <c r="H12" s="43" t="n">
        <f aca="false">_xlfn.xlookup(_xlfn.CONCAT("*","Well-",$A12,H$4,"*"),'Flow 3 Input'!$B$9:$B$1000,'Flow 3 Input'!$C$9:$C$1000,0,2)</f>
        <v>0</v>
      </c>
      <c r="I12" s="43" t="n">
        <f aca="false">_xlfn.xlookup(_xlfn.CONCAT("*","Well-",$A12,I$4,"*"),'Flow 3 Input'!$B$9:$B$1000,'Flow 3 Input'!$C$9:$C$1000,0,2)</f>
        <v>0</v>
      </c>
      <c r="J12" s="43" t="n">
        <f aca="false">_xlfn.xlookup(_xlfn.CONCAT("*","Well-",$A12,J$4,"*"),'Flow 3 Input'!$B$9:$B$1000,'Flow 3 Input'!$C$9:$C$1000,0,2)</f>
        <v>0</v>
      </c>
      <c r="K12" s="43" t="n">
        <f aca="false">_xlfn.xlookup(_xlfn.CONCAT("*","Well-",$A12,K$4,"*"),'Flow 3 Input'!$B$9:$B$1000,'Flow 3 Input'!$C$9:$C$1000,0,2)</f>
        <v>0</v>
      </c>
      <c r="L12" s="43" t="n">
        <f aca="false">_xlfn.xlookup(_xlfn.CONCAT("*","Well-",$A12,L$4,"*"),'Flow 3 Input'!$B$9:$B$1000,'Flow 3 Input'!$C$9:$C$1000,0,2)</f>
        <v>0</v>
      </c>
      <c r="M12" s="43" t="n">
        <f aca="false">_xlfn.xlookup(_xlfn.CONCAT("*","Well-",$A12,M$4,"*"),'Flow 3 Input'!$B$9:$B$1000,'Flow 3 Input'!$C$9:$C$1000,0,2)</f>
        <v>0</v>
      </c>
      <c r="N12" s="44"/>
    </row>
    <row r="18" customFormat="false" ht="20.25" hidden="false" customHeight="false" outlineLevel="0" collapsed="false">
      <c r="F18" s="41"/>
    </row>
  </sheetData>
  <conditionalFormatting sqref="N6:N12">
    <cfRule type="expression" priority="2" aboveAverage="0" equalAverage="0" bottom="0" percent="0" rank="0" text="" dxfId="7">
      <formula>AND(N6&gt;0, N6&lt;=50)</formula>
    </cfRule>
  </conditionalFormatting>
  <conditionalFormatting sqref="N5">
    <cfRule type="expression" priority="3" aboveAverage="0" equalAverage="0" bottom="0" percent="0" rank="0" text="" dxfId="8">
      <formula>AND(N5&gt;0, N5&lt;=50)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J1000"/>
  <sheetViews>
    <sheetView showFormulas="false" showGridLines="false" showRowColHeaders="true" showZeros="true" rightToLeft="false" tabSelected="false" showOutlineSymbols="true" defaultGridColor="true" view="normal" topLeftCell="A1" colorId="64" zoomScale="125" zoomScaleNormal="125" zoomScalePageLayoutView="125" workbookViewId="0">
      <selection pane="topLeft" activeCell="I9" activeCellId="0" sqref="I9"/>
    </sheetView>
  </sheetViews>
  <sheetFormatPr defaultColWidth="8.859375" defaultRowHeight="12.75" zeroHeight="false" outlineLevelRow="0" outlineLevelCol="0"/>
  <cols>
    <col collapsed="false" customWidth="true" hidden="false" outlineLevel="0" max="1" min="1" style="33" width="8.42"/>
    <col collapsed="false" customWidth="true" hidden="false" outlineLevel="0" max="2" min="2" style="33" width="39.29"/>
    <col collapsed="false" customWidth="true" hidden="false" outlineLevel="0" max="3" min="3" style="33" width="10.42"/>
    <col collapsed="false" customWidth="true" hidden="false" outlineLevel="0" max="4" min="4" style="33" width="8.71"/>
    <col collapsed="false" customWidth="true" hidden="false" outlineLevel="0" max="5" min="5" style="34" width="14.29"/>
    <col collapsed="false" customWidth="true" hidden="true" outlineLevel="0" max="7" min="6" style="34" width="9"/>
    <col collapsed="false" customWidth="true" hidden="true" outlineLevel="0" max="8" min="8" style="35" width="11.85"/>
    <col collapsed="false" customWidth="true" hidden="false" outlineLevel="0" max="9" min="9" style="34" width="17"/>
    <col collapsed="false" customWidth="true" hidden="false" outlineLevel="0" max="10" min="10" style="34" width="20"/>
    <col collapsed="false" customWidth="false" hidden="false" outlineLevel="0" max="16384" min="11" style="34" width="8.86"/>
  </cols>
  <sheetData>
    <row r="1" s="34" customFormat="true" ht="12.75" hidden="false" customHeight="false" outlineLevel="0" collapsed="false">
      <c r="H1" s="35"/>
    </row>
    <row r="2" s="34" customFormat="true" ht="12.75" hidden="false" customHeight="false" outlineLevel="0" collapsed="false">
      <c r="H2" s="35"/>
    </row>
    <row r="3" s="34" customFormat="true" ht="12.75" hidden="false" customHeight="false" outlineLevel="0" collapsed="false">
      <c r="H3" s="35"/>
    </row>
    <row r="4" s="34" customFormat="true" ht="12.75" hidden="false" customHeight="false" outlineLevel="0" collapsed="false">
      <c r="H4" s="35"/>
    </row>
    <row r="5" s="34" customFormat="true" ht="12.75" hidden="false" customHeight="false" outlineLevel="0" collapsed="false">
      <c r="H5" s="35"/>
    </row>
    <row r="6" s="34" customFormat="true" ht="12.75" hidden="false" customHeight="false" outlineLevel="0" collapsed="false">
      <c r="H6" s="35"/>
    </row>
    <row r="7" s="34" customFormat="true" ht="12.75" hidden="false" customHeight="false" outlineLevel="0" collapsed="false">
      <c r="H7" s="35"/>
    </row>
    <row r="8" customFormat="false" ht="12.75" hidden="false" customHeight="true" outlineLevel="0" collapsed="false">
      <c r="A8" s="36" t="s">
        <v>155</v>
      </c>
      <c r="B8" s="36" t="s">
        <v>156</v>
      </c>
      <c r="C8" s="36" t="s">
        <v>157</v>
      </c>
      <c r="D8" s="36" t="s">
        <v>158</v>
      </c>
      <c r="E8" s="37" t="s">
        <v>159</v>
      </c>
      <c r="F8" s="37" t="s">
        <v>160</v>
      </c>
      <c r="G8" s="37" t="s">
        <v>161</v>
      </c>
      <c r="H8" s="38" t="s">
        <v>162</v>
      </c>
      <c r="I8" s="38" t="s">
        <v>163</v>
      </c>
      <c r="J8" s="38" t="s">
        <v>164</v>
      </c>
    </row>
    <row r="9" customFormat="false" ht="12.75" hidden="false" customHeight="true" outlineLevel="0" collapsed="false">
      <c r="E9" s="34" t="str">
        <f aca="false">MID(B9,9,1)</f>
        <v/>
      </c>
      <c r="F9" s="34" t="str">
        <f aca="false">MID(B9,10,1)</f>
        <v/>
      </c>
      <c r="G9" s="34" t="str">
        <f aca="false">MID(B9,11,1)</f>
        <v/>
      </c>
      <c r="H9" s="35" t="str">
        <f aca="false">IF(G9=".",F9,CONCATENATE(F9,G9))</f>
        <v/>
      </c>
      <c r="I9" s="34" t="n">
        <f aca="false">IFERROR(VALUE(H9),)</f>
        <v>0</v>
      </c>
      <c r="J9" s="34" t="e">
        <f aca="false">RIGHT(B9,LEN(B9)-FIND("/",B9, FIND("Single Cells",B9, 1)))</f>
        <v>#VALUE!</v>
      </c>
    </row>
    <row r="10" customFormat="false" ht="12.75" hidden="false" customHeight="true" outlineLevel="0" collapsed="false">
      <c r="E10" s="34" t="str">
        <f aca="false">MID(B10,9,1)</f>
        <v/>
      </c>
      <c r="F10" s="34" t="str">
        <f aca="false">MID(B10,10,1)</f>
        <v/>
      </c>
      <c r="G10" s="34" t="str">
        <f aca="false">MID(B10,11,1)</f>
        <v/>
      </c>
      <c r="H10" s="35" t="str">
        <f aca="false">IF(G10=".",F10,CONCATENATE(F10,G10))</f>
        <v/>
      </c>
      <c r="I10" s="34" t="n">
        <f aca="false">IFERROR(VALUE(H10),)</f>
        <v>0</v>
      </c>
      <c r="J10" s="34" t="e">
        <f aca="false">RIGHT(B10,LEN(B10)-FIND("/",B10, FIND("Single Cells",B10, 1)))</f>
        <v>#VALUE!</v>
      </c>
    </row>
    <row r="11" customFormat="false" ht="12.75" hidden="false" customHeight="true" outlineLevel="0" collapsed="false">
      <c r="E11" s="34" t="str">
        <f aca="false">MID(B11,9,1)</f>
        <v/>
      </c>
      <c r="F11" s="34" t="str">
        <f aca="false">MID(B11,10,1)</f>
        <v/>
      </c>
      <c r="G11" s="34" t="str">
        <f aca="false">MID(B11,11,1)</f>
        <v/>
      </c>
      <c r="H11" s="35" t="str">
        <f aca="false">IF(G11=".",F11,CONCATENATE(F11,G11))</f>
        <v/>
      </c>
      <c r="I11" s="34" t="n">
        <f aca="false">IFERROR(VALUE(H11),)</f>
        <v>0</v>
      </c>
      <c r="J11" s="34" t="e">
        <f aca="false">RIGHT(B11,LEN(B11)-FIND("/",B11, FIND("Single Cells",B11, 1)))</f>
        <v>#VALUE!</v>
      </c>
    </row>
    <row r="12" customFormat="false" ht="12.75" hidden="false" customHeight="true" outlineLevel="0" collapsed="false">
      <c r="E12" s="34" t="str">
        <f aca="false">MID(B12,9,1)</f>
        <v/>
      </c>
      <c r="F12" s="34" t="str">
        <f aca="false">MID(B12,10,1)</f>
        <v/>
      </c>
      <c r="G12" s="34" t="str">
        <f aca="false">MID(B12,11,1)</f>
        <v/>
      </c>
      <c r="H12" s="35" t="str">
        <f aca="false">IF(G12=".",F12,CONCATENATE(F12,G12))</f>
        <v/>
      </c>
      <c r="I12" s="34" t="n">
        <f aca="false">IFERROR(VALUE(H12),)</f>
        <v>0</v>
      </c>
      <c r="J12" s="34" t="e">
        <f aca="false">RIGHT(B12,LEN(B12)-FIND("/",B12, FIND("Single Cells",B12, 1)))</f>
        <v>#VALUE!</v>
      </c>
    </row>
    <row r="13" customFormat="false" ht="12.75" hidden="false" customHeight="true" outlineLevel="0" collapsed="false">
      <c r="E13" s="34" t="str">
        <f aca="false">MID(B13,9,1)</f>
        <v/>
      </c>
      <c r="F13" s="34" t="str">
        <f aca="false">MID(B13,10,1)</f>
        <v/>
      </c>
      <c r="G13" s="34" t="str">
        <f aca="false">MID(B13,11,1)</f>
        <v/>
      </c>
      <c r="H13" s="35" t="str">
        <f aca="false">IF(G13=".",F13,CONCATENATE(F13,G13))</f>
        <v/>
      </c>
      <c r="I13" s="34" t="n">
        <f aca="false">IFERROR(VALUE(H13),)</f>
        <v>0</v>
      </c>
      <c r="J13" s="34" t="e">
        <f aca="false">RIGHT(B13,LEN(B13)-FIND("/",B13, FIND("Single Cells",B13, 1)))</f>
        <v>#VALUE!</v>
      </c>
    </row>
    <row r="14" customFormat="false" ht="12.75" hidden="false" customHeight="true" outlineLevel="0" collapsed="false">
      <c r="E14" s="34" t="str">
        <f aca="false">MID(B14,9,1)</f>
        <v/>
      </c>
      <c r="F14" s="34" t="str">
        <f aca="false">MID(B14,10,1)</f>
        <v/>
      </c>
      <c r="G14" s="34" t="str">
        <f aca="false">MID(B14,11,1)</f>
        <v/>
      </c>
      <c r="H14" s="35" t="str">
        <f aca="false">IF(G14=".",F14,CONCATENATE(F14,G14))</f>
        <v/>
      </c>
      <c r="I14" s="34" t="n">
        <f aca="false">IFERROR(VALUE(H14),)</f>
        <v>0</v>
      </c>
      <c r="J14" s="34" t="e">
        <f aca="false">RIGHT(B14,LEN(B14)-FIND("/",B14, FIND("Single Cells",B14, 1)))</f>
        <v>#VALUE!</v>
      </c>
    </row>
    <row r="15" customFormat="false" ht="12.75" hidden="false" customHeight="true" outlineLevel="0" collapsed="false">
      <c r="E15" s="34" t="str">
        <f aca="false">MID(B15,9,1)</f>
        <v/>
      </c>
      <c r="F15" s="34" t="str">
        <f aca="false">MID(B15,10,1)</f>
        <v/>
      </c>
      <c r="G15" s="34" t="str">
        <f aca="false">MID(B15,11,1)</f>
        <v/>
      </c>
      <c r="H15" s="35" t="str">
        <f aca="false">IF(G15=".",F15,CONCATENATE(F15,G15))</f>
        <v/>
      </c>
      <c r="I15" s="34" t="n">
        <f aca="false">IFERROR(VALUE(H15),)</f>
        <v>0</v>
      </c>
      <c r="J15" s="34" t="e">
        <f aca="false">RIGHT(B15,LEN(B15)-FIND("/",B15, FIND("Single Cells",B15, 1)))</f>
        <v>#VALUE!</v>
      </c>
    </row>
    <row r="16" customFormat="false" ht="12.75" hidden="false" customHeight="true" outlineLevel="0" collapsed="false">
      <c r="E16" s="34" t="str">
        <f aca="false">MID(B16,9,1)</f>
        <v/>
      </c>
      <c r="F16" s="34" t="str">
        <f aca="false">MID(B16,10,1)</f>
        <v/>
      </c>
      <c r="G16" s="34" t="str">
        <f aca="false">MID(B16,11,1)</f>
        <v/>
      </c>
      <c r="H16" s="35" t="str">
        <f aca="false">IF(G16=".",F16,CONCATENATE(F16,G16))</f>
        <v/>
      </c>
      <c r="I16" s="34" t="n">
        <f aca="false">IFERROR(VALUE(H16),)</f>
        <v>0</v>
      </c>
      <c r="J16" s="34" t="e">
        <f aca="false">RIGHT(B16,LEN(B16)-FIND("/",B16, FIND("Single Cells",B16, 1)))</f>
        <v>#VALUE!</v>
      </c>
    </row>
    <row r="17" customFormat="false" ht="12.75" hidden="false" customHeight="true" outlineLevel="0" collapsed="false">
      <c r="E17" s="34" t="str">
        <f aca="false">MID(B17,9,1)</f>
        <v/>
      </c>
      <c r="F17" s="34" t="str">
        <f aca="false">MID(B17,10,1)</f>
        <v/>
      </c>
      <c r="G17" s="34" t="str">
        <f aca="false">MID(B17,11,1)</f>
        <v/>
      </c>
      <c r="H17" s="35" t="str">
        <f aca="false">IF(G17=".",F17,CONCATENATE(F17,G17))</f>
        <v/>
      </c>
      <c r="I17" s="34" t="n">
        <f aca="false">IFERROR(VALUE(H17),)</f>
        <v>0</v>
      </c>
      <c r="J17" s="34" t="e">
        <f aca="false">RIGHT(B17,LEN(B17)-FIND("/",B17, FIND("Single Cells",B17, 1)))</f>
        <v>#VALUE!</v>
      </c>
    </row>
    <row r="18" customFormat="false" ht="12.75" hidden="false" customHeight="true" outlineLevel="0" collapsed="false">
      <c r="E18" s="34" t="str">
        <f aca="false">MID(B18,9,1)</f>
        <v/>
      </c>
      <c r="F18" s="34" t="str">
        <f aca="false">MID(B18,10,1)</f>
        <v/>
      </c>
      <c r="G18" s="34" t="str">
        <f aca="false">MID(B18,11,1)</f>
        <v/>
      </c>
      <c r="H18" s="35" t="str">
        <f aca="false">IF(G18=".",F18,CONCATENATE(F18,G18))</f>
        <v/>
      </c>
      <c r="I18" s="34" t="n">
        <f aca="false">IFERROR(VALUE(H18),)</f>
        <v>0</v>
      </c>
      <c r="J18" s="34" t="e">
        <f aca="false">RIGHT(B18,LEN(B18)-FIND("/",B18, FIND("Single Cells",B18, 1)))</f>
        <v>#VALUE!</v>
      </c>
    </row>
    <row r="19" customFormat="false" ht="12.75" hidden="false" customHeight="true" outlineLevel="0" collapsed="false">
      <c r="E19" s="34" t="str">
        <f aca="false">MID(B19,9,1)</f>
        <v/>
      </c>
      <c r="F19" s="34" t="str">
        <f aca="false">MID(B19,10,1)</f>
        <v/>
      </c>
      <c r="G19" s="34" t="str">
        <f aca="false">MID(B19,11,1)</f>
        <v/>
      </c>
      <c r="H19" s="35" t="str">
        <f aca="false">IF(G19=".",F19,CONCATENATE(F19,G19))</f>
        <v/>
      </c>
      <c r="I19" s="34" t="n">
        <f aca="false">IFERROR(VALUE(H19),)</f>
        <v>0</v>
      </c>
      <c r="J19" s="34" t="e">
        <f aca="false">RIGHT(B19,LEN(B19)-FIND("/",B19, FIND("Single Cells",B19, 1)))</f>
        <v>#VALUE!</v>
      </c>
    </row>
    <row r="20" customFormat="false" ht="12.75" hidden="false" customHeight="true" outlineLevel="0" collapsed="false">
      <c r="E20" s="34" t="str">
        <f aca="false">MID(B20,9,1)</f>
        <v/>
      </c>
      <c r="F20" s="34" t="str">
        <f aca="false">MID(B20,10,1)</f>
        <v/>
      </c>
      <c r="G20" s="34" t="str">
        <f aca="false">MID(B20,11,1)</f>
        <v/>
      </c>
      <c r="H20" s="35" t="str">
        <f aca="false">IF(G20=".",F20,CONCATENATE(F20,G20))</f>
        <v/>
      </c>
      <c r="I20" s="34" t="n">
        <f aca="false">IFERROR(VALUE(H20),)</f>
        <v>0</v>
      </c>
      <c r="J20" s="34" t="e">
        <f aca="false">RIGHT(B20,LEN(B20)-FIND("/",B20, FIND("Single Cells",B20, 1)))</f>
        <v>#VALUE!</v>
      </c>
    </row>
    <row r="21" customFormat="false" ht="12.75" hidden="false" customHeight="true" outlineLevel="0" collapsed="false">
      <c r="E21" s="34" t="str">
        <f aca="false">MID(B21,9,1)</f>
        <v/>
      </c>
      <c r="F21" s="34" t="str">
        <f aca="false">MID(B21,10,1)</f>
        <v/>
      </c>
      <c r="G21" s="34" t="str">
        <f aca="false">MID(B21,11,1)</f>
        <v/>
      </c>
      <c r="H21" s="35" t="str">
        <f aca="false">IF(G21=".",F21,CONCATENATE(F21,G21))</f>
        <v/>
      </c>
      <c r="I21" s="34" t="n">
        <f aca="false">IFERROR(VALUE(H21),)</f>
        <v>0</v>
      </c>
      <c r="J21" s="34" t="e">
        <f aca="false">RIGHT(B21,LEN(B21)-FIND("/",B21, FIND("Single Cells",B21, 1)))</f>
        <v>#VALUE!</v>
      </c>
    </row>
    <row r="22" customFormat="false" ht="12.75" hidden="false" customHeight="true" outlineLevel="0" collapsed="false">
      <c r="E22" s="34" t="str">
        <f aca="false">MID(B22,9,1)</f>
        <v/>
      </c>
      <c r="F22" s="34" t="str">
        <f aca="false">MID(B22,10,1)</f>
        <v/>
      </c>
      <c r="G22" s="34" t="str">
        <f aca="false">MID(B22,11,1)</f>
        <v/>
      </c>
      <c r="H22" s="35" t="str">
        <f aca="false">IF(G22=".",F22,CONCATENATE(F22,G22))</f>
        <v/>
      </c>
      <c r="I22" s="34" t="n">
        <f aca="false">IFERROR(VALUE(H22),)</f>
        <v>0</v>
      </c>
      <c r="J22" s="34" t="e">
        <f aca="false">RIGHT(B22,LEN(B22)-FIND("/",B22, FIND("Single Cells",B22, 1)))</f>
        <v>#VALUE!</v>
      </c>
    </row>
    <row r="23" customFormat="false" ht="12.75" hidden="false" customHeight="true" outlineLevel="0" collapsed="false">
      <c r="E23" s="34" t="str">
        <f aca="false">MID(B23,9,1)</f>
        <v/>
      </c>
      <c r="F23" s="34" t="str">
        <f aca="false">MID(B23,10,1)</f>
        <v/>
      </c>
      <c r="G23" s="34" t="str">
        <f aca="false">MID(B23,11,1)</f>
        <v/>
      </c>
      <c r="H23" s="35" t="str">
        <f aca="false">IF(G23=".",F23,CONCATENATE(F23,G23))</f>
        <v/>
      </c>
      <c r="I23" s="34" t="n">
        <f aca="false">IFERROR(VALUE(H23),)</f>
        <v>0</v>
      </c>
      <c r="J23" s="34" t="e">
        <f aca="false">RIGHT(B23,LEN(B23)-FIND("/",B23, FIND("Single Cells",B23, 1)))</f>
        <v>#VALUE!</v>
      </c>
    </row>
    <row r="24" customFormat="false" ht="12.75" hidden="false" customHeight="true" outlineLevel="0" collapsed="false">
      <c r="E24" s="34" t="str">
        <f aca="false">MID(B24,9,1)</f>
        <v/>
      </c>
      <c r="F24" s="34" t="str">
        <f aca="false">MID(B24,10,1)</f>
        <v/>
      </c>
      <c r="G24" s="34" t="str">
        <f aca="false">MID(B24,11,1)</f>
        <v/>
      </c>
      <c r="H24" s="35" t="str">
        <f aca="false">IF(G24=".",F24,CONCATENATE(F24,G24))</f>
        <v/>
      </c>
      <c r="I24" s="34" t="n">
        <f aca="false">IFERROR(VALUE(H24),)</f>
        <v>0</v>
      </c>
      <c r="J24" s="34" t="e">
        <f aca="false">RIGHT(B24,LEN(B24)-FIND("/",B24, FIND("Single Cells",B24, 1)))</f>
        <v>#VALUE!</v>
      </c>
    </row>
    <row r="25" customFormat="false" ht="12.75" hidden="false" customHeight="true" outlineLevel="0" collapsed="false">
      <c r="E25" s="34" t="str">
        <f aca="false">MID(B25,9,1)</f>
        <v/>
      </c>
      <c r="F25" s="34" t="str">
        <f aca="false">MID(B25,10,1)</f>
        <v/>
      </c>
      <c r="G25" s="34" t="str">
        <f aca="false">MID(B25,11,1)</f>
        <v/>
      </c>
      <c r="H25" s="35" t="str">
        <f aca="false">IF(G25=".",F25,CONCATENATE(F25,G25))</f>
        <v/>
      </c>
      <c r="I25" s="34" t="n">
        <f aca="false">IFERROR(VALUE(H25),)</f>
        <v>0</v>
      </c>
      <c r="J25" s="34" t="e">
        <f aca="false">RIGHT(B25,LEN(B25)-FIND("/",B25, FIND("Single Cells",B25, 1)))</f>
        <v>#VALUE!</v>
      </c>
    </row>
    <row r="26" customFormat="false" ht="12.75" hidden="false" customHeight="true" outlineLevel="0" collapsed="false">
      <c r="E26" s="34" t="str">
        <f aca="false">MID(B26,9,1)</f>
        <v/>
      </c>
      <c r="F26" s="34" t="str">
        <f aca="false">MID(B26,10,1)</f>
        <v/>
      </c>
      <c r="G26" s="34" t="str">
        <f aca="false">MID(B26,11,1)</f>
        <v/>
      </c>
      <c r="H26" s="35" t="str">
        <f aca="false">IF(G26=".",F26,CONCATENATE(F26,G26))</f>
        <v/>
      </c>
      <c r="I26" s="34" t="n">
        <f aca="false">IFERROR(VALUE(H26),)</f>
        <v>0</v>
      </c>
      <c r="J26" s="34" t="e">
        <f aca="false">RIGHT(B26,LEN(B26)-FIND("/",B26, FIND("Single Cells",B26, 1)))</f>
        <v>#VALUE!</v>
      </c>
    </row>
    <row r="27" customFormat="false" ht="12.75" hidden="false" customHeight="true" outlineLevel="0" collapsed="false">
      <c r="E27" s="34" t="str">
        <f aca="false">MID(B27,9,1)</f>
        <v/>
      </c>
      <c r="F27" s="34" t="str">
        <f aca="false">MID(B27,10,1)</f>
        <v/>
      </c>
      <c r="G27" s="34" t="str">
        <f aca="false">MID(B27,11,1)</f>
        <v/>
      </c>
      <c r="H27" s="35" t="str">
        <f aca="false">IF(G27=".",F27,CONCATENATE(F27,G27))</f>
        <v/>
      </c>
      <c r="I27" s="34" t="n">
        <f aca="false">IFERROR(VALUE(H27),)</f>
        <v>0</v>
      </c>
      <c r="J27" s="34" t="e">
        <f aca="false">RIGHT(B27,LEN(B27)-FIND("/",B27, FIND("Single Cells",B27, 1)))</f>
        <v>#VALUE!</v>
      </c>
    </row>
    <row r="28" customFormat="false" ht="12.75" hidden="false" customHeight="true" outlineLevel="0" collapsed="false">
      <c r="E28" s="34" t="str">
        <f aca="false">MID(B28,9,1)</f>
        <v/>
      </c>
      <c r="F28" s="34" t="str">
        <f aca="false">MID(B28,10,1)</f>
        <v/>
      </c>
      <c r="G28" s="34" t="str">
        <f aca="false">MID(B28,11,1)</f>
        <v/>
      </c>
      <c r="H28" s="35" t="str">
        <f aca="false">IF(G28=".",F28,CONCATENATE(F28,G28))</f>
        <v/>
      </c>
      <c r="I28" s="34" t="n">
        <f aca="false">IFERROR(VALUE(H28),)</f>
        <v>0</v>
      </c>
      <c r="J28" s="34" t="e">
        <f aca="false">RIGHT(B28,LEN(B28)-FIND("/",B28, FIND("Single Cells",B28, 1)))</f>
        <v>#VALUE!</v>
      </c>
    </row>
    <row r="29" customFormat="false" ht="12.75" hidden="false" customHeight="true" outlineLevel="0" collapsed="false">
      <c r="E29" s="34" t="str">
        <f aca="false">MID(B29,9,1)</f>
        <v/>
      </c>
      <c r="F29" s="34" t="str">
        <f aca="false">MID(B29,10,1)</f>
        <v/>
      </c>
      <c r="G29" s="34" t="str">
        <f aca="false">MID(B29,11,1)</f>
        <v/>
      </c>
      <c r="H29" s="35" t="str">
        <f aca="false">IF(G29=".",F29,CONCATENATE(F29,G29))</f>
        <v/>
      </c>
      <c r="I29" s="34" t="n">
        <f aca="false">IFERROR(VALUE(H29),)</f>
        <v>0</v>
      </c>
      <c r="J29" s="34" t="e">
        <f aca="false">RIGHT(B29,LEN(B29)-FIND("/",B29, FIND("Single Cells",B29, 1)))</f>
        <v>#VALUE!</v>
      </c>
    </row>
    <row r="30" customFormat="false" ht="12.75" hidden="false" customHeight="true" outlineLevel="0" collapsed="false">
      <c r="E30" s="34" t="str">
        <f aca="false">MID(B30,9,1)</f>
        <v/>
      </c>
      <c r="F30" s="34" t="str">
        <f aca="false">MID(B30,10,1)</f>
        <v/>
      </c>
      <c r="G30" s="34" t="str">
        <f aca="false">MID(B30,11,1)</f>
        <v/>
      </c>
      <c r="H30" s="35" t="str">
        <f aca="false">IF(G30=".",F30,CONCATENATE(F30,G30))</f>
        <v/>
      </c>
      <c r="I30" s="34" t="n">
        <f aca="false">IFERROR(VALUE(H30),)</f>
        <v>0</v>
      </c>
      <c r="J30" s="34" t="e">
        <f aca="false">RIGHT(B30,LEN(B30)-FIND("/",B30, FIND("Single Cells",B30, 1)))</f>
        <v>#VALUE!</v>
      </c>
    </row>
    <row r="31" customFormat="false" ht="12.75" hidden="false" customHeight="true" outlineLevel="0" collapsed="false">
      <c r="E31" s="34" t="str">
        <f aca="false">MID(B31,9,1)</f>
        <v/>
      </c>
      <c r="F31" s="34" t="str">
        <f aca="false">MID(B31,10,1)</f>
        <v/>
      </c>
      <c r="G31" s="34" t="str">
        <f aca="false">MID(B31,11,1)</f>
        <v/>
      </c>
      <c r="H31" s="35" t="str">
        <f aca="false">IF(G31=".",F31,CONCATENATE(F31,G31))</f>
        <v/>
      </c>
      <c r="I31" s="34" t="n">
        <f aca="false">IFERROR(VALUE(H31),)</f>
        <v>0</v>
      </c>
      <c r="J31" s="34" t="e">
        <f aca="false">RIGHT(B31,LEN(B31)-FIND("/",B31, FIND("Single Cells",B31, 1)))</f>
        <v>#VALUE!</v>
      </c>
    </row>
    <row r="32" customFormat="false" ht="12.75" hidden="false" customHeight="true" outlineLevel="0" collapsed="false">
      <c r="E32" s="34" t="str">
        <f aca="false">MID(B32,9,1)</f>
        <v/>
      </c>
      <c r="F32" s="34" t="str">
        <f aca="false">MID(B32,10,1)</f>
        <v/>
      </c>
      <c r="G32" s="34" t="str">
        <f aca="false">MID(B32,11,1)</f>
        <v/>
      </c>
      <c r="H32" s="35" t="str">
        <f aca="false">IF(G32=".",F32,CONCATENATE(F32,G32))</f>
        <v/>
      </c>
      <c r="I32" s="34" t="n">
        <f aca="false">IFERROR(VALUE(H32),)</f>
        <v>0</v>
      </c>
      <c r="J32" s="34" t="e">
        <f aca="false">RIGHT(B32,LEN(B32)-FIND("/",B32, FIND("Single Cells",B32, 1)))</f>
        <v>#VALUE!</v>
      </c>
    </row>
    <row r="33" customFormat="false" ht="12.75" hidden="false" customHeight="true" outlineLevel="0" collapsed="false">
      <c r="E33" s="34" t="str">
        <f aca="false">MID(B33,9,1)</f>
        <v/>
      </c>
      <c r="F33" s="34" t="str">
        <f aca="false">MID(B33,10,1)</f>
        <v/>
      </c>
      <c r="G33" s="34" t="str">
        <f aca="false">MID(B33,11,1)</f>
        <v/>
      </c>
      <c r="H33" s="35" t="str">
        <f aca="false">IF(G33=".",F33,CONCATENATE(F33,G33))</f>
        <v/>
      </c>
      <c r="I33" s="34" t="n">
        <f aca="false">IFERROR(VALUE(H33),)</f>
        <v>0</v>
      </c>
      <c r="J33" s="34" t="e">
        <f aca="false">RIGHT(B33,LEN(B33)-FIND("/",B33, FIND("Single Cells",B33, 1)))</f>
        <v>#VALUE!</v>
      </c>
    </row>
    <row r="34" customFormat="false" ht="12.75" hidden="false" customHeight="true" outlineLevel="0" collapsed="false">
      <c r="E34" s="34" t="str">
        <f aca="false">MID(B34,9,1)</f>
        <v/>
      </c>
      <c r="F34" s="34" t="str">
        <f aca="false">MID(B34,10,1)</f>
        <v/>
      </c>
      <c r="G34" s="34" t="str">
        <f aca="false">MID(B34,11,1)</f>
        <v/>
      </c>
      <c r="H34" s="35" t="str">
        <f aca="false">IF(G34=".",F34,CONCATENATE(F34,G34))</f>
        <v/>
      </c>
      <c r="I34" s="34" t="n">
        <f aca="false">IFERROR(VALUE(H34),)</f>
        <v>0</v>
      </c>
      <c r="J34" s="34" t="e">
        <f aca="false">RIGHT(B34,LEN(B34)-FIND("/",B34, FIND("Single Cells",B34, 1)))</f>
        <v>#VALUE!</v>
      </c>
    </row>
    <row r="35" customFormat="false" ht="12.75" hidden="false" customHeight="true" outlineLevel="0" collapsed="false">
      <c r="E35" s="34" t="str">
        <f aca="false">MID(B35,9,1)</f>
        <v/>
      </c>
      <c r="F35" s="34" t="str">
        <f aca="false">MID(B35,10,1)</f>
        <v/>
      </c>
      <c r="G35" s="34" t="str">
        <f aca="false">MID(B35,11,1)</f>
        <v/>
      </c>
      <c r="H35" s="35" t="str">
        <f aca="false">IF(G35=".",F35,CONCATENATE(F35,G35))</f>
        <v/>
      </c>
      <c r="I35" s="34" t="n">
        <f aca="false">IFERROR(VALUE(H35),)</f>
        <v>0</v>
      </c>
      <c r="J35" s="34" t="e">
        <f aca="false">RIGHT(B35,LEN(B35)-FIND("/",B35, FIND("Single Cells",B35, 1)))</f>
        <v>#VALUE!</v>
      </c>
    </row>
    <row r="36" customFormat="false" ht="12.75" hidden="false" customHeight="true" outlineLevel="0" collapsed="false">
      <c r="E36" s="34" t="str">
        <f aca="false">MID(B36,9,1)</f>
        <v/>
      </c>
      <c r="F36" s="34" t="str">
        <f aca="false">MID(B36,10,1)</f>
        <v/>
      </c>
      <c r="G36" s="34" t="str">
        <f aca="false">MID(B36,11,1)</f>
        <v/>
      </c>
      <c r="H36" s="35" t="str">
        <f aca="false">IF(G36=".",F36,CONCATENATE(F36,G36))</f>
        <v/>
      </c>
      <c r="I36" s="34" t="n">
        <f aca="false">IFERROR(VALUE(H36),)</f>
        <v>0</v>
      </c>
      <c r="J36" s="34" t="e">
        <f aca="false">RIGHT(B36,LEN(B36)-FIND("/",B36, FIND("Single Cells",B36, 1)))</f>
        <v>#VALUE!</v>
      </c>
    </row>
    <row r="37" customFormat="false" ht="12.75" hidden="false" customHeight="true" outlineLevel="0" collapsed="false">
      <c r="E37" s="34" t="str">
        <f aca="false">MID(B37,9,1)</f>
        <v/>
      </c>
      <c r="F37" s="34" t="str">
        <f aca="false">MID(B37,10,1)</f>
        <v/>
      </c>
      <c r="G37" s="34" t="str">
        <f aca="false">MID(B37,11,1)</f>
        <v/>
      </c>
      <c r="H37" s="35" t="str">
        <f aca="false">IF(G37=".",F37,CONCATENATE(F37,G37))</f>
        <v/>
      </c>
      <c r="I37" s="34" t="n">
        <f aca="false">IFERROR(VALUE(H37),)</f>
        <v>0</v>
      </c>
      <c r="J37" s="34" t="e">
        <f aca="false">RIGHT(B37,LEN(B37)-FIND("/",B37, FIND("Single Cells",B37, 1)))</f>
        <v>#VALUE!</v>
      </c>
    </row>
    <row r="38" customFormat="false" ht="12.75" hidden="false" customHeight="true" outlineLevel="0" collapsed="false">
      <c r="E38" s="34" t="str">
        <f aca="false">MID(B38,9,1)</f>
        <v/>
      </c>
      <c r="F38" s="34" t="str">
        <f aca="false">MID(B38,10,1)</f>
        <v/>
      </c>
      <c r="G38" s="34" t="str">
        <f aca="false">MID(B38,11,1)</f>
        <v/>
      </c>
      <c r="H38" s="35" t="str">
        <f aca="false">IF(G38=".",F38,CONCATENATE(F38,G38))</f>
        <v/>
      </c>
      <c r="I38" s="34" t="n">
        <f aca="false">IFERROR(VALUE(H38),)</f>
        <v>0</v>
      </c>
      <c r="J38" s="34" t="e">
        <f aca="false">RIGHT(B38,LEN(B38)-FIND("/",B38, FIND("Single Cells",B38, 1)))</f>
        <v>#VALUE!</v>
      </c>
    </row>
    <row r="39" customFormat="false" ht="12.75" hidden="false" customHeight="true" outlineLevel="0" collapsed="false">
      <c r="E39" s="34" t="str">
        <f aca="false">MID(B39,9,1)</f>
        <v/>
      </c>
      <c r="F39" s="34" t="str">
        <f aca="false">MID(B39,10,1)</f>
        <v/>
      </c>
      <c r="G39" s="34" t="str">
        <f aca="false">MID(B39,11,1)</f>
        <v/>
      </c>
      <c r="H39" s="35" t="str">
        <f aca="false">IF(G39=".",F39,CONCATENATE(F39,G39))</f>
        <v/>
      </c>
      <c r="I39" s="34" t="n">
        <f aca="false">IFERROR(VALUE(H39),)</f>
        <v>0</v>
      </c>
      <c r="J39" s="34" t="e">
        <f aca="false">RIGHT(B39,LEN(B39)-FIND("/",B39, FIND("Single Cells",B39, 1)))</f>
        <v>#VALUE!</v>
      </c>
    </row>
    <row r="40" customFormat="false" ht="12.75" hidden="false" customHeight="true" outlineLevel="0" collapsed="false">
      <c r="E40" s="34" t="str">
        <f aca="false">MID(B40,9,1)</f>
        <v/>
      </c>
      <c r="F40" s="34" t="str">
        <f aca="false">MID(B40,10,1)</f>
        <v/>
      </c>
      <c r="G40" s="34" t="str">
        <f aca="false">MID(B40,11,1)</f>
        <v/>
      </c>
      <c r="H40" s="35" t="str">
        <f aca="false">IF(G40=".",F40,CONCATENATE(F40,G40))</f>
        <v/>
      </c>
      <c r="I40" s="34" t="n">
        <f aca="false">IFERROR(VALUE(H40),)</f>
        <v>0</v>
      </c>
      <c r="J40" s="34" t="e">
        <f aca="false">RIGHT(B40,LEN(B40)-FIND("/",B40, FIND("Single Cells",B40, 1)))</f>
        <v>#VALUE!</v>
      </c>
    </row>
    <row r="41" customFormat="false" ht="12.75" hidden="false" customHeight="true" outlineLevel="0" collapsed="false">
      <c r="E41" s="34" t="str">
        <f aca="false">MID(B41,9,1)</f>
        <v/>
      </c>
      <c r="F41" s="34" t="str">
        <f aca="false">MID(B41,10,1)</f>
        <v/>
      </c>
      <c r="G41" s="34" t="str">
        <f aca="false">MID(B41,11,1)</f>
        <v/>
      </c>
      <c r="H41" s="35" t="str">
        <f aca="false">IF(G41=".",F41,CONCATENATE(F41,G41))</f>
        <v/>
      </c>
      <c r="I41" s="34" t="n">
        <f aca="false">IFERROR(VALUE(H41),)</f>
        <v>0</v>
      </c>
      <c r="J41" s="34" t="e">
        <f aca="false">RIGHT(B41,LEN(B41)-FIND("/",B41, FIND("Single Cells",B41, 1)))</f>
        <v>#VALUE!</v>
      </c>
    </row>
    <row r="42" customFormat="false" ht="12.75" hidden="false" customHeight="true" outlineLevel="0" collapsed="false">
      <c r="E42" s="34" t="str">
        <f aca="false">MID(B42,9,1)</f>
        <v/>
      </c>
      <c r="F42" s="34" t="str">
        <f aca="false">MID(B42,10,1)</f>
        <v/>
      </c>
      <c r="G42" s="34" t="str">
        <f aca="false">MID(B42,11,1)</f>
        <v/>
      </c>
      <c r="H42" s="35" t="str">
        <f aca="false">IF(G42=".",F42,CONCATENATE(F42,G42))</f>
        <v/>
      </c>
      <c r="I42" s="34" t="n">
        <f aca="false">IFERROR(VALUE(H42),)</f>
        <v>0</v>
      </c>
      <c r="J42" s="34" t="e">
        <f aca="false">RIGHT(B42,LEN(B42)-FIND("/",B42, FIND("Single Cells",B42, 1)))</f>
        <v>#VALUE!</v>
      </c>
    </row>
    <row r="43" customFormat="false" ht="12.75" hidden="false" customHeight="true" outlineLevel="0" collapsed="false">
      <c r="E43" s="34" t="str">
        <f aca="false">MID(B43,9,1)</f>
        <v/>
      </c>
      <c r="F43" s="34" t="str">
        <f aca="false">MID(B43,10,1)</f>
        <v/>
      </c>
      <c r="G43" s="34" t="str">
        <f aca="false">MID(B43,11,1)</f>
        <v/>
      </c>
      <c r="H43" s="35" t="str">
        <f aca="false">IF(G43=".",F43,CONCATENATE(F43,G43))</f>
        <v/>
      </c>
      <c r="I43" s="34" t="n">
        <f aca="false">IFERROR(VALUE(H43),)</f>
        <v>0</v>
      </c>
      <c r="J43" s="34" t="e">
        <f aca="false">RIGHT(B43,LEN(B43)-FIND("/",B43, FIND("Single Cells",B43, 1)))</f>
        <v>#VALUE!</v>
      </c>
    </row>
    <row r="44" customFormat="false" ht="12.75" hidden="false" customHeight="true" outlineLevel="0" collapsed="false">
      <c r="E44" s="34" t="str">
        <f aca="false">MID(B44,9,1)</f>
        <v/>
      </c>
      <c r="F44" s="34" t="str">
        <f aca="false">MID(B44,10,1)</f>
        <v/>
      </c>
      <c r="G44" s="34" t="str">
        <f aca="false">MID(B44,11,1)</f>
        <v/>
      </c>
      <c r="H44" s="35" t="str">
        <f aca="false">IF(G44=".",F44,CONCATENATE(F44,G44))</f>
        <v/>
      </c>
      <c r="I44" s="34" t="n">
        <f aca="false">IFERROR(VALUE(H44),)</f>
        <v>0</v>
      </c>
      <c r="J44" s="34" t="e">
        <f aca="false">RIGHT(B44,LEN(B44)-FIND("/",B44, FIND("Single Cells",B44, 1)))</f>
        <v>#VALUE!</v>
      </c>
    </row>
    <row r="45" customFormat="false" ht="12.75" hidden="false" customHeight="true" outlineLevel="0" collapsed="false">
      <c r="E45" s="34" t="str">
        <f aca="false">MID(B45,9,1)</f>
        <v/>
      </c>
      <c r="F45" s="34" t="str">
        <f aca="false">MID(B45,10,1)</f>
        <v/>
      </c>
      <c r="G45" s="34" t="str">
        <f aca="false">MID(B45,11,1)</f>
        <v/>
      </c>
      <c r="H45" s="35" t="str">
        <f aca="false">IF(G45=".",F45,CONCATENATE(F45,G45))</f>
        <v/>
      </c>
      <c r="I45" s="34" t="n">
        <f aca="false">IFERROR(VALUE(H45),)</f>
        <v>0</v>
      </c>
      <c r="J45" s="34" t="e">
        <f aca="false">RIGHT(B45,LEN(B45)-FIND("/",B45, FIND("Single Cells",B45, 1)))</f>
        <v>#VALUE!</v>
      </c>
    </row>
    <row r="46" customFormat="false" ht="12.75" hidden="false" customHeight="true" outlineLevel="0" collapsed="false">
      <c r="E46" s="34" t="str">
        <f aca="false">MID(B46,9,1)</f>
        <v/>
      </c>
      <c r="F46" s="34" t="str">
        <f aca="false">MID(B46,10,1)</f>
        <v/>
      </c>
      <c r="G46" s="34" t="str">
        <f aca="false">MID(B46,11,1)</f>
        <v/>
      </c>
      <c r="H46" s="35" t="str">
        <f aca="false">IF(G46=".",F46,CONCATENATE(F46,G46))</f>
        <v/>
      </c>
      <c r="I46" s="34" t="n">
        <f aca="false">IFERROR(VALUE(H46),)</f>
        <v>0</v>
      </c>
      <c r="J46" s="34" t="e">
        <f aca="false">RIGHT(B46,LEN(B46)-FIND("/",B46, FIND("Single Cells",B46, 1)))</f>
        <v>#VALUE!</v>
      </c>
    </row>
    <row r="47" customFormat="false" ht="12.75" hidden="false" customHeight="true" outlineLevel="0" collapsed="false">
      <c r="E47" s="34" t="str">
        <f aca="false">MID(B47,9,1)</f>
        <v/>
      </c>
      <c r="F47" s="34" t="str">
        <f aca="false">MID(B47,10,1)</f>
        <v/>
      </c>
      <c r="G47" s="34" t="str">
        <f aca="false">MID(B47,11,1)</f>
        <v/>
      </c>
      <c r="H47" s="35" t="str">
        <f aca="false">IF(G47=".",F47,CONCATENATE(F47,G47))</f>
        <v/>
      </c>
      <c r="I47" s="34" t="n">
        <f aca="false">IFERROR(VALUE(H47),)</f>
        <v>0</v>
      </c>
      <c r="J47" s="34" t="e">
        <f aca="false">RIGHT(B47,LEN(B47)-FIND("/",B47, FIND("Single Cells",B47, 1)))</f>
        <v>#VALUE!</v>
      </c>
    </row>
    <row r="48" customFormat="false" ht="12.75" hidden="false" customHeight="true" outlineLevel="0" collapsed="false">
      <c r="E48" s="34" t="str">
        <f aca="false">MID(B48,9,1)</f>
        <v/>
      </c>
      <c r="F48" s="34" t="str">
        <f aca="false">MID(B48,10,1)</f>
        <v/>
      </c>
      <c r="G48" s="34" t="str">
        <f aca="false">MID(B48,11,1)</f>
        <v/>
      </c>
      <c r="H48" s="35" t="str">
        <f aca="false">IF(G48=".",F48,CONCATENATE(F48,G48))</f>
        <v/>
      </c>
      <c r="I48" s="34" t="n">
        <f aca="false">IFERROR(VALUE(H48),)</f>
        <v>0</v>
      </c>
      <c r="J48" s="34" t="e">
        <f aca="false">RIGHT(B48,LEN(B48)-FIND("/",B48, FIND("Single Cells",B48, 1)))</f>
        <v>#VALUE!</v>
      </c>
    </row>
    <row r="49" customFormat="false" ht="12.75" hidden="false" customHeight="true" outlineLevel="0" collapsed="false">
      <c r="E49" s="34" t="str">
        <f aca="false">MID(B49,9,1)</f>
        <v/>
      </c>
      <c r="F49" s="34" t="str">
        <f aca="false">MID(B49,10,1)</f>
        <v/>
      </c>
      <c r="G49" s="34" t="str">
        <f aca="false">MID(B49,11,1)</f>
        <v/>
      </c>
      <c r="H49" s="35" t="str">
        <f aca="false">IF(G49=".",F49,CONCATENATE(F49,G49))</f>
        <v/>
      </c>
      <c r="I49" s="34" t="n">
        <f aca="false">IFERROR(VALUE(H49),)</f>
        <v>0</v>
      </c>
      <c r="J49" s="34" t="e">
        <f aca="false">RIGHT(B49,LEN(B49)-FIND("/",B49, FIND("Single Cells",B49, 1)))</f>
        <v>#VALUE!</v>
      </c>
    </row>
    <row r="50" customFormat="false" ht="12.75" hidden="false" customHeight="true" outlineLevel="0" collapsed="false">
      <c r="E50" s="34" t="str">
        <f aca="false">MID(B50,9,1)</f>
        <v/>
      </c>
      <c r="F50" s="34" t="str">
        <f aca="false">MID(B50,10,1)</f>
        <v/>
      </c>
      <c r="G50" s="34" t="str">
        <f aca="false">MID(B50,11,1)</f>
        <v/>
      </c>
      <c r="H50" s="35" t="str">
        <f aca="false">IF(G50=".",F50,CONCATENATE(F50,G50))</f>
        <v/>
      </c>
      <c r="I50" s="34" t="n">
        <f aca="false">IFERROR(VALUE(H50),)</f>
        <v>0</v>
      </c>
      <c r="J50" s="34" t="e">
        <f aca="false">RIGHT(B50,LEN(B50)-FIND("/",B50, FIND("Single Cells",B50, 1)))</f>
        <v>#VALUE!</v>
      </c>
    </row>
    <row r="51" customFormat="false" ht="12.75" hidden="false" customHeight="true" outlineLevel="0" collapsed="false">
      <c r="E51" s="34" t="str">
        <f aca="false">MID(B51,9,1)</f>
        <v/>
      </c>
      <c r="F51" s="34" t="str">
        <f aca="false">MID(B51,10,1)</f>
        <v/>
      </c>
      <c r="G51" s="34" t="str">
        <f aca="false">MID(B51,11,1)</f>
        <v/>
      </c>
      <c r="H51" s="35" t="str">
        <f aca="false">IF(G51=".",F51,CONCATENATE(F51,G51))</f>
        <v/>
      </c>
      <c r="I51" s="34" t="n">
        <f aca="false">IFERROR(VALUE(H51),)</f>
        <v>0</v>
      </c>
      <c r="J51" s="34" t="e">
        <f aca="false">RIGHT(B51,LEN(B51)-FIND("/",B51, FIND("Single Cells",B51, 1)))</f>
        <v>#VALUE!</v>
      </c>
    </row>
    <row r="52" customFormat="false" ht="12.75" hidden="false" customHeight="true" outlineLevel="0" collapsed="false">
      <c r="E52" s="34" t="str">
        <f aca="false">MID(B52,9,1)</f>
        <v/>
      </c>
      <c r="F52" s="34" t="str">
        <f aca="false">MID(B52,10,1)</f>
        <v/>
      </c>
      <c r="G52" s="34" t="str">
        <f aca="false">MID(B52,11,1)</f>
        <v/>
      </c>
      <c r="H52" s="35" t="str">
        <f aca="false">IF(G52=".",F52,CONCATENATE(F52,G52))</f>
        <v/>
      </c>
      <c r="I52" s="34" t="n">
        <f aca="false">IFERROR(VALUE(H52),)</f>
        <v>0</v>
      </c>
      <c r="J52" s="34" t="e">
        <f aca="false">RIGHT(B52,LEN(B52)-FIND("/",B52, FIND("Single Cells",B52, 1)))</f>
        <v>#VALUE!</v>
      </c>
    </row>
    <row r="53" customFormat="false" ht="12.75" hidden="false" customHeight="true" outlineLevel="0" collapsed="false">
      <c r="E53" s="34" t="str">
        <f aca="false">MID(B53,9,1)</f>
        <v/>
      </c>
      <c r="F53" s="34" t="str">
        <f aca="false">MID(B53,10,1)</f>
        <v/>
      </c>
      <c r="G53" s="34" t="str">
        <f aca="false">MID(B53,11,1)</f>
        <v/>
      </c>
      <c r="H53" s="35" t="str">
        <f aca="false">IF(G53=".",F53,CONCATENATE(F53,G53))</f>
        <v/>
      </c>
      <c r="I53" s="34" t="n">
        <f aca="false">IFERROR(VALUE(H53),)</f>
        <v>0</v>
      </c>
      <c r="J53" s="34" t="e">
        <f aca="false">RIGHT(B53,LEN(B53)-FIND("/",B53, FIND("Single Cells",B53, 1)))</f>
        <v>#VALUE!</v>
      </c>
    </row>
    <row r="54" customFormat="false" ht="12.75" hidden="false" customHeight="true" outlineLevel="0" collapsed="false">
      <c r="E54" s="34" t="str">
        <f aca="false">MID(B54,9,1)</f>
        <v/>
      </c>
      <c r="F54" s="34" t="str">
        <f aca="false">MID(B54,10,1)</f>
        <v/>
      </c>
      <c r="G54" s="34" t="str">
        <f aca="false">MID(B54,11,1)</f>
        <v/>
      </c>
      <c r="H54" s="35" t="str">
        <f aca="false">IF(G54=".",F54,CONCATENATE(F54,G54))</f>
        <v/>
      </c>
      <c r="I54" s="34" t="n">
        <f aca="false">IFERROR(VALUE(H54),)</f>
        <v>0</v>
      </c>
      <c r="J54" s="34" t="e">
        <f aca="false">RIGHT(B54,LEN(B54)-FIND("/",B54, FIND("Single Cells",B54, 1)))</f>
        <v>#VALUE!</v>
      </c>
    </row>
    <row r="55" customFormat="false" ht="12.75" hidden="false" customHeight="true" outlineLevel="0" collapsed="false">
      <c r="E55" s="34" t="str">
        <f aca="false">MID(B55,9,1)</f>
        <v/>
      </c>
      <c r="F55" s="34" t="str">
        <f aca="false">MID(B55,10,1)</f>
        <v/>
      </c>
      <c r="G55" s="34" t="str">
        <f aca="false">MID(B55,11,1)</f>
        <v/>
      </c>
      <c r="H55" s="35" t="str">
        <f aca="false">IF(G55=".",F55,CONCATENATE(F55,G55))</f>
        <v/>
      </c>
      <c r="I55" s="34" t="n">
        <f aca="false">IFERROR(VALUE(H55),)</f>
        <v>0</v>
      </c>
      <c r="J55" s="34" t="e">
        <f aca="false">RIGHT(B55,LEN(B55)-FIND("/",B55, FIND("Single Cells",B55, 1)))</f>
        <v>#VALUE!</v>
      </c>
    </row>
    <row r="56" customFormat="false" ht="12.75" hidden="false" customHeight="true" outlineLevel="0" collapsed="false">
      <c r="E56" s="34" t="str">
        <f aca="false">MID(B56,9,1)</f>
        <v/>
      </c>
      <c r="F56" s="34" t="str">
        <f aca="false">MID(B56,10,1)</f>
        <v/>
      </c>
      <c r="G56" s="34" t="str">
        <f aca="false">MID(B56,11,1)</f>
        <v/>
      </c>
      <c r="H56" s="35" t="str">
        <f aca="false">IF(G56=".",F56,CONCATENATE(F56,G56))</f>
        <v/>
      </c>
      <c r="I56" s="34" t="n">
        <f aca="false">IFERROR(VALUE(H56),)</f>
        <v>0</v>
      </c>
      <c r="J56" s="34" t="e">
        <f aca="false">RIGHT(B56,LEN(B56)-FIND("/",B56, FIND("Single Cells",B56, 1)))</f>
        <v>#VALUE!</v>
      </c>
    </row>
    <row r="57" customFormat="false" ht="12.75" hidden="false" customHeight="true" outlineLevel="0" collapsed="false">
      <c r="E57" s="34" t="str">
        <f aca="false">MID(B57,9,1)</f>
        <v/>
      </c>
      <c r="F57" s="34" t="str">
        <f aca="false">MID(B57,10,1)</f>
        <v/>
      </c>
      <c r="G57" s="34" t="str">
        <f aca="false">MID(B57,11,1)</f>
        <v/>
      </c>
      <c r="H57" s="35" t="str">
        <f aca="false">IF(G57=".",F57,CONCATENATE(F57,G57))</f>
        <v/>
      </c>
      <c r="I57" s="34" t="n">
        <f aca="false">IFERROR(VALUE(H57),)</f>
        <v>0</v>
      </c>
      <c r="J57" s="34" t="e">
        <f aca="false">RIGHT(B57,LEN(B57)-FIND("/",B57, FIND("Single Cells",B57, 1)))</f>
        <v>#VALUE!</v>
      </c>
    </row>
    <row r="58" customFormat="false" ht="12.75" hidden="false" customHeight="true" outlineLevel="0" collapsed="false">
      <c r="E58" s="34" t="str">
        <f aca="false">MID(B58,9,1)</f>
        <v/>
      </c>
      <c r="F58" s="34" t="str">
        <f aca="false">MID(B58,10,1)</f>
        <v/>
      </c>
      <c r="G58" s="34" t="str">
        <f aca="false">MID(B58,11,1)</f>
        <v/>
      </c>
      <c r="H58" s="35" t="str">
        <f aca="false">IF(G58=".",F58,CONCATENATE(F58,G58))</f>
        <v/>
      </c>
      <c r="I58" s="34" t="n">
        <f aca="false">IFERROR(VALUE(H58),)</f>
        <v>0</v>
      </c>
      <c r="J58" s="34" t="e">
        <f aca="false">RIGHT(B58,LEN(B58)-FIND("/",B58, FIND("Single Cells",B58, 1)))</f>
        <v>#VALUE!</v>
      </c>
    </row>
    <row r="59" customFormat="false" ht="12.75" hidden="false" customHeight="true" outlineLevel="0" collapsed="false">
      <c r="E59" s="34" t="str">
        <f aca="false">MID(B59,9,1)</f>
        <v/>
      </c>
      <c r="F59" s="34" t="str">
        <f aca="false">MID(B59,10,1)</f>
        <v/>
      </c>
      <c r="G59" s="34" t="str">
        <f aca="false">MID(B59,11,1)</f>
        <v/>
      </c>
      <c r="H59" s="35" t="str">
        <f aca="false">IF(G59=".",F59,CONCATENATE(F59,G59))</f>
        <v/>
      </c>
      <c r="I59" s="34" t="n">
        <f aca="false">IFERROR(VALUE(H59),)</f>
        <v>0</v>
      </c>
      <c r="J59" s="34" t="e">
        <f aca="false">RIGHT(B59,LEN(B59)-FIND("/",B59, FIND("Single Cells",B59, 1)))</f>
        <v>#VALUE!</v>
      </c>
    </row>
    <row r="60" customFormat="false" ht="12.75" hidden="false" customHeight="true" outlineLevel="0" collapsed="false">
      <c r="E60" s="34" t="str">
        <f aca="false">MID(B60,9,1)</f>
        <v/>
      </c>
      <c r="F60" s="34" t="str">
        <f aca="false">MID(B60,10,1)</f>
        <v/>
      </c>
      <c r="G60" s="34" t="str">
        <f aca="false">MID(B60,11,1)</f>
        <v/>
      </c>
      <c r="H60" s="35" t="str">
        <f aca="false">IF(G60=".",F60,CONCATENATE(F60,G60))</f>
        <v/>
      </c>
      <c r="I60" s="34" t="n">
        <f aca="false">IFERROR(VALUE(H60),)</f>
        <v>0</v>
      </c>
      <c r="J60" s="34" t="e">
        <f aca="false">RIGHT(B60,LEN(B60)-FIND("/",B60, FIND("Single Cells",B60, 1)))</f>
        <v>#VALUE!</v>
      </c>
    </row>
    <row r="61" customFormat="false" ht="12.75" hidden="false" customHeight="true" outlineLevel="0" collapsed="false">
      <c r="E61" s="34" t="str">
        <f aca="false">MID(B61,9,1)</f>
        <v/>
      </c>
      <c r="F61" s="34" t="str">
        <f aca="false">MID(B61,10,1)</f>
        <v/>
      </c>
      <c r="G61" s="34" t="str">
        <f aca="false">MID(B61,11,1)</f>
        <v/>
      </c>
      <c r="H61" s="35" t="str">
        <f aca="false">IF(G61=".",F61,CONCATENATE(F61,G61))</f>
        <v/>
      </c>
      <c r="I61" s="34" t="n">
        <f aca="false">IFERROR(VALUE(H61),)</f>
        <v>0</v>
      </c>
      <c r="J61" s="34" t="e">
        <f aca="false">RIGHT(B61,LEN(B61)-FIND("/",B61, FIND("Single Cells",B61, 1)))</f>
        <v>#VALUE!</v>
      </c>
    </row>
    <row r="62" customFormat="false" ht="12.75" hidden="false" customHeight="true" outlineLevel="0" collapsed="false">
      <c r="E62" s="34" t="str">
        <f aca="false">MID(B62,9,1)</f>
        <v/>
      </c>
      <c r="F62" s="34" t="str">
        <f aca="false">MID(B62,10,1)</f>
        <v/>
      </c>
      <c r="G62" s="34" t="str">
        <f aca="false">MID(B62,11,1)</f>
        <v/>
      </c>
      <c r="H62" s="35" t="str">
        <f aca="false">IF(G62=".",F62,CONCATENATE(F62,G62))</f>
        <v/>
      </c>
      <c r="I62" s="34" t="n">
        <f aca="false">IFERROR(VALUE(H62),)</f>
        <v>0</v>
      </c>
      <c r="J62" s="34" t="e">
        <f aca="false">RIGHT(B62,LEN(B62)-FIND("/",B62, FIND("Single Cells",B62, 1)))</f>
        <v>#VALUE!</v>
      </c>
    </row>
    <row r="63" customFormat="false" ht="12.75" hidden="false" customHeight="true" outlineLevel="0" collapsed="false">
      <c r="E63" s="34" t="str">
        <f aca="false">MID(B63,9,1)</f>
        <v/>
      </c>
      <c r="F63" s="34" t="str">
        <f aca="false">MID(B63,10,1)</f>
        <v/>
      </c>
      <c r="G63" s="34" t="str">
        <f aca="false">MID(B63,11,1)</f>
        <v/>
      </c>
      <c r="H63" s="35" t="str">
        <f aca="false">IF(G63=".",F63,CONCATENATE(F63,G63))</f>
        <v/>
      </c>
      <c r="I63" s="34" t="n">
        <f aca="false">IFERROR(VALUE(H63),)</f>
        <v>0</v>
      </c>
      <c r="J63" s="34" t="e">
        <f aca="false">RIGHT(B63,LEN(B63)-FIND("/",B63, FIND("Single Cells",B63, 1)))</f>
        <v>#VALUE!</v>
      </c>
    </row>
    <row r="64" customFormat="false" ht="12.75" hidden="false" customHeight="true" outlineLevel="0" collapsed="false">
      <c r="E64" s="34" t="str">
        <f aca="false">MID(B64,9,1)</f>
        <v/>
      </c>
      <c r="F64" s="34" t="str">
        <f aca="false">MID(B64,10,1)</f>
        <v/>
      </c>
      <c r="G64" s="34" t="str">
        <f aca="false">MID(B64,11,1)</f>
        <v/>
      </c>
      <c r="H64" s="35" t="str">
        <f aca="false">IF(G64=".",F64,CONCATENATE(F64,G64))</f>
        <v/>
      </c>
      <c r="I64" s="34" t="n">
        <f aca="false">IFERROR(VALUE(H64),)</f>
        <v>0</v>
      </c>
      <c r="J64" s="34" t="e">
        <f aca="false">RIGHT(B64,LEN(B64)-FIND("/",B64, FIND("Single Cells",B64, 1)))</f>
        <v>#VALUE!</v>
      </c>
    </row>
    <row r="65" customFormat="false" ht="12.75" hidden="false" customHeight="true" outlineLevel="0" collapsed="false">
      <c r="E65" s="34" t="str">
        <f aca="false">MID(B65,9,1)</f>
        <v/>
      </c>
      <c r="F65" s="34" t="str">
        <f aca="false">MID(B65,10,1)</f>
        <v/>
      </c>
      <c r="G65" s="34" t="str">
        <f aca="false">MID(B65,11,1)</f>
        <v/>
      </c>
      <c r="H65" s="35" t="str">
        <f aca="false">IF(G65=".",F65,CONCATENATE(F65,G65))</f>
        <v/>
      </c>
      <c r="I65" s="34" t="n">
        <f aca="false">IFERROR(VALUE(H65),)</f>
        <v>0</v>
      </c>
      <c r="J65" s="34" t="e">
        <f aca="false">RIGHT(B65,LEN(B65)-FIND("/",B65, FIND("Single Cells",B65, 1)))</f>
        <v>#VALUE!</v>
      </c>
    </row>
    <row r="66" customFormat="false" ht="12.75" hidden="false" customHeight="true" outlineLevel="0" collapsed="false">
      <c r="E66" s="34" t="str">
        <f aca="false">MID(B66,9,1)</f>
        <v/>
      </c>
      <c r="F66" s="34" t="str">
        <f aca="false">MID(B66,10,1)</f>
        <v/>
      </c>
      <c r="G66" s="34" t="str">
        <f aca="false">MID(B66,11,1)</f>
        <v/>
      </c>
      <c r="H66" s="35" t="str">
        <f aca="false">IF(G66=".",F66,CONCATENATE(F66,G66))</f>
        <v/>
      </c>
      <c r="I66" s="34" t="n">
        <f aca="false">IFERROR(VALUE(H66),)</f>
        <v>0</v>
      </c>
      <c r="J66" s="34" t="e">
        <f aca="false">RIGHT(B66,LEN(B66)-FIND("/",B66, FIND("Single Cells",B66, 1)))</f>
        <v>#VALUE!</v>
      </c>
    </row>
    <row r="67" customFormat="false" ht="12.75" hidden="false" customHeight="true" outlineLevel="0" collapsed="false">
      <c r="E67" s="34" t="str">
        <f aca="false">MID(B67,9,1)</f>
        <v/>
      </c>
      <c r="F67" s="34" t="str">
        <f aca="false">MID(B67,10,1)</f>
        <v/>
      </c>
      <c r="G67" s="34" t="str">
        <f aca="false">MID(B67,11,1)</f>
        <v/>
      </c>
      <c r="H67" s="35" t="str">
        <f aca="false">IF(G67=".",F67,CONCATENATE(F67,G67))</f>
        <v/>
      </c>
      <c r="I67" s="34" t="n">
        <f aca="false">IFERROR(VALUE(H67),)</f>
        <v>0</v>
      </c>
      <c r="J67" s="34" t="e">
        <f aca="false">RIGHT(B67,LEN(B67)-FIND("/",B67, FIND("Single Cells",B67, 1)))</f>
        <v>#VALUE!</v>
      </c>
    </row>
    <row r="68" customFormat="false" ht="12.75" hidden="false" customHeight="true" outlineLevel="0" collapsed="false">
      <c r="E68" s="34" t="str">
        <f aca="false">MID(B68,9,1)</f>
        <v/>
      </c>
      <c r="F68" s="34" t="str">
        <f aca="false">MID(B68,10,1)</f>
        <v/>
      </c>
      <c r="G68" s="34" t="str">
        <f aca="false">MID(B68,11,1)</f>
        <v/>
      </c>
      <c r="H68" s="35" t="str">
        <f aca="false">IF(G68=".",F68,CONCATENATE(F68,G68))</f>
        <v/>
      </c>
      <c r="I68" s="34" t="n">
        <f aca="false">IFERROR(VALUE(H68),)</f>
        <v>0</v>
      </c>
      <c r="J68" s="34" t="e">
        <f aca="false">RIGHT(B68,LEN(B68)-FIND("/",B68, FIND("Single Cells",B68, 1)))</f>
        <v>#VALUE!</v>
      </c>
    </row>
    <row r="69" customFormat="false" ht="12.75" hidden="false" customHeight="true" outlineLevel="0" collapsed="false">
      <c r="E69" s="34" t="str">
        <f aca="false">MID(B69,9,1)</f>
        <v/>
      </c>
      <c r="F69" s="34" t="str">
        <f aca="false">MID(B69,10,1)</f>
        <v/>
      </c>
      <c r="G69" s="34" t="str">
        <f aca="false">MID(B69,11,1)</f>
        <v/>
      </c>
      <c r="H69" s="35" t="str">
        <f aca="false">IF(G69=".",F69,CONCATENATE(F69,G69))</f>
        <v/>
      </c>
      <c r="I69" s="34" t="n">
        <f aca="false">IFERROR(VALUE(H69),)</f>
        <v>0</v>
      </c>
      <c r="J69" s="34" t="e">
        <f aca="false">RIGHT(B69,LEN(B69)-FIND("/",B69, FIND("Single Cells",B69, 1)))</f>
        <v>#VALUE!</v>
      </c>
    </row>
    <row r="70" customFormat="false" ht="12.75" hidden="false" customHeight="true" outlineLevel="0" collapsed="false">
      <c r="E70" s="34" t="str">
        <f aca="false">MID(B70,9,1)</f>
        <v/>
      </c>
      <c r="F70" s="34" t="str">
        <f aca="false">MID(B70,10,1)</f>
        <v/>
      </c>
      <c r="G70" s="34" t="str">
        <f aca="false">MID(B70,11,1)</f>
        <v/>
      </c>
      <c r="H70" s="35" t="str">
        <f aca="false">IF(G70=".",F70,CONCATENATE(F70,G70))</f>
        <v/>
      </c>
      <c r="I70" s="34" t="n">
        <f aca="false">IFERROR(VALUE(H70),)</f>
        <v>0</v>
      </c>
      <c r="J70" s="34" t="e">
        <f aca="false">RIGHT(B70,LEN(B70)-FIND("/",B70, FIND("Single Cells",B70, 1)))</f>
        <v>#VALUE!</v>
      </c>
    </row>
    <row r="71" customFormat="false" ht="12.75" hidden="false" customHeight="true" outlineLevel="0" collapsed="false">
      <c r="E71" s="34" t="str">
        <f aca="false">MID(B71,9,1)</f>
        <v/>
      </c>
      <c r="F71" s="34" t="str">
        <f aca="false">MID(B71,10,1)</f>
        <v/>
      </c>
      <c r="G71" s="34" t="str">
        <f aca="false">MID(B71,11,1)</f>
        <v/>
      </c>
      <c r="H71" s="35" t="str">
        <f aca="false">IF(G71=".",F71,CONCATENATE(F71,G71))</f>
        <v/>
      </c>
      <c r="I71" s="34" t="n">
        <f aca="false">IFERROR(VALUE(H71),)</f>
        <v>0</v>
      </c>
      <c r="J71" s="34" t="e">
        <f aca="false">RIGHT(B71,LEN(B71)-FIND("/",B71, FIND("Single Cells",B71, 1)))</f>
        <v>#VALUE!</v>
      </c>
    </row>
    <row r="72" customFormat="false" ht="12.75" hidden="false" customHeight="true" outlineLevel="0" collapsed="false">
      <c r="E72" s="34" t="str">
        <f aca="false">MID(B72,9,1)</f>
        <v/>
      </c>
      <c r="F72" s="34" t="str">
        <f aca="false">MID(B72,10,1)</f>
        <v/>
      </c>
      <c r="G72" s="34" t="str">
        <f aca="false">MID(B72,11,1)</f>
        <v/>
      </c>
      <c r="H72" s="35" t="str">
        <f aca="false">IF(G72=".",F72,CONCATENATE(F72,G72))</f>
        <v/>
      </c>
      <c r="I72" s="34" t="n">
        <f aca="false">IFERROR(VALUE(H72),)</f>
        <v>0</v>
      </c>
      <c r="J72" s="34" t="e">
        <f aca="false">RIGHT(B72,LEN(B72)-FIND("/",B72, FIND("Single Cells",B72, 1)))</f>
        <v>#VALUE!</v>
      </c>
    </row>
    <row r="73" customFormat="false" ht="12.75" hidden="false" customHeight="true" outlineLevel="0" collapsed="false">
      <c r="E73" s="34" t="str">
        <f aca="false">MID(B73,9,1)</f>
        <v/>
      </c>
      <c r="F73" s="34" t="str">
        <f aca="false">MID(B73,10,1)</f>
        <v/>
      </c>
      <c r="G73" s="34" t="str">
        <f aca="false">MID(B73,11,1)</f>
        <v/>
      </c>
      <c r="H73" s="35" t="str">
        <f aca="false">IF(G73=".",F73,CONCATENATE(F73,G73))</f>
        <v/>
      </c>
      <c r="I73" s="34" t="n">
        <f aca="false">IFERROR(VALUE(H73),)</f>
        <v>0</v>
      </c>
      <c r="J73" s="34" t="e">
        <f aca="false">RIGHT(B73,LEN(B73)-FIND("/",B73, FIND("Single Cells",B73, 1)))</f>
        <v>#VALUE!</v>
      </c>
    </row>
    <row r="74" customFormat="false" ht="12.75" hidden="false" customHeight="true" outlineLevel="0" collapsed="false">
      <c r="E74" s="34" t="str">
        <f aca="false">MID(B74,9,1)</f>
        <v/>
      </c>
      <c r="F74" s="34" t="str">
        <f aca="false">MID(B74,10,1)</f>
        <v/>
      </c>
      <c r="G74" s="34" t="str">
        <f aca="false">MID(B74,11,1)</f>
        <v/>
      </c>
      <c r="H74" s="35" t="str">
        <f aca="false">IF(G74=".",F74,CONCATENATE(F74,G74))</f>
        <v/>
      </c>
      <c r="I74" s="34" t="n">
        <f aca="false">IFERROR(VALUE(H74),)</f>
        <v>0</v>
      </c>
      <c r="J74" s="34" t="e">
        <f aca="false">RIGHT(B74,LEN(B74)-FIND("/",B74, FIND("Single Cells",B74, 1)))</f>
        <v>#VALUE!</v>
      </c>
    </row>
    <row r="75" customFormat="false" ht="12.75" hidden="false" customHeight="true" outlineLevel="0" collapsed="false">
      <c r="E75" s="34" t="str">
        <f aca="false">MID(B75,9,1)</f>
        <v/>
      </c>
      <c r="F75" s="34" t="str">
        <f aca="false">MID(B75,10,1)</f>
        <v/>
      </c>
      <c r="G75" s="34" t="str">
        <f aca="false">MID(B75,11,1)</f>
        <v/>
      </c>
      <c r="H75" s="35" t="str">
        <f aca="false">IF(G75=".",F75,CONCATENATE(F75,G75))</f>
        <v/>
      </c>
      <c r="I75" s="34" t="n">
        <f aca="false">IFERROR(VALUE(H75),)</f>
        <v>0</v>
      </c>
      <c r="J75" s="34" t="e">
        <f aca="false">RIGHT(B75,LEN(B75)-FIND("/",B75, FIND("Single Cells",B75, 1)))</f>
        <v>#VALUE!</v>
      </c>
    </row>
    <row r="76" customFormat="false" ht="12.75" hidden="false" customHeight="true" outlineLevel="0" collapsed="false">
      <c r="E76" s="34" t="str">
        <f aca="false">MID(B76,9,1)</f>
        <v/>
      </c>
      <c r="F76" s="34" t="str">
        <f aca="false">MID(B76,10,1)</f>
        <v/>
      </c>
      <c r="G76" s="34" t="str">
        <f aca="false">MID(B76,11,1)</f>
        <v/>
      </c>
      <c r="H76" s="35" t="str">
        <f aca="false">IF(G76=".",F76,CONCATENATE(F76,G76))</f>
        <v/>
      </c>
      <c r="I76" s="34" t="n">
        <f aca="false">IFERROR(VALUE(H76),)</f>
        <v>0</v>
      </c>
      <c r="J76" s="34" t="e">
        <f aca="false">RIGHT(B76,LEN(B76)-FIND("/",B76, FIND("Single Cells",B76, 1)))</f>
        <v>#VALUE!</v>
      </c>
    </row>
    <row r="77" customFormat="false" ht="12.75" hidden="false" customHeight="true" outlineLevel="0" collapsed="false">
      <c r="E77" s="34" t="str">
        <f aca="false">MID(B77,9,1)</f>
        <v/>
      </c>
      <c r="F77" s="34" t="str">
        <f aca="false">MID(B77,10,1)</f>
        <v/>
      </c>
      <c r="G77" s="34" t="str">
        <f aca="false">MID(B77,11,1)</f>
        <v/>
      </c>
      <c r="H77" s="35" t="str">
        <f aca="false">IF(G77=".",F77,CONCATENATE(F77,G77))</f>
        <v/>
      </c>
      <c r="I77" s="34" t="n">
        <f aca="false">IFERROR(VALUE(H77),)</f>
        <v>0</v>
      </c>
      <c r="J77" s="34" t="e">
        <f aca="false">RIGHT(B77,LEN(B77)-FIND("/",B77, FIND("Single Cells",B77, 1)))</f>
        <v>#VALUE!</v>
      </c>
    </row>
    <row r="78" customFormat="false" ht="12.75" hidden="false" customHeight="true" outlineLevel="0" collapsed="false">
      <c r="E78" s="34" t="str">
        <f aca="false">MID(B78,9,1)</f>
        <v/>
      </c>
      <c r="F78" s="34" t="str">
        <f aca="false">MID(B78,10,1)</f>
        <v/>
      </c>
      <c r="G78" s="34" t="str">
        <f aca="false">MID(B78,11,1)</f>
        <v/>
      </c>
      <c r="H78" s="35" t="str">
        <f aca="false">IF(G78=".",F78,CONCATENATE(F78,G78))</f>
        <v/>
      </c>
      <c r="I78" s="34" t="n">
        <f aca="false">IFERROR(VALUE(H78),)</f>
        <v>0</v>
      </c>
      <c r="J78" s="34" t="e">
        <f aca="false">RIGHT(B78,LEN(B78)-FIND("/",B78, FIND("Single Cells",B78, 1)))</f>
        <v>#VALUE!</v>
      </c>
    </row>
    <row r="79" customFormat="false" ht="12.75" hidden="false" customHeight="true" outlineLevel="0" collapsed="false">
      <c r="E79" s="34" t="str">
        <f aca="false">MID(B79,9,1)</f>
        <v/>
      </c>
      <c r="F79" s="34" t="str">
        <f aca="false">MID(B79,10,1)</f>
        <v/>
      </c>
      <c r="G79" s="34" t="str">
        <f aca="false">MID(B79,11,1)</f>
        <v/>
      </c>
      <c r="H79" s="35" t="str">
        <f aca="false">IF(G79=".",F79,CONCATENATE(F79,G79))</f>
        <v/>
      </c>
      <c r="I79" s="34" t="n">
        <f aca="false">IFERROR(VALUE(H79),)</f>
        <v>0</v>
      </c>
      <c r="J79" s="34" t="e">
        <f aca="false">RIGHT(B79,LEN(B79)-FIND("/",B79, FIND("Single Cells",B79, 1)))</f>
        <v>#VALUE!</v>
      </c>
    </row>
    <row r="80" customFormat="false" ht="12.75" hidden="false" customHeight="true" outlineLevel="0" collapsed="false">
      <c r="E80" s="34" t="str">
        <f aca="false">MID(B80,9,1)</f>
        <v/>
      </c>
      <c r="F80" s="34" t="str">
        <f aca="false">MID(B80,10,1)</f>
        <v/>
      </c>
      <c r="G80" s="34" t="str">
        <f aca="false">MID(B80,11,1)</f>
        <v/>
      </c>
      <c r="H80" s="35" t="str">
        <f aca="false">IF(G80=".",F80,CONCATENATE(F80,G80))</f>
        <v/>
      </c>
      <c r="I80" s="34" t="n">
        <f aca="false">IFERROR(VALUE(H80),)</f>
        <v>0</v>
      </c>
      <c r="J80" s="34" t="e">
        <f aca="false">RIGHT(B80,LEN(B80)-FIND("/",B80, FIND("Single Cells",B80, 1)))</f>
        <v>#VALUE!</v>
      </c>
    </row>
    <row r="81" customFormat="false" ht="12.75" hidden="false" customHeight="true" outlineLevel="0" collapsed="false">
      <c r="E81" s="34" t="str">
        <f aca="false">MID(B81,9,1)</f>
        <v/>
      </c>
      <c r="F81" s="34" t="str">
        <f aca="false">MID(B81,10,1)</f>
        <v/>
      </c>
      <c r="G81" s="34" t="str">
        <f aca="false">MID(B81,11,1)</f>
        <v/>
      </c>
      <c r="H81" s="35" t="str">
        <f aca="false">IF(G81=".",F81,CONCATENATE(F81,G81))</f>
        <v/>
      </c>
      <c r="I81" s="34" t="n">
        <f aca="false">IFERROR(VALUE(H81),)</f>
        <v>0</v>
      </c>
      <c r="J81" s="34" t="e">
        <f aca="false">RIGHT(B81,LEN(B81)-FIND("/",B81, FIND("Single Cells",B81, 1)))</f>
        <v>#VALUE!</v>
      </c>
    </row>
    <row r="82" customFormat="false" ht="12.75" hidden="false" customHeight="true" outlineLevel="0" collapsed="false">
      <c r="E82" s="34" t="str">
        <f aca="false">MID(B82,9,1)</f>
        <v/>
      </c>
      <c r="F82" s="34" t="str">
        <f aca="false">MID(B82,10,1)</f>
        <v/>
      </c>
      <c r="G82" s="34" t="str">
        <f aca="false">MID(B82,11,1)</f>
        <v/>
      </c>
      <c r="H82" s="35" t="str">
        <f aca="false">IF(G82=".",F82,CONCATENATE(F82,G82))</f>
        <v/>
      </c>
      <c r="I82" s="34" t="n">
        <f aca="false">IFERROR(VALUE(H82),)</f>
        <v>0</v>
      </c>
      <c r="J82" s="34" t="e">
        <f aca="false">RIGHT(B82,LEN(B82)-FIND("/",B82, FIND("Single Cells",B82, 1)))</f>
        <v>#VALUE!</v>
      </c>
    </row>
    <row r="83" customFormat="false" ht="12.75" hidden="false" customHeight="true" outlineLevel="0" collapsed="false">
      <c r="E83" s="34" t="str">
        <f aca="false">MID(B83,9,1)</f>
        <v/>
      </c>
      <c r="F83" s="34" t="str">
        <f aca="false">MID(B83,10,1)</f>
        <v/>
      </c>
      <c r="G83" s="34" t="str">
        <f aca="false">MID(B83,11,1)</f>
        <v/>
      </c>
      <c r="H83" s="35" t="str">
        <f aca="false">IF(G83=".",F83,CONCATENATE(F83,G83))</f>
        <v/>
      </c>
      <c r="I83" s="34" t="n">
        <f aca="false">IFERROR(VALUE(H83),)</f>
        <v>0</v>
      </c>
      <c r="J83" s="34" t="e">
        <f aca="false">RIGHT(B83,LEN(B83)-FIND("/",B83, FIND("Single Cells",B83, 1)))</f>
        <v>#VALUE!</v>
      </c>
    </row>
    <row r="84" customFormat="false" ht="12.75" hidden="false" customHeight="true" outlineLevel="0" collapsed="false">
      <c r="E84" s="34" t="str">
        <f aca="false">MID(B84,9,1)</f>
        <v/>
      </c>
      <c r="F84" s="34" t="str">
        <f aca="false">MID(B84,10,1)</f>
        <v/>
      </c>
      <c r="G84" s="34" t="str">
        <f aca="false">MID(B84,11,1)</f>
        <v/>
      </c>
      <c r="H84" s="35" t="str">
        <f aca="false">IF(G84=".",F84,CONCATENATE(F84,G84))</f>
        <v/>
      </c>
      <c r="I84" s="34" t="n">
        <f aca="false">IFERROR(VALUE(H84),)</f>
        <v>0</v>
      </c>
      <c r="J84" s="34" t="e">
        <f aca="false">RIGHT(B84,LEN(B84)-FIND("/",B84, FIND("Single Cells",B84, 1)))</f>
        <v>#VALUE!</v>
      </c>
    </row>
    <row r="85" customFormat="false" ht="12.75" hidden="false" customHeight="true" outlineLevel="0" collapsed="false">
      <c r="E85" s="34" t="str">
        <f aca="false">MID(B85,9,1)</f>
        <v/>
      </c>
      <c r="F85" s="34" t="str">
        <f aca="false">MID(B85,10,1)</f>
        <v/>
      </c>
      <c r="G85" s="34" t="str">
        <f aca="false">MID(B85,11,1)</f>
        <v/>
      </c>
      <c r="H85" s="35" t="str">
        <f aca="false">IF(G85=".",F85,CONCATENATE(F85,G85))</f>
        <v/>
      </c>
      <c r="I85" s="34" t="n">
        <f aca="false">IFERROR(VALUE(H85),)</f>
        <v>0</v>
      </c>
      <c r="J85" s="34" t="e">
        <f aca="false">RIGHT(B85,LEN(B85)-FIND("/",B85, FIND("Single Cells",B85, 1)))</f>
        <v>#VALUE!</v>
      </c>
    </row>
    <row r="86" customFormat="false" ht="12.75" hidden="false" customHeight="true" outlineLevel="0" collapsed="false">
      <c r="E86" s="34" t="str">
        <f aca="false">MID(B86,9,1)</f>
        <v/>
      </c>
      <c r="F86" s="34" t="str">
        <f aca="false">MID(B86,10,1)</f>
        <v/>
      </c>
      <c r="G86" s="34" t="str">
        <f aca="false">MID(B86,11,1)</f>
        <v/>
      </c>
      <c r="H86" s="35" t="str">
        <f aca="false">IF(G86=".",F86,CONCATENATE(F86,G86))</f>
        <v/>
      </c>
      <c r="I86" s="34" t="n">
        <f aca="false">IFERROR(VALUE(H86),)</f>
        <v>0</v>
      </c>
      <c r="J86" s="34" t="e">
        <f aca="false">RIGHT(B86,LEN(B86)-FIND("/",B86, FIND("Single Cells",B86, 1)))</f>
        <v>#VALUE!</v>
      </c>
    </row>
    <row r="87" customFormat="false" ht="12.75" hidden="false" customHeight="true" outlineLevel="0" collapsed="false">
      <c r="E87" s="34" t="str">
        <f aca="false">MID(B87,9,1)</f>
        <v/>
      </c>
      <c r="F87" s="34" t="str">
        <f aca="false">MID(B87,10,1)</f>
        <v/>
      </c>
      <c r="G87" s="34" t="str">
        <f aca="false">MID(B87,11,1)</f>
        <v/>
      </c>
      <c r="H87" s="35" t="str">
        <f aca="false">IF(G87=".",F87,CONCATENATE(F87,G87))</f>
        <v/>
      </c>
      <c r="I87" s="34" t="n">
        <f aca="false">IFERROR(VALUE(H87),)</f>
        <v>0</v>
      </c>
      <c r="J87" s="34" t="e">
        <f aca="false">RIGHT(B87,LEN(B87)-FIND("/",B87, FIND("Single Cells",B87, 1)))</f>
        <v>#VALUE!</v>
      </c>
    </row>
    <row r="88" customFormat="false" ht="12.75" hidden="false" customHeight="true" outlineLevel="0" collapsed="false">
      <c r="E88" s="34" t="str">
        <f aca="false">MID(B88,9,1)</f>
        <v/>
      </c>
      <c r="F88" s="34" t="str">
        <f aca="false">MID(B88,10,1)</f>
        <v/>
      </c>
      <c r="G88" s="34" t="str">
        <f aca="false">MID(B88,11,1)</f>
        <v/>
      </c>
      <c r="H88" s="35" t="str">
        <f aca="false">IF(G88=".",F88,CONCATENATE(F88,G88))</f>
        <v/>
      </c>
      <c r="I88" s="34" t="n">
        <f aca="false">IFERROR(VALUE(H88),)</f>
        <v>0</v>
      </c>
      <c r="J88" s="34" t="e">
        <f aca="false">RIGHT(B88,LEN(B88)-FIND("/",B88, FIND("Single Cells",B88, 1)))</f>
        <v>#VALUE!</v>
      </c>
    </row>
    <row r="89" customFormat="false" ht="12.75" hidden="false" customHeight="true" outlineLevel="0" collapsed="false">
      <c r="E89" s="34" t="str">
        <f aca="false">MID(B89,9,1)</f>
        <v/>
      </c>
      <c r="F89" s="34" t="str">
        <f aca="false">MID(B89,10,1)</f>
        <v/>
      </c>
      <c r="G89" s="34" t="str">
        <f aca="false">MID(B89,11,1)</f>
        <v/>
      </c>
      <c r="H89" s="35" t="str">
        <f aca="false">IF(G89=".",F89,CONCATENATE(F89,G89))</f>
        <v/>
      </c>
      <c r="I89" s="34" t="n">
        <f aca="false">IFERROR(VALUE(H89),)</f>
        <v>0</v>
      </c>
      <c r="J89" s="34" t="e">
        <f aca="false">RIGHT(B89,LEN(B89)-FIND("/",B89, FIND("Single Cells",B89, 1)))</f>
        <v>#VALUE!</v>
      </c>
    </row>
    <row r="90" customFormat="false" ht="12.75" hidden="false" customHeight="true" outlineLevel="0" collapsed="false">
      <c r="E90" s="34" t="str">
        <f aca="false">MID(B90,9,1)</f>
        <v/>
      </c>
      <c r="F90" s="34" t="str">
        <f aca="false">MID(B90,10,1)</f>
        <v/>
      </c>
      <c r="G90" s="34" t="str">
        <f aca="false">MID(B90,11,1)</f>
        <v/>
      </c>
      <c r="H90" s="35" t="str">
        <f aca="false">IF(G90=".",F90,CONCATENATE(F90,G90))</f>
        <v/>
      </c>
      <c r="I90" s="34" t="n">
        <f aca="false">IFERROR(VALUE(H90),)</f>
        <v>0</v>
      </c>
      <c r="J90" s="34" t="e">
        <f aca="false">RIGHT(B90,LEN(B90)-FIND("/",B90, FIND("Single Cells",B90, 1)))</f>
        <v>#VALUE!</v>
      </c>
    </row>
    <row r="91" customFormat="false" ht="12.75" hidden="false" customHeight="true" outlineLevel="0" collapsed="false">
      <c r="E91" s="34" t="str">
        <f aca="false">MID(B91,9,1)</f>
        <v/>
      </c>
      <c r="F91" s="34" t="str">
        <f aca="false">MID(B91,10,1)</f>
        <v/>
      </c>
      <c r="G91" s="34" t="str">
        <f aca="false">MID(B91,11,1)</f>
        <v/>
      </c>
      <c r="H91" s="35" t="str">
        <f aca="false">IF(G91=".",F91,CONCATENATE(F91,G91))</f>
        <v/>
      </c>
      <c r="I91" s="34" t="n">
        <f aca="false">IFERROR(VALUE(H91),)</f>
        <v>0</v>
      </c>
      <c r="J91" s="34" t="e">
        <f aca="false">RIGHT(B91,LEN(B91)-FIND("/",B91, FIND("Single Cells",B91, 1)))</f>
        <v>#VALUE!</v>
      </c>
    </row>
    <row r="92" customFormat="false" ht="12.75" hidden="false" customHeight="true" outlineLevel="0" collapsed="false">
      <c r="E92" s="34" t="str">
        <f aca="false">MID(B92,9,1)</f>
        <v/>
      </c>
      <c r="F92" s="34" t="str">
        <f aca="false">MID(B92,10,1)</f>
        <v/>
      </c>
      <c r="G92" s="34" t="str">
        <f aca="false">MID(B92,11,1)</f>
        <v/>
      </c>
      <c r="H92" s="35" t="str">
        <f aca="false">IF(G92=".",F92,CONCATENATE(F92,G92))</f>
        <v/>
      </c>
      <c r="I92" s="34" t="n">
        <f aca="false">IFERROR(VALUE(H92),)</f>
        <v>0</v>
      </c>
      <c r="J92" s="34" t="e">
        <f aca="false">RIGHT(B92,LEN(B92)-FIND("/",B92, FIND("Single Cells",B92, 1)))</f>
        <v>#VALUE!</v>
      </c>
    </row>
    <row r="93" customFormat="false" ht="12.75" hidden="false" customHeight="true" outlineLevel="0" collapsed="false">
      <c r="E93" s="34" t="str">
        <f aca="false">MID(B93,9,1)</f>
        <v/>
      </c>
      <c r="F93" s="34" t="str">
        <f aca="false">MID(B93,10,1)</f>
        <v/>
      </c>
      <c r="G93" s="34" t="str">
        <f aca="false">MID(B93,11,1)</f>
        <v/>
      </c>
      <c r="H93" s="35" t="str">
        <f aca="false">IF(G93=".",F93,CONCATENATE(F93,G93))</f>
        <v/>
      </c>
      <c r="I93" s="34" t="n">
        <f aca="false">IFERROR(VALUE(H93),)</f>
        <v>0</v>
      </c>
      <c r="J93" s="34" t="e">
        <f aca="false">RIGHT(B93,LEN(B93)-FIND("/",B93, FIND("Single Cells",B93, 1)))</f>
        <v>#VALUE!</v>
      </c>
    </row>
    <row r="94" customFormat="false" ht="12.75" hidden="false" customHeight="true" outlineLevel="0" collapsed="false">
      <c r="E94" s="34" t="str">
        <f aca="false">MID(B94,9,1)</f>
        <v/>
      </c>
      <c r="F94" s="34" t="str">
        <f aca="false">MID(B94,10,1)</f>
        <v/>
      </c>
      <c r="G94" s="34" t="str">
        <f aca="false">MID(B94,11,1)</f>
        <v/>
      </c>
      <c r="H94" s="35" t="str">
        <f aca="false">IF(G94=".",F94,CONCATENATE(F94,G94))</f>
        <v/>
      </c>
      <c r="I94" s="34" t="n">
        <f aca="false">IFERROR(VALUE(H94),)</f>
        <v>0</v>
      </c>
      <c r="J94" s="34" t="e">
        <f aca="false">RIGHT(B94,LEN(B94)-FIND("/",B94, FIND("Single Cells",B94, 1)))</f>
        <v>#VALUE!</v>
      </c>
    </row>
    <row r="95" customFormat="false" ht="12.75" hidden="false" customHeight="true" outlineLevel="0" collapsed="false">
      <c r="E95" s="34" t="str">
        <f aca="false">MID(B95,9,1)</f>
        <v/>
      </c>
      <c r="F95" s="34" t="str">
        <f aca="false">MID(B95,10,1)</f>
        <v/>
      </c>
      <c r="G95" s="34" t="str">
        <f aca="false">MID(B95,11,1)</f>
        <v/>
      </c>
      <c r="H95" s="35" t="str">
        <f aca="false">IF(G95=".",F95,CONCATENATE(F95,G95))</f>
        <v/>
      </c>
      <c r="I95" s="34" t="n">
        <f aca="false">IFERROR(VALUE(H95),)</f>
        <v>0</v>
      </c>
      <c r="J95" s="34" t="e">
        <f aca="false">RIGHT(B95,LEN(B95)-FIND("/",B95, FIND("Single Cells",B95, 1)))</f>
        <v>#VALUE!</v>
      </c>
    </row>
    <row r="96" customFormat="false" ht="12.75" hidden="false" customHeight="true" outlineLevel="0" collapsed="false">
      <c r="E96" s="34" t="str">
        <f aca="false">MID(B96,9,1)</f>
        <v/>
      </c>
      <c r="F96" s="34" t="str">
        <f aca="false">MID(B96,10,1)</f>
        <v/>
      </c>
      <c r="G96" s="34" t="str">
        <f aca="false">MID(B96,11,1)</f>
        <v/>
      </c>
      <c r="H96" s="35" t="str">
        <f aca="false">IF(G96=".",F96,CONCATENATE(F96,G96))</f>
        <v/>
      </c>
      <c r="I96" s="34" t="n">
        <f aca="false">IFERROR(VALUE(H96),)</f>
        <v>0</v>
      </c>
      <c r="J96" s="34" t="e">
        <f aca="false">RIGHT(B96,LEN(B96)-FIND("/",B96, FIND("Single Cells",B96, 1)))</f>
        <v>#VALUE!</v>
      </c>
    </row>
    <row r="97" customFormat="false" ht="12.75" hidden="false" customHeight="true" outlineLevel="0" collapsed="false">
      <c r="E97" s="34" t="str">
        <f aca="false">MID(B97,9,1)</f>
        <v/>
      </c>
      <c r="F97" s="34" t="str">
        <f aca="false">MID(B97,10,1)</f>
        <v/>
      </c>
      <c r="G97" s="34" t="str">
        <f aca="false">MID(B97,11,1)</f>
        <v/>
      </c>
      <c r="H97" s="35" t="str">
        <f aca="false">IF(G97=".",F97,CONCATENATE(F97,G97))</f>
        <v/>
      </c>
      <c r="I97" s="34" t="n">
        <f aca="false">IFERROR(VALUE(H97),)</f>
        <v>0</v>
      </c>
      <c r="J97" s="34" t="e">
        <f aca="false">RIGHT(B97,LEN(B97)-FIND("/",B97, FIND("Single Cells",B97, 1)))</f>
        <v>#VALUE!</v>
      </c>
    </row>
    <row r="98" customFormat="false" ht="12.75" hidden="false" customHeight="true" outlineLevel="0" collapsed="false">
      <c r="E98" s="34" t="str">
        <f aca="false">MID(B98,9,1)</f>
        <v/>
      </c>
      <c r="F98" s="34" t="str">
        <f aca="false">MID(B98,10,1)</f>
        <v/>
      </c>
      <c r="G98" s="34" t="str">
        <f aca="false">MID(B98,11,1)</f>
        <v/>
      </c>
      <c r="H98" s="35" t="str">
        <f aca="false">IF(G98=".",F98,CONCATENATE(F98,G98))</f>
        <v/>
      </c>
      <c r="I98" s="34" t="n">
        <f aca="false">IFERROR(VALUE(H98),)</f>
        <v>0</v>
      </c>
      <c r="J98" s="34" t="e">
        <f aca="false">RIGHT(B98,LEN(B98)-FIND("/",B98, FIND("Single Cells",B98, 1)))</f>
        <v>#VALUE!</v>
      </c>
    </row>
    <row r="99" customFormat="false" ht="12.75" hidden="false" customHeight="true" outlineLevel="0" collapsed="false">
      <c r="E99" s="34" t="str">
        <f aca="false">MID(B99,9,1)</f>
        <v/>
      </c>
      <c r="F99" s="34" t="str">
        <f aca="false">MID(B99,10,1)</f>
        <v/>
      </c>
      <c r="G99" s="34" t="str">
        <f aca="false">MID(B99,11,1)</f>
        <v/>
      </c>
      <c r="H99" s="35" t="str">
        <f aca="false">IF(G99=".",F99,CONCATENATE(F99,G99))</f>
        <v/>
      </c>
      <c r="I99" s="34" t="n">
        <f aca="false">IFERROR(VALUE(H99),)</f>
        <v>0</v>
      </c>
      <c r="J99" s="34" t="e">
        <f aca="false">RIGHT(B99,LEN(B99)-FIND("/",B99, FIND("Single Cells",B99, 1)))</f>
        <v>#VALUE!</v>
      </c>
    </row>
    <row r="100" customFormat="false" ht="12.75" hidden="false" customHeight="true" outlineLevel="0" collapsed="false">
      <c r="E100" s="34" t="str">
        <f aca="false">MID(B100,9,1)</f>
        <v/>
      </c>
      <c r="F100" s="34" t="str">
        <f aca="false">MID(B100,10,1)</f>
        <v/>
      </c>
      <c r="G100" s="34" t="str">
        <f aca="false">MID(B100,11,1)</f>
        <v/>
      </c>
      <c r="H100" s="35" t="str">
        <f aca="false">IF(G100=".",F100,CONCATENATE(F100,G100))</f>
        <v/>
      </c>
      <c r="I100" s="34" t="n">
        <f aca="false">IFERROR(VALUE(H100),)</f>
        <v>0</v>
      </c>
      <c r="J100" s="34" t="e">
        <f aca="false">RIGHT(B100,LEN(B100)-FIND("/",B100, FIND("Single Cells",B100, 1)))</f>
        <v>#VALUE!</v>
      </c>
    </row>
    <row r="101" customFormat="false" ht="12.75" hidden="false" customHeight="true" outlineLevel="0" collapsed="false">
      <c r="E101" s="34" t="str">
        <f aca="false">MID(B101,9,1)</f>
        <v/>
      </c>
      <c r="F101" s="34" t="str">
        <f aca="false">MID(B101,10,1)</f>
        <v/>
      </c>
      <c r="G101" s="34" t="str">
        <f aca="false">MID(B101,11,1)</f>
        <v/>
      </c>
      <c r="H101" s="35" t="str">
        <f aca="false">IF(G101=".",F101,CONCATENATE(F101,G101))</f>
        <v/>
      </c>
      <c r="I101" s="34" t="n">
        <f aca="false">IFERROR(VALUE(H101),)</f>
        <v>0</v>
      </c>
      <c r="J101" s="34" t="e">
        <f aca="false">RIGHT(B101,LEN(B101)-FIND("/",B101, FIND("Single Cells",B101, 1)))</f>
        <v>#VALUE!</v>
      </c>
    </row>
    <row r="102" customFormat="false" ht="12.75" hidden="false" customHeight="true" outlineLevel="0" collapsed="false">
      <c r="E102" s="34" t="str">
        <f aca="false">MID(B102,9,1)</f>
        <v/>
      </c>
      <c r="F102" s="34" t="str">
        <f aca="false">MID(B102,10,1)</f>
        <v/>
      </c>
      <c r="G102" s="34" t="str">
        <f aca="false">MID(B102,11,1)</f>
        <v/>
      </c>
      <c r="H102" s="35" t="str">
        <f aca="false">IF(G102=".",F102,CONCATENATE(F102,G102))</f>
        <v/>
      </c>
      <c r="I102" s="34" t="n">
        <f aca="false">IFERROR(VALUE(H102),)</f>
        <v>0</v>
      </c>
      <c r="J102" s="34" t="e">
        <f aca="false">RIGHT(B102,LEN(B102)-FIND("/",B102, FIND("Single Cells",B102, 1)))</f>
        <v>#VALUE!</v>
      </c>
    </row>
    <row r="103" customFormat="false" ht="12.75" hidden="false" customHeight="true" outlineLevel="0" collapsed="false">
      <c r="E103" s="34" t="str">
        <f aca="false">MID(B103,9,1)</f>
        <v/>
      </c>
      <c r="F103" s="34" t="str">
        <f aca="false">MID(B103,10,1)</f>
        <v/>
      </c>
      <c r="G103" s="34" t="str">
        <f aca="false">MID(B103,11,1)</f>
        <v/>
      </c>
      <c r="H103" s="35" t="str">
        <f aca="false">IF(G103=".",F103,CONCATENATE(F103,G103))</f>
        <v/>
      </c>
      <c r="I103" s="34" t="n">
        <f aca="false">IFERROR(VALUE(H103),)</f>
        <v>0</v>
      </c>
      <c r="J103" s="34" t="e">
        <f aca="false">RIGHT(B103,LEN(B103)-FIND("/",B103, FIND("Single Cells",B103, 1)))</f>
        <v>#VALUE!</v>
      </c>
    </row>
    <row r="104" customFormat="false" ht="12.75" hidden="false" customHeight="true" outlineLevel="0" collapsed="false">
      <c r="E104" s="34" t="str">
        <f aca="false">MID(B104,9,1)</f>
        <v/>
      </c>
      <c r="F104" s="34" t="str">
        <f aca="false">MID(B104,10,1)</f>
        <v/>
      </c>
      <c r="G104" s="34" t="str">
        <f aca="false">MID(B104,11,1)</f>
        <v/>
      </c>
      <c r="H104" s="35" t="str">
        <f aca="false">IF(G104=".",F104,CONCATENATE(F104,G104))</f>
        <v/>
      </c>
      <c r="I104" s="34" t="n">
        <f aca="false">IFERROR(VALUE(H104),)</f>
        <v>0</v>
      </c>
      <c r="J104" s="34" t="e">
        <f aca="false">RIGHT(B104,LEN(B104)-FIND("/",B104, FIND("Single Cells",B104, 1)))</f>
        <v>#VALUE!</v>
      </c>
    </row>
    <row r="105" customFormat="false" ht="12.75" hidden="false" customHeight="true" outlineLevel="0" collapsed="false">
      <c r="E105" s="34" t="str">
        <f aca="false">MID(B105,9,1)</f>
        <v/>
      </c>
      <c r="F105" s="34" t="str">
        <f aca="false">MID(B105,10,1)</f>
        <v/>
      </c>
      <c r="G105" s="34" t="str">
        <f aca="false">MID(B105,11,1)</f>
        <v/>
      </c>
      <c r="H105" s="35" t="str">
        <f aca="false">IF(G105=".",F105,CONCATENATE(F105,G105))</f>
        <v/>
      </c>
      <c r="I105" s="34" t="n">
        <f aca="false">IFERROR(VALUE(H105),)</f>
        <v>0</v>
      </c>
      <c r="J105" s="34" t="e">
        <f aca="false">RIGHT(B105,LEN(B105)-FIND("/",B105, FIND("Single Cells",B105, 1)))</f>
        <v>#VALUE!</v>
      </c>
    </row>
    <row r="106" customFormat="false" ht="12.75" hidden="false" customHeight="true" outlineLevel="0" collapsed="false">
      <c r="E106" s="34" t="str">
        <f aca="false">MID(B106,9,1)</f>
        <v/>
      </c>
      <c r="F106" s="34" t="str">
        <f aca="false">MID(B106,10,1)</f>
        <v/>
      </c>
      <c r="G106" s="34" t="str">
        <f aca="false">MID(B106,11,1)</f>
        <v/>
      </c>
      <c r="H106" s="35" t="str">
        <f aca="false">IF(G106=".",F106,CONCATENATE(F106,G106))</f>
        <v/>
      </c>
      <c r="I106" s="34" t="n">
        <f aca="false">IFERROR(VALUE(H106),)</f>
        <v>0</v>
      </c>
      <c r="J106" s="34" t="e">
        <f aca="false">RIGHT(B106,LEN(B106)-FIND("/",B106, FIND("Single Cells",B106, 1)))</f>
        <v>#VALUE!</v>
      </c>
    </row>
    <row r="107" customFormat="false" ht="12.75" hidden="false" customHeight="true" outlineLevel="0" collapsed="false">
      <c r="E107" s="34" t="str">
        <f aca="false">MID(B107,9,1)</f>
        <v/>
      </c>
      <c r="F107" s="34" t="str">
        <f aca="false">MID(B107,10,1)</f>
        <v/>
      </c>
      <c r="G107" s="34" t="str">
        <f aca="false">MID(B107,11,1)</f>
        <v/>
      </c>
      <c r="H107" s="35" t="str">
        <f aca="false">IF(G107=".",F107,CONCATENATE(F107,G107))</f>
        <v/>
      </c>
      <c r="I107" s="34" t="n">
        <f aca="false">IFERROR(VALUE(H107),)</f>
        <v>0</v>
      </c>
      <c r="J107" s="34" t="e">
        <f aca="false">RIGHT(B107,LEN(B107)-FIND("/",B107, FIND("Single Cells",B107, 1)))</f>
        <v>#VALUE!</v>
      </c>
    </row>
    <row r="108" customFormat="false" ht="12.75" hidden="false" customHeight="true" outlineLevel="0" collapsed="false">
      <c r="E108" s="34" t="str">
        <f aca="false">MID(B108,9,1)</f>
        <v/>
      </c>
      <c r="F108" s="34" t="str">
        <f aca="false">MID(B108,10,1)</f>
        <v/>
      </c>
      <c r="G108" s="34" t="str">
        <f aca="false">MID(B108,11,1)</f>
        <v/>
      </c>
      <c r="H108" s="35" t="str">
        <f aca="false">IF(G108=".",F108,CONCATENATE(F108,G108))</f>
        <v/>
      </c>
      <c r="I108" s="34" t="n">
        <f aca="false">IFERROR(VALUE(H108),)</f>
        <v>0</v>
      </c>
      <c r="J108" s="34" t="e">
        <f aca="false">RIGHT(B108,LEN(B108)-FIND("/",B108, FIND("Single Cells",B108, 1)))</f>
        <v>#VALUE!</v>
      </c>
    </row>
    <row r="109" customFormat="false" ht="12.75" hidden="false" customHeight="true" outlineLevel="0" collapsed="false">
      <c r="E109" s="34" t="str">
        <f aca="false">MID(B109,9,1)</f>
        <v/>
      </c>
      <c r="F109" s="34" t="str">
        <f aca="false">MID(B109,10,1)</f>
        <v/>
      </c>
      <c r="G109" s="34" t="str">
        <f aca="false">MID(B109,11,1)</f>
        <v/>
      </c>
      <c r="H109" s="35" t="str">
        <f aca="false">IF(G109=".",F109,CONCATENATE(F109,G109))</f>
        <v/>
      </c>
      <c r="I109" s="34" t="n">
        <f aca="false">IFERROR(VALUE(H109),)</f>
        <v>0</v>
      </c>
      <c r="J109" s="34" t="e">
        <f aca="false">RIGHT(B109,LEN(B109)-FIND("/",B109, FIND("Single Cells",B109, 1)))</f>
        <v>#VALUE!</v>
      </c>
    </row>
    <row r="110" customFormat="false" ht="12.75" hidden="false" customHeight="true" outlineLevel="0" collapsed="false">
      <c r="E110" s="34" t="str">
        <f aca="false">MID(B110,9,1)</f>
        <v/>
      </c>
      <c r="F110" s="34" t="str">
        <f aca="false">MID(B110,10,1)</f>
        <v/>
      </c>
      <c r="G110" s="34" t="str">
        <f aca="false">MID(B110,11,1)</f>
        <v/>
      </c>
      <c r="H110" s="35" t="str">
        <f aca="false">IF(G110=".",F110,CONCATENATE(F110,G110))</f>
        <v/>
      </c>
      <c r="I110" s="34" t="n">
        <f aca="false">IFERROR(VALUE(H110),)</f>
        <v>0</v>
      </c>
      <c r="J110" s="34" t="e">
        <f aca="false">RIGHT(B110,LEN(B110)-FIND("/",B110, FIND("Single Cells",B110, 1)))</f>
        <v>#VALUE!</v>
      </c>
    </row>
    <row r="111" customFormat="false" ht="12.75" hidden="false" customHeight="true" outlineLevel="0" collapsed="false">
      <c r="E111" s="34" t="str">
        <f aca="false">MID(B111,9,1)</f>
        <v/>
      </c>
      <c r="F111" s="34" t="str">
        <f aca="false">MID(B111,10,1)</f>
        <v/>
      </c>
      <c r="G111" s="34" t="str">
        <f aca="false">MID(B111,11,1)</f>
        <v/>
      </c>
      <c r="H111" s="35" t="str">
        <f aca="false">IF(G111=".",F111,CONCATENATE(F111,G111))</f>
        <v/>
      </c>
      <c r="I111" s="34" t="n">
        <f aca="false">IFERROR(VALUE(H111),)</f>
        <v>0</v>
      </c>
      <c r="J111" s="34" t="e">
        <f aca="false">RIGHT(B111,LEN(B111)-FIND("/",B111, FIND("Single Cells",B111, 1)))</f>
        <v>#VALUE!</v>
      </c>
    </row>
    <row r="112" customFormat="false" ht="12.75" hidden="false" customHeight="true" outlineLevel="0" collapsed="false">
      <c r="E112" s="34" t="str">
        <f aca="false">MID(B112,9,1)</f>
        <v/>
      </c>
      <c r="F112" s="34" t="str">
        <f aca="false">MID(B112,10,1)</f>
        <v/>
      </c>
      <c r="G112" s="34" t="str">
        <f aca="false">MID(B112,11,1)</f>
        <v/>
      </c>
      <c r="H112" s="35" t="str">
        <f aca="false">IF(G112=".",F112,CONCATENATE(F112,G112))</f>
        <v/>
      </c>
      <c r="I112" s="34" t="n">
        <f aca="false">IFERROR(VALUE(H112),)</f>
        <v>0</v>
      </c>
      <c r="J112" s="34" t="e">
        <f aca="false">RIGHT(B112,LEN(B112)-FIND("/",B112, FIND("Single Cells",B112, 1)))</f>
        <v>#VALUE!</v>
      </c>
    </row>
    <row r="113" customFormat="false" ht="12.75" hidden="false" customHeight="true" outlineLevel="0" collapsed="false">
      <c r="E113" s="34" t="str">
        <f aca="false">MID(B113,9,1)</f>
        <v/>
      </c>
      <c r="F113" s="34" t="str">
        <f aca="false">MID(B113,10,1)</f>
        <v/>
      </c>
      <c r="G113" s="34" t="str">
        <f aca="false">MID(B113,11,1)</f>
        <v/>
      </c>
      <c r="H113" s="35" t="str">
        <f aca="false">IF(G113=".",F113,CONCATENATE(F113,G113))</f>
        <v/>
      </c>
      <c r="I113" s="34" t="n">
        <f aca="false">IFERROR(VALUE(H113),)</f>
        <v>0</v>
      </c>
      <c r="J113" s="34" t="e">
        <f aca="false">RIGHT(B113,LEN(B113)-FIND("/",B113, FIND("Single Cells",B113, 1)))</f>
        <v>#VALUE!</v>
      </c>
    </row>
    <row r="114" customFormat="false" ht="12.75" hidden="false" customHeight="true" outlineLevel="0" collapsed="false">
      <c r="E114" s="34" t="str">
        <f aca="false">MID(B114,9,1)</f>
        <v/>
      </c>
      <c r="F114" s="34" t="str">
        <f aca="false">MID(B114,10,1)</f>
        <v/>
      </c>
      <c r="G114" s="34" t="str">
        <f aca="false">MID(B114,11,1)</f>
        <v/>
      </c>
      <c r="H114" s="35" t="str">
        <f aca="false">IF(G114=".",F114,CONCATENATE(F114,G114))</f>
        <v/>
      </c>
      <c r="I114" s="34" t="n">
        <f aca="false">IFERROR(VALUE(H114),)</f>
        <v>0</v>
      </c>
      <c r="J114" s="34" t="e">
        <f aca="false">RIGHT(B114,LEN(B114)-FIND("/",B114, FIND("Single Cells",B114, 1)))</f>
        <v>#VALUE!</v>
      </c>
    </row>
    <row r="115" customFormat="false" ht="12.75" hidden="false" customHeight="true" outlineLevel="0" collapsed="false">
      <c r="E115" s="34" t="str">
        <f aca="false">MID(B115,9,1)</f>
        <v/>
      </c>
      <c r="F115" s="34" t="str">
        <f aca="false">MID(B115,10,1)</f>
        <v/>
      </c>
      <c r="G115" s="34" t="str">
        <f aca="false">MID(B115,11,1)</f>
        <v/>
      </c>
      <c r="H115" s="35" t="str">
        <f aca="false">IF(G115=".",F115,CONCATENATE(F115,G115))</f>
        <v/>
      </c>
      <c r="I115" s="34" t="n">
        <f aca="false">IFERROR(VALUE(H115),)</f>
        <v>0</v>
      </c>
      <c r="J115" s="34" t="e">
        <f aca="false">RIGHT(B115,LEN(B115)-FIND("/",B115, FIND("Single Cells",B115, 1)))</f>
        <v>#VALUE!</v>
      </c>
    </row>
    <row r="116" customFormat="false" ht="12.75" hidden="false" customHeight="true" outlineLevel="0" collapsed="false">
      <c r="E116" s="34" t="str">
        <f aca="false">MID(B116,9,1)</f>
        <v/>
      </c>
      <c r="F116" s="34" t="str">
        <f aca="false">MID(B116,10,1)</f>
        <v/>
      </c>
      <c r="G116" s="34" t="str">
        <f aca="false">MID(B116,11,1)</f>
        <v/>
      </c>
      <c r="H116" s="35" t="str">
        <f aca="false">IF(G116=".",F116,CONCATENATE(F116,G116))</f>
        <v/>
      </c>
      <c r="I116" s="34" t="n">
        <f aca="false">IFERROR(VALUE(H116),)</f>
        <v>0</v>
      </c>
      <c r="J116" s="34" t="e">
        <f aca="false">RIGHT(B116,LEN(B116)-FIND("/",B116, FIND("Single Cells",B116, 1)))</f>
        <v>#VALUE!</v>
      </c>
    </row>
    <row r="117" customFormat="false" ht="12.75" hidden="false" customHeight="true" outlineLevel="0" collapsed="false">
      <c r="E117" s="34" t="str">
        <f aca="false">MID(B117,9,1)</f>
        <v/>
      </c>
      <c r="F117" s="34" t="str">
        <f aca="false">MID(B117,10,1)</f>
        <v/>
      </c>
      <c r="G117" s="34" t="str">
        <f aca="false">MID(B117,11,1)</f>
        <v/>
      </c>
      <c r="H117" s="35" t="str">
        <f aca="false">IF(G117=".",F117,CONCATENATE(F117,G117))</f>
        <v/>
      </c>
      <c r="I117" s="34" t="n">
        <f aca="false">IFERROR(VALUE(H117),)</f>
        <v>0</v>
      </c>
      <c r="J117" s="34" t="e">
        <f aca="false">RIGHT(B117,LEN(B117)-FIND("/",B117, FIND("Single Cells",B117, 1)))</f>
        <v>#VALUE!</v>
      </c>
    </row>
    <row r="118" customFormat="false" ht="12.75" hidden="false" customHeight="true" outlineLevel="0" collapsed="false">
      <c r="E118" s="34" t="str">
        <f aca="false">MID(B118,9,1)</f>
        <v/>
      </c>
      <c r="F118" s="34" t="str">
        <f aca="false">MID(B118,10,1)</f>
        <v/>
      </c>
      <c r="G118" s="34" t="str">
        <f aca="false">MID(B118,11,1)</f>
        <v/>
      </c>
      <c r="H118" s="35" t="str">
        <f aca="false">IF(G118=".",F118,CONCATENATE(F118,G118))</f>
        <v/>
      </c>
      <c r="I118" s="34" t="n">
        <f aca="false">IFERROR(VALUE(H118),)</f>
        <v>0</v>
      </c>
      <c r="J118" s="34" t="e">
        <f aca="false">RIGHT(B118,LEN(B118)-FIND("/",B118, FIND("Single Cells",B118, 1)))</f>
        <v>#VALUE!</v>
      </c>
    </row>
    <row r="119" customFormat="false" ht="12.75" hidden="false" customHeight="true" outlineLevel="0" collapsed="false">
      <c r="E119" s="34" t="str">
        <f aca="false">MID(B119,9,1)</f>
        <v/>
      </c>
      <c r="F119" s="34" t="str">
        <f aca="false">MID(B119,10,1)</f>
        <v/>
      </c>
      <c r="G119" s="34" t="str">
        <f aca="false">MID(B119,11,1)</f>
        <v/>
      </c>
      <c r="H119" s="35" t="str">
        <f aca="false">IF(G119=".",F119,CONCATENATE(F119,G119))</f>
        <v/>
      </c>
      <c r="I119" s="34" t="n">
        <f aca="false">IFERROR(VALUE(H119),)</f>
        <v>0</v>
      </c>
      <c r="J119" s="34" t="e">
        <f aca="false">RIGHT(B119,LEN(B119)-FIND("/",B119, FIND("Single Cells",B119, 1)))</f>
        <v>#VALUE!</v>
      </c>
    </row>
    <row r="120" customFormat="false" ht="12.75" hidden="false" customHeight="true" outlineLevel="0" collapsed="false">
      <c r="E120" s="34" t="str">
        <f aca="false">MID(B120,9,1)</f>
        <v/>
      </c>
      <c r="F120" s="34" t="str">
        <f aca="false">MID(B120,10,1)</f>
        <v/>
      </c>
      <c r="G120" s="34" t="str">
        <f aca="false">MID(B120,11,1)</f>
        <v/>
      </c>
      <c r="H120" s="35" t="str">
        <f aca="false">IF(G120=".",F120,CONCATENATE(F120,G120))</f>
        <v/>
      </c>
      <c r="I120" s="34" t="n">
        <f aca="false">IFERROR(VALUE(H120),)</f>
        <v>0</v>
      </c>
      <c r="J120" s="34" t="e">
        <f aca="false">RIGHT(B120,LEN(B120)-FIND("/",B120, FIND("Single Cells",B120, 1)))</f>
        <v>#VALUE!</v>
      </c>
    </row>
    <row r="121" customFormat="false" ht="12.75" hidden="false" customHeight="true" outlineLevel="0" collapsed="false">
      <c r="E121" s="34" t="str">
        <f aca="false">MID(B121,9,1)</f>
        <v/>
      </c>
      <c r="F121" s="34" t="str">
        <f aca="false">MID(B121,10,1)</f>
        <v/>
      </c>
      <c r="G121" s="34" t="str">
        <f aca="false">MID(B121,11,1)</f>
        <v/>
      </c>
      <c r="H121" s="35" t="str">
        <f aca="false">IF(G121=".",F121,CONCATENATE(F121,G121))</f>
        <v/>
      </c>
      <c r="I121" s="34" t="n">
        <f aca="false">IFERROR(VALUE(H121),)</f>
        <v>0</v>
      </c>
      <c r="J121" s="34" t="e">
        <f aca="false">RIGHT(B121,LEN(B121)-FIND("/",B121, FIND("Single Cells",B121, 1)))</f>
        <v>#VALUE!</v>
      </c>
    </row>
    <row r="122" customFormat="false" ht="12.75" hidden="false" customHeight="true" outlineLevel="0" collapsed="false">
      <c r="E122" s="34" t="str">
        <f aca="false">MID(B122,9,1)</f>
        <v/>
      </c>
      <c r="F122" s="34" t="str">
        <f aca="false">MID(B122,10,1)</f>
        <v/>
      </c>
      <c r="G122" s="34" t="str">
        <f aca="false">MID(B122,11,1)</f>
        <v/>
      </c>
      <c r="H122" s="35" t="str">
        <f aca="false">IF(G122=".",F122,CONCATENATE(F122,G122))</f>
        <v/>
      </c>
      <c r="I122" s="34" t="n">
        <f aca="false">IFERROR(VALUE(H122),)</f>
        <v>0</v>
      </c>
      <c r="J122" s="34" t="e">
        <f aca="false">RIGHT(B122,LEN(B122)-FIND("/",B122, FIND("Single Cells",B122, 1)))</f>
        <v>#VALUE!</v>
      </c>
    </row>
    <row r="123" customFormat="false" ht="12.75" hidden="false" customHeight="true" outlineLevel="0" collapsed="false">
      <c r="E123" s="34" t="str">
        <f aca="false">MID(B123,9,1)</f>
        <v/>
      </c>
      <c r="F123" s="34" t="str">
        <f aca="false">MID(B123,10,1)</f>
        <v/>
      </c>
      <c r="G123" s="34" t="str">
        <f aca="false">MID(B123,11,1)</f>
        <v/>
      </c>
      <c r="H123" s="35" t="str">
        <f aca="false">IF(G123=".",F123,CONCATENATE(F123,G123))</f>
        <v/>
      </c>
      <c r="I123" s="34" t="n">
        <f aca="false">IFERROR(VALUE(H123),)</f>
        <v>0</v>
      </c>
      <c r="J123" s="34" t="e">
        <f aca="false">RIGHT(B123,LEN(B123)-FIND("/",B123, FIND("Single Cells",B123, 1)))</f>
        <v>#VALUE!</v>
      </c>
    </row>
    <row r="124" customFormat="false" ht="12.75" hidden="false" customHeight="true" outlineLevel="0" collapsed="false">
      <c r="E124" s="34" t="str">
        <f aca="false">MID(B124,9,1)</f>
        <v/>
      </c>
      <c r="F124" s="34" t="str">
        <f aca="false">MID(B124,10,1)</f>
        <v/>
      </c>
      <c r="G124" s="34" t="str">
        <f aca="false">MID(B124,11,1)</f>
        <v/>
      </c>
      <c r="H124" s="35" t="str">
        <f aca="false">IF(G124=".",F124,CONCATENATE(F124,G124))</f>
        <v/>
      </c>
      <c r="I124" s="34" t="n">
        <f aca="false">IFERROR(VALUE(H124),)</f>
        <v>0</v>
      </c>
      <c r="J124" s="34" t="e">
        <f aca="false">RIGHT(B124,LEN(B124)-FIND("/",B124, FIND("Single Cells",B124, 1)))</f>
        <v>#VALUE!</v>
      </c>
    </row>
    <row r="125" customFormat="false" ht="12.75" hidden="false" customHeight="true" outlineLevel="0" collapsed="false">
      <c r="E125" s="34" t="str">
        <f aca="false">MID(B125,9,1)</f>
        <v/>
      </c>
      <c r="F125" s="34" t="str">
        <f aca="false">MID(B125,10,1)</f>
        <v/>
      </c>
      <c r="G125" s="34" t="str">
        <f aca="false">MID(B125,11,1)</f>
        <v/>
      </c>
      <c r="H125" s="35" t="str">
        <f aca="false">IF(G125=".",F125,CONCATENATE(F125,G125))</f>
        <v/>
      </c>
      <c r="I125" s="34" t="n">
        <f aca="false">IFERROR(VALUE(H125),)</f>
        <v>0</v>
      </c>
      <c r="J125" s="34" t="e">
        <f aca="false">RIGHT(B125,LEN(B125)-FIND("/",B125, FIND("Single Cells",B125, 1)))</f>
        <v>#VALUE!</v>
      </c>
    </row>
    <row r="126" customFormat="false" ht="12.75" hidden="false" customHeight="true" outlineLevel="0" collapsed="false">
      <c r="E126" s="34" t="str">
        <f aca="false">MID(B126,9,1)</f>
        <v/>
      </c>
      <c r="F126" s="34" t="str">
        <f aca="false">MID(B126,10,1)</f>
        <v/>
      </c>
      <c r="G126" s="34" t="str">
        <f aca="false">MID(B126,11,1)</f>
        <v/>
      </c>
      <c r="H126" s="35" t="str">
        <f aca="false">IF(G126=".",F126,CONCATENATE(F126,G126))</f>
        <v/>
      </c>
      <c r="I126" s="34" t="n">
        <f aca="false">IFERROR(VALUE(H126),)</f>
        <v>0</v>
      </c>
      <c r="J126" s="34" t="e">
        <f aca="false">RIGHT(B126,LEN(B126)-FIND("/",B126, FIND("Single Cells",B126, 1)))</f>
        <v>#VALUE!</v>
      </c>
    </row>
    <row r="127" customFormat="false" ht="12.75" hidden="false" customHeight="true" outlineLevel="0" collapsed="false">
      <c r="E127" s="34" t="str">
        <f aca="false">MID(B127,9,1)</f>
        <v/>
      </c>
      <c r="F127" s="34" t="str">
        <f aca="false">MID(B127,10,1)</f>
        <v/>
      </c>
      <c r="G127" s="34" t="str">
        <f aca="false">MID(B127,11,1)</f>
        <v/>
      </c>
      <c r="H127" s="35" t="str">
        <f aca="false">IF(G127=".",F127,CONCATENATE(F127,G127))</f>
        <v/>
      </c>
      <c r="I127" s="34" t="n">
        <f aca="false">IFERROR(VALUE(H127),)</f>
        <v>0</v>
      </c>
      <c r="J127" s="34" t="e">
        <f aca="false">RIGHT(B127,LEN(B127)-FIND("/",B127, FIND("Single Cells",B127, 1)))</f>
        <v>#VALUE!</v>
      </c>
    </row>
    <row r="128" customFormat="false" ht="12.75" hidden="false" customHeight="true" outlineLevel="0" collapsed="false">
      <c r="E128" s="34" t="str">
        <f aca="false">MID(B128,9,1)</f>
        <v/>
      </c>
      <c r="F128" s="34" t="str">
        <f aca="false">MID(B128,10,1)</f>
        <v/>
      </c>
      <c r="G128" s="34" t="str">
        <f aca="false">MID(B128,11,1)</f>
        <v/>
      </c>
      <c r="H128" s="35" t="str">
        <f aca="false">IF(G128=".",F128,CONCATENATE(F128,G128))</f>
        <v/>
      </c>
      <c r="I128" s="34" t="n">
        <f aca="false">IFERROR(VALUE(H128),)</f>
        <v>0</v>
      </c>
      <c r="J128" s="34" t="e">
        <f aca="false">RIGHT(B128,LEN(B128)-FIND("/",B128, FIND("Single Cells",B128, 1)))</f>
        <v>#VALUE!</v>
      </c>
    </row>
    <row r="129" customFormat="false" ht="12.75" hidden="false" customHeight="true" outlineLevel="0" collapsed="false">
      <c r="E129" s="34" t="str">
        <f aca="false">MID(B129,9,1)</f>
        <v/>
      </c>
      <c r="F129" s="34" t="str">
        <f aca="false">MID(B129,10,1)</f>
        <v/>
      </c>
      <c r="G129" s="34" t="str">
        <f aca="false">MID(B129,11,1)</f>
        <v/>
      </c>
      <c r="H129" s="35" t="str">
        <f aca="false">IF(G129=".",F129,CONCATENATE(F129,G129))</f>
        <v/>
      </c>
      <c r="I129" s="34" t="n">
        <f aca="false">IFERROR(VALUE(H129),)</f>
        <v>0</v>
      </c>
      <c r="J129" s="34" t="e">
        <f aca="false">RIGHT(B129,LEN(B129)-FIND("/",B129, FIND("Single Cells",B129, 1)))</f>
        <v>#VALUE!</v>
      </c>
    </row>
    <row r="130" customFormat="false" ht="12.75" hidden="false" customHeight="true" outlineLevel="0" collapsed="false">
      <c r="E130" s="34" t="str">
        <f aca="false">MID(B130,9,1)</f>
        <v/>
      </c>
      <c r="F130" s="34" t="str">
        <f aca="false">MID(B130,10,1)</f>
        <v/>
      </c>
      <c r="G130" s="34" t="str">
        <f aca="false">MID(B130,11,1)</f>
        <v/>
      </c>
      <c r="H130" s="35" t="str">
        <f aca="false">IF(G130=".",F130,CONCATENATE(F130,G130))</f>
        <v/>
      </c>
      <c r="I130" s="34" t="n">
        <f aca="false">IFERROR(VALUE(H130),)</f>
        <v>0</v>
      </c>
      <c r="J130" s="34" t="e">
        <f aca="false">RIGHT(B130,LEN(B130)-FIND("/",B130, FIND("Single Cells",B130, 1)))</f>
        <v>#VALUE!</v>
      </c>
    </row>
    <row r="131" customFormat="false" ht="12.75" hidden="false" customHeight="true" outlineLevel="0" collapsed="false">
      <c r="E131" s="34" t="str">
        <f aca="false">MID(B131,9,1)</f>
        <v/>
      </c>
      <c r="F131" s="34" t="str">
        <f aca="false">MID(B131,10,1)</f>
        <v/>
      </c>
      <c r="G131" s="34" t="str">
        <f aca="false">MID(B131,11,1)</f>
        <v/>
      </c>
      <c r="H131" s="35" t="str">
        <f aca="false">IF(G131=".",F131,CONCATENATE(F131,G131))</f>
        <v/>
      </c>
      <c r="I131" s="34" t="n">
        <f aca="false">IFERROR(VALUE(H131),)</f>
        <v>0</v>
      </c>
      <c r="J131" s="34" t="e">
        <f aca="false">RIGHT(B131,LEN(B131)-FIND("/",B131, FIND("Single Cells",B131, 1)))</f>
        <v>#VALUE!</v>
      </c>
    </row>
    <row r="132" customFormat="false" ht="12.75" hidden="false" customHeight="true" outlineLevel="0" collapsed="false">
      <c r="E132" s="34" t="str">
        <f aca="false">MID(B132,9,1)</f>
        <v/>
      </c>
      <c r="F132" s="34" t="str">
        <f aca="false">MID(B132,10,1)</f>
        <v/>
      </c>
      <c r="G132" s="34" t="str">
        <f aca="false">MID(B132,11,1)</f>
        <v/>
      </c>
      <c r="H132" s="35" t="str">
        <f aca="false">IF(G132=".",F132,CONCATENATE(F132,G132))</f>
        <v/>
      </c>
      <c r="I132" s="34" t="n">
        <f aca="false">IFERROR(VALUE(H132),)</f>
        <v>0</v>
      </c>
      <c r="J132" s="34" t="e">
        <f aca="false">RIGHT(B132,LEN(B132)-FIND("/",B132, FIND("Single Cells",B132, 1)))</f>
        <v>#VALUE!</v>
      </c>
    </row>
    <row r="133" customFormat="false" ht="12.75" hidden="false" customHeight="true" outlineLevel="0" collapsed="false">
      <c r="E133" s="34" t="str">
        <f aca="false">MID(B133,9,1)</f>
        <v/>
      </c>
      <c r="F133" s="34" t="str">
        <f aca="false">MID(B133,10,1)</f>
        <v/>
      </c>
      <c r="G133" s="34" t="str">
        <f aca="false">MID(B133,11,1)</f>
        <v/>
      </c>
      <c r="H133" s="35" t="str">
        <f aca="false">IF(G133=".",F133,CONCATENATE(F133,G133))</f>
        <v/>
      </c>
      <c r="I133" s="34" t="n">
        <f aca="false">IFERROR(VALUE(H133),)</f>
        <v>0</v>
      </c>
      <c r="J133" s="34" t="e">
        <f aca="false">RIGHT(B133,LEN(B133)-FIND("/",B133, FIND("Single Cells",B133, 1)))</f>
        <v>#VALUE!</v>
      </c>
    </row>
    <row r="134" customFormat="false" ht="12.75" hidden="false" customHeight="true" outlineLevel="0" collapsed="false">
      <c r="E134" s="34" t="str">
        <f aca="false">MID(B134,9,1)</f>
        <v/>
      </c>
      <c r="F134" s="34" t="str">
        <f aca="false">MID(B134,10,1)</f>
        <v/>
      </c>
      <c r="G134" s="34" t="str">
        <f aca="false">MID(B134,11,1)</f>
        <v/>
      </c>
      <c r="H134" s="35" t="str">
        <f aca="false">IF(G134=".",F134,CONCATENATE(F134,G134))</f>
        <v/>
      </c>
      <c r="I134" s="34" t="n">
        <f aca="false">IFERROR(VALUE(H134),)</f>
        <v>0</v>
      </c>
      <c r="J134" s="34" t="e">
        <f aca="false">RIGHT(B134,LEN(B134)-FIND("/",B134, FIND("Single Cells",B134, 1)))</f>
        <v>#VALUE!</v>
      </c>
    </row>
    <row r="135" customFormat="false" ht="12.75" hidden="false" customHeight="true" outlineLevel="0" collapsed="false">
      <c r="E135" s="34" t="str">
        <f aca="false">MID(B135,9,1)</f>
        <v/>
      </c>
      <c r="F135" s="34" t="str">
        <f aca="false">MID(B135,10,1)</f>
        <v/>
      </c>
      <c r="G135" s="34" t="str">
        <f aca="false">MID(B135,11,1)</f>
        <v/>
      </c>
      <c r="H135" s="35" t="str">
        <f aca="false">IF(G135=".",F135,CONCATENATE(F135,G135))</f>
        <v/>
      </c>
      <c r="I135" s="34" t="n">
        <f aca="false">IFERROR(VALUE(H135),)</f>
        <v>0</v>
      </c>
      <c r="J135" s="34" t="e">
        <f aca="false">RIGHT(B135,LEN(B135)-FIND("/",B135, FIND("Single Cells",B135, 1)))</f>
        <v>#VALUE!</v>
      </c>
    </row>
    <row r="136" customFormat="false" ht="12.75" hidden="false" customHeight="true" outlineLevel="0" collapsed="false">
      <c r="E136" s="34" t="str">
        <f aca="false">MID(B136,9,1)</f>
        <v/>
      </c>
      <c r="F136" s="34" t="str">
        <f aca="false">MID(B136,10,1)</f>
        <v/>
      </c>
      <c r="G136" s="34" t="str">
        <f aca="false">MID(B136,11,1)</f>
        <v/>
      </c>
      <c r="H136" s="35" t="str">
        <f aca="false">IF(G136=".",F136,CONCATENATE(F136,G136))</f>
        <v/>
      </c>
      <c r="I136" s="34" t="n">
        <f aca="false">IFERROR(VALUE(H136),)</f>
        <v>0</v>
      </c>
      <c r="J136" s="34" t="e">
        <f aca="false">RIGHT(B136,LEN(B136)-FIND("/",B136, FIND("Single Cells",B136, 1)))</f>
        <v>#VALUE!</v>
      </c>
    </row>
    <row r="137" customFormat="false" ht="12.75" hidden="false" customHeight="true" outlineLevel="0" collapsed="false">
      <c r="E137" s="34" t="str">
        <f aca="false">MID(B137,9,1)</f>
        <v/>
      </c>
      <c r="F137" s="34" t="str">
        <f aca="false">MID(B137,10,1)</f>
        <v/>
      </c>
      <c r="G137" s="34" t="str">
        <f aca="false">MID(B137,11,1)</f>
        <v/>
      </c>
      <c r="H137" s="35" t="str">
        <f aca="false">IF(G137=".",F137,CONCATENATE(F137,G137))</f>
        <v/>
      </c>
      <c r="I137" s="34" t="n">
        <f aca="false">IFERROR(VALUE(H137),)</f>
        <v>0</v>
      </c>
      <c r="J137" s="34" t="e">
        <f aca="false">RIGHT(B137,LEN(B137)-FIND("/",B137, FIND("Single Cells",B137, 1)))</f>
        <v>#VALUE!</v>
      </c>
    </row>
    <row r="138" customFormat="false" ht="12.75" hidden="false" customHeight="true" outlineLevel="0" collapsed="false">
      <c r="E138" s="34" t="str">
        <f aca="false">MID(B138,9,1)</f>
        <v/>
      </c>
      <c r="F138" s="34" t="str">
        <f aca="false">MID(B138,10,1)</f>
        <v/>
      </c>
      <c r="G138" s="34" t="str">
        <f aca="false">MID(B138,11,1)</f>
        <v/>
      </c>
      <c r="H138" s="35" t="str">
        <f aca="false">IF(G138=".",F138,CONCATENATE(F138,G138))</f>
        <v/>
      </c>
      <c r="I138" s="34" t="n">
        <f aca="false">IFERROR(VALUE(H138),)</f>
        <v>0</v>
      </c>
      <c r="J138" s="34" t="e">
        <f aca="false">RIGHT(B138,LEN(B138)-FIND("/",B138, FIND("Single Cells",B138, 1)))</f>
        <v>#VALUE!</v>
      </c>
    </row>
    <row r="139" customFormat="false" ht="12.75" hidden="false" customHeight="true" outlineLevel="0" collapsed="false">
      <c r="E139" s="34" t="str">
        <f aca="false">MID(B139,9,1)</f>
        <v/>
      </c>
      <c r="F139" s="34" t="str">
        <f aca="false">MID(B139,10,1)</f>
        <v/>
      </c>
      <c r="G139" s="34" t="str">
        <f aca="false">MID(B139,11,1)</f>
        <v/>
      </c>
      <c r="H139" s="35" t="str">
        <f aca="false">IF(G139=".",F139,CONCATENATE(F139,G139))</f>
        <v/>
      </c>
      <c r="I139" s="34" t="n">
        <f aca="false">IFERROR(VALUE(H139),)</f>
        <v>0</v>
      </c>
      <c r="J139" s="34" t="e">
        <f aca="false">RIGHT(B139,LEN(B139)-FIND("/",B139, FIND("Single Cells",B139, 1)))</f>
        <v>#VALUE!</v>
      </c>
    </row>
    <row r="140" customFormat="false" ht="12.75" hidden="false" customHeight="true" outlineLevel="0" collapsed="false">
      <c r="E140" s="34" t="str">
        <f aca="false">MID(B140,9,1)</f>
        <v/>
      </c>
      <c r="F140" s="34" t="str">
        <f aca="false">MID(B140,10,1)</f>
        <v/>
      </c>
      <c r="G140" s="34" t="str">
        <f aca="false">MID(B140,11,1)</f>
        <v/>
      </c>
      <c r="H140" s="35" t="str">
        <f aca="false">IF(G140=".",F140,CONCATENATE(F140,G140))</f>
        <v/>
      </c>
      <c r="I140" s="34" t="n">
        <f aca="false">IFERROR(VALUE(H140),)</f>
        <v>0</v>
      </c>
      <c r="J140" s="34" t="e">
        <f aca="false">RIGHT(B140,LEN(B140)-FIND("/",B140, FIND("Single Cells",B140, 1)))</f>
        <v>#VALUE!</v>
      </c>
    </row>
    <row r="141" customFormat="false" ht="12.75" hidden="false" customHeight="true" outlineLevel="0" collapsed="false">
      <c r="E141" s="34" t="str">
        <f aca="false">MID(B141,9,1)</f>
        <v/>
      </c>
      <c r="F141" s="34" t="str">
        <f aca="false">MID(B141,10,1)</f>
        <v/>
      </c>
      <c r="G141" s="34" t="str">
        <f aca="false">MID(B141,11,1)</f>
        <v/>
      </c>
      <c r="H141" s="35" t="str">
        <f aca="false">IF(G141=".",F141,CONCATENATE(F141,G141))</f>
        <v/>
      </c>
      <c r="I141" s="34" t="n">
        <f aca="false">IFERROR(VALUE(H141),)</f>
        <v>0</v>
      </c>
      <c r="J141" s="34" t="e">
        <f aca="false">RIGHT(B141,LEN(B141)-FIND("/",B141, FIND("Single Cells",B141, 1)))</f>
        <v>#VALUE!</v>
      </c>
    </row>
    <row r="142" customFormat="false" ht="12.75" hidden="false" customHeight="true" outlineLevel="0" collapsed="false">
      <c r="E142" s="34" t="str">
        <f aca="false">MID(B142,9,1)</f>
        <v/>
      </c>
      <c r="F142" s="34" t="str">
        <f aca="false">MID(B142,10,1)</f>
        <v/>
      </c>
      <c r="G142" s="34" t="str">
        <f aca="false">MID(B142,11,1)</f>
        <v/>
      </c>
      <c r="H142" s="35" t="str">
        <f aca="false">IF(G142=".",F142,CONCATENATE(F142,G142))</f>
        <v/>
      </c>
      <c r="I142" s="34" t="n">
        <f aca="false">IFERROR(VALUE(H142),)</f>
        <v>0</v>
      </c>
      <c r="J142" s="34" t="e">
        <f aca="false">RIGHT(B142,LEN(B142)-FIND("/",B142, FIND("Single Cells",B142, 1)))</f>
        <v>#VALUE!</v>
      </c>
    </row>
    <row r="143" customFormat="false" ht="12.75" hidden="false" customHeight="true" outlineLevel="0" collapsed="false">
      <c r="E143" s="34" t="str">
        <f aca="false">MID(B143,9,1)</f>
        <v/>
      </c>
      <c r="F143" s="34" t="str">
        <f aca="false">MID(B143,10,1)</f>
        <v/>
      </c>
      <c r="G143" s="34" t="str">
        <f aca="false">MID(B143,11,1)</f>
        <v/>
      </c>
      <c r="H143" s="35" t="str">
        <f aca="false">IF(G143=".",F143,CONCATENATE(F143,G143))</f>
        <v/>
      </c>
      <c r="I143" s="34" t="n">
        <f aca="false">IFERROR(VALUE(H143),)</f>
        <v>0</v>
      </c>
      <c r="J143" s="34" t="e">
        <f aca="false">RIGHT(B143,LEN(B143)-FIND("/",B143, FIND("Single Cells",B143, 1)))</f>
        <v>#VALUE!</v>
      </c>
    </row>
    <row r="144" customFormat="false" ht="12.75" hidden="false" customHeight="true" outlineLevel="0" collapsed="false">
      <c r="E144" s="34" t="str">
        <f aca="false">MID(B144,9,1)</f>
        <v/>
      </c>
      <c r="F144" s="34" t="str">
        <f aca="false">MID(B144,10,1)</f>
        <v/>
      </c>
      <c r="G144" s="34" t="str">
        <f aca="false">MID(B144,11,1)</f>
        <v/>
      </c>
      <c r="H144" s="35" t="str">
        <f aca="false">IF(G144=".",F144,CONCATENATE(F144,G144))</f>
        <v/>
      </c>
      <c r="I144" s="34" t="n">
        <f aca="false">IFERROR(VALUE(H144),)</f>
        <v>0</v>
      </c>
      <c r="J144" s="34" t="e">
        <f aca="false">RIGHT(B144,LEN(B144)-FIND("/",B144, FIND("Single Cells",B144, 1)))</f>
        <v>#VALUE!</v>
      </c>
    </row>
    <row r="145" customFormat="false" ht="12.75" hidden="false" customHeight="true" outlineLevel="0" collapsed="false">
      <c r="E145" s="34" t="str">
        <f aca="false">MID(B145,9,1)</f>
        <v/>
      </c>
      <c r="F145" s="34" t="str">
        <f aca="false">MID(B145,10,1)</f>
        <v/>
      </c>
      <c r="G145" s="34" t="str">
        <f aca="false">MID(B145,11,1)</f>
        <v/>
      </c>
      <c r="H145" s="35" t="str">
        <f aca="false">IF(G145=".",F145,CONCATENATE(F145,G145))</f>
        <v/>
      </c>
      <c r="I145" s="34" t="n">
        <f aca="false">IFERROR(VALUE(H145),)</f>
        <v>0</v>
      </c>
      <c r="J145" s="34" t="e">
        <f aca="false">RIGHT(B145,LEN(B145)-FIND("/",B145, FIND("Single Cells",B145, 1)))</f>
        <v>#VALUE!</v>
      </c>
    </row>
    <row r="146" customFormat="false" ht="12.75" hidden="false" customHeight="true" outlineLevel="0" collapsed="false">
      <c r="E146" s="34" t="str">
        <f aca="false">MID(B146,9,1)</f>
        <v/>
      </c>
      <c r="F146" s="34" t="str">
        <f aca="false">MID(B146,10,1)</f>
        <v/>
      </c>
      <c r="G146" s="34" t="str">
        <f aca="false">MID(B146,11,1)</f>
        <v/>
      </c>
      <c r="H146" s="35" t="str">
        <f aca="false">IF(G146=".",F146,CONCATENATE(F146,G146))</f>
        <v/>
      </c>
      <c r="I146" s="34" t="n">
        <f aca="false">IFERROR(VALUE(H146),)</f>
        <v>0</v>
      </c>
      <c r="J146" s="34" t="e">
        <f aca="false">RIGHT(B146,LEN(B146)-FIND("/",B146, FIND("Single Cells",B146, 1)))</f>
        <v>#VALUE!</v>
      </c>
    </row>
    <row r="147" customFormat="false" ht="12.75" hidden="false" customHeight="true" outlineLevel="0" collapsed="false">
      <c r="E147" s="34" t="str">
        <f aca="false">MID(B147,9,1)</f>
        <v/>
      </c>
      <c r="F147" s="34" t="str">
        <f aca="false">MID(B147,10,1)</f>
        <v/>
      </c>
      <c r="G147" s="34" t="str">
        <f aca="false">MID(B147,11,1)</f>
        <v/>
      </c>
      <c r="H147" s="35" t="str">
        <f aca="false">IF(G147=".",F147,CONCATENATE(F147,G147))</f>
        <v/>
      </c>
      <c r="I147" s="34" t="n">
        <f aca="false">IFERROR(VALUE(H147),)</f>
        <v>0</v>
      </c>
      <c r="J147" s="34" t="e">
        <f aca="false">RIGHT(B147,LEN(B147)-FIND("/",B147, FIND("Single Cells",B147, 1)))</f>
        <v>#VALUE!</v>
      </c>
    </row>
    <row r="148" customFormat="false" ht="12.75" hidden="false" customHeight="true" outlineLevel="0" collapsed="false">
      <c r="E148" s="34" t="str">
        <f aca="false">MID(B148,9,1)</f>
        <v/>
      </c>
      <c r="F148" s="34" t="str">
        <f aca="false">MID(B148,10,1)</f>
        <v/>
      </c>
      <c r="G148" s="34" t="str">
        <f aca="false">MID(B148,11,1)</f>
        <v/>
      </c>
      <c r="H148" s="35" t="str">
        <f aca="false">IF(G148=".",F148,CONCATENATE(F148,G148))</f>
        <v/>
      </c>
      <c r="I148" s="34" t="n">
        <f aca="false">IFERROR(VALUE(H148),)</f>
        <v>0</v>
      </c>
      <c r="J148" s="34" t="e">
        <f aca="false">RIGHT(B148,LEN(B148)-FIND("/",B148, FIND("Single Cells",B148, 1)))</f>
        <v>#VALUE!</v>
      </c>
    </row>
    <row r="149" customFormat="false" ht="12.75" hidden="false" customHeight="true" outlineLevel="0" collapsed="false">
      <c r="E149" s="34" t="str">
        <f aca="false">MID(B149,9,1)</f>
        <v/>
      </c>
      <c r="F149" s="34" t="str">
        <f aca="false">MID(B149,10,1)</f>
        <v/>
      </c>
      <c r="G149" s="34" t="str">
        <f aca="false">MID(B149,11,1)</f>
        <v/>
      </c>
      <c r="H149" s="35" t="str">
        <f aca="false">IF(G149=".",F149,CONCATENATE(F149,G149))</f>
        <v/>
      </c>
      <c r="I149" s="34" t="n">
        <f aca="false">IFERROR(VALUE(H149),)</f>
        <v>0</v>
      </c>
      <c r="J149" s="34" t="e">
        <f aca="false">RIGHT(B149,LEN(B149)-FIND("/",B149, FIND("Single Cells",B149, 1)))</f>
        <v>#VALUE!</v>
      </c>
    </row>
    <row r="150" customFormat="false" ht="12.75" hidden="false" customHeight="true" outlineLevel="0" collapsed="false">
      <c r="E150" s="34" t="str">
        <f aca="false">MID(B150,9,1)</f>
        <v/>
      </c>
      <c r="F150" s="34" t="str">
        <f aca="false">MID(B150,10,1)</f>
        <v/>
      </c>
      <c r="G150" s="34" t="str">
        <f aca="false">MID(B150,11,1)</f>
        <v/>
      </c>
      <c r="H150" s="35" t="str">
        <f aca="false">IF(G150=".",F150,CONCATENATE(F150,G150))</f>
        <v/>
      </c>
      <c r="I150" s="34" t="n">
        <f aca="false">IFERROR(VALUE(H150),)</f>
        <v>0</v>
      </c>
      <c r="J150" s="34" t="e">
        <f aca="false">RIGHT(B150,LEN(B150)-FIND("/",B150, FIND("Single Cells",B150, 1)))</f>
        <v>#VALUE!</v>
      </c>
    </row>
    <row r="151" customFormat="false" ht="12.75" hidden="false" customHeight="true" outlineLevel="0" collapsed="false">
      <c r="E151" s="34" t="str">
        <f aca="false">MID(B151,9,1)</f>
        <v/>
      </c>
      <c r="F151" s="34" t="str">
        <f aca="false">MID(B151,10,1)</f>
        <v/>
      </c>
      <c r="G151" s="34" t="str">
        <f aca="false">MID(B151,11,1)</f>
        <v/>
      </c>
      <c r="H151" s="35" t="str">
        <f aca="false">IF(G151=".",F151,CONCATENATE(F151,G151))</f>
        <v/>
      </c>
      <c r="I151" s="34" t="n">
        <f aca="false">IFERROR(VALUE(H151),)</f>
        <v>0</v>
      </c>
      <c r="J151" s="34" t="e">
        <f aca="false">RIGHT(B151,LEN(B151)-FIND("/",B151, FIND("Single Cells",B151, 1)))</f>
        <v>#VALUE!</v>
      </c>
    </row>
    <row r="152" customFormat="false" ht="12.75" hidden="false" customHeight="true" outlineLevel="0" collapsed="false">
      <c r="E152" s="34" t="str">
        <f aca="false">MID(B152,9,1)</f>
        <v/>
      </c>
      <c r="F152" s="34" t="str">
        <f aca="false">MID(B152,10,1)</f>
        <v/>
      </c>
      <c r="G152" s="34" t="str">
        <f aca="false">MID(B152,11,1)</f>
        <v/>
      </c>
      <c r="H152" s="35" t="str">
        <f aca="false">IF(G152=".",F152,CONCATENATE(F152,G152))</f>
        <v/>
      </c>
      <c r="I152" s="34" t="n">
        <f aca="false">IFERROR(VALUE(H152),)</f>
        <v>0</v>
      </c>
      <c r="J152" s="34" t="e">
        <f aca="false">RIGHT(B152,LEN(B152)-FIND("/",B152, FIND("Single Cells",B152, 1)))</f>
        <v>#VALUE!</v>
      </c>
    </row>
    <row r="153" customFormat="false" ht="12.75" hidden="false" customHeight="true" outlineLevel="0" collapsed="false">
      <c r="E153" s="34" t="str">
        <f aca="false">MID(B153,9,1)</f>
        <v/>
      </c>
      <c r="F153" s="34" t="str">
        <f aca="false">MID(B153,10,1)</f>
        <v/>
      </c>
      <c r="G153" s="34" t="str">
        <f aca="false">MID(B153,11,1)</f>
        <v/>
      </c>
      <c r="H153" s="35" t="str">
        <f aca="false">IF(G153=".",F153,CONCATENATE(F153,G153))</f>
        <v/>
      </c>
      <c r="I153" s="34" t="n">
        <f aca="false">IFERROR(VALUE(H153),)</f>
        <v>0</v>
      </c>
      <c r="J153" s="34" t="e">
        <f aca="false">RIGHT(B153,LEN(B153)-FIND("/",B153, FIND("Single Cells",B153, 1)))</f>
        <v>#VALUE!</v>
      </c>
    </row>
    <row r="154" customFormat="false" ht="12.75" hidden="false" customHeight="true" outlineLevel="0" collapsed="false">
      <c r="E154" s="34" t="str">
        <f aca="false">MID(B154,9,1)</f>
        <v/>
      </c>
      <c r="F154" s="34" t="str">
        <f aca="false">MID(B154,10,1)</f>
        <v/>
      </c>
      <c r="G154" s="34" t="str">
        <f aca="false">MID(B154,11,1)</f>
        <v/>
      </c>
      <c r="H154" s="35" t="str">
        <f aca="false">IF(G154=".",F154,CONCATENATE(F154,G154))</f>
        <v/>
      </c>
      <c r="I154" s="34" t="n">
        <f aca="false">IFERROR(VALUE(H154),)</f>
        <v>0</v>
      </c>
      <c r="J154" s="34" t="e">
        <f aca="false">RIGHT(B154,LEN(B154)-FIND("/",B154, FIND("Single Cells",B154, 1)))</f>
        <v>#VALUE!</v>
      </c>
    </row>
    <row r="155" customFormat="false" ht="12.75" hidden="false" customHeight="true" outlineLevel="0" collapsed="false">
      <c r="E155" s="34" t="str">
        <f aca="false">MID(B155,9,1)</f>
        <v/>
      </c>
      <c r="F155" s="34" t="str">
        <f aca="false">MID(B155,10,1)</f>
        <v/>
      </c>
      <c r="G155" s="34" t="str">
        <f aca="false">MID(B155,11,1)</f>
        <v/>
      </c>
      <c r="H155" s="35" t="str">
        <f aca="false">IF(G155=".",F155,CONCATENATE(F155,G155))</f>
        <v/>
      </c>
      <c r="I155" s="34" t="n">
        <f aca="false">IFERROR(VALUE(H155),)</f>
        <v>0</v>
      </c>
      <c r="J155" s="34" t="e">
        <f aca="false">RIGHT(B155,LEN(B155)-FIND("/",B155, FIND("Single Cells",B155, 1)))</f>
        <v>#VALUE!</v>
      </c>
    </row>
    <row r="156" customFormat="false" ht="12.75" hidden="false" customHeight="true" outlineLevel="0" collapsed="false">
      <c r="E156" s="34" t="str">
        <f aca="false">MID(B156,9,1)</f>
        <v/>
      </c>
      <c r="F156" s="34" t="str">
        <f aca="false">MID(B156,10,1)</f>
        <v/>
      </c>
      <c r="G156" s="34" t="str">
        <f aca="false">MID(B156,11,1)</f>
        <v/>
      </c>
      <c r="H156" s="35" t="str">
        <f aca="false">IF(G156=".",F156,CONCATENATE(F156,G156))</f>
        <v/>
      </c>
      <c r="I156" s="34" t="n">
        <f aca="false">IFERROR(VALUE(H156),)</f>
        <v>0</v>
      </c>
      <c r="J156" s="34" t="e">
        <f aca="false">RIGHT(B156,LEN(B156)-FIND("/",B156, FIND("Single Cells",B156, 1)))</f>
        <v>#VALUE!</v>
      </c>
    </row>
    <row r="157" customFormat="false" ht="12.75" hidden="false" customHeight="true" outlineLevel="0" collapsed="false">
      <c r="E157" s="34" t="str">
        <f aca="false">MID(B157,9,1)</f>
        <v/>
      </c>
      <c r="F157" s="34" t="str">
        <f aca="false">MID(B157,10,1)</f>
        <v/>
      </c>
      <c r="G157" s="34" t="str">
        <f aca="false">MID(B157,11,1)</f>
        <v/>
      </c>
      <c r="H157" s="35" t="str">
        <f aca="false">IF(G157=".",F157,CONCATENATE(F157,G157))</f>
        <v/>
      </c>
      <c r="I157" s="34" t="n">
        <f aca="false">IFERROR(VALUE(H157),)</f>
        <v>0</v>
      </c>
      <c r="J157" s="34" t="e">
        <f aca="false">RIGHT(B157,LEN(B157)-FIND("/",B157, FIND("Single Cells",B157, 1)))</f>
        <v>#VALUE!</v>
      </c>
    </row>
    <row r="158" customFormat="false" ht="12.75" hidden="false" customHeight="true" outlineLevel="0" collapsed="false">
      <c r="E158" s="34" t="str">
        <f aca="false">MID(B158,9,1)</f>
        <v/>
      </c>
      <c r="F158" s="34" t="str">
        <f aca="false">MID(B158,10,1)</f>
        <v/>
      </c>
      <c r="G158" s="34" t="str">
        <f aca="false">MID(B158,11,1)</f>
        <v/>
      </c>
      <c r="H158" s="35" t="str">
        <f aca="false">IF(G158=".",F158,CONCATENATE(F158,G158))</f>
        <v/>
      </c>
      <c r="I158" s="34" t="n">
        <f aca="false">IFERROR(VALUE(H158),)</f>
        <v>0</v>
      </c>
      <c r="J158" s="34" t="e">
        <f aca="false">RIGHT(B158,LEN(B158)-FIND("/",B158, FIND("Single Cells",B158, 1)))</f>
        <v>#VALUE!</v>
      </c>
    </row>
    <row r="159" customFormat="false" ht="12.75" hidden="false" customHeight="true" outlineLevel="0" collapsed="false">
      <c r="E159" s="34" t="str">
        <f aca="false">MID(B159,9,1)</f>
        <v/>
      </c>
      <c r="F159" s="34" t="str">
        <f aca="false">MID(B159,10,1)</f>
        <v/>
      </c>
      <c r="G159" s="34" t="str">
        <f aca="false">MID(B159,11,1)</f>
        <v/>
      </c>
      <c r="H159" s="35" t="str">
        <f aca="false">IF(G159=".",F159,CONCATENATE(F159,G159))</f>
        <v/>
      </c>
      <c r="I159" s="34" t="n">
        <f aca="false">IFERROR(VALUE(H159),)</f>
        <v>0</v>
      </c>
      <c r="J159" s="34" t="e">
        <f aca="false">RIGHT(B159,LEN(B159)-FIND("/",B159, FIND("Single Cells",B159, 1)))</f>
        <v>#VALUE!</v>
      </c>
    </row>
    <row r="160" customFormat="false" ht="12.75" hidden="false" customHeight="true" outlineLevel="0" collapsed="false">
      <c r="E160" s="34" t="str">
        <f aca="false">MID(B160,9,1)</f>
        <v/>
      </c>
      <c r="F160" s="34" t="str">
        <f aca="false">MID(B160,10,1)</f>
        <v/>
      </c>
      <c r="G160" s="34" t="str">
        <f aca="false">MID(B160,11,1)</f>
        <v/>
      </c>
      <c r="H160" s="35" t="str">
        <f aca="false">IF(G160=".",F160,CONCATENATE(F160,G160))</f>
        <v/>
      </c>
      <c r="I160" s="34" t="n">
        <f aca="false">IFERROR(VALUE(H160),)</f>
        <v>0</v>
      </c>
      <c r="J160" s="34" t="e">
        <f aca="false">RIGHT(B160,LEN(B160)-FIND("/",B160, FIND("Single Cells",B160, 1)))</f>
        <v>#VALUE!</v>
      </c>
    </row>
    <row r="161" customFormat="false" ht="12.75" hidden="false" customHeight="true" outlineLevel="0" collapsed="false">
      <c r="E161" s="34" t="str">
        <f aca="false">MID(B161,9,1)</f>
        <v/>
      </c>
      <c r="F161" s="34" t="str">
        <f aca="false">MID(B161,10,1)</f>
        <v/>
      </c>
      <c r="G161" s="34" t="str">
        <f aca="false">MID(B161,11,1)</f>
        <v/>
      </c>
      <c r="H161" s="35" t="str">
        <f aca="false">IF(G161=".",F161,CONCATENATE(F161,G161))</f>
        <v/>
      </c>
      <c r="I161" s="34" t="n">
        <f aca="false">IFERROR(VALUE(H161),)</f>
        <v>0</v>
      </c>
      <c r="J161" s="34" t="e">
        <f aca="false">RIGHT(B161,LEN(B161)-FIND("/",B161, FIND("Single Cells",B161, 1)))</f>
        <v>#VALUE!</v>
      </c>
    </row>
    <row r="162" customFormat="false" ht="12.75" hidden="false" customHeight="true" outlineLevel="0" collapsed="false">
      <c r="E162" s="34" t="str">
        <f aca="false">MID(B162,9,1)</f>
        <v/>
      </c>
      <c r="F162" s="34" t="str">
        <f aca="false">MID(B162,10,1)</f>
        <v/>
      </c>
      <c r="G162" s="34" t="str">
        <f aca="false">MID(B162,11,1)</f>
        <v/>
      </c>
      <c r="H162" s="35" t="str">
        <f aca="false">IF(G162=".",F162,CONCATENATE(F162,G162))</f>
        <v/>
      </c>
      <c r="I162" s="34" t="n">
        <f aca="false">IFERROR(VALUE(H162),)</f>
        <v>0</v>
      </c>
      <c r="J162" s="34" t="e">
        <f aca="false">RIGHT(B162,LEN(B162)-FIND("/",B162, FIND("Single Cells",B162, 1)))</f>
        <v>#VALUE!</v>
      </c>
    </row>
    <row r="163" customFormat="false" ht="12.75" hidden="false" customHeight="true" outlineLevel="0" collapsed="false">
      <c r="E163" s="34" t="str">
        <f aca="false">MID(B163,9,1)</f>
        <v/>
      </c>
      <c r="F163" s="34" t="str">
        <f aca="false">MID(B163,10,1)</f>
        <v/>
      </c>
      <c r="G163" s="34" t="str">
        <f aca="false">MID(B163,11,1)</f>
        <v/>
      </c>
      <c r="H163" s="35" t="str">
        <f aca="false">IF(G163=".",F163,CONCATENATE(F163,G163))</f>
        <v/>
      </c>
      <c r="I163" s="34" t="n">
        <f aca="false">IFERROR(VALUE(H163),)</f>
        <v>0</v>
      </c>
      <c r="J163" s="34" t="e">
        <f aca="false">RIGHT(B163,LEN(B163)-FIND("/",B163, FIND("Single Cells",B163, 1)))</f>
        <v>#VALUE!</v>
      </c>
    </row>
    <row r="164" customFormat="false" ht="12.75" hidden="false" customHeight="true" outlineLevel="0" collapsed="false">
      <c r="E164" s="34" t="str">
        <f aca="false">MID(B164,9,1)</f>
        <v/>
      </c>
      <c r="F164" s="34" t="str">
        <f aca="false">MID(B164,10,1)</f>
        <v/>
      </c>
      <c r="G164" s="34" t="str">
        <f aca="false">MID(B164,11,1)</f>
        <v/>
      </c>
      <c r="H164" s="35" t="str">
        <f aca="false">IF(G164=".",F164,CONCATENATE(F164,G164))</f>
        <v/>
      </c>
      <c r="I164" s="34" t="n">
        <f aca="false">IFERROR(VALUE(H164),)</f>
        <v>0</v>
      </c>
      <c r="J164" s="34" t="e">
        <f aca="false">RIGHT(B164,LEN(B164)-FIND("/",B164, FIND("Single Cells",B164, 1)))</f>
        <v>#VALUE!</v>
      </c>
    </row>
    <row r="165" customFormat="false" ht="12.75" hidden="false" customHeight="true" outlineLevel="0" collapsed="false">
      <c r="E165" s="34" t="str">
        <f aca="false">MID(B165,9,1)</f>
        <v/>
      </c>
      <c r="F165" s="34" t="str">
        <f aca="false">MID(B165,10,1)</f>
        <v/>
      </c>
      <c r="G165" s="34" t="str">
        <f aca="false">MID(B165,11,1)</f>
        <v/>
      </c>
      <c r="H165" s="35" t="str">
        <f aca="false">IF(G165=".",F165,CONCATENATE(F165,G165))</f>
        <v/>
      </c>
      <c r="I165" s="34" t="n">
        <f aca="false">IFERROR(VALUE(H165),)</f>
        <v>0</v>
      </c>
      <c r="J165" s="34" t="e">
        <f aca="false">RIGHT(B165,LEN(B165)-FIND("/",B165, FIND("Single Cells",B165, 1)))</f>
        <v>#VALUE!</v>
      </c>
    </row>
    <row r="166" customFormat="false" ht="12.75" hidden="false" customHeight="true" outlineLevel="0" collapsed="false">
      <c r="E166" s="34" t="str">
        <f aca="false">MID(B166,9,1)</f>
        <v/>
      </c>
      <c r="F166" s="34" t="str">
        <f aca="false">MID(B166,10,1)</f>
        <v/>
      </c>
      <c r="G166" s="34" t="str">
        <f aca="false">MID(B166,11,1)</f>
        <v/>
      </c>
      <c r="H166" s="35" t="str">
        <f aca="false">IF(G166=".",F166,CONCATENATE(F166,G166))</f>
        <v/>
      </c>
      <c r="I166" s="34" t="n">
        <f aca="false">IFERROR(VALUE(H166),)</f>
        <v>0</v>
      </c>
      <c r="J166" s="34" t="e">
        <f aca="false">RIGHT(B166,LEN(B166)-FIND("/",B166, FIND("Single Cells",B166, 1)))</f>
        <v>#VALUE!</v>
      </c>
    </row>
    <row r="167" customFormat="false" ht="12.75" hidden="false" customHeight="true" outlineLevel="0" collapsed="false">
      <c r="E167" s="34" t="str">
        <f aca="false">MID(B167,9,1)</f>
        <v/>
      </c>
      <c r="F167" s="34" t="str">
        <f aca="false">MID(B167,10,1)</f>
        <v/>
      </c>
      <c r="G167" s="34" t="str">
        <f aca="false">MID(B167,11,1)</f>
        <v/>
      </c>
      <c r="H167" s="35" t="str">
        <f aca="false">IF(G167=".",F167,CONCATENATE(F167,G167))</f>
        <v/>
      </c>
      <c r="I167" s="34" t="n">
        <f aca="false">IFERROR(VALUE(H167),)</f>
        <v>0</v>
      </c>
      <c r="J167" s="34" t="e">
        <f aca="false">RIGHT(B167,LEN(B167)-FIND("/",B167, FIND("Single Cells",B167, 1)))</f>
        <v>#VALUE!</v>
      </c>
    </row>
    <row r="168" customFormat="false" ht="12.75" hidden="false" customHeight="true" outlineLevel="0" collapsed="false">
      <c r="E168" s="34" t="str">
        <f aca="false">MID(B168,9,1)</f>
        <v/>
      </c>
      <c r="F168" s="34" t="str">
        <f aca="false">MID(B168,10,1)</f>
        <v/>
      </c>
      <c r="G168" s="34" t="str">
        <f aca="false">MID(B168,11,1)</f>
        <v/>
      </c>
      <c r="H168" s="35" t="str">
        <f aca="false">IF(G168=".",F168,CONCATENATE(F168,G168))</f>
        <v/>
      </c>
      <c r="I168" s="34" t="n">
        <f aca="false">IFERROR(VALUE(H168),)</f>
        <v>0</v>
      </c>
      <c r="J168" s="34" t="e">
        <f aca="false">RIGHT(B168,LEN(B168)-FIND("/",B168, FIND("Single Cells",B168, 1)))</f>
        <v>#VALUE!</v>
      </c>
    </row>
    <row r="169" customFormat="false" ht="12.75" hidden="false" customHeight="true" outlineLevel="0" collapsed="false">
      <c r="E169" s="34" t="str">
        <f aca="false">MID(B169,9,1)</f>
        <v/>
      </c>
      <c r="F169" s="34" t="str">
        <f aca="false">MID(B169,10,1)</f>
        <v/>
      </c>
      <c r="G169" s="34" t="str">
        <f aca="false">MID(B169,11,1)</f>
        <v/>
      </c>
      <c r="H169" s="35" t="str">
        <f aca="false">IF(G169=".",F169,CONCATENATE(F169,G169))</f>
        <v/>
      </c>
      <c r="I169" s="34" t="n">
        <f aca="false">IFERROR(VALUE(H169),)</f>
        <v>0</v>
      </c>
      <c r="J169" s="34" t="e">
        <f aca="false">RIGHT(B169,LEN(B169)-FIND("/",B169, FIND("Single Cells",B169, 1)))</f>
        <v>#VALUE!</v>
      </c>
    </row>
    <row r="170" customFormat="false" ht="12.75" hidden="false" customHeight="true" outlineLevel="0" collapsed="false">
      <c r="E170" s="34" t="str">
        <f aca="false">MID(B170,9,1)</f>
        <v/>
      </c>
      <c r="F170" s="34" t="str">
        <f aca="false">MID(B170,10,1)</f>
        <v/>
      </c>
      <c r="G170" s="34" t="str">
        <f aca="false">MID(B170,11,1)</f>
        <v/>
      </c>
      <c r="H170" s="35" t="str">
        <f aca="false">IF(G170=".",F170,CONCATENATE(F170,G170))</f>
        <v/>
      </c>
      <c r="I170" s="34" t="n">
        <f aca="false">IFERROR(VALUE(H170),)</f>
        <v>0</v>
      </c>
      <c r="J170" s="34" t="e">
        <f aca="false">RIGHT(B170,LEN(B170)-FIND("/",B170, FIND("Single Cells",B170, 1)))</f>
        <v>#VALUE!</v>
      </c>
    </row>
    <row r="171" customFormat="false" ht="12.75" hidden="false" customHeight="true" outlineLevel="0" collapsed="false">
      <c r="E171" s="34" t="str">
        <f aca="false">MID(B171,9,1)</f>
        <v/>
      </c>
      <c r="F171" s="34" t="str">
        <f aca="false">MID(B171,10,1)</f>
        <v/>
      </c>
      <c r="G171" s="34" t="str">
        <f aca="false">MID(B171,11,1)</f>
        <v/>
      </c>
      <c r="H171" s="35" t="str">
        <f aca="false">IF(G171=".",F171,CONCATENATE(F171,G171))</f>
        <v/>
      </c>
      <c r="I171" s="34" t="n">
        <f aca="false">IFERROR(VALUE(H171),)</f>
        <v>0</v>
      </c>
      <c r="J171" s="34" t="e">
        <f aca="false">RIGHT(B171,LEN(B171)-FIND("/",B171, FIND("Single Cells",B171, 1)))</f>
        <v>#VALUE!</v>
      </c>
    </row>
    <row r="172" customFormat="false" ht="12.75" hidden="false" customHeight="true" outlineLevel="0" collapsed="false">
      <c r="E172" s="34" t="str">
        <f aca="false">MID(B172,9,1)</f>
        <v/>
      </c>
      <c r="F172" s="34" t="str">
        <f aca="false">MID(B172,10,1)</f>
        <v/>
      </c>
      <c r="G172" s="34" t="str">
        <f aca="false">MID(B172,11,1)</f>
        <v/>
      </c>
      <c r="H172" s="35" t="str">
        <f aca="false">IF(G172=".",F172,CONCATENATE(F172,G172))</f>
        <v/>
      </c>
      <c r="I172" s="34" t="n">
        <f aca="false">IFERROR(VALUE(H172),)</f>
        <v>0</v>
      </c>
      <c r="J172" s="34" t="e">
        <f aca="false">RIGHT(B172,LEN(B172)-FIND("/",B172, FIND("Single Cells",B172, 1)))</f>
        <v>#VALUE!</v>
      </c>
    </row>
    <row r="173" customFormat="false" ht="12.75" hidden="false" customHeight="true" outlineLevel="0" collapsed="false">
      <c r="E173" s="34" t="str">
        <f aca="false">MID(B173,9,1)</f>
        <v/>
      </c>
      <c r="F173" s="34" t="str">
        <f aca="false">MID(B173,10,1)</f>
        <v/>
      </c>
      <c r="G173" s="34" t="str">
        <f aca="false">MID(B173,11,1)</f>
        <v/>
      </c>
      <c r="H173" s="35" t="str">
        <f aca="false">IF(G173=".",F173,CONCATENATE(F173,G173))</f>
        <v/>
      </c>
      <c r="I173" s="34" t="n">
        <f aca="false">IFERROR(VALUE(H173),)</f>
        <v>0</v>
      </c>
      <c r="J173" s="34" t="e">
        <f aca="false">RIGHT(B173,LEN(B173)-FIND("/",B173, FIND("Single Cells",B173, 1)))</f>
        <v>#VALUE!</v>
      </c>
    </row>
    <row r="174" customFormat="false" ht="12.75" hidden="false" customHeight="true" outlineLevel="0" collapsed="false">
      <c r="E174" s="34" t="str">
        <f aca="false">MID(B174,9,1)</f>
        <v/>
      </c>
      <c r="F174" s="34" t="str">
        <f aca="false">MID(B174,10,1)</f>
        <v/>
      </c>
      <c r="G174" s="34" t="str">
        <f aca="false">MID(B174,11,1)</f>
        <v/>
      </c>
      <c r="H174" s="35" t="str">
        <f aca="false">IF(G174=".",F174,CONCATENATE(F174,G174))</f>
        <v/>
      </c>
      <c r="I174" s="34" t="n">
        <f aca="false">IFERROR(VALUE(H174),)</f>
        <v>0</v>
      </c>
      <c r="J174" s="34" t="e">
        <f aca="false">RIGHT(B174,LEN(B174)-FIND("/",B174, FIND("Single Cells",B174, 1)))</f>
        <v>#VALUE!</v>
      </c>
    </row>
    <row r="175" customFormat="false" ht="12.75" hidden="false" customHeight="true" outlineLevel="0" collapsed="false">
      <c r="E175" s="34" t="str">
        <f aca="false">MID(B175,9,1)</f>
        <v/>
      </c>
      <c r="F175" s="34" t="str">
        <f aca="false">MID(B175,10,1)</f>
        <v/>
      </c>
      <c r="G175" s="34" t="str">
        <f aca="false">MID(B175,11,1)</f>
        <v/>
      </c>
      <c r="H175" s="35" t="str">
        <f aca="false">IF(G175=".",F175,CONCATENATE(F175,G175))</f>
        <v/>
      </c>
      <c r="I175" s="34" t="n">
        <f aca="false">IFERROR(VALUE(H175),)</f>
        <v>0</v>
      </c>
      <c r="J175" s="34" t="e">
        <f aca="false">RIGHT(B175,LEN(B175)-FIND("/",B175, FIND("Single Cells",B175, 1)))</f>
        <v>#VALUE!</v>
      </c>
    </row>
    <row r="176" customFormat="false" ht="12.75" hidden="false" customHeight="true" outlineLevel="0" collapsed="false">
      <c r="E176" s="34" t="str">
        <f aca="false">MID(B176,9,1)</f>
        <v/>
      </c>
      <c r="F176" s="34" t="str">
        <f aca="false">MID(B176,10,1)</f>
        <v/>
      </c>
      <c r="G176" s="34" t="str">
        <f aca="false">MID(B176,11,1)</f>
        <v/>
      </c>
      <c r="H176" s="35" t="str">
        <f aca="false">IF(G176=".",F176,CONCATENATE(F176,G176))</f>
        <v/>
      </c>
      <c r="I176" s="34" t="n">
        <f aca="false">IFERROR(VALUE(H176),)</f>
        <v>0</v>
      </c>
      <c r="J176" s="34" t="e">
        <f aca="false">RIGHT(B176,LEN(B176)-FIND("/",B176, FIND("Single Cells",B176, 1)))</f>
        <v>#VALUE!</v>
      </c>
    </row>
    <row r="177" customFormat="false" ht="12.75" hidden="false" customHeight="true" outlineLevel="0" collapsed="false">
      <c r="E177" s="34" t="str">
        <f aca="false">MID(B177,9,1)</f>
        <v/>
      </c>
      <c r="F177" s="34" t="str">
        <f aca="false">MID(B177,10,1)</f>
        <v/>
      </c>
      <c r="G177" s="34" t="str">
        <f aca="false">MID(B177,11,1)</f>
        <v/>
      </c>
      <c r="H177" s="35" t="str">
        <f aca="false">IF(G177=".",F177,CONCATENATE(F177,G177))</f>
        <v/>
      </c>
      <c r="I177" s="34" t="n">
        <f aca="false">IFERROR(VALUE(H177),)</f>
        <v>0</v>
      </c>
      <c r="J177" s="34" t="e">
        <f aca="false">RIGHT(B177,LEN(B177)-FIND("/",B177, FIND("Single Cells",B177, 1)))</f>
        <v>#VALUE!</v>
      </c>
    </row>
    <row r="178" customFormat="false" ht="12.75" hidden="false" customHeight="true" outlineLevel="0" collapsed="false">
      <c r="E178" s="34" t="str">
        <f aca="false">MID(B178,9,1)</f>
        <v/>
      </c>
      <c r="F178" s="34" t="str">
        <f aca="false">MID(B178,10,1)</f>
        <v/>
      </c>
      <c r="G178" s="34" t="str">
        <f aca="false">MID(B178,11,1)</f>
        <v/>
      </c>
      <c r="H178" s="35" t="str">
        <f aca="false">IF(G178=".",F178,CONCATENATE(F178,G178))</f>
        <v/>
      </c>
      <c r="I178" s="34" t="n">
        <f aca="false">IFERROR(VALUE(H178),)</f>
        <v>0</v>
      </c>
      <c r="J178" s="34" t="e">
        <f aca="false">RIGHT(B178,LEN(B178)-FIND("/",B178, FIND("Single Cells",B178, 1)))</f>
        <v>#VALUE!</v>
      </c>
    </row>
    <row r="179" customFormat="false" ht="12.75" hidden="false" customHeight="true" outlineLevel="0" collapsed="false">
      <c r="E179" s="34" t="str">
        <f aca="false">MID(B179,9,1)</f>
        <v/>
      </c>
      <c r="F179" s="34" t="str">
        <f aca="false">MID(B179,10,1)</f>
        <v/>
      </c>
      <c r="G179" s="34" t="str">
        <f aca="false">MID(B179,11,1)</f>
        <v/>
      </c>
      <c r="H179" s="35" t="str">
        <f aca="false">IF(G179=".",F179,CONCATENATE(F179,G179))</f>
        <v/>
      </c>
      <c r="I179" s="34" t="n">
        <f aca="false">IFERROR(VALUE(H179),)</f>
        <v>0</v>
      </c>
      <c r="J179" s="34" t="e">
        <f aca="false">RIGHT(B179,LEN(B179)-FIND("/",B179, FIND("Single Cells",B179, 1)))</f>
        <v>#VALUE!</v>
      </c>
    </row>
    <row r="180" customFormat="false" ht="12.75" hidden="false" customHeight="true" outlineLevel="0" collapsed="false">
      <c r="E180" s="34" t="str">
        <f aca="false">MID(B180,9,1)</f>
        <v/>
      </c>
      <c r="F180" s="34" t="str">
        <f aca="false">MID(B180,10,1)</f>
        <v/>
      </c>
      <c r="G180" s="34" t="str">
        <f aca="false">MID(B180,11,1)</f>
        <v/>
      </c>
      <c r="H180" s="35" t="str">
        <f aca="false">IF(G180=".",F180,CONCATENATE(F180,G180))</f>
        <v/>
      </c>
      <c r="I180" s="34" t="n">
        <f aca="false">IFERROR(VALUE(H180),)</f>
        <v>0</v>
      </c>
      <c r="J180" s="34" t="e">
        <f aca="false">RIGHT(B180,LEN(B180)-FIND("/",B180, FIND("Single Cells",B180, 1)))</f>
        <v>#VALUE!</v>
      </c>
    </row>
    <row r="181" customFormat="false" ht="12.75" hidden="false" customHeight="true" outlineLevel="0" collapsed="false">
      <c r="E181" s="34" t="str">
        <f aca="false">MID(B181,9,1)</f>
        <v/>
      </c>
      <c r="F181" s="34" t="str">
        <f aca="false">MID(B181,10,1)</f>
        <v/>
      </c>
      <c r="G181" s="34" t="str">
        <f aca="false">MID(B181,11,1)</f>
        <v/>
      </c>
      <c r="H181" s="35" t="str">
        <f aca="false">IF(G181=".",F181,CONCATENATE(F181,G181))</f>
        <v/>
      </c>
      <c r="I181" s="34" t="n">
        <f aca="false">IFERROR(VALUE(H181),)</f>
        <v>0</v>
      </c>
      <c r="J181" s="34" t="e">
        <f aca="false">RIGHT(B181,LEN(B181)-FIND("/",B181, FIND("Single Cells",B181, 1)))</f>
        <v>#VALUE!</v>
      </c>
    </row>
    <row r="182" customFormat="false" ht="12.75" hidden="false" customHeight="true" outlineLevel="0" collapsed="false">
      <c r="E182" s="34" t="str">
        <f aca="false">MID(B182,9,1)</f>
        <v/>
      </c>
      <c r="F182" s="34" t="str">
        <f aca="false">MID(B182,10,1)</f>
        <v/>
      </c>
      <c r="G182" s="34" t="str">
        <f aca="false">MID(B182,11,1)</f>
        <v/>
      </c>
      <c r="H182" s="35" t="str">
        <f aca="false">IF(G182=".",F182,CONCATENATE(F182,G182))</f>
        <v/>
      </c>
      <c r="I182" s="34" t="n">
        <f aca="false">IFERROR(VALUE(H182),)</f>
        <v>0</v>
      </c>
      <c r="J182" s="34" t="e">
        <f aca="false">RIGHT(B182,LEN(B182)-FIND("/",B182, FIND("Single Cells",B182, 1)))</f>
        <v>#VALUE!</v>
      </c>
    </row>
    <row r="183" customFormat="false" ht="12.75" hidden="false" customHeight="true" outlineLevel="0" collapsed="false">
      <c r="E183" s="34" t="str">
        <f aca="false">MID(B183,9,1)</f>
        <v/>
      </c>
      <c r="F183" s="34" t="str">
        <f aca="false">MID(B183,10,1)</f>
        <v/>
      </c>
      <c r="G183" s="34" t="str">
        <f aca="false">MID(B183,11,1)</f>
        <v/>
      </c>
      <c r="H183" s="35" t="str">
        <f aca="false">IF(G183=".",F183,CONCATENATE(F183,G183))</f>
        <v/>
      </c>
      <c r="I183" s="34" t="n">
        <f aca="false">IFERROR(VALUE(H183),)</f>
        <v>0</v>
      </c>
      <c r="J183" s="34" t="e">
        <f aca="false">RIGHT(B183,LEN(B183)-FIND("/",B183, FIND("Single Cells",B183, 1)))</f>
        <v>#VALUE!</v>
      </c>
    </row>
    <row r="184" customFormat="false" ht="12.75" hidden="false" customHeight="true" outlineLevel="0" collapsed="false">
      <c r="E184" s="34" t="str">
        <f aca="false">MID(B184,9,1)</f>
        <v/>
      </c>
      <c r="F184" s="34" t="str">
        <f aca="false">MID(B184,10,1)</f>
        <v/>
      </c>
      <c r="G184" s="34" t="str">
        <f aca="false">MID(B184,11,1)</f>
        <v/>
      </c>
      <c r="H184" s="35" t="str">
        <f aca="false">IF(G184=".",F184,CONCATENATE(F184,G184))</f>
        <v/>
      </c>
      <c r="I184" s="34" t="n">
        <f aca="false">IFERROR(VALUE(H184),)</f>
        <v>0</v>
      </c>
      <c r="J184" s="34" t="e">
        <f aca="false">RIGHT(B184,LEN(B184)-FIND("/",B184, FIND("Single Cells",B184, 1)))</f>
        <v>#VALUE!</v>
      </c>
    </row>
    <row r="185" customFormat="false" ht="12.75" hidden="false" customHeight="true" outlineLevel="0" collapsed="false">
      <c r="E185" s="34" t="str">
        <f aca="false">MID(B185,9,1)</f>
        <v/>
      </c>
      <c r="F185" s="34" t="str">
        <f aca="false">MID(B185,10,1)</f>
        <v/>
      </c>
      <c r="G185" s="34" t="str">
        <f aca="false">MID(B185,11,1)</f>
        <v/>
      </c>
      <c r="H185" s="35" t="str">
        <f aca="false">IF(G185=".",F185,CONCATENATE(F185,G185))</f>
        <v/>
      </c>
      <c r="I185" s="34" t="n">
        <f aca="false">IFERROR(VALUE(H185),)</f>
        <v>0</v>
      </c>
      <c r="J185" s="34" t="e">
        <f aca="false">RIGHT(B185,LEN(B185)-FIND("/",B185, FIND("Single Cells",B185, 1)))</f>
        <v>#VALUE!</v>
      </c>
    </row>
    <row r="186" customFormat="false" ht="12.75" hidden="false" customHeight="true" outlineLevel="0" collapsed="false">
      <c r="E186" s="34" t="str">
        <f aca="false">MID(B186,9,1)</f>
        <v/>
      </c>
      <c r="F186" s="34" t="str">
        <f aca="false">MID(B186,10,1)</f>
        <v/>
      </c>
      <c r="G186" s="34" t="str">
        <f aca="false">MID(B186,11,1)</f>
        <v/>
      </c>
      <c r="H186" s="35" t="str">
        <f aca="false">IF(G186=".",F186,CONCATENATE(F186,G186))</f>
        <v/>
      </c>
      <c r="I186" s="34" t="n">
        <f aca="false">IFERROR(VALUE(H186),)</f>
        <v>0</v>
      </c>
      <c r="J186" s="34" t="e">
        <f aca="false">RIGHT(B186,LEN(B186)-FIND("/",B186, FIND("Single Cells",B186, 1)))</f>
        <v>#VALUE!</v>
      </c>
    </row>
    <row r="187" customFormat="false" ht="12.75" hidden="false" customHeight="true" outlineLevel="0" collapsed="false">
      <c r="E187" s="34" t="str">
        <f aca="false">MID(B187,9,1)</f>
        <v/>
      </c>
      <c r="F187" s="34" t="str">
        <f aca="false">MID(B187,10,1)</f>
        <v/>
      </c>
      <c r="G187" s="34" t="str">
        <f aca="false">MID(B187,11,1)</f>
        <v/>
      </c>
      <c r="H187" s="35" t="str">
        <f aca="false">IF(G187=".",F187,CONCATENATE(F187,G187))</f>
        <v/>
      </c>
      <c r="I187" s="34" t="n">
        <f aca="false">IFERROR(VALUE(H187),)</f>
        <v>0</v>
      </c>
      <c r="J187" s="34" t="e">
        <f aca="false">RIGHT(B187,LEN(B187)-FIND("/",B187, FIND("Single Cells",B187, 1)))</f>
        <v>#VALUE!</v>
      </c>
    </row>
    <row r="188" customFormat="false" ht="12.75" hidden="false" customHeight="true" outlineLevel="0" collapsed="false">
      <c r="E188" s="34" t="str">
        <f aca="false">MID(B188,9,1)</f>
        <v/>
      </c>
      <c r="F188" s="34" t="str">
        <f aca="false">MID(B188,10,1)</f>
        <v/>
      </c>
      <c r="G188" s="34" t="str">
        <f aca="false">MID(B188,11,1)</f>
        <v/>
      </c>
      <c r="H188" s="35" t="str">
        <f aca="false">IF(G188=".",F188,CONCATENATE(F188,G188))</f>
        <v/>
      </c>
      <c r="I188" s="34" t="n">
        <f aca="false">IFERROR(VALUE(H188),)</f>
        <v>0</v>
      </c>
      <c r="J188" s="34" t="e">
        <f aca="false">RIGHT(B188,LEN(B188)-FIND("/",B188, FIND("Single Cells",B188, 1)))</f>
        <v>#VALUE!</v>
      </c>
    </row>
    <row r="189" customFormat="false" ht="12.75" hidden="false" customHeight="true" outlineLevel="0" collapsed="false">
      <c r="E189" s="34" t="str">
        <f aca="false">MID(B189,9,1)</f>
        <v/>
      </c>
      <c r="F189" s="34" t="str">
        <f aca="false">MID(B189,10,1)</f>
        <v/>
      </c>
      <c r="G189" s="34" t="str">
        <f aca="false">MID(B189,11,1)</f>
        <v/>
      </c>
      <c r="H189" s="35" t="str">
        <f aca="false">IF(G189=".",F189,CONCATENATE(F189,G189))</f>
        <v/>
      </c>
      <c r="I189" s="34" t="n">
        <f aca="false">IFERROR(VALUE(H189),)</f>
        <v>0</v>
      </c>
      <c r="J189" s="34" t="e">
        <f aca="false">RIGHT(B189,LEN(B189)-FIND("/",B189, FIND("Single Cells",B189, 1)))</f>
        <v>#VALUE!</v>
      </c>
    </row>
    <row r="190" customFormat="false" ht="12.75" hidden="false" customHeight="true" outlineLevel="0" collapsed="false">
      <c r="E190" s="34" t="str">
        <f aca="false">MID(B190,9,1)</f>
        <v/>
      </c>
      <c r="F190" s="34" t="str">
        <f aca="false">MID(B190,10,1)</f>
        <v/>
      </c>
      <c r="G190" s="34" t="str">
        <f aca="false">MID(B190,11,1)</f>
        <v/>
      </c>
      <c r="H190" s="35" t="str">
        <f aca="false">IF(G190=".",F190,CONCATENATE(F190,G190))</f>
        <v/>
      </c>
      <c r="I190" s="34" t="n">
        <f aca="false">IFERROR(VALUE(H190),)</f>
        <v>0</v>
      </c>
      <c r="J190" s="34" t="e">
        <f aca="false">RIGHT(B190,LEN(B190)-FIND("/",B190, FIND("Single Cells",B190, 1)))</f>
        <v>#VALUE!</v>
      </c>
    </row>
    <row r="191" customFormat="false" ht="12.75" hidden="false" customHeight="true" outlineLevel="0" collapsed="false">
      <c r="E191" s="34" t="str">
        <f aca="false">MID(B191,9,1)</f>
        <v/>
      </c>
      <c r="F191" s="34" t="str">
        <f aca="false">MID(B191,10,1)</f>
        <v/>
      </c>
      <c r="G191" s="34" t="str">
        <f aca="false">MID(B191,11,1)</f>
        <v/>
      </c>
      <c r="H191" s="35" t="str">
        <f aca="false">IF(G191=".",F191,CONCATENATE(F191,G191))</f>
        <v/>
      </c>
      <c r="I191" s="34" t="n">
        <f aca="false">IFERROR(VALUE(H191),)</f>
        <v>0</v>
      </c>
      <c r="J191" s="34" t="e">
        <f aca="false">RIGHT(B191,LEN(B191)-FIND("/",B191, FIND("Single Cells",B191, 1)))</f>
        <v>#VALUE!</v>
      </c>
    </row>
    <row r="192" customFormat="false" ht="12.75" hidden="false" customHeight="true" outlineLevel="0" collapsed="false">
      <c r="E192" s="34" t="str">
        <f aca="false">MID(B192,9,1)</f>
        <v/>
      </c>
      <c r="F192" s="34" t="str">
        <f aca="false">MID(B192,10,1)</f>
        <v/>
      </c>
      <c r="G192" s="34" t="str">
        <f aca="false">MID(B192,11,1)</f>
        <v/>
      </c>
      <c r="H192" s="35" t="str">
        <f aca="false">IF(G192=".",F192,CONCATENATE(F192,G192))</f>
        <v/>
      </c>
      <c r="I192" s="34" t="n">
        <f aca="false">IFERROR(VALUE(H192),)</f>
        <v>0</v>
      </c>
      <c r="J192" s="34" t="e">
        <f aca="false">RIGHT(B192,LEN(B192)-FIND("/",B192, FIND("Single Cells",B192, 1)))</f>
        <v>#VALUE!</v>
      </c>
    </row>
    <row r="193" customFormat="false" ht="12.75" hidden="false" customHeight="true" outlineLevel="0" collapsed="false">
      <c r="E193" s="34" t="str">
        <f aca="false">MID(B193,9,1)</f>
        <v/>
      </c>
      <c r="F193" s="34" t="str">
        <f aca="false">MID(B193,10,1)</f>
        <v/>
      </c>
      <c r="G193" s="34" t="str">
        <f aca="false">MID(B193,11,1)</f>
        <v/>
      </c>
      <c r="H193" s="35" t="str">
        <f aca="false">IF(G193=".",F193,CONCATENATE(F193,G193))</f>
        <v/>
      </c>
      <c r="I193" s="34" t="n">
        <f aca="false">IFERROR(VALUE(H193),)</f>
        <v>0</v>
      </c>
      <c r="J193" s="34" t="e">
        <f aca="false">RIGHT(B193,LEN(B193)-FIND("/",B193, FIND("Single Cells",B193, 1)))</f>
        <v>#VALUE!</v>
      </c>
    </row>
    <row r="194" customFormat="false" ht="12.75" hidden="false" customHeight="true" outlineLevel="0" collapsed="false">
      <c r="E194" s="34" t="str">
        <f aca="false">MID(B194,9,1)</f>
        <v/>
      </c>
      <c r="F194" s="34" t="str">
        <f aca="false">MID(B194,10,1)</f>
        <v/>
      </c>
      <c r="G194" s="34" t="str">
        <f aca="false">MID(B194,11,1)</f>
        <v/>
      </c>
      <c r="H194" s="35" t="str">
        <f aca="false">IF(G194=".",F194,CONCATENATE(F194,G194))</f>
        <v/>
      </c>
      <c r="I194" s="34" t="n">
        <f aca="false">IFERROR(VALUE(H194),)</f>
        <v>0</v>
      </c>
      <c r="J194" s="34" t="e">
        <f aca="false">RIGHT(B194,LEN(B194)-FIND("/",B194, FIND("Single Cells",B194, 1)))</f>
        <v>#VALUE!</v>
      </c>
    </row>
    <row r="195" customFormat="false" ht="12.75" hidden="false" customHeight="true" outlineLevel="0" collapsed="false">
      <c r="E195" s="34" t="str">
        <f aca="false">MID(B195,9,1)</f>
        <v/>
      </c>
      <c r="F195" s="34" t="str">
        <f aca="false">MID(B195,10,1)</f>
        <v/>
      </c>
      <c r="G195" s="34" t="str">
        <f aca="false">MID(B195,11,1)</f>
        <v/>
      </c>
      <c r="H195" s="35" t="str">
        <f aca="false">IF(G195=".",F195,CONCATENATE(F195,G195))</f>
        <v/>
      </c>
      <c r="I195" s="34" t="n">
        <f aca="false">IFERROR(VALUE(H195),)</f>
        <v>0</v>
      </c>
      <c r="J195" s="34" t="e">
        <f aca="false">RIGHT(B195,LEN(B195)-FIND("/",B195, FIND("Single Cells",B195, 1)))</f>
        <v>#VALUE!</v>
      </c>
    </row>
    <row r="196" customFormat="false" ht="12.75" hidden="false" customHeight="true" outlineLevel="0" collapsed="false">
      <c r="E196" s="34" t="str">
        <f aca="false">MID(B196,9,1)</f>
        <v/>
      </c>
      <c r="F196" s="34" t="str">
        <f aca="false">MID(B196,10,1)</f>
        <v/>
      </c>
      <c r="G196" s="34" t="str">
        <f aca="false">MID(B196,11,1)</f>
        <v/>
      </c>
      <c r="H196" s="35" t="str">
        <f aca="false">IF(G196=".",F196,CONCATENATE(F196,G196))</f>
        <v/>
      </c>
      <c r="I196" s="34" t="n">
        <f aca="false">IFERROR(VALUE(H196),)</f>
        <v>0</v>
      </c>
      <c r="J196" s="34" t="e">
        <f aca="false">RIGHT(B196,LEN(B196)-FIND("/",B196, FIND("Single Cells",B196, 1)))</f>
        <v>#VALUE!</v>
      </c>
    </row>
    <row r="197" customFormat="false" ht="12.75" hidden="false" customHeight="true" outlineLevel="0" collapsed="false">
      <c r="E197" s="34" t="str">
        <f aca="false">MID(B197,9,1)</f>
        <v/>
      </c>
      <c r="F197" s="34" t="str">
        <f aca="false">MID(B197,10,1)</f>
        <v/>
      </c>
      <c r="G197" s="34" t="str">
        <f aca="false">MID(B197,11,1)</f>
        <v/>
      </c>
      <c r="H197" s="35" t="str">
        <f aca="false">IF(G197=".",F197,CONCATENATE(F197,G197))</f>
        <v/>
      </c>
      <c r="I197" s="34" t="n">
        <f aca="false">IFERROR(VALUE(H197),)</f>
        <v>0</v>
      </c>
      <c r="J197" s="34" t="e">
        <f aca="false">RIGHT(B197,LEN(B197)-FIND("/",B197, FIND("Single Cells",B197, 1)))</f>
        <v>#VALUE!</v>
      </c>
    </row>
    <row r="198" customFormat="false" ht="12.75" hidden="false" customHeight="true" outlineLevel="0" collapsed="false">
      <c r="E198" s="34" t="str">
        <f aca="false">MID(B198,9,1)</f>
        <v/>
      </c>
      <c r="F198" s="34" t="str">
        <f aca="false">MID(B198,10,1)</f>
        <v/>
      </c>
      <c r="G198" s="34" t="str">
        <f aca="false">MID(B198,11,1)</f>
        <v/>
      </c>
      <c r="H198" s="35" t="str">
        <f aca="false">IF(G198=".",F198,CONCATENATE(F198,G198))</f>
        <v/>
      </c>
      <c r="I198" s="34" t="n">
        <f aca="false">IFERROR(VALUE(H198),)</f>
        <v>0</v>
      </c>
      <c r="J198" s="34" t="e">
        <f aca="false">RIGHT(B198,LEN(B198)-FIND("/",B198, FIND("Single Cells",B198, 1)))</f>
        <v>#VALUE!</v>
      </c>
    </row>
    <row r="199" customFormat="false" ht="12.75" hidden="false" customHeight="true" outlineLevel="0" collapsed="false">
      <c r="E199" s="34" t="str">
        <f aca="false">MID(B199,9,1)</f>
        <v/>
      </c>
      <c r="F199" s="34" t="str">
        <f aca="false">MID(B199,10,1)</f>
        <v/>
      </c>
      <c r="G199" s="34" t="str">
        <f aca="false">MID(B199,11,1)</f>
        <v/>
      </c>
      <c r="H199" s="35" t="str">
        <f aca="false">IF(G199=".",F199,CONCATENATE(F199,G199))</f>
        <v/>
      </c>
      <c r="I199" s="34" t="n">
        <f aca="false">IFERROR(VALUE(H199),)</f>
        <v>0</v>
      </c>
      <c r="J199" s="34" t="e">
        <f aca="false">RIGHT(B199,LEN(B199)-FIND("/",B199, FIND("Single Cells",B199, 1)))</f>
        <v>#VALUE!</v>
      </c>
    </row>
    <row r="200" customFormat="false" ht="12.75" hidden="false" customHeight="true" outlineLevel="0" collapsed="false">
      <c r="E200" s="34" t="str">
        <f aca="false">MID(B200,9,1)</f>
        <v/>
      </c>
      <c r="F200" s="34" t="str">
        <f aca="false">MID(B200,10,1)</f>
        <v/>
      </c>
      <c r="G200" s="34" t="str">
        <f aca="false">MID(B200,11,1)</f>
        <v/>
      </c>
      <c r="H200" s="35" t="str">
        <f aca="false">IF(G200=".",F200,CONCATENATE(F200,G200))</f>
        <v/>
      </c>
      <c r="I200" s="34" t="n">
        <f aca="false">IFERROR(VALUE(H200),)</f>
        <v>0</v>
      </c>
      <c r="J200" s="34" t="e">
        <f aca="false">RIGHT(B200,LEN(B200)-FIND("/",B200, FIND("Single Cells",B200, 1)))</f>
        <v>#VALUE!</v>
      </c>
    </row>
    <row r="201" customFormat="false" ht="12.75" hidden="false" customHeight="true" outlineLevel="0" collapsed="false">
      <c r="E201" s="34" t="str">
        <f aca="false">MID(B201,9,1)</f>
        <v/>
      </c>
      <c r="F201" s="34" t="str">
        <f aca="false">MID(B201,10,1)</f>
        <v/>
      </c>
      <c r="G201" s="34" t="str">
        <f aca="false">MID(B201,11,1)</f>
        <v/>
      </c>
      <c r="H201" s="35" t="str">
        <f aca="false">IF(G201=".",F201,CONCATENATE(F201,G201))</f>
        <v/>
      </c>
      <c r="I201" s="34" t="n">
        <f aca="false">IFERROR(VALUE(H201),)</f>
        <v>0</v>
      </c>
      <c r="J201" s="34" t="e">
        <f aca="false">RIGHT(B201,LEN(B201)-FIND("/",B201, FIND("Single Cells",B201, 1)))</f>
        <v>#VALUE!</v>
      </c>
    </row>
    <row r="202" customFormat="false" ht="12.75" hidden="false" customHeight="true" outlineLevel="0" collapsed="false">
      <c r="E202" s="34" t="str">
        <f aca="false">MID(B202,9,1)</f>
        <v/>
      </c>
      <c r="F202" s="34" t="str">
        <f aca="false">MID(B202,10,1)</f>
        <v/>
      </c>
      <c r="G202" s="34" t="str">
        <f aca="false">MID(B202,11,1)</f>
        <v/>
      </c>
      <c r="H202" s="35" t="str">
        <f aca="false">IF(G202=".",F202,CONCATENATE(F202,G202))</f>
        <v/>
      </c>
      <c r="I202" s="34" t="n">
        <f aca="false">IFERROR(VALUE(H202),)</f>
        <v>0</v>
      </c>
      <c r="J202" s="34" t="e">
        <f aca="false">RIGHT(B202,LEN(B202)-FIND("/",B202, FIND("Single Cells",B202, 1)))</f>
        <v>#VALUE!</v>
      </c>
    </row>
    <row r="203" customFormat="false" ht="12.75" hidden="false" customHeight="true" outlineLevel="0" collapsed="false">
      <c r="E203" s="34" t="str">
        <f aca="false">MID(B203,9,1)</f>
        <v/>
      </c>
      <c r="F203" s="34" t="str">
        <f aca="false">MID(B203,10,1)</f>
        <v/>
      </c>
      <c r="G203" s="34" t="str">
        <f aca="false">MID(B203,11,1)</f>
        <v/>
      </c>
      <c r="H203" s="35" t="str">
        <f aca="false">IF(G203=".",F203,CONCATENATE(F203,G203))</f>
        <v/>
      </c>
      <c r="I203" s="34" t="n">
        <f aca="false">IFERROR(VALUE(H203),)</f>
        <v>0</v>
      </c>
      <c r="J203" s="34" t="e">
        <f aca="false">RIGHT(B203,LEN(B203)-FIND("/",B203, FIND("Single Cells",B203, 1)))</f>
        <v>#VALUE!</v>
      </c>
    </row>
    <row r="204" customFormat="false" ht="12.75" hidden="false" customHeight="true" outlineLevel="0" collapsed="false">
      <c r="E204" s="34" t="str">
        <f aca="false">MID(B204,9,1)</f>
        <v/>
      </c>
      <c r="F204" s="34" t="str">
        <f aca="false">MID(B204,10,1)</f>
        <v/>
      </c>
      <c r="G204" s="34" t="str">
        <f aca="false">MID(B204,11,1)</f>
        <v/>
      </c>
      <c r="H204" s="35" t="str">
        <f aca="false">IF(G204=".",F204,CONCATENATE(F204,G204))</f>
        <v/>
      </c>
      <c r="I204" s="34" t="n">
        <f aca="false">IFERROR(VALUE(H204),)</f>
        <v>0</v>
      </c>
      <c r="J204" s="34" t="e">
        <f aca="false">RIGHT(B204,LEN(B204)-FIND("/",B204, FIND("Single Cells",B204, 1)))</f>
        <v>#VALUE!</v>
      </c>
    </row>
    <row r="205" customFormat="false" ht="12.75" hidden="false" customHeight="true" outlineLevel="0" collapsed="false">
      <c r="E205" s="34" t="str">
        <f aca="false">MID(B205,9,1)</f>
        <v/>
      </c>
      <c r="F205" s="34" t="str">
        <f aca="false">MID(B205,10,1)</f>
        <v/>
      </c>
      <c r="G205" s="34" t="str">
        <f aca="false">MID(B205,11,1)</f>
        <v/>
      </c>
      <c r="H205" s="35" t="str">
        <f aca="false">IF(G205=".",F205,CONCATENATE(F205,G205))</f>
        <v/>
      </c>
      <c r="I205" s="34" t="n">
        <f aca="false">IFERROR(VALUE(H205),)</f>
        <v>0</v>
      </c>
      <c r="J205" s="34" t="e">
        <f aca="false">RIGHT(B205,LEN(B205)-FIND("/",B205, FIND("Single Cells",B205, 1)))</f>
        <v>#VALUE!</v>
      </c>
    </row>
    <row r="206" customFormat="false" ht="12.75" hidden="false" customHeight="true" outlineLevel="0" collapsed="false">
      <c r="E206" s="34" t="str">
        <f aca="false">MID(B206,9,1)</f>
        <v/>
      </c>
      <c r="F206" s="34" t="str">
        <f aca="false">MID(B206,10,1)</f>
        <v/>
      </c>
      <c r="G206" s="34" t="str">
        <f aca="false">MID(B206,11,1)</f>
        <v/>
      </c>
      <c r="H206" s="35" t="str">
        <f aca="false">IF(G206=".",F206,CONCATENATE(F206,G206))</f>
        <v/>
      </c>
      <c r="I206" s="34" t="n">
        <f aca="false">IFERROR(VALUE(H206),)</f>
        <v>0</v>
      </c>
      <c r="J206" s="34" t="e">
        <f aca="false">RIGHT(B206,LEN(B206)-FIND("/",B206, FIND("Single Cells",B206, 1)))</f>
        <v>#VALUE!</v>
      </c>
    </row>
    <row r="207" customFormat="false" ht="12.75" hidden="false" customHeight="true" outlineLevel="0" collapsed="false">
      <c r="E207" s="34" t="str">
        <f aca="false">MID(B207,9,1)</f>
        <v/>
      </c>
      <c r="F207" s="34" t="str">
        <f aca="false">MID(B207,10,1)</f>
        <v/>
      </c>
      <c r="G207" s="34" t="str">
        <f aca="false">MID(B207,11,1)</f>
        <v/>
      </c>
      <c r="H207" s="35" t="str">
        <f aca="false">IF(G207=".",F207,CONCATENATE(F207,G207))</f>
        <v/>
      </c>
      <c r="I207" s="34" t="n">
        <f aca="false">IFERROR(VALUE(H207),)</f>
        <v>0</v>
      </c>
      <c r="J207" s="34" t="e">
        <f aca="false">RIGHT(B207,LEN(B207)-FIND("/",B207, FIND("Single Cells",B207, 1)))</f>
        <v>#VALUE!</v>
      </c>
    </row>
    <row r="208" customFormat="false" ht="12.75" hidden="false" customHeight="true" outlineLevel="0" collapsed="false">
      <c r="E208" s="34" t="str">
        <f aca="false">MID(B208,9,1)</f>
        <v/>
      </c>
      <c r="F208" s="34" t="str">
        <f aca="false">MID(B208,10,1)</f>
        <v/>
      </c>
      <c r="G208" s="34" t="str">
        <f aca="false">MID(B208,11,1)</f>
        <v/>
      </c>
      <c r="H208" s="35" t="str">
        <f aca="false">IF(G208=".",F208,CONCATENATE(F208,G208))</f>
        <v/>
      </c>
      <c r="I208" s="34" t="n">
        <f aca="false">IFERROR(VALUE(H208),)</f>
        <v>0</v>
      </c>
      <c r="J208" s="34" t="e">
        <f aca="false">RIGHT(B208,LEN(B208)-FIND("/",B208, FIND("Single Cells",B208, 1)))</f>
        <v>#VALUE!</v>
      </c>
    </row>
    <row r="209" customFormat="false" ht="12.75" hidden="false" customHeight="true" outlineLevel="0" collapsed="false">
      <c r="E209" s="34" t="str">
        <f aca="false">MID(B209,9,1)</f>
        <v/>
      </c>
      <c r="F209" s="34" t="str">
        <f aca="false">MID(B209,10,1)</f>
        <v/>
      </c>
      <c r="G209" s="34" t="str">
        <f aca="false">MID(B209,11,1)</f>
        <v/>
      </c>
      <c r="H209" s="35" t="str">
        <f aca="false">IF(G209=".",F209,CONCATENATE(F209,G209))</f>
        <v/>
      </c>
      <c r="I209" s="34" t="n">
        <f aca="false">IFERROR(VALUE(H209),)</f>
        <v>0</v>
      </c>
      <c r="J209" s="34" t="e">
        <f aca="false">RIGHT(B209,LEN(B209)-FIND("/",B209, FIND("Single Cells",B209, 1)))</f>
        <v>#VALUE!</v>
      </c>
    </row>
    <row r="210" customFormat="false" ht="12.75" hidden="false" customHeight="true" outlineLevel="0" collapsed="false">
      <c r="E210" s="34" t="str">
        <f aca="false">MID(B210,9,1)</f>
        <v/>
      </c>
      <c r="F210" s="34" t="str">
        <f aca="false">MID(B210,10,1)</f>
        <v/>
      </c>
      <c r="G210" s="34" t="str">
        <f aca="false">MID(B210,11,1)</f>
        <v/>
      </c>
      <c r="H210" s="35" t="str">
        <f aca="false">IF(G210=".",F210,CONCATENATE(F210,G210))</f>
        <v/>
      </c>
      <c r="I210" s="34" t="n">
        <f aca="false">IFERROR(VALUE(H210),)</f>
        <v>0</v>
      </c>
      <c r="J210" s="34" t="e">
        <f aca="false">RIGHT(B210,LEN(B210)-FIND("/",B210, FIND("Single Cells",B210, 1)))</f>
        <v>#VALUE!</v>
      </c>
    </row>
    <row r="211" customFormat="false" ht="12.75" hidden="false" customHeight="true" outlineLevel="0" collapsed="false">
      <c r="E211" s="34" t="str">
        <f aca="false">MID(B211,9,1)</f>
        <v/>
      </c>
      <c r="F211" s="34" t="str">
        <f aca="false">MID(B211,10,1)</f>
        <v/>
      </c>
      <c r="G211" s="34" t="str">
        <f aca="false">MID(B211,11,1)</f>
        <v/>
      </c>
      <c r="H211" s="35" t="str">
        <f aca="false">IF(G211=".",F211,CONCATENATE(F211,G211))</f>
        <v/>
      </c>
      <c r="I211" s="34" t="n">
        <f aca="false">IFERROR(VALUE(H211),)</f>
        <v>0</v>
      </c>
      <c r="J211" s="34" t="e">
        <f aca="false">RIGHT(B211,LEN(B211)-FIND("/",B211, FIND("Single Cells",B211, 1)))</f>
        <v>#VALUE!</v>
      </c>
    </row>
    <row r="212" customFormat="false" ht="12.75" hidden="false" customHeight="true" outlineLevel="0" collapsed="false">
      <c r="E212" s="34" t="str">
        <f aca="false">MID(B212,9,1)</f>
        <v/>
      </c>
      <c r="F212" s="34" t="str">
        <f aca="false">MID(B212,10,1)</f>
        <v/>
      </c>
      <c r="G212" s="34" t="str">
        <f aca="false">MID(B212,11,1)</f>
        <v/>
      </c>
      <c r="H212" s="35" t="str">
        <f aca="false">IF(G212=".",F212,CONCATENATE(F212,G212))</f>
        <v/>
      </c>
      <c r="I212" s="34" t="n">
        <f aca="false">IFERROR(VALUE(H212),)</f>
        <v>0</v>
      </c>
      <c r="J212" s="34" t="e">
        <f aca="false">RIGHT(B212,LEN(B212)-FIND("/",B212, FIND("Single Cells",B212, 1)))</f>
        <v>#VALUE!</v>
      </c>
    </row>
    <row r="213" customFormat="false" ht="12.75" hidden="false" customHeight="true" outlineLevel="0" collapsed="false">
      <c r="E213" s="34" t="str">
        <f aca="false">MID(B213,9,1)</f>
        <v/>
      </c>
      <c r="F213" s="34" t="str">
        <f aca="false">MID(B213,10,1)</f>
        <v/>
      </c>
      <c r="G213" s="34" t="str">
        <f aca="false">MID(B213,11,1)</f>
        <v/>
      </c>
      <c r="H213" s="35" t="str">
        <f aca="false">IF(G213=".",F213,CONCATENATE(F213,G213))</f>
        <v/>
      </c>
      <c r="I213" s="34" t="n">
        <f aca="false">IFERROR(VALUE(H213),)</f>
        <v>0</v>
      </c>
      <c r="J213" s="34" t="e">
        <f aca="false">RIGHT(B213,LEN(B213)-FIND("/",B213, FIND("Single Cells",B213, 1)))</f>
        <v>#VALUE!</v>
      </c>
    </row>
    <row r="214" customFormat="false" ht="12.75" hidden="false" customHeight="true" outlineLevel="0" collapsed="false">
      <c r="E214" s="34" t="str">
        <f aca="false">MID(B214,9,1)</f>
        <v/>
      </c>
      <c r="F214" s="34" t="str">
        <f aca="false">MID(B214,10,1)</f>
        <v/>
      </c>
      <c r="G214" s="34" t="str">
        <f aca="false">MID(B214,11,1)</f>
        <v/>
      </c>
      <c r="H214" s="35" t="str">
        <f aca="false">IF(G214=".",F214,CONCATENATE(F214,G214))</f>
        <v/>
      </c>
      <c r="I214" s="34" t="n">
        <f aca="false">IFERROR(VALUE(H214),)</f>
        <v>0</v>
      </c>
      <c r="J214" s="34" t="e">
        <f aca="false">RIGHT(B214,LEN(B214)-FIND("/",B214, FIND("Single Cells",B214, 1)))</f>
        <v>#VALUE!</v>
      </c>
    </row>
    <row r="215" customFormat="false" ht="12.75" hidden="false" customHeight="true" outlineLevel="0" collapsed="false">
      <c r="E215" s="34" t="str">
        <f aca="false">MID(B215,9,1)</f>
        <v/>
      </c>
      <c r="F215" s="34" t="str">
        <f aca="false">MID(B215,10,1)</f>
        <v/>
      </c>
      <c r="G215" s="34" t="str">
        <f aca="false">MID(B215,11,1)</f>
        <v/>
      </c>
      <c r="H215" s="35" t="str">
        <f aca="false">IF(G215=".",F215,CONCATENATE(F215,G215))</f>
        <v/>
      </c>
      <c r="I215" s="34" t="n">
        <f aca="false">IFERROR(VALUE(H215),)</f>
        <v>0</v>
      </c>
      <c r="J215" s="34" t="e">
        <f aca="false">RIGHT(B215,LEN(B215)-FIND("/",B215, FIND("Single Cells",B215, 1)))</f>
        <v>#VALUE!</v>
      </c>
    </row>
    <row r="216" customFormat="false" ht="12.75" hidden="false" customHeight="true" outlineLevel="0" collapsed="false">
      <c r="E216" s="34" t="str">
        <f aca="false">MID(B216,9,1)</f>
        <v/>
      </c>
      <c r="F216" s="34" t="str">
        <f aca="false">MID(B216,10,1)</f>
        <v/>
      </c>
      <c r="G216" s="34" t="str">
        <f aca="false">MID(B216,11,1)</f>
        <v/>
      </c>
      <c r="H216" s="35" t="str">
        <f aca="false">IF(G216=".",F216,CONCATENATE(F216,G216))</f>
        <v/>
      </c>
      <c r="I216" s="34" t="n">
        <f aca="false">IFERROR(VALUE(H216),)</f>
        <v>0</v>
      </c>
      <c r="J216" s="34" t="e">
        <f aca="false">RIGHT(B216,LEN(B216)-FIND("/",B216, FIND("Single Cells",B216, 1)))</f>
        <v>#VALUE!</v>
      </c>
    </row>
    <row r="217" customFormat="false" ht="12.75" hidden="false" customHeight="true" outlineLevel="0" collapsed="false">
      <c r="E217" s="34" t="str">
        <f aca="false">MID(B217,9,1)</f>
        <v/>
      </c>
      <c r="F217" s="34" t="str">
        <f aca="false">MID(B217,10,1)</f>
        <v/>
      </c>
      <c r="G217" s="34" t="str">
        <f aca="false">MID(B217,11,1)</f>
        <v/>
      </c>
      <c r="H217" s="35" t="str">
        <f aca="false">IF(G217=".",F217,CONCATENATE(F217,G217))</f>
        <v/>
      </c>
      <c r="I217" s="34" t="n">
        <f aca="false">IFERROR(VALUE(H217),)</f>
        <v>0</v>
      </c>
      <c r="J217" s="34" t="e">
        <f aca="false">RIGHT(B217,LEN(B217)-FIND("/",B217, FIND("Single Cells",B217, 1)))</f>
        <v>#VALUE!</v>
      </c>
    </row>
    <row r="218" customFormat="false" ht="12.75" hidden="false" customHeight="true" outlineLevel="0" collapsed="false">
      <c r="E218" s="34" t="str">
        <f aca="false">MID(B218,9,1)</f>
        <v/>
      </c>
      <c r="F218" s="34" t="str">
        <f aca="false">MID(B218,10,1)</f>
        <v/>
      </c>
      <c r="G218" s="34" t="str">
        <f aca="false">MID(B218,11,1)</f>
        <v/>
      </c>
      <c r="H218" s="35" t="str">
        <f aca="false">IF(G218=".",F218,CONCATENATE(F218,G218))</f>
        <v/>
      </c>
      <c r="I218" s="34" t="n">
        <f aca="false">IFERROR(VALUE(H218),)</f>
        <v>0</v>
      </c>
      <c r="J218" s="34" t="e">
        <f aca="false">RIGHT(B218,LEN(B218)-FIND("/",B218, FIND("Single Cells",B218, 1)))</f>
        <v>#VALUE!</v>
      </c>
    </row>
    <row r="219" customFormat="false" ht="12.75" hidden="false" customHeight="true" outlineLevel="0" collapsed="false">
      <c r="E219" s="34" t="str">
        <f aca="false">MID(B219,9,1)</f>
        <v/>
      </c>
      <c r="F219" s="34" t="str">
        <f aca="false">MID(B219,10,1)</f>
        <v/>
      </c>
      <c r="G219" s="34" t="str">
        <f aca="false">MID(B219,11,1)</f>
        <v/>
      </c>
      <c r="H219" s="35" t="str">
        <f aca="false">IF(G219=".",F219,CONCATENATE(F219,G219))</f>
        <v/>
      </c>
      <c r="I219" s="34" t="n">
        <f aca="false">IFERROR(VALUE(H219),)</f>
        <v>0</v>
      </c>
      <c r="J219" s="34" t="e">
        <f aca="false">RIGHT(B219,LEN(B219)-FIND("/",B219, FIND("Single Cells",B219, 1)))</f>
        <v>#VALUE!</v>
      </c>
    </row>
    <row r="220" customFormat="false" ht="12.75" hidden="false" customHeight="true" outlineLevel="0" collapsed="false">
      <c r="E220" s="34" t="str">
        <f aca="false">MID(B220,9,1)</f>
        <v/>
      </c>
      <c r="F220" s="34" t="str">
        <f aca="false">MID(B220,10,1)</f>
        <v/>
      </c>
      <c r="G220" s="34" t="str">
        <f aca="false">MID(B220,11,1)</f>
        <v/>
      </c>
      <c r="H220" s="35" t="str">
        <f aca="false">IF(G220=".",F220,CONCATENATE(F220,G220))</f>
        <v/>
      </c>
      <c r="I220" s="34" t="n">
        <f aca="false">IFERROR(VALUE(H220),)</f>
        <v>0</v>
      </c>
      <c r="J220" s="34" t="e">
        <f aca="false">RIGHT(B220,LEN(B220)-FIND("/",B220, FIND("Single Cells",B220, 1)))</f>
        <v>#VALUE!</v>
      </c>
    </row>
    <row r="221" customFormat="false" ht="12.75" hidden="false" customHeight="true" outlineLevel="0" collapsed="false">
      <c r="E221" s="34" t="str">
        <f aca="false">MID(B221,9,1)</f>
        <v/>
      </c>
      <c r="F221" s="34" t="str">
        <f aca="false">MID(B221,10,1)</f>
        <v/>
      </c>
      <c r="G221" s="34" t="str">
        <f aca="false">MID(B221,11,1)</f>
        <v/>
      </c>
      <c r="H221" s="35" t="str">
        <f aca="false">IF(G221=".",F221,CONCATENATE(F221,G221))</f>
        <v/>
      </c>
      <c r="I221" s="34" t="n">
        <f aca="false">IFERROR(VALUE(H221),)</f>
        <v>0</v>
      </c>
      <c r="J221" s="34" t="e">
        <f aca="false">RIGHT(B221,LEN(B221)-FIND("/",B221, FIND("Single Cells",B221, 1)))</f>
        <v>#VALUE!</v>
      </c>
    </row>
    <row r="222" customFormat="false" ht="12.75" hidden="false" customHeight="true" outlineLevel="0" collapsed="false">
      <c r="E222" s="34" t="str">
        <f aca="false">MID(B222,9,1)</f>
        <v/>
      </c>
      <c r="F222" s="34" t="str">
        <f aca="false">MID(B222,10,1)</f>
        <v/>
      </c>
      <c r="G222" s="34" t="str">
        <f aca="false">MID(B222,11,1)</f>
        <v/>
      </c>
      <c r="H222" s="35" t="str">
        <f aca="false">IF(G222=".",F222,CONCATENATE(F222,G222))</f>
        <v/>
      </c>
      <c r="I222" s="34" t="n">
        <f aca="false">IFERROR(VALUE(H222),)</f>
        <v>0</v>
      </c>
      <c r="J222" s="34" t="e">
        <f aca="false">RIGHT(B222,LEN(B222)-FIND("/",B222, FIND("Single Cells",B222, 1)))</f>
        <v>#VALUE!</v>
      </c>
    </row>
    <row r="223" customFormat="false" ht="12.75" hidden="false" customHeight="true" outlineLevel="0" collapsed="false">
      <c r="E223" s="34" t="str">
        <f aca="false">MID(B223,9,1)</f>
        <v/>
      </c>
      <c r="F223" s="34" t="str">
        <f aca="false">MID(B223,10,1)</f>
        <v/>
      </c>
      <c r="G223" s="34" t="str">
        <f aca="false">MID(B223,11,1)</f>
        <v/>
      </c>
      <c r="H223" s="35" t="str">
        <f aca="false">IF(G223=".",F223,CONCATENATE(F223,G223))</f>
        <v/>
      </c>
      <c r="I223" s="34" t="n">
        <f aca="false">IFERROR(VALUE(H223),)</f>
        <v>0</v>
      </c>
      <c r="J223" s="34" t="e">
        <f aca="false">RIGHT(B223,LEN(B223)-FIND("/",B223, FIND("Single Cells",B223, 1)))</f>
        <v>#VALUE!</v>
      </c>
    </row>
    <row r="224" customFormat="false" ht="12.75" hidden="false" customHeight="true" outlineLevel="0" collapsed="false">
      <c r="E224" s="34" t="str">
        <f aca="false">MID(B224,9,1)</f>
        <v/>
      </c>
      <c r="F224" s="34" t="str">
        <f aca="false">MID(B224,10,1)</f>
        <v/>
      </c>
      <c r="G224" s="34" t="str">
        <f aca="false">MID(B224,11,1)</f>
        <v/>
      </c>
      <c r="H224" s="35" t="str">
        <f aca="false">IF(G224=".",F224,CONCATENATE(F224,G224))</f>
        <v/>
      </c>
      <c r="I224" s="34" t="n">
        <f aca="false">IFERROR(VALUE(H224),)</f>
        <v>0</v>
      </c>
      <c r="J224" s="34" t="e">
        <f aca="false">RIGHT(B224,LEN(B224)-FIND("/",B224, FIND("Single Cells",B224, 1)))</f>
        <v>#VALUE!</v>
      </c>
    </row>
    <row r="225" customFormat="false" ht="12.75" hidden="false" customHeight="true" outlineLevel="0" collapsed="false">
      <c r="E225" s="34" t="str">
        <f aca="false">MID(B225,9,1)</f>
        <v/>
      </c>
      <c r="F225" s="34" t="str">
        <f aca="false">MID(B225,10,1)</f>
        <v/>
      </c>
      <c r="G225" s="34" t="str">
        <f aca="false">MID(B225,11,1)</f>
        <v/>
      </c>
      <c r="H225" s="35" t="str">
        <f aca="false">IF(G225=".",F225,CONCATENATE(F225,G225))</f>
        <v/>
      </c>
      <c r="I225" s="34" t="n">
        <f aca="false">IFERROR(VALUE(H225),)</f>
        <v>0</v>
      </c>
      <c r="J225" s="34" t="e">
        <f aca="false">RIGHT(B225,LEN(B225)-FIND("/",B225, FIND("Single Cells",B225, 1)))</f>
        <v>#VALUE!</v>
      </c>
    </row>
    <row r="226" customFormat="false" ht="12.75" hidden="false" customHeight="true" outlineLevel="0" collapsed="false">
      <c r="E226" s="34" t="str">
        <f aca="false">MID(B226,9,1)</f>
        <v/>
      </c>
      <c r="F226" s="34" t="str">
        <f aca="false">MID(B226,10,1)</f>
        <v/>
      </c>
      <c r="G226" s="34" t="str">
        <f aca="false">MID(B226,11,1)</f>
        <v/>
      </c>
      <c r="H226" s="35" t="str">
        <f aca="false">IF(G226=".",F226,CONCATENATE(F226,G226))</f>
        <v/>
      </c>
      <c r="I226" s="34" t="n">
        <f aca="false">IFERROR(VALUE(H226),)</f>
        <v>0</v>
      </c>
      <c r="J226" s="34" t="e">
        <f aca="false">RIGHT(B226,LEN(B226)-FIND("/",B226, FIND("Single Cells",B226, 1)))</f>
        <v>#VALUE!</v>
      </c>
    </row>
    <row r="227" customFormat="false" ht="12.75" hidden="false" customHeight="true" outlineLevel="0" collapsed="false">
      <c r="E227" s="34" t="str">
        <f aca="false">MID(B227,9,1)</f>
        <v/>
      </c>
      <c r="F227" s="34" t="str">
        <f aca="false">MID(B227,10,1)</f>
        <v/>
      </c>
      <c r="G227" s="34" t="str">
        <f aca="false">MID(B227,11,1)</f>
        <v/>
      </c>
      <c r="H227" s="35" t="str">
        <f aca="false">IF(G227=".",F227,CONCATENATE(F227,G227))</f>
        <v/>
      </c>
      <c r="I227" s="34" t="n">
        <f aca="false">IFERROR(VALUE(H227),)</f>
        <v>0</v>
      </c>
      <c r="J227" s="34" t="e">
        <f aca="false">RIGHT(B227,LEN(B227)-FIND("/",B227, FIND("Single Cells",B227, 1)))</f>
        <v>#VALUE!</v>
      </c>
    </row>
    <row r="228" customFormat="false" ht="12.75" hidden="false" customHeight="true" outlineLevel="0" collapsed="false">
      <c r="E228" s="34" t="str">
        <f aca="false">MID(B228,9,1)</f>
        <v/>
      </c>
      <c r="F228" s="34" t="str">
        <f aca="false">MID(B228,10,1)</f>
        <v/>
      </c>
      <c r="G228" s="34" t="str">
        <f aca="false">MID(B228,11,1)</f>
        <v/>
      </c>
      <c r="H228" s="35" t="str">
        <f aca="false">IF(G228=".",F228,CONCATENATE(F228,G228))</f>
        <v/>
      </c>
      <c r="I228" s="34" t="n">
        <f aca="false">IFERROR(VALUE(H228),)</f>
        <v>0</v>
      </c>
      <c r="J228" s="34" t="e">
        <f aca="false">RIGHT(B228,LEN(B228)-FIND("/",B228, FIND("Single Cells",B228, 1)))</f>
        <v>#VALUE!</v>
      </c>
    </row>
    <row r="229" customFormat="false" ht="12.75" hidden="false" customHeight="true" outlineLevel="0" collapsed="false">
      <c r="E229" s="34" t="str">
        <f aca="false">MID(B229,9,1)</f>
        <v/>
      </c>
      <c r="F229" s="34" t="str">
        <f aca="false">MID(B229,10,1)</f>
        <v/>
      </c>
      <c r="G229" s="34" t="str">
        <f aca="false">MID(B229,11,1)</f>
        <v/>
      </c>
      <c r="H229" s="35" t="str">
        <f aca="false">IF(G229=".",F229,CONCATENATE(F229,G229))</f>
        <v/>
      </c>
      <c r="I229" s="34" t="n">
        <f aca="false">IFERROR(VALUE(H229),)</f>
        <v>0</v>
      </c>
      <c r="J229" s="34" t="e">
        <f aca="false">RIGHT(B229,LEN(B229)-FIND("/",B229, FIND("Single Cells",B229, 1)))</f>
        <v>#VALUE!</v>
      </c>
    </row>
    <row r="230" customFormat="false" ht="12.75" hidden="false" customHeight="true" outlineLevel="0" collapsed="false">
      <c r="E230" s="34" t="str">
        <f aca="false">MID(B230,9,1)</f>
        <v/>
      </c>
      <c r="F230" s="34" t="str">
        <f aca="false">MID(B230,10,1)</f>
        <v/>
      </c>
      <c r="G230" s="34" t="str">
        <f aca="false">MID(B230,11,1)</f>
        <v/>
      </c>
      <c r="H230" s="35" t="str">
        <f aca="false">IF(G230=".",F230,CONCATENATE(F230,G230))</f>
        <v/>
      </c>
      <c r="I230" s="34" t="n">
        <f aca="false">IFERROR(VALUE(H230),)</f>
        <v>0</v>
      </c>
      <c r="J230" s="34" t="e">
        <f aca="false">RIGHT(B230,LEN(B230)-FIND("/",B230, FIND("Single Cells",B230, 1)))</f>
        <v>#VALUE!</v>
      </c>
    </row>
    <row r="231" customFormat="false" ht="12.75" hidden="false" customHeight="true" outlineLevel="0" collapsed="false">
      <c r="E231" s="34" t="str">
        <f aca="false">MID(B231,9,1)</f>
        <v/>
      </c>
      <c r="F231" s="34" t="str">
        <f aca="false">MID(B231,10,1)</f>
        <v/>
      </c>
      <c r="G231" s="34" t="str">
        <f aca="false">MID(B231,11,1)</f>
        <v/>
      </c>
      <c r="H231" s="35" t="str">
        <f aca="false">IF(G231=".",F231,CONCATENATE(F231,G231))</f>
        <v/>
      </c>
      <c r="I231" s="34" t="n">
        <f aca="false">IFERROR(VALUE(H231),)</f>
        <v>0</v>
      </c>
      <c r="J231" s="34" t="e">
        <f aca="false">RIGHT(B231,LEN(B231)-FIND("/",B231, FIND("Single Cells",B231, 1)))</f>
        <v>#VALUE!</v>
      </c>
    </row>
    <row r="232" customFormat="false" ht="12.75" hidden="false" customHeight="true" outlineLevel="0" collapsed="false">
      <c r="E232" s="34" t="str">
        <f aca="false">MID(B232,9,1)</f>
        <v/>
      </c>
      <c r="F232" s="34" t="str">
        <f aca="false">MID(B232,10,1)</f>
        <v/>
      </c>
      <c r="G232" s="34" t="str">
        <f aca="false">MID(B232,11,1)</f>
        <v/>
      </c>
      <c r="H232" s="35" t="str">
        <f aca="false">IF(G232=".",F232,CONCATENATE(F232,G232))</f>
        <v/>
      </c>
      <c r="I232" s="34" t="n">
        <f aca="false">IFERROR(VALUE(H232),)</f>
        <v>0</v>
      </c>
      <c r="J232" s="34" t="e">
        <f aca="false">RIGHT(B232,LEN(B232)-FIND("/",B232, FIND("Single Cells",B232, 1)))</f>
        <v>#VALUE!</v>
      </c>
    </row>
    <row r="233" customFormat="false" ht="12.75" hidden="false" customHeight="true" outlineLevel="0" collapsed="false">
      <c r="E233" s="34" t="str">
        <f aca="false">MID(B233,9,1)</f>
        <v/>
      </c>
      <c r="F233" s="34" t="str">
        <f aca="false">MID(B233,10,1)</f>
        <v/>
      </c>
      <c r="G233" s="34" t="str">
        <f aca="false">MID(B233,11,1)</f>
        <v/>
      </c>
      <c r="H233" s="35" t="str">
        <f aca="false">IF(G233=".",F233,CONCATENATE(F233,G233))</f>
        <v/>
      </c>
      <c r="I233" s="34" t="n">
        <f aca="false">IFERROR(VALUE(H233),)</f>
        <v>0</v>
      </c>
      <c r="J233" s="34" t="e">
        <f aca="false">RIGHT(B233,LEN(B233)-FIND("/",B233, FIND("Single Cells",B233, 1)))</f>
        <v>#VALUE!</v>
      </c>
    </row>
    <row r="234" customFormat="false" ht="12.75" hidden="false" customHeight="true" outlineLevel="0" collapsed="false">
      <c r="E234" s="34" t="str">
        <f aca="false">MID(B234,9,1)</f>
        <v/>
      </c>
      <c r="F234" s="34" t="str">
        <f aca="false">MID(B234,10,1)</f>
        <v/>
      </c>
      <c r="G234" s="34" t="str">
        <f aca="false">MID(B234,11,1)</f>
        <v/>
      </c>
      <c r="H234" s="35" t="str">
        <f aca="false">IF(G234=".",F234,CONCATENATE(F234,G234))</f>
        <v/>
      </c>
      <c r="I234" s="34" t="n">
        <f aca="false">IFERROR(VALUE(H234),)</f>
        <v>0</v>
      </c>
      <c r="J234" s="34" t="e">
        <f aca="false">RIGHT(B234,LEN(B234)-FIND("/",B234, FIND("Single Cells",B234, 1)))</f>
        <v>#VALUE!</v>
      </c>
    </row>
    <row r="235" customFormat="false" ht="12.75" hidden="false" customHeight="true" outlineLevel="0" collapsed="false">
      <c r="E235" s="34" t="str">
        <f aca="false">MID(B235,9,1)</f>
        <v/>
      </c>
      <c r="F235" s="34" t="str">
        <f aca="false">MID(B235,10,1)</f>
        <v/>
      </c>
      <c r="G235" s="34" t="str">
        <f aca="false">MID(B235,11,1)</f>
        <v/>
      </c>
      <c r="H235" s="35" t="str">
        <f aca="false">IF(G235=".",F235,CONCATENATE(F235,G235))</f>
        <v/>
      </c>
      <c r="I235" s="34" t="n">
        <f aca="false">IFERROR(VALUE(H235),)</f>
        <v>0</v>
      </c>
      <c r="J235" s="34" t="e">
        <f aca="false">RIGHT(B235,LEN(B235)-FIND("/",B235, FIND("Single Cells",B235, 1)))</f>
        <v>#VALUE!</v>
      </c>
    </row>
    <row r="236" customFormat="false" ht="12.75" hidden="false" customHeight="true" outlineLevel="0" collapsed="false">
      <c r="E236" s="34" t="str">
        <f aca="false">MID(B236,9,1)</f>
        <v/>
      </c>
      <c r="F236" s="34" t="str">
        <f aca="false">MID(B236,10,1)</f>
        <v/>
      </c>
      <c r="G236" s="34" t="str">
        <f aca="false">MID(B236,11,1)</f>
        <v/>
      </c>
      <c r="H236" s="35" t="str">
        <f aca="false">IF(G236=".",F236,CONCATENATE(F236,G236))</f>
        <v/>
      </c>
      <c r="I236" s="34" t="n">
        <f aca="false">IFERROR(VALUE(H236),)</f>
        <v>0</v>
      </c>
      <c r="J236" s="34" t="e">
        <f aca="false">RIGHT(B236,LEN(B236)-FIND("/",B236, FIND("Single Cells",B236, 1)))</f>
        <v>#VALUE!</v>
      </c>
    </row>
    <row r="237" customFormat="false" ht="12.75" hidden="false" customHeight="true" outlineLevel="0" collapsed="false">
      <c r="E237" s="34" t="str">
        <f aca="false">MID(B237,9,1)</f>
        <v/>
      </c>
      <c r="F237" s="34" t="str">
        <f aca="false">MID(B237,10,1)</f>
        <v/>
      </c>
      <c r="G237" s="34" t="str">
        <f aca="false">MID(B237,11,1)</f>
        <v/>
      </c>
      <c r="H237" s="35" t="str">
        <f aca="false">IF(G237=".",F237,CONCATENATE(F237,G237))</f>
        <v/>
      </c>
      <c r="I237" s="34" t="n">
        <f aca="false">IFERROR(VALUE(H237),)</f>
        <v>0</v>
      </c>
      <c r="J237" s="34" t="e">
        <f aca="false">RIGHT(B237,LEN(B237)-FIND("/",B237, FIND("Single Cells",B237, 1)))</f>
        <v>#VALUE!</v>
      </c>
    </row>
    <row r="238" customFormat="false" ht="12.75" hidden="false" customHeight="true" outlineLevel="0" collapsed="false">
      <c r="E238" s="34" t="str">
        <f aca="false">MID(B238,9,1)</f>
        <v/>
      </c>
      <c r="F238" s="34" t="str">
        <f aca="false">MID(B238,10,1)</f>
        <v/>
      </c>
      <c r="G238" s="34" t="str">
        <f aca="false">MID(B238,11,1)</f>
        <v/>
      </c>
      <c r="H238" s="35" t="str">
        <f aca="false">IF(G238=".",F238,CONCATENATE(F238,G238))</f>
        <v/>
      </c>
      <c r="I238" s="34" t="n">
        <f aca="false">IFERROR(VALUE(H238),)</f>
        <v>0</v>
      </c>
      <c r="J238" s="34" t="e">
        <f aca="false">RIGHT(B238,LEN(B238)-FIND("/",B238, FIND("Single Cells",B238, 1)))</f>
        <v>#VALUE!</v>
      </c>
    </row>
    <row r="239" customFormat="false" ht="12.75" hidden="false" customHeight="true" outlineLevel="0" collapsed="false">
      <c r="E239" s="34" t="str">
        <f aca="false">MID(B239,9,1)</f>
        <v/>
      </c>
      <c r="F239" s="34" t="str">
        <f aca="false">MID(B239,10,1)</f>
        <v/>
      </c>
      <c r="G239" s="34" t="str">
        <f aca="false">MID(B239,11,1)</f>
        <v/>
      </c>
      <c r="H239" s="35" t="str">
        <f aca="false">IF(G239=".",F239,CONCATENATE(F239,G239))</f>
        <v/>
      </c>
      <c r="I239" s="34" t="n">
        <f aca="false">IFERROR(VALUE(H239),)</f>
        <v>0</v>
      </c>
      <c r="J239" s="34" t="e">
        <f aca="false">RIGHT(B239,LEN(B239)-FIND("/",B239, FIND("Single Cells",B239, 1)))</f>
        <v>#VALUE!</v>
      </c>
    </row>
    <row r="240" customFormat="false" ht="12.75" hidden="false" customHeight="true" outlineLevel="0" collapsed="false">
      <c r="E240" s="34" t="str">
        <f aca="false">MID(B240,9,1)</f>
        <v/>
      </c>
      <c r="F240" s="34" t="str">
        <f aca="false">MID(B240,10,1)</f>
        <v/>
      </c>
      <c r="G240" s="34" t="str">
        <f aca="false">MID(B240,11,1)</f>
        <v/>
      </c>
      <c r="H240" s="35" t="str">
        <f aca="false">IF(G240=".",F240,CONCATENATE(F240,G240))</f>
        <v/>
      </c>
      <c r="I240" s="34" t="n">
        <f aca="false">IFERROR(VALUE(H240),)</f>
        <v>0</v>
      </c>
      <c r="J240" s="34" t="e">
        <f aca="false">RIGHT(B240,LEN(B240)-FIND("/",B240, FIND("Single Cells",B240, 1)))</f>
        <v>#VALUE!</v>
      </c>
    </row>
    <row r="241" customFormat="false" ht="12.75" hidden="false" customHeight="true" outlineLevel="0" collapsed="false">
      <c r="E241" s="34" t="str">
        <f aca="false">MID(B241,9,1)</f>
        <v/>
      </c>
      <c r="F241" s="34" t="str">
        <f aca="false">MID(B241,10,1)</f>
        <v/>
      </c>
      <c r="G241" s="34" t="str">
        <f aca="false">MID(B241,11,1)</f>
        <v/>
      </c>
      <c r="H241" s="35" t="str">
        <f aca="false">IF(G241=".",F241,CONCATENATE(F241,G241))</f>
        <v/>
      </c>
      <c r="I241" s="34" t="n">
        <f aca="false">IFERROR(VALUE(H241),)</f>
        <v>0</v>
      </c>
      <c r="J241" s="34" t="e">
        <f aca="false">RIGHT(B241,LEN(B241)-FIND("/",B241, FIND("Single Cells",B241, 1)))</f>
        <v>#VALUE!</v>
      </c>
    </row>
    <row r="242" customFormat="false" ht="12.75" hidden="false" customHeight="true" outlineLevel="0" collapsed="false">
      <c r="E242" s="34" t="str">
        <f aca="false">MID(B242,9,1)</f>
        <v/>
      </c>
      <c r="F242" s="34" t="str">
        <f aca="false">MID(B242,10,1)</f>
        <v/>
      </c>
      <c r="G242" s="34" t="str">
        <f aca="false">MID(B242,11,1)</f>
        <v/>
      </c>
      <c r="H242" s="35" t="str">
        <f aca="false">IF(G242=".",F242,CONCATENATE(F242,G242))</f>
        <v/>
      </c>
      <c r="I242" s="34" t="n">
        <f aca="false">IFERROR(VALUE(H242),)</f>
        <v>0</v>
      </c>
      <c r="J242" s="34" t="e">
        <f aca="false">RIGHT(B242,LEN(B242)-FIND("/",B242, FIND("Single Cells",B242, 1)))</f>
        <v>#VALUE!</v>
      </c>
    </row>
    <row r="243" customFormat="false" ht="12.75" hidden="false" customHeight="true" outlineLevel="0" collapsed="false">
      <c r="E243" s="34" t="str">
        <f aca="false">MID(B243,9,1)</f>
        <v/>
      </c>
      <c r="F243" s="34" t="str">
        <f aca="false">MID(B243,10,1)</f>
        <v/>
      </c>
      <c r="G243" s="34" t="str">
        <f aca="false">MID(B243,11,1)</f>
        <v/>
      </c>
      <c r="H243" s="35" t="str">
        <f aca="false">IF(G243=".",F243,CONCATENATE(F243,G243))</f>
        <v/>
      </c>
      <c r="I243" s="34" t="n">
        <f aca="false">IFERROR(VALUE(H243),)</f>
        <v>0</v>
      </c>
      <c r="J243" s="34" t="e">
        <f aca="false">RIGHT(B243,LEN(B243)-FIND("/",B243, FIND("Single Cells",B243, 1)))</f>
        <v>#VALUE!</v>
      </c>
    </row>
    <row r="244" customFormat="false" ht="12.75" hidden="false" customHeight="true" outlineLevel="0" collapsed="false">
      <c r="E244" s="34" t="str">
        <f aca="false">MID(B244,9,1)</f>
        <v/>
      </c>
      <c r="F244" s="34" t="str">
        <f aca="false">MID(B244,10,1)</f>
        <v/>
      </c>
      <c r="G244" s="34" t="str">
        <f aca="false">MID(B244,11,1)</f>
        <v/>
      </c>
      <c r="H244" s="35" t="str">
        <f aca="false">IF(G244=".",F244,CONCATENATE(F244,G244))</f>
        <v/>
      </c>
      <c r="I244" s="34" t="n">
        <f aca="false">IFERROR(VALUE(H244),)</f>
        <v>0</v>
      </c>
      <c r="J244" s="34" t="e">
        <f aca="false">RIGHT(B244,LEN(B244)-FIND("/",B244, FIND("Single Cells",B244, 1)))</f>
        <v>#VALUE!</v>
      </c>
    </row>
    <row r="245" customFormat="false" ht="12.75" hidden="false" customHeight="true" outlineLevel="0" collapsed="false">
      <c r="E245" s="34" t="str">
        <f aca="false">MID(B245,9,1)</f>
        <v/>
      </c>
      <c r="F245" s="34" t="str">
        <f aca="false">MID(B245,10,1)</f>
        <v/>
      </c>
      <c r="G245" s="34" t="str">
        <f aca="false">MID(B245,11,1)</f>
        <v/>
      </c>
      <c r="H245" s="35" t="str">
        <f aca="false">IF(G245=".",F245,CONCATENATE(F245,G245))</f>
        <v/>
      </c>
      <c r="I245" s="34" t="n">
        <f aca="false">IFERROR(VALUE(H245),)</f>
        <v>0</v>
      </c>
      <c r="J245" s="34" t="e">
        <f aca="false">RIGHT(B245,LEN(B245)-FIND("/",B245, FIND("Single Cells",B245, 1)))</f>
        <v>#VALUE!</v>
      </c>
    </row>
    <row r="246" customFormat="false" ht="12.75" hidden="false" customHeight="true" outlineLevel="0" collapsed="false">
      <c r="E246" s="34" t="str">
        <f aca="false">MID(B246,9,1)</f>
        <v/>
      </c>
      <c r="F246" s="34" t="str">
        <f aca="false">MID(B246,10,1)</f>
        <v/>
      </c>
      <c r="G246" s="34" t="str">
        <f aca="false">MID(B246,11,1)</f>
        <v/>
      </c>
      <c r="H246" s="35" t="str">
        <f aca="false">IF(G246=".",F246,CONCATENATE(F246,G246))</f>
        <v/>
      </c>
      <c r="I246" s="34" t="n">
        <f aca="false">IFERROR(VALUE(H246),)</f>
        <v>0</v>
      </c>
      <c r="J246" s="34" t="e">
        <f aca="false">RIGHT(B246,LEN(B246)-FIND("/",B246, FIND("Single Cells",B246, 1)))</f>
        <v>#VALUE!</v>
      </c>
    </row>
    <row r="247" customFormat="false" ht="12.75" hidden="false" customHeight="true" outlineLevel="0" collapsed="false">
      <c r="E247" s="34" t="str">
        <f aca="false">MID(B247,9,1)</f>
        <v/>
      </c>
      <c r="F247" s="34" t="str">
        <f aca="false">MID(B247,10,1)</f>
        <v/>
      </c>
      <c r="G247" s="34" t="str">
        <f aca="false">MID(B247,11,1)</f>
        <v/>
      </c>
      <c r="H247" s="35" t="str">
        <f aca="false">IF(G247=".",F247,CONCATENATE(F247,G247))</f>
        <v/>
      </c>
      <c r="I247" s="34" t="n">
        <f aca="false">IFERROR(VALUE(H247),)</f>
        <v>0</v>
      </c>
      <c r="J247" s="34" t="e">
        <f aca="false">RIGHT(B247,LEN(B247)-FIND("/",B247, FIND("Single Cells",B247, 1)))</f>
        <v>#VALUE!</v>
      </c>
    </row>
    <row r="248" customFormat="false" ht="12.75" hidden="false" customHeight="true" outlineLevel="0" collapsed="false">
      <c r="E248" s="34" t="str">
        <f aca="false">MID(B248,9,1)</f>
        <v/>
      </c>
      <c r="F248" s="34" t="str">
        <f aca="false">MID(B248,10,1)</f>
        <v/>
      </c>
      <c r="G248" s="34" t="str">
        <f aca="false">MID(B248,11,1)</f>
        <v/>
      </c>
      <c r="H248" s="35" t="str">
        <f aca="false">IF(G248=".",F248,CONCATENATE(F248,G248))</f>
        <v/>
      </c>
      <c r="I248" s="34" t="n">
        <f aca="false">IFERROR(VALUE(H248),)</f>
        <v>0</v>
      </c>
      <c r="J248" s="34" t="e">
        <f aca="false">RIGHT(B248,LEN(B248)-FIND("/",B248, FIND("Single Cells",B248, 1)))</f>
        <v>#VALUE!</v>
      </c>
    </row>
    <row r="249" customFormat="false" ht="12.75" hidden="false" customHeight="true" outlineLevel="0" collapsed="false">
      <c r="E249" s="34" t="str">
        <f aca="false">MID(B249,9,1)</f>
        <v/>
      </c>
      <c r="F249" s="34" t="str">
        <f aca="false">MID(B249,10,1)</f>
        <v/>
      </c>
      <c r="G249" s="34" t="str">
        <f aca="false">MID(B249,11,1)</f>
        <v/>
      </c>
      <c r="H249" s="35" t="str">
        <f aca="false">IF(G249=".",F249,CONCATENATE(F249,G249))</f>
        <v/>
      </c>
      <c r="I249" s="34" t="n">
        <f aca="false">IFERROR(VALUE(H249),)</f>
        <v>0</v>
      </c>
      <c r="J249" s="34" t="e">
        <f aca="false">RIGHT(B249,LEN(B249)-FIND("/",B249, FIND("Single Cells",B249, 1)))</f>
        <v>#VALUE!</v>
      </c>
    </row>
    <row r="250" customFormat="false" ht="12.75" hidden="false" customHeight="true" outlineLevel="0" collapsed="false">
      <c r="E250" s="34" t="str">
        <f aca="false">MID(B250,9,1)</f>
        <v/>
      </c>
      <c r="F250" s="34" t="str">
        <f aca="false">MID(B250,10,1)</f>
        <v/>
      </c>
      <c r="G250" s="34" t="str">
        <f aca="false">MID(B250,11,1)</f>
        <v/>
      </c>
      <c r="H250" s="35" t="str">
        <f aca="false">IF(G250=".",F250,CONCATENATE(F250,G250))</f>
        <v/>
      </c>
      <c r="I250" s="34" t="n">
        <f aca="false">IFERROR(VALUE(H250),)</f>
        <v>0</v>
      </c>
      <c r="J250" s="34" t="e">
        <f aca="false">RIGHT(B250,LEN(B250)-FIND("/",B250, FIND("Single Cells",B250, 1)))</f>
        <v>#VALUE!</v>
      </c>
    </row>
    <row r="251" customFormat="false" ht="12.75" hidden="false" customHeight="true" outlineLevel="0" collapsed="false">
      <c r="E251" s="34" t="str">
        <f aca="false">MID(B251,9,1)</f>
        <v/>
      </c>
      <c r="F251" s="34" t="str">
        <f aca="false">MID(B251,10,1)</f>
        <v/>
      </c>
      <c r="G251" s="34" t="str">
        <f aca="false">MID(B251,11,1)</f>
        <v/>
      </c>
      <c r="H251" s="35" t="str">
        <f aca="false">IF(G251=".",F251,CONCATENATE(F251,G251))</f>
        <v/>
      </c>
      <c r="I251" s="34" t="n">
        <f aca="false">IFERROR(VALUE(H251),)</f>
        <v>0</v>
      </c>
      <c r="J251" s="34" t="e">
        <f aca="false">RIGHT(B251,LEN(B251)-FIND("/",B251, FIND("Single Cells",B251, 1)))</f>
        <v>#VALUE!</v>
      </c>
    </row>
    <row r="252" customFormat="false" ht="12.75" hidden="false" customHeight="true" outlineLevel="0" collapsed="false">
      <c r="E252" s="34" t="str">
        <f aca="false">MID(B252,9,1)</f>
        <v/>
      </c>
      <c r="F252" s="34" t="str">
        <f aca="false">MID(B252,10,1)</f>
        <v/>
      </c>
      <c r="G252" s="34" t="str">
        <f aca="false">MID(B252,11,1)</f>
        <v/>
      </c>
      <c r="H252" s="35" t="str">
        <f aca="false">IF(G252=".",F252,CONCATENATE(F252,G252))</f>
        <v/>
      </c>
      <c r="I252" s="34" t="n">
        <f aca="false">IFERROR(VALUE(H252),)</f>
        <v>0</v>
      </c>
      <c r="J252" s="34" t="e">
        <f aca="false">RIGHT(B252,LEN(B252)-FIND("/",B252, FIND("Single Cells",B252, 1)))</f>
        <v>#VALUE!</v>
      </c>
    </row>
    <row r="253" customFormat="false" ht="12.75" hidden="false" customHeight="true" outlineLevel="0" collapsed="false">
      <c r="E253" s="34" t="str">
        <f aca="false">MID(B253,9,1)</f>
        <v/>
      </c>
      <c r="F253" s="34" t="str">
        <f aca="false">MID(B253,10,1)</f>
        <v/>
      </c>
      <c r="G253" s="34" t="str">
        <f aca="false">MID(B253,11,1)</f>
        <v/>
      </c>
      <c r="H253" s="35" t="str">
        <f aca="false">IF(G253=".",F253,CONCATENATE(F253,G253))</f>
        <v/>
      </c>
      <c r="I253" s="34" t="n">
        <f aca="false">IFERROR(VALUE(H253),)</f>
        <v>0</v>
      </c>
      <c r="J253" s="34" t="e">
        <f aca="false">RIGHT(B253,LEN(B253)-FIND("/",B253, FIND("Single Cells",B253, 1)))</f>
        <v>#VALUE!</v>
      </c>
    </row>
    <row r="254" customFormat="false" ht="12.75" hidden="false" customHeight="true" outlineLevel="0" collapsed="false">
      <c r="E254" s="34" t="str">
        <f aca="false">MID(B254,9,1)</f>
        <v/>
      </c>
      <c r="F254" s="34" t="str">
        <f aca="false">MID(B254,10,1)</f>
        <v/>
      </c>
      <c r="G254" s="34" t="str">
        <f aca="false">MID(B254,11,1)</f>
        <v/>
      </c>
      <c r="H254" s="35" t="str">
        <f aca="false">IF(G254=".",F254,CONCATENATE(F254,G254))</f>
        <v/>
      </c>
      <c r="I254" s="34" t="n">
        <f aca="false">IFERROR(VALUE(H254),)</f>
        <v>0</v>
      </c>
      <c r="J254" s="34" t="e">
        <f aca="false">RIGHT(B254,LEN(B254)-FIND("/",B254, FIND("Single Cells",B254, 1)))</f>
        <v>#VALUE!</v>
      </c>
    </row>
    <row r="255" customFormat="false" ht="12.75" hidden="false" customHeight="true" outlineLevel="0" collapsed="false">
      <c r="E255" s="34" t="str">
        <f aca="false">MID(B255,9,1)</f>
        <v/>
      </c>
      <c r="F255" s="34" t="str">
        <f aca="false">MID(B255,10,1)</f>
        <v/>
      </c>
      <c r="G255" s="34" t="str">
        <f aca="false">MID(B255,11,1)</f>
        <v/>
      </c>
      <c r="H255" s="35" t="str">
        <f aca="false">IF(G255=".",F255,CONCATENATE(F255,G255))</f>
        <v/>
      </c>
      <c r="I255" s="34" t="n">
        <f aca="false">IFERROR(VALUE(H255),)</f>
        <v>0</v>
      </c>
      <c r="J255" s="34" t="e">
        <f aca="false">RIGHT(B255,LEN(B255)-FIND("/",B255, FIND("Single Cells",B255, 1)))</f>
        <v>#VALUE!</v>
      </c>
    </row>
    <row r="256" customFormat="false" ht="12.75" hidden="false" customHeight="true" outlineLevel="0" collapsed="false">
      <c r="E256" s="34" t="str">
        <f aca="false">MID(B256,9,1)</f>
        <v/>
      </c>
      <c r="F256" s="34" t="str">
        <f aca="false">MID(B256,10,1)</f>
        <v/>
      </c>
      <c r="G256" s="34" t="str">
        <f aca="false">MID(B256,11,1)</f>
        <v/>
      </c>
      <c r="H256" s="35" t="str">
        <f aca="false">IF(G256=".",F256,CONCATENATE(F256,G256))</f>
        <v/>
      </c>
      <c r="I256" s="34" t="n">
        <f aca="false">IFERROR(VALUE(H256),)</f>
        <v>0</v>
      </c>
      <c r="J256" s="34" t="e">
        <f aca="false">RIGHT(B256,LEN(B256)-FIND("/",B256, FIND("Single Cells",B256, 1)))</f>
        <v>#VALUE!</v>
      </c>
    </row>
    <row r="257" customFormat="false" ht="12.75" hidden="false" customHeight="true" outlineLevel="0" collapsed="false">
      <c r="E257" s="34" t="str">
        <f aca="false">MID(B257,9,1)</f>
        <v/>
      </c>
      <c r="F257" s="34" t="str">
        <f aca="false">MID(B257,10,1)</f>
        <v/>
      </c>
      <c r="G257" s="34" t="str">
        <f aca="false">MID(B257,11,1)</f>
        <v/>
      </c>
      <c r="H257" s="35" t="str">
        <f aca="false">IF(G257=".",F257,CONCATENATE(F257,G257))</f>
        <v/>
      </c>
      <c r="I257" s="34" t="n">
        <f aca="false">IFERROR(VALUE(H257),)</f>
        <v>0</v>
      </c>
      <c r="J257" s="34" t="e">
        <f aca="false">RIGHT(B257,LEN(B257)-FIND("/",B257, FIND("Single Cells",B257, 1)))</f>
        <v>#VALUE!</v>
      </c>
    </row>
    <row r="258" customFormat="false" ht="12.75" hidden="false" customHeight="true" outlineLevel="0" collapsed="false">
      <c r="E258" s="34" t="str">
        <f aca="false">MID(B258,9,1)</f>
        <v/>
      </c>
      <c r="F258" s="34" t="str">
        <f aca="false">MID(B258,10,1)</f>
        <v/>
      </c>
      <c r="G258" s="34" t="str">
        <f aca="false">MID(B258,11,1)</f>
        <v/>
      </c>
      <c r="H258" s="35" t="str">
        <f aca="false">IF(G258=".",F258,CONCATENATE(F258,G258))</f>
        <v/>
      </c>
      <c r="I258" s="34" t="n">
        <f aca="false">IFERROR(VALUE(H258),)</f>
        <v>0</v>
      </c>
      <c r="J258" s="34" t="e">
        <f aca="false">RIGHT(B258,LEN(B258)-FIND("/",B258, FIND("Single Cells",B258, 1)))</f>
        <v>#VALUE!</v>
      </c>
    </row>
    <row r="259" customFormat="false" ht="12.75" hidden="false" customHeight="true" outlineLevel="0" collapsed="false">
      <c r="E259" s="34" t="str">
        <f aca="false">MID(B259,9,1)</f>
        <v/>
      </c>
      <c r="F259" s="34" t="str">
        <f aca="false">MID(B259,10,1)</f>
        <v/>
      </c>
      <c r="G259" s="34" t="str">
        <f aca="false">MID(B259,11,1)</f>
        <v/>
      </c>
      <c r="H259" s="35" t="str">
        <f aca="false">IF(G259=".",F259,CONCATENATE(F259,G259))</f>
        <v/>
      </c>
      <c r="I259" s="34" t="n">
        <f aca="false">IFERROR(VALUE(H259),)</f>
        <v>0</v>
      </c>
      <c r="J259" s="34" t="e">
        <f aca="false">RIGHT(B259,LEN(B259)-FIND("/",B259, FIND("Single Cells",B259, 1)))</f>
        <v>#VALUE!</v>
      </c>
    </row>
    <row r="260" customFormat="false" ht="12.75" hidden="false" customHeight="true" outlineLevel="0" collapsed="false">
      <c r="E260" s="34" t="str">
        <f aca="false">MID(B260,9,1)</f>
        <v/>
      </c>
      <c r="F260" s="34" t="str">
        <f aca="false">MID(B260,10,1)</f>
        <v/>
      </c>
      <c r="G260" s="34" t="str">
        <f aca="false">MID(B260,11,1)</f>
        <v/>
      </c>
      <c r="H260" s="35" t="str">
        <f aca="false">IF(G260=".",F260,CONCATENATE(F260,G260))</f>
        <v/>
      </c>
      <c r="I260" s="34" t="n">
        <f aca="false">IFERROR(VALUE(H260),)</f>
        <v>0</v>
      </c>
      <c r="J260" s="34" t="e">
        <f aca="false">RIGHT(B260,LEN(B260)-FIND("/",B260, FIND("Single Cells",B260, 1)))</f>
        <v>#VALUE!</v>
      </c>
    </row>
    <row r="261" customFormat="false" ht="12.75" hidden="false" customHeight="true" outlineLevel="0" collapsed="false">
      <c r="E261" s="34" t="str">
        <f aca="false">MID(B261,9,1)</f>
        <v/>
      </c>
      <c r="F261" s="34" t="str">
        <f aca="false">MID(B261,10,1)</f>
        <v/>
      </c>
      <c r="G261" s="34" t="str">
        <f aca="false">MID(B261,11,1)</f>
        <v/>
      </c>
      <c r="H261" s="35" t="str">
        <f aca="false">IF(G261=".",F261,CONCATENATE(F261,G261))</f>
        <v/>
      </c>
      <c r="I261" s="34" t="n">
        <f aca="false">IFERROR(VALUE(H261),)</f>
        <v>0</v>
      </c>
      <c r="J261" s="34" t="e">
        <f aca="false">RIGHT(B261,LEN(B261)-FIND("/",B261, FIND("Single Cells",B261, 1)))</f>
        <v>#VALUE!</v>
      </c>
    </row>
    <row r="262" customFormat="false" ht="12.75" hidden="false" customHeight="true" outlineLevel="0" collapsed="false">
      <c r="E262" s="34" t="str">
        <f aca="false">MID(B262,9,1)</f>
        <v/>
      </c>
      <c r="F262" s="34" t="str">
        <f aca="false">MID(B262,10,1)</f>
        <v/>
      </c>
      <c r="G262" s="34" t="str">
        <f aca="false">MID(B262,11,1)</f>
        <v/>
      </c>
      <c r="H262" s="35" t="str">
        <f aca="false">IF(G262=".",F262,CONCATENATE(F262,G262))</f>
        <v/>
      </c>
      <c r="I262" s="34" t="n">
        <f aca="false">IFERROR(VALUE(H262),)</f>
        <v>0</v>
      </c>
      <c r="J262" s="34" t="e">
        <f aca="false">RIGHT(B262,LEN(B262)-FIND("/",B262, FIND("Single Cells",B262, 1)))</f>
        <v>#VALUE!</v>
      </c>
    </row>
    <row r="263" customFormat="false" ht="12.75" hidden="false" customHeight="true" outlineLevel="0" collapsed="false">
      <c r="E263" s="34" t="str">
        <f aca="false">MID(B263,9,1)</f>
        <v/>
      </c>
      <c r="F263" s="34" t="str">
        <f aca="false">MID(B263,10,1)</f>
        <v/>
      </c>
      <c r="G263" s="34" t="str">
        <f aca="false">MID(B263,11,1)</f>
        <v/>
      </c>
      <c r="H263" s="35" t="str">
        <f aca="false">IF(G263=".",F263,CONCATENATE(F263,G263))</f>
        <v/>
      </c>
      <c r="I263" s="34" t="n">
        <f aca="false">IFERROR(VALUE(H263),)</f>
        <v>0</v>
      </c>
      <c r="J263" s="34" t="e">
        <f aca="false">RIGHT(B263,LEN(B263)-FIND("/",B263, FIND("Single Cells",B263, 1)))</f>
        <v>#VALUE!</v>
      </c>
    </row>
    <row r="264" customFormat="false" ht="12.75" hidden="false" customHeight="true" outlineLevel="0" collapsed="false">
      <c r="E264" s="34" t="str">
        <f aca="false">MID(B264,9,1)</f>
        <v/>
      </c>
      <c r="F264" s="34" t="str">
        <f aca="false">MID(B264,10,1)</f>
        <v/>
      </c>
      <c r="G264" s="34" t="str">
        <f aca="false">MID(B264,11,1)</f>
        <v/>
      </c>
      <c r="H264" s="35" t="str">
        <f aca="false">IF(G264=".",F264,CONCATENATE(F264,G264))</f>
        <v/>
      </c>
      <c r="I264" s="34" t="n">
        <f aca="false">IFERROR(VALUE(H264),)</f>
        <v>0</v>
      </c>
      <c r="J264" s="34" t="e">
        <f aca="false">RIGHT(B264,LEN(B264)-FIND("/",B264, FIND("Single Cells",B264, 1)))</f>
        <v>#VALUE!</v>
      </c>
    </row>
    <row r="265" customFormat="false" ht="12.75" hidden="false" customHeight="true" outlineLevel="0" collapsed="false">
      <c r="E265" s="34" t="str">
        <f aca="false">MID(B265,9,1)</f>
        <v/>
      </c>
      <c r="F265" s="34" t="str">
        <f aca="false">MID(B265,10,1)</f>
        <v/>
      </c>
      <c r="G265" s="34" t="str">
        <f aca="false">MID(B265,11,1)</f>
        <v/>
      </c>
      <c r="H265" s="35" t="str">
        <f aca="false">IF(G265=".",F265,CONCATENATE(F265,G265))</f>
        <v/>
      </c>
      <c r="I265" s="34" t="n">
        <f aca="false">IFERROR(VALUE(H265),)</f>
        <v>0</v>
      </c>
      <c r="J265" s="34" t="e">
        <f aca="false">RIGHT(B265,LEN(B265)-FIND("/",B265, FIND("Single Cells",B265, 1)))</f>
        <v>#VALUE!</v>
      </c>
    </row>
    <row r="266" customFormat="false" ht="12.75" hidden="false" customHeight="true" outlineLevel="0" collapsed="false">
      <c r="E266" s="34" t="str">
        <f aca="false">MID(B266,9,1)</f>
        <v/>
      </c>
      <c r="F266" s="34" t="str">
        <f aca="false">MID(B266,10,1)</f>
        <v/>
      </c>
      <c r="G266" s="34" t="str">
        <f aca="false">MID(B266,11,1)</f>
        <v/>
      </c>
      <c r="H266" s="35" t="str">
        <f aca="false">IF(G266=".",F266,CONCATENATE(F266,G266))</f>
        <v/>
      </c>
      <c r="I266" s="34" t="n">
        <f aca="false">IFERROR(VALUE(H266),)</f>
        <v>0</v>
      </c>
      <c r="J266" s="34" t="e">
        <f aca="false">RIGHT(B266,LEN(B266)-FIND("/",B266, FIND("Single Cells",B266, 1)))</f>
        <v>#VALUE!</v>
      </c>
    </row>
    <row r="267" customFormat="false" ht="12.75" hidden="false" customHeight="true" outlineLevel="0" collapsed="false">
      <c r="E267" s="34" t="str">
        <f aca="false">MID(B267,9,1)</f>
        <v/>
      </c>
      <c r="F267" s="34" t="str">
        <f aca="false">MID(B267,10,1)</f>
        <v/>
      </c>
      <c r="G267" s="34" t="str">
        <f aca="false">MID(B267,11,1)</f>
        <v/>
      </c>
      <c r="H267" s="35" t="str">
        <f aca="false">IF(G267=".",F267,CONCATENATE(F267,G267))</f>
        <v/>
      </c>
      <c r="I267" s="34" t="n">
        <f aca="false">IFERROR(VALUE(H267),)</f>
        <v>0</v>
      </c>
      <c r="J267" s="34" t="e">
        <f aca="false">RIGHT(B267,LEN(B267)-FIND("/",B267, FIND("Single Cells",B267, 1)))</f>
        <v>#VALUE!</v>
      </c>
    </row>
    <row r="268" customFormat="false" ht="12.75" hidden="false" customHeight="true" outlineLevel="0" collapsed="false">
      <c r="E268" s="34" t="str">
        <f aca="false">MID(B268,9,1)</f>
        <v/>
      </c>
      <c r="F268" s="34" t="str">
        <f aca="false">MID(B268,10,1)</f>
        <v/>
      </c>
      <c r="G268" s="34" t="str">
        <f aca="false">MID(B268,11,1)</f>
        <v/>
      </c>
      <c r="H268" s="35" t="str">
        <f aca="false">IF(G268=".",F268,CONCATENATE(F268,G268))</f>
        <v/>
      </c>
      <c r="I268" s="34" t="n">
        <f aca="false">IFERROR(VALUE(H268),)</f>
        <v>0</v>
      </c>
      <c r="J268" s="34" t="e">
        <f aca="false">RIGHT(B268,LEN(B268)-FIND("/",B268, FIND("Single Cells",B268, 1)))</f>
        <v>#VALUE!</v>
      </c>
    </row>
    <row r="269" customFormat="false" ht="12.75" hidden="false" customHeight="true" outlineLevel="0" collapsed="false">
      <c r="E269" s="34" t="str">
        <f aca="false">MID(B269,9,1)</f>
        <v/>
      </c>
      <c r="F269" s="34" t="str">
        <f aca="false">MID(B269,10,1)</f>
        <v/>
      </c>
      <c r="G269" s="34" t="str">
        <f aca="false">MID(B269,11,1)</f>
        <v/>
      </c>
      <c r="H269" s="35" t="str">
        <f aca="false">IF(G269=".",F269,CONCATENATE(F269,G269))</f>
        <v/>
      </c>
      <c r="I269" s="34" t="n">
        <f aca="false">IFERROR(VALUE(H269),)</f>
        <v>0</v>
      </c>
      <c r="J269" s="34" t="e">
        <f aca="false">RIGHT(B269,LEN(B269)-FIND("/",B269, FIND("Single Cells",B269, 1)))</f>
        <v>#VALUE!</v>
      </c>
    </row>
    <row r="270" customFormat="false" ht="12.75" hidden="false" customHeight="true" outlineLevel="0" collapsed="false">
      <c r="E270" s="34" t="str">
        <f aca="false">MID(B270,9,1)</f>
        <v/>
      </c>
      <c r="F270" s="34" t="str">
        <f aca="false">MID(B270,10,1)</f>
        <v/>
      </c>
      <c r="G270" s="34" t="str">
        <f aca="false">MID(B270,11,1)</f>
        <v/>
      </c>
      <c r="H270" s="35" t="str">
        <f aca="false">IF(G270=".",F270,CONCATENATE(F270,G270))</f>
        <v/>
      </c>
      <c r="I270" s="34" t="n">
        <f aca="false">IFERROR(VALUE(H270),)</f>
        <v>0</v>
      </c>
      <c r="J270" s="34" t="e">
        <f aca="false">RIGHT(B270,LEN(B270)-FIND("/",B270, FIND("Single Cells",B270, 1)))</f>
        <v>#VALUE!</v>
      </c>
    </row>
    <row r="271" customFormat="false" ht="12.75" hidden="false" customHeight="true" outlineLevel="0" collapsed="false">
      <c r="E271" s="34" t="str">
        <f aca="false">MID(B271,9,1)</f>
        <v/>
      </c>
      <c r="F271" s="34" t="str">
        <f aca="false">MID(B271,10,1)</f>
        <v/>
      </c>
      <c r="G271" s="34" t="str">
        <f aca="false">MID(B271,11,1)</f>
        <v/>
      </c>
      <c r="H271" s="35" t="str">
        <f aca="false">IF(G271=".",F271,CONCATENATE(F271,G271))</f>
        <v/>
      </c>
      <c r="I271" s="34" t="n">
        <f aca="false">IFERROR(VALUE(H271),)</f>
        <v>0</v>
      </c>
      <c r="J271" s="34" t="e">
        <f aca="false">RIGHT(B271,LEN(B271)-FIND("/",B271, FIND("Single Cells",B271, 1)))</f>
        <v>#VALUE!</v>
      </c>
    </row>
    <row r="272" customFormat="false" ht="12.75" hidden="false" customHeight="true" outlineLevel="0" collapsed="false">
      <c r="E272" s="34" t="str">
        <f aca="false">MID(B272,9,1)</f>
        <v/>
      </c>
      <c r="F272" s="34" t="str">
        <f aca="false">MID(B272,10,1)</f>
        <v/>
      </c>
      <c r="G272" s="34" t="str">
        <f aca="false">MID(B272,11,1)</f>
        <v/>
      </c>
      <c r="H272" s="35" t="str">
        <f aca="false">IF(G272=".",F272,CONCATENATE(F272,G272))</f>
        <v/>
      </c>
      <c r="I272" s="34" t="n">
        <f aca="false">IFERROR(VALUE(H272),)</f>
        <v>0</v>
      </c>
      <c r="J272" s="34" t="e">
        <f aca="false">RIGHT(B272,LEN(B272)-FIND("/",B272, FIND("Single Cells",B272, 1)))</f>
        <v>#VALUE!</v>
      </c>
    </row>
    <row r="273" customFormat="false" ht="12.75" hidden="false" customHeight="true" outlineLevel="0" collapsed="false">
      <c r="E273" s="34" t="str">
        <f aca="false">MID(B273,9,1)</f>
        <v/>
      </c>
      <c r="F273" s="34" t="str">
        <f aca="false">MID(B273,10,1)</f>
        <v/>
      </c>
      <c r="G273" s="34" t="str">
        <f aca="false">MID(B273,11,1)</f>
        <v/>
      </c>
      <c r="H273" s="35" t="str">
        <f aca="false">IF(G273=".",F273,CONCATENATE(F273,G273))</f>
        <v/>
      </c>
      <c r="I273" s="34" t="n">
        <f aca="false">IFERROR(VALUE(H273),)</f>
        <v>0</v>
      </c>
      <c r="J273" s="34" t="e">
        <f aca="false">RIGHT(B273,LEN(B273)-FIND("/",B273, FIND("Single Cells",B273, 1)))</f>
        <v>#VALUE!</v>
      </c>
    </row>
    <row r="274" customFormat="false" ht="12.75" hidden="false" customHeight="true" outlineLevel="0" collapsed="false">
      <c r="E274" s="34" t="str">
        <f aca="false">MID(B274,9,1)</f>
        <v/>
      </c>
      <c r="F274" s="34" t="str">
        <f aca="false">MID(B274,10,1)</f>
        <v/>
      </c>
      <c r="G274" s="34" t="str">
        <f aca="false">MID(B274,11,1)</f>
        <v/>
      </c>
      <c r="H274" s="35" t="str">
        <f aca="false">IF(G274=".",F274,CONCATENATE(F274,G274))</f>
        <v/>
      </c>
      <c r="I274" s="34" t="n">
        <f aca="false">IFERROR(VALUE(H274),)</f>
        <v>0</v>
      </c>
      <c r="J274" s="34" t="e">
        <f aca="false">RIGHT(B274,LEN(B274)-FIND("/",B274, FIND("Single Cells",B274, 1)))</f>
        <v>#VALUE!</v>
      </c>
    </row>
    <row r="275" customFormat="false" ht="12.75" hidden="false" customHeight="true" outlineLevel="0" collapsed="false">
      <c r="E275" s="34" t="str">
        <f aca="false">MID(B275,9,1)</f>
        <v/>
      </c>
      <c r="F275" s="34" t="str">
        <f aca="false">MID(B275,10,1)</f>
        <v/>
      </c>
      <c r="G275" s="34" t="str">
        <f aca="false">MID(B275,11,1)</f>
        <v/>
      </c>
      <c r="H275" s="35" t="str">
        <f aca="false">IF(G275=".",F275,CONCATENATE(F275,G275))</f>
        <v/>
      </c>
      <c r="I275" s="34" t="n">
        <f aca="false">IFERROR(VALUE(H275),)</f>
        <v>0</v>
      </c>
      <c r="J275" s="34" t="e">
        <f aca="false">RIGHT(B275,LEN(B275)-FIND("/",B275, FIND("Single Cells",B275, 1)))</f>
        <v>#VALUE!</v>
      </c>
    </row>
    <row r="276" customFormat="false" ht="12.75" hidden="false" customHeight="true" outlineLevel="0" collapsed="false">
      <c r="E276" s="34" t="str">
        <f aca="false">MID(B276,9,1)</f>
        <v/>
      </c>
      <c r="F276" s="34" t="str">
        <f aca="false">MID(B276,10,1)</f>
        <v/>
      </c>
      <c r="G276" s="34" t="str">
        <f aca="false">MID(B276,11,1)</f>
        <v/>
      </c>
      <c r="H276" s="35" t="str">
        <f aca="false">IF(G276=".",F276,CONCATENATE(F276,G276))</f>
        <v/>
      </c>
      <c r="I276" s="34" t="n">
        <f aca="false">IFERROR(VALUE(H276),)</f>
        <v>0</v>
      </c>
      <c r="J276" s="34" t="e">
        <f aca="false">RIGHT(B276,LEN(B276)-FIND("/",B276, FIND("Single Cells",B276, 1)))</f>
        <v>#VALUE!</v>
      </c>
    </row>
    <row r="277" customFormat="false" ht="12.75" hidden="false" customHeight="true" outlineLevel="0" collapsed="false">
      <c r="E277" s="34" t="str">
        <f aca="false">MID(B277,9,1)</f>
        <v/>
      </c>
      <c r="F277" s="34" t="str">
        <f aca="false">MID(B277,10,1)</f>
        <v/>
      </c>
      <c r="G277" s="34" t="str">
        <f aca="false">MID(B277,11,1)</f>
        <v/>
      </c>
      <c r="H277" s="35" t="str">
        <f aca="false">IF(G277=".",F277,CONCATENATE(F277,G277))</f>
        <v/>
      </c>
      <c r="I277" s="34" t="n">
        <f aca="false">IFERROR(VALUE(H277),)</f>
        <v>0</v>
      </c>
      <c r="J277" s="34" t="e">
        <f aca="false">RIGHT(B277,LEN(B277)-FIND("/",B277, FIND("Single Cells",B277, 1)))</f>
        <v>#VALUE!</v>
      </c>
    </row>
    <row r="278" customFormat="false" ht="12.75" hidden="false" customHeight="true" outlineLevel="0" collapsed="false">
      <c r="E278" s="34" t="str">
        <f aca="false">MID(B278,9,1)</f>
        <v/>
      </c>
      <c r="F278" s="34" t="str">
        <f aca="false">MID(B278,10,1)</f>
        <v/>
      </c>
      <c r="G278" s="34" t="str">
        <f aca="false">MID(B278,11,1)</f>
        <v/>
      </c>
      <c r="H278" s="35" t="str">
        <f aca="false">IF(G278=".",F278,CONCATENATE(F278,G278))</f>
        <v/>
      </c>
      <c r="I278" s="34" t="n">
        <f aca="false">IFERROR(VALUE(H278),)</f>
        <v>0</v>
      </c>
      <c r="J278" s="34" t="e">
        <f aca="false">RIGHT(B278,LEN(B278)-FIND("/",B278, FIND("Single Cells",B278, 1)))</f>
        <v>#VALUE!</v>
      </c>
    </row>
    <row r="279" customFormat="false" ht="12.75" hidden="false" customHeight="true" outlineLevel="0" collapsed="false">
      <c r="E279" s="34" t="str">
        <f aca="false">MID(B279,9,1)</f>
        <v/>
      </c>
      <c r="F279" s="34" t="str">
        <f aca="false">MID(B279,10,1)</f>
        <v/>
      </c>
      <c r="G279" s="34" t="str">
        <f aca="false">MID(B279,11,1)</f>
        <v/>
      </c>
      <c r="H279" s="35" t="str">
        <f aca="false">IF(G279=".",F279,CONCATENATE(F279,G279))</f>
        <v/>
      </c>
      <c r="I279" s="34" t="n">
        <f aca="false">IFERROR(VALUE(H279),)</f>
        <v>0</v>
      </c>
      <c r="J279" s="34" t="e">
        <f aca="false">RIGHT(B279,LEN(B279)-FIND("/",B279, FIND("Single Cells",B279, 1)))</f>
        <v>#VALUE!</v>
      </c>
    </row>
    <row r="280" customFormat="false" ht="12.75" hidden="false" customHeight="true" outlineLevel="0" collapsed="false">
      <c r="E280" s="34" t="str">
        <f aca="false">MID(B280,9,1)</f>
        <v/>
      </c>
      <c r="F280" s="34" t="str">
        <f aca="false">MID(B280,10,1)</f>
        <v/>
      </c>
      <c r="G280" s="34" t="str">
        <f aca="false">MID(B280,11,1)</f>
        <v/>
      </c>
      <c r="H280" s="35" t="str">
        <f aca="false">IF(G280=".",F280,CONCATENATE(F280,G280))</f>
        <v/>
      </c>
      <c r="I280" s="34" t="n">
        <f aca="false">IFERROR(VALUE(H280),)</f>
        <v>0</v>
      </c>
      <c r="J280" s="34" t="e">
        <f aca="false">RIGHT(B280,LEN(B280)-FIND("/",B280, FIND("Single Cells",B280, 1)))</f>
        <v>#VALUE!</v>
      </c>
    </row>
    <row r="281" customFormat="false" ht="12.75" hidden="false" customHeight="true" outlineLevel="0" collapsed="false">
      <c r="E281" s="34" t="str">
        <f aca="false">MID(B281,9,1)</f>
        <v/>
      </c>
      <c r="F281" s="34" t="str">
        <f aca="false">MID(B281,10,1)</f>
        <v/>
      </c>
      <c r="G281" s="34" t="str">
        <f aca="false">MID(B281,11,1)</f>
        <v/>
      </c>
      <c r="H281" s="35" t="str">
        <f aca="false">IF(G281=".",F281,CONCATENATE(F281,G281))</f>
        <v/>
      </c>
      <c r="I281" s="34" t="n">
        <f aca="false">IFERROR(VALUE(H281),)</f>
        <v>0</v>
      </c>
      <c r="J281" s="34" t="e">
        <f aca="false">RIGHT(B281,LEN(B281)-FIND("/",B281, FIND("Single Cells",B281, 1)))</f>
        <v>#VALUE!</v>
      </c>
    </row>
    <row r="282" customFormat="false" ht="12.75" hidden="false" customHeight="true" outlineLevel="0" collapsed="false">
      <c r="E282" s="34" t="str">
        <f aca="false">MID(B282,9,1)</f>
        <v/>
      </c>
      <c r="F282" s="34" t="str">
        <f aca="false">MID(B282,10,1)</f>
        <v/>
      </c>
      <c r="G282" s="34" t="str">
        <f aca="false">MID(B282,11,1)</f>
        <v/>
      </c>
      <c r="H282" s="35" t="str">
        <f aca="false">IF(G282=".",F282,CONCATENATE(F282,G282))</f>
        <v/>
      </c>
      <c r="I282" s="34" t="n">
        <f aca="false">IFERROR(VALUE(H282),)</f>
        <v>0</v>
      </c>
      <c r="J282" s="34" t="e">
        <f aca="false">RIGHT(B282,LEN(B282)-FIND("/",B282, FIND("Single Cells",B282, 1)))</f>
        <v>#VALUE!</v>
      </c>
    </row>
    <row r="283" customFormat="false" ht="12.75" hidden="false" customHeight="true" outlineLevel="0" collapsed="false">
      <c r="E283" s="34" t="str">
        <f aca="false">MID(B283,9,1)</f>
        <v/>
      </c>
      <c r="F283" s="34" t="str">
        <f aca="false">MID(B283,10,1)</f>
        <v/>
      </c>
      <c r="G283" s="34" t="str">
        <f aca="false">MID(B283,11,1)</f>
        <v/>
      </c>
      <c r="H283" s="35" t="str">
        <f aca="false">IF(G283=".",F283,CONCATENATE(F283,G283))</f>
        <v/>
      </c>
      <c r="I283" s="34" t="n">
        <f aca="false">IFERROR(VALUE(H283),)</f>
        <v>0</v>
      </c>
      <c r="J283" s="34" t="e">
        <f aca="false">RIGHT(B283,LEN(B283)-FIND("/",B283, FIND("Single Cells",B283, 1)))</f>
        <v>#VALUE!</v>
      </c>
    </row>
    <row r="284" customFormat="false" ht="12.75" hidden="false" customHeight="true" outlineLevel="0" collapsed="false">
      <c r="E284" s="34" t="str">
        <f aca="false">MID(B284,9,1)</f>
        <v/>
      </c>
      <c r="F284" s="34" t="str">
        <f aca="false">MID(B284,10,1)</f>
        <v/>
      </c>
      <c r="G284" s="34" t="str">
        <f aca="false">MID(B284,11,1)</f>
        <v/>
      </c>
      <c r="H284" s="35" t="str">
        <f aca="false">IF(G284=".",F284,CONCATENATE(F284,G284))</f>
        <v/>
      </c>
      <c r="I284" s="34" t="n">
        <f aca="false">IFERROR(VALUE(H284),)</f>
        <v>0</v>
      </c>
      <c r="J284" s="34" t="e">
        <f aca="false">RIGHT(B284,LEN(B284)-FIND("/",B284, FIND("Single Cells",B284, 1)))</f>
        <v>#VALUE!</v>
      </c>
    </row>
    <row r="285" customFormat="false" ht="12.75" hidden="false" customHeight="true" outlineLevel="0" collapsed="false">
      <c r="E285" s="34" t="str">
        <f aca="false">MID(B285,9,1)</f>
        <v/>
      </c>
      <c r="F285" s="34" t="str">
        <f aca="false">MID(B285,10,1)</f>
        <v/>
      </c>
      <c r="G285" s="34" t="str">
        <f aca="false">MID(B285,11,1)</f>
        <v/>
      </c>
      <c r="H285" s="35" t="str">
        <f aca="false">IF(G285=".",F285,CONCATENATE(F285,G285))</f>
        <v/>
      </c>
      <c r="I285" s="34" t="n">
        <f aca="false">IFERROR(VALUE(H285),)</f>
        <v>0</v>
      </c>
      <c r="J285" s="34" t="e">
        <f aca="false">RIGHT(B285,LEN(B285)-FIND("/",B285, FIND("Single Cells",B285, 1)))</f>
        <v>#VALUE!</v>
      </c>
    </row>
    <row r="286" customFormat="false" ht="12.75" hidden="false" customHeight="true" outlineLevel="0" collapsed="false">
      <c r="E286" s="34" t="str">
        <f aca="false">MID(B286,9,1)</f>
        <v/>
      </c>
      <c r="F286" s="34" t="str">
        <f aca="false">MID(B286,10,1)</f>
        <v/>
      </c>
      <c r="G286" s="34" t="str">
        <f aca="false">MID(B286,11,1)</f>
        <v/>
      </c>
      <c r="H286" s="35" t="str">
        <f aca="false">IF(G286=".",F286,CONCATENATE(F286,G286))</f>
        <v/>
      </c>
      <c r="I286" s="34" t="n">
        <f aca="false">IFERROR(VALUE(H286),)</f>
        <v>0</v>
      </c>
      <c r="J286" s="34" t="e">
        <f aca="false">RIGHT(B286,LEN(B286)-FIND("/",B286, FIND("Single Cells",B286, 1)))</f>
        <v>#VALUE!</v>
      </c>
    </row>
    <row r="287" customFormat="false" ht="12.75" hidden="false" customHeight="true" outlineLevel="0" collapsed="false">
      <c r="E287" s="34" t="str">
        <f aca="false">MID(B287,9,1)</f>
        <v/>
      </c>
      <c r="F287" s="34" t="str">
        <f aca="false">MID(B287,10,1)</f>
        <v/>
      </c>
      <c r="G287" s="34" t="str">
        <f aca="false">MID(B287,11,1)</f>
        <v/>
      </c>
      <c r="H287" s="35" t="str">
        <f aca="false">IF(G287=".",F287,CONCATENATE(F287,G287))</f>
        <v/>
      </c>
      <c r="I287" s="34" t="n">
        <f aca="false">IFERROR(VALUE(H287),)</f>
        <v>0</v>
      </c>
      <c r="J287" s="34" t="e">
        <f aca="false">RIGHT(B287,LEN(B287)-FIND("/",B287, FIND("Single Cells",B287, 1)))</f>
        <v>#VALUE!</v>
      </c>
    </row>
    <row r="288" customFormat="false" ht="12.75" hidden="false" customHeight="true" outlineLevel="0" collapsed="false">
      <c r="E288" s="34" t="str">
        <f aca="false">MID(B288,9,1)</f>
        <v/>
      </c>
      <c r="F288" s="34" t="str">
        <f aca="false">MID(B288,10,1)</f>
        <v/>
      </c>
      <c r="G288" s="34" t="str">
        <f aca="false">MID(B288,11,1)</f>
        <v/>
      </c>
      <c r="H288" s="35" t="str">
        <f aca="false">IF(G288=".",F288,CONCATENATE(F288,G288))</f>
        <v/>
      </c>
      <c r="I288" s="34" t="n">
        <f aca="false">IFERROR(VALUE(H288),)</f>
        <v>0</v>
      </c>
      <c r="J288" s="34" t="e">
        <f aca="false">RIGHT(B288,LEN(B288)-FIND("/",B288, FIND("Single Cells",B288, 1)))</f>
        <v>#VALUE!</v>
      </c>
    </row>
    <row r="289" customFormat="false" ht="12.75" hidden="false" customHeight="true" outlineLevel="0" collapsed="false">
      <c r="E289" s="34" t="str">
        <f aca="false">MID(B289,9,1)</f>
        <v/>
      </c>
      <c r="F289" s="34" t="str">
        <f aca="false">MID(B289,10,1)</f>
        <v/>
      </c>
      <c r="G289" s="34" t="str">
        <f aca="false">MID(B289,11,1)</f>
        <v/>
      </c>
      <c r="H289" s="35" t="str">
        <f aca="false">IF(G289=".",F289,CONCATENATE(F289,G289))</f>
        <v/>
      </c>
      <c r="I289" s="34" t="n">
        <f aca="false">IFERROR(VALUE(H289),)</f>
        <v>0</v>
      </c>
      <c r="J289" s="34" t="e">
        <f aca="false">RIGHT(B289,LEN(B289)-FIND("/",B289, FIND("Single Cells",B289, 1)))</f>
        <v>#VALUE!</v>
      </c>
    </row>
    <row r="290" customFormat="false" ht="12.75" hidden="false" customHeight="true" outlineLevel="0" collapsed="false">
      <c r="E290" s="34" t="str">
        <f aca="false">MID(B290,9,1)</f>
        <v/>
      </c>
      <c r="F290" s="34" t="str">
        <f aca="false">MID(B290,10,1)</f>
        <v/>
      </c>
      <c r="G290" s="34" t="str">
        <f aca="false">MID(B290,11,1)</f>
        <v/>
      </c>
      <c r="H290" s="35" t="str">
        <f aca="false">IF(G290=".",F290,CONCATENATE(F290,G290))</f>
        <v/>
      </c>
      <c r="I290" s="34" t="n">
        <f aca="false">IFERROR(VALUE(H290),)</f>
        <v>0</v>
      </c>
      <c r="J290" s="34" t="e">
        <f aca="false">RIGHT(B290,LEN(B290)-FIND("/",B290, FIND("Single Cells",B290, 1)))</f>
        <v>#VALUE!</v>
      </c>
    </row>
    <row r="291" customFormat="false" ht="12.75" hidden="false" customHeight="true" outlineLevel="0" collapsed="false">
      <c r="E291" s="34" t="str">
        <f aca="false">MID(B291,9,1)</f>
        <v/>
      </c>
      <c r="F291" s="34" t="str">
        <f aca="false">MID(B291,10,1)</f>
        <v/>
      </c>
      <c r="G291" s="34" t="str">
        <f aca="false">MID(B291,11,1)</f>
        <v/>
      </c>
      <c r="H291" s="35" t="str">
        <f aca="false">IF(G291=".",F291,CONCATENATE(F291,G291))</f>
        <v/>
      </c>
      <c r="I291" s="34" t="n">
        <f aca="false">IFERROR(VALUE(H291),)</f>
        <v>0</v>
      </c>
      <c r="J291" s="34" t="e">
        <f aca="false">RIGHT(B291,LEN(B291)-FIND("/",B291, FIND("Single Cells",B291, 1)))</f>
        <v>#VALUE!</v>
      </c>
    </row>
    <row r="292" customFormat="false" ht="12.75" hidden="false" customHeight="true" outlineLevel="0" collapsed="false">
      <c r="E292" s="34" t="str">
        <f aca="false">MID(B292,9,1)</f>
        <v/>
      </c>
      <c r="F292" s="34" t="str">
        <f aca="false">MID(B292,10,1)</f>
        <v/>
      </c>
      <c r="G292" s="34" t="str">
        <f aca="false">MID(B292,11,1)</f>
        <v/>
      </c>
      <c r="H292" s="35" t="str">
        <f aca="false">IF(G292=".",F292,CONCATENATE(F292,G292))</f>
        <v/>
      </c>
      <c r="I292" s="34" t="n">
        <f aca="false">IFERROR(VALUE(H292),)</f>
        <v>0</v>
      </c>
      <c r="J292" s="34" t="e">
        <f aca="false">RIGHT(B292,LEN(B292)-FIND("/",B292, FIND("Single Cells",B292, 1)))</f>
        <v>#VALUE!</v>
      </c>
    </row>
    <row r="293" customFormat="false" ht="12.75" hidden="false" customHeight="true" outlineLevel="0" collapsed="false">
      <c r="E293" s="34" t="str">
        <f aca="false">MID(B293,9,1)</f>
        <v/>
      </c>
      <c r="F293" s="34" t="str">
        <f aca="false">MID(B293,10,1)</f>
        <v/>
      </c>
      <c r="G293" s="34" t="str">
        <f aca="false">MID(B293,11,1)</f>
        <v/>
      </c>
      <c r="H293" s="35" t="str">
        <f aca="false">IF(G293=".",F293,CONCATENATE(F293,G293))</f>
        <v/>
      </c>
      <c r="I293" s="34" t="n">
        <f aca="false">IFERROR(VALUE(H293),)</f>
        <v>0</v>
      </c>
      <c r="J293" s="34" t="e">
        <f aca="false">RIGHT(B293,LEN(B293)-FIND("/",B293, FIND("Single Cells",B293, 1)))</f>
        <v>#VALUE!</v>
      </c>
    </row>
    <row r="294" customFormat="false" ht="12.75" hidden="false" customHeight="true" outlineLevel="0" collapsed="false">
      <c r="E294" s="34" t="str">
        <f aca="false">MID(B294,9,1)</f>
        <v/>
      </c>
      <c r="F294" s="34" t="str">
        <f aca="false">MID(B294,10,1)</f>
        <v/>
      </c>
      <c r="G294" s="34" t="str">
        <f aca="false">MID(B294,11,1)</f>
        <v/>
      </c>
      <c r="H294" s="35" t="str">
        <f aca="false">IF(G294=".",F294,CONCATENATE(F294,G294))</f>
        <v/>
      </c>
      <c r="I294" s="34" t="n">
        <f aca="false">IFERROR(VALUE(H294),)</f>
        <v>0</v>
      </c>
      <c r="J294" s="34" t="e">
        <f aca="false">RIGHT(B294,LEN(B294)-FIND("/",B294, FIND("Single Cells",B294, 1)))</f>
        <v>#VALUE!</v>
      </c>
    </row>
    <row r="295" customFormat="false" ht="12.75" hidden="false" customHeight="true" outlineLevel="0" collapsed="false">
      <c r="E295" s="34" t="str">
        <f aca="false">MID(B295,9,1)</f>
        <v/>
      </c>
      <c r="F295" s="34" t="str">
        <f aca="false">MID(B295,10,1)</f>
        <v/>
      </c>
      <c r="G295" s="34" t="str">
        <f aca="false">MID(B295,11,1)</f>
        <v/>
      </c>
      <c r="H295" s="35" t="str">
        <f aca="false">IF(G295=".",F295,CONCATENATE(F295,G295))</f>
        <v/>
      </c>
      <c r="I295" s="34" t="n">
        <f aca="false">IFERROR(VALUE(H295),)</f>
        <v>0</v>
      </c>
      <c r="J295" s="34" t="e">
        <f aca="false">RIGHT(B295,LEN(B295)-FIND("/",B295, FIND("Single Cells",B295, 1)))</f>
        <v>#VALUE!</v>
      </c>
    </row>
    <row r="296" customFormat="false" ht="12.75" hidden="false" customHeight="true" outlineLevel="0" collapsed="false">
      <c r="E296" s="34" t="str">
        <f aca="false">MID(B296,9,1)</f>
        <v/>
      </c>
      <c r="F296" s="34" t="str">
        <f aca="false">MID(B296,10,1)</f>
        <v/>
      </c>
      <c r="G296" s="34" t="str">
        <f aca="false">MID(B296,11,1)</f>
        <v/>
      </c>
      <c r="H296" s="35" t="str">
        <f aca="false">IF(G296=".",F296,CONCATENATE(F296,G296))</f>
        <v/>
      </c>
      <c r="I296" s="34" t="n">
        <f aca="false">IFERROR(VALUE(H296),)</f>
        <v>0</v>
      </c>
      <c r="J296" s="34" t="e">
        <f aca="false">RIGHT(B296,LEN(B296)-FIND("/",B296, FIND("Single Cells",B296, 1)))</f>
        <v>#VALUE!</v>
      </c>
    </row>
    <row r="297" customFormat="false" ht="12.75" hidden="false" customHeight="true" outlineLevel="0" collapsed="false">
      <c r="E297" s="34" t="str">
        <f aca="false">MID(B297,9,1)</f>
        <v/>
      </c>
      <c r="F297" s="34" t="str">
        <f aca="false">MID(B297,10,1)</f>
        <v/>
      </c>
      <c r="G297" s="34" t="str">
        <f aca="false">MID(B297,11,1)</f>
        <v/>
      </c>
      <c r="H297" s="35" t="str">
        <f aca="false">IF(G297=".",F297,CONCATENATE(F297,G297))</f>
        <v/>
      </c>
      <c r="I297" s="34" t="n">
        <f aca="false">IFERROR(VALUE(H297),)</f>
        <v>0</v>
      </c>
      <c r="J297" s="34" t="e">
        <f aca="false">RIGHT(B297,LEN(B297)-FIND("/",B297, FIND("Single Cells",B297, 1)))</f>
        <v>#VALUE!</v>
      </c>
    </row>
    <row r="298" customFormat="false" ht="12.75" hidden="false" customHeight="true" outlineLevel="0" collapsed="false">
      <c r="E298" s="34" t="str">
        <f aca="false">MID(B298,9,1)</f>
        <v/>
      </c>
      <c r="F298" s="34" t="str">
        <f aca="false">MID(B298,10,1)</f>
        <v/>
      </c>
      <c r="G298" s="34" t="str">
        <f aca="false">MID(B298,11,1)</f>
        <v/>
      </c>
      <c r="H298" s="35" t="str">
        <f aca="false">IF(G298=".",F298,CONCATENATE(F298,G298))</f>
        <v/>
      </c>
      <c r="I298" s="34" t="n">
        <f aca="false">IFERROR(VALUE(H298),)</f>
        <v>0</v>
      </c>
      <c r="J298" s="34" t="e">
        <f aca="false">RIGHT(B298,LEN(B298)-FIND("/",B298, FIND("Single Cells",B298, 1)))</f>
        <v>#VALUE!</v>
      </c>
    </row>
    <row r="299" customFormat="false" ht="12.75" hidden="false" customHeight="true" outlineLevel="0" collapsed="false">
      <c r="E299" s="34" t="str">
        <f aca="false">MID(B299,9,1)</f>
        <v/>
      </c>
      <c r="F299" s="34" t="str">
        <f aca="false">MID(B299,10,1)</f>
        <v/>
      </c>
      <c r="G299" s="34" t="str">
        <f aca="false">MID(B299,11,1)</f>
        <v/>
      </c>
      <c r="H299" s="35" t="str">
        <f aca="false">IF(G299=".",F299,CONCATENATE(F299,G299))</f>
        <v/>
      </c>
      <c r="I299" s="34" t="n">
        <f aca="false">IFERROR(VALUE(H299),)</f>
        <v>0</v>
      </c>
      <c r="J299" s="34" t="e">
        <f aca="false">RIGHT(B299,LEN(B299)-FIND("/",B299, FIND("Single Cells",B299, 1)))</f>
        <v>#VALUE!</v>
      </c>
    </row>
    <row r="300" customFormat="false" ht="12.75" hidden="false" customHeight="true" outlineLevel="0" collapsed="false">
      <c r="E300" s="34" t="str">
        <f aca="false">MID(B300,9,1)</f>
        <v/>
      </c>
      <c r="F300" s="34" t="str">
        <f aca="false">MID(B300,10,1)</f>
        <v/>
      </c>
      <c r="G300" s="34" t="str">
        <f aca="false">MID(B300,11,1)</f>
        <v/>
      </c>
      <c r="H300" s="35" t="str">
        <f aca="false">IF(G300=".",F300,CONCATENATE(F300,G300))</f>
        <v/>
      </c>
      <c r="I300" s="34" t="n">
        <f aca="false">IFERROR(VALUE(H300),)</f>
        <v>0</v>
      </c>
      <c r="J300" s="34" t="e">
        <f aca="false">RIGHT(B300,LEN(B300)-FIND("/",B300, FIND("Single Cells",B300, 1)))</f>
        <v>#VALUE!</v>
      </c>
    </row>
    <row r="301" customFormat="false" ht="12.75" hidden="false" customHeight="true" outlineLevel="0" collapsed="false">
      <c r="E301" s="34" t="str">
        <f aca="false">MID(B301,9,1)</f>
        <v/>
      </c>
      <c r="F301" s="34" t="str">
        <f aca="false">MID(B301,10,1)</f>
        <v/>
      </c>
      <c r="G301" s="34" t="str">
        <f aca="false">MID(B301,11,1)</f>
        <v/>
      </c>
      <c r="H301" s="35" t="str">
        <f aca="false">IF(G301=".",F301,CONCATENATE(F301,G301))</f>
        <v/>
      </c>
      <c r="I301" s="34" t="n">
        <f aca="false">IFERROR(VALUE(H301),)</f>
        <v>0</v>
      </c>
      <c r="J301" s="34" t="e">
        <f aca="false">RIGHT(B301,LEN(B301)-FIND("/",B301, FIND("Single Cells",B301, 1)))</f>
        <v>#VALUE!</v>
      </c>
    </row>
    <row r="302" customFormat="false" ht="12.75" hidden="false" customHeight="true" outlineLevel="0" collapsed="false">
      <c r="E302" s="34" t="str">
        <f aca="false">MID(B302,9,1)</f>
        <v/>
      </c>
      <c r="F302" s="34" t="str">
        <f aca="false">MID(B302,10,1)</f>
        <v/>
      </c>
      <c r="G302" s="34" t="str">
        <f aca="false">MID(B302,11,1)</f>
        <v/>
      </c>
      <c r="H302" s="35" t="str">
        <f aca="false">IF(G302=".",F302,CONCATENATE(F302,G302))</f>
        <v/>
      </c>
      <c r="I302" s="34" t="n">
        <f aca="false">IFERROR(VALUE(H302),)</f>
        <v>0</v>
      </c>
      <c r="J302" s="34" t="e">
        <f aca="false">RIGHT(B302,LEN(B302)-FIND("/",B302, FIND("Single Cells",B302, 1)))</f>
        <v>#VALUE!</v>
      </c>
    </row>
    <row r="303" customFormat="false" ht="12.75" hidden="false" customHeight="true" outlineLevel="0" collapsed="false">
      <c r="E303" s="34" t="str">
        <f aca="false">MID(B303,9,1)</f>
        <v/>
      </c>
      <c r="F303" s="34" t="str">
        <f aca="false">MID(B303,10,1)</f>
        <v/>
      </c>
      <c r="G303" s="34" t="str">
        <f aca="false">MID(B303,11,1)</f>
        <v/>
      </c>
      <c r="H303" s="35" t="str">
        <f aca="false">IF(G303=".",F303,CONCATENATE(F303,G303))</f>
        <v/>
      </c>
      <c r="I303" s="34" t="n">
        <f aca="false">IFERROR(VALUE(H303),)</f>
        <v>0</v>
      </c>
      <c r="J303" s="34" t="e">
        <f aca="false">RIGHT(B303,LEN(B303)-FIND("/",B303, FIND("Single Cells",B303, 1)))</f>
        <v>#VALUE!</v>
      </c>
    </row>
    <row r="304" customFormat="false" ht="12.75" hidden="false" customHeight="true" outlineLevel="0" collapsed="false">
      <c r="E304" s="34" t="str">
        <f aca="false">MID(B304,9,1)</f>
        <v/>
      </c>
      <c r="F304" s="34" t="str">
        <f aca="false">MID(B304,10,1)</f>
        <v/>
      </c>
      <c r="G304" s="34" t="str">
        <f aca="false">MID(B304,11,1)</f>
        <v/>
      </c>
      <c r="H304" s="35" t="str">
        <f aca="false">IF(G304=".",F304,CONCATENATE(F304,G304))</f>
        <v/>
      </c>
      <c r="I304" s="34" t="n">
        <f aca="false">IFERROR(VALUE(H304),)</f>
        <v>0</v>
      </c>
      <c r="J304" s="34" t="e">
        <f aca="false">RIGHT(B304,LEN(B304)-FIND("/",B304, FIND("Single Cells",B304, 1)))</f>
        <v>#VALUE!</v>
      </c>
    </row>
    <row r="305" customFormat="false" ht="12.75" hidden="false" customHeight="true" outlineLevel="0" collapsed="false">
      <c r="E305" s="34" t="str">
        <f aca="false">MID(B305,9,1)</f>
        <v/>
      </c>
      <c r="F305" s="34" t="str">
        <f aca="false">MID(B305,10,1)</f>
        <v/>
      </c>
      <c r="G305" s="34" t="str">
        <f aca="false">MID(B305,11,1)</f>
        <v/>
      </c>
      <c r="H305" s="35" t="str">
        <f aca="false">IF(G305=".",F305,CONCATENATE(F305,G305))</f>
        <v/>
      </c>
      <c r="I305" s="34" t="n">
        <f aca="false">IFERROR(VALUE(H305),)</f>
        <v>0</v>
      </c>
      <c r="J305" s="34" t="e">
        <f aca="false">RIGHT(B305,LEN(B305)-FIND("/",B305, FIND("Single Cells",B305, 1)))</f>
        <v>#VALUE!</v>
      </c>
    </row>
    <row r="306" customFormat="false" ht="12.75" hidden="false" customHeight="true" outlineLevel="0" collapsed="false">
      <c r="E306" s="34" t="str">
        <f aca="false">MID(B306,9,1)</f>
        <v/>
      </c>
      <c r="F306" s="34" t="str">
        <f aca="false">MID(B306,10,1)</f>
        <v/>
      </c>
      <c r="G306" s="34" t="str">
        <f aca="false">MID(B306,11,1)</f>
        <v/>
      </c>
      <c r="H306" s="35" t="str">
        <f aca="false">IF(G306=".",F306,CONCATENATE(F306,G306))</f>
        <v/>
      </c>
      <c r="I306" s="34" t="n">
        <f aca="false">IFERROR(VALUE(H306),)</f>
        <v>0</v>
      </c>
      <c r="J306" s="34" t="e">
        <f aca="false">RIGHT(B306,LEN(B306)-FIND("/",B306, FIND("Single Cells",B306, 1)))</f>
        <v>#VALUE!</v>
      </c>
    </row>
    <row r="307" customFormat="false" ht="12.75" hidden="false" customHeight="true" outlineLevel="0" collapsed="false">
      <c r="E307" s="34" t="str">
        <f aca="false">MID(B307,9,1)</f>
        <v/>
      </c>
      <c r="F307" s="34" t="str">
        <f aca="false">MID(B307,10,1)</f>
        <v/>
      </c>
      <c r="G307" s="34" t="str">
        <f aca="false">MID(B307,11,1)</f>
        <v/>
      </c>
      <c r="H307" s="35" t="str">
        <f aca="false">IF(G307=".",F307,CONCATENATE(F307,G307))</f>
        <v/>
      </c>
      <c r="I307" s="34" t="n">
        <f aca="false">IFERROR(VALUE(H307),)</f>
        <v>0</v>
      </c>
      <c r="J307" s="34" t="e">
        <f aca="false">RIGHT(B307,LEN(B307)-FIND("/",B307, FIND("Single Cells",B307, 1)))</f>
        <v>#VALUE!</v>
      </c>
    </row>
    <row r="308" customFormat="false" ht="12.75" hidden="false" customHeight="true" outlineLevel="0" collapsed="false">
      <c r="E308" s="34" t="str">
        <f aca="false">MID(B308,9,1)</f>
        <v/>
      </c>
      <c r="F308" s="34" t="str">
        <f aca="false">MID(B308,10,1)</f>
        <v/>
      </c>
      <c r="G308" s="34" t="str">
        <f aca="false">MID(B308,11,1)</f>
        <v/>
      </c>
      <c r="H308" s="35" t="str">
        <f aca="false">IF(G308=".",F308,CONCATENATE(F308,G308))</f>
        <v/>
      </c>
      <c r="I308" s="34" t="n">
        <f aca="false">IFERROR(VALUE(H308),)</f>
        <v>0</v>
      </c>
      <c r="J308" s="34" t="e">
        <f aca="false">RIGHT(B308,LEN(B308)-FIND("/",B308, FIND("Single Cells",B308, 1)))</f>
        <v>#VALUE!</v>
      </c>
    </row>
    <row r="309" customFormat="false" ht="12.75" hidden="false" customHeight="true" outlineLevel="0" collapsed="false">
      <c r="E309" s="34" t="str">
        <f aca="false">MID(B309,9,1)</f>
        <v/>
      </c>
      <c r="F309" s="34" t="str">
        <f aca="false">MID(B309,10,1)</f>
        <v/>
      </c>
      <c r="G309" s="34" t="str">
        <f aca="false">MID(B309,11,1)</f>
        <v/>
      </c>
      <c r="H309" s="35" t="str">
        <f aca="false">IF(G309=".",F309,CONCATENATE(F309,G309))</f>
        <v/>
      </c>
      <c r="I309" s="34" t="n">
        <f aca="false">IFERROR(VALUE(H309),)</f>
        <v>0</v>
      </c>
      <c r="J309" s="34" t="e">
        <f aca="false">RIGHT(B309,LEN(B309)-FIND("/",B309, FIND("Single Cells",B309, 1)))</f>
        <v>#VALUE!</v>
      </c>
    </row>
    <row r="310" customFormat="false" ht="12.75" hidden="false" customHeight="true" outlineLevel="0" collapsed="false">
      <c r="E310" s="34" t="str">
        <f aca="false">MID(B310,9,1)</f>
        <v/>
      </c>
      <c r="F310" s="34" t="str">
        <f aca="false">MID(B310,10,1)</f>
        <v/>
      </c>
      <c r="G310" s="34" t="str">
        <f aca="false">MID(B310,11,1)</f>
        <v/>
      </c>
      <c r="H310" s="35" t="str">
        <f aca="false">IF(G310=".",F310,CONCATENATE(F310,G310))</f>
        <v/>
      </c>
      <c r="I310" s="34" t="n">
        <f aca="false">IFERROR(VALUE(H310),)</f>
        <v>0</v>
      </c>
      <c r="J310" s="34" t="e">
        <f aca="false">RIGHT(B310,LEN(B310)-FIND("/",B310, FIND("Single Cells",B310, 1)))</f>
        <v>#VALUE!</v>
      </c>
    </row>
    <row r="311" customFormat="false" ht="12.75" hidden="false" customHeight="true" outlineLevel="0" collapsed="false">
      <c r="E311" s="34" t="str">
        <f aca="false">MID(B311,9,1)</f>
        <v/>
      </c>
      <c r="F311" s="34" t="str">
        <f aca="false">MID(B311,10,1)</f>
        <v/>
      </c>
      <c r="G311" s="34" t="str">
        <f aca="false">MID(B311,11,1)</f>
        <v/>
      </c>
      <c r="H311" s="35" t="str">
        <f aca="false">IF(G311=".",F311,CONCATENATE(F311,G311))</f>
        <v/>
      </c>
      <c r="I311" s="34" t="n">
        <f aca="false">IFERROR(VALUE(H311),)</f>
        <v>0</v>
      </c>
      <c r="J311" s="34" t="e">
        <f aca="false">RIGHT(B311,LEN(B311)-FIND("/",B311, FIND("Single Cells",B311, 1)))</f>
        <v>#VALUE!</v>
      </c>
    </row>
    <row r="312" customFormat="false" ht="12.75" hidden="false" customHeight="true" outlineLevel="0" collapsed="false">
      <c r="E312" s="34" t="str">
        <f aca="false">MID(B312,9,1)</f>
        <v/>
      </c>
      <c r="F312" s="34" t="str">
        <f aca="false">MID(B312,10,1)</f>
        <v/>
      </c>
      <c r="G312" s="34" t="str">
        <f aca="false">MID(B312,11,1)</f>
        <v/>
      </c>
      <c r="H312" s="35" t="str">
        <f aca="false">IF(G312=".",F312,CONCATENATE(F312,G312))</f>
        <v/>
      </c>
      <c r="I312" s="34" t="n">
        <f aca="false">IFERROR(VALUE(H312),)</f>
        <v>0</v>
      </c>
      <c r="J312" s="34" t="e">
        <f aca="false">RIGHT(B312,LEN(B312)-FIND("/",B312, FIND("Single Cells",B312, 1)))</f>
        <v>#VALUE!</v>
      </c>
    </row>
    <row r="313" customFormat="false" ht="12.75" hidden="false" customHeight="true" outlineLevel="0" collapsed="false">
      <c r="E313" s="34" t="str">
        <f aca="false">MID(B313,9,1)</f>
        <v/>
      </c>
      <c r="F313" s="34" t="str">
        <f aca="false">MID(B313,10,1)</f>
        <v/>
      </c>
      <c r="G313" s="34" t="str">
        <f aca="false">MID(B313,11,1)</f>
        <v/>
      </c>
      <c r="H313" s="35" t="str">
        <f aca="false">IF(G313=".",F313,CONCATENATE(F313,G313))</f>
        <v/>
      </c>
      <c r="I313" s="34" t="n">
        <f aca="false">IFERROR(VALUE(H313),)</f>
        <v>0</v>
      </c>
      <c r="J313" s="34" t="e">
        <f aca="false">RIGHT(B313,LEN(B313)-FIND("/",B313, FIND("Single Cells",B313, 1)))</f>
        <v>#VALUE!</v>
      </c>
    </row>
    <row r="314" customFormat="false" ht="12.75" hidden="false" customHeight="true" outlineLevel="0" collapsed="false">
      <c r="E314" s="34" t="str">
        <f aca="false">MID(B314,9,1)</f>
        <v/>
      </c>
      <c r="F314" s="34" t="str">
        <f aca="false">MID(B314,10,1)</f>
        <v/>
      </c>
      <c r="G314" s="34" t="str">
        <f aca="false">MID(B314,11,1)</f>
        <v/>
      </c>
      <c r="H314" s="35" t="str">
        <f aca="false">IF(G314=".",F314,CONCATENATE(F314,G314))</f>
        <v/>
      </c>
      <c r="I314" s="34" t="n">
        <f aca="false">IFERROR(VALUE(H314),)</f>
        <v>0</v>
      </c>
      <c r="J314" s="34" t="e">
        <f aca="false">RIGHT(B314,LEN(B314)-FIND("/",B314, FIND("Single Cells",B314, 1)))</f>
        <v>#VALUE!</v>
      </c>
    </row>
    <row r="315" customFormat="false" ht="12.75" hidden="false" customHeight="true" outlineLevel="0" collapsed="false">
      <c r="E315" s="34" t="str">
        <f aca="false">MID(B315,9,1)</f>
        <v/>
      </c>
      <c r="F315" s="34" t="str">
        <f aca="false">MID(B315,10,1)</f>
        <v/>
      </c>
      <c r="G315" s="34" t="str">
        <f aca="false">MID(B315,11,1)</f>
        <v/>
      </c>
      <c r="H315" s="35" t="str">
        <f aca="false">IF(G315=".",F315,CONCATENATE(F315,G315))</f>
        <v/>
      </c>
      <c r="I315" s="34" t="n">
        <f aca="false">IFERROR(VALUE(H315),)</f>
        <v>0</v>
      </c>
      <c r="J315" s="34" t="e">
        <f aca="false">RIGHT(B315,LEN(B315)-FIND("/",B315, FIND("Single Cells",B315, 1)))</f>
        <v>#VALUE!</v>
      </c>
    </row>
    <row r="316" customFormat="false" ht="12.75" hidden="false" customHeight="true" outlineLevel="0" collapsed="false">
      <c r="E316" s="34" t="str">
        <f aca="false">MID(B316,9,1)</f>
        <v/>
      </c>
      <c r="F316" s="34" t="str">
        <f aca="false">MID(B316,10,1)</f>
        <v/>
      </c>
      <c r="G316" s="34" t="str">
        <f aca="false">MID(B316,11,1)</f>
        <v/>
      </c>
      <c r="H316" s="35" t="str">
        <f aca="false">IF(G316=".",F316,CONCATENATE(F316,G316))</f>
        <v/>
      </c>
      <c r="I316" s="34" t="n">
        <f aca="false">IFERROR(VALUE(H316),)</f>
        <v>0</v>
      </c>
      <c r="J316" s="34" t="e">
        <f aca="false">RIGHT(B316,LEN(B316)-FIND("/",B316, FIND("Single Cells",B316, 1)))</f>
        <v>#VALUE!</v>
      </c>
    </row>
    <row r="317" customFormat="false" ht="12.75" hidden="false" customHeight="true" outlineLevel="0" collapsed="false">
      <c r="E317" s="34" t="str">
        <f aca="false">MID(B317,9,1)</f>
        <v/>
      </c>
      <c r="F317" s="34" t="str">
        <f aca="false">MID(B317,10,1)</f>
        <v/>
      </c>
      <c r="G317" s="34" t="str">
        <f aca="false">MID(B317,11,1)</f>
        <v/>
      </c>
      <c r="H317" s="35" t="str">
        <f aca="false">IF(G317=".",F317,CONCATENATE(F317,G317))</f>
        <v/>
      </c>
      <c r="I317" s="34" t="n">
        <f aca="false">IFERROR(VALUE(H317),)</f>
        <v>0</v>
      </c>
      <c r="J317" s="34" t="e">
        <f aca="false">RIGHT(B317,LEN(B317)-FIND("/",B317, FIND("Single Cells",B317, 1)))</f>
        <v>#VALUE!</v>
      </c>
    </row>
    <row r="318" customFormat="false" ht="12.75" hidden="false" customHeight="true" outlineLevel="0" collapsed="false">
      <c r="E318" s="34" t="str">
        <f aca="false">MID(B318,9,1)</f>
        <v/>
      </c>
      <c r="F318" s="34" t="str">
        <f aca="false">MID(B318,10,1)</f>
        <v/>
      </c>
      <c r="G318" s="34" t="str">
        <f aca="false">MID(B318,11,1)</f>
        <v/>
      </c>
      <c r="H318" s="35" t="str">
        <f aca="false">IF(G318=".",F318,CONCATENATE(F318,G318))</f>
        <v/>
      </c>
      <c r="I318" s="34" t="n">
        <f aca="false">IFERROR(VALUE(H318),)</f>
        <v>0</v>
      </c>
      <c r="J318" s="34" t="e">
        <f aca="false">RIGHT(B318,LEN(B318)-FIND("/",B318, FIND("Single Cells",B318, 1)))</f>
        <v>#VALUE!</v>
      </c>
    </row>
    <row r="319" customFormat="false" ht="12.75" hidden="false" customHeight="true" outlineLevel="0" collapsed="false">
      <c r="E319" s="34" t="str">
        <f aca="false">MID(B319,9,1)</f>
        <v/>
      </c>
      <c r="F319" s="34" t="str">
        <f aca="false">MID(B319,10,1)</f>
        <v/>
      </c>
      <c r="G319" s="34" t="str">
        <f aca="false">MID(B319,11,1)</f>
        <v/>
      </c>
      <c r="H319" s="35" t="str">
        <f aca="false">IF(G319=".",F319,CONCATENATE(F319,G319))</f>
        <v/>
      </c>
      <c r="I319" s="34" t="n">
        <f aca="false">IFERROR(VALUE(H319),)</f>
        <v>0</v>
      </c>
      <c r="J319" s="34" t="e">
        <f aca="false">RIGHT(B319,LEN(B319)-FIND("/",B319, FIND("Single Cells",B319, 1)))</f>
        <v>#VALUE!</v>
      </c>
    </row>
    <row r="320" customFormat="false" ht="12.75" hidden="false" customHeight="true" outlineLevel="0" collapsed="false">
      <c r="E320" s="34" t="str">
        <f aca="false">MID(B320,9,1)</f>
        <v/>
      </c>
      <c r="F320" s="34" t="str">
        <f aca="false">MID(B320,10,1)</f>
        <v/>
      </c>
      <c r="G320" s="34" t="str">
        <f aca="false">MID(B320,11,1)</f>
        <v/>
      </c>
      <c r="H320" s="35" t="str">
        <f aca="false">IF(G320=".",F320,CONCATENATE(F320,G320))</f>
        <v/>
      </c>
      <c r="I320" s="34" t="n">
        <f aca="false">IFERROR(VALUE(H320),)</f>
        <v>0</v>
      </c>
      <c r="J320" s="34" t="e">
        <f aca="false">RIGHT(B320,LEN(B320)-FIND("/",B320, FIND("Single Cells",B320, 1)))</f>
        <v>#VALUE!</v>
      </c>
    </row>
    <row r="321" customFormat="false" ht="12.75" hidden="false" customHeight="true" outlineLevel="0" collapsed="false">
      <c r="E321" s="34" t="str">
        <f aca="false">MID(B321,9,1)</f>
        <v/>
      </c>
      <c r="F321" s="34" t="str">
        <f aca="false">MID(B321,10,1)</f>
        <v/>
      </c>
      <c r="G321" s="34" t="str">
        <f aca="false">MID(B321,11,1)</f>
        <v/>
      </c>
      <c r="H321" s="35" t="str">
        <f aca="false">IF(G321=".",F321,CONCATENATE(F321,G321))</f>
        <v/>
      </c>
      <c r="I321" s="34" t="n">
        <f aca="false">IFERROR(VALUE(H321),)</f>
        <v>0</v>
      </c>
      <c r="J321" s="34" t="e">
        <f aca="false">RIGHT(B321,LEN(B321)-FIND("/",B321, FIND("Single Cells",B321, 1)))</f>
        <v>#VALUE!</v>
      </c>
    </row>
    <row r="322" customFormat="false" ht="12.75" hidden="false" customHeight="true" outlineLevel="0" collapsed="false">
      <c r="E322" s="34" t="str">
        <f aca="false">MID(B322,9,1)</f>
        <v/>
      </c>
      <c r="F322" s="34" t="str">
        <f aca="false">MID(B322,10,1)</f>
        <v/>
      </c>
      <c r="G322" s="34" t="str">
        <f aca="false">MID(B322,11,1)</f>
        <v/>
      </c>
      <c r="H322" s="35" t="str">
        <f aca="false">IF(G322=".",F322,CONCATENATE(F322,G322))</f>
        <v/>
      </c>
      <c r="I322" s="34" t="n">
        <f aca="false">IFERROR(VALUE(H322),)</f>
        <v>0</v>
      </c>
      <c r="J322" s="34" t="e">
        <f aca="false">RIGHT(B322,LEN(B322)-FIND("/",B322, FIND("Single Cells",B322, 1)))</f>
        <v>#VALUE!</v>
      </c>
    </row>
    <row r="323" customFormat="false" ht="12.75" hidden="false" customHeight="true" outlineLevel="0" collapsed="false">
      <c r="E323" s="34" t="str">
        <f aca="false">MID(B323,9,1)</f>
        <v/>
      </c>
      <c r="F323" s="34" t="str">
        <f aca="false">MID(B323,10,1)</f>
        <v/>
      </c>
      <c r="G323" s="34" t="str">
        <f aca="false">MID(B323,11,1)</f>
        <v/>
      </c>
      <c r="H323" s="35" t="str">
        <f aca="false">IF(G323=".",F323,CONCATENATE(F323,G323))</f>
        <v/>
      </c>
      <c r="I323" s="34" t="n">
        <f aca="false">IFERROR(VALUE(H323),)</f>
        <v>0</v>
      </c>
      <c r="J323" s="34" t="e">
        <f aca="false">RIGHT(B323,LEN(B323)-FIND("/",B323, FIND("Single Cells",B323, 1)))</f>
        <v>#VALUE!</v>
      </c>
    </row>
    <row r="324" customFormat="false" ht="12.75" hidden="false" customHeight="true" outlineLevel="0" collapsed="false">
      <c r="E324" s="34" t="str">
        <f aca="false">MID(B324,9,1)</f>
        <v/>
      </c>
      <c r="F324" s="34" t="str">
        <f aca="false">MID(B324,10,1)</f>
        <v/>
      </c>
      <c r="G324" s="34" t="str">
        <f aca="false">MID(B324,11,1)</f>
        <v/>
      </c>
      <c r="H324" s="35" t="str">
        <f aca="false">IF(G324=".",F324,CONCATENATE(F324,G324))</f>
        <v/>
      </c>
      <c r="I324" s="34" t="n">
        <f aca="false">IFERROR(VALUE(H324),)</f>
        <v>0</v>
      </c>
      <c r="J324" s="34" t="e">
        <f aca="false">RIGHT(B324,LEN(B324)-FIND("/",B324, FIND("Single Cells",B324, 1)))</f>
        <v>#VALUE!</v>
      </c>
    </row>
    <row r="325" customFormat="false" ht="12.75" hidden="false" customHeight="true" outlineLevel="0" collapsed="false">
      <c r="E325" s="34" t="str">
        <f aca="false">MID(B325,9,1)</f>
        <v/>
      </c>
      <c r="F325" s="34" t="str">
        <f aca="false">MID(B325,10,1)</f>
        <v/>
      </c>
      <c r="G325" s="34" t="str">
        <f aca="false">MID(B325,11,1)</f>
        <v/>
      </c>
      <c r="H325" s="35" t="str">
        <f aca="false">IF(G325=".",F325,CONCATENATE(F325,G325))</f>
        <v/>
      </c>
      <c r="I325" s="34" t="n">
        <f aca="false">IFERROR(VALUE(H325),)</f>
        <v>0</v>
      </c>
      <c r="J325" s="34" t="e">
        <f aca="false">RIGHT(B325,LEN(B325)-FIND("/",B325, FIND("Single Cells",B325, 1)))</f>
        <v>#VALUE!</v>
      </c>
    </row>
    <row r="326" customFormat="false" ht="12.75" hidden="false" customHeight="true" outlineLevel="0" collapsed="false">
      <c r="E326" s="34" t="str">
        <f aca="false">MID(B326,9,1)</f>
        <v/>
      </c>
      <c r="F326" s="34" t="str">
        <f aca="false">MID(B326,10,1)</f>
        <v/>
      </c>
      <c r="G326" s="34" t="str">
        <f aca="false">MID(B326,11,1)</f>
        <v/>
      </c>
      <c r="H326" s="35" t="str">
        <f aca="false">IF(G326=".",F326,CONCATENATE(F326,G326))</f>
        <v/>
      </c>
      <c r="I326" s="34" t="n">
        <f aca="false">IFERROR(VALUE(H326),)</f>
        <v>0</v>
      </c>
      <c r="J326" s="34" t="e">
        <f aca="false">RIGHT(B326,LEN(B326)-FIND("/",B326, FIND("Single Cells",B326, 1)))</f>
        <v>#VALUE!</v>
      </c>
    </row>
    <row r="327" customFormat="false" ht="12.75" hidden="false" customHeight="true" outlineLevel="0" collapsed="false">
      <c r="E327" s="34" t="str">
        <f aca="false">MID(B327,9,1)</f>
        <v/>
      </c>
      <c r="F327" s="34" t="str">
        <f aca="false">MID(B327,10,1)</f>
        <v/>
      </c>
      <c r="G327" s="34" t="str">
        <f aca="false">MID(B327,11,1)</f>
        <v/>
      </c>
      <c r="H327" s="35" t="str">
        <f aca="false">IF(G327=".",F327,CONCATENATE(F327,G327))</f>
        <v/>
      </c>
      <c r="I327" s="34" t="n">
        <f aca="false">IFERROR(VALUE(H327),)</f>
        <v>0</v>
      </c>
      <c r="J327" s="34" t="e">
        <f aca="false">RIGHT(B327,LEN(B327)-FIND("/",B327, FIND("Single Cells",B327, 1)))</f>
        <v>#VALUE!</v>
      </c>
    </row>
    <row r="328" customFormat="false" ht="12.75" hidden="false" customHeight="true" outlineLevel="0" collapsed="false">
      <c r="E328" s="34" t="str">
        <f aca="false">MID(B328,9,1)</f>
        <v/>
      </c>
      <c r="F328" s="34" t="str">
        <f aca="false">MID(B328,10,1)</f>
        <v/>
      </c>
      <c r="G328" s="34" t="str">
        <f aca="false">MID(B328,11,1)</f>
        <v/>
      </c>
      <c r="H328" s="35" t="str">
        <f aca="false">IF(G328=".",F328,CONCATENATE(F328,G328))</f>
        <v/>
      </c>
      <c r="I328" s="34" t="n">
        <f aca="false">IFERROR(VALUE(H328),)</f>
        <v>0</v>
      </c>
      <c r="J328" s="34" t="e">
        <f aca="false">RIGHT(B328,LEN(B328)-FIND("/",B328, FIND("Single Cells",B328, 1)))</f>
        <v>#VALUE!</v>
      </c>
    </row>
    <row r="329" customFormat="false" ht="12.75" hidden="false" customHeight="true" outlineLevel="0" collapsed="false">
      <c r="E329" s="34" t="str">
        <f aca="false">MID(B329,9,1)</f>
        <v/>
      </c>
      <c r="F329" s="34" t="str">
        <f aca="false">MID(B329,10,1)</f>
        <v/>
      </c>
      <c r="G329" s="34" t="str">
        <f aca="false">MID(B329,11,1)</f>
        <v/>
      </c>
      <c r="H329" s="35" t="str">
        <f aca="false">IF(G329=".",F329,CONCATENATE(F329,G329))</f>
        <v/>
      </c>
      <c r="I329" s="34" t="n">
        <f aca="false">IFERROR(VALUE(H329),)</f>
        <v>0</v>
      </c>
      <c r="J329" s="34" t="e">
        <f aca="false">RIGHT(B329,LEN(B329)-FIND("/",B329, FIND("Single Cells",B329, 1)))</f>
        <v>#VALUE!</v>
      </c>
    </row>
    <row r="330" customFormat="false" ht="12.75" hidden="false" customHeight="true" outlineLevel="0" collapsed="false">
      <c r="E330" s="34" t="str">
        <f aca="false">MID(B330,9,1)</f>
        <v/>
      </c>
      <c r="F330" s="34" t="str">
        <f aca="false">MID(B330,10,1)</f>
        <v/>
      </c>
      <c r="G330" s="34" t="str">
        <f aca="false">MID(B330,11,1)</f>
        <v/>
      </c>
      <c r="H330" s="35" t="str">
        <f aca="false">IF(G330=".",F330,CONCATENATE(F330,G330))</f>
        <v/>
      </c>
      <c r="I330" s="34" t="n">
        <f aca="false">IFERROR(VALUE(H330),)</f>
        <v>0</v>
      </c>
      <c r="J330" s="34" t="e">
        <f aca="false">RIGHT(B330,LEN(B330)-FIND("/",B330, FIND("Single Cells",B330, 1)))</f>
        <v>#VALUE!</v>
      </c>
    </row>
    <row r="331" customFormat="false" ht="12.75" hidden="false" customHeight="true" outlineLevel="0" collapsed="false">
      <c r="E331" s="34" t="str">
        <f aca="false">MID(B331,9,1)</f>
        <v/>
      </c>
      <c r="F331" s="34" t="str">
        <f aca="false">MID(B331,10,1)</f>
        <v/>
      </c>
      <c r="G331" s="34" t="str">
        <f aca="false">MID(B331,11,1)</f>
        <v/>
      </c>
      <c r="H331" s="35" t="str">
        <f aca="false">IF(G331=".",F331,CONCATENATE(F331,G331))</f>
        <v/>
      </c>
      <c r="I331" s="34" t="n">
        <f aca="false">IFERROR(VALUE(H331),)</f>
        <v>0</v>
      </c>
      <c r="J331" s="34" t="e">
        <f aca="false">RIGHT(B331,LEN(B331)-FIND("/",B331, FIND("Single Cells",B331, 1)))</f>
        <v>#VALUE!</v>
      </c>
    </row>
    <row r="332" customFormat="false" ht="12.75" hidden="false" customHeight="true" outlineLevel="0" collapsed="false">
      <c r="E332" s="34" t="str">
        <f aca="false">MID(B332,9,1)</f>
        <v/>
      </c>
      <c r="F332" s="34" t="str">
        <f aca="false">MID(B332,10,1)</f>
        <v/>
      </c>
      <c r="G332" s="34" t="str">
        <f aca="false">MID(B332,11,1)</f>
        <v/>
      </c>
      <c r="H332" s="35" t="str">
        <f aca="false">IF(G332=".",F332,CONCATENATE(F332,G332))</f>
        <v/>
      </c>
      <c r="I332" s="34" t="n">
        <f aca="false">IFERROR(VALUE(H332),)</f>
        <v>0</v>
      </c>
      <c r="J332" s="34" t="e">
        <f aca="false">RIGHT(B332,LEN(B332)-FIND("/",B332, FIND("Single Cells",B332, 1)))</f>
        <v>#VALUE!</v>
      </c>
    </row>
    <row r="333" customFormat="false" ht="12.75" hidden="false" customHeight="true" outlineLevel="0" collapsed="false">
      <c r="E333" s="34" t="str">
        <f aca="false">MID(B333,9,1)</f>
        <v/>
      </c>
      <c r="F333" s="34" t="str">
        <f aca="false">MID(B333,10,1)</f>
        <v/>
      </c>
      <c r="G333" s="34" t="str">
        <f aca="false">MID(B333,11,1)</f>
        <v/>
      </c>
      <c r="H333" s="35" t="str">
        <f aca="false">IF(G333=".",F333,CONCATENATE(F333,G333))</f>
        <v/>
      </c>
      <c r="I333" s="34" t="n">
        <f aca="false">IFERROR(VALUE(H333),)</f>
        <v>0</v>
      </c>
      <c r="J333" s="34" t="e">
        <f aca="false">RIGHT(B333,LEN(B333)-FIND("/",B333, FIND("Single Cells",B333, 1)))</f>
        <v>#VALUE!</v>
      </c>
    </row>
    <row r="334" customFormat="false" ht="12.75" hidden="false" customHeight="true" outlineLevel="0" collapsed="false">
      <c r="E334" s="34" t="str">
        <f aca="false">MID(B334,9,1)</f>
        <v/>
      </c>
      <c r="F334" s="34" t="str">
        <f aca="false">MID(B334,10,1)</f>
        <v/>
      </c>
      <c r="G334" s="34" t="str">
        <f aca="false">MID(B334,11,1)</f>
        <v/>
      </c>
      <c r="H334" s="35" t="str">
        <f aca="false">IF(G334=".",F334,CONCATENATE(F334,G334))</f>
        <v/>
      </c>
      <c r="I334" s="34" t="n">
        <f aca="false">IFERROR(VALUE(H334),)</f>
        <v>0</v>
      </c>
      <c r="J334" s="34" t="e">
        <f aca="false">RIGHT(B334,LEN(B334)-FIND("/",B334, FIND("Single Cells",B334, 1)))</f>
        <v>#VALUE!</v>
      </c>
    </row>
    <row r="335" customFormat="false" ht="12.75" hidden="false" customHeight="true" outlineLevel="0" collapsed="false">
      <c r="E335" s="34" t="str">
        <f aca="false">MID(B335,9,1)</f>
        <v/>
      </c>
      <c r="F335" s="34" t="str">
        <f aca="false">MID(B335,10,1)</f>
        <v/>
      </c>
      <c r="G335" s="34" t="str">
        <f aca="false">MID(B335,11,1)</f>
        <v/>
      </c>
      <c r="H335" s="35" t="str">
        <f aca="false">IF(G335=".",F335,CONCATENATE(F335,G335))</f>
        <v/>
      </c>
      <c r="I335" s="34" t="n">
        <f aca="false">IFERROR(VALUE(H335),)</f>
        <v>0</v>
      </c>
      <c r="J335" s="34" t="e">
        <f aca="false">RIGHT(B335,LEN(B335)-FIND("/",B335, FIND("Single Cells",B335, 1)))</f>
        <v>#VALUE!</v>
      </c>
    </row>
    <row r="336" customFormat="false" ht="12.75" hidden="false" customHeight="true" outlineLevel="0" collapsed="false">
      <c r="E336" s="34" t="str">
        <f aca="false">MID(B336,9,1)</f>
        <v/>
      </c>
      <c r="F336" s="34" t="str">
        <f aca="false">MID(B336,10,1)</f>
        <v/>
      </c>
      <c r="G336" s="34" t="str">
        <f aca="false">MID(B336,11,1)</f>
        <v/>
      </c>
      <c r="H336" s="35" t="str">
        <f aca="false">IF(G336=".",F336,CONCATENATE(F336,G336))</f>
        <v/>
      </c>
      <c r="I336" s="34" t="n">
        <f aca="false">IFERROR(VALUE(H336),)</f>
        <v>0</v>
      </c>
      <c r="J336" s="34" t="e">
        <f aca="false">RIGHT(B336,LEN(B336)-FIND("/",B336, FIND("Single Cells",B336, 1)))</f>
        <v>#VALUE!</v>
      </c>
    </row>
    <row r="337" customFormat="false" ht="12.75" hidden="false" customHeight="true" outlineLevel="0" collapsed="false">
      <c r="E337" s="34" t="str">
        <f aca="false">MID(B337,9,1)</f>
        <v/>
      </c>
      <c r="F337" s="34" t="str">
        <f aca="false">MID(B337,10,1)</f>
        <v/>
      </c>
      <c r="G337" s="34" t="str">
        <f aca="false">MID(B337,11,1)</f>
        <v/>
      </c>
      <c r="H337" s="35" t="str">
        <f aca="false">IF(G337=".",F337,CONCATENATE(F337,G337))</f>
        <v/>
      </c>
      <c r="I337" s="34" t="n">
        <f aca="false">IFERROR(VALUE(H337),)</f>
        <v>0</v>
      </c>
      <c r="J337" s="34" t="e">
        <f aca="false">RIGHT(B337,LEN(B337)-FIND("/",B337, FIND("Single Cells",B337, 1)))</f>
        <v>#VALUE!</v>
      </c>
    </row>
    <row r="338" customFormat="false" ht="12.75" hidden="false" customHeight="true" outlineLevel="0" collapsed="false">
      <c r="E338" s="34" t="str">
        <f aca="false">MID(B338,9,1)</f>
        <v/>
      </c>
      <c r="F338" s="34" t="str">
        <f aca="false">MID(B338,10,1)</f>
        <v/>
      </c>
      <c r="G338" s="34" t="str">
        <f aca="false">MID(B338,11,1)</f>
        <v/>
      </c>
      <c r="H338" s="35" t="str">
        <f aca="false">IF(G338=".",F338,CONCATENATE(F338,G338))</f>
        <v/>
      </c>
      <c r="I338" s="34" t="n">
        <f aca="false">IFERROR(VALUE(H338),)</f>
        <v>0</v>
      </c>
      <c r="J338" s="34" t="e">
        <f aca="false">RIGHT(B338,LEN(B338)-FIND("/",B338, FIND("Single Cells",B338, 1)))</f>
        <v>#VALUE!</v>
      </c>
    </row>
    <row r="339" customFormat="false" ht="12.75" hidden="false" customHeight="true" outlineLevel="0" collapsed="false">
      <c r="E339" s="34" t="str">
        <f aca="false">MID(B339,9,1)</f>
        <v/>
      </c>
      <c r="F339" s="34" t="str">
        <f aca="false">MID(B339,10,1)</f>
        <v/>
      </c>
      <c r="G339" s="34" t="str">
        <f aca="false">MID(B339,11,1)</f>
        <v/>
      </c>
      <c r="H339" s="35" t="str">
        <f aca="false">IF(G339=".",F339,CONCATENATE(F339,G339))</f>
        <v/>
      </c>
      <c r="I339" s="34" t="n">
        <f aca="false">IFERROR(VALUE(H339),)</f>
        <v>0</v>
      </c>
      <c r="J339" s="34" t="e">
        <f aca="false">RIGHT(B339,LEN(B339)-FIND("/",B339, FIND("Single Cells",B339, 1)))</f>
        <v>#VALUE!</v>
      </c>
    </row>
    <row r="340" customFormat="false" ht="12.75" hidden="false" customHeight="true" outlineLevel="0" collapsed="false">
      <c r="E340" s="34" t="str">
        <f aca="false">MID(B340,9,1)</f>
        <v/>
      </c>
      <c r="F340" s="34" t="str">
        <f aca="false">MID(B340,10,1)</f>
        <v/>
      </c>
      <c r="G340" s="34" t="str">
        <f aca="false">MID(B340,11,1)</f>
        <v/>
      </c>
      <c r="H340" s="35" t="str">
        <f aca="false">IF(G340=".",F340,CONCATENATE(F340,G340))</f>
        <v/>
      </c>
      <c r="I340" s="34" t="n">
        <f aca="false">IFERROR(VALUE(H340),)</f>
        <v>0</v>
      </c>
      <c r="J340" s="34" t="e">
        <f aca="false">RIGHT(B340,LEN(B340)-FIND("/",B340, FIND("Single Cells",B340, 1)))</f>
        <v>#VALUE!</v>
      </c>
    </row>
    <row r="341" customFormat="false" ht="12.75" hidden="false" customHeight="true" outlineLevel="0" collapsed="false">
      <c r="E341" s="34" t="str">
        <f aca="false">MID(B341,9,1)</f>
        <v/>
      </c>
      <c r="F341" s="34" t="str">
        <f aca="false">MID(B341,10,1)</f>
        <v/>
      </c>
      <c r="G341" s="34" t="str">
        <f aca="false">MID(B341,11,1)</f>
        <v/>
      </c>
      <c r="H341" s="35" t="str">
        <f aca="false">IF(G341=".",F341,CONCATENATE(F341,G341))</f>
        <v/>
      </c>
      <c r="I341" s="34" t="n">
        <f aca="false">IFERROR(VALUE(H341),)</f>
        <v>0</v>
      </c>
      <c r="J341" s="34" t="e">
        <f aca="false">RIGHT(B341,LEN(B341)-FIND("/",B341, FIND("Single Cells",B341, 1)))</f>
        <v>#VALUE!</v>
      </c>
    </row>
    <row r="342" customFormat="false" ht="12.75" hidden="false" customHeight="true" outlineLevel="0" collapsed="false">
      <c r="E342" s="34" t="str">
        <f aca="false">MID(B342,9,1)</f>
        <v/>
      </c>
      <c r="F342" s="34" t="str">
        <f aca="false">MID(B342,10,1)</f>
        <v/>
      </c>
      <c r="G342" s="34" t="str">
        <f aca="false">MID(B342,11,1)</f>
        <v/>
      </c>
      <c r="H342" s="35" t="str">
        <f aca="false">IF(G342=".",F342,CONCATENATE(F342,G342))</f>
        <v/>
      </c>
      <c r="I342" s="34" t="n">
        <f aca="false">IFERROR(VALUE(H342),)</f>
        <v>0</v>
      </c>
      <c r="J342" s="34" t="e">
        <f aca="false">RIGHT(B342,LEN(B342)-FIND("/",B342, FIND("Single Cells",B342, 1)))</f>
        <v>#VALUE!</v>
      </c>
    </row>
    <row r="343" customFormat="false" ht="12.75" hidden="false" customHeight="true" outlineLevel="0" collapsed="false">
      <c r="E343" s="34" t="str">
        <f aca="false">MID(B343,9,1)</f>
        <v/>
      </c>
      <c r="F343" s="34" t="str">
        <f aca="false">MID(B343,10,1)</f>
        <v/>
      </c>
      <c r="G343" s="34" t="str">
        <f aca="false">MID(B343,11,1)</f>
        <v/>
      </c>
      <c r="H343" s="35" t="str">
        <f aca="false">IF(G343=".",F343,CONCATENATE(F343,G343))</f>
        <v/>
      </c>
      <c r="I343" s="34" t="n">
        <f aca="false">IFERROR(VALUE(H343),)</f>
        <v>0</v>
      </c>
      <c r="J343" s="34" t="e">
        <f aca="false">RIGHT(B343,LEN(B343)-FIND("/",B343, FIND("Single Cells",B343, 1)))</f>
        <v>#VALUE!</v>
      </c>
    </row>
    <row r="344" customFormat="false" ht="12.75" hidden="false" customHeight="true" outlineLevel="0" collapsed="false">
      <c r="E344" s="34" t="str">
        <f aca="false">MID(B344,9,1)</f>
        <v/>
      </c>
      <c r="F344" s="34" t="str">
        <f aca="false">MID(B344,10,1)</f>
        <v/>
      </c>
      <c r="G344" s="34" t="str">
        <f aca="false">MID(B344,11,1)</f>
        <v/>
      </c>
      <c r="H344" s="35" t="str">
        <f aca="false">IF(G344=".",F344,CONCATENATE(F344,G344))</f>
        <v/>
      </c>
      <c r="I344" s="34" t="n">
        <f aca="false">IFERROR(VALUE(H344),)</f>
        <v>0</v>
      </c>
      <c r="J344" s="34" t="e">
        <f aca="false">RIGHT(B344,LEN(B344)-FIND("/",B344, FIND("Single Cells",B344, 1)))</f>
        <v>#VALUE!</v>
      </c>
    </row>
    <row r="345" customFormat="false" ht="12.75" hidden="false" customHeight="true" outlineLevel="0" collapsed="false">
      <c r="E345" s="34" t="str">
        <f aca="false">MID(B345,9,1)</f>
        <v/>
      </c>
      <c r="F345" s="34" t="str">
        <f aca="false">MID(B345,10,1)</f>
        <v/>
      </c>
      <c r="G345" s="34" t="str">
        <f aca="false">MID(B345,11,1)</f>
        <v/>
      </c>
      <c r="H345" s="35" t="str">
        <f aca="false">IF(G345=".",F345,CONCATENATE(F345,G345))</f>
        <v/>
      </c>
      <c r="I345" s="34" t="n">
        <f aca="false">IFERROR(VALUE(H345),)</f>
        <v>0</v>
      </c>
      <c r="J345" s="34" t="e">
        <f aca="false">RIGHT(B345,LEN(B345)-FIND("/",B345, FIND("Single Cells",B345, 1)))</f>
        <v>#VALUE!</v>
      </c>
    </row>
    <row r="346" customFormat="false" ht="12.75" hidden="false" customHeight="true" outlineLevel="0" collapsed="false">
      <c r="E346" s="34" t="str">
        <f aca="false">MID(B346,9,1)</f>
        <v/>
      </c>
      <c r="F346" s="34" t="str">
        <f aca="false">MID(B346,10,1)</f>
        <v/>
      </c>
      <c r="G346" s="34" t="str">
        <f aca="false">MID(B346,11,1)</f>
        <v/>
      </c>
      <c r="H346" s="35" t="str">
        <f aca="false">IF(G346=".",F346,CONCATENATE(F346,G346))</f>
        <v/>
      </c>
      <c r="I346" s="34" t="n">
        <f aca="false">IFERROR(VALUE(H346),)</f>
        <v>0</v>
      </c>
      <c r="J346" s="34" t="e">
        <f aca="false">RIGHT(B346,LEN(B346)-FIND("/",B346, FIND("Single Cells",B346, 1)))</f>
        <v>#VALUE!</v>
      </c>
    </row>
    <row r="347" customFormat="false" ht="12.75" hidden="false" customHeight="true" outlineLevel="0" collapsed="false">
      <c r="E347" s="34" t="str">
        <f aca="false">MID(B347,9,1)</f>
        <v/>
      </c>
      <c r="F347" s="34" t="str">
        <f aca="false">MID(B347,10,1)</f>
        <v/>
      </c>
      <c r="G347" s="34" t="str">
        <f aca="false">MID(B347,11,1)</f>
        <v/>
      </c>
      <c r="H347" s="35" t="str">
        <f aca="false">IF(G347=".",F347,CONCATENATE(F347,G347))</f>
        <v/>
      </c>
      <c r="I347" s="34" t="n">
        <f aca="false">IFERROR(VALUE(H347),)</f>
        <v>0</v>
      </c>
      <c r="J347" s="34" t="e">
        <f aca="false">RIGHT(B347,LEN(B347)-FIND("/",B347, FIND("Single Cells",B347, 1)))</f>
        <v>#VALUE!</v>
      </c>
    </row>
    <row r="348" customFormat="false" ht="12.75" hidden="false" customHeight="true" outlineLevel="0" collapsed="false">
      <c r="E348" s="34" t="str">
        <f aca="false">MID(B348,9,1)</f>
        <v/>
      </c>
      <c r="F348" s="34" t="str">
        <f aca="false">MID(B348,10,1)</f>
        <v/>
      </c>
      <c r="G348" s="34" t="str">
        <f aca="false">MID(B348,11,1)</f>
        <v/>
      </c>
      <c r="H348" s="35" t="str">
        <f aca="false">IF(G348=".",F348,CONCATENATE(F348,G348))</f>
        <v/>
      </c>
      <c r="I348" s="34" t="n">
        <f aca="false">IFERROR(VALUE(H348),)</f>
        <v>0</v>
      </c>
      <c r="J348" s="34" t="e">
        <f aca="false">RIGHT(B348,LEN(B348)-FIND("/",B348, FIND("Single Cells",B348, 1)))</f>
        <v>#VALUE!</v>
      </c>
    </row>
    <row r="349" customFormat="false" ht="12.75" hidden="false" customHeight="true" outlineLevel="0" collapsed="false">
      <c r="E349" s="34" t="str">
        <f aca="false">MID(B349,9,1)</f>
        <v/>
      </c>
      <c r="F349" s="34" t="str">
        <f aca="false">MID(B349,10,1)</f>
        <v/>
      </c>
      <c r="G349" s="34" t="str">
        <f aca="false">MID(B349,11,1)</f>
        <v/>
      </c>
      <c r="H349" s="35" t="str">
        <f aca="false">IF(G349=".",F349,CONCATENATE(F349,G349))</f>
        <v/>
      </c>
      <c r="I349" s="34" t="n">
        <f aca="false">IFERROR(VALUE(H349),)</f>
        <v>0</v>
      </c>
      <c r="J349" s="34" t="e">
        <f aca="false">RIGHT(B349,LEN(B349)-FIND("/",B349, FIND("Single Cells",B349, 1)))</f>
        <v>#VALUE!</v>
      </c>
    </row>
    <row r="350" customFormat="false" ht="12.75" hidden="false" customHeight="true" outlineLevel="0" collapsed="false">
      <c r="E350" s="34" t="str">
        <f aca="false">MID(B350,9,1)</f>
        <v/>
      </c>
      <c r="F350" s="34" t="str">
        <f aca="false">MID(B350,10,1)</f>
        <v/>
      </c>
      <c r="G350" s="34" t="str">
        <f aca="false">MID(B350,11,1)</f>
        <v/>
      </c>
      <c r="H350" s="35" t="str">
        <f aca="false">IF(G350=".",F350,CONCATENATE(F350,G350))</f>
        <v/>
      </c>
      <c r="I350" s="34" t="n">
        <f aca="false">IFERROR(VALUE(H350),)</f>
        <v>0</v>
      </c>
      <c r="J350" s="34" t="e">
        <f aca="false">RIGHT(B350,LEN(B350)-FIND("/",B350, FIND("Single Cells",B350, 1)))</f>
        <v>#VALUE!</v>
      </c>
    </row>
    <row r="351" customFormat="false" ht="12.75" hidden="false" customHeight="true" outlineLevel="0" collapsed="false">
      <c r="E351" s="34" t="str">
        <f aca="false">MID(B351,9,1)</f>
        <v/>
      </c>
      <c r="F351" s="34" t="str">
        <f aca="false">MID(B351,10,1)</f>
        <v/>
      </c>
      <c r="G351" s="34" t="str">
        <f aca="false">MID(B351,11,1)</f>
        <v/>
      </c>
      <c r="H351" s="35" t="str">
        <f aca="false">IF(G351=".",F351,CONCATENATE(F351,G351))</f>
        <v/>
      </c>
      <c r="I351" s="34" t="n">
        <f aca="false">IFERROR(VALUE(H351),)</f>
        <v>0</v>
      </c>
      <c r="J351" s="34" t="e">
        <f aca="false">RIGHT(B351,LEN(B351)-FIND("/",B351, FIND("Single Cells",B351, 1)))</f>
        <v>#VALUE!</v>
      </c>
    </row>
    <row r="352" customFormat="false" ht="12.75" hidden="false" customHeight="true" outlineLevel="0" collapsed="false">
      <c r="E352" s="34" t="str">
        <f aca="false">MID(B352,9,1)</f>
        <v/>
      </c>
      <c r="F352" s="34" t="str">
        <f aca="false">MID(B352,10,1)</f>
        <v/>
      </c>
      <c r="G352" s="34" t="str">
        <f aca="false">MID(B352,11,1)</f>
        <v/>
      </c>
      <c r="H352" s="35" t="str">
        <f aca="false">IF(G352=".",F352,CONCATENATE(F352,G352))</f>
        <v/>
      </c>
      <c r="I352" s="34" t="n">
        <f aca="false">IFERROR(VALUE(H352),)</f>
        <v>0</v>
      </c>
      <c r="J352" s="34" t="e">
        <f aca="false">RIGHT(B352,LEN(B352)-FIND("/",B352, FIND("Single Cells",B352, 1)))</f>
        <v>#VALUE!</v>
      </c>
    </row>
    <row r="353" customFormat="false" ht="12.75" hidden="false" customHeight="true" outlineLevel="0" collapsed="false">
      <c r="E353" s="34" t="str">
        <f aca="false">MID(B353,9,1)</f>
        <v/>
      </c>
      <c r="F353" s="34" t="str">
        <f aca="false">MID(B353,10,1)</f>
        <v/>
      </c>
      <c r="G353" s="34" t="str">
        <f aca="false">MID(B353,11,1)</f>
        <v/>
      </c>
      <c r="H353" s="35" t="str">
        <f aca="false">IF(G353=".",F353,CONCATENATE(F353,G353))</f>
        <v/>
      </c>
      <c r="I353" s="34" t="n">
        <f aca="false">IFERROR(VALUE(H353),)</f>
        <v>0</v>
      </c>
      <c r="J353" s="34" t="e">
        <f aca="false">RIGHT(B353,LEN(B353)-FIND("/",B353, FIND("Single Cells",B353, 1)))</f>
        <v>#VALUE!</v>
      </c>
    </row>
    <row r="354" customFormat="false" ht="12.75" hidden="false" customHeight="true" outlineLevel="0" collapsed="false">
      <c r="E354" s="34" t="str">
        <f aca="false">MID(B354,9,1)</f>
        <v/>
      </c>
      <c r="F354" s="34" t="str">
        <f aca="false">MID(B354,10,1)</f>
        <v/>
      </c>
      <c r="G354" s="34" t="str">
        <f aca="false">MID(B354,11,1)</f>
        <v/>
      </c>
      <c r="H354" s="35" t="str">
        <f aca="false">IF(G354=".",F354,CONCATENATE(F354,G354))</f>
        <v/>
      </c>
      <c r="I354" s="34" t="n">
        <f aca="false">IFERROR(VALUE(H354),)</f>
        <v>0</v>
      </c>
      <c r="J354" s="34" t="e">
        <f aca="false">RIGHT(B354,LEN(B354)-FIND("/",B354, FIND("Single Cells",B354, 1)))</f>
        <v>#VALUE!</v>
      </c>
    </row>
    <row r="355" customFormat="false" ht="12.75" hidden="false" customHeight="true" outlineLevel="0" collapsed="false">
      <c r="E355" s="34" t="str">
        <f aca="false">MID(B355,9,1)</f>
        <v/>
      </c>
      <c r="F355" s="34" t="str">
        <f aca="false">MID(B355,10,1)</f>
        <v/>
      </c>
      <c r="G355" s="34" t="str">
        <f aca="false">MID(B355,11,1)</f>
        <v/>
      </c>
      <c r="H355" s="35" t="str">
        <f aca="false">IF(G355=".",F355,CONCATENATE(F355,G355))</f>
        <v/>
      </c>
      <c r="I355" s="34" t="n">
        <f aca="false">IFERROR(VALUE(H355),)</f>
        <v>0</v>
      </c>
      <c r="J355" s="34" t="e">
        <f aca="false">RIGHT(B355,LEN(B355)-FIND("/",B355, FIND("Single Cells",B355, 1)))</f>
        <v>#VALUE!</v>
      </c>
    </row>
    <row r="356" customFormat="false" ht="12.75" hidden="false" customHeight="true" outlineLevel="0" collapsed="false">
      <c r="E356" s="34" t="str">
        <f aca="false">MID(B356,9,1)</f>
        <v/>
      </c>
      <c r="F356" s="34" t="str">
        <f aca="false">MID(B356,10,1)</f>
        <v/>
      </c>
      <c r="G356" s="34" t="str">
        <f aca="false">MID(B356,11,1)</f>
        <v/>
      </c>
      <c r="H356" s="35" t="str">
        <f aca="false">IF(G356=".",F356,CONCATENATE(F356,G356))</f>
        <v/>
      </c>
      <c r="I356" s="34" t="n">
        <f aca="false">IFERROR(VALUE(H356),)</f>
        <v>0</v>
      </c>
      <c r="J356" s="34" t="e">
        <f aca="false">RIGHT(B356,LEN(B356)-FIND("/",B356, FIND("Single Cells",B356, 1)))</f>
        <v>#VALUE!</v>
      </c>
    </row>
    <row r="357" customFormat="false" ht="12.75" hidden="false" customHeight="true" outlineLevel="0" collapsed="false">
      <c r="E357" s="34" t="str">
        <f aca="false">MID(B357,9,1)</f>
        <v/>
      </c>
      <c r="F357" s="34" t="str">
        <f aca="false">MID(B357,10,1)</f>
        <v/>
      </c>
      <c r="G357" s="34" t="str">
        <f aca="false">MID(B357,11,1)</f>
        <v/>
      </c>
      <c r="H357" s="35" t="str">
        <f aca="false">IF(G357=".",F357,CONCATENATE(F357,G357))</f>
        <v/>
      </c>
      <c r="I357" s="34" t="n">
        <f aca="false">IFERROR(VALUE(H357),)</f>
        <v>0</v>
      </c>
      <c r="J357" s="34" t="e">
        <f aca="false">RIGHT(B357,LEN(B357)-FIND("/",B357, FIND("Single Cells",B357, 1)))</f>
        <v>#VALUE!</v>
      </c>
    </row>
    <row r="358" customFormat="false" ht="12.75" hidden="false" customHeight="true" outlineLevel="0" collapsed="false">
      <c r="E358" s="34" t="str">
        <f aca="false">MID(B358,9,1)</f>
        <v/>
      </c>
      <c r="F358" s="34" t="str">
        <f aca="false">MID(B358,10,1)</f>
        <v/>
      </c>
      <c r="G358" s="34" t="str">
        <f aca="false">MID(B358,11,1)</f>
        <v/>
      </c>
      <c r="H358" s="35" t="str">
        <f aca="false">IF(G358=".",F358,CONCATENATE(F358,G358))</f>
        <v/>
      </c>
      <c r="I358" s="34" t="n">
        <f aca="false">IFERROR(VALUE(H358),)</f>
        <v>0</v>
      </c>
      <c r="J358" s="34" t="e">
        <f aca="false">RIGHT(B358,LEN(B358)-FIND("/",B358, FIND("Single Cells",B358, 1)))</f>
        <v>#VALUE!</v>
      </c>
    </row>
    <row r="359" customFormat="false" ht="12.75" hidden="false" customHeight="true" outlineLevel="0" collapsed="false">
      <c r="E359" s="34" t="str">
        <f aca="false">MID(B359,9,1)</f>
        <v/>
      </c>
      <c r="F359" s="34" t="str">
        <f aca="false">MID(B359,10,1)</f>
        <v/>
      </c>
      <c r="G359" s="34" t="str">
        <f aca="false">MID(B359,11,1)</f>
        <v/>
      </c>
      <c r="H359" s="35" t="str">
        <f aca="false">IF(G359=".",F359,CONCATENATE(F359,G359))</f>
        <v/>
      </c>
      <c r="I359" s="34" t="n">
        <f aca="false">IFERROR(VALUE(H359),)</f>
        <v>0</v>
      </c>
      <c r="J359" s="34" t="e">
        <f aca="false">RIGHT(B359,LEN(B359)-FIND("/",B359, FIND("Single Cells",B359, 1)))</f>
        <v>#VALUE!</v>
      </c>
    </row>
    <row r="360" customFormat="false" ht="12.75" hidden="false" customHeight="true" outlineLevel="0" collapsed="false">
      <c r="E360" s="34" t="str">
        <f aca="false">MID(B360,9,1)</f>
        <v/>
      </c>
      <c r="F360" s="34" t="str">
        <f aca="false">MID(B360,10,1)</f>
        <v/>
      </c>
      <c r="G360" s="34" t="str">
        <f aca="false">MID(B360,11,1)</f>
        <v/>
      </c>
      <c r="H360" s="35" t="str">
        <f aca="false">IF(G360=".",F360,CONCATENATE(F360,G360))</f>
        <v/>
      </c>
      <c r="I360" s="34" t="n">
        <f aca="false">IFERROR(VALUE(H360),)</f>
        <v>0</v>
      </c>
      <c r="J360" s="34" t="e">
        <f aca="false">RIGHT(B360,LEN(B360)-FIND("/",B360, FIND("Single Cells",B360, 1)))</f>
        <v>#VALUE!</v>
      </c>
    </row>
    <row r="361" customFormat="false" ht="12.75" hidden="false" customHeight="true" outlineLevel="0" collapsed="false">
      <c r="E361" s="34" t="str">
        <f aca="false">MID(B361,9,1)</f>
        <v/>
      </c>
      <c r="F361" s="34" t="str">
        <f aca="false">MID(B361,10,1)</f>
        <v/>
      </c>
      <c r="G361" s="34" t="str">
        <f aca="false">MID(B361,11,1)</f>
        <v/>
      </c>
      <c r="H361" s="35" t="str">
        <f aca="false">IF(G361=".",F361,CONCATENATE(F361,G361))</f>
        <v/>
      </c>
      <c r="I361" s="34" t="n">
        <f aca="false">IFERROR(VALUE(H361),)</f>
        <v>0</v>
      </c>
      <c r="J361" s="34" t="e">
        <f aca="false">RIGHT(B361,LEN(B361)-FIND("/",B361, FIND("Single Cells",B361, 1)))</f>
        <v>#VALUE!</v>
      </c>
    </row>
    <row r="362" customFormat="false" ht="12.75" hidden="false" customHeight="true" outlineLevel="0" collapsed="false">
      <c r="E362" s="34" t="str">
        <f aca="false">MID(B362,9,1)</f>
        <v/>
      </c>
      <c r="F362" s="34" t="str">
        <f aca="false">MID(B362,10,1)</f>
        <v/>
      </c>
      <c r="G362" s="34" t="str">
        <f aca="false">MID(B362,11,1)</f>
        <v/>
      </c>
      <c r="H362" s="35" t="str">
        <f aca="false">IF(G362=".",F362,CONCATENATE(F362,G362))</f>
        <v/>
      </c>
      <c r="I362" s="34" t="n">
        <f aca="false">IFERROR(VALUE(H362),)</f>
        <v>0</v>
      </c>
      <c r="J362" s="34" t="e">
        <f aca="false">RIGHT(B362,LEN(B362)-FIND("/",B362, FIND("Single Cells",B362, 1)))</f>
        <v>#VALUE!</v>
      </c>
    </row>
    <row r="363" customFormat="false" ht="12.75" hidden="false" customHeight="true" outlineLevel="0" collapsed="false">
      <c r="E363" s="34" t="str">
        <f aca="false">MID(B363,9,1)</f>
        <v/>
      </c>
      <c r="F363" s="34" t="str">
        <f aca="false">MID(B363,10,1)</f>
        <v/>
      </c>
      <c r="G363" s="34" t="str">
        <f aca="false">MID(B363,11,1)</f>
        <v/>
      </c>
      <c r="H363" s="35" t="str">
        <f aca="false">IF(G363=".",F363,CONCATENATE(F363,G363))</f>
        <v/>
      </c>
      <c r="I363" s="34" t="n">
        <f aca="false">IFERROR(VALUE(H363),)</f>
        <v>0</v>
      </c>
      <c r="J363" s="34" t="e">
        <f aca="false">RIGHT(B363,LEN(B363)-FIND("/",B363, FIND("Single Cells",B363, 1)))</f>
        <v>#VALUE!</v>
      </c>
    </row>
    <row r="364" customFormat="false" ht="12.75" hidden="false" customHeight="true" outlineLevel="0" collapsed="false">
      <c r="E364" s="34" t="str">
        <f aca="false">MID(B364,9,1)</f>
        <v/>
      </c>
      <c r="F364" s="34" t="str">
        <f aca="false">MID(B364,10,1)</f>
        <v/>
      </c>
      <c r="G364" s="34" t="str">
        <f aca="false">MID(B364,11,1)</f>
        <v/>
      </c>
      <c r="H364" s="35" t="str">
        <f aca="false">IF(G364=".",F364,CONCATENATE(F364,G364))</f>
        <v/>
      </c>
      <c r="I364" s="34" t="n">
        <f aca="false">IFERROR(VALUE(H364),)</f>
        <v>0</v>
      </c>
      <c r="J364" s="34" t="e">
        <f aca="false">RIGHT(B364,LEN(B364)-FIND("/",B364, FIND("Single Cells",B364, 1)))</f>
        <v>#VALUE!</v>
      </c>
    </row>
    <row r="365" customFormat="false" ht="12.75" hidden="false" customHeight="true" outlineLevel="0" collapsed="false">
      <c r="E365" s="34" t="str">
        <f aca="false">MID(B365,9,1)</f>
        <v/>
      </c>
      <c r="F365" s="34" t="str">
        <f aca="false">MID(B365,10,1)</f>
        <v/>
      </c>
      <c r="G365" s="34" t="str">
        <f aca="false">MID(B365,11,1)</f>
        <v/>
      </c>
      <c r="H365" s="35" t="str">
        <f aca="false">IF(G365=".",F365,CONCATENATE(F365,G365))</f>
        <v/>
      </c>
      <c r="I365" s="34" t="n">
        <f aca="false">IFERROR(VALUE(H365),)</f>
        <v>0</v>
      </c>
      <c r="J365" s="34" t="e">
        <f aca="false">RIGHT(B365,LEN(B365)-FIND("/",B365, FIND("Single Cells",B365, 1)))</f>
        <v>#VALUE!</v>
      </c>
    </row>
    <row r="366" customFormat="false" ht="12.75" hidden="false" customHeight="true" outlineLevel="0" collapsed="false">
      <c r="E366" s="34" t="str">
        <f aca="false">MID(B366,9,1)</f>
        <v/>
      </c>
      <c r="F366" s="34" t="str">
        <f aca="false">MID(B366,10,1)</f>
        <v/>
      </c>
      <c r="G366" s="34" t="str">
        <f aca="false">MID(B366,11,1)</f>
        <v/>
      </c>
      <c r="H366" s="35" t="str">
        <f aca="false">IF(G366=".",F366,CONCATENATE(F366,G366))</f>
        <v/>
      </c>
      <c r="I366" s="34" t="n">
        <f aca="false">IFERROR(VALUE(H366),)</f>
        <v>0</v>
      </c>
      <c r="J366" s="34" t="e">
        <f aca="false">RIGHT(B366,LEN(B366)-FIND("/",B366, FIND("Single Cells",B366, 1)))</f>
        <v>#VALUE!</v>
      </c>
    </row>
    <row r="367" customFormat="false" ht="12.75" hidden="false" customHeight="true" outlineLevel="0" collapsed="false">
      <c r="E367" s="34" t="str">
        <f aca="false">MID(B367,9,1)</f>
        <v/>
      </c>
      <c r="F367" s="34" t="str">
        <f aca="false">MID(B367,10,1)</f>
        <v/>
      </c>
      <c r="G367" s="34" t="str">
        <f aca="false">MID(B367,11,1)</f>
        <v/>
      </c>
      <c r="H367" s="35" t="str">
        <f aca="false">IF(G367=".",F367,CONCATENATE(F367,G367))</f>
        <v/>
      </c>
      <c r="I367" s="34" t="n">
        <f aca="false">IFERROR(VALUE(H367),)</f>
        <v>0</v>
      </c>
      <c r="J367" s="34" t="e">
        <f aca="false">RIGHT(B367,LEN(B367)-FIND("/",B367, FIND("Single Cells",B367, 1)))</f>
        <v>#VALUE!</v>
      </c>
    </row>
    <row r="368" customFormat="false" ht="12.75" hidden="false" customHeight="true" outlineLevel="0" collapsed="false">
      <c r="E368" s="34" t="str">
        <f aca="false">MID(B368,9,1)</f>
        <v/>
      </c>
      <c r="F368" s="34" t="str">
        <f aca="false">MID(B368,10,1)</f>
        <v/>
      </c>
      <c r="G368" s="34" t="str">
        <f aca="false">MID(B368,11,1)</f>
        <v/>
      </c>
      <c r="H368" s="35" t="str">
        <f aca="false">IF(G368=".",F368,CONCATENATE(F368,G368))</f>
        <v/>
      </c>
      <c r="I368" s="34" t="n">
        <f aca="false">IFERROR(VALUE(H368),)</f>
        <v>0</v>
      </c>
      <c r="J368" s="34" t="e">
        <f aca="false">RIGHT(B368,LEN(B368)-FIND("/",B368, FIND("Single Cells",B368, 1)))</f>
        <v>#VALUE!</v>
      </c>
    </row>
    <row r="369" customFormat="false" ht="12.75" hidden="false" customHeight="true" outlineLevel="0" collapsed="false">
      <c r="E369" s="34" t="str">
        <f aca="false">MID(B369,9,1)</f>
        <v/>
      </c>
      <c r="F369" s="34" t="str">
        <f aca="false">MID(B369,10,1)</f>
        <v/>
      </c>
      <c r="G369" s="34" t="str">
        <f aca="false">MID(B369,11,1)</f>
        <v/>
      </c>
      <c r="H369" s="35" t="str">
        <f aca="false">IF(G369=".",F369,CONCATENATE(F369,G369))</f>
        <v/>
      </c>
      <c r="I369" s="34" t="n">
        <f aca="false">IFERROR(VALUE(H369),)</f>
        <v>0</v>
      </c>
      <c r="J369" s="34" t="e">
        <f aca="false">RIGHT(B369,LEN(B369)-FIND("/",B369, FIND("Single Cells",B369, 1)))</f>
        <v>#VALUE!</v>
      </c>
    </row>
    <row r="370" customFormat="false" ht="12.75" hidden="false" customHeight="true" outlineLevel="0" collapsed="false">
      <c r="E370" s="34" t="str">
        <f aca="false">MID(B370,9,1)</f>
        <v/>
      </c>
      <c r="F370" s="34" t="str">
        <f aca="false">MID(B370,10,1)</f>
        <v/>
      </c>
      <c r="G370" s="34" t="str">
        <f aca="false">MID(B370,11,1)</f>
        <v/>
      </c>
      <c r="H370" s="35" t="str">
        <f aca="false">IF(G370=".",F370,CONCATENATE(F370,G370))</f>
        <v/>
      </c>
      <c r="I370" s="34" t="n">
        <f aca="false">IFERROR(VALUE(H370),)</f>
        <v>0</v>
      </c>
      <c r="J370" s="34" t="e">
        <f aca="false">RIGHT(B370,LEN(B370)-FIND("/",B370, FIND("Single Cells",B370, 1)))</f>
        <v>#VALUE!</v>
      </c>
    </row>
    <row r="371" customFormat="false" ht="12.75" hidden="false" customHeight="true" outlineLevel="0" collapsed="false">
      <c r="E371" s="34" t="str">
        <f aca="false">MID(B371,9,1)</f>
        <v/>
      </c>
      <c r="F371" s="34" t="str">
        <f aca="false">MID(B371,10,1)</f>
        <v/>
      </c>
      <c r="G371" s="34" t="str">
        <f aca="false">MID(B371,11,1)</f>
        <v/>
      </c>
      <c r="H371" s="35" t="str">
        <f aca="false">IF(G371=".",F371,CONCATENATE(F371,G371))</f>
        <v/>
      </c>
      <c r="I371" s="34" t="n">
        <f aca="false">IFERROR(VALUE(H371),)</f>
        <v>0</v>
      </c>
      <c r="J371" s="34" t="e">
        <f aca="false">RIGHT(B371,LEN(B371)-FIND("/",B371, FIND("Single Cells",B371, 1)))</f>
        <v>#VALUE!</v>
      </c>
    </row>
    <row r="372" customFormat="false" ht="12.75" hidden="false" customHeight="true" outlineLevel="0" collapsed="false">
      <c r="E372" s="34" t="str">
        <f aca="false">MID(B372,9,1)</f>
        <v/>
      </c>
      <c r="F372" s="34" t="str">
        <f aca="false">MID(B372,10,1)</f>
        <v/>
      </c>
      <c r="G372" s="34" t="str">
        <f aca="false">MID(B372,11,1)</f>
        <v/>
      </c>
      <c r="H372" s="35" t="str">
        <f aca="false">IF(G372=".",F372,CONCATENATE(F372,G372))</f>
        <v/>
      </c>
      <c r="I372" s="34" t="n">
        <f aca="false">IFERROR(VALUE(H372),)</f>
        <v>0</v>
      </c>
      <c r="J372" s="34" t="e">
        <f aca="false">RIGHT(B372,LEN(B372)-FIND("/",B372, FIND("Single Cells",B372, 1)))</f>
        <v>#VALUE!</v>
      </c>
    </row>
    <row r="373" customFormat="false" ht="12.75" hidden="false" customHeight="true" outlineLevel="0" collapsed="false">
      <c r="E373" s="34" t="str">
        <f aca="false">MID(B373,9,1)</f>
        <v/>
      </c>
      <c r="F373" s="34" t="str">
        <f aca="false">MID(B373,10,1)</f>
        <v/>
      </c>
      <c r="G373" s="34" t="str">
        <f aca="false">MID(B373,11,1)</f>
        <v/>
      </c>
      <c r="H373" s="35" t="str">
        <f aca="false">IF(G373=".",F373,CONCATENATE(F373,G373))</f>
        <v/>
      </c>
      <c r="I373" s="34" t="n">
        <f aca="false">IFERROR(VALUE(H373),)</f>
        <v>0</v>
      </c>
      <c r="J373" s="34" t="e">
        <f aca="false">RIGHT(B373,LEN(B373)-FIND("/",B373, FIND("Single Cells",B373, 1)))</f>
        <v>#VALUE!</v>
      </c>
    </row>
    <row r="374" customFormat="false" ht="12.75" hidden="false" customHeight="true" outlineLevel="0" collapsed="false">
      <c r="E374" s="34" t="str">
        <f aca="false">MID(B374,9,1)</f>
        <v/>
      </c>
      <c r="F374" s="34" t="str">
        <f aca="false">MID(B374,10,1)</f>
        <v/>
      </c>
      <c r="G374" s="34" t="str">
        <f aca="false">MID(B374,11,1)</f>
        <v/>
      </c>
      <c r="H374" s="35" t="str">
        <f aca="false">IF(G374=".",F374,CONCATENATE(F374,G374))</f>
        <v/>
      </c>
      <c r="I374" s="34" t="n">
        <f aca="false">IFERROR(VALUE(H374),)</f>
        <v>0</v>
      </c>
      <c r="J374" s="34" t="e">
        <f aca="false">RIGHT(B374,LEN(B374)-FIND("/",B374, FIND("Single Cells",B374, 1)))</f>
        <v>#VALUE!</v>
      </c>
    </row>
    <row r="375" customFormat="false" ht="12.75" hidden="false" customHeight="true" outlineLevel="0" collapsed="false">
      <c r="E375" s="34" t="str">
        <f aca="false">MID(B375,9,1)</f>
        <v/>
      </c>
      <c r="F375" s="34" t="str">
        <f aca="false">MID(B375,10,1)</f>
        <v/>
      </c>
      <c r="G375" s="34" t="str">
        <f aca="false">MID(B375,11,1)</f>
        <v/>
      </c>
      <c r="H375" s="35" t="str">
        <f aca="false">IF(G375=".",F375,CONCATENATE(F375,G375))</f>
        <v/>
      </c>
      <c r="I375" s="34" t="n">
        <f aca="false">IFERROR(VALUE(H375),)</f>
        <v>0</v>
      </c>
      <c r="J375" s="34" t="e">
        <f aca="false">RIGHT(B375,LEN(B375)-FIND("/",B375, FIND("Single Cells",B375, 1)))</f>
        <v>#VALUE!</v>
      </c>
    </row>
    <row r="376" customFormat="false" ht="12.75" hidden="false" customHeight="true" outlineLevel="0" collapsed="false">
      <c r="E376" s="34" t="str">
        <f aca="false">MID(B376,9,1)</f>
        <v/>
      </c>
      <c r="F376" s="34" t="str">
        <f aca="false">MID(B376,10,1)</f>
        <v/>
      </c>
      <c r="G376" s="34" t="str">
        <f aca="false">MID(B376,11,1)</f>
        <v/>
      </c>
      <c r="H376" s="35" t="str">
        <f aca="false">IF(G376=".",F376,CONCATENATE(F376,G376))</f>
        <v/>
      </c>
      <c r="I376" s="34" t="n">
        <f aca="false">IFERROR(VALUE(H376),)</f>
        <v>0</v>
      </c>
      <c r="J376" s="34" t="e">
        <f aca="false">RIGHT(B376,LEN(B376)-FIND("/",B376, FIND("Single Cells",B376, 1)))</f>
        <v>#VALUE!</v>
      </c>
    </row>
    <row r="377" customFormat="false" ht="12.75" hidden="false" customHeight="true" outlineLevel="0" collapsed="false">
      <c r="E377" s="34" t="str">
        <f aca="false">MID(B377,9,1)</f>
        <v/>
      </c>
      <c r="F377" s="34" t="str">
        <f aca="false">MID(B377,10,1)</f>
        <v/>
      </c>
      <c r="G377" s="34" t="str">
        <f aca="false">MID(B377,11,1)</f>
        <v/>
      </c>
      <c r="H377" s="35" t="str">
        <f aca="false">IF(G377=".",F377,CONCATENATE(F377,G377))</f>
        <v/>
      </c>
      <c r="I377" s="34" t="n">
        <f aca="false">IFERROR(VALUE(H377),)</f>
        <v>0</v>
      </c>
      <c r="J377" s="34" t="e">
        <f aca="false">RIGHT(B377,LEN(B377)-FIND("/",B377, FIND("Single Cells",B377, 1)))</f>
        <v>#VALUE!</v>
      </c>
    </row>
    <row r="378" customFormat="false" ht="12.75" hidden="false" customHeight="true" outlineLevel="0" collapsed="false">
      <c r="E378" s="34" t="str">
        <f aca="false">MID(B378,9,1)</f>
        <v/>
      </c>
      <c r="F378" s="34" t="str">
        <f aca="false">MID(B378,10,1)</f>
        <v/>
      </c>
      <c r="G378" s="34" t="str">
        <f aca="false">MID(B378,11,1)</f>
        <v/>
      </c>
      <c r="H378" s="35" t="str">
        <f aca="false">IF(G378=".",F378,CONCATENATE(F378,G378))</f>
        <v/>
      </c>
      <c r="I378" s="34" t="n">
        <f aca="false">IFERROR(VALUE(H378),)</f>
        <v>0</v>
      </c>
      <c r="J378" s="34" t="e">
        <f aca="false">RIGHT(B378,LEN(B378)-FIND("/",B378, FIND("Single Cells",B378, 1)))</f>
        <v>#VALUE!</v>
      </c>
    </row>
    <row r="379" customFormat="false" ht="12.75" hidden="false" customHeight="true" outlineLevel="0" collapsed="false">
      <c r="E379" s="34" t="str">
        <f aca="false">MID(B379,9,1)</f>
        <v/>
      </c>
      <c r="F379" s="34" t="str">
        <f aca="false">MID(B379,10,1)</f>
        <v/>
      </c>
      <c r="G379" s="34" t="str">
        <f aca="false">MID(B379,11,1)</f>
        <v/>
      </c>
      <c r="H379" s="35" t="str">
        <f aca="false">IF(G379=".",F379,CONCATENATE(F379,G379))</f>
        <v/>
      </c>
      <c r="I379" s="34" t="n">
        <f aca="false">IFERROR(VALUE(H379),)</f>
        <v>0</v>
      </c>
      <c r="J379" s="34" t="e">
        <f aca="false">RIGHT(B379,LEN(B379)-FIND("/",B379, FIND("Single Cells",B379, 1)))</f>
        <v>#VALUE!</v>
      </c>
    </row>
    <row r="380" customFormat="false" ht="12.75" hidden="false" customHeight="true" outlineLevel="0" collapsed="false">
      <c r="E380" s="34" t="str">
        <f aca="false">MID(B380,9,1)</f>
        <v/>
      </c>
      <c r="F380" s="34" t="str">
        <f aca="false">MID(B380,10,1)</f>
        <v/>
      </c>
      <c r="G380" s="34" t="str">
        <f aca="false">MID(B380,11,1)</f>
        <v/>
      </c>
      <c r="H380" s="35" t="str">
        <f aca="false">IF(G380=".",F380,CONCATENATE(F380,G380))</f>
        <v/>
      </c>
      <c r="I380" s="34" t="n">
        <f aca="false">IFERROR(VALUE(H380),)</f>
        <v>0</v>
      </c>
      <c r="J380" s="34" t="e">
        <f aca="false">RIGHT(B380,LEN(B380)-FIND("/",B380, FIND("Single Cells",B380, 1)))</f>
        <v>#VALUE!</v>
      </c>
    </row>
    <row r="381" customFormat="false" ht="12.75" hidden="false" customHeight="true" outlineLevel="0" collapsed="false">
      <c r="E381" s="34" t="str">
        <f aca="false">MID(B381,9,1)</f>
        <v/>
      </c>
      <c r="F381" s="34" t="str">
        <f aca="false">MID(B381,10,1)</f>
        <v/>
      </c>
      <c r="G381" s="34" t="str">
        <f aca="false">MID(B381,11,1)</f>
        <v/>
      </c>
      <c r="H381" s="35" t="str">
        <f aca="false">IF(G381=".",F381,CONCATENATE(F381,G381))</f>
        <v/>
      </c>
      <c r="I381" s="34" t="n">
        <f aca="false">IFERROR(VALUE(H381),)</f>
        <v>0</v>
      </c>
      <c r="J381" s="34" t="e">
        <f aca="false">RIGHT(B381,LEN(B381)-FIND("/",B381, FIND("Single Cells",B381, 1)))</f>
        <v>#VALUE!</v>
      </c>
    </row>
    <row r="382" customFormat="false" ht="12.75" hidden="false" customHeight="true" outlineLevel="0" collapsed="false">
      <c r="E382" s="34" t="str">
        <f aca="false">MID(B382,9,1)</f>
        <v/>
      </c>
      <c r="F382" s="34" t="str">
        <f aca="false">MID(B382,10,1)</f>
        <v/>
      </c>
      <c r="G382" s="34" t="str">
        <f aca="false">MID(B382,11,1)</f>
        <v/>
      </c>
      <c r="H382" s="35" t="str">
        <f aca="false">IF(G382=".",F382,CONCATENATE(F382,G382))</f>
        <v/>
      </c>
      <c r="I382" s="34" t="n">
        <f aca="false">IFERROR(VALUE(H382),)</f>
        <v>0</v>
      </c>
      <c r="J382" s="34" t="e">
        <f aca="false">RIGHT(B382,LEN(B382)-FIND("/",B382, FIND("Single Cells",B382, 1)))</f>
        <v>#VALUE!</v>
      </c>
    </row>
    <row r="383" customFormat="false" ht="12.75" hidden="false" customHeight="true" outlineLevel="0" collapsed="false">
      <c r="E383" s="34" t="str">
        <f aca="false">MID(B383,9,1)</f>
        <v/>
      </c>
      <c r="F383" s="34" t="str">
        <f aca="false">MID(B383,10,1)</f>
        <v/>
      </c>
      <c r="G383" s="34" t="str">
        <f aca="false">MID(B383,11,1)</f>
        <v/>
      </c>
      <c r="H383" s="35" t="str">
        <f aca="false">IF(G383=".",F383,CONCATENATE(F383,G383))</f>
        <v/>
      </c>
      <c r="I383" s="34" t="n">
        <f aca="false">IFERROR(VALUE(H383),)</f>
        <v>0</v>
      </c>
      <c r="J383" s="34" t="e">
        <f aca="false">RIGHT(B383,LEN(B383)-FIND("/",B383, FIND("Single Cells",B383, 1)))</f>
        <v>#VALUE!</v>
      </c>
    </row>
    <row r="384" customFormat="false" ht="12.75" hidden="false" customHeight="true" outlineLevel="0" collapsed="false">
      <c r="E384" s="34" t="str">
        <f aca="false">MID(B384,9,1)</f>
        <v/>
      </c>
      <c r="F384" s="34" t="str">
        <f aca="false">MID(B384,10,1)</f>
        <v/>
      </c>
      <c r="G384" s="34" t="str">
        <f aca="false">MID(B384,11,1)</f>
        <v/>
      </c>
      <c r="H384" s="35" t="str">
        <f aca="false">IF(G384=".",F384,CONCATENATE(F384,G384))</f>
        <v/>
      </c>
      <c r="I384" s="34" t="n">
        <f aca="false">IFERROR(VALUE(H384),)</f>
        <v>0</v>
      </c>
      <c r="J384" s="34" t="e">
        <f aca="false">RIGHT(B384,LEN(B384)-FIND("/",B384, FIND("Single Cells",B384, 1)))</f>
        <v>#VALUE!</v>
      </c>
    </row>
    <row r="385" customFormat="false" ht="12.75" hidden="false" customHeight="true" outlineLevel="0" collapsed="false">
      <c r="E385" s="34" t="str">
        <f aca="false">MID(B385,9,1)</f>
        <v/>
      </c>
      <c r="F385" s="34" t="str">
        <f aca="false">MID(B385,10,1)</f>
        <v/>
      </c>
      <c r="G385" s="34" t="str">
        <f aca="false">MID(B385,11,1)</f>
        <v/>
      </c>
      <c r="H385" s="35" t="str">
        <f aca="false">IF(G385=".",F385,CONCATENATE(F385,G385))</f>
        <v/>
      </c>
      <c r="I385" s="34" t="n">
        <f aca="false">IFERROR(VALUE(H385),)</f>
        <v>0</v>
      </c>
      <c r="J385" s="34" t="e">
        <f aca="false">RIGHT(B385,LEN(B385)-FIND("/",B385, FIND("Single Cells",B385, 1)))</f>
        <v>#VALUE!</v>
      </c>
    </row>
    <row r="386" customFormat="false" ht="12.75" hidden="false" customHeight="true" outlineLevel="0" collapsed="false">
      <c r="E386" s="34" t="str">
        <f aca="false">MID(B386,9,1)</f>
        <v/>
      </c>
      <c r="F386" s="34" t="str">
        <f aca="false">MID(B386,10,1)</f>
        <v/>
      </c>
      <c r="G386" s="34" t="str">
        <f aca="false">MID(B386,11,1)</f>
        <v/>
      </c>
      <c r="H386" s="35" t="str">
        <f aca="false">IF(G386=".",F386,CONCATENATE(F386,G386))</f>
        <v/>
      </c>
      <c r="I386" s="34" t="n">
        <f aca="false">IFERROR(VALUE(H386),)</f>
        <v>0</v>
      </c>
      <c r="J386" s="34" t="e">
        <f aca="false">RIGHT(B386,LEN(B386)-FIND("/",B386, FIND("Single Cells",B386, 1)))</f>
        <v>#VALUE!</v>
      </c>
    </row>
    <row r="387" customFormat="false" ht="12.75" hidden="false" customHeight="true" outlineLevel="0" collapsed="false">
      <c r="E387" s="34" t="str">
        <f aca="false">MID(B387,9,1)</f>
        <v/>
      </c>
      <c r="F387" s="34" t="str">
        <f aca="false">MID(B387,10,1)</f>
        <v/>
      </c>
      <c r="G387" s="34" t="str">
        <f aca="false">MID(B387,11,1)</f>
        <v/>
      </c>
      <c r="H387" s="35" t="str">
        <f aca="false">IF(G387=".",F387,CONCATENATE(F387,G387))</f>
        <v/>
      </c>
      <c r="I387" s="34" t="n">
        <f aca="false">IFERROR(VALUE(H387),)</f>
        <v>0</v>
      </c>
      <c r="J387" s="34" t="e">
        <f aca="false">RIGHT(B387,LEN(B387)-FIND("/",B387, FIND("Single Cells",B387, 1)))</f>
        <v>#VALUE!</v>
      </c>
    </row>
    <row r="388" customFormat="false" ht="12.75" hidden="false" customHeight="true" outlineLevel="0" collapsed="false">
      <c r="E388" s="34" t="str">
        <f aca="false">MID(B388,9,1)</f>
        <v/>
      </c>
      <c r="F388" s="34" t="str">
        <f aca="false">MID(B388,10,1)</f>
        <v/>
      </c>
      <c r="G388" s="34" t="str">
        <f aca="false">MID(B388,11,1)</f>
        <v/>
      </c>
      <c r="H388" s="35" t="str">
        <f aca="false">IF(G388=".",F388,CONCATENATE(F388,G388))</f>
        <v/>
      </c>
      <c r="I388" s="34" t="n">
        <f aca="false">IFERROR(VALUE(H388),)</f>
        <v>0</v>
      </c>
      <c r="J388" s="34" t="e">
        <f aca="false">RIGHT(B388,LEN(B388)-FIND("/",B388, FIND("Single Cells",B388, 1)))</f>
        <v>#VALUE!</v>
      </c>
    </row>
    <row r="389" customFormat="false" ht="12.75" hidden="false" customHeight="true" outlineLevel="0" collapsed="false">
      <c r="E389" s="34" t="str">
        <f aca="false">MID(B389,9,1)</f>
        <v/>
      </c>
      <c r="F389" s="34" t="str">
        <f aca="false">MID(B389,10,1)</f>
        <v/>
      </c>
      <c r="G389" s="34" t="str">
        <f aca="false">MID(B389,11,1)</f>
        <v/>
      </c>
      <c r="H389" s="35" t="str">
        <f aca="false">IF(G389=".",F389,CONCATENATE(F389,G389))</f>
        <v/>
      </c>
      <c r="I389" s="34" t="n">
        <f aca="false">IFERROR(VALUE(H389),)</f>
        <v>0</v>
      </c>
      <c r="J389" s="34" t="e">
        <f aca="false">RIGHT(B389,LEN(B389)-FIND("/",B389, FIND("Single Cells",B389, 1)))</f>
        <v>#VALUE!</v>
      </c>
    </row>
    <row r="390" customFormat="false" ht="12.75" hidden="false" customHeight="true" outlineLevel="0" collapsed="false">
      <c r="E390" s="34" t="str">
        <f aca="false">MID(B390,9,1)</f>
        <v/>
      </c>
      <c r="F390" s="34" t="str">
        <f aca="false">MID(B390,10,1)</f>
        <v/>
      </c>
      <c r="G390" s="34" t="str">
        <f aca="false">MID(B390,11,1)</f>
        <v/>
      </c>
      <c r="H390" s="35" t="str">
        <f aca="false">IF(G390=".",F390,CONCATENATE(F390,G390))</f>
        <v/>
      </c>
      <c r="I390" s="34" t="n">
        <f aca="false">IFERROR(VALUE(H390),)</f>
        <v>0</v>
      </c>
      <c r="J390" s="34" t="e">
        <f aca="false">RIGHT(B390,LEN(B390)-FIND("/",B390, FIND("Single Cells",B390, 1)))</f>
        <v>#VALUE!</v>
      </c>
    </row>
    <row r="391" customFormat="false" ht="12.75" hidden="false" customHeight="true" outlineLevel="0" collapsed="false">
      <c r="E391" s="34" t="str">
        <f aca="false">MID(B391,9,1)</f>
        <v/>
      </c>
      <c r="F391" s="34" t="str">
        <f aca="false">MID(B391,10,1)</f>
        <v/>
      </c>
      <c r="G391" s="34" t="str">
        <f aca="false">MID(B391,11,1)</f>
        <v/>
      </c>
      <c r="H391" s="35" t="str">
        <f aca="false">IF(G391=".",F391,CONCATENATE(F391,G391))</f>
        <v/>
      </c>
      <c r="I391" s="34" t="n">
        <f aca="false">IFERROR(VALUE(H391),)</f>
        <v>0</v>
      </c>
      <c r="J391" s="34" t="e">
        <f aca="false">RIGHT(B391,LEN(B391)-FIND("/",B391, FIND("Single Cells",B391, 1)))</f>
        <v>#VALUE!</v>
      </c>
    </row>
    <row r="392" customFormat="false" ht="12.75" hidden="false" customHeight="true" outlineLevel="0" collapsed="false">
      <c r="E392" s="34" t="str">
        <f aca="false">MID(B392,9,1)</f>
        <v/>
      </c>
      <c r="F392" s="34" t="str">
        <f aca="false">MID(B392,10,1)</f>
        <v/>
      </c>
      <c r="G392" s="34" t="str">
        <f aca="false">MID(B392,11,1)</f>
        <v/>
      </c>
      <c r="H392" s="35" t="str">
        <f aca="false">IF(G392=".",F392,CONCATENATE(F392,G392))</f>
        <v/>
      </c>
      <c r="I392" s="34" t="n">
        <f aca="false">IFERROR(VALUE(H392),)</f>
        <v>0</v>
      </c>
      <c r="J392" s="34" t="e">
        <f aca="false">RIGHT(B392,LEN(B392)-FIND("/",B392, FIND("Single Cells",B392, 1)))</f>
        <v>#VALUE!</v>
      </c>
    </row>
    <row r="393" customFormat="false" ht="12.75" hidden="false" customHeight="true" outlineLevel="0" collapsed="false">
      <c r="E393" s="34" t="str">
        <f aca="false">MID(B393,9,1)</f>
        <v/>
      </c>
      <c r="F393" s="34" t="str">
        <f aca="false">MID(B393,10,1)</f>
        <v/>
      </c>
      <c r="G393" s="34" t="str">
        <f aca="false">MID(B393,11,1)</f>
        <v/>
      </c>
      <c r="H393" s="35" t="str">
        <f aca="false">IF(G393=".",F393,CONCATENATE(F393,G393))</f>
        <v/>
      </c>
      <c r="I393" s="34" t="n">
        <f aca="false">IFERROR(VALUE(H393),)</f>
        <v>0</v>
      </c>
      <c r="J393" s="34" t="e">
        <f aca="false">RIGHT(B393,LEN(B393)-FIND("/",B393, FIND("Single Cells",B393, 1)))</f>
        <v>#VALUE!</v>
      </c>
    </row>
    <row r="394" customFormat="false" ht="12.75" hidden="false" customHeight="true" outlineLevel="0" collapsed="false">
      <c r="E394" s="34" t="str">
        <f aca="false">MID(B394,9,1)</f>
        <v/>
      </c>
      <c r="F394" s="34" t="str">
        <f aca="false">MID(B394,10,1)</f>
        <v/>
      </c>
      <c r="G394" s="34" t="str">
        <f aca="false">MID(B394,11,1)</f>
        <v/>
      </c>
      <c r="H394" s="35" t="str">
        <f aca="false">IF(G394=".",F394,CONCATENATE(F394,G394))</f>
        <v/>
      </c>
      <c r="I394" s="34" t="n">
        <f aca="false">IFERROR(VALUE(H394),)</f>
        <v>0</v>
      </c>
      <c r="J394" s="34" t="e">
        <f aca="false">RIGHT(B394,LEN(B394)-FIND("/",B394, FIND("Single Cells",B394, 1)))</f>
        <v>#VALUE!</v>
      </c>
    </row>
    <row r="395" customFormat="false" ht="12.75" hidden="false" customHeight="true" outlineLevel="0" collapsed="false">
      <c r="E395" s="34" t="str">
        <f aca="false">MID(B395,9,1)</f>
        <v/>
      </c>
      <c r="F395" s="34" t="str">
        <f aca="false">MID(B395,10,1)</f>
        <v/>
      </c>
      <c r="G395" s="34" t="str">
        <f aca="false">MID(B395,11,1)</f>
        <v/>
      </c>
      <c r="H395" s="35" t="str">
        <f aca="false">IF(G395=".",F395,CONCATENATE(F395,G395))</f>
        <v/>
      </c>
      <c r="I395" s="34" t="n">
        <f aca="false">IFERROR(VALUE(H395),)</f>
        <v>0</v>
      </c>
      <c r="J395" s="34" t="e">
        <f aca="false">RIGHT(B395,LEN(B395)-FIND("/",B395, FIND("Single Cells",B395, 1)))</f>
        <v>#VALUE!</v>
      </c>
    </row>
    <row r="396" customFormat="false" ht="12.75" hidden="false" customHeight="true" outlineLevel="0" collapsed="false">
      <c r="E396" s="34" t="str">
        <f aca="false">MID(B396,9,1)</f>
        <v/>
      </c>
      <c r="F396" s="34" t="str">
        <f aca="false">MID(B396,10,1)</f>
        <v/>
      </c>
      <c r="G396" s="34" t="str">
        <f aca="false">MID(B396,11,1)</f>
        <v/>
      </c>
      <c r="H396" s="35" t="str">
        <f aca="false">IF(G396=".",F396,CONCATENATE(F396,G396))</f>
        <v/>
      </c>
      <c r="I396" s="34" t="n">
        <f aca="false">IFERROR(VALUE(H396),)</f>
        <v>0</v>
      </c>
      <c r="J396" s="34" t="e">
        <f aca="false">RIGHT(B396,LEN(B396)-FIND("/",B396, FIND("Single Cells",B396, 1)))</f>
        <v>#VALUE!</v>
      </c>
    </row>
    <row r="397" customFormat="false" ht="12.75" hidden="false" customHeight="true" outlineLevel="0" collapsed="false">
      <c r="E397" s="34" t="str">
        <f aca="false">MID(B397,9,1)</f>
        <v/>
      </c>
      <c r="F397" s="34" t="str">
        <f aca="false">MID(B397,10,1)</f>
        <v/>
      </c>
      <c r="G397" s="34" t="str">
        <f aca="false">MID(B397,11,1)</f>
        <v/>
      </c>
      <c r="H397" s="35" t="str">
        <f aca="false">IF(G397=".",F397,CONCATENATE(F397,G397))</f>
        <v/>
      </c>
      <c r="I397" s="34" t="n">
        <f aca="false">IFERROR(VALUE(H397),)</f>
        <v>0</v>
      </c>
      <c r="J397" s="34" t="e">
        <f aca="false">RIGHT(B397,LEN(B397)-FIND("/",B397, FIND("Single Cells",B397, 1)))</f>
        <v>#VALUE!</v>
      </c>
    </row>
    <row r="398" customFormat="false" ht="12.75" hidden="false" customHeight="true" outlineLevel="0" collapsed="false">
      <c r="E398" s="34" t="str">
        <f aca="false">MID(B398,9,1)</f>
        <v/>
      </c>
      <c r="F398" s="34" t="str">
        <f aca="false">MID(B398,10,1)</f>
        <v/>
      </c>
      <c r="G398" s="34" t="str">
        <f aca="false">MID(B398,11,1)</f>
        <v/>
      </c>
      <c r="H398" s="35" t="str">
        <f aca="false">IF(G398=".",F398,CONCATENATE(F398,G398))</f>
        <v/>
      </c>
      <c r="I398" s="34" t="n">
        <f aca="false">IFERROR(VALUE(H398),)</f>
        <v>0</v>
      </c>
      <c r="J398" s="34" t="e">
        <f aca="false">RIGHT(B398,LEN(B398)-FIND("/",B398, FIND("Single Cells",B398, 1)))</f>
        <v>#VALUE!</v>
      </c>
    </row>
    <row r="399" customFormat="false" ht="12.75" hidden="false" customHeight="true" outlineLevel="0" collapsed="false">
      <c r="E399" s="34" t="str">
        <f aca="false">MID(B399,9,1)</f>
        <v/>
      </c>
      <c r="F399" s="34" t="str">
        <f aca="false">MID(B399,10,1)</f>
        <v/>
      </c>
      <c r="G399" s="34" t="str">
        <f aca="false">MID(B399,11,1)</f>
        <v/>
      </c>
      <c r="H399" s="35" t="str">
        <f aca="false">IF(G399=".",F399,CONCATENATE(F399,G399))</f>
        <v/>
      </c>
      <c r="I399" s="34" t="n">
        <f aca="false">IFERROR(VALUE(H399),)</f>
        <v>0</v>
      </c>
      <c r="J399" s="34" t="e">
        <f aca="false">RIGHT(B399,LEN(B399)-FIND("/",B399, FIND("Single Cells",B399, 1)))</f>
        <v>#VALUE!</v>
      </c>
    </row>
    <row r="400" customFormat="false" ht="12.75" hidden="false" customHeight="true" outlineLevel="0" collapsed="false">
      <c r="E400" s="34" t="str">
        <f aca="false">MID(B400,9,1)</f>
        <v/>
      </c>
      <c r="F400" s="34" t="str">
        <f aca="false">MID(B400,10,1)</f>
        <v/>
      </c>
      <c r="G400" s="34" t="str">
        <f aca="false">MID(B400,11,1)</f>
        <v/>
      </c>
      <c r="H400" s="35" t="str">
        <f aca="false">IF(G400=".",F400,CONCATENATE(F400,G400))</f>
        <v/>
      </c>
      <c r="I400" s="34" t="n">
        <f aca="false">IFERROR(VALUE(H400),)</f>
        <v>0</v>
      </c>
      <c r="J400" s="34" t="e">
        <f aca="false">RIGHT(B400,LEN(B400)-FIND("/",B400, FIND("Single Cells",B400, 1)))</f>
        <v>#VALUE!</v>
      </c>
    </row>
    <row r="401" customFormat="false" ht="12.75" hidden="false" customHeight="true" outlineLevel="0" collapsed="false">
      <c r="E401" s="34" t="str">
        <f aca="false">MID(B401,9,1)</f>
        <v/>
      </c>
      <c r="F401" s="34" t="str">
        <f aca="false">MID(B401,10,1)</f>
        <v/>
      </c>
      <c r="G401" s="34" t="str">
        <f aca="false">MID(B401,11,1)</f>
        <v/>
      </c>
      <c r="H401" s="35" t="str">
        <f aca="false">IF(G401=".",F401,CONCATENATE(F401,G401))</f>
        <v/>
      </c>
      <c r="I401" s="34" t="n">
        <f aca="false">IFERROR(VALUE(H401),)</f>
        <v>0</v>
      </c>
      <c r="J401" s="34" t="e">
        <f aca="false">RIGHT(B401,LEN(B401)-FIND("/",B401, FIND("Single Cells",B401, 1)))</f>
        <v>#VALUE!</v>
      </c>
    </row>
    <row r="402" customFormat="false" ht="12.75" hidden="false" customHeight="true" outlineLevel="0" collapsed="false">
      <c r="E402" s="34" t="str">
        <f aca="false">MID(B402,9,1)</f>
        <v/>
      </c>
      <c r="F402" s="34" t="str">
        <f aca="false">MID(B402,10,1)</f>
        <v/>
      </c>
      <c r="G402" s="34" t="str">
        <f aca="false">MID(B402,11,1)</f>
        <v/>
      </c>
      <c r="H402" s="35" t="str">
        <f aca="false">IF(G402=".",F402,CONCATENATE(F402,G402))</f>
        <v/>
      </c>
      <c r="I402" s="34" t="n">
        <f aca="false">IFERROR(VALUE(H402),)</f>
        <v>0</v>
      </c>
      <c r="J402" s="34" t="e">
        <f aca="false">RIGHT(B402,LEN(B402)-FIND("/",B402, FIND("Single Cells",B402, 1)))</f>
        <v>#VALUE!</v>
      </c>
    </row>
    <row r="403" customFormat="false" ht="12.75" hidden="false" customHeight="true" outlineLevel="0" collapsed="false">
      <c r="E403" s="34" t="str">
        <f aca="false">MID(B403,9,1)</f>
        <v/>
      </c>
      <c r="F403" s="34" t="str">
        <f aca="false">MID(B403,10,1)</f>
        <v/>
      </c>
      <c r="G403" s="34" t="str">
        <f aca="false">MID(B403,11,1)</f>
        <v/>
      </c>
      <c r="H403" s="35" t="str">
        <f aca="false">IF(G403=".",F403,CONCATENATE(F403,G403))</f>
        <v/>
      </c>
      <c r="I403" s="34" t="n">
        <f aca="false">IFERROR(VALUE(H403),)</f>
        <v>0</v>
      </c>
      <c r="J403" s="34" t="e">
        <f aca="false">RIGHT(B403,LEN(B403)-FIND("/",B403, FIND("Single Cells",B403, 1)))</f>
        <v>#VALUE!</v>
      </c>
    </row>
    <row r="404" customFormat="false" ht="12.75" hidden="false" customHeight="true" outlineLevel="0" collapsed="false">
      <c r="E404" s="34" t="str">
        <f aca="false">MID(B404,9,1)</f>
        <v/>
      </c>
      <c r="F404" s="34" t="str">
        <f aca="false">MID(B404,10,1)</f>
        <v/>
      </c>
      <c r="G404" s="34" t="str">
        <f aca="false">MID(B404,11,1)</f>
        <v/>
      </c>
      <c r="H404" s="35" t="str">
        <f aca="false">IF(G404=".",F404,CONCATENATE(F404,G404))</f>
        <v/>
      </c>
      <c r="I404" s="34" t="n">
        <f aca="false">IFERROR(VALUE(H404),)</f>
        <v>0</v>
      </c>
      <c r="J404" s="34" t="e">
        <f aca="false">RIGHT(B404,LEN(B404)-FIND("/",B404, FIND("Single Cells",B404, 1)))</f>
        <v>#VALUE!</v>
      </c>
    </row>
    <row r="405" customFormat="false" ht="12.75" hidden="false" customHeight="true" outlineLevel="0" collapsed="false">
      <c r="E405" s="34" t="str">
        <f aca="false">MID(B405,9,1)</f>
        <v/>
      </c>
      <c r="F405" s="34" t="str">
        <f aca="false">MID(B405,10,1)</f>
        <v/>
      </c>
      <c r="G405" s="34" t="str">
        <f aca="false">MID(B405,11,1)</f>
        <v/>
      </c>
      <c r="H405" s="35" t="str">
        <f aca="false">IF(G405=".",F405,CONCATENATE(F405,G405))</f>
        <v/>
      </c>
      <c r="I405" s="34" t="n">
        <f aca="false">IFERROR(VALUE(H405),)</f>
        <v>0</v>
      </c>
      <c r="J405" s="34" t="e">
        <f aca="false">RIGHT(B405,LEN(B405)-FIND("/",B405, FIND("Single Cells",B405, 1)))</f>
        <v>#VALUE!</v>
      </c>
    </row>
    <row r="406" customFormat="false" ht="12.75" hidden="false" customHeight="true" outlineLevel="0" collapsed="false">
      <c r="E406" s="34" t="str">
        <f aca="false">MID(B406,9,1)</f>
        <v/>
      </c>
      <c r="F406" s="34" t="str">
        <f aca="false">MID(B406,10,1)</f>
        <v/>
      </c>
      <c r="G406" s="34" t="str">
        <f aca="false">MID(B406,11,1)</f>
        <v/>
      </c>
      <c r="H406" s="35" t="str">
        <f aca="false">IF(G406=".",F406,CONCATENATE(F406,G406))</f>
        <v/>
      </c>
      <c r="I406" s="34" t="n">
        <f aca="false">IFERROR(VALUE(H406),)</f>
        <v>0</v>
      </c>
      <c r="J406" s="34" t="e">
        <f aca="false">RIGHT(B406,LEN(B406)-FIND("/",B406, FIND("Single Cells",B406, 1)))</f>
        <v>#VALUE!</v>
      </c>
    </row>
    <row r="407" customFormat="false" ht="12.75" hidden="false" customHeight="true" outlineLevel="0" collapsed="false">
      <c r="E407" s="34" t="str">
        <f aca="false">MID(B407,9,1)</f>
        <v/>
      </c>
      <c r="F407" s="34" t="str">
        <f aca="false">MID(B407,10,1)</f>
        <v/>
      </c>
      <c r="G407" s="34" t="str">
        <f aca="false">MID(B407,11,1)</f>
        <v/>
      </c>
      <c r="H407" s="35" t="str">
        <f aca="false">IF(G407=".",F407,CONCATENATE(F407,G407))</f>
        <v/>
      </c>
      <c r="I407" s="34" t="n">
        <f aca="false">IFERROR(VALUE(H407),)</f>
        <v>0</v>
      </c>
      <c r="J407" s="34" t="e">
        <f aca="false">RIGHT(B407,LEN(B407)-FIND("/",B407, FIND("Single Cells",B407, 1)))</f>
        <v>#VALUE!</v>
      </c>
    </row>
    <row r="408" customFormat="false" ht="12.75" hidden="false" customHeight="true" outlineLevel="0" collapsed="false">
      <c r="E408" s="34" t="str">
        <f aca="false">MID(B408,9,1)</f>
        <v/>
      </c>
      <c r="F408" s="34" t="str">
        <f aca="false">MID(B408,10,1)</f>
        <v/>
      </c>
      <c r="G408" s="34" t="str">
        <f aca="false">MID(B408,11,1)</f>
        <v/>
      </c>
      <c r="H408" s="35" t="str">
        <f aca="false">IF(G408=".",F408,CONCATENATE(F408,G408))</f>
        <v/>
      </c>
      <c r="I408" s="34" t="n">
        <f aca="false">IFERROR(VALUE(H408),)</f>
        <v>0</v>
      </c>
      <c r="J408" s="34" t="e">
        <f aca="false">RIGHT(B408,LEN(B408)-FIND("/",B408, FIND("Single Cells",B408, 1)))</f>
        <v>#VALUE!</v>
      </c>
    </row>
    <row r="409" customFormat="false" ht="12.75" hidden="false" customHeight="true" outlineLevel="0" collapsed="false">
      <c r="E409" s="34" t="str">
        <f aca="false">MID(B409,9,1)</f>
        <v/>
      </c>
      <c r="F409" s="34" t="str">
        <f aca="false">MID(B409,10,1)</f>
        <v/>
      </c>
      <c r="G409" s="34" t="str">
        <f aca="false">MID(B409,11,1)</f>
        <v/>
      </c>
      <c r="H409" s="35" t="str">
        <f aca="false">IF(G409=".",F409,CONCATENATE(F409,G409))</f>
        <v/>
      </c>
      <c r="I409" s="34" t="n">
        <f aca="false">IFERROR(VALUE(H409),)</f>
        <v>0</v>
      </c>
      <c r="J409" s="34" t="e">
        <f aca="false">RIGHT(B409,LEN(B409)-FIND("/",B409, FIND("Single Cells",B409, 1)))</f>
        <v>#VALUE!</v>
      </c>
    </row>
    <row r="410" customFormat="false" ht="12.75" hidden="false" customHeight="true" outlineLevel="0" collapsed="false">
      <c r="E410" s="34" t="str">
        <f aca="false">MID(B410,9,1)</f>
        <v/>
      </c>
      <c r="F410" s="34" t="str">
        <f aca="false">MID(B410,10,1)</f>
        <v/>
      </c>
      <c r="G410" s="34" t="str">
        <f aca="false">MID(B410,11,1)</f>
        <v/>
      </c>
      <c r="H410" s="35" t="str">
        <f aca="false">IF(G410=".",F410,CONCATENATE(F410,G410))</f>
        <v/>
      </c>
      <c r="I410" s="34" t="n">
        <f aca="false">IFERROR(VALUE(H410),)</f>
        <v>0</v>
      </c>
      <c r="J410" s="34" t="e">
        <f aca="false">RIGHT(B410,LEN(B410)-FIND("/",B410, FIND("Single Cells",B410, 1)))</f>
        <v>#VALUE!</v>
      </c>
    </row>
    <row r="411" customFormat="false" ht="12.75" hidden="false" customHeight="true" outlineLevel="0" collapsed="false">
      <c r="E411" s="34" t="str">
        <f aca="false">MID(B411,9,1)</f>
        <v/>
      </c>
      <c r="F411" s="34" t="str">
        <f aca="false">MID(B411,10,1)</f>
        <v/>
      </c>
      <c r="G411" s="34" t="str">
        <f aca="false">MID(B411,11,1)</f>
        <v/>
      </c>
      <c r="H411" s="35" t="str">
        <f aca="false">IF(G411=".",F411,CONCATENATE(F411,G411))</f>
        <v/>
      </c>
      <c r="I411" s="34" t="n">
        <f aca="false">IFERROR(VALUE(H411),)</f>
        <v>0</v>
      </c>
      <c r="J411" s="34" t="e">
        <f aca="false">RIGHT(B411,LEN(B411)-FIND("/",B411, FIND("Single Cells",B411, 1)))</f>
        <v>#VALUE!</v>
      </c>
    </row>
    <row r="412" customFormat="false" ht="12.75" hidden="false" customHeight="true" outlineLevel="0" collapsed="false">
      <c r="E412" s="34" t="str">
        <f aca="false">MID(B412,9,1)</f>
        <v/>
      </c>
      <c r="F412" s="34" t="str">
        <f aca="false">MID(B412,10,1)</f>
        <v/>
      </c>
      <c r="G412" s="34" t="str">
        <f aca="false">MID(B412,11,1)</f>
        <v/>
      </c>
      <c r="H412" s="35" t="str">
        <f aca="false">IF(G412=".",F412,CONCATENATE(F412,G412))</f>
        <v/>
      </c>
      <c r="I412" s="34" t="n">
        <f aca="false">IFERROR(VALUE(H412),)</f>
        <v>0</v>
      </c>
      <c r="J412" s="34" t="e">
        <f aca="false">RIGHT(B412,LEN(B412)-FIND("/",B412, FIND("Single Cells",B412, 1)))</f>
        <v>#VALUE!</v>
      </c>
    </row>
    <row r="413" customFormat="false" ht="12.75" hidden="false" customHeight="true" outlineLevel="0" collapsed="false">
      <c r="E413" s="34" t="str">
        <f aca="false">MID(B413,9,1)</f>
        <v/>
      </c>
      <c r="F413" s="34" t="str">
        <f aca="false">MID(B413,10,1)</f>
        <v/>
      </c>
      <c r="G413" s="34" t="str">
        <f aca="false">MID(B413,11,1)</f>
        <v/>
      </c>
      <c r="H413" s="35" t="str">
        <f aca="false">IF(G413=".",F413,CONCATENATE(F413,G413))</f>
        <v/>
      </c>
      <c r="I413" s="34" t="n">
        <f aca="false">IFERROR(VALUE(H413),)</f>
        <v>0</v>
      </c>
      <c r="J413" s="34" t="e">
        <f aca="false">RIGHT(B413,LEN(B413)-FIND("/",B413, FIND("Single Cells",B413, 1)))</f>
        <v>#VALUE!</v>
      </c>
    </row>
    <row r="414" customFormat="false" ht="12.75" hidden="false" customHeight="true" outlineLevel="0" collapsed="false">
      <c r="E414" s="34" t="str">
        <f aca="false">MID(B414,9,1)</f>
        <v/>
      </c>
      <c r="F414" s="34" t="str">
        <f aca="false">MID(B414,10,1)</f>
        <v/>
      </c>
      <c r="G414" s="34" t="str">
        <f aca="false">MID(B414,11,1)</f>
        <v/>
      </c>
      <c r="H414" s="35" t="str">
        <f aca="false">IF(G414=".",F414,CONCATENATE(F414,G414))</f>
        <v/>
      </c>
      <c r="I414" s="34" t="n">
        <f aca="false">IFERROR(VALUE(H414),)</f>
        <v>0</v>
      </c>
      <c r="J414" s="34" t="e">
        <f aca="false">RIGHT(B414,LEN(B414)-FIND("/",B414, FIND("Single Cells",B414, 1)))</f>
        <v>#VALUE!</v>
      </c>
    </row>
    <row r="415" customFormat="false" ht="12.75" hidden="false" customHeight="true" outlineLevel="0" collapsed="false">
      <c r="E415" s="34" t="str">
        <f aca="false">MID(B415,9,1)</f>
        <v/>
      </c>
      <c r="F415" s="34" t="str">
        <f aca="false">MID(B415,10,1)</f>
        <v/>
      </c>
      <c r="G415" s="34" t="str">
        <f aca="false">MID(B415,11,1)</f>
        <v/>
      </c>
      <c r="H415" s="35" t="str">
        <f aca="false">IF(G415=".",F415,CONCATENATE(F415,G415))</f>
        <v/>
      </c>
      <c r="I415" s="34" t="n">
        <f aca="false">IFERROR(VALUE(H415),)</f>
        <v>0</v>
      </c>
      <c r="J415" s="34" t="e">
        <f aca="false">RIGHT(B415,LEN(B415)-FIND("/",B415, FIND("Single Cells",B415, 1)))</f>
        <v>#VALUE!</v>
      </c>
    </row>
    <row r="416" customFormat="false" ht="12.75" hidden="false" customHeight="true" outlineLevel="0" collapsed="false">
      <c r="E416" s="34" t="str">
        <f aca="false">MID(B416,9,1)</f>
        <v/>
      </c>
      <c r="F416" s="34" t="str">
        <f aca="false">MID(B416,10,1)</f>
        <v/>
      </c>
      <c r="G416" s="34" t="str">
        <f aca="false">MID(B416,11,1)</f>
        <v/>
      </c>
      <c r="H416" s="35" t="str">
        <f aca="false">IF(G416=".",F416,CONCATENATE(F416,G416))</f>
        <v/>
      </c>
      <c r="I416" s="34" t="n">
        <f aca="false">IFERROR(VALUE(H416),)</f>
        <v>0</v>
      </c>
      <c r="J416" s="34" t="e">
        <f aca="false">RIGHT(B416,LEN(B416)-FIND("/",B416, FIND("Single Cells",B416, 1)))</f>
        <v>#VALUE!</v>
      </c>
    </row>
    <row r="417" customFormat="false" ht="12.75" hidden="false" customHeight="true" outlineLevel="0" collapsed="false">
      <c r="E417" s="34" t="str">
        <f aca="false">MID(B417,9,1)</f>
        <v/>
      </c>
      <c r="F417" s="34" t="str">
        <f aca="false">MID(B417,10,1)</f>
        <v/>
      </c>
      <c r="G417" s="34" t="str">
        <f aca="false">MID(B417,11,1)</f>
        <v/>
      </c>
      <c r="H417" s="35" t="str">
        <f aca="false">IF(G417=".",F417,CONCATENATE(F417,G417))</f>
        <v/>
      </c>
      <c r="I417" s="34" t="n">
        <f aca="false">IFERROR(VALUE(H417),)</f>
        <v>0</v>
      </c>
      <c r="J417" s="34" t="e">
        <f aca="false">RIGHT(B417,LEN(B417)-FIND("/",B417, FIND("Single Cells",B417, 1)))</f>
        <v>#VALUE!</v>
      </c>
    </row>
    <row r="418" customFormat="false" ht="12.75" hidden="false" customHeight="true" outlineLevel="0" collapsed="false">
      <c r="E418" s="34" t="str">
        <f aca="false">MID(B418,9,1)</f>
        <v/>
      </c>
      <c r="F418" s="34" t="str">
        <f aca="false">MID(B418,10,1)</f>
        <v/>
      </c>
      <c r="G418" s="34" t="str">
        <f aca="false">MID(B418,11,1)</f>
        <v/>
      </c>
      <c r="H418" s="35" t="str">
        <f aca="false">IF(G418=".",F418,CONCATENATE(F418,G418))</f>
        <v/>
      </c>
      <c r="I418" s="34" t="n">
        <f aca="false">IFERROR(VALUE(H418),)</f>
        <v>0</v>
      </c>
      <c r="J418" s="34" t="e">
        <f aca="false">RIGHT(B418,LEN(B418)-FIND("/",B418, FIND("Single Cells",B418, 1)))</f>
        <v>#VALUE!</v>
      </c>
    </row>
    <row r="419" customFormat="false" ht="12.75" hidden="false" customHeight="true" outlineLevel="0" collapsed="false">
      <c r="E419" s="34" t="str">
        <f aca="false">MID(B419,9,1)</f>
        <v/>
      </c>
      <c r="F419" s="34" t="str">
        <f aca="false">MID(B419,10,1)</f>
        <v/>
      </c>
      <c r="G419" s="34" t="str">
        <f aca="false">MID(B419,11,1)</f>
        <v/>
      </c>
      <c r="H419" s="35" t="str">
        <f aca="false">IF(G419=".",F419,CONCATENATE(F419,G419))</f>
        <v/>
      </c>
      <c r="I419" s="34" t="n">
        <f aca="false">IFERROR(VALUE(H419),)</f>
        <v>0</v>
      </c>
      <c r="J419" s="34" t="e">
        <f aca="false">RIGHT(B419,LEN(B419)-FIND("/",B419, FIND("Single Cells",B419, 1)))</f>
        <v>#VALUE!</v>
      </c>
    </row>
    <row r="420" customFormat="false" ht="12.75" hidden="false" customHeight="true" outlineLevel="0" collapsed="false">
      <c r="E420" s="34" t="str">
        <f aca="false">MID(B420,9,1)</f>
        <v/>
      </c>
      <c r="F420" s="34" t="str">
        <f aca="false">MID(B420,10,1)</f>
        <v/>
      </c>
      <c r="G420" s="34" t="str">
        <f aca="false">MID(B420,11,1)</f>
        <v/>
      </c>
      <c r="H420" s="35" t="str">
        <f aca="false">IF(G420=".",F420,CONCATENATE(F420,G420))</f>
        <v/>
      </c>
      <c r="I420" s="34" t="n">
        <f aca="false">IFERROR(VALUE(H420),)</f>
        <v>0</v>
      </c>
      <c r="J420" s="34" t="e">
        <f aca="false">RIGHT(B420,LEN(B420)-FIND("/",B420, FIND("Single Cells",B420, 1)))</f>
        <v>#VALUE!</v>
      </c>
    </row>
    <row r="421" customFormat="false" ht="12.75" hidden="false" customHeight="true" outlineLevel="0" collapsed="false">
      <c r="E421" s="34" t="str">
        <f aca="false">MID(B421,9,1)</f>
        <v/>
      </c>
      <c r="F421" s="34" t="str">
        <f aca="false">MID(B421,10,1)</f>
        <v/>
      </c>
      <c r="G421" s="34" t="str">
        <f aca="false">MID(B421,11,1)</f>
        <v/>
      </c>
      <c r="H421" s="35" t="str">
        <f aca="false">IF(G421=".",F421,CONCATENATE(F421,G421))</f>
        <v/>
      </c>
      <c r="I421" s="34" t="n">
        <f aca="false">IFERROR(VALUE(H421),)</f>
        <v>0</v>
      </c>
      <c r="J421" s="34" t="e">
        <f aca="false">RIGHT(B421,LEN(B421)-FIND("/",B421, FIND("Single Cells",B421, 1)))</f>
        <v>#VALUE!</v>
      </c>
    </row>
    <row r="422" customFormat="false" ht="12.75" hidden="false" customHeight="true" outlineLevel="0" collapsed="false">
      <c r="E422" s="34" t="str">
        <f aca="false">MID(B422,9,1)</f>
        <v/>
      </c>
      <c r="F422" s="34" t="str">
        <f aca="false">MID(B422,10,1)</f>
        <v/>
      </c>
      <c r="G422" s="34" t="str">
        <f aca="false">MID(B422,11,1)</f>
        <v/>
      </c>
      <c r="H422" s="35" t="str">
        <f aca="false">IF(G422=".",F422,CONCATENATE(F422,G422))</f>
        <v/>
      </c>
      <c r="I422" s="34" t="n">
        <f aca="false">IFERROR(VALUE(H422),)</f>
        <v>0</v>
      </c>
      <c r="J422" s="34" t="e">
        <f aca="false">RIGHT(B422,LEN(B422)-FIND("/",B422, FIND("Single Cells",B422, 1)))</f>
        <v>#VALUE!</v>
      </c>
    </row>
    <row r="423" customFormat="false" ht="12.75" hidden="false" customHeight="true" outlineLevel="0" collapsed="false">
      <c r="E423" s="34" t="str">
        <f aca="false">MID(B423,9,1)</f>
        <v/>
      </c>
      <c r="F423" s="34" t="str">
        <f aca="false">MID(B423,10,1)</f>
        <v/>
      </c>
      <c r="G423" s="34" t="str">
        <f aca="false">MID(B423,11,1)</f>
        <v/>
      </c>
      <c r="H423" s="35" t="str">
        <f aca="false">IF(G423=".",F423,CONCATENATE(F423,G423))</f>
        <v/>
      </c>
      <c r="I423" s="34" t="n">
        <f aca="false">IFERROR(VALUE(H423),)</f>
        <v>0</v>
      </c>
      <c r="J423" s="34" t="e">
        <f aca="false">RIGHT(B423,LEN(B423)-FIND("/",B423, FIND("Single Cells",B423, 1)))</f>
        <v>#VALUE!</v>
      </c>
    </row>
    <row r="424" customFormat="false" ht="12.75" hidden="false" customHeight="true" outlineLevel="0" collapsed="false">
      <c r="E424" s="34" t="str">
        <f aca="false">MID(B424,9,1)</f>
        <v/>
      </c>
      <c r="F424" s="34" t="str">
        <f aca="false">MID(B424,10,1)</f>
        <v/>
      </c>
      <c r="G424" s="34" t="str">
        <f aca="false">MID(B424,11,1)</f>
        <v/>
      </c>
      <c r="H424" s="35" t="str">
        <f aca="false">IF(G424=".",F424,CONCATENATE(F424,G424))</f>
        <v/>
      </c>
      <c r="I424" s="34" t="n">
        <f aca="false">IFERROR(VALUE(H424),)</f>
        <v>0</v>
      </c>
      <c r="J424" s="34" t="e">
        <f aca="false">RIGHT(B424,LEN(B424)-FIND("/",B424, FIND("Single Cells",B424, 1)))</f>
        <v>#VALUE!</v>
      </c>
    </row>
    <row r="425" customFormat="false" ht="12.75" hidden="false" customHeight="true" outlineLevel="0" collapsed="false">
      <c r="E425" s="34" t="str">
        <f aca="false">MID(B425,9,1)</f>
        <v/>
      </c>
      <c r="F425" s="34" t="str">
        <f aca="false">MID(B425,10,1)</f>
        <v/>
      </c>
      <c r="G425" s="34" t="str">
        <f aca="false">MID(B425,11,1)</f>
        <v/>
      </c>
      <c r="H425" s="35" t="str">
        <f aca="false">IF(G425=".",F425,CONCATENATE(F425,G425))</f>
        <v/>
      </c>
      <c r="I425" s="34" t="n">
        <f aca="false">IFERROR(VALUE(H425),)</f>
        <v>0</v>
      </c>
      <c r="J425" s="34" t="e">
        <f aca="false">RIGHT(B425,LEN(B425)-FIND("/",B425, FIND("Single Cells",B425, 1)))</f>
        <v>#VALUE!</v>
      </c>
    </row>
    <row r="426" customFormat="false" ht="12.75" hidden="false" customHeight="true" outlineLevel="0" collapsed="false">
      <c r="E426" s="34" t="str">
        <f aca="false">MID(B426,9,1)</f>
        <v/>
      </c>
      <c r="F426" s="34" t="str">
        <f aca="false">MID(B426,10,1)</f>
        <v/>
      </c>
      <c r="G426" s="34" t="str">
        <f aca="false">MID(B426,11,1)</f>
        <v/>
      </c>
      <c r="H426" s="35" t="str">
        <f aca="false">IF(G426=".",F426,CONCATENATE(F426,G426))</f>
        <v/>
      </c>
      <c r="I426" s="34" t="n">
        <f aca="false">IFERROR(VALUE(H426),)</f>
        <v>0</v>
      </c>
      <c r="J426" s="34" t="e">
        <f aca="false">RIGHT(B426,LEN(B426)-FIND("/",B426, FIND("Single Cells",B426, 1)))</f>
        <v>#VALUE!</v>
      </c>
    </row>
    <row r="427" customFormat="false" ht="12.75" hidden="false" customHeight="true" outlineLevel="0" collapsed="false">
      <c r="E427" s="34" t="str">
        <f aca="false">MID(B427,9,1)</f>
        <v/>
      </c>
      <c r="F427" s="34" t="str">
        <f aca="false">MID(B427,10,1)</f>
        <v/>
      </c>
      <c r="G427" s="34" t="str">
        <f aca="false">MID(B427,11,1)</f>
        <v/>
      </c>
      <c r="H427" s="35" t="str">
        <f aca="false">IF(G427=".",F427,CONCATENATE(F427,G427))</f>
        <v/>
      </c>
      <c r="I427" s="34" t="n">
        <f aca="false">IFERROR(VALUE(H427),)</f>
        <v>0</v>
      </c>
      <c r="J427" s="34" t="e">
        <f aca="false">RIGHT(B427,LEN(B427)-FIND("/",B427, FIND("Single Cells",B427, 1)))</f>
        <v>#VALUE!</v>
      </c>
    </row>
    <row r="428" customFormat="false" ht="12.75" hidden="false" customHeight="true" outlineLevel="0" collapsed="false">
      <c r="E428" s="34" t="str">
        <f aca="false">MID(B428,9,1)</f>
        <v/>
      </c>
      <c r="F428" s="34" t="str">
        <f aca="false">MID(B428,10,1)</f>
        <v/>
      </c>
      <c r="G428" s="34" t="str">
        <f aca="false">MID(B428,11,1)</f>
        <v/>
      </c>
      <c r="H428" s="35" t="str">
        <f aca="false">IF(G428=".",F428,CONCATENATE(F428,G428))</f>
        <v/>
      </c>
      <c r="I428" s="34" t="n">
        <f aca="false">IFERROR(VALUE(H428),)</f>
        <v>0</v>
      </c>
      <c r="J428" s="34" t="e">
        <f aca="false">RIGHT(B428,LEN(B428)-FIND("/",B428, FIND("Single Cells",B428, 1)))</f>
        <v>#VALUE!</v>
      </c>
    </row>
    <row r="429" customFormat="false" ht="12.75" hidden="false" customHeight="true" outlineLevel="0" collapsed="false">
      <c r="E429" s="34" t="str">
        <f aca="false">MID(B429,9,1)</f>
        <v/>
      </c>
      <c r="F429" s="34" t="str">
        <f aca="false">MID(B429,10,1)</f>
        <v/>
      </c>
      <c r="G429" s="34" t="str">
        <f aca="false">MID(B429,11,1)</f>
        <v/>
      </c>
      <c r="H429" s="35" t="str">
        <f aca="false">IF(G429=".",F429,CONCATENATE(F429,G429))</f>
        <v/>
      </c>
      <c r="I429" s="34" t="n">
        <f aca="false">IFERROR(VALUE(H429),)</f>
        <v>0</v>
      </c>
      <c r="J429" s="34" t="e">
        <f aca="false">RIGHT(B429,LEN(B429)-FIND("/",B429, FIND("Single Cells",B429, 1)))</f>
        <v>#VALUE!</v>
      </c>
    </row>
    <row r="430" customFormat="false" ht="12.75" hidden="false" customHeight="true" outlineLevel="0" collapsed="false">
      <c r="E430" s="34" t="str">
        <f aca="false">MID(B430,9,1)</f>
        <v/>
      </c>
      <c r="F430" s="34" t="str">
        <f aca="false">MID(B430,10,1)</f>
        <v/>
      </c>
      <c r="G430" s="34" t="str">
        <f aca="false">MID(B430,11,1)</f>
        <v/>
      </c>
      <c r="H430" s="35" t="str">
        <f aca="false">IF(G430=".",F430,CONCATENATE(F430,G430))</f>
        <v/>
      </c>
      <c r="I430" s="34" t="n">
        <f aca="false">IFERROR(VALUE(H430),)</f>
        <v>0</v>
      </c>
      <c r="J430" s="34" t="e">
        <f aca="false">RIGHT(B430,LEN(B430)-FIND("/",B430, FIND("Single Cells",B430, 1)))</f>
        <v>#VALUE!</v>
      </c>
    </row>
    <row r="431" customFormat="false" ht="12.75" hidden="false" customHeight="true" outlineLevel="0" collapsed="false">
      <c r="E431" s="34" t="str">
        <f aca="false">MID(B431,9,1)</f>
        <v/>
      </c>
      <c r="F431" s="34" t="str">
        <f aca="false">MID(B431,10,1)</f>
        <v/>
      </c>
      <c r="G431" s="34" t="str">
        <f aca="false">MID(B431,11,1)</f>
        <v/>
      </c>
      <c r="H431" s="35" t="str">
        <f aca="false">IF(G431=".",F431,CONCATENATE(F431,G431))</f>
        <v/>
      </c>
      <c r="I431" s="34" t="n">
        <f aca="false">IFERROR(VALUE(H431),)</f>
        <v>0</v>
      </c>
      <c r="J431" s="34" t="e">
        <f aca="false">RIGHT(B431,LEN(B431)-FIND("/",B431, FIND("Single Cells",B431, 1)))</f>
        <v>#VALUE!</v>
      </c>
    </row>
    <row r="432" customFormat="false" ht="12.75" hidden="false" customHeight="true" outlineLevel="0" collapsed="false">
      <c r="E432" s="34" t="str">
        <f aca="false">MID(B432,9,1)</f>
        <v/>
      </c>
      <c r="F432" s="34" t="str">
        <f aca="false">MID(B432,10,1)</f>
        <v/>
      </c>
      <c r="G432" s="34" t="str">
        <f aca="false">MID(B432,11,1)</f>
        <v/>
      </c>
      <c r="H432" s="35" t="str">
        <f aca="false">IF(G432=".",F432,CONCATENATE(F432,G432))</f>
        <v/>
      </c>
      <c r="I432" s="34" t="n">
        <f aca="false">IFERROR(VALUE(H432),)</f>
        <v>0</v>
      </c>
      <c r="J432" s="34" t="e">
        <f aca="false">RIGHT(B432,LEN(B432)-FIND("/",B432, FIND("Single Cells",B432, 1)))</f>
        <v>#VALUE!</v>
      </c>
    </row>
    <row r="433" customFormat="false" ht="12.75" hidden="false" customHeight="true" outlineLevel="0" collapsed="false">
      <c r="E433" s="34" t="str">
        <f aca="false">MID(B433,9,1)</f>
        <v/>
      </c>
      <c r="F433" s="34" t="str">
        <f aca="false">MID(B433,10,1)</f>
        <v/>
      </c>
      <c r="G433" s="34" t="str">
        <f aca="false">MID(B433,11,1)</f>
        <v/>
      </c>
      <c r="H433" s="35" t="str">
        <f aca="false">IF(G433=".",F433,CONCATENATE(F433,G433))</f>
        <v/>
      </c>
      <c r="I433" s="34" t="n">
        <f aca="false">IFERROR(VALUE(H433),)</f>
        <v>0</v>
      </c>
      <c r="J433" s="34" t="e">
        <f aca="false">RIGHT(B433,LEN(B433)-FIND("/",B433, FIND("Single Cells",B433, 1)))</f>
        <v>#VALUE!</v>
      </c>
    </row>
    <row r="434" customFormat="false" ht="12.75" hidden="false" customHeight="true" outlineLevel="0" collapsed="false">
      <c r="E434" s="34" t="str">
        <f aca="false">MID(B434,9,1)</f>
        <v/>
      </c>
      <c r="F434" s="34" t="str">
        <f aca="false">MID(B434,10,1)</f>
        <v/>
      </c>
      <c r="G434" s="34" t="str">
        <f aca="false">MID(B434,11,1)</f>
        <v/>
      </c>
      <c r="H434" s="35" t="str">
        <f aca="false">IF(G434=".",F434,CONCATENATE(F434,G434))</f>
        <v/>
      </c>
      <c r="I434" s="34" t="n">
        <f aca="false">IFERROR(VALUE(H434),)</f>
        <v>0</v>
      </c>
      <c r="J434" s="34" t="e">
        <f aca="false">RIGHT(B434,LEN(B434)-FIND("/",B434, FIND("Single Cells",B434, 1)))</f>
        <v>#VALUE!</v>
      </c>
    </row>
    <row r="435" customFormat="false" ht="12.75" hidden="false" customHeight="true" outlineLevel="0" collapsed="false">
      <c r="E435" s="34" t="str">
        <f aca="false">MID(B435,9,1)</f>
        <v/>
      </c>
      <c r="F435" s="34" t="str">
        <f aca="false">MID(B435,10,1)</f>
        <v/>
      </c>
      <c r="G435" s="34" t="str">
        <f aca="false">MID(B435,11,1)</f>
        <v/>
      </c>
      <c r="H435" s="35" t="str">
        <f aca="false">IF(G435=".",F435,CONCATENATE(F435,G435))</f>
        <v/>
      </c>
      <c r="I435" s="34" t="n">
        <f aca="false">IFERROR(VALUE(H435),)</f>
        <v>0</v>
      </c>
      <c r="J435" s="34" t="e">
        <f aca="false">RIGHT(B435,LEN(B435)-FIND("/",B435, FIND("Single Cells",B435, 1)))</f>
        <v>#VALUE!</v>
      </c>
    </row>
    <row r="436" customFormat="false" ht="12.75" hidden="false" customHeight="true" outlineLevel="0" collapsed="false">
      <c r="E436" s="34" t="str">
        <f aca="false">MID(B436,9,1)</f>
        <v/>
      </c>
      <c r="F436" s="34" t="str">
        <f aca="false">MID(B436,10,1)</f>
        <v/>
      </c>
      <c r="G436" s="34" t="str">
        <f aca="false">MID(B436,11,1)</f>
        <v/>
      </c>
      <c r="H436" s="35" t="str">
        <f aca="false">IF(G436=".",F436,CONCATENATE(F436,G436))</f>
        <v/>
      </c>
      <c r="I436" s="34" t="n">
        <f aca="false">IFERROR(VALUE(H436),)</f>
        <v>0</v>
      </c>
      <c r="J436" s="34" t="e">
        <f aca="false">RIGHT(B436,LEN(B436)-FIND("/",B436, FIND("Single Cells",B436, 1)))</f>
        <v>#VALUE!</v>
      </c>
    </row>
    <row r="437" customFormat="false" ht="12.75" hidden="false" customHeight="true" outlineLevel="0" collapsed="false">
      <c r="E437" s="34" t="str">
        <f aca="false">MID(B437,9,1)</f>
        <v/>
      </c>
      <c r="F437" s="34" t="str">
        <f aca="false">MID(B437,10,1)</f>
        <v/>
      </c>
      <c r="G437" s="34" t="str">
        <f aca="false">MID(B437,11,1)</f>
        <v/>
      </c>
      <c r="H437" s="35" t="str">
        <f aca="false">IF(G437=".",F437,CONCATENATE(F437,G437))</f>
        <v/>
      </c>
      <c r="I437" s="34" t="n">
        <f aca="false">IFERROR(VALUE(H437),)</f>
        <v>0</v>
      </c>
      <c r="J437" s="34" t="e">
        <f aca="false">RIGHT(B437,LEN(B437)-FIND("/",B437, FIND("Single Cells",B437, 1)))</f>
        <v>#VALUE!</v>
      </c>
    </row>
    <row r="438" customFormat="false" ht="12.75" hidden="false" customHeight="true" outlineLevel="0" collapsed="false">
      <c r="E438" s="34" t="str">
        <f aca="false">MID(B438,9,1)</f>
        <v/>
      </c>
      <c r="F438" s="34" t="str">
        <f aca="false">MID(B438,10,1)</f>
        <v/>
      </c>
      <c r="G438" s="34" t="str">
        <f aca="false">MID(B438,11,1)</f>
        <v/>
      </c>
      <c r="H438" s="35" t="str">
        <f aca="false">IF(G438=".",F438,CONCATENATE(F438,G438))</f>
        <v/>
      </c>
      <c r="I438" s="34" t="n">
        <f aca="false">IFERROR(VALUE(H438),)</f>
        <v>0</v>
      </c>
      <c r="J438" s="34" t="e">
        <f aca="false">RIGHT(B438,LEN(B438)-FIND("/",B438, FIND("Single Cells",B438, 1)))</f>
        <v>#VALUE!</v>
      </c>
    </row>
    <row r="439" customFormat="false" ht="12.75" hidden="false" customHeight="true" outlineLevel="0" collapsed="false">
      <c r="E439" s="34" t="str">
        <f aca="false">MID(B439,9,1)</f>
        <v/>
      </c>
      <c r="F439" s="34" t="str">
        <f aca="false">MID(B439,10,1)</f>
        <v/>
      </c>
      <c r="G439" s="34" t="str">
        <f aca="false">MID(B439,11,1)</f>
        <v/>
      </c>
      <c r="H439" s="35" t="str">
        <f aca="false">IF(G439=".",F439,CONCATENATE(F439,G439))</f>
        <v/>
      </c>
      <c r="I439" s="34" t="n">
        <f aca="false">IFERROR(VALUE(H439),)</f>
        <v>0</v>
      </c>
      <c r="J439" s="34" t="e">
        <f aca="false">RIGHT(B439,LEN(B439)-FIND("/",B439, FIND("Single Cells",B439, 1)))</f>
        <v>#VALUE!</v>
      </c>
    </row>
    <row r="440" customFormat="false" ht="12.75" hidden="false" customHeight="true" outlineLevel="0" collapsed="false">
      <c r="E440" s="34" t="str">
        <f aca="false">MID(B440,9,1)</f>
        <v/>
      </c>
      <c r="F440" s="34" t="str">
        <f aca="false">MID(B440,10,1)</f>
        <v/>
      </c>
      <c r="G440" s="34" t="str">
        <f aca="false">MID(B440,11,1)</f>
        <v/>
      </c>
      <c r="H440" s="35" t="str">
        <f aca="false">IF(G440=".",F440,CONCATENATE(F440,G440))</f>
        <v/>
      </c>
      <c r="I440" s="34" t="n">
        <f aca="false">IFERROR(VALUE(H440),)</f>
        <v>0</v>
      </c>
      <c r="J440" s="34" t="e">
        <f aca="false">RIGHT(B440,LEN(B440)-FIND("/",B440, FIND("Single Cells",B440, 1)))</f>
        <v>#VALUE!</v>
      </c>
    </row>
    <row r="441" customFormat="false" ht="12.75" hidden="false" customHeight="true" outlineLevel="0" collapsed="false">
      <c r="E441" s="34" t="str">
        <f aca="false">MID(B441,9,1)</f>
        <v/>
      </c>
      <c r="F441" s="34" t="str">
        <f aca="false">MID(B441,10,1)</f>
        <v/>
      </c>
      <c r="G441" s="34" t="str">
        <f aca="false">MID(B441,11,1)</f>
        <v/>
      </c>
      <c r="H441" s="35" t="str">
        <f aca="false">IF(G441=".",F441,CONCATENATE(F441,G441))</f>
        <v/>
      </c>
      <c r="I441" s="34" t="n">
        <f aca="false">IFERROR(VALUE(H441),)</f>
        <v>0</v>
      </c>
      <c r="J441" s="34" t="e">
        <f aca="false">RIGHT(B441,LEN(B441)-FIND("/",B441, FIND("Single Cells",B441, 1)))</f>
        <v>#VALUE!</v>
      </c>
    </row>
    <row r="442" customFormat="false" ht="12.75" hidden="false" customHeight="true" outlineLevel="0" collapsed="false">
      <c r="E442" s="34" t="str">
        <f aca="false">MID(B442,9,1)</f>
        <v/>
      </c>
      <c r="F442" s="34" t="str">
        <f aca="false">MID(B442,10,1)</f>
        <v/>
      </c>
      <c r="G442" s="34" t="str">
        <f aca="false">MID(B442,11,1)</f>
        <v/>
      </c>
      <c r="H442" s="35" t="str">
        <f aca="false">IF(G442=".",F442,CONCATENATE(F442,G442))</f>
        <v/>
      </c>
      <c r="I442" s="34" t="n">
        <f aca="false">IFERROR(VALUE(H442),)</f>
        <v>0</v>
      </c>
      <c r="J442" s="34" t="e">
        <f aca="false">RIGHT(B442,LEN(B442)-FIND("/",B442, FIND("Single Cells",B442, 1)))</f>
        <v>#VALUE!</v>
      </c>
    </row>
    <row r="443" customFormat="false" ht="12.75" hidden="false" customHeight="true" outlineLevel="0" collapsed="false">
      <c r="E443" s="34" t="str">
        <f aca="false">MID(B443,9,1)</f>
        <v/>
      </c>
      <c r="F443" s="34" t="str">
        <f aca="false">MID(B443,10,1)</f>
        <v/>
      </c>
      <c r="G443" s="34" t="str">
        <f aca="false">MID(B443,11,1)</f>
        <v/>
      </c>
      <c r="H443" s="35" t="str">
        <f aca="false">IF(G443=".",F443,CONCATENATE(F443,G443))</f>
        <v/>
      </c>
      <c r="I443" s="34" t="n">
        <f aca="false">IFERROR(VALUE(H443),)</f>
        <v>0</v>
      </c>
      <c r="J443" s="34" t="e">
        <f aca="false">RIGHT(B443,LEN(B443)-FIND("/",B443, FIND("Single Cells",B443, 1)))</f>
        <v>#VALUE!</v>
      </c>
    </row>
    <row r="444" customFormat="false" ht="12.75" hidden="false" customHeight="true" outlineLevel="0" collapsed="false">
      <c r="E444" s="34" t="str">
        <f aca="false">MID(B444,9,1)</f>
        <v/>
      </c>
      <c r="F444" s="34" t="str">
        <f aca="false">MID(B444,10,1)</f>
        <v/>
      </c>
      <c r="G444" s="34" t="str">
        <f aca="false">MID(B444,11,1)</f>
        <v/>
      </c>
      <c r="H444" s="35" t="str">
        <f aca="false">IF(G444=".",F444,CONCATENATE(F444,G444))</f>
        <v/>
      </c>
      <c r="I444" s="34" t="n">
        <f aca="false">IFERROR(VALUE(H444),)</f>
        <v>0</v>
      </c>
      <c r="J444" s="34" t="e">
        <f aca="false">RIGHT(B444,LEN(B444)-FIND("/",B444, FIND("Single Cells",B444, 1)))</f>
        <v>#VALUE!</v>
      </c>
    </row>
    <row r="445" customFormat="false" ht="12.75" hidden="false" customHeight="true" outlineLevel="0" collapsed="false">
      <c r="E445" s="34" t="str">
        <f aca="false">MID(B445,9,1)</f>
        <v/>
      </c>
      <c r="F445" s="34" t="str">
        <f aca="false">MID(B445,10,1)</f>
        <v/>
      </c>
      <c r="G445" s="34" t="str">
        <f aca="false">MID(B445,11,1)</f>
        <v/>
      </c>
      <c r="H445" s="35" t="str">
        <f aca="false">IF(G445=".",F445,CONCATENATE(F445,G445))</f>
        <v/>
      </c>
      <c r="I445" s="34" t="n">
        <f aca="false">IFERROR(VALUE(H445),)</f>
        <v>0</v>
      </c>
      <c r="J445" s="34" t="e">
        <f aca="false">RIGHT(B445,LEN(B445)-FIND("/",B445, FIND("Single Cells",B445, 1)))</f>
        <v>#VALUE!</v>
      </c>
    </row>
    <row r="446" customFormat="false" ht="12.75" hidden="false" customHeight="true" outlineLevel="0" collapsed="false">
      <c r="E446" s="34" t="str">
        <f aca="false">MID(B446,9,1)</f>
        <v/>
      </c>
      <c r="F446" s="34" t="str">
        <f aca="false">MID(B446,10,1)</f>
        <v/>
      </c>
      <c r="G446" s="34" t="str">
        <f aca="false">MID(B446,11,1)</f>
        <v/>
      </c>
      <c r="H446" s="35" t="str">
        <f aca="false">IF(G446=".",F446,CONCATENATE(F446,G446))</f>
        <v/>
      </c>
      <c r="I446" s="34" t="n">
        <f aca="false">IFERROR(VALUE(H446),)</f>
        <v>0</v>
      </c>
      <c r="J446" s="34" t="e">
        <f aca="false">RIGHT(B446,LEN(B446)-FIND("/",B446, FIND("Single Cells",B446, 1)))</f>
        <v>#VALUE!</v>
      </c>
    </row>
    <row r="447" customFormat="false" ht="12.75" hidden="false" customHeight="true" outlineLevel="0" collapsed="false">
      <c r="E447" s="34" t="str">
        <f aca="false">MID(B447,9,1)</f>
        <v/>
      </c>
      <c r="F447" s="34" t="str">
        <f aca="false">MID(B447,10,1)</f>
        <v/>
      </c>
      <c r="G447" s="34" t="str">
        <f aca="false">MID(B447,11,1)</f>
        <v/>
      </c>
      <c r="H447" s="35" t="str">
        <f aca="false">IF(G447=".",F447,CONCATENATE(F447,G447))</f>
        <v/>
      </c>
      <c r="I447" s="34" t="n">
        <f aca="false">IFERROR(VALUE(H447),)</f>
        <v>0</v>
      </c>
      <c r="J447" s="34" t="e">
        <f aca="false">RIGHT(B447,LEN(B447)-FIND("/",B447, FIND("Single Cells",B447, 1)))</f>
        <v>#VALUE!</v>
      </c>
    </row>
    <row r="448" customFormat="false" ht="12.75" hidden="false" customHeight="true" outlineLevel="0" collapsed="false">
      <c r="E448" s="34" t="str">
        <f aca="false">MID(B448,9,1)</f>
        <v/>
      </c>
      <c r="F448" s="34" t="str">
        <f aca="false">MID(B448,10,1)</f>
        <v/>
      </c>
      <c r="G448" s="34" t="str">
        <f aca="false">MID(B448,11,1)</f>
        <v/>
      </c>
      <c r="H448" s="35" t="str">
        <f aca="false">IF(G448=".",F448,CONCATENATE(F448,G448))</f>
        <v/>
      </c>
      <c r="I448" s="34" t="n">
        <f aca="false">IFERROR(VALUE(H448),)</f>
        <v>0</v>
      </c>
      <c r="J448" s="34" t="e">
        <f aca="false">RIGHT(B448,LEN(B448)-FIND("/",B448, FIND("Single Cells",B448, 1)))</f>
        <v>#VALUE!</v>
      </c>
    </row>
    <row r="449" customFormat="false" ht="12.75" hidden="false" customHeight="true" outlineLevel="0" collapsed="false">
      <c r="E449" s="34" t="str">
        <f aca="false">MID(B449,9,1)</f>
        <v/>
      </c>
      <c r="F449" s="34" t="str">
        <f aca="false">MID(B449,10,1)</f>
        <v/>
      </c>
      <c r="G449" s="34" t="str">
        <f aca="false">MID(B449,11,1)</f>
        <v/>
      </c>
      <c r="H449" s="35" t="str">
        <f aca="false">IF(G449=".",F449,CONCATENATE(F449,G449))</f>
        <v/>
      </c>
      <c r="I449" s="34" t="n">
        <f aca="false">IFERROR(VALUE(H449),)</f>
        <v>0</v>
      </c>
      <c r="J449" s="34" t="e">
        <f aca="false">RIGHT(B449,LEN(B449)-FIND("/",B449, FIND("Single Cells",B449, 1)))</f>
        <v>#VALUE!</v>
      </c>
    </row>
    <row r="450" customFormat="false" ht="12.75" hidden="false" customHeight="true" outlineLevel="0" collapsed="false">
      <c r="E450" s="34" t="str">
        <f aca="false">MID(B450,9,1)</f>
        <v/>
      </c>
      <c r="F450" s="34" t="str">
        <f aca="false">MID(B450,10,1)</f>
        <v/>
      </c>
      <c r="G450" s="34" t="str">
        <f aca="false">MID(B450,11,1)</f>
        <v/>
      </c>
      <c r="H450" s="35" t="str">
        <f aca="false">IF(G450=".",F450,CONCATENATE(F450,G450))</f>
        <v/>
      </c>
      <c r="I450" s="34" t="n">
        <f aca="false">IFERROR(VALUE(H450),)</f>
        <v>0</v>
      </c>
      <c r="J450" s="34" t="e">
        <f aca="false">RIGHT(B450,LEN(B450)-FIND("/",B450, FIND("Single Cells",B450, 1)))</f>
        <v>#VALUE!</v>
      </c>
    </row>
    <row r="451" customFormat="false" ht="12.75" hidden="false" customHeight="true" outlineLevel="0" collapsed="false">
      <c r="E451" s="34" t="str">
        <f aca="false">MID(B451,9,1)</f>
        <v/>
      </c>
      <c r="F451" s="34" t="str">
        <f aca="false">MID(B451,10,1)</f>
        <v/>
      </c>
      <c r="G451" s="34" t="str">
        <f aca="false">MID(B451,11,1)</f>
        <v/>
      </c>
      <c r="H451" s="35" t="str">
        <f aca="false">IF(G451=".",F451,CONCATENATE(F451,G451))</f>
        <v/>
      </c>
      <c r="I451" s="34" t="n">
        <f aca="false">IFERROR(VALUE(H451),)</f>
        <v>0</v>
      </c>
      <c r="J451" s="34" t="e">
        <f aca="false">RIGHT(B451,LEN(B451)-FIND("/",B451, FIND("Single Cells",B451, 1)))</f>
        <v>#VALUE!</v>
      </c>
    </row>
    <row r="452" customFormat="false" ht="12.75" hidden="false" customHeight="true" outlineLevel="0" collapsed="false">
      <c r="E452" s="34" t="str">
        <f aca="false">MID(B452,9,1)</f>
        <v/>
      </c>
      <c r="F452" s="34" t="str">
        <f aca="false">MID(B452,10,1)</f>
        <v/>
      </c>
      <c r="G452" s="34" t="str">
        <f aca="false">MID(B452,11,1)</f>
        <v/>
      </c>
      <c r="H452" s="35" t="str">
        <f aca="false">IF(G452=".",F452,CONCATENATE(F452,G452))</f>
        <v/>
      </c>
      <c r="I452" s="34" t="n">
        <f aca="false">IFERROR(VALUE(H452),)</f>
        <v>0</v>
      </c>
      <c r="J452" s="34" t="e">
        <f aca="false">RIGHT(B452,LEN(B452)-FIND("/",B452, FIND("Single Cells",B452, 1)))</f>
        <v>#VALUE!</v>
      </c>
    </row>
    <row r="453" customFormat="false" ht="12.75" hidden="false" customHeight="true" outlineLevel="0" collapsed="false">
      <c r="E453" s="34" t="str">
        <f aca="false">MID(B453,9,1)</f>
        <v/>
      </c>
      <c r="F453" s="34" t="str">
        <f aca="false">MID(B453,10,1)</f>
        <v/>
      </c>
      <c r="G453" s="34" t="str">
        <f aca="false">MID(B453,11,1)</f>
        <v/>
      </c>
      <c r="H453" s="35" t="str">
        <f aca="false">IF(G453=".",F453,CONCATENATE(F453,G453))</f>
        <v/>
      </c>
      <c r="I453" s="34" t="n">
        <f aca="false">IFERROR(VALUE(H453),)</f>
        <v>0</v>
      </c>
      <c r="J453" s="34" t="e">
        <f aca="false">RIGHT(B453,LEN(B453)-FIND("/",B453, FIND("Single Cells",B453, 1)))</f>
        <v>#VALUE!</v>
      </c>
    </row>
    <row r="454" customFormat="false" ht="12.75" hidden="false" customHeight="true" outlineLevel="0" collapsed="false">
      <c r="E454" s="34" t="str">
        <f aca="false">MID(B454,9,1)</f>
        <v/>
      </c>
      <c r="F454" s="34" t="str">
        <f aca="false">MID(B454,10,1)</f>
        <v/>
      </c>
      <c r="G454" s="34" t="str">
        <f aca="false">MID(B454,11,1)</f>
        <v/>
      </c>
      <c r="H454" s="35" t="str">
        <f aca="false">IF(G454=".",F454,CONCATENATE(F454,G454))</f>
        <v/>
      </c>
      <c r="I454" s="34" t="n">
        <f aca="false">IFERROR(VALUE(H454),)</f>
        <v>0</v>
      </c>
      <c r="J454" s="34" t="e">
        <f aca="false">RIGHT(B454,LEN(B454)-FIND("/",B454, FIND("Single Cells",B454, 1)))</f>
        <v>#VALUE!</v>
      </c>
    </row>
    <row r="455" customFormat="false" ht="12.75" hidden="false" customHeight="true" outlineLevel="0" collapsed="false">
      <c r="E455" s="34" t="str">
        <f aca="false">MID(B455,9,1)</f>
        <v/>
      </c>
      <c r="F455" s="34" t="str">
        <f aca="false">MID(B455,10,1)</f>
        <v/>
      </c>
      <c r="G455" s="34" t="str">
        <f aca="false">MID(B455,11,1)</f>
        <v/>
      </c>
      <c r="H455" s="35" t="str">
        <f aca="false">IF(G455=".",F455,CONCATENATE(F455,G455))</f>
        <v/>
      </c>
      <c r="I455" s="34" t="n">
        <f aca="false">IFERROR(VALUE(H455),)</f>
        <v>0</v>
      </c>
      <c r="J455" s="34" t="e">
        <f aca="false">RIGHT(B455,LEN(B455)-FIND("/",B455, FIND("Single Cells",B455, 1)))</f>
        <v>#VALUE!</v>
      </c>
    </row>
    <row r="456" customFormat="false" ht="12.75" hidden="false" customHeight="true" outlineLevel="0" collapsed="false">
      <c r="E456" s="34" t="str">
        <f aca="false">MID(B456,9,1)</f>
        <v/>
      </c>
      <c r="F456" s="34" t="str">
        <f aca="false">MID(B456,10,1)</f>
        <v/>
      </c>
      <c r="G456" s="34" t="str">
        <f aca="false">MID(B456,11,1)</f>
        <v/>
      </c>
      <c r="H456" s="35" t="str">
        <f aca="false">IF(G456=".",F456,CONCATENATE(F456,G456))</f>
        <v/>
      </c>
      <c r="I456" s="34" t="n">
        <f aca="false">IFERROR(VALUE(H456),)</f>
        <v>0</v>
      </c>
      <c r="J456" s="34" t="e">
        <f aca="false">RIGHT(B456,LEN(B456)-FIND("/",B456, FIND("Single Cells",B456, 1)))</f>
        <v>#VALUE!</v>
      </c>
    </row>
    <row r="457" customFormat="false" ht="12.75" hidden="false" customHeight="true" outlineLevel="0" collapsed="false">
      <c r="E457" s="34" t="str">
        <f aca="false">MID(B457,9,1)</f>
        <v/>
      </c>
      <c r="F457" s="34" t="str">
        <f aca="false">MID(B457,10,1)</f>
        <v/>
      </c>
      <c r="G457" s="34" t="str">
        <f aca="false">MID(B457,11,1)</f>
        <v/>
      </c>
      <c r="H457" s="35" t="str">
        <f aca="false">IF(G457=".",F457,CONCATENATE(F457,G457))</f>
        <v/>
      </c>
      <c r="I457" s="34" t="n">
        <f aca="false">IFERROR(VALUE(H457),)</f>
        <v>0</v>
      </c>
      <c r="J457" s="34" t="e">
        <f aca="false">RIGHT(B457,LEN(B457)-FIND("/",B457, FIND("Single Cells",B457, 1)))</f>
        <v>#VALUE!</v>
      </c>
    </row>
    <row r="458" customFormat="false" ht="12.75" hidden="false" customHeight="true" outlineLevel="0" collapsed="false">
      <c r="E458" s="34" t="str">
        <f aca="false">MID(B458,9,1)</f>
        <v/>
      </c>
      <c r="F458" s="34" t="str">
        <f aca="false">MID(B458,10,1)</f>
        <v/>
      </c>
      <c r="G458" s="34" t="str">
        <f aca="false">MID(B458,11,1)</f>
        <v/>
      </c>
      <c r="H458" s="35" t="str">
        <f aca="false">IF(G458=".",F458,CONCATENATE(F458,G458))</f>
        <v/>
      </c>
      <c r="I458" s="34" t="n">
        <f aca="false">IFERROR(VALUE(H458),)</f>
        <v>0</v>
      </c>
      <c r="J458" s="34" t="e">
        <f aca="false">RIGHT(B458,LEN(B458)-FIND("/",B458, FIND("Single Cells",B458, 1)))</f>
        <v>#VALUE!</v>
      </c>
    </row>
    <row r="459" customFormat="false" ht="12.75" hidden="false" customHeight="true" outlineLevel="0" collapsed="false">
      <c r="E459" s="34" t="str">
        <f aca="false">MID(B459,9,1)</f>
        <v/>
      </c>
      <c r="F459" s="34" t="str">
        <f aca="false">MID(B459,10,1)</f>
        <v/>
      </c>
      <c r="G459" s="34" t="str">
        <f aca="false">MID(B459,11,1)</f>
        <v/>
      </c>
      <c r="H459" s="35" t="str">
        <f aca="false">IF(G459=".",F459,CONCATENATE(F459,G459))</f>
        <v/>
      </c>
      <c r="I459" s="34" t="n">
        <f aca="false">IFERROR(VALUE(H459),)</f>
        <v>0</v>
      </c>
      <c r="J459" s="34" t="e">
        <f aca="false">RIGHT(B459,LEN(B459)-FIND("/",B459, FIND("Single Cells",B459, 1)))</f>
        <v>#VALUE!</v>
      </c>
    </row>
    <row r="460" customFormat="false" ht="12.75" hidden="false" customHeight="true" outlineLevel="0" collapsed="false">
      <c r="E460" s="34" t="str">
        <f aca="false">MID(B460,9,1)</f>
        <v/>
      </c>
      <c r="F460" s="34" t="str">
        <f aca="false">MID(B460,10,1)</f>
        <v/>
      </c>
      <c r="G460" s="34" t="str">
        <f aca="false">MID(B460,11,1)</f>
        <v/>
      </c>
      <c r="H460" s="35" t="str">
        <f aca="false">IF(G460=".",F460,CONCATENATE(F460,G460))</f>
        <v/>
      </c>
      <c r="I460" s="34" t="n">
        <f aca="false">IFERROR(VALUE(H460),)</f>
        <v>0</v>
      </c>
      <c r="J460" s="34" t="e">
        <f aca="false">RIGHT(B460,LEN(B460)-FIND("/",B460, FIND("Single Cells",B460, 1)))</f>
        <v>#VALUE!</v>
      </c>
    </row>
    <row r="461" customFormat="false" ht="12.75" hidden="false" customHeight="true" outlineLevel="0" collapsed="false">
      <c r="E461" s="34" t="str">
        <f aca="false">MID(B461,9,1)</f>
        <v/>
      </c>
      <c r="F461" s="34" t="str">
        <f aca="false">MID(B461,10,1)</f>
        <v/>
      </c>
      <c r="G461" s="34" t="str">
        <f aca="false">MID(B461,11,1)</f>
        <v/>
      </c>
      <c r="H461" s="35" t="str">
        <f aca="false">IF(G461=".",F461,CONCATENATE(F461,G461))</f>
        <v/>
      </c>
      <c r="I461" s="34" t="n">
        <f aca="false">IFERROR(VALUE(H461),)</f>
        <v>0</v>
      </c>
      <c r="J461" s="34" t="e">
        <f aca="false">RIGHT(B461,LEN(B461)-FIND("/",B461, FIND("Single Cells",B461, 1)))</f>
        <v>#VALUE!</v>
      </c>
    </row>
    <row r="462" customFormat="false" ht="12.75" hidden="false" customHeight="true" outlineLevel="0" collapsed="false">
      <c r="E462" s="34" t="str">
        <f aca="false">MID(B462,9,1)</f>
        <v/>
      </c>
      <c r="F462" s="34" t="str">
        <f aca="false">MID(B462,10,1)</f>
        <v/>
      </c>
      <c r="G462" s="34" t="str">
        <f aca="false">MID(B462,11,1)</f>
        <v/>
      </c>
      <c r="H462" s="35" t="str">
        <f aca="false">IF(G462=".",F462,CONCATENATE(F462,G462))</f>
        <v/>
      </c>
      <c r="I462" s="34" t="n">
        <f aca="false">IFERROR(VALUE(H462),)</f>
        <v>0</v>
      </c>
      <c r="J462" s="34" t="e">
        <f aca="false">RIGHT(B462,LEN(B462)-FIND("/",B462, FIND("Single Cells",B462, 1)))</f>
        <v>#VALUE!</v>
      </c>
    </row>
    <row r="463" customFormat="false" ht="12.75" hidden="false" customHeight="true" outlineLevel="0" collapsed="false">
      <c r="E463" s="34" t="str">
        <f aca="false">MID(B463,9,1)</f>
        <v/>
      </c>
      <c r="F463" s="34" t="str">
        <f aca="false">MID(B463,10,1)</f>
        <v/>
      </c>
      <c r="G463" s="34" t="str">
        <f aca="false">MID(B463,11,1)</f>
        <v/>
      </c>
      <c r="H463" s="35" t="str">
        <f aca="false">IF(G463=".",F463,CONCATENATE(F463,G463))</f>
        <v/>
      </c>
      <c r="I463" s="34" t="n">
        <f aca="false">IFERROR(VALUE(H463),)</f>
        <v>0</v>
      </c>
      <c r="J463" s="34" t="e">
        <f aca="false">RIGHT(B463,LEN(B463)-FIND("/",B463, FIND("Single Cells",B463, 1)))</f>
        <v>#VALUE!</v>
      </c>
    </row>
    <row r="464" customFormat="false" ht="12.75" hidden="false" customHeight="true" outlineLevel="0" collapsed="false">
      <c r="E464" s="34" t="str">
        <f aca="false">MID(B464,9,1)</f>
        <v/>
      </c>
      <c r="F464" s="34" t="str">
        <f aca="false">MID(B464,10,1)</f>
        <v/>
      </c>
      <c r="G464" s="34" t="str">
        <f aca="false">MID(B464,11,1)</f>
        <v/>
      </c>
      <c r="H464" s="35" t="str">
        <f aca="false">IF(G464=".",F464,CONCATENATE(F464,G464))</f>
        <v/>
      </c>
      <c r="I464" s="34" t="n">
        <f aca="false">IFERROR(VALUE(H464),)</f>
        <v>0</v>
      </c>
      <c r="J464" s="34" t="e">
        <f aca="false">RIGHT(B464,LEN(B464)-FIND("/",B464, FIND("Single Cells",B464, 1)))</f>
        <v>#VALUE!</v>
      </c>
    </row>
    <row r="465" customFormat="false" ht="12.75" hidden="false" customHeight="true" outlineLevel="0" collapsed="false">
      <c r="E465" s="34" t="str">
        <f aca="false">MID(B465,9,1)</f>
        <v/>
      </c>
      <c r="F465" s="34" t="str">
        <f aca="false">MID(B465,10,1)</f>
        <v/>
      </c>
      <c r="G465" s="34" t="str">
        <f aca="false">MID(B465,11,1)</f>
        <v/>
      </c>
      <c r="H465" s="35" t="str">
        <f aca="false">IF(G465=".",F465,CONCATENATE(F465,G465))</f>
        <v/>
      </c>
      <c r="I465" s="34" t="n">
        <f aca="false">IFERROR(VALUE(H465),)</f>
        <v>0</v>
      </c>
      <c r="J465" s="34" t="e">
        <f aca="false">RIGHT(B465,LEN(B465)-FIND("/",B465, FIND("Single Cells",B465, 1)))</f>
        <v>#VALUE!</v>
      </c>
    </row>
    <row r="466" customFormat="false" ht="12.75" hidden="false" customHeight="true" outlineLevel="0" collapsed="false">
      <c r="E466" s="34" t="str">
        <f aca="false">MID(B466,9,1)</f>
        <v/>
      </c>
      <c r="F466" s="34" t="str">
        <f aca="false">MID(B466,10,1)</f>
        <v/>
      </c>
      <c r="G466" s="34" t="str">
        <f aca="false">MID(B466,11,1)</f>
        <v/>
      </c>
      <c r="H466" s="35" t="str">
        <f aca="false">IF(G466=".",F466,CONCATENATE(F466,G466))</f>
        <v/>
      </c>
      <c r="I466" s="34" t="n">
        <f aca="false">IFERROR(VALUE(H466),)</f>
        <v>0</v>
      </c>
      <c r="J466" s="34" t="e">
        <f aca="false">RIGHT(B466,LEN(B466)-FIND("/",B466, FIND("Single Cells",B466, 1)))</f>
        <v>#VALUE!</v>
      </c>
    </row>
    <row r="467" customFormat="false" ht="12.75" hidden="false" customHeight="true" outlineLevel="0" collapsed="false">
      <c r="E467" s="34" t="str">
        <f aca="false">MID(B467,9,1)</f>
        <v/>
      </c>
      <c r="F467" s="34" t="str">
        <f aca="false">MID(B467,10,1)</f>
        <v/>
      </c>
      <c r="G467" s="34" t="str">
        <f aca="false">MID(B467,11,1)</f>
        <v/>
      </c>
      <c r="H467" s="35" t="str">
        <f aca="false">IF(G467=".",F467,CONCATENATE(F467,G467))</f>
        <v/>
      </c>
      <c r="I467" s="34" t="n">
        <f aca="false">IFERROR(VALUE(H467),)</f>
        <v>0</v>
      </c>
      <c r="J467" s="34" t="e">
        <f aca="false">RIGHT(B467,LEN(B467)-FIND("/",B467, FIND("Single Cells",B467, 1)))</f>
        <v>#VALUE!</v>
      </c>
    </row>
    <row r="468" customFormat="false" ht="12.75" hidden="false" customHeight="true" outlineLevel="0" collapsed="false">
      <c r="E468" s="34" t="str">
        <f aca="false">MID(B468,9,1)</f>
        <v/>
      </c>
      <c r="F468" s="34" t="str">
        <f aca="false">MID(B468,10,1)</f>
        <v/>
      </c>
      <c r="G468" s="34" t="str">
        <f aca="false">MID(B468,11,1)</f>
        <v/>
      </c>
      <c r="H468" s="35" t="str">
        <f aca="false">IF(G468=".",F468,CONCATENATE(F468,G468))</f>
        <v/>
      </c>
      <c r="I468" s="34" t="n">
        <f aca="false">IFERROR(VALUE(H468),)</f>
        <v>0</v>
      </c>
      <c r="J468" s="34" t="e">
        <f aca="false">RIGHT(B468,LEN(B468)-FIND("/",B468, FIND("Single Cells",B468, 1)))</f>
        <v>#VALUE!</v>
      </c>
    </row>
    <row r="469" customFormat="false" ht="12.75" hidden="false" customHeight="true" outlineLevel="0" collapsed="false">
      <c r="E469" s="34" t="str">
        <f aca="false">MID(B469,9,1)</f>
        <v/>
      </c>
      <c r="F469" s="34" t="str">
        <f aca="false">MID(B469,10,1)</f>
        <v/>
      </c>
      <c r="G469" s="34" t="str">
        <f aca="false">MID(B469,11,1)</f>
        <v/>
      </c>
      <c r="H469" s="35" t="str">
        <f aca="false">IF(G469=".",F469,CONCATENATE(F469,G469))</f>
        <v/>
      </c>
      <c r="I469" s="34" t="n">
        <f aca="false">IFERROR(VALUE(H469),)</f>
        <v>0</v>
      </c>
      <c r="J469" s="34" t="e">
        <f aca="false">RIGHT(B469,LEN(B469)-FIND("/",B469, FIND("Single Cells",B469, 1)))</f>
        <v>#VALUE!</v>
      </c>
    </row>
    <row r="470" customFormat="false" ht="12.75" hidden="false" customHeight="true" outlineLevel="0" collapsed="false">
      <c r="E470" s="34" t="str">
        <f aca="false">MID(B470,9,1)</f>
        <v/>
      </c>
      <c r="F470" s="34" t="str">
        <f aca="false">MID(B470,10,1)</f>
        <v/>
      </c>
      <c r="G470" s="34" t="str">
        <f aca="false">MID(B470,11,1)</f>
        <v/>
      </c>
      <c r="H470" s="35" t="str">
        <f aca="false">IF(G470=".",F470,CONCATENATE(F470,G470))</f>
        <v/>
      </c>
      <c r="I470" s="34" t="n">
        <f aca="false">IFERROR(VALUE(H470),)</f>
        <v>0</v>
      </c>
      <c r="J470" s="34" t="e">
        <f aca="false">RIGHT(B470,LEN(B470)-FIND("/",B470, FIND("Single Cells",B470, 1)))</f>
        <v>#VALUE!</v>
      </c>
    </row>
    <row r="471" customFormat="false" ht="12.75" hidden="false" customHeight="true" outlineLevel="0" collapsed="false">
      <c r="E471" s="34" t="str">
        <f aca="false">MID(B471,9,1)</f>
        <v/>
      </c>
      <c r="F471" s="34" t="str">
        <f aca="false">MID(B471,10,1)</f>
        <v/>
      </c>
      <c r="G471" s="34" t="str">
        <f aca="false">MID(B471,11,1)</f>
        <v/>
      </c>
      <c r="H471" s="35" t="str">
        <f aca="false">IF(G471=".",F471,CONCATENATE(F471,G471))</f>
        <v/>
      </c>
      <c r="I471" s="34" t="n">
        <f aca="false">IFERROR(VALUE(H471),)</f>
        <v>0</v>
      </c>
      <c r="J471" s="34" t="e">
        <f aca="false">RIGHT(B471,LEN(B471)-FIND("/",B471, FIND("Single Cells",B471, 1)))</f>
        <v>#VALUE!</v>
      </c>
    </row>
    <row r="472" customFormat="false" ht="12.75" hidden="false" customHeight="true" outlineLevel="0" collapsed="false">
      <c r="E472" s="34" t="str">
        <f aca="false">MID(B472,9,1)</f>
        <v/>
      </c>
      <c r="F472" s="34" t="str">
        <f aca="false">MID(B472,10,1)</f>
        <v/>
      </c>
      <c r="G472" s="34" t="str">
        <f aca="false">MID(B472,11,1)</f>
        <v/>
      </c>
      <c r="H472" s="35" t="str">
        <f aca="false">IF(G472=".",F472,CONCATENATE(F472,G472))</f>
        <v/>
      </c>
      <c r="I472" s="34" t="n">
        <f aca="false">IFERROR(VALUE(H472),)</f>
        <v>0</v>
      </c>
      <c r="J472" s="34" t="e">
        <f aca="false">RIGHT(B472,LEN(B472)-FIND("/",B472, FIND("Single Cells",B472, 1)))</f>
        <v>#VALUE!</v>
      </c>
    </row>
    <row r="473" customFormat="false" ht="12.75" hidden="false" customHeight="true" outlineLevel="0" collapsed="false">
      <c r="E473" s="34" t="str">
        <f aca="false">MID(B473,9,1)</f>
        <v/>
      </c>
      <c r="F473" s="34" t="str">
        <f aca="false">MID(B473,10,1)</f>
        <v/>
      </c>
      <c r="G473" s="34" t="str">
        <f aca="false">MID(B473,11,1)</f>
        <v/>
      </c>
      <c r="H473" s="35" t="str">
        <f aca="false">IF(G473=".",F473,CONCATENATE(F473,G473))</f>
        <v/>
      </c>
      <c r="I473" s="34" t="n">
        <f aca="false">IFERROR(VALUE(H473),)</f>
        <v>0</v>
      </c>
      <c r="J473" s="34" t="e">
        <f aca="false">RIGHT(B473,LEN(B473)-FIND("/",B473, FIND("Single Cells",B473, 1)))</f>
        <v>#VALUE!</v>
      </c>
    </row>
    <row r="474" customFormat="false" ht="12.75" hidden="false" customHeight="true" outlineLevel="0" collapsed="false">
      <c r="E474" s="34" t="str">
        <f aca="false">MID(B474,9,1)</f>
        <v/>
      </c>
      <c r="F474" s="34" t="str">
        <f aca="false">MID(B474,10,1)</f>
        <v/>
      </c>
      <c r="G474" s="34" t="str">
        <f aca="false">MID(B474,11,1)</f>
        <v/>
      </c>
      <c r="H474" s="35" t="str">
        <f aca="false">IF(G474=".",F474,CONCATENATE(F474,G474))</f>
        <v/>
      </c>
      <c r="I474" s="34" t="n">
        <f aca="false">IFERROR(VALUE(H474),)</f>
        <v>0</v>
      </c>
      <c r="J474" s="34" t="e">
        <f aca="false">RIGHT(B474,LEN(B474)-FIND("/",B474, FIND("Single Cells",B474, 1)))</f>
        <v>#VALUE!</v>
      </c>
    </row>
    <row r="475" customFormat="false" ht="12.75" hidden="false" customHeight="true" outlineLevel="0" collapsed="false">
      <c r="E475" s="34" t="str">
        <f aca="false">MID(B475,9,1)</f>
        <v/>
      </c>
      <c r="F475" s="34" t="str">
        <f aca="false">MID(B475,10,1)</f>
        <v/>
      </c>
      <c r="G475" s="34" t="str">
        <f aca="false">MID(B475,11,1)</f>
        <v/>
      </c>
      <c r="H475" s="35" t="str">
        <f aca="false">IF(G475=".",F475,CONCATENATE(F475,G475))</f>
        <v/>
      </c>
      <c r="I475" s="34" t="n">
        <f aca="false">IFERROR(VALUE(H475),)</f>
        <v>0</v>
      </c>
      <c r="J475" s="34" t="e">
        <f aca="false">RIGHT(B475,LEN(B475)-FIND("/",B475, FIND("Single Cells",B475, 1)))</f>
        <v>#VALUE!</v>
      </c>
    </row>
    <row r="476" customFormat="false" ht="12.75" hidden="false" customHeight="true" outlineLevel="0" collapsed="false">
      <c r="E476" s="34" t="str">
        <f aca="false">MID(B476,9,1)</f>
        <v/>
      </c>
      <c r="F476" s="34" t="str">
        <f aca="false">MID(B476,10,1)</f>
        <v/>
      </c>
      <c r="G476" s="34" t="str">
        <f aca="false">MID(B476,11,1)</f>
        <v/>
      </c>
      <c r="H476" s="35" t="str">
        <f aca="false">IF(G476=".",F476,CONCATENATE(F476,G476))</f>
        <v/>
      </c>
      <c r="I476" s="34" t="n">
        <f aca="false">IFERROR(VALUE(H476),)</f>
        <v>0</v>
      </c>
      <c r="J476" s="34" t="e">
        <f aca="false">RIGHT(B476,LEN(B476)-FIND("/",B476, FIND("Single Cells",B476, 1)))</f>
        <v>#VALUE!</v>
      </c>
    </row>
    <row r="477" customFormat="false" ht="12.75" hidden="false" customHeight="true" outlineLevel="0" collapsed="false">
      <c r="E477" s="34" t="str">
        <f aca="false">MID(B477,9,1)</f>
        <v/>
      </c>
      <c r="F477" s="34" t="str">
        <f aca="false">MID(B477,10,1)</f>
        <v/>
      </c>
      <c r="G477" s="34" t="str">
        <f aca="false">MID(B477,11,1)</f>
        <v/>
      </c>
      <c r="H477" s="35" t="str">
        <f aca="false">IF(G477=".",F477,CONCATENATE(F477,G477))</f>
        <v/>
      </c>
      <c r="I477" s="34" t="n">
        <f aca="false">IFERROR(VALUE(H477),)</f>
        <v>0</v>
      </c>
      <c r="J477" s="34" t="e">
        <f aca="false">RIGHT(B477,LEN(B477)-FIND("/",B477, FIND("Single Cells",B477, 1)))</f>
        <v>#VALUE!</v>
      </c>
    </row>
    <row r="478" customFormat="false" ht="12.75" hidden="false" customHeight="true" outlineLevel="0" collapsed="false">
      <c r="E478" s="34" t="str">
        <f aca="false">MID(B478,9,1)</f>
        <v/>
      </c>
      <c r="F478" s="34" t="str">
        <f aca="false">MID(B478,10,1)</f>
        <v/>
      </c>
      <c r="G478" s="34" t="str">
        <f aca="false">MID(B478,11,1)</f>
        <v/>
      </c>
      <c r="H478" s="35" t="str">
        <f aca="false">IF(G478=".",F478,CONCATENATE(F478,G478))</f>
        <v/>
      </c>
      <c r="I478" s="34" t="n">
        <f aca="false">IFERROR(VALUE(H478),)</f>
        <v>0</v>
      </c>
      <c r="J478" s="34" t="e">
        <f aca="false">RIGHT(B478,LEN(B478)-FIND("/",B478, FIND("Single Cells",B478, 1)))</f>
        <v>#VALUE!</v>
      </c>
    </row>
    <row r="479" customFormat="false" ht="12.75" hidden="false" customHeight="true" outlineLevel="0" collapsed="false">
      <c r="E479" s="34" t="str">
        <f aca="false">MID(B479,9,1)</f>
        <v/>
      </c>
      <c r="F479" s="34" t="str">
        <f aca="false">MID(B479,10,1)</f>
        <v/>
      </c>
      <c r="G479" s="34" t="str">
        <f aca="false">MID(B479,11,1)</f>
        <v/>
      </c>
      <c r="H479" s="35" t="str">
        <f aca="false">IF(G479=".",F479,CONCATENATE(F479,G479))</f>
        <v/>
      </c>
      <c r="I479" s="34" t="n">
        <f aca="false">IFERROR(VALUE(H479),)</f>
        <v>0</v>
      </c>
      <c r="J479" s="34" t="e">
        <f aca="false">RIGHT(B479,LEN(B479)-FIND("/",B479, FIND("Single Cells",B479, 1)))</f>
        <v>#VALUE!</v>
      </c>
    </row>
    <row r="480" customFormat="false" ht="12.75" hidden="false" customHeight="true" outlineLevel="0" collapsed="false">
      <c r="E480" s="34" t="str">
        <f aca="false">MID(B480,9,1)</f>
        <v/>
      </c>
      <c r="F480" s="34" t="str">
        <f aca="false">MID(B480,10,1)</f>
        <v/>
      </c>
      <c r="G480" s="34" t="str">
        <f aca="false">MID(B480,11,1)</f>
        <v/>
      </c>
      <c r="H480" s="35" t="str">
        <f aca="false">IF(G480=".",F480,CONCATENATE(F480,G480))</f>
        <v/>
      </c>
      <c r="I480" s="34" t="n">
        <f aca="false">IFERROR(VALUE(H480),)</f>
        <v>0</v>
      </c>
      <c r="J480" s="34" t="e">
        <f aca="false">RIGHT(B480,LEN(B480)-FIND("/",B480, FIND("Single Cells",B480, 1)))</f>
        <v>#VALUE!</v>
      </c>
    </row>
    <row r="481" customFormat="false" ht="12.75" hidden="false" customHeight="true" outlineLevel="0" collapsed="false">
      <c r="E481" s="34" t="str">
        <f aca="false">MID(B481,9,1)</f>
        <v/>
      </c>
      <c r="F481" s="34" t="str">
        <f aca="false">MID(B481,10,1)</f>
        <v/>
      </c>
      <c r="G481" s="34" t="str">
        <f aca="false">MID(B481,11,1)</f>
        <v/>
      </c>
      <c r="H481" s="35" t="str">
        <f aca="false">IF(G481=".",F481,CONCATENATE(F481,G481))</f>
        <v/>
      </c>
      <c r="I481" s="34" t="n">
        <f aca="false">IFERROR(VALUE(H481),)</f>
        <v>0</v>
      </c>
      <c r="J481" s="34" t="e">
        <f aca="false">RIGHT(B481,LEN(B481)-FIND("/",B481, FIND("Single Cells",B481, 1)))</f>
        <v>#VALUE!</v>
      </c>
    </row>
    <row r="482" customFormat="false" ht="12.75" hidden="false" customHeight="true" outlineLevel="0" collapsed="false">
      <c r="E482" s="34" t="str">
        <f aca="false">MID(B482,9,1)</f>
        <v/>
      </c>
      <c r="F482" s="34" t="str">
        <f aca="false">MID(B482,10,1)</f>
        <v/>
      </c>
      <c r="G482" s="34" t="str">
        <f aca="false">MID(B482,11,1)</f>
        <v/>
      </c>
      <c r="H482" s="35" t="str">
        <f aca="false">IF(G482=".",F482,CONCATENATE(F482,G482))</f>
        <v/>
      </c>
      <c r="I482" s="34" t="n">
        <f aca="false">IFERROR(VALUE(H482),)</f>
        <v>0</v>
      </c>
      <c r="J482" s="34" t="e">
        <f aca="false">RIGHT(B482,LEN(B482)-FIND("/",B482, FIND("Single Cells",B482, 1)))</f>
        <v>#VALUE!</v>
      </c>
    </row>
    <row r="483" customFormat="false" ht="12.75" hidden="false" customHeight="true" outlineLevel="0" collapsed="false">
      <c r="E483" s="34" t="str">
        <f aca="false">MID(B483,9,1)</f>
        <v/>
      </c>
      <c r="F483" s="34" t="str">
        <f aca="false">MID(B483,10,1)</f>
        <v/>
      </c>
      <c r="G483" s="34" t="str">
        <f aca="false">MID(B483,11,1)</f>
        <v/>
      </c>
      <c r="H483" s="35" t="str">
        <f aca="false">IF(G483=".",F483,CONCATENATE(F483,G483))</f>
        <v/>
      </c>
      <c r="I483" s="34" t="n">
        <f aca="false">IFERROR(VALUE(H483),)</f>
        <v>0</v>
      </c>
      <c r="J483" s="34" t="e">
        <f aca="false">RIGHT(B483,LEN(B483)-FIND("/",B483, FIND("Single Cells",B483, 1)))</f>
        <v>#VALUE!</v>
      </c>
    </row>
    <row r="484" customFormat="false" ht="12.75" hidden="false" customHeight="true" outlineLevel="0" collapsed="false">
      <c r="E484" s="34" t="str">
        <f aca="false">MID(B484,9,1)</f>
        <v/>
      </c>
      <c r="F484" s="34" t="str">
        <f aca="false">MID(B484,10,1)</f>
        <v/>
      </c>
      <c r="G484" s="34" t="str">
        <f aca="false">MID(B484,11,1)</f>
        <v/>
      </c>
      <c r="H484" s="35" t="str">
        <f aca="false">IF(G484=".",F484,CONCATENATE(F484,G484))</f>
        <v/>
      </c>
      <c r="I484" s="34" t="n">
        <f aca="false">IFERROR(VALUE(H484),)</f>
        <v>0</v>
      </c>
      <c r="J484" s="34" t="e">
        <f aca="false">RIGHT(B484,LEN(B484)-FIND("/",B484, FIND("Single Cells",B484, 1)))</f>
        <v>#VALUE!</v>
      </c>
    </row>
    <row r="485" customFormat="false" ht="12.75" hidden="false" customHeight="true" outlineLevel="0" collapsed="false">
      <c r="E485" s="34" t="str">
        <f aca="false">MID(B485,9,1)</f>
        <v/>
      </c>
      <c r="F485" s="34" t="str">
        <f aca="false">MID(B485,10,1)</f>
        <v/>
      </c>
      <c r="G485" s="34" t="str">
        <f aca="false">MID(B485,11,1)</f>
        <v/>
      </c>
      <c r="H485" s="35" t="str">
        <f aca="false">IF(G485=".",F485,CONCATENATE(F485,G485))</f>
        <v/>
      </c>
      <c r="I485" s="34" t="n">
        <f aca="false">IFERROR(VALUE(H485),)</f>
        <v>0</v>
      </c>
      <c r="J485" s="34" t="e">
        <f aca="false">RIGHT(B485,LEN(B485)-FIND("/",B485, FIND("Single Cells",B485, 1)))</f>
        <v>#VALUE!</v>
      </c>
    </row>
    <row r="486" customFormat="false" ht="12.75" hidden="false" customHeight="true" outlineLevel="0" collapsed="false">
      <c r="E486" s="34" t="str">
        <f aca="false">MID(B486,9,1)</f>
        <v/>
      </c>
      <c r="F486" s="34" t="str">
        <f aca="false">MID(B486,10,1)</f>
        <v/>
      </c>
      <c r="G486" s="34" t="str">
        <f aca="false">MID(B486,11,1)</f>
        <v/>
      </c>
      <c r="H486" s="35" t="str">
        <f aca="false">IF(G486=".",F486,CONCATENATE(F486,G486))</f>
        <v/>
      </c>
      <c r="I486" s="34" t="n">
        <f aca="false">IFERROR(VALUE(H486),)</f>
        <v>0</v>
      </c>
      <c r="J486" s="34" t="e">
        <f aca="false">RIGHT(B486,LEN(B486)-FIND("/",B486, FIND("Single Cells",B486, 1)))</f>
        <v>#VALUE!</v>
      </c>
    </row>
    <row r="487" customFormat="false" ht="12.75" hidden="false" customHeight="true" outlineLevel="0" collapsed="false">
      <c r="E487" s="34" t="str">
        <f aca="false">MID(B487,9,1)</f>
        <v/>
      </c>
      <c r="F487" s="34" t="str">
        <f aca="false">MID(B487,10,1)</f>
        <v/>
      </c>
      <c r="G487" s="34" t="str">
        <f aca="false">MID(B487,11,1)</f>
        <v/>
      </c>
      <c r="H487" s="35" t="str">
        <f aca="false">IF(G487=".",F487,CONCATENATE(F487,G487))</f>
        <v/>
      </c>
      <c r="I487" s="34" t="n">
        <f aca="false">IFERROR(VALUE(H487),)</f>
        <v>0</v>
      </c>
      <c r="J487" s="34" t="e">
        <f aca="false">RIGHT(B487,LEN(B487)-FIND("/",B487, FIND("Single Cells",B487, 1)))</f>
        <v>#VALUE!</v>
      </c>
    </row>
    <row r="488" customFormat="false" ht="12.75" hidden="false" customHeight="true" outlineLevel="0" collapsed="false">
      <c r="E488" s="34" t="str">
        <f aca="false">MID(B488,9,1)</f>
        <v/>
      </c>
      <c r="F488" s="34" t="str">
        <f aca="false">MID(B488,10,1)</f>
        <v/>
      </c>
      <c r="G488" s="34" t="str">
        <f aca="false">MID(B488,11,1)</f>
        <v/>
      </c>
      <c r="H488" s="35" t="str">
        <f aca="false">IF(G488=".",F488,CONCATENATE(F488,G488))</f>
        <v/>
      </c>
      <c r="I488" s="34" t="n">
        <f aca="false">IFERROR(VALUE(H488),)</f>
        <v>0</v>
      </c>
      <c r="J488" s="34" t="e">
        <f aca="false">RIGHT(B488,LEN(B488)-FIND("/",B488, FIND("Single Cells",B488, 1)))</f>
        <v>#VALUE!</v>
      </c>
    </row>
    <row r="489" customFormat="false" ht="12.75" hidden="false" customHeight="true" outlineLevel="0" collapsed="false">
      <c r="E489" s="34" t="str">
        <f aca="false">MID(B489,9,1)</f>
        <v/>
      </c>
      <c r="F489" s="34" t="str">
        <f aca="false">MID(B489,10,1)</f>
        <v/>
      </c>
      <c r="G489" s="34" t="str">
        <f aca="false">MID(B489,11,1)</f>
        <v/>
      </c>
      <c r="H489" s="35" t="str">
        <f aca="false">IF(G489=".",F489,CONCATENATE(F489,G489))</f>
        <v/>
      </c>
      <c r="I489" s="34" t="n">
        <f aca="false">IFERROR(VALUE(H489),)</f>
        <v>0</v>
      </c>
      <c r="J489" s="34" t="e">
        <f aca="false">RIGHT(B489,LEN(B489)-FIND("/",B489, FIND("Single Cells",B489, 1)))</f>
        <v>#VALUE!</v>
      </c>
    </row>
    <row r="490" customFormat="false" ht="12.75" hidden="false" customHeight="true" outlineLevel="0" collapsed="false">
      <c r="E490" s="34" t="str">
        <f aca="false">MID(B490,9,1)</f>
        <v/>
      </c>
      <c r="F490" s="34" t="str">
        <f aca="false">MID(B490,10,1)</f>
        <v/>
      </c>
      <c r="G490" s="34" t="str">
        <f aca="false">MID(B490,11,1)</f>
        <v/>
      </c>
      <c r="H490" s="35" t="str">
        <f aca="false">IF(G490=".",F490,CONCATENATE(F490,G490))</f>
        <v/>
      </c>
      <c r="I490" s="34" t="n">
        <f aca="false">IFERROR(VALUE(H490),)</f>
        <v>0</v>
      </c>
      <c r="J490" s="34" t="e">
        <f aca="false">RIGHT(B490,LEN(B490)-FIND("/",B490, FIND("Single Cells",B490, 1)))</f>
        <v>#VALUE!</v>
      </c>
    </row>
    <row r="491" customFormat="false" ht="12.75" hidden="false" customHeight="true" outlineLevel="0" collapsed="false">
      <c r="E491" s="34" t="str">
        <f aca="false">MID(B491,9,1)</f>
        <v/>
      </c>
      <c r="F491" s="34" t="str">
        <f aca="false">MID(B491,10,1)</f>
        <v/>
      </c>
      <c r="G491" s="34" t="str">
        <f aca="false">MID(B491,11,1)</f>
        <v/>
      </c>
      <c r="H491" s="35" t="str">
        <f aca="false">IF(G491=".",F491,CONCATENATE(F491,G491))</f>
        <v/>
      </c>
      <c r="I491" s="34" t="n">
        <f aca="false">IFERROR(VALUE(H491),)</f>
        <v>0</v>
      </c>
      <c r="J491" s="34" t="e">
        <f aca="false">RIGHT(B491,LEN(B491)-FIND("/",B491, FIND("Single Cells",B491, 1)))</f>
        <v>#VALUE!</v>
      </c>
    </row>
    <row r="492" customFormat="false" ht="12.75" hidden="false" customHeight="true" outlineLevel="0" collapsed="false">
      <c r="E492" s="34" t="str">
        <f aca="false">MID(B492,9,1)</f>
        <v/>
      </c>
      <c r="F492" s="34" t="str">
        <f aca="false">MID(B492,10,1)</f>
        <v/>
      </c>
      <c r="G492" s="34" t="str">
        <f aca="false">MID(B492,11,1)</f>
        <v/>
      </c>
      <c r="H492" s="35" t="str">
        <f aca="false">IF(G492=".",F492,CONCATENATE(F492,G492))</f>
        <v/>
      </c>
      <c r="I492" s="34" t="n">
        <f aca="false">IFERROR(VALUE(H492),)</f>
        <v>0</v>
      </c>
      <c r="J492" s="34" t="e">
        <f aca="false">RIGHT(B492,LEN(B492)-FIND("/",B492, FIND("Single Cells",B492, 1)))</f>
        <v>#VALUE!</v>
      </c>
    </row>
    <row r="493" customFormat="false" ht="12.75" hidden="false" customHeight="true" outlineLevel="0" collapsed="false">
      <c r="E493" s="34" t="str">
        <f aca="false">MID(B493,9,1)</f>
        <v/>
      </c>
      <c r="F493" s="34" t="str">
        <f aca="false">MID(B493,10,1)</f>
        <v/>
      </c>
      <c r="G493" s="34" t="str">
        <f aca="false">MID(B493,11,1)</f>
        <v/>
      </c>
      <c r="H493" s="35" t="str">
        <f aca="false">IF(G493=".",F493,CONCATENATE(F493,G493))</f>
        <v/>
      </c>
      <c r="I493" s="34" t="n">
        <f aca="false">IFERROR(VALUE(H493),)</f>
        <v>0</v>
      </c>
      <c r="J493" s="34" t="e">
        <f aca="false">RIGHT(B493,LEN(B493)-FIND("/",B493, FIND("Single Cells",B493, 1)))</f>
        <v>#VALUE!</v>
      </c>
    </row>
    <row r="494" customFormat="false" ht="12.75" hidden="false" customHeight="true" outlineLevel="0" collapsed="false">
      <c r="E494" s="34" t="str">
        <f aca="false">MID(B494,9,1)</f>
        <v/>
      </c>
      <c r="F494" s="34" t="str">
        <f aca="false">MID(B494,10,1)</f>
        <v/>
      </c>
      <c r="G494" s="34" t="str">
        <f aca="false">MID(B494,11,1)</f>
        <v/>
      </c>
      <c r="H494" s="35" t="str">
        <f aca="false">IF(G494=".",F494,CONCATENATE(F494,G494))</f>
        <v/>
      </c>
      <c r="I494" s="34" t="n">
        <f aca="false">IFERROR(VALUE(H494),)</f>
        <v>0</v>
      </c>
      <c r="J494" s="34" t="e">
        <f aca="false">RIGHT(B494,LEN(B494)-FIND("/",B494, FIND("Single Cells",B494, 1)))</f>
        <v>#VALUE!</v>
      </c>
    </row>
    <row r="495" customFormat="false" ht="12.75" hidden="false" customHeight="true" outlineLevel="0" collapsed="false">
      <c r="E495" s="34" t="str">
        <f aca="false">MID(B495,9,1)</f>
        <v/>
      </c>
      <c r="F495" s="34" t="str">
        <f aca="false">MID(B495,10,1)</f>
        <v/>
      </c>
      <c r="G495" s="34" t="str">
        <f aca="false">MID(B495,11,1)</f>
        <v/>
      </c>
      <c r="H495" s="35" t="str">
        <f aca="false">IF(G495=".",F495,CONCATENATE(F495,G495))</f>
        <v/>
      </c>
      <c r="I495" s="34" t="n">
        <f aca="false">IFERROR(VALUE(H495),)</f>
        <v>0</v>
      </c>
      <c r="J495" s="34" t="e">
        <f aca="false">RIGHT(B495,LEN(B495)-FIND("/",B495, FIND("Single Cells",B495, 1)))</f>
        <v>#VALUE!</v>
      </c>
    </row>
    <row r="496" customFormat="false" ht="12.75" hidden="false" customHeight="true" outlineLevel="0" collapsed="false">
      <c r="E496" s="34" t="str">
        <f aca="false">MID(B496,9,1)</f>
        <v/>
      </c>
      <c r="F496" s="34" t="str">
        <f aca="false">MID(B496,10,1)</f>
        <v/>
      </c>
      <c r="G496" s="34" t="str">
        <f aca="false">MID(B496,11,1)</f>
        <v/>
      </c>
      <c r="H496" s="35" t="str">
        <f aca="false">IF(G496=".",F496,CONCATENATE(F496,G496))</f>
        <v/>
      </c>
      <c r="I496" s="34" t="n">
        <f aca="false">IFERROR(VALUE(H496),)</f>
        <v>0</v>
      </c>
      <c r="J496" s="34" t="e">
        <f aca="false">RIGHT(B496,LEN(B496)-FIND("/",B496, FIND("Single Cells",B496, 1)))</f>
        <v>#VALUE!</v>
      </c>
    </row>
    <row r="497" customFormat="false" ht="12.75" hidden="false" customHeight="true" outlineLevel="0" collapsed="false">
      <c r="E497" s="34" t="str">
        <f aca="false">MID(B497,9,1)</f>
        <v/>
      </c>
      <c r="F497" s="34" t="str">
        <f aca="false">MID(B497,10,1)</f>
        <v/>
      </c>
      <c r="G497" s="34" t="str">
        <f aca="false">MID(B497,11,1)</f>
        <v/>
      </c>
      <c r="H497" s="35" t="str">
        <f aca="false">IF(G497=".",F497,CONCATENATE(F497,G497))</f>
        <v/>
      </c>
      <c r="I497" s="34" t="n">
        <f aca="false">IFERROR(VALUE(H497),)</f>
        <v>0</v>
      </c>
      <c r="J497" s="34" t="e">
        <f aca="false">RIGHT(B497,LEN(B497)-FIND("/",B497, FIND("Single Cells",B497, 1)))</f>
        <v>#VALUE!</v>
      </c>
    </row>
    <row r="498" customFormat="false" ht="12.75" hidden="false" customHeight="true" outlineLevel="0" collapsed="false">
      <c r="E498" s="34" t="str">
        <f aca="false">MID(B498,9,1)</f>
        <v/>
      </c>
      <c r="F498" s="34" t="str">
        <f aca="false">MID(B498,10,1)</f>
        <v/>
      </c>
      <c r="G498" s="34" t="str">
        <f aca="false">MID(B498,11,1)</f>
        <v/>
      </c>
      <c r="H498" s="35" t="str">
        <f aca="false">IF(G498=".",F498,CONCATENATE(F498,G498))</f>
        <v/>
      </c>
      <c r="I498" s="34" t="n">
        <f aca="false">IFERROR(VALUE(H498),)</f>
        <v>0</v>
      </c>
      <c r="J498" s="34" t="e">
        <f aca="false">RIGHT(B498,LEN(B498)-FIND("/",B498, FIND("Single Cells",B498, 1)))</f>
        <v>#VALUE!</v>
      </c>
    </row>
    <row r="499" customFormat="false" ht="12.75" hidden="false" customHeight="true" outlineLevel="0" collapsed="false">
      <c r="E499" s="34" t="str">
        <f aca="false">MID(B499,9,1)</f>
        <v/>
      </c>
      <c r="F499" s="34" t="str">
        <f aca="false">MID(B499,10,1)</f>
        <v/>
      </c>
      <c r="G499" s="34" t="str">
        <f aca="false">MID(B499,11,1)</f>
        <v/>
      </c>
      <c r="H499" s="35" t="str">
        <f aca="false">IF(G499=".",F499,CONCATENATE(F499,G499))</f>
        <v/>
      </c>
      <c r="I499" s="34" t="n">
        <f aca="false">IFERROR(VALUE(H499),)</f>
        <v>0</v>
      </c>
      <c r="J499" s="34" t="e">
        <f aca="false">RIGHT(B499,LEN(B499)-FIND("/",B499, FIND("Single Cells",B499, 1)))</f>
        <v>#VALUE!</v>
      </c>
    </row>
    <row r="500" customFormat="false" ht="12.75" hidden="false" customHeight="true" outlineLevel="0" collapsed="false">
      <c r="E500" s="34" t="str">
        <f aca="false">MID(B500,9,1)</f>
        <v/>
      </c>
      <c r="F500" s="34" t="str">
        <f aca="false">MID(B500,10,1)</f>
        <v/>
      </c>
      <c r="G500" s="34" t="str">
        <f aca="false">MID(B500,11,1)</f>
        <v/>
      </c>
      <c r="H500" s="35" t="str">
        <f aca="false">IF(G500=".",F500,CONCATENATE(F500,G500))</f>
        <v/>
      </c>
      <c r="I500" s="34" t="n">
        <f aca="false">IFERROR(VALUE(H500),)</f>
        <v>0</v>
      </c>
      <c r="J500" s="34" t="e">
        <f aca="false">RIGHT(B500,LEN(B500)-FIND("/",B500, FIND("Single Cells",B500, 1)))</f>
        <v>#VALUE!</v>
      </c>
    </row>
    <row r="501" customFormat="false" ht="12.75" hidden="false" customHeight="true" outlineLevel="0" collapsed="false">
      <c r="E501" s="34" t="str">
        <f aca="false">MID(B501,9,1)</f>
        <v/>
      </c>
      <c r="F501" s="34" t="str">
        <f aca="false">MID(B501,10,1)</f>
        <v/>
      </c>
      <c r="G501" s="34" t="str">
        <f aca="false">MID(B501,11,1)</f>
        <v/>
      </c>
      <c r="H501" s="35" t="str">
        <f aca="false">IF(G501=".",F501,CONCATENATE(F501,G501))</f>
        <v/>
      </c>
      <c r="I501" s="34" t="n">
        <f aca="false">IFERROR(VALUE(H501),)</f>
        <v>0</v>
      </c>
      <c r="J501" s="34" t="e">
        <f aca="false">RIGHT(B501,LEN(B501)-FIND("/",B501, FIND("Single Cells",B501, 1)))</f>
        <v>#VALUE!</v>
      </c>
    </row>
    <row r="502" customFormat="false" ht="12.75" hidden="false" customHeight="true" outlineLevel="0" collapsed="false">
      <c r="E502" s="34" t="str">
        <f aca="false">MID(B502,9,1)</f>
        <v/>
      </c>
      <c r="F502" s="34" t="str">
        <f aca="false">MID(B502,10,1)</f>
        <v/>
      </c>
      <c r="G502" s="34" t="str">
        <f aca="false">MID(B502,11,1)</f>
        <v/>
      </c>
      <c r="H502" s="35" t="str">
        <f aca="false">IF(G502=".",F502,CONCATENATE(F502,G502))</f>
        <v/>
      </c>
      <c r="I502" s="34" t="n">
        <f aca="false">IFERROR(VALUE(H502),)</f>
        <v>0</v>
      </c>
      <c r="J502" s="34" t="e">
        <f aca="false">RIGHT(B502,LEN(B502)-FIND("/",B502, FIND("Single Cells",B502, 1)))</f>
        <v>#VALUE!</v>
      </c>
    </row>
    <row r="503" customFormat="false" ht="12.75" hidden="false" customHeight="true" outlineLevel="0" collapsed="false">
      <c r="E503" s="34" t="str">
        <f aca="false">MID(B503,9,1)</f>
        <v/>
      </c>
      <c r="F503" s="34" t="str">
        <f aca="false">MID(B503,10,1)</f>
        <v/>
      </c>
      <c r="G503" s="34" t="str">
        <f aca="false">MID(B503,11,1)</f>
        <v/>
      </c>
      <c r="H503" s="35" t="str">
        <f aca="false">IF(G503=".",F503,CONCATENATE(F503,G503))</f>
        <v/>
      </c>
      <c r="I503" s="34" t="n">
        <f aca="false">IFERROR(VALUE(H503),)</f>
        <v>0</v>
      </c>
      <c r="J503" s="34" t="e">
        <f aca="false">RIGHT(B503,LEN(B503)-FIND("/",B503, FIND("Single Cells",B503, 1)))</f>
        <v>#VALUE!</v>
      </c>
    </row>
    <row r="504" customFormat="false" ht="12.75" hidden="false" customHeight="true" outlineLevel="0" collapsed="false">
      <c r="E504" s="34" t="str">
        <f aca="false">MID(B504,9,1)</f>
        <v/>
      </c>
      <c r="F504" s="34" t="str">
        <f aca="false">MID(B504,10,1)</f>
        <v/>
      </c>
      <c r="G504" s="34" t="str">
        <f aca="false">MID(B504,11,1)</f>
        <v/>
      </c>
      <c r="H504" s="35" t="str">
        <f aca="false">IF(G504=".",F504,CONCATENATE(F504,G504))</f>
        <v/>
      </c>
      <c r="I504" s="34" t="n">
        <f aca="false">IFERROR(VALUE(H504),)</f>
        <v>0</v>
      </c>
      <c r="J504" s="34" t="e">
        <f aca="false">RIGHT(B504,LEN(B504)-FIND("/",B504, FIND("Single Cells",B504, 1)))</f>
        <v>#VALUE!</v>
      </c>
    </row>
    <row r="505" customFormat="false" ht="12.75" hidden="false" customHeight="true" outlineLevel="0" collapsed="false">
      <c r="E505" s="34" t="str">
        <f aca="false">MID(B505,9,1)</f>
        <v/>
      </c>
      <c r="F505" s="34" t="str">
        <f aca="false">MID(B505,10,1)</f>
        <v/>
      </c>
      <c r="G505" s="34" t="str">
        <f aca="false">MID(B505,11,1)</f>
        <v/>
      </c>
      <c r="H505" s="35" t="str">
        <f aca="false">IF(G505=".",F505,CONCATENATE(F505,G505))</f>
        <v/>
      </c>
      <c r="I505" s="34" t="n">
        <f aca="false">IFERROR(VALUE(H505),)</f>
        <v>0</v>
      </c>
      <c r="J505" s="34" t="e">
        <f aca="false">RIGHT(B505,LEN(B505)-FIND("/",B505, FIND("Single Cells",B505, 1)))</f>
        <v>#VALUE!</v>
      </c>
    </row>
    <row r="506" customFormat="false" ht="12.75" hidden="false" customHeight="true" outlineLevel="0" collapsed="false">
      <c r="E506" s="34" t="str">
        <f aca="false">MID(B506,9,1)</f>
        <v/>
      </c>
      <c r="F506" s="34" t="str">
        <f aca="false">MID(B506,10,1)</f>
        <v/>
      </c>
      <c r="G506" s="34" t="str">
        <f aca="false">MID(B506,11,1)</f>
        <v/>
      </c>
      <c r="H506" s="35" t="str">
        <f aca="false">IF(G506=".",F506,CONCATENATE(F506,G506))</f>
        <v/>
      </c>
      <c r="I506" s="34" t="n">
        <f aca="false">IFERROR(VALUE(H506),)</f>
        <v>0</v>
      </c>
      <c r="J506" s="34" t="e">
        <f aca="false">RIGHT(B506,LEN(B506)-FIND("/",B506, FIND("Single Cells",B506, 1)))</f>
        <v>#VALUE!</v>
      </c>
    </row>
    <row r="507" customFormat="false" ht="12.75" hidden="false" customHeight="true" outlineLevel="0" collapsed="false">
      <c r="E507" s="34" t="str">
        <f aca="false">MID(B507,9,1)</f>
        <v/>
      </c>
      <c r="F507" s="34" t="str">
        <f aca="false">MID(B507,10,1)</f>
        <v/>
      </c>
      <c r="G507" s="34" t="str">
        <f aca="false">MID(B507,11,1)</f>
        <v/>
      </c>
      <c r="H507" s="35" t="str">
        <f aca="false">IF(G507=".",F507,CONCATENATE(F507,G507))</f>
        <v/>
      </c>
      <c r="I507" s="34" t="n">
        <f aca="false">IFERROR(VALUE(H507),)</f>
        <v>0</v>
      </c>
      <c r="J507" s="34" t="e">
        <f aca="false">RIGHT(B507,LEN(B507)-FIND("/",B507, FIND("Single Cells",B507, 1)))</f>
        <v>#VALUE!</v>
      </c>
    </row>
    <row r="508" customFormat="false" ht="12.75" hidden="false" customHeight="true" outlineLevel="0" collapsed="false">
      <c r="E508" s="34" t="str">
        <f aca="false">MID(B508,9,1)</f>
        <v/>
      </c>
      <c r="F508" s="34" t="str">
        <f aca="false">MID(B508,10,1)</f>
        <v/>
      </c>
      <c r="G508" s="34" t="str">
        <f aca="false">MID(B508,11,1)</f>
        <v/>
      </c>
      <c r="H508" s="35" t="str">
        <f aca="false">IF(G508=".",F508,CONCATENATE(F508,G508))</f>
        <v/>
      </c>
      <c r="I508" s="34" t="n">
        <f aca="false">IFERROR(VALUE(H508),)</f>
        <v>0</v>
      </c>
      <c r="J508" s="34" t="e">
        <f aca="false">RIGHT(B508,LEN(B508)-FIND("/",B508, FIND("Single Cells",B508, 1)))</f>
        <v>#VALUE!</v>
      </c>
    </row>
    <row r="509" customFormat="false" ht="12.75" hidden="false" customHeight="false" outlineLevel="0" collapsed="false">
      <c r="E509" s="34" t="str">
        <f aca="false">MID(B509,9,1)</f>
        <v/>
      </c>
      <c r="F509" s="34" t="str">
        <f aca="false">MID(B509,10,1)</f>
        <v/>
      </c>
      <c r="G509" s="34" t="str">
        <f aca="false">MID(B509,11,1)</f>
        <v/>
      </c>
      <c r="H509" s="35" t="str">
        <f aca="false">IF(G509=".",F509,CONCATENATE(F509,G509))</f>
        <v/>
      </c>
      <c r="I509" s="34" t="n">
        <f aca="false">IFERROR(VALUE(H509),)</f>
        <v>0</v>
      </c>
      <c r="J509" s="34" t="e">
        <f aca="false">RIGHT(B509,LEN(B509)-FIND("/",B509, FIND("Single Cells",B509, 1)))</f>
        <v>#VALUE!</v>
      </c>
    </row>
    <row r="510" customFormat="false" ht="12.75" hidden="false" customHeight="false" outlineLevel="0" collapsed="false">
      <c r="E510" s="34" t="str">
        <f aca="false">MID(B510,9,1)</f>
        <v/>
      </c>
      <c r="F510" s="34" t="str">
        <f aca="false">MID(B510,10,1)</f>
        <v/>
      </c>
      <c r="G510" s="34" t="str">
        <f aca="false">MID(B510,11,1)</f>
        <v/>
      </c>
      <c r="H510" s="35" t="str">
        <f aca="false">IF(G510=".",F510,CONCATENATE(F510,G510))</f>
        <v/>
      </c>
      <c r="I510" s="34" t="n">
        <f aca="false">IFERROR(VALUE(H510),)</f>
        <v>0</v>
      </c>
      <c r="J510" s="34" t="e">
        <f aca="false">RIGHT(B510,LEN(B510)-FIND("/",B510, FIND("Single Cells",B510, 1)))</f>
        <v>#VALUE!</v>
      </c>
    </row>
    <row r="511" customFormat="false" ht="12.75" hidden="false" customHeight="false" outlineLevel="0" collapsed="false">
      <c r="E511" s="34" t="str">
        <f aca="false">MID(B511,9,1)</f>
        <v/>
      </c>
      <c r="F511" s="34" t="str">
        <f aca="false">MID(B511,10,1)</f>
        <v/>
      </c>
      <c r="G511" s="34" t="str">
        <f aca="false">MID(B511,11,1)</f>
        <v/>
      </c>
      <c r="H511" s="35" t="str">
        <f aca="false">IF(G511=".",F511,CONCATENATE(F511,G511))</f>
        <v/>
      </c>
      <c r="I511" s="34" t="n">
        <f aca="false">IFERROR(VALUE(H511),)</f>
        <v>0</v>
      </c>
      <c r="J511" s="34" t="e">
        <f aca="false">RIGHT(B511,LEN(B511)-FIND("/",B511, FIND("Single Cells",B511, 1)))</f>
        <v>#VALUE!</v>
      </c>
    </row>
    <row r="512" customFormat="false" ht="12.75" hidden="false" customHeight="false" outlineLevel="0" collapsed="false">
      <c r="E512" s="34" t="str">
        <f aca="false">MID(B512,9,1)</f>
        <v/>
      </c>
      <c r="F512" s="34" t="str">
        <f aca="false">MID(B512,10,1)</f>
        <v/>
      </c>
      <c r="G512" s="34" t="str">
        <f aca="false">MID(B512,11,1)</f>
        <v/>
      </c>
      <c r="H512" s="35" t="str">
        <f aca="false">IF(G512=".",F512,CONCATENATE(F512,G512))</f>
        <v/>
      </c>
      <c r="I512" s="34" t="n">
        <f aca="false">IFERROR(VALUE(H512),)</f>
        <v>0</v>
      </c>
      <c r="J512" s="34" t="e">
        <f aca="false">RIGHT(B512,LEN(B512)-FIND("/",B512, FIND("Single Cells",B512, 1)))</f>
        <v>#VALUE!</v>
      </c>
    </row>
    <row r="513" customFormat="false" ht="12.75" hidden="false" customHeight="false" outlineLevel="0" collapsed="false">
      <c r="E513" s="34" t="str">
        <f aca="false">MID(B513,9,1)</f>
        <v/>
      </c>
      <c r="F513" s="34" t="str">
        <f aca="false">MID(B513,10,1)</f>
        <v/>
      </c>
      <c r="G513" s="34" t="str">
        <f aca="false">MID(B513,11,1)</f>
        <v/>
      </c>
      <c r="H513" s="35" t="str">
        <f aca="false">IF(G513=".",F513,CONCATENATE(F513,G513))</f>
        <v/>
      </c>
      <c r="I513" s="34" t="n">
        <f aca="false">IFERROR(VALUE(H513),)</f>
        <v>0</v>
      </c>
      <c r="J513" s="34" t="e">
        <f aca="false">RIGHT(B513,LEN(B513)-FIND("/",B513, FIND("Single Cells",B513, 1)))</f>
        <v>#VALUE!</v>
      </c>
    </row>
    <row r="514" customFormat="false" ht="12.75" hidden="false" customHeight="false" outlineLevel="0" collapsed="false">
      <c r="E514" s="34" t="str">
        <f aca="false">MID(B514,9,1)</f>
        <v/>
      </c>
      <c r="F514" s="34" t="str">
        <f aca="false">MID(B514,10,1)</f>
        <v/>
      </c>
      <c r="G514" s="34" t="str">
        <f aca="false">MID(B514,11,1)</f>
        <v/>
      </c>
      <c r="H514" s="35" t="str">
        <f aca="false">IF(G514=".",F514,CONCATENATE(F514,G514))</f>
        <v/>
      </c>
      <c r="I514" s="34" t="n">
        <f aca="false">IFERROR(VALUE(H514),)</f>
        <v>0</v>
      </c>
      <c r="J514" s="34" t="e">
        <f aca="false">RIGHT(B514,LEN(B514)-FIND("/",B514, FIND("Single Cells",B514, 1)))</f>
        <v>#VALUE!</v>
      </c>
    </row>
    <row r="515" customFormat="false" ht="12.75" hidden="false" customHeight="false" outlineLevel="0" collapsed="false">
      <c r="E515" s="34" t="str">
        <f aca="false">MID(B515,9,1)</f>
        <v/>
      </c>
      <c r="F515" s="34" t="str">
        <f aca="false">MID(B515,10,1)</f>
        <v/>
      </c>
      <c r="G515" s="34" t="str">
        <f aca="false">MID(B515,11,1)</f>
        <v/>
      </c>
      <c r="H515" s="35" t="str">
        <f aca="false">IF(G515=".",F515,CONCATENATE(F515,G515))</f>
        <v/>
      </c>
      <c r="I515" s="34" t="n">
        <f aca="false">IFERROR(VALUE(H515),)</f>
        <v>0</v>
      </c>
      <c r="J515" s="34" t="e">
        <f aca="false">RIGHT(B515,LEN(B515)-FIND("/",B515, FIND("Single Cells",B515, 1)))</f>
        <v>#VALUE!</v>
      </c>
    </row>
    <row r="516" customFormat="false" ht="12.75" hidden="false" customHeight="false" outlineLevel="0" collapsed="false">
      <c r="E516" s="34" t="str">
        <f aca="false">MID(B516,9,1)</f>
        <v/>
      </c>
      <c r="F516" s="34" t="str">
        <f aca="false">MID(B516,10,1)</f>
        <v/>
      </c>
      <c r="G516" s="34" t="str">
        <f aca="false">MID(B516,11,1)</f>
        <v/>
      </c>
      <c r="H516" s="35" t="str">
        <f aca="false">IF(G516=".",F516,CONCATENATE(F516,G516))</f>
        <v/>
      </c>
      <c r="I516" s="34" t="n">
        <f aca="false">IFERROR(VALUE(H516),)</f>
        <v>0</v>
      </c>
      <c r="J516" s="34" t="e">
        <f aca="false">RIGHT(B516,LEN(B516)-FIND("/",B516, FIND("Single Cells",B516, 1)))</f>
        <v>#VALUE!</v>
      </c>
    </row>
    <row r="517" customFormat="false" ht="12.75" hidden="false" customHeight="false" outlineLevel="0" collapsed="false">
      <c r="E517" s="34" t="str">
        <f aca="false">MID(B517,9,1)</f>
        <v/>
      </c>
      <c r="F517" s="34" t="str">
        <f aca="false">MID(B517,10,1)</f>
        <v/>
      </c>
      <c r="G517" s="34" t="str">
        <f aca="false">MID(B517,11,1)</f>
        <v/>
      </c>
      <c r="H517" s="35" t="str">
        <f aca="false">IF(G517=".",F517,CONCATENATE(F517,G517))</f>
        <v/>
      </c>
      <c r="I517" s="34" t="n">
        <f aca="false">IFERROR(VALUE(H517),)</f>
        <v>0</v>
      </c>
      <c r="J517" s="34" t="e">
        <f aca="false">RIGHT(B517,LEN(B517)-FIND("/",B517, FIND("Single Cells",B517, 1)))</f>
        <v>#VALUE!</v>
      </c>
    </row>
    <row r="518" customFormat="false" ht="12.75" hidden="false" customHeight="false" outlineLevel="0" collapsed="false">
      <c r="E518" s="34" t="str">
        <f aca="false">MID(B518,9,1)</f>
        <v/>
      </c>
      <c r="F518" s="34" t="str">
        <f aca="false">MID(B518,10,1)</f>
        <v/>
      </c>
      <c r="G518" s="34" t="str">
        <f aca="false">MID(B518,11,1)</f>
        <v/>
      </c>
      <c r="H518" s="35" t="str">
        <f aca="false">IF(G518=".",F518,CONCATENATE(F518,G518))</f>
        <v/>
      </c>
      <c r="I518" s="34" t="n">
        <f aca="false">IFERROR(VALUE(H518),)</f>
        <v>0</v>
      </c>
      <c r="J518" s="34" t="e">
        <f aca="false">RIGHT(B518,LEN(B518)-FIND("/",B518, FIND("Single Cells",B518, 1)))</f>
        <v>#VALUE!</v>
      </c>
    </row>
    <row r="519" customFormat="false" ht="12.75" hidden="false" customHeight="false" outlineLevel="0" collapsed="false">
      <c r="E519" s="34" t="str">
        <f aca="false">MID(B519,9,1)</f>
        <v/>
      </c>
      <c r="F519" s="34" t="str">
        <f aca="false">MID(B519,10,1)</f>
        <v/>
      </c>
      <c r="G519" s="34" t="str">
        <f aca="false">MID(B519,11,1)</f>
        <v/>
      </c>
      <c r="H519" s="35" t="str">
        <f aca="false">IF(G519=".",F519,CONCATENATE(F519,G519))</f>
        <v/>
      </c>
      <c r="I519" s="34" t="n">
        <f aca="false">IFERROR(VALUE(H519),)</f>
        <v>0</v>
      </c>
      <c r="J519" s="34" t="e">
        <f aca="false">RIGHT(B519,LEN(B519)-FIND("/",B519, FIND("Single Cells",B519, 1)))</f>
        <v>#VALUE!</v>
      </c>
    </row>
    <row r="520" customFormat="false" ht="12.75" hidden="false" customHeight="false" outlineLevel="0" collapsed="false">
      <c r="E520" s="34" t="str">
        <f aca="false">MID(B520,9,1)</f>
        <v/>
      </c>
      <c r="F520" s="34" t="str">
        <f aca="false">MID(B520,10,1)</f>
        <v/>
      </c>
      <c r="G520" s="34" t="str">
        <f aca="false">MID(B520,11,1)</f>
        <v/>
      </c>
      <c r="H520" s="35" t="str">
        <f aca="false">IF(G520=".",F520,CONCATENATE(F520,G520))</f>
        <v/>
      </c>
      <c r="I520" s="34" t="n">
        <f aca="false">IFERROR(VALUE(H520),)</f>
        <v>0</v>
      </c>
      <c r="J520" s="34" t="e">
        <f aca="false">RIGHT(B520,LEN(B520)-FIND("/",B520, FIND("Single Cells",B520, 1)))</f>
        <v>#VALUE!</v>
      </c>
    </row>
    <row r="521" customFormat="false" ht="12.75" hidden="false" customHeight="false" outlineLevel="0" collapsed="false">
      <c r="E521" s="34" t="str">
        <f aca="false">MID(B521,9,1)</f>
        <v/>
      </c>
      <c r="F521" s="34" t="str">
        <f aca="false">MID(B521,10,1)</f>
        <v/>
      </c>
      <c r="G521" s="34" t="str">
        <f aca="false">MID(B521,11,1)</f>
        <v/>
      </c>
      <c r="H521" s="35" t="str">
        <f aca="false">IF(G521=".",F521,CONCATENATE(F521,G521))</f>
        <v/>
      </c>
      <c r="I521" s="34" t="n">
        <f aca="false">IFERROR(VALUE(H521),)</f>
        <v>0</v>
      </c>
      <c r="J521" s="34" t="e">
        <f aca="false">RIGHT(B521,LEN(B521)-FIND("/",B521, FIND("Single Cells",B521, 1)))</f>
        <v>#VALUE!</v>
      </c>
    </row>
    <row r="522" customFormat="false" ht="12.75" hidden="false" customHeight="false" outlineLevel="0" collapsed="false">
      <c r="E522" s="34" t="str">
        <f aca="false">MID(B522,9,1)</f>
        <v/>
      </c>
      <c r="F522" s="34" t="str">
        <f aca="false">MID(B522,10,1)</f>
        <v/>
      </c>
      <c r="G522" s="34" t="str">
        <f aca="false">MID(B522,11,1)</f>
        <v/>
      </c>
      <c r="H522" s="35" t="str">
        <f aca="false">IF(G522=".",F522,CONCATENATE(F522,G522))</f>
        <v/>
      </c>
      <c r="I522" s="34" t="n">
        <f aca="false">IFERROR(VALUE(H522),)</f>
        <v>0</v>
      </c>
      <c r="J522" s="34" t="e">
        <f aca="false">RIGHT(B522,LEN(B522)-FIND("/",B522, FIND("Single Cells",B522, 1)))</f>
        <v>#VALUE!</v>
      </c>
    </row>
    <row r="523" customFormat="false" ht="12.75" hidden="false" customHeight="false" outlineLevel="0" collapsed="false">
      <c r="E523" s="34" t="str">
        <f aca="false">MID(B523,9,1)</f>
        <v/>
      </c>
      <c r="F523" s="34" t="str">
        <f aca="false">MID(B523,10,1)</f>
        <v/>
      </c>
      <c r="G523" s="34" t="str">
        <f aca="false">MID(B523,11,1)</f>
        <v/>
      </c>
      <c r="H523" s="35" t="str">
        <f aca="false">IF(G523=".",F523,CONCATENATE(F523,G523))</f>
        <v/>
      </c>
      <c r="I523" s="34" t="n">
        <f aca="false">IFERROR(VALUE(H523),)</f>
        <v>0</v>
      </c>
      <c r="J523" s="34" t="e">
        <f aca="false">RIGHT(B523,LEN(B523)-FIND("/",B523, FIND("Single Cells",B523, 1)))</f>
        <v>#VALUE!</v>
      </c>
    </row>
    <row r="524" customFormat="false" ht="12.75" hidden="false" customHeight="false" outlineLevel="0" collapsed="false">
      <c r="E524" s="34" t="str">
        <f aca="false">MID(B524,9,1)</f>
        <v/>
      </c>
      <c r="F524" s="34" t="str">
        <f aca="false">MID(B524,10,1)</f>
        <v/>
      </c>
      <c r="G524" s="34" t="str">
        <f aca="false">MID(B524,11,1)</f>
        <v/>
      </c>
      <c r="H524" s="35" t="str">
        <f aca="false">IF(G524=".",F524,CONCATENATE(F524,G524))</f>
        <v/>
      </c>
      <c r="I524" s="34" t="n">
        <f aca="false">IFERROR(VALUE(H524),)</f>
        <v>0</v>
      </c>
      <c r="J524" s="34" t="e">
        <f aca="false">RIGHT(B524,LEN(B524)-FIND("/",B524, FIND("Single Cells",B524, 1)))</f>
        <v>#VALUE!</v>
      </c>
    </row>
    <row r="525" customFormat="false" ht="12.75" hidden="false" customHeight="false" outlineLevel="0" collapsed="false">
      <c r="E525" s="34" t="str">
        <f aca="false">MID(B525,9,1)</f>
        <v/>
      </c>
      <c r="F525" s="34" t="str">
        <f aca="false">MID(B525,10,1)</f>
        <v/>
      </c>
      <c r="G525" s="34" t="str">
        <f aca="false">MID(B525,11,1)</f>
        <v/>
      </c>
      <c r="H525" s="35" t="str">
        <f aca="false">IF(G525=".",F525,CONCATENATE(F525,G525))</f>
        <v/>
      </c>
      <c r="I525" s="34" t="n">
        <f aca="false">IFERROR(VALUE(H525),)</f>
        <v>0</v>
      </c>
      <c r="J525" s="34" t="e">
        <f aca="false">RIGHT(B525,LEN(B525)-FIND("/",B525, FIND("Single Cells",B525, 1)))</f>
        <v>#VALUE!</v>
      </c>
    </row>
    <row r="526" customFormat="false" ht="12.75" hidden="false" customHeight="false" outlineLevel="0" collapsed="false">
      <c r="E526" s="34" t="str">
        <f aca="false">MID(B526,9,1)</f>
        <v/>
      </c>
      <c r="F526" s="34" t="str">
        <f aca="false">MID(B526,10,1)</f>
        <v/>
      </c>
      <c r="G526" s="34" t="str">
        <f aca="false">MID(B526,11,1)</f>
        <v/>
      </c>
      <c r="H526" s="35" t="str">
        <f aca="false">IF(G526=".",F526,CONCATENATE(F526,G526))</f>
        <v/>
      </c>
      <c r="I526" s="34" t="n">
        <f aca="false">IFERROR(VALUE(H526),)</f>
        <v>0</v>
      </c>
      <c r="J526" s="34" t="e">
        <f aca="false">RIGHT(B526,LEN(B526)-FIND("/",B526, FIND("Single Cells",B526, 1)))</f>
        <v>#VALUE!</v>
      </c>
    </row>
    <row r="527" customFormat="false" ht="12.75" hidden="false" customHeight="false" outlineLevel="0" collapsed="false">
      <c r="E527" s="34" t="str">
        <f aca="false">MID(B527,9,1)</f>
        <v/>
      </c>
      <c r="F527" s="34" t="str">
        <f aca="false">MID(B527,10,1)</f>
        <v/>
      </c>
      <c r="G527" s="34" t="str">
        <f aca="false">MID(B527,11,1)</f>
        <v/>
      </c>
      <c r="H527" s="35" t="str">
        <f aca="false">IF(G527=".",F527,CONCATENATE(F527,G527))</f>
        <v/>
      </c>
      <c r="I527" s="34" t="n">
        <f aca="false">IFERROR(VALUE(H527),)</f>
        <v>0</v>
      </c>
      <c r="J527" s="34" t="e">
        <f aca="false">RIGHT(B527,LEN(B527)-FIND("/",B527, FIND("Single Cells",B527, 1)))</f>
        <v>#VALUE!</v>
      </c>
    </row>
    <row r="528" customFormat="false" ht="12.75" hidden="false" customHeight="false" outlineLevel="0" collapsed="false">
      <c r="E528" s="34" t="str">
        <f aca="false">MID(B528,9,1)</f>
        <v/>
      </c>
      <c r="F528" s="34" t="str">
        <f aca="false">MID(B528,10,1)</f>
        <v/>
      </c>
      <c r="G528" s="34" t="str">
        <f aca="false">MID(B528,11,1)</f>
        <v/>
      </c>
      <c r="H528" s="35" t="str">
        <f aca="false">IF(G528=".",F528,CONCATENATE(F528,G528))</f>
        <v/>
      </c>
      <c r="I528" s="34" t="n">
        <f aca="false">IFERROR(VALUE(H528),)</f>
        <v>0</v>
      </c>
      <c r="J528" s="34" t="e">
        <f aca="false">RIGHT(B528,LEN(B528)-FIND("/",B528, FIND("Single Cells",B528, 1)))</f>
        <v>#VALUE!</v>
      </c>
    </row>
    <row r="529" customFormat="false" ht="12.75" hidden="false" customHeight="false" outlineLevel="0" collapsed="false">
      <c r="E529" s="34" t="str">
        <f aca="false">MID(B529,9,1)</f>
        <v/>
      </c>
      <c r="F529" s="34" t="str">
        <f aca="false">MID(B529,10,1)</f>
        <v/>
      </c>
      <c r="G529" s="34" t="str">
        <f aca="false">MID(B529,11,1)</f>
        <v/>
      </c>
      <c r="H529" s="35" t="str">
        <f aca="false">IF(G529=".",F529,CONCATENATE(F529,G529))</f>
        <v/>
      </c>
      <c r="I529" s="34" t="n">
        <f aca="false">IFERROR(VALUE(H529),)</f>
        <v>0</v>
      </c>
      <c r="J529" s="34" t="e">
        <f aca="false">RIGHT(B529,LEN(B529)-FIND("/",B529, FIND("Single Cells",B529, 1)))</f>
        <v>#VALUE!</v>
      </c>
    </row>
    <row r="530" customFormat="false" ht="12.75" hidden="false" customHeight="false" outlineLevel="0" collapsed="false">
      <c r="E530" s="34" t="str">
        <f aca="false">MID(B530,9,1)</f>
        <v/>
      </c>
      <c r="F530" s="34" t="str">
        <f aca="false">MID(B530,10,1)</f>
        <v/>
      </c>
      <c r="G530" s="34" t="str">
        <f aca="false">MID(B530,11,1)</f>
        <v/>
      </c>
      <c r="H530" s="35" t="str">
        <f aca="false">IF(G530=".",F530,CONCATENATE(F530,G530))</f>
        <v/>
      </c>
      <c r="I530" s="34" t="n">
        <f aca="false">IFERROR(VALUE(H530),)</f>
        <v>0</v>
      </c>
      <c r="J530" s="34" t="e">
        <f aca="false">RIGHT(B530,LEN(B530)-FIND("/",B530, FIND("Single Cells",B530, 1)))</f>
        <v>#VALUE!</v>
      </c>
    </row>
    <row r="531" customFormat="false" ht="12.75" hidden="false" customHeight="false" outlineLevel="0" collapsed="false">
      <c r="E531" s="34" t="str">
        <f aca="false">MID(B531,9,1)</f>
        <v/>
      </c>
      <c r="F531" s="34" t="str">
        <f aca="false">MID(B531,10,1)</f>
        <v/>
      </c>
      <c r="G531" s="34" t="str">
        <f aca="false">MID(B531,11,1)</f>
        <v/>
      </c>
      <c r="H531" s="35" t="str">
        <f aca="false">IF(G531=".",F531,CONCATENATE(F531,G531))</f>
        <v/>
      </c>
      <c r="I531" s="34" t="n">
        <f aca="false">IFERROR(VALUE(H531),)</f>
        <v>0</v>
      </c>
      <c r="J531" s="34" t="e">
        <f aca="false">RIGHT(B531,LEN(B531)-FIND("/",B531, FIND("Single Cells",B531, 1)))</f>
        <v>#VALUE!</v>
      </c>
    </row>
    <row r="532" customFormat="false" ht="12.75" hidden="false" customHeight="false" outlineLevel="0" collapsed="false">
      <c r="E532" s="34" t="str">
        <f aca="false">MID(B532,9,1)</f>
        <v/>
      </c>
      <c r="F532" s="34" t="str">
        <f aca="false">MID(B532,10,1)</f>
        <v/>
      </c>
      <c r="G532" s="34" t="str">
        <f aca="false">MID(B532,11,1)</f>
        <v/>
      </c>
      <c r="H532" s="35" t="str">
        <f aca="false">IF(G532=".",F532,CONCATENATE(F532,G532))</f>
        <v/>
      </c>
      <c r="I532" s="34" t="n">
        <f aca="false">IFERROR(VALUE(H532),)</f>
        <v>0</v>
      </c>
      <c r="J532" s="34" t="e">
        <f aca="false">RIGHT(B532,LEN(B532)-FIND("/",B532, FIND("Single Cells",B532, 1)))</f>
        <v>#VALUE!</v>
      </c>
    </row>
    <row r="533" customFormat="false" ht="12.75" hidden="false" customHeight="false" outlineLevel="0" collapsed="false">
      <c r="E533" s="34" t="str">
        <f aca="false">MID(B533,9,1)</f>
        <v/>
      </c>
      <c r="F533" s="34" t="str">
        <f aca="false">MID(B533,10,1)</f>
        <v/>
      </c>
      <c r="G533" s="34" t="str">
        <f aca="false">MID(B533,11,1)</f>
        <v/>
      </c>
      <c r="H533" s="35" t="str">
        <f aca="false">IF(G533=".",F533,CONCATENATE(F533,G533))</f>
        <v/>
      </c>
      <c r="I533" s="34" t="n">
        <f aca="false">IFERROR(VALUE(H533),)</f>
        <v>0</v>
      </c>
      <c r="J533" s="34" t="e">
        <f aca="false">RIGHT(B533,LEN(B533)-FIND("/",B533, FIND("Single Cells",B533, 1)))</f>
        <v>#VALUE!</v>
      </c>
    </row>
    <row r="534" customFormat="false" ht="12.75" hidden="false" customHeight="false" outlineLevel="0" collapsed="false">
      <c r="E534" s="34" t="str">
        <f aca="false">MID(B534,9,1)</f>
        <v/>
      </c>
      <c r="F534" s="34" t="str">
        <f aca="false">MID(B534,10,1)</f>
        <v/>
      </c>
      <c r="G534" s="34" t="str">
        <f aca="false">MID(B534,11,1)</f>
        <v/>
      </c>
      <c r="H534" s="35" t="str">
        <f aca="false">IF(G534=".",F534,CONCATENATE(F534,G534))</f>
        <v/>
      </c>
      <c r="I534" s="34" t="n">
        <f aca="false">IFERROR(VALUE(H534),)</f>
        <v>0</v>
      </c>
      <c r="J534" s="34" t="e">
        <f aca="false">RIGHT(B534,LEN(B534)-FIND("/",B534, FIND("Single Cells",B534, 1)))</f>
        <v>#VALUE!</v>
      </c>
    </row>
    <row r="535" customFormat="false" ht="12.75" hidden="false" customHeight="false" outlineLevel="0" collapsed="false">
      <c r="E535" s="34" t="str">
        <f aca="false">MID(B535,9,1)</f>
        <v/>
      </c>
      <c r="F535" s="34" t="str">
        <f aca="false">MID(B535,10,1)</f>
        <v/>
      </c>
      <c r="G535" s="34" t="str">
        <f aca="false">MID(B535,11,1)</f>
        <v/>
      </c>
      <c r="H535" s="35" t="str">
        <f aca="false">IF(G535=".",F535,CONCATENATE(F535,G535))</f>
        <v/>
      </c>
      <c r="I535" s="34" t="n">
        <f aca="false">IFERROR(VALUE(H535),)</f>
        <v>0</v>
      </c>
      <c r="J535" s="34" t="e">
        <f aca="false">RIGHT(B535,LEN(B535)-FIND("/",B535, FIND("Single Cells",B535, 1)))</f>
        <v>#VALUE!</v>
      </c>
    </row>
    <row r="536" customFormat="false" ht="12.75" hidden="false" customHeight="false" outlineLevel="0" collapsed="false">
      <c r="E536" s="34" t="str">
        <f aca="false">MID(B536,9,1)</f>
        <v/>
      </c>
      <c r="F536" s="34" t="str">
        <f aca="false">MID(B536,10,1)</f>
        <v/>
      </c>
      <c r="G536" s="34" t="str">
        <f aca="false">MID(B536,11,1)</f>
        <v/>
      </c>
      <c r="H536" s="35" t="str">
        <f aca="false">IF(G536=".",F536,CONCATENATE(F536,G536))</f>
        <v/>
      </c>
      <c r="I536" s="34" t="n">
        <f aca="false">IFERROR(VALUE(H536),)</f>
        <v>0</v>
      </c>
      <c r="J536" s="34" t="e">
        <f aca="false">RIGHT(B536,LEN(B536)-FIND("/",B536, FIND("Single Cells",B536, 1)))</f>
        <v>#VALUE!</v>
      </c>
    </row>
    <row r="537" customFormat="false" ht="12.75" hidden="false" customHeight="false" outlineLevel="0" collapsed="false">
      <c r="E537" s="34" t="str">
        <f aca="false">MID(B537,9,1)</f>
        <v/>
      </c>
      <c r="F537" s="34" t="str">
        <f aca="false">MID(B537,10,1)</f>
        <v/>
      </c>
      <c r="G537" s="34" t="str">
        <f aca="false">MID(B537,11,1)</f>
        <v/>
      </c>
      <c r="H537" s="35" t="str">
        <f aca="false">IF(G537=".",F537,CONCATENATE(F537,G537))</f>
        <v/>
      </c>
      <c r="I537" s="34" t="n">
        <f aca="false">IFERROR(VALUE(H537),)</f>
        <v>0</v>
      </c>
      <c r="J537" s="34" t="e">
        <f aca="false">RIGHT(B537,LEN(B537)-FIND("/",B537, FIND("Single Cells",B537, 1)))</f>
        <v>#VALUE!</v>
      </c>
    </row>
    <row r="538" customFormat="false" ht="12.75" hidden="false" customHeight="false" outlineLevel="0" collapsed="false">
      <c r="E538" s="34" t="str">
        <f aca="false">MID(B538,9,1)</f>
        <v/>
      </c>
      <c r="F538" s="34" t="str">
        <f aca="false">MID(B538,10,1)</f>
        <v/>
      </c>
      <c r="G538" s="34" t="str">
        <f aca="false">MID(B538,11,1)</f>
        <v/>
      </c>
      <c r="H538" s="35" t="str">
        <f aca="false">IF(G538=".",F538,CONCATENATE(F538,G538))</f>
        <v/>
      </c>
      <c r="I538" s="34" t="n">
        <f aca="false">IFERROR(VALUE(H538),)</f>
        <v>0</v>
      </c>
      <c r="J538" s="34" t="e">
        <f aca="false">RIGHT(B538,LEN(B538)-FIND("/",B538, FIND("Single Cells",B538, 1)))</f>
        <v>#VALUE!</v>
      </c>
    </row>
    <row r="539" customFormat="false" ht="12.75" hidden="false" customHeight="false" outlineLevel="0" collapsed="false">
      <c r="E539" s="34" t="str">
        <f aca="false">MID(B539,9,1)</f>
        <v/>
      </c>
      <c r="F539" s="34" t="str">
        <f aca="false">MID(B539,10,1)</f>
        <v/>
      </c>
      <c r="G539" s="34" t="str">
        <f aca="false">MID(B539,11,1)</f>
        <v/>
      </c>
      <c r="H539" s="35" t="str">
        <f aca="false">IF(G539=".",F539,CONCATENATE(F539,G539))</f>
        <v/>
      </c>
      <c r="I539" s="34" t="n">
        <f aca="false">IFERROR(VALUE(H539),)</f>
        <v>0</v>
      </c>
      <c r="J539" s="34" t="e">
        <f aca="false">RIGHT(B539,LEN(B539)-FIND("/",B539, FIND("Single Cells",B539, 1)))</f>
        <v>#VALUE!</v>
      </c>
    </row>
    <row r="540" customFormat="false" ht="12.75" hidden="false" customHeight="false" outlineLevel="0" collapsed="false">
      <c r="E540" s="34" t="str">
        <f aca="false">MID(B540,9,1)</f>
        <v/>
      </c>
      <c r="F540" s="34" t="str">
        <f aca="false">MID(B540,10,1)</f>
        <v/>
      </c>
      <c r="G540" s="34" t="str">
        <f aca="false">MID(B540,11,1)</f>
        <v/>
      </c>
      <c r="H540" s="35" t="str">
        <f aca="false">IF(G540=".",F540,CONCATENATE(F540,G540))</f>
        <v/>
      </c>
      <c r="I540" s="34" t="n">
        <f aca="false">IFERROR(VALUE(H540),)</f>
        <v>0</v>
      </c>
      <c r="J540" s="34" t="e">
        <f aca="false">RIGHT(B540,LEN(B540)-FIND("/",B540, FIND("Single Cells",B540, 1)))</f>
        <v>#VALUE!</v>
      </c>
    </row>
    <row r="541" customFormat="false" ht="12.75" hidden="false" customHeight="false" outlineLevel="0" collapsed="false">
      <c r="E541" s="34" t="str">
        <f aca="false">MID(B541,9,1)</f>
        <v/>
      </c>
      <c r="F541" s="34" t="str">
        <f aca="false">MID(B541,10,1)</f>
        <v/>
      </c>
      <c r="G541" s="34" t="str">
        <f aca="false">MID(B541,11,1)</f>
        <v/>
      </c>
      <c r="H541" s="35" t="str">
        <f aca="false">IF(G541=".",F541,CONCATENATE(F541,G541))</f>
        <v/>
      </c>
      <c r="I541" s="34" t="n">
        <f aca="false">IFERROR(VALUE(H541),)</f>
        <v>0</v>
      </c>
      <c r="J541" s="34" t="e">
        <f aca="false">RIGHT(B541,LEN(B541)-FIND("/",B541, FIND("Single Cells",B541, 1)))</f>
        <v>#VALUE!</v>
      </c>
    </row>
    <row r="542" customFormat="false" ht="12.75" hidden="false" customHeight="false" outlineLevel="0" collapsed="false">
      <c r="E542" s="34" t="str">
        <f aca="false">MID(B542,9,1)</f>
        <v/>
      </c>
      <c r="F542" s="34" t="str">
        <f aca="false">MID(B542,10,1)</f>
        <v/>
      </c>
      <c r="G542" s="34" t="str">
        <f aca="false">MID(B542,11,1)</f>
        <v/>
      </c>
      <c r="H542" s="35" t="str">
        <f aca="false">IF(G542=".",F542,CONCATENATE(F542,G542))</f>
        <v/>
      </c>
      <c r="I542" s="34" t="n">
        <f aca="false">IFERROR(VALUE(H542),)</f>
        <v>0</v>
      </c>
      <c r="J542" s="34" t="e">
        <f aca="false">RIGHT(B542,LEN(B542)-FIND("/",B542, FIND("Single Cells",B542, 1)))</f>
        <v>#VALUE!</v>
      </c>
    </row>
    <row r="543" customFormat="false" ht="12.75" hidden="false" customHeight="false" outlineLevel="0" collapsed="false">
      <c r="E543" s="34" t="str">
        <f aca="false">MID(B543,9,1)</f>
        <v/>
      </c>
      <c r="F543" s="34" t="str">
        <f aca="false">MID(B543,10,1)</f>
        <v/>
      </c>
      <c r="G543" s="34" t="str">
        <f aca="false">MID(B543,11,1)</f>
        <v/>
      </c>
      <c r="H543" s="35" t="str">
        <f aca="false">IF(G543=".",F543,CONCATENATE(F543,G543))</f>
        <v/>
      </c>
      <c r="I543" s="34" t="n">
        <f aca="false">IFERROR(VALUE(H543),)</f>
        <v>0</v>
      </c>
      <c r="J543" s="34" t="e">
        <f aca="false">RIGHT(B543,LEN(B543)-FIND("/",B543, FIND("Single Cells",B543, 1)))</f>
        <v>#VALUE!</v>
      </c>
    </row>
    <row r="544" customFormat="false" ht="12.75" hidden="false" customHeight="false" outlineLevel="0" collapsed="false">
      <c r="E544" s="34" t="str">
        <f aca="false">MID(B544,9,1)</f>
        <v/>
      </c>
      <c r="F544" s="34" t="str">
        <f aca="false">MID(B544,10,1)</f>
        <v/>
      </c>
      <c r="G544" s="34" t="str">
        <f aca="false">MID(B544,11,1)</f>
        <v/>
      </c>
      <c r="H544" s="35" t="str">
        <f aca="false">IF(G544=".",F544,CONCATENATE(F544,G544))</f>
        <v/>
      </c>
      <c r="I544" s="34" t="n">
        <f aca="false">IFERROR(VALUE(H544),)</f>
        <v>0</v>
      </c>
      <c r="J544" s="34" t="e">
        <f aca="false">RIGHT(B544,LEN(B544)-FIND("/",B544, FIND("Single Cells",B544, 1)))</f>
        <v>#VALUE!</v>
      </c>
    </row>
    <row r="545" customFormat="false" ht="12.75" hidden="false" customHeight="false" outlineLevel="0" collapsed="false">
      <c r="E545" s="34" t="str">
        <f aca="false">MID(B545,9,1)</f>
        <v/>
      </c>
      <c r="F545" s="34" t="str">
        <f aca="false">MID(B545,10,1)</f>
        <v/>
      </c>
      <c r="G545" s="34" t="str">
        <f aca="false">MID(B545,11,1)</f>
        <v/>
      </c>
      <c r="H545" s="35" t="str">
        <f aca="false">IF(G545=".",F545,CONCATENATE(F545,G545))</f>
        <v/>
      </c>
      <c r="I545" s="34" t="n">
        <f aca="false">IFERROR(VALUE(H545),)</f>
        <v>0</v>
      </c>
      <c r="J545" s="34" t="e">
        <f aca="false">RIGHT(B545,LEN(B545)-FIND("/",B545, FIND("Single Cells",B545, 1)))</f>
        <v>#VALUE!</v>
      </c>
    </row>
    <row r="546" customFormat="false" ht="12.75" hidden="false" customHeight="false" outlineLevel="0" collapsed="false">
      <c r="E546" s="34" t="str">
        <f aca="false">MID(B546,9,1)</f>
        <v/>
      </c>
      <c r="F546" s="34" t="str">
        <f aca="false">MID(B546,10,1)</f>
        <v/>
      </c>
      <c r="G546" s="34" t="str">
        <f aca="false">MID(B546,11,1)</f>
        <v/>
      </c>
      <c r="H546" s="35" t="str">
        <f aca="false">IF(G546=".",F546,CONCATENATE(F546,G546))</f>
        <v/>
      </c>
      <c r="I546" s="34" t="n">
        <f aca="false">IFERROR(VALUE(H546),)</f>
        <v>0</v>
      </c>
      <c r="J546" s="34" t="e">
        <f aca="false">RIGHT(B546,LEN(B546)-FIND("/",B546, FIND("Single Cells",B546, 1)))</f>
        <v>#VALUE!</v>
      </c>
    </row>
    <row r="547" customFormat="false" ht="12.75" hidden="false" customHeight="false" outlineLevel="0" collapsed="false">
      <c r="E547" s="34" t="str">
        <f aca="false">MID(B547,9,1)</f>
        <v/>
      </c>
      <c r="F547" s="34" t="str">
        <f aca="false">MID(B547,10,1)</f>
        <v/>
      </c>
      <c r="G547" s="34" t="str">
        <f aca="false">MID(B547,11,1)</f>
        <v/>
      </c>
      <c r="H547" s="35" t="str">
        <f aca="false">IF(G547=".",F547,CONCATENATE(F547,G547))</f>
        <v/>
      </c>
      <c r="I547" s="34" t="n">
        <f aca="false">IFERROR(VALUE(H547),)</f>
        <v>0</v>
      </c>
      <c r="J547" s="34" t="e">
        <f aca="false">RIGHT(B547,LEN(B547)-FIND("/",B547, FIND("Single Cells",B547, 1)))</f>
        <v>#VALUE!</v>
      </c>
    </row>
    <row r="548" customFormat="false" ht="12.75" hidden="false" customHeight="false" outlineLevel="0" collapsed="false">
      <c r="E548" s="34" t="str">
        <f aca="false">MID(B548,9,1)</f>
        <v/>
      </c>
      <c r="F548" s="34" t="str">
        <f aca="false">MID(B548,10,1)</f>
        <v/>
      </c>
      <c r="G548" s="34" t="str">
        <f aca="false">MID(B548,11,1)</f>
        <v/>
      </c>
      <c r="H548" s="35" t="str">
        <f aca="false">IF(G548=".",F548,CONCATENATE(F548,G548))</f>
        <v/>
      </c>
      <c r="I548" s="34" t="n">
        <f aca="false">IFERROR(VALUE(H548),)</f>
        <v>0</v>
      </c>
      <c r="J548" s="34" t="e">
        <f aca="false">RIGHT(B548,LEN(B548)-FIND("/",B548, FIND("Single Cells",B548, 1)))</f>
        <v>#VALUE!</v>
      </c>
    </row>
    <row r="549" customFormat="false" ht="12.75" hidden="false" customHeight="false" outlineLevel="0" collapsed="false">
      <c r="E549" s="34" t="str">
        <f aca="false">MID(B549,9,1)</f>
        <v/>
      </c>
      <c r="F549" s="34" t="str">
        <f aca="false">MID(B549,10,1)</f>
        <v/>
      </c>
      <c r="G549" s="34" t="str">
        <f aca="false">MID(B549,11,1)</f>
        <v/>
      </c>
      <c r="H549" s="35" t="str">
        <f aca="false">IF(G549=".",F549,CONCATENATE(F549,G549))</f>
        <v/>
      </c>
      <c r="I549" s="34" t="n">
        <f aca="false">IFERROR(VALUE(H549),)</f>
        <v>0</v>
      </c>
      <c r="J549" s="34" t="e">
        <f aca="false">RIGHT(B549,LEN(B549)-FIND("/",B549, FIND("Single Cells",B549, 1)))</f>
        <v>#VALUE!</v>
      </c>
    </row>
    <row r="550" customFormat="false" ht="12.75" hidden="false" customHeight="false" outlineLevel="0" collapsed="false">
      <c r="E550" s="34" t="str">
        <f aca="false">MID(B550,9,1)</f>
        <v/>
      </c>
      <c r="F550" s="34" t="str">
        <f aca="false">MID(B550,10,1)</f>
        <v/>
      </c>
      <c r="G550" s="34" t="str">
        <f aca="false">MID(B550,11,1)</f>
        <v/>
      </c>
      <c r="H550" s="35" t="str">
        <f aca="false">IF(G550=".",F550,CONCATENATE(F550,G550))</f>
        <v/>
      </c>
      <c r="I550" s="34" t="n">
        <f aca="false">IFERROR(VALUE(H550),)</f>
        <v>0</v>
      </c>
      <c r="J550" s="34" t="e">
        <f aca="false">RIGHT(B550,LEN(B550)-FIND("/",B550, FIND("Single Cells",B550, 1)))</f>
        <v>#VALUE!</v>
      </c>
    </row>
    <row r="551" customFormat="false" ht="12.75" hidden="false" customHeight="false" outlineLevel="0" collapsed="false">
      <c r="E551" s="34" t="str">
        <f aca="false">MID(B551,9,1)</f>
        <v/>
      </c>
      <c r="F551" s="34" t="str">
        <f aca="false">MID(B551,10,1)</f>
        <v/>
      </c>
      <c r="G551" s="34" t="str">
        <f aca="false">MID(B551,11,1)</f>
        <v/>
      </c>
      <c r="H551" s="35" t="str">
        <f aca="false">IF(G551=".",F551,CONCATENATE(F551,G551))</f>
        <v/>
      </c>
      <c r="I551" s="34" t="n">
        <f aca="false">IFERROR(VALUE(H551),)</f>
        <v>0</v>
      </c>
      <c r="J551" s="34" t="e">
        <f aca="false">RIGHT(B551,LEN(B551)-FIND("/",B551, FIND("Single Cells",B551, 1)))</f>
        <v>#VALUE!</v>
      </c>
    </row>
    <row r="552" customFormat="false" ht="12.75" hidden="false" customHeight="false" outlineLevel="0" collapsed="false">
      <c r="E552" s="34" t="str">
        <f aca="false">MID(B552,9,1)</f>
        <v/>
      </c>
      <c r="F552" s="34" t="str">
        <f aca="false">MID(B552,10,1)</f>
        <v/>
      </c>
      <c r="G552" s="34" t="str">
        <f aca="false">MID(B552,11,1)</f>
        <v/>
      </c>
      <c r="H552" s="35" t="str">
        <f aca="false">IF(G552=".",F552,CONCATENATE(F552,G552))</f>
        <v/>
      </c>
      <c r="I552" s="34" t="n">
        <f aca="false">IFERROR(VALUE(H552),)</f>
        <v>0</v>
      </c>
      <c r="J552" s="34" t="e">
        <f aca="false">RIGHT(B552,LEN(B552)-FIND("/",B552, FIND("Single Cells",B552, 1)))</f>
        <v>#VALUE!</v>
      </c>
    </row>
    <row r="553" customFormat="false" ht="12.75" hidden="false" customHeight="false" outlineLevel="0" collapsed="false">
      <c r="E553" s="34" t="str">
        <f aca="false">MID(B553,9,1)</f>
        <v/>
      </c>
      <c r="F553" s="34" t="str">
        <f aca="false">MID(B553,10,1)</f>
        <v/>
      </c>
      <c r="G553" s="34" t="str">
        <f aca="false">MID(B553,11,1)</f>
        <v/>
      </c>
      <c r="H553" s="35" t="str">
        <f aca="false">IF(G553=".",F553,CONCATENATE(F553,G553))</f>
        <v/>
      </c>
      <c r="I553" s="34" t="n">
        <f aca="false">IFERROR(VALUE(H553),)</f>
        <v>0</v>
      </c>
      <c r="J553" s="34" t="e">
        <f aca="false">RIGHT(B553,LEN(B553)-FIND("/",B553, FIND("Single Cells",B553, 1)))</f>
        <v>#VALUE!</v>
      </c>
    </row>
    <row r="554" customFormat="false" ht="12.75" hidden="false" customHeight="false" outlineLevel="0" collapsed="false">
      <c r="E554" s="34" t="str">
        <f aca="false">MID(B554,9,1)</f>
        <v/>
      </c>
      <c r="F554" s="34" t="str">
        <f aca="false">MID(B554,10,1)</f>
        <v/>
      </c>
      <c r="G554" s="34" t="str">
        <f aca="false">MID(B554,11,1)</f>
        <v/>
      </c>
      <c r="H554" s="35" t="str">
        <f aca="false">IF(G554=".",F554,CONCATENATE(F554,G554))</f>
        <v/>
      </c>
      <c r="I554" s="34" t="n">
        <f aca="false">IFERROR(VALUE(H554),)</f>
        <v>0</v>
      </c>
      <c r="J554" s="34" t="e">
        <f aca="false">RIGHT(B554,LEN(B554)-FIND("/",B554, FIND("Single Cells",B554, 1)))</f>
        <v>#VALUE!</v>
      </c>
    </row>
    <row r="555" customFormat="false" ht="12.75" hidden="false" customHeight="false" outlineLevel="0" collapsed="false">
      <c r="E555" s="34" t="str">
        <f aca="false">MID(B555,9,1)</f>
        <v/>
      </c>
      <c r="F555" s="34" t="str">
        <f aca="false">MID(B555,10,1)</f>
        <v/>
      </c>
      <c r="G555" s="34" t="str">
        <f aca="false">MID(B555,11,1)</f>
        <v/>
      </c>
      <c r="H555" s="35" t="str">
        <f aca="false">IF(G555=".",F555,CONCATENATE(F555,G555))</f>
        <v/>
      </c>
      <c r="I555" s="34" t="n">
        <f aca="false">IFERROR(VALUE(H555),)</f>
        <v>0</v>
      </c>
      <c r="J555" s="34" t="e">
        <f aca="false">RIGHT(B555,LEN(B555)-FIND("/",B555, FIND("Single Cells",B555, 1)))</f>
        <v>#VALUE!</v>
      </c>
    </row>
    <row r="556" customFormat="false" ht="12.75" hidden="false" customHeight="false" outlineLevel="0" collapsed="false">
      <c r="E556" s="34" t="str">
        <f aca="false">MID(B556,9,1)</f>
        <v/>
      </c>
      <c r="F556" s="34" t="str">
        <f aca="false">MID(B556,10,1)</f>
        <v/>
      </c>
      <c r="G556" s="34" t="str">
        <f aca="false">MID(B556,11,1)</f>
        <v/>
      </c>
      <c r="H556" s="35" t="str">
        <f aca="false">IF(G556=".",F556,CONCATENATE(F556,G556))</f>
        <v/>
      </c>
      <c r="I556" s="34" t="n">
        <f aca="false">IFERROR(VALUE(H556),)</f>
        <v>0</v>
      </c>
      <c r="J556" s="34" t="e">
        <f aca="false">RIGHT(B556,LEN(B556)-FIND("/",B556, FIND("Single Cells",B556, 1)))</f>
        <v>#VALUE!</v>
      </c>
    </row>
    <row r="557" customFormat="false" ht="12.75" hidden="false" customHeight="false" outlineLevel="0" collapsed="false">
      <c r="E557" s="34" t="str">
        <f aca="false">MID(B557,9,1)</f>
        <v/>
      </c>
      <c r="F557" s="34" t="str">
        <f aca="false">MID(B557,10,1)</f>
        <v/>
      </c>
      <c r="G557" s="34" t="str">
        <f aca="false">MID(B557,11,1)</f>
        <v/>
      </c>
      <c r="H557" s="35" t="str">
        <f aca="false">IF(G557=".",F557,CONCATENATE(F557,G557))</f>
        <v/>
      </c>
      <c r="I557" s="34" t="n">
        <f aca="false">IFERROR(VALUE(H557),)</f>
        <v>0</v>
      </c>
      <c r="J557" s="34" t="e">
        <f aca="false">RIGHT(B557,LEN(B557)-FIND("/",B557, FIND("Single Cells",B557, 1)))</f>
        <v>#VALUE!</v>
      </c>
    </row>
    <row r="558" customFormat="false" ht="12.75" hidden="false" customHeight="false" outlineLevel="0" collapsed="false">
      <c r="E558" s="34" t="str">
        <f aca="false">MID(B558,9,1)</f>
        <v/>
      </c>
      <c r="F558" s="34" t="str">
        <f aca="false">MID(B558,10,1)</f>
        <v/>
      </c>
      <c r="G558" s="34" t="str">
        <f aca="false">MID(B558,11,1)</f>
        <v/>
      </c>
      <c r="H558" s="35" t="str">
        <f aca="false">IF(G558=".",F558,CONCATENATE(F558,G558))</f>
        <v/>
      </c>
      <c r="I558" s="34" t="n">
        <f aca="false">IFERROR(VALUE(H558),)</f>
        <v>0</v>
      </c>
      <c r="J558" s="34" t="e">
        <f aca="false">RIGHT(B558,LEN(B558)-FIND("/",B558, FIND("Single Cells",B558, 1)))</f>
        <v>#VALUE!</v>
      </c>
    </row>
    <row r="559" customFormat="false" ht="12.75" hidden="false" customHeight="false" outlineLevel="0" collapsed="false">
      <c r="E559" s="34" t="str">
        <f aca="false">MID(B559,9,1)</f>
        <v/>
      </c>
      <c r="F559" s="34" t="str">
        <f aca="false">MID(B559,10,1)</f>
        <v/>
      </c>
      <c r="G559" s="34" t="str">
        <f aca="false">MID(B559,11,1)</f>
        <v/>
      </c>
      <c r="H559" s="35" t="str">
        <f aca="false">IF(G559=".",F559,CONCATENATE(F559,G559))</f>
        <v/>
      </c>
      <c r="I559" s="34" t="n">
        <f aca="false">IFERROR(VALUE(H559),)</f>
        <v>0</v>
      </c>
      <c r="J559" s="34" t="e">
        <f aca="false">RIGHT(B559,LEN(B559)-FIND("/",B559, FIND("Single Cells",B559, 1)))</f>
        <v>#VALUE!</v>
      </c>
    </row>
    <row r="560" customFormat="false" ht="12.75" hidden="false" customHeight="false" outlineLevel="0" collapsed="false">
      <c r="E560" s="34" t="str">
        <f aca="false">MID(B560,9,1)</f>
        <v/>
      </c>
      <c r="F560" s="34" t="str">
        <f aca="false">MID(B560,10,1)</f>
        <v/>
      </c>
      <c r="G560" s="34" t="str">
        <f aca="false">MID(B560,11,1)</f>
        <v/>
      </c>
      <c r="H560" s="35" t="str">
        <f aca="false">IF(G560=".",F560,CONCATENATE(F560,G560))</f>
        <v/>
      </c>
      <c r="I560" s="34" t="n">
        <f aca="false">IFERROR(VALUE(H560),)</f>
        <v>0</v>
      </c>
      <c r="J560" s="34" t="e">
        <f aca="false">RIGHT(B560,LEN(B560)-FIND("/",B560, FIND("Single Cells",B560, 1)))</f>
        <v>#VALUE!</v>
      </c>
    </row>
    <row r="561" customFormat="false" ht="12.75" hidden="false" customHeight="false" outlineLevel="0" collapsed="false">
      <c r="E561" s="34" t="str">
        <f aca="false">MID(B561,9,1)</f>
        <v/>
      </c>
      <c r="F561" s="34" t="str">
        <f aca="false">MID(B561,10,1)</f>
        <v/>
      </c>
      <c r="G561" s="34" t="str">
        <f aca="false">MID(B561,11,1)</f>
        <v/>
      </c>
      <c r="H561" s="35" t="str">
        <f aca="false">IF(G561=".",F561,CONCATENATE(F561,G561))</f>
        <v/>
      </c>
      <c r="I561" s="34" t="n">
        <f aca="false">IFERROR(VALUE(H561),)</f>
        <v>0</v>
      </c>
      <c r="J561" s="34" t="e">
        <f aca="false">RIGHT(B561,LEN(B561)-FIND("/",B561, FIND("Single Cells",B561, 1)))</f>
        <v>#VALUE!</v>
      </c>
    </row>
    <row r="562" customFormat="false" ht="12.75" hidden="false" customHeight="false" outlineLevel="0" collapsed="false">
      <c r="E562" s="34" t="str">
        <f aca="false">MID(B562,9,1)</f>
        <v/>
      </c>
      <c r="F562" s="34" t="str">
        <f aca="false">MID(B562,10,1)</f>
        <v/>
      </c>
      <c r="G562" s="34" t="str">
        <f aca="false">MID(B562,11,1)</f>
        <v/>
      </c>
      <c r="H562" s="35" t="str">
        <f aca="false">IF(G562=".",F562,CONCATENATE(F562,G562))</f>
        <v/>
      </c>
      <c r="I562" s="34" t="n">
        <f aca="false">IFERROR(VALUE(H562),)</f>
        <v>0</v>
      </c>
      <c r="J562" s="34" t="e">
        <f aca="false">RIGHT(B562,LEN(B562)-FIND("/",B562, FIND("Single Cells",B562, 1)))</f>
        <v>#VALUE!</v>
      </c>
    </row>
    <row r="563" customFormat="false" ht="12.75" hidden="false" customHeight="false" outlineLevel="0" collapsed="false">
      <c r="E563" s="34" t="str">
        <f aca="false">MID(B563,9,1)</f>
        <v/>
      </c>
      <c r="F563" s="34" t="str">
        <f aca="false">MID(B563,10,1)</f>
        <v/>
      </c>
      <c r="G563" s="34" t="str">
        <f aca="false">MID(B563,11,1)</f>
        <v/>
      </c>
      <c r="H563" s="35" t="str">
        <f aca="false">IF(G563=".",F563,CONCATENATE(F563,G563))</f>
        <v/>
      </c>
      <c r="I563" s="34" t="n">
        <f aca="false">IFERROR(VALUE(H563),)</f>
        <v>0</v>
      </c>
      <c r="J563" s="34" t="e">
        <f aca="false">RIGHT(B563,LEN(B563)-FIND("/",B563, FIND("Single Cells",B563, 1)))</f>
        <v>#VALUE!</v>
      </c>
    </row>
    <row r="564" customFormat="false" ht="12.75" hidden="false" customHeight="false" outlineLevel="0" collapsed="false">
      <c r="E564" s="34" t="str">
        <f aca="false">MID(B564,9,1)</f>
        <v/>
      </c>
      <c r="F564" s="34" t="str">
        <f aca="false">MID(B564,10,1)</f>
        <v/>
      </c>
      <c r="G564" s="34" t="str">
        <f aca="false">MID(B564,11,1)</f>
        <v/>
      </c>
      <c r="H564" s="35" t="str">
        <f aca="false">IF(G564=".",F564,CONCATENATE(F564,G564))</f>
        <v/>
      </c>
      <c r="I564" s="34" t="n">
        <f aca="false">IFERROR(VALUE(H564),)</f>
        <v>0</v>
      </c>
      <c r="J564" s="34" t="e">
        <f aca="false">RIGHT(B564,LEN(B564)-FIND("/",B564, FIND("Single Cells",B564, 1)))</f>
        <v>#VALUE!</v>
      </c>
    </row>
    <row r="565" customFormat="false" ht="12.75" hidden="false" customHeight="false" outlineLevel="0" collapsed="false">
      <c r="E565" s="34" t="str">
        <f aca="false">MID(B565,9,1)</f>
        <v/>
      </c>
      <c r="F565" s="34" t="str">
        <f aca="false">MID(B565,10,1)</f>
        <v/>
      </c>
      <c r="G565" s="34" t="str">
        <f aca="false">MID(B565,11,1)</f>
        <v/>
      </c>
      <c r="H565" s="35" t="str">
        <f aca="false">IF(G565=".",F565,CONCATENATE(F565,G565))</f>
        <v/>
      </c>
      <c r="I565" s="34" t="n">
        <f aca="false">IFERROR(VALUE(H565),)</f>
        <v>0</v>
      </c>
      <c r="J565" s="34" t="e">
        <f aca="false">RIGHT(B565,LEN(B565)-FIND("/",B565, FIND("Single Cells",B565, 1)))</f>
        <v>#VALUE!</v>
      </c>
    </row>
    <row r="566" customFormat="false" ht="12.75" hidden="false" customHeight="false" outlineLevel="0" collapsed="false">
      <c r="E566" s="34" t="str">
        <f aca="false">MID(B566,9,1)</f>
        <v/>
      </c>
      <c r="F566" s="34" t="str">
        <f aca="false">MID(B566,10,1)</f>
        <v/>
      </c>
      <c r="G566" s="34" t="str">
        <f aca="false">MID(B566,11,1)</f>
        <v/>
      </c>
      <c r="H566" s="35" t="str">
        <f aca="false">IF(G566=".",F566,CONCATENATE(F566,G566))</f>
        <v/>
      </c>
      <c r="I566" s="34" t="n">
        <f aca="false">IFERROR(VALUE(H566),)</f>
        <v>0</v>
      </c>
      <c r="J566" s="34" t="e">
        <f aca="false">RIGHT(B566,LEN(B566)-FIND("/",B566, FIND("Single Cells",B566, 1)))</f>
        <v>#VALUE!</v>
      </c>
    </row>
    <row r="567" customFormat="false" ht="12.75" hidden="false" customHeight="false" outlineLevel="0" collapsed="false">
      <c r="E567" s="34" t="str">
        <f aca="false">MID(B567,9,1)</f>
        <v/>
      </c>
      <c r="F567" s="34" t="str">
        <f aca="false">MID(B567,10,1)</f>
        <v/>
      </c>
      <c r="G567" s="34" t="str">
        <f aca="false">MID(B567,11,1)</f>
        <v/>
      </c>
      <c r="H567" s="35" t="str">
        <f aca="false">IF(G567=".",F567,CONCATENATE(F567,G567))</f>
        <v/>
      </c>
      <c r="I567" s="34" t="n">
        <f aca="false">IFERROR(VALUE(H567),)</f>
        <v>0</v>
      </c>
      <c r="J567" s="34" t="e">
        <f aca="false">RIGHT(B567,LEN(B567)-FIND("/",B567, FIND("Single Cells",B567, 1)))</f>
        <v>#VALUE!</v>
      </c>
    </row>
    <row r="568" customFormat="false" ht="12.75" hidden="false" customHeight="false" outlineLevel="0" collapsed="false">
      <c r="E568" s="34" t="str">
        <f aca="false">MID(B568,9,1)</f>
        <v/>
      </c>
      <c r="F568" s="34" t="str">
        <f aca="false">MID(B568,10,1)</f>
        <v/>
      </c>
      <c r="G568" s="34" t="str">
        <f aca="false">MID(B568,11,1)</f>
        <v/>
      </c>
      <c r="H568" s="35" t="str">
        <f aca="false">IF(G568=".",F568,CONCATENATE(F568,G568))</f>
        <v/>
      </c>
      <c r="I568" s="34" t="n">
        <f aca="false">IFERROR(VALUE(H568),)</f>
        <v>0</v>
      </c>
      <c r="J568" s="34" t="e">
        <f aca="false">RIGHT(B568,LEN(B568)-FIND("/",B568, FIND("Single Cells",B568, 1)))</f>
        <v>#VALUE!</v>
      </c>
    </row>
    <row r="569" customFormat="false" ht="12.75" hidden="false" customHeight="false" outlineLevel="0" collapsed="false">
      <c r="E569" s="34" t="str">
        <f aca="false">MID(B569,9,1)</f>
        <v/>
      </c>
      <c r="F569" s="34" t="str">
        <f aca="false">MID(B569,10,1)</f>
        <v/>
      </c>
      <c r="G569" s="34" t="str">
        <f aca="false">MID(B569,11,1)</f>
        <v/>
      </c>
      <c r="H569" s="35" t="str">
        <f aca="false">IF(G569=".",F569,CONCATENATE(F569,G569))</f>
        <v/>
      </c>
      <c r="I569" s="34" t="n">
        <f aca="false">IFERROR(VALUE(H569),)</f>
        <v>0</v>
      </c>
      <c r="J569" s="34" t="e">
        <f aca="false">RIGHT(B569,LEN(B569)-FIND("/",B569, FIND("Single Cells",B569, 1)))</f>
        <v>#VALUE!</v>
      </c>
    </row>
    <row r="570" customFormat="false" ht="12.75" hidden="false" customHeight="false" outlineLevel="0" collapsed="false">
      <c r="E570" s="34" t="str">
        <f aca="false">MID(B570,9,1)</f>
        <v/>
      </c>
      <c r="F570" s="34" t="str">
        <f aca="false">MID(B570,10,1)</f>
        <v/>
      </c>
      <c r="G570" s="34" t="str">
        <f aca="false">MID(B570,11,1)</f>
        <v/>
      </c>
      <c r="H570" s="35" t="str">
        <f aca="false">IF(G570=".",F570,CONCATENATE(F570,G570))</f>
        <v/>
      </c>
      <c r="I570" s="34" t="n">
        <f aca="false">IFERROR(VALUE(H570),)</f>
        <v>0</v>
      </c>
      <c r="J570" s="34" t="e">
        <f aca="false">RIGHT(B570,LEN(B570)-FIND("/",B570, FIND("Single Cells",B570, 1)))</f>
        <v>#VALUE!</v>
      </c>
    </row>
    <row r="571" customFormat="false" ht="12.75" hidden="false" customHeight="false" outlineLevel="0" collapsed="false">
      <c r="E571" s="34" t="str">
        <f aca="false">MID(B571,9,1)</f>
        <v/>
      </c>
      <c r="F571" s="34" t="str">
        <f aca="false">MID(B571,10,1)</f>
        <v/>
      </c>
      <c r="G571" s="34" t="str">
        <f aca="false">MID(B571,11,1)</f>
        <v/>
      </c>
      <c r="H571" s="35" t="str">
        <f aca="false">IF(G571=".",F571,CONCATENATE(F571,G571))</f>
        <v/>
      </c>
      <c r="I571" s="34" t="n">
        <f aca="false">IFERROR(VALUE(H571),)</f>
        <v>0</v>
      </c>
      <c r="J571" s="34" t="e">
        <f aca="false">RIGHT(B571,LEN(B571)-FIND("/",B571, FIND("Single Cells",B571, 1)))</f>
        <v>#VALUE!</v>
      </c>
    </row>
    <row r="572" customFormat="false" ht="12.75" hidden="false" customHeight="false" outlineLevel="0" collapsed="false">
      <c r="E572" s="34" t="str">
        <f aca="false">MID(B572,9,1)</f>
        <v/>
      </c>
      <c r="F572" s="34" t="str">
        <f aca="false">MID(B572,10,1)</f>
        <v/>
      </c>
      <c r="G572" s="34" t="str">
        <f aca="false">MID(B572,11,1)</f>
        <v/>
      </c>
      <c r="H572" s="35" t="str">
        <f aca="false">IF(G572=".",F572,CONCATENATE(F572,G572))</f>
        <v/>
      </c>
      <c r="I572" s="34" t="n">
        <f aca="false">IFERROR(VALUE(H572),)</f>
        <v>0</v>
      </c>
      <c r="J572" s="34" t="e">
        <f aca="false">RIGHT(B572,LEN(B572)-FIND("/",B572, FIND("Single Cells",B572, 1)))</f>
        <v>#VALUE!</v>
      </c>
    </row>
    <row r="573" customFormat="false" ht="12.75" hidden="false" customHeight="false" outlineLevel="0" collapsed="false">
      <c r="E573" s="34" t="str">
        <f aca="false">MID(B573,9,1)</f>
        <v/>
      </c>
      <c r="F573" s="34" t="str">
        <f aca="false">MID(B573,10,1)</f>
        <v/>
      </c>
      <c r="G573" s="34" t="str">
        <f aca="false">MID(B573,11,1)</f>
        <v/>
      </c>
      <c r="H573" s="35" t="str">
        <f aca="false">IF(G573=".",F573,CONCATENATE(F573,G573))</f>
        <v/>
      </c>
      <c r="I573" s="34" t="n">
        <f aca="false">IFERROR(VALUE(H573),)</f>
        <v>0</v>
      </c>
      <c r="J573" s="34" t="e">
        <f aca="false">RIGHT(B573,LEN(B573)-FIND("/",B573, FIND("Single Cells",B573, 1)))</f>
        <v>#VALUE!</v>
      </c>
    </row>
    <row r="574" customFormat="false" ht="12.75" hidden="false" customHeight="false" outlineLevel="0" collapsed="false">
      <c r="E574" s="34" t="str">
        <f aca="false">MID(B574,9,1)</f>
        <v/>
      </c>
      <c r="F574" s="34" t="str">
        <f aca="false">MID(B574,10,1)</f>
        <v/>
      </c>
      <c r="G574" s="34" t="str">
        <f aca="false">MID(B574,11,1)</f>
        <v/>
      </c>
      <c r="H574" s="35" t="str">
        <f aca="false">IF(G574=".",F574,CONCATENATE(F574,G574))</f>
        <v/>
      </c>
      <c r="I574" s="34" t="n">
        <f aca="false">IFERROR(VALUE(H574),)</f>
        <v>0</v>
      </c>
      <c r="J574" s="34" t="e">
        <f aca="false">RIGHT(B574,LEN(B574)-FIND("/",B574, FIND("Single Cells",B574, 1)))</f>
        <v>#VALUE!</v>
      </c>
    </row>
    <row r="575" customFormat="false" ht="12.75" hidden="false" customHeight="false" outlineLevel="0" collapsed="false">
      <c r="E575" s="34" t="str">
        <f aca="false">MID(B575,9,1)</f>
        <v/>
      </c>
      <c r="F575" s="34" t="str">
        <f aca="false">MID(B575,10,1)</f>
        <v/>
      </c>
      <c r="G575" s="34" t="str">
        <f aca="false">MID(B575,11,1)</f>
        <v/>
      </c>
      <c r="H575" s="35" t="str">
        <f aca="false">IF(G575=".",F575,CONCATENATE(F575,G575))</f>
        <v/>
      </c>
      <c r="I575" s="34" t="n">
        <f aca="false">IFERROR(VALUE(H575),)</f>
        <v>0</v>
      </c>
      <c r="J575" s="34" t="e">
        <f aca="false">RIGHT(B575,LEN(B575)-FIND("/",B575, FIND("Single Cells",B575, 1)))</f>
        <v>#VALUE!</v>
      </c>
    </row>
    <row r="576" customFormat="false" ht="12.75" hidden="false" customHeight="false" outlineLevel="0" collapsed="false">
      <c r="E576" s="34" t="str">
        <f aca="false">MID(B576,9,1)</f>
        <v/>
      </c>
      <c r="F576" s="34" t="str">
        <f aca="false">MID(B576,10,1)</f>
        <v/>
      </c>
      <c r="G576" s="34" t="str">
        <f aca="false">MID(B576,11,1)</f>
        <v/>
      </c>
      <c r="H576" s="35" t="str">
        <f aca="false">IF(G576=".",F576,CONCATENATE(F576,G576))</f>
        <v/>
      </c>
      <c r="I576" s="34" t="n">
        <f aca="false">IFERROR(VALUE(H576),)</f>
        <v>0</v>
      </c>
      <c r="J576" s="34" t="e">
        <f aca="false">RIGHT(B576,LEN(B576)-FIND("/",B576, FIND("Single Cells",B576, 1)))</f>
        <v>#VALUE!</v>
      </c>
    </row>
    <row r="577" customFormat="false" ht="12.75" hidden="false" customHeight="false" outlineLevel="0" collapsed="false">
      <c r="E577" s="34" t="str">
        <f aca="false">MID(B577,9,1)</f>
        <v/>
      </c>
      <c r="F577" s="34" t="str">
        <f aca="false">MID(B577,10,1)</f>
        <v/>
      </c>
      <c r="G577" s="34" t="str">
        <f aca="false">MID(B577,11,1)</f>
        <v/>
      </c>
      <c r="H577" s="35" t="str">
        <f aca="false">IF(G577=".",F577,CONCATENATE(F577,G577))</f>
        <v/>
      </c>
      <c r="I577" s="34" t="n">
        <f aca="false">IFERROR(VALUE(H577),)</f>
        <v>0</v>
      </c>
      <c r="J577" s="34" t="e">
        <f aca="false">RIGHT(B577,LEN(B577)-FIND("/",B577, FIND("Single Cells",B577, 1)))</f>
        <v>#VALUE!</v>
      </c>
    </row>
    <row r="578" customFormat="false" ht="12.75" hidden="false" customHeight="false" outlineLevel="0" collapsed="false">
      <c r="E578" s="34" t="str">
        <f aca="false">MID(B578,9,1)</f>
        <v/>
      </c>
      <c r="F578" s="34" t="str">
        <f aca="false">MID(B578,10,1)</f>
        <v/>
      </c>
      <c r="G578" s="34" t="str">
        <f aca="false">MID(B578,11,1)</f>
        <v/>
      </c>
      <c r="H578" s="35" t="str">
        <f aca="false">IF(G578=".",F578,CONCATENATE(F578,G578))</f>
        <v/>
      </c>
      <c r="I578" s="34" t="n">
        <f aca="false">IFERROR(VALUE(H578),)</f>
        <v>0</v>
      </c>
      <c r="J578" s="34" t="e">
        <f aca="false">RIGHT(B578,LEN(B578)-FIND("/",B578, FIND("Single Cells",B578, 1)))</f>
        <v>#VALUE!</v>
      </c>
    </row>
    <row r="579" customFormat="false" ht="12.75" hidden="false" customHeight="false" outlineLevel="0" collapsed="false">
      <c r="E579" s="34" t="str">
        <f aca="false">MID(B579,9,1)</f>
        <v/>
      </c>
      <c r="F579" s="34" t="str">
        <f aca="false">MID(B579,10,1)</f>
        <v/>
      </c>
      <c r="G579" s="34" t="str">
        <f aca="false">MID(B579,11,1)</f>
        <v/>
      </c>
      <c r="H579" s="35" t="str">
        <f aca="false">IF(G579=".",F579,CONCATENATE(F579,G579))</f>
        <v/>
      </c>
      <c r="I579" s="34" t="n">
        <f aca="false">IFERROR(VALUE(H579),)</f>
        <v>0</v>
      </c>
      <c r="J579" s="34" t="e">
        <f aca="false">RIGHT(B579,LEN(B579)-FIND("/",B579, FIND("Single Cells",B579, 1)))</f>
        <v>#VALUE!</v>
      </c>
    </row>
    <row r="580" customFormat="false" ht="12.75" hidden="false" customHeight="false" outlineLevel="0" collapsed="false">
      <c r="E580" s="34" t="str">
        <f aca="false">MID(B580,9,1)</f>
        <v/>
      </c>
      <c r="F580" s="34" t="str">
        <f aca="false">MID(B580,10,1)</f>
        <v/>
      </c>
      <c r="G580" s="34" t="str">
        <f aca="false">MID(B580,11,1)</f>
        <v/>
      </c>
      <c r="H580" s="35" t="str">
        <f aca="false">IF(G580=".",F580,CONCATENATE(F580,G580))</f>
        <v/>
      </c>
      <c r="I580" s="34" t="n">
        <f aca="false">IFERROR(VALUE(H580),)</f>
        <v>0</v>
      </c>
      <c r="J580" s="34" t="e">
        <f aca="false">RIGHT(B580,LEN(B580)-FIND("/",B580, FIND("Single Cells",B580, 1)))</f>
        <v>#VALUE!</v>
      </c>
    </row>
    <row r="581" customFormat="false" ht="12.75" hidden="false" customHeight="false" outlineLevel="0" collapsed="false">
      <c r="E581" s="34" t="str">
        <f aca="false">MID(B581,9,1)</f>
        <v/>
      </c>
      <c r="F581" s="34" t="str">
        <f aca="false">MID(B581,10,1)</f>
        <v/>
      </c>
      <c r="G581" s="34" t="str">
        <f aca="false">MID(B581,11,1)</f>
        <v/>
      </c>
      <c r="H581" s="35" t="str">
        <f aca="false">IF(G581=".",F581,CONCATENATE(F581,G581))</f>
        <v/>
      </c>
      <c r="I581" s="34" t="n">
        <f aca="false">IFERROR(VALUE(H581),)</f>
        <v>0</v>
      </c>
      <c r="J581" s="34" t="e">
        <f aca="false">RIGHT(B581,LEN(B581)-FIND("/",B581, FIND("Single Cells",B581, 1)))</f>
        <v>#VALUE!</v>
      </c>
    </row>
    <row r="582" customFormat="false" ht="12.75" hidden="false" customHeight="false" outlineLevel="0" collapsed="false">
      <c r="E582" s="34" t="str">
        <f aca="false">MID(B582,9,1)</f>
        <v/>
      </c>
      <c r="F582" s="34" t="str">
        <f aca="false">MID(B582,10,1)</f>
        <v/>
      </c>
      <c r="G582" s="34" t="str">
        <f aca="false">MID(B582,11,1)</f>
        <v/>
      </c>
      <c r="H582" s="35" t="str">
        <f aca="false">IF(G582=".",F582,CONCATENATE(F582,G582))</f>
        <v/>
      </c>
      <c r="I582" s="34" t="n">
        <f aca="false">IFERROR(VALUE(H582),)</f>
        <v>0</v>
      </c>
      <c r="J582" s="34" t="e">
        <f aca="false">RIGHT(B582,LEN(B582)-FIND("/",B582, FIND("Single Cells",B582, 1)))</f>
        <v>#VALUE!</v>
      </c>
    </row>
    <row r="583" customFormat="false" ht="12.75" hidden="false" customHeight="false" outlineLevel="0" collapsed="false">
      <c r="E583" s="34" t="str">
        <f aca="false">MID(B583,9,1)</f>
        <v/>
      </c>
      <c r="F583" s="34" t="str">
        <f aca="false">MID(B583,10,1)</f>
        <v/>
      </c>
      <c r="G583" s="34" t="str">
        <f aca="false">MID(B583,11,1)</f>
        <v/>
      </c>
      <c r="H583" s="35" t="str">
        <f aca="false">IF(G583=".",F583,CONCATENATE(F583,G583))</f>
        <v/>
      </c>
      <c r="I583" s="34" t="n">
        <f aca="false">IFERROR(VALUE(H583),)</f>
        <v>0</v>
      </c>
      <c r="J583" s="34" t="e">
        <f aca="false">RIGHT(B583,LEN(B583)-FIND("/",B583, FIND("Single Cells",B583, 1)))</f>
        <v>#VALUE!</v>
      </c>
    </row>
    <row r="584" customFormat="false" ht="12.75" hidden="false" customHeight="false" outlineLevel="0" collapsed="false">
      <c r="E584" s="34" t="str">
        <f aca="false">MID(B584,9,1)</f>
        <v/>
      </c>
      <c r="F584" s="34" t="str">
        <f aca="false">MID(B584,10,1)</f>
        <v/>
      </c>
      <c r="G584" s="34" t="str">
        <f aca="false">MID(B584,11,1)</f>
        <v/>
      </c>
      <c r="H584" s="35" t="str">
        <f aca="false">IF(G584=".",F584,CONCATENATE(F584,G584))</f>
        <v/>
      </c>
      <c r="I584" s="34" t="n">
        <f aca="false">IFERROR(VALUE(H584),)</f>
        <v>0</v>
      </c>
      <c r="J584" s="34" t="e">
        <f aca="false">RIGHT(B584,LEN(B584)-FIND("/",B584, FIND("Single Cells",B584, 1)))</f>
        <v>#VALUE!</v>
      </c>
    </row>
    <row r="585" customFormat="false" ht="12.75" hidden="false" customHeight="false" outlineLevel="0" collapsed="false">
      <c r="E585" s="34" t="str">
        <f aca="false">MID(B585,9,1)</f>
        <v/>
      </c>
      <c r="F585" s="34" t="str">
        <f aca="false">MID(B585,10,1)</f>
        <v/>
      </c>
      <c r="G585" s="34" t="str">
        <f aca="false">MID(B585,11,1)</f>
        <v/>
      </c>
      <c r="H585" s="35" t="str">
        <f aca="false">IF(G585=".",F585,CONCATENATE(F585,G585))</f>
        <v/>
      </c>
      <c r="I585" s="34" t="n">
        <f aca="false">IFERROR(VALUE(H585),)</f>
        <v>0</v>
      </c>
      <c r="J585" s="34" t="e">
        <f aca="false">RIGHT(B585,LEN(B585)-FIND("/",B585, FIND("Single Cells",B585, 1)))</f>
        <v>#VALUE!</v>
      </c>
    </row>
    <row r="586" customFormat="false" ht="12.75" hidden="false" customHeight="false" outlineLevel="0" collapsed="false">
      <c r="E586" s="34" t="str">
        <f aca="false">MID(B586,9,1)</f>
        <v/>
      </c>
      <c r="F586" s="34" t="str">
        <f aca="false">MID(B586,10,1)</f>
        <v/>
      </c>
      <c r="G586" s="34" t="str">
        <f aca="false">MID(B586,11,1)</f>
        <v/>
      </c>
      <c r="H586" s="35" t="str">
        <f aca="false">IF(G586=".",F586,CONCATENATE(F586,G586))</f>
        <v/>
      </c>
      <c r="I586" s="34" t="n">
        <f aca="false">IFERROR(VALUE(H586),)</f>
        <v>0</v>
      </c>
      <c r="J586" s="34" t="e">
        <f aca="false">RIGHT(B586,LEN(B586)-FIND("/",B586, FIND("Single Cells",B586, 1)))</f>
        <v>#VALUE!</v>
      </c>
    </row>
    <row r="587" customFormat="false" ht="12.75" hidden="false" customHeight="false" outlineLevel="0" collapsed="false">
      <c r="E587" s="34" t="str">
        <f aca="false">MID(B587,9,1)</f>
        <v/>
      </c>
      <c r="F587" s="34" t="str">
        <f aca="false">MID(B587,10,1)</f>
        <v/>
      </c>
      <c r="G587" s="34" t="str">
        <f aca="false">MID(B587,11,1)</f>
        <v/>
      </c>
      <c r="H587" s="35" t="str">
        <f aca="false">IF(G587=".",F587,CONCATENATE(F587,G587))</f>
        <v/>
      </c>
      <c r="I587" s="34" t="n">
        <f aca="false">IFERROR(VALUE(H587),)</f>
        <v>0</v>
      </c>
      <c r="J587" s="34" t="e">
        <f aca="false">RIGHT(B587,LEN(B587)-FIND("/",B587, FIND("Single Cells",B587, 1)))</f>
        <v>#VALUE!</v>
      </c>
    </row>
    <row r="588" customFormat="false" ht="12.75" hidden="false" customHeight="false" outlineLevel="0" collapsed="false">
      <c r="E588" s="34" t="str">
        <f aca="false">MID(B588,9,1)</f>
        <v/>
      </c>
      <c r="F588" s="34" t="str">
        <f aca="false">MID(B588,10,1)</f>
        <v/>
      </c>
      <c r="G588" s="34" t="str">
        <f aca="false">MID(B588,11,1)</f>
        <v/>
      </c>
      <c r="H588" s="35" t="str">
        <f aca="false">IF(G588=".",F588,CONCATENATE(F588,G588))</f>
        <v/>
      </c>
      <c r="I588" s="34" t="n">
        <f aca="false">IFERROR(VALUE(H588),)</f>
        <v>0</v>
      </c>
      <c r="J588" s="34" t="e">
        <f aca="false">RIGHT(B588,LEN(B588)-FIND("/",B588, FIND("Single Cells",B588, 1)))</f>
        <v>#VALUE!</v>
      </c>
    </row>
    <row r="589" customFormat="false" ht="12.75" hidden="false" customHeight="false" outlineLevel="0" collapsed="false">
      <c r="E589" s="34" t="str">
        <f aca="false">MID(B589,9,1)</f>
        <v/>
      </c>
      <c r="F589" s="34" t="str">
        <f aca="false">MID(B589,10,1)</f>
        <v/>
      </c>
      <c r="G589" s="34" t="str">
        <f aca="false">MID(B589,11,1)</f>
        <v/>
      </c>
      <c r="H589" s="35" t="str">
        <f aca="false">IF(G589=".",F589,CONCATENATE(F589,G589))</f>
        <v/>
      </c>
      <c r="I589" s="34" t="n">
        <f aca="false">IFERROR(VALUE(H589),)</f>
        <v>0</v>
      </c>
      <c r="J589" s="34" t="e">
        <f aca="false">RIGHT(B589,LEN(B589)-FIND("/",B589, FIND("Single Cells",B589, 1)))</f>
        <v>#VALUE!</v>
      </c>
    </row>
    <row r="590" customFormat="false" ht="12.75" hidden="false" customHeight="false" outlineLevel="0" collapsed="false">
      <c r="E590" s="34" t="str">
        <f aca="false">MID(B590,9,1)</f>
        <v/>
      </c>
      <c r="F590" s="34" t="str">
        <f aca="false">MID(B590,10,1)</f>
        <v/>
      </c>
      <c r="G590" s="34" t="str">
        <f aca="false">MID(B590,11,1)</f>
        <v/>
      </c>
      <c r="H590" s="35" t="str">
        <f aca="false">IF(G590=".",F590,CONCATENATE(F590,G590))</f>
        <v/>
      </c>
      <c r="I590" s="34" t="n">
        <f aca="false">IFERROR(VALUE(H590),)</f>
        <v>0</v>
      </c>
      <c r="J590" s="34" t="e">
        <f aca="false">RIGHT(B590,LEN(B590)-FIND("/",B590, FIND("Single Cells",B590, 1)))</f>
        <v>#VALUE!</v>
      </c>
    </row>
    <row r="591" customFormat="false" ht="12.75" hidden="false" customHeight="false" outlineLevel="0" collapsed="false">
      <c r="E591" s="34" t="str">
        <f aca="false">MID(B591,9,1)</f>
        <v/>
      </c>
      <c r="F591" s="34" t="str">
        <f aca="false">MID(B591,10,1)</f>
        <v/>
      </c>
      <c r="G591" s="34" t="str">
        <f aca="false">MID(B591,11,1)</f>
        <v/>
      </c>
      <c r="H591" s="35" t="str">
        <f aca="false">IF(G591=".",F591,CONCATENATE(F591,G591))</f>
        <v/>
      </c>
      <c r="I591" s="34" t="n">
        <f aca="false">IFERROR(VALUE(H591),)</f>
        <v>0</v>
      </c>
      <c r="J591" s="34" t="e">
        <f aca="false">RIGHT(B591,LEN(B591)-FIND("/",B591, FIND("Single Cells",B591, 1)))</f>
        <v>#VALUE!</v>
      </c>
    </row>
    <row r="592" customFormat="false" ht="12.75" hidden="false" customHeight="false" outlineLevel="0" collapsed="false">
      <c r="E592" s="34" t="str">
        <f aca="false">MID(B592,9,1)</f>
        <v/>
      </c>
      <c r="F592" s="34" t="str">
        <f aca="false">MID(B592,10,1)</f>
        <v/>
      </c>
      <c r="G592" s="34" t="str">
        <f aca="false">MID(B592,11,1)</f>
        <v/>
      </c>
      <c r="H592" s="35" t="str">
        <f aca="false">IF(G592=".",F592,CONCATENATE(F592,G592))</f>
        <v/>
      </c>
      <c r="I592" s="34" t="n">
        <f aca="false">IFERROR(VALUE(H592),)</f>
        <v>0</v>
      </c>
      <c r="J592" s="34" t="e">
        <f aca="false">RIGHT(B592,LEN(B592)-FIND("/",B592, FIND("Single Cells",B592, 1)))</f>
        <v>#VALUE!</v>
      </c>
    </row>
    <row r="593" customFormat="false" ht="12.75" hidden="false" customHeight="false" outlineLevel="0" collapsed="false">
      <c r="E593" s="34" t="str">
        <f aca="false">MID(B593,9,1)</f>
        <v/>
      </c>
      <c r="F593" s="34" t="str">
        <f aca="false">MID(B593,10,1)</f>
        <v/>
      </c>
      <c r="G593" s="34" t="str">
        <f aca="false">MID(B593,11,1)</f>
        <v/>
      </c>
      <c r="H593" s="35" t="str">
        <f aca="false">IF(G593=".",F593,CONCATENATE(F593,G593))</f>
        <v/>
      </c>
      <c r="I593" s="34" t="n">
        <f aca="false">IFERROR(VALUE(H593),)</f>
        <v>0</v>
      </c>
      <c r="J593" s="34" t="e">
        <f aca="false">RIGHT(B593,LEN(B593)-FIND("/",B593, FIND("Single Cells",B593, 1)))</f>
        <v>#VALUE!</v>
      </c>
    </row>
    <row r="594" customFormat="false" ht="12.75" hidden="false" customHeight="false" outlineLevel="0" collapsed="false">
      <c r="E594" s="34" t="str">
        <f aca="false">MID(B594,9,1)</f>
        <v/>
      </c>
      <c r="F594" s="34" t="str">
        <f aca="false">MID(B594,10,1)</f>
        <v/>
      </c>
      <c r="G594" s="34" t="str">
        <f aca="false">MID(B594,11,1)</f>
        <v/>
      </c>
      <c r="H594" s="35" t="str">
        <f aca="false">IF(G594=".",F594,CONCATENATE(F594,G594))</f>
        <v/>
      </c>
      <c r="I594" s="34" t="n">
        <f aca="false">IFERROR(VALUE(H594),)</f>
        <v>0</v>
      </c>
      <c r="J594" s="34" t="e">
        <f aca="false">RIGHT(B594,LEN(B594)-FIND("/",B594, FIND("Single Cells",B594, 1)))</f>
        <v>#VALUE!</v>
      </c>
    </row>
    <row r="595" customFormat="false" ht="12.75" hidden="false" customHeight="false" outlineLevel="0" collapsed="false">
      <c r="E595" s="34" t="str">
        <f aca="false">MID(B595,9,1)</f>
        <v/>
      </c>
      <c r="F595" s="34" t="str">
        <f aca="false">MID(B595,10,1)</f>
        <v/>
      </c>
      <c r="G595" s="34" t="str">
        <f aca="false">MID(B595,11,1)</f>
        <v/>
      </c>
      <c r="H595" s="35" t="str">
        <f aca="false">IF(G595=".",F595,CONCATENATE(F595,G595))</f>
        <v/>
      </c>
      <c r="I595" s="34" t="n">
        <f aca="false">IFERROR(VALUE(H595),)</f>
        <v>0</v>
      </c>
      <c r="J595" s="34" t="e">
        <f aca="false">RIGHT(B595,LEN(B595)-FIND("/",B595, FIND("Single Cells",B595, 1)))</f>
        <v>#VALUE!</v>
      </c>
    </row>
    <row r="596" customFormat="false" ht="12.75" hidden="false" customHeight="false" outlineLevel="0" collapsed="false">
      <c r="E596" s="34" t="str">
        <f aca="false">MID(B596,9,1)</f>
        <v/>
      </c>
      <c r="F596" s="34" t="str">
        <f aca="false">MID(B596,10,1)</f>
        <v/>
      </c>
      <c r="G596" s="34" t="str">
        <f aca="false">MID(B596,11,1)</f>
        <v/>
      </c>
      <c r="H596" s="35" t="str">
        <f aca="false">IF(G596=".",F596,CONCATENATE(F596,G596))</f>
        <v/>
      </c>
      <c r="I596" s="34" t="n">
        <f aca="false">IFERROR(VALUE(H596),)</f>
        <v>0</v>
      </c>
      <c r="J596" s="34" t="e">
        <f aca="false">RIGHT(B596,LEN(B596)-FIND("/",B596, FIND("Single Cells",B596, 1)))</f>
        <v>#VALUE!</v>
      </c>
    </row>
    <row r="597" customFormat="false" ht="12.75" hidden="false" customHeight="false" outlineLevel="0" collapsed="false">
      <c r="E597" s="34" t="str">
        <f aca="false">MID(B597,9,1)</f>
        <v/>
      </c>
      <c r="F597" s="34" t="str">
        <f aca="false">MID(B597,10,1)</f>
        <v/>
      </c>
      <c r="G597" s="34" t="str">
        <f aca="false">MID(B597,11,1)</f>
        <v/>
      </c>
      <c r="H597" s="35" t="str">
        <f aca="false">IF(G597=".",F597,CONCATENATE(F597,G597))</f>
        <v/>
      </c>
      <c r="I597" s="34" t="n">
        <f aca="false">IFERROR(VALUE(H597),)</f>
        <v>0</v>
      </c>
      <c r="J597" s="34" t="e">
        <f aca="false">RIGHT(B597,LEN(B597)-FIND("/",B597, FIND("Single Cells",B597, 1)))</f>
        <v>#VALUE!</v>
      </c>
    </row>
    <row r="598" customFormat="false" ht="12.75" hidden="false" customHeight="false" outlineLevel="0" collapsed="false">
      <c r="E598" s="34" t="str">
        <f aca="false">MID(B598,9,1)</f>
        <v/>
      </c>
      <c r="F598" s="34" t="str">
        <f aca="false">MID(B598,10,1)</f>
        <v/>
      </c>
      <c r="G598" s="34" t="str">
        <f aca="false">MID(B598,11,1)</f>
        <v/>
      </c>
      <c r="H598" s="35" t="str">
        <f aca="false">IF(G598=".",F598,CONCATENATE(F598,G598))</f>
        <v/>
      </c>
      <c r="I598" s="34" t="n">
        <f aca="false">IFERROR(VALUE(H598),)</f>
        <v>0</v>
      </c>
      <c r="J598" s="34" t="e">
        <f aca="false">RIGHT(B598,LEN(B598)-FIND("/",B598, FIND("Single Cells",B598, 1)))</f>
        <v>#VALUE!</v>
      </c>
    </row>
    <row r="599" customFormat="false" ht="12.75" hidden="false" customHeight="false" outlineLevel="0" collapsed="false">
      <c r="E599" s="34" t="str">
        <f aca="false">MID(B599,9,1)</f>
        <v/>
      </c>
      <c r="F599" s="34" t="str">
        <f aca="false">MID(B599,10,1)</f>
        <v/>
      </c>
      <c r="G599" s="34" t="str">
        <f aca="false">MID(B599,11,1)</f>
        <v/>
      </c>
      <c r="H599" s="35" t="str">
        <f aca="false">IF(G599=".",F599,CONCATENATE(F599,G599))</f>
        <v/>
      </c>
      <c r="I599" s="34" t="n">
        <f aca="false">IFERROR(VALUE(H599),)</f>
        <v>0</v>
      </c>
      <c r="J599" s="34" t="e">
        <f aca="false">RIGHT(B599,LEN(B599)-FIND("/",B599, FIND("Single Cells",B599, 1)))</f>
        <v>#VALUE!</v>
      </c>
    </row>
    <row r="600" customFormat="false" ht="12.75" hidden="false" customHeight="false" outlineLevel="0" collapsed="false">
      <c r="E600" s="34" t="str">
        <f aca="false">MID(B600,9,1)</f>
        <v/>
      </c>
      <c r="F600" s="34" t="str">
        <f aca="false">MID(B600,10,1)</f>
        <v/>
      </c>
      <c r="G600" s="34" t="str">
        <f aca="false">MID(B600,11,1)</f>
        <v/>
      </c>
      <c r="H600" s="35" t="str">
        <f aca="false">IF(G600=".",F600,CONCATENATE(F600,G600))</f>
        <v/>
      </c>
      <c r="I600" s="34" t="n">
        <f aca="false">IFERROR(VALUE(H600),)</f>
        <v>0</v>
      </c>
      <c r="J600" s="34" t="e">
        <f aca="false">RIGHT(B600,LEN(B600)-FIND("/",B600, FIND("Single Cells",B600, 1)))</f>
        <v>#VALUE!</v>
      </c>
    </row>
    <row r="601" customFormat="false" ht="12.75" hidden="false" customHeight="false" outlineLevel="0" collapsed="false">
      <c r="E601" s="34" t="str">
        <f aca="false">MID(B601,9,1)</f>
        <v/>
      </c>
      <c r="F601" s="34" t="str">
        <f aca="false">MID(B601,10,1)</f>
        <v/>
      </c>
      <c r="G601" s="34" t="str">
        <f aca="false">MID(B601,11,1)</f>
        <v/>
      </c>
      <c r="H601" s="35" t="str">
        <f aca="false">IF(G601=".",F601,CONCATENATE(F601,G601))</f>
        <v/>
      </c>
      <c r="I601" s="34" t="n">
        <f aca="false">IFERROR(VALUE(H601),)</f>
        <v>0</v>
      </c>
      <c r="J601" s="34" t="e">
        <f aca="false">RIGHT(B601,LEN(B601)-FIND("/",B601, FIND("Single Cells",B601, 1)))</f>
        <v>#VALUE!</v>
      </c>
    </row>
    <row r="602" customFormat="false" ht="12.75" hidden="false" customHeight="false" outlineLevel="0" collapsed="false">
      <c r="E602" s="34" t="str">
        <f aca="false">MID(B602,9,1)</f>
        <v/>
      </c>
      <c r="F602" s="34" t="str">
        <f aca="false">MID(B602,10,1)</f>
        <v/>
      </c>
      <c r="G602" s="34" t="str">
        <f aca="false">MID(B602,11,1)</f>
        <v/>
      </c>
      <c r="H602" s="35" t="str">
        <f aca="false">IF(G602=".",F602,CONCATENATE(F602,G602))</f>
        <v/>
      </c>
      <c r="I602" s="34" t="n">
        <f aca="false">IFERROR(VALUE(H602),)</f>
        <v>0</v>
      </c>
      <c r="J602" s="34" t="e">
        <f aca="false">RIGHT(B602,LEN(B602)-FIND("/",B602, FIND("Single Cells",B602, 1)))</f>
        <v>#VALUE!</v>
      </c>
    </row>
    <row r="603" customFormat="false" ht="12.75" hidden="false" customHeight="false" outlineLevel="0" collapsed="false">
      <c r="E603" s="34" t="str">
        <f aca="false">MID(B603,9,1)</f>
        <v/>
      </c>
      <c r="F603" s="34" t="str">
        <f aca="false">MID(B603,10,1)</f>
        <v/>
      </c>
      <c r="G603" s="34" t="str">
        <f aca="false">MID(B603,11,1)</f>
        <v/>
      </c>
      <c r="H603" s="35" t="str">
        <f aca="false">IF(G603=".",F603,CONCATENATE(F603,G603))</f>
        <v/>
      </c>
      <c r="I603" s="34" t="n">
        <f aca="false">IFERROR(VALUE(H603),)</f>
        <v>0</v>
      </c>
      <c r="J603" s="34" t="e">
        <f aca="false">RIGHT(B603,LEN(B603)-FIND("/",B603, FIND("Single Cells",B603, 1)))</f>
        <v>#VALUE!</v>
      </c>
    </row>
    <row r="604" customFormat="false" ht="12.75" hidden="false" customHeight="false" outlineLevel="0" collapsed="false">
      <c r="E604" s="34" t="str">
        <f aca="false">MID(B604,9,1)</f>
        <v/>
      </c>
      <c r="F604" s="34" t="str">
        <f aca="false">MID(B604,10,1)</f>
        <v/>
      </c>
      <c r="G604" s="34" t="str">
        <f aca="false">MID(B604,11,1)</f>
        <v/>
      </c>
      <c r="H604" s="35" t="str">
        <f aca="false">IF(G604=".",F604,CONCATENATE(F604,G604))</f>
        <v/>
      </c>
      <c r="I604" s="34" t="n">
        <f aca="false">IFERROR(VALUE(H604),)</f>
        <v>0</v>
      </c>
      <c r="J604" s="34" t="e">
        <f aca="false">RIGHT(B604,LEN(B604)-FIND("/",B604, FIND("Single Cells",B604, 1)))</f>
        <v>#VALUE!</v>
      </c>
    </row>
    <row r="605" customFormat="false" ht="12.75" hidden="false" customHeight="false" outlineLevel="0" collapsed="false">
      <c r="E605" s="34" t="str">
        <f aca="false">MID(B605,9,1)</f>
        <v/>
      </c>
      <c r="F605" s="34" t="str">
        <f aca="false">MID(B605,10,1)</f>
        <v/>
      </c>
      <c r="G605" s="34" t="str">
        <f aca="false">MID(B605,11,1)</f>
        <v/>
      </c>
      <c r="H605" s="35" t="str">
        <f aca="false">IF(G605=".",F605,CONCATENATE(F605,G605))</f>
        <v/>
      </c>
      <c r="I605" s="34" t="n">
        <f aca="false">IFERROR(VALUE(H605),)</f>
        <v>0</v>
      </c>
      <c r="J605" s="34" t="e">
        <f aca="false">RIGHT(B605,LEN(B605)-FIND("/",B605, FIND("Single Cells",B605, 1)))</f>
        <v>#VALUE!</v>
      </c>
    </row>
    <row r="606" customFormat="false" ht="12.75" hidden="false" customHeight="false" outlineLevel="0" collapsed="false">
      <c r="E606" s="34" t="str">
        <f aca="false">MID(B606,9,1)</f>
        <v/>
      </c>
      <c r="F606" s="34" t="str">
        <f aca="false">MID(B606,10,1)</f>
        <v/>
      </c>
      <c r="G606" s="34" t="str">
        <f aca="false">MID(B606,11,1)</f>
        <v/>
      </c>
      <c r="H606" s="35" t="str">
        <f aca="false">IF(G606=".",F606,CONCATENATE(F606,G606))</f>
        <v/>
      </c>
      <c r="I606" s="34" t="n">
        <f aca="false">IFERROR(VALUE(H606),)</f>
        <v>0</v>
      </c>
      <c r="J606" s="34" t="e">
        <f aca="false">RIGHT(B606,LEN(B606)-FIND("/",B606, FIND("Single Cells",B606, 1)))</f>
        <v>#VALUE!</v>
      </c>
    </row>
    <row r="607" customFormat="false" ht="12.75" hidden="false" customHeight="false" outlineLevel="0" collapsed="false">
      <c r="E607" s="34" t="str">
        <f aca="false">MID(B607,9,1)</f>
        <v/>
      </c>
      <c r="F607" s="34" t="str">
        <f aca="false">MID(B607,10,1)</f>
        <v/>
      </c>
      <c r="G607" s="34" t="str">
        <f aca="false">MID(B607,11,1)</f>
        <v/>
      </c>
      <c r="H607" s="35" t="str">
        <f aca="false">IF(G607=".",F607,CONCATENATE(F607,G607))</f>
        <v/>
      </c>
      <c r="I607" s="34" t="n">
        <f aca="false">IFERROR(VALUE(H607),)</f>
        <v>0</v>
      </c>
      <c r="J607" s="34" t="e">
        <f aca="false">RIGHT(B607,LEN(B607)-FIND("/",B607, FIND("Single Cells",B607, 1)))</f>
        <v>#VALUE!</v>
      </c>
    </row>
    <row r="608" customFormat="false" ht="12.75" hidden="false" customHeight="false" outlineLevel="0" collapsed="false">
      <c r="E608" s="34" t="str">
        <f aca="false">MID(B608,9,1)</f>
        <v/>
      </c>
      <c r="F608" s="34" t="str">
        <f aca="false">MID(B608,10,1)</f>
        <v/>
      </c>
      <c r="G608" s="34" t="str">
        <f aca="false">MID(B608,11,1)</f>
        <v/>
      </c>
      <c r="H608" s="35" t="str">
        <f aca="false">IF(G608=".",F608,CONCATENATE(F608,G608))</f>
        <v/>
      </c>
      <c r="I608" s="34" t="n">
        <f aca="false">IFERROR(VALUE(H608),)</f>
        <v>0</v>
      </c>
      <c r="J608" s="34" t="e">
        <f aca="false">RIGHT(B608,LEN(B608)-FIND("/",B608, FIND("Single Cells",B608, 1)))</f>
        <v>#VALUE!</v>
      </c>
    </row>
    <row r="609" customFormat="false" ht="12.75" hidden="false" customHeight="false" outlineLevel="0" collapsed="false">
      <c r="E609" s="34" t="str">
        <f aca="false">MID(B609,9,1)</f>
        <v/>
      </c>
      <c r="F609" s="34" t="str">
        <f aca="false">MID(B609,10,1)</f>
        <v/>
      </c>
      <c r="G609" s="34" t="str">
        <f aca="false">MID(B609,11,1)</f>
        <v/>
      </c>
      <c r="H609" s="35" t="str">
        <f aca="false">IF(G609=".",F609,CONCATENATE(F609,G609))</f>
        <v/>
      </c>
      <c r="I609" s="34" t="n">
        <f aca="false">IFERROR(VALUE(H609),)</f>
        <v>0</v>
      </c>
      <c r="J609" s="34" t="e">
        <f aca="false">RIGHT(B609,LEN(B609)-FIND("/",B609, FIND("Single Cells",B609, 1)))</f>
        <v>#VALUE!</v>
      </c>
    </row>
    <row r="610" customFormat="false" ht="12.75" hidden="false" customHeight="false" outlineLevel="0" collapsed="false">
      <c r="E610" s="34" t="str">
        <f aca="false">MID(B610,9,1)</f>
        <v/>
      </c>
      <c r="F610" s="34" t="str">
        <f aca="false">MID(B610,10,1)</f>
        <v/>
      </c>
      <c r="G610" s="34" t="str">
        <f aca="false">MID(B610,11,1)</f>
        <v/>
      </c>
      <c r="H610" s="35" t="str">
        <f aca="false">IF(G610=".",F610,CONCATENATE(F610,G610))</f>
        <v/>
      </c>
      <c r="I610" s="34" t="n">
        <f aca="false">IFERROR(VALUE(H610),)</f>
        <v>0</v>
      </c>
      <c r="J610" s="34" t="e">
        <f aca="false">RIGHT(B610,LEN(B610)-FIND("/",B610, FIND("Single Cells",B610, 1)))</f>
        <v>#VALUE!</v>
      </c>
    </row>
    <row r="611" customFormat="false" ht="12.75" hidden="false" customHeight="false" outlineLevel="0" collapsed="false">
      <c r="E611" s="34" t="str">
        <f aca="false">MID(B611,9,1)</f>
        <v/>
      </c>
      <c r="F611" s="34" t="str">
        <f aca="false">MID(B611,10,1)</f>
        <v/>
      </c>
      <c r="G611" s="34" t="str">
        <f aca="false">MID(B611,11,1)</f>
        <v/>
      </c>
      <c r="H611" s="35" t="str">
        <f aca="false">IF(G611=".",F611,CONCATENATE(F611,G611))</f>
        <v/>
      </c>
      <c r="I611" s="34" t="n">
        <f aca="false">IFERROR(VALUE(H611),)</f>
        <v>0</v>
      </c>
      <c r="J611" s="34" t="e">
        <f aca="false">RIGHT(B611,LEN(B611)-FIND("/",B611, FIND("Single Cells",B611, 1)))</f>
        <v>#VALUE!</v>
      </c>
    </row>
    <row r="612" customFormat="false" ht="12.75" hidden="false" customHeight="false" outlineLevel="0" collapsed="false">
      <c r="E612" s="34" t="str">
        <f aca="false">MID(B612,9,1)</f>
        <v/>
      </c>
      <c r="F612" s="34" t="str">
        <f aca="false">MID(B612,10,1)</f>
        <v/>
      </c>
      <c r="G612" s="34" t="str">
        <f aca="false">MID(B612,11,1)</f>
        <v/>
      </c>
      <c r="H612" s="35" t="str">
        <f aca="false">IF(G612=".",F612,CONCATENATE(F612,G612))</f>
        <v/>
      </c>
      <c r="I612" s="34" t="n">
        <f aca="false">IFERROR(VALUE(H612),)</f>
        <v>0</v>
      </c>
      <c r="J612" s="34" t="e">
        <f aca="false">RIGHT(B612,LEN(B612)-FIND("/",B612, FIND("Single Cells",B612, 1)))</f>
        <v>#VALUE!</v>
      </c>
    </row>
    <row r="613" customFormat="false" ht="12.75" hidden="false" customHeight="false" outlineLevel="0" collapsed="false">
      <c r="E613" s="34" t="str">
        <f aca="false">MID(B613,9,1)</f>
        <v/>
      </c>
      <c r="F613" s="34" t="str">
        <f aca="false">MID(B613,10,1)</f>
        <v/>
      </c>
      <c r="G613" s="34" t="str">
        <f aca="false">MID(B613,11,1)</f>
        <v/>
      </c>
      <c r="H613" s="35" t="str">
        <f aca="false">IF(G613=".",F613,CONCATENATE(F613,G613))</f>
        <v/>
      </c>
      <c r="I613" s="34" t="n">
        <f aca="false">IFERROR(VALUE(H613),)</f>
        <v>0</v>
      </c>
      <c r="J613" s="34" t="e">
        <f aca="false">RIGHT(B613,LEN(B613)-FIND("/",B613, FIND("Single Cells",B613, 1)))</f>
        <v>#VALUE!</v>
      </c>
    </row>
    <row r="614" customFormat="false" ht="12.75" hidden="false" customHeight="false" outlineLevel="0" collapsed="false">
      <c r="E614" s="34" t="str">
        <f aca="false">MID(B614,9,1)</f>
        <v/>
      </c>
      <c r="F614" s="34" t="str">
        <f aca="false">MID(B614,10,1)</f>
        <v/>
      </c>
      <c r="G614" s="34" t="str">
        <f aca="false">MID(B614,11,1)</f>
        <v/>
      </c>
      <c r="H614" s="35" t="str">
        <f aca="false">IF(G614=".",F614,CONCATENATE(F614,G614))</f>
        <v/>
      </c>
      <c r="I614" s="34" t="n">
        <f aca="false">IFERROR(VALUE(H614),)</f>
        <v>0</v>
      </c>
      <c r="J614" s="34" t="e">
        <f aca="false">RIGHT(B614,LEN(B614)-FIND("/",B614, FIND("Single Cells",B614, 1)))</f>
        <v>#VALUE!</v>
      </c>
    </row>
    <row r="615" customFormat="false" ht="12.75" hidden="false" customHeight="false" outlineLevel="0" collapsed="false">
      <c r="E615" s="34" t="str">
        <f aca="false">MID(B615,9,1)</f>
        <v/>
      </c>
      <c r="F615" s="34" t="str">
        <f aca="false">MID(B615,10,1)</f>
        <v/>
      </c>
      <c r="G615" s="34" t="str">
        <f aca="false">MID(B615,11,1)</f>
        <v/>
      </c>
      <c r="H615" s="35" t="str">
        <f aca="false">IF(G615=".",F615,CONCATENATE(F615,G615))</f>
        <v/>
      </c>
      <c r="I615" s="34" t="n">
        <f aca="false">IFERROR(VALUE(H615),)</f>
        <v>0</v>
      </c>
      <c r="J615" s="34" t="e">
        <f aca="false">RIGHT(B615,LEN(B615)-FIND("/",B615, FIND("Single Cells",B615, 1)))</f>
        <v>#VALUE!</v>
      </c>
    </row>
    <row r="616" customFormat="false" ht="12.75" hidden="false" customHeight="false" outlineLevel="0" collapsed="false">
      <c r="E616" s="34" t="str">
        <f aca="false">MID(B616,9,1)</f>
        <v/>
      </c>
      <c r="F616" s="34" t="str">
        <f aca="false">MID(B616,10,1)</f>
        <v/>
      </c>
      <c r="G616" s="34" t="str">
        <f aca="false">MID(B616,11,1)</f>
        <v/>
      </c>
      <c r="H616" s="35" t="str">
        <f aca="false">IF(G616=".",F616,CONCATENATE(F616,G616))</f>
        <v/>
      </c>
      <c r="I616" s="34" t="n">
        <f aca="false">IFERROR(VALUE(H616),)</f>
        <v>0</v>
      </c>
      <c r="J616" s="34" t="e">
        <f aca="false">RIGHT(B616,LEN(B616)-FIND("/",B616, FIND("Single Cells",B616, 1)))</f>
        <v>#VALUE!</v>
      </c>
    </row>
    <row r="617" customFormat="false" ht="12.75" hidden="false" customHeight="false" outlineLevel="0" collapsed="false">
      <c r="E617" s="34" t="str">
        <f aca="false">MID(B617,9,1)</f>
        <v/>
      </c>
      <c r="F617" s="34" t="str">
        <f aca="false">MID(B617,10,1)</f>
        <v/>
      </c>
      <c r="G617" s="34" t="str">
        <f aca="false">MID(B617,11,1)</f>
        <v/>
      </c>
      <c r="H617" s="35" t="str">
        <f aca="false">IF(G617=".",F617,CONCATENATE(F617,G617))</f>
        <v/>
      </c>
      <c r="I617" s="34" t="n">
        <f aca="false">IFERROR(VALUE(H617),)</f>
        <v>0</v>
      </c>
      <c r="J617" s="34" t="e">
        <f aca="false">RIGHT(B617,LEN(B617)-FIND("/",B617, FIND("Single Cells",B617, 1)))</f>
        <v>#VALUE!</v>
      </c>
    </row>
    <row r="618" customFormat="false" ht="12.75" hidden="false" customHeight="false" outlineLevel="0" collapsed="false">
      <c r="E618" s="34" t="str">
        <f aca="false">MID(B618,9,1)</f>
        <v/>
      </c>
      <c r="F618" s="34" t="str">
        <f aca="false">MID(B618,10,1)</f>
        <v/>
      </c>
      <c r="G618" s="34" t="str">
        <f aca="false">MID(B618,11,1)</f>
        <v/>
      </c>
      <c r="H618" s="35" t="str">
        <f aca="false">IF(G618=".",F618,CONCATENATE(F618,G618))</f>
        <v/>
      </c>
      <c r="I618" s="34" t="n">
        <f aca="false">IFERROR(VALUE(H618),)</f>
        <v>0</v>
      </c>
      <c r="J618" s="34" t="e">
        <f aca="false">RIGHT(B618,LEN(B618)-FIND("/",B618, FIND("Single Cells",B618, 1)))</f>
        <v>#VALUE!</v>
      </c>
    </row>
    <row r="619" customFormat="false" ht="12.75" hidden="false" customHeight="false" outlineLevel="0" collapsed="false">
      <c r="E619" s="34" t="str">
        <f aca="false">MID(B619,9,1)</f>
        <v/>
      </c>
      <c r="F619" s="34" t="str">
        <f aca="false">MID(B619,10,1)</f>
        <v/>
      </c>
      <c r="G619" s="34" t="str">
        <f aca="false">MID(B619,11,1)</f>
        <v/>
      </c>
      <c r="H619" s="35" t="str">
        <f aca="false">IF(G619=".",F619,CONCATENATE(F619,G619))</f>
        <v/>
      </c>
      <c r="I619" s="34" t="n">
        <f aca="false">IFERROR(VALUE(H619),)</f>
        <v>0</v>
      </c>
      <c r="J619" s="34" t="e">
        <f aca="false">RIGHT(B619,LEN(B619)-FIND("/",B619, FIND("Single Cells",B619, 1)))</f>
        <v>#VALUE!</v>
      </c>
    </row>
    <row r="620" customFormat="false" ht="12.75" hidden="false" customHeight="false" outlineLevel="0" collapsed="false">
      <c r="E620" s="34" t="str">
        <f aca="false">MID(B620,9,1)</f>
        <v/>
      </c>
      <c r="F620" s="34" t="str">
        <f aca="false">MID(B620,10,1)</f>
        <v/>
      </c>
      <c r="G620" s="34" t="str">
        <f aca="false">MID(B620,11,1)</f>
        <v/>
      </c>
      <c r="H620" s="35" t="str">
        <f aca="false">IF(G620=".",F620,CONCATENATE(F620,G620))</f>
        <v/>
      </c>
      <c r="I620" s="34" t="n">
        <f aca="false">IFERROR(VALUE(H620),)</f>
        <v>0</v>
      </c>
      <c r="J620" s="34" t="e">
        <f aca="false">RIGHT(B620,LEN(B620)-FIND("/",B620, FIND("Single Cells",B620, 1)))</f>
        <v>#VALUE!</v>
      </c>
    </row>
    <row r="621" customFormat="false" ht="12.75" hidden="false" customHeight="false" outlineLevel="0" collapsed="false">
      <c r="E621" s="34" t="str">
        <f aca="false">MID(B621,9,1)</f>
        <v/>
      </c>
      <c r="F621" s="34" t="str">
        <f aca="false">MID(B621,10,1)</f>
        <v/>
      </c>
      <c r="G621" s="34" t="str">
        <f aca="false">MID(B621,11,1)</f>
        <v/>
      </c>
      <c r="H621" s="35" t="str">
        <f aca="false">IF(G621=".",F621,CONCATENATE(F621,G621))</f>
        <v/>
      </c>
      <c r="I621" s="34" t="n">
        <f aca="false">IFERROR(VALUE(H621),)</f>
        <v>0</v>
      </c>
      <c r="J621" s="34" t="e">
        <f aca="false">RIGHT(B621,LEN(B621)-FIND("/",B621, FIND("Single Cells",B621, 1)))</f>
        <v>#VALUE!</v>
      </c>
    </row>
    <row r="622" customFormat="false" ht="12.75" hidden="false" customHeight="false" outlineLevel="0" collapsed="false">
      <c r="E622" s="34" t="str">
        <f aca="false">MID(B622,9,1)</f>
        <v/>
      </c>
      <c r="F622" s="34" t="str">
        <f aca="false">MID(B622,10,1)</f>
        <v/>
      </c>
      <c r="G622" s="34" t="str">
        <f aca="false">MID(B622,11,1)</f>
        <v/>
      </c>
      <c r="H622" s="35" t="str">
        <f aca="false">IF(G622=".",F622,CONCATENATE(F622,G622))</f>
        <v/>
      </c>
      <c r="I622" s="34" t="n">
        <f aca="false">IFERROR(VALUE(H622),)</f>
        <v>0</v>
      </c>
      <c r="J622" s="34" t="e">
        <f aca="false">RIGHT(B622,LEN(B622)-FIND("/",B622, FIND("Single Cells",B622, 1)))</f>
        <v>#VALUE!</v>
      </c>
    </row>
    <row r="623" customFormat="false" ht="12.75" hidden="false" customHeight="false" outlineLevel="0" collapsed="false">
      <c r="E623" s="34" t="str">
        <f aca="false">MID(B623,9,1)</f>
        <v/>
      </c>
      <c r="F623" s="34" t="str">
        <f aca="false">MID(B623,10,1)</f>
        <v/>
      </c>
      <c r="G623" s="34" t="str">
        <f aca="false">MID(B623,11,1)</f>
        <v/>
      </c>
      <c r="H623" s="35" t="str">
        <f aca="false">IF(G623=".",F623,CONCATENATE(F623,G623))</f>
        <v/>
      </c>
      <c r="I623" s="34" t="n">
        <f aca="false">IFERROR(VALUE(H623),)</f>
        <v>0</v>
      </c>
      <c r="J623" s="34" t="e">
        <f aca="false">RIGHT(B623,LEN(B623)-FIND("/",B623, FIND("Single Cells",B623, 1)))</f>
        <v>#VALUE!</v>
      </c>
    </row>
    <row r="624" customFormat="false" ht="12.75" hidden="false" customHeight="false" outlineLevel="0" collapsed="false">
      <c r="E624" s="34" t="str">
        <f aca="false">MID(B624,9,1)</f>
        <v/>
      </c>
      <c r="F624" s="34" t="str">
        <f aca="false">MID(B624,10,1)</f>
        <v/>
      </c>
      <c r="G624" s="34" t="str">
        <f aca="false">MID(B624,11,1)</f>
        <v/>
      </c>
      <c r="H624" s="35" t="str">
        <f aca="false">IF(G624=".",F624,CONCATENATE(F624,G624))</f>
        <v/>
      </c>
      <c r="I624" s="34" t="n">
        <f aca="false">IFERROR(VALUE(H624),)</f>
        <v>0</v>
      </c>
      <c r="J624" s="34" t="e">
        <f aca="false">RIGHT(B624,LEN(B624)-FIND("/",B624, FIND("Single Cells",B624, 1)))</f>
        <v>#VALUE!</v>
      </c>
    </row>
    <row r="625" customFormat="false" ht="12.75" hidden="false" customHeight="false" outlineLevel="0" collapsed="false">
      <c r="E625" s="34" t="str">
        <f aca="false">MID(B625,9,1)</f>
        <v/>
      </c>
      <c r="F625" s="34" t="str">
        <f aca="false">MID(B625,10,1)</f>
        <v/>
      </c>
      <c r="G625" s="34" t="str">
        <f aca="false">MID(B625,11,1)</f>
        <v/>
      </c>
      <c r="H625" s="35" t="str">
        <f aca="false">IF(G625=".",F625,CONCATENATE(F625,G625))</f>
        <v/>
      </c>
      <c r="I625" s="34" t="n">
        <f aca="false">IFERROR(VALUE(H625),)</f>
        <v>0</v>
      </c>
      <c r="J625" s="34" t="e">
        <f aca="false">RIGHT(B625,LEN(B625)-FIND("/",B625, FIND("Single Cells",B625, 1)))</f>
        <v>#VALUE!</v>
      </c>
    </row>
    <row r="626" customFormat="false" ht="12.75" hidden="false" customHeight="false" outlineLevel="0" collapsed="false">
      <c r="E626" s="34" t="str">
        <f aca="false">MID(B626,9,1)</f>
        <v/>
      </c>
      <c r="F626" s="34" t="str">
        <f aca="false">MID(B626,10,1)</f>
        <v/>
      </c>
      <c r="G626" s="34" t="str">
        <f aca="false">MID(B626,11,1)</f>
        <v/>
      </c>
      <c r="H626" s="35" t="str">
        <f aca="false">IF(G626=".",F626,CONCATENATE(F626,G626))</f>
        <v/>
      </c>
      <c r="I626" s="34" t="n">
        <f aca="false">IFERROR(VALUE(H626),)</f>
        <v>0</v>
      </c>
      <c r="J626" s="34" t="e">
        <f aca="false">RIGHT(B626,LEN(B626)-FIND("/",B626, FIND("Single Cells",B626, 1)))</f>
        <v>#VALUE!</v>
      </c>
    </row>
    <row r="627" customFormat="false" ht="12.75" hidden="false" customHeight="false" outlineLevel="0" collapsed="false">
      <c r="E627" s="34" t="str">
        <f aca="false">MID(B627,9,1)</f>
        <v/>
      </c>
      <c r="F627" s="34" t="str">
        <f aca="false">MID(B627,10,1)</f>
        <v/>
      </c>
      <c r="G627" s="34" t="str">
        <f aca="false">MID(B627,11,1)</f>
        <v/>
      </c>
      <c r="H627" s="35" t="str">
        <f aca="false">IF(G627=".",F627,CONCATENATE(F627,G627))</f>
        <v/>
      </c>
      <c r="I627" s="34" t="n">
        <f aca="false">IFERROR(VALUE(H627),)</f>
        <v>0</v>
      </c>
      <c r="J627" s="34" t="e">
        <f aca="false">RIGHT(B627,LEN(B627)-FIND("/",B627, FIND("Single Cells",B627, 1)))</f>
        <v>#VALUE!</v>
      </c>
    </row>
    <row r="628" customFormat="false" ht="12.75" hidden="false" customHeight="false" outlineLevel="0" collapsed="false">
      <c r="E628" s="34" t="str">
        <f aca="false">MID(B628,9,1)</f>
        <v/>
      </c>
      <c r="F628" s="34" t="str">
        <f aca="false">MID(B628,10,1)</f>
        <v/>
      </c>
      <c r="G628" s="34" t="str">
        <f aca="false">MID(B628,11,1)</f>
        <v/>
      </c>
      <c r="H628" s="35" t="str">
        <f aca="false">IF(G628=".",F628,CONCATENATE(F628,G628))</f>
        <v/>
      </c>
      <c r="I628" s="34" t="n">
        <f aca="false">IFERROR(VALUE(H628),)</f>
        <v>0</v>
      </c>
      <c r="J628" s="34" t="e">
        <f aca="false">RIGHT(B628,LEN(B628)-FIND("/",B628, FIND("Single Cells",B628, 1)))</f>
        <v>#VALUE!</v>
      </c>
    </row>
    <row r="629" customFormat="false" ht="12.75" hidden="false" customHeight="false" outlineLevel="0" collapsed="false">
      <c r="E629" s="34" t="str">
        <f aca="false">MID(B629,9,1)</f>
        <v/>
      </c>
      <c r="F629" s="34" t="str">
        <f aca="false">MID(B629,10,1)</f>
        <v/>
      </c>
      <c r="G629" s="34" t="str">
        <f aca="false">MID(B629,11,1)</f>
        <v/>
      </c>
      <c r="H629" s="35" t="str">
        <f aca="false">IF(G629=".",F629,CONCATENATE(F629,G629))</f>
        <v/>
      </c>
      <c r="I629" s="34" t="n">
        <f aca="false">IFERROR(VALUE(H629),)</f>
        <v>0</v>
      </c>
      <c r="J629" s="34" t="e">
        <f aca="false">RIGHT(B629,LEN(B629)-FIND("/",B629, FIND("Single Cells",B629, 1)))</f>
        <v>#VALUE!</v>
      </c>
    </row>
    <row r="630" customFormat="false" ht="12.75" hidden="false" customHeight="false" outlineLevel="0" collapsed="false">
      <c r="E630" s="34" t="str">
        <f aca="false">MID(B630,9,1)</f>
        <v/>
      </c>
      <c r="F630" s="34" t="str">
        <f aca="false">MID(B630,10,1)</f>
        <v/>
      </c>
      <c r="G630" s="34" t="str">
        <f aca="false">MID(B630,11,1)</f>
        <v/>
      </c>
      <c r="H630" s="35" t="str">
        <f aca="false">IF(G630=".",F630,CONCATENATE(F630,G630))</f>
        <v/>
      </c>
      <c r="I630" s="34" t="n">
        <f aca="false">IFERROR(VALUE(H630),)</f>
        <v>0</v>
      </c>
      <c r="J630" s="34" t="e">
        <f aca="false">RIGHT(B630,LEN(B630)-FIND("/",B630, FIND("Single Cells",B630, 1)))</f>
        <v>#VALUE!</v>
      </c>
    </row>
    <row r="631" customFormat="false" ht="12.75" hidden="false" customHeight="false" outlineLevel="0" collapsed="false">
      <c r="E631" s="34" t="str">
        <f aca="false">MID(B631,9,1)</f>
        <v/>
      </c>
      <c r="F631" s="34" t="str">
        <f aca="false">MID(B631,10,1)</f>
        <v/>
      </c>
      <c r="G631" s="34" t="str">
        <f aca="false">MID(B631,11,1)</f>
        <v/>
      </c>
      <c r="H631" s="35" t="str">
        <f aca="false">IF(G631=".",F631,CONCATENATE(F631,G631))</f>
        <v/>
      </c>
      <c r="I631" s="34" t="n">
        <f aca="false">IFERROR(VALUE(H631),)</f>
        <v>0</v>
      </c>
      <c r="J631" s="34" t="e">
        <f aca="false">RIGHT(B631,LEN(B631)-FIND("/",B631, FIND("Single Cells",B631, 1)))</f>
        <v>#VALUE!</v>
      </c>
    </row>
    <row r="632" customFormat="false" ht="12.75" hidden="false" customHeight="false" outlineLevel="0" collapsed="false">
      <c r="E632" s="34" t="str">
        <f aca="false">MID(B632,9,1)</f>
        <v/>
      </c>
      <c r="F632" s="34" t="str">
        <f aca="false">MID(B632,10,1)</f>
        <v/>
      </c>
      <c r="G632" s="34" t="str">
        <f aca="false">MID(B632,11,1)</f>
        <v/>
      </c>
      <c r="H632" s="35" t="str">
        <f aca="false">IF(G632=".",F632,CONCATENATE(F632,G632))</f>
        <v/>
      </c>
      <c r="I632" s="34" t="n">
        <f aca="false">IFERROR(VALUE(H632),)</f>
        <v>0</v>
      </c>
      <c r="J632" s="34" t="e">
        <f aca="false">RIGHT(B632,LEN(B632)-FIND("/",B632, FIND("Single Cells",B632, 1)))</f>
        <v>#VALUE!</v>
      </c>
    </row>
    <row r="633" customFormat="false" ht="12.75" hidden="false" customHeight="false" outlineLevel="0" collapsed="false">
      <c r="E633" s="34" t="str">
        <f aca="false">MID(B633,9,1)</f>
        <v/>
      </c>
      <c r="F633" s="34" t="str">
        <f aca="false">MID(B633,10,1)</f>
        <v/>
      </c>
      <c r="G633" s="34" t="str">
        <f aca="false">MID(B633,11,1)</f>
        <v/>
      </c>
      <c r="H633" s="35" t="str">
        <f aca="false">IF(G633=".",F633,CONCATENATE(F633,G633))</f>
        <v/>
      </c>
      <c r="I633" s="34" t="n">
        <f aca="false">IFERROR(VALUE(H633),)</f>
        <v>0</v>
      </c>
      <c r="J633" s="34" t="e">
        <f aca="false">RIGHT(B633,LEN(B633)-FIND("/",B633, FIND("Single Cells",B633, 1)))</f>
        <v>#VALUE!</v>
      </c>
    </row>
    <row r="634" customFormat="false" ht="12.75" hidden="false" customHeight="false" outlineLevel="0" collapsed="false">
      <c r="E634" s="34" t="str">
        <f aca="false">MID(B634,9,1)</f>
        <v/>
      </c>
      <c r="F634" s="34" t="str">
        <f aca="false">MID(B634,10,1)</f>
        <v/>
      </c>
      <c r="G634" s="34" t="str">
        <f aca="false">MID(B634,11,1)</f>
        <v/>
      </c>
      <c r="H634" s="35" t="str">
        <f aca="false">IF(G634=".",F634,CONCATENATE(F634,G634))</f>
        <v/>
      </c>
      <c r="I634" s="34" t="n">
        <f aca="false">IFERROR(VALUE(H634),)</f>
        <v>0</v>
      </c>
      <c r="J634" s="34" t="e">
        <f aca="false">RIGHT(B634,LEN(B634)-FIND("/",B634, FIND("Single Cells",B634, 1)))</f>
        <v>#VALUE!</v>
      </c>
    </row>
    <row r="635" customFormat="false" ht="12.75" hidden="false" customHeight="false" outlineLevel="0" collapsed="false">
      <c r="E635" s="34" t="str">
        <f aca="false">MID(B635,9,1)</f>
        <v/>
      </c>
      <c r="F635" s="34" t="str">
        <f aca="false">MID(B635,10,1)</f>
        <v/>
      </c>
      <c r="G635" s="34" t="str">
        <f aca="false">MID(B635,11,1)</f>
        <v/>
      </c>
      <c r="H635" s="35" t="str">
        <f aca="false">IF(G635=".",F635,CONCATENATE(F635,G635))</f>
        <v/>
      </c>
      <c r="I635" s="34" t="n">
        <f aca="false">IFERROR(VALUE(H635),)</f>
        <v>0</v>
      </c>
      <c r="J635" s="34" t="e">
        <f aca="false">RIGHT(B635,LEN(B635)-FIND("/",B635, FIND("Single Cells",B635, 1)))</f>
        <v>#VALUE!</v>
      </c>
    </row>
    <row r="636" customFormat="false" ht="12.75" hidden="false" customHeight="false" outlineLevel="0" collapsed="false">
      <c r="E636" s="34" t="str">
        <f aca="false">MID(B636,9,1)</f>
        <v/>
      </c>
      <c r="F636" s="34" t="str">
        <f aca="false">MID(B636,10,1)</f>
        <v/>
      </c>
      <c r="G636" s="34" t="str">
        <f aca="false">MID(B636,11,1)</f>
        <v/>
      </c>
      <c r="H636" s="35" t="str">
        <f aca="false">IF(G636=".",F636,CONCATENATE(F636,G636))</f>
        <v/>
      </c>
      <c r="I636" s="34" t="n">
        <f aca="false">IFERROR(VALUE(H636),)</f>
        <v>0</v>
      </c>
      <c r="J636" s="34" t="e">
        <f aca="false">RIGHT(B636,LEN(B636)-FIND("/",B636, FIND("Single Cells",B636, 1)))</f>
        <v>#VALUE!</v>
      </c>
    </row>
    <row r="637" customFormat="false" ht="12.75" hidden="false" customHeight="false" outlineLevel="0" collapsed="false">
      <c r="E637" s="34" t="str">
        <f aca="false">MID(B637,9,1)</f>
        <v/>
      </c>
      <c r="F637" s="34" t="str">
        <f aca="false">MID(B637,10,1)</f>
        <v/>
      </c>
      <c r="G637" s="34" t="str">
        <f aca="false">MID(B637,11,1)</f>
        <v/>
      </c>
      <c r="H637" s="35" t="str">
        <f aca="false">IF(G637=".",F637,CONCATENATE(F637,G637))</f>
        <v/>
      </c>
      <c r="I637" s="34" t="n">
        <f aca="false">IFERROR(VALUE(H637),)</f>
        <v>0</v>
      </c>
      <c r="J637" s="34" t="e">
        <f aca="false">RIGHT(B637,LEN(B637)-FIND("/",B637, FIND("Single Cells",B637, 1)))</f>
        <v>#VALUE!</v>
      </c>
    </row>
    <row r="638" customFormat="false" ht="12.75" hidden="false" customHeight="false" outlineLevel="0" collapsed="false">
      <c r="E638" s="34" t="str">
        <f aca="false">MID(B638,9,1)</f>
        <v/>
      </c>
      <c r="F638" s="34" t="str">
        <f aca="false">MID(B638,10,1)</f>
        <v/>
      </c>
      <c r="G638" s="34" t="str">
        <f aca="false">MID(B638,11,1)</f>
        <v/>
      </c>
      <c r="H638" s="35" t="str">
        <f aca="false">IF(G638=".",F638,CONCATENATE(F638,G638))</f>
        <v/>
      </c>
      <c r="I638" s="34" t="n">
        <f aca="false">IFERROR(VALUE(H638),)</f>
        <v>0</v>
      </c>
      <c r="J638" s="34" t="e">
        <f aca="false">RIGHT(B638,LEN(B638)-FIND("/",B638, FIND("Single Cells",B638, 1)))</f>
        <v>#VALUE!</v>
      </c>
    </row>
    <row r="639" customFormat="false" ht="12.75" hidden="false" customHeight="false" outlineLevel="0" collapsed="false">
      <c r="E639" s="34" t="str">
        <f aca="false">MID(B639,9,1)</f>
        <v/>
      </c>
      <c r="F639" s="34" t="str">
        <f aca="false">MID(B639,10,1)</f>
        <v/>
      </c>
      <c r="G639" s="34" t="str">
        <f aca="false">MID(B639,11,1)</f>
        <v/>
      </c>
      <c r="H639" s="35" t="str">
        <f aca="false">IF(G639=".",F639,CONCATENATE(F639,G639))</f>
        <v/>
      </c>
      <c r="I639" s="34" t="n">
        <f aca="false">IFERROR(VALUE(H639),)</f>
        <v>0</v>
      </c>
      <c r="J639" s="34" t="e">
        <f aca="false">RIGHT(B639,LEN(B639)-FIND("/",B639, FIND("Single Cells",B639, 1)))</f>
        <v>#VALUE!</v>
      </c>
    </row>
    <row r="640" customFormat="false" ht="12.75" hidden="false" customHeight="false" outlineLevel="0" collapsed="false">
      <c r="E640" s="34" t="str">
        <f aca="false">MID(B640,9,1)</f>
        <v/>
      </c>
      <c r="F640" s="34" t="str">
        <f aca="false">MID(B640,10,1)</f>
        <v/>
      </c>
      <c r="G640" s="34" t="str">
        <f aca="false">MID(B640,11,1)</f>
        <v/>
      </c>
      <c r="H640" s="35" t="str">
        <f aca="false">IF(G640=".",F640,CONCATENATE(F640,G640))</f>
        <v/>
      </c>
      <c r="I640" s="34" t="n">
        <f aca="false">IFERROR(VALUE(H640),)</f>
        <v>0</v>
      </c>
      <c r="J640" s="34" t="e">
        <f aca="false">RIGHT(B640,LEN(B640)-FIND("/",B640, FIND("Single Cells",B640, 1)))</f>
        <v>#VALUE!</v>
      </c>
    </row>
    <row r="641" customFormat="false" ht="12.75" hidden="false" customHeight="false" outlineLevel="0" collapsed="false">
      <c r="E641" s="34" t="str">
        <f aca="false">MID(B641,9,1)</f>
        <v/>
      </c>
      <c r="F641" s="34" t="str">
        <f aca="false">MID(B641,10,1)</f>
        <v/>
      </c>
      <c r="G641" s="34" t="str">
        <f aca="false">MID(B641,11,1)</f>
        <v/>
      </c>
      <c r="H641" s="35" t="str">
        <f aca="false">IF(G641=".",F641,CONCATENATE(F641,G641))</f>
        <v/>
      </c>
      <c r="I641" s="34" t="n">
        <f aca="false">IFERROR(VALUE(H641),)</f>
        <v>0</v>
      </c>
      <c r="J641" s="34" t="e">
        <f aca="false">RIGHT(B641,LEN(B641)-FIND("/",B641, FIND("Single Cells",B641, 1)))</f>
        <v>#VALUE!</v>
      </c>
    </row>
    <row r="642" customFormat="false" ht="12.75" hidden="false" customHeight="false" outlineLevel="0" collapsed="false">
      <c r="E642" s="34" t="str">
        <f aca="false">MID(B642,9,1)</f>
        <v/>
      </c>
      <c r="F642" s="34" t="str">
        <f aca="false">MID(B642,10,1)</f>
        <v/>
      </c>
      <c r="G642" s="34" t="str">
        <f aca="false">MID(B642,11,1)</f>
        <v/>
      </c>
      <c r="H642" s="35" t="str">
        <f aca="false">IF(G642=".",F642,CONCATENATE(F642,G642))</f>
        <v/>
      </c>
      <c r="I642" s="34" t="n">
        <f aca="false">IFERROR(VALUE(H642),)</f>
        <v>0</v>
      </c>
      <c r="J642" s="34" t="e">
        <f aca="false">RIGHT(B642,LEN(B642)-FIND("/",B642, FIND("Single Cells",B642, 1)))</f>
        <v>#VALUE!</v>
      </c>
    </row>
    <row r="643" customFormat="false" ht="12.75" hidden="false" customHeight="false" outlineLevel="0" collapsed="false">
      <c r="E643" s="34" t="str">
        <f aca="false">MID(B643,9,1)</f>
        <v/>
      </c>
      <c r="F643" s="34" t="str">
        <f aca="false">MID(B643,10,1)</f>
        <v/>
      </c>
      <c r="G643" s="34" t="str">
        <f aca="false">MID(B643,11,1)</f>
        <v/>
      </c>
      <c r="H643" s="35" t="str">
        <f aca="false">IF(G643=".",F643,CONCATENATE(F643,G643))</f>
        <v/>
      </c>
      <c r="I643" s="34" t="n">
        <f aca="false">IFERROR(VALUE(H643),)</f>
        <v>0</v>
      </c>
      <c r="J643" s="34" t="e">
        <f aca="false">RIGHT(B643,LEN(B643)-FIND("/",B643, FIND("Single Cells",B643, 1)))</f>
        <v>#VALUE!</v>
      </c>
    </row>
    <row r="644" customFormat="false" ht="12.75" hidden="false" customHeight="false" outlineLevel="0" collapsed="false">
      <c r="E644" s="34" t="str">
        <f aca="false">MID(B644,9,1)</f>
        <v/>
      </c>
      <c r="F644" s="34" t="str">
        <f aca="false">MID(B644,10,1)</f>
        <v/>
      </c>
      <c r="G644" s="34" t="str">
        <f aca="false">MID(B644,11,1)</f>
        <v/>
      </c>
      <c r="H644" s="35" t="str">
        <f aca="false">IF(G644=".",F644,CONCATENATE(F644,G644))</f>
        <v/>
      </c>
      <c r="I644" s="34" t="n">
        <f aca="false">IFERROR(VALUE(H644),)</f>
        <v>0</v>
      </c>
      <c r="J644" s="34" t="e">
        <f aca="false">RIGHT(B644,LEN(B644)-FIND("/",B644, FIND("Single Cells",B644, 1)))</f>
        <v>#VALUE!</v>
      </c>
    </row>
    <row r="645" customFormat="false" ht="12.75" hidden="false" customHeight="false" outlineLevel="0" collapsed="false">
      <c r="E645" s="34" t="str">
        <f aca="false">MID(B645,9,1)</f>
        <v/>
      </c>
      <c r="F645" s="34" t="str">
        <f aca="false">MID(B645,10,1)</f>
        <v/>
      </c>
      <c r="G645" s="34" t="str">
        <f aca="false">MID(B645,11,1)</f>
        <v/>
      </c>
      <c r="H645" s="35" t="str">
        <f aca="false">IF(G645=".",F645,CONCATENATE(F645,G645))</f>
        <v/>
      </c>
      <c r="I645" s="34" t="n">
        <f aca="false">IFERROR(VALUE(H645),)</f>
        <v>0</v>
      </c>
      <c r="J645" s="34" t="e">
        <f aca="false">RIGHT(B645,LEN(B645)-FIND("/",B645, FIND("Single Cells",B645, 1)))</f>
        <v>#VALUE!</v>
      </c>
    </row>
    <row r="646" customFormat="false" ht="12.75" hidden="false" customHeight="false" outlineLevel="0" collapsed="false">
      <c r="E646" s="34" t="str">
        <f aca="false">MID(B646,9,1)</f>
        <v/>
      </c>
      <c r="F646" s="34" t="str">
        <f aca="false">MID(B646,10,1)</f>
        <v/>
      </c>
      <c r="G646" s="34" t="str">
        <f aca="false">MID(B646,11,1)</f>
        <v/>
      </c>
      <c r="H646" s="35" t="str">
        <f aca="false">IF(G646=".",F646,CONCATENATE(F646,G646))</f>
        <v/>
      </c>
      <c r="I646" s="34" t="n">
        <f aca="false">IFERROR(VALUE(H646),)</f>
        <v>0</v>
      </c>
      <c r="J646" s="34" t="e">
        <f aca="false">RIGHT(B646,LEN(B646)-FIND("/",B646, FIND("Single Cells",B646, 1)))</f>
        <v>#VALUE!</v>
      </c>
    </row>
    <row r="647" customFormat="false" ht="12.75" hidden="false" customHeight="false" outlineLevel="0" collapsed="false">
      <c r="E647" s="34" t="str">
        <f aca="false">MID(B647,9,1)</f>
        <v/>
      </c>
      <c r="F647" s="34" t="str">
        <f aca="false">MID(B647,10,1)</f>
        <v/>
      </c>
      <c r="G647" s="34" t="str">
        <f aca="false">MID(B647,11,1)</f>
        <v/>
      </c>
      <c r="H647" s="35" t="str">
        <f aca="false">IF(G647=".",F647,CONCATENATE(F647,G647))</f>
        <v/>
      </c>
      <c r="I647" s="34" t="n">
        <f aca="false">IFERROR(VALUE(H647),)</f>
        <v>0</v>
      </c>
      <c r="J647" s="34" t="e">
        <f aca="false">RIGHT(B647,LEN(B647)-FIND("/",B647, FIND("Single Cells",B647, 1)))</f>
        <v>#VALUE!</v>
      </c>
    </row>
    <row r="648" customFormat="false" ht="12.75" hidden="false" customHeight="false" outlineLevel="0" collapsed="false">
      <c r="E648" s="34" t="str">
        <f aca="false">MID(B648,9,1)</f>
        <v/>
      </c>
      <c r="F648" s="34" t="str">
        <f aca="false">MID(B648,10,1)</f>
        <v/>
      </c>
      <c r="G648" s="34" t="str">
        <f aca="false">MID(B648,11,1)</f>
        <v/>
      </c>
      <c r="H648" s="35" t="str">
        <f aca="false">IF(G648=".",F648,CONCATENATE(F648,G648))</f>
        <v/>
      </c>
      <c r="I648" s="34" t="n">
        <f aca="false">IFERROR(VALUE(H648),)</f>
        <v>0</v>
      </c>
      <c r="J648" s="34" t="e">
        <f aca="false">RIGHT(B648,LEN(B648)-FIND("/",B648, FIND("Single Cells",B648, 1)))</f>
        <v>#VALUE!</v>
      </c>
    </row>
    <row r="649" customFormat="false" ht="12.75" hidden="false" customHeight="false" outlineLevel="0" collapsed="false">
      <c r="E649" s="34" t="str">
        <f aca="false">MID(B649,9,1)</f>
        <v/>
      </c>
      <c r="F649" s="34" t="str">
        <f aca="false">MID(B649,10,1)</f>
        <v/>
      </c>
      <c r="G649" s="34" t="str">
        <f aca="false">MID(B649,11,1)</f>
        <v/>
      </c>
      <c r="H649" s="35" t="str">
        <f aca="false">IF(G649=".",F649,CONCATENATE(F649,G649))</f>
        <v/>
      </c>
      <c r="I649" s="34" t="n">
        <f aca="false">IFERROR(VALUE(H649),)</f>
        <v>0</v>
      </c>
      <c r="J649" s="34" t="e">
        <f aca="false">RIGHT(B649,LEN(B649)-FIND("/",B649, FIND("Single Cells",B649, 1)))</f>
        <v>#VALUE!</v>
      </c>
    </row>
    <row r="650" customFormat="false" ht="12.75" hidden="false" customHeight="false" outlineLevel="0" collapsed="false">
      <c r="E650" s="34" t="str">
        <f aca="false">MID(B650,9,1)</f>
        <v/>
      </c>
      <c r="F650" s="34" t="str">
        <f aca="false">MID(B650,10,1)</f>
        <v/>
      </c>
      <c r="G650" s="34" t="str">
        <f aca="false">MID(B650,11,1)</f>
        <v/>
      </c>
      <c r="H650" s="35" t="str">
        <f aca="false">IF(G650=".",F650,CONCATENATE(F650,G650))</f>
        <v/>
      </c>
      <c r="I650" s="34" t="n">
        <f aca="false">IFERROR(VALUE(H650),)</f>
        <v>0</v>
      </c>
      <c r="J650" s="34" t="e">
        <f aca="false">RIGHT(B650,LEN(B650)-FIND("/",B650, FIND("Single Cells",B650, 1)))</f>
        <v>#VALUE!</v>
      </c>
    </row>
    <row r="651" customFormat="false" ht="12.75" hidden="false" customHeight="false" outlineLevel="0" collapsed="false">
      <c r="E651" s="34" t="str">
        <f aca="false">MID(B651,9,1)</f>
        <v/>
      </c>
      <c r="F651" s="34" t="str">
        <f aca="false">MID(B651,10,1)</f>
        <v/>
      </c>
      <c r="G651" s="34" t="str">
        <f aca="false">MID(B651,11,1)</f>
        <v/>
      </c>
      <c r="H651" s="35" t="str">
        <f aca="false">IF(G651=".",F651,CONCATENATE(F651,G651))</f>
        <v/>
      </c>
      <c r="I651" s="34" t="n">
        <f aca="false">IFERROR(VALUE(H651),)</f>
        <v>0</v>
      </c>
      <c r="J651" s="34" t="e">
        <f aca="false">RIGHT(B651,LEN(B651)-FIND("/",B651, FIND("Single Cells",B651, 1)))</f>
        <v>#VALUE!</v>
      </c>
    </row>
    <row r="652" customFormat="false" ht="12.75" hidden="false" customHeight="false" outlineLevel="0" collapsed="false">
      <c r="E652" s="34" t="str">
        <f aca="false">MID(B652,9,1)</f>
        <v/>
      </c>
      <c r="F652" s="34" t="str">
        <f aca="false">MID(B652,10,1)</f>
        <v/>
      </c>
      <c r="G652" s="34" t="str">
        <f aca="false">MID(B652,11,1)</f>
        <v/>
      </c>
      <c r="H652" s="35" t="str">
        <f aca="false">IF(G652=".",F652,CONCATENATE(F652,G652))</f>
        <v/>
      </c>
      <c r="I652" s="34" t="n">
        <f aca="false">IFERROR(VALUE(H652),)</f>
        <v>0</v>
      </c>
      <c r="J652" s="34" t="e">
        <f aca="false">RIGHT(B652,LEN(B652)-FIND("/",B652, FIND("Single Cells",B652, 1)))</f>
        <v>#VALUE!</v>
      </c>
    </row>
    <row r="653" customFormat="false" ht="12.75" hidden="false" customHeight="false" outlineLevel="0" collapsed="false">
      <c r="E653" s="34" t="str">
        <f aca="false">MID(B653,9,1)</f>
        <v/>
      </c>
      <c r="F653" s="34" t="str">
        <f aca="false">MID(B653,10,1)</f>
        <v/>
      </c>
      <c r="G653" s="34" t="str">
        <f aca="false">MID(B653,11,1)</f>
        <v/>
      </c>
      <c r="H653" s="35" t="str">
        <f aca="false">IF(G653=".",F653,CONCATENATE(F653,G653))</f>
        <v/>
      </c>
      <c r="I653" s="34" t="n">
        <f aca="false">IFERROR(VALUE(H653),)</f>
        <v>0</v>
      </c>
      <c r="J653" s="34" t="e">
        <f aca="false">RIGHT(B653,LEN(B653)-FIND("/",B653, FIND("Single Cells",B653, 1)))</f>
        <v>#VALUE!</v>
      </c>
    </row>
    <row r="654" customFormat="false" ht="12.75" hidden="false" customHeight="false" outlineLevel="0" collapsed="false">
      <c r="E654" s="34" t="str">
        <f aca="false">MID(B654,9,1)</f>
        <v/>
      </c>
      <c r="F654" s="34" t="str">
        <f aca="false">MID(B654,10,1)</f>
        <v/>
      </c>
      <c r="G654" s="34" t="str">
        <f aca="false">MID(B654,11,1)</f>
        <v/>
      </c>
      <c r="H654" s="35" t="str">
        <f aca="false">IF(G654=".",F654,CONCATENATE(F654,G654))</f>
        <v/>
      </c>
      <c r="I654" s="34" t="n">
        <f aca="false">IFERROR(VALUE(H654),)</f>
        <v>0</v>
      </c>
      <c r="J654" s="34" t="e">
        <f aca="false">RIGHT(B654,LEN(B654)-FIND("/",B654, FIND("Single Cells",B654, 1)))</f>
        <v>#VALUE!</v>
      </c>
    </row>
    <row r="655" customFormat="false" ht="12.75" hidden="false" customHeight="false" outlineLevel="0" collapsed="false">
      <c r="E655" s="34" t="str">
        <f aca="false">MID(B655,9,1)</f>
        <v/>
      </c>
      <c r="F655" s="34" t="str">
        <f aca="false">MID(B655,10,1)</f>
        <v/>
      </c>
      <c r="G655" s="34" t="str">
        <f aca="false">MID(B655,11,1)</f>
        <v/>
      </c>
      <c r="H655" s="35" t="str">
        <f aca="false">IF(G655=".",F655,CONCATENATE(F655,G655))</f>
        <v/>
      </c>
      <c r="I655" s="34" t="n">
        <f aca="false">IFERROR(VALUE(H655),)</f>
        <v>0</v>
      </c>
      <c r="J655" s="34" t="e">
        <f aca="false">RIGHT(B655,LEN(B655)-FIND("/",B655, FIND("Single Cells",B655, 1)))</f>
        <v>#VALUE!</v>
      </c>
    </row>
    <row r="656" customFormat="false" ht="12.75" hidden="false" customHeight="false" outlineLevel="0" collapsed="false">
      <c r="E656" s="34" t="str">
        <f aca="false">MID(B656,9,1)</f>
        <v/>
      </c>
      <c r="F656" s="34" t="str">
        <f aca="false">MID(B656,10,1)</f>
        <v/>
      </c>
      <c r="G656" s="34" t="str">
        <f aca="false">MID(B656,11,1)</f>
        <v/>
      </c>
      <c r="H656" s="35" t="str">
        <f aca="false">IF(G656=".",F656,CONCATENATE(F656,G656))</f>
        <v/>
      </c>
      <c r="I656" s="34" t="n">
        <f aca="false">IFERROR(VALUE(H656),)</f>
        <v>0</v>
      </c>
      <c r="J656" s="34" t="e">
        <f aca="false">RIGHT(B656,LEN(B656)-FIND("/",B656, FIND("Single Cells",B656, 1)))</f>
        <v>#VALUE!</v>
      </c>
    </row>
    <row r="657" customFormat="false" ht="12.75" hidden="false" customHeight="false" outlineLevel="0" collapsed="false">
      <c r="E657" s="34" t="str">
        <f aca="false">MID(B657,9,1)</f>
        <v/>
      </c>
      <c r="F657" s="34" t="str">
        <f aca="false">MID(B657,10,1)</f>
        <v/>
      </c>
      <c r="G657" s="34" t="str">
        <f aca="false">MID(B657,11,1)</f>
        <v/>
      </c>
      <c r="H657" s="35" t="str">
        <f aca="false">IF(G657=".",F657,CONCATENATE(F657,G657))</f>
        <v/>
      </c>
      <c r="I657" s="34" t="n">
        <f aca="false">IFERROR(VALUE(H657),)</f>
        <v>0</v>
      </c>
      <c r="J657" s="34" t="e">
        <f aca="false">RIGHT(B657,LEN(B657)-FIND("/",B657, FIND("Single Cells",B657, 1)))</f>
        <v>#VALUE!</v>
      </c>
    </row>
    <row r="658" customFormat="false" ht="12.75" hidden="false" customHeight="false" outlineLevel="0" collapsed="false">
      <c r="E658" s="34" t="str">
        <f aca="false">MID(B658,9,1)</f>
        <v/>
      </c>
      <c r="F658" s="34" t="str">
        <f aca="false">MID(B658,10,1)</f>
        <v/>
      </c>
      <c r="G658" s="34" t="str">
        <f aca="false">MID(B658,11,1)</f>
        <v/>
      </c>
      <c r="H658" s="35" t="str">
        <f aca="false">IF(G658=".",F658,CONCATENATE(F658,G658))</f>
        <v/>
      </c>
      <c r="I658" s="34" t="n">
        <f aca="false">IFERROR(VALUE(H658),)</f>
        <v>0</v>
      </c>
      <c r="J658" s="34" t="e">
        <f aca="false">RIGHT(B658,LEN(B658)-FIND("/",B658, FIND("Single Cells",B658, 1)))</f>
        <v>#VALUE!</v>
      </c>
    </row>
    <row r="659" customFormat="false" ht="12.75" hidden="false" customHeight="false" outlineLevel="0" collapsed="false">
      <c r="E659" s="34" t="str">
        <f aca="false">MID(B659,9,1)</f>
        <v/>
      </c>
      <c r="F659" s="34" t="str">
        <f aca="false">MID(B659,10,1)</f>
        <v/>
      </c>
      <c r="G659" s="34" t="str">
        <f aca="false">MID(B659,11,1)</f>
        <v/>
      </c>
      <c r="H659" s="35" t="str">
        <f aca="false">IF(G659=".",F659,CONCATENATE(F659,G659))</f>
        <v/>
      </c>
      <c r="I659" s="34" t="n">
        <f aca="false">IFERROR(VALUE(H659),)</f>
        <v>0</v>
      </c>
      <c r="J659" s="34" t="e">
        <f aca="false">RIGHT(B659,LEN(B659)-FIND("/",B659, FIND("Single Cells",B659, 1)))</f>
        <v>#VALUE!</v>
      </c>
    </row>
    <row r="660" customFormat="false" ht="12.75" hidden="false" customHeight="false" outlineLevel="0" collapsed="false">
      <c r="E660" s="34" t="str">
        <f aca="false">MID(B660,9,1)</f>
        <v/>
      </c>
      <c r="F660" s="34" t="str">
        <f aca="false">MID(B660,10,1)</f>
        <v/>
      </c>
      <c r="G660" s="34" t="str">
        <f aca="false">MID(B660,11,1)</f>
        <v/>
      </c>
      <c r="H660" s="35" t="str">
        <f aca="false">IF(G660=".",F660,CONCATENATE(F660,G660))</f>
        <v/>
      </c>
      <c r="I660" s="34" t="n">
        <f aca="false">IFERROR(VALUE(H660),)</f>
        <v>0</v>
      </c>
      <c r="J660" s="34" t="e">
        <f aca="false">RIGHT(B660,LEN(B660)-FIND("/",B660, FIND("Single Cells",B660, 1)))</f>
        <v>#VALUE!</v>
      </c>
    </row>
    <row r="661" customFormat="false" ht="12.75" hidden="false" customHeight="false" outlineLevel="0" collapsed="false">
      <c r="E661" s="34" t="str">
        <f aca="false">MID(B661,9,1)</f>
        <v/>
      </c>
      <c r="F661" s="34" t="str">
        <f aca="false">MID(B661,10,1)</f>
        <v/>
      </c>
      <c r="G661" s="34" t="str">
        <f aca="false">MID(B661,11,1)</f>
        <v/>
      </c>
      <c r="H661" s="35" t="str">
        <f aca="false">IF(G661=".",F661,CONCATENATE(F661,G661))</f>
        <v/>
      </c>
      <c r="I661" s="34" t="n">
        <f aca="false">IFERROR(VALUE(H661),)</f>
        <v>0</v>
      </c>
      <c r="J661" s="34" t="e">
        <f aca="false">RIGHT(B661,LEN(B661)-FIND("/",B661, FIND("Single Cells",B661, 1)))</f>
        <v>#VALUE!</v>
      </c>
    </row>
    <row r="662" customFormat="false" ht="12.75" hidden="false" customHeight="false" outlineLevel="0" collapsed="false">
      <c r="E662" s="34" t="str">
        <f aca="false">MID(B662,9,1)</f>
        <v/>
      </c>
      <c r="F662" s="34" t="str">
        <f aca="false">MID(B662,10,1)</f>
        <v/>
      </c>
      <c r="G662" s="34" t="str">
        <f aca="false">MID(B662,11,1)</f>
        <v/>
      </c>
      <c r="H662" s="35" t="str">
        <f aca="false">IF(G662=".",F662,CONCATENATE(F662,G662))</f>
        <v/>
      </c>
      <c r="I662" s="34" t="n">
        <f aca="false">IFERROR(VALUE(H662),)</f>
        <v>0</v>
      </c>
      <c r="J662" s="34" t="e">
        <f aca="false">RIGHT(B662,LEN(B662)-FIND("/",B662, FIND("Single Cells",B662, 1)))</f>
        <v>#VALUE!</v>
      </c>
    </row>
    <row r="663" customFormat="false" ht="12.75" hidden="false" customHeight="false" outlineLevel="0" collapsed="false">
      <c r="E663" s="34" t="str">
        <f aca="false">MID(B663,9,1)</f>
        <v/>
      </c>
      <c r="F663" s="34" t="str">
        <f aca="false">MID(B663,10,1)</f>
        <v/>
      </c>
      <c r="G663" s="34" t="str">
        <f aca="false">MID(B663,11,1)</f>
        <v/>
      </c>
      <c r="H663" s="35" t="str">
        <f aca="false">IF(G663=".",F663,CONCATENATE(F663,G663))</f>
        <v/>
      </c>
      <c r="I663" s="34" t="n">
        <f aca="false">IFERROR(VALUE(H663),)</f>
        <v>0</v>
      </c>
      <c r="J663" s="34" t="e">
        <f aca="false">RIGHT(B663,LEN(B663)-FIND("/",B663, FIND("Single Cells",B663, 1)))</f>
        <v>#VALUE!</v>
      </c>
    </row>
    <row r="664" customFormat="false" ht="12.75" hidden="false" customHeight="false" outlineLevel="0" collapsed="false">
      <c r="E664" s="34" t="str">
        <f aca="false">MID(B664,9,1)</f>
        <v/>
      </c>
      <c r="F664" s="34" t="str">
        <f aca="false">MID(B664,10,1)</f>
        <v/>
      </c>
      <c r="G664" s="34" t="str">
        <f aca="false">MID(B664,11,1)</f>
        <v/>
      </c>
      <c r="H664" s="35" t="str">
        <f aca="false">IF(G664=".",F664,CONCATENATE(F664,G664))</f>
        <v/>
      </c>
      <c r="I664" s="34" t="n">
        <f aca="false">IFERROR(VALUE(H664),)</f>
        <v>0</v>
      </c>
      <c r="J664" s="34" t="e">
        <f aca="false">RIGHT(B664,LEN(B664)-FIND("/",B664, FIND("Single Cells",B664, 1)))</f>
        <v>#VALUE!</v>
      </c>
    </row>
    <row r="665" customFormat="false" ht="12.75" hidden="false" customHeight="false" outlineLevel="0" collapsed="false">
      <c r="E665" s="34" t="str">
        <f aca="false">MID(B665,9,1)</f>
        <v/>
      </c>
      <c r="F665" s="34" t="str">
        <f aca="false">MID(B665,10,1)</f>
        <v/>
      </c>
      <c r="G665" s="34" t="str">
        <f aca="false">MID(B665,11,1)</f>
        <v/>
      </c>
      <c r="H665" s="35" t="str">
        <f aca="false">IF(G665=".",F665,CONCATENATE(F665,G665))</f>
        <v/>
      </c>
      <c r="I665" s="34" t="n">
        <f aca="false">IFERROR(VALUE(H665),)</f>
        <v>0</v>
      </c>
      <c r="J665" s="34" t="e">
        <f aca="false">RIGHT(B665,LEN(B665)-FIND("/",B665, FIND("Single Cells",B665, 1)))</f>
        <v>#VALUE!</v>
      </c>
    </row>
    <row r="666" customFormat="false" ht="12.75" hidden="false" customHeight="false" outlineLevel="0" collapsed="false">
      <c r="E666" s="34" t="str">
        <f aca="false">MID(B666,9,1)</f>
        <v/>
      </c>
      <c r="F666" s="34" t="str">
        <f aca="false">MID(B666,10,1)</f>
        <v/>
      </c>
      <c r="G666" s="34" t="str">
        <f aca="false">MID(B666,11,1)</f>
        <v/>
      </c>
      <c r="H666" s="35" t="str">
        <f aca="false">IF(G666=".",F666,CONCATENATE(F666,G666))</f>
        <v/>
      </c>
      <c r="I666" s="34" t="n">
        <f aca="false">IFERROR(VALUE(H666),)</f>
        <v>0</v>
      </c>
      <c r="J666" s="34" t="e">
        <f aca="false">RIGHT(B666,LEN(B666)-FIND("/",B666, FIND("Single Cells",B666, 1)))</f>
        <v>#VALUE!</v>
      </c>
    </row>
    <row r="667" customFormat="false" ht="12.75" hidden="false" customHeight="false" outlineLevel="0" collapsed="false">
      <c r="E667" s="34" t="str">
        <f aca="false">MID(B667,9,1)</f>
        <v/>
      </c>
      <c r="F667" s="34" t="str">
        <f aca="false">MID(B667,10,1)</f>
        <v/>
      </c>
      <c r="G667" s="34" t="str">
        <f aca="false">MID(B667,11,1)</f>
        <v/>
      </c>
      <c r="H667" s="35" t="str">
        <f aca="false">IF(G667=".",F667,CONCATENATE(F667,G667))</f>
        <v/>
      </c>
      <c r="I667" s="34" t="n">
        <f aca="false">IFERROR(VALUE(H667),)</f>
        <v>0</v>
      </c>
      <c r="J667" s="34" t="e">
        <f aca="false">RIGHT(B667,LEN(B667)-FIND("/",B667, FIND("Single Cells",B667, 1)))</f>
        <v>#VALUE!</v>
      </c>
    </row>
    <row r="668" customFormat="false" ht="12.75" hidden="false" customHeight="false" outlineLevel="0" collapsed="false">
      <c r="E668" s="34" t="str">
        <f aca="false">MID(B668,9,1)</f>
        <v/>
      </c>
      <c r="F668" s="34" t="str">
        <f aca="false">MID(B668,10,1)</f>
        <v/>
      </c>
      <c r="G668" s="34" t="str">
        <f aca="false">MID(B668,11,1)</f>
        <v/>
      </c>
      <c r="H668" s="35" t="str">
        <f aca="false">IF(G668=".",F668,CONCATENATE(F668,G668))</f>
        <v/>
      </c>
      <c r="I668" s="34" t="n">
        <f aca="false">IFERROR(VALUE(H668),)</f>
        <v>0</v>
      </c>
      <c r="J668" s="34" t="e">
        <f aca="false">RIGHT(B668,LEN(B668)-FIND("/",B668, FIND("Single Cells",B668, 1)))</f>
        <v>#VALUE!</v>
      </c>
    </row>
    <row r="669" customFormat="false" ht="12.75" hidden="false" customHeight="false" outlineLevel="0" collapsed="false">
      <c r="E669" s="34" t="str">
        <f aca="false">MID(B669,9,1)</f>
        <v/>
      </c>
      <c r="F669" s="34" t="str">
        <f aca="false">MID(B669,10,1)</f>
        <v/>
      </c>
      <c r="G669" s="34" t="str">
        <f aca="false">MID(B669,11,1)</f>
        <v/>
      </c>
      <c r="H669" s="35" t="str">
        <f aca="false">IF(G669=".",F669,CONCATENATE(F669,G669))</f>
        <v/>
      </c>
      <c r="I669" s="34" t="n">
        <f aca="false">IFERROR(VALUE(H669),)</f>
        <v>0</v>
      </c>
      <c r="J669" s="34" t="e">
        <f aca="false">RIGHT(B669,LEN(B669)-FIND("/",B669, FIND("Single Cells",B669, 1)))</f>
        <v>#VALUE!</v>
      </c>
    </row>
    <row r="670" customFormat="false" ht="12.75" hidden="false" customHeight="false" outlineLevel="0" collapsed="false">
      <c r="E670" s="34" t="str">
        <f aca="false">MID(B670,9,1)</f>
        <v/>
      </c>
      <c r="F670" s="34" t="str">
        <f aca="false">MID(B670,10,1)</f>
        <v/>
      </c>
      <c r="G670" s="34" t="str">
        <f aca="false">MID(B670,11,1)</f>
        <v/>
      </c>
      <c r="H670" s="35" t="str">
        <f aca="false">IF(G670=".",F670,CONCATENATE(F670,G670))</f>
        <v/>
      </c>
      <c r="I670" s="34" t="n">
        <f aca="false">IFERROR(VALUE(H670),)</f>
        <v>0</v>
      </c>
      <c r="J670" s="34" t="e">
        <f aca="false">RIGHT(B670,LEN(B670)-FIND("/",B670, FIND("Single Cells",B670, 1)))</f>
        <v>#VALUE!</v>
      </c>
    </row>
    <row r="671" customFormat="false" ht="12.75" hidden="false" customHeight="false" outlineLevel="0" collapsed="false">
      <c r="E671" s="34" t="str">
        <f aca="false">MID(B671,9,1)</f>
        <v/>
      </c>
      <c r="F671" s="34" t="str">
        <f aca="false">MID(B671,10,1)</f>
        <v/>
      </c>
      <c r="G671" s="34" t="str">
        <f aca="false">MID(B671,11,1)</f>
        <v/>
      </c>
      <c r="H671" s="35" t="str">
        <f aca="false">IF(G671=".",F671,CONCATENATE(F671,G671))</f>
        <v/>
      </c>
      <c r="I671" s="34" t="n">
        <f aca="false">IFERROR(VALUE(H671),)</f>
        <v>0</v>
      </c>
      <c r="J671" s="34" t="e">
        <f aca="false">RIGHT(B671,LEN(B671)-FIND("/",B671, FIND("Single Cells",B671, 1)))</f>
        <v>#VALUE!</v>
      </c>
    </row>
    <row r="672" customFormat="false" ht="12.75" hidden="false" customHeight="false" outlineLevel="0" collapsed="false">
      <c r="E672" s="34" t="str">
        <f aca="false">MID(B672,9,1)</f>
        <v/>
      </c>
      <c r="F672" s="34" t="str">
        <f aca="false">MID(B672,10,1)</f>
        <v/>
      </c>
      <c r="G672" s="34" t="str">
        <f aca="false">MID(B672,11,1)</f>
        <v/>
      </c>
      <c r="H672" s="35" t="str">
        <f aca="false">IF(G672=".",F672,CONCATENATE(F672,G672))</f>
        <v/>
      </c>
      <c r="I672" s="34" t="n">
        <f aca="false">IFERROR(VALUE(H672),)</f>
        <v>0</v>
      </c>
      <c r="J672" s="34" t="e">
        <f aca="false">RIGHT(B672,LEN(B672)-FIND("/",B672, FIND("Single Cells",B672, 1)))</f>
        <v>#VALUE!</v>
      </c>
    </row>
    <row r="673" customFormat="false" ht="12.75" hidden="false" customHeight="false" outlineLevel="0" collapsed="false">
      <c r="E673" s="34" t="str">
        <f aca="false">MID(B673,9,1)</f>
        <v/>
      </c>
      <c r="F673" s="34" t="str">
        <f aca="false">MID(B673,10,1)</f>
        <v/>
      </c>
      <c r="G673" s="34" t="str">
        <f aca="false">MID(B673,11,1)</f>
        <v/>
      </c>
      <c r="H673" s="35" t="str">
        <f aca="false">IF(G673=".",F673,CONCATENATE(F673,G673))</f>
        <v/>
      </c>
      <c r="I673" s="34" t="n">
        <f aca="false">IFERROR(VALUE(H673),)</f>
        <v>0</v>
      </c>
      <c r="J673" s="34" t="e">
        <f aca="false">RIGHT(B673,LEN(B673)-FIND("/",B673, FIND("Single Cells",B673, 1)))</f>
        <v>#VALUE!</v>
      </c>
    </row>
    <row r="674" customFormat="false" ht="12.75" hidden="false" customHeight="false" outlineLevel="0" collapsed="false">
      <c r="E674" s="34" t="str">
        <f aca="false">MID(B674,9,1)</f>
        <v/>
      </c>
      <c r="F674" s="34" t="str">
        <f aca="false">MID(B674,10,1)</f>
        <v/>
      </c>
      <c r="G674" s="34" t="str">
        <f aca="false">MID(B674,11,1)</f>
        <v/>
      </c>
      <c r="H674" s="35" t="str">
        <f aca="false">IF(G674=".",F674,CONCATENATE(F674,G674))</f>
        <v/>
      </c>
      <c r="I674" s="34" t="n">
        <f aca="false">IFERROR(VALUE(H674),)</f>
        <v>0</v>
      </c>
      <c r="J674" s="34" t="e">
        <f aca="false">RIGHT(B674,LEN(B674)-FIND("/",B674, FIND("Single Cells",B674, 1)))</f>
        <v>#VALUE!</v>
      </c>
    </row>
    <row r="675" customFormat="false" ht="12.75" hidden="false" customHeight="false" outlineLevel="0" collapsed="false">
      <c r="E675" s="34" t="str">
        <f aca="false">MID(B675,9,1)</f>
        <v/>
      </c>
      <c r="F675" s="34" t="str">
        <f aca="false">MID(B675,10,1)</f>
        <v/>
      </c>
      <c r="G675" s="34" t="str">
        <f aca="false">MID(B675,11,1)</f>
        <v/>
      </c>
      <c r="H675" s="35" t="str">
        <f aca="false">IF(G675=".",F675,CONCATENATE(F675,G675))</f>
        <v/>
      </c>
      <c r="I675" s="34" t="n">
        <f aca="false">IFERROR(VALUE(H675),)</f>
        <v>0</v>
      </c>
      <c r="J675" s="34" t="e">
        <f aca="false">RIGHT(B675,LEN(B675)-FIND("/",B675, FIND("Single Cells",B675, 1)))</f>
        <v>#VALUE!</v>
      </c>
    </row>
    <row r="676" customFormat="false" ht="12.75" hidden="false" customHeight="false" outlineLevel="0" collapsed="false">
      <c r="E676" s="34" t="str">
        <f aca="false">MID(B676,9,1)</f>
        <v/>
      </c>
      <c r="F676" s="34" t="str">
        <f aca="false">MID(B676,10,1)</f>
        <v/>
      </c>
      <c r="G676" s="34" t="str">
        <f aca="false">MID(B676,11,1)</f>
        <v/>
      </c>
      <c r="H676" s="35" t="str">
        <f aca="false">IF(G676=".",F676,CONCATENATE(F676,G676))</f>
        <v/>
      </c>
      <c r="I676" s="34" t="n">
        <f aca="false">IFERROR(VALUE(H676),)</f>
        <v>0</v>
      </c>
      <c r="J676" s="34" t="e">
        <f aca="false">RIGHT(B676,LEN(B676)-FIND("/",B676, FIND("Single Cells",B676, 1)))</f>
        <v>#VALUE!</v>
      </c>
    </row>
    <row r="677" customFormat="false" ht="12.75" hidden="false" customHeight="false" outlineLevel="0" collapsed="false">
      <c r="E677" s="34" t="str">
        <f aca="false">MID(B677,9,1)</f>
        <v/>
      </c>
      <c r="F677" s="34" t="str">
        <f aca="false">MID(B677,10,1)</f>
        <v/>
      </c>
      <c r="G677" s="34" t="str">
        <f aca="false">MID(B677,11,1)</f>
        <v/>
      </c>
      <c r="H677" s="35" t="str">
        <f aca="false">IF(G677=".",F677,CONCATENATE(F677,G677))</f>
        <v/>
      </c>
      <c r="I677" s="34" t="n">
        <f aca="false">IFERROR(VALUE(H677),)</f>
        <v>0</v>
      </c>
      <c r="J677" s="34" t="e">
        <f aca="false">RIGHT(B677,LEN(B677)-FIND("/",B677, FIND("Single Cells",B677, 1)))</f>
        <v>#VALUE!</v>
      </c>
    </row>
    <row r="678" customFormat="false" ht="12.75" hidden="false" customHeight="false" outlineLevel="0" collapsed="false">
      <c r="E678" s="34" t="str">
        <f aca="false">MID(B678,9,1)</f>
        <v/>
      </c>
      <c r="F678" s="34" t="str">
        <f aca="false">MID(B678,10,1)</f>
        <v/>
      </c>
      <c r="G678" s="34" t="str">
        <f aca="false">MID(B678,11,1)</f>
        <v/>
      </c>
      <c r="H678" s="35" t="str">
        <f aca="false">IF(G678=".",F678,CONCATENATE(F678,G678))</f>
        <v/>
      </c>
      <c r="I678" s="34" t="n">
        <f aca="false">IFERROR(VALUE(H678),)</f>
        <v>0</v>
      </c>
      <c r="J678" s="34" t="e">
        <f aca="false">RIGHT(B678,LEN(B678)-FIND("/",B678, FIND("Single Cells",B678, 1)))</f>
        <v>#VALUE!</v>
      </c>
    </row>
    <row r="679" customFormat="false" ht="12.75" hidden="false" customHeight="false" outlineLevel="0" collapsed="false">
      <c r="E679" s="34" t="str">
        <f aca="false">MID(B679,9,1)</f>
        <v/>
      </c>
      <c r="F679" s="34" t="str">
        <f aca="false">MID(B679,10,1)</f>
        <v/>
      </c>
      <c r="G679" s="34" t="str">
        <f aca="false">MID(B679,11,1)</f>
        <v/>
      </c>
      <c r="H679" s="35" t="str">
        <f aca="false">IF(G679=".",F679,CONCATENATE(F679,G679))</f>
        <v/>
      </c>
      <c r="I679" s="34" t="n">
        <f aca="false">IFERROR(VALUE(H679),)</f>
        <v>0</v>
      </c>
      <c r="J679" s="34" t="e">
        <f aca="false">RIGHT(B679,LEN(B679)-FIND("/",B679, FIND("Single Cells",B679, 1)))</f>
        <v>#VALUE!</v>
      </c>
    </row>
    <row r="680" customFormat="false" ht="12.75" hidden="false" customHeight="false" outlineLevel="0" collapsed="false">
      <c r="E680" s="34" t="str">
        <f aca="false">MID(B680,9,1)</f>
        <v/>
      </c>
      <c r="F680" s="34" t="str">
        <f aca="false">MID(B680,10,1)</f>
        <v/>
      </c>
      <c r="G680" s="34" t="str">
        <f aca="false">MID(B680,11,1)</f>
        <v/>
      </c>
      <c r="H680" s="35" t="str">
        <f aca="false">IF(G680=".",F680,CONCATENATE(F680,G680))</f>
        <v/>
      </c>
      <c r="I680" s="34" t="n">
        <f aca="false">IFERROR(VALUE(H680),)</f>
        <v>0</v>
      </c>
      <c r="J680" s="34" t="e">
        <f aca="false">RIGHT(B680,LEN(B680)-FIND("/",B680, FIND("Single Cells",B680, 1)))</f>
        <v>#VALUE!</v>
      </c>
    </row>
    <row r="681" customFormat="false" ht="12.75" hidden="false" customHeight="false" outlineLevel="0" collapsed="false">
      <c r="E681" s="34" t="str">
        <f aca="false">MID(B681,9,1)</f>
        <v/>
      </c>
      <c r="F681" s="34" t="str">
        <f aca="false">MID(B681,10,1)</f>
        <v/>
      </c>
      <c r="G681" s="34" t="str">
        <f aca="false">MID(B681,11,1)</f>
        <v/>
      </c>
      <c r="H681" s="35" t="str">
        <f aca="false">IF(G681=".",F681,CONCATENATE(F681,G681))</f>
        <v/>
      </c>
      <c r="I681" s="34" t="n">
        <f aca="false">IFERROR(VALUE(H681),)</f>
        <v>0</v>
      </c>
      <c r="J681" s="34" t="e">
        <f aca="false">RIGHT(B681,LEN(B681)-FIND("/",B681, FIND("Single Cells",B681, 1)))</f>
        <v>#VALUE!</v>
      </c>
    </row>
    <row r="682" customFormat="false" ht="12.75" hidden="false" customHeight="false" outlineLevel="0" collapsed="false">
      <c r="E682" s="34" t="str">
        <f aca="false">MID(B682,9,1)</f>
        <v/>
      </c>
      <c r="F682" s="34" t="str">
        <f aca="false">MID(B682,10,1)</f>
        <v/>
      </c>
      <c r="G682" s="34" t="str">
        <f aca="false">MID(B682,11,1)</f>
        <v/>
      </c>
      <c r="H682" s="35" t="str">
        <f aca="false">IF(G682=".",F682,CONCATENATE(F682,G682))</f>
        <v/>
      </c>
      <c r="I682" s="34" t="n">
        <f aca="false">IFERROR(VALUE(H682),)</f>
        <v>0</v>
      </c>
      <c r="J682" s="34" t="e">
        <f aca="false">RIGHT(B682,LEN(B682)-FIND("/",B682, FIND("Single Cells",B682, 1)))</f>
        <v>#VALUE!</v>
      </c>
    </row>
    <row r="683" customFormat="false" ht="12.75" hidden="false" customHeight="false" outlineLevel="0" collapsed="false">
      <c r="E683" s="34" t="str">
        <f aca="false">MID(B683,9,1)</f>
        <v/>
      </c>
      <c r="F683" s="34" t="str">
        <f aca="false">MID(B683,10,1)</f>
        <v/>
      </c>
      <c r="G683" s="34" t="str">
        <f aca="false">MID(B683,11,1)</f>
        <v/>
      </c>
      <c r="H683" s="35" t="str">
        <f aca="false">IF(G683=".",F683,CONCATENATE(F683,G683))</f>
        <v/>
      </c>
      <c r="I683" s="34" t="n">
        <f aca="false">IFERROR(VALUE(H683),)</f>
        <v>0</v>
      </c>
      <c r="J683" s="34" t="e">
        <f aca="false">RIGHT(B683,LEN(B683)-FIND("/",B683, FIND("Single Cells",B683, 1)))</f>
        <v>#VALUE!</v>
      </c>
    </row>
    <row r="684" customFormat="false" ht="12.75" hidden="false" customHeight="false" outlineLevel="0" collapsed="false">
      <c r="E684" s="34" t="str">
        <f aca="false">MID(B684,9,1)</f>
        <v/>
      </c>
      <c r="F684" s="34" t="str">
        <f aca="false">MID(B684,10,1)</f>
        <v/>
      </c>
      <c r="G684" s="34" t="str">
        <f aca="false">MID(B684,11,1)</f>
        <v/>
      </c>
      <c r="H684" s="35" t="str">
        <f aca="false">IF(G684=".",F684,CONCATENATE(F684,G684))</f>
        <v/>
      </c>
      <c r="I684" s="34" t="n">
        <f aca="false">IFERROR(VALUE(H684),)</f>
        <v>0</v>
      </c>
      <c r="J684" s="34" t="e">
        <f aca="false">RIGHT(B684,LEN(B684)-FIND("/",B684, FIND("Single Cells",B684, 1)))</f>
        <v>#VALUE!</v>
      </c>
    </row>
    <row r="685" customFormat="false" ht="12.75" hidden="false" customHeight="false" outlineLevel="0" collapsed="false">
      <c r="E685" s="34" t="str">
        <f aca="false">MID(B685,9,1)</f>
        <v/>
      </c>
      <c r="F685" s="34" t="str">
        <f aca="false">MID(B685,10,1)</f>
        <v/>
      </c>
      <c r="G685" s="34" t="str">
        <f aca="false">MID(B685,11,1)</f>
        <v/>
      </c>
      <c r="H685" s="35" t="str">
        <f aca="false">IF(G685=".",F685,CONCATENATE(F685,G685))</f>
        <v/>
      </c>
      <c r="I685" s="34" t="n">
        <f aca="false">IFERROR(VALUE(H685),)</f>
        <v>0</v>
      </c>
      <c r="J685" s="34" t="e">
        <f aca="false">RIGHT(B685,LEN(B685)-FIND("/",B685, FIND("Single Cells",B685, 1)))</f>
        <v>#VALUE!</v>
      </c>
    </row>
    <row r="686" customFormat="false" ht="12.75" hidden="false" customHeight="false" outlineLevel="0" collapsed="false">
      <c r="E686" s="34" t="str">
        <f aca="false">MID(B686,9,1)</f>
        <v/>
      </c>
      <c r="F686" s="34" t="str">
        <f aca="false">MID(B686,10,1)</f>
        <v/>
      </c>
      <c r="G686" s="34" t="str">
        <f aca="false">MID(B686,11,1)</f>
        <v/>
      </c>
      <c r="H686" s="35" t="str">
        <f aca="false">IF(G686=".",F686,CONCATENATE(F686,G686))</f>
        <v/>
      </c>
      <c r="I686" s="34" t="n">
        <f aca="false">IFERROR(VALUE(H686),)</f>
        <v>0</v>
      </c>
      <c r="J686" s="34" t="e">
        <f aca="false">RIGHT(B686,LEN(B686)-FIND("/",B686, FIND("Single Cells",B686, 1)))</f>
        <v>#VALUE!</v>
      </c>
    </row>
    <row r="687" customFormat="false" ht="12.75" hidden="false" customHeight="false" outlineLevel="0" collapsed="false">
      <c r="E687" s="34" t="str">
        <f aca="false">MID(B687,9,1)</f>
        <v/>
      </c>
      <c r="F687" s="34" t="str">
        <f aca="false">MID(B687,10,1)</f>
        <v/>
      </c>
      <c r="G687" s="34" t="str">
        <f aca="false">MID(B687,11,1)</f>
        <v/>
      </c>
      <c r="H687" s="35" t="str">
        <f aca="false">IF(G687=".",F687,CONCATENATE(F687,G687))</f>
        <v/>
      </c>
      <c r="I687" s="34" t="n">
        <f aca="false">IFERROR(VALUE(H687),)</f>
        <v>0</v>
      </c>
      <c r="J687" s="34" t="e">
        <f aca="false">RIGHT(B687,LEN(B687)-FIND("/",B687, FIND("Single Cells",B687, 1)))</f>
        <v>#VALUE!</v>
      </c>
    </row>
    <row r="688" customFormat="false" ht="12.75" hidden="false" customHeight="false" outlineLevel="0" collapsed="false">
      <c r="E688" s="34" t="str">
        <f aca="false">MID(B688,9,1)</f>
        <v/>
      </c>
      <c r="F688" s="34" t="str">
        <f aca="false">MID(B688,10,1)</f>
        <v/>
      </c>
      <c r="G688" s="34" t="str">
        <f aca="false">MID(B688,11,1)</f>
        <v/>
      </c>
      <c r="H688" s="35" t="str">
        <f aca="false">IF(G688=".",F688,CONCATENATE(F688,G688))</f>
        <v/>
      </c>
      <c r="I688" s="34" t="n">
        <f aca="false">IFERROR(VALUE(H688),)</f>
        <v>0</v>
      </c>
      <c r="J688" s="34" t="e">
        <f aca="false">RIGHT(B688,LEN(B688)-FIND("/",B688, FIND("Single Cells",B688, 1)))</f>
        <v>#VALUE!</v>
      </c>
    </row>
    <row r="689" customFormat="false" ht="12.75" hidden="false" customHeight="false" outlineLevel="0" collapsed="false">
      <c r="E689" s="34" t="str">
        <f aca="false">MID(B689,9,1)</f>
        <v/>
      </c>
      <c r="F689" s="34" t="str">
        <f aca="false">MID(B689,10,1)</f>
        <v/>
      </c>
      <c r="G689" s="34" t="str">
        <f aca="false">MID(B689,11,1)</f>
        <v/>
      </c>
      <c r="H689" s="35" t="str">
        <f aca="false">IF(G689=".",F689,CONCATENATE(F689,G689))</f>
        <v/>
      </c>
      <c r="I689" s="34" t="n">
        <f aca="false">IFERROR(VALUE(H689),)</f>
        <v>0</v>
      </c>
      <c r="J689" s="34" t="e">
        <f aca="false">RIGHT(B689,LEN(B689)-FIND("/",B689, FIND("Single Cells",B689, 1)))</f>
        <v>#VALUE!</v>
      </c>
    </row>
    <row r="690" customFormat="false" ht="12.75" hidden="false" customHeight="false" outlineLevel="0" collapsed="false">
      <c r="E690" s="34" t="str">
        <f aca="false">MID(B690,9,1)</f>
        <v/>
      </c>
      <c r="F690" s="34" t="str">
        <f aca="false">MID(B690,10,1)</f>
        <v/>
      </c>
      <c r="G690" s="34" t="str">
        <f aca="false">MID(B690,11,1)</f>
        <v/>
      </c>
      <c r="H690" s="35" t="str">
        <f aca="false">IF(G690=".",F690,CONCATENATE(F690,G690))</f>
        <v/>
      </c>
      <c r="I690" s="34" t="n">
        <f aca="false">IFERROR(VALUE(H690),)</f>
        <v>0</v>
      </c>
      <c r="J690" s="34" t="e">
        <f aca="false">RIGHT(B690,LEN(B690)-FIND("/",B690, FIND("Single Cells",B690, 1)))</f>
        <v>#VALUE!</v>
      </c>
    </row>
    <row r="691" customFormat="false" ht="12.75" hidden="false" customHeight="false" outlineLevel="0" collapsed="false">
      <c r="E691" s="34" t="str">
        <f aca="false">MID(B691,9,1)</f>
        <v/>
      </c>
      <c r="F691" s="34" t="str">
        <f aca="false">MID(B691,10,1)</f>
        <v/>
      </c>
      <c r="G691" s="34" t="str">
        <f aca="false">MID(B691,11,1)</f>
        <v/>
      </c>
      <c r="H691" s="35" t="str">
        <f aca="false">IF(G691=".",F691,CONCATENATE(F691,G691))</f>
        <v/>
      </c>
      <c r="I691" s="34" t="n">
        <f aca="false">IFERROR(VALUE(H691),)</f>
        <v>0</v>
      </c>
      <c r="J691" s="34" t="e">
        <f aca="false">RIGHT(B691,LEN(B691)-FIND("/",B691, FIND("Single Cells",B691, 1)))</f>
        <v>#VALUE!</v>
      </c>
    </row>
    <row r="692" customFormat="false" ht="12.75" hidden="false" customHeight="false" outlineLevel="0" collapsed="false">
      <c r="E692" s="34" t="str">
        <f aca="false">MID(B692,9,1)</f>
        <v/>
      </c>
      <c r="F692" s="34" t="str">
        <f aca="false">MID(B692,10,1)</f>
        <v/>
      </c>
      <c r="G692" s="34" t="str">
        <f aca="false">MID(B692,11,1)</f>
        <v/>
      </c>
      <c r="H692" s="35" t="str">
        <f aca="false">IF(G692=".",F692,CONCATENATE(F692,G692))</f>
        <v/>
      </c>
      <c r="I692" s="34" t="n">
        <f aca="false">IFERROR(VALUE(H692),)</f>
        <v>0</v>
      </c>
      <c r="J692" s="34" t="e">
        <f aca="false">RIGHT(B692,LEN(B692)-FIND("/",B692, FIND("Single Cells",B692, 1)))</f>
        <v>#VALUE!</v>
      </c>
    </row>
    <row r="693" customFormat="false" ht="12.75" hidden="false" customHeight="false" outlineLevel="0" collapsed="false">
      <c r="E693" s="34" t="str">
        <f aca="false">MID(B693,9,1)</f>
        <v/>
      </c>
      <c r="F693" s="34" t="str">
        <f aca="false">MID(B693,10,1)</f>
        <v/>
      </c>
      <c r="G693" s="34" t="str">
        <f aca="false">MID(B693,11,1)</f>
        <v/>
      </c>
      <c r="H693" s="35" t="str">
        <f aca="false">IF(G693=".",F693,CONCATENATE(F693,G693))</f>
        <v/>
      </c>
      <c r="I693" s="34" t="n">
        <f aca="false">IFERROR(VALUE(H693),)</f>
        <v>0</v>
      </c>
      <c r="J693" s="34" t="e">
        <f aca="false">RIGHT(B693,LEN(B693)-FIND("/",B693, FIND("Single Cells",B693, 1)))</f>
        <v>#VALUE!</v>
      </c>
    </row>
    <row r="694" customFormat="false" ht="12.75" hidden="false" customHeight="false" outlineLevel="0" collapsed="false">
      <c r="E694" s="34" t="str">
        <f aca="false">MID(B694,9,1)</f>
        <v/>
      </c>
      <c r="F694" s="34" t="str">
        <f aca="false">MID(B694,10,1)</f>
        <v/>
      </c>
      <c r="G694" s="34" t="str">
        <f aca="false">MID(B694,11,1)</f>
        <v/>
      </c>
      <c r="H694" s="35" t="str">
        <f aca="false">IF(G694=".",F694,CONCATENATE(F694,G694))</f>
        <v/>
      </c>
      <c r="I694" s="34" t="n">
        <f aca="false">IFERROR(VALUE(H694),)</f>
        <v>0</v>
      </c>
      <c r="J694" s="34" t="e">
        <f aca="false">RIGHT(B694,LEN(B694)-FIND("/",B694, FIND("Single Cells",B694, 1)))</f>
        <v>#VALUE!</v>
      </c>
    </row>
    <row r="695" customFormat="false" ht="12.75" hidden="false" customHeight="false" outlineLevel="0" collapsed="false">
      <c r="E695" s="34" t="str">
        <f aca="false">MID(B695,9,1)</f>
        <v/>
      </c>
      <c r="F695" s="34" t="str">
        <f aca="false">MID(B695,10,1)</f>
        <v/>
      </c>
      <c r="G695" s="34" t="str">
        <f aca="false">MID(B695,11,1)</f>
        <v/>
      </c>
      <c r="H695" s="35" t="str">
        <f aca="false">IF(G695=".",F695,CONCATENATE(F695,G695))</f>
        <v/>
      </c>
      <c r="I695" s="34" t="n">
        <f aca="false">IFERROR(VALUE(H695),)</f>
        <v>0</v>
      </c>
      <c r="J695" s="34" t="e">
        <f aca="false">RIGHT(B695,LEN(B695)-FIND("/",B695, FIND("Single Cells",B695, 1)))</f>
        <v>#VALUE!</v>
      </c>
    </row>
    <row r="696" customFormat="false" ht="12.75" hidden="false" customHeight="false" outlineLevel="0" collapsed="false">
      <c r="E696" s="34" t="str">
        <f aca="false">MID(B696,9,1)</f>
        <v/>
      </c>
      <c r="F696" s="34" t="str">
        <f aca="false">MID(B696,10,1)</f>
        <v/>
      </c>
      <c r="G696" s="34" t="str">
        <f aca="false">MID(B696,11,1)</f>
        <v/>
      </c>
      <c r="H696" s="35" t="str">
        <f aca="false">IF(G696=".",F696,CONCATENATE(F696,G696))</f>
        <v/>
      </c>
      <c r="I696" s="34" t="n">
        <f aca="false">IFERROR(VALUE(H696),)</f>
        <v>0</v>
      </c>
      <c r="J696" s="34" t="e">
        <f aca="false">RIGHT(B696,LEN(B696)-FIND("/",B696, FIND("Single Cells",B696, 1)))</f>
        <v>#VALUE!</v>
      </c>
    </row>
    <row r="697" customFormat="false" ht="12.75" hidden="false" customHeight="false" outlineLevel="0" collapsed="false">
      <c r="E697" s="34" t="str">
        <f aca="false">MID(B697,9,1)</f>
        <v/>
      </c>
      <c r="F697" s="34" t="str">
        <f aca="false">MID(B697,10,1)</f>
        <v/>
      </c>
      <c r="G697" s="34" t="str">
        <f aca="false">MID(B697,11,1)</f>
        <v/>
      </c>
      <c r="H697" s="35" t="str">
        <f aca="false">IF(G697=".",F697,CONCATENATE(F697,G697))</f>
        <v/>
      </c>
      <c r="I697" s="34" t="n">
        <f aca="false">IFERROR(VALUE(H697),)</f>
        <v>0</v>
      </c>
      <c r="J697" s="34" t="e">
        <f aca="false">RIGHT(B697,LEN(B697)-FIND("/",B697, FIND("Single Cells",B697, 1)))</f>
        <v>#VALUE!</v>
      </c>
    </row>
    <row r="698" customFormat="false" ht="12.75" hidden="false" customHeight="false" outlineLevel="0" collapsed="false">
      <c r="E698" s="34" t="str">
        <f aca="false">MID(B698,9,1)</f>
        <v/>
      </c>
      <c r="F698" s="34" t="str">
        <f aca="false">MID(B698,10,1)</f>
        <v/>
      </c>
      <c r="G698" s="34" t="str">
        <f aca="false">MID(B698,11,1)</f>
        <v/>
      </c>
      <c r="H698" s="35" t="str">
        <f aca="false">IF(G698=".",F698,CONCATENATE(F698,G698))</f>
        <v/>
      </c>
      <c r="I698" s="34" t="n">
        <f aca="false">IFERROR(VALUE(H698),)</f>
        <v>0</v>
      </c>
      <c r="J698" s="34" t="e">
        <f aca="false">RIGHT(B698,LEN(B698)-FIND("/",B698, FIND("Single Cells",B698, 1)))</f>
        <v>#VALUE!</v>
      </c>
    </row>
    <row r="699" customFormat="false" ht="12.75" hidden="false" customHeight="false" outlineLevel="0" collapsed="false">
      <c r="E699" s="34" t="str">
        <f aca="false">MID(B699,9,1)</f>
        <v/>
      </c>
      <c r="F699" s="34" t="str">
        <f aca="false">MID(B699,10,1)</f>
        <v/>
      </c>
      <c r="G699" s="34" t="str">
        <f aca="false">MID(B699,11,1)</f>
        <v/>
      </c>
      <c r="H699" s="35" t="str">
        <f aca="false">IF(G699=".",F699,CONCATENATE(F699,G699))</f>
        <v/>
      </c>
      <c r="I699" s="34" t="n">
        <f aca="false">IFERROR(VALUE(H699),)</f>
        <v>0</v>
      </c>
      <c r="J699" s="34" t="e">
        <f aca="false">RIGHT(B699,LEN(B699)-FIND("/",B699, FIND("Single Cells",B699, 1)))</f>
        <v>#VALUE!</v>
      </c>
    </row>
    <row r="700" customFormat="false" ht="12.75" hidden="false" customHeight="false" outlineLevel="0" collapsed="false">
      <c r="E700" s="34" t="str">
        <f aca="false">MID(B700,9,1)</f>
        <v/>
      </c>
      <c r="F700" s="34" t="str">
        <f aca="false">MID(B700,10,1)</f>
        <v/>
      </c>
      <c r="G700" s="34" t="str">
        <f aca="false">MID(B700,11,1)</f>
        <v/>
      </c>
      <c r="H700" s="35" t="str">
        <f aca="false">IF(G700=".",F700,CONCATENATE(F700,G700))</f>
        <v/>
      </c>
      <c r="I700" s="34" t="n">
        <f aca="false">IFERROR(VALUE(H700),)</f>
        <v>0</v>
      </c>
      <c r="J700" s="34" t="e">
        <f aca="false">RIGHT(B700,LEN(B700)-FIND("/",B700, FIND("Single Cells",B700, 1)))</f>
        <v>#VALUE!</v>
      </c>
    </row>
    <row r="701" customFormat="false" ht="12.75" hidden="false" customHeight="false" outlineLevel="0" collapsed="false">
      <c r="E701" s="34" t="str">
        <f aca="false">MID(B701,9,1)</f>
        <v/>
      </c>
      <c r="F701" s="34" t="str">
        <f aca="false">MID(B701,10,1)</f>
        <v/>
      </c>
      <c r="G701" s="34" t="str">
        <f aca="false">MID(B701,11,1)</f>
        <v/>
      </c>
      <c r="H701" s="35" t="str">
        <f aca="false">IF(G701=".",F701,CONCATENATE(F701,G701))</f>
        <v/>
      </c>
      <c r="I701" s="34" t="n">
        <f aca="false">IFERROR(VALUE(H701),)</f>
        <v>0</v>
      </c>
      <c r="J701" s="34" t="e">
        <f aca="false">RIGHT(B701,LEN(B701)-FIND("/",B701, FIND("Single Cells",B701, 1)))</f>
        <v>#VALUE!</v>
      </c>
    </row>
    <row r="702" customFormat="false" ht="12.75" hidden="false" customHeight="false" outlineLevel="0" collapsed="false">
      <c r="E702" s="34" t="str">
        <f aca="false">MID(B702,9,1)</f>
        <v/>
      </c>
      <c r="F702" s="34" t="str">
        <f aca="false">MID(B702,10,1)</f>
        <v/>
      </c>
      <c r="G702" s="34" t="str">
        <f aca="false">MID(B702,11,1)</f>
        <v/>
      </c>
      <c r="H702" s="35" t="str">
        <f aca="false">IF(G702=".",F702,CONCATENATE(F702,G702))</f>
        <v/>
      </c>
      <c r="I702" s="34" t="n">
        <f aca="false">IFERROR(VALUE(H702),)</f>
        <v>0</v>
      </c>
      <c r="J702" s="34" t="e">
        <f aca="false">RIGHT(B702,LEN(B702)-FIND("/",B702, FIND("Single Cells",B702, 1)))</f>
        <v>#VALUE!</v>
      </c>
    </row>
    <row r="703" customFormat="false" ht="12.75" hidden="false" customHeight="false" outlineLevel="0" collapsed="false">
      <c r="E703" s="34" t="str">
        <f aca="false">MID(B703,9,1)</f>
        <v/>
      </c>
      <c r="F703" s="34" t="str">
        <f aca="false">MID(B703,10,1)</f>
        <v/>
      </c>
      <c r="G703" s="34" t="str">
        <f aca="false">MID(B703,11,1)</f>
        <v/>
      </c>
      <c r="H703" s="35" t="str">
        <f aca="false">IF(G703=".",F703,CONCATENATE(F703,G703))</f>
        <v/>
      </c>
      <c r="I703" s="34" t="n">
        <f aca="false">IFERROR(VALUE(H703),)</f>
        <v>0</v>
      </c>
      <c r="J703" s="34" t="e">
        <f aca="false">RIGHT(B703,LEN(B703)-FIND("/",B703, FIND("Single Cells",B703, 1)))</f>
        <v>#VALUE!</v>
      </c>
    </row>
    <row r="704" customFormat="false" ht="12.75" hidden="false" customHeight="false" outlineLevel="0" collapsed="false">
      <c r="E704" s="34" t="str">
        <f aca="false">MID(B704,9,1)</f>
        <v/>
      </c>
      <c r="F704" s="34" t="str">
        <f aca="false">MID(B704,10,1)</f>
        <v/>
      </c>
      <c r="G704" s="34" t="str">
        <f aca="false">MID(B704,11,1)</f>
        <v/>
      </c>
      <c r="H704" s="35" t="str">
        <f aca="false">IF(G704=".",F704,CONCATENATE(F704,G704))</f>
        <v/>
      </c>
      <c r="I704" s="34" t="n">
        <f aca="false">IFERROR(VALUE(H704),)</f>
        <v>0</v>
      </c>
      <c r="J704" s="34" t="e">
        <f aca="false">RIGHT(B704,LEN(B704)-FIND("/",B704, FIND("Single Cells",B704, 1)))</f>
        <v>#VALUE!</v>
      </c>
    </row>
    <row r="705" customFormat="false" ht="12.75" hidden="false" customHeight="false" outlineLevel="0" collapsed="false">
      <c r="E705" s="34" t="str">
        <f aca="false">MID(B705,9,1)</f>
        <v/>
      </c>
      <c r="F705" s="34" t="str">
        <f aca="false">MID(B705,10,1)</f>
        <v/>
      </c>
      <c r="G705" s="34" t="str">
        <f aca="false">MID(B705,11,1)</f>
        <v/>
      </c>
      <c r="H705" s="35" t="str">
        <f aca="false">IF(G705=".",F705,CONCATENATE(F705,G705))</f>
        <v/>
      </c>
      <c r="I705" s="34" t="n">
        <f aca="false">IFERROR(VALUE(H705),)</f>
        <v>0</v>
      </c>
      <c r="J705" s="34" t="e">
        <f aca="false">RIGHT(B705,LEN(B705)-FIND("/",B705, FIND("Single Cells",B705, 1)))</f>
        <v>#VALUE!</v>
      </c>
    </row>
    <row r="706" customFormat="false" ht="12.75" hidden="false" customHeight="false" outlineLevel="0" collapsed="false">
      <c r="E706" s="34" t="str">
        <f aca="false">MID(B706,9,1)</f>
        <v/>
      </c>
      <c r="F706" s="34" t="str">
        <f aca="false">MID(B706,10,1)</f>
        <v/>
      </c>
      <c r="G706" s="34" t="str">
        <f aca="false">MID(B706,11,1)</f>
        <v/>
      </c>
      <c r="H706" s="35" t="str">
        <f aca="false">IF(G706=".",F706,CONCATENATE(F706,G706))</f>
        <v/>
      </c>
      <c r="I706" s="34" t="n">
        <f aca="false">IFERROR(VALUE(H706),)</f>
        <v>0</v>
      </c>
      <c r="J706" s="34" t="e">
        <f aca="false">RIGHT(B706,LEN(B706)-FIND("/",B706, FIND("Single Cells",B706, 1)))</f>
        <v>#VALUE!</v>
      </c>
    </row>
    <row r="707" customFormat="false" ht="12.75" hidden="false" customHeight="false" outlineLevel="0" collapsed="false">
      <c r="E707" s="34" t="str">
        <f aca="false">MID(B707,9,1)</f>
        <v/>
      </c>
      <c r="F707" s="34" t="str">
        <f aca="false">MID(B707,10,1)</f>
        <v/>
      </c>
      <c r="G707" s="34" t="str">
        <f aca="false">MID(B707,11,1)</f>
        <v/>
      </c>
      <c r="H707" s="35" t="str">
        <f aca="false">IF(G707=".",F707,CONCATENATE(F707,G707))</f>
        <v/>
      </c>
      <c r="I707" s="34" t="n">
        <f aca="false">IFERROR(VALUE(H707),)</f>
        <v>0</v>
      </c>
      <c r="J707" s="34" t="e">
        <f aca="false">RIGHT(B707,LEN(B707)-FIND("/",B707, FIND("Single Cells",B707, 1)))</f>
        <v>#VALUE!</v>
      </c>
    </row>
    <row r="708" customFormat="false" ht="12.75" hidden="false" customHeight="false" outlineLevel="0" collapsed="false">
      <c r="E708" s="34" t="str">
        <f aca="false">MID(B708,9,1)</f>
        <v/>
      </c>
      <c r="F708" s="34" t="str">
        <f aca="false">MID(B708,10,1)</f>
        <v/>
      </c>
      <c r="G708" s="34" t="str">
        <f aca="false">MID(B708,11,1)</f>
        <v/>
      </c>
      <c r="H708" s="35" t="str">
        <f aca="false">IF(G708=".",F708,CONCATENATE(F708,G708))</f>
        <v/>
      </c>
      <c r="I708" s="34" t="n">
        <f aca="false">IFERROR(VALUE(H708),)</f>
        <v>0</v>
      </c>
      <c r="J708" s="34" t="e">
        <f aca="false">RIGHT(B708,LEN(B708)-FIND("/",B708, FIND("Single Cells",B708, 1)))</f>
        <v>#VALUE!</v>
      </c>
    </row>
    <row r="709" customFormat="false" ht="12.75" hidden="false" customHeight="false" outlineLevel="0" collapsed="false">
      <c r="E709" s="34" t="str">
        <f aca="false">MID(B709,9,1)</f>
        <v/>
      </c>
      <c r="F709" s="34" t="str">
        <f aca="false">MID(B709,10,1)</f>
        <v/>
      </c>
      <c r="G709" s="34" t="str">
        <f aca="false">MID(B709,11,1)</f>
        <v/>
      </c>
      <c r="H709" s="35" t="str">
        <f aca="false">IF(G709=".",F709,CONCATENATE(F709,G709))</f>
        <v/>
      </c>
      <c r="I709" s="34" t="n">
        <f aca="false">IFERROR(VALUE(H709),)</f>
        <v>0</v>
      </c>
      <c r="J709" s="34" t="e">
        <f aca="false">RIGHT(B709,LEN(B709)-FIND("/",B709, FIND("Single Cells",B709, 1)))</f>
        <v>#VALUE!</v>
      </c>
    </row>
    <row r="710" customFormat="false" ht="12.75" hidden="false" customHeight="false" outlineLevel="0" collapsed="false">
      <c r="E710" s="34" t="str">
        <f aca="false">MID(B710,9,1)</f>
        <v/>
      </c>
      <c r="F710" s="34" t="str">
        <f aca="false">MID(B710,10,1)</f>
        <v/>
      </c>
      <c r="G710" s="34" t="str">
        <f aca="false">MID(B710,11,1)</f>
        <v/>
      </c>
      <c r="H710" s="35" t="str">
        <f aca="false">IF(G710=".",F710,CONCATENATE(F710,G710))</f>
        <v/>
      </c>
      <c r="I710" s="34" t="n">
        <f aca="false">IFERROR(VALUE(H710),)</f>
        <v>0</v>
      </c>
      <c r="J710" s="34" t="e">
        <f aca="false">RIGHT(B710,LEN(B710)-FIND("/",B710, FIND("Single Cells",B710, 1)))</f>
        <v>#VALUE!</v>
      </c>
    </row>
    <row r="711" customFormat="false" ht="12.75" hidden="false" customHeight="false" outlineLevel="0" collapsed="false">
      <c r="E711" s="34" t="str">
        <f aca="false">MID(B711,9,1)</f>
        <v/>
      </c>
      <c r="F711" s="34" t="str">
        <f aca="false">MID(B711,10,1)</f>
        <v/>
      </c>
      <c r="G711" s="34" t="str">
        <f aca="false">MID(B711,11,1)</f>
        <v/>
      </c>
      <c r="H711" s="35" t="str">
        <f aca="false">IF(G711=".",F711,CONCATENATE(F711,G711))</f>
        <v/>
      </c>
      <c r="I711" s="34" t="n">
        <f aca="false">IFERROR(VALUE(H711),)</f>
        <v>0</v>
      </c>
      <c r="J711" s="34" t="e">
        <f aca="false">RIGHT(B711,LEN(B711)-FIND("/",B711, FIND("Single Cells",B711, 1)))</f>
        <v>#VALUE!</v>
      </c>
    </row>
    <row r="712" customFormat="false" ht="12.75" hidden="false" customHeight="false" outlineLevel="0" collapsed="false">
      <c r="E712" s="34" t="str">
        <f aca="false">MID(B712,9,1)</f>
        <v/>
      </c>
      <c r="F712" s="34" t="str">
        <f aca="false">MID(B712,10,1)</f>
        <v/>
      </c>
      <c r="G712" s="34" t="str">
        <f aca="false">MID(B712,11,1)</f>
        <v/>
      </c>
      <c r="H712" s="35" t="str">
        <f aca="false">IF(G712=".",F712,CONCATENATE(F712,G712))</f>
        <v/>
      </c>
      <c r="I712" s="34" t="n">
        <f aca="false">IFERROR(VALUE(H712),)</f>
        <v>0</v>
      </c>
      <c r="J712" s="34" t="e">
        <f aca="false">RIGHT(B712,LEN(B712)-FIND("/",B712, FIND("Single Cells",B712, 1)))</f>
        <v>#VALUE!</v>
      </c>
    </row>
    <row r="713" customFormat="false" ht="12.75" hidden="false" customHeight="false" outlineLevel="0" collapsed="false">
      <c r="E713" s="34" t="str">
        <f aca="false">MID(B713,9,1)</f>
        <v/>
      </c>
      <c r="F713" s="34" t="str">
        <f aca="false">MID(B713,10,1)</f>
        <v/>
      </c>
      <c r="G713" s="34" t="str">
        <f aca="false">MID(B713,11,1)</f>
        <v/>
      </c>
      <c r="H713" s="35" t="str">
        <f aca="false">IF(G713=".",F713,CONCATENATE(F713,G713))</f>
        <v/>
      </c>
      <c r="I713" s="34" t="n">
        <f aca="false">IFERROR(VALUE(H713),)</f>
        <v>0</v>
      </c>
      <c r="J713" s="34" t="e">
        <f aca="false">RIGHT(B713,LEN(B713)-FIND("/",B713, FIND("Single Cells",B713, 1)))</f>
        <v>#VALUE!</v>
      </c>
    </row>
    <row r="714" customFormat="false" ht="12.75" hidden="false" customHeight="false" outlineLevel="0" collapsed="false">
      <c r="E714" s="34" t="str">
        <f aca="false">MID(B714,9,1)</f>
        <v/>
      </c>
      <c r="F714" s="34" t="str">
        <f aca="false">MID(B714,10,1)</f>
        <v/>
      </c>
      <c r="G714" s="34" t="str">
        <f aca="false">MID(B714,11,1)</f>
        <v/>
      </c>
      <c r="H714" s="35" t="str">
        <f aca="false">IF(G714=".",F714,CONCATENATE(F714,G714))</f>
        <v/>
      </c>
      <c r="I714" s="34" t="n">
        <f aca="false">IFERROR(VALUE(H714),)</f>
        <v>0</v>
      </c>
      <c r="J714" s="34" t="e">
        <f aca="false">RIGHT(B714,LEN(B714)-FIND("/",B714, FIND("Single Cells",B714, 1)))</f>
        <v>#VALUE!</v>
      </c>
    </row>
    <row r="715" customFormat="false" ht="12.75" hidden="false" customHeight="false" outlineLevel="0" collapsed="false">
      <c r="E715" s="34" t="str">
        <f aca="false">MID(B715,9,1)</f>
        <v/>
      </c>
      <c r="F715" s="34" t="str">
        <f aca="false">MID(B715,10,1)</f>
        <v/>
      </c>
      <c r="G715" s="34" t="str">
        <f aca="false">MID(B715,11,1)</f>
        <v/>
      </c>
      <c r="H715" s="35" t="str">
        <f aca="false">IF(G715=".",F715,CONCATENATE(F715,G715))</f>
        <v/>
      </c>
      <c r="I715" s="34" t="n">
        <f aca="false">IFERROR(VALUE(H715),)</f>
        <v>0</v>
      </c>
      <c r="J715" s="34" t="e">
        <f aca="false">RIGHT(B715,LEN(B715)-FIND("/",B715, FIND("Single Cells",B715, 1)))</f>
        <v>#VALUE!</v>
      </c>
    </row>
    <row r="716" customFormat="false" ht="12.75" hidden="false" customHeight="false" outlineLevel="0" collapsed="false">
      <c r="E716" s="34" t="str">
        <f aca="false">MID(B716,9,1)</f>
        <v/>
      </c>
      <c r="F716" s="34" t="str">
        <f aca="false">MID(B716,10,1)</f>
        <v/>
      </c>
      <c r="G716" s="34" t="str">
        <f aca="false">MID(B716,11,1)</f>
        <v/>
      </c>
      <c r="H716" s="35" t="str">
        <f aca="false">IF(G716=".",F716,CONCATENATE(F716,G716))</f>
        <v/>
      </c>
      <c r="I716" s="34" t="n">
        <f aca="false">IFERROR(VALUE(H716),)</f>
        <v>0</v>
      </c>
      <c r="J716" s="34" t="e">
        <f aca="false">RIGHT(B716,LEN(B716)-FIND("/",B716, FIND("Single Cells",B716, 1)))</f>
        <v>#VALUE!</v>
      </c>
    </row>
    <row r="717" customFormat="false" ht="12.75" hidden="false" customHeight="false" outlineLevel="0" collapsed="false">
      <c r="E717" s="34" t="str">
        <f aca="false">MID(B717,9,1)</f>
        <v/>
      </c>
      <c r="F717" s="34" t="str">
        <f aca="false">MID(B717,10,1)</f>
        <v/>
      </c>
      <c r="G717" s="34" t="str">
        <f aca="false">MID(B717,11,1)</f>
        <v/>
      </c>
      <c r="H717" s="35" t="str">
        <f aca="false">IF(G717=".",F717,CONCATENATE(F717,G717))</f>
        <v/>
      </c>
      <c r="I717" s="34" t="n">
        <f aca="false">IFERROR(VALUE(H717),)</f>
        <v>0</v>
      </c>
      <c r="J717" s="34" t="e">
        <f aca="false">RIGHT(B717,LEN(B717)-FIND("/",B717, FIND("Single Cells",B717, 1)))</f>
        <v>#VALUE!</v>
      </c>
    </row>
    <row r="718" customFormat="false" ht="12.75" hidden="false" customHeight="false" outlineLevel="0" collapsed="false">
      <c r="E718" s="34" t="str">
        <f aca="false">MID(B718,9,1)</f>
        <v/>
      </c>
      <c r="F718" s="34" t="str">
        <f aca="false">MID(B718,10,1)</f>
        <v/>
      </c>
      <c r="G718" s="34" t="str">
        <f aca="false">MID(B718,11,1)</f>
        <v/>
      </c>
      <c r="H718" s="35" t="str">
        <f aca="false">IF(G718=".",F718,CONCATENATE(F718,G718))</f>
        <v/>
      </c>
      <c r="I718" s="34" t="n">
        <f aca="false">IFERROR(VALUE(H718),)</f>
        <v>0</v>
      </c>
      <c r="J718" s="34" t="e">
        <f aca="false">RIGHT(B718,LEN(B718)-FIND("/",B718, FIND("Single Cells",B718, 1)))</f>
        <v>#VALUE!</v>
      </c>
    </row>
    <row r="719" customFormat="false" ht="12.75" hidden="false" customHeight="false" outlineLevel="0" collapsed="false">
      <c r="E719" s="34" t="str">
        <f aca="false">MID(B719,9,1)</f>
        <v/>
      </c>
      <c r="F719" s="34" t="str">
        <f aca="false">MID(B719,10,1)</f>
        <v/>
      </c>
      <c r="G719" s="34" t="str">
        <f aca="false">MID(B719,11,1)</f>
        <v/>
      </c>
      <c r="H719" s="35" t="str">
        <f aca="false">IF(G719=".",F719,CONCATENATE(F719,G719))</f>
        <v/>
      </c>
      <c r="I719" s="34" t="n">
        <f aca="false">IFERROR(VALUE(H719),)</f>
        <v>0</v>
      </c>
      <c r="J719" s="34" t="e">
        <f aca="false">RIGHT(B719,LEN(B719)-FIND("/",B719, FIND("Single Cells",B719, 1)))</f>
        <v>#VALUE!</v>
      </c>
    </row>
    <row r="720" customFormat="false" ht="12.75" hidden="false" customHeight="false" outlineLevel="0" collapsed="false">
      <c r="E720" s="34" t="str">
        <f aca="false">MID(B720,9,1)</f>
        <v/>
      </c>
      <c r="F720" s="34" t="str">
        <f aca="false">MID(B720,10,1)</f>
        <v/>
      </c>
      <c r="G720" s="34" t="str">
        <f aca="false">MID(B720,11,1)</f>
        <v/>
      </c>
      <c r="H720" s="35" t="str">
        <f aca="false">IF(G720=".",F720,CONCATENATE(F720,G720))</f>
        <v/>
      </c>
      <c r="I720" s="34" t="n">
        <f aca="false">IFERROR(VALUE(H720),)</f>
        <v>0</v>
      </c>
      <c r="J720" s="34" t="e">
        <f aca="false">RIGHT(B720,LEN(B720)-FIND("/",B720, FIND("Single Cells",B720, 1)))</f>
        <v>#VALUE!</v>
      </c>
    </row>
    <row r="721" customFormat="false" ht="12.75" hidden="false" customHeight="false" outlineLevel="0" collapsed="false">
      <c r="E721" s="34" t="str">
        <f aca="false">MID(B721,9,1)</f>
        <v/>
      </c>
      <c r="F721" s="34" t="str">
        <f aca="false">MID(B721,10,1)</f>
        <v/>
      </c>
      <c r="G721" s="34" t="str">
        <f aca="false">MID(B721,11,1)</f>
        <v/>
      </c>
      <c r="H721" s="35" t="str">
        <f aca="false">IF(G721=".",F721,CONCATENATE(F721,G721))</f>
        <v/>
      </c>
      <c r="I721" s="34" t="n">
        <f aca="false">IFERROR(VALUE(H721),)</f>
        <v>0</v>
      </c>
      <c r="J721" s="34" t="e">
        <f aca="false">RIGHT(B721,LEN(B721)-FIND("/",B721, FIND("Single Cells",B721, 1)))</f>
        <v>#VALUE!</v>
      </c>
    </row>
    <row r="722" customFormat="false" ht="12.75" hidden="false" customHeight="false" outlineLevel="0" collapsed="false">
      <c r="E722" s="34" t="str">
        <f aca="false">MID(B722,9,1)</f>
        <v/>
      </c>
      <c r="F722" s="34" t="str">
        <f aca="false">MID(B722,10,1)</f>
        <v/>
      </c>
      <c r="G722" s="34" t="str">
        <f aca="false">MID(B722,11,1)</f>
        <v/>
      </c>
      <c r="H722" s="35" t="str">
        <f aca="false">IF(G722=".",F722,CONCATENATE(F722,G722))</f>
        <v/>
      </c>
      <c r="I722" s="34" t="n">
        <f aca="false">IFERROR(VALUE(H722),)</f>
        <v>0</v>
      </c>
      <c r="J722" s="34" t="e">
        <f aca="false">RIGHT(B722,LEN(B722)-FIND("/",B722, FIND("Single Cells",B722, 1)))</f>
        <v>#VALUE!</v>
      </c>
    </row>
    <row r="723" customFormat="false" ht="12.75" hidden="false" customHeight="false" outlineLevel="0" collapsed="false">
      <c r="E723" s="34" t="str">
        <f aca="false">MID(B723,9,1)</f>
        <v/>
      </c>
      <c r="F723" s="34" t="str">
        <f aca="false">MID(B723,10,1)</f>
        <v/>
      </c>
      <c r="G723" s="34" t="str">
        <f aca="false">MID(B723,11,1)</f>
        <v/>
      </c>
      <c r="H723" s="35" t="str">
        <f aca="false">IF(G723=".",F723,CONCATENATE(F723,G723))</f>
        <v/>
      </c>
      <c r="I723" s="34" t="n">
        <f aca="false">IFERROR(VALUE(H723),)</f>
        <v>0</v>
      </c>
      <c r="J723" s="34" t="e">
        <f aca="false">RIGHT(B723,LEN(B723)-FIND("/",B723, FIND("Single Cells",B723, 1)))</f>
        <v>#VALUE!</v>
      </c>
    </row>
    <row r="724" customFormat="false" ht="12.75" hidden="false" customHeight="false" outlineLevel="0" collapsed="false">
      <c r="E724" s="34" t="str">
        <f aca="false">MID(B724,9,1)</f>
        <v/>
      </c>
      <c r="F724" s="34" t="str">
        <f aca="false">MID(B724,10,1)</f>
        <v/>
      </c>
      <c r="G724" s="34" t="str">
        <f aca="false">MID(B724,11,1)</f>
        <v/>
      </c>
      <c r="H724" s="35" t="str">
        <f aca="false">IF(G724=".",F724,CONCATENATE(F724,G724))</f>
        <v/>
      </c>
      <c r="I724" s="34" t="n">
        <f aca="false">IFERROR(VALUE(H724),)</f>
        <v>0</v>
      </c>
      <c r="J724" s="34" t="e">
        <f aca="false">RIGHT(B724,LEN(B724)-FIND("/",B724, FIND("Single Cells",B724, 1)))</f>
        <v>#VALUE!</v>
      </c>
    </row>
    <row r="725" customFormat="false" ht="12.75" hidden="false" customHeight="false" outlineLevel="0" collapsed="false">
      <c r="E725" s="34" t="str">
        <f aca="false">MID(B725,9,1)</f>
        <v/>
      </c>
      <c r="F725" s="34" t="str">
        <f aca="false">MID(B725,10,1)</f>
        <v/>
      </c>
      <c r="G725" s="34" t="str">
        <f aca="false">MID(B725,11,1)</f>
        <v/>
      </c>
      <c r="H725" s="35" t="str">
        <f aca="false">IF(G725=".",F725,CONCATENATE(F725,G725))</f>
        <v/>
      </c>
      <c r="I725" s="34" t="n">
        <f aca="false">IFERROR(VALUE(H725),)</f>
        <v>0</v>
      </c>
      <c r="J725" s="34" t="e">
        <f aca="false">RIGHT(B725,LEN(B725)-FIND("/",B725, FIND("Single Cells",B725, 1)))</f>
        <v>#VALUE!</v>
      </c>
    </row>
    <row r="726" customFormat="false" ht="12.75" hidden="false" customHeight="false" outlineLevel="0" collapsed="false">
      <c r="E726" s="34" t="str">
        <f aca="false">MID(B726,9,1)</f>
        <v/>
      </c>
      <c r="F726" s="34" t="str">
        <f aca="false">MID(B726,10,1)</f>
        <v/>
      </c>
      <c r="G726" s="34" t="str">
        <f aca="false">MID(B726,11,1)</f>
        <v/>
      </c>
      <c r="H726" s="35" t="str">
        <f aca="false">IF(G726=".",F726,CONCATENATE(F726,G726))</f>
        <v/>
      </c>
      <c r="I726" s="34" t="n">
        <f aca="false">IFERROR(VALUE(H726),)</f>
        <v>0</v>
      </c>
      <c r="J726" s="34" t="e">
        <f aca="false">RIGHT(B726,LEN(B726)-FIND("/",B726, FIND("Single Cells",B726, 1)))</f>
        <v>#VALUE!</v>
      </c>
    </row>
    <row r="727" customFormat="false" ht="12.75" hidden="false" customHeight="false" outlineLevel="0" collapsed="false">
      <c r="E727" s="34" t="str">
        <f aca="false">MID(B727,9,1)</f>
        <v/>
      </c>
      <c r="F727" s="34" t="str">
        <f aca="false">MID(B727,10,1)</f>
        <v/>
      </c>
      <c r="G727" s="34" t="str">
        <f aca="false">MID(B727,11,1)</f>
        <v/>
      </c>
      <c r="H727" s="35" t="str">
        <f aca="false">IF(G727=".",F727,CONCATENATE(F727,G727))</f>
        <v/>
      </c>
      <c r="I727" s="34" t="n">
        <f aca="false">IFERROR(VALUE(H727),)</f>
        <v>0</v>
      </c>
      <c r="J727" s="34" t="e">
        <f aca="false">RIGHT(B727,LEN(B727)-FIND("/",B727, FIND("Single Cells",B727, 1)))</f>
        <v>#VALUE!</v>
      </c>
    </row>
    <row r="728" customFormat="false" ht="12.75" hidden="false" customHeight="false" outlineLevel="0" collapsed="false">
      <c r="E728" s="34" t="str">
        <f aca="false">MID(B728,9,1)</f>
        <v/>
      </c>
      <c r="F728" s="34" t="str">
        <f aca="false">MID(B728,10,1)</f>
        <v/>
      </c>
      <c r="G728" s="34" t="str">
        <f aca="false">MID(B728,11,1)</f>
        <v/>
      </c>
      <c r="H728" s="35" t="str">
        <f aca="false">IF(G728=".",F728,CONCATENATE(F728,G728))</f>
        <v/>
      </c>
      <c r="I728" s="34" t="n">
        <f aca="false">IFERROR(VALUE(H728),)</f>
        <v>0</v>
      </c>
      <c r="J728" s="34" t="e">
        <f aca="false">RIGHT(B728,LEN(B728)-FIND("/",B728, FIND("Single Cells",B728, 1)))</f>
        <v>#VALUE!</v>
      </c>
    </row>
    <row r="729" customFormat="false" ht="12.75" hidden="false" customHeight="false" outlineLevel="0" collapsed="false">
      <c r="E729" s="34" t="str">
        <f aca="false">MID(B729,9,1)</f>
        <v/>
      </c>
      <c r="F729" s="34" t="str">
        <f aca="false">MID(B729,10,1)</f>
        <v/>
      </c>
      <c r="G729" s="34" t="str">
        <f aca="false">MID(B729,11,1)</f>
        <v/>
      </c>
      <c r="H729" s="35" t="str">
        <f aca="false">IF(G729=".",F729,CONCATENATE(F729,G729))</f>
        <v/>
      </c>
      <c r="I729" s="34" t="n">
        <f aca="false">IFERROR(VALUE(H729),)</f>
        <v>0</v>
      </c>
      <c r="J729" s="34" t="e">
        <f aca="false">RIGHT(B729,LEN(B729)-FIND("/",B729, FIND("Single Cells",B729, 1)))</f>
        <v>#VALUE!</v>
      </c>
    </row>
    <row r="730" customFormat="false" ht="12.75" hidden="false" customHeight="false" outlineLevel="0" collapsed="false">
      <c r="E730" s="34" t="str">
        <f aca="false">MID(B730,9,1)</f>
        <v/>
      </c>
      <c r="F730" s="34" t="str">
        <f aca="false">MID(B730,10,1)</f>
        <v/>
      </c>
      <c r="G730" s="34" t="str">
        <f aca="false">MID(B730,11,1)</f>
        <v/>
      </c>
      <c r="H730" s="35" t="str">
        <f aca="false">IF(G730=".",F730,CONCATENATE(F730,G730))</f>
        <v/>
      </c>
      <c r="I730" s="34" t="n">
        <f aca="false">IFERROR(VALUE(H730),)</f>
        <v>0</v>
      </c>
      <c r="J730" s="34" t="e">
        <f aca="false">RIGHT(B730,LEN(B730)-FIND("/",B730, FIND("Single Cells",B730, 1)))</f>
        <v>#VALUE!</v>
      </c>
    </row>
    <row r="731" customFormat="false" ht="12.75" hidden="false" customHeight="false" outlineLevel="0" collapsed="false">
      <c r="E731" s="34" t="str">
        <f aca="false">MID(B731,9,1)</f>
        <v/>
      </c>
      <c r="F731" s="34" t="str">
        <f aca="false">MID(B731,10,1)</f>
        <v/>
      </c>
      <c r="G731" s="34" t="str">
        <f aca="false">MID(B731,11,1)</f>
        <v/>
      </c>
      <c r="H731" s="35" t="str">
        <f aca="false">IF(G731=".",F731,CONCATENATE(F731,G731))</f>
        <v/>
      </c>
      <c r="I731" s="34" t="n">
        <f aca="false">IFERROR(VALUE(H731),)</f>
        <v>0</v>
      </c>
      <c r="J731" s="34" t="e">
        <f aca="false">RIGHT(B731,LEN(B731)-FIND("/",B731, FIND("Single Cells",B731, 1)))</f>
        <v>#VALUE!</v>
      </c>
    </row>
    <row r="732" customFormat="false" ht="12.75" hidden="false" customHeight="false" outlineLevel="0" collapsed="false">
      <c r="E732" s="34" t="str">
        <f aca="false">MID(B732,9,1)</f>
        <v/>
      </c>
      <c r="F732" s="34" t="str">
        <f aca="false">MID(B732,10,1)</f>
        <v/>
      </c>
      <c r="G732" s="34" t="str">
        <f aca="false">MID(B732,11,1)</f>
        <v/>
      </c>
      <c r="H732" s="35" t="str">
        <f aca="false">IF(G732=".",F732,CONCATENATE(F732,G732))</f>
        <v/>
      </c>
      <c r="I732" s="34" t="n">
        <f aca="false">IFERROR(VALUE(H732),)</f>
        <v>0</v>
      </c>
      <c r="J732" s="34" t="e">
        <f aca="false">RIGHT(B732,LEN(B732)-FIND("/",B732, FIND("Single Cells",B732, 1)))</f>
        <v>#VALUE!</v>
      </c>
    </row>
    <row r="733" customFormat="false" ht="12.75" hidden="false" customHeight="false" outlineLevel="0" collapsed="false">
      <c r="E733" s="34" t="str">
        <f aca="false">MID(B733,9,1)</f>
        <v/>
      </c>
      <c r="F733" s="34" t="str">
        <f aca="false">MID(B733,10,1)</f>
        <v/>
      </c>
      <c r="G733" s="34" t="str">
        <f aca="false">MID(B733,11,1)</f>
        <v/>
      </c>
      <c r="H733" s="35" t="str">
        <f aca="false">IF(G733=".",F733,CONCATENATE(F733,G733))</f>
        <v/>
      </c>
      <c r="I733" s="34" t="n">
        <f aca="false">IFERROR(VALUE(H733),)</f>
        <v>0</v>
      </c>
      <c r="J733" s="34" t="e">
        <f aca="false">RIGHT(B733,LEN(B733)-FIND("/",B733, FIND("Single Cells",B733, 1)))</f>
        <v>#VALUE!</v>
      </c>
    </row>
    <row r="734" customFormat="false" ht="12.75" hidden="false" customHeight="false" outlineLevel="0" collapsed="false">
      <c r="E734" s="34" t="str">
        <f aca="false">MID(B734,9,1)</f>
        <v/>
      </c>
      <c r="F734" s="34" t="str">
        <f aca="false">MID(B734,10,1)</f>
        <v/>
      </c>
      <c r="G734" s="34" t="str">
        <f aca="false">MID(B734,11,1)</f>
        <v/>
      </c>
      <c r="H734" s="35" t="str">
        <f aca="false">IF(G734=".",F734,CONCATENATE(F734,G734))</f>
        <v/>
      </c>
      <c r="I734" s="34" t="n">
        <f aca="false">IFERROR(VALUE(H734),)</f>
        <v>0</v>
      </c>
      <c r="J734" s="34" t="e">
        <f aca="false">RIGHT(B734,LEN(B734)-FIND("/",B734, FIND("Single Cells",B734, 1)))</f>
        <v>#VALUE!</v>
      </c>
    </row>
    <row r="735" customFormat="false" ht="12.75" hidden="false" customHeight="false" outlineLevel="0" collapsed="false">
      <c r="E735" s="34" t="str">
        <f aca="false">MID(B735,9,1)</f>
        <v/>
      </c>
      <c r="F735" s="34" t="str">
        <f aca="false">MID(B735,10,1)</f>
        <v/>
      </c>
      <c r="G735" s="34" t="str">
        <f aca="false">MID(B735,11,1)</f>
        <v/>
      </c>
      <c r="H735" s="35" t="str">
        <f aca="false">IF(G735=".",F735,CONCATENATE(F735,G735))</f>
        <v/>
      </c>
      <c r="I735" s="34" t="n">
        <f aca="false">IFERROR(VALUE(H735),)</f>
        <v>0</v>
      </c>
      <c r="J735" s="34" t="e">
        <f aca="false">RIGHT(B735,LEN(B735)-FIND("/",B735, FIND("Single Cells",B735, 1)))</f>
        <v>#VALUE!</v>
      </c>
    </row>
    <row r="736" customFormat="false" ht="12.75" hidden="false" customHeight="false" outlineLevel="0" collapsed="false">
      <c r="E736" s="34" t="str">
        <f aca="false">MID(B736,9,1)</f>
        <v/>
      </c>
      <c r="F736" s="34" t="str">
        <f aca="false">MID(B736,10,1)</f>
        <v/>
      </c>
      <c r="G736" s="34" t="str">
        <f aca="false">MID(B736,11,1)</f>
        <v/>
      </c>
      <c r="H736" s="35" t="str">
        <f aca="false">IF(G736=".",F736,CONCATENATE(F736,G736))</f>
        <v/>
      </c>
      <c r="I736" s="34" t="n">
        <f aca="false">IFERROR(VALUE(H736),)</f>
        <v>0</v>
      </c>
      <c r="J736" s="34" t="e">
        <f aca="false">RIGHT(B736,LEN(B736)-FIND("/",B736, FIND("Single Cells",B736, 1)))</f>
        <v>#VALUE!</v>
      </c>
    </row>
    <row r="737" customFormat="false" ht="12.75" hidden="false" customHeight="false" outlineLevel="0" collapsed="false">
      <c r="E737" s="34" t="str">
        <f aca="false">MID(B737,9,1)</f>
        <v/>
      </c>
      <c r="F737" s="34" t="str">
        <f aca="false">MID(B737,10,1)</f>
        <v/>
      </c>
      <c r="G737" s="34" t="str">
        <f aca="false">MID(B737,11,1)</f>
        <v/>
      </c>
      <c r="H737" s="35" t="str">
        <f aca="false">IF(G737=".",F737,CONCATENATE(F737,G737))</f>
        <v/>
      </c>
      <c r="I737" s="34" t="n">
        <f aca="false">IFERROR(VALUE(H737),)</f>
        <v>0</v>
      </c>
      <c r="J737" s="34" t="e">
        <f aca="false">RIGHT(B737,LEN(B737)-FIND("/",B737, FIND("Single Cells",B737, 1)))</f>
        <v>#VALUE!</v>
      </c>
    </row>
    <row r="738" customFormat="false" ht="12.75" hidden="false" customHeight="false" outlineLevel="0" collapsed="false">
      <c r="E738" s="34" t="str">
        <f aca="false">MID(B738,9,1)</f>
        <v/>
      </c>
      <c r="F738" s="34" t="str">
        <f aca="false">MID(B738,10,1)</f>
        <v/>
      </c>
      <c r="G738" s="34" t="str">
        <f aca="false">MID(B738,11,1)</f>
        <v/>
      </c>
      <c r="H738" s="35" t="str">
        <f aca="false">IF(G738=".",F738,CONCATENATE(F738,G738))</f>
        <v/>
      </c>
      <c r="I738" s="34" t="n">
        <f aca="false">IFERROR(VALUE(H738),)</f>
        <v>0</v>
      </c>
      <c r="J738" s="34" t="e">
        <f aca="false">RIGHT(B738,LEN(B738)-FIND("/",B738, FIND("Single Cells",B738, 1)))</f>
        <v>#VALUE!</v>
      </c>
    </row>
    <row r="739" customFormat="false" ht="12.75" hidden="false" customHeight="false" outlineLevel="0" collapsed="false">
      <c r="E739" s="34" t="str">
        <f aca="false">MID(B739,9,1)</f>
        <v/>
      </c>
      <c r="F739" s="34" t="str">
        <f aca="false">MID(B739,10,1)</f>
        <v/>
      </c>
      <c r="G739" s="34" t="str">
        <f aca="false">MID(B739,11,1)</f>
        <v/>
      </c>
      <c r="H739" s="35" t="str">
        <f aca="false">IF(G739=".",F739,CONCATENATE(F739,G739))</f>
        <v/>
      </c>
      <c r="I739" s="34" t="n">
        <f aca="false">IFERROR(VALUE(H739),)</f>
        <v>0</v>
      </c>
      <c r="J739" s="34" t="e">
        <f aca="false">RIGHT(B739,LEN(B739)-FIND("/",B739, FIND("Single Cells",B739, 1)))</f>
        <v>#VALUE!</v>
      </c>
    </row>
    <row r="740" customFormat="false" ht="12.75" hidden="false" customHeight="false" outlineLevel="0" collapsed="false">
      <c r="E740" s="34" t="str">
        <f aca="false">MID(B740,9,1)</f>
        <v/>
      </c>
      <c r="F740" s="34" t="str">
        <f aca="false">MID(B740,10,1)</f>
        <v/>
      </c>
      <c r="G740" s="34" t="str">
        <f aca="false">MID(B740,11,1)</f>
        <v/>
      </c>
      <c r="H740" s="35" t="str">
        <f aca="false">IF(G740=".",F740,CONCATENATE(F740,G740))</f>
        <v/>
      </c>
      <c r="I740" s="34" t="n">
        <f aca="false">IFERROR(VALUE(H740),)</f>
        <v>0</v>
      </c>
      <c r="J740" s="34" t="e">
        <f aca="false">RIGHT(B740,LEN(B740)-FIND("/",B740, FIND("Single Cells",B740, 1)))</f>
        <v>#VALUE!</v>
      </c>
    </row>
    <row r="741" customFormat="false" ht="12.75" hidden="false" customHeight="false" outlineLevel="0" collapsed="false">
      <c r="E741" s="34" t="str">
        <f aca="false">MID(B741,9,1)</f>
        <v/>
      </c>
      <c r="F741" s="34" t="str">
        <f aca="false">MID(B741,10,1)</f>
        <v/>
      </c>
      <c r="G741" s="34" t="str">
        <f aca="false">MID(B741,11,1)</f>
        <v/>
      </c>
      <c r="H741" s="35" t="str">
        <f aca="false">IF(G741=".",F741,CONCATENATE(F741,G741))</f>
        <v/>
      </c>
      <c r="I741" s="34" t="n">
        <f aca="false">IFERROR(VALUE(H741),)</f>
        <v>0</v>
      </c>
      <c r="J741" s="34" t="e">
        <f aca="false">RIGHT(B741,LEN(B741)-FIND("/",B741, FIND("Single Cells",B741, 1)))</f>
        <v>#VALUE!</v>
      </c>
    </row>
    <row r="742" customFormat="false" ht="12.75" hidden="false" customHeight="false" outlineLevel="0" collapsed="false">
      <c r="E742" s="34" t="str">
        <f aca="false">MID(B742,9,1)</f>
        <v/>
      </c>
      <c r="F742" s="34" t="str">
        <f aca="false">MID(B742,10,1)</f>
        <v/>
      </c>
      <c r="G742" s="34" t="str">
        <f aca="false">MID(B742,11,1)</f>
        <v/>
      </c>
      <c r="H742" s="35" t="str">
        <f aca="false">IF(G742=".",F742,CONCATENATE(F742,G742))</f>
        <v/>
      </c>
      <c r="I742" s="34" t="n">
        <f aca="false">IFERROR(VALUE(H742),)</f>
        <v>0</v>
      </c>
      <c r="J742" s="34" t="e">
        <f aca="false">RIGHT(B742,LEN(B742)-FIND("/",B742, FIND("Single Cells",B742, 1)))</f>
        <v>#VALUE!</v>
      </c>
    </row>
    <row r="743" customFormat="false" ht="12.75" hidden="false" customHeight="false" outlineLevel="0" collapsed="false">
      <c r="E743" s="34" t="str">
        <f aca="false">MID(B743,9,1)</f>
        <v/>
      </c>
      <c r="F743" s="34" t="str">
        <f aca="false">MID(B743,10,1)</f>
        <v/>
      </c>
      <c r="G743" s="34" t="str">
        <f aca="false">MID(B743,11,1)</f>
        <v/>
      </c>
      <c r="H743" s="35" t="str">
        <f aca="false">IF(G743=".",F743,CONCATENATE(F743,G743))</f>
        <v/>
      </c>
      <c r="I743" s="34" t="n">
        <f aca="false">IFERROR(VALUE(H743),)</f>
        <v>0</v>
      </c>
      <c r="J743" s="34" t="e">
        <f aca="false">RIGHT(B743,LEN(B743)-FIND("/",B743, FIND("Single Cells",B743, 1)))</f>
        <v>#VALUE!</v>
      </c>
    </row>
    <row r="744" customFormat="false" ht="12.75" hidden="false" customHeight="false" outlineLevel="0" collapsed="false">
      <c r="E744" s="34" t="str">
        <f aca="false">MID(B744,9,1)</f>
        <v/>
      </c>
      <c r="F744" s="34" t="str">
        <f aca="false">MID(B744,10,1)</f>
        <v/>
      </c>
      <c r="G744" s="34" t="str">
        <f aca="false">MID(B744,11,1)</f>
        <v/>
      </c>
      <c r="H744" s="35" t="str">
        <f aca="false">IF(G744=".",F744,CONCATENATE(F744,G744))</f>
        <v/>
      </c>
      <c r="I744" s="34" t="n">
        <f aca="false">IFERROR(VALUE(H744),)</f>
        <v>0</v>
      </c>
      <c r="J744" s="34" t="e">
        <f aca="false">RIGHT(B744,LEN(B744)-FIND("/",B744, FIND("Single Cells",B744, 1)))</f>
        <v>#VALUE!</v>
      </c>
    </row>
    <row r="745" customFormat="false" ht="12.75" hidden="false" customHeight="false" outlineLevel="0" collapsed="false">
      <c r="E745" s="34" t="str">
        <f aca="false">MID(B745,9,1)</f>
        <v/>
      </c>
      <c r="F745" s="34" t="str">
        <f aca="false">MID(B745,10,1)</f>
        <v/>
      </c>
      <c r="G745" s="34" t="str">
        <f aca="false">MID(B745,11,1)</f>
        <v/>
      </c>
      <c r="H745" s="35" t="str">
        <f aca="false">IF(G745=".",F745,CONCATENATE(F745,G745))</f>
        <v/>
      </c>
      <c r="I745" s="34" t="n">
        <f aca="false">IFERROR(VALUE(H745),)</f>
        <v>0</v>
      </c>
      <c r="J745" s="34" t="e">
        <f aca="false">RIGHT(B745,LEN(B745)-FIND("/",B745, FIND("Single Cells",B745, 1)))</f>
        <v>#VALUE!</v>
      </c>
    </row>
    <row r="746" customFormat="false" ht="12.75" hidden="false" customHeight="false" outlineLevel="0" collapsed="false">
      <c r="E746" s="34" t="str">
        <f aca="false">MID(B746,9,1)</f>
        <v/>
      </c>
      <c r="F746" s="34" t="str">
        <f aca="false">MID(B746,10,1)</f>
        <v/>
      </c>
      <c r="G746" s="34" t="str">
        <f aca="false">MID(B746,11,1)</f>
        <v/>
      </c>
      <c r="H746" s="35" t="str">
        <f aca="false">IF(G746=".",F746,CONCATENATE(F746,G746))</f>
        <v/>
      </c>
      <c r="I746" s="34" t="n">
        <f aca="false">IFERROR(VALUE(H746),)</f>
        <v>0</v>
      </c>
      <c r="J746" s="34" t="e">
        <f aca="false">RIGHT(B746,LEN(B746)-FIND("/",B746, FIND("Single Cells",B746, 1)))</f>
        <v>#VALUE!</v>
      </c>
    </row>
    <row r="747" customFormat="false" ht="12.75" hidden="false" customHeight="false" outlineLevel="0" collapsed="false">
      <c r="E747" s="34" t="str">
        <f aca="false">MID(B747,9,1)</f>
        <v/>
      </c>
      <c r="F747" s="34" t="str">
        <f aca="false">MID(B747,10,1)</f>
        <v/>
      </c>
      <c r="G747" s="34" t="str">
        <f aca="false">MID(B747,11,1)</f>
        <v/>
      </c>
      <c r="H747" s="35" t="str">
        <f aca="false">IF(G747=".",F747,CONCATENATE(F747,G747))</f>
        <v/>
      </c>
      <c r="I747" s="34" t="n">
        <f aca="false">IFERROR(VALUE(H747),)</f>
        <v>0</v>
      </c>
      <c r="J747" s="34" t="e">
        <f aca="false">RIGHT(B747,LEN(B747)-FIND("/",B747, FIND("Single Cells",B747, 1)))</f>
        <v>#VALUE!</v>
      </c>
    </row>
    <row r="748" customFormat="false" ht="12.75" hidden="false" customHeight="false" outlineLevel="0" collapsed="false">
      <c r="E748" s="34" t="str">
        <f aca="false">MID(B748,9,1)</f>
        <v/>
      </c>
      <c r="F748" s="34" t="str">
        <f aca="false">MID(B748,10,1)</f>
        <v/>
      </c>
      <c r="G748" s="34" t="str">
        <f aca="false">MID(B748,11,1)</f>
        <v/>
      </c>
      <c r="H748" s="35" t="str">
        <f aca="false">IF(G748=".",F748,CONCATENATE(F748,G748))</f>
        <v/>
      </c>
      <c r="I748" s="34" t="n">
        <f aca="false">IFERROR(VALUE(H748),)</f>
        <v>0</v>
      </c>
      <c r="J748" s="34" t="e">
        <f aca="false">RIGHT(B748,LEN(B748)-FIND("/",B748, FIND("Single Cells",B748, 1)))</f>
        <v>#VALUE!</v>
      </c>
    </row>
    <row r="749" customFormat="false" ht="12.75" hidden="false" customHeight="false" outlineLevel="0" collapsed="false">
      <c r="E749" s="34" t="str">
        <f aca="false">MID(B749,9,1)</f>
        <v/>
      </c>
      <c r="F749" s="34" t="str">
        <f aca="false">MID(B749,10,1)</f>
        <v/>
      </c>
      <c r="G749" s="34" t="str">
        <f aca="false">MID(B749,11,1)</f>
        <v/>
      </c>
      <c r="H749" s="35" t="str">
        <f aca="false">IF(G749=".",F749,CONCATENATE(F749,G749))</f>
        <v/>
      </c>
      <c r="I749" s="34" t="n">
        <f aca="false">IFERROR(VALUE(H749),)</f>
        <v>0</v>
      </c>
      <c r="J749" s="34" t="e">
        <f aca="false">RIGHT(B749,LEN(B749)-FIND("/",B749, FIND("Single Cells",B749, 1)))</f>
        <v>#VALUE!</v>
      </c>
    </row>
    <row r="750" customFormat="false" ht="12.75" hidden="false" customHeight="false" outlineLevel="0" collapsed="false">
      <c r="E750" s="34" t="str">
        <f aca="false">MID(B750,9,1)</f>
        <v/>
      </c>
      <c r="F750" s="34" t="str">
        <f aca="false">MID(B750,10,1)</f>
        <v/>
      </c>
      <c r="G750" s="34" t="str">
        <f aca="false">MID(B750,11,1)</f>
        <v/>
      </c>
      <c r="H750" s="35" t="str">
        <f aca="false">IF(G750=".",F750,CONCATENATE(F750,G750))</f>
        <v/>
      </c>
      <c r="I750" s="34" t="n">
        <f aca="false">IFERROR(VALUE(H750),)</f>
        <v>0</v>
      </c>
      <c r="J750" s="34" t="e">
        <f aca="false">RIGHT(B750,LEN(B750)-FIND("/",B750, FIND("Single Cells",B750, 1)))</f>
        <v>#VALUE!</v>
      </c>
    </row>
    <row r="751" customFormat="false" ht="12.75" hidden="false" customHeight="false" outlineLevel="0" collapsed="false">
      <c r="E751" s="34" t="str">
        <f aca="false">MID(B751,9,1)</f>
        <v/>
      </c>
      <c r="F751" s="34" t="str">
        <f aca="false">MID(B751,10,1)</f>
        <v/>
      </c>
      <c r="G751" s="34" t="str">
        <f aca="false">MID(B751,11,1)</f>
        <v/>
      </c>
      <c r="H751" s="35" t="str">
        <f aca="false">IF(G751=".",F751,CONCATENATE(F751,G751))</f>
        <v/>
      </c>
      <c r="I751" s="34" t="n">
        <f aca="false">IFERROR(VALUE(H751),)</f>
        <v>0</v>
      </c>
      <c r="J751" s="34" t="e">
        <f aca="false">RIGHT(B751,LEN(B751)-FIND("/",B751, FIND("Single Cells",B751, 1)))</f>
        <v>#VALUE!</v>
      </c>
    </row>
    <row r="752" customFormat="false" ht="12.75" hidden="false" customHeight="false" outlineLevel="0" collapsed="false">
      <c r="E752" s="34" t="str">
        <f aca="false">MID(B752,9,1)</f>
        <v/>
      </c>
      <c r="F752" s="34" t="str">
        <f aca="false">MID(B752,10,1)</f>
        <v/>
      </c>
      <c r="G752" s="34" t="str">
        <f aca="false">MID(B752,11,1)</f>
        <v/>
      </c>
      <c r="H752" s="35" t="str">
        <f aca="false">IF(G752=".",F752,CONCATENATE(F752,G752))</f>
        <v/>
      </c>
      <c r="I752" s="34" t="n">
        <f aca="false">IFERROR(VALUE(H752),)</f>
        <v>0</v>
      </c>
      <c r="J752" s="34" t="e">
        <f aca="false">RIGHT(B752,LEN(B752)-FIND("/",B752, FIND("Single Cells",B752, 1)))</f>
        <v>#VALUE!</v>
      </c>
    </row>
    <row r="753" customFormat="false" ht="12.75" hidden="false" customHeight="false" outlineLevel="0" collapsed="false">
      <c r="E753" s="34" t="str">
        <f aca="false">MID(B753,9,1)</f>
        <v/>
      </c>
      <c r="F753" s="34" t="str">
        <f aca="false">MID(B753,10,1)</f>
        <v/>
      </c>
      <c r="G753" s="34" t="str">
        <f aca="false">MID(B753,11,1)</f>
        <v/>
      </c>
      <c r="H753" s="35" t="str">
        <f aca="false">IF(G753=".",F753,CONCATENATE(F753,G753))</f>
        <v/>
      </c>
      <c r="I753" s="34" t="n">
        <f aca="false">IFERROR(VALUE(H753),)</f>
        <v>0</v>
      </c>
      <c r="J753" s="34" t="e">
        <f aca="false">RIGHT(B753,LEN(B753)-FIND("/",B753, FIND("Single Cells",B753, 1)))</f>
        <v>#VALUE!</v>
      </c>
    </row>
    <row r="754" customFormat="false" ht="12.75" hidden="false" customHeight="false" outlineLevel="0" collapsed="false">
      <c r="E754" s="34" t="str">
        <f aca="false">MID(B754,9,1)</f>
        <v/>
      </c>
      <c r="F754" s="34" t="str">
        <f aca="false">MID(B754,10,1)</f>
        <v/>
      </c>
      <c r="G754" s="34" t="str">
        <f aca="false">MID(B754,11,1)</f>
        <v/>
      </c>
      <c r="H754" s="35" t="str">
        <f aca="false">IF(G754=".",F754,CONCATENATE(F754,G754))</f>
        <v/>
      </c>
      <c r="I754" s="34" t="n">
        <f aca="false">IFERROR(VALUE(H754),)</f>
        <v>0</v>
      </c>
      <c r="J754" s="34" t="e">
        <f aca="false">RIGHT(B754,LEN(B754)-FIND("/",B754, FIND("Single Cells",B754, 1)))</f>
        <v>#VALUE!</v>
      </c>
    </row>
    <row r="755" customFormat="false" ht="12.75" hidden="false" customHeight="false" outlineLevel="0" collapsed="false">
      <c r="E755" s="34" t="str">
        <f aca="false">MID(B755,9,1)</f>
        <v/>
      </c>
      <c r="F755" s="34" t="str">
        <f aca="false">MID(B755,10,1)</f>
        <v/>
      </c>
      <c r="G755" s="34" t="str">
        <f aca="false">MID(B755,11,1)</f>
        <v/>
      </c>
      <c r="H755" s="35" t="str">
        <f aca="false">IF(G755=".",F755,CONCATENATE(F755,G755))</f>
        <v/>
      </c>
      <c r="I755" s="34" t="n">
        <f aca="false">IFERROR(VALUE(H755),)</f>
        <v>0</v>
      </c>
      <c r="J755" s="34" t="e">
        <f aca="false">RIGHT(B755,LEN(B755)-FIND("/",B755, FIND("Single Cells",B755, 1)))</f>
        <v>#VALUE!</v>
      </c>
    </row>
    <row r="756" customFormat="false" ht="12.75" hidden="false" customHeight="false" outlineLevel="0" collapsed="false">
      <c r="E756" s="34" t="str">
        <f aca="false">MID(B756,9,1)</f>
        <v/>
      </c>
      <c r="F756" s="34" t="str">
        <f aca="false">MID(B756,10,1)</f>
        <v/>
      </c>
      <c r="G756" s="34" t="str">
        <f aca="false">MID(B756,11,1)</f>
        <v/>
      </c>
      <c r="H756" s="35" t="str">
        <f aca="false">IF(G756=".",F756,CONCATENATE(F756,G756))</f>
        <v/>
      </c>
      <c r="I756" s="34" t="n">
        <f aca="false">IFERROR(VALUE(H756),)</f>
        <v>0</v>
      </c>
      <c r="J756" s="34" t="e">
        <f aca="false">RIGHT(B756,LEN(B756)-FIND("/",B756, FIND("Single Cells",B756, 1)))</f>
        <v>#VALUE!</v>
      </c>
    </row>
    <row r="757" customFormat="false" ht="12.75" hidden="false" customHeight="false" outlineLevel="0" collapsed="false">
      <c r="E757" s="34" t="str">
        <f aca="false">MID(B757,9,1)</f>
        <v/>
      </c>
      <c r="F757" s="34" t="str">
        <f aca="false">MID(B757,10,1)</f>
        <v/>
      </c>
      <c r="G757" s="34" t="str">
        <f aca="false">MID(B757,11,1)</f>
        <v/>
      </c>
      <c r="H757" s="35" t="str">
        <f aca="false">IF(G757=".",F757,CONCATENATE(F757,G757))</f>
        <v/>
      </c>
      <c r="I757" s="34" t="n">
        <f aca="false">IFERROR(VALUE(H757),)</f>
        <v>0</v>
      </c>
      <c r="J757" s="34" t="e">
        <f aca="false">RIGHT(B757,LEN(B757)-FIND("/",B757, FIND("Single Cells",B757, 1)))</f>
        <v>#VALUE!</v>
      </c>
    </row>
    <row r="758" customFormat="false" ht="12.75" hidden="false" customHeight="false" outlineLevel="0" collapsed="false">
      <c r="E758" s="34" t="str">
        <f aca="false">MID(B758,9,1)</f>
        <v/>
      </c>
      <c r="F758" s="34" t="str">
        <f aca="false">MID(B758,10,1)</f>
        <v/>
      </c>
      <c r="G758" s="34" t="str">
        <f aca="false">MID(B758,11,1)</f>
        <v/>
      </c>
      <c r="H758" s="35" t="str">
        <f aca="false">IF(G758=".",F758,CONCATENATE(F758,G758))</f>
        <v/>
      </c>
      <c r="I758" s="34" t="n">
        <f aca="false">IFERROR(VALUE(H758),)</f>
        <v>0</v>
      </c>
      <c r="J758" s="34" t="e">
        <f aca="false">RIGHT(B758,LEN(B758)-FIND("/",B758, FIND("Single Cells",B758, 1)))</f>
        <v>#VALUE!</v>
      </c>
    </row>
    <row r="759" customFormat="false" ht="12.75" hidden="false" customHeight="false" outlineLevel="0" collapsed="false">
      <c r="E759" s="34" t="str">
        <f aca="false">MID(B759,9,1)</f>
        <v/>
      </c>
      <c r="F759" s="34" t="str">
        <f aca="false">MID(B759,10,1)</f>
        <v/>
      </c>
      <c r="G759" s="34" t="str">
        <f aca="false">MID(B759,11,1)</f>
        <v/>
      </c>
      <c r="H759" s="35" t="str">
        <f aca="false">IF(G759=".",F759,CONCATENATE(F759,G759))</f>
        <v/>
      </c>
      <c r="I759" s="34" t="n">
        <f aca="false">IFERROR(VALUE(H759),)</f>
        <v>0</v>
      </c>
      <c r="J759" s="34" t="e">
        <f aca="false">RIGHT(B759,LEN(B759)-FIND("/",B759, FIND("Single Cells",B759, 1)))</f>
        <v>#VALUE!</v>
      </c>
    </row>
    <row r="760" customFormat="false" ht="12.75" hidden="false" customHeight="false" outlineLevel="0" collapsed="false">
      <c r="E760" s="34" t="str">
        <f aca="false">MID(B760,9,1)</f>
        <v/>
      </c>
      <c r="F760" s="34" t="str">
        <f aca="false">MID(B760,10,1)</f>
        <v/>
      </c>
      <c r="G760" s="34" t="str">
        <f aca="false">MID(B760,11,1)</f>
        <v/>
      </c>
      <c r="H760" s="35" t="str">
        <f aca="false">IF(G760=".",F760,CONCATENATE(F760,G760))</f>
        <v/>
      </c>
      <c r="I760" s="34" t="n">
        <f aca="false">IFERROR(VALUE(H760),)</f>
        <v>0</v>
      </c>
      <c r="J760" s="34" t="e">
        <f aca="false">RIGHT(B760,LEN(B760)-FIND("/",B760, FIND("Single Cells",B760, 1)))</f>
        <v>#VALUE!</v>
      </c>
    </row>
    <row r="761" customFormat="false" ht="12.75" hidden="false" customHeight="false" outlineLevel="0" collapsed="false">
      <c r="E761" s="34" t="str">
        <f aca="false">MID(B761,9,1)</f>
        <v/>
      </c>
      <c r="F761" s="34" t="str">
        <f aca="false">MID(B761,10,1)</f>
        <v/>
      </c>
      <c r="G761" s="34" t="str">
        <f aca="false">MID(B761,11,1)</f>
        <v/>
      </c>
      <c r="H761" s="35" t="str">
        <f aca="false">IF(G761=".",F761,CONCATENATE(F761,G761))</f>
        <v/>
      </c>
      <c r="I761" s="34" t="n">
        <f aca="false">IFERROR(VALUE(H761),)</f>
        <v>0</v>
      </c>
      <c r="J761" s="34" t="e">
        <f aca="false">RIGHT(B761,LEN(B761)-FIND("/",B761, FIND("Single Cells",B761, 1)))</f>
        <v>#VALUE!</v>
      </c>
    </row>
    <row r="762" customFormat="false" ht="12.75" hidden="false" customHeight="false" outlineLevel="0" collapsed="false">
      <c r="E762" s="34" t="str">
        <f aca="false">MID(B762,9,1)</f>
        <v/>
      </c>
      <c r="F762" s="34" t="str">
        <f aca="false">MID(B762,10,1)</f>
        <v/>
      </c>
      <c r="G762" s="34" t="str">
        <f aca="false">MID(B762,11,1)</f>
        <v/>
      </c>
      <c r="H762" s="35" t="str">
        <f aca="false">IF(G762=".",F762,CONCATENATE(F762,G762))</f>
        <v/>
      </c>
      <c r="I762" s="34" t="n">
        <f aca="false">IFERROR(VALUE(H762),)</f>
        <v>0</v>
      </c>
      <c r="J762" s="34" t="e">
        <f aca="false">RIGHT(B762,LEN(B762)-FIND("/",B762, FIND("Single Cells",B762, 1)))</f>
        <v>#VALUE!</v>
      </c>
    </row>
    <row r="763" customFormat="false" ht="12.75" hidden="false" customHeight="false" outlineLevel="0" collapsed="false">
      <c r="E763" s="34" t="str">
        <f aca="false">MID(B763,9,1)</f>
        <v/>
      </c>
      <c r="F763" s="34" t="str">
        <f aca="false">MID(B763,10,1)</f>
        <v/>
      </c>
      <c r="G763" s="34" t="str">
        <f aca="false">MID(B763,11,1)</f>
        <v/>
      </c>
      <c r="H763" s="35" t="str">
        <f aca="false">IF(G763=".",F763,CONCATENATE(F763,G763))</f>
        <v/>
      </c>
      <c r="I763" s="34" t="n">
        <f aca="false">IFERROR(VALUE(H763),)</f>
        <v>0</v>
      </c>
      <c r="J763" s="34" t="e">
        <f aca="false">RIGHT(B763,LEN(B763)-FIND("/",B763, FIND("Single Cells",B763, 1)))</f>
        <v>#VALUE!</v>
      </c>
    </row>
    <row r="764" customFormat="false" ht="12.75" hidden="false" customHeight="false" outlineLevel="0" collapsed="false">
      <c r="E764" s="34" t="str">
        <f aca="false">MID(B764,9,1)</f>
        <v/>
      </c>
      <c r="F764" s="34" t="str">
        <f aca="false">MID(B764,10,1)</f>
        <v/>
      </c>
      <c r="G764" s="34" t="str">
        <f aca="false">MID(B764,11,1)</f>
        <v/>
      </c>
      <c r="H764" s="35" t="str">
        <f aca="false">IF(G764=".",F764,CONCATENATE(F764,G764))</f>
        <v/>
      </c>
      <c r="I764" s="34" t="n">
        <f aca="false">IFERROR(VALUE(H764),)</f>
        <v>0</v>
      </c>
      <c r="J764" s="34" t="e">
        <f aca="false">RIGHT(B764,LEN(B764)-FIND("/",B764, FIND("Single Cells",B764, 1)))</f>
        <v>#VALUE!</v>
      </c>
    </row>
    <row r="765" customFormat="false" ht="12.75" hidden="false" customHeight="false" outlineLevel="0" collapsed="false">
      <c r="E765" s="34" t="str">
        <f aca="false">MID(B765,9,1)</f>
        <v/>
      </c>
      <c r="F765" s="34" t="str">
        <f aca="false">MID(B765,10,1)</f>
        <v/>
      </c>
      <c r="G765" s="34" t="str">
        <f aca="false">MID(B765,11,1)</f>
        <v/>
      </c>
      <c r="H765" s="35" t="str">
        <f aca="false">IF(G765=".",F765,CONCATENATE(F765,G765))</f>
        <v/>
      </c>
      <c r="I765" s="34" t="n">
        <f aca="false">IFERROR(VALUE(H765),)</f>
        <v>0</v>
      </c>
      <c r="J765" s="34" t="e">
        <f aca="false">RIGHT(B765,LEN(B765)-FIND("/",B765, FIND("Single Cells",B765, 1)))</f>
        <v>#VALUE!</v>
      </c>
    </row>
    <row r="766" customFormat="false" ht="12.75" hidden="false" customHeight="false" outlineLevel="0" collapsed="false">
      <c r="E766" s="34" t="str">
        <f aca="false">MID(B766,9,1)</f>
        <v/>
      </c>
      <c r="F766" s="34" t="str">
        <f aca="false">MID(B766,10,1)</f>
        <v/>
      </c>
      <c r="G766" s="34" t="str">
        <f aca="false">MID(B766,11,1)</f>
        <v/>
      </c>
      <c r="H766" s="35" t="str">
        <f aca="false">IF(G766=".",F766,CONCATENATE(F766,G766))</f>
        <v/>
      </c>
      <c r="I766" s="34" t="n">
        <f aca="false">IFERROR(VALUE(H766),)</f>
        <v>0</v>
      </c>
      <c r="J766" s="34" t="e">
        <f aca="false">RIGHT(B766,LEN(B766)-FIND("/",B766, FIND("Single Cells",B766, 1)))</f>
        <v>#VALUE!</v>
      </c>
    </row>
    <row r="767" customFormat="false" ht="12.75" hidden="false" customHeight="false" outlineLevel="0" collapsed="false">
      <c r="E767" s="34" t="str">
        <f aca="false">MID(B767,9,1)</f>
        <v/>
      </c>
      <c r="F767" s="34" t="str">
        <f aca="false">MID(B767,10,1)</f>
        <v/>
      </c>
      <c r="G767" s="34" t="str">
        <f aca="false">MID(B767,11,1)</f>
        <v/>
      </c>
      <c r="H767" s="35" t="str">
        <f aca="false">IF(G767=".",F767,CONCATENATE(F767,G767))</f>
        <v/>
      </c>
      <c r="I767" s="34" t="n">
        <f aca="false">IFERROR(VALUE(H767),)</f>
        <v>0</v>
      </c>
      <c r="J767" s="34" t="e">
        <f aca="false">RIGHT(B767,LEN(B767)-FIND("/",B767, FIND("Single Cells",B767, 1)))</f>
        <v>#VALUE!</v>
      </c>
    </row>
    <row r="768" customFormat="false" ht="12.75" hidden="false" customHeight="false" outlineLevel="0" collapsed="false">
      <c r="E768" s="34" t="str">
        <f aca="false">MID(B768,9,1)</f>
        <v/>
      </c>
      <c r="F768" s="34" t="str">
        <f aca="false">MID(B768,10,1)</f>
        <v/>
      </c>
      <c r="G768" s="34" t="str">
        <f aca="false">MID(B768,11,1)</f>
        <v/>
      </c>
      <c r="H768" s="35" t="str">
        <f aca="false">IF(G768=".",F768,CONCATENATE(F768,G768))</f>
        <v/>
      </c>
      <c r="I768" s="34" t="n">
        <f aca="false">IFERROR(VALUE(H768),)</f>
        <v>0</v>
      </c>
      <c r="J768" s="34" t="e">
        <f aca="false">RIGHT(B768,LEN(B768)-FIND("/",B768, FIND("Single Cells",B768, 1)))</f>
        <v>#VALUE!</v>
      </c>
    </row>
    <row r="769" customFormat="false" ht="12.75" hidden="false" customHeight="false" outlineLevel="0" collapsed="false">
      <c r="E769" s="34" t="str">
        <f aca="false">MID(B769,9,1)</f>
        <v/>
      </c>
      <c r="F769" s="34" t="str">
        <f aca="false">MID(B769,10,1)</f>
        <v/>
      </c>
      <c r="G769" s="34" t="str">
        <f aca="false">MID(B769,11,1)</f>
        <v/>
      </c>
      <c r="H769" s="35" t="str">
        <f aca="false">IF(G769=".",F769,CONCATENATE(F769,G769))</f>
        <v/>
      </c>
      <c r="I769" s="34" t="n">
        <f aca="false">IFERROR(VALUE(H769),)</f>
        <v>0</v>
      </c>
      <c r="J769" s="34" t="e">
        <f aca="false">RIGHT(B769,LEN(B769)-FIND("/",B769, FIND("Single Cells",B769, 1)))</f>
        <v>#VALUE!</v>
      </c>
    </row>
    <row r="770" customFormat="false" ht="12.75" hidden="false" customHeight="false" outlineLevel="0" collapsed="false">
      <c r="E770" s="34" t="str">
        <f aca="false">MID(B770,9,1)</f>
        <v/>
      </c>
      <c r="F770" s="34" t="str">
        <f aca="false">MID(B770,10,1)</f>
        <v/>
      </c>
      <c r="G770" s="34" t="str">
        <f aca="false">MID(B770,11,1)</f>
        <v/>
      </c>
      <c r="H770" s="35" t="str">
        <f aca="false">IF(G770=".",F770,CONCATENATE(F770,G770))</f>
        <v/>
      </c>
      <c r="I770" s="34" t="n">
        <f aca="false">IFERROR(VALUE(H770),)</f>
        <v>0</v>
      </c>
      <c r="J770" s="34" t="e">
        <f aca="false">RIGHT(B770,LEN(B770)-FIND("/",B770, FIND("Single Cells",B770, 1)))</f>
        <v>#VALUE!</v>
      </c>
    </row>
    <row r="771" customFormat="false" ht="12.75" hidden="false" customHeight="false" outlineLevel="0" collapsed="false">
      <c r="E771" s="34" t="str">
        <f aca="false">MID(B771,9,1)</f>
        <v/>
      </c>
      <c r="F771" s="34" t="str">
        <f aca="false">MID(B771,10,1)</f>
        <v/>
      </c>
      <c r="G771" s="34" t="str">
        <f aca="false">MID(B771,11,1)</f>
        <v/>
      </c>
      <c r="H771" s="35" t="str">
        <f aca="false">IF(G771=".",F771,CONCATENATE(F771,G771))</f>
        <v/>
      </c>
      <c r="I771" s="34" t="n">
        <f aca="false">IFERROR(VALUE(H771),)</f>
        <v>0</v>
      </c>
      <c r="J771" s="34" t="e">
        <f aca="false">RIGHT(B771,LEN(B771)-FIND("/",B771, FIND("Single Cells",B771, 1)))</f>
        <v>#VALUE!</v>
      </c>
    </row>
    <row r="772" customFormat="false" ht="12.75" hidden="false" customHeight="false" outlineLevel="0" collapsed="false">
      <c r="E772" s="34" t="str">
        <f aca="false">MID(B772,9,1)</f>
        <v/>
      </c>
      <c r="F772" s="34" t="str">
        <f aca="false">MID(B772,10,1)</f>
        <v/>
      </c>
      <c r="G772" s="34" t="str">
        <f aca="false">MID(B772,11,1)</f>
        <v/>
      </c>
      <c r="H772" s="35" t="str">
        <f aca="false">IF(G772=".",F772,CONCATENATE(F772,G772))</f>
        <v/>
      </c>
      <c r="I772" s="34" t="n">
        <f aca="false">IFERROR(VALUE(H772),)</f>
        <v>0</v>
      </c>
      <c r="J772" s="34" t="e">
        <f aca="false">RIGHT(B772,LEN(B772)-FIND("/",B772, FIND("Single Cells",B772, 1)))</f>
        <v>#VALUE!</v>
      </c>
    </row>
    <row r="773" customFormat="false" ht="12.75" hidden="false" customHeight="false" outlineLevel="0" collapsed="false">
      <c r="E773" s="34" t="str">
        <f aca="false">MID(B773,9,1)</f>
        <v/>
      </c>
      <c r="F773" s="34" t="str">
        <f aca="false">MID(B773,10,1)</f>
        <v/>
      </c>
      <c r="G773" s="34" t="str">
        <f aca="false">MID(B773,11,1)</f>
        <v/>
      </c>
      <c r="H773" s="35" t="str">
        <f aca="false">IF(G773=".",F773,CONCATENATE(F773,G773))</f>
        <v/>
      </c>
      <c r="I773" s="34" t="n">
        <f aca="false">IFERROR(VALUE(H773),)</f>
        <v>0</v>
      </c>
      <c r="J773" s="34" t="e">
        <f aca="false">RIGHT(B773,LEN(B773)-FIND("/",B773, FIND("Single Cells",B773, 1)))</f>
        <v>#VALUE!</v>
      </c>
    </row>
    <row r="774" customFormat="false" ht="12.75" hidden="false" customHeight="false" outlineLevel="0" collapsed="false">
      <c r="E774" s="34" t="str">
        <f aca="false">MID(B774,9,1)</f>
        <v/>
      </c>
      <c r="F774" s="34" t="str">
        <f aca="false">MID(B774,10,1)</f>
        <v/>
      </c>
      <c r="G774" s="34" t="str">
        <f aca="false">MID(B774,11,1)</f>
        <v/>
      </c>
      <c r="H774" s="35" t="str">
        <f aca="false">IF(G774=".",F774,CONCATENATE(F774,G774))</f>
        <v/>
      </c>
      <c r="I774" s="34" t="n">
        <f aca="false">IFERROR(VALUE(H774),)</f>
        <v>0</v>
      </c>
      <c r="J774" s="34" t="e">
        <f aca="false">RIGHT(B774,LEN(B774)-FIND("/",B774, FIND("Single Cells",B774, 1)))</f>
        <v>#VALUE!</v>
      </c>
    </row>
    <row r="775" customFormat="false" ht="12.75" hidden="false" customHeight="false" outlineLevel="0" collapsed="false">
      <c r="E775" s="34" t="str">
        <f aca="false">MID(B775,9,1)</f>
        <v/>
      </c>
      <c r="F775" s="34" t="str">
        <f aca="false">MID(B775,10,1)</f>
        <v/>
      </c>
      <c r="G775" s="34" t="str">
        <f aca="false">MID(B775,11,1)</f>
        <v/>
      </c>
      <c r="H775" s="35" t="str">
        <f aca="false">IF(G775=".",F775,CONCATENATE(F775,G775))</f>
        <v/>
      </c>
      <c r="I775" s="34" t="n">
        <f aca="false">IFERROR(VALUE(H775),)</f>
        <v>0</v>
      </c>
      <c r="J775" s="34" t="e">
        <f aca="false">RIGHT(B775,LEN(B775)-FIND("/",B775, FIND("Single Cells",B775, 1)))</f>
        <v>#VALUE!</v>
      </c>
    </row>
    <row r="776" customFormat="false" ht="12.75" hidden="false" customHeight="false" outlineLevel="0" collapsed="false">
      <c r="E776" s="34" t="str">
        <f aca="false">MID(B776,9,1)</f>
        <v/>
      </c>
      <c r="F776" s="34" t="str">
        <f aca="false">MID(B776,10,1)</f>
        <v/>
      </c>
      <c r="G776" s="34" t="str">
        <f aca="false">MID(B776,11,1)</f>
        <v/>
      </c>
      <c r="H776" s="35" t="str">
        <f aca="false">IF(G776=".",F776,CONCATENATE(F776,G776))</f>
        <v/>
      </c>
      <c r="I776" s="34" t="n">
        <f aca="false">IFERROR(VALUE(H776),)</f>
        <v>0</v>
      </c>
      <c r="J776" s="34" t="e">
        <f aca="false">RIGHT(B776,LEN(B776)-FIND("/",B776, FIND("Single Cells",B776, 1)))</f>
        <v>#VALUE!</v>
      </c>
    </row>
    <row r="777" customFormat="false" ht="12.75" hidden="false" customHeight="false" outlineLevel="0" collapsed="false">
      <c r="E777" s="34" t="str">
        <f aca="false">MID(B777,9,1)</f>
        <v/>
      </c>
      <c r="F777" s="34" t="str">
        <f aca="false">MID(B777,10,1)</f>
        <v/>
      </c>
      <c r="G777" s="34" t="str">
        <f aca="false">MID(B777,11,1)</f>
        <v/>
      </c>
      <c r="H777" s="35" t="str">
        <f aca="false">IF(G777=".",F777,CONCATENATE(F777,G777))</f>
        <v/>
      </c>
      <c r="I777" s="34" t="n">
        <f aca="false">IFERROR(VALUE(H777),)</f>
        <v>0</v>
      </c>
      <c r="J777" s="34" t="e">
        <f aca="false">RIGHT(B777,LEN(B777)-FIND("/",B777, FIND("Single Cells",B777, 1)))</f>
        <v>#VALUE!</v>
      </c>
    </row>
    <row r="778" customFormat="false" ht="12.75" hidden="false" customHeight="false" outlineLevel="0" collapsed="false">
      <c r="E778" s="34" t="str">
        <f aca="false">MID(B778,9,1)</f>
        <v/>
      </c>
      <c r="F778" s="34" t="str">
        <f aca="false">MID(B778,10,1)</f>
        <v/>
      </c>
      <c r="G778" s="34" t="str">
        <f aca="false">MID(B778,11,1)</f>
        <v/>
      </c>
      <c r="H778" s="35" t="str">
        <f aca="false">IF(G778=".",F778,CONCATENATE(F778,G778))</f>
        <v/>
      </c>
      <c r="I778" s="34" t="n">
        <f aca="false">IFERROR(VALUE(H778),)</f>
        <v>0</v>
      </c>
      <c r="J778" s="34" t="e">
        <f aca="false">RIGHT(B778,LEN(B778)-FIND("/",B778, FIND("Single Cells",B778, 1)))</f>
        <v>#VALUE!</v>
      </c>
    </row>
    <row r="779" customFormat="false" ht="12.75" hidden="false" customHeight="false" outlineLevel="0" collapsed="false">
      <c r="E779" s="34" t="str">
        <f aca="false">MID(B779,9,1)</f>
        <v/>
      </c>
      <c r="F779" s="34" t="str">
        <f aca="false">MID(B779,10,1)</f>
        <v/>
      </c>
      <c r="G779" s="34" t="str">
        <f aca="false">MID(B779,11,1)</f>
        <v/>
      </c>
      <c r="H779" s="35" t="str">
        <f aca="false">IF(G779=".",F779,CONCATENATE(F779,G779))</f>
        <v/>
      </c>
      <c r="I779" s="34" t="n">
        <f aca="false">IFERROR(VALUE(H779),)</f>
        <v>0</v>
      </c>
      <c r="J779" s="34" t="e">
        <f aca="false">RIGHT(B779,LEN(B779)-FIND("/",B779, FIND("Single Cells",B779, 1)))</f>
        <v>#VALUE!</v>
      </c>
    </row>
    <row r="780" customFormat="false" ht="12.75" hidden="false" customHeight="false" outlineLevel="0" collapsed="false">
      <c r="E780" s="34" t="str">
        <f aca="false">MID(B780,9,1)</f>
        <v/>
      </c>
      <c r="F780" s="34" t="str">
        <f aca="false">MID(B780,10,1)</f>
        <v/>
      </c>
      <c r="G780" s="34" t="str">
        <f aca="false">MID(B780,11,1)</f>
        <v/>
      </c>
      <c r="H780" s="35" t="str">
        <f aca="false">IF(G780=".",F780,CONCATENATE(F780,G780))</f>
        <v/>
      </c>
      <c r="I780" s="34" t="n">
        <f aca="false">IFERROR(VALUE(H780),)</f>
        <v>0</v>
      </c>
      <c r="J780" s="34" t="e">
        <f aca="false">RIGHT(B780,LEN(B780)-FIND("/",B780, FIND("Single Cells",B780, 1)))</f>
        <v>#VALUE!</v>
      </c>
    </row>
    <row r="781" customFormat="false" ht="12.75" hidden="false" customHeight="false" outlineLevel="0" collapsed="false">
      <c r="E781" s="34" t="str">
        <f aca="false">MID(B781,9,1)</f>
        <v/>
      </c>
      <c r="F781" s="34" t="str">
        <f aca="false">MID(B781,10,1)</f>
        <v/>
      </c>
      <c r="G781" s="34" t="str">
        <f aca="false">MID(B781,11,1)</f>
        <v/>
      </c>
      <c r="H781" s="35" t="str">
        <f aca="false">IF(G781=".",F781,CONCATENATE(F781,G781))</f>
        <v/>
      </c>
      <c r="I781" s="34" t="n">
        <f aca="false">IFERROR(VALUE(H781),)</f>
        <v>0</v>
      </c>
      <c r="J781" s="34" t="e">
        <f aca="false">RIGHT(B781,LEN(B781)-FIND("/",B781, FIND("Single Cells",B781, 1)))</f>
        <v>#VALUE!</v>
      </c>
    </row>
    <row r="782" customFormat="false" ht="12.75" hidden="false" customHeight="false" outlineLevel="0" collapsed="false">
      <c r="E782" s="34" t="str">
        <f aca="false">MID(B782,9,1)</f>
        <v/>
      </c>
      <c r="F782" s="34" t="str">
        <f aca="false">MID(B782,10,1)</f>
        <v/>
      </c>
      <c r="G782" s="34" t="str">
        <f aca="false">MID(B782,11,1)</f>
        <v/>
      </c>
      <c r="H782" s="35" t="str">
        <f aca="false">IF(G782=".",F782,CONCATENATE(F782,G782))</f>
        <v/>
      </c>
      <c r="I782" s="34" t="n">
        <f aca="false">IFERROR(VALUE(H782),)</f>
        <v>0</v>
      </c>
      <c r="J782" s="34" t="e">
        <f aca="false">RIGHT(B782,LEN(B782)-FIND("/",B782, FIND("Single Cells",B782, 1)))</f>
        <v>#VALUE!</v>
      </c>
    </row>
    <row r="783" customFormat="false" ht="12.75" hidden="false" customHeight="false" outlineLevel="0" collapsed="false">
      <c r="E783" s="34" t="str">
        <f aca="false">MID(B783,9,1)</f>
        <v/>
      </c>
      <c r="F783" s="34" t="str">
        <f aca="false">MID(B783,10,1)</f>
        <v/>
      </c>
      <c r="G783" s="34" t="str">
        <f aca="false">MID(B783,11,1)</f>
        <v/>
      </c>
      <c r="H783" s="35" t="str">
        <f aca="false">IF(G783=".",F783,CONCATENATE(F783,G783))</f>
        <v/>
      </c>
      <c r="I783" s="34" t="n">
        <f aca="false">IFERROR(VALUE(H783),)</f>
        <v>0</v>
      </c>
      <c r="J783" s="34" t="e">
        <f aca="false">RIGHT(B783,LEN(B783)-FIND("/",B783, FIND("Single Cells",B783, 1)))</f>
        <v>#VALUE!</v>
      </c>
    </row>
    <row r="784" customFormat="false" ht="12.75" hidden="false" customHeight="false" outlineLevel="0" collapsed="false">
      <c r="E784" s="34" t="str">
        <f aca="false">MID(B784,9,1)</f>
        <v/>
      </c>
      <c r="F784" s="34" t="str">
        <f aca="false">MID(B784,10,1)</f>
        <v/>
      </c>
      <c r="G784" s="34" t="str">
        <f aca="false">MID(B784,11,1)</f>
        <v/>
      </c>
      <c r="H784" s="35" t="str">
        <f aca="false">IF(G784=".",F784,CONCATENATE(F784,G784))</f>
        <v/>
      </c>
      <c r="I784" s="34" t="n">
        <f aca="false">IFERROR(VALUE(H784),)</f>
        <v>0</v>
      </c>
      <c r="J784" s="34" t="e">
        <f aca="false">RIGHT(B784,LEN(B784)-FIND("/",B784, FIND("Single Cells",B784, 1)))</f>
        <v>#VALUE!</v>
      </c>
    </row>
    <row r="785" customFormat="false" ht="12.75" hidden="false" customHeight="false" outlineLevel="0" collapsed="false">
      <c r="E785" s="34" t="str">
        <f aca="false">MID(B785,9,1)</f>
        <v/>
      </c>
      <c r="F785" s="34" t="str">
        <f aca="false">MID(B785,10,1)</f>
        <v/>
      </c>
      <c r="G785" s="34" t="str">
        <f aca="false">MID(B785,11,1)</f>
        <v/>
      </c>
      <c r="H785" s="35" t="str">
        <f aca="false">IF(G785=".",F785,CONCATENATE(F785,G785))</f>
        <v/>
      </c>
      <c r="I785" s="34" t="n">
        <f aca="false">IFERROR(VALUE(H785),)</f>
        <v>0</v>
      </c>
      <c r="J785" s="34" t="e">
        <f aca="false">RIGHT(B785,LEN(B785)-FIND("/",B785, FIND("Single Cells",B785, 1)))</f>
        <v>#VALUE!</v>
      </c>
    </row>
    <row r="786" customFormat="false" ht="12.75" hidden="false" customHeight="false" outlineLevel="0" collapsed="false">
      <c r="E786" s="34" t="str">
        <f aca="false">MID(B786,9,1)</f>
        <v/>
      </c>
      <c r="F786" s="34" t="str">
        <f aca="false">MID(B786,10,1)</f>
        <v/>
      </c>
      <c r="G786" s="34" t="str">
        <f aca="false">MID(B786,11,1)</f>
        <v/>
      </c>
      <c r="H786" s="35" t="str">
        <f aca="false">IF(G786=".",F786,CONCATENATE(F786,G786))</f>
        <v/>
      </c>
      <c r="I786" s="34" t="n">
        <f aca="false">IFERROR(VALUE(H786),)</f>
        <v>0</v>
      </c>
      <c r="J786" s="34" t="e">
        <f aca="false">RIGHT(B786,LEN(B786)-FIND("/",B786, FIND("Single Cells",B786, 1)))</f>
        <v>#VALUE!</v>
      </c>
    </row>
    <row r="787" customFormat="false" ht="12.75" hidden="false" customHeight="false" outlineLevel="0" collapsed="false">
      <c r="E787" s="34" t="str">
        <f aca="false">MID(B787,9,1)</f>
        <v/>
      </c>
      <c r="F787" s="34" t="str">
        <f aca="false">MID(B787,10,1)</f>
        <v/>
      </c>
      <c r="G787" s="34" t="str">
        <f aca="false">MID(B787,11,1)</f>
        <v/>
      </c>
      <c r="H787" s="35" t="str">
        <f aca="false">IF(G787=".",F787,CONCATENATE(F787,G787))</f>
        <v/>
      </c>
      <c r="I787" s="34" t="n">
        <f aca="false">IFERROR(VALUE(H787),)</f>
        <v>0</v>
      </c>
      <c r="J787" s="34" t="e">
        <f aca="false">RIGHT(B787,LEN(B787)-FIND("/",B787, FIND("Single Cells",B787, 1)))</f>
        <v>#VALUE!</v>
      </c>
    </row>
    <row r="788" customFormat="false" ht="12.75" hidden="false" customHeight="false" outlineLevel="0" collapsed="false">
      <c r="E788" s="34" t="str">
        <f aca="false">MID(B788,9,1)</f>
        <v/>
      </c>
      <c r="F788" s="34" t="str">
        <f aca="false">MID(B788,10,1)</f>
        <v/>
      </c>
      <c r="G788" s="34" t="str">
        <f aca="false">MID(B788,11,1)</f>
        <v/>
      </c>
      <c r="H788" s="35" t="str">
        <f aca="false">IF(G788=".",F788,CONCATENATE(F788,G788))</f>
        <v/>
      </c>
      <c r="I788" s="34" t="n">
        <f aca="false">IFERROR(VALUE(H788),)</f>
        <v>0</v>
      </c>
      <c r="J788" s="34" t="e">
        <f aca="false">RIGHT(B788,LEN(B788)-FIND("/",B788, FIND("Single Cells",B788, 1)))</f>
        <v>#VALUE!</v>
      </c>
    </row>
    <row r="789" customFormat="false" ht="12.75" hidden="false" customHeight="false" outlineLevel="0" collapsed="false">
      <c r="E789" s="34" t="str">
        <f aca="false">MID(B789,9,1)</f>
        <v/>
      </c>
      <c r="F789" s="34" t="str">
        <f aca="false">MID(B789,10,1)</f>
        <v/>
      </c>
      <c r="G789" s="34" t="str">
        <f aca="false">MID(B789,11,1)</f>
        <v/>
      </c>
      <c r="H789" s="35" t="str">
        <f aca="false">IF(G789=".",F789,CONCATENATE(F789,G789))</f>
        <v/>
      </c>
      <c r="I789" s="34" t="n">
        <f aca="false">IFERROR(VALUE(H789),)</f>
        <v>0</v>
      </c>
      <c r="J789" s="34" t="e">
        <f aca="false">RIGHT(B789,LEN(B789)-FIND("/",B789, FIND("Single Cells",B789, 1)))</f>
        <v>#VALUE!</v>
      </c>
    </row>
    <row r="790" customFormat="false" ht="12.75" hidden="false" customHeight="false" outlineLevel="0" collapsed="false">
      <c r="E790" s="34" t="str">
        <f aca="false">MID(B790,9,1)</f>
        <v/>
      </c>
      <c r="F790" s="34" t="str">
        <f aca="false">MID(B790,10,1)</f>
        <v/>
      </c>
      <c r="G790" s="34" t="str">
        <f aca="false">MID(B790,11,1)</f>
        <v/>
      </c>
      <c r="H790" s="35" t="str">
        <f aca="false">IF(G790=".",F790,CONCATENATE(F790,G790))</f>
        <v/>
      </c>
      <c r="I790" s="34" t="n">
        <f aca="false">IFERROR(VALUE(H790),)</f>
        <v>0</v>
      </c>
      <c r="J790" s="34" t="e">
        <f aca="false">RIGHT(B790,LEN(B790)-FIND("/",B790, FIND("Single Cells",B790, 1)))</f>
        <v>#VALUE!</v>
      </c>
    </row>
    <row r="791" customFormat="false" ht="12.75" hidden="false" customHeight="false" outlineLevel="0" collapsed="false">
      <c r="E791" s="34" t="str">
        <f aca="false">MID(B791,9,1)</f>
        <v/>
      </c>
      <c r="F791" s="34" t="str">
        <f aca="false">MID(B791,10,1)</f>
        <v/>
      </c>
      <c r="G791" s="34" t="str">
        <f aca="false">MID(B791,11,1)</f>
        <v/>
      </c>
      <c r="H791" s="35" t="str">
        <f aca="false">IF(G791=".",F791,CONCATENATE(F791,G791))</f>
        <v/>
      </c>
      <c r="I791" s="34" t="n">
        <f aca="false">IFERROR(VALUE(H791),)</f>
        <v>0</v>
      </c>
      <c r="J791" s="34" t="e">
        <f aca="false">RIGHT(B791,LEN(B791)-FIND("/",B791, FIND("Single Cells",B791, 1)))</f>
        <v>#VALUE!</v>
      </c>
    </row>
    <row r="792" customFormat="false" ht="12.75" hidden="false" customHeight="false" outlineLevel="0" collapsed="false">
      <c r="E792" s="34" t="str">
        <f aca="false">MID(B792,9,1)</f>
        <v/>
      </c>
      <c r="F792" s="34" t="str">
        <f aca="false">MID(B792,10,1)</f>
        <v/>
      </c>
      <c r="G792" s="34" t="str">
        <f aca="false">MID(B792,11,1)</f>
        <v/>
      </c>
      <c r="H792" s="35" t="str">
        <f aca="false">IF(G792=".",F792,CONCATENATE(F792,G792))</f>
        <v/>
      </c>
      <c r="I792" s="34" t="n">
        <f aca="false">IFERROR(VALUE(H792),)</f>
        <v>0</v>
      </c>
      <c r="J792" s="34" t="e">
        <f aca="false">RIGHT(B792,LEN(B792)-FIND("/",B792, FIND("Single Cells",B792, 1)))</f>
        <v>#VALUE!</v>
      </c>
    </row>
    <row r="793" customFormat="false" ht="12.75" hidden="false" customHeight="false" outlineLevel="0" collapsed="false">
      <c r="E793" s="34" t="str">
        <f aca="false">MID(B793,9,1)</f>
        <v/>
      </c>
      <c r="F793" s="34" t="str">
        <f aca="false">MID(B793,10,1)</f>
        <v/>
      </c>
      <c r="G793" s="34" t="str">
        <f aca="false">MID(B793,11,1)</f>
        <v/>
      </c>
      <c r="H793" s="35" t="str">
        <f aca="false">IF(G793=".",F793,CONCATENATE(F793,G793))</f>
        <v/>
      </c>
      <c r="I793" s="34" t="n">
        <f aca="false">IFERROR(VALUE(H793),)</f>
        <v>0</v>
      </c>
      <c r="J793" s="34" t="e">
        <f aca="false">RIGHT(B793,LEN(B793)-FIND("/",B793, FIND("Single Cells",B793, 1)))</f>
        <v>#VALUE!</v>
      </c>
    </row>
    <row r="794" customFormat="false" ht="12.75" hidden="false" customHeight="false" outlineLevel="0" collapsed="false">
      <c r="E794" s="34" t="str">
        <f aca="false">MID(B794,9,1)</f>
        <v/>
      </c>
      <c r="F794" s="34" t="str">
        <f aca="false">MID(B794,10,1)</f>
        <v/>
      </c>
      <c r="G794" s="34" t="str">
        <f aca="false">MID(B794,11,1)</f>
        <v/>
      </c>
      <c r="H794" s="35" t="str">
        <f aca="false">IF(G794=".",F794,CONCATENATE(F794,G794))</f>
        <v/>
      </c>
      <c r="I794" s="34" t="n">
        <f aca="false">IFERROR(VALUE(H794),)</f>
        <v>0</v>
      </c>
      <c r="J794" s="34" t="e">
        <f aca="false">RIGHT(B794,LEN(B794)-FIND("/",B794, FIND("Single Cells",B794, 1)))</f>
        <v>#VALUE!</v>
      </c>
    </row>
    <row r="795" customFormat="false" ht="12.75" hidden="false" customHeight="false" outlineLevel="0" collapsed="false">
      <c r="E795" s="34" t="str">
        <f aca="false">MID(B795,9,1)</f>
        <v/>
      </c>
      <c r="F795" s="34" t="str">
        <f aca="false">MID(B795,10,1)</f>
        <v/>
      </c>
      <c r="G795" s="34" t="str">
        <f aca="false">MID(B795,11,1)</f>
        <v/>
      </c>
      <c r="H795" s="35" t="str">
        <f aca="false">IF(G795=".",F795,CONCATENATE(F795,G795))</f>
        <v/>
      </c>
      <c r="I795" s="34" t="n">
        <f aca="false">IFERROR(VALUE(H795),)</f>
        <v>0</v>
      </c>
      <c r="J795" s="34" t="e">
        <f aca="false">RIGHT(B795,LEN(B795)-FIND("/",B795, FIND("Single Cells",B795, 1)))</f>
        <v>#VALUE!</v>
      </c>
    </row>
    <row r="796" customFormat="false" ht="12.75" hidden="false" customHeight="false" outlineLevel="0" collapsed="false">
      <c r="E796" s="34" t="str">
        <f aca="false">MID(B796,9,1)</f>
        <v/>
      </c>
      <c r="F796" s="34" t="str">
        <f aca="false">MID(B796,10,1)</f>
        <v/>
      </c>
      <c r="G796" s="34" t="str">
        <f aca="false">MID(B796,11,1)</f>
        <v/>
      </c>
      <c r="H796" s="35" t="str">
        <f aca="false">IF(G796=".",F796,CONCATENATE(F796,G796))</f>
        <v/>
      </c>
      <c r="I796" s="34" t="n">
        <f aca="false">IFERROR(VALUE(H796),)</f>
        <v>0</v>
      </c>
      <c r="J796" s="34" t="e">
        <f aca="false">RIGHT(B796,LEN(B796)-FIND("/",B796, FIND("Single Cells",B796, 1)))</f>
        <v>#VALUE!</v>
      </c>
    </row>
    <row r="797" customFormat="false" ht="12.75" hidden="false" customHeight="false" outlineLevel="0" collapsed="false">
      <c r="E797" s="34" t="str">
        <f aca="false">MID(B797,9,1)</f>
        <v/>
      </c>
      <c r="F797" s="34" t="str">
        <f aca="false">MID(B797,10,1)</f>
        <v/>
      </c>
      <c r="G797" s="34" t="str">
        <f aca="false">MID(B797,11,1)</f>
        <v/>
      </c>
      <c r="H797" s="35" t="str">
        <f aca="false">IF(G797=".",F797,CONCATENATE(F797,G797))</f>
        <v/>
      </c>
      <c r="I797" s="34" t="n">
        <f aca="false">IFERROR(VALUE(H797),)</f>
        <v>0</v>
      </c>
      <c r="J797" s="34" t="e">
        <f aca="false">RIGHT(B797,LEN(B797)-FIND("/",B797, FIND("Single Cells",B797, 1)))</f>
        <v>#VALUE!</v>
      </c>
    </row>
    <row r="798" customFormat="false" ht="12.75" hidden="false" customHeight="false" outlineLevel="0" collapsed="false">
      <c r="E798" s="34" t="str">
        <f aca="false">MID(B798,9,1)</f>
        <v/>
      </c>
      <c r="F798" s="34" t="str">
        <f aca="false">MID(B798,10,1)</f>
        <v/>
      </c>
      <c r="G798" s="34" t="str">
        <f aca="false">MID(B798,11,1)</f>
        <v/>
      </c>
      <c r="H798" s="35" t="str">
        <f aca="false">IF(G798=".",F798,CONCATENATE(F798,G798))</f>
        <v/>
      </c>
      <c r="I798" s="34" t="n">
        <f aca="false">IFERROR(VALUE(H798),)</f>
        <v>0</v>
      </c>
      <c r="J798" s="34" t="e">
        <f aca="false">RIGHT(B798,LEN(B798)-FIND("/",B798, FIND("Single Cells",B798, 1)))</f>
        <v>#VALUE!</v>
      </c>
    </row>
    <row r="799" customFormat="false" ht="12.75" hidden="false" customHeight="false" outlineLevel="0" collapsed="false">
      <c r="E799" s="34" t="str">
        <f aca="false">MID(B799,9,1)</f>
        <v/>
      </c>
      <c r="F799" s="34" t="str">
        <f aca="false">MID(B799,10,1)</f>
        <v/>
      </c>
      <c r="G799" s="34" t="str">
        <f aca="false">MID(B799,11,1)</f>
        <v/>
      </c>
      <c r="H799" s="35" t="str">
        <f aca="false">IF(G799=".",F799,CONCATENATE(F799,G799))</f>
        <v/>
      </c>
      <c r="I799" s="34" t="n">
        <f aca="false">IFERROR(VALUE(H799),)</f>
        <v>0</v>
      </c>
      <c r="J799" s="34" t="e">
        <f aca="false">RIGHT(B799,LEN(B799)-FIND("/",B799, FIND("Single Cells",B799, 1)))</f>
        <v>#VALUE!</v>
      </c>
    </row>
    <row r="800" customFormat="false" ht="12.75" hidden="false" customHeight="false" outlineLevel="0" collapsed="false">
      <c r="E800" s="34" t="str">
        <f aca="false">MID(B800,9,1)</f>
        <v/>
      </c>
      <c r="F800" s="34" t="str">
        <f aca="false">MID(B800,10,1)</f>
        <v/>
      </c>
      <c r="G800" s="34" t="str">
        <f aca="false">MID(B800,11,1)</f>
        <v/>
      </c>
      <c r="H800" s="35" t="str">
        <f aca="false">IF(G800=".",F800,CONCATENATE(F800,G800))</f>
        <v/>
      </c>
      <c r="I800" s="34" t="n">
        <f aca="false">IFERROR(VALUE(H800),)</f>
        <v>0</v>
      </c>
      <c r="J800" s="34" t="e">
        <f aca="false">RIGHT(B800,LEN(B800)-FIND("/",B800, FIND("Single Cells",B800, 1)))</f>
        <v>#VALUE!</v>
      </c>
    </row>
    <row r="801" customFormat="false" ht="12.75" hidden="false" customHeight="false" outlineLevel="0" collapsed="false">
      <c r="E801" s="34" t="str">
        <f aca="false">MID(B801,9,1)</f>
        <v/>
      </c>
      <c r="F801" s="34" t="str">
        <f aca="false">MID(B801,10,1)</f>
        <v/>
      </c>
      <c r="G801" s="34" t="str">
        <f aca="false">MID(B801,11,1)</f>
        <v/>
      </c>
      <c r="H801" s="35" t="str">
        <f aca="false">IF(G801=".",F801,CONCATENATE(F801,G801))</f>
        <v/>
      </c>
      <c r="I801" s="34" t="n">
        <f aca="false">IFERROR(VALUE(H801),)</f>
        <v>0</v>
      </c>
      <c r="J801" s="34" t="e">
        <f aca="false">RIGHT(B801,LEN(B801)-FIND("/",B801, FIND("Single Cells",B801, 1)))</f>
        <v>#VALUE!</v>
      </c>
    </row>
    <row r="802" customFormat="false" ht="12.75" hidden="false" customHeight="false" outlineLevel="0" collapsed="false">
      <c r="E802" s="34" t="str">
        <f aca="false">MID(B802,9,1)</f>
        <v/>
      </c>
      <c r="F802" s="34" t="str">
        <f aca="false">MID(B802,10,1)</f>
        <v/>
      </c>
      <c r="G802" s="34" t="str">
        <f aca="false">MID(B802,11,1)</f>
        <v/>
      </c>
      <c r="H802" s="35" t="str">
        <f aca="false">IF(G802=".",F802,CONCATENATE(F802,G802))</f>
        <v/>
      </c>
      <c r="I802" s="34" t="n">
        <f aca="false">IFERROR(VALUE(H802),)</f>
        <v>0</v>
      </c>
      <c r="J802" s="34" t="e">
        <f aca="false">RIGHT(B802,LEN(B802)-FIND("/",B802, FIND("Single Cells",B802, 1)))</f>
        <v>#VALUE!</v>
      </c>
    </row>
    <row r="803" customFormat="false" ht="12.75" hidden="false" customHeight="false" outlineLevel="0" collapsed="false">
      <c r="E803" s="34" t="str">
        <f aca="false">MID(B803,9,1)</f>
        <v/>
      </c>
      <c r="F803" s="34" t="str">
        <f aca="false">MID(B803,10,1)</f>
        <v/>
      </c>
      <c r="G803" s="34" t="str">
        <f aca="false">MID(B803,11,1)</f>
        <v/>
      </c>
      <c r="H803" s="35" t="str">
        <f aca="false">IF(G803=".",F803,CONCATENATE(F803,G803))</f>
        <v/>
      </c>
      <c r="I803" s="34" t="n">
        <f aca="false">IFERROR(VALUE(H803),)</f>
        <v>0</v>
      </c>
      <c r="J803" s="34" t="e">
        <f aca="false">RIGHT(B803,LEN(B803)-FIND("/",B803, FIND("Single Cells",B803, 1)))</f>
        <v>#VALUE!</v>
      </c>
    </row>
    <row r="804" customFormat="false" ht="12.75" hidden="false" customHeight="false" outlineLevel="0" collapsed="false">
      <c r="E804" s="34" t="str">
        <f aca="false">MID(B804,9,1)</f>
        <v/>
      </c>
      <c r="F804" s="34" t="str">
        <f aca="false">MID(B804,10,1)</f>
        <v/>
      </c>
      <c r="G804" s="34" t="str">
        <f aca="false">MID(B804,11,1)</f>
        <v/>
      </c>
      <c r="H804" s="35" t="str">
        <f aca="false">IF(G804=".",F804,CONCATENATE(F804,G804))</f>
        <v/>
      </c>
      <c r="I804" s="34" t="n">
        <f aca="false">IFERROR(VALUE(H804),)</f>
        <v>0</v>
      </c>
      <c r="J804" s="34" t="e">
        <f aca="false">RIGHT(B804,LEN(B804)-FIND("/",B804, FIND("Single Cells",B804, 1)))</f>
        <v>#VALUE!</v>
      </c>
    </row>
    <row r="805" customFormat="false" ht="12.75" hidden="false" customHeight="false" outlineLevel="0" collapsed="false">
      <c r="E805" s="34" t="str">
        <f aca="false">MID(B805,9,1)</f>
        <v/>
      </c>
      <c r="F805" s="34" t="str">
        <f aca="false">MID(B805,10,1)</f>
        <v/>
      </c>
      <c r="G805" s="34" t="str">
        <f aca="false">MID(B805,11,1)</f>
        <v/>
      </c>
      <c r="H805" s="35" t="str">
        <f aca="false">IF(G805=".",F805,CONCATENATE(F805,G805))</f>
        <v/>
      </c>
      <c r="I805" s="34" t="n">
        <f aca="false">IFERROR(VALUE(H805),)</f>
        <v>0</v>
      </c>
      <c r="J805" s="34" t="e">
        <f aca="false">RIGHT(B805,LEN(B805)-FIND("/",B805, FIND("Single Cells",B805, 1)))</f>
        <v>#VALUE!</v>
      </c>
    </row>
    <row r="806" customFormat="false" ht="12.75" hidden="false" customHeight="false" outlineLevel="0" collapsed="false">
      <c r="E806" s="34" t="str">
        <f aca="false">MID(B806,9,1)</f>
        <v/>
      </c>
      <c r="F806" s="34" t="str">
        <f aca="false">MID(B806,10,1)</f>
        <v/>
      </c>
      <c r="G806" s="34" t="str">
        <f aca="false">MID(B806,11,1)</f>
        <v/>
      </c>
      <c r="H806" s="35" t="str">
        <f aca="false">IF(G806=".",F806,CONCATENATE(F806,G806))</f>
        <v/>
      </c>
      <c r="I806" s="34" t="n">
        <f aca="false">IFERROR(VALUE(H806),)</f>
        <v>0</v>
      </c>
      <c r="J806" s="34" t="e">
        <f aca="false">RIGHT(B806,LEN(B806)-FIND("/",B806, FIND("Single Cells",B806, 1)))</f>
        <v>#VALUE!</v>
      </c>
    </row>
    <row r="807" customFormat="false" ht="12.75" hidden="false" customHeight="false" outlineLevel="0" collapsed="false">
      <c r="E807" s="34" t="str">
        <f aca="false">MID(B807,9,1)</f>
        <v/>
      </c>
      <c r="F807" s="34" t="str">
        <f aca="false">MID(B807,10,1)</f>
        <v/>
      </c>
      <c r="G807" s="34" t="str">
        <f aca="false">MID(B807,11,1)</f>
        <v/>
      </c>
      <c r="H807" s="35" t="str">
        <f aca="false">IF(G807=".",F807,CONCATENATE(F807,G807))</f>
        <v/>
      </c>
      <c r="I807" s="34" t="n">
        <f aca="false">IFERROR(VALUE(H807),)</f>
        <v>0</v>
      </c>
      <c r="J807" s="34" t="e">
        <f aca="false">RIGHT(B807,LEN(B807)-FIND("/",B807, FIND("Single Cells",B807, 1)))</f>
        <v>#VALUE!</v>
      </c>
    </row>
    <row r="808" customFormat="false" ht="12.75" hidden="false" customHeight="false" outlineLevel="0" collapsed="false">
      <c r="E808" s="34" t="str">
        <f aca="false">MID(B808,9,1)</f>
        <v/>
      </c>
      <c r="F808" s="34" t="str">
        <f aca="false">MID(B808,10,1)</f>
        <v/>
      </c>
      <c r="G808" s="34" t="str">
        <f aca="false">MID(B808,11,1)</f>
        <v/>
      </c>
      <c r="H808" s="35" t="str">
        <f aca="false">IF(G808=".",F808,CONCATENATE(F808,G808))</f>
        <v/>
      </c>
      <c r="I808" s="34" t="n">
        <f aca="false">IFERROR(VALUE(H808),)</f>
        <v>0</v>
      </c>
      <c r="J808" s="34" t="e">
        <f aca="false">RIGHT(B808,LEN(B808)-FIND("/",B808, FIND("Single Cells",B808, 1)))</f>
        <v>#VALUE!</v>
      </c>
    </row>
    <row r="809" customFormat="false" ht="12.75" hidden="false" customHeight="false" outlineLevel="0" collapsed="false">
      <c r="E809" s="34" t="str">
        <f aca="false">MID(B809,9,1)</f>
        <v/>
      </c>
      <c r="F809" s="34" t="str">
        <f aca="false">MID(B809,10,1)</f>
        <v/>
      </c>
      <c r="G809" s="34" t="str">
        <f aca="false">MID(B809,11,1)</f>
        <v/>
      </c>
      <c r="H809" s="35" t="str">
        <f aca="false">IF(G809=".",F809,CONCATENATE(F809,G809))</f>
        <v/>
      </c>
      <c r="I809" s="34" t="n">
        <f aca="false">IFERROR(VALUE(H809),)</f>
        <v>0</v>
      </c>
      <c r="J809" s="34" t="e">
        <f aca="false">RIGHT(B809,LEN(B809)-FIND("/",B809, FIND("Single Cells",B809, 1)))</f>
        <v>#VALUE!</v>
      </c>
    </row>
    <row r="810" customFormat="false" ht="12.75" hidden="false" customHeight="false" outlineLevel="0" collapsed="false">
      <c r="E810" s="34" t="str">
        <f aca="false">MID(B810,9,1)</f>
        <v/>
      </c>
      <c r="F810" s="34" t="str">
        <f aca="false">MID(B810,10,1)</f>
        <v/>
      </c>
      <c r="G810" s="34" t="str">
        <f aca="false">MID(B810,11,1)</f>
        <v/>
      </c>
      <c r="H810" s="35" t="str">
        <f aca="false">IF(G810=".",F810,CONCATENATE(F810,G810))</f>
        <v/>
      </c>
      <c r="I810" s="34" t="n">
        <f aca="false">IFERROR(VALUE(H810),)</f>
        <v>0</v>
      </c>
      <c r="J810" s="34" t="e">
        <f aca="false">RIGHT(B810,LEN(B810)-FIND("/",B810, FIND("Single Cells",B810, 1)))</f>
        <v>#VALUE!</v>
      </c>
    </row>
    <row r="811" customFormat="false" ht="12.75" hidden="false" customHeight="false" outlineLevel="0" collapsed="false">
      <c r="E811" s="34" t="str">
        <f aca="false">MID(B811,9,1)</f>
        <v/>
      </c>
      <c r="F811" s="34" t="str">
        <f aca="false">MID(B811,10,1)</f>
        <v/>
      </c>
      <c r="G811" s="34" t="str">
        <f aca="false">MID(B811,11,1)</f>
        <v/>
      </c>
      <c r="H811" s="35" t="str">
        <f aca="false">IF(G811=".",F811,CONCATENATE(F811,G811))</f>
        <v/>
      </c>
      <c r="I811" s="34" t="n">
        <f aca="false">IFERROR(VALUE(H811),)</f>
        <v>0</v>
      </c>
      <c r="J811" s="34" t="e">
        <f aca="false">RIGHT(B811,LEN(B811)-FIND("/",B811, FIND("Single Cells",B811, 1)))</f>
        <v>#VALUE!</v>
      </c>
    </row>
    <row r="812" customFormat="false" ht="12.75" hidden="false" customHeight="false" outlineLevel="0" collapsed="false">
      <c r="E812" s="34" t="str">
        <f aca="false">MID(B812,9,1)</f>
        <v/>
      </c>
      <c r="F812" s="34" t="str">
        <f aca="false">MID(B812,10,1)</f>
        <v/>
      </c>
      <c r="G812" s="34" t="str">
        <f aca="false">MID(B812,11,1)</f>
        <v/>
      </c>
      <c r="H812" s="35" t="str">
        <f aca="false">IF(G812=".",F812,CONCATENATE(F812,G812))</f>
        <v/>
      </c>
      <c r="I812" s="34" t="n">
        <f aca="false">IFERROR(VALUE(H812),)</f>
        <v>0</v>
      </c>
      <c r="J812" s="34" t="e">
        <f aca="false">RIGHT(B812,LEN(B812)-FIND("/",B812, FIND("Single Cells",B812, 1)))</f>
        <v>#VALUE!</v>
      </c>
    </row>
    <row r="813" customFormat="false" ht="12.75" hidden="false" customHeight="false" outlineLevel="0" collapsed="false">
      <c r="E813" s="34" t="str">
        <f aca="false">MID(B813,9,1)</f>
        <v/>
      </c>
      <c r="F813" s="34" t="str">
        <f aca="false">MID(B813,10,1)</f>
        <v/>
      </c>
      <c r="G813" s="34" t="str">
        <f aca="false">MID(B813,11,1)</f>
        <v/>
      </c>
      <c r="H813" s="35" t="str">
        <f aca="false">IF(G813=".",F813,CONCATENATE(F813,G813))</f>
        <v/>
      </c>
      <c r="I813" s="34" t="n">
        <f aca="false">IFERROR(VALUE(H813),)</f>
        <v>0</v>
      </c>
      <c r="J813" s="34" t="e">
        <f aca="false">RIGHT(B813,LEN(B813)-FIND("/",B813, FIND("Single Cells",B813, 1)))</f>
        <v>#VALUE!</v>
      </c>
    </row>
    <row r="814" customFormat="false" ht="12.75" hidden="false" customHeight="false" outlineLevel="0" collapsed="false">
      <c r="E814" s="34" t="str">
        <f aca="false">MID(B814,9,1)</f>
        <v/>
      </c>
      <c r="F814" s="34" t="str">
        <f aca="false">MID(B814,10,1)</f>
        <v/>
      </c>
      <c r="G814" s="34" t="str">
        <f aca="false">MID(B814,11,1)</f>
        <v/>
      </c>
      <c r="H814" s="35" t="str">
        <f aca="false">IF(G814=".",F814,CONCATENATE(F814,G814))</f>
        <v/>
      </c>
      <c r="I814" s="34" t="n">
        <f aca="false">IFERROR(VALUE(H814),)</f>
        <v>0</v>
      </c>
      <c r="J814" s="34" t="e">
        <f aca="false">RIGHT(B814,LEN(B814)-FIND("/",B814, FIND("Single Cells",B814, 1)))</f>
        <v>#VALUE!</v>
      </c>
    </row>
    <row r="815" customFormat="false" ht="12.75" hidden="false" customHeight="false" outlineLevel="0" collapsed="false">
      <c r="E815" s="34" t="str">
        <f aca="false">MID(B815,9,1)</f>
        <v/>
      </c>
      <c r="F815" s="34" t="str">
        <f aca="false">MID(B815,10,1)</f>
        <v/>
      </c>
      <c r="G815" s="34" t="str">
        <f aca="false">MID(B815,11,1)</f>
        <v/>
      </c>
      <c r="H815" s="35" t="str">
        <f aca="false">IF(G815=".",F815,CONCATENATE(F815,G815))</f>
        <v/>
      </c>
      <c r="I815" s="34" t="n">
        <f aca="false">IFERROR(VALUE(H815),)</f>
        <v>0</v>
      </c>
      <c r="J815" s="34" t="e">
        <f aca="false">RIGHT(B815,LEN(B815)-FIND("/",B815, FIND("Single Cells",B815, 1)))</f>
        <v>#VALUE!</v>
      </c>
    </row>
    <row r="816" customFormat="false" ht="12.75" hidden="false" customHeight="false" outlineLevel="0" collapsed="false">
      <c r="E816" s="34" t="str">
        <f aca="false">MID(B816,9,1)</f>
        <v/>
      </c>
      <c r="F816" s="34" t="str">
        <f aca="false">MID(B816,10,1)</f>
        <v/>
      </c>
      <c r="G816" s="34" t="str">
        <f aca="false">MID(B816,11,1)</f>
        <v/>
      </c>
      <c r="H816" s="35" t="str">
        <f aca="false">IF(G816=".",F816,CONCATENATE(F816,G816))</f>
        <v/>
      </c>
      <c r="I816" s="34" t="n">
        <f aca="false">IFERROR(VALUE(H816),)</f>
        <v>0</v>
      </c>
      <c r="J816" s="34" t="e">
        <f aca="false">RIGHT(B816,LEN(B816)-FIND("/",B816, FIND("Single Cells",B816, 1)))</f>
        <v>#VALUE!</v>
      </c>
    </row>
    <row r="817" customFormat="false" ht="12.75" hidden="false" customHeight="false" outlineLevel="0" collapsed="false">
      <c r="E817" s="34" t="str">
        <f aca="false">MID(B817,9,1)</f>
        <v/>
      </c>
      <c r="F817" s="34" t="str">
        <f aca="false">MID(B817,10,1)</f>
        <v/>
      </c>
      <c r="G817" s="34" t="str">
        <f aca="false">MID(B817,11,1)</f>
        <v/>
      </c>
      <c r="H817" s="35" t="str">
        <f aca="false">IF(G817=".",F817,CONCATENATE(F817,G817))</f>
        <v/>
      </c>
      <c r="I817" s="34" t="n">
        <f aca="false">IFERROR(VALUE(H817),)</f>
        <v>0</v>
      </c>
      <c r="J817" s="34" t="e">
        <f aca="false">RIGHT(B817,LEN(B817)-FIND("/",B817, FIND("Single Cells",B817, 1)))</f>
        <v>#VALUE!</v>
      </c>
    </row>
    <row r="818" customFormat="false" ht="12.75" hidden="false" customHeight="false" outlineLevel="0" collapsed="false">
      <c r="E818" s="34" t="str">
        <f aca="false">MID(B818,9,1)</f>
        <v/>
      </c>
      <c r="F818" s="34" t="str">
        <f aca="false">MID(B818,10,1)</f>
        <v/>
      </c>
      <c r="G818" s="34" t="str">
        <f aca="false">MID(B818,11,1)</f>
        <v/>
      </c>
      <c r="H818" s="35" t="str">
        <f aca="false">IF(G818=".",F818,CONCATENATE(F818,G818))</f>
        <v/>
      </c>
      <c r="I818" s="34" t="n">
        <f aca="false">IFERROR(VALUE(H818),)</f>
        <v>0</v>
      </c>
      <c r="J818" s="34" t="e">
        <f aca="false">RIGHT(B818,LEN(B818)-FIND("/",B818, FIND("Single Cells",B818, 1)))</f>
        <v>#VALUE!</v>
      </c>
    </row>
    <row r="819" customFormat="false" ht="12.75" hidden="false" customHeight="false" outlineLevel="0" collapsed="false">
      <c r="E819" s="34" t="str">
        <f aca="false">MID(B819,9,1)</f>
        <v/>
      </c>
      <c r="F819" s="34" t="str">
        <f aca="false">MID(B819,10,1)</f>
        <v/>
      </c>
      <c r="G819" s="34" t="str">
        <f aca="false">MID(B819,11,1)</f>
        <v/>
      </c>
      <c r="H819" s="35" t="str">
        <f aca="false">IF(G819=".",F819,CONCATENATE(F819,G819))</f>
        <v/>
      </c>
      <c r="I819" s="34" t="n">
        <f aca="false">IFERROR(VALUE(H819),)</f>
        <v>0</v>
      </c>
      <c r="J819" s="34" t="e">
        <f aca="false">RIGHT(B819,LEN(B819)-FIND("/",B819, FIND("Single Cells",B819, 1)))</f>
        <v>#VALUE!</v>
      </c>
    </row>
    <row r="820" customFormat="false" ht="12.75" hidden="false" customHeight="false" outlineLevel="0" collapsed="false">
      <c r="E820" s="34" t="str">
        <f aca="false">MID(B820,9,1)</f>
        <v/>
      </c>
      <c r="F820" s="34" t="str">
        <f aca="false">MID(B820,10,1)</f>
        <v/>
      </c>
      <c r="G820" s="34" t="str">
        <f aca="false">MID(B820,11,1)</f>
        <v/>
      </c>
      <c r="H820" s="35" t="str">
        <f aca="false">IF(G820=".",F820,CONCATENATE(F820,G820))</f>
        <v/>
      </c>
      <c r="I820" s="34" t="n">
        <f aca="false">IFERROR(VALUE(H820),)</f>
        <v>0</v>
      </c>
      <c r="J820" s="34" t="e">
        <f aca="false">RIGHT(B820,LEN(B820)-FIND("/",B820, FIND("Single Cells",B820, 1)))</f>
        <v>#VALUE!</v>
      </c>
    </row>
    <row r="821" customFormat="false" ht="12.75" hidden="false" customHeight="false" outlineLevel="0" collapsed="false">
      <c r="E821" s="34" t="str">
        <f aca="false">MID(B821,9,1)</f>
        <v/>
      </c>
      <c r="F821" s="34" t="str">
        <f aca="false">MID(B821,10,1)</f>
        <v/>
      </c>
      <c r="G821" s="34" t="str">
        <f aca="false">MID(B821,11,1)</f>
        <v/>
      </c>
      <c r="H821" s="35" t="str">
        <f aca="false">IF(G821=".",F821,CONCATENATE(F821,G821))</f>
        <v/>
      </c>
      <c r="I821" s="34" t="n">
        <f aca="false">IFERROR(VALUE(H821),)</f>
        <v>0</v>
      </c>
      <c r="J821" s="34" t="e">
        <f aca="false">RIGHT(B821,LEN(B821)-FIND("/",B821, FIND("Single Cells",B821, 1)))</f>
        <v>#VALUE!</v>
      </c>
    </row>
    <row r="822" customFormat="false" ht="12.75" hidden="false" customHeight="false" outlineLevel="0" collapsed="false">
      <c r="E822" s="34" t="str">
        <f aca="false">MID(B822,9,1)</f>
        <v/>
      </c>
      <c r="F822" s="34" t="str">
        <f aca="false">MID(B822,10,1)</f>
        <v/>
      </c>
      <c r="G822" s="34" t="str">
        <f aca="false">MID(B822,11,1)</f>
        <v/>
      </c>
      <c r="H822" s="35" t="str">
        <f aca="false">IF(G822=".",F822,CONCATENATE(F822,G822))</f>
        <v/>
      </c>
      <c r="I822" s="34" t="n">
        <f aca="false">IFERROR(VALUE(H822),)</f>
        <v>0</v>
      </c>
      <c r="J822" s="34" t="e">
        <f aca="false">RIGHT(B822,LEN(B822)-FIND("/",B822, FIND("Single Cells",B822, 1)))</f>
        <v>#VALUE!</v>
      </c>
    </row>
    <row r="823" customFormat="false" ht="12.75" hidden="false" customHeight="false" outlineLevel="0" collapsed="false">
      <c r="E823" s="34" t="str">
        <f aca="false">MID(B823,9,1)</f>
        <v/>
      </c>
      <c r="F823" s="34" t="str">
        <f aca="false">MID(B823,10,1)</f>
        <v/>
      </c>
      <c r="G823" s="34" t="str">
        <f aca="false">MID(B823,11,1)</f>
        <v/>
      </c>
      <c r="H823" s="35" t="str">
        <f aca="false">IF(G823=".",F823,CONCATENATE(F823,G823))</f>
        <v/>
      </c>
      <c r="I823" s="34" t="n">
        <f aca="false">IFERROR(VALUE(H823),)</f>
        <v>0</v>
      </c>
      <c r="J823" s="34" t="e">
        <f aca="false">RIGHT(B823,LEN(B823)-FIND("/",B823, FIND("Single Cells",B823, 1)))</f>
        <v>#VALUE!</v>
      </c>
    </row>
    <row r="824" customFormat="false" ht="12.75" hidden="false" customHeight="false" outlineLevel="0" collapsed="false">
      <c r="E824" s="34" t="str">
        <f aca="false">MID(B824,9,1)</f>
        <v/>
      </c>
      <c r="F824" s="34" t="str">
        <f aca="false">MID(B824,10,1)</f>
        <v/>
      </c>
      <c r="G824" s="34" t="str">
        <f aca="false">MID(B824,11,1)</f>
        <v/>
      </c>
      <c r="H824" s="35" t="str">
        <f aca="false">IF(G824=".",F824,CONCATENATE(F824,G824))</f>
        <v/>
      </c>
      <c r="I824" s="34" t="n">
        <f aca="false">IFERROR(VALUE(H824),)</f>
        <v>0</v>
      </c>
      <c r="J824" s="34" t="e">
        <f aca="false">RIGHT(B824,LEN(B824)-FIND("/",B824, FIND("Single Cells",B824, 1)))</f>
        <v>#VALUE!</v>
      </c>
    </row>
    <row r="825" customFormat="false" ht="12.75" hidden="false" customHeight="false" outlineLevel="0" collapsed="false">
      <c r="E825" s="34" t="str">
        <f aca="false">MID(B825,9,1)</f>
        <v/>
      </c>
      <c r="F825" s="34" t="str">
        <f aca="false">MID(B825,10,1)</f>
        <v/>
      </c>
      <c r="G825" s="34" t="str">
        <f aca="false">MID(B825,11,1)</f>
        <v/>
      </c>
      <c r="H825" s="35" t="str">
        <f aca="false">IF(G825=".",F825,CONCATENATE(F825,G825))</f>
        <v/>
      </c>
      <c r="I825" s="34" t="n">
        <f aca="false">IFERROR(VALUE(H825),)</f>
        <v>0</v>
      </c>
      <c r="J825" s="34" t="e">
        <f aca="false">RIGHT(B825,LEN(B825)-FIND("/",B825, FIND("Single Cells",B825, 1)))</f>
        <v>#VALUE!</v>
      </c>
    </row>
    <row r="826" customFormat="false" ht="12.75" hidden="false" customHeight="false" outlineLevel="0" collapsed="false">
      <c r="E826" s="34" t="str">
        <f aca="false">MID(B826,9,1)</f>
        <v/>
      </c>
      <c r="F826" s="34" t="str">
        <f aca="false">MID(B826,10,1)</f>
        <v/>
      </c>
      <c r="G826" s="34" t="str">
        <f aca="false">MID(B826,11,1)</f>
        <v/>
      </c>
      <c r="H826" s="35" t="str">
        <f aca="false">IF(G826=".",F826,CONCATENATE(F826,G826))</f>
        <v/>
      </c>
      <c r="I826" s="34" t="n">
        <f aca="false">IFERROR(VALUE(H826),)</f>
        <v>0</v>
      </c>
      <c r="J826" s="34" t="e">
        <f aca="false">RIGHT(B826,LEN(B826)-FIND("/",B826, FIND("Single Cells",B826, 1)))</f>
        <v>#VALUE!</v>
      </c>
    </row>
    <row r="827" customFormat="false" ht="12.75" hidden="false" customHeight="false" outlineLevel="0" collapsed="false">
      <c r="E827" s="34" t="str">
        <f aca="false">MID(B827,9,1)</f>
        <v/>
      </c>
      <c r="F827" s="34" t="str">
        <f aca="false">MID(B827,10,1)</f>
        <v/>
      </c>
      <c r="G827" s="34" t="str">
        <f aca="false">MID(B827,11,1)</f>
        <v/>
      </c>
      <c r="H827" s="35" t="str">
        <f aca="false">IF(G827=".",F827,CONCATENATE(F827,G827))</f>
        <v/>
      </c>
      <c r="I827" s="34" t="n">
        <f aca="false">IFERROR(VALUE(H827),)</f>
        <v>0</v>
      </c>
      <c r="J827" s="34" t="e">
        <f aca="false">RIGHT(B827,LEN(B827)-FIND("/",B827, FIND("Single Cells",B827, 1)))</f>
        <v>#VALUE!</v>
      </c>
    </row>
    <row r="828" customFormat="false" ht="12.75" hidden="false" customHeight="false" outlineLevel="0" collapsed="false">
      <c r="E828" s="34" t="str">
        <f aca="false">MID(B828,9,1)</f>
        <v/>
      </c>
      <c r="F828" s="34" t="str">
        <f aca="false">MID(B828,10,1)</f>
        <v/>
      </c>
      <c r="G828" s="34" t="str">
        <f aca="false">MID(B828,11,1)</f>
        <v/>
      </c>
      <c r="H828" s="35" t="str">
        <f aca="false">IF(G828=".",F828,CONCATENATE(F828,G828))</f>
        <v/>
      </c>
      <c r="I828" s="34" t="n">
        <f aca="false">IFERROR(VALUE(H828),)</f>
        <v>0</v>
      </c>
      <c r="J828" s="34" t="e">
        <f aca="false">RIGHT(B828,LEN(B828)-FIND("/",B828, FIND("Single Cells",B828, 1)))</f>
        <v>#VALUE!</v>
      </c>
    </row>
    <row r="829" customFormat="false" ht="12.75" hidden="false" customHeight="false" outlineLevel="0" collapsed="false">
      <c r="E829" s="34" t="str">
        <f aca="false">MID(B829,9,1)</f>
        <v/>
      </c>
      <c r="F829" s="34" t="str">
        <f aca="false">MID(B829,10,1)</f>
        <v/>
      </c>
      <c r="G829" s="34" t="str">
        <f aca="false">MID(B829,11,1)</f>
        <v/>
      </c>
      <c r="H829" s="35" t="str">
        <f aca="false">IF(G829=".",F829,CONCATENATE(F829,G829))</f>
        <v/>
      </c>
      <c r="I829" s="34" t="n">
        <f aca="false">IFERROR(VALUE(H829),)</f>
        <v>0</v>
      </c>
      <c r="J829" s="34" t="e">
        <f aca="false">RIGHT(B829,LEN(B829)-FIND("/",B829, FIND("Single Cells",B829, 1)))</f>
        <v>#VALUE!</v>
      </c>
    </row>
    <row r="830" customFormat="false" ht="12.75" hidden="false" customHeight="false" outlineLevel="0" collapsed="false">
      <c r="E830" s="34" t="str">
        <f aca="false">MID(B830,9,1)</f>
        <v/>
      </c>
      <c r="F830" s="34" t="str">
        <f aca="false">MID(B830,10,1)</f>
        <v/>
      </c>
      <c r="G830" s="34" t="str">
        <f aca="false">MID(B830,11,1)</f>
        <v/>
      </c>
      <c r="H830" s="35" t="str">
        <f aca="false">IF(G830=".",F830,CONCATENATE(F830,G830))</f>
        <v/>
      </c>
      <c r="I830" s="34" t="n">
        <f aca="false">IFERROR(VALUE(H830),)</f>
        <v>0</v>
      </c>
      <c r="J830" s="34" t="e">
        <f aca="false">RIGHT(B830,LEN(B830)-FIND("/",B830, FIND("Single Cells",B830, 1)))</f>
        <v>#VALUE!</v>
      </c>
    </row>
    <row r="831" customFormat="false" ht="12.75" hidden="false" customHeight="false" outlineLevel="0" collapsed="false">
      <c r="E831" s="34" t="str">
        <f aca="false">MID(B831,9,1)</f>
        <v/>
      </c>
      <c r="F831" s="34" t="str">
        <f aca="false">MID(B831,10,1)</f>
        <v/>
      </c>
      <c r="G831" s="34" t="str">
        <f aca="false">MID(B831,11,1)</f>
        <v/>
      </c>
      <c r="H831" s="35" t="str">
        <f aca="false">IF(G831=".",F831,CONCATENATE(F831,G831))</f>
        <v/>
      </c>
      <c r="I831" s="34" t="n">
        <f aca="false">IFERROR(VALUE(H831),)</f>
        <v>0</v>
      </c>
      <c r="J831" s="34" t="e">
        <f aca="false">RIGHT(B831,LEN(B831)-FIND("/",B831, FIND("Single Cells",B831, 1)))</f>
        <v>#VALUE!</v>
      </c>
    </row>
    <row r="832" customFormat="false" ht="12.75" hidden="false" customHeight="false" outlineLevel="0" collapsed="false">
      <c r="E832" s="34" t="str">
        <f aca="false">MID(B832,9,1)</f>
        <v/>
      </c>
      <c r="F832" s="34" t="str">
        <f aca="false">MID(B832,10,1)</f>
        <v/>
      </c>
      <c r="G832" s="34" t="str">
        <f aca="false">MID(B832,11,1)</f>
        <v/>
      </c>
      <c r="H832" s="35" t="str">
        <f aca="false">IF(G832=".",F832,CONCATENATE(F832,G832))</f>
        <v/>
      </c>
      <c r="I832" s="34" t="n">
        <f aca="false">IFERROR(VALUE(H832),)</f>
        <v>0</v>
      </c>
      <c r="J832" s="34" t="e">
        <f aca="false">RIGHT(B832,LEN(B832)-FIND("/",B832, FIND("Single Cells",B832, 1)))</f>
        <v>#VALUE!</v>
      </c>
    </row>
    <row r="833" customFormat="false" ht="12.75" hidden="false" customHeight="false" outlineLevel="0" collapsed="false">
      <c r="E833" s="34" t="str">
        <f aca="false">MID(B833,9,1)</f>
        <v/>
      </c>
      <c r="F833" s="34" t="str">
        <f aca="false">MID(B833,10,1)</f>
        <v/>
      </c>
      <c r="G833" s="34" t="str">
        <f aca="false">MID(B833,11,1)</f>
        <v/>
      </c>
      <c r="H833" s="35" t="str">
        <f aca="false">IF(G833=".",F833,CONCATENATE(F833,G833))</f>
        <v/>
      </c>
      <c r="I833" s="34" t="n">
        <f aca="false">IFERROR(VALUE(H833),)</f>
        <v>0</v>
      </c>
      <c r="J833" s="34" t="e">
        <f aca="false">RIGHT(B833,LEN(B833)-FIND("/",B833, FIND("Single Cells",B833, 1)))</f>
        <v>#VALUE!</v>
      </c>
    </row>
    <row r="834" customFormat="false" ht="12.75" hidden="false" customHeight="false" outlineLevel="0" collapsed="false">
      <c r="E834" s="34" t="str">
        <f aca="false">MID(B834,9,1)</f>
        <v/>
      </c>
      <c r="F834" s="34" t="str">
        <f aca="false">MID(B834,10,1)</f>
        <v/>
      </c>
      <c r="G834" s="34" t="str">
        <f aca="false">MID(B834,11,1)</f>
        <v/>
      </c>
      <c r="H834" s="35" t="str">
        <f aca="false">IF(G834=".",F834,CONCATENATE(F834,G834))</f>
        <v/>
      </c>
      <c r="I834" s="34" t="n">
        <f aca="false">IFERROR(VALUE(H834),)</f>
        <v>0</v>
      </c>
      <c r="J834" s="34" t="e">
        <f aca="false">RIGHT(B834,LEN(B834)-FIND("/",B834, FIND("Single Cells",B834, 1)))</f>
        <v>#VALUE!</v>
      </c>
    </row>
    <row r="835" customFormat="false" ht="12.75" hidden="false" customHeight="false" outlineLevel="0" collapsed="false">
      <c r="E835" s="34" t="str">
        <f aca="false">MID(B835,9,1)</f>
        <v/>
      </c>
      <c r="F835" s="34" t="str">
        <f aca="false">MID(B835,10,1)</f>
        <v/>
      </c>
      <c r="G835" s="34" t="str">
        <f aca="false">MID(B835,11,1)</f>
        <v/>
      </c>
      <c r="H835" s="35" t="str">
        <f aca="false">IF(G835=".",F835,CONCATENATE(F835,G835))</f>
        <v/>
      </c>
      <c r="I835" s="34" t="n">
        <f aca="false">IFERROR(VALUE(H835),)</f>
        <v>0</v>
      </c>
      <c r="J835" s="34" t="e">
        <f aca="false">RIGHT(B835,LEN(B835)-FIND("/",B835, FIND("Single Cells",B835, 1)))</f>
        <v>#VALUE!</v>
      </c>
    </row>
    <row r="836" customFormat="false" ht="12.75" hidden="false" customHeight="false" outlineLevel="0" collapsed="false">
      <c r="E836" s="34" t="str">
        <f aca="false">MID(B836,9,1)</f>
        <v/>
      </c>
      <c r="F836" s="34" t="str">
        <f aca="false">MID(B836,10,1)</f>
        <v/>
      </c>
      <c r="G836" s="34" t="str">
        <f aca="false">MID(B836,11,1)</f>
        <v/>
      </c>
      <c r="H836" s="35" t="str">
        <f aca="false">IF(G836=".",F836,CONCATENATE(F836,G836))</f>
        <v/>
      </c>
      <c r="I836" s="34" t="n">
        <f aca="false">IFERROR(VALUE(H836),)</f>
        <v>0</v>
      </c>
      <c r="J836" s="34" t="e">
        <f aca="false">RIGHT(B836,LEN(B836)-FIND("/",B836, FIND("Single Cells",B836, 1)))</f>
        <v>#VALUE!</v>
      </c>
    </row>
    <row r="837" customFormat="false" ht="12.75" hidden="false" customHeight="false" outlineLevel="0" collapsed="false">
      <c r="E837" s="34" t="str">
        <f aca="false">MID(B837,9,1)</f>
        <v/>
      </c>
      <c r="F837" s="34" t="str">
        <f aca="false">MID(B837,10,1)</f>
        <v/>
      </c>
      <c r="G837" s="34" t="str">
        <f aca="false">MID(B837,11,1)</f>
        <v/>
      </c>
      <c r="H837" s="35" t="str">
        <f aca="false">IF(G837=".",F837,CONCATENATE(F837,G837))</f>
        <v/>
      </c>
      <c r="I837" s="34" t="n">
        <f aca="false">IFERROR(VALUE(H837),)</f>
        <v>0</v>
      </c>
      <c r="J837" s="34" t="e">
        <f aca="false">RIGHT(B837,LEN(B837)-FIND("/",B837, FIND("Single Cells",B837, 1)))</f>
        <v>#VALUE!</v>
      </c>
    </row>
    <row r="838" customFormat="false" ht="12.75" hidden="false" customHeight="false" outlineLevel="0" collapsed="false">
      <c r="E838" s="34" t="str">
        <f aca="false">MID(B838,9,1)</f>
        <v/>
      </c>
      <c r="F838" s="34" t="str">
        <f aca="false">MID(B838,10,1)</f>
        <v/>
      </c>
      <c r="G838" s="34" t="str">
        <f aca="false">MID(B838,11,1)</f>
        <v/>
      </c>
      <c r="H838" s="35" t="str">
        <f aca="false">IF(G838=".",F838,CONCATENATE(F838,G838))</f>
        <v/>
      </c>
      <c r="I838" s="34" t="n">
        <f aca="false">IFERROR(VALUE(H838),)</f>
        <v>0</v>
      </c>
      <c r="J838" s="34" t="e">
        <f aca="false">RIGHT(B838,LEN(B838)-FIND("/",B838, FIND("Single Cells",B838, 1)))</f>
        <v>#VALUE!</v>
      </c>
    </row>
    <row r="839" customFormat="false" ht="12.75" hidden="false" customHeight="false" outlineLevel="0" collapsed="false">
      <c r="E839" s="34" t="str">
        <f aca="false">MID(B839,9,1)</f>
        <v/>
      </c>
      <c r="F839" s="34" t="str">
        <f aca="false">MID(B839,10,1)</f>
        <v/>
      </c>
      <c r="G839" s="34" t="str">
        <f aca="false">MID(B839,11,1)</f>
        <v/>
      </c>
      <c r="H839" s="35" t="str">
        <f aca="false">IF(G839=".",F839,CONCATENATE(F839,G839))</f>
        <v/>
      </c>
      <c r="I839" s="34" t="n">
        <f aca="false">IFERROR(VALUE(H839),)</f>
        <v>0</v>
      </c>
      <c r="J839" s="34" t="e">
        <f aca="false">RIGHT(B839,LEN(B839)-FIND("/",B839, FIND("Single Cells",B839, 1)))</f>
        <v>#VALUE!</v>
      </c>
    </row>
    <row r="840" customFormat="false" ht="12.75" hidden="false" customHeight="false" outlineLevel="0" collapsed="false">
      <c r="E840" s="34" t="str">
        <f aca="false">MID(B840,9,1)</f>
        <v/>
      </c>
      <c r="F840" s="34" t="str">
        <f aca="false">MID(B840,10,1)</f>
        <v/>
      </c>
      <c r="G840" s="34" t="str">
        <f aca="false">MID(B840,11,1)</f>
        <v/>
      </c>
      <c r="H840" s="35" t="str">
        <f aca="false">IF(G840=".",F840,CONCATENATE(F840,G840))</f>
        <v/>
      </c>
      <c r="I840" s="34" t="n">
        <f aca="false">IFERROR(VALUE(H840),)</f>
        <v>0</v>
      </c>
      <c r="J840" s="34" t="e">
        <f aca="false">RIGHT(B840,LEN(B840)-FIND("/",B840, FIND("Single Cells",B840, 1)))</f>
        <v>#VALUE!</v>
      </c>
    </row>
    <row r="841" customFormat="false" ht="12.75" hidden="false" customHeight="false" outlineLevel="0" collapsed="false">
      <c r="E841" s="34" t="str">
        <f aca="false">MID(B841,9,1)</f>
        <v/>
      </c>
      <c r="F841" s="34" t="str">
        <f aca="false">MID(B841,10,1)</f>
        <v/>
      </c>
      <c r="G841" s="34" t="str">
        <f aca="false">MID(B841,11,1)</f>
        <v/>
      </c>
      <c r="H841" s="35" t="str">
        <f aca="false">IF(G841=".",F841,CONCATENATE(F841,G841))</f>
        <v/>
      </c>
      <c r="I841" s="34" t="n">
        <f aca="false">IFERROR(VALUE(H841),)</f>
        <v>0</v>
      </c>
      <c r="J841" s="34" t="e">
        <f aca="false">RIGHT(B841,LEN(B841)-FIND("/",B841, FIND("Single Cells",B841, 1)))</f>
        <v>#VALUE!</v>
      </c>
    </row>
    <row r="842" customFormat="false" ht="12.75" hidden="false" customHeight="false" outlineLevel="0" collapsed="false">
      <c r="E842" s="34" t="str">
        <f aca="false">MID(B842,9,1)</f>
        <v/>
      </c>
      <c r="F842" s="34" t="str">
        <f aca="false">MID(B842,10,1)</f>
        <v/>
      </c>
      <c r="G842" s="34" t="str">
        <f aca="false">MID(B842,11,1)</f>
        <v/>
      </c>
      <c r="H842" s="35" t="str">
        <f aca="false">IF(G842=".",F842,CONCATENATE(F842,G842))</f>
        <v/>
      </c>
      <c r="I842" s="34" t="n">
        <f aca="false">IFERROR(VALUE(H842),)</f>
        <v>0</v>
      </c>
      <c r="J842" s="34" t="e">
        <f aca="false">RIGHT(B842,LEN(B842)-FIND("/",B842, FIND("Single Cells",B842, 1)))</f>
        <v>#VALUE!</v>
      </c>
    </row>
    <row r="843" customFormat="false" ht="12.75" hidden="false" customHeight="false" outlineLevel="0" collapsed="false">
      <c r="E843" s="34" t="str">
        <f aca="false">MID(B843,9,1)</f>
        <v/>
      </c>
      <c r="F843" s="34" t="str">
        <f aca="false">MID(B843,10,1)</f>
        <v/>
      </c>
      <c r="G843" s="34" t="str">
        <f aca="false">MID(B843,11,1)</f>
        <v/>
      </c>
      <c r="H843" s="35" t="str">
        <f aca="false">IF(G843=".",F843,CONCATENATE(F843,G843))</f>
        <v/>
      </c>
      <c r="I843" s="34" t="n">
        <f aca="false">IFERROR(VALUE(H843),)</f>
        <v>0</v>
      </c>
      <c r="J843" s="34" t="e">
        <f aca="false">RIGHT(B843,LEN(B843)-FIND("/",B843, FIND("Single Cells",B843, 1)))</f>
        <v>#VALUE!</v>
      </c>
    </row>
    <row r="844" customFormat="false" ht="12.75" hidden="false" customHeight="false" outlineLevel="0" collapsed="false">
      <c r="E844" s="34" t="str">
        <f aca="false">MID(B844,9,1)</f>
        <v/>
      </c>
      <c r="F844" s="34" t="str">
        <f aca="false">MID(B844,10,1)</f>
        <v/>
      </c>
      <c r="G844" s="34" t="str">
        <f aca="false">MID(B844,11,1)</f>
        <v/>
      </c>
      <c r="H844" s="35" t="str">
        <f aca="false">IF(G844=".",F844,CONCATENATE(F844,G844))</f>
        <v/>
      </c>
      <c r="I844" s="34" t="n">
        <f aca="false">IFERROR(VALUE(H844),)</f>
        <v>0</v>
      </c>
      <c r="J844" s="34" t="e">
        <f aca="false">RIGHT(B844,LEN(B844)-FIND("/",B844, FIND("Single Cells",B844, 1)))</f>
        <v>#VALUE!</v>
      </c>
    </row>
    <row r="845" customFormat="false" ht="12.75" hidden="false" customHeight="false" outlineLevel="0" collapsed="false">
      <c r="E845" s="34" t="str">
        <f aca="false">MID(B845,9,1)</f>
        <v/>
      </c>
      <c r="F845" s="34" t="str">
        <f aca="false">MID(B845,10,1)</f>
        <v/>
      </c>
      <c r="G845" s="34" t="str">
        <f aca="false">MID(B845,11,1)</f>
        <v/>
      </c>
      <c r="H845" s="35" t="str">
        <f aca="false">IF(G845=".",F845,CONCATENATE(F845,G845))</f>
        <v/>
      </c>
      <c r="I845" s="34" t="n">
        <f aca="false">IFERROR(VALUE(H845),)</f>
        <v>0</v>
      </c>
      <c r="J845" s="34" t="e">
        <f aca="false">RIGHT(B845,LEN(B845)-FIND("/",B845, FIND("Single Cells",B845, 1)))</f>
        <v>#VALUE!</v>
      </c>
    </row>
    <row r="846" customFormat="false" ht="12.75" hidden="false" customHeight="false" outlineLevel="0" collapsed="false">
      <c r="E846" s="34" t="str">
        <f aca="false">MID(B846,9,1)</f>
        <v/>
      </c>
      <c r="F846" s="34" t="str">
        <f aca="false">MID(B846,10,1)</f>
        <v/>
      </c>
      <c r="G846" s="34" t="str">
        <f aca="false">MID(B846,11,1)</f>
        <v/>
      </c>
      <c r="H846" s="35" t="str">
        <f aca="false">IF(G846=".",F846,CONCATENATE(F846,G846))</f>
        <v/>
      </c>
      <c r="I846" s="34" t="n">
        <f aca="false">IFERROR(VALUE(H846),)</f>
        <v>0</v>
      </c>
      <c r="J846" s="34" t="e">
        <f aca="false">RIGHT(B846,LEN(B846)-FIND("/",B846, FIND("Single Cells",B846, 1)))</f>
        <v>#VALUE!</v>
      </c>
    </row>
    <row r="847" customFormat="false" ht="12.75" hidden="false" customHeight="false" outlineLevel="0" collapsed="false">
      <c r="E847" s="34" t="str">
        <f aca="false">MID(B847,9,1)</f>
        <v/>
      </c>
      <c r="F847" s="34" t="str">
        <f aca="false">MID(B847,10,1)</f>
        <v/>
      </c>
      <c r="G847" s="34" t="str">
        <f aca="false">MID(B847,11,1)</f>
        <v/>
      </c>
      <c r="H847" s="35" t="str">
        <f aca="false">IF(G847=".",F847,CONCATENATE(F847,G847))</f>
        <v/>
      </c>
      <c r="I847" s="34" t="n">
        <f aca="false">IFERROR(VALUE(H847),)</f>
        <v>0</v>
      </c>
      <c r="J847" s="34" t="e">
        <f aca="false">RIGHT(B847,LEN(B847)-FIND("/",B847, FIND("Single Cells",B847, 1)))</f>
        <v>#VALUE!</v>
      </c>
    </row>
    <row r="848" customFormat="false" ht="12.75" hidden="false" customHeight="false" outlineLevel="0" collapsed="false">
      <c r="E848" s="34" t="str">
        <f aca="false">MID(B848,9,1)</f>
        <v/>
      </c>
      <c r="F848" s="34" t="str">
        <f aca="false">MID(B848,10,1)</f>
        <v/>
      </c>
      <c r="G848" s="34" t="str">
        <f aca="false">MID(B848,11,1)</f>
        <v/>
      </c>
      <c r="H848" s="35" t="str">
        <f aca="false">IF(G848=".",F848,CONCATENATE(F848,G848))</f>
        <v/>
      </c>
      <c r="I848" s="34" t="n">
        <f aca="false">IFERROR(VALUE(H848),)</f>
        <v>0</v>
      </c>
      <c r="J848" s="34" t="e">
        <f aca="false">RIGHT(B848,LEN(B848)-FIND("/",B848, FIND("Single Cells",B848, 1)))</f>
        <v>#VALUE!</v>
      </c>
    </row>
    <row r="849" customFormat="false" ht="12.75" hidden="false" customHeight="false" outlineLevel="0" collapsed="false">
      <c r="E849" s="34" t="str">
        <f aca="false">MID(B849,9,1)</f>
        <v/>
      </c>
      <c r="F849" s="34" t="str">
        <f aca="false">MID(B849,10,1)</f>
        <v/>
      </c>
      <c r="G849" s="34" t="str">
        <f aca="false">MID(B849,11,1)</f>
        <v/>
      </c>
      <c r="H849" s="35" t="str">
        <f aca="false">IF(G849=".",F849,CONCATENATE(F849,G849))</f>
        <v/>
      </c>
      <c r="I849" s="34" t="n">
        <f aca="false">IFERROR(VALUE(H849),)</f>
        <v>0</v>
      </c>
      <c r="J849" s="34" t="e">
        <f aca="false">RIGHT(B849,LEN(B849)-FIND("/",B849, FIND("Single Cells",B849, 1)))</f>
        <v>#VALUE!</v>
      </c>
    </row>
    <row r="850" customFormat="false" ht="12.75" hidden="false" customHeight="false" outlineLevel="0" collapsed="false">
      <c r="E850" s="34" t="str">
        <f aca="false">MID(B850,9,1)</f>
        <v/>
      </c>
      <c r="F850" s="34" t="str">
        <f aca="false">MID(B850,10,1)</f>
        <v/>
      </c>
      <c r="G850" s="34" t="str">
        <f aca="false">MID(B850,11,1)</f>
        <v/>
      </c>
      <c r="H850" s="35" t="str">
        <f aca="false">IF(G850=".",F850,CONCATENATE(F850,G850))</f>
        <v/>
      </c>
      <c r="I850" s="34" t="n">
        <f aca="false">IFERROR(VALUE(H850),)</f>
        <v>0</v>
      </c>
      <c r="J850" s="34" t="e">
        <f aca="false">RIGHT(B850,LEN(B850)-FIND("/",B850, FIND("Single Cells",B850, 1)))</f>
        <v>#VALUE!</v>
      </c>
    </row>
    <row r="851" customFormat="false" ht="12.75" hidden="false" customHeight="false" outlineLevel="0" collapsed="false">
      <c r="E851" s="34" t="str">
        <f aca="false">MID(B851,9,1)</f>
        <v/>
      </c>
      <c r="F851" s="34" t="str">
        <f aca="false">MID(B851,10,1)</f>
        <v/>
      </c>
      <c r="G851" s="34" t="str">
        <f aca="false">MID(B851,11,1)</f>
        <v/>
      </c>
      <c r="H851" s="35" t="str">
        <f aca="false">IF(G851=".",F851,CONCATENATE(F851,G851))</f>
        <v/>
      </c>
      <c r="I851" s="34" t="n">
        <f aca="false">IFERROR(VALUE(H851),)</f>
        <v>0</v>
      </c>
      <c r="J851" s="34" t="e">
        <f aca="false">RIGHT(B851,LEN(B851)-FIND("/",B851, FIND("Single Cells",B851, 1)))</f>
        <v>#VALUE!</v>
      </c>
    </row>
    <row r="852" customFormat="false" ht="12.75" hidden="false" customHeight="false" outlineLevel="0" collapsed="false">
      <c r="E852" s="34" t="str">
        <f aca="false">MID(B852,9,1)</f>
        <v/>
      </c>
      <c r="F852" s="34" t="str">
        <f aca="false">MID(B852,10,1)</f>
        <v/>
      </c>
      <c r="G852" s="34" t="str">
        <f aca="false">MID(B852,11,1)</f>
        <v/>
      </c>
      <c r="H852" s="35" t="str">
        <f aca="false">IF(G852=".",F852,CONCATENATE(F852,G852))</f>
        <v/>
      </c>
      <c r="I852" s="34" t="n">
        <f aca="false">IFERROR(VALUE(H852),)</f>
        <v>0</v>
      </c>
      <c r="J852" s="34" t="e">
        <f aca="false">RIGHT(B852,LEN(B852)-FIND("/",B852, FIND("Single Cells",B852, 1)))</f>
        <v>#VALUE!</v>
      </c>
    </row>
    <row r="853" customFormat="false" ht="12.75" hidden="false" customHeight="false" outlineLevel="0" collapsed="false">
      <c r="E853" s="34" t="str">
        <f aca="false">MID(B853,9,1)</f>
        <v/>
      </c>
      <c r="F853" s="34" t="str">
        <f aca="false">MID(B853,10,1)</f>
        <v/>
      </c>
      <c r="G853" s="34" t="str">
        <f aca="false">MID(B853,11,1)</f>
        <v/>
      </c>
      <c r="H853" s="35" t="str">
        <f aca="false">IF(G853=".",F853,CONCATENATE(F853,G853))</f>
        <v/>
      </c>
      <c r="I853" s="34" t="n">
        <f aca="false">IFERROR(VALUE(H853),)</f>
        <v>0</v>
      </c>
      <c r="J853" s="34" t="e">
        <f aca="false">RIGHT(B853,LEN(B853)-FIND("/",B853, FIND("Single Cells",B853, 1)))</f>
        <v>#VALUE!</v>
      </c>
    </row>
    <row r="854" customFormat="false" ht="12.75" hidden="false" customHeight="false" outlineLevel="0" collapsed="false">
      <c r="E854" s="34" t="str">
        <f aca="false">MID(B854,9,1)</f>
        <v/>
      </c>
      <c r="F854" s="34" t="str">
        <f aca="false">MID(B854,10,1)</f>
        <v/>
      </c>
      <c r="G854" s="34" t="str">
        <f aca="false">MID(B854,11,1)</f>
        <v/>
      </c>
      <c r="H854" s="35" t="str">
        <f aca="false">IF(G854=".",F854,CONCATENATE(F854,G854))</f>
        <v/>
      </c>
      <c r="I854" s="34" t="n">
        <f aca="false">IFERROR(VALUE(H854),)</f>
        <v>0</v>
      </c>
      <c r="J854" s="34" t="e">
        <f aca="false">RIGHT(B854,LEN(B854)-FIND("/",B854, FIND("Single Cells",B854, 1)))</f>
        <v>#VALUE!</v>
      </c>
    </row>
    <row r="855" customFormat="false" ht="12.75" hidden="false" customHeight="false" outlineLevel="0" collapsed="false">
      <c r="E855" s="34" t="str">
        <f aca="false">MID(B855,9,1)</f>
        <v/>
      </c>
      <c r="F855" s="34" t="str">
        <f aca="false">MID(B855,10,1)</f>
        <v/>
      </c>
      <c r="G855" s="34" t="str">
        <f aca="false">MID(B855,11,1)</f>
        <v/>
      </c>
      <c r="H855" s="35" t="str">
        <f aca="false">IF(G855=".",F855,CONCATENATE(F855,G855))</f>
        <v/>
      </c>
      <c r="I855" s="34" t="n">
        <f aca="false">IFERROR(VALUE(H855),)</f>
        <v>0</v>
      </c>
      <c r="J855" s="34" t="e">
        <f aca="false">RIGHT(B855,LEN(B855)-FIND("/",B855, FIND("Single Cells",B855, 1)))</f>
        <v>#VALUE!</v>
      </c>
    </row>
    <row r="856" customFormat="false" ht="12.75" hidden="false" customHeight="false" outlineLevel="0" collapsed="false">
      <c r="E856" s="34" t="str">
        <f aca="false">MID(B856,9,1)</f>
        <v/>
      </c>
      <c r="F856" s="34" t="str">
        <f aca="false">MID(B856,10,1)</f>
        <v/>
      </c>
      <c r="G856" s="34" t="str">
        <f aca="false">MID(B856,11,1)</f>
        <v/>
      </c>
      <c r="H856" s="35" t="str">
        <f aca="false">IF(G856=".",F856,CONCATENATE(F856,G856))</f>
        <v/>
      </c>
      <c r="I856" s="34" t="n">
        <f aca="false">IFERROR(VALUE(H856),)</f>
        <v>0</v>
      </c>
      <c r="J856" s="34" t="e">
        <f aca="false">RIGHT(B856,LEN(B856)-FIND("/",B856, FIND("Single Cells",B856, 1)))</f>
        <v>#VALUE!</v>
      </c>
    </row>
    <row r="857" customFormat="false" ht="12.75" hidden="false" customHeight="false" outlineLevel="0" collapsed="false">
      <c r="E857" s="34" t="str">
        <f aca="false">MID(B857,9,1)</f>
        <v/>
      </c>
      <c r="F857" s="34" t="str">
        <f aca="false">MID(B857,10,1)</f>
        <v/>
      </c>
      <c r="G857" s="34" t="str">
        <f aca="false">MID(B857,11,1)</f>
        <v/>
      </c>
      <c r="H857" s="35" t="str">
        <f aca="false">IF(G857=".",F857,CONCATENATE(F857,G857))</f>
        <v/>
      </c>
      <c r="I857" s="34" t="n">
        <f aca="false">IFERROR(VALUE(H857),)</f>
        <v>0</v>
      </c>
      <c r="J857" s="34" t="e">
        <f aca="false">RIGHT(B857,LEN(B857)-FIND("/",B857, FIND("Single Cells",B857, 1)))</f>
        <v>#VALUE!</v>
      </c>
    </row>
    <row r="858" customFormat="false" ht="12.75" hidden="false" customHeight="false" outlineLevel="0" collapsed="false">
      <c r="E858" s="34" t="str">
        <f aca="false">MID(B858,9,1)</f>
        <v/>
      </c>
      <c r="F858" s="34" t="str">
        <f aca="false">MID(B858,10,1)</f>
        <v/>
      </c>
      <c r="G858" s="34" t="str">
        <f aca="false">MID(B858,11,1)</f>
        <v/>
      </c>
      <c r="H858" s="35" t="str">
        <f aca="false">IF(G858=".",F858,CONCATENATE(F858,G858))</f>
        <v/>
      </c>
      <c r="I858" s="34" t="n">
        <f aca="false">IFERROR(VALUE(H858),)</f>
        <v>0</v>
      </c>
      <c r="J858" s="34" t="e">
        <f aca="false">RIGHT(B858,LEN(B858)-FIND("/",B858, FIND("Single Cells",B858, 1)))</f>
        <v>#VALUE!</v>
      </c>
    </row>
    <row r="859" customFormat="false" ht="12.75" hidden="false" customHeight="false" outlineLevel="0" collapsed="false">
      <c r="E859" s="34" t="str">
        <f aca="false">MID(B859,9,1)</f>
        <v/>
      </c>
      <c r="F859" s="34" t="str">
        <f aca="false">MID(B859,10,1)</f>
        <v/>
      </c>
      <c r="G859" s="34" t="str">
        <f aca="false">MID(B859,11,1)</f>
        <v/>
      </c>
      <c r="H859" s="35" t="str">
        <f aca="false">IF(G859=".",F859,CONCATENATE(F859,G859))</f>
        <v/>
      </c>
      <c r="I859" s="34" t="n">
        <f aca="false">IFERROR(VALUE(H859),)</f>
        <v>0</v>
      </c>
      <c r="J859" s="34" t="e">
        <f aca="false">RIGHT(B859,LEN(B859)-FIND("/",B859, FIND("Single Cells",B859, 1)))</f>
        <v>#VALUE!</v>
      </c>
    </row>
    <row r="860" customFormat="false" ht="12.75" hidden="false" customHeight="false" outlineLevel="0" collapsed="false">
      <c r="E860" s="34" t="str">
        <f aca="false">MID(B860,9,1)</f>
        <v/>
      </c>
      <c r="F860" s="34" t="str">
        <f aca="false">MID(B860,10,1)</f>
        <v/>
      </c>
      <c r="G860" s="34" t="str">
        <f aca="false">MID(B860,11,1)</f>
        <v/>
      </c>
      <c r="H860" s="35" t="str">
        <f aca="false">IF(G860=".",F860,CONCATENATE(F860,G860))</f>
        <v/>
      </c>
      <c r="I860" s="34" t="n">
        <f aca="false">IFERROR(VALUE(H860),)</f>
        <v>0</v>
      </c>
      <c r="J860" s="34" t="e">
        <f aca="false">RIGHT(B860,LEN(B860)-FIND("/",B860, FIND("Single Cells",B860, 1)))</f>
        <v>#VALUE!</v>
      </c>
    </row>
    <row r="861" customFormat="false" ht="12.75" hidden="false" customHeight="false" outlineLevel="0" collapsed="false">
      <c r="E861" s="34" t="str">
        <f aca="false">MID(B861,9,1)</f>
        <v/>
      </c>
      <c r="F861" s="34" t="str">
        <f aca="false">MID(B861,10,1)</f>
        <v/>
      </c>
      <c r="G861" s="34" t="str">
        <f aca="false">MID(B861,11,1)</f>
        <v/>
      </c>
      <c r="H861" s="35" t="str">
        <f aca="false">IF(G861=".",F861,CONCATENATE(F861,G861))</f>
        <v/>
      </c>
      <c r="I861" s="34" t="n">
        <f aca="false">IFERROR(VALUE(H861),)</f>
        <v>0</v>
      </c>
      <c r="J861" s="34" t="e">
        <f aca="false">RIGHT(B861,LEN(B861)-FIND("/",B861, FIND("Single Cells",B861, 1)))</f>
        <v>#VALUE!</v>
      </c>
    </row>
    <row r="862" customFormat="false" ht="12.75" hidden="false" customHeight="false" outlineLevel="0" collapsed="false">
      <c r="E862" s="34" t="str">
        <f aca="false">MID(B862,9,1)</f>
        <v/>
      </c>
      <c r="F862" s="34" t="str">
        <f aca="false">MID(B862,10,1)</f>
        <v/>
      </c>
      <c r="G862" s="34" t="str">
        <f aca="false">MID(B862,11,1)</f>
        <v/>
      </c>
      <c r="H862" s="35" t="str">
        <f aca="false">IF(G862=".",F862,CONCATENATE(F862,G862))</f>
        <v/>
      </c>
      <c r="I862" s="34" t="n">
        <f aca="false">IFERROR(VALUE(H862),)</f>
        <v>0</v>
      </c>
      <c r="J862" s="34" t="e">
        <f aca="false">RIGHT(B862,LEN(B862)-FIND("/",B862, FIND("Single Cells",B862, 1)))</f>
        <v>#VALUE!</v>
      </c>
    </row>
    <row r="863" customFormat="false" ht="12.75" hidden="false" customHeight="false" outlineLevel="0" collapsed="false">
      <c r="E863" s="34" t="str">
        <f aca="false">MID(B863,9,1)</f>
        <v/>
      </c>
      <c r="F863" s="34" t="str">
        <f aca="false">MID(B863,10,1)</f>
        <v/>
      </c>
      <c r="G863" s="34" t="str">
        <f aca="false">MID(B863,11,1)</f>
        <v/>
      </c>
      <c r="H863" s="35" t="str">
        <f aca="false">IF(G863=".",F863,CONCATENATE(F863,G863))</f>
        <v/>
      </c>
      <c r="I863" s="34" t="n">
        <f aca="false">IFERROR(VALUE(H863),)</f>
        <v>0</v>
      </c>
      <c r="J863" s="34" t="e">
        <f aca="false">RIGHT(B863,LEN(B863)-FIND("/",B863, FIND("Single Cells",B863, 1)))</f>
        <v>#VALUE!</v>
      </c>
    </row>
    <row r="864" customFormat="false" ht="12.75" hidden="false" customHeight="false" outlineLevel="0" collapsed="false">
      <c r="E864" s="34" t="str">
        <f aca="false">MID(B864,9,1)</f>
        <v/>
      </c>
      <c r="F864" s="34" t="str">
        <f aca="false">MID(B864,10,1)</f>
        <v/>
      </c>
      <c r="G864" s="34" t="str">
        <f aca="false">MID(B864,11,1)</f>
        <v/>
      </c>
      <c r="H864" s="35" t="str">
        <f aca="false">IF(G864=".",F864,CONCATENATE(F864,G864))</f>
        <v/>
      </c>
      <c r="I864" s="34" t="n">
        <f aca="false">IFERROR(VALUE(H864),)</f>
        <v>0</v>
      </c>
      <c r="J864" s="34" t="e">
        <f aca="false">RIGHT(B864,LEN(B864)-FIND("/",B864, FIND("Single Cells",B864, 1)))</f>
        <v>#VALUE!</v>
      </c>
    </row>
    <row r="865" customFormat="false" ht="12.75" hidden="false" customHeight="false" outlineLevel="0" collapsed="false">
      <c r="E865" s="34" t="str">
        <f aca="false">MID(B865,9,1)</f>
        <v/>
      </c>
      <c r="F865" s="34" t="str">
        <f aca="false">MID(B865,10,1)</f>
        <v/>
      </c>
      <c r="G865" s="34" t="str">
        <f aca="false">MID(B865,11,1)</f>
        <v/>
      </c>
      <c r="H865" s="35" t="str">
        <f aca="false">IF(G865=".",F865,CONCATENATE(F865,G865))</f>
        <v/>
      </c>
      <c r="I865" s="34" t="n">
        <f aca="false">IFERROR(VALUE(H865),)</f>
        <v>0</v>
      </c>
      <c r="J865" s="34" t="e">
        <f aca="false">RIGHT(B865,LEN(B865)-FIND("/",B865, FIND("Single Cells",B865, 1)))</f>
        <v>#VALUE!</v>
      </c>
    </row>
    <row r="866" customFormat="false" ht="12.75" hidden="false" customHeight="false" outlineLevel="0" collapsed="false">
      <c r="E866" s="34" t="str">
        <f aca="false">MID(B866,9,1)</f>
        <v/>
      </c>
      <c r="F866" s="34" t="str">
        <f aca="false">MID(B866,10,1)</f>
        <v/>
      </c>
      <c r="G866" s="34" t="str">
        <f aca="false">MID(B866,11,1)</f>
        <v/>
      </c>
      <c r="H866" s="35" t="str">
        <f aca="false">IF(G866=".",F866,CONCATENATE(F866,G866))</f>
        <v/>
      </c>
      <c r="I866" s="34" t="n">
        <f aca="false">IFERROR(VALUE(H866),)</f>
        <v>0</v>
      </c>
      <c r="J866" s="34" t="e">
        <f aca="false">RIGHT(B866,LEN(B866)-FIND("/",B866, FIND("Single Cells",B866, 1)))</f>
        <v>#VALUE!</v>
      </c>
    </row>
    <row r="867" customFormat="false" ht="12.75" hidden="false" customHeight="false" outlineLevel="0" collapsed="false">
      <c r="E867" s="34" t="str">
        <f aca="false">MID(B867,9,1)</f>
        <v/>
      </c>
      <c r="F867" s="34" t="str">
        <f aca="false">MID(B867,10,1)</f>
        <v/>
      </c>
      <c r="G867" s="34" t="str">
        <f aca="false">MID(B867,11,1)</f>
        <v/>
      </c>
      <c r="H867" s="35" t="str">
        <f aca="false">IF(G867=".",F867,CONCATENATE(F867,G867))</f>
        <v/>
      </c>
      <c r="I867" s="34" t="n">
        <f aca="false">IFERROR(VALUE(H867),)</f>
        <v>0</v>
      </c>
      <c r="J867" s="34" t="e">
        <f aca="false">RIGHT(B867,LEN(B867)-FIND("/",B867, FIND("Single Cells",B867, 1)))</f>
        <v>#VALUE!</v>
      </c>
    </row>
    <row r="868" customFormat="false" ht="12.75" hidden="false" customHeight="false" outlineLevel="0" collapsed="false">
      <c r="E868" s="34" t="str">
        <f aca="false">MID(B868,9,1)</f>
        <v/>
      </c>
      <c r="F868" s="34" t="str">
        <f aca="false">MID(B868,10,1)</f>
        <v/>
      </c>
      <c r="G868" s="34" t="str">
        <f aca="false">MID(B868,11,1)</f>
        <v/>
      </c>
      <c r="H868" s="35" t="str">
        <f aca="false">IF(G868=".",F868,CONCATENATE(F868,G868))</f>
        <v/>
      </c>
      <c r="I868" s="34" t="n">
        <f aca="false">IFERROR(VALUE(H868),)</f>
        <v>0</v>
      </c>
      <c r="J868" s="34" t="e">
        <f aca="false">RIGHT(B868,LEN(B868)-FIND("/",B868, FIND("Single Cells",B868, 1)))</f>
        <v>#VALUE!</v>
      </c>
    </row>
    <row r="869" customFormat="false" ht="12.75" hidden="false" customHeight="false" outlineLevel="0" collapsed="false">
      <c r="E869" s="34" t="str">
        <f aca="false">MID(B869,9,1)</f>
        <v/>
      </c>
      <c r="F869" s="34" t="str">
        <f aca="false">MID(B869,10,1)</f>
        <v/>
      </c>
      <c r="G869" s="34" t="str">
        <f aca="false">MID(B869,11,1)</f>
        <v/>
      </c>
      <c r="H869" s="35" t="str">
        <f aca="false">IF(G869=".",F869,CONCATENATE(F869,G869))</f>
        <v/>
      </c>
      <c r="I869" s="34" t="n">
        <f aca="false">IFERROR(VALUE(H869),)</f>
        <v>0</v>
      </c>
      <c r="J869" s="34" t="e">
        <f aca="false">RIGHT(B869,LEN(B869)-FIND("/",B869, FIND("Single Cells",B869, 1)))</f>
        <v>#VALUE!</v>
      </c>
    </row>
    <row r="870" customFormat="false" ht="12.75" hidden="false" customHeight="false" outlineLevel="0" collapsed="false">
      <c r="E870" s="34" t="str">
        <f aca="false">MID(B870,9,1)</f>
        <v/>
      </c>
      <c r="F870" s="34" t="str">
        <f aca="false">MID(B870,10,1)</f>
        <v/>
      </c>
      <c r="G870" s="34" t="str">
        <f aca="false">MID(B870,11,1)</f>
        <v/>
      </c>
      <c r="H870" s="35" t="str">
        <f aca="false">IF(G870=".",F870,CONCATENATE(F870,G870))</f>
        <v/>
      </c>
      <c r="I870" s="34" t="n">
        <f aca="false">IFERROR(VALUE(H870),)</f>
        <v>0</v>
      </c>
      <c r="J870" s="34" t="e">
        <f aca="false">RIGHT(B870,LEN(B870)-FIND("/",B870, FIND("Single Cells",B870, 1)))</f>
        <v>#VALUE!</v>
      </c>
    </row>
    <row r="871" customFormat="false" ht="12.75" hidden="false" customHeight="false" outlineLevel="0" collapsed="false">
      <c r="E871" s="34" t="str">
        <f aca="false">MID(B871,9,1)</f>
        <v/>
      </c>
      <c r="F871" s="34" t="str">
        <f aca="false">MID(B871,10,1)</f>
        <v/>
      </c>
      <c r="G871" s="34" t="str">
        <f aca="false">MID(B871,11,1)</f>
        <v/>
      </c>
      <c r="H871" s="35" t="str">
        <f aca="false">IF(G871=".",F871,CONCATENATE(F871,G871))</f>
        <v/>
      </c>
      <c r="I871" s="34" t="n">
        <f aca="false">IFERROR(VALUE(H871),)</f>
        <v>0</v>
      </c>
      <c r="J871" s="34" t="e">
        <f aca="false">RIGHT(B871,LEN(B871)-FIND("/",B871, FIND("Single Cells",B871, 1)))</f>
        <v>#VALUE!</v>
      </c>
    </row>
    <row r="872" customFormat="false" ht="12.75" hidden="false" customHeight="false" outlineLevel="0" collapsed="false">
      <c r="E872" s="34" t="str">
        <f aca="false">MID(B872,9,1)</f>
        <v/>
      </c>
      <c r="F872" s="34" t="str">
        <f aca="false">MID(B872,10,1)</f>
        <v/>
      </c>
      <c r="G872" s="34" t="str">
        <f aca="false">MID(B872,11,1)</f>
        <v/>
      </c>
      <c r="H872" s="35" t="str">
        <f aca="false">IF(G872=".",F872,CONCATENATE(F872,G872))</f>
        <v/>
      </c>
      <c r="I872" s="34" t="n">
        <f aca="false">IFERROR(VALUE(H872),)</f>
        <v>0</v>
      </c>
      <c r="J872" s="34" t="e">
        <f aca="false">RIGHT(B872,LEN(B872)-FIND("/",B872, FIND("Single Cells",B872, 1)))</f>
        <v>#VALUE!</v>
      </c>
    </row>
    <row r="873" customFormat="false" ht="12.75" hidden="false" customHeight="false" outlineLevel="0" collapsed="false">
      <c r="E873" s="34" t="str">
        <f aca="false">MID(B873,9,1)</f>
        <v/>
      </c>
      <c r="F873" s="34" t="str">
        <f aca="false">MID(B873,10,1)</f>
        <v/>
      </c>
      <c r="G873" s="34" t="str">
        <f aca="false">MID(B873,11,1)</f>
        <v/>
      </c>
      <c r="H873" s="35" t="str">
        <f aca="false">IF(G873=".",F873,CONCATENATE(F873,G873))</f>
        <v/>
      </c>
      <c r="I873" s="34" t="n">
        <f aca="false">IFERROR(VALUE(H873),)</f>
        <v>0</v>
      </c>
      <c r="J873" s="34" t="e">
        <f aca="false">RIGHT(B873,LEN(B873)-FIND("/",B873, FIND("Single Cells",B873, 1)))</f>
        <v>#VALUE!</v>
      </c>
    </row>
    <row r="874" customFormat="false" ht="12.75" hidden="false" customHeight="false" outlineLevel="0" collapsed="false">
      <c r="E874" s="34" t="str">
        <f aca="false">MID(B874,9,1)</f>
        <v/>
      </c>
      <c r="F874" s="34" t="str">
        <f aca="false">MID(B874,10,1)</f>
        <v/>
      </c>
      <c r="G874" s="34" t="str">
        <f aca="false">MID(B874,11,1)</f>
        <v/>
      </c>
      <c r="H874" s="35" t="str">
        <f aca="false">IF(G874=".",F874,CONCATENATE(F874,G874))</f>
        <v/>
      </c>
      <c r="I874" s="34" t="n">
        <f aca="false">IFERROR(VALUE(H874),)</f>
        <v>0</v>
      </c>
      <c r="J874" s="34" t="e">
        <f aca="false">RIGHT(B874,LEN(B874)-FIND("/",B874, FIND("Single Cells",B874, 1)))</f>
        <v>#VALUE!</v>
      </c>
    </row>
    <row r="875" customFormat="false" ht="12.75" hidden="false" customHeight="false" outlineLevel="0" collapsed="false">
      <c r="E875" s="34" t="str">
        <f aca="false">MID(B875,9,1)</f>
        <v/>
      </c>
      <c r="F875" s="34" t="str">
        <f aca="false">MID(B875,10,1)</f>
        <v/>
      </c>
      <c r="G875" s="34" t="str">
        <f aca="false">MID(B875,11,1)</f>
        <v/>
      </c>
      <c r="H875" s="35" t="str">
        <f aca="false">IF(G875=".",F875,CONCATENATE(F875,G875))</f>
        <v/>
      </c>
      <c r="I875" s="34" t="n">
        <f aca="false">IFERROR(VALUE(H875),)</f>
        <v>0</v>
      </c>
      <c r="J875" s="34" t="e">
        <f aca="false">RIGHT(B875,LEN(B875)-FIND("/",B875, FIND("Single Cells",B875, 1)))</f>
        <v>#VALUE!</v>
      </c>
    </row>
    <row r="876" customFormat="false" ht="12.75" hidden="false" customHeight="false" outlineLevel="0" collapsed="false">
      <c r="E876" s="34" t="str">
        <f aca="false">MID(B876,9,1)</f>
        <v/>
      </c>
      <c r="F876" s="34" t="str">
        <f aca="false">MID(B876,10,1)</f>
        <v/>
      </c>
      <c r="G876" s="34" t="str">
        <f aca="false">MID(B876,11,1)</f>
        <v/>
      </c>
      <c r="H876" s="35" t="str">
        <f aca="false">IF(G876=".",F876,CONCATENATE(F876,G876))</f>
        <v/>
      </c>
      <c r="I876" s="34" t="n">
        <f aca="false">IFERROR(VALUE(H876),)</f>
        <v>0</v>
      </c>
      <c r="J876" s="34" t="e">
        <f aca="false">RIGHT(B876,LEN(B876)-FIND("/",B876, FIND("Single Cells",B876, 1)))</f>
        <v>#VALUE!</v>
      </c>
    </row>
    <row r="877" customFormat="false" ht="12.75" hidden="false" customHeight="false" outlineLevel="0" collapsed="false">
      <c r="E877" s="34" t="str">
        <f aca="false">MID(B877,9,1)</f>
        <v/>
      </c>
      <c r="F877" s="34" t="str">
        <f aca="false">MID(B877,10,1)</f>
        <v/>
      </c>
      <c r="G877" s="34" t="str">
        <f aca="false">MID(B877,11,1)</f>
        <v/>
      </c>
      <c r="H877" s="35" t="str">
        <f aca="false">IF(G877=".",F877,CONCATENATE(F877,G877))</f>
        <v/>
      </c>
      <c r="I877" s="34" t="n">
        <f aca="false">IFERROR(VALUE(H877),)</f>
        <v>0</v>
      </c>
      <c r="J877" s="34" t="e">
        <f aca="false">RIGHT(B877,LEN(B877)-FIND("/",B877, FIND("Single Cells",B877, 1)))</f>
        <v>#VALUE!</v>
      </c>
    </row>
    <row r="878" customFormat="false" ht="12.75" hidden="false" customHeight="false" outlineLevel="0" collapsed="false">
      <c r="E878" s="34" t="str">
        <f aca="false">MID(B878,9,1)</f>
        <v/>
      </c>
      <c r="F878" s="34" t="str">
        <f aca="false">MID(B878,10,1)</f>
        <v/>
      </c>
      <c r="G878" s="34" t="str">
        <f aca="false">MID(B878,11,1)</f>
        <v/>
      </c>
      <c r="H878" s="35" t="str">
        <f aca="false">IF(G878=".",F878,CONCATENATE(F878,G878))</f>
        <v/>
      </c>
      <c r="I878" s="34" t="n">
        <f aca="false">IFERROR(VALUE(H878),)</f>
        <v>0</v>
      </c>
      <c r="J878" s="34" t="e">
        <f aca="false">RIGHT(B878,LEN(B878)-FIND("/",B878, FIND("Single Cells",B878, 1)))</f>
        <v>#VALUE!</v>
      </c>
    </row>
    <row r="879" customFormat="false" ht="12.75" hidden="false" customHeight="false" outlineLevel="0" collapsed="false">
      <c r="E879" s="34" t="str">
        <f aca="false">MID(B879,9,1)</f>
        <v/>
      </c>
      <c r="F879" s="34" t="str">
        <f aca="false">MID(B879,10,1)</f>
        <v/>
      </c>
      <c r="G879" s="34" t="str">
        <f aca="false">MID(B879,11,1)</f>
        <v/>
      </c>
      <c r="H879" s="35" t="str">
        <f aca="false">IF(G879=".",F879,CONCATENATE(F879,G879))</f>
        <v/>
      </c>
      <c r="I879" s="34" t="n">
        <f aca="false">IFERROR(VALUE(H879),)</f>
        <v>0</v>
      </c>
      <c r="J879" s="34" t="e">
        <f aca="false">RIGHT(B879,LEN(B879)-FIND("/",B879, FIND("Single Cells",B879, 1)))</f>
        <v>#VALUE!</v>
      </c>
    </row>
    <row r="880" customFormat="false" ht="12.75" hidden="false" customHeight="false" outlineLevel="0" collapsed="false">
      <c r="E880" s="34" t="str">
        <f aca="false">MID(B880,9,1)</f>
        <v/>
      </c>
      <c r="F880" s="34" t="str">
        <f aca="false">MID(B880,10,1)</f>
        <v/>
      </c>
      <c r="G880" s="34" t="str">
        <f aca="false">MID(B880,11,1)</f>
        <v/>
      </c>
      <c r="H880" s="35" t="str">
        <f aca="false">IF(G880=".",F880,CONCATENATE(F880,G880))</f>
        <v/>
      </c>
      <c r="I880" s="34" t="n">
        <f aca="false">IFERROR(VALUE(H880),)</f>
        <v>0</v>
      </c>
      <c r="J880" s="34" t="e">
        <f aca="false">RIGHT(B880,LEN(B880)-FIND("/",B880, FIND("Single Cells",B880, 1)))</f>
        <v>#VALUE!</v>
      </c>
    </row>
    <row r="881" customFormat="false" ht="12.75" hidden="false" customHeight="false" outlineLevel="0" collapsed="false">
      <c r="E881" s="34" t="str">
        <f aca="false">MID(B881,9,1)</f>
        <v/>
      </c>
      <c r="F881" s="34" t="str">
        <f aca="false">MID(B881,10,1)</f>
        <v/>
      </c>
      <c r="G881" s="34" t="str">
        <f aca="false">MID(B881,11,1)</f>
        <v/>
      </c>
      <c r="H881" s="35" t="str">
        <f aca="false">IF(G881=".",F881,CONCATENATE(F881,G881))</f>
        <v/>
      </c>
      <c r="I881" s="34" t="n">
        <f aca="false">IFERROR(VALUE(H881),)</f>
        <v>0</v>
      </c>
      <c r="J881" s="34" t="e">
        <f aca="false">RIGHT(B881,LEN(B881)-FIND("/",B881, FIND("Single Cells",B881, 1)))</f>
        <v>#VALUE!</v>
      </c>
    </row>
    <row r="882" customFormat="false" ht="12.75" hidden="false" customHeight="false" outlineLevel="0" collapsed="false">
      <c r="E882" s="34" t="str">
        <f aca="false">MID(B882,9,1)</f>
        <v/>
      </c>
      <c r="F882" s="34" t="str">
        <f aca="false">MID(B882,10,1)</f>
        <v/>
      </c>
      <c r="G882" s="34" t="str">
        <f aca="false">MID(B882,11,1)</f>
        <v/>
      </c>
      <c r="H882" s="35" t="str">
        <f aca="false">IF(G882=".",F882,CONCATENATE(F882,G882))</f>
        <v/>
      </c>
      <c r="I882" s="34" t="n">
        <f aca="false">IFERROR(VALUE(H882),)</f>
        <v>0</v>
      </c>
      <c r="J882" s="34" t="e">
        <f aca="false">RIGHT(B882,LEN(B882)-FIND("/",B882, FIND("Single Cells",B882, 1)))</f>
        <v>#VALUE!</v>
      </c>
    </row>
    <row r="883" customFormat="false" ht="12.75" hidden="false" customHeight="false" outlineLevel="0" collapsed="false">
      <c r="E883" s="34" t="str">
        <f aca="false">MID(B883,9,1)</f>
        <v/>
      </c>
      <c r="F883" s="34" t="str">
        <f aca="false">MID(B883,10,1)</f>
        <v/>
      </c>
      <c r="G883" s="34" t="str">
        <f aca="false">MID(B883,11,1)</f>
        <v/>
      </c>
      <c r="H883" s="35" t="str">
        <f aca="false">IF(G883=".",F883,CONCATENATE(F883,G883))</f>
        <v/>
      </c>
      <c r="I883" s="34" t="n">
        <f aca="false">IFERROR(VALUE(H883),)</f>
        <v>0</v>
      </c>
      <c r="J883" s="34" t="e">
        <f aca="false">RIGHT(B883,LEN(B883)-FIND("/",B883, FIND("Single Cells",B883, 1)))</f>
        <v>#VALUE!</v>
      </c>
    </row>
    <row r="884" customFormat="false" ht="12.75" hidden="false" customHeight="false" outlineLevel="0" collapsed="false">
      <c r="E884" s="34" t="str">
        <f aca="false">MID(B884,9,1)</f>
        <v/>
      </c>
      <c r="F884" s="34" t="str">
        <f aca="false">MID(B884,10,1)</f>
        <v/>
      </c>
      <c r="G884" s="34" t="str">
        <f aca="false">MID(B884,11,1)</f>
        <v/>
      </c>
      <c r="H884" s="35" t="str">
        <f aca="false">IF(G884=".",F884,CONCATENATE(F884,G884))</f>
        <v/>
      </c>
      <c r="I884" s="34" t="n">
        <f aca="false">IFERROR(VALUE(H884),)</f>
        <v>0</v>
      </c>
      <c r="J884" s="34" t="e">
        <f aca="false">RIGHT(B884,LEN(B884)-FIND("/",B884, FIND("Single Cells",B884, 1)))</f>
        <v>#VALUE!</v>
      </c>
    </row>
    <row r="885" customFormat="false" ht="12.75" hidden="false" customHeight="false" outlineLevel="0" collapsed="false">
      <c r="E885" s="34" t="str">
        <f aca="false">MID(B885,9,1)</f>
        <v/>
      </c>
      <c r="F885" s="34" t="str">
        <f aca="false">MID(B885,10,1)</f>
        <v/>
      </c>
      <c r="G885" s="34" t="str">
        <f aca="false">MID(B885,11,1)</f>
        <v/>
      </c>
      <c r="H885" s="35" t="str">
        <f aca="false">IF(G885=".",F885,CONCATENATE(F885,G885))</f>
        <v/>
      </c>
      <c r="I885" s="34" t="n">
        <f aca="false">IFERROR(VALUE(H885),)</f>
        <v>0</v>
      </c>
      <c r="J885" s="34" t="e">
        <f aca="false">RIGHT(B885,LEN(B885)-FIND("/",B885, FIND("Single Cells",B885, 1)))</f>
        <v>#VALUE!</v>
      </c>
    </row>
    <row r="886" customFormat="false" ht="12.75" hidden="false" customHeight="false" outlineLevel="0" collapsed="false">
      <c r="E886" s="34" t="str">
        <f aca="false">MID(B886,9,1)</f>
        <v/>
      </c>
      <c r="F886" s="34" t="str">
        <f aca="false">MID(B886,10,1)</f>
        <v/>
      </c>
      <c r="G886" s="34" t="str">
        <f aca="false">MID(B886,11,1)</f>
        <v/>
      </c>
      <c r="H886" s="35" t="str">
        <f aca="false">IF(G886=".",F886,CONCATENATE(F886,G886))</f>
        <v/>
      </c>
      <c r="I886" s="34" t="n">
        <f aca="false">IFERROR(VALUE(H886),)</f>
        <v>0</v>
      </c>
      <c r="J886" s="34" t="e">
        <f aca="false">RIGHT(B886,LEN(B886)-FIND("/",B886, FIND("Single Cells",B886, 1)))</f>
        <v>#VALUE!</v>
      </c>
    </row>
    <row r="887" customFormat="false" ht="12.75" hidden="false" customHeight="false" outlineLevel="0" collapsed="false">
      <c r="E887" s="34" t="str">
        <f aca="false">MID(B887,9,1)</f>
        <v/>
      </c>
      <c r="F887" s="34" t="str">
        <f aca="false">MID(B887,10,1)</f>
        <v/>
      </c>
      <c r="G887" s="34" t="str">
        <f aca="false">MID(B887,11,1)</f>
        <v/>
      </c>
      <c r="H887" s="35" t="str">
        <f aca="false">IF(G887=".",F887,CONCATENATE(F887,G887))</f>
        <v/>
      </c>
      <c r="I887" s="34" t="n">
        <f aca="false">IFERROR(VALUE(H887),)</f>
        <v>0</v>
      </c>
      <c r="J887" s="34" t="e">
        <f aca="false">RIGHT(B887,LEN(B887)-FIND("/",B887, FIND("Single Cells",B887, 1)))</f>
        <v>#VALUE!</v>
      </c>
    </row>
    <row r="888" customFormat="false" ht="12.75" hidden="false" customHeight="false" outlineLevel="0" collapsed="false">
      <c r="E888" s="34" t="str">
        <f aca="false">MID(B888,9,1)</f>
        <v/>
      </c>
      <c r="F888" s="34" t="str">
        <f aca="false">MID(B888,10,1)</f>
        <v/>
      </c>
      <c r="G888" s="34" t="str">
        <f aca="false">MID(B888,11,1)</f>
        <v/>
      </c>
      <c r="H888" s="35" t="str">
        <f aca="false">IF(G888=".",F888,CONCATENATE(F888,G888))</f>
        <v/>
      </c>
      <c r="I888" s="34" t="n">
        <f aca="false">IFERROR(VALUE(H888),)</f>
        <v>0</v>
      </c>
      <c r="J888" s="34" t="e">
        <f aca="false">RIGHT(B888,LEN(B888)-FIND("/",B888, FIND("Single Cells",B888, 1)))</f>
        <v>#VALUE!</v>
      </c>
    </row>
    <row r="889" customFormat="false" ht="12.75" hidden="false" customHeight="false" outlineLevel="0" collapsed="false">
      <c r="E889" s="34" t="str">
        <f aca="false">MID(B889,9,1)</f>
        <v/>
      </c>
      <c r="F889" s="34" t="str">
        <f aca="false">MID(B889,10,1)</f>
        <v/>
      </c>
      <c r="G889" s="34" t="str">
        <f aca="false">MID(B889,11,1)</f>
        <v/>
      </c>
      <c r="H889" s="35" t="str">
        <f aca="false">IF(G889=".",F889,CONCATENATE(F889,G889))</f>
        <v/>
      </c>
      <c r="I889" s="34" t="n">
        <f aca="false">IFERROR(VALUE(H889),)</f>
        <v>0</v>
      </c>
      <c r="J889" s="34" t="e">
        <f aca="false">RIGHT(B889,LEN(B889)-FIND("/",B889, FIND("Single Cells",B889, 1)))</f>
        <v>#VALUE!</v>
      </c>
    </row>
    <row r="890" customFormat="false" ht="12.75" hidden="false" customHeight="false" outlineLevel="0" collapsed="false">
      <c r="E890" s="34" t="str">
        <f aca="false">MID(B890,9,1)</f>
        <v/>
      </c>
      <c r="F890" s="34" t="str">
        <f aca="false">MID(B890,10,1)</f>
        <v/>
      </c>
      <c r="G890" s="34" t="str">
        <f aca="false">MID(B890,11,1)</f>
        <v/>
      </c>
      <c r="H890" s="35" t="str">
        <f aca="false">IF(G890=".",F890,CONCATENATE(F890,G890))</f>
        <v/>
      </c>
      <c r="I890" s="34" t="n">
        <f aca="false">IFERROR(VALUE(H890),)</f>
        <v>0</v>
      </c>
      <c r="J890" s="34" t="e">
        <f aca="false">RIGHT(B890,LEN(B890)-FIND("/",B890, FIND("Single Cells",B890, 1)))</f>
        <v>#VALUE!</v>
      </c>
    </row>
    <row r="891" customFormat="false" ht="12.75" hidden="false" customHeight="false" outlineLevel="0" collapsed="false">
      <c r="E891" s="34" t="str">
        <f aca="false">MID(B891,9,1)</f>
        <v/>
      </c>
      <c r="F891" s="34" t="str">
        <f aca="false">MID(B891,10,1)</f>
        <v/>
      </c>
      <c r="G891" s="34" t="str">
        <f aca="false">MID(B891,11,1)</f>
        <v/>
      </c>
      <c r="H891" s="35" t="str">
        <f aca="false">IF(G891=".",F891,CONCATENATE(F891,G891))</f>
        <v/>
      </c>
      <c r="I891" s="34" t="n">
        <f aca="false">IFERROR(VALUE(H891),)</f>
        <v>0</v>
      </c>
      <c r="J891" s="34" t="e">
        <f aca="false">RIGHT(B891,LEN(B891)-FIND("/",B891, FIND("Single Cells",B891, 1)))</f>
        <v>#VALUE!</v>
      </c>
    </row>
    <row r="892" customFormat="false" ht="12.75" hidden="false" customHeight="false" outlineLevel="0" collapsed="false">
      <c r="E892" s="34" t="str">
        <f aca="false">MID(B892,9,1)</f>
        <v/>
      </c>
      <c r="F892" s="34" t="str">
        <f aca="false">MID(B892,10,1)</f>
        <v/>
      </c>
      <c r="G892" s="34" t="str">
        <f aca="false">MID(B892,11,1)</f>
        <v/>
      </c>
      <c r="H892" s="35" t="str">
        <f aca="false">IF(G892=".",F892,CONCATENATE(F892,G892))</f>
        <v/>
      </c>
      <c r="I892" s="34" t="n">
        <f aca="false">IFERROR(VALUE(H892),)</f>
        <v>0</v>
      </c>
      <c r="J892" s="34" t="e">
        <f aca="false">RIGHT(B892,LEN(B892)-FIND("/",B892, FIND("Single Cells",B892, 1)))</f>
        <v>#VALUE!</v>
      </c>
    </row>
    <row r="893" customFormat="false" ht="12.75" hidden="false" customHeight="false" outlineLevel="0" collapsed="false">
      <c r="E893" s="34" t="str">
        <f aca="false">MID(B893,9,1)</f>
        <v/>
      </c>
      <c r="F893" s="34" t="str">
        <f aca="false">MID(B893,10,1)</f>
        <v/>
      </c>
      <c r="G893" s="34" t="str">
        <f aca="false">MID(B893,11,1)</f>
        <v/>
      </c>
      <c r="H893" s="35" t="str">
        <f aca="false">IF(G893=".",F893,CONCATENATE(F893,G893))</f>
        <v/>
      </c>
      <c r="I893" s="34" t="n">
        <f aca="false">IFERROR(VALUE(H893),)</f>
        <v>0</v>
      </c>
      <c r="J893" s="34" t="e">
        <f aca="false">RIGHT(B893,LEN(B893)-FIND("/",B893, FIND("Single Cells",B893, 1)))</f>
        <v>#VALUE!</v>
      </c>
    </row>
    <row r="894" customFormat="false" ht="12.75" hidden="false" customHeight="false" outlineLevel="0" collapsed="false">
      <c r="E894" s="34" t="str">
        <f aca="false">MID(B894,9,1)</f>
        <v/>
      </c>
      <c r="F894" s="34" t="str">
        <f aca="false">MID(B894,10,1)</f>
        <v/>
      </c>
      <c r="G894" s="34" t="str">
        <f aca="false">MID(B894,11,1)</f>
        <v/>
      </c>
      <c r="H894" s="35" t="str">
        <f aca="false">IF(G894=".",F894,CONCATENATE(F894,G894))</f>
        <v/>
      </c>
      <c r="I894" s="34" t="n">
        <f aca="false">IFERROR(VALUE(H894),)</f>
        <v>0</v>
      </c>
      <c r="J894" s="34" t="e">
        <f aca="false">RIGHT(B894,LEN(B894)-FIND("/",B894, FIND("Single Cells",B894, 1)))</f>
        <v>#VALUE!</v>
      </c>
    </row>
    <row r="895" customFormat="false" ht="12.75" hidden="false" customHeight="false" outlineLevel="0" collapsed="false">
      <c r="E895" s="34" t="str">
        <f aca="false">MID(B895,9,1)</f>
        <v/>
      </c>
      <c r="F895" s="34" t="str">
        <f aca="false">MID(B895,10,1)</f>
        <v/>
      </c>
      <c r="G895" s="34" t="str">
        <f aca="false">MID(B895,11,1)</f>
        <v/>
      </c>
      <c r="H895" s="35" t="str">
        <f aca="false">IF(G895=".",F895,CONCATENATE(F895,G895))</f>
        <v/>
      </c>
      <c r="I895" s="34" t="n">
        <f aca="false">IFERROR(VALUE(H895),)</f>
        <v>0</v>
      </c>
      <c r="J895" s="34" t="e">
        <f aca="false">RIGHT(B895,LEN(B895)-FIND("/",B895, FIND("Single Cells",B895, 1)))</f>
        <v>#VALUE!</v>
      </c>
    </row>
    <row r="896" customFormat="false" ht="12.75" hidden="false" customHeight="false" outlineLevel="0" collapsed="false">
      <c r="E896" s="34" t="str">
        <f aca="false">MID(B896,9,1)</f>
        <v/>
      </c>
      <c r="F896" s="34" t="str">
        <f aca="false">MID(B896,10,1)</f>
        <v/>
      </c>
      <c r="G896" s="34" t="str">
        <f aca="false">MID(B896,11,1)</f>
        <v/>
      </c>
      <c r="H896" s="35" t="str">
        <f aca="false">IF(G896=".",F896,CONCATENATE(F896,G896))</f>
        <v/>
      </c>
      <c r="I896" s="34" t="n">
        <f aca="false">IFERROR(VALUE(H896),)</f>
        <v>0</v>
      </c>
      <c r="J896" s="34" t="e">
        <f aca="false">RIGHT(B896,LEN(B896)-FIND("/",B896, FIND("Single Cells",B896, 1)))</f>
        <v>#VALUE!</v>
      </c>
    </row>
    <row r="897" customFormat="false" ht="12.75" hidden="false" customHeight="false" outlineLevel="0" collapsed="false">
      <c r="E897" s="34" t="str">
        <f aca="false">MID(B897,9,1)</f>
        <v/>
      </c>
      <c r="F897" s="34" t="str">
        <f aca="false">MID(B897,10,1)</f>
        <v/>
      </c>
      <c r="G897" s="34" t="str">
        <f aca="false">MID(B897,11,1)</f>
        <v/>
      </c>
      <c r="H897" s="35" t="str">
        <f aca="false">IF(G897=".",F897,CONCATENATE(F897,G897))</f>
        <v/>
      </c>
      <c r="I897" s="34" t="n">
        <f aca="false">IFERROR(VALUE(H897),)</f>
        <v>0</v>
      </c>
      <c r="J897" s="34" t="e">
        <f aca="false">RIGHT(B897,LEN(B897)-FIND("/",B897, FIND("Single Cells",B897, 1)))</f>
        <v>#VALUE!</v>
      </c>
    </row>
    <row r="898" customFormat="false" ht="12.75" hidden="false" customHeight="false" outlineLevel="0" collapsed="false">
      <c r="E898" s="34" t="str">
        <f aca="false">MID(B898,9,1)</f>
        <v/>
      </c>
      <c r="F898" s="34" t="str">
        <f aca="false">MID(B898,10,1)</f>
        <v/>
      </c>
      <c r="G898" s="34" t="str">
        <f aca="false">MID(B898,11,1)</f>
        <v/>
      </c>
      <c r="H898" s="35" t="str">
        <f aca="false">IF(G898=".",F898,CONCATENATE(F898,G898))</f>
        <v/>
      </c>
      <c r="I898" s="34" t="n">
        <f aca="false">IFERROR(VALUE(H898),)</f>
        <v>0</v>
      </c>
      <c r="J898" s="34" t="e">
        <f aca="false">RIGHT(B898,LEN(B898)-FIND("/",B898, FIND("Single Cells",B898, 1)))</f>
        <v>#VALUE!</v>
      </c>
    </row>
    <row r="899" customFormat="false" ht="12.75" hidden="false" customHeight="false" outlineLevel="0" collapsed="false">
      <c r="E899" s="34" t="str">
        <f aca="false">MID(B899,9,1)</f>
        <v/>
      </c>
      <c r="F899" s="34" t="str">
        <f aca="false">MID(B899,10,1)</f>
        <v/>
      </c>
      <c r="G899" s="34" t="str">
        <f aca="false">MID(B899,11,1)</f>
        <v/>
      </c>
      <c r="H899" s="35" t="str">
        <f aca="false">IF(G899=".",F899,CONCATENATE(F899,G899))</f>
        <v/>
      </c>
      <c r="I899" s="34" t="n">
        <f aca="false">IFERROR(VALUE(H899),)</f>
        <v>0</v>
      </c>
      <c r="J899" s="34" t="e">
        <f aca="false">RIGHT(B899,LEN(B899)-FIND("/",B899, FIND("Single Cells",B899, 1)))</f>
        <v>#VALUE!</v>
      </c>
    </row>
    <row r="900" customFormat="false" ht="12.75" hidden="false" customHeight="false" outlineLevel="0" collapsed="false">
      <c r="E900" s="34" t="str">
        <f aca="false">MID(B900,9,1)</f>
        <v/>
      </c>
      <c r="F900" s="34" t="str">
        <f aca="false">MID(B900,10,1)</f>
        <v/>
      </c>
      <c r="G900" s="34" t="str">
        <f aca="false">MID(B900,11,1)</f>
        <v/>
      </c>
      <c r="H900" s="35" t="str">
        <f aca="false">IF(G900=".",F900,CONCATENATE(F900,G900))</f>
        <v/>
      </c>
      <c r="I900" s="34" t="n">
        <f aca="false">IFERROR(VALUE(H900),)</f>
        <v>0</v>
      </c>
      <c r="J900" s="34" t="e">
        <f aca="false">RIGHT(B900,LEN(B900)-FIND("/",B900, FIND("Single Cells",B900, 1)))</f>
        <v>#VALUE!</v>
      </c>
    </row>
    <row r="901" customFormat="false" ht="12.75" hidden="false" customHeight="false" outlineLevel="0" collapsed="false">
      <c r="E901" s="34" t="str">
        <f aca="false">MID(B901,9,1)</f>
        <v/>
      </c>
      <c r="F901" s="34" t="str">
        <f aca="false">MID(B901,10,1)</f>
        <v/>
      </c>
      <c r="G901" s="34" t="str">
        <f aca="false">MID(B901,11,1)</f>
        <v/>
      </c>
      <c r="H901" s="35" t="str">
        <f aca="false">IF(G901=".",F901,CONCATENATE(F901,G901))</f>
        <v/>
      </c>
      <c r="I901" s="34" t="n">
        <f aca="false">IFERROR(VALUE(H901),)</f>
        <v>0</v>
      </c>
      <c r="J901" s="34" t="e">
        <f aca="false">RIGHT(B901,LEN(B901)-FIND("/",B901, FIND("Single Cells",B901, 1)))</f>
        <v>#VALUE!</v>
      </c>
    </row>
    <row r="902" customFormat="false" ht="12.75" hidden="false" customHeight="false" outlineLevel="0" collapsed="false">
      <c r="E902" s="34" t="str">
        <f aca="false">MID(B902,9,1)</f>
        <v/>
      </c>
      <c r="F902" s="34" t="str">
        <f aca="false">MID(B902,10,1)</f>
        <v/>
      </c>
      <c r="G902" s="34" t="str">
        <f aca="false">MID(B902,11,1)</f>
        <v/>
      </c>
      <c r="H902" s="35" t="str">
        <f aca="false">IF(G902=".",F902,CONCATENATE(F902,G902))</f>
        <v/>
      </c>
      <c r="I902" s="34" t="n">
        <f aca="false">IFERROR(VALUE(H902),)</f>
        <v>0</v>
      </c>
      <c r="J902" s="34" t="e">
        <f aca="false">RIGHT(B902,LEN(B902)-FIND("/",B902, FIND("Single Cells",B902, 1)))</f>
        <v>#VALUE!</v>
      </c>
    </row>
    <row r="903" customFormat="false" ht="12.75" hidden="false" customHeight="false" outlineLevel="0" collapsed="false">
      <c r="E903" s="34" t="str">
        <f aca="false">MID(B903,9,1)</f>
        <v/>
      </c>
      <c r="F903" s="34" t="str">
        <f aca="false">MID(B903,10,1)</f>
        <v/>
      </c>
      <c r="G903" s="34" t="str">
        <f aca="false">MID(B903,11,1)</f>
        <v/>
      </c>
      <c r="H903" s="35" t="str">
        <f aca="false">IF(G903=".",F903,CONCATENATE(F903,G903))</f>
        <v/>
      </c>
      <c r="I903" s="34" t="n">
        <f aca="false">IFERROR(VALUE(H903),)</f>
        <v>0</v>
      </c>
      <c r="J903" s="34" t="e">
        <f aca="false">RIGHT(B903,LEN(B903)-FIND("/",B903, FIND("Single Cells",B903, 1)))</f>
        <v>#VALUE!</v>
      </c>
    </row>
    <row r="904" customFormat="false" ht="12.75" hidden="false" customHeight="false" outlineLevel="0" collapsed="false">
      <c r="E904" s="34" t="str">
        <f aca="false">MID(B904,9,1)</f>
        <v/>
      </c>
      <c r="F904" s="34" t="str">
        <f aca="false">MID(B904,10,1)</f>
        <v/>
      </c>
      <c r="G904" s="34" t="str">
        <f aca="false">MID(B904,11,1)</f>
        <v/>
      </c>
      <c r="H904" s="35" t="str">
        <f aca="false">IF(G904=".",F904,CONCATENATE(F904,G904))</f>
        <v/>
      </c>
      <c r="I904" s="34" t="n">
        <f aca="false">IFERROR(VALUE(H904),)</f>
        <v>0</v>
      </c>
      <c r="J904" s="34" t="e">
        <f aca="false">RIGHT(B904,LEN(B904)-FIND("/",B904, FIND("Single Cells",B904, 1)))</f>
        <v>#VALUE!</v>
      </c>
    </row>
    <row r="905" customFormat="false" ht="12.75" hidden="false" customHeight="false" outlineLevel="0" collapsed="false">
      <c r="E905" s="34" t="str">
        <f aca="false">MID(B905,9,1)</f>
        <v/>
      </c>
      <c r="F905" s="34" t="str">
        <f aca="false">MID(B905,10,1)</f>
        <v/>
      </c>
      <c r="G905" s="34" t="str">
        <f aca="false">MID(B905,11,1)</f>
        <v/>
      </c>
      <c r="H905" s="35" t="str">
        <f aca="false">IF(G905=".",F905,CONCATENATE(F905,G905))</f>
        <v/>
      </c>
      <c r="I905" s="34" t="n">
        <f aca="false">IFERROR(VALUE(H905),)</f>
        <v>0</v>
      </c>
      <c r="J905" s="34" t="e">
        <f aca="false">RIGHT(B905,LEN(B905)-FIND("/",B905, FIND("Single Cells",B905, 1)))</f>
        <v>#VALUE!</v>
      </c>
    </row>
    <row r="906" customFormat="false" ht="12.75" hidden="false" customHeight="false" outlineLevel="0" collapsed="false">
      <c r="E906" s="34" t="str">
        <f aca="false">MID(B906,9,1)</f>
        <v/>
      </c>
      <c r="F906" s="34" t="str">
        <f aca="false">MID(B906,10,1)</f>
        <v/>
      </c>
      <c r="G906" s="34" t="str">
        <f aca="false">MID(B906,11,1)</f>
        <v/>
      </c>
      <c r="H906" s="35" t="str">
        <f aca="false">IF(G906=".",F906,CONCATENATE(F906,G906))</f>
        <v/>
      </c>
      <c r="I906" s="34" t="n">
        <f aca="false">IFERROR(VALUE(H906),)</f>
        <v>0</v>
      </c>
      <c r="J906" s="34" t="e">
        <f aca="false">RIGHT(B906,LEN(B906)-FIND("/",B906, FIND("Single Cells",B906, 1)))</f>
        <v>#VALUE!</v>
      </c>
    </row>
    <row r="907" customFormat="false" ht="12.75" hidden="false" customHeight="false" outlineLevel="0" collapsed="false">
      <c r="E907" s="34" t="str">
        <f aca="false">MID(B907,9,1)</f>
        <v/>
      </c>
      <c r="F907" s="34" t="str">
        <f aca="false">MID(B907,10,1)</f>
        <v/>
      </c>
      <c r="G907" s="34" t="str">
        <f aca="false">MID(B907,11,1)</f>
        <v/>
      </c>
      <c r="H907" s="35" t="str">
        <f aca="false">IF(G907=".",F907,CONCATENATE(F907,G907))</f>
        <v/>
      </c>
      <c r="I907" s="34" t="n">
        <f aca="false">IFERROR(VALUE(H907),)</f>
        <v>0</v>
      </c>
      <c r="J907" s="34" t="e">
        <f aca="false">RIGHT(B907,LEN(B907)-FIND("/",B907, FIND("Single Cells",B907, 1)))</f>
        <v>#VALUE!</v>
      </c>
    </row>
    <row r="908" customFormat="false" ht="12.75" hidden="false" customHeight="false" outlineLevel="0" collapsed="false">
      <c r="E908" s="34" t="str">
        <f aca="false">MID(B908,9,1)</f>
        <v/>
      </c>
      <c r="F908" s="34" t="str">
        <f aca="false">MID(B908,10,1)</f>
        <v/>
      </c>
      <c r="G908" s="34" t="str">
        <f aca="false">MID(B908,11,1)</f>
        <v/>
      </c>
      <c r="H908" s="35" t="str">
        <f aca="false">IF(G908=".",F908,CONCATENATE(F908,G908))</f>
        <v/>
      </c>
      <c r="I908" s="34" t="n">
        <f aca="false">IFERROR(VALUE(H908),)</f>
        <v>0</v>
      </c>
      <c r="J908" s="34" t="e">
        <f aca="false">RIGHT(B908,LEN(B908)-FIND("/",B908, FIND("Single Cells",B908, 1)))</f>
        <v>#VALUE!</v>
      </c>
    </row>
    <row r="909" customFormat="false" ht="12.75" hidden="false" customHeight="false" outlineLevel="0" collapsed="false">
      <c r="E909" s="34" t="str">
        <f aca="false">MID(B909,9,1)</f>
        <v/>
      </c>
      <c r="F909" s="34" t="str">
        <f aca="false">MID(B909,10,1)</f>
        <v/>
      </c>
      <c r="G909" s="34" t="str">
        <f aca="false">MID(B909,11,1)</f>
        <v/>
      </c>
      <c r="H909" s="35" t="str">
        <f aca="false">IF(G909=".",F909,CONCATENATE(F909,G909))</f>
        <v/>
      </c>
      <c r="I909" s="34" t="n">
        <f aca="false">IFERROR(VALUE(H909),)</f>
        <v>0</v>
      </c>
      <c r="J909" s="34" t="e">
        <f aca="false">RIGHT(B909,LEN(B909)-FIND("/",B909, FIND("Single Cells",B909, 1)))</f>
        <v>#VALUE!</v>
      </c>
    </row>
    <row r="910" customFormat="false" ht="12.75" hidden="false" customHeight="false" outlineLevel="0" collapsed="false">
      <c r="E910" s="34" t="str">
        <f aca="false">MID(B910,9,1)</f>
        <v/>
      </c>
      <c r="F910" s="34" t="str">
        <f aca="false">MID(B910,10,1)</f>
        <v/>
      </c>
      <c r="G910" s="34" t="str">
        <f aca="false">MID(B910,11,1)</f>
        <v/>
      </c>
      <c r="H910" s="35" t="str">
        <f aca="false">IF(G910=".",F910,CONCATENATE(F910,G910))</f>
        <v/>
      </c>
      <c r="I910" s="34" t="n">
        <f aca="false">IFERROR(VALUE(H910),)</f>
        <v>0</v>
      </c>
      <c r="J910" s="34" t="e">
        <f aca="false">RIGHT(B910,LEN(B910)-FIND("/",B910, FIND("Single Cells",B910, 1)))</f>
        <v>#VALUE!</v>
      </c>
    </row>
    <row r="911" customFormat="false" ht="12.75" hidden="false" customHeight="false" outlineLevel="0" collapsed="false">
      <c r="E911" s="34" t="str">
        <f aca="false">MID(B911,9,1)</f>
        <v/>
      </c>
      <c r="F911" s="34" t="str">
        <f aca="false">MID(B911,10,1)</f>
        <v/>
      </c>
      <c r="G911" s="34" t="str">
        <f aca="false">MID(B911,11,1)</f>
        <v/>
      </c>
      <c r="H911" s="35" t="str">
        <f aca="false">IF(G911=".",F911,CONCATENATE(F911,G911))</f>
        <v/>
      </c>
      <c r="I911" s="34" t="n">
        <f aca="false">IFERROR(VALUE(H911),)</f>
        <v>0</v>
      </c>
      <c r="J911" s="34" t="e">
        <f aca="false">RIGHT(B911,LEN(B911)-FIND("/",B911, FIND("Single Cells",B911, 1)))</f>
        <v>#VALUE!</v>
      </c>
    </row>
    <row r="912" customFormat="false" ht="12.75" hidden="false" customHeight="false" outlineLevel="0" collapsed="false">
      <c r="E912" s="34" t="str">
        <f aca="false">MID(B912,9,1)</f>
        <v/>
      </c>
      <c r="F912" s="34" t="str">
        <f aca="false">MID(B912,10,1)</f>
        <v/>
      </c>
      <c r="G912" s="34" t="str">
        <f aca="false">MID(B912,11,1)</f>
        <v/>
      </c>
      <c r="H912" s="35" t="str">
        <f aca="false">IF(G912=".",F912,CONCATENATE(F912,G912))</f>
        <v/>
      </c>
      <c r="I912" s="34" t="n">
        <f aca="false">IFERROR(VALUE(H912),)</f>
        <v>0</v>
      </c>
      <c r="J912" s="34" t="e">
        <f aca="false">RIGHT(B912,LEN(B912)-FIND("/",B912, FIND("Single Cells",B912, 1)))</f>
        <v>#VALUE!</v>
      </c>
    </row>
    <row r="913" customFormat="false" ht="12.75" hidden="false" customHeight="false" outlineLevel="0" collapsed="false">
      <c r="E913" s="34" t="str">
        <f aca="false">MID(B913,9,1)</f>
        <v/>
      </c>
      <c r="F913" s="34" t="str">
        <f aca="false">MID(B913,10,1)</f>
        <v/>
      </c>
      <c r="G913" s="34" t="str">
        <f aca="false">MID(B913,11,1)</f>
        <v/>
      </c>
      <c r="H913" s="35" t="str">
        <f aca="false">IF(G913=".",F913,CONCATENATE(F913,G913))</f>
        <v/>
      </c>
      <c r="I913" s="34" t="n">
        <f aca="false">IFERROR(VALUE(H913),)</f>
        <v>0</v>
      </c>
      <c r="J913" s="34" t="e">
        <f aca="false">RIGHT(B913,LEN(B913)-FIND("/",B913, FIND("Single Cells",B913, 1)))</f>
        <v>#VALUE!</v>
      </c>
    </row>
    <row r="914" customFormat="false" ht="12.75" hidden="false" customHeight="false" outlineLevel="0" collapsed="false">
      <c r="E914" s="34" t="str">
        <f aca="false">MID(B914,9,1)</f>
        <v/>
      </c>
      <c r="F914" s="34" t="str">
        <f aca="false">MID(B914,10,1)</f>
        <v/>
      </c>
      <c r="G914" s="34" t="str">
        <f aca="false">MID(B914,11,1)</f>
        <v/>
      </c>
      <c r="H914" s="35" t="str">
        <f aca="false">IF(G914=".",F914,CONCATENATE(F914,G914))</f>
        <v/>
      </c>
      <c r="I914" s="34" t="n">
        <f aca="false">IFERROR(VALUE(H914),)</f>
        <v>0</v>
      </c>
      <c r="J914" s="34" t="e">
        <f aca="false">RIGHT(B914,LEN(B914)-FIND("/",B914, FIND("Single Cells",B914, 1)))</f>
        <v>#VALUE!</v>
      </c>
    </row>
    <row r="915" customFormat="false" ht="12.75" hidden="false" customHeight="false" outlineLevel="0" collapsed="false">
      <c r="E915" s="34" t="str">
        <f aca="false">MID(B915,9,1)</f>
        <v/>
      </c>
      <c r="F915" s="34" t="str">
        <f aca="false">MID(B915,10,1)</f>
        <v/>
      </c>
      <c r="G915" s="34" t="str">
        <f aca="false">MID(B915,11,1)</f>
        <v/>
      </c>
      <c r="H915" s="35" t="str">
        <f aca="false">IF(G915=".",F915,CONCATENATE(F915,G915))</f>
        <v/>
      </c>
      <c r="I915" s="34" t="n">
        <f aca="false">IFERROR(VALUE(H915),)</f>
        <v>0</v>
      </c>
      <c r="J915" s="34" t="e">
        <f aca="false">RIGHT(B915,LEN(B915)-FIND("/",B915, FIND("Single Cells",B915, 1)))</f>
        <v>#VALUE!</v>
      </c>
    </row>
    <row r="916" customFormat="false" ht="12.75" hidden="false" customHeight="false" outlineLevel="0" collapsed="false">
      <c r="E916" s="34" t="str">
        <f aca="false">MID(B916,9,1)</f>
        <v/>
      </c>
      <c r="F916" s="34" t="str">
        <f aca="false">MID(B916,10,1)</f>
        <v/>
      </c>
      <c r="G916" s="34" t="str">
        <f aca="false">MID(B916,11,1)</f>
        <v/>
      </c>
      <c r="H916" s="35" t="str">
        <f aca="false">IF(G916=".",F916,CONCATENATE(F916,G916))</f>
        <v/>
      </c>
      <c r="I916" s="34" t="n">
        <f aca="false">IFERROR(VALUE(H916),)</f>
        <v>0</v>
      </c>
      <c r="J916" s="34" t="e">
        <f aca="false">RIGHT(B916,LEN(B916)-FIND("/",B916, FIND("Single Cells",B916, 1)))</f>
        <v>#VALUE!</v>
      </c>
    </row>
    <row r="917" customFormat="false" ht="12.75" hidden="false" customHeight="false" outlineLevel="0" collapsed="false">
      <c r="E917" s="34" t="str">
        <f aca="false">MID(B917,9,1)</f>
        <v/>
      </c>
      <c r="F917" s="34" t="str">
        <f aca="false">MID(B917,10,1)</f>
        <v/>
      </c>
      <c r="G917" s="34" t="str">
        <f aca="false">MID(B917,11,1)</f>
        <v/>
      </c>
      <c r="H917" s="35" t="str">
        <f aca="false">IF(G917=".",F917,CONCATENATE(F917,G917))</f>
        <v/>
      </c>
      <c r="I917" s="34" t="n">
        <f aca="false">IFERROR(VALUE(H917),)</f>
        <v>0</v>
      </c>
      <c r="J917" s="34" t="e">
        <f aca="false">RIGHT(B917,LEN(B917)-FIND("/",B917, FIND("Single Cells",B917, 1)))</f>
        <v>#VALUE!</v>
      </c>
    </row>
    <row r="918" customFormat="false" ht="12.75" hidden="false" customHeight="false" outlineLevel="0" collapsed="false">
      <c r="E918" s="34" t="str">
        <f aca="false">MID(B918,9,1)</f>
        <v/>
      </c>
      <c r="F918" s="34" t="str">
        <f aca="false">MID(B918,10,1)</f>
        <v/>
      </c>
      <c r="G918" s="34" t="str">
        <f aca="false">MID(B918,11,1)</f>
        <v/>
      </c>
      <c r="H918" s="35" t="str">
        <f aca="false">IF(G918=".",F918,CONCATENATE(F918,G918))</f>
        <v/>
      </c>
      <c r="I918" s="34" t="n">
        <f aca="false">IFERROR(VALUE(H918),)</f>
        <v>0</v>
      </c>
      <c r="J918" s="34" t="e">
        <f aca="false">RIGHT(B918,LEN(B918)-FIND("/",B918, FIND("Single Cells",B918, 1)))</f>
        <v>#VALUE!</v>
      </c>
    </row>
    <row r="919" customFormat="false" ht="12.75" hidden="false" customHeight="false" outlineLevel="0" collapsed="false">
      <c r="E919" s="34" t="str">
        <f aca="false">MID(B919,9,1)</f>
        <v/>
      </c>
      <c r="F919" s="34" t="str">
        <f aca="false">MID(B919,10,1)</f>
        <v/>
      </c>
      <c r="G919" s="34" t="str">
        <f aca="false">MID(B919,11,1)</f>
        <v/>
      </c>
      <c r="H919" s="35" t="str">
        <f aca="false">IF(G919=".",F919,CONCATENATE(F919,G919))</f>
        <v/>
      </c>
      <c r="I919" s="34" t="n">
        <f aca="false">IFERROR(VALUE(H919),)</f>
        <v>0</v>
      </c>
      <c r="J919" s="34" t="e">
        <f aca="false">RIGHT(B919,LEN(B919)-FIND("/",B919, FIND("Single Cells",B919, 1)))</f>
        <v>#VALUE!</v>
      </c>
    </row>
    <row r="920" customFormat="false" ht="12.75" hidden="false" customHeight="false" outlineLevel="0" collapsed="false">
      <c r="E920" s="34" t="str">
        <f aca="false">MID(B920,9,1)</f>
        <v/>
      </c>
      <c r="F920" s="34" t="str">
        <f aca="false">MID(B920,10,1)</f>
        <v/>
      </c>
      <c r="G920" s="34" t="str">
        <f aca="false">MID(B920,11,1)</f>
        <v/>
      </c>
      <c r="H920" s="35" t="str">
        <f aca="false">IF(G920=".",F920,CONCATENATE(F920,G920))</f>
        <v/>
      </c>
      <c r="I920" s="34" t="n">
        <f aca="false">IFERROR(VALUE(H920),)</f>
        <v>0</v>
      </c>
      <c r="J920" s="34" t="e">
        <f aca="false">RIGHT(B920,LEN(B920)-FIND("/",B920, FIND("Single Cells",B920, 1)))</f>
        <v>#VALUE!</v>
      </c>
    </row>
    <row r="921" customFormat="false" ht="12.75" hidden="false" customHeight="false" outlineLevel="0" collapsed="false">
      <c r="E921" s="34" t="str">
        <f aca="false">MID(B921,9,1)</f>
        <v/>
      </c>
      <c r="F921" s="34" t="str">
        <f aca="false">MID(B921,10,1)</f>
        <v/>
      </c>
      <c r="G921" s="34" t="str">
        <f aca="false">MID(B921,11,1)</f>
        <v/>
      </c>
      <c r="H921" s="35" t="str">
        <f aca="false">IF(G921=".",F921,CONCATENATE(F921,G921))</f>
        <v/>
      </c>
      <c r="I921" s="34" t="n">
        <f aca="false">IFERROR(VALUE(H921),)</f>
        <v>0</v>
      </c>
      <c r="J921" s="34" t="e">
        <f aca="false">RIGHT(B921,LEN(B921)-FIND("/",B921, FIND("Single Cells",B921, 1)))</f>
        <v>#VALUE!</v>
      </c>
    </row>
    <row r="922" customFormat="false" ht="12.75" hidden="false" customHeight="false" outlineLevel="0" collapsed="false">
      <c r="E922" s="34" t="str">
        <f aca="false">MID(B922,9,1)</f>
        <v/>
      </c>
      <c r="F922" s="34" t="str">
        <f aca="false">MID(B922,10,1)</f>
        <v/>
      </c>
      <c r="G922" s="34" t="str">
        <f aca="false">MID(B922,11,1)</f>
        <v/>
      </c>
      <c r="H922" s="35" t="str">
        <f aca="false">IF(G922=".",F922,CONCATENATE(F922,G922))</f>
        <v/>
      </c>
      <c r="I922" s="34" t="n">
        <f aca="false">IFERROR(VALUE(H922),)</f>
        <v>0</v>
      </c>
      <c r="J922" s="34" t="e">
        <f aca="false">RIGHT(B922,LEN(B922)-FIND("/",B922, FIND("Single Cells",B922, 1)))</f>
        <v>#VALUE!</v>
      </c>
    </row>
    <row r="923" customFormat="false" ht="12.75" hidden="false" customHeight="false" outlineLevel="0" collapsed="false">
      <c r="E923" s="34" t="str">
        <f aca="false">MID(B923,9,1)</f>
        <v/>
      </c>
      <c r="F923" s="34" t="str">
        <f aca="false">MID(B923,10,1)</f>
        <v/>
      </c>
      <c r="G923" s="34" t="str">
        <f aca="false">MID(B923,11,1)</f>
        <v/>
      </c>
      <c r="H923" s="35" t="str">
        <f aca="false">IF(G923=".",F923,CONCATENATE(F923,G923))</f>
        <v/>
      </c>
      <c r="I923" s="34" t="n">
        <f aca="false">IFERROR(VALUE(H923),)</f>
        <v>0</v>
      </c>
      <c r="J923" s="34" t="e">
        <f aca="false">RIGHT(B923,LEN(B923)-FIND("/",B923, FIND("Single Cells",B923, 1)))</f>
        <v>#VALUE!</v>
      </c>
    </row>
    <row r="924" customFormat="false" ht="12.75" hidden="false" customHeight="false" outlineLevel="0" collapsed="false">
      <c r="E924" s="34" t="str">
        <f aca="false">MID(B924,9,1)</f>
        <v/>
      </c>
      <c r="F924" s="34" t="str">
        <f aca="false">MID(B924,10,1)</f>
        <v/>
      </c>
      <c r="G924" s="34" t="str">
        <f aca="false">MID(B924,11,1)</f>
        <v/>
      </c>
      <c r="H924" s="35" t="str">
        <f aca="false">IF(G924=".",F924,CONCATENATE(F924,G924))</f>
        <v/>
      </c>
      <c r="I924" s="34" t="n">
        <f aca="false">IFERROR(VALUE(H924),)</f>
        <v>0</v>
      </c>
      <c r="J924" s="34" t="e">
        <f aca="false">RIGHT(B924,LEN(B924)-FIND("/",B924, FIND("Single Cells",B924, 1)))</f>
        <v>#VALUE!</v>
      </c>
    </row>
    <row r="925" customFormat="false" ht="12.75" hidden="false" customHeight="false" outlineLevel="0" collapsed="false">
      <c r="E925" s="34" t="str">
        <f aca="false">MID(B925,9,1)</f>
        <v/>
      </c>
      <c r="F925" s="34" t="str">
        <f aca="false">MID(B925,10,1)</f>
        <v/>
      </c>
      <c r="G925" s="34" t="str">
        <f aca="false">MID(B925,11,1)</f>
        <v/>
      </c>
      <c r="H925" s="35" t="str">
        <f aca="false">IF(G925=".",F925,CONCATENATE(F925,G925))</f>
        <v/>
      </c>
      <c r="I925" s="34" t="n">
        <f aca="false">IFERROR(VALUE(H925),)</f>
        <v>0</v>
      </c>
      <c r="J925" s="34" t="e">
        <f aca="false">RIGHT(B925,LEN(B925)-FIND("/",B925, FIND("Single Cells",B925, 1)))</f>
        <v>#VALUE!</v>
      </c>
    </row>
    <row r="926" customFormat="false" ht="12.75" hidden="false" customHeight="false" outlineLevel="0" collapsed="false">
      <c r="E926" s="34" t="str">
        <f aca="false">MID(B926,9,1)</f>
        <v/>
      </c>
      <c r="F926" s="34" t="str">
        <f aca="false">MID(B926,10,1)</f>
        <v/>
      </c>
      <c r="G926" s="34" t="str">
        <f aca="false">MID(B926,11,1)</f>
        <v/>
      </c>
      <c r="H926" s="35" t="str">
        <f aca="false">IF(G926=".",F926,CONCATENATE(F926,G926))</f>
        <v/>
      </c>
      <c r="I926" s="34" t="n">
        <f aca="false">IFERROR(VALUE(H926),)</f>
        <v>0</v>
      </c>
      <c r="J926" s="34" t="e">
        <f aca="false">RIGHT(B926,LEN(B926)-FIND("/",B926, FIND("Single Cells",B926, 1)))</f>
        <v>#VALUE!</v>
      </c>
    </row>
    <row r="927" customFormat="false" ht="12.75" hidden="false" customHeight="false" outlineLevel="0" collapsed="false">
      <c r="E927" s="34" t="str">
        <f aca="false">MID(B927,9,1)</f>
        <v/>
      </c>
      <c r="F927" s="34" t="str">
        <f aca="false">MID(B927,10,1)</f>
        <v/>
      </c>
      <c r="G927" s="34" t="str">
        <f aca="false">MID(B927,11,1)</f>
        <v/>
      </c>
      <c r="H927" s="35" t="str">
        <f aca="false">IF(G927=".",F927,CONCATENATE(F927,G927))</f>
        <v/>
      </c>
      <c r="I927" s="34" t="n">
        <f aca="false">IFERROR(VALUE(H927),)</f>
        <v>0</v>
      </c>
      <c r="J927" s="34" t="e">
        <f aca="false">RIGHT(B927,LEN(B927)-FIND("/",B927, FIND("Single Cells",B927, 1)))</f>
        <v>#VALUE!</v>
      </c>
    </row>
    <row r="928" customFormat="false" ht="12.75" hidden="false" customHeight="false" outlineLevel="0" collapsed="false">
      <c r="E928" s="34" t="str">
        <f aca="false">MID(B928,9,1)</f>
        <v/>
      </c>
      <c r="F928" s="34" t="str">
        <f aca="false">MID(B928,10,1)</f>
        <v/>
      </c>
      <c r="G928" s="34" t="str">
        <f aca="false">MID(B928,11,1)</f>
        <v/>
      </c>
      <c r="H928" s="35" t="str">
        <f aca="false">IF(G928=".",F928,CONCATENATE(F928,G928))</f>
        <v/>
      </c>
      <c r="I928" s="34" t="n">
        <f aca="false">IFERROR(VALUE(H928),)</f>
        <v>0</v>
      </c>
      <c r="J928" s="34" t="e">
        <f aca="false">RIGHT(B928,LEN(B928)-FIND("/",B928, FIND("Single Cells",B928, 1)))</f>
        <v>#VALUE!</v>
      </c>
    </row>
    <row r="929" customFormat="false" ht="12.75" hidden="false" customHeight="false" outlineLevel="0" collapsed="false">
      <c r="E929" s="34" t="str">
        <f aca="false">MID(B929,9,1)</f>
        <v/>
      </c>
      <c r="F929" s="34" t="str">
        <f aca="false">MID(B929,10,1)</f>
        <v/>
      </c>
      <c r="G929" s="34" t="str">
        <f aca="false">MID(B929,11,1)</f>
        <v/>
      </c>
      <c r="H929" s="35" t="str">
        <f aca="false">IF(G929=".",F929,CONCATENATE(F929,G929))</f>
        <v/>
      </c>
      <c r="I929" s="34" t="n">
        <f aca="false">IFERROR(VALUE(H929),)</f>
        <v>0</v>
      </c>
      <c r="J929" s="34" t="e">
        <f aca="false">RIGHT(B929,LEN(B929)-FIND("/",B929, FIND("Single Cells",B929, 1)))</f>
        <v>#VALUE!</v>
      </c>
    </row>
    <row r="930" customFormat="false" ht="12.75" hidden="false" customHeight="false" outlineLevel="0" collapsed="false">
      <c r="E930" s="34" t="str">
        <f aca="false">MID(B930,9,1)</f>
        <v/>
      </c>
      <c r="F930" s="34" t="str">
        <f aca="false">MID(B930,10,1)</f>
        <v/>
      </c>
      <c r="G930" s="34" t="str">
        <f aca="false">MID(B930,11,1)</f>
        <v/>
      </c>
      <c r="H930" s="35" t="str">
        <f aca="false">IF(G930=".",F930,CONCATENATE(F930,G930))</f>
        <v/>
      </c>
      <c r="I930" s="34" t="n">
        <f aca="false">IFERROR(VALUE(H930),)</f>
        <v>0</v>
      </c>
      <c r="J930" s="34" t="e">
        <f aca="false">RIGHT(B930,LEN(B930)-FIND("/",B930, FIND("Single Cells",B930, 1)))</f>
        <v>#VALUE!</v>
      </c>
    </row>
    <row r="931" customFormat="false" ht="12.75" hidden="false" customHeight="false" outlineLevel="0" collapsed="false">
      <c r="E931" s="34" t="str">
        <f aca="false">MID(B931,9,1)</f>
        <v/>
      </c>
      <c r="F931" s="34" t="str">
        <f aca="false">MID(B931,10,1)</f>
        <v/>
      </c>
      <c r="G931" s="34" t="str">
        <f aca="false">MID(B931,11,1)</f>
        <v/>
      </c>
      <c r="H931" s="35" t="str">
        <f aca="false">IF(G931=".",F931,CONCATENATE(F931,G931))</f>
        <v/>
      </c>
      <c r="I931" s="34" t="n">
        <f aca="false">IFERROR(VALUE(H931),)</f>
        <v>0</v>
      </c>
      <c r="J931" s="34" t="e">
        <f aca="false">RIGHT(B931,LEN(B931)-FIND("/",B931, FIND("Single Cells",B931, 1)))</f>
        <v>#VALUE!</v>
      </c>
    </row>
    <row r="932" customFormat="false" ht="12.75" hidden="false" customHeight="false" outlineLevel="0" collapsed="false">
      <c r="E932" s="34" t="str">
        <f aca="false">MID(B932,9,1)</f>
        <v/>
      </c>
      <c r="F932" s="34" t="str">
        <f aca="false">MID(B932,10,1)</f>
        <v/>
      </c>
      <c r="G932" s="34" t="str">
        <f aca="false">MID(B932,11,1)</f>
        <v/>
      </c>
      <c r="H932" s="35" t="str">
        <f aca="false">IF(G932=".",F932,CONCATENATE(F932,G932))</f>
        <v/>
      </c>
      <c r="I932" s="34" t="n">
        <f aca="false">IFERROR(VALUE(H932),)</f>
        <v>0</v>
      </c>
      <c r="J932" s="34" t="e">
        <f aca="false">RIGHT(B932,LEN(B932)-FIND("/",B932, FIND("Single Cells",B932, 1)))</f>
        <v>#VALUE!</v>
      </c>
    </row>
    <row r="933" customFormat="false" ht="12.75" hidden="false" customHeight="false" outlineLevel="0" collapsed="false">
      <c r="E933" s="34" t="str">
        <f aca="false">MID(B933,9,1)</f>
        <v/>
      </c>
      <c r="F933" s="34" t="str">
        <f aca="false">MID(B933,10,1)</f>
        <v/>
      </c>
      <c r="G933" s="34" t="str">
        <f aca="false">MID(B933,11,1)</f>
        <v/>
      </c>
      <c r="H933" s="35" t="str">
        <f aca="false">IF(G933=".",F933,CONCATENATE(F933,G933))</f>
        <v/>
      </c>
      <c r="I933" s="34" t="n">
        <f aca="false">IFERROR(VALUE(H933),)</f>
        <v>0</v>
      </c>
      <c r="J933" s="34" t="e">
        <f aca="false">RIGHT(B933,LEN(B933)-FIND("/",B933, FIND("Single Cells",B933, 1)))</f>
        <v>#VALUE!</v>
      </c>
    </row>
    <row r="934" customFormat="false" ht="12.75" hidden="false" customHeight="false" outlineLevel="0" collapsed="false">
      <c r="E934" s="34" t="str">
        <f aca="false">MID(B934,9,1)</f>
        <v/>
      </c>
      <c r="F934" s="34" t="str">
        <f aca="false">MID(B934,10,1)</f>
        <v/>
      </c>
      <c r="G934" s="34" t="str">
        <f aca="false">MID(B934,11,1)</f>
        <v/>
      </c>
      <c r="H934" s="35" t="str">
        <f aca="false">IF(G934=".",F934,CONCATENATE(F934,G934))</f>
        <v/>
      </c>
      <c r="I934" s="34" t="n">
        <f aca="false">IFERROR(VALUE(H934),)</f>
        <v>0</v>
      </c>
      <c r="J934" s="34" t="e">
        <f aca="false">RIGHT(B934,LEN(B934)-FIND("/",B934, FIND("Single Cells",B934, 1)))</f>
        <v>#VALUE!</v>
      </c>
    </row>
    <row r="935" customFormat="false" ht="12.75" hidden="false" customHeight="false" outlineLevel="0" collapsed="false">
      <c r="E935" s="34" t="str">
        <f aca="false">MID(B935,9,1)</f>
        <v/>
      </c>
      <c r="F935" s="34" t="str">
        <f aca="false">MID(B935,10,1)</f>
        <v/>
      </c>
      <c r="G935" s="34" t="str">
        <f aca="false">MID(B935,11,1)</f>
        <v/>
      </c>
      <c r="H935" s="35" t="str">
        <f aca="false">IF(G935=".",F935,CONCATENATE(F935,G935))</f>
        <v/>
      </c>
      <c r="I935" s="34" t="n">
        <f aca="false">IFERROR(VALUE(H935),)</f>
        <v>0</v>
      </c>
      <c r="J935" s="34" t="e">
        <f aca="false">RIGHT(B935,LEN(B935)-FIND("/",B935, FIND("Single Cells",B935, 1)))</f>
        <v>#VALUE!</v>
      </c>
    </row>
    <row r="936" customFormat="false" ht="12.75" hidden="false" customHeight="false" outlineLevel="0" collapsed="false">
      <c r="E936" s="34" t="str">
        <f aca="false">MID(B936,9,1)</f>
        <v/>
      </c>
      <c r="F936" s="34" t="str">
        <f aca="false">MID(B936,10,1)</f>
        <v/>
      </c>
      <c r="G936" s="34" t="str">
        <f aca="false">MID(B936,11,1)</f>
        <v/>
      </c>
      <c r="H936" s="35" t="str">
        <f aca="false">IF(G936=".",F936,CONCATENATE(F936,G936))</f>
        <v/>
      </c>
      <c r="I936" s="34" t="n">
        <f aca="false">IFERROR(VALUE(H936),)</f>
        <v>0</v>
      </c>
      <c r="J936" s="34" t="e">
        <f aca="false">RIGHT(B936,LEN(B936)-FIND("/",B936, FIND("Single Cells",B936, 1)))</f>
        <v>#VALUE!</v>
      </c>
    </row>
    <row r="937" customFormat="false" ht="12.75" hidden="false" customHeight="false" outlineLevel="0" collapsed="false">
      <c r="E937" s="34" t="str">
        <f aca="false">MID(B937,9,1)</f>
        <v/>
      </c>
      <c r="F937" s="34" t="str">
        <f aca="false">MID(B937,10,1)</f>
        <v/>
      </c>
      <c r="G937" s="34" t="str">
        <f aca="false">MID(B937,11,1)</f>
        <v/>
      </c>
      <c r="H937" s="35" t="str">
        <f aca="false">IF(G937=".",F937,CONCATENATE(F937,G937))</f>
        <v/>
      </c>
      <c r="I937" s="34" t="n">
        <f aca="false">IFERROR(VALUE(H937),)</f>
        <v>0</v>
      </c>
      <c r="J937" s="34" t="e">
        <f aca="false">RIGHT(B937,LEN(B937)-FIND("/",B937, FIND("Single Cells",B937, 1)))</f>
        <v>#VALUE!</v>
      </c>
    </row>
    <row r="938" customFormat="false" ht="12.75" hidden="false" customHeight="false" outlineLevel="0" collapsed="false">
      <c r="E938" s="34" t="str">
        <f aca="false">MID(B938,9,1)</f>
        <v/>
      </c>
      <c r="F938" s="34" t="str">
        <f aca="false">MID(B938,10,1)</f>
        <v/>
      </c>
      <c r="G938" s="34" t="str">
        <f aca="false">MID(B938,11,1)</f>
        <v/>
      </c>
      <c r="H938" s="35" t="str">
        <f aca="false">IF(G938=".",F938,CONCATENATE(F938,G938))</f>
        <v/>
      </c>
      <c r="I938" s="34" t="n">
        <f aca="false">IFERROR(VALUE(H938),)</f>
        <v>0</v>
      </c>
      <c r="J938" s="34" t="e">
        <f aca="false">RIGHT(B938,LEN(B938)-FIND("/",B938, FIND("Single Cells",B938, 1)))</f>
        <v>#VALUE!</v>
      </c>
    </row>
    <row r="939" customFormat="false" ht="12.75" hidden="false" customHeight="false" outlineLevel="0" collapsed="false">
      <c r="E939" s="34" t="str">
        <f aca="false">MID(B939,9,1)</f>
        <v/>
      </c>
      <c r="F939" s="34" t="str">
        <f aca="false">MID(B939,10,1)</f>
        <v/>
      </c>
      <c r="G939" s="34" t="str">
        <f aca="false">MID(B939,11,1)</f>
        <v/>
      </c>
      <c r="H939" s="35" t="str">
        <f aca="false">IF(G939=".",F939,CONCATENATE(F939,G939))</f>
        <v/>
      </c>
      <c r="I939" s="34" t="n">
        <f aca="false">IFERROR(VALUE(H939),)</f>
        <v>0</v>
      </c>
      <c r="J939" s="34" t="e">
        <f aca="false">RIGHT(B939,LEN(B939)-FIND("/",B939, FIND("Single Cells",B939, 1)))</f>
        <v>#VALUE!</v>
      </c>
    </row>
    <row r="940" customFormat="false" ht="12.75" hidden="false" customHeight="false" outlineLevel="0" collapsed="false">
      <c r="E940" s="34" t="str">
        <f aca="false">MID(B940,9,1)</f>
        <v/>
      </c>
      <c r="F940" s="34" t="str">
        <f aca="false">MID(B940,10,1)</f>
        <v/>
      </c>
      <c r="G940" s="34" t="str">
        <f aca="false">MID(B940,11,1)</f>
        <v/>
      </c>
      <c r="H940" s="35" t="str">
        <f aca="false">IF(G940=".",F940,CONCATENATE(F940,G940))</f>
        <v/>
      </c>
      <c r="I940" s="34" t="n">
        <f aca="false">IFERROR(VALUE(H940),)</f>
        <v>0</v>
      </c>
      <c r="J940" s="34" t="e">
        <f aca="false">RIGHT(B940,LEN(B940)-FIND("/",B940, FIND("Single Cells",B940, 1)))</f>
        <v>#VALUE!</v>
      </c>
    </row>
    <row r="941" customFormat="false" ht="12.75" hidden="false" customHeight="false" outlineLevel="0" collapsed="false">
      <c r="E941" s="34" t="str">
        <f aca="false">MID(B941,9,1)</f>
        <v/>
      </c>
      <c r="F941" s="34" t="str">
        <f aca="false">MID(B941,10,1)</f>
        <v/>
      </c>
      <c r="G941" s="34" t="str">
        <f aca="false">MID(B941,11,1)</f>
        <v/>
      </c>
      <c r="H941" s="35" t="str">
        <f aca="false">IF(G941=".",F941,CONCATENATE(F941,G941))</f>
        <v/>
      </c>
      <c r="I941" s="34" t="n">
        <f aca="false">IFERROR(VALUE(H941),)</f>
        <v>0</v>
      </c>
      <c r="J941" s="34" t="e">
        <f aca="false">RIGHT(B941,LEN(B941)-FIND("/",B941, FIND("Single Cells",B941, 1)))</f>
        <v>#VALUE!</v>
      </c>
    </row>
    <row r="942" customFormat="false" ht="12.75" hidden="false" customHeight="false" outlineLevel="0" collapsed="false">
      <c r="E942" s="34" t="str">
        <f aca="false">MID(B942,9,1)</f>
        <v/>
      </c>
      <c r="F942" s="34" t="str">
        <f aca="false">MID(B942,10,1)</f>
        <v/>
      </c>
      <c r="G942" s="34" t="str">
        <f aca="false">MID(B942,11,1)</f>
        <v/>
      </c>
      <c r="H942" s="35" t="str">
        <f aca="false">IF(G942=".",F942,CONCATENATE(F942,G942))</f>
        <v/>
      </c>
      <c r="I942" s="34" t="n">
        <f aca="false">IFERROR(VALUE(H942),)</f>
        <v>0</v>
      </c>
      <c r="J942" s="34" t="e">
        <f aca="false">RIGHT(B942,LEN(B942)-FIND("/",B942, FIND("Single Cells",B942, 1)))</f>
        <v>#VALUE!</v>
      </c>
    </row>
    <row r="943" customFormat="false" ht="12.75" hidden="false" customHeight="false" outlineLevel="0" collapsed="false">
      <c r="E943" s="34" t="str">
        <f aca="false">MID(B943,9,1)</f>
        <v/>
      </c>
      <c r="F943" s="34" t="str">
        <f aca="false">MID(B943,10,1)</f>
        <v/>
      </c>
      <c r="G943" s="34" t="str">
        <f aca="false">MID(B943,11,1)</f>
        <v/>
      </c>
      <c r="H943" s="35" t="str">
        <f aca="false">IF(G943=".",F943,CONCATENATE(F943,G943))</f>
        <v/>
      </c>
      <c r="I943" s="34" t="n">
        <f aca="false">IFERROR(VALUE(H943),)</f>
        <v>0</v>
      </c>
      <c r="J943" s="34" t="e">
        <f aca="false">RIGHT(B943,LEN(B943)-FIND("/",B943, FIND("Single Cells",B943, 1)))</f>
        <v>#VALUE!</v>
      </c>
    </row>
    <row r="944" customFormat="false" ht="12.75" hidden="false" customHeight="false" outlineLevel="0" collapsed="false">
      <c r="E944" s="34" t="str">
        <f aca="false">MID(B944,9,1)</f>
        <v/>
      </c>
      <c r="F944" s="34" t="str">
        <f aca="false">MID(B944,10,1)</f>
        <v/>
      </c>
      <c r="G944" s="34" t="str">
        <f aca="false">MID(B944,11,1)</f>
        <v/>
      </c>
      <c r="H944" s="35" t="str">
        <f aca="false">IF(G944=".",F944,CONCATENATE(F944,G944))</f>
        <v/>
      </c>
      <c r="I944" s="34" t="n">
        <f aca="false">IFERROR(VALUE(H944),)</f>
        <v>0</v>
      </c>
      <c r="J944" s="34" t="e">
        <f aca="false">RIGHT(B944,LEN(B944)-FIND("/",B944, FIND("Single Cells",B944, 1)))</f>
        <v>#VALUE!</v>
      </c>
    </row>
    <row r="945" customFormat="false" ht="12.75" hidden="false" customHeight="false" outlineLevel="0" collapsed="false">
      <c r="E945" s="34" t="str">
        <f aca="false">MID(B945,9,1)</f>
        <v/>
      </c>
      <c r="F945" s="34" t="str">
        <f aca="false">MID(B945,10,1)</f>
        <v/>
      </c>
      <c r="G945" s="34" t="str">
        <f aca="false">MID(B945,11,1)</f>
        <v/>
      </c>
      <c r="H945" s="35" t="str">
        <f aca="false">IF(G945=".",F945,CONCATENATE(F945,G945))</f>
        <v/>
      </c>
      <c r="I945" s="34" t="n">
        <f aca="false">IFERROR(VALUE(H945),)</f>
        <v>0</v>
      </c>
      <c r="J945" s="34" t="e">
        <f aca="false">RIGHT(B945,LEN(B945)-FIND("/",B945, FIND("Single Cells",B945, 1)))</f>
        <v>#VALUE!</v>
      </c>
    </row>
    <row r="946" customFormat="false" ht="12.75" hidden="false" customHeight="false" outlineLevel="0" collapsed="false">
      <c r="E946" s="34" t="str">
        <f aca="false">MID(B946,9,1)</f>
        <v/>
      </c>
      <c r="F946" s="34" t="str">
        <f aca="false">MID(B946,10,1)</f>
        <v/>
      </c>
      <c r="G946" s="34" t="str">
        <f aca="false">MID(B946,11,1)</f>
        <v/>
      </c>
      <c r="H946" s="35" t="str">
        <f aca="false">IF(G946=".",F946,CONCATENATE(F946,G946))</f>
        <v/>
      </c>
      <c r="I946" s="34" t="n">
        <f aca="false">IFERROR(VALUE(H946),)</f>
        <v>0</v>
      </c>
      <c r="J946" s="34" t="e">
        <f aca="false">RIGHT(B946,LEN(B946)-FIND("/",B946, FIND("Single Cells",B946, 1)))</f>
        <v>#VALUE!</v>
      </c>
    </row>
    <row r="947" customFormat="false" ht="12.75" hidden="false" customHeight="false" outlineLevel="0" collapsed="false">
      <c r="E947" s="34" t="str">
        <f aca="false">MID(B947,9,1)</f>
        <v/>
      </c>
      <c r="F947" s="34" t="str">
        <f aca="false">MID(B947,10,1)</f>
        <v/>
      </c>
      <c r="G947" s="34" t="str">
        <f aca="false">MID(B947,11,1)</f>
        <v/>
      </c>
      <c r="H947" s="35" t="str">
        <f aca="false">IF(G947=".",F947,CONCATENATE(F947,G947))</f>
        <v/>
      </c>
      <c r="I947" s="34" t="n">
        <f aca="false">IFERROR(VALUE(H947),)</f>
        <v>0</v>
      </c>
      <c r="J947" s="34" t="e">
        <f aca="false">RIGHT(B947,LEN(B947)-FIND("/",B947, FIND("Single Cells",B947, 1)))</f>
        <v>#VALUE!</v>
      </c>
    </row>
    <row r="948" customFormat="false" ht="12.75" hidden="false" customHeight="false" outlineLevel="0" collapsed="false">
      <c r="E948" s="34" t="str">
        <f aca="false">MID(B948,9,1)</f>
        <v/>
      </c>
      <c r="F948" s="34" t="str">
        <f aca="false">MID(B948,10,1)</f>
        <v/>
      </c>
      <c r="G948" s="34" t="str">
        <f aca="false">MID(B948,11,1)</f>
        <v/>
      </c>
      <c r="H948" s="35" t="str">
        <f aca="false">IF(G948=".",F948,CONCATENATE(F948,G948))</f>
        <v/>
      </c>
      <c r="I948" s="34" t="n">
        <f aca="false">IFERROR(VALUE(H948),)</f>
        <v>0</v>
      </c>
      <c r="J948" s="34" t="e">
        <f aca="false">RIGHT(B948,LEN(B948)-FIND("/",B948, FIND("Single Cells",B948, 1)))</f>
        <v>#VALUE!</v>
      </c>
    </row>
    <row r="949" customFormat="false" ht="12.75" hidden="false" customHeight="false" outlineLevel="0" collapsed="false">
      <c r="E949" s="34" t="str">
        <f aca="false">MID(B949,9,1)</f>
        <v/>
      </c>
      <c r="F949" s="34" t="str">
        <f aca="false">MID(B949,10,1)</f>
        <v/>
      </c>
      <c r="G949" s="34" t="str">
        <f aca="false">MID(B949,11,1)</f>
        <v/>
      </c>
      <c r="H949" s="35" t="str">
        <f aca="false">IF(G949=".",F949,CONCATENATE(F949,G949))</f>
        <v/>
      </c>
      <c r="I949" s="34" t="n">
        <f aca="false">IFERROR(VALUE(H949),)</f>
        <v>0</v>
      </c>
      <c r="J949" s="34" t="e">
        <f aca="false">RIGHT(B949,LEN(B949)-FIND("/",B949, FIND("Single Cells",B949, 1)))</f>
        <v>#VALUE!</v>
      </c>
    </row>
    <row r="950" customFormat="false" ht="12.75" hidden="false" customHeight="false" outlineLevel="0" collapsed="false">
      <c r="E950" s="34" t="str">
        <f aca="false">MID(B950,9,1)</f>
        <v/>
      </c>
      <c r="F950" s="34" t="str">
        <f aca="false">MID(B950,10,1)</f>
        <v/>
      </c>
      <c r="G950" s="34" t="str">
        <f aca="false">MID(B950,11,1)</f>
        <v/>
      </c>
      <c r="H950" s="35" t="str">
        <f aca="false">IF(G950=".",F950,CONCATENATE(F950,G950))</f>
        <v/>
      </c>
      <c r="I950" s="34" t="n">
        <f aca="false">IFERROR(VALUE(H950),)</f>
        <v>0</v>
      </c>
      <c r="J950" s="34" t="e">
        <f aca="false">RIGHT(B950,LEN(B950)-FIND("/",B950, FIND("Single Cells",B950, 1)))</f>
        <v>#VALUE!</v>
      </c>
    </row>
    <row r="951" customFormat="false" ht="12.75" hidden="false" customHeight="false" outlineLevel="0" collapsed="false">
      <c r="E951" s="34" t="str">
        <f aca="false">MID(B951,9,1)</f>
        <v/>
      </c>
      <c r="F951" s="34" t="str">
        <f aca="false">MID(B951,10,1)</f>
        <v/>
      </c>
      <c r="G951" s="34" t="str">
        <f aca="false">MID(B951,11,1)</f>
        <v/>
      </c>
      <c r="H951" s="35" t="str">
        <f aca="false">IF(G951=".",F951,CONCATENATE(F951,G951))</f>
        <v/>
      </c>
      <c r="I951" s="34" t="n">
        <f aca="false">IFERROR(VALUE(H951),)</f>
        <v>0</v>
      </c>
      <c r="J951" s="34" t="e">
        <f aca="false">RIGHT(B951,LEN(B951)-FIND("/",B951, FIND("Single Cells",B951, 1)))</f>
        <v>#VALUE!</v>
      </c>
    </row>
    <row r="952" customFormat="false" ht="12.75" hidden="false" customHeight="false" outlineLevel="0" collapsed="false">
      <c r="E952" s="34" t="str">
        <f aca="false">MID(B952,9,1)</f>
        <v/>
      </c>
      <c r="F952" s="34" t="str">
        <f aca="false">MID(B952,10,1)</f>
        <v/>
      </c>
      <c r="G952" s="34" t="str">
        <f aca="false">MID(B952,11,1)</f>
        <v/>
      </c>
      <c r="H952" s="35" t="str">
        <f aca="false">IF(G952=".",F952,CONCATENATE(F952,G952))</f>
        <v/>
      </c>
      <c r="I952" s="34" t="n">
        <f aca="false">IFERROR(VALUE(H952),)</f>
        <v>0</v>
      </c>
      <c r="J952" s="34" t="e">
        <f aca="false">RIGHT(B952,LEN(B952)-FIND("/",B952, FIND("Single Cells",B952, 1)))</f>
        <v>#VALUE!</v>
      </c>
    </row>
    <row r="953" customFormat="false" ht="12.75" hidden="false" customHeight="false" outlineLevel="0" collapsed="false">
      <c r="E953" s="34" t="str">
        <f aca="false">MID(B953,9,1)</f>
        <v/>
      </c>
      <c r="F953" s="34" t="str">
        <f aca="false">MID(B953,10,1)</f>
        <v/>
      </c>
      <c r="G953" s="34" t="str">
        <f aca="false">MID(B953,11,1)</f>
        <v/>
      </c>
      <c r="H953" s="35" t="str">
        <f aca="false">IF(G953=".",F953,CONCATENATE(F953,G953))</f>
        <v/>
      </c>
      <c r="I953" s="34" t="n">
        <f aca="false">IFERROR(VALUE(H953),)</f>
        <v>0</v>
      </c>
      <c r="J953" s="34" t="e">
        <f aca="false">RIGHT(B953,LEN(B953)-FIND("/",B953, FIND("Single Cells",B953, 1)))</f>
        <v>#VALUE!</v>
      </c>
    </row>
    <row r="954" customFormat="false" ht="12.75" hidden="false" customHeight="false" outlineLevel="0" collapsed="false">
      <c r="E954" s="34" t="str">
        <f aca="false">MID(B954,9,1)</f>
        <v/>
      </c>
      <c r="F954" s="34" t="str">
        <f aca="false">MID(B954,10,1)</f>
        <v/>
      </c>
      <c r="G954" s="34" t="str">
        <f aca="false">MID(B954,11,1)</f>
        <v/>
      </c>
      <c r="H954" s="35" t="str">
        <f aca="false">IF(G954=".",F954,CONCATENATE(F954,G954))</f>
        <v/>
      </c>
      <c r="I954" s="34" t="n">
        <f aca="false">IFERROR(VALUE(H954),)</f>
        <v>0</v>
      </c>
      <c r="J954" s="34" t="e">
        <f aca="false">RIGHT(B954,LEN(B954)-FIND("/",B954, FIND("Single Cells",B954, 1)))</f>
        <v>#VALUE!</v>
      </c>
    </row>
    <row r="955" customFormat="false" ht="12.75" hidden="false" customHeight="false" outlineLevel="0" collapsed="false">
      <c r="E955" s="34" t="str">
        <f aca="false">MID(B955,9,1)</f>
        <v/>
      </c>
      <c r="F955" s="34" t="str">
        <f aca="false">MID(B955,10,1)</f>
        <v/>
      </c>
      <c r="G955" s="34" t="str">
        <f aca="false">MID(B955,11,1)</f>
        <v/>
      </c>
      <c r="H955" s="35" t="str">
        <f aca="false">IF(G955=".",F955,CONCATENATE(F955,G955))</f>
        <v/>
      </c>
      <c r="I955" s="34" t="n">
        <f aca="false">IFERROR(VALUE(H955),)</f>
        <v>0</v>
      </c>
      <c r="J955" s="34" t="e">
        <f aca="false">RIGHT(B955,LEN(B955)-FIND("/",B955, FIND("Single Cells",B955, 1)))</f>
        <v>#VALUE!</v>
      </c>
    </row>
    <row r="956" customFormat="false" ht="12.75" hidden="false" customHeight="false" outlineLevel="0" collapsed="false">
      <c r="E956" s="34" t="str">
        <f aca="false">MID(B956,9,1)</f>
        <v/>
      </c>
      <c r="F956" s="34" t="str">
        <f aca="false">MID(B956,10,1)</f>
        <v/>
      </c>
      <c r="G956" s="34" t="str">
        <f aca="false">MID(B956,11,1)</f>
        <v/>
      </c>
      <c r="H956" s="35" t="str">
        <f aca="false">IF(G956=".",F956,CONCATENATE(F956,G956))</f>
        <v/>
      </c>
      <c r="I956" s="34" t="n">
        <f aca="false">IFERROR(VALUE(H956),)</f>
        <v>0</v>
      </c>
      <c r="J956" s="34" t="e">
        <f aca="false">RIGHT(B956,LEN(B956)-FIND("/",B956, FIND("Single Cells",B956, 1)))</f>
        <v>#VALUE!</v>
      </c>
    </row>
    <row r="957" customFormat="false" ht="12.75" hidden="false" customHeight="false" outlineLevel="0" collapsed="false">
      <c r="E957" s="34" t="str">
        <f aca="false">MID(B957,9,1)</f>
        <v/>
      </c>
      <c r="F957" s="34" t="str">
        <f aca="false">MID(B957,10,1)</f>
        <v/>
      </c>
      <c r="G957" s="34" t="str">
        <f aca="false">MID(B957,11,1)</f>
        <v/>
      </c>
      <c r="H957" s="35" t="str">
        <f aca="false">IF(G957=".",F957,CONCATENATE(F957,G957))</f>
        <v/>
      </c>
      <c r="I957" s="34" t="n">
        <f aca="false">IFERROR(VALUE(H957),)</f>
        <v>0</v>
      </c>
      <c r="J957" s="34" t="e">
        <f aca="false">RIGHT(B957,LEN(B957)-FIND("/",B957, FIND("Single Cells",B957, 1)))</f>
        <v>#VALUE!</v>
      </c>
    </row>
    <row r="958" customFormat="false" ht="12.75" hidden="false" customHeight="false" outlineLevel="0" collapsed="false">
      <c r="E958" s="34" t="str">
        <f aca="false">MID(B958,9,1)</f>
        <v/>
      </c>
      <c r="F958" s="34" t="str">
        <f aca="false">MID(B958,10,1)</f>
        <v/>
      </c>
      <c r="G958" s="34" t="str">
        <f aca="false">MID(B958,11,1)</f>
        <v/>
      </c>
      <c r="H958" s="35" t="str">
        <f aca="false">IF(G958=".",F958,CONCATENATE(F958,G958))</f>
        <v/>
      </c>
      <c r="I958" s="34" t="n">
        <f aca="false">IFERROR(VALUE(H958),)</f>
        <v>0</v>
      </c>
      <c r="J958" s="34" t="e">
        <f aca="false">RIGHT(B958,LEN(B958)-FIND("/",B958, FIND("Single Cells",B958, 1)))</f>
        <v>#VALUE!</v>
      </c>
    </row>
    <row r="959" customFormat="false" ht="12.75" hidden="false" customHeight="false" outlineLevel="0" collapsed="false">
      <c r="E959" s="34" t="str">
        <f aca="false">MID(B959,9,1)</f>
        <v/>
      </c>
      <c r="F959" s="34" t="str">
        <f aca="false">MID(B959,10,1)</f>
        <v/>
      </c>
      <c r="G959" s="34" t="str">
        <f aca="false">MID(B959,11,1)</f>
        <v/>
      </c>
      <c r="H959" s="35" t="str">
        <f aca="false">IF(G959=".",F959,CONCATENATE(F959,G959))</f>
        <v/>
      </c>
      <c r="I959" s="34" t="n">
        <f aca="false">IFERROR(VALUE(H959),)</f>
        <v>0</v>
      </c>
      <c r="J959" s="34" t="e">
        <f aca="false">RIGHT(B959,LEN(B959)-FIND("/",B959, FIND("Single Cells",B959, 1)))</f>
        <v>#VALUE!</v>
      </c>
    </row>
    <row r="960" customFormat="false" ht="12.75" hidden="false" customHeight="false" outlineLevel="0" collapsed="false">
      <c r="E960" s="34" t="str">
        <f aca="false">MID(B960,9,1)</f>
        <v/>
      </c>
      <c r="F960" s="34" t="str">
        <f aca="false">MID(B960,10,1)</f>
        <v/>
      </c>
      <c r="G960" s="34" t="str">
        <f aca="false">MID(B960,11,1)</f>
        <v/>
      </c>
      <c r="H960" s="35" t="str">
        <f aca="false">IF(G960=".",F960,CONCATENATE(F960,G960))</f>
        <v/>
      </c>
      <c r="I960" s="34" t="n">
        <f aca="false">IFERROR(VALUE(H960),)</f>
        <v>0</v>
      </c>
      <c r="J960" s="34" t="e">
        <f aca="false">RIGHT(B960,LEN(B960)-FIND("/",B960, FIND("Single Cells",B960, 1)))</f>
        <v>#VALUE!</v>
      </c>
    </row>
    <row r="961" customFormat="false" ht="12.75" hidden="false" customHeight="false" outlineLevel="0" collapsed="false">
      <c r="E961" s="34" t="str">
        <f aca="false">MID(B961,9,1)</f>
        <v/>
      </c>
      <c r="F961" s="34" t="str">
        <f aca="false">MID(B961,10,1)</f>
        <v/>
      </c>
      <c r="G961" s="34" t="str">
        <f aca="false">MID(B961,11,1)</f>
        <v/>
      </c>
      <c r="H961" s="35" t="str">
        <f aca="false">IF(G961=".",F961,CONCATENATE(F961,G961))</f>
        <v/>
      </c>
      <c r="I961" s="34" t="n">
        <f aca="false">IFERROR(VALUE(H961),)</f>
        <v>0</v>
      </c>
      <c r="J961" s="34" t="e">
        <f aca="false">RIGHT(B961,LEN(B961)-FIND("/",B961, FIND("Single Cells",B961, 1)))</f>
        <v>#VALUE!</v>
      </c>
    </row>
    <row r="962" customFormat="false" ht="12.75" hidden="false" customHeight="false" outlineLevel="0" collapsed="false">
      <c r="E962" s="34" t="str">
        <f aca="false">MID(B962,9,1)</f>
        <v/>
      </c>
      <c r="F962" s="34" t="str">
        <f aca="false">MID(B962,10,1)</f>
        <v/>
      </c>
      <c r="G962" s="34" t="str">
        <f aca="false">MID(B962,11,1)</f>
        <v/>
      </c>
      <c r="H962" s="35" t="str">
        <f aca="false">IF(G962=".",F962,CONCATENATE(F962,G962))</f>
        <v/>
      </c>
      <c r="I962" s="34" t="n">
        <f aca="false">IFERROR(VALUE(H962),)</f>
        <v>0</v>
      </c>
      <c r="J962" s="34" t="e">
        <f aca="false">RIGHT(B962,LEN(B962)-FIND("/",B962, FIND("Single Cells",B962, 1)))</f>
        <v>#VALUE!</v>
      </c>
    </row>
    <row r="963" customFormat="false" ht="12.75" hidden="false" customHeight="false" outlineLevel="0" collapsed="false">
      <c r="E963" s="34" t="str">
        <f aca="false">MID(B963,9,1)</f>
        <v/>
      </c>
      <c r="F963" s="34" t="str">
        <f aca="false">MID(B963,10,1)</f>
        <v/>
      </c>
      <c r="G963" s="34" t="str">
        <f aca="false">MID(B963,11,1)</f>
        <v/>
      </c>
      <c r="H963" s="35" t="str">
        <f aca="false">IF(G963=".",F963,CONCATENATE(F963,G963))</f>
        <v/>
      </c>
      <c r="I963" s="34" t="n">
        <f aca="false">IFERROR(VALUE(H963),)</f>
        <v>0</v>
      </c>
      <c r="J963" s="34" t="e">
        <f aca="false">RIGHT(B963,LEN(B963)-FIND("/",B963, FIND("Single Cells",B963, 1)))</f>
        <v>#VALUE!</v>
      </c>
    </row>
    <row r="964" customFormat="false" ht="12.75" hidden="false" customHeight="false" outlineLevel="0" collapsed="false">
      <c r="E964" s="34" t="str">
        <f aca="false">MID(B964,9,1)</f>
        <v/>
      </c>
      <c r="F964" s="34" t="str">
        <f aca="false">MID(B964,10,1)</f>
        <v/>
      </c>
      <c r="G964" s="34" t="str">
        <f aca="false">MID(B964,11,1)</f>
        <v/>
      </c>
      <c r="H964" s="35" t="str">
        <f aca="false">IF(G964=".",F964,CONCATENATE(F964,G964))</f>
        <v/>
      </c>
      <c r="I964" s="34" t="n">
        <f aca="false">IFERROR(VALUE(H964),)</f>
        <v>0</v>
      </c>
      <c r="J964" s="34" t="e">
        <f aca="false">RIGHT(B964,LEN(B964)-FIND("/",B964, FIND("Single Cells",B964, 1)))</f>
        <v>#VALUE!</v>
      </c>
    </row>
    <row r="965" customFormat="false" ht="12.75" hidden="false" customHeight="false" outlineLevel="0" collapsed="false">
      <c r="E965" s="34" t="str">
        <f aca="false">MID(B965,9,1)</f>
        <v/>
      </c>
      <c r="F965" s="34" t="str">
        <f aca="false">MID(B965,10,1)</f>
        <v/>
      </c>
      <c r="G965" s="34" t="str">
        <f aca="false">MID(B965,11,1)</f>
        <v/>
      </c>
      <c r="H965" s="35" t="str">
        <f aca="false">IF(G965=".",F965,CONCATENATE(F965,G965))</f>
        <v/>
      </c>
      <c r="I965" s="34" t="n">
        <f aca="false">IFERROR(VALUE(H965),)</f>
        <v>0</v>
      </c>
      <c r="J965" s="34" t="e">
        <f aca="false">RIGHT(B965,LEN(B965)-FIND("/",B965, FIND("Single Cells",B965, 1)))</f>
        <v>#VALUE!</v>
      </c>
    </row>
    <row r="966" customFormat="false" ht="12.75" hidden="false" customHeight="false" outlineLevel="0" collapsed="false">
      <c r="E966" s="34" t="str">
        <f aca="false">MID(B966,9,1)</f>
        <v/>
      </c>
      <c r="F966" s="34" t="str">
        <f aca="false">MID(B966,10,1)</f>
        <v/>
      </c>
      <c r="G966" s="34" t="str">
        <f aca="false">MID(B966,11,1)</f>
        <v/>
      </c>
      <c r="H966" s="35" t="str">
        <f aca="false">IF(G966=".",F966,CONCATENATE(F966,G966))</f>
        <v/>
      </c>
      <c r="I966" s="34" t="n">
        <f aca="false">IFERROR(VALUE(H966),)</f>
        <v>0</v>
      </c>
      <c r="J966" s="34" t="e">
        <f aca="false">RIGHT(B966,LEN(B966)-FIND("/",B966, FIND("Single Cells",B966, 1)))</f>
        <v>#VALUE!</v>
      </c>
    </row>
    <row r="967" customFormat="false" ht="12.75" hidden="false" customHeight="false" outlineLevel="0" collapsed="false">
      <c r="E967" s="34" t="str">
        <f aca="false">MID(B967,9,1)</f>
        <v/>
      </c>
      <c r="F967" s="34" t="str">
        <f aca="false">MID(B967,10,1)</f>
        <v/>
      </c>
      <c r="G967" s="34" t="str">
        <f aca="false">MID(B967,11,1)</f>
        <v/>
      </c>
      <c r="H967" s="35" t="str">
        <f aca="false">IF(G967=".",F967,CONCATENATE(F967,G967))</f>
        <v/>
      </c>
      <c r="I967" s="34" t="n">
        <f aca="false">IFERROR(VALUE(H967),)</f>
        <v>0</v>
      </c>
      <c r="J967" s="34" t="e">
        <f aca="false">RIGHT(B967,LEN(B967)-FIND("/",B967, FIND("Single Cells",B967, 1)))</f>
        <v>#VALUE!</v>
      </c>
    </row>
    <row r="968" customFormat="false" ht="12.75" hidden="false" customHeight="false" outlineLevel="0" collapsed="false">
      <c r="E968" s="34" t="str">
        <f aca="false">MID(B968,9,1)</f>
        <v/>
      </c>
      <c r="F968" s="34" t="str">
        <f aca="false">MID(B968,10,1)</f>
        <v/>
      </c>
      <c r="G968" s="34" t="str">
        <f aca="false">MID(B968,11,1)</f>
        <v/>
      </c>
      <c r="H968" s="35" t="str">
        <f aca="false">IF(G968=".",F968,CONCATENATE(F968,G968))</f>
        <v/>
      </c>
      <c r="I968" s="34" t="n">
        <f aca="false">IFERROR(VALUE(H968),)</f>
        <v>0</v>
      </c>
      <c r="J968" s="34" t="e">
        <f aca="false">RIGHT(B968,LEN(B968)-FIND("/",B968, FIND("Single Cells",B968, 1)))</f>
        <v>#VALUE!</v>
      </c>
    </row>
    <row r="969" customFormat="false" ht="12.75" hidden="false" customHeight="false" outlineLevel="0" collapsed="false">
      <c r="E969" s="34" t="str">
        <f aca="false">MID(B969,9,1)</f>
        <v/>
      </c>
      <c r="F969" s="34" t="str">
        <f aca="false">MID(B969,10,1)</f>
        <v/>
      </c>
      <c r="G969" s="34" t="str">
        <f aca="false">MID(B969,11,1)</f>
        <v/>
      </c>
      <c r="H969" s="35" t="str">
        <f aca="false">IF(G969=".",F969,CONCATENATE(F969,G969))</f>
        <v/>
      </c>
      <c r="I969" s="34" t="n">
        <f aca="false">IFERROR(VALUE(H969),)</f>
        <v>0</v>
      </c>
      <c r="J969" s="34" t="e">
        <f aca="false">RIGHT(B969,LEN(B969)-FIND("/",B969, FIND("Single Cells",B969, 1)))</f>
        <v>#VALUE!</v>
      </c>
    </row>
    <row r="970" customFormat="false" ht="12.75" hidden="false" customHeight="false" outlineLevel="0" collapsed="false">
      <c r="E970" s="34" t="str">
        <f aca="false">MID(B970,9,1)</f>
        <v/>
      </c>
      <c r="F970" s="34" t="str">
        <f aca="false">MID(B970,10,1)</f>
        <v/>
      </c>
      <c r="G970" s="34" t="str">
        <f aca="false">MID(B970,11,1)</f>
        <v/>
      </c>
      <c r="H970" s="35" t="str">
        <f aca="false">IF(G970=".",F970,CONCATENATE(F970,G970))</f>
        <v/>
      </c>
      <c r="I970" s="34" t="n">
        <f aca="false">IFERROR(VALUE(H970),)</f>
        <v>0</v>
      </c>
      <c r="J970" s="34" t="e">
        <f aca="false">RIGHT(B970,LEN(B970)-FIND("/",B970, FIND("Single Cells",B970, 1)))</f>
        <v>#VALUE!</v>
      </c>
    </row>
    <row r="971" customFormat="false" ht="12.75" hidden="false" customHeight="false" outlineLevel="0" collapsed="false">
      <c r="E971" s="34" t="str">
        <f aca="false">MID(B971,9,1)</f>
        <v/>
      </c>
      <c r="F971" s="34" t="str">
        <f aca="false">MID(B971,10,1)</f>
        <v/>
      </c>
      <c r="G971" s="34" t="str">
        <f aca="false">MID(B971,11,1)</f>
        <v/>
      </c>
      <c r="H971" s="35" t="str">
        <f aca="false">IF(G971=".",F971,CONCATENATE(F971,G971))</f>
        <v/>
      </c>
      <c r="I971" s="34" t="n">
        <f aca="false">IFERROR(VALUE(H971),)</f>
        <v>0</v>
      </c>
      <c r="J971" s="34" t="e">
        <f aca="false">RIGHT(B971,LEN(B971)-FIND("/",B971, FIND("Single Cells",B971, 1)))</f>
        <v>#VALUE!</v>
      </c>
    </row>
    <row r="972" customFormat="false" ht="12.75" hidden="false" customHeight="false" outlineLevel="0" collapsed="false">
      <c r="E972" s="34" t="str">
        <f aca="false">MID(B972,9,1)</f>
        <v/>
      </c>
      <c r="F972" s="34" t="str">
        <f aca="false">MID(B972,10,1)</f>
        <v/>
      </c>
      <c r="G972" s="34" t="str">
        <f aca="false">MID(B972,11,1)</f>
        <v/>
      </c>
      <c r="H972" s="35" t="str">
        <f aca="false">IF(G972=".",F972,CONCATENATE(F972,G972))</f>
        <v/>
      </c>
      <c r="I972" s="34" t="n">
        <f aca="false">IFERROR(VALUE(H972),)</f>
        <v>0</v>
      </c>
      <c r="J972" s="34" t="e">
        <f aca="false">RIGHT(B972,LEN(B972)-FIND("/",B972, FIND("Single Cells",B972, 1)))</f>
        <v>#VALUE!</v>
      </c>
    </row>
    <row r="973" customFormat="false" ht="12.75" hidden="false" customHeight="false" outlineLevel="0" collapsed="false">
      <c r="E973" s="34" t="str">
        <f aca="false">MID(B973,9,1)</f>
        <v/>
      </c>
      <c r="F973" s="34" t="str">
        <f aca="false">MID(B973,10,1)</f>
        <v/>
      </c>
      <c r="G973" s="34" t="str">
        <f aca="false">MID(B973,11,1)</f>
        <v/>
      </c>
      <c r="H973" s="35" t="str">
        <f aca="false">IF(G973=".",F973,CONCATENATE(F973,G973))</f>
        <v/>
      </c>
      <c r="I973" s="34" t="n">
        <f aca="false">IFERROR(VALUE(H973),)</f>
        <v>0</v>
      </c>
      <c r="J973" s="34" t="e">
        <f aca="false">RIGHT(B973,LEN(B973)-FIND("/",B973, FIND("Single Cells",B973, 1)))</f>
        <v>#VALUE!</v>
      </c>
    </row>
    <row r="974" customFormat="false" ht="12.75" hidden="false" customHeight="false" outlineLevel="0" collapsed="false">
      <c r="E974" s="34" t="str">
        <f aca="false">MID(B974,9,1)</f>
        <v/>
      </c>
      <c r="F974" s="34" t="str">
        <f aca="false">MID(B974,10,1)</f>
        <v/>
      </c>
      <c r="G974" s="34" t="str">
        <f aca="false">MID(B974,11,1)</f>
        <v/>
      </c>
      <c r="H974" s="35" t="str">
        <f aca="false">IF(G974=".",F974,CONCATENATE(F974,G974))</f>
        <v/>
      </c>
      <c r="I974" s="34" t="n">
        <f aca="false">IFERROR(VALUE(H974),)</f>
        <v>0</v>
      </c>
      <c r="J974" s="34" t="e">
        <f aca="false">RIGHT(B974,LEN(B974)-FIND("/",B974, FIND("Single Cells",B974, 1)))</f>
        <v>#VALUE!</v>
      </c>
    </row>
    <row r="975" customFormat="false" ht="12.75" hidden="false" customHeight="false" outlineLevel="0" collapsed="false">
      <c r="E975" s="34" t="str">
        <f aca="false">MID(B975,9,1)</f>
        <v/>
      </c>
      <c r="F975" s="34" t="str">
        <f aca="false">MID(B975,10,1)</f>
        <v/>
      </c>
      <c r="G975" s="34" t="str">
        <f aca="false">MID(B975,11,1)</f>
        <v/>
      </c>
      <c r="H975" s="35" t="str">
        <f aca="false">IF(G975=".",F975,CONCATENATE(F975,G975))</f>
        <v/>
      </c>
      <c r="I975" s="34" t="n">
        <f aca="false">IFERROR(VALUE(H975),)</f>
        <v>0</v>
      </c>
      <c r="J975" s="34" t="e">
        <f aca="false">RIGHT(B975,LEN(B975)-FIND("/",B975, FIND("Single Cells",B975, 1)))</f>
        <v>#VALUE!</v>
      </c>
    </row>
    <row r="976" customFormat="false" ht="12.75" hidden="false" customHeight="false" outlineLevel="0" collapsed="false">
      <c r="E976" s="34" t="str">
        <f aca="false">MID(B976,9,1)</f>
        <v/>
      </c>
      <c r="F976" s="34" t="str">
        <f aca="false">MID(B976,10,1)</f>
        <v/>
      </c>
      <c r="G976" s="34" t="str">
        <f aca="false">MID(B976,11,1)</f>
        <v/>
      </c>
      <c r="H976" s="35" t="str">
        <f aca="false">IF(G976=".",F976,CONCATENATE(F976,G976))</f>
        <v/>
      </c>
      <c r="I976" s="34" t="n">
        <f aca="false">IFERROR(VALUE(H976),)</f>
        <v>0</v>
      </c>
      <c r="J976" s="34" t="e">
        <f aca="false">RIGHT(B976,LEN(B976)-FIND("/",B976, FIND("Single Cells",B976, 1)))</f>
        <v>#VALUE!</v>
      </c>
    </row>
    <row r="977" customFormat="false" ht="12.75" hidden="false" customHeight="false" outlineLevel="0" collapsed="false">
      <c r="E977" s="34" t="str">
        <f aca="false">MID(B977,9,1)</f>
        <v/>
      </c>
      <c r="F977" s="34" t="str">
        <f aca="false">MID(B977,10,1)</f>
        <v/>
      </c>
      <c r="G977" s="34" t="str">
        <f aca="false">MID(B977,11,1)</f>
        <v/>
      </c>
      <c r="H977" s="35" t="str">
        <f aca="false">IF(G977=".",F977,CONCATENATE(F977,G977))</f>
        <v/>
      </c>
      <c r="I977" s="34" t="n">
        <f aca="false">IFERROR(VALUE(H977),)</f>
        <v>0</v>
      </c>
      <c r="J977" s="34" t="e">
        <f aca="false">RIGHT(B977,LEN(B977)-FIND("/",B977, FIND("Single Cells",B977, 1)))</f>
        <v>#VALUE!</v>
      </c>
    </row>
    <row r="978" customFormat="false" ht="12.75" hidden="false" customHeight="false" outlineLevel="0" collapsed="false">
      <c r="E978" s="34" t="str">
        <f aca="false">MID(B978,9,1)</f>
        <v/>
      </c>
      <c r="F978" s="34" t="str">
        <f aca="false">MID(B978,10,1)</f>
        <v/>
      </c>
      <c r="G978" s="34" t="str">
        <f aca="false">MID(B978,11,1)</f>
        <v/>
      </c>
      <c r="H978" s="35" t="str">
        <f aca="false">IF(G978=".",F978,CONCATENATE(F978,G978))</f>
        <v/>
      </c>
      <c r="I978" s="34" t="n">
        <f aca="false">IFERROR(VALUE(H978),)</f>
        <v>0</v>
      </c>
      <c r="J978" s="34" t="e">
        <f aca="false">RIGHT(B978,LEN(B978)-FIND("/",B978, FIND("Single Cells",B978, 1)))</f>
        <v>#VALUE!</v>
      </c>
    </row>
    <row r="979" customFormat="false" ht="12.75" hidden="false" customHeight="false" outlineLevel="0" collapsed="false">
      <c r="E979" s="34" t="str">
        <f aca="false">MID(B979,9,1)</f>
        <v/>
      </c>
      <c r="F979" s="34" t="str">
        <f aca="false">MID(B979,10,1)</f>
        <v/>
      </c>
      <c r="G979" s="34" t="str">
        <f aca="false">MID(B979,11,1)</f>
        <v/>
      </c>
      <c r="H979" s="35" t="str">
        <f aca="false">IF(G979=".",F979,CONCATENATE(F979,G979))</f>
        <v/>
      </c>
      <c r="I979" s="34" t="n">
        <f aca="false">IFERROR(VALUE(H979),)</f>
        <v>0</v>
      </c>
      <c r="J979" s="34" t="e">
        <f aca="false">RIGHT(B979,LEN(B979)-FIND("/",B979, FIND("Single Cells",B979, 1)))</f>
        <v>#VALUE!</v>
      </c>
    </row>
    <row r="980" customFormat="false" ht="12.75" hidden="false" customHeight="false" outlineLevel="0" collapsed="false">
      <c r="E980" s="34" t="str">
        <f aca="false">MID(B980,9,1)</f>
        <v/>
      </c>
      <c r="F980" s="34" t="str">
        <f aca="false">MID(B980,10,1)</f>
        <v/>
      </c>
      <c r="G980" s="34" t="str">
        <f aca="false">MID(B980,11,1)</f>
        <v/>
      </c>
      <c r="H980" s="35" t="str">
        <f aca="false">IF(G980=".",F980,CONCATENATE(F980,G980))</f>
        <v/>
      </c>
      <c r="I980" s="34" t="n">
        <f aca="false">IFERROR(VALUE(H980),)</f>
        <v>0</v>
      </c>
      <c r="J980" s="34" t="e">
        <f aca="false">RIGHT(B980,LEN(B980)-FIND("/",B980, FIND("Single Cells",B980, 1)))</f>
        <v>#VALUE!</v>
      </c>
    </row>
    <row r="981" customFormat="false" ht="12.75" hidden="false" customHeight="false" outlineLevel="0" collapsed="false">
      <c r="E981" s="34" t="str">
        <f aca="false">MID(B981,9,1)</f>
        <v/>
      </c>
      <c r="F981" s="34" t="str">
        <f aca="false">MID(B981,10,1)</f>
        <v/>
      </c>
      <c r="G981" s="34" t="str">
        <f aca="false">MID(B981,11,1)</f>
        <v/>
      </c>
      <c r="H981" s="35" t="str">
        <f aca="false">IF(G981=".",F981,CONCATENATE(F981,G981))</f>
        <v/>
      </c>
      <c r="I981" s="34" t="n">
        <f aca="false">IFERROR(VALUE(H981),)</f>
        <v>0</v>
      </c>
      <c r="J981" s="34" t="e">
        <f aca="false">RIGHT(B981,LEN(B981)-FIND("/",B981, FIND("Single Cells",B981, 1)))</f>
        <v>#VALUE!</v>
      </c>
    </row>
    <row r="982" customFormat="false" ht="12.75" hidden="false" customHeight="false" outlineLevel="0" collapsed="false">
      <c r="E982" s="34" t="str">
        <f aca="false">MID(B982,9,1)</f>
        <v/>
      </c>
      <c r="F982" s="34" t="str">
        <f aca="false">MID(B982,10,1)</f>
        <v/>
      </c>
      <c r="G982" s="34" t="str">
        <f aca="false">MID(B982,11,1)</f>
        <v/>
      </c>
      <c r="H982" s="35" t="str">
        <f aca="false">IF(G982=".",F982,CONCATENATE(F982,G982))</f>
        <v/>
      </c>
      <c r="I982" s="34" t="n">
        <f aca="false">IFERROR(VALUE(H982),)</f>
        <v>0</v>
      </c>
      <c r="J982" s="34" t="e">
        <f aca="false">RIGHT(B982,LEN(B982)-FIND("/",B982, FIND("Single Cells",B982, 1)))</f>
        <v>#VALUE!</v>
      </c>
    </row>
    <row r="983" customFormat="false" ht="12.75" hidden="false" customHeight="false" outlineLevel="0" collapsed="false">
      <c r="E983" s="34" t="str">
        <f aca="false">MID(B983,9,1)</f>
        <v/>
      </c>
      <c r="F983" s="34" t="str">
        <f aca="false">MID(B983,10,1)</f>
        <v/>
      </c>
      <c r="G983" s="34" t="str">
        <f aca="false">MID(B983,11,1)</f>
        <v/>
      </c>
      <c r="H983" s="35" t="str">
        <f aca="false">IF(G983=".",F983,CONCATENATE(F983,G983))</f>
        <v/>
      </c>
      <c r="I983" s="34" t="n">
        <f aca="false">IFERROR(VALUE(H983),)</f>
        <v>0</v>
      </c>
      <c r="J983" s="34" t="e">
        <f aca="false">RIGHT(B983,LEN(B983)-FIND("/",B983, FIND("Single Cells",B983, 1)))</f>
        <v>#VALUE!</v>
      </c>
    </row>
    <row r="984" customFormat="false" ht="12.75" hidden="false" customHeight="false" outlineLevel="0" collapsed="false">
      <c r="E984" s="34" t="str">
        <f aca="false">MID(B984,9,1)</f>
        <v/>
      </c>
      <c r="F984" s="34" t="str">
        <f aca="false">MID(B984,10,1)</f>
        <v/>
      </c>
      <c r="G984" s="34" t="str">
        <f aca="false">MID(B984,11,1)</f>
        <v/>
      </c>
      <c r="H984" s="35" t="str">
        <f aca="false">IF(G984=".",F984,CONCATENATE(F984,G984))</f>
        <v/>
      </c>
      <c r="I984" s="34" t="n">
        <f aca="false">IFERROR(VALUE(H984),)</f>
        <v>0</v>
      </c>
      <c r="J984" s="34" t="e">
        <f aca="false">RIGHT(B984,LEN(B984)-FIND("/",B984, FIND("Single Cells",B984, 1)))</f>
        <v>#VALUE!</v>
      </c>
    </row>
    <row r="985" customFormat="false" ht="12.75" hidden="false" customHeight="false" outlineLevel="0" collapsed="false">
      <c r="E985" s="34" t="str">
        <f aca="false">MID(B985,9,1)</f>
        <v/>
      </c>
      <c r="F985" s="34" t="str">
        <f aca="false">MID(B985,10,1)</f>
        <v/>
      </c>
      <c r="G985" s="34" t="str">
        <f aca="false">MID(B985,11,1)</f>
        <v/>
      </c>
      <c r="H985" s="35" t="str">
        <f aca="false">IF(G985=".",F985,CONCATENATE(F985,G985))</f>
        <v/>
      </c>
      <c r="I985" s="34" t="n">
        <f aca="false">IFERROR(VALUE(H985),)</f>
        <v>0</v>
      </c>
      <c r="J985" s="34" t="e">
        <f aca="false">RIGHT(B985,LEN(B985)-FIND("/",B985, FIND("Single Cells",B985, 1)))</f>
        <v>#VALUE!</v>
      </c>
    </row>
    <row r="986" customFormat="false" ht="12.75" hidden="false" customHeight="false" outlineLevel="0" collapsed="false">
      <c r="E986" s="34" t="str">
        <f aca="false">MID(B986,9,1)</f>
        <v/>
      </c>
      <c r="F986" s="34" t="str">
        <f aca="false">MID(B986,10,1)</f>
        <v/>
      </c>
      <c r="G986" s="34" t="str">
        <f aca="false">MID(B986,11,1)</f>
        <v/>
      </c>
      <c r="H986" s="35" t="str">
        <f aca="false">IF(G986=".",F986,CONCATENATE(F986,G986))</f>
        <v/>
      </c>
      <c r="I986" s="34" t="n">
        <f aca="false">IFERROR(VALUE(H986),)</f>
        <v>0</v>
      </c>
      <c r="J986" s="34" t="e">
        <f aca="false">RIGHT(B986,LEN(B986)-FIND("/",B986, FIND("Single Cells",B986, 1)))</f>
        <v>#VALUE!</v>
      </c>
    </row>
    <row r="987" customFormat="false" ht="12.75" hidden="false" customHeight="false" outlineLevel="0" collapsed="false">
      <c r="E987" s="34" t="str">
        <f aca="false">MID(B987,9,1)</f>
        <v/>
      </c>
      <c r="F987" s="34" t="str">
        <f aca="false">MID(B987,10,1)</f>
        <v/>
      </c>
      <c r="G987" s="34" t="str">
        <f aca="false">MID(B987,11,1)</f>
        <v/>
      </c>
      <c r="H987" s="35" t="str">
        <f aca="false">IF(G987=".",F987,CONCATENATE(F987,G987))</f>
        <v/>
      </c>
      <c r="I987" s="34" t="n">
        <f aca="false">IFERROR(VALUE(H987),)</f>
        <v>0</v>
      </c>
      <c r="J987" s="34" t="e">
        <f aca="false">RIGHT(B987,LEN(B987)-FIND("/",B987, FIND("Single Cells",B987, 1)))</f>
        <v>#VALUE!</v>
      </c>
    </row>
    <row r="988" customFormat="false" ht="12.75" hidden="false" customHeight="false" outlineLevel="0" collapsed="false">
      <c r="E988" s="34" t="str">
        <f aca="false">MID(B988,9,1)</f>
        <v/>
      </c>
      <c r="F988" s="34" t="str">
        <f aca="false">MID(B988,10,1)</f>
        <v/>
      </c>
      <c r="G988" s="34" t="str">
        <f aca="false">MID(B988,11,1)</f>
        <v/>
      </c>
      <c r="H988" s="35" t="str">
        <f aca="false">IF(G988=".",F988,CONCATENATE(F988,G988))</f>
        <v/>
      </c>
      <c r="I988" s="34" t="n">
        <f aca="false">IFERROR(VALUE(H988),)</f>
        <v>0</v>
      </c>
      <c r="J988" s="34" t="e">
        <f aca="false">RIGHT(B988,LEN(B988)-FIND("/",B988, FIND("Single Cells",B988, 1)))</f>
        <v>#VALUE!</v>
      </c>
    </row>
    <row r="989" customFormat="false" ht="12.75" hidden="false" customHeight="false" outlineLevel="0" collapsed="false">
      <c r="E989" s="34" t="str">
        <f aca="false">MID(B989,9,1)</f>
        <v/>
      </c>
      <c r="F989" s="34" t="str">
        <f aca="false">MID(B989,10,1)</f>
        <v/>
      </c>
      <c r="G989" s="34" t="str">
        <f aca="false">MID(B989,11,1)</f>
        <v/>
      </c>
      <c r="H989" s="35" t="str">
        <f aca="false">IF(G989=".",F989,CONCATENATE(F989,G989))</f>
        <v/>
      </c>
      <c r="I989" s="34" t="n">
        <f aca="false">IFERROR(VALUE(H989),)</f>
        <v>0</v>
      </c>
      <c r="J989" s="34" t="e">
        <f aca="false">RIGHT(B989,LEN(B989)-FIND("/",B989, FIND("Single Cells",B989, 1)))</f>
        <v>#VALUE!</v>
      </c>
    </row>
    <row r="990" customFormat="false" ht="12.75" hidden="false" customHeight="false" outlineLevel="0" collapsed="false">
      <c r="E990" s="34" t="str">
        <f aca="false">MID(B990,9,1)</f>
        <v/>
      </c>
      <c r="F990" s="34" t="str">
        <f aca="false">MID(B990,10,1)</f>
        <v/>
      </c>
      <c r="G990" s="34" t="str">
        <f aca="false">MID(B990,11,1)</f>
        <v/>
      </c>
      <c r="H990" s="35" t="str">
        <f aca="false">IF(G990=".",F990,CONCATENATE(F990,G990))</f>
        <v/>
      </c>
      <c r="I990" s="34" t="n">
        <f aca="false">IFERROR(VALUE(H990),)</f>
        <v>0</v>
      </c>
      <c r="J990" s="34" t="e">
        <f aca="false">RIGHT(B990,LEN(B990)-FIND("/",B990, FIND("Single Cells",B990, 1)))</f>
        <v>#VALUE!</v>
      </c>
    </row>
    <row r="991" customFormat="false" ht="12.75" hidden="false" customHeight="false" outlineLevel="0" collapsed="false">
      <c r="E991" s="34" t="str">
        <f aca="false">MID(B991,9,1)</f>
        <v/>
      </c>
      <c r="F991" s="34" t="str">
        <f aca="false">MID(B991,10,1)</f>
        <v/>
      </c>
      <c r="G991" s="34" t="str">
        <f aca="false">MID(B991,11,1)</f>
        <v/>
      </c>
      <c r="H991" s="35" t="str">
        <f aca="false">IF(G991=".",F991,CONCATENATE(F991,G991))</f>
        <v/>
      </c>
      <c r="I991" s="34" t="n">
        <f aca="false">IFERROR(VALUE(H991),)</f>
        <v>0</v>
      </c>
      <c r="J991" s="34" t="e">
        <f aca="false">RIGHT(B991,LEN(B991)-FIND("/",B991, FIND("Single Cells",B991, 1)))</f>
        <v>#VALUE!</v>
      </c>
    </row>
    <row r="992" customFormat="false" ht="12.75" hidden="false" customHeight="false" outlineLevel="0" collapsed="false">
      <c r="E992" s="34" t="str">
        <f aca="false">MID(B992,9,1)</f>
        <v/>
      </c>
      <c r="F992" s="34" t="str">
        <f aca="false">MID(B992,10,1)</f>
        <v/>
      </c>
      <c r="G992" s="34" t="str">
        <f aca="false">MID(B992,11,1)</f>
        <v/>
      </c>
      <c r="H992" s="35" t="str">
        <f aca="false">IF(G992=".",F992,CONCATENATE(F992,G992))</f>
        <v/>
      </c>
      <c r="I992" s="34" t="n">
        <f aca="false">IFERROR(VALUE(H992),)</f>
        <v>0</v>
      </c>
      <c r="J992" s="34" t="e">
        <f aca="false">RIGHT(B992,LEN(B992)-FIND("/",B992, FIND("Single Cells",B992, 1)))</f>
        <v>#VALUE!</v>
      </c>
    </row>
    <row r="993" customFormat="false" ht="12.75" hidden="false" customHeight="false" outlineLevel="0" collapsed="false">
      <c r="E993" s="34" t="str">
        <f aca="false">MID(B993,9,1)</f>
        <v/>
      </c>
      <c r="F993" s="34" t="str">
        <f aca="false">MID(B993,10,1)</f>
        <v/>
      </c>
      <c r="G993" s="34" t="str">
        <f aca="false">MID(B993,11,1)</f>
        <v/>
      </c>
      <c r="H993" s="35" t="str">
        <f aca="false">IF(G993=".",F993,CONCATENATE(F993,G993))</f>
        <v/>
      </c>
      <c r="I993" s="34" t="n">
        <f aca="false">IFERROR(VALUE(H993),)</f>
        <v>0</v>
      </c>
      <c r="J993" s="34" t="e">
        <f aca="false">RIGHT(B993,LEN(B993)-FIND("/",B993, FIND("Single Cells",B993, 1)))</f>
        <v>#VALUE!</v>
      </c>
    </row>
    <row r="994" customFormat="false" ht="12.75" hidden="false" customHeight="false" outlineLevel="0" collapsed="false">
      <c r="E994" s="34" t="str">
        <f aca="false">MID(B994,9,1)</f>
        <v/>
      </c>
      <c r="F994" s="34" t="str">
        <f aca="false">MID(B994,10,1)</f>
        <v/>
      </c>
      <c r="G994" s="34" t="str">
        <f aca="false">MID(B994,11,1)</f>
        <v/>
      </c>
      <c r="H994" s="35" t="str">
        <f aca="false">IF(G994=".",F994,CONCATENATE(F994,G994))</f>
        <v/>
      </c>
      <c r="I994" s="34" t="n">
        <f aca="false">IFERROR(VALUE(H994),)</f>
        <v>0</v>
      </c>
      <c r="J994" s="34" t="e">
        <f aca="false">RIGHT(B994,LEN(B994)-FIND("/",B994, FIND("Single Cells",B994, 1)))</f>
        <v>#VALUE!</v>
      </c>
    </row>
    <row r="995" customFormat="false" ht="12.75" hidden="false" customHeight="false" outlineLevel="0" collapsed="false">
      <c r="E995" s="34" t="str">
        <f aca="false">MID(B995,9,1)</f>
        <v/>
      </c>
      <c r="F995" s="34" t="str">
        <f aca="false">MID(B995,10,1)</f>
        <v/>
      </c>
      <c r="G995" s="34" t="str">
        <f aca="false">MID(B995,11,1)</f>
        <v/>
      </c>
      <c r="H995" s="35" t="str">
        <f aca="false">IF(G995=".",F995,CONCATENATE(F995,G995))</f>
        <v/>
      </c>
      <c r="I995" s="34" t="n">
        <f aca="false">IFERROR(VALUE(H995),)</f>
        <v>0</v>
      </c>
      <c r="J995" s="34" t="e">
        <f aca="false">RIGHT(B995,LEN(B995)-FIND("/",B995, FIND("Single Cells",B995, 1)))</f>
        <v>#VALUE!</v>
      </c>
    </row>
    <row r="996" customFormat="false" ht="12.75" hidden="false" customHeight="false" outlineLevel="0" collapsed="false">
      <c r="E996" s="34" t="str">
        <f aca="false">MID(B996,9,1)</f>
        <v/>
      </c>
      <c r="F996" s="34" t="str">
        <f aca="false">MID(B996,10,1)</f>
        <v/>
      </c>
      <c r="G996" s="34" t="str">
        <f aca="false">MID(B996,11,1)</f>
        <v/>
      </c>
      <c r="H996" s="35" t="str">
        <f aca="false">IF(G996=".",F996,CONCATENATE(F996,G996))</f>
        <v/>
      </c>
      <c r="I996" s="34" t="n">
        <f aca="false">IFERROR(VALUE(H996),)</f>
        <v>0</v>
      </c>
      <c r="J996" s="34" t="e">
        <f aca="false">RIGHT(B996,LEN(B996)-FIND("/",B996, FIND("Single Cells",B996, 1)))</f>
        <v>#VALUE!</v>
      </c>
    </row>
    <row r="997" customFormat="false" ht="12.75" hidden="false" customHeight="false" outlineLevel="0" collapsed="false">
      <c r="E997" s="34" t="str">
        <f aca="false">MID(B997,9,1)</f>
        <v/>
      </c>
      <c r="F997" s="34" t="str">
        <f aca="false">MID(B997,10,1)</f>
        <v/>
      </c>
      <c r="G997" s="34" t="str">
        <f aca="false">MID(B997,11,1)</f>
        <v/>
      </c>
      <c r="H997" s="35" t="str">
        <f aca="false">IF(G997=".",F997,CONCATENATE(F997,G997))</f>
        <v/>
      </c>
      <c r="I997" s="34" t="n">
        <f aca="false">IFERROR(VALUE(H997),)</f>
        <v>0</v>
      </c>
      <c r="J997" s="34" t="e">
        <f aca="false">RIGHT(B997,LEN(B997)-FIND("/",B997, FIND("Single Cells",B997, 1)))</f>
        <v>#VALUE!</v>
      </c>
    </row>
    <row r="998" customFormat="false" ht="12.75" hidden="false" customHeight="false" outlineLevel="0" collapsed="false">
      <c r="E998" s="34" t="str">
        <f aca="false">MID(B998,9,1)</f>
        <v/>
      </c>
      <c r="F998" s="34" t="str">
        <f aca="false">MID(B998,10,1)</f>
        <v/>
      </c>
      <c r="G998" s="34" t="str">
        <f aca="false">MID(B998,11,1)</f>
        <v/>
      </c>
      <c r="H998" s="35" t="str">
        <f aca="false">IF(G998=".",F998,CONCATENATE(F998,G998))</f>
        <v/>
      </c>
      <c r="I998" s="34" t="n">
        <f aca="false">IFERROR(VALUE(H998),)</f>
        <v>0</v>
      </c>
      <c r="J998" s="34" t="e">
        <f aca="false">RIGHT(B998,LEN(B998)-FIND("/",B998, FIND("Single Cells",B998, 1)))</f>
        <v>#VALUE!</v>
      </c>
    </row>
    <row r="999" customFormat="false" ht="12.75" hidden="false" customHeight="false" outlineLevel="0" collapsed="false">
      <c r="E999" s="34" t="str">
        <f aca="false">MID(B999,9,1)</f>
        <v/>
      </c>
      <c r="F999" s="34" t="str">
        <f aca="false">MID(B999,10,1)</f>
        <v/>
      </c>
      <c r="G999" s="34" t="str">
        <f aca="false">MID(B999,11,1)</f>
        <v/>
      </c>
      <c r="H999" s="35" t="str">
        <f aca="false">IF(G999=".",F999,CONCATENATE(F999,G999))</f>
        <v/>
      </c>
      <c r="I999" s="34" t="n">
        <f aca="false">IFERROR(VALUE(H999),)</f>
        <v>0</v>
      </c>
      <c r="J999" s="34" t="e">
        <f aca="false">RIGHT(B999,LEN(B999)-FIND("/",B999, FIND("Single Cells",B999, 1)))</f>
        <v>#VALUE!</v>
      </c>
    </row>
    <row r="1000" customFormat="false" ht="12.75" hidden="false" customHeight="false" outlineLevel="0" collapsed="false">
      <c r="E1000" s="34" t="str">
        <f aca="false">MID(B1000,9,1)</f>
        <v/>
      </c>
      <c r="F1000" s="34" t="str">
        <f aca="false">MID(B1000,10,1)</f>
        <v/>
      </c>
      <c r="G1000" s="34" t="str">
        <f aca="false">MID(B1000,11,1)</f>
        <v/>
      </c>
      <c r="H1000" s="35" t="str">
        <f aca="false">IF(G1000=".",F1000,CONCATENATE(F1000,G1000))</f>
        <v/>
      </c>
      <c r="I1000" s="34" t="n">
        <f aca="false">IFERROR(VALUE(H1000),)</f>
        <v>0</v>
      </c>
      <c r="J1000" s="34" t="e">
        <f aca="false">RIGHT(B1000,LEN(B1000)-FIND("/",B1000, FIND("Single Cells",B1000, 1)))</f>
        <v>#VALUE!</v>
      </c>
    </row>
  </sheetData>
  <autoFilter ref="A8:H508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" activeCellId="0" sqref="E3"/>
    </sheetView>
  </sheetViews>
  <sheetFormatPr defaultColWidth="9.1484375" defaultRowHeight="12.75" zeroHeight="false" outlineLevelRow="0" outlineLevelCol="0"/>
  <cols>
    <col collapsed="false" customWidth="false" hidden="false" outlineLevel="0" max="1" min="1" style="34" width="9.14"/>
    <col collapsed="false" customWidth="true" hidden="false" outlineLevel="0" max="2" min="2" style="34" width="14"/>
    <col collapsed="false" customWidth="false" hidden="false" outlineLevel="0" max="16384" min="3" style="34" width="9.14"/>
  </cols>
  <sheetData>
    <row r="2" customFormat="false" ht="23.25" hidden="false" customHeight="false" outlineLevel="0" collapsed="false">
      <c r="E2" s="39" t="s">
        <v>176</v>
      </c>
    </row>
    <row r="4" customFormat="false" ht="21" hidden="false" customHeight="false" outlineLevel="0" collapsed="false">
      <c r="A4" s="40"/>
      <c r="B4" s="41" t="n">
        <v>1</v>
      </c>
      <c r="C4" s="41" t="n">
        <v>2</v>
      </c>
      <c r="D4" s="41" t="n">
        <v>3</v>
      </c>
      <c r="E4" s="41" t="n">
        <v>4</v>
      </c>
      <c r="F4" s="41" t="n">
        <v>5</v>
      </c>
      <c r="G4" s="41" t="n">
        <v>6</v>
      </c>
      <c r="H4" s="41" t="n">
        <v>7</v>
      </c>
      <c r="I4" s="41" t="n">
        <v>8</v>
      </c>
      <c r="J4" s="41" t="n">
        <v>9</v>
      </c>
      <c r="K4" s="41" t="n">
        <v>10</v>
      </c>
      <c r="L4" s="41" t="n">
        <v>11</v>
      </c>
      <c r="M4" s="41" t="n">
        <v>12</v>
      </c>
      <c r="N4" s="42"/>
    </row>
    <row r="5" customFormat="false" ht="20.25" hidden="false" customHeight="false" outlineLevel="0" collapsed="false">
      <c r="A5" s="41" t="s">
        <v>166</v>
      </c>
      <c r="B5" s="43" t="n">
        <f aca="false">_xlfn.xlookup(_xlfn.CONCAT("*","-Well-",$A5,B$4,"*"),'Flow 4 Input'!$B$9:$B$1000,'Flow 4 Input'!$C$9:$C$1000,0,2)</f>
        <v>0</v>
      </c>
      <c r="C5" s="43" t="n">
        <f aca="false">_xlfn.xlookup(_xlfn.CONCAT("*","-Well-",$A5,C$4,"*"),'Flow 4 Input'!$B$9:$B$1000,'Flow 4 Input'!$C$9:$C$1000,0,2)</f>
        <v>0</v>
      </c>
      <c r="D5" s="43" t="n">
        <f aca="false">_xlfn.xlookup(_xlfn.CONCAT("*","-Well-",$A5,D$4,"*"),'Flow 4 Input'!$B$9:$B$1000,'Flow 4 Input'!$C$9:$C$1000,0,2)</f>
        <v>0</v>
      </c>
      <c r="E5" s="43" t="n">
        <f aca="false">_xlfn.xlookup(_xlfn.CONCAT("*","-Well-",$A5,E$4,"*"),'Flow 4 Input'!$B$9:$B$1000,'Flow 4 Input'!$C$9:$C$1000,0,2)</f>
        <v>0</v>
      </c>
      <c r="F5" s="43" t="n">
        <f aca="false">_xlfn.xlookup(_xlfn.CONCAT("*","-Well-",$A5,F$4,"*"),'Flow 4 Input'!$B$9:$B$1000,'Flow 4 Input'!$C$9:$C$1000,0,2)</f>
        <v>0</v>
      </c>
      <c r="G5" s="43" t="n">
        <f aca="false">_xlfn.xlookup(_xlfn.CONCAT("*","-Well-",$A5,G$4,"*"),'Flow 4 Input'!$B$9:$B$1000,'Flow 4 Input'!$C$9:$C$1000,0,2)</f>
        <v>0</v>
      </c>
      <c r="H5" s="43" t="n">
        <f aca="false">_xlfn.xlookup(_xlfn.CONCAT("*","-Well-",$A5,H$4,"*"),'Flow 4 Input'!$B$9:$B$1000,'Flow 4 Input'!$C$9:$C$1000,0,2)</f>
        <v>0</v>
      </c>
      <c r="I5" s="43" t="n">
        <f aca="false">_xlfn.xlookup(_xlfn.CONCAT("*","-Well-",$A5,I$4,"*"),'Flow 4 Input'!$B$9:$B$1000,'Flow 4 Input'!$C$9:$C$1000,0,2)</f>
        <v>0</v>
      </c>
      <c r="J5" s="43" t="n">
        <f aca="false">_xlfn.xlookup(_xlfn.CONCAT("*","-Well-",$A5,J$4,"*"),'Flow 4 Input'!$B$9:$B$1000,'Flow 4 Input'!$C$9:$C$1000,0,2)</f>
        <v>0</v>
      </c>
      <c r="K5" s="43" t="n">
        <f aca="false">_xlfn.xlookup(_xlfn.CONCAT("*","-Well-",$A5,K$4,"*"),'Flow 4 Input'!$B$9:$B$1000,'Flow 4 Input'!$C$9:$C$1000,0,2)</f>
        <v>0</v>
      </c>
      <c r="L5" s="43" t="n">
        <f aca="false">_xlfn.xlookup(_xlfn.CONCAT("*","-Well-",$A5,L$4,"*"),'Flow 4 Input'!$B$9:$B$1000,'Flow 4 Input'!$C$9:$C$1000,0,2)</f>
        <v>0</v>
      </c>
      <c r="M5" s="43" t="n">
        <f aca="false">_xlfn.xlookup(_xlfn.CONCAT("*","-Well-",$A5,M$4,"*"),'Flow 4 Input'!$B$9:$B$1000,'Flow 4 Input'!$C$9:$C$1000,0,2)</f>
        <v>0</v>
      </c>
      <c r="N5" s="44"/>
    </row>
    <row r="6" customFormat="false" ht="20.25" hidden="false" customHeight="false" outlineLevel="0" collapsed="false">
      <c r="A6" s="41" t="s">
        <v>167</v>
      </c>
      <c r="B6" s="43" t="n">
        <f aca="false">_xlfn.xlookup(_xlfn.CONCAT("*","-Well-",$A6,B$4,"*"),'Flow 4 Input'!$B$9:$B$1000,'Flow 4 Input'!$C$9:$C$1000,0,2)</f>
        <v>0</v>
      </c>
      <c r="C6" s="43" t="n">
        <f aca="false">_xlfn.xlookup(_xlfn.CONCAT("*","-Well-",$A6,C$4,"*"),'Flow 4 Input'!$B$9:$B$1000,'Flow 4 Input'!$C$9:$C$1000,0,2)</f>
        <v>0</v>
      </c>
      <c r="D6" s="43" t="n">
        <f aca="false">_xlfn.xlookup(_xlfn.CONCAT("*","-Well-",$A6,D$4,"*"),'Flow 4 Input'!$B$9:$B$1000,'Flow 4 Input'!$C$9:$C$1000,0,2)</f>
        <v>0</v>
      </c>
      <c r="E6" s="43" t="n">
        <f aca="false">_xlfn.xlookup(_xlfn.CONCAT("*","-Well-",$A6,E$4,"*"),'Flow 4 Input'!$B$9:$B$1000,'Flow 4 Input'!$C$9:$C$1000,0,2)</f>
        <v>0</v>
      </c>
      <c r="F6" s="43" t="n">
        <f aca="false">_xlfn.xlookup(_xlfn.CONCAT("*","-Well-",$A6,F$4,"*"),'Flow 4 Input'!$B$9:$B$1000,'Flow 4 Input'!$C$9:$C$1000,0,2)</f>
        <v>0</v>
      </c>
      <c r="G6" s="43" t="n">
        <f aca="false">_xlfn.xlookup(_xlfn.CONCAT("*","-Well-",$A6,G$4,"*"),'Flow 4 Input'!$B$9:$B$1000,'Flow 4 Input'!$C$9:$C$1000,0,2)</f>
        <v>0</v>
      </c>
      <c r="H6" s="43" t="n">
        <f aca="false">_xlfn.xlookup(_xlfn.CONCAT("*","-Well-",$A6,H$4,"*"),'Flow 4 Input'!$B$9:$B$1000,'Flow 4 Input'!$C$9:$C$1000,0,2)</f>
        <v>0</v>
      </c>
      <c r="I6" s="43" t="n">
        <f aca="false">_xlfn.xlookup(_xlfn.CONCAT("*","-Well-",$A6,I$4,"*"),'Flow 4 Input'!$B$9:$B$1000,'Flow 4 Input'!$C$9:$C$1000,0,2)</f>
        <v>0</v>
      </c>
      <c r="J6" s="43" t="n">
        <f aca="false">_xlfn.xlookup(_xlfn.CONCAT("*","-Well-",$A6,J$4,"*"),'Flow 4 Input'!$B$9:$B$1000,'Flow 4 Input'!$C$9:$C$1000,0,2)</f>
        <v>0</v>
      </c>
      <c r="K6" s="43" t="n">
        <f aca="false">_xlfn.xlookup(_xlfn.CONCAT("*","-Well-",$A6,K$4,"*"),'Flow 4 Input'!$B$9:$B$1000,'Flow 4 Input'!$C$9:$C$1000,0,2)</f>
        <v>0</v>
      </c>
      <c r="L6" s="43" t="n">
        <f aca="false">_xlfn.xlookup(_xlfn.CONCAT("*","-Well-",$A6,L$4,"*"),'Flow 4 Input'!$B$9:$B$1000,'Flow 4 Input'!$C$9:$C$1000,0,2)</f>
        <v>0</v>
      </c>
      <c r="M6" s="43" t="n">
        <f aca="false">_xlfn.xlookup(_xlfn.CONCAT("*","-Well-",$A6,M$4,"*"),'Flow 4 Input'!$B$9:$B$1000,'Flow 4 Input'!$C$9:$C$1000,0,2)</f>
        <v>0</v>
      </c>
      <c r="N6" s="44"/>
    </row>
    <row r="7" customFormat="false" ht="20.25" hidden="false" customHeight="false" outlineLevel="0" collapsed="false">
      <c r="A7" s="41" t="s">
        <v>168</v>
      </c>
      <c r="B7" s="43" t="n">
        <f aca="false">_xlfn.xlookup(_xlfn.CONCAT("*","-Well-",$A7,B$4,"*"),'Flow 4 Input'!$B$9:$B$1000,'Flow 4 Input'!$C$9:$C$1000,0,2)</f>
        <v>0</v>
      </c>
      <c r="C7" s="43" t="n">
        <f aca="false">_xlfn.xlookup(_xlfn.CONCAT("*","-Well-",$A7,C$4,"*"),'Flow 4 Input'!$B$9:$B$1000,'Flow 4 Input'!$C$9:$C$1000,0,2)</f>
        <v>0</v>
      </c>
      <c r="D7" s="43" t="n">
        <f aca="false">_xlfn.xlookup(_xlfn.CONCAT("*","-Well-",$A7,D$4,"*"),'Flow 4 Input'!$B$9:$B$1000,'Flow 4 Input'!$C$9:$C$1000,0,2)</f>
        <v>0</v>
      </c>
      <c r="E7" s="43" t="n">
        <f aca="false">_xlfn.xlookup(_xlfn.CONCAT("*","-Well-",$A7,E$4,"*"),'Flow 4 Input'!$B$9:$B$1000,'Flow 4 Input'!$C$9:$C$1000,0,2)</f>
        <v>0</v>
      </c>
      <c r="F7" s="43" t="n">
        <f aca="false">_xlfn.xlookup(_xlfn.CONCAT("*","-Well-",$A7,F$4,"*"),'Flow 4 Input'!$B$9:$B$1000,'Flow 4 Input'!$C$9:$C$1000,0,2)</f>
        <v>0</v>
      </c>
      <c r="G7" s="43" t="n">
        <f aca="false">_xlfn.xlookup(_xlfn.CONCAT("*","-Well-",$A7,G$4,"*"),'Flow 4 Input'!$B$9:$B$1000,'Flow 4 Input'!$C$9:$C$1000,0,2)</f>
        <v>0</v>
      </c>
      <c r="H7" s="43" t="n">
        <f aca="false">_xlfn.xlookup(_xlfn.CONCAT("*","-Well-",$A7,H$4,"*"),'Flow 4 Input'!$B$9:$B$1000,'Flow 4 Input'!$C$9:$C$1000,0,2)</f>
        <v>0</v>
      </c>
      <c r="I7" s="43" t="n">
        <f aca="false">_xlfn.xlookup(_xlfn.CONCAT("*","-Well-",$A7,I$4,"*"),'Flow 4 Input'!$B$9:$B$1000,'Flow 4 Input'!$C$9:$C$1000,0,2)</f>
        <v>0</v>
      </c>
      <c r="J7" s="43" t="n">
        <f aca="false">_xlfn.xlookup(_xlfn.CONCAT("*","-Well-",$A7,J$4,"*"),'Flow 4 Input'!$B$9:$B$1000,'Flow 4 Input'!$C$9:$C$1000,0,2)</f>
        <v>0</v>
      </c>
      <c r="K7" s="43" t="n">
        <f aca="false">_xlfn.xlookup(_xlfn.CONCAT("*","-Well-",$A7,K$4,"*"),'Flow 4 Input'!$B$9:$B$1000,'Flow 4 Input'!$C$9:$C$1000,0,2)</f>
        <v>0</v>
      </c>
      <c r="L7" s="43" t="n">
        <f aca="false">_xlfn.xlookup(_xlfn.CONCAT("*","-Well-",$A7,L$4,"*"),'Flow 4 Input'!$B$9:$B$1000,'Flow 4 Input'!$C$9:$C$1000,0,2)</f>
        <v>0</v>
      </c>
      <c r="M7" s="43" t="n">
        <f aca="false">_xlfn.xlookup(_xlfn.CONCAT("*","-Well-",$A7,M$4,"*"),'Flow 4 Input'!$B$9:$B$1000,'Flow 4 Input'!$C$9:$C$1000,0,2)</f>
        <v>0</v>
      </c>
      <c r="N7" s="44"/>
    </row>
    <row r="8" customFormat="false" ht="20.25" hidden="false" customHeight="false" outlineLevel="0" collapsed="false">
      <c r="A8" s="41" t="s">
        <v>169</v>
      </c>
      <c r="B8" s="43" t="n">
        <f aca="false">_xlfn.xlookup(_xlfn.CONCAT("*","-Well-",$A8,B$4,"*"),'Flow 4 Input'!$B$9:$B$1000,'Flow 4 Input'!$C$9:$C$1000,0,2)</f>
        <v>0</v>
      </c>
      <c r="C8" s="43" t="n">
        <f aca="false">_xlfn.xlookup(_xlfn.CONCAT("*","-Well-",$A8,C$4,"*"),'Flow 4 Input'!$B$9:$B$1000,'Flow 4 Input'!$C$9:$C$1000,0,2)</f>
        <v>0</v>
      </c>
      <c r="D8" s="43" t="n">
        <f aca="false">_xlfn.xlookup(_xlfn.CONCAT("*","-Well-",$A8,D$4,"*"),'Flow 4 Input'!$B$9:$B$1000,'Flow 4 Input'!$C$9:$C$1000,0,2)</f>
        <v>0</v>
      </c>
      <c r="E8" s="43" t="n">
        <f aca="false">_xlfn.xlookup(_xlfn.CONCAT("*","-Well-",$A8,E$4,"*"),'Flow 4 Input'!$B$9:$B$1000,'Flow 4 Input'!$C$9:$C$1000,0,2)</f>
        <v>0</v>
      </c>
      <c r="F8" s="43" t="n">
        <f aca="false">_xlfn.xlookup(_xlfn.CONCAT("*","-Well-",$A8,F$4,"*"),'Flow 4 Input'!$B$9:$B$1000,'Flow 4 Input'!$C$9:$C$1000,0,2)</f>
        <v>0</v>
      </c>
      <c r="G8" s="43" t="n">
        <f aca="false">_xlfn.xlookup(_xlfn.CONCAT("*","-Well-",$A8,G$4,"*"),'Flow 4 Input'!$B$9:$B$1000,'Flow 4 Input'!$C$9:$C$1000,0,2)</f>
        <v>0</v>
      </c>
      <c r="H8" s="43" t="n">
        <f aca="false">_xlfn.xlookup(_xlfn.CONCAT("*","-Well-",$A8,H$4,"*"),'Flow 4 Input'!$B$9:$B$1000,'Flow 4 Input'!$C$9:$C$1000,0,2)</f>
        <v>0</v>
      </c>
      <c r="I8" s="43" t="n">
        <f aca="false">_xlfn.xlookup(_xlfn.CONCAT("*","-Well-",$A8,I$4,"*"),'Flow 4 Input'!$B$9:$B$1000,'Flow 4 Input'!$C$9:$C$1000,0,2)</f>
        <v>0</v>
      </c>
      <c r="J8" s="43" t="n">
        <f aca="false">_xlfn.xlookup(_xlfn.CONCAT("*","-Well-",$A8,J$4,"*"),'Flow 4 Input'!$B$9:$B$1000,'Flow 4 Input'!$C$9:$C$1000,0,2)</f>
        <v>0</v>
      </c>
      <c r="K8" s="43" t="n">
        <f aca="false">_xlfn.xlookup(_xlfn.CONCAT("*","-Well-",$A8,K$4,"*"),'Flow 4 Input'!$B$9:$B$1000,'Flow 4 Input'!$C$9:$C$1000,0,2)</f>
        <v>0</v>
      </c>
      <c r="L8" s="43" t="n">
        <f aca="false">_xlfn.xlookup(_xlfn.CONCAT("*","-Well-",$A8,L$4,"*"),'Flow 4 Input'!$B$9:$B$1000,'Flow 4 Input'!$C$9:$C$1000,0,2)</f>
        <v>0</v>
      </c>
      <c r="M8" s="43" t="n">
        <f aca="false">_xlfn.xlookup(_xlfn.CONCAT("*","-Well-",$A8,M$4,"*"),'Flow 4 Input'!$B$9:$B$1000,'Flow 4 Input'!$C$9:$C$1000,0,2)</f>
        <v>0</v>
      </c>
      <c r="N8" s="44"/>
    </row>
    <row r="9" customFormat="false" ht="20.25" hidden="false" customHeight="false" outlineLevel="0" collapsed="false">
      <c r="A9" s="41" t="s">
        <v>170</v>
      </c>
      <c r="B9" s="43" t="n">
        <f aca="false">_xlfn.xlookup(_xlfn.CONCAT("*","-Well-",$A9,B$4,"*"),'Flow 4 Input'!$B$9:$B$1000,'Flow 4 Input'!$C$9:$C$1000,0,2)</f>
        <v>0</v>
      </c>
      <c r="C9" s="43" t="n">
        <f aca="false">_xlfn.xlookup(_xlfn.CONCAT("*","-Well-",$A9,C$4,"*"),'Flow 4 Input'!$B$9:$B$1000,'Flow 4 Input'!$C$9:$C$1000,0,2)</f>
        <v>0</v>
      </c>
      <c r="D9" s="43" t="n">
        <f aca="false">_xlfn.xlookup(_xlfn.CONCAT("*","-Well-",$A9,D$4,"*"),'Flow 4 Input'!$B$9:$B$1000,'Flow 4 Input'!$C$9:$C$1000,0,2)</f>
        <v>0</v>
      </c>
      <c r="E9" s="43" t="n">
        <f aca="false">_xlfn.xlookup(_xlfn.CONCAT("*","-Well-",$A9,E$4,"*"),'Flow 4 Input'!$B$9:$B$1000,'Flow 4 Input'!$C$9:$C$1000,0,2)</f>
        <v>0</v>
      </c>
      <c r="F9" s="43" t="n">
        <f aca="false">_xlfn.xlookup(_xlfn.CONCAT("*","-Well-",$A9,F$4,"*"),'Flow 4 Input'!$B$9:$B$1000,'Flow 4 Input'!$C$9:$C$1000,0,2)</f>
        <v>0</v>
      </c>
      <c r="G9" s="43" t="n">
        <f aca="false">_xlfn.xlookup(_xlfn.CONCAT("*","-Well-",$A9,G$4,"*"),'Flow 4 Input'!$B$9:$B$1000,'Flow 4 Input'!$C$9:$C$1000,0,2)</f>
        <v>0</v>
      </c>
      <c r="H9" s="43" t="n">
        <f aca="false">_xlfn.xlookup(_xlfn.CONCAT("*","-Well-",$A9,H$4,"*"),'Flow 4 Input'!$B$9:$B$1000,'Flow 4 Input'!$C$9:$C$1000,0,2)</f>
        <v>0</v>
      </c>
      <c r="I9" s="43" t="n">
        <f aca="false">_xlfn.xlookup(_xlfn.CONCAT("*","-Well-",$A9,I$4,"*"),'Flow 4 Input'!$B$9:$B$1000,'Flow 4 Input'!$C$9:$C$1000,0,2)</f>
        <v>0</v>
      </c>
      <c r="J9" s="43" t="n">
        <f aca="false">_xlfn.xlookup(_xlfn.CONCAT("*","-Well-",$A9,J$4,"*"),'Flow 4 Input'!$B$9:$B$1000,'Flow 4 Input'!$C$9:$C$1000,0,2)</f>
        <v>0</v>
      </c>
      <c r="K9" s="43" t="n">
        <f aca="false">_xlfn.xlookup(_xlfn.CONCAT("*","-Well-",$A9,K$4,"*"),'Flow 4 Input'!$B$9:$B$1000,'Flow 4 Input'!$C$9:$C$1000,0,2)</f>
        <v>0</v>
      </c>
      <c r="L9" s="43" t="n">
        <f aca="false">_xlfn.xlookup(_xlfn.CONCAT("*","-Well-",$A9,L$4,"*"),'Flow 4 Input'!$B$9:$B$1000,'Flow 4 Input'!$C$9:$C$1000,0,2)</f>
        <v>0</v>
      </c>
      <c r="M9" s="43" t="n">
        <f aca="false">_xlfn.xlookup(_xlfn.CONCAT("*","-Well-",$A9,M$4,"*"),'Flow 4 Input'!$B$9:$B$1000,'Flow 4 Input'!$C$9:$C$1000,0,2)</f>
        <v>0</v>
      </c>
      <c r="N9" s="44"/>
    </row>
    <row r="10" customFormat="false" ht="20.25" hidden="false" customHeight="false" outlineLevel="0" collapsed="false">
      <c r="A10" s="41" t="s">
        <v>171</v>
      </c>
      <c r="B10" s="43" t="n">
        <f aca="false">_xlfn.xlookup(_xlfn.CONCAT("*","-Well-",$A10,B$4,"*"),'Flow 4 Input'!$B$9:$B$1000,'Flow 4 Input'!$C$9:$C$1000,0,2)</f>
        <v>0</v>
      </c>
      <c r="C10" s="43" t="n">
        <f aca="false">_xlfn.xlookup(_xlfn.CONCAT("*","-Well-",$A10,C$4,"*"),'Flow 4 Input'!$B$9:$B$1000,'Flow 4 Input'!$C$9:$C$1000,0,2)</f>
        <v>0</v>
      </c>
      <c r="D10" s="43" t="n">
        <f aca="false">_xlfn.xlookup(_xlfn.CONCAT("*","-Well-",$A10,D$4,"*"),'Flow 4 Input'!$B$9:$B$1000,'Flow 4 Input'!$C$9:$C$1000,0,2)</f>
        <v>0</v>
      </c>
      <c r="E10" s="43" t="n">
        <f aca="false">_xlfn.xlookup(_xlfn.CONCAT("*","-Well-",$A10,E$4,"*"),'Flow 4 Input'!$B$9:$B$1000,'Flow 4 Input'!$C$9:$C$1000,0,2)</f>
        <v>0</v>
      </c>
      <c r="F10" s="43" t="n">
        <f aca="false">_xlfn.xlookup(_xlfn.CONCAT("*","-Well-",$A10,F$4,"*"),'Flow 4 Input'!$B$9:$B$1000,'Flow 4 Input'!$C$9:$C$1000,0,2)</f>
        <v>0</v>
      </c>
      <c r="G10" s="43" t="n">
        <f aca="false">_xlfn.xlookup(_xlfn.CONCAT("*","-Well-",$A10,G$4,"*"),'Flow 4 Input'!$B$9:$B$1000,'Flow 4 Input'!$C$9:$C$1000,0,2)</f>
        <v>0</v>
      </c>
      <c r="H10" s="43" t="n">
        <f aca="false">_xlfn.xlookup(_xlfn.CONCAT("*","-Well-",$A10,H$4,"*"),'Flow 4 Input'!$B$9:$B$1000,'Flow 4 Input'!$C$9:$C$1000,0,2)</f>
        <v>0</v>
      </c>
      <c r="I10" s="43" t="n">
        <f aca="false">_xlfn.xlookup(_xlfn.CONCAT("*","-Well-",$A10,I$4,"*"),'Flow 4 Input'!$B$9:$B$1000,'Flow 4 Input'!$C$9:$C$1000,0,2)</f>
        <v>0</v>
      </c>
      <c r="J10" s="43" t="n">
        <f aca="false">_xlfn.xlookup(_xlfn.CONCAT("*","-Well-",$A10,J$4,"*"),'Flow 4 Input'!$B$9:$B$1000,'Flow 4 Input'!$C$9:$C$1000,0,2)</f>
        <v>0</v>
      </c>
      <c r="K10" s="43" t="n">
        <f aca="false">_xlfn.xlookup(_xlfn.CONCAT("*","-Well-",$A10,K$4,"*"),'Flow 4 Input'!$B$9:$B$1000,'Flow 4 Input'!$C$9:$C$1000,0,2)</f>
        <v>0</v>
      </c>
      <c r="L10" s="43" t="n">
        <f aca="false">_xlfn.xlookup(_xlfn.CONCAT("*","-Well-",$A10,L$4,"*"),'Flow 4 Input'!$B$9:$B$1000,'Flow 4 Input'!$C$9:$C$1000,0,2)</f>
        <v>0</v>
      </c>
      <c r="M10" s="43" t="n">
        <f aca="false">_xlfn.xlookup(_xlfn.CONCAT("*","-Well-",$A10,M$4,"*"),'Flow 4 Input'!$B$9:$B$1000,'Flow 4 Input'!$C$9:$C$1000,0,2)</f>
        <v>0</v>
      </c>
      <c r="N10" s="44"/>
    </row>
    <row r="11" customFormat="false" ht="20.25" hidden="false" customHeight="false" outlineLevel="0" collapsed="false">
      <c r="A11" s="41" t="s">
        <v>172</v>
      </c>
      <c r="B11" s="43" t="n">
        <f aca="false">_xlfn.xlookup(_xlfn.CONCAT("*","-Well-",$A11,B$4,"*"),'Flow 4 Input'!$B$9:$B$1000,'Flow 4 Input'!$C$9:$C$1000,0,2)</f>
        <v>0</v>
      </c>
      <c r="C11" s="43" t="n">
        <f aca="false">_xlfn.xlookup(_xlfn.CONCAT("*","-Well-",$A11,C$4,"*"),'Flow 4 Input'!$B$9:$B$1000,'Flow 4 Input'!$C$9:$C$1000,0,2)</f>
        <v>0</v>
      </c>
      <c r="D11" s="43" t="n">
        <f aca="false">_xlfn.xlookup(_xlfn.CONCAT("*","-Well-",$A11,D$4,"*"),'Flow 4 Input'!$B$9:$B$1000,'Flow 4 Input'!$C$9:$C$1000,0,2)</f>
        <v>0</v>
      </c>
      <c r="E11" s="43" t="n">
        <f aca="false">_xlfn.xlookup(_xlfn.CONCAT("*","-Well-",$A11,E$4,"*"),'Flow 4 Input'!$B$9:$B$1000,'Flow 4 Input'!$C$9:$C$1000,0,2)</f>
        <v>0</v>
      </c>
      <c r="F11" s="43" t="n">
        <f aca="false">_xlfn.xlookup(_xlfn.CONCAT("*","-Well-",$A11,F$4,"*"),'Flow 4 Input'!$B$9:$B$1000,'Flow 4 Input'!$C$9:$C$1000,0,2)</f>
        <v>0</v>
      </c>
      <c r="G11" s="43" t="n">
        <f aca="false">_xlfn.xlookup(_xlfn.CONCAT("*","-Well-",$A11,G$4,"*"),'Flow 4 Input'!$B$9:$B$1000,'Flow 4 Input'!$C$9:$C$1000,0,2)</f>
        <v>0</v>
      </c>
      <c r="H11" s="43" t="n">
        <f aca="false">_xlfn.xlookup(_xlfn.CONCAT("*","-Well-",$A11,H$4,"*"),'Flow 4 Input'!$B$9:$B$1000,'Flow 4 Input'!$C$9:$C$1000,0,2)</f>
        <v>0</v>
      </c>
      <c r="I11" s="43" t="n">
        <f aca="false">_xlfn.xlookup(_xlfn.CONCAT("*","-Well-",$A11,I$4,"*"),'Flow 4 Input'!$B$9:$B$1000,'Flow 4 Input'!$C$9:$C$1000,0,2)</f>
        <v>0</v>
      </c>
      <c r="J11" s="43" t="n">
        <f aca="false">_xlfn.xlookup(_xlfn.CONCAT("*","-Well-",$A11,J$4,"*"),'Flow 4 Input'!$B$9:$B$1000,'Flow 4 Input'!$C$9:$C$1000,0,2)</f>
        <v>0</v>
      </c>
      <c r="K11" s="43" t="n">
        <f aca="false">_xlfn.xlookup(_xlfn.CONCAT("*","-Well-",$A11,K$4,"*"),'Flow 4 Input'!$B$9:$B$1000,'Flow 4 Input'!$C$9:$C$1000,0,2)</f>
        <v>0</v>
      </c>
      <c r="L11" s="43" t="n">
        <f aca="false">_xlfn.xlookup(_xlfn.CONCAT("*","-Well-",$A11,L$4,"*"),'Flow 4 Input'!$B$9:$B$1000,'Flow 4 Input'!$C$9:$C$1000,0,2)</f>
        <v>0</v>
      </c>
      <c r="M11" s="43" t="n">
        <f aca="false">_xlfn.xlookup(_xlfn.CONCAT("*","-Well-",$A11,M$4,"*"),'Flow 4 Input'!$B$9:$B$1000,'Flow 4 Input'!$C$9:$C$1000,0,2)</f>
        <v>0</v>
      </c>
      <c r="N11" s="44"/>
    </row>
    <row r="12" customFormat="false" ht="20.25" hidden="false" customHeight="false" outlineLevel="0" collapsed="false">
      <c r="A12" s="41" t="s">
        <v>173</v>
      </c>
      <c r="B12" s="43" t="n">
        <f aca="false">_xlfn.xlookup(_xlfn.CONCAT("*","-Well-",$A12,B$4,"*"),'Flow 4 Input'!$B$9:$B$1000,'Flow 4 Input'!$C$9:$C$1000,0,2)</f>
        <v>0</v>
      </c>
      <c r="C12" s="43" t="n">
        <f aca="false">_xlfn.xlookup(_xlfn.CONCAT("*","-Well-",$A12,C$4,"*"),'Flow 4 Input'!$B$9:$B$1000,'Flow 4 Input'!$C$9:$C$1000,0,2)</f>
        <v>0</v>
      </c>
      <c r="D12" s="43" t="n">
        <f aca="false">_xlfn.xlookup(_xlfn.CONCAT("*","-Well-",$A12,D$4,"*"),'Flow 4 Input'!$B$9:$B$1000,'Flow 4 Input'!$C$9:$C$1000,0,2)</f>
        <v>0</v>
      </c>
      <c r="E12" s="43" t="n">
        <f aca="false">_xlfn.xlookup(_xlfn.CONCAT("*","-Well-",$A12,E$4,"*"),'Flow 4 Input'!$B$9:$B$1000,'Flow 4 Input'!$C$9:$C$1000,0,2)</f>
        <v>0</v>
      </c>
      <c r="F12" s="43" t="n">
        <f aca="false">_xlfn.xlookup(_xlfn.CONCAT("*","-Well-",$A12,F$4,"*"),'Flow 4 Input'!$B$9:$B$1000,'Flow 4 Input'!$C$9:$C$1000,0,2)</f>
        <v>0</v>
      </c>
      <c r="G12" s="43" t="n">
        <f aca="false">_xlfn.xlookup(_xlfn.CONCAT("*","-Well-",$A12,G$4,"*"),'Flow 4 Input'!$B$9:$B$1000,'Flow 4 Input'!$C$9:$C$1000,0,2)</f>
        <v>0</v>
      </c>
      <c r="H12" s="43" t="n">
        <f aca="false">_xlfn.xlookup(_xlfn.CONCAT("*","-Well-",$A12,H$4,"*"),'Flow 4 Input'!$B$9:$B$1000,'Flow 4 Input'!$C$9:$C$1000,0,2)</f>
        <v>0</v>
      </c>
      <c r="I12" s="43" t="n">
        <f aca="false">_xlfn.xlookup(_xlfn.CONCAT("*","-Well-",$A12,I$4,"*"),'Flow 4 Input'!$B$9:$B$1000,'Flow 4 Input'!$C$9:$C$1000,0,2)</f>
        <v>0</v>
      </c>
      <c r="J12" s="43" t="n">
        <f aca="false">_xlfn.xlookup(_xlfn.CONCAT("*","-Well-",$A12,J$4,"*"),'Flow 4 Input'!$B$9:$B$1000,'Flow 4 Input'!$C$9:$C$1000,0,2)</f>
        <v>0</v>
      </c>
      <c r="K12" s="43" t="n">
        <f aca="false">_xlfn.xlookup(_xlfn.CONCAT("*","-Well-",$A12,K$4,"*"),'Flow 4 Input'!$B$9:$B$1000,'Flow 4 Input'!$C$9:$C$1000,0,2)</f>
        <v>0</v>
      </c>
      <c r="L12" s="43" t="n">
        <f aca="false">_xlfn.xlookup(_xlfn.CONCAT("*","-Well-",$A12,L$4,"*"),'Flow 4 Input'!$B$9:$B$1000,'Flow 4 Input'!$C$9:$C$1000,0,2)</f>
        <v>0</v>
      </c>
      <c r="M12" s="43" t="n">
        <f aca="false">_xlfn.xlookup(_xlfn.CONCAT("*","-Well-",$A12,M$4,"*"),'Flow 4 Input'!$B$9:$B$1000,'Flow 4 Input'!$C$9:$C$1000,0,2)</f>
        <v>0</v>
      </c>
      <c r="N12" s="44"/>
    </row>
    <row r="18" customFormat="false" ht="20.25" hidden="false" customHeight="false" outlineLevel="0" collapsed="false">
      <c r="F18" s="43"/>
    </row>
  </sheetData>
  <conditionalFormatting sqref="N6:N12">
    <cfRule type="expression" priority="2" aboveAverage="0" equalAverage="0" bottom="0" percent="0" rank="0" text="" dxfId="9">
      <formula>AND(N6&gt;0, N6&lt;=50)</formula>
    </cfRule>
  </conditionalFormatting>
  <conditionalFormatting sqref="N5">
    <cfRule type="expression" priority="3" aboveAverage="0" equalAverage="0" bottom="0" percent="0" rank="0" text="" dxfId="10">
      <formula>AND(N5&gt;0, N5&lt;=50)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V7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7" topLeftCell="C8" activePane="bottomRight" state="frozen"/>
      <selection pane="topLeft" activeCell="A1" activeCellId="0" sqref="A1"/>
      <selection pane="topRight" activeCell="C1" activeCellId="0" sqref="C1"/>
      <selection pane="bottomLeft" activeCell="A8" activeCellId="0" sqref="A8"/>
      <selection pane="bottomRight" activeCell="B7" activeCellId="0" sqref="B7"/>
    </sheetView>
  </sheetViews>
  <sheetFormatPr defaultColWidth="11.42578125" defaultRowHeight="15" zeroHeight="false" outlineLevelRow="0" outlineLevelCol="0"/>
  <cols>
    <col collapsed="false" customWidth="true" hidden="true" outlineLevel="0" max="1" min="1" style="0" width="15.29"/>
    <col collapsed="false" customWidth="true" hidden="false" outlineLevel="0" max="2" min="2" style="1" width="8.29"/>
    <col collapsed="false" customWidth="true" hidden="false" outlineLevel="0" max="6" min="3" style="1" width="22.15"/>
    <col collapsed="false" customWidth="true" hidden="false" outlineLevel="0" max="7" min="7" style="1" width="10"/>
    <col collapsed="false" customWidth="true" hidden="false" outlineLevel="0" max="8" min="8" style="2" width="18.14"/>
    <col collapsed="false" customWidth="true" hidden="false" outlineLevel="0" max="9" min="9" style="2" width="25.42"/>
    <col collapsed="false" customWidth="true" hidden="false" outlineLevel="0" max="10" min="10" style="1" width="9.86"/>
    <col collapsed="false" customWidth="true" hidden="false" outlineLevel="0" max="11" min="11" style="1" width="24.29"/>
    <col collapsed="false" customWidth="true" hidden="false" outlineLevel="0" max="12" min="12" style="1" width="14.14"/>
    <col collapsed="false" customWidth="true" hidden="false" outlineLevel="0" max="13" min="13" style="1" width="14.86"/>
    <col collapsed="false" customWidth="true" hidden="false" outlineLevel="0" max="14" min="14" style="1" width="13.86"/>
    <col collapsed="false" customWidth="true" hidden="false" outlineLevel="0" max="15" min="15" style="1" width="12.42"/>
    <col collapsed="false" customWidth="true" hidden="false" outlineLevel="0" max="16" min="16" style="1" width="14.86"/>
    <col collapsed="false" customWidth="true" hidden="false" outlineLevel="0" max="17" min="17" style="2" width="18.42"/>
    <col collapsed="false" customWidth="true" hidden="false" outlineLevel="0" max="18" min="18" style="2" width="16.14"/>
    <col collapsed="false" customWidth="true" hidden="false" outlineLevel="0" max="19" min="19" style="2" width="15.85"/>
    <col collapsed="false" customWidth="true" hidden="false" outlineLevel="0" max="20" min="20" style="2" width="18.42"/>
    <col collapsed="false" customWidth="true" hidden="false" outlineLevel="0" max="21" min="21" style="2" width="18.14"/>
    <col collapsed="false" customWidth="true" hidden="false" outlineLevel="0" max="22" min="22" style="3" width="20.14"/>
    <col collapsed="false" customWidth="true" hidden="false" outlineLevel="0" max="23" min="23" style="3" width="12"/>
    <col collapsed="false" customWidth="true" hidden="false" outlineLevel="0" max="24" min="24" style="3" width="13"/>
    <col collapsed="false" customWidth="true" hidden="false" outlineLevel="0" max="25" min="25" style="2" width="13.86"/>
    <col collapsed="false" customWidth="true" hidden="false" outlineLevel="0" max="27" min="26" style="2" width="13.29"/>
    <col collapsed="false" customWidth="true" hidden="false" outlineLevel="0" max="28" min="28" style="2" width="12.86"/>
    <col collapsed="false" customWidth="true" hidden="false" outlineLevel="0" max="29" min="29" style="2" width="11.29"/>
    <col collapsed="false" customWidth="true" hidden="false" outlineLevel="0" max="30" min="30" style="2" width="8.42"/>
    <col collapsed="false" customWidth="true" hidden="false" outlineLevel="0" max="31" min="31" style="2" width="16"/>
    <col collapsed="false" customWidth="true" hidden="false" outlineLevel="0" max="32" min="32" style="2" width="15.71"/>
    <col collapsed="false" customWidth="true" hidden="false" outlineLevel="0" max="33" min="33" style="2" width="18.29"/>
    <col collapsed="false" customWidth="true" hidden="false" outlineLevel="0" max="34" min="34" style="2" width="18"/>
    <col collapsed="false" customWidth="true" hidden="false" outlineLevel="0" max="35" min="35" style="2" width="18.42"/>
    <col collapsed="false" customWidth="true" hidden="false" outlineLevel="0" max="36" min="36" style="2" width="18.29"/>
    <col collapsed="false" customWidth="true" hidden="false" outlineLevel="0" max="39" min="37" style="2" width="14"/>
    <col collapsed="false" customWidth="true" hidden="false" outlineLevel="0" max="40" min="40" style="2" width="23.29"/>
    <col collapsed="false" customWidth="true" hidden="false" outlineLevel="0" max="41" min="41" style="2" width="23"/>
    <col collapsed="false" customWidth="true" hidden="false" outlineLevel="0" max="42" min="42" style="1" width="17.15"/>
    <col collapsed="false" customWidth="true" hidden="false" outlineLevel="0" max="43" min="43" style="2" width="9.14"/>
    <col collapsed="false" customWidth="true" hidden="false" outlineLevel="0" max="44" min="44" style="2" width="16.43"/>
    <col collapsed="false" customWidth="true" hidden="false" outlineLevel="0" max="45" min="45" style="2" width="16.29"/>
    <col collapsed="false" customWidth="true" hidden="false" outlineLevel="0" max="46" min="46" style="2" width="18.86"/>
    <col collapsed="false" customWidth="true" hidden="false" outlineLevel="0" max="47" min="47" style="2" width="18.42"/>
    <col collapsed="false" customWidth="true" hidden="false" outlineLevel="0" max="48" min="48" style="2" width="22.71"/>
    <col collapsed="false" customWidth="true" hidden="false" outlineLevel="0" max="49" min="49" style="2" width="29.42"/>
    <col collapsed="false" customWidth="true" hidden="false" outlineLevel="0" max="50" min="50" style="2" width="29.29"/>
    <col collapsed="false" customWidth="true" hidden="false" outlineLevel="0" max="51" min="51" style="2" width="31.86"/>
    <col collapsed="false" customWidth="true" hidden="false" outlineLevel="0" max="52" min="52" style="2" width="31.42"/>
    <col collapsed="false" customWidth="true" hidden="false" outlineLevel="0" max="53" min="53" style="2" width="27.15"/>
    <col collapsed="false" customWidth="true" hidden="false" outlineLevel="0" max="54" min="54" style="2" width="28.14"/>
    <col collapsed="false" customWidth="true" hidden="false" outlineLevel="0" max="55" min="55" style="2" width="22"/>
    <col collapsed="false" customWidth="true" hidden="false" outlineLevel="0" max="56" min="56" style="1" width="23"/>
    <col collapsed="false" customWidth="true" hidden="false" outlineLevel="0" max="57" min="57" style="1" width="15.71"/>
    <col collapsed="false" customWidth="true" hidden="false" outlineLevel="0" max="58" min="58" style="2" width="23.42"/>
    <col collapsed="false" customWidth="true" hidden="false" outlineLevel="0" max="59" min="59" style="2" width="23.29"/>
    <col collapsed="false" customWidth="true" hidden="false" outlineLevel="0" max="60" min="60" style="2" width="25.85"/>
    <col collapsed="false" customWidth="true" hidden="false" outlineLevel="0" max="61" min="61" style="2" width="25.42"/>
    <col collapsed="false" customWidth="true" hidden="false" outlineLevel="0" max="62" min="62" style="2" width="18"/>
    <col collapsed="false" customWidth="true" hidden="false" outlineLevel="0" max="63" min="63" style="2" width="17.71"/>
    <col collapsed="false" customWidth="true" hidden="false" outlineLevel="0" max="64" min="64" style="2" width="20.29"/>
    <col collapsed="false" customWidth="true" hidden="false" outlineLevel="0" max="65" min="65" style="2" width="20"/>
    <col collapsed="false" customWidth="true" hidden="false" outlineLevel="0" max="66" min="66" style="2" width="18.42"/>
    <col collapsed="false" customWidth="true" hidden="false" outlineLevel="0" max="67" min="67" style="2" width="18.29"/>
    <col collapsed="false" customWidth="true" hidden="false" outlineLevel="0" max="68" min="68" style="2" width="20.85"/>
    <col collapsed="false" customWidth="true" hidden="false" outlineLevel="0" max="69" min="69" style="2" width="20.42"/>
    <col collapsed="false" customWidth="true" hidden="false" outlineLevel="0" max="70" min="70" style="2" width="31.42"/>
    <col collapsed="false" customWidth="true" hidden="false" outlineLevel="0" max="71" min="71" style="2" width="31.29"/>
    <col collapsed="false" customWidth="true" hidden="false" outlineLevel="0" max="72" min="72" style="2" width="33.86"/>
    <col collapsed="false" customWidth="true" hidden="false" outlineLevel="0" max="73" min="73" style="2" width="33.42"/>
    <col collapsed="false" customWidth="true" hidden="false" outlineLevel="0" max="74" min="74" style="1" width="15.29"/>
  </cols>
  <sheetData>
    <row r="1" s="4" customFormat="true" ht="15" hidden="false" customHeight="false" outlineLevel="0" collapsed="false">
      <c r="B1" s="5"/>
      <c r="C1" s="5"/>
      <c r="D1" s="5"/>
      <c r="E1" s="5"/>
      <c r="F1" s="5"/>
      <c r="G1" s="5"/>
      <c r="H1" s="6"/>
      <c r="I1" s="6"/>
      <c r="J1" s="5"/>
      <c r="K1" s="5"/>
      <c r="L1" s="5"/>
      <c r="M1" s="5"/>
      <c r="N1" s="5"/>
      <c r="O1" s="5"/>
      <c r="P1" s="5"/>
      <c r="Q1" s="6"/>
      <c r="R1" s="6"/>
      <c r="S1" s="6"/>
      <c r="T1" s="6"/>
      <c r="U1" s="6"/>
      <c r="V1" s="7"/>
      <c r="W1" s="7"/>
      <c r="X1" s="7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5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5"/>
      <c r="BE1" s="5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5"/>
    </row>
    <row r="2" s="4" customFormat="true" ht="15" hidden="false" customHeight="false" outlineLevel="0" collapsed="false">
      <c r="B2" s="5"/>
      <c r="C2" s="5"/>
      <c r="D2" s="5"/>
      <c r="E2" s="5"/>
      <c r="F2" s="5"/>
      <c r="G2" s="5"/>
      <c r="H2" s="6"/>
      <c r="I2" s="6"/>
      <c r="J2" s="5"/>
      <c r="K2" s="5"/>
      <c r="L2" s="5"/>
      <c r="M2" s="5"/>
      <c r="N2" s="5"/>
      <c r="O2" s="5"/>
      <c r="P2" s="5"/>
      <c r="Q2" s="6"/>
      <c r="R2" s="6"/>
      <c r="S2" s="6"/>
      <c r="T2" s="6"/>
      <c r="U2" s="6"/>
      <c r="V2" s="7"/>
      <c r="W2" s="7"/>
      <c r="X2" s="7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5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5"/>
      <c r="BE2" s="5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5"/>
    </row>
    <row r="3" s="4" customFormat="true" ht="15" hidden="false" customHeight="false" outlineLevel="0" collapsed="false">
      <c r="B3" s="5"/>
      <c r="C3" s="5"/>
      <c r="D3" s="5"/>
      <c r="E3" s="5"/>
      <c r="F3" s="5"/>
      <c r="G3" s="5"/>
      <c r="H3" s="6"/>
      <c r="I3" s="6"/>
      <c r="J3" s="5"/>
      <c r="K3" s="5"/>
      <c r="L3" s="5"/>
      <c r="M3" s="5"/>
      <c r="N3" s="5"/>
      <c r="O3" s="5"/>
      <c r="P3" s="5"/>
      <c r="Q3" s="6"/>
      <c r="R3" s="6"/>
      <c r="S3" s="6"/>
      <c r="T3" s="6"/>
      <c r="U3" s="6"/>
      <c r="V3" s="7"/>
      <c r="W3" s="7"/>
      <c r="X3" s="7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5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5"/>
      <c r="BE3" s="5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5"/>
    </row>
    <row r="4" s="4" customFormat="true" ht="15" hidden="false" customHeight="false" outlineLevel="0" collapsed="false">
      <c r="B4" s="5"/>
      <c r="C4" s="5"/>
      <c r="D4" s="5"/>
      <c r="E4" s="5"/>
      <c r="F4" s="5"/>
      <c r="G4" s="5"/>
      <c r="H4" s="6"/>
      <c r="I4" s="6"/>
      <c r="J4" s="5"/>
      <c r="K4" s="5"/>
      <c r="L4" s="5"/>
      <c r="M4" s="5"/>
      <c r="N4" s="5"/>
      <c r="O4" s="5"/>
      <c r="P4" s="5"/>
      <c r="Q4" s="6"/>
      <c r="R4" s="6"/>
      <c r="S4" s="6"/>
      <c r="T4" s="6"/>
      <c r="U4" s="6"/>
      <c r="V4" s="7"/>
      <c r="W4" s="7"/>
      <c r="X4" s="7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5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5"/>
      <c r="BE4" s="5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5"/>
    </row>
    <row r="5" s="4" customFormat="true" ht="15" hidden="false" customHeight="false" outlineLevel="0" collapsed="false">
      <c r="B5" s="5"/>
      <c r="C5" s="5"/>
      <c r="D5" s="5"/>
      <c r="E5" s="5"/>
      <c r="F5" s="5"/>
      <c r="G5" s="5"/>
      <c r="H5" s="6"/>
      <c r="I5" s="6"/>
      <c r="J5" s="5"/>
      <c r="K5" s="5"/>
      <c r="L5" s="5"/>
      <c r="M5" s="5"/>
      <c r="N5" s="5"/>
      <c r="O5" s="5"/>
      <c r="P5" s="5"/>
      <c r="Q5" s="6"/>
      <c r="R5" s="6"/>
      <c r="S5" s="6"/>
      <c r="T5" s="6"/>
      <c r="U5" s="6"/>
      <c r="V5" s="7"/>
      <c r="W5" s="7"/>
      <c r="X5" s="7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5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5"/>
      <c r="BE5" s="5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5"/>
    </row>
    <row r="6" s="8" customFormat="true" ht="15" hidden="false" customHeight="false" outlineLevel="0" collapsed="false">
      <c r="B6" s="9"/>
      <c r="C6" s="9"/>
      <c r="D6" s="9"/>
      <c r="E6" s="9"/>
      <c r="F6" s="9"/>
      <c r="G6" s="9"/>
      <c r="H6" s="10"/>
      <c r="I6" s="10"/>
      <c r="J6" s="9"/>
      <c r="K6" s="9"/>
      <c r="L6" s="9"/>
      <c r="M6" s="9"/>
      <c r="N6" s="9"/>
      <c r="O6" s="9"/>
      <c r="P6" s="9"/>
      <c r="Q6" s="10"/>
      <c r="R6" s="10"/>
      <c r="S6" s="10"/>
      <c r="T6" s="10"/>
      <c r="U6" s="10"/>
      <c r="V6" s="11"/>
      <c r="W6" s="11"/>
      <c r="X6" s="11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9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9"/>
      <c r="BE6" s="9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9"/>
    </row>
    <row r="7" customFormat="false" ht="15" hidden="false" customHeight="false" outlineLevel="0" collapsed="false">
      <c r="A7" s="12" t="s">
        <v>0</v>
      </c>
      <c r="B7" s="45" t="s">
        <v>1</v>
      </c>
      <c r="C7" s="45" t="s">
        <v>2</v>
      </c>
      <c r="D7" s="45" t="s">
        <v>3</v>
      </c>
      <c r="E7" s="45" t="s">
        <v>4</v>
      </c>
      <c r="F7" s="45" t="s">
        <v>5</v>
      </c>
      <c r="G7" s="45" t="s">
        <v>6</v>
      </c>
      <c r="H7" s="45" t="s">
        <v>7</v>
      </c>
      <c r="I7" s="45" t="s">
        <v>8</v>
      </c>
      <c r="J7" s="45" t="s">
        <v>9</v>
      </c>
      <c r="K7" s="45" t="s">
        <v>10</v>
      </c>
      <c r="L7" s="45" t="s">
        <v>11</v>
      </c>
      <c r="M7" s="45" t="s">
        <v>12</v>
      </c>
      <c r="N7" s="45" t="s">
        <v>13</v>
      </c>
      <c r="O7" s="45" t="s">
        <v>14</v>
      </c>
      <c r="P7" s="45" t="s">
        <v>15</v>
      </c>
      <c r="Q7" s="45" t="s">
        <v>16</v>
      </c>
      <c r="R7" s="45" t="s">
        <v>17</v>
      </c>
      <c r="S7" s="45" t="s">
        <v>18</v>
      </c>
      <c r="T7" s="45" t="s">
        <v>19</v>
      </c>
      <c r="U7" s="45" t="s">
        <v>20</v>
      </c>
      <c r="V7" s="45" t="s">
        <v>21</v>
      </c>
      <c r="W7" s="45" t="s">
        <v>22</v>
      </c>
      <c r="X7" s="45" t="s">
        <v>23</v>
      </c>
      <c r="Y7" s="45" t="s">
        <v>24</v>
      </c>
      <c r="Z7" s="45" t="s">
        <v>25</v>
      </c>
      <c r="AA7" s="45" t="s">
        <v>26</v>
      </c>
      <c r="AB7" s="45" t="s">
        <v>27</v>
      </c>
      <c r="AC7" s="45" t="s">
        <v>28</v>
      </c>
      <c r="AD7" s="45" t="s">
        <v>29</v>
      </c>
      <c r="AE7" s="45" t="s">
        <v>30</v>
      </c>
      <c r="AF7" s="45" t="s">
        <v>31</v>
      </c>
      <c r="AG7" s="45" t="s">
        <v>32</v>
      </c>
      <c r="AH7" s="45" t="s">
        <v>33</v>
      </c>
      <c r="AI7" s="45" t="s">
        <v>34</v>
      </c>
      <c r="AJ7" s="45" t="s">
        <v>35</v>
      </c>
      <c r="AK7" s="45" t="s">
        <v>36</v>
      </c>
      <c r="AL7" s="45" t="s">
        <v>37</v>
      </c>
      <c r="AM7" s="45" t="s">
        <v>38</v>
      </c>
      <c r="AN7" s="45" t="s">
        <v>39</v>
      </c>
      <c r="AO7" s="45" t="s">
        <v>40</v>
      </c>
      <c r="AP7" s="45" t="s">
        <v>41</v>
      </c>
      <c r="AQ7" s="45" t="s">
        <v>42</v>
      </c>
      <c r="AR7" s="45" t="s">
        <v>43</v>
      </c>
      <c r="AS7" s="45" t="s">
        <v>44</v>
      </c>
      <c r="AT7" s="45" t="s">
        <v>45</v>
      </c>
      <c r="AU7" s="45" t="s">
        <v>46</v>
      </c>
      <c r="AV7" s="45" t="s">
        <v>47</v>
      </c>
      <c r="AW7" s="45" t="s">
        <v>48</v>
      </c>
      <c r="AX7" s="45" t="s">
        <v>49</v>
      </c>
      <c r="AY7" s="45" t="s">
        <v>50</v>
      </c>
      <c r="AZ7" s="45" t="s">
        <v>51</v>
      </c>
      <c r="BA7" s="45" t="s">
        <v>52</v>
      </c>
      <c r="BB7" s="45" t="s">
        <v>53</v>
      </c>
      <c r="BC7" s="45" t="s">
        <v>54</v>
      </c>
      <c r="BD7" s="45" t="s">
        <v>55</v>
      </c>
      <c r="BE7" s="45" t="s">
        <v>56</v>
      </c>
      <c r="BF7" s="45" t="s">
        <v>57</v>
      </c>
      <c r="BG7" s="45" t="s">
        <v>58</v>
      </c>
      <c r="BH7" s="45" t="s">
        <v>59</v>
      </c>
      <c r="BI7" s="45" t="s">
        <v>60</v>
      </c>
      <c r="BJ7" s="45" t="s">
        <v>61</v>
      </c>
      <c r="BK7" s="45" t="s">
        <v>62</v>
      </c>
      <c r="BL7" s="45" t="s">
        <v>63</v>
      </c>
      <c r="BM7" s="45" t="s">
        <v>64</v>
      </c>
      <c r="BN7" s="45" t="s">
        <v>65</v>
      </c>
      <c r="BO7" s="45" t="s">
        <v>66</v>
      </c>
      <c r="BP7" s="45" t="s">
        <v>67</v>
      </c>
      <c r="BQ7" s="45" t="s">
        <v>68</v>
      </c>
      <c r="BR7" s="45" t="s">
        <v>69</v>
      </c>
      <c r="BS7" s="45" t="s">
        <v>70</v>
      </c>
      <c r="BT7" s="45" t="s">
        <v>71</v>
      </c>
      <c r="BU7" s="45" t="s">
        <v>72</v>
      </c>
      <c r="BV7" s="45" t="s">
        <v>73</v>
      </c>
    </row>
    <row r="8" customFormat="false" ht="15" hidden="false" customHeight="false" outlineLevel="0" collapsed="false">
      <c r="A8" s="12" t="s">
        <v>74</v>
      </c>
      <c r="H8" s="14"/>
      <c r="I8" s="14"/>
      <c r="Q8" s="14"/>
      <c r="R8" s="14"/>
      <c r="S8" s="14"/>
      <c r="T8" s="14"/>
      <c r="U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</row>
    <row r="9" customFormat="false" ht="15" hidden="false" customHeight="false" outlineLevel="0" collapsed="false">
      <c r="A9" s="12"/>
      <c r="H9" s="14"/>
      <c r="I9" s="14"/>
      <c r="Q9" s="14"/>
      <c r="R9" s="14"/>
      <c r="S9" s="14"/>
      <c r="T9" s="14"/>
      <c r="U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</row>
    <row r="10" customFormat="false" ht="15" hidden="false" customHeight="false" outlineLevel="0" collapsed="false">
      <c r="A10" s="12" t="s">
        <v>89</v>
      </c>
      <c r="H10" s="14"/>
      <c r="I10" s="14"/>
      <c r="Q10" s="14"/>
      <c r="R10" s="14"/>
      <c r="S10" s="14"/>
      <c r="T10" s="14"/>
      <c r="U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</row>
    <row r="11" customFormat="false" ht="15" hidden="false" customHeight="false" outlineLevel="0" collapsed="false">
      <c r="A11" s="12"/>
      <c r="H11" s="14"/>
      <c r="I11" s="14"/>
      <c r="Q11" s="14"/>
      <c r="R11" s="14"/>
      <c r="S11" s="14"/>
      <c r="T11" s="14"/>
      <c r="U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</row>
    <row r="12" customFormat="false" ht="15" hidden="false" customHeight="false" outlineLevel="0" collapsed="false">
      <c r="A12" s="12" t="s">
        <v>74</v>
      </c>
      <c r="H12" s="14"/>
      <c r="I12" s="14"/>
      <c r="Q12" s="14"/>
      <c r="R12" s="14"/>
      <c r="S12" s="14"/>
      <c r="T12" s="14"/>
      <c r="U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</row>
    <row r="13" customFormat="false" ht="15" hidden="false" customHeight="false" outlineLevel="0" collapsed="false">
      <c r="A13" s="12"/>
      <c r="H13" s="14"/>
      <c r="I13" s="14"/>
      <c r="Q13" s="14"/>
      <c r="R13" s="14"/>
      <c r="S13" s="14"/>
      <c r="T13" s="14"/>
      <c r="U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</row>
    <row r="14" customFormat="false" ht="15" hidden="false" customHeight="false" outlineLevel="0" collapsed="false">
      <c r="A14" s="12" t="s">
        <v>89</v>
      </c>
      <c r="H14" s="14"/>
      <c r="I14" s="14"/>
      <c r="Q14" s="14"/>
      <c r="R14" s="14"/>
      <c r="S14" s="14"/>
      <c r="T14" s="14"/>
      <c r="U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</row>
    <row r="15" customFormat="false" ht="15" hidden="false" customHeight="false" outlineLevel="0" collapsed="false">
      <c r="A15" s="12"/>
      <c r="H15" s="14"/>
      <c r="I15" s="14"/>
      <c r="Q15" s="14"/>
      <c r="R15" s="14"/>
      <c r="S15" s="14"/>
      <c r="T15" s="14"/>
      <c r="U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</row>
    <row r="16" customFormat="false" ht="15" hidden="false" customHeight="false" outlineLevel="0" collapsed="false">
      <c r="A16" s="12" t="s">
        <v>74</v>
      </c>
      <c r="H16" s="14"/>
      <c r="I16" s="14"/>
      <c r="Q16" s="14"/>
      <c r="R16" s="14"/>
      <c r="S16" s="14"/>
      <c r="T16" s="14"/>
      <c r="U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</row>
    <row r="17" customFormat="false" ht="15" hidden="false" customHeight="false" outlineLevel="0" collapsed="false">
      <c r="A17" s="12"/>
      <c r="H17" s="14"/>
      <c r="I17" s="14"/>
      <c r="Q17" s="14"/>
      <c r="R17" s="14"/>
      <c r="S17" s="14"/>
      <c r="T17" s="14"/>
      <c r="U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</row>
    <row r="18" customFormat="false" ht="15" hidden="false" customHeight="false" outlineLevel="0" collapsed="false">
      <c r="A18" s="12" t="s">
        <v>89</v>
      </c>
      <c r="H18" s="14"/>
      <c r="I18" s="14"/>
      <c r="Q18" s="14"/>
      <c r="R18" s="14"/>
      <c r="S18" s="14"/>
      <c r="T18" s="14"/>
      <c r="U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</row>
    <row r="19" customFormat="false" ht="15" hidden="false" customHeight="false" outlineLevel="0" collapsed="false">
      <c r="A19" s="12"/>
      <c r="H19" s="14"/>
      <c r="I19" s="14"/>
      <c r="Q19" s="14"/>
      <c r="R19" s="14"/>
      <c r="S19" s="14"/>
      <c r="T19" s="14"/>
      <c r="U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</row>
    <row r="20" customFormat="false" ht="15" hidden="false" customHeight="false" outlineLevel="0" collapsed="false">
      <c r="A20" s="12" t="s">
        <v>74</v>
      </c>
      <c r="H20" s="14"/>
      <c r="I20" s="14"/>
      <c r="Q20" s="14"/>
      <c r="R20" s="14"/>
      <c r="S20" s="14"/>
      <c r="T20" s="14"/>
      <c r="U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</row>
    <row r="21" customFormat="false" ht="15" hidden="false" customHeight="false" outlineLevel="0" collapsed="false">
      <c r="A21" s="12"/>
      <c r="H21" s="14"/>
      <c r="I21" s="14"/>
      <c r="Q21" s="14"/>
      <c r="R21" s="14"/>
      <c r="S21" s="14"/>
      <c r="T21" s="14"/>
      <c r="U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</row>
    <row r="22" customFormat="false" ht="15" hidden="false" customHeight="false" outlineLevel="0" collapsed="false">
      <c r="A22" s="12" t="s">
        <v>89</v>
      </c>
      <c r="H22" s="14"/>
      <c r="I22" s="14"/>
      <c r="Q22" s="14"/>
      <c r="R22" s="14"/>
      <c r="S22" s="14"/>
      <c r="T22" s="14"/>
      <c r="U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</row>
    <row r="23" customFormat="false" ht="15" hidden="false" customHeight="false" outlineLevel="0" collapsed="false">
      <c r="A23" s="12"/>
      <c r="H23" s="14"/>
      <c r="I23" s="14"/>
      <c r="Q23" s="14"/>
      <c r="R23" s="14"/>
      <c r="S23" s="14"/>
      <c r="T23" s="14"/>
      <c r="U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</row>
    <row r="24" customFormat="false" ht="15" hidden="false" customHeight="false" outlineLevel="0" collapsed="false">
      <c r="A24" s="12" t="s">
        <v>74</v>
      </c>
      <c r="H24" s="14"/>
      <c r="I24" s="14"/>
      <c r="Q24" s="14"/>
      <c r="R24" s="14"/>
      <c r="S24" s="14"/>
      <c r="T24" s="14"/>
      <c r="U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</row>
    <row r="25" customFormat="false" ht="15" hidden="false" customHeight="false" outlineLevel="0" collapsed="false">
      <c r="A25" s="12"/>
      <c r="H25" s="14"/>
      <c r="I25" s="14"/>
      <c r="Q25" s="14"/>
      <c r="R25" s="14"/>
      <c r="S25" s="14"/>
      <c r="T25" s="14"/>
      <c r="U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</row>
    <row r="26" customFormat="false" ht="15" hidden="false" customHeight="false" outlineLevel="0" collapsed="false">
      <c r="A26" s="12" t="s">
        <v>89</v>
      </c>
      <c r="H26" s="14"/>
      <c r="I26" s="14"/>
      <c r="Q26" s="14"/>
      <c r="R26" s="14"/>
      <c r="S26" s="14"/>
      <c r="T26" s="14"/>
      <c r="U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</row>
    <row r="27" customFormat="false" ht="15" hidden="false" customHeight="false" outlineLevel="0" collapsed="false">
      <c r="A27" s="12"/>
      <c r="H27" s="14"/>
      <c r="I27" s="14"/>
      <c r="Q27" s="14"/>
      <c r="R27" s="14"/>
      <c r="S27" s="14"/>
      <c r="T27" s="14"/>
      <c r="U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</row>
    <row r="28" customFormat="false" ht="15" hidden="false" customHeight="false" outlineLevel="0" collapsed="false">
      <c r="A28" s="12" t="s">
        <v>74</v>
      </c>
      <c r="H28" s="14"/>
      <c r="I28" s="14"/>
      <c r="Q28" s="14"/>
      <c r="R28" s="14"/>
      <c r="S28" s="14"/>
      <c r="T28" s="14"/>
      <c r="U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</row>
    <row r="29" customFormat="false" ht="15" hidden="false" customHeight="false" outlineLevel="0" collapsed="false">
      <c r="A29" s="12"/>
      <c r="H29" s="14"/>
      <c r="I29" s="14"/>
      <c r="Q29" s="14"/>
      <c r="R29" s="14"/>
      <c r="S29" s="14"/>
      <c r="T29" s="14"/>
      <c r="U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</row>
    <row r="30" customFormat="false" ht="15" hidden="false" customHeight="false" outlineLevel="0" collapsed="false">
      <c r="A30" s="12" t="s">
        <v>89</v>
      </c>
      <c r="H30" s="14"/>
      <c r="I30" s="14"/>
      <c r="Q30" s="14"/>
      <c r="R30" s="14"/>
      <c r="S30" s="14"/>
      <c r="T30" s="14"/>
      <c r="U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</row>
    <row r="31" customFormat="false" ht="15" hidden="false" customHeight="false" outlineLevel="0" collapsed="false">
      <c r="A31" s="12"/>
      <c r="H31" s="14"/>
      <c r="I31" s="14"/>
      <c r="Q31" s="14"/>
      <c r="R31" s="14"/>
      <c r="S31" s="14"/>
      <c r="T31" s="14"/>
      <c r="U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</row>
    <row r="32" customFormat="false" ht="15" hidden="false" customHeight="false" outlineLevel="0" collapsed="false">
      <c r="A32" s="12" t="s">
        <v>74</v>
      </c>
      <c r="H32" s="14"/>
      <c r="I32" s="14"/>
      <c r="Q32" s="14"/>
      <c r="R32" s="14"/>
      <c r="S32" s="14"/>
      <c r="T32" s="14"/>
      <c r="U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</row>
    <row r="33" customFormat="false" ht="15" hidden="false" customHeight="false" outlineLevel="0" collapsed="false">
      <c r="A33" s="12"/>
      <c r="H33" s="14"/>
      <c r="I33" s="14"/>
      <c r="Q33" s="14"/>
      <c r="R33" s="14"/>
      <c r="S33" s="14"/>
      <c r="T33" s="14"/>
      <c r="U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</row>
    <row r="34" customFormat="false" ht="15" hidden="false" customHeight="false" outlineLevel="0" collapsed="false">
      <c r="A34" s="12" t="s">
        <v>89</v>
      </c>
      <c r="H34" s="14"/>
      <c r="I34" s="14"/>
      <c r="Q34" s="14"/>
      <c r="R34" s="14"/>
      <c r="S34" s="14"/>
      <c r="T34" s="14"/>
      <c r="U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</row>
    <row r="35" customFormat="false" ht="15" hidden="false" customHeight="false" outlineLevel="0" collapsed="false">
      <c r="A35" s="12"/>
      <c r="H35" s="14"/>
      <c r="I35" s="14"/>
      <c r="Q35" s="14"/>
      <c r="R35" s="14"/>
      <c r="S35" s="14"/>
      <c r="T35" s="14"/>
      <c r="U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</row>
    <row r="36" customFormat="false" ht="15" hidden="false" customHeight="false" outlineLevel="0" collapsed="false">
      <c r="A36" s="12" t="s">
        <v>74</v>
      </c>
      <c r="H36" s="14"/>
      <c r="I36" s="14"/>
      <c r="Q36" s="14"/>
      <c r="R36" s="14"/>
      <c r="S36" s="14"/>
      <c r="T36" s="14"/>
      <c r="U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</row>
    <row r="37" customFormat="false" ht="15" hidden="false" customHeight="false" outlineLevel="0" collapsed="false">
      <c r="A37" s="12"/>
      <c r="H37" s="14"/>
      <c r="I37" s="14"/>
      <c r="Q37" s="14"/>
      <c r="R37" s="14"/>
      <c r="S37" s="14"/>
      <c r="T37" s="14"/>
      <c r="U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</row>
    <row r="38" customFormat="false" ht="15" hidden="false" customHeight="false" outlineLevel="0" collapsed="false">
      <c r="A38" s="12" t="s">
        <v>89</v>
      </c>
      <c r="H38" s="14"/>
      <c r="I38" s="14"/>
      <c r="Q38" s="14"/>
      <c r="R38" s="14"/>
      <c r="S38" s="14"/>
      <c r="T38" s="14"/>
      <c r="U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</row>
    <row r="39" customFormat="false" ht="15" hidden="false" customHeight="false" outlineLevel="0" collapsed="false">
      <c r="A39" s="12"/>
      <c r="H39" s="14"/>
      <c r="I39" s="14"/>
      <c r="Q39" s="14"/>
      <c r="R39" s="14"/>
      <c r="S39" s="14"/>
      <c r="T39" s="14"/>
      <c r="U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</row>
    <row r="40" customFormat="false" ht="15" hidden="false" customHeight="false" outlineLevel="0" collapsed="false">
      <c r="A40" s="12" t="s">
        <v>74</v>
      </c>
      <c r="H40" s="14"/>
      <c r="I40" s="14"/>
      <c r="Q40" s="14"/>
      <c r="R40" s="14"/>
      <c r="S40" s="14"/>
      <c r="T40" s="14"/>
      <c r="U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</row>
    <row r="41" customFormat="false" ht="15" hidden="false" customHeight="false" outlineLevel="0" collapsed="false">
      <c r="A41" s="12"/>
      <c r="H41" s="14"/>
      <c r="I41" s="14"/>
      <c r="Q41" s="14"/>
      <c r="R41" s="14"/>
      <c r="S41" s="14"/>
      <c r="T41" s="14"/>
      <c r="U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</row>
    <row r="42" customFormat="false" ht="15" hidden="false" customHeight="false" outlineLevel="0" collapsed="false">
      <c r="A42" s="12" t="s">
        <v>89</v>
      </c>
      <c r="H42" s="14"/>
      <c r="I42" s="14"/>
      <c r="Q42" s="14"/>
      <c r="R42" s="14"/>
      <c r="S42" s="14"/>
      <c r="T42" s="14"/>
      <c r="U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</row>
    <row r="43" customFormat="false" ht="15" hidden="false" customHeight="false" outlineLevel="0" collapsed="false">
      <c r="A43" s="12"/>
      <c r="H43" s="14"/>
      <c r="I43" s="14"/>
      <c r="Q43" s="14"/>
      <c r="R43" s="14"/>
      <c r="S43" s="14"/>
      <c r="T43" s="14"/>
      <c r="U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</row>
    <row r="44" customFormat="false" ht="15" hidden="false" customHeight="false" outlineLevel="0" collapsed="false">
      <c r="A44" s="12" t="s">
        <v>74</v>
      </c>
      <c r="H44" s="14"/>
      <c r="I44" s="14"/>
      <c r="Q44" s="14"/>
      <c r="R44" s="14"/>
      <c r="S44" s="14"/>
      <c r="T44" s="14"/>
      <c r="U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</row>
    <row r="45" customFormat="false" ht="15" hidden="false" customHeight="false" outlineLevel="0" collapsed="false">
      <c r="A45" s="12"/>
      <c r="H45" s="14"/>
      <c r="I45" s="14"/>
      <c r="Q45" s="14"/>
      <c r="R45" s="14"/>
      <c r="S45" s="14"/>
      <c r="T45" s="14"/>
      <c r="U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</row>
    <row r="46" customFormat="false" ht="15" hidden="false" customHeight="false" outlineLevel="0" collapsed="false">
      <c r="A46" s="12" t="s">
        <v>89</v>
      </c>
      <c r="H46" s="14"/>
      <c r="I46" s="14"/>
      <c r="Q46" s="14"/>
      <c r="R46" s="14"/>
      <c r="S46" s="14"/>
      <c r="T46" s="14"/>
      <c r="U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</row>
    <row r="47" customFormat="false" ht="15" hidden="false" customHeight="false" outlineLevel="0" collapsed="false">
      <c r="A47" s="12"/>
      <c r="H47" s="14"/>
      <c r="I47" s="14"/>
      <c r="Q47" s="14"/>
      <c r="R47" s="14"/>
      <c r="S47" s="14"/>
      <c r="T47" s="14"/>
      <c r="U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</row>
    <row r="48" customFormat="false" ht="15" hidden="false" customHeight="false" outlineLevel="0" collapsed="false">
      <c r="A48" s="12" t="s">
        <v>74</v>
      </c>
      <c r="H48" s="14"/>
      <c r="I48" s="14"/>
      <c r="Q48" s="14"/>
      <c r="R48" s="14"/>
      <c r="S48" s="14"/>
      <c r="T48" s="14"/>
      <c r="U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</row>
    <row r="49" customFormat="false" ht="15" hidden="false" customHeight="false" outlineLevel="0" collapsed="false">
      <c r="A49" s="12"/>
      <c r="H49" s="14"/>
      <c r="I49" s="14"/>
      <c r="Q49" s="14"/>
      <c r="R49" s="14"/>
      <c r="S49" s="14"/>
      <c r="T49" s="14"/>
      <c r="U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</row>
    <row r="50" customFormat="false" ht="15" hidden="false" customHeight="false" outlineLevel="0" collapsed="false">
      <c r="A50" s="12" t="s">
        <v>89</v>
      </c>
      <c r="H50" s="14"/>
      <c r="I50" s="14"/>
      <c r="Q50" s="14"/>
      <c r="R50" s="14"/>
      <c r="S50" s="14"/>
      <c r="T50" s="14"/>
      <c r="U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</row>
    <row r="51" customFormat="false" ht="15" hidden="false" customHeight="false" outlineLevel="0" collapsed="false">
      <c r="A51" s="12"/>
      <c r="H51" s="14"/>
      <c r="I51" s="14"/>
      <c r="Q51" s="14"/>
      <c r="R51" s="14"/>
      <c r="S51" s="14"/>
      <c r="T51" s="14"/>
      <c r="U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</row>
    <row r="52" customFormat="false" ht="15" hidden="false" customHeight="false" outlineLevel="0" collapsed="false">
      <c r="A52" s="12" t="s">
        <v>74</v>
      </c>
      <c r="H52" s="14"/>
      <c r="I52" s="14"/>
      <c r="Q52" s="14"/>
      <c r="R52" s="14"/>
      <c r="S52" s="14"/>
      <c r="T52" s="14"/>
      <c r="U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</row>
    <row r="53" customFormat="false" ht="15" hidden="false" customHeight="false" outlineLevel="0" collapsed="false">
      <c r="A53" s="12"/>
      <c r="H53" s="14"/>
      <c r="I53" s="14"/>
      <c r="Q53" s="14"/>
      <c r="R53" s="14"/>
      <c r="S53" s="14"/>
      <c r="T53" s="14"/>
      <c r="U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</row>
    <row r="54" customFormat="false" ht="15" hidden="false" customHeight="false" outlineLevel="0" collapsed="false">
      <c r="A54" s="12" t="s">
        <v>89</v>
      </c>
      <c r="H54" s="14"/>
      <c r="I54" s="14"/>
      <c r="Q54" s="14"/>
      <c r="R54" s="14"/>
      <c r="S54" s="14"/>
      <c r="T54" s="14"/>
      <c r="U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</row>
    <row r="55" customFormat="false" ht="15" hidden="false" customHeight="false" outlineLevel="0" collapsed="false">
      <c r="A55" s="12"/>
      <c r="H55" s="14"/>
      <c r="I55" s="14"/>
      <c r="Q55" s="14"/>
      <c r="R55" s="14"/>
      <c r="S55" s="14"/>
      <c r="T55" s="14"/>
      <c r="U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</row>
    <row r="56" customFormat="false" ht="15" hidden="false" customHeight="false" outlineLevel="0" collapsed="false">
      <c r="A56" s="12" t="s">
        <v>74</v>
      </c>
      <c r="H56" s="14"/>
      <c r="I56" s="14"/>
      <c r="Q56" s="14"/>
      <c r="R56" s="14"/>
      <c r="S56" s="14"/>
      <c r="T56" s="14"/>
      <c r="U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</row>
    <row r="57" customFormat="false" ht="15" hidden="false" customHeight="false" outlineLevel="0" collapsed="false">
      <c r="A57" s="12"/>
      <c r="H57" s="14"/>
      <c r="I57" s="14"/>
      <c r="Q57" s="14"/>
      <c r="R57" s="14"/>
      <c r="S57" s="14"/>
      <c r="T57" s="14"/>
      <c r="U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</row>
    <row r="58" customFormat="false" ht="15" hidden="false" customHeight="false" outlineLevel="0" collapsed="false">
      <c r="A58" s="12" t="s">
        <v>89</v>
      </c>
      <c r="H58" s="14"/>
      <c r="I58" s="14"/>
      <c r="Q58" s="14"/>
      <c r="R58" s="14"/>
      <c r="S58" s="14"/>
      <c r="T58" s="14"/>
      <c r="U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</row>
    <row r="59" customFormat="false" ht="15" hidden="false" customHeight="false" outlineLevel="0" collapsed="false">
      <c r="A59" s="12"/>
      <c r="H59" s="14"/>
      <c r="I59" s="14"/>
      <c r="Q59" s="14"/>
      <c r="R59" s="14"/>
      <c r="S59" s="14"/>
      <c r="T59" s="14"/>
      <c r="U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</row>
    <row r="60" customFormat="false" ht="15" hidden="false" customHeight="false" outlineLevel="0" collapsed="false">
      <c r="A60" s="12" t="s">
        <v>74</v>
      </c>
      <c r="H60" s="14"/>
      <c r="I60" s="14"/>
      <c r="Q60" s="14"/>
      <c r="R60" s="14"/>
      <c r="S60" s="14"/>
      <c r="T60" s="14"/>
      <c r="U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</row>
    <row r="61" customFormat="false" ht="15" hidden="false" customHeight="false" outlineLevel="0" collapsed="false">
      <c r="A61" s="12"/>
      <c r="H61" s="14"/>
      <c r="I61" s="14"/>
      <c r="Q61" s="14"/>
      <c r="R61" s="14"/>
      <c r="S61" s="14"/>
      <c r="T61" s="14"/>
      <c r="U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</row>
    <row r="62" customFormat="false" ht="15" hidden="false" customHeight="false" outlineLevel="0" collapsed="false">
      <c r="A62" s="12" t="s">
        <v>89</v>
      </c>
      <c r="H62" s="14"/>
      <c r="I62" s="14"/>
      <c r="Q62" s="14"/>
      <c r="R62" s="14"/>
      <c r="S62" s="14"/>
      <c r="T62" s="14"/>
      <c r="U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</row>
    <row r="63" customFormat="false" ht="15" hidden="false" customHeight="false" outlineLevel="0" collapsed="false">
      <c r="A63" s="12"/>
      <c r="H63" s="14"/>
      <c r="I63" s="14"/>
      <c r="Q63" s="14"/>
      <c r="R63" s="14"/>
      <c r="S63" s="14"/>
      <c r="T63" s="14"/>
      <c r="U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</row>
    <row r="64" customFormat="false" ht="15" hidden="false" customHeight="false" outlineLevel="0" collapsed="false">
      <c r="A64" s="12" t="s">
        <v>74</v>
      </c>
      <c r="H64" s="14"/>
      <c r="I64" s="14"/>
      <c r="Q64" s="14"/>
      <c r="R64" s="14"/>
      <c r="S64" s="14"/>
      <c r="T64" s="14"/>
      <c r="U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</row>
    <row r="65" customFormat="false" ht="15" hidden="false" customHeight="false" outlineLevel="0" collapsed="false">
      <c r="A65" s="12"/>
      <c r="H65" s="14"/>
      <c r="I65" s="14"/>
      <c r="Q65" s="14"/>
      <c r="R65" s="14"/>
      <c r="S65" s="14"/>
      <c r="T65" s="14"/>
      <c r="U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</row>
    <row r="66" customFormat="false" ht="15" hidden="false" customHeight="false" outlineLevel="0" collapsed="false">
      <c r="A66" s="12" t="s">
        <v>89</v>
      </c>
      <c r="H66" s="14"/>
      <c r="I66" s="14"/>
      <c r="Q66" s="14"/>
      <c r="R66" s="14"/>
      <c r="S66" s="14"/>
      <c r="T66" s="14"/>
      <c r="U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</row>
    <row r="67" customFormat="false" ht="15" hidden="false" customHeight="false" outlineLevel="0" collapsed="false">
      <c r="A67" s="12"/>
      <c r="H67" s="14"/>
      <c r="I67" s="14"/>
      <c r="Q67" s="14"/>
      <c r="R67" s="14"/>
      <c r="S67" s="14"/>
      <c r="T67" s="14"/>
      <c r="U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</row>
    <row r="68" customFormat="false" ht="15" hidden="false" customHeight="false" outlineLevel="0" collapsed="false">
      <c r="A68" s="12" t="s">
        <v>74</v>
      </c>
      <c r="H68" s="14"/>
      <c r="I68" s="14"/>
      <c r="Q68" s="14"/>
      <c r="R68" s="14"/>
      <c r="S68" s="14"/>
      <c r="T68" s="14"/>
      <c r="U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</row>
    <row r="69" customFormat="false" ht="15" hidden="false" customHeight="false" outlineLevel="0" collapsed="false">
      <c r="A69" s="12"/>
      <c r="H69" s="14"/>
      <c r="I69" s="14"/>
      <c r="Q69" s="14"/>
      <c r="R69" s="14"/>
      <c r="S69" s="14"/>
      <c r="T69" s="14"/>
      <c r="U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</row>
    <row r="70" customFormat="false" ht="15" hidden="false" customHeight="false" outlineLevel="0" collapsed="false">
      <c r="A70" s="12" t="s">
        <v>89</v>
      </c>
      <c r="H70" s="14"/>
      <c r="I70" s="14"/>
      <c r="Q70" s="14"/>
      <c r="R70" s="14"/>
      <c r="S70" s="14"/>
      <c r="T70" s="14"/>
      <c r="U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</row>
    <row r="71" customFormat="false" ht="15" hidden="false" customHeight="false" outlineLevel="0" collapsed="false">
      <c r="A71" s="12"/>
      <c r="H71" s="14"/>
      <c r="I71" s="14"/>
      <c r="Q71" s="14"/>
      <c r="R71" s="14"/>
      <c r="S71" s="14"/>
      <c r="T71" s="14"/>
      <c r="U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</row>
    <row r="72" customFormat="false" ht="15" hidden="false" customHeight="false" outlineLevel="0" collapsed="false">
      <c r="A72" s="12" t="s">
        <v>74</v>
      </c>
      <c r="H72" s="14"/>
      <c r="I72" s="14"/>
      <c r="Q72" s="14"/>
      <c r="R72" s="14"/>
      <c r="S72" s="14"/>
      <c r="T72" s="14"/>
      <c r="U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</row>
    <row r="73" customFormat="false" ht="15" hidden="false" customHeight="false" outlineLevel="0" collapsed="false">
      <c r="A73" s="12"/>
      <c r="H73" s="14"/>
      <c r="I73" s="14"/>
      <c r="Q73" s="14"/>
      <c r="R73" s="14"/>
      <c r="S73" s="14"/>
      <c r="T73" s="14"/>
      <c r="U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</row>
    <row r="74" customFormat="false" ht="15" hidden="false" customHeight="false" outlineLevel="0" collapsed="false">
      <c r="A74" s="12" t="s">
        <v>89</v>
      </c>
      <c r="H74" s="14"/>
      <c r="I74" s="14"/>
      <c r="Q74" s="14"/>
      <c r="R74" s="14"/>
      <c r="S74" s="14"/>
      <c r="T74" s="14"/>
      <c r="U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</row>
    <row r="75" customFormat="false" ht="15" hidden="false" customHeight="false" outlineLevel="0" collapsed="false">
      <c r="A75" s="12"/>
      <c r="H75" s="14"/>
      <c r="I75" s="14"/>
      <c r="Q75" s="14"/>
      <c r="R75" s="14"/>
      <c r="S75" s="14"/>
      <c r="T75" s="14"/>
      <c r="U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</row>
    <row r="76" customFormat="false" ht="15" hidden="false" customHeight="false" outlineLevel="0" collapsed="false">
      <c r="A76" s="12" t="s">
        <v>74</v>
      </c>
      <c r="H76" s="14"/>
      <c r="I76" s="14"/>
      <c r="Q76" s="14"/>
      <c r="R76" s="14"/>
      <c r="S76" s="14"/>
      <c r="T76" s="14"/>
      <c r="U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</row>
    <row r="77" customFormat="false" ht="15" hidden="false" customHeight="false" outlineLevel="0" collapsed="false">
      <c r="A77" s="12"/>
      <c r="H77" s="14"/>
      <c r="I77" s="14"/>
      <c r="Q77" s="14"/>
      <c r="R77" s="14"/>
      <c r="S77" s="14"/>
      <c r="T77" s="14"/>
      <c r="U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</row>
    <row r="78" customFormat="false" ht="15" hidden="false" customHeight="false" outlineLevel="0" collapsed="false">
      <c r="A78" s="12" t="s">
        <v>89</v>
      </c>
      <c r="H78" s="14"/>
      <c r="I78" s="14"/>
      <c r="Q78" s="14"/>
      <c r="R78" s="14"/>
      <c r="S78" s="14"/>
      <c r="T78" s="14"/>
      <c r="U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</row>
    <row r="79" customFormat="false" ht="15" hidden="false" customHeight="false" outlineLevel="0" collapsed="false">
      <c r="A79" s="12"/>
      <c r="H79" s="14"/>
      <c r="I79" s="14"/>
      <c r="Q79" s="14"/>
      <c r="R79" s="14"/>
      <c r="S79" s="14"/>
      <c r="T79" s="14"/>
      <c r="U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</row>
    <row r="80" customFormat="false" ht="15" hidden="false" customHeight="false" outlineLevel="0" collapsed="false">
      <c r="A80" s="12" t="s">
        <v>74</v>
      </c>
      <c r="H80" s="14"/>
      <c r="I80" s="14"/>
      <c r="Q80" s="14"/>
      <c r="R80" s="14"/>
      <c r="S80" s="14"/>
      <c r="T80" s="14"/>
      <c r="U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</row>
    <row r="81" customFormat="false" ht="15" hidden="false" customHeight="false" outlineLevel="0" collapsed="false">
      <c r="A81" s="12"/>
      <c r="H81" s="14"/>
      <c r="I81" s="14"/>
      <c r="Q81" s="14"/>
      <c r="R81" s="14"/>
      <c r="S81" s="14"/>
      <c r="T81" s="14"/>
      <c r="U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</row>
    <row r="82" customFormat="false" ht="15" hidden="false" customHeight="false" outlineLevel="0" collapsed="false">
      <c r="A82" s="12" t="s">
        <v>89</v>
      </c>
      <c r="H82" s="14"/>
      <c r="I82" s="14"/>
      <c r="Q82" s="14"/>
      <c r="R82" s="14"/>
      <c r="S82" s="14"/>
      <c r="T82" s="14"/>
      <c r="U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</row>
    <row r="83" customFormat="false" ht="15" hidden="false" customHeight="false" outlineLevel="0" collapsed="false">
      <c r="A83" s="12"/>
      <c r="H83" s="14"/>
      <c r="I83" s="14"/>
      <c r="Q83" s="14"/>
      <c r="R83" s="14"/>
      <c r="S83" s="14"/>
      <c r="T83" s="14"/>
      <c r="U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</row>
    <row r="84" customFormat="false" ht="15" hidden="false" customHeight="false" outlineLevel="0" collapsed="false">
      <c r="A84" s="12" t="s">
        <v>74</v>
      </c>
      <c r="H84" s="14"/>
      <c r="I84" s="14"/>
      <c r="Q84" s="14"/>
      <c r="R84" s="14"/>
      <c r="S84" s="14"/>
      <c r="T84" s="14"/>
      <c r="U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</row>
    <row r="85" customFormat="false" ht="15" hidden="false" customHeight="false" outlineLevel="0" collapsed="false">
      <c r="A85" s="12"/>
      <c r="H85" s="14"/>
      <c r="I85" s="14"/>
      <c r="Q85" s="14"/>
      <c r="R85" s="14"/>
      <c r="S85" s="14"/>
      <c r="T85" s="14"/>
      <c r="U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</row>
    <row r="86" customFormat="false" ht="15" hidden="false" customHeight="false" outlineLevel="0" collapsed="false">
      <c r="A86" s="12" t="s">
        <v>89</v>
      </c>
      <c r="H86" s="14"/>
      <c r="I86" s="14"/>
      <c r="Q86" s="14"/>
      <c r="R86" s="14"/>
      <c r="S86" s="14"/>
      <c r="T86" s="14"/>
      <c r="U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</row>
    <row r="87" customFormat="false" ht="15" hidden="false" customHeight="false" outlineLevel="0" collapsed="false">
      <c r="A87" s="12"/>
      <c r="H87" s="14"/>
      <c r="I87" s="14"/>
      <c r="Q87" s="14"/>
      <c r="R87" s="14"/>
      <c r="S87" s="14"/>
      <c r="T87" s="14"/>
      <c r="U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</row>
    <row r="88" customFormat="false" ht="15" hidden="false" customHeight="false" outlineLevel="0" collapsed="false">
      <c r="A88" s="12" t="s">
        <v>74</v>
      </c>
      <c r="H88" s="14"/>
      <c r="I88" s="14"/>
      <c r="Q88" s="14"/>
      <c r="R88" s="14"/>
      <c r="S88" s="14"/>
      <c r="T88" s="14"/>
      <c r="U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</row>
    <row r="89" customFormat="false" ht="15" hidden="false" customHeight="false" outlineLevel="0" collapsed="false">
      <c r="A89" s="12"/>
      <c r="H89" s="14"/>
      <c r="I89" s="14"/>
      <c r="Q89" s="14"/>
      <c r="R89" s="14"/>
      <c r="S89" s="14"/>
      <c r="T89" s="14"/>
      <c r="U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</row>
    <row r="90" customFormat="false" ht="15" hidden="false" customHeight="false" outlineLevel="0" collapsed="false">
      <c r="A90" s="12" t="s">
        <v>89</v>
      </c>
      <c r="H90" s="14"/>
      <c r="I90" s="14"/>
      <c r="Q90" s="14"/>
      <c r="R90" s="14"/>
      <c r="S90" s="14"/>
      <c r="T90" s="14"/>
      <c r="U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</row>
    <row r="91" customFormat="false" ht="15" hidden="false" customHeight="false" outlineLevel="0" collapsed="false">
      <c r="A91" s="12"/>
      <c r="H91" s="14"/>
      <c r="I91" s="14"/>
      <c r="Q91" s="14"/>
      <c r="R91" s="14"/>
      <c r="S91" s="14"/>
      <c r="T91" s="14"/>
      <c r="U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</row>
    <row r="92" customFormat="false" ht="15" hidden="false" customHeight="false" outlineLevel="0" collapsed="false">
      <c r="A92" s="12" t="s">
        <v>74</v>
      </c>
      <c r="H92" s="14"/>
      <c r="I92" s="14"/>
      <c r="Q92" s="14"/>
      <c r="R92" s="14"/>
      <c r="S92" s="14"/>
      <c r="T92" s="14"/>
      <c r="U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</row>
    <row r="93" customFormat="false" ht="15" hidden="false" customHeight="false" outlineLevel="0" collapsed="false">
      <c r="A93" s="12"/>
      <c r="H93" s="14"/>
      <c r="I93" s="14"/>
      <c r="Q93" s="14"/>
      <c r="R93" s="14"/>
      <c r="S93" s="14"/>
      <c r="T93" s="14"/>
      <c r="U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</row>
    <row r="94" customFormat="false" ht="15" hidden="false" customHeight="false" outlineLevel="0" collapsed="false">
      <c r="A94" s="12" t="s">
        <v>89</v>
      </c>
      <c r="H94" s="14"/>
      <c r="I94" s="14"/>
      <c r="Q94" s="14"/>
      <c r="R94" s="14"/>
      <c r="S94" s="14"/>
      <c r="T94" s="14"/>
      <c r="U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</row>
    <row r="95" customFormat="false" ht="15" hidden="false" customHeight="false" outlineLevel="0" collapsed="false">
      <c r="A95" s="12"/>
      <c r="H95" s="14"/>
      <c r="I95" s="14"/>
      <c r="Q95" s="14"/>
      <c r="R95" s="14"/>
      <c r="S95" s="14"/>
      <c r="T95" s="14"/>
      <c r="U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</row>
    <row r="96" customFormat="false" ht="15" hidden="false" customHeight="false" outlineLevel="0" collapsed="false">
      <c r="A96" s="12" t="s">
        <v>74</v>
      </c>
      <c r="H96" s="14"/>
      <c r="I96" s="14"/>
      <c r="Q96" s="14"/>
      <c r="R96" s="14"/>
      <c r="S96" s="14"/>
      <c r="T96" s="14"/>
      <c r="U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</row>
    <row r="97" customFormat="false" ht="15" hidden="false" customHeight="false" outlineLevel="0" collapsed="false">
      <c r="A97" s="12"/>
      <c r="H97" s="14"/>
      <c r="I97" s="14"/>
      <c r="Q97" s="14"/>
      <c r="R97" s="14"/>
      <c r="S97" s="14"/>
      <c r="T97" s="14"/>
      <c r="U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</row>
    <row r="98" customFormat="false" ht="15" hidden="false" customHeight="false" outlineLevel="0" collapsed="false">
      <c r="A98" s="12" t="s">
        <v>89</v>
      </c>
      <c r="H98" s="14"/>
      <c r="I98" s="14"/>
      <c r="Q98" s="14"/>
      <c r="R98" s="14"/>
      <c r="S98" s="14"/>
      <c r="T98" s="14"/>
      <c r="U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</row>
    <row r="99" customFormat="false" ht="15" hidden="false" customHeight="false" outlineLevel="0" collapsed="false">
      <c r="A99" s="12"/>
      <c r="H99" s="14"/>
      <c r="I99" s="14"/>
      <c r="Q99" s="14"/>
      <c r="R99" s="14"/>
      <c r="S99" s="14"/>
      <c r="T99" s="14"/>
      <c r="U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</row>
    <row r="100" customFormat="false" ht="15" hidden="false" customHeight="false" outlineLevel="0" collapsed="false">
      <c r="A100" s="12" t="s">
        <v>74</v>
      </c>
      <c r="H100" s="14"/>
      <c r="I100" s="14"/>
      <c r="Q100" s="14"/>
      <c r="R100" s="14"/>
      <c r="S100" s="14"/>
      <c r="T100" s="14"/>
      <c r="U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</row>
    <row r="101" customFormat="false" ht="15" hidden="false" customHeight="false" outlineLevel="0" collapsed="false">
      <c r="A101" s="12"/>
      <c r="H101" s="14"/>
      <c r="I101" s="14"/>
      <c r="Q101" s="14"/>
      <c r="R101" s="14"/>
      <c r="S101" s="14"/>
      <c r="T101" s="14"/>
      <c r="U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</row>
    <row r="102" customFormat="false" ht="15" hidden="false" customHeight="false" outlineLevel="0" collapsed="false">
      <c r="A102" s="12" t="s">
        <v>89</v>
      </c>
      <c r="H102" s="14"/>
      <c r="I102" s="14"/>
      <c r="Q102" s="14"/>
      <c r="R102" s="14"/>
      <c r="S102" s="14"/>
      <c r="T102" s="14"/>
      <c r="U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</row>
    <row r="103" customFormat="false" ht="15" hidden="false" customHeight="false" outlineLevel="0" collapsed="false">
      <c r="A103" s="12"/>
      <c r="H103" s="14"/>
      <c r="I103" s="14"/>
      <c r="Q103" s="14"/>
      <c r="R103" s="14"/>
      <c r="S103" s="14"/>
      <c r="T103" s="14"/>
      <c r="U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</row>
    <row r="104" customFormat="false" ht="15" hidden="false" customHeight="false" outlineLevel="0" collapsed="false">
      <c r="A104" s="12" t="s">
        <v>74</v>
      </c>
      <c r="H104" s="14"/>
      <c r="I104" s="14"/>
      <c r="Q104" s="14"/>
      <c r="R104" s="14"/>
      <c r="S104" s="14"/>
      <c r="T104" s="14"/>
      <c r="U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</row>
    <row r="105" customFormat="false" ht="15" hidden="false" customHeight="false" outlineLevel="0" collapsed="false">
      <c r="A105" s="12"/>
      <c r="H105" s="14"/>
      <c r="I105" s="14"/>
      <c r="Q105" s="14"/>
      <c r="R105" s="14"/>
      <c r="S105" s="14"/>
      <c r="T105" s="14"/>
      <c r="U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</row>
    <row r="106" customFormat="false" ht="15" hidden="false" customHeight="false" outlineLevel="0" collapsed="false">
      <c r="A106" s="12" t="s">
        <v>89</v>
      </c>
      <c r="H106" s="14"/>
      <c r="I106" s="14"/>
      <c r="Q106" s="14"/>
      <c r="R106" s="14"/>
      <c r="S106" s="14"/>
      <c r="T106" s="14"/>
      <c r="U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</row>
    <row r="107" customFormat="false" ht="15" hidden="false" customHeight="false" outlineLevel="0" collapsed="false">
      <c r="A107" s="12"/>
      <c r="H107" s="14"/>
      <c r="I107" s="14"/>
      <c r="Q107" s="14"/>
      <c r="R107" s="14"/>
      <c r="S107" s="14"/>
      <c r="T107" s="14"/>
      <c r="U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</row>
    <row r="108" customFormat="false" ht="15" hidden="false" customHeight="false" outlineLevel="0" collapsed="false">
      <c r="A108" s="12" t="s">
        <v>74</v>
      </c>
      <c r="H108" s="14"/>
      <c r="I108" s="14"/>
      <c r="Q108" s="14"/>
      <c r="R108" s="14"/>
      <c r="S108" s="14"/>
      <c r="T108" s="14"/>
      <c r="U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</row>
    <row r="109" customFormat="false" ht="15" hidden="false" customHeight="false" outlineLevel="0" collapsed="false">
      <c r="A109" s="12"/>
      <c r="H109" s="14"/>
      <c r="I109" s="14"/>
      <c r="Q109" s="14"/>
      <c r="R109" s="14"/>
      <c r="S109" s="14"/>
      <c r="T109" s="14"/>
      <c r="U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</row>
    <row r="110" customFormat="false" ht="15" hidden="false" customHeight="false" outlineLevel="0" collapsed="false">
      <c r="A110" s="12" t="s">
        <v>89</v>
      </c>
      <c r="H110" s="14"/>
      <c r="I110" s="14"/>
      <c r="Q110" s="14"/>
      <c r="R110" s="14"/>
      <c r="S110" s="14"/>
      <c r="T110" s="14"/>
      <c r="U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</row>
    <row r="111" customFormat="false" ht="15" hidden="false" customHeight="false" outlineLevel="0" collapsed="false">
      <c r="A111" s="12"/>
      <c r="H111" s="14"/>
      <c r="I111" s="14"/>
      <c r="Q111" s="14"/>
      <c r="R111" s="14"/>
      <c r="S111" s="14"/>
      <c r="T111" s="14"/>
      <c r="U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</row>
    <row r="112" customFormat="false" ht="15" hidden="false" customHeight="false" outlineLevel="0" collapsed="false">
      <c r="A112" s="12" t="s">
        <v>74</v>
      </c>
      <c r="H112" s="14"/>
      <c r="I112" s="14"/>
      <c r="Q112" s="14"/>
      <c r="R112" s="14"/>
      <c r="S112" s="14"/>
      <c r="T112" s="14"/>
      <c r="U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</row>
    <row r="113" customFormat="false" ht="15" hidden="false" customHeight="false" outlineLevel="0" collapsed="false">
      <c r="A113" s="12"/>
      <c r="H113" s="14"/>
      <c r="I113" s="14"/>
      <c r="Q113" s="14"/>
      <c r="R113" s="14"/>
      <c r="S113" s="14"/>
      <c r="T113" s="14"/>
      <c r="U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</row>
    <row r="114" customFormat="false" ht="15" hidden="false" customHeight="false" outlineLevel="0" collapsed="false">
      <c r="A114" s="12" t="s">
        <v>89</v>
      </c>
      <c r="H114" s="14"/>
      <c r="I114" s="14"/>
      <c r="Q114" s="14"/>
      <c r="R114" s="14"/>
      <c r="S114" s="14"/>
      <c r="T114" s="14"/>
      <c r="U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</row>
    <row r="115" customFormat="false" ht="15" hidden="false" customHeight="false" outlineLevel="0" collapsed="false">
      <c r="A115" s="12"/>
      <c r="H115" s="14"/>
      <c r="I115" s="14"/>
      <c r="Q115" s="14"/>
      <c r="R115" s="14"/>
      <c r="S115" s="14"/>
      <c r="T115" s="14"/>
      <c r="U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</row>
    <row r="116" customFormat="false" ht="15" hidden="false" customHeight="false" outlineLevel="0" collapsed="false">
      <c r="A116" s="12" t="s">
        <v>74</v>
      </c>
      <c r="H116" s="14"/>
      <c r="I116" s="14"/>
      <c r="Q116" s="14"/>
      <c r="R116" s="14"/>
      <c r="S116" s="14"/>
      <c r="T116" s="14"/>
      <c r="U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</row>
    <row r="117" customFormat="false" ht="15" hidden="false" customHeight="false" outlineLevel="0" collapsed="false">
      <c r="A117" s="12"/>
      <c r="H117" s="14"/>
      <c r="I117" s="14"/>
      <c r="Q117" s="14"/>
      <c r="R117" s="14"/>
      <c r="S117" s="14"/>
      <c r="T117" s="14"/>
      <c r="U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</row>
    <row r="118" customFormat="false" ht="15" hidden="false" customHeight="false" outlineLevel="0" collapsed="false">
      <c r="A118" s="12" t="s">
        <v>89</v>
      </c>
      <c r="H118" s="14"/>
      <c r="I118" s="14"/>
      <c r="Q118" s="14"/>
      <c r="R118" s="14"/>
      <c r="S118" s="14"/>
      <c r="T118" s="14"/>
      <c r="U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</row>
    <row r="119" customFormat="false" ht="15" hidden="false" customHeight="false" outlineLevel="0" collapsed="false">
      <c r="A119" s="12"/>
      <c r="H119" s="14"/>
      <c r="I119" s="14"/>
      <c r="Q119" s="14"/>
      <c r="R119" s="14"/>
      <c r="S119" s="14"/>
      <c r="T119" s="14"/>
      <c r="U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</row>
    <row r="120" customFormat="false" ht="15" hidden="false" customHeight="false" outlineLevel="0" collapsed="false">
      <c r="A120" s="12" t="s">
        <v>74</v>
      </c>
      <c r="H120" s="14"/>
      <c r="I120" s="14"/>
      <c r="Q120" s="14"/>
      <c r="R120" s="14"/>
      <c r="S120" s="14"/>
      <c r="T120" s="14"/>
      <c r="U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</row>
    <row r="121" customFormat="false" ht="15" hidden="false" customHeight="false" outlineLevel="0" collapsed="false">
      <c r="A121" s="12"/>
      <c r="H121" s="14"/>
      <c r="I121" s="14"/>
      <c r="Q121" s="14"/>
      <c r="R121" s="14"/>
      <c r="S121" s="14"/>
      <c r="T121" s="14"/>
      <c r="U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</row>
    <row r="122" customFormat="false" ht="15" hidden="false" customHeight="false" outlineLevel="0" collapsed="false">
      <c r="A122" s="12" t="s">
        <v>89</v>
      </c>
      <c r="H122" s="14"/>
      <c r="I122" s="14"/>
      <c r="Q122" s="14"/>
      <c r="R122" s="14"/>
      <c r="S122" s="14"/>
      <c r="T122" s="14"/>
      <c r="U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</row>
    <row r="123" customFormat="false" ht="15" hidden="false" customHeight="false" outlineLevel="0" collapsed="false">
      <c r="A123" s="12"/>
      <c r="H123" s="14"/>
      <c r="I123" s="14"/>
      <c r="Q123" s="14"/>
      <c r="R123" s="14"/>
      <c r="S123" s="14"/>
      <c r="T123" s="14"/>
      <c r="U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</row>
    <row r="124" customFormat="false" ht="15" hidden="false" customHeight="false" outlineLevel="0" collapsed="false">
      <c r="A124" s="12" t="s">
        <v>74</v>
      </c>
      <c r="H124" s="14"/>
      <c r="I124" s="14"/>
      <c r="Q124" s="14"/>
      <c r="R124" s="14"/>
      <c r="S124" s="14"/>
      <c r="T124" s="14"/>
      <c r="U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</row>
    <row r="125" customFormat="false" ht="15" hidden="false" customHeight="false" outlineLevel="0" collapsed="false">
      <c r="A125" s="12"/>
      <c r="H125" s="14"/>
      <c r="I125" s="14"/>
      <c r="Q125" s="14"/>
      <c r="R125" s="14"/>
      <c r="S125" s="14"/>
      <c r="T125" s="14"/>
      <c r="U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</row>
    <row r="126" customFormat="false" ht="15" hidden="false" customHeight="false" outlineLevel="0" collapsed="false">
      <c r="A126" s="12" t="s">
        <v>89</v>
      </c>
      <c r="H126" s="14"/>
      <c r="I126" s="14"/>
      <c r="Q126" s="14"/>
      <c r="R126" s="14"/>
      <c r="S126" s="14"/>
      <c r="T126" s="14"/>
      <c r="U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</row>
    <row r="127" customFormat="false" ht="15" hidden="false" customHeight="false" outlineLevel="0" collapsed="false">
      <c r="A127" s="12"/>
      <c r="H127" s="14"/>
      <c r="I127" s="14"/>
      <c r="Q127" s="14"/>
      <c r="R127" s="14"/>
      <c r="S127" s="14"/>
      <c r="T127" s="14"/>
      <c r="U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</row>
    <row r="128" customFormat="false" ht="15" hidden="false" customHeight="false" outlineLevel="0" collapsed="false">
      <c r="A128" s="12" t="s">
        <v>74</v>
      </c>
      <c r="H128" s="14"/>
      <c r="I128" s="14"/>
      <c r="Q128" s="14"/>
      <c r="R128" s="14"/>
      <c r="S128" s="14"/>
      <c r="T128" s="14"/>
      <c r="U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</row>
    <row r="129" customFormat="false" ht="15" hidden="false" customHeight="false" outlineLevel="0" collapsed="false">
      <c r="A129" s="12"/>
      <c r="H129" s="14"/>
      <c r="I129" s="14"/>
      <c r="Q129" s="14"/>
      <c r="R129" s="14"/>
      <c r="S129" s="14"/>
      <c r="T129" s="14"/>
      <c r="U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</row>
    <row r="130" customFormat="false" ht="15" hidden="false" customHeight="false" outlineLevel="0" collapsed="false">
      <c r="A130" s="12" t="s">
        <v>89</v>
      </c>
      <c r="H130" s="14"/>
      <c r="I130" s="14"/>
      <c r="Q130" s="14"/>
      <c r="R130" s="14"/>
      <c r="S130" s="14"/>
      <c r="T130" s="14"/>
      <c r="U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</row>
    <row r="131" customFormat="false" ht="15" hidden="false" customHeight="false" outlineLevel="0" collapsed="false">
      <c r="A131" s="12"/>
      <c r="H131" s="14"/>
      <c r="I131" s="14"/>
      <c r="Q131" s="14"/>
      <c r="R131" s="14"/>
      <c r="S131" s="14"/>
      <c r="T131" s="14"/>
      <c r="U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</row>
    <row r="132" customFormat="false" ht="15" hidden="false" customHeight="false" outlineLevel="0" collapsed="false">
      <c r="A132" s="12" t="s">
        <v>74</v>
      </c>
      <c r="H132" s="14"/>
      <c r="I132" s="14"/>
      <c r="Q132" s="14"/>
      <c r="R132" s="14"/>
      <c r="S132" s="14"/>
      <c r="T132" s="14"/>
      <c r="U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</row>
    <row r="133" customFormat="false" ht="15" hidden="false" customHeight="false" outlineLevel="0" collapsed="false">
      <c r="A133" s="12"/>
      <c r="H133" s="14"/>
      <c r="I133" s="14"/>
      <c r="Q133" s="14"/>
      <c r="R133" s="14"/>
      <c r="S133" s="14"/>
      <c r="T133" s="14"/>
      <c r="U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</row>
    <row r="134" customFormat="false" ht="15" hidden="false" customHeight="false" outlineLevel="0" collapsed="false">
      <c r="A134" s="12" t="s">
        <v>89</v>
      </c>
      <c r="H134" s="14"/>
      <c r="I134" s="14"/>
      <c r="Q134" s="14"/>
      <c r="R134" s="14"/>
      <c r="S134" s="14"/>
      <c r="T134" s="14"/>
      <c r="U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</row>
    <row r="135" customFormat="false" ht="15" hidden="false" customHeight="false" outlineLevel="0" collapsed="false">
      <c r="A135" s="12"/>
      <c r="H135" s="14"/>
      <c r="I135" s="14"/>
      <c r="Q135" s="14"/>
      <c r="R135" s="14"/>
      <c r="S135" s="14"/>
      <c r="T135" s="14"/>
      <c r="U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</row>
    <row r="136" customFormat="false" ht="15" hidden="false" customHeight="false" outlineLevel="0" collapsed="false">
      <c r="A136" s="12" t="s">
        <v>74</v>
      </c>
      <c r="H136" s="14"/>
      <c r="I136" s="14"/>
      <c r="Q136" s="14"/>
      <c r="R136" s="14"/>
      <c r="S136" s="14"/>
      <c r="T136" s="14"/>
      <c r="U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</row>
    <row r="137" customFormat="false" ht="15" hidden="false" customHeight="false" outlineLevel="0" collapsed="false">
      <c r="A137" s="12"/>
      <c r="H137" s="14"/>
      <c r="I137" s="14"/>
      <c r="Q137" s="14"/>
      <c r="R137" s="14"/>
      <c r="S137" s="14"/>
      <c r="T137" s="14"/>
      <c r="U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</row>
    <row r="138" customFormat="false" ht="15" hidden="false" customHeight="false" outlineLevel="0" collapsed="false">
      <c r="A138" s="12" t="s">
        <v>89</v>
      </c>
      <c r="H138" s="14"/>
      <c r="I138" s="14"/>
      <c r="Q138" s="14"/>
      <c r="R138" s="14"/>
      <c r="S138" s="14"/>
      <c r="T138" s="14"/>
      <c r="U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</row>
    <row r="139" customFormat="false" ht="15" hidden="false" customHeight="false" outlineLevel="0" collapsed="false">
      <c r="A139" s="12"/>
      <c r="H139" s="14"/>
      <c r="I139" s="14"/>
      <c r="Q139" s="14"/>
      <c r="R139" s="14"/>
      <c r="S139" s="14"/>
      <c r="T139" s="14"/>
      <c r="U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</row>
    <row r="140" customFormat="false" ht="15" hidden="false" customHeight="false" outlineLevel="0" collapsed="false">
      <c r="A140" s="12" t="s">
        <v>74</v>
      </c>
      <c r="H140" s="14"/>
      <c r="I140" s="14"/>
      <c r="Q140" s="14"/>
      <c r="R140" s="14"/>
      <c r="S140" s="14"/>
      <c r="T140" s="14"/>
      <c r="U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</row>
    <row r="141" customFormat="false" ht="15" hidden="false" customHeight="false" outlineLevel="0" collapsed="false">
      <c r="A141" s="12"/>
      <c r="H141" s="14"/>
      <c r="I141" s="14"/>
      <c r="Q141" s="14"/>
      <c r="R141" s="14"/>
      <c r="S141" s="14"/>
      <c r="T141" s="14"/>
      <c r="U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</row>
    <row r="142" customFormat="false" ht="15" hidden="false" customHeight="false" outlineLevel="0" collapsed="false">
      <c r="A142" s="12" t="s">
        <v>89</v>
      </c>
      <c r="H142" s="14"/>
      <c r="I142" s="14"/>
      <c r="Q142" s="14"/>
      <c r="R142" s="14"/>
      <c r="S142" s="14"/>
      <c r="T142" s="14"/>
      <c r="U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</row>
    <row r="143" customFormat="false" ht="15" hidden="false" customHeight="false" outlineLevel="0" collapsed="false">
      <c r="A143" s="12"/>
      <c r="H143" s="14"/>
      <c r="I143" s="14"/>
      <c r="Q143" s="14"/>
      <c r="R143" s="14"/>
      <c r="S143" s="14"/>
      <c r="T143" s="14"/>
      <c r="U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</row>
    <row r="144" customFormat="false" ht="15" hidden="false" customHeight="false" outlineLevel="0" collapsed="false">
      <c r="A144" s="12" t="s">
        <v>74</v>
      </c>
      <c r="H144" s="14"/>
      <c r="I144" s="14"/>
      <c r="Q144" s="14"/>
      <c r="R144" s="14"/>
      <c r="S144" s="14"/>
      <c r="T144" s="14"/>
      <c r="U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</row>
    <row r="145" customFormat="false" ht="15" hidden="false" customHeight="false" outlineLevel="0" collapsed="false">
      <c r="A145" s="12"/>
      <c r="H145" s="14"/>
      <c r="I145" s="14"/>
      <c r="Q145" s="14"/>
      <c r="R145" s="14"/>
      <c r="S145" s="14"/>
      <c r="T145" s="14"/>
      <c r="U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</row>
    <row r="146" customFormat="false" ht="15" hidden="false" customHeight="false" outlineLevel="0" collapsed="false">
      <c r="A146" s="12" t="s">
        <v>89</v>
      </c>
      <c r="H146" s="14"/>
      <c r="I146" s="14"/>
      <c r="Q146" s="14"/>
      <c r="R146" s="14"/>
      <c r="S146" s="14"/>
      <c r="T146" s="14"/>
      <c r="U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</row>
    <row r="147" customFormat="false" ht="15" hidden="false" customHeight="false" outlineLevel="0" collapsed="false">
      <c r="A147" s="12"/>
      <c r="H147" s="14"/>
      <c r="I147" s="14"/>
      <c r="Q147" s="14"/>
      <c r="R147" s="14"/>
      <c r="S147" s="14"/>
      <c r="T147" s="14"/>
      <c r="U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</row>
    <row r="148" customFormat="false" ht="15" hidden="false" customHeight="false" outlineLevel="0" collapsed="false">
      <c r="A148" s="12" t="s">
        <v>74</v>
      </c>
      <c r="H148" s="14"/>
      <c r="I148" s="14"/>
      <c r="Q148" s="14"/>
      <c r="R148" s="14"/>
      <c r="S148" s="14"/>
      <c r="T148" s="14"/>
      <c r="U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</row>
    <row r="149" customFormat="false" ht="15" hidden="false" customHeight="false" outlineLevel="0" collapsed="false">
      <c r="A149" s="12"/>
      <c r="H149" s="14"/>
      <c r="I149" s="14"/>
      <c r="Q149" s="14"/>
      <c r="R149" s="14"/>
      <c r="S149" s="14"/>
      <c r="T149" s="14"/>
      <c r="U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</row>
    <row r="150" customFormat="false" ht="15" hidden="false" customHeight="false" outlineLevel="0" collapsed="false">
      <c r="A150" s="12" t="s">
        <v>89</v>
      </c>
      <c r="H150" s="14"/>
      <c r="I150" s="14"/>
      <c r="Q150" s="14"/>
      <c r="R150" s="14"/>
      <c r="S150" s="14"/>
      <c r="T150" s="14"/>
      <c r="U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</row>
    <row r="151" customFormat="false" ht="15" hidden="false" customHeight="false" outlineLevel="0" collapsed="false">
      <c r="A151" s="12"/>
      <c r="H151" s="14"/>
      <c r="I151" s="14"/>
      <c r="Q151" s="14"/>
      <c r="R151" s="14"/>
      <c r="S151" s="14"/>
      <c r="T151" s="14"/>
      <c r="U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</row>
    <row r="152" customFormat="false" ht="15" hidden="false" customHeight="false" outlineLevel="0" collapsed="false">
      <c r="A152" s="12" t="s">
        <v>74</v>
      </c>
      <c r="H152" s="14"/>
      <c r="I152" s="14"/>
      <c r="Q152" s="14"/>
      <c r="R152" s="14"/>
      <c r="S152" s="14"/>
      <c r="T152" s="14"/>
      <c r="U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</row>
    <row r="153" customFormat="false" ht="15" hidden="false" customHeight="false" outlineLevel="0" collapsed="false">
      <c r="A153" s="12"/>
      <c r="H153" s="14"/>
      <c r="I153" s="14"/>
      <c r="Q153" s="14"/>
      <c r="R153" s="14"/>
      <c r="S153" s="14"/>
      <c r="T153" s="14"/>
      <c r="U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</row>
    <row r="154" customFormat="false" ht="15" hidden="false" customHeight="false" outlineLevel="0" collapsed="false">
      <c r="A154" s="12" t="s">
        <v>89</v>
      </c>
      <c r="H154" s="14"/>
      <c r="I154" s="14"/>
      <c r="Q154" s="14"/>
      <c r="R154" s="14"/>
      <c r="S154" s="14"/>
      <c r="T154" s="14"/>
      <c r="U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</row>
    <row r="155" customFormat="false" ht="15" hidden="false" customHeight="false" outlineLevel="0" collapsed="false">
      <c r="A155" s="12"/>
      <c r="H155" s="14"/>
      <c r="I155" s="14"/>
      <c r="Q155" s="14"/>
      <c r="R155" s="14"/>
      <c r="S155" s="14"/>
      <c r="T155" s="14"/>
      <c r="U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</row>
    <row r="156" customFormat="false" ht="15" hidden="false" customHeight="false" outlineLevel="0" collapsed="false">
      <c r="A156" s="12" t="s">
        <v>74</v>
      </c>
      <c r="H156" s="14"/>
      <c r="I156" s="14"/>
      <c r="Q156" s="14"/>
      <c r="R156" s="14"/>
      <c r="S156" s="14"/>
      <c r="T156" s="14"/>
      <c r="U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</row>
    <row r="157" customFormat="false" ht="15" hidden="false" customHeight="false" outlineLevel="0" collapsed="false">
      <c r="A157" s="12"/>
      <c r="H157" s="14"/>
      <c r="I157" s="14"/>
      <c r="Q157" s="14"/>
      <c r="R157" s="14"/>
      <c r="S157" s="14"/>
      <c r="T157" s="14"/>
      <c r="U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</row>
    <row r="158" customFormat="false" ht="15" hidden="false" customHeight="false" outlineLevel="0" collapsed="false">
      <c r="A158" s="12" t="s">
        <v>89</v>
      </c>
      <c r="H158" s="14"/>
      <c r="I158" s="14"/>
      <c r="Q158" s="14"/>
      <c r="R158" s="14"/>
      <c r="S158" s="14"/>
      <c r="T158" s="14"/>
      <c r="U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</row>
    <row r="159" customFormat="false" ht="15" hidden="false" customHeight="false" outlineLevel="0" collapsed="false">
      <c r="A159" s="12"/>
      <c r="H159" s="14"/>
      <c r="I159" s="14"/>
      <c r="Q159" s="14"/>
      <c r="R159" s="14"/>
      <c r="S159" s="14"/>
      <c r="T159" s="14"/>
      <c r="U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</row>
    <row r="160" customFormat="false" ht="15" hidden="false" customHeight="false" outlineLevel="0" collapsed="false">
      <c r="A160" s="12" t="s">
        <v>74</v>
      </c>
      <c r="H160" s="14"/>
      <c r="I160" s="14"/>
      <c r="Q160" s="14"/>
      <c r="R160" s="14"/>
      <c r="S160" s="14"/>
      <c r="T160" s="14"/>
      <c r="U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</row>
    <row r="161" customFormat="false" ht="15" hidden="false" customHeight="false" outlineLevel="0" collapsed="false">
      <c r="A161" s="12"/>
      <c r="H161" s="14"/>
      <c r="I161" s="14"/>
      <c r="Q161" s="14"/>
      <c r="R161" s="14"/>
      <c r="S161" s="14"/>
      <c r="T161" s="14"/>
      <c r="U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</row>
    <row r="162" customFormat="false" ht="15" hidden="false" customHeight="false" outlineLevel="0" collapsed="false">
      <c r="A162" s="12" t="s">
        <v>89</v>
      </c>
      <c r="H162" s="14"/>
      <c r="I162" s="14"/>
      <c r="Q162" s="14"/>
      <c r="R162" s="14"/>
      <c r="S162" s="14"/>
      <c r="T162" s="14"/>
      <c r="U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</row>
    <row r="163" customFormat="false" ht="15" hidden="false" customHeight="false" outlineLevel="0" collapsed="false">
      <c r="A163" s="12"/>
      <c r="H163" s="14"/>
      <c r="I163" s="14"/>
      <c r="Q163" s="14"/>
      <c r="R163" s="14"/>
      <c r="S163" s="14"/>
      <c r="T163" s="14"/>
      <c r="U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</row>
    <row r="164" customFormat="false" ht="15" hidden="false" customHeight="false" outlineLevel="0" collapsed="false">
      <c r="A164" s="12" t="s">
        <v>74</v>
      </c>
      <c r="H164" s="14"/>
      <c r="I164" s="14"/>
      <c r="Q164" s="14"/>
      <c r="R164" s="14"/>
      <c r="S164" s="14"/>
      <c r="T164" s="14"/>
      <c r="U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</row>
    <row r="165" customFormat="false" ht="15" hidden="false" customHeight="false" outlineLevel="0" collapsed="false">
      <c r="A165" s="12"/>
      <c r="H165" s="14"/>
      <c r="I165" s="14"/>
      <c r="Q165" s="14"/>
      <c r="R165" s="14"/>
      <c r="S165" s="14"/>
      <c r="T165" s="14"/>
      <c r="U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</row>
    <row r="166" customFormat="false" ht="15" hidden="false" customHeight="false" outlineLevel="0" collapsed="false">
      <c r="A166" s="12" t="s">
        <v>89</v>
      </c>
      <c r="H166" s="14"/>
      <c r="I166" s="14"/>
      <c r="Q166" s="14"/>
      <c r="R166" s="14"/>
      <c r="S166" s="14"/>
      <c r="T166" s="14"/>
      <c r="U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</row>
    <row r="167" customFormat="false" ht="15" hidden="false" customHeight="false" outlineLevel="0" collapsed="false">
      <c r="A167" s="12"/>
      <c r="H167" s="14"/>
      <c r="I167" s="14"/>
      <c r="Q167" s="14"/>
      <c r="R167" s="14"/>
      <c r="S167" s="14"/>
      <c r="T167" s="14"/>
      <c r="U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</row>
    <row r="168" customFormat="false" ht="15" hidden="false" customHeight="false" outlineLevel="0" collapsed="false">
      <c r="A168" s="12" t="s">
        <v>74</v>
      </c>
      <c r="H168" s="14"/>
      <c r="I168" s="14"/>
      <c r="Q168" s="14"/>
      <c r="R168" s="14"/>
      <c r="S168" s="14"/>
      <c r="T168" s="14"/>
      <c r="U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</row>
    <row r="169" customFormat="false" ht="15" hidden="false" customHeight="false" outlineLevel="0" collapsed="false">
      <c r="A169" s="12"/>
      <c r="H169" s="14"/>
      <c r="I169" s="14"/>
      <c r="Q169" s="14"/>
      <c r="R169" s="14"/>
      <c r="S169" s="14"/>
      <c r="T169" s="14"/>
      <c r="U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</row>
    <row r="170" customFormat="false" ht="15" hidden="false" customHeight="false" outlineLevel="0" collapsed="false">
      <c r="A170" s="12" t="s">
        <v>89</v>
      </c>
      <c r="H170" s="14"/>
      <c r="I170" s="14"/>
      <c r="Q170" s="14"/>
      <c r="R170" s="14"/>
      <c r="S170" s="14"/>
      <c r="T170" s="14"/>
      <c r="U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</row>
    <row r="171" customFormat="false" ht="15" hidden="false" customHeight="false" outlineLevel="0" collapsed="false">
      <c r="A171" s="12"/>
      <c r="H171" s="14"/>
      <c r="I171" s="14"/>
      <c r="Q171" s="14"/>
      <c r="R171" s="14"/>
      <c r="S171" s="14"/>
      <c r="T171" s="14"/>
      <c r="U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</row>
    <row r="172" customFormat="false" ht="15" hidden="false" customHeight="false" outlineLevel="0" collapsed="false">
      <c r="A172" s="12" t="s">
        <v>74</v>
      </c>
      <c r="H172" s="14"/>
      <c r="I172" s="14"/>
      <c r="Q172" s="14"/>
      <c r="R172" s="14"/>
      <c r="S172" s="14"/>
      <c r="T172" s="14"/>
      <c r="U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</row>
    <row r="173" customFormat="false" ht="15" hidden="false" customHeight="false" outlineLevel="0" collapsed="false">
      <c r="A173" s="12"/>
      <c r="H173" s="14"/>
      <c r="I173" s="14"/>
      <c r="Q173" s="14"/>
      <c r="R173" s="14"/>
      <c r="S173" s="14"/>
      <c r="T173" s="14"/>
      <c r="U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</row>
    <row r="174" customFormat="false" ht="15" hidden="false" customHeight="false" outlineLevel="0" collapsed="false">
      <c r="A174" s="12" t="s">
        <v>89</v>
      </c>
      <c r="H174" s="14"/>
      <c r="I174" s="14"/>
      <c r="Q174" s="14"/>
      <c r="R174" s="14"/>
      <c r="S174" s="14"/>
      <c r="T174" s="14"/>
      <c r="U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</row>
    <row r="175" customFormat="false" ht="15" hidden="false" customHeight="false" outlineLevel="0" collapsed="false">
      <c r="A175" s="12"/>
      <c r="H175" s="14"/>
      <c r="I175" s="14"/>
      <c r="Q175" s="14"/>
      <c r="R175" s="14"/>
      <c r="S175" s="14"/>
      <c r="T175" s="14"/>
      <c r="U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</row>
    <row r="176" customFormat="false" ht="15" hidden="false" customHeight="false" outlineLevel="0" collapsed="false">
      <c r="A176" s="12" t="s">
        <v>74</v>
      </c>
      <c r="H176" s="14"/>
      <c r="I176" s="14"/>
      <c r="Q176" s="14"/>
      <c r="R176" s="14"/>
      <c r="S176" s="14"/>
      <c r="T176" s="14"/>
      <c r="U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</row>
    <row r="177" customFormat="false" ht="15" hidden="false" customHeight="false" outlineLevel="0" collapsed="false">
      <c r="A177" s="12"/>
      <c r="H177" s="14"/>
      <c r="I177" s="14"/>
      <c r="Q177" s="14"/>
      <c r="R177" s="14"/>
      <c r="S177" s="14"/>
      <c r="T177" s="14"/>
      <c r="U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</row>
    <row r="178" customFormat="false" ht="15" hidden="false" customHeight="false" outlineLevel="0" collapsed="false">
      <c r="A178" s="12" t="s">
        <v>89</v>
      </c>
      <c r="H178" s="14"/>
      <c r="I178" s="14"/>
      <c r="Q178" s="14"/>
      <c r="R178" s="14"/>
      <c r="S178" s="14"/>
      <c r="T178" s="14"/>
      <c r="U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</row>
    <row r="179" customFormat="false" ht="15" hidden="false" customHeight="false" outlineLevel="0" collapsed="false">
      <c r="A179" s="12"/>
      <c r="H179" s="14"/>
      <c r="I179" s="14"/>
      <c r="Q179" s="14"/>
      <c r="R179" s="14"/>
      <c r="S179" s="14"/>
      <c r="T179" s="14"/>
      <c r="U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</row>
    <row r="180" customFormat="false" ht="15" hidden="false" customHeight="false" outlineLevel="0" collapsed="false">
      <c r="A180" s="12" t="s">
        <v>74</v>
      </c>
      <c r="H180" s="14"/>
      <c r="I180" s="14"/>
      <c r="Q180" s="14"/>
      <c r="R180" s="14"/>
      <c r="S180" s="14"/>
      <c r="T180" s="14"/>
      <c r="U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</row>
    <row r="181" customFormat="false" ht="15" hidden="false" customHeight="false" outlineLevel="0" collapsed="false">
      <c r="A181" s="12"/>
      <c r="H181" s="14"/>
      <c r="I181" s="14"/>
      <c r="Q181" s="14"/>
      <c r="R181" s="14"/>
      <c r="S181" s="14"/>
      <c r="T181" s="14"/>
      <c r="U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</row>
    <row r="182" customFormat="false" ht="15" hidden="false" customHeight="false" outlineLevel="0" collapsed="false">
      <c r="A182" s="12" t="s">
        <v>89</v>
      </c>
      <c r="H182" s="14"/>
      <c r="I182" s="14"/>
      <c r="Q182" s="14"/>
      <c r="R182" s="14"/>
      <c r="S182" s="14"/>
      <c r="T182" s="14"/>
      <c r="U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</row>
    <row r="183" customFormat="false" ht="15" hidden="false" customHeight="false" outlineLevel="0" collapsed="false">
      <c r="A183" s="12"/>
      <c r="H183" s="14"/>
      <c r="I183" s="14"/>
      <c r="Q183" s="14"/>
      <c r="R183" s="14"/>
      <c r="S183" s="14"/>
      <c r="T183" s="14"/>
      <c r="U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</row>
    <row r="184" customFormat="false" ht="15" hidden="false" customHeight="false" outlineLevel="0" collapsed="false">
      <c r="A184" s="12" t="s">
        <v>74</v>
      </c>
      <c r="H184" s="14"/>
      <c r="I184" s="14"/>
      <c r="Q184" s="14"/>
      <c r="R184" s="14"/>
      <c r="S184" s="14"/>
      <c r="T184" s="14"/>
      <c r="U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</row>
    <row r="185" customFormat="false" ht="15" hidden="false" customHeight="false" outlineLevel="0" collapsed="false">
      <c r="A185" s="12"/>
      <c r="H185" s="14"/>
      <c r="I185" s="14"/>
      <c r="Q185" s="14"/>
      <c r="R185" s="14"/>
      <c r="S185" s="14"/>
      <c r="T185" s="14"/>
      <c r="U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</row>
    <row r="186" customFormat="false" ht="15" hidden="false" customHeight="false" outlineLevel="0" collapsed="false">
      <c r="A186" s="12" t="s">
        <v>89</v>
      </c>
      <c r="H186" s="14"/>
      <c r="I186" s="14"/>
      <c r="Q186" s="14"/>
      <c r="R186" s="14"/>
      <c r="S186" s="14"/>
      <c r="T186" s="14"/>
      <c r="U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</row>
    <row r="187" customFormat="false" ht="15" hidden="false" customHeight="false" outlineLevel="0" collapsed="false">
      <c r="A187" s="12"/>
      <c r="H187" s="14"/>
      <c r="I187" s="14"/>
      <c r="Q187" s="14"/>
      <c r="R187" s="14"/>
      <c r="S187" s="14"/>
      <c r="T187" s="14"/>
      <c r="U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</row>
    <row r="188" customFormat="false" ht="15" hidden="false" customHeight="false" outlineLevel="0" collapsed="false">
      <c r="A188" s="12" t="s">
        <v>74</v>
      </c>
      <c r="H188" s="14"/>
      <c r="I188" s="14"/>
      <c r="Q188" s="14"/>
      <c r="R188" s="14"/>
      <c r="S188" s="14"/>
      <c r="T188" s="14"/>
      <c r="U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</row>
    <row r="189" customFormat="false" ht="15" hidden="false" customHeight="false" outlineLevel="0" collapsed="false">
      <c r="A189" s="12"/>
      <c r="H189" s="14"/>
      <c r="I189" s="14"/>
      <c r="Q189" s="14"/>
      <c r="R189" s="14"/>
      <c r="S189" s="14"/>
      <c r="T189" s="14"/>
      <c r="U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</row>
    <row r="190" customFormat="false" ht="15" hidden="false" customHeight="false" outlineLevel="0" collapsed="false">
      <c r="A190" s="12" t="s">
        <v>89</v>
      </c>
      <c r="H190" s="14"/>
      <c r="I190" s="14"/>
      <c r="Q190" s="14"/>
      <c r="R190" s="14"/>
      <c r="S190" s="14"/>
      <c r="T190" s="14"/>
      <c r="U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</row>
    <row r="191" customFormat="false" ht="15" hidden="false" customHeight="false" outlineLevel="0" collapsed="false">
      <c r="A191" s="12"/>
      <c r="H191" s="14"/>
      <c r="I191" s="14"/>
      <c r="Q191" s="14"/>
      <c r="R191" s="14"/>
      <c r="S191" s="14"/>
      <c r="T191" s="14"/>
      <c r="U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</row>
    <row r="192" customFormat="false" ht="15" hidden="false" customHeight="false" outlineLevel="0" collapsed="false">
      <c r="A192" s="12" t="s">
        <v>74</v>
      </c>
      <c r="H192" s="14"/>
      <c r="I192" s="14"/>
      <c r="Q192" s="14"/>
      <c r="R192" s="14"/>
      <c r="S192" s="14"/>
      <c r="T192" s="14"/>
      <c r="U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</row>
    <row r="193" customFormat="false" ht="15" hidden="false" customHeight="false" outlineLevel="0" collapsed="false">
      <c r="A193" s="12"/>
      <c r="H193" s="14"/>
      <c r="I193" s="14"/>
      <c r="Q193" s="14"/>
      <c r="R193" s="14"/>
      <c r="S193" s="14"/>
      <c r="T193" s="14"/>
      <c r="U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</row>
    <row r="194" customFormat="false" ht="15" hidden="false" customHeight="false" outlineLevel="0" collapsed="false">
      <c r="A194" s="12" t="s">
        <v>89</v>
      </c>
      <c r="H194" s="14"/>
      <c r="I194" s="14"/>
      <c r="Q194" s="14"/>
      <c r="R194" s="14"/>
      <c r="S194" s="14"/>
      <c r="T194" s="14"/>
      <c r="U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</row>
    <row r="195" customFormat="false" ht="15" hidden="false" customHeight="false" outlineLevel="0" collapsed="false">
      <c r="A195" s="12"/>
      <c r="H195" s="14"/>
      <c r="I195" s="14"/>
      <c r="Q195" s="14"/>
      <c r="R195" s="14"/>
      <c r="S195" s="14"/>
      <c r="T195" s="14"/>
      <c r="U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</row>
    <row r="196" customFormat="false" ht="15" hidden="false" customHeight="false" outlineLevel="0" collapsed="false">
      <c r="A196" s="12" t="s">
        <v>74</v>
      </c>
      <c r="H196" s="14"/>
      <c r="I196" s="14"/>
      <c r="Q196" s="14"/>
      <c r="R196" s="14"/>
      <c r="S196" s="14"/>
      <c r="T196" s="14"/>
      <c r="U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</row>
    <row r="197" customFormat="false" ht="15" hidden="false" customHeight="false" outlineLevel="0" collapsed="false">
      <c r="A197" s="12"/>
      <c r="H197" s="14"/>
      <c r="I197" s="14"/>
      <c r="Q197" s="14"/>
      <c r="R197" s="14"/>
      <c r="S197" s="14"/>
      <c r="T197" s="14"/>
      <c r="U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</row>
    <row r="198" customFormat="false" ht="15" hidden="false" customHeight="false" outlineLevel="0" collapsed="false">
      <c r="A198" s="12" t="s">
        <v>89</v>
      </c>
      <c r="H198" s="14"/>
      <c r="I198" s="14"/>
      <c r="Q198" s="14"/>
      <c r="R198" s="14"/>
      <c r="S198" s="14"/>
      <c r="T198" s="14"/>
      <c r="U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</row>
    <row r="199" customFormat="false" ht="15" hidden="false" customHeight="false" outlineLevel="0" collapsed="false">
      <c r="A199" s="12"/>
      <c r="H199" s="14"/>
      <c r="I199" s="14"/>
      <c r="Q199" s="14"/>
      <c r="R199" s="14"/>
      <c r="S199" s="14"/>
      <c r="T199" s="14"/>
      <c r="U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</row>
    <row r="200" customFormat="false" ht="15" hidden="false" customHeight="false" outlineLevel="0" collapsed="false">
      <c r="A200" s="12" t="s">
        <v>74</v>
      </c>
      <c r="H200" s="14"/>
      <c r="I200" s="14"/>
      <c r="Q200" s="14"/>
      <c r="R200" s="14"/>
      <c r="S200" s="14"/>
      <c r="T200" s="14"/>
      <c r="U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</row>
    <row r="201" customFormat="false" ht="15" hidden="false" customHeight="false" outlineLevel="0" collapsed="false">
      <c r="A201" s="12"/>
      <c r="H201" s="14"/>
      <c r="I201" s="14"/>
      <c r="Q201" s="14"/>
      <c r="R201" s="14"/>
      <c r="S201" s="14"/>
      <c r="T201" s="14"/>
      <c r="U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</row>
    <row r="202" customFormat="false" ht="15" hidden="false" customHeight="false" outlineLevel="0" collapsed="false">
      <c r="A202" s="12" t="s">
        <v>89</v>
      </c>
      <c r="H202" s="14"/>
      <c r="I202" s="14"/>
      <c r="Q202" s="14"/>
      <c r="R202" s="14"/>
      <c r="S202" s="14"/>
      <c r="T202" s="14"/>
      <c r="U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</row>
    <row r="203" customFormat="false" ht="15" hidden="false" customHeight="false" outlineLevel="0" collapsed="false">
      <c r="A203" s="12"/>
      <c r="H203" s="14"/>
      <c r="I203" s="14"/>
      <c r="Q203" s="14"/>
      <c r="R203" s="14"/>
      <c r="S203" s="14"/>
      <c r="T203" s="14"/>
      <c r="U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</row>
    <row r="204" customFormat="false" ht="15" hidden="false" customHeight="false" outlineLevel="0" collapsed="false">
      <c r="A204" s="12" t="s">
        <v>74</v>
      </c>
      <c r="H204" s="14"/>
      <c r="I204" s="14"/>
      <c r="Q204" s="14"/>
      <c r="R204" s="14"/>
      <c r="S204" s="14"/>
      <c r="T204" s="14"/>
      <c r="U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</row>
    <row r="205" customFormat="false" ht="15" hidden="false" customHeight="false" outlineLevel="0" collapsed="false">
      <c r="A205" s="12"/>
      <c r="H205" s="14"/>
      <c r="I205" s="14"/>
      <c r="Q205" s="14"/>
      <c r="R205" s="14"/>
      <c r="S205" s="14"/>
      <c r="T205" s="14"/>
      <c r="U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</row>
    <row r="206" customFormat="false" ht="15" hidden="false" customHeight="false" outlineLevel="0" collapsed="false">
      <c r="A206" s="12" t="s">
        <v>89</v>
      </c>
      <c r="H206" s="14"/>
      <c r="I206" s="14"/>
      <c r="Q206" s="14"/>
      <c r="R206" s="14"/>
      <c r="S206" s="14"/>
      <c r="T206" s="14"/>
      <c r="U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</row>
    <row r="207" customFormat="false" ht="15" hidden="false" customHeight="false" outlineLevel="0" collapsed="false">
      <c r="A207" s="12"/>
      <c r="H207" s="14"/>
      <c r="I207" s="14"/>
      <c r="Q207" s="14"/>
      <c r="R207" s="14"/>
      <c r="S207" s="14"/>
      <c r="T207" s="14"/>
      <c r="U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</row>
    <row r="208" customFormat="false" ht="15" hidden="false" customHeight="false" outlineLevel="0" collapsed="false">
      <c r="A208" s="12" t="s">
        <v>74</v>
      </c>
      <c r="H208" s="14"/>
      <c r="I208" s="14"/>
      <c r="Q208" s="14"/>
      <c r="R208" s="14"/>
      <c r="S208" s="14"/>
      <c r="T208" s="14"/>
      <c r="U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</row>
    <row r="209" customFormat="false" ht="15" hidden="false" customHeight="false" outlineLevel="0" collapsed="false">
      <c r="A209" s="12"/>
      <c r="H209" s="14"/>
      <c r="I209" s="14"/>
      <c r="Q209" s="14"/>
      <c r="R209" s="14"/>
      <c r="S209" s="14"/>
      <c r="T209" s="14"/>
      <c r="U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</row>
    <row r="210" customFormat="false" ht="15" hidden="false" customHeight="false" outlineLevel="0" collapsed="false">
      <c r="A210" s="12" t="s">
        <v>89</v>
      </c>
      <c r="H210" s="14"/>
      <c r="I210" s="14"/>
      <c r="Q210" s="14"/>
      <c r="R210" s="14"/>
      <c r="S210" s="14"/>
      <c r="T210" s="14"/>
      <c r="U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</row>
    <row r="211" customFormat="false" ht="15" hidden="false" customHeight="false" outlineLevel="0" collapsed="false">
      <c r="A211" s="12"/>
      <c r="H211" s="14"/>
      <c r="I211" s="14"/>
      <c r="Q211" s="14"/>
      <c r="R211" s="14"/>
      <c r="S211" s="14"/>
      <c r="T211" s="14"/>
      <c r="U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</row>
    <row r="212" customFormat="false" ht="15" hidden="false" customHeight="false" outlineLevel="0" collapsed="false">
      <c r="A212" s="12" t="s">
        <v>74</v>
      </c>
      <c r="H212" s="14"/>
      <c r="I212" s="14"/>
      <c r="Q212" s="14"/>
      <c r="R212" s="14"/>
      <c r="S212" s="14"/>
      <c r="T212" s="14"/>
      <c r="U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</row>
    <row r="213" customFormat="false" ht="15" hidden="false" customHeight="false" outlineLevel="0" collapsed="false">
      <c r="A213" s="12"/>
      <c r="H213" s="14"/>
      <c r="I213" s="14"/>
      <c r="Q213" s="14"/>
      <c r="R213" s="14"/>
      <c r="S213" s="14"/>
      <c r="T213" s="14"/>
      <c r="U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</row>
    <row r="214" customFormat="false" ht="15" hidden="false" customHeight="false" outlineLevel="0" collapsed="false">
      <c r="A214" s="12" t="s">
        <v>89</v>
      </c>
      <c r="H214" s="14"/>
      <c r="I214" s="14"/>
      <c r="Q214" s="14"/>
      <c r="R214" s="14"/>
      <c r="S214" s="14"/>
      <c r="T214" s="14"/>
      <c r="U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</row>
    <row r="215" customFormat="false" ht="15" hidden="false" customHeight="false" outlineLevel="0" collapsed="false">
      <c r="A215" s="12"/>
      <c r="H215" s="14"/>
      <c r="I215" s="14"/>
      <c r="Q215" s="14"/>
      <c r="R215" s="14"/>
      <c r="S215" s="14"/>
      <c r="T215" s="14"/>
      <c r="U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</row>
    <row r="216" customFormat="false" ht="15" hidden="false" customHeight="false" outlineLevel="0" collapsed="false">
      <c r="A216" s="12" t="s">
        <v>74</v>
      </c>
      <c r="H216" s="14"/>
      <c r="I216" s="14"/>
      <c r="Q216" s="14"/>
      <c r="R216" s="14"/>
      <c r="S216" s="14"/>
      <c r="T216" s="14"/>
      <c r="U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</row>
    <row r="217" customFormat="false" ht="15" hidden="false" customHeight="false" outlineLevel="0" collapsed="false">
      <c r="A217" s="12"/>
      <c r="H217" s="14"/>
      <c r="I217" s="14"/>
      <c r="Q217" s="14"/>
      <c r="R217" s="14"/>
      <c r="S217" s="14"/>
      <c r="T217" s="14"/>
      <c r="U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</row>
    <row r="218" customFormat="false" ht="15" hidden="false" customHeight="false" outlineLevel="0" collapsed="false">
      <c r="A218" s="12" t="s">
        <v>89</v>
      </c>
      <c r="H218" s="14"/>
      <c r="I218" s="14"/>
      <c r="Q218" s="14"/>
      <c r="R218" s="14"/>
      <c r="S218" s="14"/>
      <c r="T218" s="14"/>
      <c r="U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</row>
    <row r="219" customFormat="false" ht="15" hidden="false" customHeight="false" outlineLevel="0" collapsed="false">
      <c r="A219" s="12"/>
      <c r="H219" s="14"/>
      <c r="I219" s="14"/>
      <c r="Q219" s="14"/>
      <c r="R219" s="14"/>
      <c r="S219" s="14"/>
      <c r="T219" s="14"/>
      <c r="U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</row>
    <row r="220" customFormat="false" ht="15" hidden="false" customHeight="false" outlineLevel="0" collapsed="false">
      <c r="A220" s="12" t="s">
        <v>74</v>
      </c>
      <c r="H220" s="14"/>
      <c r="I220" s="14"/>
      <c r="Q220" s="14"/>
      <c r="R220" s="14"/>
      <c r="S220" s="14"/>
      <c r="T220" s="14"/>
      <c r="U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</row>
    <row r="221" customFormat="false" ht="15" hidden="false" customHeight="false" outlineLevel="0" collapsed="false">
      <c r="A221" s="12"/>
      <c r="H221" s="14"/>
      <c r="I221" s="14"/>
      <c r="Q221" s="14"/>
      <c r="R221" s="14"/>
      <c r="S221" s="14"/>
      <c r="T221" s="14"/>
      <c r="U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</row>
    <row r="222" customFormat="false" ht="15" hidden="false" customHeight="false" outlineLevel="0" collapsed="false">
      <c r="A222" s="12" t="s">
        <v>89</v>
      </c>
      <c r="H222" s="14"/>
      <c r="I222" s="14"/>
      <c r="Q222" s="14"/>
      <c r="R222" s="14"/>
      <c r="S222" s="14"/>
      <c r="T222" s="14"/>
      <c r="U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</row>
    <row r="223" customFormat="false" ht="15" hidden="false" customHeight="false" outlineLevel="0" collapsed="false">
      <c r="A223" s="12"/>
      <c r="H223" s="14"/>
      <c r="I223" s="14"/>
      <c r="Q223" s="14"/>
      <c r="R223" s="14"/>
      <c r="S223" s="14"/>
      <c r="T223" s="14"/>
      <c r="U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</row>
    <row r="224" customFormat="false" ht="15" hidden="false" customHeight="false" outlineLevel="0" collapsed="false">
      <c r="A224" s="12" t="s">
        <v>74</v>
      </c>
      <c r="H224" s="14"/>
      <c r="I224" s="14"/>
      <c r="Q224" s="14"/>
      <c r="R224" s="14"/>
      <c r="S224" s="14"/>
      <c r="T224" s="14"/>
      <c r="U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</row>
    <row r="225" customFormat="false" ht="15" hidden="false" customHeight="false" outlineLevel="0" collapsed="false">
      <c r="A225" s="12"/>
      <c r="H225" s="14"/>
      <c r="I225" s="14"/>
      <c r="Q225" s="14"/>
      <c r="R225" s="14"/>
      <c r="S225" s="14"/>
      <c r="T225" s="14"/>
      <c r="U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</row>
    <row r="226" customFormat="false" ht="15" hidden="false" customHeight="false" outlineLevel="0" collapsed="false">
      <c r="A226" s="12" t="s">
        <v>89</v>
      </c>
      <c r="H226" s="14"/>
      <c r="I226" s="14"/>
      <c r="Q226" s="14"/>
      <c r="R226" s="14"/>
      <c r="S226" s="14"/>
      <c r="T226" s="14"/>
      <c r="U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</row>
    <row r="227" customFormat="false" ht="15" hidden="false" customHeight="false" outlineLevel="0" collapsed="false">
      <c r="A227" s="12"/>
      <c r="H227" s="14"/>
      <c r="I227" s="14"/>
      <c r="Q227" s="14"/>
      <c r="R227" s="14"/>
      <c r="S227" s="14"/>
      <c r="T227" s="14"/>
      <c r="U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</row>
    <row r="228" customFormat="false" ht="15" hidden="false" customHeight="false" outlineLevel="0" collapsed="false">
      <c r="A228" s="12" t="s">
        <v>74</v>
      </c>
      <c r="H228" s="14"/>
      <c r="I228" s="14"/>
      <c r="Q228" s="14"/>
      <c r="R228" s="14"/>
      <c r="S228" s="14"/>
      <c r="T228" s="14"/>
      <c r="U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</row>
    <row r="229" customFormat="false" ht="15" hidden="false" customHeight="false" outlineLevel="0" collapsed="false">
      <c r="A229" s="12"/>
      <c r="H229" s="14"/>
      <c r="I229" s="14"/>
      <c r="Q229" s="14"/>
      <c r="R229" s="14"/>
      <c r="S229" s="14"/>
      <c r="T229" s="14"/>
      <c r="U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</row>
    <row r="230" customFormat="false" ht="15" hidden="false" customHeight="false" outlineLevel="0" collapsed="false">
      <c r="A230" s="12" t="s">
        <v>89</v>
      </c>
      <c r="H230" s="14"/>
      <c r="I230" s="14"/>
      <c r="Q230" s="14"/>
      <c r="R230" s="14"/>
      <c r="S230" s="14"/>
      <c r="T230" s="14"/>
      <c r="U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</row>
    <row r="231" customFormat="false" ht="15" hidden="false" customHeight="false" outlineLevel="0" collapsed="false">
      <c r="A231" s="12"/>
      <c r="H231" s="14"/>
      <c r="I231" s="14"/>
      <c r="Q231" s="14"/>
      <c r="R231" s="14"/>
      <c r="S231" s="14"/>
      <c r="T231" s="14"/>
      <c r="U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</row>
    <row r="232" customFormat="false" ht="15" hidden="false" customHeight="false" outlineLevel="0" collapsed="false">
      <c r="A232" s="12" t="s">
        <v>74</v>
      </c>
      <c r="H232" s="14"/>
      <c r="I232" s="14"/>
      <c r="Q232" s="14"/>
      <c r="R232" s="14"/>
      <c r="S232" s="14"/>
      <c r="T232" s="14"/>
      <c r="U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</row>
    <row r="233" customFormat="false" ht="15" hidden="false" customHeight="false" outlineLevel="0" collapsed="false">
      <c r="A233" s="12"/>
      <c r="H233" s="14"/>
      <c r="I233" s="14"/>
      <c r="Q233" s="14"/>
      <c r="R233" s="14"/>
      <c r="S233" s="14"/>
      <c r="T233" s="14"/>
      <c r="U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</row>
    <row r="234" customFormat="false" ht="15" hidden="false" customHeight="false" outlineLevel="0" collapsed="false">
      <c r="A234" s="12" t="s">
        <v>89</v>
      </c>
      <c r="H234" s="14"/>
      <c r="I234" s="14"/>
      <c r="Q234" s="14"/>
      <c r="R234" s="14"/>
      <c r="S234" s="14"/>
      <c r="T234" s="14"/>
      <c r="U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</row>
    <row r="235" customFormat="false" ht="15" hidden="false" customHeight="false" outlineLevel="0" collapsed="false">
      <c r="A235" s="12"/>
      <c r="H235" s="14"/>
      <c r="I235" s="14"/>
      <c r="Q235" s="14"/>
      <c r="R235" s="14"/>
      <c r="S235" s="14"/>
      <c r="T235" s="14"/>
      <c r="U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</row>
    <row r="236" customFormat="false" ht="15" hidden="false" customHeight="false" outlineLevel="0" collapsed="false">
      <c r="A236" s="12" t="s">
        <v>74</v>
      </c>
      <c r="H236" s="14"/>
      <c r="I236" s="14"/>
      <c r="Q236" s="14"/>
      <c r="R236" s="14"/>
      <c r="S236" s="14"/>
      <c r="T236" s="14"/>
      <c r="U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</row>
    <row r="237" customFormat="false" ht="15" hidden="false" customHeight="false" outlineLevel="0" collapsed="false">
      <c r="A237" s="12"/>
      <c r="H237" s="14"/>
      <c r="I237" s="14"/>
      <c r="Q237" s="14"/>
      <c r="R237" s="14"/>
      <c r="S237" s="14"/>
      <c r="T237" s="14"/>
      <c r="U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</row>
    <row r="238" customFormat="false" ht="15" hidden="false" customHeight="false" outlineLevel="0" collapsed="false">
      <c r="A238" s="12" t="s">
        <v>89</v>
      </c>
      <c r="H238" s="14"/>
      <c r="I238" s="14"/>
      <c r="Q238" s="14"/>
      <c r="R238" s="14"/>
      <c r="S238" s="14"/>
      <c r="T238" s="14"/>
      <c r="U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</row>
    <row r="239" customFormat="false" ht="15" hidden="false" customHeight="false" outlineLevel="0" collapsed="false">
      <c r="A239" s="12"/>
      <c r="H239" s="14"/>
      <c r="I239" s="14"/>
      <c r="Q239" s="14"/>
      <c r="R239" s="14"/>
      <c r="S239" s="14"/>
      <c r="T239" s="14"/>
      <c r="U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</row>
    <row r="240" customFormat="false" ht="15" hidden="false" customHeight="false" outlineLevel="0" collapsed="false">
      <c r="A240" s="12" t="s">
        <v>74</v>
      </c>
      <c r="H240" s="14"/>
      <c r="I240" s="14"/>
      <c r="Q240" s="14"/>
      <c r="R240" s="14"/>
      <c r="S240" s="14"/>
      <c r="T240" s="14"/>
      <c r="U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</row>
    <row r="241" customFormat="false" ht="15" hidden="false" customHeight="false" outlineLevel="0" collapsed="false">
      <c r="A241" s="12"/>
      <c r="H241" s="14"/>
      <c r="I241" s="14"/>
      <c r="Q241" s="14"/>
      <c r="R241" s="14"/>
      <c r="S241" s="14"/>
      <c r="T241" s="14"/>
      <c r="U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</row>
    <row r="242" customFormat="false" ht="15" hidden="false" customHeight="false" outlineLevel="0" collapsed="false">
      <c r="A242" s="12" t="s">
        <v>89</v>
      </c>
      <c r="H242" s="14"/>
      <c r="I242" s="14"/>
      <c r="Q242" s="14"/>
      <c r="R242" s="14"/>
      <c r="S242" s="14"/>
      <c r="T242" s="14"/>
      <c r="U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</row>
    <row r="243" customFormat="false" ht="15" hidden="false" customHeight="false" outlineLevel="0" collapsed="false">
      <c r="A243" s="12"/>
      <c r="H243" s="14"/>
      <c r="I243" s="14"/>
      <c r="Q243" s="14"/>
      <c r="R243" s="14"/>
      <c r="S243" s="14"/>
      <c r="T243" s="14"/>
      <c r="U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</row>
    <row r="244" customFormat="false" ht="15" hidden="false" customHeight="false" outlineLevel="0" collapsed="false">
      <c r="A244" s="12" t="s">
        <v>74</v>
      </c>
      <c r="H244" s="14"/>
      <c r="I244" s="14"/>
      <c r="Q244" s="14"/>
      <c r="R244" s="14"/>
      <c r="S244" s="14"/>
      <c r="T244" s="14"/>
      <c r="U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</row>
    <row r="245" customFormat="false" ht="15" hidden="false" customHeight="false" outlineLevel="0" collapsed="false">
      <c r="A245" s="12"/>
      <c r="H245" s="14"/>
      <c r="I245" s="14"/>
      <c r="Q245" s="14"/>
      <c r="R245" s="14"/>
      <c r="S245" s="14"/>
      <c r="T245" s="14"/>
      <c r="U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</row>
    <row r="246" customFormat="false" ht="15" hidden="false" customHeight="false" outlineLevel="0" collapsed="false">
      <c r="A246" s="12" t="s">
        <v>89</v>
      </c>
      <c r="H246" s="14"/>
      <c r="I246" s="14"/>
      <c r="Q246" s="14"/>
      <c r="R246" s="14"/>
      <c r="S246" s="14"/>
      <c r="T246" s="14"/>
      <c r="U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</row>
    <row r="247" customFormat="false" ht="15" hidden="false" customHeight="false" outlineLevel="0" collapsed="false">
      <c r="A247" s="12"/>
      <c r="H247" s="14"/>
      <c r="I247" s="14"/>
      <c r="Q247" s="14"/>
      <c r="R247" s="14"/>
      <c r="S247" s="14"/>
      <c r="T247" s="14"/>
      <c r="U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</row>
    <row r="248" customFormat="false" ht="15" hidden="false" customHeight="false" outlineLevel="0" collapsed="false">
      <c r="A248" s="12" t="s">
        <v>74</v>
      </c>
      <c r="H248" s="14"/>
      <c r="I248" s="14"/>
      <c r="Q248" s="14"/>
      <c r="R248" s="14"/>
      <c r="S248" s="14"/>
      <c r="T248" s="14"/>
      <c r="U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</row>
    <row r="249" customFormat="false" ht="15" hidden="false" customHeight="false" outlineLevel="0" collapsed="false">
      <c r="A249" s="12"/>
      <c r="H249" s="14"/>
      <c r="I249" s="14"/>
      <c r="Q249" s="14"/>
      <c r="R249" s="14"/>
      <c r="S249" s="14"/>
      <c r="T249" s="14"/>
      <c r="U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</row>
    <row r="250" customFormat="false" ht="15" hidden="false" customHeight="false" outlineLevel="0" collapsed="false">
      <c r="A250" s="12" t="s">
        <v>89</v>
      </c>
      <c r="H250" s="14"/>
      <c r="I250" s="14"/>
      <c r="Q250" s="14"/>
      <c r="R250" s="14"/>
      <c r="S250" s="14"/>
      <c r="T250" s="14"/>
      <c r="U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</row>
    <row r="251" customFormat="false" ht="15" hidden="false" customHeight="false" outlineLevel="0" collapsed="false">
      <c r="A251" s="12"/>
      <c r="H251" s="14"/>
      <c r="I251" s="14"/>
      <c r="Q251" s="14"/>
      <c r="R251" s="14"/>
      <c r="S251" s="14"/>
      <c r="T251" s="14"/>
      <c r="U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</row>
    <row r="252" customFormat="false" ht="15" hidden="false" customHeight="false" outlineLevel="0" collapsed="false">
      <c r="A252" s="12" t="s">
        <v>74</v>
      </c>
      <c r="H252" s="14"/>
      <c r="I252" s="14"/>
      <c r="Q252" s="14"/>
      <c r="R252" s="14"/>
      <c r="S252" s="14"/>
      <c r="T252" s="14"/>
      <c r="U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</row>
    <row r="253" customFormat="false" ht="15" hidden="false" customHeight="false" outlineLevel="0" collapsed="false">
      <c r="A253" s="12"/>
      <c r="H253" s="14"/>
      <c r="I253" s="14"/>
      <c r="Q253" s="14"/>
      <c r="R253" s="14"/>
      <c r="S253" s="14"/>
      <c r="T253" s="14"/>
      <c r="U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</row>
    <row r="254" customFormat="false" ht="15" hidden="false" customHeight="false" outlineLevel="0" collapsed="false">
      <c r="A254" s="12" t="s">
        <v>89</v>
      </c>
      <c r="H254" s="14"/>
      <c r="I254" s="14"/>
      <c r="Q254" s="14"/>
      <c r="R254" s="14"/>
      <c r="S254" s="14"/>
      <c r="T254" s="14"/>
      <c r="U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</row>
    <row r="255" customFormat="false" ht="15" hidden="false" customHeight="false" outlineLevel="0" collapsed="false">
      <c r="A255" s="12"/>
      <c r="H255" s="14"/>
      <c r="I255" s="14"/>
      <c r="Q255" s="14"/>
      <c r="R255" s="14"/>
      <c r="S255" s="14"/>
      <c r="T255" s="14"/>
      <c r="U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</row>
    <row r="256" customFormat="false" ht="15" hidden="false" customHeight="false" outlineLevel="0" collapsed="false">
      <c r="A256" s="12" t="s">
        <v>74</v>
      </c>
      <c r="H256" s="14"/>
      <c r="I256" s="14"/>
      <c r="Q256" s="14"/>
      <c r="R256" s="14"/>
      <c r="S256" s="14"/>
      <c r="T256" s="14"/>
      <c r="U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</row>
    <row r="257" customFormat="false" ht="15" hidden="false" customHeight="false" outlineLevel="0" collapsed="false">
      <c r="A257" s="12"/>
      <c r="H257" s="14"/>
      <c r="I257" s="14"/>
      <c r="Q257" s="14"/>
      <c r="R257" s="14"/>
      <c r="S257" s="14"/>
      <c r="T257" s="14"/>
      <c r="U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</row>
    <row r="258" customFormat="false" ht="15" hidden="false" customHeight="false" outlineLevel="0" collapsed="false">
      <c r="A258" s="12" t="s">
        <v>89</v>
      </c>
      <c r="H258" s="14"/>
      <c r="I258" s="14"/>
      <c r="Q258" s="14"/>
      <c r="R258" s="14"/>
      <c r="S258" s="14"/>
      <c r="T258" s="14"/>
      <c r="U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</row>
    <row r="259" customFormat="false" ht="15" hidden="false" customHeight="false" outlineLevel="0" collapsed="false">
      <c r="A259" s="12"/>
      <c r="H259" s="14"/>
      <c r="I259" s="14"/>
      <c r="Q259" s="14"/>
      <c r="R259" s="14"/>
      <c r="S259" s="14"/>
      <c r="T259" s="14"/>
      <c r="U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</row>
    <row r="260" customFormat="false" ht="15" hidden="false" customHeight="false" outlineLevel="0" collapsed="false">
      <c r="A260" s="12" t="s">
        <v>74</v>
      </c>
      <c r="H260" s="14"/>
      <c r="I260" s="14"/>
      <c r="Q260" s="14"/>
      <c r="R260" s="14"/>
      <c r="S260" s="14"/>
      <c r="T260" s="14"/>
      <c r="U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</row>
    <row r="261" customFormat="false" ht="15" hidden="false" customHeight="false" outlineLevel="0" collapsed="false">
      <c r="A261" s="12"/>
      <c r="H261" s="14"/>
      <c r="I261" s="14"/>
      <c r="Q261" s="14"/>
      <c r="R261" s="14"/>
      <c r="S261" s="14"/>
      <c r="T261" s="14"/>
      <c r="U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</row>
    <row r="262" customFormat="false" ht="15" hidden="false" customHeight="false" outlineLevel="0" collapsed="false">
      <c r="A262" s="12" t="s">
        <v>89</v>
      </c>
      <c r="H262" s="14"/>
      <c r="I262" s="14"/>
      <c r="Q262" s="14"/>
      <c r="R262" s="14"/>
      <c r="S262" s="14"/>
      <c r="T262" s="14"/>
      <c r="U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</row>
    <row r="263" customFormat="false" ht="15" hidden="false" customHeight="false" outlineLevel="0" collapsed="false">
      <c r="A263" s="12"/>
      <c r="H263" s="14"/>
      <c r="I263" s="14"/>
      <c r="Q263" s="14"/>
      <c r="R263" s="14"/>
      <c r="S263" s="14"/>
      <c r="T263" s="14"/>
      <c r="U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</row>
    <row r="264" customFormat="false" ht="15" hidden="false" customHeight="false" outlineLevel="0" collapsed="false">
      <c r="A264" s="12" t="s">
        <v>74</v>
      </c>
      <c r="H264" s="14"/>
      <c r="I264" s="14"/>
      <c r="Q264" s="14"/>
      <c r="R264" s="14"/>
      <c r="S264" s="14"/>
      <c r="T264" s="14"/>
      <c r="U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</row>
    <row r="265" customFormat="false" ht="15" hidden="false" customHeight="false" outlineLevel="0" collapsed="false">
      <c r="A265" s="12"/>
      <c r="H265" s="14"/>
      <c r="I265" s="14"/>
      <c r="Q265" s="14"/>
      <c r="R265" s="14"/>
      <c r="S265" s="14"/>
      <c r="T265" s="14"/>
      <c r="U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</row>
    <row r="266" customFormat="false" ht="15" hidden="false" customHeight="false" outlineLevel="0" collapsed="false">
      <c r="A266" s="12" t="s">
        <v>89</v>
      </c>
      <c r="H266" s="14"/>
      <c r="I266" s="14"/>
      <c r="Q266" s="14"/>
      <c r="R266" s="14"/>
      <c r="S266" s="14"/>
      <c r="T266" s="14"/>
      <c r="U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</row>
    <row r="267" customFormat="false" ht="15" hidden="false" customHeight="false" outlineLevel="0" collapsed="false">
      <c r="A267" s="12"/>
      <c r="H267" s="14"/>
      <c r="I267" s="14"/>
      <c r="Q267" s="14"/>
      <c r="R267" s="14"/>
      <c r="S267" s="14"/>
      <c r="T267" s="14"/>
      <c r="U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</row>
    <row r="268" customFormat="false" ht="15" hidden="false" customHeight="false" outlineLevel="0" collapsed="false">
      <c r="A268" s="12" t="s">
        <v>74</v>
      </c>
      <c r="H268" s="14"/>
      <c r="I268" s="14"/>
      <c r="Q268" s="14"/>
      <c r="R268" s="14"/>
      <c r="S268" s="14"/>
      <c r="T268" s="14"/>
      <c r="U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</row>
    <row r="269" customFormat="false" ht="15" hidden="false" customHeight="false" outlineLevel="0" collapsed="false">
      <c r="A269" s="12"/>
      <c r="H269" s="14"/>
      <c r="I269" s="14"/>
      <c r="Q269" s="14"/>
      <c r="R269" s="14"/>
      <c r="S269" s="14"/>
      <c r="T269" s="14"/>
      <c r="U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</row>
    <row r="270" customFormat="false" ht="15" hidden="false" customHeight="false" outlineLevel="0" collapsed="false">
      <c r="A270" s="12" t="s">
        <v>89</v>
      </c>
      <c r="H270" s="14"/>
      <c r="I270" s="14"/>
      <c r="Q270" s="14"/>
      <c r="R270" s="14"/>
      <c r="S270" s="14"/>
      <c r="T270" s="14"/>
      <c r="U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</row>
    <row r="271" customFormat="false" ht="15" hidden="false" customHeight="false" outlineLevel="0" collapsed="false">
      <c r="A271" s="12"/>
      <c r="H271" s="14"/>
      <c r="I271" s="14"/>
      <c r="Q271" s="14"/>
      <c r="R271" s="14"/>
      <c r="S271" s="14"/>
      <c r="T271" s="14"/>
      <c r="U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</row>
    <row r="272" customFormat="false" ht="15" hidden="false" customHeight="false" outlineLevel="0" collapsed="false">
      <c r="A272" s="12" t="s">
        <v>74</v>
      </c>
      <c r="H272" s="14"/>
      <c r="I272" s="14"/>
      <c r="Q272" s="14"/>
      <c r="R272" s="14"/>
      <c r="S272" s="14"/>
      <c r="T272" s="14"/>
      <c r="U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</row>
    <row r="273" customFormat="false" ht="15" hidden="false" customHeight="false" outlineLevel="0" collapsed="false">
      <c r="A273" s="12"/>
      <c r="H273" s="14"/>
      <c r="I273" s="14"/>
      <c r="Q273" s="14"/>
      <c r="R273" s="14"/>
      <c r="S273" s="14"/>
      <c r="T273" s="14"/>
      <c r="U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</row>
    <row r="274" customFormat="false" ht="15" hidden="false" customHeight="false" outlineLevel="0" collapsed="false">
      <c r="A274" s="12" t="s">
        <v>89</v>
      </c>
      <c r="H274" s="14"/>
      <c r="I274" s="14"/>
      <c r="Q274" s="14"/>
      <c r="R274" s="14"/>
      <c r="S274" s="14"/>
      <c r="T274" s="14"/>
      <c r="U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</row>
    <row r="275" customFormat="false" ht="15" hidden="false" customHeight="false" outlineLevel="0" collapsed="false">
      <c r="A275" s="12"/>
      <c r="H275" s="14"/>
      <c r="I275" s="14"/>
      <c r="Q275" s="14"/>
      <c r="R275" s="14"/>
      <c r="S275" s="14"/>
      <c r="T275" s="14"/>
      <c r="U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</row>
    <row r="276" customFormat="false" ht="15" hidden="false" customHeight="false" outlineLevel="0" collapsed="false">
      <c r="A276" s="12" t="s">
        <v>74</v>
      </c>
      <c r="H276" s="14"/>
      <c r="I276" s="14"/>
      <c r="Q276" s="14"/>
      <c r="R276" s="14"/>
      <c r="S276" s="14"/>
      <c r="T276" s="14"/>
      <c r="U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</row>
    <row r="277" customFormat="false" ht="15" hidden="false" customHeight="false" outlineLevel="0" collapsed="false">
      <c r="A277" s="12"/>
      <c r="H277" s="14"/>
      <c r="I277" s="14"/>
      <c r="Q277" s="14"/>
      <c r="R277" s="14"/>
      <c r="S277" s="14"/>
      <c r="T277" s="14"/>
      <c r="U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</row>
    <row r="278" customFormat="false" ht="15" hidden="false" customHeight="false" outlineLevel="0" collapsed="false">
      <c r="A278" s="12" t="s">
        <v>89</v>
      </c>
      <c r="H278" s="14"/>
      <c r="I278" s="14"/>
      <c r="Q278" s="14"/>
      <c r="R278" s="14"/>
      <c r="S278" s="14"/>
      <c r="T278" s="14"/>
      <c r="U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</row>
    <row r="279" customFormat="false" ht="15" hidden="false" customHeight="false" outlineLevel="0" collapsed="false">
      <c r="A279" s="12"/>
      <c r="H279" s="14"/>
      <c r="I279" s="14"/>
      <c r="Q279" s="14"/>
      <c r="R279" s="14"/>
      <c r="S279" s="14"/>
      <c r="T279" s="14"/>
      <c r="U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</row>
    <row r="280" customFormat="false" ht="15" hidden="false" customHeight="false" outlineLevel="0" collapsed="false">
      <c r="A280" s="12" t="s">
        <v>74</v>
      </c>
      <c r="H280" s="14"/>
      <c r="I280" s="14"/>
      <c r="Q280" s="14"/>
      <c r="R280" s="14"/>
      <c r="S280" s="14"/>
      <c r="T280" s="14"/>
      <c r="U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</row>
    <row r="281" customFormat="false" ht="15" hidden="false" customHeight="false" outlineLevel="0" collapsed="false">
      <c r="A281" s="12"/>
      <c r="H281" s="14"/>
      <c r="I281" s="14"/>
      <c r="Q281" s="14"/>
      <c r="R281" s="14"/>
      <c r="S281" s="14"/>
      <c r="T281" s="14"/>
      <c r="U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</row>
    <row r="282" customFormat="false" ht="15" hidden="false" customHeight="false" outlineLevel="0" collapsed="false">
      <c r="A282" s="12" t="s">
        <v>89</v>
      </c>
      <c r="H282" s="14"/>
      <c r="I282" s="14"/>
      <c r="Q282" s="14"/>
      <c r="R282" s="14"/>
      <c r="S282" s="14"/>
      <c r="T282" s="14"/>
      <c r="U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</row>
    <row r="283" customFormat="false" ht="15" hidden="false" customHeight="false" outlineLevel="0" collapsed="false">
      <c r="A283" s="12"/>
      <c r="H283" s="14"/>
      <c r="I283" s="14"/>
      <c r="Q283" s="14"/>
      <c r="R283" s="14"/>
      <c r="S283" s="14"/>
      <c r="T283" s="14"/>
      <c r="U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</row>
    <row r="284" customFormat="false" ht="15" hidden="false" customHeight="false" outlineLevel="0" collapsed="false">
      <c r="A284" s="12" t="s">
        <v>74</v>
      </c>
      <c r="H284" s="14"/>
      <c r="I284" s="14"/>
      <c r="Q284" s="14"/>
      <c r="R284" s="14"/>
      <c r="S284" s="14"/>
      <c r="T284" s="14"/>
      <c r="U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</row>
    <row r="285" customFormat="false" ht="15" hidden="false" customHeight="false" outlineLevel="0" collapsed="false">
      <c r="A285" s="12"/>
      <c r="H285" s="14"/>
      <c r="I285" s="14"/>
      <c r="Q285" s="14"/>
      <c r="R285" s="14"/>
      <c r="S285" s="14"/>
      <c r="T285" s="14"/>
      <c r="U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</row>
    <row r="286" customFormat="false" ht="15" hidden="false" customHeight="false" outlineLevel="0" collapsed="false">
      <c r="A286" s="12" t="s">
        <v>89</v>
      </c>
      <c r="H286" s="14"/>
      <c r="I286" s="14"/>
      <c r="Q286" s="14"/>
      <c r="R286" s="14"/>
      <c r="S286" s="14"/>
      <c r="T286" s="14"/>
      <c r="U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</row>
    <row r="287" customFormat="false" ht="15" hidden="false" customHeight="false" outlineLevel="0" collapsed="false">
      <c r="A287" s="12"/>
      <c r="H287" s="14"/>
      <c r="I287" s="14"/>
      <c r="Q287" s="14"/>
      <c r="R287" s="14"/>
      <c r="S287" s="14"/>
      <c r="T287" s="14"/>
      <c r="U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</row>
    <row r="288" customFormat="false" ht="15" hidden="false" customHeight="false" outlineLevel="0" collapsed="false">
      <c r="A288" s="12" t="s">
        <v>74</v>
      </c>
      <c r="H288" s="14"/>
      <c r="I288" s="14"/>
      <c r="Q288" s="14"/>
      <c r="R288" s="14"/>
      <c r="S288" s="14"/>
      <c r="T288" s="14"/>
      <c r="U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</row>
    <row r="289" customFormat="false" ht="15" hidden="false" customHeight="false" outlineLevel="0" collapsed="false">
      <c r="A289" s="12"/>
      <c r="H289" s="14"/>
      <c r="I289" s="14"/>
      <c r="Q289" s="14"/>
      <c r="R289" s="14"/>
      <c r="S289" s="14"/>
      <c r="T289" s="14"/>
      <c r="U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</row>
    <row r="290" customFormat="false" ht="15" hidden="false" customHeight="false" outlineLevel="0" collapsed="false">
      <c r="A290" s="12" t="s">
        <v>89</v>
      </c>
      <c r="H290" s="14"/>
      <c r="I290" s="14"/>
      <c r="Q290" s="14"/>
      <c r="R290" s="14"/>
      <c r="S290" s="14"/>
      <c r="T290" s="14"/>
      <c r="U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</row>
    <row r="291" customFormat="false" ht="15" hidden="false" customHeight="false" outlineLevel="0" collapsed="false">
      <c r="A291" s="12"/>
      <c r="H291" s="14"/>
      <c r="I291" s="14"/>
      <c r="Q291" s="14"/>
      <c r="R291" s="14"/>
      <c r="S291" s="14"/>
      <c r="T291" s="14"/>
      <c r="U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</row>
    <row r="292" customFormat="false" ht="15" hidden="false" customHeight="false" outlineLevel="0" collapsed="false">
      <c r="A292" s="12" t="s">
        <v>74</v>
      </c>
      <c r="H292" s="14"/>
      <c r="I292" s="14"/>
      <c r="Q292" s="14"/>
      <c r="R292" s="14"/>
      <c r="S292" s="14"/>
      <c r="T292" s="14"/>
      <c r="U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</row>
    <row r="293" customFormat="false" ht="15" hidden="false" customHeight="false" outlineLevel="0" collapsed="false">
      <c r="A293" s="12"/>
      <c r="H293" s="14"/>
      <c r="I293" s="14"/>
      <c r="Q293" s="14"/>
      <c r="R293" s="14"/>
      <c r="S293" s="14"/>
      <c r="T293" s="14"/>
      <c r="U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</row>
    <row r="294" customFormat="false" ht="15" hidden="false" customHeight="false" outlineLevel="0" collapsed="false">
      <c r="A294" s="12" t="s">
        <v>89</v>
      </c>
      <c r="H294" s="14"/>
      <c r="I294" s="14"/>
      <c r="Q294" s="14"/>
      <c r="R294" s="14"/>
      <c r="S294" s="14"/>
      <c r="T294" s="14"/>
      <c r="U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</row>
    <row r="295" customFormat="false" ht="15" hidden="false" customHeight="false" outlineLevel="0" collapsed="false">
      <c r="A295" s="12"/>
      <c r="H295" s="14"/>
      <c r="I295" s="14"/>
      <c r="Q295" s="14"/>
      <c r="R295" s="14"/>
      <c r="S295" s="14"/>
      <c r="T295" s="14"/>
      <c r="U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</row>
    <row r="296" customFormat="false" ht="15" hidden="false" customHeight="false" outlineLevel="0" collapsed="false">
      <c r="A296" s="12" t="s">
        <v>74</v>
      </c>
      <c r="H296" s="14"/>
      <c r="I296" s="14"/>
      <c r="Q296" s="14"/>
      <c r="R296" s="14"/>
      <c r="S296" s="14"/>
      <c r="T296" s="14"/>
      <c r="U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</row>
    <row r="297" customFormat="false" ht="15" hidden="false" customHeight="false" outlineLevel="0" collapsed="false">
      <c r="A297" s="12"/>
      <c r="H297" s="14"/>
      <c r="I297" s="14"/>
      <c r="Q297" s="14"/>
      <c r="R297" s="14"/>
      <c r="S297" s="14"/>
      <c r="T297" s="14"/>
      <c r="U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</row>
    <row r="298" customFormat="false" ht="15" hidden="false" customHeight="false" outlineLevel="0" collapsed="false">
      <c r="A298" s="12" t="s">
        <v>89</v>
      </c>
      <c r="H298" s="14"/>
      <c r="I298" s="14"/>
      <c r="Q298" s="14"/>
      <c r="R298" s="14"/>
      <c r="S298" s="14"/>
      <c r="T298" s="14"/>
      <c r="U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</row>
    <row r="299" customFormat="false" ht="15" hidden="false" customHeight="false" outlineLevel="0" collapsed="false">
      <c r="A299" s="12"/>
      <c r="H299" s="14"/>
      <c r="I299" s="14"/>
      <c r="Q299" s="14"/>
      <c r="R299" s="14"/>
      <c r="S299" s="14"/>
      <c r="T299" s="14"/>
      <c r="U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</row>
    <row r="300" customFormat="false" ht="15" hidden="false" customHeight="false" outlineLevel="0" collapsed="false">
      <c r="A300" s="12" t="s">
        <v>74</v>
      </c>
      <c r="H300" s="14"/>
      <c r="I300" s="14"/>
      <c r="Q300" s="14"/>
      <c r="R300" s="14"/>
      <c r="S300" s="14"/>
      <c r="T300" s="14"/>
      <c r="U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</row>
    <row r="301" customFormat="false" ht="15" hidden="false" customHeight="false" outlineLevel="0" collapsed="false">
      <c r="A301" s="12"/>
      <c r="H301" s="14"/>
      <c r="I301" s="14"/>
      <c r="Q301" s="14"/>
      <c r="R301" s="14"/>
      <c r="S301" s="14"/>
      <c r="T301" s="14"/>
      <c r="U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</row>
    <row r="302" customFormat="false" ht="15" hidden="false" customHeight="false" outlineLevel="0" collapsed="false">
      <c r="A302" s="12" t="s">
        <v>89</v>
      </c>
      <c r="H302" s="14"/>
      <c r="I302" s="14"/>
      <c r="Q302" s="14"/>
      <c r="R302" s="14"/>
      <c r="S302" s="14"/>
      <c r="T302" s="14"/>
      <c r="U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</row>
    <row r="303" customFormat="false" ht="15" hidden="false" customHeight="false" outlineLevel="0" collapsed="false">
      <c r="A303" s="12"/>
      <c r="H303" s="14"/>
      <c r="I303" s="14"/>
      <c r="Q303" s="14"/>
      <c r="R303" s="14"/>
      <c r="S303" s="14"/>
      <c r="T303" s="14"/>
      <c r="U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</row>
    <row r="304" customFormat="false" ht="15" hidden="false" customHeight="false" outlineLevel="0" collapsed="false">
      <c r="A304" s="12" t="s">
        <v>74</v>
      </c>
      <c r="H304" s="14"/>
      <c r="I304" s="14"/>
      <c r="Q304" s="14"/>
      <c r="R304" s="14"/>
      <c r="S304" s="14"/>
      <c r="T304" s="14"/>
      <c r="U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</row>
    <row r="305" customFormat="false" ht="15" hidden="false" customHeight="false" outlineLevel="0" collapsed="false">
      <c r="A305" s="12"/>
      <c r="H305" s="14"/>
      <c r="I305" s="14"/>
      <c r="Q305" s="14"/>
      <c r="R305" s="14"/>
      <c r="S305" s="14"/>
      <c r="T305" s="14"/>
      <c r="U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</row>
    <row r="306" customFormat="false" ht="15" hidden="false" customHeight="false" outlineLevel="0" collapsed="false">
      <c r="A306" s="12" t="s">
        <v>89</v>
      </c>
      <c r="H306" s="14"/>
      <c r="I306" s="14"/>
      <c r="Q306" s="14"/>
      <c r="R306" s="14"/>
      <c r="S306" s="14"/>
      <c r="T306" s="14"/>
      <c r="U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</row>
    <row r="307" customFormat="false" ht="15" hidden="false" customHeight="false" outlineLevel="0" collapsed="false">
      <c r="A307" s="12"/>
      <c r="H307" s="14"/>
      <c r="I307" s="14"/>
      <c r="Q307" s="14"/>
      <c r="R307" s="14"/>
      <c r="S307" s="14"/>
      <c r="T307" s="14"/>
      <c r="U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</row>
    <row r="308" customFormat="false" ht="15" hidden="false" customHeight="false" outlineLevel="0" collapsed="false">
      <c r="A308" s="12" t="s">
        <v>74</v>
      </c>
      <c r="H308" s="14"/>
      <c r="I308" s="14"/>
      <c r="Q308" s="14"/>
      <c r="R308" s="14"/>
      <c r="S308" s="14"/>
      <c r="T308" s="14"/>
      <c r="U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</row>
    <row r="309" customFormat="false" ht="15" hidden="false" customHeight="false" outlineLevel="0" collapsed="false">
      <c r="A309" s="12"/>
      <c r="H309" s="14"/>
      <c r="I309" s="14"/>
      <c r="Q309" s="14"/>
      <c r="R309" s="14"/>
      <c r="S309" s="14"/>
      <c r="T309" s="14"/>
      <c r="U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</row>
    <row r="310" customFormat="false" ht="15" hidden="false" customHeight="false" outlineLevel="0" collapsed="false">
      <c r="A310" s="12" t="s">
        <v>89</v>
      </c>
      <c r="H310" s="14"/>
      <c r="I310" s="14"/>
      <c r="Q310" s="14"/>
      <c r="R310" s="14"/>
      <c r="S310" s="14"/>
      <c r="T310" s="14"/>
      <c r="U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</row>
    <row r="311" customFormat="false" ht="15" hidden="false" customHeight="false" outlineLevel="0" collapsed="false">
      <c r="A311" s="12"/>
      <c r="H311" s="14"/>
      <c r="I311" s="14"/>
      <c r="Q311" s="14"/>
      <c r="R311" s="14"/>
      <c r="S311" s="14"/>
      <c r="T311" s="14"/>
      <c r="U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</row>
    <row r="312" customFormat="false" ht="15" hidden="false" customHeight="false" outlineLevel="0" collapsed="false">
      <c r="A312" s="12" t="s">
        <v>74</v>
      </c>
      <c r="H312" s="14"/>
      <c r="I312" s="14"/>
      <c r="Q312" s="14"/>
      <c r="R312" s="14"/>
      <c r="S312" s="14"/>
      <c r="T312" s="14"/>
      <c r="U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</row>
    <row r="313" customFormat="false" ht="15" hidden="false" customHeight="false" outlineLevel="0" collapsed="false">
      <c r="A313" s="12"/>
      <c r="H313" s="14"/>
      <c r="I313" s="14"/>
      <c r="Q313" s="14"/>
      <c r="R313" s="14"/>
      <c r="S313" s="14"/>
      <c r="T313" s="14"/>
      <c r="U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</row>
    <row r="314" customFormat="false" ht="15" hidden="false" customHeight="false" outlineLevel="0" collapsed="false">
      <c r="A314" s="12" t="s">
        <v>89</v>
      </c>
      <c r="H314" s="14"/>
      <c r="I314" s="14"/>
      <c r="Q314" s="14"/>
      <c r="R314" s="14"/>
      <c r="S314" s="14"/>
      <c r="T314" s="14"/>
      <c r="U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</row>
    <row r="315" customFormat="false" ht="15" hidden="false" customHeight="false" outlineLevel="0" collapsed="false">
      <c r="A315" s="12"/>
      <c r="H315" s="14"/>
      <c r="I315" s="14"/>
      <c r="Q315" s="14"/>
      <c r="R315" s="14"/>
      <c r="S315" s="14"/>
      <c r="T315" s="14"/>
      <c r="U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</row>
    <row r="316" customFormat="false" ht="15" hidden="false" customHeight="false" outlineLevel="0" collapsed="false">
      <c r="A316" s="12" t="s">
        <v>74</v>
      </c>
      <c r="H316" s="14"/>
      <c r="I316" s="14"/>
      <c r="Q316" s="14"/>
      <c r="R316" s="14"/>
      <c r="S316" s="14"/>
      <c r="T316" s="14"/>
      <c r="U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</row>
    <row r="317" customFormat="false" ht="15" hidden="false" customHeight="false" outlineLevel="0" collapsed="false">
      <c r="A317" s="12"/>
      <c r="H317" s="14"/>
      <c r="I317" s="14"/>
      <c r="Q317" s="14"/>
      <c r="R317" s="14"/>
      <c r="S317" s="14"/>
      <c r="T317" s="14"/>
      <c r="U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</row>
    <row r="318" customFormat="false" ht="15" hidden="false" customHeight="false" outlineLevel="0" collapsed="false">
      <c r="A318" s="12" t="s">
        <v>89</v>
      </c>
      <c r="H318" s="14"/>
      <c r="I318" s="14"/>
      <c r="Q318" s="14"/>
      <c r="R318" s="14"/>
      <c r="S318" s="14"/>
      <c r="T318" s="14"/>
      <c r="U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</row>
    <row r="319" customFormat="false" ht="15" hidden="false" customHeight="false" outlineLevel="0" collapsed="false">
      <c r="A319" s="12"/>
      <c r="H319" s="14"/>
      <c r="I319" s="14"/>
      <c r="Q319" s="14"/>
      <c r="R319" s="14"/>
      <c r="S319" s="14"/>
      <c r="T319" s="14"/>
      <c r="U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</row>
    <row r="320" customFormat="false" ht="15" hidden="false" customHeight="false" outlineLevel="0" collapsed="false">
      <c r="A320" s="12" t="s">
        <v>74</v>
      </c>
      <c r="H320" s="14"/>
      <c r="I320" s="14"/>
      <c r="Q320" s="14"/>
      <c r="R320" s="14"/>
      <c r="S320" s="14"/>
      <c r="T320" s="14"/>
      <c r="U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</row>
    <row r="321" customFormat="false" ht="15" hidden="false" customHeight="false" outlineLevel="0" collapsed="false">
      <c r="A321" s="12"/>
      <c r="H321" s="14"/>
      <c r="I321" s="14"/>
      <c r="Q321" s="14"/>
      <c r="R321" s="14"/>
      <c r="S321" s="14"/>
      <c r="T321" s="14"/>
      <c r="U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</row>
    <row r="322" customFormat="false" ht="15" hidden="false" customHeight="false" outlineLevel="0" collapsed="false">
      <c r="A322" s="12" t="s">
        <v>89</v>
      </c>
      <c r="H322" s="14"/>
      <c r="I322" s="14"/>
      <c r="Q322" s="14"/>
      <c r="R322" s="14"/>
      <c r="S322" s="14"/>
      <c r="T322" s="14"/>
      <c r="U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</row>
    <row r="323" customFormat="false" ht="15" hidden="false" customHeight="false" outlineLevel="0" collapsed="false">
      <c r="A323" s="12"/>
      <c r="H323" s="14"/>
      <c r="I323" s="14"/>
      <c r="Q323" s="14"/>
      <c r="R323" s="14"/>
      <c r="S323" s="14"/>
      <c r="T323" s="14"/>
      <c r="U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</row>
    <row r="324" customFormat="false" ht="15" hidden="false" customHeight="false" outlineLevel="0" collapsed="false">
      <c r="A324" s="12" t="s">
        <v>74</v>
      </c>
      <c r="H324" s="14"/>
      <c r="I324" s="14"/>
      <c r="Q324" s="14"/>
      <c r="R324" s="14"/>
      <c r="S324" s="14"/>
      <c r="T324" s="14"/>
      <c r="U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</row>
    <row r="325" customFormat="false" ht="15" hidden="false" customHeight="false" outlineLevel="0" collapsed="false">
      <c r="A325" s="12"/>
      <c r="H325" s="14"/>
      <c r="I325" s="14"/>
      <c r="Q325" s="14"/>
      <c r="R325" s="14"/>
      <c r="S325" s="14"/>
      <c r="T325" s="14"/>
      <c r="U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</row>
    <row r="326" customFormat="false" ht="15" hidden="false" customHeight="false" outlineLevel="0" collapsed="false">
      <c r="A326" s="12" t="s">
        <v>89</v>
      </c>
      <c r="H326" s="14"/>
      <c r="I326" s="14"/>
      <c r="Q326" s="14"/>
      <c r="R326" s="14"/>
      <c r="S326" s="14"/>
      <c r="T326" s="14"/>
      <c r="U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</row>
    <row r="327" customFormat="false" ht="15" hidden="false" customHeight="false" outlineLevel="0" collapsed="false">
      <c r="A327" s="12"/>
      <c r="H327" s="14"/>
      <c r="I327" s="14"/>
      <c r="Q327" s="14"/>
      <c r="R327" s="14"/>
      <c r="S327" s="14"/>
      <c r="T327" s="14"/>
      <c r="U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</row>
    <row r="328" customFormat="false" ht="15" hidden="false" customHeight="false" outlineLevel="0" collapsed="false">
      <c r="A328" s="12" t="s">
        <v>74</v>
      </c>
      <c r="H328" s="14"/>
      <c r="I328" s="14"/>
      <c r="Q328" s="14"/>
      <c r="R328" s="14"/>
      <c r="S328" s="14"/>
      <c r="T328" s="14"/>
      <c r="U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</row>
    <row r="329" customFormat="false" ht="15" hidden="false" customHeight="false" outlineLevel="0" collapsed="false">
      <c r="A329" s="12"/>
      <c r="H329" s="14"/>
      <c r="I329" s="14"/>
      <c r="Q329" s="14"/>
      <c r="R329" s="14"/>
      <c r="S329" s="14"/>
      <c r="T329" s="14"/>
      <c r="U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</row>
    <row r="330" customFormat="false" ht="15" hidden="false" customHeight="false" outlineLevel="0" collapsed="false">
      <c r="A330" s="12" t="s">
        <v>89</v>
      </c>
      <c r="H330" s="14"/>
      <c r="I330" s="14"/>
      <c r="Q330" s="14"/>
      <c r="R330" s="14"/>
      <c r="S330" s="14"/>
      <c r="T330" s="14"/>
      <c r="U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</row>
    <row r="331" customFormat="false" ht="15" hidden="false" customHeight="false" outlineLevel="0" collapsed="false">
      <c r="A331" s="12"/>
      <c r="H331" s="14"/>
      <c r="I331" s="14"/>
      <c r="Q331" s="14"/>
      <c r="R331" s="14"/>
      <c r="S331" s="14"/>
      <c r="T331" s="14"/>
      <c r="U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</row>
    <row r="332" customFormat="false" ht="15" hidden="false" customHeight="false" outlineLevel="0" collapsed="false">
      <c r="A332" s="12" t="s">
        <v>74</v>
      </c>
      <c r="H332" s="14"/>
      <c r="I332" s="14"/>
      <c r="Q332" s="14"/>
      <c r="R332" s="14"/>
      <c r="S332" s="14"/>
      <c r="T332" s="14"/>
      <c r="U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</row>
    <row r="333" customFormat="false" ht="15" hidden="false" customHeight="false" outlineLevel="0" collapsed="false">
      <c r="A333" s="12"/>
      <c r="H333" s="14"/>
      <c r="I333" s="14"/>
      <c r="Q333" s="14"/>
      <c r="R333" s="14"/>
      <c r="S333" s="14"/>
      <c r="T333" s="14"/>
      <c r="U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</row>
    <row r="334" customFormat="false" ht="15" hidden="false" customHeight="false" outlineLevel="0" collapsed="false">
      <c r="A334" s="12" t="s">
        <v>89</v>
      </c>
      <c r="H334" s="14"/>
      <c r="I334" s="14"/>
      <c r="Q334" s="14"/>
      <c r="R334" s="14"/>
      <c r="S334" s="14"/>
      <c r="T334" s="14"/>
      <c r="U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</row>
    <row r="335" customFormat="false" ht="15" hidden="false" customHeight="false" outlineLevel="0" collapsed="false">
      <c r="A335" s="12"/>
      <c r="H335" s="14"/>
      <c r="I335" s="14"/>
      <c r="Q335" s="14"/>
      <c r="R335" s="14"/>
      <c r="S335" s="14"/>
      <c r="T335" s="14"/>
      <c r="U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</row>
    <row r="336" customFormat="false" ht="15" hidden="false" customHeight="false" outlineLevel="0" collapsed="false">
      <c r="A336" s="12" t="s">
        <v>74</v>
      </c>
      <c r="H336" s="14"/>
      <c r="I336" s="14"/>
      <c r="Q336" s="14"/>
      <c r="R336" s="14"/>
      <c r="S336" s="14"/>
      <c r="T336" s="14"/>
      <c r="U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</row>
    <row r="337" customFormat="false" ht="15" hidden="false" customHeight="false" outlineLevel="0" collapsed="false">
      <c r="A337" s="12"/>
      <c r="H337" s="14"/>
      <c r="I337" s="14"/>
      <c r="Q337" s="14"/>
      <c r="R337" s="14"/>
      <c r="S337" s="14"/>
      <c r="T337" s="14"/>
      <c r="U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</row>
    <row r="338" customFormat="false" ht="15" hidden="false" customHeight="false" outlineLevel="0" collapsed="false">
      <c r="A338" s="12" t="s">
        <v>89</v>
      </c>
      <c r="H338" s="14"/>
      <c r="I338" s="14"/>
      <c r="Q338" s="14"/>
      <c r="R338" s="14"/>
      <c r="S338" s="14"/>
      <c r="T338" s="14"/>
      <c r="U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</row>
    <row r="339" customFormat="false" ht="15" hidden="false" customHeight="false" outlineLevel="0" collapsed="false">
      <c r="A339" s="12"/>
      <c r="H339" s="14"/>
      <c r="I339" s="14"/>
      <c r="Q339" s="14"/>
      <c r="R339" s="14"/>
      <c r="S339" s="14"/>
      <c r="T339" s="14"/>
      <c r="U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</row>
    <row r="340" customFormat="false" ht="15" hidden="false" customHeight="false" outlineLevel="0" collapsed="false">
      <c r="A340" s="12" t="s">
        <v>74</v>
      </c>
      <c r="H340" s="14"/>
      <c r="I340" s="14"/>
      <c r="Q340" s="14"/>
      <c r="R340" s="14"/>
      <c r="S340" s="14"/>
      <c r="T340" s="14"/>
      <c r="U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</row>
    <row r="341" customFormat="false" ht="15" hidden="false" customHeight="false" outlineLevel="0" collapsed="false">
      <c r="A341" s="12"/>
      <c r="H341" s="14"/>
      <c r="I341" s="14"/>
      <c r="Q341" s="14"/>
      <c r="R341" s="14"/>
      <c r="S341" s="14"/>
      <c r="T341" s="14"/>
      <c r="U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</row>
    <row r="342" customFormat="false" ht="15" hidden="false" customHeight="false" outlineLevel="0" collapsed="false">
      <c r="A342" s="12" t="s">
        <v>89</v>
      </c>
      <c r="H342" s="14"/>
      <c r="I342" s="14"/>
      <c r="Q342" s="14"/>
      <c r="R342" s="14"/>
      <c r="S342" s="14"/>
      <c r="T342" s="14"/>
      <c r="U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</row>
    <row r="343" customFormat="false" ht="15" hidden="false" customHeight="false" outlineLevel="0" collapsed="false">
      <c r="A343" s="12"/>
      <c r="H343" s="14"/>
      <c r="I343" s="14"/>
      <c r="Q343" s="14"/>
      <c r="R343" s="14"/>
      <c r="S343" s="14"/>
      <c r="T343" s="14"/>
      <c r="U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</row>
    <row r="344" customFormat="false" ht="15" hidden="false" customHeight="false" outlineLevel="0" collapsed="false">
      <c r="A344" s="12" t="s">
        <v>74</v>
      </c>
      <c r="H344" s="14"/>
      <c r="I344" s="14"/>
      <c r="Q344" s="14"/>
      <c r="R344" s="14"/>
      <c r="S344" s="14"/>
      <c r="T344" s="14"/>
      <c r="U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</row>
    <row r="345" customFormat="false" ht="15" hidden="false" customHeight="false" outlineLevel="0" collapsed="false">
      <c r="A345" s="12"/>
      <c r="H345" s="14"/>
      <c r="I345" s="14"/>
      <c r="Q345" s="14"/>
      <c r="R345" s="14"/>
      <c r="S345" s="14"/>
      <c r="T345" s="14"/>
      <c r="U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</row>
    <row r="346" customFormat="false" ht="15" hidden="false" customHeight="false" outlineLevel="0" collapsed="false">
      <c r="A346" s="12" t="s">
        <v>89</v>
      </c>
      <c r="H346" s="14"/>
      <c r="I346" s="14"/>
      <c r="Q346" s="14"/>
      <c r="R346" s="14"/>
      <c r="S346" s="14"/>
      <c r="T346" s="14"/>
      <c r="U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</row>
    <row r="347" customFormat="false" ht="15" hidden="false" customHeight="false" outlineLevel="0" collapsed="false">
      <c r="A347" s="12"/>
      <c r="H347" s="14"/>
      <c r="I347" s="14"/>
      <c r="Q347" s="14"/>
      <c r="R347" s="14"/>
      <c r="S347" s="14"/>
      <c r="T347" s="14"/>
      <c r="U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</row>
    <row r="348" customFormat="false" ht="15" hidden="false" customHeight="false" outlineLevel="0" collapsed="false">
      <c r="A348" s="12" t="s">
        <v>74</v>
      </c>
      <c r="H348" s="14"/>
      <c r="I348" s="14"/>
      <c r="Q348" s="14"/>
      <c r="R348" s="14"/>
      <c r="S348" s="14"/>
      <c r="T348" s="14"/>
      <c r="U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</row>
    <row r="349" customFormat="false" ht="15" hidden="false" customHeight="false" outlineLevel="0" collapsed="false">
      <c r="A349" s="12"/>
      <c r="H349" s="14"/>
      <c r="I349" s="14"/>
      <c r="Q349" s="14"/>
      <c r="R349" s="14"/>
      <c r="S349" s="14"/>
      <c r="T349" s="14"/>
      <c r="U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</row>
    <row r="350" customFormat="false" ht="15" hidden="false" customHeight="false" outlineLevel="0" collapsed="false">
      <c r="A350" s="12" t="s">
        <v>89</v>
      </c>
      <c r="H350" s="14"/>
      <c r="I350" s="14"/>
      <c r="Q350" s="14"/>
      <c r="R350" s="14"/>
      <c r="S350" s="14"/>
      <c r="T350" s="14"/>
      <c r="U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</row>
    <row r="351" customFormat="false" ht="15" hidden="false" customHeight="false" outlineLevel="0" collapsed="false">
      <c r="A351" s="12"/>
      <c r="H351" s="14"/>
      <c r="I351" s="14"/>
      <c r="Q351" s="14"/>
      <c r="R351" s="14"/>
      <c r="S351" s="14"/>
      <c r="T351" s="14"/>
      <c r="U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</row>
    <row r="352" customFormat="false" ht="15" hidden="false" customHeight="false" outlineLevel="0" collapsed="false">
      <c r="A352" s="12" t="s">
        <v>74</v>
      </c>
      <c r="H352" s="14"/>
      <c r="I352" s="14"/>
      <c r="Q352" s="14"/>
      <c r="R352" s="14"/>
      <c r="S352" s="14"/>
      <c r="T352" s="14"/>
      <c r="U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</row>
    <row r="353" customFormat="false" ht="15" hidden="false" customHeight="false" outlineLevel="0" collapsed="false">
      <c r="A353" s="12"/>
      <c r="H353" s="14"/>
      <c r="I353" s="14"/>
      <c r="Q353" s="14"/>
      <c r="R353" s="14"/>
      <c r="S353" s="14"/>
      <c r="T353" s="14"/>
      <c r="U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</row>
    <row r="354" customFormat="false" ht="15" hidden="false" customHeight="false" outlineLevel="0" collapsed="false">
      <c r="A354" s="12" t="s">
        <v>89</v>
      </c>
      <c r="H354" s="14"/>
      <c r="I354" s="14"/>
      <c r="Q354" s="14"/>
      <c r="R354" s="14"/>
      <c r="S354" s="14"/>
      <c r="T354" s="14"/>
      <c r="U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</row>
    <row r="355" customFormat="false" ht="15" hidden="false" customHeight="false" outlineLevel="0" collapsed="false">
      <c r="A355" s="12"/>
      <c r="H355" s="14"/>
      <c r="I355" s="14"/>
      <c r="Q355" s="14"/>
      <c r="R355" s="14"/>
      <c r="S355" s="14"/>
      <c r="T355" s="14"/>
      <c r="U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</row>
    <row r="356" customFormat="false" ht="15" hidden="false" customHeight="false" outlineLevel="0" collapsed="false">
      <c r="A356" s="12" t="s">
        <v>74</v>
      </c>
      <c r="H356" s="14"/>
      <c r="I356" s="14"/>
      <c r="Q356" s="14"/>
      <c r="R356" s="14"/>
      <c r="S356" s="14"/>
      <c r="T356" s="14"/>
      <c r="U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</row>
    <row r="357" customFormat="false" ht="15" hidden="false" customHeight="false" outlineLevel="0" collapsed="false">
      <c r="A357" s="12"/>
      <c r="H357" s="14"/>
      <c r="I357" s="14"/>
      <c r="Q357" s="14"/>
      <c r="R357" s="14"/>
      <c r="S357" s="14"/>
      <c r="T357" s="14"/>
      <c r="U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</row>
    <row r="358" customFormat="false" ht="15" hidden="false" customHeight="false" outlineLevel="0" collapsed="false">
      <c r="A358" s="12" t="s">
        <v>89</v>
      </c>
      <c r="H358" s="14"/>
      <c r="I358" s="14"/>
      <c r="Q358" s="14"/>
      <c r="R358" s="14"/>
      <c r="S358" s="14"/>
      <c r="T358" s="14"/>
      <c r="U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</row>
    <row r="359" customFormat="false" ht="15" hidden="false" customHeight="false" outlineLevel="0" collapsed="false">
      <c r="A359" s="12"/>
      <c r="H359" s="14"/>
      <c r="I359" s="14"/>
      <c r="Q359" s="14"/>
      <c r="R359" s="14"/>
      <c r="S359" s="14"/>
      <c r="T359" s="14"/>
      <c r="U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</row>
    <row r="360" customFormat="false" ht="15" hidden="false" customHeight="false" outlineLevel="0" collapsed="false">
      <c r="A360" s="12" t="s">
        <v>74</v>
      </c>
      <c r="H360" s="14"/>
      <c r="I360" s="14"/>
      <c r="Q360" s="14"/>
      <c r="R360" s="14"/>
      <c r="S360" s="14"/>
      <c r="T360" s="14"/>
      <c r="U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</row>
    <row r="361" customFormat="false" ht="15" hidden="false" customHeight="false" outlineLevel="0" collapsed="false">
      <c r="A361" s="12"/>
    </row>
    <row r="362" customFormat="false" ht="15" hidden="false" customHeight="false" outlineLevel="0" collapsed="false">
      <c r="A362" s="12" t="s">
        <v>89</v>
      </c>
    </row>
    <row r="363" customFormat="false" ht="15" hidden="false" customHeight="false" outlineLevel="0" collapsed="false">
      <c r="A363" s="12"/>
    </row>
    <row r="364" customFormat="false" ht="15" hidden="false" customHeight="false" outlineLevel="0" collapsed="false">
      <c r="A364" s="12" t="s">
        <v>74</v>
      </c>
    </row>
    <row r="365" customFormat="false" ht="15" hidden="false" customHeight="false" outlineLevel="0" collapsed="false">
      <c r="A365" s="12"/>
    </row>
    <row r="366" customFormat="false" ht="15" hidden="false" customHeight="false" outlineLevel="0" collapsed="false">
      <c r="A366" s="12" t="s">
        <v>89</v>
      </c>
    </row>
    <row r="367" customFormat="false" ht="15" hidden="false" customHeight="false" outlineLevel="0" collapsed="false">
      <c r="A367" s="12"/>
    </row>
    <row r="368" customFormat="false" ht="15" hidden="false" customHeight="false" outlineLevel="0" collapsed="false">
      <c r="A368" s="12" t="s">
        <v>74</v>
      </c>
    </row>
    <row r="369" customFormat="false" ht="15" hidden="false" customHeight="false" outlineLevel="0" collapsed="false">
      <c r="A369" s="12"/>
    </row>
    <row r="370" customFormat="false" ht="15" hidden="false" customHeight="false" outlineLevel="0" collapsed="false">
      <c r="A370" s="12" t="s">
        <v>89</v>
      </c>
    </row>
    <row r="371" customFormat="false" ht="15" hidden="false" customHeight="false" outlineLevel="0" collapsed="false">
      <c r="A371" s="12"/>
    </row>
    <row r="372" customFormat="false" ht="15" hidden="false" customHeight="false" outlineLevel="0" collapsed="false">
      <c r="A372" s="12" t="s">
        <v>74</v>
      </c>
    </row>
    <row r="373" customFormat="false" ht="15" hidden="false" customHeight="false" outlineLevel="0" collapsed="false">
      <c r="A373" s="12"/>
    </row>
    <row r="374" customFormat="false" ht="15" hidden="false" customHeight="false" outlineLevel="0" collapsed="false">
      <c r="A374" s="12" t="s">
        <v>89</v>
      </c>
    </row>
    <row r="375" customFormat="false" ht="15" hidden="false" customHeight="false" outlineLevel="0" collapsed="false">
      <c r="A375" s="12"/>
    </row>
    <row r="376" customFormat="false" ht="15" hidden="false" customHeight="false" outlineLevel="0" collapsed="false">
      <c r="A376" s="12" t="s">
        <v>74</v>
      </c>
    </row>
    <row r="377" customFormat="false" ht="15" hidden="false" customHeight="false" outlineLevel="0" collapsed="false">
      <c r="A377" s="12"/>
    </row>
    <row r="378" customFormat="false" ht="15" hidden="false" customHeight="false" outlineLevel="0" collapsed="false">
      <c r="A378" s="12" t="s">
        <v>89</v>
      </c>
    </row>
    <row r="379" customFormat="false" ht="15" hidden="false" customHeight="false" outlineLevel="0" collapsed="false">
      <c r="A379" s="12"/>
    </row>
    <row r="380" customFormat="false" ht="15" hidden="false" customHeight="false" outlineLevel="0" collapsed="false">
      <c r="A380" s="12" t="s">
        <v>74</v>
      </c>
    </row>
    <row r="381" customFormat="false" ht="15" hidden="false" customHeight="false" outlineLevel="0" collapsed="false">
      <c r="A381" s="12"/>
    </row>
    <row r="382" customFormat="false" ht="15" hidden="false" customHeight="false" outlineLevel="0" collapsed="false">
      <c r="A382" s="12" t="s">
        <v>89</v>
      </c>
    </row>
    <row r="383" customFormat="false" ht="15" hidden="false" customHeight="false" outlineLevel="0" collapsed="false">
      <c r="A383" s="12"/>
    </row>
    <row r="384" customFormat="false" ht="15" hidden="false" customHeight="false" outlineLevel="0" collapsed="false">
      <c r="A384" s="12" t="s">
        <v>74</v>
      </c>
    </row>
    <row r="385" customFormat="false" ht="15" hidden="false" customHeight="false" outlineLevel="0" collapsed="false">
      <c r="A385" s="12"/>
    </row>
    <row r="386" customFormat="false" ht="15" hidden="false" customHeight="false" outlineLevel="0" collapsed="false">
      <c r="A386" s="12" t="s">
        <v>89</v>
      </c>
    </row>
    <row r="387" customFormat="false" ht="15" hidden="false" customHeight="false" outlineLevel="0" collapsed="false">
      <c r="A387" s="12"/>
    </row>
    <row r="388" customFormat="false" ht="15" hidden="false" customHeight="false" outlineLevel="0" collapsed="false">
      <c r="A388" s="12" t="s">
        <v>74</v>
      </c>
    </row>
    <row r="389" customFormat="false" ht="15" hidden="false" customHeight="false" outlineLevel="0" collapsed="false">
      <c r="A389" s="12"/>
    </row>
    <row r="390" customFormat="false" ht="15" hidden="false" customHeight="false" outlineLevel="0" collapsed="false">
      <c r="A390" s="12" t="s">
        <v>89</v>
      </c>
    </row>
    <row r="391" customFormat="false" ht="15" hidden="false" customHeight="false" outlineLevel="0" collapsed="false">
      <c r="A391" s="12"/>
    </row>
    <row r="392" customFormat="false" ht="15" hidden="false" customHeight="false" outlineLevel="0" collapsed="false">
      <c r="A392" s="12" t="s">
        <v>74</v>
      </c>
    </row>
    <row r="393" customFormat="false" ht="15" hidden="false" customHeight="false" outlineLevel="0" collapsed="false">
      <c r="A393" s="12"/>
    </row>
    <row r="394" customFormat="false" ht="15" hidden="false" customHeight="false" outlineLevel="0" collapsed="false">
      <c r="A394" s="12" t="s">
        <v>89</v>
      </c>
    </row>
    <row r="395" customFormat="false" ht="15" hidden="false" customHeight="false" outlineLevel="0" collapsed="false">
      <c r="A395" s="12"/>
    </row>
    <row r="396" customFormat="false" ht="15" hidden="false" customHeight="false" outlineLevel="0" collapsed="false">
      <c r="A396" s="12" t="s">
        <v>74</v>
      </c>
    </row>
    <row r="397" customFormat="false" ht="15" hidden="false" customHeight="false" outlineLevel="0" collapsed="false">
      <c r="A397" s="12"/>
    </row>
    <row r="398" customFormat="false" ht="15" hidden="false" customHeight="false" outlineLevel="0" collapsed="false">
      <c r="A398" s="12" t="s">
        <v>89</v>
      </c>
    </row>
    <row r="399" customFormat="false" ht="15" hidden="false" customHeight="false" outlineLevel="0" collapsed="false">
      <c r="A399" s="12"/>
    </row>
    <row r="400" customFormat="false" ht="15" hidden="false" customHeight="false" outlineLevel="0" collapsed="false">
      <c r="A400" s="12" t="s">
        <v>74</v>
      </c>
    </row>
    <row r="401" customFormat="false" ht="15" hidden="false" customHeight="false" outlineLevel="0" collapsed="false">
      <c r="A401" s="12"/>
    </row>
    <row r="402" customFormat="false" ht="15" hidden="false" customHeight="false" outlineLevel="0" collapsed="false">
      <c r="A402" s="12" t="s">
        <v>89</v>
      </c>
    </row>
    <row r="403" customFormat="false" ht="15" hidden="false" customHeight="false" outlineLevel="0" collapsed="false">
      <c r="A403" s="12"/>
    </row>
    <row r="404" customFormat="false" ht="15" hidden="false" customHeight="false" outlineLevel="0" collapsed="false">
      <c r="A404" s="12" t="s">
        <v>74</v>
      </c>
    </row>
    <row r="405" customFormat="false" ht="15" hidden="false" customHeight="false" outlineLevel="0" collapsed="false">
      <c r="A405" s="12"/>
    </row>
    <row r="406" customFormat="false" ht="15" hidden="false" customHeight="false" outlineLevel="0" collapsed="false">
      <c r="A406" s="12" t="s">
        <v>89</v>
      </c>
    </row>
    <row r="407" customFormat="false" ht="15" hidden="false" customHeight="false" outlineLevel="0" collapsed="false">
      <c r="A407" s="12"/>
    </row>
    <row r="408" customFormat="false" ht="15" hidden="false" customHeight="false" outlineLevel="0" collapsed="false">
      <c r="A408" s="12" t="s">
        <v>74</v>
      </c>
    </row>
    <row r="409" customFormat="false" ht="15" hidden="false" customHeight="false" outlineLevel="0" collapsed="false">
      <c r="A409" s="12"/>
    </row>
    <row r="410" customFormat="false" ht="15" hidden="false" customHeight="false" outlineLevel="0" collapsed="false">
      <c r="A410" s="12" t="s">
        <v>89</v>
      </c>
    </row>
    <row r="411" customFormat="false" ht="15" hidden="false" customHeight="false" outlineLevel="0" collapsed="false">
      <c r="A411" s="12"/>
    </row>
    <row r="412" customFormat="false" ht="15" hidden="false" customHeight="false" outlineLevel="0" collapsed="false">
      <c r="A412" s="12" t="s">
        <v>74</v>
      </c>
    </row>
    <row r="413" customFormat="false" ht="15" hidden="false" customHeight="false" outlineLevel="0" collapsed="false">
      <c r="A413" s="12"/>
    </row>
    <row r="414" customFormat="false" ht="15" hidden="false" customHeight="false" outlineLevel="0" collapsed="false">
      <c r="A414" s="12" t="s">
        <v>89</v>
      </c>
    </row>
    <row r="415" customFormat="false" ht="15" hidden="false" customHeight="false" outlineLevel="0" collapsed="false">
      <c r="A415" s="12"/>
    </row>
    <row r="416" customFormat="false" ht="15" hidden="false" customHeight="false" outlineLevel="0" collapsed="false">
      <c r="A416" s="12" t="s">
        <v>74</v>
      </c>
    </row>
    <row r="417" customFormat="false" ht="15" hidden="false" customHeight="false" outlineLevel="0" collapsed="false">
      <c r="A417" s="12"/>
    </row>
    <row r="418" customFormat="false" ht="15" hidden="false" customHeight="false" outlineLevel="0" collapsed="false">
      <c r="A418" s="12" t="s">
        <v>89</v>
      </c>
    </row>
    <row r="419" customFormat="false" ht="15" hidden="false" customHeight="false" outlineLevel="0" collapsed="false">
      <c r="A419" s="12"/>
    </row>
    <row r="420" customFormat="false" ht="15" hidden="false" customHeight="false" outlineLevel="0" collapsed="false">
      <c r="A420" s="12" t="s">
        <v>74</v>
      </c>
    </row>
    <row r="421" customFormat="false" ht="15" hidden="false" customHeight="false" outlineLevel="0" collapsed="false">
      <c r="A421" s="12"/>
    </row>
    <row r="422" customFormat="false" ht="15" hidden="false" customHeight="false" outlineLevel="0" collapsed="false">
      <c r="A422" s="12" t="s">
        <v>89</v>
      </c>
    </row>
    <row r="423" customFormat="false" ht="15" hidden="false" customHeight="false" outlineLevel="0" collapsed="false">
      <c r="A423" s="12"/>
    </row>
    <row r="424" customFormat="false" ht="15" hidden="false" customHeight="false" outlineLevel="0" collapsed="false">
      <c r="A424" s="12" t="s">
        <v>74</v>
      </c>
    </row>
    <row r="425" customFormat="false" ht="15" hidden="false" customHeight="false" outlineLevel="0" collapsed="false">
      <c r="A425" s="12"/>
    </row>
    <row r="426" customFormat="false" ht="15" hidden="false" customHeight="false" outlineLevel="0" collapsed="false">
      <c r="A426" s="12" t="s">
        <v>89</v>
      </c>
    </row>
    <row r="427" customFormat="false" ht="15" hidden="false" customHeight="false" outlineLevel="0" collapsed="false">
      <c r="A427" s="12"/>
    </row>
    <row r="428" customFormat="false" ht="15" hidden="false" customHeight="false" outlineLevel="0" collapsed="false">
      <c r="A428" s="12" t="s">
        <v>74</v>
      </c>
    </row>
    <row r="429" customFormat="false" ht="15" hidden="false" customHeight="false" outlineLevel="0" collapsed="false">
      <c r="A429" s="12"/>
    </row>
    <row r="430" customFormat="false" ht="15" hidden="false" customHeight="false" outlineLevel="0" collapsed="false">
      <c r="A430" s="12" t="s">
        <v>89</v>
      </c>
    </row>
    <row r="431" customFormat="false" ht="15" hidden="false" customHeight="false" outlineLevel="0" collapsed="false">
      <c r="A431" s="12"/>
    </row>
    <row r="432" customFormat="false" ht="15" hidden="false" customHeight="false" outlineLevel="0" collapsed="false">
      <c r="A432" s="12" t="s">
        <v>74</v>
      </c>
    </row>
    <row r="433" customFormat="false" ht="15" hidden="false" customHeight="false" outlineLevel="0" collapsed="false">
      <c r="A433" s="12"/>
    </row>
    <row r="434" customFormat="false" ht="15" hidden="false" customHeight="false" outlineLevel="0" collapsed="false">
      <c r="A434" s="12" t="s">
        <v>89</v>
      </c>
    </row>
    <row r="435" customFormat="false" ht="15" hidden="false" customHeight="false" outlineLevel="0" collapsed="false">
      <c r="A435" s="12"/>
    </row>
    <row r="436" customFormat="false" ht="15" hidden="false" customHeight="false" outlineLevel="0" collapsed="false">
      <c r="A436" s="12" t="s">
        <v>74</v>
      </c>
    </row>
    <row r="437" customFormat="false" ht="15" hidden="false" customHeight="false" outlineLevel="0" collapsed="false">
      <c r="A437" s="12"/>
    </row>
    <row r="438" customFormat="false" ht="15" hidden="false" customHeight="false" outlineLevel="0" collapsed="false">
      <c r="A438" s="12" t="s">
        <v>89</v>
      </c>
    </row>
    <row r="439" customFormat="false" ht="15" hidden="false" customHeight="false" outlineLevel="0" collapsed="false">
      <c r="A439" s="12"/>
    </row>
    <row r="440" customFormat="false" ht="15" hidden="false" customHeight="false" outlineLevel="0" collapsed="false">
      <c r="A440" s="12" t="s">
        <v>74</v>
      </c>
    </row>
    <row r="441" customFormat="false" ht="15" hidden="false" customHeight="false" outlineLevel="0" collapsed="false">
      <c r="A441" s="12"/>
    </row>
    <row r="442" customFormat="false" ht="15" hidden="false" customHeight="false" outlineLevel="0" collapsed="false">
      <c r="A442" s="12" t="s">
        <v>89</v>
      </c>
    </row>
    <row r="443" customFormat="false" ht="15" hidden="false" customHeight="false" outlineLevel="0" collapsed="false">
      <c r="A443" s="12"/>
    </row>
    <row r="444" customFormat="false" ht="15" hidden="false" customHeight="false" outlineLevel="0" collapsed="false">
      <c r="A444" s="12" t="s">
        <v>74</v>
      </c>
    </row>
    <row r="445" customFormat="false" ht="15" hidden="false" customHeight="false" outlineLevel="0" collapsed="false">
      <c r="A445" s="12"/>
    </row>
    <row r="446" customFormat="false" ht="15" hidden="false" customHeight="false" outlineLevel="0" collapsed="false">
      <c r="A446" s="12" t="s">
        <v>89</v>
      </c>
    </row>
    <row r="447" customFormat="false" ht="15" hidden="false" customHeight="false" outlineLevel="0" collapsed="false">
      <c r="A447" s="12"/>
    </row>
    <row r="448" customFormat="false" ht="15" hidden="false" customHeight="false" outlineLevel="0" collapsed="false">
      <c r="A448" s="12" t="s">
        <v>74</v>
      </c>
    </row>
    <row r="449" customFormat="false" ht="15" hidden="false" customHeight="false" outlineLevel="0" collapsed="false">
      <c r="A449" s="12"/>
    </row>
    <row r="450" customFormat="false" ht="15" hidden="false" customHeight="false" outlineLevel="0" collapsed="false">
      <c r="A450" s="12" t="s">
        <v>89</v>
      </c>
    </row>
    <row r="451" customFormat="false" ht="15" hidden="false" customHeight="false" outlineLevel="0" collapsed="false">
      <c r="A451" s="12"/>
    </row>
    <row r="452" customFormat="false" ht="15" hidden="false" customHeight="false" outlineLevel="0" collapsed="false">
      <c r="A452" s="12" t="s">
        <v>74</v>
      </c>
    </row>
    <row r="453" customFormat="false" ht="15" hidden="false" customHeight="false" outlineLevel="0" collapsed="false">
      <c r="A453" s="12"/>
    </row>
    <row r="454" customFormat="false" ht="15" hidden="false" customHeight="false" outlineLevel="0" collapsed="false">
      <c r="A454" s="12" t="s">
        <v>89</v>
      </c>
    </row>
    <row r="455" customFormat="false" ht="15" hidden="false" customHeight="false" outlineLevel="0" collapsed="false">
      <c r="A455" s="12"/>
    </row>
    <row r="456" customFormat="false" ht="15" hidden="false" customHeight="false" outlineLevel="0" collapsed="false">
      <c r="A456" s="12" t="s">
        <v>74</v>
      </c>
    </row>
    <row r="457" customFormat="false" ht="15" hidden="false" customHeight="false" outlineLevel="0" collapsed="false">
      <c r="A457" s="12"/>
    </row>
    <row r="458" customFormat="false" ht="15" hidden="false" customHeight="false" outlineLevel="0" collapsed="false">
      <c r="A458" s="12" t="s">
        <v>89</v>
      </c>
    </row>
    <row r="459" customFormat="false" ht="15" hidden="false" customHeight="false" outlineLevel="0" collapsed="false">
      <c r="A459" s="12"/>
    </row>
    <row r="460" customFormat="false" ht="15" hidden="false" customHeight="false" outlineLevel="0" collapsed="false">
      <c r="A460" s="12" t="s">
        <v>74</v>
      </c>
    </row>
    <row r="461" customFormat="false" ht="15" hidden="false" customHeight="false" outlineLevel="0" collapsed="false">
      <c r="A461" s="12"/>
    </row>
    <row r="462" customFormat="false" ht="15" hidden="false" customHeight="false" outlineLevel="0" collapsed="false">
      <c r="A462" s="12" t="s">
        <v>89</v>
      </c>
    </row>
    <row r="463" customFormat="false" ht="15" hidden="false" customHeight="false" outlineLevel="0" collapsed="false">
      <c r="A463" s="12"/>
    </row>
    <row r="464" customFormat="false" ht="15" hidden="false" customHeight="false" outlineLevel="0" collapsed="false">
      <c r="A464" s="12" t="s">
        <v>74</v>
      </c>
    </row>
    <row r="465" customFormat="false" ht="15" hidden="false" customHeight="false" outlineLevel="0" collapsed="false">
      <c r="A465" s="12"/>
    </row>
    <row r="466" customFormat="false" ht="15" hidden="false" customHeight="false" outlineLevel="0" collapsed="false">
      <c r="A466" s="12" t="s">
        <v>89</v>
      </c>
    </row>
    <row r="467" customFormat="false" ht="15" hidden="false" customHeight="false" outlineLevel="0" collapsed="false">
      <c r="A467" s="12"/>
    </row>
    <row r="468" customFormat="false" ht="15" hidden="false" customHeight="false" outlineLevel="0" collapsed="false">
      <c r="A468" s="12" t="s">
        <v>74</v>
      </c>
    </row>
    <row r="469" customFormat="false" ht="15" hidden="false" customHeight="false" outlineLevel="0" collapsed="false">
      <c r="A469" s="12"/>
    </row>
    <row r="470" customFormat="false" ht="15" hidden="false" customHeight="false" outlineLevel="0" collapsed="false">
      <c r="A470" s="12" t="s">
        <v>89</v>
      </c>
    </row>
    <row r="471" customFormat="false" ht="15" hidden="false" customHeight="false" outlineLevel="0" collapsed="false">
      <c r="A471" s="12"/>
    </row>
    <row r="472" customFormat="false" ht="15" hidden="false" customHeight="false" outlineLevel="0" collapsed="false">
      <c r="A472" s="12" t="s">
        <v>74</v>
      </c>
    </row>
    <row r="473" customFormat="false" ht="15" hidden="false" customHeight="false" outlineLevel="0" collapsed="false">
      <c r="A473" s="12"/>
    </row>
    <row r="474" customFormat="false" ht="15" hidden="false" customHeight="false" outlineLevel="0" collapsed="false">
      <c r="A474" s="12" t="s">
        <v>89</v>
      </c>
    </row>
    <row r="475" customFormat="false" ht="15" hidden="false" customHeight="false" outlineLevel="0" collapsed="false">
      <c r="A475" s="12"/>
    </row>
    <row r="476" customFormat="false" ht="15" hidden="false" customHeight="false" outlineLevel="0" collapsed="false">
      <c r="A476" s="12" t="s">
        <v>74</v>
      </c>
    </row>
    <row r="477" customFormat="false" ht="15" hidden="false" customHeight="false" outlineLevel="0" collapsed="false">
      <c r="A477" s="12"/>
    </row>
    <row r="478" customFormat="false" ht="15" hidden="false" customHeight="false" outlineLevel="0" collapsed="false">
      <c r="A478" s="12" t="s">
        <v>89</v>
      </c>
    </row>
    <row r="479" customFormat="false" ht="15" hidden="false" customHeight="false" outlineLevel="0" collapsed="false">
      <c r="A479" s="12"/>
    </row>
    <row r="480" customFormat="false" ht="15" hidden="false" customHeight="false" outlineLevel="0" collapsed="false">
      <c r="A480" s="12" t="s">
        <v>74</v>
      </c>
    </row>
    <row r="481" customFormat="false" ht="15" hidden="false" customHeight="false" outlineLevel="0" collapsed="false">
      <c r="A481" s="12"/>
    </row>
    <row r="482" customFormat="false" ht="15" hidden="false" customHeight="false" outlineLevel="0" collapsed="false">
      <c r="A482" s="12" t="s">
        <v>89</v>
      </c>
    </row>
    <row r="483" customFormat="false" ht="15" hidden="false" customHeight="false" outlineLevel="0" collapsed="false">
      <c r="A483" s="12"/>
    </row>
    <row r="484" customFormat="false" ht="15" hidden="false" customHeight="false" outlineLevel="0" collapsed="false">
      <c r="A484" s="12" t="s">
        <v>74</v>
      </c>
    </row>
    <row r="485" customFormat="false" ht="15" hidden="false" customHeight="false" outlineLevel="0" collapsed="false">
      <c r="A485" s="12"/>
    </row>
    <row r="486" customFormat="false" ht="15" hidden="false" customHeight="false" outlineLevel="0" collapsed="false">
      <c r="A486" s="12" t="s">
        <v>89</v>
      </c>
    </row>
    <row r="487" customFormat="false" ht="15" hidden="false" customHeight="false" outlineLevel="0" collapsed="false">
      <c r="A487" s="12"/>
    </row>
    <row r="488" customFormat="false" ht="15" hidden="false" customHeight="false" outlineLevel="0" collapsed="false">
      <c r="A488" s="12" t="s">
        <v>74</v>
      </c>
    </row>
    <row r="489" customFormat="false" ht="15" hidden="false" customHeight="false" outlineLevel="0" collapsed="false">
      <c r="A489" s="12"/>
    </row>
    <row r="490" customFormat="false" ht="15" hidden="false" customHeight="false" outlineLevel="0" collapsed="false">
      <c r="A490" s="12" t="s">
        <v>89</v>
      </c>
    </row>
    <row r="491" customFormat="false" ht="15" hidden="false" customHeight="false" outlineLevel="0" collapsed="false">
      <c r="A491" s="12"/>
    </row>
    <row r="492" customFormat="false" ht="15" hidden="false" customHeight="false" outlineLevel="0" collapsed="false">
      <c r="A492" s="12" t="s">
        <v>74</v>
      </c>
    </row>
    <row r="493" customFormat="false" ht="15" hidden="false" customHeight="false" outlineLevel="0" collapsed="false">
      <c r="A493" s="12"/>
    </row>
    <row r="494" customFormat="false" ht="15" hidden="false" customHeight="false" outlineLevel="0" collapsed="false">
      <c r="A494" s="12" t="s">
        <v>89</v>
      </c>
    </row>
    <row r="495" customFormat="false" ht="15" hidden="false" customHeight="false" outlineLevel="0" collapsed="false">
      <c r="A495" s="12"/>
    </row>
    <row r="496" customFormat="false" ht="15" hidden="false" customHeight="false" outlineLevel="0" collapsed="false">
      <c r="A496" s="12" t="s">
        <v>74</v>
      </c>
    </row>
    <row r="497" customFormat="false" ht="15" hidden="false" customHeight="false" outlineLevel="0" collapsed="false">
      <c r="A497" s="12"/>
    </row>
    <row r="498" customFormat="false" ht="15" hidden="false" customHeight="false" outlineLevel="0" collapsed="false">
      <c r="A498" s="12" t="s">
        <v>89</v>
      </c>
    </row>
    <row r="499" customFormat="false" ht="15" hidden="false" customHeight="false" outlineLevel="0" collapsed="false">
      <c r="A499" s="12"/>
    </row>
    <row r="500" customFormat="false" ht="15" hidden="false" customHeight="false" outlineLevel="0" collapsed="false">
      <c r="A500" s="12" t="s">
        <v>74</v>
      </c>
    </row>
    <row r="501" customFormat="false" ht="15" hidden="false" customHeight="false" outlineLevel="0" collapsed="false">
      <c r="A501" s="12"/>
    </row>
    <row r="502" customFormat="false" ht="15" hidden="false" customHeight="false" outlineLevel="0" collapsed="false">
      <c r="A502" s="12" t="s">
        <v>89</v>
      </c>
    </row>
    <row r="503" customFormat="false" ht="15" hidden="false" customHeight="false" outlineLevel="0" collapsed="false">
      <c r="A503" s="12"/>
    </row>
    <row r="504" customFormat="false" ht="15" hidden="false" customHeight="false" outlineLevel="0" collapsed="false">
      <c r="A504" s="12" t="s">
        <v>74</v>
      </c>
    </row>
    <row r="505" customFormat="false" ht="15" hidden="false" customHeight="false" outlineLevel="0" collapsed="false">
      <c r="A505" s="12"/>
    </row>
    <row r="506" customFormat="false" ht="15" hidden="false" customHeight="false" outlineLevel="0" collapsed="false">
      <c r="A506" s="12" t="s">
        <v>89</v>
      </c>
    </row>
    <row r="507" customFormat="false" ht="15" hidden="false" customHeight="false" outlineLevel="0" collapsed="false">
      <c r="A507" s="12"/>
    </row>
    <row r="508" customFormat="false" ht="15" hidden="false" customHeight="false" outlineLevel="0" collapsed="false">
      <c r="A508" s="12" t="s">
        <v>74</v>
      </c>
    </row>
    <row r="509" customFormat="false" ht="15" hidden="false" customHeight="false" outlineLevel="0" collapsed="false">
      <c r="A509" s="12"/>
    </row>
    <row r="510" customFormat="false" ht="15" hidden="false" customHeight="false" outlineLevel="0" collapsed="false">
      <c r="A510" s="12" t="s">
        <v>89</v>
      </c>
    </row>
    <row r="511" customFormat="false" ht="15" hidden="false" customHeight="false" outlineLevel="0" collapsed="false">
      <c r="A511" s="12"/>
    </row>
    <row r="512" customFormat="false" ht="15" hidden="false" customHeight="false" outlineLevel="0" collapsed="false">
      <c r="A512" s="12" t="s">
        <v>74</v>
      </c>
    </row>
    <row r="513" customFormat="false" ht="15" hidden="false" customHeight="false" outlineLevel="0" collapsed="false">
      <c r="A513" s="12"/>
    </row>
    <row r="514" customFormat="false" ht="15" hidden="false" customHeight="false" outlineLevel="0" collapsed="false">
      <c r="A514" s="12" t="s">
        <v>89</v>
      </c>
    </row>
    <row r="515" customFormat="false" ht="15" hidden="false" customHeight="false" outlineLevel="0" collapsed="false">
      <c r="A515" s="12"/>
    </row>
    <row r="516" customFormat="false" ht="15" hidden="false" customHeight="false" outlineLevel="0" collapsed="false">
      <c r="A516" s="12" t="s">
        <v>74</v>
      </c>
    </row>
    <row r="517" customFormat="false" ht="15" hidden="false" customHeight="false" outlineLevel="0" collapsed="false">
      <c r="A517" s="12"/>
    </row>
    <row r="518" customFormat="false" ht="15" hidden="false" customHeight="false" outlineLevel="0" collapsed="false">
      <c r="A518" s="12" t="s">
        <v>89</v>
      </c>
    </row>
    <row r="519" customFormat="false" ht="15" hidden="false" customHeight="false" outlineLevel="0" collapsed="false">
      <c r="A519" s="12"/>
    </row>
    <row r="520" customFormat="false" ht="15" hidden="false" customHeight="false" outlineLevel="0" collapsed="false">
      <c r="A520" s="12" t="s">
        <v>74</v>
      </c>
    </row>
    <row r="521" customFormat="false" ht="15" hidden="false" customHeight="false" outlineLevel="0" collapsed="false">
      <c r="A521" s="12"/>
    </row>
    <row r="522" customFormat="false" ht="15" hidden="false" customHeight="false" outlineLevel="0" collapsed="false">
      <c r="A522" s="12" t="s">
        <v>89</v>
      </c>
    </row>
    <row r="523" customFormat="false" ht="15" hidden="false" customHeight="false" outlineLevel="0" collapsed="false">
      <c r="A523" s="12"/>
    </row>
    <row r="524" customFormat="false" ht="15" hidden="false" customHeight="false" outlineLevel="0" collapsed="false">
      <c r="A524" s="12" t="s">
        <v>74</v>
      </c>
    </row>
    <row r="525" customFormat="false" ht="15" hidden="false" customHeight="false" outlineLevel="0" collapsed="false">
      <c r="A525" s="12"/>
    </row>
    <row r="526" customFormat="false" ht="15" hidden="false" customHeight="false" outlineLevel="0" collapsed="false">
      <c r="A526" s="12" t="s">
        <v>89</v>
      </c>
    </row>
    <row r="527" customFormat="false" ht="15" hidden="false" customHeight="false" outlineLevel="0" collapsed="false">
      <c r="A527" s="12"/>
    </row>
    <row r="528" customFormat="false" ht="15" hidden="false" customHeight="false" outlineLevel="0" collapsed="false">
      <c r="A528" s="12" t="s">
        <v>74</v>
      </c>
    </row>
    <row r="529" customFormat="false" ht="15" hidden="false" customHeight="false" outlineLevel="0" collapsed="false">
      <c r="A529" s="12"/>
    </row>
    <row r="530" customFormat="false" ht="15" hidden="false" customHeight="false" outlineLevel="0" collapsed="false">
      <c r="A530" s="12" t="s">
        <v>89</v>
      </c>
    </row>
    <row r="531" customFormat="false" ht="15" hidden="false" customHeight="false" outlineLevel="0" collapsed="false">
      <c r="A531" s="12"/>
    </row>
    <row r="532" customFormat="false" ht="15" hidden="false" customHeight="false" outlineLevel="0" collapsed="false">
      <c r="A532" s="12" t="s">
        <v>74</v>
      </c>
    </row>
    <row r="533" customFormat="false" ht="15" hidden="false" customHeight="false" outlineLevel="0" collapsed="false">
      <c r="A533" s="12"/>
    </row>
    <row r="534" customFormat="false" ht="15" hidden="false" customHeight="false" outlineLevel="0" collapsed="false">
      <c r="A534" s="12" t="s">
        <v>89</v>
      </c>
    </row>
    <row r="535" customFormat="false" ht="15" hidden="false" customHeight="false" outlineLevel="0" collapsed="false">
      <c r="A535" s="12"/>
    </row>
    <row r="536" customFormat="false" ht="15" hidden="false" customHeight="false" outlineLevel="0" collapsed="false">
      <c r="A536" s="12" t="s">
        <v>74</v>
      </c>
    </row>
    <row r="537" customFormat="false" ht="15" hidden="false" customHeight="false" outlineLevel="0" collapsed="false">
      <c r="A537" s="12"/>
    </row>
    <row r="538" customFormat="false" ht="15" hidden="false" customHeight="false" outlineLevel="0" collapsed="false">
      <c r="A538" s="12" t="s">
        <v>89</v>
      </c>
    </row>
    <row r="539" customFormat="false" ht="15" hidden="false" customHeight="false" outlineLevel="0" collapsed="false">
      <c r="A539" s="12"/>
    </row>
    <row r="540" customFormat="false" ht="15" hidden="false" customHeight="false" outlineLevel="0" collapsed="false">
      <c r="A540" s="12" t="s">
        <v>74</v>
      </c>
    </row>
    <row r="541" customFormat="false" ht="15" hidden="false" customHeight="false" outlineLevel="0" collapsed="false">
      <c r="A541" s="12"/>
    </row>
    <row r="542" customFormat="false" ht="15" hidden="false" customHeight="false" outlineLevel="0" collapsed="false">
      <c r="A542" s="12" t="s">
        <v>89</v>
      </c>
    </row>
    <row r="543" customFormat="false" ht="15" hidden="false" customHeight="false" outlineLevel="0" collapsed="false">
      <c r="A543" s="12"/>
    </row>
    <row r="544" customFormat="false" ht="15" hidden="false" customHeight="false" outlineLevel="0" collapsed="false">
      <c r="A544" s="12" t="s">
        <v>74</v>
      </c>
    </row>
    <row r="545" customFormat="false" ht="15" hidden="false" customHeight="false" outlineLevel="0" collapsed="false">
      <c r="A545" s="12"/>
    </row>
    <row r="546" customFormat="false" ht="15" hidden="false" customHeight="false" outlineLevel="0" collapsed="false">
      <c r="A546" s="12" t="s">
        <v>89</v>
      </c>
    </row>
    <row r="547" customFormat="false" ht="15" hidden="false" customHeight="false" outlineLevel="0" collapsed="false">
      <c r="A547" s="12"/>
    </row>
    <row r="548" customFormat="false" ht="15" hidden="false" customHeight="false" outlineLevel="0" collapsed="false">
      <c r="A548" s="12" t="s">
        <v>74</v>
      </c>
    </row>
    <row r="549" customFormat="false" ht="15" hidden="false" customHeight="false" outlineLevel="0" collapsed="false">
      <c r="A549" s="12"/>
    </row>
    <row r="550" customFormat="false" ht="15" hidden="false" customHeight="false" outlineLevel="0" collapsed="false">
      <c r="A550" s="12" t="s">
        <v>89</v>
      </c>
    </row>
    <row r="551" customFormat="false" ht="15" hidden="false" customHeight="false" outlineLevel="0" collapsed="false">
      <c r="A551" s="12"/>
    </row>
    <row r="552" customFormat="false" ht="15" hidden="false" customHeight="false" outlineLevel="0" collapsed="false">
      <c r="A552" s="12" t="s">
        <v>74</v>
      </c>
    </row>
    <row r="553" customFormat="false" ht="15" hidden="false" customHeight="false" outlineLevel="0" collapsed="false">
      <c r="A553" s="12"/>
    </row>
    <row r="554" customFormat="false" ht="15" hidden="false" customHeight="false" outlineLevel="0" collapsed="false">
      <c r="A554" s="12" t="s">
        <v>89</v>
      </c>
    </row>
    <row r="555" customFormat="false" ht="15" hidden="false" customHeight="false" outlineLevel="0" collapsed="false">
      <c r="A555" s="12"/>
    </row>
    <row r="556" customFormat="false" ht="15" hidden="false" customHeight="false" outlineLevel="0" collapsed="false">
      <c r="A556" s="12" t="s">
        <v>74</v>
      </c>
    </row>
    <row r="557" customFormat="false" ht="15" hidden="false" customHeight="false" outlineLevel="0" collapsed="false">
      <c r="A557" s="12"/>
    </row>
    <row r="558" customFormat="false" ht="15" hidden="false" customHeight="false" outlineLevel="0" collapsed="false">
      <c r="A558" s="12" t="s">
        <v>89</v>
      </c>
    </row>
    <row r="559" customFormat="false" ht="15" hidden="false" customHeight="false" outlineLevel="0" collapsed="false">
      <c r="A559" s="12"/>
    </row>
    <row r="560" customFormat="false" ht="15" hidden="false" customHeight="false" outlineLevel="0" collapsed="false">
      <c r="A560" s="12" t="s">
        <v>74</v>
      </c>
    </row>
    <row r="561" customFormat="false" ht="15" hidden="false" customHeight="false" outlineLevel="0" collapsed="false">
      <c r="A561" s="12"/>
    </row>
    <row r="562" customFormat="false" ht="15" hidden="false" customHeight="false" outlineLevel="0" collapsed="false">
      <c r="A562" s="12" t="s">
        <v>89</v>
      </c>
    </row>
    <row r="563" customFormat="false" ht="15" hidden="false" customHeight="false" outlineLevel="0" collapsed="false">
      <c r="A563" s="12"/>
    </row>
    <row r="564" customFormat="false" ht="15" hidden="false" customHeight="false" outlineLevel="0" collapsed="false">
      <c r="A564" s="12" t="s">
        <v>74</v>
      </c>
    </row>
    <row r="565" customFormat="false" ht="15" hidden="false" customHeight="false" outlineLevel="0" collapsed="false">
      <c r="A565" s="12"/>
    </row>
    <row r="566" customFormat="false" ht="15" hidden="false" customHeight="false" outlineLevel="0" collapsed="false">
      <c r="A566" s="12" t="s">
        <v>89</v>
      </c>
    </row>
    <row r="567" customFormat="false" ht="15" hidden="false" customHeight="false" outlineLevel="0" collapsed="false">
      <c r="A567" s="12"/>
    </row>
    <row r="568" customFormat="false" ht="15" hidden="false" customHeight="false" outlineLevel="0" collapsed="false">
      <c r="A568" s="12" t="s">
        <v>74</v>
      </c>
    </row>
    <row r="569" customFormat="false" ht="15" hidden="false" customHeight="false" outlineLevel="0" collapsed="false">
      <c r="A569" s="12"/>
    </row>
    <row r="570" customFormat="false" ht="15" hidden="false" customHeight="false" outlineLevel="0" collapsed="false">
      <c r="A570" s="12" t="s">
        <v>89</v>
      </c>
    </row>
    <row r="571" customFormat="false" ht="15" hidden="false" customHeight="false" outlineLevel="0" collapsed="false">
      <c r="A571" s="12"/>
    </row>
    <row r="572" customFormat="false" ht="15" hidden="false" customHeight="false" outlineLevel="0" collapsed="false">
      <c r="A572" s="12" t="s">
        <v>74</v>
      </c>
    </row>
    <row r="573" customFormat="false" ht="15" hidden="false" customHeight="false" outlineLevel="0" collapsed="false">
      <c r="A573" s="12"/>
    </row>
    <row r="574" customFormat="false" ht="15" hidden="false" customHeight="false" outlineLevel="0" collapsed="false">
      <c r="A574" s="12" t="s">
        <v>89</v>
      </c>
    </row>
    <row r="575" customFormat="false" ht="15" hidden="false" customHeight="false" outlineLevel="0" collapsed="false">
      <c r="A575" s="12"/>
    </row>
    <row r="576" customFormat="false" ht="15" hidden="false" customHeight="false" outlineLevel="0" collapsed="false">
      <c r="A576" s="12" t="s">
        <v>74</v>
      </c>
    </row>
    <row r="577" customFormat="false" ht="15" hidden="false" customHeight="false" outlineLevel="0" collapsed="false">
      <c r="A577" s="12"/>
    </row>
    <row r="578" customFormat="false" ht="15" hidden="false" customHeight="false" outlineLevel="0" collapsed="false">
      <c r="A578" s="12" t="s">
        <v>89</v>
      </c>
    </row>
    <row r="579" customFormat="false" ht="15" hidden="false" customHeight="false" outlineLevel="0" collapsed="false">
      <c r="A579" s="12"/>
    </row>
    <row r="580" customFormat="false" ht="15" hidden="false" customHeight="false" outlineLevel="0" collapsed="false">
      <c r="A580" s="12" t="s">
        <v>74</v>
      </c>
    </row>
    <row r="581" customFormat="false" ht="15" hidden="false" customHeight="false" outlineLevel="0" collapsed="false">
      <c r="A581" s="12"/>
    </row>
    <row r="582" customFormat="false" ht="15" hidden="false" customHeight="false" outlineLevel="0" collapsed="false">
      <c r="A582" s="12" t="s">
        <v>89</v>
      </c>
    </row>
    <row r="583" customFormat="false" ht="15" hidden="false" customHeight="false" outlineLevel="0" collapsed="false">
      <c r="A583" s="12"/>
    </row>
    <row r="584" customFormat="false" ht="15" hidden="false" customHeight="false" outlineLevel="0" collapsed="false">
      <c r="A584" s="12" t="s">
        <v>74</v>
      </c>
    </row>
    <row r="585" customFormat="false" ht="15" hidden="false" customHeight="false" outlineLevel="0" collapsed="false">
      <c r="A585" s="12"/>
    </row>
    <row r="586" customFormat="false" ht="15" hidden="false" customHeight="false" outlineLevel="0" collapsed="false">
      <c r="A586" s="12" t="s">
        <v>89</v>
      </c>
    </row>
    <row r="587" customFormat="false" ht="15" hidden="false" customHeight="false" outlineLevel="0" collapsed="false">
      <c r="A587" s="12"/>
    </row>
    <row r="588" customFormat="false" ht="15" hidden="false" customHeight="false" outlineLevel="0" collapsed="false">
      <c r="A588" s="12" t="s">
        <v>74</v>
      </c>
    </row>
    <row r="589" customFormat="false" ht="15" hidden="false" customHeight="false" outlineLevel="0" collapsed="false">
      <c r="A589" s="12"/>
    </row>
    <row r="590" customFormat="false" ht="15" hidden="false" customHeight="false" outlineLevel="0" collapsed="false">
      <c r="A590" s="12" t="s">
        <v>89</v>
      </c>
    </row>
    <row r="591" customFormat="false" ht="15" hidden="false" customHeight="false" outlineLevel="0" collapsed="false">
      <c r="A591" s="12"/>
    </row>
    <row r="592" customFormat="false" ht="15" hidden="false" customHeight="false" outlineLevel="0" collapsed="false">
      <c r="A592" s="12" t="s">
        <v>74</v>
      </c>
    </row>
    <row r="593" customFormat="false" ht="15" hidden="false" customHeight="false" outlineLevel="0" collapsed="false">
      <c r="A593" s="12"/>
    </row>
    <row r="594" customFormat="false" ht="15" hidden="false" customHeight="false" outlineLevel="0" collapsed="false">
      <c r="A594" s="12" t="s">
        <v>89</v>
      </c>
    </row>
    <row r="595" customFormat="false" ht="15" hidden="false" customHeight="false" outlineLevel="0" collapsed="false">
      <c r="A595" s="12"/>
    </row>
    <row r="596" customFormat="false" ht="15" hidden="false" customHeight="false" outlineLevel="0" collapsed="false">
      <c r="A596" s="12" t="s">
        <v>74</v>
      </c>
    </row>
    <row r="597" customFormat="false" ht="15" hidden="false" customHeight="false" outlineLevel="0" collapsed="false">
      <c r="A597" s="12"/>
    </row>
    <row r="598" customFormat="false" ht="15" hidden="false" customHeight="false" outlineLevel="0" collapsed="false">
      <c r="A598" s="12" t="s">
        <v>89</v>
      </c>
    </row>
    <row r="599" customFormat="false" ht="15" hidden="false" customHeight="false" outlineLevel="0" collapsed="false">
      <c r="A599" s="12"/>
    </row>
    <row r="600" customFormat="false" ht="15" hidden="false" customHeight="false" outlineLevel="0" collapsed="false">
      <c r="A600" s="12" t="s">
        <v>74</v>
      </c>
    </row>
    <row r="601" customFormat="false" ht="15" hidden="false" customHeight="false" outlineLevel="0" collapsed="false">
      <c r="A601" s="12"/>
    </row>
    <row r="602" customFormat="false" ht="15" hidden="false" customHeight="false" outlineLevel="0" collapsed="false">
      <c r="A602" s="12" t="s">
        <v>89</v>
      </c>
    </row>
    <row r="603" customFormat="false" ht="15" hidden="false" customHeight="false" outlineLevel="0" collapsed="false">
      <c r="A603" s="12"/>
    </row>
    <row r="604" customFormat="false" ht="15" hidden="false" customHeight="false" outlineLevel="0" collapsed="false">
      <c r="A604" s="12" t="s">
        <v>74</v>
      </c>
    </row>
    <row r="605" customFormat="false" ht="15" hidden="false" customHeight="false" outlineLevel="0" collapsed="false">
      <c r="A605" s="12"/>
    </row>
    <row r="606" customFormat="false" ht="15" hidden="false" customHeight="false" outlineLevel="0" collapsed="false">
      <c r="A606" s="12" t="s">
        <v>89</v>
      </c>
    </row>
    <row r="607" customFormat="false" ht="15" hidden="false" customHeight="false" outlineLevel="0" collapsed="false">
      <c r="A607" s="12"/>
    </row>
    <row r="608" customFormat="false" ht="15" hidden="false" customHeight="false" outlineLevel="0" collapsed="false">
      <c r="A608" s="12" t="s">
        <v>74</v>
      </c>
    </row>
    <row r="609" customFormat="false" ht="15" hidden="false" customHeight="false" outlineLevel="0" collapsed="false">
      <c r="A609" s="12"/>
    </row>
    <row r="610" customFormat="false" ht="15" hidden="false" customHeight="false" outlineLevel="0" collapsed="false">
      <c r="A610" s="12" t="s">
        <v>89</v>
      </c>
    </row>
    <row r="611" customFormat="false" ht="15" hidden="false" customHeight="false" outlineLevel="0" collapsed="false">
      <c r="A611" s="12"/>
    </row>
    <row r="612" customFormat="false" ht="15" hidden="false" customHeight="false" outlineLevel="0" collapsed="false">
      <c r="A612" s="12" t="s">
        <v>74</v>
      </c>
    </row>
    <row r="613" customFormat="false" ht="15" hidden="false" customHeight="false" outlineLevel="0" collapsed="false">
      <c r="A613" s="12"/>
    </row>
    <row r="614" customFormat="false" ht="15" hidden="false" customHeight="false" outlineLevel="0" collapsed="false">
      <c r="A614" s="12" t="s">
        <v>89</v>
      </c>
    </row>
    <row r="615" customFormat="false" ht="15" hidden="false" customHeight="false" outlineLevel="0" collapsed="false">
      <c r="A615" s="12"/>
    </row>
    <row r="616" customFormat="false" ht="15" hidden="false" customHeight="false" outlineLevel="0" collapsed="false">
      <c r="A616" s="12" t="s">
        <v>74</v>
      </c>
    </row>
    <row r="617" customFormat="false" ht="15" hidden="false" customHeight="false" outlineLevel="0" collapsed="false">
      <c r="A617" s="12"/>
    </row>
    <row r="618" customFormat="false" ht="15" hidden="false" customHeight="false" outlineLevel="0" collapsed="false">
      <c r="A618" s="12" t="s">
        <v>89</v>
      </c>
    </row>
    <row r="619" customFormat="false" ht="15" hidden="false" customHeight="false" outlineLevel="0" collapsed="false">
      <c r="A619" s="12"/>
    </row>
    <row r="620" customFormat="false" ht="15" hidden="false" customHeight="false" outlineLevel="0" collapsed="false">
      <c r="A620" s="12" t="s">
        <v>74</v>
      </c>
    </row>
    <row r="621" customFormat="false" ht="15" hidden="false" customHeight="false" outlineLevel="0" collapsed="false">
      <c r="A621" s="12"/>
    </row>
    <row r="622" customFormat="false" ht="15" hidden="false" customHeight="false" outlineLevel="0" collapsed="false">
      <c r="A622" s="12" t="s">
        <v>89</v>
      </c>
    </row>
    <row r="623" customFormat="false" ht="15" hidden="false" customHeight="false" outlineLevel="0" collapsed="false">
      <c r="A623" s="12"/>
    </row>
    <row r="624" customFormat="false" ht="15" hidden="false" customHeight="false" outlineLevel="0" collapsed="false">
      <c r="A624" s="12" t="s">
        <v>74</v>
      </c>
    </row>
    <row r="625" customFormat="false" ht="15" hidden="false" customHeight="false" outlineLevel="0" collapsed="false">
      <c r="A625" s="12"/>
    </row>
    <row r="626" customFormat="false" ht="15" hidden="false" customHeight="false" outlineLevel="0" collapsed="false">
      <c r="A626" s="12" t="s">
        <v>89</v>
      </c>
    </row>
    <row r="627" customFormat="false" ht="15" hidden="false" customHeight="false" outlineLevel="0" collapsed="false">
      <c r="A627" s="12"/>
    </row>
    <row r="628" customFormat="false" ht="15" hidden="false" customHeight="false" outlineLevel="0" collapsed="false">
      <c r="A628" s="12" t="s">
        <v>74</v>
      </c>
    </row>
    <row r="629" customFormat="false" ht="15" hidden="false" customHeight="false" outlineLevel="0" collapsed="false">
      <c r="A629" s="12"/>
    </row>
    <row r="630" customFormat="false" ht="15" hidden="false" customHeight="false" outlineLevel="0" collapsed="false">
      <c r="A630" s="12" t="s">
        <v>89</v>
      </c>
    </row>
    <row r="631" customFormat="false" ht="15" hidden="false" customHeight="false" outlineLevel="0" collapsed="false">
      <c r="A631" s="12"/>
    </row>
    <row r="632" customFormat="false" ht="15" hidden="false" customHeight="false" outlineLevel="0" collapsed="false">
      <c r="A632" s="12" t="s">
        <v>74</v>
      </c>
    </row>
    <row r="633" customFormat="false" ht="15" hidden="false" customHeight="false" outlineLevel="0" collapsed="false">
      <c r="A633" s="12"/>
    </row>
    <row r="634" customFormat="false" ht="15" hidden="false" customHeight="false" outlineLevel="0" collapsed="false">
      <c r="A634" s="12" t="s">
        <v>89</v>
      </c>
    </row>
    <row r="635" customFormat="false" ht="15" hidden="false" customHeight="false" outlineLevel="0" collapsed="false">
      <c r="A635" s="12"/>
    </row>
    <row r="636" customFormat="false" ht="15" hidden="false" customHeight="false" outlineLevel="0" collapsed="false">
      <c r="A636" s="12" t="s">
        <v>74</v>
      </c>
    </row>
    <row r="637" customFormat="false" ht="15" hidden="false" customHeight="false" outlineLevel="0" collapsed="false">
      <c r="A637" s="12"/>
    </row>
    <row r="638" customFormat="false" ht="15" hidden="false" customHeight="false" outlineLevel="0" collapsed="false">
      <c r="A638" s="12" t="s">
        <v>89</v>
      </c>
    </row>
    <row r="639" customFormat="false" ht="15" hidden="false" customHeight="false" outlineLevel="0" collapsed="false">
      <c r="A639" s="12"/>
    </row>
    <row r="640" customFormat="false" ht="15" hidden="false" customHeight="false" outlineLevel="0" collapsed="false">
      <c r="A640" s="12" t="s">
        <v>74</v>
      </c>
    </row>
    <row r="641" customFormat="false" ht="15" hidden="false" customHeight="false" outlineLevel="0" collapsed="false">
      <c r="A641" s="12"/>
    </row>
    <row r="642" customFormat="false" ht="15" hidden="false" customHeight="false" outlineLevel="0" collapsed="false">
      <c r="A642" s="12" t="s">
        <v>89</v>
      </c>
    </row>
    <row r="643" customFormat="false" ht="15" hidden="false" customHeight="false" outlineLevel="0" collapsed="false">
      <c r="A643" s="12"/>
    </row>
    <row r="644" customFormat="false" ht="15" hidden="false" customHeight="false" outlineLevel="0" collapsed="false">
      <c r="A644" s="12" t="s">
        <v>74</v>
      </c>
    </row>
    <row r="645" customFormat="false" ht="15" hidden="false" customHeight="false" outlineLevel="0" collapsed="false">
      <c r="A645" s="12"/>
    </row>
    <row r="646" customFormat="false" ht="15" hidden="false" customHeight="false" outlineLevel="0" collapsed="false">
      <c r="A646" s="12" t="s">
        <v>89</v>
      </c>
    </row>
    <row r="647" customFormat="false" ht="15" hidden="false" customHeight="false" outlineLevel="0" collapsed="false">
      <c r="A647" s="12"/>
    </row>
    <row r="648" customFormat="false" ht="15" hidden="false" customHeight="false" outlineLevel="0" collapsed="false">
      <c r="A648" s="12" t="s">
        <v>74</v>
      </c>
    </row>
    <row r="649" customFormat="false" ht="15" hidden="false" customHeight="false" outlineLevel="0" collapsed="false">
      <c r="A649" s="12"/>
    </row>
    <row r="650" customFormat="false" ht="15" hidden="false" customHeight="false" outlineLevel="0" collapsed="false">
      <c r="A650" s="12" t="s">
        <v>89</v>
      </c>
    </row>
    <row r="651" customFormat="false" ht="15" hidden="false" customHeight="false" outlineLevel="0" collapsed="false">
      <c r="A651" s="12"/>
    </row>
    <row r="652" customFormat="false" ht="15" hidden="false" customHeight="false" outlineLevel="0" collapsed="false">
      <c r="A652" s="12" t="s">
        <v>74</v>
      </c>
    </row>
    <row r="653" customFormat="false" ht="15" hidden="false" customHeight="false" outlineLevel="0" collapsed="false">
      <c r="A653" s="12"/>
    </row>
    <row r="654" customFormat="false" ht="15" hidden="false" customHeight="false" outlineLevel="0" collapsed="false">
      <c r="A654" s="12" t="s">
        <v>89</v>
      </c>
    </row>
    <row r="655" customFormat="false" ht="15" hidden="false" customHeight="false" outlineLevel="0" collapsed="false">
      <c r="A655" s="12"/>
    </row>
    <row r="656" customFormat="false" ht="15" hidden="false" customHeight="false" outlineLevel="0" collapsed="false">
      <c r="A656" s="12" t="s">
        <v>74</v>
      </c>
    </row>
    <row r="657" customFormat="false" ht="15" hidden="false" customHeight="false" outlineLevel="0" collapsed="false">
      <c r="A657" s="12"/>
    </row>
    <row r="658" customFormat="false" ht="15" hidden="false" customHeight="false" outlineLevel="0" collapsed="false">
      <c r="A658" s="12" t="s">
        <v>89</v>
      </c>
    </row>
    <row r="659" customFormat="false" ht="15" hidden="false" customHeight="false" outlineLevel="0" collapsed="false">
      <c r="A659" s="12"/>
    </row>
    <row r="660" customFormat="false" ht="15" hidden="false" customHeight="false" outlineLevel="0" collapsed="false">
      <c r="A660" s="12" t="s">
        <v>74</v>
      </c>
    </row>
    <row r="661" customFormat="false" ht="15" hidden="false" customHeight="false" outlineLevel="0" collapsed="false">
      <c r="A661" s="12"/>
    </row>
    <row r="662" customFormat="false" ht="15" hidden="false" customHeight="false" outlineLevel="0" collapsed="false">
      <c r="A662" s="12" t="s">
        <v>89</v>
      </c>
    </row>
    <row r="663" customFormat="false" ht="15" hidden="false" customHeight="false" outlineLevel="0" collapsed="false">
      <c r="A663" s="12"/>
    </row>
    <row r="664" customFormat="false" ht="15" hidden="false" customHeight="false" outlineLevel="0" collapsed="false">
      <c r="A664" s="12" t="s">
        <v>74</v>
      </c>
    </row>
    <row r="665" customFormat="false" ht="15" hidden="false" customHeight="false" outlineLevel="0" collapsed="false">
      <c r="A665" s="12"/>
    </row>
    <row r="666" customFormat="false" ht="15" hidden="false" customHeight="false" outlineLevel="0" collapsed="false">
      <c r="A666" s="12" t="s">
        <v>89</v>
      </c>
    </row>
    <row r="667" customFormat="false" ht="15" hidden="false" customHeight="false" outlineLevel="0" collapsed="false">
      <c r="A667" s="12"/>
    </row>
    <row r="668" customFormat="false" ht="15" hidden="false" customHeight="false" outlineLevel="0" collapsed="false">
      <c r="A668" s="12" t="s">
        <v>74</v>
      </c>
    </row>
    <row r="669" customFormat="false" ht="15" hidden="false" customHeight="false" outlineLevel="0" collapsed="false">
      <c r="A669" s="12"/>
    </row>
    <row r="670" customFormat="false" ht="15" hidden="false" customHeight="false" outlineLevel="0" collapsed="false">
      <c r="A670" s="12" t="s">
        <v>89</v>
      </c>
    </row>
    <row r="671" customFormat="false" ht="15" hidden="false" customHeight="false" outlineLevel="0" collapsed="false">
      <c r="A671" s="12"/>
    </row>
    <row r="672" customFormat="false" ht="15" hidden="false" customHeight="false" outlineLevel="0" collapsed="false">
      <c r="A672" s="12" t="s">
        <v>74</v>
      </c>
    </row>
    <row r="673" customFormat="false" ht="15" hidden="false" customHeight="false" outlineLevel="0" collapsed="false">
      <c r="A673" s="12"/>
    </row>
    <row r="674" customFormat="false" ht="15" hidden="false" customHeight="false" outlineLevel="0" collapsed="false">
      <c r="A674" s="12" t="s">
        <v>89</v>
      </c>
    </row>
    <row r="675" customFormat="false" ht="15" hidden="false" customHeight="false" outlineLevel="0" collapsed="false">
      <c r="A675" s="12"/>
    </row>
    <row r="676" customFormat="false" ht="15" hidden="false" customHeight="false" outlineLevel="0" collapsed="false">
      <c r="A676" s="12" t="s">
        <v>74</v>
      </c>
    </row>
    <row r="677" customFormat="false" ht="15" hidden="false" customHeight="false" outlineLevel="0" collapsed="false">
      <c r="A677" s="12"/>
    </row>
    <row r="678" customFormat="false" ht="15" hidden="false" customHeight="false" outlineLevel="0" collapsed="false">
      <c r="A678" s="12" t="s">
        <v>89</v>
      </c>
    </row>
    <row r="679" customFormat="false" ht="15" hidden="false" customHeight="false" outlineLevel="0" collapsed="false">
      <c r="A679" s="12"/>
    </row>
    <row r="680" customFormat="false" ht="15" hidden="false" customHeight="false" outlineLevel="0" collapsed="false">
      <c r="A680" s="12" t="s">
        <v>74</v>
      </c>
    </row>
    <row r="681" customFormat="false" ht="15" hidden="false" customHeight="false" outlineLevel="0" collapsed="false">
      <c r="A681" s="12"/>
    </row>
    <row r="682" customFormat="false" ht="15" hidden="false" customHeight="false" outlineLevel="0" collapsed="false">
      <c r="A682" s="12" t="s">
        <v>89</v>
      </c>
    </row>
    <row r="683" customFormat="false" ht="15" hidden="false" customHeight="false" outlineLevel="0" collapsed="false">
      <c r="A683" s="12"/>
    </row>
    <row r="684" customFormat="false" ht="15" hidden="false" customHeight="false" outlineLevel="0" collapsed="false">
      <c r="A684" s="12" t="s">
        <v>74</v>
      </c>
    </row>
    <row r="685" customFormat="false" ht="15" hidden="false" customHeight="false" outlineLevel="0" collapsed="false">
      <c r="A685" s="12"/>
    </row>
    <row r="686" customFormat="false" ht="15" hidden="false" customHeight="false" outlineLevel="0" collapsed="false">
      <c r="A686" s="12" t="s">
        <v>89</v>
      </c>
    </row>
    <row r="687" customFormat="false" ht="15" hidden="false" customHeight="false" outlineLevel="0" collapsed="false">
      <c r="A687" s="12"/>
    </row>
    <row r="688" customFormat="false" ht="15" hidden="false" customHeight="false" outlineLevel="0" collapsed="false">
      <c r="A688" s="12" t="s">
        <v>74</v>
      </c>
    </row>
    <row r="689" customFormat="false" ht="15" hidden="false" customHeight="false" outlineLevel="0" collapsed="false">
      <c r="A689" s="12"/>
    </row>
    <row r="690" customFormat="false" ht="15" hidden="false" customHeight="false" outlineLevel="0" collapsed="false">
      <c r="A690" s="12" t="s">
        <v>89</v>
      </c>
    </row>
    <row r="691" customFormat="false" ht="15" hidden="false" customHeight="false" outlineLevel="0" collapsed="false">
      <c r="A691" s="12"/>
    </row>
    <row r="692" customFormat="false" ht="15" hidden="false" customHeight="false" outlineLevel="0" collapsed="false">
      <c r="A692" s="12" t="s">
        <v>74</v>
      </c>
    </row>
    <row r="693" customFormat="false" ht="15" hidden="false" customHeight="false" outlineLevel="0" collapsed="false">
      <c r="A693" s="12"/>
    </row>
    <row r="694" customFormat="false" ht="15" hidden="false" customHeight="false" outlineLevel="0" collapsed="false">
      <c r="A694" s="12" t="s">
        <v>89</v>
      </c>
    </row>
    <row r="695" customFormat="false" ht="15" hidden="false" customHeight="false" outlineLevel="0" collapsed="false">
      <c r="A695" s="12"/>
    </row>
    <row r="696" customFormat="false" ht="15" hidden="false" customHeight="false" outlineLevel="0" collapsed="false">
      <c r="A696" s="12" t="s">
        <v>74</v>
      </c>
    </row>
    <row r="697" customFormat="false" ht="15" hidden="false" customHeight="false" outlineLevel="0" collapsed="false">
      <c r="A697" s="12"/>
    </row>
    <row r="698" customFormat="false" ht="15" hidden="false" customHeight="false" outlineLevel="0" collapsed="false">
      <c r="A698" s="12" t="s">
        <v>89</v>
      </c>
    </row>
    <row r="699" customFormat="false" ht="15" hidden="false" customHeight="false" outlineLevel="0" collapsed="false">
      <c r="A699" s="12"/>
    </row>
    <row r="700" customFormat="false" ht="15" hidden="false" customHeight="false" outlineLevel="0" collapsed="false">
      <c r="A700" s="12" t="s">
        <v>74</v>
      </c>
    </row>
    <row r="701" customFormat="false" ht="15" hidden="false" customHeight="false" outlineLevel="0" collapsed="false">
      <c r="A701" s="12"/>
    </row>
    <row r="702" customFormat="false" ht="15" hidden="false" customHeight="false" outlineLevel="0" collapsed="false">
      <c r="A702" s="12" t="s">
        <v>89</v>
      </c>
    </row>
    <row r="703" customFormat="false" ht="15" hidden="false" customHeight="false" outlineLevel="0" collapsed="false">
      <c r="A703" s="12"/>
    </row>
    <row r="704" customFormat="false" ht="15" hidden="false" customHeight="false" outlineLevel="0" collapsed="false">
      <c r="A704" s="12" t="s">
        <v>74</v>
      </c>
    </row>
    <row r="705" customFormat="false" ht="15" hidden="false" customHeight="false" outlineLevel="0" collapsed="false">
      <c r="A705" s="12"/>
    </row>
    <row r="706" customFormat="false" ht="15" hidden="false" customHeight="false" outlineLevel="0" collapsed="false">
      <c r="A706" s="12" t="s">
        <v>89</v>
      </c>
    </row>
    <row r="707" customFormat="false" ht="15" hidden="false" customHeight="false" outlineLevel="0" collapsed="false">
      <c r="A707" s="12"/>
    </row>
    <row r="708" customFormat="false" ht="15" hidden="false" customHeight="false" outlineLevel="0" collapsed="false">
      <c r="A708" s="12" t="s">
        <v>74</v>
      </c>
    </row>
    <row r="709" customFormat="false" ht="15" hidden="false" customHeight="false" outlineLevel="0" collapsed="false">
      <c r="A709" s="12"/>
    </row>
    <row r="710" customFormat="false" ht="15" hidden="false" customHeight="false" outlineLevel="0" collapsed="false">
      <c r="A710" s="12" t="s">
        <v>89</v>
      </c>
    </row>
    <row r="711" customFormat="false" ht="15" hidden="false" customHeight="false" outlineLevel="0" collapsed="false">
      <c r="A711" s="12"/>
    </row>
    <row r="712" customFormat="false" ht="15" hidden="false" customHeight="false" outlineLevel="0" collapsed="false">
      <c r="A712" s="12" t="s">
        <v>74</v>
      </c>
    </row>
    <row r="713" customFormat="false" ht="15" hidden="false" customHeight="false" outlineLevel="0" collapsed="false">
      <c r="A713" s="12"/>
    </row>
    <row r="714" customFormat="false" ht="15" hidden="false" customHeight="false" outlineLevel="0" collapsed="false">
      <c r="A714" s="12" t="s">
        <v>89</v>
      </c>
    </row>
    <row r="715" customFormat="false" ht="15" hidden="false" customHeight="false" outlineLevel="0" collapsed="false">
      <c r="A715" s="12"/>
    </row>
    <row r="716" customFormat="false" ht="15" hidden="false" customHeight="false" outlineLevel="0" collapsed="false">
      <c r="A716" s="12" t="s">
        <v>74</v>
      </c>
    </row>
    <row r="717" customFormat="false" ht="15" hidden="false" customHeight="false" outlineLevel="0" collapsed="false">
      <c r="A717" s="12"/>
    </row>
    <row r="718" customFormat="false" ht="15" hidden="false" customHeight="false" outlineLevel="0" collapsed="false">
      <c r="A718" s="12" t="s">
        <v>89</v>
      </c>
    </row>
    <row r="719" customFormat="false" ht="15" hidden="false" customHeight="false" outlineLevel="0" collapsed="false">
      <c r="A719" s="12"/>
    </row>
    <row r="720" customFormat="false" ht="15" hidden="false" customHeight="false" outlineLevel="0" collapsed="false">
      <c r="A720" s="12" t="s">
        <v>74</v>
      </c>
    </row>
    <row r="721" customFormat="false" ht="15" hidden="false" customHeight="false" outlineLevel="0" collapsed="false">
      <c r="A721" s="12"/>
    </row>
    <row r="722" customFormat="false" ht="15" hidden="false" customHeight="false" outlineLevel="0" collapsed="false">
      <c r="A722" s="12" t="s">
        <v>89</v>
      </c>
    </row>
    <row r="723" customFormat="false" ht="15" hidden="false" customHeight="false" outlineLevel="0" collapsed="false">
      <c r="A723" s="12"/>
    </row>
    <row r="724" customFormat="false" ht="15" hidden="false" customHeight="false" outlineLevel="0" collapsed="false">
      <c r="A724" s="12" t="s">
        <v>74</v>
      </c>
    </row>
    <row r="725" customFormat="false" ht="15" hidden="false" customHeight="false" outlineLevel="0" collapsed="false">
      <c r="A725" s="12"/>
    </row>
    <row r="726" customFormat="false" ht="15" hidden="false" customHeight="false" outlineLevel="0" collapsed="false">
      <c r="A726" s="12" t="s">
        <v>89</v>
      </c>
    </row>
    <row r="727" customFormat="false" ht="15" hidden="false" customHeight="false" outlineLevel="0" collapsed="false">
      <c r="A727" s="12"/>
    </row>
    <row r="728" customFormat="false" ht="15" hidden="false" customHeight="false" outlineLevel="0" collapsed="false">
      <c r="A728" s="12" t="s">
        <v>74</v>
      </c>
    </row>
    <row r="729" customFormat="false" ht="15" hidden="false" customHeight="false" outlineLevel="0" collapsed="false">
      <c r="A729" s="12"/>
    </row>
    <row r="730" customFormat="false" ht="15" hidden="false" customHeight="false" outlineLevel="0" collapsed="false">
      <c r="A730" s="12" t="s">
        <v>89</v>
      </c>
    </row>
    <row r="731" customFormat="false" ht="15" hidden="false" customHeight="false" outlineLevel="0" collapsed="false">
      <c r="A731" s="12"/>
    </row>
    <row r="732" customFormat="false" ht="15" hidden="false" customHeight="false" outlineLevel="0" collapsed="false">
      <c r="A732" s="12" t="s">
        <v>74</v>
      </c>
    </row>
    <row r="733" customFormat="false" ht="15" hidden="false" customHeight="false" outlineLevel="0" collapsed="false">
      <c r="A733" s="12"/>
    </row>
    <row r="734" customFormat="false" ht="15" hidden="false" customHeight="false" outlineLevel="0" collapsed="false">
      <c r="A734" s="12" t="s">
        <v>89</v>
      </c>
    </row>
  </sheetData>
  <autoFilter ref="B7:BV183">
    <sortState ref="B8:BV183">
      <sortCondition ref="A8:A183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8:AM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8" activeCellId="0" sqref="A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15"/>
    <col collapsed="false" customWidth="true" hidden="false" outlineLevel="0" max="2" min="2" style="0" width="16.29"/>
    <col collapsed="false" customWidth="true" hidden="false" outlineLevel="0" max="3" min="3" style="0" width="15.29"/>
    <col collapsed="false" customWidth="true" hidden="false" outlineLevel="0" max="9" min="4" style="0" width="9.42"/>
    <col collapsed="false" customWidth="true" hidden="false" outlineLevel="0" max="10" min="10" style="0" width="13.86"/>
    <col collapsed="false" customWidth="true" hidden="false" outlineLevel="0" max="11" min="11" style="0" width="13.57"/>
    <col collapsed="false" customWidth="true" hidden="false" outlineLevel="0" max="13" min="12" style="0" width="12.15"/>
    <col collapsed="false" customWidth="true" hidden="false" outlineLevel="0" max="17" min="14" style="46" width="12.15"/>
    <col collapsed="false" customWidth="true" hidden="false" outlineLevel="0" max="18" min="18" style="46" width="6.29"/>
    <col collapsed="false" customWidth="true" hidden="false" outlineLevel="0" max="19" min="19" style="46" width="12"/>
    <col collapsed="false" customWidth="true" hidden="false" outlineLevel="0" max="20" min="20" style="46" width="6.29"/>
    <col collapsed="false" customWidth="true" hidden="false" outlineLevel="0" max="21" min="21" style="46" width="8"/>
    <col collapsed="false" customWidth="true" hidden="false" outlineLevel="0" max="32" min="28" style="0" width="14.42"/>
    <col collapsed="false" customWidth="true" hidden="false" outlineLevel="0" max="33" min="33" style="0" width="18.42"/>
    <col collapsed="false" customWidth="true" hidden="false" outlineLevel="0" max="34" min="34" style="0" width="18"/>
    <col collapsed="false" customWidth="true" hidden="false" outlineLevel="0" max="36" min="35" style="0" width="12.42"/>
    <col collapsed="false" customWidth="true" hidden="false" outlineLevel="0" max="39" min="37" style="0" width="1.29"/>
  </cols>
  <sheetData>
    <row r="8" customFormat="false" ht="15" hidden="false" customHeight="false" outlineLevel="0" collapsed="false">
      <c r="A8" s="47"/>
      <c r="B8" s="0" t="s">
        <v>177</v>
      </c>
    </row>
    <row r="9" customFormat="false" ht="15" hidden="false" customHeight="false" outlineLevel="0" collapsed="false">
      <c r="A9" s="48" t="s">
        <v>178</v>
      </c>
    </row>
    <row r="10" customFormat="false" ht="15" hidden="false" customHeight="false" outlineLevel="0" collapsed="false">
      <c r="A10" s="49"/>
    </row>
    <row r="11" customFormat="false" ht="15" hidden="false" customHeight="false" outlineLevel="0" collapsed="false">
      <c r="R11" s="26"/>
      <c r="S11" s="26"/>
      <c r="T11" s="26"/>
      <c r="U11" s="26"/>
    </row>
    <row r="12" customFormat="false" ht="15" hidden="false" customHeight="false" outlineLevel="0" collapsed="false">
      <c r="R12" s="26"/>
      <c r="S12" s="26"/>
      <c r="T12" s="26"/>
      <c r="U12" s="26"/>
    </row>
    <row r="13" customFormat="false" ht="15" hidden="false" customHeight="false" outlineLevel="0" collapsed="false">
      <c r="R13" s="26"/>
      <c r="S13" s="26"/>
      <c r="T13" s="26"/>
      <c r="U13" s="26"/>
    </row>
    <row r="14" customFormat="false" ht="15" hidden="false" customHeight="false" outlineLevel="0" collapsed="false">
      <c r="R14" s="26"/>
      <c r="S14" s="26"/>
      <c r="T14" s="26"/>
      <c r="U14" s="26"/>
    </row>
    <row r="15" customFormat="false" ht="15" hidden="false" customHeight="false" outlineLevel="0" collapsed="false">
      <c r="R15" s="26"/>
      <c r="S15" s="26"/>
      <c r="T15" s="26"/>
      <c r="U15" s="26"/>
    </row>
    <row r="16" customFormat="false" ht="15" hidden="false" customHeight="false" outlineLevel="0" collapsed="false">
      <c r="Q16" s="26"/>
      <c r="R16" s="26"/>
      <c r="S16" s="26"/>
      <c r="T16" s="26"/>
      <c r="U16" s="26"/>
    </row>
    <row r="17" customFormat="false" ht="15" hidden="false" customHeight="false" outlineLevel="0" collapsed="false">
      <c r="Q17" s="26"/>
      <c r="R17" s="26"/>
      <c r="S17" s="26"/>
      <c r="T17" s="26"/>
      <c r="U17" s="26"/>
    </row>
    <row r="18" s="46" customFormat="true" ht="15" hidden="false" customHeight="false" outlineLevel="0" collapsed="false">
      <c r="Q18" s="26"/>
      <c r="R18" s="26"/>
      <c r="S18" s="26"/>
      <c r="T18" s="26"/>
      <c r="U18" s="26"/>
    </row>
    <row r="19" s="46" customFormat="true" ht="15" hidden="false" customHeight="false" outlineLevel="0" collapsed="false">
      <c r="Q19" s="26"/>
      <c r="R19" s="26"/>
      <c r="S19" s="26"/>
      <c r="T19" s="26"/>
      <c r="U19" s="26"/>
    </row>
    <row r="20" s="46" customFormat="true" ht="15" hidden="false" customHeight="false" outlineLevel="0" collapsed="false">
      <c r="Q20" s="26"/>
      <c r="R20" s="26"/>
      <c r="S20" s="26"/>
      <c r="T20" s="26"/>
      <c r="U20" s="26"/>
    </row>
    <row r="21" s="46" customFormat="true" ht="15" hidden="false" customHeight="false" outlineLevel="0" collapsed="false">
      <c r="Q21" s="26"/>
      <c r="R21" s="26"/>
      <c r="S21" s="26"/>
      <c r="T21" s="26"/>
      <c r="U21" s="26"/>
    </row>
    <row r="22" s="46" customFormat="true" ht="15" hidden="false" customHeight="false" outlineLevel="0" collapsed="false">
      <c r="A22" s="50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customFormat="false" ht="15" hidden="false" customHeight="false" outlineLevel="0" collapsed="false">
      <c r="A23" s="51"/>
      <c r="B23" s="51" t="n">
        <f aca="false">B10</f>
        <v>0</v>
      </c>
      <c r="C23" s="51" t="n">
        <f aca="false">C10</f>
        <v>0</v>
      </c>
      <c r="D23" s="51" t="n">
        <f aca="false">D10</f>
        <v>0</v>
      </c>
      <c r="E23" s="51" t="n">
        <f aca="false">E10</f>
        <v>0</v>
      </c>
      <c r="F23" s="51" t="n">
        <f aca="false">F10</f>
        <v>0</v>
      </c>
      <c r="G23" s="51" t="n">
        <f aca="false">G10</f>
        <v>0</v>
      </c>
      <c r="H23" s="51" t="n">
        <f aca="false">H10</f>
        <v>0</v>
      </c>
      <c r="I23" s="51" t="n">
        <f aca="false">I10</f>
        <v>0</v>
      </c>
      <c r="J23" s="51" t="n">
        <f aca="false">J10</f>
        <v>0</v>
      </c>
      <c r="K23" s="51" t="n">
        <f aca="false">K10</f>
        <v>0</v>
      </c>
      <c r="L23" s="51" t="n">
        <f aca="false">L10</f>
        <v>0</v>
      </c>
      <c r="M23" s="51" t="n">
        <f aca="false">M10</f>
        <v>0</v>
      </c>
      <c r="N23" s="51" t="n">
        <f aca="false">N10</f>
        <v>0</v>
      </c>
      <c r="O23" s="51" t="n">
        <f aca="false">O10</f>
        <v>0</v>
      </c>
      <c r="P23" s="51" t="n">
        <f aca="false">P10</f>
        <v>0</v>
      </c>
      <c r="Q23" s="51" t="n">
        <f aca="false">Q10</f>
        <v>0</v>
      </c>
      <c r="R23" s="51" t="n">
        <f aca="false">R10</f>
        <v>0</v>
      </c>
      <c r="S23" s="51" t="n">
        <f aca="false">S10</f>
        <v>0</v>
      </c>
      <c r="T23" s="51" t="n">
        <f aca="false">T10</f>
        <v>0</v>
      </c>
      <c r="U23" s="51" t="n">
        <f aca="false">U10</f>
        <v>0</v>
      </c>
    </row>
    <row r="24" s="46" customFormat="true" ht="15" hidden="false" customHeight="false" outlineLevel="0" collapsed="false">
      <c r="A24" s="50" t="s">
        <v>179</v>
      </c>
      <c r="B24" s="26" t="str">
        <f aca="false">IFERROR(VLOOKUP($A24,$A$11:$U$22,2,0),"")</f>
        <v/>
      </c>
      <c r="C24" s="26" t="str">
        <f aca="false">IFERROR(VLOOKUP($A24,$A$11:$U$22,3,0),"")</f>
        <v/>
      </c>
      <c r="D24" s="26" t="str">
        <f aca="false">IFERROR(VLOOKUP($A24,$A$11:$U$22,4,0),"")</f>
        <v/>
      </c>
      <c r="E24" s="26" t="str">
        <f aca="false">IFERROR(VLOOKUP($A24,$A$11:$U$22,5,0),"")</f>
        <v/>
      </c>
      <c r="F24" s="26" t="str">
        <f aca="false">IFERROR(VLOOKUP($A24,$A$11:$U$22,6,0),"")</f>
        <v/>
      </c>
      <c r="G24" s="26" t="str">
        <f aca="false">IFERROR(VLOOKUP($A24,$A$11:$U$22,7,0),"")</f>
        <v/>
      </c>
      <c r="H24" s="26" t="str">
        <f aca="false">IFERROR(VLOOKUP($A24,$A$11:$U$22,8,0),"")</f>
        <v/>
      </c>
      <c r="I24" s="26" t="str">
        <f aca="false">IFERROR(VLOOKUP($A24,$A$11:$U$22,9,0),"")</f>
        <v/>
      </c>
      <c r="J24" s="26" t="str">
        <f aca="false">IFERROR(VLOOKUP($A24,$A$11:$U$22,10,0),"")</f>
        <v/>
      </c>
      <c r="K24" s="26" t="str">
        <f aca="false">IFERROR(VLOOKUP($A24,$A$11:$U$22,11,0),"")</f>
        <v/>
      </c>
      <c r="L24" s="26" t="str">
        <f aca="false">IFERROR(VLOOKUP($A24,$A$11:$U$22,12,0),"")</f>
        <v/>
      </c>
      <c r="M24" s="26" t="str">
        <f aca="false">IFERROR(VLOOKUP($A24,$A$11:$U$22,13,0),"")</f>
        <v/>
      </c>
      <c r="N24" s="26" t="str">
        <f aca="false">IFERROR(VLOOKUP($A24,$A$11:$U$22,14,0),"")</f>
        <v/>
      </c>
      <c r="O24" s="26" t="str">
        <f aca="false">IFERROR(VLOOKUP($A24,$A$11:$U$22,15,0),"")</f>
        <v/>
      </c>
      <c r="P24" s="26" t="str">
        <f aca="false">IFERROR(VLOOKUP($A24,$A$11:$U$22,16,0),"")</f>
        <v/>
      </c>
      <c r="Q24" s="26" t="str">
        <f aca="false">IFERROR(VLOOKUP($A24,$A$11:$U$22,17,0),"")</f>
        <v/>
      </c>
      <c r="R24" s="26" t="str">
        <f aca="false">IFERROR(VLOOKUP($A24,$A$11:$U$22,18,0),"")</f>
        <v/>
      </c>
      <c r="S24" s="26" t="str">
        <f aca="false">IFERROR(VLOOKUP($A24,$A$11:$U$22,19,0),"")</f>
        <v/>
      </c>
      <c r="T24" s="26" t="str">
        <f aca="false">IFERROR(VLOOKUP($A24,$A$11:$U$22,20,0),"")</f>
        <v/>
      </c>
      <c r="U24" s="26" t="str">
        <f aca="false">IFERROR(VLOOKUP($A24,$A$11:$U$22,21,0),"")</f>
        <v/>
      </c>
    </row>
    <row r="25" s="46" customFormat="true" ht="15" hidden="false" customHeight="false" outlineLevel="0" collapsed="false">
      <c r="A25" s="50" t="s">
        <v>180</v>
      </c>
      <c r="B25" s="26" t="str">
        <f aca="false">IFERROR(VLOOKUP($A25,$A$11:$U$22,2,0),"")</f>
        <v/>
      </c>
      <c r="C25" s="26" t="str">
        <f aca="false">IFERROR(VLOOKUP($A25,$A$11:$U$22,3,0),"")</f>
        <v/>
      </c>
      <c r="D25" s="26" t="str">
        <f aca="false">IFERROR(VLOOKUP($A25,$A$11:$U$22,4,0),"")</f>
        <v/>
      </c>
      <c r="E25" s="26" t="str">
        <f aca="false">IFERROR(VLOOKUP($A25,$A$11:$U$22,5,0),"")</f>
        <v/>
      </c>
      <c r="F25" s="26" t="str">
        <f aca="false">IFERROR(VLOOKUP($A25,$A$11:$U$22,6,0),"")</f>
        <v/>
      </c>
      <c r="G25" s="26" t="str">
        <f aca="false">IFERROR(VLOOKUP($A25,$A$11:$U$22,7,0),"")</f>
        <v/>
      </c>
      <c r="H25" s="26" t="str">
        <f aca="false">IFERROR(VLOOKUP($A25,$A$11:$U$22,8,0),"")</f>
        <v/>
      </c>
      <c r="I25" s="26" t="str">
        <f aca="false">IFERROR(VLOOKUP($A25,$A$11:$U$22,9,0),"")</f>
        <v/>
      </c>
      <c r="J25" s="26" t="str">
        <f aca="false">IFERROR(VLOOKUP($A25,$A$11:$U$22,10,0),"")</f>
        <v/>
      </c>
      <c r="K25" s="26" t="str">
        <f aca="false">IFERROR(VLOOKUP($A25,$A$11:$U$22,11,0),"")</f>
        <v/>
      </c>
      <c r="L25" s="26" t="str">
        <f aca="false">IFERROR(VLOOKUP($A25,$A$11:$U$22,12,0),"")</f>
        <v/>
      </c>
      <c r="M25" s="26" t="str">
        <f aca="false">IFERROR(VLOOKUP($A25,$A$11:$U$22,13,0),"")</f>
        <v/>
      </c>
      <c r="N25" s="26" t="str">
        <f aca="false">IFERROR(VLOOKUP($A25,$A$11:$U$22,14,0),"")</f>
        <v/>
      </c>
      <c r="O25" s="26" t="str">
        <f aca="false">IFERROR(VLOOKUP($A25,$A$11:$U$22,15,0),"")</f>
        <v/>
      </c>
      <c r="P25" s="26" t="str">
        <f aca="false">IFERROR(VLOOKUP($A25,$A$11:$U$22,16,0),"")</f>
        <v/>
      </c>
      <c r="Q25" s="26" t="str">
        <f aca="false">IFERROR(VLOOKUP($A25,$A$11:$U$22,17,0),"")</f>
        <v/>
      </c>
      <c r="R25" s="26" t="str">
        <f aca="false">IFERROR(VLOOKUP($A25,$A$11:$U$22,18,0),"")</f>
        <v/>
      </c>
      <c r="S25" s="26" t="str">
        <f aca="false">IFERROR(VLOOKUP($A25,$A$11:$U$22,19,0),"")</f>
        <v/>
      </c>
      <c r="T25" s="26" t="str">
        <f aca="false">IFERROR(VLOOKUP($A25,$A$11:$U$22,20,0),"")</f>
        <v/>
      </c>
      <c r="U25" s="26" t="str">
        <f aca="false">IFERROR(VLOOKUP($A25,$A$11:$U$22,21,0),"")</f>
        <v/>
      </c>
    </row>
    <row r="26" s="46" customFormat="true" ht="15" hidden="false" customHeight="false" outlineLevel="0" collapsed="false">
      <c r="A26" s="50" t="s">
        <v>181</v>
      </c>
      <c r="B26" s="26" t="str">
        <f aca="false">IFERROR(VLOOKUP($A26,$A$11:$U$22,2,0),"")</f>
        <v/>
      </c>
      <c r="C26" s="26" t="str">
        <f aca="false">IFERROR(VLOOKUP($A26,$A$11:$U$22,3,0),"")</f>
        <v/>
      </c>
      <c r="D26" s="26" t="str">
        <f aca="false">IFERROR(VLOOKUP($A26,$A$11:$U$22,4,0),"")</f>
        <v/>
      </c>
      <c r="E26" s="26" t="str">
        <f aca="false">IFERROR(VLOOKUP($A26,$A$11:$U$22,5,0),"")</f>
        <v/>
      </c>
      <c r="F26" s="26" t="str">
        <f aca="false">IFERROR(VLOOKUP($A26,$A$11:$U$22,6,0),"")</f>
        <v/>
      </c>
      <c r="G26" s="26" t="str">
        <f aca="false">IFERROR(VLOOKUP($A26,$A$11:$U$22,7,0),"")</f>
        <v/>
      </c>
      <c r="H26" s="26" t="str">
        <f aca="false">IFERROR(VLOOKUP($A26,$A$11:$U$22,8,0),"")</f>
        <v/>
      </c>
      <c r="I26" s="26" t="str">
        <f aca="false">IFERROR(VLOOKUP($A26,$A$11:$U$22,9,0),"")</f>
        <v/>
      </c>
      <c r="J26" s="26" t="str">
        <f aca="false">IFERROR(VLOOKUP($A26,$A$11:$U$22,10,0),"")</f>
        <v/>
      </c>
      <c r="K26" s="26" t="str">
        <f aca="false">IFERROR(VLOOKUP($A26,$A$11:$U$22,11,0),"")</f>
        <v/>
      </c>
      <c r="L26" s="26" t="str">
        <f aca="false">IFERROR(VLOOKUP($A26,$A$11:$U$22,12,0),"")</f>
        <v/>
      </c>
      <c r="M26" s="26" t="str">
        <f aca="false">IFERROR(VLOOKUP($A26,$A$11:$U$22,13,0),"")</f>
        <v/>
      </c>
      <c r="N26" s="26" t="str">
        <f aca="false">IFERROR(VLOOKUP($A26,$A$11:$U$22,14,0),"")</f>
        <v/>
      </c>
      <c r="O26" s="26" t="str">
        <f aca="false">IFERROR(VLOOKUP($A26,$A$11:$U$22,15,0),"")</f>
        <v/>
      </c>
      <c r="P26" s="26" t="str">
        <f aca="false">IFERROR(VLOOKUP($A26,$A$11:$U$22,16,0),"")</f>
        <v/>
      </c>
      <c r="Q26" s="26" t="str">
        <f aca="false">IFERROR(VLOOKUP($A26,$A$11:$U$22,17,0),"")</f>
        <v/>
      </c>
      <c r="R26" s="26" t="str">
        <f aca="false">IFERROR(VLOOKUP($A26,$A$11:$U$22,18,0),"")</f>
        <v/>
      </c>
      <c r="S26" s="26" t="str">
        <f aca="false">IFERROR(VLOOKUP($A26,$A$11:$U$22,19,0),"")</f>
        <v/>
      </c>
      <c r="T26" s="26" t="str">
        <f aca="false">IFERROR(VLOOKUP($A26,$A$11:$U$22,20,0),"")</f>
        <v/>
      </c>
      <c r="U26" s="26" t="str">
        <f aca="false">IFERROR(VLOOKUP($A26,$A$11:$U$22,21,0),"")</f>
        <v/>
      </c>
    </row>
    <row r="27" s="46" customFormat="true" ht="15" hidden="false" customHeight="false" outlineLevel="0" collapsed="false">
      <c r="A27" s="50" t="s">
        <v>182</v>
      </c>
      <c r="B27" s="26" t="str">
        <f aca="false">IFERROR(VLOOKUP($A27,$A$11:$U$22,2,0),"")</f>
        <v/>
      </c>
      <c r="C27" s="26" t="str">
        <f aca="false">IFERROR(VLOOKUP($A27,$A$11:$U$22,3,0),"")</f>
        <v/>
      </c>
      <c r="D27" s="26" t="str">
        <f aca="false">IFERROR(VLOOKUP($A27,$A$11:$U$22,4,0),"")</f>
        <v/>
      </c>
      <c r="E27" s="26" t="str">
        <f aca="false">IFERROR(VLOOKUP($A27,$A$11:$U$22,5,0),"")</f>
        <v/>
      </c>
      <c r="F27" s="26" t="str">
        <f aca="false">IFERROR(VLOOKUP($A27,$A$11:$U$22,6,0),"")</f>
        <v/>
      </c>
      <c r="G27" s="26" t="str">
        <f aca="false">IFERROR(VLOOKUP($A27,$A$11:$U$22,7,0),"")</f>
        <v/>
      </c>
      <c r="H27" s="26" t="str">
        <f aca="false">IFERROR(VLOOKUP($A27,$A$11:$U$22,8,0),"")</f>
        <v/>
      </c>
      <c r="I27" s="26" t="str">
        <f aca="false">IFERROR(VLOOKUP($A27,$A$11:$U$22,9,0),"")</f>
        <v/>
      </c>
      <c r="J27" s="26" t="str">
        <f aca="false">IFERROR(VLOOKUP($A27,$A$11:$U$22,10,0),"")</f>
        <v/>
      </c>
      <c r="K27" s="26" t="str">
        <f aca="false">IFERROR(VLOOKUP($A27,$A$11:$U$22,11,0),"")</f>
        <v/>
      </c>
      <c r="L27" s="26" t="str">
        <f aca="false">IFERROR(VLOOKUP($A27,$A$11:$U$22,12,0),"")</f>
        <v/>
      </c>
      <c r="M27" s="26" t="str">
        <f aca="false">IFERROR(VLOOKUP($A27,$A$11:$U$22,13,0),"")</f>
        <v/>
      </c>
      <c r="N27" s="26" t="str">
        <f aca="false">IFERROR(VLOOKUP($A27,$A$11:$U$22,14,0),"")</f>
        <v/>
      </c>
      <c r="O27" s="26" t="str">
        <f aca="false">IFERROR(VLOOKUP($A27,$A$11:$U$22,15,0),"")</f>
        <v/>
      </c>
      <c r="P27" s="26" t="str">
        <f aca="false">IFERROR(VLOOKUP($A27,$A$11:$U$22,16,0),"")</f>
        <v/>
      </c>
      <c r="Q27" s="26" t="str">
        <f aca="false">IFERROR(VLOOKUP($A27,$A$11:$U$22,17,0),"")</f>
        <v/>
      </c>
      <c r="R27" s="26" t="str">
        <f aca="false">IFERROR(VLOOKUP($A27,$A$11:$U$22,18,0),"")</f>
        <v/>
      </c>
      <c r="S27" s="26" t="str">
        <f aca="false">IFERROR(VLOOKUP($A27,$A$11:$U$22,19,0),"")</f>
        <v/>
      </c>
      <c r="T27" s="26" t="str">
        <f aca="false">IFERROR(VLOOKUP($A27,$A$11:$U$22,20,0),"")</f>
        <v/>
      </c>
      <c r="U27" s="26" t="str">
        <f aca="false">IFERROR(VLOOKUP($A27,$A$11:$U$22,21,0),"")</f>
        <v/>
      </c>
    </row>
    <row r="28" s="46" customFormat="true" ht="15" hidden="false" customHeight="false" outlineLevel="0" collapsed="false">
      <c r="A28" s="50" t="s">
        <v>183</v>
      </c>
      <c r="B28" s="26" t="str">
        <f aca="false">IFERROR(VLOOKUP($A28,$A$11:$U$22,2,0),"")</f>
        <v/>
      </c>
      <c r="C28" s="26" t="str">
        <f aca="false">IFERROR(VLOOKUP($A28,$A$11:$U$22,3,0),"")</f>
        <v/>
      </c>
      <c r="D28" s="26" t="str">
        <f aca="false">IFERROR(VLOOKUP($A28,$A$11:$U$22,4,0),"")</f>
        <v/>
      </c>
      <c r="E28" s="26" t="str">
        <f aca="false">IFERROR(VLOOKUP($A28,$A$11:$U$22,5,0),"")</f>
        <v/>
      </c>
      <c r="F28" s="26" t="str">
        <f aca="false">IFERROR(VLOOKUP($A28,$A$11:$U$22,6,0),"")</f>
        <v/>
      </c>
      <c r="G28" s="26" t="str">
        <f aca="false">IFERROR(VLOOKUP($A28,$A$11:$U$22,7,0),"")</f>
        <v/>
      </c>
      <c r="H28" s="26" t="str">
        <f aca="false">IFERROR(VLOOKUP($A28,$A$11:$U$22,8,0),"")</f>
        <v/>
      </c>
      <c r="I28" s="26" t="str">
        <f aca="false">IFERROR(VLOOKUP($A28,$A$11:$U$22,9,0),"")</f>
        <v/>
      </c>
      <c r="J28" s="26" t="str">
        <f aca="false">IFERROR(VLOOKUP($A28,$A$11:$U$22,10,0),"")</f>
        <v/>
      </c>
      <c r="K28" s="26" t="str">
        <f aca="false">IFERROR(VLOOKUP($A28,$A$11:$U$22,11,0),"")</f>
        <v/>
      </c>
      <c r="L28" s="26" t="str">
        <f aca="false">IFERROR(VLOOKUP($A28,$A$11:$U$22,12,0),"")</f>
        <v/>
      </c>
      <c r="M28" s="26" t="str">
        <f aca="false">IFERROR(VLOOKUP($A28,$A$11:$U$22,13,0),"")</f>
        <v/>
      </c>
      <c r="N28" s="26" t="str">
        <f aca="false">IFERROR(VLOOKUP($A28,$A$11:$U$22,14,0),"")</f>
        <v/>
      </c>
      <c r="O28" s="26" t="str">
        <f aca="false">IFERROR(VLOOKUP($A28,$A$11:$U$22,15,0),"")</f>
        <v/>
      </c>
      <c r="P28" s="26" t="str">
        <f aca="false">IFERROR(VLOOKUP($A28,$A$11:$U$22,16,0),"")</f>
        <v/>
      </c>
      <c r="Q28" s="26" t="str">
        <f aca="false">IFERROR(VLOOKUP($A28,$A$11:$U$22,17,0),"")</f>
        <v/>
      </c>
      <c r="R28" s="26" t="str">
        <f aca="false">IFERROR(VLOOKUP($A28,$A$11:$U$22,18,0),"")</f>
        <v/>
      </c>
      <c r="S28" s="26" t="str">
        <f aca="false">IFERROR(VLOOKUP($A28,$A$11:$U$22,19,0),"")</f>
        <v/>
      </c>
      <c r="T28" s="26" t="str">
        <f aca="false">IFERROR(VLOOKUP($A28,$A$11:$U$22,20,0),"")</f>
        <v/>
      </c>
      <c r="U28" s="26" t="str">
        <f aca="false">IFERROR(VLOOKUP($A28,$A$11:$U$22,21,0),"")</f>
        <v/>
      </c>
    </row>
    <row r="29" s="46" customFormat="true" ht="15" hidden="false" customHeight="false" outlineLevel="0" collapsed="false">
      <c r="A29" s="50" t="s">
        <v>184</v>
      </c>
      <c r="B29" s="26" t="str">
        <f aca="false">IFERROR(VLOOKUP($A29,$A$11:$U$22,2,0),"")</f>
        <v/>
      </c>
      <c r="C29" s="26" t="str">
        <f aca="false">IFERROR(VLOOKUP($A29,$A$11:$U$22,3,0),"")</f>
        <v/>
      </c>
      <c r="D29" s="26" t="str">
        <f aca="false">IFERROR(VLOOKUP($A29,$A$11:$U$22,4,0),"")</f>
        <v/>
      </c>
      <c r="E29" s="26" t="str">
        <f aca="false">IFERROR(VLOOKUP($A29,$A$11:$U$22,5,0),"")</f>
        <v/>
      </c>
      <c r="F29" s="26" t="str">
        <f aca="false">IFERROR(VLOOKUP($A29,$A$11:$U$22,6,0),"")</f>
        <v/>
      </c>
      <c r="G29" s="26" t="str">
        <f aca="false">IFERROR(VLOOKUP($A29,$A$11:$U$22,7,0),"")</f>
        <v/>
      </c>
      <c r="H29" s="26" t="str">
        <f aca="false">IFERROR(VLOOKUP($A29,$A$11:$U$22,8,0),"")</f>
        <v/>
      </c>
      <c r="I29" s="26" t="str">
        <f aca="false">IFERROR(VLOOKUP($A29,$A$11:$U$22,9,0),"")</f>
        <v/>
      </c>
      <c r="J29" s="26" t="str">
        <f aca="false">IFERROR(VLOOKUP($A29,$A$11:$U$22,10,0),"")</f>
        <v/>
      </c>
      <c r="K29" s="26" t="str">
        <f aca="false">IFERROR(VLOOKUP($A29,$A$11:$U$22,11,0),"")</f>
        <v/>
      </c>
      <c r="L29" s="26" t="str">
        <f aca="false">IFERROR(VLOOKUP($A29,$A$11:$U$22,12,0),"")</f>
        <v/>
      </c>
      <c r="M29" s="26" t="str">
        <f aca="false">IFERROR(VLOOKUP($A29,$A$11:$U$22,13,0),"")</f>
        <v/>
      </c>
      <c r="N29" s="26" t="str">
        <f aca="false">IFERROR(VLOOKUP($A29,$A$11:$U$22,14,0),"")</f>
        <v/>
      </c>
      <c r="O29" s="26" t="str">
        <f aca="false">IFERROR(VLOOKUP($A29,$A$11:$U$22,15,0),"")</f>
        <v/>
      </c>
      <c r="P29" s="26" t="str">
        <f aca="false">IFERROR(VLOOKUP($A29,$A$11:$U$22,16,0),"")</f>
        <v/>
      </c>
      <c r="Q29" s="26" t="str">
        <f aca="false">IFERROR(VLOOKUP($A29,$A$11:$U$22,17,0),"")</f>
        <v/>
      </c>
      <c r="R29" s="26" t="str">
        <f aca="false">IFERROR(VLOOKUP($A29,$A$11:$U$22,18,0),"")</f>
        <v/>
      </c>
      <c r="S29" s="26" t="str">
        <f aca="false">IFERROR(VLOOKUP($A29,$A$11:$U$22,19,0),"")</f>
        <v/>
      </c>
      <c r="T29" s="26" t="str">
        <f aca="false">IFERROR(VLOOKUP($A29,$A$11:$U$22,20,0),"")</f>
        <v/>
      </c>
      <c r="U29" s="26" t="str">
        <f aca="false">IFERROR(VLOOKUP($A29,$A$11:$U$22,21,0),"")</f>
        <v/>
      </c>
    </row>
    <row r="30" customFormat="false" ht="15" hidden="false" customHeight="false" outlineLevel="0" collapsed="false">
      <c r="A30" s="50" t="s">
        <v>185</v>
      </c>
      <c r="B30" s="26" t="str">
        <f aca="false">IFERROR(VLOOKUP($A30,$A$11:$U$22,2,0),"")</f>
        <v/>
      </c>
      <c r="C30" s="26" t="str">
        <f aca="false">IFERROR(VLOOKUP($A30,$A$11:$U$22,3,0),"")</f>
        <v/>
      </c>
      <c r="D30" s="26" t="str">
        <f aca="false">IFERROR(VLOOKUP($A30,$A$11:$U$22,4,0),"")</f>
        <v/>
      </c>
      <c r="E30" s="26" t="str">
        <f aca="false">IFERROR(VLOOKUP($A30,$A$11:$U$22,5,0),"")</f>
        <v/>
      </c>
      <c r="F30" s="26" t="str">
        <f aca="false">IFERROR(VLOOKUP($A30,$A$11:$U$22,6,0),"")</f>
        <v/>
      </c>
      <c r="G30" s="26" t="str">
        <f aca="false">IFERROR(VLOOKUP($A30,$A$11:$U$22,7,0),"")</f>
        <v/>
      </c>
      <c r="H30" s="26" t="str">
        <f aca="false">IFERROR(VLOOKUP($A30,$A$11:$U$22,8,0),"")</f>
        <v/>
      </c>
      <c r="I30" s="26" t="str">
        <f aca="false">IFERROR(VLOOKUP($A30,$A$11:$U$22,9,0),"")</f>
        <v/>
      </c>
      <c r="J30" s="26" t="str">
        <f aca="false">IFERROR(VLOOKUP($A30,$A$11:$U$22,10,0),"")</f>
        <v/>
      </c>
      <c r="K30" s="26" t="str">
        <f aca="false">IFERROR(VLOOKUP($A30,$A$11:$U$22,11,0),"")</f>
        <v/>
      </c>
      <c r="L30" s="26" t="str">
        <f aca="false">IFERROR(VLOOKUP($A30,$A$11:$U$22,12,0),"")</f>
        <v/>
      </c>
      <c r="M30" s="26" t="str">
        <f aca="false">IFERROR(VLOOKUP($A30,$A$11:$U$22,13,0),"")</f>
        <v/>
      </c>
      <c r="N30" s="26" t="str">
        <f aca="false">IFERROR(VLOOKUP($A30,$A$11:$U$22,14,0),"")</f>
        <v/>
      </c>
      <c r="O30" s="26" t="str">
        <f aca="false">IFERROR(VLOOKUP($A30,$A$11:$U$22,15,0),"")</f>
        <v/>
      </c>
      <c r="P30" s="26" t="str">
        <f aca="false">IFERROR(VLOOKUP($A30,$A$11:$U$22,16,0),"")</f>
        <v/>
      </c>
      <c r="Q30" s="26" t="str">
        <f aca="false">IFERROR(VLOOKUP($A30,$A$11:$U$22,17,0),"")</f>
        <v/>
      </c>
      <c r="R30" s="26" t="str">
        <f aca="false">IFERROR(VLOOKUP($A30,$A$11:$U$22,18,0),"")</f>
        <v/>
      </c>
      <c r="S30" s="26" t="str">
        <f aca="false">IFERROR(VLOOKUP($A30,$A$11:$U$22,19,0),"")</f>
        <v/>
      </c>
      <c r="T30" s="26" t="str">
        <f aca="false">IFERROR(VLOOKUP($A30,$A$11:$U$22,20,0),"")</f>
        <v/>
      </c>
      <c r="U30" s="26" t="str">
        <f aca="false">IFERROR(VLOOKUP($A30,$A$11:$U$22,21,0),"")</f>
        <v/>
      </c>
    </row>
    <row r="31" s="46" customFormat="true" ht="15" hidden="false" customHeight="false" outlineLevel="0" collapsed="false">
      <c r="A31" s="50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</row>
    <row r="32" s="46" customFormat="true" ht="15" hidden="false" customHeight="false" outlineLevel="0" collapsed="false">
      <c r="A32" s="50" t="s">
        <v>186</v>
      </c>
      <c r="B32" s="26" t="n">
        <f aca="false">SUM(B11:B22)-SUM(B24:B31)</f>
        <v>0</v>
      </c>
      <c r="C32" s="26" t="n">
        <f aca="false">SUM(C11:C22)-SUM(C24:C31)</f>
        <v>0</v>
      </c>
      <c r="D32" s="26" t="n">
        <f aca="false">SUM(D11:D22)-SUM(D24:D31)</f>
        <v>0</v>
      </c>
      <c r="E32" s="26" t="n">
        <f aca="false">SUM(E11:E22)-SUM(E24:E31)</f>
        <v>0</v>
      </c>
      <c r="F32" s="26" t="n">
        <f aca="false">SUM(F11:F22)-SUM(F24:F31)</f>
        <v>0</v>
      </c>
      <c r="G32" s="26" t="n">
        <f aca="false">SUM(G11:G22)-SUM(G24:G31)</f>
        <v>0</v>
      </c>
      <c r="H32" s="26" t="n">
        <f aca="false">SUM(H11:H22)-SUM(H24:H31)</f>
        <v>0</v>
      </c>
      <c r="I32" s="26" t="n">
        <f aca="false">SUM(I11:I22)-SUM(I24:I31)</f>
        <v>0</v>
      </c>
      <c r="J32" s="26" t="n">
        <f aca="false">SUM(J11:J22)-SUM(J24:J31)</f>
        <v>0</v>
      </c>
      <c r="K32" s="26" t="n">
        <f aca="false">SUM(K11:K22)-SUM(K24:K31)</f>
        <v>0</v>
      </c>
      <c r="L32" s="26" t="n">
        <f aca="false">SUM(L11:L22)-SUM(L24:L31)</f>
        <v>0</v>
      </c>
      <c r="M32" s="26" t="n">
        <f aca="false">SUM(M11:M22)-SUM(M24:M31)</f>
        <v>0</v>
      </c>
      <c r="N32" s="26" t="n">
        <f aca="false">SUM(N11:N22)-SUM(N24:N31)</f>
        <v>0</v>
      </c>
      <c r="O32" s="26" t="n">
        <f aca="false">SUM(O11:O22)-SUM(O24:O31)</f>
        <v>0</v>
      </c>
      <c r="P32" s="26" t="n">
        <f aca="false">SUM(P11:P22)-SUM(P24:P31)</f>
        <v>0</v>
      </c>
      <c r="Q32" s="26" t="n">
        <f aca="false">SUM(Q11:Q22)-SUM(Q24:Q31)</f>
        <v>0</v>
      </c>
      <c r="R32" s="26" t="n">
        <f aca="false">SUM(R11:R22)-SUM(R24:R31)</f>
        <v>0</v>
      </c>
      <c r="S32" s="26" t="n">
        <f aca="false">SUM(S11:S22)-SUM(S24:S31)</f>
        <v>0</v>
      </c>
      <c r="T32" s="26" t="n">
        <f aca="false">SUM(T11:T22)-SUM(T24:T31)</f>
        <v>0</v>
      </c>
      <c r="U32" s="26" t="n">
        <f aca="false">SUM(U11:U22)-SUM(U24:U31)</f>
        <v>0</v>
      </c>
    </row>
    <row r="34" customFormat="false" ht="15" hidden="false" customHeight="false" outlineLevel="0" collapsed="false">
      <c r="A34" s="47" t="s">
        <v>187</v>
      </c>
    </row>
    <row r="35" customFormat="false" ht="15" hidden="false" customHeight="false" outlineLevel="0" collapsed="false">
      <c r="A35" s="16" t="s">
        <v>188</v>
      </c>
      <c r="B35" s="17" t="s">
        <v>0</v>
      </c>
      <c r="C35" s="18"/>
      <c r="D35" s="52"/>
      <c r="E35" s="52"/>
      <c r="F35" s="0" t="s">
        <v>189</v>
      </c>
    </row>
    <row r="36" customFormat="false" ht="15" hidden="false" customHeight="false" outlineLevel="0" collapsed="false">
      <c r="A36" s="19" t="s">
        <v>2</v>
      </c>
      <c r="B36" s="20" t="s">
        <v>74</v>
      </c>
      <c r="C36" s="21" t="s">
        <v>89</v>
      </c>
      <c r="D36" s="53" t="s">
        <v>152</v>
      </c>
      <c r="E36" s="53" t="s">
        <v>153</v>
      </c>
      <c r="F36" s="0" t="s">
        <v>190</v>
      </c>
    </row>
    <row r="37" customFormat="false" ht="15" hidden="false" customHeight="false" outlineLevel="0" collapsed="false">
      <c r="A37" s="54" t="s">
        <v>154</v>
      </c>
      <c r="B37" s="55"/>
      <c r="C37" s="56"/>
      <c r="D37" s="25" t="str">
        <f aca="false">IFERROR(AVERAGE(B37,C37),"")</f>
        <v/>
      </c>
      <c r="E37" s="25" t="str">
        <f aca="false">IFERROR(STDEV(B37,C37)/SQRT(COUNT(B37,C37)),"")</f>
        <v/>
      </c>
    </row>
    <row r="38" customFormat="false" ht="15" hidden="false" customHeight="false" outlineLevel="0" collapsed="false">
      <c r="D38" s="25" t="str">
        <f aca="false">IFERROR(AVERAGE(B38,C38),"")</f>
        <v/>
      </c>
      <c r="E38" s="25" t="str">
        <f aca="false">IFERROR(STDEV(B38,C38)/SQRT(COUNT(B38,C38)),"")</f>
        <v/>
      </c>
    </row>
    <row r="39" customFormat="false" ht="15" hidden="false" customHeight="false" outlineLevel="0" collapsed="false">
      <c r="D39" s="25" t="str">
        <f aca="false">IFERROR(AVERAGE(B39,C39),"")</f>
        <v/>
      </c>
      <c r="E39" s="25" t="str">
        <f aca="false">IFERROR(STDEV(B39,C39)/SQRT(COUNT(B39,C39)),"")</f>
        <v/>
      </c>
    </row>
    <row r="40" customFormat="false" ht="15" hidden="false" customHeight="false" outlineLevel="0" collapsed="false">
      <c r="D40" s="25" t="str">
        <f aca="false">IFERROR(AVERAGE(B40,C40),"")</f>
        <v/>
      </c>
      <c r="E40" s="25" t="str">
        <f aca="false">IFERROR(STDEV(B40,C40)/SQRT(COUNT(B40,C40)),"")</f>
        <v/>
      </c>
    </row>
    <row r="41" customFormat="false" ht="15" hidden="false" customHeight="false" outlineLevel="0" collapsed="false">
      <c r="D41" s="25" t="str">
        <f aca="false">IFERROR(AVERAGE(B41,C41),"")</f>
        <v/>
      </c>
      <c r="E41" s="25" t="str">
        <f aca="false">IFERROR(STDEV(B41,C41)/SQRT(COUNT(B41,C41)),"")</f>
        <v/>
      </c>
    </row>
    <row r="42" customFormat="false" ht="15" hidden="false" customHeight="false" outlineLevel="0" collapsed="false">
      <c r="D42" s="25" t="str">
        <f aca="false">IFERROR(AVERAGE(B42,C42),"")</f>
        <v/>
      </c>
      <c r="E42" s="25" t="str">
        <f aca="false">IFERROR(STDEV(B42,C42)/SQRT(COUNT(B42,C42)),"")</f>
        <v/>
      </c>
    </row>
    <row r="43" customFormat="false" ht="15" hidden="false" customHeight="false" outlineLevel="0" collapsed="false">
      <c r="D43" s="25" t="str">
        <f aca="false">IFERROR(AVERAGE(B43,C43),"")</f>
        <v/>
      </c>
      <c r="E43" s="25" t="str">
        <f aca="false">IFERROR(STDEV(B43,C43)/SQRT(COUNT(B43,C43)),"")</f>
        <v/>
      </c>
    </row>
    <row r="44" customFormat="false" ht="15" hidden="false" customHeight="false" outlineLevel="0" collapsed="false">
      <c r="D44" s="25" t="str">
        <f aca="false">IFERROR(AVERAGE(B44,C44),"")</f>
        <v/>
      </c>
      <c r="E44" s="25" t="str">
        <f aca="false">IFERROR(STDEV(B44,C44)/SQRT(COUNT(B44,C44)),"")</f>
        <v/>
      </c>
    </row>
    <row r="45" customFormat="false" ht="15" hidden="false" customHeight="false" outlineLevel="0" collapsed="false">
      <c r="D45" s="25" t="str">
        <f aca="false">IFERROR(AVERAGE(B45,C45),"")</f>
        <v/>
      </c>
      <c r="E45" s="25" t="str">
        <f aca="false">IFERROR(STDEV(B45,C45)/SQRT(COUNT(B45,C45)),"")</f>
        <v/>
      </c>
    </row>
    <row r="46" customFormat="false" ht="15" hidden="false" customHeight="false" outlineLevel="0" collapsed="false">
      <c r="D46" s="25" t="str">
        <f aca="false">IFERROR(AVERAGE(B46,C46),"")</f>
        <v/>
      </c>
      <c r="E46" s="25" t="str">
        <f aca="false">IFERROR(STDEV(B46,C46)/SQRT(COUNT(B46,C46)),"")</f>
        <v/>
      </c>
    </row>
    <row r="47" customFormat="false" ht="15" hidden="false" customHeight="false" outlineLevel="0" collapsed="false">
      <c r="D47" s="25" t="str">
        <f aca="false">IFERROR(AVERAGE(B47,C47),"")</f>
        <v/>
      </c>
      <c r="E47" s="25" t="str">
        <f aca="false">IFERROR(STDEV(B47,C47)/SQRT(COUNT(B47,C47)),"")</f>
        <v/>
      </c>
    </row>
    <row r="48" customFormat="false" ht="15" hidden="false" customHeight="false" outlineLevel="0" collapsed="false">
      <c r="D48" s="25" t="str">
        <f aca="false">IFERROR(AVERAGE(B48,C48),"")</f>
        <v/>
      </c>
      <c r="E48" s="25" t="str">
        <f aca="false">IFERROR(STDEV(B48,C48)/SQRT(COUNT(B48,C48)),"")</f>
        <v/>
      </c>
      <c r="AB48" s="0" t="s">
        <v>191</v>
      </c>
    </row>
    <row r="49" customFormat="false" ht="15" hidden="false" customHeight="false" outlineLevel="0" collapsed="false">
      <c r="D49" s="25" t="str">
        <f aca="false">IFERROR(AVERAGE(B49,C49),"")</f>
        <v/>
      </c>
      <c r="E49" s="25" t="str">
        <f aca="false">IFERROR(STDEV(B49,C49)/SQRT(COUNT(B49,C49)),"")</f>
        <v/>
      </c>
    </row>
    <row r="50" customFormat="false" ht="21" hidden="false" customHeight="false" outlineLevel="0" collapsed="false">
      <c r="D50" s="25" t="str">
        <f aca="false">IFERROR(AVERAGE(B50,C50),"")</f>
        <v/>
      </c>
      <c r="E50" s="25" t="str">
        <f aca="false">IFERROR(STDEV(B50,C50)/SQRT(COUNT(B50,C50)),"")</f>
        <v/>
      </c>
      <c r="AA50" s="40"/>
      <c r="AB50" s="41" t="n">
        <v>1</v>
      </c>
      <c r="AC50" s="41" t="n">
        <v>2</v>
      </c>
      <c r="AD50" s="41" t="n">
        <v>3</v>
      </c>
      <c r="AE50" s="41" t="n">
        <v>4</v>
      </c>
      <c r="AF50" s="41" t="n">
        <v>5</v>
      </c>
      <c r="AG50" s="41" t="n">
        <v>6</v>
      </c>
      <c r="AH50" s="41" t="n">
        <v>7</v>
      </c>
      <c r="AI50" s="41" t="n">
        <v>8</v>
      </c>
      <c r="AJ50" s="41" t="n">
        <v>9</v>
      </c>
      <c r="AK50" s="41" t="n">
        <v>10</v>
      </c>
      <c r="AL50" s="41" t="n">
        <v>11</v>
      </c>
      <c r="AM50" s="41" t="n">
        <v>12</v>
      </c>
    </row>
    <row r="51" customFormat="false" ht="20.25" hidden="false" customHeight="false" outlineLevel="0" collapsed="false">
      <c r="D51" s="25" t="str">
        <f aca="false">IFERROR(AVERAGE(B51,C51),"")</f>
        <v/>
      </c>
      <c r="E51" s="25" t="str">
        <f aca="false">IFERROR(STDEV(B51,C51)/SQRT(COUNT(B51,C51)),"")</f>
        <v/>
      </c>
      <c r="AA51" s="41" t="s">
        <v>166</v>
      </c>
      <c r="AB51" s="57" t="str">
        <f aca="false">IFERROR(_xlfn.CONCAT(_xlfn.xlookup(_xlfn.CONCAT($AA51,IF(AB$50&lt;10,"0",),AB$50,),'VCN - Input'!$B$8:$B$1000,'VCN - Input'!$C$8:$C$1000), " ", _xlfn.xlookup(_xlfn.CONCAT($AA51,IF(AB$50&lt;10,"0",),AB$50,),'VCN - Input'!$B$8:$B$1000,'VCN - Input'!$D$8:$D$1000), " ", _xlfn.xlookup(_xlfn.CONCAT($AA51,IF(AB$50&lt;10,"0",),AB$50,),'VCN - Input'!$B$8:$B$1000,'VCN - Input'!$E$8:$E$1000), " ", _xlfn.xlookup(_xlfn.CONCAT($AA51,IF(AB$50&lt;10,"0",),AB$50,),'VCN - Input'!$B$8:$B$1000,'VCN - Input'!$F$8:$F$1000)), " ")</f>
        <v> </v>
      </c>
      <c r="AC51" s="57" t="str">
        <f aca="false">IFERROR(_xlfn.CONCAT(_xlfn.xlookup(_xlfn.CONCAT($AA51,IF(AC$50&lt;10,"0",),AC$50,),'VCN - Input'!$B$8:$B$1000,'VCN - Input'!$C$8:$C$1000), " ", _xlfn.xlookup(_xlfn.CONCAT($AA51,IF(AC$50&lt;10,"0",),AC$50,),'VCN - Input'!$B$8:$B$1000,'VCN - Input'!$D$8:$D$1000), " ", _xlfn.xlookup(_xlfn.CONCAT($AA51,IF(AC$50&lt;10,"0",),AC$50,),'VCN - Input'!$B$8:$B$1000,'VCN - Input'!$E$8:$E$1000), " ", _xlfn.xlookup(_xlfn.CONCAT($AA51,IF(AC$50&lt;10,"0",),AC$50,),'VCN - Input'!$B$8:$B$1000,'VCN - Input'!$F$8:$F$1000)), " ")</f>
        <v> </v>
      </c>
      <c r="AD51" s="57" t="str">
        <f aca="false">IFERROR(_xlfn.CONCAT(_xlfn.xlookup(_xlfn.CONCAT($AA51,IF(AD$50&lt;10,"0",),AD$50,),'VCN - Input'!$B$8:$B$1000,'VCN - Input'!$C$8:$C$1000), " ", _xlfn.xlookup(_xlfn.CONCAT($AA51,IF(AD$50&lt;10,"0",),AD$50,),'VCN - Input'!$B$8:$B$1000,'VCN - Input'!$D$8:$D$1000), " ", _xlfn.xlookup(_xlfn.CONCAT($AA51,IF(AD$50&lt;10,"0",),AD$50,),'VCN - Input'!$B$8:$B$1000,'VCN - Input'!$E$8:$E$1000), " ", _xlfn.xlookup(_xlfn.CONCAT($AA51,IF(AD$50&lt;10,"0",),AD$50,),'VCN - Input'!$B$8:$B$1000,'VCN - Input'!$F$8:$F$1000)), " ")</f>
        <v> </v>
      </c>
      <c r="AE51" s="57" t="str">
        <f aca="false">IFERROR(_xlfn.CONCAT(_xlfn.xlookup(_xlfn.CONCAT($AA51,IF(AE$50&lt;10,"0",),AE$50,),'VCN - Input'!$B$8:$B$1000,'VCN - Input'!$C$8:$C$1000), " ", _xlfn.xlookup(_xlfn.CONCAT($AA51,IF(AE$50&lt;10,"0",),AE$50,),'VCN - Input'!$B$8:$B$1000,'VCN - Input'!$D$8:$D$1000), " ", _xlfn.xlookup(_xlfn.CONCAT($AA51,IF(AE$50&lt;10,"0",),AE$50,),'VCN - Input'!$B$8:$B$1000,'VCN - Input'!$E$8:$E$1000), " ", _xlfn.xlookup(_xlfn.CONCAT($AA51,IF(AE$50&lt;10,"0",),AE$50,),'VCN - Input'!$B$8:$B$1000,'VCN - Input'!$F$8:$F$1000)), " ")</f>
        <v> </v>
      </c>
      <c r="AF51" s="57" t="str">
        <f aca="false">IFERROR(_xlfn.CONCAT(_xlfn.xlookup(_xlfn.CONCAT($AA51,IF(AF$50&lt;10,"0",),AF$50,),'VCN - Input'!$B$8:$B$1000,'VCN - Input'!$C$8:$C$1000), " ", _xlfn.xlookup(_xlfn.CONCAT($AA51,IF(AF$50&lt;10,"0",),AF$50,),'VCN - Input'!$B$8:$B$1000,'VCN - Input'!$D$8:$D$1000), " ", _xlfn.xlookup(_xlfn.CONCAT($AA51,IF(AF$50&lt;10,"0",),AF$50,),'VCN - Input'!$B$8:$B$1000,'VCN - Input'!$E$8:$E$1000), " ", _xlfn.xlookup(_xlfn.CONCAT($AA51,IF(AF$50&lt;10,"0",),AF$50,),'VCN - Input'!$B$8:$B$1000,'VCN - Input'!$F$8:$F$1000)), " ")</f>
        <v> </v>
      </c>
      <c r="AG51" s="57" t="str">
        <f aca="false">IFERROR(_xlfn.CONCAT(_xlfn.xlookup(_xlfn.CONCAT($AA51,IF(AG$50&lt;10,"0",),AG$50,),'VCN - Input'!$B$8:$B$1000,'VCN - Input'!$C$8:$C$1000), " ", _xlfn.xlookup(_xlfn.CONCAT($AA51,IF(AG$50&lt;10,"0",),AG$50,),'VCN - Input'!$B$8:$B$1000,'VCN - Input'!$D$8:$D$1000), " ", _xlfn.xlookup(_xlfn.CONCAT($AA51,IF(AG$50&lt;10,"0",),AG$50,),'VCN - Input'!$B$8:$B$1000,'VCN - Input'!$E$8:$E$1000), " ", _xlfn.xlookup(_xlfn.CONCAT($AA51,IF(AG$50&lt;10,"0",),AG$50,),'VCN - Input'!$B$8:$B$1000,'VCN - Input'!$F$8:$F$1000)), " ")</f>
        <v> </v>
      </c>
      <c r="AH51" s="57" t="str">
        <f aca="false">IFERROR(_xlfn.CONCAT(_xlfn.xlookup(_xlfn.CONCAT($AA51,IF(AH$50&lt;10,"0",),AH$50,),'VCN - Input'!$B$8:$B$1000,'VCN - Input'!$C$8:$C$1000), " ", _xlfn.xlookup(_xlfn.CONCAT($AA51,IF(AH$50&lt;10,"0",),AH$50,),'VCN - Input'!$B$8:$B$1000,'VCN - Input'!$D$8:$D$1000), " ", _xlfn.xlookup(_xlfn.CONCAT($AA51,IF(AH$50&lt;10,"0",),AH$50,),'VCN - Input'!$B$8:$B$1000,'VCN - Input'!$E$8:$E$1000), " ", _xlfn.xlookup(_xlfn.CONCAT($AA51,IF(AH$50&lt;10,"0",),AH$50,),'VCN - Input'!$B$8:$B$1000,'VCN - Input'!$F$8:$F$1000)), " ")</f>
        <v> </v>
      </c>
      <c r="AI51" s="57" t="str">
        <f aca="false">IFERROR(_xlfn.CONCAT(_xlfn.xlookup(_xlfn.CONCAT($AA51,IF(AI$50&lt;10,"0",),AI$50,),'VCN - Input'!$B$8:$B$1000,'VCN - Input'!$C$8:$C$1000), " ", _xlfn.xlookup(_xlfn.CONCAT($AA51,IF(AI$50&lt;10,"0",),AI$50,),'VCN - Input'!$B$8:$B$1000,'VCN - Input'!$D$8:$D$1000), " ", _xlfn.xlookup(_xlfn.CONCAT($AA51,IF(AI$50&lt;10,"0",),AI$50,),'VCN - Input'!$B$8:$B$1000,'VCN - Input'!$E$8:$E$1000), " ", _xlfn.xlookup(_xlfn.CONCAT($AA51,IF(AI$50&lt;10,"0",),AI$50,),'VCN - Input'!$B$8:$B$1000,'VCN - Input'!$F$8:$F$1000)), " ")</f>
        <v> </v>
      </c>
      <c r="AJ51" s="57" t="str">
        <f aca="false">IFERROR(_xlfn.CONCAT(_xlfn.xlookup(_xlfn.CONCAT($AA51,IF(AJ$50&lt;10,"0",),AJ$50,),'VCN - Input'!$B$8:$B$1000,'VCN - Input'!$C$8:$C$1000), " ", _xlfn.xlookup(_xlfn.CONCAT($AA51,IF(AJ$50&lt;10,"0",),AJ$50,),'VCN - Input'!$B$8:$B$1000,'VCN - Input'!$D$8:$D$1000), " ", _xlfn.xlookup(_xlfn.CONCAT($AA51,IF(AJ$50&lt;10,"0",),AJ$50,),'VCN - Input'!$B$8:$B$1000,'VCN - Input'!$E$8:$E$1000), " ", _xlfn.xlookup(_xlfn.CONCAT($AA51,IF(AJ$50&lt;10,"0",),AJ$50,),'VCN - Input'!$B$8:$B$1000,'VCN - Input'!$F$8:$F$1000)), " ")</f>
        <v> </v>
      </c>
      <c r="AK51" s="57" t="str">
        <f aca="false">IFERROR(_xlfn.CONCAT(_xlfn.xlookup(_xlfn.CONCAT($AA51,IF(AK$50&lt;10,"0",),AK$50,),'VCN - Input'!$B$8:$B$1000,'VCN - Input'!$C$8:$C$1000), " ", _xlfn.xlookup(_xlfn.CONCAT($AA51,IF(AK$50&lt;10,"0",),AK$50,),'VCN - Input'!$B$8:$B$1000,'VCN - Input'!$D$8:$D$1000), " ", _xlfn.xlookup(_xlfn.CONCAT($AA51,IF(AK$50&lt;10,"0",),AK$50,),'VCN - Input'!$B$8:$B$1000,'VCN - Input'!$E$8:$E$1000), " ", _xlfn.xlookup(_xlfn.CONCAT($AA51,IF(AK$50&lt;10,"0",),AK$50,),'VCN - Input'!$B$8:$B$1000,'VCN - Input'!$F$8:$F$1000)), " ")</f>
        <v> </v>
      </c>
      <c r="AL51" s="57" t="str">
        <f aca="false">IFERROR(_xlfn.CONCAT(_xlfn.xlookup(_xlfn.CONCAT($AA51,IF(AL$50&lt;10,"0",),AL$50,),'VCN - Input'!$B$8:$B$1000,'VCN - Input'!$C$8:$C$1000), " ", _xlfn.xlookup(_xlfn.CONCAT($AA51,IF(AL$50&lt;10,"0",),AL$50,),'VCN - Input'!$B$8:$B$1000,'VCN - Input'!$D$8:$D$1000), " ", _xlfn.xlookup(_xlfn.CONCAT($AA51,IF(AL$50&lt;10,"0",),AL$50,),'VCN - Input'!$B$8:$B$1000,'VCN - Input'!$E$8:$E$1000), " ", _xlfn.xlookup(_xlfn.CONCAT($AA51,IF(AL$50&lt;10,"0",),AL$50,),'VCN - Input'!$B$8:$B$1000,'VCN - Input'!$F$8:$F$1000)), " ")</f>
        <v> </v>
      </c>
      <c r="AM51" s="57" t="str">
        <f aca="false">IFERROR(_xlfn.CONCAT(_xlfn.xlookup(_xlfn.CONCAT($AA51,IF(AM$50&lt;10,"0",),AM$50,),'VCN - Input'!$B$8:$B$1000,'VCN - Input'!$C$8:$C$1000), " ", _xlfn.xlookup(_xlfn.CONCAT($AA51,IF(AM$50&lt;10,"0",),AM$50,),'VCN - Input'!$B$8:$B$1000,'VCN - Input'!$D$8:$D$1000), " ", _xlfn.xlookup(_xlfn.CONCAT($AA51,IF(AM$50&lt;10,"0",),AM$50,),'VCN - Input'!$B$8:$B$1000,'VCN - Input'!$E$8:$E$1000), " ", _xlfn.xlookup(_xlfn.CONCAT($AA51,IF(AM$50&lt;10,"0",),AM$50,),'VCN - Input'!$B$8:$B$1000,'VCN - Input'!$F$8:$F$1000)), " ")</f>
        <v> </v>
      </c>
    </row>
    <row r="52" customFormat="false" ht="20.25" hidden="false" customHeight="false" outlineLevel="0" collapsed="false">
      <c r="D52" s="25" t="str">
        <f aca="false">IFERROR(AVERAGE(B52,C52),"")</f>
        <v/>
      </c>
      <c r="E52" s="25" t="str">
        <f aca="false">IFERROR(STDEV(B52,C52)/SQRT(COUNT(B52,C52)),"")</f>
        <v/>
      </c>
      <c r="AA52" s="41" t="s">
        <v>167</v>
      </c>
      <c r="AB52" s="57" t="str">
        <f aca="false">IFERROR(_xlfn.CONCAT(_xlfn.xlookup(_xlfn.CONCAT($AA52,IF(AB$50&lt;10,"0",),AB$50,),'VCN - Input'!$B$8:$B$1000,'VCN - Input'!$C$8:$C$1000), " ", _xlfn.xlookup(_xlfn.CONCAT($AA52,IF(AB$50&lt;10,"0",),AB$50,),'VCN - Input'!$B$8:$B$1000,'VCN - Input'!$D$8:$D$1000), " ", _xlfn.xlookup(_xlfn.CONCAT($AA52,IF(AB$50&lt;10,"0",),AB$50,),'VCN - Input'!$B$8:$B$1000,'VCN - Input'!$E$8:$E$1000), " ", _xlfn.xlookup(_xlfn.CONCAT($AA52,IF(AB$50&lt;10,"0",),AB$50,),'VCN - Input'!$B$8:$B$1000,'VCN - Input'!$F$8:$F$1000)), " ")</f>
        <v> </v>
      </c>
      <c r="AC52" s="57" t="str">
        <f aca="false">IFERROR(_xlfn.CONCAT(_xlfn.xlookup(_xlfn.CONCAT($AA52,IF(AC$50&lt;10,"0",),AC$50,),'VCN - Input'!$B$8:$B$1000,'VCN - Input'!$C$8:$C$1000), " ", _xlfn.xlookup(_xlfn.CONCAT($AA52,IF(AC$50&lt;10,"0",),AC$50,),'VCN - Input'!$B$8:$B$1000,'VCN - Input'!$D$8:$D$1000), " ", _xlfn.xlookup(_xlfn.CONCAT($AA52,IF(AC$50&lt;10,"0",),AC$50,),'VCN - Input'!$B$8:$B$1000,'VCN - Input'!$E$8:$E$1000), " ", _xlfn.xlookup(_xlfn.CONCAT($AA52,IF(AC$50&lt;10,"0",),AC$50,),'VCN - Input'!$B$8:$B$1000,'VCN - Input'!$F$8:$F$1000)), " ")</f>
        <v> </v>
      </c>
      <c r="AD52" s="57" t="str">
        <f aca="false">IFERROR(_xlfn.CONCAT(_xlfn.xlookup(_xlfn.CONCAT($AA52,IF(AD$50&lt;10,"0",),AD$50,),'VCN - Input'!$B$8:$B$1000,'VCN - Input'!$C$8:$C$1000), " ", _xlfn.xlookup(_xlfn.CONCAT($AA52,IF(AD$50&lt;10,"0",),AD$50,),'VCN - Input'!$B$8:$B$1000,'VCN - Input'!$D$8:$D$1000), " ", _xlfn.xlookup(_xlfn.CONCAT($AA52,IF(AD$50&lt;10,"0",),AD$50,),'VCN - Input'!$B$8:$B$1000,'VCN - Input'!$E$8:$E$1000), " ", _xlfn.xlookup(_xlfn.CONCAT($AA52,IF(AD$50&lt;10,"0",),AD$50,),'VCN - Input'!$B$8:$B$1000,'VCN - Input'!$F$8:$F$1000)), " ")</f>
        <v> </v>
      </c>
      <c r="AE52" s="57" t="str">
        <f aca="false">IFERROR(_xlfn.CONCAT(_xlfn.xlookup(_xlfn.CONCAT($AA52,IF(AE$50&lt;10,"0",),AE$50,),'VCN - Input'!$B$8:$B$1000,'VCN - Input'!$C$8:$C$1000), " ", _xlfn.xlookup(_xlfn.CONCAT($AA52,IF(AE$50&lt;10,"0",),AE$50,),'VCN - Input'!$B$8:$B$1000,'VCN - Input'!$D$8:$D$1000), " ", _xlfn.xlookup(_xlfn.CONCAT($AA52,IF(AE$50&lt;10,"0",),AE$50,),'VCN - Input'!$B$8:$B$1000,'VCN - Input'!$E$8:$E$1000), " ", _xlfn.xlookup(_xlfn.CONCAT($AA52,IF(AE$50&lt;10,"0",),AE$50,),'VCN - Input'!$B$8:$B$1000,'VCN - Input'!$F$8:$F$1000)), " ")</f>
        <v> </v>
      </c>
      <c r="AF52" s="57" t="str">
        <f aca="false">IFERROR(_xlfn.CONCAT(_xlfn.xlookup(_xlfn.CONCAT($AA52,IF(AF$50&lt;10,"0",),AF$50,),'VCN - Input'!$B$8:$B$1000,'VCN - Input'!$C$8:$C$1000), " ", _xlfn.xlookup(_xlfn.CONCAT($AA52,IF(AF$50&lt;10,"0",),AF$50,),'VCN - Input'!$B$8:$B$1000,'VCN - Input'!$D$8:$D$1000), " ", _xlfn.xlookup(_xlfn.CONCAT($AA52,IF(AF$50&lt;10,"0",),AF$50,),'VCN - Input'!$B$8:$B$1000,'VCN - Input'!$E$8:$E$1000), " ", _xlfn.xlookup(_xlfn.CONCAT($AA52,IF(AF$50&lt;10,"0",),AF$50,),'VCN - Input'!$B$8:$B$1000,'VCN - Input'!$F$8:$F$1000)), " ")</f>
        <v> </v>
      </c>
      <c r="AG52" s="57" t="str">
        <f aca="false">IFERROR(_xlfn.CONCAT(_xlfn.xlookup(_xlfn.CONCAT($AA52,IF(AG$50&lt;10,"0",),AG$50,),'VCN - Input'!$B$8:$B$1000,'VCN - Input'!$C$8:$C$1000), " ", _xlfn.xlookup(_xlfn.CONCAT($AA52,IF(AG$50&lt;10,"0",),AG$50,),'VCN - Input'!$B$8:$B$1000,'VCN - Input'!$D$8:$D$1000), " ", _xlfn.xlookup(_xlfn.CONCAT($AA52,IF(AG$50&lt;10,"0",),AG$50,),'VCN - Input'!$B$8:$B$1000,'VCN - Input'!$E$8:$E$1000), " ", _xlfn.xlookup(_xlfn.CONCAT($AA52,IF(AG$50&lt;10,"0",),AG$50,),'VCN - Input'!$B$8:$B$1000,'VCN - Input'!$F$8:$F$1000)), " ")</f>
        <v> </v>
      </c>
      <c r="AH52" s="57" t="str">
        <f aca="false">IFERROR(_xlfn.CONCAT(_xlfn.xlookup(_xlfn.CONCAT($AA52,IF(AH$50&lt;10,"0",),AH$50,),'VCN - Input'!$B$8:$B$1000,'VCN - Input'!$C$8:$C$1000), " ", _xlfn.xlookup(_xlfn.CONCAT($AA52,IF(AH$50&lt;10,"0",),AH$50,),'VCN - Input'!$B$8:$B$1000,'VCN - Input'!$D$8:$D$1000), " ", _xlfn.xlookup(_xlfn.CONCAT($AA52,IF(AH$50&lt;10,"0",),AH$50,),'VCN - Input'!$B$8:$B$1000,'VCN - Input'!$E$8:$E$1000), " ", _xlfn.xlookup(_xlfn.CONCAT($AA52,IF(AH$50&lt;10,"0",),AH$50,),'VCN - Input'!$B$8:$B$1000,'VCN - Input'!$F$8:$F$1000)), " ")</f>
        <v> </v>
      </c>
      <c r="AI52" s="57" t="str">
        <f aca="false">IFERROR(_xlfn.CONCAT(_xlfn.xlookup(_xlfn.CONCAT($AA52,IF(AI$50&lt;10,"0",),AI$50,),'VCN - Input'!$B$8:$B$1000,'VCN - Input'!$C$8:$C$1000), " ", _xlfn.xlookup(_xlfn.CONCAT($AA52,IF(AI$50&lt;10,"0",),AI$50,),'VCN - Input'!$B$8:$B$1000,'VCN - Input'!$D$8:$D$1000), " ", _xlfn.xlookup(_xlfn.CONCAT($AA52,IF(AI$50&lt;10,"0",),AI$50,),'VCN - Input'!$B$8:$B$1000,'VCN - Input'!$E$8:$E$1000), " ", _xlfn.xlookup(_xlfn.CONCAT($AA52,IF(AI$50&lt;10,"0",),AI$50,),'VCN - Input'!$B$8:$B$1000,'VCN - Input'!$F$8:$F$1000)), " ")</f>
        <v> </v>
      </c>
      <c r="AJ52" s="57" t="str">
        <f aca="false">IFERROR(_xlfn.CONCAT(_xlfn.xlookup(_xlfn.CONCAT($AA52,IF(AJ$50&lt;10,"0",),AJ$50,),'VCN - Input'!$B$8:$B$1000,'VCN - Input'!$C$8:$C$1000), " ", _xlfn.xlookup(_xlfn.CONCAT($AA52,IF(AJ$50&lt;10,"0",),AJ$50,),'VCN - Input'!$B$8:$B$1000,'VCN - Input'!$D$8:$D$1000), " ", _xlfn.xlookup(_xlfn.CONCAT($AA52,IF(AJ$50&lt;10,"0",),AJ$50,),'VCN - Input'!$B$8:$B$1000,'VCN - Input'!$E$8:$E$1000), " ", _xlfn.xlookup(_xlfn.CONCAT($AA52,IF(AJ$50&lt;10,"0",),AJ$50,),'VCN - Input'!$B$8:$B$1000,'VCN - Input'!$F$8:$F$1000)), " ")</f>
        <v> </v>
      </c>
      <c r="AK52" s="57" t="str">
        <f aca="false">IFERROR(_xlfn.CONCAT(_xlfn.xlookup(_xlfn.CONCAT($AA52,IF(AK$50&lt;10,"0",),AK$50,),'VCN - Input'!$B$8:$B$1000,'VCN - Input'!$C$8:$C$1000), " ", _xlfn.xlookup(_xlfn.CONCAT($AA52,IF(AK$50&lt;10,"0",),AK$50,),'VCN - Input'!$B$8:$B$1000,'VCN - Input'!$D$8:$D$1000), " ", _xlfn.xlookup(_xlfn.CONCAT($AA52,IF(AK$50&lt;10,"0",),AK$50,),'VCN - Input'!$B$8:$B$1000,'VCN - Input'!$E$8:$E$1000), " ", _xlfn.xlookup(_xlfn.CONCAT($AA52,IF(AK$50&lt;10,"0",),AK$50,),'VCN - Input'!$B$8:$B$1000,'VCN - Input'!$F$8:$F$1000)), " ")</f>
        <v> </v>
      </c>
      <c r="AL52" s="57" t="str">
        <f aca="false">IFERROR(_xlfn.CONCAT(_xlfn.xlookup(_xlfn.CONCAT($AA52,IF(AL$50&lt;10,"0",),AL$50,),'VCN - Input'!$B$8:$B$1000,'VCN - Input'!$C$8:$C$1000), " ", _xlfn.xlookup(_xlfn.CONCAT($AA52,IF(AL$50&lt;10,"0",),AL$50,),'VCN - Input'!$B$8:$B$1000,'VCN - Input'!$D$8:$D$1000), " ", _xlfn.xlookup(_xlfn.CONCAT($AA52,IF(AL$50&lt;10,"0",),AL$50,),'VCN - Input'!$B$8:$B$1000,'VCN - Input'!$E$8:$E$1000), " ", _xlfn.xlookup(_xlfn.CONCAT($AA52,IF(AL$50&lt;10,"0",),AL$50,),'VCN - Input'!$B$8:$B$1000,'VCN - Input'!$F$8:$F$1000)), " ")</f>
        <v> </v>
      </c>
      <c r="AM52" s="57" t="str">
        <f aca="false">IFERROR(_xlfn.CONCAT(_xlfn.xlookup(_xlfn.CONCAT($AA52,IF(AM$50&lt;10,"0",),AM$50,),'VCN - Input'!$B$8:$B$1000,'VCN - Input'!$C$8:$C$1000), " ", _xlfn.xlookup(_xlfn.CONCAT($AA52,IF(AM$50&lt;10,"0",),AM$50,),'VCN - Input'!$B$8:$B$1000,'VCN - Input'!$D$8:$D$1000), " ", _xlfn.xlookup(_xlfn.CONCAT($AA52,IF(AM$50&lt;10,"0",),AM$50,),'VCN - Input'!$B$8:$B$1000,'VCN - Input'!$E$8:$E$1000), " ", _xlfn.xlookup(_xlfn.CONCAT($AA52,IF(AM$50&lt;10,"0",),AM$50,),'VCN - Input'!$B$8:$B$1000,'VCN - Input'!$F$8:$F$1000)), " ")</f>
        <v> </v>
      </c>
    </row>
    <row r="53" customFormat="false" ht="20.25" hidden="false" customHeight="false" outlineLevel="0" collapsed="false">
      <c r="D53" s="25" t="str">
        <f aca="false">IFERROR(AVERAGE(B53,C53),"")</f>
        <v/>
      </c>
      <c r="E53" s="25" t="str">
        <f aca="false">IFERROR(STDEV(B53,C53)/SQRT(COUNT(B53,C53)),"")</f>
        <v/>
      </c>
      <c r="AA53" s="41" t="s">
        <v>168</v>
      </c>
      <c r="AB53" s="57" t="str">
        <f aca="false">IFERROR(_xlfn.CONCAT(_xlfn.xlookup(_xlfn.CONCAT($AA53,IF(AB$50&lt;10,"0",),AB$50,),'VCN - Input'!$B$8:$B$1000,'VCN - Input'!$C$8:$C$1000), " ", _xlfn.xlookup(_xlfn.CONCAT($AA53,IF(AB$50&lt;10,"0",),AB$50,),'VCN - Input'!$B$8:$B$1000,'VCN - Input'!$D$8:$D$1000), " ", _xlfn.xlookup(_xlfn.CONCAT($AA53,IF(AB$50&lt;10,"0",),AB$50,),'VCN - Input'!$B$8:$B$1000,'VCN - Input'!$E$8:$E$1000), " ", _xlfn.xlookup(_xlfn.CONCAT($AA53,IF(AB$50&lt;10,"0",),AB$50,),'VCN - Input'!$B$8:$B$1000,'VCN - Input'!$F$8:$F$1000)), " ")</f>
        <v> </v>
      </c>
      <c r="AC53" s="57" t="str">
        <f aca="false">IFERROR(_xlfn.CONCAT(_xlfn.xlookup(_xlfn.CONCAT($AA53,IF(AC$50&lt;10,"0",),AC$50,),'VCN - Input'!$B$8:$B$1000,'VCN - Input'!$C$8:$C$1000), " ", _xlfn.xlookup(_xlfn.CONCAT($AA53,IF(AC$50&lt;10,"0",),AC$50,),'VCN - Input'!$B$8:$B$1000,'VCN - Input'!$D$8:$D$1000), " ", _xlfn.xlookup(_xlfn.CONCAT($AA53,IF(AC$50&lt;10,"0",),AC$50,),'VCN - Input'!$B$8:$B$1000,'VCN - Input'!$E$8:$E$1000), " ", _xlfn.xlookup(_xlfn.CONCAT($AA53,IF(AC$50&lt;10,"0",),AC$50,),'VCN - Input'!$B$8:$B$1000,'VCN - Input'!$F$8:$F$1000)), " ")</f>
        <v> </v>
      </c>
      <c r="AD53" s="57" t="str">
        <f aca="false">IFERROR(_xlfn.CONCAT(_xlfn.xlookup(_xlfn.CONCAT($AA53,IF(AD$50&lt;10,"0",),AD$50,),'VCN - Input'!$B$8:$B$1000,'VCN - Input'!$C$8:$C$1000), " ", _xlfn.xlookup(_xlfn.CONCAT($AA53,IF(AD$50&lt;10,"0",),AD$50,),'VCN - Input'!$B$8:$B$1000,'VCN - Input'!$D$8:$D$1000), " ", _xlfn.xlookup(_xlfn.CONCAT($AA53,IF(AD$50&lt;10,"0",),AD$50,),'VCN - Input'!$B$8:$B$1000,'VCN - Input'!$E$8:$E$1000), " ", _xlfn.xlookup(_xlfn.CONCAT($AA53,IF(AD$50&lt;10,"0",),AD$50,),'VCN - Input'!$B$8:$B$1000,'VCN - Input'!$F$8:$F$1000)), " ")</f>
        <v> </v>
      </c>
      <c r="AE53" s="57" t="str">
        <f aca="false">IFERROR(_xlfn.CONCAT(_xlfn.xlookup(_xlfn.CONCAT($AA53,IF(AE$50&lt;10,"0",),AE$50,),'VCN - Input'!$B$8:$B$1000,'VCN - Input'!$C$8:$C$1000), " ", _xlfn.xlookup(_xlfn.CONCAT($AA53,IF(AE$50&lt;10,"0",),AE$50,),'VCN - Input'!$B$8:$B$1000,'VCN - Input'!$D$8:$D$1000), " ", _xlfn.xlookup(_xlfn.CONCAT($AA53,IF(AE$50&lt;10,"0",),AE$50,),'VCN - Input'!$B$8:$B$1000,'VCN - Input'!$E$8:$E$1000), " ", _xlfn.xlookup(_xlfn.CONCAT($AA53,IF(AE$50&lt;10,"0",),AE$50,),'VCN - Input'!$B$8:$B$1000,'VCN - Input'!$F$8:$F$1000)), " ")</f>
        <v> </v>
      </c>
      <c r="AF53" s="57" t="str">
        <f aca="false">IFERROR(_xlfn.CONCAT(_xlfn.xlookup(_xlfn.CONCAT($AA53,IF(AF$50&lt;10,"0",),AF$50,),'VCN - Input'!$B$8:$B$1000,'VCN - Input'!$C$8:$C$1000), " ", _xlfn.xlookup(_xlfn.CONCAT($AA53,IF(AF$50&lt;10,"0",),AF$50,),'VCN - Input'!$B$8:$B$1000,'VCN - Input'!$D$8:$D$1000), " ", _xlfn.xlookup(_xlfn.CONCAT($AA53,IF(AF$50&lt;10,"0",),AF$50,),'VCN - Input'!$B$8:$B$1000,'VCN - Input'!$E$8:$E$1000), " ", _xlfn.xlookup(_xlfn.CONCAT($AA53,IF(AF$50&lt;10,"0",),AF$50,),'VCN - Input'!$B$8:$B$1000,'VCN - Input'!$F$8:$F$1000)), " ")</f>
        <v> </v>
      </c>
      <c r="AG53" s="57" t="str">
        <f aca="false">IFERROR(_xlfn.CONCAT(_xlfn.xlookup(_xlfn.CONCAT($AA53,IF(AG$50&lt;10,"0",),AG$50,),'VCN - Input'!$B$8:$B$1000,'VCN - Input'!$C$8:$C$1000), " ", _xlfn.xlookup(_xlfn.CONCAT($AA53,IF(AG$50&lt;10,"0",),AG$50,),'VCN - Input'!$B$8:$B$1000,'VCN - Input'!$D$8:$D$1000), " ", _xlfn.xlookup(_xlfn.CONCAT($AA53,IF(AG$50&lt;10,"0",),AG$50,),'VCN - Input'!$B$8:$B$1000,'VCN - Input'!$E$8:$E$1000), " ", _xlfn.xlookup(_xlfn.CONCAT($AA53,IF(AG$50&lt;10,"0",),AG$50,),'VCN - Input'!$B$8:$B$1000,'VCN - Input'!$F$8:$F$1000)), " ")</f>
        <v> </v>
      </c>
      <c r="AH53" s="57" t="str">
        <f aca="false">IFERROR(_xlfn.CONCAT(_xlfn.xlookup(_xlfn.CONCAT($AA53,IF(AH$50&lt;10,"0",),AH$50,),'VCN - Input'!$B$8:$B$1000,'VCN - Input'!$C$8:$C$1000), " ", _xlfn.xlookup(_xlfn.CONCAT($AA53,IF(AH$50&lt;10,"0",),AH$50,),'VCN - Input'!$B$8:$B$1000,'VCN - Input'!$D$8:$D$1000), " ", _xlfn.xlookup(_xlfn.CONCAT($AA53,IF(AH$50&lt;10,"0",),AH$50,),'VCN - Input'!$B$8:$B$1000,'VCN - Input'!$E$8:$E$1000), " ", _xlfn.xlookup(_xlfn.CONCAT($AA53,IF(AH$50&lt;10,"0",),AH$50,),'VCN - Input'!$B$8:$B$1000,'VCN - Input'!$F$8:$F$1000)), " ")</f>
        <v> </v>
      </c>
      <c r="AI53" s="57" t="str">
        <f aca="false">IFERROR(_xlfn.CONCAT(_xlfn.xlookup(_xlfn.CONCAT($AA53,IF(AI$50&lt;10,"0",),AI$50,),'VCN - Input'!$B$8:$B$1000,'VCN - Input'!$C$8:$C$1000), " ", _xlfn.xlookup(_xlfn.CONCAT($AA53,IF(AI$50&lt;10,"0",),AI$50,),'VCN - Input'!$B$8:$B$1000,'VCN - Input'!$D$8:$D$1000), " ", _xlfn.xlookup(_xlfn.CONCAT($AA53,IF(AI$50&lt;10,"0",),AI$50,),'VCN - Input'!$B$8:$B$1000,'VCN - Input'!$E$8:$E$1000), " ", _xlfn.xlookup(_xlfn.CONCAT($AA53,IF(AI$50&lt;10,"0",),AI$50,),'VCN - Input'!$B$8:$B$1000,'VCN - Input'!$F$8:$F$1000)), " ")</f>
        <v> </v>
      </c>
      <c r="AJ53" s="57" t="str">
        <f aca="false">IFERROR(_xlfn.CONCAT(_xlfn.xlookup(_xlfn.CONCAT($AA53,IF(AJ$50&lt;10,"0",),AJ$50,),'VCN - Input'!$B$8:$B$1000,'VCN - Input'!$C$8:$C$1000), " ", _xlfn.xlookup(_xlfn.CONCAT($AA53,IF(AJ$50&lt;10,"0",),AJ$50,),'VCN - Input'!$B$8:$B$1000,'VCN - Input'!$D$8:$D$1000), " ", _xlfn.xlookup(_xlfn.CONCAT($AA53,IF(AJ$50&lt;10,"0",),AJ$50,),'VCN - Input'!$B$8:$B$1000,'VCN - Input'!$E$8:$E$1000), " ", _xlfn.xlookup(_xlfn.CONCAT($AA53,IF(AJ$50&lt;10,"0",),AJ$50,),'VCN - Input'!$B$8:$B$1000,'VCN - Input'!$F$8:$F$1000)), " ")</f>
        <v> </v>
      </c>
      <c r="AK53" s="57" t="str">
        <f aca="false">IFERROR(_xlfn.CONCAT(_xlfn.xlookup(_xlfn.CONCAT($AA53,IF(AK$50&lt;10,"0",),AK$50,),'VCN - Input'!$B$8:$B$1000,'VCN - Input'!$C$8:$C$1000), " ", _xlfn.xlookup(_xlfn.CONCAT($AA53,IF(AK$50&lt;10,"0",),AK$50,),'VCN - Input'!$B$8:$B$1000,'VCN - Input'!$D$8:$D$1000), " ", _xlfn.xlookup(_xlfn.CONCAT($AA53,IF(AK$50&lt;10,"0",),AK$50,),'VCN - Input'!$B$8:$B$1000,'VCN - Input'!$E$8:$E$1000), " ", _xlfn.xlookup(_xlfn.CONCAT($AA53,IF(AK$50&lt;10,"0",),AK$50,),'VCN - Input'!$B$8:$B$1000,'VCN - Input'!$F$8:$F$1000)), " ")</f>
        <v> </v>
      </c>
      <c r="AL53" s="57" t="str">
        <f aca="false">IFERROR(_xlfn.CONCAT(_xlfn.xlookup(_xlfn.CONCAT($AA53,IF(AL$50&lt;10,"0",),AL$50,),'VCN - Input'!$B$8:$B$1000,'VCN - Input'!$C$8:$C$1000), " ", _xlfn.xlookup(_xlfn.CONCAT($AA53,IF(AL$50&lt;10,"0",),AL$50,),'VCN - Input'!$B$8:$B$1000,'VCN - Input'!$D$8:$D$1000), " ", _xlfn.xlookup(_xlfn.CONCAT($AA53,IF(AL$50&lt;10,"0",),AL$50,),'VCN - Input'!$B$8:$B$1000,'VCN - Input'!$E$8:$E$1000), " ", _xlfn.xlookup(_xlfn.CONCAT($AA53,IF(AL$50&lt;10,"0",),AL$50,),'VCN - Input'!$B$8:$B$1000,'VCN - Input'!$F$8:$F$1000)), " ")</f>
        <v> </v>
      </c>
      <c r="AM53" s="57" t="str">
        <f aca="false">IFERROR(_xlfn.CONCAT(_xlfn.xlookup(_xlfn.CONCAT($AA53,IF(AM$50&lt;10,"0",),AM$50,),'VCN - Input'!$B$8:$B$1000,'VCN - Input'!$C$8:$C$1000), " ", _xlfn.xlookup(_xlfn.CONCAT($AA53,IF(AM$50&lt;10,"0",),AM$50,),'VCN - Input'!$B$8:$B$1000,'VCN - Input'!$D$8:$D$1000), " ", _xlfn.xlookup(_xlfn.CONCAT($AA53,IF(AM$50&lt;10,"0",),AM$50,),'VCN - Input'!$B$8:$B$1000,'VCN - Input'!$E$8:$E$1000), " ", _xlfn.xlookup(_xlfn.CONCAT($AA53,IF(AM$50&lt;10,"0",),AM$50,),'VCN - Input'!$B$8:$B$1000,'VCN - Input'!$F$8:$F$1000)), " ")</f>
        <v> </v>
      </c>
    </row>
    <row r="54" customFormat="false" ht="20.25" hidden="false" customHeight="false" outlineLevel="0" collapsed="false">
      <c r="D54" s="25" t="str">
        <f aca="false">IFERROR(AVERAGE(B54,C54),"")</f>
        <v/>
      </c>
      <c r="E54" s="25" t="str">
        <f aca="false">IFERROR(STDEV(B54,C54)/SQRT(COUNT(B54,C54)),"")</f>
        <v/>
      </c>
      <c r="AA54" s="41" t="s">
        <v>169</v>
      </c>
      <c r="AB54" s="57" t="str">
        <f aca="false">IFERROR(_xlfn.CONCAT(_xlfn.xlookup(_xlfn.CONCAT($AA54,IF(AB$50&lt;10,"0",),AB$50,),'VCN - Input'!$B$8:$B$1000,'VCN - Input'!$C$8:$C$1000), " ", _xlfn.xlookup(_xlfn.CONCAT($AA54,IF(AB$50&lt;10,"0",),AB$50,),'VCN - Input'!$B$8:$B$1000,'VCN - Input'!$D$8:$D$1000), " ", _xlfn.xlookup(_xlfn.CONCAT($AA54,IF(AB$50&lt;10,"0",),AB$50,),'VCN - Input'!$B$8:$B$1000,'VCN - Input'!$E$8:$E$1000), " ", _xlfn.xlookup(_xlfn.CONCAT($AA54,IF(AB$50&lt;10,"0",),AB$50,),'VCN - Input'!$B$8:$B$1000,'VCN - Input'!$F$8:$F$1000)), " ")</f>
        <v> </v>
      </c>
      <c r="AC54" s="57" t="str">
        <f aca="false">IFERROR(_xlfn.CONCAT(_xlfn.xlookup(_xlfn.CONCAT($AA54,IF(AC$50&lt;10,"0",),AC$50,),'VCN - Input'!$B$8:$B$1000,'VCN - Input'!$C$8:$C$1000), " ", _xlfn.xlookup(_xlfn.CONCAT($AA54,IF(AC$50&lt;10,"0",),AC$50,),'VCN - Input'!$B$8:$B$1000,'VCN - Input'!$D$8:$D$1000), " ", _xlfn.xlookup(_xlfn.CONCAT($AA54,IF(AC$50&lt;10,"0",),AC$50,),'VCN - Input'!$B$8:$B$1000,'VCN - Input'!$E$8:$E$1000), " ", _xlfn.xlookup(_xlfn.CONCAT($AA54,IF(AC$50&lt;10,"0",),AC$50,),'VCN - Input'!$B$8:$B$1000,'VCN - Input'!$F$8:$F$1000)), " ")</f>
        <v> </v>
      </c>
      <c r="AD54" s="57" t="str">
        <f aca="false">IFERROR(_xlfn.CONCAT(_xlfn.xlookup(_xlfn.CONCAT($AA54,IF(AD$50&lt;10,"0",),AD$50,),'VCN - Input'!$B$8:$B$1000,'VCN - Input'!$C$8:$C$1000), " ", _xlfn.xlookup(_xlfn.CONCAT($AA54,IF(AD$50&lt;10,"0",),AD$50,),'VCN - Input'!$B$8:$B$1000,'VCN - Input'!$D$8:$D$1000), " ", _xlfn.xlookup(_xlfn.CONCAT($AA54,IF(AD$50&lt;10,"0",),AD$50,),'VCN - Input'!$B$8:$B$1000,'VCN - Input'!$E$8:$E$1000), " ", _xlfn.xlookup(_xlfn.CONCAT($AA54,IF(AD$50&lt;10,"0",),AD$50,),'VCN - Input'!$B$8:$B$1000,'VCN - Input'!$F$8:$F$1000)), " ")</f>
        <v> </v>
      </c>
      <c r="AE54" s="57" t="str">
        <f aca="false">IFERROR(_xlfn.CONCAT(_xlfn.xlookup(_xlfn.CONCAT($AA54,IF(AE$50&lt;10,"0",),AE$50,),'VCN - Input'!$B$8:$B$1000,'VCN - Input'!$C$8:$C$1000), " ", _xlfn.xlookup(_xlfn.CONCAT($AA54,IF(AE$50&lt;10,"0",),AE$50,),'VCN - Input'!$B$8:$B$1000,'VCN - Input'!$D$8:$D$1000), " ", _xlfn.xlookup(_xlfn.CONCAT($AA54,IF(AE$50&lt;10,"0",),AE$50,),'VCN - Input'!$B$8:$B$1000,'VCN - Input'!$E$8:$E$1000), " ", _xlfn.xlookup(_xlfn.CONCAT($AA54,IF(AE$50&lt;10,"0",),AE$50,),'VCN - Input'!$B$8:$B$1000,'VCN - Input'!$F$8:$F$1000)), " ")</f>
        <v> </v>
      </c>
      <c r="AF54" s="57" t="str">
        <f aca="false">IFERROR(_xlfn.CONCAT(_xlfn.xlookup(_xlfn.CONCAT($AA54,IF(AF$50&lt;10,"0",),AF$50,),'VCN - Input'!$B$8:$B$1000,'VCN - Input'!$C$8:$C$1000), " ", _xlfn.xlookup(_xlfn.CONCAT($AA54,IF(AF$50&lt;10,"0",),AF$50,),'VCN - Input'!$B$8:$B$1000,'VCN - Input'!$D$8:$D$1000), " ", _xlfn.xlookup(_xlfn.CONCAT($AA54,IF(AF$50&lt;10,"0",),AF$50,),'VCN - Input'!$B$8:$B$1000,'VCN - Input'!$E$8:$E$1000), " ", _xlfn.xlookup(_xlfn.CONCAT($AA54,IF(AF$50&lt;10,"0",),AF$50,),'VCN - Input'!$B$8:$B$1000,'VCN - Input'!$F$8:$F$1000)), " ")</f>
        <v> </v>
      </c>
      <c r="AG54" s="57" t="str">
        <f aca="false">IFERROR(_xlfn.CONCAT(_xlfn.xlookup(_xlfn.CONCAT($AA54,IF(AG$50&lt;10,"0",),AG$50,),'VCN - Input'!$B$8:$B$1000,'VCN - Input'!$C$8:$C$1000), " ", _xlfn.xlookup(_xlfn.CONCAT($AA54,IF(AG$50&lt;10,"0",),AG$50,),'VCN - Input'!$B$8:$B$1000,'VCN - Input'!$D$8:$D$1000), " ", _xlfn.xlookup(_xlfn.CONCAT($AA54,IF(AG$50&lt;10,"0",),AG$50,),'VCN - Input'!$B$8:$B$1000,'VCN - Input'!$E$8:$E$1000), " ", _xlfn.xlookup(_xlfn.CONCAT($AA54,IF(AG$50&lt;10,"0",),AG$50,),'VCN - Input'!$B$8:$B$1000,'VCN - Input'!$F$8:$F$1000)), " ")</f>
        <v> </v>
      </c>
      <c r="AH54" s="57" t="str">
        <f aca="false">IFERROR(_xlfn.CONCAT(_xlfn.xlookup(_xlfn.CONCAT($AA54,IF(AH$50&lt;10,"0",),AH$50,),'VCN - Input'!$B$8:$B$1000,'VCN - Input'!$C$8:$C$1000), " ", _xlfn.xlookup(_xlfn.CONCAT($AA54,IF(AH$50&lt;10,"0",),AH$50,),'VCN - Input'!$B$8:$B$1000,'VCN - Input'!$D$8:$D$1000), " ", _xlfn.xlookup(_xlfn.CONCAT($AA54,IF(AH$50&lt;10,"0",),AH$50,),'VCN - Input'!$B$8:$B$1000,'VCN - Input'!$E$8:$E$1000), " ", _xlfn.xlookup(_xlfn.CONCAT($AA54,IF(AH$50&lt;10,"0",),AH$50,),'VCN - Input'!$B$8:$B$1000,'VCN - Input'!$F$8:$F$1000)), " ")</f>
        <v> </v>
      </c>
      <c r="AI54" s="57" t="str">
        <f aca="false">IFERROR(_xlfn.CONCAT(_xlfn.xlookup(_xlfn.CONCAT($AA54,IF(AI$50&lt;10,"0",),AI$50,),'VCN - Input'!$B$8:$B$1000,'VCN - Input'!$C$8:$C$1000), " ", _xlfn.xlookup(_xlfn.CONCAT($AA54,IF(AI$50&lt;10,"0",),AI$50,),'VCN - Input'!$B$8:$B$1000,'VCN - Input'!$D$8:$D$1000), " ", _xlfn.xlookup(_xlfn.CONCAT($AA54,IF(AI$50&lt;10,"0",),AI$50,),'VCN - Input'!$B$8:$B$1000,'VCN - Input'!$E$8:$E$1000), " ", _xlfn.xlookup(_xlfn.CONCAT($AA54,IF(AI$50&lt;10,"0",),AI$50,),'VCN - Input'!$B$8:$B$1000,'VCN - Input'!$F$8:$F$1000)), " ")</f>
        <v> </v>
      </c>
      <c r="AJ54" s="57" t="str">
        <f aca="false">IFERROR(_xlfn.CONCAT(_xlfn.xlookup(_xlfn.CONCAT($AA54,IF(AJ$50&lt;10,"0",),AJ$50,),'VCN - Input'!$B$8:$B$1000,'VCN - Input'!$C$8:$C$1000), " ", _xlfn.xlookup(_xlfn.CONCAT($AA54,IF(AJ$50&lt;10,"0",),AJ$50,),'VCN - Input'!$B$8:$B$1000,'VCN - Input'!$D$8:$D$1000), " ", _xlfn.xlookup(_xlfn.CONCAT($AA54,IF(AJ$50&lt;10,"0",),AJ$50,),'VCN - Input'!$B$8:$B$1000,'VCN - Input'!$E$8:$E$1000), " ", _xlfn.xlookup(_xlfn.CONCAT($AA54,IF(AJ$50&lt;10,"0",),AJ$50,),'VCN - Input'!$B$8:$B$1000,'VCN - Input'!$F$8:$F$1000)), " ")</f>
        <v> </v>
      </c>
      <c r="AK54" s="57" t="str">
        <f aca="false">IFERROR(_xlfn.CONCAT(_xlfn.xlookup(_xlfn.CONCAT($AA54,IF(AK$50&lt;10,"0",),AK$50,),'VCN - Input'!$B$8:$B$1000,'VCN - Input'!$C$8:$C$1000), " ", _xlfn.xlookup(_xlfn.CONCAT($AA54,IF(AK$50&lt;10,"0",),AK$50,),'VCN - Input'!$B$8:$B$1000,'VCN - Input'!$D$8:$D$1000), " ", _xlfn.xlookup(_xlfn.CONCAT($AA54,IF(AK$50&lt;10,"0",),AK$50,),'VCN - Input'!$B$8:$B$1000,'VCN - Input'!$E$8:$E$1000), " ", _xlfn.xlookup(_xlfn.CONCAT($AA54,IF(AK$50&lt;10,"0",),AK$50,),'VCN - Input'!$B$8:$B$1000,'VCN - Input'!$F$8:$F$1000)), " ")</f>
        <v> </v>
      </c>
      <c r="AL54" s="57" t="str">
        <f aca="false">IFERROR(_xlfn.CONCAT(_xlfn.xlookup(_xlfn.CONCAT($AA54,IF(AL$50&lt;10,"0",),AL$50,),'VCN - Input'!$B$8:$B$1000,'VCN - Input'!$C$8:$C$1000), " ", _xlfn.xlookup(_xlfn.CONCAT($AA54,IF(AL$50&lt;10,"0",),AL$50,),'VCN - Input'!$B$8:$B$1000,'VCN - Input'!$D$8:$D$1000), " ", _xlfn.xlookup(_xlfn.CONCAT($AA54,IF(AL$50&lt;10,"0",),AL$50,),'VCN - Input'!$B$8:$B$1000,'VCN - Input'!$E$8:$E$1000), " ", _xlfn.xlookup(_xlfn.CONCAT($AA54,IF(AL$50&lt;10,"0",),AL$50,),'VCN - Input'!$B$8:$B$1000,'VCN - Input'!$F$8:$F$1000)), " ")</f>
        <v> </v>
      </c>
      <c r="AM54" s="57" t="str">
        <f aca="false">IFERROR(_xlfn.CONCAT(_xlfn.xlookup(_xlfn.CONCAT($AA54,IF(AM$50&lt;10,"0",),AM$50,),'VCN - Input'!$B$8:$B$1000,'VCN - Input'!$C$8:$C$1000), " ", _xlfn.xlookup(_xlfn.CONCAT($AA54,IF(AM$50&lt;10,"0",),AM$50,),'VCN - Input'!$B$8:$B$1000,'VCN - Input'!$D$8:$D$1000), " ", _xlfn.xlookup(_xlfn.CONCAT($AA54,IF(AM$50&lt;10,"0",),AM$50,),'VCN - Input'!$B$8:$B$1000,'VCN - Input'!$E$8:$E$1000), " ", _xlfn.xlookup(_xlfn.CONCAT($AA54,IF(AM$50&lt;10,"0",),AM$50,),'VCN - Input'!$B$8:$B$1000,'VCN - Input'!$F$8:$F$1000)), " ")</f>
        <v> </v>
      </c>
    </row>
    <row r="55" customFormat="false" ht="20.25" hidden="false" customHeight="false" outlineLevel="0" collapsed="false">
      <c r="D55" s="25" t="str">
        <f aca="false">IFERROR(AVERAGE(B55,C55),"")</f>
        <v/>
      </c>
      <c r="E55" s="25" t="str">
        <f aca="false">IFERROR(STDEV(B55,C55)/SQRT(COUNT(B55,C55)),"")</f>
        <v/>
      </c>
      <c r="AA55" s="41" t="s">
        <v>170</v>
      </c>
      <c r="AB55" s="57" t="str">
        <f aca="false">IFERROR(_xlfn.CONCAT(_xlfn.xlookup(_xlfn.CONCAT($AA55,IF(AB$50&lt;10,"0",),AB$50,),'VCN - Input'!$B$8:$B$1000,'VCN - Input'!$C$8:$C$1000), " ", _xlfn.xlookup(_xlfn.CONCAT($AA55,IF(AB$50&lt;10,"0",),AB$50,),'VCN - Input'!$B$8:$B$1000,'VCN - Input'!$D$8:$D$1000), " ", _xlfn.xlookup(_xlfn.CONCAT($AA55,IF(AB$50&lt;10,"0",),AB$50,),'VCN - Input'!$B$8:$B$1000,'VCN - Input'!$E$8:$E$1000), " ", _xlfn.xlookup(_xlfn.CONCAT($AA55,IF(AB$50&lt;10,"0",),AB$50,),'VCN - Input'!$B$8:$B$1000,'VCN - Input'!$F$8:$F$1000)), " ")</f>
        <v> </v>
      </c>
      <c r="AC55" s="57" t="str">
        <f aca="false">IFERROR(_xlfn.CONCAT(_xlfn.xlookup(_xlfn.CONCAT($AA55,IF(AC$50&lt;10,"0",),AC$50,),'VCN - Input'!$B$8:$B$1000,'VCN - Input'!$C$8:$C$1000), " ", _xlfn.xlookup(_xlfn.CONCAT($AA55,IF(AC$50&lt;10,"0",),AC$50,),'VCN - Input'!$B$8:$B$1000,'VCN - Input'!$D$8:$D$1000), " ", _xlfn.xlookup(_xlfn.CONCAT($AA55,IF(AC$50&lt;10,"0",),AC$50,),'VCN - Input'!$B$8:$B$1000,'VCN - Input'!$E$8:$E$1000), " ", _xlfn.xlookup(_xlfn.CONCAT($AA55,IF(AC$50&lt;10,"0",),AC$50,),'VCN - Input'!$B$8:$B$1000,'VCN - Input'!$F$8:$F$1000)), " ")</f>
        <v> </v>
      </c>
      <c r="AD55" s="57" t="str">
        <f aca="false">IFERROR(_xlfn.CONCAT(_xlfn.xlookup(_xlfn.CONCAT($AA55,IF(AD$50&lt;10,"0",),AD$50,),'VCN - Input'!$B$8:$B$1000,'VCN - Input'!$C$8:$C$1000), " ", _xlfn.xlookup(_xlfn.CONCAT($AA55,IF(AD$50&lt;10,"0",),AD$50,),'VCN - Input'!$B$8:$B$1000,'VCN - Input'!$D$8:$D$1000), " ", _xlfn.xlookup(_xlfn.CONCAT($AA55,IF(AD$50&lt;10,"0",),AD$50,),'VCN - Input'!$B$8:$B$1000,'VCN - Input'!$E$8:$E$1000), " ", _xlfn.xlookup(_xlfn.CONCAT($AA55,IF(AD$50&lt;10,"0",),AD$50,),'VCN - Input'!$B$8:$B$1000,'VCN - Input'!$F$8:$F$1000)), " ")</f>
        <v> </v>
      </c>
      <c r="AE55" s="57" t="str">
        <f aca="false">IFERROR(_xlfn.CONCAT(_xlfn.xlookup(_xlfn.CONCAT($AA55,IF(AE$50&lt;10,"0",),AE$50,),'VCN - Input'!$B$8:$B$1000,'VCN - Input'!$C$8:$C$1000), " ", _xlfn.xlookup(_xlfn.CONCAT($AA55,IF(AE$50&lt;10,"0",),AE$50,),'VCN - Input'!$B$8:$B$1000,'VCN - Input'!$D$8:$D$1000), " ", _xlfn.xlookup(_xlfn.CONCAT($AA55,IF(AE$50&lt;10,"0",),AE$50,),'VCN - Input'!$B$8:$B$1000,'VCN - Input'!$E$8:$E$1000), " ", _xlfn.xlookup(_xlfn.CONCAT($AA55,IF(AE$50&lt;10,"0",),AE$50,),'VCN - Input'!$B$8:$B$1000,'VCN - Input'!$F$8:$F$1000)), " ")</f>
        <v> </v>
      </c>
      <c r="AF55" s="57" t="str">
        <f aca="false">IFERROR(_xlfn.CONCAT(_xlfn.xlookup(_xlfn.CONCAT($AA55,IF(AF$50&lt;10,"0",),AF$50,),'VCN - Input'!$B$8:$B$1000,'VCN - Input'!$C$8:$C$1000), " ", _xlfn.xlookup(_xlfn.CONCAT($AA55,IF(AF$50&lt;10,"0",),AF$50,),'VCN - Input'!$B$8:$B$1000,'VCN - Input'!$D$8:$D$1000), " ", _xlfn.xlookup(_xlfn.CONCAT($AA55,IF(AF$50&lt;10,"0",),AF$50,),'VCN - Input'!$B$8:$B$1000,'VCN - Input'!$E$8:$E$1000), " ", _xlfn.xlookup(_xlfn.CONCAT($AA55,IF(AF$50&lt;10,"0",),AF$50,),'VCN - Input'!$B$8:$B$1000,'VCN - Input'!$F$8:$F$1000)), " ")</f>
        <v> </v>
      </c>
      <c r="AG55" s="57" t="str">
        <f aca="false">IFERROR(_xlfn.CONCAT(_xlfn.xlookup(_xlfn.CONCAT($AA55,IF(AG$50&lt;10,"0",),AG$50,),'VCN - Input'!$B$8:$B$1000,'VCN - Input'!$C$8:$C$1000), " ", _xlfn.xlookup(_xlfn.CONCAT($AA55,IF(AG$50&lt;10,"0",),AG$50,),'VCN - Input'!$B$8:$B$1000,'VCN - Input'!$D$8:$D$1000), " ", _xlfn.xlookup(_xlfn.CONCAT($AA55,IF(AG$50&lt;10,"0",),AG$50,),'VCN - Input'!$B$8:$B$1000,'VCN - Input'!$E$8:$E$1000), " ", _xlfn.xlookup(_xlfn.CONCAT($AA55,IF(AG$50&lt;10,"0",),AG$50,),'VCN - Input'!$B$8:$B$1000,'VCN - Input'!$F$8:$F$1000)), " ")</f>
        <v> </v>
      </c>
      <c r="AH55" s="57" t="str">
        <f aca="false">IFERROR(_xlfn.CONCAT(_xlfn.xlookup(_xlfn.CONCAT($AA55,IF(AH$50&lt;10,"0",),AH$50,),'VCN - Input'!$B$8:$B$1000,'VCN - Input'!$C$8:$C$1000), " ", _xlfn.xlookup(_xlfn.CONCAT($AA55,IF(AH$50&lt;10,"0",),AH$50,),'VCN - Input'!$B$8:$B$1000,'VCN - Input'!$D$8:$D$1000), " ", _xlfn.xlookup(_xlfn.CONCAT($AA55,IF(AH$50&lt;10,"0",),AH$50,),'VCN - Input'!$B$8:$B$1000,'VCN - Input'!$E$8:$E$1000), " ", _xlfn.xlookup(_xlfn.CONCAT($AA55,IF(AH$50&lt;10,"0",),AH$50,),'VCN - Input'!$B$8:$B$1000,'VCN - Input'!$F$8:$F$1000)), " ")</f>
        <v> </v>
      </c>
      <c r="AI55" s="57" t="str">
        <f aca="false">IFERROR(_xlfn.CONCAT(_xlfn.xlookup(_xlfn.CONCAT($AA55,IF(AI$50&lt;10,"0",),AI$50,),'VCN - Input'!$B$8:$B$1000,'VCN - Input'!$C$8:$C$1000), " ", _xlfn.xlookup(_xlfn.CONCAT($AA55,IF(AI$50&lt;10,"0",),AI$50,),'VCN - Input'!$B$8:$B$1000,'VCN - Input'!$D$8:$D$1000), " ", _xlfn.xlookup(_xlfn.CONCAT($AA55,IF(AI$50&lt;10,"0",),AI$50,),'VCN - Input'!$B$8:$B$1000,'VCN - Input'!$E$8:$E$1000), " ", _xlfn.xlookup(_xlfn.CONCAT($AA55,IF(AI$50&lt;10,"0",),AI$50,),'VCN - Input'!$B$8:$B$1000,'VCN - Input'!$F$8:$F$1000)), " ")</f>
        <v> </v>
      </c>
      <c r="AJ55" s="57" t="str">
        <f aca="false">IFERROR(_xlfn.CONCAT(_xlfn.xlookup(_xlfn.CONCAT($AA55,IF(AJ$50&lt;10,"0",),AJ$50,),'VCN - Input'!$B$8:$B$1000,'VCN - Input'!$C$8:$C$1000), " ", _xlfn.xlookup(_xlfn.CONCAT($AA55,IF(AJ$50&lt;10,"0",),AJ$50,),'VCN - Input'!$B$8:$B$1000,'VCN - Input'!$D$8:$D$1000), " ", _xlfn.xlookup(_xlfn.CONCAT($AA55,IF(AJ$50&lt;10,"0",),AJ$50,),'VCN - Input'!$B$8:$B$1000,'VCN - Input'!$E$8:$E$1000), " ", _xlfn.xlookup(_xlfn.CONCAT($AA55,IF(AJ$50&lt;10,"0",),AJ$50,),'VCN - Input'!$B$8:$B$1000,'VCN - Input'!$F$8:$F$1000)), " ")</f>
        <v> </v>
      </c>
      <c r="AK55" s="57" t="str">
        <f aca="false">IFERROR(_xlfn.CONCAT(_xlfn.xlookup(_xlfn.CONCAT($AA55,IF(AK$50&lt;10,"0",),AK$50,),'VCN - Input'!$B$8:$B$1000,'VCN - Input'!$C$8:$C$1000), " ", _xlfn.xlookup(_xlfn.CONCAT($AA55,IF(AK$50&lt;10,"0",),AK$50,),'VCN - Input'!$B$8:$B$1000,'VCN - Input'!$D$8:$D$1000), " ", _xlfn.xlookup(_xlfn.CONCAT($AA55,IF(AK$50&lt;10,"0",),AK$50,),'VCN - Input'!$B$8:$B$1000,'VCN - Input'!$E$8:$E$1000), " ", _xlfn.xlookup(_xlfn.CONCAT($AA55,IF(AK$50&lt;10,"0",),AK$50,),'VCN - Input'!$B$8:$B$1000,'VCN - Input'!$F$8:$F$1000)), " ")</f>
        <v> </v>
      </c>
      <c r="AL55" s="57" t="str">
        <f aca="false">IFERROR(_xlfn.CONCAT(_xlfn.xlookup(_xlfn.CONCAT($AA55,IF(AL$50&lt;10,"0",),AL$50,),'VCN - Input'!$B$8:$B$1000,'VCN - Input'!$C$8:$C$1000), " ", _xlfn.xlookup(_xlfn.CONCAT($AA55,IF(AL$50&lt;10,"0",),AL$50,),'VCN - Input'!$B$8:$B$1000,'VCN - Input'!$D$8:$D$1000), " ", _xlfn.xlookup(_xlfn.CONCAT($AA55,IF(AL$50&lt;10,"0",),AL$50,),'VCN - Input'!$B$8:$B$1000,'VCN - Input'!$E$8:$E$1000), " ", _xlfn.xlookup(_xlfn.CONCAT($AA55,IF(AL$50&lt;10,"0",),AL$50,),'VCN - Input'!$B$8:$B$1000,'VCN - Input'!$F$8:$F$1000)), " ")</f>
        <v> </v>
      </c>
      <c r="AM55" s="57" t="str">
        <f aca="false">IFERROR(_xlfn.CONCAT(_xlfn.xlookup(_xlfn.CONCAT($AA55,IF(AM$50&lt;10,"0",),AM$50,),'VCN - Input'!$B$8:$B$1000,'VCN - Input'!$C$8:$C$1000), " ", _xlfn.xlookup(_xlfn.CONCAT($AA55,IF(AM$50&lt;10,"0",),AM$50,),'VCN - Input'!$B$8:$B$1000,'VCN - Input'!$D$8:$D$1000), " ", _xlfn.xlookup(_xlfn.CONCAT($AA55,IF(AM$50&lt;10,"0",),AM$50,),'VCN - Input'!$B$8:$B$1000,'VCN - Input'!$E$8:$E$1000), " ", _xlfn.xlookup(_xlfn.CONCAT($AA55,IF(AM$50&lt;10,"0",),AM$50,),'VCN - Input'!$B$8:$B$1000,'VCN - Input'!$F$8:$F$1000)), " ")</f>
        <v> </v>
      </c>
    </row>
    <row r="56" customFormat="false" ht="20.25" hidden="false" customHeight="false" outlineLevel="0" collapsed="false">
      <c r="D56" s="25" t="str">
        <f aca="false">IFERROR(AVERAGE(B56,C56),"")</f>
        <v/>
      </c>
      <c r="E56" s="25" t="str">
        <f aca="false">IFERROR(STDEV(B56,C56)/SQRT(COUNT(B56,C56)),"")</f>
        <v/>
      </c>
      <c r="AA56" s="41" t="s">
        <v>171</v>
      </c>
      <c r="AB56" s="57" t="str">
        <f aca="false">IFERROR(_xlfn.CONCAT(_xlfn.xlookup(_xlfn.CONCAT($AA56,IF(AB$50&lt;10,"0",),AB$50,),'VCN - Input'!$B$8:$B$1000,'VCN - Input'!$C$8:$C$1000), " ", _xlfn.xlookup(_xlfn.CONCAT($AA56,IF(AB$50&lt;10,"0",),AB$50,),'VCN - Input'!$B$8:$B$1000,'VCN - Input'!$D$8:$D$1000), " ", _xlfn.xlookup(_xlfn.CONCAT($AA56,IF(AB$50&lt;10,"0",),AB$50,),'VCN - Input'!$B$8:$B$1000,'VCN - Input'!$E$8:$E$1000), " ", _xlfn.xlookup(_xlfn.CONCAT($AA56,IF(AB$50&lt;10,"0",),AB$50,),'VCN - Input'!$B$8:$B$1000,'VCN - Input'!$F$8:$F$1000)), " ")</f>
        <v> </v>
      </c>
      <c r="AC56" s="57" t="str">
        <f aca="false">IFERROR(_xlfn.CONCAT(_xlfn.xlookup(_xlfn.CONCAT($AA56,IF(AC$50&lt;10,"0",),AC$50,),'VCN - Input'!$B$8:$B$1000,'VCN - Input'!$C$8:$C$1000), " ", _xlfn.xlookup(_xlfn.CONCAT($AA56,IF(AC$50&lt;10,"0",),AC$50,),'VCN - Input'!$B$8:$B$1000,'VCN - Input'!$D$8:$D$1000), " ", _xlfn.xlookup(_xlfn.CONCAT($AA56,IF(AC$50&lt;10,"0",),AC$50,),'VCN - Input'!$B$8:$B$1000,'VCN - Input'!$E$8:$E$1000), " ", _xlfn.xlookup(_xlfn.CONCAT($AA56,IF(AC$50&lt;10,"0",),AC$50,),'VCN - Input'!$B$8:$B$1000,'VCN - Input'!$F$8:$F$1000)), " ")</f>
        <v> </v>
      </c>
      <c r="AD56" s="57" t="str">
        <f aca="false">IFERROR(_xlfn.CONCAT(_xlfn.xlookup(_xlfn.CONCAT($AA56,IF(AD$50&lt;10,"0",),AD$50,),'VCN - Input'!$B$8:$B$1000,'VCN - Input'!$C$8:$C$1000), " ", _xlfn.xlookup(_xlfn.CONCAT($AA56,IF(AD$50&lt;10,"0",),AD$50,),'VCN - Input'!$B$8:$B$1000,'VCN - Input'!$D$8:$D$1000), " ", _xlfn.xlookup(_xlfn.CONCAT($AA56,IF(AD$50&lt;10,"0",),AD$50,),'VCN - Input'!$B$8:$B$1000,'VCN - Input'!$E$8:$E$1000), " ", _xlfn.xlookup(_xlfn.CONCAT($AA56,IF(AD$50&lt;10,"0",),AD$50,),'VCN - Input'!$B$8:$B$1000,'VCN - Input'!$F$8:$F$1000)), " ")</f>
        <v> </v>
      </c>
      <c r="AE56" s="57" t="str">
        <f aca="false">IFERROR(_xlfn.CONCAT(_xlfn.xlookup(_xlfn.CONCAT($AA56,IF(AE$50&lt;10,"0",),AE$50,),'VCN - Input'!$B$8:$B$1000,'VCN - Input'!$C$8:$C$1000), " ", _xlfn.xlookup(_xlfn.CONCAT($AA56,IF(AE$50&lt;10,"0",),AE$50,),'VCN - Input'!$B$8:$B$1000,'VCN - Input'!$D$8:$D$1000), " ", _xlfn.xlookup(_xlfn.CONCAT($AA56,IF(AE$50&lt;10,"0",),AE$50,),'VCN - Input'!$B$8:$B$1000,'VCN - Input'!$E$8:$E$1000), " ", _xlfn.xlookup(_xlfn.CONCAT($AA56,IF(AE$50&lt;10,"0",),AE$50,),'VCN - Input'!$B$8:$B$1000,'VCN - Input'!$F$8:$F$1000)), " ")</f>
        <v> </v>
      </c>
      <c r="AF56" s="57" t="str">
        <f aca="false">IFERROR(_xlfn.CONCAT(_xlfn.xlookup(_xlfn.CONCAT($AA56,IF(AF$50&lt;10,"0",),AF$50,),'VCN - Input'!$B$8:$B$1000,'VCN - Input'!$C$8:$C$1000), " ", _xlfn.xlookup(_xlfn.CONCAT($AA56,IF(AF$50&lt;10,"0",),AF$50,),'VCN - Input'!$B$8:$B$1000,'VCN - Input'!$D$8:$D$1000), " ", _xlfn.xlookup(_xlfn.CONCAT($AA56,IF(AF$50&lt;10,"0",),AF$50,),'VCN - Input'!$B$8:$B$1000,'VCN - Input'!$E$8:$E$1000), " ", _xlfn.xlookup(_xlfn.CONCAT($AA56,IF(AF$50&lt;10,"0",),AF$50,),'VCN - Input'!$B$8:$B$1000,'VCN - Input'!$F$8:$F$1000)), " ")</f>
        <v> </v>
      </c>
      <c r="AG56" s="57" t="str">
        <f aca="false">IFERROR(_xlfn.CONCAT(_xlfn.xlookup(_xlfn.CONCAT($AA56,IF(AG$50&lt;10,"0",),AG$50,),'VCN - Input'!$B$8:$B$1000,'VCN - Input'!$C$8:$C$1000), " ", _xlfn.xlookup(_xlfn.CONCAT($AA56,IF(AG$50&lt;10,"0",),AG$50,),'VCN - Input'!$B$8:$B$1000,'VCN - Input'!$D$8:$D$1000), " ", _xlfn.xlookup(_xlfn.CONCAT($AA56,IF(AG$50&lt;10,"0",),AG$50,),'VCN - Input'!$B$8:$B$1000,'VCN - Input'!$E$8:$E$1000), " ", _xlfn.xlookup(_xlfn.CONCAT($AA56,IF(AG$50&lt;10,"0",),AG$50,),'VCN - Input'!$B$8:$B$1000,'VCN - Input'!$F$8:$F$1000)), " ")</f>
        <v> </v>
      </c>
      <c r="AH56" s="57" t="str">
        <f aca="false">IFERROR(_xlfn.CONCAT(_xlfn.xlookup(_xlfn.CONCAT($AA56,IF(AH$50&lt;10,"0",),AH$50,),'VCN - Input'!$B$8:$B$1000,'VCN - Input'!$C$8:$C$1000), " ", _xlfn.xlookup(_xlfn.CONCAT($AA56,IF(AH$50&lt;10,"0",),AH$50,),'VCN - Input'!$B$8:$B$1000,'VCN - Input'!$D$8:$D$1000), " ", _xlfn.xlookup(_xlfn.CONCAT($AA56,IF(AH$50&lt;10,"0",),AH$50,),'VCN - Input'!$B$8:$B$1000,'VCN - Input'!$E$8:$E$1000), " ", _xlfn.xlookup(_xlfn.CONCAT($AA56,IF(AH$50&lt;10,"0",),AH$50,),'VCN - Input'!$B$8:$B$1000,'VCN - Input'!$F$8:$F$1000)), " ")</f>
        <v> </v>
      </c>
      <c r="AI56" s="57" t="str">
        <f aca="false">IFERROR(_xlfn.CONCAT(_xlfn.xlookup(_xlfn.CONCAT($AA56,IF(AI$50&lt;10,"0",),AI$50,),'VCN - Input'!$B$8:$B$1000,'VCN - Input'!$C$8:$C$1000), " ", _xlfn.xlookup(_xlfn.CONCAT($AA56,IF(AI$50&lt;10,"0",),AI$50,),'VCN - Input'!$B$8:$B$1000,'VCN - Input'!$D$8:$D$1000), " ", _xlfn.xlookup(_xlfn.CONCAT($AA56,IF(AI$50&lt;10,"0",),AI$50,),'VCN - Input'!$B$8:$B$1000,'VCN - Input'!$E$8:$E$1000), " ", _xlfn.xlookup(_xlfn.CONCAT($AA56,IF(AI$50&lt;10,"0",),AI$50,),'VCN - Input'!$B$8:$B$1000,'VCN - Input'!$F$8:$F$1000)), " ")</f>
        <v> </v>
      </c>
      <c r="AJ56" s="57" t="str">
        <f aca="false">IFERROR(_xlfn.CONCAT(_xlfn.xlookup(_xlfn.CONCAT($AA56,IF(AJ$50&lt;10,"0",),AJ$50,),'VCN - Input'!$B$8:$B$1000,'VCN - Input'!$C$8:$C$1000), " ", _xlfn.xlookup(_xlfn.CONCAT($AA56,IF(AJ$50&lt;10,"0",),AJ$50,),'VCN - Input'!$B$8:$B$1000,'VCN - Input'!$D$8:$D$1000), " ", _xlfn.xlookup(_xlfn.CONCAT($AA56,IF(AJ$50&lt;10,"0",),AJ$50,),'VCN - Input'!$B$8:$B$1000,'VCN - Input'!$E$8:$E$1000), " ", _xlfn.xlookup(_xlfn.CONCAT($AA56,IF(AJ$50&lt;10,"0",),AJ$50,),'VCN - Input'!$B$8:$B$1000,'VCN - Input'!$F$8:$F$1000)), " ")</f>
        <v> </v>
      </c>
      <c r="AK56" s="57" t="str">
        <f aca="false">IFERROR(_xlfn.CONCAT(_xlfn.xlookup(_xlfn.CONCAT($AA56,IF(AK$50&lt;10,"0",),AK$50,),'VCN - Input'!$B$8:$B$1000,'VCN - Input'!$C$8:$C$1000), " ", _xlfn.xlookup(_xlfn.CONCAT($AA56,IF(AK$50&lt;10,"0",),AK$50,),'VCN - Input'!$B$8:$B$1000,'VCN - Input'!$D$8:$D$1000), " ", _xlfn.xlookup(_xlfn.CONCAT($AA56,IF(AK$50&lt;10,"0",),AK$50,),'VCN - Input'!$B$8:$B$1000,'VCN - Input'!$E$8:$E$1000), " ", _xlfn.xlookup(_xlfn.CONCAT($AA56,IF(AK$50&lt;10,"0",),AK$50,),'VCN - Input'!$B$8:$B$1000,'VCN - Input'!$F$8:$F$1000)), " ")</f>
        <v> </v>
      </c>
      <c r="AL56" s="57" t="str">
        <f aca="false">IFERROR(_xlfn.CONCAT(_xlfn.xlookup(_xlfn.CONCAT($AA56,IF(AL$50&lt;10,"0",),AL$50,),'VCN - Input'!$B$8:$B$1000,'VCN - Input'!$C$8:$C$1000), " ", _xlfn.xlookup(_xlfn.CONCAT($AA56,IF(AL$50&lt;10,"0",),AL$50,),'VCN - Input'!$B$8:$B$1000,'VCN - Input'!$D$8:$D$1000), " ", _xlfn.xlookup(_xlfn.CONCAT($AA56,IF(AL$50&lt;10,"0",),AL$50,),'VCN - Input'!$B$8:$B$1000,'VCN - Input'!$E$8:$E$1000), " ", _xlfn.xlookup(_xlfn.CONCAT($AA56,IF(AL$50&lt;10,"0",),AL$50,),'VCN - Input'!$B$8:$B$1000,'VCN - Input'!$F$8:$F$1000)), " ")</f>
        <v> </v>
      </c>
      <c r="AM56" s="57" t="str">
        <f aca="false">IFERROR(_xlfn.CONCAT(_xlfn.xlookup(_xlfn.CONCAT($AA56,IF(AM$50&lt;10,"0",),AM$50,),'VCN - Input'!$B$8:$B$1000,'VCN - Input'!$C$8:$C$1000), " ", _xlfn.xlookup(_xlfn.CONCAT($AA56,IF(AM$50&lt;10,"0",),AM$50,),'VCN - Input'!$B$8:$B$1000,'VCN - Input'!$D$8:$D$1000), " ", _xlfn.xlookup(_xlfn.CONCAT($AA56,IF(AM$50&lt;10,"0",),AM$50,),'VCN - Input'!$B$8:$B$1000,'VCN - Input'!$E$8:$E$1000), " ", _xlfn.xlookup(_xlfn.CONCAT($AA56,IF(AM$50&lt;10,"0",),AM$50,),'VCN - Input'!$B$8:$B$1000,'VCN - Input'!$F$8:$F$1000)), " ")</f>
        <v> </v>
      </c>
    </row>
    <row r="57" customFormat="false" ht="20.25" hidden="false" customHeight="false" outlineLevel="0" collapsed="false">
      <c r="D57" s="25" t="str">
        <f aca="false">IFERROR(AVERAGE(B57,C57),"")</f>
        <v/>
      </c>
      <c r="E57" s="25" t="str">
        <f aca="false">IFERROR(STDEV(B57,C57)/SQRT(COUNT(B57,C57)),"")</f>
        <v/>
      </c>
      <c r="AA57" s="41" t="s">
        <v>172</v>
      </c>
      <c r="AB57" s="57" t="str">
        <f aca="false">IFERROR(_xlfn.CONCAT(_xlfn.xlookup(_xlfn.CONCAT($AA57,IF(AB$50&lt;10,"0",),AB$50,),'VCN - Input'!$B$8:$B$1000,'VCN - Input'!$C$8:$C$1000), " ", _xlfn.xlookup(_xlfn.CONCAT($AA57,IF(AB$50&lt;10,"0",),AB$50,),'VCN - Input'!$B$8:$B$1000,'VCN - Input'!$D$8:$D$1000), " ", _xlfn.xlookup(_xlfn.CONCAT($AA57,IF(AB$50&lt;10,"0",),AB$50,),'VCN - Input'!$B$8:$B$1000,'VCN - Input'!$E$8:$E$1000), " ", _xlfn.xlookup(_xlfn.CONCAT($AA57,IF(AB$50&lt;10,"0",),AB$50,),'VCN - Input'!$B$8:$B$1000,'VCN - Input'!$F$8:$F$1000)), " ")</f>
        <v> </v>
      </c>
      <c r="AC57" s="57" t="str">
        <f aca="false">IFERROR(_xlfn.CONCAT(_xlfn.xlookup(_xlfn.CONCAT($AA57,IF(AC$50&lt;10,"0",),AC$50,),'VCN - Input'!$B$8:$B$1000,'VCN - Input'!$C$8:$C$1000), " ", _xlfn.xlookup(_xlfn.CONCAT($AA57,IF(AC$50&lt;10,"0",),AC$50,),'VCN - Input'!$B$8:$B$1000,'VCN - Input'!$D$8:$D$1000), " ", _xlfn.xlookup(_xlfn.CONCAT($AA57,IF(AC$50&lt;10,"0",),AC$50,),'VCN - Input'!$B$8:$B$1000,'VCN - Input'!$E$8:$E$1000), " ", _xlfn.xlookup(_xlfn.CONCAT($AA57,IF(AC$50&lt;10,"0",),AC$50,),'VCN - Input'!$B$8:$B$1000,'VCN - Input'!$F$8:$F$1000)), " ")</f>
        <v> </v>
      </c>
      <c r="AD57" s="57" t="str">
        <f aca="false">IFERROR(_xlfn.CONCAT(_xlfn.xlookup(_xlfn.CONCAT($AA57,IF(AD$50&lt;10,"0",),AD$50,),'VCN - Input'!$B$8:$B$1000,'VCN - Input'!$C$8:$C$1000), " ", _xlfn.xlookup(_xlfn.CONCAT($AA57,IF(AD$50&lt;10,"0",),AD$50,),'VCN - Input'!$B$8:$B$1000,'VCN - Input'!$D$8:$D$1000), " ", _xlfn.xlookup(_xlfn.CONCAT($AA57,IF(AD$50&lt;10,"0",),AD$50,),'VCN - Input'!$B$8:$B$1000,'VCN - Input'!$E$8:$E$1000), " ", _xlfn.xlookup(_xlfn.CONCAT($AA57,IF(AD$50&lt;10,"0",),AD$50,),'VCN - Input'!$B$8:$B$1000,'VCN - Input'!$F$8:$F$1000)), " ")</f>
        <v> </v>
      </c>
      <c r="AE57" s="57" t="str">
        <f aca="false">IFERROR(_xlfn.CONCAT(_xlfn.xlookup(_xlfn.CONCAT($AA57,IF(AE$50&lt;10,"0",),AE$50,),'VCN - Input'!$B$8:$B$1000,'VCN - Input'!$C$8:$C$1000), " ", _xlfn.xlookup(_xlfn.CONCAT($AA57,IF(AE$50&lt;10,"0",),AE$50,),'VCN - Input'!$B$8:$B$1000,'VCN - Input'!$D$8:$D$1000), " ", _xlfn.xlookup(_xlfn.CONCAT($AA57,IF(AE$50&lt;10,"0",),AE$50,),'VCN - Input'!$B$8:$B$1000,'VCN - Input'!$E$8:$E$1000), " ", _xlfn.xlookup(_xlfn.CONCAT($AA57,IF(AE$50&lt;10,"0",),AE$50,),'VCN - Input'!$B$8:$B$1000,'VCN - Input'!$F$8:$F$1000)), " ")</f>
        <v> </v>
      </c>
      <c r="AF57" s="57" t="str">
        <f aca="false">IFERROR(_xlfn.CONCAT(_xlfn.xlookup(_xlfn.CONCAT($AA57,IF(AF$50&lt;10,"0",),AF$50,),'VCN - Input'!$B$8:$B$1000,'VCN - Input'!$C$8:$C$1000), " ", _xlfn.xlookup(_xlfn.CONCAT($AA57,IF(AF$50&lt;10,"0",),AF$50,),'VCN - Input'!$B$8:$B$1000,'VCN - Input'!$D$8:$D$1000), " ", _xlfn.xlookup(_xlfn.CONCAT($AA57,IF(AF$50&lt;10,"0",),AF$50,),'VCN - Input'!$B$8:$B$1000,'VCN - Input'!$E$8:$E$1000), " ", _xlfn.xlookup(_xlfn.CONCAT($AA57,IF(AF$50&lt;10,"0",),AF$50,),'VCN - Input'!$B$8:$B$1000,'VCN - Input'!$F$8:$F$1000)), " ")</f>
        <v> </v>
      </c>
      <c r="AG57" s="57" t="str">
        <f aca="false">IFERROR(_xlfn.CONCAT(_xlfn.xlookup(_xlfn.CONCAT($AA57,IF(AG$50&lt;10,"0",),AG$50,),'VCN - Input'!$B$8:$B$1000,'VCN - Input'!$C$8:$C$1000), " ", _xlfn.xlookup(_xlfn.CONCAT($AA57,IF(AG$50&lt;10,"0",),AG$50,),'VCN - Input'!$B$8:$B$1000,'VCN - Input'!$D$8:$D$1000), " ", _xlfn.xlookup(_xlfn.CONCAT($AA57,IF(AG$50&lt;10,"0",),AG$50,),'VCN - Input'!$B$8:$B$1000,'VCN - Input'!$E$8:$E$1000), " ", _xlfn.xlookup(_xlfn.CONCAT($AA57,IF(AG$50&lt;10,"0",),AG$50,),'VCN - Input'!$B$8:$B$1000,'VCN - Input'!$F$8:$F$1000)), " ")</f>
        <v> </v>
      </c>
      <c r="AH57" s="57" t="str">
        <f aca="false">IFERROR(_xlfn.CONCAT(_xlfn.xlookup(_xlfn.CONCAT($AA57,IF(AH$50&lt;10,"0",),AH$50,),'VCN - Input'!$B$8:$B$1000,'VCN - Input'!$C$8:$C$1000), " ", _xlfn.xlookup(_xlfn.CONCAT($AA57,IF(AH$50&lt;10,"0",),AH$50,),'VCN - Input'!$B$8:$B$1000,'VCN - Input'!$D$8:$D$1000), " ", _xlfn.xlookup(_xlfn.CONCAT($AA57,IF(AH$50&lt;10,"0",),AH$50,),'VCN - Input'!$B$8:$B$1000,'VCN - Input'!$E$8:$E$1000), " ", _xlfn.xlookup(_xlfn.CONCAT($AA57,IF(AH$50&lt;10,"0",),AH$50,),'VCN - Input'!$B$8:$B$1000,'VCN - Input'!$F$8:$F$1000)), " ")</f>
        <v> </v>
      </c>
      <c r="AI57" s="57" t="str">
        <f aca="false">IFERROR(_xlfn.CONCAT(_xlfn.xlookup(_xlfn.CONCAT($AA57,IF(AI$50&lt;10,"0",),AI$50,),'VCN - Input'!$B$8:$B$1000,'VCN - Input'!$C$8:$C$1000), " ", _xlfn.xlookup(_xlfn.CONCAT($AA57,IF(AI$50&lt;10,"0",),AI$50,),'VCN - Input'!$B$8:$B$1000,'VCN - Input'!$D$8:$D$1000), " ", _xlfn.xlookup(_xlfn.CONCAT($AA57,IF(AI$50&lt;10,"0",),AI$50,),'VCN - Input'!$B$8:$B$1000,'VCN - Input'!$E$8:$E$1000), " ", _xlfn.xlookup(_xlfn.CONCAT($AA57,IF(AI$50&lt;10,"0",),AI$50,),'VCN - Input'!$B$8:$B$1000,'VCN - Input'!$F$8:$F$1000)), " ")</f>
        <v> </v>
      </c>
      <c r="AJ57" s="57" t="str">
        <f aca="false">IFERROR(_xlfn.CONCAT(_xlfn.xlookup(_xlfn.CONCAT($AA57,IF(AJ$50&lt;10,"0",),AJ$50,),'VCN - Input'!$B$8:$B$1000,'VCN - Input'!$C$8:$C$1000), " ", _xlfn.xlookup(_xlfn.CONCAT($AA57,IF(AJ$50&lt;10,"0",),AJ$50,),'VCN - Input'!$B$8:$B$1000,'VCN - Input'!$D$8:$D$1000), " ", _xlfn.xlookup(_xlfn.CONCAT($AA57,IF(AJ$50&lt;10,"0",),AJ$50,),'VCN - Input'!$B$8:$B$1000,'VCN - Input'!$E$8:$E$1000), " ", _xlfn.xlookup(_xlfn.CONCAT($AA57,IF(AJ$50&lt;10,"0",),AJ$50,),'VCN - Input'!$B$8:$B$1000,'VCN - Input'!$F$8:$F$1000)), " ")</f>
        <v> </v>
      </c>
      <c r="AK57" s="57" t="str">
        <f aca="false">IFERROR(_xlfn.CONCAT(_xlfn.xlookup(_xlfn.CONCAT($AA57,IF(AK$50&lt;10,"0",),AK$50,),'VCN - Input'!$B$8:$B$1000,'VCN - Input'!$C$8:$C$1000), " ", _xlfn.xlookup(_xlfn.CONCAT($AA57,IF(AK$50&lt;10,"0",),AK$50,),'VCN - Input'!$B$8:$B$1000,'VCN - Input'!$D$8:$D$1000), " ", _xlfn.xlookup(_xlfn.CONCAT($AA57,IF(AK$50&lt;10,"0",),AK$50,),'VCN - Input'!$B$8:$B$1000,'VCN - Input'!$E$8:$E$1000), " ", _xlfn.xlookup(_xlfn.CONCAT($AA57,IF(AK$50&lt;10,"0",),AK$50,),'VCN - Input'!$B$8:$B$1000,'VCN - Input'!$F$8:$F$1000)), " ")</f>
        <v> </v>
      </c>
      <c r="AL57" s="57" t="str">
        <f aca="false">IFERROR(_xlfn.CONCAT(_xlfn.xlookup(_xlfn.CONCAT($AA57,IF(AL$50&lt;10,"0",),AL$50,),'VCN - Input'!$B$8:$B$1000,'VCN - Input'!$C$8:$C$1000), " ", _xlfn.xlookup(_xlfn.CONCAT($AA57,IF(AL$50&lt;10,"0",),AL$50,),'VCN - Input'!$B$8:$B$1000,'VCN - Input'!$D$8:$D$1000), " ", _xlfn.xlookup(_xlfn.CONCAT($AA57,IF(AL$50&lt;10,"0",),AL$50,),'VCN - Input'!$B$8:$B$1000,'VCN - Input'!$E$8:$E$1000), " ", _xlfn.xlookup(_xlfn.CONCAT($AA57,IF(AL$50&lt;10,"0",),AL$50,),'VCN - Input'!$B$8:$B$1000,'VCN - Input'!$F$8:$F$1000)), " ")</f>
        <v> </v>
      </c>
      <c r="AM57" s="57" t="str">
        <f aca="false">IFERROR(_xlfn.CONCAT(_xlfn.xlookup(_xlfn.CONCAT($AA57,IF(AM$50&lt;10,"0",),AM$50,),'VCN - Input'!$B$8:$B$1000,'VCN - Input'!$C$8:$C$1000), " ", _xlfn.xlookup(_xlfn.CONCAT($AA57,IF(AM$50&lt;10,"0",),AM$50,),'VCN - Input'!$B$8:$B$1000,'VCN - Input'!$D$8:$D$1000), " ", _xlfn.xlookup(_xlfn.CONCAT($AA57,IF(AM$50&lt;10,"0",),AM$50,),'VCN - Input'!$B$8:$B$1000,'VCN - Input'!$E$8:$E$1000), " ", _xlfn.xlookup(_xlfn.CONCAT($AA57,IF(AM$50&lt;10,"0",),AM$50,),'VCN - Input'!$B$8:$B$1000,'VCN - Input'!$F$8:$F$1000)), " ")</f>
        <v> </v>
      </c>
    </row>
    <row r="58" customFormat="false" ht="20.25" hidden="false" customHeight="false" outlineLevel="0" collapsed="false">
      <c r="D58" s="25" t="str">
        <f aca="false">IFERROR(AVERAGE(B58,C58),"")</f>
        <v/>
      </c>
      <c r="E58" s="25" t="str">
        <f aca="false">IFERROR(STDEV(B58,C58)/SQRT(COUNT(B58,C58)),"")</f>
        <v/>
      </c>
      <c r="AA58" s="41" t="s">
        <v>173</v>
      </c>
      <c r="AB58" s="57" t="str">
        <f aca="false">IFERROR(_xlfn.CONCAT(_xlfn.xlookup(_xlfn.CONCAT($AA58,IF(AB$50&lt;10,"0",),AB$50,),'VCN - Input'!$B$8:$B$1000,'VCN - Input'!$C$8:$C$1000), " ", _xlfn.xlookup(_xlfn.CONCAT($AA58,IF(AB$50&lt;10,"0",),AB$50,),'VCN - Input'!$B$8:$B$1000,'VCN - Input'!$D$8:$D$1000), " ", _xlfn.xlookup(_xlfn.CONCAT($AA58,IF(AB$50&lt;10,"0",),AB$50,),'VCN - Input'!$B$8:$B$1000,'VCN - Input'!$E$8:$E$1000), " ", _xlfn.xlookup(_xlfn.CONCAT($AA58,IF(AB$50&lt;10,"0",),AB$50,),'VCN - Input'!$B$8:$B$1000,'VCN - Input'!$F$8:$F$1000)), " ")</f>
        <v> </v>
      </c>
      <c r="AC58" s="57" t="str">
        <f aca="false">IFERROR(_xlfn.CONCAT(_xlfn.xlookup(_xlfn.CONCAT($AA58,IF(AC$50&lt;10,"0",),AC$50,),'VCN - Input'!$B$8:$B$1000,'VCN - Input'!$C$8:$C$1000), " ", _xlfn.xlookup(_xlfn.CONCAT($AA58,IF(AC$50&lt;10,"0",),AC$50,),'VCN - Input'!$B$8:$B$1000,'VCN - Input'!$D$8:$D$1000), " ", _xlfn.xlookup(_xlfn.CONCAT($AA58,IF(AC$50&lt;10,"0",),AC$50,),'VCN - Input'!$B$8:$B$1000,'VCN - Input'!$E$8:$E$1000), " ", _xlfn.xlookup(_xlfn.CONCAT($AA58,IF(AC$50&lt;10,"0",),AC$50,),'VCN - Input'!$B$8:$B$1000,'VCN - Input'!$F$8:$F$1000)), " ")</f>
        <v> </v>
      </c>
      <c r="AD58" s="57" t="str">
        <f aca="false">IFERROR(_xlfn.CONCAT(_xlfn.xlookup(_xlfn.CONCAT($AA58,IF(AD$50&lt;10,"0",),AD$50,),'VCN - Input'!$B$8:$B$1000,'VCN - Input'!$C$8:$C$1000), " ", _xlfn.xlookup(_xlfn.CONCAT($AA58,IF(AD$50&lt;10,"0",),AD$50,),'VCN - Input'!$B$8:$B$1000,'VCN - Input'!$D$8:$D$1000), " ", _xlfn.xlookup(_xlfn.CONCAT($AA58,IF(AD$50&lt;10,"0",),AD$50,),'VCN - Input'!$B$8:$B$1000,'VCN - Input'!$E$8:$E$1000), " ", _xlfn.xlookup(_xlfn.CONCAT($AA58,IF(AD$50&lt;10,"0",),AD$50,),'VCN - Input'!$B$8:$B$1000,'VCN - Input'!$F$8:$F$1000)), " ")</f>
        <v> </v>
      </c>
      <c r="AE58" s="57" t="str">
        <f aca="false">IFERROR(_xlfn.CONCAT(_xlfn.xlookup(_xlfn.CONCAT($AA58,IF(AE$50&lt;10,"0",),AE$50,),'VCN - Input'!$B$8:$B$1000,'VCN - Input'!$C$8:$C$1000), " ", _xlfn.xlookup(_xlfn.CONCAT($AA58,IF(AE$50&lt;10,"0",),AE$50,),'VCN - Input'!$B$8:$B$1000,'VCN - Input'!$D$8:$D$1000), " ", _xlfn.xlookup(_xlfn.CONCAT($AA58,IF(AE$50&lt;10,"0",),AE$50,),'VCN - Input'!$B$8:$B$1000,'VCN - Input'!$E$8:$E$1000), " ", _xlfn.xlookup(_xlfn.CONCAT($AA58,IF(AE$50&lt;10,"0",),AE$50,),'VCN - Input'!$B$8:$B$1000,'VCN - Input'!$F$8:$F$1000)), " ")</f>
        <v> </v>
      </c>
      <c r="AF58" s="57" t="str">
        <f aca="false">IFERROR(_xlfn.CONCAT(_xlfn.xlookup(_xlfn.CONCAT($AA58,IF(AF$50&lt;10,"0",),AF$50,),'VCN - Input'!$B$8:$B$1000,'VCN - Input'!$C$8:$C$1000), " ", _xlfn.xlookup(_xlfn.CONCAT($AA58,IF(AF$50&lt;10,"0",),AF$50,),'VCN - Input'!$B$8:$B$1000,'VCN - Input'!$D$8:$D$1000), " ", _xlfn.xlookup(_xlfn.CONCAT($AA58,IF(AF$50&lt;10,"0",),AF$50,),'VCN - Input'!$B$8:$B$1000,'VCN - Input'!$E$8:$E$1000), " ", _xlfn.xlookup(_xlfn.CONCAT($AA58,IF(AF$50&lt;10,"0",),AF$50,),'VCN - Input'!$B$8:$B$1000,'VCN - Input'!$F$8:$F$1000)), " ")</f>
        <v> </v>
      </c>
      <c r="AG58" s="57" t="str">
        <f aca="false">IFERROR(_xlfn.CONCAT(_xlfn.xlookup(_xlfn.CONCAT($AA58,IF(AG$50&lt;10,"0",),AG$50,),'VCN - Input'!$B$8:$B$1000,'VCN - Input'!$C$8:$C$1000), " ", _xlfn.xlookup(_xlfn.CONCAT($AA58,IF(AG$50&lt;10,"0",),AG$50,),'VCN - Input'!$B$8:$B$1000,'VCN - Input'!$D$8:$D$1000), " ", _xlfn.xlookup(_xlfn.CONCAT($AA58,IF(AG$50&lt;10,"0",),AG$50,),'VCN - Input'!$B$8:$B$1000,'VCN - Input'!$E$8:$E$1000), " ", _xlfn.xlookup(_xlfn.CONCAT($AA58,IF(AG$50&lt;10,"0",),AG$50,),'VCN - Input'!$B$8:$B$1000,'VCN - Input'!$F$8:$F$1000)), " ")</f>
        <v> </v>
      </c>
      <c r="AH58" s="57" t="str">
        <f aca="false">IFERROR(_xlfn.CONCAT(_xlfn.xlookup(_xlfn.CONCAT($AA58,IF(AH$50&lt;10,"0",),AH$50,),'VCN - Input'!$B$8:$B$1000,'VCN - Input'!$C$8:$C$1000), " ", _xlfn.xlookup(_xlfn.CONCAT($AA58,IF(AH$50&lt;10,"0",),AH$50,),'VCN - Input'!$B$8:$B$1000,'VCN - Input'!$D$8:$D$1000), " ", _xlfn.xlookup(_xlfn.CONCAT($AA58,IF(AH$50&lt;10,"0",),AH$50,),'VCN - Input'!$B$8:$B$1000,'VCN - Input'!$E$8:$E$1000), " ", _xlfn.xlookup(_xlfn.CONCAT($AA58,IF(AH$50&lt;10,"0",),AH$50,),'VCN - Input'!$B$8:$B$1000,'VCN - Input'!$F$8:$F$1000)), " ")</f>
        <v> </v>
      </c>
      <c r="AI58" s="57" t="str">
        <f aca="false">IFERROR(_xlfn.CONCAT(_xlfn.xlookup(_xlfn.CONCAT($AA58,IF(AI$50&lt;10,"0",),AI$50,),'VCN - Input'!$B$8:$B$1000,'VCN - Input'!$C$8:$C$1000), " ", _xlfn.xlookup(_xlfn.CONCAT($AA58,IF(AI$50&lt;10,"0",),AI$50,),'VCN - Input'!$B$8:$B$1000,'VCN - Input'!$D$8:$D$1000), " ", _xlfn.xlookup(_xlfn.CONCAT($AA58,IF(AI$50&lt;10,"0",),AI$50,),'VCN - Input'!$B$8:$B$1000,'VCN - Input'!$E$8:$E$1000), " ", _xlfn.xlookup(_xlfn.CONCAT($AA58,IF(AI$50&lt;10,"0",),AI$50,),'VCN - Input'!$B$8:$B$1000,'VCN - Input'!$F$8:$F$1000)), " ")</f>
        <v> </v>
      </c>
      <c r="AJ58" s="57" t="str">
        <f aca="false">IFERROR(_xlfn.CONCAT(_xlfn.xlookup(_xlfn.CONCAT($AA58,IF(AJ$50&lt;10,"0",),AJ$50,),'VCN - Input'!$B$8:$B$1000,'VCN - Input'!$C$8:$C$1000), " ", _xlfn.xlookup(_xlfn.CONCAT($AA58,IF(AJ$50&lt;10,"0",),AJ$50,),'VCN - Input'!$B$8:$B$1000,'VCN - Input'!$D$8:$D$1000), " ", _xlfn.xlookup(_xlfn.CONCAT($AA58,IF(AJ$50&lt;10,"0",),AJ$50,),'VCN - Input'!$B$8:$B$1000,'VCN - Input'!$E$8:$E$1000), " ", _xlfn.xlookup(_xlfn.CONCAT($AA58,IF(AJ$50&lt;10,"0",),AJ$50,),'VCN - Input'!$B$8:$B$1000,'VCN - Input'!$F$8:$F$1000)), " ")</f>
        <v> </v>
      </c>
      <c r="AK58" s="57" t="str">
        <f aca="false">IFERROR(_xlfn.CONCAT(_xlfn.xlookup(_xlfn.CONCAT($AA58,IF(AK$50&lt;10,"0",),AK$50,),'VCN - Input'!$B$8:$B$1000,'VCN - Input'!$C$8:$C$1000), " ", _xlfn.xlookup(_xlfn.CONCAT($AA58,IF(AK$50&lt;10,"0",),AK$50,),'VCN - Input'!$B$8:$B$1000,'VCN - Input'!$D$8:$D$1000), " ", _xlfn.xlookup(_xlfn.CONCAT($AA58,IF(AK$50&lt;10,"0",),AK$50,),'VCN - Input'!$B$8:$B$1000,'VCN - Input'!$E$8:$E$1000), " ", _xlfn.xlookup(_xlfn.CONCAT($AA58,IF(AK$50&lt;10,"0",),AK$50,),'VCN - Input'!$B$8:$B$1000,'VCN - Input'!$F$8:$F$1000)), " ")</f>
        <v> </v>
      </c>
      <c r="AL58" s="57" t="str">
        <f aca="false">IFERROR(_xlfn.CONCAT(_xlfn.xlookup(_xlfn.CONCAT($AA58,IF(AL$50&lt;10,"0",),AL$50,),'VCN - Input'!$B$8:$B$1000,'VCN - Input'!$C$8:$C$1000), " ", _xlfn.xlookup(_xlfn.CONCAT($AA58,IF(AL$50&lt;10,"0",),AL$50,),'VCN - Input'!$B$8:$B$1000,'VCN - Input'!$D$8:$D$1000), " ", _xlfn.xlookup(_xlfn.CONCAT($AA58,IF(AL$50&lt;10,"0",),AL$50,),'VCN - Input'!$B$8:$B$1000,'VCN - Input'!$E$8:$E$1000), " ", _xlfn.xlookup(_xlfn.CONCAT($AA58,IF(AL$50&lt;10,"0",),AL$50,),'VCN - Input'!$B$8:$B$1000,'VCN - Input'!$F$8:$F$1000)), " ")</f>
        <v> </v>
      </c>
      <c r="AM58" s="57" t="str">
        <f aca="false">IFERROR(_xlfn.CONCAT(_xlfn.xlookup(_xlfn.CONCAT($AA58,IF(AM$50&lt;10,"0",),AM$50,),'VCN - Input'!$B$8:$B$1000,'VCN - Input'!$C$8:$C$1000), " ", _xlfn.xlookup(_xlfn.CONCAT($AA58,IF(AM$50&lt;10,"0",),AM$50,),'VCN - Input'!$B$8:$B$1000,'VCN - Input'!$D$8:$D$1000), " ", _xlfn.xlookup(_xlfn.CONCAT($AA58,IF(AM$50&lt;10,"0",),AM$50,),'VCN - Input'!$B$8:$B$1000,'VCN - Input'!$E$8:$E$1000), " ", _xlfn.xlookup(_xlfn.CONCAT($AA58,IF(AM$50&lt;10,"0",),AM$50,),'VCN - Input'!$B$8:$B$1000,'VCN - Input'!$F$8:$F$1000)), " ")</f>
        <v> </v>
      </c>
    </row>
    <row r="59" customFormat="false" ht="15" hidden="false" customHeight="false" outlineLevel="0" collapsed="false">
      <c r="D59" s="25" t="str">
        <f aca="false">IFERROR(AVERAGE(B59,C59),"")</f>
        <v/>
      </c>
      <c r="E59" s="25" t="str">
        <f aca="false">IFERROR(STDEV(B59,C59)/SQRT(COUNT(B59,C59)),"")</f>
        <v/>
      </c>
    </row>
    <row r="60" customFormat="false" ht="15" hidden="false" customHeight="false" outlineLevel="0" collapsed="false">
      <c r="D60" s="25" t="str">
        <f aca="false">IFERROR(AVERAGE(B60,C60),"")</f>
        <v/>
      </c>
      <c r="E60" s="25" t="str">
        <f aca="false">IFERROR(STDEV(B60,C60)/SQRT(COUNT(B60,C60)),"")</f>
        <v/>
      </c>
    </row>
    <row r="61" customFormat="false" ht="15" hidden="false" customHeight="false" outlineLevel="0" collapsed="false">
      <c r="D61" s="25" t="str">
        <f aca="false">IFERROR(AVERAGE(B61,C61),"")</f>
        <v/>
      </c>
      <c r="E61" s="25" t="str">
        <f aca="false">IFERROR(STDEV(B61,C61)/SQRT(COUNT(B61,C61)),"")</f>
        <v/>
      </c>
    </row>
    <row r="62" customFormat="false" ht="15" hidden="false" customHeight="false" outlineLevel="0" collapsed="false">
      <c r="D62" s="25" t="str">
        <f aca="false">IFERROR(AVERAGE(B62,C62),"")</f>
        <v/>
      </c>
      <c r="E62" s="25" t="str">
        <f aca="false">IFERROR(STDEV(B62,C62)/SQRT(COUNT(B62,C62)),"")</f>
        <v/>
      </c>
    </row>
    <row r="63" customFormat="false" ht="15" hidden="false" customHeight="false" outlineLevel="0" collapsed="false">
      <c r="D63" s="25" t="str">
        <f aca="false">IFERROR(AVERAGE(B63,C63),"")</f>
        <v/>
      </c>
      <c r="E63" s="25" t="str">
        <f aca="false">IFERROR(STDEV(B63,C63)/SQRT(COUNT(B63,C63)),"")</f>
        <v/>
      </c>
    </row>
    <row r="64" customFormat="false" ht="15" hidden="false" customHeight="false" outlineLevel="0" collapsed="false">
      <c r="D64" s="25" t="str">
        <f aca="false">IFERROR(AVERAGE(B64,C64),"")</f>
        <v/>
      </c>
      <c r="E64" s="25" t="str">
        <f aca="false">IFERROR(STDEV(B64,C64)/SQRT(COUNT(B64,C64)),"")</f>
        <v/>
      </c>
    </row>
    <row r="65" customFormat="false" ht="15" hidden="false" customHeight="false" outlineLevel="0" collapsed="false">
      <c r="D65" s="25" t="str">
        <f aca="false">IFERROR(AVERAGE(B65,C65),"")</f>
        <v/>
      </c>
      <c r="E65" s="25" t="str">
        <f aca="false">IFERROR(STDEV(B65,C65)/SQRT(COUNT(B65,C65)),"")</f>
        <v/>
      </c>
    </row>
    <row r="66" customFormat="false" ht="15" hidden="false" customHeight="false" outlineLevel="0" collapsed="false">
      <c r="D66" s="25" t="str">
        <f aca="false">IFERROR(AVERAGE(B66,C66),"")</f>
        <v/>
      </c>
      <c r="E66" s="25" t="str">
        <f aca="false">IFERROR(STDEV(B66,C66)/SQRT(COUNT(B66,C66)),"")</f>
        <v/>
      </c>
    </row>
    <row r="67" customFormat="false" ht="15" hidden="false" customHeight="false" outlineLevel="0" collapsed="false">
      <c r="D67" s="25" t="str">
        <f aca="false">IFERROR(AVERAGE(B67,C67),"")</f>
        <v/>
      </c>
      <c r="E67" s="25" t="str">
        <f aca="false">IFERROR(STDEV(B67,C67)/SQRT(COUNT(B67,C67)),"")</f>
        <v/>
      </c>
    </row>
    <row r="68" customFormat="false" ht="15" hidden="false" customHeight="false" outlineLevel="0" collapsed="false">
      <c r="D68" s="25" t="str">
        <f aca="false">IFERROR(AVERAGE(B68,C68),"")</f>
        <v/>
      </c>
      <c r="E68" s="25" t="str">
        <f aca="false">IFERROR(STDEV(B68,C68)/SQRT(COUNT(B68,C68)),"")</f>
        <v/>
      </c>
    </row>
    <row r="69" customFormat="false" ht="15" hidden="false" customHeight="false" outlineLevel="0" collapsed="false">
      <c r="D69" s="25" t="str">
        <f aca="false">IFERROR(AVERAGE(B69,C69),"")</f>
        <v/>
      </c>
      <c r="E69" s="25" t="str">
        <f aca="false">IFERROR(STDEV(B69,C69)/SQRT(COUNT(B69,C69)),"")</f>
        <v/>
      </c>
    </row>
    <row r="70" customFormat="false" ht="15" hidden="false" customHeight="false" outlineLevel="0" collapsed="false">
      <c r="D70" s="25" t="str">
        <f aca="false">IFERROR(AVERAGE(B70,C70),"")</f>
        <v/>
      </c>
      <c r="E70" s="25" t="str">
        <f aca="false">IFERROR(STDEV(B70,C70)/SQRT(COUNT(B70,C70)),"")</f>
        <v/>
      </c>
    </row>
    <row r="71" customFormat="false" ht="15" hidden="false" customHeight="false" outlineLevel="0" collapsed="false">
      <c r="D71" s="25" t="str">
        <f aca="false">IFERROR(AVERAGE(B71,C71),"")</f>
        <v/>
      </c>
      <c r="E71" s="25" t="str">
        <f aca="false">IFERROR(STDEV(B71,C71)/SQRT(COUNT(B71,C71)),"")</f>
        <v/>
      </c>
    </row>
    <row r="72" customFormat="false" ht="15" hidden="false" customHeight="false" outlineLevel="0" collapsed="false">
      <c r="D72" s="25" t="str">
        <f aca="false">IFERROR(AVERAGE(B72,C72),"")</f>
        <v/>
      </c>
      <c r="E72" s="25" t="str">
        <f aca="false">IFERROR(STDEV(B72,C72)/SQRT(COUNT(B72,C72)),"")</f>
        <v/>
      </c>
    </row>
    <row r="73" customFormat="false" ht="15" hidden="false" customHeight="false" outlineLevel="0" collapsed="false">
      <c r="D73" s="25" t="str">
        <f aca="false">IFERROR(AVERAGE(B73,C73),"")</f>
        <v/>
      </c>
      <c r="E73" s="25" t="str">
        <f aca="false">IFERROR(STDEV(B73,C73)/SQRT(COUNT(B73,C73)),"")</f>
        <v/>
      </c>
    </row>
    <row r="74" customFormat="false" ht="15" hidden="false" customHeight="false" outlineLevel="0" collapsed="false">
      <c r="D74" s="25" t="str">
        <f aca="false">IFERROR(AVERAGE(B74,C74),"")</f>
        <v/>
      </c>
      <c r="E74" s="25" t="str">
        <f aca="false">IFERROR(STDEV(B74,C74)/SQRT(COUNT(B74,C74)),"")</f>
        <v/>
      </c>
    </row>
    <row r="75" customFormat="false" ht="15" hidden="false" customHeight="false" outlineLevel="0" collapsed="false">
      <c r="D75" s="25" t="str">
        <f aca="false">IFERROR(AVERAGE(B75,C75),"")</f>
        <v/>
      </c>
      <c r="E75" s="25" t="str">
        <f aca="false">IFERROR(STDEV(B75,C75)/SQRT(COUNT(B75,C75)),"")</f>
        <v/>
      </c>
    </row>
    <row r="76" customFormat="false" ht="15" hidden="false" customHeight="false" outlineLevel="0" collapsed="false">
      <c r="D76" s="25" t="str">
        <f aca="false">IFERROR(AVERAGE(B76,C76),"")</f>
        <v/>
      </c>
      <c r="E76" s="25" t="str">
        <f aca="false">IFERROR(STDEV(B76,C76)/SQRT(COUNT(B76,C76)),"")</f>
        <v/>
      </c>
    </row>
    <row r="77" customFormat="false" ht="15" hidden="false" customHeight="false" outlineLevel="0" collapsed="false">
      <c r="D77" s="25" t="str">
        <f aca="false">IFERROR(AVERAGE(B77,C77),"")</f>
        <v/>
      </c>
      <c r="E77" s="25" t="str">
        <f aca="false">IFERROR(STDEV(B77,C77)/SQRT(COUNT(B77,C77)),"")</f>
        <v/>
      </c>
    </row>
    <row r="78" customFormat="false" ht="15" hidden="false" customHeight="false" outlineLevel="0" collapsed="false">
      <c r="D78" s="25" t="str">
        <f aca="false">IFERROR(AVERAGE(B78,C78),"")</f>
        <v/>
      </c>
      <c r="E78" s="25" t="str">
        <f aca="false">IFERROR(STDEV(B78,C78)/SQRT(COUNT(B78,C78)),"")</f>
        <v/>
      </c>
    </row>
    <row r="79" customFormat="false" ht="15" hidden="false" customHeight="false" outlineLevel="0" collapsed="false">
      <c r="D79" s="25" t="str">
        <f aca="false">IFERROR(AVERAGE(B79,C79),"")</f>
        <v/>
      </c>
      <c r="E79" s="25" t="str">
        <f aca="false">IFERROR(STDEV(B79,C79)/SQRT(COUNT(B79,C79)),"")</f>
        <v/>
      </c>
    </row>
    <row r="80" customFormat="false" ht="15" hidden="false" customHeight="false" outlineLevel="0" collapsed="false">
      <c r="D80" s="25" t="str">
        <f aca="false">IFERROR(AVERAGE(B80,C80),"")</f>
        <v/>
      </c>
      <c r="E80" s="25" t="str">
        <f aca="false">IFERROR(STDEV(B80,C80)/SQRT(COUNT(B80,C80)),"")</f>
        <v/>
      </c>
    </row>
    <row r="81" customFormat="false" ht="15" hidden="false" customHeight="false" outlineLevel="0" collapsed="false">
      <c r="D81" s="25" t="str">
        <f aca="false">IFERROR(AVERAGE(B81,C81),"")</f>
        <v/>
      </c>
      <c r="E81" s="25" t="str">
        <f aca="false">IFERROR(STDEV(B81,C81)/SQRT(COUNT(B81,C81)),"")</f>
        <v/>
      </c>
    </row>
    <row r="82" customFormat="false" ht="15" hidden="false" customHeight="false" outlineLevel="0" collapsed="false">
      <c r="D82" s="25" t="str">
        <f aca="false">IFERROR(AVERAGE(B82,C82),"")</f>
        <v/>
      </c>
      <c r="E82" s="25" t="str">
        <f aca="false">IFERROR(STDEV(B82,C82)/SQRT(COUNT(B82,C82)),"")</f>
        <v/>
      </c>
    </row>
    <row r="83" customFormat="false" ht="15" hidden="false" customHeight="false" outlineLevel="0" collapsed="false">
      <c r="D83" s="25" t="str">
        <f aca="false">IFERROR(AVERAGE(B83,C83),"")</f>
        <v/>
      </c>
      <c r="E83" s="25" t="str">
        <f aca="false">IFERROR(STDEV(B83,C83)/SQRT(COUNT(B83,C83)),"")</f>
        <v/>
      </c>
    </row>
    <row r="84" customFormat="false" ht="15" hidden="false" customHeight="false" outlineLevel="0" collapsed="false">
      <c r="D84" s="25" t="str">
        <f aca="false">IFERROR(AVERAGE(B84,C84),"")</f>
        <v/>
      </c>
      <c r="E84" s="25" t="str">
        <f aca="false">IFERROR(STDEV(B84,C84)/SQRT(COUNT(B84,C84)),"")</f>
        <v/>
      </c>
    </row>
    <row r="85" customFormat="false" ht="15" hidden="false" customHeight="false" outlineLevel="0" collapsed="false">
      <c r="D85" s="25" t="str">
        <f aca="false">IFERROR(AVERAGE(B85,C85),"")</f>
        <v/>
      </c>
      <c r="E85" s="25" t="str">
        <f aca="false">IFERROR(STDEV(B85,C85)/SQRT(COUNT(B85,C85)),"")</f>
        <v/>
      </c>
    </row>
    <row r="86" customFormat="false" ht="15" hidden="false" customHeight="false" outlineLevel="0" collapsed="false">
      <c r="D86" s="25" t="str">
        <f aca="false">IFERROR(AVERAGE(B86,C86),"")</f>
        <v/>
      </c>
      <c r="E86" s="25" t="str">
        <f aca="false">IFERROR(STDEV(B86,C86)/SQRT(COUNT(B86,C86)),"")</f>
        <v/>
      </c>
    </row>
    <row r="87" customFormat="false" ht="15" hidden="false" customHeight="false" outlineLevel="0" collapsed="false">
      <c r="D87" s="25" t="str">
        <f aca="false">IFERROR(AVERAGE(B87,C87),"")</f>
        <v/>
      </c>
      <c r="E87" s="25" t="str">
        <f aca="false">IFERROR(STDEV(B87,C87)/SQRT(COUNT(B87,C87)),"")</f>
        <v/>
      </c>
    </row>
    <row r="88" customFormat="false" ht="15" hidden="false" customHeight="false" outlineLevel="0" collapsed="false">
      <c r="D88" s="25" t="str">
        <f aca="false">IFERROR(AVERAGE(B88,C88),"")</f>
        <v/>
      </c>
      <c r="E88" s="25" t="str">
        <f aca="false">IFERROR(STDEV(B88,C88)/SQRT(COUNT(B88,C88)),"")</f>
        <v/>
      </c>
    </row>
    <row r="89" customFormat="false" ht="15" hidden="false" customHeight="false" outlineLevel="0" collapsed="false">
      <c r="D89" s="25" t="str">
        <f aca="false">IFERROR(AVERAGE(B89,C89),"")</f>
        <v/>
      </c>
      <c r="E89" s="25" t="str">
        <f aca="false">IFERROR(STDEV(B89,C89)/SQRT(COUNT(B89,C89)),"")</f>
        <v/>
      </c>
    </row>
    <row r="90" customFormat="false" ht="15" hidden="false" customHeight="false" outlineLevel="0" collapsed="false">
      <c r="D90" s="25" t="str">
        <f aca="false">IFERROR(AVERAGE(B90,C90),"")</f>
        <v/>
      </c>
      <c r="E90" s="25" t="str">
        <f aca="false">IFERROR(STDEV(B90,C90)/SQRT(COUNT(B90,C90)),"")</f>
        <v/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J475"/>
  <sheetViews>
    <sheetView showFormulas="false" showGridLines="true" showRowColHeaders="true" showZeros="true" rightToLeft="false" tabSelected="false" showOutlineSymbols="true" defaultGridColor="true" view="normal" topLeftCell="A166" colorId="64" zoomScale="80" zoomScaleNormal="80" zoomScalePageLayoutView="100" workbookViewId="0">
      <selection pane="topLeft" activeCell="K181" activeCellId="0" sqref="K181"/>
    </sheetView>
  </sheetViews>
  <sheetFormatPr defaultColWidth="12.5703125" defaultRowHeight="15.75" zeroHeight="false" outlineLevelRow="0" outlineLevelCol="0"/>
  <cols>
    <col collapsed="false" customWidth="false" hidden="false" outlineLevel="0" max="2" min="1" style="44" width="12.57"/>
    <col collapsed="false" customWidth="true" hidden="false" outlineLevel="0" max="3" min="3" style="44" width="22.57"/>
    <col collapsed="false" customWidth="true" hidden="false" outlineLevel="0" max="4" min="4" style="44" width="22.29"/>
    <col collapsed="false" customWidth="true" hidden="false" outlineLevel="0" max="5" min="5" style="44" width="19.71"/>
    <col collapsed="false" customWidth="true" hidden="false" outlineLevel="0" max="6" min="6" style="44" width="19.42"/>
    <col collapsed="false" customWidth="true" hidden="false" outlineLevel="0" max="7" min="7" style="44" width="19.71"/>
    <col collapsed="false" customWidth="true" hidden="false" outlineLevel="0" max="8" min="8" style="44" width="19.42"/>
    <col collapsed="false" customWidth="true" hidden="false" outlineLevel="0" max="9" min="9" style="44" width="19.71"/>
    <col collapsed="false" customWidth="true" hidden="false" outlineLevel="0" max="10" min="10" style="44" width="19.42"/>
    <col collapsed="false" customWidth="true" hidden="false" outlineLevel="0" max="11" min="11" style="44" width="19.71"/>
    <col collapsed="false" customWidth="true" hidden="false" outlineLevel="0" max="12" min="12" style="44" width="19.42"/>
    <col collapsed="false" customWidth="true" hidden="false" outlineLevel="0" max="13" min="13" style="44" width="18.42"/>
    <col collapsed="false" customWidth="true" hidden="false" outlineLevel="0" max="14" min="14" style="44" width="26.29"/>
    <col collapsed="false" customWidth="true" hidden="false" outlineLevel="0" max="15" min="15" style="44" width="8.42"/>
    <col collapsed="false" customWidth="true" hidden="false" outlineLevel="0" max="16" min="16" style="44" width="7"/>
    <col collapsed="false" customWidth="true" hidden="false" outlineLevel="0" max="17" min="17" style="44" width="5.14"/>
    <col collapsed="false" customWidth="false" hidden="false" outlineLevel="0" max="18" min="18" style="44" width="12.57"/>
    <col collapsed="false" customWidth="true" hidden="false" outlineLevel="0" max="19" min="19" style="44" width="29.14"/>
    <col collapsed="false" customWidth="false" hidden="false" outlineLevel="0" max="26" min="20" style="44" width="12.57"/>
    <col collapsed="false" customWidth="true" hidden="false" outlineLevel="0" max="28" min="27" style="44" width="27.57"/>
    <col collapsed="false" customWidth="true" hidden="false" outlineLevel="0" max="29" min="29" style="44" width="25.42"/>
    <col collapsed="false" customWidth="true" hidden="false" outlineLevel="0" max="30" min="30" style="44" width="19.71"/>
    <col collapsed="false" customWidth="false" hidden="false" outlineLevel="0" max="16384" min="31" style="44" width="12.57"/>
  </cols>
  <sheetData>
    <row r="1" customFormat="false" ht="16.5" hidden="false" customHeight="false" outlineLevel="0" collapsed="false">
      <c r="A1" s="58" t="s">
        <v>192</v>
      </c>
    </row>
    <row r="2" customFormat="false" ht="18.75" hidden="false" customHeight="false" outlineLevel="0" collapsed="false">
      <c r="A2" s="59" t="s">
        <v>193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R2" s="60" t="s">
        <v>194</v>
      </c>
      <c r="S2" s="61"/>
      <c r="T2" s="62"/>
      <c r="AA2" s="63" t="s">
        <v>195</v>
      </c>
      <c r="AB2" s="63" t="s">
        <v>196</v>
      </c>
      <c r="AC2" s="63" t="s">
        <v>197</v>
      </c>
      <c r="AD2" s="64" t="s">
        <v>198</v>
      </c>
    </row>
    <row r="3" customFormat="false" ht="18.75" hidden="false" customHeight="true" outlineLevel="0" collapsed="false">
      <c r="A3" s="65"/>
      <c r="B3" s="58"/>
      <c r="C3" s="66" t="s">
        <v>199</v>
      </c>
      <c r="D3" s="67"/>
      <c r="E3" s="68"/>
      <c r="F3" s="69"/>
      <c r="G3" s="69"/>
      <c r="H3" s="69"/>
      <c r="I3" s="69"/>
      <c r="J3" s="69"/>
      <c r="K3" s="69"/>
      <c r="L3" s="69"/>
      <c r="M3" s="69"/>
      <c r="N3" s="69"/>
      <c r="O3" s="69"/>
      <c r="R3" s="70" t="s">
        <v>200</v>
      </c>
      <c r="S3" s="71"/>
      <c r="T3" s="72"/>
      <c r="AA3" s="73" t="s">
        <v>201</v>
      </c>
      <c r="AB3" s="73" t="s">
        <v>202</v>
      </c>
      <c r="AC3" s="73" t="s">
        <v>203</v>
      </c>
      <c r="AD3" s="74" t="s">
        <v>204</v>
      </c>
      <c r="AE3" s="75"/>
      <c r="AF3" s="75"/>
      <c r="AG3" s="75"/>
      <c r="AH3" s="75"/>
      <c r="AI3" s="76"/>
      <c r="AJ3" s="76"/>
    </row>
    <row r="4" customFormat="false" ht="21.75" hidden="false" customHeight="false" outlineLevel="0" collapsed="false">
      <c r="A4" s="77"/>
      <c r="B4" s="78"/>
      <c r="C4" s="79"/>
      <c r="D4" s="78"/>
      <c r="E4" s="79"/>
      <c r="F4" s="69"/>
      <c r="G4" s="69"/>
      <c r="H4" s="69"/>
      <c r="I4" s="69"/>
      <c r="J4" s="69"/>
      <c r="K4" s="69"/>
      <c r="L4" s="69"/>
      <c r="M4" s="69"/>
      <c r="N4" s="69"/>
      <c r="O4" s="69"/>
      <c r="R4" s="80" t="s">
        <v>205</v>
      </c>
      <c r="S4" s="81" t="s">
        <v>206</v>
      </c>
      <c r="T4" s="82" t="n">
        <v>50</v>
      </c>
      <c r="AA4" s="73" t="s">
        <v>207</v>
      </c>
      <c r="AB4" s="73" t="s">
        <v>208</v>
      </c>
      <c r="AC4" s="73" t="s">
        <v>203</v>
      </c>
      <c r="AD4" s="74" t="s">
        <v>209</v>
      </c>
      <c r="AE4" s="75"/>
      <c r="AF4" s="75"/>
      <c r="AG4" s="75"/>
      <c r="AH4" s="75"/>
      <c r="AJ4" s="83"/>
    </row>
    <row r="5" customFormat="false" ht="21.75" hidden="false" customHeight="false" outlineLevel="0" collapsed="false">
      <c r="O5" s="58"/>
      <c r="R5" s="80" t="s">
        <v>210</v>
      </c>
      <c r="S5" s="81" t="s">
        <v>211</v>
      </c>
      <c r="T5" s="82" t="n">
        <v>0</v>
      </c>
      <c r="AA5" s="73" t="s">
        <v>212</v>
      </c>
      <c r="AB5" s="73" t="s">
        <v>213</v>
      </c>
      <c r="AC5" s="73" t="s">
        <v>203</v>
      </c>
      <c r="AD5" s="74" t="s">
        <v>209</v>
      </c>
      <c r="AE5" s="84"/>
      <c r="AF5" s="84"/>
      <c r="AG5" s="84"/>
      <c r="AH5" s="85"/>
      <c r="AI5" s="84"/>
    </row>
    <row r="6" customFormat="false" ht="21.75" hidden="false" customHeight="false" outlineLevel="0" collapsed="false">
      <c r="A6" s="86" t="s">
        <v>195</v>
      </c>
      <c r="B6" s="87"/>
      <c r="C6" s="88" t="e">
        <f aca="false">_xlfn.xlookup(C$8,'Flow 1 Input'!$I$9:$I$1000,'Flow 1 Input'!$J$9:$J$1000)</f>
        <v>#NAME?</v>
      </c>
      <c r="D6" s="88" t="e">
        <f aca="false">_xlfn.xlookup(D$8,'Flow 1 Input'!$I$9:$I$1000,'Flow 1 Input'!$J$9:$J$1000)</f>
        <v>#NAME?</v>
      </c>
      <c r="E6" s="88" t="e">
        <f aca="false">_xlfn.xlookup(E$8,'Flow 1 Input'!$I$9:$I$1000,'Flow 1 Input'!$J$9:$J$1000)</f>
        <v>#NAME?</v>
      </c>
      <c r="F6" s="88" t="e">
        <f aca="false">_xlfn.xlookup(F$8,'Flow 1 Input'!$I$9:$I$1000,'Flow 1 Input'!$J$9:$J$1000)</f>
        <v>#NAME?</v>
      </c>
      <c r="G6" s="88" t="e">
        <f aca="false">_xlfn.xlookup(G$8,'Flow 1 Input'!$I$9:$I$1000,'Flow 1 Input'!$J$9:$J$1000)</f>
        <v>#NAME?</v>
      </c>
      <c r="H6" s="88" t="e">
        <f aca="false">_xlfn.xlookup(H$8,'Flow 1 Input'!$I$9:$I$1000,'Flow 1 Input'!$J$9:$J$1000)</f>
        <v>#NAME?</v>
      </c>
      <c r="I6" s="88" t="e">
        <f aca="false">_xlfn.xlookup(I$8,'Flow 1 Input'!$I$9:$I$1000,'Flow 1 Input'!$J$9:$J$1000)</f>
        <v>#NAME?</v>
      </c>
      <c r="J6" s="88" t="e">
        <f aca="false">_xlfn.xlookup(J$8,'Flow 1 Input'!$I$9:$I$1000,'Flow 1 Input'!$J$9:$J$1000)</f>
        <v>#NAME?</v>
      </c>
      <c r="K6" s="88" t="e">
        <f aca="false">_xlfn.xlookup(K$8,'Flow 1 Input'!$I$9:$I$1000,'Flow 1 Input'!$J$9:$J$1000)</f>
        <v>#NAME?</v>
      </c>
      <c r="L6" s="88" t="e">
        <f aca="false">_xlfn.xlookup(L$8,'Flow 1 Input'!$I$9:$I$1000,'Flow 1 Input'!$J$9:$J$1000)</f>
        <v>#NAME?</v>
      </c>
      <c r="M6" s="88" t="e">
        <f aca="false">_xlfn.xlookup(M$8,'Flow 1 Input'!$I$9:$I$1000,'Flow 1 Input'!$J$9:$J$1000)</f>
        <v>#NAME?</v>
      </c>
      <c r="N6" s="88" t="e">
        <f aca="false">_xlfn.xlookup(N$8,'Flow 1 Input'!$I$9:$I$1000,'Flow 1 Input'!$J$9:$J$1000)</f>
        <v>#NAME?</v>
      </c>
      <c r="R6" s="89" t="s">
        <v>214</v>
      </c>
      <c r="S6" s="90" t="s">
        <v>215</v>
      </c>
      <c r="T6" s="91" t="n">
        <v>0.35</v>
      </c>
      <c r="AA6" s="73" t="s">
        <v>216</v>
      </c>
      <c r="AB6" s="73" t="s">
        <v>217</v>
      </c>
      <c r="AC6" s="73" t="s">
        <v>203</v>
      </c>
      <c r="AD6" s="74" t="s">
        <v>218</v>
      </c>
      <c r="AE6" s="85"/>
      <c r="AF6" s="85"/>
      <c r="AG6" s="85"/>
      <c r="AH6" s="85"/>
      <c r="AI6" s="83"/>
    </row>
    <row r="7" customFormat="false" ht="16.5" hidden="false" customHeight="false" outlineLevel="0" collapsed="false">
      <c r="A7" s="92" t="s">
        <v>219</v>
      </c>
      <c r="B7" s="93"/>
      <c r="C7" s="94" t="e">
        <f aca="false">_xlfn.xlookup(C$6,'Titer Calculation'!$AB$3:$AB$50,'Titer Calculation'!$AD$3:$AD$50,,-1,1)</f>
        <v>#NAME?</v>
      </c>
      <c r="D7" s="94" t="e">
        <f aca="false">_xlfn.xlookup(D$6,'Titer Calculation'!$AB$3:$AB$50,'Titer Calculation'!$AD$3:$AD$50,,-1,1)</f>
        <v>#NAME?</v>
      </c>
      <c r="E7" s="94" t="e">
        <f aca="false">_xlfn.xlookup(E$6,'Titer Calculation'!$AB$3:$AB$50,'Titer Calculation'!$AD$3:$AD$50,,-1,1)</f>
        <v>#NAME?</v>
      </c>
      <c r="F7" s="94" t="e">
        <f aca="false">_xlfn.xlookup(F$6,'Titer Calculation'!$AB$3:$AB$50,'Titer Calculation'!$AD$3:$AD$50,,-1,1)</f>
        <v>#NAME?</v>
      </c>
      <c r="G7" s="94" t="e">
        <f aca="false">_xlfn.xlookup(G$6,'Titer Calculation'!$AB$3:$AB$50,'Titer Calculation'!$AD$3:$AD$50,,-1,1)</f>
        <v>#NAME?</v>
      </c>
      <c r="H7" s="94" t="e">
        <f aca="false">_xlfn.xlookup(H$6,'Titer Calculation'!$AB$3:$AB$50,'Titer Calculation'!$AD$3:$AD$50,,-1,1)</f>
        <v>#NAME?</v>
      </c>
      <c r="I7" s="94" t="e">
        <f aca="false">_xlfn.xlookup(I$6,'Titer Calculation'!$AB$3:$AB$50,'Titer Calculation'!$AD$3:$AD$50,,-1,1)</f>
        <v>#NAME?</v>
      </c>
      <c r="J7" s="94" t="e">
        <f aca="false">_xlfn.xlookup(J$6,'Titer Calculation'!$AB$3:$AB$50,'Titer Calculation'!$AD$3:$AD$50,,-1,1)</f>
        <v>#NAME?</v>
      </c>
      <c r="K7" s="94" t="e">
        <f aca="false">_xlfn.xlookup(K$6,'Titer Calculation'!$AB$3:$AB$50,'Titer Calculation'!$AD$3:$AD$50,,-1,1)</f>
        <v>#NAME?</v>
      </c>
      <c r="L7" s="94" t="e">
        <f aca="false">_xlfn.xlookup(L$6,'Titer Calculation'!$AB$3:$AB$50,'Titer Calculation'!$AD$3:$AD$50,,-1,1)</f>
        <v>#NAME?</v>
      </c>
      <c r="M7" s="94" t="e">
        <f aca="false">_xlfn.xlookup(M$6,'Titer Calculation'!$AB$3:$AB$50,'Titer Calculation'!$AD$3:$AD$50,,-1,1)</f>
        <v>#NAME?</v>
      </c>
      <c r="N7" s="94" t="e">
        <f aca="false">_xlfn.xlookup(N$6,'Titer Calculation'!$AB$3:$AB$50,'Titer Calculation'!$AD$3:$AD$50,,-1,1)</f>
        <v>#NAME?</v>
      </c>
      <c r="O7" s="58"/>
      <c r="P7" s="95"/>
      <c r="W7" s="42"/>
      <c r="AA7" s="73" t="s">
        <v>220</v>
      </c>
      <c r="AB7" s="73" t="s">
        <v>208</v>
      </c>
      <c r="AC7" s="73" t="s">
        <v>221</v>
      </c>
      <c r="AD7" s="74" t="s">
        <v>222</v>
      </c>
      <c r="AE7" s="84"/>
      <c r="AF7" s="84"/>
      <c r="AG7" s="84"/>
      <c r="AH7" s="85"/>
      <c r="AI7" s="84"/>
    </row>
    <row r="8" customFormat="false" ht="16.5" hidden="false" customHeight="false" outlineLevel="0" collapsed="false">
      <c r="A8" s="96" t="s">
        <v>223</v>
      </c>
      <c r="B8" s="96"/>
      <c r="C8" s="97" t="n">
        <v>1</v>
      </c>
      <c r="D8" s="97" t="n">
        <v>2</v>
      </c>
      <c r="E8" s="97" t="n">
        <v>3</v>
      </c>
      <c r="F8" s="97" t="n">
        <v>4</v>
      </c>
      <c r="G8" s="97" t="n">
        <v>5</v>
      </c>
      <c r="H8" s="97" t="n">
        <v>6</v>
      </c>
      <c r="I8" s="97" t="n">
        <v>7</v>
      </c>
      <c r="J8" s="97" t="n">
        <v>8</v>
      </c>
      <c r="K8" s="97" t="n">
        <v>9</v>
      </c>
      <c r="L8" s="97" t="n">
        <v>10</v>
      </c>
      <c r="M8" s="97" t="n">
        <v>11</v>
      </c>
      <c r="N8" s="98" t="n">
        <v>12</v>
      </c>
      <c r="O8" s="42"/>
      <c r="P8" s="42"/>
      <c r="Q8" s="42"/>
      <c r="R8" s="42"/>
      <c r="S8" s="42"/>
      <c r="T8" s="42"/>
      <c r="U8" s="42"/>
      <c r="V8" s="42"/>
      <c r="W8" s="99"/>
      <c r="AA8" s="73" t="s">
        <v>224</v>
      </c>
      <c r="AB8" s="73" t="s">
        <v>225</v>
      </c>
      <c r="AC8" s="73" t="s">
        <v>221</v>
      </c>
      <c r="AD8" s="74" t="s">
        <v>222</v>
      </c>
      <c r="AE8" s="100"/>
      <c r="AF8" s="100"/>
      <c r="AG8" s="100"/>
      <c r="AH8" s="85"/>
      <c r="AI8" s="83"/>
    </row>
    <row r="9" customFormat="false" ht="21.75" hidden="false" customHeight="false" outlineLevel="0" collapsed="false">
      <c r="A9" s="97" t="s">
        <v>166</v>
      </c>
      <c r="B9" s="97" t="s">
        <v>226</v>
      </c>
      <c r="C9" s="95" t="s">
        <v>227</v>
      </c>
      <c r="D9" s="95" t="s">
        <v>228</v>
      </c>
      <c r="E9" s="95" t="s">
        <v>228</v>
      </c>
      <c r="F9" s="95" t="s">
        <v>228</v>
      </c>
      <c r="G9" s="95" t="s">
        <v>228</v>
      </c>
      <c r="H9" s="95" t="s">
        <v>228</v>
      </c>
      <c r="I9" s="95" t="s">
        <v>228</v>
      </c>
      <c r="J9" s="95" t="s">
        <v>228</v>
      </c>
      <c r="K9" s="95" t="s">
        <v>228</v>
      </c>
      <c r="L9" s="95" t="s">
        <v>228</v>
      </c>
      <c r="M9" s="95" t="s">
        <v>228</v>
      </c>
      <c r="N9" s="95" t="s">
        <v>228</v>
      </c>
      <c r="P9" s="99"/>
      <c r="Q9" s="99"/>
      <c r="R9" s="70" t="s">
        <v>229</v>
      </c>
      <c r="S9" s="71"/>
      <c r="T9" s="72"/>
      <c r="U9" s="99"/>
      <c r="V9" s="99"/>
      <c r="AA9" s="73" t="s">
        <v>230</v>
      </c>
      <c r="AB9" s="73" t="s">
        <v>231</v>
      </c>
      <c r="AC9" s="73" t="s">
        <v>203</v>
      </c>
      <c r="AD9" s="74"/>
      <c r="AE9" s="84"/>
      <c r="AF9" s="84"/>
      <c r="AG9" s="84"/>
      <c r="AH9" s="85"/>
      <c r="AI9" s="84"/>
    </row>
    <row r="10" customFormat="false" ht="21.75" hidden="false" customHeight="false" outlineLevel="0" collapsed="false">
      <c r="A10" s="97" t="s">
        <v>167</v>
      </c>
      <c r="B10" s="101" t="n">
        <v>5</v>
      </c>
      <c r="C10" s="102" t="n">
        <f aca="false">'Flow 1 Output'!B6</f>
        <v>0</v>
      </c>
      <c r="D10" s="102" t="n">
        <f aca="false">'Flow 1 Output'!C6</f>
        <v>0</v>
      </c>
      <c r="E10" s="102" t="n">
        <f aca="false">'Flow 1 Output'!D6</f>
        <v>0</v>
      </c>
      <c r="F10" s="102" t="n">
        <f aca="false">'Flow 1 Output'!E6</f>
        <v>0</v>
      </c>
      <c r="G10" s="102" t="n">
        <f aca="false">'Flow 1 Output'!F6</f>
        <v>0</v>
      </c>
      <c r="H10" s="102" t="n">
        <f aca="false">'Flow 1 Output'!G6</f>
        <v>0</v>
      </c>
      <c r="I10" s="102" t="n">
        <f aca="false">'Flow 1 Output'!H6</f>
        <v>0</v>
      </c>
      <c r="J10" s="102" t="n">
        <f aca="false">'Flow 1 Output'!I6</f>
        <v>0</v>
      </c>
      <c r="K10" s="102" t="n">
        <f aca="false">'Flow 1 Output'!J6</f>
        <v>0</v>
      </c>
      <c r="L10" s="102" t="n">
        <f aca="false">'Flow 1 Output'!K6</f>
        <v>0</v>
      </c>
      <c r="M10" s="102" t="n">
        <f aca="false">'Flow 1 Output'!L6</f>
        <v>0</v>
      </c>
      <c r="N10" s="102" t="n">
        <f aca="false">'Flow 1 Output'!M6</f>
        <v>0</v>
      </c>
      <c r="R10" s="80" t="s">
        <v>205</v>
      </c>
      <c r="S10" s="81" t="s">
        <v>232</v>
      </c>
      <c r="T10" s="82" t="n">
        <v>6</v>
      </c>
      <c r="AA10" s="73" t="s">
        <v>233</v>
      </c>
      <c r="AB10" s="73" t="s">
        <v>234</v>
      </c>
      <c r="AC10" s="73" t="s">
        <v>203</v>
      </c>
      <c r="AD10" s="74"/>
      <c r="AE10" s="103"/>
      <c r="AF10" s="103"/>
      <c r="AG10" s="103"/>
      <c r="AH10" s="85"/>
      <c r="AI10" s="104"/>
    </row>
    <row r="11" customFormat="false" ht="21.75" hidden="false" customHeight="false" outlineLevel="0" collapsed="false">
      <c r="A11" s="97" t="s">
        <v>168</v>
      </c>
      <c r="B11" s="101" t="n">
        <v>25</v>
      </c>
      <c r="C11" s="102" t="n">
        <f aca="false">'Flow 1 Output'!B7</f>
        <v>0</v>
      </c>
      <c r="D11" s="102" t="n">
        <f aca="false">'Flow 1 Output'!C7</f>
        <v>0</v>
      </c>
      <c r="E11" s="102" t="n">
        <f aca="false">'Flow 1 Output'!D7</f>
        <v>0</v>
      </c>
      <c r="F11" s="102" t="n">
        <f aca="false">'Flow 1 Output'!E7</f>
        <v>0</v>
      </c>
      <c r="G11" s="102" t="n">
        <f aca="false">'Flow 1 Output'!F7</f>
        <v>0</v>
      </c>
      <c r="H11" s="102" t="n">
        <f aca="false">'Flow 1 Output'!G7</f>
        <v>0</v>
      </c>
      <c r="I11" s="102" t="n">
        <f aca="false">'Flow 1 Output'!H7</f>
        <v>0</v>
      </c>
      <c r="J11" s="102" t="n">
        <f aca="false">'Flow 1 Output'!I7</f>
        <v>0</v>
      </c>
      <c r="K11" s="102" t="n">
        <f aca="false">'Flow 1 Output'!J7</f>
        <v>0</v>
      </c>
      <c r="L11" s="102" t="n">
        <f aca="false">'Flow 1 Output'!K7</f>
        <v>0</v>
      </c>
      <c r="M11" s="102" t="n">
        <f aca="false">'Flow 1 Output'!L7</f>
        <v>0</v>
      </c>
      <c r="N11" s="102" t="n">
        <f aca="false">'Flow 1 Output'!M7</f>
        <v>0</v>
      </c>
      <c r="R11" s="80" t="s">
        <v>210</v>
      </c>
      <c r="S11" s="81" t="s">
        <v>235</v>
      </c>
      <c r="T11" s="82" t="n">
        <v>0</v>
      </c>
      <c r="AA11" s="73" t="s">
        <v>236</v>
      </c>
      <c r="AB11" s="73"/>
      <c r="AC11" s="73" t="s">
        <v>203</v>
      </c>
      <c r="AD11" s="74"/>
      <c r="AE11" s="84"/>
      <c r="AF11" s="84"/>
      <c r="AG11" s="84"/>
      <c r="AH11" s="85"/>
      <c r="AI11" s="84"/>
    </row>
    <row r="12" customFormat="false" ht="21.75" hidden="false" customHeight="false" outlineLevel="0" collapsed="false">
      <c r="A12" s="97" t="s">
        <v>169</v>
      </c>
      <c r="B12" s="101" t="n">
        <v>125</v>
      </c>
      <c r="C12" s="102" t="n">
        <f aca="false">'Flow 1 Output'!B8</f>
        <v>0</v>
      </c>
      <c r="D12" s="102" t="n">
        <f aca="false">'Flow 1 Output'!C8</f>
        <v>0</v>
      </c>
      <c r="E12" s="102" t="n">
        <f aca="false">'Flow 1 Output'!D8</f>
        <v>0</v>
      </c>
      <c r="F12" s="102" t="n">
        <f aca="false">'Flow 1 Output'!E8</f>
        <v>0</v>
      </c>
      <c r="G12" s="102" t="n">
        <f aca="false">'Flow 1 Output'!F8</f>
        <v>0</v>
      </c>
      <c r="H12" s="102" t="n">
        <f aca="false">'Flow 1 Output'!G8</f>
        <v>0</v>
      </c>
      <c r="I12" s="102" t="n">
        <f aca="false">'Flow 1 Output'!H8</f>
        <v>0</v>
      </c>
      <c r="J12" s="102" t="n">
        <f aca="false">'Flow 1 Output'!I8</f>
        <v>0</v>
      </c>
      <c r="K12" s="102" t="n">
        <f aca="false">'Flow 1 Output'!J8</f>
        <v>0</v>
      </c>
      <c r="L12" s="102" t="n">
        <f aca="false">'Flow 1 Output'!K8</f>
        <v>0</v>
      </c>
      <c r="M12" s="102" t="n">
        <f aca="false">'Flow 1 Output'!L8</f>
        <v>0</v>
      </c>
      <c r="N12" s="102" t="n">
        <f aca="false">'Flow 1 Output'!M8</f>
        <v>0</v>
      </c>
      <c r="R12" s="80" t="s">
        <v>214</v>
      </c>
      <c r="S12" s="105" t="s">
        <v>215</v>
      </c>
      <c r="T12" s="82" t="n">
        <v>0.25</v>
      </c>
      <c r="AA12" s="106"/>
      <c r="AB12" s="106"/>
      <c r="AC12" s="106"/>
      <c r="AD12" s="107"/>
    </row>
    <row r="13" customFormat="false" ht="15.75" hidden="false" customHeight="false" outlineLevel="0" collapsed="false">
      <c r="A13" s="97" t="s">
        <v>170</v>
      </c>
      <c r="B13" s="101" t="n">
        <v>625</v>
      </c>
      <c r="C13" s="102" t="n">
        <f aca="false">'Flow 1 Output'!B9</f>
        <v>0</v>
      </c>
      <c r="D13" s="102" t="n">
        <f aca="false">'Flow 1 Output'!C9</f>
        <v>0</v>
      </c>
      <c r="E13" s="102" t="n">
        <f aca="false">'Flow 1 Output'!D9</f>
        <v>0</v>
      </c>
      <c r="F13" s="102" t="n">
        <f aca="false">'Flow 1 Output'!E9</f>
        <v>0</v>
      </c>
      <c r="G13" s="102" t="n">
        <f aca="false">'Flow 1 Output'!F9</f>
        <v>0</v>
      </c>
      <c r="H13" s="102" t="n">
        <f aca="false">'Flow 1 Output'!G9</f>
        <v>0</v>
      </c>
      <c r="I13" s="102" t="n">
        <f aca="false">'Flow 1 Output'!H9</f>
        <v>0</v>
      </c>
      <c r="J13" s="102" t="n">
        <f aca="false">'Flow 1 Output'!I9</f>
        <v>0</v>
      </c>
      <c r="K13" s="102" t="n">
        <f aca="false">'Flow 1 Output'!J9</f>
        <v>0</v>
      </c>
      <c r="L13" s="102" t="n">
        <f aca="false">'Flow 1 Output'!K9</f>
        <v>0</v>
      </c>
      <c r="M13" s="102" t="n">
        <f aca="false">'Flow 1 Output'!L9</f>
        <v>0</v>
      </c>
      <c r="N13" s="102" t="n">
        <f aca="false">'Flow 1 Output'!M9</f>
        <v>0</v>
      </c>
      <c r="R13" s="108" t="s">
        <v>237</v>
      </c>
      <c r="S13" s="109"/>
      <c r="T13" s="109"/>
      <c r="U13" s="109"/>
      <c r="V13" s="110"/>
    </row>
    <row r="14" customFormat="false" ht="16.5" hidden="false" customHeight="false" outlineLevel="0" collapsed="false">
      <c r="A14" s="97" t="s">
        <v>171</v>
      </c>
      <c r="B14" s="101" t="n">
        <v>3125</v>
      </c>
      <c r="C14" s="102" t="n">
        <f aca="false">'Flow 1 Output'!B10</f>
        <v>0</v>
      </c>
      <c r="D14" s="102" t="n">
        <f aca="false">'Flow 1 Output'!C10</f>
        <v>0</v>
      </c>
      <c r="E14" s="102" t="n">
        <f aca="false">'Flow 1 Output'!D10</f>
        <v>0</v>
      </c>
      <c r="F14" s="102" t="n">
        <f aca="false">'Flow 1 Output'!E10</f>
        <v>0</v>
      </c>
      <c r="G14" s="102" t="n">
        <f aca="false">'Flow 1 Output'!F10</f>
        <v>0</v>
      </c>
      <c r="H14" s="102" t="n">
        <f aca="false">'Flow 1 Output'!G10</f>
        <v>0</v>
      </c>
      <c r="I14" s="102" t="n">
        <f aca="false">'Flow 1 Output'!H10</f>
        <v>0</v>
      </c>
      <c r="J14" s="102" t="n">
        <f aca="false">'Flow 1 Output'!I10</f>
        <v>0</v>
      </c>
      <c r="K14" s="102" t="n">
        <f aca="false">'Flow 1 Output'!J10</f>
        <v>0</v>
      </c>
      <c r="L14" s="102" t="n">
        <f aca="false">'Flow 1 Output'!K10</f>
        <v>0</v>
      </c>
      <c r="M14" s="102" t="n">
        <f aca="false">'Flow 1 Output'!L10</f>
        <v>0</v>
      </c>
      <c r="N14" s="102" t="n">
        <f aca="false">'Flow 1 Output'!M10</f>
        <v>0</v>
      </c>
      <c r="R14" s="111" t="s">
        <v>238</v>
      </c>
      <c r="S14" s="112"/>
      <c r="T14" s="112"/>
      <c r="U14" s="112"/>
      <c r="V14" s="113"/>
    </row>
    <row r="15" customFormat="false" ht="15.75" hidden="false" customHeight="false" outlineLevel="0" collapsed="false">
      <c r="A15" s="97" t="s">
        <v>172</v>
      </c>
      <c r="B15" s="101" t="n">
        <v>15625</v>
      </c>
      <c r="C15" s="102" t="n">
        <f aca="false">'Flow 1 Output'!B11</f>
        <v>0</v>
      </c>
      <c r="D15" s="102" t="n">
        <f aca="false">'Flow 1 Output'!C11</f>
        <v>0</v>
      </c>
      <c r="E15" s="102" t="n">
        <f aca="false">'Flow 1 Output'!D11</f>
        <v>0</v>
      </c>
      <c r="F15" s="102" t="n">
        <f aca="false">'Flow 1 Output'!E11</f>
        <v>0</v>
      </c>
      <c r="G15" s="102" t="n">
        <f aca="false">'Flow 1 Output'!F11</f>
        <v>0</v>
      </c>
      <c r="H15" s="102" t="n">
        <f aca="false">'Flow 1 Output'!G11</f>
        <v>0</v>
      </c>
      <c r="I15" s="102" t="n">
        <f aca="false">'Flow 1 Output'!H11</f>
        <v>0</v>
      </c>
      <c r="J15" s="102" t="n">
        <f aca="false">'Flow 1 Output'!I11</f>
        <v>0</v>
      </c>
      <c r="K15" s="102" t="n">
        <f aca="false">'Flow 1 Output'!J11</f>
        <v>0</v>
      </c>
      <c r="L15" s="102" t="n">
        <f aca="false">'Flow 1 Output'!K11</f>
        <v>0</v>
      </c>
      <c r="M15" s="102" t="n">
        <f aca="false">'Flow 1 Output'!L11</f>
        <v>0</v>
      </c>
      <c r="N15" s="102" t="n">
        <f aca="false">'Flow 1 Output'!M11</f>
        <v>0</v>
      </c>
    </row>
    <row r="16" customFormat="false" ht="15.75" hidden="false" customHeight="false" outlineLevel="0" collapsed="false">
      <c r="A16" s="97" t="s">
        <v>173</v>
      </c>
      <c r="B16" s="101" t="n">
        <v>78125</v>
      </c>
      <c r="C16" s="102" t="n">
        <f aca="false">'Flow 1 Output'!B12</f>
        <v>0</v>
      </c>
      <c r="D16" s="102" t="n">
        <f aca="false">'Flow 1 Output'!C12</f>
        <v>0</v>
      </c>
      <c r="E16" s="102" t="n">
        <f aca="false">'Flow 1 Output'!D12</f>
        <v>0</v>
      </c>
      <c r="F16" s="102" t="n">
        <f aca="false">'Flow 1 Output'!E12</f>
        <v>0</v>
      </c>
      <c r="G16" s="102" t="n">
        <f aca="false">'Flow 1 Output'!F12</f>
        <v>0</v>
      </c>
      <c r="H16" s="102" t="n">
        <f aca="false">'Flow 1 Output'!G12</f>
        <v>0</v>
      </c>
      <c r="I16" s="102" t="n">
        <f aca="false">'Flow 1 Output'!H12</f>
        <v>0</v>
      </c>
      <c r="J16" s="102" t="n">
        <f aca="false">'Flow 1 Output'!I12</f>
        <v>0</v>
      </c>
      <c r="K16" s="102" t="n">
        <f aca="false">'Flow 1 Output'!J12</f>
        <v>0</v>
      </c>
      <c r="L16" s="102" t="n">
        <f aca="false">'Flow 1 Output'!K12</f>
        <v>0</v>
      </c>
      <c r="M16" s="102" t="n">
        <f aca="false">'Flow 1 Output'!L12</f>
        <v>0</v>
      </c>
      <c r="N16" s="102" t="n">
        <f aca="false">'Flow 1 Output'!M12</f>
        <v>0</v>
      </c>
    </row>
    <row r="18" customFormat="false" ht="15.75" hidden="false" customHeight="false" outlineLevel="0" collapsed="false">
      <c r="E18" s="114"/>
      <c r="F18" s="114"/>
      <c r="H18" s="115"/>
      <c r="J18" s="58"/>
    </row>
    <row r="19" customFormat="false" ht="15.75" hidden="false" customHeight="false" outlineLevel="0" collapsed="false">
      <c r="A19" s="42" t="s">
        <v>239</v>
      </c>
      <c r="B19" s="42"/>
      <c r="C19" s="97" t="n">
        <f aca="false">C8</f>
        <v>1</v>
      </c>
      <c r="D19" s="97" t="n">
        <f aca="false">D8</f>
        <v>2</v>
      </c>
      <c r="E19" s="97" t="n">
        <f aca="false">E8</f>
        <v>3</v>
      </c>
      <c r="F19" s="97" t="n">
        <f aca="false">F8</f>
        <v>4</v>
      </c>
      <c r="G19" s="97" t="n">
        <f aca="false">G8</f>
        <v>5</v>
      </c>
      <c r="H19" s="97" t="n">
        <f aca="false">H8</f>
        <v>6</v>
      </c>
      <c r="I19" s="97" t="n">
        <f aca="false">I8</f>
        <v>7</v>
      </c>
      <c r="J19" s="97" t="n">
        <f aca="false">J8</f>
        <v>8</v>
      </c>
      <c r="K19" s="97" t="n">
        <f aca="false">K8</f>
        <v>9</v>
      </c>
      <c r="L19" s="98" t="n">
        <f aca="false">L8</f>
        <v>10</v>
      </c>
      <c r="M19" s="98" t="n">
        <f aca="false">M8</f>
        <v>11</v>
      </c>
      <c r="N19" s="98" t="n">
        <f aca="false">N8</f>
        <v>12</v>
      </c>
      <c r="O19" s="42"/>
      <c r="P19" s="42"/>
      <c r="W19" s="99"/>
    </row>
    <row r="20" customFormat="false" ht="15.75" hidden="false" customHeight="false" outlineLevel="0" collapsed="false">
      <c r="A20" s="116" t="s">
        <v>166</v>
      </c>
      <c r="B20" s="97" t="s">
        <v>226</v>
      </c>
      <c r="C20" s="117" t="str">
        <f aca="false">C9</f>
        <v>pALD-eGFP</v>
      </c>
      <c r="D20" s="117" t="str">
        <f aca="false">D9</f>
        <v>pCTX</v>
      </c>
      <c r="E20" s="118" t="str">
        <f aca="false">E9</f>
        <v>pCTX</v>
      </c>
      <c r="F20" s="118" t="str">
        <f aca="false">F9</f>
        <v>pCTX</v>
      </c>
      <c r="G20" s="118" t="str">
        <f aca="false">G9</f>
        <v>pCTX</v>
      </c>
      <c r="H20" s="118" t="str">
        <f aca="false">H9</f>
        <v>pCTX</v>
      </c>
      <c r="I20" s="118" t="str">
        <f aca="false">I9</f>
        <v>pCTX</v>
      </c>
      <c r="J20" s="118" t="str">
        <f aca="false">J9</f>
        <v>pCTX</v>
      </c>
      <c r="K20" s="118" t="str">
        <f aca="false">K9</f>
        <v>pCTX</v>
      </c>
      <c r="L20" s="118" t="str">
        <f aca="false">L9</f>
        <v>pCTX</v>
      </c>
      <c r="M20" s="118" t="str">
        <f aca="false">M9</f>
        <v>pCTX</v>
      </c>
      <c r="N20" s="119" t="str">
        <f aca="false">N9</f>
        <v>pCTX</v>
      </c>
      <c r="O20" s="99"/>
      <c r="P20" s="99"/>
      <c r="Q20" s="99"/>
      <c r="R20" s="99"/>
      <c r="S20" s="99"/>
      <c r="T20" s="99"/>
      <c r="U20" s="99"/>
      <c r="V20" s="99"/>
      <c r="W20" s="120"/>
    </row>
    <row r="21" customFormat="false" ht="15.75" hidden="false" customHeight="false" outlineLevel="0" collapsed="false">
      <c r="A21" s="97" t="s">
        <v>167</v>
      </c>
      <c r="B21" s="97" t="n">
        <f aca="false">B10</f>
        <v>5</v>
      </c>
      <c r="C21" s="121" t="n">
        <f aca="false">(C10/100)*10000*B10*10</f>
        <v>0</v>
      </c>
      <c r="D21" s="121" t="n">
        <f aca="false">(D10/100)*10000*B21*10</f>
        <v>0</v>
      </c>
      <c r="E21" s="121" t="n">
        <f aca="false">(E10/100)*10000*B10*10</f>
        <v>0</v>
      </c>
      <c r="F21" s="121" t="n">
        <f aca="false">(F10/100)*10000*B10*10</f>
        <v>0</v>
      </c>
      <c r="G21" s="121" t="n">
        <f aca="false">(G10/100)*10000*B10*10</f>
        <v>0</v>
      </c>
      <c r="H21" s="121" t="n">
        <f aca="false">(H10/100)*10000*B10*10</f>
        <v>0</v>
      </c>
      <c r="I21" s="121" t="n">
        <f aca="false">(I10/100)*10000*B10*10</f>
        <v>0</v>
      </c>
      <c r="J21" s="121" t="n">
        <f aca="false">(J10/100)*10000*B10*10</f>
        <v>0</v>
      </c>
      <c r="K21" s="121" t="n">
        <f aca="false">(K10/100)*10000*B10*10</f>
        <v>0</v>
      </c>
      <c r="L21" s="121" t="n">
        <f aca="false">(L10/100)*10000*B10*10</f>
        <v>0</v>
      </c>
      <c r="M21" s="121" t="n">
        <f aca="false">(M10/100)*10000*B10*10</f>
        <v>0</v>
      </c>
      <c r="N21" s="121" t="n">
        <f aca="false">(N10/100)*10000*B10*10</f>
        <v>0</v>
      </c>
      <c r="O21" s="120"/>
      <c r="R21" s="120"/>
      <c r="S21" s="120"/>
      <c r="T21" s="120"/>
      <c r="U21" s="120"/>
      <c r="V21" s="120"/>
      <c r="W21" s="120"/>
    </row>
    <row r="22" customFormat="false" ht="15.75" hidden="false" customHeight="false" outlineLevel="0" collapsed="false">
      <c r="A22" s="97" t="s">
        <v>168</v>
      </c>
      <c r="B22" s="97" t="n">
        <f aca="false">B11</f>
        <v>25</v>
      </c>
      <c r="C22" s="121" t="n">
        <f aca="false">(C11/100)*10000*B11*10</f>
        <v>0</v>
      </c>
      <c r="D22" s="121" t="n">
        <f aca="false">(D11/100)*10000*B22*10</f>
        <v>0</v>
      </c>
      <c r="E22" s="121" t="n">
        <f aca="false">(E11/100)*10000*B11*10</f>
        <v>0</v>
      </c>
      <c r="F22" s="121" t="n">
        <f aca="false">(F11/100)*10000*B11*10</f>
        <v>0</v>
      </c>
      <c r="G22" s="121" t="n">
        <f aca="false">(G11/100)*10000*B11*10</f>
        <v>0</v>
      </c>
      <c r="H22" s="121" t="n">
        <f aca="false">(H11/100)*10000*B11*10</f>
        <v>0</v>
      </c>
      <c r="I22" s="121" t="n">
        <f aca="false">(I11/100)*10000*B11*10</f>
        <v>0</v>
      </c>
      <c r="J22" s="121" t="n">
        <f aca="false">(J11/100)*10000*B11*10</f>
        <v>0</v>
      </c>
      <c r="K22" s="121" t="n">
        <f aca="false">(K11/100)*10000*B11*10</f>
        <v>0</v>
      </c>
      <c r="L22" s="121" t="n">
        <f aca="false">(L11/100)*10000*B11*10</f>
        <v>0</v>
      </c>
      <c r="M22" s="121" t="n">
        <f aca="false">(M11/100)*10000*B11*10</f>
        <v>0</v>
      </c>
      <c r="N22" s="121" t="n">
        <f aca="false">(N11/100)*10000*B11*10</f>
        <v>0</v>
      </c>
      <c r="O22" s="120"/>
      <c r="R22" s="120"/>
      <c r="S22" s="120"/>
      <c r="T22" s="120"/>
      <c r="U22" s="120"/>
      <c r="V22" s="120"/>
      <c r="W22" s="120"/>
    </row>
    <row r="23" customFormat="false" ht="15.75" hidden="false" customHeight="false" outlineLevel="0" collapsed="false">
      <c r="A23" s="97" t="s">
        <v>169</v>
      </c>
      <c r="B23" s="97" t="n">
        <f aca="false">B12</f>
        <v>125</v>
      </c>
      <c r="C23" s="121" t="n">
        <f aca="false">(C12/100)*10000*B12*10</f>
        <v>0</v>
      </c>
      <c r="D23" s="121" t="n">
        <f aca="false">(D12/100)*10000*B23*10</f>
        <v>0</v>
      </c>
      <c r="E23" s="121" t="n">
        <f aca="false">(E12/100)*10000*B12*10</f>
        <v>0</v>
      </c>
      <c r="F23" s="121" t="n">
        <f aca="false">(F12/100)*10000*B12*10</f>
        <v>0</v>
      </c>
      <c r="G23" s="121" t="n">
        <f aca="false">(G12/100)*10000*B12*10</f>
        <v>0</v>
      </c>
      <c r="H23" s="121" t="n">
        <f aca="false">(H12/100)*10000*B12*10</f>
        <v>0</v>
      </c>
      <c r="I23" s="121" t="n">
        <f aca="false">(I12/100)*10000*B12*10</f>
        <v>0</v>
      </c>
      <c r="J23" s="121" t="n">
        <f aca="false">(J12/100)*10000*B12*10</f>
        <v>0</v>
      </c>
      <c r="K23" s="121" t="n">
        <f aca="false">(K12/100)*10000*B12*10</f>
        <v>0</v>
      </c>
      <c r="L23" s="121" t="n">
        <f aca="false">(L12/100)*10000*B12*10</f>
        <v>0</v>
      </c>
      <c r="M23" s="121" t="n">
        <f aca="false">(M12/100)*10000*B12*10</f>
        <v>0</v>
      </c>
      <c r="N23" s="121" t="n">
        <f aca="false">(N12/100)*10000*B12*10</f>
        <v>0</v>
      </c>
      <c r="O23" s="120"/>
      <c r="R23" s="120"/>
      <c r="S23" s="120"/>
      <c r="T23" s="120"/>
      <c r="U23" s="120"/>
      <c r="V23" s="120"/>
      <c r="W23" s="120"/>
    </row>
    <row r="24" customFormat="false" ht="15.75" hidden="false" customHeight="false" outlineLevel="0" collapsed="false">
      <c r="A24" s="97" t="s">
        <v>170</v>
      </c>
      <c r="B24" s="97" t="n">
        <f aca="false">B13</f>
        <v>625</v>
      </c>
      <c r="C24" s="121" t="n">
        <f aca="false">(C13/100)*10000*B13*10</f>
        <v>0</v>
      </c>
      <c r="D24" s="121" t="n">
        <f aca="false">(D13/100)*10000*B24*10</f>
        <v>0</v>
      </c>
      <c r="E24" s="121" t="n">
        <f aca="false">(E13/100)*10000*B13*10</f>
        <v>0</v>
      </c>
      <c r="F24" s="121" t="n">
        <f aca="false">(F13/100)*10000*B13*10</f>
        <v>0</v>
      </c>
      <c r="G24" s="121" t="n">
        <f aca="false">(G13/100)*10000*B13*10</f>
        <v>0</v>
      </c>
      <c r="H24" s="121" t="n">
        <f aca="false">(H13/100)*10000*B13*10</f>
        <v>0</v>
      </c>
      <c r="I24" s="121" t="n">
        <f aca="false">(I13/100)*10000*B13*10</f>
        <v>0</v>
      </c>
      <c r="J24" s="121" t="n">
        <f aca="false">(J13/100)*10000*B13*10</f>
        <v>0</v>
      </c>
      <c r="K24" s="121" t="n">
        <f aca="false">(K13/100)*10000*B13*10</f>
        <v>0</v>
      </c>
      <c r="L24" s="121" t="n">
        <f aca="false">(L13/100)*10000*B13*10</f>
        <v>0</v>
      </c>
      <c r="M24" s="121" t="n">
        <f aca="false">(M13/100)*10000*B13*10</f>
        <v>0</v>
      </c>
      <c r="N24" s="121" t="n">
        <f aca="false">(N13/100)*10000*B13*10</f>
        <v>0</v>
      </c>
      <c r="O24" s="120"/>
      <c r="R24" s="120"/>
      <c r="S24" s="120"/>
      <c r="T24" s="120"/>
      <c r="U24" s="120"/>
      <c r="V24" s="120"/>
      <c r="W24" s="120"/>
    </row>
    <row r="25" customFormat="false" ht="15.75" hidden="false" customHeight="false" outlineLevel="0" collapsed="false">
      <c r="A25" s="97" t="s">
        <v>171</v>
      </c>
      <c r="B25" s="97" t="n">
        <f aca="false">B14</f>
        <v>3125</v>
      </c>
      <c r="C25" s="121" t="n">
        <f aca="false">(C14/100)*10000*B14*10</f>
        <v>0</v>
      </c>
      <c r="D25" s="121" t="n">
        <f aca="false">(D14/100)*10000*B25*10</f>
        <v>0</v>
      </c>
      <c r="E25" s="121" t="n">
        <f aca="false">(E14/100)*10000*B14*10</f>
        <v>0</v>
      </c>
      <c r="F25" s="121" t="n">
        <f aca="false">(F14/100)*10000*B14*10</f>
        <v>0</v>
      </c>
      <c r="G25" s="121" t="n">
        <f aca="false">(G14/100)*10000*B14*10</f>
        <v>0</v>
      </c>
      <c r="H25" s="121" t="n">
        <f aca="false">(H14/100)*10000*B14*10</f>
        <v>0</v>
      </c>
      <c r="I25" s="121" t="n">
        <f aca="false">(I14/100)*10000*B14*10</f>
        <v>0</v>
      </c>
      <c r="J25" s="121" t="n">
        <f aca="false">(J14/100)*10000*B14*10</f>
        <v>0</v>
      </c>
      <c r="K25" s="121" t="n">
        <f aca="false">(K14/100)*10000*B14*10</f>
        <v>0</v>
      </c>
      <c r="L25" s="121" t="n">
        <f aca="false">(L14/100)*10000*B14*10</f>
        <v>0</v>
      </c>
      <c r="M25" s="121" t="n">
        <f aca="false">(M14/100)*10000*B14*10</f>
        <v>0</v>
      </c>
      <c r="N25" s="121" t="n">
        <f aca="false">(N14/100)*10000*B14*10</f>
        <v>0</v>
      </c>
      <c r="O25" s="120"/>
      <c r="R25" s="120"/>
      <c r="T25" s="120"/>
      <c r="U25" s="120"/>
      <c r="V25" s="120"/>
      <c r="W25" s="120"/>
    </row>
    <row r="26" customFormat="false" ht="15.75" hidden="false" customHeight="false" outlineLevel="0" collapsed="false">
      <c r="A26" s="97" t="s">
        <v>172</v>
      </c>
      <c r="B26" s="97" t="n">
        <f aca="false">B15</f>
        <v>15625</v>
      </c>
      <c r="C26" s="121" t="n">
        <f aca="false">(C15/100)*10000*B15*10</f>
        <v>0</v>
      </c>
      <c r="D26" s="121" t="n">
        <f aca="false">(D15/100)*10000*B26*10</f>
        <v>0</v>
      </c>
      <c r="E26" s="121" t="n">
        <f aca="false">(E15/100)*10000*B15*10</f>
        <v>0</v>
      </c>
      <c r="F26" s="121" t="n">
        <f aca="false">(F15/100)*10000*B15*10</f>
        <v>0</v>
      </c>
      <c r="G26" s="121" t="n">
        <f aca="false">(G15/100)*10000*B15*10</f>
        <v>0</v>
      </c>
      <c r="H26" s="121" t="n">
        <f aca="false">(H15/100)*10000*B15*10</f>
        <v>0</v>
      </c>
      <c r="I26" s="121" t="n">
        <f aca="false">(I15/100)*10000*B15*10</f>
        <v>0</v>
      </c>
      <c r="J26" s="121" t="n">
        <f aca="false">(J15/100)*10000*B15*10</f>
        <v>0</v>
      </c>
      <c r="K26" s="121" t="n">
        <f aca="false">(K15/100)*10000*B15*10</f>
        <v>0</v>
      </c>
      <c r="L26" s="121" t="n">
        <f aca="false">(L15/100)*10000*B15*10</f>
        <v>0</v>
      </c>
      <c r="M26" s="121" t="n">
        <f aca="false">(M15/100)*10000*B15*10</f>
        <v>0</v>
      </c>
      <c r="N26" s="121" t="n">
        <f aca="false">(N15/100)*10000*B15*10</f>
        <v>0</v>
      </c>
      <c r="O26" s="120"/>
      <c r="R26" s="120"/>
      <c r="T26" s="120"/>
      <c r="U26" s="120"/>
      <c r="W26" s="120"/>
    </row>
    <row r="27" customFormat="false" ht="15.75" hidden="false" customHeight="false" outlineLevel="0" collapsed="false">
      <c r="A27" s="97" t="s">
        <v>173</v>
      </c>
      <c r="B27" s="97" t="n">
        <f aca="false">B16</f>
        <v>78125</v>
      </c>
      <c r="C27" s="121" t="n">
        <f aca="false">(C16/100)*10000*B16*10</f>
        <v>0</v>
      </c>
      <c r="D27" s="121" t="n">
        <f aca="false">(D16/100)*10000*B27*10</f>
        <v>0</v>
      </c>
      <c r="E27" s="121" t="n">
        <f aca="false">(E16/100)*10000*B16*10</f>
        <v>0</v>
      </c>
      <c r="F27" s="121" t="n">
        <f aca="false">(F16/100)*10000*B16*10</f>
        <v>0</v>
      </c>
      <c r="G27" s="121" t="n">
        <f aca="false">(G16/100)*10000*B16*10</f>
        <v>0</v>
      </c>
      <c r="H27" s="121" t="n">
        <f aca="false">(H16/100)*10000*B16*10</f>
        <v>0</v>
      </c>
      <c r="I27" s="121" t="n">
        <f aca="false">(I16/100)*10000*B16*10</f>
        <v>0</v>
      </c>
      <c r="J27" s="121" t="n">
        <f aca="false">(J16/100)*10000*B16*10</f>
        <v>0</v>
      </c>
      <c r="K27" s="121" t="n">
        <f aca="false">(K16/100)*10000*B16*10</f>
        <v>0</v>
      </c>
      <c r="L27" s="121" t="n">
        <f aca="false">(L16/100)*10000*B16*10</f>
        <v>0</v>
      </c>
      <c r="M27" s="121" t="n">
        <f aca="false">(M16/100)*10000*B16*10</f>
        <v>0</v>
      </c>
      <c r="N27" s="121" t="n">
        <f aca="false">(N16/100)*10000*B16*10</f>
        <v>0</v>
      </c>
      <c r="O27" s="120"/>
      <c r="R27" s="120"/>
      <c r="T27" s="120"/>
      <c r="U27" s="120"/>
      <c r="W27" s="122"/>
    </row>
    <row r="28" customFormat="false" ht="15.75" hidden="false" customHeight="false" outlineLevel="0" collapsed="false">
      <c r="A28" s="123" t="s">
        <v>152</v>
      </c>
      <c r="B28" s="124"/>
      <c r="C28" s="125" t="n">
        <f aca="false">AVERAGE(C25:C27)</f>
        <v>0</v>
      </c>
      <c r="D28" s="125" t="n">
        <f aca="false">AVERAGE(D25:D27)</f>
        <v>0</v>
      </c>
      <c r="E28" s="125" t="n">
        <f aca="false">AVERAGE(E23:E25)</f>
        <v>0</v>
      </c>
      <c r="F28" s="125" t="n">
        <f aca="false">AVERAGE(F22:F23)</f>
        <v>0</v>
      </c>
      <c r="G28" s="125" t="n">
        <f aca="false">AVERAGE(G22:G23)</f>
        <v>0</v>
      </c>
      <c r="H28" s="125" t="n">
        <f aca="false">AVERAGE(H21:H23)</f>
        <v>0</v>
      </c>
      <c r="I28" s="125" t="n">
        <f aca="false">AVERAGE(I22:I23)</f>
        <v>0</v>
      </c>
      <c r="J28" s="125" t="n">
        <f aca="false">AVERAGE(J21:J23)</f>
        <v>0</v>
      </c>
      <c r="K28" s="125" t="n">
        <f aca="false">AVERAGE(K21, K23)</f>
        <v>0</v>
      </c>
      <c r="L28" s="125" t="n">
        <f aca="false">AVERAGE(L21:L23)</f>
        <v>0</v>
      </c>
      <c r="M28" s="125" t="n">
        <f aca="false">AVERAGE(M25:M27)</f>
        <v>0</v>
      </c>
      <c r="N28" s="125" t="n">
        <f aca="false">AVERAGE(N25:N27)</f>
        <v>0</v>
      </c>
      <c r="P28" s="42"/>
      <c r="R28" s="126"/>
      <c r="S28" s="58"/>
      <c r="T28" s="122"/>
      <c r="U28" s="122"/>
      <c r="V28" s="58"/>
      <c r="W28" s="120"/>
    </row>
    <row r="29" customFormat="false" ht="15.75" hidden="false" customHeight="false" outlineLevel="0" collapsed="false">
      <c r="A29" s="127" t="s">
        <v>240</v>
      </c>
      <c r="C29" s="128" t="n">
        <f aca="false">STDEV(C25:C27)/SQRT(COUNT(C25:C27))</f>
        <v>0</v>
      </c>
      <c r="D29" s="128" t="n">
        <f aca="false">STDEV(D25:D27)/SQRT(COUNT(D25:D27))</f>
        <v>0</v>
      </c>
      <c r="E29" s="128" t="n">
        <f aca="false">STDEV(E25:E27)/SQRT(COUNT(E25:E27))</f>
        <v>0</v>
      </c>
      <c r="F29" s="128" t="n">
        <f aca="false">STDEV(F22:F23)/SQRT(COUNT(F22:F23))</f>
        <v>0</v>
      </c>
      <c r="G29" s="128" t="n">
        <f aca="false">STDEV(G22:G23)/SQRT(COUNT(G22:G23))</f>
        <v>0</v>
      </c>
      <c r="H29" s="128" t="n">
        <f aca="false">STDEV(H21:H23)/SQRT(COUNT(H21:H23))</f>
        <v>0</v>
      </c>
      <c r="I29" s="128" t="n">
        <f aca="false">STDEV(I22:I23)/SQRT(COUNT(I22:I23))</f>
        <v>0</v>
      </c>
      <c r="J29" s="128" t="n">
        <f aca="false">STDEV(J21:J23)/SQRT(COUNT(J21:J23))</f>
        <v>0</v>
      </c>
      <c r="K29" s="128" t="n">
        <f aca="false">STDEV(K21,K23)/SQRT(COUNT(K21:K23))</f>
        <v>0</v>
      </c>
      <c r="L29" s="128" t="n">
        <f aca="false">STDEV(L21:L23)/SQRT(COUNT(L21:L23))</f>
        <v>0</v>
      </c>
      <c r="M29" s="128" t="n">
        <f aca="false">STDEV(M25:M27)/SQRT(COUNT(M25:M27))</f>
        <v>0</v>
      </c>
      <c r="N29" s="128" t="n">
        <f aca="false">STDEV(N25:N27)/SQRT(COUNT(N25:N27))</f>
        <v>0</v>
      </c>
      <c r="R29" s="120"/>
      <c r="T29" s="120"/>
      <c r="U29" s="120"/>
    </row>
    <row r="30" customFormat="false" ht="15.75" hidden="false" customHeight="false" outlineLevel="0" collapsed="false">
      <c r="A30" s="42" t="s">
        <v>241</v>
      </c>
      <c r="C30" s="129" t="e">
        <f aca="false">STDEV(C25:C27)/C28</f>
        <v>#DIV/0!</v>
      </c>
      <c r="D30" s="129" t="e">
        <f aca="false">STDEV(D25:D27)/D28</f>
        <v>#DIV/0!</v>
      </c>
      <c r="E30" s="129" t="e">
        <f aca="false">STDEV(E23:E25)/E28</f>
        <v>#DIV/0!</v>
      </c>
      <c r="F30" s="130" t="e">
        <f aca="false">STDEV(F22:F23)/F28</f>
        <v>#DIV/0!</v>
      </c>
      <c r="G30" s="129" t="e">
        <f aca="false">STDEV(G22:G23)/G28</f>
        <v>#DIV/0!</v>
      </c>
      <c r="H30" s="129" t="e">
        <f aca="false">STDEV(H21:H23)/H28</f>
        <v>#DIV/0!</v>
      </c>
      <c r="I30" s="129" t="e">
        <f aca="false">STDEV(I22:I23)/I28</f>
        <v>#DIV/0!</v>
      </c>
      <c r="J30" s="129" t="e">
        <f aca="false">STDEV(J21:J23)/J28</f>
        <v>#DIV/0!</v>
      </c>
      <c r="K30" s="129" t="e">
        <f aca="false">STDEV(K21,K23)/K28</f>
        <v>#DIV/0!</v>
      </c>
      <c r="L30" s="129" t="e">
        <f aca="false">STDEV(L25:L27)/L28</f>
        <v>#DIV/0!</v>
      </c>
      <c r="M30" s="129" t="e">
        <f aca="false">STDEV(M25:M27)/M28</f>
        <v>#DIV/0!</v>
      </c>
      <c r="N30" s="129" t="e">
        <f aca="false">STDEV(N25:N27)/N28</f>
        <v>#DIV/0!</v>
      </c>
    </row>
    <row r="31" customFormat="false" ht="15.75" hidden="false" customHeight="false" outlineLevel="0" collapsed="false">
      <c r="A31" s="42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</row>
    <row r="32" customFormat="false" ht="16.5" hidden="false" customHeight="false" outlineLevel="0" collapsed="false">
      <c r="A32" s="42" t="s">
        <v>242</v>
      </c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</row>
    <row r="33" customFormat="false" ht="15.75" hidden="false" customHeight="false" outlineLevel="0" collapsed="false">
      <c r="A33" s="132" t="str">
        <f aca="false">'Best Average Titer 1'!A28</f>
        <v>Average &lt; CV Limit</v>
      </c>
      <c r="B33" s="133"/>
      <c r="C33" s="134" t="e">
        <f aca="false">'Best Average Titer 1'!C28</f>
        <v>#NAME?</v>
      </c>
      <c r="D33" s="134" t="e">
        <f aca="false">'Best Average Titer 1'!D28</f>
        <v>#NAME?</v>
      </c>
      <c r="E33" s="134" t="e">
        <f aca="false">'Best Average Titer 1'!E28</f>
        <v>#NAME?</v>
      </c>
      <c r="F33" s="134" t="e">
        <f aca="false">'Best Average Titer 1'!F28</f>
        <v>#NAME?</v>
      </c>
      <c r="G33" s="134" t="e">
        <f aca="false">'Best Average Titer 1'!G28</f>
        <v>#NAME?</v>
      </c>
      <c r="H33" s="134" t="e">
        <f aca="false">'Best Average Titer 1'!H28</f>
        <v>#NAME?</v>
      </c>
      <c r="I33" s="134" t="e">
        <f aca="false">'Best Average Titer 1'!I28</f>
        <v>#NAME?</v>
      </c>
      <c r="J33" s="134" t="e">
        <f aca="false">'Best Average Titer 1'!J28</f>
        <v>#NAME?</v>
      </c>
      <c r="K33" s="134" t="e">
        <f aca="false">'Best Average Titer 1'!K28</f>
        <v>#NAME?</v>
      </c>
      <c r="L33" s="134" t="e">
        <f aca="false">'Best Average Titer 1'!L28</f>
        <v>#NAME?</v>
      </c>
      <c r="M33" s="134" t="e">
        <f aca="false">'Best Average Titer 1'!M28</f>
        <v>#NAME?</v>
      </c>
      <c r="N33" s="135" t="e">
        <f aca="false">'Best Average Titer 1'!N28</f>
        <v>#NAME?</v>
      </c>
    </row>
    <row r="34" customFormat="false" ht="15.75" hidden="false" customHeight="false" outlineLevel="0" collapsed="false">
      <c r="A34" s="136" t="str">
        <f aca="false">'Best Average Titer 1'!A29</f>
        <v>Averages chosen</v>
      </c>
      <c r="B34" s="137"/>
      <c r="C34" s="137" t="e">
        <f aca="false">'Best Average Titer 1'!C29</f>
        <v>#NAME?</v>
      </c>
      <c r="D34" s="137" t="e">
        <f aca="false">'Best Average Titer 1'!D29</f>
        <v>#NAME?</v>
      </c>
      <c r="E34" s="137" t="e">
        <f aca="false">'Best Average Titer 1'!E29</f>
        <v>#NAME?</v>
      </c>
      <c r="F34" s="137" t="e">
        <f aca="false">'Best Average Titer 1'!F29</f>
        <v>#NAME?</v>
      </c>
      <c r="G34" s="137" t="e">
        <f aca="false">'Best Average Titer 1'!G29</f>
        <v>#NAME?</v>
      </c>
      <c r="H34" s="137" t="e">
        <f aca="false">'Best Average Titer 1'!H29</f>
        <v>#NAME?</v>
      </c>
      <c r="I34" s="137" t="e">
        <f aca="false">'Best Average Titer 1'!I29</f>
        <v>#NAME?</v>
      </c>
      <c r="J34" s="137" t="e">
        <f aca="false">'Best Average Titer 1'!J29</f>
        <v>#NAME?</v>
      </c>
      <c r="K34" s="137" t="e">
        <f aca="false">'Best Average Titer 1'!K29</f>
        <v>#NAME?</v>
      </c>
      <c r="L34" s="137" t="e">
        <f aca="false">'Best Average Titer 1'!L29</f>
        <v>#NAME?</v>
      </c>
      <c r="M34" s="137" t="e">
        <f aca="false">'Best Average Titer 1'!M29</f>
        <v>#NAME?</v>
      </c>
      <c r="N34" s="138" t="e">
        <f aca="false">'Best Average Titer 1'!N29</f>
        <v>#NAME?</v>
      </c>
    </row>
    <row r="35" customFormat="false" ht="15.75" hidden="false" customHeight="false" outlineLevel="0" collapsed="false">
      <c r="A35" s="136" t="str">
        <f aca="false">'Best Average Titer 1'!A30</f>
        <v>Standard Error</v>
      </c>
      <c r="B35" s="137"/>
      <c r="C35" s="139" t="e">
        <f aca="false">'Best Average Titer 1'!C30</f>
        <v>#NAME?</v>
      </c>
      <c r="D35" s="139" t="e">
        <f aca="false">'Best Average Titer 1'!D30</f>
        <v>#NAME?</v>
      </c>
      <c r="E35" s="139" t="e">
        <f aca="false">'Best Average Titer 1'!E30</f>
        <v>#NAME?</v>
      </c>
      <c r="F35" s="139" t="e">
        <f aca="false">'Best Average Titer 1'!F30</f>
        <v>#NAME?</v>
      </c>
      <c r="G35" s="139" t="e">
        <f aca="false">'Best Average Titer 1'!G30</f>
        <v>#NAME?</v>
      </c>
      <c r="H35" s="139" t="e">
        <f aca="false">'Best Average Titer 1'!H30</f>
        <v>#NAME?</v>
      </c>
      <c r="I35" s="139" t="e">
        <f aca="false">'Best Average Titer 1'!I30</f>
        <v>#NAME?</v>
      </c>
      <c r="J35" s="139" t="e">
        <f aca="false">'Best Average Titer 1'!J30</f>
        <v>#NAME?</v>
      </c>
      <c r="K35" s="139" t="e">
        <f aca="false">'Best Average Titer 1'!K30</f>
        <v>#NAME?</v>
      </c>
      <c r="L35" s="139" t="e">
        <f aca="false">'Best Average Titer 1'!L30</f>
        <v>#NAME?</v>
      </c>
      <c r="M35" s="139" t="e">
        <f aca="false">'Best Average Titer 1'!M30</f>
        <v>#NAME?</v>
      </c>
      <c r="N35" s="140" t="e">
        <f aca="false">'Best Average Titer 1'!N30</f>
        <v>#NAME?</v>
      </c>
    </row>
    <row r="36" customFormat="false" ht="16.5" hidden="false" customHeight="false" outlineLevel="0" collapsed="false">
      <c r="A36" s="141" t="str">
        <f aca="false">'Best Average Titer 1'!A31</f>
        <v>Coefficient of Variation</v>
      </c>
      <c r="B36" s="142"/>
      <c r="C36" s="143" t="n">
        <f aca="false">'Best Average Titer 1'!C31</f>
        <v>0</v>
      </c>
      <c r="D36" s="143" t="n">
        <f aca="false">'Best Average Titer 1'!D31</f>
        <v>0</v>
      </c>
      <c r="E36" s="143" t="n">
        <f aca="false">'Best Average Titer 1'!E31</f>
        <v>0</v>
      </c>
      <c r="F36" s="143" t="n">
        <f aca="false">'Best Average Titer 1'!F31</f>
        <v>0</v>
      </c>
      <c r="G36" s="143" t="n">
        <f aca="false">'Best Average Titer 1'!G31</f>
        <v>0</v>
      </c>
      <c r="H36" s="143" t="n">
        <f aca="false">'Best Average Titer 1'!H31</f>
        <v>0</v>
      </c>
      <c r="I36" s="143" t="n">
        <f aca="false">'Best Average Titer 1'!I31</f>
        <v>0</v>
      </c>
      <c r="J36" s="143" t="n">
        <f aca="false">'Best Average Titer 1'!J31</f>
        <v>0</v>
      </c>
      <c r="K36" s="143" t="n">
        <f aca="false">'Best Average Titer 1'!K31</f>
        <v>0</v>
      </c>
      <c r="L36" s="143" t="n">
        <f aca="false">'Best Average Titer 1'!L31</f>
        <v>0</v>
      </c>
      <c r="M36" s="143" t="n">
        <f aca="false">'Best Average Titer 1'!M31</f>
        <v>0</v>
      </c>
      <c r="N36" s="144" t="n">
        <f aca="false">'Best Average Titer 1'!N31</f>
        <v>0</v>
      </c>
    </row>
    <row r="37" customFormat="false" ht="15.75" hidden="false" customHeight="false" outlineLevel="0" collapsed="false">
      <c r="A37" s="58"/>
      <c r="F37" s="120"/>
    </row>
    <row r="38" customFormat="false" ht="15.75" hidden="false" customHeight="false" outlineLevel="0" collapsed="false">
      <c r="A38" s="58"/>
      <c r="X38" s="95"/>
      <c r="Y38" s="95"/>
      <c r="Z38" s="95"/>
      <c r="AA38" s="95"/>
      <c r="AB38" s="95"/>
      <c r="AC38" s="95"/>
      <c r="AD38" s="95"/>
    </row>
    <row r="39" customFormat="false" ht="15.75" hidden="false" customHeight="false" outlineLevel="0" collapsed="false">
      <c r="A39" s="58"/>
    </row>
    <row r="41" customFormat="false" ht="18" hidden="false" customHeight="false" outlineLevel="0" collapsed="false">
      <c r="A41" s="59" t="s">
        <v>243</v>
      </c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</row>
    <row r="42" customFormat="false" ht="18.75" hidden="false" customHeight="true" outlineLevel="0" collapsed="false">
      <c r="A42" s="65"/>
      <c r="B42" s="58"/>
      <c r="C42" s="145"/>
      <c r="D42" s="78"/>
      <c r="E42" s="78"/>
      <c r="F42" s="69"/>
      <c r="G42" s="69"/>
      <c r="H42" s="69"/>
      <c r="I42" s="69"/>
      <c r="J42" s="69"/>
      <c r="K42" s="69"/>
      <c r="L42" s="69"/>
      <c r="M42" s="69"/>
      <c r="N42" s="69"/>
      <c r="O42" s="69"/>
      <c r="AC42" s="146"/>
      <c r="AD42" s="147"/>
      <c r="AE42" s="75"/>
      <c r="AF42" s="75"/>
      <c r="AG42" s="75"/>
      <c r="AH42" s="75"/>
      <c r="AI42" s="76"/>
      <c r="AJ42" s="76"/>
    </row>
    <row r="43" customFormat="false" ht="18.75" hidden="false" customHeight="false" outlineLevel="0" collapsed="false">
      <c r="A43" s="77"/>
      <c r="B43" s="78"/>
      <c r="C43" s="79"/>
      <c r="D43" s="78"/>
      <c r="E43" s="79"/>
      <c r="F43" s="69"/>
      <c r="G43" s="69"/>
      <c r="H43" s="69"/>
      <c r="I43" s="69"/>
      <c r="J43" s="69"/>
      <c r="K43" s="69"/>
      <c r="L43" s="69"/>
      <c r="M43" s="69"/>
      <c r="N43" s="69"/>
      <c r="O43" s="69"/>
      <c r="U43" s="42"/>
      <c r="AA43" s="95"/>
      <c r="AB43" s="95"/>
      <c r="AD43" s="147"/>
      <c r="AE43" s="75"/>
      <c r="AF43" s="75"/>
      <c r="AG43" s="75"/>
      <c r="AH43" s="75"/>
      <c r="AJ43" s="83"/>
    </row>
    <row r="44" customFormat="false" ht="15.75" hidden="false" customHeight="false" outlineLevel="0" collapsed="false">
      <c r="C44" s="42"/>
      <c r="E44" s="42"/>
      <c r="F44" s="58"/>
      <c r="G44" s="58"/>
      <c r="H44" s="58"/>
      <c r="I44" s="58"/>
      <c r="J44" s="58"/>
      <c r="K44" s="58"/>
      <c r="L44" s="58"/>
      <c r="M44" s="58"/>
      <c r="N44" s="58"/>
      <c r="O44" s="58"/>
      <c r="U44" s="115"/>
      <c r="V44" s="95"/>
      <c r="AA44" s="95"/>
      <c r="AB44" s="95"/>
      <c r="AC44" s="146"/>
      <c r="AD44" s="148"/>
      <c r="AE44" s="84"/>
      <c r="AF44" s="84"/>
      <c r="AG44" s="84"/>
      <c r="AH44" s="85"/>
      <c r="AI44" s="84"/>
    </row>
    <row r="45" customFormat="false" ht="15.75" hidden="false" customHeight="false" outlineLevel="0" collapsed="false">
      <c r="A45" s="86" t="s">
        <v>195</v>
      </c>
      <c r="B45" s="87"/>
      <c r="C45" s="88" t="e">
        <f aca="false">_xlfn.xlookup(C$47,'Flow 2 Input'!$I$9:$I$1000,'Flow 2 Input'!$J$9:$J$1000)</f>
        <v>#NAME?</v>
      </c>
      <c r="D45" s="88" t="e">
        <f aca="false">_xlfn.xlookup(D$47,'Flow 2 Input'!$I$9:$I$1000,'Flow 2 Input'!$J$9:$J$1000)</f>
        <v>#NAME?</v>
      </c>
      <c r="E45" s="88" t="e">
        <f aca="false">_xlfn.xlookup(E$47,'Flow 2 Input'!$I$9:$I$1000,'Flow 2 Input'!$J$9:$J$1000)</f>
        <v>#NAME?</v>
      </c>
      <c r="F45" s="88" t="e">
        <f aca="false">_xlfn.xlookup(F$47,'Flow 2 Input'!$I$9:$I$1000,'Flow 2 Input'!$J$9:$J$1000)</f>
        <v>#NAME?</v>
      </c>
      <c r="G45" s="88" t="e">
        <f aca="false">_xlfn.xlookup(G$47,'Flow 2 Input'!$I$9:$I$1000,'Flow 2 Input'!$J$9:$J$1000)</f>
        <v>#NAME?</v>
      </c>
      <c r="H45" s="88" t="e">
        <f aca="false">_xlfn.xlookup(H$47,'Flow 2 Input'!$I$9:$I$1000,'Flow 2 Input'!$J$9:$J$1000)</f>
        <v>#NAME?</v>
      </c>
      <c r="I45" s="88" t="e">
        <f aca="false">_xlfn.xlookup(I$47,'Flow 2 Input'!$I$9:$I$1000,'Flow 2 Input'!$J$9:$J$1000)</f>
        <v>#NAME?</v>
      </c>
      <c r="J45" s="88" t="e">
        <f aca="false">_xlfn.xlookup(J$47,'Flow 2 Input'!$I$9:$I$1000,'Flow 2 Input'!$J$9:$J$1000)</f>
        <v>#NAME?</v>
      </c>
      <c r="K45" s="88" t="e">
        <f aca="false">_xlfn.xlookup(K$47,'Flow 2 Input'!$I$9:$I$1000,'Flow 2 Input'!$J$9:$J$1000)</f>
        <v>#NAME?</v>
      </c>
      <c r="L45" s="88" t="e">
        <f aca="false">_xlfn.xlookup(L$47,'Flow 2 Input'!$I$9:$I$1000,'Flow 2 Input'!$J$9:$J$1000)</f>
        <v>#NAME?</v>
      </c>
      <c r="M45" s="88" t="e">
        <f aca="false">_xlfn.xlookup(M$47,'Flow 2 Input'!$I$9:$I$1000,'Flow 2 Input'!$J$9:$J$1000)</f>
        <v>#NAME?</v>
      </c>
      <c r="N45" s="88" t="e">
        <f aca="false">_xlfn.xlookup(N$47,'Flow 2 Input'!$I$9:$I$1000,'Flow 2 Input'!$J$9:$J$1000)</f>
        <v>#NAME?</v>
      </c>
      <c r="S45" s="115"/>
      <c r="T45" s="115"/>
      <c r="U45" s="115"/>
      <c r="AA45" s="95"/>
      <c r="AB45" s="95"/>
      <c r="AD45" s="149"/>
      <c r="AE45" s="85"/>
      <c r="AF45" s="85"/>
      <c r="AG45" s="85"/>
      <c r="AH45" s="85"/>
      <c r="AI45" s="83"/>
    </row>
    <row r="46" customFormat="false" ht="15.75" hidden="false" customHeight="false" outlineLevel="0" collapsed="false">
      <c r="A46" s="92" t="s">
        <v>219</v>
      </c>
      <c r="B46" s="93"/>
      <c r="C46" s="94" t="e">
        <f aca="false">_xlfn.xlookup(C$45,'Titer Calculation'!$AB$3:$AB$50,'Titer Calculation'!$AD$3:$AD$50,,-1,1)</f>
        <v>#NAME?</v>
      </c>
      <c r="D46" s="94" t="e">
        <f aca="false">_xlfn.xlookup(D$45,'Titer Calculation'!$AB$3:$AB$50,'Titer Calculation'!$AD$3:$AD$50,,-1,1)</f>
        <v>#NAME?</v>
      </c>
      <c r="E46" s="94" t="e">
        <f aca="false">_xlfn.xlookup(E$45,'Titer Calculation'!$AB$3:$AB$50,'Titer Calculation'!$AD$3:$AD$50,,-1,1)</f>
        <v>#NAME?</v>
      </c>
      <c r="F46" s="94" t="e">
        <f aca="false">_xlfn.xlookup(F$45,'Titer Calculation'!$AB$3:$AB$50,'Titer Calculation'!$AD$3:$AD$50,,-1,1)</f>
        <v>#NAME?</v>
      </c>
      <c r="G46" s="94" t="e">
        <f aca="false">_xlfn.xlookup(G$45,'Titer Calculation'!$AB$3:$AB$50,'Titer Calculation'!$AD$3:$AD$50,,-1,1)</f>
        <v>#NAME?</v>
      </c>
      <c r="H46" s="94" t="e">
        <f aca="false">_xlfn.xlookup(H$45,'Titer Calculation'!$AB$3:$AB$50,'Titer Calculation'!$AD$3:$AD$50,,-1,1)</f>
        <v>#NAME?</v>
      </c>
      <c r="I46" s="94" t="e">
        <f aca="false">_xlfn.xlookup(I$45,'Titer Calculation'!$AB$3:$AB$50,'Titer Calculation'!$AD$3:$AD$50,,-1,1)</f>
        <v>#NAME?</v>
      </c>
      <c r="J46" s="94" t="e">
        <f aca="false">_xlfn.xlookup(J$45,'Titer Calculation'!$AB$3:$AB$50,'Titer Calculation'!$AD$3:$AD$50,,-1,1)</f>
        <v>#NAME?</v>
      </c>
      <c r="K46" s="94" t="e">
        <f aca="false">_xlfn.xlookup(K$45,'Titer Calculation'!$AB$3:$AB$50,'Titer Calculation'!$AD$3:$AD$50,,-1,1)</f>
        <v>#NAME?</v>
      </c>
      <c r="L46" s="94" t="e">
        <f aca="false">_xlfn.xlookup(L$45,'Titer Calculation'!$AB$3:$AB$50,'Titer Calculation'!$AD$3:$AD$50,,-1,1)</f>
        <v>#NAME?</v>
      </c>
      <c r="M46" s="94" t="e">
        <f aca="false">_xlfn.xlookup(M$45,'Titer Calculation'!$AB$3:$AB$50,'Titer Calculation'!$AD$3:$AD$50,,-1,1)</f>
        <v>#NAME?</v>
      </c>
      <c r="N46" s="94" t="e">
        <f aca="false">_xlfn.xlookup(N$45,'Titer Calculation'!$AB$3:$AB$50,'Titer Calculation'!$AD$3:$AD$50,,-1,1)</f>
        <v>#NAME?</v>
      </c>
      <c r="O46" s="58"/>
      <c r="P46" s="95"/>
      <c r="S46" s="115"/>
      <c r="T46" s="115"/>
      <c r="U46" s="115"/>
      <c r="AA46" s="95"/>
      <c r="AB46" s="95"/>
      <c r="AC46" s="146"/>
      <c r="AD46" s="148"/>
      <c r="AE46" s="84"/>
      <c r="AF46" s="84"/>
      <c r="AG46" s="84"/>
      <c r="AH46" s="85"/>
      <c r="AI46" s="84"/>
    </row>
    <row r="47" customFormat="false" ht="15.75" hidden="false" customHeight="false" outlineLevel="0" collapsed="false">
      <c r="A47" s="42" t="s">
        <v>223</v>
      </c>
      <c r="B47" s="150"/>
      <c r="C47" s="97" t="n">
        <v>1</v>
      </c>
      <c r="D47" s="97" t="n">
        <v>2</v>
      </c>
      <c r="E47" s="97" t="n">
        <v>3</v>
      </c>
      <c r="F47" s="97" t="n">
        <v>4</v>
      </c>
      <c r="G47" s="97" t="n">
        <v>5</v>
      </c>
      <c r="H47" s="97" t="n">
        <v>6</v>
      </c>
      <c r="I47" s="97" t="n">
        <v>7</v>
      </c>
      <c r="J47" s="97" t="n">
        <v>8</v>
      </c>
      <c r="K47" s="97" t="n">
        <v>9</v>
      </c>
      <c r="L47" s="97" t="n">
        <v>10</v>
      </c>
      <c r="M47" s="97" t="n">
        <v>11</v>
      </c>
      <c r="N47" s="98" t="n">
        <v>12</v>
      </c>
      <c r="O47" s="42"/>
      <c r="P47" s="42"/>
      <c r="Q47" s="42"/>
      <c r="R47" s="42"/>
      <c r="T47" s="42"/>
      <c r="U47" s="115"/>
      <c r="W47" s="42"/>
      <c r="X47" s="42"/>
      <c r="Y47" s="42"/>
      <c r="Z47" s="42"/>
      <c r="AF47" s="95"/>
      <c r="AH47" s="151"/>
      <c r="AI47" s="100"/>
    </row>
    <row r="48" customFormat="false" ht="15.75" hidden="false" customHeight="false" outlineLevel="0" collapsed="false">
      <c r="A48" s="97" t="s">
        <v>166</v>
      </c>
      <c r="B48" s="97" t="s">
        <v>226</v>
      </c>
      <c r="C48" s="95" t="s">
        <v>227</v>
      </c>
      <c r="D48" s="95" t="s">
        <v>228</v>
      </c>
      <c r="E48" s="95" t="s">
        <v>228</v>
      </c>
      <c r="F48" s="95" t="s">
        <v>228</v>
      </c>
      <c r="G48" s="95" t="s">
        <v>228</v>
      </c>
      <c r="H48" s="95" t="s">
        <v>228</v>
      </c>
      <c r="I48" s="95" t="s">
        <v>228</v>
      </c>
      <c r="J48" s="95" t="s">
        <v>228</v>
      </c>
      <c r="K48" s="95" t="s">
        <v>228</v>
      </c>
      <c r="L48" s="95" t="s">
        <v>228</v>
      </c>
      <c r="M48" s="95" t="s">
        <v>228</v>
      </c>
      <c r="N48" s="95" t="s">
        <v>228</v>
      </c>
      <c r="O48" s="99"/>
      <c r="P48" s="99"/>
      <c r="Q48" s="99"/>
      <c r="R48" s="99"/>
      <c r="S48" s="99"/>
      <c r="T48" s="95"/>
      <c r="U48" s="115"/>
      <c r="W48" s="152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</row>
    <row r="49" customFormat="false" ht="15.75" hidden="false" customHeight="false" outlineLevel="0" collapsed="false">
      <c r="A49" s="97" t="s">
        <v>167</v>
      </c>
      <c r="B49" s="101" t="n">
        <v>5</v>
      </c>
      <c r="C49" s="102" t="n">
        <f aca="false">'Flow 2 Output'!B6</f>
        <v>0</v>
      </c>
      <c r="D49" s="102" t="n">
        <f aca="false">'Flow 2 Output'!C6</f>
        <v>0</v>
      </c>
      <c r="E49" s="102" t="n">
        <f aca="false">'Flow 2 Output'!D6</f>
        <v>0</v>
      </c>
      <c r="F49" s="102" t="n">
        <f aca="false">'Flow 2 Output'!E6</f>
        <v>0</v>
      </c>
      <c r="G49" s="102" t="n">
        <f aca="false">'Flow 2 Output'!F6</f>
        <v>0</v>
      </c>
      <c r="H49" s="102" t="n">
        <f aca="false">'Flow 2 Output'!G6</f>
        <v>0</v>
      </c>
      <c r="I49" s="102" t="n">
        <f aca="false">'Flow 2 Output'!H6</f>
        <v>0</v>
      </c>
      <c r="J49" s="102" t="n">
        <f aca="false">'Flow 2 Output'!I6</f>
        <v>0</v>
      </c>
      <c r="K49" s="102" t="n">
        <f aca="false">'Flow 2 Output'!J6</f>
        <v>0</v>
      </c>
      <c r="L49" s="102" t="n">
        <f aca="false">'Flow 2 Output'!K6</f>
        <v>0</v>
      </c>
      <c r="M49" s="102" t="n">
        <f aca="false">'Flow 2 Output'!L6</f>
        <v>0</v>
      </c>
      <c r="N49" s="102" t="n">
        <f aca="false">'Flow 2 Output'!M6</f>
        <v>0</v>
      </c>
      <c r="S49" s="115"/>
      <c r="T49" s="115"/>
      <c r="U49" s="115"/>
    </row>
    <row r="50" customFormat="false" ht="15.75" hidden="false" customHeight="false" outlineLevel="0" collapsed="false">
      <c r="A50" s="97" t="s">
        <v>168</v>
      </c>
      <c r="B50" s="101" t="n">
        <v>25</v>
      </c>
      <c r="C50" s="102" t="n">
        <f aca="false">'Flow 2 Output'!B7</f>
        <v>0</v>
      </c>
      <c r="D50" s="102" t="n">
        <f aca="false">'Flow 2 Output'!C7</f>
        <v>0</v>
      </c>
      <c r="E50" s="102" t="n">
        <f aca="false">'Flow 2 Output'!D7</f>
        <v>0</v>
      </c>
      <c r="F50" s="102" t="n">
        <f aca="false">'Flow 2 Output'!E7</f>
        <v>0</v>
      </c>
      <c r="G50" s="102" t="n">
        <f aca="false">'Flow 2 Output'!F7</f>
        <v>0</v>
      </c>
      <c r="H50" s="102" t="n">
        <f aca="false">'Flow 2 Output'!G7</f>
        <v>0</v>
      </c>
      <c r="I50" s="102" t="n">
        <f aca="false">'Flow 2 Output'!H7</f>
        <v>0</v>
      </c>
      <c r="J50" s="102" t="n">
        <f aca="false">'Flow 2 Output'!I7</f>
        <v>0</v>
      </c>
      <c r="K50" s="102" t="n">
        <f aca="false">'Flow 2 Output'!J7</f>
        <v>0</v>
      </c>
      <c r="L50" s="102" t="n">
        <f aca="false">'Flow 2 Output'!K7</f>
        <v>0</v>
      </c>
      <c r="M50" s="102" t="n">
        <f aca="false">'Flow 2 Output'!L7</f>
        <v>0</v>
      </c>
      <c r="N50" s="102" t="n">
        <f aca="false">'Flow 2 Output'!M7</f>
        <v>0</v>
      </c>
      <c r="T50" s="115"/>
      <c r="U50" s="115"/>
    </row>
    <row r="51" customFormat="false" ht="15.75" hidden="false" customHeight="false" outlineLevel="0" collapsed="false">
      <c r="A51" s="97" t="s">
        <v>169</v>
      </c>
      <c r="B51" s="101" t="n">
        <v>125</v>
      </c>
      <c r="C51" s="102" t="n">
        <f aca="false">'Flow 2 Output'!B8</f>
        <v>0</v>
      </c>
      <c r="D51" s="102" t="n">
        <f aca="false">'Flow 2 Output'!C8</f>
        <v>0</v>
      </c>
      <c r="E51" s="102" t="n">
        <f aca="false">'Flow 2 Output'!D8</f>
        <v>0</v>
      </c>
      <c r="F51" s="102" t="n">
        <f aca="false">'Flow 2 Output'!E8</f>
        <v>0</v>
      </c>
      <c r="G51" s="102" t="n">
        <f aca="false">'Flow 2 Output'!F8</f>
        <v>0</v>
      </c>
      <c r="H51" s="102" t="n">
        <f aca="false">'Flow 2 Output'!G8</f>
        <v>0</v>
      </c>
      <c r="I51" s="102" t="n">
        <f aca="false">'Flow 2 Output'!H8</f>
        <v>0</v>
      </c>
      <c r="J51" s="102" t="n">
        <f aca="false">'Flow 2 Output'!I8</f>
        <v>0</v>
      </c>
      <c r="K51" s="102" t="n">
        <f aca="false">'Flow 2 Output'!J8</f>
        <v>0</v>
      </c>
      <c r="L51" s="102" t="n">
        <f aca="false">'Flow 2 Output'!K8</f>
        <v>0</v>
      </c>
      <c r="M51" s="102" t="n">
        <f aca="false">'Flow 2 Output'!L8</f>
        <v>0</v>
      </c>
      <c r="N51" s="102" t="n">
        <f aca="false">'Flow 2 Output'!M8</f>
        <v>0</v>
      </c>
      <c r="T51" s="115"/>
      <c r="U51" s="115"/>
    </row>
    <row r="52" customFormat="false" ht="15.75" hidden="false" customHeight="false" outlineLevel="0" collapsed="false">
      <c r="A52" s="97" t="s">
        <v>170</v>
      </c>
      <c r="B52" s="101" t="n">
        <v>625</v>
      </c>
      <c r="C52" s="102" t="n">
        <f aca="false">'Flow 2 Output'!B9</f>
        <v>0</v>
      </c>
      <c r="D52" s="102" t="n">
        <f aca="false">'Flow 2 Output'!C9</f>
        <v>0</v>
      </c>
      <c r="E52" s="102" t="n">
        <f aca="false">'Flow 2 Output'!D9</f>
        <v>0</v>
      </c>
      <c r="F52" s="102" t="n">
        <f aca="false">'Flow 2 Output'!E9</f>
        <v>0</v>
      </c>
      <c r="G52" s="102" t="n">
        <f aca="false">'Flow 2 Output'!F9</f>
        <v>0</v>
      </c>
      <c r="H52" s="102" t="n">
        <f aca="false">'Flow 2 Output'!G9</f>
        <v>0</v>
      </c>
      <c r="I52" s="102" t="n">
        <f aca="false">'Flow 2 Output'!H9</f>
        <v>0</v>
      </c>
      <c r="J52" s="102" t="n">
        <f aca="false">'Flow 2 Output'!I9</f>
        <v>0</v>
      </c>
      <c r="K52" s="102" t="n">
        <f aca="false">'Flow 2 Output'!J9</f>
        <v>0</v>
      </c>
      <c r="L52" s="102" t="n">
        <f aca="false">'Flow 2 Output'!K9</f>
        <v>0</v>
      </c>
      <c r="M52" s="102" t="n">
        <f aca="false">'Flow 2 Output'!L9</f>
        <v>0</v>
      </c>
      <c r="N52" s="102" t="n">
        <f aca="false">'Flow 2 Output'!M9</f>
        <v>0</v>
      </c>
      <c r="T52" s="115"/>
      <c r="U52" s="115"/>
    </row>
    <row r="53" customFormat="false" ht="15.75" hidden="false" customHeight="false" outlineLevel="0" collapsed="false">
      <c r="A53" s="97" t="s">
        <v>171</v>
      </c>
      <c r="B53" s="101" t="n">
        <v>3125</v>
      </c>
      <c r="C53" s="102" t="n">
        <f aca="false">'Flow 2 Output'!B10</f>
        <v>0</v>
      </c>
      <c r="D53" s="102" t="n">
        <f aca="false">'Flow 2 Output'!C10</f>
        <v>0</v>
      </c>
      <c r="E53" s="102" t="n">
        <f aca="false">'Flow 2 Output'!D10</f>
        <v>0</v>
      </c>
      <c r="F53" s="102" t="n">
        <f aca="false">'Flow 2 Output'!E10</f>
        <v>0</v>
      </c>
      <c r="G53" s="102" t="n">
        <f aca="false">'Flow 2 Output'!F10</f>
        <v>0</v>
      </c>
      <c r="H53" s="102" t="n">
        <f aca="false">'Flow 2 Output'!G10</f>
        <v>0</v>
      </c>
      <c r="I53" s="102" t="n">
        <f aca="false">'Flow 2 Output'!H10</f>
        <v>0</v>
      </c>
      <c r="J53" s="102" t="n">
        <f aca="false">'Flow 2 Output'!I10</f>
        <v>0</v>
      </c>
      <c r="K53" s="102" t="n">
        <f aca="false">'Flow 2 Output'!J10</f>
        <v>0</v>
      </c>
      <c r="L53" s="102" t="n">
        <f aca="false">'Flow 2 Output'!K10</f>
        <v>0</v>
      </c>
      <c r="M53" s="102" t="n">
        <f aca="false">'Flow 2 Output'!L10</f>
        <v>0</v>
      </c>
      <c r="N53" s="102" t="n">
        <f aca="false">'Flow 2 Output'!M10</f>
        <v>0</v>
      </c>
      <c r="R53" s="34"/>
      <c r="T53" s="115"/>
      <c r="U53" s="115"/>
    </row>
    <row r="54" customFormat="false" ht="15.75" hidden="false" customHeight="false" outlineLevel="0" collapsed="false">
      <c r="A54" s="97" t="s">
        <v>172</v>
      </c>
      <c r="B54" s="101" t="n">
        <v>15625</v>
      </c>
      <c r="C54" s="102" t="n">
        <f aca="false">'Flow 2 Output'!B11</f>
        <v>0</v>
      </c>
      <c r="D54" s="102" t="n">
        <f aca="false">'Flow 2 Output'!C11</f>
        <v>0</v>
      </c>
      <c r="E54" s="102" t="n">
        <f aca="false">'Flow 2 Output'!D11</f>
        <v>0</v>
      </c>
      <c r="F54" s="102" t="n">
        <f aca="false">'Flow 2 Output'!E11</f>
        <v>0</v>
      </c>
      <c r="G54" s="102" t="n">
        <f aca="false">'Flow 2 Output'!F11</f>
        <v>0</v>
      </c>
      <c r="H54" s="102" t="n">
        <f aca="false">'Flow 2 Output'!G11</f>
        <v>0</v>
      </c>
      <c r="I54" s="102" t="n">
        <f aca="false">'Flow 2 Output'!H11</f>
        <v>0</v>
      </c>
      <c r="J54" s="102" t="n">
        <f aca="false">'Flow 2 Output'!I11</f>
        <v>0</v>
      </c>
      <c r="K54" s="102" t="n">
        <f aca="false">'Flow 2 Output'!J11</f>
        <v>0</v>
      </c>
      <c r="L54" s="102" t="n">
        <f aca="false">'Flow 2 Output'!K11</f>
        <v>0</v>
      </c>
      <c r="M54" s="102" t="n">
        <f aca="false">'Flow 2 Output'!L11</f>
        <v>0</v>
      </c>
      <c r="N54" s="102" t="n">
        <f aca="false">'Flow 2 Output'!M11</f>
        <v>0</v>
      </c>
      <c r="R54" s="34"/>
      <c r="T54" s="115"/>
      <c r="U54" s="42"/>
      <c r="V54" s="42"/>
    </row>
    <row r="55" customFormat="false" ht="15.75" hidden="false" customHeight="false" outlineLevel="0" collapsed="false">
      <c r="A55" s="97" t="s">
        <v>173</v>
      </c>
      <c r="B55" s="101" t="n">
        <v>78125</v>
      </c>
      <c r="C55" s="102" t="n">
        <f aca="false">'Flow 2 Output'!B12</f>
        <v>0</v>
      </c>
      <c r="D55" s="102" t="n">
        <f aca="false">'Flow 2 Output'!C12</f>
        <v>0</v>
      </c>
      <c r="E55" s="102" t="n">
        <f aca="false">'Flow 2 Output'!D12</f>
        <v>0</v>
      </c>
      <c r="F55" s="102" t="n">
        <f aca="false">'Flow 2 Output'!E12</f>
        <v>0</v>
      </c>
      <c r="G55" s="102" t="n">
        <f aca="false">'Flow 2 Output'!F12</f>
        <v>0</v>
      </c>
      <c r="H55" s="102" t="n">
        <f aca="false">'Flow 2 Output'!G12</f>
        <v>0</v>
      </c>
      <c r="I55" s="102" t="n">
        <f aca="false">'Flow 2 Output'!H12</f>
        <v>0</v>
      </c>
      <c r="J55" s="102" t="n">
        <f aca="false">'Flow 2 Output'!I12</f>
        <v>0</v>
      </c>
      <c r="K55" s="102" t="n">
        <f aca="false">'Flow 2 Output'!J12</f>
        <v>0</v>
      </c>
      <c r="L55" s="102" t="n">
        <f aca="false">'Flow 2 Output'!K12</f>
        <v>0</v>
      </c>
      <c r="M55" s="102" t="n">
        <f aca="false">'Flow 2 Output'!L12</f>
        <v>0</v>
      </c>
      <c r="N55" s="102" t="n">
        <f aca="false">'Flow 2 Output'!M12</f>
        <v>0</v>
      </c>
      <c r="T55" s="115"/>
      <c r="U55" s="115"/>
      <c r="V55" s="95"/>
    </row>
    <row r="56" customFormat="false" ht="15.75" hidden="false" customHeight="false" outlineLevel="0" collapsed="false">
      <c r="C56" s="115"/>
      <c r="D56" s="115"/>
      <c r="S56" s="115"/>
      <c r="T56" s="115"/>
      <c r="U56" s="153"/>
      <c r="V56" s="120"/>
      <c r="AA56" s="154"/>
      <c r="AB56" s="154"/>
      <c r="AJ56" s="95"/>
    </row>
    <row r="57" customFormat="false" ht="15.75" hidden="false" customHeight="false" outlineLevel="0" collapsed="false">
      <c r="C57" s="115"/>
      <c r="D57" s="115"/>
      <c r="J57" s="115"/>
      <c r="L57" s="58"/>
      <c r="S57" s="115"/>
      <c r="T57" s="115"/>
      <c r="U57" s="153"/>
      <c r="V57" s="120"/>
    </row>
    <row r="58" customFormat="false" ht="15.75" hidden="false" customHeight="false" outlineLevel="0" collapsed="false">
      <c r="A58" s="42" t="s">
        <v>239</v>
      </c>
      <c r="B58" s="42"/>
      <c r="C58" s="97" t="n">
        <v>1</v>
      </c>
      <c r="D58" s="97" t="n">
        <v>2</v>
      </c>
      <c r="E58" s="97" t="n">
        <v>3</v>
      </c>
      <c r="F58" s="97" t="n">
        <v>4</v>
      </c>
      <c r="G58" s="97" t="n">
        <v>5</v>
      </c>
      <c r="H58" s="97" t="n">
        <v>6</v>
      </c>
      <c r="I58" s="97" t="n">
        <v>7</v>
      </c>
      <c r="J58" s="97" t="n">
        <v>8</v>
      </c>
      <c r="K58" s="97" t="n">
        <v>9</v>
      </c>
      <c r="L58" s="97" t="n">
        <v>10</v>
      </c>
      <c r="M58" s="97" t="n">
        <v>11</v>
      </c>
      <c r="N58" s="98" t="n">
        <v>12</v>
      </c>
      <c r="O58" s="42"/>
      <c r="P58" s="42"/>
      <c r="Q58" s="42"/>
      <c r="S58" s="115"/>
      <c r="T58" s="115"/>
      <c r="U58" s="153"/>
      <c r="V58" s="120"/>
    </row>
    <row r="59" customFormat="false" ht="15.75" hidden="false" customHeight="false" outlineLevel="0" collapsed="false">
      <c r="A59" s="116" t="s">
        <v>166</v>
      </c>
      <c r="B59" s="97" t="s">
        <v>226</v>
      </c>
      <c r="C59" s="155" t="str">
        <f aca="false">C48</f>
        <v>pALD-eGFP</v>
      </c>
      <c r="D59" s="155" t="str">
        <f aca="false">D48</f>
        <v>pCTX</v>
      </c>
      <c r="E59" s="155" t="str">
        <f aca="false">E48</f>
        <v>pCTX</v>
      </c>
      <c r="F59" s="155" t="str">
        <f aca="false">F48</f>
        <v>pCTX</v>
      </c>
      <c r="G59" s="155" t="str">
        <f aca="false">G48</f>
        <v>pCTX</v>
      </c>
      <c r="H59" s="155" t="str">
        <f aca="false">H48</f>
        <v>pCTX</v>
      </c>
      <c r="I59" s="155" t="str">
        <f aca="false">I48</f>
        <v>pCTX</v>
      </c>
      <c r="J59" s="155" t="str">
        <f aca="false">J48</f>
        <v>pCTX</v>
      </c>
      <c r="K59" s="155" t="str">
        <f aca="false">K48</f>
        <v>pCTX</v>
      </c>
      <c r="L59" s="155" t="str">
        <f aca="false">L48</f>
        <v>pCTX</v>
      </c>
      <c r="M59" s="155" t="str">
        <f aca="false">M48</f>
        <v>pCTX</v>
      </c>
      <c r="N59" s="155" t="str">
        <f aca="false">N48</f>
        <v>pCTX</v>
      </c>
      <c r="O59" s="115"/>
      <c r="P59" s="115"/>
      <c r="Q59" s="115"/>
      <c r="R59" s="115"/>
      <c r="S59" s="115"/>
      <c r="T59" s="115"/>
      <c r="U59" s="153"/>
      <c r="V59" s="120"/>
      <c r="W59" s="11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</row>
    <row r="60" customFormat="false" ht="15.75" hidden="false" customHeight="false" outlineLevel="0" collapsed="false">
      <c r="A60" s="97" t="s">
        <v>167</v>
      </c>
      <c r="B60" s="97" t="n">
        <f aca="false">B49</f>
        <v>5</v>
      </c>
      <c r="C60" s="121" t="n">
        <f aca="false">(C49/100)*10000*B49*10</f>
        <v>0</v>
      </c>
      <c r="D60" s="121" t="n">
        <f aca="false">(D49/100)*10000*B60*10</f>
        <v>0</v>
      </c>
      <c r="E60" s="121" t="n">
        <f aca="false">(E49/100)*10000*B49*10</f>
        <v>0</v>
      </c>
      <c r="F60" s="121" t="n">
        <f aca="false">(F49/100)*10000*B49*10</f>
        <v>0</v>
      </c>
      <c r="G60" s="121" t="n">
        <f aca="false">(G49/100)*10000*B49*10</f>
        <v>0</v>
      </c>
      <c r="H60" s="121" t="n">
        <f aca="false">(H49/100)*10000*B49*10</f>
        <v>0</v>
      </c>
      <c r="I60" s="121" t="n">
        <f aca="false">(I49/100)*10000*B49*10</f>
        <v>0</v>
      </c>
      <c r="J60" s="121" t="n">
        <f aca="false">(J49/100)*10000*B49*10</f>
        <v>0</v>
      </c>
      <c r="K60" s="121" t="n">
        <f aca="false">(K49/100)*10000*B49*10</f>
        <v>0</v>
      </c>
      <c r="L60" s="121" t="n">
        <f aca="false">(L49/100)*10000*B49*10</f>
        <v>0</v>
      </c>
      <c r="M60" s="121" t="n">
        <f aca="false">(M49/100)*10000*B49*10</f>
        <v>0</v>
      </c>
      <c r="N60" s="121" t="n">
        <f aca="false">(N49/100)*10000*B49*10</f>
        <v>0</v>
      </c>
      <c r="O60" s="120"/>
      <c r="R60" s="120"/>
      <c r="S60" s="120"/>
      <c r="T60" s="153"/>
      <c r="U60" s="153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</row>
    <row r="61" customFormat="false" ht="15.75" hidden="false" customHeight="false" outlineLevel="0" collapsed="false">
      <c r="A61" s="97" t="s">
        <v>168</v>
      </c>
      <c r="B61" s="97" t="n">
        <f aca="false">B50</f>
        <v>25</v>
      </c>
      <c r="C61" s="121" t="n">
        <f aca="false">(C50/100)*10000*B50*10</f>
        <v>0</v>
      </c>
      <c r="D61" s="121" t="n">
        <f aca="false">(D50/100)*10000*B61*10</f>
        <v>0</v>
      </c>
      <c r="E61" s="121" t="n">
        <f aca="false">(E50/100)*10000*B50*10</f>
        <v>0</v>
      </c>
      <c r="F61" s="121" t="n">
        <f aca="false">(F50/100)*10000*B50*10</f>
        <v>0</v>
      </c>
      <c r="G61" s="121" t="n">
        <f aca="false">(G50/100)*10000*B50*10</f>
        <v>0</v>
      </c>
      <c r="H61" s="121" t="n">
        <f aca="false">(H50/100)*10000*B50*10</f>
        <v>0</v>
      </c>
      <c r="I61" s="121" t="n">
        <f aca="false">(I50/100)*10000*B50*10</f>
        <v>0</v>
      </c>
      <c r="J61" s="121" t="n">
        <f aca="false">(J50/100)*10000*B50*10</f>
        <v>0</v>
      </c>
      <c r="K61" s="121" t="n">
        <f aca="false">(K50/100)*10000*B50*10</f>
        <v>0</v>
      </c>
      <c r="L61" s="121" t="n">
        <f aca="false">(L50/100)*10000*B50*10</f>
        <v>0</v>
      </c>
      <c r="M61" s="121" t="n">
        <f aca="false">(M50/100)*10000*B50*10</f>
        <v>0</v>
      </c>
      <c r="N61" s="121" t="n">
        <f aca="false">(N50/100)*10000*B50*10</f>
        <v>0</v>
      </c>
      <c r="O61" s="120"/>
      <c r="R61" s="120"/>
      <c r="S61" s="120"/>
      <c r="T61" s="115"/>
      <c r="U61" s="153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</row>
    <row r="62" customFormat="false" ht="15.75" hidden="false" customHeight="false" outlineLevel="0" collapsed="false">
      <c r="A62" s="97" t="s">
        <v>169</v>
      </c>
      <c r="B62" s="97" t="n">
        <f aca="false">B51</f>
        <v>125</v>
      </c>
      <c r="C62" s="121" t="n">
        <f aca="false">(C51/100)*10000*B51*10</f>
        <v>0</v>
      </c>
      <c r="D62" s="121" t="n">
        <f aca="false">(D51/100)*10000*B62*10</f>
        <v>0</v>
      </c>
      <c r="E62" s="121" t="n">
        <f aca="false">(E51/100)*10000*B51*10</f>
        <v>0</v>
      </c>
      <c r="F62" s="121" t="n">
        <f aca="false">(F51/100)*10000*B51*10</f>
        <v>0</v>
      </c>
      <c r="G62" s="121" t="n">
        <f aca="false">(G51/100)*10000*B51*10</f>
        <v>0</v>
      </c>
      <c r="H62" s="121" t="n">
        <f aca="false">(H51/100)*10000*B51*10</f>
        <v>0</v>
      </c>
      <c r="I62" s="121" t="n">
        <f aca="false">(I51/100)*10000*B51*10</f>
        <v>0</v>
      </c>
      <c r="J62" s="121" t="n">
        <f aca="false">(J51/100)*10000*B51*10</f>
        <v>0</v>
      </c>
      <c r="K62" s="121" t="n">
        <f aca="false">(K51/100)*10000*B51*10</f>
        <v>0</v>
      </c>
      <c r="L62" s="121" t="n">
        <f aca="false">(L51/100)*10000*B51*10</f>
        <v>0</v>
      </c>
      <c r="M62" s="121" t="n">
        <f aca="false">(M51/100)*10000*B51*10</f>
        <v>0</v>
      </c>
      <c r="N62" s="121" t="n">
        <f aca="false">(N51/100)*10000*B51*10</f>
        <v>0</v>
      </c>
      <c r="O62" s="120"/>
      <c r="R62" s="120"/>
      <c r="S62" s="120"/>
      <c r="T62" s="153"/>
      <c r="U62" s="153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</row>
    <row r="63" customFormat="false" ht="15.75" hidden="false" customHeight="false" outlineLevel="0" collapsed="false">
      <c r="A63" s="97" t="s">
        <v>170</v>
      </c>
      <c r="B63" s="97" t="n">
        <f aca="false">B52</f>
        <v>625</v>
      </c>
      <c r="C63" s="121" t="n">
        <f aca="false">(C52/100)*10000*B52*10</f>
        <v>0</v>
      </c>
      <c r="D63" s="121" t="n">
        <f aca="false">(D52/100)*10000*B63*10</f>
        <v>0</v>
      </c>
      <c r="E63" s="121" t="n">
        <f aca="false">(E52/100)*10000*B52*10</f>
        <v>0</v>
      </c>
      <c r="F63" s="121" t="n">
        <f aca="false">(F52/100)*10000*B52*10</f>
        <v>0</v>
      </c>
      <c r="G63" s="121" t="n">
        <f aca="false">(G52/100)*10000*B52*10</f>
        <v>0</v>
      </c>
      <c r="H63" s="121" t="n">
        <f aca="false">(H52/100)*10000*B52*10</f>
        <v>0</v>
      </c>
      <c r="I63" s="121" t="n">
        <f aca="false">(I52/100)*10000*B52*10</f>
        <v>0</v>
      </c>
      <c r="J63" s="121" t="n">
        <f aca="false">(J52/100)*10000*B52*10</f>
        <v>0</v>
      </c>
      <c r="K63" s="121" t="n">
        <f aca="false">(K52/100)*10000*B52*10</f>
        <v>0</v>
      </c>
      <c r="L63" s="121" t="n">
        <f aca="false">(L52/100)*10000*B52*10</f>
        <v>0</v>
      </c>
      <c r="M63" s="121" t="n">
        <f aca="false">(M52/100)*10000*B52*10</f>
        <v>0</v>
      </c>
      <c r="N63" s="121" t="n">
        <f aca="false">(N52/100)*10000*B52*10</f>
        <v>0</v>
      </c>
      <c r="O63" s="120"/>
      <c r="R63" s="120"/>
      <c r="S63" s="120"/>
      <c r="T63" s="153"/>
      <c r="U63" s="122"/>
      <c r="V63" s="122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</row>
    <row r="64" customFormat="false" ht="15.75" hidden="false" customHeight="false" outlineLevel="0" collapsed="false">
      <c r="A64" s="97" t="s">
        <v>171</v>
      </c>
      <c r="B64" s="97" t="n">
        <f aca="false">B53</f>
        <v>3125</v>
      </c>
      <c r="C64" s="121" t="n">
        <f aca="false">(C53/100)*10000*B53*10</f>
        <v>0</v>
      </c>
      <c r="D64" s="121" t="n">
        <f aca="false">(D53/100)*10000*B64*10</f>
        <v>0</v>
      </c>
      <c r="E64" s="121" t="n">
        <f aca="false">(E53/100)*10000*B53*10</f>
        <v>0</v>
      </c>
      <c r="F64" s="121" t="n">
        <f aca="false">(F53/100)*10000*B53*10</f>
        <v>0</v>
      </c>
      <c r="G64" s="121" t="n">
        <f aca="false">(G53/100)*10000*B53*10</f>
        <v>0</v>
      </c>
      <c r="H64" s="121" t="n">
        <f aca="false">(H53/100)*10000*B53*10</f>
        <v>0</v>
      </c>
      <c r="I64" s="121" t="n">
        <f aca="false">(I53/100)*10000*B53*10</f>
        <v>0</v>
      </c>
      <c r="J64" s="121" t="n">
        <f aca="false">(J53/100)*10000*B53*10</f>
        <v>0</v>
      </c>
      <c r="K64" s="121" t="n">
        <f aca="false">(K53/100)*10000*B53*10</f>
        <v>0</v>
      </c>
      <c r="L64" s="121" t="n">
        <f aca="false">(L53/100)*10000*B53*10</f>
        <v>0</v>
      </c>
      <c r="M64" s="121" t="n">
        <f aca="false">(M53/100)*10000*B53*10</f>
        <v>0</v>
      </c>
      <c r="N64" s="121" t="n">
        <f aca="false">(N53/100)*10000*B53*10</f>
        <v>0</v>
      </c>
      <c r="O64" s="120"/>
      <c r="R64" s="120"/>
      <c r="S64" s="120"/>
      <c r="T64" s="153"/>
      <c r="U64" s="153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</row>
    <row r="65" customFormat="false" ht="15.75" hidden="false" customHeight="false" outlineLevel="0" collapsed="false">
      <c r="A65" s="97" t="s">
        <v>172</v>
      </c>
      <c r="B65" s="97" t="n">
        <f aca="false">B54</f>
        <v>15625</v>
      </c>
      <c r="C65" s="121" t="n">
        <f aca="false">(C54/100)*10000*B54*10</f>
        <v>0</v>
      </c>
      <c r="D65" s="121" t="n">
        <f aca="false">(D54/100)*10000*B65*10</f>
        <v>0</v>
      </c>
      <c r="E65" s="121" t="n">
        <f aca="false">(E54/100)*10000*B54*10</f>
        <v>0</v>
      </c>
      <c r="F65" s="121" t="n">
        <f aca="false">(F54/100)*10000*B54*10</f>
        <v>0</v>
      </c>
      <c r="G65" s="121" t="n">
        <f aca="false">(G54/100)*10000*B54*10</f>
        <v>0</v>
      </c>
      <c r="H65" s="121" t="n">
        <f aca="false">(H54/100)*10000*B54*10</f>
        <v>0</v>
      </c>
      <c r="I65" s="121" t="n">
        <f aca="false">(I54/100)*10000*B54*10</f>
        <v>0</v>
      </c>
      <c r="J65" s="121" t="n">
        <f aca="false">(J54/100)*10000*B54*10</f>
        <v>0</v>
      </c>
      <c r="K65" s="121" t="n">
        <f aca="false">(K54/100)*10000*B54*10</f>
        <v>0</v>
      </c>
      <c r="L65" s="121" t="n">
        <f aca="false">(L54/100)*10000*B54*10</f>
        <v>0</v>
      </c>
      <c r="M65" s="121" t="n">
        <f aca="false">(M54/100)*10000*B54*10</f>
        <v>0</v>
      </c>
      <c r="N65" s="121" t="n">
        <f aca="false">(N54/100)*10000*B54*10</f>
        <v>0</v>
      </c>
      <c r="O65" s="120"/>
      <c r="R65" s="120"/>
      <c r="S65" s="120"/>
      <c r="T65" s="153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</row>
    <row r="66" customFormat="false" ht="15.75" hidden="false" customHeight="false" outlineLevel="0" collapsed="false">
      <c r="A66" s="97" t="s">
        <v>173</v>
      </c>
      <c r="B66" s="97" t="n">
        <f aca="false">B55</f>
        <v>78125</v>
      </c>
      <c r="C66" s="121" t="n">
        <f aca="false">(C55/100)*10000*B55*10</f>
        <v>0</v>
      </c>
      <c r="D66" s="121" t="n">
        <f aca="false">(D55/100)*10000*B66*10</f>
        <v>0</v>
      </c>
      <c r="E66" s="121" t="n">
        <f aca="false">(E55/100)*10000*B55*10</f>
        <v>0</v>
      </c>
      <c r="F66" s="121" t="n">
        <f aca="false">(F55/100)*10000*B55*10</f>
        <v>0</v>
      </c>
      <c r="G66" s="121" t="n">
        <f aca="false">(G55/100)*10000*B55*10</f>
        <v>0</v>
      </c>
      <c r="H66" s="121" t="n">
        <f aca="false">(H55/100)*10000*B55*10</f>
        <v>0</v>
      </c>
      <c r="I66" s="121" t="n">
        <f aca="false">(I55/100)*10000*B55*10</f>
        <v>0</v>
      </c>
      <c r="J66" s="121" t="n">
        <f aca="false">(J55/100)*10000*B55*10</f>
        <v>0</v>
      </c>
      <c r="K66" s="121" t="n">
        <f aca="false">(K55/100)*10000*B55*10</f>
        <v>0</v>
      </c>
      <c r="L66" s="121" t="n">
        <f aca="false">(L55/100)*10000*B55*10</f>
        <v>0</v>
      </c>
      <c r="M66" s="121" t="n">
        <f aca="false">(M55/100)*10000*B55*10</f>
        <v>0</v>
      </c>
      <c r="N66" s="121" t="n">
        <f aca="false">(N55/100)*10000*B55*10</f>
        <v>0</v>
      </c>
      <c r="O66" s="120"/>
      <c r="R66" s="120"/>
      <c r="S66" s="120"/>
      <c r="T66" s="153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</row>
    <row r="67" customFormat="false" ht="15.75" hidden="false" customHeight="false" outlineLevel="0" collapsed="false">
      <c r="A67" s="123" t="s">
        <v>152</v>
      </c>
      <c r="B67" s="124"/>
      <c r="C67" s="125" t="n">
        <f aca="false">AVERAGE(C63:C65)</f>
        <v>0</v>
      </c>
      <c r="D67" s="125" t="n">
        <f aca="false">AVERAGE(D63:D65)</f>
        <v>0</v>
      </c>
      <c r="E67" s="125" t="n">
        <f aca="false">AVERAGE(E63:E65)</f>
        <v>0</v>
      </c>
      <c r="F67" s="125" t="n">
        <f aca="false">AVERAGE(F63:F65)</f>
        <v>0</v>
      </c>
      <c r="G67" s="125" t="n">
        <f aca="false">AVERAGE(G63:G65)</f>
        <v>0</v>
      </c>
      <c r="H67" s="125" t="n">
        <f aca="false">AVERAGE(H63:H65)</f>
        <v>0</v>
      </c>
      <c r="I67" s="125" t="n">
        <f aca="false">AVERAGE(I63:I65)</f>
        <v>0</v>
      </c>
      <c r="J67" s="125" t="n">
        <f aca="false">AVERAGE(J63:J65)</f>
        <v>0</v>
      </c>
      <c r="K67" s="125" t="n">
        <f aca="false">AVERAGE(K63:K65)</f>
        <v>0</v>
      </c>
      <c r="L67" s="125" t="n">
        <f aca="false">AVERAGE(L63:L65)</f>
        <v>0</v>
      </c>
      <c r="M67" s="125" t="n">
        <f aca="false">AVERAGE(M63:M65)</f>
        <v>0</v>
      </c>
      <c r="N67" s="125" t="n">
        <f aca="false">AVERAGE(N63:N65)</f>
        <v>0</v>
      </c>
      <c r="O67" s="122"/>
      <c r="P67" s="58"/>
      <c r="Q67" s="58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</row>
    <row r="68" customFormat="false" ht="15.75" hidden="false" customHeight="false" outlineLevel="0" collapsed="false">
      <c r="A68" s="127" t="s">
        <v>240</v>
      </c>
      <c r="C68" s="128" t="n">
        <f aca="false">STDEV(C63:C65)/SQRT(COUNT(C63:C65))</f>
        <v>0</v>
      </c>
      <c r="D68" s="128" t="n">
        <f aca="false">STDEV(D63:D65)/SQRT(COUNT(D63:D65))</f>
        <v>0</v>
      </c>
      <c r="E68" s="128" t="n">
        <f aca="false">STDEV(E63:E65)/SQRT(COUNT(E63:E65))</f>
        <v>0</v>
      </c>
      <c r="F68" s="128" t="n">
        <f aca="false">STDEV(F63:F65)/SQRT(COUNT(F63:F65))</f>
        <v>0</v>
      </c>
      <c r="G68" s="128" t="n">
        <f aca="false">STDEV(G63:G65)/SQRT(COUNT(G63:G65))</f>
        <v>0</v>
      </c>
      <c r="H68" s="128" t="n">
        <f aca="false">STDEV(H63:H65)/SQRT(COUNT(H63:H65))</f>
        <v>0</v>
      </c>
      <c r="I68" s="128" t="n">
        <f aca="false">STDEV(I63:I65)/SQRT(COUNT(I63:I65))</f>
        <v>0</v>
      </c>
      <c r="J68" s="128" t="n">
        <f aca="false">STDEV(J63:J65)/SQRT(COUNT(J63:J65))</f>
        <v>0</v>
      </c>
      <c r="K68" s="128" t="n">
        <f aca="false">STDEV(K63:K65)/SQRT(COUNT(K63:K65))</f>
        <v>0</v>
      </c>
      <c r="L68" s="128" t="n">
        <f aca="false">STDEV(L63:L65)/SQRT(COUNT(L63:L65))</f>
        <v>0</v>
      </c>
      <c r="M68" s="128" t="n">
        <f aca="false">STDEV(M63:M65)/SQRT(COUNT(M63:M65))</f>
        <v>0</v>
      </c>
      <c r="N68" s="128" t="n">
        <f aca="false">STDEV(N63:N65)/SQRT(COUNT(N63:N65))</f>
        <v>0</v>
      </c>
      <c r="O68" s="120"/>
      <c r="R68" s="120"/>
      <c r="S68" s="120"/>
      <c r="T68" s="153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</row>
    <row r="69" customFormat="false" ht="15.75" hidden="false" customHeight="false" outlineLevel="0" collapsed="false">
      <c r="A69" s="42" t="s">
        <v>241</v>
      </c>
      <c r="C69" s="129" t="e">
        <f aca="false">STDEV(C63:C65)/C67</f>
        <v>#DIV/0!</v>
      </c>
      <c r="D69" s="129" t="e">
        <f aca="false">STDEV(D63:D65)/D67</f>
        <v>#DIV/0!</v>
      </c>
      <c r="E69" s="129" t="e">
        <f aca="false">STDEV(E63:E65)/E67</f>
        <v>#DIV/0!</v>
      </c>
      <c r="F69" s="129" t="e">
        <f aca="false">STDEV(F63:F65)/F67</f>
        <v>#DIV/0!</v>
      </c>
      <c r="G69" s="129" t="e">
        <f aca="false">STDEV(G63:G65)/G67</f>
        <v>#DIV/0!</v>
      </c>
      <c r="H69" s="129" t="e">
        <f aca="false">STDEV(H63:H65)/H67</f>
        <v>#DIV/0!</v>
      </c>
      <c r="I69" s="129" t="e">
        <f aca="false">STDEV(I63:I65)/I67</f>
        <v>#DIV/0!</v>
      </c>
      <c r="J69" s="129" t="e">
        <f aca="false">STDEV(J63:J65)/J67</f>
        <v>#DIV/0!</v>
      </c>
      <c r="K69" s="129" t="e">
        <f aca="false">STDEV(K63:K65)/K67</f>
        <v>#DIV/0!</v>
      </c>
      <c r="L69" s="129" t="e">
        <f aca="false">STDEV(L63:L65)/L67</f>
        <v>#DIV/0!</v>
      </c>
      <c r="M69" s="129" t="e">
        <f aca="false">STDEV(M63:M65)/M67</f>
        <v>#DIV/0!</v>
      </c>
      <c r="N69" s="129" t="e">
        <f aca="false">STDEV(N63:N65)/N67</f>
        <v>#DIV/0!</v>
      </c>
    </row>
    <row r="70" customFormat="false" ht="15.75" hidden="false" customHeight="false" outlineLevel="0" collapsed="false">
      <c r="A70" s="58"/>
      <c r="C70" s="120"/>
      <c r="D70" s="120"/>
      <c r="K70" s="120"/>
    </row>
    <row r="71" customFormat="false" ht="16.5" hidden="false" customHeight="false" outlineLevel="0" collapsed="false">
      <c r="A71" s="42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</row>
    <row r="72" customFormat="false" ht="15.75" hidden="false" customHeight="false" outlineLevel="0" collapsed="false">
      <c r="A72" s="132" t="str">
        <f aca="false">'Best Average Titer 1'!A189</f>
        <v>Average &lt; CV Limit</v>
      </c>
      <c r="B72" s="133"/>
      <c r="C72" s="134" t="e">
        <f aca="false">'Best Average Titer 1'!C189</f>
        <v>#NAME?</v>
      </c>
      <c r="D72" s="134" t="e">
        <f aca="false">'Best Average Titer 1'!D189</f>
        <v>#NAME?</v>
      </c>
      <c r="E72" s="134" t="e">
        <f aca="false">'Best Average Titer 1'!E189</f>
        <v>#NAME?</v>
      </c>
      <c r="F72" s="134" t="e">
        <f aca="false">'Best Average Titer 1'!F189</f>
        <v>#NAME?</v>
      </c>
      <c r="G72" s="134" t="e">
        <f aca="false">'Best Average Titer 1'!G189</f>
        <v>#NAME?</v>
      </c>
      <c r="H72" s="134" t="e">
        <f aca="false">'Best Average Titer 1'!H189</f>
        <v>#NAME?</v>
      </c>
      <c r="I72" s="134" t="e">
        <f aca="false">'Best Average Titer 1'!I189</f>
        <v>#NAME?</v>
      </c>
      <c r="J72" s="134" t="e">
        <f aca="false">'Best Average Titer 1'!J189</f>
        <v>#NAME?</v>
      </c>
      <c r="K72" s="134" t="e">
        <f aca="false">'Best Average Titer 1'!K189</f>
        <v>#NAME?</v>
      </c>
      <c r="L72" s="134" t="e">
        <f aca="false">'Best Average Titer 1'!L189</f>
        <v>#NAME?</v>
      </c>
      <c r="M72" s="134" t="e">
        <f aca="false">'Best Average Titer 1'!M189</f>
        <v>#NAME?</v>
      </c>
      <c r="N72" s="135" t="e">
        <f aca="false">'Best Average Titer 1'!N189</f>
        <v>#NAME?</v>
      </c>
    </row>
    <row r="73" customFormat="false" ht="15.75" hidden="false" customHeight="false" outlineLevel="0" collapsed="false">
      <c r="A73" s="136" t="str">
        <f aca="false">'Best Average Titer 1'!A190</f>
        <v>Averages chosen</v>
      </c>
      <c r="B73" s="137"/>
      <c r="C73" s="137" t="e">
        <f aca="false">'Best Average Titer 1'!C190</f>
        <v>#NAME?</v>
      </c>
      <c r="D73" s="137" t="e">
        <f aca="false">'Best Average Titer 1'!D190</f>
        <v>#NAME?</v>
      </c>
      <c r="E73" s="137" t="e">
        <f aca="false">'Best Average Titer 1'!E190</f>
        <v>#NAME?</v>
      </c>
      <c r="F73" s="137" t="e">
        <f aca="false">'Best Average Titer 1'!F190</f>
        <v>#NAME?</v>
      </c>
      <c r="G73" s="137" t="e">
        <f aca="false">'Best Average Titer 1'!G190</f>
        <v>#NAME?</v>
      </c>
      <c r="H73" s="137" t="e">
        <f aca="false">'Best Average Titer 1'!H190</f>
        <v>#NAME?</v>
      </c>
      <c r="I73" s="137" t="e">
        <f aca="false">'Best Average Titer 1'!I190</f>
        <v>#NAME?</v>
      </c>
      <c r="J73" s="137" t="e">
        <f aca="false">'Best Average Titer 1'!J190</f>
        <v>#NAME?</v>
      </c>
      <c r="K73" s="137" t="e">
        <f aca="false">'Best Average Titer 1'!K190</f>
        <v>#NAME?</v>
      </c>
      <c r="L73" s="137" t="e">
        <f aca="false">'Best Average Titer 1'!L190</f>
        <v>#NAME?</v>
      </c>
      <c r="M73" s="137" t="e">
        <f aca="false">'Best Average Titer 1'!M190</f>
        <v>#NAME?</v>
      </c>
      <c r="N73" s="138" t="e">
        <f aca="false">'Best Average Titer 1'!N190</f>
        <v>#NAME?</v>
      </c>
    </row>
    <row r="74" customFormat="false" ht="15.75" hidden="false" customHeight="false" outlineLevel="0" collapsed="false">
      <c r="A74" s="136" t="str">
        <f aca="false">'Best Average Titer 1'!A191</f>
        <v>Standard Error</v>
      </c>
      <c r="B74" s="137"/>
      <c r="C74" s="139" t="e">
        <f aca="false">'Best Average Titer 1'!C191</f>
        <v>#NAME?</v>
      </c>
      <c r="D74" s="139" t="e">
        <f aca="false">'Best Average Titer 1'!D191</f>
        <v>#NAME?</v>
      </c>
      <c r="E74" s="139" t="e">
        <f aca="false">'Best Average Titer 1'!E191</f>
        <v>#NAME?</v>
      </c>
      <c r="F74" s="139" t="e">
        <f aca="false">'Best Average Titer 1'!F191</f>
        <v>#NAME?</v>
      </c>
      <c r="G74" s="139" t="e">
        <f aca="false">'Best Average Titer 1'!G191</f>
        <v>#NAME?</v>
      </c>
      <c r="H74" s="139" t="e">
        <f aca="false">'Best Average Titer 1'!H191</f>
        <v>#NAME?</v>
      </c>
      <c r="I74" s="139" t="e">
        <f aca="false">'Best Average Titer 1'!I191</f>
        <v>#NAME?</v>
      </c>
      <c r="J74" s="139" t="e">
        <f aca="false">'Best Average Titer 1'!J191</f>
        <v>#NAME?</v>
      </c>
      <c r="K74" s="139" t="e">
        <f aca="false">'Best Average Titer 1'!K191</f>
        <v>#NAME?</v>
      </c>
      <c r="L74" s="139" t="e">
        <f aca="false">'Best Average Titer 1'!L191</f>
        <v>#NAME?</v>
      </c>
      <c r="M74" s="139" t="e">
        <f aca="false">'Best Average Titer 1'!M191</f>
        <v>#NAME?</v>
      </c>
      <c r="N74" s="140" t="e">
        <f aca="false">'Best Average Titer 1'!N191</f>
        <v>#NAME?</v>
      </c>
    </row>
    <row r="75" customFormat="false" ht="16.5" hidden="false" customHeight="false" outlineLevel="0" collapsed="false">
      <c r="A75" s="141" t="str">
        <f aca="false">'Best Average Titer 1'!A192</f>
        <v>Coefficient of Variation</v>
      </c>
      <c r="B75" s="142"/>
      <c r="C75" s="143" t="n">
        <f aca="false">'Best Average Titer 1'!C192</f>
        <v>0</v>
      </c>
      <c r="D75" s="143" t="n">
        <f aca="false">'Best Average Titer 1'!D192</f>
        <v>0</v>
      </c>
      <c r="E75" s="143" t="n">
        <f aca="false">'Best Average Titer 1'!E192</f>
        <v>0</v>
      </c>
      <c r="F75" s="143" t="n">
        <f aca="false">'Best Average Titer 1'!F192</f>
        <v>0</v>
      </c>
      <c r="G75" s="143" t="n">
        <f aca="false">'Best Average Titer 1'!G192</f>
        <v>0</v>
      </c>
      <c r="H75" s="143" t="n">
        <f aca="false">'Best Average Titer 1'!H192</f>
        <v>0</v>
      </c>
      <c r="I75" s="143" t="n">
        <f aca="false">'Best Average Titer 1'!I192</f>
        <v>0</v>
      </c>
      <c r="J75" s="143" t="n">
        <f aca="false">'Best Average Titer 1'!J192</f>
        <v>0</v>
      </c>
      <c r="K75" s="143" t="n">
        <f aca="false">'Best Average Titer 1'!K192</f>
        <v>0</v>
      </c>
      <c r="L75" s="143" t="n">
        <f aca="false">'Best Average Titer 1'!L192</f>
        <v>0</v>
      </c>
      <c r="M75" s="143" t="n">
        <f aca="false">'Best Average Titer 1'!M192</f>
        <v>0</v>
      </c>
      <c r="N75" s="144" t="n">
        <f aca="false">'Best Average Titer 1'!N192</f>
        <v>0</v>
      </c>
    </row>
    <row r="76" customFormat="false" ht="15.75" hidden="false" customHeight="false" outlineLevel="0" collapsed="false">
      <c r="A76" s="58"/>
    </row>
    <row r="77" customFormat="false" ht="15.75" hidden="false" customHeight="false" outlineLevel="0" collapsed="false">
      <c r="A77" s="44" t="s">
        <v>244</v>
      </c>
    </row>
    <row r="78" customFormat="false" ht="15.75" hidden="false" customHeight="false" outlineLevel="0" collapsed="false">
      <c r="A78" s="58" t="s">
        <v>245</v>
      </c>
    </row>
    <row r="79" customFormat="false" ht="15.75" hidden="false" customHeight="false" outlineLevel="0" collapsed="false">
      <c r="A79" s="58"/>
    </row>
    <row r="80" customFormat="false" ht="15.75" hidden="false" customHeight="false" outlineLevel="0" collapsed="false">
      <c r="A80" s="58"/>
    </row>
    <row r="82" customFormat="false" ht="15.75" hidden="false" customHeight="false" outlineLevel="0" collapsed="false">
      <c r="A82" s="58"/>
    </row>
    <row r="83" s="157" customFormat="true" ht="18" hidden="false" customHeight="false" outlineLevel="0" collapsed="false">
      <c r="A83" s="59" t="s">
        <v>246</v>
      </c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156"/>
    </row>
    <row r="84" customFormat="false" ht="18" hidden="false" customHeight="false" outlineLevel="0" collapsed="false">
      <c r="A84" s="65"/>
      <c r="B84" s="58"/>
      <c r="C84" s="145"/>
      <c r="D84" s="78"/>
      <c r="E84" s="78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158"/>
      <c r="Q84" s="159"/>
    </row>
    <row r="85" customFormat="false" ht="18.75" hidden="false" customHeight="false" outlineLevel="0" collapsed="false">
      <c r="A85" s="77"/>
      <c r="B85" s="78"/>
      <c r="C85" s="79"/>
      <c r="D85" s="78"/>
      <c r="E85" s="7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158"/>
      <c r="Q85" s="159"/>
    </row>
    <row r="86" customFormat="false" ht="15.75" hidden="false" customHeight="false" outlineLevel="0" collapsed="false">
      <c r="C86" s="42"/>
      <c r="E86" s="42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160"/>
    </row>
    <row r="87" customFormat="false" ht="15.75" hidden="false" customHeight="false" outlineLevel="0" collapsed="false">
      <c r="A87" s="86" t="s">
        <v>195</v>
      </c>
      <c r="B87" s="87"/>
      <c r="C87" s="88" t="e">
        <f aca="false">_xlfn.xlookup(C$47,'Flow 3 Input'!$I$9:$I$1000,'Flow 3 Input'!$J$9:$J$1000)</f>
        <v>#NAME?</v>
      </c>
      <c r="D87" s="88" t="e">
        <f aca="false">_xlfn.xlookup(D$47,'Flow 3 Input'!$I$9:$I$1000,'Flow 3 Input'!$J$9:$J$1000)</f>
        <v>#NAME?</v>
      </c>
      <c r="E87" s="88" t="e">
        <f aca="false">_xlfn.xlookup(E$47,'Flow 3 Input'!$I$9:$I$1000,'Flow 3 Input'!$J$9:$J$1000)</f>
        <v>#NAME?</v>
      </c>
      <c r="F87" s="88" t="e">
        <f aca="false">_xlfn.xlookup(F$47,'Flow 3 Input'!$I$9:$I$1000,'Flow 3 Input'!$J$9:$J$1000)</f>
        <v>#NAME?</v>
      </c>
      <c r="G87" s="88" t="e">
        <f aca="false">_xlfn.xlookup(G$47,'Flow 3 Input'!$I$9:$I$1000,'Flow 3 Input'!$J$9:$J$1000)</f>
        <v>#NAME?</v>
      </c>
      <c r="H87" s="88" t="e">
        <f aca="false">_xlfn.xlookup(H$47,'Flow 3 Input'!$I$9:$I$1000,'Flow 3 Input'!$J$9:$J$1000)</f>
        <v>#NAME?</v>
      </c>
      <c r="I87" s="88" t="e">
        <f aca="false">_xlfn.xlookup(I$47,'Flow 3 Input'!$I$9:$I$1000,'Flow 3 Input'!$J$9:$J$1000)</f>
        <v>#NAME?</v>
      </c>
      <c r="J87" s="88" t="e">
        <f aca="false">_xlfn.xlookup(J$47,'Flow 3 Input'!$I$9:$I$1000,'Flow 3 Input'!$J$9:$J$1000)</f>
        <v>#NAME?</v>
      </c>
      <c r="K87" s="88" t="e">
        <f aca="false">_xlfn.xlookup(K$47,'Flow 3 Input'!$I$9:$I$1000,'Flow 3 Input'!$J$9:$J$1000)</f>
        <v>#NAME?</v>
      </c>
      <c r="L87" s="88" t="e">
        <f aca="false">_xlfn.xlookup(L$47,'Flow 3 Input'!$I$9:$I$1000,'Flow 3 Input'!$J$9:$J$1000)</f>
        <v>#NAME?</v>
      </c>
      <c r="M87" s="88" t="e">
        <f aca="false">_xlfn.xlookup(M$47,'Flow 3 Input'!$I$9:$I$1000,'Flow 3 Input'!$J$9:$J$1000)</f>
        <v>#NAME?</v>
      </c>
      <c r="N87" s="88" t="e">
        <f aca="false">_xlfn.xlookup(N$47,'Flow 3 Input'!$I$9:$I$1000,'Flow 3 Input'!$J$9:$J$1000)</f>
        <v>#NAME?</v>
      </c>
      <c r="P87" s="96"/>
      <c r="R87" s="158"/>
    </row>
    <row r="88" s="157" customFormat="true" ht="15.75" hidden="false" customHeight="false" outlineLevel="0" collapsed="false">
      <c r="A88" s="92" t="s">
        <v>219</v>
      </c>
      <c r="B88" s="93"/>
      <c r="C88" s="94" t="e">
        <f aca="false">_xlfn.xlookup(C$87,'Titer Calculation'!$AB$3:$AB$50,'Titer Calculation'!$AD$3:$AD$50,,-1,1)</f>
        <v>#NAME?</v>
      </c>
      <c r="D88" s="94" t="e">
        <f aca="false">_xlfn.xlookup(D$87,'Titer Calculation'!$AB$3:$AB$50,'Titer Calculation'!$AD$3:$AD$50,,-1,1)</f>
        <v>#NAME?</v>
      </c>
      <c r="E88" s="94" t="e">
        <f aca="false">_xlfn.xlookup(E$87,'Titer Calculation'!$AB$3:$AB$50,'Titer Calculation'!$AD$3:$AD$50,,-1,1)</f>
        <v>#NAME?</v>
      </c>
      <c r="F88" s="94" t="e">
        <f aca="false">_xlfn.xlookup(F$87,'Titer Calculation'!$AB$3:$AB$50,'Titer Calculation'!$AD$3:$AD$50,,-1,1)</f>
        <v>#NAME?</v>
      </c>
      <c r="G88" s="94" t="e">
        <f aca="false">_xlfn.xlookup(G$87,'Titer Calculation'!$AB$3:$AB$50,'Titer Calculation'!$AD$3:$AD$50,,-1,1)</f>
        <v>#NAME?</v>
      </c>
      <c r="H88" s="94" t="e">
        <f aca="false">_xlfn.xlookup(H$87,'Titer Calculation'!$AB$3:$AB$50,'Titer Calculation'!$AD$3:$AD$50,,-1,1)</f>
        <v>#NAME?</v>
      </c>
      <c r="I88" s="94" t="e">
        <f aca="false">_xlfn.xlookup(I$87,'Titer Calculation'!$AB$3:$AB$50,'Titer Calculation'!$AD$3:$AD$50,,-1,1)</f>
        <v>#NAME?</v>
      </c>
      <c r="J88" s="94" t="e">
        <f aca="false">_xlfn.xlookup(J$87,'Titer Calculation'!$AB$3:$AB$50,'Titer Calculation'!$AD$3:$AD$50,,-1,1)</f>
        <v>#NAME?</v>
      </c>
      <c r="K88" s="94" t="e">
        <f aca="false">_xlfn.xlookup(K$87,'Titer Calculation'!$AB$3:$AB$50,'Titer Calculation'!$AD$3:$AD$50,,-1,1)</f>
        <v>#NAME?</v>
      </c>
      <c r="L88" s="94" t="e">
        <f aca="false">_xlfn.xlookup(L$87,'Titer Calculation'!$AB$3:$AB$50,'Titer Calculation'!$AD$3:$AD$50,,-1,1)</f>
        <v>#NAME?</v>
      </c>
      <c r="M88" s="94" t="e">
        <f aca="false">_xlfn.xlookup(M$87,'Titer Calculation'!$AB$3:$AB$50,'Titer Calculation'!$AD$3:$AD$50,,-1,1)</f>
        <v>#NAME?</v>
      </c>
      <c r="N88" s="94" t="e">
        <f aca="false">_xlfn.xlookup(N$87,'Titer Calculation'!$AB$3:$AB$50,'Titer Calculation'!$AD$3:$AD$50,,-1,1)</f>
        <v>#NAME?</v>
      </c>
      <c r="O88" s="58"/>
      <c r="P88" s="155"/>
      <c r="Q88" s="155"/>
      <c r="R88" s="155"/>
      <c r="S88" s="155"/>
      <c r="T88" s="155"/>
      <c r="U88" s="155"/>
      <c r="V88" s="155"/>
    </row>
    <row r="89" customFormat="false" ht="15.75" hidden="false" customHeight="false" outlineLevel="0" collapsed="false">
      <c r="A89" s="42" t="s">
        <v>223</v>
      </c>
      <c r="B89" s="150"/>
      <c r="C89" s="97" t="n">
        <v>1</v>
      </c>
      <c r="D89" s="97" t="n">
        <v>2</v>
      </c>
      <c r="E89" s="97" t="n">
        <v>3</v>
      </c>
      <c r="F89" s="97" t="n">
        <v>4</v>
      </c>
      <c r="G89" s="97" t="n">
        <v>5</v>
      </c>
      <c r="H89" s="97" t="n">
        <v>6</v>
      </c>
      <c r="I89" s="97" t="n">
        <v>7</v>
      </c>
      <c r="J89" s="97" t="n">
        <v>8</v>
      </c>
      <c r="K89" s="97" t="n">
        <v>9</v>
      </c>
      <c r="L89" s="97" t="n">
        <v>10</v>
      </c>
      <c r="M89" s="97" t="n">
        <v>11</v>
      </c>
      <c r="N89" s="98" t="n">
        <v>12</v>
      </c>
      <c r="O89" s="42"/>
      <c r="P89" s="131"/>
      <c r="Q89" s="131"/>
      <c r="R89" s="158"/>
    </row>
    <row r="90" customFormat="false" ht="15.75" hidden="false" customHeight="false" outlineLevel="0" collapsed="false">
      <c r="A90" s="97" t="s">
        <v>166</v>
      </c>
      <c r="B90" s="97" t="s">
        <v>226</v>
      </c>
      <c r="C90" s="95" t="s">
        <v>227</v>
      </c>
      <c r="D90" s="95" t="s">
        <v>228</v>
      </c>
      <c r="E90" s="95" t="s">
        <v>228</v>
      </c>
      <c r="F90" s="95" t="s">
        <v>228</v>
      </c>
      <c r="G90" s="95" t="s">
        <v>228</v>
      </c>
      <c r="H90" s="95" t="s">
        <v>228</v>
      </c>
      <c r="I90" s="95" t="s">
        <v>228</v>
      </c>
      <c r="J90" s="95" t="s">
        <v>228</v>
      </c>
      <c r="K90" s="95" t="s">
        <v>228</v>
      </c>
      <c r="L90" s="95" t="s">
        <v>228</v>
      </c>
      <c r="M90" s="95" t="s">
        <v>228</v>
      </c>
      <c r="N90" s="95" t="s">
        <v>228</v>
      </c>
      <c r="O90" s="99"/>
      <c r="P90" s="131"/>
      <c r="Q90" s="131"/>
      <c r="R90" s="160"/>
    </row>
    <row r="91" customFormat="false" ht="15.75" hidden="false" customHeight="false" outlineLevel="0" collapsed="false">
      <c r="A91" s="97" t="s">
        <v>167</v>
      </c>
      <c r="B91" s="101" t="n">
        <v>5</v>
      </c>
      <c r="C91" s="102" t="n">
        <f aca="false">'Flow 3 Output'!B6</f>
        <v>0</v>
      </c>
      <c r="D91" s="102" t="n">
        <f aca="false">'Flow 3 Output'!C6</f>
        <v>0</v>
      </c>
      <c r="E91" s="102" t="n">
        <f aca="false">'Flow 3 Output'!D6</f>
        <v>0</v>
      </c>
      <c r="F91" s="102" t="n">
        <f aca="false">'Flow 3 Output'!E6</f>
        <v>0</v>
      </c>
      <c r="G91" s="102" t="n">
        <f aca="false">'Flow 3 Output'!F6</f>
        <v>0</v>
      </c>
      <c r="H91" s="102" t="n">
        <f aca="false">'Flow 3 Output'!G6</f>
        <v>0</v>
      </c>
      <c r="I91" s="102" t="n">
        <f aca="false">'Flow 3 Output'!H6</f>
        <v>0</v>
      </c>
      <c r="J91" s="102" t="n">
        <f aca="false">'Flow 3 Output'!I6</f>
        <v>0</v>
      </c>
      <c r="K91" s="102" t="n">
        <f aca="false">'Flow 3 Output'!J6</f>
        <v>0</v>
      </c>
      <c r="L91" s="102" t="n">
        <f aca="false">'Flow 3 Output'!K6</f>
        <v>0</v>
      </c>
      <c r="M91" s="102" t="n">
        <f aca="false">'Flow 3 Output'!L6</f>
        <v>0</v>
      </c>
      <c r="N91" s="102" t="n">
        <f aca="false">'Flow 3 Output'!M6</f>
        <v>0</v>
      </c>
      <c r="P91" s="131"/>
      <c r="Q91" s="131"/>
      <c r="R91" s="161"/>
      <c r="S91" s="161"/>
      <c r="T91" s="161"/>
      <c r="U91" s="161"/>
      <c r="V91" s="161"/>
    </row>
    <row r="92" customFormat="false" ht="15.75" hidden="false" customHeight="false" outlineLevel="0" collapsed="false">
      <c r="A92" s="97" t="s">
        <v>168</v>
      </c>
      <c r="B92" s="101" t="n">
        <v>25</v>
      </c>
      <c r="C92" s="102" t="n">
        <f aca="false">'Flow 3 Output'!B7</f>
        <v>0</v>
      </c>
      <c r="D92" s="102" t="n">
        <f aca="false">'Flow 3 Output'!C7</f>
        <v>0</v>
      </c>
      <c r="E92" s="102" t="n">
        <f aca="false">'Flow 3 Output'!D7</f>
        <v>0</v>
      </c>
      <c r="F92" s="102" t="n">
        <f aca="false">'Flow 3 Output'!E7</f>
        <v>0</v>
      </c>
      <c r="G92" s="102" t="n">
        <f aca="false">'Flow 3 Output'!F7</f>
        <v>0</v>
      </c>
      <c r="H92" s="102" t="n">
        <f aca="false">'Flow 3 Output'!G7</f>
        <v>0</v>
      </c>
      <c r="I92" s="102" t="n">
        <f aca="false">'Flow 3 Output'!H7</f>
        <v>0</v>
      </c>
      <c r="J92" s="102" t="n">
        <f aca="false">'Flow 3 Output'!I7</f>
        <v>0</v>
      </c>
      <c r="K92" s="102" t="n">
        <f aca="false">'Flow 3 Output'!J7</f>
        <v>0</v>
      </c>
      <c r="L92" s="102" t="n">
        <f aca="false">'Flow 3 Output'!K7</f>
        <v>0</v>
      </c>
      <c r="M92" s="102" t="n">
        <f aca="false">'Flow 3 Output'!L7</f>
        <v>0</v>
      </c>
      <c r="N92" s="102" t="n">
        <f aca="false">'Flow 3 Output'!M7</f>
        <v>0</v>
      </c>
      <c r="P92" s="131"/>
      <c r="Q92" s="131"/>
      <c r="R92" s="161"/>
      <c r="S92" s="161"/>
      <c r="T92" s="161"/>
      <c r="U92" s="161"/>
      <c r="V92" s="161"/>
    </row>
    <row r="93" customFormat="false" ht="15.75" hidden="false" customHeight="false" outlineLevel="0" collapsed="false">
      <c r="A93" s="97" t="s">
        <v>169</v>
      </c>
      <c r="B93" s="101" t="n">
        <v>125</v>
      </c>
      <c r="C93" s="102" t="n">
        <f aca="false">'Flow 3 Output'!B8</f>
        <v>0</v>
      </c>
      <c r="D93" s="102" t="n">
        <f aca="false">'Flow 3 Output'!C8</f>
        <v>0</v>
      </c>
      <c r="E93" s="102" t="n">
        <f aca="false">'Flow 3 Output'!D8</f>
        <v>0</v>
      </c>
      <c r="F93" s="102" t="n">
        <f aca="false">'Flow 3 Output'!E8</f>
        <v>0</v>
      </c>
      <c r="G93" s="102" t="n">
        <f aca="false">'Flow 3 Output'!F8</f>
        <v>0</v>
      </c>
      <c r="H93" s="102" t="n">
        <f aca="false">'Flow 3 Output'!G8</f>
        <v>0</v>
      </c>
      <c r="I93" s="102" t="n">
        <f aca="false">'Flow 3 Output'!H8</f>
        <v>0</v>
      </c>
      <c r="J93" s="102" t="n">
        <f aca="false">'Flow 3 Output'!I8</f>
        <v>0</v>
      </c>
      <c r="K93" s="102" t="n">
        <f aca="false">'Flow 3 Output'!J8</f>
        <v>0</v>
      </c>
      <c r="L93" s="102" t="n">
        <f aca="false">'Flow 3 Output'!K8</f>
        <v>0</v>
      </c>
      <c r="M93" s="102" t="n">
        <f aca="false">'Flow 3 Output'!L8</f>
        <v>0</v>
      </c>
      <c r="N93" s="102" t="n">
        <f aca="false">'Flow 3 Output'!M8</f>
        <v>0</v>
      </c>
      <c r="P93" s="131"/>
      <c r="Q93" s="131"/>
      <c r="R93" s="161"/>
      <c r="S93" s="161"/>
      <c r="T93" s="161"/>
      <c r="U93" s="161"/>
      <c r="V93" s="161"/>
    </row>
    <row r="94" customFormat="false" ht="15.75" hidden="false" customHeight="false" outlineLevel="0" collapsed="false">
      <c r="A94" s="97" t="s">
        <v>170</v>
      </c>
      <c r="B94" s="101" t="n">
        <v>625</v>
      </c>
      <c r="C94" s="102" t="n">
        <f aca="false">'Flow 3 Output'!B9</f>
        <v>0</v>
      </c>
      <c r="D94" s="102" t="n">
        <f aca="false">'Flow 3 Output'!C9</f>
        <v>0</v>
      </c>
      <c r="E94" s="102" t="n">
        <f aca="false">'Flow 3 Output'!D9</f>
        <v>0</v>
      </c>
      <c r="F94" s="102" t="n">
        <f aca="false">'Flow 3 Output'!E9</f>
        <v>0</v>
      </c>
      <c r="G94" s="102" t="n">
        <f aca="false">'Flow 3 Output'!F9</f>
        <v>0</v>
      </c>
      <c r="H94" s="102" t="n">
        <f aca="false">'Flow 3 Output'!G9</f>
        <v>0</v>
      </c>
      <c r="I94" s="102" t="n">
        <f aca="false">'Flow 3 Output'!H9</f>
        <v>0</v>
      </c>
      <c r="J94" s="102" t="n">
        <f aca="false">'Flow 3 Output'!I9</f>
        <v>0</v>
      </c>
      <c r="K94" s="102" t="n">
        <f aca="false">'Flow 3 Output'!J9</f>
        <v>0</v>
      </c>
      <c r="L94" s="102" t="n">
        <f aca="false">'Flow 3 Output'!K9</f>
        <v>0</v>
      </c>
      <c r="M94" s="102" t="n">
        <f aca="false">'Flow 3 Output'!L9</f>
        <v>0</v>
      </c>
      <c r="N94" s="102" t="n">
        <f aca="false">'Flow 3 Output'!M9</f>
        <v>0</v>
      </c>
      <c r="P94" s="131"/>
      <c r="Q94" s="131"/>
      <c r="R94" s="161"/>
      <c r="S94" s="161"/>
      <c r="T94" s="161"/>
      <c r="U94" s="161"/>
      <c r="V94" s="161"/>
    </row>
    <row r="95" customFormat="false" ht="15.75" hidden="false" customHeight="false" outlineLevel="0" collapsed="false">
      <c r="A95" s="97" t="s">
        <v>171</v>
      </c>
      <c r="B95" s="101" t="n">
        <v>3125</v>
      </c>
      <c r="C95" s="102" t="n">
        <f aca="false">'Flow 3 Output'!B10</f>
        <v>0</v>
      </c>
      <c r="D95" s="102" t="n">
        <f aca="false">'Flow 3 Output'!C10</f>
        <v>0</v>
      </c>
      <c r="E95" s="102" t="n">
        <f aca="false">'Flow 3 Output'!D10</f>
        <v>0</v>
      </c>
      <c r="F95" s="102" t="n">
        <f aca="false">'Flow 3 Output'!E10</f>
        <v>0</v>
      </c>
      <c r="G95" s="102" t="n">
        <f aca="false">'Flow 3 Output'!F10</f>
        <v>0</v>
      </c>
      <c r="H95" s="102" t="n">
        <f aca="false">'Flow 3 Output'!G10</f>
        <v>0</v>
      </c>
      <c r="I95" s="102" t="n">
        <f aca="false">'Flow 3 Output'!H10</f>
        <v>0</v>
      </c>
      <c r="J95" s="102" t="n">
        <f aca="false">'Flow 3 Output'!I10</f>
        <v>0</v>
      </c>
      <c r="K95" s="102" t="n">
        <f aca="false">'Flow 3 Output'!J10</f>
        <v>0</v>
      </c>
      <c r="L95" s="102" t="n">
        <f aca="false">'Flow 3 Output'!K10</f>
        <v>0</v>
      </c>
      <c r="M95" s="102" t="n">
        <f aca="false">'Flow 3 Output'!L10</f>
        <v>0</v>
      </c>
      <c r="N95" s="102" t="n">
        <f aca="false">'Flow 3 Output'!M10</f>
        <v>0</v>
      </c>
      <c r="P95" s="131"/>
      <c r="Q95" s="131"/>
      <c r="R95" s="161"/>
      <c r="S95" s="161"/>
      <c r="T95" s="161"/>
      <c r="U95" s="161"/>
      <c r="V95" s="161"/>
    </row>
    <row r="96" customFormat="false" ht="15.75" hidden="false" customHeight="false" outlineLevel="0" collapsed="false">
      <c r="A96" s="97" t="s">
        <v>172</v>
      </c>
      <c r="B96" s="101" t="n">
        <v>15625</v>
      </c>
      <c r="C96" s="102" t="n">
        <f aca="false">'Flow 3 Output'!B11</f>
        <v>0</v>
      </c>
      <c r="D96" s="102" t="n">
        <f aca="false">'Flow 3 Output'!C11</f>
        <v>0</v>
      </c>
      <c r="E96" s="102" t="n">
        <f aca="false">'Flow 3 Output'!D11</f>
        <v>0</v>
      </c>
      <c r="F96" s="102" t="n">
        <f aca="false">'Flow 3 Output'!E11</f>
        <v>0</v>
      </c>
      <c r="G96" s="102" t="n">
        <f aca="false">'Flow 3 Output'!F11</f>
        <v>0</v>
      </c>
      <c r="H96" s="102" t="n">
        <f aca="false">'Flow 3 Output'!G11</f>
        <v>0</v>
      </c>
      <c r="I96" s="102" t="n">
        <f aca="false">'Flow 3 Output'!H11</f>
        <v>0</v>
      </c>
      <c r="J96" s="102" t="n">
        <f aca="false">'Flow 3 Output'!I11</f>
        <v>0</v>
      </c>
      <c r="K96" s="102" t="n">
        <f aca="false">'Flow 3 Output'!J11</f>
        <v>0</v>
      </c>
      <c r="L96" s="102" t="n">
        <f aca="false">'Flow 3 Output'!K11</f>
        <v>0</v>
      </c>
      <c r="M96" s="102" t="n">
        <f aca="false">'Flow 3 Output'!L11</f>
        <v>0</v>
      </c>
      <c r="N96" s="102" t="n">
        <f aca="false">'Flow 3 Output'!M11</f>
        <v>0</v>
      </c>
      <c r="P96" s="120"/>
    </row>
    <row r="97" customFormat="false" ht="15.75" hidden="false" customHeight="false" outlineLevel="0" collapsed="false">
      <c r="A97" s="97" t="s">
        <v>173</v>
      </c>
      <c r="B97" s="101" t="n">
        <v>78125</v>
      </c>
      <c r="C97" s="102" t="n">
        <f aca="false">'Flow 3 Output'!B12</f>
        <v>0</v>
      </c>
      <c r="D97" s="102" t="n">
        <f aca="false">'Flow 3 Output'!C12</f>
        <v>0</v>
      </c>
      <c r="E97" s="102" t="n">
        <f aca="false">'Flow 3 Output'!D12</f>
        <v>0</v>
      </c>
      <c r="F97" s="102" t="n">
        <f aca="false">'Flow 3 Output'!E12</f>
        <v>0</v>
      </c>
      <c r="G97" s="102" t="n">
        <f aca="false">'Flow 3 Output'!F12</f>
        <v>0</v>
      </c>
      <c r="H97" s="102" t="n">
        <f aca="false">'Flow 3 Output'!G12</f>
        <v>0</v>
      </c>
      <c r="I97" s="102" t="n">
        <f aca="false">'Flow 3 Output'!H12</f>
        <v>0</v>
      </c>
      <c r="J97" s="102" t="n">
        <f aca="false">'Flow 3 Output'!I12</f>
        <v>0</v>
      </c>
      <c r="K97" s="102" t="n">
        <f aca="false">'Flow 3 Output'!J12</f>
        <v>0</v>
      </c>
      <c r="L97" s="102" t="n">
        <f aca="false">'Flow 3 Output'!K12</f>
        <v>0</v>
      </c>
      <c r="M97" s="102" t="n">
        <f aca="false">'Flow 3 Output'!L12</f>
        <v>0</v>
      </c>
      <c r="N97" s="102" t="n">
        <f aca="false">'Flow 3 Output'!M12</f>
        <v>0</v>
      </c>
      <c r="P97" s="120"/>
    </row>
    <row r="98" customFormat="false" ht="15.75" hidden="false" customHeight="false" outlineLevel="0" collapsed="false">
      <c r="C98" s="115"/>
      <c r="D98" s="115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</row>
    <row r="99" customFormat="false" ht="15.75" hidden="false" customHeight="false" outlineLevel="0" collapsed="false">
      <c r="C99" s="115"/>
      <c r="D99" s="115"/>
      <c r="J99" s="115"/>
      <c r="L99" s="58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</row>
    <row r="100" customFormat="false" ht="15.75" hidden="false" customHeight="false" outlineLevel="0" collapsed="false">
      <c r="A100" s="42" t="s">
        <v>239</v>
      </c>
      <c r="B100" s="42"/>
      <c r="C100" s="97" t="n">
        <v>1</v>
      </c>
      <c r="D100" s="97" t="n">
        <v>2</v>
      </c>
      <c r="E100" s="97" t="n">
        <v>3</v>
      </c>
      <c r="F100" s="97" t="n">
        <v>4</v>
      </c>
      <c r="G100" s="97" t="n">
        <v>5</v>
      </c>
      <c r="H100" s="97" t="n">
        <v>6</v>
      </c>
      <c r="I100" s="97" t="n">
        <v>7</v>
      </c>
      <c r="J100" s="97" t="n">
        <v>8</v>
      </c>
      <c r="K100" s="97" t="n">
        <v>9</v>
      </c>
      <c r="L100" s="97" t="n">
        <v>10</v>
      </c>
      <c r="M100" s="97" t="n">
        <v>11</v>
      </c>
      <c r="N100" s="98" t="n">
        <v>12</v>
      </c>
      <c r="O100" s="42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</row>
    <row r="101" customFormat="false" ht="15.75" hidden="false" customHeight="false" outlineLevel="0" collapsed="false">
      <c r="A101" s="116" t="s">
        <v>166</v>
      </c>
      <c r="B101" s="97" t="s">
        <v>226</v>
      </c>
      <c r="C101" s="155" t="str">
        <f aca="false">C90</f>
        <v>pALD-eGFP</v>
      </c>
      <c r="D101" s="155" t="str">
        <f aca="false">D90</f>
        <v>pCTX</v>
      </c>
      <c r="E101" s="155" t="str">
        <f aca="false">E90</f>
        <v>pCTX</v>
      </c>
      <c r="F101" s="155" t="str">
        <f aca="false">F90</f>
        <v>pCTX</v>
      </c>
      <c r="G101" s="155" t="str">
        <f aca="false">G90</f>
        <v>pCTX</v>
      </c>
      <c r="H101" s="155" t="str">
        <f aca="false">H90</f>
        <v>pCTX</v>
      </c>
      <c r="I101" s="155" t="str">
        <f aca="false">I90</f>
        <v>pCTX</v>
      </c>
      <c r="J101" s="155" t="str">
        <f aca="false">J90</f>
        <v>pCTX</v>
      </c>
      <c r="K101" s="155" t="str">
        <f aca="false">K90</f>
        <v>pCTX</v>
      </c>
      <c r="L101" s="155" t="str">
        <f aca="false">L90</f>
        <v>pCTX</v>
      </c>
      <c r="M101" s="155" t="str">
        <f aca="false">M90</f>
        <v>pCTX</v>
      </c>
      <c r="N101" s="155" t="str">
        <f aca="false">N90</f>
        <v>pCTX</v>
      </c>
      <c r="O101" s="115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</row>
    <row r="102" customFormat="false" ht="15.75" hidden="false" customHeight="false" outlineLevel="0" collapsed="false">
      <c r="A102" s="97" t="s">
        <v>167</v>
      </c>
      <c r="B102" s="97" t="n">
        <f aca="false">B91</f>
        <v>5</v>
      </c>
      <c r="C102" s="121" t="n">
        <f aca="false">(C91/100)*10000*B91*10</f>
        <v>0</v>
      </c>
      <c r="D102" s="121" t="n">
        <f aca="false">(D91/100)*10000*B102*10</f>
        <v>0</v>
      </c>
      <c r="E102" s="121" t="n">
        <f aca="false">(E91/100)*10000*B91*10</f>
        <v>0</v>
      </c>
      <c r="F102" s="121" t="n">
        <f aca="false">(F91/100)*10000*B91*10</f>
        <v>0</v>
      </c>
      <c r="G102" s="121" t="n">
        <f aca="false">(G91/100)*10000*B91*10</f>
        <v>0</v>
      </c>
      <c r="H102" s="121" t="n">
        <f aca="false">(H91/100)*10000*B91*10</f>
        <v>0</v>
      </c>
      <c r="I102" s="121" t="n">
        <f aca="false">(I91/100)*10000*B91*10</f>
        <v>0</v>
      </c>
      <c r="J102" s="121" t="n">
        <f aca="false">(J91/100)*10000*B91*10</f>
        <v>0</v>
      </c>
      <c r="K102" s="121" t="n">
        <f aca="false">(K91/100)*10000*B91*10</f>
        <v>0</v>
      </c>
      <c r="L102" s="121" t="n">
        <f aca="false">(L91/100)*10000*B91*10</f>
        <v>0</v>
      </c>
      <c r="M102" s="121" t="n">
        <f aca="false">(M91/100)*10000*B91*10</f>
        <v>0</v>
      </c>
      <c r="N102" s="121" t="n">
        <f aca="false">(N91/100)*10000*B91*10</f>
        <v>0</v>
      </c>
      <c r="O102" s="120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</row>
    <row r="103" customFormat="false" ht="15.75" hidden="false" customHeight="false" outlineLevel="0" collapsed="false">
      <c r="A103" s="97" t="s">
        <v>168</v>
      </c>
      <c r="B103" s="97" t="n">
        <f aca="false">B92</f>
        <v>25</v>
      </c>
      <c r="C103" s="121" t="n">
        <f aca="false">(C92/100)*10000*B92*10</f>
        <v>0</v>
      </c>
      <c r="D103" s="121" t="n">
        <f aca="false">(D92/100)*10000*B103*10</f>
        <v>0</v>
      </c>
      <c r="E103" s="121" t="n">
        <f aca="false">(E92/100)*10000*B92*10</f>
        <v>0</v>
      </c>
      <c r="F103" s="121" t="n">
        <f aca="false">(F92/100)*10000*B92*10</f>
        <v>0</v>
      </c>
      <c r="G103" s="121" t="n">
        <f aca="false">(G92/100)*10000*B92*10</f>
        <v>0</v>
      </c>
      <c r="H103" s="121" t="n">
        <f aca="false">(H92/100)*10000*B92*10</f>
        <v>0</v>
      </c>
      <c r="I103" s="121" t="n">
        <f aca="false">(I92/100)*10000*B92*10</f>
        <v>0</v>
      </c>
      <c r="J103" s="121" t="n">
        <f aca="false">(J92/100)*10000*B92*10</f>
        <v>0</v>
      </c>
      <c r="K103" s="121" t="n">
        <f aca="false">(K92/100)*10000*B92*10</f>
        <v>0</v>
      </c>
      <c r="L103" s="121" t="n">
        <f aca="false">(L92/100)*10000*B92*10</f>
        <v>0</v>
      </c>
      <c r="M103" s="121" t="n">
        <f aca="false">(M92/100)*10000*B92*10</f>
        <v>0</v>
      </c>
      <c r="N103" s="121" t="n">
        <f aca="false">(N92/100)*10000*B92*10</f>
        <v>0</v>
      </c>
      <c r="O103" s="120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</row>
    <row r="104" customFormat="false" ht="15.75" hidden="false" customHeight="false" outlineLevel="0" collapsed="false">
      <c r="A104" s="97" t="s">
        <v>169</v>
      </c>
      <c r="B104" s="97" t="n">
        <f aca="false">B93</f>
        <v>125</v>
      </c>
      <c r="C104" s="121" t="n">
        <f aca="false">(C93/100)*10000*B93*10</f>
        <v>0</v>
      </c>
      <c r="D104" s="121" t="n">
        <f aca="false">(D93/100)*10000*B104*10</f>
        <v>0</v>
      </c>
      <c r="E104" s="121" t="n">
        <f aca="false">(E93/100)*10000*B93*10</f>
        <v>0</v>
      </c>
      <c r="F104" s="121" t="n">
        <f aca="false">(F93/100)*10000*B93*10</f>
        <v>0</v>
      </c>
      <c r="G104" s="121" t="n">
        <f aca="false">(G93/100)*10000*B93*10</f>
        <v>0</v>
      </c>
      <c r="H104" s="121" t="n">
        <f aca="false">(H93/100)*10000*B93*10</f>
        <v>0</v>
      </c>
      <c r="I104" s="121" t="n">
        <f aca="false">(I93/100)*10000*B93*10</f>
        <v>0</v>
      </c>
      <c r="J104" s="121" t="n">
        <f aca="false">(J93/100)*10000*B93*10</f>
        <v>0</v>
      </c>
      <c r="K104" s="121" t="n">
        <f aca="false">(K93/100)*10000*B93*10</f>
        <v>0</v>
      </c>
      <c r="L104" s="121" t="n">
        <f aca="false">(L93/100)*10000*B93*10</f>
        <v>0</v>
      </c>
      <c r="M104" s="121" t="n">
        <f aca="false">(M93/100)*10000*B93*10</f>
        <v>0</v>
      </c>
      <c r="N104" s="121" t="n">
        <f aca="false">(N93/100)*10000*B93*10</f>
        <v>0</v>
      </c>
      <c r="O104" s="120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</row>
    <row r="105" customFormat="false" ht="15.75" hidden="false" customHeight="false" outlineLevel="0" collapsed="false">
      <c r="A105" s="97" t="s">
        <v>170</v>
      </c>
      <c r="B105" s="97" t="n">
        <f aca="false">B94</f>
        <v>625</v>
      </c>
      <c r="C105" s="121" t="n">
        <f aca="false">(C94/100)*10000*B94*10</f>
        <v>0</v>
      </c>
      <c r="D105" s="121" t="n">
        <f aca="false">(D94/100)*10000*B105*10</f>
        <v>0</v>
      </c>
      <c r="E105" s="121" t="n">
        <f aca="false">(E94/100)*10000*B94*10</f>
        <v>0</v>
      </c>
      <c r="F105" s="121" t="n">
        <f aca="false">(F94/100)*10000*B94*10</f>
        <v>0</v>
      </c>
      <c r="G105" s="121" t="n">
        <f aca="false">(G94/100)*10000*B94*10</f>
        <v>0</v>
      </c>
      <c r="H105" s="121" t="n">
        <f aca="false">(H94/100)*10000*B94*10</f>
        <v>0</v>
      </c>
      <c r="I105" s="121" t="n">
        <f aca="false">(I94/100)*10000*B94*10</f>
        <v>0</v>
      </c>
      <c r="J105" s="121" t="n">
        <f aca="false">(J94/100)*10000*B94*10</f>
        <v>0</v>
      </c>
      <c r="K105" s="121" t="n">
        <f aca="false">(K94/100)*10000*B94*10</f>
        <v>0</v>
      </c>
      <c r="L105" s="121" t="n">
        <f aca="false">(L94/100)*10000*B94*10</f>
        <v>0</v>
      </c>
      <c r="M105" s="121" t="n">
        <f aca="false">(M94/100)*10000*B94*10</f>
        <v>0</v>
      </c>
      <c r="N105" s="121" t="n">
        <f aca="false">(N94/100)*10000*B94*10</f>
        <v>0</v>
      </c>
      <c r="O105" s="120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</row>
    <row r="106" customFormat="false" ht="15.75" hidden="false" customHeight="false" outlineLevel="0" collapsed="false">
      <c r="A106" s="97" t="s">
        <v>171</v>
      </c>
      <c r="B106" s="97" t="n">
        <f aca="false">B95</f>
        <v>3125</v>
      </c>
      <c r="C106" s="121" t="n">
        <f aca="false">(C95/100)*10000*B95*10</f>
        <v>0</v>
      </c>
      <c r="D106" s="121" t="n">
        <f aca="false">(D95/100)*10000*B106*10</f>
        <v>0</v>
      </c>
      <c r="E106" s="121" t="n">
        <f aca="false">(E95/100)*10000*B95*10</f>
        <v>0</v>
      </c>
      <c r="F106" s="121" t="n">
        <f aca="false">(F95/100)*10000*B95*10</f>
        <v>0</v>
      </c>
      <c r="G106" s="121" t="n">
        <f aca="false">(G95/100)*10000*B95*10</f>
        <v>0</v>
      </c>
      <c r="H106" s="121" t="n">
        <f aca="false">(H95/100)*10000*B95*10</f>
        <v>0</v>
      </c>
      <c r="I106" s="121" t="n">
        <f aca="false">(I95/100)*10000*B95*10</f>
        <v>0</v>
      </c>
      <c r="J106" s="121" t="n">
        <f aca="false">(J95/100)*10000*B95*10</f>
        <v>0</v>
      </c>
      <c r="K106" s="121" t="n">
        <f aca="false">(K95/100)*10000*B95*10</f>
        <v>0</v>
      </c>
      <c r="L106" s="121" t="n">
        <f aca="false">(L95/100)*10000*B95*10</f>
        <v>0</v>
      </c>
      <c r="M106" s="121" t="n">
        <f aca="false">(M95/100)*10000*B95*10</f>
        <v>0</v>
      </c>
      <c r="N106" s="121" t="n">
        <f aca="false">(N95/100)*10000*B95*10</f>
        <v>0</v>
      </c>
      <c r="O106" s="120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</row>
    <row r="107" customFormat="false" ht="15.75" hidden="false" customHeight="false" outlineLevel="0" collapsed="false">
      <c r="A107" s="97" t="s">
        <v>172</v>
      </c>
      <c r="B107" s="97" t="n">
        <f aca="false">B96</f>
        <v>15625</v>
      </c>
      <c r="C107" s="121" t="n">
        <f aca="false">(C96/100)*10000*B96*10</f>
        <v>0</v>
      </c>
      <c r="D107" s="121" t="n">
        <f aca="false">(D96/100)*10000*B107*10</f>
        <v>0</v>
      </c>
      <c r="E107" s="121" t="n">
        <f aca="false">(E96/100)*10000*B96*10</f>
        <v>0</v>
      </c>
      <c r="F107" s="121" t="n">
        <f aca="false">(F96/100)*10000*B96*10</f>
        <v>0</v>
      </c>
      <c r="G107" s="121" t="n">
        <f aca="false">(G96/100)*10000*B96*10</f>
        <v>0</v>
      </c>
      <c r="H107" s="121" t="n">
        <f aca="false">(H96/100)*10000*B96*10</f>
        <v>0</v>
      </c>
      <c r="I107" s="121" t="n">
        <f aca="false">(I96/100)*10000*B96*10</f>
        <v>0</v>
      </c>
      <c r="J107" s="121" t="n">
        <f aca="false">(J96/100)*10000*B96*10</f>
        <v>0</v>
      </c>
      <c r="K107" s="121" t="n">
        <f aca="false">(K96/100)*10000*B96*10</f>
        <v>0</v>
      </c>
      <c r="L107" s="121" t="n">
        <f aca="false">(L96/100)*10000*B96*10</f>
        <v>0</v>
      </c>
      <c r="M107" s="121" t="n">
        <f aca="false">(M96/100)*10000*B96*10</f>
        <v>0</v>
      </c>
      <c r="N107" s="121" t="n">
        <f aca="false">(N96/100)*10000*B96*10</f>
        <v>0</v>
      </c>
      <c r="O107" s="120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</row>
    <row r="108" customFormat="false" ht="15.75" hidden="false" customHeight="false" outlineLevel="0" collapsed="false">
      <c r="A108" s="97" t="s">
        <v>173</v>
      </c>
      <c r="B108" s="97" t="n">
        <f aca="false">B97</f>
        <v>78125</v>
      </c>
      <c r="C108" s="121" t="n">
        <f aca="false">(C97/100)*10000*B97*10</f>
        <v>0</v>
      </c>
      <c r="D108" s="121" t="n">
        <f aca="false">(D97/100)*10000*B108*10</f>
        <v>0</v>
      </c>
      <c r="E108" s="121" t="n">
        <f aca="false">(E97/100)*10000*B97*10</f>
        <v>0</v>
      </c>
      <c r="F108" s="121" t="n">
        <f aca="false">(F97/100)*10000*B97*10</f>
        <v>0</v>
      </c>
      <c r="G108" s="121" t="n">
        <f aca="false">(G97/100)*10000*B97*10</f>
        <v>0</v>
      </c>
      <c r="H108" s="121" t="n">
        <f aca="false">(H97/100)*10000*B97*10</f>
        <v>0</v>
      </c>
      <c r="I108" s="121" t="n">
        <f aca="false">(I97/100)*10000*B97*10</f>
        <v>0</v>
      </c>
      <c r="J108" s="121" t="n">
        <f aca="false">(J97/100)*10000*B97*10</f>
        <v>0</v>
      </c>
      <c r="K108" s="121" t="n">
        <f aca="false">(K97/100)*10000*B97*10</f>
        <v>0</v>
      </c>
      <c r="L108" s="121" t="n">
        <f aca="false">(L97/100)*10000*B97*10</f>
        <v>0</v>
      </c>
      <c r="M108" s="121" t="n">
        <f aca="false">(M97/100)*10000*B97*10</f>
        <v>0</v>
      </c>
      <c r="N108" s="121" t="n">
        <f aca="false">(N97/100)*10000*B97*10</f>
        <v>0</v>
      </c>
      <c r="O108" s="120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</row>
    <row r="109" customFormat="false" ht="15.75" hidden="false" customHeight="false" outlineLevel="0" collapsed="false">
      <c r="A109" s="123" t="s">
        <v>152</v>
      </c>
      <c r="B109" s="124"/>
      <c r="C109" s="125" t="n">
        <f aca="false">AVERAGE(C105:C107)</f>
        <v>0</v>
      </c>
      <c r="D109" s="125" t="n">
        <f aca="false">AVERAGE(D105:D107)</f>
        <v>0</v>
      </c>
      <c r="E109" s="125" t="n">
        <f aca="false">AVERAGE(E105:E107)</f>
        <v>0</v>
      </c>
      <c r="F109" s="125" t="n">
        <f aca="false">AVERAGE(F105:F107)</f>
        <v>0</v>
      </c>
      <c r="G109" s="125" t="n">
        <f aca="false">AVERAGE(G105:G107)</f>
        <v>0</v>
      </c>
      <c r="H109" s="125" t="n">
        <f aca="false">AVERAGE(H105:H107)</f>
        <v>0</v>
      </c>
      <c r="I109" s="125" t="n">
        <f aca="false">AVERAGE(I105:I107)</f>
        <v>0</v>
      </c>
      <c r="J109" s="125" t="n">
        <f aca="false">AVERAGE(J105:J107)</f>
        <v>0</v>
      </c>
      <c r="K109" s="125" t="n">
        <f aca="false">AVERAGE(K105:K107)</f>
        <v>0</v>
      </c>
      <c r="L109" s="125" t="n">
        <f aca="false">AVERAGE(L105:L107)</f>
        <v>0</v>
      </c>
      <c r="M109" s="125" t="n">
        <f aca="false">AVERAGE(M105:M107)</f>
        <v>0</v>
      </c>
      <c r="N109" s="125" t="n">
        <f aca="false">AVERAGE(N105:N107)</f>
        <v>0</v>
      </c>
      <c r="O109" s="122"/>
    </row>
    <row r="110" customFormat="false" ht="15.75" hidden="false" customHeight="false" outlineLevel="0" collapsed="false">
      <c r="A110" s="127" t="s">
        <v>240</v>
      </c>
      <c r="C110" s="128" t="n">
        <f aca="false">STDEV(C105:C107)/SQRT(COUNT(C105:C107))</f>
        <v>0</v>
      </c>
      <c r="D110" s="128" t="n">
        <f aca="false">STDEV(D105:D107)/SQRT(COUNT(D105:D107))</f>
        <v>0</v>
      </c>
      <c r="E110" s="128" t="n">
        <f aca="false">STDEV(E105:E107)/SQRT(COUNT(E105:E107))</f>
        <v>0</v>
      </c>
      <c r="F110" s="128" t="n">
        <f aca="false">STDEV(F105:F107)/SQRT(COUNT(F105:F107))</f>
        <v>0</v>
      </c>
      <c r="G110" s="128" t="n">
        <f aca="false">STDEV(G105:G107)/SQRT(COUNT(G105:G107))</f>
        <v>0</v>
      </c>
      <c r="H110" s="128" t="n">
        <f aca="false">STDEV(H105:H107)/SQRT(COUNT(H105:H107))</f>
        <v>0</v>
      </c>
      <c r="I110" s="128" t="n">
        <f aca="false">STDEV(I105:I107)/SQRT(COUNT(I105:I107))</f>
        <v>0</v>
      </c>
      <c r="J110" s="128" t="n">
        <f aca="false">STDEV(J105:J107)/SQRT(COUNT(J105:J107))</f>
        <v>0</v>
      </c>
      <c r="K110" s="128" t="n">
        <f aca="false">STDEV(K105:K107)/SQRT(COUNT(K105:K107))</f>
        <v>0</v>
      </c>
      <c r="L110" s="128" t="n">
        <f aca="false">STDEV(L105:L107)/SQRT(COUNT(L105:L107))</f>
        <v>0</v>
      </c>
      <c r="M110" s="128" t="n">
        <f aca="false">STDEV(M105:M107)/SQRT(COUNT(M105:M107))</f>
        <v>0</v>
      </c>
      <c r="N110" s="128" t="n">
        <f aca="false">STDEV(N105:N107)/SQRT(COUNT(N105:N107))</f>
        <v>0</v>
      </c>
      <c r="O110" s="120"/>
    </row>
    <row r="111" customFormat="false" ht="15.75" hidden="false" customHeight="false" outlineLevel="0" collapsed="false">
      <c r="A111" s="42" t="s">
        <v>241</v>
      </c>
      <c r="C111" s="129" t="e">
        <f aca="false">STDEV(C105:C107)/C109</f>
        <v>#DIV/0!</v>
      </c>
      <c r="D111" s="129" t="e">
        <f aca="false">STDEV(D105:D107)/D109</f>
        <v>#DIV/0!</v>
      </c>
      <c r="E111" s="129" t="e">
        <f aca="false">STDEV(E105:E107)/E109</f>
        <v>#DIV/0!</v>
      </c>
      <c r="F111" s="129" t="e">
        <f aca="false">STDEV(F105:F107)/F109</f>
        <v>#DIV/0!</v>
      </c>
      <c r="G111" s="129" t="e">
        <f aca="false">STDEV(G105:G107)/G109</f>
        <v>#DIV/0!</v>
      </c>
      <c r="H111" s="129" t="e">
        <f aca="false">STDEV(H105:H107)/H109</f>
        <v>#DIV/0!</v>
      </c>
      <c r="I111" s="129" t="e">
        <f aca="false">STDEV(I105:I107)/I109</f>
        <v>#DIV/0!</v>
      </c>
      <c r="J111" s="129" t="e">
        <f aca="false">STDEV(J105:J107)/J109</f>
        <v>#DIV/0!</v>
      </c>
      <c r="K111" s="129" t="e">
        <f aca="false">STDEV(K105:K107)/K109</f>
        <v>#DIV/0!</v>
      </c>
      <c r="L111" s="129" t="e">
        <f aca="false">STDEV(L105:L107)/L109</f>
        <v>#DIV/0!</v>
      </c>
      <c r="M111" s="129" t="e">
        <f aca="false">STDEV(M105:M107)/M109</f>
        <v>#DIV/0!</v>
      </c>
      <c r="N111" s="129" t="e">
        <f aca="false">STDEV(N105:N107)/N109</f>
        <v>#DIV/0!</v>
      </c>
    </row>
    <row r="112" customFormat="false" ht="15.75" hidden="false" customHeight="false" outlineLevel="0" collapsed="false">
      <c r="A112" s="58"/>
      <c r="C112" s="120"/>
      <c r="D112" s="120"/>
      <c r="K112" s="120"/>
    </row>
    <row r="113" customFormat="false" ht="16.5" hidden="false" customHeight="false" outlineLevel="0" collapsed="false">
      <c r="A113" s="42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</row>
    <row r="114" customFormat="false" ht="15.75" hidden="false" customHeight="false" outlineLevel="0" collapsed="false">
      <c r="A114" s="162" t="str">
        <f aca="false">'Best Average Titer 2'!A28</f>
        <v>Average &lt; CV Limit</v>
      </c>
      <c r="B114" s="134"/>
      <c r="C114" s="134" t="e">
        <f aca="false">'Best Average Titer 2'!C28</f>
        <v>#NAME?</v>
      </c>
      <c r="D114" s="134" t="e">
        <f aca="false">'Best Average Titer 2'!D28</f>
        <v>#NAME?</v>
      </c>
      <c r="E114" s="134" t="e">
        <f aca="false">'Best Average Titer 2'!E28</f>
        <v>#NAME?</v>
      </c>
      <c r="F114" s="134" t="e">
        <f aca="false">'Best Average Titer 2'!F28</f>
        <v>#NAME?</v>
      </c>
      <c r="G114" s="134" t="e">
        <f aca="false">'Best Average Titer 2'!G28</f>
        <v>#NAME?</v>
      </c>
      <c r="H114" s="134" t="e">
        <f aca="false">'Best Average Titer 2'!H28</f>
        <v>#NAME?</v>
      </c>
      <c r="I114" s="134" t="e">
        <f aca="false">'Best Average Titer 2'!I28</f>
        <v>#NAME?</v>
      </c>
      <c r="J114" s="134" t="e">
        <f aca="false">'Best Average Titer 2'!J28</f>
        <v>#NAME?</v>
      </c>
      <c r="K114" s="134" t="e">
        <f aca="false">'Best Average Titer 2'!K28</f>
        <v>#NAME?</v>
      </c>
      <c r="L114" s="134" t="e">
        <f aca="false">'Best Average Titer 2'!L28</f>
        <v>#NAME?</v>
      </c>
      <c r="M114" s="134" t="e">
        <f aca="false">'Best Average Titer 2'!M28</f>
        <v>#NAME?</v>
      </c>
      <c r="N114" s="134" t="e">
        <f aca="false">'Best Average Titer 2'!N28</f>
        <v>#NAME?</v>
      </c>
    </row>
    <row r="115" customFormat="false" ht="15.75" hidden="false" customHeight="false" outlineLevel="0" collapsed="false">
      <c r="A115" s="136" t="str">
        <f aca="false">'Best Average Titer 2'!A29</f>
        <v>Averages chosen</v>
      </c>
      <c r="B115" s="137"/>
      <c r="C115" s="137" t="e">
        <f aca="false">'Best Average Titer 2'!C29</f>
        <v>#NAME?</v>
      </c>
      <c r="D115" s="137" t="e">
        <f aca="false">'Best Average Titer 2'!D29</f>
        <v>#NAME?</v>
      </c>
      <c r="E115" s="137" t="e">
        <f aca="false">'Best Average Titer 2'!E29</f>
        <v>#NAME?</v>
      </c>
      <c r="F115" s="137" t="e">
        <f aca="false">'Best Average Titer 2'!F29</f>
        <v>#NAME?</v>
      </c>
      <c r="G115" s="137" t="e">
        <f aca="false">'Best Average Titer 2'!G29</f>
        <v>#NAME?</v>
      </c>
      <c r="H115" s="137" t="e">
        <f aca="false">'Best Average Titer 2'!H29</f>
        <v>#NAME?</v>
      </c>
      <c r="I115" s="137" t="e">
        <f aca="false">'Best Average Titer 2'!I29</f>
        <v>#NAME?</v>
      </c>
      <c r="J115" s="137" t="e">
        <f aca="false">'Best Average Titer 2'!J29</f>
        <v>#NAME?</v>
      </c>
      <c r="K115" s="137" t="e">
        <f aca="false">'Best Average Titer 2'!K29</f>
        <v>#NAME?</v>
      </c>
      <c r="L115" s="137" t="e">
        <f aca="false">'Best Average Titer 2'!L29</f>
        <v>#NAME?</v>
      </c>
      <c r="M115" s="137" t="e">
        <f aca="false">'Best Average Titer 2'!M29</f>
        <v>#NAME?</v>
      </c>
      <c r="N115" s="138" t="e">
        <f aca="false">'Best Average Titer 2'!N29</f>
        <v>#NAME?</v>
      </c>
    </row>
    <row r="116" customFormat="false" ht="15.75" hidden="false" customHeight="false" outlineLevel="0" collapsed="false">
      <c r="A116" s="136" t="str">
        <f aca="false">'Best Average Titer 2'!A30</f>
        <v>Standard Error</v>
      </c>
      <c r="B116" s="137"/>
      <c r="C116" s="139" t="e">
        <f aca="false">'Best Average Titer 2'!C30</f>
        <v>#NAME?</v>
      </c>
      <c r="D116" s="139" t="e">
        <f aca="false">'Best Average Titer 2'!D30</f>
        <v>#NAME?</v>
      </c>
      <c r="E116" s="139" t="e">
        <f aca="false">'Best Average Titer 2'!E30</f>
        <v>#NAME?</v>
      </c>
      <c r="F116" s="139" t="e">
        <f aca="false">'Best Average Titer 2'!F30</f>
        <v>#NAME?</v>
      </c>
      <c r="G116" s="139" t="e">
        <f aca="false">'Best Average Titer 2'!G30</f>
        <v>#NAME?</v>
      </c>
      <c r="H116" s="139" t="e">
        <f aca="false">'Best Average Titer 2'!H30</f>
        <v>#NAME?</v>
      </c>
      <c r="I116" s="139" t="e">
        <f aca="false">'Best Average Titer 2'!I30</f>
        <v>#NAME?</v>
      </c>
      <c r="J116" s="139" t="e">
        <f aca="false">'Best Average Titer 2'!J30</f>
        <v>#NAME?</v>
      </c>
      <c r="K116" s="139" t="e">
        <f aca="false">'Best Average Titer 2'!K30</f>
        <v>#NAME?</v>
      </c>
      <c r="L116" s="139" t="e">
        <f aca="false">'Best Average Titer 2'!L30</f>
        <v>#NAME?</v>
      </c>
      <c r="M116" s="139" t="e">
        <f aca="false">'Best Average Titer 2'!M30</f>
        <v>#NAME?</v>
      </c>
      <c r="N116" s="140" t="e">
        <f aca="false">'Best Average Titer 2'!N30</f>
        <v>#NAME?</v>
      </c>
    </row>
    <row r="117" customFormat="false" ht="16.5" hidden="false" customHeight="false" outlineLevel="0" collapsed="false">
      <c r="A117" s="141" t="str">
        <f aca="false">'Best Average Titer 2'!A31</f>
        <v>Coefficient of Variation</v>
      </c>
      <c r="B117" s="142"/>
      <c r="C117" s="143" t="n">
        <f aca="false">'Best Average Titer 2'!C31</f>
        <v>0</v>
      </c>
      <c r="D117" s="143" t="n">
        <f aca="false">'Best Average Titer 2'!D31</f>
        <v>0</v>
      </c>
      <c r="E117" s="143" t="n">
        <f aca="false">'Best Average Titer 2'!E31</f>
        <v>0</v>
      </c>
      <c r="F117" s="143" t="n">
        <f aca="false">'Best Average Titer 2'!F31</f>
        <v>0</v>
      </c>
      <c r="G117" s="143" t="n">
        <f aca="false">'Best Average Titer 2'!G31</f>
        <v>0</v>
      </c>
      <c r="H117" s="143" t="n">
        <f aca="false">'Best Average Titer 2'!H31</f>
        <v>0</v>
      </c>
      <c r="I117" s="143" t="n">
        <f aca="false">'Best Average Titer 2'!I31</f>
        <v>0</v>
      </c>
      <c r="J117" s="143" t="n">
        <f aca="false">'Best Average Titer 2'!J31</f>
        <v>0</v>
      </c>
      <c r="K117" s="143" t="n">
        <f aca="false">'Best Average Titer 2'!K31</f>
        <v>0</v>
      </c>
      <c r="L117" s="143" t="n">
        <f aca="false">'Best Average Titer 2'!L31</f>
        <v>0</v>
      </c>
      <c r="M117" s="143" t="n">
        <f aca="false">'Best Average Titer 2'!M31</f>
        <v>0</v>
      </c>
      <c r="N117" s="144" t="n">
        <f aca="false">'Best Average Titer 2'!N31</f>
        <v>0</v>
      </c>
    </row>
    <row r="118" customFormat="false" ht="15.75" hidden="false" customHeight="false" outlineLevel="0" collapsed="false">
      <c r="A118" s="58"/>
    </row>
    <row r="119" customFormat="false" ht="15.75" hidden="false" customHeight="false" outlineLevel="0" collapsed="false">
      <c r="A119" s="44" t="s">
        <v>244</v>
      </c>
    </row>
    <row r="120" customFormat="false" ht="15.75" hidden="false" customHeight="false" outlineLevel="0" collapsed="false">
      <c r="A120" s="58" t="s">
        <v>245</v>
      </c>
    </row>
    <row r="121" customFormat="false" ht="15.75" hidden="false" customHeight="false" outlineLevel="0" collapsed="false">
      <c r="A121" s="58"/>
    </row>
    <row r="122" customFormat="false" ht="15.75" hidden="false" customHeight="false" outlineLevel="0" collapsed="false">
      <c r="A122" s="58"/>
    </row>
    <row r="124" customFormat="false" ht="15.75" hidden="false" customHeight="false" outlineLevel="0" collapsed="false">
      <c r="A124" s="58"/>
    </row>
    <row r="125" customFormat="false" ht="18" hidden="false" customHeight="false" outlineLevel="0" collapsed="false">
      <c r="A125" s="59" t="s">
        <v>247</v>
      </c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156"/>
    </row>
    <row r="126" customFormat="false" ht="18" hidden="false" customHeight="false" outlineLevel="0" collapsed="false">
      <c r="A126" s="65"/>
      <c r="B126" s="58"/>
      <c r="C126" s="145"/>
      <c r="D126" s="78"/>
      <c r="E126" s="78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158"/>
    </row>
    <row r="127" customFormat="false" ht="18.75" hidden="false" customHeight="false" outlineLevel="0" collapsed="false">
      <c r="A127" s="77"/>
      <c r="B127" s="78"/>
      <c r="C127" s="79"/>
      <c r="D127" s="78"/>
      <c r="E127" s="7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158"/>
    </row>
    <row r="128" customFormat="false" ht="15.75" hidden="false" customHeight="false" outlineLevel="0" collapsed="false">
      <c r="C128" s="42"/>
      <c r="E128" s="42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160"/>
    </row>
    <row r="129" customFormat="false" ht="15.75" hidden="false" customHeight="false" outlineLevel="0" collapsed="false">
      <c r="A129" s="86" t="s">
        <v>195</v>
      </c>
      <c r="B129" s="87"/>
      <c r="C129" s="88" t="e">
        <f aca="false">_xlfn.xlookup(C$47,'Flow 4 Input'!$I$9:$I$1000,'Flow 3 Input'!$J$9:$J$1000)</f>
        <v>#NAME?</v>
      </c>
      <c r="D129" s="88" t="e">
        <f aca="false">_xlfn.xlookup(D$47,'Flow 4 Input'!$I$9:$I$1000,'Flow 3 Input'!$J$9:$J$1000)</f>
        <v>#NAME?</v>
      </c>
      <c r="E129" s="88" t="e">
        <f aca="false">_xlfn.xlookup(E$47,'Flow 4 Input'!$I$9:$I$1000,'Flow 3 Input'!$J$9:$J$1000)</f>
        <v>#NAME?</v>
      </c>
      <c r="F129" s="88" t="e">
        <f aca="false">_xlfn.xlookup(F$47,'Flow 4 Input'!$I$9:$I$1000,'Flow 3 Input'!$J$9:$J$1000)</f>
        <v>#NAME?</v>
      </c>
      <c r="G129" s="88" t="e">
        <f aca="false">_xlfn.xlookup(G$47,'Flow 4 Input'!$I$9:$I$1000,'Flow 3 Input'!$J$9:$J$1000)</f>
        <v>#NAME?</v>
      </c>
      <c r="H129" s="88" t="e">
        <f aca="false">_xlfn.xlookup(H$47,'Flow 4 Input'!$I$9:$I$1000,'Flow 3 Input'!$J$9:$J$1000)</f>
        <v>#NAME?</v>
      </c>
      <c r="I129" s="88" t="e">
        <f aca="false">_xlfn.xlookup(I$47,'Flow 4 Input'!$I$9:$I$1000,'Flow 3 Input'!$J$9:$J$1000)</f>
        <v>#NAME?</v>
      </c>
      <c r="J129" s="88" t="e">
        <f aca="false">_xlfn.xlookup(J$47,'Flow 4 Input'!$I$9:$I$1000,'Flow 3 Input'!$J$9:$J$1000)</f>
        <v>#NAME?</v>
      </c>
      <c r="K129" s="88" t="e">
        <f aca="false">_xlfn.xlookup(K$47,'Flow 4 Input'!$I$9:$I$1000,'Flow 3 Input'!$J$9:$J$1000)</f>
        <v>#NAME?</v>
      </c>
      <c r="L129" s="88" t="e">
        <f aca="false">_xlfn.xlookup(L$47,'Flow 4 Input'!$I$9:$I$1000,'Flow 3 Input'!$J$9:$J$1000)</f>
        <v>#NAME?</v>
      </c>
      <c r="M129" s="88" t="e">
        <f aca="false">_xlfn.xlookup(M$47,'Flow 4 Input'!$I$9:$I$1000,'Flow 3 Input'!$J$9:$J$1000)</f>
        <v>#NAME?</v>
      </c>
      <c r="N129" s="88" t="e">
        <f aca="false">_xlfn.xlookup(N$47,'Flow 4 Input'!$I$9:$I$1000,'Flow 3 Input'!$J$9:$J$1000)</f>
        <v>#NAME?</v>
      </c>
      <c r="P129" s="96"/>
    </row>
    <row r="130" customFormat="false" ht="15.75" hidden="false" customHeight="false" outlineLevel="0" collapsed="false">
      <c r="A130" s="92" t="s">
        <v>219</v>
      </c>
      <c r="B130" s="93"/>
      <c r="C130" s="94" t="e">
        <f aca="false">_xlfn.xlookup(C$129,'Titer Calculation'!$AB$3:$AB$50,'Titer Calculation'!$AD$3:$AD$50,,-1,1)</f>
        <v>#NAME?</v>
      </c>
      <c r="D130" s="94" t="e">
        <f aca="false">_xlfn.xlookup(D$129,'Titer Calculation'!$AB$3:$AB$50,'Titer Calculation'!$AD$3:$AD$50,,-1,1)</f>
        <v>#NAME?</v>
      </c>
      <c r="E130" s="94" t="e">
        <f aca="false">_xlfn.xlookup(E$129,'Titer Calculation'!$AB$3:$AB$50,'Titer Calculation'!$AD$3:$AD$50,,-1,1)</f>
        <v>#NAME?</v>
      </c>
      <c r="F130" s="94" t="e">
        <f aca="false">_xlfn.xlookup(F$129,'Titer Calculation'!$AB$3:$AB$50,'Titer Calculation'!$AD$3:$AD$50,,-1,1)</f>
        <v>#NAME?</v>
      </c>
      <c r="G130" s="94" t="e">
        <f aca="false">_xlfn.xlookup(G$129,'Titer Calculation'!$AB$3:$AB$50,'Titer Calculation'!$AD$3:$AD$50,,-1,1)</f>
        <v>#NAME?</v>
      </c>
      <c r="H130" s="94" t="e">
        <f aca="false">_xlfn.xlookup(H$129,'Titer Calculation'!$AB$3:$AB$50,'Titer Calculation'!$AD$3:$AD$50,,-1,1)</f>
        <v>#NAME?</v>
      </c>
      <c r="I130" s="94" t="e">
        <f aca="false">_xlfn.xlookup(I$129,'Titer Calculation'!$AB$3:$AB$50,'Titer Calculation'!$AD$3:$AD$50,,-1,1)</f>
        <v>#NAME?</v>
      </c>
      <c r="J130" s="94" t="e">
        <f aca="false">_xlfn.xlookup(J$129,'Titer Calculation'!$AB$3:$AB$50,'Titer Calculation'!$AD$3:$AD$50,,-1,1)</f>
        <v>#NAME?</v>
      </c>
      <c r="K130" s="94" t="e">
        <f aca="false">_xlfn.xlookup(K$129,'Titer Calculation'!$AB$3:$AB$50,'Titer Calculation'!$AD$3:$AD$50,,-1,1)</f>
        <v>#NAME?</v>
      </c>
      <c r="L130" s="94" t="e">
        <f aca="false">_xlfn.xlookup(L$129,'Titer Calculation'!$AB$3:$AB$50,'Titer Calculation'!$AD$3:$AD$50,,-1,1)</f>
        <v>#NAME?</v>
      </c>
      <c r="M130" s="94" t="e">
        <f aca="false">_xlfn.xlookup(M$129,'Titer Calculation'!$AB$3:$AB$50,'Titer Calculation'!$AD$3:$AD$50,,-1,1)</f>
        <v>#NAME?</v>
      </c>
      <c r="N130" s="94" t="e">
        <f aca="false">_xlfn.xlookup(N$129,'Titer Calculation'!$AB$3:$AB$50,'Titer Calculation'!$AD$3:$AD$50,,-1,1)</f>
        <v>#NAME?</v>
      </c>
      <c r="O130" s="58"/>
      <c r="P130" s="155"/>
    </row>
    <row r="131" customFormat="false" ht="15.75" hidden="false" customHeight="false" outlineLevel="0" collapsed="false">
      <c r="A131" s="42" t="s">
        <v>223</v>
      </c>
      <c r="B131" s="150"/>
      <c r="C131" s="97" t="n">
        <v>1</v>
      </c>
      <c r="D131" s="97" t="n">
        <v>2</v>
      </c>
      <c r="E131" s="97" t="n">
        <v>3</v>
      </c>
      <c r="F131" s="97" t="n">
        <v>4</v>
      </c>
      <c r="G131" s="97" t="n">
        <v>5</v>
      </c>
      <c r="H131" s="97" t="n">
        <v>6</v>
      </c>
      <c r="I131" s="97" t="n">
        <v>7</v>
      </c>
      <c r="J131" s="97" t="n">
        <v>8</v>
      </c>
      <c r="K131" s="97" t="n">
        <v>9</v>
      </c>
      <c r="L131" s="97" t="n">
        <v>10</v>
      </c>
      <c r="M131" s="97" t="n">
        <v>11</v>
      </c>
      <c r="N131" s="98" t="n">
        <v>12</v>
      </c>
      <c r="O131" s="42"/>
      <c r="P131" s="131"/>
    </row>
    <row r="132" customFormat="false" ht="15.75" hidden="false" customHeight="false" outlineLevel="0" collapsed="false">
      <c r="A132" s="97" t="s">
        <v>166</v>
      </c>
      <c r="B132" s="97" t="s">
        <v>226</v>
      </c>
      <c r="C132" s="95" t="s">
        <v>227</v>
      </c>
      <c r="D132" s="95" t="s">
        <v>228</v>
      </c>
      <c r="E132" s="95" t="s">
        <v>228</v>
      </c>
      <c r="F132" s="95" t="s">
        <v>228</v>
      </c>
      <c r="G132" s="95" t="s">
        <v>228</v>
      </c>
      <c r="H132" s="95" t="s">
        <v>228</v>
      </c>
      <c r="I132" s="95" t="s">
        <v>228</v>
      </c>
      <c r="J132" s="95" t="s">
        <v>228</v>
      </c>
      <c r="K132" s="95" t="s">
        <v>228</v>
      </c>
      <c r="L132" s="95" t="s">
        <v>228</v>
      </c>
      <c r="M132" s="95" t="s">
        <v>228</v>
      </c>
      <c r="N132" s="95" t="s">
        <v>228</v>
      </c>
      <c r="O132" s="99"/>
      <c r="P132" s="131"/>
    </row>
    <row r="133" customFormat="false" ht="15.75" hidden="false" customHeight="false" outlineLevel="0" collapsed="false">
      <c r="A133" s="97" t="s">
        <v>167</v>
      </c>
      <c r="B133" s="101" t="n">
        <v>5</v>
      </c>
      <c r="C133" s="102" t="n">
        <f aca="false">'Flow 4 Output'!B6</f>
        <v>0</v>
      </c>
      <c r="D133" s="102" t="n">
        <f aca="false">'Flow 4 Output'!C6</f>
        <v>0</v>
      </c>
      <c r="E133" s="102" t="n">
        <f aca="false">'Flow 4 Output'!D6</f>
        <v>0</v>
      </c>
      <c r="F133" s="102" t="n">
        <f aca="false">'Flow 4 Output'!E6</f>
        <v>0</v>
      </c>
      <c r="G133" s="102" t="n">
        <f aca="false">'Flow 4 Output'!F6</f>
        <v>0</v>
      </c>
      <c r="H133" s="102" t="n">
        <f aca="false">'Flow 4 Output'!G6</f>
        <v>0</v>
      </c>
      <c r="I133" s="102" t="n">
        <f aca="false">'Flow 4 Output'!H6</f>
        <v>0</v>
      </c>
      <c r="J133" s="102" t="n">
        <f aca="false">'Flow 4 Output'!I6</f>
        <v>0</v>
      </c>
      <c r="K133" s="102" t="n">
        <f aca="false">'Flow 4 Output'!J6</f>
        <v>0</v>
      </c>
      <c r="L133" s="102" t="n">
        <f aca="false">'Flow 4 Output'!K6</f>
        <v>0</v>
      </c>
      <c r="M133" s="102" t="n">
        <f aca="false">'Flow 4 Output'!L6</f>
        <v>0</v>
      </c>
      <c r="N133" s="102" t="n">
        <f aca="false">'Flow 4 Output'!M6</f>
        <v>0</v>
      </c>
      <c r="P133" s="131"/>
    </row>
    <row r="134" customFormat="false" ht="15.75" hidden="false" customHeight="false" outlineLevel="0" collapsed="false">
      <c r="A134" s="97" t="s">
        <v>168</v>
      </c>
      <c r="B134" s="101" t="n">
        <v>25</v>
      </c>
      <c r="C134" s="102" t="n">
        <f aca="false">'Flow 4 Output'!B7</f>
        <v>0</v>
      </c>
      <c r="D134" s="102" t="n">
        <f aca="false">'Flow 4 Output'!C7</f>
        <v>0</v>
      </c>
      <c r="E134" s="102" t="n">
        <f aca="false">'Flow 4 Output'!D7</f>
        <v>0</v>
      </c>
      <c r="F134" s="102" t="n">
        <f aca="false">'Flow 4 Output'!E7</f>
        <v>0</v>
      </c>
      <c r="G134" s="102" t="n">
        <f aca="false">'Flow 4 Output'!F7</f>
        <v>0</v>
      </c>
      <c r="H134" s="102" t="n">
        <f aca="false">'Flow 4 Output'!G7</f>
        <v>0</v>
      </c>
      <c r="I134" s="102" t="n">
        <f aca="false">'Flow 4 Output'!H7</f>
        <v>0</v>
      </c>
      <c r="J134" s="102" t="n">
        <f aca="false">'Flow 4 Output'!I7</f>
        <v>0</v>
      </c>
      <c r="K134" s="102" t="n">
        <f aca="false">'Flow 4 Output'!J7</f>
        <v>0</v>
      </c>
      <c r="L134" s="102" t="n">
        <f aca="false">'Flow 4 Output'!K7</f>
        <v>0</v>
      </c>
      <c r="M134" s="102" t="n">
        <f aca="false">'Flow 4 Output'!L7</f>
        <v>0</v>
      </c>
      <c r="N134" s="102" t="n">
        <f aca="false">'Flow 4 Output'!M7</f>
        <v>0</v>
      </c>
      <c r="P134" s="131"/>
    </row>
    <row r="135" customFormat="false" ht="15.75" hidden="false" customHeight="false" outlineLevel="0" collapsed="false">
      <c r="A135" s="97" t="s">
        <v>169</v>
      </c>
      <c r="B135" s="101" t="n">
        <v>125</v>
      </c>
      <c r="C135" s="102" t="n">
        <f aca="false">'Flow 4 Output'!B8</f>
        <v>0</v>
      </c>
      <c r="D135" s="102" t="n">
        <f aca="false">'Flow 4 Output'!C8</f>
        <v>0</v>
      </c>
      <c r="E135" s="102" t="n">
        <f aca="false">'Flow 4 Output'!D8</f>
        <v>0</v>
      </c>
      <c r="F135" s="102" t="n">
        <f aca="false">'Flow 4 Output'!E8</f>
        <v>0</v>
      </c>
      <c r="G135" s="102" t="n">
        <f aca="false">'Flow 4 Output'!F8</f>
        <v>0</v>
      </c>
      <c r="H135" s="102" t="n">
        <f aca="false">'Flow 4 Output'!G8</f>
        <v>0</v>
      </c>
      <c r="I135" s="102" t="n">
        <f aca="false">'Flow 4 Output'!H8</f>
        <v>0</v>
      </c>
      <c r="J135" s="102" t="n">
        <f aca="false">'Flow 4 Output'!I8</f>
        <v>0</v>
      </c>
      <c r="K135" s="102" t="n">
        <f aca="false">'Flow 4 Output'!J8</f>
        <v>0</v>
      </c>
      <c r="L135" s="102" t="n">
        <f aca="false">'Flow 4 Output'!K8</f>
        <v>0</v>
      </c>
      <c r="M135" s="102" t="n">
        <f aca="false">'Flow 4 Output'!L8</f>
        <v>0</v>
      </c>
      <c r="N135" s="102" t="n">
        <f aca="false">'Flow 4 Output'!M8</f>
        <v>0</v>
      </c>
      <c r="P135" s="131"/>
    </row>
    <row r="136" customFormat="false" ht="15.75" hidden="false" customHeight="false" outlineLevel="0" collapsed="false">
      <c r="A136" s="97" t="s">
        <v>170</v>
      </c>
      <c r="B136" s="101" t="n">
        <v>625</v>
      </c>
      <c r="C136" s="102" t="n">
        <f aca="false">'Flow 4 Output'!B9</f>
        <v>0</v>
      </c>
      <c r="D136" s="102" t="n">
        <f aca="false">'Flow 4 Output'!C9</f>
        <v>0</v>
      </c>
      <c r="E136" s="102" t="n">
        <f aca="false">'Flow 4 Output'!D9</f>
        <v>0</v>
      </c>
      <c r="F136" s="102" t="n">
        <f aca="false">'Flow 4 Output'!E9</f>
        <v>0</v>
      </c>
      <c r="G136" s="102" t="n">
        <f aca="false">'Flow 4 Output'!F9</f>
        <v>0</v>
      </c>
      <c r="H136" s="102" t="n">
        <f aca="false">'Flow 4 Output'!G9</f>
        <v>0</v>
      </c>
      <c r="I136" s="102" t="n">
        <f aca="false">'Flow 4 Output'!H9</f>
        <v>0</v>
      </c>
      <c r="J136" s="102" t="n">
        <f aca="false">'Flow 4 Output'!I9</f>
        <v>0</v>
      </c>
      <c r="K136" s="102" t="n">
        <f aca="false">'Flow 4 Output'!J9</f>
        <v>0</v>
      </c>
      <c r="L136" s="102" t="n">
        <f aca="false">'Flow 4 Output'!K9</f>
        <v>0</v>
      </c>
      <c r="M136" s="102" t="n">
        <f aca="false">'Flow 4 Output'!L9</f>
        <v>0</v>
      </c>
      <c r="N136" s="102" t="n">
        <f aca="false">'Flow 4 Output'!M9</f>
        <v>0</v>
      </c>
      <c r="P136" s="131"/>
    </row>
    <row r="137" customFormat="false" ht="15.75" hidden="false" customHeight="false" outlineLevel="0" collapsed="false">
      <c r="A137" s="97" t="s">
        <v>171</v>
      </c>
      <c r="B137" s="101" t="n">
        <v>3125</v>
      </c>
      <c r="C137" s="102" t="n">
        <f aca="false">'Flow 4 Output'!B10</f>
        <v>0</v>
      </c>
      <c r="D137" s="102" t="n">
        <f aca="false">'Flow 4 Output'!C10</f>
        <v>0</v>
      </c>
      <c r="E137" s="102" t="n">
        <f aca="false">'Flow 4 Output'!D10</f>
        <v>0</v>
      </c>
      <c r="F137" s="102" t="n">
        <f aca="false">'Flow 4 Output'!E10</f>
        <v>0</v>
      </c>
      <c r="G137" s="102" t="n">
        <f aca="false">'Flow 4 Output'!F10</f>
        <v>0</v>
      </c>
      <c r="H137" s="102" t="n">
        <f aca="false">'Flow 4 Output'!G10</f>
        <v>0</v>
      </c>
      <c r="I137" s="102" t="n">
        <f aca="false">'Flow 4 Output'!H10</f>
        <v>0</v>
      </c>
      <c r="J137" s="102" t="n">
        <f aca="false">'Flow 4 Output'!I10</f>
        <v>0</v>
      </c>
      <c r="K137" s="102" t="n">
        <f aca="false">'Flow 4 Output'!J10</f>
        <v>0</v>
      </c>
      <c r="L137" s="102" t="n">
        <f aca="false">'Flow 4 Output'!K10</f>
        <v>0</v>
      </c>
      <c r="M137" s="102" t="n">
        <f aca="false">'Flow 4 Output'!L10</f>
        <v>0</v>
      </c>
      <c r="N137" s="102" t="n">
        <f aca="false">'Flow 4 Output'!M10</f>
        <v>0</v>
      </c>
      <c r="P137" s="131"/>
    </row>
    <row r="138" customFormat="false" ht="15.75" hidden="false" customHeight="false" outlineLevel="0" collapsed="false">
      <c r="A138" s="97" t="s">
        <v>172</v>
      </c>
      <c r="B138" s="101" t="n">
        <v>15625</v>
      </c>
      <c r="C138" s="102" t="n">
        <f aca="false">'Flow 4 Output'!B11</f>
        <v>0</v>
      </c>
      <c r="D138" s="102" t="n">
        <f aca="false">'Flow 4 Output'!C11</f>
        <v>0</v>
      </c>
      <c r="E138" s="102" t="n">
        <f aca="false">'Flow 4 Output'!D11</f>
        <v>0</v>
      </c>
      <c r="F138" s="102" t="n">
        <f aca="false">'Flow 4 Output'!E11</f>
        <v>0</v>
      </c>
      <c r="G138" s="102" t="n">
        <f aca="false">'Flow 4 Output'!F11</f>
        <v>0</v>
      </c>
      <c r="H138" s="102" t="n">
        <f aca="false">'Flow 4 Output'!G11</f>
        <v>0</v>
      </c>
      <c r="I138" s="102" t="n">
        <f aca="false">'Flow 4 Output'!H11</f>
        <v>0</v>
      </c>
      <c r="J138" s="102" t="n">
        <f aca="false">'Flow 4 Output'!I11</f>
        <v>0</v>
      </c>
      <c r="K138" s="102" t="n">
        <f aca="false">'Flow 4 Output'!J11</f>
        <v>0</v>
      </c>
      <c r="L138" s="102" t="n">
        <f aca="false">'Flow 4 Output'!K11</f>
        <v>0</v>
      </c>
      <c r="M138" s="102" t="n">
        <f aca="false">'Flow 4 Output'!L11</f>
        <v>0</v>
      </c>
      <c r="N138" s="102" t="n">
        <f aca="false">'Flow 4 Output'!M11</f>
        <v>0</v>
      </c>
      <c r="P138" s="120"/>
    </row>
    <row r="139" customFormat="false" ht="15.75" hidden="false" customHeight="false" outlineLevel="0" collapsed="false">
      <c r="A139" s="97" t="s">
        <v>173</v>
      </c>
      <c r="B139" s="101" t="n">
        <v>78125</v>
      </c>
      <c r="C139" s="102" t="n">
        <f aca="false">'Flow 4 Output'!B12</f>
        <v>0</v>
      </c>
      <c r="D139" s="102" t="n">
        <f aca="false">'Flow 4 Output'!C12</f>
        <v>0</v>
      </c>
      <c r="E139" s="102" t="n">
        <f aca="false">'Flow 4 Output'!D12</f>
        <v>0</v>
      </c>
      <c r="F139" s="102" t="n">
        <f aca="false">'Flow 4 Output'!E12</f>
        <v>0</v>
      </c>
      <c r="G139" s="102" t="n">
        <f aca="false">'Flow 4 Output'!F12</f>
        <v>0</v>
      </c>
      <c r="H139" s="102" t="n">
        <f aca="false">'Flow 4 Output'!G12</f>
        <v>0</v>
      </c>
      <c r="I139" s="102" t="n">
        <f aca="false">'Flow 4 Output'!H12</f>
        <v>0</v>
      </c>
      <c r="J139" s="102" t="n">
        <f aca="false">'Flow 4 Output'!I12</f>
        <v>0</v>
      </c>
      <c r="K139" s="102" t="n">
        <f aca="false">'Flow 4 Output'!J12</f>
        <v>0</v>
      </c>
      <c r="L139" s="102" t="n">
        <f aca="false">'Flow 4 Output'!K12</f>
        <v>0</v>
      </c>
      <c r="M139" s="102" t="n">
        <f aca="false">'Flow 4 Output'!L12</f>
        <v>0</v>
      </c>
      <c r="N139" s="102" t="n">
        <f aca="false">'Flow 4 Output'!M12</f>
        <v>0</v>
      </c>
      <c r="P139" s="120"/>
    </row>
    <row r="140" customFormat="false" ht="15.75" hidden="false" customHeight="false" outlineLevel="0" collapsed="false">
      <c r="C140" s="115"/>
      <c r="D140" s="115"/>
      <c r="P140" s="34"/>
    </row>
    <row r="141" customFormat="false" ht="15.75" hidden="false" customHeight="false" outlineLevel="0" collapsed="false">
      <c r="C141" s="115"/>
      <c r="D141" s="115"/>
      <c r="J141" s="115"/>
      <c r="L141" s="58"/>
      <c r="P141" s="34"/>
    </row>
    <row r="142" customFormat="false" ht="15.75" hidden="false" customHeight="false" outlineLevel="0" collapsed="false">
      <c r="A142" s="42" t="s">
        <v>239</v>
      </c>
      <c r="B142" s="42"/>
      <c r="C142" s="97" t="n">
        <v>1</v>
      </c>
      <c r="D142" s="97" t="n">
        <v>2</v>
      </c>
      <c r="E142" s="97" t="n">
        <v>3</v>
      </c>
      <c r="F142" s="97" t="n">
        <v>4</v>
      </c>
      <c r="G142" s="97" t="n">
        <v>5</v>
      </c>
      <c r="H142" s="97" t="n">
        <v>6</v>
      </c>
      <c r="I142" s="97" t="n">
        <v>7</v>
      </c>
      <c r="J142" s="97" t="n">
        <v>8</v>
      </c>
      <c r="K142" s="97" t="n">
        <v>9</v>
      </c>
      <c r="L142" s="97" t="n">
        <v>10</v>
      </c>
      <c r="M142" s="97" t="n">
        <v>11</v>
      </c>
      <c r="N142" s="98" t="n">
        <v>12</v>
      </c>
      <c r="O142" s="42"/>
      <c r="P142" s="34"/>
    </row>
    <row r="143" customFormat="false" ht="15.75" hidden="false" customHeight="false" outlineLevel="0" collapsed="false">
      <c r="A143" s="116" t="s">
        <v>166</v>
      </c>
      <c r="B143" s="97" t="s">
        <v>226</v>
      </c>
      <c r="C143" s="155" t="str">
        <f aca="false">C132</f>
        <v>pALD-eGFP</v>
      </c>
      <c r="D143" s="155" t="str">
        <f aca="false">D132</f>
        <v>pCTX</v>
      </c>
      <c r="E143" s="155" t="str">
        <f aca="false">E132</f>
        <v>pCTX</v>
      </c>
      <c r="F143" s="155" t="str">
        <f aca="false">F132</f>
        <v>pCTX</v>
      </c>
      <c r="G143" s="155" t="str">
        <f aca="false">G132</f>
        <v>pCTX</v>
      </c>
      <c r="H143" s="155" t="str">
        <f aca="false">H132</f>
        <v>pCTX</v>
      </c>
      <c r="I143" s="155" t="str">
        <f aca="false">I132</f>
        <v>pCTX</v>
      </c>
      <c r="J143" s="155" t="str">
        <f aca="false">J132</f>
        <v>pCTX</v>
      </c>
      <c r="K143" s="155" t="str">
        <f aca="false">K132</f>
        <v>pCTX</v>
      </c>
      <c r="L143" s="155" t="str">
        <f aca="false">L132</f>
        <v>pCTX</v>
      </c>
      <c r="M143" s="155" t="str">
        <f aca="false">M132</f>
        <v>pCTX</v>
      </c>
      <c r="N143" s="155" t="str">
        <f aca="false">N132</f>
        <v>pCTX</v>
      </c>
      <c r="O143" s="115"/>
      <c r="P143" s="34"/>
    </row>
    <row r="144" customFormat="false" ht="15.75" hidden="false" customHeight="false" outlineLevel="0" collapsed="false">
      <c r="A144" s="97" t="s">
        <v>167</v>
      </c>
      <c r="B144" s="97" t="n">
        <f aca="false">B133</f>
        <v>5</v>
      </c>
      <c r="C144" s="121" t="n">
        <f aca="false">(C133/100)*10000*B133*10</f>
        <v>0</v>
      </c>
      <c r="D144" s="121" t="n">
        <f aca="false">(D133/100)*10000*B144*10</f>
        <v>0</v>
      </c>
      <c r="E144" s="121" t="n">
        <f aca="false">(E133/100)*10000*B133*10</f>
        <v>0</v>
      </c>
      <c r="F144" s="121" t="n">
        <f aca="false">(F133/100)*10000*B133*10</f>
        <v>0</v>
      </c>
      <c r="G144" s="121" t="n">
        <f aca="false">(G133/100)*10000*B133*10</f>
        <v>0</v>
      </c>
      <c r="H144" s="121" t="n">
        <f aca="false">(H133/100)*10000*B133*10</f>
        <v>0</v>
      </c>
      <c r="I144" s="121" t="n">
        <f aca="false">(I133/100)*10000*B133*10</f>
        <v>0</v>
      </c>
      <c r="J144" s="121" t="n">
        <f aca="false">(J133/100)*10000*B133*10</f>
        <v>0</v>
      </c>
      <c r="K144" s="121" t="n">
        <f aca="false">(K133/100)*10000*B133*10</f>
        <v>0</v>
      </c>
      <c r="L144" s="121" t="n">
        <f aca="false">(L133/100)*10000*B133*10</f>
        <v>0</v>
      </c>
      <c r="M144" s="121" t="n">
        <f aca="false">(M133/100)*10000*B133*10</f>
        <v>0</v>
      </c>
      <c r="N144" s="121" t="n">
        <f aca="false">(N133/100)*10000*B133*10</f>
        <v>0</v>
      </c>
      <c r="O144" s="120"/>
      <c r="P144" s="34"/>
    </row>
    <row r="145" customFormat="false" ht="15.75" hidden="false" customHeight="false" outlineLevel="0" collapsed="false">
      <c r="A145" s="97" t="s">
        <v>168</v>
      </c>
      <c r="B145" s="97" t="n">
        <f aca="false">B134</f>
        <v>25</v>
      </c>
      <c r="C145" s="121" t="n">
        <f aca="false">(C134/100)*10000*B134*10</f>
        <v>0</v>
      </c>
      <c r="D145" s="121" t="n">
        <f aca="false">(D134/100)*10000*B145*10</f>
        <v>0</v>
      </c>
      <c r="E145" s="121" t="n">
        <f aca="false">(E134/100)*10000*B134*10</f>
        <v>0</v>
      </c>
      <c r="F145" s="121" t="n">
        <f aca="false">(F134/100)*10000*B134*10</f>
        <v>0</v>
      </c>
      <c r="G145" s="121" t="n">
        <f aca="false">(G134/100)*10000*B134*10</f>
        <v>0</v>
      </c>
      <c r="H145" s="121" t="n">
        <f aca="false">(H134/100)*10000*B134*10</f>
        <v>0</v>
      </c>
      <c r="I145" s="121" t="n">
        <f aca="false">(I134/100)*10000*B134*10</f>
        <v>0</v>
      </c>
      <c r="J145" s="121" t="n">
        <f aca="false">(J134/100)*10000*B134*10</f>
        <v>0</v>
      </c>
      <c r="K145" s="121" t="n">
        <f aca="false">(K134/100)*10000*B134*10</f>
        <v>0</v>
      </c>
      <c r="L145" s="121" t="n">
        <f aca="false">(L134/100)*10000*B134*10</f>
        <v>0</v>
      </c>
      <c r="M145" s="121" t="n">
        <f aca="false">(M134/100)*10000*B134*10</f>
        <v>0</v>
      </c>
      <c r="N145" s="121" t="n">
        <f aca="false">(N134/100)*10000*B134*10</f>
        <v>0</v>
      </c>
      <c r="O145" s="120"/>
      <c r="P145" s="34"/>
    </row>
    <row r="146" customFormat="false" ht="15.75" hidden="false" customHeight="false" outlineLevel="0" collapsed="false">
      <c r="A146" s="97" t="s">
        <v>169</v>
      </c>
      <c r="B146" s="97" t="n">
        <f aca="false">B135</f>
        <v>125</v>
      </c>
      <c r="C146" s="121" t="n">
        <f aca="false">(C135/100)*10000*B135*10</f>
        <v>0</v>
      </c>
      <c r="D146" s="121" t="n">
        <f aca="false">(D135/100)*10000*B146*10</f>
        <v>0</v>
      </c>
      <c r="E146" s="121" t="n">
        <f aca="false">(E135/100)*10000*B135*10</f>
        <v>0</v>
      </c>
      <c r="F146" s="121" t="n">
        <f aca="false">(F135/100)*10000*B135*10</f>
        <v>0</v>
      </c>
      <c r="G146" s="121" t="n">
        <f aca="false">(G135/100)*10000*B135*10</f>
        <v>0</v>
      </c>
      <c r="H146" s="121" t="n">
        <f aca="false">(H135/100)*10000*B135*10</f>
        <v>0</v>
      </c>
      <c r="I146" s="121" t="n">
        <f aca="false">(I135/100)*10000*B135*10</f>
        <v>0</v>
      </c>
      <c r="J146" s="121" t="n">
        <f aca="false">(J135/100)*10000*B135*10</f>
        <v>0</v>
      </c>
      <c r="K146" s="121" t="n">
        <f aca="false">(K135/100)*10000*B135*10</f>
        <v>0</v>
      </c>
      <c r="L146" s="121" t="n">
        <f aca="false">(L135/100)*10000*B135*10</f>
        <v>0</v>
      </c>
      <c r="M146" s="121" t="n">
        <f aca="false">(M135/100)*10000*B135*10</f>
        <v>0</v>
      </c>
      <c r="N146" s="121" t="n">
        <f aca="false">(N135/100)*10000*B135*10</f>
        <v>0</v>
      </c>
      <c r="O146" s="120"/>
      <c r="P146" s="34"/>
    </row>
    <row r="147" customFormat="false" ht="15.75" hidden="false" customHeight="false" outlineLevel="0" collapsed="false">
      <c r="A147" s="97" t="s">
        <v>170</v>
      </c>
      <c r="B147" s="97" t="n">
        <f aca="false">B136</f>
        <v>625</v>
      </c>
      <c r="C147" s="121" t="n">
        <f aca="false">(C136/100)*10000*B136*10</f>
        <v>0</v>
      </c>
      <c r="D147" s="121" t="n">
        <f aca="false">(D136/100)*10000*B147*10</f>
        <v>0</v>
      </c>
      <c r="E147" s="121" t="n">
        <f aca="false">(E136/100)*10000*B136*10</f>
        <v>0</v>
      </c>
      <c r="F147" s="121" t="n">
        <f aca="false">(F136/100)*10000*B136*10</f>
        <v>0</v>
      </c>
      <c r="G147" s="121" t="n">
        <f aca="false">(G136/100)*10000*B136*10</f>
        <v>0</v>
      </c>
      <c r="H147" s="121" t="n">
        <f aca="false">(H136/100)*10000*B136*10</f>
        <v>0</v>
      </c>
      <c r="I147" s="121" t="n">
        <f aca="false">(I136/100)*10000*B136*10</f>
        <v>0</v>
      </c>
      <c r="J147" s="121" t="n">
        <f aca="false">(J136/100)*10000*B136*10</f>
        <v>0</v>
      </c>
      <c r="K147" s="121" t="n">
        <f aca="false">(K136/100)*10000*B136*10</f>
        <v>0</v>
      </c>
      <c r="L147" s="121" t="n">
        <f aca="false">(L136/100)*10000*B136*10</f>
        <v>0</v>
      </c>
      <c r="M147" s="121" t="n">
        <f aca="false">(M136/100)*10000*B136*10</f>
        <v>0</v>
      </c>
      <c r="N147" s="121" t="n">
        <f aca="false">(N136/100)*10000*B136*10</f>
        <v>0</v>
      </c>
      <c r="O147" s="120"/>
      <c r="P147" s="34"/>
    </row>
    <row r="148" customFormat="false" ht="15.75" hidden="false" customHeight="false" outlineLevel="0" collapsed="false">
      <c r="A148" s="97" t="s">
        <v>171</v>
      </c>
      <c r="B148" s="97" t="n">
        <f aca="false">B137</f>
        <v>3125</v>
      </c>
      <c r="C148" s="121" t="n">
        <f aca="false">(C137/100)*10000*B137*10</f>
        <v>0</v>
      </c>
      <c r="D148" s="121" t="n">
        <f aca="false">(D137/100)*10000*B148*10</f>
        <v>0</v>
      </c>
      <c r="E148" s="121" t="n">
        <f aca="false">(E137/100)*10000*B137*10</f>
        <v>0</v>
      </c>
      <c r="F148" s="121" t="n">
        <f aca="false">(F137/100)*10000*B137*10</f>
        <v>0</v>
      </c>
      <c r="G148" s="121" t="n">
        <f aca="false">(G137/100)*10000*B137*10</f>
        <v>0</v>
      </c>
      <c r="H148" s="121" t="n">
        <f aca="false">(H137/100)*10000*B137*10</f>
        <v>0</v>
      </c>
      <c r="I148" s="121" t="n">
        <f aca="false">(I137/100)*10000*B137*10</f>
        <v>0</v>
      </c>
      <c r="J148" s="121" t="n">
        <f aca="false">(J137/100)*10000*B137*10</f>
        <v>0</v>
      </c>
      <c r="K148" s="121" t="n">
        <f aca="false">(K137/100)*10000*B137*10</f>
        <v>0</v>
      </c>
      <c r="L148" s="121" t="n">
        <f aca="false">(L137/100)*10000*B137*10</f>
        <v>0</v>
      </c>
      <c r="M148" s="121" t="n">
        <f aca="false">(M137/100)*10000*B137*10</f>
        <v>0</v>
      </c>
      <c r="N148" s="121" t="n">
        <f aca="false">(N137/100)*10000*B137*10</f>
        <v>0</v>
      </c>
      <c r="O148" s="120"/>
      <c r="P148" s="34"/>
    </row>
    <row r="149" customFormat="false" ht="15.75" hidden="false" customHeight="false" outlineLevel="0" collapsed="false">
      <c r="A149" s="97" t="s">
        <v>172</v>
      </c>
      <c r="B149" s="97" t="n">
        <f aca="false">B138</f>
        <v>15625</v>
      </c>
      <c r="C149" s="121" t="n">
        <f aca="false">(C138/100)*10000*B138*10</f>
        <v>0</v>
      </c>
      <c r="D149" s="121" t="n">
        <f aca="false">(D138/100)*10000*B149*10</f>
        <v>0</v>
      </c>
      <c r="E149" s="121" t="n">
        <f aca="false">(E138/100)*10000*B138*10</f>
        <v>0</v>
      </c>
      <c r="F149" s="121" t="n">
        <f aca="false">(F138/100)*10000*B138*10</f>
        <v>0</v>
      </c>
      <c r="G149" s="121" t="n">
        <f aca="false">(G138/100)*10000*B138*10</f>
        <v>0</v>
      </c>
      <c r="H149" s="121" t="n">
        <f aca="false">(H138/100)*10000*B138*10</f>
        <v>0</v>
      </c>
      <c r="I149" s="121" t="n">
        <f aca="false">(I138/100)*10000*B138*10</f>
        <v>0</v>
      </c>
      <c r="J149" s="121" t="n">
        <f aca="false">(J138/100)*10000*B138*10</f>
        <v>0</v>
      </c>
      <c r="K149" s="121" t="n">
        <f aca="false">(K138/100)*10000*B138*10</f>
        <v>0</v>
      </c>
      <c r="L149" s="121" t="n">
        <f aca="false">(L138/100)*10000*B138*10</f>
        <v>0</v>
      </c>
      <c r="M149" s="121" t="n">
        <f aca="false">(M138/100)*10000*B138*10</f>
        <v>0</v>
      </c>
      <c r="N149" s="121" t="n">
        <f aca="false">(N138/100)*10000*B138*10</f>
        <v>0</v>
      </c>
      <c r="O149" s="120"/>
      <c r="P149" s="34"/>
    </row>
    <row r="150" customFormat="false" ht="15.75" hidden="false" customHeight="false" outlineLevel="0" collapsed="false">
      <c r="A150" s="97" t="s">
        <v>173</v>
      </c>
      <c r="B150" s="97" t="n">
        <f aca="false">B139</f>
        <v>78125</v>
      </c>
      <c r="C150" s="121" t="n">
        <f aca="false">(C139/100)*10000*B139*10</f>
        <v>0</v>
      </c>
      <c r="D150" s="121" t="n">
        <f aca="false">(D139/100)*10000*B150*10</f>
        <v>0</v>
      </c>
      <c r="E150" s="121" t="n">
        <f aca="false">(E139/100)*10000*B139*10</f>
        <v>0</v>
      </c>
      <c r="F150" s="121" t="n">
        <f aca="false">(F139/100)*10000*B139*10</f>
        <v>0</v>
      </c>
      <c r="G150" s="121" t="n">
        <f aca="false">(G139/100)*10000*B139*10</f>
        <v>0</v>
      </c>
      <c r="H150" s="121" t="n">
        <f aca="false">(H139/100)*10000*B139*10</f>
        <v>0</v>
      </c>
      <c r="I150" s="121" t="n">
        <f aca="false">(I139/100)*10000*B139*10</f>
        <v>0</v>
      </c>
      <c r="J150" s="121" t="n">
        <f aca="false">(J139/100)*10000*B139*10</f>
        <v>0</v>
      </c>
      <c r="K150" s="121" t="n">
        <f aca="false">(K139/100)*10000*B139*10</f>
        <v>0</v>
      </c>
      <c r="L150" s="121" t="n">
        <f aca="false">(L139/100)*10000*B139*10</f>
        <v>0</v>
      </c>
      <c r="M150" s="121" t="n">
        <f aca="false">(M139/100)*10000*B139*10</f>
        <v>0</v>
      </c>
      <c r="N150" s="121" t="n">
        <f aca="false">(N139/100)*10000*B139*10</f>
        <v>0</v>
      </c>
      <c r="O150" s="120"/>
      <c r="P150" s="34"/>
    </row>
    <row r="151" customFormat="false" ht="15.75" hidden="false" customHeight="false" outlineLevel="0" collapsed="false">
      <c r="A151" s="123" t="s">
        <v>152</v>
      </c>
      <c r="B151" s="124"/>
      <c r="C151" s="125" t="n">
        <f aca="false">AVERAGE(C147:C149)</f>
        <v>0</v>
      </c>
      <c r="D151" s="125" t="n">
        <f aca="false">AVERAGE(D147:D149)</f>
        <v>0</v>
      </c>
      <c r="E151" s="125" t="n">
        <f aca="false">AVERAGE(E147:E149)</f>
        <v>0</v>
      </c>
      <c r="F151" s="125" t="n">
        <f aca="false">AVERAGE(F147:F149)</f>
        <v>0</v>
      </c>
      <c r="G151" s="125" t="n">
        <f aca="false">AVERAGE(G147:G149)</f>
        <v>0</v>
      </c>
      <c r="H151" s="125" t="n">
        <f aca="false">AVERAGE(H147:H149)</f>
        <v>0</v>
      </c>
      <c r="I151" s="125" t="n">
        <f aca="false">AVERAGE(I147:I149)</f>
        <v>0</v>
      </c>
      <c r="J151" s="125" t="n">
        <f aca="false">AVERAGE(J147:J149)</f>
        <v>0</v>
      </c>
      <c r="K151" s="125" t="n">
        <f aca="false">AVERAGE(K147:K149)</f>
        <v>0</v>
      </c>
      <c r="L151" s="125" t="n">
        <f aca="false">AVERAGE(L147:L149)</f>
        <v>0</v>
      </c>
      <c r="M151" s="125" t="n">
        <f aca="false">AVERAGE(M147:M149)</f>
        <v>0</v>
      </c>
      <c r="N151" s="125" t="n">
        <f aca="false">AVERAGE(N147:N149)</f>
        <v>0</v>
      </c>
      <c r="O151" s="122"/>
    </row>
    <row r="152" customFormat="false" ht="15.75" hidden="false" customHeight="false" outlineLevel="0" collapsed="false">
      <c r="A152" s="127" t="s">
        <v>240</v>
      </c>
      <c r="C152" s="128" t="n">
        <f aca="false">STDEV(C147:C149)/SQRT(COUNT(C147:C149))</f>
        <v>0</v>
      </c>
      <c r="D152" s="128" t="n">
        <f aca="false">STDEV(D147:D149)/SQRT(COUNT(D147:D149))</f>
        <v>0</v>
      </c>
      <c r="E152" s="128" t="n">
        <f aca="false">STDEV(E147:E149)/SQRT(COUNT(E147:E149))</f>
        <v>0</v>
      </c>
      <c r="F152" s="128" t="n">
        <f aca="false">STDEV(F147:F149)/SQRT(COUNT(F147:F149))</f>
        <v>0</v>
      </c>
      <c r="G152" s="128" t="n">
        <f aca="false">STDEV(G147:G149)/SQRT(COUNT(G147:G149))</f>
        <v>0</v>
      </c>
      <c r="H152" s="128" t="n">
        <f aca="false">STDEV(H147:H149)/SQRT(COUNT(H147:H149))</f>
        <v>0</v>
      </c>
      <c r="I152" s="128" t="n">
        <f aca="false">STDEV(I147:I149)/SQRT(COUNT(I147:I149))</f>
        <v>0</v>
      </c>
      <c r="J152" s="128" t="n">
        <f aca="false">STDEV(J147:J149)/SQRT(COUNT(J147:J149))</f>
        <v>0</v>
      </c>
      <c r="K152" s="128" t="n">
        <f aca="false">STDEV(K147:K149)/SQRT(COUNT(K147:K149))</f>
        <v>0</v>
      </c>
      <c r="L152" s="128" t="n">
        <f aca="false">STDEV(L147:L149)/SQRT(COUNT(L147:L149))</f>
        <v>0</v>
      </c>
      <c r="M152" s="128" t="n">
        <f aca="false">STDEV(M147:M149)/SQRT(COUNT(M147:M149))</f>
        <v>0</v>
      </c>
      <c r="N152" s="128" t="n">
        <f aca="false">STDEV(N147:N149)/SQRT(COUNT(N147:N149))</f>
        <v>0</v>
      </c>
      <c r="O152" s="120"/>
    </row>
    <row r="153" customFormat="false" ht="15.75" hidden="false" customHeight="false" outlineLevel="0" collapsed="false">
      <c r="A153" s="42" t="s">
        <v>241</v>
      </c>
      <c r="C153" s="129" t="e">
        <f aca="false">STDEV(C147:C149)/C151</f>
        <v>#DIV/0!</v>
      </c>
      <c r="D153" s="129" t="e">
        <f aca="false">STDEV(D147:D149)/D151</f>
        <v>#DIV/0!</v>
      </c>
      <c r="E153" s="129" t="e">
        <f aca="false">STDEV(E147:E149)/E151</f>
        <v>#DIV/0!</v>
      </c>
      <c r="F153" s="129" t="e">
        <f aca="false">STDEV(F147:F149)/F151</f>
        <v>#DIV/0!</v>
      </c>
      <c r="G153" s="129" t="e">
        <f aca="false">STDEV(G147:G149)/G151</f>
        <v>#DIV/0!</v>
      </c>
      <c r="H153" s="129" t="e">
        <f aca="false">STDEV(H147:H149)/H151</f>
        <v>#DIV/0!</v>
      </c>
      <c r="I153" s="129" t="e">
        <f aca="false">STDEV(I147:I149)/I151</f>
        <v>#DIV/0!</v>
      </c>
      <c r="J153" s="129" t="e">
        <f aca="false">STDEV(J147:J149)/J151</f>
        <v>#DIV/0!</v>
      </c>
      <c r="K153" s="129" t="e">
        <f aca="false">STDEV(K147:K149)/K151</f>
        <v>#DIV/0!</v>
      </c>
      <c r="L153" s="129" t="e">
        <f aca="false">STDEV(L147:L149)/L151</f>
        <v>#DIV/0!</v>
      </c>
      <c r="M153" s="129" t="e">
        <f aca="false">STDEV(M147:M149)/M151</f>
        <v>#DIV/0!</v>
      </c>
      <c r="N153" s="129" t="e">
        <f aca="false">STDEV(N147:N149)/N151</f>
        <v>#DIV/0!</v>
      </c>
    </row>
    <row r="154" customFormat="false" ht="15.75" hidden="false" customHeight="false" outlineLevel="0" collapsed="false">
      <c r="A154" s="58"/>
      <c r="C154" s="120"/>
      <c r="D154" s="120"/>
      <c r="K154" s="120"/>
    </row>
    <row r="155" customFormat="false" ht="16.5" hidden="false" customHeight="false" outlineLevel="0" collapsed="false">
      <c r="A155" s="42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</row>
    <row r="156" customFormat="false" ht="15.75" hidden="false" customHeight="false" outlineLevel="0" collapsed="false">
      <c r="A156" s="132" t="str">
        <f aca="false">'Best Average Titer 2'!A189</f>
        <v>Average &lt; CV Limit</v>
      </c>
      <c r="B156" s="134"/>
      <c r="C156" s="134" t="e">
        <f aca="false">'Best Average Titer 2'!C189</f>
        <v>#NAME?</v>
      </c>
      <c r="D156" s="134" t="e">
        <f aca="false">'Best Average Titer 2'!D189</f>
        <v>#NAME?</v>
      </c>
      <c r="E156" s="134" t="e">
        <f aca="false">'Best Average Titer 2'!E189</f>
        <v>#NAME?</v>
      </c>
      <c r="F156" s="134" t="e">
        <f aca="false">'Best Average Titer 2'!F189</f>
        <v>#NAME?</v>
      </c>
      <c r="G156" s="134" t="e">
        <f aca="false">'Best Average Titer 2'!G189</f>
        <v>#NAME?</v>
      </c>
      <c r="H156" s="134" t="e">
        <f aca="false">'Best Average Titer 2'!H189</f>
        <v>#NAME?</v>
      </c>
      <c r="I156" s="134" t="e">
        <f aca="false">'Best Average Titer 2'!I189</f>
        <v>#NAME?</v>
      </c>
      <c r="J156" s="134" t="e">
        <f aca="false">'Best Average Titer 2'!J189</f>
        <v>#NAME?</v>
      </c>
      <c r="K156" s="134" t="e">
        <f aca="false">'Best Average Titer 2'!K189</f>
        <v>#NAME?</v>
      </c>
      <c r="L156" s="134" t="e">
        <f aca="false">'Best Average Titer 2'!L189</f>
        <v>#NAME?</v>
      </c>
      <c r="M156" s="134" t="e">
        <f aca="false">'Best Average Titer 2'!M189</f>
        <v>#NAME?</v>
      </c>
      <c r="N156" s="135" t="e">
        <f aca="false">'Best Average Titer 2'!N189</f>
        <v>#NAME?</v>
      </c>
    </row>
    <row r="157" customFormat="false" ht="15.75" hidden="false" customHeight="false" outlineLevel="0" collapsed="false">
      <c r="A157" s="136" t="str">
        <f aca="false">'Best Average Titer 2'!A190</f>
        <v>Averages chosen</v>
      </c>
      <c r="B157" s="137"/>
      <c r="C157" s="137" t="e">
        <f aca="false">'Best Average Titer 2'!C190</f>
        <v>#NAME?</v>
      </c>
      <c r="D157" s="137" t="e">
        <f aca="false">'Best Average Titer 2'!D190</f>
        <v>#NAME?</v>
      </c>
      <c r="E157" s="137" t="e">
        <f aca="false">'Best Average Titer 2'!E190</f>
        <v>#NAME?</v>
      </c>
      <c r="F157" s="137" t="e">
        <f aca="false">'Best Average Titer 2'!F190</f>
        <v>#NAME?</v>
      </c>
      <c r="G157" s="137" t="e">
        <f aca="false">'Best Average Titer 2'!G190</f>
        <v>#NAME?</v>
      </c>
      <c r="H157" s="137" t="e">
        <f aca="false">'Best Average Titer 2'!H190</f>
        <v>#NAME?</v>
      </c>
      <c r="I157" s="137" t="e">
        <f aca="false">'Best Average Titer 2'!I190</f>
        <v>#NAME?</v>
      </c>
      <c r="J157" s="137" t="e">
        <f aca="false">'Best Average Titer 2'!J190</f>
        <v>#NAME?</v>
      </c>
      <c r="K157" s="137" t="e">
        <f aca="false">'Best Average Titer 2'!K190</f>
        <v>#NAME?</v>
      </c>
      <c r="L157" s="137" t="e">
        <f aca="false">'Best Average Titer 2'!L190</f>
        <v>#NAME?</v>
      </c>
      <c r="M157" s="137" t="e">
        <f aca="false">'Best Average Titer 2'!M190</f>
        <v>#NAME?</v>
      </c>
      <c r="N157" s="138" t="e">
        <f aca="false">'Best Average Titer 2'!N190</f>
        <v>#NAME?</v>
      </c>
    </row>
    <row r="158" customFormat="false" ht="15.75" hidden="false" customHeight="false" outlineLevel="0" collapsed="false">
      <c r="A158" s="136" t="str">
        <f aca="false">'Best Average Titer 2'!A191</f>
        <v>Standard Error</v>
      </c>
      <c r="B158" s="137"/>
      <c r="C158" s="139" t="e">
        <f aca="false">'Best Average Titer 2'!C191</f>
        <v>#NAME?</v>
      </c>
      <c r="D158" s="139" t="e">
        <f aca="false">'Best Average Titer 2'!D191</f>
        <v>#NAME?</v>
      </c>
      <c r="E158" s="139" t="e">
        <f aca="false">'Best Average Titer 2'!E191</f>
        <v>#NAME?</v>
      </c>
      <c r="F158" s="139" t="e">
        <f aca="false">'Best Average Titer 2'!F191</f>
        <v>#NAME?</v>
      </c>
      <c r="G158" s="139" t="e">
        <f aca="false">'Best Average Titer 2'!G191</f>
        <v>#NAME?</v>
      </c>
      <c r="H158" s="139" t="e">
        <f aca="false">'Best Average Titer 2'!H191</f>
        <v>#NAME?</v>
      </c>
      <c r="I158" s="139" t="e">
        <f aca="false">'Best Average Titer 2'!I191</f>
        <v>#NAME?</v>
      </c>
      <c r="J158" s="139" t="e">
        <f aca="false">'Best Average Titer 2'!J191</f>
        <v>#NAME?</v>
      </c>
      <c r="K158" s="139" t="e">
        <f aca="false">'Best Average Titer 2'!K191</f>
        <v>#NAME?</v>
      </c>
      <c r="L158" s="139" t="e">
        <f aca="false">'Best Average Titer 2'!L191</f>
        <v>#NAME?</v>
      </c>
      <c r="M158" s="139" t="e">
        <f aca="false">'Best Average Titer 2'!M191</f>
        <v>#NAME?</v>
      </c>
      <c r="N158" s="140" t="e">
        <f aca="false">'Best Average Titer 2'!N191</f>
        <v>#NAME?</v>
      </c>
    </row>
    <row r="159" customFormat="false" ht="16.5" hidden="false" customHeight="false" outlineLevel="0" collapsed="false">
      <c r="A159" s="141" t="str">
        <f aca="false">'Best Average Titer 2'!A192</f>
        <v>Coefficient of Variation</v>
      </c>
      <c r="B159" s="142"/>
      <c r="C159" s="143" t="n">
        <f aca="false">'Best Average Titer 2'!C192</f>
        <v>0</v>
      </c>
      <c r="D159" s="143" t="n">
        <f aca="false">'Best Average Titer 2'!D192</f>
        <v>0</v>
      </c>
      <c r="E159" s="143" t="n">
        <f aca="false">'Best Average Titer 2'!E192</f>
        <v>0</v>
      </c>
      <c r="F159" s="143" t="n">
        <f aca="false">'Best Average Titer 2'!F192</f>
        <v>0</v>
      </c>
      <c r="G159" s="143" t="n">
        <f aca="false">'Best Average Titer 2'!G192</f>
        <v>0</v>
      </c>
      <c r="H159" s="143" t="n">
        <f aca="false">'Best Average Titer 2'!H192</f>
        <v>0</v>
      </c>
      <c r="I159" s="143" t="n">
        <f aca="false">'Best Average Titer 2'!I192</f>
        <v>0</v>
      </c>
      <c r="J159" s="143" t="n">
        <f aca="false">'Best Average Titer 2'!J192</f>
        <v>0</v>
      </c>
      <c r="K159" s="143" t="n">
        <f aca="false">'Best Average Titer 2'!K192</f>
        <v>0</v>
      </c>
      <c r="L159" s="143" t="n">
        <f aca="false">'Best Average Titer 2'!L192</f>
        <v>0</v>
      </c>
      <c r="M159" s="143" t="n">
        <f aca="false">'Best Average Titer 2'!M192</f>
        <v>0</v>
      </c>
      <c r="N159" s="144" t="n">
        <f aca="false">'Best Average Titer 2'!N192</f>
        <v>0</v>
      </c>
    </row>
    <row r="160" customFormat="false" ht="15.75" hidden="false" customHeight="false" outlineLevel="0" collapsed="false">
      <c r="A160" s="58"/>
    </row>
    <row r="161" customFormat="false" ht="15.75" hidden="false" customHeight="false" outlineLevel="0" collapsed="false">
      <c r="A161" s="44" t="s">
        <v>244</v>
      </c>
    </row>
    <row r="162" customFormat="false" ht="15.75" hidden="false" customHeight="false" outlineLevel="0" collapsed="false">
      <c r="A162" s="58" t="s">
        <v>245</v>
      </c>
    </row>
    <row r="163" customFormat="false" ht="15.75" hidden="false" customHeight="false" outlineLevel="0" collapsed="false">
      <c r="A163" s="58"/>
    </row>
    <row r="164" customFormat="false" ht="15.75" hidden="false" customHeight="false" outlineLevel="0" collapsed="false">
      <c r="A164" s="58"/>
    </row>
    <row r="166" customFormat="false" ht="15.75" hidden="false" customHeight="false" outlineLevel="0" collapsed="false">
      <c r="A166" s="58"/>
    </row>
    <row r="167" customFormat="false" ht="23.25" hidden="false" customHeight="false" outlineLevel="0" collapsed="false">
      <c r="A167" s="163" t="s">
        <v>248</v>
      </c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</row>
    <row r="168" customFormat="false" ht="15.75" hidden="false" customHeight="false" outlineLevel="0" collapsed="false">
      <c r="K168" s="58"/>
      <c r="L168" s="58"/>
      <c r="M168" s="58"/>
      <c r="N168" s="158"/>
    </row>
    <row r="169" customFormat="false" ht="15.75" hidden="false" customHeight="false" outlineLevel="0" collapsed="false">
      <c r="K169" s="58"/>
      <c r="L169" s="58"/>
      <c r="M169" s="58"/>
      <c r="N169" s="158"/>
    </row>
    <row r="170" customFormat="false" ht="15.75" hidden="false" customHeight="false" outlineLevel="0" collapsed="false">
      <c r="A170" s="42" t="s">
        <v>249</v>
      </c>
      <c r="B170" s="42"/>
      <c r="C170" s="96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164"/>
    </row>
    <row r="171" customFormat="false" ht="15.75" hidden="false" customHeight="false" outlineLevel="0" collapsed="false">
      <c r="A171" s="116"/>
      <c r="B171" s="98"/>
      <c r="C171" s="96" t="n">
        <v>1</v>
      </c>
      <c r="D171" s="96" t="n">
        <v>2</v>
      </c>
      <c r="E171" s="96" t="n">
        <v>3</v>
      </c>
      <c r="F171" s="96" t="n">
        <v>4</v>
      </c>
      <c r="G171" s="96" t="n">
        <v>5</v>
      </c>
      <c r="H171" s="96" t="n">
        <v>6</v>
      </c>
      <c r="I171" s="96" t="n">
        <v>7</v>
      </c>
      <c r="J171" s="96" t="n">
        <v>8</v>
      </c>
      <c r="K171" s="96" t="n">
        <v>9</v>
      </c>
      <c r="L171" s="96" t="n">
        <v>10</v>
      </c>
      <c r="M171" s="96" t="n">
        <v>11</v>
      </c>
      <c r="N171" s="164" t="n">
        <v>12</v>
      </c>
      <c r="O171" s="96"/>
    </row>
    <row r="172" customFormat="false" ht="15.75" hidden="false" customHeight="false" outlineLevel="0" collapsed="false">
      <c r="A172" s="97" t="s">
        <v>166</v>
      </c>
      <c r="B172" s="165" t="s">
        <v>226</v>
      </c>
      <c r="C172" s="166" t="s">
        <v>228</v>
      </c>
      <c r="D172" s="166" t="s">
        <v>228</v>
      </c>
      <c r="E172" s="166" t="s">
        <v>228</v>
      </c>
      <c r="F172" s="166" t="s">
        <v>228</v>
      </c>
      <c r="G172" s="166" t="s">
        <v>228</v>
      </c>
      <c r="H172" s="166" t="s">
        <v>228</v>
      </c>
      <c r="I172" s="166" t="s">
        <v>228</v>
      </c>
      <c r="J172" s="166" t="s">
        <v>228</v>
      </c>
      <c r="K172" s="166" t="s">
        <v>228</v>
      </c>
      <c r="L172" s="166" t="s">
        <v>228</v>
      </c>
      <c r="M172" s="166" t="s">
        <v>228</v>
      </c>
      <c r="N172" s="166" t="s">
        <v>228</v>
      </c>
      <c r="O172" s="155"/>
    </row>
    <row r="173" customFormat="false" ht="15.75" hidden="false" customHeight="false" outlineLevel="0" collapsed="false">
      <c r="A173" s="97" t="s">
        <v>167</v>
      </c>
      <c r="B173" s="167" t="n">
        <v>5</v>
      </c>
      <c r="C173" s="102" t="e">
        <f aca="false">HLOOKUP(C$172,'VCN - Output'!$A$23:$U$30,2,FALSE())</f>
        <v>#N/A</v>
      </c>
      <c r="D173" s="102" t="e">
        <f aca="false">HLOOKUP(D$172,'VCN - Output'!$A$23:$U$30,2,FALSE())</f>
        <v>#N/A</v>
      </c>
      <c r="E173" s="102" t="e">
        <f aca="false">HLOOKUP(E$172,'VCN - Output'!$A$23:$U$30,2,FALSE())</f>
        <v>#N/A</v>
      </c>
      <c r="F173" s="102" t="e">
        <f aca="false">HLOOKUP(F$172,'VCN - Output'!$A$23:$U$30,2,FALSE())</f>
        <v>#N/A</v>
      </c>
      <c r="G173" s="102" t="e">
        <f aca="false">HLOOKUP(G$172,'VCN - Output'!$A$23:$U$30,2,FALSE())</f>
        <v>#N/A</v>
      </c>
      <c r="H173" s="102" t="e">
        <f aca="false">HLOOKUP(H$172,'VCN - Output'!$A$23:$U$30,2,FALSE())</f>
        <v>#N/A</v>
      </c>
      <c r="I173" s="102" t="e">
        <f aca="false">HLOOKUP(I$172,'VCN - Output'!$A$23:$U$30,2,FALSE())</f>
        <v>#N/A</v>
      </c>
      <c r="J173" s="102" t="e">
        <f aca="false">HLOOKUP(J$172,'VCN - Output'!$A$23:$U$30,2,FALSE())</f>
        <v>#N/A</v>
      </c>
      <c r="K173" s="102" t="e">
        <f aca="false">HLOOKUP(K$172,'VCN - Output'!$A$23:$U$30,2,FALSE())</f>
        <v>#N/A</v>
      </c>
      <c r="L173" s="102" t="e">
        <f aca="false">HLOOKUP(L$172,'VCN - Output'!$A$23:$U$30,2,FALSE())</f>
        <v>#N/A</v>
      </c>
      <c r="M173" s="102" t="e">
        <f aca="false">HLOOKUP(M$172,'VCN - Output'!$A$23:$U$30,2,FALSE())</f>
        <v>#N/A</v>
      </c>
      <c r="N173" s="102" t="e">
        <f aca="false">HLOOKUP(N$172,'VCN - Output'!$A$23:$U$30,2,FALSE())</f>
        <v>#N/A</v>
      </c>
      <c r="O173" s="131"/>
    </row>
    <row r="174" customFormat="false" ht="15.75" hidden="false" customHeight="false" outlineLevel="0" collapsed="false">
      <c r="A174" s="97" t="s">
        <v>168</v>
      </c>
      <c r="B174" s="167" t="n">
        <v>25</v>
      </c>
      <c r="C174" s="102" t="e">
        <f aca="false">HLOOKUP(C$172,'VCN - Output'!$A$23:$U$30,3,FALSE())</f>
        <v>#N/A</v>
      </c>
      <c r="D174" s="102" t="e">
        <f aca="false">HLOOKUP(D$172,'VCN - Output'!$A$23:$U$30,3,FALSE())</f>
        <v>#N/A</v>
      </c>
      <c r="E174" s="102" t="e">
        <f aca="false">HLOOKUP(E$172,'VCN - Output'!$A$23:$U$30,3,FALSE())</f>
        <v>#N/A</v>
      </c>
      <c r="F174" s="102" t="e">
        <f aca="false">HLOOKUP(F$172,'VCN - Output'!$A$23:$U$30,3,FALSE())</f>
        <v>#N/A</v>
      </c>
      <c r="G174" s="102" t="e">
        <f aca="false">HLOOKUP(G$172,'VCN - Output'!$A$23:$U$30,3,FALSE())</f>
        <v>#N/A</v>
      </c>
      <c r="H174" s="102" t="e">
        <f aca="false">HLOOKUP(H$172,'VCN - Output'!$A$23:$U$30,3,FALSE())</f>
        <v>#N/A</v>
      </c>
      <c r="I174" s="102" t="e">
        <f aca="false">HLOOKUP(I$172,'VCN - Output'!$A$23:$U$30,3,FALSE())</f>
        <v>#N/A</v>
      </c>
      <c r="J174" s="102" t="e">
        <f aca="false">HLOOKUP(J$172,'VCN - Output'!$A$23:$U$30,3,FALSE())</f>
        <v>#N/A</v>
      </c>
      <c r="K174" s="102" t="e">
        <f aca="false">HLOOKUP(K$172,'VCN - Output'!$A$23:$U$30,3,FALSE())</f>
        <v>#N/A</v>
      </c>
      <c r="L174" s="102" t="e">
        <f aca="false">HLOOKUP(L$172,'VCN - Output'!$A$23:$U$30,3,FALSE())</f>
        <v>#N/A</v>
      </c>
      <c r="M174" s="102" t="e">
        <f aca="false">HLOOKUP(M$172,'VCN - Output'!$A$23:$U$30,3,FALSE())</f>
        <v>#N/A</v>
      </c>
      <c r="N174" s="102" t="e">
        <f aca="false">HLOOKUP(N$172,'VCN - Output'!$A$23:$U$30,3,FALSE())</f>
        <v>#N/A</v>
      </c>
      <c r="O174" s="131"/>
    </row>
    <row r="175" customFormat="false" ht="15.75" hidden="false" customHeight="false" outlineLevel="0" collapsed="false">
      <c r="A175" s="97" t="s">
        <v>169</v>
      </c>
      <c r="B175" s="167" t="n">
        <v>125</v>
      </c>
      <c r="C175" s="102" t="e">
        <f aca="false">HLOOKUP(C$172,'VCN - Output'!$A$23:$U$30,4,FALSE())</f>
        <v>#N/A</v>
      </c>
      <c r="D175" s="102" t="e">
        <f aca="false">HLOOKUP(D$172,'VCN - Output'!$A$23:$U$30,4,FALSE())</f>
        <v>#N/A</v>
      </c>
      <c r="E175" s="102" t="e">
        <f aca="false">HLOOKUP(E$172,'VCN - Output'!$A$23:$U$30,4,FALSE())</f>
        <v>#N/A</v>
      </c>
      <c r="F175" s="102" t="e">
        <f aca="false">HLOOKUP(F$172,'VCN - Output'!$A$23:$U$30,4,FALSE())</f>
        <v>#N/A</v>
      </c>
      <c r="G175" s="102" t="e">
        <f aca="false">HLOOKUP(G$172,'VCN - Output'!$A$23:$U$30,4,FALSE())</f>
        <v>#N/A</v>
      </c>
      <c r="H175" s="102" t="e">
        <f aca="false">HLOOKUP(H$172,'VCN - Output'!$A$23:$U$30,4,FALSE())</f>
        <v>#N/A</v>
      </c>
      <c r="I175" s="102" t="e">
        <f aca="false">HLOOKUP(I$172,'VCN - Output'!$A$23:$U$30,4,FALSE())</f>
        <v>#N/A</v>
      </c>
      <c r="J175" s="102" t="e">
        <f aca="false">HLOOKUP(J$172,'VCN - Output'!$A$23:$U$30,4,FALSE())</f>
        <v>#N/A</v>
      </c>
      <c r="K175" s="102" t="e">
        <f aca="false">HLOOKUP(K$172,'VCN - Output'!$A$23:$U$30,4,FALSE())</f>
        <v>#N/A</v>
      </c>
      <c r="L175" s="102" t="e">
        <f aca="false">HLOOKUP(L$172,'VCN - Output'!$A$23:$U$30,4,FALSE())</f>
        <v>#N/A</v>
      </c>
      <c r="M175" s="102" t="e">
        <f aca="false">HLOOKUP(M$172,'VCN - Output'!$A$23:$U$30,4,FALSE())</f>
        <v>#N/A</v>
      </c>
      <c r="N175" s="102" t="e">
        <f aca="false">HLOOKUP(N$172,'VCN - Output'!$A$23:$U$30,4,FALSE())</f>
        <v>#N/A</v>
      </c>
      <c r="O175" s="131"/>
    </row>
    <row r="176" customFormat="false" ht="15.75" hidden="false" customHeight="false" outlineLevel="0" collapsed="false">
      <c r="A176" s="97" t="s">
        <v>170</v>
      </c>
      <c r="B176" s="167" t="n">
        <v>625</v>
      </c>
      <c r="C176" s="102" t="e">
        <f aca="false">HLOOKUP(C$172,'VCN - Output'!$A$23:$U$30,5,FALSE())</f>
        <v>#N/A</v>
      </c>
      <c r="D176" s="102" t="e">
        <f aca="false">HLOOKUP(D$172,'VCN - Output'!$A$23:$U$30,5,FALSE())</f>
        <v>#N/A</v>
      </c>
      <c r="E176" s="102" t="e">
        <f aca="false">HLOOKUP(E$172,'VCN - Output'!$A$23:$U$30,5,FALSE())</f>
        <v>#N/A</v>
      </c>
      <c r="F176" s="102" t="e">
        <f aca="false">HLOOKUP(F$172,'VCN - Output'!$A$23:$U$30,5,FALSE())</f>
        <v>#N/A</v>
      </c>
      <c r="G176" s="102" t="e">
        <f aca="false">HLOOKUP(G$172,'VCN - Output'!$A$23:$U$30,5,FALSE())</f>
        <v>#N/A</v>
      </c>
      <c r="H176" s="102" t="e">
        <f aca="false">HLOOKUP(H$172,'VCN - Output'!$A$23:$U$30,5,FALSE())</f>
        <v>#N/A</v>
      </c>
      <c r="I176" s="102" t="e">
        <f aca="false">HLOOKUP(I$172,'VCN - Output'!$A$23:$U$30,5,FALSE())</f>
        <v>#N/A</v>
      </c>
      <c r="J176" s="102" t="e">
        <f aca="false">HLOOKUP(J$172,'VCN - Output'!$A$23:$U$30,5,FALSE())</f>
        <v>#N/A</v>
      </c>
      <c r="K176" s="102" t="e">
        <f aca="false">HLOOKUP(K$172,'VCN - Output'!$A$23:$U$30,5,FALSE())</f>
        <v>#N/A</v>
      </c>
      <c r="L176" s="102" t="e">
        <f aca="false">HLOOKUP(L$172,'VCN - Output'!$A$23:$U$30,5,FALSE())</f>
        <v>#N/A</v>
      </c>
      <c r="M176" s="102" t="e">
        <f aca="false">HLOOKUP(M$172,'VCN - Output'!$A$23:$U$30,5,FALSE())</f>
        <v>#N/A</v>
      </c>
      <c r="N176" s="102" t="e">
        <f aca="false">HLOOKUP(N$172,'VCN - Output'!$A$23:$U$30,5,FALSE())</f>
        <v>#N/A</v>
      </c>
      <c r="O176" s="131"/>
    </row>
    <row r="177" customFormat="false" ht="15.75" hidden="false" customHeight="false" outlineLevel="0" collapsed="false">
      <c r="A177" s="97" t="s">
        <v>171</v>
      </c>
      <c r="B177" s="167" t="n">
        <v>3125</v>
      </c>
      <c r="C177" s="102" t="e">
        <f aca="false">HLOOKUP(C$172,'VCN - Output'!$A$23:$U$30,6,FALSE())</f>
        <v>#N/A</v>
      </c>
      <c r="D177" s="102" t="e">
        <f aca="false">HLOOKUP(D$172,'VCN - Output'!$A$23:$U$30,6,FALSE())</f>
        <v>#N/A</v>
      </c>
      <c r="E177" s="102" t="e">
        <f aca="false">HLOOKUP(E$172,'VCN - Output'!$A$23:$U$30,6,FALSE())</f>
        <v>#N/A</v>
      </c>
      <c r="F177" s="102" t="e">
        <f aca="false">HLOOKUP(F$172,'VCN - Output'!$A$23:$U$30,6,FALSE())</f>
        <v>#N/A</v>
      </c>
      <c r="G177" s="102" t="e">
        <f aca="false">HLOOKUP(G$172,'VCN - Output'!$A$23:$U$30,6,FALSE())</f>
        <v>#N/A</v>
      </c>
      <c r="H177" s="102" t="e">
        <f aca="false">HLOOKUP(H$172,'VCN - Output'!$A$23:$U$30,6,FALSE())</f>
        <v>#N/A</v>
      </c>
      <c r="I177" s="102" t="e">
        <f aca="false">HLOOKUP(I$172,'VCN - Output'!$A$23:$U$30,6,FALSE())</f>
        <v>#N/A</v>
      </c>
      <c r="J177" s="102" t="e">
        <f aca="false">HLOOKUP(J$172,'VCN - Output'!$A$23:$U$30,6,FALSE())</f>
        <v>#N/A</v>
      </c>
      <c r="K177" s="102" t="e">
        <f aca="false">HLOOKUP(K$172,'VCN - Output'!$A$23:$U$30,6,FALSE())</f>
        <v>#N/A</v>
      </c>
      <c r="L177" s="102" t="e">
        <f aca="false">HLOOKUP(L$172,'VCN - Output'!$A$23:$U$30,6,FALSE())</f>
        <v>#N/A</v>
      </c>
      <c r="M177" s="102" t="e">
        <f aca="false">HLOOKUP(M$172,'VCN - Output'!$A$23:$U$30,6,FALSE())</f>
        <v>#N/A</v>
      </c>
      <c r="N177" s="102" t="e">
        <f aca="false">HLOOKUP(N$172,'VCN - Output'!$A$23:$U$30,6,FALSE())</f>
        <v>#N/A</v>
      </c>
      <c r="O177" s="131"/>
    </row>
    <row r="178" customFormat="false" ht="15.75" hidden="false" customHeight="false" outlineLevel="0" collapsed="false">
      <c r="A178" s="97" t="s">
        <v>172</v>
      </c>
      <c r="B178" s="167" t="n">
        <v>15625</v>
      </c>
      <c r="C178" s="102" t="e">
        <f aca="false">HLOOKUP(C$172,'VCN - Output'!$A$23:$U$30,7,FALSE())</f>
        <v>#N/A</v>
      </c>
      <c r="D178" s="102" t="e">
        <f aca="false">HLOOKUP(D$172,'VCN - Output'!$A$23:$U$30,7,FALSE())</f>
        <v>#N/A</v>
      </c>
      <c r="E178" s="102" t="e">
        <f aca="false">HLOOKUP(E$172,'VCN - Output'!$A$23:$U$30,7,FALSE())</f>
        <v>#N/A</v>
      </c>
      <c r="F178" s="102" t="e">
        <f aca="false">HLOOKUP(F$172,'VCN - Output'!$A$23:$U$30,7,FALSE())</f>
        <v>#N/A</v>
      </c>
      <c r="G178" s="102" t="e">
        <f aca="false">HLOOKUP(G$172,'VCN - Output'!$A$23:$U$30,7,FALSE())</f>
        <v>#N/A</v>
      </c>
      <c r="H178" s="102" t="e">
        <f aca="false">HLOOKUP(H$172,'VCN - Output'!$A$23:$U$30,7,FALSE())</f>
        <v>#N/A</v>
      </c>
      <c r="I178" s="102" t="e">
        <f aca="false">HLOOKUP(I$172,'VCN - Output'!$A$23:$U$30,7,FALSE())</f>
        <v>#N/A</v>
      </c>
      <c r="J178" s="102" t="e">
        <f aca="false">HLOOKUP(J$172,'VCN - Output'!$A$23:$U$30,7,FALSE())</f>
        <v>#N/A</v>
      </c>
      <c r="K178" s="102" t="e">
        <f aca="false">HLOOKUP(K$172,'VCN - Output'!$A$23:$U$30,7,FALSE())</f>
        <v>#N/A</v>
      </c>
      <c r="L178" s="102" t="e">
        <f aca="false">HLOOKUP(L$172,'VCN - Output'!$A$23:$U$30,7,FALSE())</f>
        <v>#N/A</v>
      </c>
      <c r="M178" s="102" t="e">
        <f aca="false">HLOOKUP(M$172,'VCN - Output'!$A$23:$U$30,7,FALSE())</f>
        <v>#N/A</v>
      </c>
      <c r="N178" s="102" t="e">
        <f aca="false">HLOOKUP(N$172,'VCN - Output'!$A$23:$U$30,7,FALSE())</f>
        <v>#N/A</v>
      </c>
      <c r="O178" s="131"/>
    </row>
    <row r="179" customFormat="false" ht="15.75" hidden="false" customHeight="false" outlineLevel="0" collapsed="false">
      <c r="A179" s="97" t="s">
        <v>173</v>
      </c>
      <c r="B179" s="167" t="n">
        <v>78125</v>
      </c>
      <c r="C179" s="102" t="e">
        <f aca="false">HLOOKUP(C$172,'VCN - Output'!$A$23:$U$30,8,FALSE())</f>
        <v>#N/A</v>
      </c>
      <c r="D179" s="102" t="e">
        <f aca="false">HLOOKUP(D$172,'VCN - Output'!$A$23:$U$30,8,FALSE())</f>
        <v>#N/A</v>
      </c>
      <c r="E179" s="102" t="e">
        <f aca="false">HLOOKUP(E$172,'VCN - Output'!$A$23:$U$30,8,FALSE())</f>
        <v>#N/A</v>
      </c>
      <c r="F179" s="102" t="e">
        <f aca="false">HLOOKUP(F$172,'VCN - Output'!$A$23:$U$30,8,FALSE())</f>
        <v>#N/A</v>
      </c>
      <c r="G179" s="102" t="e">
        <f aca="false">HLOOKUP(G$172,'VCN - Output'!$A$23:$U$30,8,FALSE())</f>
        <v>#N/A</v>
      </c>
      <c r="H179" s="102" t="e">
        <f aca="false">HLOOKUP(H$172,'VCN - Output'!$A$23:$U$30,8,FALSE())</f>
        <v>#N/A</v>
      </c>
      <c r="I179" s="102" t="e">
        <f aca="false">HLOOKUP(I$172,'VCN - Output'!$A$23:$U$30,8,FALSE())</f>
        <v>#N/A</v>
      </c>
      <c r="J179" s="102" t="e">
        <f aca="false">HLOOKUP(J$172,'VCN - Output'!$A$23:$U$30,8,FALSE())</f>
        <v>#N/A</v>
      </c>
      <c r="K179" s="102" t="e">
        <f aca="false">HLOOKUP(K$172,'VCN - Output'!$A$23:$U$30,8,FALSE())</f>
        <v>#N/A</v>
      </c>
      <c r="L179" s="102" t="e">
        <f aca="false">HLOOKUP(L$172,'VCN - Output'!$A$23:$U$30,8,FALSE())</f>
        <v>#N/A</v>
      </c>
      <c r="M179" s="102" t="e">
        <f aca="false">HLOOKUP(M$172,'VCN - Output'!$A$23:$U$30,8,FALSE())</f>
        <v>#N/A</v>
      </c>
      <c r="N179" s="102" t="e">
        <f aca="false">HLOOKUP(N$172,'VCN - Output'!$A$23:$U$30,8,FALSE())</f>
        <v>#N/A</v>
      </c>
      <c r="O179" s="131"/>
    </row>
    <row r="180" customFormat="false" ht="15.75" hidden="false" customHeight="false" outlineLevel="0" collapsed="false">
      <c r="A180" s="127"/>
      <c r="C180" s="131"/>
      <c r="D180" s="131"/>
      <c r="E180" s="131"/>
      <c r="F180" s="131"/>
      <c r="G180" s="131"/>
      <c r="H180" s="131"/>
      <c r="I180" s="131"/>
      <c r="J180" s="131"/>
      <c r="K180" s="131"/>
      <c r="L180" s="131"/>
      <c r="M180" s="131"/>
      <c r="N180" s="131"/>
      <c r="O180" s="120"/>
    </row>
    <row r="181" customFormat="false" ht="15.75" hidden="false" customHeight="false" outlineLevel="0" collapsed="false">
      <c r="A181" s="96"/>
      <c r="B181" s="168"/>
      <c r="C181" s="169"/>
      <c r="D181" s="169"/>
      <c r="E181" s="169"/>
      <c r="F181" s="169"/>
      <c r="G181" s="169"/>
      <c r="H181" s="168"/>
      <c r="I181" s="168"/>
      <c r="J181" s="169"/>
      <c r="K181" s="169"/>
      <c r="L181" s="169"/>
      <c r="M181" s="169"/>
      <c r="N181" s="169"/>
      <c r="O181" s="120"/>
    </row>
    <row r="182" customFormat="false" ht="15.75" hidden="false" customHeight="false" outlineLevel="0" collapsed="false">
      <c r="A182" s="42" t="s">
        <v>250</v>
      </c>
      <c r="B182" s="42"/>
      <c r="C182" s="96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164"/>
      <c r="O182" s="34"/>
    </row>
    <row r="183" customFormat="false" ht="15.75" hidden="false" customHeight="false" outlineLevel="0" collapsed="false">
      <c r="A183" s="116"/>
      <c r="B183" s="170"/>
      <c r="C183" s="96" t="n">
        <v>1</v>
      </c>
      <c r="D183" s="96" t="n">
        <v>2</v>
      </c>
      <c r="E183" s="96" t="n">
        <v>3</v>
      </c>
      <c r="F183" s="96" t="n">
        <v>4</v>
      </c>
      <c r="G183" s="96" t="n">
        <v>5</v>
      </c>
      <c r="H183" s="96" t="n">
        <v>6</v>
      </c>
      <c r="I183" s="96" t="n">
        <v>7</v>
      </c>
      <c r="J183" s="96" t="n">
        <v>8</v>
      </c>
      <c r="K183" s="96" t="n">
        <v>9</v>
      </c>
      <c r="L183" s="96" t="n">
        <v>10</v>
      </c>
      <c r="M183" s="96" t="n">
        <v>11</v>
      </c>
      <c r="N183" s="164" t="n">
        <v>12</v>
      </c>
      <c r="O183" s="34"/>
    </row>
    <row r="184" customFormat="false" ht="15.75" hidden="false" customHeight="false" outlineLevel="0" collapsed="false">
      <c r="A184" s="97" t="s">
        <v>166</v>
      </c>
      <c r="B184" s="97" t="str">
        <f aca="false">B172</f>
        <v>DF</v>
      </c>
      <c r="C184" s="166" t="str">
        <f aca="false">C172</f>
        <v>pCTX</v>
      </c>
      <c r="D184" s="166" t="str">
        <f aca="false">D172</f>
        <v>pCTX</v>
      </c>
      <c r="E184" s="166" t="str">
        <f aca="false">E172</f>
        <v>pCTX</v>
      </c>
      <c r="F184" s="166" t="str">
        <f aca="false">F172</f>
        <v>pCTX</v>
      </c>
      <c r="G184" s="166" t="str">
        <f aca="false">G172</f>
        <v>pCTX</v>
      </c>
      <c r="H184" s="166" t="str">
        <f aca="false">H172</f>
        <v>pCTX</v>
      </c>
      <c r="I184" s="166" t="str">
        <f aca="false">I172</f>
        <v>pCTX</v>
      </c>
      <c r="J184" s="166" t="str">
        <f aca="false">J172</f>
        <v>pCTX</v>
      </c>
      <c r="K184" s="166" t="str">
        <f aca="false">K172</f>
        <v>pCTX</v>
      </c>
      <c r="L184" s="166" t="str">
        <f aca="false">L172</f>
        <v>pCTX</v>
      </c>
      <c r="M184" s="166" t="str">
        <f aca="false">M172</f>
        <v>pCTX</v>
      </c>
      <c r="N184" s="166" t="str">
        <f aca="false">N172</f>
        <v>pCTX</v>
      </c>
      <c r="O184" s="34"/>
    </row>
    <row r="185" customFormat="false" ht="15.75" hidden="false" customHeight="false" outlineLevel="0" collapsed="false">
      <c r="A185" s="97" t="s">
        <v>167</v>
      </c>
      <c r="B185" s="97" t="n">
        <f aca="false">B173</f>
        <v>5</v>
      </c>
      <c r="C185" s="121" t="e">
        <f aca="false">10000*C173*B173*10</f>
        <v>#N/A</v>
      </c>
      <c r="D185" s="121" t="e">
        <f aca="false">10000*D173*C173*10</f>
        <v>#N/A</v>
      </c>
      <c r="E185" s="121" t="e">
        <f aca="false">10000*E173*D173*10</f>
        <v>#N/A</v>
      </c>
      <c r="F185" s="121" t="e">
        <f aca="false">10000*F173*E173*10</f>
        <v>#N/A</v>
      </c>
      <c r="G185" s="121" t="e">
        <f aca="false">10000*G173*F173*10</f>
        <v>#N/A</v>
      </c>
      <c r="H185" s="121" t="e">
        <f aca="false">10000*H173*G173*10</f>
        <v>#N/A</v>
      </c>
      <c r="I185" s="121" t="e">
        <f aca="false">10000*I173*H173*10</f>
        <v>#N/A</v>
      </c>
      <c r="J185" s="121" t="e">
        <f aca="false">10000*J173*I173*10</f>
        <v>#N/A</v>
      </c>
      <c r="K185" s="121" t="e">
        <f aca="false">10000*K173*J173*10</f>
        <v>#N/A</v>
      </c>
      <c r="L185" s="121" t="e">
        <f aca="false">10000*L173*K173*10</f>
        <v>#N/A</v>
      </c>
      <c r="M185" s="121" t="e">
        <f aca="false">10000*M173*L173*10</f>
        <v>#N/A</v>
      </c>
      <c r="N185" s="121" t="e">
        <f aca="false">10000*N173*M173*10</f>
        <v>#N/A</v>
      </c>
      <c r="O185" s="34"/>
    </row>
    <row r="186" customFormat="false" ht="15.75" hidden="false" customHeight="false" outlineLevel="0" collapsed="false">
      <c r="A186" s="97" t="s">
        <v>168</v>
      </c>
      <c r="B186" s="97" t="n">
        <f aca="false">B174</f>
        <v>25</v>
      </c>
      <c r="C186" s="121" t="e">
        <f aca="false">10000*C174*B174*10</f>
        <v>#N/A</v>
      </c>
      <c r="D186" s="121" t="e">
        <f aca="false">10000*D174*C174*10</f>
        <v>#N/A</v>
      </c>
      <c r="E186" s="121" t="e">
        <f aca="false">10000*E174*D174*10</f>
        <v>#N/A</v>
      </c>
      <c r="F186" s="121" t="e">
        <f aca="false">10000*F174*E174*10</f>
        <v>#N/A</v>
      </c>
      <c r="G186" s="121" t="e">
        <f aca="false">10000*G174*F174*10</f>
        <v>#N/A</v>
      </c>
      <c r="H186" s="121" t="e">
        <f aca="false">10000*H174*G174*10</f>
        <v>#N/A</v>
      </c>
      <c r="I186" s="121" t="e">
        <f aca="false">10000*I174*H174*10</f>
        <v>#N/A</v>
      </c>
      <c r="J186" s="121" t="e">
        <f aca="false">10000*J174*I174*10</f>
        <v>#N/A</v>
      </c>
      <c r="K186" s="121" t="e">
        <f aca="false">10000*K174*J174*10</f>
        <v>#N/A</v>
      </c>
      <c r="L186" s="121" t="e">
        <f aca="false">10000*L174*K174*10</f>
        <v>#N/A</v>
      </c>
      <c r="M186" s="121" t="e">
        <f aca="false">10000*M174*L174*10</f>
        <v>#N/A</v>
      </c>
      <c r="N186" s="121" t="e">
        <f aca="false">10000*N174*M174*10</f>
        <v>#N/A</v>
      </c>
      <c r="O186" s="34"/>
    </row>
    <row r="187" customFormat="false" ht="15.75" hidden="false" customHeight="false" outlineLevel="0" collapsed="false">
      <c r="A187" s="97" t="s">
        <v>169</v>
      </c>
      <c r="B187" s="97" t="n">
        <f aca="false">B175</f>
        <v>125</v>
      </c>
      <c r="C187" s="121" t="e">
        <f aca="false">10000*C175*B175*10</f>
        <v>#N/A</v>
      </c>
      <c r="D187" s="121" t="e">
        <f aca="false">10000*D175*C175*10</f>
        <v>#N/A</v>
      </c>
      <c r="E187" s="121" t="e">
        <f aca="false">10000*E175*D175*10</f>
        <v>#N/A</v>
      </c>
      <c r="F187" s="121" t="e">
        <f aca="false">10000*F175*E175*10</f>
        <v>#N/A</v>
      </c>
      <c r="G187" s="121" t="e">
        <f aca="false">10000*G175*F175*10</f>
        <v>#N/A</v>
      </c>
      <c r="H187" s="121" t="e">
        <f aca="false">10000*H175*G175*10</f>
        <v>#N/A</v>
      </c>
      <c r="I187" s="121" t="e">
        <f aca="false">10000*I175*H175*10</f>
        <v>#N/A</v>
      </c>
      <c r="J187" s="121" t="e">
        <f aca="false">10000*J175*I175*10</f>
        <v>#N/A</v>
      </c>
      <c r="K187" s="121" t="e">
        <f aca="false">10000*K175*J175*10</f>
        <v>#N/A</v>
      </c>
      <c r="L187" s="121" t="e">
        <f aca="false">10000*L175*K175*10</f>
        <v>#N/A</v>
      </c>
      <c r="M187" s="121" t="e">
        <f aca="false">10000*M175*L175*10</f>
        <v>#N/A</v>
      </c>
      <c r="N187" s="121" t="e">
        <f aca="false">10000*N175*M175*10</f>
        <v>#N/A</v>
      </c>
      <c r="O187" s="34"/>
    </row>
    <row r="188" customFormat="false" ht="15.75" hidden="false" customHeight="false" outlineLevel="0" collapsed="false">
      <c r="A188" s="97" t="s">
        <v>170</v>
      </c>
      <c r="B188" s="97" t="n">
        <f aca="false">B176</f>
        <v>625</v>
      </c>
      <c r="C188" s="121" t="e">
        <f aca="false">10000*C176*B176*10</f>
        <v>#N/A</v>
      </c>
      <c r="D188" s="121" t="e">
        <f aca="false">10000*D176*C176*10</f>
        <v>#N/A</v>
      </c>
      <c r="E188" s="121" t="e">
        <f aca="false">10000*E176*D176*10</f>
        <v>#N/A</v>
      </c>
      <c r="F188" s="121" t="e">
        <f aca="false">10000*F176*E176*10</f>
        <v>#N/A</v>
      </c>
      <c r="G188" s="121" t="e">
        <f aca="false">10000*G176*F176*10</f>
        <v>#N/A</v>
      </c>
      <c r="H188" s="121" t="e">
        <f aca="false">10000*H176*G176*10</f>
        <v>#N/A</v>
      </c>
      <c r="I188" s="121" t="e">
        <f aca="false">10000*I176*H176*10</f>
        <v>#N/A</v>
      </c>
      <c r="J188" s="121" t="e">
        <f aca="false">10000*J176*I176*10</f>
        <v>#N/A</v>
      </c>
      <c r="K188" s="121" t="e">
        <f aca="false">10000*K176*J176*10</f>
        <v>#N/A</v>
      </c>
      <c r="L188" s="121" t="e">
        <f aca="false">10000*L176*K176*10</f>
        <v>#N/A</v>
      </c>
      <c r="M188" s="121" t="e">
        <f aca="false">10000*M176*L176*10</f>
        <v>#N/A</v>
      </c>
      <c r="N188" s="121" t="e">
        <f aca="false">10000*N176*M176*10</f>
        <v>#N/A</v>
      </c>
      <c r="O188" s="34"/>
    </row>
    <row r="189" customFormat="false" ht="15.75" hidden="false" customHeight="false" outlineLevel="0" collapsed="false">
      <c r="A189" s="97" t="s">
        <v>171</v>
      </c>
      <c r="B189" s="97" t="n">
        <f aca="false">B177</f>
        <v>3125</v>
      </c>
      <c r="C189" s="121" t="e">
        <f aca="false">10000*C177*B177*10</f>
        <v>#N/A</v>
      </c>
      <c r="D189" s="121" t="e">
        <f aca="false">10000*D177*C177*10</f>
        <v>#N/A</v>
      </c>
      <c r="E189" s="121" t="e">
        <f aca="false">10000*E177*D177*10</f>
        <v>#N/A</v>
      </c>
      <c r="F189" s="121" t="e">
        <f aca="false">10000*F177*E177*10</f>
        <v>#N/A</v>
      </c>
      <c r="G189" s="121" t="e">
        <f aca="false">10000*G177*F177*10</f>
        <v>#N/A</v>
      </c>
      <c r="H189" s="121" t="e">
        <f aca="false">10000*H177*G177*10</f>
        <v>#N/A</v>
      </c>
      <c r="I189" s="121" t="e">
        <f aca="false">10000*I177*H177*10</f>
        <v>#N/A</v>
      </c>
      <c r="J189" s="121" t="e">
        <f aca="false">10000*J177*I177*10</f>
        <v>#N/A</v>
      </c>
      <c r="K189" s="121" t="e">
        <f aca="false">10000*K177*J177*10</f>
        <v>#N/A</v>
      </c>
      <c r="L189" s="121" t="e">
        <f aca="false">10000*L177*K177*10</f>
        <v>#N/A</v>
      </c>
      <c r="M189" s="121" t="e">
        <f aca="false">10000*M177*L177*10</f>
        <v>#N/A</v>
      </c>
      <c r="N189" s="121" t="e">
        <f aca="false">10000*N177*M177*10</f>
        <v>#N/A</v>
      </c>
      <c r="O189" s="34"/>
    </row>
    <row r="190" customFormat="false" ht="15.75" hidden="false" customHeight="false" outlineLevel="0" collapsed="false">
      <c r="A190" s="97" t="s">
        <v>172</v>
      </c>
      <c r="B190" s="97" t="n">
        <f aca="false">B178</f>
        <v>15625</v>
      </c>
      <c r="C190" s="121" t="e">
        <f aca="false">10000*C178*B178*10</f>
        <v>#N/A</v>
      </c>
      <c r="D190" s="121" t="e">
        <f aca="false">10000*D178*C178*10</f>
        <v>#N/A</v>
      </c>
      <c r="E190" s="121" t="e">
        <f aca="false">10000*E178*D178*10</f>
        <v>#N/A</v>
      </c>
      <c r="F190" s="121" t="e">
        <f aca="false">10000*F178*E178*10</f>
        <v>#N/A</v>
      </c>
      <c r="G190" s="121" t="e">
        <f aca="false">10000*G178*F178*10</f>
        <v>#N/A</v>
      </c>
      <c r="H190" s="121" t="e">
        <f aca="false">10000*H178*G178*10</f>
        <v>#N/A</v>
      </c>
      <c r="I190" s="121" t="e">
        <f aca="false">10000*I178*H178*10</f>
        <v>#N/A</v>
      </c>
      <c r="J190" s="121" t="e">
        <f aca="false">10000*J178*I178*10</f>
        <v>#N/A</v>
      </c>
      <c r="K190" s="121" t="e">
        <f aca="false">10000*K178*J178*10</f>
        <v>#N/A</v>
      </c>
      <c r="L190" s="121" t="e">
        <f aca="false">10000*L178*K178*10</f>
        <v>#N/A</v>
      </c>
      <c r="M190" s="121" t="e">
        <f aca="false">10000*M178*L178*10</f>
        <v>#N/A</v>
      </c>
      <c r="N190" s="121" t="e">
        <f aca="false">10000*N178*M178*10</f>
        <v>#N/A</v>
      </c>
      <c r="O190" s="34"/>
    </row>
    <row r="191" customFormat="false" ht="15.75" hidden="false" customHeight="false" outlineLevel="0" collapsed="false">
      <c r="A191" s="97" t="s">
        <v>173</v>
      </c>
      <c r="B191" s="97" t="n">
        <f aca="false">B179</f>
        <v>78125</v>
      </c>
      <c r="C191" s="121" t="e">
        <f aca="false">10000*C179*B179*10</f>
        <v>#N/A</v>
      </c>
      <c r="D191" s="121" t="e">
        <f aca="false">10000*D179*C179*10</f>
        <v>#N/A</v>
      </c>
      <c r="E191" s="121" t="e">
        <f aca="false">10000*E179*D179*10</f>
        <v>#N/A</v>
      </c>
      <c r="F191" s="121" t="e">
        <f aca="false">10000*F179*E179*10</f>
        <v>#N/A</v>
      </c>
      <c r="G191" s="121" t="e">
        <f aca="false">10000*G179*F179*10</f>
        <v>#N/A</v>
      </c>
      <c r="H191" s="121" t="e">
        <f aca="false">10000*H179*G179*10</f>
        <v>#N/A</v>
      </c>
      <c r="I191" s="121" t="e">
        <f aca="false">10000*I179*H179*10</f>
        <v>#N/A</v>
      </c>
      <c r="J191" s="121" t="e">
        <f aca="false">10000*J179*I179*10</f>
        <v>#N/A</v>
      </c>
      <c r="K191" s="121" t="e">
        <f aca="false">10000*K179*J179*10</f>
        <v>#N/A</v>
      </c>
      <c r="L191" s="121" t="e">
        <f aca="false">10000*L179*K179*10</f>
        <v>#N/A</v>
      </c>
      <c r="M191" s="121" t="e">
        <f aca="false">10000*M179*L179*10</f>
        <v>#N/A</v>
      </c>
      <c r="N191" s="121" t="e">
        <f aca="false">10000*N179*M179*10</f>
        <v>#N/A</v>
      </c>
      <c r="O191" s="34"/>
    </row>
    <row r="192" customFormat="false" ht="15.75" hidden="false" customHeight="false" outlineLevel="0" collapsed="false">
      <c r="A192" s="123" t="s">
        <v>152</v>
      </c>
      <c r="B192" s="124"/>
      <c r="C192" s="125" t="e">
        <f aca="false">AVERAGE(C187:C189)</f>
        <v>#N/A</v>
      </c>
      <c r="D192" s="125" t="e">
        <f aca="false">AVERAGE(D187:D189)</f>
        <v>#N/A</v>
      </c>
      <c r="E192" s="125" t="e">
        <f aca="false">AVERAGE(E187:E189)</f>
        <v>#N/A</v>
      </c>
      <c r="F192" s="125" t="e">
        <f aca="false">AVERAGE(F187:F189)</f>
        <v>#N/A</v>
      </c>
      <c r="G192" s="125" t="e">
        <f aca="false">AVERAGE(G187:G189)</f>
        <v>#N/A</v>
      </c>
      <c r="H192" s="125" t="e">
        <f aca="false">AVERAGE(H187:H189)</f>
        <v>#N/A</v>
      </c>
      <c r="I192" s="125" t="e">
        <f aca="false">AVERAGE(I187:I189)</f>
        <v>#N/A</v>
      </c>
      <c r="J192" s="125" t="e">
        <f aca="false">AVERAGE(J187:J189)</f>
        <v>#N/A</v>
      </c>
      <c r="K192" s="125" t="e">
        <f aca="false">AVERAGE(K187:K189)</f>
        <v>#N/A</v>
      </c>
      <c r="L192" s="125" t="e">
        <f aca="false">AVERAGE(L187:L189)</f>
        <v>#N/A</v>
      </c>
      <c r="M192" s="125" t="e">
        <f aca="false">AVERAGE(M187:M189)</f>
        <v>#N/A</v>
      </c>
      <c r="N192" s="125" t="e">
        <f aca="false">AVERAGE(N187:N189)</f>
        <v>#N/A</v>
      </c>
      <c r="O192" s="34"/>
    </row>
    <row r="193" customFormat="false" ht="15.75" hidden="false" customHeight="false" outlineLevel="0" collapsed="false">
      <c r="A193" s="127" t="s">
        <v>240</v>
      </c>
      <c r="C193" s="130" t="e">
        <f aca="false">STDEV(C187:C189)/SQRT(COUNT(C187:C189))</f>
        <v>#N/A</v>
      </c>
      <c r="D193" s="128" t="e">
        <f aca="false">STDEV(D187:D189)/SQRT(COUNT(D187:D189))</f>
        <v>#N/A</v>
      </c>
      <c r="E193" s="128" t="e">
        <f aca="false">STDEV(E187:E189)/SQRT(COUNT(E187:E189))</f>
        <v>#N/A</v>
      </c>
      <c r="F193" s="128" t="e">
        <f aca="false">STDEV(F187:F189)/SQRT(COUNT(F187:F189))</f>
        <v>#N/A</v>
      </c>
      <c r="G193" s="128" t="e">
        <f aca="false">STDEV(G187:G189)/SQRT(COUNT(G187:G189))</f>
        <v>#N/A</v>
      </c>
      <c r="H193" s="128" t="e">
        <f aca="false">STDEV(H187:H189)/SQRT(COUNT(H187:H189))</f>
        <v>#N/A</v>
      </c>
      <c r="I193" s="128" t="e">
        <f aca="false">STDEV(I187:I189)/SQRT(COUNT(I187:I189))</f>
        <v>#N/A</v>
      </c>
      <c r="J193" s="128" t="e">
        <f aca="false">STDEV(J187:J189)/SQRT(COUNT(J187:J189))</f>
        <v>#N/A</v>
      </c>
      <c r="K193" s="128" t="e">
        <f aca="false">STDEV(K187:K189)/SQRT(COUNT(K187:K189))</f>
        <v>#N/A</v>
      </c>
      <c r="L193" s="128" t="e">
        <f aca="false">STDEV(L187:L189)/SQRT(COUNT(L187:L189))</f>
        <v>#N/A</v>
      </c>
      <c r="M193" s="128" t="e">
        <f aca="false">STDEV(M187:M189)/SQRT(COUNT(M187:M189))</f>
        <v>#N/A</v>
      </c>
      <c r="N193" s="128" t="e">
        <f aca="false">STDEV(N187:N189)/SQRT(COUNT(N187:N189))</f>
        <v>#N/A</v>
      </c>
    </row>
    <row r="194" customFormat="false" ht="15.75" hidden="false" customHeight="false" outlineLevel="0" collapsed="false">
      <c r="A194" s="42" t="s">
        <v>241</v>
      </c>
      <c r="C194" s="129" t="e">
        <f aca="false">STDEV(C187:C189)/C192</f>
        <v>#N/A</v>
      </c>
      <c r="D194" s="129" t="e">
        <f aca="false">STDEV(D187:D189)/D192</f>
        <v>#N/A</v>
      </c>
      <c r="E194" s="129" t="e">
        <f aca="false">STDEV(E187:E189)/E192</f>
        <v>#N/A</v>
      </c>
      <c r="F194" s="129" t="e">
        <f aca="false">STDEV(F187:F189)/F192</f>
        <v>#N/A</v>
      </c>
      <c r="G194" s="129" t="e">
        <f aca="false">STDEV(G187:G189)/G192</f>
        <v>#N/A</v>
      </c>
      <c r="H194" s="129" t="e">
        <f aca="false">STDEV(H187:H189)/H192</f>
        <v>#N/A</v>
      </c>
      <c r="I194" s="129" t="e">
        <f aca="false">STDEV(I187:I189)/I192</f>
        <v>#N/A</v>
      </c>
      <c r="J194" s="129" t="e">
        <f aca="false">STDEV(J187:J189)/J192</f>
        <v>#N/A</v>
      </c>
      <c r="K194" s="129" t="e">
        <f aca="false">STDEV(K187:K189)/K192</f>
        <v>#N/A</v>
      </c>
      <c r="L194" s="129" t="e">
        <f aca="false">STDEV(L187:L189)/L192</f>
        <v>#N/A</v>
      </c>
      <c r="M194" s="129" t="e">
        <f aca="false">STDEV(M187:M189)/M192</f>
        <v>#N/A</v>
      </c>
      <c r="N194" s="129" t="e">
        <f aca="false">STDEV(N187:N189)/N192</f>
        <v>#N/A</v>
      </c>
    </row>
    <row r="195" customFormat="false" ht="15.75" hidden="false" customHeight="false" outlineLevel="0" collapsed="false">
      <c r="A195" s="42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</row>
    <row r="196" customFormat="false" ht="16.5" hidden="false" customHeight="false" outlineLevel="0" collapsed="false">
      <c r="A196" s="42" t="s">
        <v>251</v>
      </c>
    </row>
    <row r="197" customFormat="false" ht="15.75" hidden="false" customHeight="false" outlineLevel="0" collapsed="false">
      <c r="A197" s="172" t="str">
        <f aca="false">'Best Average Titer 1'!A355</f>
        <v>Average &lt; CV Limit</v>
      </c>
      <c r="B197" s="173"/>
      <c r="C197" s="134" t="e">
        <f aca="false">'Best Average Titer 1'!C355</f>
        <v>#NAME?</v>
      </c>
      <c r="D197" s="134" t="e">
        <f aca="false">'Best Average Titer 1'!D355</f>
        <v>#NAME?</v>
      </c>
      <c r="E197" s="134" t="e">
        <f aca="false">'Best Average Titer 1'!E355</f>
        <v>#NAME?</v>
      </c>
      <c r="F197" s="134" t="e">
        <f aca="false">'Best Average Titer 1'!F355</f>
        <v>#NAME?</v>
      </c>
      <c r="G197" s="134" t="e">
        <f aca="false">'Best Average Titer 1'!G355</f>
        <v>#NAME?</v>
      </c>
      <c r="H197" s="134" t="e">
        <f aca="false">'Best Average Titer 1'!H355</f>
        <v>#NAME?</v>
      </c>
      <c r="I197" s="134" t="e">
        <f aca="false">'Best Average Titer 1'!I355</f>
        <v>#NAME?</v>
      </c>
      <c r="J197" s="134" t="e">
        <f aca="false">'Best Average Titer 1'!J355</f>
        <v>#NAME?</v>
      </c>
      <c r="K197" s="134" t="e">
        <f aca="false">'Best Average Titer 1'!K355</f>
        <v>#NAME?</v>
      </c>
      <c r="L197" s="134" t="e">
        <f aca="false">'Best Average Titer 1'!L355</f>
        <v>#NAME?</v>
      </c>
      <c r="M197" s="134" t="e">
        <f aca="false">'Best Average Titer 1'!M355</f>
        <v>#NAME?</v>
      </c>
      <c r="N197" s="135" t="e">
        <f aca="false">'Best Average Titer 1'!N355</f>
        <v>#NAME?</v>
      </c>
    </row>
    <row r="198" customFormat="false" ht="15.75" hidden="false" customHeight="false" outlineLevel="0" collapsed="false">
      <c r="A198" s="174" t="str">
        <f aca="false">'Best Average Titer 1'!A356</f>
        <v>Averages chosen</v>
      </c>
      <c r="B198" s="175"/>
      <c r="C198" s="137" t="e">
        <f aca="false">'Best Average Titer 1'!C356</f>
        <v>#NAME?</v>
      </c>
      <c r="D198" s="137" t="e">
        <f aca="false">'Best Average Titer 1'!D356</f>
        <v>#NAME?</v>
      </c>
      <c r="E198" s="137" t="e">
        <f aca="false">'Best Average Titer 1'!E356</f>
        <v>#NAME?</v>
      </c>
      <c r="F198" s="137" t="e">
        <f aca="false">'Best Average Titer 1'!F356</f>
        <v>#NAME?</v>
      </c>
      <c r="G198" s="137" t="e">
        <f aca="false">'Best Average Titer 1'!G356</f>
        <v>#NAME?</v>
      </c>
      <c r="H198" s="137" t="e">
        <f aca="false">'Best Average Titer 1'!H356</f>
        <v>#NAME?</v>
      </c>
      <c r="I198" s="137" t="e">
        <f aca="false">'Best Average Titer 1'!I356</f>
        <v>#NAME?</v>
      </c>
      <c r="J198" s="137" t="e">
        <f aca="false">'Best Average Titer 1'!J356</f>
        <v>#NAME?</v>
      </c>
      <c r="K198" s="137" t="e">
        <f aca="false">'Best Average Titer 1'!K356</f>
        <v>#NAME?</v>
      </c>
      <c r="L198" s="137" t="e">
        <f aca="false">'Best Average Titer 1'!L356</f>
        <v>#NAME?</v>
      </c>
      <c r="M198" s="137" t="e">
        <f aca="false">'Best Average Titer 1'!M356</f>
        <v>#NAME?</v>
      </c>
      <c r="N198" s="138" t="e">
        <f aca="false">'Best Average Titer 1'!N356</f>
        <v>#NAME?</v>
      </c>
    </row>
    <row r="199" customFormat="false" ht="15.75" hidden="false" customHeight="false" outlineLevel="0" collapsed="false">
      <c r="A199" s="174" t="str">
        <f aca="false">'Best Average Titer 1'!A357</f>
        <v>Standard Error</v>
      </c>
      <c r="B199" s="175"/>
      <c r="C199" s="139" t="e">
        <f aca="false">'Best Average Titer 1'!C357</f>
        <v>#NAME?</v>
      </c>
      <c r="D199" s="139" t="e">
        <f aca="false">'Best Average Titer 1'!D357</f>
        <v>#NAME?</v>
      </c>
      <c r="E199" s="139" t="e">
        <f aca="false">'Best Average Titer 1'!E357</f>
        <v>#NAME?</v>
      </c>
      <c r="F199" s="139" t="e">
        <f aca="false">'Best Average Titer 1'!F357</f>
        <v>#NAME?</v>
      </c>
      <c r="G199" s="139" t="e">
        <f aca="false">'Best Average Titer 1'!G357</f>
        <v>#NAME?</v>
      </c>
      <c r="H199" s="139" t="e">
        <f aca="false">'Best Average Titer 1'!H357</f>
        <v>#NAME?</v>
      </c>
      <c r="I199" s="139" t="e">
        <f aca="false">'Best Average Titer 1'!I357</f>
        <v>#NAME?</v>
      </c>
      <c r="J199" s="139" t="e">
        <f aca="false">'Best Average Titer 1'!J357</f>
        <v>#NAME?</v>
      </c>
      <c r="K199" s="139" t="e">
        <f aca="false">'Best Average Titer 1'!K357</f>
        <v>#NAME?</v>
      </c>
      <c r="L199" s="139" t="e">
        <f aca="false">'Best Average Titer 1'!L357</f>
        <v>#NAME?</v>
      </c>
      <c r="M199" s="139" t="e">
        <f aca="false">'Best Average Titer 1'!M357</f>
        <v>#NAME?</v>
      </c>
      <c r="N199" s="140" t="e">
        <f aca="false">'Best Average Titer 1'!N357</f>
        <v>#NAME?</v>
      </c>
    </row>
    <row r="200" customFormat="false" ht="16.5" hidden="false" customHeight="false" outlineLevel="0" collapsed="false">
      <c r="A200" s="176" t="str">
        <f aca="false">'Best Average Titer 1'!A358</f>
        <v>Coefficient of Variation</v>
      </c>
      <c r="B200" s="177"/>
      <c r="C200" s="178" t="n">
        <f aca="false">'Best Average Titer 1'!C358</f>
        <v>0</v>
      </c>
      <c r="D200" s="178" t="n">
        <f aca="false">'Best Average Titer 1'!D358</f>
        <v>0</v>
      </c>
      <c r="E200" s="178" t="n">
        <f aca="false">'Best Average Titer 1'!E358</f>
        <v>0</v>
      </c>
      <c r="F200" s="178" t="n">
        <f aca="false">'Best Average Titer 1'!F358</f>
        <v>0</v>
      </c>
      <c r="G200" s="178" t="n">
        <f aca="false">'Best Average Titer 1'!G358</f>
        <v>0</v>
      </c>
      <c r="H200" s="178" t="n">
        <f aca="false">'Best Average Titer 1'!H358</f>
        <v>0</v>
      </c>
      <c r="I200" s="178" t="n">
        <f aca="false">'Best Average Titer 1'!I358</f>
        <v>0</v>
      </c>
      <c r="J200" s="178" t="n">
        <f aca="false">'Best Average Titer 1'!J358</f>
        <v>0</v>
      </c>
      <c r="K200" s="178" t="n">
        <f aca="false">'Best Average Titer 1'!K358</f>
        <v>0</v>
      </c>
      <c r="L200" s="178" t="n">
        <f aca="false">'Best Average Titer 1'!L358</f>
        <v>0</v>
      </c>
      <c r="M200" s="178" t="n">
        <f aca="false">'Best Average Titer 1'!M358</f>
        <v>0</v>
      </c>
      <c r="N200" s="179" t="n">
        <f aca="false">'Best Average Titer 1'!N358</f>
        <v>0</v>
      </c>
    </row>
    <row r="205" customFormat="false" ht="15.75" hidden="false" customHeight="false" outlineLevel="0" collapsed="false">
      <c r="A205" s="44" t="s">
        <v>252</v>
      </c>
      <c r="C205" s="95"/>
      <c r="D205" s="95"/>
      <c r="E205" s="95"/>
      <c r="F205" s="42"/>
      <c r="G205" s="42"/>
      <c r="H205" s="42"/>
      <c r="I205" s="42"/>
      <c r="J205" s="42"/>
      <c r="K205" s="42"/>
      <c r="L205" s="42"/>
      <c r="M205" s="42"/>
      <c r="N205" s="42"/>
    </row>
    <row r="206" customFormat="false" ht="15.75" hidden="false" customHeight="false" outlineLevel="0" collapsed="false">
      <c r="A206" s="58"/>
      <c r="B206" s="42"/>
      <c r="C206" s="95" t="n">
        <v>1</v>
      </c>
      <c r="D206" s="95" t="n">
        <v>2</v>
      </c>
      <c r="E206" s="95" t="n">
        <v>3</v>
      </c>
      <c r="F206" s="42" t="n">
        <v>4</v>
      </c>
      <c r="G206" s="42" t="n">
        <v>5</v>
      </c>
      <c r="H206" s="42" t="n">
        <v>6</v>
      </c>
      <c r="I206" s="42" t="n">
        <v>7</v>
      </c>
      <c r="J206" s="42" t="n">
        <v>8</v>
      </c>
      <c r="K206" s="42" t="n">
        <v>9</v>
      </c>
      <c r="L206" s="42" t="n">
        <v>10</v>
      </c>
      <c r="M206" s="42" t="n">
        <v>11</v>
      </c>
      <c r="N206" s="42" t="n">
        <v>12</v>
      </c>
    </row>
    <row r="207" customFormat="false" ht="15.75" hidden="false" customHeight="false" outlineLevel="0" collapsed="false">
      <c r="A207" s="116" t="s">
        <v>166</v>
      </c>
      <c r="B207" s="97" t="s">
        <v>226</v>
      </c>
      <c r="C207" s="180" t="str">
        <f aca="false">'VCN - Output'!AB51</f>
        <v> </v>
      </c>
      <c r="D207" s="180" t="str">
        <f aca="false">'VCN - Output'!AC51</f>
        <v> </v>
      </c>
      <c r="E207" s="180" t="str">
        <f aca="false">'VCN - Output'!AD51</f>
        <v> </v>
      </c>
      <c r="F207" s="180" t="str">
        <f aca="false">'VCN - Output'!AE51</f>
        <v> </v>
      </c>
      <c r="G207" s="180" t="str">
        <f aca="false">'VCN - Output'!AF51</f>
        <v> </v>
      </c>
      <c r="H207" s="180" t="str">
        <f aca="false">'VCN - Output'!AG51</f>
        <v> </v>
      </c>
      <c r="I207" s="180" t="str">
        <f aca="false">'VCN - Output'!AH51</f>
        <v> </v>
      </c>
      <c r="J207" s="180" t="str">
        <f aca="false">'VCN - Output'!AI51</f>
        <v> </v>
      </c>
      <c r="K207" s="180" t="str">
        <f aca="false">'VCN - Output'!AJ51</f>
        <v> </v>
      </c>
      <c r="L207" s="180" t="str">
        <f aca="false">'VCN - Output'!AK51</f>
        <v> </v>
      </c>
      <c r="M207" s="180" t="str">
        <f aca="false">'VCN - Output'!AL51</f>
        <v> </v>
      </c>
      <c r="N207" s="180" t="str">
        <f aca="false">'VCN - Output'!AM51</f>
        <v> </v>
      </c>
    </row>
    <row r="208" customFormat="false" ht="15.75" hidden="false" customHeight="false" outlineLevel="0" collapsed="false">
      <c r="A208" s="116" t="s">
        <v>167</v>
      </c>
      <c r="B208" s="97" t="n">
        <f aca="false">B173</f>
        <v>5</v>
      </c>
      <c r="C208" s="180" t="str">
        <f aca="false">'VCN - Output'!AB52</f>
        <v> </v>
      </c>
      <c r="D208" s="180" t="str">
        <f aca="false">'VCN - Output'!AC52</f>
        <v> </v>
      </c>
      <c r="E208" s="180" t="str">
        <f aca="false">'VCN - Output'!AD52</f>
        <v> </v>
      </c>
      <c r="F208" s="180" t="str">
        <f aca="false">'VCN - Output'!AE52</f>
        <v> </v>
      </c>
      <c r="G208" s="180" t="str">
        <f aca="false">'VCN - Output'!AF52</f>
        <v> </v>
      </c>
      <c r="H208" s="180" t="str">
        <f aca="false">'VCN - Output'!AG52</f>
        <v> </v>
      </c>
      <c r="I208" s="180" t="str">
        <f aca="false">'VCN - Output'!AH52</f>
        <v> </v>
      </c>
      <c r="J208" s="180" t="str">
        <f aca="false">'VCN - Output'!AI52</f>
        <v> </v>
      </c>
      <c r="K208" s="180" t="str">
        <f aca="false">'VCN - Output'!AJ52</f>
        <v> </v>
      </c>
      <c r="L208" s="180" t="str">
        <f aca="false">'VCN - Output'!AK52</f>
        <v> </v>
      </c>
      <c r="M208" s="180" t="str">
        <f aca="false">'VCN - Output'!AL52</f>
        <v> </v>
      </c>
      <c r="N208" s="180" t="str">
        <f aca="false">'VCN - Output'!AM52</f>
        <v> </v>
      </c>
    </row>
    <row r="209" customFormat="false" ht="15.75" hidden="false" customHeight="false" outlineLevel="0" collapsed="false">
      <c r="A209" s="97" t="s">
        <v>168</v>
      </c>
      <c r="B209" s="97" t="n">
        <f aca="false">B174</f>
        <v>25</v>
      </c>
      <c r="C209" s="180" t="str">
        <f aca="false">'VCN - Output'!AB53</f>
        <v> </v>
      </c>
      <c r="D209" s="180" t="str">
        <f aca="false">'VCN - Output'!AC53</f>
        <v> </v>
      </c>
      <c r="E209" s="180" t="str">
        <f aca="false">'VCN - Output'!AD53</f>
        <v> </v>
      </c>
      <c r="F209" s="180" t="str">
        <f aca="false">'VCN - Output'!AE53</f>
        <v> </v>
      </c>
      <c r="G209" s="180" t="str">
        <f aca="false">'VCN - Output'!AF53</f>
        <v> </v>
      </c>
      <c r="H209" s="180" t="str">
        <f aca="false">'VCN - Output'!AG53</f>
        <v> </v>
      </c>
      <c r="I209" s="180" t="str">
        <f aca="false">'VCN - Output'!AH53</f>
        <v> </v>
      </c>
      <c r="J209" s="180" t="str">
        <f aca="false">'VCN - Output'!AI53</f>
        <v> </v>
      </c>
      <c r="K209" s="180" t="str">
        <f aca="false">'VCN - Output'!AJ53</f>
        <v> </v>
      </c>
      <c r="L209" s="180" t="str">
        <f aca="false">'VCN - Output'!AK53</f>
        <v> </v>
      </c>
      <c r="M209" s="180" t="str">
        <f aca="false">'VCN - Output'!AL53</f>
        <v> </v>
      </c>
      <c r="N209" s="180" t="str">
        <f aca="false">'VCN - Output'!AM53</f>
        <v> </v>
      </c>
    </row>
    <row r="210" customFormat="false" ht="15.75" hidden="false" customHeight="false" outlineLevel="0" collapsed="false">
      <c r="A210" s="97" t="s">
        <v>169</v>
      </c>
      <c r="B210" s="97" t="n">
        <f aca="false">B175</f>
        <v>125</v>
      </c>
      <c r="C210" s="180" t="str">
        <f aca="false">'VCN - Output'!AB54</f>
        <v> </v>
      </c>
      <c r="D210" s="180" t="str">
        <f aca="false">'VCN - Output'!AC54</f>
        <v> </v>
      </c>
      <c r="E210" s="180" t="str">
        <f aca="false">'VCN - Output'!AD54</f>
        <v> </v>
      </c>
      <c r="F210" s="180" t="str">
        <f aca="false">'VCN - Output'!AE54</f>
        <v> </v>
      </c>
      <c r="G210" s="180" t="str">
        <f aca="false">'VCN - Output'!AF54</f>
        <v> </v>
      </c>
      <c r="H210" s="180" t="str">
        <f aca="false">'VCN - Output'!AG54</f>
        <v> </v>
      </c>
      <c r="I210" s="180" t="str">
        <f aca="false">'VCN - Output'!AH54</f>
        <v> </v>
      </c>
      <c r="J210" s="180" t="str">
        <f aca="false">'VCN - Output'!AI54</f>
        <v> </v>
      </c>
      <c r="K210" s="180" t="str">
        <f aca="false">'VCN - Output'!AJ54</f>
        <v> </v>
      </c>
      <c r="L210" s="180" t="str">
        <f aca="false">'VCN - Output'!AK54</f>
        <v> </v>
      </c>
      <c r="M210" s="180" t="str">
        <f aca="false">'VCN - Output'!AL54</f>
        <v> </v>
      </c>
      <c r="N210" s="180" t="str">
        <f aca="false">'VCN - Output'!AM54</f>
        <v> </v>
      </c>
    </row>
    <row r="211" customFormat="false" ht="15.75" hidden="false" customHeight="false" outlineLevel="0" collapsed="false">
      <c r="A211" s="97" t="s">
        <v>170</v>
      </c>
      <c r="B211" s="97" t="n">
        <f aca="false">B176</f>
        <v>625</v>
      </c>
      <c r="C211" s="180" t="str">
        <f aca="false">'VCN - Output'!AB55</f>
        <v> </v>
      </c>
      <c r="D211" s="180" t="str">
        <f aca="false">'VCN - Output'!AC55</f>
        <v> </v>
      </c>
      <c r="E211" s="180" t="str">
        <f aca="false">'VCN - Output'!AD55</f>
        <v> </v>
      </c>
      <c r="F211" s="180" t="str">
        <f aca="false">'VCN - Output'!AE55</f>
        <v> </v>
      </c>
      <c r="G211" s="180" t="str">
        <f aca="false">'VCN - Output'!AF55</f>
        <v> </v>
      </c>
      <c r="H211" s="180" t="str">
        <f aca="false">'VCN - Output'!AG55</f>
        <v> </v>
      </c>
      <c r="I211" s="180" t="str">
        <f aca="false">'VCN - Output'!AH55</f>
        <v> </v>
      </c>
      <c r="J211" s="180" t="str">
        <f aca="false">'VCN - Output'!AI55</f>
        <v> </v>
      </c>
      <c r="K211" s="180" t="str">
        <f aca="false">'VCN - Output'!AJ55</f>
        <v> </v>
      </c>
      <c r="L211" s="180" t="str">
        <f aca="false">'VCN - Output'!AK55</f>
        <v> </v>
      </c>
      <c r="M211" s="180" t="str">
        <f aca="false">'VCN - Output'!AL55</f>
        <v> </v>
      </c>
      <c r="N211" s="180" t="str">
        <f aca="false">'VCN - Output'!AM55</f>
        <v> </v>
      </c>
    </row>
    <row r="212" customFormat="false" ht="15.75" hidden="false" customHeight="false" outlineLevel="0" collapsed="false">
      <c r="A212" s="97" t="s">
        <v>171</v>
      </c>
      <c r="B212" s="97" t="n">
        <f aca="false">B177</f>
        <v>3125</v>
      </c>
      <c r="C212" s="180" t="str">
        <f aca="false">'VCN - Output'!AB56</f>
        <v> </v>
      </c>
      <c r="D212" s="180" t="str">
        <f aca="false">'VCN - Output'!AC56</f>
        <v> </v>
      </c>
      <c r="E212" s="180" t="str">
        <f aca="false">'VCN - Output'!AD56</f>
        <v> </v>
      </c>
      <c r="F212" s="180" t="str">
        <f aca="false">'VCN - Output'!AE56</f>
        <v> </v>
      </c>
      <c r="G212" s="180" t="str">
        <f aca="false">'VCN - Output'!AF56</f>
        <v> </v>
      </c>
      <c r="H212" s="180" t="str">
        <f aca="false">'VCN - Output'!AG56</f>
        <v> </v>
      </c>
      <c r="I212" s="180" t="str">
        <f aca="false">'VCN - Output'!AH56</f>
        <v> </v>
      </c>
      <c r="J212" s="180" t="str">
        <f aca="false">'VCN - Output'!AI56</f>
        <v> </v>
      </c>
      <c r="K212" s="180" t="str">
        <f aca="false">'VCN - Output'!AJ56</f>
        <v> </v>
      </c>
      <c r="L212" s="180" t="str">
        <f aca="false">'VCN - Output'!AK56</f>
        <v> </v>
      </c>
      <c r="M212" s="180" t="str">
        <f aca="false">'VCN - Output'!AL56</f>
        <v> </v>
      </c>
      <c r="N212" s="180" t="str">
        <f aca="false">'VCN - Output'!AM56</f>
        <v> </v>
      </c>
    </row>
    <row r="213" customFormat="false" ht="15.75" hidden="false" customHeight="false" outlineLevel="0" collapsed="false">
      <c r="A213" s="97" t="s">
        <v>172</v>
      </c>
      <c r="B213" s="97" t="n">
        <f aca="false">B178</f>
        <v>15625</v>
      </c>
      <c r="C213" s="180" t="str">
        <f aca="false">'VCN - Output'!AB57</f>
        <v> </v>
      </c>
      <c r="D213" s="180" t="str">
        <f aca="false">'VCN - Output'!AC57</f>
        <v> </v>
      </c>
      <c r="E213" s="180" t="str">
        <f aca="false">'VCN - Output'!AD57</f>
        <v> </v>
      </c>
      <c r="F213" s="180" t="str">
        <f aca="false">'VCN - Output'!AE57</f>
        <v> </v>
      </c>
      <c r="G213" s="180" t="str">
        <f aca="false">'VCN - Output'!AF57</f>
        <v> </v>
      </c>
      <c r="H213" s="180" t="str">
        <f aca="false">'VCN - Output'!AG57</f>
        <v> </v>
      </c>
      <c r="I213" s="180" t="str">
        <f aca="false">'VCN - Output'!AH57</f>
        <v> </v>
      </c>
      <c r="J213" s="180" t="str">
        <f aca="false">'VCN - Output'!AI57</f>
        <v> </v>
      </c>
      <c r="K213" s="180" t="str">
        <f aca="false">'VCN - Output'!AJ57</f>
        <v> </v>
      </c>
      <c r="L213" s="180" t="str">
        <f aca="false">'VCN - Output'!AK57</f>
        <v> </v>
      </c>
      <c r="M213" s="180" t="str">
        <f aca="false">'VCN - Output'!AL57</f>
        <v> </v>
      </c>
      <c r="N213" s="180" t="str">
        <f aca="false">'VCN - Output'!AM57</f>
        <v> </v>
      </c>
    </row>
    <row r="214" customFormat="false" ht="15.75" hidden="false" customHeight="false" outlineLevel="0" collapsed="false">
      <c r="A214" s="97" t="s">
        <v>173</v>
      </c>
      <c r="B214" s="97" t="n">
        <f aca="false">B179</f>
        <v>78125</v>
      </c>
      <c r="C214" s="180" t="str">
        <f aca="false">'VCN - Output'!AB58</f>
        <v> </v>
      </c>
      <c r="D214" s="180" t="str">
        <f aca="false">'VCN - Output'!AC58</f>
        <v> </v>
      </c>
      <c r="E214" s="180" t="str">
        <f aca="false">'VCN - Output'!AD58</f>
        <v> </v>
      </c>
      <c r="F214" s="180" t="str">
        <f aca="false">'VCN - Output'!AE58</f>
        <v> </v>
      </c>
      <c r="G214" s="180" t="str">
        <f aca="false">'VCN - Output'!AF58</f>
        <v> </v>
      </c>
      <c r="H214" s="180" t="str">
        <f aca="false">'VCN - Output'!AG58</f>
        <v> </v>
      </c>
      <c r="I214" s="180" t="str">
        <f aca="false">'VCN - Output'!AH58</f>
        <v> </v>
      </c>
      <c r="J214" s="180" t="str">
        <f aca="false">'VCN - Output'!AI58</f>
        <v> </v>
      </c>
      <c r="K214" s="180" t="str">
        <f aca="false">'VCN - Output'!AJ58</f>
        <v> </v>
      </c>
      <c r="L214" s="180" t="str">
        <f aca="false">'VCN - Output'!AK58</f>
        <v> </v>
      </c>
      <c r="M214" s="180" t="str">
        <f aca="false">'VCN - Output'!AL58</f>
        <v> </v>
      </c>
      <c r="N214" s="180" t="str">
        <f aca="false">'VCN - Output'!AM58</f>
        <v> </v>
      </c>
    </row>
    <row r="227" customFormat="false" ht="15.75" hidden="false" customHeight="false" outlineLevel="0" collapsed="false">
      <c r="F227" s="120"/>
    </row>
    <row r="228" customFormat="false" ht="15.75" hidden="false" customHeight="false" outlineLevel="0" collapsed="false">
      <c r="F228" s="120"/>
    </row>
    <row r="229" customFormat="false" ht="15.75" hidden="false" customHeight="false" outlineLevel="0" collapsed="false">
      <c r="F229" s="120"/>
    </row>
    <row r="230" customFormat="false" ht="15.75" hidden="false" customHeight="false" outlineLevel="0" collapsed="false">
      <c r="F230" s="120"/>
    </row>
    <row r="231" customFormat="false" ht="15.75" hidden="false" customHeight="false" outlineLevel="0" collapsed="false">
      <c r="F231" s="120"/>
    </row>
    <row r="232" customFormat="false" ht="15.75" hidden="false" customHeight="false" outlineLevel="0" collapsed="false">
      <c r="F232" s="120"/>
      <c r="O232" s="120"/>
    </row>
    <row r="235" customFormat="false" ht="15.75" hidden="false" customHeight="false" outlineLevel="0" collapsed="false">
      <c r="G235" s="120"/>
    </row>
    <row r="236" customFormat="false" ht="15.75" hidden="false" customHeight="false" outlineLevel="0" collapsed="false">
      <c r="G236" s="120"/>
    </row>
    <row r="237" customFormat="false" ht="15.75" hidden="false" customHeight="false" outlineLevel="0" collapsed="false">
      <c r="G237" s="120"/>
    </row>
    <row r="238" customFormat="false" ht="15.75" hidden="false" customHeight="false" outlineLevel="0" collapsed="false">
      <c r="G238" s="120"/>
    </row>
    <row r="239" customFormat="false" ht="15.75" hidden="false" customHeight="false" outlineLevel="0" collapsed="false">
      <c r="G239" s="120"/>
    </row>
    <row r="467" customFormat="false" ht="15.75" hidden="false" customHeight="false" outlineLevel="0" collapsed="false">
      <c r="A467" s="44" t="s">
        <v>253</v>
      </c>
    </row>
    <row r="468" customFormat="false" ht="15.75" hidden="false" customHeight="false" outlineLevel="0" collapsed="false">
      <c r="A468" s="44" t="s">
        <v>254</v>
      </c>
    </row>
    <row r="469" customFormat="false" ht="15.75" hidden="false" customHeight="false" outlineLevel="0" collapsed="false">
      <c r="A469" s="44" t="s">
        <v>255</v>
      </c>
    </row>
    <row r="470" customFormat="false" ht="15.75" hidden="false" customHeight="false" outlineLevel="0" collapsed="false">
      <c r="A470" s="44" t="s">
        <v>256</v>
      </c>
    </row>
    <row r="471" customFormat="false" ht="15.75" hidden="false" customHeight="false" outlineLevel="0" collapsed="false">
      <c r="A471" s="44" t="s">
        <v>257</v>
      </c>
    </row>
    <row r="472" customFormat="false" ht="15.75" hidden="false" customHeight="false" outlineLevel="0" collapsed="false">
      <c r="A472" s="44" t="s">
        <v>258</v>
      </c>
    </row>
    <row r="473" customFormat="false" ht="15.75" hidden="false" customHeight="false" outlineLevel="0" collapsed="false">
      <c r="A473" s="44" t="s">
        <v>259</v>
      </c>
    </row>
    <row r="474" customFormat="false" ht="15.75" hidden="false" customHeight="false" outlineLevel="0" collapsed="false">
      <c r="A474" s="44" t="s">
        <v>260</v>
      </c>
    </row>
    <row r="475" customFormat="false" ht="15.75" hidden="false" customHeight="false" outlineLevel="0" collapsed="false">
      <c r="A475" s="44" t="s">
        <v>261</v>
      </c>
    </row>
  </sheetData>
  <conditionalFormatting sqref="C36:N36">
    <cfRule type="cellIs" priority="2" operator="greaterThan" aboveAverage="0" equalAverage="0" bottom="0" percent="0" rank="0" text="" dxfId="11">
      <formula>$T$6</formula>
    </cfRule>
  </conditionalFormatting>
  <conditionalFormatting sqref="C75:N75">
    <cfRule type="cellIs" priority="3" operator="greaterThan" aboveAverage="0" equalAverage="0" bottom="0" percent="0" rank="0" text="" dxfId="12">
      <formula>$T$6</formula>
    </cfRule>
  </conditionalFormatting>
  <conditionalFormatting sqref="C200:N200">
    <cfRule type="cellIs" priority="4" operator="greaterThan" aboveAverage="0" equalAverage="0" bottom="0" percent="0" rank="0" text="" dxfId="13">
      <formula>$T$12</formula>
    </cfRule>
  </conditionalFormatting>
  <conditionalFormatting sqref="C117:N117">
    <cfRule type="cellIs" priority="5" operator="greaterThan" aboveAverage="0" equalAverage="0" bottom="0" percent="0" rank="0" text="" dxfId="14">
      <formula>$T$6</formula>
    </cfRule>
  </conditionalFormatting>
  <conditionalFormatting sqref="C159:N159">
    <cfRule type="cellIs" priority="6" operator="greaterThan" aboveAverage="0" equalAverage="0" bottom="0" percent="0" rank="0" text="" dxfId="15">
      <formula>$T$6</formula>
    </cfRule>
  </conditionalFormatting>
  <conditionalFormatting sqref="C10:N16">
    <cfRule type="cellIs" priority="7" operator="greaterThan" aboveAverage="0" equalAverage="0" bottom="0" percent="0" rank="0" text="" dxfId="16">
      <formula>100</formula>
    </cfRule>
    <cfRule type="cellIs" priority="8" operator="lessThanOrEqual" aboveAverage="0" equalAverage="0" bottom="0" percent="0" rank="0" text="" dxfId="17">
      <formula>$T$5</formula>
    </cfRule>
    <cfRule type="cellIs" priority="9" operator="between" aboveAverage="0" equalAverage="0" bottom="0" percent="0" rank="0" text="" dxfId="18">
      <formula>$T$5</formula>
      <formula>$T$4</formula>
    </cfRule>
  </conditionalFormatting>
  <conditionalFormatting sqref="C21:N27">
    <cfRule type="cellIs" priority="10" operator="equal" aboveAverage="0" equalAverage="0" bottom="0" percent="0" rank="0" text="" dxfId="19">
      <formula>0</formula>
    </cfRule>
  </conditionalFormatting>
  <conditionalFormatting sqref="C60:N66">
    <cfRule type="cellIs" priority="11" operator="equal" aboveAverage="0" equalAverage="0" bottom="0" percent="0" rank="0" text="" dxfId="20">
      <formula>0</formula>
    </cfRule>
  </conditionalFormatting>
  <conditionalFormatting sqref="C49:N55">
    <cfRule type="cellIs" priority="12" operator="greaterThan" aboveAverage="0" equalAverage="0" bottom="0" percent="0" rank="0" text="" dxfId="21">
      <formula>100</formula>
    </cfRule>
    <cfRule type="cellIs" priority="13" operator="lessThanOrEqual" aboveAverage="0" equalAverage="0" bottom="0" percent="0" rank="0" text="" dxfId="22">
      <formula>$T$5</formula>
    </cfRule>
    <cfRule type="cellIs" priority="14" operator="between" aboveAverage="0" equalAverage="0" bottom="0" percent="0" rank="0" text="" dxfId="23">
      <formula>$T$5</formula>
      <formula>$T$4</formula>
    </cfRule>
  </conditionalFormatting>
  <conditionalFormatting sqref="C91:N97">
    <cfRule type="cellIs" priority="15" operator="greaterThan" aboveAverage="0" equalAverage="0" bottom="0" percent="0" rank="0" text="" dxfId="24">
      <formula>100</formula>
    </cfRule>
    <cfRule type="cellIs" priority="16" operator="lessThanOrEqual" aboveAverage="0" equalAverage="0" bottom="0" percent="0" rank="0" text="" dxfId="25">
      <formula>$T$5</formula>
    </cfRule>
    <cfRule type="cellIs" priority="17" operator="between" aboveAverage="0" equalAverage="0" bottom="0" percent="0" rank="0" text="" dxfId="26">
      <formula>$T$5</formula>
      <formula>$T$4</formula>
    </cfRule>
  </conditionalFormatting>
  <conditionalFormatting sqref="C102:N108">
    <cfRule type="cellIs" priority="18" operator="equal" aboveAverage="0" equalAverage="0" bottom="0" percent="0" rank="0" text="" dxfId="27">
      <formula>0</formula>
    </cfRule>
  </conditionalFormatting>
  <conditionalFormatting sqref="C144:N150">
    <cfRule type="cellIs" priority="19" operator="equal" aboveAverage="0" equalAverage="0" bottom="0" percent="0" rank="0" text="" dxfId="28">
      <formula>0</formula>
    </cfRule>
  </conditionalFormatting>
  <conditionalFormatting sqref="C133:N139">
    <cfRule type="cellIs" priority="20" operator="greaterThan" aboveAverage="0" equalAverage="0" bottom="0" percent="0" rank="0" text="" dxfId="29">
      <formula>100</formula>
    </cfRule>
    <cfRule type="cellIs" priority="21" operator="lessThanOrEqual" aboveAverage="0" equalAverage="0" bottom="0" percent="0" rank="0" text="" dxfId="30">
      <formula>$T$5</formula>
    </cfRule>
    <cfRule type="cellIs" priority="22" operator="between" aboveAverage="0" equalAverage="0" bottom="0" percent="0" rank="0" text="" dxfId="31">
      <formula>$T$5</formula>
      <formula>$T$4</formula>
    </cfRule>
  </conditionalFormatting>
  <conditionalFormatting sqref="C173:N179">
    <cfRule type="cellIs" priority="23" operator="lessThanOrEqual" aboveAverage="0" equalAverage="0" bottom="0" percent="0" rank="0" text="" dxfId="32">
      <formula>$T$11</formula>
    </cfRule>
    <cfRule type="cellIs" priority="24" operator="between" aboveAverage="0" equalAverage="0" bottom="0" percent="0" rank="0" text="" dxfId="33">
      <formula>$T$11</formula>
      <formula>$T$10</formula>
    </cfRule>
  </conditionalFormatting>
  <conditionalFormatting sqref="C185:N191">
    <cfRule type="cellIs" priority="25" operator="equal" aboveAverage="0" equalAverage="0" bottom="0" percent="0" rank="0" text="" dxfId="3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5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8" activeCellId="0" sqref="J28"/>
    </sheetView>
  </sheetViews>
  <sheetFormatPr defaultColWidth="8.6796875" defaultRowHeight="15" zeroHeight="false" outlineLevelRow="0" outlineLevelCol="0"/>
  <cols>
    <col collapsed="false" customWidth="true" hidden="false" outlineLevel="0" max="13" min="3" style="0" width="11.71"/>
    <col collapsed="false" customWidth="true" hidden="false" outlineLevel="0" max="14" min="14" style="0" width="11.29"/>
    <col collapsed="false" customWidth="true" hidden="false" outlineLevel="0" max="18" min="18" style="0" width="27"/>
    <col collapsed="false" customWidth="true" hidden="false" outlineLevel="0" max="32" min="32" style="0" width="28.71"/>
    <col collapsed="false" customWidth="true" hidden="false" outlineLevel="0" max="34" min="34" style="0" width="11"/>
    <col collapsed="false" customWidth="true" hidden="false" outlineLevel="0" max="36" min="35" style="0" width="11.14"/>
    <col collapsed="false" customWidth="true" hidden="false" outlineLevel="0" max="37" min="37" style="0" width="11.29"/>
    <col collapsed="false" customWidth="true" hidden="false" outlineLevel="0" max="40" min="38" style="0" width="11.14"/>
    <col collapsed="false" customWidth="true" hidden="false" outlineLevel="0" max="45" min="41" style="0" width="9.57"/>
  </cols>
  <sheetData>
    <row r="1" customFormat="false" ht="15.75" hidden="false" customHeight="false" outlineLevel="0" collapsed="false">
      <c r="A1" s="58" t="s">
        <v>192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83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157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</row>
    <row r="2" customFormat="false" ht="18" hidden="false" customHeight="false" outlineLevel="0" collapsed="false">
      <c r="A2" s="59" t="s">
        <v>262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44"/>
      <c r="Q2" s="83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157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</row>
    <row r="3" customFormat="false" ht="18" hidden="false" customHeight="false" outlineLevel="0" collapsed="false">
      <c r="A3" s="65"/>
      <c r="B3" s="58"/>
      <c r="C3" s="145"/>
      <c r="D3" s="78"/>
      <c r="E3" s="78"/>
      <c r="F3" s="69"/>
      <c r="G3" s="69"/>
      <c r="H3" s="69"/>
      <c r="I3" s="69"/>
      <c r="J3" s="69"/>
      <c r="K3" s="69"/>
      <c r="L3" s="69"/>
      <c r="M3" s="69"/>
      <c r="N3" s="69"/>
      <c r="O3" s="69"/>
      <c r="P3" s="44"/>
      <c r="Q3" s="83"/>
      <c r="R3" s="44"/>
      <c r="S3" s="44"/>
      <c r="T3" s="44"/>
      <c r="U3" s="44"/>
      <c r="V3" s="44"/>
      <c r="W3" s="44"/>
      <c r="X3" s="44"/>
      <c r="Y3" s="146"/>
      <c r="Z3" s="147"/>
      <c r="AA3" s="75"/>
      <c r="AB3" s="75"/>
      <c r="AC3" s="75"/>
      <c r="AD3" s="75"/>
      <c r="AE3" s="181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</row>
    <row r="4" customFormat="false" ht="26.25" hidden="false" customHeight="false" outlineLevel="0" collapsed="false">
      <c r="A4" s="182"/>
      <c r="B4" s="78"/>
      <c r="C4" s="183" t="s">
        <v>263</v>
      </c>
      <c r="D4" s="78"/>
      <c r="E4" s="79"/>
      <c r="F4" s="69"/>
      <c r="G4" s="69"/>
      <c r="H4" s="69"/>
      <c r="I4" s="69"/>
      <c r="J4" s="69"/>
      <c r="K4" s="69"/>
      <c r="L4" s="69"/>
      <c r="M4" s="69"/>
      <c r="N4" s="69"/>
      <c r="O4" s="69"/>
      <c r="P4" s="44"/>
      <c r="Q4" s="83"/>
      <c r="R4" s="44"/>
      <c r="S4" s="44"/>
      <c r="T4" s="44"/>
      <c r="U4" s="44"/>
      <c r="V4" s="44"/>
      <c r="W4" s="44"/>
      <c r="X4" s="95"/>
      <c r="Y4" s="44"/>
      <c r="Z4" s="147"/>
      <c r="AA4" s="75"/>
      <c r="AB4" s="75"/>
      <c r="AC4" s="75"/>
      <c r="AD4" s="75"/>
      <c r="AE4" s="18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</row>
    <row r="5" customFormat="false" ht="15.75" hidden="false" customHeight="false" outlineLevel="0" collapsed="false">
      <c r="A5" s="44"/>
      <c r="B5" s="44"/>
      <c r="C5" s="42"/>
      <c r="D5" s="44"/>
      <c r="E5" s="42"/>
      <c r="F5" s="58"/>
      <c r="G5" s="58"/>
      <c r="H5" s="58"/>
      <c r="I5" s="58"/>
      <c r="J5" s="58"/>
      <c r="K5" s="58"/>
      <c r="L5" s="58"/>
      <c r="M5" s="58"/>
      <c r="N5" s="58"/>
      <c r="O5" s="58"/>
      <c r="P5" s="44"/>
      <c r="Q5" s="83"/>
      <c r="R5" s="44" t="s">
        <v>264</v>
      </c>
      <c r="S5" s="44"/>
      <c r="T5" s="44"/>
      <c r="U5" s="44"/>
      <c r="V5" s="44"/>
      <c r="W5" s="44"/>
      <c r="X5" s="95"/>
      <c r="Y5" s="146"/>
      <c r="Z5" s="148"/>
      <c r="AA5" s="84"/>
      <c r="AB5" s="84"/>
      <c r="AC5" s="84"/>
      <c r="AD5" s="85"/>
      <c r="AE5" s="157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</row>
    <row r="6" customFormat="false" ht="21" hidden="false" customHeight="false" outlineLevel="0" collapsed="false">
      <c r="A6" s="44"/>
      <c r="B6" s="185" t="s">
        <v>265</v>
      </c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95"/>
      <c r="P6" s="95"/>
      <c r="Q6" s="186"/>
      <c r="R6" s="44" t="s">
        <v>266</v>
      </c>
      <c r="S6" s="44"/>
      <c r="T6" s="44"/>
      <c r="U6" s="44"/>
      <c r="V6" s="44"/>
      <c r="W6" s="44"/>
      <c r="X6" s="95"/>
      <c r="Y6" s="44"/>
      <c r="Z6" s="149"/>
      <c r="AA6" s="85"/>
      <c r="AB6" s="85"/>
      <c r="AC6" s="85"/>
      <c r="AD6" s="85"/>
      <c r="AE6" s="157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</row>
    <row r="7" customFormat="false" ht="15.75" hidden="false" customHeight="false" outlineLevel="0" collapsed="false">
      <c r="A7" s="58" t="s">
        <v>267</v>
      </c>
      <c r="B7" s="42"/>
      <c r="C7" s="44"/>
      <c r="D7" s="44"/>
      <c r="E7" s="44"/>
      <c r="F7" s="44"/>
      <c r="G7" s="44"/>
      <c r="H7" s="44"/>
      <c r="I7" s="44"/>
      <c r="J7" s="44"/>
      <c r="K7" s="44"/>
      <c r="L7" s="58"/>
      <c r="M7" s="58"/>
      <c r="N7" s="58"/>
      <c r="O7" s="58"/>
      <c r="P7" s="95"/>
      <c r="Q7" s="186"/>
      <c r="R7" s="44"/>
      <c r="S7" s="44"/>
      <c r="T7" s="42"/>
      <c r="U7" s="44"/>
      <c r="V7" s="44" t="s">
        <v>268</v>
      </c>
      <c r="W7" s="44"/>
      <c r="X7" s="95"/>
      <c r="Y7" s="187"/>
      <c r="Z7" s="44" t="s">
        <v>269</v>
      </c>
      <c r="AA7" s="44"/>
      <c r="AB7" s="44"/>
      <c r="AC7" s="44"/>
      <c r="AD7" s="85"/>
      <c r="AE7" s="44" t="s">
        <v>270</v>
      </c>
      <c r="AF7" s="44"/>
      <c r="AG7" s="95"/>
      <c r="AH7" s="44"/>
      <c r="AI7" s="44"/>
      <c r="AJ7" s="44"/>
      <c r="AK7" s="44"/>
      <c r="AL7" s="44"/>
      <c r="AM7" s="44"/>
      <c r="AN7" s="44"/>
      <c r="AO7" s="44"/>
      <c r="AP7" s="42"/>
      <c r="AQ7" s="44"/>
      <c r="AR7" s="44"/>
      <c r="AS7" s="44"/>
    </row>
    <row r="8" customFormat="false" ht="15.75" hidden="false" customHeight="false" outlineLevel="0" collapsed="false">
      <c r="A8" s="116"/>
      <c r="B8" s="97"/>
      <c r="C8" s="97" t="n">
        <v>1</v>
      </c>
      <c r="D8" s="97" t="n">
        <v>2</v>
      </c>
      <c r="E8" s="97" t="n">
        <v>3</v>
      </c>
      <c r="F8" s="97" t="n">
        <v>4</v>
      </c>
      <c r="G8" s="97" t="n">
        <v>5</v>
      </c>
      <c r="H8" s="97" t="n">
        <v>6</v>
      </c>
      <c r="I8" s="97" t="n">
        <v>7</v>
      </c>
      <c r="J8" s="97" t="n">
        <v>8</v>
      </c>
      <c r="K8" s="97" t="n">
        <v>9</v>
      </c>
      <c r="L8" s="97" t="n">
        <v>10</v>
      </c>
      <c r="M8" s="98" t="n">
        <v>11</v>
      </c>
      <c r="N8" s="98" t="n">
        <v>12</v>
      </c>
      <c r="O8" s="42"/>
      <c r="P8" s="42"/>
      <c r="Q8" s="188"/>
      <c r="R8" s="42"/>
      <c r="S8" s="42"/>
      <c r="T8" s="99"/>
      <c r="U8" s="44"/>
      <c r="V8" s="44"/>
      <c r="W8" s="44" t="s">
        <v>271</v>
      </c>
      <c r="X8" s="95"/>
      <c r="Y8" s="187"/>
      <c r="Z8" s="44"/>
      <c r="AA8" s="44" t="s">
        <v>271</v>
      </c>
      <c r="AB8" s="95"/>
      <c r="AC8" s="187"/>
      <c r="AD8" s="85"/>
      <c r="AE8" s="189"/>
      <c r="AF8" s="189" t="s">
        <v>271</v>
      </c>
      <c r="AG8" s="190"/>
      <c r="AH8" s="44"/>
      <c r="AI8" s="44"/>
      <c r="AJ8" s="44"/>
      <c r="AK8" s="44"/>
      <c r="AL8" s="44"/>
      <c r="AM8" s="44"/>
      <c r="AN8" s="44"/>
      <c r="AO8" s="44"/>
      <c r="AP8" s="99"/>
      <c r="AQ8" s="44"/>
      <c r="AR8" s="44"/>
      <c r="AS8" s="44"/>
    </row>
    <row r="9" customFormat="false" ht="16.5" hidden="false" customHeight="false" outlineLevel="0" collapsed="false">
      <c r="A9" s="97" t="s">
        <v>166</v>
      </c>
      <c r="B9" s="97" t="s">
        <v>226</v>
      </c>
      <c r="C9" s="95" t="str">
        <f aca="false">'Titer Calculation'!C9</f>
        <v>pALD-eGFP</v>
      </c>
      <c r="D9" s="95" t="str">
        <f aca="false">'Titer Calculation'!D9</f>
        <v>pCTX</v>
      </c>
      <c r="E9" s="95" t="str">
        <f aca="false">'Titer Calculation'!E9</f>
        <v>pCTX</v>
      </c>
      <c r="F9" s="95" t="str">
        <f aca="false">'Titer Calculation'!F9</f>
        <v>pCTX</v>
      </c>
      <c r="G9" s="95" t="str">
        <f aca="false">'Titer Calculation'!G9</f>
        <v>pCTX</v>
      </c>
      <c r="H9" s="95" t="str">
        <f aca="false">'Titer Calculation'!H9</f>
        <v>pCTX</v>
      </c>
      <c r="I9" s="95" t="str">
        <f aca="false">'Titer Calculation'!I9</f>
        <v>pCTX</v>
      </c>
      <c r="J9" s="95" t="str">
        <f aca="false">'Titer Calculation'!J9</f>
        <v>pCTX</v>
      </c>
      <c r="K9" s="95" t="str">
        <f aca="false">'Titer Calculation'!K9</f>
        <v>pCTX</v>
      </c>
      <c r="L9" s="95" t="str">
        <f aca="false">'Titer Calculation'!L9</f>
        <v>pCTX</v>
      </c>
      <c r="M9" s="95" t="str">
        <f aca="false">'Titer Calculation'!M9</f>
        <v>pCTX</v>
      </c>
      <c r="N9" s="95" t="str">
        <f aca="false">'Titer Calculation'!N9</f>
        <v>pCTX</v>
      </c>
      <c r="O9" s="44"/>
      <c r="P9" s="95"/>
      <c r="Q9" s="191"/>
      <c r="R9" s="99"/>
      <c r="S9" s="99"/>
      <c r="T9" s="44"/>
      <c r="U9" s="44"/>
      <c r="V9" s="44" t="s">
        <v>272</v>
      </c>
      <c r="W9" s="44" t="s">
        <v>273</v>
      </c>
      <c r="X9" s="44" t="s">
        <v>274</v>
      </c>
      <c r="Y9" s="44"/>
      <c r="Z9" s="44" t="s">
        <v>272</v>
      </c>
      <c r="AA9" s="44" t="s">
        <v>273</v>
      </c>
      <c r="AB9" s="44" t="s">
        <v>274</v>
      </c>
      <c r="AC9" s="44"/>
      <c r="AD9" s="85"/>
      <c r="AE9" s="189" t="s">
        <v>272</v>
      </c>
      <c r="AF9" s="189" t="s">
        <v>273</v>
      </c>
      <c r="AG9" s="189" t="s">
        <v>274</v>
      </c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</row>
    <row r="10" customFormat="false" ht="15.75" hidden="false" customHeight="false" outlineLevel="0" collapsed="false">
      <c r="A10" s="97" t="s">
        <v>167</v>
      </c>
      <c r="B10" s="97" t="n">
        <f aca="false">'Titer Calculation'!B10</f>
        <v>5</v>
      </c>
      <c r="C10" s="102" t="str">
        <f aca="false">IFERROR(IF(AND('Titer Calculation'!C10&lt;='Titer Calculation'!$T$4,'Titer Calculation'!C10&gt;'Titer Calculation'!$T$5), 'Titer Calculation'!C10," "), "")</f>
        <v> </v>
      </c>
      <c r="D10" s="102" t="str">
        <f aca="false">IFERROR(IF(AND('Titer Calculation'!D10&lt;='Titer Calculation'!$T$4,'Titer Calculation'!D10&gt;'Titer Calculation'!$T$5), 'Titer Calculation'!D10," "), "")</f>
        <v> </v>
      </c>
      <c r="E10" s="102" t="str">
        <f aca="false">IFERROR(IF(AND('Titer Calculation'!E10&lt;='Titer Calculation'!$T$4,'Titer Calculation'!E10&gt;'Titer Calculation'!$T$5), 'Titer Calculation'!E10," "), "")</f>
        <v> </v>
      </c>
      <c r="F10" s="102" t="str">
        <f aca="false">IFERROR(IF(AND('Titer Calculation'!F10&lt;='Titer Calculation'!$T$4,'Titer Calculation'!F10&gt;'Titer Calculation'!$T$5), 'Titer Calculation'!F10," "), "")</f>
        <v> </v>
      </c>
      <c r="G10" s="102" t="str">
        <f aca="false">IFERROR(IF(AND('Titer Calculation'!G10&lt;='Titer Calculation'!$T$4,'Titer Calculation'!G10&gt;'Titer Calculation'!$T$5), 'Titer Calculation'!G10," "), "")</f>
        <v> </v>
      </c>
      <c r="H10" s="102" t="str">
        <f aca="false">IFERROR(IF(AND('Titer Calculation'!H10&lt;='Titer Calculation'!$T$4,'Titer Calculation'!H10&gt;'Titer Calculation'!$T$5), 'Titer Calculation'!H10," "), "")</f>
        <v> </v>
      </c>
      <c r="I10" s="102" t="str">
        <f aca="false">IFERROR(IF(AND('Titer Calculation'!I10&lt;='Titer Calculation'!$T$4,'Titer Calculation'!I10&gt;'Titer Calculation'!$T$5), 'Titer Calculation'!I10," "), "")</f>
        <v> </v>
      </c>
      <c r="J10" s="102" t="str">
        <f aca="false">IFERROR(IF(AND('Titer Calculation'!J10&lt;='Titer Calculation'!$T$4,'Titer Calculation'!J10&gt;'Titer Calculation'!$T$5), 'Titer Calculation'!J10," "), "")</f>
        <v> </v>
      </c>
      <c r="K10" s="102" t="str">
        <f aca="false">IFERROR(IF(AND('Titer Calculation'!K10&lt;='Titer Calculation'!$T$4,'Titer Calculation'!K10&gt;'Titer Calculation'!$T$5), 'Titer Calculation'!K10," "), "")</f>
        <v> </v>
      </c>
      <c r="L10" s="102" t="str">
        <f aca="false">IFERROR(IF(AND('Titer Calculation'!L10&lt;='Titer Calculation'!$T$4,'Titer Calculation'!L10&gt;'Titer Calculation'!$T$5), 'Titer Calculation'!L10," "), "")</f>
        <v> </v>
      </c>
      <c r="M10" s="102" t="str">
        <f aca="false">IFERROR(IF(AND('Titer Calculation'!M10&lt;='Titer Calculation'!$T$4,'Titer Calculation'!M10&gt;'Titer Calculation'!$T$5), 'Titer Calculation'!M10," "), "")</f>
        <v> </v>
      </c>
      <c r="N10" s="102" t="str">
        <f aca="false">IFERROR(IF(AND('Titer Calculation'!N10&lt;='Titer Calculation'!$T$4,'Titer Calculation'!N10&gt;'Titer Calculation'!$T$5), 'Titer Calculation'!N10," "), "")</f>
        <v> </v>
      </c>
      <c r="O10" s="44"/>
      <c r="P10" s="192"/>
      <c r="Q10" s="184"/>
      <c r="R10" s="157"/>
      <c r="S10" s="44"/>
      <c r="T10" s="44"/>
      <c r="U10" s="44"/>
      <c r="V10" s="193" t="n">
        <v>2</v>
      </c>
      <c r="W10" s="194" t="s">
        <v>275</v>
      </c>
      <c r="X10" s="195" t="n">
        <v>61</v>
      </c>
      <c r="Y10" s="44"/>
      <c r="Z10" s="193" t="n">
        <v>2</v>
      </c>
      <c r="AA10" s="194" t="s">
        <v>276</v>
      </c>
      <c r="AB10" s="196" t="n">
        <v>222</v>
      </c>
      <c r="AC10" s="44" t="n">
        <f aca="false">COMBIN(7,Z10)</f>
        <v>21</v>
      </c>
      <c r="AD10" s="85"/>
      <c r="AE10" s="197" t="n">
        <v>2</v>
      </c>
      <c r="AF10" s="198" t="n">
        <v>367</v>
      </c>
      <c r="AG10" s="199" t="n">
        <v>387</v>
      </c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</row>
    <row r="11" customFormat="false" ht="15.75" hidden="false" customHeight="false" outlineLevel="0" collapsed="false">
      <c r="A11" s="97" t="s">
        <v>168</v>
      </c>
      <c r="B11" s="97" t="n">
        <f aca="false">'Titer Calculation'!B11</f>
        <v>25</v>
      </c>
      <c r="C11" s="102" t="str">
        <f aca="false">IFERROR(IF(AND('Titer Calculation'!C11&lt;='Titer Calculation'!$T$4,'Titer Calculation'!C11&gt;'Titer Calculation'!$T$5), 'Titer Calculation'!C11," "), "")</f>
        <v> </v>
      </c>
      <c r="D11" s="102" t="str">
        <f aca="false">IFERROR(IF(AND('Titer Calculation'!D11&lt;='Titer Calculation'!$T$4,'Titer Calculation'!D11&gt;'Titer Calculation'!$T$5), 'Titer Calculation'!D11," "), "")</f>
        <v> </v>
      </c>
      <c r="E11" s="102" t="str">
        <f aca="false">IFERROR(IF(AND('Titer Calculation'!E11&lt;='Titer Calculation'!$T$4,'Titer Calculation'!E11&gt;'Titer Calculation'!$T$5), 'Titer Calculation'!E11," "), "")</f>
        <v> </v>
      </c>
      <c r="F11" s="102" t="str">
        <f aca="false">IFERROR(IF(AND('Titer Calculation'!F11&lt;='Titer Calculation'!$T$4,'Titer Calculation'!F11&gt;'Titer Calculation'!$T$5), 'Titer Calculation'!F11," "), "")</f>
        <v> </v>
      </c>
      <c r="G11" s="102" t="str">
        <f aca="false">IFERROR(IF(AND('Titer Calculation'!G11&lt;='Titer Calculation'!$T$4,'Titer Calculation'!G11&gt;'Titer Calculation'!$T$5), 'Titer Calculation'!G11," "), "")</f>
        <v> </v>
      </c>
      <c r="H11" s="102" t="str">
        <f aca="false">IFERROR(IF(AND('Titer Calculation'!H11&lt;='Titer Calculation'!$T$4,'Titer Calculation'!H11&gt;'Titer Calculation'!$T$5), 'Titer Calculation'!H11," "), "")</f>
        <v> </v>
      </c>
      <c r="I11" s="102" t="str">
        <f aca="false">IFERROR(IF(AND('Titer Calculation'!I11&lt;='Titer Calculation'!$T$4,'Titer Calculation'!I11&gt;'Titer Calculation'!$T$5), 'Titer Calculation'!I11," "), "")</f>
        <v> </v>
      </c>
      <c r="J11" s="102" t="str">
        <f aca="false">IFERROR(IF(AND('Titer Calculation'!J11&lt;='Titer Calculation'!$T$4,'Titer Calculation'!J11&gt;'Titer Calculation'!$T$5), 'Titer Calculation'!J11," "), "")</f>
        <v> </v>
      </c>
      <c r="K11" s="102" t="str">
        <f aca="false">IFERROR(IF(AND('Titer Calculation'!K11&lt;='Titer Calculation'!$T$4,'Titer Calculation'!K11&gt;'Titer Calculation'!$T$5), 'Titer Calculation'!K11," "), "")</f>
        <v> </v>
      </c>
      <c r="L11" s="102" t="str">
        <f aca="false">IFERROR(IF(AND('Titer Calculation'!L11&lt;='Titer Calculation'!$T$4,'Titer Calculation'!L11&gt;'Titer Calculation'!$T$5), 'Titer Calculation'!L11," "), "")</f>
        <v> </v>
      </c>
      <c r="M11" s="102" t="str">
        <f aca="false">IFERROR(IF(AND('Titer Calculation'!M11&lt;='Titer Calculation'!$T$4,'Titer Calculation'!M11&gt;'Titer Calculation'!$T$5), 'Titer Calculation'!M11," "), "")</f>
        <v> </v>
      </c>
      <c r="N11" s="102" t="str">
        <f aca="false">IFERROR(IF(AND('Titer Calculation'!N11&lt;='Titer Calculation'!$T$4,'Titer Calculation'!N11&gt;'Titer Calculation'!$T$5), 'Titer Calculation'!N11," "), "")</f>
        <v> </v>
      </c>
      <c r="O11" s="44"/>
      <c r="P11" s="44"/>
      <c r="Q11" s="83"/>
      <c r="R11" s="44"/>
      <c r="S11" s="44"/>
      <c r="T11" s="44"/>
      <c r="U11" s="44"/>
      <c r="V11" s="200" t="n">
        <v>3</v>
      </c>
      <c r="W11" s="146" t="n">
        <v>62</v>
      </c>
      <c r="X11" s="201" t="n">
        <v>96</v>
      </c>
      <c r="Y11" s="44"/>
      <c r="Z11" s="200" t="n">
        <v>3</v>
      </c>
      <c r="AA11" s="146" t="n">
        <v>223</v>
      </c>
      <c r="AB11" s="201" t="n">
        <v>258</v>
      </c>
      <c r="AC11" s="44" t="n">
        <f aca="false">COMBIN(7,Z11)</f>
        <v>35</v>
      </c>
      <c r="AD11" s="85"/>
      <c r="AE11" s="202" t="n">
        <v>3</v>
      </c>
      <c r="AF11" s="203" t="n">
        <v>388</v>
      </c>
      <c r="AG11" s="204" t="n">
        <v>422</v>
      </c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</row>
    <row r="12" customFormat="false" ht="15.75" hidden="false" customHeight="false" outlineLevel="0" collapsed="false">
      <c r="A12" s="97" t="s">
        <v>169</v>
      </c>
      <c r="B12" s="97" t="n">
        <f aca="false">'Titer Calculation'!B12</f>
        <v>125</v>
      </c>
      <c r="C12" s="102" t="str">
        <f aca="false">IFERROR(IF(AND('Titer Calculation'!C12&lt;='Titer Calculation'!$T$4,'Titer Calculation'!C12&gt;'Titer Calculation'!$T$5), 'Titer Calculation'!C12," "), "")</f>
        <v> </v>
      </c>
      <c r="D12" s="102" t="str">
        <f aca="false">IFERROR(IF(AND('Titer Calculation'!D12&lt;='Titer Calculation'!$T$4,'Titer Calculation'!D12&gt;'Titer Calculation'!$T$5), 'Titer Calculation'!D12," "), "")</f>
        <v> </v>
      </c>
      <c r="E12" s="102" t="str">
        <f aca="false">IFERROR(IF(AND('Titer Calculation'!E12&lt;='Titer Calculation'!$T$4,'Titer Calculation'!E12&gt;'Titer Calculation'!$T$5), 'Titer Calculation'!E12," "), "")</f>
        <v> </v>
      </c>
      <c r="F12" s="102" t="str">
        <f aca="false">IFERROR(IF(AND('Titer Calculation'!F12&lt;='Titer Calculation'!$T$4,'Titer Calculation'!F12&gt;'Titer Calculation'!$T$5), 'Titer Calculation'!F12," "), "")</f>
        <v> </v>
      </c>
      <c r="G12" s="102" t="str">
        <f aca="false">IFERROR(IF(AND('Titer Calculation'!G12&lt;='Titer Calculation'!$T$4,'Titer Calculation'!G12&gt;'Titer Calculation'!$T$5), 'Titer Calculation'!G12," "), "")</f>
        <v> </v>
      </c>
      <c r="H12" s="102" t="str">
        <f aca="false">IFERROR(IF(AND('Titer Calculation'!H12&lt;='Titer Calculation'!$T$4,'Titer Calculation'!H12&gt;'Titer Calculation'!$T$5), 'Titer Calculation'!H12," "), "")</f>
        <v> </v>
      </c>
      <c r="I12" s="102" t="str">
        <f aca="false">IFERROR(IF(AND('Titer Calculation'!I12&lt;='Titer Calculation'!$T$4,'Titer Calculation'!I12&gt;'Titer Calculation'!$T$5), 'Titer Calculation'!I12," "), "")</f>
        <v> </v>
      </c>
      <c r="J12" s="102" t="str">
        <f aca="false">IFERROR(IF(AND('Titer Calculation'!J12&lt;='Titer Calculation'!$T$4,'Titer Calculation'!J12&gt;'Titer Calculation'!$T$5), 'Titer Calculation'!J12," "), "")</f>
        <v> </v>
      </c>
      <c r="K12" s="102" t="str">
        <f aca="false">IFERROR(IF(AND('Titer Calculation'!K12&lt;='Titer Calculation'!$T$4,'Titer Calculation'!K12&gt;'Titer Calculation'!$T$5), 'Titer Calculation'!K12," "), "")</f>
        <v> </v>
      </c>
      <c r="L12" s="102" t="str">
        <f aca="false">IFERROR(IF(AND('Titer Calculation'!L12&lt;='Titer Calculation'!$T$4,'Titer Calculation'!L12&gt;'Titer Calculation'!$T$5), 'Titer Calculation'!L12," "), "")</f>
        <v> </v>
      </c>
      <c r="M12" s="102" t="str">
        <f aca="false">IFERROR(IF(AND('Titer Calculation'!M12&lt;='Titer Calculation'!$T$4,'Titer Calculation'!M12&gt;'Titer Calculation'!$T$5), 'Titer Calculation'!M12," "), "")</f>
        <v> </v>
      </c>
      <c r="N12" s="102" t="str">
        <f aca="false">IFERROR(IF(AND('Titer Calculation'!N12&lt;='Titer Calculation'!$T$4,'Titer Calculation'!N12&gt;'Titer Calculation'!$T$5), 'Titer Calculation'!N12," "), "")</f>
        <v> </v>
      </c>
      <c r="O12" s="44"/>
      <c r="P12" s="44"/>
      <c r="Q12" s="83"/>
      <c r="R12" s="44"/>
      <c r="S12" s="44"/>
      <c r="T12" s="44"/>
      <c r="U12" s="44"/>
      <c r="V12" s="200" t="n">
        <v>4</v>
      </c>
      <c r="W12" s="146" t="n">
        <v>97</v>
      </c>
      <c r="X12" s="201" t="n">
        <v>131</v>
      </c>
      <c r="Y12" s="44"/>
      <c r="Z12" s="200" t="n">
        <v>4</v>
      </c>
      <c r="AA12" s="146" t="n">
        <v>259</v>
      </c>
      <c r="AB12" s="201" t="n">
        <v>294</v>
      </c>
      <c r="AC12" s="44" t="n">
        <f aca="false">COMBIN(7,Z12)</f>
        <v>35</v>
      </c>
      <c r="AD12" s="44"/>
      <c r="AE12" s="202" t="n">
        <v>4</v>
      </c>
      <c r="AF12" s="203" t="n">
        <v>423</v>
      </c>
      <c r="AG12" s="204" t="n">
        <v>457</v>
      </c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</row>
    <row r="13" customFormat="false" ht="15.75" hidden="false" customHeight="false" outlineLevel="0" collapsed="false">
      <c r="A13" s="97" t="s">
        <v>170</v>
      </c>
      <c r="B13" s="97" t="n">
        <f aca="false">'Titer Calculation'!B13</f>
        <v>625</v>
      </c>
      <c r="C13" s="102" t="str">
        <f aca="false">IFERROR(IF(AND('Titer Calculation'!C13&lt;='Titer Calculation'!$T$4,'Titer Calculation'!C13&gt;'Titer Calculation'!$T$5), 'Titer Calculation'!C13," "), "")</f>
        <v> </v>
      </c>
      <c r="D13" s="102" t="str">
        <f aca="false">IFERROR(IF(AND('Titer Calculation'!D13&lt;='Titer Calculation'!$T$4,'Titer Calculation'!D13&gt;'Titer Calculation'!$T$5), 'Titer Calculation'!D13," "), "")</f>
        <v> </v>
      </c>
      <c r="E13" s="102" t="str">
        <f aca="false">IFERROR(IF(AND('Titer Calculation'!E13&lt;='Titer Calculation'!$T$4,'Titer Calculation'!E13&gt;'Titer Calculation'!$T$5), 'Titer Calculation'!E13," "), "")</f>
        <v> </v>
      </c>
      <c r="F13" s="102" t="str">
        <f aca="false">IFERROR(IF(AND('Titer Calculation'!F13&lt;='Titer Calculation'!$T$4,'Titer Calculation'!F13&gt;'Titer Calculation'!$T$5), 'Titer Calculation'!F13," "), "")</f>
        <v> </v>
      </c>
      <c r="G13" s="102" t="str">
        <f aca="false">IFERROR(IF(AND('Titer Calculation'!G13&lt;='Titer Calculation'!$T$4,'Titer Calculation'!G13&gt;'Titer Calculation'!$T$5), 'Titer Calculation'!G13," "), "")</f>
        <v> </v>
      </c>
      <c r="H13" s="102" t="str">
        <f aca="false">IFERROR(IF(AND('Titer Calculation'!H13&lt;='Titer Calculation'!$T$4,'Titer Calculation'!H13&gt;'Titer Calculation'!$T$5), 'Titer Calculation'!H13," "), "")</f>
        <v> </v>
      </c>
      <c r="I13" s="102" t="str">
        <f aca="false">IFERROR(IF(AND('Titer Calculation'!I13&lt;='Titer Calculation'!$T$4,'Titer Calculation'!I13&gt;'Titer Calculation'!$T$5), 'Titer Calculation'!I13," "), "")</f>
        <v> </v>
      </c>
      <c r="J13" s="102" t="str">
        <f aca="false">IFERROR(IF(AND('Titer Calculation'!J13&lt;='Titer Calculation'!$T$4,'Titer Calculation'!J13&gt;'Titer Calculation'!$T$5), 'Titer Calculation'!J13," "), "")</f>
        <v> </v>
      </c>
      <c r="K13" s="102" t="str">
        <f aca="false">IFERROR(IF(AND('Titer Calculation'!K13&lt;='Titer Calculation'!$T$4,'Titer Calculation'!K13&gt;'Titer Calculation'!$T$5), 'Titer Calculation'!K13," "), "")</f>
        <v> </v>
      </c>
      <c r="L13" s="102" t="str">
        <f aca="false">IFERROR(IF(AND('Titer Calculation'!L13&lt;='Titer Calculation'!$T$4,'Titer Calculation'!L13&gt;'Titer Calculation'!$T$5), 'Titer Calculation'!L13," "), "")</f>
        <v> </v>
      </c>
      <c r="M13" s="102" t="str">
        <f aca="false">IFERROR(IF(AND('Titer Calculation'!M13&lt;='Titer Calculation'!$T$4,'Titer Calculation'!M13&gt;'Titer Calculation'!$T$5), 'Titer Calculation'!M13," "), "")</f>
        <v> </v>
      </c>
      <c r="N13" s="102" t="str">
        <f aca="false">IFERROR(IF(AND('Titer Calculation'!N13&lt;='Titer Calculation'!$T$4,'Titer Calculation'!N13&gt;'Titer Calculation'!$T$5), 'Titer Calculation'!N13," "), "")</f>
        <v> </v>
      </c>
      <c r="O13" s="44"/>
      <c r="P13" s="44"/>
      <c r="Q13" s="83"/>
      <c r="R13" s="44"/>
      <c r="S13" s="44"/>
      <c r="T13" s="44"/>
      <c r="U13" s="44"/>
      <c r="V13" s="200" t="n">
        <v>5</v>
      </c>
      <c r="W13" s="146" t="n">
        <v>132</v>
      </c>
      <c r="X13" s="201" t="n">
        <v>152</v>
      </c>
      <c r="Y13" s="44"/>
      <c r="Z13" s="200" t="n">
        <v>5</v>
      </c>
      <c r="AA13" s="146" t="n">
        <v>295</v>
      </c>
      <c r="AB13" s="201" t="n">
        <v>316</v>
      </c>
      <c r="AC13" s="44" t="n">
        <f aca="false">COMBIN(7,Z13)</f>
        <v>21</v>
      </c>
      <c r="AD13" s="44"/>
      <c r="AE13" s="202" t="n">
        <v>5</v>
      </c>
      <c r="AF13" s="203" t="n">
        <v>458</v>
      </c>
      <c r="AG13" s="204" t="n">
        <v>478</v>
      </c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</row>
    <row r="14" customFormat="false" ht="15.75" hidden="false" customHeight="false" outlineLevel="0" collapsed="false">
      <c r="A14" s="97" t="s">
        <v>171</v>
      </c>
      <c r="B14" s="97" t="n">
        <f aca="false">'Titer Calculation'!B14</f>
        <v>3125</v>
      </c>
      <c r="C14" s="102" t="str">
        <f aca="false">IFERROR(IF(AND('Titer Calculation'!C14&lt;='Titer Calculation'!$T$4,'Titer Calculation'!C14&gt;'Titer Calculation'!$T$5), 'Titer Calculation'!C14," "), "")</f>
        <v> </v>
      </c>
      <c r="D14" s="102" t="str">
        <f aca="false">IFERROR(IF(AND('Titer Calculation'!D14&lt;='Titer Calculation'!$T$4,'Titer Calculation'!D14&gt;'Titer Calculation'!$T$5), 'Titer Calculation'!D14," "), "")</f>
        <v> </v>
      </c>
      <c r="E14" s="102" t="str">
        <f aca="false">IFERROR(IF(AND('Titer Calculation'!E14&lt;='Titer Calculation'!$T$4,'Titer Calculation'!E14&gt;'Titer Calculation'!$T$5), 'Titer Calculation'!E14," "), "")</f>
        <v> </v>
      </c>
      <c r="F14" s="102" t="str">
        <f aca="false">IFERROR(IF(AND('Titer Calculation'!F14&lt;='Titer Calculation'!$T$4,'Titer Calculation'!F14&gt;'Titer Calculation'!$T$5), 'Titer Calculation'!F14," "), "")</f>
        <v> </v>
      </c>
      <c r="G14" s="102" t="str">
        <f aca="false">IFERROR(IF(AND('Titer Calculation'!G14&lt;='Titer Calculation'!$T$4,'Titer Calculation'!G14&gt;'Titer Calculation'!$T$5), 'Titer Calculation'!G14," "), "")</f>
        <v> </v>
      </c>
      <c r="H14" s="102" t="str">
        <f aca="false">IFERROR(IF(AND('Titer Calculation'!H14&lt;='Titer Calculation'!$T$4,'Titer Calculation'!H14&gt;'Titer Calculation'!$T$5), 'Titer Calculation'!H14," "), "")</f>
        <v> </v>
      </c>
      <c r="I14" s="102" t="str">
        <f aca="false">IFERROR(IF(AND('Titer Calculation'!I14&lt;='Titer Calculation'!$T$4,'Titer Calculation'!I14&gt;'Titer Calculation'!$T$5), 'Titer Calculation'!I14," "), "")</f>
        <v> </v>
      </c>
      <c r="J14" s="102" t="str">
        <f aca="false">IFERROR(IF(AND('Titer Calculation'!J14&lt;='Titer Calculation'!$T$4,'Titer Calculation'!J14&gt;'Titer Calculation'!$T$5), 'Titer Calculation'!J14," "), "")</f>
        <v> </v>
      </c>
      <c r="K14" s="102" t="str">
        <f aca="false">IFERROR(IF(AND('Titer Calculation'!K14&lt;='Titer Calculation'!$T$4,'Titer Calculation'!K14&gt;'Titer Calculation'!$T$5), 'Titer Calculation'!K14," "), "")</f>
        <v> </v>
      </c>
      <c r="L14" s="102" t="str">
        <f aca="false">IFERROR(IF(AND('Titer Calculation'!L14&lt;='Titer Calculation'!$T$4,'Titer Calculation'!L14&gt;'Titer Calculation'!$T$5), 'Titer Calculation'!L14," "), "")</f>
        <v> </v>
      </c>
      <c r="M14" s="102" t="str">
        <f aca="false">IFERROR(IF(AND('Titer Calculation'!M14&lt;='Titer Calculation'!$T$4,'Titer Calculation'!M14&gt;'Titer Calculation'!$T$5), 'Titer Calculation'!M14," "), "")</f>
        <v> </v>
      </c>
      <c r="N14" s="102" t="str">
        <f aca="false">IFERROR(IF(AND('Titer Calculation'!N14&lt;='Titer Calculation'!$T$4,'Titer Calculation'!N14&gt;'Titer Calculation'!$T$5), 'Titer Calculation'!N14," "), "")</f>
        <v> </v>
      </c>
      <c r="O14" s="44"/>
      <c r="P14" s="44"/>
      <c r="Q14" s="83"/>
      <c r="R14" s="44"/>
      <c r="S14" s="44"/>
      <c r="T14" s="44"/>
      <c r="U14" s="44"/>
      <c r="V14" s="200" t="n">
        <v>6</v>
      </c>
      <c r="W14" s="146" t="n">
        <v>153</v>
      </c>
      <c r="X14" s="201" t="n">
        <v>159</v>
      </c>
      <c r="Y14" s="44"/>
      <c r="Z14" s="200" t="n">
        <v>6</v>
      </c>
      <c r="AA14" s="146" t="n">
        <v>317</v>
      </c>
      <c r="AB14" s="201" t="n">
        <v>324</v>
      </c>
      <c r="AC14" s="44" t="n">
        <f aca="false">COMBIN(7,Z14)</f>
        <v>7</v>
      </c>
      <c r="AD14" s="44"/>
      <c r="AE14" s="202" t="n">
        <v>6</v>
      </c>
      <c r="AF14" s="203" t="n">
        <v>479</v>
      </c>
      <c r="AG14" s="204" t="n">
        <v>485</v>
      </c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</row>
    <row r="15" customFormat="false" ht="16.5" hidden="false" customHeight="false" outlineLevel="0" collapsed="false">
      <c r="A15" s="97" t="s">
        <v>172</v>
      </c>
      <c r="B15" s="97" t="n">
        <f aca="false">'Titer Calculation'!B15</f>
        <v>15625</v>
      </c>
      <c r="C15" s="102" t="str">
        <f aca="false">IFERROR(IF(AND('Titer Calculation'!C15&lt;='Titer Calculation'!$T$4,'Titer Calculation'!C15&gt;'Titer Calculation'!$T$5), 'Titer Calculation'!C15," "), "")</f>
        <v> </v>
      </c>
      <c r="D15" s="102" t="str">
        <f aca="false">IFERROR(IF(AND('Titer Calculation'!D15&lt;='Titer Calculation'!$T$4,'Titer Calculation'!D15&gt;'Titer Calculation'!$T$5), 'Titer Calculation'!D15," "), "")</f>
        <v> </v>
      </c>
      <c r="E15" s="102" t="str">
        <f aca="false">IFERROR(IF(AND('Titer Calculation'!E15&lt;='Titer Calculation'!$T$4,'Titer Calculation'!E15&gt;'Titer Calculation'!$T$5), 'Titer Calculation'!E15," "), "")</f>
        <v> </v>
      </c>
      <c r="F15" s="102" t="str">
        <f aca="false">IFERROR(IF(AND('Titer Calculation'!F15&lt;='Titer Calculation'!$T$4,'Titer Calculation'!F15&gt;'Titer Calculation'!$T$5), 'Titer Calculation'!F15," "), "")</f>
        <v> </v>
      </c>
      <c r="G15" s="102" t="str">
        <f aca="false">IFERROR(IF(AND('Titer Calculation'!G15&lt;='Titer Calculation'!$T$4,'Titer Calculation'!G15&gt;'Titer Calculation'!$T$5), 'Titer Calculation'!G15," "), "")</f>
        <v> </v>
      </c>
      <c r="H15" s="102" t="str">
        <f aca="false">IFERROR(IF(AND('Titer Calculation'!H15&lt;='Titer Calculation'!$T$4,'Titer Calculation'!H15&gt;'Titer Calculation'!$T$5), 'Titer Calculation'!H15," "), "")</f>
        <v> </v>
      </c>
      <c r="I15" s="102" t="str">
        <f aca="false">IFERROR(IF(AND('Titer Calculation'!I15&lt;='Titer Calculation'!$T$4,'Titer Calculation'!I15&gt;'Titer Calculation'!$T$5), 'Titer Calculation'!I15," "), "")</f>
        <v> </v>
      </c>
      <c r="J15" s="102" t="str">
        <f aca="false">IFERROR(IF(AND('Titer Calculation'!J15&lt;='Titer Calculation'!$T$4,'Titer Calculation'!J15&gt;'Titer Calculation'!$T$5), 'Titer Calculation'!J15," "), "")</f>
        <v> </v>
      </c>
      <c r="K15" s="102" t="str">
        <f aca="false">IFERROR(IF(AND('Titer Calculation'!K15&lt;='Titer Calculation'!$T$4,'Titer Calculation'!K15&gt;'Titer Calculation'!$T$5), 'Titer Calculation'!K15," "), "")</f>
        <v> </v>
      </c>
      <c r="L15" s="102" t="str">
        <f aca="false">IFERROR(IF(AND('Titer Calculation'!L15&lt;='Titer Calculation'!$T$4,'Titer Calculation'!L15&gt;'Titer Calculation'!$T$5), 'Titer Calculation'!L15," "), "")</f>
        <v> </v>
      </c>
      <c r="M15" s="102" t="str">
        <f aca="false">IFERROR(IF(AND('Titer Calculation'!M15&lt;='Titer Calculation'!$T$4,'Titer Calculation'!M15&gt;'Titer Calculation'!$T$5), 'Titer Calculation'!M15," "), "")</f>
        <v> </v>
      </c>
      <c r="N15" s="102" t="str">
        <f aca="false">IFERROR(IF(AND('Titer Calculation'!N15&lt;='Titer Calculation'!$T$4,'Titer Calculation'!N15&gt;'Titer Calculation'!$T$5), 'Titer Calculation'!N15," "), "")</f>
        <v> </v>
      </c>
      <c r="O15" s="44"/>
      <c r="P15" s="44"/>
      <c r="Q15" s="83"/>
      <c r="R15" s="44"/>
      <c r="S15" s="44"/>
      <c r="T15" s="44"/>
      <c r="U15" s="44"/>
      <c r="V15" s="205" t="n">
        <v>7</v>
      </c>
      <c r="W15" s="206" t="n">
        <v>160</v>
      </c>
      <c r="X15" s="207" t="n">
        <v>160</v>
      </c>
      <c r="Y15" s="44"/>
      <c r="Z15" s="205" t="n">
        <v>7</v>
      </c>
      <c r="AA15" s="206" t="n">
        <v>325</v>
      </c>
      <c r="AB15" s="207" t="n">
        <v>325</v>
      </c>
      <c r="AC15" s="44" t="n">
        <f aca="false">COMBIN(7,Z15)</f>
        <v>1</v>
      </c>
      <c r="AD15" s="44"/>
      <c r="AE15" s="208" t="n">
        <v>7</v>
      </c>
      <c r="AF15" s="209" t="n">
        <v>486</v>
      </c>
      <c r="AG15" s="210" t="n">
        <v>486</v>
      </c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</row>
    <row r="16" customFormat="false" ht="15.75" hidden="false" customHeight="false" outlineLevel="0" collapsed="false">
      <c r="A16" s="97" t="s">
        <v>173</v>
      </c>
      <c r="B16" s="97" t="n">
        <f aca="false">'Titer Calculation'!B16</f>
        <v>78125</v>
      </c>
      <c r="C16" s="102" t="str">
        <f aca="false">IFERROR(IF(AND('Titer Calculation'!C16&lt;='Titer Calculation'!$T$4,'Titer Calculation'!C16&gt;'Titer Calculation'!$T$5), 'Titer Calculation'!C16," "), "")</f>
        <v> </v>
      </c>
      <c r="D16" s="102" t="str">
        <f aca="false">IFERROR(IF(AND('Titer Calculation'!D16&lt;='Titer Calculation'!$T$4,'Titer Calculation'!D16&gt;'Titer Calculation'!$T$5), 'Titer Calculation'!D16," "), "")</f>
        <v> </v>
      </c>
      <c r="E16" s="102" t="str">
        <f aca="false">IFERROR(IF(AND('Titer Calculation'!E16&lt;='Titer Calculation'!$T$4,'Titer Calculation'!E16&gt;'Titer Calculation'!$T$5), 'Titer Calculation'!E16," "), "")</f>
        <v> </v>
      </c>
      <c r="F16" s="102" t="str">
        <f aca="false">IFERROR(IF(AND('Titer Calculation'!F16&lt;='Titer Calculation'!$T$4,'Titer Calculation'!F16&gt;'Titer Calculation'!$T$5), 'Titer Calculation'!F16," "), "")</f>
        <v> </v>
      </c>
      <c r="G16" s="102" t="str">
        <f aca="false">IFERROR(IF(AND('Titer Calculation'!G16&lt;='Titer Calculation'!$T$4,'Titer Calculation'!G16&gt;'Titer Calculation'!$T$5), 'Titer Calculation'!G16," "), "")</f>
        <v> </v>
      </c>
      <c r="H16" s="102" t="str">
        <f aca="false">IFERROR(IF(AND('Titer Calculation'!H16&lt;='Titer Calculation'!$T$4,'Titer Calculation'!H16&gt;'Titer Calculation'!$T$5), 'Titer Calculation'!H16," "), "")</f>
        <v> </v>
      </c>
      <c r="I16" s="102" t="str">
        <f aca="false">IFERROR(IF(AND('Titer Calculation'!I16&lt;='Titer Calculation'!$T$4,'Titer Calculation'!I16&gt;'Titer Calculation'!$T$5), 'Titer Calculation'!I16," "), "")</f>
        <v> </v>
      </c>
      <c r="J16" s="102" t="str">
        <f aca="false">IFERROR(IF(AND('Titer Calculation'!J16&lt;='Titer Calculation'!$T$4,'Titer Calculation'!J16&gt;'Titer Calculation'!$T$5), 'Titer Calculation'!J16," "), "")</f>
        <v> </v>
      </c>
      <c r="K16" s="102" t="str">
        <f aca="false">IFERROR(IF(AND('Titer Calculation'!K16&lt;='Titer Calculation'!$T$4,'Titer Calculation'!K16&gt;'Titer Calculation'!$T$5), 'Titer Calculation'!K16," "), "")</f>
        <v> </v>
      </c>
      <c r="L16" s="102" t="str">
        <f aca="false">IFERROR(IF(AND('Titer Calculation'!L16&lt;='Titer Calculation'!$T$4,'Titer Calculation'!L16&gt;'Titer Calculation'!$T$5), 'Titer Calculation'!L16," "), "")</f>
        <v> </v>
      </c>
      <c r="M16" s="102" t="str">
        <f aca="false">IFERROR(IF(AND('Titer Calculation'!M16&lt;='Titer Calculation'!$T$4,'Titer Calculation'!M16&gt;'Titer Calculation'!$T$5), 'Titer Calculation'!M16," "), "")</f>
        <v> </v>
      </c>
      <c r="N16" s="102" t="str">
        <f aca="false">IFERROR(IF(AND('Titer Calculation'!N16&lt;='Titer Calculation'!$T$4,'Titer Calculation'!N16&gt;'Titer Calculation'!$T$5), 'Titer Calculation'!N16," "), "")</f>
        <v> </v>
      </c>
      <c r="O16" s="44"/>
      <c r="P16" s="44"/>
      <c r="Q16" s="83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157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</row>
    <row r="17" customFormat="false" ht="15.75" hidden="false" customHeight="false" outlineLevel="0" collapsed="false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83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157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</row>
    <row r="18" customFormat="false" ht="21" hidden="false" customHeight="false" outlineLevel="0" collapsed="false">
      <c r="A18" s="44"/>
      <c r="B18" s="34"/>
      <c r="C18" s="44"/>
      <c r="D18" s="44"/>
      <c r="E18" s="114"/>
      <c r="F18" s="114"/>
      <c r="G18" s="44"/>
      <c r="H18" s="115"/>
      <c r="I18" s="44"/>
      <c r="J18" s="58"/>
      <c r="K18" s="44"/>
      <c r="L18" s="44"/>
      <c r="M18" s="44"/>
      <c r="N18" s="44"/>
      <c r="O18" s="44"/>
      <c r="P18" s="44"/>
      <c r="Q18" s="83"/>
      <c r="R18" s="185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157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</row>
    <row r="19" customFormat="false" ht="15.75" hidden="false" customHeight="false" outlineLevel="0" collapsed="false">
      <c r="A19" s="42" t="s">
        <v>239</v>
      </c>
      <c r="B19" s="42"/>
      <c r="C19" s="97" t="n">
        <f aca="false">C8</f>
        <v>1</v>
      </c>
      <c r="D19" s="97" t="n">
        <f aca="false">D8</f>
        <v>2</v>
      </c>
      <c r="E19" s="97" t="n">
        <f aca="false">E8</f>
        <v>3</v>
      </c>
      <c r="F19" s="97" t="n">
        <f aca="false">F8</f>
        <v>4</v>
      </c>
      <c r="G19" s="97" t="n">
        <f aca="false">G8</f>
        <v>5</v>
      </c>
      <c r="H19" s="97" t="n">
        <f aca="false">H8</f>
        <v>6</v>
      </c>
      <c r="I19" s="97" t="n">
        <f aca="false">I8</f>
        <v>7</v>
      </c>
      <c r="J19" s="97" t="n">
        <f aca="false">J8</f>
        <v>8</v>
      </c>
      <c r="K19" s="97" t="n">
        <f aca="false">K8</f>
        <v>9</v>
      </c>
      <c r="L19" s="98" t="n">
        <f aca="false">L8</f>
        <v>10</v>
      </c>
      <c r="M19" s="98" t="n">
        <f aca="false">M8</f>
        <v>11</v>
      </c>
      <c r="N19" s="98" t="n">
        <f aca="false">N8</f>
        <v>12</v>
      </c>
      <c r="O19" s="42"/>
      <c r="P19" s="42"/>
      <c r="Q19" s="83"/>
      <c r="R19" s="44"/>
      <c r="S19" s="44"/>
      <c r="T19" s="99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157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99"/>
      <c r="AQ19" s="44"/>
      <c r="AR19" s="44"/>
      <c r="AS19" s="44"/>
    </row>
    <row r="20" customFormat="false" ht="15.75" hidden="false" customHeight="false" outlineLevel="0" collapsed="false">
      <c r="A20" s="116" t="s">
        <v>166</v>
      </c>
      <c r="B20" s="97" t="s">
        <v>226</v>
      </c>
      <c r="C20" s="117" t="str">
        <f aca="false">C9</f>
        <v>pALD-eGFP</v>
      </c>
      <c r="D20" s="117" t="str">
        <f aca="false">D9</f>
        <v>pCTX</v>
      </c>
      <c r="E20" s="118" t="str">
        <f aca="false">E9</f>
        <v>pCTX</v>
      </c>
      <c r="F20" s="118" t="str">
        <f aca="false">F9</f>
        <v>pCTX</v>
      </c>
      <c r="G20" s="118" t="str">
        <f aca="false">G9</f>
        <v>pCTX</v>
      </c>
      <c r="H20" s="118" t="str">
        <f aca="false">H9</f>
        <v>pCTX</v>
      </c>
      <c r="I20" s="118" t="str">
        <f aca="false">I9</f>
        <v>pCTX</v>
      </c>
      <c r="J20" s="118" t="str">
        <f aca="false">J9</f>
        <v>pCTX</v>
      </c>
      <c r="K20" s="118" t="str">
        <f aca="false">K9</f>
        <v>pCTX</v>
      </c>
      <c r="L20" s="118" t="str">
        <f aca="false">L9</f>
        <v>pCTX</v>
      </c>
      <c r="M20" s="118" t="str">
        <f aca="false">M9</f>
        <v>pCTX</v>
      </c>
      <c r="N20" s="119" t="str">
        <f aca="false">N9</f>
        <v>pCTX</v>
      </c>
      <c r="O20" s="99"/>
      <c r="P20" s="99"/>
      <c r="Q20" s="191"/>
      <c r="R20" s="99"/>
      <c r="S20" s="99"/>
      <c r="T20" s="120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157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120"/>
      <c r="AQ20" s="44"/>
      <c r="AR20" s="44"/>
      <c r="AS20" s="44"/>
    </row>
    <row r="21" customFormat="false" ht="15.75" hidden="false" customHeight="false" outlineLevel="0" collapsed="false">
      <c r="A21" s="97" t="s">
        <v>167</v>
      </c>
      <c r="B21" s="97" t="n">
        <f aca="false">'Titer Calculation'!B10</f>
        <v>5</v>
      </c>
      <c r="C21" s="121" t="e">
        <f aca="false">(C10/100)*10000*$B21*10</f>
        <v>#VALUE!</v>
      </c>
      <c r="D21" s="121" t="e">
        <f aca="false">(D10/100)*10000*$B21*10</f>
        <v>#VALUE!</v>
      </c>
      <c r="E21" s="121" t="e">
        <f aca="false">(E10/100)*10000*$B21*10</f>
        <v>#VALUE!</v>
      </c>
      <c r="F21" s="121" t="e">
        <f aca="false">(F10/100)*10000*$B21*10</f>
        <v>#VALUE!</v>
      </c>
      <c r="G21" s="121" t="e">
        <f aca="false">(G10/100)*10000*$B21*10</f>
        <v>#VALUE!</v>
      </c>
      <c r="H21" s="121" t="e">
        <f aca="false">(H10/100)*10000*$B21*10</f>
        <v>#VALUE!</v>
      </c>
      <c r="I21" s="121" t="e">
        <f aca="false">(I10/100)*10000*$B21*10</f>
        <v>#VALUE!</v>
      </c>
      <c r="J21" s="121" t="e">
        <f aca="false">(J10/100)*10000*$B21*10</f>
        <v>#VALUE!</v>
      </c>
      <c r="K21" s="121" t="e">
        <f aca="false">(K10/100)*10000*$B21*10</f>
        <v>#VALUE!</v>
      </c>
      <c r="L21" s="121" t="e">
        <f aca="false">(L10/100)*10000*$B21*10</f>
        <v>#VALUE!</v>
      </c>
      <c r="M21" s="121" t="e">
        <f aca="false">(M10/100)*10000*$B21*10</f>
        <v>#VALUE!</v>
      </c>
      <c r="N21" s="121" t="e">
        <f aca="false">(N10/100)*10000*$B21*10</f>
        <v>#VALUE!</v>
      </c>
      <c r="O21" s="120"/>
      <c r="P21" s="44"/>
      <c r="Q21" s="83"/>
      <c r="R21" s="120"/>
      <c r="S21" s="44"/>
      <c r="T21" s="120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157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120"/>
      <c r="AQ21" s="44"/>
      <c r="AR21" s="44"/>
      <c r="AS21" s="44"/>
    </row>
    <row r="22" customFormat="false" ht="15.75" hidden="false" customHeight="false" outlineLevel="0" collapsed="false">
      <c r="A22" s="97" t="s">
        <v>168</v>
      </c>
      <c r="B22" s="97" t="n">
        <f aca="false">'Titer Calculation'!B11</f>
        <v>25</v>
      </c>
      <c r="C22" s="121" t="e">
        <f aca="false">(C11/100)*10000*$B22*10</f>
        <v>#VALUE!</v>
      </c>
      <c r="D22" s="121" t="e">
        <f aca="false">(D11/100)*10000*$B22*10</f>
        <v>#VALUE!</v>
      </c>
      <c r="E22" s="121" t="e">
        <f aca="false">(E11/100)*10000*$B22*10</f>
        <v>#VALUE!</v>
      </c>
      <c r="F22" s="121" t="e">
        <f aca="false">(F11/100)*10000*$B22*10</f>
        <v>#VALUE!</v>
      </c>
      <c r="G22" s="121" t="e">
        <f aca="false">(G11/100)*10000*$B22*10</f>
        <v>#VALUE!</v>
      </c>
      <c r="H22" s="121" t="e">
        <f aca="false">(H11/100)*10000*$B22*10</f>
        <v>#VALUE!</v>
      </c>
      <c r="I22" s="121" t="e">
        <f aca="false">(I11/100)*10000*$B22*10</f>
        <v>#VALUE!</v>
      </c>
      <c r="J22" s="121" t="e">
        <f aca="false">(J11/100)*10000*$B22*10</f>
        <v>#VALUE!</v>
      </c>
      <c r="K22" s="121" t="e">
        <f aca="false">(K11/100)*10000*$B22*10</f>
        <v>#VALUE!</v>
      </c>
      <c r="L22" s="121" t="e">
        <f aca="false">(L11/100)*10000*$B22*10</f>
        <v>#VALUE!</v>
      </c>
      <c r="M22" s="121" t="e">
        <f aca="false">(M11/100)*10000*$B22*10</f>
        <v>#VALUE!</v>
      </c>
      <c r="N22" s="121" t="e">
        <f aca="false">(N11/100)*10000*$B22*10</f>
        <v>#VALUE!</v>
      </c>
      <c r="O22" s="120"/>
      <c r="P22" s="44"/>
      <c r="Q22" s="83"/>
      <c r="R22" s="120"/>
      <c r="S22" s="44"/>
      <c r="T22" s="120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157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120"/>
      <c r="AQ22" s="44"/>
      <c r="AR22" s="44"/>
      <c r="AS22" s="44"/>
    </row>
    <row r="23" customFormat="false" ht="15.75" hidden="false" customHeight="false" outlineLevel="0" collapsed="false">
      <c r="A23" s="97" t="s">
        <v>169</v>
      </c>
      <c r="B23" s="97" t="n">
        <f aca="false">'Titer Calculation'!B12</f>
        <v>125</v>
      </c>
      <c r="C23" s="121" t="e">
        <f aca="false">(C12/100)*10000*$B23*10</f>
        <v>#VALUE!</v>
      </c>
      <c r="D23" s="121" t="e">
        <f aca="false">(D12/100)*10000*$B23*10</f>
        <v>#VALUE!</v>
      </c>
      <c r="E23" s="121" t="e">
        <f aca="false">(E12/100)*10000*$B23*10</f>
        <v>#VALUE!</v>
      </c>
      <c r="F23" s="121" t="e">
        <f aca="false">(F12/100)*10000*$B23*10</f>
        <v>#VALUE!</v>
      </c>
      <c r="G23" s="121" t="e">
        <f aca="false">(G12/100)*10000*$B23*10</f>
        <v>#VALUE!</v>
      </c>
      <c r="H23" s="121" t="e">
        <f aca="false">(H12/100)*10000*$B23*10</f>
        <v>#VALUE!</v>
      </c>
      <c r="I23" s="121" t="e">
        <f aca="false">(I12/100)*10000*$B23*10</f>
        <v>#VALUE!</v>
      </c>
      <c r="J23" s="121" t="e">
        <f aca="false">(J12/100)*10000*$B23*10</f>
        <v>#VALUE!</v>
      </c>
      <c r="K23" s="121" t="e">
        <f aca="false">(K12/100)*10000*$B23*10</f>
        <v>#VALUE!</v>
      </c>
      <c r="L23" s="121" t="e">
        <f aca="false">(L12/100)*10000*$B23*10</f>
        <v>#VALUE!</v>
      </c>
      <c r="M23" s="121" t="e">
        <f aca="false">(M12/100)*10000*$B23*10</f>
        <v>#VALUE!</v>
      </c>
      <c r="N23" s="121" t="e">
        <f aca="false">(N12/100)*10000*$B23*10</f>
        <v>#VALUE!</v>
      </c>
      <c r="O23" s="120"/>
      <c r="P23" s="44"/>
      <c r="Q23" s="83"/>
      <c r="R23" s="120"/>
      <c r="S23" s="44"/>
      <c r="T23" s="120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157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120"/>
      <c r="AQ23" s="44"/>
      <c r="AR23" s="44"/>
      <c r="AS23" s="44"/>
    </row>
    <row r="24" customFormat="false" ht="15.75" hidden="false" customHeight="false" outlineLevel="0" collapsed="false">
      <c r="A24" s="97" t="s">
        <v>170</v>
      </c>
      <c r="B24" s="97" t="n">
        <f aca="false">'Titer Calculation'!B13</f>
        <v>625</v>
      </c>
      <c r="C24" s="121" t="e">
        <f aca="false">(C13/100)*10000*$B24*10</f>
        <v>#VALUE!</v>
      </c>
      <c r="D24" s="121" t="e">
        <f aca="false">(D13/100)*10000*$B24*10</f>
        <v>#VALUE!</v>
      </c>
      <c r="E24" s="121" t="e">
        <f aca="false">(E13/100)*10000*$B24*10</f>
        <v>#VALUE!</v>
      </c>
      <c r="F24" s="121" t="e">
        <f aca="false">(F13/100)*10000*$B24*10</f>
        <v>#VALUE!</v>
      </c>
      <c r="G24" s="121" t="e">
        <f aca="false">(G13/100)*10000*$B24*10</f>
        <v>#VALUE!</v>
      </c>
      <c r="H24" s="121" t="e">
        <f aca="false">(H13/100)*10000*$B24*10</f>
        <v>#VALUE!</v>
      </c>
      <c r="I24" s="121" t="e">
        <f aca="false">(I13/100)*10000*$B24*10</f>
        <v>#VALUE!</v>
      </c>
      <c r="J24" s="121" t="e">
        <f aca="false">(J13/100)*10000*$B24*10</f>
        <v>#VALUE!</v>
      </c>
      <c r="K24" s="121" t="e">
        <f aca="false">(K13/100)*10000*$B24*10</f>
        <v>#VALUE!</v>
      </c>
      <c r="L24" s="121" t="e">
        <f aca="false">(L13/100)*10000*$B24*10</f>
        <v>#VALUE!</v>
      </c>
      <c r="M24" s="121" t="e">
        <f aca="false">(M13/100)*10000*$B24*10</f>
        <v>#VALUE!</v>
      </c>
      <c r="N24" s="121" t="e">
        <f aca="false">(N13/100)*10000*$B24*10</f>
        <v>#VALUE!</v>
      </c>
      <c r="O24" s="120"/>
      <c r="P24" s="44"/>
      <c r="Q24" s="83"/>
      <c r="R24" s="44"/>
      <c r="S24" s="120"/>
      <c r="T24" s="120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157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120"/>
      <c r="AQ24" s="44"/>
      <c r="AR24" s="44"/>
      <c r="AS24" s="44"/>
    </row>
    <row r="25" customFormat="false" ht="15.75" hidden="false" customHeight="false" outlineLevel="0" collapsed="false">
      <c r="A25" s="97" t="s">
        <v>171</v>
      </c>
      <c r="B25" s="97" t="n">
        <f aca="false">'Titer Calculation'!B14</f>
        <v>3125</v>
      </c>
      <c r="C25" s="121" t="e">
        <f aca="false">(C14/100)*10000*$B25*10</f>
        <v>#VALUE!</v>
      </c>
      <c r="D25" s="121" t="e">
        <f aca="false">(D14/100)*10000*$B25*10</f>
        <v>#VALUE!</v>
      </c>
      <c r="E25" s="121" t="e">
        <f aca="false">(E14/100)*10000*$B25*10</f>
        <v>#VALUE!</v>
      </c>
      <c r="F25" s="121" t="e">
        <f aca="false">(F14/100)*10000*$B25*10</f>
        <v>#VALUE!</v>
      </c>
      <c r="G25" s="121" t="e">
        <f aca="false">(G14/100)*10000*$B25*10</f>
        <v>#VALUE!</v>
      </c>
      <c r="H25" s="121" t="e">
        <f aca="false">(H14/100)*10000*$B25*10</f>
        <v>#VALUE!</v>
      </c>
      <c r="I25" s="121" t="e">
        <f aca="false">(I14/100)*10000*$B25*10</f>
        <v>#VALUE!</v>
      </c>
      <c r="J25" s="121" t="e">
        <f aca="false">(J14/100)*10000*$B25*10</f>
        <v>#VALUE!</v>
      </c>
      <c r="K25" s="121" t="e">
        <f aca="false">(K14/100)*10000*$B25*10</f>
        <v>#VALUE!</v>
      </c>
      <c r="L25" s="121" t="e">
        <f aca="false">(L14/100)*10000*$B25*10</f>
        <v>#VALUE!</v>
      </c>
      <c r="M25" s="121" t="e">
        <f aca="false">(M14/100)*10000*$B25*10</f>
        <v>#VALUE!</v>
      </c>
      <c r="N25" s="121" t="e">
        <f aca="false">(N14/100)*10000*$B25*10</f>
        <v>#VALUE!</v>
      </c>
      <c r="O25" s="120"/>
      <c r="P25" s="44"/>
      <c r="Q25" s="83"/>
      <c r="R25" s="44"/>
      <c r="S25" s="44"/>
      <c r="T25" s="120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157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120"/>
      <c r="AQ25" s="44"/>
      <c r="AR25" s="44"/>
      <c r="AS25" s="44"/>
    </row>
    <row r="26" customFormat="false" ht="15.75" hidden="false" customHeight="false" outlineLevel="0" collapsed="false">
      <c r="A26" s="97" t="s">
        <v>172</v>
      </c>
      <c r="B26" s="97" t="n">
        <f aca="false">'Titer Calculation'!B15</f>
        <v>15625</v>
      </c>
      <c r="C26" s="121" t="e">
        <f aca="false">(C15/100)*10000*$B26*10</f>
        <v>#VALUE!</v>
      </c>
      <c r="D26" s="121" t="e">
        <f aca="false">(D15/100)*10000*$B26*10</f>
        <v>#VALUE!</v>
      </c>
      <c r="E26" s="121" t="e">
        <f aca="false">(E15/100)*10000*$B26*10</f>
        <v>#VALUE!</v>
      </c>
      <c r="F26" s="121" t="e">
        <f aca="false">(F15/100)*10000*$B26*10</f>
        <v>#VALUE!</v>
      </c>
      <c r="G26" s="121" t="e">
        <f aca="false">(G15/100)*10000*$B26*10</f>
        <v>#VALUE!</v>
      </c>
      <c r="H26" s="121" t="e">
        <f aca="false">(H15/100)*10000*$B26*10</f>
        <v>#VALUE!</v>
      </c>
      <c r="I26" s="121" t="e">
        <f aca="false">(I15/100)*10000*$B26*10</f>
        <v>#VALUE!</v>
      </c>
      <c r="J26" s="121" t="e">
        <f aca="false">(J15/100)*10000*$B26*10</f>
        <v>#VALUE!</v>
      </c>
      <c r="K26" s="121" t="e">
        <f aca="false">(K15/100)*10000*$B26*10</f>
        <v>#VALUE!</v>
      </c>
      <c r="L26" s="121" t="e">
        <f aca="false">(L15/100)*10000*$B26*10</f>
        <v>#VALUE!</v>
      </c>
      <c r="M26" s="121" t="e">
        <f aca="false">(M15/100)*10000*$B26*10</f>
        <v>#VALUE!</v>
      </c>
      <c r="N26" s="121" t="e">
        <f aca="false">(N15/100)*10000*$B26*10</f>
        <v>#VALUE!</v>
      </c>
      <c r="O26" s="120"/>
      <c r="P26" s="44"/>
      <c r="Q26" s="83"/>
      <c r="R26" s="120"/>
      <c r="S26" s="44"/>
      <c r="T26" s="120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157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120"/>
      <c r="AQ26" s="44"/>
      <c r="AR26" s="44"/>
      <c r="AS26" s="44"/>
    </row>
    <row r="27" customFormat="false" ht="15.75" hidden="false" customHeight="false" outlineLevel="0" collapsed="false">
      <c r="A27" s="97" t="s">
        <v>173</v>
      </c>
      <c r="B27" s="97" t="n">
        <f aca="false">'Titer Calculation'!B16</f>
        <v>78125</v>
      </c>
      <c r="C27" s="121" t="e">
        <f aca="false">(C16/100)*10000*$B27*10</f>
        <v>#VALUE!</v>
      </c>
      <c r="D27" s="121" t="e">
        <f aca="false">(D16/100)*10000*$B27*10</f>
        <v>#VALUE!</v>
      </c>
      <c r="E27" s="121" t="e">
        <f aca="false">(E16/100)*10000*$B27*10</f>
        <v>#VALUE!</v>
      </c>
      <c r="F27" s="121" t="e">
        <f aca="false">(F16/100)*10000*$B27*10</f>
        <v>#VALUE!</v>
      </c>
      <c r="G27" s="121" t="e">
        <f aca="false">(G16/100)*10000*$B27*10</f>
        <v>#VALUE!</v>
      </c>
      <c r="H27" s="121" t="e">
        <f aca="false">(H16/100)*10000*$B27*10</f>
        <v>#VALUE!</v>
      </c>
      <c r="I27" s="121" t="e">
        <f aca="false">(I16/100)*10000*$B27*10</f>
        <v>#VALUE!</v>
      </c>
      <c r="J27" s="121" t="e">
        <f aca="false">(J16/100)*10000*$B27*10</f>
        <v>#VALUE!</v>
      </c>
      <c r="K27" s="121" t="e">
        <f aca="false">(K16/100)*10000*$B27*10</f>
        <v>#VALUE!</v>
      </c>
      <c r="L27" s="121" t="e">
        <f aca="false">(L16/100)*10000*$B27*10</f>
        <v>#VALUE!</v>
      </c>
      <c r="M27" s="121" t="e">
        <f aca="false">(M16/100)*10000*$B27*10</f>
        <v>#VALUE!</v>
      </c>
      <c r="N27" s="121" t="e">
        <f aca="false">(N16/100)*10000*$B27*10</f>
        <v>#VALUE!</v>
      </c>
      <c r="O27" s="211" t="s">
        <v>272</v>
      </c>
      <c r="P27" s="44"/>
      <c r="Q27" s="83"/>
      <c r="R27" s="212"/>
      <c r="S27" s="44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157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75"/>
      <c r="AQ27" s="44"/>
      <c r="AR27" s="44"/>
      <c r="AS27" s="44"/>
    </row>
    <row r="28" customFormat="false" ht="15.75" hidden="false" customHeight="false" outlineLevel="0" collapsed="false">
      <c r="A28" s="213" t="s">
        <v>277</v>
      </c>
      <c r="B28" s="213"/>
      <c r="C28" s="214" t="e">
        <f aca="false" t="array" ref="C28:C28">_xlfn.IFS(AND(COUNT(C$10:C$16)&gt;=7,S$160&lt;'Titer Calculation'!$T$6),C$160,AND(COUNT(C$10:C$16)&gt;=6,MIN(S$153:S$159)&lt;'Titer Calculation'!$T$6),_xlfn.xlookup(MIN(S$153:S$159),S$153:S$159, C$153:C$159),AND(COUNT(C$10:C$16)&gt;=5,MIN(S$132:S$152)&lt;'Titer Calculation'!$T$6),_xlfn.xlookup(MIN(S$132:S$152), S$132:S$152, C$132:$C$152),AND(COUNT(C$10:C$16)&gt;=4,MIN(S$97:S$131)&lt;'Titer Calculation'!$T$6),_xlfn.xlookup(MIN(S$97:S$131), S$97:S$131, C$97:C$131),AND(COUNT(C$10:C$16)&gt;=3,MIN(S$62:S$96)&lt;'Titer Calculation'!$T$6),_xlfn.xlookup(MIN(S$62:S$96), S$62:S$96, C$62:C$96),AND(COUNT(C$10:C$16)&gt;=2,MIN(S$41:S$61)&lt;'Titer Calculation'!$T$6),_xlfn.xlookup(MIN(S$41:S$61), S$41:S$61, C$41:C$61), TRUE(), _xlfn.xlookup(MIN(S$41:S$160), S$41:S$160, C$41:C$160))</f>
        <v>#NAME?</v>
      </c>
      <c r="D28" s="214" t="e">
        <f aca="false" t="array" ref="D28:D28">_xlfn.IFS(AND(COUNT(D$10:D$16)&gt;=7,T$160&lt;'Titer Calculation'!$T$6),D$160,AND(COUNT(D$10:D$16)&gt;=6,MIN(T$153:T$159)&lt;'Titer Calculation'!$T$6),_xlfn.xlookup(MIN(T$153:T$159),T$153:T$159, D$153:D$159),AND(COUNT(D$10:D$16)&gt;=5,MIN(T$132:T$152)&lt;'Titer Calculation'!$T$6),_xlfn.xlookup(MIN(T$132:T$152), T$132:T$152, $C$132:D$152),AND(COUNT(D$10:D$16)&gt;=4,MIN(T$97:T$131)&lt;'Titer Calculation'!$T$6),_xlfn.xlookup(MIN(T$97:T$131), T$97:T$131, D$97:D$131),AND(COUNT(D$10:D$16)&gt;=3,MIN(T$62:T$96)&lt;'Titer Calculation'!$T$6),_xlfn.xlookup(MIN(T$62:T$96), T$62:T$96, D$62:D$96),AND(COUNT(D$10:D$16)&gt;=2,MIN(T$41:T$61)&lt;'Titer Calculation'!$T$6),_xlfn.xlookup(MIN(T$41:T$61), T$41:T$61, D$41:D$61), TRUE(), _xlfn.xlookup(MIN(T$41:T$160), T$41:T$160, D$41:D$160))</f>
        <v>#NAME?</v>
      </c>
      <c r="E28" s="214" t="e">
        <f aca="false" t="array" ref="E28:E28">_xlfn.IFS(AND(COUNT(E$10:E$16)&gt;=7,U$160&lt;'Titer Calculation'!$T$6),E$160,AND(COUNT(E$10:E$16)&gt;=6,MIN(U$153:U$159)&lt;'Titer Calculation'!$T$6),_xlfn.xlookup(MIN(U$153:U$159),U$153:U$159, E$153:E$159),AND(COUNT(E$10:E$16)&gt;=5,MIN(U$132:U$152)&lt;'Titer Calculation'!$T$6),_xlfn.xlookup(MIN(U$132:U$152), U$132:U$152, $C$132:E$152),AND(COUNT(E$10:E$16)&gt;=4,MIN(U$97:U$131)&lt;'Titer Calculation'!$T$6),_xlfn.xlookup(MIN(U$97:U$131), U$97:U$131, E$97:E$131),AND(COUNT(E$10:E$16)&gt;=3,MIN(U$62:U$96)&lt;'Titer Calculation'!$T$6),_xlfn.xlookup(MIN(U$62:U$96), U$62:U$96, E$62:E$96),AND(COUNT(E$10:E$16)&gt;=2,MIN(U$41:U$61)&lt;'Titer Calculation'!$T$6),_xlfn.xlookup(MIN(U$41:U$61), U$41:U$61, E$41:E$61), TRUE(), _xlfn.xlookup(MIN(U$41:U$160), U$41:U$160, E$41:E$160))</f>
        <v>#NAME?</v>
      </c>
      <c r="F28" s="214" t="e">
        <f aca="false" t="array" ref="F28:F28">_xlfn.IFS(AND(COUNT(F$10:F$16)&gt;=7,V$160&lt;'Titer Calculation'!$T$6),F$160,AND(COUNT(F$10:F$16)&gt;=6,MIN(V$153:V$159)&lt;'Titer Calculation'!$T$6),_xlfn.xlookup(MIN(V$153:V$159),V$153:V$159, F$153:F$159),AND(COUNT(F$10:F$16)&gt;=5,MIN(V$132:V$152)&lt;'Titer Calculation'!$T$6),_xlfn.xlookup(MIN(V$132:V$152), V$132:V$152, $C$132:F$152),AND(COUNT(F$10:F$16)&gt;=4,MIN(V$97:V$131)&lt;'Titer Calculation'!$T$6),_xlfn.xlookup(MIN(V$97:V$131), V$97:V$131, F$97:F$131),AND(COUNT(F$10:F$16)&gt;=3,MIN(V$62:V$96)&lt;'Titer Calculation'!$T$6),_xlfn.xlookup(MIN(V$62:V$96), V$62:V$96, F$62:F$96),AND(COUNT(F$10:F$16)&gt;=2,MIN(V$41:V$61)&lt;'Titer Calculation'!$T$6),_xlfn.xlookup(MIN(V$41:V$61), V$41:V$61, F$41:F$61), TRUE(), _xlfn.xlookup(MIN(V$41:V$160), V$41:V$160, F$41:F$160))</f>
        <v>#NAME?</v>
      </c>
      <c r="G28" s="214" t="e">
        <f aca="false" t="array" ref="G28:G28">_xlfn.IFS(AND(COUNT(G$10:G$16)&gt;=7,W$160&lt;'Titer Calculation'!$T$6),G$160,AND(COUNT(G$10:G$16)&gt;=6,MIN(W$153:W$159)&lt;'Titer Calculation'!$T$6),_xlfn.xlookup(MIN(W$153:W$159),W$153:W$159, G$153:G$159),AND(COUNT(G$10:G$16)&gt;=5,MIN(W$132:W$152)&lt;'Titer Calculation'!$T$6),_xlfn.xlookup(MIN(W$132:W$152), W$132:W$152, $C$132:G$152),AND(COUNT(G$10:G$16)&gt;=4,MIN(W$97:W$131)&lt;'Titer Calculation'!$T$6),_xlfn.xlookup(MIN(W$97:W$131), W$97:W$131, G$97:G$131),AND(COUNT(G$10:G$16)&gt;=3,MIN(W$62:W$96)&lt;'Titer Calculation'!$T$6),_xlfn.xlookup(MIN(W$62:W$96), W$62:W$96, G$62:G$96),AND(COUNT(G$10:G$16)&gt;=2,MIN(W$41:W$61)&lt;'Titer Calculation'!$T$6),_xlfn.xlookup(MIN(W$41:W$61), W$41:W$61, G$41:G$61), TRUE(), _xlfn.xlookup(MIN(W$41:W$160), W$41:W$160, G$41:G$160))</f>
        <v>#NAME?</v>
      </c>
      <c r="H28" s="214" t="e">
        <f aca="false" t="array" ref="H28:H28">_xlfn.IFS(AND(COUNT(H$10:H$16)&gt;=7,X$160&lt;'Titer Calculation'!$T$6),H$160,AND(COUNT(H$10:H$16)&gt;=6,MIN(X$153:X$159)&lt;'Titer Calculation'!$T$6),_xlfn.xlookup(MIN(X$153:X$159),X$153:X$159, H$153:H$159),AND(COUNT(H$10:H$16)&gt;=5,MIN(X$132:X$152)&lt;'Titer Calculation'!$T$6),_xlfn.xlookup(MIN(X$132:X$152), X$132:X$152, $C$132:H$152),AND(COUNT(H$10:H$16)&gt;=4,MIN(X$97:X$131)&lt;'Titer Calculation'!$T$6),_xlfn.xlookup(MIN(X$97:X$131), X$97:X$131, H$97:H$131),AND(COUNT(H$10:H$16)&gt;=3,MIN(X$62:X$96)&lt;'Titer Calculation'!$T$6),_xlfn.xlookup(MIN(X$62:X$96), X$62:X$96, H$62:H$96),AND(COUNT(H$10:H$16)&gt;=2,MIN(X$41:X$61)&lt;'Titer Calculation'!$T$6),_xlfn.xlookup(MIN(X$41:X$61), X$41:X$61, H$41:H$61), TRUE(), _xlfn.xlookup(MIN(X$41:X$160), X$41:X$160, H$41:H$160))</f>
        <v>#NAME?</v>
      </c>
      <c r="I28" s="214" t="e">
        <f aca="false" t="array" ref="I28:I28">_xlfn.IFS(AND(COUNT(I$10:I$16)&gt;=7,Y$160&lt;'Titer Calculation'!$T$6),I$160,AND(COUNT(I$10:I$16)&gt;=6,MIN(Y$153:Y$159)&lt;'Titer Calculation'!$T$6),_xlfn.xlookup(MIN(Y$153:Y$159),Y$153:Y$159, I$153:I$159),AND(COUNT(I$10:I$16)&gt;=5,MIN(Y$132:Y$152)&lt;'Titer Calculation'!$T$6),_xlfn.xlookup(MIN(Y$132:Y$152), Y$132:Y$152, $C$132:I$152),AND(COUNT(I$10:I$16)&gt;=4,MIN(Y$97:Y$131)&lt;'Titer Calculation'!$T$6),_xlfn.xlookup(MIN(Y$97:Y$131), Y$97:Y$131, I$97:I$131),AND(COUNT(I$10:I$16)&gt;=3,MIN(Y$62:Y$96)&lt;'Titer Calculation'!$T$6),_xlfn.xlookup(MIN(Y$62:Y$96), Y$62:Y$96, I$62:I$96),AND(COUNT(I$10:I$16)&gt;=2,MIN(Y$41:Y$61)&lt;'Titer Calculation'!$T$6),_xlfn.xlookup(MIN(Y$41:Y$61), Y$41:Y$61, I$41:I$61), TRUE(), _xlfn.xlookup(MIN(Y$41:Y$160), Y$41:Y$160, I$41:I$160))</f>
        <v>#NAME?</v>
      </c>
      <c r="J28" s="214" t="e">
        <f aca="false" t="array" ref="J28:J28">_xlfn.IFS(AND(COUNT(J$10:J$16)&gt;=7,Z$160&lt;'Titer Calculation'!$T$6),J$160,AND(COUNT(J$10:J$16)&gt;=6,MIN(Z$153:Z$159)&lt;'Titer Calculation'!$T$6),_xlfn.xlookup(MIN(Z$153:Z$159),Z$153:Z$159, J$153:J$159),AND(COUNT(J$10:J$16)&gt;=5,MIN(Z$132:Z$152)&lt;'Titer Calculation'!$T$6),_xlfn.xlookup(MIN(Z$132:Z$152), Z$132:Z$152, $C$132:J$152),AND(COUNT(J$10:J$16)&gt;=4,MIN(Z$97:Z$131)&lt;'Titer Calculation'!$T$6),_xlfn.xlookup(MIN(Z$97:Z$131), Z$97:Z$131, J$97:J$131),AND(COUNT(J$10:J$16)&gt;=3,MIN(Z$62:Z$96)&lt;'Titer Calculation'!$T$6),_xlfn.xlookup(MIN(Z$62:Z$96), Z$62:Z$96, J$62:J$96),AND(COUNT(J$10:J$16)&gt;=2,MIN(Z$41:Z$61)&lt;'Titer Calculation'!$T$6),_xlfn.xlookup(MIN(Z$41:Z$61), Z$41:Z$61, J$41:J$61), TRUE(), _xlfn.xlookup(MIN(Z$41:Z$160), Z$41:Z$160, J$41:J$160))</f>
        <v>#NAME?</v>
      </c>
      <c r="K28" s="214" t="e">
        <f aca="false" t="array" ref="K28:K28">_xlfn.IFS(AND(COUNT(K$10:K$16)&gt;=7,AA$160&lt;'Titer Calculation'!$T$6),K$160,AND(COUNT(K$10:K$16)&gt;=6,MIN(AA$153:AA$159)&lt;'Titer Calculation'!$T$6),_xlfn.xlookup(MIN(AA$153:AA$159),AA$153:AA$159, K$153:K$159),AND(COUNT(K$10:K$16)&gt;=5,MIN(AA$132:AA$152)&lt;'Titer Calculation'!$T$6),_xlfn.xlookup(MIN(AA$132:AA$152), AA$132:AA$152, $C$132:K$152),AND(COUNT(K$10:K$16)&gt;=4,MIN(AA$97:AA$131)&lt;'Titer Calculation'!$T$6),_xlfn.xlookup(MIN(AA$97:AA$131), AA$97:AA$131, K$97:K$131),AND(COUNT(K$10:K$16)&gt;=3,MIN(AA$62:AA$96)&lt;'Titer Calculation'!$T$6),_xlfn.xlookup(MIN(AA$62:AA$96), AA$62:AA$96, K$62:K$96),AND(COUNT(K$10:K$16)&gt;=2,MIN(AA$41:AA$61)&lt;'Titer Calculation'!$T$6),_xlfn.xlookup(MIN(AA$41:AA$61), AA$41:AA$61, K$41:K$61), TRUE(), _xlfn.xlookup(MIN(AA$41:AA$160), AA$41:AA$160, K$41:K$160))</f>
        <v>#NAME?</v>
      </c>
      <c r="L28" s="214" t="e">
        <f aca="false" t="array" ref="L28:L28">_xlfn.IFS(AND(COUNT(L$10:L$16)&gt;=7,AB$160&lt;'Titer Calculation'!$T$6),L$160,AND(COUNT(L$10:L$16)&gt;=6,MIN(AB$153:AB$159)&lt;'Titer Calculation'!$T$6),_xlfn.xlookup(MIN(AB$153:AB$159),AB$153:AB$159, L$153:L$159),AND(COUNT(L$10:L$16)&gt;=5,MIN(AB$132:AB$152)&lt;'Titer Calculation'!$T$6),_xlfn.xlookup(MIN(AB$132:AB$152), AB$132:AB$152, $C$132:L$152),AND(COUNT(L$10:L$16)&gt;=4,MIN(AB$97:AB$131)&lt;'Titer Calculation'!$T$6),_xlfn.xlookup(MIN(AB$97:AB$131), AB$97:AB$131, L$97:L$131),AND(COUNT(L$10:L$16)&gt;=3,MIN(AB$62:AB$96)&lt;'Titer Calculation'!$T$6),_xlfn.xlookup(MIN(AB$62:AB$96), AB$62:AB$96, L$62:L$96),AND(COUNT(L$10:L$16)&gt;=2,MIN(AB$41:AB$61)&lt;'Titer Calculation'!$T$6),_xlfn.xlookup(MIN(AB$41:AB$61), AB$41:AB$61, L$41:L$61), TRUE(), _xlfn.xlookup(MIN(AB$41:AB$160), AB$41:AB$160, L$41:L$160))</f>
        <v>#NAME?</v>
      </c>
      <c r="M28" s="214" t="e">
        <f aca="false" t="array" ref="M28:M28">_xlfn.IFS(AND(COUNT(M$10:M$16)&gt;=7,AC$160&lt;'Titer Calculation'!$T$6),M$160,AND(COUNT(M$10:M$16)&gt;=6,MIN(AC$153:AC$159)&lt;'Titer Calculation'!$T$6),_xlfn.xlookup(MIN(AC$153:AC$159),AC$153:AC$159, M$153:M$159),AND(COUNT(M$10:M$16)&gt;=5,MIN(AC$132:AC$152)&lt;'Titer Calculation'!$T$6),_xlfn.xlookup(MIN(AC$132:AC$152), AC$132:AC$152, $C$132:M$152),AND(COUNT(M$10:M$16)&gt;=4,MIN(AC$97:AC$131)&lt;'Titer Calculation'!$T$6),_xlfn.xlookup(MIN(AC$97:AC$131), AC$97:AC$131, M$97:M$131),AND(COUNT(M$10:M$16)&gt;=3,MIN(AC$62:AC$96)&lt;'Titer Calculation'!$T$6),_xlfn.xlookup(MIN(AC$62:AC$96), AC$62:AC$96, M$62:M$96),AND(COUNT(M$10:M$16)&gt;=2,MIN(AC$41:AC$61)&lt;'Titer Calculation'!$T$6),_xlfn.xlookup(MIN(AC$41:AC$61), AC$41:AC$61, M$41:M$61), TRUE(), _xlfn.xlookup(MIN(AC$41:AC$160), AC$41:AC$160, M$41:M$160))</f>
        <v>#NAME?</v>
      </c>
      <c r="N28" s="214" t="e">
        <f aca="false" t="array" ref="N28:N28">_xlfn.IFS(AND(COUNT(N$10:N$16)&gt;=7,AD$160&lt;'Titer Calculation'!$T$6),N$160,AND(COUNT(N$10:N$16)&gt;=6,MIN(AD$153:AD$159)&lt;'Titer Calculation'!$T$6),_xlfn.xlookup(MIN(AD$153:AD$159),AD$153:AD$159, N$153:N$159),AND(COUNT(N$10:N$16)&gt;=5,MIN(AD$132:AD$152)&lt;'Titer Calculation'!$T$6),_xlfn.xlookup(MIN(AD$132:AD$152), AD$132:AD$152, $C$132:N$152),AND(COUNT(N$10:N$16)&gt;=4,MIN(AD$97:AD$131)&lt;'Titer Calculation'!$T$6),_xlfn.xlookup(MIN(AD$97:AD$131), AD$97:AD$131, N$97:N$131),AND(COUNT(N$10:N$16)&gt;=3,MIN(AD$62:AD$96)&lt;'Titer Calculation'!$T$6),_xlfn.xlookup(MIN(AD$62:AD$96), AD$62:AD$96, N$62:N$96),AND(COUNT(N$10:N$16)&gt;=2,MIN(AD$41:AD$61)&lt;'Titer Calculation'!$T$6),_xlfn.xlookup(MIN(AD$41:AD$61), AD$41:AD$61, N$41:N$61), TRUE(), _xlfn.xlookup(MIN(AD$41:AD$160), AD$41:AD$160, N$41:N$160))</f>
        <v>#NAME?</v>
      </c>
      <c r="O28" s="211"/>
      <c r="P28" s="44"/>
      <c r="Q28" s="83"/>
      <c r="R28" s="212"/>
      <c r="S28" s="44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157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75"/>
      <c r="AQ28" s="44"/>
      <c r="AR28" s="44"/>
      <c r="AS28" s="44"/>
    </row>
    <row r="29" customFormat="false" ht="15.75" hidden="false" customHeight="false" outlineLevel="0" collapsed="false">
      <c r="A29" s="213" t="s">
        <v>278</v>
      </c>
      <c r="B29" s="213"/>
      <c r="C29" s="215" t="e">
        <f aca="false" t="array" ref="C29:C29">REPLACE(_xlfn.IFS(AND(COUNT(C$10:C$16)&gt;=7,S$160&lt;'Titer Calculation'!$T$6),$A$160,AND(COUNT(C$10:C$16)&gt;=6,MIN(S$153:S$159)&lt;'Titer Calculation'!$T$6),_xlfn.xlookup(MIN(S$153:S$159),S$153:S$159, $A$153:$A$159),AND(COUNT(C$10:C$16)&gt;=5,MIN(S$132:S$152)&lt;'Titer Calculation'!$T$6),_xlfn.xlookup(MIN(S$132:S$152), S$132:S$152, $A$132:$A$152),AND(COUNT(C$10:C$16)&gt;=4,MIN(S$97:S$131)&lt;'Titer Calculation'!$T$6),_xlfn.xlookup(MIN(S$97:S$131), S$97:S$131, $A$97:$A$131),AND(COUNT(C$10:C$16)&gt;=3,MIN(S$62:S$96)&lt;'Titer Calculation'!$T$6),_xlfn.xlookup(MIN(S$62:S$96), S$62:S$96, $A$62:$A$96),AND(COUNT(C$10:C$16)&gt;=2,MIN(S$41:S$61)&lt;'Titer Calculation'!$T$6),_xlfn.xlookup(MIN(S$41:S$61), S$41:S$61, $A$41:$A$61), TRUE(), _xlfn.xlookup(MIN(S$41:S$160),S$41:S$160, $A$41:$A$160)), 1, 8,)</f>
        <v>#NAME?</v>
      </c>
      <c r="D29" s="215" t="e">
        <f aca="false" t="array" ref="D29:D29">REPLACE(_xlfn.IFS(AND(COUNT(D$10:D$16)&gt;=7,T$160&lt;'Titer Calculation'!$T$6),$A$160,AND(COUNT(D$10:D$16)&gt;=6,MIN(T$153:T$159)&lt;'Titer Calculation'!$T$6),_xlfn.xlookup(MIN(T$153:T$159),T$153:T$159, $A$153:$A$159),AND(COUNT(D$10:D$16)&gt;=5,MIN(T$132:T$152)&lt;'Titer Calculation'!$T$6),_xlfn.xlookup(MIN(T$132:T$152), T$132:T$152, $A$132:$A$152),AND(COUNT(D$10:D$16)&gt;=4,MIN(T$97:T$131)&lt;'Titer Calculation'!$T$6),_xlfn.xlookup(MIN(T$97:T$131), T$97:T$131, $A$97:$A$131),AND(COUNT(D$10:D$16)&gt;=3,MIN(T$62:T$96)&lt;'Titer Calculation'!$T$6),_xlfn.xlookup(MIN(T$62:T$96), T$62:T$96, $A$62:$A$96),AND(COUNT(D$10:D$16)&gt;=2,MIN(T$41:T$61)&lt;'Titer Calculation'!$T$6),_xlfn.xlookup(MIN(T$41:T$61), T$41:T$61, $A$41:$A$61), TRUE(), _xlfn.xlookup(MIN(T$41:T$160),T$41:T$160, $A$41:$A$160)), 1, 8,)</f>
        <v>#NAME?</v>
      </c>
      <c r="E29" s="215" t="e">
        <f aca="false" t="array" ref="E29:E29">REPLACE(_xlfn.IFS(AND(COUNT(E$10:E$16)&gt;=7,U$160&lt;'Titer Calculation'!$T$6),$A$160,AND(COUNT(E$10:E$16)&gt;=6,MIN(U$153:U$159)&lt;'Titer Calculation'!$T$6),_xlfn.xlookup(MIN(U$153:U$159),U$153:U$159, $A$153:$A$159),AND(COUNT(E$10:E$16)&gt;=5,MIN(U$132:U$152)&lt;'Titer Calculation'!$T$6),_xlfn.xlookup(MIN(U$132:U$152), U$132:U$152, $A$132:$A$152),AND(COUNT(E$10:E$16)&gt;=4,MIN(U$97:U$131)&lt;'Titer Calculation'!$T$6),_xlfn.xlookup(MIN(U$97:U$131), U$97:U$131, $A$97:$A$131),AND(COUNT(E$10:E$16)&gt;=3,MIN(U$62:U$96)&lt;'Titer Calculation'!$T$6),_xlfn.xlookup(MIN(U$62:U$96), U$62:U$96, $A$62:$A$96),AND(COUNT(E$10:E$16)&gt;=2,MIN(U$41:U$61)&lt;'Titer Calculation'!$T$6),_xlfn.xlookup(MIN(U$41:U$61), U$41:U$61, $A$41:$A$61), TRUE(), _xlfn.xlookup(MIN(U$41:U$160),U$41:U$160, $A$41:$A$160)), 1, 8,)</f>
        <v>#NAME?</v>
      </c>
      <c r="F29" s="215" t="e">
        <f aca="false" t="array" ref="F29:F29">REPLACE(_xlfn.IFS(AND(COUNT(F$10:F$16)&gt;=7,V$160&lt;'Titer Calculation'!$T$6),$A$160,AND(COUNT(F$10:F$16)&gt;=6,MIN(V$153:V$159)&lt;'Titer Calculation'!$T$6),_xlfn.xlookup(MIN(V$153:V$159),V$153:V$159, $A$153:$A$159),AND(COUNT(F$10:F$16)&gt;=5,MIN(V$132:V$152)&lt;'Titer Calculation'!$T$6),_xlfn.xlookup(MIN(V$132:V$152), V$132:V$152, $A$132:$A$152),AND(COUNT(F$10:F$16)&gt;=4,MIN(V$97:V$131)&lt;'Titer Calculation'!$T$6),_xlfn.xlookup(MIN(V$97:V$131), V$97:V$131, $A$97:$A$131),AND(COUNT(F$10:F$16)&gt;=3,MIN(V$62:V$96)&lt;'Titer Calculation'!$T$6),_xlfn.xlookup(MIN(V$62:V$96), V$62:V$96, $A$62:$A$96),AND(COUNT(F$10:F$16)&gt;=2,MIN(V$41:V$61)&lt;'Titer Calculation'!$T$6),_xlfn.xlookup(MIN(V$41:V$61), V$41:V$61, $A$41:$A$61), TRUE(), _xlfn.xlookup(MIN(V$41:V$160),V$41:V$160, $A$41:$A$160)), 1, 8,)</f>
        <v>#NAME?</v>
      </c>
      <c r="G29" s="215" t="e">
        <f aca="false" t="array" ref="G29:G29">REPLACE(_xlfn.IFS(AND(COUNT(G$10:G$16)&gt;=7,W$160&lt;'Titer Calculation'!$T$6),$A$160,AND(COUNT(G$10:G$16)&gt;=6,MIN(W$153:W$159)&lt;'Titer Calculation'!$T$6),_xlfn.xlookup(MIN(W$153:W$159),W$153:W$159, $A$153:$A$159),AND(COUNT(G$10:G$16)&gt;=5,MIN(W$132:W$152)&lt;'Titer Calculation'!$T$6),_xlfn.xlookup(MIN(W$132:W$152), W$132:W$152, $A$132:$A$152),AND(COUNT(G$10:G$16)&gt;=4,MIN(W$97:W$131)&lt;'Titer Calculation'!$T$6),_xlfn.xlookup(MIN(W$97:W$131), W$97:W$131, $A$97:$A$131),AND(COUNT(G$10:G$16)&gt;=3,MIN(W$62:W$96)&lt;'Titer Calculation'!$T$6),_xlfn.xlookup(MIN(W$62:W$96), W$62:W$96, $A$62:$A$96),AND(COUNT(G$10:G$16)&gt;=2,MIN(W$41:W$61)&lt;'Titer Calculation'!$T$6),_xlfn.xlookup(MIN(W$41:W$61), W$41:W$61, $A$41:$A$61), TRUE(), _xlfn.xlookup(MIN(W$41:W$160),W$41:W$160, $A$41:$A$160)), 1, 8,)</f>
        <v>#NAME?</v>
      </c>
      <c r="H29" s="215" t="e">
        <f aca="false" t="array" ref="H29:H29">REPLACE(_xlfn.IFS(AND(COUNT(H$10:H$16)&gt;=7,X$160&lt;'Titer Calculation'!$T$6),$A$160,AND(COUNT(H$10:H$16)&gt;=6,MIN(X$153:X$159)&lt;'Titer Calculation'!$T$6),_xlfn.xlookup(MIN(X$153:X$159),X$153:X$159, $A$153:$A$159),AND(COUNT(H$10:H$16)&gt;=5,MIN(X$132:X$152)&lt;'Titer Calculation'!$T$6),_xlfn.xlookup(MIN(X$132:X$152), X$132:X$152, $A$132:$A$152),AND(COUNT(H$10:H$16)&gt;=4,MIN(X$97:X$131)&lt;'Titer Calculation'!$T$6),_xlfn.xlookup(MIN(X$97:X$131), X$97:X$131, $A$97:$A$131),AND(COUNT(H$10:H$16)&gt;=3,MIN(X$62:X$96)&lt;'Titer Calculation'!$T$6),_xlfn.xlookup(MIN(X$62:X$96), X$62:X$96, $A$62:$A$96),AND(COUNT(H$10:H$16)&gt;=2,MIN(X$41:X$61)&lt;'Titer Calculation'!$T$6),_xlfn.xlookup(MIN(X$41:X$61), X$41:X$61, $A$41:$A$61), TRUE(), _xlfn.xlookup(MIN(X$41:X$160),X$41:X$160, $A$41:$A$160)), 1, 8,)</f>
        <v>#NAME?</v>
      </c>
      <c r="I29" s="215" t="e">
        <f aca="false" t="array" ref="I29:I29">REPLACE(_xlfn.IFS(AND(COUNT(I$10:I$16)&gt;=7,Y$160&lt;'Titer Calculation'!$T$6),$A$160,AND(COUNT(I$10:I$16)&gt;=6,MIN(Y$153:Y$159)&lt;'Titer Calculation'!$T$6),_xlfn.xlookup(MIN(Y$153:Y$159),Y$153:Y$159, $A$153:$A$159),AND(COUNT(I$10:I$16)&gt;=5,MIN(Y$132:Y$152)&lt;'Titer Calculation'!$T$6),_xlfn.xlookup(MIN(Y$132:Y$152), Y$132:Y$152, $A$132:$A$152),AND(COUNT(I$10:I$16)&gt;=4,MIN(Y$97:Y$131)&lt;'Titer Calculation'!$T$6),_xlfn.xlookup(MIN(Y$97:Y$131), Y$97:Y$131, $A$97:$A$131),AND(COUNT(I$10:I$16)&gt;=3,MIN(Y$62:Y$96)&lt;'Titer Calculation'!$T$6),_xlfn.xlookup(MIN(Y$62:Y$96), Y$62:Y$96, $A$62:$A$96),AND(COUNT(I$10:I$16)&gt;=2,MIN(Y$41:Y$61)&lt;'Titer Calculation'!$T$6),_xlfn.xlookup(MIN(Y$41:Y$61), Y$41:Y$61, $A$41:$A$61), TRUE(), _xlfn.xlookup(MIN(Y$41:Y$160),Y$41:Y$160, $A$41:$A$160)), 1, 8,)</f>
        <v>#NAME?</v>
      </c>
      <c r="J29" s="215" t="e">
        <f aca="false" t="array" ref="J29:J29">REPLACE(_xlfn.IFS(AND(COUNT(J$10:J$16)&gt;=7,Z$160&lt;'Titer Calculation'!$T$6),$A$160,AND(COUNT(J$10:J$16)&gt;=6,MIN(Z$153:Z$159)&lt;'Titer Calculation'!$T$6),_xlfn.xlookup(MIN(Z$153:Z$159),Z$153:Z$159, $A$153:$A$159),AND(COUNT(J$10:J$16)&gt;=5,MIN(Z$132:Z$152)&lt;'Titer Calculation'!$T$6),_xlfn.xlookup(MIN(Z$132:Z$152), Z$132:Z$152, $A$132:$A$152),AND(COUNT(J$10:J$16)&gt;=4,MIN(Z$97:Z$131)&lt;'Titer Calculation'!$T$6),_xlfn.xlookup(MIN(Z$97:Z$131), Z$97:Z$131, $A$97:$A$131),AND(COUNT(J$10:J$16)&gt;=3,MIN(Z$62:Z$96)&lt;'Titer Calculation'!$T$6),_xlfn.xlookup(MIN(Z$62:Z$96), Z$62:Z$96, $A$62:$A$96),AND(COUNT(J$10:J$16)&gt;=2,MIN(Z$41:Z$61)&lt;'Titer Calculation'!$T$6),_xlfn.xlookup(MIN(Z$41:Z$61), Z$41:Z$61, $A$41:$A$61), TRUE(), _xlfn.xlookup(MIN(Z$41:Z$160),Z$41:Z$160, $A$41:$A$160)), 1, 8,)</f>
        <v>#NAME?</v>
      </c>
      <c r="K29" s="215" t="e">
        <f aca="false" t="array" ref="K29:K29">REPLACE(_xlfn.IFS(AND(COUNT(K$10:K$16)&gt;=7,AA$160&lt;'Titer Calculation'!$T$6),$A$160,AND(COUNT(K$10:K$16)&gt;=6,MIN(AA$153:AA$159)&lt;'Titer Calculation'!$T$6),_xlfn.xlookup(MIN(AA$153:AA$159),AA$153:AA$159, $A$153:$A$159),AND(COUNT(K$10:K$16)&gt;=5,MIN(AA$132:AA$152)&lt;'Titer Calculation'!$T$6),_xlfn.xlookup(MIN(AA$132:AA$152), AA$132:AA$152, $A$132:$A$152),AND(COUNT(K$10:K$16)&gt;=4,MIN(AA$97:AA$131)&lt;'Titer Calculation'!$T$6),_xlfn.xlookup(MIN(AA$97:AA$131), AA$97:AA$131, $A$97:$A$131),AND(COUNT(K$10:K$16)&gt;=3,MIN(AA$62:AA$96)&lt;'Titer Calculation'!$T$6),_xlfn.xlookup(MIN(AA$62:AA$96), AA$62:AA$96, $A$62:$A$96),AND(COUNT(K$10:K$16)&gt;=2,MIN(AA$41:AA$61)&lt;'Titer Calculation'!$T$6),_xlfn.xlookup(MIN(AA$41:AA$61), AA$41:AA$61, $A$41:$A$61), TRUE(), _xlfn.xlookup(MIN(AA$41:AA$160),AA$41:AA$160, $A$41:$A$160)), 1, 8,)</f>
        <v>#NAME?</v>
      </c>
      <c r="L29" s="215" t="e">
        <f aca="false" t="array" ref="L29:L29">REPLACE(_xlfn.IFS(AND(COUNT(L$10:L$16)&gt;=7,AB$160&lt;'Titer Calculation'!$T$6),$A$160,AND(COUNT(L$10:L$16)&gt;=6,MIN(AB$153:AB$159)&lt;'Titer Calculation'!$T$6),_xlfn.xlookup(MIN(AB$153:AB$159),AB$153:AB$159, $A$153:$A$159),AND(COUNT(L$10:L$16)&gt;=5,MIN(AB$132:AB$152)&lt;'Titer Calculation'!$T$6),_xlfn.xlookup(MIN(AB$132:AB$152), AB$132:AB$152, $A$132:$A$152),AND(COUNT(L$10:L$16)&gt;=4,MIN(AB$97:AB$131)&lt;'Titer Calculation'!$T$6),_xlfn.xlookup(MIN(AB$97:AB$131), AB$97:AB$131, $A$97:$A$131),AND(COUNT(L$10:L$16)&gt;=3,MIN(AB$62:AB$96)&lt;'Titer Calculation'!$T$6),_xlfn.xlookup(MIN(AB$62:AB$96), AB$62:AB$96, $A$62:$A$96),AND(COUNT(L$10:L$16)&gt;=2,MIN(AB$41:AB$61)&lt;'Titer Calculation'!$T$6),_xlfn.xlookup(MIN(AB$41:AB$61), AB$41:AB$61, $A$41:$A$61), TRUE(), _xlfn.xlookup(MIN(AB$41:AB$160),AB$41:AB$160, $A$41:$A$160)), 1, 8,)</f>
        <v>#NAME?</v>
      </c>
      <c r="M29" s="215" t="e">
        <f aca="false" t="array" ref="M29:M29">REPLACE(_xlfn.IFS(AND(COUNT(M$10:M$16)&gt;=7,AC$160&lt;'Titer Calculation'!$T$6),$A$160,AND(COUNT(M$10:M$16)&gt;=6,MIN(AC$153:AC$159)&lt;'Titer Calculation'!$T$6),_xlfn.xlookup(MIN(AC$153:AC$159),AC$153:AC$159, $A$153:$A$159),AND(COUNT(M$10:M$16)&gt;=5,MIN(AC$132:AC$152)&lt;'Titer Calculation'!$T$6),_xlfn.xlookup(MIN(AC$132:AC$152), AC$132:AC$152, $A$132:$A$152),AND(COUNT(M$10:M$16)&gt;=4,MIN(AC$97:AC$131)&lt;'Titer Calculation'!$T$6),_xlfn.xlookup(MIN(AC$97:AC$131), AC$97:AC$131, $A$97:$A$131),AND(COUNT(M$10:M$16)&gt;=3,MIN(AC$62:AC$96)&lt;'Titer Calculation'!$T$6),_xlfn.xlookup(MIN(AC$62:AC$96), AC$62:AC$96, $A$62:$A$96),AND(COUNT(M$10:M$16)&gt;=2,MIN(AC$41:AC$61)&lt;'Titer Calculation'!$T$6),_xlfn.xlookup(MIN(AC$41:AC$61), AC$41:AC$61, $A$41:$A$61), TRUE(), _xlfn.xlookup(MIN(AC$41:AC$160),AC$41:AC$160, $A$41:$A$160)), 1, 8,)</f>
        <v>#NAME?</v>
      </c>
      <c r="N29" s="215" t="e">
        <f aca="false" t="array" ref="N29:N29">REPLACE(_xlfn.IFS(AND(COUNT(N$10:N$16)&gt;=7,AD$160&lt;'Titer Calculation'!$T$6),$A$160,AND(COUNT(N$10:N$16)&gt;=6,MIN(AD$153:AD$159)&lt;'Titer Calculation'!$T$6),_xlfn.xlookup(MIN(AD$153:AD$159),AD$153:AD$159, $A$153:$A$159),AND(COUNT(N$10:N$16)&gt;=5,MIN(AD$132:AD$152)&lt;'Titer Calculation'!$T$6),_xlfn.xlookup(MIN(AD$132:AD$152), AD$132:AD$152, $A$132:$A$152),AND(COUNT(N$10:N$16)&gt;=4,MIN(AD$97:AD$131)&lt;'Titer Calculation'!$T$6),_xlfn.xlookup(MIN(AD$97:AD$131), AD$97:AD$131, $A$97:$A$131),AND(COUNT(N$10:N$16)&gt;=3,MIN(AD$62:AD$96)&lt;'Titer Calculation'!$T$6),_xlfn.xlookup(MIN(AD$62:AD$96), AD$62:AD$96, $A$62:$A$96),AND(COUNT(N$10:N$16)&gt;=2,MIN(AD$41:AD$61)&lt;'Titer Calculation'!$T$6),_xlfn.xlookup(MIN(AD$41:AD$61), AD$41:AD$61, $A$41:$A$61), TRUE(), _xlfn.xlookup(MIN(AD$41:AD$160),AD$41:AD$160, $A$41:$A$160)), 1, 8,)</f>
        <v>#NAME?</v>
      </c>
      <c r="O29" s="211"/>
      <c r="P29" s="44"/>
      <c r="Q29" s="83"/>
      <c r="R29" s="212"/>
      <c r="S29" s="44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157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75"/>
      <c r="AQ29" s="44"/>
      <c r="AR29" s="44"/>
      <c r="AS29" s="44"/>
    </row>
    <row r="30" customFormat="false" ht="15.75" hidden="false" customHeight="false" outlineLevel="0" collapsed="false">
      <c r="A30" s="213" t="s">
        <v>240</v>
      </c>
      <c r="B30" s="213"/>
      <c r="C30" s="214" t="e">
        <f aca="false" t="array" ref="C30:C30">_xlfn.IFS(AND(COUNT(C$10:C$16)&gt;=7,S$160&lt;'Titer Calculation'!$T$6),AG$160,AND(COUNT(C$10:C$16)&gt;=6,MIN(S$153:S$159)&lt;'Titer Calculation'!$T$6),_xlfn.xlookup(MIN(S$153:S$159),S$153:S$159,AG$153:AG$159),AND(COUNT(C$10:C$16)&gt;=5,MIN(S$132:S$152)&lt;'Titer Calculation'!$T$6),_xlfn.xlookup(MIN(S$132:S$152),S$132:S$152,AG$132:AG$152),AND(COUNT(C$10:C$16)&gt;=4,MIN(S$97:S$131)&lt;'Titer Calculation'!$T$6),_xlfn.xlookup(MIN(S$97:S$131),S$97:S$131,AG$97:AG$131),AND(COUNT(C$10:C$16)&gt;=3,MIN(S$62:S$96)&lt;'Titer Calculation'!$T$6),_xlfn.xlookup(MIN(S$62:S$96),S$62:S$96,AG$62:AG$96),AND(COUNT(C$10:C$16)&gt;=2,MIN(S$41:S$61)&lt;'Titer Calculation'!$T$6),_xlfn.xlookup(MIN(S$41:S$61),S$41:S$61,AG$41:AG$61),TRUE(),_xlfn.xlookup(MIN(S$41:S$160),S$41:S$160,AG$41:AG$160))</f>
        <v>#NAME?</v>
      </c>
      <c r="D30" s="214" t="e">
        <f aca="false" t="array" ref="D30:D30">_xlfn.IFS(AND(COUNT(D$10:D$16)&gt;=7,T$160&lt;'Titer Calculation'!$T$6),AH$160,AND(COUNT(D$10:D$16)&gt;=6,MIN(T$153:T$159)&lt;'Titer Calculation'!$T$6),_xlfn.xlookup(MIN(T$153:T$159),T$153:T$159,AH$153:AH$159),AND(COUNT(D$10:D$16)&gt;=5,MIN(T$132:T$152)&lt;'Titer Calculation'!$T$6),_xlfn.xlookup(MIN(T$132:T$152),T$132:T$152,AH$132:AH$152),AND(COUNT(D$10:D$16)&gt;=4,MIN(T$97:T$131)&lt;'Titer Calculation'!$T$6),_xlfn.xlookup(MIN(T$97:T$131),T$97:T$131,AH$97:AH$131),AND(COUNT(D$10:D$16)&gt;=3,MIN(T$62:T$96)&lt;'Titer Calculation'!$T$6),_xlfn.xlookup(MIN(T$62:T$96),T$62:T$96,AH$62:AH$96),AND(COUNT(D$10:D$16)&gt;=2,MIN(T$41:T$61)&lt;'Titer Calculation'!$T$6),_xlfn.xlookup(MIN(T$41:T$61),T$41:T$61,AH$41:AH$61),TRUE(),_xlfn.xlookup(MIN(T$41:T$160),T$41:T$160,AH$41:AH$160))</f>
        <v>#NAME?</v>
      </c>
      <c r="E30" s="214" t="e">
        <f aca="false" t="array" ref="E30:E30">_xlfn.IFS(AND(COUNT(E$10:E$16)&gt;=7,U$160&lt;'Titer Calculation'!$T$6),AI$160,AND(COUNT(E$10:E$16)&gt;=6,MIN(U$153:U$159)&lt;'Titer Calculation'!$T$6),_xlfn.xlookup(MIN(U$153:U$159),U$153:U$159,AI$153:AI$159),AND(COUNT(E$10:E$16)&gt;=5,MIN(U$132:U$152)&lt;'Titer Calculation'!$T$6),_xlfn.xlookup(MIN(U$132:U$152),U$132:U$152,AI$132:AI$152),AND(COUNT(E$10:E$16)&gt;=4,MIN(U$97:U$131)&lt;'Titer Calculation'!$T$6),_xlfn.xlookup(MIN(U$97:U$131),U$97:U$131,AI$97:AI$131),AND(COUNT(E$10:E$16)&gt;=3,MIN(U$62:U$96)&lt;'Titer Calculation'!$T$6),_xlfn.xlookup(MIN(U$62:U$96),U$62:U$96,AI$62:AI$96),AND(COUNT(E$10:E$16)&gt;=2,MIN(U$41:U$61)&lt;'Titer Calculation'!$T$6),_xlfn.xlookup(MIN(U$41:U$61),U$41:U$61,AI$41:AI$61),TRUE(),_xlfn.xlookup(MIN(U$41:U$160),U$41:U$160,AI$41:AI$160))</f>
        <v>#NAME?</v>
      </c>
      <c r="F30" s="214" t="e">
        <f aca="false" t="array" ref="F30:F30">_xlfn.IFS(AND(COUNT(F$10:F$16)&gt;=7,V$160&lt;'Titer Calculation'!$T$6),AJ$160,AND(COUNT(F$10:F$16)&gt;=6,MIN(V$153:V$159)&lt;'Titer Calculation'!$T$6),_xlfn.xlookup(MIN(V$153:V$159),V$153:V$159,AJ$153:AJ$159),AND(COUNT(F$10:F$16)&gt;=5,MIN(V$132:V$152)&lt;'Titer Calculation'!$T$6),_xlfn.xlookup(MIN(V$132:V$152),V$132:V$152,AJ$132:AJ$152),AND(COUNT(F$10:F$16)&gt;=4,MIN(V$97:V$131)&lt;'Titer Calculation'!$T$6),_xlfn.xlookup(MIN(V$97:V$131),V$97:V$131,AJ$97:AJ$131),AND(COUNT(F$10:F$16)&gt;=3,MIN(V$62:V$96)&lt;'Titer Calculation'!$T$6),_xlfn.xlookup(MIN(V$62:V$96),V$62:V$96,AJ$62:AJ$96),AND(COUNT(F$10:F$16)&gt;=2,MIN(V$41:V$61)&lt;'Titer Calculation'!$T$6),_xlfn.xlookup(MIN(V$41:V$61),V$41:V$61,AJ$41:AJ$61),TRUE(),_xlfn.xlookup(MIN(V$41:V$160),V$41:V$160,AJ$41:AJ$160))</f>
        <v>#NAME?</v>
      </c>
      <c r="G30" s="214" t="e">
        <f aca="false" t="array" ref="G30:G30">_xlfn.IFS(AND(COUNT(G$10:G$16)&gt;=7,W$160&lt;'Titer Calculation'!$T$6),AK$160,AND(COUNT(G$10:G$16)&gt;=6,MIN(W$153:W$159)&lt;'Titer Calculation'!$T$6),_xlfn.xlookup(MIN(W$153:W$159),W$153:W$159,AK$153:AK$159),AND(COUNT(G$10:G$16)&gt;=5,MIN(W$132:W$152)&lt;'Titer Calculation'!$T$6),_xlfn.xlookup(MIN(W$132:W$152),W$132:W$152,AK$132:AK$152),AND(COUNT(G$10:G$16)&gt;=4,MIN(W$97:W$131)&lt;'Titer Calculation'!$T$6),_xlfn.xlookup(MIN(W$97:W$131),W$97:W$131,AK$97:AK$131),AND(COUNT(G$10:G$16)&gt;=3,MIN(W$62:W$96)&lt;'Titer Calculation'!$T$6),_xlfn.xlookup(MIN(W$62:W$96),W$62:W$96,AK$62:AK$96),AND(COUNT(G$10:G$16)&gt;=2,MIN(W$41:W$61)&lt;'Titer Calculation'!$T$6),_xlfn.xlookup(MIN(W$41:W$61),W$41:W$61,AK$41:AK$61),TRUE(),_xlfn.xlookup(MIN(W$41:W$160),W$41:W$160,AK$41:AK$160))</f>
        <v>#NAME?</v>
      </c>
      <c r="H30" s="214" t="e">
        <f aca="false" t="array" ref="H30:H30">_xlfn.IFS(AND(COUNT(H$10:H$16)&gt;=7,X$160&lt;'Titer Calculation'!$T$6),AL$160,AND(COUNT(H$10:H$16)&gt;=6,MIN(X$153:X$159)&lt;'Titer Calculation'!$T$6),_xlfn.xlookup(MIN(X$153:X$159),X$153:X$159,AL$153:AL$159),AND(COUNT(H$10:H$16)&gt;=5,MIN(X$132:X$152)&lt;'Titer Calculation'!$T$6),_xlfn.xlookup(MIN(X$132:X$152),X$132:X$152,AL$132:AL$152),AND(COUNT(H$10:H$16)&gt;=4,MIN(X$97:X$131)&lt;'Titer Calculation'!$T$6),_xlfn.xlookup(MIN(X$97:X$131),X$97:X$131,AL$97:AL$131),AND(COUNT(H$10:H$16)&gt;=3,MIN(X$62:X$96)&lt;'Titer Calculation'!$T$6),_xlfn.xlookup(MIN(X$62:X$96),X$62:X$96,AL$62:AL$96),AND(COUNT(H$10:H$16)&gt;=2,MIN(X$41:X$61)&lt;'Titer Calculation'!$T$6),_xlfn.xlookup(MIN(X$41:X$61),X$41:X$61,AL$41:AL$61),TRUE(),_xlfn.xlookup(MIN(X$41:X$160),X$41:X$160,AL$41:AL$160))</f>
        <v>#NAME?</v>
      </c>
      <c r="I30" s="214" t="e">
        <f aca="false" t="array" ref="I30:I30">_xlfn.IFS(AND(COUNT(I$10:I$16)&gt;=7,Y$160&lt;'Titer Calculation'!$T$6),AM$160,AND(COUNT(I$10:I$16)&gt;=6,MIN(Y$153:Y$159)&lt;'Titer Calculation'!$T$6),_xlfn.xlookup(MIN(Y$153:Y$159),Y$153:Y$159,AM$153:AM$159),AND(COUNT(I$10:I$16)&gt;=5,MIN(Y$132:Y$152)&lt;'Titer Calculation'!$T$6),_xlfn.xlookup(MIN(Y$132:Y$152),Y$132:Y$152,AM$132:AM$152),AND(COUNT(I$10:I$16)&gt;=4,MIN(Y$97:Y$131)&lt;'Titer Calculation'!$T$6),_xlfn.xlookup(MIN(Y$97:Y$131),Y$97:Y$131,AM$97:AM$131),AND(COUNT(I$10:I$16)&gt;=3,MIN(Y$62:Y$96)&lt;'Titer Calculation'!$T$6),_xlfn.xlookup(MIN(Y$62:Y$96),Y$62:Y$96,AM$62:AM$96),AND(COUNT(I$10:I$16)&gt;=2,MIN(Y$41:Y$61)&lt;'Titer Calculation'!$T$6),_xlfn.xlookup(MIN(Y$41:Y$61),Y$41:Y$61,AM$41:AM$61),TRUE(),_xlfn.xlookup(MIN(Y$41:Y$160),Y$41:Y$160,AM$41:AM$160))</f>
        <v>#NAME?</v>
      </c>
      <c r="J30" s="214" t="e">
        <f aca="false" t="array" ref="J30:J30">_xlfn.IFS(AND(COUNT(J$10:J$16)&gt;=7,Z$160&lt;'Titer Calculation'!$T$6),AN$160,AND(COUNT(J$10:J$16)&gt;=6,MIN(Z$153:Z$159)&lt;'Titer Calculation'!$T$6),_xlfn.xlookup(MIN(Z$153:Z$159),Z$153:Z$159,AN$153:AN$159),AND(COUNT(J$10:J$16)&gt;=5,MIN(Z$132:Z$152)&lt;'Titer Calculation'!$T$6),_xlfn.xlookup(MIN(Z$132:Z$152),Z$132:Z$152,AN$132:AN$152),AND(COUNT(J$10:J$16)&gt;=4,MIN(Z$97:Z$131)&lt;'Titer Calculation'!$T$6),_xlfn.xlookup(MIN(Z$97:Z$131),Z$97:Z$131,AN$97:AN$131),AND(COUNT(J$10:J$16)&gt;=3,MIN(Z$62:Z$96)&lt;'Titer Calculation'!$T$6),_xlfn.xlookup(MIN(Z$62:Z$96),Z$62:Z$96,AN$62:AN$96),AND(COUNT(J$10:J$16)&gt;=2,MIN(Z$41:Z$61)&lt;'Titer Calculation'!$T$6),_xlfn.xlookup(MIN(Z$41:Z$61),Z$41:Z$61,AN$41:AN$61),TRUE(),_xlfn.xlookup(MIN(Z$41:Z$160),Z$41:Z$160,AN$41:AN$160))</f>
        <v>#NAME?</v>
      </c>
      <c r="K30" s="214" t="e">
        <f aca="false" t="array" ref="K30:K30">_xlfn.IFS(AND(COUNT(K$10:K$16)&gt;=7,AA$160&lt;'Titer Calculation'!$T$6),AO$160,AND(COUNT(K$10:K$16)&gt;=6,MIN(AA$153:AA$159)&lt;'Titer Calculation'!$T$6),_xlfn.xlookup(MIN(AA$153:AA$159),AA$153:AA$159,AO$153:AO$159),AND(COUNT(K$10:K$16)&gt;=5,MIN(AA$132:AA$152)&lt;'Titer Calculation'!$T$6),_xlfn.xlookup(MIN(AA$132:AA$152),AA$132:AA$152,AO$132:AO$152),AND(COUNT(K$10:K$16)&gt;=4,MIN(AA$97:AA$131)&lt;'Titer Calculation'!$T$6),_xlfn.xlookup(MIN(AA$97:AA$131),AA$97:AA$131,AO$97:AO$131),AND(COUNT(K$10:K$16)&gt;=3,MIN(AA$62:AA$96)&lt;'Titer Calculation'!$T$6),_xlfn.xlookup(MIN(AA$62:AA$96),AA$62:AA$96,AO$62:AO$96),AND(COUNT(K$10:K$16)&gt;=2,MIN(AA$41:AA$61)&lt;'Titer Calculation'!$T$6),_xlfn.xlookup(MIN(AA$41:AA$61),AA$41:AA$61,AO$41:AO$61),TRUE(),_xlfn.xlookup(MIN(AA$41:AA$160),AA$41:AA$160,AO$41:AO$160))</f>
        <v>#NAME?</v>
      </c>
      <c r="L30" s="214" t="e">
        <f aca="false" t="array" ref="L30:L30">_xlfn.IFS(AND(COUNT(L$10:L$16)&gt;=7,AB$160&lt;'Titer Calculation'!$T$6),AP$160,AND(COUNT(L$10:L$16)&gt;=6,MIN(AB$153:AB$159)&lt;'Titer Calculation'!$T$6),_xlfn.xlookup(MIN(AB$153:AB$159),AB$153:AB$159,AP$153:AP$159),AND(COUNT(L$10:L$16)&gt;=5,MIN(AB$132:AB$152)&lt;'Titer Calculation'!$T$6),_xlfn.xlookup(MIN(AB$132:AB$152),AB$132:AB$152,AP$132:AP$152),AND(COUNT(L$10:L$16)&gt;=4,MIN(AB$97:AB$131)&lt;'Titer Calculation'!$T$6),_xlfn.xlookup(MIN(AB$97:AB$131),AB$97:AB$131,AP$97:AP$131),AND(COUNT(L$10:L$16)&gt;=3,MIN(AB$62:AB$96)&lt;'Titer Calculation'!$T$6),_xlfn.xlookup(MIN(AB$62:AB$96),AB$62:AB$96,AP$62:AP$96),AND(COUNT(L$10:L$16)&gt;=2,MIN(AB$41:AB$61)&lt;'Titer Calculation'!$T$6),_xlfn.xlookup(MIN(AB$41:AB$61),AB$41:AB$61,AP$41:AP$61),TRUE(),_xlfn.xlookup(MIN(AB$41:AB$160),AB$41:AB$160,AP$41:AP$160))</f>
        <v>#NAME?</v>
      </c>
      <c r="M30" s="214" t="e">
        <f aca="false" t="array" ref="M30:M30">_xlfn.IFS(AND(COUNT(M$10:M$16)&gt;=7,AC$160&lt;'Titer Calculation'!$T$6),AQ$160,AND(COUNT(M$10:M$16)&gt;=6,MIN(AC$153:AC$159)&lt;'Titer Calculation'!$T$6),_xlfn.xlookup(MIN(AC$153:AC$159),AC$153:AC$159,AQ$153:AQ$159),AND(COUNT(M$10:M$16)&gt;=5,MIN(AC$132:AC$152)&lt;'Titer Calculation'!$T$6),_xlfn.xlookup(MIN(AC$132:AC$152),AC$132:AC$152,AQ$132:AQ$152),AND(COUNT(M$10:M$16)&gt;=4,MIN(AC$97:AC$131)&lt;'Titer Calculation'!$T$6),_xlfn.xlookup(MIN(AC$97:AC$131),AC$97:AC$131,AQ$97:AQ$131),AND(COUNT(M$10:M$16)&gt;=3,MIN(AC$62:AC$96)&lt;'Titer Calculation'!$T$6),_xlfn.xlookup(MIN(AC$62:AC$96),AC$62:AC$96,AQ$62:AQ$96),AND(COUNT(M$10:M$16)&gt;=2,MIN(AC$41:AC$61)&lt;'Titer Calculation'!$T$6),_xlfn.xlookup(MIN(AC$41:AC$61),AC$41:AC$61,AQ$41:AQ$61),TRUE(),_xlfn.xlookup(MIN(AC$41:AC$160),AC$41:AC$160,AQ$41:AQ$160))</f>
        <v>#NAME?</v>
      </c>
      <c r="N30" s="214" t="e">
        <f aca="false" t="array" ref="N30:N30">_xlfn.IFS(AND(COUNT(N$10:N$16)&gt;=7,AD$160&lt;'Titer Calculation'!$T$6),AR$160,AND(COUNT(N$10:N$16)&gt;=6,MIN(AD$153:AD$159)&lt;'Titer Calculation'!$T$6),_xlfn.xlookup(MIN(AD$153:AD$159),AD$153:AD$159,AR$153:AR$159),AND(COUNT(N$10:N$16)&gt;=5,MIN(AD$132:AD$152)&lt;'Titer Calculation'!$T$6),_xlfn.xlookup(MIN(AD$132:AD$152),AD$132:AD$152,AR$132:AR$152),AND(COUNT(N$10:N$16)&gt;=4,MIN(AD$97:AD$131)&lt;'Titer Calculation'!$T$6),_xlfn.xlookup(MIN(AD$97:AD$131),AD$97:AD$131,AR$97:AR$131),AND(COUNT(N$10:N$16)&gt;=3,MIN(AD$62:AD$96)&lt;'Titer Calculation'!$T$6),_xlfn.xlookup(MIN(AD$62:AD$96),AD$62:AD$96,AR$62:AR$96),AND(COUNT(N$10:N$16)&gt;=2,MIN(AD$41:AD$61)&lt;'Titer Calculation'!$T$6),_xlfn.xlookup(MIN(AD$41:AD$61),AD$41:AD$61,AR$41:AR$61),TRUE(),_xlfn.xlookup(MIN(AD$41:AD$160),AD$41:AD$160,AR$41:AR$160))</f>
        <v>#NAME?</v>
      </c>
      <c r="O30" s="211"/>
      <c r="P30" s="44"/>
      <c r="Q30" s="83"/>
      <c r="R30" s="212"/>
      <c r="S30" s="44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157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75"/>
      <c r="AQ30" s="44"/>
      <c r="AR30" s="44"/>
      <c r="AS30" s="44"/>
    </row>
    <row r="31" customFormat="false" ht="15.75" hidden="false" customHeight="false" outlineLevel="0" collapsed="false">
      <c r="A31" s="213" t="s">
        <v>241</v>
      </c>
      <c r="B31" s="213"/>
      <c r="C31" s="216" t="n">
        <f aca="false" t="array" ref="C31:C31">_xlfn.IFS(AND(COUNT(C$10:C$16)&gt;=7,S$160&lt;'Titer Calculation'!$T$6),S$160,AND(COUNT(C$10:C$16)&gt;=6,MIN(S$153:S$159)&lt;'Titer Calculation'!$T$6),MIN(S$153:S$159),AND(COUNT(C$10:C$16)&gt;=5,MIN(S$132:S$152)&lt;'Titer Calculation'!$T$6),MIN(S$132:S$152),AND(COUNT(C$10:C$16)&gt;=4,MIN(S$97:S$131)&lt;'Titer Calculation'!$T$6),MIN(S$97:S$131),AND(COUNT(C$10:C$16)&gt;=3,MIN(S$62:S$96)&lt;'Titer Calculation'!$T$6),MIN(S$62:S$96),AND(COUNT(C$10:C$16)&gt;=2,MIN(S$41:S$61)&lt;'Titer Calculation'!$T$6),MIN(S$41:S$61),TRUE(),MIN(S$41:S160))</f>
        <v>0</v>
      </c>
      <c r="D31" s="216" t="n">
        <f aca="false" t="array" ref="D31:D31">_xlfn.IFS(AND(COUNT(D$10:D$16)&gt;=7,T$160&lt;'Titer Calculation'!$T$6),T$160,AND(COUNT(D$10:D$16)&gt;=6,MIN(T$153:T$159)&lt;'Titer Calculation'!$T$6),MIN(T$153:T$159),AND(COUNT(D$10:D$16)&gt;=5,MIN(T$132:T$152)&lt;'Titer Calculation'!$T$6),MIN(T$132:T$152),AND(COUNT(D$10:D$16)&gt;=4,MIN(T$97:T$131)&lt;'Titer Calculation'!$T$6),MIN(T$97:T$131),AND(COUNT(D$10:D$16)&gt;=3,MIN(T$62:T$96)&lt;'Titer Calculation'!$T$6),MIN(T$62:T$96),AND(COUNT(D$10:D$16)&gt;=2,MIN(T$41:T$61)&lt;'Titer Calculation'!$T$6),MIN(T$41:T$61),TRUE(),MIN(T$41:T160))</f>
        <v>0</v>
      </c>
      <c r="E31" s="216" t="n">
        <f aca="false" t="array" ref="E31:E31">_xlfn.IFS(AND(COUNT(E$10:E$16)&gt;=7,U$160&lt;'Titer Calculation'!$T$6),U$160,AND(COUNT(E$10:E$16)&gt;=6,MIN(U$153:U$159)&lt;'Titer Calculation'!$T$6),MIN(U$153:U$159),AND(COUNT(E$10:E$16)&gt;=5,MIN(U$132:U$152)&lt;'Titer Calculation'!$T$6),MIN(U$132:U$152),AND(COUNT(E$10:E$16)&gt;=4,MIN(U$97:U$131)&lt;'Titer Calculation'!$T$6),MIN(U$97:U$131),AND(COUNT(E$10:E$16)&gt;=3,MIN(U$62:U$96)&lt;'Titer Calculation'!$T$6),MIN(U$62:U$96),AND(COUNT(E$10:E$16)&gt;=2,MIN(U$41:U$61)&lt;'Titer Calculation'!$T$6),MIN(U$41:U$61),TRUE(),MIN(U$41:U160))</f>
        <v>0</v>
      </c>
      <c r="F31" s="216" t="n">
        <f aca="false" t="array" ref="F31:F31">_xlfn.IFS(AND(COUNT(F$10:F$16)&gt;=7,V$160&lt;'Titer Calculation'!$T$6),V$160,AND(COUNT(F$10:F$16)&gt;=6,MIN(V$153:V$159)&lt;'Titer Calculation'!$T$6),MIN(V$153:V$159),AND(COUNT(F$10:F$16)&gt;=5,MIN(V$132:V$152)&lt;'Titer Calculation'!$T$6),MIN(V$132:V$152),AND(COUNT(F$10:F$16)&gt;=4,MIN(V$97:V$131)&lt;'Titer Calculation'!$T$6),MIN(V$97:V$131),AND(COUNT(F$10:F$16)&gt;=3,MIN(V$62:V$96)&lt;'Titer Calculation'!$T$6),MIN(V$62:V$96),AND(COUNT(F$10:F$16)&gt;=2,MIN(V$41:V$61)&lt;'Titer Calculation'!$T$6),MIN(V$41:V$61),TRUE(),MIN(V$41:V160))</f>
        <v>0</v>
      </c>
      <c r="G31" s="216" t="n">
        <f aca="false" t="array" ref="G31:G31">_xlfn.IFS(AND(COUNT(G$10:G$16)&gt;=7,W$160&lt;'Titer Calculation'!$T$6),W$160,AND(COUNT(G$10:G$16)&gt;=6,MIN(W$153:W$159)&lt;'Titer Calculation'!$T$6),MIN(W$153:W$159),AND(COUNT(G$10:G$16)&gt;=5,MIN(W$132:W$152)&lt;'Titer Calculation'!$T$6),MIN(W$132:W$152),AND(COUNT(G$10:G$16)&gt;=4,MIN(W$97:W$131)&lt;'Titer Calculation'!$T$6),MIN(W$97:W$131),AND(COUNT(G$10:G$16)&gt;=3,MIN(W$62:W$96)&lt;'Titer Calculation'!$T$6),MIN(W$62:W$96),AND(COUNT(G$10:G$16)&gt;=2,MIN(W$41:W$61)&lt;'Titer Calculation'!$T$6),MIN(W$41:W$61),TRUE(),MIN(W$41:W160))</f>
        <v>0</v>
      </c>
      <c r="H31" s="216" t="n">
        <f aca="false" t="array" ref="H31:H31">_xlfn.IFS(AND(COUNT(H$10:H$16)&gt;=7,X$160&lt;'Titer Calculation'!$T$6),X$160,AND(COUNT(H$10:H$16)&gt;=6,MIN(X$153:X$159)&lt;'Titer Calculation'!$T$6),MIN(X$153:X$159),AND(COUNT(H$10:H$16)&gt;=5,MIN(X$132:X$152)&lt;'Titer Calculation'!$T$6),MIN(X$132:X$152),AND(COUNT(H$10:H$16)&gt;=4,MIN(X$97:X$131)&lt;'Titer Calculation'!$T$6),MIN(X$97:X$131),AND(COUNT(H$10:H$16)&gt;=3,MIN(X$62:X$96)&lt;'Titer Calculation'!$T$6),MIN(X$62:X$96),AND(COUNT(H$10:H$16)&gt;=2,MIN(X$41:X$61)&lt;'Titer Calculation'!$T$6),MIN(X$41:X$61),TRUE(),MIN(X$41:X160))</f>
        <v>0</v>
      </c>
      <c r="I31" s="216" t="n">
        <f aca="false" t="array" ref="I31:I31">_xlfn.IFS(AND(COUNT(I$10:I$16)&gt;=7,Y$160&lt;'Titer Calculation'!$T$6),Y$160,AND(COUNT(I$10:I$16)&gt;=6,MIN(Y$153:Y$159)&lt;'Titer Calculation'!$T$6),MIN(Y$153:Y$159),AND(COUNT(I$10:I$16)&gt;=5,MIN(Y$132:Y$152)&lt;'Titer Calculation'!$T$6),MIN(Y$132:Y$152),AND(COUNT(I$10:I$16)&gt;=4,MIN(Y$97:Y$131)&lt;'Titer Calculation'!$T$6),MIN(Y$97:Y$131),AND(COUNT(I$10:I$16)&gt;=3,MIN(Y$62:Y$96)&lt;'Titer Calculation'!$T$6),MIN(Y$62:Y$96),AND(COUNT(I$10:I$16)&gt;=2,MIN(Y$41:Y$61)&lt;'Titer Calculation'!$T$6),MIN(Y$41:Y$61),TRUE(),MIN(Y$41:Y160))</f>
        <v>0</v>
      </c>
      <c r="J31" s="216" t="n">
        <f aca="false" t="array" ref="J31:J31">_xlfn.IFS(AND(COUNT(J$10:J$16)&gt;=7,Z$160&lt;'Titer Calculation'!$T$6),Z$160,AND(COUNT(J$10:J$16)&gt;=6,MIN(Z$153:Z$159)&lt;'Titer Calculation'!$T$6),MIN(Z$153:Z$159),AND(COUNT(J$10:J$16)&gt;=5,MIN(Z$132:Z$152)&lt;'Titer Calculation'!$T$6),MIN(Z$132:Z$152),AND(COUNT(J$10:J$16)&gt;=4,MIN(Z$97:Z$131)&lt;'Titer Calculation'!$T$6),MIN(Z$97:Z$131),AND(COUNT(J$10:J$16)&gt;=3,MIN(Z$62:Z$96)&lt;'Titer Calculation'!$T$6),MIN(Z$62:Z$96),AND(COUNT(J$10:J$16)&gt;=2,MIN(Z$41:Z$61)&lt;'Titer Calculation'!$T$6),MIN(Z$41:Z$61),TRUE(),MIN(Z$41:Z160))</f>
        <v>0</v>
      </c>
      <c r="K31" s="216" t="n">
        <f aca="false" t="array" ref="K31:K31">_xlfn.IFS(AND(COUNT(K$10:K$16)&gt;=7,AA$160&lt;'Titer Calculation'!$T$6),AA$160,AND(COUNT(K$10:K$16)&gt;=6,MIN(AA$153:AA$159)&lt;'Titer Calculation'!$T$6),MIN(AA$153:AA$159),AND(COUNT(K$10:K$16)&gt;=5,MIN(AA$132:AA$152)&lt;'Titer Calculation'!$T$6),MIN(AA$132:AA$152),AND(COUNT(K$10:K$16)&gt;=4,MIN(AA$97:AA$131)&lt;'Titer Calculation'!$T$6),MIN(AA$97:AA$131),AND(COUNT(K$10:K$16)&gt;=3,MIN(AA$62:AA$96)&lt;'Titer Calculation'!$T$6),MIN(AA$62:AA$96),AND(COUNT(K$10:K$16)&gt;=2,MIN(AA$41:AA$61)&lt;'Titer Calculation'!$T$6),MIN(AA$41:AA$61),TRUE(),MIN(AA$41:AA160))</f>
        <v>0</v>
      </c>
      <c r="L31" s="216" t="n">
        <f aca="false" t="array" ref="L31:L31">_xlfn.IFS(AND(COUNT(L$10:L$16)&gt;=7,AB$160&lt;'Titer Calculation'!$T$6),AB$160,AND(COUNT(L$10:L$16)&gt;=6,MIN(AB$153:AB$159)&lt;'Titer Calculation'!$T$6),MIN(AB$153:AB$159),AND(COUNT(L$10:L$16)&gt;=5,MIN(AB$132:AB$152)&lt;'Titer Calculation'!$T$6),MIN(AB$132:AB$152),AND(COUNT(L$10:L$16)&gt;=4,MIN(AB$97:AB$131)&lt;'Titer Calculation'!$T$6),MIN(AB$97:AB$131),AND(COUNT(L$10:L$16)&gt;=3,MIN(AB$62:AB$96)&lt;'Titer Calculation'!$T$6),MIN(AB$62:AB$96),AND(COUNT(L$10:L$16)&gt;=2,MIN(AB$41:AB$61)&lt;'Titer Calculation'!$T$6),MIN(AB$41:AB$61),TRUE(),MIN(AB$41:AB160))</f>
        <v>0</v>
      </c>
      <c r="M31" s="216" t="n">
        <f aca="false" t="array" ref="M31:M31">_xlfn.IFS(AND(COUNT(M$10:M$16)&gt;=7,AC$160&lt;'Titer Calculation'!$T$6),AC$160,AND(COUNT(M$10:M$16)&gt;=6,MIN(AC$153:AC$159)&lt;'Titer Calculation'!$T$6),MIN(AC$153:AC$159),AND(COUNT(M$10:M$16)&gt;=5,MIN(AC$132:AC$152)&lt;'Titer Calculation'!$T$6),MIN(AC$132:AC$152),AND(COUNT(M$10:M$16)&gt;=4,MIN(AC$97:AC$131)&lt;'Titer Calculation'!$T$6),MIN(AC$97:AC$131),AND(COUNT(M$10:M$16)&gt;=3,MIN(AC$62:AC$96)&lt;'Titer Calculation'!$T$6),MIN(AC$62:AC$96),AND(COUNT(M$10:M$16)&gt;=2,MIN(AC$41:AC$61)&lt;'Titer Calculation'!$T$6),MIN(AC$41:AC$61),TRUE(),MIN(AC$41:AC160))</f>
        <v>0</v>
      </c>
      <c r="N31" s="216" t="n">
        <f aca="false" t="array" ref="N31:N31">_xlfn.IFS(AND(COUNT(N$10:N$16)&gt;=7,AD$160&lt;'Titer Calculation'!$T$6),AD$160,AND(COUNT(N$10:N$16)&gt;=6,MIN(AD$153:AD$159)&lt;'Titer Calculation'!$T$6),MIN(AD$153:AD$159),AND(COUNT(N$10:N$16)&gt;=5,MIN(AD$132:AD$152)&lt;'Titer Calculation'!$T$6),MIN(AD$132:AD$152),AND(COUNT(N$10:N$16)&gt;=4,MIN(AD$97:AD$131)&lt;'Titer Calculation'!$T$6),MIN(AD$97:AD$131),AND(COUNT(N$10:N$16)&gt;=3,MIN(AD$62:AD$96)&lt;'Titer Calculation'!$T$6),MIN(AD$62:AD$96),AND(COUNT(N$10:N$16)&gt;=2,MIN(AD$41:AD$61)&lt;'Titer Calculation'!$T$6),MIN(AD$41:AD$61),TRUE(),MIN(AD$41:AD160))</f>
        <v>0</v>
      </c>
      <c r="O31" s="211"/>
      <c r="P31" s="44"/>
      <c r="Q31" s="83"/>
      <c r="R31" s="212"/>
      <c r="S31" s="44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157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75"/>
      <c r="AQ31" s="44"/>
      <c r="AR31" s="44"/>
      <c r="AS31" s="44"/>
    </row>
    <row r="32" customFormat="false" ht="15.75" hidden="false" customHeight="false" outlineLevel="0" collapsed="false">
      <c r="A32" s="42"/>
      <c r="B32" s="42"/>
      <c r="C32" s="217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211"/>
      <c r="P32" s="44"/>
      <c r="Q32" s="83"/>
      <c r="R32" s="212"/>
      <c r="S32" s="44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157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75"/>
      <c r="AQ32" s="44"/>
      <c r="AR32" s="44"/>
      <c r="AS32" s="44"/>
    </row>
    <row r="33" customFormat="false" ht="15.75" hidden="false" customHeight="false" outlineLevel="0" collapsed="false">
      <c r="A33" s="42"/>
      <c r="B33" s="42"/>
      <c r="C33" s="217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211"/>
      <c r="P33" s="44"/>
      <c r="Q33" s="83"/>
      <c r="R33" s="212"/>
      <c r="S33" s="44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157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75"/>
      <c r="AQ33" s="44"/>
      <c r="AR33" s="44"/>
      <c r="AS33" s="44"/>
    </row>
    <row r="34" customFormat="false" ht="15.75" hidden="false" customHeight="false" outlineLevel="0" collapsed="false">
      <c r="A34" s="42"/>
      <c r="B34" s="42"/>
      <c r="C34" s="217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211"/>
      <c r="P34" s="44"/>
      <c r="Q34" s="83"/>
      <c r="R34" s="212"/>
      <c r="S34" s="44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157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75"/>
      <c r="AQ34" s="44"/>
      <c r="AR34" s="44"/>
      <c r="AS34" s="44"/>
    </row>
    <row r="35" customFormat="false" ht="15.75" hidden="false" customHeight="false" outlineLevel="0" collapsed="false">
      <c r="A35" s="42"/>
      <c r="B35" s="42"/>
      <c r="C35" s="217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211"/>
      <c r="P35" s="44"/>
      <c r="Q35" s="83"/>
      <c r="R35" s="212"/>
      <c r="S35" s="44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157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75"/>
      <c r="AQ35" s="44"/>
      <c r="AR35" s="44"/>
      <c r="AS35" s="44"/>
    </row>
    <row r="36" customFormat="false" ht="15.75" hidden="false" customHeight="false" outlineLevel="0" collapsed="false">
      <c r="A36" s="42"/>
      <c r="B36" s="42"/>
      <c r="C36" s="217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211"/>
      <c r="P36" s="44"/>
      <c r="Q36" s="83"/>
      <c r="R36" s="212"/>
      <c r="S36" s="44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157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75"/>
      <c r="AQ36" s="44"/>
      <c r="AR36" s="44"/>
      <c r="AS36" s="44"/>
    </row>
    <row r="37" customFormat="false" ht="15.75" hidden="false" customHeight="false" outlineLevel="0" collapsed="false">
      <c r="A37" s="42"/>
      <c r="B37" s="42"/>
      <c r="C37" s="217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211"/>
      <c r="P37" s="44"/>
      <c r="Q37" s="83"/>
      <c r="R37" s="42" t="s">
        <v>279</v>
      </c>
      <c r="S37" s="44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157"/>
      <c r="AF37" s="42" t="s">
        <v>279</v>
      </c>
      <c r="AG37" s="44"/>
      <c r="AH37" s="44"/>
      <c r="AI37" s="44"/>
      <c r="AJ37" s="44"/>
      <c r="AK37" s="44"/>
      <c r="AL37" s="44"/>
      <c r="AM37" s="44"/>
      <c r="AN37" s="44"/>
      <c r="AO37" s="44"/>
      <c r="AP37" s="75"/>
      <c r="AQ37" s="44"/>
      <c r="AR37" s="44"/>
      <c r="AS37" s="44"/>
    </row>
    <row r="38" customFormat="false" ht="20.25" hidden="false" customHeight="false" outlineLevel="0" collapsed="false">
      <c r="A38" s="42"/>
      <c r="B38" s="42"/>
      <c r="C38" s="217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211"/>
      <c r="P38" s="44"/>
      <c r="Q38" s="83"/>
      <c r="R38" s="218" t="s">
        <v>214</v>
      </c>
      <c r="S38" s="44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157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75"/>
      <c r="AQ38" s="44"/>
      <c r="AR38" s="44"/>
      <c r="AS38" s="44"/>
    </row>
    <row r="39" customFormat="false" ht="15.75" hidden="false" customHeight="false" outlineLevel="0" collapsed="false">
      <c r="A39" s="42" t="s">
        <v>279</v>
      </c>
      <c r="B39" s="42"/>
      <c r="C39" s="21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211"/>
      <c r="P39" s="44"/>
      <c r="Q39" s="83"/>
      <c r="R39" s="120" t="s">
        <v>280</v>
      </c>
      <c r="S39" s="44"/>
      <c r="T39" s="120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157"/>
      <c r="AF39" s="44" t="s">
        <v>281</v>
      </c>
      <c r="AG39" s="44"/>
      <c r="AH39" s="44"/>
      <c r="AI39" s="44"/>
      <c r="AJ39" s="44"/>
      <c r="AK39" s="44"/>
      <c r="AL39" s="44"/>
      <c r="AM39" s="44"/>
      <c r="AN39" s="44"/>
      <c r="AO39" s="44"/>
      <c r="AP39" s="75"/>
      <c r="AQ39" s="44"/>
      <c r="AR39" s="44"/>
      <c r="AS39" s="44"/>
    </row>
    <row r="40" customFormat="false" ht="15.75" hidden="false" customHeight="false" outlineLevel="0" collapsed="false">
      <c r="A40" s="42" t="s">
        <v>282</v>
      </c>
      <c r="B40" s="42"/>
      <c r="C40" s="75" t="n">
        <v>1</v>
      </c>
      <c r="D40" s="75" t="n">
        <v>2</v>
      </c>
      <c r="E40" s="75" t="n">
        <v>3</v>
      </c>
      <c r="F40" s="75" t="n">
        <v>4</v>
      </c>
      <c r="G40" s="75" t="n">
        <v>5</v>
      </c>
      <c r="H40" s="75" t="n">
        <v>6</v>
      </c>
      <c r="I40" s="75" t="n">
        <v>7</v>
      </c>
      <c r="J40" s="75" t="n">
        <v>8</v>
      </c>
      <c r="K40" s="75" t="n">
        <v>9</v>
      </c>
      <c r="L40" s="75" t="n">
        <v>10</v>
      </c>
      <c r="M40" s="75" t="n">
        <v>11</v>
      </c>
      <c r="N40" s="75" t="n">
        <v>12</v>
      </c>
      <c r="O40" s="211"/>
      <c r="P40" s="44"/>
      <c r="Q40" s="83"/>
      <c r="R40" s="212" t="s">
        <v>283</v>
      </c>
      <c r="S40" s="75" t="n">
        <v>1</v>
      </c>
      <c r="T40" s="75" t="n">
        <v>2</v>
      </c>
      <c r="U40" s="75" t="n">
        <v>3</v>
      </c>
      <c r="V40" s="75" t="n">
        <v>4</v>
      </c>
      <c r="W40" s="75" t="n">
        <v>5</v>
      </c>
      <c r="X40" s="75" t="n">
        <v>6</v>
      </c>
      <c r="Y40" s="75" t="n">
        <v>7</v>
      </c>
      <c r="Z40" s="75" t="n">
        <v>8</v>
      </c>
      <c r="AA40" s="75" t="n">
        <v>9</v>
      </c>
      <c r="AB40" s="75" t="n">
        <v>10</v>
      </c>
      <c r="AC40" s="75" t="n">
        <v>11</v>
      </c>
      <c r="AD40" s="75" t="n">
        <v>12</v>
      </c>
      <c r="AE40" s="157"/>
      <c r="AF40" s="219" t="s">
        <v>240</v>
      </c>
      <c r="AG40" s="75" t="n">
        <v>1</v>
      </c>
      <c r="AH40" s="75" t="n">
        <v>2</v>
      </c>
      <c r="AI40" s="75" t="n">
        <v>3</v>
      </c>
      <c r="AJ40" s="75" t="n">
        <v>4</v>
      </c>
      <c r="AK40" s="75" t="n">
        <v>5</v>
      </c>
      <c r="AL40" s="75" t="n">
        <v>6</v>
      </c>
      <c r="AM40" s="75" t="n">
        <v>7</v>
      </c>
      <c r="AN40" s="75" t="n">
        <v>8</v>
      </c>
      <c r="AO40" s="75" t="n">
        <v>9</v>
      </c>
      <c r="AP40" s="75" t="n">
        <v>10</v>
      </c>
      <c r="AQ40" s="75" t="n">
        <v>11</v>
      </c>
      <c r="AR40" s="75" t="n">
        <v>12</v>
      </c>
      <c r="AS40" s="75" t="n">
        <v>12</v>
      </c>
    </row>
    <row r="41" customFormat="false" ht="15.75" hidden="false" customHeight="false" outlineLevel="0" collapsed="false">
      <c r="A41" s="220" t="s">
        <v>284</v>
      </c>
      <c r="B41" s="221"/>
      <c r="C41" s="222" t="str">
        <f aca="false">IFERROR(IF(C$21*C22&gt;0,AVERAGE(C$21,C22),""),"")</f>
        <v/>
      </c>
      <c r="D41" s="222" t="str">
        <f aca="false">IFERROR(IF(D$21*D22&gt;0,AVERAGE(D$21,D22),""),"")</f>
        <v/>
      </c>
      <c r="E41" s="222" t="str">
        <f aca="false">IFERROR(IF(E$21*E22&gt;0,AVERAGE(E$21,E22),""),"")</f>
        <v/>
      </c>
      <c r="F41" s="222" t="str">
        <f aca="false">IFERROR(IF(F$21*F22&gt;0,AVERAGE(F$21,F22),""),"")</f>
        <v/>
      </c>
      <c r="G41" s="222" t="str">
        <f aca="false">IFERROR(IF(G$21*G22&gt;0,AVERAGE(G$21,G22),""),"")</f>
        <v/>
      </c>
      <c r="H41" s="222" t="str">
        <f aca="false">IFERROR(IF(H$21*H22&gt;0,AVERAGE(H$21,H22),""),"")</f>
        <v/>
      </c>
      <c r="I41" s="222" t="str">
        <f aca="false">IFERROR(IF(I$21*I22&gt;0,AVERAGE(I$21,I22),""),"")</f>
        <v/>
      </c>
      <c r="J41" s="222" t="str">
        <f aca="false">IFERROR(IF(J$21*J22&gt;0,AVERAGE(J$21,J22),""),"")</f>
        <v/>
      </c>
      <c r="K41" s="222" t="str">
        <f aca="false">IFERROR(IF(K$21*K22&gt;0,AVERAGE(K$21,K22),""),"")</f>
        <v/>
      </c>
      <c r="L41" s="222" t="str">
        <f aca="false">IFERROR(IF(L$21*L22&gt;0,AVERAGE(L$21,L22),""),"")</f>
        <v/>
      </c>
      <c r="M41" s="222" t="str">
        <f aca="false">IFERROR(IF(M$21*M22&gt;0,AVERAGE(M$21,M22),""),"")</f>
        <v/>
      </c>
      <c r="N41" s="222" t="str">
        <f aca="false">IFERROR(IF(N$21*N22&gt;0,AVERAGE(N$21,N22),""),"")</f>
        <v/>
      </c>
      <c r="O41" s="223" t="n">
        <v>2</v>
      </c>
      <c r="P41" s="224" t="n">
        <f aca="false">COMBIN(7,2)</f>
        <v>21</v>
      </c>
      <c r="Q41" s="225" t="n">
        <f aca="false">ROW(N61)-ROW(N41)+1</f>
        <v>21</v>
      </c>
      <c r="R41" s="226" t="s">
        <v>285</v>
      </c>
      <c r="S41" s="227" t="str">
        <f aca="false">IFERROR(IF(C$21*C22&gt;0,STDEV(C$21,C22),"")/IF(C$21*C22&gt;0,AVERAGE(C$21,C22),""),"")</f>
        <v/>
      </c>
      <c r="T41" s="227" t="str">
        <f aca="false">IFERROR(IF(D$21*D22&gt;0,STDEV(D$21,D22),"")/IF(D$21*D22&gt;0,AVERAGE(D$21,D22),""),"")</f>
        <v/>
      </c>
      <c r="U41" s="227" t="str">
        <f aca="false">IFERROR(IF(E$21*E22&gt;0,STDEV(E$21,E22),"")/IF(E$21*E22&gt;0,AVERAGE(E$21,E22),""),"")</f>
        <v/>
      </c>
      <c r="V41" s="227" t="str">
        <f aca="false">IFERROR(IF(F$21*F22&gt;0,STDEV(F$21,F22),"")/IF(F$21*F22&gt;0,AVERAGE(F$21,F22),""),"")</f>
        <v/>
      </c>
      <c r="W41" s="227" t="str">
        <f aca="false">IFERROR(IF(G$21*G22&gt;0,STDEV(G$21,G22),"")/IF(G$21*G22&gt;0,AVERAGE(G$21,G22),""),"")</f>
        <v/>
      </c>
      <c r="X41" s="227" t="str">
        <f aca="false">IFERROR(IF(H$21*H22&gt;0,STDEV(H$21,H22),"")/IF(H$21*H22&gt;0,AVERAGE(H$21,H22),""),"")</f>
        <v/>
      </c>
      <c r="Y41" s="227" t="str">
        <f aca="false">IFERROR(IF(I$21*I22&gt;0,STDEV(I$21,I22),"")/IF(I$21*I22&gt;0,AVERAGE(I$21,I22),""),"")</f>
        <v/>
      </c>
      <c r="Z41" s="227" t="str">
        <f aca="false">IFERROR(IF(J$21*J22&gt;0,STDEV(J$21,J22),"")/IF(J$21*J22&gt;0,AVERAGE(J$21,J22),""),"")</f>
        <v/>
      </c>
      <c r="AA41" s="227" t="str">
        <f aca="false">IFERROR(IF(K$21*K22&gt;0,STDEV(K$21,K22),"")/IF(K$21*K22&gt;0,AVERAGE(K$21,K22),""),"")</f>
        <v/>
      </c>
      <c r="AB41" s="227" t="str">
        <f aca="false">IFERROR(IF(L$21*L22&gt;0,STDEV(L$21,L22),"")/IF(L$21*L22&gt;0,AVERAGE(L$21,L22),""),"")</f>
        <v/>
      </c>
      <c r="AC41" s="227" t="str">
        <f aca="false">IFERROR(IF(M$21*M22&gt;0,STDEV(M$21,M22),"")/IF(M$21*M22&gt;0,AVERAGE(M$21,M22),""),"")</f>
        <v/>
      </c>
      <c r="AD41" s="227" t="str">
        <f aca="false">IFERROR(IF(N$21*N22&gt;0,STDEV(N$21,N22),"")/IF(N$21*N22&gt;0,AVERAGE(N$21,N22),""),"")</f>
        <v/>
      </c>
      <c r="AE41" s="228"/>
      <c r="AF41" s="229" t="s">
        <v>286</v>
      </c>
      <c r="AG41" s="230" t="str">
        <f aca="false">IFERROR(IF(C$21*C22&gt;0,STDEV(C$21,C22)," ")/IF(C$21*C22&gt;0,SQRT(COUNT(C$21,C22)),""),"")</f>
        <v/>
      </c>
      <c r="AH41" s="230" t="str">
        <f aca="false">IFERROR(IF(D$21*D22&gt;0,STDEV(D$21,D22)," ")/IF(D$21*D22&gt;0,SQRT(COUNT(D$21,D22)),""),"")</f>
        <v/>
      </c>
      <c r="AI41" s="230" t="str">
        <f aca="false">IFERROR(IF(E$21*E22&gt;0,STDEV(E$21,E22)," ")/IF(E$21*E22&gt;0,SQRT(COUNT(E$21,E22)),""),"")</f>
        <v/>
      </c>
      <c r="AJ41" s="230" t="str">
        <f aca="false">IFERROR(IF(F$21*F22&gt;0,STDEV(F$21,F22)," ")/IF(F$21*F22&gt;0,SQRT(COUNT(F$21,F22)),""),"")</f>
        <v/>
      </c>
      <c r="AK41" s="230" t="str">
        <f aca="false">IFERROR(IF(G$21*G22&gt;0,STDEV(G$21,G22)," ")/IF(G$21*G22&gt;0,SQRT(COUNT(G$21,G22)),""),"")</f>
        <v/>
      </c>
      <c r="AL41" s="230" t="str">
        <f aca="false">IFERROR(IF(H$21*H22&gt;0,STDEV(H$21,H22)," ")/IF(H$21*H22&gt;0,SQRT(COUNT(H$21,H22)),""),"")</f>
        <v/>
      </c>
      <c r="AM41" s="230" t="str">
        <f aca="false">IFERROR(IF(I$21*I22&gt;0,STDEV(I$21,I22)," ")/IF(I$21*I22&gt;0,SQRT(COUNT(I$21,I22)),""),"")</f>
        <v/>
      </c>
      <c r="AN41" s="230" t="str">
        <f aca="false">IFERROR(IF(J$21*J22&gt;0,STDEV(J$21,J22)," ")/IF(J$21*J22&gt;0,SQRT(COUNT(J$21,J22)),""),"")</f>
        <v/>
      </c>
      <c r="AO41" s="230" t="str">
        <f aca="false">IFERROR(IF(K$21*K22&gt;0,STDEV(K$21,K22)," ")/IF(K$21*K22&gt;0,SQRT(COUNT(K$21,K22)),""),"")</f>
        <v/>
      </c>
      <c r="AP41" s="230" t="str">
        <f aca="false">IFERROR(IF(L$21*L22&gt;0,STDEV(L$21,L22)," ")/IF(L$21*L22&gt;0,SQRT(COUNT(L$21,L22)),""),"")</f>
        <v/>
      </c>
      <c r="AQ41" s="230" t="str">
        <f aca="false">IFERROR(IF(M$21*M22&gt;0,STDEV(M$21,M22)," ")/IF(M$21*M22&gt;0,SQRT(COUNT(M$21,M22)),""),"")</f>
        <v/>
      </c>
      <c r="AR41" s="230" t="str">
        <f aca="false">IFERROR(IF(N$21*N22&gt;0,STDEV(N$21,N22)," ")/IF(N$21*N22&gt;0,SQRT(COUNT(N$21,N22)),""),"")</f>
        <v/>
      </c>
    </row>
    <row r="42" customFormat="false" ht="15.75" hidden="false" customHeight="false" outlineLevel="0" collapsed="false">
      <c r="A42" s="220" t="s">
        <v>287</v>
      </c>
      <c r="B42" s="221"/>
      <c r="C42" s="222" t="str">
        <f aca="false">IFERROR(IF(C$21*C23&gt;0,AVERAGE(C$21,C23),""),"")</f>
        <v/>
      </c>
      <c r="D42" s="222" t="str">
        <f aca="false">IFERROR(IF(D$21*D23&gt;0,AVERAGE(D$21,D23),""),"")</f>
        <v/>
      </c>
      <c r="E42" s="222" t="str">
        <f aca="false">IFERROR(IF(E$21*E23&gt;0,AVERAGE(E$21,E23),""),"")</f>
        <v/>
      </c>
      <c r="F42" s="222" t="str">
        <f aca="false">IFERROR(IF(F$21*F23&gt;0,AVERAGE(F$21,F23),""),"")</f>
        <v/>
      </c>
      <c r="G42" s="222" t="str">
        <f aca="false">IFERROR(IF(G$21*G23&gt;0,AVERAGE(G$21,G23),""),"")</f>
        <v/>
      </c>
      <c r="H42" s="222" t="str">
        <f aca="false">IFERROR(IF(H$21*H23&gt;0,AVERAGE(H$21,H23),""),"")</f>
        <v/>
      </c>
      <c r="I42" s="222" t="str">
        <f aca="false">IFERROR(IF(I$21*I23&gt;0,AVERAGE(I$21,I23),""),"")</f>
        <v/>
      </c>
      <c r="J42" s="222" t="str">
        <f aca="false">IFERROR(IF(J$21*J23&gt;0,AVERAGE(J$21,J23),""),"")</f>
        <v/>
      </c>
      <c r="K42" s="222" t="str">
        <f aca="false">IFERROR(IF(K$21*K23&gt;0,AVERAGE(K$21,K23),""),"")</f>
        <v/>
      </c>
      <c r="L42" s="222" t="str">
        <f aca="false">IFERROR(IF(L$21*L23&gt;0,AVERAGE(L$21,L23),""),"")</f>
        <v/>
      </c>
      <c r="M42" s="222" t="str">
        <f aca="false">IFERROR(IF(M$21*M23&gt;0,AVERAGE(M$21,M23),""),"")</f>
        <v/>
      </c>
      <c r="N42" s="222" t="str">
        <f aca="false">IFERROR(IF(N$21*N23&gt;0,AVERAGE(N$21,N23),""),"")</f>
        <v/>
      </c>
      <c r="O42" s="231"/>
      <c r="P42" s="224"/>
      <c r="Q42" s="232"/>
      <c r="R42" s="226" t="s">
        <v>288</v>
      </c>
      <c r="S42" s="227" t="str">
        <f aca="false">IFERROR(IF(C$21*C23&gt;0,STDEV(C$21,C23),"")/IF(C$21*C23&gt;0,AVERAGE(C$21,C23),""),"")</f>
        <v/>
      </c>
      <c r="T42" s="227" t="str">
        <f aca="false">IFERROR(IF(D$21*D23&gt;0,STDEV(D$21,D23),"")/IF(D$21*D23&gt;0,AVERAGE(D$21,D23),""),"")</f>
        <v/>
      </c>
      <c r="U42" s="227" t="str">
        <f aca="false">IFERROR(IF(E$21*E23&gt;0,STDEV(E$21,E23),"")/IF(E$21*E23&gt;0,AVERAGE(E$21,E23),""),"")</f>
        <v/>
      </c>
      <c r="V42" s="227" t="str">
        <f aca="false">IFERROR(IF(F$21*F23&gt;0,STDEV(F$21,F23),"")/IF(F$21*F23&gt;0,AVERAGE(F$21,F23),""),"")</f>
        <v/>
      </c>
      <c r="W42" s="227" t="str">
        <f aca="false">IFERROR(IF(G$21*G23&gt;0,STDEV(G$21,G23),"")/IF(G$21*G23&gt;0,AVERAGE(G$21,G23),""),"")</f>
        <v/>
      </c>
      <c r="X42" s="227" t="str">
        <f aca="false">IFERROR(IF(H$21*H23&gt;0,STDEV(H$21,H23),"")/IF(H$21*H23&gt;0,AVERAGE(H$21,H23),""),"")</f>
        <v/>
      </c>
      <c r="Y42" s="227" t="str">
        <f aca="false">IFERROR(IF(I$21*I23&gt;0,STDEV(I$21,I23),"")/IF(I$21*I23&gt;0,AVERAGE(I$21,I23),""),"")</f>
        <v/>
      </c>
      <c r="Z42" s="227" t="str">
        <f aca="false">IFERROR(IF(J$21*J23&gt;0,STDEV(J$21,J23),"")/IF(J$21*J23&gt;0,AVERAGE(J$21,J23),""),"")</f>
        <v/>
      </c>
      <c r="AA42" s="227" t="str">
        <f aca="false">IFERROR(IF(K$21*K23&gt;0,STDEV(K$21,K23),"")/IF(K$21*K23&gt;0,AVERAGE(K$21,K23),""),"")</f>
        <v/>
      </c>
      <c r="AB42" s="227" t="str">
        <f aca="false">IFERROR(IF(L$21*L23&gt;0,STDEV(L$21,L23),"")/IF(L$21*L23&gt;0,AVERAGE(L$21,L23),""),"")</f>
        <v/>
      </c>
      <c r="AC42" s="227" t="str">
        <f aca="false">IFERROR(IF(M$21*M23&gt;0,STDEV(M$21,M23),"")/IF(M$21*M23&gt;0,AVERAGE(M$21,M23),""),"")</f>
        <v/>
      </c>
      <c r="AD42" s="227" t="str">
        <f aca="false">IFERROR(IF(N$21*N23&gt;0,STDEV(N$21,N23),"")/IF(N$21*N23&gt;0,AVERAGE(N$21,N23),""),"")</f>
        <v/>
      </c>
      <c r="AE42" s="233"/>
      <c r="AF42" s="229" t="s">
        <v>289</v>
      </c>
      <c r="AG42" s="230" t="str">
        <f aca="false">IFERROR(IF(C$21*C22&gt;0,STDEV(C$21,C22)," ")/IF(C$21*C22&gt;0,SQRT(COUNT(C$21,C22)),""),"")</f>
        <v/>
      </c>
      <c r="AH42" s="230" t="str">
        <f aca="false">IFERROR(IF(D$21*D22&gt;0,STDEV(D$21,D22)," ")/IF(D$21*D22&gt;0,SQRT(COUNT(D$21,D22)),""),"")</f>
        <v/>
      </c>
      <c r="AI42" s="230" t="str">
        <f aca="false">IFERROR(IF(E$21*E22&gt;0,STDEV(E$21,E22)," ")/IF(E$21*E22&gt;0,SQRT(COUNT(E$21,E22)),""),"")</f>
        <v/>
      </c>
      <c r="AJ42" s="230" t="str">
        <f aca="false">IFERROR(IF(F$21*F22&gt;0,STDEV(F$21,F22)," ")/IF(F$21*F22&gt;0,SQRT(COUNT(F$21,F22)),""),"")</f>
        <v/>
      </c>
      <c r="AK42" s="230" t="str">
        <f aca="false">IFERROR(IF(G$21*G22&gt;0,STDEV(G$21,G22)," ")/IF(G$21*G22&gt;0,SQRT(COUNT(G$21,G22)),""),"")</f>
        <v/>
      </c>
      <c r="AL42" s="230" t="str">
        <f aca="false">IFERROR(IF(H$21*H22&gt;0,STDEV(H$21,H22)," ")/IF(H$21*H22&gt;0,SQRT(COUNT(H$21,H22)),""),"")</f>
        <v/>
      </c>
      <c r="AM42" s="230" t="str">
        <f aca="false">IFERROR(IF(I$21*I22&gt;0,STDEV(I$21,I22)," ")/IF(I$21*I22&gt;0,SQRT(COUNT(I$21,I22)),""),"")</f>
        <v/>
      </c>
      <c r="AN42" s="230" t="str">
        <f aca="false">IFERROR(IF(J$21*J22&gt;0,STDEV(J$21,J22)," ")/IF(J$21*J22&gt;0,SQRT(COUNT(J$21,J22)),""),"")</f>
        <v/>
      </c>
      <c r="AO42" s="230" t="str">
        <f aca="false">IFERROR(IF(K$21*K22&gt;0,STDEV(K$21,K22)," ")/IF(K$21*K22&gt;0,SQRT(COUNT(K$21,K22)),""),"")</f>
        <v/>
      </c>
      <c r="AP42" s="230" t="str">
        <f aca="false">IFERROR(IF(L$21*L22&gt;0,STDEV(L$21,L22)," ")/IF(L$21*L22&gt;0,SQRT(COUNT(L$21,L22)),""),"")</f>
        <v/>
      </c>
      <c r="AQ42" s="230" t="str">
        <f aca="false">IFERROR(IF(M$21*M22&gt;0,STDEV(M$21,M22)," ")/IF(M$21*M22&gt;0,SQRT(COUNT(M$21,M22)),""),"")</f>
        <v/>
      </c>
      <c r="AR42" s="230" t="str">
        <f aca="false">IFERROR(IF(N$21*N22&gt;0,STDEV(N$21,N22)," ")/IF(N$21*N22&gt;0,SQRT(COUNT(N$21,N22)),""),"")</f>
        <v/>
      </c>
    </row>
    <row r="43" customFormat="false" ht="15.75" hidden="false" customHeight="false" outlineLevel="0" collapsed="false">
      <c r="A43" s="220" t="s">
        <v>290</v>
      </c>
      <c r="B43" s="221"/>
      <c r="C43" s="222" t="str">
        <f aca="false">IFERROR(IF(C$21*C24&gt;0,AVERAGE(C$21,C24),""),"")</f>
        <v/>
      </c>
      <c r="D43" s="222" t="str">
        <f aca="false">IFERROR(IF(D$21*D24&gt;0,AVERAGE(D$21,D24),""),"")</f>
        <v/>
      </c>
      <c r="E43" s="222" t="str">
        <f aca="false">IFERROR(IF(E$21*E24&gt;0,AVERAGE(E$21,E24),""),"")</f>
        <v/>
      </c>
      <c r="F43" s="222" t="str">
        <f aca="false">IFERROR(IF(F$21*F24&gt;0,AVERAGE(F$21,F24),""),"")</f>
        <v/>
      </c>
      <c r="G43" s="222" t="str">
        <f aca="false">IFERROR(IF(G$21*G24&gt;0,AVERAGE(G$21,G24),""),"")</f>
        <v/>
      </c>
      <c r="H43" s="222" t="str">
        <f aca="false">IFERROR(IF(H$21*H24&gt;0,AVERAGE(H$21,H24),""),"")</f>
        <v/>
      </c>
      <c r="I43" s="222" t="str">
        <f aca="false">IFERROR(IF(I$21*I24&gt;0,AVERAGE(I$21,I24),""),"")</f>
        <v/>
      </c>
      <c r="J43" s="222" t="str">
        <f aca="false">IFERROR(IF(J$21*J24&gt;0,AVERAGE(J$21,J24),""),"")</f>
        <v/>
      </c>
      <c r="K43" s="222" t="str">
        <f aca="false">IFERROR(IF(K$21*K24&gt;0,AVERAGE(K$21,K24),""),"")</f>
        <v/>
      </c>
      <c r="L43" s="222" t="str">
        <f aca="false">IFERROR(IF(L$21*L24&gt;0,AVERAGE(L$21,L24),""),"")</f>
        <v/>
      </c>
      <c r="M43" s="222" t="str">
        <f aca="false">IFERROR(IF(M$21*M24&gt;0,AVERAGE(M$21,M24),""),"")</f>
        <v/>
      </c>
      <c r="N43" s="222" t="str">
        <f aca="false">IFERROR(IF(N$21*N24&gt;0,AVERAGE(N$21,N24),""),"")</f>
        <v/>
      </c>
      <c r="O43" s="224"/>
      <c r="P43" s="224"/>
      <c r="Q43" s="232"/>
      <c r="R43" s="226" t="s">
        <v>291</v>
      </c>
      <c r="S43" s="227" t="str">
        <f aca="false">IFERROR(IF(C$21*C24&gt;0,STDEV(C$21,C24),"")/IF(C$21*C24&gt;0,AVERAGE(C$21,C24),""),"")</f>
        <v/>
      </c>
      <c r="T43" s="227" t="str">
        <f aca="false">IFERROR(IF(D$21*D24&gt;0,STDEV(D$21,D24),"")/IF(D$21*D24&gt;0,AVERAGE(D$21,D24),""),"")</f>
        <v/>
      </c>
      <c r="U43" s="227" t="str">
        <f aca="false">IFERROR(IF(E$21*E24&gt;0,STDEV(E$21,E24),"")/IF(E$21*E24&gt;0,AVERAGE(E$21,E24),""),"")</f>
        <v/>
      </c>
      <c r="V43" s="227" t="str">
        <f aca="false">IFERROR(IF(F$21*F24&gt;0,STDEV(F$21,F24),"")/IF(F$21*F24&gt;0,AVERAGE(F$21,F24),""),"")</f>
        <v/>
      </c>
      <c r="W43" s="227" t="str">
        <f aca="false">IFERROR(IF(G$21*G24&gt;0,STDEV(G$21,G24),"")/IF(G$21*G24&gt;0,AVERAGE(G$21,G24),""),"")</f>
        <v/>
      </c>
      <c r="X43" s="227" t="str">
        <f aca="false">IFERROR(IF(H$21*H24&gt;0,STDEV(H$21,H24),"")/IF(H$21*H24&gt;0,AVERAGE(H$21,H24),""),"")</f>
        <v/>
      </c>
      <c r="Y43" s="227" t="str">
        <f aca="false">IFERROR(IF(I$21*I24&gt;0,STDEV(I$21,I24),"")/IF(I$21*I24&gt;0,AVERAGE(I$21,I24),""),"")</f>
        <v/>
      </c>
      <c r="Z43" s="227" t="str">
        <f aca="false">IFERROR(IF(J$21*J24&gt;0,STDEV(J$21,J24),"")/IF(J$21*J24&gt;0,AVERAGE(J$21,J24),""),"")</f>
        <v/>
      </c>
      <c r="AA43" s="227" t="str">
        <f aca="false">IFERROR(IF(K$21*K24&gt;0,STDEV(K$21,K24),"")/IF(K$21*K24&gt;0,AVERAGE(K$21,K24),""),"")</f>
        <v/>
      </c>
      <c r="AB43" s="227" t="str">
        <f aca="false">IFERROR(IF(L$21*L24&gt;0,STDEV(L$21,L24),"")/IF(L$21*L24&gt;0,AVERAGE(L$21,L24),""),"")</f>
        <v/>
      </c>
      <c r="AC43" s="227" t="str">
        <f aca="false">IFERROR(IF(M$21*M24&gt;0,STDEV(M$21,M24),"")/IF(M$21*M24&gt;0,AVERAGE(M$21,M24),""),"")</f>
        <v/>
      </c>
      <c r="AD43" s="227" t="str">
        <f aca="false">IFERROR(IF(N$21*N24&gt;0,STDEV(N$21,N24),"")/IF(N$21*N24&gt;0,AVERAGE(N$21,N24),""),"")</f>
        <v/>
      </c>
      <c r="AE43" s="233"/>
      <c r="AF43" s="229" t="s">
        <v>292</v>
      </c>
      <c r="AG43" s="230" t="str">
        <f aca="false">IFERROR(IF(C$21*C24&gt;0,STDEV(C$21,C24)," ")/IF(C$21*C24&gt;0,SQRT(COUNT(C$21,C24))," "),"")</f>
        <v/>
      </c>
      <c r="AH43" s="230" t="str">
        <f aca="false">IFERROR(IF(D$21*D24&gt;0,STDEV(D$21,D24)," ")/IF(D$21*D24&gt;0,SQRT(COUNT(D$21,D24))," "),"")</f>
        <v/>
      </c>
      <c r="AI43" s="230" t="str">
        <f aca="false">IFERROR(IF(E$21*E24&gt;0,STDEV(E$21,E24)," ")/IF(E$21*E24&gt;0,SQRT(COUNT(E$21,E24))," "),"")</f>
        <v/>
      </c>
      <c r="AJ43" s="230" t="str">
        <f aca="false">IFERROR(IF(F$21*F24&gt;0,STDEV(F$21,F24)," ")/IF(F$21*F24&gt;0,SQRT(COUNT(F$21,F24))," "),"")</f>
        <v/>
      </c>
      <c r="AK43" s="230" t="str">
        <f aca="false">IFERROR(IF(G$21*G24&gt;0,STDEV(G$21,G24)," ")/IF(G$21*G24&gt;0,SQRT(COUNT(G$21,G24))," "),"")</f>
        <v/>
      </c>
      <c r="AL43" s="230" t="str">
        <f aca="false">IFERROR(IF(H$21*H24&gt;0,STDEV(H$21,H24)," ")/IF(H$21*H24&gt;0,SQRT(COUNT(H$21,H24))," "),"")</f>
        <v/>
      </c>
      <c r="AM43" s="230" t="str">
        <f aca="false">IFERROR(IF(I$21*I24&gt;0,STDEV(I$21,I24)," ")/IF(I$21*I24&gt;0,SQRT(COUNT(I$21,I24))," "),"")</f>
        <v/>
      </c>
      <c r="AN43" s="230" t="str">
        <f aca="false">IFERROR(IF(J$21*J24&gt;0,STDEV(J$21,J24)," ")/IF(J$21*J24&gt;0,SQRT(COUNT(J$21,J24))," "),"")</f>
        <v/>
      </c>
      <c r="AO43" s="230" t="str">
        <f aca="false">IFERROR(IF(K$21*K24&gt;0,STDEV(K$21,K24)," ")/IF(K$21*K24&gt;0,SQRT(COUNT(K$21,K24))," "),"")</f>
        <v/>
      </c>
      <c r="AP43" s="230" t="str">
        <f aca="false">IFERROR(IF(L$21*L24&gt;0,STDEV(L$21,L24)," ")/IF(L$21*L24&gt;0,SQRT(COUNT(L$21,L24))," "),"")</f>
        <v/>
      </c>
      <c r="AQ43" s="230" t="str">
        <f aca="false">IFERROR(IF(M$21*M24&gt;0,STDEV(M$21,M24)," ")/IF(M$21*M24&gt;0,SQRT(COUNT(M$21,M24))," "),"")</f>
        <v/>
      </c>
      <c r="AR43" s="230" t="str">
        <f aca="false">IFERROR(IF(N$21*N24&gt;0,STDEV(N$21,N24)," ")/IF(N$21*N24&gt;0,SQRT(COUNT(N$21,N24))," "),"")</f>
        <v/>
      </c>
    </row>
    <row r="44" customFormat="false" ht="15.75" hidden="false" customHeight="false" outlineLevel="0" collapsed="false">
      <c r="A44" s="220" t="s">
        <v>293</v>
      </c>
      <c r="B44" s="221"/>
      <c r="C44" s="222" t="str">
        <f aca="false">IFERROR(IF(C$21*C25&gt;0,AVERAGE(C$21,C25),""),"")</f>
        <v/>
      </c>
      <c r="D44" s="222" t="str">
        <f aca="false">IFERROR(IF(D$21*D25&gt;0,AVERAGE(D$21,D25),""),"")</f>
        <v/>
      </c>
      <c r="E44" s="222" t="str">
        <f aca="false">IFERROR(IF(E$21*E25&gt;0,AVERAGE(E$21,E25),""),"")</f>
        <v/>
      </c>
      <c r="F44" s="222" t="str">
        <f aca="false">IFERROR(IF(F$21*F25&gt;0,AVERAGE(F$21,F25),""),"")</f>
        <v/>
      </c>
      <c r="G44" s="222" t="str">
        <f aca="false">IFERROR(IF(G$21*G25&gt;0,AVERAGE(G$21,G25),""),"")</f>
        <v/>
      </c>
      <c r="H44" s="222" t="str">
        <f aca="false">IFERROR(IF(H$21*H25&gt;0,AVERAGE(H$21,H25),""),"")</f>
        <v/>
      </c>
      <c r="I44" s="222" t="str">
        <f aca="false">IFERROR(IF(I$21*I25&gt;0,AVERAGE(I$21,I25),""),"")</f>
        <v/>
      </c>
      <c r="J44" s="222" t="str">
        <f aca="false">IFERROR(IF(J$21*J25&gt;0,AVERAGE(J$21,J25),""),"")</f>
        <v/>
      </c>
      <c r="K44" s="222" t="str">
        <f aca="false">IFERROR(IF(K$21*K25&gt;0,AVERAGE(K$21,K25),""),"")</f>
        <v/>
      </c>
      <c r="L44" s="222" t="str">
        <f aca="false">IFERROR(IF(L$21*L25&gt;0,AVERAGE(L$21,L25),""),"")</f>
        <v/>
      </c>
      <c r="M44" s="222" t="str">
        <f aca="false">IFERROR(IF(M$21*M25&gt;0,AVERAGE(M$21,M25),""),"")</f>
        <v/>
      </c>
      <c r="N44" s="222" t="str">
        <f aca="false">IFERROR(IF(N$21*N25&gt;0,AVERAGE(N$21,N25),""),"")</f>
        <v/>
      </c>
      <c r="O44" s="224"/>
      <c r="P44" s="224"/>
      <c r="Q44" s="232"/>
      <c r="R44" s="226" t="s">
        <v>294</v>
      </c>
      <c r="S44" s="227" t="str">
        <f aca="false">IFERROR(IF(C$21*C25&gt;0,STDEV(C$21,C25),"")/IF(C$21*C25&gt;0,AVERAGE(C$21,C25),""),"")</f>
        <v/>
      </c>
      <c r="T44" s="227" t="str">
        <f aca="false">IFERROR(IF(D$21*D25&gt;0,STDEV(D$21,D25),"")/IF(D$21*D25&gt;0,AVERAGE(D$21,D25),""),"")</f>
        <v/>
      </c>
      <c r="U44" s="227" t="str">
        <f aca="false">IFERROR(IF(E$21*E25&gt;0,STDEV(E$21,E25),"")/IF(E$21*E25&gt;0,AVERAGE(E$21,E25),""),"")</f>
        <v/>
      </c>
      <c r="V44" s="227" t="str">
        <f aca="false">IFERROR(IF(F$21*F25&gt;0,STDEV(F$21,F25),"")/IF(F$21*F25&gt;0,AVERAGE(F$21,F25),""),"")</f>
        <v/>
      </c>
      <c r="W44" s="227" t="str">
        <f aca="false">IFERROR(IF(G$21*G25&gt;0,STDEV(G$21,G25),"")/IF(G$21*G25&gt;0,AVERAGE(G$21,G25),""),"")</f>
        <v/>
      </c>
      <c r="X44" s="227" t="str">
        <f aca="false">IFERROR(IF(H$21*H25&gt;0,STDEV(H$21,H25),"")/IF(H$21*H25&gt;0,AVERAGE(H$21,H25),""),"")</f>
        <v/>
      </c>
      <c r="Y44" s="227" t="str">
        <f aca="false">IFERROR(IF(I$21*I25&gt;0,STDEV(I$21,I25),"")/IF(I$21*I25&gt;0,AVERAGE(I$21,I25),""),"")</f>
        <v/>
      </c>
      <c r="Z44" s="227" t="str">
        <f aca="false">IFERROR(IF(J$21*J25&gt;0,STDEV(J$21,J25),"")/IF(J$21*J25&gt;0,AVERAGE(J$21,J25),""),"")</f>
        <v/>
      </c>
      <c r="AA44" s="227" t="str">
        <f aca="false">IFERROR(IF(K$21*K25&gt;0,STDEV(K$21,K25),"")/IF(K$21*K25&gt;0,AVERAGE(K$21,K25),""),"")</f>
        <v/>
      </c>
      <c r="AB44" s="227" t="str">
        <f aca="false">IFERROR(IF(L$21*L25&gt;0,STDEV(L$21,L25),"")/IF(L$21*L25&gt;0,AVERAGE(L$21,L25),""),"")</f>
        <v/>
      </c>
      <c r="AC44" s="227" t="str">
        <f aca="false">IFERROR(IF(M$21*M25&gt;0,STDEV(M$21,M25),"")/IF(M$21*M25&gt;0,AVERAGE(M$21,M25),""),"")</f>
        <v/>
      </c>
      <c r="AD44" s="227" t="str">
        <f aca="false">IFERROR(IF(N$21*N25&gt;0,STDEV(N$21,N25),"")/IF(N$21*N25&gt;0,AVERAGE(N$21,N25),""),"")</f>
        <v/>
      </c>
      <c r="AE44" s="233"/>
      <c r="AF44" s="229" t="s">
        <v>295</v>
      </c>
      <c r="AG44" s="230" t="str">
        <f aca="false">IFERROR(IF(C$21*C25&gt;0,STDEV(C$21,C25)," ")/IF(C$21*C25&gt;0,SQRT(COUNT(C$21,C25))," "),"")</f>
        <v/>
      </c>
      <c r="AH44" s="230" t="str">
        <f aca="false">IFERROR(IF(D$21*D25&gt;0,STDEV(D$21,D25)," ")/IF(D$21*D25&gt;0,SQRT(COUNT(D$21,D25))," "),"")</f>
        <v/>
      </c>
      <c r="AI44" s="230" t="str">
        <f aca="false">IFERROR(IF(E$21*E25&gt;0,STDEV(E$21,E25)," ")/IF(E$21*E25&gt;0,SQRT(COUNT(E$21,E25))," "),"")</f>
        <v/>
      </c>
      <c r="AJ44" s="230" t="str">
        <f aca="false">IFERROR(IF(F$21*F25&gt;0,STDEV(F$21,F25)," ")/IF(F$21*F25&gt;0,SQRT(COUNT(F$21,F25))," "),"")</f>
        <v/>
      </c>
      <c r="AK44" s="230" t="str">
        <f aca="false">IFERROR(IF(G$21*G25&gt;0,STDEV(G$21,G25)," ")/IF(G$21*G25&gt;0,SQRT(COUNT(G$21,G25))," "),"")</f>
        <v/>
      </c>
      <c r="AL44" s="230" t="str">
        <f aca="false">IFERROR(IF(H$21*H25&gt;0,STDEV(H$21,H25)," ")/IF(H$21*H25&gt;0,SQRT(COUNT(H$21,H25))," "),"")</f>
        <v/>
      </c>
      <c r="AM44" s="230" t="str">
        <f aca="false">IFERROR(IF(I$21*I25&gt;0,STDEV(I$21,I25)," ")/IF(I$21*I25&gt;0,SQRT(COUNT(I$21,I25))," "),"")</f>
        <v/>
      </c>
      <c r="AN44" s="230" t="str">
        <f aca="false">IFERROR(IF(J$21*J25&gt;0,STDEV(J$21,J25)," ")/IF(J$21*J25&gt;0,SQRT(COUNT(J$21,J25))," "),"")</f>
        <v/>
      </c>
      <c r="AO44" s="230" t="str">
        <f aca="false">IFERROR(IF(K$21*K25&gt;0,STDEV(K$21,K25)," ")/IF(K$21*K25&gt;0,SQRT(COUNT(K$21,K25))," "),"")</f>
        <v/>
      </c>
      <c r="AP44" s="230" t="str">
        <f aca="false">IFERROR(IF(L$21*L25&gt;0,STDEV(L$21,L25)," ")/IF(L$21*L25&gt;0,SQRT(COUNT(L$21,L25))," "),"")</f>
        <v/>
      </c>
      <c r="AQ44" s="230" t="str">
        <f aca="false">IFERROR(IF(M$21*M25&gt;0,STDEV(M$21,M25)," ")/IF(M$21*M25&gt;0,SQRT(COUNT(M$21,M25))," "),"")</f>
        <v/>
      </c>
      <c r="AR44" s="230" t="str">
        <f aca="false">IFERROR(IF(N$21*N25&gt;0,STDEV(N$21,N25)," ")/IF(N$21*N25&gt;0,SQRT(COUNT(N$21,N25))," "),"")</f>
        <v/>
      </c>
    </row>
    <row r="45" customFormat="false" ht="15.75" hidden="false" customHeight="false" outlineLevel="0" collapsed="false">
      <c r="A45" s="220" t="s">
        <v>296</v>
      </c>
      <c r="B45" s="221"/>
      <c r="C45" s="222" t="str">
        <f aca="false">IFERROR(IF(C$21*C26&gt;0,AVERAGE(C$21,C26),""),"")</f>
        <v/>
      </c>
      <c r="D45" s="222" t="str">
        <f aca="false">IFERROR(IF(D$21*D26&gt;0,AVERAGE(D$21,D26),""),"")</f>
        <v/>
      </c>
      <c r="E45" s="222" t="str">
        <f aca="false">IFERROR(IF(E$21*E26&gt;0,AVERAGE(E$21,E26),""),"")</f>
        <v/>
      </c>
      <c r="F45" s="222" t="str">
        <f aca="false">IFERROR(IF(F$21*F26&gt;0,AVERAGE(F$21,F26),""),"")</f>
        <v/>
      </c>
      <c r="G45" s="222" t="str">
        <f aca="false">IFERROR(IF(G$21*G26&gt;0,AVERAGE(G$21,G26),""),"")</f>
        <v/>
      </c>
      <c r="H45" s="222" t="str">
        <f aca="false">IFERROR(IF(H$21*H26&gt;0,AVERAGE(H$21,H26),""),"")</f>
        <v/>
      </c>
      <c r="I45" s="222" t="str">
        <f aca="false">IFERROR(IF(I$21*I26&gt;0,AVERAGE(I$21,I26),""),"")</f>
        <v/>
      </c>
      <c r="J45" s="222" t="str">
        <f aca="false">IFERROR(IF(J$21*J26&gt;0,AVERAGE(J$21,J26),""),"")</f>
        <v/>
      </c>
      <c r="K45" s="222" t="str">
        <f aca="false">IFERROR(IF(K$21*K26&gt;0,AVERAGE(K$21,K26),""),"")</f>
        <v/>
      </c>
      <c r="L45" s="222" t="str">
        <f aca="false">IFERROR(IF(L$21*L26&gt;0,AVERAGE(L$21,L26),""),"")</f>
        <v/>
      </c>
      <c r="M45" s="222" t="str">
        <f aca="false">IFERROR(IF(M$21*M26&gt;0,AVERAGE(M$21,M26),""),"")</f>
        <v/>
      </c>
      <c r="N45" s="222" t="str">
        <f aca="false">IFERROR(IF(N$21*N26&gt;0,AVERAGE(N$21,N26),""),"")</f>
        <v/>
      </c>
      <c r="O45" s="224"/>
      <c r="P45" s="224"/>
      <c r="Q45" s="232"/>
      <c r="R45" s="226" t="s">
        <v>297</v>
      </c>
      <c r="S45" s="227" t="str">
        <f aca="false">IFERROR(IF(C$21*C26&gt;0,STDEV(C$21,C26),"")/IF(C$21*C26&gt;0,AVERAGE(C$21,C26),""),"")</f>
        <v/>
      </c>
      <c r="T45" s="227" t="str">
        <f aca="false">IFERROR(IF(D$21*D26&gt;0,STDEV(D$21,D26),"")/IF(D$21*D26&gt;0,AVERAGE(D$21,D26),""),"")</f>
        <v/>
      </c>
      <c r="U45" s="227" t="str">
        <f aca="false">IFERROR(IF(E$21*E26&gt;0,STDEV(E$21,E26),"")/IF(E$21*E26&gt;0,AVERAGE(E$21,E26),""),"")</f>
        <v/>
      </c>
      <c r="V45" s="227" t="str">
        <f aca="false">IFERROR(IF(F$21*F26&gt;0,STDEV(F$21,F26),"")/IF(F$21*F26&gt;0,AVERAGE(F$21,F26),""),"")</f>
        <v/>
      </c>
      <c r="W45" s="227" t="str">
        <f aca="false">IFERROR(IF(G$21*G26&gt;0,STDEV(G$21,G26),"")/IF(G$21*G26&gt;0,AVERAGE(G$21,G26),""),"")</f>
        <v/>
      </c>
      <c r="X45" s="227" t="str">
        <f aca="false">IFERROR(IF(H$21*H26&gt;0,STDEV(H$21,H26),"")/IF(H$21*H26&gt;0,AVERAGE(H$21,H26),""),"")</f>
        <v/>
      </c>
      <c r="Y45" s="227" t="str">
        <f aca="false">IFERROR(IF(I$21*I26&gt;0,STDEV(I$21,I26),"")/IF(I$21*I26&gt;0,AVERAGE(I$21,I26),""),"")</f>
        <v/>
      </c>
      <c r="Z45" s="227" t="str">
        <f aca="false">IFERROR(IF(J$21*J26&gt;0,STDEV(J$21,J26),"")/IF(J$21*J26&gt;0,AVERAGE(J$21,J26),""),"")</f>
        <v/>
      </c>
      <c r="AA45" s="227" t="str">
        <f aca="false">IFERROR(IF(K$21*K26&gt;0,STDEV(K$21,K26),"")/IF(K$21*K26&gt;0,AVERAGE(K$21,K26),""),"")</f>
        <v/>
      </c>
      <c r="AB45" s="227" t="str">
        <f aca="false">IFERROR(IF(L$21*L26&gt;0,STDEV(L$21,L26),"")/IF(L$21*L26&gt;0,AVERAGE(L$21,L26),""),"")</f>
        <v/>
      </c>
      <c r="AC45" s="227" t="str">
        <f aca="false">IFERROR(IF(M$21*M26&gt;0,STDEV(M$21,M26),"")/IF(M$21*M26&gt;0,AVERAGE(M$21,M26),""),"")</f>
        <v/>
      </c>
      <c r="AD45" s="227" t="str">
        <f aca="false">IFERROR(IF(N$21*N26&gt;0,STDEV(N$21,N26),"")/IF(N$21*N26&gt;0,AVERAGE(N$21,N26),""),"")</f>
        <v/>
      </c>
      <c r="AE45" s="233"/>
      <c r="AF45" s="229" t="s">
        <v>298</v>
      </c>
      <c r="AG45" s="230" t="str">
        <f aca="false">IFERROR(IF(C$21*C26&gt;0,STDEV(C$21,C26)," ")/IF(C$21*C26&gt;0,SQRT(COUNT(C$21,C26))," "),"")</f>
        <v/>
      </c>
      <c r="AH45" s="230" t="str">
        <f aca="false">IFERROR(IF(D$21*D26&gt;0,STDEV(D$21,D26)," ")/IF(D$21*D26&gt;0,SQRT(COUNT(D$21,D26))," "),"")</f>
        <v/>
      </c>
      <c r="AI45" s="230" t="str">
        <f aca="false">IFERROR(IF(E$21*E26&gt;0,STDEV(E$21,E26)," ")/IF(E$21*E26&gt;0,SQRT(COUNT(E$21,E26))," "),"")</f>
        <v/>
      </c>
      <c r="AJ45" s="230" t="str">
        <f aca="false">IFERROR(IF(F$21*F26&gt;0,STDEV(F$21,F26)," ")/IF(F$21*F26&gt;0,SQRT(COUNT(F$21,F26))," "),"")</f>
        <v/>
      </c>
      <c r="AK45" s="230" t="str">
        <f aca="false">IFERROR(IF(G$21*G26&gt;0,STDEV(G$21,G26)," ")/IF(G$21*G26&gt;0,SQRT(COUNT(G$21,G26))," "),"")</f>
        <v/>
      </c>
      <c r="AL45" s="230" t="str">
        <f aca="false">IFERROR(IF(H$21*H26&gt;0,STDEV(H$21,H26)," ")/IF(H$21*H26&gt;0,SQRT(COUNT(H$21,H26))," "),"")</f>
        <v/>
      </c>
      <c r="AM45" s="230" t="str">
        <f aca="false">IFERROR(IF(I$21*I26&gt;0,STDEV(I$21,I26)," ")/IF(I$21*I26&gt;0,SQRT(COUNT(I$21,I26))," "),"")</f>
        <v/>
      </c>
      <c r="AN45" s="230" t="str">
        <f aca="false">IFERROR(IF(J$21*J26&gt;0,STDEV(J$21,J26)," ")/IF(J$21*J26&gt;0,SQRT(COUNT(J$21,J26))," "),"")</f>
        <v/>
      </c>
      <c r="AO45" s="230" t="str">
        <f aca="false">IFERROR(IF(K$21*K26&gt;0,STDEV(K$21,K26)," ")/IF(K$21*K26&gt;0,SQRT(COUNT(K$21,K26))," "),"")</f>
        <v/>
      </c>
      <c r="AP45" s="230" t="str">
        <f aca="false">IFERROR(IF(L$21*L26&gt;0,STDEV(L$21,L26)," ")/IF(L$21*L26&gt;0,SQRT(COUNT(L$21,L26))," "),"")</f>
        <v/>
      </c>
      <c r="AQ45" s="230" t="str">
        <f aca="false">IFERROR(IF(M$21*M26&gt;0,STDEV(M$21,M26)," ")/IF(M$21*M26&gt;0,SQRT(COUNT(M$21,M26))," "),"")</f>
        <v/>
      </c>
      <c r="AR45" s="230" t="str">
        <f aca="false">IFERROR(IF(N$21*N26&gt;0,STDEV(N$21,N26)," ")/IF(N$21*N26&gt;0,SQRT(COUNT(N$21,N26))," "),"")</f>
        <v/>
      </c>
    </row>
    <row r="46" customFormat="false" ht="15.75" hidden="false" customHeight="false" outlineLevel="0" collapsed="false">
      <c r="A46" s="220" t="s">
        <v>299</v>
      </c>
      <c r="B46" s="221"/>
      <c r="C46" s="222" t="str">
        <f aca="false">IFERROR(IF(C$21*C27&gt;0,AVERAGE(C$21,C27),""),"")</f>
        <v/>
      </c>
      <c r="D46" s="222" t="str">
        <f aca="false">IFERROR(IF(D$21*D27&gt;0,AVERAGE(D$21,D27),""),"")</f>
        <v/>
      </c>
      <c r="E46" s="222" t="str">
        <f aca="false">IFERROR(IF(E$21*E27&gt;0,AVERAGE(E$21,E27),""),"")</f>
        <v/>
      </c>
      <c r="F46" s="222" t="str">
        <f aca="false">IFERROR(IF(F$21*F27&gt;0,AVERAGE(F$21,F27),""),"")</f>
        <v/>
      </c>
      <c r="G46" s="222" t="str">
        <f aca="false">IFERROR(IF(G$21*G27&gt;0,AVERAGE(G$21,G27),""),"")</f>
        <v/>
      </c>
      <c r="H46" s="222" t="str">
        <f aca="false">IFERROR(IF(H$21*H27&gt;0,AVERAGE(H$21,H27),""),"")</f>
        <v/>
      </c>
      <c r="I46" s="222" t="str">
        <f aca="false">IFERROR(IF(I$21*I27&gt;0,AVERAGE(I$21,I27),""),"")</f>
        <v/>
      </c>
      <c r="J46" s="222" t="str">
        <f aca="false">IFERROR(IF(J$21*J27&gt;0,AVERAGE(J$21,J27),""),"")</f>
        <v/>
      </c>
      <c r="K46" s="222" t="str">
        <f aca="false">IFERROR(IF(K$21*K27&gt;0,AVERAGE(K$21,K27),""),"")</f>
        <v/>
      </c>
      <c r="L46" s="222" t="str">
        <f aca="false">IFERROR(IF(L$21*L27&gt;0,AVERAGE(L$21,L27),""),"")</f>
        <v/>
      </c>
      <c r="M46" s="222" t="str">
        <f aca="false">IFERROR(IF(M$21*M27&gt;0,AVERAGE(M$21,M27),""),"")</f>
        <v/>
      </c>
      <c r="N46" s="222" t="str">
        <f aca="false">IFERROR(IF(N$21*N27&gt;0,AVERAGE(N$21,N27),""),"")</f>
        <v/>
      </c>
      <c r="O46" s="224"/>
      <c r="P46" s="224"/>
      <c r="Q46" s="232"/>
      <c r="R46" s="226" t="s">
        <v>300</v>
      </c>
      <c r="S46" s="227" t="str">
        <f aca="false">IFERROR(IF(C$21*C27&gt;0,STDEV(C$21,C27),"")/IF(C$21*C27&gt;0,AVERAGE(C$21,C27),""),"")</f>
        <v/>
      </c>
      <c r="T46" s="227" t="str">
        <f aca="false">IFERROR(IF(D$21*D27&gt;0,STDEV(D$21,D27),"")/IF(D$21*D27&gt;0,AVERAGE(D$21,D27),""),"")</f>
        <v/>
      </c>
      <c r="U46" s="227" t="str">
        <f aca="false">IFERROR(IF(E$21*E27&gt;0,STDEV(E$21,E27),"")/IF(E$21*E27&gt;0,AVERAGE(E$21,E27),""),"")</f>
        <v/>
      </c>
      <c r="V46" s="227" t="str">
        <f aca="false">IFERROR(IF(F$21*F27&gt;0,STDEV(F$21,F27),"")/IF(F$21*F27&gt;0,AVERAGE(F$21,F27),""),"")</f>
        <v/>
      </c>
      <c r="W46" s="227" t="str">
        <f aca="false">IFERROR(IF(G$21*G27&gt;0,STDEV(G$21,G27),"")/IF(G$21*G27&gt;0,AVERAGE(G$21,G27),""),"")</f>
        <v/>
      </c>
      <c r="X46" s="227" t="str">
        <f aca="false">IFERROR(IF(H$21*H27&gt;0,STDEV(H$21,H27),"")/IF(H$21*H27&gt;0,AVERAGE(H$21,H27),""),"")</f>
        <v/>
      </c>
      <c r="Y46" s="227" t="str">
        <f aca="false">IFERROR(IF(I$21*I27&gt;0,STDEV(I$21,I27),"")/IF(I$21*I27&gt;0,AVERAGE(I$21,I27),""),"")</f>
        <v/>
      </c>
      <c r="Z46" s="227" t="str">
        <f aca="false">IFERROR(IF(J$21*J27&gt;0,STDEV(J$21,J27),"")/IF(J$21*J27&gt;0,AVERAGE(J$21,J27),""),"")</f>
        <v/>
      </c>
      <c r="AA46" s="227" t="str">
        <f aca="false">IFERROR(IF(K$21*K27&gt;0,STDEV(K$21,K27),"")/IF(K$21*K27&gt;0,AVERAGE(K$21,K27),""),"")</f>
        <v/>
      </c>
      <c r="AB46" s="227" t="str">
        <f aca="false">IFERROR(IF(L$21*L27&gt;0,STDEV(L$21,L27),"")/IF(L$21*L27&gt;0,AVERAGE(L$21,L27),""),"")</f>
        <v/>
      </c>
      <c r="AC46" s="227" t="str">
        <f aca="false">IFERROR(IF(M$21*M27&gt;0,STDEV(M$21,M27),"")/IF(M$21*M27&gt;0,AVERAGE(M$21,M27),""),"")</f>
        <v/>
      </c>
      <c r="AD46" s="227" t="str">
        <f aca="false">IFERROR(IF(N$21*N27&gt;0,STDEV(N$21,N27),"")/IF(N$21*N27&gt;0,AVERAGE(N$21,N27),""),"")</f>
        <v/>
      </c>
      <c r="AE46" s="233"/>
      <c r="AF46" s="229" t="s">
        <v>301</v>
      </c>
      <c r="AG46" s="230" t="str">
        <f aca="false">IFERROR(IF(C$21*C27&gt;0,STDEV(C$21,C27)," ")/IF(C$21*C27&gt;0,SQRT(COUNT(C$21,C27))," "),"")</f>
        <v/>
      </c>
      <c r="AH46" s="230" t="str">
        <f aca="false">IFERROR(IF(D$21*D27&gt;0,STDEV(D$21,D27)," ")/IF(D$21*D27&gt;0,SQRT(COUNT(D$21,D27))," "),"")</f>
        <v/>
      </c>
      <c r="AI46" s="230" t="str">
        <f aca="false">IFERROR(IF(E$21*E27&gt;0,STDEV(E$21,E27)," ")/IF(E$21*E27&gt;0,SQRT(COUNT(E$21,E27))," "),"")</f>
        <v/>
      </c>
      <c r="AJ46" s="230" t="str">
        <f aca="false">IFERROR(IF(F$21*F27&gt;0,STDEV(F$21,F27)," ")/IF(F$21*F27&gt;0,SQRT(COUNT(F$21,F27))," "),"")</f>
        <v/>
      </c>
      <c r="AK46" s="230" t="str">
        <f aca="false">IFERROR(IF(G$21*G27&gt;0,STDEV(G$21,G27)," ")/IF(G$21*G27&gt;0,SQRT(COUNT(G$21,G27))," "),"")</f>
        <v/>
      </c>
      <c r="AL46" s="230" t="str">
        <f aca="false">IFERROR(IF(H$21*H27&gt;0,STDEV(H$21,H27)," ")/IF(H$21*H27&gt;0,SQRT(COUNT(H$21,H27))," "),"")</f>
        <v/>
      </c>
      <c r="AM46" s="230" t="str">
        <f aca="false">IFERROR(IF(I$21*I27&gt;0,STDEV(I$21,I27)," ")/IF(I$21*I27&gt;0,SQRT(COUNT(I$21,I27))," "),"")</f>
        <v/>
      </c>
      <c r="AN46" s="230" t="str">
        <f aca="false">IFERROR(IF(J$21*J27&gt;0,STDEV(J$21,J27)," ")/IF(J$21*J27&gt;0,SQRT(COUNT(J$21,J27))," "),"")</f>
        <v/>
      </c>
      <c r="AO46" s="230" t="str">
        <f aca="false">IFERROR(IF(K$21*K27&gt;0,STDEV(K$21,K27)," ")/IF(K$21*K27&gt;0,SQRT(COUNT(K$21,K27))," "),"")</f>
        <v/>
      </c>
      <c r="AP46" s="230" t="str">
        <f aca="false">IFERROR(IF(L$21*L27&gt;0,STDEV(L$21,L27)," ")/IF(L$21*L27&gt;0,SQRT(COUNT(L$21,L27))," "),"")</f>
        <v/>
      </c>
      <c r="AQ46" s="230" t="str">
        <f aca="false">IFERROR(IF(M$21*M27&gt;0,STDEV(M$21,M27)," ")/IF(M$21*M27&gt;0,SQRT(COUNT(M$21,M27))," "),"")</f>
        <v/>
      </c>
      <c r="AR46" s="230" t="str">
        <f aca="false">IFERROR(IF(N$21*N27&gt;0,STDEV(N$21,N27)," ")/IF(N$21*N27&gt;0,SQRT(COUNT(N$21,N27))," "),"")</f>
        <v/>
      </c>
    </row>
    <row r="47" customFormat="false" ht="15.75" hidden="false" customHeight="false" outlineLevel="0" collapsed="false">
      <c r="A47" s="220" t="s">
        <v>302</v>
      </c>
      <c r="B47" s="221"/>
      <c r="C47" s="222" t="str">
        <f aca="false">IFERROR(IF(C$22*C23&gt;0,AVERAGE(C$22,C23),""),"")</f>
        <v/>
      </c>
      <c r="D47" s="222" t="str">
        <f aca="false">IFERROR(IF(D$22*D23&gt;0,AVERAGE(D$22,D23),""),"")</f>
        <v/>
      </c>
      <c r="E47" s="222" t="str">
        <f aca="false">IFERROR(IF(E$22*E23&gt;0,AVERAGE(E$22,E23),""),"")</f>
        <v/>
      </c>
      <c r="F47" s="222" t="str">
        <f aca="false">IFERROR(IF(F$22*F23&gt;0,AVERAGE(F$22,F23),""),"")</f>
        <v/>
      </c>
      <c r="G47" s="222" t="str">
        <f aca="false">IFERROR(IF(G$22*G23&gt;0,AVERAGE(G$22,G23),""),"")</f>
        <v/>
      </c>
      <c r="H47" s="222" t="str">
        <f aca="false">IFERROR(IF(H$22*H23&gt;0,AVERAGE(H$22,H23),""),"")</f>
        <v/>
      </c>
      <c r="I47" s="222" t="str">
        <f aca="false">IFERROR(IF(I$22*I23&gt;0,AVERAGE(I$22,I23),""),"")</f>
        <v/>
      </c>
      <c r="J47" s="222" t="str">
        <f aca="false">IFERROR(IF(J$22*J23&gt;0,AVERAGE(J$22,J23),""),"")</f>
        <v/>
      </c>
      <c r="K47" s="222" t="str">
        <f aca="false">IFERROR(IF(K$22*K23&gt;0,AVERAGE(K$22,K23),""),"")</f>
        <v/>
      </c>
      <c r="L47" s="222" t="str">
        <f aca="false">IFERROR(IF(L$22*L23&gt;0,AVERAGE(L$22,L23),""),"")</f>
        <v/>
      </c>
      <c r="M47" s="222" t="str">
        <f aca="false">IFERROR(IF(M$22*M23&gt;0,AVERAGE(M$22,M23),""),"")</f>
        <v/>
      </c>
      <c r="N47" s="222" t="str">
        <f aca="false">IFERROR(IF(N$22*N23&gt;0,AVERAGE(N$22,N23),""),"")</f>
        <v/>
      </c>
      <c r="O47" s="224"/>
      <c r="P47" s="224"/>
      <c r="Q47" s="232"/>
      <c r="R47" s="226" t="s">
        <v>303</v>
      </c>
      <c r="S47" s="227" t="str">
        <f aca="false">IFERROR(IF(C$22*C23&gt;0,STDEV(C$22,C23),"")/IF(C$22*C23&gt;0,AVERAGE(C$22,C23),""),"")</f>
        <v/>
      </c>
      <c r="T47" s="227" t="str">
        <f aca="false">IFERROR(IF(D$22*D23&gt;0,STDEV(D$22,D23),"")/IF(D$22*D23&gt;0,AVERAGE(D$22,D23),""),"")</f>
        <v/>
      </c>
      <c r="U47" s="227" t="str">
        <f aca="false">IFERROR(IF(E$22*E23&gt;0,STDEV(E$22,E23),"")/IF(E$22*E23&gt;0,AVERAGE(E$22,E23),""),"")</f>
        <v/>
      </c>
      <c r="V47" s="227" t="str">
        <f aca="false">IFERROR(IF(F$22*F23&gt;0,STDEV(F$22,F23),"")/IF(F$22*F23&gt;0,AVERAGE(F$22,F23),""),"")</f>
        <v/>
      </c>
      <c r="W47" s="227" t="str">
        <f aca="false">IFERROR(IF(G$22*G23&gt;0,STDEV(G$22,G23),"")/IF(G$22*G23&gt;0,AVERAGE(G$22,G23),""),"")</f>
        <v/>
      </c>
      <c r="X47" s="227" t="str">
        <f aca="false">IFERROR(IF(H$22*H23&gt;0,STDEV(H$22,H23),"")/IF(H$22*H23&gt;0,AVERAGE(H$22,H23),""),"")</f>
        <v/>
      </c>
      <c r="Y47" s="227" t="str">
        <f aca="false">IFERROR(IF(I$22*I23&gt;0,STDEV(I$22,I23),"")/IF(I$22*I23&gt;0,AVERAGE(I$22,I23),""),"")</f>
        <v/>
      </c>
      <c r="Z47" s="227" t="str">
        <f aca="false">IFERROR(IF(J$22*J23&gt;0,STDEV(J$22,J23),"")/IF(J$22*J23&gt;0,AVERAGE(J$22,J23),""),"")</f>
        <v/>
      </c>
      <c r="AA47" s="227" t="str">
        <f aca="false">IFERROR(IF(K$22*K23&gt;0,STDEV(K$22,K23),"")/IF(K$22*K23&gt;0,AVERAGE(K$22,K23),""),"")</f>
        <v/>
      </c>
      <c r="AB47" s="227" t="str">
        <f aca="false">IFERROR(IF(L$22*L23&gt;0,STDEV(L$22,L23),"")/IF(L$22*L23&gt;0,AVERAGE(L$22,L23),""),"")</f>
        <v/>
      </c>
      <c r="AC47" s="227" t="str">
        <f aca="false">IFERROR(IF(M$22*M23&gt;0,STDEV(M$22,M23),"")/IF(M$22*M23&gt;0,AVERAGE(M$22,M23),""),"")</f>
        <v/>
      </c>
      <c r="AD47" s="227" t="str">
        <f aca="false">IFERROR(IF(N$22*N23&gt;0,STDEV(N$22,N23),"")/IF(N$22*N23&gt;0,AVERAGE(N$22,N23),""),"")</f>
        <v/>
      </c>
      <c r="AE47" s="233"/>
      <c r="AF47" s="229" t="s">
        <v>304</v>
      </c>
      <c r="AG47" s="230" t="str">
        <f aca="false">IFERROR(IF(C$22*C23&gt;0,STDEV(C$22,C23)," ")/IF(C$22*C23&gt;0,SQRT(COUNT(C$22,C23))," "),"")</f>
        <v/>
      </c>
      <c r="AH47" s="230" t="str">
        <f aca="false">IFERROR(IF(D$22*D23&gt;0,STDEV(D$22,D23)," ")/IF(D$22*D23&gt;0,SQRT(COUNT(D$22,D23))," "),"")</f>
        <v/>
      </c>
      <c r="AI47" s="230" t="str">
        <f aca="false">IFERROR(IF(E$22*E23&gt;0,STDEV(E$22,E23)," ")/IF(E$22*E23&gt;0,SQRT(COUNT(E$22,E23))," "),"")</f>
        <v/>
      </c>
      <c r="AJ47" s="230" t="str">
        <f aca="false">IFERROR(IF(F$22*F23&gt;0,STDEV(F$22,F23)," ")/IF(F$22*F23&gt;0,SQRT(COUNT(F$22,F23))," "),"")</f>
        <v/>
      </c>
      <c r="AK47" s="230" t="str">
        <f aca="false">IFERROR(IF(G$22*G23&gt;0,STDEV(G$22,G23)," ")/IF(G$22*G23&gt;0,SQRT(COUNT(G$22,G23))," "),"")</f>
        <v/>
      </c>
      <c r="AL47" s="230" t="str">
        <f aca="false">IFERROR(IF(H$22*H23&gt;0,STDEV(H$22,H23)," ")/IF(H$22*H23&gt;0,SQRT(COUNT(H$22,H23))," "),"")</f>
        <v/>
      </c>
      <c r="AM47" s="230" t="str">
        <f aca="false">IFERROR(IF(I$22*I23&gt;0,STDEV(I$22,I23)," ")/IF(I$22*I23&gt;0,SQRT(COUNT(I$22,I23))," "),"")</f>
        <v/>
      </c>
      <c r="AN47" s="230" t="str">
        <f aca="false">IFERROR(IF(J$22*J23&gt;0,STDEV(J$22,J23)," ")/IF(J$22*J23&gt;0,SQRT(COUNT(J$22,J23))," "),"")</f>
        <v/>
      </c>
      <c r="AO47" s="230" t="str">
        <f aca="false">IFERROR(IF(K$22*K23&gt;0,STDEV(K$22,K23)," ")/IF(K$22*K23&gt;0,SQRT(COUNT(K$22,K23))," "),"")</f>
        <v/>
      </c>
      <c r="AP47" s="230" t="str">
        <f aca="false">IFERROR(IF(L$22*L23&gt;0,STDEV(L$22,L23)," ")/IF(L$22*L23&gt;0,SQRT(COUNT(L$22,L23))," "),"")</f>
        <v/>
      </c>
      <c r="AQ47" s="230" t="str">
        <f aca="false">IFERROR(IF(M$22*M23&gt;0,STDEV(M$22,M23)," ")/IF(M$22*M23&gt;0,SQRT(COUNT(M$22,M23))," "),"")</f>
        <v/>
      </c>
      <c r="AR47" s="230" t="str">
        <f aca="false">IFERROR(IF(N$22*N23&gt;0,STDEV(N$22,N23)," ")/IF(N$22*N23&gt;0,SQRT(COUNT(N$22,N23))," "),"")</f>
        <v/>
      </c>
    </row>
    <row r="48" customFormat="false" ht="15.75" hidden="false" customHeight="false" outlineLevel="0" collapsed="false">
      <c r="A48" s="220" t="s">
        <v>305</v>
      </c>
      <c r="B48" s="221"/>
      <c r="C48" s="222" t="str">
        <f aca="false">IFERROR(IF(C$22*C24&gt;0,AVERAGE(C$22,C24),""),"")</f>
        <v/>
      </c>
      <c r="D48" s="222" t="str">
        <f aca="false">IFERROR(IF(D$22*D24&gt;0,AVERAGE(D$22,D24),""),"")</f>
        <v/>
      </c>
      <c r="E48" s="222" t="str">
        <f aca="false">IFERROR(IF(E$22*E24&gt;0,AVERAGE(E$22,E24),""),"")</f>
        <v/>
      </c>
      <c r="F48" s="222" t="str">
        <f aca="false">IFERROR(IF(F$22*F24&gt;0,AVERAGE(F$22,F24),""),"")</f>
        <v/>
      </c>
      <c r="G48" s="222" t="str">
        <f aca="false">IFERROR(IF(G$22*G24&gt;0,AVERAGE(G$22,G24),""),"")</f>
        <v/>
      </c>
      <c r="H48" s="222" t="str">
        <f aca="false">IFERROR(IF(H$22*H24&gt;0,AVERAGE(H$22,H24),""),"")</f>
        <v/>
      </c>
      <c r="I48" s="222" t="str">
        <f aca="false">IFERROR(IF(I$22*I24&gt;0,AVERAGE(I$22,I24),""),"")</f>
        <v/>
      </c>
      <c r="J48" s="222" t="str">
        <f aca="false">IFERROR(IF(J$22*J24&gt;0,AVERAGE(J$22,J24),""),"")</f>
        <v/>
      </c>
      <c r="K48" s="222" t="str">
        <f aca="false">IFERROR(IF(K$22*K24&gt;0,AVERAGE(K$22,K24),""),"")</f>
        <v/>
      </c>
      <c r="L48" s="222" t="str">
        <f aca="false">IFERROR(IF(L$22*L24&gt;0,AVERAGE(L$22,L24),""),"")</f>
        <v/>
      </c>
      <c r="M48" s="222" t="str">
        <f aca="false">IFERROR(IF(M$22*M24&gt;0,AVERAGE(M$22,M24),""),"")</f>
        <v/>
      </c>
      <c r="N48" s="222" t="str">
        <f aca="false">IFERROR(IF(N$22*N24&gt;0,AVERAGE(N$22,N24),""),"")</f>
        <v/>
      </c>
      <c r="O48" s="224"/>
      <c r="P48" s="224"/>
      <c r="Q48" s="232"/>
      <c r="R48" s="226" t="s">
        <v>306</v>
      </c>
      <c r="S48" s="227" t="str">
        <f aca="false">IFERROR(IF(C$22*C24&gt;0,STDEV(C$22,C24),"")/IF(C$22*C24&gt;0,AVERAGE(C$22,C24),""),"")</f>
        <v/>
      </c>
      <c r="T48" s="227" t="str">
        <f aca="false">IFERROR(IF(D$22*D24&gt;0,STDEV(D$22,D24),"")/IF(D$22*D24&gt;0,AVERAGE(D$22,D24),""),"")</f>
        <v/>
      </c>
      <c r="U48" s="227" t="str">
        <f aca="false">IFERROR(IF(E$22*E24&gt;0,STDEV(E$22,E24),"")/IF(E$22*E24&gt;0,AVERAGE(E$22,E24),""),"")</f>
        <v/>
      </c>
      <c r="V48" s="227" t="str">
        <f aca="false">IFERROR(IF(F$22*F24&gt;0,STDEV(F$22,F24),"")/IF(F$22*F24&gt;0,AVERAGE(F$22,F24),""),"")</f>
        <v/>
      </c>
      <c r="W48" s="227" t="str">
        <f aca="false">IFERROR(IF(G$22*G24&gt;0,STDEV(G$22,G24),"")/IF(G$22*G24&gt;0,AVERAGE(G$22,G24),""),"")</f>
        <v/>
      </c>
      <c r="X48" s="227" t="str">
        <f aca="false">IFERROR(IF(H$22*H24&gt;0,STDEV(H$22,H24),"")/IF(H$22*H24&gt;0,AVERAGE(H$22,H24),""),"")</f>
        <v/>
      </c>
      <c r="Y48" s="227" t="str">
        <f aca="false">IFERROR(IF(I$22*I24&gt;0,STDEV(I$22,I24),"")/IF(I$22*I24&gt;0,AVERAGE(I$22,I24),""),"")</f>
        <v/>
      </c>
      <c r="Z48" s="227" t="str">
        <f aca="false">IFERROR(IF(J$22*J24&gt;0,STDEV(J$22,J24),"")/IF(J$22*J24&gt;0,AVERAGE(J$22,J24),""),"")</f>
        <v/>
      </c>
      <c r="AA48" s="227" t="str">
        <f aca="false">IFERROR(IF(K$22*K24&gt;0,STDEV(K$22,K24),"")/IF(K$22*K24&gt;0,AVERAGE(K$22,K24),""),"")</f>
        <v/>
      </c>
      <c r="AB48" s="227" t="str">
        <f aca="false">IFERROR(IF(L$22*L24&gt;0,STDEV(L$22,L24),"")/IF(L$22*L24&gt;0,AVERAGE(L$22,L24),""),"")</f>
        <v/>
      </c>
      <c r="AC48" s="227" t="str">
        <f aca="false">IFERROR(IF(M$22*M24&gt;0,STDEV(M$22,M24),"")/IF(M$22*M24&gt;0,AVERAGE(M$22,M24),""),"")</f>
        <v/>
      </c>
      <c r="AD48" s="227" t="str">
        <f aca="false">IFERROR(IF(N$22*N24&gt;0,STDEV(N$22,N24),"")/IF(N$22*N24&gt;0,AVERAGE(N$22,N24),""),"")</f>
        <v/>
      </c>
      <c r="AE48" s="233"/>
      <c r="AF48" s="229" t="s">
        <v>307</v>
      </c>
      <c r="AG48" s="230" t="str">
        <f aca="false">IFERROR(IF(C$22*C24&gt;0,STDEV(C$22,C24)," ")/IF(C$22*C24&gt;0,SQRT(COUNT(C$22,C24))," "),"")</f>
        <v/>
      </c>
      <c r="AH48" s="230" t="str">
        <f aca="false">IFERROR(IF(D$22*D24&gt;0,STDEV(D$22,D24)," ")/IF(D$22*D24&gt;0,SQRT(COUNT(D$22,D24))," "),"")</f>
        <v/>
      </c>
      <c r="AI48" s="230" t="str">
        <f aca="false">IFERROR(IF(E$22*E24&gt;0,STDEV(E$22,E24)," ")/IF(E$22*E24&gt;0,SQRT(COUNT(E$22,E24))," "),"")</f>
        <v/>
      </c>
      <c r="AJ48" s="230" t="str">
        <f aca="false">IFERROR(IF(F$22*F24&gt;0,STDEV(F$22,F24)," ")/IF(F$22*F24&gt;0,SQRT(COUNT(F$22,F24))," "),"")</f>
        <v/>
      </c>
      <c r="AK48" s="230" t="str">
        <f aca="false">IFERROR(IF(G$22*G24&gt;0,STDEV(G$22,G24)," ")/IF(G$22*G24&gt;0,SQRT(COUNT(G$22,G24))," "),"")</f>
        <v/>
      </c>
      <c r="AL48" s="230" t="str">
        <f aca="false">IFERROR(IF(H$22*H24&gt;0,STDEV(H$22,H24)," ")/IF(H$22*H24&gt;0,SQRT(COUNT(H$22,H24))," "),"")</f>
        <v/>
      </c>
      <c r="AM48" s="230" t="str">
        <f aca="false">IFERROR(IF(I$22*I24&gt;0,STDEV(I$22,I24)," ")/IF(I$22*I24&gt;0,SQRT(COUNT(I$22,I24))," "),"")</f>
        <v/>
      </c>
      <c r="AN48" s="230" t="str">
        <f aca="false">IFERROR(IF(J$22*J24&gt;0,STDEV(J$22,J24)," ")/IF(J$22*J24&gt;0,SQRT(COUNT(J$22,J24))," "),"")</f>
        <v/>
      </c>
      <c r="AO48" s="230" t="str">
        <f aca="false">IFERROR(IF(K$22*K24&gt;0,STDEV(K$22,K24)," ")/IF(K$22*K24&gt;0,SQRT(COUNT(K$22,K24))," "),"")</f>
        <v/>
      </c>
      <c r="AP48" s="230" t="str">
        <f aca="false">IFERROR(IF(L$22*L24&gt;0,STDEV(L$22,L24)," ")/IF(L$22*L24&gt;0,SQRT(COUNT(L$22,L24))," "),"")</f>
        <v/>
      </c>
      <c r="AQ48" s="230" t="str">
        <f aca="false">IFERROR(IF(M$22*M24&gt;0,STDEV(M$22,M24)," ")/IF(M$22*M24&gt;0,SQRT(COUNT(M$22,M24))," "),"")</f>
        <v/>
      </c>
      <c r="AR48" s="230" t="str">
        <f aca="false">IFERROR(IF(N$22*N24&gt;0,STDEV(N$22,N24)," ")/IF(N$22*N24&gt;0,SQRT(COUNT(N$22,N24))," "),"")</f>
        <v/>
      </c>
    </row>
    <row r="49" customFormat="false" ht="15.75" hidden="false" customHeight="false" outlineLevel="0" collapsed="false">
      <c r="A49" s="220" t="s">
        <v>308</v>
      </c>
      <c r="B49" s="221"/>
      <c r="C49" s="222" t="str">
        <f aca="false">IFERROR(IF(C$22*C25&gt;0,AVERAGE(C$22,C25),""),"")</f>
        <v/>
      </c>
      <c r="D49" s="222" t="str">
        <f aca="false">IFERROR(IF(D$22*D25&gt;0,AVERAGE(D$22,D25),""),"")</f>
        <v/>
      </c>
      <c r="E49" s="222" t="str">
        <f aca="false">IFERROR(IF(E$22*E25&gt;0,AVERAGE(E$22,E25),""),"")</f>
        <v/>
      </c>
      <c r="F49" s="222" t="str">
        <f aca="false">IFERROR(IF(F$22*F25&gt;0,AVERAGE(F$22,F25),""),"")</f>
        <v/>
      </c>
      <c r="G49" s="222" t="str">
        <f aca="false">IFERROR(IF(G$22*G25&gt;0,AVERAGE(G$22,G25),""),"")</f>
        <v/>
      </c>
      <c r="H49" s="222" t="str">
        <f aca="false">IFERROR(IF(H$22*H25&gt;0,AVERAGE(H$22,H25),""),"")</f>
        <v/>
      </c>
      <c r="I49" s="222" t="str">
        <f aca="false">IFERROR(IF(I$22*I25&gt;0,AVERAGE(I$22,I25),""),"")</f>
        <v/>
      </c>
      <c r="J49" s="222" t="str">
        <f aca="false">IFERROR(IF(J$22*J25&gt;0,AVERAGE(J$22,J25),""),"")</f>
        <v/>
      </c>
      <c r="K49" s="222" t="str">
        <f aca="false">IFERROR(IF(K$22*K25&gt;0,AVERAGE(K$22,K25),""),"")</f>
        <v/>
      </c>
      <c r="L49" s="222" t="str">
        <f aca="false">IFERROR(IF(L$22*L25&gt;0,AVERAGE(L$22,L25),""),"")</f>
        <v/>
      </c>
      <c r="M49" s="222" t="str">
        <f aca="false">IFERROR(IF(M$22*M25&gt;0,AVERAGE(M$22,M25),""),"")</f>
        <v/>
      </c>
      <c r="N49" s="222" t="str">
        <f aca="false">IFERROR(IF(N$22*N25&gt;0,AVERAGE(N$22,N25),""),"")</f>
        <v/>
      </c>
      <c r="O49" s="224"/>
      <c r="P49" s="224"/>
      <c r="Q49" s="232"/>
      <c r="R49" s="226" t="s">
        <v>309</v>
      </c>
      <c r="S49" s="227" t="str">
        <f aca="false">IFERROR(IF(C$22*C25&gt;0,STDEV(C$22,C25),"")/IF(C$22*C25&gt;0,AVERAGE(C$22,C25),""),"")</f>
        <v/>
      </c>
      <c r="T49" s="227" t="str">
        <f aca="false">IFERROR(IF(D$22*D25&gt;0,STDEV(D$22,D25),"")/IF(D$22*D25&gt;0,AVERAGE(D$22,D25),""),"")</f>
        <v/>
      </c>
      <c r="U49" s="227" t="str">
        <f aca="false">IFERROR(IF(E$22*E25&gt;0,STDEV(E$22,E25),"")/IF(E$22*E25&gt;0,AVERAGE(E$22,E25),""),"")</f>
        <v/>
      </c>
      <c r="V49" s="227" t="str">
        <f aca="false">IFERROR(IF(F$22*F25&gt;0,STDEV(F$22,F25),"")/IF(F$22*F25&gt;0,AVERAGE(F$22,F25),""),"")</f>
        <v/>
      </c>
      <c r="W49" s="227" t="str">
        <f aca="false">IFERROR(IF(G$22*G25&gt;0,STDEV(G$22,G25),"")/IF(G$22*G25&gt;0,AVERAGE(G$22,G25),""),"")</f>
        <v/>
      </c>
      <c r="X49" s="227" t="str">
        <f aca="false">IFERROR(IF(H$22*H25&gt;0,STDEV(H$22,H25),"")/IF(H$22*H25&gt;0,AVERAGE(H$22,H25),""),"")</f>
        <v/>
      </c>
      <c r="Y49" s="227" t="str">
        <f aca="false">IFERROR(IF(I$22*I25&gt;0,STDEV(I$22,I25),"")/IF(I$22*I25&gt;0,AVERAGE(I$22,I25),""),"")</f>
        <v/>
      </c>
      <c r="Z49" s="227" t="str">
        <f aca="false">IFERROR(IF(J$22*J25&gt;0,STDEV(J$22,J25),"")/IF(J$22*J25&gt;0,AVERAGE(J$22,J25),""),"")</f>
        <v/>
      </c>
      <c r="AA49" s="227" t="str">
        <f aca="false">IFERROR(IF(K$22*K25&gt;0,STDEV(K$22,K25),"")/IF(K$22*K25&gt;0,AVERAGE(K$22,K25),""),"")</f>
        <v/>
      </c>
      <c r="AB49" s="227" t="str">
        <f aca="false">IFERROR(IF(L$22*L25&gt;0,STDEV(L$22,L25),"")/IF(L$22*L25&gt;0,AVERAGE(L$22,L25),""),"")</f>
        <v/>
      </c>
      <c r="AC49" s="227" t="str">
        <f aca="false">IFERROR(IF(M$22*M25&gt;0,STDEV(M$22,M25),"")/IF(M$22*M25&gt;0,AVERAGE(M$22,M25),""),"")</f>
        <v/>
      </c>
      <c r="AD49" s="227" t="str">
        <f aca="false">IFERROR(IF(N$22*N25&gt;0,STDEV(N$22,N25),"")/IF(N$22*N25&gt;0,AVERAGE(N$22,N25),""),"")</f>
        <v/>
      </c>
      <c r="AE49" s="233"/>
      <c r="AF49" s="229" t="s">
        <v>310</v>
      </c>
      <c r="AG49" s="230" t="str">
        <f aca="false">IFERROR(IF(C$22*C25&gt;0,STDEV(C$22,C25)," ")/IF(C$22*C25&gt;0,SQRT(COUNT(C$22,C25))," "),"")</f>
        <v/>
      </c>
      <c r="AH49" s="230" t="str">
        <f aca="false">IFERROR(IF(D$22*D25&gt;0,STDEV(D$22,D25)," ")/IF(D$22*D25&gt;0,SQRT(COUNT(D$22,D25))," "),"")</f>
        <v/>
      </c>
      <c r="AI49" s="230" t="str">
        <f aca="false">IFERROR(IF(E$22*E25&gt;0,STDEV(E$22,E25)," ")/IF(E$22*E25&gt;0,SQRT(COUNT(E$22,E25))," "),"")</f>
        <v/>
      </c>
      <c r="AJ49" s="230" t="str">
        <f aca="false">IFERROR(IF(F$22*F25&gt;0,STDEV(F$22,F25)," ")/IF(F$22*F25&gt;0,SQRT(COUNT(F$22,F25))," "),"")</f>
        <v/>
      </c>
      <c r="AK49" s="230" t="str">
        <f aca="false">IFERROR(IF(G$22*G25&gt;0,STDEV(G$22,G25)," ")/IF(G$22*G25&gt;0,SQRT(COUNT(G$22,G25))," "),"")</f>
        <v/>
      </c>
      <c r="AL49" s="230" t="str">
        <f aca="false">IFERROR(IF(H$22*H25&gt;0,STDEV(H$22,H25)," ")/IF(H$22*H25&gt;0,SQRT(COUNT(H$22,H25))," "),"")</f>
        <v/>
      </c>
      <c r="AM49" s="230" t="str">
        <f aca="false">IFERROR(IF(I$22*I25&gt;0,STDEV(I$22,I25)," ")/IF(I$22*I25&gt;0,SQRT(COUNT(I$22,I25))," "),"")</f>
        <v/>
      </c>
      <c r="AN49" s="230" t="str">
        <f aca="false">IFERROR(IF(J$22*J25&gt;0,STDEV(J$22,J25)," ")/IF(J$22*J25&gt;0,SQRT(COUNT(J$22,J25))," "),"")</f>
        <v/>
      </c>
      <c r="AO49" s="230" t="str">
        <f aca="false">IFERROR(IF(K$22*K25&gt;0,STDEV(K$22,K25)," ")/IF(K$22*K25&gt;0,SQRT(COUNT(K$22,K25))," "),"")</f>
        <v/>
      </c>
      <c r="AP49" s="230" t="str">
        <f aca="false">IFERROR(IF(L$22*L25&gt;0,STDEV(L$22,L25)," ")/IF(L$22*L25&gt;0,SQRT(COUNT(L$22,L25))," "),"")</f>
        <v/>
      </c>
      <c r="AQ49" s="230" t="str">
        <f aca="false">IFERROR(IF(M$22*M25&gt;0,STDEV(M$22,M25)," ")/IF(M$22*M25&gt;0,SQRT(COUNT(M$22,M25))," "),"")</f>
        <v/>
      </c>
      <c r="AR49" s="230" t="str">
        <f aca="false">IFERROR(IF(N$22*N25&gt;0,STDEV(N$22,N25)," ")/IF(N$22*N25&gt;0,SQRT(COUNT(N$22,N25))," "),"")</f>
        <v/>
      </c>
    </row>
    <row r="50" customFormat="false" ht="18" hidden="false" customHeight="false" outlineLevel="0" collapsed="false">
      <c r="A50" s="220" t="s">
        <v>311</v>
      </c>
      <c r="B50" s="221"/>
      <c r="C50" s="222" t="str">
        <f aca="false">IFERROR(IF(C$22*C26&gt;0,AVERAGE(C$22,C26),""),"")</f>
        <v/>
      </c>
      <c r="D50" s="222" t="str">
        <f aca="false">IFERROR(IF(D$22*D26&gt;0,AVERAGE(D$22,D26),""),"")</f>
        <v/>
      </c>
      <c r="E50" s="222" t="str">
        <f aca="false">IFERROR(IF(E$22*E26&gt;0,AVERAGE(E$22,E26),""),"")</f>
        <v/>
      </c>
      <c r="F50" s="222" t="str">
        <f aca="false">IFERROR(IF(F$22*F26&gt;0,AVERAGE(F$22,F26),""),"")</f>
        <v/>
      </c>
      <c r="G50" s="222" t="str">
        <f aca="false">IFERROR(IF(G$22*G26&gt;0,AVERAGE(G$22,G26),""),"")</f>
        <v/>
      </c>
      <c r="H50" s="222" t="str">
        <f aca="false">IFERROR(IF(H$22*H26&gt;0,AVERAGE(H$22,H26),""),"")</f>
        <v/>
      </c>
      <c r="I50" s="222" t="str">
        <f aca="false">IFERROR(IF(I$22*I26&gt;0,AVERAGE(I$22,I26),""),"")</f>
        <v/>
      </c>
      <c r="J50" s="222" t="str">
        <f aca="false">IFERROR(IF(J$22*J26&gt;0,AVERAGE(J$22,J26),""),"")</f>
        <v/>
      </c>
      <c r="K50" s="222" t="str">
        <f aca="false">IFERROR(IF(K$22*K26&gt;0,AVERAGE(K$22,K26),""),"")</f>
        <v/>
      </c>
      <c r="L50" s="222" t="str">
        <f aca="false">IFERROR(IF(L$22*L26&gt;0,AVERAGE(L$22,L26),""),"")</f>
        <v/>
      </c>
      <c r="M50" s="222" t="str">
        <f aca="false">IFERROR(IF(M$22*M26&gt;0,AVERAGE(M$22,M26),""),"")</f>
        <v/>
      </c>
      <c r="N50" s="222" t="str">
        <f aca="false">IFERROR(IF(N$22*N26&gt;0,AVERAGE(N$22,N26),""),"")</f>
        <v/>
      </c>
      <c r="O50" s="234"/>
      <c r="P50" s="224"/>
      <c r="Q50" s="232"/>
      <c r="R50" s="226" t="s">
        <v>312</v>
      </c>
      <c r="S50" s="227" t="str">
        <f aca="false">IFERROR(IF(C$22*C26&gt;0,STDEV(C$22,C26),"")/IF(C$22*C26&gt;0,AVERAGE(C$22,C26),""),"")</f>
        <v/>
      </c>
      <c r="T50" s="227" t="str">
        <f aca="false">IFERROR(IF(D$22*D26&gt;0,STDEV(D$22,D26),"")/IF(D$22*D26&gt;0,AVERAGE(D$22,D26),""),"")</f>
        <v/>
      </c>
      <c r="U50" s="227" t="str">
        <f aca="false">IFERROR(IF(E$22*E26&gt;0,STDEV(E$22,E26),"")/IF(E$22*E26&gt;0,AVERAGE(E$22,E26),""),"")</f>
        <v/>
      </c>
      <c r="V50" s="227" t="str">
        <f aca="false">IFERROR(IF(F$22*F26&gt;0,STDEV(F$22,F26),"")/IF(F$22*F26&gt;0,AVERAGE(F$22,F26),""),"")</f>
        <v/>
      </c>
      <c r="W50" s="227" t="str">
        <f aca="false">IFERROR(IF(G$22*G26&gt;0,STDEV(G$22,G26),"")/IF(G$22*G26&gt;0,AVERAGE(G$22,G26),""),"")</f>
        <v/>
      </c>
      <c r="X50" s="227" t="str">
        <f aca="false">IFERROR(IF(H$22*H26&gt;0,STDEV(H$22,H26),"")/IF(H$22*H26&gt;0,AVERAGE(H$22,H26),""),"")</f>
        <v/>
      </c>
      <c r="Y50" s="227" t="str">
        <f aca="false">IFERROR(IF(I$22*I26&gt;0,STDEV(I$22,I26),"")/IF(I$22*I26&gt;0,AVERAGE(I$22,I26),""),"")</f>
        <v/>
      </c>
      <c r="Z50" s="227" t="str">
        <f aca="false">IFERROR(IF(J$22*J26&gt;0,STDEV(J$22,J26),"")/IF(J$22*J26&gt;0,AVERAGE(J$22,J26),""),"")</f>
        <v/>
      </c>
      <c r="AA50" s="227" t="str">
        <f aca="false">IFERROR(IF(K$22*K26&gt;0,STDEV(K$22,K26),"")/IF(K$22*K26&gt;0,AVERAGE(K$22,K26),""),"")</f>
        <v/>
      </c>
      <c r="AB50" s="227" t="str">
        <f aca="false">IFERROR(IF(L$22*L26&gt;0,STDEV(L$22,L26),"")/IF(L$22*L26&gt;0,AVERAGE(L$22,L26),""),"")</f>
        <v/>
      </c>
      <c r="AC50" s="227" t="str">
        <f aca="false">IFERROR(IF(M$22*M26&gt;0,STDEV(M$22,M26),"")/IF(M$22*M26&gt;0,AVERAGE(M$22,M26),""),"")</f>
        <v/>
      </c>
      <c r="AD50" s="227" t="str">
        <f aca="false">IFERROR(IF(N$22*N26&gt;0,STDEV(N$22,N26),"")/IF(N$22*N26&gt;0,AVERAGE(N$22,N26),""),"")</f>
        <v/>
      </c>
      <c r="AE50" s="233"/>
      <c r="AF50" s="229" t="s">
        <v>313</v>
      </c>
      <c r="AG50" s="230" t="str">
        <f aca="false">IFERROR(IF(C$22*C26&gt;0,STDEV(C$22,C26)," ")/IF(C$22*C26&gt;0,SQRT(COUNT(C$22,C26))," "),"")</f>
        <v/>
      </c>
      <c r="AH50" s="230" t="str">
        <f aca="false">IFERROR(IF(D$22*D26&gt;0,STDEV(D$22,D26)," ")/IF(D$22*D26&gt;0,SQRT(COUNT(D$22,D26))," "),"")</f>
        <v/>
      </c>
      <c r="AI50" s="230" t="str">
        <f aca="false">IFERROR(IF(E$22*E26&gt;0,STDEV(E$22,E26)," ")/IF(E$22*E26&gt;0,SQRT(COUNT(E$22,E26))," "),"")</f>
        <v/>
      </c>
      <c r="AJ50" s="230" t="str">
        <f aca="false">IFERROR(IF(F$22*F26&gt;0,STDEV(F$22,F26)," ")/IF(F$22*F26&gt;0,SQRT(COUNT(F$22,F26))," "),"")</f>
        <v/>
      </c>
      <c r="AK50" s="230" t="str">
        <f aca="false">IFERROR(IF(G$22*G26&gt;0,STDEV(G$22,G26)," ")/IF(G$22*G26&gt;0,SQRT(COUNT(G$22,G26))," "),"")</f>
        <v/>
      </c>
      <c r="AL50" s="230" t="str">
        <f aca="false">IFERROR(IF(H$22*H26&gt;0,STDEV(H$22,H26)," ")/IF(H$22*H26&gt;0,SQRT(COUNT(H$22,H26))," "),"")</f>
        <v/>
      </c>
      <c r="AM50" s="230" t="str">
        <f aca="false">IFERROR(IF(I$22*I26&gt;0,STDEV(I$22,I26)," ")/IF(I$22*I26&gt;0,SQRT(COUNT(I$22,I26))," "),"")</f>
        <v/>
      </c>
      <c r="AN50" s="230" t="str">
        <f aca="false">IFERROR(IF(J$22*J26&gt;0,STDEV(J$22,J26)," ")/IF(J$22*J26&gt;0,SQRT(COUNT(J$22,J26))," "),"")</f>
        <v/>
      </c>
      <c r="AO50" s="230" t="str">
        <f aca="false">IFERROR(IF(K$22*K26&gt;0,STDEV(K$22,K26)," ")/IF(K$22*K26&gt;0,SQRT(COUNT(K$22,K26))," "),"")</f>
        <v/>
      </c>
      <c r="AP50" s="230" t="str">
        <f aca="false">IFERROR(IF(L$22*L26&gt;0,STDEV(L$22,L26)," ")/IF(L$22*L26&gt;0,SQRT(COUNT(L$22,L26))," "),"")</f>
        <v/>
      </c>
      <c r="AQ50" s="230" t="str">
        <f aca="false">IFERROR(IF(M$22*M26&gt;0,STDEV(M$22,M26)," ")/IF(M$22*M26&gt;0,SQRT(COUNT(M$22,M26))," "),"")</f>
        <v/>
      </c>
      <c r="AR50" s="230" t="str">
        <f aca="false">IFERROR(IF(N$22*N26&gt;0,STDEV(N$22,N26)," ")/IF(N$22*N26&gt;0,SQRT(COUNT(N$22,N26))," "),"")</f>
        <v/>
      </c>
    </row>
    <row r="51" customFormat="false" ht="15.75" hidden="false" customHeight="false" outlineLevel="0" collapsed="false">
      <c r="A51" s="220" t="s">
        <v>314</v>
      </c>
      <c r="B51" s="221"/>
      <c r="C51" s="222" t="str">
        <f aca="false">IFERROR(IF(C$22*C27&gt;0,AVERAGE(C$22,C27),""),"")</f>
        <v/>
      </c>
      <c r="D51" s="222" t="str">
        <f aca="false">IFERROR(IF(D$22*D27&gt;0,AVERAGE(D$22,D27),""),"")</f>
        <v/>
      </c>
      <c r="E51" s="222" t="str">
        <f aca="false">IFERROR(IF(E$22*E27&gt;0,AVERAGE(E$22,E27),""),"")</f>
        <v/>
      </c>
      <c r="F51" s="222" t="str">
        <f aca="false">IFERROR(IF(F$22*F27&gt;0,AVERAGE(F$22,F27),""),"")</f>
        <v/>
      </c>
      <c r="G51" s="222" t="str">
        <f aca="false">IFERROR(IF(G$22*G27&gt;0,AVERAGE(G$22,G27),""),"")</f>
        <v/>
      </c>
      <c r="H51" s="222" t="str">
        <f aca="false">IFERROR(IF(H$22*H27&gt;0,AVERAGE(H$22,H27),""),"")</f>
        <v/>
      </c>
      <c r="I51" s="222" t="str">
        <f aca="false">IFERROR(IF(I$22*I27&gt;0,AVERAGE(I$22,I27),""),"")</f>
        <v/>
      </c>
      <c r="J51" s="222" t="str">
        <f aca="false">IFERROR(IF(J$22*J27&gt;0,AVERAGE(J$22,J27),""),"")</f>
        <v/>
      </c>
      <c r="K51" s="222" t="str">
        <f aca="false">IFERROR(IF(K$22*K27&gt;0,AVERAGE(K$22,K27),""),"")</f>
        <v/>
      </c>
      <c r="L51" s="222" t="str">
        <f aca="false">IFERROR(IF(L$22*L27&gt;0,AVERAGE(L$22,L27),""),"")</f>
        <v/>
      </c>
      <c r="M51" s="222" t="str">
        <f aca="false">IFERROR(IF(M$22*M27&gt;0,AVERAGE(M$22,M27),""),"")</f>
        <v/>
      </c>
      <c r="N51" s="222" t="str">
        <f aca="false">IFERROR(IF(N$22*N27&gt;0,AVERAGE(N$22,N27),""),"")</f>
        <v/>
      </c>
      <c r="O51" s="96"/>
      <c r="P51" s="224"/>
      <c r="Q51" s="232"/>
      <c r="R51" s="226" t="s">
        <v>315</v>
      </c>
      <c r="S51" s="227" t="str">
        <f aca="false">IFERROR(IF(C$22*C27&gt;0,STDEV(C$22,C27),"")/IF(C$22*C27&gt;0,AVERAGE(C$22,C27),""),"")</f>
        <v/>
      </c>
      <c r="T51" s="227" t="str">
        <f aca="false">IFERROR(IF(D$22*D27&gt;0,STDEV(D$22,D27),"")/IF(D$22*D27&gt;0,AVERAGE(D$22,D27),""),"")</f>
        <v/>
      </c>
      <c r="U51" s="227" t="str">
        <f aca="false">IFERROR(IF(E$22*E27&gt;0,STDEV(E$22,E27),"")/IF(E$22*E27&gt;0,AVERAGE(E$22,E27),""),"")</f>
        <v/>
      </c>
      <c r="V51" s="227" t="str">
        <f aca="false">IFERROR(IF(F$22*F27&gt;0,STDEV(F$22,F27),"")/IF(F$22*F27&gt;0,AVERAGE(F$22,F27),""),"")</f>
        <v/>
      </c>
      <c r="W51" s="227" t="str">
        <f aca="false">IFERROR(IF(G$22*G27&gt;0,STDEV(G$22,G27),"")/IF(G$22*G27&gt;0,AVERAGE(G$22,G27),""),"")</f>
        <v/>
      </c>
      <c r="X51" s="227" t="str">
        <f aca="false">IFERROR(IF(H$22*H27&gt;0,STDEV(H$22,H27),"")/IF(H$22*H27&gt;0,AVERAGE(H$22,H27),""),"")</f>
        <v/>
      </c>
      <c r="Y51" s="227" t="str">
        <f aca="false">IFERROR(IF(I$22*I27&gt;0,STDEV(I$22,I27),"")/IF(I$22*I27&gt;0,AVERAGE(I$22,I27),""),"")</f>
        <v/>
      </c>
      <c r="Z51" s="227" t="str">
        <f aca="false">IFERROR(IF(J$22*J27&gt;0,STDEV(J$22,J27),"")/IF(J$22*J27&gt;0,AVERAGE(J$22,J27),""),"")</f>
        <v/>
      </c>
      <c r="AA51" s="227" t="str">
        <f aca="false">IFERROR(IF(K$22*K27&gt;0,STDEV(K$22,K27),"")/IF(K$22*K27&gt;0,AVERAGE(K$22,K27),""),"")</f>
        <v/>
      </c>
      <c r="AB51" s="227" t="str">
        <f aca="false">IFERROR(IF(L$22*L27&gt;0,STDEV(L$22,L27),"")/IF(L$22*L27&gt;0,AVERAGE(L$22,L27),""),"")</f>
        <v/>
      </c>
      <c r="AC51" s="227" t="str">
        <f aca="false">IFERROR(IF(M$22*M27&gt;0,STDEV(M$22,M27),"")/IF(M$22*M27&gt;0,AVERAGE(M$22,M27),""),"")</f>
        <v/>
      </c>
      <c r="AD51" s="227" t="str">
        <f aca="false">IFERROR(IF(N$22*N27&gt;0,STDEV(N$22,N27),"")/IF(N$22*N27&gt;0,AVERAGE(N$22,N27),""),"")</f>
        <v/>
      </c>
      <c r="AE51" s="233"/>
      <c r="AF51" s="229" t="s">
        <v>316</v>
      </c>
      <c r="AG51" s="230" t="str">
        <f aca="false">IFERROR(IF(C$22*C27&gt;0,STDEV(C$22,C27)," ")/IF(C$22*C27&gt;0,SQRT(COUNT(C$22,C27))," "),"")</f>
        <v/>
      </c>
      <c r="AH51" s="230" t="str">
        <f aca="false">IFERROR(IF(D$22*D27&gt;0,STDEV(D$22,D27)," ")/IF(D$22*D27&gt;0,SQRT(COUNT(D$22,D27))," "),"")</f>
        <v/>
      </c>
      <c r="AI51" s="230" t="str">
        <f aca="false">IFERROR(IF(E$22*E27&gt;0,STDEV(E$22,E27)," ")/IF(E$22*E27&gt;0,SQRT(COUNT(E$22,E27))," "),"")</f>
        <v/>
      </c>
      <c r="AJ51" s="230" t="str">
        <f aca="false">IFERROR(IF(F$22*F27&gt;0,STDEV(F$22,F27)," ")/IF(F$22*F27&gt;0,SQRT(COUNT(F$22,F27))," "),"")</f>
        <v/>
      </c>
      <c r="AK51" s="230" t="str">
        <f aca="false">IFERROR(IF(G$22*G27&gt;0,STDEV(G$22,G27)," ")/IF(G$22*G27&gt;0,SQRT(COUNT(G$22,G27))," "),"")</f>
        <v/>
      </c>
      <c r="AL51" s="230" t="str">
        <f aca="false">IFERROR(IF(H$22*H27&gt;0,STDEV(H$22,H27)," ")/IF(H$22*H27&gt;0,SQRT(COUNT(H$22,H27))," "),"")</f>
        <v/>
      </c>
      <c r="AM51" s="230" t="str">
        <f aca="false">IFERROR(IF(I$22*I27&gt;0,STDEV(I$22,I27)," ")/IF(I$22*I27&gt;0,SQRT(COUNT(I$22,I27))," "),"")</f>
        <v/>
      </c>
      <c r="AN51" s="230" t="str">
        <f aca="false">IFERROR(IF(J$22*J27&gt;0,STDEV(J$22,J27)," ")/IF(J$22*J27&gt;0,SQRT(COUNT(J$22,J27))," "),"")</f>
        <v/>
      </c>
      <c r="AO51" s="230" t="str">
        <f aca="false">IFERROR(IF(K$22*K27&gt;0,STDEV(K$22,K27)," ")/IF(K$22*K27&gt;0,SQRT(COUNT(K$22,K27))," "),"")</f>
        <v/>
      </c>
      <c r="AP51" s="230" t="str">
        <f aca="false">IFERROR(IF(L$22*L27&gt;0,STDEV(L$22,L27)," ")/IF(L$22*L27&gt;0,SQRT(COUNT(L$22,L27))," "),"")</f>
        <v/>
      </c>
      <c r="AQ51" s="230" t="str">
        <f aca="false">IFERROR(IF(M$22*M27&gt;0,STDEV(M$22,M27)," ")/IF(M$22*M27&gt;0,SQRT(COUNT(M$22,M27))," "),"")</f>
        <v/>
      </c>
      <c r="AR51" s="230" t="str">
        <f aca="false">IFERROR(IF(N$22*N27&gt;0,STDEV(N$22,N27)," ")/IF(N$22*N27&gt;0,SQRT(COUNT(N$22,N27))," "),"")</f>
        <v/>
      </c>
    </row>
    <row r="52" customFormat="false" ht="15.75" hidden="false" customHeight="false" outlineLevel="0" collapsed="false">
      <c r="A52" s="220" t="s">
        <v>317</v>
      </c>
      <c r="B52" s="221"/>
      <c r="C52" s="222" t="str">
        <f aca="false">IFERROR(IF(C$23*C24&gt;0,AVERAGE(C$23,C24),""),"")</f>
        <v/>
      </c>
      <c r="D52" s="222" t="str">
        <f aca="false">IFERROR(IF(D$23*D24&gt;0,AVERAGE(D$23,D24),""),"")</f>
        <v/>
      </c>
      <c r="E52" s="222" t="str">
        <f aca="false">IFERROR(IF(E$23*E24&gt;0,AVERAGE(E$23,E24),""),"")</f>
        <v/>
      </c>
      <c r="F52" s="222" t="str">
        <f aca="false">IFERROR(IF(F$23*F24&gt;0,AVERAGE(F$23,F24),""),"")</f>
        <v/>
      </c>
      <c r="G52" s="222" t="str">
        <f aca="false">IFERROR(IF(G$23*G24&gt;0,AVERAGE(G$23,G24),""),"")</f>
        <v/>
      </c>
      <c r="H52" s="222" t="str">
        <f aca="false">IFERROR(IF(H$23*H24&gt;0,AVERAGE(H$23,H24),""),"")</f>
        <v/>
      </c>
      <c r="I52" s="222" t="str">
        <f aca="false">IFERROR(IF(I$23*I24&gt;0,AVERAGE(I$23,I24),""),"")</f>
        <v/>
      </c>
      <c r="J52" s="222" t="str">
        <f aca="false">IFERROR(IF(J$23*J24&gt;0,AVERAGE(J$23,J24),""),"")</f>
        <v/>
      </c>
      <c r="K52" s="222" t="str">
        <f aca="false">IFERROR(IF(K$23*K24&gt;0,AVERAGE(K$23,K24),""),"")</f>
        <v/>
      </c>
      <c r="L52" s="222" t="str">
        <f aca="false">IFERROR(IF(L$23*L24&gt;0,AVERAGE(L$23,L24),""),"")</f>
        <v/>
      </c>
      <c r="M52" s="222" t="str">
        <f aca="false">IFERROR(IF(M$23*M24&gt;0,AVERAGE(M$23,M24),""),"")</f>
        <v/>
      </c>
      <c r="N52" s="222" t="str">
        <f aca="false">IFERROR(IF(N$23*N24&gt;0,AVERAGE(N$23,N24),""),"")</f>
        <v/>
      </c>
      <c r="O52" s="96"/>
      <c r="P52" s="224"/>
      <c r="Q52" s="232"/>
      <c r="R52" s="226" t="s">
        <v>318</v>
      </c>
      <c r="S52" s="227" t="str">
        <f aca="false">IFERROR(IF(C$23*C24&gt;0,STDEV(C$23,C24),"")/IF(C$23*C24&gt;0,AVERAGE(C$23,C24),""),"")</f>
        <v/>
      </c>
      <c r="T52" s="227" t="str">
        <f aca="false">IFERROR(IF(D$23*D24&gt;0,STDEV(D$23,D24),"")/IF(D$23*D24&gt;0,AVERAGE(D$23,D24),""),"")</f>
        <v/>
      </c>
      <c r="U52" s="227" t="str">
        <f aca="false">IFERROR(IF(E$23*E24&gt;0,STDEV(E$23,E24),"")/IF(E$23*E24&gt;0,AVERAGE(E$23,E24),""),"")</f>
        <v/>
      </c>
      <c r="V52" s="227" t="str">
        <f aca="false">IFERROR(IF(F$23*F24&gt;0,STDEV(F$23,F24),"")/IF(F$23*F24&gt;0,AVERAGE(F$23,F24),""),"")</f>
        <v/>
      </c>
      <c r="W52" s="227" t="str">
        <f aca="false">IFERROR(IF(G$23*G24&gt;0,STDEV(G$23,G24),"")/IF(G$23*G24&gt;0,AVERAGE(G$23,G24),""),"")</f>
        <v/>
      </c>
      <c r="X52" s="227" t="str">
        <f aca="false">IFERROR(IF(H$23*H24&gt;0,STDEV(H$23,H24),"")/IF(H$23*H24&gt;0,AVERAGE(H$23,H24),""),"")</f>
        <v/>
      </c>
      <c r="Y52" s="227" t="str">
        <f aca="false">IFERROR(IF(I$23*I24&gt;0,STDEV(I$23,I24),"")/IF(I$23*I24&gt;0,AVERAGE(I$23,I24),""),"")</f>
        <v/>
      </c>
      <c r="Z52" s="227" t="str">
        <f aca="false">IFERROR(IF(J$23*J24&gt;0,STDEV(J$23,J24),"")/IF(J$23*J24&gt;0,AVERAGE(J$23,J24),""),"")</f>
        <v/>
      </c>
      <c r="AA52" s="227" t="str">
        <f aca="false">IFERROR(IF(K$23*K24&gt;0,STDEV(K$23,K24),"")/IF(K$23*K24&gt;0,AVERAGE(K$23,K24),""),"")</f>
        <v/>
      </c>
      <c r="AB52" s="227" t="str">
        <f aca="false">IFERROR(IF(L$23*L24&gt;0,STDEV(L$23,L24),"")/IF(L$23*L24&gt;0,AVERAGE(L$23,L24),""),"")</f>
        <v/>
      </c>
      <c r="AC52" s="227" t="str">
        <f aca="false">IFERROR(IF(M$23*M24&gt;0,STDEV(M$23,M24),"")/IF(M$23*M24&gt;0,AVERAGE(M$23,M24),""),"")</f>
        <v/>
      </c>
      <c r="AD52" s="227" t="str">
        <f aca="false">IFERROR(IF(N$23*N24&gt;0,STDEV(N$23,N24),"")/IF(N$23*N24&gt;0,AVERAGE(N$23,N24),""),"")</f>
        <v/>
      </c>
      <c r="AE52" s="233"/>
      <c r="AF52" s="229" t="s">
        <v>319</v>
      </c>
      <c r="AG52" s="230" t="str">
        <f aca="false">IFERROR(IF(C$23*C24&gt;0,STDEV(C$23,C24)," ")/IF(C$23*C24&gt;0,SQRT(COUNT(C$23,C24))," "),"")</f>
        <v/>
      </c>
      <c r="AH52" s="230" t="str">
        <f aca="false">IFERROR(IF(D$23*D24&gt;0,STDEV(D$23,D24)," ")/IF(D$23*D24&gt;0,SQRT(COUNT(D$23,D24))," "),"")</f>
        <v/>
      </c>
      <c r="AI52" s="230" t="str">
        <f aca="false">IFERROR(IF(E$23*E24&gt;0,STDEV(E$23,E24)," ")/IF(E$23*E24&gt;0,SQRT(COUNT(E$23,E24))," "),"")</f>
        <v/>
      </c>
      <c r="AJ52" s="230" t="str">
        <f aca="false">IFERROR(IF(F$23*F24&gt;0,STDEV(F$23,F24)," ")/IF(F$23*F24&gt;0,SQRT(COUNT(F$23,F24))," "),"")</f>
        <v/>
      </c>
      <c r="AK52" s="230" t="str">
        <f aca="false">IFERROR(IF(G$23*G24&gt;0,STDEV(G$23,G24)," ")/IF(G$23*G24&gt;0,SQRT(COUNT(G$23,G24))," "),"")</f>
        <v/>
      </c>
      <c r="AL52" s="230" t="str">
        <f aca="false">IFERROR(IF(H$23*H24&gt;0,STDEV(H$23,H24)," ")/IF(H$23*H24&gt;0,SQRT(COUNT(H$23,H24))," "),"")</f>
        <v/>
      </c>
      <c r="AM52" s="230" t="str">
        <f aca="false">IFERROR(IF(I$23*I24&gt;0,STDEV(I$23,I24)," ")/IF(I$23*I24&gt;0,SQRT(COUNT(I$23,I24))," "),"")</f>
        <v/>
      </c>
      <c r="AN52" s="230" t="str">
        <f aca="false">IFERROR(IF(J$23*J24&gt;0,STDEV(J$23,J24)," ")/IF(J$23*J24&gt;0,SQRT(COUNT(J$23,J24))," "),"")</f>
        <v/>
      </c>
      <c r="AO52" s="230" t="str">
        <f aca="false">IFERROR(IF(K$23*K24&gt;0,STDEV(K$23,K24)," ")/IF(K$23*K24&gt;0,SQRT(COUNT(K$23,K24))," "),"")</f>
        <v/>
      </c>
      <c r="AP52" s="230" t="str">
        <f aca="false">IFERROR(IF(L$23*L24&gt;0,STDEV(L$23,L24)," ")/IF(L$23*L24&gt;0,SQRT(COUNT(L$23,L24))," "),"")</f>
        <v/>
      </c>
      <c r="AQ52" s="230" t="str">
        <f aca="false">IFERROR(IF(M$23*M24&gt;0,STDEV(M$23,M24)," ")/IF(M$23*M24&gt;0,SQRT(COUNT(M$23,M24))," "),"")</f>
        <v/>
      </c>
      <c r="AR52" s="230" t="str">
        <f aca="false">IFERROR(IF(N$23*N24&gt;0,STDEV(N$23,N24)," ")/IF(N$23*N24&gt;0,SQRT(COUNT(N$23,N24))," "),"")</f>
        <v/>
      </c>
    </row>
    <row r="53" customFormat="false" ht="15.75" hidden="false" customHeight="false" outlineLevel="0" collapsed="false">
      <c r="A53" s="220" t="s">
        <v>320</v>
      </c>
      <c r="B53" s="221"/>
      <c r="C53" s="222" t="str">
        <f aca="false">IFERROR(IF(C$23*C25&gt;0,AVERAGE(C$23,C25),""),"")</f>
        <v/>
      </c>
      <c r="D53" s="222" t="str">
        <f aca="false">IFERROR(IF(D$23*D25&gt;0,AVERAGE(D$23,D25),""),"")</f>
        <v/>
      </c>
      <c r="E53" s="222" t="str">
        <f aca="false">IFERROR(IF(E$23*E25&gt;0,AVERAGE(E$23,E25),""),"")</f>
        <v/>
      </c>
      <c r="F53" s="222" t="str">
        <f aca="false">IFERROR(IF(F$23*F25&gt;0,AVERAGE(F$23,F25),""),"")</f>
        <v/>
      </c>
      <c r="G53" s="222" t="str">
        <f aca="false">IFERROR(IF(G$23*G25&gt;0,AVERAGE(G$23,G25),""),"")</f>
        <v/>
      </c>
      <c r="H53" s="222" t="str">
        <f aca="false">IFERROR(IF(H$23*H25&gt;0,AVERAGE(H$23,H25),""),"")</f>
        <v/>
      </c>
      <c r="I53" s="222" t="str">
        <f aca="false">IFERROR(IF(I$23*I25&gt;0,AVERAGE(I$23,I25),""),"")</f>
        <v/>
      </c>
      <c r="J53" s="222" t="str">
        <f aca="false">IFERROR(IF(J$23*J25&gt;0,AVERAGE(J$23,J25),""),"")</f>
        <v/>
      </c>
      <c r="K53" s="222" t="str">
        <f aca="false">IFERROR(IF(K$23*K25&gt;0,AVERAGE(K$23,K25),""),"")</f>
        <v/>
      </c>
      <c r="L53" s="222" t="str">
        <f aca="false">IFERROR(IF(L$23*L25&gt;0,AVERAGE(L$23,L25),""),"")</f>
        <v/>
      </c>
      <c r="M53" s="222" t="str">
        <f aca="false">IFERROR(IF(M$23*M25&gt;0,AVERAGE(M$23,M25),""),"")</f>
        <v/>
      </c>
      <c r="N53" s="222" t="str">
        <f aca="false">IFERROR(IF(N$23*N25&gt;0,AVERAGE(N$23,N25),""),"")</f>
        <v/>
      </c>
      <c r="O53" s="235"/>
      <c r="P53" s="224"/>
      <c r="Q53" s="232"/>
      <c r="R53" s="226" t="s">
        <v>321</v>
      </c>
      <c r="S53" s="227" t="str">
        <f aca="false">IFERROR(IF(C$23*C25&gt;0,STDEV(C$23,C25),"")/IF(C$23*C25&gt;0,AVERAGE(C$23,C25),""),"")</f>
        <v/>
      </c>
      <c r="T53" s="227" t="str">
        <f aca="false">IFERROR(IF(D$23*D25&gt;0,STDEV(D$23,D25),"")/IF(D$23*D25&gt;0,AVERAGE(D$23,D25),""),"")</f>
        <v/>
      </c>
      <c r="U53" s="227" t="str">
        <f aca="false">IFERROR(IF(E$23*E25&gt;0,STDEV(E$23,E25),"")/IF(E$23*E25&gt;0,AVERAGE(E$23,E25),""),"")</f>
        <v/>
      </c>
      <c r="V53" s="227" t="str">
        <f aca="false">IFERROR(IF(F$23*F25&gt;0,STDEV(F$23,F25),"")/IF(F$23*F25&gt;0,AVERAGE(F$23,F25),""),"")</f>
        <v/>
      </c>
      <c r="W53" s="227" t="str">
        <f aca="false">IFERROR(IF(G$23*G25&gt;0,STDEV(G$23,G25),"")/IF(G$23*G25&gt;0,AVERAGE(G$23,G25),""),"")</f>
        <v/>
      </c>
      <c r="X53" s="227" t="str">
        <f aca="false">IFERROR(IF(H$23*H25&gt;0,STDEV(H$23,H25),"")/IF(H$23*H25&gt;0,AVERAGE(H$23,H25),""),"")</f>
        <v/>
      </c>
      <c r="Y53" s="227" t="str">
        <f aca="false">IFERROR(IF(I$23*I25&gt;0,STDEV(I$23,I25),"")/IF(I$23*I25&gt;0,AVERAGE(I$23,I25),""),"")</f>
        <v/>
      </c>
      <c r="Z53" s="227" t="str">
        <f aca="false">IFERROR(IF(J$23*J25&gt;0,STDEV(J$23,J25),"")/IF(J$23*J25&gt;0,AVERAGE(J$23,J25),""),"")</f>
        <v/>
      </c>
      <c r="AA53" s="227" t="str">
        <f aca="false">IFERROR(IF(K$23*K25&gt;0,STDEV(K$23,K25),"")/IF(K$23*K25&gt;0,AVERAGE(K$23,K25),""),"")</f>
        <v/>
      </c>
      <c r="AB53" s="227" t="str">
        <f aca="false">IFERROR(IF(L$23*L25&gt;0,STDEV(L$23,L25),"")/IF(L$23*L25&gt;0,AVERAGE(L$23,L25),""),"")</f>
        <v/>
      </c>
      <c r="AC53" s="227" t="str">
        <f aca="false">IFERROR(IF(M$23*M25&gt;0,STDEV(M$23,M25),"")/IF(M$23*M25&gt;0,AVERAGE(M$23,M25),""),"")</f>
        <v/>
      </c>
      <c r="AD53" s="227" t="str">
        <f aca="false">IFERROR(IF(N$23*N25&gt;0,STDEV(N$23,N25),"")/IF(N$23*N25&gt;0,AVERAGE(N$23,N25),""),"")</f>
        <v/>
      </c>
      <c r="AE53" s="233"/>
      <c r="AF53" s="229" t="s">
        <v>322</v>
      </c>
      <c r="AG53" s="230" t="str">
        <f aca="false">IFERROR(IF(C$23*C25&gt;0,STDEV(C$23,C25)," ")/IF(C$23*C25&gt;0,SQRT(COUNT(C$23,C25))," "),"")</f>
        <v/>
      </c>
      <c r="AH53" s="230" t="str">
        <f aca="false">IFERROR(IF(D$23*D25&gt;0,STDEV(D$23,D25)," ")/IF(D$23*D25&gt;0,SQRT(COUNT(D$23,D25))," "),"")</f>
        <v/>
      </c>
      <c r="AI53" s="230" t="str">
        <f aca="false">IFERROR(IF(E$23*E25&gt;0,STDEV(E$23,E25)," ")/IF(E$23*E25&gt;0,SQRT(COUNT(E$23,E25))," "),"")</f>
        <v/>
      </c>
      <c r="AJ53" s="230" t="str">
        <f aca="false">IFERROR(IF(F$23*F25&gt;0,STDEV(F$23,F25)," ")/IF(F$23*F25&gt;0,SQRT(COUNT(F$23,F25))," "),"")</f>
        <v/>
      </c>
      <c r="AK53" s="230" t="str">
        <f aca="false">IFERROR(IF(G$23*G25&gt;0,STDEV(G$23,G25)," ")/IF(G$23*G25&gt;0,SQRT(COUNT(G$23,G25))," "),"")</f>
        <v/>
      </c>
      <c r="AL53" s="230" t="str">
        <f aca="false">IFERROR(IF(H$23*H25&gt;0,STDEV(H$23,H25)," ")/IF(H$23*H25&gt;0,SQRT(COUNT(H$23,H25))," "),"")</f>
        <v/>
      </c>
      <c r="AM53" s="230" t="str">
        <f aca="false">IFERROR(IF(I$23*I25&gt;0,STDEV(I$23,I25)," ")/IF(I$23*I25&gt;0,SQRT(COUNT(I$23,I25))," "),"")</f>
        <v/>
      </c>
      <c r="AN53" s="230" t="str">
        <f aca="false">IFERROR(IF(J$23*J25&gt;0,STDEV(J$23,J25)," ")/IF(J$23*J25&gt;0,SQRT(COUNT(J$23,J25))," "),"")</f>
        <v/>
      </c>
      <c r="AO53" s="230" t="str">
        <f aca="false">IFERROR(IF(K$23*K25&gt;0,STDEV(K$23,K25)," ")/IF(K$23*K25&gt;0,SQRT(COUNT(K$23,K25))," "),"")</f>
        <v/>
      </c>
      <c r="AP53" s="230" t="str">
        <f aca="false">IFERROR(IF(L$23*L25&gt;0,STDEV(L$23,L25)," ")/IF(L$23*L25&gt;0,SQRT(COUNT(L$23,L25))," "),"")</f>
        <v/>
      </c>
      <c r="AQ53" s="230" t="str">
        <f aca="false">IFERROR(IF(M$23*M25&gt;0,STDEV(M$23,M25)," ")/IF(M$23*M25&gt;0,SQRT(COUNT(M$23,M25))," "),"")</f>
        <v/>
      </c>
      <c r="AR53" s="230" t="str">
        <f aca="false">IFERROR(IF(N$23*N25&gt;0,STDEV(N$23,N25)," ")/IF(N$23*N25&gt;0,SQRT(COUNT(N$23,N25))," "),"")</f>
        <v/>
      </c>
    </row>
    <row r="54" customFormat="false" ht="15.75" hidden="false" customHeight="false" outlineLevel="0" collapsed="false">
      <c r="A54" s="220" t="s">
        <v>323</v>
      </c>
      <c r="B54" s="221"/>
      <c r="C54" s="222" t="str">
        <f aca="false">IFERROR(IF(C$23*C26&gt;0,AVERAGE(C$23,C26),""),"")</f>
        <v/>
      </c>
      <c r="D54" s="222" t="str">
        <f aca="false">IFERROR(IF(D$23*D26&gt;0,AVERAGE(D$23,D26),""),"")</f>
        <v/>
      </c>
      <c r="E54" s="222" t="str">
        <f aca="false">IFERROR(IF(E$23*E26&gt;0,AVERAGE(E$23,E26),""),"")</f>
        <v/>
      </c>
      <c r="F54" s="222" t="str">
        <f aca="false">IFERROR(IF(F$23*F26&gt;0,AVERAGE(F$23,F26),""),"")</f>
        <v/>
      </c>
      <c r="G54" s="222" t="str">
        <f aca="false">IFERROR(IF(G$23*G26&gt;0,AVERAGE(G$23,G26),""),"")</f>
        <v/>
      </c>
      <c r="H54" s="222" t="str">
        <f aca="false">IFERROR(IF(H$23*H26&gt;0,AVERAGE(H$23,H26),""),"")</f>
        <v/>
      </c>
      <c r="I54" s="222" t="str">
        <f aca="false">IFERROR(IF(I$23*I26&gt;0,AVERAGE(I$23,I26),""),"")</f>
        <v/>
      </c>
      <c r="J54" s="222" t="str">
        <f aca="false">IFERROR(IF(J$23*J26&gt;0,AVERAGE(J$23,J26),""),"")</f>
        <v/>
      </c>
      <c r="K54" s="222" t="str">
        <f aca="false">IFERROR(IF(K$23*K26&gt;0,AVERAGE(K$23,K26),""),"")</f>
        <v/>
      </c>
      <c r="L54" s="222" t="str">
        <f aca="false">IFERROR(IF(L$23*L26&gt;0,AVERAGE(L$23,L26),""),"")</f>
        <v/>
      </c>
      <c r="M54" s="222" t="str">
        <f aca="false">IFERROR(IF(M$23*M26&gt;0,AVERAGE(M$23,M26),""),"")</f>
        <v/>
      </c>
      <c r="N54" s="222" t="str">
        <f aca="false">IFERROR(IF(N$23*N26&gt;0,AVERAGE(N$23,N26),""),"")</f>
        <v/>
      </c>
      <c r="O54" s="224"/>
      <c r="P54" s="224"/>
      <c r="Q54" s="232"/>
      <c r="R54" s="226" t="s">
        <v>324</v>
      </c>
      <c r="S54" s="227" t="str">
        <f aca="false">IFERROR(IF(C$23*C26&gt;0,STDEV(C$23,C26),"")/IF(C$23*C26&gt;0,AVERAGE(C$23,C26),""),"")</f>
        <v/>
      </c>
      <c r="T54" s="227" t="str">
        <f aca="false">IFERROR(IF(D$23*D26&gt;0,STDEV(D$23,D26),"")/IF(D$23*D26&gt;0,AVERAGE(D$23,D26),""),"")</f>
        <v/>
      </c>
      <c r="U54" s="227" t="str">
        <f aca="false">IFERROR(IF(E$23*E26&gt;0,STDEV(E$23,E26),"")/IF(E$23*E26&gt;0,AVERAGE(E$23,E26),""),"")</f>
        <v/>
      </c>
      <c r="V54" s="227" t="str">
        <f aca="false">IFERROR(IF(F$23*F26&gt;0,STDEV(F$23,F26),"")/IF(F$23*F26&gt;0,AVERAGE(F$23,F26),""),"")</f>
        <v/>
      </c>
      <c r="W54" s="227" t="str">
        <f aca="false">IFERROR(IF(G$23*G26&gt;0,STDEV(G$23,G26),"")/IF(G$23*G26&gt;0,AVERAGE(G$23,G26),""),"")</f>
        <v/>
      </c>
      <c r="X54" s="227" t="str">
        <f aca="false">IFERROR(IF(H$23*H26&gt;0,STDEV(H$23,H26),"")/IF(H$23*H26&gt;0,AVERAGE(H$23,H26),""),"")</f>
        <v/>
      </c>
      <c r="Y54" s="227" t="str">
        <f aca="false">IFERROR(IF(I$23*I26&gt;0,STDEV(I$23,I26),"")/IF(I$23*I26&gt;0,AVERAGE(I$23,I26),""),"")</f>
        <v/>
      </c>
      <c r="Z54" s="227" t="str">
        <f aca="false">IFERROR(IF(J$23*J26&gt;0,STDEV(J$23,J26),"")/IF(J$23*J26&gt;0,AVERAGE(J$23,J26),""),"")</f>
        <v/>
      </c>
      <c r="AA54" s="227" t="str">
        <f aca="false">IFERROR(IF(K$23*K26&gt;0,STDEV(K$23,K26),"")/IF(K$23*K26&gt;0,AVERAGE(K$23,K26),""),"")</f>
        <v/>
      </c>
      <c r="AB54" s="227" t="str">
        <f aca="false">IFERROR(IF(L$23*L26&gt;0,STDEV(L$23,L26),"")/IF(L$23*L26&gt;0,AVERAGE(L$23,L26),""),"")</f>
        <v/>
      </c>
      <c r="AC54" s="227" t="str">
        <f aca="false">IFERROR(IF(M$23*M26&gt;0,STDEV(M$23,M26),"")/IF(M$23*M26&gt;0,AVERAGE(M$23,M26),""),"")</f>
        <v/>
      </c>
      <c r="AD54" s="227" t="str">
        <f aca="false">IFERROR(IF(N$23*N26&gt;0,STDEV(N$23,N26),"")/IF(N$23*N26&gt;0,AVERAGE(N$23,N26),""),"")</f>
        <v/>
      </c>
      <c r="AE54" s="233"/>
      <c r="AF54" s="229" t="s">
        <v>325</v>
      </c>
      <c r="AG54" s="230" t="str">
        <f aca="false">IFERROR(IF(C$23*C26&gt;0,STDEV(C$23,C26)," ")/IF(C$23*C26&gt;0,SQRT(COUNT(C$23,C26))," "),"")</f>
        <v/>
      </c>
      <c r="AH54" s="230" t="str">
        <f aca="false">IFERROR(IF(D$23*D26&gt;0,STDEV(D$23,D26)," ")/IF(D$23*D26&gt;0,SQRT(COUNT(D$23,D26))," "),"")</f>
        <v/>
      </c>
      <c r="AI54" s="230" t="str">
        <f aca="false">IFERROR(IF(E$23*E26&gt;0,STDEV(E$23,E26)," ")/IF(E$23*E26&gt;0,SQRT(COUNT(E$23,E26))," "),"")</f>
        <v/>
      </c>
      <c r="AJ54" s="230" t="str">
        <f aca="false">IFERROR(IF(F$23*F26&gt;0,STDEV(F$23,F26)," ")/IF(F$23*F26&gt;0,SQRT(COUNT(F$23,F26))," "),"")</f>
        <v/>
      </c>
      <c r="AK54" s="230" t="str">
        <f aca="false">IFERROR(IF(G$23*G26&gt;0,STDEV(G$23,G26)," ")/IF(G$23*G26&gt;0,SQRT(COUNT(G$23,G26))," "),"")</f>
        <v/>
      </c>
      <c r="AL54" s="230" t="str">
        <f aca="false">IFERROR(IF(H$23*H26&gt;0,STDEV(H$23,H26)," ")/IF(H$23*H26&gt;0,SQRT(COUNT(H$23,H26))," "),"")</f>
        <v/>
      </c>
      <c r="AM54" s="230" t="str">
        <f aca="false">IFERROR(IF(I$23*I26&gt;0,STDEV(I$23,I26)," ")/IF(I$23*I26&gt;0,SQRT(COUNT(I$23,I26))," "),"")</f>
        <v/>
      </c>
      <c r="AN54" s="230" t="str">
        <f aca="false">IFERROR(IF(J$23*J26&gt;0,STDEV(J$23,J26)," ")/IF(J$23*J26&gt;0,SQRT(COUNT(J$23,J26))," "),"")</f>
        <v/>
      </c>
      <c r="AO54" s="230" t="str">
        <f aca="false">IFERROR(IF(K$23*K26&gt;0,STDEV(K$23,K26)," ")/IF(K$23*K26&gt;0,SQRT(COUNT(K$23,K26))," "),"")</f>
        <v/>
      </c>
      <c r="AP54" s="230" t="str">
        <f aca="false">IFERROR(IF(L$23*L26&gt;0,STDEV(L$23,L26)," ")/IF(L$23*L26&gt;0,SQRT(COUNT(L$23,L26))," "),"")</f>
        <v/>
      </c>
      <c r="AQ54" s="230" t="str">
        <f aca="false">IFERROR(IF(M$23*M26&gt;0,STDEV(M$23,M26)," ")/IF(M$23*M26&gt;0,SQRT(COUNT(M$23,M26))," "),"")</f>
        <v/>
      </c>
      <c r="AR54" s="230" t="str">
        <f aca="false">IFERROR(IF(N$23*N26&gt;0,STDEV(N$23,N26)," ")/IF(N$23*N26&gt;0,SQRT(COUNT(N$23,N26))," "),"")</f>
        <v/>
      </c>
    </row>
    <row r="55" customFormat="false" ht="15.75" hidden="false" customHeight="false" outlineLevel="0" collapsed="false">
      <c r="A55" s="220" t="s">
        <v>326</v>
      </c>
      <c r="B55" s="221"/>
      <c r="C55" s="222" t="str">
        <f aca="false">IFERROR(IF(C$23*C27&gt;0,AVERAGE(C$23,C27),""),"")</f>
        <v/>
      </c>
      <c r="D55" s="222" t="str">
        <f aca="false">IFERROR(IF(D$23*D27&gt;0,AVERAGE(D$23,D27),""),"")</f>
        <v/>
      </c>
      <c r="E55" s="222" t="str">
        <f aca="false">IFERROR(IF(E$23*E27&gt;0,AVERAGE(E$23,E27),""),"")</f>
        <v/>
      </c>
      <c r="F55" s="222" t="str">
        <f aca="false">IFERROR(IF(F$23*F27&gt;0,AVERAGE(F$23,F27),""),"")</f>
        <v/>
      </c>
      <c r="G55" s="222" t="str">
        <f aca="false">IFERROR(IF(G$23*G27&gt;0,AVERAGE(G$23,G27),""),"")</f>
        <v/>
      </c>
      <c r="H55" s="222" t="str">
        <f aca="false">IFERROR(IF(H$23*H27&gt;0,AVERAGE(H$23,H27),""),"")</f>
        <v/>
      </c>
      <c r="I55" s="222" t="str">
        <f aca="false">IFERROR(IF(I$23*I27&gt;0,AVERAGE(I$23,I27),""),"")</f>
        <v/>
      </c>
      <c r="J55" s="222" t="str">
        <f aca="false">IFERROR(IF(J$23*J27&gt;0,AVERAGE(J$23,J27),""),"")</f>
        <v/>
      </c>
      <c r="K55" s="222" t="str">
        <f aca="false">IFERROR(IF(K$23*K27&gt;0,AVERAGE(K$23,K27),""),"")</f>
        <v/>
      </c>
      <c r="L55" s="222" t="str">
        <f aca="false">IFERROR(IF(L$23*L27&gt;0,AVERAGE(L$23,L27),""),"")</f>
        <v/>
      </c>
      <c r="M55" s="222" t="str">
        <f aca="false">IFERROR(IF(M$23*M27&gt;0,AVERAGE(M$23,M27),""),"")</f>
        <v/>
      </c>
      <c r="N55" s="222" t="str">
        <f aca="false">IFERROR(IF(N$23*N27&gt;0,AVERAGE(N$23,N27),""),"")</f>
        <v/>
      </c>
      <c r="O55" s="235"/>
      <c r="P55" s="224"/>
      <c r="Q55" s="232"/>
      <c r="R55" s="226" t="s">
        <v>327</v>
      </c>
      <c r="S55" s="227" t="str">
        <f aca="false">IFERROR(IF(C$23*C27&gt;0,STDEV(C$23,C27),"")/IF(C$23*C27&gt;0,AVERAGE(C$23,C27),""),"")</f>
        <v/>
      </c>
      <c r="T55" s="227" t="str">
        <f aca="false">IFERROR(IF(D$23*D27&gt;0,STDEV(D$23,D27),"")/IF(D$23*D27&gt;0,AVERAGE(D$23,D27),""),"")</f>
        <v/>
      </c>
      <c r="U55" s="227" t="str">
        <f aca="false">IFERROR(IF(E$23*E27&gt;0,STDEV(E$23,E27),"")/IF(E$23*E27&gt;0,AVERAGE(E$23,E27),""),"")</f>
        <v/>
      </c>
      <c r="V55" s="227" t="str">
        <f aca="false">IFERROR(IF(F$23*F27&gt;0,STDEV(F$23,F27),"")/IF(F$23*F27&gt;0,AVERAGE(F$23,F27),""),"")</f>
        <v/>
      </c>
      <c r="W55" s="227" t="str">
        <f aca="false">IFERROR(IF(G$23*G27&gt;0,STDEV(G$23,G27),"")/IF(G$23*G27&gt;0,AVERAGE(G$23,G27),""),"")</f>
        <v/>
      </c>
      <c r="X55" s="227" t="str">
        <f aca="false">IFERROR(IF(H$23*H27&gt;0,STDEV(H$23,H27),"")/IF(H$23*H27&gt;0,AVERAGE(H$23,H27),""),"")</f>
        <v/>
      </c>
      <c r="Y55" s="227" t="str">
        <f aca="false">IFERROR(IF(I$23*I27&gt;0,STDEV(I$23,I27),"")/IF(I$23*I27&gt;0,AVERAGE(I$23,I27),""),"")</f>
        <v/>
      </c>
      <c r="Z55" s="227" t="str">
        <f aca="false">IFERROR(IF(J$23*J27&gt;0,STDEV(J$23,J27),"")/IF(J$23*J27&gt;0,AVERAGE(J$23,J27),""),"")</f>
        <v/>
      </c>
      <c r="AA55" s="227" t="str">
        <f aca="false">IFERROR(IF(K$23*K27&gt;0,STDEV(K$23,K27),"")/IF(K$23*K27&gt;0,AVERAGE(K$23,K27),""),"")</f>
        <v/>
      </c>
      <c r="AB55" s="227" t="str">
        <f aca="false">IFERROR(IF(L$23*L27&gt;0,STDEV(L$23,L27),"")/IF(L$23*L27&gt;0,AVERAGE(L$23,L27),""),"")</f>
        <v/>
      </c>
      <c r="AC55" s="227" t="str">
        <f aca="false">IFERROR(IF(M$23*M27&gt;0,STDEV(M$23,M27),"")/IF(M$23*M27&gt;0,AVERAGE(M$23,M27),""),"")</f>
        <v/>
      </c>
      <c r="AD55" s="227" t="str">
        <f aca="false">IFERROR(IF(N$23*N27&gt;0,STDEV(N$23,N27),"")/IF(N$23*N27&gt;0,AVERAGE(N$23,N27),""),"")</f>
        <v/>
      </c>
      <c r="AE55" s="233"/>
      <c r="AF55" s="229" t="s">
        <v>328</v>
      </c>
      <c r="AG55" s="230" t="str">
        <f aca="false">IFERROR(IF(C$23*C27&gt;0,STDEV(C$23,C27)," ")/IF(C$23*C27&gt;0,SQRT(COUNT(C$23,C27))," "),"")</f>
        <v/>
      </c>
      <c r="AH55" s="230" t="str">
        <f aca="false">IFERROR(IF(D$23*D27&gt;0,STDEV(D$23,D27)," ")/IF(D$23*D27&gt;0,SQRT(COUNT(D$23,D27))," "),"")</f>
        <v/>
      </c>
      <c r="AI55" s="230" t="str">
        <f aca="false">IFERROR(IF(E$23*E27&gt;0,STDEV(E$23,E27)," ")/IF(E$23*E27&gt;0,SQRT(COUNT(E$23,E27))," "),"")</f>
        <v/>
      </c>
      <c r="AJ55" s="230" t="str">
        <f aca="false">IFERROR(IF(F$23*F27&gt;0,STDEV(F$23,F27)," ")/IF(F$23*F27&gt;0,SQRT(COUNT(F$23,F27))," "),"")</f>
        <v/>
      </c>
      <c r="AK55" s="230" t="str">
        <f aca="false">IFERROR(IF(G$23*G27&gt;0,STDEV(G$23,G27)," ")/IF(G$23*G27&gt;0,SQRT(COUNT(G$23,G27))," "),"")</f>
        <v/>
      </c>
      <c r="AL55" s="230" t="str">
        <f aca="false">IFERROR(IF(H$23*H27&gt;0,STDEV(H$23,H27)," ")/IF(H$23*H27&gt;0,SQRT(COUNT(H$23,H27))," "),"")</f>
        <v/>
      </c>
      <c r="AM55" s="230" t="str">
        <f aca="false">IFERROR(IF(I$23*I27&gt;0,STDEV(I$23,I27)," ")/IF(I$23*I27&gt;0,SQRT(COUNT(I$23,I27))," "),"")</f>
        <v/>
      </c>
      <c r="AN55" s="230" t="str">
        <f aca="false">IFERROR(IF(J$23*J27&gt;0,STDEV(J$23,J27)," ")/IF(J$23*J27&gt;0,SQRT(COUNT(J$23,J27))," "),"")</f>
        <v/>
      </c>
      <c r="AO55" s="230" t="str">
        <f aca="false">IFERROR(IF(K$23*K27&gt;0,STDEV(K$23,K27)," ")/IF(K$23*K27&gt;0,SQRT(COUNT(K$23,K27))," "),"")</f>
        <v/>
      </c>
      <c r="AP55" s="230" t="str">
        <f aca="false">IFERROR(IF(L$23*L27&gt;0,STDEV(L$23,L27)," ")/IF(L$23*L27&gt;0,SQRT(COUNT(L$23,L27))," "),"")</f>
        <v/>
      </c>
      <c r="AQ55" s="230" t="str">
        <f aca="false">IFERROR(IF(M$23*M27&gt;0,STDEV(M$23,M27)," ")/IF(M$23*M27&gt;0,SQRT(COUNT(M$23,M27))," "),"")</f>
        <v/>
      </c>
      <c r="AR55" s="230" t="str">
        <f aca="false">IFERROR(IF(N$23*N27&gt;0,STDEV(N$23,N27)," ")/IF(N$23*N27&gt;0,SQRT(COUNT(N$23,N27))," "),"")</f>
        <v/>
      </c>
    </row>
    <row r="56" customFormat="false" ht="15.75" hidden="false" customHeight="false" outlineLevel="0" collapsed="false">
      <c r="A56" s="220" t="s">
        <v>329</v>
      </c>
      <c r="B56" s="221"/>
      <c r="C56" s="222" t="str">
        <f aca="false">IFERROR(IF(C$24*C25&gt;0,AVERAGE(C$24,C25),""),"")</f>
        <v/>
      </c>
      <c r="D56" s="222" t="str">
        <f aca="false">IFERROR(IF(D$24*D25&gt;0,AVERAGE(D$24,D25),""),"")</f>
        <v/>
      </c>
      <c r="E56" s="222" t="str">
        <f aca="false">IFERROR(IF(E$24*E25&gt;0,AVERAGE(E$24,E25),""),"")</f>
        <v/>
      </c>
      <c r="F56" s="222" t="str">
        <f aca="false">IFERROR(IF(F$24*F25&gt;0,AVERAGE(F$24,F25),""),"")</f>
        <v/>
      </c>
      <c r="G56" s="222" t="str">
        <f aca="false">IFERROR(IF(G$24*G25&gt;0,AVERAGE(G$24,G25),""),"")</f>
        <v/>
      </c>
      <c r="H56" s="222" t="str">
        <f aca="false">IFERROR(IF(H$24*H25&gt;0,AVERAGE(H$24,H25),""),"")</f>
        <v/>
      </c>
      <c r="I56" s="222" t="str">
        <f aca="false">IFERROR(IF(I$24*I25&gt;0,AVERAGE(I$24,I25),""),"")</f>
        <v/>
      </c>
      <c r="J56" s="222" t="str">
        <f aca="false">IFERROR(IF(J$24*J25&gt;0,AVERAGE(J$24,J25),""),"")</f>
        <v/>
      </c>
      <c r="K56" s="222" t="str">
        <f aca="false">IFERROR(IF(K$24*K25&gt;0,AVERAGE(K$24,K25),""),"")</f>
        <v/>
      </c>
      <c r="L56" s="222" t="str">
        <f aca="false">IFERROR(IF(L$24*L25&gt;0,AVERAGE(L$24,L25),""),"")</f>
        <v/>
      </c>
      <c r="M56" s="222" t="str">
        <f aca="false">IFERROR(IF(M$24*M25&gt;0,AVERAGE(M$24,M25),""),"")</f>
        <v/>
      </c>
      <c r="N56" s="222" t="str">
        <f aca="false">IFERROR(IF(N$24*N25&gt;0,AVERAGE(N$24,N25),""),"")</f>
        <v/>
      </c>
      <c r="O56" s="96"/>
      <c r="P56" s="224"/>
      <c r="Q56" s="236"/>
      <c r="R56" s="226" t="s">
        <v>330</v>
      </c>
      <c r="S56" s="227" t="str">
        <f aca="false">IFERROR(IF(C$24*C25&gt;0,STDEV(C$24,C25),"")/IF(C$24*C25&gt;0,AVERAGE(C$24,C25),""),"")</f>
        <v/>
      </c>
      <c r="T56" s="227" t="str">
        <f aca="false">IFERROR(IF(D$24*D25&gt;0,STDEV(D$24,D25),"")/IF(D$24*D25&gt;0,AVERAGE(D$24,D25),""),"")</f>
        <v/>
      </c>
      <c r="U56" s="227" t="str">
        <f aca="false">IFERROR(IF(E$24*E25&gt;0,STDEV(E$24,E25),"")/IF(E$24*E25&gt;0,AVERAGE(E$24,E25),""),"")</f>
        <v/>
      </c>
      <c r="V56" s="227" t="str">
        <f aca="false">IFERROR(IF(F$24*F25&gt;0,STDEV(F$24,F25),"")/IF(F$24*F25&gt;0,AVERAGE(F$24,F25),""),"")</f>
        <v/>
      </c>
      <c r="W56" s="227" t="str">
        <f aca="false">IFERROR(IF(G$24*G25&gt;0,STDEV(G$24,G25),"")/IF(G$24*G25&gt;0,AVERAGE(G$24,G25),""),"")</f>
        <v/>
      </c>
      <c r="X56" s="227" t="str">
        <f aca="false">IFERROR(IF(H$24*H25&gt;0,STDEV(H$24,H25),"")/IF(H$24*H25&gt;0,AVERAGE(H$24,H25),""),"")</f>
        <v/>
      </c>
      <c r="Y56" s="227" t="str">
        <f aca="false">IFERROR(IF(I$24*I25&gt;0,STDEV(I$24,I25),"")/IF(I$24*I25&gt;0,AVERAGE(I$24,I25),""),"")</f>
        <v/>
      </c>
      <c r="Z56" s="227" t="str">
        <f aca="false">IFERROR(IF(J$24*J25&gt;0,STDEV(J$24,J25),"")/IF(J$24*J25&gt;0,AVERAGE(J$24,J25),""),"")</f>
        <v/>
      </c>
      <c r="AA56" s="227" t="str">
        <f aca="false">IFERROR(IF(K$24*K25&gt;0,STDEV(K$24,K25),"")/IF(K$24*K25&gt;0,AVERAGE(K$24,K25),""),"")</f>
        <v/>
      </c>
      <c r="AB56" s="227" t="str">
        <f aca="false">IFERROR(IF(L$24*L25&gt;0,STDEV(L$24,L25),"")/IF(L$24*L25&gt;0,AVERAGE(L$24,L25),""),"")</f>
        <v/>
      </c>
      <c r="AC56" s="227" t="str">
        <f aca="false">IFERROR(IF(M$24*M25&gt;0,STDEV(M$24,M25),"")/IF(M$24*M25&gt;0,AVERAGE(M$24,M25),""),"")</f>
        <v/>
      </c>
      <c r="AD56" s="227" t="str">
        <f aca="false">IFERROR(IF(N$24*N25&gt;0,STDEV(N$24,N25),"")/IF(N$24*N25&gt;0,AVERAGE(N$24,N25),""),"")</f>
        <v/>
      </c>
      <c r="AE56" s="237"/>
      <c r="AF56" s="229" t="s">
        <v>331</v>
      </c>
      <c r="AG56" s="238" t="str">
        <f aca="false">IFERROR(IF(C$24*C25&gt;0,STDEV(C$24,C25)," ")/IF(C$24*C25&gt;0,SQRT(COUNT(C$24,C25))," "),"")</f>
        <v/>
      </c>
      <c r="AH56" s="238" t="str">
        <f aca="false">IFERROR(IF(D$24*D25&gt;0,STDEV(D$24,D25)," ")/IF(D$24*D25&gt;0,SQRT(COUNT(D$24,D25))," "),"")</f>
        <v/>
      </c>
      <c r="AI56" s="238" t="str">
        <f aca="false">IFERROR(IF(E$24*E25&gt;0,STDEV(E$24,E25)," ")/IF(E$24*E25&gt;0,SQRT(COUNT(E$24,E25))," "),"")</f>
        <v/>
      </c>
      <c r="AJ56" s="238" t="str">
        <f aca="false">IFERROR(IF(F$24*F25&gt;0,STDEV(F$24,F25)," ")/IF(F$24*F25&gt;0,SQRT(COUNT(F$24,F25))," "),"")</f>
        <v/>
      </c>
      <c r="AK56" s="238" t="str">
        <f aca="false">IFERROR(IF(G$24*G25&gt;0,STDEV(G$24,G25)," ")/IF(G$24*G25&gt;0,SQRT(COUNT(G$24,G25))," "),"")</f>
        <v/>
      </c>
      <c r="AL56" s="238" t="str">
        <f aca="false">IFERROR(IF(H$24*H25&gt;0,STDEV(H$24,H25)," ")/IF(H$24*H25&gt;0,SQRT(COUNT(H$24,H25))," "),"")</f>
        <v/>
      </c>
      <c r="AM56" s="238" t="str">
        <f aca="false">IFERROR(IF(I$24*I25&gt;0,STDEV(I$24,I25)," ")/IF(I$24*I25&gt;0,SQRT(COUNT(I$24,I25))," "),"")</f>
        <v/>
      </c>
      <c r="AN56" s="238" t="str">
        <f aca="false">IFERROR(IF(J$24*J25&gt;0,STDEV(J$24,J25)," ")/IF(J$24*J25&gt;0,SQRT(COUNT(J$24,J25))," "),"")</f>
        <v/>
      </c>
      <c r="AO56" s="238" t="str">
        <f aca="false">IFERROR(IF(K$24*K25&gt;0,STDEV(K$24,K25)," ")/IF(K$24*K25&gt;0,SQRT(COUNT(K$24,K25))," "),"")</f>
        <v/>
      </c>
      <c r="AP56" s="238" t="str">
        <f aca="false">IFERROR(IF(L$24*L25&gt;0,STDEV(L$24,L25)," ")/IF(L$24*L25&gt;0,SQRT(COUNT(L$24,L25))," "),"")</f>
        <v/>
      </c>
      <c r="AQ56" s="238" t="str">
        <f aca="false">IFERROR(IF(M$24*M25&gt;0,STDEV(M$24,M25)," ")/IF(M$24*M25&gt;0,SQRT(COUNT(M$24,M25))," "),"")</f>
        <v/>
      </c>
      <c r="AR56" s="238" t="str">
        <f aca="false">IFERROR(IF(N$24*N25&gt;0,STDEV(N$24,N25)," ")/IF(N$24*N25&gt;0,SQRT(COUNT(N$24,N25))," "),"")</f>
        <v/>
      </c>
    </row>
    <row r="57" customFormat="false" ht="15.75" hidden="false" customHeight="false" outlineLevel="0" collapsed="false">
      <c r="A57" s="220" t="s">
        <v>332</v>
      </c>
      <c r="B57" s="221"/>
      <c r="C57" s="222" t="str">
        <f aca="false">IFERROR(IF(C$24*C26&gt;0,AVERAGE(C$24,C26),""),"")</f>
        <v/>
      </c>
      <c r="D57" s="222" t="str">
        <f aca="false">IFERROR(IF(D$24*D26&gt;0,AVERAGE(D$24,D26),""),"")</f>
        <v/>
      </c>
      <c r="E57" s="222" t="str">
        <f aca="false">IFERROR(IF(E$24*E26&gt;0,AVERAGE(E$24,E26),""),"")</f>
        <v/>
      </c>
      <c r="F57" s="222" t="str">
        <f aca="false">IFERROR(IF(F$24*F26&gt;0,AVERAGE(F$24,F26),""),"")</f>
        <v/>
      </c>
      <c r="G57" s="222" t="str">
        <f aca="false">IFERROR(IF(G$24*G26&gt;0,AVERAGE(G$24,G26),""),"")</f>
        <v/>
      </c>
      <c r="H57" s="222" t="str">
        <f aca="false">IFERROR(IF(H$24*H26&gt;0,AVERAGE(H$24,H26),""),"")</f>
        <v/>
      </c>
      <c r="I57" s="222" t="str">
        <f aca="false">IFERROR(IF(I$24*I26&gt;0,AVERAGE(I$24,I26),""),"")</f>
        <v/>
      </c>
      <c r="J57" s="222" t="str">
        <f aca="false">IFERROR(IF(J$24*J26&gt;0,AVERAGE(J$24,J26),""),"")</f>
        <v/>
      </c>
      <c r="K57" s="222" t="str">
        <f aca="false">IFERROR(IF(K$24*K26&gt;0,AVERAGE(K$24,K26),""),"")</f>
        <v/>
      </c>
      <c r="L57" s="222" t="str">
        <f aca="false">IFERROR(IF(L$24*L26&gt;0,AVERAGE(L$24,L26),""),"")</f>
        <v/>
      </c>
      <c r="M57" s="222" t="str">
        <f aca="false">IFERROR(IF(M$24*M26&gt;0,AVERAGE(M$24,M26),""),"")</f>
        <v/>
      </c>
      <c r="N57" s="222" t="str">
        <f aca="false">IFERROR(IF(N$24*N26&gt;0,AVERAGE(N$24,N26),""),"")</f>
        <v/>
      </c>
      <c r="O57" s="239"/>
      <c r="P57" s="224"/>
      <c r="Q57" s="240"/>
      <c r="R57" s="226" t="s">
        <v>333</v>
      </c>
      <c r="S57" s="227" t="str">
        <f aca="false">IFERROR(IF(C$24*C26&gt;0,STDEV(C$24,C26),"")/IF(C$24*C26&gt;0,AVERAGE(C$24,C26),""),"")</f>
        <v/>
      </c>
      <c r="T57" s="227" t="str">
        <f aca="false">IFERROR(IF(D$24*D26&gt;0,STDEV(D$24,D26),"")/IF(D$24*D26&gt;0,AVERAGE(D$24,D26),""),"")</f>
        <v/>
      </c>
      <c r="U57" s="227" t="str">
        <f aca="false">IFERROR(IF(E$24*E26&gt;0,STDEV(E$24,E26),"")/IF(E$24*E26&gt;0,AVERAGE(E$24,E26),""),"")</f>
        <v/>
      </c>
      <c r="V57" s="227" t="str">
        <f aca="false">IFERROR(IF(F$24*F26&gt;0,STDEV(F$24,F26),"")/IF(F$24*F26&gt;0,AVERAGE(F$24,F26),""),"")</f>
        <v/>
      </c>
      <c r="W57" s="227" t="str">
        <f aca="false">IFERROR(IF(G$24*G26&gt;0,STDEV(G$24,G26),"")/IF(G$24*G26&gt;0,AVERAGE(G$24,G26),""),"")</f>
        <v/>
      </c>
      <c r="X57" s="227" t="str">
        <f aca="false">IFERROR(IF(H$24*H26&gt;0,STDEV(H$24,H26),"")/IF(H$24*H26&gt;0,AVERAGE(H$24,H26),""),"")</f>
        <v/>
      </c>
      <c r="Y57" s="227" t="str">
        <f aca="false">IFERROR(IF(I$24*I26&gt;0,STDEV(I$24,I26),"")/IF(I$24*I26&gt;0,AVERAGE(I$24,I26),""),"")</f>
        <v/>
      </c>
      <c r="Z57" s="227" t="str">
        <f aca="false">IFERROR(IF(J$24*J26&gt;0,STDEV(J$24,J26),"")/IF(J$24*J26&gt;0,AVERAGE(J$24,J26),""),"")</f>
        <v/>
      </c>
      <c r="AA57" s="227" t="str">
        <f aca="false">IFERROR(IF(K$24*K26&gt;0,STDEV(K$24,K26),"")/IF(K$24*K26&gt;0,AVERAGE(K$24,K26),""),"")</f>
        <v/>
      </c>
      <c r="AB57" s="227" t="str">
        <f aca="false">IFERROR(IF(L$24*L26&gt;0,STDEV(L$24,L26),"")/IF(L$24*L26&gt;0,AVERAGE(L$24,L26),""),"")</f>
        <v/>
      </c>
      <c r="AC57" s="227" t="str">
        <f aca="false">IFERROR(IF(M$24*M26&gt;0,STDEV(M$24,M26),"")/IF(M$24*M26&gt;0,AVERAGE(M$24,M26),""),"")</f>
        <v/>
      </c>
      <c r="AD57" s="227" t="str">
        <f aca="false">IFERROR(IF(N$24*N26&gt;0,STDEV(N$24,N26),"")/IF(N$24*N26&gt;0,AVERAGE(N$24,N26),""),"")</f>
        <v/>
      </c>
      <c r="AE57" s="241"/>
      <c r="AF57" s="229" t="s">
        <v>334</v>
      </c>
      <c r="AG57" s="230" t="str">
        <f aca="false">IFERROR(IF(C$24*C26&gt;0,STDEV(C$24,C26)," ")/IF(C$24*C26&gt;0,SQRT(COUNT(C$24,C26))," "),"")</f>
        <v/>
      </c>
      <c r="AH57" s="230" t="str">
        <f aca="false">IFERROR(IF(D$24*D26&gt;0,STDEV(D$24,D26)," ")/IF(D$24*D26&gt;0,SQRT(COUNT(D$24,D26))," "),"")</f>
        <v/>
      </c>
      <c r="AI57" s="230" t="str">
        <f aca="false">IFERROR(IF(E$24*E26&gt;0,STDEV(E$24,E26)," ")/IF(E$24*E26&gt;0,SQRT(COUNT(E$24,E26))," "),"")</f>
        <v/>
      </c>
      <c r="AJ57" s="230" t="str">
        <f aca="false">IFERROR(IF(F$24*F26&gt;0,STDEV(F$24,F26)," ")/IF(F$24*F26&gt;0,SQRT(COUNT(F$24,F26))," "),"")</f>
        <v/>
      </c>
      <c r="AK57" s="230" t="str">
        <f aca="false">IFERROR(IF(G$24*G26&gt;0,STDEV(G$24,G26)," ")/IF(G$24*G26&gt;0,SQRT(COUNT(G$24,G26))," "),"")</f>
        <v/>
      </c>
      <c r="AL57" s="230" t="str">
        <f aca="false">IFERROR(IF(H$24*H26&gt;0,STDEV(H$24,H26)," ")/IF(H$24*H26&gt;0,SQRT(COUNT(H$24,H26))," "),"")</f>
        <v/>
      </c>
      <c r="AM57" s="230" t="str">
        <f aca="false">IFERROR(IF(I$24*I26&gt;0,STDEV(I$24,I26)," ")/IF(I$24*I26&gt;0,SQRT(COUNT(I$24,I26))," "),"")</f>
        <v/>
      </c>
      <c r="AN57" s="230" t="str">
        <f aca="false">IFERROR(IF(J$24*J26&gt;0,STDEV(J$24,J26)," ")/IF(J$24*J26&gt;0,SQRT(COUNT(J$24,J26))," "),"")</f>
        <v/>
      </c>
      <c r="AO57" s="230" t="str">
        <f aca="false">IFERROR(IF(K$24*K26&gt;0,STDEV(K$24,K26)," ")/IF(K$24*K26&gt;0,SQRT(COUNT(K$24,K26))," "),"")</f>
        <v/>
      </c>
      <c r="AP57" s="230" t="str">
        <f aca="false">IFERROR(IF(L$24*L26&gt;0,STDEV(L$24,L26)," ")/IF(L$24*L26&gt;0,SQRT(COUNT(L$24,L26))," "),"")</f>
        <v/>
      </c>
      <c r="AQ57" s="230" t="str">
        <f aca="false">IFERROR(IF(M$24*M26&gt;0,STDEV(M$24,M26)," ")/IF(M$24*M26&gt;0,SQRT(COUNT(M$24,M26))," "),"")</f>
        <v/>
      </c>
      <c r="AR57" s="230" t="str">
        <f aca="false">IFERROR(IF(N$24*N26&gt;0,STDEV(N$24,N26)," ")/IF(N$24*N26&gt;0,SQRT(COUNT(N$24,N26))," "),"")</f>
        <v/>
      </c>
    </row>
    <row r="58" customFormat="false" ht="15.75" hidden="false" customHeight="false" outlineLevel="0" collapsed="false">
      <c r="A58" s="220" t="s">
        <v>335</v>
      </c>
      <c r="B58" s="221"/>
      <c r="C58" s="222" t="str">
        <f aca="false">IFERROR(IF(C$24*C16&gt;0,AVERAGE(C$24,C27),""),"")</f>
        <v/>
      </c>
      <c r="D58" s="222" t="str">
        <f aca="false">IFERROR(IF(D$24*D16&gt;0,AVERAGE(D$24,D27),""),"")</f>
        <v/>
      </c>
      <c r="E58" s="222" t="str">
        <f aca="false">IFERROR(IF(E$24*E16&gt;0,AVERAGE(E$24,E27),""),"")</f>
        <v/>
      </c>
      <c r="F58" s="222" t="str">
        <f aca="false">IFERROR(IF(F$24*F16&gt;0,AVERAGE(F$24,F27),""),"")</f>
        <v/>
      </c>
      <c r="G58" s="222" t="str">
        <f aca="false">IFERROR(IF(G$24*G16&gt;0,AVERAGE(G$24,G27),""),"")</f>
        <v/>
      </c>
      <c r="H58" s="222" t="str">
        <f aca="false">IFERROR(IF(H$24*H16&gt;0,AVERAGE(H$24,H27),""),"")</f>
        <v/>
      </c>
      <c r="I58" s="222" t="str">
        <f aca="false">IFERROR(IF(I$24*I16&gt;0,AVERAGE(I$24,I27),""),"")</f>
        <v/>
      </c>
      <c r="J58" s="222" t="str">
        <f aca="false">IFERROR(IF(J$24*J16&gt;0,AVERAGE(J$24,J27),""),"")</f>
        <v/>
      </c>
      <c r="K58" s="222" t="str">
        <f aca="false">IFERROR(IF(K$24*K16&gt;0,AVERAGE(K$24,K27),""),"")</f>
        <v/>
      </c>
      <c r="L58" s="222" t="str">
        <f aca="false">IFERROR(IF(L$24*L16&gt;0,AVERAGE(L$24,L27),""),"")</f>
        <v/>
      </c>
      <c r="M58" s="222" t="str">
        <f aca="false">IFERROR(IF(M$24*M16&gt;0,AVERAGE(M$24,M27),""),"")</f>
        <v/>
      </c>
      <c r="N58" s="222" t="str">
        <f aca="false">IFERROR(IF(N$24*N16&gt;0,AVERAGE(N$24,N27),""),"")</f>
        <v/>
      </c>
      <c r="O58" s="224"/>
      <c r="P58" s="224"/>
      <c r="Q58" s="232"/>
      <c r="R58" s="226" t="s">
        <v>336</v>
      </c>
      <c r="S58" s="227" t="str">
        <f aca="false">IFERROR(IF(C$24*C27&gt;0,STDEV(C$24,C27),"")/IF(C$24*C27&gt;0,AVERAGE(C$24,C27),""),"")</f>
        <v/>
      </c>
      <c r="T58" s="227" t="str">
        <f aca="false">IFERROR(IF(D$24*D27&gt;0,STDEV(D$24,D27),"")/IF(D$24*D27&gt;0,AVERAGE(D$24,D27),""),"")</f>
        <v/>
      </c>
      <c r="U58" s="227" t="str">
        <f aca="false">IFERROR(IF(E$24*E27&gt;0,STDEV(E$24,E27),"")/IF(E$24*E27&gt;0,AVERAGE(E$24,E27),""),"")</f>
        <v/>
      </c>
      <c r="V58" s="227" t="str">
        <f aca="false">IFERROR(IF(F$24*F27&gt;0,STDEV(F$24,F27),"")/IF(F$24*F27&gt;0,AVERAGE(F$24,F27),""),"")</f>
        <v/>
      </c>
      <c r="W58" s="227" t="str">
        <f aca="false">IFERROR(IF(G$24*G27&gt;0,STDEV(G$24,G27),"")/IF(G$24*G27&gt;0,AVERAGE(G$24,G27),""),"")</f>
        <v/>
      </c>
      <c r="X58" s="227" t="str">
        <f aca="false">IFERROR(IF(H$24*H27&gt;0,STDEV(H$24,H27),"")/IF(H$24*H27&gt;0,AVERAGE(H$24,H27),""),"")</f>
        <v/>
      </c>
      <c r="Y58" s="227" t="str">
        <f aca="false">IFERROR(IF(I$24*I27&gt;0,STDEV(I$24,I27),"")/IF(I$24*I27&gt;0,AVERAGE(I$24,I27),""),"")</f>
        <v/>
      </c>
      <c r="Z58" s="227" t="str">
        <f aca="false">IFERROR(IF(J$24*J27&gt;0,STDEV(J$24,J27),"")/IF(J$24*J27&gt;0,AVERAGE(J$24,J27),""),"")</f>
        <v/>
      </c>
      <c r="AA58" s="227" t="str">
        <f aca="false">IFERROR(IF(K$24*K27&gt;0,STDEV(K$24,K27),"")/IF(K$24*K27&gt;0,AVERAGE(K$24,K27),""),"")</f>
        <v/>
      </c>
      <c r="AB58" s="227" t="str">
        <f aca="false">IFERROR(IF(L$24*L27&gt;0,STDEV(L$24,L27),"")/IF(L$24*L27&gt;0,AVERAGE(L$24,L27),""),"")</f>
        <v/>
      </c>
      <c r="AC58" s="227" t="str">
        <f aca="false">IFERROR(IF(M$24*M27&gt;0,STDEV(M$24,M27),"")/IF(M$24*M27&gt;0,AVERAGE(M$24,M27),""),"")</f>
        <v/>
      </c>
      <c r="AD58" s="227" t="str">
        <f aca="false">IFERROR(IF(N$24*N27&gt;0,STDEV(N$24,N27),"")/IF(N$24*N27&gt;0,AVERAGE(N$24,N27),""),"")</f>
        <v/>
      </c>
      <c r="AE58" s="233"/>
      <c r="AF58" s="229" t="s">
        <v>337</v>
      </c>
      <c r="AG58" s="230" t="str">
        <f aca="false">IFERROR(IF(C$24*C27&gt;0,STDEV(C$24,C27)," ")/IF(C$24*C27&gt;0,SQRT(COUNT(C$24,C27))," "),"")</f>
        <v/>
      </c>
      <c r="AH58" s="230" t="str">
        <f aca="false">IFERROR(IF(D$24*D27&gt;0,STDEV(D$24,D27)," ")/IF(D$24*D27&gt;0,SQRT(COUNT(D$24,D27))," "),"")</f>
        <v/>
      </c>
      <c r="AI58" s="230" t="str">
        <f aca="false">IFERROR(IF(E$24*E27&gt;0,STDEV(E$24,E27)," ")/IF(E$24*E27&gt;0,SQRT(COUNT(E$24,E27))," "),"")</f>
        <v/>
      </c>
      <c r="AJ58" s="230" t="str">
        <f aca="false">IFERROR(IF(F$24*F27&gt;0,STDEV(F$24,F27)," ")/IF(F$24*F27&gt;0,SQRT(COUNT(F$24,F27))," "),"")</f>
        <v/>
      </c>
      <c r="AK58" s="230" t="str">
        <f aca="false">IFERROR(IF(G$24*G27&gt;0,STDEV(G$24,G27)," ")/IF(G$24*G27&gt;0,SQRT(COUNT(G$24,G27))," "),"")</f>
        <v/>
      </c>
      <c r="AL58" s="230" t="str">
        <f aca="false">IFERROR(IF(H$24*H27&gt;0,STDEV(H$24,H27)," ")/IF(H$24*H27&gt;0,SQRT(COUNT(H$24,H27))," "),"")</f>
        <v/>
      </c>
      <c r="AM58" s="230" t="str">
        <f aca="false">IFERROR(IF(I$24*I27&gt;0,STDEV(I$24,I27)," ")/IF(I$24*I27&gt;0,SQRT(COUNT(I$24,I27))," "),"")</f>
        <v/>
      </c>
      <c r="AN58" s="230" t="str">
        <f aca="false">IFERROR(IF(J$24*J27&gt;0,STDEV(J$24,J27)," ")/IF(J$24*J27&gt;0,SQRT(COUNT(J$24,J27))," "),"")</f>
        <v/>
      </c>
      <c r="AO58" s="230" t="str">
        <f aca="false">IFERROR(IF(K$24*K27&gt;0,STDEV(K$24,K27)," ")/IF(K$24*K27&gt;0,SQRT(COUNT(K$24,K27))," "),"")</f>
        <v/>
      </c>
      <c r="AP58" s="230" t="str">
        <f aca="false">IFERROR(IF(L$24*L27&gt;0,STDEV(L$24,L27)," ")/IF(L$24*L27&gt;0,SQRT(COUNT(L$24,L27))," "),"")</f>
        <v/>
      </c>
      <c r="AQ58" s="230" t="str">
        <f aca="false">IFERROR(IF(M$24*M27&gt;0,STDEV(M$24,M27)," ")/IF(M$24*M27&gt;0,SQRT(COUNT(M$24,M27))," "),"")</f>
        <v/>
      </c>
      <c r="AR58" s="230" t="str">
        <f aca="false">IFERROR(IF(N$24*N27&gt;0,STDEV(N$24,N27)," ")/IF(N$24*N27&gt;0,SQRT(COUNT(N$24,N27))," "),"")</f>
        <v/>
      </c>
    </row>
    <row r="59" customFormat="false" ht="15.75" hidden="false" customHeight="false" outlineLevel="0" collapsed="false">
      <c r="A59" s="220" t="s">
        <v>338</v>
      </c>
      <c r="B59" s="221"/>
      <c r="C59" s="222" t="str">
        <f aca="false">IFERROR(IF(C$25*C26&gt;0,AVERAGE(C$25,C26),""),"")</f>
        <v/>
      </c>
      <c r="D59" s="222" t="str">
        <f aca="false">IFERROR(IF(D$25*D26&gt;0,AVERAGE(D$25,D26),""),"")</f>
        <v/>
      </c>
      <c r="E59" s="222" t="str">
        <f aca="false">IFERROR(IF(E$25*E26&gt;0,AVERAGE(E$25,E26),""),"")</f>
        <v/>
      </c>
      <c r="F59" s="222" t="str">
        <f aca="false">IFERROR(IF(F$25*F26&gt;0,AVERAGE(F$25,F26),""),"")</f>
        <v/>
      </c>
      <c r="G59" s="222" t="str">
        <f aca="false">IFERROR(IF(G$25*G26&gt;0,AVERAGE(G$25,G26),""),"")</f>
        <v/>
      </c>
      <c r="H59" s="222" t="str">
        <f aca="false">IFERROR(IF(H$25*H26&gt;0,AVERAGE(H$25,H26),""),"")</f>
        <v/>
      </c>
      <c r="I59" s="222" t="str">
        <f aca="false">IFERROR(IF(I$25*I26&gt;0,AVERAGE(I$25,I26),""),"")</f>
        <v/>
      </c>
      <c r="J59" s="222" t="str">
        <f aca="false">IFERROR(IF(J$25*J26&gt;0,AVERAGE(J$25,J26),""),"")</f>
        <v/>
      </c>
      <c r="K59" s="222" t="str">
        <f aca="false">IFERROR(IF(K$25*K26&gt;0,AVERAGE(K$25,K26),""),"")</f>
        <v/>
      </c>
      <c r="L59" s="222" t="str">
        <f aca="false">IFERROR(IF(L$25*L26&gt;0,AVERAGE(L$25,L26),""),"")</f>
        <v/>
      </c>
      <c r="M59" s="222" t="str">
        <f aca="false">IFERROR(IF(M$25*M26&gt;0,AVERAGE(M$25,M26),""),"")</f>
        <v/>
      </c>
      <c r="N59" s="222" t="str">
        <f aca="false">IFERROR(IF(N$25*N26&gt;0,AVERAGE(N$25,N26),""),"")</f>
        <v/>
      </c>
      <c r="O59" s="224"/>
      <c r="P59" s="224"/>
      <c r="Q59" s="232"/>
      <c r="R59" s="226" t="s">
        <v>339</v>
      </c>
      <c r="S59" s="227" t="str">
        <f aca="false">IFERROR(IF(C$25*C26&gt;0,STDEV(C$25,C26),"")/IF(C$25*C26&gt;0,AVERAGE(C$25,C26),""),"")</f>
        <v/>
      </c>
      <c r="T59" s="227" t="str">
        <f aca="false">IFERROR(IF(D$25*D26&gt;0,STDEV(D$25,D26),"")/IF(D$25*D26&gt;0,AVERAGE(D$25,D26),""),"")</f>
        <v/>
      </c>
      <c r="U59" s="227" t="str">
        <f aca="false">IFERROR(IF(E$25*E26&gt;0,STDEV(E$25,E26),"")/IF(E$25*E26&gt;0,AVERAGE(E$25,E26),""),"")</f>
        <v/>
      </c>
      <c r="V59" s="227" t="str">
        <f aca="false">IFERROR(IF(F$25*F26&gt;0,STDEV(F$25,F26),"")/IF(F$25*F26&gt;0,AVERAGE(F$25,F26),""),"")</f>
        <v/>
      </c>
      <c r="W59" s="227" t="str">
        <f aca="false">IFERROR(IF(G$25*G26&gt;0,STDEV(G$25,G26),"")/IF(G$25*G26&gt;0,AVERAGE(G$25,G26),""),"")</f>
        <v/>
      </c>
      <c r="X59" s="227" t="str">
        <f aca="false">IFERROR(IF(H$25*H26&gt;0,STDEV(H$25,H26),"")/IF(H$25*H26&gt;0,AVERAGE(H$25,H26),""),"")</f>
        <v/>
      </c>
      <c r="Y59" s="227" t="str">
        <f aca="false">IFERROR(IF(I$25*I26&gt;0,STDEV(I$25,I26),"")/IF(I$25*I26&gt;0,AVERAGE(I$25,I26),""),"")</f>
        <v/>
      </c>
      <c r="Z59" s="227" t="str">
        <f aca="false">IFERROR(IF(J$25*J26&gt;0,STDEV(J$25,J26),"")/IF(J$25*J26&gt;0,AVERAGE(J$25,J26),""),"")</f>
        <v/>
      </c>
      <c r="AA59" s="227" t="str">
        <f aca="false">IFERROR(IF(K$25*K26&gt;0,STDEV(K$25,K26),"")/IF(K$25*K26&gt;0,AVERAGE(K$25,K26),""),"")</f>
        <v/>
      </c>
      <c r="AB59" s="227" t="str">
        <f aca="false">IFERROR(IF(L$25*L26&gt;0,STDEV(L$25,L26),"")/IF(L$25*L26&gt;0,AVERAGE(L$25,L26),""),"")</f>
        <v/>
      </c>
      <c r="AC59" s="227" t="str">
        <f aca="false">IFERROR(IF(M$25*M26&gt;0,STDEV(M$25,M26),"")/IF(M$25*M26&gt;0,AVERAGE(M$25,M26),""),"")</f>
        <v/>
      </c>
      <c r="AD59" s="227" t="str">
        <f aca="false">IFERROR(IF(N$25*N26&gt;0,STDEV(N$25,N26),"")/IF(N$25*N26&gt;0,AVERAGE(N$25,N26),""),"")</f>
        <v/>
      </c>
      <c r="AE59" s="233"/>
      <c r="AF59" s="229" t="s">
        <v>340</v>
      </c>
      <c r="AG59" s="230" t="str">
        <f aca="false">IFERROR(IF(C$25*C26&gt;0,STDEV(C$25,C26)," ")/IF(C$25*C26&gt;0,SQRT(COUNT(C$25,C26))," "),"")</f>
        <v/>
      </c>
      <c r="AH59" s="230" t="str">
        <f aca="false">IFERROR(IF(D$25*D26&gt;0,STDEV(D$25,D26)," ")/IF(D$25*D26&gt;0,SQRT(COUNT(D$25,D26))," "),"")</f>
        <v/>
      </c>
      <c r="AI59" s="230" t="str">
        <f aca="false">IFERROR(IF(E$25*E26&gt;0,STDEV(E$25,E26)," ")/IF(E$25*E26&gt;0,SQRT(COUNT(E$25,E26))," "),"")</f>
        <v/>
      </c>
      <c r="AJ59" s="230" t="str">
        <f aca="false">IFERROR(IF(F$25*F26&gt;0,STDEV(F$25,F26)," ")/IF(F$25*F26&gt;0,SQRT(COUNT(F$25,F26))," "),"")</f>
        <v/>
      </c>
      <c r="AK59" s="230" t="str">
        <f aca="false">IFERROR(IF(G$25*G26&gt;0,STDEV(G$25,G26)," ")/IF(G$25*G26&gt;0,SQRT(COUNT(G$25,G26))," "),"")</f>
        <v/>
      </c>
      <c r="AL59" s="230" t="str">
        <f aca="false">IFERROR(IF(H$25*H26&gt;0,STDEV(H$25,H26)," ")/IF(H$25*H26&gt;0,SQRT(COUNT(H$25,H26))," "),"")</f>
        <v/>
      </c>
      <c r="AM59" s="230" t="str">
        <f aca="false">IFERROR(IF(I$25*I26&gt;0,STDEV(I$25,I26)," ")/IF(I$25*I26&gt;0,SQRT(COUNT(I$25,I26))," "),"")</f>
        <v/>
      </c>
      <c r="AN59" s="230" t="str">
        <f aca="false">IFERROR(IF(J$25*J26&gt;0,STDEV(J$25,J26)," ")/IF(J$25*J26&gt;0,SQRT(COUNT(J$25,J26))," "),"")</f>
        <v/>
      </c>
      <c r="AO59" s="230" t="str">
        <f aca="false">IFERROR(IF(K$25*K26&gt;0,STDEV(K$25,K26)," ")/IF(K$25*K26&gt;0,SQRT(COUNT(K$25,K26))," "),"")</f>
        <v/>
      </c>
      <c r="AP59" s="230" t="str">
        <f aca="false">IFERROR(IF(L$25*L26&gt;0,STDEV(L$25,L26)," ")/IF(L$25*L26&gt;0,SQRT(COUNT(L$25,L26))," "),"")</f>
        <v/>
      </c>
      <c r="AQ59" s="230" t="str">
        <f aca="false">IFERROR(IF(M$25*M26&gt;0,STDEV(M$25,M26)," ")/IF(M$25*M26&gt;0,SQRT(COUNT(M$25,M26))," "),"")</f>
        <v/>
      </c>
      <c r="AR59" s="230" t="str">
        <f aca="false">IFERROR(IF(N$25*N26&gt;0,STDEV(N$25,N26)," ")/IF(N$25*N26&gt;0,SQRT(COUNT(N$25,N26))," "),"")</f>
        <v/>
      </c>
    </row>
    <row r="60" customFormat="false" ht="15.75" hidden="false" customHeight="false" outlineLevel="0" collapsed="false">
      <c r="A60" s="220" t="s">
        <v>341</v>
      </c>
      <c r="B60" s="221"/>
      <c r="C60" s="222" t="str">
        <f aca="false">IFERROR(IF(C$25*C27&gt;0,AVERAGE(C$25,C27),""),"")</f>
        <v/>
      </c>
      <c r="D60" s="222" t="str">
        <f aca="false">IFERROR(IF(D$25*D27&gt;0,AVERAGE(D$25,D27),""),"")</f>
        <v/>
      </c>
      <c r="E60" s="222" t="str">
        <f aca="false">IFERROR(IF(E$25*E27&gt;0,AVERAGE(E$25,E27),""),"")</f>
        <v/>
      </c>
      <c r="F60" s="222" t="str">
        <f aca="false">IFERROR(IF(F$25*F27&gt;0,AVERAGE(F$25,F27),""),"")</f>
        <v/>
      </c>
      <c r="G60" s="222" t="str">
        <f aca="false">IFERROR(IF(G$25*G27&gt;0,AVERAGE(G$25,G27),""),"")</f>
        <v/>
      </c>
      <c r="H60" s="222" t="str">
        <f aca="false">IFERROR(IF(H$25*H27&gt;0,AVERAGE(H$25,H27),""),"")</f>
        <v/>
      </c>
      <c r="I60" s="222" t="str">
        <f aca="false">IFERROR(IF(I$25*I27&gt;0,AVERAGE(I$25,I27),""),"")</f>
        <v/>
      </c>
      <c r="J60" s="222" t="str">
        <f aca="false">IFERROR(IF(J$25*J27&gt;0,AVERAGE(J$25,J27),""),"")</f>
        <v/>
      </c>
      <c r="K60" s="222" t="str">
        <f aca="false">IFERROR(IF(K$25*K27&gt;0,AVERAGE(K$25,K27),""),"")</f>
        <v/>
      </c>
      <c r="L60" s="222" t="str">
        <f aca="false">IFERROR(IF(L$25*L27&gt;0,AVERAGE(L$25,L27),""),"")</f>
        <v/>
      </c>
      <c r="M60" s="222" t="str">
        <f aca="false">IFERROR(IF(M$25*M27&gt;0,AVERAGE(M$25,M27),""),"")</f>
        <v/>
      </c>
      <c r="N60" s="222" t="str">
        <f aca="false">IFERROR(IF(N$25*N27&gt;0,AVERAGE(N$25,N27),""),"")</f>
        <v/>
      </c>
      <c r="O60" s="224"/>
      <c r="P60" s="224"/>
      <c r="Q60" s="232"/>
      <c r="R60" s="226" t="s">
        <v>342</v>
      </c>
      <c r="S60" s="227" t="str">
        <f aca="false">IFERROR(IF(C$25*C27&gt;0,STDEV(C$25,C27),"")/IF(C$25*C27&gt;0,AVERAGE(C$25,C27),""),"")</f>
        <v/>
      </c>
      <c r="T60" s="227" t="str">
        <f aca="false">IFERROR(IF(D$25*D27&gt;0,STDEV(D$25,D27),"")/IF(D$25*D27&gt;0,AVERAGE(D$25,D27),""),"")</f>
        <v/>
      </c>
      <c r="U60" s="227" t="str">
        <f aca="false">IFERROR(IF(E$25*E27&gt;0,STDEV(E$25,E27),"")/IF(E$25*E27&gt;0,AVERAGE(E$25,E27),""),"")</f>
        <v/>
      </c>
      <c r="V60" s="227" t="str">
        <f aca="false">IFERROR(IF(F$25*F27&gt;0,STDEV(F$25,F27),"")/IF(F$25*F27&gt;0,AVERAGE(F$25,F27),""),"")</f>
        <v/>
      </c>
      <c r="W60" s="227" t="str">
        <f aca="false">IFERROR(IF(G$25*G27&gt;0,STDEV(G$25,G27),"")/IF(G$25*G27&gt;0,AVERAGE(G$25,G27),""),"")</f>
        <v/>
      </c>
      <c r="X60" s="227" t="str">
        <f aca="false">IFERROR(IF(H$25*H27&gt;0,STDEV(H$25,H27),"")/IF(H$25*H27&gt;0,AVERAGE(H$25,H27),""),"")</f>
        <v/>
      </c>
      <c r="Y60" s="227" t="str">
        <f aca="false">IFERROR(IF(I$25*I27&gt;0,STDEV(I$25,I27),"")/IF(I$25*I27&gt;0,AVERAGE(I$25,I27),""),"")</f>
        <v/>
      </c>
      <c r="Z60" s="227" t="str">
        <f aca="false">IFERROR(IF(J$25*J27&gt;0,STDEV(J$25,J27),"")/IF(J$25*J27&gt;0,AVERAGE(J$25,J27),""),"")</f>
        <v/>
      </c>
      <c r="AA60" s="227" t="str">
        <f aca="false">IFERROR(IF(K$25*K27&gt;0,STDEV(K$25,K27),"")/IF(K$25*K27&gt;0,AVERAGE(K$25,K27),""),"")</f>
        <v/>
      </c>
      <c r="AB60" s="227" t="str">
        <f aca="false">IFERROR(IF(L$25*L27&gt;0,STDEV(L$25,L27),"")/IF(L$25*L27&gt;0,AVERAGE(L$25,L27),""),"")</f>
        <v/>
      </c>
      <c r="AC60" s="227" t="str">
        <f aca="false">IFERROR(IF(M$25*M27&gt;0,STDEV(M$25,M27),"")/IF(M$25*M27&gt;0,AVERAGE(M$25,M27),""),"")</f>
        <v/>
      </c>
      <c r="AD60" s="227" t="str">
        <f aca="false">IFERROR(IF(N$25*N27&gt;0,STDEV(N$25,N27),"")/IF(N$25*N27&gt;0,AVERAGE(N$25,N27),""),"")</f>
        <v/>
      </c>
      <c r="AE60" s="233"/>
      <c r="AF60" s="229" t="s">
        <v>343</v>
      </c>
      <c r="AG60" s="230" t="str">
        <f aca="false">IFERROR(IF(C$25*C27&gt;0,STDEV(C$25,C27)," ")/IF(C$25*C27&gt;0,SQRT(COUNT(C$25,C27))," "),"")</f>
        <v/>
      </c>
      <c r="AH60" s="230" t="str">
        <f aca="false">IFERROR(IF(D$25*D27&gt;0,STDEV(D$25,D27)," ")/IF(D$25*D27&gt;0,SQRT(COUNT(D$25,D27))," "),"")</f>
        <v/>
      </c>
      <c r="AI60" s="230" t="str">
        <f aca="false">IFERROR(IF(E$25*E27&gt;0,STDEV(E$25,E27)," ")/IF(E$25*E27&gt;0,SQRT(COUNT(E$25,E27))," "),"")</f>
        <v/>
      </c>
      <c r="AJ60" s="230" t="str">
        <f aca="false">IFERROR(IF(F$25*F27&gt;0,STDEV(F$25,F27)," ")/IF(F$25*F27&gt;0,SQRT(COUNT(F$25,F27))," "),"")</f>
        <v/>
      </c>
      <c r="AK60" s="230" t="str">
        <f aca="false">IFERROR(IF(G$25*G27&gt;0,STDEV(G$25,G27)," ")/IF(G$25*G27&gt;0,SQRT(COUNT(G$25,G27))," "),"")</f>
        <v/>
      </c>
      <c r="AL60" s="230" t="str">
        <f aca="false">IFERROR(IF(H$25*H27&gt;0,STDEV(H$25,H27)," ")/IF(H$25*H27&gt;0,SQRT(COUNT(H$25,H27))," "),"")</f>
        <v/>
      </c>
      <c r="AM60" s="230" t="str">
        <f aca="false">IFERROR(IF(I$25*I27&gt;0,STDEV(I$25,I27)," ")/IF(I$25*I27&gt;0,SQRT(COUNT(I$25,I27))," "),"")</f>
        <v/>
      </c>
      <c r="AN60" s="230" t="str">
        <f aca="false">IFERROR(IF(J$25*J27&gt;0,STDEV(J$25,J27)," ")/IF(J$25*J27&gt;0,SQRT(COUNT(J$25,J27))," "),"")</f>
        <v/>
      </c>
      <c r="AO60" s="230" t="str">
        <f aca="false">IFERROR(IF(K$25*K27&gt;0,STDEV(K$25,K27)," ")/IF(K$25*K27&gt;0,SQRT(COUNT(K$25,K27))," "),"")</f>
        <v/>
      </c>
      <c r="AP60" s="230" t="str">
        <f aca="false">IFERROR(IF(L$25*L27&gt;0,STDEV(L$25,L27)," ")/IF(L$25*L27&gt;0,SQRT(COUNT(L$25,L27))," "),"")</f>
        <v/>
      </c>
      <c r="AQ60" s="230" t="str">
        <f aca="false">IFERROR(IF(M$25*M27&gt;0,STDEV(M$25,M27)," ")/IF(M$25*M27&gt;0,SQRT(COUNT(M$25,M27))," "),"")</f>
        <v/>
      </c>
      <c r="AR60" s="230" t="str">
        <f aca="false">IFERROR(IF(N$25*N27&gt;0,STDEV(N$25,N27)," ")/IF(N$25*N27&gt;0,SQRT(COUNT(N$25,N27))," "),"")</f>
        <v/>
      </c>
    </row>
    <row r="61" customFormat="false" ht="15.75" hidden="false" customHeight="false" outlineLevel="0" collapsed="false">
      <c r="A61" s="242" t="s">
        <v>344</v>
      </c>
      <c r="B61" s="243"/>
      <c r="C61" s="244" t="str">
        <f aca="false">IFERROR(IF(C$26*C27&gt;0,AVERAGE(C$26,C27),""),"")</f>
        <v/>
      </c>
      <c r="D61" s="244" t="str">
        <f aca="false">IFERROR(IF(D$26*D27&gt;0,AVERAGE(D$26,D27),""),"")</f>
        <v/>
      </c>
      <c r="E61" s="244" t="str">
        <f aca="false">IFERROR(IF(E$26*E27&gt;0,AVERAGE(E$26,E27),""),"")</f>
        <v/>
      </c>
      <c r="F61" s="244" t="str">
        <f aca="false">IFERROR(IF(F$26*F27&gt;0,AVERAGE(F$26,F27),""),"")</f>
        <v/>
      </c>
      <c r="G61" s="244" t="str">
        <f aca="false">IFERROR(IF(G$26*G27&gt;0,AVERAGE(G$26,G27),""),"")</f>
        <v/>
      </c>
      <c r="H61" s="244" t="str">
        <f aca="false">IFERROR(IF(H$26*H27&gt;0,AVERAGE(H$26,H27),""),"")</f>
        <v/>
      </c>
      <c r="I61" s="244" t="str">
        <f aca="false">IFERROR(IF(I$26*I27&gt;0,AVERAGE(I$26,I27),""),"")</f>
        <v/>
      </c>
      <c r="J61" s="244" t="str">
        <f aca="false">IFERROR(IF(J$26*J27&gt;0,AVERAGE(J$26,J27),""),"")</f>
        <v/>
      </c>
      <c r="K61" s="244" t="str">
        <f aca="false">IFERROR(IF(K$26*K27&gt;0,AVERAGE(K$26,K27),""),"")</f>
        <v/>
      </c>
      <c r="L61" s="244" t="str">
        <f aca="false">IFERROR(IF(L$26*L27&gt;0,AVERAGE(L$26,L27),""),"")</f>
        <v/>
      </c>
      <c r="M61" s="244" t="str">
        <f aca="false">IFERROR(IF(M$26*M27&gt;0,AVERAGE(M$26,M27),""),"")</f>
        <v/>
      </c>
      <c r="N61" s="244" t="str">
        <f aca="false">IFERROR(IF(N$26*N27&gt;0,AVERAGE(N$26,N27),""),"")</f>
        <v/>
      </c>
      <c r="O61" s="245"/>
      <c r="P61" s="245"/>
      <c r="Q61" s="246"/>
      <c r="R61" s="247" t="s">
        <v>345</v>
      </c>
      <c r="S61" s="248" t="str">
        <f aca="false">IFERROR(IF(C$26*C27&gt;0,STDEV(C$26,C27),"")/IF(C$26*C27&gt;0,AVERAGE(C$26,C27),""),"")</f>
        <v/>
      </c>
      <c r="T61" s="248" t="str">
        <f aca="false">IFERROR(IF(D$26*D27&gt;0,STDEV(D$26,D27),"")/IF(D$26*D27&gt;0,AVERAGE(D$26,D27),""),"")</f>
        <v/>
      </c>
      <c r="U61" s="248" t="str">
        <f aca="false">IFERROR(IF(E$26*E27&gt;0,STDEV(E$26,E27),"")/IF(E$26*E27&gt;0,AVERAGE(E$26,E27),""),"")</f>
        <v/>
      </c>
      <c r="V61" s="248" t="str">
        <f aca="false">IFERROR(IF(F$26*F27&gt;0,STDEV(F$26,F27),"")/IF(F$26*F27&gt;0,AVERAGE(F$26,F27),""),"")</f>
        <v/>
      </c>
      <c r="W61" s="248" t="str">
        <f aca="false">IFERROR(IF(G$26*G27&gt;0,STDEV(G$26,G27),"")/IF(G$26*G27&gt;0,AVERAGE(G$26,G27),""),"")</f>
        <v/>
      </c>
      <c r="X61" s="248" t="str">
        <f aca="false">IFERROR(IF(H$26*H27&gt;0,STDEV(H$26,H27),"")/IF(H$26*H27&gt;0,AVERAGE(H$26,H27),""),"")</f>
        <v/>
      </c>
      <c r="Y61" s="248" t="str">
        <f aca="false">IFERROR(IF(I$26*I27&gt;0,STDEV(I$26,I27),"")/IF(I$26*I27&gt;0,AVERAGE(I$26,I27),""),"")</f>
        <v/>
      </c>
      <c r="Z61" s="248" t="str">
        <f aca="false">IFERROR(IF(J$26*J27&gt;0,STDEV(J$26,J27),"")/IF(J$26*J27&gt;0,AVERAGE(J$26,J27),""),"")</f>
        <v/>
      </c>
      <c r="AA61" s="248" t="str">
        <f aca="false">IFERROR(IF(K$26*K27&gt;0,STDEV(K$26,K27),"")/IF(K$26*K27&gt;0,AVERAGE(K$26,K27),""),"")</f>
        <v/>
      </c>
      <c r="AB61" s="248" t="str">
        <f aca="false">IFERROR(IF(L$26*L27&gt;0,STDEV(L$26,L27),"")/IF(L$26*L27&gt;0,AVERAGE(L$26,L27),""),"")</f>
        <v/>
      </c>
      <c r="AC61" s="248" t="str">
        <f aca="false">IFERROR(IF(M$26*M27&gt;0,STDEV(M$26,M27),"")/IF(M$26*M27&gt;0,AVERAGE(M$26,M27),""),"")</f>
        <v/>
      </c>
      <c r="AD61" s="248" t="str">
        <f aca="false">IFERROR(IF(N$26*N27&gt;0,STDEV(N$26,N27),"")/IF(N$26*N27&gt;0,AVERAGE(N$26,N27),""),"")</f>
        <v/>
      </c>
      <c r="AE61" s="249"/>
      <c r="AF61" s="250" t="s">
        <v>346</v>
      </c>
      <c r="AG61" s="251" t="str">
        <f aca="false">IFERROR(IF(C$26*C27&gt;0,STDEV(C$26,C27)," ")/IF(C$26*C27&gt;0,SQRT(COUNT(C$26,C27))," "),"")</f>
        <v/>
      </c>
      <c r="AH61" s="251" t="str">
        <f aca="false">IFERROR(IF(D$26*D27&gt;0,STDEV(D$26,D27)," ")/IF(D$26*D27&gt;0,SQRT(COUNT(D$26,D27))," "),"")</f>
        <v/>
      </c>
      <c r="AI61" s="251" t="str">
        <f aca="false">IFERROR(IF(E$26*E27&gt;0,STDEV(E$26,E27)," ")/IF(E$26*E27&gt;0,SQRT(COUNT(E$26,E27))," "),"")</f>
        <v/>
      </c>
      <c r="AJ61" s="251" t="str">
        <f aca="false">IFERROR(IF(F$26*F27&gt;0,STDEV(F$26,F27)," ")/IF(F$26*F27&gt;0,SQRT(COUNT(F$26,F27))," "),"")</f>
        <v/>
      </c>
      <c r="AK61" s="251" t="str">
        <f aca="false">IFERROR(IF(G$26*G27&gt;0,STDEV(G$26,G27)," ")/IF(G$26*G27&gt;0,SQRT(COUNT(G$26,G27))," "),"")</f>
        <v/>
      </c>
      <c r="AL61" s="251" t="str">
        <f aca="false">IFERROR(IF(H$26*H27&gt;0,STDEV(H$26,H27)," ")/IF(H$26*H27&gt;0,SQRT(COUNT(H$26,H27))," "),"")</f>
        <v/>
      </c>
      <c r="AM61" s="251" t="str">
        <f aca="false">IFERROR(IF(I$26*I27&gt;0,STDEV(I$26,I27)," ")/IF(I$26*I27&gt;0,SQRT(COUNT(I$26,I27))," "),"")</f>
        <v/>
      </c>
      <c r="AN61" s="251" t="str">
        <f aca="false">IFERROR(IF(J$26*J27&gt;0,STDEV(J$26,J27)," ")/IF(J$26*J27&gt;0,SQRT(COUNT(J$26,J27))," "),"")</f>
        <v/>
      </c>
      <c r="AO61" s="251" t="str">
        <f aca="false">IFERROR(IF(K$26*K27&gt;0,STDEV(K$26,K27)," ")/IF(K$26*K27&gt;0,SQRT(COUNT(K$26,K27))," "),"")</f>
        <v/>
      </c>
      <c r="AP61" s="251" t="str">
        <f aca="false">IFERROR(IF(L$26*L27&gt;0,STDEV(L$26,L27)," ")/IF(L$26*L27&gt;0,SQRT(COUNT(L$26,L27))," "),"")</f>
        <v/>
      </c>
      <c r="AQ61" s="251" t="str">
        <f aca="false">IFERROR(IF(M$26*M27&gt;0,STDEV(M$26,M27)," ")/IF(M$26*M27&gt;0,SQRT(COUNT(M$26,M27))," "),"")</f>
        <v/>
      </c>
      <c r="AR61" s="251" t="str">
        <f aca="false">IFERROR(IF(N$26*N27&gt;0,STDEV(N$26,N27)," ")/IF(N$26*N27&gt;0,SQRT(COUNT(N$26,N27))," "),"")</f>
        <v/>
      </c>
    </row>
    <row r="62" customFormat="false" ht="15.75" hidden="false" customHeight="false" outlineLevel="0" collapsed="false">
      <c r="A62" s="220" t="s">
        <v>347</v>
      </c>
      <c r="B62" s="221"/>
      <c r="C62" s="222" t="str">
        <f aca="false">IFERROR(IF(C$21*C$22*C23&gt;0,AVERAGE(C$21:C$22,C23),""),"")</f>
        <v/>
      </c>
      <c r="D62" s="222" t="str">
        <f aca="false">IFERROR(IF(D$21*D$22*D23&gt;0,AVERAGE(D$21:D$22,D23),""),"")</f>
        <v/>
      </c>
      <c r="E62" s="222" t="str">
        <f aca="false">IFERROR(IF(E$21*E$22*E23&gt;0,AVERAGE(E$21:E$22,E23),""),"")</f>
        <v/>
      </c>
      <c r="F62" s="222" t="str">
        <f aca="false">IFERROR(IF(F$21*F$22*F23&gt;0,AVERAGE(F$21:F$22,F23),""),"")</f>
        <v/>
      </c>
      <c r="G62" s="222" t="str">
        <f aca="false">IFERROR(IF(G$21*G$22*G23&gt;0,AVERAGE(G$21:G$22,G23),""),"")</f>
        <v/>
      </c>
      <c r="H62" s="222" t="str">
        <f aca="false">IFERROR(IF(H$21*H$22*H23&gt;0,AVERAGE(H$21:H$22,H23),""),"")</f>
        <v/>
      </c>
      <c r="I62" s="222" t="str">
        <f aca="false">IFERROR(IF(I$21*I$22*I23&gt;0,AVERAGE(I$21:I$22,I23),""),"")</f>
        <v/>
      </c>
      <c r="J62" s="222" t="str">
        <f aca="false">IFERROR(IF(J$21*J$22*J23&gt;0,AVERAGE(J$21:J$22,J23),""),"")</f>
        <v/>
      </c>
      <c r="K62" s="222" t="str">
        <f aca="false">IFERROR(IF(K$21*K$22*K23&gt;0,AVERAGE(K$21:K$22,K23),""),"")</f>
        <v/>
      </c>
      <c r="L62" s="222" t="str">
        <f aca="false">IFERROR(IF(L$21*L$22*L23&gt;0,AVERAGE(L$21:L$22,L23),""),"")</f>
        <v/>
      </c>
      <c r="M62" s="222" t="str">
        <f aca="false">IFERROR(IF(M$21*M$22*M23&gt;0,AVERAGE(M$21:M$22,M23),""),"")</f>
        <v/>
      </c>
      <c r="N62" s="222" t="str">
        <f aca="false">IFERROR(IF(N$21*N$22*N23&gt;0,AVERAGE(N$21:N$22,N23),""),"")</f>
        <v/>
      </c>
      <c r="O62" s="240" t="n">
        <v>3</v>
      </c>
      <c r="P62" s="224" t="n">
        <f aca="false">COMBIN(7,3)</f>
        <v>35</v>
      </c>
      <c r="Q62" s="252" t="n">
        <f aca="false">ROW(N96)-ROW(N62)+1</f>
        <v>35</v>
      </c>
      <c r="R62" s="226" t="s">
        <v>348</v>
      </c>
      <c r="S62" s="227" t="str">
        <f aca="false">IFERROR(IF(C$21*C$22*C23&gt;0,STDEV(C$21:C$22,C23),"")/IF(C$21*C$22*C23&gt;0,AVERAGE(C$21:C$22,C23),""),"")</f>
        <v/>
      </c>
      <c r="T62" s="227" t="str">
        <f aca="false">IFERROR(IF(D$21*D$22*D23&gt;0,STDEV(D$21:D$22,D23),"")/IF(D$21*D$22*D23&gt;0,AVERAGE(D$21:D$22,D23),""),"")</f>
        <v/>
      </c>
      <c r="U62" s="227" t="str">
        <f aca="false">IFERROR(IF(E$21*E$22*E23&gt;0,STDEV(E$21:E$22,E23),"")/IF(E$21*E$22*E23&gt;0,AVERAGE(E$21:E$22,E23),""),"")</f>
        <v/>
      </c>
      <c r="V62" s="227" t="str">
        <f aca="false">IFERROR(IF(F$21*F$22*F23&gt;0,STDEV(F$21:F$22,F23),"")/IF(F$21*F$22*F23&gt;0,AVERAGE(F$21:F$22,F23),""),"")</f>
        <v/>
      </c>
      <c r="W62" s="227" t="str">
        <f aca="false">IFERROR(IF(G$21*G$22*G23&gt;0,STDEV(G$21:G$22,G23),"")/IF(G$21*G$22*G23&gt;0,AVERAGE(G$21:G$22,G23),""),"")</f>
        <v/>
      </c>
      <c r="X62" s="227" t="str">
        <f aca="false">IFERROR(IF(H$21*H$22*H23&gt;0,STDEV(H$21:H$22,H23),"")/IF(H$21*H$22*H23&gt;0,AVERAGE(H$21:H$22,H23),""),"")</f>
        <v/>
      </c>
      <c r="Y62" s="227" t="str">
        <f aca="false">IFERROR(IF(I$21*I$22*I23&gt;0,STDEV(I$21:I$22,I23),"")/IF(I$21*I$22*I23&gt;0,AVERAGE(I$21:I$22,I23),""),"")</f>
        <v/>
      </c>
      <c r="Z62" s="227" t="str">
        <f aca="false">IFERROR(IF(J$21*J$22*J23&gt;0,STDEV(J$21:J$22,J23),"")/IF(J$21*J$22*J23&gt;0,AVERAGE(J$21:J$22,J23),""),"")</f>
        <v/>
      </c>
      <c r="AA62" s="227" t="str">
        <f aca="false">IFERROR(IF(K$21*K$22*K23&gt;0,STDEV(K$21:K$22,K23),"")/IF(K$21*K$22*K23&gt;0,AVERAGE(K$21:K$22,K23),""),"")</f>
        <v/>
      </c>
      <c r="AB62" s="227" t="str">
        <f aca="false">IFERROR(IF(L$21*L$22*L23&gt;0,STDEV(L$21:L$22,L23),"")/IF(L$21*L$22*L23&gt;0,AVERAGE(L$21:L$22,L23),""),"")</f>
        <v/>
      </c>
      <c r="AC62" s="227" t="str">
        <f aca="false">IFERROR(IF(M$21*M$22*M23&gt;0,STDEV(M$21:M$22,M23),"")/IF(M$21*M$22*M23&gt;0,AVERAGE(M$21:M$22,M23),""),"")</f>
        <v/>
      </c>
      <c r="AD62" s="227" t="str">
        <f aca="false">IFERROR(IF(N$21*N$22*N23&gt;0,STDEV(N$21:N$22,N23),"")/IF(N$21*N$22*N23&gt;0,AVERAGE(N$21:N$22,N23),""),"")</f>
        <v/>
      </c>
      <c r="AE62" s="233"/>
      <c r="AF62" s="229" t="s">
        <v>349</v>
      </c>
      <c r="AG62" s="230" t="str">
        <f aca="false">IFERROR(IF(C$21*C$22*C23&gt;0,STDEV(C$21:C$22,C23)," ")/IF(C$21*C$22*C23&gt;0,SQRT(COUNT(C$21:C$22,C23))," "),"")</f>
        <v/>
      </c>
      <c r="AH62" s="230" t="str">
        <f aca="false">IFERROR(IF(D$21*D$22*D23&gt;0,STDEV(D$21:D$22,D23)," ")/IF(D$21*D$22*D23&gt;0,SQRT(COUNT(D$21:D$22,D23))," "),"")</f>
        <v/>
      </c>
      <c r="AI62" s="230" t="str">
        <f aca="false">IFERROR(IF(E$21*E$22*E23&gt;0,STDEV(E$21:E$22,E23)," ")/IF(E$21*E$22*E23&gt;0,SQRT(COUNT(E$21:E$22,E23))," "),"")</f>
        <v/>
      </c>
      <c r="AJ62" s="230" t="str">
        <f aca="false">IFERROR(IF(F$21*F$22*F23&gt;0,STDEV(F$21:F$22,F23)," ")/IF(F$21*F$22*F23&gt;0,SQRT(COUNT(F$21:F$22,F23))," "),"")</f>
        <v/>
      </c>
      <c r="AK62" s="230" t="str">
        <f aca="false">IFERROR(IF(G$21*G$22*G23&gt;0,STDEV(G$21:G$22,G23)," ")/IF(G$21*G$22*G23&gt;0,SQRT(COUNT(G$21:G$22,G23))," "),"")</f>
        <v/>
      </c>
      <c r="AL62" s="230" t="str">
        <f aca="false">IFERROR(IF(H$21*H$22*H23&gt;0,STDEV(H$21:H$22,H23)," ")/IF(H$21*H$22*H23&gt;0,SQRT(COUNT(H$21:H$22,H23))," "),"")</f>
        <v/>
      </c>
      <c r="AM62" s="230" t="str">
        <f aca="false">IFERROR(IF(I$21*I$22*I23&gt;0,STDEV(I$21:I$22,I23)," ")/IF(I$21*I$22*I23&gt;0,SQRT(COUNT(I$21:I$22,I23))," "),"")</f>
        <v/>
      </c>
      <c r="AN62" s="230" t="str">
        <f aca="false">IFERROR(IF(J$21*J$22*J23&gt;0,STDEV(J$21:J$22,J23)," ")/IF(J$21*J$22*J23&gt;0,SQRT(COUNT(J$21:J$22,J23))," "),"")</f>
        <v/>
      </c>
      <c r="AO62" s="230" t="str">
        <f aca="false">IFERROR(IF(K$21*K$22*K23&gt;0,STDEV(K$21:K$22,K23)," ")/IF(K$21*K$22*K23&gt;0,SQRT(COUNT(K$21:K$22,K23))," "),"")</f>
        <v/>
      </c>
      <c r="AP62" s="230" t="str">
        <f aca="false">IFERROR(IF(L$21*L$22*L23&gt;0,STDEV(L$21:L$22,L23)," ")/IF(L$21*L$22*L23&gt;0,SQRT(COUNT(L$21:L$22,L23))," "),"")</f>
        <v/>
      </c>
      <c r="AQ62" s="230" t="str">
        <f aca="false">IFERROR(IF(M$21*M$22*M23&gt;0,STDEV(M$21:M$22,M23)," ")/IF(M$21*M$22*M23&gt;0,SQRT(COUNT(M$21:M$22,M23))," "),"")</f>
        <v/>
      </c>
      <c r="AR62" s="230" t="str">
        <f aca="false">IFERROR(IF(N$21*N$22*N23&gt;0,STDEV(N$21:N$22,N23)," ")/IF(N$21*N$22*N23&gt;0,SQRT(COUNT(N$21:N$22,N23))," "),"")</f>
        <v/>
      </c>
    </row>
    <row r="63" customFormat="false" ht="15.75" hidden="false" customHeight="false" outlineLevel="0" collapsed="false">
      <c r="A63" s="220" t="s">
        <v>350</v>
      </c>
      <c r="B63" s="221"/>
      <c r="C63" s="222" t="str">
        <f aca="false">IFERROR(IF(C$21*C$22*C24&gt;0,AVERAGE(C$21:C$22,C24),""),"")</f>
        <v/>
      </c>
      <c r="D63" s="222" t="str">
        <f aca="false">IFERROR(IF(D$21*D$22*D24&gt;0,AVERAGE(D$21:D$22,D24),""),"")</f>
        <v/>
      </c>
      <c r="E63" s="222" t="str">
        <f aca="false">IFERROR(IF(E$21*E$22*E24&gt;0,AVERAGE(E$21:E$22,E24),""),"")</f>
        <v/>
      </c>
      <c r="F63" s="222" t="str">
        <f aca="false">IFERROR(IF(F$21*F$22*F24&gt;0,AVERAGE(F$21:F$22,F24),""),"")</f>
        <v/>
      </c>
      <c r="G63" s="222" t="str">
        <f aca="false">IFERROR(IF(G$21*G$22*G24&gt;0,AVERAGE(G$21:G$22,G24),""),"")</f>
        <v/>
      </c>
      <c r="H63" s="222" t="str">
        <f aca="false">IFERROR(IF(H$21*H$22*H24&gt;0,AVERAGE(H$21:H$22,H24),""),"")</f>
        <v/>
      </c>
      <c r="I63" s="222" t="str">
        <f aca="false">IFERROR(IF(I$21*I$22*I24&gt;0,AVERAGE(I$21:I$22,I24),""),"")</f>
        <v/>
      </c>
      <c r="J63" s="222" t="str">
        <f aca="false">IFERROR(IF(J$21*J$22*J24&gt;0,AVERAGE(J$21:J$22,J24),""),"")</f>
        <v/>
      </c>
      <c r="K63" s="222" t="str">
        <f aca="false">IFERROR(IF(K$21*K$22*K24&gt;0,AVERAGE(K$21:K$22,K24),""),"")</f>
        <v/>
      </c>
      <c r="L63" s="222" t="str">
        <f aca="false">IFERROR(IF(L$21*L$22*L24&gt;0,AVERAGE(L$21:L$22,L24),""),"")</f>
        <v/>
      </c>
      <c r="M63" s="222" t="str">
        <f aca="false">IFERROR(IF(M$21*M$22*M24&gt;0,AVERAGE(M$21:M$22,M24),""),"")</f>
        <v/>
      </c>
      <c r="N63" s="222" t="str">
        <f aca="false">IFERROR(IF(N$21*N$22*N24&gt;0,AVERAGE(N$21:N$22,N24),""),"")</f>
        <v/>
      </c>
      <c r="O63" s="224"/>
      <c r="P63" s="224"/>
      <c r="Q63" s="232"/>
      <c r="R63" s="226" t="s">
        <v>351</v>
      </c>
      <c r="S63" s="227" t="str">
        <f aca="false">IFERROR(IF(C$21*C$22*C24&gt;0,STDEV(C$21:C$22,C24),"")/IF(C$21*C$22*C24&gt;0,AVERAGE(C$21:C$22,C24),""),"")</f>
        <v/>
      </c>
      <c r="T63" s="227" t="str">
        <f aca="false">IFERROR(IF(D$21*D$22*D24&gt;0,STDEV(D$21:D$22,D24),"")/IF(D$21*D$22*D24&gt;0,AVERAGE(D$21:D$22,D24),""),"")</f>
        <v/>
      </c>
      <c r="U63" s="227" t="str">
        <f aca="false">IFERROR(IF(E$21*E$22*E24&gt;0,STDEV(E$21:E$22,E24),"")/IF(E$21*E$22*E24&gt;0,AVERAGE(E$21:E$22,E24),""),"")</f>
        <v/>
      </c>
      <c r="V63" s="227" t="str">
        <f aca="false">IFERROR(IF(F$21*F$22*F24&gt;0,STDEV(F$21:F$22,F24),"")/IF(F$21*F$22*F24&gt;0,AVERAGE(F$21:F$22,F24),""),"")</f>
        <v/>
      </c>
      <c r="W63" s="227" t="str">
        <f aca="false">IFERROR(IF(G$21*G$22*G24&gt;0,STDEV(G$21:G$22,G24),"")/IF(G$21*G$22*G24&gt;0,AVERAGE(G$21:G$22,G24),""),"")</f>
        <v/>
      </c>
      <c r="X63" s="227" t="str">
        <f aca="false">IFERROR(IF(H$21*H$22*H24&gt;0,STDEV(H$21:H$22,H24),"")/IF(H$21*H$22*H24&gt;0,AVERAGE(H$21:H$22,H24),""),"")</f>
        <v/>
      </c>
      <c r="Y63" s="227" t="str">
        <f aca="false">IFERROR(IF(I$21*I$22*I24&gt;0,STDEV(I$21:I$22,I24),"")/IF(I$21*I$22*I24&gt;0,AVERAGE(I$21:I$22,I24),""),"")</f>
        <v/>
      </c>
      <c r="Z63" s="227" t="str">
        <f aca="false">IFERROR(IF(J$21*J$22*J24&gt;0,STDEV(J$21:J$22,J24),"")/IF(J$21*J$22*J24&gt;0,AVERAGE(J$21:J$22,J24),""),"")</f>
        <v/>
      </c>
      <c r="AA63" s="227" t="str">
        <f aca="false">IFERROR(IF(K$21*K$22*K24&gt;0,STDEV(K$21:K$22,K24),"")/IF(K$21*K$22*K24&gt;0,AVERAGE(K$21:K$22,K24),""),"")</f>
        <v/>
      </c>
      <c r="AB63" s="227" t="str">
        <f aca="false">IFERROR(IF(L$21*L$22*L24&gt;0,STDEV(L$21:L$22,L24),"")/IF(L$21*L$22*L24&gt;0,AVERAGE(L$21:L$22,L24),""),"")</f>
        <v/>
      </c>
      <c r="AC63" s="227" t="str">
        <f aca="false">IFERROR(IF(M$21*M$22*M24&gt;0,STDEV(M$21:M$22,M24),"")/IF(M$21*M$22*M24&gt;0,AVERAGE(M$21:M$22,M24),""),"")</f>
        <v/>
      </c>
      <c r="AD63" s="227" t="str">
        <f aca="false">IFERROR(IF(N$21*N$22*N24&gt;0,STDEV(N$21:N$22,N24),"")/IF(N$21*N$22*N24&gt;0,AVERAGE(N$21:N$22,N24),""),"")</f>
        <v/>
      </c>
      <c r="AE63" s="233"/>
      <c r="AF63" s="229" t="s">
        <v>352</v>
      </c>
      <c r="AG63" s="230" t="str">
        <f aca="false">IFERROR(IF(C$21*C$22*C24&gt;0,STDEV(C$21:C$22,C24)," ")/IF(C$21*C$22*C24&gt;0,SQRT(COUNT(C$21:C$22,C24))," "),"")</f>
        <v/>
      </c>
      <c r="AH63" s="230" t="str">
        <f aca="false">IFERROR(IF(D$21*D$22*D24&gt;0,STDEV(D$21:D$22,D24)," ")/IF(D$21*D$22*D24&gt;0,SQRT(COUNT(D$21:D$22,D24))," "),"")</f>
        <v/>
      </c>
      <c r="AI63" s="230" t="str">
        <f aca="false">IFERROR(IF(E$21*E$22*E24&gt;0,STDEV(E$21:E$22,E24)," ")/IF(E$21*E$22*E24&gt;0,SQRT(COUNT(E$21:E$22,E24))," "),"")</f>
        <v/>
      </c>
      <c r="AJ63" s="230" t="str">
        <f aca="false">IFERROR(IF(F$21*F$22*F24&gt;0,STDEV(F$21:F$22,F24)," ")/IF(F$21*F$22*F24&gt;0,SQRT(COUNT(F$21:F$22,F24))," "),"")</f>
        <v/>
      </c>
      <c r="AK63" s="230" t="str">
        <f aca="false">IFERROR(IF(G$21*G$22*G24&gt;0,STDEV(G$21:G$22,G24)," ")/IF(G$21*G$22*G24&gt;0,SQRT(COUNT(G$21:G$22,G24))," "),"")</f>
        <v/>
      </c>
      <c r="AL63" s="230" t="str">
        <f aca="false">IFERROR(IF(H$21*H$22*H24&gt;0,STDEV(H$21:H$22,H24)," ")/IF(H$21*H$22*H24&gt;0,SQRT(COUNT(H$21:H$22,H24))," "),"")</f>
        <v/>
      </c>
      <c r="AM63" s="230" t="str">
        <f aca="false">IFERROR(IF(I$21*I$22*I24&gt;0,STDEV(I$21:I$22,I24)," ")/IF(I$21*I$22*I24&gt;0,SQRT(COUNT(I$21:I$22,I24))," "),"")</f>
        <v/>
      </c>
      <c r="AN63" s="230" t="str">
        <f aca="false">IFERROR(IF(J$21*J$22*J24&gt;0,STDEV(J$21:J$22,J24)," ")/IF(J$21*J$22*J24&gt;0,SQRT(COUNT(J$21:J$22,J24))," "),"")</f>
        <v/>
      </c>
      <c r="AO63" s="230" t="str">
        <f aca="false">IFERROR(IF(K$21*K$22*K24&gt;0,STDEV(K$21:K$22,K24)," ")/IF(K$21*K$22*K24&gt;0,SQRT(COUNT(K$21:K$22,K24))," "),"")</f>
        <v/>
      </c>
      <c r="AP63" s="230" t="str">
        <f aca="false">IFERROR(IF(L$21*L$22*L24&gt;0,STDEV(L$21:L$22,L24)," ")/IF(L$21*L$22*L24&gt;0,SQRT(COUNT(L$21:L$22,L24))," "),"")</f>
        <v/>
      </c>
      <c r="AQ63" s="230" t="str">
        <f aca="false">IFERROR(IF(M$21*M$22*M24&gt;0,STDEV(M$21:M$22,M24)," ")/IF(M$21*M$22*M24&gt;0,SQRT(COUNT(M$21:M$22,M24))," "),"")</f>
        <v/>
      </c>
      <c r="AR63" s="230" t="str">
        <f aca="false">IFERROR(IF(N$21*N$22*N24&gt;0,STDEV(N$21:N$22,N24)," ")/IF(N$21*N$22*N24&gt;0,SQRT(COUNT(N$21:N$22,N24))," "),"")</f>
        <v/>
      </c>
    </row>
    <row r="64" customFormat="false" ht="15.75" hidden="false" customHeight="false" outlineLevel="0" collapsed="false">
      <c r="A64" s="220" t="s">
        <v>353</v>
      </c>
      <c r="B64" s="221"/>
      <c r="C64" s="222" t="str">
        <f aca="false">IFERROR(IF(C$21*C$22*C25&gt;0,AVERAGE(C$21:C$22,C25),""),"")</f>
        <v/>
      </c>
      <c r="D64" s="222" t="str">
        <f aca="false">IFERROR(IF(D$21*D$22*D25&gt;0,AVERAGE(D$21:D$22,D25),""),"")</f>
        <v/>
      </c>
      <c r="E64" s="222" t="str">
        <f aca="false">IFERROR(IF(E$21*E$22*E25&gt;0,AVERAGE(E$21:E$22,E25),""),"")</f>
        <v/>
      </c>
      <c r="F64" s="222" t="str">
        <f aca="false">IFERROR(IF(F$21*F$22*F25&gt;0,AVERAGE(F$21:F$22,F25),""),"")</f>
        <v/>
      </c>
      <c r="G64" s="222" t="str">
        <f aca="false">IFERROR(IF(G$21*G$22*G25&gt;0,AVERAGE(G$21:G$22,G25),""),"")</f>
        <v/>
      </c>
      <c r="H64" s="222" t="str">
        <f aca="false">IFERROR(IF(H$21*H$22*H25&gt;0,AVERAGE(H$21:H$22,H25),""),"")</f>
        <v/>
      </c>
      <c r="I64" s="222" t="str">
        <f aca="false">IFERROR(IF(I$21*I$22*I25&gt;0,AVERAGE(I$21:I$22,I25),""),"")</f>
        <v/>
      </c>
      <c r="J64" s="222" t="str">
        <f aca="false">IFERROR(IF(J$21*J$22*J25&gt;0,AVERAGE(J$21:J$22,J25),""),"")</f>
        <v/>
      </c>
      <c r="K64" s="222" t="str">
        <f aca="false">IFERROR(IF(K$21*K$22*K25&gt;0,AVERAGE(K$21:K$22,K25),""),"")</f>
        <v/>
      </c>
      <c r="L64" s="222" t="str">
        <f aca="false">IFERROR(IF(L$21*L$22*L25&gt;0,AVERAGE(L$21:L$22,L25),""),"")</f>
        <v/>
      </c>
      <c r="M64" s="222" t="str">
        <f aca="false">IFERROR(IF(M$21*M$22*M25&gt;0,AVERAGE(M$21:M$22,M25),""),"")</f>
        <v/>
      </c>
      <c r="N64" s="222" t="str">
        <f aca="false">IFERROR(IF(N$21*N$22*N25&gt;0,AVERAGE(N$21:N$22,N25),""),"")</f>
        <v/>
      </c>
      <c r="O64" s="224"/>
      <c r="P64" s="224"/>
      <c r="Q64" s="232"/>
      <c r="R64" s="226" t="s">
        <v>354</v>
      </c>
      <c r="S64" s="227" t="str">
        <f aca="false">IFERROR(IF(C$21*C$22*C25&gt;0,STDEV(C$21:C$22,C25),"")/IF(C$21*C$22*C25&gt;0,AVERAGE(C$21:C$22,C25),""),"")</f>
        <v/>
      </c>
      <c r="T64" s="227" t="str">
        <f aca="false">IFERROR(IF(D$21*D$22*D25&gt;0,STDEV(D$21:D$22,D25),"")/IF(D$21*D$22*D25&gt;0,AVERAGE(D$21:D$22,D25),""),"")</f>
        <v/>
      </c>
      <c r="U64" s="227" t="str">
        <f aca="false">IFERROR(IF(E$21*E$22*E25&gt;0,STDEV(E$21:E$22,E25),"")/IF(E$21*E$22*E25&gt;0,AVERAGE(E$21:E$22,E25),""),"")</f>
        <v/>
      </c>
      <c r="V64" s="227" t="str">
        <f aca="false">IFERROR(IF(F$21*F$22*F25&gt;0,STDEV(F$21:F$22,F25),"")/IF(F$21*F$22*F25&gt;0,AVERAGE(F$21:F$22,F25),""),"")</f>
        <v/>
      </c>
      <c r="W64" s="227" t="str">
        <f aca="false">IFERROR(IF(G$21*G$22*G25&gt;0,STDEV(G$21:G$22,G25),"")/IF(G$21*G$22*G25&gt;0,AVERAGE(G$21:G$22,G25),""),"")</f>
        <v/>
      </c>
      <c r="X64" s="227" t="str">
        <f aca="false">IFERROR(IF(H$21*H$22*H25&gt;0,STDEV(H$21:H$22,H25),"")/IF(H$21*H$22*H25&gt;0,AVERAGE(H$21:H$22,H25),""),"")</f>
        <v/>
      </c>
      <c r="Y64" s="227" t="str">
        <f aca="false">IFERROR(IF(I$21*I$22*I25&gt;0,STDEV(I$21:I$22,I25),"")/IF(I$21*I$22*I25&gt;0,AVERAGE(I$21:I$22,I25),""),"")</f>
        <v/>
      </c>
      <c r="Z64" s="227" t="str">
        <f aca="false">IFERROR(IF(J$21*J$22*J25&gt;0,STDEV(J$21:J$22,J25),"")/IF(J$21*J$22*J25&gt;0,AVERAGE(J$21:J$22,J25),""),"")</f>
        <v/>
      </c>
      <c r="AA64" s="227" t="str">
        <f aca="false">IFERROR(IF(K$21*K$22*K25&gt;0,STDEV(K$21:K$22,K25),"")/IF(K$21*K$22*K25&gt;0,AVERAGE(K$21:K$22,K25),""),"")</f>
        <v/>
      </c>
      <c r="AB64" s="227" t="str">
        <f aca="false">IFERROR(IF(L$21*L$22*L25&gt;0,STDEV(L$21:L$22,L25),"")/IF(L$21*L$22*L25&gt;0,AVERAGE(L$21:L$22,L25),""),"")</f>
        <v/>
      </c>
      <c r="AC64" s="227" t="str">
        <f aca="false">IFERROR(IF(M$21*M$22*M25&gt;0,STDEV(M$21:M$22,M25),"")/IF(M$21*M$22*M25&gt;0,AVERAGE(M$21:M$22,M25),""),"")</f>
        <v/>
      </c>
      <c r="AD64" s="227" t="str">
        <f aca="false">IFERROR(IF(N$21*N$22*N25&gt;0,STDEV(N$21:N$22,N25),"")/IF(N$21*N$22*N25&gt;0,AVERAGE(N$21:N$22,N25),""),"")</f>
        <v/>
      </c>
      <c r="AE64" s="233"/>
      <c r="AF64" s="229" t="s">
        <v>355</v>
      </c>
      <c r="AG64" s="230" t="str">
        <f aca="false">IFERROR(IF(C$21*C$22*C25&gt;0,STDEV(C$21:C$22,C25)," ")/IF(C$21*C$22*C25&gt;0,SQRT(COUNT(C$21:C$22,C25))," "),"")</f>
        <v/>
      </c>
      <c r="AH64" s="230" t="str">
        <f aca="false">IFERROR(IF(D$21*D$22*D25&gt;0,STDEV(D$21:D$22,D25)," ")/IF(D$21*D$22*D25&gt;0,SQRT(COUNT(D$21:D$22,D25))," "),"")</f>
        <v/>
      </c>
      <c r="AI64" s="230" t="str">
        <f aca="false">IFERROR(IF(E$21*E$22*E25&gt;0,STDEV(E$21:E$22,E25)," ")/IF(E$21*E$22*E25&gt;0,SQRT(COUNT(E$21:E$22,E25))," "),"")</f>
        <v/>
      </c>
      <c r="AJ64" s="230" t="str">
        <f aca="false">IFERROR(IF(F$21*F$22*F25&gt;0,STDEV(F$21:F$22,F25)," ")/IF(F$21*F$22*F25&gt;0,SQRT(COUNT(F$21:F$22,F25))," "),"")</f>
        <v/>
      </c>
      <c r="AK64" s="230" t="str">
        <f aca="false">IFERROR(IF(G$21*G$22*G25&gt;0,STDEV(G$21:G$22,G25)," ")/IF(G$21*G$22*G25&gt;0,SQRT(COUNT(G$21:G$22,G25))," "),"")</f>
        <v/>
      </c>
      <c r="AL64" s="230" t="str">
        <f aca="false">IFERROR(IF(H$21*H$22*H25&gt;0,STDEV(H$21:H$22,H25)," ")/IF(H$21*H$22*H25&gt;0,SQRT(COUNT(H$21:H$22,H25))," "),"")</f>
        <v/>
      </c>
      <c r="AM64" s="230" t="str">
        <f aca="false">IFERROR(IF(I$21*I$22*I25&gt;0,STDEV(I$21:I$22,I25)," ")/IF(I$21*I$22*I25&gt;0,SQRT(COUNT(I$21:I$22,I25))," "),"")</f>
        <v/>
      </c>
      <c r="AN64" s="230" t="str">
        <f aca="false">IFERROR(IF(J$21*J$22*J25&gt;0,STDEV(J$21:J$22,J25)," ")/IF(J$21*J$22*J25&gt;0,SQRT(COUNT(J$21:J$22,J25))," "),"")</f>
        <v/>
      </c>
      <c r="AO64" s="230" t="str">
        <f aca="false">IFERROR(IF(K$21*K$22*K25&gt;0,STDEV(K$21:K$22,K25)," ")/IF(K$21*K$22*K25&gt;0,SQRT(COUNT(K$21:K$22,K25))," "),"")</f>
        <v/>
      </c>
      <c r="AP64" s="230" t="str">
        <f aca="false">IFERROR(IF(L$21*L$22*L25&gt;0,STDEV(L$21:L$22,L25)," ")/IF(L$21*L$22*L25&gt;0,SQRT(COUNT(L$21:L$22,L25))," "),"")</f>
        <v/>
      </c>
      <c r="AQ64" s="230" t="str">
        <f aca="false">IFERROR(IF(M$21*M$22*M25&gt;0,STDEV(M$21:M$22,M25)," ")/IF(M$21*M$22*M25&gt;0,SQRT(COUNT(M$21:M$22,M25))," "),"")</f>
        <v/>
      </c>
      <c r="AR64" s="230" t="str">
        <f aca="false">IFERROR(IF(N$21*N$22*N25&gt;0,STDEV(N$21:N$22,N25)," ")/IF(N$21*N$22*N25&gt;0,SQRT(COUNT(N$21:N$22,N25))," "),"")</f>
        <v/>
      </c>
    </row>
    <row r="65" customFormat="false" ht="15.75" hidden="false" customHeight="false" outlineLevel="0" collapsed="false">
      <c r="A65" s="220" t="s">
        <v>356</v>
      </c>
      <c r="B65" s="221"/>
      <c r="C65" s="222" t="str">
        <f aca="false">IFERROR(IF(C$21*C$22*C26&gt;0,AVERAGE(C$21:C$22,C26),""),"")</f>
        <v/>
      </c>
      <c r="D65" s="222" t="str">
        <f aca="false">IFERROR(IF(D$21*D$22*D26&gt;0,AVERAGE(D$21:D$22,D26),""),"")</f>
        <v/>
      </c>
      <c r="E65" s="222" t="str">
        <f aca="false">IFERROR(IF(E$21*E$22*E26&gt;0,AVERAGE(E$21:E$22,E26),""),"")</f>
        <v/>
      </c>
      <c r="F65" s="222" t="str">
        <f aca="false">IFERROR(IF(F$21*F$22*F26&gt;0,AVERAGE(F$21:F$22,F26),""),"")</f>
        <v/>
      </c>
      <c r="G65" s="222" t="str">
        <f aca="false">IFERROR(IF(G$21*G$22*G26&gt;0,AVERAGE(G$21:G$22,G26),""),"")</f>
        <v/>
      </c>
      <c r="H65" s="222" t="str">
        <f aca="false">IFERROR(IF(H$21*H$22*H26&gt;0,AVERAGE(H$21:H$22,H26),""),"")</f>
        <v/>
      </c>
      <c r="I65" s="222" t="str">
        <f aca="false">IFERROR(IF(I$21*I$22*I26&gt;0,AVERAGE(I$21:I$22,I26),""),"")</f>
        <v/>
      </c>
      <c r="J65" s="222" t="str">
        <f aca="false">IFERROR(IF(J$21*J$22*J26&gt;0,AVERAGE(J$21:J$22,J26),""),"")</f>
        <v/>
      </c>
      <c r="K65" s="222" t="str">
        <f aca="false">IFERROR(IF(K$21*K$22*K26&gt;0,AVERAGE(K$21:K$22,K26),""),"")</f>
        <v/>
      </c>
      <c r="L65" s="222" t="str">
        <f aca="false">IFERROR(IF(L$21*L$22*L26&gt;0,AVERAGE(L$21:L$22,L26),""),"")</f>
        <v/>
      </c>
      <c r="M65" s="222" t="str">
        <f aca="false">IFERROR(IF(M$21*M$22*M26&gt;0,AVERAGE(M$21:M$22,M26),""),"")</f>
        <v/>
      </c>
      <c r="N65" s="222" t="str">
        <f aca="false">IFERROR(IF(N$21*N$22*N26&gt;0,AVERAGE(N$21:N$22,N26),""),"")</f>
        <v/>
      </c>
      <c r="O65" s="253"/>
      <c r="P65" s="253"/>
      <c r="Q65" s="254"/>
      <c r="R65" s="226" t="s">
        <v>357</v>
      </c>
      <c r="S65" s="227" t="str">
        <f aca="false">IFERROR(IF(C$21*C$22*C26&gt;0,STDEV(C$21:C$22,C26),"")/IF(C$21*C$22*C26&gt;0,AVERAGE(C$21:C$22,C26),""),"")</f>
        <v/>
      </c>
      <c r="T65" s="227" t="str">
        <f aca="false">IFERROR(IF(D$21*D$22*D26&gt;0,STDEV(D$21:D$22,D26),"")/IF(D$21*D$22*D26&gt;0,AVERAGE(D$21:D$22,D26),""),"")</f>
        <v/>
      </c>
      <c r="U65" s="227" t="str">
        <f aca="false">IFERROR(IF(E$21*E$22*E26&gt;0,STDEV(E$21:E$22,E26),"")/IF(E$21*E$22*E26&gt;0,AVERAGE(E$21:E$22,E26),""),"")</f>
        <v/>
      </c>
      <c r="V65" s="227" t="str">
        <f aca="false">IFERROR(IF(F$21*F$22*F26&gt;0,STDEV(F$21:F$22,F26),"")/IF(F$21*F$22*F26&gt;0,AVERAGE(F$21:F$22,F26),""),"")</f>
        <v/>
      </c>
      <c r="W65" s="227" t="str">
        <f aca="false">IFERROR(IF(G$21*G$22*G26&gt;0,STDEV(G$21:G$22,G26),"")/IF(G$21*G$22*G26&gt;0,AVERAGE(G$21:G$22,G26),""),"")</f>
        <v/>
      </c>
      <c r="X65" s="227" t="str">
        <f aca="false">IFERROR(IF(H$21*H$22*H26&gt;0,STDEV(H$21:H$22,H26),"")/IF(H$21*H$22*H26&gt;0,AVERAGE(H$21:H$22,H26),""),"")</f>
        <v/>
      </c>
      <c r="Y65" s="227" t="str">
        <f aca="false">IFERROR(IF(I$21*I$22*I26&gt;0,STDEV(I$21:I$22,I26),"")/IF(I$21*I$22*I26&gt;0,AVERAGE(I$21:I$22,I26),""),"")</f>
        <v/>
      </c>
      <c r="Z65" s="227" t="str">
        <f aca="false">IFERROR(IF(J$21*J$22*J26&gt;0,STDEV(J$21:J$22,J26),"")/IF(J$21*J$22*J26&gt;0,AVERAGE(J$21:J$22,J26),""),"")</f>
        <v/>
      </c>
      <c r="AA65" s="227" t="str">
        <f aca="false">IFERROR(IF(K$21*K$22*K26&gt;0,STDEV(K$21:K$22,K26),"")/IF(K$21*K$22*K26&gt;0,AVERAGE(K$21:K$22,K26),""),"")</f>
        <v/>
      </c>
      <c r="AB65" s="227" t="str">
        <f aca="false">IFERROR(IF(L$21*L$22*L26&gt;0,STDEV(L$21:L$22,L26),"")/IF(L$21*L$22*L26&gt;0,AVERAGE(L$21:L$22,L26),""),"")</f>
        <v/>
      </c>
      <c r="AC65" s="227" t="str">
        <f aca="false">IFERROR(IF(M$21*M$22*M26&gt;0,STDEV(M$21:M$22,M26),"")/IF(M$21*M$22*M26&gt;0,AVERAGE(M$21:M$22,M26),""),"")</f>
        <v/>
      </c>
      <c r="AD65" s="227" t="str">
        <f aca="false">IFERROR(IF(N$21*N$22*N26&gt;0,STDEV(N$21:N$22,N26),"")/IF(N$21*N$22*N26&gt;0,AVERAGE(N$21:N$22,N26),""),"")</f>
        <v/>
      </c>
      <c r="AE65" s="233"/>
      <c r="AF65" s="229" t="s">
        <v>358</v>
      </c>
      <c r="AG65" s="230" t="str">
        <f aca="false">IFERROR(IF(C$21*C$22*C26&gt;0,STDEV(C$21:C$22,C26)," ")/IF(C$21*C$22*C26&gt;0,SQRT(COUNT(C$21:C$22,C26))," "),"")</f>
        <v/>
      </c>
      <c r="AH65" s="230" t="str">
        <f aca="false">IFERROR(IF(D$21*D$22*D26&gt;0,STDEV(D$21:D$22,D26)," ")/IF(D$21*D$22*D26&gt;0,SQRT(COUNT(D$21:D$22,D26))," "),"")</f>
        <v/>
      </c>
      <c r="AI65" s="230" t="str">
        <f aca="false">IFERROR(IF(E$21*E$22*E26&gt;0,STDEV(E$21:E$22,E26)," ")/IF(E$21*E$22*E26&gt;0,SQRT(COUNT(E$21:E$22,E26))," "),"")</f>
        <v/>
      </c>
      <c r="AJ65" s="230" t="str">
        <f aca="false">IFERROR(IF(F$21*F$22*F26&gt;0,STDEV(F$21:F$22,F26)," ")/IF(F$21*F$22*F26&gt;0,SQRT(COUNT(F$21:F$22,F26))," "),"")</f>
        <v/>
      </c>
      <c r="AK65" s="230" t="str">
        <f aca="false">IFERROR(IF(G$21*G$22*G26&gt;0,STDEV(G$21:G$22,G26)," ")/IF(G$21*G$22*G26&gt;0,SQRT(COUNT(G$21:G$22,G26))," "),"")</f>
        <v/>
      </c>
      <c r="AL65" s="230" t="str">
        <f aca="false">IFERROR(IF(H$21*H$22*H26&gt;0,STDEV(H$21:H$22,H26)," ")/IF(H$21*H$22*H26&gt;0,SQRT(COUNT(H$21:H$22,H26))," "),"")</f>
        <v/>
      </c>
      <c r="AM65" s="230" t="str">
        <f aca="false">IFERROR(IF(I$21*I$22*I26&gt;0,STDEV(I$21:I$22,I26)," ")/IF(I$21*I$22*I26&gt;0,SQRT(COUNT(I$21:I$22,I26))," "),"")</f>
        <v/>
      </c>
      <c r="AN65" s="230" t="str">
        <f aca="false">IFERROR(IF(J$21*J$22*J26&gt;0,STDEV(J$21:J$22,J26)," ")/IF(J$21*J$22*J26&gt;0,SQRT(COUNT(J$21:J$22,J26))," "),"")</f>
        <v/>
      </c>
      <c r="AO65" s="230" t="str">
        <f aca="false">IFERROR(IF(K$21*K$22*K26&gt;0,STDEV(K$21:K$22,K26)," ")/IF(K$21*K$22*K26&gt;0,SQRT(COUNT(K$21:K$22,K26))," "),"")</f>
        <v/>
      </c>
      <c r="AP65" s="230" t="str">
        <f aca="false">IFERROR(IF(L$21*L$22*L26&gt;0,STDEV(L$21:L$22,L26)," ")/IF(L$21*L$22*L26&gt;0,SQRT(COUNT(L$21:L$22,L26))," "),"")</f>
        <v/>
      </c>
      <c r="AQ65" s="230" t="str">
        <f aca="false">IFERROR(IF(M$21*M$22*M26&gt;0,STDEV(M$21:M$22,M26)," ")/IF(M$21*M$22*M26&gt;0,SQRT(COUNT(M$21:M$22,M26))," "),"")</f>
        <v/>
      </c>
      <c r="AR65" s="230" t="str">
        <f aca="false">IFERROR(IF(N$21*N$22*N26&gt;0,STDEV(N$21:N$22,N26)," ")/IF(N$21*N$22*N26&gt;0,SQRT(COUNT(N$21:N$22,N26))," "),"")</f>
        <v/>
      </c>
    </row>
    <row r="66" customFormat="false" ht="15.75" hidden="false" customHeight="false" outlineLevel="0" collapsed="false">
      <c r="A66" s="220" t="s">
        <v>359</v>
      </c>
      <c r="B66" s="221"/>
      <c r="C66" s="222" t="str">
        <f aca="false">IFERROR(IF(C$21*C$22*C27&gt;0,AVERAGE(C$21:C$22,C27),""),"")</f>
        <v/>
      </c>
      <c r="D66" s="222" t="str">
        <f aca="false">IFERROR(IF(D$21*D$22*D27&gt;0,AVERAGE(D$21:D$22,D27),""),"")</f>
        <v/>
      </c>
      <c r="E66" s="222" t="str">
        <f aca="false">IFERROR(IF(E$21*E$22*E27&gt;0,AVERAGE(E$21:E$22,E27),""),"")</f>
        <v/>
      </c>
      <c r="F66" s="222" t="str">
        <f aca="false">IFERROR(IF(F$21*F$22*F27&gt;0,AVERAGE(F$21:F$22,F27),""),"")</f>
        <v/>
      </c>
      <c r="G66" s="222" t="str">
        <f aca="false">IFERROR(IF(G$21*G$22*G27&gt;0,AVERAGE(G$21:G$22,G27),""),"")</f>
        <v/>
      </c>
      <c r="H66" s="222" t="str">
        <f aca="false">IFERROR(IF(H$21*H$22*H27&gt;0,AVERAGE(H$21:H$22,H27),""),"")</f>
        <v/>
      </c>
      <c r="I66" s="222" t="str">
        <f aca="false">IFERROR(IF(I$21*I$22*I27&gt;0,AVERAGE(I$21:I$22,I27),""),"")</f>
        <v/>
      </c>
      <c r="J66" s="222" t="str">
        <f aca="false">IFERROR(IF(J$21*J$22*J27&gt;0,AVERAGE(J$21:J$22,J27),""),"")</f>
        <v/>
      </c>
      <c r="K66" s="222" t="str">
        <f aca="false">IFERROR(IF(K$21*K$22*K27&gt;0,AVERAGE(K$21:K$22,K27),""),"")</f>
        <v/>
      </c>
      <c r="L66" s="222" t="str">
        <f aca="false">IFERROR(IF(L$21*L$22*L27&gt;0,AVERAGE(L$21:L$22,L27),""),"")</f>
        <v/>
      </c>
      <c r="M66" s="222" t="str">
        <f aca="false">IFERROR(IF(M$21*M$22*M27&gt;0,AVERAGE(M$21:M$22,M27),""),"")</f>
        <v/>
      </c>
      <c r="N66" s="222" t="str">
        <f aca="false">IFERROR(IF(N$21*N$22*N27&gt;0,AVERAGE(N$21:N$22,N27),""),"")</f>
        <v/>
      </c>
      <c r="O66" s="253"/>
      <c r="P66" s="253"/>
      <c r="Q66" s="254"/>
      <c r="R66" s="226" t="s">
        <v>360</v>
      </c>
      <c r="S66" s="227" t="str">
        <f aca="false">IFERROR(IF(C$21*C$22*C27&gt;0,STDEV(C$21:C$22,C27),"")/IF(C$21*C$22*C27&gt;0,AVERAGE(C$21:C$22,C27),""),"")</f>
        <v/>
      </c>
      <c r="T66" s="227" t="str">
        <f aca="false">IFERROR(IF(D$21*D$22*D27&gt;0,STDEV(D$21:D$22,D27),"")/IF(D$21*D$22*D27&gt;0,AVERAGE(D$21:D$22,D27),""),"")</f>
        <v/>
      </c>
      <c r="U66" s="227" t="str">
        <f aca="false">IFERROR(IF(E$21*E$22*E27&gt;0,STDEV(E$21:E$22,E27),"")/IF(E$21*E$22*E27&gt;0,AVERAGE(E$21:E$22,E27),""),"")</f>
        <v/>
      </c>
      <c r="V66" s="227" t="str">
        <f aca="false">IFERROR(IF(F$21*F$22*F27&gt;0,STDEV(F$21:F$22,F27),"")/IF(F$21*F$22*F27&gt;0,AVERAGE(F$21:F$22,F27),""),"")</f>
        <v/>
      </c>
      <c r="W66" s="227" t="str">
        <f aca="false">IFERROR(IF(G$21*G$22*G27&gt;0,STDEV(G$21:G$22,G27),"")/IF(G$21*G$22*G27&gt;0,AVERAGE(G$21:G$22,G27),""),"")</f>
        <v/>
      </c>
      <c r="X66" s="227" t="str">
        <f aca="false">IFERROR(IF(H$21*H$22*H27&gt;0,STDEV(H$21:H$22,H27),"")/IF(H$21*H$22*H27&gt;0,AVERAGE(H$21:H$22,H27),""),"")</f>
        <v/>
      </c>
      <c r="Y66" s="227" t="str">
        <f aca="false">IFERROR(IF(I$21*I$22*I27&gt;0,STDEV(I$21:I$22,I27),"")/IF(I$21*I$22*I27&gt;0,AVERAGE(I$21:I$22,I27),""),"")</f>
        <v/>
      </c>
      <c r="Z66" s="227" t="str">
        <f aca="false">IFERROR(IF(J$21*J$22*J27&gt;0,STDEV(J$21:J$22,J27),"")/IF(J$21*J$22*J27&gt;0,AVERAGE(J$21:J$22,J27),""),"")</f>
        <v/>
      </c>
      <c r="AA66" s="227" t="str">
        <f aca="false">IFERROR(IF(K$21*K$22*K27&gt;0,STDEV(K$21:K$22,K27),"")/IF(K$21*K$22*K27&gt;0,AVERAGE(K$21:K$22,K27),""),"")</f>
        <v/>
      </c>
      <c r="AB66" s="227" t="str">
        <f aca="false">IFERROR(IF(L$21*L$22*L27&gt;0,STDEV(L$21:L$22,L27),"")/IF(L$21*L$22*L27&gt;0,AVERAGE(L$21:L$22,L27),""),"")</f>
        <v/>
      </c>
      <c r="AC66" s="227" t="str">
        <f aca="false">IFERROR(IF(M$21*M$22*M27&gt;0,STDEV(M$21:M$22,M27),"")/IF(M$21*M$22*M27&gt;0,AVERAGE(M$21:M$22,M27),""),"")</f>
        <v/>
      </c>
      <c r="AD66" s="227" t="str">
        <f aca="false">IFERROR(IF(N$21*N$22*N27&gt;0,STDEV(N$21:N$22,N27),"")/IF(N$21*N$22*N27&gt;0,AVERAGE(N$21:N$22,N27),""),"")</f>
        <v/>
      </c>
      <c r="AE66" s="233"/>
      <c r="AF66" s="229" t="s">
        <v>361</v>
      </c>
      <c r="AG66" s="230" t="str">
        <f aca="false">IFERROR(IF(C$21*C$22*C27&gt;0,STDEV(C$21:C$22,C27)," ")/IF(C$21*C$22*C27&gt;0,SQRT(COUNT(C$21:C$22,C27))," "),"")</f>
        <v/>
      </c>
      <c r="AH66" s="230" t="str">
        <f aca="false">IFERROR(IF(D$21*D$22*D27&gt;0,STDEV(D$21:D$22,D27)," ")/IF(D$21*D$22*D27&gt;0,SQRT(COUNT(D$21:D$22,D27))," "),"")</f>
        <v/>
      </c>
      <c r="AI66" s="230" t="str">
        <f aca="false">IFERROR(IF(E$21*E$22*E27&gt;0,STDEV(E$21:E$22,E27)," ")/IF(E$21*E$22*E27&gt;0,SQRT(COUNT(E$21:E$22,E27))," "),"")</f>
        <v/>
      </c>
      <c r="AJ66" s="230" t="str">
        <f aca="false">IFERROR(IF(F$21*F$22*F27&gt;0,STDEV(F$21:F$22,F27)," ")/IF(F$21*F$22*F27&gt;0,SQRT(COUNT(F$21:F$22,F27))," "),"")</f>
        <v/>
      </c>
      <c r="AK66" s="230" t="str">
        <f aca="false">IFERROR(IF(G$21*G$22*G27&gt;0,STDEV(G$21:G$22,G27)," ")/IF(G$21*G$22*G27&gt;0,SQRT(COUNT(G$21:G$22,G27))," "),"")</f>
        <v/>
      </c>
      <c r="AL66" s="230" t="str">
        <f aca="false">IFERROR(IF(H$21*H$22*H27&gt;0,STDEV(H$21:H$22,H27)," ")/IF(H$21*H$22*H27&gt;0,SQRT(COUNT(H$21:H$22,H27))," "),"")</f>
        <v/>
      </c>
      <c r="AM66" s="230" t="str">
        <f aca="false">IFERROR(IF(I$21*I$22*I27&gt;0,STDEV(I$21:I$22,I27)," ")/IF(I$21*I$22*I27&gt;0,SQRT(COUNT(I$21:I$22,I27))," "),"")</f>
        <v/>
      </c>
      <c r="AN66" s="230" t="str">
        <f aca="false">IFERROR(IF(J$21*J$22*J27&gt;0,STDEV(J$21:J$22,J27)," ")/IF(J$21*J$22*J27&gt;0,SQRT(COUNT(J$21:J$22,J27))," "),"")</f>
        <v/>
      </c>
      <c r="AO66" s="230" t="str">
        <f aca="false">IFERROR(IF(K$21*K$22*K27&gt;0,STDEV(K$21:K$22,K27)," ")/IF(K$21*K$22*K27&gt;0,SQRT(COUNT(K$21:K$22,K27))," "),"")</f>
        <v/>
      </c>
      <c r="AP66" s="230" t="str">
        <f aca="false">IFERROR(IF(L$21*L$22*L27&gt;0,STDEV(L$21:L$22,L27)," ")/IF(L$21*L$22*L27&gt;0,SQRT(COUNT(L$21:L$22,L27))," "),"")</f>
        <v/>
      </c>
      <c r="AQ66" s="230" t="str">
        <f aca="false">IFERROR(IF(M$21*M$22*M27&gt;0,STDEV(M$21:M$22,M27)," ")/IF(M$21*M$22*M27&gt;0,SQRT(COUNT(M$21:M$22,M27))," "),"")</f>
        <v/>
      </c>
      <c r="AR66" s="230" t="str">
        <f aca="false">IFERROR(IF(N$21*N$22*N27&gt;0,STDEV(N$21:N$22,N27)," ")/IF(N$21*N$22*N27&gt;0,SQRT(COUNT(N$21:N$22,N27))," "),"")</f>
        <v/>
      </c>
    </row>
    <row r="67" customFormat="false" ht="15.75" hidden="false" customHeight="false" outlineLevel="0" collapsed="false">
      <c r="A67" s="220" t="s">
        <v>253</v>
      </c>
      <c r="B67" s="221"/>
      <c r="C67" s="222" t="str">
        <f aca="false">IFERROR(IF(C$22*C$23*C24&gt;0,AVERAGE(C$22:C$23,C24),""),"")</f>
        <v/>
      </c>
      <c r="D67" s="222" t="str">
        <f aca="false">IFERROR(IF(D$22*D$23*D24&gt;0,AVERAGE(D$22:D$23,D24),""),"")</f>
        <v/>
      </c>
      <c r="E67" s="222" t="str">
        <f aca="false">IFERROR(IF(E$22*E$23*E24&gt;0,AVERAGE(E$22:E$23,E24),""),"")</f>
        <v/>
      </c>
      <c r="F67" s="222" t="str">
        <f aca="false">IFERROR(IF(F$22*F$23*F24&gt;0,AVERAGE(F$22:F$23,F24),""),"")</f>
        <v/>
      </c>
      <c r="G67" s="222" t="str">
        <f aca="false">IFERROR(IF(G$22*G$23*G24&gt;0,AVERAGE(G$22:G$23,G24),""),"")</f>
        <v/>
      </c>
      <c r="H67" s="222" t="str">
        <f aca="false">IFERROR(IF(H$22*H$23*H24&gt;0,AVERAGE(H$22:H$23,H24),""),"")</f>
        <v/>
      </c>
      <c r="I67" s="222" t="str">
        <f aca="false">IFERROR(IF(I$22*I$23*I24&gt;0,AVERAGE(I$22:I$23,I24),""),"")</f>
        <v/>
      </c>
      <c r="J67" s="222" t="str">
        <f aca="false">IFERROR(IF(J$22*J$23*J24&gt;0,AVERAGE(J$22:J$23,J24),""),"")</f>
        <v/>
      </c>
      <c r="K67" s="222" t="str">
        <f aca="false">IFERROR(IF(K$22*K$23*K24&gt;0,AVERAGE(K$22:K$23,K24),""),"")</f>
        <v/>
      </c>
      <c r="L67" s="222" t="str">
        <f aca="false">IFERROR(IF(L$22*L$23*L24&gt;0,AVERAGE(L$22:L$23,L24),""),"")</f>
        <v/>
      </c>
      <c r="M67" s="222" t="str">
        <f aca="false">IFERROR(IF(M$22*M$23*M24&gt;0,AVERAGE(M$22:M$23,M24),""),"")</f>
        <v/>
      </c>
      <c r="N67" s="222" t="str">
        <f aca="false">IFERROR(IF(N$22*N$23*N24&gt;0,AVERAGE(N$22:N$23,N24),""),"")</f>
        <v/>
      </c>
      <c r="O67" s="237"/>
      <c r="P67" s="253"/>
      <c r="Q67" s="255"/>
      <c r="R67" s="226" t="s">
        <v>362</v>
      </c>
      <c r="S67" s="227" t="str">
        <f aca="false">IFERROR(IF(C$22*C$23*C24&gt;0,STDEV(C$22:C$23,C24),"")/IF(C$22*C$23*C24&gt;0,AVERAGE(C$22:C$23,C24),""),"")</f>
        <v/>
      </c>
      <c r="T67" s="227" t="str">
        <f aca="false">IFERROR(IF(D$22*D$23*D24&gt;0,STDEV(D$22:D$23,D24),"")/IF(D$22*D$23*D24&gt;0,AVERAGE(D$22:D$23,D24),""),"")</f>
        <v/>
      </c>
      <c r="U67" s="227" t="str">
        <f aca="false">IFERROR(IF(E$22*E$23*E24&gt;0,STDEV(E$22:E$23,E24),"")/IF(E$22*E$23*E24&gt;0,AVERAGE(E$22:E$23,E24),""),"")</f>
        <v/>
      </c>
      <c r="V67" s="227" t="str">
        <f aca="false">IFERROR(IF(F$22*F$23*F24&gt;0,STDEV(F$22:F$23,F24),"")/IF(F$22*F$23*F24&gt;0,AVERAGE(F$22:F$23,F24),""),"")</f>
        <v/>
      </c>
      <c r="W67" s="227" t="str">
        <f aca="false">IFERROR(IF(G$22*G$23*G24&gt;0,STDEV(G$22:G$23,G24),"")/IF(G$22*G$23*G24&gt;0,AVERAGE(G$22:G$23,G24),""),"")</f>
        <v/>
      </c>
      <c r="X67" s="227" t="str">
        <f aca="false">IFERROR(IF(H$22*H$23*H24&gt;0,STDEV(H$22:H$23,H24),"")/IF(H$22*H$23*H24&gt;0,AVERAGE(H$22:H$23,H24),""),"")</f>
        <v/>
      </c>
      <c r="Y67" s="227" t="str">
        <f aca="false">IFERROR(IF(I$22*I$23*I24&gt;0,STDEV(I$22:I$23,I24),"")/IF(I$22*I$23*I24&gt;0,AVERAGE(I$22:I$23,I24),""),"")</f>
        <v/>
      </c>
      <c r="Z67" s="227" t="str">
        <f aca="false">IFERROR(IF(J$22*J$23*J24&gt;0,STDEV(J$22:J$23,J24),"")/IF(J$22*J$23*J24&gt;0,AVERAGE(J$22:J$23,J24),""),"")</f>
        <v/>
      </c>
      <c r="AA67" s="227" t="str">
        <f aca="false">IFERROR(IF(K$22*K$23*K24&gt;0,STDEV(K$22:K$23,K24),"")/IF(K$22*K$23*K24&gt;0,AVERAGE(K$22:K$23,K24),""),"")</f>
        <v/>
      </c>
      <c r="AB67" s="227" t="str">
        <f aca="false">IFERROR(IF(L$22*L$23*L24&gt;0,STDEV(L$22:L$23,L24),"")/IF(L$22*L$23*L24&gt;0,AVERAGE(L$22:L$23,L24),""),"")</f>
        <v/>
      </c>
      <c r="AC67" s="227" t="str">
        <f aca="false">IFERROR(IF(M$22*M$23*M24&gt;0,STDEV(M$22:M$23,M24),"")/IF(M$22*M$23*M24&gt;0,AVERAGE(M$22:M$23,M24),""),"")</f>
        <v/>
      </c>
      <c r="AD67" s="227" t="str">
        <f aca="false">IFERROR(IF(N$22*N$23*N24&gt;0,STDEV(N$22:N$23,N24),"")/IF(N$22*N$23*N24&gt;0,AVERAGE(N$22:N$23,N24),""),"")</f>
        <v/>
      </c>
      <c r="AE67" s="233"/>
      <c r="AF67" s="229" t="s">
        <v>363</v>
      </c>
      <c r="AG67" s="230" t="str">
        <f aca="false">IFERROR(IF(C$22*C$23*C24&gt;0,STDEV(C$22:C$23,C24)," ")/IF(C$22*C$23*C24&gt;0,SQRT(COUNT(C$22:C$23,C24))," "),"")</f>
        <v/>
      </c>
      <c r="AH67" s="230" t="str">
        <f aca="false">IFERROR(IF(D$22*D$23*D24&gt;0,STDEV(D$22:D$23,D24)," ")/IF(D$22*D$23*D24&gt;0,SQRT(COUNT(D$22:D$23,D24))," "),"")</f>
        <v/>
      </c>
      <c r="AI67" s="230" t="str">
        <f aca="false">IFERROR(IF(E$22*E$23*E24&gt;0,STDEV(E$22:E$23,E24)," ")/IF(E$22*E$23*E24&gt;0,SQRT(COUNT(E$22:E$23,E24))," "),"")</f>
        <v/>
      </c>
      <c r="AJ67" s="230" t="str">
        <f aca="false">IFERROR(IF(F$22*F$23*F24&gt;0,STDEV(F$22:F$23,F24)," ")/IF(F$22*F$23*F24&gt;0,SQRT(COUNT(F$22:F$23,F24))," "),"")</f>
        <v/>
      </c>
      <c r="AK67" s="230" t="str">
        <f aca="false">IFERROR(IF(G$22*G$23*G24&gt;0,STDEV(G$22:G$23,G24)," ")/IF(G$22*G$23*G24&gt;0,SQRT(COUNT(G$22:G$23,G24))," "),"")</f>
        <v/>
      </c>
      <c r="AL67" s="230" t="str">
        <f aca="false">IFERROR(IF(H$22*H$23*H24&gt;0,STDEV(H$22:H$23,H24)," ")/IF(H$22*H$23*H24&gt;0,SQRT(COUNT(H$22:H$23,H24))," "),"")</f>
        <v/>
      </c>
      <c r="AM67" s="230" t="str">
        <f aca="false">IFERROR(IF(I$22*I$23*I24&gt;0,STDEV(I$22:I$23,I24)," ")/IF(I$22*I$23*I24&gt;0,SQRT(COUNT(I$22:I$23,I24))," "),"")</f>
        <v/>
      </c>
      <c r="AN67" s="230" t="str">
        <f aca="false">IFERROR(IF(J$22*J$23*J24&gt;0,STDEV(J$22:J$23,J24)," ")/IF(J$22*J$23*J24&gt;0,SQRT(COUNT(J$22:J$23,J24))," "),"")</f>
        <v/>
      </c>
      <c r="AO67" s="230" t="str">
        <f aca="false">IFERROR(IF(K$22*K$23*K24&gt;0,STDEV(K$22:K$23,K24)," ")/IF(K$22*K$23*K24&gt;0,SQRT(COUNT(K$22:K$23,K24))," "),"")</f>
        <v/>
      </c>
      <c r="AP67" s="230" t="str">
        <f aca="false">IFERROR(IF(L$22*L$23*L24&gt;0,STDEV(L$22:L$23,L24)," ")/IF(L$22*L$23*L24&gt;0,SQRT(COUNT(L$22:L$23,L24))," "),"")</f>
        <v/>
      </c>
      <c r="AQ67" s="230" t="str">
        <f aca="false">IFERROR(IF(M$22*M$23*M24&gt;0,STDEV(M$22:M$23,M24)," ")/IF(M$22*M$23*M24&gt;0,SQRT(COUNT(M$22:M$23,M24))," "),"")</f>
        <v/>
      </c>
      <c r="AR67" s="230" t="str">
        <f aca="false">IFERROR(IF(N$22*N$23*N24&gt;0,STDEV(N$22:N$23,N24)," ")/IF(N$22*N$23*N24&gt;0,SQRT(COUNT(N$22:N$23,N24))," "),"")</f>
        <v/>
      </c>
    </row>
    <row r="68" customFormat="false" ht="15.75" hidden="false" customHeight="false" outlineLevel="0" collapsed="false">
      <c r="A68" s="220" t="s">
        <v>254</v>
      </c>
      <c r="B68" s="221"/>
      <c r="C68" s="222" t="str">
        <f aca="false">IFERROR(IF(C$22*C$23*C25&gt;0,AVERAGE(C$22:C$23,C25),""),"")</f>
        <v/>
      </c>
      <c r="D68" s="222" t="str">
        <f aca="false">IFERROR(IF(D$22*D$23*D25&gt;0,AVERAGE(D$22:D$23,D25),""),"")</f>
        <v/>
      </c>
      <c r="E68" s="222" t="str">
        <f aca="false">IFERROR(IF(E$22*E$23*E25&gt;0,AVERAGE(E$22:E$23,E25),""),"")</f>
        <v/>
      </c>
      <c r="F68" s="222" t="str">
        <f aca="false">IFERROR(IF(F$22*F$23*F25&gt;0,AVERAGE(F$22:F$23,F25),""),"")</f>
        <v/>
      </c>
      <c r="G68" s="222" t="str">
        <f aca="false">IFERROR(IF(G$22*G$23*G25&gt;0,AVERAGE(G$22:G$23,G25),""),"")</f>
        <v/>
      </c>
      <c r="H68" s="222" t="str">
        <f aca="false">IFERROR(IF(H$22*H$23*H25&gt;0,AVERAGE(H$22:H$23,H25),""),"")</f>
        <v/>
      </c>
      <c r="I68" s="222" t="str">
        <f aca="false">IFERROR(IF(I$22*I$23*I25&gt;0,AVERAGE(I$22:I$23,I25),""),"")</f>
        <v/>
      </c>
      <c r="J68" s="222" t="str">
        <f aca="false">IFERROR(IF(J$22*J$23*J25&gt;0,AVERAGE(J$22:J$23,J25),""),"")</f>
        <v/>
      </c>
      <c r="K68" s="222" t="str">
        <f aca="false">IFERROR(IF(K$22*K$23*K25&gt;0,AVERAGE(K$22:K$23,K25),""),"")</f>
        <v/>
      </c>
      <c r="L68" s="222" t="str">
        <f aca="false">IFERROR(IF(L$22*L$23*L25&gt;0,AVERAGE(L$22:L$23,L25),""),"")</f>
        <v/>
      </c>
      <c r="M68" s="222" t="str">
        <f aca="false">IFERROR(IF(M$22*M$23*M25&gt;0,AVERAGE(M$22:M$23,M25),""),"")</f>
        <v/>
      </c>
      <c r="N68" s="222" t="str">
        <f aca="false">IFERROR(IF(N$22*N$23*N25&gt;0,AVERAGE(N$22:N$23,N25),""),"")</f>
        <v/>
      </c>
      <c r="O68" s="253"/>
      <c r="P68" s="253"/>
      <c r="Q68" s="254"/>
      <c r="R68" s="226" t="s">
        <v>364</v>
      </c>
      <c r="S68" s="227" t="str">
        <f aca="false">IFERROR(IF(C$22*C$23*C25&gt;0,STDEV(C$22:C$23,C25),"")/IF(C$22*C$23*C25&gt;0,AVERAGE(C$22:C$23,C25),""),"")</f>
        <v/>
      </c>
      <c r="T68" s="227" t="str">
        <f aca="false">IFERROR(IF(D$22*D$23*D25&gt;0,STDEV(D$22:D$23,D25),"")/IF(D$22*D$23*D25&gt;0,AVERAGE(D$22:D$23,D25),""),"")</f>
        <v/>
      </c>
      <c r="U68" s="227" t="str">
        <f aca="false">IFERROR(IF(E$22*E$23*E25&gt;0,STDEV(E$22:E$23,E25),"")/IF(E$22*E$23*E25&gt;0,AVERAGE(E$22:E$23,E25),""),"")</f>
        <v/>
      </c>
      <c r="V68" s="227" t="str">
        <f aca="false">IFERROR(IF(F$22*F$23*F25&gt;0,STDEV(F$22:F$23,F25),"")/IF(F$22*F$23*F25&gt;0,AVERAGE(F$22:F$23,F25),""),"")</f>
        <v/>
      </c>
      <c r="W68" s="227" t="str">
        <f aca="false">IFERROR(IF(G$22*G$23*G25&gt;0,STDEV(G$22:G$23,G25),"")/IF(G$22*G$23*G25&gt;0,AVERAGE(G$22:G$23,G25),""),"")</f>
        <v/>
      </c>
      <c r="X68" s="227" t="str">
        <f aca="false">IFERROR(IF(H$22*H$23*H25&gt;0,STDEV(H$22:H$23,H25),"")/IF(H$22*H$23*H25&gt;0,AVERAGE(H$22:H$23,H25),""),"")</f>
        <v/>
      </c>
      <c r="Y68" s="227" t="str">
        <f aca="false">IFERROR(IF(I$22*I$23*I25&gt;0,STDEV(I$22:I$23,I25),"")/IF(I$22*I$23*I25&gt;0,AVERAGE(I$22:I$23,I25),""),"")</f>
        <v/>
      </c>
      <c r="Z68" s="227" t="str">
        <f aca="false">IFERROR(IF(J$22*J$23*J25&gt;0,STDEV(J$22:J$23,J25),"")/IF(J$22*J$23*J25&gt;0,AVERAGE(J$22:J$23,J25),""),"")</f>
        <v/>
      </c>
      <c r="AA68" s="227" t="str">
        <f aca="false">IFERROR(IF(K$22*K$23*K25&gt;0,STDEV(K$22:K$23,K25),"")/IF(K$22*K$23*K25&gt;0,AVERAGE(K$22:K$23,K25),""),"")</f>
        <v/>
      </c>
      <c r="AB68" s="227" t="str">
        <f aca="false">IFERROR(IF(L$22*L$23*L25&gt;0,STDEV(L$22:L$23,L25),"")/IF(L$22*L$23*L25&gt;0,AVERAGE(L$22:L$23,L25),""),"")</f>
        <v/>
      </c>
      <c r="AC68" s="227" t="str">
        <f aca="false">IFERROR(IF(M$22*M$23*M25&gt;0,STDEV(M$22:M$23,M25),"")/IF(M$22*M$23*M25&gt;0,AVERAGE(M$22:M$23,M25),""),"")</f>
        <v/>
      </c>
      <c r="AD68" s="227" t="str">
        <f aca="false">IFERROR(IF(N$22*N$23*N25&gt;0,STDEV(N$22:N$23,N25),"")/IF(N$22*N$23*N25&gt;0,AVERAGE(N$22:N$23,N25),""),"")</f>
        <v/>
      </c>
      <c r="AE68" s="256"/>
      <c r="AF68" s="229" t="s">
        <v>365</v>
      </c>
      <c r="AG68" s="230" t="str">
        <f aca="false">IFERROR(IF(C$22*C$23*C25&gt;0,STDEV(C$22:C$23,C25)," ")/IF(C$22*C$23*C25&gt;0,SQRT(COUNT(C$22:C$23,C25))," "),"")</f>
        <v/>
      </c>
      <c r="AH68" s="230" t="str">
        <f aca="false">IFERROR(IF(D$22*D$23*D25&gt;0,STDEV(D$22:D$23,D25)," ")/IF(D$22*D$23*D25&gt;0,SQRT(COUNT(D$22:D$23,D25))," "),"")</f>
        <v/>
      </c>
      <c r="AI68" s="230" t="str">
        <f aca="false">IFERROR(IF(E$22*E$23*E25&gt;0,STDEV(E$22:E$23,E25)," ")/IF(E$22*E$23*E25&gt;0,SQRT(COUNT(E$22:E$23,E25))," "),"")</f>
        <v/>
      </c>
      <c r="AJ68" s="230" t="str">
        <f aca="false">IFERROR(IF(F$22*F$23*F25&gt;0,STDEV(F$22:F$23,F25)," ")/IF(F$22*F$23*F25&gt;0,SQRT(COUNT(F$22:F$23,F25))," "),"")</f>
        <v/>
      </c>
      <c r="AK68" s="230" t="str">
        <f aca="false">IFERROR(IF(G$22*G$23*G25&gt;0,STDEV(G$22:G$23,G25)," ")/IF(G$22*G$23*G25&gt;0,SQRT(COUNT(G$22:G$23,G25))," "),"")</f>
        <v/>
      </c>
      <c r="AL68" s="230" t="str">
        <f aca="false">IFERROR(IF(H$22*H$23*H25&gt;0,STDEV(H$22:H$23,H25)," ")/IF(H$22*H$23*H25&gt;0,SQRT(COUNT(H$22:H$23,H25))," "),"")</f>
        <v/>
      </c>
      <c r="AM68" s="230" t="str">
        <f aca="false">IFERROR(IF(I$22*I$23*I25&gt;0,STDEV(I$22:I$23,I25)," ")/IF(I$22*I$23*I25&gt;0,SQRT(COUNT(I$22:I$23,I25))," "),"")</f>
        <v/>
      </c>
      <c r="AN68" s="230" t="str">
        <f aca="false">IFERROR(IF(J$22*J$23*J25&gt;0,STDEV(J$22:J$23,J25)," ")/IF(J$22*J$23*J25&gt;0,SQRT(COUNT(J$22:J$23,J25))," "),"")</f>
        <v/>
      </c>
      <c r="AO68" s="230" t="str">
        <f aca="false">IFERROR(IF(K$22*K$23*K25&gt;0,STDEV(K$22:K$23,K25)," ")/IF(K$22*K$23*K25&gt;0,SQRT(COUNT(K$22:K$23,K25))," "),"")</f>
        <v/>
      </c>
      <c r="AP68" s="230" t="str">
        <f aca="false">IFERROR(IF(L$22*L$23*L25&gt;0,STDEV(L$22:L$23,L25)," ")/IF(L$22*L$23*L25&gt;0,SQRT(COUNT(L$22:L$23,L25))," "),"")</f>
        <v/>
      </c>
      <c r="AQ68" s="230" t="str">
        <f aca="false">IFERROR(IF(M$22*M$23*M25&gt;0,STDEV(M$22:M$23,M25)," ")/IF(M$22*M$23*M25&gt;0,SQRT(COUNT(M$22:M$23,M25))," "),"")</f>
        <v/>
      </c>
      <c r="AR68" s="230" t="str">
        <f aca="false">IFERROR(IF(N$22*N$23*N25&gt;0,STDEV(N$22:N$23,N25)," ")/IF(N$22*N$23*N25&gt;0,SQRT(COUNT(N$22:N$23,N25))," "),"")</f>
        <v/>
      </c>
    </row>
    <row r="69" customFormat="false" ht="15.75" hidden="false" customHeight="false" outlineLevel="0" collapsed="false">
      <c r="A69" s="220" t="s">
        <v>255</v>
      </c>
      <c r="B69" s="221"/>
      <c r="C69" s="222" t="str">
        <f aca="false">IFERROR(IF(C$22*C$23*C26&gt;0,AVERAGE(C$22:C$23,C26),""),"")</f>
        <v/>
      </c>
      <c r="D69" s="222" t="str">
        <f aca="false">IFERROR(IF(D$22*D$23*D26&gt;0,AVERAGE(D$22:D$23,D26),""),"")</f>
        <v/>
      </c>
      <c r="E69" s="222" t="str">
        <f aca="false">IFERROR(IF(E$22*E$23*E26&gt;0,AVERAGE(E$22:E$23,E26),""),"")</f>
        <v/>
      </c>
      <c r="F69" s="222" t="str">
        <f aca="false">IFERROR(IF(F$22*F$23*F26&gt;0,AVERAGE(F$22:F$23,F26),""),"")</f>
        <v/>
      </c>
      <c r="G69" s="222" t="str">
        <f aca="false">IFERROR(IF(G$22*G$23*G26&gt;0,AVERAGE(G$22:G$23,G26),""),"")</f>
        <v/>
      </c>
      <c r="H69" s="222" t="str">
        <f aca="false">IFERROR(IF(H$22*H$23*H26&gt;0,AVERAGE(H$22:H$23,H26),""),"")</f>
        <v/>
      </c>
      <c r="I69" s="222" t="str">
        <f aca="false">IFERROR(IF(I$22*I$23*I26&gt;0,AVERAGE(I$22:I$23,I26),""),"")</f>
        <v/>
      </c>
      <c r="J69" s="222" t="str">
        <f aca="false">IFERROR(IF(J$22*J$23*J26&gt;0,AVERAGE(J$22:J$23,J26),""),"")</f>
        <v/>
      </c>
      <c r="K69" s="222" t="str">
        <f aca="false">IFERROR(IF(K$22*K$23*K26&gt;0,AVERAGE(K$22:K$23,K26),""),"")</f>
        <v/>
      </c>
      <c r="L69" s="222" t="str">
        <f aca="false">IFERROR(IF(L$22*L$23*L26&gt;0,AVERAGE(L$22:L$23,L26),""),"")</f>
        <v/>
      </c>
      <c r="M69" s="222" t="str">
        <f aca="false">IFERROR(IF(M$22*M$23*M26&gt;0,AVERAGE(M$22:M$23,M26),""),"")</f>
        <v/>
      </c>
      <c r="N69" s="222" t="str">
        <f aca="false">IFERROR(IF(N$22*N$23*N26&gt;0,AVERAGE(N$22:N$23,N26),""),"")</f>
        <v/>
      </c>
      <c r="O69" s="257"/>
      <c r="P69" s="253"/>
      <c r="Q69" s="254"/>
      <c r="R69" s="226" t="s">
        <v>366</v>
      </c>
      <c r="S69" s="227" t="str">
        <f aca="false">IFERROR(IF(C$22*C$23*C26&gt;0,STDEV(C$22:C$23,C26),"")/IF(C$22*C$23*C26&gt;0,AVERAGE(C$22:C$23,C26),""),"")</f>
        <v/>
      </c>
      <c r="T69" s="227" t="str">
        <f aca="false">IFERROR(IF(D$22*D$23*D26&gt;0,STDEV(D$22:D$23,D26),"")/IF(D$22*D$23*D26&gt;0,AVERAGE(D$22:D$23,D26),""),"")</f>
        <v/>
      </c>
      <c r="U69" s="227" t="str">
        <f aca="false">IFERROR(IF(E$22*E$23*E26&gt;0,STDEV(E$22:E$23,E26),"")/IF(E$22*E$23*E26&gt;0,AVERAGE(E$22:E$23,E26),""),"")</f>
        <v/>
      </c>
      <c r="V69" s="227" t="str">
        <f aca="false">IFERROR(IF(F$22*F$23*F26&gt;0,STDEV(F$22:F$23,F26),"")/IF(F$22*F$23*F26&gt;0,AVERAGE(F$22:F$23,F26),""),"")</f>
        <v/>
      </c>
      <c r="W69" s="227" t="str">
        <f aca="false">IFERROR(IF(G$22*G$23*G26&gt;0,STDEV(G$22:G$23,G26),"")/IF(G$22*G$23*G26&gt;0,AVERAGE(G$22:G$23,G26),""),"")</f>
        <v/>
      </c>
      <c r="X69" s="227" t="str">
        <f aca="false">IFERROR(IF(H$22*H$23*H26&gt;0,STDEV(H$22:H$23,H26),"")/IF(H$22*H$23*H26&gt;0,AVERAGE(H$22:H$23,H26),""),"")</f>
        <v/>
      </c>
      <c r="Y69" s="227" t="str">
        <f aca="false">IFERROR(IF(I$22*I$23*I26&gt;0,STDEV(I$22:I$23,I26),"")/IF(I$22*I$23*I26&gt;0,AVERAGE(I$22:I$23,I26),""),"")</f>
        <v/>
      </c>
      <c r="Z69" s="227" t="str">
        <f aca="false">IFERROR(IF(J$22*J$23*J26&gt;0,STDEV(J$22:J$23,J26),"")/IF(J$22*J$23*J26&gt;0,AVERAGE(J$22:J$23,J26),""),"")</f>
        <v/>
      </c>
      <c r="AA69" s="227" t="str">
        <f aca="false">IFERROR(IF(K$22*K$23*K26&gt;0,STDEV(K$22:K$23,K26),"")/IF(K$22*K$23*K26&gt;0,AVERAGE(K$22:K$23,K26),""),"")</f>
        <v/>
      </c>
      <c r="AB69" s="227" t="str">
        <f aca="false">IFERROR(IF(L$22*L$23*L26&gt;0,STDEV(L$22:L$23,L26),"")/IF(L$22*L$23*L26&gt;0,AVERAGE(L$22:L$23,L26),""),"")</f>
        <v/>
      </c>
      <c r="AC69" s="227" t="str">
        <f aca="false">IFERROR(IF(M$22*M$23*M26&gt;0,STDEV(M$22:M$23,M26),"")/IF(M$22*M$23*M26&gt;0,AVERAGE(M$22:M$23,M26),""),"")</f>
        <v/>
      </c>
      <c r="AD69" s="227" t="str">
        <f aca="false">IFERROR(IF(N$22*N$23*N26&gt;0,STDEV(N$22:N$23,N26),"")/IF(N$22*N$23*N26&gt;0,AVERAGE(N$22:N$23,N26),""),"")</f>
        <v/>
      </c>
      <c r="AE69" s="228"/>
      <c r="AF69" s="229" t="s">
        <v>367</v>
      </c>
      <c r="AG69" s="230" t="str">
        <f aca="false">IFERROR(IF(C$22*C$23*C26&gt;0,STDEV(C$22:C$23,C26)," ")/IF(C$22*C$23*C26&gt;0,SQRT(COUNT(C$22:C$23,C26))," "),"")</f>
        <v/>
      </c>
      <c r="AH69" s="230" t="str">
        <f aca="false">IFERROR(IF(D$22*D$23*D26&gt;0,STDEV(D$22:D$23,D26)," ")/IF(D$22*D$23*D26&gt;0,SQRT(COUNT(D$22:D$23,D26))," "),"")</f>
        <v/>
      </c>
      <c r="AI69" s="230" t="str">
        <f aca="false">IFERROR(IF(E$22*E$23*E26&gt;0,STDEV(E$22:E$23,E26)," ")/IF(E$22*E$23*E26&gt;0,SQRT(COUNT(E$22:E$23,E26))," "),"")</f>
        <v/>
      </c>
      <c r="AJ69" s="230" t="str">
        <f aca="false">IFERROR(IF(F$22*F$23*F26&gt;0,STDEV(F$22:F$23,F26)," ")/IF(F$22*F$23*F26&gt;0,SQRT(COUNT(F$22:F$23,F26))," "),"")</f>
        <v/>
      </c>
      <c r="AK69" s="230" t="str">
        <f aca="false">IFERROR(IF(G$22*G$23*G26&gt;0,STDEV(G$22:G$23,G26)," ")/IF(G$22*G$23*G26&gt;0,SQRT(COUNT(G$22:G$23,G26))," "),"")</f>
        <v/>
      </c>
      <c r="AL69" s="230" t="str">
        <f aca="false">IFERROR(IF(H$22*H$23*H26&gt;0,STDEV(H$22:H$23,H26)," ")/IF(H$22*H$23*H26&gt;0,SQRT(COUNT(H$22:H$23,H26))," "),"")</f>
        <v/>
      </c>
      <c r="AM69" s="230" t="str">
        <f aca="false">IFERROR(IF(I$22*I$23*I26&gt;0,STDEV(I$22:I$23,I26)," ")/IF(I$22*I$23*I26&gt;0,SQRT(COUNT(I$22:I$23,I26))," "),"")</f>
        <v/>
      </c>
      <c r="AN69" s="230" t="str">
        <f aca="false">IFERROR(IF(J$22*J$23*J26&gt;0,STDEV(J$22:J$23,J26)," ")/IF(J$22*J$23*J26&gt;0,SQRT(COUNT(J$22:J$23,J26))," "),"")</f>
        <v/>
      </c>
      <c r="AO69" s="230" t="str">
        <f aca="false">IFERROR(IF(K$22*K$23*K26&gt;0,STDEV(K$22:K$23,K26)," ")/IF(K$22*K$23*K26&gt;0,SQRT(COUNT(K$22:K$23,K26))," "),"")</f>
        <v/>
      </c>
      <c r="AP69" s="230" t="str">
        <f aca="false">IFERROR(IF(L$22*L$23*L26&gt;0,STDEV(L$22:L$23,L26)," ")/IF(L$22*L$23*L26&gt;0,SQRT(COUNT(L$22:L$23,L26))," "),"")</f>
        <v/>
      </c>
      <c r="AQ69" s="230" t="str">
        <f aca="false">IFERROR(IF(M$22*M$23*M26&gt;0,STDEV(M$22:M$23,M26)," ")/IF(M$22*M$23*M26&gt;0,SQRT(COUNT(M$22:M$23,M26))," "),"")</f>
        <v/>
      </c>
      <c r="AR69" s="230" t="str">
        <f aca="false">IFERROR(IF(N$22*N$23*N26&gt;0,STDEV(N$22:N$23,N26)," ")/IF(N$22*N$23*N26&gt;0,SQRT(COUNT(N$22:N$23,N26))," "),"")</f>
        <v/>
      </c>
    </row>
    <row r="70" customFormat="false" ht="15.75" hidden="false" customHeight="false" outlineLevel="0" collapsed="false">
      <c r="A70" s="220" t="s">
        <v>256</v>
      </c>
      <c r="B70" s="221"/>
      <c r="C70" s="222" t="str">
        <f aca="false">IFERROR(IF(C$22*C$23*C27&gt;0,AVERAGE(C$22:C$23,C27),""),"")</f>
        <v/>
      </c>
      <c r="D70" s="222" t="str">
        <f aca="false">IFERROR(IF(D$22*D$23*D27&gt;0,AVERAGE(D$22:D$23,D27),""),"")</f>
        <v/>
      </c>
      <c r="E70" s="222" t="str">
        <f aca="false">IFERROR(IF(E$22*E$23*E27&gt;0,AVERAGE(E$22:E$23,E27),""),"")</f>
        <v/>
      </c>
      <c r="F70" s="222" t="str">
        <f aca="false">IFERROR(IF(F$22*F$23*F27&gt;0,AVERAGE(F$22:F$23,F27),""),"")</f>
        <v/>
      </c>
      <c r="G70" s="222" t="str">
        <f aca="false">IFERROR(IF(G$22*G$23*G27&gt;0,AVERAGE(G$22:G$23,G27),""),"")</f>
        <v/>
      </c>
      <c r="H70" s="222" t="str">
        <f aca="false">IFERROR(IF(H$22*H$23*H27&gt;0,AVERAGE(H$22:H$23,H27),""),"")</f>
        <v/>
      </c>
      <c r="I70" s="222" t="str">
        <f aca="false">IFERROR(IF(I$22*I$23*I27&gt;0,AVERAGE(I$22:I$23,I27),""),"")</f>
        <v/>
      </c>
      <c r="J70" s="222" t="str">
        <f aca="false">IFERROR(IF(J$22*J$23*J27&gt;0,AVERAGE(J$22:J$23,J27),""),"")</f>
        <v/>
      </c>
      <c r="K70" s="222" t="str">
        <f aca="false">IFERROR(IF(K$22*K$23*K27&gt;0,AVERAGE(K$22:K$23,K27),""),"")</f>
        <v/>
      </c>
      <c r="L70" s="222" t="str">
        <f aca="false">IFERROR(IF(L$22*L$23*L27&gt;0,AVERAGE(L$22:L$23,L27),""),"")</f>
        <v/>
      </c>
      <c r="M70" s="222" t="str">
        <f aca="false">IFERROR(IF(M$22*M$23*M27&gt;0,AVERAGE(M$22:M$23,M27),""),"")</f>
        <v/>
      </c>
      <c r="N70" s="222" t="str">
        <f aca="false">IFERROR(IF(N$22*N$23*N27&gt;0,AVERAGE(N$22:N$23,N27),""),"")</f>
        <v/>
      </c>
      <c r="O70" s="257"/>
      <c r="P70" s="253"/>
      <c r="Q70" s="254"/>
      <c r="R70" s="226" t="s">
        <v>368</v>
      </c>
      <c r="S70" s="227" t="str">
        <f aca="false">IFERROR(IF(C$22*C$23*C27&gt;0,STDEV(C$22:C$23,C27),"")/IF(C$22*C$23*C27&gt;0,AVERAGE(C$22:C$23,C27),""),"")</f>
        <v/>
      </c>
      <c r="T70" s="227" t="str">
        <f aca="false">IFERROR(IF(D$22*D$23*D27&gt;0,STDEV(D$22:D$23,D27),"")/IF(D$22*D$23*D27&gt;0,AVERAGE(D$22:D$23,D27),""),"")</f>
        <v/>
      </c>
      <c r="U70" s="227" t="str">
        <f aca="false">IFERROR(IF(E$22*E$23*E27&gt;0,STDEV(E$22:E$23,E27),"")/IF(E$22*E$23*E27&gt;0,AVERAGE(E$22:E$23,E27),""),"")</f>
        <v/>
      </c>
      <c r="V70" s="227" t="str">
        <f aca="false">IFERROR(IF(F$22*F$23*F27&gt;0,STDEV(F$22:F$23,F27),"")/IF(F$22*F$23*F27&gt;0,AVERAGE(F$22:F$23,F27),""),"")</f>
        <v/>
      </c>
      <c r="W70" s="227" t="str">
        <f aca="false">IFERROR(IF(G$22*G$23*G27&gt;0,STDEV(G$22:G$23,G27),"")/IF(G$22*G$23*G27&gt;0,AVERAGE(G$22:G$23,G27),""),"")</f>
        <v/>
      </c>
      <c r="X70" s="227" t="str">
        <f aca="false">IFERROR(IF(H$22*H$23*H27&gt;0,STDEV(H$22:H$23,H27),"")/IF(H$22*H$23*H27&gt;0,AVERAGE(H$22:H$23,H27),""),"")</f>
        <v/>
      </c>
      <c r="Y70" s="227" t="str">
        <f aca="false">IFERROR(IF(I$22*I$23*I27&gt;0,STDEV(I$22:I$23,I27),"")/IF(I$22*I$23*I27&gt;0,AVERAGE(I$22:I$23,I27),""),"")</f>
        <v/>
      </c>
      <c r="Z70" s="227" t="str">
        <f aca="false">IFERROR(IF(J$22*J$23*J27&gt;0,STDEV(J$22:J$23,J27),"")/IF(J$22*J$23*J27&gt;0,AVERAGE(J$22:J$23,J27),""),"")</f>
        <v/>
      </c>
      <c r="AA70" s="227" t="str">
        <f aca="false">IFERROR(IF(K$22*K$23*K27&gt;0,STDEV(K$22:K$23,K27),"")/IF(K$22*K$23*K27&gt;0,AVERAGE(K$22:K$23,K27),""),"")</f>
        <v/>
      </c>
      <c r="AB70" s="227" t="str">
        <f aca="false">IFERROR(IF(L$22*L$23*L27&gt;0,STDEV(L$22:L$23,L27),"")/IF(L$22*L$23*L27&gt;0,AVERAGE(L$22:L$23,L27),""),"")</f>
        <v/>
      </c>
      <c r="AC70" s="227" t="str">
        <f aca="false">IFERROR(IF(M$22*M$23*M27&gt;0,STDEV(M$22:M$23,M27),"")/IF(M$22*M$23*M27&gt;0,AVERAGE(M$22:M$23,M27),""),"")</f>
        <v/>
      </c>
      <c r="AD70" s="227" t="str">
        <f aca="false">IFERROR(IF(N$22*N$23*N27&gt;0,STDEV(N$22:N$23,N27),"")/IF(N$22*N$23*N27&gt;0,AVERAGE(N$22:N$23,N27),""),"")</f>
        <v/>
      </c>
      <c r="AE70" s="228"/>
      <c r="AF70" s="229" t="s">
        <v>369</v>
      </c>
      <c r="AG70" s="230" t="str">
        <f aca="false">IFERROR(IF(C$22*C$23*C27&gt;0,STDEV(C$22:C$23,C27)," ")/IF(C$22*C$23*C27&gt;0,SQRT(COUNT(C$22:C$23,C27))," "),"")</f>
        <v/>
      </c>
      <c r="AH70" s="230" t="str">
        <f aca="false">IFERROR(IF(D$22*D$23*D27&gt;0,STDEV(D$22:D$23,D27)," ")/IF(D$22*D$23*D27&gt;0,SQRT(COUNT(D$22:D$23,D27))," "),"")</f>
        <v/>
      </c>
      <c r="AI70" s="230" t="str">
        <f aca="false">IFERROR(IF(E$22*E$23*E27&gt;0,STDEV(E$22:E$23,E27)," ")/IF(E$22*E$23*E27&gt;0,SQRT(COUNT(E$22:E$23,E27))," "),"")</f>
        <v/>
      </c>
      <c r="AJ70" s="230" t="str">
        <f aca="false">IFERROR(IF(F$22*F$23*F27&gt;0,STDEV(F$22:F$23,F27)," ")/IF(F$22*F$23*F27&gt;0,SQRT(COUNT(F$22:F$23,F27))," "),"")</f>
        <v/>
      </c>
      <c r="AK70" s="230" t="str">
        <f aca="false">IFERROR(IF(G$22*G$23*G27&gt;0,STDEV(G$22:G$23,G27)," ")/IF(G$22*G$23*G27&gt;0,SQRT(COUNT(G$22:G$23,G27))," "),"")</f>
        <v/>
      </c>
      <c r="AL70" s="230" t="str">
        <f aca="false">IFERROR(IF(H$22*H$23*H27&gt;0,STDEV(H$22:H$23,H27)," ")/IF(H$22*H$23*H27&gt;0,SQRT(COUNT(H$22:H$23,H27))," "),"")</f>
        <v/>
      </c>
      <c r="AM70" s="230" t="str">
        <f aca="false">IFERROR(IF(I$22*I$23*I27&gt;0,STDEV(I$22:I$23,I27)," ")/IF(I$22*I$23*I27&gt;0,SQRT(COUNT(I$22:I$23,I27))," "),"")</f>
        <v/>
      </c>
      <c r="AN70" s="230" t="str">
        <f aca="false">IFERROR(IF(J$22*J$23*J27&gt;0,STDEV(J$22:J$23,J27)," ")/IF(J$22*J$23*J27&gt;0,SQRT(COUNT(J$22:J$23,J27))," "),"")</f>
        <v/>
      </c>
      <c r="AO70" s="230" t="str">
        <f aca="false">IFERROR(IF(K$22*K$23*K27&gt;0,STDEV(K$22:K$23,K27)," ")/IF(K$22*K$23*K27&gt;0,SQRT(COUNT(K$22:K$23,K27))," "),"")</f>
        <v/>
      </c>
      <c r="AP70" s="230" t="str">
        <f aca="false">IFERROR(IF(L$22*L$23*L27&gt;0,STDEV(L$22:L$23,L27)," ")/IF(L$22*L$23*L27&gt;0,SQRT(COUNT(L$22:L$23,L27))," "),"")</f>
        <v/>
      </c>
      <c r="AQ70" s="230" t="str">
        <f aca="false">IFERROR(IF(M$22*M$23*M27&gt;0,STDEV(M$22:M$23,M27)," ")/IF(M$22*M$23*M27&gt;0,SQRT(COUNT(M$22:M$23,M27))," "),"")</f>
        <v/>
      </c>
      <c r="AR70" s="230" t="str">
        <f aca="false">IFERROR(IF(N$22*N$23*N27&gt;0,STDEV(N$22:N$23,N27)," ")/IF(N$22*N$23*N27&gt;0,SQRT(COUNT(N$22:N$23,N27))," "),"")</f>
        <v/>
      </c>
    </row>
    <row r="71" customFormat="false" ht="15.75" hidden="false" customHeight="false" outlineLevel="0" collapsed="false">
      <c r="A71" s="220" t="s">
        <v>257</v>
      </c>
      <c r="B71" s="221"/>
      <c r="C71" s="222" t="str">
        <f aca="false">IFERROR(IF(C$23*C$24*C21&gt;0,AVERAGE(C$23:C$24,C21),""),"")</f>
        <v/>
      </c>
      <c r="D71" s="222" t="str">
        <f aca="false">IFERROR(IF(D$23*D$24*D21&gt;0,AVERAGE(D$23:D$24,D21),""),"")</f>
        <v/>
      </c>
      <c r="E71" s="222" t="str">
        <f aca="false">IFERROR(IF(E$23*E$24*E21&gt;0,AVERAGE(E$23:E$24,E21),""),"")</f>
        <v/>
      </c>
      <c r="F71" s="222" t="str">
        <f aca="false">IFERROR(IF(F$23*F$24*F21&gt;0,AVERAGE(F$23:F$24,F21),""),"")</f>
        <v/>
      </c>
      <c r="G71" s="222" t="str">
        <f aca="false">IFERROR(IF(G$23*G$24*G21&gt;0,AVERAGE(G$23:G$24,G21),""),"")</f>
        <v/>
      </c>
      <c r="H71" s="222" t="str">
        <f aca="false">IFERROR(IF(H$23*H$24*H21&gt;0,AVERAGE(H$23:H$24,H21),""),"")</f>
        <v/>
      </c>
      <c r="I71" s="222" t="str">
        <f aca="false">IFERROR(IF(I$23*I$24*I21&gt;0,AVERAGE(I$23:I$24,I21),""),"")</f>
        <v/>
      </c>
      <c r="J71" s="222" t="str">
        <f aca="false">IFERROR(IF(J$23*J$24*J21&gt;0,AVERAGE(J$23:J$24,J21),""),"")</f>
        <v/>
      </c>
      <c r="K71" s="222" t="str">
        <f aca="false">IFERROR(IF(K$23*K$24*K21&gt;0,AVERAGE(K$23:K$24,K21),""),"")</f>
        <v/>
      </c>
      <c r="L71" s="222" t="str">
        <f aca="false">IFERROR(IF(L$23*L$24*L21&gt;0,AVERAGE(L$23:L$24,L21),""),"")</f>
        <v/>
      </c>
      <c r="M71" s="222" t="str">
        <f aca="false">IFERROR(IF(M$23*M$24*M21&gt;0,AVERAGE(M$23:M$24,M21),""),"")</f>
        <v/>
      </c>
      <c r="N71" s="222" t="str">
        <f aca="false">IFERROR(IF(N$23*N$24*N21&gt;0,AVERAGE(N$23:N$24,N21),""),"")</f>
        <v/>
      </c>
      <c r="O71" s="257"/>
      <c r="P71" s="253"/>
      <c r="Q71" s="254"/>
      <c r="R71" s="226" t="s">
        <v>370</v>
      </c>
      <c r="S71" s="227" t="str">
        <f aca="false">IFERROR(IF(C$23*C$24*C21&gt;0,STDEV(C$23:C$24,C21),"")/IF(C$23*C$24*C21&gt;0,AVERAGE(C$23:C$24,C21),""),"")</f>
        <v/>
      </c>
      <c r="T71" s="227" t="str">
        <f aca="false">IFERROR(IF(D$23*D$24*D21&gt;0,STDEV(D$23:D$24,D21),"")/IF(D$23*D$24*D21&gt;0,AVERAGE(D$23:D$24,D21),""),"")</f>
        <v/>
      </c>
      <c r="U71" s="227" t="str">
        <f aca="false">IFERROR(IF(E$23*E$24*E21&gt;0,STDEV(E$23:E$24,E21),"")/IF(E$23*E$24*E21&gt;0,AVERAGE(E$23:E$24,E21),""),"")</f>
        <v/>
      </c>
      <c r="V71" s="227" t="str">
        <f aca="false">IFERROR(IF(F$23*F$24*F21&gt;0,STDEV(F$23:F$24,F21),"")/IF(F$23*F$24*F21&gt;0,AVERAGE(F$23:F$24,F21),""),"")</f>
        <v/>
      </c>
      <c r="W71" s="227" t="str">
        <f aca="false">IFERROR(IF(G$23*G$24*G21&gt;0,STDEV(G$23:G$24,G21),"")/IF(G$23*G$24*G21&gt;0,AVERAGE(G$23:G$24,G21),""),"")</f>
        <v/>
      </c>
      <c r="X71" s="227" t="str">
        <f aca="false">IFERROR(IF(H$23*H$24*H21&gt;0,STDEV(H$23:H$24,H21),"")/IF(H$23*H$24*H21&gt;0,AVERAGE(H$23:H$24,H21),""),"")</f>
        <v/>
      </c>
      <c r="Y71" s="227" t="str">
        <f aca="false">IFERROR(IF(I$23*I$24*I21&gt;0,STDEV(I$23:I$24,I21),"")/IF(I$23*I$24*I21&gt;0,AVERAGE(I$23:I$24,I21),""),"")</f>
        <v/>
      </c>
      <c r="Z71" s="227" t="str">
        <f aca="false">IFERROR(IF(J$23*J$24*J21&gt;0,STDEV(J$23:J$24,J21),"")/IF(J$23*J$24*J21&gt;0,AVERAGE(J$23:J$24,J21),""),"")</f>
        <v/>
      </c>
      <c r="AA71" s="227" t="str">
        <f aca="false">IFERROR(IF(K$23*K$24*K21&gt;0,STDEV(K$23:K$24,K21),"")/IF(K$23*K$24*K21&gt;0,AVERAGE(K$23:K$24,K21),""),"")</f>
        <v/>
      </c>
      <c r="AB71" s="227" t="str">
        <f aca="false">IFERROR(IF(L$23*L$24*L21&gt;0,STDEV(L$23:L$24,L21),"")/IF(L$23*L$24*L21&gt;0,AVERAGE(L$23:L$24,L21),""),"")</f>
        <v/>
      </c>
      <c r="AC71" s="227" t="str">
        <f aca="false">IFERROR(IF(M$23*M$24*M21&gt;0,STDEV(M$23:M$24,M21),"")/IF(M$23*M$24*M21&gt;0,AVERAGE(M$23:M$24,M21),""),"")</f>
        <v/>
      </c>
      <c r="AD71" s="227" t="str">
        <f aca="false">IFERROR(IF(N$23*N$24*N21&gt;0,STDEV(N$23:N$24,N21),"")/IF(N$23*N$24*N21&gt;0,AVERAGE(N$23:N$24,N21),""),"")</f>
        <v/>
      </c>
      <c r="AE71" s="228"/>
      <c r="AF71" s="229" t="s">
        <v>371</v>
      </c>
      <c r="AG71" s="230" t="str">
        <f aca="false">IFERROR(IF(C$23*C$24*C21&gt;0,STDEV(C$23:C$24,C21)," ")/IF(C$23*C$24*C21&gt;0,SQRT(COUNT(C$23:C$24,C21))," "),"")</f>
        <v/>
      </c>
      <c r="AH71" s="230" t="str">
        <f aca="false">IFERROR(IF(D$23*D$24*D21&gt;0,STDEV(D$23:D$24,D21)," ")/IF(D$23*D$24*D21&gt;0,SQRT(COUNT(D$23:D$24,D21))," "),"")</f>
        <v/>
      </c>
      <c r="AI71" s="230" t="str">
        <f aca="false">IFERROR(IF(E$23*E$24*E21&gt;0,STDEV(E$23:E$24,E21)," ")/IF(E$23*E$24*E21&gt;0,SQRT(COUNT(E$23:E$24,E21))," "),"")</f>
        <v/>
      </c>
      <c r="AJ71" s="230" t="str">
        <f aca="false">IFERROR(IF(F$23*F$24*F21&gt;0,STDEV(F$23:F$24,F21)," ")/IF(F$23*F$24*F21&gt;0,SQRT(COUNT(F$23:F$24,F21))," "),"")</f>
        <v/>
      </c>
      <c r="AK71" s="230" t="str">
        <f aca="false">IFERROR(IF(G$23*G$24*G21&gt;0,STDEV(G$23:G$24,G21)," ")/IF(G$23*G$24*G21&gt;0,SQRT(COUNT(G$23:G$24,G21))," "),"")</f>
        <v/>
      </c>
      <c r="AL71" s="230" t="str">
        <f aca="false">IFERROR(IF(H$23*H$24*H21&gt;0,STDEV(H$23:H$24,H21)," ")/IF(H$23*H$24*H21&gt;0,SQRT(COUNT(H$23:H$24,H21))," "),"")</f>
        <v/>
      </c>
      <c r="AM71" s="230" t="str">
        <f aca="false">IFERROR(IF(I$23*I$24*I21&gt;0,STDEV(I$23:I$24,I21)," ")/IF(I$23*I$24*I21&gt;0,SQRT(COUNT(I$23:I$24,I21))," "),"")</f>
        <v/>
      </c>
      <c r="AN71" s="230" t="str">
        <f aca="false">IFERROR(IF(J$23*J$24*J21&gt;0,STDEV(J$23:J$24,J21)," ")/IF(J$23*J$24*J21&gt;0,SQRT(COUNT(J$23:J$24,J21))," "),"")</f>
        <v/>
      </c>
      <c r="AO71" s="230" t="str">
        <f aca="false">IFERROR(IF(K$23*K$24*K21&gt;0,STDEV(K$23:K$24,K21)," ")/IF(K$23*K$24*K21&gt;0,SQRT(COUNT(K$23:K$24,K21))," "),"")</f>
        <v/>
      </c>
      <c r="AP71" s="230" t="str">
        <f aca="false">IFERROR(IF(L$23*L$24*L21&gt;0,STDEV(L$23:L$24,L21)," ")/IF(L$23*L$24*L21&gt;0,SQRT(COUNT(L$23:L$24,L21))," "),"")</f>
        <v/>
      </c>
      <c r="AQ71" s="230" t="str">
        <f aca="false">IFERROR(IF(M$23*M$24*M21&gt;0,STDEV(M$23:M$24,M21)," ")/IF(M$23*M$24*M21&gt;0,SQRT(COUNT(M$23:M$24,M21))," "),"")</f>
        <v/>
      </c>
      <c r="AR71" s="230" t="str">
        <f aca="false">IFERROR(IF(N$23*N$24*N21&gt;0,STDEV(N$23:N$24,N21)," ")/IF(N$23*N$24*N21&gt;0,SQRT(COUNT(N$23:N$24,N21))," "),"")</f>
        <v/>
      </c>
    </row>
    <row r="72" customFormat="false" ht="15.75" hidden="false" customHeight="false" outlineLevel="0" collapsed="false">
      <c r="A72" s="220" t="s">
        <v>258</v>
      </c>
      <c r="B72" s="221"/>
      <c r="C72" s="222" t="str">
        <f aca="false">IFERROR(IF(C$23*C$24*C25&gt;0,AVERAGE(C$23:C$24,C25),""),"")</f>
        <v/>
      </c>
      <c r="D72" s="222" t="str">
        <f aca="false">IFERROR(IF(D$23*D$24*D25&gt;0,AVERAGE(D$23:D$24,D25),""),"")</f>
        <v/>
      </c>
      <c r="E72" s="222" t="str">
        <f aca="false">IFERROR(IF(E$23*E$24*E25&gt;0,AVERAGE(E$23:E$24,E25),""),"")</f>
        <v/>
      </c>
      <c r="F72" s="222" t="str">
        <f aca="false">IFERROR(IF(F$23*F$24*F25&gt;0,AVERAGE(F$23:F$24,F25),""),"")</f>
        <v/>
      </c>
      <c r="G72" s="222" t="str">
        <f aca="false">IFERROR(IF(G$23*G$24*G25&gt;0,AVERAGE(G$23:G$24,G25),""),"")</f>
        <v/>
      </c>
      <c r="H72" s="222" t="str">
        <f aca="false">IFERROR(IF(H$23*H$24*H25&gt;0,AVERAGE(H$23:H$24,H25),""),"")</f>
        <v/>
      </c>
      <c r="I72" s="222" t="str">
        <f aca="false">IFERROR(IF(I$23*I$24*I25&gt;0,AVERAGE(I$23:I$24,I25),""),"")</f>
        <v/>
      </c>
      <c r="J72" s="222" t="str">
        <f aca="false">IFERROR(IF(J$23*J$24*J25&gt;0,AVERAGE(J$23:J$24,J25),""),"")</f>
        <v/>
      </c>
      <c r="K72" s="222" t="str">
        <f aca="false">IFERROR(IF(K$23*K$24*K25&gt;0,AVERAGE(K$23:K$24,K25),""),"")</f>
        <v/>
      </c>
      <c r="L72" s="222" t="str">
        <f aca="false">IFERROR(IF(L$23*L$24*L25&gt;0,AVERAGE(L$23:L$24,L25),""),"")</f>
        <v/>
      </c>
      <c r="M72" s="222" t="str">
        <f aca="false">IFERROR(IF(M$23*M$24*M25&gt;0,AVERAGE(M$23:M$24,M25),""),"")</f>
        <v/>
      </c>
      <c r="N72" s="222" t="str">
        <f aca="false">IFERROR(IF(N$23*N$24*N25&gt;0,AVERAGE(N$23:N$24,N25),""),"")</f>
        <v/>
      </c>
      <c r="O72" s="257"/>
      <c r="P72" s="253"/>
      <c r="Q72" s="254"/>
      <c r="R72" s="226" t="s">
        <v>372</v>
      </c>
      <c r="S72" s="227" t="str">
        <f aca="false">IFERROR(IF(C$23*C$24*C25&gt;0,STDEV(C$23:C$24,C25),"")/IF(C$23*C$24*C25&gt;0,AVERAGE(C$23:C$24,C25),""),"")</f>
        <v/>
      </c>
      <c r="T72" s="227" t="str">
        <f aca="false">IFERROR(IF(D$23*D$24*D25&gt;0,STDEV(D$23:D$24,D25),"")/IF(D$23*D$24*D25&gt;0,AVERAGE(D$23:D$24,D25),""),"")</f>
        <v/>
      </c>
      <c r="U72" s="227" t="str">
        <f aca="false">IFERROR(IF(E$23*E$24*E25&gt;0,STDEV(E$23:E$24,E25),"")/IF(E$23*E$24*E25&gt;0,AVERAGE(E$23:E$24,E25),""),"")</f>
        <v/>
      </c>
      <c r="V72" s="227" t="str">
        <f aca="false">IFERROR(IF(F$23*F$24*F25&gt;0,STDEV(F$23:F$24,F25),"")/IF(F$23*F$24*F25&gt;0,AVERAGE(F$23:F$24,F25),""),"")</f>
        <v/>
      </c>
      <c r="W72" s="227" t="str">
        <f aca="false">IFERROR(IF(G$23*G$24*G25&gt;0,STDEV(G$23:G$24,G25),"")/IF(G$23*G$24*G25&gt;0,AVERAGE(G$23:G$24,G25),""),"")</f>
        <v/>
      </c>
      <c r="X72" s="227" t="str">
        <f aca="false">IFERROR(IF(H$23*H$24*H25&gt;0,STDEV(H$23:H$24,H25),"")/IF(H$23*H$24*H25&gt;0,AVERAGE(H$23:H$24,H25),""),"")</f>
        <v/>
      </c>
      <c r="Y72" s="227" t="str">
        <f aca="false">IFERROR(IF(I$23*I$24*I25&gt;0,STDEV(I$23:I$24,I25),"")/IF(I$23*I$24*I25&gt;0,AVERAGE(I$23:I$24,I25),""),"")</f>
        <v/>
      </c>
      <c r="Z72" s="227" t="str">
        <f aca="false">IFERROR(IF(J$23*J$24*J25&gt;0,STDEV(J$23:J$24,J25),"")/IF(J$23*J$24*J25&gt;0,AVERAGE(J$23:J$24,J25),""),"")</f>
        <v/>
      </c>
      <c r="AA72" s="227" t="str">
        <f aca="false">IFERROR(IF(K$23*K$24*K25&gt;0,STDEV(K$23:K$24,K25),"")/IF(K$23*K$24*K25&gt;0,AVERAGE(K$23:K$24,K25),""),"")</f>
        <v/>
      </c>
      <c r="AB72" s="227" t="str">
        <f aca="false">IFERROR(IF(L$23*L$24*L25&gt;0,STDEV(L$23:L$24,L25),"")/IF(L$23*L$24*L25&gt;0,AVERAGE(L$23:L$24,L25),""),"")</f>
        <v/>
      </c>
      <c r="AC72" s="227" t="str">
        <f aca="false">IFERROR(IF(M$23*M$24*M25&gt;0,STDEV(M$23:M$24,M25),"")/IF(M$23*M$24*M25&gt;0,AVERAGE(M$23:M$24,M25),""),"")</f>
        <v/>
      </c>
      <c r="AD72" s="227" t="str">
        <f aca="false">IFERROR(IF(N$23*N$24*N25&gt;0,STDEV(N$23:N$24,N25),"")/IF(N$23*N$24*N25&gt;0,AVERAGE(N$23:N$24,N25),""),"")</f>
        <v/>
      </c>
      <c r="AE72" s="228"/>
      <c r="AF72" s="229" t="s">
        <v>373</v>
      </c>
      <c r="AG72" s="230" t="str">
        <f aca="false">IFERROR(IF(C$23*C$24*C25&gt;0,STDEV(C$23:C$24,C25)," ")/IF(C$23*C$24*C25&gt;0,SQRT(COUNT(C$23:C$24,C25))," "),"")</f>
        <v/>
      </c>
      <c r="AH72" s="230" t="str">
        <f aca="false">IFERROR(IF(D$23*D$24*D25&gt;0,STDEV(D$23:D$24,D25)," ")/IF(D$23*D$24*D25&gt;0,SQRT(COUNT(D$23:D$24,D25))," "),"")</f>
        <v/>
      </c>
      <c r="AI72" s="230" t="str">
        <f aca="false">IFERROR(IF(E$23*E$24*E25&gt;0,STDEV(E$23:E$24,E25)," ")/IF(E$23*E$24*E25&gt;0,SQRT(COUNT(E$23:E$24,E25))," "),"")</f>
        <v/>
      </c>
      <c r="AJ72" s="230" t="str">
        <f aca="false">IFERROR(IF(F$23*F$24*F25&gt;0,STDEV(F$23:F$24,F25)," ")/IF(F$23*F$24*F25&gt;0,SQRT(COUNT(F$23:F$24,F25))," "),"")</f>
        <v/>
      </c>
      <c r="AK72" s="230" t="str">
        <f aca="false">IFERROR(IF(G$23*G$24*G25&gt;0,STDEV(G$23:G$24,G25)," ")/IF(G$23*G$24*G25&gt;0,SQRT(COUNT(G$23:G$24,G25))," "),"")</f>
        <v/>
      </c>
      <c r="AL72" s="230" t="str">
        <f aca="false">IFERROR(IF(H$23*H$24*H25&gt;0,STDEV(H$23:H$24,H25)," ")/IF(H$23*H$24*H25&gt;0,SQRT(COUNT(H$23:H$24,H25))," "),"")</f>
        <v/>
      </c>
      <c r="AM72" s="230" t="str">
        <f aca="false">IFERROR(IF(I$23*I$24*I25&gt;0,STDEV(I$23:I$24,I25)," ")/IF(I$23*I$24*I25&gt;0,SQRT(COUNT(I$23:I$24,I25))," "),"")</f>
        <v/>
      </c>
      <c r="AN72" s="230" t="str">
        <f aca="false">IFERROR(IF(J$23*J$24*J25&gt;0,STDEV(J$23:J$24,J25)," ")/IF(J$23*J$24*J25&gt;0,SQRT(COUNT(J$23:J$24,J25))," "),"")</f>
        <v/>
      </c>
      <c r="AO72" s="230" t="str">
        <f aca="false">IFERROR(IF(K$23*K$24*K25&gt;0,STDEV(K$23:K$24,K25)," ")/IF(K$23*K$24*K25&gt;0,SQRT(COUNT(K$23:K$24,K25))," "),"")</f>
        <v/>
      </c>
      <c r="AP72" s="230" t="str">
        <f aca="false">IFERROR(IF(L$23*L$24*L25&gt;0,STDEV(L$23:L$24,L25)," ")/IF(L$23*L$24*L25&gt;0,SQRT(COUNT(L$23:L$24,L25))," "),"")</f>
        <v/>
      </c>
      <c r="AQ72" s="230" t="str">
        <f aca="false">IFERROR(IF(M$23*M$24*M25&gt;0,STDEV(M$23:M$24,M25)," ")/IF(M$23*M$24*M25&gt;0,SQRT(COUNT(M$23:M$24,M25))," "),"")</f>
        <v/>
      </c>
      <c r="AR72" s="230" t="str">
        <f aca="false">IFERROR(IF(N$23*N$24*N25&gt;0,STDEV(N$23:N$24,N25)," ")/IF(N$23*N$24*N25&gt;0,SQRT(COUNT(N$23:N$24,N25))," "),"")</f>
        <v/>
      </c>
    </row>
    <row r="73" customFormat="false" ht="15.75" hidden="false" customHeight="false" outlineLevel="0" collapsed="false">
      <c r="A73" s="220" t="s">
        <v>259</v>
      </c>
      <c r="B73" s="221"/>
      <c r="C73" s="222" t="str">
        <f aca="false">IFERROR(IF(C$23*C$24*C26&gt;0,AVERAGE(C$23:C$24,C26),""),"")</f>
        <v/>
      </c>
      <c r="D73" s="222" t="str">
        <f aca="false">IFERROR(IF(D$23*D$24*D26&gt;0,AVERAGE(D$23:D$24,D26),""),"")</f>
        <v/>
      </c>
      <c r="E73" s="222" t="str">
        <f aca="false">IFERROR(IF(E$23*E$24*E26&gt;0,AVERAGE(E$23:E$24,E26),""),"")</f>
        <v/>
      </c>
      <c r="F73" s="222" t="str">
        <f aca="false">IFERROR(IF(F$23*F$24*F26&gt;0,AVERAGE(F$23:F$24,F26),""),"")</f>
        <v/>
      </c>
      <c r="G73" s="222" t="str">
        <f aca="false">IFERROR(IF(G$23*G$24*G26&gt;0,AVERAGE(G$23:G$24,G26),""),"")</f>
        <v/>
      </c>
      <c r="H73" s="222" t="str">
        <f aca="false">IFERROR(IF(H$23*H$24*H26&gt;0,AVERAGE(H$23:H$24,H26),""),"")</f>
        <v/>
      </c>
      <c r="I73" s="222" t="str">
        <f aca="false">IFERROR(IF(I$23*I$24*I26&gt;0,AVERAGE(I$23:I$24,I26),""),"")</f>
        <v/>
      </c>
      <c r="J73" s="222" t="str">
        <f aca="false">IFERROR(IF(J$23*J$24*J26&gt;0,AVERAGE(J$23:J$24,J26),""),"")</f>
        <v/>
      </c>
      <c r="K73" s="222" t="str">
        <f aca="false">IFERROR(IF(K$23*K$24*K26&gt;0,AVERAGE(K$23:K$24,K26),""),"")</f>
        <v/>
      </c>
      <c r="L73" s="222" t="str">
        <f aca="false">IFERROR(IF(L$23*L$24*L26&gt;0,AVERAGE(L$23:L$24,L26),""),"")</f>
        <v/>
      </c>
      <c r="M73" s="222" t="str">
        <f aca="false">IFERROR(IF(M$23*M$24*M26&gt;0,AVERAGE(M$23:M$24,M26),""),"")</f>
        <v/>
      </c>
      <c r="N73" s="222" t="str">
        <f aca="false">IFERROR(IF(N$23*N$24*N26&gt;0,AVERAGE(N$23:N$24,N26),""),"")</f>
        <v/>
      </c>
      <c r="O73" s="257"/>
      <c r="P73" s="253"/>
      <c r="Q73" s="254"/>
      <c r="R73" s="226" t="s">
        <v>374</v>
      </c>
      <c r="S73" s="227" t="str">
        <f aca="false">IFERROR(IF(C$23*C$24*C26&gt;0,STDEV(C$23:C$24,C26),"")/IF(C$23*C$24*C26&gt;0,AVERAGE(C$23:C$24,C26),""),"")</f>
        <v/>
      </c>
      <c r="T73" s="227" t="str">
        <f aca="false">IFERROR(IF(D$23*D$24*D26&gt;0,STDEV(D$23:D$24,D26),"")/IF(D$23*D$24*D26&gt;0,AVERAGE(D$23:D$24,D26),""),"")</f>
        <v/>
      </c>
      <c r="U73" s="227" t="str">
        <f aca="false">IFERROR(IF(E$23*E$24*E26&gt;0,STDEV(E$23:E$24,E26),"")/IF(E$23*E$24*E26&gt;0,AVERAGE(E$23:E$24,E26),""),"")</f>
        <v/>
      </c>
      <c r="V73" s="227" t="str">
        <f aca="false">IFERROR(IF(F$23*F$24*F26&gt;0,STDEV(F$23:F$24,F26),"")/IF(F$23*F$24*F26&gt;0,AVERAGE(F$23:F$24,F26),""),"")</f>
        <v/>
      </c>
      <c r="W73" s="227" t="str">
        <f aca="false">IFERROR(IF(G$23*G$24*G26&gt;0,STDEV(G$23:G$24,G26),"")/IF(G$23*G$24*G26&gt;0,AVERAGE(G$23:G$24,G26),""),"")</f>
        <v/>
      </c>
      <c r="X73" s="227" t="str">
        <f aca="false">IFERROR(IF(H$23*H$24*H26&gt;0,STDEV(H$23:H$24,H26),"")/IF(H$23*H$24*H26&gt;0,AVERAGE(H$23:H$24,H26),""),"")</f>
        <v/>
      </c>
      <c r="Y73" s="227" t="str">
        <f aca="false">IFERROR(IF(I$23*I$24*I26&gt;0,STDEV(I$23:I$24,I26),"")/IF(I$23*I$24*I26&gt;0,AVERAGE(I$23:I$24,I26),""),"")</f>
        <v/>
      </c>
      <c r="Z73" s="227" t="str">
        <f aca="false">IFERROR(IF(J$23*J$24*J26&gt;0,STDEV(J$23:J$24,J26),"")/IF(J$23*J$24*J26&gt;0,AVERAGE(J$23:J$24,J26),""),"")</f>
        <v/>
      </c>
      <c r="AA73" s="227" t="str">
        <f aca="false">IFERROR(IF(K$23*K$24*K26&gt;0,STDEV(K$23:K$24,K26),"")/IF(K$23*K$24*K26&gt;0,AVERAGE(K$23:K$24,K26),""),"")</f>
        <v/>
      </c>
      <c r="AB73" s="227" t="str">
        <f aca="false">IFERROR(IF(L$23*L$24*L26&gt;0,STDEV(L$23:L$24,L26),"")/IF(L$23*L$24*L26&gt;0,AVERAGE(L$23:L$24,L26),""),"")</f>
        <v/>
      </c>
      <c r="AC73" s="227" t="str">
        <f aca="false">IFERROR(IF(M$23*M$24*M26&gt;0,STDEV(M$23:M$24,M26),"")/IF(M$23*M$24*M26&gt;0,AVERAGE(M$23:M$24,M26),""),"")</f>
        <v/>
      </c>
      <c r="AD73" s="227" t="str">
        <f aca="false">IFERROR(IF(N$23*N$24*N26&gt;0,STDEV(N$23:N$24,N26),"")/IF(N$23*N$24*N26&gt;0,AVERAGE(N$23:N$24,N26),""),"")</f>
        <v/>
      </c>
      <c r="AE73" s="228"/>
      <c r="AF73" s="229" t="s">
        <v>375</v>
      </c>
      <c r="AG73" s="230" t="str">
        <f aca="false">IFERROR(IF(C$23*C$24*C26&gt;0,STDEV(C$23:C$24,C26)," ")/IF(C$23*C$24*C26&gt;0,SQRT(COUNT(C$23:C$24,C26))," "),"")</f>
        <v/>
      </c>
      <c r="AH73" s="230" t="str">
        <f aca="false">IFERROR(IF(D$23*D$24*D26&gt;0,STDEV(D$23:D$24,D26)," ")/IF(D$23*D$24*D26&gt;0,SQRT(COUNT(D$23:D$24,D26))," "),"")</f>
        <v/>
      </c>
      <c r="AI73" s="230" t="str">
        <f aca="false">IFERROR(IF(E$23*E$24*E26&gt;0,STDEV(E$23:E$24,E26)," ")/IF(E$23*E$24*E26&gt;0,SQRT(COUNT(E$23:E$24,E26))," "),"")</f>
        <v/>
      </c>
      <c r="AJ73" s="230" t="str">
        <f aca="false">IFERROR(IF(F$23*F$24*F26&gt;0,STDEV(F$23:F$24,F26)," ")/IF(F$23*F$24*F26&gt;0,SQRT(COUNT(F$23:F$24,F26))," "),"")</f>
        <v/>
      </c>
      <c r="AK73" s="230" t="str">
        <f aca="false">IFERROR(IF(G$23*G$24*G26&gt;0,STDEV(G$23:G$24,G26)," ")/IF(G$23*G$24*G26&gt;0,SQRT(COUNT(G$23:G$24,G26))," "),"")</f>
        <v/>
      </c>
      <c r="AL73" s="230" t="str">
        <f aca="false">IFERROR(IF(H$23*H$24*H26&gt;0,STDEV(H$23:H$24,H26)," ")/IF(H$23*H$24*H26&gt;0,SQRT(COUNT(H$23:H$24,H26))," "),"")</f>
        <v/>
      </c>
      <c r="AM73" s="230" t="str">
        <f aca="false">IFERROR(IF(I$23*I$24*I26&gt;0,STDEV(I$23:I$24,I26)," ")/IF(I$23*I$24*I26&gt;0,SQRT(COUNT(I$23:I$24,I26))," "),"")</f>
        <v/>
      </c>
      <c r="AN73" s="230" t="str">
        <f aca="false">IFERROR(IF(J$23*J$24*J26&gt;0,STDEV(J$23:J$24,J26)," ")/IF(J$23*J$24*J26&gt;0,SQRT(COUNT(J$23:J$24,J26))," "),"")</f>
        <v/>
      </c>
      <c r="AO73" s="230" t="str">
        <f aca="false">IFERROR(IF(K$23*K$24*K26&gt;0,STDEV(K$23:K$24,K26)," ")/IF(K$23*K$24*K26&gt;0,SQRT(COUNT(K$23:K$24,K26))," "),"")</f>
        <v/>
      </c>
      <c r="AP73" s="230" t="str">
        <f aca="false">IFERROR(IF(L$23*L$24*L26&gt;0,STDEV(L$23:L$24,L26)," ")/IF(L$23*L$24*L26&gt;0,SQRT(COUNT(L$23:L$24,L26))," "),"")</f>
        <v/>
      </c>
      <c r="AQ73" s="230" t="str">
        <f aca="false">IFERROR(IF(M$23*M$24*M26&gt;0,STDEV(M$23:M$24,M26)," ")/IF(M$23*M$24*M26&gt;0,SQRT(COUNT(M$23:M$24,M26))," "),"")</f>
        <v/>
      </c>
      <c r="AR73" s="230" t="str">
        <f aca="false">IFERROR(IF(N$23*N$24*N26&gt;0,STDEV(N$23:N$24,N26)," ")/IF(N$23*N$24*N26&gt;0,SQRT(COUNT(N$23:N$24,N26))," "),"")</f>
        <v/>
      </c>
    </row>
    <row r="74" customFormat="false" ht="15.75" hidden="false" customHeight="false" outlineLevel="0" collapsed="false">
      <c r="A74" s="220" t="s">
        <v>260</v>
      </c>
      <c r="B74" s="221"/>
      <c r="C74" s="222" t="str">
        <f aca="false">IFERROR(IF(C$23*C$24*C27&gt;0,AVERAGE(C$23:C$24,C27),""),"")</f>
        <v/>
      </c>
      <c r="D74" s="222" t="str">
        <f aca="false">IFERROR(IF(D$23*D$24*D27&gt;0,AVERAGE(D$23:D$24,D27),""),"")</f>
        <v/>
      </c>
      <c r="E74" s="222" t="str">
        <f aca="false">IFERROR(IF(E$23*E$24*E27&gt;0,AVERAGE(E$23:E$24,E27),""),"")</f>
        <v/>
      </c>
      <c r="F74" s="222" t="str">
        <f aca="false">IFERROR(IF(F$23*F$24*F27&gt;0,AVERAGE(F$23:F$24,F27),""),"")</f>
        <v/>
      </c>
      <c r="G74" s="222" t="str">
        <f aca="false">IFERROR(IF(G$23*G$24*G27&gt;0,AVERAGE(G$23:G$24,G27),""),"")</f>
        <v/>
      </c>
      <c r="H74" s="222" t="str">
        <f aca="false">IFERROR(IF(H$23*H$24*H27&gt;0,AVERAGE(H$23:H$24,H27),""),"")</f>
        <v/>
      </c>
      <c r="I74" s="222" t="str">
        <f aca="false">IFERROR(IF(I$23*I$24*I27&gt;0,AVERAGE(I$23:I$24,I27),""),"")</f>
        <v/>
      </c>
      <c r="J74" s="222" t="str">
        <f aca="false">IFERROR(IF(J$23*J$24*J27&gt;0,AVERAGE(J$23:J$24,J27),""),"")</f>
        <v/>
      </c>
      <c r="K74" s="222" t="str">
        <f aca="false">IFERROR(IF(K$23*K$24*K27&gt;0,AVERAGE(K$23:K$24,K27),""),"")</f>
        <v/>
      </c>
      <c r="L74" s="222" t="str">
        <f aca="false">IFERROR(IF(L$23*L$24*L27&gt;0,AVERAGE(L$23:L$24,L27),""),"")</f>
        <v/>
      </c>
      <c r="M74" s="222" t="str">
        <f aca="false">IFERROR(IF(M$23*M$24*M27&gt;0,AVERAGE(M$23:M$24,M27),""),"")</f>
        <v/>
      </c>
      <c r="N74" s="222" t="str">
        <f aca="false">IFERROR(IF(N$23*N$24*N27&gt;0,AVERAGE(N$23:N$24,N27),""),"")</f>
        <v/>
      </c>
      <c r="O74" s="257"/>
      <c r="P74" s="253"/>
      <c r="Q74" s="254"/>
      <c r="R74" s="226" t="s">
        <v>376</v>
      </c>
      <c r="S74" s="227" t="str">
        <f aca="false">IFERROR(IF(C$23*C$24*C27&gt;0,STDEV(C$23:C$24,C27),"")/IF(C$23*C$24*C27&gt;0,AVERAGE(C$23:C$24,C27),""),"")</f>
        <v/>
      </c>
      <c r="T74" s="227" t="str">
        <f aca="false">IFERROR(IF(D$23*D$24*D27&gt;0,STDEV(D$23:D$24,D27),"")/IF(D$23*D$24*D27&gt;0,AVERAGE(D$23:D$24,D27),""),"")</f>
        <v/>
      </c>
      <c r="U74" s="227" t="str">
        <f aca="false">IFERROR(IF(E$23*E$24*E27&gt;0,STDEV(E$23:E$24,E27),"")/IF(E$23*E$24*E27&gt;0,AVERAGE(E$23:E$24,E27),""),"")</f>
        <v/>
      </c>
      <c r="V74" s="227" t="str">
        <f aca="false">IFERROR(IF(F$23*F$24*F27&gt;0,STDEV(F$23:F$24,F27),"")/IF(F$23*F$24*F27&gt;0,AVERAGE(F$23:F$24,F27),""),"")</f>
        <v/>
      </c>
      <c r="W74" s="227" t="str">
        <f aca="false">IFERROR(IF(G$23*G$24*G27&gt;0,STDEV(G$23:G$24,G27),"")/IF(G$23*G$24*G27&gt;0,AVERAGE(G$23:G$24,G27),""),"")</f>
        <v/>
      </c>
      <c r="X74" s="227" t="str">
        <f aca="false">IFERROR(IF(H$23*H$24*H27&gt;0,STDEV(H$23:H$24,H27),"")/IF(H$23*H$24*H27&gt;0,AVERAGE(H$23:H$24,H27),""),"")</f>
        <v/>
      </c>
      <c r="Y74" s="227" t="str">
        <f aca="false">IFERROR(IF(I$23*I$24*I27&gt;0,STDEV(I$23:I$24,I27),"")/IF(I$23*I$24*I27&gt;0,AVERAGE(I$23:I$24,I27),""),"")</f>
        <v/>
      </c>
      <c r="Z74" s="227" t="str">
        <f aca="false">IFERROR(IF(J$23*J$24*J27&gt;0,STDEV(J$23:J$24,J27),"")/IF(J$23*J$24*J27&gt;0,AVERAGE(J$23:J$24,J27),""),"")</f>
        <v/>
      </c>
      <c r="AA74" s="227" t="str">
        <f aca="false">IFERROR(IF(K$23*K$24*K27&gt;0,STDEV(K$23:K$24,K27),"")/IF(K$23*K$24*K27&gt;0,AVERAGE(K$23:K$24,K27),""),"")</f>
        <v/>
      </c>
      <c r="AB74" s="227" t="str">
        <f aca="false">IFERROR(IF(L$23*L$24*L27&gt;0,STDEV(L$23:L$24,L27),"")/IF(L$23*L$24*L27&gt;0,AVERAGE(L$23:L$24,L27),""),"")</f>
        <v/>
      </c>
      <c r="AC74" s="227" t="str">
        <f aca="false">IFERROR(IF(M$23*M$24*M27&gt;0,STDEV(M$23:M$24,M27),"")/IF(M$23*M$24*M27&gt;0,AVERAGE(M$23:M$24,M27),""),"")</f>
        <v/>
      </c>
      <c r="AD74" s="227" t="str">
        <f aca="false">IFERROR(IF(N$23*N$24*N27&gt;0,STDEV(N$23:N$24,N27),"")/IF(N$23*N$24*N27&gt;0,AVERAGE(N$23:N$24,N27),""),"")</f>
        <v/>
      </c>
      <c r="AE74" s="228"/>
      <c r="AF74" s="229" t="s">
        <v>377</v>
      </c>
      <c r="AG74" s="230" t="str">
        <f aca="false">IFERROR(IF(C$23*C$24*C27&gt;0,STDEV(C$23:C$24,C27)," ")/IF(C$23*C$24*C27&gt;0,SQRT(COUNT(C$23:C$24,C27))," "),"")</f>
        <v/>
      </c>
      <c r="AH74" s="230" t="str">
        <f aca="false">IFERROR(IF(D$23*D$24*D27&gt;0,STDEV(D$23:D$24,D27)," ")/IF(D$23*D$24*D27&gt;0,SQRT(COUNT(D$23:D$24,D27))," "),"")</f>
        <v/>
      </c>
      <c r="AI74" s="230" t="str">
        <f aca="false">IFERROR(IF(E$23*E$24*E27&gt;0,STDEV(E$23:E$24,E27)," ")/IF(E$23*E$24*E27&gt;0,SQRT(COUNT(E$23:E$24,E27))," "),"")</f>
        <v/>
      </c>
      <c r="AJ74" s="230" t="str">
        <f aca="false">IFERROR(IF(F$23*F$24*F27&gt;0,STDEV(F$23:F$24,F27)," ")/IF(F$23*F$24*F27&gt;0,SQRT(COUNT(F$23:F$24,F27))," "),"")</f>
        <v/>
      </c>
      <c r="AK74" s="230" t="str">
        <f aca="false">IFERROR(IF(G$23*G$24*G27&gt;0,STDEV(G$23:G$24,G27)," ")/IF(G$23*G$24*G27&gt;0,SQRT(COUNT(G$23:G$24,G27))," "),"")</f>
        <v/>
      </c>
      <c r="AL74" s="230" t="str">
        <f aca="false">IFERROR(IF(H$23*H$24*H27&gt;0,STDEV(H$23:H$24,H27)," ")/IF(H$23*H$24*H27&gt;0,SQRT(COUNT(H$23:H$24,H27))," "),"")</f>
        <v/>
      </c>
      <c r="AM74" s="230" t="str">
        <f aca="false">IFERROR(IF(I$23*I$24*I27&gt;0,STDEV(I$23:I$24,I27)," ")/IF(I$23*I$24*I27&gt;0,SQRT(COUNT(I$23:I$24,I27))," "),"")</f>
        <v/>
      </c>
      <c r="AN74" s="230" t="str">
        <f aca="false">IFERROR(IF(J$23*J$24*J27&gt;0,STDEV(J$23:J$24,J27)," ")/IF(J$23*J$24*J27&gt;0,SQRT(COUNT(J$23:J$24,J27))," "),"")</f>
        <v/>
      </c>
      <c r="AO74" s="230" t="str">
        <f aca="false">IFERROR(IF(K$23*K$24*K27&gt;0,STDEV(K$23:K$24,K27)," ")/IF(K$23*K$24*K27&gt;0,SQRT(COUNT(K$23:K$24,K27))," "),"")</f>
        <v/>
      </c>
      <c r="AP74" s="230" t="str">
        <f aca="false">IFERROR(IF(L$23*L$24*L27&gt;0,STDEV(L$23:L$24,L27)," ")/IF(L$23*L$24*L27&gt;0,SQRT(COUNT(L$23:L$24,L27))," "),"")</f>
        <v/>
      </c>
      <c r="AQ74" s="230" t="str">
        <f aca="false">IFERROR(IF(M$23*M$24*M27&gt;0,STDEV(M$23:M$24,M27)," ")/IF(M$23*M$24*M27&gt;0,SQRT(COUNT(M$23:M$24,M27))," "),"")</f>
        <v/>
      </c>
      <c r="AR74" s="230" t="str">
        <f aca="false">IFERROR(IF(N$23*N$24*N27&gt;0,STDEV(N$23:N$24,N27)," ")/IF(N$23*N$24*N27&gt;0,SQRT(COUNT(N$23:N$24,N27))," "),"")</f>
        <v/>
      </c>
    </row>
    <row r="75" customFormat="false" ht="15.75" hidden="false" customHeight="false" outlineLevel="0" collapsed="false">
      <c r="A75" s="220" t="s">
        <v>261</v>
      </c>
      <c r="B75" s="221"/>
      <c r="C75" s="222" t="str">
        <f aca="false">IFERROR(IF(C$24*C$25*C21&gt;0,AVERAGE(C$24:C$25,C21),""),"")</f>
        <v/>
      </c>
      <c r="D75" s="222" t="str">
        <f aca="false">IFERROR(IF(D$24*D$25*D21&gt;0,AVERAGE(D$24:D$25,D21),""),"")</f>
        <v/>
      </c>
      <c r="E75" s="222" t="str">
        <f aca="false">IFERROR(IF(E$24*E$25*E21&gt;0,AVERAGE(E$24:E$25,E21),""),"")</f>
        <v/>
      </c>
      <c r="F75" s="222" t="str">
        <f aca="false">IFERROR(IF(F$24*F$25*F21&gt;0,AVERAGE(F$24:F$25,F21),""),"")</f>
        <v/>
      </c>
      <c r="G75" s="222" t="str">
        <f aca="false">IFERROR(IF(G$24*G$25*G21&gt;0,AVERAGE(G$24:G$25,G21),""),"")</f>
        <v/>
      </c>
      <c r="H75" s="222" t="str">
        <f aca="false">IFERROR(IF(H$24*H$25*H21&gt;0,AVERAGE(H$24:H$25,H21),""),"")</f>
        <v/>
      </c>
      <c r="I75" s="222" t="str">
        <f aca="false">IFERROR(IF(I$24*I$25*I21&gt;0,AVERAGE(I$24:I$25,I21),""),"")</f>
        <v/>
      </c>
      <c r="J75" s="222" t="str">
        <f aca="false">IFERROR(IF(J$24*J$25*J21&gt;0,AVERAGE(J$24:J$25,J21),""),"")</f>
        <v/>
      </c>
      <c r="K75" s="222" t="str">
        <f aca="false">IFERROR(IF(K$24*K$25*K21&gt;0,AVERAGE(K$24:K$25,K21),""),"")</f>
        <v/>
      </c>
      <c r="L75" s="222" t="str">
        <f aca="false">IFERROR(IF(L$24*L$25*L21&gt;0,AVERAGE(L$24:L$25,L21),""),"")</f>
        <v/>
      </c>
      <c r="M75" s="222" t="str">
        <f aca="false">IFERROR(IF(M$24*M$25*M21&gt;0,AVERAGE(M$24:M$25,M21),""),"")</f>
        <v/>
      </c>
      <c r="N75" s="222" t="str">
        <f aca="false">IFERROR(IF(N$24*N$25*N21&gt;0,AVERAGE(N$24:N$25,N21),""),"")</f>
        <v/>
      </c>
      <c r="O75" s="257"/>
      <c r="P75" s="253"/>
      <c r="Q75" s="254"/>
      <c r="R75" s="226" t="s">
        <v>378</v>
      </c>
      <c r="S75" s="227" t="str">
        <f aca="false">IFERROR(IF(C$24*C$25*C21&gt;0,STDEV(C$24:C$25,C21),"")/IF(C$24*C$25*C21&gt;0,AVERAGE(C$24:C$25,C21),""),"")</f>
        <v/>
      </c>
      <c r="T75" s="227" t="str">
        <f aca="false">IFERROR(IF(D$24*D$25*D21&gt;0,STDEV(D$24:D$25,D21),"")/IF(D$24*D$25*D21&gt;0,AVERAGE(D$24:D$25,D21),""),"")</f>
        <v/>
      </c>
      <c r="U75" s="227" t="str">
        <f aca="false">IFERROR(IF(E$24*E$25*E21&gt;0,STDEV(E$24:E$25,E21),"")/IF(E$24*E$25*E21&gt;0,AVERAGE(E$24:E$25,E21),""),"")</f>
        <v/>
      </c>
      <c r="V75" s="227" t="str">
        <f aca="false">IFERROR(IF(F$24*F$25*F21&gt;0,STDEV(F$24:F$25,F21),"")/IF(F$24*F$25*F21&gt;0,AVERAGE(F$24:F$25,F21),""),"")</f>
        <v/>
      </c>
      <c r="W75" s="227" t="str">
        <f aca="false">IFERROR(IF(G$24*G$25*G21&gt;0,STDEV(G$24:G$25,G21),"")/IF(G$24*G$25*G21&gt;0,AVERAGE(G$24:G$25,G21),""),"")</f>
        <v/>
      </c>
      <c r="X75" s="227" t="str">
        <f aca="false">IFERROR(IF(H$24*H$25*H21&gt;0,STDEV(H$24:H$25,H21),"")/IF(H$24*H$25*H21&gt;0,AVERAGE(H$24:H$25,H21),""),"")</f>
        <v/>
      </c>
      <c r="Y75" s="227" t="str">
        <f aca="false">IFERROR(IF(I$24*I$25*I21&gt;0,STDEV(I$24:I$25,I21),"")/IF(I$24*I$25*I21&gt;0,AVERAGE(I$24:I$25,I21),""),"")</f>
        <v/>
      </c>
      <c r="Z75" s="227" t="str">
        <f aca="false">IFERROR(IF(J$24*J$25*J21&gt;0,STDEV(J$24:J$25,J21),"")/IF(J$24*J$25*J21&gt;0,AVERAGE(J$24:J$25,J21),""),"")</f>
        <v/>
      </c>
      <c r="AA75" s="227" t="str">
        <f aca="false">IFERROR(IF(K$24*K$25*K21&gt;0,STDEV(K$24:K$25,K21),"")/IF(K$24*K$25*K21&gt;0,AVERAGE(K$24:K$25,K21),""),"")</f>
        <v/>
      </c>
      <c r="AB75" s="227" t="str">
        <f aca="false">IFERROR(IF(L$24*L$25*L21&gt;0,STDEV(L$24:L$25,L21),"")/IF(L$24*L$25*L21&gt;0,AVERAGE(L$24:L$25,L21),""),"")</f>
        <v/>
      </c>
      <c r="AC75" s="227" t="str">
        <f aca="false">IFERROR(IF(M$24*M$25*M21&gt;0,STDEV(M$24:M$25,M21),"")/IF(M$24*M$25*M21&gt;0,AVERAGE(M$24:M$25,M21),""),"")</f>
        <v/>
      </c>
      <c r="AD75" s="227" t="str">
        <f aca="false">IFERROR(IF(N$24*N$25*N21&gt;0,STDEV(N$24:N$25,N21),"")/IF(N$24*N$25*N21&gt;0,AVERAGE(N$24:N$25,N21),""),"")</f>
        <v/>
      </c>
      <c r="AE75" s="228"/>
      <c r="AF75" s="229" t="s">
        <v>379</v>
      </c>
      <c r="AG75" s="230" t="str">
        <f aca="false">IFERROR(IF(C$24*C$25*C21&gt;0,STDEV(C$24:C$25,C21)," ")/IF(C$24*C$25*C21&gt;0,SQRT(COUNT(C$24:C$25,C21))," "),"")</f>
        <v/>
      </c>
      <c r="AH75" s="230" t="str">
        <f aca="false">IFERROR(IF(D$24*D$25*D21&gt;0,STDEV(D$24:D$25,D21)," ")/IF(D$24*D$25*D21&gt;0,SQRT(COUNT(D$24:D$25,D21))," "),"")</f>
        <v/>
      </c>
      <c r="AI75" s="230" t="str">
        <f aca="false">IFERROR(IF(E$24*E$25*E21&gt;0,STDEV(E$24:E$25,E21)," ")/IF(E$24*E$25*E21&gt;0,SQRT(COUNT(E$24:E$25,E21))," "),"")</f>
        <v/>
      </c>
      <c r="AJ75" s="230" t="str">
        <f aca="false">IFERROR(IF(F$24*F$25*F21&gt;0,STDEV(F$24:F$25,F21)," ")/IF(F$24*F$25*F21&gt;0,SQRT(COUNT(F$24:F$25,F21))," "),"")</f>
        <v/>
      </c>
      <c r="AK75" s="230" t="str">
        <f aca="false">IFERROR(IF(G$24*G$25*G21&gt;0,STDEV(G$24:G$25,G21)," ")/IF(G$24*G$25*G21&gt;0,SQRT(COUNT(G$24:G$25,G21))," "),"")</f>
        <v/>
      </c>
      <c r="AL75" s="230" t="str">
        <f aca="false">IFERROR(IF(H$24*H$25*H21&gt;0,STDEV(H$24:H$25,H21)," ")/IF(H$24*H$25*H21&gt;0,SQRT(COUNT(H$24:H$25,H21))," "),"")</f>
        <v/>
      </c>
      <c r="AM75" s="230" t="str">
        <f aca="false">IFERROR(IF(I$24*I$25*I21&gt;0,STDEV(I$24:I$25,I21)," ")/IF(I$24*I$25*I21&gt;0,SQRT(COUNT(I$24:I$25,I21))," "),"")</f>
        <v/>
      </c>
      <c r="AN75" s="230" t="str">
        <f aca="false">IFERROR(IF(J$24*J$25*J21&gt;0,STDEV(J$24:J$25,J21)," ")/IF(J$24*J$25*J21&gt;0,SQRT(COUNT(J$24:J$25,J21))," "),"")</f>
        <v/>
      </c>
      <c r="AO75" s="230" t="str">
        <f aca="false">IFERROR(IF(K$24*K$25*K21&gt;0,STDEV(K$24:K$25,K21)," ")/IF(K$24*K$25*K21&gt;0,SQRT(COUNT(K$24:K$25,K21))," "),"")</f>
        <v/>
      </c>
      <c r="AP75" s="230" t="str">
        <f aca="false">IFERROR(IF(L$24*L$25*L21&gt;0,STDEV(L$24:L$25,L21)," ")/IF(L$24*L$25*L21&gt;0,SQRT(COUNT(L$24:L$25,L21))," "),"")</f>
        <v/>
      </c>
      <c r="AQ75" s="230" t="str">
        <f aca="false">IFERROR(IF(M$24*M$25*M21&gt;0,STDEV(M$24:M$25,M21)," ")/IF(M$24*M$25*M21&gt;0,SQRT(COUNT(M$24:M$25,M21))," "),"")</f>
        <v/>
      </c>
      <c r="AR75" s="230" t="str">
        <f aca="false">IFERROR(IF(N$24*N$25*N21&gt;0,STDEV(N$24:N$25,N21)," ")/IF(N$24*N$25*N21&gt;0,SQRT(COUNT(N$24:N$25,N21))," "),"")</f>
        <v/>
      </c>
    </row>
    <row r="76" customFormat="false" ht="15.75" hidden="false" customHeight="false" outlineLevel="0" collapsed="false">
      <c r="A76" s="220" t="s">
        <v>380</v>
      </c>
      <c r="B76" s="221"/>
      <c r="C76" s="222" t="str">
        <f aca="false">IFERROR(IF(C$24*C$25*C22&gt;0,AVERAGE(C$24:C$25,C22),""),"")</f>
        <v/>
      </c>
      <c r="D76" s="222" t="str">
        <f aca="false">IFERROR(IF(D$24*D$25*D22&gt;0,AVERAGE(D$24:D$25,D22),""),"")</f>
        <v/>
      </c>
      <c r="E76" s="222" t="str">
        <f aca="false">IFERROR(IF(E$24*E$25*E22&gt;0,AVERAGE(E$24:E$25,E22),""),"")</f>
        <v/>
      </c>
      <c r="F76" s="222" t="str">
        <f aca="false">IFERROR(IF(F$24*F$25*F22&gt;0,AVERAGE(F$24:F$25,F22),""),"")</f>
        <v/>
      </c>
      <c r="G76" s="222" t="str">
        <f aca="false">IFERROR(IF(G$24*G$25*G22&gt;0,AVERAGE(G$24:G$25,G22),""),"")</f>
        <v/>
      </c>
      <c r="H76" s="222" t="str">
        <f aca="false">IFERROR(IF(H$24*H$25*H22&gt;0,AVERAGE(H$24:H$25,H22),""),"")</f>
        <v/>
      </c>
      <c r="I76" s="222" t="str">
        <f aca="false">IFERROR(IF(I$24*I$25*I22&gt;0,AVERAGE(I$24:I$25,I22),""),"")</f>
        <v/>
      </c>
      <c r="J76" s="222" t="str">
        <f aca="false">IFERROR(IF(J$24*J$25*J22&gt;0,AVERAGE(J$24:J$25,J22),""),"")</f>
        <v/>
      </c>
      <c r="K76" s="222" t="str">
        <f aca="false">IFERROR(IF(K$24*K$25*K22&gt;0,AVERAGE(K$24:K$25,K22),""),"")</f>
        <v/>
      </c>
      <c r="L76" s="222" t="str">
        <f aca="false">IFERROR(IF(L$24*L$25*L22&gt;0,AVERAGE(L$24:L$25,L22),""),"")</f>
        <v/>
      </c>
      <c r="M76" s="222" t="str">
        <f aca="false">IFERROR(IF(M$24*M$25*M22&gt;0,AVERAGE(M$24:M$25,M22),""),"")</f>
        <v/>
      </c>
      <c r="N76" s="222" t="str">
        <f aca="false">IFERROR(IF(N$24*N$25*N22&gt;0,AVERAGE(N$24:N$25,N22),""),"")</f>
        <v/>
      </c>
      <c r="O76" s="258"/>
      <c r="P76" s="259"/>
      <c r="Q76" s="260"/>
      <c r="R76" s="226" t="s">
        <v>381</v>
      </c>
      <c r="S76" s="227" t="str">
        <f aca="false">IFERROR(IF(C$24*C$25*C22&gt;0,STDEV(C$24:C$25,C22),"")/IF(C$24*C$25*C22&gt;0,AVERAGE(C$24:C$25,C22),""),"")</f>
        <v/>
      </c>
      <c r="T76" s="227" t="str">
        <f aca="false">IFERROR(IF(D$24*D$25*D22&gt;0,STDEV(D$24:D$25,D22),"")/IF(D$24*D$25*D22&gt;0,AVERAGE(D$24:D$25,D22),""),"")</f>
        <v/>
      </c>
      <c r="U76" s="227" t="str">
        <f aca="false">IFERROR(IF(E$24*E$25*E22&gt;0,STDEV(E$24:E$25,E22),"")/IF(E$24*E$25*E22&gt;0,AVERAGE(E$24:E$25,E22),""),"")</f>
        <v/>
      </c>
      <c r="V76" s="227" t="str">
        <f aca="false">IFERROR(IF(F$24*F$25*F22&gt;0,STDEV(F$24:F$25,F22),"")/IF(F$24*F$25*F22&gt;0,AVERAGE(F$24:F$25,F22),""),"")</f>
        <v/>
      </c>
      <c r="W76" s="227" t="str">
        <f aca="false">IFERROR(IF(G$24*G$25*G22&gt;0,STDEV(G$24:G$25,G22),"")/IF(G$24*G$25*G22&gt;0,AVERAGE(G$24:G$25,G22),""),"")</f>
        <v/>
      </c>
      <c r="X76" s="227" t="str">
        <f aca="false">IFERROR(IF(H$24*H$25*H22&gt;0,STDEV(H$24:H$25,H22),"")/IF(H$24*H$25*H22&gt;0,AVERAGE(H$24:H$25,H22),""),"")</f>
        <v/>
      </c>
      <c r="Y76" s="227" t="str">
        <f aca="false">IFERROR(IF(I$24*I$25*I22&gt;0,STDEV(I$24:I$25,I22),"")/IF(I$24*I$25*I22&gt;0,AVERAGE(I$24:I$25,I22),""),"")</f>
        <v/>
      </c>
      <c r="Z76" s="227" t="str">
        <f aca="false">IFERROR(IF(J$24*J$25*J22&gt;0,STDEV(J$24:J$25,J22),"")/IF(J$24*J$25*J22&gt;0,AVERAGE(J$24:J$25,J22),""),"")</f>
        <v/>
      </c>
      <c r="AA76" s="227" t="str">
        <f aca="false">IFERROR(IF(K$24*K$25*K22&gt;0,STDEV(K$24:K$25,K22),"")/IF(K$24*K$25*K22&gt;0,AVERAGE(K$24:K$25,K22),""),"")</f>
        <v/>
      </c>
      <c r="AB76" s="227" t="str">
        <f aca="false">IFERROR(IF(L$24*L$25*L22&gt;0,STDEV(L$24:L$25,L22),"")/IF(L$24*L$25*L22&gt;0,AVERAGE(L$24:L$25,L22),""),"")</f>
        <v/>
      </c>
      <c r="AC76" s="227" t="str">
        <f aca="false">IFERROR(IF(M$24*M$25*M22&gt;0,STDEV(M$24:M$25,M22),"")/IF(M$24*M$25*M22&gt;0,AVERAGE(M$24:M$25,M22),""),"")</f>
        <v/>
      </c>
      <c r="AD76" s="227" t="str">
        <f aca="false">IFERROR(IF(N$24*N$25*N22&gt;0,STDEV(N$24:N$25,N22),"")/IF(N$24*N$25*N22&gt;0,AVERAGE(N$24:N$25,N22),""),"")</f>
        <v/>
      </c>
      <c r="AE76" s="258"/>
      <c r="AF76" s="229" t="s">
        <v>382</v>
      </c>
      <c r="AG76" s="238" t="str">
        <f aca="false">IFERROR(IF(C$24*C$25*C22&gt;0,STDEV(C$24:C$25,C22)," ")/IF(C$24*C$25*C22&gt;0,SQRT(COUNT(C$24:C$25,C22)),""),"")</f>
        <v/>
      </c>
      <c r="AH76" s="238" t="str">
        <f aca="false">IFERROR(IF(D$24*D$25*D22&gt;0,STDEV(D$24:D$25,D22)," ")/IF(D$24*D$25*D22&gt;0,SQRT(COUNT(D$24:D$25,D22)),""),"")</f>
        <v/>
      </c>
      <c r="AI76" s="238" t="str">
        <f aca="false">IFERROR(IF(E$24*E$25*E22&gt;0,STDEV(E$24:E$25,E22)," ")/IF(E$24*E$25*E22&gt;0,SQRT(COUNT(E$24:E$25,E22)),""),"")</f>
        <v/>
      </c>
      <c r="AJ76" s="238" t="str">
        <f aca="false">IFERROR(IF(F$24*F$25*F22&gt;0,STDEV(F$24:F$25,F22)," ")/IF(F$24*F$25*F22&gt;0,SQRT(COUNT(F$24:F$25,F22)),""),"")</f>
        <v/>
      </c>
      <c r="AK76" s="238" t="str">
        <f aca="false">IFERROR(IF(G$24*G$25*G22&gt;0,STDEV(G$24:G$25,G22)," ")/IF(G$24*G$25*G22&gt;0,SQRT(COUNT(G$24:G$25,G22)),""),"")</f>
        <v/>
      </c>
      <c r="AL76" s="238" t="str">
        <f aca="false">IFERROR(IF(H$24*H$25*H22&gt;0,STDEV(H$24:H$25,H22)," ")/IF(H$24*H$25*H22&gt;0,SQRT(COUNT(H$24:H$25,H22)),""),"")</f>
        <v/>
      </c>
      <c r="AM76" s="238" t="str">
        <f aca="false">IFERROR(IF(I$24*I$25*I22&gt;0,STDEV(I$24:I$25,I22)," ")/IF(I$24*I$25*I22&gt;0,SQRT(COUNT(I$24:I$25,I22)),""),"")</f>
        <v/>
      </c>
      <c r="AN76" s="238" t="str">
        <f aca="false">IFERROR(IF(J$24*J$25*J22&gt;0,STDEV(J$24:J$25,J22)," ")/IF(J$24*J$25*J22&gt;0,SQRT(COUNT(J$24:J$25,J22)),""),"")</f>
        <v/>
      </c>
      <c r="AO76" s="238" t="str">
        <f aca="false">IFERROR(IF(K$24*K$25*K22&gt;0,STDEV(K$24:K$25,K22)," ")/IF(K$24*K$25*K22&gt;0,SQRT(COUNT(K$24:K$25,K22)),""),"")</f>
        <v/>
      </c>
      <c r="AP76" s="238" t="str">
        <f aca="false">IFERROR(IF(L$24*L$25*L22&gt;0,STDEV(L$24:L$25,L22)," ")/IF(L$24*L$25*L22&gt;0,SQRT(COUNT(L$24:L$25,L22)),""),"")</f>
        <v/>
      </c>
      <c r="AQ76" s="238" t="str">
        <f aca="false">IFERROR(IF(M$24*M$25*M22&gt;0,STDEV(M$24:M$25,M22)," ")/IF(M$24*M$25*M22&gt;0,SQRT(COUNT(M$24:M$25,M22)),""),"")</f>
        <v/>
      </c>
      <c r="AR76" s="238" t="str">
        <f aca="false">IFERROR(IF(N$24*N$25*N22&gt;0,STDEV(N$24:N$25,N22)," ")/IF(N$24*N$25*N22&gt;0,SQRT(COUNT(N$24:N$25,N22)),""),"")</f>
        <v/>
      </c>
    </row>
    <row r="77" customFormat="false" ht="15.75" hidden="false" customHeight="false" outlineLevel="0" collapsed="false">
      <c r="A77" s="220" t="s">
        <v>383</v>
      </c>
      <c r="B77" s="221"/>
      <c r="C77" s="222" t="str">
        <f aca="false">IFERROR(IF(C$24*C$25*C26&gt;0,AVERAGE(C$24:C$25,C26),""),"")</f>
        <v/>
      </c>
      <c r="D77" s="222" t="str">
        <f aca="false">IFERROR(IF(D$24*D$25*D26&gt;0,AVERAGE(D$24:D$25,D26),""),"")</f>
        <v/>
      </c>
      <c r="E77" s="222" t="str">
        <f aca="false">IFERROR(IF(E$24*E$25*E26&gt;0,AVERAGE(E$24:E$25,E26),""),"")</f>
        <v/>
      </c>
      <c r="F77" s="222" t="str">
        <f aca="false">IFERROR(IF(F$24*F$25*F26&gt;0,AVERAGE(F$24:F$25,F26),""),"")</f>
        <v/>
      </c>
      <c r="G77" s="222" t="str">
        <f aca="false">IFERROR(IF(G$24*G$25*G26&gt;0,AVERAGE(G$24:G$25,G26),""),"")</f>
        <v/>
      </c>
      <c r="H77" s="222" t="str">
        <f aca="false">IFERROR(IF(H$24*H$25*H26&gt;0,AVERAGE(H$24:H$25,H26),""),"")</f>
        <v/>
      </c>
      <c r="I77" s="222" t="str">
        <f aca="false">IFERROR(IF(I$24*I$25*I26&gt;0,AVERAGE(I$24:I$25,I26),""),"")</f>
        <v/>
      </c>
      <c r="J77" s="222" t="str">
        <f aca="false">IFERROR(IF(J$24*J$25*J26&gt;0,AVERAGE(J$24:J$25,J26),""),"")</f>
        <v/>
      </c>
      <c r="K77" s="222" t="str">
        <f aca="false">IFERROR(IF(K$24*K$25*K26&gt;0,AVERAGE(K$24:K$25,K26),""),"")</f>
        <v/>
      </c>
      <c r="L77" s="222" t="str">
        <f aca="false">IFERROR(IF(L$24*L$25*L26&gt;0,AVERAGE(L$24:L$25,L26),""),"")</f>
        <v/>
      </c>
      <c r="M77" s="222" t="str">
        <f aca="false">IFERROR(IF(M$24*M$25*M26&gt;0,AVERAGE(M$24:M$25,M26),""),"")</f>
        <v/>
      </c>
      <c r="N77" s="222" t="str">
        <f aca="false">IFERROR(IF(N$24*N$25*N26&gt;0,AVERAGE(N$24:N$25,N26),""),"")</f>
        <v/>
      </c>
      <c r="O77" s="253"/>
      <c r="P77" s="253"/>
      <c r="Q77" s="254"/>
      <c r="R77" s="226" t="s">
        <v>384</v>
      </c>
      <c r="S77" s="227" t="str">
        <f aca="false">IFERROR(IF(C$24*C$25*C26&gt;0,STDEV(C$24:C$25,C26),"")/IF(C$24*C$25*C26&gt;0,AVERAGE(C$24:C$25,C26),""),"")</f>
        <v/>
      </c>
      <c r="T77" s="227" t="str">
        <f aca="false">IFERROR(IF(D$24*D$25*D26&gt;0,STDEV(D$24:D$25,D26),"")/IF(D$24*D$25*D26&gt;0,AVERAGE(D$24:D$25,D26),""),"")</f>
        <v/>
      </c>
      <c r="U77" s="227" t="str">
        <f aca="false">IFERROR(IF(E$24*E$25*E26&gt;0,STDEV(E$24:E$25,E26),"")/IF(E$24*E$25*E26&gt;0,AVERAGE(E$24:E$25,E26),""),"")</f>
        <v/>
      </c>
      <c r="V77" s="227" t="str">
        <f aca="false">IFERROR(IF(F$24*F$25*F26&gt;0,STDEV(F$24:F$25,F26),"")/IF(F$24*F$25*F26&gt;0,AVERAGE(F$24:F$25,F26),""),"")</f>
        <v/>
      </c>
      <c r="W77" s="227" t="str">
        <f aca="false">IFERROR(IF(G$24*G$25*G26&gt;0,STDEV(G$24:G$25,G26),"")/IF(G$24*G$25*G26&gt;0,AVERAGE(G$24:G$25,G26),""),"")</f>
        <v/>
      </c>
      <c r="X77" s="227" t="str">
        <f aca="false">IFERROR(IF(H$24*H$25*H26&gt;0,STDEV(H$24:H$25,H26),"")/IF(H$24*H$25*H26&gt;0,AVERAGE(H$24:H$25,H26),""),"")</f>
        <v/>
      </c>
      <c r="Y77" s="227" t="str">
        <f aca="false">IFERROR(IF(I$24*I$25*I26&gt;0,STDEV(I$24:I$25,I26),"")/IF(I$24*I$25*I26&gt;0,AVERAGE(I$24:I$25,I26),""),"")</f>
        <v/>
      </c>
      <c r="Z77" s="227" t="str">
        <f aca="false">IFERROR(IF(J$24*J$25*J26&gt;0,STDEV(J$24:J$25,J26),"")/IF(J$24*J$25*J26&gt;0,AVERAGE(J$24:J$25,J26),""),"")</f>
        <v/>
      </c>
      <c r="AA77" s="227" t="str">
        <f aca="false">IFERROR(IF(K$24*K$25*K26&gt;0,STDEV(K$24:K$25,K26),"")/IF(K$24*K$25*K26&gt;0,AVERAGE(K$24:K$25,K26),""),"")</f>
        <v/>
      </c>
      <c r="AB77" s="227" t="str">
        <f aca="false">IFERROR(IF(L$24*L$25*L26&gt;0,STDEV(L$24:L$25,L26),"")/IF(L$24*L$25*L26&gt;0,AVERAGE(L$24:L$25,L26),""),"")</f>
        <v/>
      </c>
      <c r="AC77" s="227" t="str">
        <f aca="false">IFERROR(IF(M$24*M$25*M26&gt;0,STDEV(M$24:M$25,M26),"")/IF(M$24*M$25*M26&gt;0,AVERAGE(M$24:M$25,M26),""),"")</f>
        <v/>
      </c>
      <c r="AD77" s="227" t="str">
        <f aca="false">IFERROR(IF(N$24*N$25*N26&gt;0,STDEV(N$24:N$25,N26),"")/IF(N$24*N$25*N26&gt;0,AVERAGE(N$24:N$25,N26),""),"")</f>
        <v/>
      </c>
      <c r="AE77" s="233"/>
      <c r="AF77" s="229" t="s">
        <v>385</v>
      </c>
      <c r="AG77" s="230" t="str">
        <f aca="false">IFERROR(IF(C$24*C$25*C26&gt;0,STDEV(C$24:C$25,C26)," ")/IF(C$24*C$25*C26&gt;0,SQRT(COUNT(C$24:C$25,C26))," "),"")</f>
        <v/>
      </c>
      <c r="AH77" s="230" t="str">
        <f aca="false">IFERROR(IF(D$24*D$25*D26&gt;0,STDEV(D$24:D$25,D26)," ")/IF(D$24*D$25*D26&gt;0,SQRT(COUNT(D$24:D$25,D26))," "),"")</f>
        <v/>
      </c>
      <c r="AI77" s="230" t="str">
        <f aca="false">IFERROR(IF(E$24*E$25*E26&gt;0,STDEV(E$24:E$25,E26)," ")/IF(E$24*E$25*E26&gt;0,SQRT(COUNT(E$24:E$25,E26))," "),"")</f>
        <v/>
      </c>
      <c r="AJ77" s="230" t="str">
        <f aca="false">IFERROR(IF(F$24*F$25*F26&gt;0,STDEV(F$24:F$25,F26)," ")/IF(F$24*F$25*F26&gt;0,SQRT(COUNT(F$24:F$25,F26))," "),"")</f>
        <v/>
      </c>
      <c r="AK77" s="230" t="str">
        <f aca="false">IFERROR(IF(G$24*G$25*G26&gt;0,STDEV(G$24:G$25,G26)," ")/IF(G$24*G$25*G26&gt;0,SQRT(COUNT(G$24:G$25,G26))," "),"")</f>
        <v/>
      </c>
      <c r="AL77" s="230" t="str">
        <f aca="false">IFERROR(IF(H$24*H$25*H26&gt;0,STDEV(H$24:H$25,H26)," ")/IF(H$24*H$25*H26&gt;0,SQRT(COUNT(H$24:H$25,H26))," "),"")</f>
        <v/>
      </c>
      <c r="AM77" s="230" t="str">
        <f aca="false">IFERROR(IF(I$24*I$25*I26&gt;0,STDEV(I$24:I$25,I26)," ")/IF(I$24*I$25*I26&gt;0,SQRT(COUNT(I$24:I$25,I26))," "),"")</f>
        <v/>
      </c>
      <c r="AN77" s="230" t="str">
        <f aca="false">IFERROR(IF(J$24*J$25*J26&gt;0,STDEV(J$24:J$25,J26)," ")/IF(J$24*J$25*J26&gt;0,SQRT(COUNT(J$24:J$25,J26))," "),"")</f>
        <v/>
      </c>
      <c r="AO77" s="230" t="str">
        <f aca="false">IFERROR(IF(K$24*K$25*K26&gt;0,STDEV(K$24:K$25,K26)," ")/IF(K$24*K$25*K26&gt;0,SQRT(COUNT(K$24:K$25,K26))," "),"")</f>
        <v/>
      </c>
      <c r="AP77" s="230" t="str">
        <f aca="false">IFERROR(IF(L$24*L$25*L26&gt;0,STDEV(L$24:L$25,L26)," ")/IF(L$24*L$25*L26&gt;0,SQRT(COUNT(L$24:L$25,L26))," "),"")</f>
        <v/>
      </c>
      <c r="AQ77" s="230" t="str">
        <f aca="false">IFERROR(IF(M$24*M$25*M26&gt;0,STDEV(M$24:M$25,M26)," ")/IF(M$24*M$25*M26&gt;0,SQRT(COUNT(M$24:M$25,M26))," "),"")</f>
        <v/>
      </c>
      <c r="AR77" s="230" t="str">
        <f aca="false">IFERROR(IF(N$24*N$25*N26&gt;0,STDEV(N$24:N$25,N26)," ")/IF(N$24*N$25*N26&gt;0,SQRT(COUNT(N$24:N$25,N26))," "),"")</f>
        <v/>
      </c>
    </row>
    <row r="78" customFormat="false" ht="15.75" hidden="false" customHeight="false" outlineLevel="0" collapsed="false">
      <c r="A78" s="220" t="s">
        <v>386</v>
      </c>
      <c r="B78" s="221"/>
      <c r="C78" s="222" t="str">
        <f aca="false">IFERROR(IF(C$24*C$25*C27&gt;0,AVERAGE(C$24:C$25,C27),""),"")</f>
        <v/>
      </c>
      <c r="D78" s="222" t="str">
        <f aca="false">IFERROR(IF(D$24*D$25*D27&gt;0,AVERAGE(D$24:D$25,D27),""),"")</f>
        <v/>
      </c>
      <c r="E78" s="222" t="str">
        <f aca="false">IFERROR(IF(E$24*E$25*E27&gt;0,AVERAGE(E$24:E$25,E27),""),"")</f>
        <v/>
      </c>
      <c r="F78" s="222" t="str">
        <f aca="false">IFERROR(IF(F$24*F$25*F27&gt;0,AVERAGE(F$24:F$25,F27),""),"")</f>
        <v/>
      </c>
      <c r="G78" s="222" t="str">
        <f aca="false">IFERROR(IF(G$24*G$25*G27&gt;0,AVERAGE(G$24:G$25,G27),""),"")</f>
        <v/>
      </c>
      <c r="H78" s="222" t="str">
        <f aca="false">IFERROR(IF(H$24*H$25*H27&gt;0,AVERAGE(H$24:H$25,H27),""),"")</f>
        <v/>
      </c>
      <c r="I78" s="222" t="str">
        <f aca="false">IFERROR(IF(I$24*I$25*I27&gt;0,AVERAGE(I$24:I$25,I27),""),"")</f>
        <v/>
      </c>
      <c r="J78" s="222" t="str">
        <f aca="false">IFERROR(IF(J$24*J$25*J27&gt;0,AVERAGE(J$24:J$25,J27),""),"")</f>
        <v/>
      </c>
      <c r="K78" s="222" t="str">
        <f aca="false">IFERROR(IF(K$24*K$25*K27&gt;0,AVERAGE(K$24:K$25,K27),""),"")</f>
        <v/>
      </c>
      <c r="L78" s="222" t="str">
        <f aca="false">IFERROR(IF(L$24*L$25*L27&gt;0,AVERAGE(L$24:L$25,L27),""),"")</f>
        <v/>
      </c>
      <c r="M78" s="222" t="str">
        <f aca="false">IFERROR(IF(M$24*M$25*M27&gt;0,AVERAGE(M$24:M$25,M27),""),"")</f>
        <v/>
      </c>
      <c r="N78" s="222" t="str">
        <f aca="false">IFERROR(IF(N$24*N$25*N27&gt;0,AVERAGE(N$24:N$25,N27),""),"")</f>
        <v/>
      </c>
      <c r="O78" s="253"/>
      <c r="P78" s="253"/>
      <c r="Q78" s="254"/>
      <c r="R78" s="226" t="s">
        <v>387</v>
      </c>
      <c r="S78" s="227" t="str">
        <f aca="false">IFERROR(IF(C$24*C$25*C27&gt;0,STDEV(C$24:C$25,C27),"")/IF(C$24*C$25*C27&gt;0,AVERAGE(C$24:C$25,C27),""),"")</f>
        <v/>
      </c>
      <c r="T78" s="227" t="str">
        <f aca="false">IFERROR(IF(D$24*D$25*D27&gt;0,STDEV(D$24:D$25,D27),"")/IF(D$24*D$25*D27&gt;0,AVERAGE(D$24:D$25,D27),""),"")</f>
        <v/>
      </c>
      <c r="U78" s="227" t="str">
        <f aca="false">IFERROR(IF(E$24*E$25*E27&gt;0,STDEV(E$24:E$25,E27),"")/IF(E$24*E$25*E27&gt;0,AVERAGE(E$24:E$25,E27),""),"")</f>
        <v/>
      </c>
      <c r="V78" s="227" t="str">
        <f aca="false">IFERROR(IF(F$24*F$25*F27&gt;0,STDEV(F$24:F$25,F27),"")/IF(F$24*F$25*F27&gt;0,AVERAGE(F$24:F$25,F27),""),"")</f>
        <v/>
      </c>
      <c r="W78" s="227" t="str">
        <f aca="false">IFERROR(IF(G$24*G$25*G27&gt;0,STDEV(G$24:G$25,G27),"")/IF(G$24*G$25*G27&gt;0,AVERAGE(G$24:G$25,G27),""),"")</f>
        <v/>
      </c>
      <c r="X78" s="227" t="str">
        <f aca="false">IFERROR(IF(H$24*H$25*H27&gt;0,STDEV(H$24:H$25,H27),"")/IF(H$24*H$25*H27&gt;0,AVERAGE(H$24:H$25,H27),""),"")</f>
        <v/>
      </c>
      <c r="Y78" s="227" t="str">
        <f aca="false">IFERROR(IF(I$24*I$25*I27&gt;0,STDEV(I$24:I$25,I27),"")/IF(I$24*I$25*I27&gt;0,AVERAGE(I$24:I$25,I27),""),"")</f>
        <v/>
      </c>
      <c r="Z78" s="227" t="str">
        <f aca="false">IFERROR(IF(J$24*J$25*J27&gt;0,STDEV(J$24:J$25,J27),"")/IF(J$24*J$25*J27&gt;0,AVERAGE(J$24:J$25,J27),""),"")</f>
        <v/>
      </c>
      <c r="AA78" s="227" t="str">
        <f aca="false">IFERROR(IF(K$24*K$25*K27&gt;0,STDEV(K$24:K$25,K27),"")/IF(K$24*K$25*K27&gt;0,AVERAGE(K$24:K$25,K27),""),"")</f>
        <v/>
      </c>
      <c r="AB78" s="227" t="str">
        <f aca="false">IFERROR(IF(L$24*L$25*L27&gt;0,STDEV(L$24:L$25,L27),"")/IF(L$24*L$25*L27&gt;0,AVERAGE(L$24:L$25,L27),""),"")</f>
        <v/>
      </c>
      <c r="AC78" s="227" t="str">
        <f aca="false">IFERROR(IF(M$24*M$25*M27&gt;0,STDEV(M$24:M$25,M27),"")/IF(M$24*M$25*M27&gt;0,AVERAGE(M$24:M$25,M27),""),"")</f>
        <v/>
      </c>
      <c r="AD78" s="227" t="str">
        <f aca="false">IFERROR(IF(N$24*N$25*N27&gt;0,STDEV(N$24:N$25,N27),"")/IF(N$24*N$25*N27&gt;0,AVERAGE(N$24:N$25,N27),""),"")</f>
        <v/>
      </c>
      <c r="AE78" s="233"/>
      <c r="AF78" s="229" t="s">
        <v>388</v>
      </c>
      <c r="AG78" s="230" t="str">
        <f aca="false">IFERROR(IF(C$24*C$25*C27&gt;0,STDEV(C$24:C$25,C27)," ")/IF(C$24*C$25*C27&gt;0,SQRT(COUNT(C$24:C$25,C27))," "),"")</f>
        <v/>
      </c>
      <c r="AH78" s="230" t="str">
        <f aca="false">IFERROR(IF(D$24*D$25*D27&gt;0,STDEV(D$24:D$25,D27)," ")/IF(D$24*D$25*D27&gt;0,SQRT(COUNT(D$24:D$25,D27))," "),"")</f>
        <v/>
      </c>
      <c r="AI78" s="230" t="str">
        <f aca="false">IFERROR(IF(E$24*E$25*E27&gt;0,STDEV(E$24:E$25,E27)," ")/IF(E$24*E$25*E27&gt;0,SQRT(COUNT(E$24:E$25,E27))," "),"")</f>
        <v/>
      </c>
      <c r="AJ78" s="230" t="str">
        <f aca="false">IFERROR(IF(F$24*F$25*F27&gt;0,STDEV(F$24:F$25,F27)," ")/IF(F$24*F$25*F27&gt;0,SQRT(COUNT(F$24:F$25,F27))," "),"")</f>
        <v/>
      </c>
      <c r="AK78" s="230" t="str">
        <f aca="false">IFERROR(IF(G$24*G$25*G27&gt;0,STDEV(G$24:G$25,G27)," ")/IF(G$24*G$25*G27&gt;0,SQRT(COUNT(G$24:G$25,G27))," "),"")</f>
        <v/>
      </c>
      <c r="AL78" s="230" t="str">
        <f aca="false">IFERROR(IF(H$24*H$25*H27&gt;0,STDEV(H$24:H$25,H27)," ")/IF(H$24*H$25*H27&gt;0,SQRT(COUNT(H$24:H$25,H27))," "),"")</f>
        <v/>
      </c>
      <c r="AM78" s="230" t="str">
        <f aca="false">IFERROR(IF(I$24*I$25*I27&gt;0,STDEV(I$24:I$25,I27)," ")/IF(I$24*I$25*I27&gt;0,SQRT(COUNT(I$24:I$25,I27))," "),"")</f>
        <v/>
      </c>
      <c r="AN78" s="230" t="str">
        <f aca="false">IFERROR(IF(J$24*J$25*J27&gt;0,STDEV(J$24:J$25,J27)," ")/IF(J$24*J$25*J27&gt;0,SQRT(COUNT(J$24:J$25,J27))," "),"")</f>
        <v/>
      </c>
      <c r="AO78" s="230" t="str">
        <f aca="false">IFERROR(IF(K$24*K$25*K27&gt;0,STDEV(K$24:K$25,K27)," ")/IF(K$24*K$25*K27&gt;0,SQRT(COUNT(K$24:K$25,K27))," "),"")</f>
        <v/>
      </c>
      <c r="AP78" s="230" t="str">
        <f aca="false">IFERROR(IF(L$24*L$25*L27&gt;0,STDEV(L$24:L$25,L27)," ")/IF(L$24*L$25*L27&gt;0,SQRT(COUNT(L$24:L$25,L27))," "),"")</f>
        <v/>
      </c>
      <c r="AQ78" s="230" t="str">
        <f aca="false">IFERROR(IF(M$24*M$25*M27&gt;0,STDEV(M$24:M$25,M27)," ")/IF(M$24*M$25*M27&gt;0,SQRT(COUNT(M$24:M$25,M27))," "),"")</f>
        <v/>
      </c>
      <c r="AR78" s="230" t="str">
        <f aca="false">IFERROR(IF(N$24*N$25*N27&gt;0,STDEV(N$24:N$25,N27)," ")/IF(N$24*N$25*N27&gt;0,SQRT(COUNT(N$24:N$25,N27))," "),"")</f>
        <v/>
      </c>
    </row>
    <row r="79" customFormat="false" ht="15.75" hidden="false" customHeight="false" outlineLevel="0" collapsed="false">
      <c r="A79" s="220" t="s">
        <v>389</v>
      </c>
      <c r="B79" s="221"/>
      <c r="C79" s="222" t="str">
        <f aca="false">IFERROR(IF(C$25*C$26*C21&gt;0,AVERAGE(C$25:C$26,C21),""),"")</f>
        <v/>
      </c>
      <c r="D79" s="222" t="str">
        <f aca="false">IFERROR(IF(D$25*D$26*D21&gt;0,AVERAGE(D$25:D$26,D21),""),"")</f>
        <v/>
      </c>
      <c r="E79" s="222" t="str">
        <f aca="false">IFERROR(IF(E$25*E$26*E21&gt;0,AVERAGE(E$25:E$26,E21),""),"")</f>
        <v/>
      </c>
      <c r="F79" s="222" t="str">
        <f aca="false">IFERROR(IF(F$25*F$26*F21&gt;0,AVERAGE(F$25:F$26,F21),""),"")</f>
        <v/>
      </c>
      <c r="G79" s="222" t="str">
        <f aca="false">IFERROR(IF(G$25*G$26*G21&gt;0,AVERAGE(G$25:G$26,G21),""),"")</f>
        <v/>
      </c>
      <c r="H79" s="222" t="str">
        <f aca="false">IFERROR(IF(H$25*H$26*H21&gt;0,AVERAGE(H$25:H$26,H21),""),"")</f>
        <v/>
      </c>
      <c r="I79" s="222" t="str">
        <f aca="false">IFERROR(IF(I$25*I$26*I21&gt;0,AVERAGE(I$25:I$26,I21),""),"")</f>
        <v/>
      </c>
      <c r="J79" s="222" t="str">
        <f aca="false">IFERROR(IF(J$25*J$26*J21&gt;0,AVERAGE(J$25:J$26,J21),""),"")</f>
        <v/>
      </c>
      <c r="K79" s="222" t="str">
        <f aca="false">IFERROR(IF(K$25*K$26*K21&gt;0,AVERAGE(K$25:K$26,K21),""),"")</f>
        <v/>
      </c>
      <c r="L79" s="222" t="str">
        <f aca="false">IFERROR(IF(L$25*L$26*L21&gt;0,AVERAGE(L$25:L$26,L21),""),"")</f>
        <v/>
      </c>
      <c r="M79" s="222" t="str">
        <f aca="false">IFERROR(IF(M$25*M$26*M21&gt;0,AVERAGE(M$25:M$26,M21),""),"")</f>
        <v/>
      </c>
      <c r="N79" s="222" t="str">
        <f aca="false">IFERROR(IF(N$25*N$26*N21&gt;0,AVERAGE(N$25:N$26,N21),""),"")</f>
        <v/>
      </c>
      <c r="O79" s="253"/>
      <c r="P79" s="253"/>
      <c r="Q79" s="254"/>
      <c r="R79" s="226" t="s">
        <v>390</v>
      </c>
      <c r="S79" s="227" t="str">
        <f aca="false">IFERROR(IF(C$25*C$26*C21&gt;0,STDEV(C$25:C$26,C21),"")/IF(C$25*C$26*C21&gt;0,AVERAGE(C$25:C$26,C21),""),"")</f>
        <v/>
      </c>
      <c r="T79" s="227" t="str">
        <f aca="false">IFERROR(IF(D$25*D$26*D21&gt;0,STDEV(D$25:D$26,D21),"")/IF(D$25*D$26*D21&gt;0,AVERAGE(D$25:D$26,D21),""),"")</f>
        <v/>
      </c>
      <c r="U79" s="227" t="str">
        <f aca="false">IFERROR(IF(E$25*E$26*E21&gt;0,STDEV(E$25:E$26,E21),"")/IF(E$25*E$26*E21&gt;0,AVERAGE(E$25:E$26,E21),""),"")</f>
        <v/>
      </c>
      <c r="V79" s="227" t="str">
        <f aca="false">IFERROR(IF(F$25*F$26*F21&gt;0,STDEV(F$25:F$26,F21),"")/IF(F$25*F$26*F21&gt;0,AVERAGE(F$25:F$26,F21),""),"")</f>
        <v/>
      </c>
      <c r="W79" s="227" t="str">
        <f aca="false">IFERROR(IF(G$25*G$26*G21&gt;0,STDEV(G$25:G$26,G21),"")/IF(G$25*G$26*G21&gt;0,AVERAGE(G$25:G$26,G21),""),"")</f>
        <v/>
      </c>
      <c r="X79" s="227" t="str">
        <f aca="false">IFERROR(IF(H$25*H$26*H21&gt;0,STDEV(H$25:H$26,H21),"")/IF(H$25*H$26*H21&gt;0,AVERAGE(H$25:H$26,H21),""),"")</f>
        <v/>
      </c>
      <c r="Y79" s="227" t="str">
        <f aca="false">IFERROR(IF(I$25*I$26*I21&gt;0,STDEV(I$25:I$26,I21),"")/IF(I$25*I$26*I21&gt;0,AVERAGE(I$25:I$26,I21),""),"")</f>
        <v/>
      </c>
      <c r="Z79" s="227" t="str">
        <f aca="false">IFERROR(IF(J$25*J$26*J21&gt;0,STDEV(J$25:J$26,J21),"")/IF(J$25*J$26*J21&gt;0,AVERAGE(J$25:J$26,J21),""),"")</f>
        <v/>
      </c>
      <c r="AA79" s="227" t="str">
        <f aca="false">IFERROR(IF(K$25*K$26*K21&gt;0,STDEV(K$25:K$26,K21),"")/IF(K$25*K$26*K21&gt;0,AVERAGE(K$25:K$26,K21),""),"")</f>
        <v/>
      </c>
      <c r="AB79" s="227" t="str">
        <f aca="false">IFERROR(IF(L$25*L$26*L21&gt;0,STDEV(L$25:L$26,L21),"")/IF(L$25*L$26*L21&gt;0,AVERAGE(L$25:L$26,L21),""),"")</f>
        <v/>
      </c>
      <c r="AC79" s="227" t="str">
        <f aca="false">IFERROR(IF(M$25*M$26*M21&gt;0,STDEV(M$25:M$26,M21),"")/IF(M$25*M$26*M21&gt;0,AVERAGE(M$25:M$26,M21),""),"")</f>
        <v/>
      </c>
      <c r="AD79" s="227" t="str">
        <f aca="false">IFERROR(IF(N$25*N$26*N21&gt;0,STDEV(N$25:N$26,N21),"")/IF(N$25*N$26*N21&gt;0,AVERAGE(N$25:N$26,N21),""),"")</f>
        <v/>
      </c>
      <c r="AE79" s="233"/>
      <c r="AF79" s="229" t="s">
        <v>391</v>
      </c>
      <c r="AG79" s="230" t="str">
        <f aca="false">IFERROR(IF(C$25*C$26*C21&gt;0,STDEV(C$25:C$26,C21)," ")/IF(C$25*C$26*C21&gt;0,SQRT(COUNT(C$25:C$26,C21))," "),"")</f>
        <v/>
      </c>
      <c r="AH79" s="230" t="str">
        <f aca="false">IFERROR(IF(D$25*D$26*D21&gt;0,STDEV(D$25:D$26,D21)," ")/IF(D$25*D$26*D21&gt;0,SQRT(COUNT(D$25:D$26,D21))," "),"")</f>
        <v/>
      </c>
      <c r="AI79" s="230" t="str">
        <f aca="false">IFERROR(IF(E$25*E$26*E21&gt;0,STDEV(E$25:E$26,E21)," ")/IF(E$25*E$26*E21&gt;0,SQRT(COUNT(E$25:E$26,E21))," "),"")</f>
        <v/>
      </c>
      <c r="AJ79" s="230" t="str">
        <f aca="false">IFERROR(IF(F$25*F$26*F21&gt;0,STDEV(F$25:F$26,F21)," ")/IF(F$25*F$26*F21&gt;0,SQRT(COUNT(F$25:F$26,F21))," "),"")</f>
        <v/>
      </c>
      <c r="AK79" s="230" t="str">
        <f aca="false">IFERROR(IF(G$25*G$26*G21&gt;0,STDEV(G$25:G$26,G21)," ")/IF(G$25*G$26*G21&gt;0,SQRT(COUNT(G$25:G$26,G21))," "),"")</f>
        <v/>
      </c>
      <c r="AL79" s="230" t="str">
        <f aca="false">IFERROR(IF(H$25*H$26*H21&gt;0,STDEV(H$25:H$26,H21)," ")/IF(H$25*H$26*H21&gt;0,SQRT(COUNT(H$25:H$26,H21))," "),"")</f>
        <v/>
      </c>
      <c r="AM79" s="230" t="str">
        <f aca="false">IFERROR(IF(I$25*I$26*I21&gt;0,STDEV(I$25:I$26,I21)," ")/IF(I$25*I$26*I21&gt;0,SQRT(COUNT(I$25:I$26,I21))," "),"")</f>
        <v/>
      </c>
      <c r="AN79" s="230" t="str">
        <f aca="false">IFERROR(IF(J$25*J$26*J21&gt;0,STDEV(J$25:J$26,J21)," ")/IF(J$25*J$26*J21&gt;0,SQRT(COUNT(J$25:J$26,J21))," "),"")</f>
        <v/>
      </c>
      <c r="AO79" s="230" t="str">
        <f aca="false">IFERROR(IF(K$25*K$26*K21&gt;0,STDEV(K$25:K$26,K21)," ")/IF(K$25*K$26*K21&gt;0,SQRT(COUNT(K$25:K$26,K21))," "),"")</f>
        <v/>
      </c>
      <c r="AP79" s="230" t="str">
        <f aca="false">IFERROR(IF(L$25*L$26*L21&gt;0,STDEV(L$25:L$26,L21)," ")/IF(L$25*L$26*L21&gt;0,SQRT(COUNT(L$25:L$26,L21))," "),"")</f>
        <v/>
      </c>
      <c r="AQ79" s="230" t="str">
        <f aca="false">IFERROR(IF(M$25*M$26*M21&gt;0,STDEV(M$25:M$26,M21)," ")/IF(M$25*M$26*M21&gt;0,SQRT(COUNT(M$25:M$26,M21))," "),"")</f>
        <v/>
      </c>
      <c r="AR79" s="230" t="str">
        <f aca="false">IFERROR(IF(N$25*N$26*N21&gt;0,STDEV(N$25:N$26,N21)," ")/IF(N$25*N$26*N21&gt;0,SQRT(COUNT(N$25:N$26,N21))," "),"")</f>
        <v/>
      </c>
    </row>
    <row r="80" customFormat="false" ht="15.75" hidden="false" customHeight="false" outlineLevel="0" collapsed="false">
      <c r="A80" s="220" t="s">
        <v>392</v>
      </c>
      <c r="B80" s="221"/>
      <c r="C80" s="222" t="str">
        <f aca="false">IFERROR(IF(C$25*C$26*C22&gt;0,AVERAGE(C$25:C$26,C22),""),"")</f>
        <v/>
      </c>
      <c r="D80" s="222" t="str">
        <f aca="false">IFERROR(IF(D$25*D$26*D22&gt;0,AVERAGE(D$25:D$26,D22),""),"")</f>
        <v/>
      </c>
      <c r="E80" s="222" t="str">
        <f aca="false">IFERROR(IF(E$25*E$26*E22&gt;0,AVERAGE(E$25:E$26,E22),""),"")</f>
        <v/>
      </c>
      <c r="F80" s="222" t="str">
        <f aca="false">IFERROR(IF(F$25*F$26*F22&gt;0,AVERAGE(F$25:F$26,F22),""),"")</f>
        <v/>
      </c>
      <c r="G80" s="222" t="str">
        <f aca="false">IFERROR(IF(G$25*G$26*G22&gt;0,AVERAGE(G$25:G$26,G22),""),"")</f>
        <v/>
      </c>
      <c r="H80" s="222" t="str">
        <f aca="false">IFERROR(IF(H$25*H$26*H22&gt;0,AVERAGE(H$25:H$26,H22),""),"")</f>
        <v/>
      </c>
      <c r="I80" s="222" t="str">
        <f aca="false">IFERROR(IF(I$25*I$26*I22&gt;0,AVERAGE(I$25:I$26,I22),""),"")</f>
        <v/>
      </c>
      <c r="J80" s="222" t="str">
        <f aca="false">IFERROR(IF(J$25*J$26*J22&gt;0,AVERAGE(J$25:J$26,J22),""),"")</f>
        <v/>
      </c>
      <c r="K80" s="222" t="str">
        <f aca="false">IFERROR(IF(K$25*K$26*K22&gt;0,AVERAGE(K$25:K$26,K22),""),"")</f>
        <v/>
      </c>
      <c r="L80" s="222" t="str">
        <f aca="false">IFERROR(IF(L$25*L$26*L22&gt;0,AVERAGE(L$25:L$26,L22),""),"")</f>
        <v/>
      </c>
      <c r="M80" s="222" t="str">
        <f aca="false">IFERROR(IF(M$25*M$26*M22&gt;0,AVERAGE(M$25:M$26,M22),""),"")</f>
        <v/>
      </c>
      <c r="N80" s="222" t="str">
        <f aca="false">IFERROR(IF(N$25*N$26*N22&gt;0,AVERAGE(N$25:N$26,N22),""),"")</f>
        <v/>
      </c>
      <c r="O80" s="253"/>
      <c r="P80" s="253"/>
      <c r="Q80" s="254"/>
      <c r="R80" s="226" t="s">
        <v>393</v>
      </c>
      <c r="S80" s="227" t="str">
        <f aca="false">IFERROR(IF(C$25*C$26*C22&gt;0,STDEV(C$25:C$26,C22),"")/IF(C$25*C$26*C22&gt;0,AVERAGE(C$25:C$26,C22),""),"")</f>
        <v/>
      </c>
      <c r="T80" s="227" t="str">
        <f aca="false">IFERROR(IF(D$25*D$26*D22&gt;0,STDEV(D$25:D$26,D22),"")/IF(D$25*D$26*D22&gt;0,AVERAGE(D$25:D$26,D22),""),"")</f>
        <v/>
      </c>
      <c r="U80" s="227" t="str">
        <f aca="false">IFERROR(IF(E$25*E$26*E22&gt;0,STDEV(E$25:E$26,E22),"")/IF(E$25*E$26*E22&gt;0,AVERAGE(E$25:E$26,E22),""),"")</f>
        <v/>
      </c>
      <c r="V80" s="227" t="str">
        <f aca="false">IFERROR(IF(F$25*F$26*F22&gt;0,STDEV(F$25:F$26,F22),"")/IF(F$25*F$26*F22&gt;0,AVERAGE(F$25:F$26,F22),""),"")</f>
        <v/>
      </c>
      <c r="W80" s="227" t="str">
        <f aca="false">IFERROR(IF(G$25*G$26*G22&gt;0,STDEV(G$25:G$26,G22),"")/IF(G$25*G$26*G22&gt;0,AVERAGE(G$25:G$26,G22),""),"")</f>
        <v/>
      </c>
      <c r="X80" s="227" t="str">
        <f aca="false">IFERROR(IF(H$25*H$26*H22&gt;0,STDEV(H$25:H$26,H22),"")/IF(H$25*H$26*H22&gt;0,AVERAGE(H$25:H$26,H22),""),"")</f>
        <v/>
      </c>
      <c r="Y80" s="227" t="str">
        <f aca="false">IFERROR(IF(I$25*I$26*I22&gt;0,STDEV(I$25:I$26,I22),"")/IF(I$25*I$26*I22&gt;0,AVERAGE(I$25:I$26,I22),""),"")</f>
        <v/>
      </c>
      <c r="Z80" s="227" t="str">
        <f aca="false">IFERROR(IF(J$25*J$26*J22&gt;0,STDEV(J$25:J$26,J22),"")/IF(J$25*J$26*J22&gt;0,AVERAGE(J$25:J$26,J22),""),"")</f>
        <v/>
      </c>
      <c r="AA80" s="227" t="str">
        <f aca="false">IFERROR(IF(K$25*K$26*K22&gt;0,STDEV(K$25:K$26,K22),"")/IF(K$25*K$26*K22&gt;0,AVERAGE(K$25:K$26,K22),""),"")</f>
        <v/>
      </c>
      <c r="AB80" s="227" t="str">
        <f aca="false">IFERROR(IF(L$25*L$26*L22&gt;0,STDEV(L$25:L$26,L22),"")/IF(L$25*L$26*L22&gt;0,AVERAGE(L$25:L$26,L22),""),"")</f>
        <v/>
      </c>
      <c r="AC80" s="227" t="str">
        <f aca="false">IFERROR(IF(M$25*M$26*M22&gt;0,STDEV(M$25:M$26,M22),"")/IF(M$25*M$26*M22&gt;0,AVERAGE(M$25:M$26,M22),""),"")</f>
        <v/>
      </c>
      <c r="AD80" s="227" t="str">
        <f aca="false">IFERROR(IF(N$25*N$26*N22&gt;0,STDEV(N$25:N$26,N22),"")/IF(N$25*N$26*N22&gt;0,AVERAGE(N$25:N$26,N22),""),"")</f>
        <v/>
      </c>
      <c r="AE80" s="233"/>
      <c r="AF80" s="229" t="s">
        <v>394</v>
      </c>
      <c r="AG80" s="230" t="str">
        <f aca="false">IFERROR(IF(C$25*C$26*C22&gt;0,STDEV(C$25:C$26,C22)," ")/IF(C$25*C$26*C22&gt;0,SQRT(COUNT(C$25:C$26,C22))," "),"")</f>
        <v/>
      </c>
      <c r="AH80" s="230" t="str">
        <f aca="false">IFERROR(IF(D$25*D$26*D22&gt;0,STDEV(D$25:D$26,D22)," ")/IF(D$25*D$26*D22&gt;0,SQRT(COUNT(D$25:D$26,D22))," "),"")</f>
        <v/>
      </c>
      <c r="AI80" s="230" t="str">
        <f aca="false">IFERROR(IF(E$25*E$26*E22&gt;0,STDEV(E$25:E$26,E22)," ")/IF(E$25*E$26*E22&gt;0,SQRT(COUNT(E$25:E$26,E22))," "),"")</f>
        <v/>
      </c>
      <c r="AJ80" s="230" t="str">
        <f aca="false">IFERROR(IF(F$25*F$26*F22&gt;0,STDEV(F$25:F$26,F22)," ")/IF(F$25*F$26*F22&gt;0,SQRT(COUNT(F$25:F$26,F22))," "),"")</f>
        <v/>
      </c>
      <c r="AK80" s="230" t="str">
        <f aca="false">IFERROR(IF(G$25*G$26*G22&gt;0,STDEV(G$25:G$26,G22)," ")/IF(G$25*G$26*G22&gt;0,SQRT(COUNT(G$25:G$26,G22))," "),"")</f>
        <v/>
      </c>
      <c r="AL80" s="230" t="str">
        <f aca="false">IFERROR(IF(H$25*H$26*H22&gt;0,STDEV(H$25:H$26,H22)," ")/IF(H$25*H$26*H22&gt;0,SQRT(COUNT(H$25:H$26,H22))," "),"")</f>
        <v/>
      </c>
      <c r="AM80" s="230" t="str">
        <f aca="false">IFERROR(IF(I$25*I$26*I22&gt;0,STDEV(I$25:I$26,I22)," ")/IF(I$25*I$26*I22&gt;0,SQRT(COUNT(I$25:I$26,I22))," "),"")</f>
        <v/>
      </c>
      <c r="AN80" s="230" t="str">
        <f aca="false">IFERROR(IF(J$25*J$26*J22&gt;0,STDEV(J$25:J$26,J22)," ")/IF(J$25*J$26*J22&gt;0,SQRT(COUNT(J$25:J$26,J22))," "),"")</f>
        <v/>
      </c>
      <c r="AO80" s="230" t="str">
        <f aca="false">IFERROR(IF(K$25*K$26*K22&gt;0,STDEV(K$25:K$26,K22)," ")/IF(K$25*K$26*K22&gt;0,SQRT(COUNT(K$25:K$26,K22))," "),"")</f>
        <v/>
      </c>
      <c r="AP80" s="230" t="str">
        <f aca="false">IFERROR(IF(L$25*L$26*L22&gt;0,STDEV(L$25:L$26,L22)," ")/IF(L$25*L$26*L22&gt;0,SQRT(COUNT(L$25:L$26,L22))," "),"")</f>
        <v/>
      </c>
      <c r="AQ80" s="230" t="str">
        <f aca="false">IFERROR(IF(M$25*M$26*M22&gt;0,STDEV(M$25:M$26,M22)," ")/IF(M$25*M$26*M22&gt;0,SQRT(COUNT(M$25:M$26,M22))," "),"")</f>
        <v/>
      </c>
      <c r="AR80" s="230" t="str">
        <f aca="false">IFERROR(IF(N$25*N$26*N22&gt;0,STDEV(N$25:N$26,N22)," ")/IF(N$25*N$26*N22&gt;0,SQRT(COUNT(N$25:N$26,N22))," "),"")</f>
        <v/>
      </c>
    </row>
    <row r="81" customFormat="false" ht="15.75" hidden="false" customHeight="false" outlineLevel="0" collapsed="false">
      <c r="A81" s="220" t="s">
        <v>395</v>
      </c>
      <c r="B81" s="221"/>
      <c r="C81" s="222" t="str">
        <f aca="false">IFERROR(IF(C$25*C$26*C23&gt;0,AVERAGE(C$25:C$26,C23),""),"")</f>
        <v/>
      </c>
      <c r="D81" s="222" t="str">
        <f aca="false">IFERROR(IF(D$25*D$26*D23&gt;0,AVERAGE(D$25:D$26,D23),""),"")</f>
        <v/>
      </c>
      <c r="E81" s="222" t="str">
        <f aca="false">IFERROR(IF(E$25*E$26*E23&gt;0,AVERAGE(E$25:E$26,E23),""),"")</f>
        <v/>
      </c>
      <c r="F81" s="222" t="str">
        <f aca="false">IFERROR(IF(F$25*F$26*F23&gt;0,AVERAGE(F$25:F$26,F23),""),"")</f>
        <v/>
      </c>
      <c r="G81" s="222" t="str">
        <f aca="false">IFERROR(IF(G$25*G$26*G23&gt;0,AVERAGE(G$25:G$26,G23),""),"")</f>
        <v/>
      </c>
      <c r="H81" s="222" t="str">
        <f aca="false">IFERROR(IF(H$25*H$26*H23&gt;0,AVERAGE(H$25:H$26,H23),""),"")</f>
        <v/>
      </c>
      <c r="I81" s="222" t="str">
        <f aca="false">IFERROR(IF(I$25*I$26*I23&gt;0,AVERAGE(I$25:I$26,I23),""),"")</f>
        <v/>
      </c>
      <c r="J81" s="222" t="str">
        <f aca="false">IFERROR(IF(J$25*J$26*J23&gt;0,AVERAGE(J$25:J$26,J23),""),"")</f>
        <v/>
      </c>
      <c r="K81" s="222" t="str">
        <f aca="false">IFERROR(IF(K$25*K$26*K23&gt;0,AVERAGE(K$25:K$26,K23),""),"")</f>
        <v/>
      </c>
      <c r="L81" s="222" t="str">
        <f aca="false">IFERROR(IF(L$25*L$26*L23&gt;0,AVERAGE(L$25:L$26,L23),""),"")</f>
        <v/>
      </c>
      <c r="M81" s="222" t="str">
        <f aca="false">IFERROR(IF(M$25*M$26*M23&gt;0,AVERAGE(M$25:M$26,M23),""),"")</f>
        <v/>
      </c>
      <c r="N81" s="222" t="str">
        <f aca="false">IFERROR(IF(N$25*N$26*N23&gt;0,AVERAGE(N$25:N$26,N23),""),"")</f>
        <v/>
      </c>
      <c r="O81" s="253"/>
      <c r="P81" s="253"/>
      <c r="Q81" s="254"/>
      <c r="R81" s="226" t="s">
        <v>396</v>
      </c>
      <c r="S81" s="227" t="str">
        <f aca="false">IFERROR(IF(C$25*C$26*C23&gt;0,STDEV(C$25:C$26,C23),"")/IF(C$25*C$26*C23&gt;0,AVERAGE(C$25:C$26,C23),""),"")</f>
        <v/>
      </c>
      <c r="T81" s="227" t="str">
        <f aca="false">IFERROR(IF(D$25*D$26*D23&gt;0,STDEV(D$25:D$26,D23),"")/IF(D$25*D$26*D23&gt;0,AVERAGE(D$25:D$26,D23),""),"")</f>
        <v/>
      </c>
      <c r="U81" s="227" t="str">
        <f aca="false">IFERROR(IF(E$25*E$26*E23&gt;0,STDEV(E$25:E$26,E23),"")/IF(E$25*E$26*E23&gt;0,AVERAGE(E$25:E$26,E23),""),"")</f>
        <v/>
      </c>
      <c r="V81" s="227" t="str">
        <f aca="false">IFERROR(IF(F$25*F$26*F23&gt;0,STDEV(F$25:F$26,F23),"")/IF(F$25*F$26*F23&gt;0,AVERAGE(F$25:F$26,F23),""),"")</f>
        <v/>
      </c>
      <c r="W81" s="227" t="str">
        <f aca="false">IFERROR(IF(G$25*G$26*G23&gt;0,STDEV(G$25:G$26,G23),"")/IF(G$25*G$26*G23&gt;0,AVERAGE(G$25:G$26,G23),""),"")</f>
        <v/>
      </c>
      <c r="X81" s="227" t="str">
        <f aca="false">IFERROR(IF(H$25*H$26*H23&gt;0,STDEV(H$25:H$26,H23),"")/IF(H$25*H$26*H23&gt;0,AVERAGE(H$25:H$26,H23),""),"")</f>
        <v/>
      </c>
      <c r="Y81" s="227" t="str">
        <f aca="false">IFERROR(IF(I$25*I$26*I23&gt;0,STDEV(I$25:I$26,I23),"")/IF(I$25*I$26*I23&gt;0,AVERAGE(I$25:I$26,I23),""),"")</f>
        <v/>
      </c>
      <c r="Z81" s="227" t="str">
        <f aca="false">IFERROR(IF(J$25*J$26*J23&gt;0,STDEV(J$25:J$26,J23),"")/IF(J$25*J$26*J23&gt;0,AVERAGE(J$25:J$26,J23),""),"")</f>
        <v/>
      </c>
      <c r="AA81" s="227" t="str">
        <f aca="false">IFERROR(IF(K$25*K$26*K23&gt;0,STDEV(K$25:K$26,K23),"")/IF(K$25*K$26*K23&gt;0,AVERAGE(K$25:K$26,K23),""),"")</f>
        <v/>
      </c>
      <c r="AB81" s="227" t="str">
        <f aca="false">IFERROR(IF(L$25*L$26*L23&gt;0,STDEV(L$25:L$26,L23),"")/IF(L$25*L$26*L23&gt;0,AVERAGE(L$25:L$26,L23),""),"")</f>
        <v/>
      </c>
      <c r="AC81" s="227" t="str">
        <f aca="false">IFERROR(IF(M$25*M$26*M23&gt;0,STDEV(M$25:M$26,M23),"")/IF(M$25*M$26*M23&gt;0,AVERAGE(M$25:M$26,M23),""),"")</f>
        <v/>
      </c>
      <c r="AD81" s="227" t="str">
        <f aca="false">IFERROR(IF(N$25*N$26*N23&gt;0,STDEV(N$25:N$26,N23),"")/IF(N$25*N$26*N23&gt;0,AVERAGE(N$25:N$26,N23),""),"")</f>
        <v/>
      </c>
      <c r="AE81" s="233"/>
      <c r="AF81" s="229" t="s">
        <v>397</v>
      </c>
      <c r="AG81" s="230" t="str">
        <f aca="false">IFERROR(IF(C$25*C$26*C23&gt;0,STDEV(C$25:C$26,C23)," ")/IF(C$25*C$26*C23&gt;0,SQRT(COUNT(C$25:C$26,C23))," "),"")</f>
        <v/>
      </c>
      <c r="AH81" s="230" t="str">
        <f aca="false">IFERROR(IF(D$25*D$26*D23&gt;0,STDEV(D$25:D$26,D23)," ")/IF(D$25*D$26*D23&gt;0,SQRT(COUNT(D$25:D$26,D23))," "),"")</f>
        <v/>
      </c>
      <c r="AI81" s="230" t="str">
        <f aca="false">IFERROR(IF(E$25*E$26*E23&gt;0,STDEV(E$25:E$26,E23)," ")/IF(E$25*E$26*E23&gt;0,SQRT(COUNT(E$25:E$26,E23))," "),"")</f>
        <v/>
      </c>
      <c r="AJ81" s="230" t="str">
        <f aca="false">IFERROR(IF(F$25*F$26*F23&gt;0,STDEV(F$25:F$26,F23)," ")/IF(F$25*F$26*F23&gt;0,SQRT(COUNT(F$25:F$26,F23))," "),"")</f>
        <v/>
      </c>
      <c r="AK81" s="230" t="str">
        <f aca="false">IFERROR(IF(G$25*G$26*G23&gt;0,STDEV(G$25:G$26,G23)," ")/IF(G$25*G$26*G23&gt;0,SQRT(COUNT(G$25:G$26,G23))," "),"")</f>
        <v/>
      </c>
      <c r="AL81" s="230" t="str">
        <f aca="false">IFERROR(IF(H$25*H$26*H23&gt;0,STDEV(H$25:H$26,H23)," ")/IF(H$25*H$26*H23&gt;0,SQRT(COUNT(H$25:H$26,H23))," "),"")</f>
        <v/>
      </c>
      <c r="AM81" s="230" t="str">
        <f aca="false">IFERROR(IF(I$25*I$26*I23&gt;0,STDEV(I$25:I$26,I23)," ")/IF(I$25*I$26*I23&gt;0,SQRT(COUNT(I$25:I$26,I23))," "),"")</f>
        <v/>
      </c>
      <c r="AN81" s="230" t="str">
        <f aca="false">IFERROR(IF(J$25*J$26*J23&gt;0,STDEV(J$25:J$26,J23)," ")/IF(J$25*J$26*J23&gt;0,SQRT(COUNT(J$25:J$26,J23))," "),"")</f>
        <v/>
      </c>
      <c r="AO81" s="230" t="str">
        <f aca="false">IFERROR(IF(K$25*K$26*K23&gt;0,STDEV(K$25:K$26,K23)," ")/IF(K$25*K$26*K23&gt;0,SQRT(COUNT(K$25:K$26,K23))," "),"")</f>
        <v/>
      </c>
      <c r="AP81" s="230" t="str">
        <f aca="false">IFERROR(IF(L$25*L$26*L23&gt;0,STDEV(L$25:L$26,L23)," ")/IF(L$25*L$26*L23&gt;0,SQRT(COUNT(L$25:L$26,L23))," "),"")</f>
        <v/>
      </c>
      <c r="AQ81" s="230" t="str">
        <f aca="false">IFERROR(IF(M$25*M$26*M23&gt;0,STDEV(M$25:M$26,M23)," ")/IF(M$25*M$26*M23&gt;0,SQRT(COUNT(M$25:M$26,M23))," "),"")</f>
        <v/>
      </c>
      <c r="AR81" s="230" t="str">
        <f aca="false">IFERROR(IF(N$25*N$26*N23&gt;0,STDEV(N$25:N$26,N23)," ")/IF(N$25*N$26*N23&gt;0,SQRT(COUNT(N$25:N$26,N23))," "),"")</f>
        <v/>
      </c>
    </row>
    <row r="82" customFormat="false" ht="15.75" hidden="false" customHeight="false" outlineLevel="0" collapsed="false">
      <c r="A82" s="220" t="s">
        <v>398</v>
      </c>
      <c r="B82" s="221"/>
      <c r="C82" s="222" t="str">
        <f aca="false">IFERROR(IF(C$25*C$26*C24&gt;0,AVERAGE(C$25:C$26,C24),""),"")</f>
        <v/>
      </c>
      <c r="D82" s="222" t="str">
        <f aca="false">IFERROR(IF(D$25*D$26*D24&gt;0,AVERAGE(D$25:D$26,D24),""),"")</f>
        <v/>
      </c>
      <c r="E82" s="222" t="str">
        <f aca="false">IFERROR(IF(E$25*E$26*E24&gt;0,AVERAGE(E$25:E$26,E24),""),"")</f>
        <v/>
      </c>
      <c r="F82" s="222" t="str">
        <f aca="false">IFERROR(IF(F$25*F$26*F24&gt;0,AVERAGE(F$25:F$26,F24),""),"")</f>
        <v/>
      </c>
      <c r="G82" s="222" t="str">
        <f aca="false">IFERROR(IF(G$25*G$26*G24&gt;0,AVERAGE(G$25:G$26,G24),""),"")</f>
        <v/>
      </c>
      <c r="H82" s="222" t="str">
        <f aca="false">IFERROR(IF(H$25*H$26*H24&gt;0,AVERAGE(H$25:H$26,H24),""),"")</f>
        <v/>
      </c>
      <c r="I82" s="222" t="str">
        <f aca="false">IFERROR(IF(I$25*I$26*I24&gt;0,AVERAGE(I$25:I$26,I24),""),"")</f>
        <v/>
      </c>
      <c r="J82" s="222" t="str">
        <f aca="false">IFERROR(IF(J$25*J$26*J24&gt;0,AVERAGE(J$25:J$26,J24),""),"")</f>
        <v/>
      </c>
      <c r="K82" s="222" t="str">
        <f aca="false">IFERROR(IF(K$25*K$26*K24&gt;0,AVERAGE(K$25:K$26,K24),""),"")</f>
        <v/>
      </c>
      <c r="L82" s="222" t="str">
        <f aca="false">IFERROR(IF(L$25*L$26*L24&gt;0,AVERAGE(L$25:L$26,L24),""),"")</f>
        <v/>
      </c>
      <c r="M82" s="222" t="str">
        <f aca="false">IFERROR(IF(M$25*M$26*M24&gt;0,AVERAGE(M$25:M$26,M24),""),"")</f>
        <v/>
      </c>
      <c r="N82" s="222" t="str">
        <f aca="false">IFERROR(IF(N$25*N$26*N24&gt;0,AVERAGE(N$25:N$26,N24),""),"")</f>
        <v/>
      </c>
      <c r="O82" s="253"/>
      <c r="P82" s="253"/>
      <c r="Q82" s="254"/>
      <c r="R82" s="226" t="s">
        <v>399</v>
      </c>
      <c r="S82" s="227" t="str">
        <f aca="false">IFERROR(IF(C$25*C$26*C24&gt;0,STDEV(C$25:C$26,C24),"")/IF(C$25*C$26*C24&gt;0,AVERAGE(C$25:C$26,C24),""),"")</f>
        <v/>
      </c>
      <c r="T82" s="227" t="str">
        <f aca="false">IFERROR(IF(D$25*D$26*D24&gt;0,STDEV(D$25:D$26,D24),"")/IF(D$25*D$26*D24&gt;0,AVERAGE(D$25:D$26,D24),""),"")</f>
        <v/>
      </c>
      <c r="U82" s="227" t="str">
        <f aca="false">IFERROR(IF(E$25*E$26*E24&gt;0,STDEV(E$25:E$26,E24),"")/IF(E$25*E$26*E24&gt;0,AVERAGE(E$25:E$26,E24),""),"")</f>
        <v/>
      </c>
      <c r="V82" s="227" t="str">
        <f aca="false">IFERROR(IF(F$25*F$26*F24&gt;0,STDEV(F$25:F$26,F24),"")/IF(F$25*F$26*F24&gt;0,AVERAGE(F$25:F$26,F24),""),"")</f>
        <v/>
      </c>
      <c r="W82" s="227" t="str">
        <f aca="false">IFERROR(IF(G$25*G$26*G24&gt;0,STDEV(G$25:G$26,G24),"")/IF(G$25*G$26*G24&gt;0,AVERAGE(G$25:G$26,G24),""),"")</f>
        <v/>
      </c>
      <c r="X82" s="227" t="str">
        <f aca="false">IFERROR(IF(H$25*H$26*H24&gt;0,STDEV(H$25:H$26,H24),"")/IF(H$25*H$26*H24&gt;0,AVERAGE(H$25:H$26,H24),""),"")</f>
        <v/>
      </c>
      <c r="Y82" s="227" t="str">
        <f aca="false">IFERROR(IF(I$25*I$26*I24&gt;0,STDEV(I$25:I$26,I24),"")/IF(I$25*I$26*I24&gt;0,AVERAGE(I$25:I$26,I24),""),"")</f>
        <v/>
      </c>
      <c r="Z82" s="227" t="str">
        <f aca="false">IFERROR(IF(J$25*J$26*J24&gt;0,STDEV(J$25:J$26,J24),"")/IF(J$25*J$26*J24&gt;0,AVERAGE(J$25:J$26,J24),""),"")</f>
        <v/>
      </c>
      <c r="AA82" s="227" t="str">
        <f aca="false">IFERROR(IF(K$25*K$26*K24&gt;0,STDEV(K$25:K$26,K24),"")/IF(K$25*K$26*K24&gt;0,AVERAGE(K$25:K$26,K24),""),"")</f>
        <v/>
      </c>
      <c r="AB82" s="227" t="str">
        <f aca="false">IFERROR(IF(L$25*L$26*L24&gt;0,STDEV(L$25:L$26,L24),"")/IF(L$25*L$26*L24&gt;0,AVERAGE(L$25:L$26,L24),""),"")</f>
        <v/>
      </c>
      <c r="AC82" s="227" t="str">
        <f aca="false">IFERROR(IF(M$25*M$26*M24&gt;0,STDEV(M$25:M$26,M24),"")/IF(M$25*M$26*M24&gt;0,AVERAGE(M$25:M$26,M24),""),"")</f>
        <v/>
      </c>
      <c r="AD82" s="227" t="str">
        <f aca="false">IFERROR(IF(N$25*N$26*N24&gt;0,STDEV(N$25:N$26,N24),"")/IF(N$25*N$26*N24&gt;0,AVERAGE(N$25:N$26,N24),""),"")</f>
        <v/>
      </c>
      <c r="AE82" s="233"/>
      <c r="AF82" s="229" t="s">
        <v>400</v>
      </c>
      <c r="AG82" s="230" t="str">
        <f aca="false">IFERROR(IF(C$25*C$26*C24&gt;0,STDEV(C$25:C$26,C24)," ")/IF(C$25*C$26*C24&gt;0,SQRT(COUNT(C$25:C$26,C24))," "),"")</f>
        <v/>
      </c>
      <c r="AH82" s="230" t="str">
        <f aca="false">IFERROR(IF(D$25*D$26*D24&gt;0,STDEV(D$25:D$26,D24)," ")/IF(D$25*D$26*D24&gt;0,SQRT(COUNT(D$25:D$26,D24))," "),"")</f>
        <v/>
      </c>
      <c r="AI82" s="230" t="str">
        <f aca="false">IFERROR(IF(E$25*E$26*E24&gt;0,STDEV(E$25:E$26,E24)," ")/IF(E$25*E$26*E24&gt;0,SQRT(COUNT(E$25:E$26,E24))," "),"")</f>
        <v/>
      </c>
      <c r="AJ82" s="230" t="str">
        <f aca="false">IFERROR(IF(F$25*F$26*F24&gt;0,STDEV(F$25:F$26,F24)," ")/IF(F$25*F$26*F24&gt;0,SQRT(COUNT(F$25:F$26,F24))," "),"")</f>
        <v/>
      </c>
      <c r="AK82" s="230" t="str">
        <f aca="false">IFERROR(IF(G$25*G$26*G24&gt;0,STDEV(G$25:G$26,G24)," ")/IF(G$25*G$26*G24&gt;0,SQRT(COUNT(G$25:G$26,G24))," "),"")</f>
        <v/>
      </c>
      <c r="AL82" s="230" t="str">
        <f aca="false">IFERROR(IF(H$25*H$26*H24&gt;0,STDEV(H$25:H$26,H24)," ")/IF(H$25*H$26*H24&gt;0,SQRT(COUNT(H$25:H$26,H24))," "),"")</f>
        <v/>
      </c>
      <c r="AM82" s="230" t="str">
        <f aca="false">IFERROR(IF(I$25*I$26*I24&gt;0,STDEV(I$25:I$26,I24)," ")/IF(I$25*I$26*I24&gt;0,SQRT(COUNT(I$25:I$26,I24))," "),"")</f>
        <v/>
      </c>
      <c r="AN82" s="230" t="str">
        <f aca="false">IFERROR(IF(J$25*J$26*J24&gt;0,STDEV(J$25:J$26,J24)," ")/IF(J$25*J$26*J24&gt;0,SQRT(COUNT(J$25:J$26,J24))," "),"")</f>
        <v/>
      </c>
      <c r="AO82" s="230" t="str">
        <f aca="false">IFERROR(IF(K$25*K$26*K24&gt;0,STDEV(K$25:K$26,K24)," ")/IF(K$25*K$26*K24&gt;0,SQRT(COUNT(K$25:K$26,K24))," "),"")</f>
        <v/>
      </c>
      <c r="AP82" s="230" t="str">
        <f aca="false">IFERROR(IF(L$25*L$26*L24&gt;0,STDEV(L$25:L$26,L24)," ")/IF(L$25*L$26*L24&gt;0,SQRT(COUNT(L$25:L$26,L24))," "),"")</f>
        <v/>
      </c>
      <c r="AQ82" s="230" t="str">
        <f aca="false">IFERROR(IF(M$25*M$26*M24&gt;0,STDEV(M$25:M$26,M24)," ")/IF(M$25*M$26*M24&gt;0,SQRT(COUNT(M$25:M$26,M24))," "),"")</f>
        <v/>
      </c>
      <c r="AR82" s="230" t="str">
        <f aca="false">IFERROR(IF(N$25*N$26*N24&gt;0,STDEV(N$25:N$26,N24)," ")/IF(N$25*N$26*N24&gt;0,SQRT(COUNT(N$25:N$26,N24))," "),"")</f>
        <v/>
      </c>
    </row>
    <row r="83" customFormat="false" ht="15.75" hidden="false" customHeight="false" outlineLevel="0" collapsed="false">
      <c r="A83" s="220" t="s">
        <v>401</v>
      </c>
      <c r="B83" s="221"/>
      <c r="C83" s="222" t="str">
        <f aca="false">IFERROR(IF(C$25*C$26*C27&gt;0,AVERAGE(C$25:C$26,C27),""),"")</f>
        <v/>
      </c>
      <c r="D83" s="261" t="str">
        <f aca="false">IFERROR(IF(D$25*D$26*D27&gt;0,AVERAGE(D$25:D$26,D27),""),"")</f>
        <v/>
      </c>
      <c r="E83" s="261" t="str">
        <f aca="false">IFERROR(IF(E$25*E$26*E27&gt;0,AVERAGE(E$25:E$26,E27),""),"")</f>
        <v/>
      </c>
      <c r="F83" s="261" t="str">
        <f aca="false">IFERROR(IF(F$25*F$26*F27&gt;0,AVERAGE(F$25:F$26,F27),""),"")</f>
        <v/>
      </c>
      <c r="G83" s="261" t="str">
        <f aca="false">IFERROR(IF(G$25*G$26*G27&gt;0,AVERAGE(G$25:G$26,G27),""),"")</f>
        <v/>
      </c>
      <c r="H83" s="261" t="str">
        <f aca="false">IFERROR(IF(H$25*H$26*H27&gt;0,AVERAGE(H$25:H$26,H27),""),"")</f>
        <v/>
      </c>
      <c r="I83" s="261" t="str">
        <f aca="false">IFERROR(IF(I$25*I$26*I27&gt;0,AVERAGE(I$25:I$26,I27),""),"")</f>
        <v/>
      </c>
      <c r="J83" s="261" t="str">
        <f aca="false">IFERROR(IF(J$25*J$26*J27&gt;0,AVERAGE(J$25:J$26,J27),""),"")</f>
        <v/>
      </c>
      <c r="K83" s="261" t="str">
        <f aca="false">IFERROR(IF(K$25*K$26*K27&gt;0,AVERAGE(K$25:K$26,K27),""),"")</f>
        <v/>
      </c>
      <c r="L83" s="261" t="str">
        <f aca="false">IFERROR(IF(L$25*L$26*L27&gt;0,AVERAGE(L$25:L$26,L27),""),"")</f>
        <v/>
      </c>
      <c r="M83" s="261" t="str">
        <f aca="false">IFERROR(IF(M$25*M$26*M27&gt;0,AVERAGE(M$25:M$26,M27),""),"")</f>
        <v/>
      </c>
      <c r="N83" s="261" t="str">
        <f aca="false">IFERROR(IF(N$25*N$26*N27&gt;0,AVERAGE(N$25:N$26,N27),""),"")</f>
        <v/>
      </c>
      <c r="O83" s="253"/>
      <c r="P83" s="253"/>
      <c r="Q83" s="254"/>
      <c r="R83" s="226" t="s">
        <v>402</v>
      </c>
      <c r="S83" s="227" t="str">
        <f aca="false">IFERROR(IF(C$25*C$26*C27&gt;0,STDEV(C$25:C$26,C27),"")/IF(C$25*C$26*C27&gt;0,AVERAGE(C$25:C$26,C27),""),"")</f>
        <v/>
      </c>
      <c r="T83" s="227" t="str">
        <f aca="false">IFERROR(IF(D$25*D$26*D27&gt;0,STDEV(D$25:D$26,D27),"")/IF(D$25*D$26*D27&gt;0,AVERAGE(D$25:D$26,D27),""),"")</f>
        <v/>
      </c>
      <c r="U83" s="227" t="str">
        <f aca="false">IFERROR(IF(E$25*E$26*E27&gt;0,STDEV(E$25:E$26,E27),"")/IF(E$25*E$26*E27&gt;0,AVERAGE(E$25:E$26,E27),""),"")</f>
        <v/>
      </c>
      <c r="V83" s="227" t="str">
        <f aca="false">IFERROR(IF(F$25*F$26*F27&gt;0,STDEV(F$25:F$26,F27),"")/IF(F$25*F$26*F27&gt;0,AVERAGE(F$25:F$26,F27),""),"")</f>
        <v/>
      </c>
      <c r="W83" s="227" t="str">
        <f aca="false">IFERROR(IF(G$25*G$26*G27&gt;0,STDEV(G$25:G$26,G27),"")/IF(G$25*G$26*G27&gt;0,AVERAGE(G$25:G$26,G27),""),"")</f>
        <v/>
      </c>
      <c r="X83" s="227" t="str">
        <f aca="false">IFERROR(IF(H$25*H$26*H27&gt;0,STDEV(H$25:H$26,H27),"")/IF(H$25*H$26*H27&gt;0,AVERAGE(H$25:H$26,H27),""),"")</f>
        <v/>
      </c>
      <c r="Y83" s="227" t="str">
        <f aca="false">IFERROR(IF(I$25*I$26*I27&gt;0,STDEV(I$25:I$26,I27),"")/IF(I$25*I$26*I27&gt;0,AVERAGE(I$25:I$26,I27),""),"")</f>
        <v/>
      </c>
      <c r="Z83" s="227" t="str">
        <f aca="false">IFERROR(IF(J$25*J$26*J27&gt;0,STDEV(J$25:J$26,J27),"")/IF(J$25*J$26*J27&gt;0,AVERAGE(J$25:J$26,J27),""),"")</f>
        <v/>
      </c>
      <c r="AA83" s="227" t="str">
        <f aca="false">IFERROR(IF(K$25*K$26*K27&gt;0,STDEV(K$25:K$26,K27),"")/IF(K$25*K$26*K27&gt;0,AVERAGE(K$25:K$26,K27),""),"")</f>
        <v/>
      </c>
      <c r="AB83" s="227" t="str">
        <f aca="false">IFERROR(IF(L$25*L$26*L27&gt;0,STDEV(L$25:L$26,L27),"")/IF(L$25*L$26*L27&gt;0,AVERAGE(L$25:L$26,L27),""),"")</f>
        <v/>
      </c>
      <c r="AC83" s="227" t="str">
        <f aca="false">IFERROR(IF(M$25*M$26*M27&gt;0,STDEV(M$25:M$26,M27),"")/IF(M$25*M$26*M27&gt;0,AVERAGE(M$25:M$26,M27),""),"")</f>
        <v/>
      </c>
      <c r="AD83" s="227" t="str">
        <f aca="false">IFERROR(IF(N$25*N$26*N27&gt;0,STDEV(N$25:N$26,N27),"")/IF(N$25*N$26*N27&gt;0,AVERAGE(N$25:N$26,N27),""),"")</f>
        <v/>
      </c>
      <c r="AE83" s="233"/>
      <c r="AF83" s="229" t="s">
        <v>403</v>
      </c>
      <c r="AG83" s="230" t="str">
        <f aca="false">IFERROR(IF(C$25*C$26*C27&gt;0,STDEV(C$25:C$26,C27)," ")/IF(C$25*C$26*C27&gt;0,SQRT(COUNT(C$25:C$26,C27))," "),"")</f>
        <v/>
      </c>
      <c r="AH83" s="230" t="str">
        <f aca="false">IFERROR(IF(D$25*D$26*D27&gt;0,STDEV(D$25:D$26,D27)," ")/IF(D$25*D$26*D27&gt;0,SQRT(COUNT(D$25:D$26,D27))," "),"")</f>
        <v/>
      </c>
      <c r="AI83" s="230" t="str">
        <f aca="false">IFERROR(IF(E$25*E$26*E27&gt;0,STDEV(E$25:E$26,E27)," ")/IF(E$25*E$26*E27&gt;0,SQRT(COUNT(E$25:E$26,E27))," "),"")</f>
        <v/>
      </c>
      <c r="AJ83" s="230" t="str">
        <f aca="false">IFERROR(IF(F$25*F$26*F27&gt;0,STDEV(F$25:F$26,F27)," ")/IF(F$25*F$26*F27&gt;0,SQRT(COUNT(F$25:F$26,F27))," "),"")</f>
        <v/>
      </c>
      <c r="AK83" s="230" t="str">
        <f aca="false">IFERROR(IF(G$25*G$26*G27&gt;0,STDEV(G$25:G$26,G27)," ")/IF(G$25*G$26*G27&gt;0,SQRT(COUNT(G$25:G$26,G27))," "),"")</f>
        <v/>
      </c>
      <c r="AL83" s="230" t="str">
        <f aca="false">IFERROR(IF(H$25*H$26*H27&gt;0,STDEV(H$25:H$26,H27)," ")/IF(H$25*H$26*H27&gt;0,SQRT(COUNT(H$25:H$26,H27))," "),"")</f>
        <v/>
      </c>
      <c r="AM83" s="230" t="str">
        <f aca="false">IFERROR(IF(I$25*I$26*I27&gt;0,STDEV(I$25:I$26,I27)," ")/IF(I$25*I$26*I27&gt;0,SQRT(COUNT(I$25:I$26,I27))," "),"")</f>
        <v/>
      </c>
      <c r="AN83" s="230" t="str">
        <f aca="false">IFERROR(IF(J$25*J$26*J27&gt;0,STDEV(J$25:J$26,J27)," ")/IF(J$25*J$26*J27&gt;0,SQRT(COUNT(J$25:J$26,J27))," "),"")</f>
        <v/>
      </c>
      <c r="AO83" s="230" t="str">
        <f aca="false">IFERROR(IF(K$25*K$26*K27&gt;0,STDEV(K$25:K$26,K27)," ")/IF(K$25*K$26*K27&gt;0,SQRT(COUNT(K$25:K$26,K27))," "),"")</f>
        <v/>
      </c>
      <c r="AP83" s="230" t="str">
        <f aca="false">IFERROR(IF(L$25*L$26*L27&gt;0,STDEV(L$25:L$26,L27)," ")/IF(L$25*L$26*L27&gt;0,SQRT(COUNT(L$25:L$26,L27))," "),"")</f>
        <v/>
      </c>
      <c r="AQ83" s="230" t="str">
        <f aca="false">IFERROR(IF(M$25*M$26*M27&gt;0,STDEV(M$25:M$26,M27)," ")/IF(M$25*M$26*M27&gt;0,SQRT(COUNT(M$25:M$26,M27))," "),"")</f>
        <v/>
      </c>
      <c r="AR83" s="230" t="str">
        <f aca="false">IFERROR(IF(N$25*N$26*N27&gt;0,STDEV(N$25:N$26,N27)," ")/IF(N$25*N$26*N27&gt;0,SQRT(COUNT(N$25:N$26,N27))," "),"")</f>
        <v/>
      </c>
    </row>
    <row r="84" customFormat="false" ht="15.75" hidden="false" customHeight="false" outlineLevel="0" collapsed="false">
      <c r="A84" s="220" t="s">
        <v>404</v>
      </c>
      <c r="B84" s="221"/>
      <c r="C84" s="261" t="str">
        <f aca="false">IFERROR(IF(C$26*C$27*C21&gt;0,AVERAGE(C$26:C$27,C21),""),"")</f>
        <v/>
      </c>
      <c r="D84" s="261" t="str">
        <f aca="false">IFERROR(IF(D$26*D$27*D21&gt;0,AVERAGE(D$26:D$27,D21),""),"")</f>
        <v/>
      </c>
      <c r="E84" s="261" t="str">
        <f aca="false">IFERROR(IF(E$26*E$27*E21&gt;0,AVERAGE(E$26:E$27,E21),""),"")</f>
        <v/>
      </c>
      <c r="F84" s="261" t="str">
        <f aca="false">IFERROR(IF(F$26*F$27*F21&gt;0,AVERAGE(F$26:F$27,F21),""),"")</f>
        <v/>
      </c>
      <c r="G84" s="261" t="str">
        <f aca="false">IFERROR(IF(G$26*G$27*G21&gt;0,AVERAGE(G$26:G$27,G21),""),"")</f>
        <v/>
      </c>
      <c r="H84" s="261" t="str">
        <f aca="false">IFERROR(IF(H$26*H$27*H21&gt;0,AVERAGE(H$26:H$27,H21),""),"")</f>
        <v/>
      </c>
      <c r="I84" s="261" t="str">
        <f aca="false">IFERROR(IF(I$26*I$27*I21&gt;0,AVERAGE(I$26:I$27,I21),""),"")</f>
        <v/>
      </c>
      <c r="J84" s="261" t="str">
        <f aca="false">IFERROR(IF(J$26*J$27*J21&gt;0,AVERAGE(J$26:J$27,J21),""),"")</f>
        <v/>
      </c>
      <c r="K84" s="261" t="str">
        <f aca="false">IFERROR(IF(K$26*K$27*K21&gt;0,AVERAGE(K$26:K$27,K21),""),"")</f>
        <v/>
      </c>
      <c r="L84" s="261" t="str">
        <f aca="false">IFERROR(IF(L$26*L$27*L21&gt;0,AVERAGE(L$26:L$27,L21),""),"")</f>
        <v/>
      </c>
      <c r="M84" s="261" t="str">
        <f aca="false">IFERROR(IF(M$26*M$27*M21&gt;0,AVERAGE(M$26:M$27,M21),""),"")</f>
        <v/>
      </c>
      <c r="N84" s="261" t="str">
        <f aca="false">IFERROR(IF(N$26*N$27*N21&gt;0,AVERAGE(N$26:N$27,N21),""),"")</f>
        <v/>
      </c>
      <c r="O84" s="253"/>
      <c r="P84" s="253"/>
      <c r="Q84" s="254"/>
      <c r="R84" s="226" t="s">
        <v>405</v>
      </c>
      <c r="S84" s="227" t="str">
        <f aca="false">IFERROR(IF(C$26*C$27*C21&gt;0,STDEV(C$26:C$27,C21),"")/IF(C$26*C$27*C21&gt;0,AVERAGE(C$26:C$27,C21),""),"")</f>
        <v/>
      </c>
      <c r="T84" s="227" t="str">
        <f aca="false">IFERROR(IF(D$26*D$27*D21&gt;0,STDEV(D$26:D$27,D21),"")/IF(D$26*D$27*D21&gt;0,AVERAGE(D$26:D$27,D21),""),"")</f>
        <v/>
      </c>
      <c r="U84" s="227" t="str">
        <f aca="false">IFERROR(IF(E$26*E$27*E21&gt;0,STDEV(E$26:E$27,E21),"")/IF(E$26*E$27*E21&gt;0,AVERAGE(E$26:E$27,E21),""),"")</f>
        <v/>
      </c>
      <c r="V84" s="227" t="str">
        <f aca="false">IFERROR(IF(F$26*F$27*F21&gt;0,STDEV(F$26:F$27,F21),"")/IF(F$26*F$27*F21&gt;0,AVERAGE(F$26:F$27,F21),""),"")</f>
        <v/>
      </c>
      <c r="W84" s="227" t="str">
        <f aca="false">IFERROR(IF(G$26*G$27*G21&gt;0,STDEV(G$26:G$27,G21),"")/IF(G$26*G$27*G21&gt;0,AVERAGE(G$26:G$27,G21),""),"")</f>
        <v/>
      </c>
      <c r="X84" s="227" t="str">
        <f aca="false">IFERROR(IF(H$26*H$27*H21&gt;0,STDEV(H$26:H$27,H21),"")/IF(H$26*H$27*H21&gt;0,AVERAGE(H$26:H$27,H21),""),"")</f>
        <v/>
      </c>
      <c r="Y84" s="227" t="str">
        <f aca="false">IFERROR(IF(I$26*I$27*I21&gt;0,STDEV(I$26:I$27,I21),"")/IF(I$26*I$27*I21&gt;0,AVERAGE(I$26:I$27,I21),""),"")</f>
        <v/>
      </c>
      <c r="Z84" s="227" t="str">
        <f aca="false">IFERROR(IF(J$26*J$27*J21&gt;0,STDEV(J$26:J$27,J21),"")/IF(J$26*J$27*J21&gt;0,AVERAGE(J$26:J$27,J21),""),"")</f>
        <v/>
      </c>
      <c r="AA84" s="227" t="str">
        <f aca="false">IFERROR(IF(K$26*K$27*K21&gt;0,STDEV(K$26:K$27,K21),"")/IF(K$26*K$27*K21&gt;0,AVERAGE(K$26:K$27,K21),""),"")</f>
        <v/>
      </c>
      <c r="AB84" s="227" t="str">
        <f aca="false">IFERROR(IF(L$26*L$27*L21&gt;0,STDEV(L$26:L$27,L21),"")/IF(L$26*L$27*L21&gt;0,AVERAGE(L$26:L$27,L21),""),"")</f>
        <v/>
      </c>
      <c r="AC84" s="227" t="str">
        <f aca="false">IFERROR(IF(M$26*M$27*M21&gt;0,STDEV(M$26:M$27,M21),"")/IF(M$26*M$27*M21&gt;0,AVERAGE(M$26:M$27,M21),""),"")</f>
        <v/>
      </c>
      <c r="AD84" s="227" t="str">
        <f aca="false">IFERROR(IF(N$26*N$27*N21&gt;0,STDEV(N$26:N$27,N21),"")/IF(N$26*N$27*N21&gt;0,AVERAGE(N$26:N$27,N21),""),"")</f>
        <v/>
      </c>
      <c r="AE84" s="233"/>
      <c r="AF84" s="229" t="s">
        <v>406</v>
      </c>
      <c r="AG84" s="230" t="str">
        <f aca="false">IFERROR(IF(C$26*C$27*C21&gt;0,STDEV(C$26:C$27,C21)," ")/IF(C$26*C$27*C21&gt;0,SQRT(COUNT(C$26:C$27,C21))," "),"")</f>
        <v/>
      </c>
      <c r="AH84" s="230" t="str">
        <f aca="false">IFERROR(IF(D$26*D$27*D21&gt;0,STDEV(D$26:D$27,D21)," ")/IF(D$26*D$27*D21&gt;0,SQRT(COUNT(D$26:D$27,D21))," "),"")</f>
        <v/>
      </c>
      <c r="AI84" s="230" t="str">
        <f aca="false">IFERROR(IF(E$26*E$27*E21&gt;0,STDEV(E$26:E$27,E21)," ")/IF(E$26*E$27*E21&gt;0,SQRT(COUNT(E$26:E$27,E21))," "),"")</f>
        <v/>
      </c>
      <c r="AJ84" s="230" t="str">
        <f aca="false">IFERROR(IF(F$26*F$27*F21&gt;0,STDEV(F$26:F$27,F21)," ")/IF(F$26*F$27*F21&gt;0,SQRT(COUNT(F$26:F$27,F21))," "),"")</f>
        <v/>
      </c>
      <c r="AK84" s="230" t="str">
        <f aca="false">IFERROR(IF(G$26*G$27*G21&gt;0,STDEV(G$26:G$27,G21)," ")/IF(G$26*G$27*G21&gt;0,SQRT(COUNT(G$26:G$27,G21))," "),"")</f>
        <v/>
      </c>
      <c r="AL84" s="230" t="str">
        <f aca="false">IFERROR(IF(H$26*H$27*H21&gt;0,STDEV(H$26:H$27,H21)," ")/IF(H$26*H$27*H21&gt;0,SQRT(COUNT(H$26:H$27,H21))," "),"")</f>
        <v/>
      </c>
      <c r="AM84" s="230" t="str">
        <f aca="false">IFERROR(IF(I$26*I$27*I21&gt;0,STDEV(I$26:I$27,I21)," ")/IF(I$26*I$27*I21&gt;0,SQRT(COUNT(I$26:I$27,I21))," "),"")</f>
        <v/>
      </c>
      <c r="AN84" s="230" t="str">
        <f aca="false">IFERROR(IF(J$26*J$27*J21&gt;0,STDEV(J$26:J$27,J21)," ")/IF(J$26*J$27*J21&gt;0,SQRT(COUNT(J$26:J$27,J21))," "),"")</f>
        <v/>
      </c>
      <c r="AO84" s="230" t="str">
        <f aca="false">IFERROR(IF(K$26*K$27*K21&gt;0,STDEV(K$26:K$27,K21)," ")/IF(K$26*K$27*K21&gt;0,SQRT(COUNT(K$26:K$27,K21))," "),"")</f>
        <v/>
      </c>
      <c r="AP84" s="230" t="str">
        <f aca="false">IFERROR(IF(L$26*L$27*L21&gt;0,STDEV(L$26:L$27,L21)," ")/IF(L$26*L$27*L21&gt;0,SQRT(COUNT(L$26:L$27,L21))," "),"")</f>
        <v/>
      </c>
      <c r="AQ84" s="230" t="str">
        <f aca="false">IFERROR(IF(M$26*M$27*M21&gt;0,STDEV(M$26:M$27,M21)," ")/IF(M$26*M$27*M21&gt;0,SQRT(COUNT(M$26:M$27,M21))," "),"")</f>
        <v/>
      </c>
      <c r="AR84" s="230" t="str">
        <f aca="false">IFERROR(IF(N$26*N$27*N21&gt;0,STDEV(N$26:N$27,N21)," ")/IF(N$26*N$27*N21&gt;0,SQRT(COUNT(N$26:N$27,N21))," "),"")</f>
        <v/>
      </c>
    </row>
    <row r="85" customFormat="false" ht="15.75" hidden="false" customHeight="false" outlineLevel="0" collapsed="false">
      <c r="A85" s="220" t="s">
        <v>407</v>
      </c>
      <c r="B85" s="221"/>
      <c r="C85" s="261" t="str">
        <f aca="false">IFERROR(IF(C$26*C$27*C22&gt;0,AVERAGE(C$26:C$27,C22),""),"")</f>
        <v/>
      </c>
      <c r="D85" s="261" t="str">
        <f aca="false">IFERROR(IF(D$26*D$27*D22&gt;0,AVERAGE(D$26:D$27,D22),""),"")</f>
        <v/>
      </c>
      <c r="E85" s="261" t="str">
        <f aca="false">IFERROR(IF(E$26*E$27*E22&gt;0,AVERAGE(E$26:E$27,E22),""),"")</f>
        <v/>
      </c>
      <c r="F85" s="261" t="str">
        <f aca="false">IFERROR(IF(F$26*F$27*F22&gt;0,AVERAGE(F$26:F$27,F22),""),"")</f>
        <v/>
      </c>
      <c r="G85" s="261" t="str">
        <f aca="false">IFERROR(IF(G$26*G$27*G22&gt;0,AVERAGE(G$26:G$27,G22),""),"")</f>
        <v/>
      </c>
      <c r="H85" s="261" t="str">
        <f aca="false">IFERROR(IF(H$26*H$27*H22&gt;0,AVERAGE(H$26:H$27,H22),""),"")</f>
        <v/>
      </c>
      <c r="I85" s="261" t="str">
        <f aca="false">IFERROR(IF(I$26*I$27*I22&gt;0,AVERAGE(I$26:I$27,I22),""),"")</f>
        <v/>
      </c>
      <c r="J85" s="261" t="str">
        <f aca="false">IFERROR(IF(J$26*J$27*J22&gt;0,AVERAGE(J$26:J$27,J22),""),"")</f>
        <v/>
      </c>
      <c r="K85" s="261" t="str">
        <f aca="false">IFERROR(IF(K$26*K$27*K22&gt;0,AVERAGE(K$26:K$27,K22),""),"")</f>
        <v/>
      </c>
      <c r="L85" s="261" t="str">
        <f aca="false">IFERROR(IF(L$26*L$27*L22&gt;0,AVERAGE(L$26:L$27,L22),""),"")</f>
        <v/>
      </c>
      <c r="M85" s="261" t="str">
        <f aca="false">IFERROR(IF(M$26*M$27*M22&gt;0,AVERAGE(M$26:M$27,M22),""),"")</f>
        <v/>
      </c>
      <c r="N85" s="261" t="str">
        <f aca="false">IFERROR(IF(N$26*N$27*N22&gt;0,AVERAGE(N$26:N$27,N22),""),"")</f>
        <v/>
      </c>
      <c r="O85" s="253"/>
      <c r="P85" s="253"/>
      <c r="Q85" s="254"/>
      <c r="R85" s="226" t="s">
        <v>408</v>
      </c>
      <c r="S85" s="227" t="str">
        <f aca="false">IFERROR(IF(C$26*C$27*C22&gt;0,STDEV(C$26:C$27,C22),"")/IF(C$26*C$27*C22&gt;0,AVERAGE(C$26:C$27,C22),""),"")</f>
        <v/>
      </c>
      <c r="T85" s="227" t="str">
        <f aca="false">IFERROR(IF(D$26*D$27*D22&gt;0,STDEV(D$26:D$27,D22),"")/IF(D$26*D$27*D22&gt;0,AVERAGE(D$26:D$27,D22),""),"")</f>
        <v/>
      </c>
      <c r="U85" s="227" t="str">
        <f aca="false">IFERROR(IF(E$26*E$27*E22&gt;0,STDEV(E$26:E$27,E22),"")/IF(E$26*E$27*E22&gt;0,AVERAGE(E$26:E$27,E22),""),"")</f>
        <v/>
      </c>
      <c r="V85" s="227" t="str">
        <f aca="false">IFERROR(IF(F$26*F$27*F22&gt;0,STDEV(F$26:F$27,F22),"")/IF(F$26*F$27*F22&gt;0,AVERAGE(F$26:F$27,F22),""),"")</f>
        <v/>
      </c>
      <c r="W85" s="227" t="str">
        <f aca="false">IFERROR(IF(G$26*G$27*G22&gt;0,STDEV(G$26:G$27,G22),"")/IF(G$26*G$27*G22&gt;0,AVERAGE(G$26:G$27,G22),""),"")</f>
        <v/>
      </c>
      <c r="X85" s="227" t="str">
        <f aca="false">IFERROR(IF(H$26*H$27*H22&gt;0,STDEV(H$26:H$27,H22),"")/IF(H$26*H$27*H22&gt;0,AVERAGE(H$26:H$27,H22),""),"")</f>
        <v/>
      </c>
      <c r="Y85" s="227" t="str">
        <f aca="false">IFERROR(IF(I$26*I$27*I22&gt;0,STDEV(I$26:I$27,I22),"")/IF(I$26*I$27*I22&gt;0,AVERAGE(I$26:I$27,I22),""),"")</f>
        <v/>
      </c>
      <c r="Z85" s="227" t="str">
        <f aca="false">IFERROR(IF(J$26*J$27*J22&gt;0,STDEV(J$26:J$27,J22),"")/IF(J$26*J$27*J22&gt;0,AVERAGE(J$26:J$27,J22),""),"")</f>
        <v/>
      </c>
      <c r="AA85" s="227" t="str">
        <f aca="false">IFERROR(IF(K$26*K$27*K22&gt;0,STDEV(K$26:K$27,K22),"")/IF(K$26*K$27*K22&gt;0,AVERAGE(K$26:K$27,K22),""),"")</f>
        <v/>
      </c>
      <c r="AB85" s="227" t="str">
        <f aca="false">IFERROR(IF(L$26*L$27*L22&gt;0,STDEV(L$26:L$27,L22),"")/IF(L$26*L$27*L22&gt;0,AVERAGE(L$26:L$27,L22),""),"")</f>
        <v/>
      </c>
      <c r="AC85" s="227" t="str">
        <f aca="false">IFERROR(IF(M$26*M$27*M22&gt;0,STDEV(M$26:M$27,M22),"")/IF(M$26*M$27*M22&gt;0,AVERAGE(M$26:M$27,M22),""),"")</f>
        <v/>
      </c>
      <c r="AD85" s="227" t="str">
        <f aca="false">IFERROR(IF(N$26*N$27*N22&gt;0,STDEV(N$26:N$27,N22),"")/IF(N$26*N$27*N22&gt;0,AVERAGE(N$26:N$27,N22),""),"")</f>
        <v/>
      </c>
      <c r="AE85" s="233"/>
      <c r="AF85" s="229" t="s">
        <v>409</v>
      </c>
      <c r="AG85" s="230" t="str">
        <f aca="false">IFERROR(IF(C$26*C$27*C22&gt;0,STDEV(C$26:C$27,C22)," ")/IF(C$26*C$27*C22&gt;0,SQRT(COUNT(C$26:C$27,C22))," "),"")</f>
        <v/>
      </c>
      <c r="AH85" s="230" t="str">
        <f aca="false">IFERROR(IF(D$26*D$27*D22&gt;0,STDEV(D$26:D$27,D22)," ")/IF(D$26*D$27*D22&gt;0,SQRT(COUNT(D$26:D$27,D22))," "),"")</f>
        <v/>
      </c>
      <c r="AI85" s="230" t="str">
        <f aca="false">IFERROR(IF(E$26*E$27*E22&gt;0,STDEV(E$26:E$27,E22)," ")/IF(E$26*E$27*E22&gt;0,SQRT(COUNT(E$26:E$27,E22))," "),"")</f>
        <v/>
      </c>
      <c r="AJ85" s="230" t="str">
        <f aca="false">IFERROR(IF(F$26*F$27*F22&gt;0,STDEV(F$26:F$27,F22)," ")/IF(F$26*F$27*F22&gt;0,SQRT(COUNT(F$26:F$27,F22))," "),"")</f>
        <v/>
      </c>
      <c r="AK85" s="230" t="str">
        <f aca="false">IFERROR(IF(G$26*G$27*G22&gt;0,STDEV(G$26:G$27,G22)," ")/IF(G$26*G$27*G22&gt;0,SQRT(COUNT(G$26:G$27,G22))," "),"")</f>
        <v/>
      </c>
      <c r="AL85" s="230" t="str">
        <f aca="false">IFERROR(IF(H$26*H$27*H22&gt;0,STDEV(H$26:H$27,H22)," ")/IF(H$26*H$27*H22&gt;0,SQRT(COUNT(H$26:H$27,H22))," "),"")</f>
        <v/>
      </c>
      <c r="AM85" s="230" t="str">
        <f aca="false">IFERROR(IF(I$26*I$27*I22&gt;0,STDEV(I$26:I$27,I22)," ")/IF(I$26*I$27*I22&gt;0,SQRT(COUNT(I$26:I$27,I22))," "),"")</f>
        <v/>
      </c>
      <c r="AN85" s="230" t="str">
        <f aca="false">IFERROR(IF(J$26*J$27*J22&gt;0,STDEV(J$26:J$27,J22)," ")/IF(J$26*J$27*J22&gt;0,SQRT(COUNT(J$26:J$27,J22))," "),"")</f>
        <v/>
      </c>
      <c r="AO85" s="230" t="str">
        <f aca="false">IFERROR(IF(K$26*K$27*K22&gt;0,STDEV(K$26:K$27,K22)," ")/IF(K$26*K$27*K22&gt;0,SQRT(COUNT(K$26:K$27,K22))," "),"")</f>
        <v/>
      </c>
      <c r="AP85" s="230" t="str">
        <f aca="false">IFERROR(IF(L$26*L$27*L22&gt;0,STDEV(L$26:L$27,L22)," ")/IF(L$26*L$27*L22&gt;0,SQRT(COUNT(L$26:L$27,L22))," "),"")</f>
        <v/>
      </c>
      <c r="AQ85" s="230" t="str">
        <f aca="false">IFERROR(IF(M$26*M$27*M22&gt;0,STDEV(M$26:M$27,M22)," ")/IF(M$26*M$27*M22&gt;0,SQRT(COUNT(M$26:M$27,M22))," "),"")</f>
        <v/>
      </c>
      <c r="AR85" s="230" t="str">
        <f aca="false">IFERROR(IF(N$26*N$27*N22&gt;0,STDEV(N$26:N$27,N22)," ")/IF(N$26*N$27*N22&gt;0,SQRT(COUNT(N$26:N$27,N22))," "),"")</f>
        <v/>
      </c>
    </row>
    <row r="86" customFormat="false" ht="15.75" hidden="false" customHeight="false" outlineLevel="0" collapsed="false">
      <c r="A86" s="220" t="s">
        <v>410</v>
      </c>
      <c r="B86" s="221"/>
      <c r="C86" s="261" t="str">
        <f aca="false">IFERROR(IF(C$26*C$27*C23&gt;0,AVERAGE(C$26:C$27,C23),""),"")</f>
        <v/>
      </c>
      <c r="D86" s="261" t="str">
        <f aca="false">IFERROR(IF(D$26*D$27*D23&gt;0,AVERAGE(D$26:D$27,D23),""),"")</f>
        <v/>
      </c>
      <c r="E86" s="261" t="str">
        <f aca="false">IFERROR(IF(E$26*E$27*E23&gt;0,AVERAGE(E$26:E$27,E23),""),"")</f>
        <v/>
      </c>
      <c r="F86" s="261" t="str">
        <f aca="false">IFERROR(IF(F$26*F$27*F23&gt;0,AVERAGE(F$26:F$27,F23),""),"")</f>
        <v/>
      </c>
      <c r="G86" s="261" t="str">
        <f aca="false">IFERROR(IF(G$26*G$27*G23&gt;0,AVERAGE(G$26:G$27,G23),""),"")</f>
        <v/>
      </c>
      <c r="H86" s="261" t="str">
        <f aca="false">IFERROR(IF(H$26*H$27*H23&gt;0,AVERAGE(H$26:H$27,H23),""),"")</f>
        <v/>
      </c>
      <c r="I86" s="261" t="str">
        <f aca="false">IFERROR(IF(I$26*I$27*I23&gt;0,AVERAGE(I$26:I$27,I23),""),"")</f>
        <v/>
      </c>
      <c r="J86" s="261" t="str">
        <f aca="false">IFERROR(IF(J$26*J$27*J23&gt;0,AVERAGE(J$26:J$27,J23),""),"")</f>
        <v/>
      </c>
      <c r="K86" s="261" t="str">
        <f aca="false">IFERROR(IF(K$26*K$27*K23&gt;0,AVERAGE(K$26:K$27,K23),""),"")</f>
        <v/>
      </c>
      <c r="L86" s="261" t="str">
        <f aca="false">IFERROR(IF(L$26*L$27*L23&gt;0,AVERAGE(L$26:L$27,L23),""),"")</f>
        <v/>
      </c>
      <c r="M86" s="261" t="str">
        <f aca="false">IFERROR(IF(M$26*M$27*M23&gt;0,AVERAGE(M$26:M$27,M23),""),"")</f>
        <v/>
      </c>
      <c r="N86" s="261" t="str">
        <f aca="false">IFERROR(IF(N$26*N$27*N23&gt;0,AVERAGE(N$26:N$27,N23),""),"")</f>
        <v/>
      </c>
      <c r="O86" s="253"/>
      <c r="P86" s="253"/>
      <c r="Q86" s="254"/>
      <c r="R86" s="226" t="s">
        <v>411</v>
      </c>
      <c r="S86" s="227" t="str">
        <f aca="false">IFERROR(IF(C$26*C$27*C23&gt;0,STDEV(C$26:C$27,C23),"")/IF(C$26*C$27*C23&gt;0,AVERAGE(C$26:C$27,C23),""),"")</f>
        <v/>
      </c>
      <c r="T86" s="227" t="str">
        <f aca="false">IFERROR(IF(D$26*D$27*D23&gt;0,STDEV(D$26:D$27,D23),"")/IF(D$26*D$27*D23&gt;0,AVERAGE(D$26:D$27,D23),""),"")</f>
        <v/>
      </c>
      <c r="U86" s="227" t="str">
        <f aca="false">IFERROR(IF(E$26*E$27*E23&gt;0,STDEV(E$26:E$27,E23),"")/IF(E$26*E$27*E23&gt;0,AVERAGE(E$26:E$27,E23),""),"")</f>
        <v/>
      </c>
      <c r="V86" s="227" t="str">
        <f aca="false">IFERROR(IF(F$26*F$27*F23&gt;0,STDEV(F$26:F$27,F23),"")/IF(F$26*F$27*F23&gt;0,AVERAGE(F$26:F$27,F23),""),"")</f>
        <v/>
      </c>
      <c r="W86" s="227" t="str">
        <f aca="false">IFERROR(IF(G$26*G$27*G23&gt;0,STDEV(G$26:G$27,G23),"")/IF(G$26*G$27*G23&gt;0,AVERAGE(G$26:G$27,G23),""),"")</f>
        <v/>
      </c>
      <c r="X86" s="227" t="str">
        <f aca="false">IFERROR(IF(H$26*H$27*H23&gt;0,STDEV(H$26:H$27,H23),"")/IF(H$26*H$27*H23&gt;0,AVERAGE(H$26:H$27,H23),""),"")</f>
        <v/>
      </c>
      <c r="Y86" s="227" t="str">
        <f aca="false">IFERROR(IF(I$26*I$27*I23&gt;0,STDEV(I$26:I$27,I23),"")/IF(I$26*I$27*I23&gt;0,AVERAGE(I$26:I$27,I23),""),"")</f>
        <v/>
      </c>
      <c r="Z86" s="227" t="str">
        <f aca="false">IFERROR(IF(J$26*J$27*J23&gt;0,STDEV(J$26:J$27,J23),"")/IF(J$26*J$27*J23&gt;0,AVERAGE(J$26:J$27,J23),""),"")</f>
        <v/>
      </c>
      <c r="AA86" s="227" t="str">
        <f aca="false">IFERROR(IF(K$26*K$27*K23&gt;0,STDEV(K$26:K$27,K23),"")/IF(K$26*K$27*K23&gt;0,AVERAGE(K$26:K$27,K23),""),"")</f>
        <v/>
      </c>
      <c r="AB86" s="227" t="str">
        <f aca="false">IFERROR(IF(L$26*L$27*L23&gt;0,STDEV(L$26:L$27,L23),"")/IF(L$26*L$27*L23&gt;0,AVERAGE(L$26:L$27,L23),""),"")</f>
        <v/>
      </c>
      <c r="AC86" s="227" t="str">
        <f aca="false">IFERROR(IF(M$26*M$27*M23&gt;0,STDEV(M$26:M$27,M23),"")/IF(M$26*M$27*M23&gt;0,AVERAGE(M$26:M$27,M23),""),"")</f>
        <v/>
      </c>
      <c r="AD86" s="227" t="str">
        <f aca="false">IFERROR(IF(N$26*N$27*N23&gt;0,STDEV(N$26:N$27,N23),"")/IF(N$26*N$27*N23&gt;0,AVERAGE(N$26:N$27,N23),""),"")</f>
        <v/>
      </c>
      <c r="AE86" s="233"/>
      <c r="AF86" s="229" t="s">
        <v>412</v>
      </c>
      <c r="AG86" s="230" t="str">
        <f aca="false">IFERROR(IF(C$26*C$27*C23&gt;0,STDEV(C$26:C$27,C23)," ")/IF(C$26*C$27*C23&gt;0,SQRT(COUNT(C$26:C$27,C23))," "),"")</f>
        <v/>
      </c>
      <c r="AH86" s="230" t="str">
        <f aca="false">IFERROR(IF(D$26*D$27*D23&gt;0,STDEV(D$26:D$27,D23)," ")/IF(D$26*D$27*D23&gt;0,SQRT(COUNT(D$26:D$27,D23))," "),"")</f>
        <v/>
      </c>
      <c r="AI86" s="230" t="str">
        <f aca="false">IFERROR(IF(E$26*E$27*E23&gt;0,STDEV(E$26:E$27,E23)," ")/IF(E$26*E$27*E23&gt;0,SQRT(COUNT(E$26:E$27,E23))," "),"")</f>
        <v/>
      </c>
      <c r="AJ86" s="230" t="str">
        <f aca="false">IFERROR(IF(F$26*F$27*F23&gt;0,STDEV(F$26:F$27,F23)," ")/IF(F$26*F$27*F23&gt;0,SQRT(COUNT(F$26:F$27,F23))," "),"")</f>
        <v/>
      </c>
      <c r="AK86" s="230" t="str">
        <f aca="false">IFERROR(IF(G$26*G$27*G23&gt;0,STDEV(G$26:G$27,G23)," ")/IF(G$26*G$27*G23&gt;0,SQRT(COUNT(G$26:G$27,G23))," "),"")</f>
        <v/>
      </c>
      <c r="AL86" s="230" t="str">
        <f aca="false">IFERROR(IF(H$26*H$27*H23&gt;0,STDEV(H$26:H$27,H23)," ")/IF(H$26*H$27*H23&gt;0,SQRT(COUNT(H$26:H$27,H23))," "),"")</f>
        <v/>
      </c>
      <c r="AM86" s="230" t="str">
        <f aca="false">IFERROR(IF(I$26*I$27*I23&gt;0,STDEV(I$26:I$27,I23)," ")/IF(I$26*I$27*I23&gt;0,SQRT(COUNT(I$26:I$27,I23))," "),"")</f>
        <v/>
      </c>
      <c r="AN86" s="230" t="str">
        <f aca="false">IFERROR(IF(J$26*J$27*J23&gt;0,STDEV(J$26:J$27,J23)," ")/IF(J$26*J$27*J23&gt;0,SQRT(COUNT(J$26:J$27,J23))," "),"")</f>
        <v/>
      </c>
      <c r="AO86" s="230" t="str">
        <f aca="false">IFERROR(IF(K$26*K$27*K23&gt;0,STDEV(K$26:K$27,K23)," ")/IF(K$26*K$27*K23&gt;0,SQRT(COUNT(K$26:K$27,K23))," "),"")</f>
        <v/>
      </c>
      <c r="AP86" s="230" t="str">
        <f aca="false">IFERROR(IF(L$26*L$27*L23&gt;0,STDEV(L$26:L$27,L23)," ")/IF(L$26*L$27*L23&gt;0,SQRT(COUNT(L$26:L$27,L23))," "),"")</f>
        <v/>
      </c>
      <c r="AQ86" s="230" t="str">
        <f aca="false">IFERROR(IF(M$26*M$27*M23&gt;0,STDEV(M$26:M$27,M23)," ")/IF(M$26*M$27*M23&gt;0,SQRT(COUNT(M$26:M$27,M23))," "),"")</f>
        <v/>
      </c>
      <c r="AR86" s="230" t="str">
        <f aca="false">IFERROR(IF(N$26*N$27*N23&gt;0,STDEV(N$26:N$27,N23)," ")/IF(N$26*N$27*N23&gt;0,SQRT(COUNT(N$26:N$27,N23))," "),"")</f>
        <v/>
      </c>
    </row>
    <row r="87" customFormat="false" ht="15.75" hidden="false" customHeight="false" outlineLevel="0" collapsed="false">
      <c r="A87" s="220" t="s">
        <v>413</v>
      </c>
      <c r="B87" s="221"/>
      <c r="C87" s="261" t="str">
        <f aca="false">IFERROR(IF(C$26*C$27*C24&gt;0,AVERAGE(C$26:C$27,C24),""),"")</f>
        <v/>
      </c>
      <c r="D87" s="261" t="str">
        <f aca="false">IFERROR(IF(D$26*D$27*D24&gt;0,AVERAGE(D$26:D$27,D24),""),"")</f>
        <v/>
      </c>
      <c r="E87" s="261" t="str">
        <f aca="false">IFERROR(IF(E$26*E$27*E24&gt;0,AVERAGE(E$26:E$27,E24),""),"")</f>
        <v/>
      </c>
      <c r="F87" s="261" t="str">
        <f aca="false">IFERROR(IF(F$26*F$27*F24&gt;0,AVERAGE(F$26:F$27,F24),""),"")</f>
        <v/>
      </c>
      <c r="G87" s="261" t="str">
        <f aca="false">IFERROR(IF(G$26*G$27*G24&gt;0,AVERAGE(G$26:G$27,G24),""),"")</f>
        <v/>
      </c>
      <c r="H87" s="261" t="str">
        <f aca="false">IFERROR(IF(H$26*H$27*H24&gt;0,AVERAGE(H$26:H$27,H24),""),"")</f>
        <v/>
      </c>
      <c r="I87" s="261" t="str">
        <f aca="false">IFERROR(IF(I$26*I$27*I24&gt;0,AVERAGE(I$26:I$27,I24),""),"")</f>
        <v/>
      </c>
      <c r="J87" s="261" t="str">
        <f aca="false">IFERROR(IF(J$26*J$27*J24&gt;0,AVERAGE(J$26:J$27,J24),""),"")</f>
        <v/>
      </c>
      <c r="K87" s="261" t="str">
        <f aca="false">IFERROR(IF(K$26*K$27*K24&gt;0,AVERAGE(K$26:K$27,K24),""),"")</f>
        <v/>
      </c>
      <c r="L87" s="261" t="str">
        <f aca="false">IFERROR(IF(L$26*L$27*L24&gt;0,AVERAGE(L$26:L$27,L24),""),"")</f>
        <v/>
      </c>
      <c r="M87" s="261" t="str">
        <f aca="false">IFERROR(IF(M$26*M$27*M24&gt;0,AVERAGE(M$26:M$27,M24),""),"")</f>
        <v/>
      </c>
      <c r="N87" s="261" t="str">
        <f aca="false">IFERROR(IF(N$26*N$27*N24&gt;0,AVERAGE(N$26:N$27,N24),""),"")</f>
        <v/>
      </c>
      <c r="O87" s="253"/>
      <c r="P87" s="253"/>
      <c r="Q87" s="254"/>
      <c r="R87" s="226" t="s">
        <v>414</v>
      </c>
      <c r="S87" s="227" t="str">
        <f aca="false">IFERROR(IF(C$26*C$27*C24&gt;0,STDEV(C$26:C$27,C24),"")/IF(C$26*C$27*C24&gt;0,AVERAGE(C$26:C$27,C24),""),"")</f>
        <v/>
      </c>
      <c r="T87" s="227" t="str">
        <f aca="false">IFERROR(IF(D$26*D$27*D24&gt;0,STDEV(D$26:D$27,D24),"")/IF(D$26*D$27*D24&gt;0,AVERAGE(D$26:D$27,D24),""),"")</f>
        <v/>
      </c>
      <c r="U87" s="227" t="str">
        <f aca="false">IFERROR(IF(E$26*E$27*E24&gt;0,STDEV(E$26:E$27,E24),"")/IF(E$26*E$27*E24&gt;0,AVERAGE(E$26:E$27,E24),""),"")</f>
        <v/>
      </c>
      <c r="V87" s="227" t="str">
        <f aca="false">IFERROR(IF(F$26*F$27*F24&gt;0,STDEV(F$26:F$27,F24),"")/IF(F$26*F$27*F24&gt;0,AVERAGE(F$26:F$27,F24),""),"")</f>
        <v/>
      </c>
      <c r="W87" s="227" t="str">
        <f aca="false">IFERROR(IF(G$26*G$27*G24&gt;0,STDEV(G$26:G$27,G24),"")/IF(G$26*G$27*G24&gt;0,AVERAGE(G$26:G$27,G24),""),"")</f>
        <v/>
      </c>
      <c r="X87" s="227" t="str">
        <f aca="false">IFERROR(IF(H$26*H$27*H24&gt;0,STDEV(H$26:H$27,H24),"")/IF(H$26*H$27*H24&gt;0,AVERAGE(H$26:H$27,H24),""),"")</f>
        <v/>
      </c>
      <c r="Y87" s="227" t="str">
        <f aca="false">IFERROR(IF(I$26*I$27*I24&gt;0,STDEV(I$26:I$27,I24),"")/IF(I$26*I$27*I24&gt;0,AVERAGE(I$26:I$27,I24),""),"")</f>
        <v/>
      </c>
      <c r="Z87" s="227" t="str">
        <f aca="false">IFERROR(IF(J$26*J$27*J24&gt;0,STDEV(J$26:J$27,J24),"")/IF(J$26*J$27*J24&gt;0,AVERAGE(J$26:J$27,J24),""),"")</f>
        <v/>
      </c>
      <c r="AA87" s="227" t="str">
        <f aca="false">IFERROR(IF(K$26*K$27*K24&gt;0,STDEV(K$26:K$27,K24),"")/IF(K$26*K$27*K24&gt;0,AVERAGE(K$26:K$27,K24),""),"")</f>
        <v/>
      </c>
      <c r="AB87" s="227" t="str">
        <f aca="false">IFERROR(IF(L$26*L$27*L24&gt;0,STDEV(L$26:L$27,L24),"")/IF(L$26*L$27*L24&gt;0,AVERAGE(L$26:L$27,L24),""),"")</f>
        <v/>
      </c>
      <c r="AC87" s="227" t="str">
        <f aca="false">IFERROR(IF(M$26*M$27*M24&gt;0,STDEV(M$26:M$27,M24),"")/IF(M$26*M$27*M24&gt;0,AVERAGE(M$26:M$27,M24),""),"")</f>
        <v/>
      </c>
      <c r="AD87" s="227" t="str">
        <f aca="false">IFERROR(IF(N$26*N$27*N24&gt;0,STDEV(N$26:N$27,N24),"")/IF(N$26*N$27*N24&gt;0,AVERAGE(N$26:N$27,N24),""),"")</f>
        <v/>
      </c>
      <c r="AE87" s="233"/>
      <c r="AF87" s="229" t="s">
        <v>415</v>
      </c>
      <c r="AG87" s="230" t="str">
        <f aca="false">IFERROR(IF(C$26*C$27*C24&gt;0,STDEV(C$26:C$27,C24)," ")/IF(C$26*C$27*C24&gt;0,SQRT(COUNT(C$26:C$27,C24))," "),"")</f>
        <v/>
      </c>
      <c r="AH87" s="230" t="str">
        <f aca="false">IFERROR(IF(D$26*D$27*D24&gt;0,STDEV(D$26:D$27,D24)," ")/IF(D$26*D$27*D24&gt;0,SQRT(COUNT(D$26:D$27,D24))," "),"")</f>
        <v/>
      </c>
      <c r="AI87" s="230" t="str">
        <f aca="false">IFERROR(IF(E$26*E$27*E24&gt;0,STDEV(E$26:E$27,E24)," ")/IF(E$26*E$27*E24&gt;0,SQRT(COUNT(E$26:E$27,E24))," "),"")</f>
        <v/>
      </c>
      <c r="AJ87" s="230" t="str">
        <f aca="false">IFERROR(IF(F$26*F$27*F24&gt;0,STDEV(F$26:F$27,F24)," ")/IF(F$26*F$27*F24&gt;0,SQRT(COUNT(F$26:F$27,F24))," "),"")</f>
        <v/>
      </c>
      <c r="AK87" s="230" t="str">
        <f aca="false">IFERROR(IF(G$26*G$27*G24&gt;0,STDEV(G$26:G$27,G24)," ")/IF(G$26*G$27*G24&gt;0,SQRT(COUNT(G$26:G$27,G24))," "),"")</f>
        <v/>
      </c>
      <c r="AL87" s="230" t="str">
        <f aca="false">IFERROR(IF(H$26*H$27*H24&gt;0,STDEV(H$26:H$27,H24)," ")/IF(H$26*H$27*H24&gt;0,SQRT(COUNT(H$26:H$27,H24))," "),"")</f>
        <v/>
      </c>
      <c r="AM87" s="230" t="str">
        <f aca="false">IFERROR(IF(I$26*I$27*I24&gt;0,STDEV(I$26:I$27,I24)," ")/IF(I$26*I$27*I24&gt;0,SQRT(COUNT(I$26:I$27,I24))," "),"")</f>
        <v/>
      </c>
      <c r="AN87" s="230" t="str">
        <f aca="false">IFERROR(IF(J$26*J$27*J24&gt;0,STDEV(J$26:J$27,J24)," ")/IF(J$26*J$27*J24&gt;0,SQRT(COUNT(J$26:J$27,J24))," "),"")</f>
        <v/>
      </c>
      <c r="AO87" s="230" t="str">
        <f aca="false">IFERROR(IF(K$26*K$27*K24&gt;0,STDEV(K$26:K$27,K24)," ")/IF(K$26*K$27*K24&gt;0,SQRT(COUNT(K$26:K$27,K24))," "),"")</f>
        <v/>
      </c>
      <c r="AP87" s="230" t="str">
        <f aca="false">IFERROR(IF(L$26*L$27*L24&gt;0,STDEV(L$26:L$27,L24)," ")/IF(L$26*L$27*L24&gt;0,SQRT(COUNT(L$26:L$27,L24))," "),"")</f>
        <v/>
      </c>
      <c r="AQ87" s="230" t="str">
        <f aca="false">IFERROR(IF(M$26*M$27*M24&gt;0,STDEV(M$26:M$27,M24)," ")/IF(M$26*M$27*M24&gt;0,SQRT(COUNT(M$26:M$27,M24))," "),"")</f>
        <v/>
      </c>
      <c r="AR87" s="230" t="str">
        <f aca="false">IFERROR(IF(N$26*N$27*N24&gt;0,STDEV(N$26:N$27,N24)," ")/IF(N$26*N$27*N24&gt;0,SQRT(COUNT(N$26:N$27,N24))," "),"")</f>
        <v/>
      </c>
    </row>
    <row r="88" customFormat="false" ht="15.75" hidden="false" customHeight="false" outlineLevel="0" collapsed="false">
      <c r="A88" s="220" t="s">
        <v>416</v>
      </c>
      <c r="B88" s="221"/>
      <c r="C88" s="261" t="str">
        <f aca="false">IFERROR(IF(C$21*C$23*C$25&gt;0,AVERAGE(C$21,C$23,C$25),""),"")</f>
        <v/>
      </c>
      <c r="D88" s="261" t="str">
        <f aca="false">IFERROR(IF(D$21*D$23*D$25&gt;0,AVERAGE(D$21,D$23,D$25),""),"")</f>
        <v/>
      </c>
      <c r="E88" s="261" t="str">
        <f aca="false">IFERROR(IF(E$21*E$23*E$25&gt;0,AVERAGE(E$21,E$23,E$25),""),"")</f>
        <v/>
      </c>
      <c r="F88" s="261" t="str">
        <f aca="false">IFERROR(IF(F$21*F$23*F$25&gt;0,AVERAGE(F$21,F$23,F$25),""),"")</f>
        <v/>
      </c>
      <c r="G88" s="261" t="str">
        <f aca="false">IFERROR(IF(G$21*G$23*G$25&gt;0,AVERAGE(G$21,G$23,G$25),""),"")</f>
        <v/>
      </c>
      <c r="H88" s="261" t="str">
        <f aca="false">IFERROR(IF(H$21*H$23*H$25&gt;0,AVERAGE(H$21,H$23,H$25),""),"")</f>
        <v/>
      </c>
      <c r="I88" s="261" t="str">
        <f aca="false">IFERROR(IF(I$21*I$23*I$25&gt;0,AVERAGE(I$21,I$23,I$25),""),"")</f>
        <v/>
      </c>
      <c r="J88" s="261" t="str">
        <f aca="false">IFERROR(IF(J$21*J$23*J$25&gt;0,AVERAGE(J$21,J$23,J$25),""),"")</f>
        <v/>
      </c>
      <c r="K88" s="261" t="str">
        <f aca="false">IFERROR(IF(K$21*K$23*K$25&gt;0,AVERAGE(K$21,K$23,K$25),""),"")</f>
        <v/>
      </c>
      <c r="L88" s="261" t="str">
        <f aca="false">IFERROR(IF(L$21*L$23*L$25&gt;0,AVERAGE(L$21,L$23,L$25),""),"")</f>
        <v/>
      </c>
      <c r="M88" s="261" t="str">
        <f aca="false">IFERROR(IF(M$21*M$23*M$25&gt;0,AVERAGE(M$21,M$23,M$25),""),"")</f>
        <v/>
      </c>
      <c r="N88" s="261" t="str">
        <f aca="false">IFERROR(IF(N$21*N$23*N$25&gt;0,AVERAGE(N$21,N$23,N$25),""),"")</f>
        <v/>
      </c>
      <c r="O88" s="253"/>
      <c r="P88" s="253"/>
      <c r="Q88" s="254"/>
      <c r="R88" s="226" t="s">
        <v>417</v>
      </c>
      <c r="S88" s="227" t="str">
        <f aca="false">IFERROR(IF(C$21*C$23*C$25&gt;0,STDEV(C$21,C$23,C$25),"")/IF(C$21*C$23*C$25&gt;0,AVERAGE(C$21,C$23,C$25),""),"")</f>
        <v/>
      </c>
      <c r="T88" s="227" t="str">
        <f aca="false">IFERROR(IF(D$21*D$23*D$25&gt;0,STDEV(D$21,D$23,D$25),"")/IF(D$21*D$23*D$25&gt;0,AVERAGE(D$21,D$23,D$25),""),"")</f>
        <v/>
      </c>
      <c r="U88" s="227" t="str">
        <f aca="false">IFERROR(IF(E$21*E$23*E$25&gt;0,STDEV(E$21,E$23,E$25),"")/IF(E$21*E$23*E$25&gt;0,AVERAGE(E$21,E$23,E$25),""),"")</f>
        <v/>
      </c>
      <c r="V88" s="227" t="str">
        <f aca="false">IFERROR(IF(F$21*F$23*F$25&gt;0,STDEV(F$21,F$23,F$25),"")/IF(F$21*F$23*F$25&gt;0,AVERAGE(F$21,F$23,F$25),""),"")</f>
        <v/>
      </c>
      <c r="W88" s="227" t="str">
        <f aca="false">IFERROR(IF(G$21*G$23*G$25&gt;0,STDEV(G$21,G$23,G$25),"")/IF(G$21*G$23*G$25&gt;0,AVERAGE(G$21,G$23,G$25),""),"")</f>
        <v/>
      </c>
      <c r="X88" s="227" t="str">
        <f aca="false">IFERROR(IF(H$21*H$23*H$25&gt;0,STDEV(H$21,H$23,H$25),"")/IF(H$21*H$23*H$25&gt;0,AVERAGE(H$21,H$23,H$25),""),"")</f>
        <v/>
      </c>
      <c r="Y88" s="227" t="str">
        <f aca="false">IFERROR(IF(I$21*I$23*I$25&gt;0,STDEV(I$21,I$23,I$25),"")/IF(I$21*I$23*I$25&gt;0,AVERAGE(I$21,I$23,I$25),""),"")</f>
        <v/>
      </c>
      <c r="Z88" s="227" t="str">
        <f aca="false">IFERROR(IF(J$21*J$23*J$25&gt;0,STDEV(J$21,J$23,J$25),"")/IF(J$21*J$23*J$25&gt;0,AVERAGE(J$21,J$23,J$25),""),"")</f>
        <v/>
      </c>
      <c r="AA88" s="227" t="str">
        <f aca="false">IFERROR(IF(K$21*K$23*K$25&gt;0,STDEV(K$21,K$23,K$25),"")/IF(K$21*K$23*K$25&gt;0,AVERAGE(K$21,K$23,K$25),""),"")</f>
        <v/>
      </c>
      <c r="AB88" s="227" t="str">
        <f aca="false">IFERROR(IF(L$21*L$23*L$25&gt;0,STDEV(L$21,L$23,L$25),"")/IF(L$21*L$23*L$25&gt;0,AVERAGE(L$21,L$23,L$25),""),"")</f>
        <v/>
      </c>
      <c r="AC88" s="227" t="str">
        <f aca="false">IFERROR(IF(M$21*M$23*M$25&gt;0,STDEV(M$21,M$23,M$25),"")/IF(M$21*M$23*M$25&gt;0,AVERAGE(M$21,M$23,M$25),""),"")</f>
        <v/>
      </c>
      <c r="AD88" s="227" t="str">
        <f aca="false">IFERROR(IF(N$21*N$23*N$25&gt;0,STDEV(N$21,N$23,N$25),"")/IF(N$21*N$23*N$25&gt;0,AVERAGE(N$21,N$23,N$25),""),"")</f>
        <v/>
      </c>
      <c r="AE88" s="233"/>
      <c r="AF88" s="229" t="s">
        <v>418</v>
      </c>
      <c r="AG88" s="230" t="str">
        <f aca="false">IFERROR(IF(C$21*C$23*C$25&gt;0,STDEV(C$21,C$23,C$25)," ")/IF(C$21*C$23*C$25&gt;0,SQRT(COUNT(C$21,C$23,C$25))," "),"")</f>
        <v/>
      </c>
      <c r="AH88" s="230" t="str">
        <f aca="false">IFERROR(IF(D$21*D$23*D$25&gt;0,STDEV(D$21,D$23,D$25)," ")/IF(D$21*D$23*D$25&gt;0,SQRT(COUNT(D$21,D$23,D$25))," "),"")</f>
        <v/>
      </c>
      <c r="AI88" s="230" t="str">
        <f aca="false">IFERROR(IF(E$21*E$23*E$25&gt;0,STDEV(E$21,E$23,E$25)," ")/IF(E$21*E$23*E$25&gt;0,SQRT(COUNT(E$21,E$23,E$25))," "),"")</f>
        <v/>
      </c>
      <c r="AJ88" s="230" t="str">
        <f aca="false">IFERROR(IF(F$21*F$23*F$25&gt;0,STDEV(F$21,F$23,F$25)," ")/IF(F$21*F$23*F$25&gt;0,SQRT(COUNT(F$21,F$23,F$25))," "),"")</f>
        <v/>
      </c>
      <c r="AK88" s="230" t="str">
        <f aca="false">IFERROR(IF(G$21*G$23*G$25&gt;0,STDEV(G$21,G$23,G$25)," ")/IF(G$21*G$23*G$25&gt;0,SQRT(COUNT(G$21,G$23,G$25))," "),"")</f>
        <v/>
      </c>
      <c r="AL88" s="230" t="str">
        <f aca="false">IFERROR(IF(H$21*H$23*H$25&gt;0,STDEV(H$21,H$23,H$25)," ")/IF(H$21*H$23*H$25&gt;0,SQRT(COUNT(H$21,H$23,H$25))," "),"")</f>
        <v/>
      </c>
      <c r="AM88" s="230" t="str">
        <f aca="false">IFERROR(IF(I$21*I$23*I$25&gt;0,STDEV(I$21,I$23,I$25)," ")/IF(I$21*I$23*I$25&gt;0,SQRT(COUNT(I$21,I$23,I$25))," "),"")</f>
        <v/>
      </c>
      <c r="AN88" s="230" t="str">
        <f aca="false">IFERROR(IF(J$21*J$23*J$25&gt;0,STDEV(J$21,J$23,J$25)," ")/IF(J$21*J$23*J$25&gt;0,SQRT(COUNT(J$21,J$23,J$25))," "),"")</f>
        <v/>
      </c>
      <c r="AO88" s="230" t="str">
        <f aca="false">IFERROR(IF(K$21*K$23*K$25&gt;0,STDEV(K$21,K$23,K$25)," ")/IF(K$21*K$23*K$25&gt;0,SQRT(COUNT(K$21,K$23,K$25))," "),"")</f>
        <v/>
      </c>
      <c r="AP88" s="230" t="str">
        <f aca="false">IFERROR(IF(L$21*L$23*L$25&gt;0,STDEV(L$21,L$23,L$25)," ")/IF(L$21*L$23*L$25&gt;0,SQRT(COUNT(L$21,L$23,L$25))," "),"")</f>
        <v/>
      </c>
      <c r="AQ88" s="230" t="str">
        <f aca="false">IFERROR(IF(M$21*M$23*M$25&gt;0,STDEV(M$21,M$23,M$25)," ")/IF(M$21*M$23*M$25&gt;0,SQRT(COUNT(M$21,M$23,M$25))," "),"")</f>
        <v/>
      </c>
      <c r="AR88" s="230" t="str">
        <f aca="false">IFERROR(IF(N$21*N$23*N$25&gt;0,STDEV(N$21,N$23,N$25)," ")/IF(N$21*N$23*N$25&gt;0,SQRT(COUNT(N$21,N$23,N$25))," "),"")</f>
        <v/>
      </c>
    </row>
    <row r="89" customFormat="false" ht="15.75" hidden="false" customHeight="false" outlineLevel="0" collapsed="false">
      <c r="A89" s="220" t="s">
        <v>419</v>
      </c>
      <c r="B89" s="221"/>
      <c r="C89" s="261" t="str">
        <f aca="false">IFERROR(IF(C$21*C$24*C$26&gt;0,AVERAGE(C$21,C$24,C$26),""),"")</f>
        <v/>
      </c>
      <c r="D89" s="261" t="str">
        <f aca="false">IFERROR(IF(D$21*D$24*D$26&gt;0,AVERAGE(D$21,D$24,D$26),""),"")</f>
        <v/>
      </c>
      <c r="E89" s="261" t="str">
        <f aca="false">IFERROR(IF(E$21*E$24*E$26&gt;0,AVERAGE(E$21,E$24,E$26),""),"")</f>
        <v/>
      </c>
      <c r="F89" s="261" t="str">
        <f aca="false">IFERROR(IF(F$21*F$24*F$26&gt;0,AVERAGE(F$21,F$24,F$26),""),"")</f>
        <v/>
      </c>
      <c r="G89" s="261" t="str">
        <f aca="false">IFERROR(IF(G$21*G$24*G$26&gt;0,AVERAGE(G$21,G$24,G$26),""),"")</f>
        <v/>
      </c>
      <c r="H89" s="261" t="str">
        <f aca="false">IFERROR(IF(H$21*H$24*H$26&gt;0,AVERAGE(H$21,H$24,H$26),""),"")</f>
        <v/>
      </c>
      <c r="I89" s="261" t="str">
        <f aca="false">IFERROR(IF(I$21*I$24*I$26&gt;0,AVERAGE(I$21,I$24,I$26),""),"")</f>
        <v/>
      </c>
      <c r="J89" s="261" t="str">
        <f aca="false">IFERROR(IF(J$21*J$24*J$26&gt;0,AVERAGE(J$21,J$24,J$26),""),"")</f>
        <v/>
      </c>
      <c r="K89" s="261" t="str">
        <f aca="false">IFERROR(IF(K$21*K$24*K$26&gt;0,AVERAGE(K$21,K$24,K$26),""),"")</f>
        <v/>
      </c>
      <c r="L89" s="261" t="str">
        <f aca="false">IFERROR(IF(L$21*L$24*L$26&gt;0,AVERAGE(L$21,L$24,L$26),""),"")</f>
        <v/>
      </c>
      <c r="M89" s="261" t="str">
        <f aca="false">IFERROR(IF(M$21*M$24*M$26&gt;0,AVERAGE(M$21,M$24,M$26),""),"")</f>
        <v/>
      </c>
      <c r="N89" s="261" t="str">
        <f aca="false">IFERROR(IF(N$21*N$24*N$26&gt;0,AVERAGE(N$21,N$24,N$26),""),"")</f>
        <v/>
      </c>
      <c r="O89" s="253"/>
      <c r="P89" s="253"/>
      <c r="Q89" s="254"/>
      <c r="R89" s="226" t="s">
        <v>420</v>
      </c>
      <c r="S89" s="227" t="str">
        <f aca="false">IFERROR(IF(C$21*C$24*C$26&gt;0,STDEV(C$21,C$24,C$26),"")/IF(C$21*C$24*C$26&gt;0,AVERAGE(C$21,C$24,C$26),""),"")</f>
        <v/>
      </c>
      <c r="T89" s="227" t="str">
        <f aca="false">IFERROR(IF(D$21*D$24*D$26&gt;0,STDEV(D$21,D$24,D$26),"")/IF(D$21*D$24*D$26&gt;0,AVERAGE(D$21,D$24,D$26),""),"")</f>
        <v/>
      </c>
      <c r="U89" s="227" t="str">
        <f aca="false">IFERROR(IF(E$21*E$24*E$26&gt;0,STDEV(E$21,E$24,E$26),"")/IF(E$21*E$24*E$26&gt;0,AVERAGE(E$21,E$24,E$26),""),"")</f>
        <v/>
      </c>
      <c r="V89" s="227" t="str">
        <f aca="false">IFERROR(IF(F$21*F$24*F$26&gt;0,STDEV(F$21,F$24,F$26),"")/IF(F$21*F$24*F$26&gt;0,AVERAGE(F$21,F$24,F$26),""),"")</f>
        <v/>
      </c>
      <c r="W89" s="227" t="str">
        <f aca="false">IFERROR(IF(G$21*G$24*G$26&gt;0,STDEV(G$21,G$24,G$26),"")/IF(G$21*G$24*G$26&gt;0,AVERAGE(G$21,G$24,G$26),""),"")</f>
        <v/>
      </c>
      <c r="X89" s="227" t="str">
        <f aca="false">IFERROR(IF(H$21*H$24*H$26&gt;0,STDEV(H$21,H$24,H$26),"")/IF(H$21*H$24*H$26&gt;0,AVERAGE(H$21,H$24,H$26),""),"")</f>
        <v/>
      </c>
      <c r="Y89" s="227" t="str">
        <f aca="false">IFERROR(IF(I$21*I$24*I$26&gt;0,STDEV(I$21,I$24,I$26),"")/IF(I$21*I$24*I$26&gt;0,AVERAGE(I$21,I$24,I$26),""),"")</f>
        <v/>
      </c>
      <c r="Z89" s="227" t="str">
        <f aca="false">IFERROR(IF(J$21*J$24*J$26&gt;0,STDEV(J$21,J$24,J$26),"")/IF(J$21*J$24*J$26&gt;0,AVERAGE(J$21,J$24,J$26),""),"")</f>
        <v/>
      </c>
      <c r="AA89" s="227" t="str">
        <f aca="false">IFERROR(IF(K$21*K$24*K$26&gt;0,STDEV(K$21,K$24,K$26),"")/IF(K$21*K$24*K$26&gt;0,AVERAGE(K$21,K$24,K$26),""),"")</f>
        <v/>
      </c>
      <c r="AB89" s="227" t="str">
        <f aca="false">IFERROR(IF(L$21*L$24*L$26&gt;0,STDEV(L$21,L$24,L$26),"")/IF(L$21*L$24*L$26&gt;0,AVERAGE(L$21,L$24,L$26),""),"")</f>
        <v/>
      </c>
      <c r="AC89" s="227" t="str">
        <f aca="false">IFERROR(IF(M$21*M$24*M$26&gt;0,STDEV(M$21,M$24,M$26),"")/IF(M$21*M$24*M$26&gt;0,AVERAGE(M$21,M$24,M$26),""),"")</f>
        <v/>
      </c>
      <c r="AD89" s="227" t="str">
        <f aca="false">IFERROR(IF(N$21*N$24*N$26&gt;0,STDEV(N$21,N$24,N$26),"")/IF(N$21*N$24*N$26&gt;0,AVERAGE(N$21,N$24,N$26),""),"")</f>
        <v/>
      </c>
      <c r="AE89" s="233"/>
      <c r="AF89" s="229" t="s">
        <v>421</v>
      </c>
      <c r="AG89" s="230" t="str">
        <f aca="false">IFERROR(IF(C$21*C$24*C$26&gt;0,STDEV(C$21,C$24,C$26)," ")/IF(C$21*C$24*C$26&gt;0,SQRT(COUNT(C$21,C$24,C$26))," "),"")</f>
        <v/>
      </c>
      <c r="AH89" s="230" t="str">
        <f aca="false">IFERROR(IF(D$21*D$24*D$26&gt;0,STDEV(D$21,D$24,D$26)," ")/IF(D$21*D$24*D$26&gt;0,SQRT(COUNT(D$21,D$24,D$26))," "),"")</f>
        <v/>
      </c>
      <c r="AI89" s="230" t="str">
        <f aca="false">IFERROR(IF(E$21*E$24*E$26&gt;0,STDEV(E$21,E$24,E$26)," ")/IF(E$21*E$24*E$26&gt;0,SQRT(COUNT(E$21,E$24,E$26))," "),"")</f>
        <v/>
      </c>
      <c r="AJ89" s="230" t="str">
        <f aca="false">IFERROR(IF(F$21*F$24*F$26&gt;0,STDEV(F$21,F$24,F$26)," ")/IF(F$21*F$24*F$26&gt;0,SQRT(COUNT(F$21,F$24,F$26))," "),"")</f>
        <v/>
      </c>
      <c r="AK89" s="230" t="str">
        <f aca="false">IFERROR(IF(G$21*G$24*G$26&gt;0,STDEV(G$21,G$24,G$26)," ")/IF(G$21*G$24*G$26&gt;0,SQRT(COUNT(G$21,G$24,G$26))," "),"")</f>
        <v/>
      </c>
      <c r="AL89" s="230" t="str">
        <f aca="false">IFERROR(IF(H$21*H$24*H$26&gt;0,STDEV(H$21,H$24,H$26)," ")/IF(H$21*H$24*H$26&gt;0,SQRT(COUNT(H$21,H$24,H$26))," "),"")</f>
        <v/>
      </c>
      <c r="AM89" s="230" t="str">
        <f aca="false">IFERROR(IF(I$21*I$24*I$26&gt;0,STDEV(I$21,I$24,I$26)," ")/IF(I$21*I$24*I$26&gt;0,SQRT(COUNT(I$21,I$24,I$26))," "),"")</f>
        <v/>
      </c>
      <c r="AN89" s="230" t="str">
        <f aca="false">IFERROR(IF(J$21*J$24*J$26&gt;0,STDEV(J$21,J$24,J$26)," ")/IF(J$21*J$24*J$26&gt;0,SQRT(COUNT(J$21,J$24,J$26))," "),"")</f>
        <v/>
      </c>
      <c r="AO89" s="230" t="str">
        <f aca="false">IFERROR(IF(K$21*K$24*K$26&gt;0,STDEV(K$21,K$24,K$26)," ")/IF(K$21*K$24*K$26&gt;0,SQRT(COUNT(K$21,K$24,K$26))," "),"")</f>
        <v/>
      </c>
      <c r="AP89" s="230" t="str">
        <f aca="false">IFERROR(IF(L$21*L$24*L$26&gt;0,STDEV(L$21,L$24,L$26)," ")/IF(L$21*L$24*L$26&gt;0,SQRT(COUNT(L$21,L$24,L$26))," "),"")</f>
        <v/>
      </c>
      <c r="AQ89" s="230" t="str">
        <f aca="false">IFERROR(IF(M$21*M$24*M$26&gt;0,STDEV(M$21,M$24,M$26)," ")/IF(M$21*M$24*M$26&gt;0,SQRT(COUNT(M$21,M$24,M$26))," "),"")</f>
        <v/>
      </c>
      <c r="AR89" s="230" t="str">
        <f aca="false">IFERROR(IF(N$21*N$24*N$26&gt;0,STDEV(N$21,N$24,N$26)," ")/IF(N$21*N$24*N$26&gt;0,SQRT(COUNT(N$21,N$24,N$26))," "),"")</f>
        <v/>
      </c>
    </row>
    <row r="90" customFormat="false" ht="15.75" hidden="false" customHeight="false" outlineLevel="0" collapsed="false">
      <c r="A90" s="220" t="s">
        <v>422</v>
      </c>
      <c r="B90" s="221"/>
      <c r="C90" s="261" t="str">
        <f aca="false">IFERROR(IF(C$21*C$24*C$27&gt;0,AVERAGE(C$21,C$24,C$27),""),"")</f>
        <v/>
      </c>
      <c r="D90" s="261" t="str">
        <f aca="false">IFERROR(IF(D$21*D$24*D$27&gt;0,AVERAGE(D$21,D$24,D$27),""),"")</f>
        <v/>
      </c>
      <c r="E90" s="261" t="str">
        <f aca="false">IFERROR(IF(E$21*E$24*E$27&gt;0,AVERAGE(E$21,E$24,E$27),""),"")</f>
        <v/>
      </c>
      <c r="F90" s="261" t="str">
        <f aca="false">IFERROR(IF(F$21*F$24*F$27&gt;0,AVERAGE(F$21,F$24,F$27),""),"")</f>
        <v/>
      </c>
      <c r="G90" s="261" t="str">
        <f aca="false">IFERROR(IF(G$21*G$24*G$27&gt;0,AVERAGE(G$21,G$24,G$27),""),"")</f>
        <v/>
      </c>
      <c r="H90" s="261" t="str">
        <f aca="false">IFERROR(IF(H$21*H$24*H$27&gt;0,AVERAGE(H$21,H$24,H$27),""),"")</f>
        <v/>
      </c>
      <c r="I90" s="261" t="str">
        <f aca="false">IFERROR(IF(I$21*I$24*I$27&gt;0,AVERAGE(I$21,I$24,I$27),""),"")</f>
        <v/>
      </c>
      <c r="J90" s="261" t="str">
        <f aca="false">IFERROR(IF(J$21*J$24*J$27&gt;0,AVERAGE(J$21,J$24,J$27),""),"")</f>
        <v/>
      </c>
      <c r="K90" s="261" t="str">
        <f aca="false">IFERROR(IF(K$21*K$24*K$27&gt;0,AVERAGE(K$21,K$24,K$27),""),"")</f>
        <v/>
      </c>
      <c r="L90" s="261" t="str">
        <f aca="false">IFERROR(IF(L$21*L$24*L$27&gt;0,AVERAGE(L$21,L$24,L$27),""),"")</f>
        <v/>
      </c>
      <c r="M90" s="261" t="str">
        <f aca="false">IFERROR(IF(M$21*M$24*M$27&gt;0,AVERAGE(M$21,M$24,M$27),""),"")</f>
        <v/>
      </c>
      <c r="N90" s="261" t="str">
        <f aca="false">IFERROR(IF(N$21*N$24*N$27&gt;0,AVERAGE(N$21,N$24,N$27),""),"")</f>
        <v/>
      </c>
      <c r="O90" s="253"/>
      <c r="P90" s="253"/>
      <c r="Q90" s="254"/>
      <c r="R90" s="226" t="s">
        <v>423</v>
      </c>
      <c r="S90" s="227" t="str">
        <f aca="false">IFERROR(IF(C$21*C$24*C$27&gt;0,STDEV(C$21,C$24,C$27),"")/IF(C$21*C$24*C$27&gt;0,AVERAGE(C$21,C$24,C$27),""),"")</f>
        <v/>
      </c>
      <c r="T90" s="227" t="str">
        <f aca="false">IFERROR(IF(D$21*D$24*D$27&gt;0,STDEV(D$21,D$24,D$27),"")/IF(D$21*D$24*D$27&gt;0,AVERAGE(D$21,D$24,D$27),""),"")</f>
        <v/>
      </c>
      <c r="U90" s="227" t="str">
        <f aca="false">IFERROR(IF(E$21*E$24*E$27&gt;0,STDEV(E$21,E$24,E$27),"")/IF(E$21*E$24*E$27&gt;0,AVERAGE(E$21,E$24,E$27),""),"")</f>
        <v/>
      </c>
      <c r="V90" s="227" t="str">
        <f aca="false">IFERROR(IF(F$21*F$24*F$27&gt;0,STDEV(F$21,F$24,F$27),"")/IF(F$21*F$24*F$27&gt;0,AVERAGE(F$21,F$24,F$27),""),"")</f>
        <v/>
      </c>
      <c r="W90" s="227" t="str">
        <f aca="false">IFERROR(IF(G$21*G$24*G$27&gt;0,STDEV(G$21,G$24,G$27),"")/IF(G$21*G$24*G$27&gt;0,AVERAGE(G$21,G$24,G$27),""),"")</f>
        <v/>
      </c>
      <c r="X90" s="227" t="str">
        <f aca="false">IFERROR(IF(H$21*H$24*H$27&gt;0,STDEV(H$21,H$24,H$27),"")/IF(H$21*H$24*H$27&gt;0,AVERAGE(H$21,H$24,H$27),""),"")</f>
        <v/>
      </c>
      <c r="Y90" s="227" t="str">
        <f aca="false">IFERROR(IF(I$21*I$24*I$27&gt;0,STDEV(I$21,I$24,I$27),"")/IF(I$21*I$24*I$27&gt;0,AVERAGE(I$21,I$24,I$27),""),"")</f>
        <v/>
      </c>
      <c r="Z90" s="227" t="str">
        <f aca="false">IFERROR(IF(J$21*J$24*J$27&gt;0,STDEV(J$21,J$24,J$27),"")/IF(J$21*J$24*J$27&gt;0,AVERAGE(J$21,J$24,J$27),""),"")</f>
        <v/>
      </c>
      <c r="AA90" s="227" t="str">
        <f aca="false">IFERROR(IF(K$21*K$24*K$27&gt;0,STDEV(K$21,K$24,K$27),"")/IF(K$21*K$24*K$27&gt;0,AVERAGE(K$21,K$24,K$27),""),"")</f>
        <v/>
      </c>
      <c r="AB90" s="227" t="str">
        <f aca="false">IFERROR(IF(L$21*L$24*L$27&gt;0,STDEV(L$21,L$24,L$27),"")/IF(L$21*L$24*L$27&gt;0,AVERAGE(L$21,L$24,L$27),""),"")</f>
        <v/>
      </c>
      <c r="AC90" s="227" t="str">
        <f aca="false">IFERROR(IF(M$21*M$24*M$27&gt;0,STDEV(M$21,M$24,M$27),"")/IF(M$21*M$24*M$27&gt;0,AVERAGE(M$21,M$24,M$27),""),"")</f>
        <v/>
      </c>
      <c r="AD90" s="227" t="str">
        <f aca="false">IFERROR(IF(N$21*N$24*N$27&gt;0,STDEV(N$21,N$24,N$27),"")/IF(N$21*N$24*N$27&gt;0,AVERAGE(N$21,N$24,N$27),""),"")</f>
        <v/>
      </c>
      <c r="AE90" s="233"/>
      <c r="AF90" s="229" t="s">
        <v>424</v>
      </c>
      <c r="AG90" s="230" t="str">
        <f aca="false">IFERROR(IF(C$21*C$24*C$27&gt;0,STDEV(C$21,C$24,C$27)," ")/IF(C$21*C$24*C$27&gt;0,SQRT(COUNT(C$21,C$24,C$27))," "),"")</f>
        <v/>
      </c>
      <c r="AH90" s="230" t="str">
        <f aca="false">IFERROR(IF(D$21*D$24*D$27&gt;0,STDEV(D$21,D$24,D$27)," ")/IF(D$21*D$24*D$27&gt;0,SQRT(COUNT(D$21,D$24,D$27))," "),"")</f>
        <v/>
      </c>
      <c r="AI90" s="230" t="str">
        <f aca="false">IFERROR(IF(E$21*E$24*E$27&gt;0,STDEV(E$21,E$24,E$27)," ")/IF(E$21*E$24*E$27&gt;0,SQRT(COUNT(E$21,E$24,E$27))," "),"")</f>
        <v/>
      </c>
      <c r="AJ90" s="230" t="str">
        <f aca="false">IFERROR(IF(F$21*F$24*F$27&gt;0,STDEV(F$21,F$24,F$27)," ")/IF(F$21*F$24*F$27&gt;0,SQRT(COUNT(F$21,F$24,F$27))," "),"")</f>
        <v/>
      </c>
      <c r="AK90" s="230" t="str">
        <f aca="false">IFERROR(IF(G$21*G$24*G$27&gt;0,STDEV(G$21,G$24,G$27)," ")/IF(G$21*G$24*G$27&gt;0,SQRT(COUNT(G$21,G$24,G$27))," "),"")</f>
        <v/>
      </c>
      <c r="AL90" s="230" t="str">
        <f aca="false">IFERROR(IF(H$21*H$24*H$27&gt;0,STDEV(H$21,H$24,H$27)," ")/IF(H$21*H$24*H$27&gt;0,SQRT(COUNT(H$21,H$24,H$27))," "),"")</f>
        <v/>
      </c>
      <c r="AM90" s="230" t="str">
        <f aca="false">IFERROR(IF(I$21*I$24*I$27&gt;0,STDEV(I$21,I$24,I$27)," ")/IF(I$21*I$24*I$27&gt;0,SQRT(COUNT(I$21,I$24,I$27))," "),"")</f>
        <v/>
      </c>
      <c r="AN90" s="230" t="str">
        <f aca="false">IFERROR(IF(J$21*J$24*J$27&gt;0,STDEV(J$21,J$24,J$27)," ")/IF(J$21*J$24*J$27&gt;0,SQRT(COUNT(J$21,J$24,J$27))," "),"")</f>
        <v/>
      </c>
      <c r="AO90" s="230" t="str">
        <f aca="false">IFERROR(IF(K$21*K$24*K$27&gt;0,STDEV(K$21,K$24,K$27)," ")/IF(K$21*K$24*K$27&gt;0,SQRT(COUNT(K$21,K$24,K$27))," "),"")</f>
        <v/>
      </c>
      <c r="AP90" s="230" t="str">
        <f aca="false">IFERROR(IF(L$21*L$24*L$27&gt;0,STDEV(L$21,L$24,L$27)," ")/IF(L$21*L$24*L$27&gt;0,SQRT(COUNT(L$21,L$24,L$27))," "),"")</f>
        <v/>
      </c>
      <c r="AQ90" s="230" t="str">
        <f aca="false">IFERROR(IF(M$21*M$24*M$27&gt;0,STDEV(M$21,M$24,M$27)," ")/IF(M$21*M$24*M$27&gt;0,SQRT(COUNT(M$21,M$24,M$27))," "),"")</f>
        <v/>
      </c>
      <c r="AR90" s="230" t="str">
        <f aca="false">IFERROR(IF(N$21*N$24*N$27&gt;0,STDEV(N$21,N$24,N$27)," ")/IF(N$21*N$24*N$27&gt;0,SQRT(COUNT(N$21,N$24,N$27))," "),"")</f>
        <v/>
      </c>
    </row>
    <row r="91" customFormat="false" ht="15.75" hidden="false" customHeight="false" outlineLevel="0" collapsed="false">
      <c r="A91" s="220" t="s">
        <v>425</v>
      </c>
      <c r="B91" s="221"/>
      <c r="C91" s="261" t="str">
        <f aca="false">IFERROR(IF(C$21*C$25*C$27&gt;0,AVERAGE(C$21,C$25,C$27),""),"")</f>
        <v/>
      </c>
      <c r="D91" s="261" t="str">
        <f aca="false">IFERROR(IF(D$21*D$25*D$27&gt;0,AVERAGE(D$21,D$25,D$27),""),"")</f>
        <v/>
      </c>
      <c r="E91" s="261" t="str">
        <f aca="false">IFERROR(IF(E$21*E$25*E$27&gt;0,AVERAGE(E$21,E$25,E$27),""),"")</f>
        <v/>
      </c>
      <c r="F91" s="261" t="str">
        <f aca="false">IFERROR(IF(F$21*F$25*F$27&gt;0,AVERAGE(F$21,F$25,F$27),""),"")</f>
        <v/>
      </c>
      <c r="G91" s="261" t="str">
        <f aca="false">IFERROR(IF(G$21*G$25*G$27&gt;0,AVERAGE(G$21,G$25,G$27),""),"")</f>
        <v/>
      </c>
      <c r="H91" s="261" t="str">
        <f aca="false">IFERROR(IF(H$21*H$25*H$27&gt;0,AVERAGE(H$21,H$25,H$27),""),"")</f>
        <v/>
      </c>
      <c r="I91" s="261" t="str">
        <f aca="false">IFERROR(IF(I$21*I$25*I$27&gt;0,AVERAGE(I$21,I$25,I$27),""),"")</f>
        <v/>
      </c>
      <c r="J91" s="261" t="str">
        <f aca="false">IFERROR(IF(J$21*J$25*J$27&gt;0,AVERAGE(J$21,J$25,J$27),""),"")</f>
        <v/>
      </c>
      <c r="K91" s="261" t="str">
        <f aca="false">IFERROR(IF(K$21*K$25*K$27&gt;0,AVERAGE(K$21,K$25,K$27),""),"")</f>
        <v/>
      </c>
      <c r="L91" s="261" t="str">
        <f aca="false">IFERROR(IF(L$21*L$25*L$27&gt;0,AVERAGE(L$21,L$25,L$27),""),"")</f>
        <v/>
      </c>
      <c r="M91" s="261" t="str">
        <f aca="false">IFERROR(IF(M$21*M$25*M$27&gt;0,AVERAGE(M$21,M$25,M$27),""),"")</f>
        <v/>
      </c>
      <c r="N91" s="261" t="str">
        <f aca="false">IFERROR(IF(N$21*N$25*N$27&gt;0,AVERAGE(N$21,N$25,N$27),""),"")</f>
        <v/>
      </c>
      <c r="O91" s="253"/>
      <c r="P91" s="253"/>
      <c r="Q91" s="254"/>
      <c r="R91" s="226" t="s">
        <v>426</v>
      </c>
      <c r="S91" s="227" t="str">
        <f aca="false">IFERROR(IF(C$21*C$25*C$27&gt;0,STDEV(C$21,C$25,C$27),"")/IF(C$21*C$25*C$27&gt;0,AVERAGE(C$21,C$25,C$27),""),"")</f>
        <v/>
      </c>
      <c r="T91" s="227" t="str">
        <f aca="false">IFERROR(IF(D$21*D$25*D$27&gt;0,STDEV(D$21,D$25,D$27),"")/IF(D$21*D$25*D$27&gt;0,AVERAGE(D$21,D$25,D$27),""),"")</f>
        <v/>
      </c>
      <c r="U91" s="227" t="str">
        <f aca="false">IFERROR(IF(E$21*E$25*E$27&gt;0,STDEV(E$21,E$25,E$27),"")/IF(E$21*E$25*E$27&gt;0,AVERAGE(E$21,E$25,E$27),""),"")</f>
        <v/>
      </c>
      <c r="V91" s="227" t="str">
        <f aca="false">IFERROR(IF(F$21*F$25*F$27&gt;0,STDEV(F$21,F$25,F$27),"")/IF(F$21*F$25*F$27&gt;0,AVERAGE(F$21,F$25,F$27),""),"")</f>
        <v/>
      </c>
      <c r="W91" s="227" t="str">
        <f aca="false">IFERROR(IF(G$21*G$25*G$27&gt;0,STDEV(G$21,G$25,G$27),"")/IF(G$21*G$25*G$27&gt;0,AVERAGE(G$21,G$25,G$27),""),"")</f>
        <v/>
      </c>
      <c r="X91" s="227" t="str">
        <f aca="false">IFERROR(IF(H$21*H$25*H$27&gt;0,STDEV(H$21,H$25,H$27),"")/IF(H$21*H$25*H$27&gt;0,AVERAGE(H$21,H$25,H$27),""),"")</f>
        <v/>
      </c>
      <c r="Y91" s="227" t="str">
        <f aca="false">IFERROR(IF(I$21*I$25*I$27&gt;0,STDEV(I$21,I$25,I$27),"")/IF(I$21*I$25*I$27&gt;0,AVERAGE(I$21,I$25,I$27),""),"")</f>
        <v/>
      </c>
      <c r="Z91" s="227" t="str">
        <f aca="false">IFERROR(IF(J$21*J$25*J$27&gt;0,STDEV(J$21,J$25,J$27),"")/IF(J$21*J$25*J$27&gt;0,AVERAGE(J$21,J$25,J$27),""),"")</f>
        <v/>
      </c>
      <c r="AA91" s="227" t="str">
        <f aca="false">IFERROR(IF(K$21*K$25*K$27&gt;0,STDEV(K$21,K$25,K$27),"")/IF(K$21*K$25*K$27&gt;0,AVERAGE(K$21,K$25,K$27),""),"")</f>
        <v/>
      </c>
      <c r="AB91" s="227" t="str">
        <f aca="false">IFERROR(IF(L$21*L$25*L$27&gt;0,STDEV(L$21,L$25,L$27),"")/IF(L$21*L$25*L$27&gt;0,AVERAGE(L$21,L$25,L$27),""),"")</f>
        <v/>
      </c>
      <c r="AC91" s="227" t="str">
        <f aca="false">IFERROR(IF(M$21*M$25*M$27&gt;0,STDEV(M$21,M$25,M$27),"")/IF(M$21*M$25*M$27&gt;0,AVERAGE(M$21,M$25,M$27),""),"")</f>
        <v/>
      </c>
      <c r="AD91" s="227" t="str">
        <f aca="false">IFERROR(IF(N$21*N$25*N$27&gt;0,STDEV(N$21,N$25,N$27),"")/IF(N$21*N$25*N$27&gt;0,AVERAGE(N$21,N$25,N$27),""),"")</f>
        <v/>
      </c>
      <c r="AE91" s="233"/>
      <c r="AF91" s="229" t="s">
        <v>427</v>
      </c>
      <c r="AG91" s="230" t="str">
        <f aca="false">IFERROR(IF(C$21*C$25*C$27&gt;0,STDEV(C$21,C$25,C$27)," ")/IF(C$21*C$25*C$27&gt;0,SQRT(COUNT(C$21,C$25,C$27))," "),"")</f>
        <v/>
      </c>
      <c r="AH91" s="230" t="str">
        <f aca="false">IFERROR(IF(D$21*D$25*D$27&gt;0,STDEV(D$21,D$25,D$27)," ")/IF(D$21*D$25*D$27&gt;0,SQRT(COUNT(D$21,D$25,D$27))," "),"")</f>
        <v/>
      </c>
      <c r="AI91" s="230" t="str">
        <f aca="false">IFERROR(IF(E$21*E$25*E$27&gt;0,STDEV(E$21,E$25,E$27)," ")/IF(E$21*E$25*E$27&gt;0,SQRT(COUNT(E$21,E$25,E$27))," "),"")</f>
        <v/>
      </c>
      <c r="AJ91" s="230" t="str">
        <f aca="false">IFERROR(IF(F$21*F$25*F$27&gt;0,STDEV(F$21,F$25,F$27)," ")/IF(F$21*F$25*F$27&gt;0,SQRT(COUNT(F$21,F$25,F$27))," "),"")</f>
        <v/>
      </c>
      <c r="AK91" s="230" t="str">
        <f aca="false">IFERROR(IF(G$21*G$25*G$27&gt;0,STDEV(G$21,G$25,G$27)," ")/IF(G$21*G$25*G$27&gt;0,SQRT(COUNT(G$21,G$25,G$27))," "),"")</f>
        <v/>
      </c>
      <c r="AL91" s="230" t="str">
        <f aca="false">IFERROR(IF(H$21*H$25*H$27&gt;0,STDEV(H$21,H$25,H$27)," ")/IF(H$21*H$25*H$27&gt;0,SQRT(COUNT(H$21,H$25,H$27))," "),"")</f>
        <v/>
      </c>
      <c r="AM91" s="230" t="str">
        <f aca="false">IFERROR(IF(I$21*I$25*I$27&gt;0,STDEV(I$21,I$25,I$27)," ")/IF(I$21*I$25*I$27&gt;0,SQRT(COUNT(I$21,I$25,I$27))," "),"")</f>
        <v/>
      </c>
      <c r="AN91" s="230" t="str">
        <f aca="false">IFERROR(IF(J$21*J$25*J$27&gt;0,STDEV(J$21,J$25,J$27)," ")/IF(J$21*J$25*J$27&gt;0,SQRT(COUNT(J$21,J$25,J$27))," "),"")</f>
        <v/>
      </c>
      <c r="AO91" s="230" t="str">
        <f aca="false">IFERROR(IF(K$21*K$25*K$27&gt;0,STDEV(K$21,K$25,K$27)," ")/IF(K$21*K$25*K$27&gt;0,SQRT(COUNT(K$21,K$25,K$27))," "),"")</f>
        <v/>
      </c>
      <c r="AP91" s="230" t="str">
        <f aca="false">IFERROR(IF(L$21*L$25*L$27&gt;0,STDEV(L$21,L$25,L$27)," ")/IF(L$21*L$25*L$27&gt;0,SQRT(COUNT(L$21,L$25,L$27))," "),"")</f>
        <v/>
      </c>
      <c r="AQ91" s="230" t="str">
        <f aca="false">IFERROR(IF(M$21*M$25*M$27&gt;0,STDEV(M$21,M$25,M$27)," ")/IF(M$21*M$25*M$27&gt;0,SQRT(COUNT(M$21,M$25,M$27))," "),"")</f>
        <v/>
      </c>
      <c r="AR91" s="230" t="str">
        <f aca="false">IFERROR(IF(N$21*N$25*N$27&gt;0,STDEV(N$21,N$25,N$27)," ")/IF(N$21*N$25*N$27&gt;0,SQRT(COUNT(N$21,N$25,N$27))," "),"")</f>
        <v/>
      </c>
    </row>
    <row r="92" customFormat="false" ht="15.75" hidden="false" customHeight="false" outlineLevel="0" collapsed="false">
      <c r="A92" s="220" t="s">
        <v>428</v>
      </c>
      <c r="B92" s="221"/>
      <c r="C92" s="261" t="str">
        <f aca="false">IFERROR(IF(C$22*C$24*C$25&gt;0,AVERAGE(C$22,C$24,C$25),""),"")</f>
        <v/>
      </c>
      <c r="D92" s="261" t="str">
        <f aca="false">IFERROR(IF(D$22*D$24*D$25&gt;0,AVERAGE(D$22,D$24,D$25),""),"")</f>
        <v/>
      </c>
      <c r="E92" s="261" t="str">
        <f aca="false">IFERROR(IF(E$22*E$24*E$25&gt;0,AVERAGE(E$22,E$24,E$25),""),"")</f>
        <v/>
      </c>
      <c r="F92" s="261" t="str">
        <f aca="false">IFERROR(IF(F$22*F$24*F$25&gt;0,AVERAGE(F$22,F$24,F$25),""),"")</f>
        <v/>
      </c>
      <c r="G92" s="261" t="str">
        <f aca="false">IFERROR(IF(G$22*G$24*G$25&gt;0,AVERAGE(G$22,G$24,G$25),""),"")</f>
        <v/>
      </c>
      <c r="H92" s="261" t="str">
        <f aca="false">IFERROR(IF(H$22*H$24*H$25&gt;0,AVERAGE(H$22,H$24,H$25),""),"")</f>
        <v/>
      </c>
      <c r="I92" s="261" t="str">
        <f aca="false">IFERROR(IF(I$22*I$24*I$25&gt;0,AVERAGE(I$22,I$24,I$25),""),"")</f>
        <v/>
      </c>
      <c r="J92" s="261" t="str">
        <f aca="false">IFERROR(IF(J$22*J$24*J$25&gt;0,AVERAGE(J$22,J$24,J$25),""),"")</f>
        <v/>
      </c>
      <c r="K92" s="261" t="str">
        <f aca="false">IFERROR(IF(K$22*K$24*K$25&gt;0,AVERAGE(K$22,K$24,K$25),""),"")</f>
        <v/>
      </c>
      <c r="L92" s="261" t="str">
        <f aca="false">IFERROR(IF(L$22*L$24*L$25&gt;0,AVERAGE(L$22,L$24,L$25),""),"")</f>
        <v/>
      </c>
      <c r="M92" s="261" t="str">
        <f aca="false">IFERROR(IF(M$22*M$24*M$25&gt;0,AVERAGE(M$22,M$24,M$25),""),"")</f>
        <v/>
      </c>
      <c r="N92" s="261" t="str">
        <f aca="false">IFERROR(IF(N$22*N$24*N$25&gt;0,AVERAGE(N$22,N$24,N$25),""),"")</f>
        <v/>
      </c>
      <c r="O92" s="253"/>
      <c r="P92" s="253"/>
      <c r="Q92" s="254"/>
      <c r="R92" s="226" t="s">
        <v>429</v>
      </c>
      <c r="S92" s="227" t="str">
        <f aca="false">IFERROR(IF(C$22*C$24*C$25&gt;0,STDEV(C$22,C$24,C$25),"")/IF(C$22*C$24*C$25&gt;0,AVERAGE(C$22,C$24,C$25),""),"")</f>
        <v/>
      </c>
      <c r="T92" s="227" t="str">
        <f aca="false">IFERROR(IF(D$22*D$24*D$25&gt;0,STDEV(D$22,D$24,D$25),"")/IF(D$22*D$24*D$25&gt;0,AVERAGE(D$22,D$24,D$25),""),"")</f>
        <v/>
      </c>
      <c r="U92" s="227" t="str">
        <f aca="false">IFERROR(IF(E$22*E$24*E$25&gt;0,STDEV(E$22,E$24,E$25),"")/IF(E$22*E$24*E$25&gt;0,AVERAGE(E$22,E$24,E$25),""),"")</f>
        <v/>
      </c>
      <c r="V92" s="227" t="str">
        <f aca="false">IFERROR(IF(F$22*F$24*F$25&gt;0,STDEV(F$22,F$24,F$25),"")/IF(F$22*F$24*F$25&gt;0,AVERAGE(F$22,F$24,F$25),""),"")</f>
        <v/>
      </c>
      <c r="W92" s="227" t="str">
        <f aca="false">IFERROR(IF(G$22*G$24*G$25&gt;0,STDEV(G$22,G$24,G$25),"")/IF(G$22*G$24*G$25&gt;0,AVERAGE(G$22,G$24,G$25),""),"")</f>
        <v/>
      </c>
      <c r="X92" s="227" t="str">
        <f aca="false">IFERROR(IF(H$22*H$24*H$25&gt;0,STDEV(H$22,H$24,H$25),"")/IF(H$22*H$24*H$25&gt;0,AVERAGE(H$22,H$24,H$25),""),"")</f>
        <v/>
      </c>
      <c r="Y92" s="227" t="str">
        <f aca="false">IFERROR(IF(I$22*I$24*I$25&gt;0,STDEV(I$22,I$24,I$25),"")/IF(I$22*I$24*I$25&gt;0,AVERAGE(I$22,I$24,I$25),""),"")</f>
        <v/>
      </c>
      <c r="Z92" s="227" t="str">
        <f aca="false">IFERROR(IF(J$22*J$24*J$25&gt;0,STDEV(J$22,J$24,J$25),"")/IF(J$22*J$24*J$25&gt;0,AVERAGE(J$22,J$24,J$25),""),"")</f>
        <v/>
      </c>
      <c r="AA92" s="227" t="str">
        <f aca="false">IFERROR(IF(K$22*K$24*K$25&gt;0,STDEV(K$22,K$24,K$25),"")/IF(K$22*K$24*K$25&gt;0,AVERAGE(K$22,K$24,K$25),""),"")</f>
        <v/>
      </c>
      <c r="AB92" s="227" t="str">
        <f aca="false">IFERROR(IF(L$22*L$24*L$25&gt;0,STDEV(L$22,L$24,L$25),"")/IF(L$22*L$24*L$25&gt;0,AVERAGE(L$22,L$24,L$25),""),"")</f>
        <v/>
      </c>
      <c r="AC92" s="227" t="str">
        <f aca="false">IFERROR(IF(M$22*M$24*M$25&gt;0,STDEV(M$22,M$24,M$25),"")/IF(M$22*M$24*M$25&gt;0,AVERAGE(M$22,M$24,M$25),""),"")</f>
        <v/>
      </c>
      <c r="AD92" s="227" t="str">
        <f aca="false">IFERROR(IF(N$22*N$24*N$25&gt;0,STDEV(N$22,N$24,N$25),"")/IF(N$22*N$24*N$25&gt;0,AVERAGE(N$22,N$24,N$25),""),"")</f>
        <v/>
      </c>
      <c r="AE92" s="233"/>
      <c r="AF92" s="229" t="s">
        <v>430</v>
      </c>
      <c r="AG92" s="230" t="str">
        <f aca="false">IFERROR(IF(C$22*C$24*C$25&gt;0,STDEV(C$22,C$24,C$25)," ")/IF(C$22*C$24*C$25&gt;0,SQRT(COUNT(C$22,C$24,C$25))," "),"")</f>
        <v/>
      </c>
      <c r="AH92" s="230" t="str">
        <f aca="false">IFERROR(IF(D$22*D$24*D$25&gt;0,STDEV(D$22,D$24,D$25)," ")/IF(D$22*D$24*D$25&gt;0,SQRT(COUNT(D$22,D$24,D$25))," "),"")</f>
        <v/>
      </c>
      <c r="AI92" s="230" t="str">
        <f aca="false">IFERROR(IF(E$22*E$24*E$25&gt;0,STDEV(E$22,E$24,E$25)," ")/IF(E$22*E$24*E$25&gt;0,SQRT(COUNT(E$22,E$24,E$25))," "),"")</f>
        <v/>
      </c>
      <c r="AJ92" s="230" t="str">
        <f aca="false">IFERROR(IF(F$22*F$24*F$25&gt;0,STDEV(F$22,F$24,F$25)," ")/IF(F$22*F$24*F$25&gt;0,SQRT(COUNT(F$22,F$24,F$25))," "),"")</f>
        <v/>
      </c>
      <c r="AK92" s="230" t="str">
        <f aca="false">IFERROR(IF(G$22*G$24*G$25&gt;0,STDEV(G$22,G$24,G$25)," ")/IF(G$22*G$24*G$25&gt;0,SQRT(COUNT(G$22,G$24,G$25))," "),"")</f>
        <v/>
      </c>
      <c r="AL92" s="230" t="str">
        <f aca="false">IFERROR(IF(H$22*H$24*H$25&gt;0,STDEV(H$22,H$24,H$25)," ")/IF(H$22*H$24*H$25&gt;0,SQRT(COUNT(H$22,H$24,H$25))," "),"")</f>
        <v/>
      </c>
      <c r="AM92" s="230" t="str">
        <f aca="false">IFERROR(IF(I$22*I$24*I$25&gt;0,STDEV(I$22,I$24,I$25)," ")/IF(I$22*I$24*I$25&gt;0,SQRT(COUNT(I$22,I$24,I$25))," "),"")</f>
        <v/>
      </c>
      <c r="AN92" s="230" t="str">
        <f aca="false">IFERROR(IF(J$22*J$24*J$25&gt;0,STDEV(J$22,J$24,J$25)," ")/IF(J$22*J$24*J$25&gt;0,SQRT(COUNT(J$22,J$24,J$25))," "),"")</f>
        <v/>
      </c>
      <c r="AO92" s="230" t="str">
        <f aca="false">IFERROR(IF(K$22*K$24*K$25&gt;0,STDEV(K$22,K$24,K$25)," ")/IF(K$22*K$24*K$25&gt;0,SQRT(COUNT(K$22,K$24,K$25))," "),"")</f>
        <v/>
      </c>
      <c r="AP92" s="230" t="str">
        <f aca="false">IFERROR(IF(L$22*L$24*L$25&gt;0,STDEV(L$22,L$24,L$25)," ")/IF(L$22*L$24*L$25&gt;0,SQRT(COUNT(L$22,L$24,L$25))," "),"")</f>
        <v/>
      </c>
      <c r="AQ92" s="230" t="str">
        <f aca="false">IFERROR(IF(M$22*M$24*M$25&gt;0,STDEV(M$22,M$24,M$25)," ")/IF(M$22*M$24*M$25&gt;0,SQRT(COUNT(M$22,M$24,M$25))," "),"")</f>
        <v/>
      </c>
      <c r="AR92" s="230" t="str">
        <f aca="false">IFERROR(IF(N$22*N$24*N$25&gt;0,STDEV(N$22,N$24,N$25)," ")/IF(N$22*N$24*N$25&gt;0,SQRT(COUNT(N$22,N$24,N$25))," "),"")</f>
        <v/>
      </c>
    </row>
    <row r="93" customFormat="false" ht="15.75" hidden="false" customHeight="false" outlineLevel="0" collapsed="false">
      <c r="A93" s="220" t="s">
        <v>431</v>
      </c>
      <c r="B93" s="221"/>
      <c r="C93" s="261" t="str">
        <f aca="false">IFERROR(IF(C$22*C$24*C$26&gt;0,AVERAGE(C$22,C$24,C$26),""),"")</f>
        <v/>
      </c>
      <c r="D93" s="261" t="str">
        <f aca="false">IFERROR(IF(D$22*D$24*D$26&gt;0,AVERAGE(D$22,D$24,D$26),""),"")</f>
        <v/>
      </c>
      <c r="E93" s="261" t="str">
        <f aca="false">IFERROR(IF(E$22*E$24*E$26&gt;0,AVERAGE(E$22,E$24,E$26),""),"")</f>
        <v/>
      </c>
      <c r="F93" s="261" t="str">
        <f aca="false">IFERROR(IF(F$22*F$24*F$26&gt;0,AVERAGE(F$22,F$24,F$26),""),"")</f>
        <v/>
      </c>
      <c r="G93" s="261" t="str">
        <f aca="false">IFERROR(IF(G$22*G$24*G$26&gt;0,AVERAGE(G$22,G$24,G$26),""),"")</f>
        <v/>
      </c>
      <c r="H93" s="261" t="str">
        <f aca="false">IFERROR(IF(H$22*H$24*H$26&gt;0,AVERAGE(H$22,H$24,H$26),""),"")</f>
        <v/>
      </c>
      <c r="I93" s="261" t="str">
        <f aca="false">IFERROR(IF(I$22*I$24*I$26&gt;0,AVERAGE(I$22,I$24,I$26),""),"")</f>
        <v/>
      </c>
      <c r="J93" s="261" t="str">
        <f aca="false">IFERROR(IF(J$22*J$24*J$26&gt;0,AVERAGE(J$22,J$24,J$26),""),"")</f>
        <v/>
      </c>
      <c r="K93" s="261" t="str">
        <f aca="false">IFERROR(IF(K$22*K$24*K$26&gt;0,AVERAGE(K$22,K$24,K$26),""),"")</f>
        <v/>
      </c>
      <c r="L93" s="261" t="str">
        <f aca="false">IFERROR(IF(L$22*L$24*L$26&gt;0,AVERAGE(L$22,L$24,L$26),""),"")</f>
        <v/>
      </c>
      <c r="M93" s="261" t="str">
        <f aca="false">IFERROR(IF(M$22*M$24*M$26&gt;0,AVERAGE(M$22,M$24,M$26),""),"")</f>
        <v/>
      </c>
      <c r="N93" s="261" t="str">
        <f aca="false">IFERROR(IF(N$22*N$24*N$26&gt;0,AVERAGE(N$22,N$24,N$26),""),"")</f>
        <v/>
      </c>
      <c r="O93" s="253"/>
      <c r="P93" s="253"/>
      <c r="Q93" s="254"/>
      <c r="R93" s="226" t="s">
        <v>432</v>
      </c>
      <c r="S93" s="227" t="str">
        <f aca="false">IFERROR(IF(C$22*C$24*C$26&gt;0,STDEV(C$22,C$24,C$26),"")/IF(C$22*C$24*C$26&gt;0,AVERAGE(C$22,C$24,C$26),""),"")</f>
        <v/>
      </c>
      <c r="T93" s="227" t="str">
        <f aca="false">IFERROR(IF(D$22*D$24*D$26&gt;0,STDEV(D$22,D$24,D$26),"")/IF(D$22*D$24*D$26&gt;0,AVERAGE(D$22,D$24,D$26),""),"")</f>
        <v/>
      </c>
      <c r="U93" s="227" t="str">
        <f aca="false">IFERROR(IF(E$22*E$24*E$26&gt;0,STDEV(E$22,E$24,E$26),"")/IF(E$22*E$24*E$26&gt;0,AVERAGE(E$22,E$24,E$26),""),"")</f>
        <v/>
      </c>
      <c r="V93" s="227" t="str">
        <f aca="false">IFERROR(IF(F$22*F$24*F$26&gt;0,STDEV(F$22,F$24,F$26),"")/IF(F$22*F$24*F$26&gt;0,AVERAGE(F$22,F$24,F$26),""),"")</f>
        <v/>
      </c>
      <c r="W93" s="227" t="str">
        <f aca="false">IFERROR(IF(G$22*G$24*G$26&gt;0,STDEV(G$22,G$24,G$26),"")/IF(G$22*G$24*G$26&gt;0,AVERAGE(G$22,G$24,G$26),""),"")</f>
        <v/>
      </c>
      <c r="X93" s="227" t="str">
        <f aca="false">IFERROR(IF(H$22*H$24*H$26&gt;0,STDEV(H$22,H$24,H$26),"")/IF(H$22*H$24*H$26&gt;0,AVERAGE(H$22,H$24,H$26),""),"")</f>
        <v/>
      </c>
      <c r="Y93" s="227" t="str">
        <f aca="false">IFERROR(IF(I$22*I$24*I$26&gt;0,STDEV(I$22,I$24,I$26),"")/IF(I$22*I$24*I$26&gt;0,AVERAGE(I$22,I$24,I$26),""),"")</f>
        <v/>
      </c>
      <c r="Z93" s="227" t="str">
        <f aca="false">IFERROR(IF(J$22*J$24*J$26&gt;0,STDEV(J$22,J$24,J$26),"")/IF(J$22*J$24*J$26&gt;0,AVERAGE(J$22,J$24,J$26),""),"")</f>
        <v/>
      </c>
      <c r="AA93" s="227" t="str">
        <f aca="false">IFERROR(IF(K$22*K$24*K$26&gt;0,STDEV(K$22,K$24,K$26),"")/IF(K$22*K$24*K$26&gt;0,AVERAGE(K$22,K$24,K$26),""),"")</f>
        <v/>
      </c>
      <c r="AB93" s="227" t="str">
        <f aca="false">IFERROR(IF(L$22*L$24*L$26&gt;0,STDEV(L$22,L$24,L$26),"")/IF(L$22*L$24*L$26&gt;0,AVERAGE(L$22,L$24,L$26),""),"")</f>
        <v/>
      </c>
      <c r="AC93" s="227" t="str">
        <f aca="false">IFERROR(IF(M$22*M$24*M$26&gt;0,STDEV(M$22,M$24,M$26),"")/IF(M$22*M$24*M$26&gt;0,AVERAGE(M$22,M$24,M$26),""),"")</f>
        <v/>
      </c>
      <c r="AD93" s="227" t="str">
        <f aca="false">IFERROR(IF(N$22*N$24*N$26&gt;0,STDEV(N$22,N$24,N$26),"")/IF(N$22*N$24*N$26&gt;0,AVERAGE(N$22,N$24,N$26),""),"")</f>
        <v/>
      </c>
      <c r="AE93" s="233"/>
      <c r="AF93" s="229" t="s">
        <v>433</v>
      </c>
      <c r="AG93" s="230" t="str">
        <f aca="false">IFERROR(IF(C$22*C$24*C$26&gt;0,STDEV(C$22,C$24,C$26)," ")/IF(C$22*C$24*C$26&gt;0,SQRT(COUNT(C$22,C$24,C$26))," "),"")</f>
        <v/>
      </c>
      <c r="AH93" s="230" t="str">
        <f aca="false">IFERROR(IF(D$22*D$24*D$26&gt;0,STDEV(D$22,D$24,D$26)," ")/IF(D$22*D$24*D$26&gt;0,SQRT(COUNT(D$22,D$24,D$26))," "),"")</f>
        <v/>
      </c>
      <c r="AI93" s="230" t="str">
        <f aca="false">IFERROR(IF(E$22*E$24*E$26&gt;0,STDEV(E$22,E$24,E$26)," ")/IF(E$22*E$24*E$26&gt;0,SQRT(COUNT(E$22,E$24,E$26))," "),"")</f>
        <v/>
      </c>
      <c r="AJ93" s="230" t="str">
        <f aca="false">IFERROR(IF(F$22*F$24*F$26&gt;0,STDEV(F$22,F$24,F$26)," ")/IF(F$22*F$24*F$26&gt;0,SQRT(COUNT(F$22,F$24,F$26))," "),"")</f>
        <v/>
      </c>
      <c r="AK93" s="230" t="str">
        <f aca="false">IFERROR(IF(G$22*G$24*G$26&gt;0,STDEV(G$22,G$24,G$26)," ")/IF(G$22*G$24*G$26&gt;0,SQRT(COUNT(G$22,G$24,G$26))," "),"")</f>
        <v/>
      </c>
      <c r="AL93" s="230" t="str">
        <f aca="false">IFERROR(IF(H$22*H$24*H$26&gt;0,STDEV(H$22,H$24,H$26)," ")/IF(H$22*H$24*H$26&gt;0,SQRT(COUNT(H$22,H$24,H$26))," "),"")</f>
        <v/>
      </c>
      <c r="AM93" s="230" t="str">
        <f aca="false">IFERROR(IF(I$22*I$24*I$26&gt;0,STDEV(I$22,I$24,I$26)," ")/IF(I$22*I$24*I$26&gt;0,SQRT(COUNT(I$22,I$24,I$26))," "),"")</f>
        <v/>
      </c>
      <c r="AN93" s="230" t="str">
        <f aca="false">IFERROR(IF(J$22*J$24*J$26&gt;0,STDEV(J$22,J$24,J$26)," ")/IF(J$22*J$24*J$26&gt;0,SQRT(COUNT(J$22,J$24,J$26))," "),"")</f>
        <v/>
      </c>
      <c r="AO93" s="230" t="str">
        <f aca="false">IFERROR(IF(K$22*K$24*K$26&gt;0,STDEV(K$22,K$24,K$26)," ")/IF(K$22*K$24*K$26&gt;0,SQRT(COUNT(K$22,K$24,K$26))," "),"")</f>
        <v/>
      </c>
      <c r="AP93" s="230" t="str">
        <f aca="false">IFERROR(IF(L$22*L$24*L$26&gt;0,STDEV(L$22,L$24,L$26)," ")/IF(L$22*L$24*L$26&gt;0,SQRT(COUNT(L$22,L$24,L$26))," "),"")</f>
        <v/>
      </c>
      <c r="AQ93" s="230" t="str">
        <f aca="false">IFERROR(IF(M$22*M$24*M$26&gt;0,STDEV(M$22,M$24,M$26)," ")/IF(M$22*M$24*M$26&gt;0,SQRT(COUNT(M$22,M$24,M$26))," "),"")</f>
        <v/>
      </c>
      <c r="AR93" s="230" t="str">
        <f aca="false">IFERROR(IF(N$22*N$24*N$26&gt;0,STDEV(N$22,N$24,N$26)," ")/IF(N$22*N$24*N$26&gt;0,SQRT(COUNT(N$22,N$24,N$26))," "),"")</f>
        <v/>
      </c>
    </row>
    <row r="94" customFormat="false" ht="15.75" hidden="false" customHeight="false" outlineLevel="0" collapsed="false">
      <c r="A94" s="220" t="s">
        <v>434</v>
      </c>
      <c r="B94" s="221"/>
      <c r="C94" s="261" t="str">
        <f aca="false">IFERROR(IF(C$22*C$24*C$27&gt;0,AVERAGE(C$22,C$24,C$27),""),"")</f>
        <v/>
      </c>
      <c r="D94" s="261" t="str">
        <f aca="false">IFERROR(IF(D$22*D$24*D$27&gt;0,AVERAGE(D$22,D$24,D$27),""),"")</f>
        <v/>
      </c>
      <c r="E94" s="261" t="str">
        <f aca="false">IFERROR(IF(E$22*E$24*E$27&gt;0,AVERAGE(E$22,E$24,E$27),""),"")</f>
        <v/>
      </c>
      <c r="F94" s="261" t="str">
        <f aca="false">IFERROR(IF(F$22*F$24*F$27&gt;0,AVERAGE(F$22,F$24,F$27),""),"")</f>
        <v/>
      </c>
      <c r="G94" s="261" t="str">
        <f aca="false">IFERROR(IF(G$22*G$24*G$27&gt;0,AVERAGE(G$22,G$24,G$27),""),"")</f>
        <v/>
      </c>
      <c r="H94" s="261" t="str">
        <f aca="false">IFERROR(IF(H$22*H$24*H$27&gt;0,AVERAGE(H$22,H$24,H$27),""),"")</f>
        <v/>
      </c>
      <c r="I94" s="261" t="str">
        <f aca="false">IFERROR(IF(I$22*I$24*I$27&gt;0,AVERAGE(I$22,I$24,I$27),""),"")</f>
        <v/>
      </c>
      <c r="J94" s="261" t="str">
        <f aca="false">IFERROR(IF(J$22*J$24*J$27&gt;0,AVERAGE(J$22,J$24,J$27),""),"")</f>
        <v/>
      </c>
      <c r="K94" s="261" t="str">
        <f aca="false">IFERROR(IF(K$22*K$24*K$27&gt;0,AVERAGE(K$22,K$24,K$27),""),"")</f>
        <v/>
      </c>
      <c r="L94" s="261" t="str">
        <f aca="false">IFERROR(IF(L$22*L$24*L$27&gt;0,AVERAGE(L$22,L$24,L$27),""),"")</f>
        <v/>
      </c>
      <c r="M94" s="261" t="str">
        <f aca="false">IFERROR(IF(M$22*M$24*M$27&gt;0,AVERAGE(M$22,M$24,M$27),""),"")</f>
        <v/>
      </c>
      <c r="N94" s="261" t="str">
        <f aca="false">IFERROR(IF(N$22*N$24*N$27&gt;0,AVERAGE(N$22,N$24,N$27),""),"")</f>
        <v/>
      </c>
      <c r="O94" s="253"/>
      <c r="P94" s="253"/>
      <c r="Q94" s="254"/>
      <c r="R94" s="226" t="s">
        <v>435</v>
      </c>
      <c r="S94" s="227" t="str">
        <f aca="false">IFERROR(IF(C$22*C$24*C$27&gt;0,STDEV(C$22,C$24,C$27),"")/IF(C$22*C$24*C$27&gt;0,AVERAGE(C$22,C$24,C$27),""),"")</f>
        <v/>
      </c>
      <c r="T94" s="227" t="str">
        <f aca="false">IFERROR(IF(D$22*D$24*D$27&gt;0,STDEV(D$22,D$24,D$27),"")/IF(D$22*D$24*D$27&gt;0,AVERAGE(D$22,D$24,D$27),""),"")</f>
        <v/>
      </c>
      <c r="U94" s="227" t="str">
        <f aca="false">IFERROR(IF(E$22*E$24*E$27&gt;0,STDEV(E$22,E$24,E$27),"")/IF(E$22*E$24*E$27&gt;0,AVERAGE(E$22,E$24,E$27),""),"")</f>
        <v/>
      </c>
      <c r="V94" s="227" t="str">
        <f aca="false">IFERROR(IF(F$22*F$24*F$27&gt;0,STDEV(F$22,F$24,F$27),"")/IF(F$22*F$24*F$27&gt;0,AVERAGE(F$22,F$24,F$27),""),"")</f>
        <v/>
      </c>
      <c r="W94" s="227" t="str">
        <f aca="false">IFERROR(IF(G$22*G$24*G$27&gt;0,STDEV(G$22,G$24,G$27),"")/IF(G$22*G$24*G$27&gt;0,AVERAGE(G$22,G$24,G$27),""),"")</f>
        <v/>
      </c>
      <c r="X94" s="227" t="str">
        <f aca="false">IFERROR(IF(H$22*H$24*H$27&gt;0,STDEV(H$22,H$24,H$27),"")/IF(H$22*H$24*H$27&gt;0,AVERAGE(H$22,H$24,H$27),""),"")</f>
        <v/>
      </c>
      <c r="Y94" s="227" t="str">
        <f aca="false">IFERROR(IF(I$22*I$24*I$27&gt;0,STDEV(I$22,I$24,I$27),"")/IF(I$22*I$24*I$27&gt;0,AVERAGE(I$22,I$24,I$27),""),"")</f>
        <v/>
      </c>
      <c r="Z94" s="227" t="str">
        <f aca="false">IFERROR(IF(J$22*J$24*J$27&gt;0,STDEV(J$22,J$24,J$27),"")/IF(J$22*J$24*J$27&gt;0,AVERAGE(J$22,J$24,J$27),""),"")</f>
        <v/>
      </c>
      <c r="AA94" s="227" t="str">
        <f aca="false">IFERROR(IF(K$22*K$24*K$27&gt;0,STDEV(K$22,K$24,K$27),"")/IF(K$22*K$24*K$27&gt;0,AVERAGE(K$22,K$24,K$27),""),"")</f>
        <v/>
      </c>
      <c r="AB94" s="227" t="str">
        <f aca="false">IFERROR(IF(L$22*L$24*L$27&gt;0,STDEV(L$22,L$24,L$27),"")/IF(L$22*L$24*L$27&gt;0,AVERAGE(L$22,L$24,L$27),""),"")</f>
        <v/>
      </c>
      <c r="AC94" s="227" t="str">
        <f aca="false">IFERROR(IF(M$22*M$24*M$27&gt;0,STDEV(M$22,M$24,M$27),"")/IF(M$22*M$24*M$27&gt;0,AVERAGE(M$22,M$24,M$27),""),"")</f>
        <v/>
      </c>
      <c r="AD94" s="227" t="str">
        <f aca="false">IFERROR(IF(N$22*N$24*N$27&gt;0,STDEV(N$22,N$24,N$27),"")/IF(N$22*N$24*N$27&gt;0,AVERAGE(N$22,N$24,N$27),""),"")</f>
        <v/>
      </c>
      <c r="AE94" s="233"/>
      <c r="AF94" s="229" t="s">
        <v>436</v>
      </c>
      <c r="AG94" s="230" t="str">
        <f aca="false">IFERROR(IF(C$22*C$24*C$27&gt;0,STDEV(C$22,C$24,C$27)," ")/IF(C$22*C$24*C$27&gt;0,SQRT(COUNT(C$22,C$24,C$27))," "),"")</f>
        <v/>
      </c>
      <c r="AH94" s="230" t="str">
        <f aca="false">IFERROR(IF(D$22*D$24*D$27&gt;0,STDEV(D$22,D$24,D$27)," ")/IF(D$22*D$24*D$27&gt;0,SQRT(COUNT(D$22,D$24,D$27))," "),"")</f>
        <v/>
      </c>
      <c r="AI94" s="230" t="str">
        <f aca="false">IFERROR(IF(E$22*E$24*E$27&gt;0,STDEV(E$22,E$24,E$27)," ")/IF(E$22*E$24*E$27&gt;0,SQRT(COUNT(E$22,E$24,E$27))," "),"")</f>
        <v/>
      </c>
      <c r="AJ94" s="230" t="str">
        <f aca="false">IFERROR(IF(F$22*F$24*F$27&gt;0,STDEV(F$22,F$24,F$27)," ")/IF(F$22*F$24*F$27&gt;0,SQRT(COUNT(F$22,F$24,F$27))," "),"")</f>
        <v/>
      </c>
      <c r="AK94" s="230" t="str">
        <f aca="false">IFERROR(IF(G$22*G$24*G$27&gt;0,STDEV(G$22,G$24,G$27)," ")/IF(G$22*G$24*G$27&gt;0,SQRT(COUNT(G$22,G$24,G$27))," "),"")</f>
        <v/>
      </c>
      <c r="AL94" s="230" t="str">
        <f aca="false">IFERROR(IF(H$22*H$24*H$27&gt;0,STDEV(H$22,H$24,H$27)," ")/IF(H$22*H$24*H$27&gt;0,SQRT(COUNT(H$22,H$24,H$27))," "),"")</f>
        <v/>
      </c>
      <c r="AM94" s="230" t="str">
        <f aca="false">IFERROR(IF(I$22*I$24*I$27&gt;0,STDEV(I$22,I$24,I$27)," ")/IF(I$22*I$24*I$27&gt;0,SQRT(COUNT(I$22,I$24,I$27))," "),"")</f>
        <v/>
      </c>
      <c r="AN94" s="230" t="str">
        <f aca="false">IFERROR(IF(J$22*J$24*J$27&gt;0,STDEV(J$22,J$24,J$27)," ")/IF(J$22*J$24*J$27&gt;0,SQRT(COUNT(J$22,J$24,J$27))," "),"")</f>
        <v/>
      </c>
      <c r="AO94" s="230" t="str">
        <f aca="false">IFERROR(IF(K$22*K$24*K$27&gt;0,STDEV(K$22,K$24,K$27)," ")/IF(K$22*K$24*K$27&gt;0,SQRT(COUNT(K$22,K$24,K$27))," "),"")</f>
        <v/>
      </c>
      <c r="AP94" s="230" t="str">
        <f aca="false">IFERROR(IF(L$22*L$24*L$27&gt;0,STDEV(L$22,L$24,L$27)," ")/IF(L$22*L$24*L$27&gt;0,SQRT(COUNT(L$22,L$24,L$27))," "),"")</f>
        <v/>
      </c>
      <c r="AQ94" s="230" t="str">
        <f aca="false">IFERROR(IF(M$22*M$24*M$27&gt;0,STDEV(M$22,M$24,M$27)," ")/IF(M$22*M$24*M$27&gt;0,SQRT(COUNT(M$22,M$24,M$27))," "),"")</f>
        <v/>
      </c>
      <c r="AR94" s="230" t="str">
        <f aca="false">IFERROR(IF(N$22*N$24*N$27&gt;0,STDEV(N$22,N$24,N$27)," ")/IF(N$22*N$24*N$27&gt;0,SQRT(COUNT(N$22,N$24,N$27))," "),"")</f>
        <v/>
      </c>
    </row>
    <row r="95" customFormat="false" ht="15.75" hidden="false" customHeight="false" outlineLevel="0" collapsed="false">
      <c r="A95" s="220" t="s">
        <v>437</v>
      </c>
      <c r="B95" s="221"/>
      <c r="C95" s="261" t="str">
        <f aca="false">IFERROR(IF(C$22*C$25*C$27&gt;0,AVERAGE(C$22,C$25,C$27),""),"")</f>
        <v/>
      </c>
      <c r="D95" s="261" t="str">
        <f aca="false">IFERROR(IF(D$22*D$25*D$27&gt;0,AVERAGE(D$22,D$25,D$27),""),"")</f>
        <v/>
      </c>
      <c r="E95" s="261" t="str">
        <f aca="false">IFERROR(IF(E$22*E$25*E$27&gt;0,AVERAGE(E$22,E$25,E$27),""),"")</f>
        <v/>
      </c>
      <c r="F95" s="261" t="str">
        <f aca="false">IFERROR(IF(F$22*F$25*F$27&gt;0,AVERAGE(F$22,F$25,F$27),""),"")</f>
        <v/>
      </c>
      <c r="G95" s="261" t="str">
        <f aca="false">IFERROR(IF(G$22*G$25*G$27&gt;0,AVERAGE(G$22,G$25,G$27),""),"")</f>
        <v/>
      </c>
      <c r="H95" s="261" t="str">
        <f aca="false">IFERROR(IF(H$22*H$25*H$27&gt;0,AVERAGE(H$22,H$25,H$27),""),"")</f>
        <v/>
      </c>
      <c r="I95" s="261" t="str">
        <f aca="false">IFERROR(IF(I$22*I$25*I$27&gt;0,AVERAGE(I$22,I$25,I$27),""),"")</f>
        <v/>
      </c>
      <c r="J95" s="261" t="str">
        <f aca="false">IFERROR(IF(J$22*J$25*J$27&gt;0,AVERAGE(J$22,J$25,J$27),""),"")</f>
        <v/>
      </c>
      <c r="K95" s="261" t="str">
        <f aca="false">IFERROR(IF(K$22*K$25*K$27&gt;0,AVERAGE(K$22,K$25,K$27),""),"")</f>
        <v/>
      </c>
      <c r="L95" s="261" t="str">
        <f aca="false">IFERROR(IF(L$22*L$25*L$27&gt;0,AVERAGE(L$22,L$25,L$27),""),"")</f>
        <v/>
      </c>
      <c r="M95" s="261" t="str">
        <f aca="false">IFERROR(IF(M$22*M$25*M$27&gt;0,AVERAGE(M$22,M$25,M$27),""),"")</f>
        <v/>
      </c>
      <c r="N95" s="261" t="str">
        <f aca="false">IFERROR(IF(N$22*N$25*N$27&gt;0,AVERAGE(N$22,N$25,N$27),""),"")</f>
        <v/>
      </c>
      <c r="O95" s="253"/>
      <c r="P95" s="253"/>
      <c r="Q95" s="254"/>
      <c r="R95" s="226" t="s">
        <v>438</v>
      </c>
      <c r="S95" s="227" t="str">
        <f aca="false">IFERROR(IF(C$22*C$25*C$27&gt;0,STDEV(C$22,C$25,C$27),"")/IF(C$22*C$25*C$27&gt;0,AVERAGE(C$22,C$25,C$27),""),"")</f>
        <v/>
      </c>
      <c r="T95" s="227" t="str">
        <f aca="false">IFERROR(IF(D$22*D$25*D$27&gt;0,STDEV(D$22,D$25,D$27),"")/IF(D$22*D$25*D$27&gt;0,AVERAGE(D$22,D$25,D$27),""),"")</f>
        <v/>
      </c>
      <c r="U95" s="227" t="str">
        <f aca="false">IFERROR(IF(E$22*E$25*E$27&gt;0,STDEV(E$22,E$25,E$27),"")/IF(E$22*E$25*E$27&gt;0,AVERAGE(E$22,E$25,E$27),""),"")</f>
        <v/>
      </c>
      <c r="V95" s="227" t="str">
        <f aca="false">IFERROR(IF(F$22*F$25*F$27&gt;0,STDEV(F$22,F$25,F$27),"")/IF(F$22*F$25*F$27&gt;0,AVERAGE(F$22,F$25,F$27),""),"")</f>
        <v/>
      </c>
      <c r="W95" s="227" t="str">
        <f aca="false">IFERROR(IF(G$22*G$25*G$27&gt;0,STDEV(G$22,G$25,G$27),"")/IF(G$22*G$25*G$27&gt;0,AVERAGE(G$22,G$25,G$27),""),"")</f>
        <v/>
      </c>
      <c r="X95" s="227" t="str">
        <f aca="false">IFERROR(IF(H$22*H$25*H$27&gt;0,STDEV(H$22,H$25,H$27),"")/IF(H$22*H$25*H$27&gt;0,AVERAGE(H$22,H$25,H$27),""),"")</f>
        <v/>
      </c>
      <c r="Y95" s="227" t="str">
        <f aca="false">IFERROR(IF(I$22*I$25*I$27&gt;0,STDEV(I$22,I$25,I$27),"")/IF(I$22*I$25*I$27&gt;0,AVERAGE(I$22,I$25,I$27),""),"")</f>
        <v/>
      </c>
      <c r="Z95" s="227" t="str">
        <f aca="false">IFERROR(IF(J$22*J$25*J$27&gt;0,STDEV(J$22,J$25,J$27),"")/IF(J$22*J$25*J$27&gt;0,AVERAGE(J$22,J$25,J$27),""),"")</f>
        <v/>
      </c>
      <c r="AA95" s="227" t="str">
        <f aca="false">IFERROR(IF(K$22*K$25*K$27&gt;0,STDEV(K$22,K$25,K$27),"")/IF(K$22*K$25*K$27&gt;0,AVERAGE(K$22,K$25,K$27),""),"")</f>
        <v/>
      </c>
      <c r="AB95" s="227" t="str">
        <f aca="false">IFERROR(IF(L$22*L$25*L$27&gt;0,STDEV(L$22,L$25,L$27),"")/IF(L$22*L$25*L$27&gt;0,AVERAGE(L$22,L$25,L$27),""),"")</f>
        <v/>
      </c>
      <c r="AC95" s="227" t="str">
        <f aca="false">IFERROR(IF(M$22*M$25*M$27&gt;0,STDEV(M$22,M$25,M$27),"")/IF(M$22*M$25*M$27&gt;0,AVERAGE(M$22,M$25,M$27),""),"")</f>
        <v/>
      </c>
      <c r="AD95" s="227" t="str">
        <f aca="false">IFERROR(IF(N$22*N$25*N$27&gt;0,STDEV(N$22,N$25,N$27),"")/IF(N$22*N$25*N$27&gt;0,AVERAGE(N$22,N$25,N$27),""),"")</f>
        <v/>
      </c>
      <c r="AE95" s="233"/>
      <c r="AF95" s="229" t="s">
        <v>439</v>
      </c>
      <c r="AG95" s="230" t="str">
        <f aca="false">IFERROR(IF(C$22*C$25*C$27&gt;0,STDEV(C$22,C$25,C$27)," ")/IF(C$22*C$25*C$27&gt;0,SQRT(COUNT(C$22,C$25,C$27))," "),"")</f>
        <v/>
      </c>
      <c r="AH95" s="230" t="str">
        <f aca="false">IFERROR(IF(D$22*D$25*D$27&gt;0,STDEV(D$22,D$25,D$27)," ")/IF(D$22*D$25*D$27&gt;0,SQRT(COUNT(D$22,D$25,D$27))," "),"")</f>
        <v/>
      </c>
      <c r="AI95" s="230" t="str">
        <f aca="false">IFERROR(IF(E$22*E$25*E$27&gt;0,STDEV(E$22,E$25,E$27)," ")/IF(E$22*E$25*E$27&gt;0,SQRT(COUNT(E$22,E$25,E$27))," "),"")</f>
        <v/>
      </c>
      <c r="AJ95" s="230" t="str">
        <f aca="false">IFERROR(IF(F$22*F$25*F$27&gt;0,STDEV(F$22,F$25,F$27)," ")/IF(F$22*F$25*F$27&gt;0,SQRT(COUNT(F$22,F$25,F$27))," "),"")</f>
        <v/>
      </c>
      <c r="AK95" s="230" t="str">
        <f aca="false">IFERROR(IF(G$22*G$25*G$27&gt;0,STDEV(G$22,G$25,G$27)," ")/IF(G$22*G$25*G$27&gt;0,SQRT(COUNT(G$22,G$25,G$27))," "),"")</f>
        <v/>
      </c>
      <c r="AL95" s="230" t="str">
        <f aca="false">IFERROR(IF(H$22*H$25*H$27&gt;0,STDEV(H$22,H$25,H$27)," ")/IF(H$22*H$25*H$27&gt;0,SQRT(COUNT(H$22,H$25,H$27))," "),"")</f>
        <v/>
      </c>
      <c r="AM95" s="230" t="str">
        <f aca="false">IFERROR(IF(I$22*I$25*I$27&gt;0,STDEV(I$22,I$25,I$27)," ")/IF(I$22*I$25*I$27&gt;0,SQRT(COUNT(I$22,I$25,I$27))," "),"")</f>
        <v/>
      </c>
      <c r="AN95" s="230" t="str">
        <f aca="false">IFERROR(IF(J$22*J$25*J$27&gt;0,STDEV(J$22,J$25,J$27)," ")/IF(J$22*J$25*J$27&gt;0,SQRT(COUNT(J$22,J$25,J$27))," "),"")</f>
        <v/>
      </c>
      <c r="AO95" s="230" t="str">
        <f aca="false">IFERROR(IF(K$22*K$25*K$27&gt;0,STDEV(K$22,K$25,K$27)," ")/IF(K$22*K$25*K$27&gt;0,SQRT(COUNT(K$22,K$25,K$27))," "),"")</f>
        <v/>
      </c>
      <c r="AP95" s="230" t="str">
        <f aca="false">IFERROR(IF(L$22*L$25*L$27&gt;0,STDEV(L$22,L$25,L$27)," ")/IF(L$22*L$25*L$27&gt;0,SQRT(COUNT(L$22,L$25,L$27))," "),"")</f>
        <v/>
      </c>
      <c r="AQ95" s="230" t="str">
        <f aca="false">IFERROR(IF(M$22*M$25*M$27&gt;0,STDEV(M$22,M$25,M$27)," ")/IF(M$22*M$25*M$27&gt;0,SQRT(COUNT(M$22,M$25,M$27))," "),"")</f>
        <v/>
      </c>
      <c r="AR95" s="230" t="str">
        <f aca="false">IFERROR(IF(N$22*N$25*N$27&gt;0,STDEV(N$22,N$25,N$27)," ")/IF(N$22*N$25*N$27&gt;0,SQRT(COUNT(N$22,N$25,N$27))," "),"")</f>
        <v/>
      </c>
    </row>
    <row r="96" customFormat="false" ht="15.75" hidden="false" customHeight="false" outlineLevel="0" collapsed="false">
      <c r="A96" s="242" t="s">
        <v>440</v>
      </c>
      <c r="B96" s="243"/>
      <c r="C96" s="262" t="str">
        <f aca="false">IFERROR(IF(C$23*C$25*C$27&gt;0,AVERAGE(C$23,C$25,C$27),""),"")</f>
        <v/>
      </c>
      <c r="D96" s="262" t="str">
        <f aca="false">IFERROR(IF(D$23*D$25*D$27&gt;0,AVERAGE(D$23,D$25,D$27),""),"")</f>
        <v/>
      </c>
      <c r="E96" s="262" t="str">
        <f aca="false">IFERROR(IF(E$23*E$25*E$27&gt;0,AVERAGE(E$23,E$25,E$27),""),"")</f>
        <v/>
      </c>
      <c r="F96" s="262" t="str">
        <f aca="false">IFERROR(IF(F$23*F$25*F$27&gt;0,AVERAGE(F$23,F$25,F$27),""),"")</f>
        <v/>
      </c>
      <c r="G96" s="262" t="str">
        <f aca="false">IFERROR(IF(G$23*G$25*G$27&gt;0,AVERAGE(G$23,G$25,G$27),""),"")</f>
        <v/>
      </c>
      <c r="H96" s="262" t="str">
        <f aca="false">IFERROR(IF(H$23*H$25*H$27&gt;0,AVERAGE(H$23,H$25,H$27),""),"")</f>
        <v/>
      </c>
      <c r="I96" s="262" t="str">
        <f aca="false">IFERROR(IF(I$23*I$25*I$27&gt;0,AVERAGE(I$23,I$25,I$27),""),"")</f>
        <v/>
      </c>
      <c r="J96" s="262" t="str">
        <f aca="false">IFERROR(IF(J$23*J$25*J$27&gt;0,AVERAGE(J$23,J$25,J$27),""),"")</f>
        <v/>
      </c>
      <c r="K96" s="262" t="str">
        <f aca="false">IFERROR(IF(K$23*K$25*K$27&gt;0,AVERAGE(K$23,K$25,K$27),""),"")</f>
        <v/>
      </c>
      <c r="L96" s="262" t="str">
        <f aca="false">IFERROR(IF(L$23*L$25*L$27&gt;0,AVERAGE(L$23,L$25,L$27),""),"")</f>
        <v/>
      </c>
      <c r="M96" s="262" t="str">
        <f aca="false">IFERROR(IF(M$23*M$25*M$27&gt;0,AVERAGE(M$23,M$25,M$27),""),"")</f>
        <v/>
      </c>
      <c r="N96" s="262" t="str">
        <f aca="false">IFERROR(IF(N$23*N$25*N$27&gt;0,AVERAGE(N$23,N$25,N$27),""),"")</f>
        <v/>
      </c>
      <c r="O96" s="245"/>
      <c r="P96" s="245"/>
      <c r="Q96" s="246"/>
      <c r="R96" s="247" t="s">
        <v>441</v>
      </c>
      <c r="S96" s="248" t="str">
        <f aca="false">IFERROR(IF(C$23*C$25*C$27&gt;0,STDEV(C$23,C$25,C$27),"")/IF(C$23*C$25*C$27&gt;0,AVERAGE(C$23,C$25,C$27),""),"")</f>
        <v/>
      </c>
      <c r="T96" s="248" t="str">
        <f aca="false">IFERROR(IF(D$23*D$25*D$27&gt;0,STDEV(D$23,D$25,D$27),"")/IF(D$23*D$25*D$27&gt;0,AVERAGE(D$23,D$25,D$27),""),"")</f>
        <v/>
      </c>
      <c r="U96" s="248" t="str">
        <f aca="false">IFERROR(IF(E$23*E$25*E$27&gt;0,STDEV(E$23,E$25,E$27),"")/IF(E$23*E$25*E$27&gt;0,AVERAGE(E$23,E$25,E$27),""),"")</f>
        <v/>
      </c>
      <c r="V96" s="248" t="str">
        <f aca="false">IFERROR(IF(F$23*F$25*F$27&gt;0,STDEV(F$23,F$25,F$27),"")/IF(F$23*F$25*F$27&gt;0,AVERAGE(F$23,F$25,F$27),""),"")</f>
        <v/>
      </c>
      <c r="W96" s="248" t="str">
        <f aca="false">IFERROR(IF(G$23*G$25*G$27&gt;0,STDEV(G$23,G$25,G$27),"")/IF(G$23*G$25*G$27&gt;0,AVERAGE(G$23,G$25,G$27),""),"")</f>
        <v/>
      </c>
      <c r="X96" s="248" t="str">
        <f aca="false">IFERROR(IF(H$23*H$25*H$27&gt;0,STDEV(H$23,H$25,H$27),"")/IF(H$23*H$25*H$27&gt;0,AVERAGE(H$23,H$25,H$27),""),"")</f>
        <v/>
      </c>
      <c r="Y96" s="248" t="str">
        <f aca="false">IFERROR(IF(I$23*I$25*I$27&gt;0,STDEV(I$23,I$25,I$27),"")/IF(I$23*I$25*I$27&gt;0,AVERAGE(I$23,I$25,I$27),""),"")</f>
        <v/>
      </c>
      <c r="Z96" s="248" t="str">
        <f aca="false">IFERROR(IF(J$23*J$25*J$27&gt;0,STDEV(J$23,J$25,J$27),"")/IF(J$23*J$25*J$27&gt;0,AVERAGE(J$23,J$25,J$27),""),"")</f>
        <v/>
      </c>
      <c r="AA96" s="248" t="str">
        <f aca="false">IFERROR(IF(K$23*K$25*K$27&gt;0,STDEV(K$23,K$25,K$27),"")/IF(K$23*K$25*K$27&gt;0,AVERAGE(K$23,K$25,K$27),""),"")</f>
        <v/>
      </c>
      <c r="AB96" s="248" t="str">
        <f aca="false">IFERROR(IF(L$23*L$25*L$27&gt;0,STDEV(L$23,L$25,L$27),"")/IF(L$23*L$25*L$27&gt;0,AVERAGE(L$23,L$25,L$27),""),"")</f>
        <v/>
      </c>
      <c r="AC96" s="248" t="str">
        <f aca="false">IFERROR(IF(M$23*M$25*M$27&gt;0,STDEV(M$23,M$25,M$27),"")/IF(M$23*M$25*M$27&gt;0,AVERAGE(M$23,M$25,M$27),""),"")</f>
        <v/>
      </c>
      <c r="AD96" s="248" t="str">
        <f aca="false">IFERROR(IF(N$23*N$25*N$27&gt;0,STDEV(N$23,N$25,N$27),"")/IF(N$23*N$25*N$27&gt;0,AVERAGE(N$23,N$25,N$27),""),"")</f>
        <v/>
      </c>
      <c r="AE96" s="249"/>
      <c r="AF96" s="250" t="s">
        <v>442</v>
      </c>
      <c r="AG96" s="251" t="str">
        <f aca="false">IFERROR(IF(C$23*C$25*C$27&gt;0,STDEV(C$23,C$25,C$27)," ")/IF(C$23*C$25*C$27&gt;0,SQRT(COUNT(C$23,C$25,C$27))," "),"")</f>
        <v/>
      </c>
      <c r="AH96" s="251" t="str">
        <f aca="false">IFERROR(IF(D$23*D$25*D$27&gt;0,STDEV(D$23,D$25,D$27)," ")/IF(D$23*D$25*D$27&gt;0,SQRT(COUNT(D$23,D$25,D$27))," "),"")</f>
        <v/>
      </c>
      <c r="AI96" s="251" t="str">
        <f aca="false">IFERROR(IF(E$23*E$25*E$27&gt;0,STDEV(E$23,E$25,E$27)," ")/IF(E$23*E$25*E$27&gt;0,SQRT(COUNT(E$23,E$25,E$27))," "),"")</f>
        <v/>
      </c>
      <c r="AJ96" s="251" t="str">
        <f aca="false">IFERROR(IF(F$23*F$25*F$27&gt;0,STDEV(F$23,F$25,F$27)," ")/IF(F$23*F$25*F$27&gt;0,SQRT(COUNT(F$23,F$25,F$27))," "),"")</f>
        <v/>
      </c>
      <c r="AK96" s="251" t="str">
        <f aca="false">IFERROR(IF(G$23*G$25*G$27&gt;0,STDEV(G$23,G$25,G$27)," ")/IF(G$23*G$25*G$27&gt;0,SQRT(COUNT(G$23,G$25,G$27))," "),"")</f>
        <v/>
      </c>
      <c r="AL96" s="251" t="str">
        <f aca="false">IFERROR(IF(H$23*H$25*H$27&gt;0,STDEV(H$23,H$25,H$27)," ")/IF(H$23*H$25*H$27&gt;0,SQRT(COUNT(H$23,H$25,H$27))," "),"")</f>
        <v/>
      </c>
      <c r="AM96" s="251" t="str">
        <f aca="false">IFERROR(IF(I$23*I$25*I$27&gt;0,STDEV(I$23,I$25,I$27)," ")/IF(I$23*I$25*I$27&gt;0,SQRT(COUNT(I$23,I$25,I$27))," "),"")</f>
        <v/>
      </c>
      <c r="AN96" s="251" t="str">
        <f aca="false">IFERROR(IF(J$23*J$25*J$27&gt;0,STDEV(J$23,J$25,J$27)," ")/IF(J$23*J$25*J$27&gt;0,SQRT(COUNT(J$23,J$25,J$27))," "),"")</f>
        <v/>
      </c>
      <c r="AO96" s="251" t="str">
        <f aca="false">IFERROR(IF(K$23*K$25*K$27&gt;0,STDEV(K$23,K$25,K$27)," ")/IF(K$23*K$25*K$27&gt;0,SQRT(COUNT(K$23,K$25,K$27))," "),"")</f>
        <v/>
      </c>
      <c r="AP96" s="251" t="str">
        <f aca="false">IFERROR(IF(L$23*L$25*L$27&gt;0,STDEV(L$23,L$25,L$27)," ")/IF(L$23*L$25*L$27&gt;0,SQRT(COUNT(L$23,L$25,L$27))," "),"")</f>
        <v/>
      </c>
      <c r="AQ96" s="251" t="str">
        <f aca="false">IFERROR(IF(M$23*M$25*M$27&gt;0,STDEV(M$23,M$25,M$27)," ")/IF(M$23*M$25*M$27&gt;0,SQRT(COUNT(M$23,M$25,M$27))," "),"")</f>
        <v/>
      </c>
      <c r="AR96" s="251" t="str">
        <f aca="false">IFERROR(IF(N$23*N$25*N$27&gt;0,STDEV(N$23,N$25,N$27)," ")/IF(N$23*N$25*N$27&gt;0,SQRT(COUNT(N$23,N$25,N$27))," "),"")</f>
        <v/>
      </c>
    </row>
    <row r="97" customFormat="false" ht="15.75" hidden="false" customHeight="false" outlineLevel="0" collapsed="false">
      <c r="A97" s="220" t="s">
        <v>443</v>
      </c>
      <c r="B97" s="221"/>
      <c r="C97" s="261" t="str">
        <f aca="false">IFERROR(IF(C$21*C$22*C$23*C24&gt;0,AVERAGE(C$21:C$23, C24),""),"")</f>
        <v/>
      </c>
      <c r="D97" s="261" t="str">
        <f aca="false">IFERROR(IF(D$21*D$22*D$23*D24&gt;0,AVERAGE(D$21:D$23, D24),""),"")</f>
        <v/>
      </c>
      <c r="E97" s="261" t="str">
        <f aca="false">IFERROR(IF(E$21*E$22*E$23*E24&gt;0,AVERAGE(E$21:E$23, E24),""),"")</f>
        <v/>
      </c>
      <c r="F97" s="261" t="str">
        <f aca="false">IFERROR(IF(F$21*F$22*F$23*F24&gt;0,AVERAGE(F$21:F$23, F24),""),"")</f>
        <v/>
      </c>
      <c r="G97" s="261" t="str">
        <f aca="false">IFERROR(IF(G$21*G$22*G$23*G24&gt;0,AVERAGE(G$21:G$23, G24),""),"")</f>
        <v/>
      </c>
      <c r="H97" s="261" t="str">
        <f aca="false">IFERROR(IF(H$21*H$22*H$23*H24&gt;0,AVERAGE(H$21:H$23, H24),""),"")</f>
        <v/>
      </c>
      <c r="I97" s="261" t="str">
        <f aca="false">IFERROR(IF(I$21*I$22*I$23*I24&gt;0,AVERAGE(I$21:I$23, I24),""),"")</f>
        <v/>
      </c>
      <c r="J97" s="261" t="str">
        <f aca="false">IFERROR(IF(J$21*J$22*J$23*J24&gt;0,AVERAGE(J$21:J$23, J24),""),"")</f>
        <v/>
      </c>
      <c r="K97" s="261" t="str">
        <f aca="false">IFERROR(IF(K$21*K$22*K$23*K24&gt;0,AVERAGE(K$21:K$23, K24),""),"")</f>
        <v/>
      </c>
      <c r="L97" s="261" t="str">
        <f aca="false">IFERROR(IF(L$21*L$22*L$23*L24&gt;0,AVERAGE(L$21:L$23, L24),""),"")</f>
        <v/>
      </c>
      <c r="M97" s="261" t="str">
        <f aca="false">IFERROR(IF(M$21*M$22*M$23*M24&gt;0,AVERAGE(M$21:M$23, M24),""),"")</f>
        <v/>
      </c>
      <c r="N97" s="261" t="str">
        <f aca="false">IFERROR(IF(N$21*N$22*N$23*N24&gt;0,AVERAGE(N$21:N$23, N24),""),"")</f>
        <v/>
      </c>
      <c r="O97" s="240" t="n">
        <v>4</v>
      </c>
      <c r="P97" s="224" t="n">
        <f aca="false">COMBIN(7,4)</f>
        <v>35</v>
      </c>
      <c r="Q97" s="252" t="n">
        <f aca="false">ROW(N131)-ROW(N97)+1</f>
        <v>35</v>
      </c>
      <c r="R97" s="226" t="s">
        <v>444</v>
      </c>
      <c r="S97" s="227" t="str">
        <f aca="false">IFERROR(IF(C$21*C$22*C$23*C24&gt;0,STDEV(C$21:C$23, C24),"")/IF(C$21*C$22*C$23*C24&gt;0,AVERAGE(C$21:C$23, C24),""),"")</f>
        <v/>
      </c>
      <c r="T97" s="227" t="str">
        <f aca="false">IFERROR(IF(D$21*D$22*D$23*D24&gt;0,STDEV(D$21:D$23, D24),"")/IF(D$21*D$22*D$23*D24&gt;0,AVERAGE(D$21:D$23, D24),""),"")</f>
        <v/>
      </c>
      <c r="U97" s="227" t="str">
        <f aca="false">IFERROR(IF(E$21*E$22*E$23*E24&gt;0,STDEV(E$21:E$23, E24),"")/IF(E$21*E$22*E$23*E24&gt;0,AVERAGE(E$21:E$23, E24),""),"")</f>
        <v/>
      </c>
      <c r="V97" s="227" t="str">
        <f aca="false">IFERROR(IF(F$21*F$22*F$23*F24&gt;0,STDEV(F$21:F$23, F24),"")/IF(F$21*F$22*F$23*F24&gt;0,AVERAGE(F$21:F$23, F24),""),"")</f>
        <v/>
      </c>
      <c r="W97" s="227" t="str">
        <f aca="false">IFERROR(IF(G$21*G$22*G$23*G24&gt;0,STDEV(G$21:G$23, G24),"")/IF(G$21*G$22*G$23*G24&gt;0,AVERAGE(G$21:G$23, G24),""),"")</f>
        <v/>
      </c>
      <c r="X97" s="227" t="str">
        <f aca="false">IFERROR(IF(H$21*H$22*H$23*H24&gt;0,STDEV(H$21:H$23, H24),"")/IF(H$21*H$22*H$23*H24&gt;0,AVERAGE(H$21:H$23, H24),""),"")</f>
        <v/>
      </c>
      <c r="Y97" s="227" t="str">
        <f aca="false">IFERROR(IF(I$21*I$22*I$23*I24&gt;0,STDEV(I$21:I$23, I24),"")/IF(I$21*I$22*I$23*I24&gt;0,AVERAGE(I$21:I$23, I24),""),"")</f>
        <v/>
      </c>
      <c r="Z97" s="227" t="str">
        <f aca="false">IFERROR(IF(J$21*J$22*J$23*J24&gt;0,STDEV(J$21:J$23, J24),"")/IF(J$21*J$22*J$23*J24&gt;0,AVERAGE(J$21:J$23, J24),""),"")</f>
        <v/>
      </c>
      <c r="AA97" s="227" t="str">
        <f aca="false">IFERROR(IF(K$21*K$22*K$23*K24&gt;0,STDEV(K$21:K$23, K24),"")/IF(K$21*K$22*K$23*K24&gt;0,AVERAGE(K$21:K$23, K24),""),"")</f>
        <v/>
      </c>
      <c r="AB97" s="227" t="str">
        <f aca="false">IFERROR(IF(L$21*L$22*L$23*L24&gt;0,STDEV(L$21:L$23, L24),"")/IF(L$21*L$22*L$23*L24&gt;0,AVERAGE(L$21:L$23, L24),""),"")</f>
        <v/>
      </c>
      <c r="AC97" s="227" t="str">
        <f aca="false">IFERROR(IF(M$21*M$22*M$23*M24&gt;0,STDEV(M$21:M$23, M24),"")/IF(M$21*M$22*M$23*M24&gt;0,AVERAGE(M$21:M$23, M24),""),"")</f>
        <v/>
      </c>
      <c r="AD97" s="227" t="str">
        <f aca="false">IFERROR(IF(N$21*N$22*N$23*N24&gt;0,STDEV(N$21:N$23, N24),"")/IF(N$21*N$22*N$23*N24&gt;0,AVERAGE(N$21:N$23, N24),""),"")</f>
        <v/>
      </c>
      <c r="AE97" s="233"/>
      <c r="AF97" s="229" t="s">
        <v>445</v>
      </c>
      <c r="AG97" s="230" t="str">
        <f aca="false">IFERROR(IF(C$21*C$22*C$23*C24&gt;0,STDEV(C$21:C$23, C24)," ")/IF(C$21*C$22*C$23*C24&gt;0,SQRT(COUNT(C$21:C$23, C24))," "),"")</f>
        <v/>
      </c>
      <c r="AH97" s="230" t="str">
        <f aca="false">IFERROR(IF(D$21*D$22*D$23*D24&gt;0,STDEV(D$21:D$23, D24)," ")/IF(D$21*D$22*D$23*D24&gt;0,SQRT(COUNT(D$21:D$23, D24))," "),"")</f>
        <v/>
      </c>
      <c r="AI97" s="230" t="str">
        <f aca="false">IFERROR(IF(E$21*E$22*E$23*E24&gt;0,STDEV(E$21:E$23, E24)," ")/IF(E$21*E$22*E$23*E24&gt;0,SQRT(COUNT(E$21:E$23, E24))," "),"")</f>
        <v/>
      </c>
      <c r="AJ97" s="230" t="str">
        <f aca="false">IFERROR(IF(F$21*F$22*F$23*F24&gt;0,STDEV(F$21:F$23, F24)," ")/IF(F$21*F$22*F$23*F24&gt;0,SQRT(COUNT(F$21:F$23, F24))," "),"")</f>
        <v/>
      </c>
      <c r="AK97" s="230" t="str">
        <f aca="false">IFERROR(IF(G$21*G$22*G$23*G24&gt;0,STDEV(G$21:G$23, G24)," ")/IF(G$21*G$22*G$23*G24&gt;0,SQRT(COUNT(G$21:G$23, G24))," "),"")</f>
        <v/>
      </c>
      <c r="AL97" s="230" t="str">
        <f aca="false">IFERROR(IF(H$21*H$22*H$23*H24&gt;0,STDEV(H$21:H$23, H24)," ")/IF(H$21*H$22*H$23*H24&gt;0,SQRT(COUNT(H$21:H$23, H24))," "),"")</f>
        <v/>
      </c>
      <c r="AM97" s="230" t="str">
        <f aca="false">IFERROR(IF(I$21*I$22*I$23*I24&gt;0,STDEV(I$21:I$23, I24)," ")/IF(I$21*I$22*I$23*I24&gt;0,SQRT(COUNT(I$21:I$23, I24))," "),"")</f>
        <v/>
      </c>
      <c r="AN97" s="230" t="str">
        <f aca="false">IFERROR(IF(J$21*J$22*J$23*J24&gt;0,STDEV(J$21:J$23, J24)," ")/IF(J$21*J$22*J$23*J24&gt;0,SQRT(COUNT(J$21:J$23, J24))," "),"")</f>
        <v/>
      </c>
      <c r="AO97" s="230" t="str">
        <f aca="false">IFERROR(IF(K$21*K$22*K$23*K24&gt;0,STDEV(K$21:K$23, K24)," ")/IF(K$21*K$22*K$23*K24&gt;0,SQRT(COUNT(K$21:K$23, K24))," "),"")</f>
        <v/>
      </c>
      <c r="AP97" s="230" t="str">
        <f aca="false">IFERROR(IF(L$21*L$22*L$23*L24&gt;0,STDEV(L$21:L$23, L24)," ")/IF(L$21*L$22*L$23*L24&gt;0,SQRT(COUNT(L$21:L$23, L24))," "),"")</f>
        <v/>
      </c>
      <c r="AQ97" s="230" t="str">
        <f aca="false">IFERROR(IF(M$21*M$22*M$23*M24&gt;0,STDEV(M$21:M$23, M24)," ")/IF(M$21*M$22*M$23*M24&gt;0,SQRT(COUNT(M$21:M$23, M24))," "),"")</f>
        <v/>
      </c>
      <c r="AR97" s="230" t="str">
        <f aca="false">IFERROR(IF(N$21*N$22*N$23*N24&gt;0,STDEV(N$21:N$23, N24)," ")/IF(N$21*N$22*N$23*N24&gt;0,SQRT(COUNT(N$21:N$23, N24))," "),"")</f>
        <v/>
      </c>
    </row>
    <row r="98" customFormat="false" ht="15.75" hidden="false" customHeight="false" outlineLevel="0" collapsed="false">
      <c r="A98" s="220" t="s">
        <v>446</v>
      </c>
      <c r="B98" s="221"/>
      <c r="C98" s="261" t="str">
        <f aca="false">IFERROR(IF(C$21*C$22*C$23*C25&gt;0,AVERAGE(C$21:C$23, C25),""),"")</f>
        <v/>
      </c>
      <c r="D98" s="261" t="str">
        <f aca="false">IFERROR(IF(D$21*D$22*D$23*D25&gt;0,AVERAGE(D$21:D$23, D25),""),"")</f>
        <v/>
      </c>
      <c r="E98" s="261" t="str">
        <f aca="false">IFERROR(IF(E$21*E$22*E$23*E25&gt;0,AVERAGE(E$21:E$23, E25),""),"")</f>
        <v/>
      </c>
      <c r="F98" s="261" t="str">
        <f aca="false">IFERROR(IF(F$21*F$22*F$23*F25&gt;0,AVERAGE(F$21:F$23, F25),""),"")</f>
        <v/>
      </c>
      <c r="G98" s="261" t="str">
        <f aca="false">IFERROR(IF(G$21*G$22*G$23*G25&gt;0,AVERAGE(G$21:G$23, G25),""),"")</f>
        <v/>
      </c>
      <c r="H98" s="261" t="str">
        <f aca="false">IFERROR(IF(H$21*H$22*H$23*H25&gt;0,AVERAGE(H$21:H$23, H25),""),"")</f>
        <v/>
      </c>
      <c r="I98" s="261" t="str">
        <f aca="false">IFERROR(IF(I$21*I$22*I$23*I25&gt;0,AVERAGE(I$21:I$23, I25),""),"")</f>
        <v/>
      </c>
      <c r="J98" s="261" t="str">
        <f aca="false">IFERROR(IF(J$21*J$22*J$23*J25&gt;0,AVERAGE(J$21:J$23, J25),""),"")</f>
        <v/>
      </c>
      <c r="K98" s="261" t="str">
        <f aca="false">IFERROR(IF(K$21*K$22*K$23*K25&gt;0,AVERAGE(K$21:K$23, K25),""),"")</f>
        <v/>
      </c>
      <c r="L98" s="261" t="str">
        <f aca="false">IFERROR(IF(L$21*L$22*L$23*L25&gt;0,AVERAGE(L$21:L$23, L25),""),"")</f>
        <v/>
      </c>
      <c r="M98" s="261" t="str">
        <f aca="false">IFERROR(IF(M$21*M$22*M$23*M25&gt;0,AVERAGE(M$21:M$23, M25),""),"")</f>
        <v/>
      </c>
      <c r="N98" s="261" t="str">
        <f aca="false">IFERROR(IF(N$21*N$22*N$23*N25&gt;0,AVERAGE(N$21:N$23, N25),""),"")</f>
        <v/>
      </c>
      <c r="O98" s="224"/>
      <c r="P98" s="224"/>
      <c r="Q98" s="232"/>
      <c r="R98" s="226" t="s">
        <v>447</v>
      </c>
      <c r="S98" s="227" t="str">
        <f aca="false">IFERROR(IF(C$21*C$22*C$23*C25&gt;0,STDEV(C$21:C$23, C25),"")/IF(C$21*C$22*C$23*C25&gt;0,AVERAGE(C$21:C$23, C25),""),"")</f>
        <v/>
      </c>
      <c r="T98" s="227" t="str">
        <f aca="false">IFERROR(IF(D$21*D$22*D$23*D25&gt;0,STDEV(D$21:D$23, D25),"")/IF(D$21*D$22*D$23*D25&gt;0,AVERAGE(D$21:D$23, D25),""),"")</f>
        <v/>
      </c>
      <c r="U98" s="227" t="str">
        <f aca="false">IFERROR(IF(E$21*E$22*E$23*E25&gt;0,STDEV(E$21:E$23, E25),"")/IF(E$21*E$22*E$23*E25&gt;0,AVERAGE(E$21:E$23, E25),""),"")</f>
        <v/>
      </c>
      <c r="V98" s="227" t="str">
        <f aca="false">IFERROR(IF(F$21*F$22*F$23*F25&gt;0,STDEV(F$21:F$23, F25),"")/IF(F$21*F$22*F$23*F25&gt;0,AVERAGE(F$21:F$23, F25),""),"")</f>
        <v/>
      </c>
      <c r="W98" s="227" t="str">
        <f aca="false">IFERROR(IF(G$21*G$22*G$23*G25&gt;0,STDEV(G$21:G$23, G25),"")/IF(G$21*G$22*G$23*G25&gt;0,AVERAGE(G$21:G$23, G25),""),"")</f>
        <v/>
      </c>
      <c r="X98" s="227" t="str">
        <f aca="false">IFERROR(IF(H$21*H$22*H$23*H25&gt;0,STDEV(H$21:H$23, H25),"")/IF(H$21*H$22*H$23*H25&gt;0,AVERAGE(H$21:H$23, H25),""),"")</f>
        <v/>
      </c>
      <c r="Y98" s="227" t="str">
        <f aca="false">IFERROR(IF(I$21*I$22*I$23*I25&gt;0,STDEV(I$21:I$23, I25),"")/IF(I$21*I$22*I$23*I25&gt;0,AVERAGE(I$21:I$23, I25),""),"")</f>
        <v/>
      </c>
      <c r="Z98" s="227" t="str">
        <f aca="false">IFERROR(IF(J$21*J$22*J$23*J25&gt;0,STDEV(J$21:J$23, J25),"")/IF(J$21*J$22*J$23*J25&gt;0,AVERAGE(J$21:J$23, J25),""),"")</f>
        <v/>
      </c>
      <c r="AA98" s="227" t="str">
        <f aca="false">IFERROR(IF(K$21*K$22*K$23*K25&gt;0,STDEV(K$21:K$23, K25),"")/IF(K$21*K$22*K$23*K25&gt;0,AVERAGE(K$21:K$23, K25),""),"")</f>
        <v/>
      </c>
      <c r="AB98" s="227" t="str">
        <f aca="false">IFERROR(IF(L$21*L$22*L$23*L25&gt;0,STDEV(L$21:L$23, L25),"")/IF(L$21*L$22*L$23*L25&gt;0,AVERAGE(L$21:L$23, L25),""),"")</f>
        <v/>
      </c>
      <c r="AC98" s="227" t="str">
        <f aca="false">IFERROR(IF(M$21*M$22*M$23*M25&gt;0,STDEV(M$21:M$23, M25),"")/IF(M$21*M$22*M$23*M25&gt;0,AVERAGE(M$21:M$23, M25),""),"")</f>
        <v/>
      </c>
      <c r="AD98" s="227" t="str">
        <f aca="false">IFERROR(IF(N$21*N$22*N$23*N25&gt;0,STDEV(N$21:N$23, N25),"")/IF(N$21*N$22*N$23*N25&gt;0,AVERAGE(N$21:N$23, N25),""),"")</f>
        <v/>
      </c>
      <c r="AE98" s="233"/>
      <c r="AF98" s="229" t="s">
        <v>448</v>
      </c>
      <c r="AG98" s="230" t="str">
        <f aca="false">IFERROR(IF(C$21*C$22*C$23*C25&gt;0,STDEV(C$21:C$23, C25)," ")/IF(C$21*C$22*C$23*C25&gt;0,SQRT(COUNT(C$21:C$23, C25))," "),"")</f>
        <v/>
      </c>
      <c r="AH98" s="230" t="str">
        <f aca="false">IFERROR(IF(D$21*D$22*D$23*D25&gt;0,STDEV(D$21:D$23, D25)," ")/IF(D$21*D$22*D$23*D25&gt;0,SQRT(COUNT(D$21:D$23, D25))," "),"")</f>
        <v/>
      </c>
      <c r="AI98" s="230" t="str">
        <f aca="false">IFERROR(IF(E$21*E$22*E$23*E25&gt;0,STDEV(E$21:E$23, E25)," ")/IF(E$21*E$22*E$23*E25&gt;0,SQRT(COUNT(E$21:E$23, E25))," "),"")</f>
        <v/>
      </c>
      <c r="AJ98" s="230" t="str">
        <f aca="false">IFERROR(IF(F$21*F$22*F$23*F25&gt;0,STDEV(F$21:F$23, F25)," ")/IF(F$21*F$22*F$23*F25&gt;0,SQRT(COUNT(F$21:F$23, F25))," "),"")</f>
        <v/>
      </c>
      <c r="AK98" s="230" t="str">
        <f aca="false">IFERROR(IF(G$21*G$22*G$23*G25&gt;0,STDEV(G$21:G$23, G25)," ")/IF(G$21*G$22*G$23*G25&gt;0,SQRT(COUNT(G$21:G$23, G25))," "),"")</f>
        <v/>
      </c>
      <c r="AL98" s="230" t="str">
        <f aca="false">IFERROR(IF(H$21*H$22*H$23*H25&gt;0,STDEV(H$21:H$23, H25)," ")/IF(H$21*H$22*H$23*H25&gt;0,SQRT(COUNT(H$21:H$23, H25))," "),"")</f>
        <v/>
      </c>
      <c r="AM98" s="230" t="str">
        <f aca="false">IFERROR(IF(I$21*I$22*I$23*I25&gt;0,STDEV(I$21:I$23, I25)," ")/IF(I$21*I$22*I$23*I25&gt;0,SQRT(COUNT(I$21:I$23, I25))," "),"")</f>
        <v/>
      </c>
      <c r="AN98" s="230" t="str">
        <f aca="false">IFERROR(IF(J$21*J$22*J$23*J25&gt;0,STDEV(J$21:J$23, J25)," ")/IF(J$21*J$22*J$23*J25&gt;0,SQRT(COUNT(J$21:J$23, J25))," "),"")</f>
        <v/>
      </c>
      <c r="AO98" s="230" t="str">
        <f aca="false">IFERROR(IF(K$21*K$22*K$23*K25&gt;0,STDEV(K$21:K$23, K25)," ")/IF(K$21*K$22*K$23*K25&gt;0,SQRT(COUNT(K$21:K$23, K25))," "),"")</f>
        <v/>
      </c>
      <c r="AP98" s="230" t="str">
        <f aca="false">IFERROR(IF(L$21*L$22*L$23*L25&gt;0,STDEV(L$21:L$23, L25)," ")/IF(L$21*L$22*L$23*L25&gt;0,SQRT(COUNT(L$21:L$23, L25))," "),"")</f>
        <v/>
      </c>
      <c r="AQ98" s="230" t="str">
        <f aca="false">IFERROR(IF(M$21*M$22*M$23*M25&gt;0,STDEV(M$21:M$23, M25)," ")/IF(M$21*M$22*M$23*M25&gt;0,SQRT(COUNT(M$21:M$23, M25))," "),"")</f>
        <v/>
      </c>
      <c r="AR98" s="230" t="str">
        <f aca="false">IFERROR(IF(N$21*N$22*N$23*N25&gt;0,STDEV(N$21:N$23, N25)," ")/IF(N$21*N$22*N$23*N25&gt;0,SQRT(COUNT(N$21:N$23, N25))," "),"")</f>
        <v/>
      </c>
    </row>
    <row r="99" customFormat="false" ht="15.75" hidden="false" customHeight="false" outlineLevel="0" collapsed="false">
      <c r="A99" s="220" t="s">
        <v>449</v>
      </c>
      <c r="B99" s="221"/>
      <c r="C99" s="261" t="str">
        <f aca="false">IFERROR(IF(C$21*C$22*C$23*C26&gt;0,AVERAGE(C$21:C$23, C26),""),"")</f>
        <v/>
      </c>
      <c r="D99" s="261" t="str">
        <f aca="false">IFERROR(IF(D$21*D$22*D$23*D26&gt;0,AVERAGE(D$21:D$23, D26),""),"")</f>
        <v/>
      </c>
      <c r="E99" s="261" t="str">
        <f aca="false">IFERROR(IF(E$21*E$22*E$23*E26&gt;0,AVERAGE(E$21:E$23, E26),""),"")</f>
        <v/>
      </c>
      <c r="F99" s="261" t="str">
        <f aca="false">IFERROR(IF(F$21*F$22*F$23*F26&gt;0,AVERAGE(F$21:F$23, F26),""),"")</f>
        <v/>
      </c>
      <c r="G99" s="261" t="str">
        <f aca="false">IFERROR(IF(G$21*G$22*G$23*G26&gt;0,AVERAGE(G$21:G$23, G26),""),"")</f>
        <v/>
      </c>
      <c r="H99" s="261" t="str">
        <f aca="false">IFERROR(IF(H$21*H$22*H$23*H26&gt;0,AVERAGE(H$21:H$23, H26),""),"")</f>
        <v/>
      </c>
      <c r="I99" s="261" t="str">
        <f aca="false">IFERROR(IF(I$21*I$22*I$23*I26&gt;0,AVERAGE(I$21:I$23, I26),""),"")</f>
        <v/>
      </c>
      <c r="J99" s="261" t="str">
        <f aca="false">IFERROR(IF(J$21*J$22*J$23*J26&gt;0,AVERAGE(J$21:J$23, J26),""),"")</f>
        <v/>
      </c>
      <c r="K99" s="261" t="str">
        <f aca="false">IFERROR(IF(K$21*K$22*K$23*K26&gt;0,AVERAGE(K$21:K$23, K26),""),"")</f>
        <v/>
      </c>
      <c r="L99" s="261" t="str">
        <f aca="false">IFERROR(IF(L$21*L$22*L$23*L26&gt;0,AVERAGE(L$21:L$23, L26),""),"")</f>
        <v/>
      </c>
      <c r="M99" s="261" t="str">
        <f aca="false">IFERROR(IF(M$21*M$22*M$23*M26&gt;0,AVERAGE(M$21:M$23, M26),""),"")</f>
        <v/>
      </c>
      <c r="N99" s="261" t="str">
        <f aca="false">IFERROR(IF(N$21*N$22*N$23*N26&gt;0,AVERAGE(N$21:N$23, N26),""),"")</f>
        <v/>
      </c>
      <c r="O99" s="224"/>
      <c r="P99" s="224"/>
      <c r="Q99" s="232"/>
      <c r="R99" s="226" t="s">
        <v>450</v>
      </c>
      <c r="S99" s="227" t="str">
        <f aca="false">IFERROR(IF(C$21*C$22*C$23*C26&gt;0,STDEV(C$21:C$23, C26),"")/IF(C$21*C$22*C$23*C26&gt;0,AVERAGE(C$21:C$23, C26),""),"")</f>
        <v/>
      </c>
      <c r="T99" s="227" t="str">
        <f aca="false">IFERROR(IF(D$21*D$22*D$23*D26&gt;0,STDEV(D$21:D$23, D26),"")/IF(D$21*D$22*D$23*D26&gt;0,AVERAGE(D$21:D$23, D26),""),"")</f>
        <v/>
      </c>
      <c r="U99" s="227" t="str">
        <f aca="false">IFERROR(IF(E$21*E$22*E$23*E26&gt;0,STDEV(E$21:E$23, E26),"")/IF(E$21*E$22*E$23*E26&gt;0,AVERAGE(E$21:E$23, E26),""),"")</f>
        <v/>
      </c>
      <c r="V99" s="227" t="str">
        <f aca="false">IFERROR(IF(F$21*F$22*F$23*F26&gt;0,STDEV(F$21:F$23, F26),"")/IF(F$21*F$22*F$23*F26&gt;0,AVERAGE(F$21:F$23, F26),""),"")</f>
        <v/>
      </c>
      <c r="W99" s="227" t="str">
        <f aca="false">IFERROR(IF(G$21*G$22*G$23*G26&gt;0,STDEV(G$21:G$23, G26),"")/IF(G$21*G$22*G$23*G26&gt;0,AVERAGE(G$21:G$23, G26),""),"")</f>
        <v/>
      </c>
      <c r="X99" s="227" t="str">
        <f aca="false">IFERROR(IF(H$21*H$22*H$23*H26&gt;0,STDEV(H$21:H$23, H26),"")/IF(H$21*H$22*H$23*H26&gt;0,AVERAGE(H$21:H$23, H26),""),"")</f>
        <v/>
      </c>
      <c r="Y99" s="227" t="str">
        <f aca="false">IFERROR(IF(I$21*I$22*I$23*I26&gt;0,STDEV(I$21:I$23, I26),"")/IF(I$21*I$22*I$23*I26&gt;0,AVERAGE(I$21:I$23, I26),""),"")</f>
        <v/>
      </c>
      <c r="Z99" s="227" t="str">
        <f aca="false">IFERROR(IF(J$21*J$22*J$23*J26&gt;0,STDEV(J$21:J$23, J26),"")/IF(J$21*J$22*J$23*J26&gt;0,AVERAGE(J$21:J$23, J26),""),"")</f>
        <v/>
      </c>
      <c r="AA99" s="227" t="str">
        <f aca="false">IFERROR(IF(K$21*K$22*K$23*K26&gt;0,STDEV(K$21:K$23, K26),"")/IF(K$21*K$22*K$23*K26&gt;0,AVERAGE(K$21:K$23, K26),""),"")</f>
        <v/>
      </c>
      <c r="AB99" s="227" t="str">
        <f aca="false">IFERROR(IF(L$21*L$22*L$23*L26&gt;0,STDEV(L$21:L$23, L26),"")/IF(L$21*L$22*L$23*L26&gt;0,AVERAGE(L$21:L$23, L26),""),"")</f>
        <v/>
      </c>
      <c r="AC99" s="227" t="str">
        <f aca="false">IFERROR(IF(M$21*M$22*M$23*M26&gt;0,STDEV(M$21:M$23, M26),"")/IF(M$21*M$22*M$23*M26&gt;0,AVERAGE(M$21:M$23, M26),""),"")</f>
        <v/>
      </c>
      <c r="AD99" s="227" t="str">
        <f aca="false">IFERROR(IF(N$21*N$22*N$23*N26&gt;0,STDEV(N$21:N$23, N26),"")/IF(N$21*N$22*N$23*N26&gt;0,AVERAGE(N$21:N$23, N26),""),"")</f>
        <v/>
      </c>
      <c r="AE99" s="233"/>
      <c r="AF99" s="229" t="s">
        <v>451</v>
      </c>
      <c r="AG99" s="230" t="str">
        <f aca="false">IFERROR(IF(C$21*C$22*C$23*C26&gt;0,STDEV(C$21:C$23, C26)," ")/IF(C$21*C$22*C$23*C26&gt;0,SQRT(COUNT(C$21:C$23, C26))," "),"")</f>
        <v/>
      </c>
      <c r="AH99" s="230" t="str">
        <f aca="false">IFERROR(IF(D$21*D$22*D$23*D26&gt;0,STDEV(D$21:D$23, D26)," ")/IF(D$21*D$22*D$23*D26&gt;0,SQRT(COUNT(D$21:D$23, D26))," "),"")</f>
        <v/>
      </c>
      <c r="AI99" s="230" t="str">
        <f aca="false">IFERROR(IF(E$21*E$22*E$23*E26&gt;0,STDEV(E$21:E$23, E26)," ")/IF(E$21*E$22*E$23*E26&gt;0,SQRT(COUNT(E$21:E$23, E26))," "),"")</f>
        <v/>
      </c>
      <c r="AJ99" s="230" t="str">
        <f aca="false">IFERROR(IF(F$21*F$22*F$23*F26&gt;0,STDEV(F$21:F$23, F26)," ")/IF(F$21*F$22*F$23*F26&gt;0,SQRT(COUNT(F$21:F$23, F26))," "),"")</f>
        <v/>
      </c>
      <c r="AK99" s="230" t="str">
        <f aca="false">IFERROR(IF(G$21*G$22*G$23*G26&gt;0,STDEV(G$21:G$23, G26)," ")/IF(G$21*G$22*G$23*G26&gt;0,SQRT(COUNT(G$21:G$23, G26))," "),"")</f>
        <v/>
      </c>
      <c r="AL99" s="230" t="str">
        <f aca="false">IFERROR(IF(H$21*H$22*H$23*H26&gt;0,STDEV(H$21:H$23, H26)," ")/IF(H$21*H$22*H$23*H26&gt;0,SQRT(COUNT(H$21:H$23, H26))," "),"")</f>
        <v/>
      </c>
      <c r="AM99" s="230" t="str">
        <f aca="false">IFERROR(IF(I$21*I$22*I$23*I26&gt;0,STDEV(I$21:I$23, I26)," ")/IF(I$21*I$22*I$23*I26&gt;0,SQRT(COUNT(I$21:I$23, I26))," "),"")</f>
        <v/>
      </c>
      <c r="AN99" s="230" t="str">
        <f aca="false">IFERROR(IF(J$21*J$22*J$23*J26&gt;0,STDEV(J$21:J$23, J26)," ")/IF(J$21*J$22*J$23*J26&gt;0,SQRT(COUNT(J$21:J$23, J26))," "),"")</f>
        <v/>
      </c>
      <c r="AO99" s="230" t="str">
        <f aca="false">IFERROR(IF(K$21*K$22*K$23*K26&gt;0,STDEV(K$21:K$23, K26)," ")/IF(K$21*K$22*K$23*K26&gt;0,SQRT(COUNT(K$21:K$23, K26))," "),"")</f>
        <v/>
      </c>
      <c r="AP99" s="230" t="str">
        <f aca="false">IFERROR(IF(L$21*L$22*L$23*L26&gt;0,STDEV(L$21:L$23, L26)," ")/IF(L$21*L$22*L$23*L26&gt;0,SQRT(COUNT(L$21:L$23, L26))," "),"")</f>
        <v/>
      </c>
      <c r="AQ99" s="230" t="str">
        <f aca="false">IFERROR(IF(M$21*M$22*M$23*M26&gt;0,STDEV(M$21:M$23, M26)," ")/IF(M$21*M$22*M$23*M26&gt;0,SQRT(COUNT(M$21:M$23, M26))," "),"")</f>
        <v/>
      </c>
      <c r="AR99" s="230" t="str">
        <f aca="false">IFERROR(IF(N$21*N$22*N$23*N26&gt;0,STDEV(N$21:N$23, N26)," ")/IF(N$21*N$22*N$23*N26&gt;0,SQRT(COUNT(N$21:N$23, N26))," "),"")</f>
        <v/>
      </c>
    </row>
    <row r="100" customFormat="false" ht="15.75" hidden="false" customHeight="false" outlineLevel="0" collapsed="false">
      <c r="A100" s="220" t="s">
        <v>452</v>
      </c>
      <c r="B100" s="221"/>
      <c r="C100" s="261" t="str">
        <f aca="false">IFERROR(IF(C$21*C$22*C$23*C27&gt;0,AVERAGE(C$21:C$23, C27),""),"")</f>
        <v/>
      </c>
      <c r="D100" s="261" t="str">
        <f aca="false">IFERROR(IF(D$21*D$22*D$23*D27&gt;0,AVERAGE(D$21:D$23, D27),""),"")</f>
        <v/>
      </c>
      <c r="E100" s="261" t="str">
        <f aca="false">IFERROR(IF(E$21*E$22*E$23*E27&gt;0,AVERAGE(E$21:E$23, E27),""),"")</f>
        <v/>
      </c>
      <c r="F100" s="261" t="str">
        <f aca="false">IFERROR(IF(F$21*F$22*F$23*F27&gt;0,AVERAGE(F$21:F$23, F27),""),"")</f>
        <v/>
      </c>
      <c r="G100" s="261" t="str">
        <f aca="false">IFERROR(IF(G$21*G$22*G$23*G27&gt;0,AVERAGE(G$21:G$23, G27),""),"")</f>
        <v/>
      </c>
      <c r="H100" s="261" t="str">
        <f aca="false">IFERROR(IF(H$21*H$22*H$23*H27&gt;0,AVERAGE(H$21:H$23, H27),""),"")</f>
        <v/>
      </c>
      <c r="I100" s="261" t="str">
        <f aca="false">IFERROR(IF(I$21*I$22*I$23*I27&gt;0,AVERAGE(I$21:I$23, I27),""),"")</f>
        <v/>
      </c>
      <c r="J100" s="261" t="str">
        <f aca="false">IFERROR(IF(J$21*J$22*J$23*J27&gt;0,AVERAGE(J$21:J$23, J27),""),"")</f>
        <v/>
      </c>
      <c r="K100" s="261" t="str">
        <f aca="false">IFERROR(IF(K$21*K$22*K$23*K27&gt;0,AVERAGE(K$21:K$23, K27),""),"")</f>
        <v/>
      </c>
      <c r="L100" s="261" t="str">
        <f aca="false">IFERROR(IF(L$21*L$22*L$23*L27&gt;0,AVERAGE(L$21:L$23, L27),""),"")</f>
        <v/>
      </c>
      <c r="M100" s="261" t="str">
        <f aca="false">IFERROR(IF(M$21*M$22*M$23*M27&gt;0,AVERAGE(M$21:M$23, M27),""),"")</f>
        <v/>
      </c>
      <c r="N100" s="261" t="str">
        <f aca="false">IFERROR(IF(N$21*N$22*N$23*N27&gt;0,AVERAGE(N$21:N$23, N27),""),"")</f>
        <v/>
      </c>
      <c r="O100" s="224"/>
      <c r="P100" s="224"/>
      <c r="Q100" s="232"/>
      <c r="R100" s="226" t="s">
        <v>453</v>
      </c>
      <c r="S100" s="227" t="str">
        <f aca="false">IFERROR(IF(C$21*C$22*C$23*C27&gt;0,STDEV(C$21:C$23, C27),"")/IF(C$21*C$22*C$23*C27&gt;0,AVERAGE(C$21:C$23, C27),""),"")</f>
        <v/>
      </c>
      <c r="T100" s="227" t="str">
        <f aca="false">IFERROR(IF(D$21*D$22*D$23*D27&gt;0,STDEV(D$21:D$23, D27),"")/IF(D$21*D$22*D$23*D27&gt;0,AVERAGE(D$21:D$23, D27),""),"")</f>
        <v/>
      </c>
      <c r="U100" s="227" t="str">
        <f aca="false">IFERROR(IF(E$21*E$22*E$23*E27&gt;0,STDEV(E$21:E$23, E27),"")/IF(E$21*E$22*E$23*E27&gt;0,AVERAGE(E$21:E$23, E27),""),"")</f>
        <v/>
      </c>
      <c r="V100" s="227" t="str">
        <f aca="false">IFERROR(IF(F$21*F$22*F$23*F27&gt;0,STDEV(F$21:F$23, F27),"")/IF(F$21*F$22*F$23*F27&gt;0,AVERAGE(F$21:F$23, F27),""),"")</f>
        <v/>
      </c>
      <c r="W100" s="227" t="str">
        <f aca="false">IFERROR(IF(G$21*G$22*G$23*G27&gt;0,STDEV(G$21:G$23, G27),"")/IF(G$21*G$22*G$23*G27&gt;0,AVERAGE(G$21:G$23, G27),""),"")</f>
        <v/>
      </c>
      <c r="X100" s="227" t="str">
        <f aca="false">IFERROR(IF(H$21*H$22*H$23*H27&gt;0,STDEV(H$21:H$23, H27),"")/IF(H$21*H$22*H$23*H27&gt;0,AVERAGE(H$21:H$23, H27),""),"")</f>
        <v/>
      </c>
      <c r="Y100" s="227" t="str">
        <f aca="false">IFERROR(IF(I$21*I$22*I$23*I27&gt;0,STDEV(I$21:I$23, I27),"")/IF(I$21*I$22*I$23*I27&gt;0,AVERAGE(I$21:I$23, I27),""),"")</f>
        <v/>
      </c>
      <c r="Z100" s="227" t="str">
        <f aca="false">IFERROR(IF(J$21*J$22*J$23*J27&gt;0,STDEV(J$21:J$23, J27),"")/IF(J$21*J$22*J$23*J27&gt;0,AVERAGE(J$21:J$23, J27),""),"")</f>
        <v/>
      </c>
      <c r="AA100" s="227" t="str">
        <f aca="false">IFERROR(IF(K$21*K$22*K$23*K27&gt;0,STDEV(K$21:K$23, K27),"")/IF(K$21*K$22*K$23*K27&gt;0,AVERAGE(K$21:K$23, K27),""),"")</f>
        <v/>
      </c>
      <c r="AB100" s="227" t="str">
        <f aca="false">IFERROR(IF(L$21*L$22*L$23*L27&gt;0,STDEV(L$21:L$23, L27),"")/IF(L$21*L$22*L$23*L27&gt;0,AVERAGE(L$21:L$23, L27),""),"")</f>
        <v/>
      </c>
      <c r="AC100" s="227" t="str">
        <f aca="false">IFERROR(IF(M$21*M$22*M$23*M27&gt;0,STDEV(M$21:M$23, M27),"")/IF(M$21*M$22*M$23*M27&gt;0,AVERAGE(M$21:M$23, M27),""),"")</f>
        <v/>
      </c>
      <c r="AD100" s="227" t="str">
        <f aca="false">IFERROR(IF(N$21*N$22*N$23*N27&gt;0,STDEV(N$21:N$23, N27),"")/IF(N$21*N$22*N$23*N27&gt;0,AVERAGE(N$21:N$23, N27),""),"")</f>
        <v/>
      </c>
      <c r="AE100" s="233"/>
      <c r="AF100" s="229" t="s">
        <v>454</v>
      </c>
      <c r="AG100" s="230" t="str">
        <f aca="false">IFERROR(IF(C$21*C$22*C$23*C27&gt;0,STDEV(C$21:C$23, C27)," ")/IF(C$21*C$22*C$23*C27&gt;0,SQRT(COUNT(C$21:C$23, C27))," "),"")</f>
        <v/>
      </c>
      <c r="AH100" s="230" t="str">
        <f aca="false">IFERROR(IF(D$21*D$22*D$23*D27&gt;0,STDEV(D$21:D$23, D27)," ")/IF(D$21*D$22*D$23*D27&gt;0,SQRT(COUNT(D$21:D$23, D27))," "),"")</f>
        <v/>
      </c>
      <c r="AI100" s="230" t="str">
        <f aca="false">IFERROR(IF(E$21*E$22*E$23*E27&gt;0,STDEV(E$21:E$23, E27)," ")/IF(E$21*E$22*E$23*E27&gt;0,SQRT(COUNT(E$21:E$23, E27))," "),"")</f>
        <v/>
      </c>
      <c r="AJ100" s="230" t="str">
        <f aca="false">IFERROR(IF(F$21*F$22*F$23*F27&gt;0,STDEV(F$21:F$23, F27)," ")/IF(F$21*F$22*F$23*F27&gt;0,SQRT(COUNT(F$21:F$23, F27))," "),"")</f>
        <v/>
      </c>
      <c r="AK100" s="230" t="str">
        <f aca="false">IFERROR(IF(G$21*G$22*G$23*G27&gt;0,STDEV(G$21:G$23, G27)," ")/IF(G$21*G$22*G$23*G27&gt;0,SQRT(COUNT(G$21:G$23, G27))," "),"")</f>
        <v/>
      </c>
      <c r="AL100" s="230" t="str">
        <f aca="false">IFERROR(IF(H$21*H$22*H$23*H27&gt;0,STDEV(H$21:H$23, H27)," ")/IF(H$21*H$22*H$23*H27&gt;0,SQRT(COUNT(H$21:H$23, H27))," "),"")</f>
        <v/>
      </c>
      <c r="AM100" s="230" t="str">
        <f aca="false">IFERROR(IF(I$21*I$22*I$23*I27&gt;0,STDEV(I$21:I$23, I27)," ")/IF(I$21*I$22*I$23*I27&gt;0,SQRT(COUNT(I$21:I$23, I27))," "),"")</f>
        <v/>
      </c>
      <c r="AN100" s="230" t="str">
        <f aca="false">IFERROR(IF(J$21*J$22*J$23*J27&gt;0,STDEV(J$21:J$23, J27)," ")/IF(J$21*J$22*J$23*J27&gt;0,SQRT(COUNT(J$21:J$23, J27))," "),"")</f>
        <v/>
      </c>
      <c r="AO100" s="230" t="str">
        <f aca="false">IFERROR(IF(K$21*K$22*K$23*K27&gt;0,STDEV(K$21:K$23, K27)," ")/IF(K$21*K$22*K$23*K27&gt;0,SQRT(COUNT(K$21:K$23, K27))," "),"")</f>
        <v/>
      </c>
      <c r="AP100" s="230" t="str">
        <f aca="false">IFERROR(IF(L$21*L$22*L$23*L27&gt;0,STDEV(L$21:L$23, L27)," ")/IF(L$21*L$22*L$23*L27&gt;0,SQRT(COUNT(L$21:L$23, L27))," "),"")</f>
        <v/>
      </c>
      <c r="AQ100" s="230" t="str">
        <f aca="false">IFERROR(IF(M$21*M$22*M$23*M27&gt;0,STDEV(M$21:M$23, M27)," ")/IF(M$21*M$22*M$23*M27&gt;0,SQRT(COUNT(M$21:M$23, M27))," "),"")</f>
        <v/>
      </c>
      <c r="AR100" s="230" t="str">
        <f aca="false">IFERROR(IF(N$21*N$22*N$23*N27&gt;0,STDEV(N$21:N$23, N27)," ")/IF(N$21*N$22*N$23*N27&gt;0,SQRT(COUNT(N$21:N$23, N27))," "),"")</f>
        <v/>
      </c>
    </row>
    <row r="101" customFormat="false" ht="15.75" hidden="false" customHeight="false" outlineLevel="0" collapsed="false">
      <c r="A101" s="220" t="s">
        <v>455</v>
      </c>
      <c r="B101" s="221"/>
      <c r="C101" s="261" t="str">
        <f aca="false">IFERROR(IF(C$22*C$23*C$24*C21&gt;0,AVERAGE(C$22:C$24, C21),""),"")</f>
        <v/>
      </c>
      <c r="D101" s="261" t="str">
        <f aca="false">IFERROR(IF(D$22*D$23*D$24*D21&gt;0,AVERAGE(D$22:D$24, D21),""),"")</f>
        <v/>
      </c>
      <c r="E101" s="261" t="str">
        <f aca="false">IFERROR(IF(E$22*E$23*E$24*E21&gt;0,AVERAGE(E$22:E$24, E21),""),"")</f>
        <v/>
      </c>
      <c r="F101" s="261" t="str">
        <f aca="false">IFERROR(IF(F$22*F$23*F$24*F21&gt;0,AVERAGE(F$22:F$24, F21),""),"")</f>
        <v/>
      </c>
      <c r="G101" s="261" t="str">
        <f aca="false">IFERROR(IF(G$22*G$23*G$24*G21&gt;0,AVERAGE(G$22:G$24, G21),""),"")</f>
        <v/>
      </c>
      <c r="H101" s="261" t="str">
        <f aca="false">IFERROR(IF(H$22*H$23*H$24*H21&gt;0,AVERAGE(H$22:H$24, H21),""),"")</f>
        <v/>
      </c>
      <c r="I101" s="261" t="str">
        <f aca="false">IFERROR(IF(I$22*I$23*I$24*I21&gt;0,AVERAGE(I$22:I$24, I21),""),"")</f>
        <v/>
      </c>
      <c r="J101" s="261" t="str">
        <f aca="false">IFERROR(IF(J$22*J$23*J$24*J21&gt;0,AVERAGE(J$22:J$24, J21),""),"")</f>
        <v/>
      </c>
      <c r="K101" s="261" t="str">
        <f aca="false">IFERROR(IF(K$22*K$23*K$24*K21&gt;0,AVERAGE(K$22:K$24, K21),""),"")</f>
        <v/>
      </c>
      <c r="L101" s="261" t="str">
        <f aca="false">IFERROR(IF(L$22*L$23*L$24*L21&gt;0,AVERAGE(L$22:L$24, L21),""),"")</f>
        <v/>
      </c>
      <c r="M101" s="261" t="str">
        <f aca="false">IFERROR(IF(M$22*M$23*M$24*M21&gt;0,AVERAGE(M$22:M$24, M21),""),"")</f>
        <v/>
      </c>
      <c r="N101" s="261" t="str">
        <f aca="false">IFERROR(IF(N$22*N$23*N$24*N21&gt;0,AVERAGE(N$22:N$24, N21),""),"")</f>
        <v/>
      </c>
      <c r="O101" s="224"/>
      <c r="P101" s="224"/>
      <c r="Q101" s="232"/>
      <c r="R101" s="226" t="s">
        <v>456</v>
      </c>
      <c r="S101" s="227" t="str">
        <f aca="false">IFERROR(IF(C$22*C$23*C$24*C21&gt;0,STDEV(C$22:C$24, C21),"")/IF(C$22*C$23*C$24*C21&gt;0,AVERAGE(C$22:C$24, C21),""),"")</f>
        <v/>
      </c>
      <c r="T101" s="227" t="str">
        <f aca="false">IFERROR(IF(D$22*D$23*D$24*D21&gt;0,STDEV(D$22:D$24, D21),"")/IF(D$22*D$23*D$24*D21&gt;0,AVERAGE(D$22:D$24, D21),""),"")</f>
        <v/>
      </c>
      <c r="U101" s="227" t="str">
        <f aca="false">IFERROR(IF(E$22*E$23*E$24*E21&gt;0,STDEV(E$22:E$24, E21),"")/IF(E$22*E$23*E$24*E21&gt;0,AVERAGE(E$22:E$24, E21),""),"")</f>
        <v/>
      </c>
      <c r="V101" s="227" t="str">
        <f aca="false">IFERROR(IF(F$22*F$23*F$24*F21&gt;0,STDEV(F$22:F$24, F21),"")/IF(F$22*F$23*F$24*F21&gt;0,AVERAGE(F$22:F$24, F21),""),"")</f>
        <v/>
      </c>
      <c r="W101" s="227" t="str">
        <f aca="false">IFERROR(IF(G$22*G$23*G$24*G21&gt;0,STDEV(G$22:G$24, G21),"")/IF(G$22*G$23*G$24*G21&gt;0,AVERAGE(G$22:G$24, G21),""),"")</f>
        <v/>
      </c>
      <c r="X101" s="227" t="str">
        <f aca="false">IFERROR(IF(H$22*H$23*H$24*H21&gt;0,STDEV(H$22:H$24, H21),"")/IF(H$22*H$23*H$24*H21&gt;0,AVERAGE(H$22:H$24, H21),""),"")</f>
        <v/>
      </c>
      <c r="Y101" s="227" t="str">
        <f aca="false">IFERROR(IF(I$22*I$23*I$24*I21&gt;0,STDEV(I$22:I$24, I21),"")/IF(I$22*I$23*I$24*I21&gt;0,AVERAGE(I$22:I$24, I21),""),"")</f>
        <v/>
      </c>
      <c r="Z101" s="227" t="str">
        <f aca="false">IFERROR(IF(J$22*J$23*J$24*J21&gt;0,STDEV(J$22:J$24, J21),"")/IF(J$22*J$23*J$24*J21&gt;0,AVERAGE(J$22:J$24, J21),""),"")</f>
        <v/>
      </c>
      <c r="AA101" s="227" t="str">
        <f aca="false">IFERROR(IF(K$22*K$23*K$24*K21&gt;0,STDEV(K$22:K$24, K21),"")/IF(K$22*K$23*K$24*K21&gt;0,AVERAGE(K$22:K$24, K21),""),"")</f>
        <v/>
      </c>
      <c r="AB101" s="227" t="str">
        <f aca="false">IFERROR(IF(L$22*L$23*L$24*L21&gt;0,STDEV(L$22:L$24, L21),"")/IF(L$22*L$23*L$24*L21&gt;0,AVERAGE(L$22:L$24, L21),""),"")</f>
        <v/>
      </c>
      <c r="AC101" s="227" t="str">
        <f aca="false">IFERROR(IF(M$22*M$23*M$24*M21&gt;0,STDEV(M$22:M$24, M21),"")/IF(M$22*M$23*M$24*M21&gt;0,AVERAGE(M$22:M$24, M21),""),"")</f>
        <v/>
      </c>
      <c r="AD101" s="227" t="str">
        <f aca="false">IFERROR(IF(N$22*N$23*N$24*N21&gt;0,STDEV(N$22:N$24, N21),"")/IF(N$22*N$23*N$24*N21&gt;0,AVERAGE(N$22:N$24, N21),""),"")</f>
        <v/>
      </c>
      <c r="AE101" s="233"/>
      <c r="AF101" s="229" t="s">
        <v>457</v>
      </c>
      <c r="AG101" s="230" t="str">
        <f aca="false">IFERROR(IF(C$22*C$23*C$24*C21&gt;0,STDEV(C$22:C$24, C21)," ")/IF(C$22*C$23*C$24*C21&gt;0,SQRT(COUNT(C$22:C$24, C21))," "),"")</f>
        <v/>
      </c>
      <c r="AH101" s="230" t="str">
        <f aca="false">IFERROR(IF(D$22*D$23*D$24*D21&gt;0,STDEV(D$22:D$24, D21)," ")/IF(D$22*D$23*D$24*D21&gt;0,SQRT(COUNT(D$22:D$24, D21))," "),"")</f>
        <v/>
      </c>
      <c r="AI101" s="230" t="str">
        <f aca="false">IFERROR(IF(E$22*E$23*E$24*E21&gt;0,STDEV(E$22:E$24, E21)," ")/IF(E$22*E$23*E$24*E21&gt;0,SQRT(COUNT(E$22:E$24, E21))," "),"")</f>
        <v/>
      </c>
      <c r="AJ101" s="230" t="str">
        <f aca="false">IFERROR(IF(F$22*F$23*F$24*F21&gt;0,STDEV(F$22:F$24, F21)," ")/IF(F$22*F$23*F$24*F21&gt;0,SQRT(COUNT(F$22:F$24, F21))," "),"")</f>
        <v/>
      </c>
      <c r="AK101" s="230" t="str">
        <f aca="false">IFERROR(IF(G$22*G$23*G$24*G21&gt;0,STDEV(G$22:G$24, G21)," ")/IF(G$22*G$23*G$24*G21&gt;0,SQRT(COUNT(G$22:G$24, G21))," "),"")</f>
        <v/>
      </c>
      <c r="AL101" s="230" t="str">
        <f aca="false">IFERROR(IF(H$22*H$23*H$24*H21&gt;0,STDEV(H$22:H$24, H21)," ")/IF(H$22*H$23*H$24*H21&gt;0,SQRT(COUNT(H$22:H$24, H21))," "),"")</f>
        <v/>
      </c>
      <c r="AM101" s="230" t="str">
        <f aca="false">IFERROR(IF(I$22*I$23*I$24*I21&gt;0,STDEV(I$22:I$24, I21)," ")/IF(I$22*I$23*I$24*I21&gt;0,SQRT(COUNT(I$22:I$24, I21))," "),"")</f>
        <v/>
      </c>
      <c r="AN101" s="230" t="str">
        <f aca="false">IFERROR(IF(J$22*J$23*J$24*J21&gt;0,STDEV(J$22:J$24, J21)," ")/IF(J$22*J$23*J$24*J21&gt;0,SQRT(COUNT(J$22:J$24, J21))," "),"")</f>
        <v/>
      </c>
      <c r="AO101" s="230" t="str">
        <f aca="false">IFERROR(IF(K$22*K$23*K$24*K21&gt;0,STDEV(K$22:K$24, K21)," ")/IF(K$22*K$23*K$24*K21&gt;0,SQRT(COUNT(K$22:K$24, K21))," "),"")</f>
        <v/>
      </c>
      <c r="AP101" s="230" t="str">
        <f aca="false">IFERROR(IF(L$22*L$23*L$24*L21&gt;0,STDEV(L$22:L$24, L21)," ")/IF(L$22*L$23*L$24*L21&gt;0,SQRT(COUNT(L$22:L$24, L21))," "),"")</f>
        <v/>
      </c>
      <c r="AQ101" s="230" t="str">
        <f aca="false">IFERROR(IF(M$22*M$23*M$24*M21&gt;0,STDEV(M$22:M$24, M21)," ")/IF(M$22*M$23*M$24*M21&gt;0,SQRT(COUNT(M$22:M$24, M21))," "),"")</f>
        <v/>
      </c>
      <c r="AR101" s="230" t="str">
        <f aca="false">IFERROR(IF(N$22*N$23*N$24*N21&gt;0,STDEV(N$22:N$24, N21)," ")/IF(N$22*N$23*N$24*N21&gt;0,SQRT(COUNT(N$22:N$24, N21))," "),"")</f>
        <v/>
      </c>
    </row>
    <row r="102" customFormat="false" ht="15.75" hidden="false" customHeight="false" outlineLevel="0" collapsed="false">
      <c r="A102" s="220" t="s">
        <v>458</v>
      </c>
      <c r="B102" s="221"/>
      <c r="C102" s="261" t="str">
        <f aca="false">IFERROR(IF(C$22*C$23*C$24*C25&gt;0,AVERAGE(C$22:C$24, C25),""),"")</f>
        <v/>
      </c>
      <c r="D102" s="261" t="str">
        <f aca="false">IFERROR(IF(D$22*D$23*D$24*D25&gt;0,AVERAGE(D$22:D$24, D25),""),"")</f>
        <v/>
      </c>
      <c r="E102" s="261" t="str">
        <f aca="false">IFERROR(IF(E$22*E$23*E$24*E25&gt;0,AVERAGE(E$22:E$24, E25),""),"")</f>
        <v/>
      </c>
      <c r="F102" s="261" t="str">
        <f aca="false">IFERROR(IF(F$22*F$23*F$24*F25&gt;0,AVERAGE(F$22:F$24, F25),""),"")</f>
        <v/>
      </c>
      <c r="G102" s="261" t="str">
        <f aca="false">IFERROR(IF(G$22*G$23*G$24*G25&gt;0,AVERAGE(G$22:G$24, G25),""),"")</f>
        <v/>
      </c>
      <c r="H102" s="261" t="str">
        <f aca="false">IFERROR(IF(H$22*H$23*H$24*H25&gt;0,AVERAGE(H$22:H$24, H25),""),"")</f>
        <v/>
      </c>
      <c r="I102" s="261" t="str">
        <f aca="false">IFERROR(IF(I$22*I$23*I$24*I25&gt;0,AVERAGE(I$22:I$24, I25),""),"")</f>
        <v/>
      </c>
      <c r="J102" s="261" t="str">
        <f aca="false">IFERROR(IF(J$22*J$23*J$24*J25&gt;0,AVERAGE(J$22:J$24, J25),""),"")</f>
        <v/>
      </c>
      <c r="K102" s="261" t="str">
        <f aca="false">IFERROR(IF(K$22*K$23*K$24*K25&gt;0,AVERAGE(K$22:K$24, K25),""),"")</f>
        <v/>
      </c>
      <c r="L102" s="261" t="str">
        <f aca="false">IFERROR(IF(L$22*L$23*L$24*L25&gt;0,AVERAGE(L$22:L$24, L25),""),"")</f>
        <v/>
      </c>
      <c r="M102" s="261" t="str">
        <f aca="false">IFERROR(IF(M$22*M$23*M$24*M25&gt;0,AVERAGE(M$22:M$24, M25),""),"")</f>
        <v/>
      </c>
      <c r="N102" s="261" t="str">
        <f aca="false">IFERROR(IF(N$22*N$23*N$24*N25&gt;0,AVERAGE(N$22:N$24, N25),""),"")</f>
        <v/>
      </c>
      <c r="O102" s="224"/>
      <c r="P102" s="224"/>
      <c r="Q102" s="232"/>
      <c r="R102" s="226" t="s">
        <v>459</v>
      </c>
      <c r="S102" s="227" t="str">
        <f aca="false">IFERROR(IF(C$22*C$23*C$24*C25&gt;0,STDEV(C$22:C$24, C25),"")/IF(C$22*C$23*C$24*C25&gt;0,AVERAGE(C$22:C$24, C25),""),"")</f>
        <v/>
      </c>
      <c r="T102" s="227" t="str">
        <f aca="false">IFERROR(IF(D$22*D$23*D$24*D25&gt;0,STDEV(D$22:D$24, D25),"")/IF(D$22*D$23*D$24*D25&gt;0,AVERAGE(D$22:D$24, D25),""),"")</f>
        <v/>
      </c>
      <c r="U102" s="227" t="str">
        <f aca="false">IFERROR(IF(E$22*E$23*E$24*E25&gt;0,STDEV(E$22:E$24, E25),"")/IF(E$22*E$23*E$24*E25&gt;0,AVERAGE(E$22:E$24, E25),""),"")</f>
        <v/>
      </c>
      <c r="V102" s="227" t="str">
        <f aca="false">IFERROR(IF(F$22*F$23*F$24*F25&gt;0,STDEV(F$22:F$24, F25),"")/IF(F$22*F$23*F$24*F25&gt;0,AVERAGE(F$22:F$24, F25),""),"")</f>
        <v/>
      </c>
      <c r="W102" s="227" t="str">
        <f aca="false">IFERROR(IF(G$22*G$23*G$24*G25&gt;0,STDEV(G$22:G$24, G25),"")/IF(G$22*G$23*G$24*G25&gt;0,AVERAGE(G$22:G$24, G25),""),"")</f>
        <v/>
      </c>
      <c r="X102" s="227" t="str">
        <f aca="false">IFERROR(IF(H$22*H$23*H$24*H25&gt;0,STDEV(H$22:H$24, H25),"")/IF(H$22*H$23*H$24*H25&gt;0,AVERAGE(H$22:H$24, H25),""),"")</f>
        <v/>
      </c>
      <c r="Y102" s="227" t="str">
        <f aca="false">IFERROR(IF(I$22*I$23*I$24*I25&gt;0,STDEV(I$22:I$24, I25),"")/IF(I$22*I$23*I$24*I25&gt;0,AVERAGE(I$22:I$24, I25),""),"")</f>
        <v/>
      </c>
      <c r="Z102" s="227" t="str">
        <f aca="false">IFERROR(IF(J$22*J$23*J$24*J25&gt;0,STDEV(J$22:J$24, J25),"")/IF(J$22*J$23*J$24*J25&gt;0,AVERAGE(J$22:J$24, J25),""),"")</f>
        <v/>
      </c>
      <c r="AA102" s="227" t="str">
        <f aca="false">IFERROR(IF(K$22*K$23*K$24*K25&gt;0,STDEV(K$22:K$24, K25),"")/IF(K$22*K$23*K$24*K25&gt;0,AVERAGE(K$22:K$24, K25),""),"")</f>
        <v/>
      </c>
      <c r="AB102" s="227" t="str">
        <f aca="false">IFERROR(IF(L$22*L$23*L$24*L25&gt;0,STDEV(L$22:L$24, L25),"")/IF(L$22*L$23*L$24*L25&gt;0,AVERAGE(L$22:L$24, L25),""),"")</f>
        <v/>
      </c>
      <c r="AC102" s="227" t="str">
        <f aca="false">IFERROR(IF(M$22*M$23*M$24*M25&gt;0,STDEV(M$22:M$24, M25),"")/IF(M$22*M$23*M$24*M25&gt;0,AVERAGE(M$22:M$24, M25),""),"")</f>
        <v/>
      </c>
      <c r="AD102" s="227" t="str">
        <f aca="false">IFERROR(IF(N$22*N$23*N$24*N25&gt;0,STDEV(N$22:N$24, N25),"")/IF(N$22*N$23*N$24*N25&gt;0,AVERAGE(N$22:N$24, N25),""),"")</f>
        <v/>
      </c>
      <c r="AE102" s="233"/>
      <c r="AF102" s="229" t="s">
        <v>460</v>
      </c>
      <c r="AG102" s="230" t="str">
        <f aca="false">IFERROR(IF(C$22*C$23*C$24*C25&gt;0,STDEV(C$22:C$24, C25)," ")/IF(C$22*C$23*C$24*C25&gt;0,SQRT(COUNT(C$22:C$24, C25))," "),"")</f>
        <v/>
      </c>
      <c r="AH102" s="230" t="str">
        <f aca="false">IFERROR(IF(D$22*D$23*D$24*D25&gt;0,STDEV(D$22:D$24, D25)," ")/IF(D$22*D$23*D$24*D25&gt;0,SQRT(COUNT(D$22:D$24, D25))," "),"")</f>
        <v/>
      </c>
      <c r="AI102" s="230" t="str">
        <f aca="false">IFERROR(IF(E$22*E$23*E$24*E25&gt;0,STDEV(E$22:E$24, E25)," ")/IF(E$22*E$23*E$24*E25&gt;0,SQRT(COUNT(E$22:E$24, E25))," "),"")</f>
        <v/>
      </c>
      <c r="AJ102" s="230" t="str">
        <f aca="false">IFERROR(IF(F$22*F$23*F$24*F25&gt;0,STDEV(F$22:F$24, F25)," ")/IF(F$22*F$23*F$24*F25&gt;0,SQRT(COUNT(F$22:F$24, F25))," "),"")</f>
        <v/>
      </c>
      <c r="AK102" s="230" t="str">
        <f aca="false">IFERROR(IF(G$22*G$23*G$24*G25&gt;0,STDEV(G$22:G$24, G25)," ")/IF(G$22*G$23*G$24*G25&gt;0,SQRT(COUNT(G$22:G$24, G25))," "),"")</f>
        <v/>
      </c>
      <c r="AL102" s="230" t="str">
        <f aca="false">IFERROR(IF(H$22*H$23*H$24*H25&gt;0,STDEV(H$22:H$24, H25)," ")/IF(H$22*H$23*H$24*H25&gt;0,SQRT(COUNT(H$22:H$24, H25))," "),"")</f>
        <v/>
      </c>
      <c r="AM102" s="230" t="str">
        <f aca="false">IFERROR(IF(I$22*I$23*I$24*I25&gt;0,STDEV(I$22:I$24, I25)," ")/IF(I$22*I$23*I$24*I25&gt;0,SQRT(COUNT(I$22:I$24, I25))," "),"")</f>
        <v/>
      </c>
      <c r="AN102" s="230" t="str">
        <f aca="false">IFERROR(IF(J$22*J$23*J$24*J25&gt;0,STDEV(J$22:J$24, J25)," ")/IF(J$22*J$23*J$24*J25&gt;0,SQRT(COUNT(J$22:J$24, J25))," "),"")</f>
        <v/>
      </c>
      <c r="AO102" s="230" t="str">
        <f aca="false">IFERROR(IF(K$22*K$23*K$24*K25&gt;0,STDEV(K$22:K$24, K25)," ")/IF(K$22*K$23*K$24*K25&gt;0,SQRT(COUNT(K$22:K$24, K25))," "),"")</f>
        <v/>
      </c>
      <c r="AP102" s="230" t="str">
        <f aca="false">IFERROR(IF(L$22*L$23*L$24*L25&gt;0,STDEV(L$22:L$24, L25)," ")/IF(L$22*L$23*L$24*L25&gt;0,SQRT(COUNT(L$22:L$24, L25))," "),"")</f>
        <v/>
      </c>
      <c r="AQ102" s="230" t="str">
        <f aca="false">IFERROR(IF(M$22*M$23*M$24*M25&gt;0,STDEV(M$22:M$24, M25)," ")/IF(M$22*M$23*M$24*M25&gt;0,SQRT(COUNT(M$22:M$24, M25))," "),"")</f>
        <v/>
      </c>
      <c r="AR102" s="230" t="str">
        <f aca="false">IFERROR(IF(N$22*N$23*N$24*N25&gt;0,STDEV(N$22:N$24, N25)," ")/IF(N$22*N$23*N$24*N25&gt;0,SQRT(COUNT(N$22:N$24, N25))," "),"")</f>
        <v/>
      </c>
    </row>
    <row r="103" customFormat="false" ht="15.75" hidden="false" customHeight="false" outlineLevel="0" collapsed="false">
      <c r="A103" s="220" t="s">
        <v>461</v>
      </c>
      <c r="B103" s="221"/>
      <c r="C103" s="261" t="str">
        <f aca="false">IFERROR(IF(C$22*C$23*C$24*C26&gt;0,AVERAGE(C$22:C$24, C26),""),"")</f>
        <v/>
      </c>
      <c r="D103" s="261" t="str">
        <f aca="false">IFERROR(IF(D$22*D$23*D$24*D26&gt;0,AVERAGE(D$22:D$24, D26),""),"")</f>
        <v/>
      </c>
      <c r="E103" s="261" t="str">
        <f aca="false">IFERROR(IF(E$22*E$23*E$24*E26&gt;0,AVERAGE(E$22:E$24, E26),""),"")</f>
        <v/>
      </c>
      <c r="F103" s="261" t="str">
        <f aca="false">IFERROR(IF(F$22*F$23*F$24*F26&gt;0,AVERAGE(F$22:F$24, F26),""),"")</f>
        <v/>
      </c>
      <c r="G103" s="261" t="str">
        <f aca="false">IFERROR(IF(G$22*G$23*G$24*G26&gt;0,AVERAGE(G$22:G$24, G26),""),"")</f>
        <v/>
      </c>
      <c r="H103" s="261" t="str">
        <f aca="false">IFERROR(IF(H$22*H$23*H$24*H26&gt;0,AVERAGE(H$22:H$24, H26),""),"")</f>
        <v/>
      </c>
      <c r="I103" s="261" t="str">
        <f aca="false">IFERROR(IF(I$22*I$23*I$24*I26&gt;0,AVERAGE(I$22:I$24, I26),""),"")</f>
        <v/>
      </c>
      <c r="J103" s="261" t="str">
        <f aca="false">IFERROR(IF(J$22*J$23*J$24*J26&gt;0,AVERAGE(J$22:J$24, J26),""),"")</f>
        <v/>
      </c>
      <c r="K103" s="261" t="str">
        <f aca="false">IFERROR(IF(K$22*K$23*K$24*K26&gt;0,AVERAGE(K$22:K$24, K26),""),"")</f>
        <v/>
      </c>
      <c r="L103" s="261" t="str">
        <f aca="false">IFERROR(IF(L$22*L$23*L$24*L26&gt;0,AVERAGE(L$22:L$24, L26),""),"")</f>
        <v/>
      </c>
      <c r="M103" s="261" t="str">
        <f aca="false">IFERROR(IF(M$22*M$23*M$24*M26&gt;0,AVERAGE(M$22:M$24, M26),""),"")</f>
        <v/>
      </c>
      <c r="N103" s="261" t="str">
        <f aca="false">IFERROR(IF(N$22*N$23*N$24*N26&gt;0,AVERAGE(N$22:N$24, N26),""),"")</f>
        <v/>
      </c>
      <c r="O103" s="224"/>
      <c r="P103" s="224"/>
      <c r="Q103" s="232"/>
      <c r="R103" s="226" t="s">
        <v>462</v>
      </c>
      <c r="S103" s="227" t="str">
        <f aca="false">IFERROR(IF(C$22*C$23*C$24*C26&gt;0,STDEV(C$22:C$24, C26),"")/IF(C$22*C$23*C$24*C26&gt;0,AVERAGE(C$22:C$24, C26),""),"")</f>
        <v/>
      </c>
      <c r="T103" s="227" t="str">
        <f aca="false">IFERROR(IF(D$22*D$23*D$24*D26&gt;0,STDEV(D$22:D$24, D26),"")/IF(D$22*D$23*D$24*D26&gt;0,AVERAGE(D$22:D$24, D26),""),"")</f>
        <v/>
      </c>
      <c r="U103" s="227" t="str">
        <f aca="false">IFERROR(IF(E$22*E$23*E$24*E26&gt;0,STDEV(E$22:E$24, E26),"")/IF(E$22*E$23*E$24*E26&gt;0,AVERAGE(E$22:E$24, E26),""),"")</f>
        <v/>
      </c>
      <c r="V103" s="227" t="str">
        <f aca="false">IFERROR(IF(F$22*F$23*F$24*F26&gt;0,STDEV(F$22:F$24, F26),"")/IF(F$22*F$23*F$24*F26&gt;0,AVERAGE(F$22:F$24, F26),""),"")</f>
        <v/>
      </c>
      <c r="W103" s="227" t="str">
        <f aca="false">IFERROR(IF(G$22*G$23*G$24*G26&gt;0,STDEV(G$22:G$24, G26),"")/IF(G$22*G$23*G$24*G26&gt;0,AVERAGE(G$22:G$24, G26),""),"")</f>
        <v/>
      </c>
      <c r="X103" s="227" t="str">
        <f aca="false">IFERROR(IF(H$22*H$23*H$24*H26&gt;0,STDEV(H$22:H$24, H26),"")/IF(H$22*H$23*H$24*H26&gt;0,AVERAGE(H$22:H$24, H26),""),"")</f>
        <v/>
      </c>
      <c r="Y103" s="227" t="str">
        <f aca="false">IFERROR(IF(I$22*I$23*I$24*I26&gt;0,STDEV(I$22:I$24, I26),"")/IF(I$22*I$23*I$24*I26&gt;0,AVERAGE(I$22:I$24, I26),""),"")</f>
        <v/>
      </c>
      <c r="Z103" s="227" t="str">
        <f aca="false">IFERROR(IF(J$22*J$23*J$24*J26&gt;0,STDEV(J$22:J$24, J26),"")/IF(J$22*J$23*J$24*J26&gt;0,AVERAGE(J$22:J$24, J26),""),"")</f>
        <v/>
      </c>
      <c r="AA103" s="227" t="str">
        <f aca="false">IFERROR(IF(K$22*K$23*K$24*K26&gt;0,STDEV(K$22:K$24, K26),"")/IF(K$22*K$23*K$24*K26&gt;0,AVERAGE(K$22:K$24, K26),""),"")</f>
        <v/>
      </c>
      <c r="AB103" s="227" t="str">
        <f aca="false">IFERROR(IF(L$22*L$23*L$24*L26&gt;0,STDEV(L$22:L$24, L26),"")/IF(L$22*L$23*L$24*L26&gt;0,AVERAGE(L$22:L$24, L26),""),"")</f>
        <v/>
      </c>
      <c r="AC103" s="227" t="str">
        <f aca="false">IFERROR(IF(M$22*M$23*M$24*M26&gt;0,STDEV(M$22:M$24, M26),"")/IF(M$22*M$23*M$24*M26&gt;0,AVERAGE(M$22:M$24, M26),""),"")</f>
        <v/>
      </c>
      <c r="AD103" s="227" t="str">
        <f aca="false">IFERROR(IF(N$22*N$23*N$24*N26&gt;0,STDEV(N$22:N$24, N26),"")/IF(N$22*N$23*N$24*N26&gt;0,AVERAGE(N$22:N$24, N26),""),"")</f>
        <v/>
      </c>
      <c r="AE103" s="233"/>
      <c r="AF103" s="229" t="s">
        <v>463</v>
      </c>
      <c r="AG103" s="230" t="str">
        <f aca="false">IFERROR(IF(C$22*C$23*C$24*C26&gt;0,STDEV(C$22:C$24, C26)," ")/IF(C$22*C$23*C$24*C26&gt;0,SQRT(COUNT(C$22:C$24, C26))," "),"")</f>
        <v/>
      </c>
      <c r="AH103" s="230" t="str">
        <f aca="false">IFERROR(IF(D$22*D$23*D$24*D26&gt;0,STDEV(D$22:D$24, D26)," ")/IF(D$22*D$23*D$24*D26&gt;0,SQRT(COUNT(D$22:D$24, D26))," "),"")</f>
        <v/>
      </c>
      <c r="AI103" s="230" t="str">
        <f aca="false">IFERROR(IF(E$22*E$23*E$24*E26&gt;0,STDEV(E$22:E$24, E26)," ")/IF(E$22*E$23*E$24*E26&gt;0,SQRT(COUNT(E$22:E$24, E26))," "),"")</f>
        <v/>
      </c>
      <c r="AJ103" s="230" t="str">
        <f aca="false">IFERROR(IF(F$22*F$23*F$24*F26&gt;0,STDEV(F$22:F$24, F26)," ")/IF(F$22*F$23*F$24*F26&gt;0,SQRT(COUNT(F$22:F$24, F26))," "),"")</f>
        <v/>
      </c>
      <c r="AK103" s="230" t="str">
        <f aca="false">IFERROR(IF(G$22*G$23*G$24*G26&gt;0,STDEV(G$22:G$24, G26)," ")/IF(G$22*G$23*G$24*G26&gt;0,SQRT(COUNT(G$22:G$24, G26))," "),"")</f>
        <v/>
      </c>
      <c r="AL103" s="230" t="str">
        <f aca="false">IFERROR(IF(H$22*H$23*H$24*H26&gt;0,STDEV(H$22:H$24, H26)," ")/IF(H$22*H$23*H$24*H26&gt;0,SQRT(COUNT(H$22:H$24, H26))," "),"")</f>
        <v/>
      </c>
      <c r="AM103" s="230" t="str">
        <f aca="false">IFERROR(IF(I$22*I$23*I$24*I26&gt;0,STDEV(I$22:I$24, I26)," ")/IF(I$22*I$23*I$24*I26&gt;0,SQRT(COUNT(I$22:I$24, I26))," "),"")</f>
        <v/>
      </c>
      <c r="AN103" s="230" t="str">
        <f aca="false">IFERROR(IF(J$22*J$23*J$24*J26&gt;0,STDEV(J$22:J$24, J26)," ")/IF(J$22*J$23*J$24*J26&gt;0,SQRT(COUNT(J$22:J$24, J26))," "),"")</f>
        <v/>
      </c>
      <c r="AO103" s="230" t="str">
        <f aca="false">IFERROR(IF(K$22*K$23*K$24*K26&gt;0,STDEV(K$22:K$24, K26)," ")/IF(K$22*K$23*K$24*K26&gt;0,SQRT(COUNT(K$22:K$24, K26))," "),"")</f>
        <v/>
      </c>
      <c r="AP103" s="230" t="str">
        <f aca="false">IFERROR(IF(L$22*L$23*L$24*L26&gt;0,STDEV(L$22:L$24, L26)," ")/IF(L$22*L$23*L$24*L26&gt;0,SQRT(COUNT(L$22:L$24, L26))," "),"")</f>
        <v/>
      </c>
      <c r="AQ103" s="230" t="str">
        <f aca="false">IFERROR(IF(M$22*M$23*M$24*M26&gt;0,STDEV(M$22:M$24, M26)," ")/IF(M$22*M$23*M$24*M26&gt;0,SQRT(COUNT(M$22:M$24, M26))," "),"")</f>
        <v/>
      </c>
      <c r="AR103" s="230" t="str">
        <f aca="false">IFERROR(IF(N$22*N$23*N$24*N26&gt;0,STDEV(N$22:N$24, N26)," ")/IF(N$22*N$23*N$24*N26&gt;0,SQRT(COUNT(N$22:N$24, N26))," "),"")</f>
        <v/>
      </c>
    </row>
    <row r="104" customFormat="false" ht="15.75" hidden="false" customHeight="false" outlineLevel="0" collapsed="false">
      <c r="A104" s="220" t="s">
        <v>464</v>
      </c>
      <c r="B104" s="221"/>
      <c r="C104" s="261" t="str">
        <f aca="false">IFERROR(IF(C$22*C$23*C$24*C27&gt;0,AVERAGE(C$22:C$24, C27),""),"")</f>
        <v/>
      </c>
      <c r="D104" s="261" t="str">
        <f aca="false">IFERROR(IF(D$22*D$23*D$24*D27&gt;0,AVERAGE(D$22:D$24, D27),""),"")</f>
        <v/>
      </c>
      <c r="E104" s="261" t="str">
        <f aca="false">IFERROR(IF(E$22*E$23*E$24*E27&gt;0,AVERAGE(E$22:E$24, E27),""),"")</f>
        <v/>
      </c>
      <c r="F104" s="261" t="str">
        <f aca="false">IFERROR(IF(F$22*F$23*F$24*F27&gt;0,AVERAGE(F$22:F$24, F27),""),"")</f>
        <v/>
      </c>
      <c r="G104" s="261" t="str">
        <f aca="false">IFERROR(IF(G$22*G$23*G$24*G27&gt;0,AVERAGE(G$22:G$24, G27),""),"")</f>
        <v/>
      </c>
      <c r="H104" s="261" t="str">
        <f aca="false">IFERROR(IF(H$22*H$23*H$24*H27&gt;0,AVERAGE(H$22:H$24, H27),""),"")</f>
        <v/>
      </c>
      <c r="I104" s="261" t="str">
        <f aca="false">IFERROR(IF(I$22*I$23*I$24*I27&gt;0,AVERAGE(I$22:I$24, I27),""),"")</f>
        <v/>
      </c>
      <c r="J104" s="261" t="str">
        <f aca="false">IFERROR(IF(J$22*J$23*J$24*J27&gt;0,AVERAGE(J$22:J$24, J27),""),"")</f>
        <v/>
      </c>
      <c r="K104" s="261" t="str">
        <f aca="false">IFERROR(IF(K$22*K$23*K$24*K27&gt;0,AVERAGE(K$22:K$24, K27),""),"")</f>
        <v/>
      </c>
      <c r="L104" s="261" t="str">
        <f aca="false">IFERROR(IF(L$22*L$23*L$24*L27&gt;0,AVERAGE(L$22:L$24, L27),""),"")</f>
        <v/>
      </c>
      <c r="M104" s="261" t="str">
        <f aca="false">IFERROR(IF(M$22*M$23*M$24*M27&gt;0,AVERAGE(M$22:M$24, M27),""),"")</f>
        <v/>
      </c>
      <c r="N104" s="261" t="str">
        <f aca="false">IFERROR(IF(N$22*N$23*N$24*N27&gt;0,AVERAGE(N$22:N$24, N27),""),"")</f>
        <v/>
      </c>
      <c r="O104" s="224"/>
      <c r="P104" s="224"/>
      <c r="Q104" s="232"/>
      <c r="R104" s="226" t="s">
        <v>465</v>
      </c>
      <c r="S104" s="227" t="str">
        <f aca="false">IFERROR(IF(C$22*C$23*C$24*C27&gt;0,STDEV(C$22:C$24, C27),"")/IF(C$22*C$23*C$24*C27&gt;0,AVERAGE(C$22:C$24, C27),""),"")</f>
        <v/>
      </c>
      <c r="T104" s="227" t="str">
        <f aca="false">IFERROR(IF(D$22*D$23*D$24*D27&gt;0,STDEV(D$22:D$24, D27),"")/IF(D$22*D$23*D$24*D27&gt;0,AVERAGE(D$22:D$24, D27),""),"")</f>
        <v/>
      </c>
      <c r="U104" s="227" t="str">
        <f aca="false">IFERROR(IF(E$22*E$23*E$24*E27&gt;0,STDEV(E$22:E$24, E27),"")/IF(E$22*E$23*E$24*E27&gt;0,AVERAGE(E$22:E$24, E27),""),"")</f>
        <v/>
      </c>
      <c r="V104" s="227" t="str">
        <f aca="false">IFERROR(IF(F$22*F$23*F$24*F27&gt;0,STDEV(F$22:F$24, F27),"")/IF(F$22*F$23*F$24*F27&gt;0,AVERAGE(F$22:F$24, F27),""),"")</f>
        <v/>
      </c>
      <c r="W104" s="227" t="str">
        <f aca="false">IFERROR(IF(G$22*G$23*G$24*G27&gt;0,STDEV(G$22:G$24, G27),"")/IF(G$22*G$23*G$24*G27&gt;0,AVERAGE(G$22:G$24, G27),""),"")</f>
        <v/>
      </c>
      <c r="X104" s="227" t="str">
        <f aca="false">IFERROR(IF(H$22*H$23*H$24*H27&gt;0,STDEV(H$22:H$24, H27),"")/IF(H$22*H$23*H$24*H27&gt;0,AVERAGE(H$22:H$24, H27),""),"")</f>
        <v/>
      </c>
      <c r="Y104" s="227" t="str">
        <f aca="false">IFERROR(IF(I$22*I$23*I$24*I27&gt;0,STDEV(I$22:I$24, I27),"")/IF(I$22*I$23*I$24*I27&gt;0,AVERAGE(I$22:I$24, I27),""),"")</f>
        <v/>
      </c>
      <c r="Z104" s="227" t="str">
        <f aca="false">IFERROR(IF(J$22*J$23*J$24*J27&gt;0,STDEV(J$22:J$24, J27),"")/IF(J$22*J$23*J$24*J27&gt;0,AVERAGE(J$22:J$24, J27),""),"")</f>
        <v/>
      </c>
      <c r="AA104" s="227" t="str">
        <f aca="false">IFERROR(IF(K$22*K$23*K$24*K27&gt;0,STDEV(K$22:K$24, K27),"")/IF(K$22*K$23*K$24*K27&gt;0,AVERAGE(K$22:K$24, K27),""),"")</f>
        <v/>
      </c>
      <c r="AB104" s="227" t="str">
        <f aca="false">IFERROR(IF(L$22*L$23*L$24*L27&gt;0,STDEV(L$22:L$24, L27),"")/IF(L$22*L$23*L$24*L27&gt;0,AVERAGE(L$22:L$24, L27),""),"")</f>
        <v/>
      </c>
      <c r="AC104" s="227" t="str">
        <f aca="false">IFERROR(IF(M$22*M$23*M$24*M27&gt;0,STDEV(M$22:M$24, M27),"")/IF(M$22*M$23*M$24*M27&gt;0,AVERAGE(M$22:M$24, M27),""),"")</f>
        <v/>
      </c>
      <c r="AD104" s="227" t="str">
        <f aca="false">IFERROR(IF(N$22*N$23*N$24*N27&gt;0,STDEV(N$22:N$24, N27),"")/IF(N$22*N$23*N$24*N27&gt;0,AVERAGE(N$22:N$24, N27),""),"")</f>
        <v/>
      </c>
      <c r="AE104" s="233"/>
      <c r="AF104" s="229" t="s">
        <v>466</v>
      </c>
      <c r="AG104" s="230" t="str">
        <f aca="false">IFERROR(IF(C$22*C$23*C$24*C27&gt;0,STDEV(C$22:C$24, C27)," ")/IF(C$22*C$23*C$24*C27&gt;0,SQRT(COUNT(C$22:C$24, C27))," "),"")</f>
        <v/>
      </c>
      <c r="AH104" s="230" t="str">
        <f aca="false">IFERROR(IF(D$22*D$23*D$24*D27&gt;0,STDEV(D$22:D$24, D27)," ")/IF(D$22*D$23*D$24*D27&gt;0,SQRT(COUNT(D$22:D$24, D27))," "),"")</f>
        <v/>
      </c>
      <c r="AI104" s="230" t="str">
        <f aca="false">IFERROR(IF(E$22*E$23*E$24*E27&gt;0,STDEV(E$22:E$24, E27)," ")/IF(E$22*E$23*E$24*E27&gt;0,SQRT(COUNT(E$22:E$24, E27))," "),"")</f>
        <v/>
      </c>
      <c r="AJ104" s="230" t="str">
        <f aca="false">IFERROR(IF(F$22*F$23*F$24*F27&gt;0,STDEV(F$22:F$24, F27)," ")/IF(F$22*F$23*F$24*F27&gt;0,SQRT(COUNT(F$22:F$24, F27))," "),"")</f>
        <v/>
      </c>
      <c r="AK104" s="230" t="str">
        <f aca="false">IFERROR(IF(G$22*G$23*G$24*G27&gt;0,STDEV(G$22:G$24, G27)," ")/IF(G$22*G$23*G$24*G27&gt;0,SQRT(COUNT(G$22:G$24, G27))," "),"")</f>
        <v/>
      </c>
      <c r="AL104" s="230" t="str">
        <f aca="false">IFERROR(IF(H$22*H$23*H$24*H27&gt;0,STDEV(H$22:H$24, H27)," ")/IF(H$22*H$23*H$24*H27&gt;0,SQRT(COUNT(H$22:H$24, H27))," "),"")</f>
        <v/>
      </c>
      <c r="AM104" s="230" t="str">
        <f aca="false">IFERROR(IF(I$22*I$23*I$24*I27&gt;0,STDEV(I$22:I$24, I27)," ")/IF(I$22*I$23*I$24*I27&gt;0,SQRT(COUNT(I$22:I$24, I27))," "),"")</f>
        <v/>
      </c>
      <c r="AN104" s="230" t="str">
        <f aca="false">IFERROR(IF(J$22*J$23*J$24*J27&gt;0,STDEV(J$22:J$24, J27)," ")/IF(J$22*J$23*J$24*J27&gt;0,SQRT(COUNT(J$22:J$24, J27))," "),"")</f>
        <v/>
      </c>
      <c r="AO104" s="230" t="str">
        <f aca="false">IFERROR(IF(K$22*K$23*K$24*K27&gt;0,STDEV(K$22:K$24, K27)," ")/IF(K$22*K$23*K$24*K27&gt;0,SQRT(COUNT(K$22:K$24, K27))," "),"")</f>
        <v/>
      </c>
      <c r="AP104" s="230" t="str">
        <f aca="false">IFERROR(IF(L$22*L$23*L$24*L27&gt;0,STDEV(L$22:L$24, L27)," ")/IF(L$22*L$23*L$24*L27&gt;0,SQRT(COUNT(L$22:L$24, L27))," "),"")</f>
        <v/>
      </c>
      <c r="AQ104" s="230" t="str">
        <f aca="false">IFERROR(IF(M$22*M$23*M$24*M27&gt;0,STDEV(M$22:M$24, M27)," ")/IF(M$22*M$23*M$24*M27&gt;0,SQRT(COUNT(M$22:M$24, M27))," "),"")</f>
        <v/>
      </c>
      <c r="AR104" s="230" t="str">
        <f aca="false">IFERROR(IF(N$22*N$23*N$24*N27&gt;0,STDEV(N$22:N$24, N27)," ")/IF(N$22*N$23*N$24*N27&gt;0,SQRT(COUNT(N$22:N$24, N27))," "),"")</f>
        <v/>
      </c>
    </row>
    <row r="105" customFormat="false" ht="15.75" hidden="false" customHeight="false" outlineLevel="0" collapsed="false">
      <c r="A105" s="220" t="s">
        <v>467</v>
      </c>
      <c r="B105" s="221"/>
      <c r="C105" s="261" t="str">
        <f aca="false">IFERROR(IF(C$23*C$24*C$25*C21&gt;0,AVERAGE(C$23:C$25, C21),""),"")</f>
        <v/>
      </c>
      <c r="D105" s="261" t="str">
        <f aca="false">IFERROR(IF(D$23*D$24*D$25*D21&gt;0,AVERAGE(D$23:D$25, D21),""),"")</f>
        <v/>
      </c>
      <c r="E105" s="261" t="str">
        <f aca="false">IFERROR(IF(E$23*E$24*E$25*E21&gt;0,AVERAGE(E$23:E$25, E21),""),"")</f>
        <v/>
      </c>
      <c r="F105" s="261" t="str">
        <f aca="false">IFERROR(IF(F$23*F$24*F$25*F21&gt;0,AVERAGE(F$23:F$25, F21),""),"")</f>
        <v/>
      </c>
      <c r="G105" s="261" t="str">
        <f aca="false">IFERROR(IF(G$23*G$24*G$25*G21&gt;0,AVERAGE(G$23:G$25, G21),""),"")</f>
        <v/>
      </c>
      <c r="H105" s="261" t="str">
        <f aca="false">IFERROR(IF(H$23*H$24*H$25*H21&gt;0,AVERAGE(H$23:H$25, H21),""),"")</f>
        <v/>
      </c>
      <c r="I105" s="261" t="str">
        <f aca="false">IFERROR(IF(I$23*I$24*I$25*I21&gt;0,AVERAGE(I$23:I$25, I21),""),"")</f>
        <v/>
      </c>
      <c r="J105" s="261" t="str">
        <f aca="false">IFERROR(IF(J$23*J$24*J$25*J21&gt;0,AVERAGE(J$23:J$25, J21),""),"")</f>
        <v/>
      </c>
      <c r="K105" s="261" t="str">
        <f aca="false">IFERROR(IF(K$23*K$24*K$25*K21&gt;0,AVERAGE(K$23:K$25, K21),""),"")</f>
        <v/>
      </c>
      <c r="L105" s="261" t="str">
        <f aca="false">IFERROR(IF(L$23*L$24*L$25*L21&gt;0,AVERAGE(L$23:L$25, L21),""),"")</f>
        <v/>
      </c>
      <c r="M105" s="261" t="str">
        <f aca="false">IFERROR(IF(M$23*M$24*M$25*M21&gt;0,AVERAGE(M$23:M$25, M21),""),"")</f>
        <v/>
      </c>
      <c r="N105" s="261" t="str">
        <f aca="false">IFERROR(IF(N$23*N$24*N$25*N21&gt;0,AVERAGE(N$23:N$25, N21),""),"")</f>
        <v/>
      </c>
      <c r="O105" s="224"/>
      <c r="P105" s="224"/>
      <c r="Q105" s="232"/>
      <c r="R105" s="226" t="s">
        <v>468</v>
      </c>
      <c r="S105" s="227" t="str">
        <f aca="false">IFERROR(IF(C$23*C$24*C$25*C21&gt;0,STDEV(C$23:C$25, C21),"")/IF(C$23*C$24*C$25*C21&gt;0,AVERAGE(C$23:C$25, C21),""),"")</f>
        <v/>
      </c>
      <c r="T105" s="227" t="str">
        <f aca="false">IFERROR(IF(D$23*D$24*D$25*D21&gt;0,STDEV(D$23:D$25, D21),"")/IF(D$23*D$24*D$25*D21&gt;0,AVERAGE(D$23:D$25, D21),""),"")</f>
        <v/>
      </c>
      <c r="U105" s="227" t="str">
        <f aca="false">IFERROR(IF(E$23*E$24*E$25*E21&gt;0,STDEV(E$23:E$25, E21),"")/IF(E$23*E$24*E$25*E21&gt;0,AVERAGE(E$23:E$25, E21),""),"")</f>
        <v/>
      </c>
      <c r="V105" s="227" t="str">
        <f aca="false">IFERROR(IF(F$23*F$24*F$25*F21&gt;0,STDEV(F$23:F$25, F21),"")/IF(F$23*F$24*F$25*F21&gt;0,AVERAGE(F$23:F$25, F21),""),"")</f>
        <v/>
      </c>
      <c r="W105" s="227" t="str">
        <f aca="false">IFERROR(IF(G$23*G$24*G$25*G21&gt;0,STDEV(G$23:G$25, G21),"")/IF(G$23*G$24*G$25*G21&gt;0,AVERAGE(G$23:G$25, G21),""),"")</f>
        <v/>
      </c>
      <c r="X105" s="227" t="str">
        <f aca="false">IFERROR(IF(H$23*H$24*H$25*H21&gt;0,STDEV(H$23:H$25, H21),"")/IF(H$23*H$24*H$25*H21&gt;0,AVERAGE(H$23:H$25, H21),""),"")</f>
        <v/>
      </c>
      <c r="Y105" s="227" t="str">
        <f aca="false">IFERROR(IF(I$23*I$24*I$25*I21&gt;0,STDEV(I$23:I$25, I21),"")/IF(I$23*I$24*I$25*I21&gt;0,AVERAGE(I$23:I$25, I21),""),"")</f>
        <v/>
      </c>
      <c r="Z105" s="227" t="str">
        <f aca="false">IFERROR(IF(J$23*J$24*J$25*J21&gt;0,STDEV(J$23:J$25, J21),"")/IF(J$23*J$24*J$25*J21&gt;0,AVERAGE(J$23:J$25, J21),""),"")</f>
        <v/>
      </c>
      <c r="AA105" s="227" t="str">
        <f aca="false">IFERROR(IF(K$23*K$24*K$25*K21&gt;0,STDEV(K$23:K$25, K21),"")/IF(K$23*K$24*K$25*K21&gt;0,AVERAGE(K$23:K$25, K21),""),"")</f>
        <v/>
      </c>
      <c r="AB105" s="227" t="str">
        <f aca="false">IFERROR(IF(L$23*L$24*L$25*L21&gt;0,STDEV(L$23:L$25, L21),"")/IF(L$23*L$24*L$25*L21&gt;0,AVERAGE(L$23:L$25, L21),""),"")</f>
        <v/>
      </c>
      <c r="AC105" s="227" t="str">
        <f aca="false">IFERROR(IF(M$23*M$24*M$25*M21&gt;0,STDEV(M$23:M$25, M21),"")/IF(M$23*M$24*M$25*M21&gt;0,AVERAGE(M$23:M$25, M21),""),"")</f>
        <v/>
      </c>
      <c r="AD105" s="227" t="str">
        <f aca="false">IFERROR(IF(N$23*N$24*N$25*N21&gt;0,STDEV(N$23:N$25, N21),"")/IF(N$23*N$24*N$25*N21&gt;0,AVERAGE(N$23:N$25, N21),""),"")</f>
        <v/>
      </c>
      <c r="AE105" s="233"/>
      <c r="AF105" s="229" t="s">
        <v>469</v>
      </c>
      <c r="AG105" s="230" t="str">
        <f aca="false">IFERROR(IF(C$23*C$24*C$25*C21&gt;0,STDEV(C$23:C$25, C21)," ")/IF(C$23*C$24*C$25*C21&gt;0,SQRT(COUNT(C$23:C$25, C21))," "),"")</f>
        <v/>
      </c>
      <c r="AH105" s="230" t="str">
        <f aca="false">IFERROR(IF(D$23*D$24*D$25*D21&gt;0,STDEV(D$23:D$25, D21)," ")/IF(D$23*D$24*D$25*D21&gt;0,SQRT(COUNT(D$23:D$25, D21))," "),"")</f>
        <v/>
      </c>
      <c r="AI105" s="230" t="str">
        <f aca="false">IFERROR(IF(E$23*E$24*E$25*E21&gt;0,STDEV(E$23:E$25, E21)," ")/IF(E$23*E$24*E$25*E21&gt;0,SQRT(COUNT(E$23:E$25, E21))," "),"")</f>
        <v/>
      </c>
      <c r="AJ105" s="230" t="str">
        <f aca="false">IFERROR(IF(F$23*F$24*F$25*F21&gt;0,STDEV(F$23:F$25, F21)," ")/IF(F$23*F$24*F$25*F21&gt;0,SQRT(COUNT(F$23:F$25, F21))," "),"")</f>
        <v/>
      </c>
      <c r="AK105" s="230" t="str">
        <f aca="false">IFERROR(IF(G$23*G$24*G$25*G21&gt;0,STDEV(G$23:G$25, G21)," ")/IF(G$23*G$24*G$25*G21&gt;0,SQRT(COUNT(G$23:G$25, G21))," "),"")</f>
        <v/>
      </c>
      <c r="AL105" s="230" t="str">
        <f aca="false">IFERROR(IF(H$23*H$24*H$25*H21&gt;0,STDEV(H$23:H$25, H21)," ")/IF(H$23*H$24*H$25*H21&gt;0,SQRT(COUNT(H$23:H$25, H21))," "),"")</f>
        <v/>
      </c>
      <c r="AM105" s="230" t="str">
        <f aca="false">IFERROR(IF(I$23*I$24*I$25*I21&gt;0,STDEV(I$23:I$25, I21)," ")/IF(I$23*I$24*I$25*I21&gt;0,SQRT(COUNT(I$23:I$25, I21))," "),"")</f>
        <v/>
      </c>
      <c r="AN105" s="230" t="str">
        <f aca="false">IFERROR(IF(J$23*J$24*J$25*J21&gt;0,STDEV(J$23:J$25, J21)," ")/IF(J$23*J$24*J$25*J21&gt;0,SQRT(COUNT(J$23:J$25, J21))," "),"")</f>
        <v/>
      </c>
      <c r="AO105" s="230" t="str">
        <f aca="false">IFERROR(IF(K$23*K$24*K$25*K21&gt;0,STDEV(K$23:K$25, K21)," ")/IF(K$23*K$24*K$25*K21&gt;0,SQRT(COUNT(K$23:K$25, K21))," "),"")</f>
        <v/>
      </c>
      <c r="AP105" s="230" t="str">
        <f aca="false">IFERROR(IF(L$23*L$24*L$25*L21&gt;0,STDEV(L$23:L$25, L21)," ")/IF(L$23*L$24*L$25*L21&gt;0,SQRT(COUNT(L$23:L$25, L21))," "),"")</f>
        <v/>
      </c>
      <c r="AQ105" s="230" t="str">
        <f aca="false">IFERROR(IF(M$23*M$24*M$25*M21&gt;0,STDEV(M$23:M$25, M21)," ")/IF(M$23*M$24*M$25*M21&gt;0,SQRT(COUNT(M$23:M$25, M21))," "),"")</f>
        <v/>
      </c>
      <c r="AR105" s="230" t="str">
        <f aca="false">IFERROR(IF(N$23*N$24*N$25*N21&gt;0,STDEV(N$23:N$25, N21)," ")/IF(N$23*N$24*N$25*N21&gt;0,SQRT(COUNT(N$23:N$25, N21))," "),"")</f>
        <v/>
      </c>
    </row>
    <row r="106" customFormat="false" ht="15.75" hidden="false" customHeight="false" outlineLevel="0" collapsed="false">
      <c r="A106" s="220" t="s">
        <v>470</v>
      </c>
      <c r="B106" s="221"/>
      <c r="C106" s="261" t="str">
        <f aca="false">IFERROR(IF(C$23*C$24*C$25*C22&gt;0,AVERAGE(C$23:C$25, C22),""),"")</f>
        <v/>
      </c>
      <c r="D106" s="261" t="str">
        <f aca="false">IFERROR(IF(D$23*D$24*D$25*D22&gt;0,AVERAGE(D$23:D$25, D22),""),"")</f>
        <v/>
      </c>
      <c r="E106" s="261" t="str">
        <f aca="false">IFERROR(IF(E$23*E$24*E$25*E22&gt;0,AVERAGE(E$23:E$25, E22),""),"")</f>
        <v/>
      </c>
      <c r="F106" s="261" t="str">
        <f aca="false">IFERROR(IF(F$23*F$24*F$25*F22&gt;0,AVERAGE(F$23:F$25, F22),""),"")</f>
        <v/>
      </c>
      <c r="G106" s="261" t="str">
        <f aca="false">IFERROR(IF(G$23*G$24*G$25*G22&gt;0,AVERAGE(G$23:G$25, G22),""),"")</f>
        <v/>
      </c>
      <c r="H106" s="261" t="str">
        <f aca="false">IFERROR(IF(H$23*H$24*H$25*H22&gt;0,AVERAGE(H$23:H$25, H22),""),"")</f>
        <v/>
      </c>
      <c r="I106" s="261" t="str">
        <f aca="false">IFERROR(IF(I$23*I$24*I$25*I22&gt;0,AVERAGE(I$23:I$25, I22),""),"")</f>
        <v/>
      </c>
      <c r="J106" s="261" t="str">
        <f aca="false">IFERROR(IF(J$23*J$24*J$25*J22&gt;0,AVERAGE(J$23:J$25, J22),""),"")</f>
        <v/>
      </c>
      <c r="K106" s="261" t="str">
        <f aca="false">IFERROR(IF(K$23*K$24*K$25*K22&gt;0,AVERAGE(K$23:K$25, K22),""),"")</f>
        <v/>
      </c>
      <c r="L106" s="261" t="str">
        <f aca="false">IFERROR(IF(L$23*L$24*L$25*L22&gt;0,AVERAGE(L$23:L$25, L22),""),"")</f>
        <v/>
      </c>
      <c r="M106" s="261" t="str">
        <f aca="false">IFERROR(IF(M$23*M$24*M$25*M22&gt;0,AVERAGE(M$23:M$25, M22),""),"")</f>
        <v/>
      </c>
      <c r="N106" s="261" t="str">
        <f aca="false">IFERROR(IF(N$23*N$24*N$25*N22&gt;0,AVERAGE(N$23:N$25, N22),""),"")</f>
        <v/>
      </c>
      <c r="O106" s="224"/>
      <c r="P106" s="224"/>
      <c r="Q106" s="232"/>
      <c r="R106" s="226" t="s">
        <v>471</v>
      </c>
      <c r="S106" s="227" t="str">
        <f aca="false">IFERROR(IF(C$23*C$24*C$25*C22&gt;0,STDEV(C$23:C$25, C22),"")/IF(C$23*C$24*C$25*C22&gt;0,AVERAGE(C$23:C$25, C22),""),"")</f>
        <v/>
      </c>
      <c r="T106" s="227" t="str">
        <f aca="false">IFERROR(IF(D$23*D$24*D$25*D22&gt;0,STDEV(D$23:D$25, D22),"")/IF(D$23*D$24*D$25*D22&gt;0,AVERAGE(D$23:D$25, D22),""),"")</f>
        <v/>
      </c>
      <c r="U106" s="227" t="str">
        <f aca="false">IFERROR(IF(E$23*E$24*E$25*E22&gt;0,STDEV(E$23:E$25, E22),"")/IF(E$23*E$24*E$25*E22&gt;0,AVERAGE(E$23:E$25, E22),""),"")</f>
        <v/>
      </c>
      <c r="V106" s="227" t="str">
        <f aca="false">IFERROR(IF(F$23*F$24*F$25*F22&gt;0,STDEV(F$23:F$25, F22),"")/IF(F$23*F$24*F$25*F22&gt;0,AVERAGE(F$23:F$25, F22),""),"")</f>
        <v/>
      </c>
      <c r="W106" s="227" t="str">
        <f aca="false">IFERROR(IF(G$23*G$24*G$25*G22&gt;0,STDEV(G$23:G$25, G22),"")/IF(G$23*G$24*G$25*G22&gt;0,AVERAGE(G$23:G$25, G22),""),"")</f>
        <v/>
      </c>
      <c r="X106" s="227" t="str">
        <f aca="false">IFERROR(IF(H$23*H$24*H$25*H22&gt;0,STDEV(H$23:H$25, H22),"")/IF(H$23*H$24*H$25*H22&gt;0,AVERAGE(H$23:H$25, H22),""),"")</f>
        <v/>
      </c>
      <c r="Y106" s="227" t="str">
        <f aca="false">IFERROR(IF(I$23*I$24*I$25*I22&gt;0,STDEV(I$23:I$25, I22),"")/IF(I$23*I$24*I$25*I22&gt;0,AVERAGE(I$23:I$25, I22),""),"")</f>
        <v/>
      </c>
      <c r="Z106" s="227" t="str">
        <f aca="false">IFERROR(IF(J$23*J$24*J$25*J22&gt;0,STDEV(J$23:J$25, J22),"")/IF(J$23*J$24*J$25*J22&gt;0,AVERAGE(J$23:J$25, J22),""),"")</f>
        <v/>
      </c>
      <c r="AA106" s="227" t="str">
        <f aca="false">IFERROR(IF(K$23*K$24*K$25*K22&gt;0,STDEV(K$23:K$25, K22),"")/IF(K$23*K$24*K$25*K22&gt;0,AVERAGE(K$23:K$25, K22),""),"")</f>
        <v/>
      </c>
      <c r="AB106" s="227" t="str">
        <f aca="false">IFERROR(IF(L$23*L$24*L$25*L22&gt;0,STDEV(L$23:L$25, L22),"")/IF(L$23*L$24*L$25*L22&gt;0,AVERAGE(L$23:L$25, L22),""),"")</f>
        <v/>
      </c>
      <c r="AC106" s="227" t="str">
        <f aca="false">IFERROR(IF(M$23*M$24*M$25*M22&gt;0,STDEV(M$23:M$25, M22),"")/IF(M$23*M$24*M$25*M22&gt;0,AVERAGE(M$23:M$25, M22),""),"")</f>
        <v/>
      </c>
      <c r="AD106" s="227" t="str">
        <f aca="false">IFERROR(IF(N$23*N$24*N$25*N22&gt;0,STDEV(N$23:N$25, N22),"")/IF(N$23*N$24*N$25*N22&gt;0,AVERAGE(N$23:N$25, N22),""),"")</f>
        <v/>
      </c>
      <c r="AE106" s="233"/>
      <c r="AF106" s="229" t="s">
        <v>472</v>
      </c>
      <c r="AG106" s="230" t="str">
        <f aca="false">IFERROR(IF(C$23*C$24*C$25*C22&gt;0,STDEV(C$23:C$25, C22)," ")/IF(C$23*C$24*C$25*C22&gt;0,SQRT(COUNT(C$23:C$25, C22))," "),"")</f>
        <v/>
      </c>
      <c r="AH106" s="230" t="str">
        <f aca="false">IFERROR(IF(D$23*D$24*D$25*D22&gt;0,STDEV(D$23:D$25, D22)," ")/IF(D$23*D$24*D$25*D22&gt;0,SQRT(COUNT(D$23:D$25, D22))," "),"")</f>
        <v/>
      </c>
      <c r="AI106" s="230" t="str">
        <f aca="false">IFERROR(IF(E$23*E$24*E$25*E22&gt;0,STDEV(E$23:E$25, E22)," ")/IF(E$23*E$24*E$25*E22&gt;0,SQRT(COUNT(E$23:E$25, E22))," "),"")</f>
        <v/>
      </c>
      <c r="AJ106" s="230" t="str">
        <f aca="false">IFERROR(IF(F$23*F$24*F$25*F22&gt;0,STDEV(F$23:F$25, F22)," ")/IF(F$23*F$24*F$25*F22&gt;0,SQRT(COUNT(F$23:F$25, F22))," "),"")</f>
        <v/>
      </c>
      <c r="AK106" s="230" t="str">
        <f aca="false">IFERROR(IF(G$23*G$24*G$25*G22&gt;0,STDEV(G$23:G$25, G22)," ")/IF(G$23*G$24*G$25*G22&gt;0,SQRT(COUNT(G$23:G$25, G22))," "),"")</f>
        <v/>
      </c>
      <c r="AL106" s="230" t="str">
        <f aca="false">IFERROR(IF(H$23*H$24*H$25*H22&gt;0,STDEV(H$23:H$25, H22)," ")/IF(H$23*H$24*H$25*H22&gt;0,SQRT(COUNT(H$23:H$25, H22))," "),"")</f>
        <v/>
      </c>
      <c r="AM106" s="230" t="str">
        <f aca="false">IFERROR(IF(I$23*I$24*I$25*I22&gt;0,STDEV(I$23:I$25, I22)," ")/IF(I$23*I$24*I$25*I22&gt;0,SQRT(COUNT(I$23:I$25, I22))," "),"")</f>
        <v/>
      </c>
      <c r="AN106" s="230" t="str">
        <f aca="false">IFERROR(IF(J$23*J$24*J$25*J22&gt;0,STDEV(J$23:J$25, J22)," ")/IF(J$23*J$24*J$25*J22&gt;0,SQRT(COUNT(J$23:J$25, J22))," "),"")</f>
        <v/>
      </c>
      <c r="AO106" s="230" t="str">
        <f aca="false">IFERROR(IF(K$23*K$24*K$25*K22&gt;0,STDEV(K$23:K$25, K22)," ")/IF(K$23*K$24*K$25*K22&gt;0,SQRT(COUNT(K$23:K$25, K22))," "),"")</f>
        <v/>
      </c>
      <c r="AP106" s="230" t="str">
        <f aca="false">IFERROR(IF(L$23*L$24*L$25*L22&gt;0,STDEV(L$23:L$25, L22)," ")/IF(L$23*L$24*L$25*L22&gt;0,SQRT(COUNT(L$23:L$25, L22))," "),"")</f>
        <v/>
      </c>
      <c r="AQ106" s="230" t="str">
        <f aca="false">IFERROR(IF(M$23*M$24*M$25*M22&gt;0,STDEV(M$23:M$25, M22)," ")/IF(M$23*M$24*M$25*M22&gt;0,SQRT(COUNT(M$23:M$25, M22))," "),"")</f>
        <v/>
      </c>
      <c r="AR106" s="230" t="str">
        <f aca="false">IFERROR(IF(N$23*N$24*N$25*N22&gt;0,STDEV(N$23:N$25, N22)," ")/IF(N$23*N$24*N$25*N22&gt;0,SQRT(COUNT(N$23:N$25, N22))," "),"")</f>
        <v/>
      </c>
    </row>
    <row r="107" customFormat="false" ht="15.75" hidden="false" customHeight="false" outlineLevel="0" collapsed="false">
      <c r="A107" s="220" t="s">
        <v>473</v>
      </c>
      <c r="B107" s="221"/>
      <c r="C107" s="261" t="str">
        <f aca="false">IFERROR(IF(C$23*C$24*C$25*C26&gt;0,AVERAGE(C$23:C$25, C26),""),"")</f>
        <v/>
      </c>
      <c r="D107" s="261" t="str">
        <f aca="false">IFERROR(IF(D$23*D$24*D$25*D26&gt;0,AVERAGE(D$23:D$25, D26),""),"")</f>
        <v/>
      </c>
      <c r="E107" s="261" t="str">
        <f aca="false">IFERROR(IF(E$23*E$24*E$25*E26&gt;0,AVERAGE(E$23:E$25, E26),""),"")</f>
        <v/>
      </c>
      <c r="F107" s="261" t="str">
        <f aca="false">IFERROR(IF(F$23*F$24*F$25*F26&gt;0,AVERAGE(F$23:F$25, F26),""),"")</f>
        <v/>
      </c>
      <c r="G107" s="261" t="str">
        <f aca="false">IFERROR(IF(G$23*G$24*G$25*G26&gt;0,AVERAGE(G$23:G$25, G26),""),"")</f>
        <v/>
      </c>
      <c r="H107" s="261" t="str">
        <f aca="false">IFERROR(IF(H$23*H$24*H$25*H26&gt;0,AVERAGE(H$23:H$25, H26),""),"")</f>
        <v/>
      </c>
      <c r="I107" s="261" t="str">
        <f aca="false">IFERROR(IF(I$23*I$24*I$25*I26&gt;0,AVERAGE(I$23:I$25, I26),""),"")</f>
        <v/>
      </c>
      <c r="J107" s="261" t="str">
        <f aca="false">IFERROR(IF(J$23*J$24*J$25*J26&gt;0,AVERAGE(J$23:J$25, J26),""),"")</f>
        <v/>
      </c>
      <c r="K107" s="261" t="str">
        <f aca="false">IFERROR(IF(K$23*K$24*K$25*K26&gt;0,AVERAGE(K$23:K$25, K26),""),"")</f>
        <v/>
      </c>
      <c r="L107" s="261" t="str">
        <f aca="false">IFERROR(IF(L$23*L$24*L$25*L26&gt;0,AVERAGE(L$23:L$25, L26),""),"")</f>
        <v/>
      </c>
      <c r="M107" s="261" t="str">
        <f aca="false">IFERROR(IF(M$23*M$24*M$25*M26&gt;0,AVERAGE(M$23:M$25, M26),""),"")</f>
        <v/>
      </c>
      <c r="N107" s="261" t="str">
        <f aca="false">IFERROR(IF(N$23*N$24*N$25*N26&gt;0,AVERAGE(N$23:N$25, N26),""),"")</f>
        <v/>
      </c>
      <c r="O107" s="224"/>
      <c r="P107" s="224"/>
      <c r="Q107" s="232"/>
      <c r="R107" s="226" t="s">
        <v>474</v>
      </c>
      <c r="S107" s="227" t="str">
        <f aca="false">IFERROR(IF(C$23*C$24*C$25*C26&gt;0,STDEV(C$23:C$25, C26),"")/IF(C$23*C$24*C$25*C26&gt;0,AVERAGE(C$23:C$25, C26),""),"")</f>
        <v/>
      </c>
      <c r="T107" s="227" t="str">
        <f aca="false">IFERROR(IF(D$23*D$24*D$25*D26&gt;0,STDEV(D$23:D$25, D26),"")/IF(D$23*D$24*D$25*D26&gt;0,AVERAGE(D$23:D$25, D26),""),"")</f>
        <v/>
      </c>
      <c r="U107" s="227" t="str">
        <f aca="false">IFERROR(IF(E$23*E$24*E$25*E26&gt;0,STDEV(E$23:E$25, E26),"")/IF(E$23*E$24*E$25*E26&gt;0,AVERAGE(E$23:E$25, E26),""),"")</f>
        <v/>
      </c>
      <c r="V107" s="227" t="str">
        <f aca="false">IFERROR(IF(F$23*F$24*F$25*F26&gt;0,STDEV(F$23:F$25, F26),"")/IF(F$23*F$24*F$25*F26&gt;0,AVERAGE(F$23:F$25, F26),""),"")</f>
        <v/>
      </c>
      <c r="W107" s="227" t="str">
        <f aca="false">IFERROR(IF(G$23*G$24*G$25*G26&gt;0,STDEV(G$23:G$25, G26),"")/IF(G$23*G$24*G$25*G26&gt;0,AVERAGE(G$23:G$25, G26),""),"")</f>
        <v/>
      </c>
      <c r="X107" s="227" t="str">
        <f aca="false">IFERROR(IF(H$23*H$24*H$25*H26&gt;0,STDEV(H$23:H$25, H26),"")/IF(H$23*H$24*H$25*H26&gt;0,AVERAGE(H$23:H$25, H26),""),"")</f>
        <v/>
      </c>
      <c r="Y107" s="227" t="str">
        <f aca="false">IFERROR(IF(I$23*I$24*I$25*I26&gt;0,STDEV(I$23:I$25, I26),"")/IF(I$23*I$24*I$25*I26&gt;0,AVERAGE(I$23:I$25, I26),""),"")</f>
        <v/>
      </c>
      <c r="Z107" s="227" t="str">
        <f aca="false">IFERROR(IF(J$23*J$24*J$25*J26&gt;0,STDEV(J$23:J$25, J26),"")/IF(J$23*J$24*J$25*J26&gt;0,AVERAGE(J$23:J$25, J26),""),"")</f>
        <v/>
      </c>
      <c r="AA107" s="227" t="str">
        <f aca="false">IFERROR(IF(K$23*K$24*K$25*K26&gt;0,STDEV(K$23:K$25, K26),"")/IF(K$23*K$24*K$25*K26&gt;0,AVERAGE(K$23:K$25, K26),""),"")</f>
        <v/>
      </c>
      <c r="AB107" s="227" t="str">
        <f aca="false">IFERROR(IF(L$23*L$24*L$25*L26&gt;0,STDEV(L$23:L$25, L26),"")/IF(L$23*L$24*L$25*L26&gt;0,AVERAGE(L$23:L$25, L26),""),"")</f>
        <v/>
      </c>
      <c r="AC107" s="227" t="str">
        <f aca="false">IFERROR(IF(M$23*M$24*M$25*M26&gt;0,STDEV(M$23:M$25, M26),"")/IF(M$23*M$24*M$25*M26&gt;0,AVERAGE(M$23:M$25, M26),""),"")</f>
        <v/>
      </c>
      <c r="AD107" s="227" t="str">
        <f aca="false">IFERROR(IF(N$23*N$24*N$25*N26&gt;0,STDEV(N$23:N$25, N26),"")/IF(N$23*N$24*N$25*N26&gt;0,AVERAGE(N$23:N$25, N26),""),"")</f>
        <v/>
      </c>
      <c r="AE107" s="233"/>
      <c r="AF107" s="229" t="s">
        <v>475</v>
      </c>
      <c r="AG107" s="230" t="str">
        <f aca="false">IFERROR(IF(C$23*C$24*C$25*C26&gt;0,STDEV(C$23:C$25, C26)," ")/IF(C$23*C$24*C$25*C26&gt;0,SQRT(COUNT(C$23:C$25, C26))," "),"")</f>
        <v/>
      </c>
      <c r="AH107" s="230" t="str">
        <f aca="false">IFERROR(IF(D$23*D$24*D$25*D26&gt;0,STDEV(D$23:D$25, D26)," ")/IF(D$23*D$24*D$25*D26&gt;0,SQRT(COUNT(D$23:D$25, D26))," "),"")</f>
        <v/>
      </c>
      <c r="AI107" s="230" t="str">
        <f aca="false">IFERROR(IF(E$23*E$24*E$25*E26&gt;0,STDEV(E$23:E$25, E26)," ")/IF(E$23*E$24*E$25*E26&gt;0,SQRT(COUNT(E$23:E$25, E26))," "),"")</f>
        <v/>
      </c>
      <c r="AJ107" s="230" t="str">
        <f aca="false">IFERROR(IF(F$23*F$24*F$25*F26&gt;0,STDEV(F$23:F$25, F26)," ")/IF(F$23*F$24*F$25*F26&gt;0,SQRT(COUNT(F$23:F$25, F26))," "),"")</f>
        <v/>
      </c>
      <c r="AK107" s="230" t="str">
        <f aca="false">IFERROR(IF(G$23*G$24*G$25*G26&gt;0,STDEV(G$23:G$25, G26)," ")/IF(G$23*G$24*G$25*G26&gt;0,SQRT(COUNT(G$23:G$25, G26))," "),"")</f>
        <v/>
      </c>
      <c r="AL107" s="230" t="str">
        <f aca="false">IFERROR(IF(H$23*H$24*H$25*H26&gt;0,STDEV(H$23:H$25, H26)," ")/IF(H$23*H$24*H$25*H26&gt;0,SQRT(COUNT(H$23:H$25, H26))," "),"")</f>
        <v/>
      </c>
      <c r="AM107" s="230" t="str">
        <f aca="false">IFERROR(IF(I$23*I$24*I$25*I26&gt;0,STDEV(I$23:I$25, I26)," ")/IF(I$23*I$24*I$25*I26&gt;0,SQRT(COUNT(I$23:I$25, I26))," "),"")</f>
        <v/>
      </c>
      <c r="AN107" s="230" t="str">
        <f aca="false">IFERROR(IF(J$23*J$24*J$25*J26&gt;0,STDEV(J$23:J$25, J26)," ")/IF(J$23*J$24*J$25*J26&gt;0,SQRT(COUNT(J$23:J$25, J26))," "),"")</f>
        <v/>
      </c>
      <c r="AO107" s="230" t="str">
        <f aca="false">IFERROR(IF(K$23*K$24*K$25*K26&gt;0,STDEV(K$23:K$25, K26)," ")/IF(K$23*K$24*K$25*K26&gt;0,SQRT(COUNT(K$23:K$25, K26))," "),"")</f>
        <v/>
      </c>
      <c r="AP107" s="230" t="str">
        <f aca="false">IFERROR(IF(L$23*L$24*L$25*L26&gt;0,STDEV(L$23:L$25, L26)," ")/IF(L$23*L$24*L$25*L26&gt;0,SQRT(COUNT(L$23:L$25, L26))," "),"")</f>
        <v/>
      </c>
      <c r="AQ107" s="230" t="str">
        <f aca="false">IFERROR(IF(M$23*M$24*M$25*M26&gt;0,STDEV(M$23:M$25, M26)," ")/IF(M$23*M$24*M$25*M26&gt;0,SQRT(COUNT(M$23:M$25, M26))," "),"")</f>
        <v/>
      </c>
      <c r="AR107" s="230" t="str">
        <f aca="false">IFERROR(IF(N$23*N$24*N$25*N26&gt;0,STDEV(N$23:N$25, N26)," ")/IF(N$23*N$24*N$25*N26&gt;0,SQRT(COUNT(N$23:N$25, N26))," "),"")</f>
        <v/>
      </c>
    </row>
    <row r="108" customFormat="false" ht="15.75" hidden="false" customHeight="false" outlineLevel="0" collapsed="false">
      <c r="A108" s="220" t="s">
        <v>476</v>
      </c>
      <c r="B108" s="221"/>
      <c r="C108" s="261" t="str">
        <f aca="false">IFERROR(IF(C$23*C$24*C$25*C27&gt;0,AVERAGE(C$23:C$25, C27),""),"")</f>
        <v/>
      </c>
      <c r="D108" s="261" t="str">
        <f aca="false">IFERROR(IF(D$23*D$24*D$25*D27&gt;0,AVERAGE(D$23:D$25, D27),""),"")</f>
        <v/>
      </c>
      <c r="E108" s="261" t="str">
        <f aca="false">IFERROR(IF(E$23*E$24*E$25*E27&gt;0,AVERAGE(E$23:E$25, E27),""),"")</f>
        <v/>
      </c>
      <c r="F108" s="261" t="str">
        <f aca="false">IFERROR(IF(F$23*F$24*F$25*F27&gt;0,AVERAGE(F$23:F$25, F27),""),"")</f>
        <v/>
      </c>
      <c r="G108" s="261" t="str">
        <f aca="false">IFERROR(IF(G$23*G$24*G$25*G27&gt;0,AVERAGE(G$23:G$25, G27),""),"")</f>
        <v/>
      </c>
      <c r="H108" s="261" t="str">
        <f aca="false">IFERROR(IF(H$23*H$24*H$25*H27&gt;0,AVERAGE(H$23:H$25, H27),""),"")</f>
        <v/>
      </c>
      <c r="I108" s="261" t="str">
        <f aca="false">IFERROR(IF(I$23*I$24*I$25*I27&gt;0,AVERAGE(I$23:I$25, I27),""),"")</f>
        <v/>
      </c>
      <c r="J108" s="261" t="str">
        <f aca="false">IFERROR(IF(J$23*J$24*J$25*J27&gt;0,AVERAGE(J$23:J$25, J27),""),"")</f>
        <v/>
      </c>
      <c r="K108" s="261" t="str">
        <f aca="false">IFERROR(IF(K$23*K$24*K$25*K27&gt;0,AVERAGE(K$23:K$25, K27),""),"")</f>
        <v/>
      </c>
      <c r="L108" s="261" t="str">
        <f aca="false">IFERROR(IF(L$23*L$24*L$25*L27&gt;0,AVERAGE(L$23:L$25, L27),""),"")</f>
        <v/>
      </c>
      <c r="M108" s="261" t="str">
        <f aca="false">IFERROR(IF(M$23*M$24*M$25*M27&gt;0,AVERAGE(M$23:M$25, M27),""),"")</f>
        <v/>
      </c>
      <c r="N108" s="261" t="str">
        <f aca="false">IFERROR(IF(N$23*N$24*N$25*N27&gt;0,AVERAGE(N$23:N$25, N27),""),"")</f>
        <v/>
      </c>
      <c r="O108" s="224"/>
      <c r="P108" s="224"/>
      <c r="Q108" s="232"/>
      <c r="R108" s="226" t="s">
        <v>477</v>
      </c>
      <c r="S108" s="227" t="str">
        <f aca="false">IFERROR(IF(C$23*C$24*C$25*C27&gt;0,STDEV(C$23:C$25, C27),"")/IF(C$23*C$24*C$25*C27&gt;0,AVERAGE(C$23:C$25, C27),""),"")</f>
        <v/>
      </c>
      <c r="T108" s="227" t="str">
        <f aca="false">IFERROR(IF(D$23*D$24*D$25*D27&gt;0,STDEV(D$23:D$25, D27),"")/IF(D$23*D$24*D$25*D27&gt;0,AVERAGE(D$23:D$25, D27),""),"")</f>
        <v/>
      </c>
      <c r="U108" s="227" t="str">
        <f aca="false">IFERROR(IF(E$23*E$24*E$25*E27&gt;0,STDEV(E$23:E$25, E27),"")/IF(E$23*E$24*E$25*E27&gt;0,AVERAGE(E$23:E$25, E27),""),"")</f>
        <v/>
      </c>
      <c r="V108" s="227" t="str">
        <f aca="false">IFERROR(IF(F$23*F$24*F$25*F27&gt;0,STDEV(F$23:F$25, F27),"")/IF(F$23*F$24*F$25*F27&gt;0,AVERAGE(F$23:F$25, F27),""),"")</f>
        <v/>
      </c>
      <c r="W108" s="227" t="str">
        <f aca="false">IFERROR(IF(G$23*G$24*G$25*G27&gt;0,STDEV(G$23:G$25, G27),"")/IF(G$23*G$24*G$25*G27&gt;0,AVERAGE(G$23:G$25, G27),""),"")</f>
        <v/>
      </c>
      <c r="X108" s="227" t="str">
        <f aca="false">IFERROR(IF(H$23*H$24*H$25*H27&gt;0,STDEV(H$23:H$25, H27),"")/IF(H$23*H$24*H$25*H27&gt;0,AVERAGE(H$23:H$25, H27),""),"")</f>
        <v/>
      </c>
      <c r="Y108" s="227" t="str">
        <f aca="false">IFERROR(IF(I$23*I$24*I$25*I27&gt;0,STDEV(I$23:I$25, I27),"")/IF(I$23*I$24*I$25*I27&gt;0,AVERAGE(I$23:I$25, I27),""),"")</f>
        <v/>
      </c>
      <c r="Z108" s="227" t="str">
        <f aca="false">IFERROR(IF(J$23*J$24*J$25*J27&gt;0,STDEV(J$23:J$25, J27),"")/IF(J$23*J$24*J$25*J27&gt;0,AVERAGE(J$23:J$25, J27),""),"")</f>
        <v/>
      </c>
      <c r="AA108" s="227" t="str">
        <f aca="false">IFERROR(IF(K$23*K$24*K$25*K27&gt;0,STDEV(K$23:K$25, K27),"")/IF(K$23*K$24*K$25*K27&gt;0,AVERAGE(K$23:K$25, K27),""),"")</f>
        <v/>
      </c>
      <c r="AB108" s="227" t="str">
        <f aca="false">IFERROR(IF(L$23*L$24*L$25*L27&gt;0,STDEV(L$23:L$25, L27),"")/IF(L$23*L$24*L$25*L27&gt;0,AVERAGE(L$23:L$25, L27),""),"")</f>
        <v/>
      </c>
      <c r="AC108" s="227" t="str">
        <f aca="false">IFERROR(IF(M$23*M$24*M$25*M27&gt;0,STDEV(M$23:M$25, M27),"")/IF(M$23*M$24*M$25*M27&gt;0,AVERAGE(M$23:M$25, M27),""),"")</f>
        <v/>
      </c>
      <c r="AD108" s="227" t="str">
        <f aca="false">IFERROR(IF(N$23*N$24*N$25*N27&gt;0,STDEV(N$23:N$25, N27),"")/IF(N$23*N$24*N$25*N27&gt;0,AVERAGE(N$23:N$25, N27),""),"")</f>
        <v/>
      </c>
      <c r="AE108" s="233"/>
      <c r="AF108" s="229" t="s">
        <v>478</v>
      </c>
      <c r="AG108" s="230" t="str">
        <f aca="false">IFERROR(IF(C$23*C$24*C$25*C27&gt;0,STDEV(C$23:C$25, C27)," ")/IF(C$23*C$24*C$25*C27&gt;0,SQRT(COUNT(C$23:C$25, C27))," "),"")</f>
        <v/>
      </c>
      <c r="AH108" s="230" t="str">
        <f aca="false">IFERROR(IF(D$23*D$24*D$25*D27&gt;0,STDEV(D$23:D$25, D27)," ")/IF(D$23*D$24*D$25*D27&gt;0,SQRT(COUNT(D$23:D$25, D27))," "),"")</f>
        <v/>
      </c>
      <c r="AI108" s="230" t="str">
        <f aca="false">IFERROR(IF(E$23*E$24*E$25*E27&gt;0,STDEV(E$23:E$25, E27)," ")/IF(E$23*E$24*E$25*E27&gt;0,SQRT(COUNT(E$23:E$25, E27))," "),"")</f>
        <v/>
      </c>
      <c r="AJ108" s="230" t="str">
        <f aca="false">IFERROR(IF(F$23*F$24*F$25*F27&gt;0,STDEV(F$23:F$25, F27)," ")/IF(F$23*F$24*F$25*F27&gt;0,SQRT(COUNT(F$23:F$25, F27))," "),"")</f>
        <v/>
      </c>
      <c r="AK108" s="230" t="str">
        <f aca="false">IFERROR(IF(G$23*G$24*G$25*G27&gt;0,STDEV(G$23:G$25, G27)," ")/IF(G$23*G$24*G$25*G27&gt;0,SQRT(COUNT(G$23:G$25, G27))," "),"")</f>
        <v/>
      </c>
      <c r="AL108" s="230" t="str">
        <f aca="false">IFERROR(IF(H$23*H$24*H$25*H27&gt;0,STDEV(H$23:H$25, H27)," ")/IF(H$23*H$24*H$25*H27&gt;0,SQRT(COUNT(H$23:H$25, H27))," "),"")</f>
        <v/>
      </c>
      <c r="AM108" s="230" t="str">
        <f aca="false">IFERROR(IF(I$23*I$24*I$25*I27&gt;0,STDEV(I$23:I$25, I27)," ")/IF(I$23*I$24*I$25*I27&gt;0,SQRT(COUNT(I$23:I$25, I27))," "),"")</f>
        <v/>
      </c>
      <c r="AN108" s="230" t="str">
        <f aca="false">IFERROR(IF(J$23*J$24*J$25*J27&gt;0,STDEV(J$23:J$25, J27)," ")/IF(J$23*J$24*J$25*J27&gt;0,SQRT(COUNT(J$23:J$25, J27))," "),"")</f>
        <v/>
      </c>
      <c r="AO108" s="230" t="str">
        <f aca="false">IFERROR(IF(K$23*K$24*K$25*K27&gt;0,STDEV(K$23:K$25, K27)," ")/IF(K$23*K$24*K$25*K27&gt;0,SQRT(COUNT(K$23:K$25, K27))," "),"")</f>
        <v/>
      </c>
      <c r="AP108" s="230" t="str">
        <f aca="false">IFERROR(IF(L$23*L$24*L$25*L27&gt;0,STDEV(L$23:L$25, L27)," ")/IF(L$23*L$24*L$25*L27&gt;0,SQRT(COUNT(L$23:L$25, L27))," "),"")</f>
        <v/>
      </c>
      <c r="AQ108" s="230" t="str">
        <f aca="false">IFERROR(IF(M$23*M$24*M$25*M27&gt;0,STDEV(M$23:M$25, M27)," ")/IF(M$23*M$24*M$25*M27&gt;0,SQRT(COUNT(M$23:M$25, M27))," "),"")</f>
        <v/>
      </c>
      <c r="AR108" s="230" t="str">
        <f aca="false">IFERROR(IF(N$23*N$24*N$25*N27&gt;0,STDEV(N$23:N$25, N27)," ")/IF(N$23*N$24*N$25*N27&gt;0,SQRT(COUNT(N$23:N$25, N27))," "),"")</f>
        <v/>
      </c>
    </row>
    <row r="109" customFormat="false" ht="15.75" hidden="false" customHeight="false" outlineLevel="0" collapsed="false">
      <c r="A109" s="220" t="s">
        <v>479</v>
      </c>
      <c r="B109" s="221"/>
      <c r="C109" s="261" t="str">
        <f aca="false">IFERROR(IF(C$24*C$25*C$26*C21&gt;0,AVERAGE(C$24:C$26, C21),""),"")</f>
        <v/>
      </c>
      <c r="D109" s="261" t="str">
        <f aca="false">IFERROR(IF(D$24*D$25*D$26*D21&gt;0,AVERAGE(D$24:D$26, D21),""),"")</f>
        <v/>
      </c>
      <c r="E109" s="261" t="str">
        <f aca="false">IFERROR(IF(E$24*E$25*E$26*E21&gt;0,AVERAGE(E$24:E$26, E21),""),"")</f>
        <v/>
      </c>
      <c r="F109" s="261" t="str">
        <f aca="false">IFERROR(IF(F$24*F$25*F$26*F21&gt;0,AVERAGE(F$24:F$26, F21),""),"")</f>
        <v/>
      </c>
      <c r="G109" s="261" t="str">
        <f aca="false">IFERROR(IF(G$24*G$25*G$26*G21&gt;0,AVERAGE(G$24:G$26, G21),""),"")</f>
        <v/>
      </c>
      <c r="H109" s="261" t="str">
        <f aca="false">IFERROR(IF(H$24*H$25*H$26*H21&gt;0,AVERAGE(H$24:H$26, H21),""),"")</f>
        <v/>
      </c>
      <c r="I109" s="261" t="str">
        <f aca="false">IFERROR(IF(I$24*I$25*I$26*I21&gt;0,AVERAGE(I$24:I$26, I21),""),"")</f>
        <v/>
      </c>
      <c r="J109" s="261" t="str">
        <f aca="false">IFERROR(IF(J$24*J$25*J$26*J21&gt;0,AVERAGE(J$24:J$26, J21),""),"")</f>
        <v/>
      </c>
      <c r="K109" s="261" t="str">
        <f aca="false">IFERROR(IF(K$24*K$25*K$26*K21&gt;0,AVERAGE(K$24:K$26, K21),""),"")</f>
        <v/>
      </c>
      <c r="L109" s="261" t="str">
        <f aca="false">IFERROR(IF(L$24*L$25*L$26*L21&gt;0,AVERAGE(L$24:L$26, L21),""),"")</f>
        <v/>
      </c>
      <c r="M109" s="261" t="str">
        <f aca="false">IFERROR(IF(M$24*M$25*M$26*M21&gt;0,AVERAGE(M$24:M$26, M21),""),"")</f>
        <v/>
      </c>
      <c r="N109" s="261" t="str">
        <f aca="false">IFERROR(IF(N$24*N$25*N$26*N21&gt;0,AVERAGE(N$24:N$26, N21),""),"")</f>
        <v/>
      </c>
      <c r="O109" s="224"/>
      <c r="P109" s="224"/>
      <c r="Q109" s="232"/>
      <c r="R109" s="226" t="s">
        <v>480</v>
      </c>
      <c r="S109" s="227" t="str">
        <f aca="false">IFERROR(IF(C$24*C$25*C$26*C21&gt;0,STDEV(C$24:C$26, C21),"")/IF(C$24*C$25*C$26*C21&gt;0,AVERAGE(C$24:C$26, C21),""),"")</f>
        <v/>
      </c>
      <c r="T109" s="227" t="str">
        <f aca="false">IFERROR(IF(D$24*D$25*D$26*D21&gt;0,STDEV(D$24:D$26, D21),"")/IF(D$24*D$25*D$26*D21&gt;0,AVERAGE(D$24:D$26, D21),""),"")</f>
        <v/>
      </c>
      <c r="U109" s="227" t="str">
        <f aca="false">IFERROR(IF(E$24*E$25*E$26*E21&gt;0,STDEV(E$24:E$26, E21),"")/IF(E$24*E$25*E$26*E21&gt;0,AVERAGE(E$24:E$26, E21),""),"")</f>
        <v/>
      </c>
      <c r="V109" s="227" t="str">
        <f aca="false">IFERROR(IF(F$24*F$25*F$26*F21&gt;0,STDEV(F$24:F$26, F21),"")/IF(F$24*F$25*F$26*F21&gt;0,AVERAGE(F$24:F$26, F21),""),"")</f>
        <v/>
      </c>
      <c r="W109" s="227" t="str">
        <f aca="false">IFERROR(IF(G$24*G$25*G$26*G21&gt;0,STDEV(G$24:G$26, G21),"")/IF(G$24*G$25*G$26*G21&gt;0,AVERAGE(G$24:G$26, G21),""),"")</f>
        <v/>
      </c>
      <c r="X109" s="227" t="str">
        <f aca="false">IFERROR(IF(H$24*H$25*H$26*H21&gt;0,STDEV(H$24:H$26, H21),"")/IF(H$24*H$25*H$26*H21&gt;0,AVERAGE(H$24:H$26, H21),""),"")</f>
        <v/>
      </c>
      <c r="Y109" s="227" t="str">
        <f aca="false">IFERROR(IF(I$24*I$25*I$26*I21&gt;0,STDEV(I$24:I$26, I21),"")/IF(I$24*I$25*I$26*I21&gt;0,AVERAGE(I$24:I$26, I21),""),"")</f>
        <v/>
      </c>
      <c r="Z109" s="227" t="str">
        <f aca="false">IFERROR(IF(J$24*J$25*J$26*J21&gt;0,STDEV(J$24:J$26, J21),"")/IF(J$24*J$25*J$26*J21&gt;0,AVERAGE(J$24:J$26, J21),""),"")</f>
        <v/>
      </c>
      <c r="AA109" s="227" t="str">
        <f aca="false">IFERROR(IF(K$24*K$25*K$26*K21&gt;0,STDEV(K$24:K$26, K21),"")/IF(K$24*K$25*K$26*K21&gt;0,AVERAGE(K$24:K$26, K21),""),"")</f>
        <v/>
      </c>
      <c r="AB109" s="227" t="str">
        <f aca="false">IFERROR(IF(L$24*L$25*L$26*L21&gt;0,STDEV(L$24:L$26, L21),"")/IF(L$24*L$25*L$26*L21&gt;0,AVERAGE(L$24:L$26, L21),""),"")</f>
        <v/>
      </c>
      <c r="AC109" s="227" t="str">
        <f aca="false">IFERROR(IF(M$24*M$25*M$26*M21&gt;0,STDEV(M$24:M$26, M21),"")/IF(M$24*M$25*M$26*M21&gt;0,AVERAGE(M$24:M$26, M21),""),"")</f>
        <v/>
      </c>
      <c r="AD109" s="227" t="str">
        <f aca="false">IFERROR(IF(N$24*N$25*N$26*N21&gt;0,STDEV(N$24:N$26, N21),"")/IF(N$24*N$25*N$26*N21&gt;0,AVERAGE(N$24:N$26, N21),""),"")</f>
        <v/>
      </c>
      <c r="AE109" s="233"/>
      <c r="AF109" s="229" t="s">
        <v>481</v>
      </c>
      <c r="AG109" s="230" t="str">
        <f aca="false">IFERROR(IF(C$24*C$25*C$26*C21&gt;0,STDEV(C$24:C$26, C21)," ")/IF(C$24*C$25*C$26*C21&gt;0,SQRT(COUNT(C$24:C$26, C21))," "),"")</f>
        <v/>
      </c>
      <c r="AH109" s="230" t="str">
        <f aca="false">IFERROR(IF(D$24*D$25*D$26*D21&gt;0,STDEV(D$24:D$26, D21)," ")/IF(D$24*D$25*D$26*D21&gt;0,SQRT(COUNT(D$24:D$26, D21))," "),"")</f>
        <v/>
      </c>
      <c r="AI109" s="230" t="str">
        <f aca="false">IFERROR(IF(E$24*E$25*E$26*E21&gt;0,STDEV(E$24:E$26, E21)," ")/IF(E$24*E$25*E$26*E21&gt;0,SQRT(COUNT(E$24:E$26, E21))," "),"")</f>
        <v/>
      </c>
      <c r="AJ109" s="230" t="str">
        <f aca="false">IFERROR(IF(F$24*F$25*F$26*F21&gt;0,STDEV(F$24:F$26, F21)," ")/IF(F$24*F$25*F$26*F21&gt;0,SQRT(COUNT(F$24:F$26, F21))," "),"")</f>
        <v/>
      </c>
      <c r="AK109" s="230" t="str">
        <f aca="false">IFERROR(IF(G$24*G$25*G$26*G21&gt;0,STDEV(G$24:G$26, G21)," ")/IF(G$24*G$25*G$26*G21&gt;0,SQRT(COUNT(G$24:G$26, G21))," "),"")</f>
        <v/>
      </c>
      <c r="AL109" s="230" t="str">
        <f aca="false">IFERROR(IF(H$24*H$25*H$26*H21&gt;0,STDEV(H$24:H$26, H21)," ")/IF(H$24*H$25*H$26*H21&gt;0,SQRT(COUNT(H$24:H$26, H21))," "),"")</f>
        <v/>
      </c>
      <c r="AM109" s="230" t="str">
        <f aca="false">IFERROR(IF(I$24*I$25*I$26*I21&gt;0,STDEV(I$24:I$26, I21)," ")/IF(I$24*I$25*I$26*I21&gt;0,SQRT(COUNT(I$24:I$26, I21))," "),"")</f>
        <v/>
      </c>
      <c r="AN109" s="230" t="str">
        <f aca="false">IFERROR(IF(J$24*J$25*J$26*J21&gt;0,STDEV(J$24:J$26, J21)," ")/IF(J$24*J$25*J$26*J21&gt;0,SQRT(COUNT(J$24:J$26, J21))," "),"")</f>
        <v/>
      </c>
      <c r="AO109" s="230" t="str">
        <f aca="false">IFERROR(IF(K$24*K$25*K$26*K21&gt;0,STDEV(K$24:K$26, K21)," ")/IF(K$24*K$25*K$26*K21&gt;0,SQRT(COUNT(K$24:K$26, K21))," "),"")</f>
        <v/>
      </c>
      <c r="AP109" s="230" t="str">
        <f aca="false">IFERROR(IF(L$24*L$25*L$26*L21&gt;0,STDEV(L$24:L$26, L21)," ")/IF(L$24*L$25*L$26*L21&gt;0,SQRT(COUNT(L$24:L$26, L21))," "),"")</f>
        <v/>
      </c>
      <c r="AQ109" s="230" t="str">
        <f aca="false">IFERROR(IF(M$24*M$25*M$26*M21&gt;0,STDEV(M$24:M$26, M21)," ")/IF(M$24*M$25*M$26*M21&gt;0,SQRT(COUNT(M$24:M$26, M21))," "),"")</f>
        <v/>
      </c>
      <c r="AR109" s="230" t="str">
        <f aca="false">IFERROR(IF(N$24*N$25*N$26*N21&gt;0,STDEV(N$24:N$26, N21)," ")/IF(N$24*N$25*N$26*N21&gt;0,SQRT(COUNT(N$24:N$26, N21))," "),"")</f>
        <v/>
      </c>
    </row>
    <row r="110" customFormat="false" ht="15.75" hidden="false" customHeight="false" outlineLevel="0" collapsed="false">
      <c r="A110" s="220" t="s">
        <v>482</v>
      </c>
      <c r="B110" s="221"/>
      <c r="C110" s="261" t="str">
        <f aca="false">IFERROR(IF(C$24*C$25*C$26*C22&gt;0,AVERAGE(C$24:C$26, C22),""),"")</f>
        <v/>
      </c>
      <c r="D110" s="261" t="str">
        <f aca="false">IFERROR(IF(D$24*D$25*D$26*D22&gt;0,AVERAGE(D$24:D$26, D22),""),"")</f>
        <v/>
      </c>
      <c r="E110" s="261" t="str">
        <f aca="false">IFERROR(IF(E$24*E$25*E$26*E22&gt;0,AVERAGE(E$24:E$26, E22),""),"")</f>
        <v/>
      </c>
      <c r="F110" s="261" t="str">
        <f aca="false">IFERROR(IF(F$24*F$25*F$26*F22&gt;0,AVERAGE(F$24:F$26, F22),""),"")</f>
        <v/>
      </c>
      <c r="G110" s="261" t="str">
        <f aca="false">IFERROR(IF(G$24*G$25*G$26*G22&gt;0,AVERAGE(G$24:G$26, G22),""),"")</f>
        <v/>
      </c>
      <c r="H110" s="261" t="str">
        <f aca="false">IFERROR(IF(H$24*H$25*H$26*H22&gt;0,AVERAGE(H$24:H$26, H22),""),"")</f>
        <v/>
      </c>
      <c r="I110" s="261" t="str">
        <f aca="false">IFERROR(IF(I$24*I$25*I$26*I22&gt;0,AVERAGE(I$24:I$26, I22),""),"")</f>
        <v/>
      </c>
      <c r="J110" s="261" t="str">
        <f aca="false">IFERROR(IF(J$24*J$25*J$26*J22&gt;0,AVERAGE(J$24:J$26, J22),""),"")</f>
        <v/>
      </c>
      <c r="K110" s="261" t="str">
        <f aca="false">IFERROR(IF(K$24*K$25*K$26*K22&gt;0,AVERAGE(K$24:K$26, K22),""),"")</f>
        <v/>
      </c>
      <c r="L110" s="261" t="str">
        <f aca="false">IFERROR(IF(L$24*L$25*L$26*L22&gt;0,AVERAGE(L$24:L$26, L22),""),"")</f>
        <v/>
      </c>
      <c r="M110" s="261" t="str">
        <f aca="false">IFERROR(IF(M$24*M$25*M$26*M22&gt;0,AVERAGE(M$24:M$26, M22),""),"")</f>
        <v/>
      </c>
      <c r="N110" s="261" t="str">
        <f aca="false">IFERROR(IF(N$24*N$25*N$26*N22&gt;0,AVERAGE(N$24:N$26, N22),""),"")</f>
        <v/>
      </c>
      <c r="O110" s="224"/>
      <c r="P110" s="224"/>
      <c r="Q110" s="232"/>
      <c r="R110" s="226" t="s">
        <v>483</v>
      </c>
      <c r="S110" s="227" t="str">
        <f aca="false">IFERROR(IF(C$24*C$25*C$26*C22&gt;0,STDEV(C$24:C$26, C22),"")/IF(C$24*C$25*C$26*C22&gt;0,AVERAGE(C$24:C$26, C22),""),"")</f>
        <v/>
      </c>
      <c r="T110" s="227" t="str">
        <f aca="false">IFERROR(IF(D$24*D$25*D$26*D22&gt;0,STDEV(D$24:D$26, D22),"")/IF(D$24*D$25*D$26*D22&gt;0,AVERAGE(D$24:D$26, D22),""),"")</f>
        <v/>
      </c>
      <c r="U110" s="227" t="str">
        <f aca="false">IFERROR(IF(E$24*E$25*E$26*E22&gt;0,STDEV(E$24:E$26, E22),"")/IF(E$24*E$25*E$26*E22&gt;0,AVERAGE(E$24:E$26, E22),""),"")</f>
        <v/>
      </c>
      <c r="V110" s="227" t="str">
        <f aca="false">IFERROR(IF(F$24*F$25*F$26*F22&gt;0,STDEV(F$24:F$26, F22),"")/IF(F$24*F$25*F$26*F22&gt;0,AVERAGE(F$24:F$26, F22),""),"")</f>
        <v/>
      </c>
      <c r="W110" s="227" t="str">
        <f aca="false">IFERROR(IF(G$24*G$25*G$26*G22&gt;0,STDEV(G$24:G$26, G22),"")/IF(G$24*G$25*G$26*G22&gt;0,AVERAGE(G$24:G$26, G22),""),"")</f>
        <v/>
      </c>
      <c r="X110" s="227" t="str">
        <f aca="false">IFERROR(IF(H$24*H$25*H$26*H22&gt;0,STDEV(H$24:H$26, H22),"")/IF(H$24*H$25*H$26*H22&gt;0,AVERAGE(H$24:H$26, H22),""),"")</f>
        <v/>
      </c>
      <c r="Y110" s="227" t="str">
        <f aca="false">IFERROR(IF(I$24*I$25*I$26*I22&gt;0,STDEV(I$24:I$26, I22),"")/IF(I$24*I$25*I$26*I22&gt;0,AVERAGE(I$24:I$26, I22),""),"")</f>
        <v/>
      </c>
      <c r="Z110" s="227" t="str">
        <f aca="false">IFERROR(IF(J$24*J$25*J$26*J22&gt;0,STDEV(J$24:J$26, J22),"")/IF(J$24*J$25*J$26*J22&gt;0,AVERAGE(J$24:J$26, J22),""),"")</f>
        <v/>
      </c>
      <c r="AA110" s="227" t="str">
        <f aca="false">IFERROR(IF(K$24*K$25*K$26*K22&gt;0,STDEV(K$24:K$26, K22),"")/IF(K$24*K$25*K$26*K22&gt;0,AVERAGE(K$24:K$26, K22),""),"")</f>
        <v/>
      </c>
      <c r="AB110" s="227" t="str">
        <f aca="false">IFERROR(IF(L$24*L$25*L$26*L22&gt;0,STDEV(L$24:L$26, L22),"")/IF(L$24*L$25*L$26*L22&gt;0,AVERAGE(L$24:L$26, L22),""),"")</f>
        <v/>
      </c>
      <c r="AC110" s="227" t="str">
        <f aca="false">IFERROR(IF(M$24*M$25*M$26*M22&gt;0,STDEV(M$24:M$26, M22),"")/IF(M$24*M$25*M$26*M22&gt;0,AVERAGE(M$24:M$26, M22),""),"")</f>
        <v/>
      </c>
      <c r="AD110" s="227" t="str">
        <f aca="false">IFERROR(IF(N$24*N$25*N$26*N22&gt;0,STDEV(N$24:N$26, N22),"")/IF(N$24*N$25*N$26*N22&gt;0,AVERAGE(N$24:N$26, N22),""),"")</f>
        <v/>
      </c>
      <c r="AE110" s="233"/>
      <c r="AF110" s="229" t="s">
        <v>484</v>
      </c>
      <c r="AG110" s="230" t="str">
        <f aca="false">IFERROR(IF(C$24*C$25*C$26*C22&gt;0,STDEV(C$24:C$26, C22)," ")/IF(C$24*C$25*C$26*C22&gt;0,SQRT(COUNT(C$24:C$26, C22))," "),"")</f>
        <v/>
      </c>
      <c r="AH110" s="230" t="str">
        <f aca="false">IFERROR(IF(D$24*D$25*D$26*D22&gt;0,STDEV(D$24:D$26, D22)," ")/IF(D$24*D$25*D$26*D22&gt;0,SQRT(COUNT(D$24:D$26, D22))," "),"")</f>
        <v/>
      </c>
      <c r="AI110" s="230" t="str">
        <f aca="false">IFERROR(IF(E$24*E$25*E$26*E22&gt;0,STDEV(E$24:E$26, E22)," ")/IF(E$24*E$25*E$26*E22&gt;0,SQRT(COUNT(E$24:E$26, E22))," "),"")</f>
        <v/>
      </c>
      <c r="AJ110" s="230" t="str">
        <f aca="false">IFERROR(IF(F$24*F$25*F$26*F22&gt;0,STDEV(F$24:F$26, F22)," ")/IF(F$24*F$25*F$26*F22&gt;0,SQRT(COUNT(F$24:F$26, F22))," "),"")</f>
        <v/>
      </c>
      <c r="AK110" s="230" t="str">
        <f aca="false">IFERROR(IF(G$24*G$25*G$26*G22&gt;0,STDEV(G$24:G$26, G22)," ")/IF(G$24*G$25*G$26*G22&gt;0,SQRT(COUNT(G$24:G$26, G22))," "),"")</f>
        <v/>
      </c>
      <c r="AL110" s="230" t="str">
        <f aca="false">IFERROR(IF(H$24*H$25*H$26*H22&gt;0,STDEV(H$24:H$26, H22)," ")/IF(H$24*H$25*H$26*H22&gt;0,SQRT(COUNT(H$24:H$26, H22))," "),"")</f>
        <v/>
      </c>
      <c r="AM110" s="230" t="str">
        <f aca="false">IFERROR(IF(I$24*I$25*I$26*I22&gt;0,STDEV(I$24:I$26, I22)," ")/IF(I$24*I$25*I$26*I22&gt;0,SQRT(COUNT(I$24:I$26, I22))," "),"")</f>
        <v/>
      </c>
      <c r="AN110" s="230" t="str">
        <f aca="false">IFERROR(IF(J$24*J$25*J$26*J22&gt;0,STDEV(J$24:J$26, J22)," ")/IF(J$24*J$25*J$26*J22&gt;0,SQRT(COUNT(J$24:J$26, J22))," "),"")</f>
        <v/>
      </c>
      <c r="AO110" s="230" t="str">
        <f aca="false">IFERROR(IF(K$24*K$25*K$26*K22&gt;0,STDEV(K$24:K$26, K22)," ")/IF(K$24*K$25*K$26*K22&gt;0,SQRT(COUNT(K$24:K$26, K22))," "),"")</f>
        <v/>
      </c>
      <c r="AP110" s="230" t="str">
        <f aca="false">IFERROR(IF(L$24*L$25*L$26*L22&gt;0,STDEV(L$24:L$26, L22)," ")/IF(L$24*L$25*L$26*L22&gt;0,SQRT(COUNT(L$24:L$26, L22))," "),"")</f>
        <v/>
      </c>
      <c r="AQ110" s="230" t="str">
        <f aca="false">IFERROR(IF(M$24*M$25*M$26*M22&gt;0,STDEV(M$24:M$26, M22)," ")/IF(M$24*M$25*M$26*M22&gt;0,SQRT(COUNT(M$24:M$26, M22))," "),"")</f>
        <v/>
      </c>
      <c r="AR110" s="230" t="str">
        <f aca="false">IFERROR(IF(N$24*N$25*N$26*N22&gt;0,STDEV(N$24:N$26, N22)," ")/IF(N$24*N$25*N$26*N22&gt;0,SQRT(COUNT(N$24:N$26, N22))," "),"")</f>
        <v/>
      </c>
    </row>
    <row r="111" customFormat="false" ht="15.75" hidden="false" customHeight="false" outlineLevel="0" collapsed="false">
      <c r="A111" s="220" t="s">
        <v>485</v>
      </c>
      <c r="B111" s="221"/>
      <c r="C111" s="261" t="str">
        <f aca="false">IFERROR(IF(C$24*C$25*C$26*C23&gt;0,AVERAGE(C$24:C$26, C23),""),"")</f>
        <v/>
      </c>
      <c r="D111" s="261" t="str">
        <f aca="false">IFERROR(IF(D$24*D$25*D$26*D23&gt;0,AVERAGE(D$24:D$26, D23),""),"")</f>
        <v/>
      </c>
      <c r="E111" s="261" t="str">
        <f aca="false">IFERROR(IF(E$24*E$25*E$26*E23&gt;0,AVERAGE(E$24:E$26, E23),""),"")</f>
        <v/>
      </c>
      <c r="F111" s="261" t="str">
        <f aca="false">IFERROR(IF(F$24*F$25*F$26*F23&gt;0,AVERAGE(F$24:F$26, F23),""),"")</f>
        <v/>
      </c>
      <c r="G111" s="261" t="str">
        <f aca="false">IFERROR(IF(G$24*G$25*G$26*G23&gt;0,AVERAGE(G$24:G$26, G23),""),"")</f>
        <v/>
      </c>
      <c r="H111" s="261" t="str">
        <f aca="false">IFERROR(IF(H$24*H$25*H$26*H23&gt;0,AVERAGE(H$24:H$26, H23),""),"")</f>
        <v/>
      </c>
      <c r="I111" s="261" t="str">
        <f aca="false">IFERROR(IF(I$24*I$25*I$26*I23&gt;0,AVERAGE(I$24:I$26, I23),""),"")</f>
        <v/>
      </c>
      <c r="J111" s="261" t="str">
        <f aca="false">IFERROR(IF(J$24*J$25*J$26*J23&gt;0,AVERAGE(J$24:J$26, J23),""),"")</f>
        <v/>
      </c>
      <c r="K111" s="261" t="str">
        <f aca="false">IFERROR(IF(K$24*K$25*K$26*K23&gt;0,AVERAGE(K$24:K$26, K23),""),"")</f>
        <v/>
      </c>
      <c r="L111" s="261" t="str">
        <f aca="false">IFERROR(IF(L$24*L$25*L$26*L23&gt;0,AVERAGE(L$24:L$26, L23),""),"")</f>
        <v/>
      </c>
      <c r="M111" s="261" t="str">
        <f aca="false">IFERROR(IF(M$24*M$25*M$26*M23&gt;0,AVERAGE(M$24:M$26, M23),""),"")</f>
        <v/>
      </c>
      <c r="N111" s="261" t="str">
        <f aca="false">IFERROR(IF(N$24*N$25*N$26*N23&gt;0,AVERAGE(N$24:N$26, N23),""),"")</f>
        <v/>
      </c>
      <c r="O111" s="224"/>
      <c r="P111" s="224"/>
      <c r="Q111" s="232"/>
      <c r="R111" s="226" t="s">
        <v>486</v>
      </c>
      <c r="S111" s="227" t="str">
        <f aca="false">IFERROR(IF(C$24*C$25*C$26*C23&gt;0,STDEV(C$24:C$26, C23),"")/IF(C$24*C$25*C$26*C23&gt;0,AVERAGE(C$24:C$26, C23),""),"")</f>
        <v/>
      </c>
      <c r="T111" s="227" t="str">
        <f aca="false">IFERROR(IF(D$24*D$25*D$26*D23&gt;0,STDEV(D$24:D$26, D23),"")/IF(D$24*D$25*D$26*D23&gt;0,AVERAGE(D$24:D$26, D23),""),"")</f>
        <v/>
      </c>
      <c r="U111" s="227" t="str">
        <f aca="false">IFERROR(IF(E$24*E$25*E$26*E23&gt;0,STDEV(E$24:E$26, E23),"")/IF(E$24*E$25*E$26*E23&gt;0,AVERAGE(E$24:E$26, E23),""),"")</f>
        <v/>
      </c>
      <c r="V111" s="227" t="str">
        <f aca="false">IFERROR(IF(F$24*F$25*F$26*F23&gt;0,STDEV(F$24:F$26, F23),"")/IF(F$24*F$25*F$26*F23&gt;0,AVERAGE(F$24:F$26, F23),""),"")</f>
        <v/>
      </c>
      <c r="W111" s="227" t="str">
        <f aca="false">IFERROR(IF(G$24*G$25*G$26*G23&gt;0,STDEV(G$24:G$26, G23),"")/IF(G$24*G$25*G$26*G23&gt;0,AVERAGE(G$24:G$26, G23),""),"")</f>
        <v/>
      </c>
      <c r="X111" s="227" t="str">
        <f aca="false">IFERROR(IF(H$24*H$25*H$26*H23&gt;0,STDEV(H$24:H$26, H23),"")/IF(H$24*H$25*H$26*H23&gt;0,AVERAGE(H$24:H$26, H23),""),"")</f>
        <v/>
      </c>
      <c r="Y111" s="227" t="str">
        <f aca="false">IFERROR(IF(I$24*I$25*I$26*I23&gt;0,STDEV(I$24:I$26, I23),"")/IF(I$24*I$25*I$26*I23&gt;0,AVERAGE(I$24:I$26, I23),""),"")</f>
        <v/>
      </c>
      <c r="Z111" s="227" t="str">
        <f aca="false">IFERROR(IF(J$24*J$25*J$26*J23&gt;0,STDEV(J$24:J$26, J23),"")/IF(J$24*J$25*J$26*J23&gt;0,AVERAGE(J$24:J$26, J23),""),"")</f>
        <v/>
      </c>
      <c r="AA111" s="227" t="str">
        <f aca="false">IFERROR(IF(K$24*K$25*K$26*K23&gt;0,STDEV(K$24:K$26, K23),"")/IF(K$24*K$25*K$26*K23&gt;0,AVERAGE(K$24:K$26, K23),""),"")</f>
        <v/>
      </c>
      <c r="AB111" s="227" t="str">
        <f aca="false">IFERROR(IF(L$24*L$25*L$26*L23&gt;0,STDEV(L$24:L$26, L23),"")/IF(L$24*L$25*L$26*L23&gt;0,AVERAGE(L$24:L$26, L23),""),"")</f>
        <v/>
      </c>
      <c r="AC111" s="227" t="str">
        <f aca="false">IFERROR(IF(M$24*M$25*M$26*M23&gt;0,STDEV(M$24:M$26, M23),"")/IF(M$24*M$25*M$26*M23&gt;0,AVERAGE(M$24:M$26, M23),""),"")</f>
        <v/>
      </c>
      <c r="AD111" s="227" t="str">
        <f aca="false">IFERROR(IF(N$24*N$25*N$26*N23&gt;0,STDEV(N$24:N$26, N23),"")/IF(N$24*N$25*N$26*N23&gt;0,AVERAGE(N$24:N$26, N23),""),"")</f>
        <v/>
      </c>
      <c r="AE111" s="233"/>
      <c r="AF111" s="229" t="s">
        <v>487</v>
      </c>
      <c r="AG111" s="230" t="str">
        <f aca="false">IFERROR(IF(C$24*C$25*C$26*C23&gt;0,STDEV(C$24:C$26, C23)," ")/IF(C$24*C$25*C$26*C23&gt;0,SQRT(COUNT(C$24:C$26, C23))," "),"")</f>
        <v/>
      </c>
      <c r="AH111" s="230" t="str">
        <f aca="false">IFERROR(IF(D$24*D$25*D$26*D23&gt;0,STDEV(D$24:D$26, D23)," ")/IF(D$24*D$25*D$26*D23&gt;0,SQRT(COUNT(D$24:D$26, D23))," "),"")</f>
        <v/>
      </c>
      <c r="AI111" s="230" t="str">
        <f aca="false">IFERROR(IF(E$24*E$25*E$26*E23&gt;0,STDEV(E$24:E$26, E23)," ")/IF(E$24*E$25*E$26*E23&gt;0,SQRT(COUNT(E$24:E$26, E23))," "),"")</f>
        <v/>
      </c>
      <c r="AJ111" s="230" t="str">
        <f aca="false">IFERROR(IF(F$24*F$25*F$26*F23&gt;0,STDEV(F$24:F$26, F23)," ")/IF(F$24*F$25*F$26*F23&gt;0,SQRT(COUNT(F$24:F$26, F23))," "),"")</f>
        <v/>
      </c>
      <c r="AK111" s="230" t="str">
        <f aca="false">IFERROR(IF(G$24*G$25*G$26*G23&gt;0,STDEV(G$24:G$26, G23)," ")/IF(G$24*G$25*G$26*G23&gt;0,SQRT(COUNT(G$24:G$26, G23))," "),"")</f>
        <v/>
      </c>
      <c r="AL111" s="230" t="str">
        <f aca="false">IFERROR(IF(H$24*H$25*H$26*H23&gt;0,STDEV(H$24:H$26, H23)," ")/IF(H$24*H$25*H$26*H23&gt;0,SQRT(COUNT(H$24:H$26, H23))," "),"")</f>
        <v/>
      </c>
      <c r="AM111" s="230" t="str">
        <f aca="false">IFERROR(IF(I$24*I$25*I$26*I23&gt;0,STDEV(I$24:I$26, I23)," ")/IF(I$24*I$25*I$26*I23&gt;0,SQRT(COUNT(I$24:I$26, I23))," "),"")</f>
        <v/>
      </c>
      <c r="AN111" s="230" t="str">
        <f aca="false">IFERROR(IF(J$24*J$25*J$26*J23&gt;0,STDEV(J$24:J$26, J23)," ")/IF(J$24*J$25*J$26*J23&gt;0,SQRT(COUNT(J$24:J$26, J23))," "),"")</f>
        <v/>
      </c>
      <c r="AO111" s="230" t="str">
        <f aca="false">IFERROR(IF(K$24*K$25*K$26*K23&gt;0,STDEV(K$24:K$26, K23)," ")/IF(K$24*K$25*K$26*K23&gt;0,SQRT(COUNT(K$24:K$26, K23))," "),"")</f>
        <v/>
      </c>
      <c r="AP111" s="230" t="str">
        <f aca="false">IFERROR(IF(L$24*L$25*L$26*L23&gt;0,STDEV(L$24:L$26, L23)," ")/IF(L$24*L$25*L$26*L23&gt;0,SQRT(COUNT(L$24:L$26, L23))," "),"")</f>
        <v/>
      </c>
      <c r="AQ111" s="230" t="str">
        <f aca="false">IFERROR(IF(M$24*M$25*M$26*M23&gt;0,STDEV(M$24:M$26, M23)," ")/IF(M$24*M$25*M$26*M23&gt;0,SQRT(COUNT(M$24:M$26, M23))," "),"")</f>
        <v/>
      </c>
      <c r="AR111" s="230" t="str">
        <f aca="false">IFERROR(IF(N$24*N$25*N$26*N23&gt;0,STDEV(N$24:N$26, N23)," ")/IF(N$24*N$25*N$26*N23&gt;0,SQRT(COUNT(N$24:N$26, N23))," "),"")</f>
        <v/>
      </c>
    </row>
    <row r="112" customFormat="false" ht="15.75" hidden="false" customHeight="false" outlineLevel="0" collapsed="false">
      <c r="A112" s="220" t="s">
        <v>488</v>
      </c>
      <c r="B112" s="221"/>
      <c r="C112" s="261" t="str">
        <f aca="false">IFERROR(IF(C$24*C$25*C$26*C27&gt;0,AVERAGE(C$24:C$26, C27),""),"")</f>
        <v/>
      </c>
      <c r="D112" s="261" t="str">
        <f aca="false">IFERROR(IF(D$24*D$25*D$26*D27&gt;0,AVERAGE(D$24:D$26, D27),""),"")</f>
        <v/>
      </c>
      <c r="E112" s="261" t="str">
        <f aca="false">IFERROR(IF(E$24*E$25*E$26*E27&gt;0,AVERAGE(E$24:E$26, E27),""),"")</f>
        <v/>
      </c>
      <c r="F112" s="261" t="str">
        <f aca="false">IFERROR(IF(F$24*F$25*F$26*F27&gt;0,AVERAGE(F$24:F$26, F27),""),"")</f>
        <v/>
      </c>
      <c r="G112" s="261" t="str">
        <f aca="false">IFERROR(IF(G$24*G$25*G$26*G27&gt;0,AVERAGE(G$24:G$26, G27),""),"")</f>
        <v/>
      </c>
      <c r="H112" s="261" t="str">
        <f aca="false">IFERROR(IF(H$24*H$25*H$26*H27&gt;0,AVERAGE(H$24:H$26, H27),""),"")</f>
        <v/>
      </c>
      <c r="I112" s="261" t="str">
        <f aca="false">IFERROR(IF(I$24*I$25*I$26*I27&gt;0,AVERAGE(I$24:I$26, I27),""),"")</f>
        <v/>
      </c>
      <c r="J112" s="261" t="str">
        <f aca="false">IFERROR(IF(J$24*J$25*J$26*J27&gt;0,AVERAGE(J$24:J$26, J27),""),"")</f>
        <v/>
      </c>
      <c r="K112" s="261" t="str">
        <f aca="false">IFERROR(IF(K$24*K$25*K$26*K27&gt;0,AVERAGE(K$24:K$26, K27),""),"")</f>
        <v/>
      </c>
      <c r="L112" s="261" t="str">
        <f aca="false">IFERROR(IF(L$24*L$25*L$26*L27&gt;0,AVERAGE(L$24:L$26, L27),""),"")</f>
        <v/>
      </c>
      <c r="M112" s="261" t="str">
        <f aca="false">IFERROR(IF(M$24*M$25*M$26*M27&gt;0,AVERAGE(M$24:M$26, M27),""),"")</f>
        <v/>
      </c>
      <c r="N112" s="261" t="str">
        <f aca="false">IFERROR(IF(N$24*N$25*N$26*N27&gt;0,AVERAGE(N$24:N$26, N27),""),"")</f>
        <v/>
      </c>
      <c r="O112" s="224"/>
      <c r="P112" s="224"/>
      <c r="Q112" s="232"/>
      <c r="R112" s="226" t="s">
        <v>489</v>
      </c>
      <c r="S112" s="227" t="str">
        <f aca="false">IFERROR(IF(C$24*C$25*C$26*C27&gt;0,STDEV(C$24:C$26, C27),"")/IF(C$24*C$25*C$26*C27&gt;0,AVERAGE(C$24:C$26, C27),""),"")</f>
        <v/>
      </c>
      <c r="T112" s="227" t="str">
        <f aca="false">IFERROR(IF(D$24*D$25*D$26*D27&gt;0,STDEV(D$24:D$26, D27),"")/IF(D$24*D$25*D$26*D27&gt;0,AVERAGE(D$24:D$26, D27),""),"")</f>
        <v/>
      </c>
      <c r="U112" s="227" t="str">
        <f aca="false">IFERROR(IF(E$24*E$25*E$26*E27&gt;0,STDEV(E$24:E$26, E27),"")/IF(E$24*E$25*E$26*E27&gt;0,AVERAGE(E$24:E$26, E27),""),"")</f>
        <v/>
      </c>
      <c r="V112" s="227" t="str">
        <f aca="false">IFERROR(IF(F$24*F$25*F$26*F27&gt;0,STDEV(F$24:F$26, F27),"")/IF(F$24*F$25*F$26*F27&gt;0,AVERAGE(F$24:F$26, F27),""),"")</f>
        <v/>
      </c>
      <c r="W112" s="227" t="str">
        <f aca="false">IFERROR(IF(G$24*G$25*G$26*G27&gt;0,STDEV(G$24:G$26, G27),"")/IF(G$24*G$25*G$26*G27&gt;0,AVERAGE(G$24:G$26, G27),""),"")</f>
        <v/>
      </c>
      <c r="X112" s="227" t="str">
        <f aca="false">IFERROR(IF(H$24*H$25*H$26*H27&gt;0,STDEV(H$24:H$26, H27),"")/IF(H$24*H$25*H$26*H27&gt;0,AVERAGE(H$24:H$26, H27),""),"")</f>
        <v/>
      </c>
      <c r="Y112" s="227" t="str">
        <f aca="false">IFERROR(IF(I$24*I$25*I$26*I27&gt;0,STDEV(I$24:I$26, I27),"")/IF(I$24*I$25*I$26*I27&gt;0,AVERAGE(I$24:I$26, I27),""),"")</f>
        <v/>
      </c>
      <c r="Z112" s="227" t="str">
        <f aca="false">IFERROR(IF(J$24*J$25*J$26*J27&gt;0,STDEV(J$24:J$26, J27),"")/IF(J$24*J$25*J$26*J27&gt;0,AVERAGE(J$24:J$26, J27),""),"")</f>
        <v/>
      </c>
      <c r="AA112" s="227" t="str">
        <f aca="false">IFERROR(IF(K$24*K$25*K$26*K27&gt;0,STDEV(K$24:K$26, K27),"")/IF(K$24*K$25*K$26*K27&gt;0,AVERAGE(K$24:K$26, K27),""),"")</f>
        <v/>
      </c>
      <c r="AB112" s="227" t="str">
        <f aca="false">IFERROR(IF(L$24*L$25*L$26*L27&gt;0,STDEV(L$24:L$26, L27),"")/IF(L$24*L$25*L$26*L27&gt;0,AVERAGE(L$24:L$26, L27),""),"")</f>
        <v/>
      </c>
      <c r="AC112" s="227" t="str">
        <f aca="false">IFERROR(IF(M$24*M$25*M$26*M27&gt;0,STDEV(M$24:M$26, M27),"")/IF(M$24*M$25*M$26*M27&gt;0,AVERAGE(M$24:M$26, M27),""),"")</f>
        <v/>
      </c>
      <c r="AD112" s="227" t="str">
        <f aca="false">IFERROR(IF(N$24*N$25*N$26*N27&gt;0,STDEV(N$24:N$26, N27),"")/IF(N$24*N$25*N$26*N27&gt;0,AVERAGE(N$24:N$26, N27),""),"")</f>
        <v/>
      </c>
      <c r="AE112" s="233"/>
      <c r="AF112" s="229" t="s">
        <v>490</v>
      </c>
      <c r="AG112" s="230" t="str">
        <f aca="false">IFERROR(IF(C$24*C$25*C$26*C27&gt;0,STDEV(C$24:C$26, C27)," ")/IF(C$24*C$25*C$26*C27&gt;0,SQRT(COUNT(C$24:C$26, C27))," "),"")</f>
        <v/>
      </c>
      <c r="AH112" s="230" t="str">
        <f aca="false">IFERROR(IF(D$24*D$25*D$26*D27&gt;0,STDEV(D$24:D$26, D27)," ")/IF(D$24*D$25*D$26*D27&gt;0,SQRT(COUNT(D$24:D$26, D27))," "),"")</f>
        <v/>
      </c>
      <c r="AI112" s="230" t="str">
        <f aca="false">IFERROR(IF(E$24*E$25*E$26*E27&gt;0,STDEV(E$24:E$26, E27)," ")/IF(E$24*E$25*E$26*E27&gt;0,SQRT(COUNT(E$24:E$26, E27))," "),"")</f>
        <v/>
      </c>
      <c r="AJ112" s="230" t="str">
        <f aca="false">IFERROR(IF(F$24*F$25*F$26*F27&gt;0,STDEV(F$24:F$26, F27)," ")/IF(F$24*F$25*F$26*F27&gt;0,SQRT(COUNT(F$24:F$26, F27))," "),"")</f>
        <v/>
      </c>
      <c r="AK112" s="230" t="str">
        <f aca="false">IFERROR(IF(G$24*G$25*G$26*G27&gt;0,STDEV(G$24:G$26, G27)," ")/IF(G$24*G$25*G$26*G27&gt;0,SQRT(COUNT(G$24:G$26, G27))," "),"")</f>
        <v/>
      </c>
      <c r="AL112" s="230" t="str">
        <f aca="false">IFERROR(IF(H$24*H$25*H$26*H27&gt;0,STDEV(H$24:H$26, H27)," ")/IF(H$24*H$25*H$26*H27&gt;0,SQRT(COUNT(H$24:H$26, H27))," "),"")</f>
        <v/>
      </c>
      <c r="AM112" s="230" t="str">
        <f aca="false">IFERROR(IF(I$24*I$25*I$26*I27&gt;0,STDEV(I$24:I$26, I27)," ")/IF(I$24*I$25*I$26*I27&gt;0,SQRT(COUNT(I$24:I$26, I27))," "),"")</f>
        <v/>
      </c>
      <c r="AN112" s="230" t="str">
        <f aca="false">IFERROR(IF(J$24*J$25*J$26*J27&gt;0,STDEV(J$24:J$26, J27)," ")/IF(J$24*J$25*J$26*J27&gt;0,SQRT(COUNT(J$24:J$26, J27))," "),"")</f>
        <v/>
      </c>
      <c r="AO112" s="230" t="str">
        <f aca="false">IFERROR(IF(K$24*K$25*K$26*K27&gt;0,STDEV(K$24:K$26, K27)," ")/IF(K$24*K$25*K$26*K27&gt;0,SQRT(COUNT(K$24:K$26, K27))," "),"")</f>
        <v/>
      </c>
      <c r="AP112" s="230" t="str">
        <f aca="false">IFERROR(IF(L$24*L$25*L$26*L27&gt;0,STDEV(L$24:L$26, L27)," ")/IF(L$24*L$25*L$26*L27&gt;0,SQRT(COUNT(L$24:L$26, L27))," "),"")</f>
        <v/>
      </c>
      <c r="AQ112" s="230" t="str">
        <f aca="false">IFERROR(IF(M$24*M$25*M$26*M27&gt;0,STDEV(M$24:M$26, M27)," ")/IF(M$24*M$25*M$26*M27&gt;0,SQRT(COUNT(M$24:M$26, M27))," "),"")</f>
        <v/>
      </c>
      <c r="AR112" s="230" t="str">
        <f aca="false">IFERROR(IF(N$24*N$25*N$26*N27&gt;0,STDEV(N$24:N$26, N27)," ")/IF(N$24*N$25*N$26*N27&gt;0,SQRT(COUNT(N$24:N$26, N27))," "),"")</f>
        <v/>
      </c>
    </row>
    <row r="113" customFormat="false" ht="15.75" hidden="false" customHeight="false" outlineLevel="0" collapsed="false">
      <c r="A113" s="220" t="s">
        <v>491</v>
      </c>
      <c r="B113" s="221"/>
      <c r="C113" s="261" t="str">
        <f aca="false">IFERROR(IF(C$25*C$26*C$27*C21&gt;0,AVERAGE(C$25:C$27, C21),""),"")</f>
        <v/>
      </c>
      <c r="D113" s="261" t="str">
        <f aca="false">IFERROR(IF(D$25*D$26*D$27*D21&gt;0,AVERAGE(D$25:D$27, D21),""),"")</f>
        <v/>
      </c>
      <c r="E113" s="261" t="str">
        <f aca="false">IFERROR(IF(E$25*E$26*E$27*E21&gt;0,AVERAGE(E$25:E$27, E21),""),"")</f>
        <v/>
      </c>
      <c r="F113" s="261" t="str">
        <f aca="false">IFERROR(IF(F$25*F$26*F$27*F21&gt;0,AVERAGE(F$25:F$27, F21),""),"")</f>
        <v/>
      </c>
      <c r="G113" s="261" t="str">
        <f aca="false">IFERROR(IF(G$25*G$26*G$27*G21&gt;0,AVERAGE(G$25:G$27, G21),""),"")</f>
        <v/>
      </c>
      <c r="H113" s="261" t="str">
        <f aca="false">IFERROR(IF(H$25*H$26*H$27*H21&gt;0,AVERAGE(H$25:H$27, H21),""),"")</f>
        <v/>
      </c>
      <c r="I113" s="261" t="str">
        <f aca="false">IFERROR(IF(I$25*I$26*I$27*I21&gt;0,AVERAGE(I$25:I$27, I21),""),"")</f>
        <v/>
      </c>
      <c r="J113" s="261" t="str">
        <f aca="false">IFERROR(IF(J$25*J$26*J$27*J21&gt;0,AVERAGE(J$25:J$27, J21),""),"")</f>
        <v/>
      </c>
      <c r="K113" s="261" t="str">
        <f aca="false">IFERROR(IF(K$25*K$26*K$27*K21&gt;0,AVERAGE(K$25:K$27, K21),""),"")</f>
        <v/>
      </c>
      <c r="L113" s="261" t="str">
        <f aca="false">IFERROR(IF(L$25*L$26*L$27*L21&gt;0,AVERAGE(L$25:L$27, L21),""),"")</f>
        <v/>
      </c>
      <c r="M113" s="261" t="str">
        <f aca="false">IFERROR(IF(M$25*M$26*M$27*M21&gt;0,AVERAGE(M$25:M$27, M21),""),"")</f>
        <v/>
      </c>
      <c r="N113" s="261" t="str">
        <f aca="false">IFERROR(IF(N$25*N$26*N$27*N21&gt;0,AVERAGE(N$25:N$27, N21),""),"")</f>
        <v/>
      </c>
      <c r="O113" s="224"/>
      <c r="P113" s="224"/>
      <c r="Q113" s="232"/>
      <c r="R113" s="226" t="s">
        <v>492</v>
      </c>
      <c r="S113" s="227" t="str">
        <f aca="false">IFERROR(IF(C$25*C$26*C$27*C21&gt;0,STDEV(C$25:C$27, C21),"")/IF(C$25*C$26*C$27*C21&gt;0,AVERAGE(C$25:C$27, C21),""),"")</f>
        <v/>
      </c>
      <c r="T113" s="227" t="str">
        <f aca="false">IFERROR(IF(D$25*D$26*D$27*D21&gt;0,STDEV(D$25:D$27, D21),"")/IF(D$25*D$26*D$27*D21&gt;0,AVERAGE(D$25:D$27, D21),""),"")</f>
        <v/>
      </c>
      <c r="U113" s="227" t="str">
        <f aca="false">IFERROR(IF(E$25*E$26*E$27*E21&gt;0,STDEV(E$25:E$27, E21),"")/IF(E$25*E$26*E$27*E21&gt;0,AVERAGE(E$25:E$27, E21),""),"")</f>
        <v/>
      </c>
      <c r="V113" s="227" t="str">
        <f aca="false">IFERROR(IF(F$25*F$26*F$27*F21&gt;0,STDEV(F$25:F$27, F21),"")/IF(F$25*F$26*F$27*F21&gt;0,AVERAGE(F$25:F$27, F21),""),"")</f>
        <v/>
      </c>
      <c r="W113" s="227" t="str">
        <f aca="false">IFERROR(IF(G$25*G$26*G$27*G21&gt;0,STDEV(G$25:G$27, G21),"")/IF(G$25*G$26*G$27*G21&gt;0,AVERAGE(G$25:G$27, G21),""),"")</f>
        <v/>
      </c>
      <c r="X113" s="227" t="str">
        <f aca="false">IFERROR(IF(H$25*H$26*H$27*H21&gt;0,STDEV(H$25:H$27, H21),"")/IF(H$25*H$26*H$27*H21&gt;0,AVERAGE(H$25:H$27, H21),""),"")</f>
        <v/>
      </c>
      <c r="Y113" s="227" t="str">
        <f aca="false">IFERROR(IF(I$25*I$26*I$27*I21&gt;0,STDEV(I$25:I$27, I21),"")/IF(I$25*I$26*I$27*I21&gt;0,AVERAGE(I$25:I$27, I21),""),"")</f>
        <v/>
      </c>
      <c r="Z113" s="227" t="str">
        <f aca="false">IFERROR(IF(J$25*J$26*J$27*J21&gt;0,STDEV(J$25:J$27, J21),"")/IF(J$25*J$26*J$27*J21&gt;0,AVERAGE(J$25:J$27, J21),""),"")</f>
        <v/>
      </c>
      <c r="AA113" s="227" t="str">
        <f aca="false">IFERROR(IF(K$25*K$26*K$27*K21&gt;0,STDEV(K$25:K$27, K21),"")/IF(K$25*K$26*K$27*K21&gt;0,AVERAGE(K$25:K$27, K21),""),"")</f>
        <v/>
      </c>
      <c r="AB113" s="227" t="str">
        <f aca="false">IFERROR(IF(L$25*L$26*L$27*L21&gt;0,STDEV(L$25:L$27, L21),"")/IF(L$25*L$26*L$27*L21&gt;0,AVERAGE(L$25:L$27, L21),""),"")</f>
        <v/>
      </c>
      <c r="AC113" s="227" t="str">
        <f aca="false">IFERROR(IF(M$25*M$26*M$27*M21&gt;0,STDEV(M$25:M$27, M21),"")/IF(M$25*M$26*M$27*M21&gt;0,AVERAGE(M$25:M$27, M21),""),"")</f>
        <v/>
      </c>
      <c r="AD113" s="227" t="str">
        <f aca="false">IFERROR(IF(N$25*N$26*N$27*N21&gt;0,STDEV(N$25:N$27, N21),"")/IF(N$25*N$26*N$27*N21&gt;0,AVERAGE(N$25:N$27, N21),""),"")</f>
        <v/>
      </c>
      <c r="AE113" s="233"/>
      <c r="AF113" s="229" t="s">
        <v>493</v>
      </c>
      <c r="AG113" s="230" t="str">
        <f aca="false">IFERROR(IF(C$25*C$26*C$27*C21&gt;0,STDEV(C$25:C$27, C21)," ")/IF(C$25*C$26*C$27*C21&gt;0,SQRT(COUNT(C$25:C$27, C21))," "),"")</f>
        <v/>
      </c>
      <c r="AH113" s="230" t="str">
        <f aca="false">IFERROR(IF(D$25*D$26*D$27*D21&gt;0,STDEV(D$25:D$27, D21)," ")/IF(D$25*D$26*D$27*D21&gt;0,SQRT(COUNT(D$25:D$27, D21))," "),"")</f>
        <v/>
      </c>
      <c r="AI113" s="230" t="str">
        <f aca="false">IFERROR(IF(E$25*E$26*E$27*E21&gt;0,STDEV(E$25:E$27, E21)," ")/IF(E$25*E$26*E$27*E21&gt;0,SQRT(COUNT(E$25:E$27, E21))," "),"")</f>
        <v/>
      </c>
      <c r="AJ113" s="230" t="str">
        <f aca="false">IFERROR(IF(F$25*F$26*F$27*F21&gt;0,STDEV(F$25:F$27, F21)," ")/IF(F$25*F$26*F$27*F21&gt;0,SQRT(COUNT(F$25:F$27, F21))," "),"")</f>
        <v/>
      </c>
      <c r="AK113" s="230" t="str">
        <f aca="false">IFERROR(IF(G$25*G$26*G$27*G21&gt;0,STDEV(G$25:G$27, G21)," ")/IF(G$25*G$26*G$27*G21&gt;0,SQRT(COUNT(G$25:G$27, G21))," "),"")</f>
        <v/>
      </c>
      <c r="AL113" s="230" t="str">
        <f aca="false">IFERROR(IF(H$25*H$26*H$27*H21&gt;0,STDEV(H$25:H$27, H21)," ")/IF(H$25*H$26*H$27*H21&gt;0,SQRT(COUNT(H$25:H$27, H21))," "),"")</f>
        <v/>
      </c>
      <c r="AM113" s="230" t="str">
        <f aca="false">IFERROR(IF(I$25*I$26*I$27*I21&gt;0,STDEV(I$25:I$27, I21)," ")/IF(I$25*I$26*I$27*I21&gt;0,SQRT(COUNT(I$25:I$27, I21))," "),"")</f>
        <v/>
      </c>
      <c r="AN113" s="230" t="str">
        <f aca="false">IFERROR(IF(J$25*J$26*J$27*J21&gt;0,STDEV(J$25:J$27, J21)," ")/IF(J$25*J$26*J$27*J21&gt;0,SQRT(COUNT(J$25:J$27, J21))," "),"")</f>
        <v/>
      </c>
      <c r="AO113" s="230" t="str">
        <f aca="false">IFERROR(IF(K$25*K$26*K$27*K21&gt;0,STDEV(K$25:K$27, K21)," ")/IF(K$25*K$26*K$27*K21&gt;0,SQRT(COUNT(K$25:K$27, K21))," "),"")</f>
        <v/>
      </c>
      <c r="AP113" s="230" t="str">
        <f aca="false">IFERROR(IF(L$25*L$26*L$27*L21&gt;0,STDEV(L$25:L$27, L21)," ")/IF(L$25*L$26*L$27*L21&gt;0,SQRT(COUNT(L$25:L$27, L21))," "),"")</f>
        <v/>
      </c>
      <c r="AQ113" s="230" t="str">
        <f aca="false">IFERROR(IF(M$25*M$26*M$27*M21&gt;0,STDEV(M$25:M$27, M21)," ")/IF(M$25*M$26*M$27*M21&gt;0,SQRT(COUNT(M$25:M$27, M21))," "),"")</f>
        <v/>
      </c>
      <c r="AR113" s="230" t="str">
        <f aca="false">IFERROR(IF(N$25*N$26*N$27*N21&gt;0,STDEV(N$25:N$27, N21)," ")/IF(N$25*N$26*N$27*N21&gt;0,SQRT(COUNT(N$25:N$27, N21))," "),"")</f>
        <v/>
      </c>
    </row>
    <row r="114" customFormat="false" ht="15.75" hidden="false" customHeight="false" outlineLevel="0" collapsed="false">
      <c r="A114" s="220" t="s">
        <v>494</v>
      </c>
      <c r="B114" s="221"/>
      <c r="C114" s="261" t="str">
        <f aca="false">IFERROR(IF(C$25*C$26*C$27*C22&gt;0,AVERAGE(C$25:C$27, C22),""),"")</f>
        <v/>
      </c>
      <c r="D114" s="261" t="str">
        <f aca="false">IFERROR(IF(D$25*D$26*D$27*D22&gt;0,AVERAGE(D$25:D$27, D22),""),"")</f>
        <v/>
      </c>
      <c r="E114" s="261" t="str">
        <f aca="false">IFERROR(IF(E$25*E$26*E$27*E22&gt;0,AVERAGE(E$25:E$27, E22),""),"")</f>
        <v/>
      </c>
      <c r="F114" s="261" t="str">
        <f aca="false">IFERROR(IF(F$25*F$26*F$27*F22&gt;0,AVERAGE(F$25:F$27, F22),""),"")</f>
        <v/>
      </c>
      <c r="G114" s="261" t="str">
        <f aca="false">IFERROR(IF(G$25*G$26*G$27*G22&gt;0,AVERAGE(G$25:G$27, G22),""),"")</f>
        <v/>
      </c>
      <c r="H114" s="261" t="str">
        <f aca="false">IFERROR(IF(H$25*H$26*H$27*H22&gt;0,AVERAGE(H$25:H$27, H22),""),"")</f>
        <v/>
      </c>
      <c r="I114" s="261" t="str">
        <f aca="false">IFERROR(IF(I$25*I$26*I$27*I22&gt;0,AVERAGE(I$25:I$27, I22),""),"")</f>
        <v/>
      </c>
      <c r="J114" s="261" t="str">
        <f aca="false">IFERROR(IF(J$25*J$26*J$27*J22&gt;0,AVERAGE(J$25:J$27, J22),""),"")</f>
        <v/>
      </c>
      <c r="K114" s="261" t="str">
        <f aca="false">IFERROR(IF(K$25*K$26*K$27*K22&gt;0,AVERAGE(K$25:K$27, K22),""),"")</f>
        <v/>
      </c>
      <c r="L114" s="261" t="str">
        <f aca="false">IFERROR(IF(L$25*L$26*L$27*L22&gt;0,AVERAGE(L$25:L$27, L22),""),"")</f>
        <v/>
      </c>
      <c r="M114" s="261" t="str">
        <f aca="false">IFERROR(IF(M$25*M$26*M$27*M22&gt;0,AVERAGE(M$25:M$27, M22),""),"")</f>
        <v/>
      </c>
      <c r="N114" s="261" t="str">
        <f aca="false">IFERROR(IF(N$25*N$26*N$27*N22&gt;0,AVERAGE(N$25:N$27, N22),""),"")</f>
        <v/>
      </c>
      <c r="O114" s="224"/>
      <c r="P114" s="224"/>
      <c r="Q114" s="232"/>
      <c r="R114" s="226" t="s">
        <v>495</v>
      </c>
      <c r="S114" s="227" t="str">
        <f aca="false">IFERROR(IF(C$25*C$26*C$27*C22&gt;0,STDEV(C$25:C$27, C22),"")/IF(C$25*C$26*C$27*C22&gt;0,AVERAGE(C$25:C$27, C22),""),"")</f>
        <v/>
      </c>
      <c r="T114" s="227" t="str">
        <f aca="false">IFERROR(IF(D$25*D$26*D$27*D22&gt;0,STDEV(D$25:D$27, D22),"")/IF(D$25*D$26*D$27*D22&gt;0,AVERAGE(D$25:D$27, D22),""),"")</f>
        <v/>
      </c>
      <c r="U114" s="227" t="str">
        <f aca="false">IFERROR(IF(E$25*E$26*E$27*E22&gt;0,STDEV(E$25:E$27, E22),"")/IF(E$25*E$26*E$27*E22&gt;0,AVERAGE(E$25:E$27, E22),""),"")</f>
        <v/>
      </c>
      <c r="V114" s="227" t="str">
        <f aca="false">IFERROR(IF(F$25*F$26*F$27*F22&gt;0,STDEV(F$25:F$27, F22),"")/IF(F$25*F$26*F$27*F22&gt;0,AVERAGE(F$25:F$27, F22),""),"")</f>
        <v/>
      </c>
      <c r="W114" s="227" t="str">
        <f aca="false">IFERROR(IF(G$25*G$26*G$27*G22&gt;0,STDEV(G$25:G$27, G22),"")/IF(G$25*G$26*G$27*G22&gt;0,AVERAGE(G$25:G$27, G22),""),"")</f>
        <v/>
      </c>
      <c r="X114" s="227" t="str">
        <f aca="false">IFERROR(IF(H$25*H$26*H$27*H22&gt;0,STDEV(H$25:H$27, H22),"")/IF(H$25*H$26*H$27*H22&gt;0,AVERAGE(H$25:H$27, H22),""),"")</f>
        <v/>
      </c>
      <c r="Y114" s="227" t="str">
        <f aca="false">IFERROR(IF(I$25*I$26*I$27*I22&gt;0,STDEV(I$25:I$27, I22),"")/IF(I$25*I$26*I$27*I22&gt;0,AVERAGE(I$25:I$27, I22),""),"")</f>
        <v/>
      </c>
      <c r="Z114" s="227" t="str">
        <f aca="false">IFERROR(IF(J$25*J$26*J$27*J22&gt;0,STDEV(J$25:J$27, J22),"")/IF(J$25*J$26*J$27*J22&gt;0,AVERAGE(J$25:J$27, J22),""),"")</f>
        <v/>
      </c>
      <c r="AA114" s="227" t="str">
        <f aca="false">IFERROR(IF(K$25*K$26*K$27*K22&gt;0,STDEV(K$25:K$27, K22),"")/IF(K$25*K$26*K$27*K22&gt;0,AVERAGE(K$25:K$27, K22),""),"")</f>
        <v/>
      </c>
      <c r="AB114" s="227" t="str">
        <f aca="false">IFERROR(IF(L$25*L$26*L$27*L22&gt;0,STDEV(L$25:L$27, L22),"")/IF(L$25*L$26*L$27*L22&gt;0,AVERAGE(L$25:L$27, L22),""),"")</f>
        <v/>
      </c>
      <c r="AC114" s="227" t="str">
        <f aca="false">IFERROR(IF(M$25*M$26*M$27*M22&gt;0,STDEV(M$25:M$27, M22),"")/IF(M$25*M$26*M$27*M22&gt;0,AVERAGE(M$25:M$27, M22),""),"")</f>
        <v/>
      </c>
      <c r="AD114" s="227" t="str">
        <f aca="false">IFERROR(IF(N$25*N$26*N$27*N22&gt;0,STDEV(N$25:N$27, N22),"")/IF(N$25*N$26*N$27*N22&gt;0,AVERAGE(N$25:N$27, N22),""),"")</f>
        <v/>
      </c>
      <c r="AE114" s="233"/>
      <c r="AF114" s="229" t="s">
        <v>496</v>
      </c>
      <c r="AG114" s="230" t="str">
        <f aca="false">IFERROR(IF(C$25*C$26*C$27*C22&gt;0,STDEV(C$25:C$27, C22)," ")/IF(C$25*C$26*C$27*C22&gt;0,SQRT(COUNT(C$25:C$27, C22))," "),"")</f>
        <v/>
      </c>
      <c r="AH114" s="230" t="str">
        <f aca="false">IFERROR(IF(D$25*D$26*D$27*D22&gt;0,STDEV(D$25:D$27, D22)," ")/IF(D$25*D$26*D$27*D22&gt;0,SQRT(COUNT(D$25:D$27, D22))," "),"")</f>
        <v/>
      </c>
      <c r="AI114" s="230" t="str">
        <f aca="false">IFERROR(IF(E$25*E$26*E$27*E22&gt;0,STDEV(E$25:E$27, E22)," ")/IF(E$25*E$26*E$27*E22&gt;0,SQRT(COUNT(E$25:E$27, E22))," "),"")</f>
        <v/>
      </c>
      <c r="AJ114" s="230" t="str">
        <f aca="false">IFERROR(IF(F$25*F$26*F$27*F22&gt;0,STDEV(F$25:F$27, F22)," ")/IF(F$25*F$26*F$27*F22&gt;0,SQRT(COUNT(F$25:F$27, F22))," "),"")</f>
        <v/>
      </c>
      <c r="AK114" s="230" t="str">
        <f aca="false">IFERROR(IF(G$25*G$26*G$27*G22&gt;0,STDEV(G$25:G$27, G22)," ")/IF(G$25*G$26*G$27*G22&gt;0,SQRT(COUNT(G$25:G$27, G22))," "),"")</f>
        <v/>
      </c>
      <c r="AL114" s="230" t="str">
        <f aca="false">IFERROR(IF(H$25*H$26*H$27*H22&gt;0,STDEV(H$25:H$27, H22)," ")/IF(H$25*H$26*H$27*H22&gt;0,SQRT(COUNT(H$25:H$27, H22))," "),"")</f>
        <v/>
      </c>
      <c r="AM114" s="230" t="str">
        <f aca="false">IFERROR(IF(I$25*I$26*I$27*I22&gt;0,STDEV(I$25:I$27, I22)," ")/IF(I$25*I$26*I$27*I22&gt;0,SQRT(COUNT(I$25:I$27, I22))," "),"")</f>
        <v/>
      </c>
      <c r="AN114" s="230" t="str">
        <f aca="false">IFERROR(IF(J$25*J$26*J$27*J22&gt;0,STDEV(J$25:J$27, J22)," ")/IF(J$25*J$26*J$27*J22&gt;0,SQRT(COUNT(J$25:J$27, J22))," "),"")</f>
        <v/>
      </c>
      <c r="AO114" s="230" t="str">
        <f aca="false">IFERROR(IF(K$25*K$26*K$27*K22&gt;0,STDEV(K$25:K$27, K22)," ")/IF(K$25*K$26*K$27*K22&gt;0,SQRT(COUNT(K$25:K$27, K22))," "),"")</f>
        <v/>
      </c>
      <c r="AP114" s="230" t="str">
        <f aca="false">IFERROR(IF(L$25*L$26*L$27*L22&gt;0,STDEV(L$25:L$27, L22)," ")/IF(L$25*L$26*L$27*L22&gt;0,SQRT(COUNT(L$25:L$27, L22))," "),"")</f>
        <v/>
      </c>
      <c r="AQ114" s="230" t="str">
        <f aca="false">IFERROR(IF(M$25*M$26*M$27*M22&gt;0,STDEV(M$25:M$27, M22)," ")/IF(M$25*M$26*M$27*M22&gt;0,SQRT(COUNT(M$25:M$27, M22))," "),"")</f>
        <v/>
      </c>
      <c r="AR114" s="230" t="str">
        <f aca="false">IFERROR(IF(N$25*N$26*N$27*N22&gt;0,STDEV(N$25:N$27, N22)," ")/IF(N$25*N$26*N$27*N22&gt;0,SQRT(COUNT(N$25:N$27, N22))," "),"")</f>
        <v/>
      </c>
    </row>
    <row r="115" customFormat="false" ht="15.75" hidden="false" customHeight="false" outlineLevel="0" collapsed="false">
      <c r="A115" s="220" t="s">
        <v>497</v>
      </c>
      <c r="B115" s="221"/>
      <c r="C115" s="261" t="str">
        <f aca="false">IFERROR(IF(C$25*C$26*C$27*C23&gt;0,AVERAGE(C$25:C$27, C23),""),"")</f>
        <v/>
      </c>
      <c r="D115" s="261" t="str">
        <f aca="false">IFERROR(IF(D$25*D$26*D$27*D23&gt;0,AVERAGE(D$25:D$27, D23),""),"")</f>
        <v/>
      </c>
      <c r="E115" s="261" t="str">
        <f aca="false">IFERROR(IF(E$25*E$26*E$27*E23&gt;0,AVERAGE(E$25:E$27, E23),""),"")</f>
        <v/>
      </c>
      <c r="F115" s="261" t="str">
        <f aca="false">IFERROR(IF(F$25*F$26*F$27*F23&gt;0,AVERAGE(F$25:F$27, F23),""),"")</f>
        <v/>
      </c>
      <c r="G115" s="261" t="str">
        <f aca="false">IFERROR(IF(G$25*G$26*G$27*G23&gt;0,AVERAGE(G$25:G$27, G23),""),"")</f>
        <v/>
      </c>
      <c r="H115" s="261" t="str">
        <f aca="false">IFERROR(IF(H$25*H$26*H$27*H23&gt;0,AVERAGE(H$25:H$27, H23),""),"")</f>
        <v/>
      </c>
      <c r="I115" s="261" t="str">
        <f aca="false">IFERROR(IF(I$25*I$26*I$27*I23&gt;0,AVERAGE(I$25:I$27, I23),""),"")</f>
        <v/>
      </c>
      <c r="J115" s="261" t="str">
        <f aca="false">IFERROR(IF(J$25*J$26*J$27*J23&gt;0,AVERAGE(J$25:J$27, J23),""),"")</f>
        <v/>
      </c>
      <c r="K115" s="261" t="str">
        <f aca="false">IFERROR(IF(K$25*K$26*K$27*K23&gt;0,AVERAGE(K$25:K$27, K23),""),"")</f>
        <v/>
      </c>
      <c r="L115" s="261" t="str">
        <f aca="false">IFERROR(IF(L$25*L$26*L$27*L23&gt;0,AVERAGE(L$25:L$27, L23),""),"")</f>
        <v/>
      </c>
      <c r="M115" s="261" t="str">
        <f aca="false">IFERROR(IF(M$25*M$26*M$27*M23&gt;0,AVERAGE(M$25:M$27, M23),""),"")</f>
        <v/>
      </c>
      <c r="N115" s="261" t="str">
        <f aca="false">IFERROR(IF(N$25*N$26*N$27*N23&gt;0,AVERAGE(N$25:N$27, N23),""),"")</f>
        <v/>
      </c>
      <c r="O115" s="224"/>
      <c r="P115" s="224"/>
      <c r="Q115" s="232"/>
      <c r="R115" s="226" t="s">
        <v>498</v>
      </c>
      <c r="S115" s="227" t="str">
        <f aca="false">IFERROR(IF(C$25*C$26*C$27*C23&gt;0,STDEV(C$25:C$27, C23),"")/IF(C$25*C$26*C$27*C23&gt;0,AVERAGE(C$25:C$27, C23),""),"")</f>
        <v/>
      </c>
      <c r="T115" s="227" t="str">
        <f aca="false">IFERROR(IF(D$25*D$26*D$27*D23&gt;0,STDEV(D$25:D$27, D23),"")/IF(D$25*D$26*D$27*D23&gt;0,AVERAGE(D$25:D$27, D23),""),"")</f>
        <v/>
      </c>
      <c r="U115" s="227" t="str">
        <f aca="false">IFERROR(IF(E$25*E$26*E$27*E23&gt;0,STDEV(E$25:E$27, E23),"")/IF(E$25*E$26*E$27*E23&gt;0,AVERAGE(E$25:E$27, E23),""),"")</f>
        <v/>
      </c>
      <c r="V115" s="227" t="str">
        <f aca="false">IFERROR(IF(F$25*F$26*F$27*F23&gt;0,STDEV(F$25:F$27, F23),"")/IF(F$25*F$26*F$27*F23&gt;0,AVERAGE(F$25:F$27, F23),""),"")</f>
        <v/>
      </c>
      <c r="W115" s="227" t="str">
        <f aca="false">IFERROR(IF(G$25*G$26*G$27*G23&gt;0,STDEV(G$25:G$27, G23),"")/IF(G$25*G$26*G$27*G23&gt;0,AVERAGE(G$25:G$27, G23),""),"")</f>
        <v/>
      </c>
      <c r="X115" s="227" t="str">
        <f aca="false">IFERROR(IF(H$25*H$26*H$27*H23&gt;0,STDEV(H$25:H$27, H23),"")/IF(H$25*H$26*H$27*H23&gt;0,AVERAGE(H$25:H$27, H23),""),"")</f>
        <v/>
      </c>
      <c r="Y115" s="227" t="str">
        <f aca="false">IFERROR(IF(I$25*I$26*I$27*I23&gt;0,STDEV(I$25:I$27, I23),"")/IF(I$25*I$26*I$27*I23&gt;0,AVERAGE(I$25:I$27, I23),""),"")</f>
        <v/>
      </c>
      <c r="Z115" s="227" t="str">
        <f aca="false">IFERROR(IF(J$25*J$26*J$27*J23&gt;0,STDEV(J$25:J$27, J23),"")/IF(J$25*J$26*J$27*J23&gt;0,AVERAGE(J$25:J$27, J23),""),"")</f>
        <v/>
      </c>
      <c r="AA115" s="227" t="str">
        <f aca="false">IFERROR(IF(K$25*K$26*K$27*K23&gt;0,STDEV(K$25:K$27, K23),"")/IF(K$25*K$26*K$27*K23&gt;0,AVERAGE(K$25:K$27, K23),""),"")</f>
        <v/>
      </c>
      <c r="AB115" s="227" t="str">
        <f aca="false">IFERROR(IF(L$25*L$26*L$27*L23&gt;0,STDEV(L$25:L$27, L23),"")/IF(L$25*L$26*L$27*L23&gt;0,AVERAGE(L$25:L$27, L23),""),"")</f>
        <v/>
      </c>
      <c r="AC115" s="227" t="str">
        <f aca="false">IFERROR(IF(M$25*M$26*M$27*M23&gt;0,STDEV(M$25:M$27, M23),"")/IF(M$25*M$26*M$27*M23&gt;0,AVERAGE(M$25:M$27, M23),""),"")</f>
        <v/>
      </c>
      <c r="AD115" s="227" t="str">
        <f aca="false">IFERROR(IF(N$25*N$26*N$27*N23&gt;0,STDEV(N$25:N$27, N23),"")/IF(N$25*N$26*N$27*N23&gt;0,AVERAGE(N$25:N$27, N23),""),"")</f>
        <v/>
      </c>
      <c r="AE115" s="233"/>
      <c r="AF115" s="229" t="s">
        <v>499</v>
      </c>
      <c r="AG115" s="230" t="str">
        <f aca="false">IFERROR(IF(C$25*C$26*C$27*C23&gt;0,STDEV(C$25:C$27, C23)," ")/IF(C$25*C$26*C$27*C23&gt;0,SQRT(COUNT(C$25:C$27, C23))," "),"")</f>
        <v/>
      </c>
      <c r="AH115" s="230" t="str">
        <f aca="false">IFERROR(IF(D$25*D$26*D$27*D23&gt;0,STDEV(D$25:D$27, D23)," ")/IF(D$25*D$26*D$27*D23&gt;0,SQRT(COUNT(D$25:D$27, D23))," "),"")</f>
        <v/>
      </c>
      <c r="AI115" s="230" t="str">
        <f aca="false">IFERROR(IF(E$25*E$26*E$27*E23&gt;0,STDEV(E$25:E$27, E23)," ")/IF(E$25*E$26*E$27*E23&gt;0,SQRT(COUNT(E$25:E$27, E23))," "),"")</f>
        <v/>
      </c>
      <c r="AJ115" s="230" t="str">
        <f aca="false">IFERROR(IF(F$25*F$26*F$27*F23&gt;0,STDEV(F$25:F$27, F23)," ")/IF(F$25*F$26*F$27*F23&gt;0,SQRT(COUNT(F$25:F$27, F23))," "),"")</f>
        <v/>
      </c>
      <c r="AK115" s="230" t="str">
        <f aca="false">IFERROR(IF(G$25*G$26*G$27*G23&gt;0,STDEV(G$25:G$27, G23)," ")/IF(G$25*G$26*G$27*G23&gt;0,SQRT(COUNT(G$25:G$27, G23))," "),"")</f>
        <v/>
      </c>
      <c r="AL115" s="230" t="str">
        <f aca="false">IFERROR(IF(H$25*H$26*H$27*H23&gt;0,STDEV(H$25:H$27, H23)," ")/IF(H$25*H$26*H$27*H23&gt;0,SQRT(COUNT(H$25:H$27, H23))," "),"")</f>
        <v/>
      </c>
      <c r="AM115" s="230" t="str">
        <f aca="false">IFERROR(IF(I$25*I$26*I$27*I23&gt;0,STDEV(I$25:I$27, I23)," ")/IF(I$25*I$26*I$27*I23&gt;0,SQRT(COUNT(I$25:I$27, I23))," "),"")</f>
        <v/>
      </c>
      <c r="AN115" s="230" t="str">
        <f aca="false">IFERROR(IF(J$25*J$26*J$27*J23&gt;0,STDEV(J$25:J$27, J23)," ")/IF(J$25*J$26*J$27*J23&gt;0,SQRT(COUNT(J$25:J$27, J23))," "),"")</f>
        <v/>
      </c>
      <c r="AO115" s="230" t="str">
        <f aca="false">IFERROR(IF(K$25*K$26*K$27*K23&gt;0,STDEV(K$25:K$27, K23)," ")/IF(K$25*K$26*K$27*K23&gt;0,SQRT(COUNT(K$25:K$27, K23))," "),"")</f>
        <v/>
      </c>
      <c r="AP115" s="230" t="str">
        <f aca="false">IFERROR(IF(L$25*L$26*L$27*L23&gt;0,STDEV(L$25:L$27, L23)," ")/IF(L$25*L$26*L$27*L23&gt;0,SQRT(COUNT(L$25:L$27, L23))," "),"")</f>
        <v/>
      </c>
      <c r="AQ115" s="230" t="str">
        <f aca="false">IFERROR(IF(M$25*M$26*M$27*M23&gt;0,STDEV(M$25:M$27, M23)," ")/IF(M$25*M$26*M$27*M23&gt;0,SQRT(COUNT(M$25:M$27, M23))," "),"")</f>
        <v/>
      </c>
      <c r="AR115" s="230" t="str">
        <f aca="false">IFERROR(IF(N$25*N$26*N$27*N23&gt;0,STDEV(N$25:N$27, N23)," ")/IF(N$25*N$26*N$27*N23&gt;0,SQRT(COUNT(N$25:N$27, N23))," "),"")</f>
        <v/>
      </c>
    </row>
    <row r="116" customFormat="false" ht="15.75" hidden="false" customHeight="false" outlineLevel="0" collapsed="false">
      <c r="A116" s="220" t="s">
        <v>500</v>
      </c>
      <c r="B116" s="221"/>
      <c r="C116" s="261" t="str">
        <f aca="false">IFERROR(IF(C$25*C$26*C$27*C24&gt;0,AVERAGE(C$25:C$27, C24),""),"")</f>
        <v/>
      </c>
      <c r="D116" s="261" t="str">
        <f aca="false">IFERROR(IF(D$25*D$26*D$27*D24&gt;0,AVERAGE(D$25:D$27, D24),""),"")</f>
        <v/>
      </c>
      <c r="E116" s="261" t="str">
        <f aca="false">IFERROR(IF(E$25*E$26*E$27*E24&gt;0,AVERAGE(E$25:E$27, E24),""),"")</f>
        <v/>
      </c>
      <c r="F116" s="261" t="str">
        <f aca="false">IFERROR(IF(F$25*F$26*F$27*F24&gt;0,AVERAGE(F$25:F$27, F24),""),"")</f>
        <v/>
      </c>
      <c r="G116" s="261" t="str">
        <f aca="false">IFERROR(IF(G$25*G$26*G$27*G24&gt;0,AVERAGE(G$25:G$27, G24),""),"")</f>
        <v/>
      </c>
      <c r="H116" s="261" t="str">
        <f aca="false">IFERROR(IF(H$25*H$26*H$27*H24&gt;0,AVERAGE(H$25:H$27, H24),""),"")</f>
        <v/>
      </c>
      <c r="I116" s="261" t="str">
        <f aca="false">IFERROR(IF(I$25*I$26*I$27*I24&gt;0,AVERAGE(I$25:I$27, I24),""),"")</f>
        <v/>
      </c>
      <c r="J116" s="261" t="str">
        <f aca="false">IFERROR(IF(J$25*J$26*J$27*J24&gt;0,AVERAGE(J$25:J$27, J24),""),"")</f>
        <v/>
      </c>
      <c r="K116" s="261" t="str">
        <f aca="false">IFERROR(IF(K$25*K$26*K$27*K24&gt;0,AVERAGE(K$25:K$27, K24),""),"")</f>
        <v/>
      </c>
      <c r="L116" s="261" t="str">
        <f aca="false">IFERROR(IF(L$25*L$26*L$27*L24&gt;0,AVERAGE(L$25:L$27, L24),""),"")</f>
        <v/>
      </c>
      <c r="M116" s="261" t="str">
        <f aca="false">IFERROR(IF(M$25*M$26*M$27*M24&gt;0,AVERAGE(M$25:M$27, M24),""),"")</f>
        <v/>
      </c>
      <c r="N116" s="261" t="str">
        <f aca="false">IFERROR(IF(N$25*N$26*N$27*N24&gt;0,AVERAGE(N$25:N$27, N24),""),"")</f>
        <v/>
      </c>
      <c r="O116" s="224"/>
      <c r="P116" s="224"/>
      <c r="Q116" s="232"/>
      <c r="R116" s="226" t="s">
        <v>501</v>
      </c>
      <c r="S116" s="227" t="str">
        <f aca="false">IFERROR(IF(C$25*C$26*C$27*C24&gt;0,STDEV(C$25:C$27, C24),"")/IF(C$25*C$26*C$27*C24&gt;0,AVERAGE(C$25:C$27, C24),""),"")</f>
        <v/>
      </c>
      <c r="T116" s="227" t="str">
        <f aca="false">IFERROR(IF(D$25*D$26*D$27*D24&gt;0,STDEV(D$25:D$27, D24),"")/IF(D$25*D$26*D$27*D24&gt;0,AVERAGE(D$25:D$27, D24),""),"")</f>
        <v/>
      </c>
      <c r="U116" s="227" t="str">
        <f aca="false">IFERROR(IF(E$25*E$26*E$27*E24&gt;0,STDEV(E$25:E$27, E24),"")/IF(E$25*E$26*E$27*E24&gt;0,AVERAGE(E$25:E$27, E24),""),"")</f>
        <v/>
      </c>
      <c r="V116" s="227" t="str">
        <f aca="false">IFERROR(IF(F$25*F$26*F$27*F24&gt;0,STDEV(F$25:F$27, F24),"")/IF(F$25*F$26*F$27*F24&gt;0,AVERAGE(F$25:F$27, F24),""),"")</f>
        <v/>
      </c>
      <c r="W116" s="227" t="str">
        <f aca="false">IFERROR(IF(G$25*G$26*G$27*G24&gt;0,STDEV(G$25:G$27, G24),"")/IF(G$25*G$26*G$27*G24&gt;0,AVERAGE(G$25:G$27, G24),""),"")</f>
        <v/>
      </c>
      <c r="X116" s="227" t="str">
        <f aca="false">IFERROR(IF(H$25*H$26*H$27*H24&gt;0,STDEV(H$25:H$27, H24),"")/IF(H$25*H$26*H$27*H24&gt;0,AVERAGE(H$25:H$27, H24),""),"")</f>
        <v/>
      </c>
      <c r="Y116" s="227" t="str">
        <f aca="false">IFERROR(IF(I$25*I$26*I$27*I24&gt;0,STDEV(I$25:I$27, I24),"")/IF(I$25*I$26*I$27*I24&gt;0,AVERAGE(I$25:I$27, I24),""),"")</f>
        <v/>
      </c>
      <c r="Z116" s="227" t="str">
        <f aca="false">IFERROR(IF(J$25*J$26*J$27*J24&gt;0,STDEV(J$25:J$27, J24),"")/IF(J$25*J$26*J$27*J24&gt;0,AVERAGE(J$25:J$27, J24),""),"")</f>
        <v/>
      </c>
      <c r="AA116" s="227" t="str">
        <f aca="false">IFERROR(IF(K$25*K$26*K$27*K24&gt;0,STDEV(K$25:K$27, K24),"")/IF(K$25*K$26*K$27*K24&gt;0,AVERAGE(K$25:K$27, K24),""),"")</f>
        <v/>
      </c>
      <c r="AB116" s="227" t="str">
        <f aca="false">IFERROR(IF(L$25*L$26*L$27*L24&gt;0,STDEV(L$25:L$27, L24),"")/IF(L$25*L$26*L$27*L24&gt;0,AVERAGE(L$25:L$27, L24),""),"")</f>
        <v/>
      </c>
      <c r="AC116" s="227" t="str">
        <f aca="false">IFERROR(IF(M$25*M$26*M$27*M24&gt;0,STDEV(M$25:M$27, M24),"")/IF(M$25*M$26*M$27*M24&gt;0,AVERAGE(M$25:M$27, M24),""),"")</f>
        <v/>
      </c>
      <c r="AD116" s="227" t="str">
        <f aca="false">IFERROR(IF(N$25*N$26*N$27*N24&gt;0,STDEV(N$25:N$27, N24),"")/IF(N$25*N$26*N$27*N24&gt;0,AVERAGE(N$25:N$27, N24),""),"")</f>
        <v/>
      </c>
      <c r="AE116" s="233"/>
      <c r="AF116" s="229" t="s">
        <v>502</v>
      </c>
      <c r="AG116" s="230" t="str">
        <f aca="false">IFERROR(IF(C$25*C$26*C$27*C24&gt;0,STDEV(C$25:C$27, C24)," ")/IF(C$25*C$26*C$27*C24&gt;0,SQRT(COUNT(C$25:C$27, C24))," "),"")</f>
        <v/>
      </c>
      <c r="AH116" s="230" t="str">
        <f aca="false">IFERROR(IF(D$25*D$26*D$27*D24&gt;0,STDEV(D$25:D$27, D24)," ")/IF(D$25*D$26*D$27*D24&gt;0,SQRT(COUNT(D$25:D$27, D24))," "),"")</f>
        <v/>
      </c>
      <c r="AI116" s="230" t="str">
        <f aca="false">IFERROR(IF(E$25*E$26*E$27*E24&gt;0,STDEV(E$25:E$27, E24)," ")/IF(E$25*E$26*E$27*E24&gt;0,SQRT(COUNT(E$25:E$27, E24))," "),"")</f>
        <v/>
      </c>
      <c r="AJ116" s="230" t="str">
        <f aca="false">IFERROR(IF(F$25*F$26*F$27*F24&gt;0,STDEV(F$25:F$27, F24)," ")/IF(F$25*F$26*F$27*F24&gt;0,SQRT(COUNT(F$25:F$27, F24))," "),"")</f>
        <v/>
      </c>
      <c r="AK116" s="230" t="str">
        <f aca="false">IFERROR(IF(G$25*G$26*G$27*G24&gt;0,STDEV(G$25:G$27, G24)," ")/IF(G$25*G$26*G$27*G24&gt;0,SQRT(COUNT(G$25:G$27, G24))," "),"")</f>
        <v/>
      </c>
      <c r="AL116" s="230" t="str">
        <f aca="false">IFERROR(IF(H$25*H$26*H$27*H24&gt;0,STDEV(H$25:H$27, H24)," ")/IF(H$25*H$26*H$27*H24&gt;0,SQRT(COUNT(H$25:H$27, H24))," "),"")</f>
        <v/>
      </c>
      <c r="AM116" s="230" t="str">
        <f aca="false">IFERROR(IF(I$25*I$26*I$27*I24&gt;0,STDEV(I$25:I$27, I24)," ")/IF(I$25*I$26*I$27*I24&gt;0,SQRT(COUNT(I$25:I$27, I24))," "),"")</f>
        <v/>
      </c>
      <c r="AN116" s="230" t="str">
        <f aca="false">IFERROR(IF(J$25*J$26*J$27*J24&gt;0,STDEV(J$25:J$27, J24)," ")/IF(J$25*J$26*J$27*J24&gt;0,SQRT(COUNT(J$25:J$27, J24))," "),"")</f>
        <v/>
      </c>
      <c r="AO116" s="230" t="str">
        <f aca="false">IFERROR(IF(K$25*K$26*K$27*K24&gt;0,STDEV(K$25:K$27, K24)," ")/IF(K$25*K$26*K$27*K24&gt;0,SQRT(COUNT(K$25:K$27, K24))," "),"")</f>
        <v/>
      </c>
      <c r="AP116" s="230" t="str">
        <f aca="false">IFERROR(IF(L$25*L$26*L$27*L24&gt;0,STDEV(L$25:L$27, L24)," ")/IF(L$25*L$26*L$27*L24&gt;0,SQRT(COUNT(L$25:L$27, L24))," "),"")</f>
        <v/>
      </c>
      <c r="AQ116" s="230" t="str">
        <f aca="false">IFERROR(IF(M$25*M$26*M$27*M24&gt;0,STDEV(M$25:M$27, M24)," ")/IF(M$25*M$26*M$27*M24&gt;0,SQRT(COUNT(M$25:M$27, M24))," "),"")</f>
        <v/>
      </c>
      <c r="AR116" s="230" t="str">
        <f aca="false">IFERROR(IF(N$25*N$26*N$27*N24&gt;0,STDEV(N$25:N$27, N24)," ")/IF(N$25*N$26*N$27*N24&gt;0,SQRT(COUNT(N$25:N$27, N24))," "),"")</f>
        <v/>
      </c>
    </row>
    <row r="117" customFormat="false" ht="15.75" hidden="false" customHeight="false" outlineLevel="0" collapsed="false">
      <c r="A117" s="220" t="s">
        <v>446</v>
      </c>
      <c r="B117" s="221"/>
      <c r="C117" s="261" t="str">
        <f aca="false">IFERROR(IF(C$21*C$22*C$23*C25&gt;0,AVERAGE(C$21, C$22, C$23, C$25),""),"")</f>
        <v/>
      </c>
      <c r="D117" s="261" t="str">
        <f aca="false">IFERROR(IF(D$21*D$22*D$23*D25&gt;0,AVERAGE(D$21, D$22, D$23, D$25),""),"")</f>
        <v/>
      </c>
      <c r="E117" s="261" t="str">
        <f aca="false">IFERROR(IF(E$21*E$22*E$23*E25&gt;0,AVERAGE(E$21, E$22, E$23, E$25),""),"")</f>
        <v/>
      </c>
      <c r="F117" s="261" t="str">
        <f aca="false">IFERROR(IF(F$21*F$22*F$23*F25&gt;0,AVERAGE(F$21, F$22, F$23, F$25),""),"")</f>
        <v/>
      </c>
      <c r="G117" s="261" t="str">
        <f aca="false">IFERROR(IF(G$21*G$22*G$23*G25&gt;0,AVERAGE(G$21, G$22, G$23, G$25),""),"")</f>
        <v/>
      </c>
      <c r="H117" s="261" t="str">
        <f aca="false">IFERROR(IF(H$21*H$22*H$23*H25&gt;0,AVERAGE(H$21, H$22, H$23, H$25),""),"")</f>
        <v/>
      </c>
      <c r="I117" s="261" t="str">
        <f aca="false">IFERROR(IF(I$21*I$22*I$23*I25&gt;0,AVERAGE(I$21, I$22, I$23, I$25),""),"")</f>
        <v/>
      </c>
      <c r="J117" s="261" t="str">
        <f aca="false">IFERROR(IF(J$21*J$22*J$23*J25&gt;0,AVERAGE(J$21, J$22, J$23, J$25),""),"")</f>
        <v/>
      </c>
      <c r="K117" s="261" t="str">
        <f aca="false">IFERROR(IF(K$21*K$22*K$23*K25&gt;0,AVERAGE(K$21, K$22, K$23, K$25),""),"")</f>
        <v/>
      </c>
      <c r="L117" s="261" t="str">
        <f aca="false">IFERROR(IF(L$21*L$22*L$23*L25&gt;0,AVERAGE(L$21, L$22, L$23, L$25),""),"")</f>
        <v/>
      </c>
      <c r="M117" s="261" t="str">
        <f aca="false">IFERROR(IF(M$21*M$22*M$23*M25&gt;0,AVERAGE(M$21, M$22, M$23, M$25),""),"")</f>
        <v/>
      </c>
      <c r="N117" s="261" t="str">
        <f aca="false">IFERROR(IF(N$21*N$22*N$23*N25&gt;0,AVERAGE(N$21, N$22, N$23, N$25),""),"")</f>
        <v/>
      </c>
      <c r="O117" s="224"/>
      <c r="P117" s="224"/>
      <c r="Q117" s="232"/>
      <c r="R117" s="226" t="s">
        <v>447</v>
      </c>
      <c r="S117" s="227" t="str">
        <f aca="false">IFERROR(IF(C$21*C$22*C$23*C25&gt;0,STDEV(C$21, C$22, C$23, C$25),"")/IF(C$21*C$22*C$23*C25&gt;0,AVERAGE(C$21, C$22, C$23, C$25),""),"")</f>
        <v/>
      </c>
      <c r="T117" s="227" t="str">
        <f aca="false">IFERROR(IF(D$21*D$22*D$23*D25&gt;0,STDEV(D$21, D$22, D$23, D$25),"")/IF(D$21*D$22*D$23*D25&gt;0,AVERAGE(D$21, D$22, D$23, D$25),""),"")</f>
        <v/>
      </c>
      <c r="U117" s="227" t="str">
        <f aca="false">IFERROR(IF(E$21*E$22*E$23*E25&gt;0,STDEV(E$21, E$22, E$23, E$25),"")/IF(E$21*E$22*E$23*E25&gt;0,AVERAGE(E$21, E$22, E$23, E$25),""),"")</f>
        <v/>
      </c>
      <c r="V117" s="227" t="str">
        <f aca="false">IFERROR(IF(F$21*F$22*F$23*F25&gt;0,STDEV(F$21, F$22, F$23, F$25),"")/IF(F$21*F$22*F$23*F25&gt;0,AVERAGE(F$21, F$22, F$23, F$25),""),"")</f>
        <v/>
      </c>
      <c r="W117" s="227" t="str">
        <f aca="false">IFERROR(IF(G$21*G$22*G$23*G25&gt;0,STDEV(G$21, G$22, G$23, G$25),"")/IF(G$21*G$22*G$23*G25&gt;0,AVERAGE(G$21, G$22, G$23, G$25),""),"")</f>
        <v/>
      </c>
      <c r="X117" s="227" t="str">
        <f aca="false">IFERROR(IF(H$21*H$22*H$23*H25&gt;0,STDEV(H$21, H$22, H$23, H$25),"")/IF(H$21*H$22*H$23*H25&gt;0,AVERAGE(H$21, H$22, H$23, H$25),""),"")</f>
        <v/>
      </c>
      <c r="Y117" s="227" t="str">
        <f aca="false">IFERROR(IF(I$21*I$22*I$23*I25&gt;0,STDEV(I$21, I$22, I$23, I$25),"")/IF(I$21*I$22*I$23*I25&gt;0,AVERAGE(I$21, I$22, I$23, I$25),""),"")</f>
        <v/>
      </c>
      <c r="Z117" s="227" t="str">
        <f aca="false">IFERROR(IF(J$21*J$22*J$23*J25&gt;0,STDEV(J$21, J$22, J$23, J$25),"")/IF(J$21*J$22*J$23*J25&gt;0,AVERAGE(J$21, J$22, J$23, J$25),""),"")</f>
        <v/>
      </c>
      <c r="AA117" s="227" t="str">
        <f aca="false">IFERROR(IF(K$21*K$22*K$23*K25&gt;0,STDEV(K$21, K$22, K$23, K$25),"")/IF(K$21*K$22*K$23*K25&gt;0,AVERAGE(K$21, K$22, K$23, K$25),""),"")</f>
        <v/>
      </c>
      <c r="AB117" s="227" t="str">
        <f aca="false">IFERROR(IF(L$21*L$22*L$23*L25&gt;0,STDEV(L$21, L$22, L$23, L$25),"")/IF(L$21*L$22*L$23*L25&gt;0,AVERAGE(L$21, L$22, L$23, L$25),""),"")</f>
        <v/>
      </c>
      <c r="AC117" s="227" t="str">
        <f aca="false">IFERROR(IF(M$21*M$22*M$23*M25&gt;0,STDEV(M$21, M$22, M$23, M$25),"")/IF(M$21*M$22*M$23*M25&gt;0,AVERAGE(M$21, M$22, M$23, M$25),""),"")</f>
        <v/>
      </c>
      <c r="AD117" s="227" t="str">
        <f aca="false">IFERROR(IF(N$21*N$22*N$23*N25&gt;0,STDEV(N$21, N$22, N$23, N$25),"")/IF(N$21*N$22*N$23*N25&gt;0,AVERAGE(N$21, N$22, N$23, N$25),""),"")</f>
        <v/>
      </c>
      <c r="AE117" s="233"/>
      <c r="AF117" s="229" t="s">
        <v>448</v>
      </c>
      <c r="AG117" s="230" t="str">
        <f aca="false">IFERROR(IF(C$21*C$22*C$23*C25&gt;0,STDEV(C$21, C$22, C$23, C$25)," ")/IF(C$21*C$22*C$23*C25&gt;0,SQRT(COUNT(C$21, C$22, C$23, C$25))," "),"")</f>
        <v/>
      </c>
      <c r="AH117" s="230" t="str">
        <f aca="false">IFERROR(IF(D$21*D$22*D$23*D25&gt;0,STDEV(D$21, D$22, D$23, D$25)," ")/IF(D$21*D$22*D$23*D25&gt;0,SQRT(COUNT(D$21, D$22, D$23, D$25))," "),"")</f>
        <v/>
      </c>
      <c r="AI117" s="230" t="str">
        <f aca="false">IFERROR(IF(E$21*E$22*E$23*E25&gt;0,STDEV(E$21, E$22, E$23, E$25)," ")/IF(E$21*E$22*E$23*E25&gt;0,SQRT(COUNT(E$21, E$22, E$23, E$25))," "),"")</f>
        <v/>
      </c>
      <c r="AJ117" s="230" t="str">
        <f aca="false">IFERROR(IF(F$21*F$22*F$23*F25&gt;0,STDEV(F$21, F$22, F$23, F$25)," ")/IF(F$21*F$22*F$23*F25&gt;0,SQRT(COUNT(F$21, F$22, F$23, F$25))," "),"")</f>
        <v/>
      </c>
      <c r="AK117" s="230" t="str">
        <f aca="false">IFERROR(IF(G$21*G$22*G$23*G25&gt;0,STDEV(G$21, G$22, G$23, G$25)," ")/IF(G$21*G$22*G$23*G25&gt;0,SQRT(COUNT(G$21, G$22, G$23, G$25))," "),"")</f>
        <v/>
      </c>
      <c r="AL117" s="230" t="str">
        <f aca="false">IFERROR(IF(H$21*H$22*H$23*H25&gt;0,STDEV(H$21, H$22, H$23, H$25)," ")/IF(H$21*H$22*H$23*H25&gt;0,SQRT(COUNT(H$21, H$22, H$23, H$25))," "),"")</f>
        <v/>
      </c>
      <c r="AM117" s="230" t="str">
        <f aca="false">IFERROR(IF(I$21*I$22*I$23*I25&gt;0,STDEV(I$21, I$22, I$23, I$25)," ")/IF(I$21*I$22*I$23*I25&gt;0,SQRT(COUNT(I$21, I$22, I$23, I$25))," "),"")</f>
        <v/>
      </c>
      <c r="AN117" s="230" t="str">
        <f aca="false">IFERROR(IF(J$21*J$22*J$23*J25&gt;0,STDEV(J$21, J$22, J$23, J$25)," ")/IF(J$21*J$22*J$23*J25&gt;0,SQRT(COUNT(J$21, J$22, J$23, J$25))," "),"")</f>
        <v/>
      </c>
      <c r="AO117" s="230" t="str">
        <f aca="false">IFERROR(IF(K$21*K$22*K$23*K25&gt;0,STDEV(K$21, K$22, K$23, K$25)," ")/IF(K$21*K$22*K$23*K25&gt;0,SQRT(COUNT(K$21, K$22, K$23, K$25))," "),"")</f>
        <v/>
      </c>
      <c r="AP117" s="230" t="str">
        <f aca="false">IFERROR(IF(L$21*L$22*L$23*L25&gt;0,STDEV(L$21, L$22, L$23, L$25)," ")/IF(L$21*L$22*L$23*L25&gt;0,SQRT(COUNT(L$21, L$22, L$23, L$25))," "),"")</f>
        <v/>
      </c>
      <c r="AQ117" s="230" t="str">
        <f aca="false">IFERROR(IF(M$21*M$22*M$23*M25&gt;0,STDEV(M$21, M$22, M$23, M$25)," ")/IF(M$21*M$22*M$23*M25&gt;0,SQRT(COUNT(M$21, M$22, M$23, M$25))," "),"")</f>
        <v/>
      </c>
      <c r="AR117" s="230" t="str">
        <f aca="false">IFERROR(IF(N$21*N$22*N$23*N25&gt;0,STDEV(N$21, N$22, N$23, N$25)," ")/IF(N$21*N$22*N$23*N25&gt;0,SQRT(COUNT(N$21, N$22, N$23, N$25))," "),"")</f>
        <v/>
      </c>
    </row>
    <row r="118" customFormat="false" ht="15.75" hidden="false" customHeight="false" outlineLevel="0" collapsed="false">
      <c r="A118" s="220" t="s">
        <v>449</v>
      </c>
      <c r="B118" s="221"/>
      <c r="C118" s="261" t="str">
        <f aca="false">IFERROR(IF(C$21*C$22*C$23*C26&gt;0,AVERAGE(C$21, C$22, C$23, C$26),""),"")</f>
        <v/>
      </c>
      <c r="D118" s="261" t="str">
        <f aca="false">IFERROR(IF(D$21*D$22*D$23*D26&gt;0,AVERAGE(D$21, D$22, D$23, D$26),""),"")</f>
        <v/>
      </c>
      <c r="E118" s="261" t="str">
        <f aca="false">IFERROR(IF(E$21*E$22*E$23*E26&gt;0,AVERAGE(E$21, E$22, E$23, E$26),""),"")</f>
        <v/>
      </c>
      <c r="F118" s="261" t="str">
        <f aca="false">IFERROR(IF(F$21*F$22*F$23*F26&gt;0,AVERAGE(F$21, F$22, F$23, F$26),""),"")</f>
        <v/>
      </c>
      <c r="G118" s="261" t="str">
        <f aca="false">IFERROR(IF(G$21*G$22*G$23*G26&gt;0,AVERAGE(G$21, G$22, G$23, G$26),""),"")</f>
        <v/>
      </c>
      <c r="H118" s="261" t="str">
        <f aca="false">IFERROR(IF(H$21*H$22*H$23*H26&gt;0,AVERAGE(H$21, H$22, H$23, H$26),""),"")</f>
        <v/>
      </c>
      <c r="I118" s="261" t="str">
        <f aca="false">IFERROR(IF(I$21*I$22*I$23*I26&gt;0,AVERAGE(I$21, I$22, I$23, I$26),""),"")</f>
        <v/>
      </c>
      <c r="J118" s="261" t="str">
        <f aca="false">IFERROR(IF(J$21*J$22*J$23*J26&gt;0,AVERAGE(J$21, J$22, J$23, J$26),""),"")</f>
        <v/>
      </c>
      <c r="K118" s="261" t="str">
        <f aca="false">IFERROR(IF(K$21*K$22*K$23*K26&gt;0,AVERAGE(K$21, K$22, K$23, K$26),""),"")</f>
        <v/>
      </c>
      <c r="L118" s="261" t="str">
        <f aca="false">IFERROR(IF(L$21*L$22*L$23*L26&gt;0,AVERAGE(L$21, L$22, L$23, L$26),""),"")</f>
        <v/>
      </c>
      <c r="M118" s="261" t="str">
        <f aca="false">IFERROR(IF(M$21*M$22*M$23*M26&gt;0,AVERAGE(M$21, M$22, M$23, M$26),""),"")</f>
        <v/>
      </c>
      <c r="N118" s="261" t="str">
        <f aca="false">IFERROR(IF(N$21*N$22*N$23*N26&gt;0,AVERAGE(N$21, N$22, N$23, N$26),""),"")</f>
        <v/>
      </c>
      <c r="O118" s="224"/>
      <c r="P118" s="224"/>
      <c r="Q118" s="232"/>
      <c r="R118" s="226" t="s">
        <v>450</v>
      </c>
      <c r="S118" s="227" t="str">
        <f aca="false">IFERROR(IF(C$21*C$22*C$23*C26&gt;0,STDEV(C$21, C$22, C$23, C$26),"")/IF(C$21*C$22*C$23*C26&gt;0,AVERAGE(C$21, C$22, C$23, C$26),""),"")</f>
        <v/>
      </c>
      <c r="T118" s="227" t="str">
        <f aca="false">IFERROR(IF(D$21*D$22*D$23*D26&gt;0,STDEV(D$21, D$22, D$23, D$26),"")/IF(D$21*D$22*D$23*D26&gt;0,AVERAGE(D$21, D$22, D$23, D$26),""),"")</f>
        <v/>
      </c>
      <c r="U118" s="227" t="str">
        <f aca="false">IFERROR(IF(E$21*E$22*E$23*E26&gt;0,STDEV(E$21, E$22, E$23, E$26),"")/IF(E$21*E$22*E$23*E26&gt;0,AVERAGE(E$21, E$22, E$23, E$26),""),"")</f>
        <v/>
      </c>
      <c r="V118" s="227" t="str">
        <f aca="false">IFERROR(IF(F$21*F$22*F$23*F26&gt;0,STDEV(F$21, F$22, F$23, F$26),"")/IF(F$21*F$22*F$23*F26&gt;0,AVERAGE(F$21, F$22, F$23, F$26),""),"")</f>
        <v/>
      </c>
      <c r="W118" s="227" t="str">
        <f aca="false">IFERROR(IF(G$21*G$22*G$23*G26&gt;0,STDEV(G$21, G$22, G$23, G$26),"")/IF(G$21*G$22*G$23*G26&gt;0,AVERAGE(G$21, G$22, G$23, G$26),""),"")</f>
        <v/>
      </c>
      <c r="X118" s="227" t="str">
        <f aca="false">IFERROR(IF(H$21*H$22*H$23*H26&gt;0,STDEV(H$21, H$22, H$23, H$26),"")/IF(H$21*H$22*H$23*H26&gt;0,AVERAGE(H$21, H$22, H$23, H$26),""),"")</f>
        <v/>
      </c>
      <c r="Y118" s="227" t="str">
        <f aca="false">IFERROR(IF(I$21*I$22*I$23*I26&gt;0,STDEV(I$21, I$22, I$23, I$26),"")/IF(I$21*I$22*I$23*I26&gt;0,AVERAGE(I$21, I$22, I$23, I$26),""),"")</f>
        <v/>
      </c>
      <c r="Z118" s="227" t="str">
        <f aca="false">IFERROR(IF(J$21*J$22*J$23*J26&gt;0,STDEV(J$21, J$22, J$23, J$26),"")/IF(J$21*J$22*J$23*J26&gt;0,AVERAGE(J$21, J$22, J$23, J$26),""),"")</f>
        <v/>
      </c>
      <c r="AA118" s="227" t="str">
        <f aca="false">IFERROR(IF(K$21*K$22*K$23*K26&gt;0,STDEV(K$21, K$22, K$23, K$26),"")/IF(K$21*K$22*K$23*K26&gt;0,AVERAGE(K$21, K$22, K$23, K$26),""),"")</f>
        <v/>
      </c>
      <c r="AB118" s="227" t="str">
        <f aca="false">IFERROR(IF(L$21*L$22*L$23*L26&gt;0,STDEV(L$21, L$22, L$23, L$26),"")/IF(L$21*L$22*L$23*L26&gt;0,AVERAGE(L$21, L$22, L$23, L$26),""),"")</f>
        <v/>
      </c>
      <c r="AC118" s="227" t="str">
        <f aca="false">IFERROR(IF(M$21*M$22*M$23*M26&gt;0,STDEV(M$21, M$22, M$23, M$26),"")/IF(M$21*M$22*M$23*M26&gt;0,AVERAGE(M$21, M$22, M$23, M$26),""),"")</f>
        <v/>
      </c>
      <c r="AD118" s="227" t="str">
        <f aca="false">IFERROR(IF(N$21*N$22*N$23*N26&gt;0,STDEV(N$21, N$22, N$23, N$26),"")/IF(N$21*N$22*N$23*N26&gt;0,AVERAGE(N$21, N$22, N$23, N$26),""),"")</f>
        <v/>
      </c>
      <c r="AE118" s="233"/>
      <c r="AF118" s="229" t="s">
        <v>451</v>
      </c>
      <c r="AG118" s="230" t="str">
        <f aca="false">IFERROR(IF(C$21*C$22*C$23*C26&gt;0,STDEV(C$21, C$22, C$23, C$26)," ")/IF(C$21*C$22*C$23*C26&gt;0,SQRT(COUNT(C$21, C$22, C$23, C$26))," "),"")</f>
        <v/>
      </c>
      <c r="AH118" s="230" t="str">
        <f aca="false">IFERROR(IF(D$21*D$22*D$23*D26&gt;0,STDEV(D$21, D$22, D$23, D$26)," ")/IF(D$21*D$22*D$23*D26&gt;0,SQRT(COUNT(D$21, D$22, D$23, D$26))," "),"")</f>
        <v/>
      </c>
      <c r="AI118" s="230" t="str">
        <f aca="false">IFERROR(IF(E$21*E$22*E$23*E26&gt;0,STDEV(E$21, E$22, E$23, E$26)," ")/IF(E$21*E$22*E$23*E26&gt;0,SQRT(COUNT(E$21, E$22, E$23, E$26))," "),"")</f>
        <v/>
      </c>
      <c r="AJ118" s="230" t="str">
        <f aca="false">IFERROR(IF(F$21*F$22*F$23*F26&gt;0,STDEV(F$21, F$22, F$23, F$26)," ")/IF(F$21*F$22*F$23*F26&gt;0,SQRT(COUNT(F$21, F$22, F$23, F$26))," "),"")</f>
        <v/>
      </c>
      <c r="AK118" s="230" t="str">
        <f aca="false">IFERROR(IF(G$21*G$22*G$23*G26&gt;0,STDEV(G$21, G$22, G$23, G$26)," ")/IF(G$21*G$22*G$23*G26&gt;0,SQRT(COUNT(G$21, G$22, G$23, G$26))," "),"")</f>
        <v/>
      </c>
      <c r="AL118" s="230" t="str">
        <f aca="false">IFERROR(IF(H$21*H$22*H$23*H26&gt;0,STDEV(H$21, H$22, H$23, H$26)," ")/IF(H$21*H$22*H$23*H26&gt;0,SQRT(COUNT(H$21, H$22, H$23, H$26))," "),"")</f>
        <v/>
      </c>
      <c r="AM118" s="230" t="str">
        <f aca="false">IFERROR(IF(I$21*I$22*I$23*I26&gt;0,STDEV(I$21, I$22, I$23, I$26)," ")/IF(I$21*I$22*I$23*I26&gt;0,SQRT(COUNT(I$21, I$22, I$23, I$26))," "),"")</f>
        <v/>
      </c>
      <c r="AN118" s="230" t="str">
        <f aca="false">IFERROR(IF(J$21*J$22*J$23*J26&gt;0,STDEV(J$21, J$22, J$23, J$26)," ")/IF(J$21*J$22*J$23*J26&gt;0,SQRT(COUNT(J$21, J$22, J$23, J$26))," "),"")</f>
        <v/>
      </c>
      <c r="AO118" s="230" t="str">
        <f aca="false">IFERROR(IF(K$21*K$22*K$23*K26&gt;0,STDEV(K$21, K$22, K$23, K$26)," ")/IF(K$21*K$22*K$23*K26&gt;0,SQRT(COUNT(K$21, K$22, K$23, K$26))," "),"")</f>
        <v/>
      </c>
      <c r="AP118" s="230" t="str">
        <f aca="false">IFERROR(IF(L$21*L$22*L$23*L26&gt;0,STDEV(L$21, L$22, L$23, L$26)," ")/IF(L$21*L$22*L$23*L26&gt;0,SQRT(COUNT(L$21, L$22, L$23, L$26))," "),"")</f>
        <v/>
      </c>
      <c r="AQ118" s="230" t="str">
        <f aca="false">IFERROR(IF(M$21*M$22*M$23*M26&gt;0,STDEV(M$21, M$22, M$23, M$26)," ")/IF(M$21*M$22*M$23*M26&gt;0,SQRT(COUNT(M$21, M$22, M$23, M$26))," "),"")</f>
        <v/>
      </c>
      <c r="AR118" s="230" t="str">
        <f aca="false">IFERROR(IF(N$21*N$22*N$23*N26&gt;0,STDEV(N$21, N$22, N$23, N$26)," ")/IF(N$21*N$22*N$23*N26&gt;0,SQRT(COUNT(N$21, N$22, N$23, N$26))," "),"")</f>
        <v/>
      </c>
    </row>
    <row r="119" customFormat="false" ht="15.75" hidden="false" customHeight="false" outlineLevel="0" collapsed="false">
      <c r="A119" s="220" t="s">
        <v>503</v>
      </c>
      <c r="B119" s="221"/>
      <c r="C119" s="261" t="str">
        <f aca="false">IFERROR(IF(C$21*C$22*C$24*C26&gt;0,AVERAGE(C$21, C$22, C$24, C$26),""),"")</f>
        <v/>
      </c>
      <c r="D119" s="261" t="str">
        <f aca="false">IFERROR(IF(D$21*D$22*D$24*D26&gt;0,AVERAGE(D$21, D$22, D$24, D$26),""),"")</f>
        <v/>
      </c>
      <c r="E119" s="261" t="str">
        <f aca="false">IFERROR(IF(E$21*E$22*E$24*E26&gt;0,AVERAGE(E$21, E$22, E$24, E$26),""),"")</f>
        <v/>
      </c>
      <c r="F119" s="261" t="str">
        <f aca="false">IFERROR(IF(F$21*F$22*F$24*F26&gt;0,AVERAGE(F$21, F$22, F$24, F$26),""),"")</f>
        <v/>
      </c>
      <c r="G119" s="261" t="str">
        <f aca="false">IFERROR(IF(G$21*G$22*G$24*G26&gt;0,AVERAGE(G$21, G$22, G$24, G$26),""),"")</f>
        <v/>
      </c>
      <c r="H119" s="261" t="str">
        <f aca="false">IFERROR(IF(H$21*H$22*H$24*H26&gt;0,AVERAGE(H$21, H$22, H$24, H$26),""),"")</f>
        <v/>
      </c>
      <c r="I119" s="261" t="str">
        <f aca="false">IFERROR(IF(I$21*I$22*I$24*I26&gt;0,AVERAGE(I$21, I$22, I$24, I$26),""),"")</f>
        <v/>
      </c>
      <c r="J119" s="261" t="str">
        <f aca="false">IFERROR(IF(J$21*J$22*J$24*J26&gt;0,AVERAGE(J$21, J$22, J$24, J$26),""),"")</f>
        <v/>
      </c>
      <c r="K119" s="261" t="str">
        <f aca="false">IFERROR(IF(K$21*K$22*K$24*K26&gt;0,AVERAGE(K$21, K$22, K$24, K$26),""),"")</f>
        <v/>
      </c>
      <c r="L119" s="261" t="str">
        <f aca="false">IFERROR(IF(L$21*L$22*L$24*L26&gt;0,AVERAGE(L$21, L$22, L$24, L$26),""),"")</f>
        <v/>
      </c>
      <c r="M119" s="261" t="str">
        <f aca="false">IFERROR(IF(M$21*M$22*M$24*M26&gt;0,AVERAGE(M$21, M$22, M$24, M$26),""),"")</f>
        <v/>
      </c>
      <c r="N119" s="261" t="str">
        <f aca="false">IFERROR(IF(N$21*N$22*N$24*N26&gt;0,AVERAGE(N$21, N$22, N$24, N$26),""),"")</f>
        <v/>
      </c>
      <c r="O119" s="224"/>
      <c r="P119" s="224"/>
      <c r="Q119" s="232"/>
      <c r="R119" s="226" t="s">
        <v>504</v>
      </c>
      <c r="S119" s="227" t="str">
        <f aca="false">IFERROR(IF(C$21*C$22*C$24*C26&gt;0,STDEV(C$21, C$22, C$24, C$26),"")/IF(C$21*C$22*C$24*C26&gt;0,AVERAGE(C$21, C$22, C$24, C$26),""),"")</f>
        <v/>
      </c>
      <c r="T119" s="227" t="str">
        <f aca="false">IFERROR(IF(D$21*D$22*D$24*D26&gt;0,STDEV(D$21, D$22, D$24, D$26),"")/IF(D$21*D$22*D$24*D26&gt;0,AVERAGE(D$21, D$22, D$24, D$26),""),"")</f>
        <v/>
      </c>
      <c r="U119" s="227" t="str">
        <f aca="false">IFERROR(IF(E$21*E$22*E$24*E26&gt;0,STDEV(E$21, E$22, E$24, E$26),"")/IF(E$21*E$22*E$24*E26&gt;0,AVERAGE(E$21, E$22, E$24, E$26),""),"")</f>
        <v/>
      </c>
      <c r="V119" s="227" t="str">
        <f aca="false">IFERROR(IF(F$21*F$22*F$24*F26&gt;0,STDEV(F$21, F$22, F$24, F$26),"")/IF(F$21*F$22*F$24*F26&gt;0,AVERAGE(F$21, F$22, F$24, F$26),""),"")</f>
        <v/>
      </c>
      <c r="W119" s="227" t="str">
        <f aca="false">IFERROR(IF(G$21*G$22*G$24*G26&gt;0,STDEV(G$21, G$22, G$24, G$26),"")/IF(G$21*G$22*G$24*G26&gt;0,AVERAGE(G$21, G$22, G$24, G$26),""),"")</f>
        <v/>
      </c>
      <c r="X119" s="227" t="str">
        <f aca="false">IFERROR(IF(H$21*H$22*H$24*H26&gt;0,STDEV(H$21, H$22, H$24, H$26),"")/IF(H$21*H$22*H$24*H26&gt;0,AVERAGE(H$21, H$22, H$24, H$26),""),"")</f>
        <v/>
      </c>
      <c r="Y119" s="227" t="str">
        <f aca="false">IFERROR(IF(I$21*I$22*I$24*I26&gt;0,STDEV(I$21, I$22, I$24, I$26),"")/IF(I$21*I$22*I$24*I26&gt;0,AVERAGE(I$21, I$22, I$24, I$26),""),"")</f>
        <v/>
      </c>
      <c r="Z119" s="227" t="str">
        <f aca="false">IFERROR(IF(J$21*J$22*J$24*J26&gt;0,STDEV(J$21, J$22, J$24, J$26),"")/IF(J$21*J$22*J$24*J26&gt;0,AVERAGE(J$21, J$22, J$24, J$26),""),"")</f>
        <v/>
      </c>
      <c r="AA119" s="227" t="str">
        <f aca="false">IFERROR(IF(K$21*K$22*K$24*K26&gt;0,STDEV(K$21, K$22, K$24, K$26),"")/IF(K$21*K$22*K$24*K26&gt;0,AVERAGE(K$21, K$22, K$24, K$26),""),"")</f>
        <v/>
      </c>
      <c r="AB119" s="227" t="str">
        <f aca="false">IFERROR(IF(L$21*L$22*L$24*L26&gt;0,STDEV(L$21, L$22, L$24, L$26),"")/IF(L$21*L$22*L$24*L26&gt;0,AVERAGE(L$21, L$22, L$24, L$26),""),"")</f>
        <v/>
      </c>
      <c r="AC119" s="227" t="str">
        <f aca="false">IFERROR(IF(M$21*M$22*M$24*M26&gt;0,STDEV(M$21, M$22, M$24, M$26),"")/IF(M$21*M$22*M$24*M26&gt;0,AVERAGE(M$21, M$22, M$24, M$26),""),"")</f>
        <v/>
      </c>
      <c r="AD119" s="227" t="str">
        <f aca="false">IFERROR(IF(N$21*N$22*N$24*N26&gt;0,STDEV(N$21, N$22, N$24, N$26),"")/IF(N$21*N$22*N$24*N26&gt;0,AVERAGE(N$21, N$22, N$24, N$26),""),"")</f>
        <v/>
      </c>
      <c r="AE119" s="233"/>
      <c r="AF119" s="229" t="s">
        <v>505</v>
      </c>
      <c r="AG119" s="230" t="str">
        <f aca="false">IFERROR(IF(C$21*C$22*C$24*C26&gt;0,STDEV(C$21, C$22, C$24, C$26)," ")/IF(C$21*C$22*C$24*C26&gt;0,SQRT(COUNT(C$21, C$22, C$24, C$26))," "),"")</f>
        <v/>
      </c>
      <c r="AH119" s="230" t="str">
        <f aca="false">IFERROR(IF(D$21*D$22*D$24*D26&gt;0,STDEV(D$21, D$22, D$24, D$26)," ")/IF(D$21*D$22*D$24*D26&gt;0,SQRT(COUNT(D$21, D$22, D$24, D$26))," "),"")</f>
        <v/>
      </c>
      <c r="AI119" s="230" t="str">
        <f aca="false">IFERROR(IF(E$21*E$22*E$24*E26&gt;0,STDEV(E$21, E$22, E$24, E$26)," ")/IF(E$21*E$22*E$24*E26&gt;0,SQRT(COUNT(E$21, E$22, E$24, E$26))," "),"")</f>
        <v/>
      </c>
      <c r="AJ119" s="230" t="str">
        <f aca="false">IFERROR(IF(F$21*F$22*F$24*F26&gt;0,STDEV(F$21, F$22, F$24, F$26)," ")/IF(F$21*F$22*F$24*F26&gt;0,SQRT(COUNT(F$21, F$22, F$24, F$26))," "),"")</f>
        <v/>
      </c>
      <c r="AK119" s="230" t="str">
        <f aca="false">IFERROR(IF(G$21*G$22*G$24*G26&gt;0,STDEV(G$21, G$22, G$24, G$26)," ")/IF(G$21*G$22*G$24*G26&gt;0,SQRT(COUNT(G$21, G$22, G$24, G$26))," "),"")</f>
        <v/>
      </c>
      <c r="AL119" s="230" t="str">
        <f aca="false">IFERROR(IF(H$21*H$22*H$24*H26&gt;0,STDEV(H$21, H$22, H$24, H$26)," ")/IF(H$21*H$22*H$24*H26&gt;0,SQRT(COUNT(H$21, H$22, H$24, H$26))," "),"")</f>
        <v/>
      </c>
      <c r="AM119" s="230" t="str">
        <f aca="false">IFERROR(IF(I$21*I$22*I$24*I26&gt;0,STDEV(I$21, I$22, I$24, I$26)," ")/IF(I$21*I$22*I$24*I26&gt;0,SQRT(COUNT(I$21, I$22, I$24, I$26))," "),"")</f>
        <v/>
      </c>
      <c r="AN119" s="230" t="str">
        <f aca="false">IFERROR(IF(J$21*J$22*J$24*J26&gt;0,STDEV(J$21, J$22, J$24, J$26)," ")/IF(J$21*J$22*J$24*J26&gt;0,SQRT(COUNT(J$21, J$22, J$24, J$26))," "),"")</f>
        <v/>
      </c>
      <c r="AO119" s="230" t="str">
        <f aca="false">IFERROR(IF(K$21*K$22*K$24*K26&gt;0,STDEV(K$21, K$22, K$24, K$26)," ")/IF(K$21*K$22*K$24*K26&gt;0,SQRT(COUNT(K$21, K$22, K$24, K$26))," "),"")</f>
        <v/>
      </c>
      <c r="AP119" s="230" t="str">
        <f aca="false">IFERROR(IF(L$21*L$22*L$24*L26&gt;0,STDEV(L$21, L$22, L$24, L$26)," ")/IF(L$21*L$22*L$24*L26&gt;0,SQRT(COUNT(L$21, L$22, L$24, L$26))," "),"")</f>
        <v/>
      </c>
      <c r="AQ119" s="230" t="str">
        <f aca="false">IFERROR(IF(M$21*M$22*M$24*M26&gt;0,STDEV(M$21, M$22, M$24, M$26)," ")/IF(M$21*M$22*M$24*M26&gt;0,SQRT(COUNT(M$21, M$22, M$24, M$26))," "),"")</f>
        <v/>
      </c>
      <c r="AR119" s="230" t="str">
        <f aca="false">IFERROR(IF(N$21*N$22*N$24*N26&gt;0,STDEV(N$21, N$22, N$24, N$26)," ")/IF(N$21*N$22*N$24*N26&gt;0,SQRT(COUNT(N$21, N$22, N$24, N$26))," "),"")</f>
        <v/>
      </c>
    </row>
    <row r="120" customFormat="false" ht="15.75" hidden="false" customHeight="false" outlineLevel="0" collapsed="false">
      <c r="A120" s="220" t="s">
        <v>506</v>
      </c>
      <c r="B120" s="221"/>
      <c r="C120" s="261" t="str">
        <f aca="false">IFERROR(IF(C$21*C$22*C$24*C$27&gt;0,AVERAGE(C$21, C$22, C$24, C$27),""),"")</f>
        <v/>
      </c>
      <c r="D120" s="261" t="str">
        <f aca="false">IFERROR(IF(D$21*D$22*D$24*D$27&gt;0,AVERAGE(D$21, D$22, D$24, D$27),""),"")</f>
        <v/>
      </c>
      <c r="E120" s="261" t="str">
        <f aca="false">IFERROR(IF(E$21*E$22*E$24*E$27&gt;0,AVERAGE(E$21, E$22, E$24, E$27),""),"")</f>
        <v/>
      </c>
      <c r="F120" s="261" t="str">
        <f aca="false">IFERROR(IF(F$21*F$22*F$24*F$27&gt;0,AVERAGE(F$21, F$22, F$24, F$27),""),"")</f>
        <v/>
      </c>
      <c r="G120" s="261" t="str">
        <f aca="false">IFERROR(IF(G$21*G$22*G$24*G$27&gt;0,AVERAGE(G$21, G$22, G$24, G$27),""),"")</f>
        <v/>
      </c>
      <c r="H120" s="261" t="str">
        <f aca="false">IFERROR(IF(H$21*H$22*H$24*H$27&gt;0,AVERAGE(H$21, H$22, H$24, H$27),""),"")</f>
        <v/>
      </c>
      <c r="I120" s="261" t="str">
        <f aca="false">IFERROR(IF(I$21*I$22*I$24*I$27&gt;0,AVERAGE(I$21, I$22, I$24, I$27),""),"")</f>
        <v/>
      </c>
      <c r="J120" s="261" t="str">
        <f aca="false">IFERROR(IF(J$21*J$22*J$24*J$27&gt;0,AVERAGE(J$21, J$22, J$24, J$27),""),"")</f>
        <v/>
      </c>
      <c r="K120" s="261" t="str">
        <f aca="false">IFERROR(IF(K$21*K$22*K$24*K$27&gt;0,AVERAGE(K$21, K$22, K$24, K$27),""),"")</f>
        <v/>
      </c>
      <c r="L120" s="261" t="str">
        <f aca="false">IFERROR(IF(L$21*L$22*L$24*L$27&gt;0,AVERAGE(L$21, L$22, L$24, L$27),""),"")</f>
        <v/>
      </c>
      <c r="M120" s="261" t="str">
        <f aca="false">IFERROR(IF(M$21*M$22*M$24*M$27&gt;0,AVERAGE(M$21, M$22, M$24, M$27),""),"")</f>
        <v/>
      </c>
      <c r="N120" s="261" t="str">
        <f aca="false">IFERROR(IF(N$21*N$22*N$24*N$27&gt;0,AVERAGE(N$21, N$22, N$24, N$27),""),"")</f>
        <v/>
      </c>
      <c r="O120" s="224"/>
      <c r="P120" s="224"/>
      <c r="Q120" s="232"/>
      <c r="R120" s="226" t="s">
        <v>507</v>
      </c>
      <c r="S120" s="227" t="str">
        <f aca="false">IFERROR(IF(C$21*C$22*C$24*C$27&gt;0,STDEV(C$21, C$22, C$24, C$27),"")/IF(C$21*C$22*C$24*C$27&gt;0,AVERAGE(C$21, C$22, C$24, C$27),""),"")</f>
        <v/>
      </c>
      <c r="T120" s="227" t="str">
        <f aca="false">IFERROR(IF(D$21*D$22*D$24*D$27&gt;0,STDEV(D$21, D$22, D$24, D$27),"")/IF(D$21*D$22*D$24*D$27&gt;0,AVERAGE(D$21, D$22, D$24, D$27),""),"")</f>
        <v/>
      </c>
      <c r="U120" s="227" t="str">
        <f aca="false">IFERROR(IF(E$21*E$22*E$24*E$27&gt;0,STDEV(E$21, E$22, E$24, E$27),"")/IF(E$21*E$22*E$24*E$27&gt;0,AVERAGE(E$21, E$22, E$24, E$27),""),"")</f>
        <v/>
      </c>
      <c r="V120" s="227" t="str">
        <f aca="false">IFERROR(IF(F$21*F$22*F$24*F$27&gt;0,STDEV(F$21, F$22, F$24, F$27),"")/IF(F$21*F$22*F$24*F$27&gt;0,AVERAGE(F$21, F$22, F$24, F$27),""),"")</f>
        <v/>
      </c>
      <c r="W120" s="227" t="str">
        <f aca="false">IFERROR(IF(G$21*G$22*G$24*G$27&gt;0,STDEV(G$21, G$22, G$24, G$27),"")/IF(G$21*G$22*G$24*G$27&gt;0,AVERAGE(G$21, G$22, G$24, G$27),""),"")</f>
        <v/>
      </c>
      <c r="X120" s="227" t="str">
        <f aca="false">IFERROR(IF(H$21*H$22*H$24*H$27&gt;0,STDEV(H$21, H$22, H$24, H$27),"")/IF(H$21*H$22*H$24*H$27&gt;0,AVERAGE(H$21, H$22, H$24, H$27),""),"")</f>
        <v/>
      </c>
      <c r="Y120" s="227" t="str">
        <f aca="false">IFERROR(IF(I$21*I$22*I$24*I$27&gt;0,STDEV(I$21, I$22, I$24, I$27),"")/IF(I$21*I$22*I$24*I$27&gt;0,AVERAGE(I$21, I$22, I$24, I$27),""),"")</f>
        <v/>
      </c>
      <c r="Z120" s="227" t="str">
        <f aca="false">IFERROR(IF(J$21*J$22*J$24*J$27&gt;0,STDEV(J$21, J$22, J$24, J$27),"")/IF(J$21*J$22*J$24*J$27&gt;0,AVERAGE(J$21, J$22, J$24, J$27),""),"")</f>
        <v/>
      </c>
      <c r="AA120" s="227" t="str">
        <f aca="false">IFERROR(IF(K$21*K$22*K$24*K$27&gt;0,STDEV(K$21, K$22, K$24, K$27),"")/IF(K$21*K$22*K$24*K$27&gt;0,AVERAGE(K$21, K$22, K$24, K$27),""),"")</f>
        <v/>
      </c>
      <c r="AB120" s="227" t="str">
        <f aca="false">IFERROR(IF(L$21*L$22*L$24*L$27&gt;0,STDEV(L$21, L$22, L$24, L$27),"")/IF(L$21*L$22*L$24*L$27&gt;0,AVERAGE(L$21, L$22, L$24, L$27),""),"")</f>
        <v/>
      </c>
      <c r="AC120" s="227" t="str">
        <f aca="false">IFERROR(IF(M$21*M$22*M$24*M$27&gt;0,STDEV(M$21, M$22, M$24, M$27),"")/IF(M$21*M$22*M$24*M$27&gt;0,AVERAGE(M$21, M$22, M$24, M$27),""),"")</f>
        <v/>
      </c>
      <c r="AD120" s="227" t="str">
        <f aca="false">IFERROR(IF(N$21*N$22*N$24*N$27&gt;0,STDEV(N$21, N$22, N$24, N$27),"")/IF(N$21*N$22*N$24*N$27&gt;0,AVERAGE(N$21, N$22, N$24, N$27),""),"")</f>
        <v/>
      </c>
      <c r="AE120" s="233"/>
      <c r="AF120" s="229" t="s">
        <v>508</v>
      </c>
      <c r="AG120" s="230" t="str">
        <f aca="false">IFERROR(IF(C$21*C$22*C$24*C$27&gt;0,STDEV(C$21, C$22, C$24, C$27)," ")/IF(C$21*C$22*C$24*C$27&gt;0,SQRT(COUNT(C$21, C$22, C$24, C$27))," "),"")</f>
        <v/>
      </c>
      <c r="AH120" s="230" t="str">
        <f aca="false">IFERROR(IF(D$21*D$22*D$24*D$27&gt;0,STDEV(D$21, D$22, D$24, D$27)," ")/IF(D$21*D$22*D$24*D$27&gt;0,SQRT(COUNT(D$21, D$22, D$24, D$27))," "),"")</f>
        <v/>
      </c>
      <c r="AI120" s="230" t="str">
        <f aca="false">IFERROR(IF(E$21*E$22*E$24*E$27&gt;0,STDEV(E$21, E$22, E$24, E$27)," ")/IF(E$21*E$22*E$24*E$27&gt;0,SQRT(COUNT(E$21, E$22, E$24, E$27))," "),"")</f>
        <v/>
      </c>
      <c r="AJ120" s="230" t="str">
        <f aca="false">IFERROR(IF(F$21*F$22*F$24*F$27&gt;0,STDEV(F$21, F$22, F$24, F$27)," ")/IF(F$21*F$22*F$24*F$27&gt;0,SQRT(COUNT(F$21, F$22, F$24, F$27))," "),"")</f>
        <v/>
      </c>
      <c r="AK120" s="230" t="str">
        <f aca="false">IFERROR(IF(G$21*G$22*G$24*G$27&gt;0,STDEV(G$21, G$22, G$24, G$27)," ")/IF(G$21*G$22*G$24*G$27&gt;0,SQRT(COUNT(G$21, G$22, G$24, G$27))," "),"")</f>
        <v/>
      </c>
      <c r="AL120" s="230" t="str">
        <f aca="false">IFERROR(IF(H$21*H$22*H$24*H$27&gt;0,STDEV(H$21, H$22, H$24, H$27)," ")/IF(H$21*H$22*H$24*H$27&gt;0,SQRT(COUNT(H$21, H$22, H$24, H$27))," "),"")</f>
        <v/>
      </c>
      <c r="AM120" s="230" t="str">
        <f aca="false">IFERROR(IF(I$21*I$22*I$24*I$27&gt;0,STDEV(I$21, I$22, I$24, I$27)," ")/IF(I$21*I$22*I$24*I$27&gt;0,SQRT(COUNT(I$21, I$22, I$24, I$27))," "),"")</f>
        <v/>
      </c>
      <c r="AN120" s="230" t="str">
        <f aca="false">IFERROR(IF(J$21*J$22*J$24*J$27&gt;0,STDEV(J$21, J$22, J$24, J$27)," ")/IF(J$21*J$22*J$24*J$27&gt;0,SQRT(COUNT(J$21, J$22, J$24, J$27))," "),"")</f>
        <v/>
      </c>
      <c r="AO120" s="230" t="str">
        <f aca="false">IFERROR(IF(K$21*K$22*K$24*K$27&gt;0,STDEV(K$21, K$22, K$24, K$27)," ")/IF(K$21*K$22*K$24*K$27&gt;0,SQRT(COUNT(K$21, K$22, K$24, K$27))," "),"")</f>
        <v/>
      </c>
      <c r="AP120" s="230" t="str">
        <f aca="false">IFERROR(IF(L$21*L$22*L$24*L$27&gt;0,STDEV(L$21, L$22, L$24, L$27)," ")/IF(L$21*L$22*L$24*L$27&gt;0,SQRT(COUNT(L$21, L$22, L$24, L$27))," "),"")</f>
        <v/>
      </c>
      <c r="AQ120" s="230" t="str">
        <f aca="false">IFERROR(IF(M$21*M$22*M$24*M$27&gt;0,STDEV(M$21, M$22, M$24, M$27)," ")/IF(M$21*M$22*M$24*M$27&gt;0,SQRT(COUNT(M$21, M$22, M$24, M$27))," "),"")</f>
        <v/>
      </c>
      <c r="AR120" s="230" t="str">
        <f aca="false">IFERROR(IF(N$21*N$22*N$24*N$27&gt;0,STDEV(N$21, N$22, N$24, N$27)," ")/IF(N$21*N$22*N$24*N$27&gt;0,SQRT(COUNT(N$21, N$22, N$24, N$27))," "),"")</f>
        <v/>
      </c>
    </row>
    <row r="121" customFormat="false" ht="15.75" hidden="false" customHeight="false" outlineLevel="0" collapsed="false">
      <c r="A121" s="220" t="s">
        <v>452</v>
      </c>
      <c r="B121" s="221"/>
      <c r="C121" s="261" t="str">
        <f aca="false">IFERROR(IF(C$21*C$22*C$23*C27&gt;0,AVERAGE(C$21, C$22, C$23, C$27),""),"")</f>
        <v/>
      </c>
      <c r="D121" s="261" t="str">
        <f aca="false">IFERROR(IF(D$21*D$22*D$23*D27&gt;0,AVERAGE(D$21, D$22, D$23, D$27),""),"")</f>
        <v/>
      </c>
      <c r="E121" s="261" t="str">
        <f aca="false">IFERROR(IF(E$21*E$22*E$23*E27&gt;0,AVERAGE(E$21, E$22, E$23, E$27),""),"")</f>
        <v/>
      </c>
      <c r="F121" s="261" t="str">
        <f aca="false">IFERROR(IF(F$21*F$22*F$23*F27&gt;0,AVERAGE(F$21, F$22, F$23, F$27),""),"")</f>
        <v/>
      </c>
      <c r="G121" s="261" t="str">
        <f aca="false">IFERROR(IF(G$21*G$22*G$23*G27&gt;0,AVERAGE(G$21, G$22, G$23, G$27),""),"")</f>
        <v/>
      </c>
      <c r="H121" s="261" t="str">
        <f aca="false">IFERROR(IF(H$21*H$22*H$23*H27&gt;0,AVERAGE(H$21, H$22, H$23, H$27),""),"")</f>
        <v/>
      </c>
      <c r="I121" s="261" t="str">
        <f aca="false">IFERROR(IF(I$21*I$22*I$23*I27&gt;0,AVERAGE(I$21, I$22, I$23, I$27),""),"")</f>
        <v/>
      </c>
      <c r="J121" s="261" t="str">
        <f aca="false">IFERROR(IF(J$21*J$22*J$23*J27&gt;0,AVERAGE(J$21, J$22, J$23, J$27),""),"")</f>
        <v/>
      </c>
      <c r="K121" s="261" t="str">
        <f aca="false">IFERROR(IF(K$21*K$22*K$23*K27&gt;0,AVERAGE(K$21, K$22, K$23, K$27),""),"")</f>
        <v/>
      </c>
      <c r="L121" s="261" t="str">
        <f aca="false">IFERROR(IF(L$21*L$22*L$23*L27&gt;0,AVERAGE(L$21, L$22, L$23, L$27),""),"")</f>
        <v/>
      </c>
      <c r="M121" s="261" t="str">
        <f aca="false">IFERROR(IF(M$21*M$22*M$23*M27&gt;0,AVERAGE(M$21, M$22, M$23, M$27),""),"")</f>
        <v/>
      </c>
      <c r="N121" s="261" t="str">
        <f aca="false">IFERROR(IF(N$21*N$22*N$23*N27&gt;0,AVERAGE(N$21, N$22, N$23, N$27),""),"")</f>
        <v/>
      </c>
      <c r="O121" s="224"/>
      <c r="P121" s="224"/>
      <c r="Q121" s="232"/>
      <c r="R121" s="226" t="s">
        <v>453</v>
      </c>
      <c r="S121" s="227" t="str">
        <f aca="false">IFERROR(IF(C$21*C$22*C$23*C27&gt;0,STDEV(C$21, C$22, C$23, C$27),"")/IF(C$21*C$22*C$23*C27&gt;0,AVERAGE(C$21, C$22, C$23, C$27),""),"")</f>
        <v/>
      </c>
      <c r="T121" s="227" t="str">
        <f aca="false">IFERROR(IF(D$21*D$22*D$23*D27&gt;0,STDEV(D$21, D$22, D$23, D$27),"")/IF(D$21*D$22*D$23*D27&gt;0,AVERAGE(D$21, D$22, D$23, D$27),""),"")</f>
        <v/>
      </c>
      <c r="U121" s="227" t="str">
        <f aca="false">IFERROR(IF(E$21*E$22*E$23*E27&gt;0,STDEV(E$21, E$22, E$23, E$27),"")/IF(E$21*E$22*E$23*E27&gt;0,AVERAGE(E$21, E$22, E$23, E$27),""),"")</f>
        <v/>
      </c>
      <c r="V121" s="227" t="str">
        <f aca="false">IFERROR(IF(F$21*F$22*F$23*F27&gt;0,STDEV(F$21, F$22, F$23, F$27),"")/IF(F$21*F$22*F$23*F27&gt;0,AVERAGE(F$21, F$22, F$23, F$27),""),"")</f>
        <v/>
      </c>
      <c r="W121" s="227" t="str">
        <f aca="false">IFERROR(IF(G$21*G$22*G$23*G27&gt;0,STDEV(G$21, G$22, G$23, G$27),"")/IF(G$21*G$22*G$23*G27&gt;0,AVERAGE(G$21, G$22, G$23, G$27),""),"")</f>
        <v/>
      </c>
      <c r="X121" s="227" t="str">
        <f aca="false">IFERROR(IF(H$21*H$22*H$23*H27&gt;0,STDEV(H$21, H$22, H$23, H$27),"")/IF(H$21*H$22*H$23*H27&gt;0,AVERAGE(H$21, H$22, H$23, H$27),""),"")</f>
        <v/>
      </c>
      <c r="Y121" s="227" t="str">
        <f aca="false">IFERROR(IF(I$21*I$22*I$23*I27&gt;0,STDEV(I$21, I$22, I$23, I$27),"")/IF(I$21*I$22*I$23*I27&gt;0,AVERAGE(I$21, I$22, I$23, I$27),""),"")</f>
        <v/>
      </c>
      <c r="Z121" s="227" t="str">
        <f aca="false">IFERROR(IF(J$21*J$22*J$23*J27&gt;0,STDEV(J$21, J$22, J$23, J$27),"")/IF(J$21*J$22*J$23*J27&gt;0,AVERAGE(J$21, J$22, J$23, J$27),""),"")</f>
        <v/>
      </c>
      <c r="AA121" s="227" t="str">
        <f aca="false">IFERROR(IF(K$21*K$22*K$23*K27&gt;0,STDEV(K$21, K$22, K$23, K$27),"")/IF(K$21*K$22*K$23*K27&gt;0,AVERAGE(K$21, K$22, K$23, K$27),""),"")</f>
        <v/>
      </c>
      <c r="AB121" s="227" t="str">
        <f aca="false">IFERROR(IF(L$21*L$22*L$23*L27&gt;0,STDEV(L$21, L$22, L$23, L$27),"")/IF(L$21*L$22*L$23*L27&gt;0,AVERAGE(L$21, L$22, L$23, L$27),""),"")</f>
        <v/>
      </c>
      <c r="AC121" s="227" t="str">
        <f aca="false">IFERROR(IF(M$21*M$22*M$23*M27&gt;0,STDEV(M$21, M$22, M$23, M$27),"")/IF(M$21*M$22*M$23*M27&gt;0,AVERAGE(M$21, M$22, M$23, M$27),""),"")</f>
        <v/>
      </c>
      <c r="AD121" s="227" t="str">
        <f aca="false">IFERROR(IF(N$21*N$22*N$23*N27&gt;0,STDEV(N$21, N$22, N$23, N$27),"")/IF(N$21*N$22*N$23*N27&gt;0,AVERAGE(N$21, N$22, N$23, N$27),""),"")</f>
        <v/>
      </c>
      <c r="AE121" s="233"/>
      <c r="AF121" s="229" t="s">
        <v>454</v>
      </c>
      <c r="AG121" s="230" t="str">
        <f aca="false">IFERROR(IF(C$21*C$22*C$23*C27&gt;0,STDEV(C$21, C$22, C$23, C$27)," ")/IF(C$21*C$22*C$23*C27&gt;0,SQRT(COUNT(C$21, C$22, C$23, C$27))," "),"")</f>
        <v/>
      </c>
      <c r="AH121" s="230" t="str">
        <f aca="false">IFERROR(IF(D$21*D$22*D$23*D27&gt;0,STDEV(D$21, D$22, D$23, D$27)," ")/IF(D$21*D$22*D$23*D27&gt;0,SQRT(COUNT(D$21, D$22, D$23, D$27))," "),"")</f>
        <v/>
      </c>
      <c r="AI121" s="230" t="str">
        <f aca="false">IFERROR(IF(E$21*E$22*E$23*E27&gt;0,STDEV(E$21, E$22, E$23, E$27)," ")/IF(E$21*E$22*E$23*E27&gt;0,SQRT(COUNT(E$21, E$22, E$23, E$27))," "),"")</f>
        <v/>
      </c>
      <c r="AJ121" s="230" t="str">
        <f aca="false">IFERROR(IF(F$21*F$22*F$23*F27&gt;0,STDEV(F$21, F$22, F$23, F$27)," ")/IF(F$21*F$22*F$23*F27&gt;0,SQRT(COUNT(F$21, F$22, F$23, F$27))," "),"")</f>
        <v/>
      </c>
      <c r="AK121" s="230" t="str">
        <f aca="false">IFERROR(IF(G$21*G$22*G$23*G27&gt;0,STDEV(G$21, G$22, G$23, G$27)," ")/IF(G$21*G$22*G$23*G27&gt;0,SQRT(COUNT(G$21, G$22, G$23, G$27))," "),"")</f>
        <v/>
      </c>
      <c r="AL121" s="230" t="str">
        <f aca="false">IFERROR(IF(H$21*H$22*H$23*H27&gt;0,STDEV(H$21, H$22, H$23, H$27)," ")/IF(H$21*H$22*H$23*H27&gt;0,SQRT(COUNT(H$21, H$22, H$23, H$27))," "),"")</f>
        <v/>
      </c>
      <c r="AM121" s="230" t="str">
        <f aca="false">IFERROR(IF(I$21*I$22*I$23*I27&gt;0,STDEV(I$21, I$22, I$23, I$27)," ")/IF(I$21*I$22*I$23*I27&gt;0,SQRT(COUNT(I$21, I$22, I$23, I$27))," "),"")</f>
        <v/>
      </c>
      <c r="AN121" s="230" t="str">
        <f aca="false">IFERROR(IF(J$21*J$22*J$23*J27&gt;0,STDEV(J$21, J$22, J$23, J$27)," ")/IF(J$21*J$22*J$23*J27&gt;0,SQRT(COUNT(J$21, J$22, J$23, J$27))," "),"")</f>
        <v/>
      </c>
      <c r="AO121" s="230" t="str">
        <f aca="false">IFERROR(IF(K$21*K$22*K$23*K27&gt;0,STDEV(K$21, K$22, K$23, K$27)," ")/IF(K$21*K$22*K$23*K27&gt;0,SQRT(COUNT(K$21, K$22, K$23, K$27))," "),"")</f>
        <v/>
      </c>
      <c r="AP121" s="230" t="str">
        <f aca="false">IFERROR(IF(L$21*L$22*L$23*L27&gt;0,STDEV(L$21, L$22, L$23, L$27)," ")/IF(L$21*L$22*L$23*L27&gt;0,SQRT(COUNT(L$21, L$22, L$23, L$27))," "),"")</f>
        <v/>
      </c>
      <c r="AQ121" s="230" t="str">
        <f aca="false">IFERROR(IF(M$21*M$22*M$23*M27&gt;0,STDEV(M$21, M$22, M$23, M$27)," ")/IF(M$21*M$22*M$23*M27&gt;0,SQRT(COUNT(M$21, M$22, M$23, M$27))," "),"")</f>
        <v/>
      </c>
      <c r="AR121" s="230" t="str">
        <f aca="false">IFERROR(IF(N$21*N$22*N$23*N27&gt;0,STDEV(N$21, N$22, N$23, N$27)," ")/IF(N$21*N$22*N$23*N27&gt;0,SQRT(COUNT(N$21, N$22, N$23, N$27))," "),"")</f>
        <v/>
      </c>
    </row>
    <row r="122" customFormat="false" ht="15.75" hidden="false" customHeight="false" outlineLevel="0" collapsed="false">
      <c r="A122" s="220" t="s">
        <v>509</v>
      </c>
      <c r="B122" s="221"/>
      <c r="C122" s="261" t="str">
        <f aca="false">IFERROR(IF(C$21*C$22*C$26*C$27&gt;0,AVERAGE(C$21, C$22, C$26, C$27),""),"")</f>
        <v/>
      </c>
      <c r="D122" s="261" t="str">
        <f aca="false">IFERROR(IF(D$21*D$22*D$26*D$27&gt;0,AVERAGE(D$21, D$22, D$26, D$27),""),"")</f>
        <v/>
      </c>
      <c r="E122" s="261" t="str">
        <f aca="false">IFERROR(IF(E$21*E$22*E$26*E$27&gt;0,AVERAGE(E$21, E$22, E$26, E$27),""),"")</f>
        <v/>
      </c>
      <c r="F122" s="261" t="str">
        <f aca="false">IFERROR(IF(F$21*F$22*F$26*F$27&gt;0,AVERAGE(F$21, F$22, F$26, F$27),""),"")</f>
        <v/>
      </c>
      <c r="G122" s="261" t="str">
        <f aca="false">IFERROR(IF(G$21*G$22*G$26*G$27&gt;0,AVERAGE(G$21, G$22, G$26, G$27),""),"")</f>
        <v/>
      </c>
      <c r="H122" s="261" t="str">
        <f aca="false">IFERROR(IF(H$21*H$22*H$26*H$27&gt;0,AVERAGE(H$21, H$22, H$26, H$27),""),"")</f>
        <v/>
      </c>
      <c r="I122" s="261" t="str">
        <f aca="false">IFERROR(IF(I$21*I$22*I$26*I$27&gt;0,AVERAGE(I$21, I$22, I$26, I$27),""),"")</f>
        <v/>
      </c>
      <c r="J122" s="261" t="str">
        <f aca="false">IFERROR(IF(J$21*J$22*J$26*J$27&gt;0,AVERAGE(J$21, J$22, J$26, J$27),""),"")</f>
        <v/>
      </c>
      <c r="K122" s="261" t="str">
        <f aca="false">IFERROR(IF(K$21*K$22*K$26*K$27&gt;0,AVERAGE(K$21, K$22, K$26, K$27),""),"")</f>
        <v/>
      </c>
      <c r="L122" s="261" t="str">
        <f aca="false">IFERROR(IF(L$21*L$22*L$26*L$27&gt;0,AVERAGE(L$21, L$22, L$26, L$27),""),"")</f>
        <v/>
      </c>
      <c r="M122" s="261" t="str">
        <f aca="false">IFERROR(IF(M$21*M$22*M$26*M$27&gt;0,AVERAGE(M$21, M$22, M$26, M$27),""),"")</f>
        <v/>
      </c>
      <c r="N122" s="261" t="str">
        <f aca="false">IFERROR(IF(N$21*N$22*N$26*N$27&gt;0,AVERAGE(N$21, N$22, N$26, N$27),""),"")</f>
        <v/>
      </c>
      <c r="O122" s="224"/>
      <c r="P122" s="224"/>
      <c r="Q122" s="232"/>
      <c r="R122" s="226" t="s">
        <v>510</v>
      </c>
      <c r="S122" s="227" t="str">
        <f aca="false">IFERROR(IF(C$21*C$22*C$26*C$27&gt;0,STDEV(C$21, C$22, C$26, C$27),"")/IF(C$21*C$22*C$26*C$27&gt;0,AVERAGE(C$21, C$22, C$26, C$27),""),"")</f>
        <v/>
      </c>
      <c r="T122" s="227" t="str">
        <f aca="false">IFERROR(IF(D$21*D$22*D$26*D$27&gt;0,STDEV(D$21, D$22, D$26, D$27),"")/IF(D$21*D$22*D$26*D$27&gt;0,AVERAGE(D$21, D$22, D$26, D$27),""),"")</f>
        <v/>
      </c>
      <c r="U122" s="227" t="str">
        <f aca="false">IFERROR(IF(E$21*E$22*E$26*E$27&gt;0,STDEV(E$21, E$22, E$26, E$27),"")/IF(E$21*E$22*E$26*E$27&gt;0,AVERAGE(E$21, E$22, E$26, E$27),""),"")</f>
        <v/>
      </c>
      <c r="V122" s="227" t="str">
        <f aca="false">IFERROR(IF(F$21*F$22*F$26*F$27&gt;0,STDEV(F$21, F$22, F$26, F$27),"")/IF(F$21*F$22*F$26*F$27&gt;0,AVERAGE(F$21, F$22, F$26, F$27),""),"")</f>
        <v/>
      </c>
      <c r="W122" s="227" t="str">
        <f aca="false">IFERROR(IF(G$21*G$22*G$26*G$27&gt;0,STDEV(G$21, G$22, G$26, G$27),"")/IF(G$21*G$22*G$26*G$27&gt;0,AVERAGE(G$21, G$22, G$26, G$27),""),"")</f>
        <v/>
      </c>
      <c r="X122" s="227" t="str">
        <f aca="false">IFERROR(IF(H$21*H$22*H$26*H$27&gt;0,STDEV(H$21, H$22, H$26, H$27),"")/IF(H$21*H$22*H$26*H$27&gt;0,AVERAGE(H$21, H$22, H$26, H$27),""),"")</f>
        <v/>
      </c>
      <c r="Y122" s="227" t="str">
        <f aca="false">IFERROR(IF(I$21*I$22*I$26*I$27&gt;0,STDEV(I$21, I$22, I$26, I$27),"")/IF(I$21*I$22*I$26*I$27&gt;0,AVERAGE(I$21, I$22, I$26, I$27),""),"")</f>
        <v/>
      </c>
      <c r="Z122" s="227" t="str">
        <f aca="false">IFERROR(IF(J$21*J$22*J$26*J$27&gt;0,STDEV(J$21, J$22, J$26, J$27),"")/IF(J$21*J$22*J$26*J$27&gt;0,AVERAGE(J$21, J$22, J$26, J$27),""),"")</f>
        <v/>
      </c>
      <c r="AA122" s="227" t="str">
        <f aca="false">IFERROR(IF(K$21*K$22*K$26*K$27&gt;0,STDEV(K$21, K$22, K$26, K$27),"")/IF(K$21*K$22*K$26*K$27&gt;0,AVERAGE(K$21, K$22, K$26, K$27),""),"")</f>
        <v/>
      </c>
      <c r="AB122" s="227" t="str">
        <f aca="false">IFERROR(IF(L$21*L$22*L$26*L$27&gt;0,STDEV(L$21, L$22, L$26, L$27),"")/IF(L$21*L$22*L$26*L$27&gt;0,AVERAGE(L$21, L$22, L$26, L$27),""),"")</f>
        <v/>
      </c>
      <c r="AC122" s="227" t="str">
        <f aca="false">IFERROR(IF(M$21*M$22*M$26*M$27&gt;0,STDEV(M$21, M$22, M$26, M$27),"")/IF(M$21*M$22*M$26*M$27&gt;0,AVERAGE(M$21, M$22, M$26, M$27),""),"")</f>
        <v/>
      </c>
      <c r="AD122" s="227" t="str">
        <f aca="false">IFERROR(IF(N$21*N$22*N$26*N$27&gt;0,STDEV(N$21, N$22, N$26, N$27),"")/IF(N$21*N$22*N$26*N$27&gt;0,AVERAGE(N$21, N$22, N$26, N$27),""),"")</f>
        <v/>
      </c>
      <c r="AE122" s="233"/>
      <c r="AF122" s="229" t="s">
        <v>511</v>
      </c>
      <c r="AG122" s="230" t="str">
        <f aca="false">IFERROR(IF(C$21*C$22*C$26*C$27&gt;0,STDEV(C$21, C$22, C$26, C$27)," ")/IF(C$21*C$22*C$26*C$27&gt;0,SQRT(COUNT(C$21, C$22, C$26, C$27))," "),"")</f>
        <v/>
      </c>
      <c r="AH122" s="230" t="str">
        <f aca="false">IFERROR(IF(D$21*D$22*D$26*D$27&gt;0,STDEV(D$21, D$22, D$26, D$27)," ")/IF(D$21*D$22*D$26*D$27&gt;0,SQRT(COUNT(D$21, D$22, D$26, D$27))," "),"")</f>
        <v/>
      </c>
      <c r="AI122" s="230" t="str">
        <f aca="false">IFERROR(IF(E$21*E$22*E$26*E$27&gt;0,STDEV(E$21, E$22, E$26, E$27)," ")/IF(E$21*E$22*E$26*E$27&gt;0,SQRT(COUNT(E$21, E$22, E$26, E$27))," "),"")</f>
        <v/>
      </c>
      <c r="AJ122" s="230" t="str">
        <f aca="false">IFERROR(IF(F$21*F$22*F$26*F$27&gt;0,STDEV(F$21, F$22, F$26, F$27)," ")/IF(F$21*F$22*F$26*F$27&gt;0,SQRT(COUNT(F$21, F$22, F$26, F$27))," "),"")</f>
        <v/>
      </c>
      <c r="AK122" s="230" t="str">
        <f aca="false">IFERROR(IF(G$21*G$22*G$26*G$27&gt;0,STDEV(G$21, G$22, G$26, G$27)," ")/IF(G$21*G$22*G$26*G$27&gt;0,SQRT(COUNT(G$21, G$22, G$26, G$27))," "),"")</f>
        <v/>
      </c>
      <c r="AL122" s="230" t="str">
        <f aca="false">IFERROR(IF(H$21*H$22*H$26*H$27&gt;0,STDEV(H$21, H$22, H$26, H$27)," ")/IF(H$21*H$22*H$26*H$27&gt;0,SQRT(COUNT(H$21, H$22, H$26, H$27))," "),"")</f>
        <v/>
      </c>
      <c r="AM122" s="230" t="str">
        <f aca="false">IFERROR(IF(I$21*I$22*I$26*I$27&gt;0,STDEV(I$21, I$22, I$26, I$27)," ")/IF(I$21*I$22*I$26*I$27&gt;0,SQRT(COUNT(I$21, I$22, I$26, I$27))," "),"")</f>
        <v/>
      </c>
      <c r="AN122" s="230" t="str">
        <f aca="false">IFERROR(IF(J$21*J$22*J$26*J$27&gt;0,STDEV(J$21, J$22, J$26, J$27)," ")/IF(J$21*J$22*J$26*J$27&gt;0,SQRT(COUNT(J$21, J$22, J$26, J$27))," "),"")</f>
        <v/>
      </c>
      <c r="AO122" s="230" t="str">
        <f aca="false">IFERROR(IF(K$21*K$22*K$26*K$27&gt;0,STDEV(K$21, K$22, K$26, K$27)," ")/IF(K$21*K$22*K$26*K$27&gt;0,SQRT(COUNT(K$21, K$22, K$26, K$27))," "),"")</f>
        <v/>
      </c>
      <c r="AP122" s="230" t="str">
        <f aca="false">IFERROR(IF(L$21*L$22*L$26*L$27&gt;0,STDEV(L$21, L$22, L$26, L$27)," ")/IF(L$21*L$22*L$26*L$27&gt;0,SQRT(COUNT(L$21, L$22, L$26, L$27))," "),"")</f>
        <v/>
      </c>
      <c r="AQ122" s="230" t="str">
        <f aca="false">IFERROR(IF(M$21*M$22*M$26*M$27&gt;0,STDEV(M$21, M$22, M$26, M$27)," ")/IF(M$21*M$22*M$26*M$27&gt;0,SQRT(COUNT(M$21, M$22, M$26, M$27))," "),"")</f>
        <v/>
      </c>
      <c r="AR122" s="230" t="str">
        <f aca="false">IFERROR(IF(N$21*N$22*N$26*N$27&gt;0,STDEV(N$21, N$22, N$26, N$27)," ")/IF(N$21*N$22*N$26*N$27&gt;0,SQRT(COUNT(N$21, N$22, N$26, N$27))," "),"")</f>
        <v/>
      </c>
    </row>
    <row r="123" customFormat="false" ht="15.75" hidden="false" customHeight="false" outlineLevel="0" collapsed="false">
      <c r="A123" s="220" t="s">
        <v>512</v>
      </c>
      <c r="B123" s="221"/>
      <c r="C123" s="261" t="str">
        <f aca="false">IFERROR(IF(C$21*C$23*C$26*C$27&gt;0,AVERAGE(C$21, C$23, C$26, C$27),""),"")</f>
        <v/>
      </c>
      <c r="D123" s="261" t="str">
        <f aca="false">IFERROR(IF(D$21*D$23*D$26*D$27&gt;0,AVERAGE(D$21, D$23, D$26, D$27),""),"")</f>
        <v/>
      </c>
      <c r="E123" s="261" t="str">
        <f aca="false">IFERROR(IF(E$21*E$23*E$26*E$27&gt;0,AVERAGE(E$21, E$23, E$26, E$27),""),"")</f>
        <v/>
      </c>
      <c r="F123" s="261" t="str">
        <f aca="false">IFERROR(IF(F$21*F$23*F$26*F$27&gt;0,AVERAGE(F$21, F$23, F$26, F$27),""),"")</f>
        <v/>
      </c>
      <c r="G123" s="261" t="str">
        <f aca="false">IFERROR(IF(G$21*G$23*G$26*G$27&gt;0,AVERAGE(G$21, G$23, G$26, G$27),""),"")</f>
        <v/>
      </c>
      <c r="H123" s="261" t="str">
        <f aca="false">IFERROR(IF(H$21*H$23*H$26*H$27&gt;0,AVERAGE(H$21, H$23, H$26, H$27),""),"")</f>
        <v/>
      </c>
      <c r="I123" s="261" t="str">
        <f aca="false">IFERROR(IF(I$21*I$23*I$26*I$27&gt;0,AVERAGE(I$21, I$23, I$26, I$27),""),"")</f>
        <v/>
      </c>
      <c r="J123" s="261" t="str">
        <f aca="false">IFERROR(IF(J$21*J$23*J$26*J$27&gt;0,AVERAGE(J$21, J$23, J$26, J$27),""),"")</f>
        <v/>
      </c>
      <c r="K123" s="261" t="str">
        <f aca="false">IFERROR(IF(K$21*K$23*K$26*K$27&gt;0,AVERAGE(K$21, K$23, K$26, K$27),""),"")</f>
        <v/>
      </c>
      <c r="L123" s="261" t="str">
        <f aca="false">IFERROR(IF(L$21*L$23*L$26*L$27&gt;0,AVERAGE(L$21, L$23, L$26, L$27),""),"")</f>
        <v/>
      </c>
      <c r="M123" s="261" t="str">
        <f aca="false">IFERROR(IF(M$21*M$23*M$26*M$27&gt;0,AVERAGE(M$21, M$23, M$26, M$27),""),"")</f>
        <v/>
      </c>
      <c r="N123" s="261" t="str">
        <f aca="false">IFERROR(IF(N$21*N$23*N$26*N$27&gt;0,AVERAGE(N$21, N$23, N$26, N$27),""),"")</f>
        <v/>
      </c>
      <c r="O123" s="224"/>
      <c r="P123" s="224"/>
      <c r="Q123" s="232"/>
      <c r="R123" s="226" t="s">
        <v>513</v>
      </c>
      <c r="S123" s="227" t="str">
        <f aca="false">IFERROR(IF(C$21*C$23*C$26*C$27&gt;0,STDEV(C$21, C$23, C$26, C$27),"")/IF(C$21*C$23*C$26*C$27&gt;0,AVERAGE(C$21, C$23, C$26, C$27),""),"")</f>
        <v/>
      </c>
      <c r="T123" s="227" t="str">
        <f aca="false">IFERROR(IF(D$21*D$23*D$26*D$27&gt;0,STDEV(D$21, D$23, D$26, D$27),"")/IF(D$21*D$23*D$26*D$27&gt;0,AVERAGE(D$21, D$23, D$26, D$27),""),"")</f>
        <v/>
      </c>
      <c r="U123" s="227" t="str">
        <f aca="false">IFERROR(IF(E$21*E$23*E$26*E$27&gt;0,STDEV(E$21, E$23, E$26, E$27),"")/IF(E$21*E$23*E$26*E$27&gt;0,AVERAGE(E$21, E$23, E$26, E$27),""),"")</f>
        <v/>
      </c>
      <c r="V123" s="227" t="str">
        <f aca="false">IFERROR(IF(F$21*F$23*F$26*F$27&gt;0,STDEV(F$21, F$23, F$26, F$27),"")/IF(F$21*F$23*F$26*F$27&gt;0,AVERAGE(F$21, F$23, F$26, F$27),""),"")</f>
        <v/>
      </c>
      <c r="W123" s="227" t="str">
        <f aca="false">IFERROR(IF(G$21*G$23*G$26*G$27&gt;0,STDEV(G$21, G$23, G$26, G$27),"")/IF(G$21*G$23*G$26*G$27&gt;0,AVERAGE(G$21, G$23, G$26, G$27),""),"")</f>
        <v/>
      </c>
      <c r="X123" s="227" t="str">
        <f aca="false">IFERROR(IF(H$21*H$23*H$26*H$27&gt;0,STDEV(H$21, H$23, H$26, H$27),"")/IF(H$21*H$23*H$26*H$27&gt;0,AVERAGE(H$21, H$23, H$26, H$27),""),"")</f>
        <v/>
      </c>
      <c r="Y123" s="227" t="str">
        <f aca="false">IFERROR(IF(I$21*I$23*I$26*I$27&gt;0,STDEV(I$21, I$23, I$26, I$27),"")/IF(I$21*I$23*I$26*I$27&gt;0,AVERAGE(I$21, I$23, I$26, I$27),""),"")</f>
        <v/>
      </c>
      <c r="Z123" s="227" t="str">
        <f aca="false">IFERROR(IF(J$21*J$23*J$26*J$27&gt;0,STDEV(J$21, J$23, J$26, J$27),"")/IF(J$21*J$23*J$26*J$27&gt;0,AVERAGE(J$21, J$23, J$26, J$27),""),"")</f>
        <v/>
      </c>
      <c r="AA123" s="227" t="str">
        <f aca="false">IFERROR(IF(K$21*K$23*K$26*K$27&gt;0,STDEV(K$21, K$23, K$26, K$27),"")/IF(K$21*K$23*K$26*K$27&gt;0,AVERAGE(K$21, K$23, K$26, K$27),""),"")</f>
        <v/>
      </c>
      <c r="AB123" s="227" t="str">
        <f aca="false">IFERROR(IF(L$21*L$23*L$26*L$27&gt;0,STDEV(L$21, L$23, L$26, L$27),"")/IF(L$21*L$23*L$26*L$27&gt;0,AVERAGE(L$21, L$23, L$26, L$27),""),"")</f>
        <v/>
      </c>
      <c r="AC123" s="227" t="str">
        <f aca="false">IFERROR(IF(M$21*M$23*M$26*M$27&gt;0,STDEV(M$21, M$23, M$26, M$27),"")/IF(M$21*M$23*M$26*M$27&gt;0,AVERAGE(M$21, M$23, M$26, M$27),""),"")</f>
        <v/>
      </c>
      <c r="AD123" s="227" t="str">
        <f aca="false">IFERROR(IF(N$21*N$23*N$26*N$27&gt;0,STDEV(N$21, N$23, N$26, N$27),"")/IF(N$21*N$23*N$26*N$27&gt;0,AVERAGE(N$21, N$23, N$26, N$27),""),"")</f>
        <v/>
      </c>
      <c r="AE123" s="233"/>
      <c r="AF123" s="229" t="s">
        <v>514</v>
      </c>
      <c r="AG123" s="230" t="str">
        <f aca="false">IFERROR(IF(C$21*C$23*C$26*C$27&gt;0,STDEV(C$21, C$23, C$26, C$27)," ")/IF(C$21*C$23*C$26*C$27&gt;0,SQRT(COUNT(C$21, C$23, C$26, C$27))," "),"")</f>
        <v/>
      </c>
      <c r="AH123" s="230" t="str">
        <f aca="false">IFERROR(IF(D$21*D$23*D$26*D$27&gt;0,STDEV(D$21, D$23, D$26, D$27)," ")/IF(D$21*D$23*D$26*D$27&gt;0,SQRT(COUNT(D$21, D$23, D$26, D$27))," "),"")</f>
        <v/>
      </c>
      <c r="AI123" s="230" t="str">
        <f aca="false">IFERROR(IF(E$21*E$23*E$26*E$27&gt;0,STDEV(E$21, E$23, E$26, E$27)," ")/IF(E$21*E$23*E$26*E$27&gt;0,SQRT(COUNT(E$21, E$23, E$26, E$27))," "),"")</f>
        <v/>
      </c>
      <c r="AJ123" s="230" t="str">
        <f aca="false">IFERROR(IF(F$21*F$23*F$26*F$27&gt;0,STDEV(F$21, F$23, F$26, F$27)," ")/IF(F$21*F$23*F$26*F$27&gt;0,SQRT(COUNT(F$21, F$23, F$26, F$27))," "),"")</f>
        <v/>
      </c>
      <c r="AK123" s="230" t="str">
        <f aca="false">IFERROR(IF(G$21*G$23*G$26*G$27&gt;0,STDEV(G$21, G$23, G$26, G$27)," ")/IF(G$21*G$23*G$26*G$27&gt;0,SQRT(COUNT(G$21, G$23, G$26, G$27))," "),"")</f>
        <v/>
      </c>
      <c r="AL123" s="230" t="str">
        <f aca="false">IFERROR(IF(H$21*H$23*H$26*H$27&gt;0,STDEV(H$21, H$23, H$26, H$27)," ")/IF(H$21*H$23*H$26*H$27&gt;0,SQRT(COUNT(H$21, H$23, H$26, H$27))," "),"")</f>
        <v/>
      </c>
      <c r="AM123" s="230" t="str">
        <f aca="false">IFERROR(IF(I$21*I$23*I$26*I$27&gt;0,STDEV(I$21, I$23, I$26, I$27)," ")/IF(I$21*I$23*I$26*I$27&gt;0,SQRT(COUNT(I$21, I$23, I$26, I$27))," "),"")</f>
        <v/>
      </c>
      <c r="AN123" s="230" t="str">
        <f aca="false">IFERROR(IF(J$21*J$23*J$26*J$27&gt;0,STDEV(J$21, J$23, J$26, J$27)," ")/IF(J$21*J$23*J$26*J$27&gt;0,SQRT(COUNT(J$21, J$23, J$26, J$27))," "),"")</f>
        <v/>
      </c>
      <c r="AO123" s="230" t="str">
        <f aca="false">IFERROR(IF(K$21*K$23*K$26*K$27&gt;0,STDEV(K$21, K$23, K$26, K$27)," ")/IF(K$21*K$23*K$26*K$27&gt;0,SQRT(COUNT(K$21, K$23, K$26, K$27))," "),"")</f>
        <v/>
      </c>
      <c r="AP123" s="230" t="str">
        <f aca="false">IFERROR(IF(L$21*L$23*L$26*L$27&gt;0,STDEV(L$21, L$23, L$26, L$27)," ")/IF(L$21*L$23*L$26*L$27&gt;0,SQRT(COUNT(L$21, L$23, L$26, L$27))," "),"")</f>
        <v/>
      </c>
      <c r="AQ123" s="230" t="str">
        <f aca="false">IFERROR(IF(M$21*M$23*M$26*M$27&gt;0,STDEV(M$21, M$23, M$26, M$27)," ")/IF(M$21*M$23*M$26*M$27&gt;0,SQRT(COUNT(M$21, M$23, M$26, M$27))," "),"")</f>
        <v/>
      </c>
      <c r="AR123" s="230" t="str">
        <f aca="false">IFERROR(IF(N$21*N$23*N$26*N$27&gt;0,STDEV(N$21, N$23, N$26, N$27)," ")/IF(N$21*N$23*N$26*N$27&gt;0,SQRT(COUNT(N$21, N$23, N$26, N$27))," "),"")</f>
        <v/>
      </c>
    </row>
    <row r="124" customFormat="false" ht="15.75" hidden="false" customHeight="false" outlineLevel="0" collapsed="false">
      <c r="A124" s="220" t="s">
        <v>515</v>
      </c>
      <c r="B124" s="221"/>
      <c r="C124" s="261" t="str">
        <f aca="false">IFERROR(IF(C$25*C$26*C$27*C21&gt;0,AVERAGE(C$25:C$27, C21),""),"")</f>
        <v/>
      </c>
      <c r="D124" s="261" t="str">
        <f aca="false">IFERROR(IF(D$25*D$26*D$27*D21&gt;0,AVERAGE(D$25:D$27, D21),""),"")</f>
        <v/>
      </c>
      <c r="E124" s="261" t="str">
        <f aca="false">IFERROR(IF(E$25*E$26*E$27*E21&gt;0,AVERAGE(E$25:E$27, E21),""),"")</f>
        <v/>
      </c>
      <c r="F124" s="261" t="str">
        <f aca="false">IFERROR(IF(F$25*F$26*F$27*F21&gt;0,AVERAGE(F$25:F$27, F21),""),"")</f>
        <v/>
      </c>
      <c r="G124" s="261" t="str">
        <f aca="false">IFERROR(IF(G$25*G$26*G$27*G21&gt;0,AVERAGE(G$25:G$27, G21),""),"")</f>
        <v/>
      </c>
      <c r="H124" s="261" t="str">
        <f aca="false">IFERROR(IF(H$25*H$26*H$27*H21&gt;0,AVERAGE(H$25:H$27, H21),""),"")</f>
        <v/>
      </c>
      <c r="I124" s="261" t="str">
        <f aca="false">IFERROR(IF(I$25*I$26*I$27*I21&gt;0,AVERAGE(I$25:I$27, I21),""),"")</f>
        <v/>
      </c>
      <c r="J124" s="261" t="str">
        <f aca="false">IFERROR(IF(J$25*J$26*J$27*J21&gt;0,AVERAGE(J$25:J$27, J21),""),"")</f>
        <v/>
      </c>
      <c r="K124" s="261" t="str">
        <f aca="false">IFERROR(IF(K$25*K$26*K$27*K21&gt;0,AVERAGE(K$25:K$27, K21),""),"")</f>
        <v/>
      </c>
      <c r="L124" s="261" t="str">
        <f aca="false">IFERROR(IF(L$25*L$26*L$27*L21&gt;0,AVERAGE(L$25:L$27, L21),""),"")</f>
        <v/>
      </c>
      <c r="M124" s="261" t="str">
        <f aca="false">IFERROR(IF(M$25*M$26*M$27*M21&gt;0,AVERAGE(M$25:M$27, M21),""),"")</f>
        <v/>
      </c>
      <c r="N124" s="261" t="str">
        <f aca="false">IFERROR(IF(N$25*N$26*N$27*N21&gt;0,AVERAGE(N$25:N$27, N21),""),"")</f>
        <v/>
      </c>
      <c r="O124" s="224"/>
      <c r="P124" s="224"/>
      <c r="Q124" s="232"/>
      <c r="R124" s="226" t="s">
        <v>516</v>
      </c>
      <c r="S124" s="227" t="str">
        <f aca="false">IFERROR(IF(C$25*C$26*C$27*C21&gt;0,STDEV(C$25:C$27, C21),"")/IF(C$25*C$26*C$27*C21&gt;0,AVERAGE(C$25:C$27, C21),""),"")</f>
        <v/>
      </c>
      <c r="T124" s="227" t="str">
        <f aca="false">IFERROR(IF(D$25*D$26*D$27*D21&gt;0,STDEV(D$25:D$27, D21),"")/IF(D$25*D$26*D$27*D21&gt;0,AVERAGE(D$25:D$27, D21),""),"")</f>
        <v/>
      </c>
      <c r="U124" s="227" t="str">
        <f aca="false">IFERROR(IF(E$25*E$26*E$27*E21&gt;0,STDEV(E$25:E$27, E21),"")/IF(E$25*E$26*E$27*E21&gt;0,AVERAGE(E$25:E$27, E21),""),"")</f>
        <v/>
      </c>
      <c r="V124" s="227" t="str">
        <f aca="false">IFERROR(IF(F$25*F$26*F$27*F21&gt;0,STDEV(F$25:F$27, F21),"")/IF(F$25*F$26*F$27*F21&gt;0,AVERAGE(F$25:F$27, F21),""),"")</f>
        <v/>
      </c>
      <c r="W124" s="227" t="str">
        <f aca="false">IFERROR(IF(G$25*G$26*G$27*G21&gt;0,STDEV(G$25:G$27, G21),"")/IF(G$25*G$26*G$27*G21&gt;0,AVERAGE(G$25:G$27, G21),""),"")</f>
        <v/>
      </c>
      <c r="X124" s="227" t="str">
        <f aca="false">IFERROR(IF(H$25*H$26*H$27*H21&gt;0,STDEV(H$25:H$27, H21),"")/IF(H$25*H$26*H$27*H21&gt;0,AVERAGE(H$25:H$27, H21),""),"")</f>
        <v/>
      </c>
      <c r="Y124" s="227" t="str">
        <f aca="false">IFERROR(IF(I$25*I$26*I$27*I21&gt;0,STDEV(I$25:I$27, I21),"")/IF(I$25*I$26*I$27*I21&gt;0,AVERAGE(I$25:I$27, I21),""),"")</f>
        <v/>
      </c>
      <c r="Z124" s="227" t="str">
        <f aca="false">IFERROR(IF(J$25*J$26*J$27*J21&gt;0,STDEV(J$25:J$27, J21),"")/IF(J$25*J$26*J$27*J21&gt;0,AVERAGE(J$25:J$27, J21),""),"")</f>
        <v/>
      </c>
      <c r="AA124" s="227" t="str">
        <f aca="false">IFERROR(IF(K$25*K$26*K$27*K21&gt;0,STDEV(K$25:K$27, K21),"")/IF(K$25*K$26*K$27*K21&gt;0,AVERAGE(K$25:K$27, K21),""),"")</f>
        <v/>
      </c>
      <c r="AB124" s="227" t="str">
        <f aca="false">IFERROR(IF(L$25*L$26*L$27*L21&gt;0,STDEV(L$25:L$27, L21),"")/IF(L$25*L$26*L$27*L21&gt;0,AVERAGE(L$25:L$27, L21),""),"")</f>
        <v/>
      </c>
      <c r="AC124" s="227" t="str">
        <f aca="false">IFERROR(IF(M$25*M$26*M$27*M21&gt;0,STDEV(M$25:M$27, M21),"")/IF(M$25*M$26*M$27*M21&gt;0,AVERAGE(M$25:M$27, M21),""),"")</f>
        <v/>
      </c>
      <c r="AD124" s="227" t="str">
        <f aca="false">IFERROR(IF(N$25*N$26*N$27*N21&gt;0,STDEV(N$25:N$27, N21),"")/IF(N$25*N$26*N$27*N21&gt;0,AVERAGE(N$25:N$27, N21),""),"")</f>
        <v/>
      </c>
      <c r="AE124" s="233"/>
      <c r="AF124" s="229" t="s">
        <v>517</v>
      </c>
      <c r="AG124" s="230" t="str">
        <f aca="false">IFERROR(IF(C$25*C$26*C$27*C21&gt;0,STDEV(C$25:C$27, C21)," ")/IF(C$25*C$26*C$27*C21&gt;0,SQRT(COUNT(C$25:C$27, C21))," "),"")</f>
        <v/>
      </c>
      <c r="AH124" s="230" t="str">
        <f aca="false">IFERROR(IF(D$25*D$26*D$27*D21&gt;0,STDEV(D$25:D$27, D21)," ")/IF(D$25*D$26*D$27*D21&gt;0,SQRT(COUNT(D$25:D$27, D21))," "),"")</f>
        <v/>
      </c>
      <c r="AI124" s="230" t="str">
        <f aca="false">IFERROR(IF(E$25*E$26*E$27*E21&gt;0,STDEV(E$25:E$27, E21)," ")/IF(E$25*E$26*E$27*E21&gt;0,SQRT(COUNT(E$25:E$27, E21))," "),"")</f>
        <v/>
      </c>
      <c r="AJ124" s="230" t="str">
        <f aca="false">IFERROR(IF(F$25*F$26*F$27*F21&gt;0,STDEV(F$25:F$27, F21)," ")/IF(F$25*F$26*F$27*F21&gt;0,SQRT(COUNT(F$25:F$27, F21))," "),"")</f>
        <v/>
      </c>
      <c r="AK124" s="230" t="str">
        <f aca="false">IFERROR(IF(G$25*G$26*G$27*G21&gt;0,STDEV(G$25:G$27, G21)," ")/IF(G$25*G$26*G$27*G21&gt;0,SQRT(COUNT(G$25:G$27, G21))," "),"")</f>
        <v/>
      </c>
      <c r="AL124" s="230" t="str">
        <f aca="false">IFERROR(IF(H$25*H$26*H$27*H21&gt;0,STDEV(H$25:H$27, H21)," ")/IF(H$25*H$26*H$27*H21&gt;0,SQRT(COUNT(H$25:H$27, H21))," "),"")</f>
        <v/>
      </c>
      <c r="AM124" s="230" t="str">
        <f aca="false">IFERROR(IF(I$25*I$26*I$27*I21&gt;0,STDEV(I$25:I$27, I21)," ")/IF(I$25*I$26*I$27*I21&gt;0,SQRT(COUNT(I$25:I$27, I21))," "),"")</f>
        <v/>
      </c>
      <c r="AN124" s="230" t="str">
        <f aca="false">IFERROR(IF(J$25*J$26*J$27*J21&gt;0,STDEV(J$25:J$27, J21)," ")/IF(J$25*J$26*J$27*J21&gt;0,SQRT(COUNT(J$25:J$27, J21))," "),"")</f>
        <v/>
      </c>
      <c r="AO124" s="230" t="str">
        <f aca="false">IFERROR(IF(K$25*K$26*K$27*K21&gt;0,STDEV(K$25:K$27, K21)," ")/IF(K$25*K$26*K$27*K21&gt;0,SQRT(COUNT(K$25:K$27, K21))," "),"")</f>
        <v/>
      </c>
      <c r="AP124" s="230" t="str">
        <f aca="false">IFERROR(IF(L$25*L$26*L$27*L21&gt;0,STDEV(L$25:L$27, L21)," ")/IF(L$25*L$26*L$27*L21&gt;0,SQRT(COUNT(L$25:L$27, L21))," "),"")</f>
        <v/>
      </c>
      <c r="AQ124" s="230" t="str">
        <f aca="false">IFERROR(IF(M$25*M$26*M$27*M21&gt;0,STDEV(M$25:M$27, M21)," ")/IF(M$25*M$26*M$27*M21&gt;0,SQRT(COUNT(M$25:M$27, M21))," "),"")</f>
        <v/>
      </c>
      <c r="AR124" s="230" t="str">
        <f aca="false">IFERROR(IF(N$25*N$26*N$27*N21&gt;0,STDEV(N$25:N$27, N21)," ")/IF(N$25*N$26*N$27*N21&gt;0,SQRT(COUNT(N$25:N$27, N21))," "),"")</f>
        <v/>
      </c>
    </row>
    <row r="125" customFormat="false" ht="15.75" hidden="false" customHeight="false" outlineLevel="0" collapsed="false">
      <c r="A125" s="220" t="s">
        <v>518</v>
      </c>
      <c r="B125" s="221"/>
      <c r="C125" s="261" t="str">
        <f aca="false">IFERROR(IF(C$25*C$26*C$27*C22&gt;0,AVERAGE(C$25:C$27, C22),""),"")</f>
        <v/>
      </c>
      <c r="D125" s="261" t="str">
        <f aca="false">IFERROR(IF(D$25*D$26*D$27*D22&gt;0,AVERAGE(D$25:D$27, D22),""),"")</f>
        <v/>
      </c>
      <c r="E125" s="261" t="str">
        <f aca="false">IFERROR(IF(E$25*E$26*E$27*E22&gt;0,AVERAGE(E$25:E$27, E22),""),"")</f>
        <v/>
      </c>
      <c r="F125" s="261" t="str">
        <f aca="false">IFERROR(IF(F$25*F$26*F$27*F22&gt;0,AVERAGE(F$25:F$27, F22),""),"")</f>
        <v/>
      </c>
      <c r="G125" s="261" t="str">
        <f aca="false">IFERROR(IF(G$25*G$26*G$27*G22&gt;0,AVERAGE(G$25:G$27, G22),""),"")</f>
        <v/>
      </c>
      <c r="H125" s="261" t="str">
        <f aca="false">IFERROR(IF(H$25*H$26*H$27*H22&gt;0,AVERAGE(H$25:H$27, H22),""),"")</f>
        <v/>
      </c>
      <c r="I125" s="261" t="str">
        <f aca="false">IFERROR(IF(I$25*I$26*I$27*I22&gt;0,AVERAGE(I$25:I$27, I22),""),"")</f>
        <v/>
      </c>
      <c r="J125" s="261" t="str">
        <f aca="false">IFERROR(IF(J$25*J$26*J$27*J22&gt;0,AVERAGE(J$25:J$27, J22),""),"")</f>
        <v/>
      </c>
      <c r="K125" s="261" t="str">
        <f aca="false">IFERROR(IF(K$25*K$26*K$27*K22&gt;0,AVERAGE(K$25:K$27, K22),""),"")</f>
        <v/>
      </c>
      <c r="L125" s="261" t="str">
        <f aca="false">IFERROR(IF(L$25*L$26*L$27*L22&gt;0,AVERAGE(L$25:L$27, L22),""),"")</f>
        <v/>
      </c>
      <c r="M125" s="261" t="str">
        <f aca="false">IFERROR(IF(M$25*M$26*M$27*M22&gt;0,AVERAGE(M$25:M$27, M22),""),"")</f>
        <v/>
      </c>
      <c r="N125" s="261" t="str">
        <f aca="false">IFERROR(IF(N$25*N$26*N$27*N22&gt;0,AVERAGE(N$25:N$27, N22),""),"")</f>
        <v/>
      </c>
      <c r="O125" s="224"/>
      <c r="P125" s="224"/>
      <c r="Q125" s="232"/>
      <c r="R125" s="226" t="s">
        <v>519</v>
      </c>
      <c r="S125" s="227" t="str">
        <f aca="false">IFERROR(IF(C$25*C$26*C$27*C22&gt;0,STDEV(C$25:C$27, C22),"")/IF(C$25*C$26*C$27*C22&gt;0,AVERAGE(C$25:C$27, C22),""),"")</f>
        <v/>
      </c>
      <c r="T125" s="227" t="str">
        <f aca="false">IFERROR(IF(D$25*D$26*D$27*D22&gt;0,STDEV(D$25:D$27, D22),"")/IF(D$25*D$26*D$27*D22&gt;0,AVERAGE(D$25:D$27, D22),""),"")</f>
        <v/>
      </c>
      <c r="U125" s="227" t="str">
        <f aca="false">IFERROR(IF(E$25*E$26*E$27*E22&gt;0,STDEV(E$25:E$27, E22),"")/IF(E$25*E$26*E$27*E22&gt;0,AVERAGE(E$25:E$27, E22),""),"")</f>
        <v/>
      </c>
      <c r="V125" s="227" t="str">
        <f aca="false">IFERROR(IF(F$25*F$26*F$27*F22&gt;0,STDEV(F$25:F$27, F22),"")/IF(F$25*F$26*F$27*F22&gt;0,AVERAGE(F$25:F$27, F22),""),"")</f>
        <v/>
      </c>
      <c r="W125" s="227" t="str">
        <f aca="false">IFERROR(IF(G$25*G$26*G$27*G22&gt;0,STDEV(G$25:G$27, G22),"")/IF(G$25*G$26*G$27*G22&gt;0,AVERAGE(G$25:G$27, G22),""),"")</f>
        <v/>
      </c>
      <c r="X125" s="227" t="str">
        <f aca="false">IFERROR(IF(H$25*H$26*H$27*H22&gt;0,STDEV(H$25:H$27, H22),"")/IF(H$25*H$26*H$27*H22&gt;0,AVERAGE(H$25:H$27, H22),""),"")</f>
        <v/>
      </c>
      <c r="Y125" s="227" t="str">
        <f aca="false">IFERROR(IF(I$25*I$26*I$27*I22&gt;0,STDEV(I$25:I$27, I22),"")/IF(I$25*I$26*I$27*I22&gt;0,AVERAGE(I$25:I$27, I22),""),"")</f>
        <v/>
      </c>
      <c r="Z125" s="227" t="str">
        <f aca="false">IFERROR(IF(J$25*J$26*J$27*J22&gt;0,STDEV(J$25:J$27, J22),"")/IF(J$25*J$26*J$27*J22&gt;0,AVERAGE(J$25:J$27, J22),""),"")</f>
        <v/>
      </c>
      <c r="AA125" s="227" t="str">
        <f aca="false">IFERROR(IF(K$25*K$26*K$27*K22&gt;0,STDEV(K$25:K$27, K22),"")/IF(K$25*K$26*K$27*K22&gt;0,AVERAGE(K$25:K$27, K22),""),"")</f>
        <v/>
      </c>
      <c r="AB125" s="227" t="str">
        <f aca="false">IFERROR(IF(L$25*L$26*L$27*L22&gt;0,STDEV(L$25:L$27, L22),"")/IF(L$25*L$26*L$27*L22&gt;0,AVERAGE(L$25:L$27, L22),""),"")</f>
        <v/>
      </c>
      <c r="AC125" s="227" t="str">
        <f aca="false">IFERROR(IF(M$25*M$26*M$27*M22&gt;0,STDEV(M$25:M$27, M22),"")/IF(M$25*M$26*M$27*M22&gt;0,AVERAGE(M$25:M$27, M22),""),"")</f>
        <v/>
      </c>
      <c r="AD125" s="227" t="str">
        <f aca="false">IFERROR(IF(N$25*N$26*N$27*N22&gt;0,STDEV(N$25:N$27, N22),"")/IF(N$25*N$26*N$27*N22&gt;0,AVERAGE(N$25:N$27, N22),""),"")</f>
        <v/>
      </c>
      <c r="AE125" s="233"/>
      <c r="AF125" s="229" t="s">
        <v>520</v>
      </c>
      <c r="AG125" s="230" t="str">
        <f aca="false">IFERROR(IF(C$25*C$26*C$27*C22&gt;0,STDEV(C$25:C$27, C22)," ")/IF(C$25*C$26*C$27*C22&gt;0,SQRT(COUNT(C$25:C$27, C22))," "),"")</f>
        <v/>
      </c>
      <c r="AH125" s="230" t="str">
        <f aca="false">IFERROR(IF(D$25*D$26*D$27*D22&gt;0,STDEV(D$25:D$27, D22)," ")/IF(D$25*D$26*D$27*D22&gt;0,SQRT(COUNT(D$25:D$27, D22))," "),"")</f>
        <v/>
      </c>
      <c r="AI125" s="230" t="str">
        <f aca="false">IFERROR(IF(E$25*E$26*E$27*E22&gt;0,STDEV(E$25:E$27, E22)," ")/IF(E$25*E$26*E$27*E22&gt;0,SQRT(COUNT(E$25:E$27, E22))," "),"")</f>
        <v/>
      </c>
      <c r="AJ125" s="230" t="str">
        <f aca="false">IFERROR(IF(F$25*F$26*F$27*F22&gt;0,STDEV(F$25:F$27, F22)," ")/IF(F$25*F$26*F$27*F22&gt;0,SQRT(COUNT(F$25:F$27, F22))," "),"")</f>
        <v/>
      </c>
      <c r="AK125" s="230" t="str">
        <f aca="false">IFERROR(IF(G$25*G$26*G$27*G22&gt;0,STDEV(G$25:G$27, G22)," ")/IF(G$25*G$26*G$27*G22&gt;0,SQRT(COUNT(G$25:G$27, G22))," "),"")</f>
        <v/>
      </c>
      <c r="AL125" s="230" t="str">
        <f aca="false">IFERROR(IF(H$25*H$26*H$27*H22&gt;0,STDEV(H$25:H$27, H22)," ")/IF(H$25*H$26*H$27*H22&gt;0,SQRT(COUNT(H$25:H$27, H22))," "),"")</f>
        <v/>
      </c>
      <c r="AM125" s="230" t="str">
        <f aca="false">IFERROR(IF(I$25*I$26*I$27*I22&gt;0,STDEV(I$25:I$27, I22)," ")/IF(I$25*I$26*I$27*I22&gt;0,SQRT(COUNT(I$25:I$27, I22))," "),"")</f>
        <v/>
      </c>
      <c r="AN125" s="230" t="str">
        <f aca="false">IFERROR(IF(J$25*J$26*J$27*J22&gt;0,STDEV(J$25:J$27, J22)," ")/IF(J$25*J$26*J$27*J22&gt;0,SQRT(COUNT(J$25:J$27, J22))," "),"")</f>
        <v/>
      </c>
      <c r="AO125" s="230" t="str">
        <f aca="false">IFERROR(IF(K$25*K$26*K$27*K22&gt;0,STDEV(K$25:K$27, K22)," ")/IF(K$25*K$26*K$27*K22&gt;0,SQRT(COUNT(K$25:K$27, K22))," "),"")</f>
        <v/>
      </c>
      <c r="AP125" s="230" t="str">
        <f aca="false">IFERROR(IF(L$25*L$26*L$27*L22&gt;0,STDEV(L$25:L$27, L22)," ")/IF(L$25*L$26*L$27*L22&gt;0,SQRT(COUNT(L$25:L$27, L22))," "),"")</f>
        <v/>
      </c>
      <c r="AQ125" s="230" t="str">
        <f aca="false">IFERROR(IF(M$25*M$26*M$27*M22&gt;0,STDEV(M$25:M$27, M22)," ")/IF(M$25*M$26*M$27*M22&gt;0,SQRT(COUNT(M$25:M$27, M22))," "),"")</f>
        <v/>
      </c>
      <c r="AR125" s="230" t="str">
        <f aca="false">IFERROR(IF(N$25*N$26*N$27*N22&gt;0,STDEV(N$25:N$27, N22)," ")/IF(N$25*N$26*N$27*N22&gt;0,SQRT(COUNT(N$25:N$27, N22))," "),"")</f>
        <v/>
      </c>
    </row>
    <row r="126" customFormat="false" ht="15.75" hidden="false" customHeight="false" outlineLevel="0" collapsed="false">
      <c r="A126" s="220" t="s">
        <v>521</v>
      </c>
      <c r="B126" s="221"/>
      <c r="C126" s="261" t="str">
        <f aca="false">IFERROR(IF(C$25*C$26*C$27*C23&gt;0,AVERAGE(C$25:C$27, C23),""),"")</f>
        <v/>
      </c>
      <c r="D126" s="261" t="str">
        <f aca="false">IFERROR(IF(D$25*D$26*D$27*D23&gt;0,AVERAGE(D$25:D$27, D23),""),"")</f>
        <v/>
      </c>
      <c r="E126" s="261" t="str">
        <f aca="false">IFERROR(IF(E$25*E$26*E$27*E23&gt;0,AVERAGE(E$25:E$27, E23),""),"")</f>
        <v/>
      </c>
      <c r="F126" s="261" t="str">
        <f aca="false">IFERROR(IF(F$25*F$26*F$27*F23&gt;0,AVERAGE(F$25:F$27, F23),""),"")</f>
        <v/>
      </c>
      <c r="G126" s="261" t="str">
        <f aca="false">IFERROR(IF(G$25*G$26*G$27*G23&gt;0,AVERAGE(G$25:G$27, G23),""),"")</f>
        <v/>
      </c>
      <c r="H126" s="261" t="str">
        <f aca="false">IFERROR(IF(H$25*H$26*H$27*H23&gt;0,AVERAGE(H$25:H$27, H23),""),"")</f>
        <v/>
      </c>
      <c r="I126" s="261" t="str">
        <f aca="false">IFERROR(IF(I$25*I$26*I$27*I23&gt;0,AVERAGE(I$25:I$27, I23),""),"")</f>
        <v/>
      </c>
      <c r="J126" s="261" t="str">
        <f aca="false">IFERROR(IF(J$25*J$26*J$27*J23&gt;0,AVERAGE(J$25:J$27, J23),""),"")</f>
        <v/>
      </c>
      <c r="K126" s="261" t="str">
        <f aca="false">IFERROR(IF(K$25*K$26*K$27*K23&gt;0,AVERAGE(K$25:K$27, K23),""),"")</f>
        <v/>
      </c>
      <c r="L126" s="261" t="str">
        <f aca="false">IFERROR(IF(L$25*L$26*L$27*L23&gt;0,AVERAGE(L$25:L$27, L23),""),"")</f>
        <v/>
      </c>
      <c r="M126" s="261" t="str">
        <f aca="false">IFERROR(IF(M$25*M$26*M$27*M23&gt;0,AVERAGE(M$25:M$27, M23),""),"")</f>
        <v/>
      </c>
      <c r="N126" s="261" t="str">
        <f aca="false">IFERROR(IF(N$25*N$26*N$27*N23&gt;0,AVERAGE(N$25:N$27, N23),""),"")</f>
        <v/>
      </c>
      <c r="O126" s="224"/>
      <c r="P126" s="224"/>
      <c r="Q126" s="232"/>
      <c r="R126" s="226" t="s">
        <v>522</v>
      </c>
      <c r="S126" s="227" t="str">
        <f aca="false">IFERROR(IF(C$25*C$26*C$27*C23&gt;0,STDEV(C$25:C$27, C23),"")/IF(C$25*C$26*C$27*C23&gt;0,AVERAGE(C$25:C$27, C23),""),"")</f>
        <v/>
      </c>
      <c r="T126" s="227" t="str">
        <f aca="false">IFERROR(IF(D$25*D$26*D$27*D23&gt;0,STDEV(D$25:D$27, D23),"")/IF(D$25*D$26*D$27*D23&gt;0,AVERAGE(D$25:D$27, D23),""),"")</f>
        <v/>
      </c>
      <c r="U126" s="227" t="str">
        <f aca="false">IFERROR(IF(E$25*E$26*E$27*E23&gt;0,STDEV(E$25:E$27, E23),"")/IF(E$25*E$26*E$27*E23&gt;0,AVERAGE(E$25:E$27, E23),""),"")</f>
        <v/>
      </c>
      <c r="V126" s="227" t="str">
        <f aca="false">IFERROR(IF(F$25*F$26*F$27*F23&gt;0,STDEV(F$25:F$27, F23),"")/IF(F$25*F$26*F$27*F23&gt;0,AVERAGE(F$25:F$27, F23),""),"")</f>
        <v/>
      </c>
      <c r="W126" s="227" t="str">
        <f aca="false">IFERROR(IF(G$25*G$26*G$27*G23&gt;0,STDEV(G$25:G$27, G23),"")/IF(G$25*G$26*G$27*G23&gt;0,AVERAGE(G$25:G$27, G23),""),"")</f>
        <v/>
      </c>
      <c r="X126" s="227" t="str">
        <f aca="false">IFERROR(IF(H$25*H$26*H$27*H23&gt;0,STDEV(H$25:H$27, H23),"")/IF(H$25*H$26*H$27*H23&gt;0,AVERAGE(H$25:H$27, H23),""),"")</f>
        <v/>
      </c>
      <c r="Y126" s="227" t="str">
        <f aca="false">IFERROR(IF(I$25*I$26*I$27*I23&gt;0,STDEV(I$25:I$27, I23),"")/IF(I$25*I$26*I$27*I23&gt;0,AVERAGE(I$25:I$27, I23),""),"")</f>
        <v/>
      </c>
      <c r="Z126" s="227" t="str">
        <f aca="false">IFERROR(IF(J$25*J$26*J$27*J23&gt;0,STDEV(J$25:J$27, J23),"")/IF(J$25*J$26*J$27*J23&gt;0,AVERAGE(J$25:J$27, J23),""),"")</f>
        <v/>
      </c>
      <c r="AA126" s="227" t="str">
        <f aca="false">IFERROR(IF(K$25*K$26*K$27*K23&gt;0,STDEV(K$25:K$27, K23),"")/IF(K$25*K$26*K$27*K23&gt;0,AVERAGE(K$25:K$27, K23),""),"")</f>
        <v/>
      </c>
      <c r="AB126" s="227" t="str">
        <f aca="false">IFERROR(IF(L$25*L$26*L$27*L23&gt;0,STDEV(L$25:L$27, L23),"")/IF(L$25*L$26*L$27*L23&gt;0,AVERAGE(L$25:L$27, L23),""),"")</f>
        <v/>
      </c>
      <c r="AC126" s="227" t="str">
        <f aca="false">IFERROR(IF(M$25*M$26*M$27*M23&gt;0,STDEV(M$25:M$27, M23),"")/IF(M$25*M$26*M$27*M23&gt;0,AVERAGE(M$25:M$27, M23),""),"")</f>
        <v/>
      </c>
      <c r="AD126" s="227" t="str">
        <f aca="false">IFERROR(IF(N$25*N$26*N$27*N23&gt;0,STDEV(N$25:N$27, N23),"")/IF(N$25*N$26*N$27*N23&gt;0,AVERAGE(N$25:N$27, N23),""),"")</f>
        <v/>
      </c>
      <c r="AE126" s="233"/>
      <c r="AF126" s="229" t="s">
        <v>523</v>
      </c>
      <c r="AG126" s="230" t="str">
        <f aca="false">IFERROR(IF(C$25*C$26*C$27*C23&gt;0,STDEV(C$25:C$27, C23)," ")/IF(C$25*C$26*C$27*C23&gt;0,SQRT(COUNT(C$25:C$27, C23))," "),"")</f>
        <v/>
      </c>
      <c r="AH126" s="230" t="str">
        <f aca="false">IFERROR(IF(D$25*D$26*D$27*D23&gt;0,STDEV(D$25:D$27, D23)," ")/IF(D$25*D$26*D$27*D23&gt;0,SQRT(COUNT(D$25:D$27, D23))," "),"")</f>
        <v/>
      </c>
      <c r="AI126" s="230" t="str">
        <f aca="false">IFERROR(IF(E$25*E$26*E$27*E23&gt;0,STDEV(E$25:E$27, E23)," ")/IF(E$25*E$26*E$27*E23&gt;0,SQRT(COUNT(E$25:E$27, E23))," "),"")</f>
        <v/>
      </c>
      <c r="AJ126" s="230" t="str">
        <f aca="false">IFERROR(IF(F$25*F$26*F$27*F23&gt;0,STDEV(F$25:F$27, F23)," ")/IF(F$25*F$26*F$27*F23&gt;0,SQRT(COUNT(F$25:F$27, F23))," "),"")</f>
        <v/>
      </c>
      <c r="AK126" s="230" t="str">
        <f aca="false">IFERROR(IF(G$25*G$26*G$27*G23&gt;0,STDEV(G$25:G$27, G23)," ")/IF(G$25*G$26*G$27*G23&gt;0,SQRT(COUNT(G$25:G$27, G23))," "),"")</f>
        <v/>
      </c>
      <c r="AL126" s="230" t="str">
        <f aca="false">IFERROR(IF(H$25*H$26*H$27*H23&gt;0,STDEV(H$25:H$27, H23)," ")/IF(H$25*H$26*H$27*H23&gt;0,SQRT(COUNT(H$25:H$27, H23))," "),"")</f>
        <v/>
      </c>
      <c r="AM126" s="230" t="str">
        <f aca="false">IFERROR(IF(I$25*I$26*I$27*I23&gt;0,STDEV(I$25:I$27, I23)," ")/IF(I$25*I$26*I$27*I23&gt;0,SQRT(COUNT(I$25:I$27, I23))," "),"")</f>
        <v/>
      </c>
      <c r="AN126" s="230" t="str">
        <f aca="false">IFERROR(IF(J$25*J$26*J$27*J23&gt;0,STDEV(J$25:J$27, J23)," ")/IF(J$25*J$26*J$27*J23&gt;0,SQRT(COUNT(J$25:J$27, J23))," "),"")</f>
        <v/>
      </c>
      <c r="AO126" s="230" t="str">
        <f aca="false">IFERROR(IF(K$25*K$26*K$27*K23&gt;0,STDEV(K$25:K$27, K23)," ")/IF(K$25*K$26*K$27*K23&gt;0,SQRT(COUNT(K$25:K$27, K23))," "),"")</f>
        <v/>
      </c>
      <c r="AP126" s="230" t="str">
        <f aca="false">IFERROR(IF(L$25*L$26*L$27*L23&gt;0,STDEV(L$25:L$27, L23)," ")/IF(L$25*L$26*L$27*L23&gt;0,SQRT(COUNT(L$25:L$27, L23))," "),"")</f>
        <v/>
      </c>
      <c r="AQ126" s="230" t="str">
        <f aca="false">IFERROR(IF(M$25*M$26*M$27*M23&gt;0,STDEV(M$25:M$27, M23)," ")/IF(M$25*M$26*M$27*M23&gt;0,SQRT(COUNT(M$25:M$27, M23))," "),"")</f>
        <v/>
      </c>
      <c r="AR126" s="230" t="str">
        <f aca="false">IFERROR(IF(N$25*N$26*N$27*N23&gt;0,STDEV(N$25:N$27, N23)," ")/IF(N$25*N$26*N$27*N23&gt;0,SQRT(COUNT(N$25:N$27, N23))," "),"")</f>
        <v/>
      </c>
    </row>
    <row r="127" customFormat="false" ht="15.75" hidden="false" customHeight="false" outlineLevel="0" collapsed="false">
      <c r="A127" s="220" t="s">
        <v>524</v>
      </c>
      <c r="B127" s="221"/>
      <c r="C127" s="261" t="str">
        <f aca="false">IFERROR(IF(C$21*C$23*C$25*C$26&gt;0,AVERAGE(C$21, C$23, C$25, C$26),""),"")</f>
        <v/>
      </c>
      <c r="D127" s="261" t="str">
        <f aca="false">IFERROR(IF(D$21*D$23*D$25*D$26&gt;0,AVERAGE(D$21, D$23, D$25, D$26),""),"")</f>
        <v/>
      </c>
      <c r="E127" s="261" t="str">
        <f aca="false">IFERROR(IF(E$21*E$23*E$25*E$26&gt;0,AVERAGE(E$21, E$23, E$25, E$26),""),"")</f>
        <v/>
      </c>
      <c r="F127" s="261" t="str">
        <f aca="false">IFERROR(IF(F$21*F$23*F$25*F$26&gt;0,AVERAGE(F$21, F$23, F$25, F$26),""),"")</f>
        <v/>
      </c>
      <c r="G127" s="261" t="str">
        <f aca="false">IFERROR(IF(G$21*G$23*G$25*G$26&gt;0,AVERAGE(G$21, G$23, G$25, G$26),""),"")</f>
        <v/>
      </c>
      <c r="H127" s="261" t="str">
        <f aca="false">IFERROR(IF(H$21*H$23*H$25*H$26&gt;0,AVERAGE(H$21, H$23, H$25, H$26),""),"")</f>
        <v/>
      </c>
      <c r="I127" s="261" t="str">
        <f aca="false">IFERROR(IF(I$21*I$23*I$25*I$26&gt;0,AVERAGE(I$21, I$23, I$25, I$26),""),"")</f>
        <v/>
      </c>
      <c r="J127" s="261" t="str">
        <f aca="false">IFERROR(IF(J$21*J$23*J$25*J$26&gt;0,AVERAGE(J$21, J$23, J$25, J$26),""),"")</f>
        <v/>
      </c>
      <c r="K127" s="261" t="str">
        <f aca="false">IFERROR(IF(K$21*K$23*K$25*K$26&gt;0,AVERAGE(K$21, K$23, K$25, K$26),""),"")</f>
        <v/>
      </c>
      <c r="L127" s="261" t="str">
        <f aca="false">IFERROR(IF(L$21*L$23*L$25*L$26&gt;0,AVERAGE(L$21, L$23, L$25, L$26),""),"")</f>
        <v/>
      </c>
      <c r="M127" s="261" t="str">
        <f aca="false">IFERROR(IF(M$21*M$23*M$25*M$26&gt;0,AVERAGE(M$21, M$23, M$25, M$26),""),"")</f>
        <v/>
      </c>
      <c r="N127" s="261" t="str">
        <f aca="false">IFERROR(IF(N$21*N$23*N$25*N$26&gt;0,AVERAGE(N$21, N$23, N$25, N$26),""),"")</f>
        <v/>
      </c>
      <c r="O127" s="224"/>
      <c r="P127" s="224"/>
      <c r="Q127" s="232"/>
      <c r="R127" s="226" t="s">
        <v>525</v>
      </c>
      <c r="S127" s="227" t="str">
        <f aca="false">IFERROR(IF(C$21*C$23*C$25*C$26&gt;0,STDEV(C$21, C$23, C$25, C$26),"")/IF(C$21*C$23*C$25*C$26&gt;0,AVERAGE(C$21, C$23, C$25, C$26),""),"")</f>
        <v/>
      </c>
      <c r="T127" s="227" t="str">
        <f aca="false">IFERROR(IF(D$21*D$23*D$25*D$26&gt;0,STDEV(D$21, D$23, D$25, D$26),"")/IF(D$21*D$23*D$25*D$26&gt;0,AVERAGE(D$21, D$23, D$25, D$26),""),"")</f>
        <v/>
      </c>
      <c r="U127" s="227" t="str">
        <f aca="false">IFERROR(IF(E$21*E$23*E$25*E$26&gt;0,STDEV(E$21, E$23, E$25, E$26),"")/IF(E$21*E$23*E$25*E$26&gt;0,AVERAGE(E$21, E$23, E$25, E$26),""),"")</f>
        <v/>
      </c>
      <c r="V127" s="227" t="str">
        <f aca="false">IFERROR(IF(F$21*F$23*F$25*F$26&gt;0,STDEV(F$21, F$23, F$25, F$26),"")/IF(F$21*F$23*F$25*F$26&gt;0,AVERAGE(F$21, F$23, F$25, F$26),""),"")</f>
        <v/>
      </c>
      <c r="W127" s="227" t="str">
        <f aca="false">IFERROR(IF(G$21*G$23*G$25*G$26&gt;0,STDEV(G$21, G$23, G$25, G$26),"")/IF(G$21*G$23*G$25*G$26&gt;0,AVERAGE(G$21, G$23, G$25, G$26),""),"")</f>
        <v/>
      </c>
      <c r="X127" s="227" t="str">
        <f aca="false">IFERROR(IF(H$21*H$23*H$25*H$26&gt;0,STDEV(H$21, H$23, H$25, H$26),"")/IF(H$21*H$23*H$25*H$26&gt;0,AVERAGE(H$21, H$23, H$25, H$26),""),"")</f>
        <v/>
      </c>
      <c r="Y127" s="227" t="str">
        <f aca="false">IFERROR(IF(I$21*I$23*I$25*I$26&gt;0,STDEV(I$21, I$23, I$25, I$26),"")/IF(I$21*I$23*I$25*I$26&gt;0,AVERAGE(I$21, I$23, I$25, I$26),""),"")</f>
        <v/>
      </c>
      <c r="Z127" s="227" t="str">
        <f aca="false">IFERROR(IF(J$21*J$23*J$25*J$26&gt;0,STDEV(J$21, J$23, J$25, J$26),"")/IF(J$21*J$23*J$25*J$26&gt;0,AVERAGE(J$21, J$23, J$25, J$26),""),"")</f>
        <v/>
      </c>
      <c r="AA127" s="227" t="str">
        <f aca="false">IFERROR(IF(K$21*K$23*K$25*K$26&gt;0,STDEV(K$21, K$23, K$25, K$26),"")/IF(K$21*K$23*K$25*K$26&gt;0,AVERAGE(K$21, K$23, K$25, K$26),""),"")</f>
        <v/>
      </c>
      <c r="AB127" s="227" t="str">
        <f aca="false">IFERROR(IF(L$21*L$23*L$25*L$26&gt;0,STDEV(L$21, L$23, L$25, L$26),"")/IF(L$21*L$23*L$25*L$26&gt;0,AVERAGE(L$21, L$23, L$25, L$26),""),"")</f>
        <v/>
      </c>
      <c r="AC127" s="227" t="str">
        <f aca="false">IFERROR(IF(M$21*M$23*M$25*M$26&gt;0,STDEV(M$21, M$23, M$25, M$26),"")/IF(M$21*M$23*M$25*M$26&gt;0,AVERAGE(M$21, M$23, M$25, M$26),""),"")</f>
        <v/>
      </c>
      <c r="AD127" s="227" t="str">
        <f aca="false">IFERROR(IF(N$21*N$23*N$25*N$26&gt;0,STDEV(N$21, N$23, N$25, N$26),"")/IF(N$21*N$23*N$25*N$26&gt;0,AVERAGE(N$21, N$23, N$25, N$26),""),"")</f>
        <v/>
      </c>
      <c r="AE127" s="233"/>
      <c r="AF127" s="229" t="s">
        <v>526</v>
      </c>
      <c r="AG127" s="230" t="str">
        <f aca="false">IFERROR(IF(C$21*C$23*C$25*C$26&gt;0,STDEV(C$21, C$23, C$25, C$26)," ")/IF(C$21*C$23*C$25*C$26&gt;0,SQRT(COUNT(C$21, C$23, C$25, C$26))," "),"")</f>
        <v/>
      </c>
      <c r="AH127" s="230" t="str">
        <f aca="false">IFERROR(IF(D$21*D$23*D$25*D$26&gt;0,STDEV(D$21, D$23, D$25, D$26)," ")/IF(D$21*D$23*D$25*D$26&gt;0,SQRT(COUNT(D$21, D$23, D$25, D$26))," "),"")</f>
        <v/>
      </c>
      <c r="AI127" s="230" t="str">
        <f aca="false">IFERROR(IF(E$21*E$23*E$25*E$26&gt;0,STDEV(E$21, E$23, E$25, E$26)," ")/IF(E$21*E$23*E$25*E$26&gt;0,SQRT(COUNT(E$21, E$23, E$25, E$26))," "),"")</f>
        <v/>
      </c>
      <c r="AJ127" s="230" t="str">
        <f aca="false">IFERROR(IF(F$21*F$23*F$25*F$26&gt;0,STDEV(F$21, F$23, F$25, F$26)," ")/IF(F$21*F$23*F$25*F$26&gt;0,SQRT(COUNT(F$21, F$23, F$25, F$26))," "),"")</f>
        <v/>
      </c>
      <c r="AK127" s="230" t="str">
        <f aca="false">IFERROR(IF(G$21*G$23*G$25*G$26&gt;0,STDEV(G$21, G$23, G$25, G$26)," ")/IF(G$21*G$23*G$25*G$26&gt;0,SQRT(COUNT(G$21, G$23, G$25, G$26))," "),"")</f>
        <v/>
      </c>
      <c r="AL127" s="230" t="str">
        <f aca="false">IFERROR(IF(H$21*H$23*H$25*H$26&gt;0,STDEV(H$21, H$23, H$25, H$26)," ")/IF(H$21*H$23*H$25*H$26&gt;0,SQRT(COUNT(H$21, H$23, H$25, H$26))," "),"")</f>
        <v/>
      </c>
      <c r="AM127" s="230" t="str">
        <f aca="false">IFERROR(IF(I$21*I$23*I$25*I$26&gt;0,STDEV(I$21, I$23, I$25, I$26)," ")/IF(I$21*I$23*I$25*I$26&gt;0,SQRT(COUNT(I$21, I$23, I$25, I$26))," "),"")</f>
        <v/>
      </c>
      <c r="AN127" s="230" t="str">
        <f aca="false">IFERROR(IF(J$21*J$23*J$25*J$26&gt;0,STDEV(J$21, J$23, J$25, J$26)," ")/IF(J$21*J$23*J$25*J$26&gt;0,SQRT(COUNT(J$21, J$23, J$25, J$26))," "),"")</f>
        <v/>
      </c>
      <c r="AO127" s="230" t="str">
        <f aca="false">IFERROR(IF(K$21*K$23*K$25*K$26&gt;0,STDEV(K$21, K$23, K$25, K$26)," ")/IF(K$21*K$23*K$25*K$26&gt;0,SQRT(COUNT(K$21, K$23, K$25, K$26))," "),"")</f>
        <v/>
      </c>
      <c r="AP127" s="230" t="str">
        <f aca="false">IFERROR(IF(L$21*L$23*L$25*L$26&gt;0,STDEV(L$21, L$23, L$25, L$26)," ")/IF(L$21*L$23*L$25*L$26&gt;0,SQRT(COUNT(L$21, L$23, L$25, L$26))," "),"")</f>
        <v/>
      </c>
      <c r="AQ127" s="230" t="str">
        <f aca="false">IFERROR(IF(M$21*M$23*M$25*M$26&gt;0,STDEV(M$21, M$23, M$25, M$26)," ")/IF(M$21*M$23*M$25*M$26&gt;0,SQRT(COUNT(M$21, M$23, M$25, M$26))," "),"")</f>
        <v/>
      </c>
      <c r="AR127" s="230" t="str">
        <f aca="false">IFERROR(IF(N$21*N$23*N$25*N$26&gt;0,STDEV(N$21, N$23, N$25, N$26)," ")/IF(N$21*N$23*N$25*N$26&gt;0,SQRT(COUNT(N$21, N$23, N$25, N$26))," "),"")</f>
        <v/>
      </c>
    </row>
    <row r="128" customFormat="false" ht="15.75" hidden="false" customHeight="false" outlineLevel="0" collapsed="false">
      <c r="A128" s="220" t="s">
        <v>527</v>
      </c>
      <c r="B128" s="221"/>
      <c r="C128" s="261" t="str">
        <f aca="false">IFERROR(IF(C$21*C$23*C$25*C$27&gt;0,AVERAGE(C$25:C$27, C$27),""),"")</f>
        <v/>
      </c>
      <c r="D128" s="261" t="str">
        <f aca="false">IFERROR(IF(D$21*D$23*D$25*D$27&gt;0,AVERAGE(D$25:D$27, D$27),""),"")</f>
        <v/>
      </c>
      <c r="E128" s="261" t="str">
        <f aca="false">IFERROR(IF(E$21*E$23*E$25*E$27&gt;0,AVERAGE(E$25:E$27, E$27),""),"")</f>
        <v/>
      </c>
      <c r="F128" s="261" t="str">
        <f aca="false">IFERROR(IF(F$21*F$23*F$25*F$27&gt;0,AVERAGE(F$25:F$27, F$27),""),"")</f>
        <v/>
      </c>
      <c r="G128" s="261" t="str">
        <f aca="false">IFERROR(IF(G$21*G$23*G$25*G$27&gt;0,AVERAGE(G$25:G$27, G$27),""),"")</f>
        <v/>
      </c>
      <c r="H128" s="261" t="str">
        <f aca="false">IFERROR(IF(H$21*H$23*H$25*H$27&gt;0,AVERAGE(H$25:H$27, H$27),""),"")</f>
        <v/>
      </c>
      <c r="I128" s="261" t="str">
        <f aca="false">IFERROR(IF(I$21*I$23*I$25*I$27&gt;0,AVERAGE(I$25:I$27, I$27),""),"")</f>
        <v/>
      </c>
      <c r="J128" s="261" t="str">
        <f aca="false">IFERROR(IF(J$21*J$23*J$25*J$27&gt;0,AVERAGE(J$25:J$27, J$27),""),"")</f>
        <v/>
      </c>
      <c r="K128" s="261" t="str">
        <f aca="false">IFERROR(IF(K$21*K$23*K$25*K$27&gt;0,AVERAGE(K$25:K$27, K$27),""),"")</f>
        <v/>
      </c>
      <c r="L128" s="261" t="str">
        <f aca="false">IFERROR(IF(L$21*L$23*L$25*L$27&gt;0,AVERAGE(L$25:L$27, L$27),""),"")</f>
        <v/>
      </c>
      <c r="M128" s="261" t="str">
        <f aca="false">IFERROR(IF(M$21*M$23*M$25*M$27&gt;0,AVERAGE(M$25:M$27, M$27),""),"")</f>
        <v/>
      </c>
      <c r="N128" s="261" t="str">
        <f aca="false">IFERROR(IF(N$21*N$23*N$25*N$27&gt;0,AVERAGE(N$25:N$27, N$27),""),"")</f>
        <v/>
      </c>
      <c r="O128" s="224"/>
      <c r="P128" s="224"/>
      <c r="Q128" s="232"/>
      <c r="R128" s="226" t="s">
        <v>528</v>
      </c>
      <c r="S128" s="227" t="str">
        <f aca="false">IFERROR(IF(C$21*C$23*C$25*C$27&gt;0,STDEV(C$25:C$27, C$27),"")/IF(C$21*C$23*C$25*C$27&gt;0,AVERAGE(C$25:C$27, C$27),""),"")</f>
        <v/>
      </c>
      <c r="T128" s="227" t="str">
        <f aca="false">IFERROR(IF(D$21*D$23*D$25*D$27&gt;0,STDEV(D$25:D$27, D$27),"")/IF(D$21*D$23*D$25*D$27&gt;0,AVERAGE(D$25:D$27, D$27),""),"")</f>
        <v/>
      </c>
      <c r="U128" s="227" t="str">
        <f aca="false">IFERROR(IF(E$21*E$23*E$25*E$27&gt;0,STDEV(E$25:E$27, E$27),"")/IF(E$21*E$23*E$25*E$27&gt;0,AVERAGE(E$25:E$27, E$27),""),"")</f>
        <v/>
      </c>
      <c r="V128" s="227" t="str">
        <f aca="false">IFERROR(IF(F$21*F$23*F$25*F$27&gt;0,STDEV(F$25:F$27, F$27),"")/IF(F$21*F$23*F$25*F$27&gt;0,AVERAGE(F$25:F$27, F$27),""),"")</f>
        <v/>
      </c>
      <c r="W128" s="227" t="str">
        <f aca="false">IFERROR(IF(G$21*G$23*G$25*G$27&gt;0,STDEV(G$25:G$27, G$27),"")/IF(G$21*G$23*G$25*G$27&gt;0,AVERAGE(G$25:G$27, G$27),""),"")</f>
        <v/>
      </c>
      <c r="X128" s="227" t="str">
        <f aca="false">IFERROR(IF(H$21*H$23*H$25*H$27&gt;0,STDEV(H$25:H$27, H$27),"")/IF(H$21*H$23*H$25*H$27&gt;0,AVERAGE(H$25:H$27, H$27),""),"")</f>
        <v/>
      </c>
      <c r="Y128" s="227" t="str">
        <f aca="false">IFERROR(IF(I$21*I$23*I$25*I$27&gt;0,STDEV(I$25:I$27, I$27),"")/IF(I$21*I$23*I$25*I$27&gt;0,AVERAGE(I$25:I$27, I$27),""),"")</f>
        <v/>
      </c>
      <c r="Z128" s="227" t="str">
        <f aca="false">IFERROR(IF(J$21*J$23*J$25*J$27&gt;0,STDEV(J$25:J$27, J$27),"")/IF(J$21*J$23*J$25*J$27&gt;0,AVERAGE(J$25:J$27, J$27),""),"")</f>
        <v/>
      </c>
      <c r="AA128" s="227" t="str">
        <f aca="false">IFERROR(IF(K$21*K$23*K$25*K$27&gt;0,STDEV(K$25:K$27, K$27),"")/IF(K$21*K$23*K$25*K$27&gt;0,AVERAGE(K$25:K$27, K$27),""),"")</f>
        <v/>
      </c>
      <c r="AB128" s="227" t="str">
        <f aca="false">IFERROR(IF(L$21*L$23*L$25*L$27&gt;0,STDEV(L$25:L$27, L$27),"")/IF(L$21*L$23*L$25*L$27&gt;0,AVERAGE(L$25:L$27, L$27),""),"")</f>
        <v/>
      </c>
      <c r="AC128" s="227" t="str">
        <f aca="false">IFERROR(IF(M$21*M$23*M$25*M$27&gt;0,STDEV(M$25:M$27, M$27),"")/IF(M$21*M$23*M$25*M$27&gt;0,AVERAGE(M$25:M$27, M$27),""),"")</f>
        <v/>
      </c>
      <c r="AD128" s="227" t="str">
        <f aca="false">IFERROR(IF(N$21*N$23*N$25*N$27&gt;0,STDEV(N$25:N$27, N$27),"")/IF(N$21*N$23*N$25*N$27&gt;0,AVERAGE(N$25:N$27, N$27),""),"")</f>
        <v/>
      </c>
      <c r="AE128" s="233"/>
      <c r="AF128" s="229" t="s">
        <v>529</v>
      </c>
      <c r="AG128" s="230" t="str">
        <f aca="false">IFERROR(IF(C$21*C$23*C$25*C$27&gt;0,STDEV(C$25:C$27, C$27)," ")/IF(C$21*C$23*C$25*C$27&gt;0,SQRT(COUNT(C$25:C$27, C$27))," "),"")</f>
        <v/>
      </c>
      <c r="AH128" s="230" t="str">
        <f aca="false">IFERROR(IF(D$21*D$23*D$25*D$27&gt;0,STDEV(D$25:D$27, D$27)," ")/IF(D$21*D$23*D$25*D$27&gt;0,SQRT(COUNT(D$25:D$27, D$27))," "),"")</f>
        <v/>
      </c>
      <c r="AI128" s="230" t="str">
        <f aca="false">IFERROR(IF(E$21*E$23*E$25*E$27&gt;0,STDEV(E$25:E$27, E$27)," ")/IF(E$21*E$23*E$25*E$27&gt;0,SQRT(COUNT(E$25:E$27, E$27))," "),"")</f>
        <v/>
      </c>
      <c r="AJ128" s="230" t="str">
        <f aca="false">IFERROR(IF(F$21*F$23*F$25*F$27&gt;0,STDEV(F$25:F$27, F$27)," ")/IF(F$21*F$23*F$25*F$27&gt;0,SQRT(COUNT(F$25:F$27, F$27))," "),"")</f>
        <v/>
      </c>
      <c r="AK128" s="230" t="str">
        <f aca="false">IFERROR(IF(G$21*G$23*G$25*G$27&gt;0,STDEV(G$25:G$27, G$27)," ")/IF(G$21*G$23*G$25*G$27&gt;0,SQRT(COUNT(G$25:G$27, G$27))," "),"")</f>
        <v/>
      </c>
      <c r="AL128" s="230" t="str">
        <f aca="false">IFERROR(IF(H$21*H$23*H$25*H$27&gt;0,STDEV(H$25:H$27, H$27)," ")/IF(H$21*H$23*H$25*H$27&gt;0,SQRT(COUNT(H$25:H$27, H$27))," "),"")</f>
        <v/>
      </c>
      <c r="AM128" s="230" t="str">
        <f aca="false">IFERROR(IF(I$21*I$23*I$25*I$27&gt;0,STDEV(I$25:I$27, I$27)," ")/IF(I$21*I$23*I$25*I$27&gt;0,SQRT(COUNT(I$25:I$27, I$27))," "),"")</f>
        <v/>
      </c>
      <c r="AN128" s="230" t="str">
        <f aca="false">IFERROR(IF(J$21*J$23*J$25*J$27&gt;0,STDEV(J$25:J$27, J$27)," ")/IF(J$21*J$23*J$25*J$27&gt;0,SQRT(COUNT(J$25:J$27, J$27))," "),"")</f>
        <v/>
      </c>
      <c r="AO128" s="230" t="str">
        <f aca="false">IFERROR(IF(K$21*K$23*K$25*K$27&gt;0,STDEV(K$25:K$27, K$27)," ")/IF(K$21*K$23*K$25*K$27&gt;0,SQRT(COUNT(K$25:K$27, K$27))," "),"")</f>
        <v/>
      </c>
      <c r="AP128" s="230" t="str">
        <f aca="false">IFERROR(IF(L$21*L$23*L$25*L$27&gt;0,STDEV(L$25:L$27, L$27)," ")/IF(L$21*L$23*L$25*L$27&gt;0,SQRT(COUNT(L$25:L$27, L$27))," "),"")</f>
        <v/>
      </c>
      <c r="AQ128" s="230" t="str">
        <f aca="false">IFERROR(IF(M$21*M$23*M$25*M$27&gt;0,STDEV(M$25:M$27, M$27)," ")/IF(M$21*M$23*M$25*M$27&gt;0,SQRT(COUNT(M$25:M$27, M$27))," "),"")</f>
        <v/>
      </c>
      <c r="AR128" s="230" t="str">
        <f aca="false">IFERROR(IF(N$21*N$23*N$25*N$27&gt;0,STDEV(N$25:N$27, N$27)," ")/IF(N$21*N$23*N$25*N$27&gt;0,SQRT(COUNT(N$25:N$27, N$27))," "),"")</f>
        <v/>
      </c>
    </row>
    <row r="129" customFormat="false" ht="15.75" hidden="false" customHeight="false" outlineLevel="0" collapsed="false">
      <c r="A129" s="220" t="s">
        <v>530</v>
      </c>
      <c r="B129" s="221"/>
      <c r="C129" s="261" t="str">
        <f aca="false">IFERROR(IF(C$21*C$24*C$25*C$27&gt;0,AVERAGE(C$21, C$24, C$25, C$26),""),"")</f>
        <v/>
      </c>
      <c r="D129" s="261" t="str">
        <f aca="false">IFERROR(IF(D$21*D$24*D$25*D$27&gt;0,AVERAGE(D$21, D$24, D$25, D$26),""),"")</f>
        <v/>
      </c>
      <c r="E129" s="261" t="str">
        <f aca="false">IFERROR(IF(E$21*E$24*E$25*E$27&gt;0,AVERAGE(E$21, E$24, E$25, E$26),""),"")</f>
        <v/>
      </c>
      <c r="F129" s="261" t="str">
        <f aca="false">IFERROR(IF(F$21*F$24*F$25*F$27&gt;0,AVERAGE(F$21, F$24, F$25, F$26),""),"")</f>
        <v/>
      </c>
      <c r="G129" s="261" t="str">
        <f aca="false">IFERROR(IF(G$21*G$24*G$25*G$27&gt;0,AVERAGE(G$21, G$24, G$25, G$26),""),"")</f>
        <v/>
      </c>
      <c r="H129" s="261" t="str">
        <f aca="false">IFERROR(IF(H$21*H$24*H$25*H$27&gt;0,AVERAGE(H$21, H$24, H$25, H$26),""),"")</f>
        <v/>
      </c>
      <c r="I129" s="261" t="str">
        <f aca="false">IFERROR(IF(I$21*I$24*I$25*I$27&gt;0,AVERAGE(I$21, I$24, I$25, I$26),""),"")</f>
        <v/>
      </c>
      <c r="J129" s="261" t="str">
        <f aca="false">IFERROR(IF(J$21*J$24*J$25*J$27&gt;0,AVERAGE(J$21, J$24, J$25, J$26),""),"")</f>
        <v/>
      </c>
      <c r="K129" s="261" t="str">
        <f aca="false">IFERROR(IF(K$21*K$24*K$25*K$27&gt;0,AVERAGE(K$21, K$24, K$25, K$26),""),"")</f>
        <v/>
      </c>
      <c r="L129" s="261" t="str">
        <f aca="false">IFERROR(IF(L$21*L$24*L$25*L$27&gt;0,AVERAGE(L$21, L$24, L$25, L$26),""),"")</f>
        <v/>
      </c>
      <c r="M129" s="261" t="str">
        <f aca="false">IFERROR(IF(M$21*M$24*M$25*M$27&gt;0,AVERAGE(M$21, M$24, M$25, M$26),""),"")</f>
        <v/>
      </c>
      <c r="N129" s="261" t="str">
        <f aca="false">IFERROR(IF(N$21*N$24*N$25*N$27&gt;0,AVERAGE(N$21, N$24, N$25, N$26),""),"")</f>
        <v/>
      </c>
      <c r="O129" s="224"/>
      <c r="P129" s="224"/>
      <c r="Q129" s="232"/>
      <c r="R129" s="226" t="s">
        <v>531</v>
      </c>
      <c r="S129" s="227" t="str">
        <f aca="false">IFERROR(IF(C$21*C$24*C$25*C$27&gt;0,STDEV(C$21, C$24, C$25, C$26),"")/IF(C$21*C$24*C$25*C$27&gt;0,AVERAGE(C$21, C$24, C$25, C$26),""),"")</f>
        <v/>
      </c>
      <c r="T129" s="227" t="str">
        <f aca="false">IFERROR(IF(D$21*D$24*D$25*D$27&gt;0,STDEV(D$21, D$24, D$25, D$26),"")/IF(D$21*D$24*D$25*D$27&gt;0,AVERAGE(D$21, D$24, D$25, D$26),""),"")</f>
        <v/>
      </c>
      <c r="U129" s="227" t="str">
        <f aca="false">IFERROR(IF(E$21*E$24*E$25*E$27&gt;0,STDEV(E$21, E$24, E$25, E$26),"")/IF(E$21*E$24*E$25*E$27&gt;0,AVERAGE(E$21, E$24, E$25, E$26),""),"")</f>
        <v/>
      </c>
      <c r="V129" s="227" t="str">
        <f aca="false">IFERROR(IF(F$21*F$24*F$25*F$27&gt;0,STDEV(F$21, F$24, F$25, F$26),"")/IF(F$21*F$24*F$25*F$27&gt;0,AVERAGE(F$21, F$24, F$25, F$26),""),"")</f>
        <v/>
      </c>
      <c r="W129" s="227" t="str">
        <f aca="false">IFERROR(IF(G$21*G$24*G$25*G$27&gt;0,STDEV(G$21, G$24, G$25, G$26),"")/IF(G$21*G$24*G$25*G$27&gt;0,AVERAGE(G$21, G$24, G$25, G$26),""),"")</f>
        <v/>
      </c>
      <c r="X129" s="227" t="str">
        <f aca="false">IFERROR(IF(H$21*H$24*H$25*H$27&gt;0,STDEV(H$21, H$24, H$25, H$26),"")/IF(H$21*H$24*H$25*H$27&gt;0,AVERAGE(H$21, H$24, H$25, H$26),""),"")</f>
        <v/>
      </c>
      <c r="Y129" s="227" t="str">
        <f aca="false">IFERROR(IF(I$21*I$24*I$25*I$27&gt;0,STDEV(I$21, I$24, I$25, I$26),"")/IF(I$21*I$24*I$25*I$27&gt;0,AVERAGE(I$21, I$24, I$25, I$26),""),"")</f>
        <v/>
      </c>
      <c r="Z129" s="227" t="str">
        <f aca="false">IFERROR(IF(J$21*J$24*J$25*J$27&gt;0,STDEV(J$21, J$24, J$25, J$26),"")/IF(J$21*J$24*J$25*J$27&gt;0,AVERAGE(J$21, J$24, J$25, J$26),""),"")</f>
        <v/>
      </c>
      <c r="AA129" s="227" t="str">
        <f aca="false">IFERROR(IF(K$21*K$24*K$25*K$27&gt;0,STDEV(K$21, K$24, K$25, K$26),"")/IF(K$21*K$24*K$25*K$27&gt;0,AVERAGE(K$21, K$24, K$25, K$26),""),"")</f>
        <v/>
      </c>
      <c r="AB129" s="227" t="str">
        <f aca="false">IFERROR(IF(L$21*L$24*L$25*L$27&gt;0,STDEV(L$21, L$24, L$25, L$26),"")/IF(L$21*L$24*L$25*L$27&gt;0,AVERAGE(L$21, L$24, L$25, L$26),""),"")</f>
        <v/>
      </c>
      <c r="AC129" s="227" t="str">
        <f aca="false">IFERROR(IF(M$21*M$24*M$25*M$27&gt;0,STDEV(M$21, M$24, M$25, M$26),"")/IF(M$21*M$24*M$25*M$27&gt;0,AVERAGE(M$21, M$24, M$25, M$26),""),"")</f>
        <v/>
      </c>
      <c r="AD129" s="227" t="str">
        <f aca="false">IFERROR(IF(N$21*N$24*N$25*N$27&gt;0,STDEV(N$21, N$24, N$25, N$26),"")/IF(N$21*N$24*N$25*N$27&gt;0,AVERAGE(N$21, N$24, N$25, N$26),""),"")</f>
        <v/>
      </c>
      <c r="AE129" s="233"/>
      <c r="AF129" s="229" t="s">
        <v>532</v>
      </c>
      <c r="AG129" s="230" t="str">
        <f aca="false">IFERROR(IF(C$21*C$24*C$25*C$27&gt;0,STDEV(C$21, C$24, C$25, C$26)," ")/IF(C$21*C$24*C$25*C$27&gt;0,SQRT(COUNT(C$21, C$24, C$25, C$26))," "),"")</f>
        <v/>
      </c>
      <c r="AH129" s="230" t="str">
        <f aca="false">IFERROR(IF(D$21*D$24*D$25*D$27&gt;0,STDEV(D$21, D$24, D$25, D$26)," ")/IF(D$21*D$24*D$25*D$27&gt;0,SQRT(COUNT(D$21, D$24, D$25, D$26))," "),"")</f>
        <v/>
      </c>
      <c r="AI129" s="230" t="str">
        <f aca="false">IFERROR(IF(E$21*E$24*E$25*E$27&gt;0,STDEV(E$21, E$24, E$25, E$26)," ")/IF(E$21*E$24*E$25*E$27&gt;0,SQRT(COUNT(E$21, E$24, E$25, E$26))," "),"")</f>
        <v/>
      </c>
      <c r="AJ129" s="230" t="str">
        <f aca="false">IFERROR(IF(F$21*F$24*F$25*F$27&gt;0,STDEV(F$21, F$24, F$25, F$26)," ")/IF(F$21*F$24*F$25*F$27&gt;0,SQRT(COUNT(F$21, F$24, F$25, F$26))," "),"")</f>
        <v/>
      </c>
      <c r="AK129" s="230" t="str">
        <f aca="false">IFERROR(IF(G$21*G$24*G$25*G$27&gt;0,STDEV(G$21, G$24, G$25, G$26)," ")/IF(G$21*G$24*G$25*G$27&gt;0,SQRT(COUNT(G$21, G$24, G$25, G$26))," "),"")</f>
        <v/>
      </c>
      <c r="AL129" s="230" t="str">
        <f aca="false">IFERROR(IF(H$21*H$24*H$25*H$27&gt;0,STDEV(H$21, H$24, H$25, H$26)," ")/IF(H$21*H$24*H$25*H$27&gt;0,SQRT(COUNT(H$21, H$24, H$25, H$26))," "),"")</f>
        <v/>
      </c>
      <c r="AM129" s="230" t="str">
        <f aca="false">IFERROR(IF(I$21*I$24*I$25*I$27&gt;0,STDEV(I$21, I$24, I$25, I$26)," ")/IF(I$21*I$24*I$25*I$27&gt;0,SQRT(COUNT(I$21, I$24, I$25, I$26))," "),"")</f>
        <v/>
      </c>
      <c r="AN129" s="230" t="str">
        <f aca="false">IFERROR(IF(J$21*J$24*J$25*J$27&gt;0,STDEV(J$21, J$24, J$25, J$26)," ")/IF(J$21*J$24*J$25*J$27&gt;0,SQRT(COUNT(J$21, J$24, J$25, J$26))," "),"")</f>
        <v/>
      </c>
      <c r="AO129" s="230" t="str">
        <f aca="false">IFERROR(IF(K$21*K$24*K$25*K$27&gt;0,STDEV(K$21, K$24, K$25, K$26)," ")/IF(K$21*K$24*K$25*K$27&gt;0,SQRT(COUNT(K$21, K$24, K$25, K$26))," "),"")</f>
        <v/>
      </c>
      <c r="AP129" s="230" t="str">
        <f aca="false">IFERROR(IF(L$21*L$24*L$25*L$27&gt;0,STDEV(L$21, L$24, L$25, L$26)," ")/IF(L$21*L$24*L$25*L$27&gt;0,SQRT(COUNT(L$21, L$24, L$25, L$26))," "),"")</f>
        <v/>
      </c>
      <c r="AQ129" s="230" t="str">
        <f aca="false">IFERROR(IF(M$21*M$24*M$25*M$27&gt;0,STDEV(M$21, M$24, M$25, M$26)," ")/IF(M$21*M$24*M$25*M$27&gt;0,SQRT(COUNT(M$21, M$24, M$25, M$26))," "),"")</f>
        <v/>
      </c>
      <c r="AR129" s="230" t="str">
        <f aca="false">IFERROR(IF(N$21*N$24*N$25*N$27&gt;0,STDEV(N$21, N$24, N$25, N$26)," ")/IF(N$21*N$24*N$25*N$27&gt;0,SQRT(COUNT(N$21, N$24, N$25, N$26))," "),"")</f>
        <v/>
      </c>
    </row>
    <row r="130" customFormat="false" ht="15.75" hidden="false" customHeight="false" outlineLevel="0" collapsed="false">
      <c r="A130" s="220" t="s">
        <v>533</v>
      </c>
      <c r="B130" s="221"/>
      <c r="C130" s="261" t="str">
        <f aca="false">IFERROR(IF(C$21*C$24*C$25*C$27&gt;0,AVERAGE(C$21, C$24, C$25, C$27),""),"")</f>
        <v/>
      </c>
      <c r="D130" s="261" t="str">
        <f aca="false">IFERROR(IF(D$21*D$24*D$25*D$27&gt;0,AVERAGE(D$21, D$24, D$25, D$27),""),"")</f>
        <v/>
      </c>
      <c r="E130" s="261" t="str">
        <f aca="false">IFERROR(IF(E$21*E$24*E$25*E$27&gt;0,AVERAGE(E$21, E$24, E$25, E$27),""),"")</f>
        <v/>
      </c>
      <c r="F130" s="261" t="str">
        <f aca="false">IFERROR(IF(F$21*F$24*F$25*F$27&gt;0,AVERAGE(F$21, F$24, F$25, F$27),""),"")</f>
        <v/>
      </c>
      <c r="G130" s="261" t="str">
        <f aca="false">IFERROR(IF(G$21*G$24*G$25*G$27&gt;0,AVERAGE(G$21, G$24, G$25, G$27),""),"")</f>
        <v/>
      </c>
      <c r="H130" s="261" t="str">
        <f aca="false">IFERROR(IF(H$21*H$24*H$25*H$27&gt;0,AVERAGE(H$21, H$24, H$25, H$27),""),"")</f>
        <v/>
      </c>
      <c r="I130" s="261" t="str">
        <f aca="false">IFERROR(IF(I$21*I$24*I$25*I$27&gt;0,AVERAGE(I$21, I$24, I$25, I$27),""),"")</f>
        <v/>
      </c>
      <c r="J130" s="261" t="str">
        <f aca="false">IFERROR(IF(J$21*J$24*J$25*J$27&gt;0,AVERAGE(J$21, J$24, J$25, J$27),""),"")</f>
        <v/>
      </c>
      <c r="K130" s="261" t="str">
        <f aca="false">IFERROR(IF(K$21*K$24*K$25*K$27&gt;0,AVERAGE(K$21, K$24, K$25, K$27),""),"")</f>
        <v/>
      </c>
      <c r="L130" s="261" t="str">
        <f aca="false">IFERROR(IF(L$21*L$24*L$25*L$27&gt;0,AVERAGE(L$21, L$24, L$25, L$27),""),"")</f>
        <v/>
      </c>
      <c r="M130" s="261" t="str">
        <f aca="false">IFERROR(IF(M$21*M$24*M$25*M$27&gt;0,AVERAGE(M$21, M$24, M$25, M$27),""),"")</f>
        <v/>
      </c>
      <c r="N130" s="261" t="str">
        <f aca="false">IFERROR(IF(N$21*N$24*N$25*N$27&gt;0,AVERAGE(N$21, N$24, N$25, N$27),""),"")</f>
        <v/>
      </c>
      <c r="O130" s="224"/>
      <c r="P130" s="224"/>
      <c r="Q130" s="232"/>
      <c r="R130" s="226" t="s">
        <v>534</v>
      </c>
      <c r="S130" s="227" t="str">
        <f aca="false">IFERROR(IF(C$21*C$24*C$25*C$27&gt;0,STDEV(C$21, C$24, C$25, C$27),"")/IF(C$21*C$24*C$25*C$27&gt;0,AVERAGE(C$21, C$24, C$25, C$27),""),"")</f>
        <v/>
      </c>
      <c r="T130" s="227" t="str">
        <f aca="false">IFERROR(IF(D$21*D$24*D$25*D$27&gt;0,STDEV(D$21, D$24, D$25, D$27),"")/IF(D$21*D$24*D$25*D$27&gt;0,AVERAGE(D$21, D$24, D$25, D$27),""),"")</f>
        <v/>
      </c>
      <c r="U130" s="227" t="str">
        <f aca="false">IFERROR(IF(E$21*E$24*E$25*E$27&gt;0,STDEV(E$21, E$24, E$25, E$27),"")/IF(E$21*E$24*E$25*E$27&gt;0,AVERAGE(E$21, E$24, E$25, E$27),""),"")</f>
        <v/>
      </c>
      <c r="V130" s="227" t="str">
        <f aca="false">IFERROR(IF(F$21*F$24*F$25*F$27&gt;0,STDEV(F$21, F$24, F$25, F$27),"")/IF(F$21*F$24*F$25*F$27&gt;0,AVERAGE(F$21, F$24, F$25, F$27),""),"")</f>
        <v/>
      </c>
      <c r="W130" s="227" t="str">
        <f aca="false">IFERROR(IF(G$21*G$24*G$25*G$27&gt;0,STDEV(G$21, G$24, G$25, G$27),"")/IF(G$21*G$24*G$25*G$27&gt;0,AVERAGE(G$21, G$24, G$25, G$27),""),"")</f>
        <v/>
      </c>
      <c r="X130" s="227" t="str">
        <f aca="false">IFERROR(IF(H$21*H$24*H$25*H$27&gt;0,STDEV(H$21, H$24, H$25, H$27),"")/IF(H$21*H$24*H$25*H$27&gt;0,AVERAGE(H$21, H$24, H$25, H$27),""),"")</f>
        <v/>
      </c>
      <c r="Y130" s="227" t="str">
        <f aca="false">IFERROR(IF(I$21*I$24*I$25*I$27&gt;0,STDEV(I$21, I$24, I$25, I$27),"")/IF(I$21*I$24*I$25*I$27&gt;0,AVERAGE(I$21, I$24, I$25, I$27),""),"")</f>
        <v/>
      </c>
      <c r="Z130" s="227" t="str">
        <f aca="false">IFERROR(IF(J$21*J$24*J$25*J$27&gt;0,STDEV(J$21, J$24, J$25, J$27),"")/IF(J$21*J$24*J$25*J$27&gt;0,AVERAGE(J$21, J$24, J$25, J$27),""),"")</f>
        <v/>
      </c>
      <c r="AA130" s="227" t="str">
        <f aca="false">IFERROR(IF(K$21*K$24*K$25*K$27&gt;0,STDEV(K$21, K$24, K$25, K$27),"")/IF(K$21*K$24*K$25*K$27&gt;0,AVERAGE(K$21, K$24, K$25, K$27),""),"")</f>
        <v/>
      </c>
      <c r="AB130" s="227" t="str">
        <f aca="false">IFERROR(IF(L$21*L$24*L$25*L$27&gt;0,STDEV(L$21, L$24, L$25, L$27),"")/IF(L$21*L$24*L$25*L$27&gt;0,AVERAGE(L$21, L$24, L$25, L$27),""),"")</f>
        <v/>
      </c>
      <c r="AC130" s="227" t="str">
        <f aca="false">IFERROR(IF(M$21*M$24*M$25*M$27&gt;0,STDEV(M$21, M$24, M$25, M$27),"")/IF(M$21*M$24*M$25*M$27&gt;0,AVERAGE(M$21, M$24, M$25, M$27),""),"")</f>
        <v/>
      </c>
      <c r="AD130" s="227" t="str">
        <f aca="false">IFERROR(IF(N$21*N$24*N$25*N$27&gt;0,STDEV(N$21, N$24, N$25, N$27),"")/IF(N$21*N$24*N$25*N$27&gt;0,AVERAGE(N$21, N$24, N$25, N$27),""),"")</f>
        <v/>
      </c>
      <c r="AE130" s="233"/>
      <c r="AF130" s="229" t="s">
        <v>535</v>
      </c>
      <c r="AG130" s="230" t="str">
        <f aca="false">IFERROR(IF(C$21*C$24*C$25*C$27&gt;0,STDEV(C$21, C$24, C$25, C$27)," ")/IF(C$21*C$24*C$25*C$27&gt;0,SQRT(COUNT(C$21, C$24, C$25, C$27))," "),"")</f>
        <v/>
      </c>
      <c r="AH130" s="230" t="str">
        <f aca="false">IFERROR(IF(D$21*D$24*D$25*D$27&gt;0,STDEV(D$21, D$24, D$25, D$27)," ")/IF(D$21*D$24*D$25*D$27&gt;0,SQRT(COUNT(D$21, D$24, D$25, D$27))," "),"")</f>
        <v/>
      </c>
      <c r="AI130" s="230" t="str">
        <f aca="false">IFERROR(IF(E$21*E$24*E$25*E$27&gt;0,STDEV(E$21, E$24, E$25, E$27)," ")/IF(E$21*E$24*E$25*E$27&gt;0,SQRT(COUNT(E$21, E$24, E$25, E$27))," "),"")</f>
        <v/>
      </c>
      <c r="AJ130" s="230" t="str">
        <f aca="false">IFERROR(IF(F$21*F$24*F$25*F$27&gt;0,STDEV(F$21, F$24, F$25, F$27)," ")/IF(F$21*F$24*F$25*F$27&gt;0,SQRT(COUNT(F$21, F$24, F$25, F$27))," "),"")</f>
        <v/>
      </c>
      <c r="AK130" s="230" t="str">
        <f aca="false">IFERROR(IF(G$21*G$24*G$25*G$27&gt;0,STDEV(G$21, G$24, G$25, G$27)," ")/IF(G$21*G$24*G$25*G$27&gt;0,SQRT(COUNT(G$21, G$24, G$25, G$27))," "),"")</f>
        <v/>
      </c>
      <c r="AL130" s="230" t="str">
        <f aca="false">IFERROR(IF(H$21*H$24*H$25*H$27&gt;0,STDEV(H$21, H$24, H$25, H$27)," ")/IF(H$21*H$24*H$25*H$27&gt;0,SQRT(COUNT(H$21, H$24, H$25, H$27))," "),"")</f>
        <v/>
      </c>
      <c r="AM130" s="230" t="str">
        <f aca="false">IFERROR(IF(I$21*I$24*I$25*I$27&gt;0,STDEV(I$21, I$24, I$25, I$27)," ")/IF(I$21*I$24*I$25*I$27&gt;0,SQRT(COUNT(I$21, I$24, I$25, I$27))," "),"")</f>
        <v/>
      </c>
      <c r="AN130" s="230" t="str">
        <f aca="false">IFERROR(IF(J$21*J$24*J$25*J$27&gt;0,STDEV(J$21, J$24, J$25, J$27)," ")/IF(J$21*J$24*J$25*J$27&gt;0,SQRT(COUNT(J$21, J$24, J$25, J$27))," "),"")</f>
        <v/>
      </c>
      <c r="AO130" s="230" t="str">
        <f aca="false">IFERROR(IF(K$21*K$24*K$25*K$27&gt;0,STDEV(K$21, K$24, K$25, K$27)," ")/IF(K$21*K$24*K$25*K$27&gt;0,SQRT(COUNT(K$21, K$24, K$25, K$27))," "),"")</f>
        <v/>
      </c>
      <c r="AP130" s="230" t="str">
        <f aca="false">IFERROR(IF(L$21*L$24*L$25*L$27&gt;0,STDEV(L$21, L$24, L$25, L$27)," ")/IF(L$21*L$24*L$25*L$27&gt;0,SQRT(COUNT(L$21, L$24, L$25, L$27))," "),"")</f>
        <v/>
      </c>
      <c r="AQ130" s="230" t="str">
        <f aca="false">IFERROR(IF(M$21*M$24*M$25*M$27&gt;0,STDEV(M$21, M$24, M$25, M$27)," ")/IF(M$21*M$24*M$25*M$27&gt;0,SQRT(COUNT(M$21, M$24, M$25, M$27))," "),"")</f>
        <v/>
      </c>
      <c r="AR130" s="230" t="str">
        <f aca="false">IFERROR(IF(N$21*N$24*N$25*N$27&gt;0,STDEV(N$21, N$24, N$25, N$27)," ")/IF(N$21*N$24*N$25*N$27&gt;0,SQRT(COUNT(N$21, N$24, N$25, N$27))," "),"")</f>
        <v/>
      </c>
    </row>
    <row r="131" customFormat="false" ht="15.75" hidden="false" customHeight="false" outlineLevel="0" collapsed="false">
      <c r="A131" s="242" t="s">
        <v>536</v>
      </c>
      <c r="B131" s="243"/>
      <c r="C131" s="262" t="str">
        <f aca="false">IFERROR(IF(C$21*C$22*C$25*C$27&gt;0,AVERAGE(C$21, C$22, C$25, C$27),""),"")</f>
        <v/>
      </c>
      <c r="D131" s="262" t="str">
        <f aca="false">IFERROR(IF(D$21*D$22*D$25*D$27&gt;0,AVERAGE(D$21, D$22, D$25, D$27),""),"")</f>
        <v/>
      </c>
      <c r="E131" s="262" t="str">
        <f aca="false">IFERROR(IF(E$21*E$22*E$25*E$27&gt;0,AVERAGE(E$21, E$22, E$25, E$27),""),"")</f>
        <v/>
      </c>
      <c r="F131" s="262" t="str">
        <f aca="false">IFERROR(IF(F$21*F$22*F$25*F$27&gt;0,AVERAGE(F$21, F$22, F$25, F$27),""),"")</f>
        <v/>
      </c>
      <c r="G131" s="262" t="str">
        <f aca="false">IFERROR(IF(G$21*G$22*G$25*G$27&gt;0,AVERAGE(G$21, G$22, G$25, G$27),""),"")</f>
        <v/>
      </c>
      <c r="H131" s="262" t="str">
        <f aca="false">IFERROR(IF(H$21*H$22*H$25*H$27&gt;0,AVERAGE(H$21, H$22, H$25, H$27),""),"")</f>
        <v/>
      </c>
      <c r="I131" s="262" t="str">
        <f aca="false">IFERROR(IF(I$21*I$22*I$25*I$27&gt;0,AVERAGE(I$21, I$22, I$25, I$27),""),"")</f>
        <v/>
      </c>
      <c r="J131" s="262" t="str">
        <f aca="false">IFERROR(IF(J$21*J$22*J$25*J$27&gt;0,AVERAGE(J$21, J$22, J$25, J$27),""),"")</f>
        <v/>
      </c>
      <c r="K131" s="262" t="str">
        <f aca="false">IFERROR(IF(K$21*K$22*K$25*K$27&gt;0,AVERAGE(K$21, K$22, K$25, K$27),""),"")</f>
        <v/>
      </c>
      <c r="L131" s="262" t="str">
        <f aca="false">IFERROR(IF(L$21*L$22*L$25*L$27&gt;0,AVERAGE(L$21, L$22, L$25, L$27),""),"")</f>
        <v/>
      </c>
      <c r="M131" s="262" t="str">
        <f aca="false">IFERROR(IF(M$21*M$22*M$25*M$27&gt;0,AVERAGE(M$21, M$22, M$25, M$27),""),"")</f>
        <v/>
      </c>
      <c r="N131" s="262" t="str">
        <f aca="false">IFERROR(IF(N$21*N$22*N$25*N$27&gt;0,AVERAGE(N$21, N$22, N$25, N$27),""),"")</f>
        <v/>
      </c>
      <c r="O131" s="263"/>
      <c r="P131" s="245"/>
      <c r="Q131" s="264"/>
      <c r="R131" s="247" t="s">
        <v>537</v>
      </c>
      <c r="S131" s="248" t="str">
        <f aca="false">IFERROR(IF(C$21*C$22*C$25*C$27&gt;0,STDEV(C$21, C$22, C$25, C$27),"")/IF(C$21*C$22*C$25*C$27&gt;0,AVERAGE(C$21, C$22, C$25, C$27),""),"")</f>
        <v/>
      </c>
      <c r="T131" s="248" t="str">
        <f aca="false">IFERROR(IF(D$21*D$22*D$25*D$27&gt;0,STDEV(D$21, D$22, D$25, D$27),"")/IF(D$21*D$22*D$25*D$27&gt;0,AVERAGE(D$21, D$22, D$25, D$27),""),"")</f>
        <v/>
      </c>
      <c r="U131" s="248" t="str">
        <f aca="false">IFERROR(IF(E$21*E$22*E$25*E$27&gt;0,STDEV(E$21, E$22, E$25, E$27),"")/IF(E$21*E$22*E$25*E$27&gt;0,AVERAGE(E$21, E$22, E$25, E$27),""),"")</f>
        <v/>
      </c>
      <c r="V131" s="248" t="str">
        <f aca="false">IFERROR(IF(F$21*F$22*F$25*F$27&gt;0,STDEV(F$21, F$22, F$25, F$27),"")/IF(F$21*F$22*F$25*F$27&gt;0,AVERAGE(F$21, F$22, F$25, F$27),""),"")</f>
        <v/>
      </c>
      <c r="W131" s="248" t="str">
        <f aca="false">IFERROR(IF(G$21*G$22*G$25*G$27&gt;0,STDEV(G$21, G$22, G$25, G$27),"")/IF(G$21*G$22*G$25*G$27&gt;0,AVERAGE(G$21, G$22, G$25, G$27),""),"")</f>
        <v/>
      </c>
      <c r="X131" s="248" t="str">
        <f aca="false">IFERROR(IF(H$21*H$22*H$25*H$27&gt;0,STDEV(H$21, H$22, H$25, H$27),"")/IF(H$21*H$22*H$25*H$27&gt;0,AVERAGE(H$21, H$22, H$25, H$27),""),"")</f>
        <v/>
      </c>
      <c r="Y131" s="248" t="str">
        <f aca="false">IFERROR(IF(I$21*I$22*I$25*I$27&gt;0,STDEV(I$21, I$22, I$25, I$27),"")/IF(I$21*I$22*I$25*I$27&gt;0,AVERAGE(I$21, I$22, I$25, I$27),""),"")</f>
        <v/>
      </c>
      <c r="Z131" s="248" t="str">
        <f aca="false">IFERROR(IF(J$21*J$22*J$25*J$27&gt;0,STDEV(J$21, J$22, J$25, J$27),"")/IF(J$21*J$22*J$25*J$27&gt;0,AVERAGE(J$21, J$22, J$25, J$27),""),"")</f>
        <v/>
      </c>
      <c r="AA131" s="248" t="str">
        <f aca="false">IFERROR(IF(K$21*K$22*K$25*K$27&gt;0,STDEV(K$21, K$22, K$25, K$27),"")/IF(K$21*K$22*K$25*K$27&gt;0,AVERAGE(K$21, K$22, K$25, K$27),""),"")</f>
        <v/>
      </c>
      <c r="AB131" s="248" t="str">
        <f aca="false">IFERROR(IF(L$21*L$22*L$25*L$27&gt;0,STDEV(L$21, L$22, L$25, L$27),"")/IF(L$21*L$22*L$25*L$27&gt;0,AVERAGE(L$21, L$22, L$25, L$27),""),"")</f>
        <v/>
      </c>
      <c r="AC131" s="248" t="str">
        <f aca="false">IFERROR(IF(M$21*M$22*M$25*M$27&gt;0,STDEV(M$21, M$22, M$25, M$27),"")/IF(M$21*M$22*M$25*M$27&gt;0,AVERAGE(M$21, M$22, M$25, M$27),""),"")</f>
        <v/>
      </c>
      <c r="AD131" s="248" t="str">
        <f aca="false">IFERROR(IF(N$21*N$22*N$25*N$27&gt;0,STDEV(N$21, N$22, N$25, N$27),"")/IF(N$21*N$22*N$25*N$27&gt;0,AVERAGE(N$21, N$22, N$25, N$27),""),"")</f>
        <v/>
      </c>
      <c r="AE131" s="249"/>
      <c r="AF131" s="250" t="s">
        <v>538</v>
      </c>
      <c r="AG131" s="251" t="str">
        <f aca="false">IFERROR(IF(C$21*C$22*C$25*C$27&gt;0,STDEV(C$21, C$22, C$25, C$27)," ")/IF(C$21*C$22*C$25*C$27&gt;0,SQRT(COUNT(C$21, C$22, C$25, C$27))," "),"")</f>
        <v/>
      </c>
      <c r="AH131" s="251" t="str">
        <f aca="false">IFERROR(IF(D$21*D$22*D$25*D$27&gt;0,STDEV(D$21, D$22, D$25, D$27)," ")/IF(D$21*D$22*D$25*D$27&gt;0,SQRT(COUNT(D$21, D$22, D$25, D$27))," "),"")</f>
        <v/>
      </c>
      <c r="AI131" s="251" t="str">
        <f aca="false">IFERROR(IF(E$21*E$22*E$25*E$27&gt;0,STDEV(E$21, E$22, E$25, E$27)," ")/IF(E$21*E$22*E$25*E$27&gt;0,SQRT(COUNT(E$21, E$22, E$25, E$27))," "),"")</f>
        <v/>
      </c>
      <c r="AJ131" s="251" t="str">
        <f aca="false">IFERROR(IF(F$21*F$22*F$25*F$27&gt;0,STDEV(F$21, F$22, F$25, F$27)," ")/IF(F$21*F$22*F$25*F$27&gt;0,SQRT(COUNT(F$21, F$22, F$25, F$27))," "),"")</f>
        <v/>
      </c>
      <c r="AK131" s="251" t="str">
        <f aca="false">IFERROR(IF(G$21*G$22*G$25*G$27&gt;0,STDEV(G$21, G$22, G$25, G$27)," ")/IF(G$21*G$22*G$25*G$27&gt;0,SQRT(COUNT(G$21, G$22, G$25, G$27))," "),"")</f>
        <v/>
      </c>
      <c r="AL131" s="251" t="str">
        <f aca="false">IFERROR(IF(H$21*H$22*H$25*H$27&gt;0,STDEV(H$21, H$22, H$25, H$27)," ")/IF(H$21*H$22*H$25*H$27&gt;0,SQRT(COUNT(H$21, H$22, H$25, H$27))," "),"")</f>
        <v/>
      </c>
      <c r="AM131" s="251" t="str">
        <f aca="false">IFERROR(IF(I$21*I$22*I$25*I$27&gt;0,STDEV(I$21, I$22, I$25, I$27)," ")/IF(I$21*I$22*I$25*I$27&gt;0,SQRT(COUNT(I$21, I$22, I$25, I$27))," "),"")</f>
        <v/>
      </c>
      <c r="AN131" s="251" t="str">
        <f aca="false">IFERROR(IF(J$21*J$22*J$25*J$27&gt;0,STDEV(J$21, J$22, J$25, J$27)," ")/IF(J$21*J$22*J$25*J$27&gt;0,SQRT(COUNT(J$21, J$22, J$25, J$27))," "),"")</f>
        <v/>
      </c>
      <c r="AO131" s="251" t="str">
        <f aca="false">IFERROR(IF(K$21*K$22*K$25*K$27&gt;0,STDEV(K$21, K$22, K$25, K$27)," ")/IF(K$21*K$22*K$25*K$27&gt;0,SQRT(COUNT(K$21, K$22, K$25, K$27))," "),"")</f>
        <v/>
      </c>
      <c r="AP131" s="251" t="str">
        <f aca="false">IFERROR(IF(L$21*L$22*L$25*L$27&gt;0,STDEV(L$21, L$22, L$25, L$27)," ")/IF(L$21*L$22*L$25*L$27&gt;0,SQRT(COUNT(L$21, L$22, L$25, L$27))," "),"")</f>
        <v/>
      </c>
      <c r="AQ131" s="251" t="str">
        <f aca="false">IFERROR(IF(M$21*M$22*M$25*M$27&gt;0,STDEV(M$21, M$22, M$25, M$27)," ")/IF(M$21*M$22*M$25*M$27&gt;0,SQRT(COUNT(M$21, M$22, M$25, M$27))," "),"")</f>
        <v/>
      </c>
      <c r="AR131" s="251" t="str">
        <f aca="false">IFERROR(IF(N$21*N$22*N$25*N$27&gt;0,STDEV(N$21, N$22, N$25, N$27)," ")/IF(N$21*N$22*N$25*N$27&gt;0,SQRT(COUNT(N$21, N$22, N$25, N$27))," "),"")</f>
        <v/>
      </c>
    </row>
    <row r="132" customFormat="false" ht="15.75" hidden="false" customHeight="false" outlineLevel="0" collapsed="false">
      <c r="A132" s="220" t="s">
        <v>539</v>
      </c>
      <c r="B132" s="221"/>
      <c r="C132" s="261" t="str">
        <f aca="false">IFERROR(IF(C$21*C$22*C$23*C$24*C25&gt;0,AVERAGE(C$21:C$24,C25),""),"")</f>
        <v/>
      </c>
      <c r="D132" s="261" t="str">
        <f aca="false">IFERROR(IF(D$21*D$22*D$23*D$24*D25&gt;0,AVERAGE(D$21:D$24,D25),""),"")</f>
        <v/>
      </c>
      <c r="E132" s="261" t="str">
        <f aca="false">IFERROR(IF(E$21*E$22*E$23*E$24*E25&gt;0,AVERAGE(E$21:E$24,E25),""),"")</f>
        <v/>
      </c>
      <c r="F132" s="261" t="str">
        <f aca="false">IFERROR(IF(F$21*F$22*F$23*F$24*F25&gt;0,AVERAGE(F$21:F$24,F25),""),"")</f>
        <v/>
      </c>
      <c r="G132" s="261" t="str">
        <f aca="false">IFERROR(IF(G$21*G$22*G$23*G$24*G25&gt;0,AVERAGE(G$21:G$24,G25),""),"")</f>
        <v/>
      </c>
      <c r="H132" s="261" t="str">
        <f aca="false">IFERROR(IF(H$21*H$22*H$23*H$24*H25&gt;0,AVERAGE(H$21:H$24,H25),""),"")</f>
        <v/>
      </c>
      <c r="I132" s="261" t="str">
        <f aca="false">IFERROR(IF(I$21*I$22*I$23*I$24*I25&gt;0,AVERAGE(I$21:I$24,I25),""),"")</f>
        <v/>
      </c>
      <c r="J132" s="261" t="str">
        <f aca="false">IFERROR(IF(J$21*J$22*J$23*J$24*J25&gt;0,AVERAGE(J$21:J$24,J25),""),"")</f>
        <v/>
      </c>
      <c r="K132" s="261" t="str">
        <f aca="false">IFERROR(IF(K$21*K$22*K$23*K$24*K25&gt;0,AVERAGE(K$21:K$24,K25),""),"")</f>
        <v/>
      </c>
      <c r="L132" s="261" t="str">
        <f aca="false">IFERROR(IF(L$21*L$22*L$23*L$24*L25&gt;0,AVERAGE(L$21:L$24,L25),""),"")</f>
        <v/>
      </c>
      <c r="M132" s="261" t="str">
        <f aca="false">IFERROR(IF(M$21*M$22*M$23*M$24*M25&gt;0,AVERAGE(M$21:M$24,M25),""),"")</f>
        <v/>
      </c>
      <c r="N132" s="261" t="str">
        <f aca="false">IFERROR(IF(N$21*N$22*N$23*N$24*N25&gt;0,AVERAGE(N$21:N$24,N25),""),"")</f>
        <v/>
      </c>
      <c r="O132" s="240" t="n">
        <v>5</v>
      </c>
      <c r="P132" s="224" t="n">
        <f aca="false">COMBIN(7,5)</f>
        <v>21</v>
      </c>
      <c r="Q132" s="252" t="n">
        <f aca="false">ROW(N152)-ROW(N132)+1</f>
        <v>21</v>
      </c>
      <c r="R132" s="226" t="s">
        <v>540</v>
      </c>
      <c r="S132" s="227" t="str">
        <f aca="false">IFERROR(IF(C$21*C$22*C$23*C$24*C25&gt;0,STDEV(C$21:C$24,C25),"")/IF(C$21*C$22*C$23*C$24*C25&gt;0,AVERAGE(C$21:C$24,C25),""),"")</f>
        <v/>
      </c>
      <c r="T132" s="227" t="str">
        <f aca="false">IFERROR(IF(D$21*D$22*D$23*D$24*D25&gt;0,STDEV(D$21:D$24,D25),"")/IF(D$21*D$22*D$23*D$24*D25&gt;0,AVERAGE(D$21:D$24,D25),""),"")</f>
        <v/>
      </c>
      <c r="U132" s="227" t="str">
        <f aca="false">IFERROR(IF(E$21*E$22*E$23*E$24*E25&gt;0,STDEV(E$21:E$24,E25),"")/IF(E$21*E$22*E$23*E$24*E25&gt;0,AVERAGE(E$21:E$24,E25),""),"")</f>
        <v/>
      </c>
      <c r="V132" s="227" t="str">
        <f aca="false">IFERROR(IF(F$21*F$22*F$23*F$24*F25&gt;0,STDEV(F$21:F$24,F25),"")/IF(F$21*F$22*F$23*F$24*F25&gt;0,AVERAGE(F$21:F$24,F25),""),"")</f>
        <v/>
      </c>
      <c r="W132" s="227" t="str">
        <f aca="false">IFERROR(IF(G$21*G$22*G$23*G$24*G25&gt;0,STDEV(G$21:G$24,G25),"")/IF(G$21*G$22*G$23*G$24*G25&gt;0,AVERAGE(G$21:G$24,G25),""),"")</f>
        <v/>
      </c>
      <c r="X132" s="227" t="str">
        <f aca="false">IFERROR(IF(H$21*H$22*H$23*H$24*H25&gt;0,STDEV(H$21:H$24,H25),"")/IF(H$21*H$22*H$23*H$24*H25&gt;0,AVERAGE(H$21:H$24,H25),""),"")</f>
        <v/>
      </c>
      <c r="Y132" s="227" t="str">
        <f aca="false">IFERROR(IF(I$21*I$22*I$23*I$24*I25&gt;0,STDEV(I$21:I$24,I25),"")/IF(I$21*I$22*I$23*I$24*I25&gt;0,AVERAGE(I$21:I$24,I25),""),"")</f>
        <v/>
      </c>
      <c r="Z132" s="227" t="str">
        <f aca="false">IFERROR(IF(J$21*J$22*J$23*J$24*J25&gt;0,STDEV(J$21:J$24,J25),"")/IF(J$21*J$22*J$23*J$24*J25&gt;0,AVERAGE(J$21:J$24,J25),""),"")</f>
        <v/>
      </c>
      <c r="AA132" s="227" t="str">
        <f aca="false">IFERROR(IF(K$21*K$22*K$23*K$24*K25&gt;0,STDEV(K$21:K$24,K25),"")/IF(K$21*K$22*K$23*K$24*K25&gt;0,AVERAGE(K$21:K$24,K25),""),"")</f>
        <v/>
      </c>
      <c r="AB132" s="227" t="str">
        <f aca="false">IFERROR(IF(L$21*L$22*L$23*L$24*L25&gt;0,STDEV(L$21:L$24,L25),"")/IF(L$21*L$22*L$23*L$24*L25&gt;0,AVERAGE(L$21:L$24,L25),""),"")</f>
        <v/>
      </c>
      <c r="AC132" s="227" t="str">
        <f aca="false">IFERROR(IF(M$21*M$22*M$23*M$24*M25&gt;0,STDEV(M$21:M$24,M25),"")/IF(M$21*M$22*M$23*M$24*M25&gt;0,AVERAGE(M$21:M$24,M25),""),"")</f>
        <v/>
      </c>
      <c r="AD132" s="227" t="str">
        <f aca="false">IFERROR(IF(N$21*N$22*N$23*N$24*N25&gt;0,STDEV(N$21:N$24,N25),"")/IF(N$21*N$22*N$23*N$24*N25&gt;0,AVERAGE(N$21:N$24,N25),""),"")</f>
        <v/>
      </c>
      <c r="AE132" s="233"/>
      <c r="AF132" s="229" t="s">
        <v>541</v>
      </c>
      <c r="AG132" s="230" t="str">
        <f aca="false">IFERROR(IF(C$21*C$22*C$23*C$24*C25&gt;0,STDEV(C$21:C$24,C25)," ")/IF(C$21*C$22*C$23*C$24*C25&gt;0,SQRT(COUNT(C$21:C$24,C25))," "),"")</f>
        <v/>
      </c>
      <c r="AH132" s="230" t="str">
        <f aca="false">IFERROR(IF(D$21*D$22*D$23*D$24*D25&gt;0,STDEV(D$21:D$24,D25)," ")/IF(D$21*D$22*D$23*D$24*D25&gt;0,SQRT(COUNT(D$21:D$24,D25))," "),"")</f>
        <v/>
      </c>
      <c r="AI132" s="230" t="str">
        <f aca="false">IFERROR(IF(E$21*E$22*E$23*E$24*E25&gt;0,STDEV(E$21:E$24,E25)," ")/IF(E$21*E$22*E$23*E$24*E25&gt;0,SQRT(COUNT(E$21:E$24,E25))," "),"")</f>
        <v/>
      </c>
      <c r="AJ132" s="230" t="str">
        <f aca="false">IFERROR(IF(F$21*F$22*F$23*F$24*F25&gt;0,STDEV(F$21:F$24,F25)," ")/IF(F$21*F$22*F$23*F$24*F25&gt;0,SQRT(COUNT(F$21:F$24,F25))," "),"")</f>
        <v/>
      </c>
      <c r="AK132" s="230" t="str">
        <f aca="false">IFERROR(IF(G$21*G$22*G$23*G$24*G25&gt;0,STDEV(G$21:G$24,G25)," ")/IF(G$21*G$22*G$23*G$24*G25&gt;0,SQRT(COUNT(G$21:G$24,G25))," "),"")</f>
        <v/>
      </c>
      <c r="AL132" s="230" t="str">
        <f aca="false">IFERROR(IF(H$21*H$22*H$23*H$24*H25&gt;0,STDEV(H$21:H$24,H25)," ")/IF(H$21*H$22*H$23*H$24*H25&gt;0,SQRT(COUNT(H$21:H$24,H25))," "),"")</f>
        <v/>
      </c>
      <c r="AM132" s="230" t="str">
        <f aca="false">IFERROR(IF(I$21*I$22*I$23*I$24*I25&gt;0,STDEV(I$21:I$24,I25)," ")/IF(I$21*I$22*I$23*I$24*I25&gt;0,SQRT(COUNT(I$21:I$24,I25))," "),"")</f>
        <v/>
      </c>
      <c r="AN132" s="230" t="str">
        <f aca="false">IFERROR(IF(J$21*J$22*J$23*J$24*J25&gt;0,STDEV(J$21:J$24,J25)," ")/IF(J$21*J$22*J$23*J$24*J25&gt;0,SQRT(COUNT(J$21:J$24,J25))," "),"")</f>
        <v/>
      </c>
      <c r="AO132" s="230" t="str">
        <f aca="false">IFERROR(IF(K$21*K$22*K$23*K$24*K25&gt;0,STDEV(K$21:K$24,K25)," ")/IF(K$21*K$22*K$23*K$24*K25&gt;0,SQRT(COUNT(K$21:K$24,K25))," "),"")</f>
        <v/>
      </c>
      <c r="AP132" s="230" t="str">
        <f aca="false">IFERROR(IF(L$21*L$22*L$23*L$24*L25&gt;0,STDEV(L$21:L$24,L25)," ")/IF(L$21*L$22*L$23*L$24*L25&gt;0,SQRT(COUNT(L$21:L$24,L25))," "),"")</f>
        <v/>
      </c>
      <c r="AQ132" s="230" t="str">
        <f aca="false">IFERROR(IF(M$21*M$22*M$23*M$24*M25&gt;0,STDEV(M$21:M$24,M25)," ")/IF(M$21*M$22*M$23*M$24*M25&gt;0,SQRT(COUNT(M$21:M$24,M25))," "),"")</f>
        <v/>
      </c>
      <c r="AR132" s="230" t="str">
        <f aca="false">IFERROR(IF(N$21*N$22*N$23*N$24*N25&gt;0,STDEV(N$21:N$24,N25)," ")/IF(N$21*N$22*N$23*N$24*N25&gt;0,SQRT(COUNT(N$21:N$24,N25))," "),"")</f>
        <v/>
      </c>
    </row>
    <row r="133" customFormat="false" ht="15.75" hidden="false" customHeight="false" outlineLevel="0" collapsed="false">
      <c r="A133" s="220" t="s">
        <v>542</v>
      </c>
      <c r="B133" s="221"/>
      <c r="C133" s="261" t="str">
        <f aca="false">IFERROR(IF(C$21*C$22*C$23*C$24*C26&gt;0,AVERAGE(C$21:C$24,C26),""),"")</f>
        <v/>
      </c>
      <c r="D133" s="261" t="str">
        <f aca="false">IFERROR(IF(D$21*D$22*D$23*D$24*D26&gt;0,AVERAGE(D$21:D$24,D26),""),"")</f>
        <v/>
      </c>
      <c r="E133" s="261" t="str">
        <f aca="false">IFERROR(IF(E$21*E$22*E$23*E$24*E26&gt;0,AVERAGE(E$21:E$24,E26),""),"")</f>
        <v/>
      </c>
      <c r="F133" s="261" t="str">
        <f aca="false">IFERROR(IF(F$21*F$22*F$23*F$24*F26&gt;0,AVERAGE(F$21:F$24,F26),""),"")</f>
        <v/>
      </c>
      <c r="G133" s="261" t="str">
        <f aca="false">IFERROR(IF(G$21*G$22*G$23*G$24*G26&gt;0,AVERAGE(G$21:G$24,G26),""),"")</f>
        <v/>
      </c>
      <c r="H133" s="261" t="str">
        <f aca="false">IFERROR(IF(H$21*H$22*H$23*H$24*H26&gt;0,AVERAGE(H$21:H$24,H26),""),"")</f>
        <v/>
      </c>
      <c r="I133" s="261" t="str">
        <f aca="false">IFERROR(IF(I$21*I$22*I$23*I$24*I26&gt;0,AVERAGE(I$21:I$24,I26),""),"")</f>
        <v/>
      </c>
      <c r="J133" s="261" t="str">
        <f aca="false">IFERROR(IF(J$21*J$22*J$23*J$24*J26&gt;0,AVERAGE(J$21:J$24,J26),""),"")</f>
        <v/>
      </c>
      <c r="K133" s="261" t="str">
        <f aca="false">IFERROR(IF(K$21*K$22*K$23*K$24*K26&gt;0,AVERAGE(K$21:K$24,K26),""),"")</f>
        <v/>
      </c>
      <c r="L133" s="261" t="str">
        <f aca="false">IFERROR(IF(L$21*L$22*L$23*L$24*L26&gt;0,AVERAGE(L$21:L$24,L26),""),"")</f>
        <v/>
      </c>
      <c r="M133" s="261" t="str">
        <f aca="false">IFERROR(IF(M$21*M$22*M$23*M$24*M26&gt;0,AVERAGE(M$21:M$24,M26),""),"")</f>
        <v/>
      </c>
      <c r="N133" s="261" t="str">
        <f aca="false">IFERROR(IF(N$21*N$22*N$23*N$24*N26&gt;0,AVERAGE(N$21:N$24,N26),""),"")</f>
        <v/>
      </c>
      <c r="O133" s="224"/>
      <c r="P133" s="224"/>
      <c r="Q133" s="232"/>
      <c r="R133" s="226" t="s">
        <v>543</v>
      </c>
      <c r="S133" s="227" t="str">
        <f aca="false">IFERROR(IF(C$21*C$22*C$23*C$24*C26&gt;0,STDEV(C$21:C$24,C26),"")/IF(C$21*C$22*C$23*C$24*C26&gt;0,AVERAGE(C$21:C$24,C26),""),"")</f>
        <v/>
      </c>
      <c r="T133" s="227" t="str">
        <f aca="false">IFERROR(IF(D$21*D$22*D$23*D$24*D26&gt;0,STDEV(D$21:D$24,D26),"")/IF(D$21*D$22*D$23*D$24*D26&gt;0,AVERAGE(D$21:D$24,D26),""),"")</f>
        <v/>
      </c>
      <c r="U133" s="227" t="str">
        <f aca="false">IFERROR(IF(E$21*E$22*E$23*E$24*E26&gt;0,STDEV(E$21:E$24,E26),"")/IF(E$21*E$22*E$23*E$24*E26&gt;0,AVERAGE(E$21:E$24,E26),""),"")</f>
        <v/>
      </c>
      <c r="V133" s="227" t="str">
        <f aca="false">IFERROR(IF(F$21*F$22*F$23*F$24*F26&gt;0,STDEV(F$21:F$24,F26),"")/IF(F$21*F$22*F$23*F$24*F26&gt;0,AVERAGE(F$21:F$24,F26),""),"")</f>
        <v/>
      </c>
      <c r="W133" s="227" t="str">
        <f aca="false">IFERROR(IF(G$21*G$22*G$23*G$24*G26&gt;0,STDEV(G$21:G$24,G26),"")/IF(G$21*G$22*G$23*G$24*G26&gt;0,AVERAGE(G$21:G$24,G26),""),"")</f>
        <v/>
      </c>
      <c r="X133" s="227" t="str">
        <f aca="false">IFERROR(IF(H$21*H$22*H$23*H$24*H26&gt;0,STDEV(H$21:H$24,H26),"")/IF(H$21*H$22*H$23*H$24*H26&gt;0,AVERAGE(H$21:H$24,H26),""),"")</f>
        <v/>
      </c>
      <c r="Y133" s="227" t="str">
        <f aca="false">IFERROR(IF(I$21*I$22*I$23*I$24*I26&gt;0,STDEV(I$21:I$24,I26),"")/IF(I$21*I$22*I$23*I$24*I26&gt;0,AVERAGE(I$21:I$24,I26),""),"")</f>
        <v/>
      </c>
      <c r="Z133" s="227" t="str">
        <f aca="false">IFERROR(IF(J$21*J$22*J$23*J$24*J26&gt;0,STDEV(J$21:J$24,J26),"")/IF(J$21*J$22*J$23*J$24*J26&gt;0,AVERAGE(J$21:J$24,J26),""),"")</f>
        <v/>
      </c>
      <c r="AA133" s="227" t="str">
        <f aca="false">IFERROR(IF(K$21*K$22*K$23*K$24*K26&gt;0,STDEV(K$21:K$24,K26),"")/IF(K$21*K$22*K$23*K$24*K26&gt;0,AVERAGE(K$21:K$24,K26),""),"")</f>
        <v/>
      </c>
      <c r="AB133" s="227" t="str">
        <f aca="false">IFERROR(IF(L$21*L$22*L$23*L$24*L26&gt;0,STDEV(L$21:L$24,L26),"")/IF(L$21*L$22*L$23*L$24*L26&gt;0,AVERAGE(L$21:L$24,L26),""),"")</f>
        <v/>
      </c>
      <c r="AC133" s="227" t="str">
        <f aca="false">IFERROR(IF(M$21*M$22*M$23*M$24*M26&gt;0,STDEV(M$21:M$24,M26),"")/IF(M$21*M$22*M$23*M$24*M26&gt;0,AVERAGE(M$21:M$24,M26),""),"")</f>
        <v/>
      </c>
      <c r="AD133" s="227" t="str">
        <f aca="false">IFERROR(IF(N$21*N$22*N$23*N$24*N26&gt;0,STDEV(N$21:N$24,N26),"")/IF(N$21*N$22*N$23*N$24*N26&gt;0,AVERAGE(N$21:N$24,N26),""),"")</f>
        <v/>
      </c>
      <c r="AE133" s="233"/>
      <c r="AF133" s="229" t="s">
        <v>544</v>
      </c>
      <c r="AG133" s="230" t="str">
        <f aca="false">IFERROR(IF(C$21*C$22*C$23*C$24*C26&gt;0,STDEV(C$21:C$24,C26)," ")/IF(C$21*C$22*C$23*C$24*C26&gt;0,SQRT(COUNT(C$21:C$24,C26))," "),"")</f>
        <v/>
      </c>
      <c r="AH133" s="230" t="str">
        <f aca="false">IFERROR(IF(D$21*D$22*D$23*D$24*D26&gt;0,STDEV(D$21:D$24,D26)," ")/IF(D$21*D$22*D$23*D$24*D26&gt;0,SQRT(COUNT(D$21:D$24,D26))," "),"")</f>
        <v/>
      </c>
      <c r="AI133" s="230" t="str">
        <f aca="false">IFERROR(IF(E$21*E$22*E$23*E$24*E26&gt;0,STDEV(E$21:E$24,E26)," ")/IF(E$21*E$22*E$23*E$24*E26&gt;0,SQRT(COUNT(E$21:E$24,E26))," "),"")</f>
        <v/>
      </c>
      <c r="AJ133" s="230" t="str">
        <f aca="false">IFERROR(IF(F$21*F$22*F$23*F$24*F26&gt;0,STDEV(F$21:F$24,F26)," ")/IF(F$21*F$22*F$23*F$24*F26&gt;0,SQRT(COUNT(F$21:F$24,F26))," "),"")</f>
        <v/>
      </c>
      <c r="AK133" s="230" t="str">
        <f aca="false">IFERROR(IF(G$21*G$22*G$23*G$24*G26&gt;0,STDEV(G$21:G$24,G26)," ")/IF(G$21*G$22*G$23*G$24*G26&gt;0,SQRT(COUNT(G$21:G$24,G26))," "),"")</f>
        <v/>
      </c>
      <c r="AL133" s="230" t="str">
        <f aca="false">IFERROR(IF(H$21*H$22*H$23*H$24*H26&gt;0,STDEV(H$21:H$24,H26)," ")/IF(H$21*H$22*H$23*H$24*H26&gt;0,SQRT(COUNT(H$21:H$24,H26))," "),"")</f>
        <v/>
      </c>
      <c r="AM133" s="230" t="str">
        <f aca="false">IFERROR(IF(I$21*I$22*I$23*I$24*I26&gt;0,STDEV(I$21:I$24,I26)," ")/IF(I$21*I$22*I$23*I$24*I26&gt;0,SQRT(COUNT(I$21:I$24,I26))," "),"")</f>
        <v/>
      </c>
      <c r="AN133" s="230" t="str">
        <f aca="false">IFERROR(IF(J$21*J$22*J$23*J$24*J26&gt;0,STDEV(J$21:J$24,J26)," ")/IF(J$21*J$22*J$23*J$24*J26&gt;0,SQRT(COUNT(J$21:J$24,J26))," "),"")</f>
        <v/>
      </c>
      <c r="AO133" s="230" t="str">
        <f aca="false">IFERROR(IF(K$21*K$22*K$23*K$24*K26&gt;0,STDEV(K$21:K$24,K26)," ")/IF(K$21*K$22*K$23*K$24*K26&gt;0,SQRT(COUNT(K$21:K$24,K26))," "),"")</f>
        <v/>
      </c>
      <c r="AP133" s="230" t="str">
        <f aca="false">IFERROR(IF(L$21*L$22*L$23*L$24*L26&gt;0,STDEV(L$21:L$24,L26)," ")/IF(L$21*L$22*L$23*L$24*L26&gt;0,SQRT(COUNT(L$21:L$24,L26))," "),"")</f>
        <v/>
      </c>
      <c r="AQ133" s="230" t="str">
        <f aca="false">IFERROR(IF(M$21*M$22*M$23*M$24*M26&gt;0,STDEV(M$21:M$24,M26)," ")/IF(M$21*M$22*M$23*M$24*M26&gt;0,SQRT(COUNT(M$21:M$24,M26))," "),"")</f>
        <v/>
      </c>
      <c r="AR133" s="230" t="str">
        <f aca="false">IFERROR(IF(N$21*N$22*N$23*N$24*N26&gt;0,STDEV(N$21:N$24,N26)," ")/IF(N$21*N$22*N$23*N$24*N26&gt;0,SQRT(COUNT(N$21:N$24,N26))," "),"")</f>
        <v/>
      </c>
    </row>
    <row r="134" customFormat="false" ht="15.75" hidden="false" customHeight="false" outlineLevel="0" collapsed="false">
      <c r="A134" s="220" t="s">
        <v>545</v>
      </c>
      <c r="B134" s="221"/>
      <c r="C134" s="261" t="str">
        <f aca="false">IFERROR(IF(C$21*C$22*C$23*C$24*C27&gt;0,AVERAGE(C$21:C$24,C27),""),"")</f>
        <v/>
      </c>
      <c r="D134" s="261" t="str">
        <f aca="false">IFERROR(IF(D$21*D$22*D$23*D$24*D27&gt;0,AVERAGE(D$21:D$24,D27),""),"")</f>
        <v/>
      </c>
      <c r="E134" s="261" t="str">
        <f aca="false">IFERROR(IF(E$21*E$22*E$23*E$24*E27&gt;0,AVERAGE(E$21:E$24,E27),""),"")</f>
        <v/>
      </c>
      <c r="F134" s="261" t="str">
        <f aca="false">IFERROR(IF(F$21*F$22*F$23*F$24*F27&gt;0,AVERAGE(F$21:F$24,F27),""),"")</f>
        <v/>
      </c>
      <c r="G134" s="261" t="str">
        <f aca="false">IFERROR(IF(G$21*G$22*G$23*G$24*G27&gt;0,AVERAGE(G$21:G$24,G27),""),"")</f>
        <v/>
      </c>
      <c r="H134" s="261" t="str">
        <f aca="false">IFERROR(IF(H$21*H$22*H$23*H$24*H27&gt;0,AVERAGE(H$21:H$24,H27),""),"")</f>
        <v/>
      </c>
      <c r="I134" s="261" t="str">
        <f aca="false">IFERROR(IF(I$21*I$22*I$23*I$24*I27&gt;0,AVERAGE(I$21:I$24,I27),""),"")</f>
        <v/>
      </c>
      <c r="J134" s="261" t="str">
        <f aca="false">IFERROR(IF(J$21*J$22*J$23*J$24*J27&gt;0,AVERAGE(J$21:J$24,J27),""),"")</f>
        <v/>
      </c>
      <c r="K134" s="261" t="str">
        <f aca="false">IFERROR(IF(K$21*K$22*K$23*K$24*K27&gt;0,AVERAGE(K$21:K$24,K27),""),"")</f>
        <v/>
      </c>
      <c r="L134" s="261" t="str">
        <f aca="false">IFERROR(IF(L$21*L$22*L$23*L$24*L27&gt;0,AVERAGE(L$21:L$24,L27),""),"")</f>
        <v/>
      </c>
      <c r="M134" s="261" t="str">
        <f aca="false">IFERROR(IF(M$21*M$22*M$23*M$24*M27&gt;0,AVERAGE(M$21:M$24,M27),""),"")</f>
        <v/>
      </c>
      <c r="N134" s="261" t="str">
        <f aca="false">IFERROR(IF(N$21*N$22*N$23*N$24*N27&gt;0,AVERAGE(N$21:N$24,N27),""),"")</f>
        <v/>
      </c>
      <c r="O134" s="224"/>
      <c r="P134" s="224"/>
      <c r="Q134" s="232"/>
      <c r="R134" s="226" t="s">
        <v>546</v>
      </c>
      <c r="S134" s="227" t="str">
        <f aca="false">IFERROR(IF(C$21*C$22*C$23*C$24*C27&gt;0,STDEV(C$21:C$24,C27),"")/IF(C$21*C$22*C$23*C$24*C27&gt;0,AVERAGE(C$21:C$24,C27),""),"")</f>
        <v/>
      </c>
      <c r="T134" s="227" t="str">
        <f aca="false">IFERROR(IF(D$21*D$22*D$23*D$24*D27&gt;0,STDEV(D$21:D$24,D27),"")/IF(D$21*D$22*D$23*D$24*D27&gt;0,AVERAGE(D$21:D$24,D27),""),"")</f>
        <v/>
      </c>
      <c r="U134" s="227" t="str">
        <f aca="false">IFERROR(IF(E$21*E$22*E$23*E$24*E27&gt;0,STDEV(E$21:E$24,E27),"")/IF(E$21*E$22*E$23*E$24*E27&gt;0,AVERAGE(E$21:E$24,E27),""),"")</f>
        <v/>
      </c>
      <c r="V134" s="227" t="str">
        <f aca="false">IFERROR(IF(F$21*F$22*F$23*F$24*F27&gt;0,STDEV(F$21:F$24,F27),"")/IF(F$21*F$22*F$23*F$24*F27&gt;0,AVERAGE(F$21:F$24,F27),""),"")</f>
        <v/>
      </c>
      <c r="W134" s="227" t="str">
        <f aca="false">IFERROR(IF(G$21*G$22*G$23*G$24*G27&gt;0,STDEV(G$21:G$24,G27),"")/IF(G$21*G$22*G$23*G$24*G27&gt;0,AVERAGE(G$21:G$24,G27),""),"")</f>
        <v/>
      </c>
      <c r="X134" s="227" t="str">
        <f aca="false">IFERROR(IF(H$21*H$22*H$23*H$24*H27&gt;0,STDEV(H$21:H$24,H27),"")/IF(H$21*H$22*H$23*H$24*H27&gt;0,AVERAGE(H$21:H$24,H27),""),"")</f>
        <v/>
      </c>
      <c r="Y134" s="227" t="str">
        <f aca="false">IFERROR(IF(I$21*I$22*I$23*I$24*I27&gt;0,STDEV(I$21:I$24,I27),"")/IF(I$21*I$22*I$23*I$24*I27&gt;0,AVERAGE(I$21:I$24,I27),""),"")</f>
        <v/>
      </c>
      <c r="Z134" s="227" t="str">
        <f aca="false">IFERROR(IF(J$21*J$22*J$23*J$24*J27&gt;0,STDEV(J$21:J$24,J27),"")/IF(J$21*J$22*J$23*J$24*J27&gt;0,AVERAGE(J$21:J$24,J27),""),"")</f>
        <v/>
      </c>
      <c r="AA134" s="227" t="str">
        <f aca="false">IFERROR(IF(K$21*K$22*K$23*K$24*K27&gt;0,STDEV(K$21:K$24,K27),"")/IF(K$21*K$22*K$23*K$24*K27&gt;0,AVERAGE(K$21:K$24,K27),""),"")</f>
        <v/>
      </c>
      <c r="AB134" s="227" t="str">
        <f aca="false">IFERROR(IF(L$21*L$22*L$23*L$24*L27&gt;0,STDEV(L$21:L$24,L27),"")/IF(L$21*L$22*L$23*L$24*L27&gt;0,AVERAGE(L$21:L$24,L27),""),"")</f>
        <v/>
      </c>
      <c r="AC134" s="227" t="str">
        <f aca="false">IFERROR(IF(M$21*M$22*M$23*M$24*M27&gt;0,STDEV(M$21:M$24,M27),"")/IF(M$21*M$22*M$23*M$24*M27&gt;0,AVERAGE(M$21:M$24,M27),""),"")</f>
        <v/>
      </c>
      <c r="AD134" s="227" t="str">
        <f aca="false">IFERROR(IF(N$21*N$22*N$23*N$24*N27&gt;0,STDEV(N$21:N$24,N27),"")/IF(N$21*N$22*N$23*N$24*N27&gt;0,AVERAGE(N$21:N$24,N27),""),"")</f>
        <v/>
      </c>
      <c r="AE134" s="233"/>
      <c r="AF134" s="229" t="s">
        <v>547</v>
      </c>
      <c r="AG134" s="230" t="str">
        <f aca="false">IFERROR(IF(C$21*C$22*C$23*C$24*C27&gt;0,STDEV(C$21:C$24,C27)," ")/IF(C$21*C$22*C$23*C$24*C27&gt;0,SQRT(COUNT(C$21:C$24,C27))," "),"")</f>
        <v/>
      </c>
      <c r="AH134" s="230" t="str">
        <f aca="false">IFERROR(IF(D$21*D$22*D$23*D$24*D27&gt;0,STDEV(D$21:D$24,D27)," ")/IF(D$21*D$22*D$23*D$24*D27&gt;0,SQRT(COUNT(D$21:D$24,D27))," "),"")</f>
        <v/>
      </c>
      <c r="AI134" s="230" t="str">
        <f aca="false">IFERROR(IF(E$21*E$22*E$23*E$24*E27&gt;0,STDEV(E$21:E$24,E27)," ")/IF(E$21*E$22*E$23*E$24*E27&gt;0,SQRT(COUNT(E$21:E$24,E27))," "),"")</f>
        <v/>
      </c>
      <c r="AJ134" s="230" t="str">
        <f aca="false">IFERROR(IF(F$21*F$22*F$23*F$24*F27&gt;0,STDEV(F$21:F$24,F27)," ")/IF(F$21*F$22*F$23*F$24*F27&gt;0,SQRT(COUNT(F$21:F$24,F27))," "),"")</f>
        <v/>
      </c>
      <c r="AK134" s="230" t="str">
        <f aca="false">IFERROR(IF(G$21*G$22*G$23*G$24*G27&gt;0,STDEV(G$21:G$24,G27)," ")/IF(G$21*G$22*G$23*G$24*G27&gt;0,SQRT(COUNT(G$21:G$24,G27))," "),"")</f>
        <v/>
      </c>
      <c r="AL134" s="230" t="str">
        <f aca="false">IFERROR(IF(H$21*H$22*H$23*H$24*H27&gt;0,STDEV(H$21:H$24,H27)," ")/IF(H$21*H$22*H$23*H$24*H27&gt;0,SQRT(COUNT(H$21:H$24,H27))," "),"")</f>
        <v/>
      </c>
      <c r="AM134" s="230" t="str">
        <f aca="false">IFERROR(IF(I$21*I$22*I$23*I$24*I27&gt;0,STDEV(I$21:I$24,I27)," ")/IF(I$21*I$22*I$23*I$24*I27&gt;0,SQRT(COUNT(I$21:I$24,I27))," "),"")</f>
        <v/>
      </c>
      <c r="AN134" s="230" t="str">
        <f aca="false">IFERROR(IF(J$21*J$22*J$23*J$24*J27&gt;0,STDEV(J$21:J$24,J27)," ")/IF(J$21*J$22*J$23*J$24*J27&gt;0,SQRT(COUNT(J$21:J$24,J27))," "),"")</f>
        <v/>
      </c>
      <c r="AO134" s="230" t="str">
        <f aca="false">IFERROR(IF(K$21*K$22*K$23*K$24*K27&gt;0,STDEV(K$21:K$24,K27)," ")/IF(K$21*K$22*K$23*K$24*K27&gt;0,SQRT(COUNT(K$21:K$24,K27))," "),"")</f>
        <v/>
      </c>
      <c r="AP134" s="230" t="str">
        <f aca="false">IFERROR(IF(L$21*L$22*L$23*L$24*L27&gt;0,STDEV(L$21:L$24,L27)," ")/IF(L$21*L$22*L$23*L$24*L27&gt;0,SQRT(COUNT(L$21:L$24,L27))," "),"")</f>
        <v/>
      </c>
      <c r="AQ134" s="230" t="str">
        <f aca="false">IFERROR(IF(M$21*M$22*M$23*M$24*M27&gt;0,STDEV(M$21:M$24,M27)," ")/IF(M$21*M$22*M$23*M$24*M27&gt;0,SQRT(COUNT(M$21:M$24,M27))," "),"")</f>
        <v/>
      </c>
      <c r="AR134" s="230" t="str">
        <f aca="false">IFERROR(IF(N$21*N$22*N$23*N$24*N27&gt;0,STDEV(N$21:N$24,N27)," ")/IF(N$21*N$22*N$23*N$24*N27&gt;0,SQRT(COUNT(N$21:N$24,N27))," "),"")</f>
        <v/>
      </c>
    </row>
    <row r="135" customFormat="false" ht="15.75" hidden="false" customHeight="false" outlineLevel="0" collapsed="false">
      <c r="A135" s="220" t="s">
        <v>548</v>
      </c>
      <c r="B135" s="221"/>
      <c r="C135" s="261" t="str">
        <f aca="false">IFERROR(IF(C$22*C$23*C$24*C$25*C21&gt;0,AVERAGE(C$22:C$25,C21),""),"")</f>
        <v/>
      </c>
      <c r="D135" s="261" t="str">
        <f aca="false">IFERROR(IF(D$22*D$23*D$24*D$25*D21&gt;0,AVERAGE(D$22:D$25,D21),""),"")</f>
        <v/>
      </c>
      <c r="E135" s="261" t="str">
        <f aca="false">IFERROR(IF(E$22*E$23*E$24*E$25*E21&gt;0,AVERAGE(E$22:E$25,E21),""),"")</f>
        <v/>
      </c>
      <c r="F135" s="261" t="str">
        <f aca="false">IFERROR(IF(F$22*F$23*F$24*F$25*F21&gt;0,AVERAGE(F$22:F$25,F21),""),"")</f>
        <v/>
      </c>
      <c r="G135" s="261" t="str">
        <f aca="false">IFERROR(IF(G$22*G$23*G$24*G$25*G21&gt;0,AVERAGE(G$22:G$25,G21),""),"")</f>
        <v/>
      </c>
      <c r="H135" s="261" t="str">
        <f aca="false">IFERROR(IF(H$22*H$23*H$24*H$25*H21&gt;0,AVERAGE(H$22:H$25,H21),""),"")</f>
        <v/>
      </c>
      <c r="I135" s="261" t="str">
        <f aca="false">IFERROR(IF(I$22*I$23*I$24*I$25*I21&gt;0,AVERAGE(I$22:I$25,I21),""),"")</f>
        <v/>
      </c>
      <c r="J135" s="261" t="str">
        <f aca="false">IFERROR(IF(J$22*J$23*J$24*J$25*J21&gt;0,AVERAGE(J$22:J$25,J21),""),"")</f>
        <v/>
      </c>
      <c r="K135" s="261" t="str">
        <f aca="false">IFERROR(IF(K$22*K$23*K$24*K$25*K21&gt;0,AVERAGE(K$22:K$25,K21),""),"")</f>
        <v/>
      </c>
      <c r="L135" s="261" t="str">
        <f aca="false">IFERROR(IF(L$22*L$23*L$24*L$25*L21&gt;0,AVERAGE(L$22:L$25,L21),""),"")</f>
        <v/>
      </c>
      <c r="M135" s="261" t="str">
        <f aca="false">IFERROR(IF(M$22*M$23*M$24*M$25*M21&gt;0,AVERAGE(M$22:M$25,M21),""),"")</f>
        <v/>
      </c>
      <c r="N135" s="261" t="str">
        <f aca="false">IFERROR(IF(N$22*N$23*N$24*N$25*N21&gt;0,AVERAGE(N$22:N$25,N21),""),"")</f>
        <v/>
      </c>
      <c r="O135" s="224"/>
      <c r="P135" s="224"/>
      <c r="Q135" s="232"/>
      <c r="R135" s="226" t="s">
        <v>549</v>
      </c>
      <c r="S135" s="227" t="str">
        <f aca="false">IFERROR(IF(C$22*C$23*C$24*C$25*C21&gt;0,STDEV(C$22:C$25,C21),"")/IF(C$22*C$23*C$24*C$25*C21&gt;0,AVERAGE(C$22:C$25,C21),""),"")</f>
        <v/>
      </c>
      <c r="T135" s="227" t="str">
        <f aca="false">IFERROR(IF(D$22*D$23*D$24*D$25*D21&gt;0,STDEV(D$22:D$25,D21),"")/IF(D$22*D$23*D$24*D$25*D21&gt;0,AVERAGE(D$22:D$25,D21),""),"")</f>
        <v/>
      </c>
      <c r="U135" s="227" t="str">
        <f aca="false">IFERROR(IF(E$22*E$23*E$24*E$25*E21&gt;0,STDEV(E$22:E$25,E21),"")/IF(E$22*E$23*E$24*E$25*E21&gt;0,AVERAGE(E$22:E$25,E21),""),"")</f>
        <v/>
      </c>
      <c r="V135" s="227" t="str">
        <f aca="false">IFERROR(IF(F$22*F$23*F$24*F$25*F21&gt;0,STDEV(F$22:F$25,F21),"")/IF(F$22*F$23*F$24*F$25*F21&gt;0,AVERAGE(F$22:F$25,F21),""),"")</f>
        <v/>
      </c>
      <c r="W135" s="227" t="str">
        <f aca="false">IFERROR(IF(G$22*G$23*G$24*G$25*G21&gt;0,STDEV(G$22:G$25,G21),"")/IF(G$22*G$23*G$24*G$25*G21&gt;0,AVERAGE(G$22:G$25,G21),""),"")</f>
        <v/>
      </c>
      <c r="X135" s="227" t="str">
        <f aca="false">IFERROR(IF(H$22*H$23*H$24*H$25*H21&gt;0,STDEV(H$22:H$25,H21),"")/IF(H$22*H$23*H$24*H$25*H21&gt;0,AVERAGE(H$22:H$25,H21),""),"")</f>
        <v/>
      </c>
      <c r="Y135" s="227" t="str">
        <f aca="false">IFERROR(IF(I$22*I$23*I$24*I$25*I21&gt;0,STDEV(I$22:I$25,I21),"")/IF(I$22*I$23*I$24*I$25*I21&gt;0,AVERAGE(I$22:I$25,I21),""),"")</f>
        <v/>
      </c>
      <c r="Z135" s="227" t="str">
        <f aca="false">IFERROR(IF(J$22*J$23*J$24*J$25*J21&gt;0,STDEV(J$22:J$25,J21),"")/IF(J$22*J$23*J$24*J$25*J21&gt;0,AVERAGE(J$22:J$25,J21),""),"")</f>
        <v/>
      </c>
      <c r="AA135" s="227" t="str">
        <f aca="false">IFERROR(IF(K$22*K$23*K$24*K$25*K21&gt;0,STDEV(K$22:K$25,K21),"")/IF(K$22*K$23*K$24*K$25*K21&gt;0,AVERAGE(K$22:K$25,K21),""),"")</f>
        <v/>
      </c>
      <c r="AB135" s="227" t="str">
        <f aca="false">IFERROR(IF(L$22*L$23*L$24*L$25*L21&gt;0,STDEV(L$22:L$25,L21),"")/IF(L$22*L$23*L$24*L$25*L21&gt;0,AVERAGE(L$22:L$25,L21),""),"")</f>
        <v/>
      </c>
      <c r="AC135" s="227" t="str">
        <f aca="false">IFERROR(IF(M$22*M$23*M$24*M$25*M21&gt;0,STDEV(M$22:M$25,M21),"")/IF(M$22*M$23*M$24*M$25*M21&gt;0,AVERAGE(M$22:M$25,M21),""),"")</f>
        <v/>
      </c>
      <c r="AD135" s="227" t="str">
        <f aca="false">IFERROR(IF(N$22*N$23*N$24*N$25*N21&gt;0,STDEV(N$22:N$25,N21),"")/IF(N$22*N$23*N$24*N$25*N21&gt;0,AVERAGE(N$22:N$25,N21),""),"")</f>
        <v/>
      </c>
      <c r="AE135" s="233"/>
      <c r="AF135" s="229" t="s">
        <v>550</v>
      </c>
      <c r="AG135" s="230" t="str">
        <f aca="false">IFERROR(IF(C$22*C$23*C$24*C$25*C21&gt;0,STDEV(C$22:C$25,C21)," ")/IF(C$22*C$23*C$24*C$25*C21&gt;0,SQRT(COUNT(C$22:C$25,C21))," "),"")</f>
        <v/>
      </c>
      <c r="AH135" s="230" t="str">
        <f aca="false">IFERROR(IF(D$22*D$23*D$24*D$25*D21&gt;0,STDEV(D$22:D$25,D21)," ")/IF(D$22*D$23*D$24*D$25*D21&gt;0,SQRT(COUNT(D$22:D$25,D21))," "),"")</f>
        <v/>
      </c>
      <c r="AI135" s="230" t="str">
        <f aca="false">IFERROR(IF(E$22*E$23*E$24*E$25*E21&gt;0,STDEV(E$22:E$25,E21)," ")/IF(E$22*E$23*E$24*E$25*E21&gt;0,SQRT(COUNT(E$22:E$25,E21))," "),"")</f>
        <v/>
      </c>
      <c r="AJ135" s="230" t="str">
        <f aca="false">IFERROR(IF(F$22*F$23*F$24*F$25*F21&gt;0,STDEV(F$22:F$25,F21)," ")/IF(F$22*F$23*F$24*F$25*F21&gt;0,SQRT(COUNT(F$22:F$25,F21))," "),"")</f>
        <v/>
      </c>
      <c r="AK135" s="230" t="str">
        <f aca="false">IFERROR(IF(G$22*G$23*G$24*G$25*G21&gt;0,STDEV(G$22:G$25,G21)," ")/IF(G$22*G$23*G$24*G$25*G21&gt;0,SQRT(COUNT(G$22:G$25,G21))," "),"")</f>
        <v/>
      </c>
      <c r="AL135" s="230" t="str">
        <f aca="false">IFERROR(IF(H$22*H$23*H$24*H$25*H21&gt;0,STDEV(H$22:H$25,H21)," ")/IF(H$22*H$23*H$24*H$25*H21&gt;0,SQRT(COUNT(H$22:H$25,H21))," "),"")</f>
        <v/>
      </c>
      <c r="AM135" s="230" t="str">
        <f aca="false">IFERROR(IF(I$22*I$23*I$24*I$25*I21&gt;0,STDEV(I$22:I$25,I21)," ")/IF(I$22*I$23*I$24*I$25*I21&gt;0,SQRT(COUNT(I$22:I$25,I21))," "),"")</f>
        <v/>
      </c>
      <c r="AN135" s="230" t="str">
        <f aca="false">IFERROR(IF(J$22*J$23*J$24*J$25*J21&gt;0,STDEV(J$22:J$25,J21)," ")/IF(J$22*J$23*J$24*J$25*J21&gt;0,SQRT(COUNT(J$22:J$25,J21))," "),"")</f>
        <v/>
      </c>
      <c r="AO135" s="230" t="str">
        <f aca="false">IFERROR(IF(K$22*K$23*K$24*K$25*K21&gt;0,STDEV(K$22:K$25,K21)," ")/IF(K$22*K$23*K$24*K$25*K21&gt;0,SQRT(COUNT(K$22:K$25,K21))," "),"")</f>
        <v/>
      </c>
      <c r="AP135" s="230" t="str">
        <f aca="false">IFERROR(IF(L$22*L$23*L$24*L$25*L21&gt;0,STDEV(L$22:L$25,L21)," ")/IF(L$22*L$23*L$24*L$25*L21&gt;0,SQRT(COUNT(L$22:L$25,L21))," "),"")</f>
        <v/>
      </c>
      <c r="AQ135" s="230" t="str">
        <f aca="false">IFERROR(IF(M$22*M$23*M$24*M$25*M21&gt;0,STDEV(M$22:M$25,M21)," ")/IF(M$22*M$23*M$24*M$25*M21&gt;0,SQRT(COUNT(M$22:M$25,M21))," "),"")</f>
        <v/>
      </c>
      <c r="AR135" s="230" t="str">
        <f aca="false">IFERROR(IF(N$22*N$23*N$24*N$25*N21&gt;0,STDEV(N$22:N$25,N21)," ")/IF(N$22*N$23*N$24*N$25*N21&gt;0,SQRT(COUNT(N$22:N$25,N21))," "),"")</f>
        <v/>
      </c>
    </row>
    <row r="136" customFormat="false" ht="15.75" hidden="false" customHeight="false" outlineLevel="0" collapsed="false">
      <c r="A136" s="220" t="s">
        <v>551</v>
      </c>
      <c r="B136" s="221"/>
      <c r="C136" s="261" t="str">
        <f aca="false">IFERROR(IF(C$22*C$23*C$24*C$25*C26&gt;0,AVERAGE(C$22:C$25,C26),""),"")</f>
        <v/>
      </c>
      <c r="D136" s="261" t="str">
        <f aca="false">IFERROR(IF(D$22*D$23*D$24*D$25*D26&gt;0,AVERAGE(D$22:D$25,D26),""),"")</f>
        <v/>
      </c>
      <c r="E136" s="261" t="str">
        <f aca="false">IFERROR(IF(E$22*E$23*E$24*E$25*E26&gt;0,AVERAGE(E$22:E$25,E26),""),"")</f>
        <v/>
      </c>
      <c r="F136" s="261" t="str">
        <f aca="false">IFERROR(IF(F$22*F$23*F$24*F$25*F26&gt;0,AVERAGE(F$22:F$25,F26),""),"")</f>
        <v/>
      </c>
      <c r="G136" s="261" t="str">
        <f aca="false">IFERROR(IF(G$22*G$23*G$24*G$25*G26&gt;0,AVERAGE(G$22:G$25,G26),""),"")</f>
        <v/>
      </c>
      <c r="H136" s="261" t="str">
        <f aca="false">IFERROR(IF(H$22*H$23*H$24*H$25*H26&gt;0,AVERAGE(H$22:H$25,H26),""),"")</f>
        <v/>
      </c>
      <c r="I136" s="261" t="str">
        <f aca="false">IFERROR(IF(I$22*I$23*I$24*I$25*I26&gt;0,AVERAGE(I$22:I$25,I26),""),"")</f>
        <v/>
      </c>
      <c r="J136" s="261" t="str">
        <f aca="false">IFERROR(IF(J$22*J$23*J$24*J$25*J26&gt;0,AVERAGE(J$22:J$25,J26),""),"")</f>
        <v/>
      </c>
      <c r="K136" s="261" t="str">
        <f aca="false">IFERROR(IF(K$22*K$23*K$24*K$25*K26&gt;0,AVERAGE(K$22:K$25,K26),""),"")</f>
        <v/>
      </c>
      <c r="L136" s="261" t="str">
        <f aca="false">IFERROR(IF(L$22*L$23*L$24*L$25*L26&gt;0,AVERAGE(L$22:L$25,L26),""),"")</f>
        <v/>
      </c>
      <c r="M136" s="261" t="str">
        <f aca="false">IFERROR(IF(M$22*M$23*M$24*M$25*M26&gt;0,AVERAGE(M$22:M$25,M26),""),"")</f>
        <v/>
      </c>
      <c r="N136" s="261" t="str">
        <f aca="false">IFERROR(IF(N$22*N$23*N$24*N$25*N26&gt;0,AVERAGE(N$22:N$25,N26),""),"")</f>
        <v/>
      </c>
      <c r="O136" s="224"/>
      <c r="P136" s="224"/>
      <c r="Q136" s="232"/>
      <c r="R136" s="226" t="s">
        <v>552</v>
      </c>
      <c r="S136" s="227" t="str">
        <f aca="false">IFERROR(IF(C$22*C$23*C$24*C$25*C26&gt;0,STDEV(C$22:C$25,C26),"")/IF(C$22*C$23*C$24*C$25*C26&gt;0,AVERAGE(C$22:C$25,C26),""),"")</f>
        <v/>
      </c>
      <c r="T136" s="227" t="str">
        <f aca="false">IFERROR(IF(D$22*D$23*D$24*D$25*D26&gt;0,STDEV(D$22:D$25,D26),"")/IF(D$22*D$23*D$24*D$25*D26&gt;0,AVERAGE(D$22:D$25,D26),""),"")</f>
        <v/>
      </c>
      <c r="U136" s="227" t="str">
        <f aca="false">IFERROR(IF(E$22*E$23*E$24*E$25*E26&gt;0,STDEV(E$22:E$25,E26),"")/IF(E$22*E$23*E$24*E$25*E26&gt;0,AVERAGE(E$22:E$25,E26),""),"")</f>
        <v/>
      </c>
      <c r="V136" s="227" t="str">
        <f aca="false">IFERROR(IF(F$22*F$23*F$24*F$25*F26&gt;0,STDEV(F$22:F$25,F26),"")/IF(F$22*F$23*F$24*F$25*F26&gt;0,AVERAGE(F$22:F$25,F26),""),"")</f>
        <v/>
      </c>
      <c r="W136" s="227" t="str">
        <f aca="false">IFERROR(IF(G$22*G$23*G$24*G$25*G26&gt;0,STDEV(G$22:G$25,G26),"")/IF(G$22*G$23*G$24*G$25*G26&gt;0,AVERAGE(G$22:G$25,G26),""),"")</f>
        <v/>
      </c>
      <c r="X136" s="227" t="str">
        <f aca="false">IFERROR(IF(H$22*H$23*H$24*H$25*H26&gt;0,STDEV(H$22:H$25,H26),"")/IF(H$22*H$23*H$24*H$25*H26&gt;0,AVERAGE(H$22:H$25,H26),""),"")</f>
        <v/>
      </c>
      <c r="Y136" s="227" t="str">
        <f aca="false">IFERROR(IF(I$22*I$23*I$24*I$25*I26&gt;0,STDEV(I$22:I$25,I26),"")/IF(I$22*I$23*I$24*I$25*I26&gt;0,AVERAGE(I$22:I$25,I26),""),"")</f>
        <v/>
      </c>
      <c r="Z136" s="227" t="str">
        <f aca="false">IFERROR(IF(J$22*J$23*J$24*J$25*J26&gt;0,STDEV(J$22:J$25,J26),"")/IF(J$22*J$23*J$24*J$25*J26&gt;0,AVERAGE(J$22:J$25,J26),""),"")</f>
        <v/>
      </c>
      <c r="AA136" s="227" t="str">
        <f aca="false">IFERROR(IF(K$22*K$23*K$24*K$25*K26&gt;0,STDEV(K$22:K$25,K26),"")/IF(K$22*K$23*K$24*K$25*K26&gt;0,AVERAGE(K$22:K$25,K26),""),"")</f>
        <v/>
      </c>
      <c r="AB136" s="227" t="str">
        <f aca="false">IFERROR(IF(L$22*L$23*L$24*L$25*L26&gt;0,STDEV(L$22:L$25,L26),"")/IF(L$22*L$23*L$24*L$25*L26&gt;0,AVERAGE(L$22:L$25,L26),""),"")</f>
        <v/>
      </c>
      <c r="AC136" s="227" t="str">
        <f aca="false">IFERROR(IF(M$22*M$23*M$24*M$25*M26&gt;0,STDEV(M$22:M$25,M26),"")/IF(M$22*M$23*M$24*M$25*M26&gt;0,AVERAGE(M$22:M$25,M26),""),"")</f>
        <v/>
      </c>
      <c r="AD136" s="227" t="str">
        <f aca="false">IFERROR(IF(N$22*N$23*N$24*N$25*N26&gt;0,STDEV(N$22:N$25,N26),"")/IF(N$22*N$23*N$24*N$25*N26&gt;0,AVERAGE(N$22:N$25,N26),""),"")</f>
        <v/>
      </c>
      <c r="AE136" s="233"/>
      <c r="AF136" s="229" t="s">
        <v>553</v>
      </c>
      <c r="AG136" s="230" t="str">
        <f aca="false">IFERROR(IF(C$22*C$23*C$24*C$25*C26&gt;0,STDEV(C$22:C$25,C26)," ")/IF(C$22*C$23*C$24*C$25*C26&gt;0,SQRT(COUNT(C$22:C$25,C26))," "),"")</f>
        <v/>
      </c>
      <c r="AH136" s="230" t="str">
        <f aca="false">IFERROR(IF(D$22*D$23*D$24*D$25*D26&gt;0,STDEV(D$22:D$25,D26)," ")/IF(D$22*D$23*D$24*D$25*D26&gt;0,SQRT(COUNT(D$22:D$25,D26))," "),"")</f>
        <v/>
      </c>
      <c r="AI136" s="230" t="str">
        <f aca="false">IFERROR(IF(E$22*E$23*E$24*E$25*E26&gt;0,STDEV(E$22:E$25,E26)," ")/IF(E$22*E$23*E$24*E$25*E26&gt;0,SQRT(COUNT(E$22:E$25,E26))," "),"")</f>
        <v/>
      </c>
      <c r="AJ136" s="230" t="str">
        <f aca="false">IFERROR(IF(F$22*F$23*F$24*F$25*F26&gt;0,STDEV(F$22:F$25,F26)," ")/IF(F$22*F$23*F$24*F$25*F26&gt;0,SQRT(COUNT(F$22:F$25,F26))," "),"")</f>
        <v/>
      </c>
      <c r="AK136" s="230" t="str">
        <f aca="false">IFERROR(IF(G$22*G$23*G$24*G$25*G26&gt;0,STDEV(G$22:G$25,G26)," ")/IF(G$22*G$23*G$24*G$25*G26&gt;0,SQRT(COUNT(G$22:G$25,G26))," "),"")</f>
        <v/>
      </c>
      <c r="AL136" s="230" t="str">
        <f aca="false">IFERROR(IF(H$22*H$23*H$24*H$25*H26&gt;0,STDEV(H$22:H$25,H26)," ")/IF(H$22*H$23*H$24*H$25*H26&gt;0,SQRT(COUNT(H$22:H$25,H26))," "),"")</f>
        <v/>
      </c>
      <c r="AM136" s="230" t="str">
        <f aca="false">IFERROR(IF(I$22*I$23*I$24*I$25*I26&gt;0,STDEV(I$22:I$25,I26)," ")/IF(I$22*I$23*I$24*I$25*I26&gt;0,SQRT(COUNT(I$22:I$25,I26))," "),"")</f>
        <v/>
      </c>
      <c r="AN136" s="230" t="str">
        <f aca="false">IFERROR(IF(J$22*J$23*J$24*J$25*J26&gt;0,STDEV(J$22:J$25,J26)," ")/IF(J$22*J$23*J$24*J$25*J26&gt;0,SQRT(COUNT(J$22:J$25,J26))," "),"")</f>
        <v/>
      </c>
      <c r="AO136" s="230" t="str">
        <f aca="false">IFERROR(IF(K$22*K$23*K$24*K$25*K26&gt;0,STDEV(K$22:K$25,K26)," ")/IF(K$22*K$23*K$24*K$25*K26&gt;0,SQRT(COUNT(K$22:K$25,K26))," "),"")</f>
        <v/>
      </c>
      <c r="AP136" s="230" t="str">
        <f aca="false">IFERROR(IF(L$22*L$23*L$24*L$25*L26&gt;0,STDEV(L$22:L$25,L26)," ")/IF(L$22*L$23*L$24*L$25*L26&gt;0,SQRT(COUNT(L$22:L$25,L26))," "),"")</f>
        <v/>
      </c>
      <c r="AQ136" s="230" t="str">
        <f aca="false">IFERROR(IF(M$22*M$23*M$24*M$25*M26&gt;0,STDEV(M$22:M$25,M26)," ")/IF(M$22*M$23*M$24*M$25*M26&gt;0,SQRT(COUNT(M$22:M$25,M26))," "),"")</f>
        <v/>
      </c>
      <c r="AR136" s="230" t="str">
        <f aca="false">IFERROR(IF(N$22*N$23*N$24*N$25*N26&gt;0,STDEV(N$22:N$25,N26)," ")/IF(N$22*N$23*N$24*N$25*N26&gt;0,SQRT(COUNT(N$22:N$25,N26))," "),"")</f>
        <v/>
      </c>
    </row>
    <row r="137" customFormat="false" ht="15.75" hidden="false" customHeight="false" outlineLevel="0" collapsed="false">
      <c r="A137" s="220" t="s">
        <v>554</v>
      </c>
      <c r="B137" s="221"/>
      <c r="C137" s="261" t="str">
        <f aca="false">IFERROR(IF(C$22*C$23*C$24*C$25*C27&gt;0,AVERAGE(C$22:C$25,C27),""),"")</f>
        <v/>
      </c>
      <c r="D137" s="261" t="str">
        <f aca="false">IFERROR(IF(D$22*D$23*D$24*D$25*D27&gt;0,AVERAGE(D$22:D$25,D27),""),"")</f>
        <v/>
      </c>
      <c r="E137" s="261" t="str">
        <f aca="false">IFERROR(IF(E$22*E$23*E$24*E$25*E27&gt;0,AVERAGE(E$22:E$25,E27),""),"")</f>
        <v/>
      </c>
      <c r="F137" s="261" t="str">
        <f aca="false">IFERROR(IF(F$22*F$23*F$24*F$25*F27&gt;0,AVERAGE(F$22:F$25,F27),""),"")</f>
        <v/>
      </c>
      <c r="G137" s="261" t="str">
        <f aca="false">IFERROR(IF(G$22*G$23*G$24*G$25*G27&gt;0,AVERAGE(G$22:G$25,G27),""),"")</f>
        <v/>
      </c>
      <c r="H137" s="261" t="str">
        <f aca="false">IFERROR(IF(H$22*H$23*H$24*H$25*H27&gt;0,AVERAGE(H$22:H$25,H27),""),"")</f>
        <v/>
      </c>
      <c r="I137" s="261" t="str">
        <f aca="false">IFERROR(IF(I$22*I$23*I$24*I$25*I27&gt;0,AVERAGE(I$22:I$25,I27),""),"")</f>
        <v/>
      </c>
      <c r="J137" s="261" t="str">
        <f aca="false">IFERROR(IF(J$22*J$23*J$24*J$25*J27&gt;0,AVERAGE(J$22:J$25,J27),""),"")</f>
        <v/>
      </c>
      <c r="K137" s="261" t="str">
        <f aca="false">IFERROR(IF(K$22*K$23*K$24*K$25*K27&gt;0,AVERAGE(K$22:K$25,K27),""),"")</f>
        <v/>
      </c>
      <c r="L137" s="261" t="str">
        <f aca="false">IFERROR(IF(L$22*L$23*L$24*L$25*L27&gt;0,AVERAGE(L$22:L$25,L27),""),"")</f>
        <v/>
      </c>
      <c r="M137" s="261" t="str">
        <f aca="false">IFERROR(IF(M$22*M$23*M$24*M$25*M27&gt;0,AVERAGE(M$22:M$25,M27),""),"")</f>
        <v/>
      </c>
      <c r="N137" s="261" t="str">
        <f aca="false">IFERROR(IF(N$22*N$23*N$24*N$25*N27&gt;0,AVERAGE(N$22:N$25,N27),""),"")</f>
        <v/>
      </c>
      <c r="O137" s="224"/>
      <c r="P137" s="224"/>
      <c r="Q137" s="232"/>
      <c r="R137" s="226" t="s">
        <v>555</v>
      </c>
      <c r="S137" s="227" t="str">
        <f aca="false">IFERROR(IF(C$22*C$23*C$24*C$25*C27&gt;0,STDEV(C$22:C$25,C27),"")/IF(C$22*C$23*C$24*C$25*C27&gt;0,AVERAGE(C$22:C$25,C27),""),"")</f>
        <v/>
      </c>
      <c r="T137" s="227" t="str">
        <f aca="false">IFERROR(IF(D$22*D$23*D$24*D$25*D27&gt;0,STDEV(D$22:D$25,D27),"")/IF(D$22*D$23*D$24*D$25*D27&gt;0,AVERAGE(D$22:D$25,D27),""),"")</f>
        <v/>
      </c>
      <c r="U137" s="227" t="str">
        <f aca="false">IFERROR(IF(E$22*E$23*E$24*E$25*E27&gt;0,STDEV(E$22:E$25,E27),"")/IF(E$22*E$23*E$24*E$25*E27&gt;0,AVERAGE(E$22:E$25,E27),""),"")</f>
        <v/>
      </c>
      <c r="V137" s="227" t="str">
        <f aca="false">IFERROR(IF(F$22*F$23*F$24*F$25*F27&gt;0,STDEV(F$22:F$25,F27),"")/IF(F$22*F$23*F$24*F$25*F27&gt;0,AVERAGE(F$22:F$25,F27),""),"")</f>
        <v/>
      </c>
      <c r="W137" s="227" t="str">
        <f aca="false">IFERROR(IF(G$22*G$23*G$24*G$25*G27&gt;0,STDEV(G$22:G$25,G27),"")/IF(G$22*G$23*G$24*G$25*G27&gt;0,AVERAGE(G$22:G$25,G27),""),"")</f>
        <v/>
      </c>
      <c r="X137" s="227" t="str">
        <f aca="false">IFERROR(IF(H$22*H$23*H$24*H$25*H27&gt;0,STDEV(H$22:H$25,H27),"")/IF(H$22*H$23*H$24*H$25*H27&gt;0,AVERAGE(H$22:H$25,H27),""),"")</f>
        <v/>
      </c>
      <c r="Y137" s="227" t="str">
        <f aca="false">IFERROR(IF(I$22*I$23*I$24*I$25*I27&gt;0,STDEV(I$22:I$25,I27),"")/IF(I$22*I$23*I$24*I$25*I27&gt;0,AVERAGE(I$22:I$25,I27),""),"")</f>
        <v/>
      </c>
      <c r="Z137" s="227" t="str">
        <f aca="false">IFERROR(IF(J$22*J$23*J$24*J$25*J27&gt;0,STDEV(J$22:J$25,J27),"")/IF(J$22*J$23*J$24*J$25*J27&gt;0,AVERAGE(J$22:J$25,J27),""),"")</f>
        <v/>
      </c>
      <c r="AA137" s="227" t="str">
        <f aca="false">IFERROR(IF(K$22*K$23*K$24*K$25*K27&gt;0,STDEV(K$22:K$25,K27),"")/IF(K$22*K$23*K$24*K$25*K27&gt;0,AVERAGE(K$22:K$25,K27),""),"")</f>
        <v/>
      </c>
      <c r="AB137" s="227" t="str">
        <f aca="false">IFERROR(IF(L$22*L$23*L$24*L$25*L27&gt;0,STDEV(L$22:L$25,L27),"")/IF(L$22*L$23*L$24*L$25*L27&gt;0,AVERAGE(L$22:L$25,L27),""),"")</f>
        <v/>
      </c>
      <c r="AC137" s="227" t="str">
        <f aca="false">IFERROR(IF(M$22*M$23*M$24*M$25*M27&gt;0,STDEV(M$22:M$25,M27),"")/IF(M$22*M$23*M$24*M$25*M27&gt;0,AVERAGE(M$22:M$25,M27),""),"")</f>
        <v/>
      </c>
      <c r="AD137" s="227" t="str">
        <f aca="false">IFERROR(IF(N$22*N$23*N$24*N$25*N27&gt;0,STDEV(N$22:N$25,N27),"")/IF(N$22*N$23*N$24*N$25*N27&gt;0,AVERAGE(N$22:N$25,N27),""),"")</f>
        <v/>
      </c>
      <c r="AE137" s="233"/>
      <c r="AF137" s="229" t="s">
        <v>556</v>
      </c>
      <c r="AG137" s="230" t="str">
        <f aca="false">IFERROR(IF(C$22*C$23*C$24*C$25*C27&gt;0,STDEV(C$22:C$25,C27)," ")/IF(C$22*C$23*C$24*C$25*C27&gt;0,SQRT(COUNT(C$22:C$25,C27))," "),"")</f>
        <v/>
      </c>
      <c r="AH137" s="230" t="str">
        <f aca="false">IFERROR(IF(D$22*D$23*D$24*D$25*D27&gt;0,STDEV(D$22:D$25,D27)," ")/IF(D$22*D$23*D$24*D$25*D27&gt;0,SQRT(COUNT(D$22:D$25,D27))," "),"")</f>
        <v/>
      </c>
      <c r="AI137" s="230" t="str">
        <f aca="false">IFERROR(IF(E$22*E$23*E$24*E$25*E27&gt;0,STDEV(E$22:E$25,E27)," ")/IF(E$22*E$23*E$24*E$25*E27&gt;0,SQRT(COUNT(E$22:E$25,E27))," "),"")</f>
        <v/>
      </c>
      <c r="AJ137" s="230" t="str">
        <f aca="false">IFERROR(IF(F$22*F$23*F$24*F$25*F27&gt;0,STDEV(F$22:F$25,F27)," ")/IF(F$22*F$23*F$24*F$25*F27&gt;0,SQRT(COUNT(F$22:F$25,F27))," "),"")</f>
        <v/>
      </c>
      <c r="AK137" s="230" t="str">
        <f aca="false">IFERROR(IF(G$22*G$23*G$24*G$25*G27&gt;0,STDEV(G$22:G$25,G27)," ")/IF(G$22*G$23*G$24*G$25*G27&gt;0,SQRT(COUNT(G$22:G$25,G27))," "),"")</f>
        <v/>
      </c>
      <c r="AL137" s="230" t="str">
        <f aca="false">IFERROR(IF(H$22*H$23*H$24*H$25*H27&gt;0,STDEV(H$22:H$25,H27)," ")/IF(H$22*H$23*H$24*H$25*H27&gt;0,SQRT(COUNT(H$22:H$25,H27))," "),"")</f>
        <v/>
      </c>
      <c r="AM137" s="230" t="str">
        <f aca="false">IFERROR(IF(I$22*I$23*I$24*I$25*I27&gt;0,STDEV(I$22:I$25,I27)," ")/IF(I$22*I$23*I$24*I$25*I27&gt;0,SQRT(COUNT(I$22:I$25,I27))," "),"")</f>
        <v/>
      </c>
      <c r="AN137" s="230" t="str">
        <f aca="false">IFERROR(IF(J$22*J$23*J$24*J$25*J27&gt;0,STDEV(J$22:J$25,J27)," ")/IF(J$22*J$23*J$24*J$25*J27&gt;0,SQRT(COUNT(J$22:J$25,J27))," "),"")</f>
        <v/>
      </c>
      <c r="AO137" s="230" t="str">
        <f aca="false">IFERROR(IF(K$22*K$23*K$24*K$25*K27&gt;0,STDEV(K$22:K$25,K27)," ")/IF(K$22*K$23*K$24*K$25*K27&gt;0,SQRT(COUNT(K$22:K$25,K27))," "),"")</f>
        <v/>
      </c>
      <c r="AP137" s="230" t="str">
        <f aca="false">IFERROR(IF(L$22*L$23*L$24*L$25*L27&gt;0,STDEV(L$22:L$25,L27)," ")/IF(L$22*L$23*L$24*L$25*L27&gt;0,SQRT(COUNT(L$22:L$25,L27))," "),"")</f>
        <v/>
      </c>
      <c r="AQ137" s="230" t="str">
        <f aca="false">IFERROR(IF(M$22*M$23*M$24*M$25*M27&gt;0,STDEV(M$22:M$25,M27)," ")/IF(M$22*M$23*M$24*M$25*M27&gt;0,SQRT(COUNT(M$22:M$25,M27))," "),"")</f>
        <v/>
      </c>
      <c r="AR137" s="230" t="str">
        <f aca="false">IFERROR(IF(N$22*N$23*N$24*N$25*N27&gt;0,STDEV(N$22:N$25,N27)," ")/IF(N$22*N$23*N$24*N$25*N27&gt;0,SQRT(COUNT(N$22:N$25,N27))," "),"")</f>
        <v/>
      </c>
    </row>
    <row r="138" customFormat="false" ht="15.75" hidden="false" customHeight="false" outlineLevel="0" collapsed="false">
      <c r="A138" s="220" t="s">
        <v>557</v>
      </c>
      <c r="B138" s="221"/>
      <c r="C138" s="261" t="str">
        <f aca="false">IFERROR(IF(C$23*C$24*C$25*C$26*C21&gt;0,AVERAGE(C$23:C$26,C21),""),"")</f>
        <v/>
      </c>
      <c r="D138" s="261" t="str">
        <f aca="false">IFERROR(IF(D$23*D$24*D$25*D$26*D21&gt;0,AVERAGE(D$23:D$26,D21),""),"")</f>
        <v/>
      </c>
      <c r="E138" s="261" t="str">
        <f aca="false">IFERROR(IF(E$23*E$24*E$25*E$26*E21&gt;0,AVERAGE(E$23:E$26,E21),""),"")</f>
        <v/>
      </c>
      <c r="F138" s="261" t="str">
        <f aca="false">IFERROR(IF(F$23*F$24*F$25*F$26*F21&gt;0,AVERAGE(F$23:F$26,F21),""),"")</f>
        <v/>
      </c>
      <c r="G138" s="261" t="str">
        <f aca="false">IFERROR(IF(G$23*G$24*G$25*G$26*G21&gt;0,AVERAGE(G$23:G$26,G21),""),"")</f>
        <v/>
      </c>
      <c r="H138" s="261" t="str">
        <f aca="false">IFERROR(IF(H$23*H$24*H$25*H$26*H21&gt;0,AVERAGE(H$23:H$26,H21),""),"")</f>
        <v/>
      </c>
      <c r="I138" s="261" t="str">
        <f aca="false">IFERROR(IF(I$23*I$24*I$25*I$26*I21&gt;0,AVERAGE(I$23:I$26,I21),""),"")</f>
        <v/>
      </c>
      <c r="J138" s="261" t="str">
        <f aca="false">IFERROR(IF(J$23*J$24*J$25*J$26*J21&gt;0,AVERAGE(J$23:J$26,J21),""),"")</f>
        <v/>
      </c>
      <c r="K138" s="261" t="str">
        <f aca="false">IFERROR(IF(K$23*K$24*K$25*K$26*K21&gt;0,AVERAGE(K$23:K$26,K21),""),"")</f>
        <v/>
      </c>
      <c r="L138" s="261" t="str">
        <f aca="false">IFERROR(IF(L$23*L$24*L$25*L$26*L21&gt;0,AVERAGE(L$23:L$26,L21),""),"")</f>
        <v/>
      </c>
      <c r="M138" s="261" t="str">
        <f aca="false">IFERROR(IF(M$23*M$24*M$25*M$26*M21&gt;0,AVERAGE(M$23:M$26,M21),""),"")</f>
        <v/>
      </c>
      <c r="N138" s="261" t="str">
        <f aca="false">IFERROR(IF(N$23*N$24*N$25*N$26*N21&gt;0,AVERAGE(N$23:N$26,N21),""),"")</f>
        <v/>
      </c>
      <c r="O138" s="224"/>
      <c r="P138" s="224"/>
      <c r="Q138" s="232"/>
      <c r="R138" s="226" t="s">
        <v>558</v>
      </c>
      <c r="S138" s="227" t="str">
        <f aca="false">IFERROR(IF(C$23*C$24*C$25*C$26*C21&gt;0,STDEV(C$23:C$26,C21),"")/IF(C$23*C$24*C$25*C$26*C21&gt;0,AVERAGE(C$23:C$26,C21),""),"")</f>
        <v/>
      </c>
      <c r="T138" s="227" t="str">
        <f aca="false">IFERROR(IF(D$23*D$24*D$25*D$26*D21&gt;0,STDEV(D$23:D$26,D21),"")/IF(D$23*D$24*D$25*D$26*D21&gt;0,AVERAGE(D$23:D$26,D21),""),"")</f>
        <v/>
      </c>
      <c r="U138" s="227" t="str">
        <f aca="false">IFERROR(IF(E$23*E$24*E$25*E$26*E21&gt;0,STDEV(E$23:E$26,E21),"")/IF(E$23*E$24*E$25*E$26*E21&gt;0,AVERAGE(E$23:E$26,E21),""),"")</f>
        <v/>
      </c>
      <c r="V138" s="227" t="str">
        <f aca="false">IFERROR(IF(F$23*F$24*F$25*F$26*F21&gt;0,STDEV(F$23:F$26,F21),"")/IF(F$23*F$24*F$25*F$26*F21&gt;0,AVERAGE(F$23:F$26,F21),""),"")</f>
        <v/>
      </c>
      <c r="W138" s="227" t="str">
        <f aca="false">IFERROR(IF(G$23*G$24*G$25*G$26*G21&gt;0,STDEV(G$23:G$26,G21),"")/IF(G$23*G$24*G$25*G$26*G21&gt;0,AVERAGE(G$23:G$26,G21),""),"")</f>
        <v/>
      </c>
      <c r="X138" s="227" t="str">
        <f aca="false">IFERROR(IF(H$23*H$24*H$25*H$26*H21&gt;0,STDEV(H$23:H$26,H21),"")/IF(H$23*H$24*H$25*H$26*H21&gt;0,AVERAGE(H$23:H$26,H21),""),"")</f>
        <v/>
      </c>
      <c r="Y138" s="227" t="str">
        <f aca="false">IFERROR(IF(I$23*I$24*I$25*I$26*I21&gt;0,STDEV(I$23:I$26,I21),"")/IF(I$23*I$24*I$25*I$26*I21&gt;0,AVERAGE(I$23:I$26,I21),""),"")</f>
        <v/>
      </c>
      <c r="Z138" s="227" t="str">
        <f aca="false">IFERROR(IF(J$23*J$24*J$25*J$26*J21&gt;0,STDEV(J$23:J$26,J21),"")/IF(J$23*J$24*J$25*J$26*J21&gt;0,AVERAGE(J$23:J$26,J21),""),"")</f>
        <v/>
      </c>
      <c r="AA138" s="227" t="str">
        <f aca="false">IFERROR(IF(K$23*K$24*K$25*K$26*K21&gt;0,STDEV(K$23:K$26,K21),"")/IF(K$23*K$24*K$25*K$26*K21&gt;0,AVERAGE(K$23:K$26,K21),""),"")</f>
        <v/>
      </c>
      <c r="AB138" s="227" t="str">
        <f aca="false">IFERROR(IF(L$23*L$24*L$25*L$26*L21&gt;0,STDEV(L$23:L$26,L21),"")/IF(L$23*L$24*L$25*L$26*L21&gt;0,AVERAGE(L$23:L$26,L21),""),"")</f>
        <v/>
      </c>
      <c r="AC138" s="227" t="str">
        <f aca="false">IFERROR(IF(M$23*M$24*M$25*M$26*M21&gt;0,STDEV(M$23:M$26,M21),"")/IF(M$23*M$24*M$25*M$26*M21&gt;0,AVERAGE(M$23:M$26,M21),""),"")</f>
        <v/>
      </c>
      <c r="AD138" s="227" t="str">
        <f aca="false">IFERROR(IF(N$23*N$24*N$25*N$26*N21&gt;0,STDEV(N$23:N$26,N21),"")/IF(N$23*N$24*N$25*N$26*N21&gt;0,AVERAGE(N$23:N$26,N21),""),"")</f>
        <v/>
      </c>
      <c r="AE138" s="233"/>
      <c r="AF138" s="229" t="s">
        <v>559</v>
      </c>
      <c r="AG138" s="230" t="str">
        <f aca="false">IFERROR(IF(C$23*C$24*C$25*C$26*C21&gt;0,STDEV(C$23:C$26,C21)," ")/IF(C$23*C$24*C$25*C$26*C21&gt;0,SQRT(COUNT(C$23:C$26,C21))," "),"")</f>
        <v/>
      </c>
      <c r="AH138" s="230" t="str">
        <f aca="false">IFERROR(IF(D$23*D$24*D$25*D$26*D21&gt;0,STDEV(D$23:D$26,D21)," ")/IF(D$23*D$24*D$25*D$26*D21&gt;0,SQRT(COUNT(D$23:D$26,D21))," "),"")</f>
        <v/>
      </c>
      <c r="AI138" s="230" t="str">
        <f aca="false">IFERROR(IF(E$23*E$24*E$25*E$26*E21&gt;0,STDEV(E$23:E$26,E21)," ")/IF(E$23*E$24*E$25*E$26*E21&gt;0,SQRT(COUNT(E$23:E$26,E21))," "),"")</f>
        <v/>
      </c>
      <c r="AJ138" s="230" t="str">
        <f aca="false">IFERROR(IF(F$23*F$24*F$25*F$26*F21&gt;0,STDEV(F$23:F$26,F21)," ")/IF(F$23*F$24*F$25*F$26*F21&gt;0,SQRT(COUNT(F$23:F$26,F21))," "),"")</f>
        <v/>
      </c>
      <c r="AK138" s="230" t="str">
        <f aca="false">IFERROR(IF(G$23*G$24*G$25*G$26*G21&gt;0,STDEV(G$23:G$26,G21)," ")/IF(G$23*G$24*G$25*G$26*G21&gt;0,SQRT(COUNT(G$23:G$26,G21))," "),"")</f>
        <v/>
      </c>
      <c r="AL138" s="230" t="str">
        <f aca="false">IFERROR(IF(H$23*H$24*H$25*H$26*H21&gt;0,STDEV(H$23:H$26,H21)," ")/IF(H$23*H$24*H$25*H$26*H21&gt;0,SQRT(COUNT(H$23:H$26,H21))," "),"")</f>
        <v/>
      </c>
      <c r="AM138" s="230" t="str">
        <f aca="false">IFERROR(IF(I$23*I$24*I$25*I$26*I21&gt;0,STDEV(I$23:I$26,I21)," ")/IF(I$23*I$24*I$25*I$26*I21&gt;0,SQRT(COUNT(I$23:I$26,I21))," "),"")</f>
        <v/>
      </c>
      <c r="AN138" s="230" t="str">
        <f aca="false">IFERROR(IF(J$23*J$24*J$25*J$26*J21&gt;0,STDEV(J$23:J$26,J21)," ")/IF(J$23*J$24*J$25*J$26*J21&gt;0,SQRT(COUNT(J$23:J$26,J21))," "),"")</f>
        <v/>
      </c>
      <c r="AO138" s="230" t="str">
        <f aca="false">IFERROR(IF(K$23*K$24*K$25*K$26*K21&gt;0,STDEV(K$23:K$26,K21)," ")/IF(K$23*K$24*K$25*K$26*K21&gt;0,SQRT(COUNT(K$23:K$26,K21))," "),"")</f>
        <v/>
      </c>
      <c r="AP138" s="230" t="str">
        <f aca="false">IFERROR(IF(L$23*L$24*L$25*L$26*L21&gt;0,STDEV(L$23:L$26,L21)," ")/IF(L$23*L$24*L$25*L$26*L21&gt;0,SQRT(COUNT(L$23:L$26,L21))," "),"")</f>
        <v/>
      </c>
      <c r="AQ138" s="230" t="str">
        <f aca="false">IFERROR(IF(M$23*M$24*M$25*M$26*M21&gt;0,STDEV(M$23:M$26,M21)," ")/IF(M$23*M$24*M$25*M$26*M21&gt;0,SQRT(COUNT(M$23:M$26,M21))," "),"")</f>
        <v/>
      </c>
      <c r="AR138" s="230" t="str">
        <f aca="false">IFERROR(IF(N$23*N$24*N$25*N$26*N21&gt;0,STDEV(N$23:N$26,N21)," ")/IF(N$23*N$24*N$25*N$26*N21&gt;0,SQRT(COUNT(N$23:N$26,N21))," "),"")</f>
        <v/>
      </c>
    </row>
    <row r="139" customFormat="false" ht="15.75" hidden="false" customHeight="false" outlineLevel="0" collapsed="false">
      <c r="A139" s="220" t="s">
        <v>560</v>
      </c>
      <c r="B139" s="221"/>
      <c r="C139" s="261" t="str">
        <f aca="false">IFERROR(IF(C$23*C$24*C$25*C$26*C22&gt;0,AVERAGE(C$23:C$26,C22),""),"")</f>
        <v/>
      </c>
      <c r="D139" s="261" t="str">
        <f aca="false">IFERROR(IF(D$23*D$24*D$25*D$26*D22&gt;0,AVERAGE(D$23:D$26,D22),""),"")</f>
        <v/>
      </c>
      <c r="E139" s="261" t="str">
        <f aca="false">IFERROR(IF(E$23*E$24*E$25*E$26*E22&gt;0,AVERAGE(E$23:E$26,E22),""),"")</f>
        <v/>
      </c>
      <c r="F139" s="261" t="str">
        <f aca="false">IFERROR(IF(F$23*F$24*F$25*F$26*F22&gt;0,AVERAGE(F$23:F$26,F22),""),"")</f>
        <v/>
      </c>
      <c r="G139" s="261" t="str">
        <f aca="false">IFERROR(IF(G$23*G$24*G$25*G$26*G22&gt;0,AVERAGE(G$23:G$26,G22),""),"")</f>
        <v/>
      </c>
      <c r="H139" s="261" t="str">
        <f aca="false">IFERROR(IF(H$23*H$24*H$25*H$26*H22&gt;0,AVERAGE(H$23:H$26,H22),""),"")</f>
        <v/>
      </c>
      <c r="I139" s="261" t="str">
        <f aca="false">IFERROR(IF(I$23*I$24*I$25*I$26*I22&gt;0,AVERAGE(I$23:I$26,I22),""),"")</f>
        <v/>
      </c>
      <c r="J139" s="261" t="str">
        <f aca="false">IFERROR(IF(J$23*J$24*J$25*J$26*J22&gt;0,AVERAGE(J$23:J$26,J22),""),"")</f>
        <v/>
      </c>
      <c r="K139" s="261" t="str">
        <f aca="false">IFERROR(IF(K$23*K$24*K$25*K$26*K22&gt;0,AVERAGE(K$23:K$26,K22),""),"")</f>
        <v/>
      </c>
      <c r="L139" s="261" t="str">
        <f aca="false">IFERROR(IF(L$23*L$24*L$25*L$26*L22&gt;0,AVERAGE(L$23:L$26,L22),""),"")</f>
        <v/>
      </c>
      <c r="M139" s="261" t="str">
        <f aca="false">IFERROR(IF(M$23*M$24*M$25*M$26*M22&gt;0,AVERAGE(M$23:M$26,M22),""),"")</f>
        <v/>
      </c>
      <c r="N139" s="261" t="str">
        <f aca="false">IFERROR(IF(N$23*N$24*N$25*N$26*N22&gt;0,AVERAGE(N$23:N$26,N22),""),"")</f>
        <v/>
      </c>
      <c r="O139" s="224"/>
      <c r="P139" s="224"/>
      <c r="Q139" s="232"/>
      <c r="R139" s="226" t="s">
        <v>561</v>
      </c>
      <c r="S139" s="227" t="str">
        <f aca="false">IFERROR(IF(C$23*C$24*C$25*C$26*C22&gt;0,STDEV(C$23:C$26,C22),"")/IF(C$23*C$24*C$25*C$26*C22&gt;0,AVERAGE(C$23:C$26,C22),""),"")</f>
        <v/>
      </c>
      <c r="T139" s="227" t="str">
        <f aca="false">IFERROR(IF(D$23*D$24*D$25*D$26*D22&gt;0,STDEV(D$23:D$26,D22),"")/IF(D$23*D$24*D$25*D$26*D22&gt;0,AVERAGE(D$23:D$26,D22),""),"")</f>
        <v/>
      </c>
      <c r="U139" s="227" t="str">
        <f aca="false">IFERROR(IF(E$23*E$24*E$25*E$26*E22&gt;0,STDEV(E$23:E$26,E22),"")/IF(E$23*E$24*E$25*E$26*E22&gt;0,AVERAGE(E$23:E$26,E22),""),"")</f>
        <v/>
      </c>
      <c r="V139" s="227" t="str">
        <f aca="false">IFERROR(IF(F$23*F$24*F$25*F$26*F22&gt;0,STDEV(F$23:F$26,F22),"")/IF(F$23*F$24*F$25*F$26*F22&gt;0,AVERAGE(F$23:F$26,F22),""),"")</f>
        <v/>
      </c>
      <c r="W139" s="227" t="str">
        <f aca="false">IFERROR(IF(G$23*G$24*G$25*G$26*G22&gt;0,STDEV(G$23:G$26,G22),"")/IF(G$23*G$24*G$25*G$26*G22&gt;0,AVERAGE(G$23:G$26,G22),""),"")</f>
        <v/>
      </c>
      <c r="X139" s="227" t="str">
        <f aca="false">IFERROR(IF(H$23*H$24*H$25*H$26*H22&gt;0,STDEV(H$23:H$26,H22),"")/IF(H$23*H$24*H$25*H$26*H22&gt;0,AVERAGE(H$23:H$26,H22),""),"")</f>
        <v/>
      </c>
      <c r="Y139" s="227" t="str">
        <f aca="false">IFERROR(IF(I$23*I$24*I$25*I$26*I22&gt;0,STDEV(I$23:I$26,I22),"")/IF(I$23*I$24*I$25*I$26*I22&gt;0,AVERAGE(I$23:I$26,I22),""),"")</f>
        <v/>
      </c>
      <c r="Z139" s="227" t="str">
        <f aca="false">IFERROR(IF(J$23*J$24*J$25*J$26*J22&gt;0,STDEV(J$23:J$26,J22),"")/IF(J$23*J$24*J$25*J$26*J22&gt;0,AVERAGE(J$23:J$26,J22),""),"")</f>
        <v/>
      </c>
      <c r="AA139" s="227" t="str">
        <f aca="false">IFERROR(IF(K$23*K$24*K$25*K$26*K22&gt;0,STDEV(K$23:K$26,K22),"")/IF(K$23*K$24*K$25*K$26*K22&gt;0,AVERAGE(K$23:K$26,K22),""),"")</f>
        <v/>
      </c>
      <c r="AB139" s="227" t="str">
        <f aca="false">IFERROR(IF(L$23*L$24*L$25*L$26*L22&gt;0,STDEV(L$23:L$26,L22),"")/IF(L$23*L$24*L$25*L$26*L22&gt;0,AVERAGE(L$23:L$26,L22),""),"")</f>
        <v/>
      </c>
      <c r="AC139" s="227" t="str">
        <f aca="false">IFERROR(IF(M$23*M$24*M$25*M$26*M22&gt;0,STDEV(M$23:M$26,M22),"")/IF(M$23*M$24*M$25*M$26*M22&gt;0,AVERAGE(M$23:M$26,M22),""),"")</f>
        <v/>
      </c>
      <c r="AD139" s="227" t="str">
        <f aca="false">IFERROR(IF(N$23*N$24*N$25*N$26*N22&gt;0,STDEV(N$23:N$26,N22),"")/IF(N$23*N$24*N$25*N$26*N22&gt;0,AVERAGE(N$23:N$26,N22),""),"")</f>
        <v/>
      </c>
      <c r="AE139" s="233"/>
      <c r="AF139" s="229" t="s">
        <v>562</v>
      </c>
      <c r="AG139" s="230" t="str">
        <f aca="false">IFERROR(IF(C$23*C$24*C$25*C$26*C22&gt;0,STDEV(C$23:C$26,C22)," ")/IF(C$23*C$24*C$25*C$26*C22&gt;0,SQRT(COUNT(C$23:C$26,C22))," "),"")</f>
        <v/>
      </c>
      <c r="AH139" s="230" t="str">
        <f aca="false">IFERROR(IF(D$23*D$24*D$25*D$26*D22&gt;0,STDEV(D$23:D$26,D22)," ")/IF(D$23*D$24*D$25*D$26*D22&gt;0,SQRT(COUNT(D$23:D$26,D22))," "),"")</f>
        <v/>
      </c>
      <c r="AI139" s="230" t="str">
        <f aca="false">IFERROR(IF(E$23*E$24*E$25*E$26*E22&gt;0,STDEV(E$23:E$26,E22)," ")/IF(E$23*E$24*E$25*E$26*E22&gt;0,SQRT(COUNT(E$23:E$26,E22))," "),"")</f>
        <v/>
      </c>
      <c r="AJ139" s="230" t="str">
        <f aca="false">IFERROR(IF(F$23*F$24*F$25*F$26*F22&gt;0,STDEV(F$23:F$26,F22)," ")/IF(F$23*F$24*F$25*F$26*F22&gt;0,SQRT(COUNT(F$23:F$26,F22))," "),"")</f>
        <v/>
      </c>
      <c r="AK139" s="230" t="str">
        <f aca="false">IFERROR(IF(G$23*G$24*G$25*G$26*G22&gt;0,STDEV(G$23:G$26,G22)," ")/IF(G$23*G$24*G$25*G$26*G22&gt;0,SQRT(COUNT(G$23:G$26,G22))," "),"")</f>
        <v/>
      </c>
      <c r="AL139" s="230" t="str">
        <f aca="false">IFERROR(IF(H$23*H$24*H$25*H$26*H22&gt;0,STDEV(H$23:H$26,H22)," ")/IF(H$23*H$24*H$25*H$26*H22&gt;0,SQRT(COUNT(H$23:H$26,H22))," "),"")</f>
        <v/>
      </c>
      <c r="AM139" s="230" t="str">
        <f aca="false">IFERROR(IF(I$23*I$24*I$25*I$26*I22&gt;0,STDEV(I$23:I$26,I22)," ")/IF(I$23*I$24*I$25*I$26*I22&gt;0,SQRT(COUNT(I$23:I$26,I22))," "),"")</f>
        <v/>
      </c>
      <c r="AN139" s="230" t="str">
        <f aca="false">IFERROR(IF(J$23*J$24*J$25*J$26*J22&gt;0,STDEV(J$23:J$26,J22)," ")/IF(J$23*J$24*J$25*J$26*J22&gt;0,SQRT(COUNT(J$23:J$26,J22))," "),"")</f>
        <v/>
      </c>
      <c r="AO139" s="230" t="str">
        <f aca="false">IFERROR(IF(K$23*K$24*K$25*K$26*K22&gt;0,STDEV(K$23:K$26,K22)," ")/IF(K$23*K$24*K$25*K$26*K22&gt;0,SQRT(COUNT(K$23:K$26,K22))," "),"")</f>
        <v/>
      </c>
      <c r="AP139" s="230" t="str">
        <f aca="false">IFERROR(IF(L$23*L$24*L$25*L$26*L22&gt;0,STDEV(L$23:L$26,L22)," ")/IF(L$23*L$24*L$25*L$26*L22&gt;0,SQRT(COUNT(L$23:L$26,L22))," "),"")</f>
        <v/>
      </c>
      <c r="AQ139" s="230" t="str">
        <f aca="false">IFERROR(IF(M$23*M$24*M$25*M$26*M22&gt;0,STDEV(M$23:M$26,M22)," ")/IF(M$23*M$24*M$25*M$26*M22&gt;0,SQRT(COUNT(M$23:M$26,M22))," "),"")</f>
        <v/>
      </c>
      <c r="AR139" s="230" t="str">
        <f aca="false">IFERROR(IF(N$23*N$24*N$25*N$26*N22&gt;0,STDEV(N$23:N$26,N22)," ")/IF(N$23*N$24*N$25*N$26*N22&gt;0,SQRT(COUNT(N$23:N$26,N22))," "),"")</f>
        <v/>
      </c>
    </row>
    <row r="140" customFormat="false" ht="15.75" hidden="false" customHeight="false" outlineLevel="0" collapsed="false">
      <c r="A140" s="220" t="s">
        <v>563</v>
      </c>
      <c r="B140" s="221"/>
      <c r="C140" s="261" t="str">
        <f aca="false">IFERROR(IF(C$23*C$24*C$25*C$26*C27&gt;0,AVERAGE(C$23:C$26,C27),""),"")</f>
        <v/>
      </c>
      <c r="D140" s="261" t="str">
        <f aca="false">IFERROR(IF(D$23*D$24*D$25*D$26*D27&gt;0,AVERAGE(D$23:D$26,D27),""),"")</f>
        <v/>
      </c>
      <c r="E140" s="261" t="str">
        <f aca="false">IFERROR(IF(E$23*E$24*E$25*E$26*E27&gt;0,AVERAGE(E$23:E$26,E27),""),"")</f>
        <v/>
      </c>
      <c r="F140" s="261" t="str">
        <f aca="false">IFERROR(IF(F$23*F$24*F$25*F$26*F27&gt;0,AVERAGE(F$23:F$26,F27),""),"")</f>
        <v/>
      </c>
      <c r="G140" s="261" t="str">
        <f aca="false">IFERROR(IF(G$23*G$24*G$25*G$26*G27&gt;0,AVERAGE(G$23:G$26,G27),""),"")</f>
        <v/>
      </c>
      <c r="H140" s="261" t="str">
        <f aca="false">IFERROR(IF(H$23*H$24*H$25*H$26*H27&gt;0,AVERAGE(H$23:H$26,H27),""),"")</f>
        <v/>
      </c>
      <c r="I140" s="261" t="str">
        <f aca="false">IFERROR(IF(I$23*I$24*I$25*I$26*I27&gt;0,AVERAGE(I$23:I$26,I27),""),"")</f>
        <v/>
      </c>
      <c r="J140" s="261" t="str">
        <f aca="false">IFERROR(IF(J$23*J$24*J$25*J$26*J27&gt;0,AVERAGE(J$23:J$26,J27),""),"")</f>
        <v/>
      </c>
      <c r="K140" s="261" t="str">
        <f aca="false">IFERROR(IF(K$23*K$24*K$25*K$26*K27&gt;0,AVERAGE(K$23:K$26,K27),""),"")</f>
        <v/>
      </c>
      <c r="L140" s="261" t="str">
        <f aca="false">IFERROR(IF(L$23*L$24*L$25*L$26*L27&gt;0,AVERAGE(L$23:L$26,L27),""),"")</f>
        <v/>
      </c>
      <c r="M140" s="261" t="str">
        <f aca="false">IFERROR(IF(M$23*M$24*M$25*M$26*M27&gt;0,AVERAGE(M$23:M$26,M27),""),"")</f>
        <v/>
      </c>
      <c r="N140" s="261" t="str">
        <f aca="false">IFERROR(IF(N$23*N$24*N$25*N$26*N27&gt;0,AVERAGE(N$23:N$26,N27),""),"")</f>
        <v/>
      </c>
      <c r="O140" s="224"/>
      <c r="P140" s="224"/>
      <c r="Q140" s="232"/>
      <c r="R140" s="226" t="s">
        <v>564</v>
      </c>
      <c r="S140" s="227" t="str">
        <f aca="false">IFERROR(IF(C$23*C$24*C$25*C$26*C27&gt;0,STDEV(C$23:C$26,C27),"")/IF(C$23*C$24*C$25*C$26*C27&gt;0,AVERAGE(C$23:C$26,C27),""),"")</f>
        <v/>
      </c>
      <c r="T140" s="227" t="str">
        <f aca="false">IFERROR(IF(D$23*D$24*D$25*D$26*D27&gt;0,STDEV(D$23:D$26,D27),"")/IF(D$23*D$24*D$25*D$26*D27&gt;0,AVERAGE(D$23:D$26,D27),""),"")</f>
        <v/>
      </c>
      <c r="U140" s="227" t="str">
        <f aca="false">IFERROR(IF(E$23*E$24*E$25*E$26*E27&gt;0,STDEV(E$23:E$26,E27),"")/IF(E$23*E$24*E$25*E$26*E27&gt;0,AVERAGE(E$23:E$26,E27),""),"")</f>
        <v/>
      </c>
      <c r="V140" s="227" t="str">
        <f aca="false">IFERROR(IF(F$23*F$24*F$25*F$26*F27&gt;0,STDEV(F$23:F$26,F27),"")/IF(F$23*F$24*F$25*F$26*F27&gt;0,AVERAGE(F$23:F$26,F27),""),"")</f>
        <v/>
      </c>
      <c r="W140" s="227" t="str">
        <f aca="false">IFERROR(IF(G$23*G$24*G$25*G$26*G27&gt;0,STDEV(G$23:G$26,G27),"")/IF(G$23*G$24*G$25*G$26*G27&gt;0,AVERAGE(G$23:G$26,G27),""),"")</f>
        <v/>
      </c>
      <c r="X140" s="227" t="str">
        <f aca="false">IFERROR(IF(H$23*H$24*H$25*H$26*H27&gt;0,STDEV(H$23:H$26,H27),"")/IF(H$23*H$24*H$25*H$26*H27&gt;0,AVERAGE(H$23:H$26,H27),""),"")</f>
        <v/>
      </c>
      <c r="Y140" s="227" t="str">
        <f aca="false">IFERROR(IF(I$23*I$24*I$25*I$26*I27&gt;0,STDEV(I$23:I$26,I27),"")/IF(I$23*I$24*I$25*I$26*I27&gt;0,AVERAGE(I$23:I$26,I27),""),"")</f>
        <v/>
      </c>
      <c r="Z140" s="227" t="str">
        <f aca="false">IFERROR(IF(J$23*J$24*J$25*J$26*J27&gt;0,STDEV(J$23:J$26,J27),"")/IF(J$23*J$24*J$25*J$26*J27&gt;0,AVERAGE(J$23:J$26,J27),""),"")</f>
        <v/>
      </c>
      <c r="AA140" s="227" t="str">
        <f aca="false">IFERROR(IF(K$23*K$24*K$25*K$26*K27&gt;0,STDEV(K$23:K$26,K27),"")/IF(K$23*K$24*K$25*K$26*K27&gt;0,AVERAGE(K$23:K$26,K27),""),"")</f>
        <v/>
      </c>
      <c r="AB140" s="227" t="str">
        <f aca="false">IFERROR(IF(L$23*L$24*L$25*L$26*L27&gt;0,STDEV(L$23:L$26,L27),"")/IF(L$23*L$24*L$25*L$26*L27&gt;0,AVERAGE(L$23:L$26,L27),""),"")</f>
        <v/>
      </c>
      <c r="AC140" s="227" t="str">
        <f aca="false">IFERROR(IF(M$23*M$24*M$25*M$26*M27&gt;0,STDEV(M$23:M$26,M27),"")/IF(M$23*M$24*M$25*M$26*M27&gt;0,AVERAGE(M$23:M$26,M27),""),"")</f>
        <v/>
      </c>
      <c r="AD140" s="227" t="str">
        <f aca="false">IFERROR(IF(N$23*N$24*N$25*N$26*N27&gt;0,STDEV(N$23:N$26,N27),"")/IF(N$23*N$24*N$25*N$26*N27&gt;0,AVERAGE(N$23:N$26,N27),""),"")</f>
        <v/>
      </c>
      <c r="AE140" s="233"/>
      <c r="AF140" s="229" t="s">
        <v>565</v>
      </c>
      <c r="AG140" s="230" t="str">
        <f aca="false">IFERROR(IF(C$23*C$24*C$25*C$26*C27&gt;0,STDEV(C$23:C$26,C27)," ")/IF(C$23*C$24*C$25*C$26*C27&gt;0,SQRT(COUNT(C$23:C$26,C27))," "),"")</f>
        <v/>
      </c>
      <c r="AH140" s="230" t="str">
        <f aca="false">IFERROR(IF(D$23*D$24*D$25*D$26*D27&gt;0,STDEV(D$23:D$26,D27)," ")/IF(D$23*D$24*D$25*D$26*D27&gt;0,SQRT(COUNT(D$23:D$26,D27))," "),"")</f>
        <v/>
      </c>
      <c r="AI140" s="230" t="str">
        <f aca="false">IFERROR(IF(E$23*E$24*E$25*E$26*E27&gt;0,STDEV(E$23:E$26,E27)," ")/IF(E$23*E$24*E$25*E$26*E27&gt;0,SQRT(COUNT(E$23:E$26,E27))," "),"")</f>
        <v/>
      </c>
      <c r="AJ140" s="230" t="str">
        <f aca="false">IFERROR(IF(F$23*F$24*F$25*F$26*F27&gt;0,STDEV(F$23:F$26,F27)," ")/IF(F$23*F$24*F$25*F$26*F27&gt;0,SQRT(COUNT(F$23:F$26,F27))," "),"")</f>
        <v/>
      </c>
      <c r="AK140" s="230" t="str">
        <f aca="false">IFERROR(IF(G$23*G$24*G$25*G$26*G27&gt;0,STDEV(G$23:G$26,G27)," ")/IF(G$23*G$24*G$25*G$26*G27&gt;0,SQRT(COUNT(G$23:G$26,G27))," "),"")</f>
        <v/>
      </c>
      <c r="AL140" s="230" t="str">
        <f aca="false">IFERROR(IF(H$23*H$24*H$25*H$26*H27&gt;0,STDEV(H$23:H$26,H27)," ")/IF(H$23*H$24*H$25*H$26*H27&gt;0,SQRT(COUNT(H$23:H$26,H27))," "),"")</f>
        <v/>
      </c>
      <c r="AM140" s="230" t="str">
        <f aca="false">IFERROR(IF(I$23*I$24*I$25*I$26*I27&gt;0,STDEV(I$23:I$26,I27)," ")/IF(I$23*I$24*I$25*I$26*I27&gt;0,SQRT(COUNT(I$23:I$26,I27))," "),"")</f>
        <v/>
      </c>
      <c r="AN140" s="230" t="str">
        <f aca="false">IFERROR(IF(J$23*J$24*J$25*J$26*J27&gt;0,STDEV(J$23:J$26,J27)," ")/IF(J$23*J$24*J$25*J$26*J27&gt;0,SQRT(COUNT(J$23:J$26,J27))," "),"")</f>
        <v/>
      </c>
      <c r="AO140" s="230" t="str">
        <f aca="false">IFERROR(IF(K$23*K$24*K$25*K$26*K27&gt;0,STDEV(K$23:K$26,K27)," ")/IF(K$23*K$24*K$25*K$26*K27&gt;0,SQRT(COUNT(K$23:K$26,K27))," "),"")</f>
        <v/>
      </c>
      <c r="AP140" s="230" t="str">
        <f aca="false">IFERROR(IF(L$23*L$24*L$25*L$26*L27&gt;0,STDEV(L$23:L$26,L27)," ")/IF(L$23*L$24*L$25*L$26*L27&gt;0,SQRT(COUNT(L$23:L$26,L27))," "),"")</f>
        <v/>
      </c>
      <c r="AQ140" s="230" t="str">
        <f aca="false">IFERROR(IF(M$23*M$24*M$25*M$26*M27&gt;0,STDEV(M$23:M$26,M27)," ")/IF(M$23*M$24*M$25*M$26*M27&gt;0,SQRT(COUNT(M$23:M$26,M27))," "),"")</f>
        <v/>
      </c>
      <c r="AR140" s="230" t="str">
        <f aca="false">IFERROR(IF(N$23*N$24*N$25*N$26*N27&gt;0,STDEV(N$23:N$26,N27)," ")/IF(N$23*N$24*N$25*N$26*N27&gt;0,SQRT(COUNT(N$23:N$26,N27))," "),"")</f>
        <v/>
      </c>
    </row>
    <row r="141" customFormat="false" ht="15.75" hidden="false" customHeight="false" outlineLevel="0" collapsed="false">
      <c r="A141" s="220" t="s">
        <v>566</v>
      </c>
      <c r="B141" s="221"/>
      <c r="C141" s="261" t="str">
        <f aca="false">IFERROR(IF(C$24*C$25*C$26*C$27*C21&gt;0,AVERAGE(C$24:C$27,C21),""),"")</f>
        <v/>
      </c>
      <c r="D141" s="261" t="str">
        <f aca="false">IFERROR(IF(D$24*D$25*D$26*D$27*D21&gt;0,AVERAGE(D$24:D$27,D21),""),"")</f>
        <v/>
      </c>
      <c r="E141" s="261" t="str">
        <f aca="false">IFERROR(IF(E$24*E$25*E$26*E$27*E21&gt;0,AVERAGE(E$24:E$27,E21),""),"")</f>
        <v/>
      </c>
      <c r="F141" s="261" t="str">
        <f aca="false">IFERROR(IF(F$24*F$25*F$26*F$27*F21&gt;0,AVERAGE(F$24:F$27,F21),""),"")</f>
        <v/>
      </c>
      <c r="G141" s="261" t="str">
        <f aca="false">IFERROR(IF(G$24*G$25*G$26*G$27*G21&gt;0,AVERAGE(G$24:G$27,G21),""),"")</f>
        <v/>
      </c>
      <c r="H141" s="261" t="str">
        <f aca="false">IFERROR(IF(H$24*H$25*H$26*H$27*H21&gt;0,AVERAGE(H$24:H$27,H21),""),"")</f>
        <v/>
      </c>
      <c r="I141" s="261" t="str">
        <f aca="false">IFERROR(IF(I$24*I$25*I$26*I$27*I21&gt;0,AVERAGE(I$24:I$27,I21),""),"")</f>
        <v/>
      </c>
      <c r="J141" s="261" t="str">
        <f aca="false">IFERROR(IF(J$24*J$25*J$26*J$27*J21&gt;0,AVERAGE(J$24:J$27,J21),""),"")</f>
        <v/>
      </c>
      <c r="K141" s="261" t="str">
        <f aca="false">IFERROR(IF(K$24*K$25*K$26*K$27*K21&gt;0,AVERAGE(K$24:K$27,K21),""),"")</f>
        <v/>
      </c>
      <c r="L141" s="261" t="str">
        <f aca="false">IFERROR(IF(L$24*L$25*L$26*L$27*L21&gt;0,AVERAGE(L$24:L$27,L21),""),"")</f>
        <v/>
      </c>
      <c r="M141" s="261" t="str">
        <f aca="false">IFERROR(IF(M$24*M$25*M$26*M$27*M21&gt;0,AVERAGE(M$24:M$27,M21),""),"")</f>
        <v/>
      </c>
      <c r="N141" s="261" t="str">
        <f aca="false">IFERROR(IF(N$24*N$25*N$26*N$27*N21&gt;0,AVERAGE(N$24:N$27,N21),""),"")</f>
        <v/>
      </c>
      <c r="O141" s="224"/>
      <c r="P141" s="224"/>
      <c r="Q141" s="232"/>
      <c r="R141" s="226" t="s">
        <v>567</v>
      </c>
      <c r="S141" s="227" t="str">
        <f aca="false">IFERROR(IF(C$24*C$25*C$26*C$27*C21&gt;0,STDEV(C$24:C$27,C21),"")/IF(C$24*C$25*C$26*C$27*C21&gt;0,AVERAGE(C$24:C$27,C21),""),"")</f>
        <v/>
      </c>
      <c r="T141" s="227" t="str">
        <f aca="false">IFERROR(IF(D$24*D$25*D$26*D$27*D21&gt;0,STDEV(D$24:D$27,D21),"")/IF(D$24*D$25*D$26*D$27*D21&gt;0,AVERAGE(D$24:D$27,D21),""),"")</f>
        <v/>
      </c>
      <c r="U141" s="227" t="str">
        <f aca="false">IFERROR(IF(E$24*E$25*E$26*E$27*E21&gt;0,STDEV(E$24:E$27,E21),"")/IF(E$24*E$25*E$26*E$27*E21&gt;0,AVERAGE(E$24:E$27,E21),""),"")</f>
        <v/>
      </c>
      <c r="V141" s="227" t="str">
        <f aca="false">IFERROR(IF(F$24*F$25*F$26*F$27*F21&gt;0,STDEV(F$24:F$27,F21),"")/IF(F$24*F$25*F$26*F$27*F21&gt;0,AVERAGE(F$24:F$27,F21),""),"")</f>
        <v/>
      </c>
      <c r="W141" s="227" t="str">
        <f aca="false">IFERROR(IF(G$24*G$25*G$26*G$27*G21&gt;0,STDEV(G$24:G$27,G21),"")/IF(G$24*G$25*G$26*G$27*G21&gt;0,AVERAGE(G$24:G$27,G21),""),"")</f>
        <v/>
      </c>
      <c r="X141" s="227" t="str">
        <f aca="false">IFERROR(IF(H$24*H$25*H$26*H$27*H21&gt;0,STDEV(H$24:H$27,H21),"")/IF(H$24*H$25*H$26*H$27*H21&gt;0,AVERAGE(H$24:H$27,H21),""),"")</f>
        <v/>
      </c>
      <c r="Y141" s="227" t="str">
        <f aca="false">IFERROR(IF(I$24*I$25*I$26*I$27*I21&gt;0,STDEV(I$24:I$27,I21),"")/IF(I$24*I$25*I$26*I$27*I21&gt;0,AVERAGE(I$24:I$27,I21),""),"")</f>
        <v/>
      </c>
      <c r="Z141" s="227" t="str">
        <f aca="false">IFERROR(IF(J$24*J$25*J$26*J$27*J21&gt;0,STDEV(J$24:J$27,J21),"")/IF(J$24*J$25*J$26*J$27*J21&gt;0,AVERAGE(J$24:J$27,J21),""),"")</f>
        <v/>
      </c>
      <c r="AA141" s="227" t="str">
        <f aca="false">IFERROR(IF(K$24*K$25*K$26*K$27*K21&gt;0,STDEV(K$24:K$27,K21),"")/IF(K$24*K$25*K$26*K$27*K21&gt;0,AVERAGE(K$24:K$27,K21),""),"")</f>
        <v/>
      </c>
      <c r="AB141" s="227" t="str">
        <f aca="false">IFERROR(IF(L$24*L$25*L$26*L$27*L21&gt;0,STDEV(L$24:L$27,L21),"")/IF(L$24*L$25*L$26*L$27*L21&gt;0,AVERAGE(L$24:L$27,L21),""),"")</f>
        <v/>
      </c>
      <c r="AC141" s="227" t="str">
        <f aca="false">IFERROR(IF(M$24*M$25*M$26*M$27*M21&gt;0,STDEV(M$24:M$27,M21),"")/IF(M$24*M$25*M$26*M$27*M21&gt;0,AVERAGE(M$24:M$27,M21),""),"")</f>
        <v/>
      </c>
      <c r="AD141" s="227" t="str">
        <f aca="false">IFERROR(IF(N$24*N$25*N$26*N$27*N21&gt;0,STDEV(N$24:N$27,N21),"")/IF(N$24*N$25*N$26*N$27*N21&gt;0,AVERAGE(N$24:N$27,N21),""),"")</f>
        <v/>
      </c>
      <c r="AE141" s="233"/>
      <c r="AF141" s="229" t="s">
        <v>568</v>
      </c>
      <c r="AG141" s="230" t="str">
        <f aca="false">IFERROR(IF(C$24*C$25*C$26*C$27*C21&gt;0,STDEV(C$24:C$27,C21)," ")/IF(C$24*C$25*C$26*C$27*C21&gt;0,SQRT(COUNT(C$24:C$27,C21))," "),"")</f>
        <v/>
      </c>
      <c r="AH141" s="230" t="str">
        <f aca="false">IFERROR(IF(D$24*D$25*D$26*D$27*D21&gt;0,STDEV(D$24:D$27,D21)," ")/IF(D$24*D$25*D$26*D$27*D21&gt;0,SQRT(COUNT(D$24:D$27,D21))," "),"")</f>
        <v/>
      </c>
      <c r="AI141" s="230" t="str">
        <f aca="false">IFERROR(IF(E$24*E$25*E$26*E$27*E21&gt;0,STDEV(E$24:E$27,E21)," ")/IF(E$24*E$25*E$26*E$27*E21&gt;0,SQRT(COUNT(E$24:E$27,E21))," "),"")</f>
        <v/>
      </c>
      <c r="AJ141" s="230" t="str">
        <f aca="false">IFERROR(IF(F$24*F$25*F$26*F$27*F21&gt;0,STDEV(F$24:F$27,F21)," ")/IF(F$24*F$25*F$26*F$27*F21&gt;0,SQRT(COUNT(F$24:F$27,F21))," "),"")</f>
        <v/>
      </c>
      <c r="AK141" s="230" t="str">
        <f aca="false">IFERROR(IF(G$24*G$25*G$26*G$27*G21&gt;0,STDEV(G$24:G$27,G21)," ")/IF(G$24*G$25*G$26*G$27*G21&gt;0,SQRT(COUNT(G$24:G$27,G21))," "),"")</f>
        <v/>
      </c>
      <c r="AL141" s="230" t="str">
        <f aca="false">IFERROR(IF(H$24*H$25*H$26*H$27*H21&gt;0,STDEV(H$24:H$27,H21)," ")/IF(H$24*H$25*H$26*H$27*H21&gt;0,SQRT(COUNT(H$24:H$27,H21))," "),"")</f>
        <v/>
      </c>
      <c r="AM141" s="230" t="str">
        <f aca="false">IFERROR(IF(I$24*I$25*I$26*I$27*I21&gt;0,STDEV(I$24:I$27,I21)," ")/IF(I$24*I$25*I$26*I$27*I21&gt;0,SQRT(COUNT(I$24:I$27,I21))," "),"")</f>
        <v/>
      </c>
      <c r="AN141" s="230" t="str">
        <f aca="false">IFERROR(IF(J$24*J$25*J$26*J$27*J21&gt;0,STDEV(J$24:J$27,J21)," ")/IF(J$24*J$25*J$26*J$27*J21&gt;0,SQRT(COUNT(J$24:J$27,J21))," "),"")</f>
        <v/>
      </c>
      <c r="AO141" s="230" t="str">
        <f aca="false">IFERROR(IF(K$24*K$25*K$26*K$27*K21&gt;0,STDEV(K$24:K$27,K21)," ")/IF(K$24*K$25*K$26*K$27*K21&gt;0,SQRT(COUNT(K$24:K$27,K21))," "),"")</f>
        <v/>
      </c>
      <c r="AP141" s="230" t="str">
        <f aca="false">IFERROR(IF(L$24*L$25*L$26*L$27*L21&gt;0,STDEV(L$24:L$27,L21)," ")/IF(L$24*L$25*L$26*L$27*L21&gt;0,SQRT(COUNT(L$24:L$27,L21))," "),"")</f>
        <v/>
      </c>
      <c r="AQ141" s="230" t="str">
        <f aca="false">IFERROR(IF(M$24*M$25*M$26*M$27*M21&gt;0,STDEV(M$24:M$27,M21)," ")/IF(M$24*M$25*M$26*M$27*M21&gt;0,SQRT(COUNT(M$24:M$27,M21))," "),"")</f>
        <v/>
      </c>
      <c r="AR141" s="230" t="str">
        <f aca="false">IFERROR(IF(N$24*N$25*N$26*N$27*N21&gt;0,STDEV(N$24:N$27,N21)," ")/IF(N$24*N$25*N$26*N$27*N21&gt;0,SQRT(COUNT(N$24:N$27,N21))," "),"")</f>
        <v/>
      </c>
    </row>
    <row r="142" customFormat="false" ht="15.75" hidden="false" customHeight="false" outlineLevel="0" collapsed="false">
      <c r="A142" s="220" t="s">
        <v>569</v>
      </c>
      <c r="B142" s="221"/>
      <c r="C142" s="261" t="str">
        <f aca="false">IFERROR(IF(C$24*C$25*C$26*C$27*C22&gt;0,AVERAGE(C$24:C$27,C22),""),"")</f>
        <v/>
      </c>
      <c r="D142" s="261" t="str">
        <f aca="false">IFERROR(IF(D$24*D$25*D$26*D$27*D22&gt;0,AVERAGE(D$24:D$27,D22),""),"")</f>
        <v/>
      </c>
      <c r="E142" s="261" t="str">
        <f aca="false">IFERROR(IF(E$24*E$25*E$26*E$27*E22&gt;0,AVERAGE(E$24:E$27,E22),""),"")</f>
        <v/>
      </c>
      <c r="F142" s="261" t="str">
        <f aca="false">IFERROR(IF(F$24*F$25*F$26*F$27*F22&gt;0,AVERAGE(F$24:F$27,F22),""),"")</f>
        <v/>
      </c>
      <c r="G142" s="261" t="str">
        <f aca="false">IFERROR(IF(G$24*G$25*G$26*G$27*G22&gt;0,AVERAGE(G$24:G$27,G22),""),"")</f>
        <v/>
      </c>
      <c r="H142" s="261" t="str">
        <f aca="false">IFERROR(IF(H$24*H$25*H$26*H$27*H22&gt;0,AVERAGE(H$24:H$27,H22),""),"")</f>
        <v/>
      </c>
      <c r="I142" s="261" t="str">
        <f aca="false">IFERROR(IF(I$24*I$25*I$26*I$27*I22&gt;0,AVERAGE(I$24:I$27,I22),""),"")</f>
        <v/>
      </c>
      <c r="J142" s="261" t="str">
        <f aca="false">IFERROR(IF(J$24*J$25*J$26*J$27*J22&gt;0,AVERAGE(J$24:J$27,J22),""),"")</f>
        <v/>
      </c>
      <c r="K142" s="261" t="str">
        <f aca="false">IFERROR(IF(K$24*K$25*K$26*K$27*K22&gt;0,AVERAGE(K$24:K$27,K22),""),"")</f>
        <v/>
      </c>
      <c r="L142" s="261" t="str">
        <f aca="false">IFERROR(IF(L$24*L$25*L$26*L$27*L22&gt;0,AVERAGE(L$24:L$27,L22),""),"")</f>
        <v/>
      </c>
      <c r="M142" s="261" t="str">
        <f aca="false">IFERROR(IF(M$24*M$25*M$26*M$27*M22&gt;0,AVERAGE(M$24:M$27,M22),""),"")</f>
        <v/>
      </c>
      <c r="N142" s="261" t="str">
        <f aca="false">IFERROR(IF(N$24*N$25*N$26*N$27*N22&gt;0,AVERAGE(N$24:N$27,N22),""),"")</f>
        <v/>
      </c>
      <c r="O142" s="224"/>
      <c r="P142" s="224"/>
      <c r="Q142" s="232"/>
      <c r="R142" s="226" t="s">
        <v>570</v>
      </c>
      <c r="S142" s="227" t="str">
        <f aca="false">IFERROR(IF(C$24*C$25*C$26*C$27*C22&gt;0,STDEV(C$24:C$27,C22),"")/IF(C$24*C$25*C$26*C$27*C22&gt;0,AVERAGE(C$24:C$27,C22),""),"")</f>
        <v/>
      </c>
      <c r="T142" s="227" t="str">
        <f aca="false">IFERROR(IF(D$24*D$25*D$26*D$27*D22&gt;0,STDEV(D$24:D$27,D22),"")/IF(D$24*D$25*D$26*D$27*D22&gt;0,AVERAGE(D$24:D$27,D22),""),"")</f>
        <v/>
      </c>
      <c r="U142" s="227" t="str">
        <f aca="false">IFERROR(IF(E$24*E$25*E$26*E$27*E22&gt;0,STDEV(E$24:E$27,E22),"")/IF(E$24*E$25*E$26*E$27*E22&gt;0,AVERAGE(E$24:E$27,E22),""),"")</f>
        <v/>
      </c>
      <c r="V142" s="227" t="str">
        <f aca="false">IFERROR(IF(F$24*F$25*F$26*F$27*F22&gt;0,STDEV(F$24:F$27,F22),"")/IF(F$24*F$25*F$26*F$27*F22&gt;0,AVERAGE(F$24:F$27,F22),""),"")</f>
        <v/>
      </c>
      <c r="W142" s="227" t="str">
        <f aca="false">IFERROR(IF(G$24*G$25*G$26*G$27*G22&gt;0,STDEV(G$24:G$27,G22),"")/IF(G$24*G$25*G$26*G$27*G22&gt;0,AVERAGE(G$24:G$27,G22),""),"")</f>
        <v/>
      </c>
      <c r="X142" s="227" t="str">
        <f aca="false">IFERROR(IF(H$24*H$25*H$26*H$27*H22&gt;0,STDEV(H$24:H$27,H22),"")/IF(H$24*H$25*H$26*H$27*H22&gt;0,AVERAGE(H$24:H$27,H22),""),"")</f>
        <v/>
      </c>
      <c r="Y142" s="227" t="str">
        <f aca="false">IFERROR(IF(I$24*I$25*I$26*I$27*I22&gt;0,STDEV(I$24:I$27,I22),"")/IF(I$24*I$25*I$26*I$27*I22&gt;0,AVERAGE(I$24:I$27,I22),""),"")</f>
        <v/>
      </c>
      <c r="Z142" s="227" t="str">
        <f aca="false">IFERROR(IF(J$24*J$25*J$26*J$27*J22&gt;0,STDEV(J$24:J$27,J22),"")/IF(J$24*J$25*J$26*J$27*J22&gt;0,AVERAGE(J$24:J$27,J22),""),"")</f>
        <v/>
      </c>
      <c r="AA142" s="227" t="str">
        <f aca="false">IFERROR(IF(K$24*K$25*K$26*K$27*K22&gt;0,STDEV(K$24:K$27,K22),"")/IF(K$24*K$25*K$26*K$27*K22&gt;0,AVERAGE(K$24:K$27,K22),""),"")</f>
        <v/>
      </c>
      <c r="AB142" s="227" t="str">
        <f aca="false">IFERROR(IF(L$24*L$25*L$26*L$27*L22&gt;0,STDEV(L$24:L$27,L22),"")/IF(L$24*L$25*L$26*L$27*L22&gt;0,AVERAGE(L$24:L$27,L22),""),"")</f>
        <v/>
      </c>
      <c r="AC142" s="227" t="str">
        <f aca="false">IFERROR(IF(M$24*M$25*M$26*M$27*M22&gt;0,STDEV(M$24:M$27,M22),"")/IF(M$24*M$25*M$26*M$27*M22&gt;0,AVERAGE(M$24:M$27,M22),""),"")</f>
        <v/>
      </c>
      <c r="AD142" s="227" t="str">
        <f aca="false">IFERROR(IF(N$24*N$25*N$26*N$27*N22&gt;0,STDEV(N$24:N$27,N22),"")/IF(N$24*N$25*N$26*N$27*N22&gt;0,AVERAGE(N$24:N$27,N22),""),"")</f>
        <v/>
      </c>
      <c r="AE142" s="233"/>
      <c r="AF142" s="229" t="s">
        <v>571</v>
      </c>
      <c r="AG142" s="230" t="str">
        <f aca="false">IFERROR(IF(C$24*C$25*C$26*C$27*C22&gt;0,STDEV(C$24:C$27,C22)," ")/IF(C$24*C$25*C$26*C$27*C22&gt;0,SQRT(COUNT(C$24:C$27,C22))," "),"")</f>
        <v/>
      </c>
      <c r="AH142" s="230" t="str">
        <f aca="false">IFERROR(IF(D$24*D$25*D$26*D$27*D22&gt;0,STDEV(D$24:D$27,D22)," ")/IF(D$24*D$25*D$26*D$27*D22&gt;0,SQRT(COUNT(D$24:D$27,D22))," "),"")</f>
        <v/>
      </c>
      <c r="AI142" s="230" t="str">
        <f aca="false">IFERROR(IF(E$24*E$25*E$26*E$27*E22&gt;0,STDEV(E$24:E$27,E22)," ")/IF(E$24*E$25*E$26*E$27*E22&gt;0,SQRT(COUNT(E$24:E$27,E22))," "),"")</f>
        <v/>
      </c>
      <c r="AJ142" s="230" t="str">
        <f aca="false">IFERROR(IF(F$24*F$25*F$26*F$27*F22&gt;0,STDEV(F$24:F$27,F22)," ")/IF(F$24*F$25*F$26*F$27*F22&gt;0,SQRT(COUNT(F$24:F$27,F22))," "),"")</f>
        <v/>
      </c>
      <c r="AK142" s="230" t="str">
        <f aca="false">IFERROR(IF(G$24*G$25*G$26*G$27*G22&gt;0,STDEV(G$24:G$27,G22)," ")/IF(G$24*G$25*G$26*G$27*G22&gt;0,SQRT(COUNT(G$24:G$27,G22))," "),"")</f>
        <v/>
      </c>
      <c r="AL142" s="230" t="str">
        <f aca="false">IFERROR(IF(H$24*H$25*H$26*H$27*H22&gt;0,STDEV(H$24:H$27,H22)," ")/IF(H$24*H$25*H$26*H$27*H22&gt;0,SQRT(COUNT(H$24:H$27,H22))," "),"")</f>
        <v/>
      </c>
      <c r="AM142" s="230" t="str">
        <f aca="false">IFERROR(IF(I$24*I$25*I$26*I$27*I22&gt;0,STDEV(I$24:I$27,I22)," ")/IF(I$24*I$25*I$26*I$27*I22&gt;0,SQRT(COUNT(I$24:I$27,I22))," "),"")</f>
        <v/>
      </c>
      <c r="AN142" s="230" t="str">
        <f aca="false">IFERROR(IF(J$24*J$25*J$26*J$27*J22&gt;0,STDEV(J$24:J$27,J22)," ")/IF(J$24*J$25*J$26*J$27*J22&gt;0,SQRT(COUNT(J$24:J$27,J22))," "),"")</f>
        <v/>
      </c>
      <c r="AO142" s="230" t="str">
        <f aca="false">IFERROR(IF(K$24*K$25*K$26*K$27*K22&gt;0,STDEV(K$24:K$27,K22)," ")/IF(K$24*K$25*K$26*K$27*K22&gt;0,SQRT(COUNT(K$24:K$27,K22))," "),"")</f>
        <v/>
      </c>
      <c r="AP142" s="230" t="str">
        <f aca="false">IFERROR(IF(L$24*L$25*L$26*L$27*L22&gt;0,STDEV(L$24:L$27,L22)," ")/IF(L$24*L$25*L$26*L$27*L22&gt;0,SQRT(COUNT(L$24:L$27,L22))," "),"")</f>
        <v/>
      </c>
      <c r="AQ142" s="230" t="str">
        <f aca="false">IFERROR(IF(M$24*M$25*M$26*M$27*M22&gt;0,STDEV(M$24:M$27,M22)," ")/IF(M$24*M$25*M$26*M$27*M22&gt;0,SQRT(COUNT(M$24:M$27,M22))," "),"")</f>
        <v/>
      </c>
      <c r="AR142" s="230" t="str">
        <f aca="false">IFERROR(IF(N$24*N$25*N$26*N$27*N22&gt;0,STDEV(N$24:N$27,N22)," ")/IF(N$24*N$25*N$26*N$27*N22&gt;0,SQRT(COUNT(N$24:N$27,N22))," "),"")</f>
        <v/>
      </c>
    </row>
    <row r="143" customFormat="false" ht="15.75" hidden="false" customHeight="false" outlineLevel="0" collapsed="false">
      <c r="A143" s="220" t="s">
        <v>572</v>
      </c>
      <c r="B143" s="221"/>
      <c r="C143" s="261" t="str">
        <f aca="false">IFERROR(IF(C$25*C$26*C$27*C$21*C$22&gt;0,AVERAGE(C$25:C$27, C$21, C$22),""),"")</f>
        <v/>
      </c>
      <c r="D143" s="261" t="str">
        <f aca="false">IFERROR(IF(D$25*D$26*D$27*D$21*D$22&gt;0,AVERAGE(D$25:D$27, D$21, D$22),""),"")</f>
        <v/>
      </c>
      <c r="E143" s="261" t="str">
        <f aca="false">IFERROR(IF(E$25*E$26*E$27*E$21*E$22&gt;0,AVERAGE(E$25:E$27, E$21, E$22),""),"")</f>
        <v/>
      </c>
      <c r="F143" s="261" t="str">
        <f aca="false">IFERROR(IF(F$25*F$26*F$27*F$21*F$22&gt;0,AVERAGE(F$25:F$27, F$21, F$22),""),"")</f>
        <v/>
      </c>
      <c r="G143" s="261" t="str">
        <f aca="false">IFERROR(IF(G$25*G$26*G$27*G$21*G$22&gt;0,AVERAGE(G$25:G$27, G$21, G$22),""),"")</f>
        <v/>
      </c>
      <c r="H143" s="261" t="str">
        <f aca="false">IFERROR(IF(H$25*H$26*H$27*H$21*H$22&gt;0,AVERAGE(H$25:H$27, H$21, H$22),""),"")</f>
        <v/>
      </c>
      <c r="I143" s="261" t="str">
        <f aca="false">IFERROR(IF(I$25*I$26*I$27*I$21*I$22&gt;0,AVERAGE(I$25:I$27, I$21, I$22),""),"")</f>
        <v/>
      </c>
      <c r="J143" s="261" t="str">
        <f aca="false">IFERROR(IF(J$25*J$26*J$27*J$21*J$22&gt;0,AVERAGE(J$25:J$27, J$21, J$22),""),"")</f>
        <v/>
      </c>
      <c r="K143" s="261" t="str">
        <f aca="false">IFERROR(IF(K$25*K$26*K$27*K$21*K$22&gt;0,AVERAGE(K$25:K$27, K$21, K$22),""),"")</f>
        <v/>
      </c>
      <c r="L143" s="261" t="str">
        <f aca="false">IFERROR(IF(L$25*L$26*L$27*L$21*L$22&gt;0,AVERAGE(L$25:L$27, L$21, L$22),""),"")</f>
        <v/>
      </c>
      <c r="M143" s="261" t="str">
        <f aca="false">IFERROR(IF(M$25*M$26*M$27*M$21*M$22&gt;0,AVERAGE(M$25:M$27, M$21, M$22),""),"")</f>
        <v/>
      </c>
      <c r="N143" s="261" t="str">
        <f aca="false">IFERROR(IF(N$25*N$26*N$27*N$21*N$22&gt;0,AVERAGE(N$25:N$27, N$21, N$22),""),"")</f>
        <v/>
      </c>
      <c r="O143" s="224"/>
      <c r="P143" s="224"/>
      <c r="Q143" s="232"/>
      <c r="R143" s="226" t="s">
        <v>573</v>
      </c>
      <c r="S143" s="227" t="str">
        <f aca="false">IFERROR(IF(C$25*C$26*C$27*C$21*C$22&gt;0,STDEV(C$25:C$27,, C$21, C$22),"")/IF(C$25*C$26*C$27*C$21*C$22&gt;0,AVERAGE(C$25:C$27,, C$21, C$22),""),"")</f>
        <v/>
      </c>
      <c r="T143" s="227" t="str">
        <f aca="false">IFERROR(IF(D$25*D$26*D$27*D$21*D$22&gt;0,STDEV(D$25:D$27,, D$21, D$22),"")/IF(D$25*D$26*D$27*D$21*D$22&gt;0,AVERAGE(D$25:D$27,, D$21, D$22),""),"")</f>
        <v/>
      </c>
      <c r="U143" s="227" t="str">
        <f aca="false">IFERROR(IF(E$25*E$26*E$27*E$21*E$22&gt;0,STDEV(E$25:E$27,, E$21, E$22),"")/IF(E$25*E$26*E$27*E$21*E$22&gt;0,AVERAGE(E$25:E$27,, E$21, E$22),""),"")</f>
        <v/>
      </c>
      <c r="V143" s="227" t="str">
        <f aca="false">IFERROR(IF(F$25*F$26*F$27*F$21*F$22&gt;0,STDEV(F$25:F$27,, F$21, F$22),"")/IF(F$25*F$26*F$27*F$21*F$22&gt;0,AVERAGE(F$25:F$27,, F$21, F$22),""),"")</f>
        <v/>
      </c>
      <c r="W143" s="227" t="str">
        <f aca="false">IFERROR(IF(G$25*G$26*G$27*G$21*G$22&gt;0,STDEV(G$25:G$27,, G$21, G$22),"")/IF(G$25*G$26*G$27*G$21*G$22&gt;0,AVERAGE(G$25:G$27,, G$21, G$22),""),"")</f>
        <v/>
      </c>
      <c r="X143" s="227" t="str">
        <f aca="false">IFERROR(IF(H$25*H$26*H$27*H$21*H$22&gt;0,STDEV(H$25:H$27,, H$21, H$22),"")/IF(H$25*H$26*H$27*H$21*H$22&gt;0,AVERAGE(H$25:H$27,, H$21, H$22),""),"")</f>
        <v/>
      </c>
      <c r="Y143" s="227" t="str">
        <f aca="false">IFERROR(IF(I$25*I$26*I$27*I$21*I$22&gt;0,STDEV(I$25:I$27,, I$21, I$22),"")/IF(I$25*I$26*I$27*I$21*I$22&gt;0,AVERAGE(I$25:I$27,, I$21, I$22),""),"")</f>
        <v/>
      </c>
      <c r="Z143" s="227" t="str">
        <f aca="false">IFERROR(IF(J$25*J$26*J$27*J$21*J$22&gt;0,STDEV(J$25:J$27,, J$21, J$22),"")/IF(J$25*J$26*J$27*J$21*J$22&gt;0,AVERAGE(J$25:J$27,, J$21, J$22),""),"")</f>
        <v/>
      </c>
      <c r="AA143" s="227" t="str">
        <f aca="false">IFERROR(IF(K$25*K$26*K$27*K$21*K$22&gt;0,STDEV(K$25:K$27,, K$21, K$22),"")/IF(K$25*K$26*K$27*K$21*K$22&gt;0,AVERAGE(K$25:K$27,, K$21, K$22),""),"")</f>
        <v/>
      </c>
      <c r="AB143" s="227" t="str">
        <f aca="false">IFERROR(IF(L$25*L$26*L$27*L$21*L$22&gt;0,STDEV(L$25:L$27,, L$21, L$22),"")/IF(L$25*L$26*L$27*L$21*L$22&gt;0,AVERAGE(L$25:L$27,, L$21, L$22),""),"")</f>
        <v/>
      </c>
      <c r="AC143" s="227" t="str">
        <f aca="false">IFERROR(IF(M$25*M$26*M$27*M$21*M$22&gt;0,STDEV(M$25:M$27,, M$21, M$22),"")/IF(M$25*M$26*M$27*M$21*M$22&gt;0,AVERAGE(M$25:M$27,, M$21, M$22),""),"")</f>
        <v/>
      </c>
      <c r="AD143" s="227" t="str">
        <f aca="false">IFERROR(IF(N$25*N$26*N$27*N$21*N$22&gt;0,STDEV(N$25:N$27,, N$21, N$22),"")/IF(N$25*N$26*N$27*N$21*N$22&gt;0,AVERAGE(N$25:N$27,, N$21, N$22),""),"")</f>
        <v/>
      </c>
      <c r="AE143" s="233"/>
      <c r="AF143" s="229" t="s">
        <v>574</v>
      </c>
      <c r="AG143" s="230" t="str">
        <f aca="false">IFERROR(IF(C$25*C$26*C$27*C$21*C$22&gt;0,STDEV(C$25:C$27,, C$21, C$22)," ")/IF(C$25*C$26*C$27*C$21*C$22&gt;0,SQRT(COUNT(C$25:C$27,, C$21, C$22))," "),"")</f>
        <v/>
      </c>
      <c r="AH143" s="230" t="str">
        <f aca="false">IFERROR(IF(D$25*D$26*D$27*D$21*D$22&gt;0,STDEV(D$25:D$27,, D$21, D$22)," ")/IF(D$25*D$26*D$27*D$21*D$22&gt;0,SQRT(COUNT(D$25:D$27,, D$21, D$22))," "),"")</f>
        <v/>
      </c>
      <c r="AI143" s="230" t="str">
        <f aca="false">IFERROR(IF(E$25*E$26*E$27*E$21*E$22&gt;0,STDEV(E$25:E$27,, E$21, E$22)," ")/IF(E$25*E$26*E$27*E$21*E$22&gt;0,SQRT(COUNT(E$25:E$27,, E$21, E$22))," "),"")</f>
        <v/>
      </c>
      <c r="AJ143" s="230" t="str">
        <f aca="false">IFERROR(IF(F$25*F$26*F$27*F$21*F$22&gt;0,STDEV(F$25:F$27,, F$21, F$22)," ")/IF(F$25*F$26*F$27*F$21*F$22&gt;0,SQRT(COUNT(F$25:F$27,, F$21, F$22))," "),"")</f>
        <v/>
      </c>
      <c r="AK143" s="230" t="str">
        <f aca="false">IFERROR(IF(G$25*G$26*G$27*G$21*G$22&gt;0,STDEV(G$25:G$27,, G$21, G$22)," ")/IF(G$25*G$26*G$27*G$21*G$22&gt;0,SQRT(COUNT(G$25:G$27,, G$21, G$22))," "),"")</f>
        <v/>
      </c>
      <c r="AL143" s="230" t="str">
        <f aca="false">IFERROR(IF(H$25*H$26*H$27*H$21*H$22&gt;0,STDEV(H$25:H$27,, H$21, H$22)," ")/IF(H$25*H$26*H$27*H$21*H$22&gt;0,SQRT(COUNT(H$25:H$27,, H$21, H$22))," "),"")</f>
        <v/>
      </c>
      <c r="AM143" s="230" t="str">
        <f aca="false">IFERROR(IF(I$25*I$26*I$27*I$21*I$22&gt;0,STDEV(I$25:I$27,, I$21, I$22)," ")/IF(I$25*I$26*I$27*I$21*I$22&gt;0,SQRT(COUNT(I$25:I$27,, I$21, I$22))," "),"")</f>
        <v/>
      </c>
      <c r="AN143" s="230" t="str">
        <f aca="false">IFERROR(IF(J$25*J$26*J$27*J$21*J$22&gt;0,STDEV(J$25:J$27,, J$21, J$22)," ")/IF(J$25*J$26*J$27*J$21*J$22&gt;0,SQRT(COUNT(J$25:J$27,, J$21, J$22))," "),"")</f>
        <v/>
      </c>
      <c r="AO143" s="230" t="str">
        <f aca="false">IFERROR(IF(K$25*K$26*K$27*K$21*K$22&gt;0,STDEV(K$25:K$27,, K$21, K$22)," ")/IF(K$25*K$26*K$27*K$21*K$22&gt;0,SQRT(COUNT(K$25:K$27,, K$21, K$22))," "),"")</f>
        <v/>
      </c>
      <c r="AP143" s="230" t="str">
        <f aca="false">IFERROR(IF(L$25*L$26*L$27*L$21*L$22&gt;0,STDEV(L$25:L$27,, L$21, L$22)," ")/IF(L$25*L$26*L$27*L$21*L$22&gt;0,SQRT(COUNT(L$25:L$27,, L$21, L$22))," "),"")</f>
        <v/>
      </c>
      <c r="AQ143" s="230" t="str">
        <f aca="false">IFERROR(IF(M$25*M$26*M$27*M$21*M$22&gt;0,STDEV(M$25:M$27,, M$21, M$22)," ")/IF(M$25*M$26*M$27*M$21*M$22&gt;0,SQRT(COUNT(M$25:M$27,, M$21, M$22))," "),"")</f>
        <v/>
      </c>
      <c r="AR143" s="230" t="str">
        <f aca="false">IFERROR(IF(N$25*N$26*N$27*N$21*N$22&gt;0,STDEV(N$25:N$27,, N$21, N$22)," ")/IF(N$25*N$26*N$27*N$21*N$22&gt;0,SQRT(COUNT(N$25:N$27,, N$21, N$22))," "),"")</f>
        <v/>
      </c>
    </row>
    <row r="144" customFormat="false" ht="15.75" hidden="false" customHeight="false" outlineLevel="0" collapsed="false">
      <c r="A144" s="220" t="s">
        <v>575</v>
      </c>
      <c r="B144" s="221"/>
      <c r="C144" s="261" t="str">
        <f aca="false">IFERROR(IF(C$25*C$26*C$27*C$21*C$23&gt;0,AVERAGE(C$25:C$27, C$21, C$23),""),"")</f>
        <v/>
      </c>
      <c r="D144" s="261" t="str">
        <f aca="false">IFERROR(IF(D$25*D$26*D$27*D$21*D$23&gt;0,AVERAGE(D$25:D$27, D$21, D$23),""),"")</f>
        <v/>
      </c>
      <c r="E144" s="261" t="str">
        <f aca="false">IFERROR(IF(E$25*E$26*E$27*E$21*E$23&gt;0,AVERAGE(E$25:E$27, E$21, E$23),""),"")</f>
        <v/>
      </c>
      <c r="F144" s="261" t="str">
        <f aca="false">IFERROR(IF(F$25*F$26*F$27*F$21*F$23&gt;0,AVERAGE(F$25:F$27, F$21, F$23),""),"")</f>
        <v/>
      </c>
      <c r="G144" s="261" t="str">
        <f aca="false">IFERROR(IF(G$25*G$26*G$27*G$21*G$23&gt;0,AVERAGE(G$25:G$27, G$21, G$23),""),"")</f>
        <v/>
      </c>
      <c r="H144" s="261" t="str">
        <f aca="false">IFERROR(IF(H$25*H$26*H$27*H$21*H$23&gt;0,AVERAGE(H$25:H$27, H$21, H$23),""),"")</f>
        <v/>
      </c>
      <c r="I144" s="261" t="str">
        <f aca="false">IFERROR(IF(I$25*I$26*I$27*I$21*I$23&gt;0,AVERAGE(I$25:I$27, I$21, I$23),""),"")</f>
        <v/>
      </c>
      <c r="J144" s="261" t="str">
        <f aca="false">IFERROR(IF(J$25*J$26*J$27*J$21*J$23&gt;0,AVERAGE(J$25:J$27, J$21, J$23),""),"")</f>
        <v/>
      </c>
      <c r="K144" s="261" t="str">
        <f aca="false">IFERROR(IF(K$25*K$26*K$27*K$21*K$23&gt;0,AVERAGE(K$25:K$27, K$21, K$23),""),"")</f>
        <v/>
      </c>
      <c r="L144" s="261" t="str">
        <f aca="false">IFERROR(IF(L$25*L$26*L$27*L$21*L$23&gt;0,AVERAGE(L$25:L$27, L$21, L$23),""),"")</f>
        <v/>
      </c>
      <c r="M144" s="261" t="str">
        <f aca="false">IFERROR(IF(M$25*M$26*M$27*M$21*M$23&gt;0,AVERAGE(M$25:M$27, M$21, M$23),""),"")</f>
        <v/>
      </c>
      <c r="N144" s="261" t="str">
        <f aca="false">IFERROR(IF(N$25*N$26*N$27*N$21*N$23&gt;0,AVERAGE(N$25:N$27, N$21, N$23),""),"")</f>
        <v/>
      </c>
      <c r="O144" s="224"/>
      <c r="P144" s="224"/>
      <c r="Q144" s="232"/>
      <c r="R144" s="226" t="s">
        <v>576</v>
      </c>
      <c r="S144" s="227" t="str">
        <f aca="false">IFERROR(IF(C$25*C$26*C$27*C$21*C$23&gt;0,STDEV(C$25:C$27,, C$21, C$23),"")/IF(C$25*C$26*C$27*C$21*C$23&gt;0,AVERAGE(C$25:C$27,, C$21, C$23),""),"")</f>
        <v/>
      </c>
      <c r="T144" s="227" t="str">
        <f aca="false">IFERROR(IF(D$25*D$26*D$27*D$21*D$23&gt;0,STDEV(D$25:D$27,, D$21, D$23),"")/IF(D$25*D$26*D$27*D$21*D$23&gt;0,AVERAGE(D$25:D$27,, D$21, D$23),""),"")</f>
        <v/>
      </c>
      <c r="U144" s="227" t="str">
        <f aca="false">IFERROR(IF(E$25*E$26*E$27*E$21*E$23&gt;0,STDEV(E$25:E$27,, E$21, E$23),"")/IF(E$25*E$26*E$27*E$21*E$23&gt;0,AVERAGE(E$25:E$27,, E$21, E$23),""),"")</f>
        <v/>
      </c>
      <c r="V144" s="227" t="str">
        <f aca="false">IFERROR(IF(F$25*F$26*F$27*F$21*F$23&gt;0,STDEV(F$25:F$27,, F$21, F$23),"")/IF(F$25*F$26*F$27*F$21*F$23&gt;0,AVERAGE(F$25:F$27,, F$21, F$23),""),"")</f>
        <v/>
      </c>
      <c r="W144" s="227" t="str">
        <f aca="false">IFERROR(IF(G$25*G$26*G$27*G$21*G$23&gt;0,STDEV(G$25:G$27,, G$21, G$23),"")/IF(G$25*G$26*G$27*G$21*G$23&gt;0,AVERAGE(G$25:G$27,, G$21, G$23),""),"")</f>
        <v/>
      </c>
      <c r="X144" s="227" t="str">
        <f aca="false">IFERROR(IF(H$25*H$26*H$27*H$21*H$23&gt;0,STDEV(H$25:H$27,, H$21, H$23),"")/IF(H$25*H$26*H$27*H$21*H$23&gt;0,AVERAGE(H$25:H$27,, H$21, H$23),""),"")</f>
        <v/>
      </c>
      <c r="Y144" s="227" t="str">
        <f aca="false">IFERROR(IF(I$25*I$26*I$27*I$21*I$23&gt;0,STDEV(I$25:I$27,, I$21, I$23),"")/IF(I$25*I$26*I$27*I$21*I$23&gt;0,AVERAGE(I$25:I$27,, I$21, I$23),""),"")</f>
        <v/>
      </c>
      <c r="Z144" s="227" t="str">
        <f aca="false">IFERROR(IF(J$25*J$26*J$27*J$21*J$23&gt;0,STDEV(J$25:J$27,, J$21, J$23),"")/IF(J$25*J$26*J$27*J$21*J$23&gt;0,AVERAGE(J$25:J$27,, J$21, J$23),""),"")</f>
        <v/>
      </c>
      <c r="AA144" s="227" t="str">
        <f aca="false">IFERROR(IF(K$25*K$26*K$27*K$21*K$23&gt;0,STDEV(K$25:K$27,, K$21, K$23),"")/IF(K$25*K$26*K$27*K$21*K$23&gt;0,AVERAGE(K$25:K$27,, K$21, K$23),""),"")</f>
        <v/>
      </c>
      <c r="AB144" s="227" t="str">
        <f aca="false">IFERROR(IF(L$25*L$26*L$27*L$21*L$23&gt;0,STDEV(L$25:L$27,, L$21, L$23),"")/IF(L$25*L$26*L$27*L$21*L$23&gt;0,AVERAGE(L$25:L$27,, L$21, L$23),""),"")</f>
        <v/>
      </c>
      <c r="AC144" s="227" t="str">
        <f aca="false">IFERROR(IF(M$25*M$26*M$27*M$21*M$23&gt;0,STDEV(M$25:M$27,, M$21, M$23),"")/IF(M$25*M$26*M$27*M$21*M$23&gt;0,AVERAGE(M$25:M$27,, M$21, M$23),""),"")</f>
        <v/>
      </c>
      <c r="AD144" s="227" t="str">
        <f aca="false">IFERROR(IF(N$25*N$26*N$27*N$21*N$23&gt;0,STDEV(N$25:N$27,, N$21, N$23),"")/IF(N$25*N$26*N$27*N$21*N$23&gt;0,AVERAGE(N$25:N$27,, N$21, N$23),""),"")</f>
        <v/>
      </c>
      <c r="AE144" s="233"/>
      <c r="AF144" s="229" t="s">
        <v>577</v>
      </c>
      <c r="AG144" s="230" t="str">
        <f aca="false">IFERROR(IF(C$25*C$26*C$27*C$21*C$23&gt;0,STDEV(C$25:C$27,, C$21, C$23)," ")/IF(C$25*C$26*C$27*C$21*C$23&gt;0,SQRT(COUNT(C$25:C$27,, C$21, C$23))," "),"")</f>
        <v/>
      </c>
      <c r="AH144" s="230" t="str">
        <f aca="false">IFERROR(IF(D$25*D$26*D$27*D$21*D$23&gt;0,STDEV(D$25:D$27,, D$21, D$23)," ")/IF(D$25*D$26*D$27*D$21*D$23&gt;0,SQRT(COUNT(D$25:D$27,, D$21, D$23))," "),"")</f>
        <v/>
      </c>
      <c r="AI144" s="230" t="str">
        <f aca="false">IFERROR(IF(E$25*E$26*E$27*E$21*E$23&gt;0,STDEV(E$25:E$27,, E$21, E$23)," ")/IF(E$25*E$26*E$27*E$21*E$23&gt;0,SQRT(COUNT(E$25:E$27,, E$21, E$23))," "),"")</f>
        <v/>
      </c>
      <c r="AJ144" s="230" t="str">
        <f aca="false">IFERROR(IF(F$25*F$26*F$27*F$21*F$23&gt;0,STDEV(F$25:F$27,, F$21, F$23)," ")/IF(F$25*F$26*F$27*F$21*F$23&gt;0,SQRT(COUNT(F$25:F$27,, F$21, F$23))," "),"")</f>
        <v/>
      </c>
      <c r="AK144" s="230" t="str">
        <f aca="false">IFERROR(IF(G$25*G$26*G$27*G$21*G$23&gt;0,STDEV(G$25:G$27,, G$21, G$23)," ")/IF(G$25*G$26*G$27*G$21*G$23&gt;0,SQRT(COUNT(G$25:G$27,, G$21, G$23))," "),"")</f>
        <v/>
      </c>
      <c r="AL144" s="230" t="str">
        <f aca="false">IFERROR(IF(H$25*H$26*H$27*H$21*H$23&gt;0,STDEV(H$25:H$27,, H$21, H$23)," ")/IF(H$25*H$26*H$27*H$21*H$23&gt;0,SQRT(COUNT(H$25:H$27,, H$21, H$23))," "),"")</f>
        <v/>
      </c>
      <c r="AM144" s="230" t="str">
        <f aca="false">IFERROR(IF(I$25*I$26*I$27*I$21*I$23&gt;0,STDEV(I$25:I$27,, I$21, I$23)," ")/IF(I$25*I$26*I$27*I$21*I$23&gt;0,SQRT(COUNT(I$25:I$27,, I$21, I$23))," "),"")</f>
        <v/>
      </c>
      <c r="AN144" s="230" t="str">
        <f aca="false">IFERROR(IF(J$25*J$26*J$27*J$21*J$23&gt;0,STDEV(J$25:J$27,, J$21, J$23)," ")/IF(J$25*J$26*J$27*J$21*J$23&gt;0,SQRT(COUNT(J$25:J$27,, J$21, J$23))," "),"")</f>
        <v/>
      </c>
      <c r="AO144" s="230" t="str">
        <f aca="false">IFERROR(IF(K$25*K$26*K$27*K$21*K$23&gt;0,STDEV(K$25:K$27,, K$21, K$23)," ")/IF(K$25*K$26*K$27*K$21*K$23&gt;0,SQRT(COUNT(K$25:K$27,, K$21, K$23))," "),"")</f>
        <v/>
      </c>
      <c r="AP144" s="230" t="str">
        <f aca="false">IFERROR(IF(L$25*L$26*L$27*L$21*L$23&gt;0,STDEV(L$25:L$27,, L$21, L$23)," ")/IF(L$25*L$26*L$27*L$21*L$23&gt;0,SQRT(COUNT(L$25:L$27,, L$21, L$23))," "),"")</f>
        <v/>
      </c>
      <c r="AQ144" s="230" t="str">
        <f aca="false">IFERROR(IF(M$25*M$26*M$27*M$21*M$23&gt;0,STDEV(M$25:M$27,, M$21, M$23)," ")/IF(M$25*M$26*M$27*M$21*M$23&gt;0,SQRT(COUNT(M$25:M$27,, M$21, M$23))," "),"")</f>
        <v/>
      </c>
      <c r="AR144" s="230" t="str">
        <f aca="false">IFERROR(IF(N$25*N$26*N$27*N$21*N$23&gt;0,STDEV(N$25:N$27,, N$21, N$23)," ")/IF(N$25*N$26*N$27*N$21*N$23&gt;0,SQRT(COUNT(N$25:N$27,, N$21, N$23))," "),"")</f>
        <v/>
      </c>
    </row>
    <row r="145" customFormat="false" ht="15.75" hidden="false" customHeight="false" outlineLevel="0" collapsed="false">
      <c r="A145" s="220" t="s">
        <v>578</v>
      </c>
      <c r="B145" s="221"/>
      <c r="C145" s="261" t="str">
        <f aca="false">IFERROR(IF(C$25*C$26*C$27*C$21*C$24&gt;0,AVERAGE(C$25:C$27, C$21, C$24),""),"")</f>
        <v/>
      </c>
      <c r="D145" s="261" t="str">
        <f aca="false">IFERROR(IF(D$25*D$26*D$27*D$21*D$24&gt;0,AVERAGE(D$25:D$27, D$21, D$24),""),"")</f>
        <v/>
      </c>
      <c r="E145" s="261" t="str">
        <f aca="false">IFERROR(IF(E$25*E$26*E$27*E$21*E$24&gt;0,AVERAGE(E$25:E$27, E$21, E$24),""),"")</f>
        <v/>
      </c>
      <c r="F145" s="261" t="str">
        <f aca="false">IFERROR(IF(F$25*F$26*F$27*F$21*F$24&gt;0,AVERAGE(F$25:F$27, F$21, F$24),""),"")</f>
        <v/>
      </c>
      <c r="G145" s="261" t="str">
        <f aca="false">IFERROR(IF(G$25*G$26*G$27*G$21*G$24&gt;0,AVERAGE(G$25:G$27, G$21, G$24),""),"")</f>
        <v/>
      </c>
      <c r="H145" s="261" t="str">
        <f aca="false">IFERROR(IF(H$25*H$26*H$27*H$21*H$24&gt;0,AVERAGE(H$25:H$27, H$21, H$24),""),"")</f>
        <v/>
      </c>
      <c r="I145" s="261" t="str">
        <f aca="false">IFERROR(IF(I$25*I$26*I$27*I$21*I$24&gt;0,AVERAGE(I$25:I$27, I$21, I$24),""),"")</f>
        <v/>
      </c>
      <c r="J145" s="261" t="str">
        <f aca="false">IFERROR(IF(J$25*J$26*J$27*J$21*J$24&gt;0,AVERAGE(J$25:J$27, J$21, J$24),""),"")</f>
        <v/>
      </c>
      <c r="K145" s="261" t="str">
        <f aca="false">IFERROR(IF(K$25*K$26*K$27*K$21*K$24&gt;0,AVERAGE(K$25:K$27, K$21, K$24),""),"")</f>
        <v/>
      </c>
      <c r="L145" s="261" t="str">
        <f aca="false">IFERROR(IF(L$25*L$26*L$27*L$21*L$24&gt;0,AVERAGE(L$25:L$27, L$21, L$24),""),"")</f>
        <v/>
      </c>
      <c r="M145" s="261" t="str">
        <f aca="false">IFERROR(IF(M$25*M$26*M$27*M$21*M$24&gt;0,AVERAGE(M$25:M$27, M$21, M$24),""),"")</f>
        <v/>
      </c>
      <c r="N145" s="261" t="str">
        <f aca="false">IFERROR(IF(N$25*N$26*N$27*N$21*N$24&gt;0,AVERAGE(N$25:N$27, N$21, N$24),""),"")</f>
        <v/>
      </c>
      <c r="O145" s="224"/>
      <c r="P145" s="224"/>
      <c r="Q145" s="232"/>
      <c r="R145" s="226" t="s">
        <v>579</v>
      </c>
      <c r="S145" s="227" t="str">
        <f aca="false">IFERROR(IF(C$25*C$26*C$27*C$21*C$24&gt;0,STDEV(C$25:C$27,, C$21, C$24),"")/IF(C$25*C$26*C$27*C$21*C$24&gt;0,AVERAGE(C$25:C$27,, C$21, C$24),""),"")</f>
        <v/>
      </c>
      <c r="T145" s="227" t="str">
        <f aca="false">IFERROR(IF(D$25*D$26*D$27*D$21*D$24&gt;0,STDEV(D$25:D$27,, D$21, D$24),"")/IF(D$25*D$26*D$27*D$21*D$24&gt;0,AVERAGE(D$25:D$27,, D$21, D$24),""),"")</f>
        <v/>
      </c>
      <c r="U145" s="227" t="str">
        <f aca="false">IFERROR(IF(E$25*E$26*E$27*E$21*E$24&gt;0,STDEV(E$25:E$27,, E$21, E$24),"")/IF(E$25*E$26*E$27*E$21*E$24&gt;0,AVERAGE(E$25:E$27,, E$21, E$24),""),"")</f>
        <v/>
      </c>
      <c r="V145" s="227" t="str">
        <f aca="false">IFERROR(IF(F$25*F$26*F$27*F$21*F$24&gt;0,STDEV(F$25:F$27,, F$21, F$24),"")/IF(F$25*F$26*F$27*F$21*F$24&gt;0,AVERAGE(F$25:F$27,, F$21, F$24),""),"")</f>
        <v/>
      </c>
      <c r="W145" s="227" t="str">
        <f aca="false">IFERROR(IF(G$25*G$26*G$27*G$21*G$24&gt;0,STDEV(G$25:G$27,, G$21, G$24),"")/IF(G$25*G$26*G$27*G$21*G$24&gt;0,AVERAGE(G$25:G$27,, G$21, G$24),""),"")</f>
        <v/>
      </c>
      <c r="X145" s="227" t="str">
        <f aca="false">IFERROR(IF(H$25*H$26*H$27*H$21*H$24&gt;0,STDEV(H$25:H$27,, H$21, H$24),"")/IF(H$25*H$26*H$27*H$21*H$24&gt;0,AVERAGE(H$25:H$27,, H$21, H$24),""),"")</f>
        <v/>
      </c>
      <c r="Y145" s="227" t="str">
        <f aca="false">IFERROR(IF(I$25*I$26*I$27*I$21*I$24&gt;0,STDEV(I$25:I$27,, I$21, I$24),"")/IF(I$25*I$26*I$27*I$21*I$24&gt;0,AVERAGE(I$25:I$27,, I$21, I$24),""),"")</f>
        <v/>
      </c>
      <c r="Z145" s="227" t="str">
        <f aca="false">IFERROR(IF(J$25*J$26*J$27*J$21*J$24&gt;0,STDEV(J$25:J$27,, J$21, J$24),"")/IF(J$25*J$26*J$27*J$21*J$24&gt;0,AVERAGE(J$25:J$27,, J$21, J$24),""),"")</f>
        <v/>
      </c>
      <c r="AA145" s="227" t="str">
        <f aca="false">IFERROR(IF(K$25*K$26*K$27*K$21*K$24&gt;0,STDEV(K$25:K$27,, K$21, K$24),"")/IF(K$25*K$26*K$27*K$21*K$24&gt;0,AVERAGE(K$25:K$27,, K$21, K$24),""),"")</f>
        <v/>
      </c>
      <c r="AB145" s="227" t="str">
        <f aca="false">IFERROR(IF(L$25*L$26*L$27*L$21*L$24&gt;0,STDEV(L$25:L$27,, L$21, L$24),"")/IF(L$25*L$26*L$27*L$21*L$24&gt;0,AVERAGE(L$25:L$27,, L$21, L$24),""),"")</f>
        <v/>
      </c>
      <c r="AC145" s="227" t="str">
        <f aca="false">IFERROR(IF(M$25*M$26*M$27*M$21*M$24&gt;0,STDEV(M$25:M$27,, M$21, M$24),"")/IF(M$25*M$26*M$27*M$21*M$24&gt;0,AVERAGE(M$25:M$27,, M$21, M$24),""),"")</f>
        <v/>
      </c>
      <c r="AD145" s="227" t="str">
        <f aca="false">IFERROR(IF(N$25*N$26*N$27*N$21*N$24&gt;0,STDEV(N$25:N$27,, N$21, N$24),"")/IF(N$25*N$26*N$27*N$21*N$24&gt;0,AVERAGE(N$25:N$27,, N$21, N$24),""),"")</f>
        <v/>
      </c>
      <c r="AE145" s="233"/>
      <c r="AF145" s="229" t="s">
        <v>580</v>
      </c>
      <c r="AG145" s="230" t="str">
        <f aca="false">IFERROR(IF(C$25*C$26*C$27*C$21*C$24&gt;0,STDEV(C$25:C$27,, C$21, C$24)," ")/IF(C$25*C$26*C$27*C$21*C$24&gt;0,SQRT(COUNT(C$25:C$27,, C$21, C$24))," "),"")</f>
        <v/>
      </c>
      <c r="AH145" s="230" t="str">
        <f aca="false">IFERROR(IF(D$25*D$26*D$27*D$21*D$24&gt;0,STDEV(D$25:D$27,, D$21, D$24)," ")/IF(D$25*D$26*D$27*D$21*D$24&gt;0,SQRT(COUNT(D$25:D$27,, D$21, D$24))," "),"")</f>
        <v/>
      </c>
      <c r="AI145" s="230" t="str">
        <f aca="false">IFERROR(IF(E$25*E$26*E$27*E$21*E$24&gt;0,STDEV(E$25:E$27,, E$21, E$24)," ")/IF(E$25*E$26*E$27*E$21*E$24&gt;0,SQRT(COUNT(E$25:E$27,, E$21, E$24))," "),"")</f>
        <v/>
      </c>
      <c r="AJ145" s="230" t="str">
        <f aca="false">IFERROR(IF(F$25*F$26*F$27*F$21*F$24&gt;0,STDEV(F$25:F$27,, F$21, F$24)," ")/IF(F$25*F$26*F$27*F$21*F$24&gt;0,SQRT(COUNT(F$25:F$27,, F$21, F$24))," "),"")</f>
        <v/>
      </c>
      <c r="AK145" s="230" t="str">
        <f aca="false">IFERROR(IF(G$25*G$26*G$27*G$21*G$24&gt;0,STDEV(G$25:G$27,, G$21, G$24)," ")/IF(G$25*G$26*G$27*G$21*G$24&gt;0,SQRT(COUNT(G$25:G$27,, G$21, G$24))," "),"")</f>
        <v/>
      </c>
      <c r="AL145" s="230" t="str">
        <f aca="false">IFERROR(IF(H$25*H$26*H$27*H$21*H$24&gt;0,STDEV(H$25:H$27,, H$21, H$24)," ")/IF(H$25*H$26*H$27*H$21*H$24&gt;0,SQRT(COUNT(H$25:H$27,, H$21, H$24))," "),"")</f>
        <v/>
      </c>
      <c r="AM145" s="230" t="str">
        <f aca="false">IFERROR(IF(I$25*I$26*I$27*I$21*I$24&gt;0,STDEV(I$25:I$27,, I$21, I$24)," ")/IF(I$25*I$26*I$27*I$21*I$24&gt;0,SQRT(COUNT(I$25:I$27,, I$21, I$24))," "),"")</f>
        <v/>
      </c>
      <c r="AN145" s="230" t="str">
        <f aca="false">IFERROR(IF(J$25*J$26*J$27*J$21*J$24&gt;0,STDEV(J$25:J$27,, J$21, J$24)," ")/IF(J$25*J$26*J$27*J$21*J$24&gt;0,SQRT(COUNT(J$25:J$27,, J$21, J$24))," "),"")</f>
        <v/>
      </c>
      <c r="AO145" s="230" t="str">
        <f aca="false">IFERROR(IF(K$25*K$26*K$27*K$21*K$24&gt;0,STDEV(K$25:K$27,, K$21, K$24)," ")/IF(K$25*K$26*K$27*K$21*K$24&gt;0,SQRT(COUNT(K$25:K$27,, K$21, K$24))," "),"")</f>
        <v/>
      </c>
      <c r="AP145" s="230" t="str">
        <f aca="false">IFERROR(IF(L$25*L$26*L$27*L$21*L$24&gt;0,STDEV(L$25:L$27,, L$21, L$24)," ")/IF(L$25*L$26*L$27*L$21*L$24&gt;0,SQRT(COUNT(L$25:L$27,, L$21, L$24))," "),"")</f>
        <v/>
      </c>
      <c r="AQ145" s="230" t="str">
        <f aca="false">IFERROR(IF(M$25*M$26*M$27*M$21*M$24&gt;0,STDEV(M$25:M$27,, M$21, M$24)," ")/IF(M$25*M$26*M$27*M$21*M$24&gt;0,SQRT(COUNT(M$25:M$27,, M$21, M$24))," "),"")</f>
        <v/>
      </c>
      <c r="AR145" s="230" t="str">
        <f aca="false">IFERROR(IF(N$25*N$26*N$27*N$21*N$24&gt;0,STDEV(N$25:N$27,, N$21, N$24)," ")/IF(N$25*N$26*N$27*N$21*N$24&gt;0,SQRT(COUNT(N$25:N$27,, N$21, N$24))," "),"")</f>
        <v/>
      </c>
    </row>
    <row r="146" customFormat="false" ht="15.75" hidden="false" customHeight="false" outlineLevel="0" collapsed="false">
      <c r="A146" s="220" t="s">
        <v>581</v>
      </c>
      <c r="B146" s="221"/>
      <c r="C146" s="261" t="str">
        <f aca="false">IFERROR(IF(C$25*C$26*C$27*C$22*C$23&gt;0,AVERAGE(C$25:C$27, C$22, C$23),""),"")</f>
        <v/>
      </c>
      <c r="D146" s="261" t="str">
        <f aca="false">IFERROR(IF(D$25*D$26*D$27*D$22*D$23&gt;0,AVERAGE(D$25:D$27, D$22, D$23),""),"")</f>
        <v/>
      </c>
      <c r="E146" s="261" t="str">
        <f aca="false">IFERROR(IF(E$25*E$26*E$27*E$22*E$23&gt;0,AVERAGE(E$25:E$27, E$22, E$23),""),"")</f>
        <v/>
      </c>
      <c r="F146" s="261" t="str">
        <f aca="false">IFERROR(IF(F$25*F$26*F$27*F$22*F$23&gt;0,AVERAGE(F$25:F$27, F$22, F$23),""),"")</f>
        <v/>
      </c>
      <c r="G146" s="261" t="str">
        <f aca="false">IFERROR(IF(G$25*G$26*G$27*G$22*G$23&gt;0,AVERAGE(G$25:G$27, G$22, G$23),""),"")</f>
        <v/>
      </c>
      <c r="H146" s="261" t="str">
        <f aca="false">IFERROR(IF(H$25*H$26*H$27*H$22*H$23&gt;0,AVERAGE(H$25:H$27, H$22, H$23),""),"")</f>
        <v/>
      </c>
      <c r="I146" s="261" t="str">
        <f aca="false">IFERROR(IF(I$25*I$26*I$27*I$22*I$23&gt;0,AVERAGE(I$25:I$27, I$22, I$23),""),"")</f>
        <v/>
      </c>
      <c r="J146" s="261" t="str">
        <f aca="false">IFERROR(IF(J$25*J$26*J$27*J$22*J$23&gt;0,AVERAGE(J$25:J$27, J$22, J$23),""),"")</f>
        <v/>
      </c>
      <c r="K146" s="261" t="str">
        <f aca="false">IFERROR(IF(K$25*K$26*K$27*K$22*K$23&gt;0,AVERAGE(K$25:K$27, K$22, K$23),""),"")</f>
        <v/>
      </c>
      <c r="L146" s="261" t="str">
        <f aca="false">IFERROR(IF(L$25*L$26*L$27*L$22*L$23&gt;0,AVERAGE(L$25:L$27, L$22, L$23),""),"")</f>
        <v/>
      </c>
      <c r="M146" s="261" t="str">
        <f aca="false">IFERROR(IF(M$25*M$26*M$27*M$22*M$23&gt;0,AVERAGE(M$25:M$27, M$22, M$23),""),"")</f>
        <v/>
      </c>
      <c r="N146" s="261" t="str">
        <f aca="false">IFERROR(IF(N$25*N$26*N$27*N$22*N$23&gt;0,AVERAGE(N$25:N$27, N$22, N$23),""),"")</f>
        <v/>
      </c>
      <c r="O146" s="224"/>
      <c r="P146" s="224"/>
      <c r="Q146" s="232"/>
      <c r="R146" s="226" t="s">
        <v>582</v>
      </c>
      <c r="S146" s="227" t="str">
        <f aca="false">IFERROR(IF(C$25*C$26*C$27*C$22*C$23&gt;0,STDEV(C$25:C$27,, C$22, C$23),"")/IF(C$25*C$26*C$27*C$22*C$23&gt;0,AVERAGE(C$25:C$27,, C$22, C$23),""),"")</f>
        <v/>
      </c>
      <c r="T146" s="227" t="str">
        <f aca="false">IFERROR(IF(D$25*D$26*D$27*D$22*D$23&gt;0,STDEV(D$25:D$27,, D$22, D$23),"")/IF(D$25*D$26*D$27*D$22*D$23&gt;0,AVERAGE(D$25:D$27,, D$22, D$23),""),"")</f>
        <v/>
      </c>
      <c r="U146" s="227" t="str">
        <f aca="false">IFERROR(IF(E$25*E$26*E$27*E$22*E$23&gt;0,STDEV(E$25:E$27,, E$22, E$23),"")/IF(E$25*E$26*E$27*E$22*E$23&gt;0,AVERAGE(E$25:E$27,, E$22, E$23),""),"")</f>
        <v/>
      </c>
      <c r="V146" s="227" t="str">
        <f aca="false">IFERROR(IF(F$25*F$26*F$27*F$22*F$23&gt;0,STDEV(F$25:F$27,, F$22, F$23),"")/IF(F$25*F$26*F$27*F$22*F$23&gt;0,AVERAGE(F$25:F$27,, F$22, F$23),""),"")</f>
        <v/>
      </c>
      <c r="W146" s="227" t="str">
        <f aca="false">IFERROR(IF(G$25*G$26*G$27*G$22*G$23&gt;0,STDEV(G$25:G$27,, G$22, G$23),"")/IF(G$25*G$26*G$27*G$22*G$23&gt;0,AVERAGE(G$25:G$27,, G$22, G$23),""),"")</f>
        <v/>
      </c>
      <c r="X146" s="227" t="str">
        <f aca="false">IFERROR(IF(H$25*H$26*H$27*H$22*H$23&gt;0,STDEV(H$25:H$27,, H$22, H$23),"")/IF(H$25*H$26*H$27*H$22*H$23&gt;0,AVERAGE(H$25:H$27,, H$22, H$23),""),"")</f>
        <v/>
      </c>
      <c r="Y146" s="227" t="str">
        <f aca="false">IFERROR(IF(I$25*I$26*I$27*I$22*I$23&gt;0,STDEV(I$25:I$27,, I$22, I$23),"")/IF(I$25*I$26*I$27*I$22*I$23&gt;0,AVERAGE(I$25:I$27,, I$22, I$23),""),"")</f>
        <v/>
      </c>
      <c r="Z146" s="227" t="str">
        <f aca="false">IFERROR(IF(J$25*J$26*J$27*J$22*J$23&gt;0,STDEV(J$25:J$27,, J$22, J$23),"")/IF(J$25*J$26*J$27*J$22*J$23&gt;0,AVERAGE(J$25:J$27,, J$22, J$23),""),"")</f>
        <v/>
      </c>
      <c r="AA146" s="227" t="str">
        <f aca="false">IFERROR(IF(K$25*K$26*K$27*K$22*K$23&gt;0,STDEV(K$25:K$27,, K$22, K$23),"")/IF(K$25*K$26*K$27*K$22*K$23&gt;0,AVERAGE(K$25:K$27,, K$22, K$23),""),"")</f>
        <v/>
      </c>
      <c r="AB146" s="227" t="str">
        <f aca="false">IFERROR(IF(L$25*L$26*L$27*L$22*L$23&gt;0,STDEV(L$25:L$27,, L$22, L$23),"")/IF(L$25*L$26*L$27*L$22*L$23&gt;0,AVERAGE(L$25:L$27,, L$22, L$23),""),"")</f>
        <v/>
      </c>
      <c r="AC146" s="227" t="str">
        <f aca="false">IFERROR(IF(M$25*M$26*M$27*M$22*M$23&gt;0,STDEV(M$25:M$27,, M$22, M$23),"")/IF(M$25*M$26*M$27*M$22*M$23&gt;0,AVERAGE(M$25:M$27,, M$22, M$23),""),"")</f>
        <v/>
      </c>
      <c r="AD146" s="227" t="str">
        <f aca="false">IFERROR(IF(N$25*N$26*N$27*N$22*N$23&gt;0,STDEV(N$25:N$27,, N$22, N$23),"")/IF(N$25*N$26*N$27*N$22*N$23&gt;0,AVERAGE(N$25:N$27,, N$22, N$23),""),"")</f>
        <v/>
      </c>
      <c r="AE146" s="233"/>
      <c r="AF146" s="229" t="s">
        <v>583</v>
      </c>
      <c r="AG146" s="230" t="str">
        <f aca="false">IFERROR(IF(C$25*C$26*C$27*C$22*C$23&gt;0,STDEV(C$25:C$27,, C$22, C$23)," ")/IF(C$25*C$26*C$27*C$22*C$23&gt;0,SQRT(COUNT(C$25:C$27,, C$22, C$23))," "),"")</f>
        <v/>
      </c>
      <c r="AH146" s="230" t="str">
        <f aca="false">IFERROR(IF(D$25*D$26*D$27*D$22*D$23&gt;0,STDEV(D$25:D$27,, D$22, D$23)," ")/IF(D$25*D$26*D$27*D$22*D$23&gt;0,SQRT(COUNT(D$25:D$27,, D$22, D$23))," "),"")</f>
        <v/>
      </c>
      <c r="AI146" s="230" t="str">
        <f aca="false">IFERROR(IF(E$25*E$26*E$27*E$22*E$23&gt;0,STDEV(E$25:E$27,, E$22, E$23)," ")/IF(E$25*E$26*E$27*E$22*E$23&gt;0,SQRT(COUNT(E$25:E$27,, E$22, E$23))," "),"")</f>
        <v/>
      </c>
      <c r="AJ146" s="230" t="str">
        <f aca="false">IFERROR(IF(F$25*F$26*F$27*F$22*F$23&gt;0,STDEV(F$25:F$27,, F$22, F$23)," ")/IF(F$25*F$26*F$27*F$22*F$23&gt;0,SQRT(COUNT(F$25:F$27,, F$22, F$23))," "),"")</f>
        <v/>
      </c>
      <c r="AK146" s="230" t="str">
        <f aca="false">IFERROR(IF(G$25*G$26*G$27*G$22*G$23&gt;0,STDEV(G$25:G$27,, G$22, G$23)," ")/IF(G$25*G$26*G$27*G$22*G$23&gt;0,SQRT(COUNT(G$25:G$27,, G$22, G$23))," "),"")</f>
        <v/>
      </c>
      <c r="AL146" s="230" t="str">
        <f aca="false">IFERROR(IF(H$25*H$26*H$27*H$22*H$23&gt;0,STDEV(H$25:H$27,, H$22, H$23)," ")/IF(H$25*H$26*H$27*H$22*H$23&gt;0,SQRT(COUNT(H$25:H$27,, H$22, H$23))," "),"")</f>
        <v/>
      </c>
      <c r="AM146" s="230" t="str">
        <f aca="false">IFERROR(IF(I$25*I$26*I$27*I$22*I$23&gt;0,STDEV(I$25:I$27,, I$22, I$23)," ")/IF(I$25*I$26*I$27*I$22*I$23&gt;0,SQRT(COUNT(I$25:I$27,, I$22, I$23))," "),"")</f>
        <v/>
      </c>
      <c r="AN146" s="230" t="str">
        <f aca="false">IFERROR(IF(J$25*J$26*J$27*J$22*J$23&gt;0,STDEV(J$25:J$27,, J$22, J$23)," ")/IF(J$25*J$26*J$27*J$22*J$23&gt;0,SQRT(COUNT(J$25:J$27,, J$22, J$23))," "),"")</f>
        <v/>
      </c>
      <c r="AO146" s="230" t="str">
        <f aca="false">IFERROR(IF(K$25*K$26*K$27*K$22*K$23&gt;0,STDEV(K$25:K$27,, K$22, K$23)," ")/IF(K$25*K$26*K$27*K$22*K$23&gt;0,SQRT(COUNT(K$25:K$27,, K$22, K$23))," "),"")</f>
        <v/>
      </c>
      <c r="AP146" s="230" t="str">
        <f aca="false">IFERROR(IF(L$25*L$26*L$27*L$22*L$23&gt;0,STDEV(L$25:L$27,, L$22, L$23)," ")/IF(L$25*L$26*L$27*L$22*L$23&gt;0,SQRT(COUNT(L$25:L$27,, L$22, L$23))," "),"")</f>
        <v/>
      </c>
      <c r="AQ146" s="230" t="str">
        <f aca="false">IFERROR(IF(M$25*M$26*M$27*M$22*M$23&gt;0,STDEV(M$25:M$27,, M$22, M$23)," ")/IF(M$25*M$26*M$27*M$22*M$23&gt;0,SQRT(COUNT(M$25:M$27,, M$22, M$23))," "),"")</f>
        <v/>
      </c>
      <c r="AR146" s="230" t="str">
        <f aca="false">IFERROR(IF(N$25*N$26*N$27*N$22*N$23&gt;0,STDEV(N$25:N$27,, N$22, N$23)," ")/IF(N$25*N$26*N$27*N$22*N$23&gt;0,SQRT(COUNT(N$25:N$27,, N$22, N$23))," "),"")</f>
        <v/>
      </c>
    </row>
    <row r="147" customFormat="false" ht="15.75" hidden="false" customHeight="false" outlineLevel="0" collapsed="false">
      <c r="A147" s="220" t="s">
        <v>584</v>
      </c>
      <c r="B147" s="221"/>
      <c r="C147" s="261" t="str">
        <f aca="false">IFERROR(IF(C$25*C$26*C$27*C$22*C$24&gt;0,AVERAGE(C$25:C$27, C$22, C$24),""),"")</f>
        <v/>
      </c>
      <c r="D147" s="261" t="str">
        <f aca="false">IFERROR(IF(D$25*D$26*D$27*D$22*D$24&gt;0,AVERAGE(D$25:D$27, D$22, D$24),""),"")</f>
        <v/>
      </c>
      <c r="E147" s="261" t="str">
        <f aca="false">IFERROR(IF(E$25*E$26*E$27*E$22*E$24&gt;0,AVERAGE(E$25:E$27, E$22, E$24),""),"")</f>
        <v/>
      </c>
      <c r="F147" s="261" t="str">
        <f aca="false">IFERROR(IF(F$25*F$26*F$27*F$22*F$24&gt;0,AVERAGE(F$25:F$27, F$22, F$24),""),"")</f>
        <v/>
      </c>
      <c r="G147" s="261" t="str">
        <f aca="false">IFERROR(IF(G$25*G$26*G$27*G$22*G$24&gt;0,AVERAGE(G$25:G$27, G$22, G$24),""),"")</f>
        <v/>
      </c>
      <c r="H147" s="261" t="str">
        <f aca="false">IFERROR(IF(H$25*H$26*H$27*H$22*H$24&gt;0,AVERAGE(H$25:H$27, H$22, H$24),""),"")</f>
        <v/>
      </c>
      <c r="I147" s="261" t="str">
        <f aca="false">IFERROR(IF(I$25*I$26*I$27*I$22*I$24&gt;0,AVERAGE(I$25:I$27, I$22, I$24),""),"")</f>
        <v/>
      </c>
      <c r="J147" s="261" t="str">
        <f aca="false">IFERROR(IF(J$25*J$26*J$27*J$22*J$24&gt;0,AVERAGE(J$25:J$27, J$22, J$24),""),"")</f>
        <v/>
      </c>
      <c r="K147" s="261" t="str">
        <f aca="false">IFERROR(IF(K$25*K$26*K$27*K$22*K$24&gt;0,AVERAGE(K$25:K$27, K$22, K$24),""),"")</f>
        <v/>
      </c>
      <c r="L147" s="261" t="str">
        <f aca="false">IFERROR(IF(L$25*L$26*L$27*L$22*L$24&gt;0,AVERAGE(L$25:L$27, L$22, L$24),""),"")</f>
        <v/>
      </c>
      <c r="M147" s="261" t="str">
        <f aca="false">IFERROR(IF(M$25*M$26*M$27*M$22*M$24&gt;0,AVERAGE(M$25:M$27, M$22, M$24),""),"")</f>
        <v/>
      </c>
      <c r="N147" s="261" t="str">
        <f aca="false">IFERROR(IF(N$25*N$26*N$27*N$22*N$24&gt;0,AVERAGE(N$25:N$27, N$22, N$24),""),"")</f>
        <v/>
      </c>
      <c r="O147" s="224"/>
      <c r="P147" s="224"/>
      <c r="Q147" s="232"/>
      <c r="R147" s="226" t="s">
        <v>585</v>
      </c>
      <c r="S147" s="227" t="str">
        <f aca="false">IFERROR(IF(C$25*C$26*C$27*C$22*C$24&gt;0,STDEV(C$25:C$27, C$22, C$24),"")/IF(C$25*C$26*C$27*C$22*C$24&gt;0,AVERAGE(C$25:C$27, C$22, C$24),""),"")</f>
        <v/>
      </c>
      <c r="T147" s="227" t="str">
        <f aca="false">IFERROR(IF(D$25*D$26*D$27*D$22*D$24&gt;0,STDEV(D$25:D$27, D$22, D$24),"")/IF(D$25*D$26*D$27*D$22*D$24&gt;0,AVERAGE(D$25:D$27, D$22, D$24),""),"")</f>
        <v/>
      </c>
      <c r="U147" s="227" t="str">
        <f aca="false">IFERROR(IF(E$25*E$26*E$27*E$22*E$24&gt;0,STDEV(E$25:E$27, E$22, E$24),"")/IF(E$25*E$26*E$27*E$22*E$24&gt;0,AVERAGE(E$25:E$27, E$22, E$24),""),"")</f>
        <v/>
      </c>
      <c r="V147" s="227" t="str">
        <f aca="false">IFERROR(IF(F$25*F$26*F$27*F$22*F$24&gt;0,STDEV(F$25:F$27, F$22, F$24),"")/IF(F$25*F$26*F$27*F$22*F$24&gt;0,AVERAGE(F$25:F$27, F$22, F$24),""),"")</f>
        <v/>
      </c>
      <c r="W147" s="227" t="str">
        <f aca="false">IFERROR(IF(G$25*G$26*G$27*G$22*G$24&gt;0,STDEV(G$25:G$27, G$22, G$24),"")/IF(G$25*G$26*G$27*G$22*G$24&gt;0,AVERAGE(G$25:G$27, G$22, G$24),""),"")</f>
        <v/>
      </c>
      <c r="X147" s="227" t="str">
        <f aca="false">IFERROR(IF(H$25*H$26*H$27*H$22*H$24&gt;0,STDEV(H$25:H$27, H$22, H$24),"")/IF(H$25*H$26*H$27*H$22*H$24&gt;0,AVERAGE(H$25:H$27, H$22, H$24),""),"")</f>
        <v/>
      </c>
      <c r="Y147" s="227" t="str">
        <f aca="false">IFERROR(IF(I$25*I$26*I$27*I$22*I$24&gt;0,STDEV(I$25:I$27, I$22, I$24),"")/IF(I$25*I$26*I$27*I$22*I$24&gt;0,AVERAGE(I$25:I$27, I$22, I$24),""),"")</f>
        <v/>
      </c>
      <c r="Z147" s="227" t="str">
        <f aca="false">IFERROR(IF(J$25*J$26*J$27*J$22*J$24&gt;0,STDEV(J$25:J$27, J$22, J$24),"")/IF(J$25*J$26*J$27*J$22*J$24&gt;0,AVERAGE(J$25:J$27, J$22, J$24),""),"")</f>
        <v/>
      </c>
      <c r="AA147" s="227" t="str">
        <f aca="false">IFERROR(IF(K$25*K$26*K$27*K$22*K$24&gt;0,STDEV(K$25:K$27, K$22, K$24),"")/IF(K$25*K$26*K$27*K$22*K$24&gt;0,AVERAGE(K$25:K$27, K$22, K$24),""),"")</f>
        <v/>
      </c>
      <c r="AB147" s="227" t="str">
        <f aca="false">IFERROR(IF(L$25*L$26*L$27*L$22*L$24&gt;0,STDEV(L$25:L$27, L$22, L$24),"")/IF(L$25*L$26*L$27*L$22*L$24&gt;0,AVERAGE(L$25:L$27, L$22, L$24),""),"")</f>
        <v/>
      </c>
      <c r="AC147" s="227" t="str">
        <f aca="false">IFERROR(IF(M$25*M$26*M$27*M$22*M$24&gt;0,STDEV(M$25:M$27, M$22, M$24),"")/IF(M$25*M$26*M$27*M$22*M$24&gt;0,AVERAGE(M$25:M$27, M$22, M$24),""),"")</f>
        <v/>
      </c>
      <c r="AD147" s="227" t="str">
        <f aca="false">IFERROR(IF(N$25*N$26*N$27*N$22*N$24&gt;0,STDEV(N$25:N$27, N$22, N$24),"")/IF(N$25*N$26*N$27*N$22*N$24&gt;0,AVERAGE(N$25:N$27, N$22, N$24),""),"")</f>
        <v/>
      </c>
      <c r="AE147" s="233"/>
      <c r="AF147" s="229" t="s">
        <v>586</v>
      </c>
      <c r="AG147" s="230" t="str">
        <f aca="false">IFERROR(IF(C$25*C$26*C$27*C$22*C$24&gt;0,STDEV(C$25:C$27, C$22, C$24)," ")/IF(C$25*C$26*C$27*C$22*C$24&gt;0,SQRT(COUNT(C$25:C$27, C$22, C$24))," "),"")</f>
        <v/>
      </c>
      <c r="AH147" s="230" t="str">
        <f aca="false">IFERROR(IF(D$25*D$26*D$27*D$22*D$24&gt;0,STDEV(D$25:D$27, D$22, D$24)," ")/IF(D$25*D$26*D$27*D$22*D$24&gt;0,SQRT(COUNT(D$25:D$27, D$22, D$24))," "),"")</f>
        <v/>
      </c>
      <c r="AI147" s="230" t="str">
        <f aca="false">IFERROR(IF(E$25*E$26*E$27*E$22*E$24&gt;0,STDEV(E$25:E$27, E$22, E$24)," ")/IF(E$25*E$26*E$27*E$22*E$24&gt;0,SQRT(COUNT(E$25:E$27, E$22, E$24))," "),"")</f>
        <v/>
      </c>
      <c r="AJ147" s="230" t="str">
        <f aca="false">IFERROR(IF(F$25*F$26*F$27*F$22*F$24&gt;0,STDEV(F$25:F$27, F$22, F$24)," ")/IF(F$25*F$26*F$27*F$22*F$24&gt;0,SQRT(COUNT(F$25:F$27, F$22, F$24))," "),"")</f>
        <v/>
      </c>
      <c r="AK147" s="230" t="str">
        <f aca="false">IFERROR(IF(G$25*G$26*G$27*G$22*G$24&gt;0,STDEV(G$25:G$27, G$22, G$24)," ")/IF(G$25*G$26*G$27*G$22*G$24&gt;0,SQRT(COUNT(G$25:G$27, G$22, G$24))," "),"")</f>
        <v/>
      </c>
      <c r="AL147" s="230" t="str">
        <f aca="false">IFERROR(IF(H$25*H$26*H$27*H$22*H$24&gt;0,STDEV(H$25:H$27, H$22, H$24)," ")/IF(H$25*H$26*H$27*H$22*H$24&gt;0,SQRT(COUNT(H$25:H$27, H$22, H$24))," "),"")</f>
        <v/>
      </c>
      <c r="AM147" s="230" t="str">
        <f aca="false">IFERROR(IF(I$25*I$26*I$27*I$22*I$24&gt;0,STDEV(I$25:I$27, I$22, I$24)," ")/IF(I$25*I$26*I$27*I$22*I$24&gt;0,SQRT(COUNT(I$25:I$27, I$22, I$24))," "),"")</f>
        <v/>
      </c>
      <c r="AN147" s="230" t="str">
        <f aca="false">IFERROR(IF(J$25*J$26*J$27*J$22*J$24&gt;0,STDEV(J$25:J$27, J$22, J$24)," ")/IF(J$25*J$26*J$27*J$22*J$24&gt;0,SQRT(COUNT(J$25:J$27, J$22, J$24))," "),"")</f>
        <v/>
      </c>
      <c r="AO147" s="230" t="str">
        <f aca="false">IFERROR(IF(K$25*K$26*K$27*K$22*K$24&gt;0,STDEV(K$25:K$27, K$22, K$24)," ")/IF(K$25*K$26*K$27*K$22*K$24&gt;0,SQRT(COUNT(K$25:K$27, K$22, K$24))," "),"")</f>
        <v/>
      </c>
      <c r="AP147" s="230" t="str">
        <f aca="false">IFERROR(IF(L$25*L$26*L$27*L$22*L$24&gt;0,STDEV(L$25:L$27, L$22, L$24)," ")/IF(L$25*L$26*L$27*L$22*L$24&gt;0,SQRT(COUNT(L$25:L$27, L$22, L$24))," "),"")</f>
        <v/>
      </c>
      <c r="AQ147" s="230" t="str">
        <f aca="false">IFERROR(IF(M$25*M$26*M$27*M$22*M$24&gt;0,STDEV(M$25:M$27, M$22, M$24)," ")/IF(M$25*M$26*M$27*M$22*M$24&gt;0,SQRT(COUNT(M$25:M$27, M$22, M$24))," "),"")</f>
        <v/>
      </c>
      <c r="AR147" s="230" t="str">
        <f aca="false">IFERROR(IF(N$25*N$26*N$27*N$22*N$24&gt;0,STDEV(N$25:N$27, N$22, N$24)," ")/IF(N$25*N$26*N$27*N$22*N$24&gt;0,SQRT(COUNT(N$25:N$27, N$22, N$24))," "),"")</f>
        <v/>
      </c>
    </row>
    <row r="148" customFormat="false" ht="15.75" hidden="false" customHeight="false" outlineLevel="0" collapsed="false">
      <c r="A148" s="220" t="s">
        <v>587</v>
      </c>
      <c r="B148" s="221"/>
      <c r="C148" s="261" t="str">
        <f aca="false">IFERROR(IF(C$21*C$23*C$24*C$25*C26&gt;0,AVERAGE(C$21, C$23,C$24, C$25, C$26),""),"")</f>
        <v/>
      </c>
      <c r="D148" s="261" t="str">
        <f aca="false">IFERROR(IF(D$21*D$23*D$24*D$25*D26&gt;0,AVERAGE(D$21, D$23,D$24, D$25, D$26),""),"")</f>
        <v/>
      </c>
      <c r="E148" s="261" t="str">
        <f aca="false">IFERROR(IF(E$21*E$23*E$24*E$25*E26&gt;0,AVERAGE(E$21, E$23,E$24, E$25, E$26),""),"")</f>
        <v/>
      </c>
      <c r="F148" s="261" t="str">
        <f aca="false">IFERROR(IF(F$21*F$23*F$24*F$25*F26&gt;0,AVERAGE(F$21, F$23,F$24, F$25, F$26),""),"")</f>
        <v/>
      </c>
      <c r="G148" s="261" t="str">
        <f aca="false">IFERROR(IF(G$21*G$23*G$24*G$25*G26&gt;0,AVERAGE(G$21, G$23,G$24, G$25, G$26),""),"")</f>
        <v/>
      </c>
      <c r="H148" s="261" t="str">
        <f aca="false">IFERROR(IF(H$21*H$23*H$24*H$25*H26&gt;0,AVERAGE(H$21, H$23,H$24, H$25, H$26),""),"")</f>
        <v/>
      </c>
      <c r="I148" s="261" t="str">
        <f aca="false">IFERROR(IF(I$21*I$23*I$24*I$25*I26&gt;0,AVERAGE(I$21, I$23,I$24, I$25, I$26),""),"")</f>
        <v/>
      </c>
      <c r="J148" s="261" t="str">
        <f aca="false">IFERROR(IF(J$21*J$23*J$24*J$25*J26&gt;0,AVERAGE(J$21, J$23,J$24, J$25, J$26),""),"")</f>
        <v/>
      </c>
      <c r="K148" s="261" t="str">
        <f aca="false">IFERROR(IF(K$21*K$23*K$24*K$25*K26&gt;0,AVERAGE(K$21, K$23,K$24, K$25, K$26),""),"")</f>
        <v/>
      </c>
      <c r="L148" s="261" t="str">
        <f aca="false">IFERROR(IF(L$21*L$23*L$24*L$25*L26&gt;0,AVERAGE(L$21, L$23,L$24, L$25, L$26),""),"")</f>
        <v/>
      </c>
      <c r="M148" s="261" t="str">
        <f aca="false">IFERROR(IF(M$21*M$23*M$24*M$25*M26&gt;0,AVERAGE(M$21, M$23,M$24, M$25, M$26),""),"")</f>
        <v/>
      </c>
      <c r="N148" s="261" t="str">
        <f aca="false">IFERROR(IF(N$21*N$23*N$24*N$25*N26&gt;0,AVERAGE(N$21, N$23,N$24, N$25, N$26),""),"")</f>
        <v/>
      </c>
      <c r="O148" s="224"/>
      <c r="P148" s="224"/>
      <c r="Q148" s="232"/>
      <c r="R148" s="226" t="s">
        <v>588</v>
      </c>
      <c r="S148" s="227" t="str">
        <f aca="false">IFERROR(IF(C$21*C$23*C$24*C$25*C26&gt;0,STDEV(C$21, C$23,C$24, C$25, C$26),"")/IF(C$21*C$23*C$24*C$25*C26&gt;0,AVERAGE(C$21, C$23,C$24, C$25, C$26),""),"")</f>
        <v/>
      </c>
      <c r="T148" s="227" t="str">
        <f aca="false">IFERROR(IF(D$21*D$23*D$24*D$25*D26&gt;0,STDEV(D$21, D$23,D$24, D$25, D$26),"")/IF(D$21*D$23*D$24*D$25*D26&gt;0,AVERAGE(D$21, D$23,D$24, D$25, D$26),""),"")</f>
        <v/>
      </c>
      <c r="U148" s="227" t="str">
        <f aca="false">IFERROR(IF(E$21*E$23*E$24*E$25*E26&gt;0,STDEV(E$21, E$23,E$24, E$25, E$26),"")/IF(E$21*E$23*E$24*E$25*E26&gt;0,AVERAGE(E$21, E$23,E$24, E$25, E$26),""),"")</f>
        <v/>
      </c>
      <c r="V148" s="227" t="str">
        <f aca="false">IFERROR(IF(F$21*F$23*F$24*F$25*F26&gt;0,STDEV(F$21, F$23,F$24, F$25, F$26),"")/IF(F$21*F$23*F$24*F$25*F26&gt;0,AVERAGE(F$21, F$23,F$24, F$25, F$26),""),"")</f>
        <v/>
      </c>
      <c r="W148" s="227" t="str">
        <f aca="false">IFERROR(IF(G$21*G$23*G$24*G$25*G26&gt;0,STDEV(G$21, G$23,G$24, G$25, G$26),"")/IF(G$21*G$23*G$24*G$25*G26&gt;0,AVERAGE(G$21, G$23,G$24, G$25, G$26),""),"")</f>
        <v/>
      </c>
      <c r="X148" s="227" t="str">
        <f aca="false">IFERROR(IF(H$21*H$23*H$24*H$25*H26&gt;0,STDEV(H$21, H$23,H$24, H$25, H$26),"")/IF(H$21*H$23*H$24*H$25*H26&gt;0,AVERAGE(H$21, H$23,H$24, H$25, H$26),""),"")</f>
        <v/>
      </c>
      <c r="Y148" s="227" t="str">
        <f aca="false">IFERROR(IF(I$21*I$23*I$24*I$25*I26&gt;0,STDEV(I$21, I$23,I$24, I$25, I$26),"")/IF(I$21*I$23*I$24*I$25*I26&gt;0,AVERAGE(I$21, I$23,I$24, I$25, I$26),""),"")</f>
        <v/>
      </c>
      <c r="Z148" s="227" t="str">
        <f aca="false">IFERROR(IF(J$21*J$23*J$24*J$25*J26&gt;0,STDEV(J$21, J$23,J$24, J$25, J$26),"")/IF(J$21*J$23*J$24*J$25*J26&gt;0,AVERAGE(J$21, J$23,J$24, J$25, J$26),""),"")</f>
        <v/>
      </c>
      <c r="AA148" s="227" t="str">
        <f aca="false">IFERROR(IF(K$21*K$23*K$24*K$25*K26&gt;0,STDEV(K$21, K$23,K$24, K$25, K$26),"")/IF(K$21*K$23*K$24*K$25*K26&gt;0,AVERAGE(K$21, K$23,K$24, K$25, K$26),""),"")</f>
        <v/>
      </c>
      <c r="AB148" s="227" t="str">
        <f aca="false">IFERROR(IF(L$21*L$23*L$24*L$25*L26&gt;0,STDEV(L$21, L$23,L$24, L$25, L$26),"")/IF(L$21*L$23*L$24*L$25*L26&gt;0,AVERAGE(L$21, L$23,L$24, L$25, L$26),""),"")</f>
        <v/>
      </c>
      <c r="AC148" s="227" t="str">
        <f aca="false">IFERROR(IF(M$21*M$23*M$24*M$25*M26&gt;0,STDEV(M$21, M$23,M$24, M$25, M$26),"")/IF(M$21*M$23*M$24*M$25*M26&gt;0,AVERAGE(M$21, M$23,M$24, M$25, M$26),""),"")</f>
        <v/>
      </c>
      <c r="AD148" s="227" t="str">
        <f aca="false">IFERROR(IF(N$21*N$23*N$24*N$25*N26&gt;0,STDEV(N$21, N$23,N$24, N$25, N$26),"")/IF(N$21*N$23*N$24*N$25*N26&gt;0,AVERAGE(N$21, N$23,N$24, N$25, N$26),""),"")</f>
        <v/>
      </c>
      <c r="AE148" s="233"/>
      <c r="AF148" s="229" t="s">
        <v>589</v>
      </c>
      <c r="AG148" s="230" t="str">
        <f aca="false">IFERROR(IF(C$21*C$23*C$24*C$25*C26&gt;0,STDEV(C$21, C$23,C$24, C$25, C$26)," ")/IF(C$21*C$23*C$24*C$25*C26&gt;0,SQRT(COUNT(C$21, C$23,C$24, C$25, C$26))," "),"")</f>
        <v/>
      </c>
      <c r="AH148" s="230" t="str">
        <f aca="false">IFERROR(IF(D$21*D$23*D$24*D$25*D26&gt;0,STDEV(D$21, D$23,D$24, D$25, D$26)," ")/IF(D$21*D$23*D$24*D$25*D26&gt;0,SQRT(COUNT(D$21, D$23,D$24, D$25, D$26))," "),"")</f>
        <v/>
      </c>
      <c r="AI148" s="230" t="str">
        <f aca="false">IFERROR(IF(E$21*E$23*E$24*E$25*E26&gt;0,STDEV(E$21, E$23,E$24, E$25, E$26)," ")/IF(E$21*E$23*E$24*E$25*E26&gt;0,SQRT(COUNT(E$21, E$23,E$24, E$25, E$26))," "),"")</f>
        <v/>
      </c>
      <c r="AJ148" s="230" t="str">
        <f aca="false">IFERROR(IF(F$21*F$23*F$24*F$25*F26&gt;0,STDEV(F$21, F$23,F$24, F$25, F$26)," ")/IF(F$21*F$23*F$24*F$25*F26&gt;0,SQRT(COUNT(F$21, F$23,F$24, F$25, F$26))," "),"")</f>
        <v/>
      </c>
      <c r="AK148" s="230" t="str">
        <f aca="false">IFERROR(IF(G$21*G$23*G$24*G$25*G26&gt;0,STDEV(G$21, G$23,G$24, G$25, G$26)," ")/IF(G$21*G$23*G$24*G$25*G26&gt;0,SQRT(COUNT(G$21, G$23,G$24, G$25, G$26))," "),"")</f>
        <v/>
      </c>
      <c r="AL148" s="230" t="str">
        <f aca="false">IFERROR(IF(H$21*H$23*H$24*H$25*H26&gt;0,STDEV(H$21, H$23,H$24, H$25, H$26)," ")/IF(H$21*H$23*H$24*H$25*H26&gt;0,SQRT(COUNT(H$21, H$23,H$24, H$25, H$26))," "),"")</f>
        <v/>
      </c>
      <c r="AM148" s="230" t="str">
        <f aca="false">IFERROR(IF(I$21*I$23*I$24*I$25*I26&gt;0,STDEV(I$21, I$23,I$24, I$25, I$26)," ")/IF(I$21*I$23*I$24*I$25*I26&gt;0,SQRT(COUNT(I$21, I$23,I$24, I$25, I$26))," "),"")</f>
        <v/>
      </c>
      <c r="AN148" s="230" t="str">
        <f aca="false">IFERROR(IF(J$21*J$23*J$24*J$25*J26&gt;0,STDEV(J$21, J$23,J$24, J$25, J$26)," ")/IF(J$21*J$23*J$24*J$25*J26&gt;0,SQRT(COUNT(J$21, J$23,J$24, J$25, J$26))," "),"")</f>
        <v/>
      </c>
      <c r="AO148" s="230" t="str">
        <f aca="false">IFERROR(IF(K$21*K$23*K$24*K$25*K26&gt;0,STDEV(K$21, K$23,K$24, K$25, K$26)," ")/IF(K$21*K$23*K$24*K$25*K26&gt;0,SQRT(COUNT(K$21, K$23,K$24, K$25, K$26))," "),"")</f>
        <v/>
      </c>
      <c r="AP148" s="230" t="str">
        <f aca="false">IFERROR(IF(L$21*L$23*L$24*L$25*L26&gt;0,STDEV(L$21, L$23,L$24, L$25, L$26)," ")/IF(L$21*L$23*L$24*L$25*L26&gt;0,SQRT(COUNT(L$21, L$23,L$24, L$25, L$26))," "),"")</f>
        <v/>
      </c>
      <c r="AQ148" s="230" t="str">
        <f aca="false">IFERROR(IF(M$21*M$23*M$24*M$25*M26&gt;0,STDEV(M$21, M$23,M$24, M$25, M$26)," ")/IF(M$21*M$23*M$24*M$25*M26&gt;0,SQRT(COUNT(M$21, M$23,M$24, M$25, M$26))," "),"")</f>
        <v/>
      </c>
      <c r="AR148" s="230" t="str">
        <f aca="false">IFERROR(IF(N$21*N$23*N$24*N$25*N26&gt;0,STDEV(N$21, N$23,N$24, N$25, N$26)," ")/IF(N$21*N$23*N$24*N$25*N26&gt;0,SQRT(COUNT(N$21, N$23,N$24, N$25, N$26))," "),"")</f>
        <v/>
      </c>
    </row>
    <row r="149" customFormat="false" ht="15.75" hidden="false" customHeight="false" outlineLevel="0" collapsed="false">
      <c r="A149" s="220" t="s">
        <v>590</v>
      </c>
      <c r="B149" s="221"/>
      <c r="C149" s="261" t="str">
        <f aca="false">IFERROR(IF(C$21*C$22*C$24*C$25*C26&gt;0,AVERAGE(C$21, C$22, C$24, C$25, C$26),""),"")</f>
        <v/>
      </c>
      <c r="D149" s="261" t="str">
        <f aca="false">IFERROR(IF(D$21*D$22*D$24*D$25*D26&gt;0,AVERAGE(D$21, D$22, D$24, D$25, D$26),""),"")</f>
        <v/>
      </c>
      <c r="E149" s="261" t="str">
        <f aca="false">IFERROR(IF(E$21*E$22*E$24*E$25*E26&gt;0,AVERAGE(E$21, E$22, E$24, E$25, E$26),""),"")</f>
        <v/>
      </c>
      <c r="F149" s="261" t="str">
        <f aca="false">IFERROR(IF(F$21*F$22*F$24*F$25*F26&gt;0,AVERAGE(F$21, F$22, F$24, F$25, F$26),""),"")</f>
        <v/>
      </c>
      <c r="G149" s="261" t="str">
        <f aca="false">IFERROR(IF(G$21*G$22*G$24*G$25*G26&gt;0,AVERAGE(G$21, G$22, G$24, G$25, G$26),""),"")</f>
        <v/>
      </c>
      <c r="H149" s="261" t="str">
        <f aca="false">IFERROR(IF(H$21*H$22*H$24*H$25*H26&gt;0,AVERAGE(H$21, H$22, H$24, H$25, H$26),""),"")</f>
        <v/>
      </c>
      <c r="I149" s="261" t="str">
        <f aca="false">IFERROR(IF(I$21*I$22*I$24*I$25*I26&gt;0,AVERAGE(I$21, I$22, I$24, I$25, I$26),""),"")</f>
        <v/>
      </c>
      <c r="J149" s="261" t="str">
        <f aca="false">IFERROR(IF(J$21*J$22*J$24*J$25*J26&gt;0,AVERAGE(J$21, J$22, J$24, J$25, J$26),""),"")</f>
        <v/>
      </c>
      <c r="K149" s="261" t="str">
        <f aca="false">IFERROR(IF(K$21*K$22*K$24*K$25*K26&gt;0,AVERAGE(K$21, K$22, K$24, K$25, K$26),""),"")</f>
        <v/>
      </c>
      <c r="L149" s="261" t="str">
        <f aca="false">IFERROR(IF(L$21*L$22*L$24*L$25*L26&gt;0,AVERAGE(L$21, L$22, L$24, L$25, L$26),""),"")</f>
        <v/>
      </c>
      <c r="M149" s="261" t="str">
        <f aca="false">IFERROR(IF(M$21*M$22*M$24*M$25*M26&gt;0,AVERAGE(M$21, M$22, M$24, M$25, M$26),""),"")</f>
        <v/>
      </c>
      <c r="N149" s="261" t="str">
        <f aca="false">IFERROR(IF(N$21*N$22*N$24*N$25*N26&gt;0,AVERAGE(N$21, N$22, N$24, N$25, N$26),""),"")</f>
        <v/>
      </c>
      <c r="O149" s="224"/>
      <c r="P149" s="224"/>
      <c r="Q149" s="232"/>
      <c r="R149" s="226" t="s">
        <v>591</v>
      </c>
      <c r="S149" s="227" t="str">
        <f aca="false">IFERROR(IF(C$21*C$22*C$24*C$25*C26&gt;0,STDEV(C$21, C$22, C$24, C$25, C$26),"")/IF(C$21*C$22*C$24*C$25*C26&gt;0,AVERAGE(C$21, C$22, C$24, C$25, C$26),""),"")</f>
        <v/>
      </c>
      <c r="T149" s="227" t="str">
        <f aca="false">IFERROR(IF(D$21*D$22*D$24*D$25*D26&gt;0,STDEV(D$21, D$22, D$24, D$25, D$26),"")/IF(D$21*D$22*D$24*D$25*D26&gt;0,AVERAGE(D$21, D$22, D$24, D$25, D$26),""),"")</f>
        <v/>
      </c>
      <c r="U149" s="227" t="str">
        <f aca="false">IFERROR(IF(E$21*E$22*E$24*E$25*E26&gt;0,STDEV(E$21, E$22, E$24, E$25, E$26),"")/IF(E$21*E$22*E$24*E$25*E26&gt;0,AVERAGE(E$21, E$22, E$24, E$25, E$26),""),"")</f>
        <v/>
      </c>
      <c r="V149" s="227" t="str">
        <f aca="false">IFERROR(IF(F$21*F$22*F$24*F$25*F26&gt;0,STDEV(F$21, F$22, F$24, F$25, F$26),"")/IF(F$21*F$22*F$24*F$25*F26&gt;0,AVERAGE(F$21, F$22, F$24, F$25, F$26),""),"")</f>
        <v/>
      </c>
      <c r="W149" s="227" t="str">
        <f aca="false">IFERROR(IF(G$21*G$22*G$24*G$25*G26&gt;0,STDEV(G$21, G$22, G$24, G$25, G$26),"")/IF(G$21*G$22*G$24*G$25*G26&gt;0,AVERAGE(G$21, G$22, G$24, G$25, G$26),""),"")</f>
        <v/>
      </c>
      <c r="X149" s="227" t="str">
        <f aca="false">IFERROR(IF(H$21*H$22*H$24*H$25*H26&gt;0,STDEV(H$21, H$22, H$24, H$25, H$26),"")/IF(H$21*H$22*H$24*H$25*H26&gt;0,AVERAGE(H$21, H$22, H$24, H$25, H$26),""),"")</f>
        <v/>
      </c>
      <c r="Y149" s="227" t="str">
        <f aca="false">IFERROR(IF(I$21*I$22*I$24*I$25*I26&gt;0,STDEV(I$21, I$22, I$24, I$25, I$26),"")/IF(I$21*I$22*I$24*I$25*I26&gt;0,AVERAGE(I$21, I$22, I$24, I$25, I$26),""),"")</f>
        <v/>
      </c>
      <c r="Z149" s="227" t="str">
        <f aca="false">IFERROR(IF(J$21*J$22*J$24*J$25*J26&gt;0,STDEV(J$21, J$22, J$24, J$25, J$26),"")/IF(J$21*J$22*J$24*J$25*J26&gt;0,AVERAGE(J$21, J$22, J$24, J$25, J$26),""),"")</f>
        <v/>
      </c>
      <c r="AA149" s="227" t="str">
        <f aca="false">IFERROR(IF(K$21*K$22*K$24*K$25*K26&gt;0,STDEV(K$21, K$22, K$24, K$25, K$26),"")/IF(K$21*K$22*K$24*K$25*K26&gt;0,AVERAGE(K$21, K$22, K$24, K$25, K$26),""),"")</f>
        <v/>
      </c>
      <c r="AB149" s="227" t="str">
        <f aca="false">IFERROR(IF(L$21*L$22*L$24*L$25*L26&gt;0,STDEV(L$21, L$22, L$24, L$25, L$26),"")/IF(L$21*L$22*L$24*L$25*L26&gt;0,AVERAGE(L$21, L$22, L$24, L$25, L$26),""),"")</f>
        <v/>
      </c>
      <c r="AC149" s="227" t="str">
        <f aca="false">IFERROR(IF(M$21*M$22*M$24*M$25*M26&gt;0,STDEV(M$21, M$22, M$24, M$25, M$26),"")/IF(M$21*M$22*M$24*M$25*M26&gt;0,AVERAGE(M$21, M$22, M$24, M$25, M$26),""),"")</f>
        <v/>
      </c>
      <c r="AD149" s="227" t="str">
        <f aca="false">IFERROR(IF(N$21*N$22*N$24*N$25*N26&gt;0,STDEV(N$21, N$22, N$24, N$25, N$26),"")/IF(N$21*N$22*N$24*N$25*N26&gt;0,AVERAGE(N$21, N$22, N$24, N$25, N$26),""),"")</f>
        <v/>
      </c>
      <c r="AE149" s="233"/>
      <c r="AF149" s="229" t="s">
        <v>592</v>
      </c>
      <c r="AG149" s="230" t="str">
        <f aca="false">IFERROR(IF(C$21*C$22*C$24*C$25*C26&gt;0,STDEV(C$21, C$22, C$24, C$25, C$26)," ")/IF(C$21*C$22*C$24*C$25*C26&gt;0,SQRT(COUNT(C$21, C$22, C$24, C$25, C$26))," "),"")</f>
        <v/>
      </c>
      <c r="AH149" s="230" t="str">
        <f aca="false">IFERROR(IF(D$21*D$22*D$24*D$25*D26&gt;0,STDEV(D$21, D$22, D$24, D$25, D$26)," ")/IF(D$21*D$22*D$24*D$25*D26&gt;0,SQRT(COUNT(D$21, D$22, D$24, D$25, D$26))," "),"")</f>
        <v/>
      </c>
      <c r="AI149" s="230" t="str">
        <f aca="false">IFERROR(IF(E$21*E$22*E$24*E$25*E26&gt;0,STDEV(E$21, E$22, E$24, E$25, E$26)," ")/IF(E$21*E$22*E$24*E$25*E26&gt;0,SQRT(COUNT(E$21, E$22, E$24, E$25, E$26))," "),"")</f>
        <v/>
      </c>
      <c r="AJ149" s="230" t="str">
        <f aca="false">IFERROR(IF(F$21*F$22*F$24*F$25*F26&gt;0,STDEV(F$21, F$22, F$24, F$25, F$26)," ")/IF(F$21*F$22*F$24*F$25*F26&gt;0,SQRT(COUNT(F$21, F$22, F$24, F$25, F$26))," "),"")</f>
        <v/>
      </c>
      <c r="AK149" s="230" t="str">
        <f aca="false">IFERROR(IF(G$21*G$22*G$24*G$25*G26&gt;0,STDEV(G$21, G$22, G$24, G$25, G$26)," ")/IF(G$21*G$22*G$24*G$25*G26&gt;0,SQRT(COUNT(G$21, G$22, G$24, G$25, G$26))," "),"")</f>
        <v/>
      </c>
      <c r="AL149" s="230" t="str">
        <f aca="false">IFERROR(IF(H$21*H$22*H$24*H$25*H26&gt;0,STDEV(H$21, H$22, H$24, H$25, H$26)," ")/IF(H$21*H$22*H$24*H$25*H26&gt;0,SQRT(COUNT(H$21, H$22, H$24, H$25, H$26))," "),"")</f>
        <v/>
      </c>
      <c r="AM149" s="230" t="str">
        <f aca="false">IFERROR(IF(I$21*I$22*I$24*I$25*I26&gt;0,STDEV(I$21, I$22, I$24, I$25, I$26)," ")/IF(I$21*I$22*I$24*I$25*I26&gt;0,SQRT(COUNT(I$21, I$22, I$24, I$25, I$26))," "),"")</f>
        <v/>
      </c>
      <c r="AN149" s="230" t="str">
        <f aca="false">IFERROR(IF(J$21*J$22*J$24*J$25*J26&gt;0,STDEV(J$21, J$22, J$24, J$25, J$26)," ")/IF(J$21*J$22*J$24*J$25*J26&gt;0,SQRT(COUNT(J$21, J$22, J$24, J$25, J$26))," "),"")</f>
        <v/>
      </c>
      <c r="AO149" s="230" t="str">
        <f aca="false">IFERROR(IF(K$21*K$22*K$24*K$25*K26&gt;0,STDEV(K$21, K$22, K$24, K$25, K$26)," ")/IF(K$21*K$22*K$24*K$25*K26&gt;0,SQRT(COUNT(K$21, K$22, K$24, K$25, K$26))," "),"")</f>
        <v/>
      </c>
      <c r="AP149" s="230" t="str">
        <f aca="false">IFERROR(IF(L$21*L$22*L$24*L$25*L26&gt;0,STDEV(L$21, L$22, L$24, L$25, L$26)," ")/IF(L$21*L$22*L$24*L$25*L26&gt;0,SQRT(COUNT(L$21, L$22, L$24, L$25, L$26))," "),"")</f>
        <v/>
      </c>
      <c r="AQ149" s="230" t="str">
        <f aca="false">IFERROR(IF(M$21*M$22*M$24*M$25*M26&gt;0,STDEV(M$21, M$22, M$24, M$25, M$26)," ")/IF(M$21*M$22*M$24*M$25*M26&gt;0,SQRT(COUNT(M$21, M$22, M$24, M$25, M$26))," "),"")</f>
        <v/>
      </c>
      <c r="AR149" s="230" t="str">
        <f aca="false">IFERROR(IF(N$21*N$22*N$24*N$25*N26&gt;0,STDEV(N$21, N$22, N$24, N$25, N$26)," ")/IF(N$21*N$22*N$24*N$25*N26&gt;0,SQRT(COUNT(N$21, N$22, N$24, N$25, N$26))," "),"")</f>
        <v/>
      </c>
    </row>
    <row r="150" customFormat="false" ht="15.75" hidden="false" customHeight="false" outlineLevel="0" collapsed="false">
      <c r="A150" s="220" t="s">
        <v>593</v>
      </c>
      <c r="B150" s="221"/>
      <c r="C150" s="261" t="str">
        <f aca="false">IFERROR(IF(C$21*C$22*C$23*C$25*C$26&gt;0,AVERAGE(C$21, C$22, C$23, C$25, C$26),""),"")</f>
        <v/>
      </c>
      <c r="D150" s="261" t="str">
        <f aca="false">IFERROR(IF(D$21*D$22*D$23*D$25*D$26&gt;0,AVERAGE(D$21, D$22, D$23, D$25, D$26),""),"")</f>
        <v/>
      </c>
      <c r="E150" s="261" t="str">
        <f aca="false">IFERROR(IF(E$21*E$22*E$23*E$25*E$26&gt;0,AVERAGE(E$21, E$22, E$23, E$25, E$26),""),"")</f>
        <v/>
      </c>
      <c r="F150" s="261" t="str">
        <f aca="false">IFERROR(IF(F$21*F$22*F$23*F$25*F$26&gt;0,AVERAGE(F$21, F$22, F$23, F$25, F$26),""),"")</f>
        <v/>
      </c>
      <c r="G150" s="261" t="str">
        <f aca="false">IFERROR(IF(G$21*G$22*G$23*G$25*G$26&gt;0,AVERAGE(G$21, G$22, G$23, G$25, G$26),""),"")</f>
        <v/>
      </c>
      <c r="H150" s="261" t="str">
        <f aca="false">IFERROR(IF(H$21*H$22*H$23*H$25*H$26&gt;0,AVERAGE(H$21, H$22, H$23, H$25, H$26),""),"")</f>
        <v/>
      </c>
      <c r="I150" s="261" t="str">
        <f aca="false">IFERROR(IF(I$21*I$22*I$23*I$25*I$26&gt;0,AVERAGE(I$21, I$22, I$23, I$25, I$26),""),"")</f>
        <v/>
      </c>
      <c r="J150" s="261" t="str">
        <f aca="false">IFERROR(IF(J$21*J$22*J$23*J$25*J$26&gt;0,AVERAGE(J$21, J$22, J$23, J$25, J$26),""),"")</f>
        <v/>
      </c>
      <c r="K150" s="261" t="str">
        <f aca="false">IFERROR(IF(K$21*K$22*K$23*K$25*K$26&gt;0,AVERAGE(K$21, K$22, K$23, K$25, K$26),""),"")</f>
        <v/>
      </c>
      <c r="L150" s="261" t="str">
        <f aca="false">IFERROR(IF(L$21*L$22*L$23*L$25*L$26&gt;0,AVERAGE(L$21, L$22, L$23, L$25, L$26),""),"")</f>
        <v/>
      </c>
      <c r="M150" s="261" t="str">
        <f aca="false">IFERROR(IF(M$21*M$22*M$23*M$25*M$26&gt;0,AVERAGE(M$21, M$22, M$23, M$25, M$26),""),"")</f>
        <v/>
      </c>
      <c r="N150" s="261" t="str">
        <f aca="false">IFERROR(IF(N$21*N$22*N$23*N$25*N$26&gt;0,AVERAGE(N$21, N$22, N$23, N$25, N$26),""),"")</f>
        <v/>
      </c>
      <c r="O150" s="224"/>
      <c r="P150" s="224"/>
      <c r="Q150" s="232"/>
      <c r="R150" s="226" t="s">
        <v>594</v>
      </c>
      <c r="S150" s="227" t="str">
        <f aca="false">IFERROR(IF(C$21*C$22*C$23*C$25*C$26&gt;0,STDEV(C$21, C$22, C$23, C$25, C$26),"")/IF(C$21*C$22*C$23*C$25*C$26&gt;0,AVERAGE(C$21, C$22, C$23, C$25, C$26),""),"")</f>
        <v/>
      </c>
      <c r="T150" s="227" t="str">
        <f aca="false">IFERROR(IF(D$21*D$22*D$23*D$25*D$26&gt;0,STDEV(D$21, D$22, D$23, D$25, D$26),"")/IF(D$21*D$22*D$23*D$25*D$26&gt;0,AVERAGE(D$21, D$22, D$23, D$25, D$26),""),"")</f>
        <v/>
      </c>
      <c r="U150" s="227" t="str">
        <f aca="false">IFERROR(IF(E$21*E$22*E$23*E$25*E$26&gt;0,STDEV(E$21, E$22, E$23, E$25, E$26),"")/IF(E$21*E$22*E$23*E$25*E$26&gt;0,AVERAGE(E$21, E$22, E$23, E$25, E$26),""),"")</f>
        <v/>
      </c>
      <c r="V150" s="227" t="str">
        <f aca="false">IFERROR(IF(F$21*F$22*F$23*F$25*F$26&gt;0,STDEV(F$21, F$22, F$23, F$25, F$26),"")/IF(F$21*F$22*F$23*F$25*F$26&gt;0,AVERAGE(F$21, F$22, F$23, F$25, F$26),""),"")</f>
        <v/>
      </c>
      <c r="W150" s="227" t="str">
        <f aca="false">IFERROR(IF(G$21*G$22*G$23*G$25*G$26&gt;0,STDEV(G$21, G$22, G$23, G$25, G$26),"")/IF(G$21*G$22*G$23*G$25*G$26&gt;0,AVERAGE(G$21, G$22, G$23, G$25, G$26),""),"")</f>
        <v/>
      </c>
      <c r="X150" s="227" t="str">
        <f aca="false">IFERROR(IF(H$21*H$22*H$23*H$25*H$26&gt;0,STDEV(H$21, H$22, H$23, H$25, H$26),"")/IF(H$21*H$22*H$23*H$25*H$26&gt;0,AVERAGE(H$21, H$22, H$23, H$25, H$26),""),"")</f>
        <v/>
      </c>
      <c r="Y150" s="227" t="str">
        <f aca="false">IFERROR(IF(I$21*I$22*I$23*I$25*I$26&gt;0,STDEV(I$21, I$22, I$23, I$25, I$26),"")/IF(I$21*I$22*I$23*I$25*I$26&gt;0,AVERAGE(I$21, I$22, I$23, I$25, I$26),""),"")</f>
        <v/>
      </c>
      <c r="Z150" s="227" t="str">
        <f aca="false">IFERROR(IF(J$21*J$22*J$23*J$25*J$26&gt;0,STDEV(J$21, J$22, J$23, J$25, J$26),"")/IF(J$21*J$22*J$23*J$25*J$26&gt;0,AVERAGE(J$21, J$22, J$23, J$25, J$26),""),"")</f>
        <v/>
      </c>
      <c r="AA150" s="227" t="str">
        <f aca="false">IFERROR(IF(K$21*K$22*K$23*K$25*K$26&gt;0,STDEV(K$21, K$22, K$23, K$25, K$26),"")/IF(K$21*K$22*K$23*K$25*K$26&gt;0,AVERAGE(K$21, K$22, K$23, K$25, K$26),""),"")</f>
        <v/>
      </c>
      <c r="AB150" s="227" t="str">
        <f aca="false">IFERROR(IF(L$21*L$22*L$23*L$25*L$26&gt;0,STDEV(L$21, L$22, L$23, L$25, L$26),"")/IF(L$21*L$22*L$23*L$25*L$26&gt;0,AVERAGE(L$21, L$22, L$23, L$25, L$26),""),"")</f>
        <v/>
      </c>
      <c r="AC150" s="227" t="str">
        <f aca="false">IFERROR(IF(M$21*M$22*M$23*M$25*M$26&gt;0,STDEV(M$21, M$22, M$23, M$25, M$26),"")/IF(M$21*M$22*M$23*M$25*M$26&gt;0,AVERAGE(M$21, M$22, M$23, M$25, M$26),""),"")</f>
        <v/>
      </c>
      <c r="AD150" s="227" t="str">
        <f aca="false">IFERROR(IF(N$21*N$22*N$23*N$25*N$26&gt;0,STDEV(N$21, N$22, N$23, N$25, N$26),"")/IF(N$21*N$22*N$23*N$25*N$26&gt;0,AVERAGE(N$21, N$22, N$23, N$25, N$26),""),"")</f>
        <v/>
      </c>
      <c r="AE150" s="233"/>
      <c r="AF150" s="229" t="s">
        <v>595</v>
      </c>
      <c r="AG150" s="230" t="str">
        <f aca="false">IFERROR(IF(C$21*C$22*C$23*C$25*C$26&gt;0,STDEV(C$21, C$22, C$23, C$25, C$26)," ")/IF(C$21*C$22*C$23*C$25*C$26&gt;0,SQRT(COUNT(C$21, C$22, C$23, C$25, C$26))," "),"")</f>
        <v/>
      </c>
      <c r="AH150" s="230" t="str">
        <f aca="false">IFERROR(IF(D$21*D$22*D$23*D$25*D$26&gt;0,STDEV(D$21, D$22, D$23, D$25, D$26)," ")/IF(D$21*D$22*D$23*D$25*D$26&gt;0,SQRT(COUNT(D$21, D$22, D$23, D$25, D$26))," "),"")</f>
        <v/>
      </c>
      <c r="AI150" s="230" t="str">
        <f aca="false">IFERROR(IF(E$21*E$22*E$23*E$25*E$26&gt;0,STDEV(E$21, E$22, E$23, E$25, E$26)," ")/IF(E$21*E$22*E$23*E$25*E$26&gt;0,SQRT(COUNT(E$21, E$22, E$23, E$25, E$26))," "),"")</f>
        <v/>
      </c>
      <c r="AJ150" s="230" t="str">
        <f aca="false">IFERROR(IF(F$21*F$22*F$23*F$25*F$26&gt;0,STDEV(F$21, F$22, F$23, F$25, F$26)," ")/IF(F$21*F$22*F$23*F$25*F$26&gt;0,SQRT(COUNT(F$21, F$22, F$23, F$25, F$26))," "),"")</f>
        <v/>
      </c>
      <c r="AK150" s="230" t="str">
        <f aca="false">IFERROR(IF(G$21*G$22*G$23*G$25*G$26&gt;0,STDEV(G$21, G$22, G$23, G$25, G$26)," ")/IF(G$21*G$22*G$23*G$25*G$26&gt;0,SQRT(COUNT(G$21, G$22, G$23, G$25, G$26))," "),"")</f>
        <v/>
      </c>
      <c r="AL150" s="230" t="str">
        <f aca="false">IFERROR(IF(H$21*H$22*H$23*H$25*H$26&gt;0,STDEV(H$21, H$22, H$23, H$25, H$26)," ")/IF(H$21*H$22*H$23*H$25*H$26&gt;0,SQRT(COUNT(H$21, H$22, H$23, H$25, H$26))," "),"")</f>
        <v/>
      </c>
      <c r="AM150" s="230" t="str">
        <f aca="false">IFERROR(IF(I$21*I$22*I$23*I$25*I$26&gt;0,STDEV(I$21, I$22, I$23, I$25, I$26)," ")/IF(I$21*I$22*I$23*I$25*I$26&gt;0,SQRT(COUNT(I$21, I$22, I$23, I$25, I$26))," "),"")</f>
        <v/>
      </c>
      <c r="AN150" s="230" t="str">
        <f aca="false">IFERROR(IF(J$21*J$22*J$23*J$25*J$26&gt;0,STDEV(J$21, J$22, J$23, J$25, J$26)," ")/IF(J$21*J$22*J$23*J$25*J$26&gt;0,SQRT(COUNT(J$21, J$22, J$23, J$25, J$26))," "),"")</f>
        <v/>
      </c>
      <c r="AO150" s="230" t="str">
        <f aca="false">IFERROR(IF(K$21*K$22*K$23*K$25*K$26&gt;0,STDEV(K$21, K$22, K$23, K$25, K$26)," ")/IF(K$21*K$22*K$23*K$25*K$26&gt;0,SQRT(COUNT(K$21, K$22, K$23, K$25, K$26))," "),"")</f>
        <v/>
      </c>
      <c r="AP150" s="230" t="str">
        <f aca="false">IFERROR(IF(L$21*L$22*L$23*L$25*L$26&gt;0,STDEV(L$21, L$22, L$23, L$25, L$26)," ")/IF(L$21*L$22*L$23*L$25*L$26&gt;0,SQRT(COUNT(L$21, L$22, L$23, L$25, L$26))," "),"")</f>
        <v/>
      </c>
      <c r="AQ150" s="230" t="str">
        <f aca="false">IFERROR(IF(M$21*M$22*M$23*M$25*M$26&gt;0,STDEV(M$21, M$22, M$23, M$25, M$26)," ")/IF(M$21*M$22*M$23*M$25*M$26&gt;0,SQRT(COUNT(M$21, M$22, M$23, M$25, M$26))," "),"")</f>
        <v/>
      </c>
      <c r="AR150" s="230" t="str">
        <f aca="false">IFERROR(IF(N$21*N$22*N$23*N$25*N$26&gt;0,STDEV(N$21, N$22, N$23, N$25, N$26)," ")/IF(N$21*N$22*N$23*N$25*N$26&gt;0,SQRT(COUNT(N$21, N$22, N$23, N$25, N$26))," "),"")</f>
        <v/>
      </c>
    </row>
    <row r="151" customFormat="false" ht="15.75" hidden="false" customHeight="false" outlineLevel="0" collapsed="false">
      <c r="A151" s="220" t="s">
        <v>596</v>
      </c>
      <c r="B151" s="221"/>
      <c r="C151" s="261" t="str">
        <f aca="false">IFERROR(IF(C$21*C$22*C$23*C$26*C$27&gt;0,AVERAGE(C$21, C$22, C$23, C$26, C$27),""),"")</f>
        <v/>
      </c>
      <c r="D151" s="261" t="str">
        <f aca="false">IFERROR(IF(D$21*D$22*D$23*D$26*D$27&gt;0,AVERAGE(D$21, D$22, D$23, D$26, D$27),""),"")</f>
        <v/>
      </c>
      <c r="E151" s="261" t="str">
        <f aca="false">IFERROR(IF(E$21*E$22*E$23*E$26*E$27&gt;0,AVERAGE(E$21, E$22, E$23, E$26, E$27),""),"")</f>
        <v/>
      </c>
      <c r="F151" s="261" t="str">
        <f aca="false">IFERROR(IF(F$21*F$22*F$23*F$26*F$27&gt;0,AVERAGE(F$21, F$22, F$23, F$26, F$27),""),"")</f>
        <v/>
      </c>
      <c r="G151" s="261" t="str">
        <f aca="false">IFERROR(IF(G$21*G$22*G$23*G$26*G$27&gt;0,AVERAGE(G$21, G$22, G$23, G$26, G$27),""),"")</f>
        <v/>
      </c>
      <c r="H151" s="261" t="str">
        <f aca="false">IFERROR(IF(H$21*H$22*H$23*H$26*H$27&gt;0,AVERAGE(H$21, H$22, H$23, H$26, H$27),""),"")</f>
        <v/>
      </c>
      <c r="I151" s="261" t="str">
        <f aca="false">IFERROR(IF(I$21*I$22*I$23*I$26*I$27&gt;0,AVERAGE(I$21, I$22, I$23, I$26, I$27),""),"")</f>
        <v/>
      </c>
      <c r="J151" s="261" t="str">
        <f aca="false">IFERROR(IF(J$21*J$22*J$23*J$26*J$27&gt;0,AVERAGE(J$21, J$22, J$23, J$26, J$27),""),"")</f>
        <v/>
      </c>
      <c r="K151" s="261" t="str">
        <f aca="false">IFERROR(IF(K$21*K$22*K$23*K$26*K$27&gt;0,AVERAGE(K$21, K$22, K$23, K$26, K$27),""),"")</f>
        <v/>
      </c>
      <c r="L151" s="261" t="str">
        <f aca="false">IFERROR(IF(L$21*L$22*L$23*L$26*L$27&gt;0,AVERAGE(L$21, L$22, L$23, L$26, L$27),""),"")</f>
        <v/>
      </c>
      <c r="M151" s="261" t="str">
        <f aca="false">IFERROR(IF(M$21*M$22*M$23*M$26*M$27&gt;0,AVERAGE(M$21, M$22, M$23, M$26, M$27),""),"")</f>
        <v/>
      </c>
      <c r="N151" s="261" t="str">
        <f aca="false">IFERROR(IF(N$21*N$22*N$23*N$26*N$27&gt;0,AVERAGE(N$21, N$22, N$23, N$26, N$27),""),"")</f>
        <v/>
      </c>
      <c r="O151" s="224"/>
      <c r="P151" s="224"/>
      <c r="Q151" s="232"/>
      <c r="R151" s="226" t="s">
        <v>597</v>
      </c>
      <c r="S151" s="227" t="str">
        <f aca="false">IFERROR(IF(C$21*C$22*C$23*C$26*C$27&gt;0,STDEV(C$21, C$22, C$23, C$26, C$27),"")/IF(C$21*C$22*C$23*C$26*C$27&gt;0,AVERAGE(C$21, C$22, C$23, C$26, C$27),""),"")</f>
        <v/>
      </c>
      <c r="T151" s="227" t="str">
        <f aca="false">IFERROR(IF(D$21*D$22*D$23*D$26*D$27&gt;0,STDEV(D$21, D$22, D$23, D$26, D$27),"")/IF(D$21*D$22*D$23*D$26*D$27&gt;0,AVERAGE(D$21, D$22, D$23, D$26, D$27),""),"")</f>
        <v/>
      </c>
      <c r="U151" s="227" t="str">
        <f aca="false">IFERROR(IF(E$21*E$22*E$23*E$26*E$27&gt;0,STDEV(E$21, E$22, E$23, E$26, E$27),"")/IF(E$21*E$22*E$23*E$26*E$27&gt;0,AVERAGE(E$21, E$22, E$23, E$26, E$27),""),"")</f>
        <v/>
      </c>
      <c r="V151" s="227" t="str">
        <f aca="false">IFERROR(IF(F$21*F$22*F$23*F$26*F$27&gt;0,STDEV(F$21, F$22, F$23, F$26, F$27),"")/IF(F$21*F$22*F$23*F$26*F$27&gt;0,AVERAGE(F$21, F$22, F$23, F$26, F$27),""),"")</f>
        <v/>
      </c>
      <c r="W151" s="227" t="str">
        <f aca="false">IFERROR(IF(G$21*G$22*G$23*G$26*G$27&gt;0,STDEV(G$21, G$22, G$23, G$26, G$27),"")/IF(G$21*G$22*G$23*G$26*G$27&gt;0,AVERAGE(G$21, G$22, G$23, G$26, G$27),""),"")</f>
        <v/>
      </c>
      <c r="X151" s="227" t="str">
        <f aca="false">IFERROR(IF(H$21*H$22*H$23*H$26*H$27&gt;0,STDEV(H$21, H$22, H$23, H$26, H$27),"")/IF(H$21*H$22*H$23*H$26*H$27&gt;0,AVERAGE(H$21, H$22, H$23, H$26, H$27),""),"")</f>
        <v/>
      </c>
      <c r="Y151" s="227" t="str">
        <f aca="false">IFERROR(IF(I$21*I$22*I$23*I$26*I$27&gt;0,STDEV(I$21, I$22, I$23, I$26, I$27),"")/IF(I$21*I$22*I$23*I$26*I$27&gt;0,AVERAGE(I$21, I$22, I$23, I$26, I$27),""),"")</f>
        <v/>
      </c>
      <c r="Z151" s="227" t="str">
        <f aca="false">IFERROR(IF(J$21*J$22*J$23*J$26*J$27&gt;0,STDEV(J$21, J$22, J$23, J$26, J$27),"")/IF(J$21*J$22*J$23*J$26*J$27&gt;0,AVERAGE(J$21, J$22, J$23, J$26, J$27),""),"")</f>
        <v/>
      </c>
      <c r="AA151" s="227" t="str">
        <f aca="false">IFERROR(IF(K$21*K$22*K$23*K$26*K$27&gt;0,STDEV(K$21, K$22, K$23, K$26, K$27),"")/IF(K$21*K$22*K$23*K$26*K$27&gt;0,AVERAGE(K$21, K$22, K$23, K$26, K$27),""),"")</f>
        <v/>
      </c>
      <c r="AB151" s="227" t="str">
        <f aca="false">IFERROR(IF(L$21*L$22*L$23*L$26*L$27&gt;0,STDEV(L$21, L$22, L$23, L$26, L$27),"")/IF(L$21*L$22*L$23*L$26*L$27&gt;0,AVERAGE(L$21, L$22, L$23, L$26, L$27),""),"")</f>
        <v/>
      </c>
      <c r="AC151" s="227" t="str">
        <f aca="false">IFERROR(IF(M$21*M$22*M$23*M$26*M$27&gt;0,STDEV(M$21, M$22, M$23, M$26, M$27),"")/IF(M$21*M$22*M$23*M$26*M$27&gt;0,AVERAGE(M$21, M$22, M$23, M$26, M$27),""),"")</f>
        <v/>
      </c>
      <c r="AD151" s="227" t="str">
        <f aca="false">IFERROR(IF(N$21*N$22*N$23*N$26*N$27&gt;0,STDEV(N$21, N$22, N$23, N$26, N$27),"")/IF(N$21*N$22*N$23*N$26*N$27&gt;0,AVERAGE(N$21, N$22, N$23, N$26, N$27),""),"")</f>
        <v/>
      </c>
      <c r="AE151" s="233"/>
      <c r="AF151" s="229" t="s">
        <v>598</v>
      </c>
      <c r="AG151" s="230" t="str">
        <f aca="false">IFERROR(IF(C$21*C$22*C$23*C$26*C$27&gt;0,STDEV(C$21, C$22, C$23, C$26, C$27)," ")/IF(C$21*C$22*C$23*C$26*C$27&gt;0,SQRT(COUNT(C$21, C$22, C$23, C$26, C$27))," "),"")</f>
        <v/>
      </c>
      <c r="AH151" s="230" t="str">
        <f aca="false">IFERROR(IF(D$21*D$22*D$23*D$26*D$27&gt;0,STDEV(D$21, D$22, D$23, D$26, D$27)," ")/IF(D$21*D$22*D$23*D$26*D$27&gt;0,SQRT(COUNT(D$21, D$22, D$23, D$26, D$27))," "),"")</f>
        <v/>
      </c>
      <c r="AI151" s="230" t="str">
        <f aca="false">IFERROR(IF(E$21*E$22*E$23*E$26*E$27&gt;0,STDEV(E$21, E$22, E$23, E$26, E$27)," ")/IF(E$21*E$22*E$23*E$26*E$27&gt;0,SQRT(COUNT(E$21, E$22, E$23, E$26, E$27))," "),"")</f>
        <v/>
      </c>
      <c r="AJ151" s="230" t="str">
        <f aca="false">IFERROR(IF(F$21*F$22*F$23*F$26*F$27&gt;0,STDEV(F$21, F$22, F$23, F$26, F$27)," ")/IF(F$21*F$22*F$23*F$26*F$27&gt;0,SQRT(COUNT(F$21, F$22, F$23, F$26, F$27))," "),"")</f>
        <v/>
      </c>
      <c r="AK151" s="230" t="str">
        <f aca="false">IFERROR(IF(G$21*G$22*G$23*G$26*G$27&gt;0,STDEV(G$21, G$22, G$23, G$26, G$27)," ")/IF(G$21*G$22*G$23*G$26*G$27&gt;0,SQRT(COUNT(G$21, G$22, G$23, G$26, G$27))," "),"")</f>
        <v/>
      </c>
      <c r="AL151" s="230" t="str">
        <f aca="false">IFERROR(IF(H$21*H$22*H$23*H$26*H$27&gt;0,STDEV(H$21, H$22, H$23, H$26, H$27)," ")/IF(H$21*H$22*H$23*H$26*H$27&gt;0,SQRT(COUNT(H$21, H$22, H$23, H$26, H$27))," "),"")</f>
        <v/>
      </c>
      <c r="AM151" s="230" t="str">
        <f aca="false">IFERROR(IF(I$21*I$22*I$23*I$26*I$27&gt;0,STDEV(I$21, I$22, I$23, I$26, I$27)," ")/IF(I$21*I$22*I$23*I$26*I$27&gt;0,SQRT(COUNT(I$21, I$22, I$23, I$26, I$27))," "),"")</f>
        <v/>
      </c>
      <c r="AN151" s="230" t="str">
        <f aca="false">IFERROR(IF(J$21*J$22*J$23*J$26*J$27&gt;0,STDEV(J$21, J$22, J$23, J$26, J$27)," ")/IF(J$21*J$22*J$23*J$26*J$27&gt;0,SQRT(COUNT(J$21, J$22, J$23, J$26, J$27))," "),"")</f>
        <v/>
      </c>
      <c r="AO151" s="230" t="str">
        <f aca="false">IFERROR(IF(K$21*K$22*K$23*K$26*K$27&gt;0,STDEV(K$21, K$22, K$23, K$26, K$27)," ")/IF(K$21*K$22*K$23*K$26*K$27&gt;0,SQRT(COUNT(K$21, K$22, K$23, K$26, K$27))," "),"")</f>
        <v/>
      </c>
      <c r="AP151" s="230" t="str">
        <f aca="false">IFERROR(IF(L$21*L$22*L$23*L$26*L$27&gt;0,STDEV(L$21, L$22, L$23, L$26, L$27)," ")/IF(L$21*L$22*L$23*L$26*L$27&gt;0,SQRT(COUNT(L$21, L$22, L$23, L$26, L$27))," "),"")</f>
        <v/>
      </c>
      <c r="AQ151" s="230" t="str">
        <f aca="false">IFERROR(IF(M$21*M$22*M$23*M$26*M$27&gt;0,STDEV(M$21, M$22, M$23, M$26, M$27)," ")/IF(M$21*M$22*M$23*M$26*M$27&gt;0,SQRT(COUNT(M$21, M$22, M$23, M$26, M$27))," "),"")</f>
        <v/>
      </c>
      <c r="AR151" s="230" t="str">
        <f aca="false">IFERROR(IF(N$21*N$22*N$23*N$26*N$27&gt;0,STDEV(N$21, N$22, N$23, N$26, N$27)," ")/IF(N$21*N$22*N$23*N$26*N$27&gt;0,SQRT(COUNT(N$21, N$22, N$23, N$26, N$27))," "),"")</f>
        <v/>
      </c>
    </row>
    <row r="152" customFormat="false" ht="15.75" hidden="false" customHeight="false" outlineLevel="0" collapsed="false">
      <c r="A152" s="242" t="s">
        <v>599</v>
      </c>
      <c r="B152" s="243"/>
      <c r="C152" s="262" t="str">
        <f aca="false">IFERROR(IF(C$21*C$22*C$23*C$25*C$27&gt;0,AVERAGE(C$21, C$22, C$23, C$25, C$27),""),"")</f>
        <v/>
      </c>
      <c r="D152" s="262" t="str">
        <f aca="false">IFERROR(IF(D$21*D$22*D$23*D$25*D$27&gt;0,AVERAGE(D$21, D$22, D$23, D$25, D$27),""),"")</f>
        <v/>
      </c>
      <c r="E152" s="262" t="str">
        <f aca="false">IFERROR(IF(E$21*E$22*E$23*E$25*E$27&gt;0,AVERAGE(E$21, E$22, E$23, E$25, E$27),""),"")</f>
        <v/>
      </c>
      <c r="F152" s="262" t="str">
        <f aca="false">IFERROR(IF(F$21*F$22*F$23*F$25*F$27&gt;0,AVERAGE(F$21, F$22, F$23, F$25, F$27),""),"")</f>
        <v/>
      </c>
      <c r="G152" s="262" t="str">
        <f aca="false">IFERROR(IF(G$21*G$22*G$23*G$25*G$27&gt;0,AVERAGE(G$21, G$22, G$23, G$25, G$27),""),"")</f>
        <v/>
      </c>
      <c r="H152" s="262" t="str">
        <f aca="false">IFERROR(IF(H$21*H$22*H$23*H$25*H$27&gt;0,AVERAGE(H$21, H$22, H$23, H$25, H$27),""),"")</f>
        <v/>
      </c>
      <c r="I152" s="262" t="str">
        <f aca="false">IFERROR(IF(I$21*I$22*I$23*I$25*I$27&gt;0,AVERAGE(I$21, I$22, I$23, I$25, I$27),""),"")</f>
        <v/>
      </c>
      <c r="J152" s="262" t="str">
        <f aca="false">IFERROR(IF(J$21*J$22*J$23*J$25*J$27&gt;0,AVERAGE(J$21, J$22, J$23, J$25, J$27),""),"")</f>
        <v/>
      </c>
      <c r="K152" s="262" t="str">
        <f aca="false">IFERROR(IF(K$21*K$22*K$23*K$25*K$27&gt;0,AVERAGE(K$21, K$22, K$23, K$25, K$27),""),"")</f>
        <v/>
      </c>
      <c r="L152" s="262" t="str">
        <f aca="false">IFERROR(IF(L$21*L$22*L$23*L$25*L$27&gt;0,AVERAGE(L$21, L$22, L$23, L$25, L$27),""),"")</f>
        <v/>
      </c>
      <c r="M152" s="262" t="str">
        <f aca="false">IFERROR(IF(M$21*M$22*M$23*M$25*M$27&gt;0,AVERAGE(M$21, M$22, M$23, M$25, M$27),""),"")</f>
        <v/>
      </c>
      <c r="N152" s="262" t="str">
        <f aca="false">IFERROR(IF(N$21*N$22*N$23*N$25*N$27&gt;0,AVERAGE(N$21, N$22, N$23, N$25, N$27),""),"")</f>
        <v/>
      </c>
      <c r="O152" s="245"/>
      <c r="P152" s="245"/>
      <c r="Q152" s="246"/>
      <c r="R152" s="247" t="s">
        <v>600</v>
      </c>
      <c r="S152" s="248" t="str">
        <f aca="false">IFERROR(IF(C$21*C$22*C$23*C$25*C$27&gt;0,STDEV(C$21, C$22, C$23, C$25, C$27),"")/IF(C$21*C$22*C$23*C$25*C$27&gt;0,AVERAGE(C$21, C$22, C$23, C$25, C$27),""),"")</f>
        <v/>
      </c>
      <c r="T152" s="248" t="str">
        <f aca="false">IFERROR(IF(D$21*D$22*D$23*D$25*D$27&gt;0,STDEV(D$21, D$22, D$23, D$25, D$27),"")/IF(D$21*D$22*D$23*D$25*D$27&gt;0,AVERAGE(D$21, D$22, D$23, D$25, D$27),""),"")</f>
        <v/>
      </c>
      <c r="U152" s="248" t="str">
        <f aca="false">IFERROR(IF(E$21*E$22*E$23*E$25*E$27&gt;0,STDEV(E$21, E$22, E$23, E$25, E$27),"")/IF(E$21*E$22*E$23*E$25*E$27&gt;0,AVERAGE(E$21, E$22, E$23, E$25, E$27),""),"")</f>
        <v/>
      </c>
      <c r="V152" s="248" t="str">
        <f aca="false">IFERROR(IF(F$21*F$22*F$23*F$25*F$27&gt;0,STDEV(F$21, F$22, F$23, F$25, F$27),"")/IF(F$21*F$22*F$23*F$25*F$27&gt;0,AVERAGE(F$21, F$22, F$23, F$25, F$27),""),"")</f>
        <v/>
      </c>
      <c r="W152" s="248" t="str">
        <f aca="false">IFERROR(IF(G$21*G$22*G$23*G$25*G$27&gt;0,STDEV(G$21, G$22, G$23, G$25, G$27),"")/IF(G$21*G$22*G$23*G$25*G$27&gt;0,AVERAGE(G$21, G$22, G$23, G$25, G$27),""),"")</f>
        <v/>
      </c>
      <c r="X152" s="248" t="str">
        <f aca="false">IFERROR(IF(H$21*H$22*H$23*H$25*H$27&gt;0,STDEV(H$21, H$22, H$23, H$25, H$27),"")/IF(H$21*H$22*H$23*H$25*H$27&gt;0,AVERAGE(H$21, H$22, H$23, H$25, H$27),""),"")</f>
        <v/>
      </c>
      <c r="Y152" s="248" t="str">
        <f aca="false">IFERROR(IF(I$21*I$22*I$23*I$25*I$27&gt;0,STDEV(I$21, I$22, I$23, I$25, I$27),"")/IF(I$21*I$22*I$23*I$25*I$27&gt;0,AVERAGE(I$21, I$22, I$23, I$25, I$27),""),"")</f>
        <v/>
      </c>
      <c r="Z152" s="248" t="str">
        <f aca="false">IFERROR(IF(J$21*J$22*J$23*J$25*J$27&gt;0,STDEV(J$21, J$22, J$23, J$25, J$27),"")/IF(J$21*J$22*J$23*J$25*J$27&gt;0,AVERAGE(J$21, J$22, J$23, J$25, J$27),""),"")</f>
        <v/>
      </c>
      <c r="AA152" s="248" t="str">
        <f aca="false">IFERROR(IF(K$21*K$22*K$23*K$25*K$27&gt;0,STDEV(K$21, K$22, K$23, K$25, K$27),"")/IF(K$21*K$22*K$23*K$25*K$27&gt;0,AVERAGE(K$21, K$22, K$23, K$25, K$27),""),"")</f>
        <v/>
      </c>
      <c r="AB152" s="248" t="str">
        <f aca="false">IFERROR(IF(L$21*L$22*L$23*L$25*L$27&gt;0,STDEV(L$21, L$22, L$23, L$25, L$27),"")/IF(L$21*L$22*L$23*L$25*L$27&gt;0,AVERAGE(L$21, L$22, L$23, L$25, L$27),""),"")</f>
        <v/>
      </c>
      <c r="AC152" s="248" t="str">
        <f aca="false">IFERROR(IF(M$21*M$22*M$23*M$25*M$27&gt;0,STDEV(M$21, M$22, M$23, M$25, M$27),"")/IF(M$21*M$22*M$23*M$25*M$27&gt;0,AVERAGE(M$21, M$22, M$23, M$25, M$27),""),"")</f>
        <v/>
      </c>
      <c r="AD152" s="248" t="str">
        <f aca="false">IFERROR(IF(N$21*N$22*N$23*N$25*N$27&gt;0,STDEV(N$21, N$22, N$23, N$25, N$27),"")/IF(N$21*N$22*N$23*N$25*N$27&gt;0,AVERAGE(N$21, N$22, N$23, N$25, N$27),""),"")</f>
        <v/>
      </c>
      <c r="AE152" s="249"/>
      <c r="AF152" s="250" t="s">
        <v>601</v>
      </c>
      <c r="AG152" s="251" t="str">
        <f aca="false">IFERROR(IF(C$21*C$22*C$23*C$25*C$27&gt;0,STDEV(C$21, C$22, C$23, C$25, C$27)," ")/IF(C$21*C$22*C$23*C$25*C$27&gt;0,SQRT(COUNT(C$21, C$22, C$23, C$25, C$27))," "),"")</f>
        <v/>
      </c>
      <c r="AH152" s="251" t="str">
        <f aca="false">IFERROR(IF(D$21*D$22*D$23*D$25*D$27&gt;0,STDEV(D$21, D$22, D$23, D$25, D$27)," ")/IF(D$21*D$22*D$23*D$25*D$27&gt;0,SQRT(COUNT(D$21, D$22, D$23, D$25, D$27))," "),"")</f>
        <v/>
      </c>
      <c r="AI152" s="251" t="str">
        <f aca="false">IFERROR(IF(E$21*E$22*E$23*E$25*E$27&gt;0,STDEV(E$21, E$22, E$23, E$25, E$27)," ")/IF(E$21*E$22*E$23*E$25*E$27&gt;0,SQRT(COUNT(E$21, E$22, E$23, E$25, E$27))," "),"")</f>
        <v/>
      </c>
      <c r="AJ152" s="251" t="str">
        <f aca="false">IFERROR(IF(F$21*F$22*F$23*F$25*F$27&gt;0,STDEV(F$21, F$22, F$23, F$25, F$27)," ")/IF(F$21*F$22*F$23*F$25*F$27&gt;0,SQRT(COUNT(F$21, F$22, F$23, F$25, F$27))," "),"")</f>
        <v/>
      </c>
      <c r="AK152" s="251" t="str">
        <f aca="false">IFERROR(IF(G$21*G$22*G$23*G$25*G$27&gt;0,STDEV(G$21, G$22, G$23, G$25, G$27)," ")/IF(G$21*G$22*G$23*G$25*G$27&gt;0,SQRT(COUNT(G$21, G$22, G$23, G$25, G$27))," "),"")</f>
        <v/>
      </c>
      <c r="AL152" s="251" t="str">
        <f aca="false">IFERROR(IF(H$21*H$22*H$23*H$25*H$27&gt;0,STDEV(H$21, H$22, H$23, H$25, H$27)," ")/IF(H$21*H$22*H$23*H$25*H$27&gt;0,SQRT(COUNT(H$21, H$22, H$23, H$25, H$27))," "),"")</f>
        <v/>
      </c>
      <c r="AM152" s="251" t="str">
        <f aca="false">IFERROR(IF(I$21*I$22*I$23*I$25*I$27&gt;0,STDEV(I$21, I$22, I$23, I$25, I$27)," ")/IF(I$21*I$22*I$23*I$25*I$27&gt;0,SQRT(COUNT(I$21, I$22, I$23, I$25, I$27))," "),"")</f>
        <v/>
      </c>
      <c r="AN152" s="251" t="str">
        <f aca="false">IFERROR(IF(J$21*J$22*J$23*J$25*J$27&gt;0,STDEV(J$21, J$22, J$23, J$25, J$27)," ")/IF(J$21*J$22*J$23*J$25*J$27&gt;0,SQRT(COUNT(J$21, J$22, J$23, J$25, J$27))," "),"")</f>
        <v/>
      </c>
      <c r="AO152" s="251" t="str">
        <f aca="false">IFERROR(IF(K$21*K$22*K$23*K$25*K$27&gt;0,STDEV(K$21, K$22, K$23, K$25, K$27)," ")/IF(K$21*K$22*K$23*K$25*K$27&gt;0,SQRT(COUNT(K$21, K$22, K$23, K$25, K$27))," "),"")</f>
        <v/>
      </c>
      <c r="AP152" s="251" t="str">
        <f aca="false">IFERROR(IF(L$21*L$22*L$23*L$25*L$27&gt;0,STDEV(L$21, L$22, L$23, L$25, L$27)," ")/IF(L$21*L$22*L$23*L$25*L$27&gt;0,SQRT(COUNT(L$21, L$22, L$23, L$25, L$27))," "),"")</f>
        <v/>
      </c>
      <c r="AQ152" s="251" t="str">
        <f aca="false">IFERROR(IF(M$21*M$22*M$23*M$25*M$27&gt;0,STDEV(M$21, M$22, M$23, M$25, M$27)," ")/IF(M$21*M$22*M$23*M$25*M$27&gt;0,SQRT(COUNT(M$21, M$22, M$23, M$25, M$27))," "),"")</f>
        <v/>
      </c>
      <c r="AR152" s="251" t="str">
        <f aca="false">IFERROR(IF(N$21*N$22*N$23*N$25*N$27&gt;0,STDEV(N$21, N$22, N$23, N$25, N$27)," ")/IF(N$21*N$22*N$23*N$25*N$27&gt;0,SQRT(COUNT(N$21, N$22, N$23, N$25, N$27))," "),"")</f>
        <v/>
      </c>
    </row>
    <row r="153" customFormat="false" ht="15.75" hidden="false" customHeight="false" outlineLevel="0" collapsed="false">
      <c r="A153" s="220" t="s">
        <v>602</v>
      </c>
      <c r="B153" s="221"/>
      <c r="C153" s="261" t="str">
        <f aca="false">IFERROR(IF(C$21*C$22*C$23*C$24*C$25*C$26&gt;0,AVERAGE(C$21:C$25,C$26),""),"")</f>
        <v/>
      </c>
      <c r="D153" s="261" t="str">
        <f aca="false">IFERROR(IF(D$21*D$22*D$23*D$24*D$25*D$26&gt;0,AVERAGE(D$21:D$25,D$26),""),"")</f>
        <v/>
      </c>
      <c r="E153" s="261" t="str">
        <f aca="false">IFERROR(IF(E$21*E$22*E$23*E$24*E$25*E$26&gt;0,AVERAGE(E$21:E$25,E$26),""),"")</f>
        <v/>
      </c>
      <c r="F153" s="261" t="str">
        <f aca="false">IFERROR(IF(F$21*F$22*F$23*F$24*F$25*F$26&gt;0,AVERAGE(F$21:F$25,F$26),""),"")</f>
        <v/>
      </c>
      <c r="G153" s="261" t="str">
        <f aca="false">IFERROR(IF(G$21*G$22*G$23*G$24*G$25*G$26&gt;0,AVERAGE(G$21:G$25,G$26),""),"")</f>
        <v/>
      </c>
      <c r="H153" s="261" t="str">
        <f aca="false">IFERROR(IF(H$21*H$22*H$23*H$24*H$25*H$26&gt;0,AVERAGE(H$21:H$25,H$26),""),"")</f>
        <v/>
      </c>
      <c r="I153" s="261" t="str">
        <f aca="false">IFERROR(IF(I$21*I$22*I$23*I$24*I$25*I$26&gt;0,AVERAGE(I$21:I$25,I$26),""),"")</f>
        <v/>
      </c>
      <c r="J153" s="261" t="str">
        <f aca="false">IFERROR(IF(J$21*J$22*J$23*J$24*J$25*J$26&gt;0,AVERAGE(J$21:J$25,J$26),""),"")</f>
        <v/>
      </c>
      <c r="K153" s="261" t="str">
        <f aca="false">IFERROR(IF(K$21*K$22*K$23*K$24*K$25*K$26&gt;0,AVERAGE(K$21:K$25,K$26),""),"")</f>
        <v/>
      </c>
      <c r="L153" s="261" t="str">
        <f aca="false">IFERROR(IF(L$21*L$22*L$23*L$24*L$25*L$26&gt;0,AVERAGE(L$21:L$25,L$26),""),"")</f>
        <v/>
      </c>
      <c r="M153" s="261" t="str">
        <f aca="false">IFERROR(IF(M$21*M$22*M$23*M$24*M$25*M$26&gt;0,AVERAGE(M$21:M$25,M$26),""),"")</f>
        <v/>
      </c>
      <c r="N153" s="261" t="str">
        <f aca="false">IFERROR(IF(N$21*N$22*N$23*N$24*N$25*N$26&gt;0,AVERAGE(N$21:N$25,N$26),""),"")</f>
        <v/>
      </c>
      <c r="O153" s="240" t="n">
        <v>6</v>
      </c>
      <c r="P153" s="224" t="n">
        <f aca="false">COMBIN(7,6)</f>
        <v>7</v>
      </c>
      <c r="Q153" s="252" t="n">
        <f aca="false">ROW(N159)-ROW(N153)+1</f>
        <v>7</v>
      </c>
      <c r="R153" s="226" t="s">
        <v>603</v>
      </c>
      <c r="S153" s="227" t="str">
        <f aca="false">IFERROR(IF(C$21*C$22*C$23*C$24*C$25*C$26&gt;0,STDEV(C$21:C$25,C$26),"")/IF(C$21*C$22*C$23*C$24*C$25*C$26&gt;0,AVERAGE(C$21:C$25,C$26),""),"")</f>
        <v/>
      </c>
      <c r="T153" s="227" t="str">
        <f aca="false">IFERROR(IF(D$21*D$22*D$23*D$24*D$25*D$26&gt;0,STDEV(D$21:D$25,D$26),"")/IF(D$21*D$22*D$23*D$24*D$25*D$26&gt;0,AVERAGE(D$21:D$25,D$26),""),"")</f>
        <v/>
      </c>
      <c r="U153" s="227" t="str">
        <f aca="false">IFERROR(IF(E$21*E$22*E$23*E$24*E$25*E$26&gt;0,STDEV(E$21:E$25,E$26),"")/IF(E$21*E$22*E$23*E$24*E$25*E$26&gt;0,AVERAGE(E$21:E$25,E$26),""),"")</f>
        <v/>
      </c>
      <c r="V153" s="227" t="str">
        <f aca="false">IFERROR(IF(F$21*F$22*F$23*F$24*F$25*F$26&gt;0,STDEV(F$21:F$25,F$26),"")/IF(F$21*F$22*F$23*F$24*F$25*F$26&gt;0,AVERAGE(F$21:F$25,F$26),""),"")</f>
        <v/>
      </c>
      <c r="W153" s="227" t="str">
        <f aca="false">IFERROR(IF(G$21*G$22*G$23*G$24*G$25*G$26&gt;0,STDEV(G$21:G$25,G$26),"")/IF(G$21*G$22*G$23*G$24*G$25*G$26&gt;0,AVERAGE(G$21:G$25,G$26),""),"")</f>
        <v/>
      </c>
      <c r="X153" s="227" t="str">
        <f aca="false">IFERROR(IF(H$21*H$22*H$23*H$24*H$25*H$26&gt;0,STDEV(H$21:H$25,H$26),"")/IF(H$21*H$22*H$23*H$24*H$25*H$26&gt;0,AVERAGE(H$21:H$25,H$26),""),"")</f>
        <v/>
      </c>
      <c r="Y153" s="227" t="str">
        <f aca="false">IFERROR(IF(I$21*I$22*I$23*I$24*I$25*I$26&gt;0,STDEV(I$21:I$25,I$26),"")/IF(I$21*I$22*I$23*I$24*I$25*I$26&gt;0,AVERAGE(I$21:I$25,I$26),""),"")</f>
        <v/>
      </c>
      <c r="Z153" s="227" t="str">
        <f aca="false">IFERROR(IF(J$21*J$22*J$23*J$24*J$25*J$26&gt;0,STDEV(J$21:J$25,J$26),"")/IF(J$21*J$22*J$23*J$24*J$25*J$26&gt;0,AVERAGE(J$21:J$25,J$26),""),"")</f>
        <v/>
      </c>
      <c r="AA153" s="227" t="str">
        <f aca="false">IFERROR(IF(K$21*K$22*K$23*K$24*K$25*K$26&gt;0,STDEV(K$21:K$25,K$26),"")/IF(K$21*K$22*K$23*K$24*K$25*K$26&gt;0,AVERAGE(K$21:K$25,K$26),""),"")</f>
        <v/>
      </c>
      <c r="AB153" s="227" t="str">
        <f aca="false">IFERROR(IF(L$21*L$22*L$23*L$24*L$25*L$26&gt;0,STDEV(L$21:L$25,L$26),"")/IF(L$21*L$22*L$23*L$24*L$25*L$26&gt;0,AVERAGE(L$21:L$25,L$26),""),"")</f>
        <v/>
      </c>
      <c r="AC153" s="227" t="str">
        <f aca="false">IFERROR(IF(M$21*M$22*M$23*M$24*M$25*M$26&gt;0,STDEV(M$21:M$25,M$26),"")/IF(M$21*M$22*M$23*M$24*M$25*M$26&gt;0,AVERAGE(M$21:M$25,M$26),""),"")</f>
        <v/>
      </c>
      <c r="AD153" s="227" t="str">
        <f aca="false">IFERROR(IF(N$21*N$22*N$23*N$24*N$25*N$26&gt;0,STDEV(N$21:N$25,N$26),"")/IF(N$21*N$22*N$23*N$24*N$25*N$26&gt;0,AVERAGE(N$21:N$25,N$26),""),"")</f>
        <v/>
      </c>
      <c r="AE153" s="233"/>
      <c r="AF153" s="229" t="s">
        <v>604</v>
      </c>
      <c r="AG153" s="230" t="str">
        <f aca="false">IFERROR(IF(C$21*C$22*C$23*C$24*C$25*C$26&gt;0,STDEV(C$21:C$25,C$26)," ")/IF(C$21*C$22*C$23*C$24*C$25*C$26&gt;0,SQRT(COUNT(C$21:C$25,C$26))," "),"")</f>
        <v/>
      </c>
      <c r="AH153" s="230" t="str">
        <f aca="false">IFERROR(IF(D$21*D$22*D$23*D$24*D$25*D$26&gt;0,STDEV(D$21:D$25,D$26)," ")/IF(D$21*D$22*D$23*D$24*D$25*D$26&gt;0,SQRT(COUNT(D$21:D$25,D$26))," "),"")</f>
        <v/>
      </c>
      <c r="AI153" s="230" t="str">
        <f aca="false">IFERROR(IF(E$21*E$22*E$23*E$24*E$25*E$26&gt;0,STDEV(E$21:E$25,E$26)," ")/IF(E$21*E$22*E$23*E$24*E$25*E$26&gt;0,SQRT(COUNT(E$21:E$25,E$26))," "),"")</f>
        <v/>
      </c>
      <c r="AJ153" s="230" t="str">
        <f aca="false">IFERROR(IF(F$21*F$22*F$23*F$24*F$25*F$26&gt;0,STDEV(F$21:F$25,F$26)," ")/IF(F$21*F$22*F$23*F$24*F$25*F$26&gt;0,SQRT(COUNT(F$21:F$25,F$26))," "),"")</f>
        <v/>
      </c>
      <c r="AK153" s="230" t="str">
        <f aca="false">IFERROR(IF(G$21*G$22*G$23*G$24*G$25*G$26&gt;0,STDEV(G$21:G$25,G$26)," ")/IF(G$21*G$22*G$23*G$24*G$25*G$26&gt;0,SQRT(COUNT(G$21:G$25,G$26))," "),"")</f>
        <v/>
      </c>
      <c r="AL153" s="230" t="str">
        <f aca="false">IFERROR(IF(H$21*H$22*H$23*H$24*H$25*H$26&gt;0,STDEV(H$21:H$25,H$26)," ")/IF(H$21*H$22*H$23*H$24*H$25*H$26&gt;0,SQRT(COUNT(H$21:H$25,H$26))," "),"")</f>
        <v/>
      </c>
      <c r="AM153" s="230" t="str">
        <f aca="false">IFERROR(IF(I$21*I$22*I$23*I$24*I$25*I$26&gt;0,STDEV(I$21:I$25,I$26)," ")/IF(I$21*I$22*I$23*I$24*I$25*I$26&gt;0,SQRT(COUNT(I$21:I$25,I$26))," "),"")</f>
        <v/>
      </c>
      <c r="AN153" s="230" t="str">
        <f aca="false">IFERROR(IF(J$21*J$22*J$23*J$24*J$25*J$26&gt;0,STDEV(J$21:J$25,J$26)," ")/IF(J$21*J$22*J$23*J$24*J$25*J$26&gt;0,SQRT(COUNT(J$21:J$25,J$26))," "),"")</f>
        <v/>
      </c>
      <c r="AO153" s="230" t="str">
        <f aca="false">IFERROR(IF(K$21*K$22*K$23*K$24*K$25*K$26&gt;0,STDEV(K$21:K$25,K$26)," ")/IF(K$21*K$22*K$23*K$24*K$25*K$26&gt;0,SQRT(COUNT(K$21:K$25,K$26))," "),"")</f>
        <v/>
      </c>
      <c r="AP153" s="230" t="str">
        <f aca="false">IFERROR(IF(L$21*L$22*L$23*L$24*L$25*L$26&gt;0,STDEV(L$21:L$25,L$26)," ")/IF(L$21*L$22*L$23*L$24*L$25*L$26&gt;0,SQRT(COUNT(L$21:L$25,L$26))," "),"")</f>
        <v/>
      </c>
      <c r="AQ153" s="230" t="str">
        <f aca="false">IFERROR(IF(M$21*M$22*M$23*M$24*M$25*M$26&gt;0,STDEV(M$21:M$25,M$26)," ")/IF(M$21*M$22*M$23*M$24*M$25*M$26&gt;0,SQRT(COUNT(M$21:M$25,M$26))," "),"")</f>
        <v/>
      </c>
      <c r="AR153" s="230" t="str">
        <f aca="false">IFERROR(IF(N$21*N$22*N$23*N$24*N$25*N$26&gt;0,STDEV(N$21:N$25,N$26)," ")/IF(N$21*N$22*N$23*N$24*N$25*N$26&gt;0,SQRT(COUNT(N$21:N$25,N$26))," "),"")</f>
        <v/>
      </c>
    </row>
    <row r="154" customFormat="false" ht="15.75" hidden="false" customHeight="false" outlineLevel="0" collapsed="false">
      <c r="A154" s="220" t="s">
        <v>605</v>
      </c>
      <c r="B154" s="221"/>
      <c r="C154" s="261" t="str">
        <f aca="false">IFERROR(IF(C$21*C$22*C$23*C$24*C$25*C$27&gt;0,AVERAGE(C$21:C$25,C$27),""),"")</f>
        <v/>
      </c>
      <c r="D154" s="261" t="str">
        <f aca="false">IFERROR(IF(D$21*D$22*D$23*D$24*D$25*D$27&gt;0,AVERAGE(D$21:D$25,D$27),""),"")</f>
        <v/>
      </c>
      <c r="E154" s="261" t="str">
        <f aca="false">IFERROR(IF(E$21*E$22*E$23*E$24*E$25*E$27&gt;0,AVERAGE(E$21:E$25,E$27),""),"")</f>
        <v/>
      </c>
      <c r="F154" s="261" t="str">
        <f aca="false">IFERROR(IF(F$21*F$22*F$23*F$24*F$25*F$27&gt;0,AVERAGE(F$21:F$25,F$27),""),"")</f>
        <v/>
      </c>
      <c r="G154" s="261" t="str">
        <f aca="false">IFERROR(IF(G$21*G$22*G$23*G$24*G$25*G$27&gt;0,AVERAGE(G$21:G$25,G$27),""),"")</f>
        <v/>
      </c>
      <c r="H154" s="261" t="str">
        <f aca="false">IFERROR(IF(H$21*H$22*H$23*H$24*H$25*H$27&gt;0,AVERAGE(H$21:H$25,H$27),""),"")</f>
        <v/>
      </c>
      <c r="I154" s="261" t="str">
        <f aca="false">IFERROR(IF(I$21*I$22*I$23*I$24*I$25*I$27&gt;0,AVERAGE(I$21:I$25,I$27),""),"")</f>
        <v/>
      </c>
      <c r="J154" s="261" t="str">
        <f aca="false">IFERROR(IF(J$21*J$22*J$23*J$24*J$25*J$27&gt;0,AVERAGE(J$21:J$25,J$27),""),"")</f>
        <v/>
      </c>
      <c r="K154" s="261" t="str">
        <f aca="false">IFERROR(IF(K$21*K$22*K$23*K$24*K$25*K$27&gt;0,AVERAGE(K$21:K$25,K$27),""),"")</f>
        <v/>
      </c>
      <c r="L154" s="261" t="str">
        <f aca="false">IFERROR(IF(L$21*L$22*L$23*L$24*L$25*L$27&gt;0,AVERAGE(L$21:L$25,L$27),""),"")</f>
        <v/>
      </c>
      <c r="M154" s="261" t="str">
        <f aca="false">IFERROR(IF(M$21*M$22*M$23*M$24*M$25*M$27&gt;0,AVERAGE(M$21:M$25,M$27),""),"")</f>
        <v/>
      </c>
      <c r="N154" s="261" t="str">
        <f aca="false">IFERROR(IF(N$21*N$22*N$23*N$24*N$25*N$27&gt;0,AVERAGE(N$21:N$25,N$27),""),"")</f>
        <v/>
      </c>
      <c r="O154" s="224"/>
      <c r="P154" s="224"/>
      <c r="Q154" s="232"/>
      <c r="R154" s="226" t="s">
        <v>606</v>
      </c>
      <c r="S154" s="227" t="str">
        <f aca="false">IFERROR(IF(C$21*C$22*C$23*C$24*C$25*C$27&gt;0,STDEV(C$21:C$25,C$27),"")/IF(C$21*C$22*C$23*C$24*C$25*C$27&gt;0,AVERAGE(C$21:C$25,C$27),""),"")</f>
        <v/>
      </c>
      <c r="T154" s="227" t="str">
        <f aca="false">IFERROR(IF(D$21*D$22*D$23*D$24*D$25*D$27&gt;0,STDEV(D$21:D$25,D$27),"")/IF(D$21*D$22*D$23*D$24*D$25*D$27&gt;0,AVERAGE(D$21:D$25,D$27),""),"")</f>
        <v/>
      </c>
      <c r="U154" s="227" t="str">
        <f aca="false">IFERROR(IF(E$21*E$22*E$23*E$24*E$25*E$27&gt;0,STDEV(E$21:E$25,E$27),"")/IF(E$21*E$22*E$23*E$24*E$25*E$27&gt;0,AVERAGE(E$21:E$25,E$27),""),"")</f>
        <v/>
      </c>
      <c r="V154" s="227" t="str">
        <f aca="false">IFERROR(IF(F$21*F$22*F$23*F$24*F$25*F$27&gt;0,STDEV(F$21:F$25,F$27),"")/IF(F$21*F$22*F$23*F$24*F$25*F$27&gt;0,AVERAGE(F$21:F$25,F$27),""),"")</f>
        <v/>
      </c>
      <c r="W154" s="227" t="str">
        <f aca="false">IFERROR(IF(G$21*G$22*G$23*G$24*G$25*G$27&gt;0,STDEV(G$21:G$25,G$27),"")/IF(G$21*G$22*G$23*G$24*G$25*G$27&gt;0,AVERAGE(G$21:G$25,G$27),""),"")</f>
        <v/>
      </c>
      <c r="X154" s="227" t="str">
        <f aca="false">IFERROR(IF(H$21*H$22*H$23*H$24*H$25*H$27&gt;0,STDEV(H$21:H$25,H$27),"")/IF(H$21*H$22*H$23*H$24*H$25*H$27&gt;0,AVERAGE(H$21:H$25,H$27),""),"")</f>
        <v/>
      </c>
      <c r="Y154" s="227" t="str">
        <f aca="false">IFERROR(IF(I$21*I$22*I$23*I$24*I$25*I$27&gt;0,STDEV(I$21:I$25,I$27),"")/IF(I$21*I$22*I$23*I$24*I$25*I$27&gt;0,AVERAGE(I$21:I$25,I$27),""),"")</f>
        <v/>
      </c>
      <c r="Z154" s="227" t="str">
        <f aca="false">IFERROR(IF(J$21*J$22*J$23*J$24*J$25*J$27&gt;0,STDEV(J$21:J$25,J$27),"")/IF(J$21*J$22*J$23*J$24*J$25*J$27&gt;0,AVERAGE(J$21:J$25,J$27),""),"")</f>
        <v/>
      </c>
      <c r="AA154" s="227" t="str">
        <f aca="false">IFERROR(IF(K$21*K$22*K$23*K$24*K$25*K$27&gt;0,STDEV(K$21:K$25,K$27),"")/IF(K$21*K$22*K$23*K$24*K$25*K$27&gt;0,AVERAGE(K$21:K$25,K$27),""),"")</f>
        <v/>
      </c>
      <c r="AB154" s="227" t="str">
        <f aca="false">IFERROR(IF(L$21*L$22*L$23*L$24*L$25*L$27&gt;0,STDEV(L$21:L$25,L$27),"")/IF(L$21*L$22*L$23*L$24*L$25*L$27&gt;0,AVERAGE(L$21:L$25,L$27),""),"")</f>
        <v/>
      </c>
      <c r="AC154" s="227" t="str">
        <f aca="false">IFERROR(IF(M$21*M$22*M$23*M$24*M$25*M$27&gt;0,STDEV(M$21:M$25,M$27),"")/IF(M$21*M$22*M$23*M$24*M$25*M$27&gt;0,AVERAGE(M$21:M$25,M$27),""),"")</f>
        <v/>
      </c>
      <c r="AD154" s="227" t="str">
        <f aca="false">IFERROR(IF(N$21*N$22*N$23*N$24*N$25*N$27&gt;0,STDEV(N$21:N$25,N$27),"")/IF(N$21*N$22*N$23*N$24*N$25*N$27&gt;0,AVERAGE(N$21:N$25,N$27),""),"")</f>
        <v/>
      </c>
      <c r="AE154" s="233"/>
      <c r="AF154" s="229" t="s">
        <v>607</v>
      </c>
      <c r="AG154" s="230" t="str">
        <f aca="false">IFERROR(IF(C$21*C$22*C$23*C$24*C$25*C$27&gt;0,STDEV(C$21:C$25,C$27)," ")/IF(C$21*C$22*C$23*C$24*C$25*C$27&gt;0,SQRT(COUNT(C$21:C$25,C$27))," "),"")</f>
        <v/>
      </c>
      <c r="AH154" s="230" t="str">
        <f aca="false">IFERROR(IF(D$21*D$22*D$23*D$24*D$25*D$27&gt;0,STDEV(D$21:D$25,D$27)," ")/IF(D$21*D$22*D$23*D$24*D$25*D$27&gt;0,SQRT(COUNT(D$21:D$25,D$27))," "),"")</f>
        <v/>
      </c>
      <c r="AI154" s="230" t="str">
        <f aca="false">IFERROR(IF(E$21*E$22*E$23*E$24*E$25*E$27&gt;0,STDEV(E$21:E$25,E$27)," ")/IF(E$21*E$22*E$23*E$24*E$25*E$27&gt;0,SQRT(COUNT(E$21:E$25,E$27))," "),"")</f>
        <v/>
      </c>
      <c r="AJ154" s="230" t="str">
        <f aca="false">IFERROR(IF(F$21*F$22*F$23*F$24*F$25*F$27&gt;0,STDEV(F$21:F$25,F$27)," ")/IF(F$21*F$22*F$23*F$24*F$25*F$27&gt;0,SQRT(COUNT(F$21:F$25,F$27))," "),"")</f>
        <v/>
      </c>
      <c r="AK154" s="230" t="str">
        <f aca="false">IFERROR(IF(G$21*G$22*G$23*G$24*G$25*G$27&gt;0,STDEV(G$21:G$25,G$27)," ")/IF(G$21*G$22*G$23*G$24*G$25*G$27&gt;0,SQRT(COUNT(G$21:G$25,G$27))," "),"")</f>
        <v/>
      </c>
      <c r="AL154" s="230" t="str">
        <f aca="false">IFERROR(IF(H$21*H$22*H$23*H$24*H$25*H$27&gt;0,STDEV(H$21:H$25,H$27)," ")/IF(H$21*H$22*H$23*H$24*H$25*H$27&gt;0,SQRT(COUNT(H$21:H$25,H$27))," "),"")</f>
        <v/>
      </c>
      <c r="AM154" s="230" t="str">
        <f aca="false">IFERROR(IF(I$21*I$22*I$23*I$24*I$25*I$27&gt;0,STDEV(I$21:I$25,I$27)," ")/IF(I$21*I$22*I$23*I$24*I$25*I$27&gt;0,SQRT(COUNT(I$21:I$25,I$27))," "),"")</f>
        <v/>
      </c>
      <c r="AN154" s="230" t="str">
        <f aca="false">IFERROR(IF(J$21*J$22*J$23*J$24*J$25*J$27&gt;0,STDEV(J$21:J$25,J$27)," ")/IF(J$21*J$22*J$23*J$24*J$25*J$27&gt;0,SQRT(COUNT(J$21:J$25,J$27))," "),"")</f>
        <v/>
      </c>
      <c r="AO154" s="230" t="str">
        <f aca="false">IFERROR(IF(K$21*K$22*K$23*K$24*K$25*K$27&gt;0,STDEV(K$21:K$25,K$27)," ")/IF(K$21*K$22*K$23*K$24*K$25*K$27&gt;0,SQRT(COUNT(K$21:K$25,K$27))," "),"")</f>
        <v/>
      </c>
      <c r="AP154" s="230" t="str">
        <f aca="false">IFERROR(IF(L$21*L$22*L$23*L$24*L$25*L$27&gt;0,STDEV(L$21:L$25,L$27)," ")/IF(L$21*L$22*L$23*L$24*L$25*L$27&gt;0,SQRT(COUNT(L$21:L$25,L$27))," "),"")</f>
        <v/>
      </c>
      <c r="AQ154" s="230" t="str">
        <f aca="false">IFERROR(IF(M$21*M$22*M$23*M$24*M$25*M$27&gt;0,STDEV(M$21:M$25,M$27)," ")/IF(M$21*M$22*M$23*M$24*M$25*M$27&gt;0,SQRT(COUNT(M$21:M$25,M$27))," "),"")</f>
        <v/>
      </c>
      <c r="AR154" s="230" t="str">
        <f aca="false">IFERROR(IF(N$21*N$22*N$23*N$24*N$25*N$27&gt;0,STDEV(N$21:N$25,N$27)," ")/IF(N$21*N$22*N$23*N$24*N$25*N$27&gt;0,SQRT(COUNT(N$21:N$25,N$27))," "),"")</f>
        <v/>
      </c>
    </row>
    <row r="155" customFormat="false" ht="15.75" hidden="false" customHeight="false" outlineLevel="0" collapsed="false">
      <c r="A155" s="220" t="s">
        <v>608</v>
      </c>
      <c r="B155" s="221"/>
      <c r="C155" s="261" t="str">
        <f aca="false">IFERROR(IF(C$21*C$22*C$23*C$24*C$26*C$27&gt;0,AVERAGE(C$21:C$24, C$27),""),"")</f>
        <v/>
      </c>
      <c r="D155" s="261" t="str">
        <f aca="false">IFERROR(IF(D$21*D$22*D$23*D$24*D$26*D$27&gt;0,AVERAGE(D$21:D$24, D$27),""),"")</f>
        <v/>
      </c>
      <c r="E155" s="261" t="str">
        <f aca="false">IFERROR(IF(E$21*E$22*E$23*E$24*E$26*E$27&gt;0,AVERAGE(E$21:E$24, E$27),""),"")</f>
        <v/>
      </c>
      <c r="F155" s="261" t="str">
        <f aca="false">IFERROR(IF(F$21*F$22*F$23*F$24*F$26*F$27&gt;0,AVERAGE(F$21:F$24, F$27),""),"")</f>
        <v/>
      </c>
      <c r="G155" s="261" t="str">
        <f aca="false">IFERROR(IF(G$21*G$22*G$23*G$24*G$26*G$27&gt;0,AVERAGE(G$21:G$24, G$27),""),"")</f>
        <v/>
      </c>
      <c r="H155" s="261" t="str">
        <f aca="false">IFERROR(IF(H$21*H$22*H$23*H$24*H$26*H$27&gt;0,AVERAGE(H$21:H$24, H$27),""),"")</f>
        <v/>
      </c>
      <c r="I155" s="261" t="str">
        <f aca="false">IFERROR(IF(I$21*I$22*I$23*I$24*I$26*I$27&gt;0,AVERAGE(I$21:I$24, I$27),""),"")</f>
        <v/>
      </c>
      <c r="J155" s="261" t="str">
        <f aca="false">IFERROR(IF(J$21*J$22*J$23*J$24*J$26*J$27&gt;0,AVERAGE(J$21:J$24, J$27),""),"")</f>
        <v/>
      </c>
      <c r="K155" s="261" t="str">
        <f aca="false">IFERROR(IF(K$21*K$22*K$23*K$24*K$26*K$27&gt;0,AVERAGE(K$21:K$24, K$27),""),"")</f>
        <v/>
      </c>
      <c r="L155" s="261" t="str">
        <f aca="false">IFERROR(IF(L$21*L$22*L$23*L$24*L$26*L$27&gt;0,AVERAGE(L$21:L$24, L$27),""),"")</f>
        <v/>
      </c>
      <c r="M155" s="261" t="str">
        <f aca="false">IFERROR(IF(M$21*M$22*M$23*M$24*M$26*M$27&gt;0,AVERAGE(M$21:M$24, M$27),""),"")</f>
        <v/>
      </c>
      <c r="N155" s="261" t="str">
        <f aca="false">IFERROR(IF(N$21*N$22*N$23*N$24*N$26*N$27&gt;0,AVERAGE(N$21:N$24, N$27),""),"")</f>
        <v/>
      </c>
      <c r="O155" s="224"/>
      <c r="P155" s="224"/>
      <c r="Q155" s="232"/>
      <c r="R155" s="226" t="s">
        <v>609</v>
      </c>
      <c r="S155" s="227" t="str">
        <f aca="false">IFERROR(IF(C$21*C$22*C$23*C$24*C$26*C$27&gt;0,STDEV(C$21:C$24, C$27),"")/IF(C$21*C$22*C$23*C$24*C$26*C$27&gt;0,AVERAGE(C$21:C$24, C$27),""),"")</f>
        <v/>
      </c>
      <c r="T155" s="227" t="str">
        <f aca="false">IFERROR(IF(D$21*D$22*D$23*D$24*D$26*D$27&gt;0,STDEV(D$21:D$24, D$27),"")/IF(D$21*D$22*D$23*D$24*D$26*D$27&gt;0,AVERAGE(D$21:D$24, D$27),""),"")</f>
        <v/>
      </c>
      <c r="U155" s="227" t="str">
        <f aca="false">IFERROR(IF(E$21*E$22*E$23*E$24*E$26*E$27&gt;0,STDEV(E$21:E$24, E$27),"")/IF(E$21*E$22*E$23*E$24*E$26*E$27&gt;0,AVERAGE(E$21:E$24, E$27),""),"")</f>
        <v/>
      </c>
      <c r="V155" s="227" t="str">
        <f aca="false">IFERROR(IF(F$21*F$22*F$23*F$24*F$26*F$27&gt;0,STDEV(F$21:F$24, F$27),"")/IF(F$21*F$22*F$23*F$24*F$26*F$27&gt;0,AVERAGE(F$21:F$24, F$27),""),"")</f>
        <v/>
      </c>
      <c r="W155" s="227" t="str">
        <f aca="false">IFERROR(IF(G$21*G$22*G$23*G$24*G$26*G$27&gt;0,STDEV(G$21:G$24, G$27),"")/IF(G$21*G$22*G$23*G$24*G$26*G$27&gt;0,AVERAGE(G$21:G$24, G$27),""),"")</f>
        <v/>
      </c>
      <c r="X155" s="227" t="str">
        <f aca="false">IFERROR(IF(H$21*H$22*H$23*H$24*H$26*H$27&gt;0,STDEV(H$21:H$24, H$27),"")/IF(H$21*H$22*H$23*H$24*H$26*H$27&gt;0,AVERAGE(H$21:H$24, H$27),""),"")</f>
        <v/>
      </c>
      <c r="Y155" s="227" t="str">
        <f aca="false">IFERROR(IF(I$21*I$22*I$23*I$24*I$26*I$27&gt;0,STDEV(I$21:I$24, I$27),"")/IF(I$21*I$22*I$23*I$24*I$26*I$27&gt;0,AVERAGE(I$21:I$24, I$27),""),"")</f>
        <v/>
      </c>
      <c r="Z155" s="227" t="str">
        <f aca="false">IFERROR(IF(J$21*J$22*J$23*J$24*J$26*J$27&gt;0,STDEV(J$21:J$24, J$27),"")/IF(J$21*J$22*J$23*J$24*J$26*J$27&gt;0,AVERAGE(J$21:J$24, J$27),""),"")</f>
        <v/>
      </c>
      <c r="AA155" s="227" t="str">
        <f aca="false">IFERROR(IF(K$21*K$22*K$23*K$24*K$26*K$27&gt;0,STDEV(K$21:K$24, K$27),"")/IF(K$21*K$22*K$23*K$24*K$26*K$27&gt;0,AVERAGE(K$21:K$24, K$27),""),"")</f>
        <v/>
      </c>
      <c r="AB155" s="227" t="str">
        <f aca="false">IFERROR(IF(L$21*L$22*L$23*L$24*L$26*L$27&gt;0,STDEV(L$21:L$24, L$27),"")/IF(L$21*L$22*L$23*L$24*L$26*L$27&gt;0,AVERAGE(L$21:L$24, L$27),""),"")</f>
        <v/>
      </c>
      <c r="AC155" s="227" t="str">
        <f aca="false">IFERROR(IF(M$21*M$22*M$23*M$24*M$26*M$27&gt;0,STDEV(M$21:M$24, M$27),"")/IF(M$21*M$22*M$23*M$24*M$26*M$27&gt;0,AVERAGE(M$21:M$24, M$27),""),"")</f>
        <v/>
      </c>
      <c r="AD155" s="227" t="str">
        <f aca="false">IFERROR(IF(N$21*N$22*N$23*N$24*N$26*N$27&gt;0,STDEV(N$21:N$24, N$27),"")/IF(N$21*N$22*N$23*N$24*N$26*N$27&gt;0,AVERAGE(N$21:N$24, N$27),""),"")</f>
        <v/>
      </c>
      <c r="AE155" s="233"/>
      <c r="AF155" s="229" t="s">
        <v>610</v>
      </c>
      <c r="AG155" s="230" t="str">
        <f aca="false">IFERROR(IF(C$21*C$22*C$23*C$24*C$26*C$27&gt;0,STDEV(C$21:C$24, C$27)," ")/IF(C$21*C$22*C$23*C$24*C$26*C$27&gt;0,SQRT(COUNT(C$21:C$24, C$27))," "),"")</f>
        <v/>
      </c>
      <c r="AH155" s="230" t="str">
        <f aca="false">IFERROR(IF(D$21*D$22*D$23*D$24*D$26*D$27&gt;0,STDEV(D$21:D$24, D$27)," ")/IF(D$21*D$22*D$23*D$24*D$26*D$27&gt;0,SQRT(COUNT(D$21:D$24, D$27))," "),"")</f>
        <v/>
      </c>
      <c r="AI155" s="230" t="str">
        <f aca="false">IFERROR(IF(E$21*E$22*E$23*E$24*E$26*E$27&gt;0,STDEV(E$21:E$24, E$27)," ")/IF(E$21*E$22*E$23*E$24*E$26*E$27&gt;0,SQRT(COUNT(E$21:E$24, E$27))," "),"")</f>
        <v/>
      </c>
      <c r="AJ155" s="230" t="str">
        <f aca="false">IFERROR(IF(F$21*F$22*F$23*F$24*F$26*F$27&gt;0,STDEV(F$21:F$24, F$27)," ")/IF(F$21*F$22*F$23*F$24*F$26*F$27&gt;0,SQRT(COUNT(F$21:F$24, F$27))," "),"")</f>
        <v/>
      </c>
      <c r="AK155" s="230" t="str">
        <f aca="false">IFERROR(IF(G$21*G$22*G$23*G$24*G$26*G$27&gt;0,STDEV(G$21:G$24, G$27)," ")/IF(G$21*G$22*G$23*G$24*G$26*G$27&gt;0,SQRT(COUNT(G$21:G$24, G$27))," "),"")</f>
        <v/>
      </c>
      <c r="AL155" s="230" t="str">
        <f aca="false">IFERROR(IF(H$21*H$22*H$23*H$24*H$26*H$27&gt;0,STDEV(H$21:H$24, H$27)," ")/IF(H$21*H$22*H$23*H$24*H$26*H$27&gt;0,SQRT(COUNT(H$21:H$24, H$27))," "),"")</f>
        <v/>
      </c>
      <c r="AM155" s="230" t="str">
        <f aca="false">IFERROR(IF(I$21*I$22*I$23*I$24*I$26*I$27&gt;0,STDEV(I$21:I$24, I$27)," ")/IF(I$21*I$22*I$23*I$24*I$26*I$27&gt;0,SQRT(COUNT(I$21:I$24, I$27))," "),"")</f>
        <v/>
      </c>
      <c r="AN155" s="230" t="str">
        <f aca="false">IFERROR(IF(J$21*J$22*J$23*J$24*J$26*J$27&gt;0,STDEV(J$21:J$24, J$27)," ")/IF(J$21*J$22*J$23*J$24*J$26*J$27&gt;0,SQRT(COUNT(J$21:J$24, J$27))," "),"")</f>
        <v/>
      </c>
      <c r="AO155" s="230" t="str">
        <f aca="false">IFERROR(IF(K$21*K$22*K$23*K$24*K$26*K$27&gt;0,STDEV(K$21:K$24, K$27)," ")/IF(K$21*K$22*K$23*K$24*K$26*K$27&gt;0,SQRT(COUNT(K$21:K$24, K$27))," "),"")</f>
        <v/>
      </c>
      <c r="AP155" s="230" t="str">
        <f aca="false">IFERROR(IF(L$21*L$22*L$23*L$24*L$26*L$27&gt;0,STDEV(L$21:L$24, L$27)," ")/IF(L$21*L$22*L$23*L$24*L$26*L$27&gt;0,SQRT(COUNT(L$21:L$24, L$27))," "),"")</f>
        <v/>
      </c>
      <c r="AQ155" s="230" t="str">
        <f aca="false">IFERROR(IF(M$21*M$22*M$23*M$24*M$26*M$27&gt;0,STDEV(M$21:M$24, M$27)," ")/IF(M$21*M$22*M$23*M$24*M$26*M$27&gt;0,SQRT(COUNT(M$21:M$24, M$27))," "),"")</f>
        <v/>
      </c>
      <c r="AR155" s="230" t="str">
        <f aca="false">IFERROR(IF(N$21*N$22*N$23*N$24*N$26*N$27&gt;0,STDEV(N$21:N$24, N$27)," ")/IF(N$21*N$22*N$23*N$24*N$26*N$27&gt;0,SQRT(COUNT(N$21:N$24, N$27))," "),"")</f>
        <v/>
      </c>
    </row>
    <row r="156" customFormat="false" ht="15.75" hidden="false" customHeight="false" outlineLevel="0" collapsed="false">
      <c r="A156" s="220" t="s">
        <v>611</v>
      </c>
      <c r="B156" s="221"/>
      <c r="C156" s="261" t="str">
        <f aca="false">IFERROR(IF(C$21*C$22*C$23*C$25*C$26*C$27&gt;0,AVERAGE(C$21:C$23,C$25:C$27),""),"")</f>
        <v/>
      </c>
      <c r="D156" s="261" t="str">
        <f aca="false">IFERROR(IF(D$21*D$22*D$23*D$25*D$26*D$27&gt;0,AVERAGE(D$21:D$23,D$25:D$27),""),"")</f>
        <v/>
      </c>
      <c r="E156" s="261" t="str">
        <f aca="false">IFERROR(IF(E$21*E$22*E$23*E$25*E$26*E$27&gt;0,AVERAGE(E$21:E$23,E$25:E$27),""),"")</f>
        <v/>
      </c>
      <c r="F156" s="261" t="str">
        <f aca="false">IFERROR(IF(F$21*F$22*F$23*F$25*F$26*F$27&gt;0,AVERAGE(F$21:F$23,F$25:F$27),""),"")</f>
        <v/>
      </c>
      <c r="G156" s="261" t="str">
        <f aca="false">IFERROR(IF(G$21*G$22*G$23*G$25*G$26*G$27&gt;0,AVERAGE(G$21:G$23,G$25:G$27),""),"")</f>
        <v/>
      </c>
      <c r="H156" s="261" t="str">
        <f aca="false">IFERROR(IF(H$21*H$22*H$23*H$25*H$26*H$27&gt;0,AVERAGE(H$21:H$23,H$25:H$27),""),"")</f>
        <v/>
      </c>
      <c r="I156" s="261" t="str">
        <f aca="false">IFERROR(IF(I$21*I$22*I$23*I$25*I$26*I$27&gt;0,AVERAGE(I$21:I$23,I$25:I$27),""),"")</f>
        <v/>
      </c>
      <c r="J156" s="261" t="str">
        <f aca="false">IFERROR(IF(J$21*J$22*J$23*J$25*J$26*J$27&gt;0,AVERAGE(J$21:J$23,J$25:J$27),""),"")</f>
        <v/>
      </c>
      <c r="K156" s="261" t="str">
        <f aca="false">IFERROR(IF(K$21*K$22*K$23*K$25*K$26*K$27&gt;0,AVERAGE(K$21:K$23,K$25:K$27),""),"")</f>
        <v/>
      </c>
      <c r="L156" s="261" t="str">
        <f aca="false">IFERROR(IF(L$21*L$22*L$23*L$25*L$26*L$27&gt;0,AVERAGE(L$21:L$23,L$25:L$27),""),"")</f>
        <v/>
      </c>
      <c r="M156" s="261" t="str">
        <f aca="false">IFERROR(IF(M$21*M$22*M$23*M$25*M$26*M$27&gt;0,AVERAGE(M$21:M$23,M$25:M$27),""),"")</f>
        <v/>
      </c>
      <c r="N156" s="261" t="str">
        <f aca="false">IFERROR(IF(N$21*N$22*N$23*N$25*N$26*N$27&gt;0,AVERAGE(N$21:N$23,N$25:N$27),""),"")</f>
        <v/>
      </c>
      <c r="O156" s="224"/>
      <c r="P156" s="224"/>
      <c r="Q156" s="232"/>
      <c r="R156" s="226" t="s">
        <v>612</v>
      </c>
      <c r="S156" s="227" t="str">
        <f aca="false">IFERROR(IF(C$21*C$22*C$23*C$25*C$26*C$27&gt;0,STDEV(C$21:C$23,C$25:C$27),"")/IF(C$21*C$22*C$23*C$25*C$26*C$27&gt;0,AVERAGE(C$21:C$23,C$25:C$27),""),"")</f>
        <v/>
      </c>
      <c r="T156" s="227" t="str">
        <f aca="false">IFERROR(IF(D$21*D$22*D$23*D$25*D$26*D$27&gt;0,STDEV(D$21:D$23,D$25:D$27),"")/IF(D$21*D$22*D$23*D$25*D$26*D$27&gt;0,AVERAGE(D$21:D$23,D$25:D$27),""),"")</f>
        <v/>
      </c>
      <c r="U156" s="227" t="str">
        <f aca="false">IFERROR(IF(E$21*E$22*E$23*E$25*E$26*E$27&gt;0,STDEV(E$21:E$23,E$25:E$27),"")/IF(E$21*E$22*E$23*E$25*E$26*E$27&gt;0,AVERAGE(E$21:E$23,E$25:E$27),""),"")</f>
        <v/>
      </c>
      <c r="V156" s="227" t="str">
        <f aca="false">IFERROR(IF(F$21*F$22*F$23*F$25*F$26*F$27&gt;0,STDEV(F$21:F$23,F$25:F$27),"")/IF(F$21*F$22*F$23*F$25*F$26*F$27&gt;0,AVERAGE(F$21:F$23,F$25:F$27),""),"")</f>
        <v/>
      </c>
      <c r="W156" s="227" t="str">
        <f aca="false">IFERROR(IF(G$21*G$22*G$23*G$25*G$26*G$27&gt;0,STDEV(G$21:G$23,G$25:G$27),"")/IF(G$21*G$22*G$23*G$25*G$26*G$27&gt;0,AVERAGE(G$21:G$23,G$25:G$27),""),"")</f>
        <v/>
      </c>
      <c r="X156" s="227" t="str">
        <f aca="false">IFERROR(IF(H$21*H$22*H$23*H$25*H$26*H$27&gt;0,STDEV(H$21:H$23,H$25:H$27),"")/IF(H$21*H$22*H$23*H$25*H$26*H$27&gt;0,AVERAGE(H$21:H$23,H$25:H$27),""),"")</f>
        <v/>
      </c>
      <c r="Y156" s="227" t="str">
        <f aca="false">IFERROR(IF(I$21*I$22*I$23*I$25*I$26*I$27&gt;0,STDEV(I$21:I$23,I$25:I$27),"")/IF(I$21*I$22*I$23*I$25*I$26*I$27&gt;0,AVERAGE(I$21:I$23,I$25:I$27),""),"")</f>
        <v/>
      </c>
      <c r="Z156" s="227" t="str">
        <f aca="false">IFERROR(IF(J$21*J$22*J$23*J$25*J$26*J$27&gt;0,STDEV(J$21:J$23,J$25:J$27),"")/IF(J$21*J$22*J$23*J$25*J$26*J$27&gt;0,AVERAGE(J$21:J$23,J$25:J$27),""),"")</f>
        <v/>
      </c>
      <c r="AA156" s="227" t="str">
        <f aca="false">IFERROR(IF(K$21*K$22*K$23*K$25*K$26*K$27&gt;0,STDEV(K$21:K$23,K$25:K$27),"")/IF(K$21*K$22*K$23*K$25*K$26*K$27&gt;0,AVERAGE(K$21:K$23,K$25:K$27),""),"")</f>
        <v/>
      </c>
      <c r="AB156" s="227" t="str">
        <f aca="false">IFERROR(IF(L$21*L$22*L$23*L$25*L$26*L$27&gt;0,STDEV(L$21:L$23,L$25:L$27),"")/IF(L$21*L$22*L$23*L$25*L$26*L$27&gt;0,AVERAGE(L$21:L$23,L$25:L$27),""),"")</f>
        <v/>
      </c>
      <c r="AC156" s="227" t="str">
        <f aca="false">IFERROR(IF(M$21*M$22*M$23*M$25*M$26*M$27&gt;0,STDEV(M$21:M$23,M$25:M$27),"")/IF(M$21*M$22*M$23*M$25*M$26*M$27&gt;0,AVERAGE(M$21:M$23,M$25:M$27),""),"")</f>
        <v/>
      </c>
      <c r="AD156" s="227" t="str">
        <f aca="false">IFERROR(IF(N$21*N$22*N$23*N$25*N$26*N$27&gt;0,STDEV(N$21:N$23,N$25:N$27),"")/IF(N$21*N$22*N$23*N$25*N$26*N$27&gt;0,AVERAGE(N$21:N$23,N$25:N$27),""),"")</f>
        <v/>
      </c>
      <c r="AE156" s="233"/>
      <c r="AF156" s="229" t="s">
        <v>613</v>
      </c>
      <c r="AG156" s="230" t="str">
        <f aca="false">IFERROR(IF(C$21*C$22*C$23*C$25*C$26*C$27&gt;0,STDEV(C$21:C$23,C$25:C$27)," ")/IF(C$21*C$22*C$23*C$25*C$26*C$27&gt;0,SQRT(COUNT(C$21:C$23,C$25:C$27))," "),"")</f>
        <v/>
      </c>
      <c r="AH156" s="230" t="str">
        <f aca="false">IFERROR(IF(D$21*D$22*D$23*D$25*D$26*D$27&gt;0,STDEV(D$21:D$23,D$25:D$27)," ")/IF(D$21*D$22*D$23*D$25*D$26*D$27&gt;0,SQRT(COUNT(D$21:D$23,D$25:D$27))," "),"")</f>
        <v/>
      </c>
      <c r="AI156" s="230" t="str">
        <f aca="false">IFERROR(IF(E$21*E$22*E$23*E$25*E$26*E$27&gt;0,STDEV(E$21:E$23,E$25:E$27)," ")/IF(E$21*E$22*E$23*E$25*E$26*E$27&gt;0,SQRT(COUNT(E$21:E$23,E$25:E$27))," "),"")</f>
        <v/>
      </c>
      <c r="AJ156" s="230" t="str">
        <f aca="false">IFERROR(IF(F$21*F$22*F$23*F$25*F$26*F$27&gt;0,STDEV(F$21:F$23,F$25:F$27)," ")/IF(F$21*F$22*F$23*F$25*F$26*F$27&gt;0,SQRT(COUNT(F$21:F$23,F$25:F$27))," "),"")</f>
        <v/>
      </c>
      <c r="AK156" s="230" t="str">
        <f aca="false">IFERROR(IF(G$21*G$22*G$23*G$25*G$26*G$27&gt;0,STDEV(G$21:G$23,G$25:G$27)," ")/IF(G$21*G$22*G$23*G$25*G$26*G$27&gt;0,SQRT(COUNT(G$21:G$23,G$25:G$27))," "),"")</f>
        <v/>
      </c>
      <c r="AL156" s="230" t="str">
        <f aca="false">IFERROR(IF(H$21*H$22*H$23*H$25*H$26*H$27&gt;0,STDEV(H$21:H$23,H$25:H$27)," ")/IF(H$21*H$22*H$23*H$25*H$26*H$27&gt;0,SQRT(COUNT(H$21:H$23,H$25:H$27))," "),"")</f>
        <v/>
      </c>
      <c r="AM156" s="230" t="str">
        <f aca="false">IFERROR(IF(I$21*I$22*I$23*I$25*I$26*I$27&gt;0,STDEV(I$21:I$23,I$25:I$27)," ")/IF(I$21*I$22*I$23*I$25*I$26*I$27&gt;0,SQRT(COUNT(I$21:I$23,I$25:I$27))," "),"")</f>
        <v/>
      </c>
      <c r="AN156" s="230" t="str">
        <f aca="false">IFERROR(IF(J$21*J$22*J$23*J$25*J$26*J$27&gt;0,STDEV(J$21:J$23,J$25:J$27)," ")/IF(J$21*J$22*J$23*J$25*J$26*J$27&gt;0,SQRT(COUNT(J$21:J$23,J$25:J$27))," "),"")</f>
        <v/>
      </c>
      <c r="AO156" s="230" t="str">
        <f aca="false">IFERROR(IF(K$21*K$22*K$23*K$25*K$26*K$27&gt;0,STDEV(K$21:K$23,K$25:K$27)," ")/IF(K$21*K$22*K$23*K$25*K$26*K$27&gt;0,SQRT(COUNT(K$21:K$23,K$25:K$27))," "),"")</f>
        <v/>
      </c>
      <c r="AP156" s="230" t="str">
        <f aca="false">IFERROR(IF(L$21*L$22*L$23*L$25*L$26*L$27&gt;0,STDEV(L$21:L$23,L$25:L$27)," ")/IF(L$21*L$22*L$23*L$25*L$26*L$27&gt;0,SQRT(COUNT(L$21:L$23,L$25:L$27))," "),"")</f>
        <v/>
      </c>
      <c r="AQ156" s="230" t="str">
        <f aca="false">IFERROR(IF(M$21*M$22*M$23*M$25*M$26*M$27&gt;0,STDEV(M$21:M$23,M$25:M$27)," ")/IF(M$21*M$22*M$23*M$25*M$26*M$27&gt;0,SQRT(COUNT(M$21:M$23,M$25:M$27))," "),"")</f>
        <v/>
      </c>
      <c r="AR156" s="230" t="str">
        <f aca="false">IFERROR(IF(N$21*N$22*N$23*N$25*N$26*N$27&gt;0,STDEV(N$21:N$23,N$25:N$27)," ")/IF(N$21*N$22*N$23*N$25*N$26*N$27&gt;0,SQRT(COUNT(N$21:N$23,N$25:N$27))," "),"")</f>
        <v/>
      </c>
    </row>
    <row r="157" customFormat="false" ht="15.75" hidden="false" customHeight="false" outlineLevel="0" collapsed="false">
      <c r="A157" s="220" t="s">
        <v>614</v>
      </c>
      <c r="B157" s="221"/>
      <c r="C157" s="261" t="str">
        <f aca="false">IFERROR(IF(C$21*C$22*C$24*C$25*C$26*C$27&gt;0,AVERAGE(C$21:C$22, C$24:C$27),""),"")</f>
        <v/>
      </c>
      <c r="D157" s="261" t="str">
        <f aca="false">IFERROR(IF(D$21*D$22*D$24*D$25*D$26*D$27&gt;0,AVERAGE(D$21:D$22, D$24:D$27),""),"")</f>
        <v/>
      </c>
      <c r="E157" s="261" t="str">
        <f aca="false">IFERROR(IF(E$21*E$22*E$24*E$25*E$26*E$27&gt;0,AVERAGE(E$21:E$22, E$24:E$27),""),"")</f>
        <v/>
      </c>
      <c r="F157" s="261" t="str">
        <f aca="false">IFERROR(IF(F$21*F$22*F$24*F$25*F$26*F$27&gt;0,AVERAGE(F$21:F$22, F$24:F$27),""),"")</f>
        <v/>
      </c>
      <c r="G157" s="261" t="str">
        <f aca="false">IFERROR(IF(G$21*G$22*G$24*G$25*G$26*G$27&gt;0,AVERAGE(G$21:G$22, G$24:G$27),""),"")</f>
        <v/>
      </c>
      <c r="H157" s="261" t="str">
        <f aca="false">IFERROR(IF(H$21*H$22*H$24*H$25*H$26*H$27&gt;0,AVERAGE(H$21:H$22, H$24:H$27),""),"")</f>
        <v/>
      </c>
      <c r="I157" s="261" t="str">
        <f aca="false">IFERROR(IF(I$21*I$22*I$24*I$25*I$26*I$27&gt;0,AVERAGE(I$21:I$22, I$24:I$27),""),"")</f>
        <v/>
      </c>
      <c r="J157" s="261" t="str">
        <f aca="false">IFERROR(IF(J$21*J$22*J$24*J$25*J$26*J$27&gt;0,AVERAGE(J$21:J$22, J$24:J$27),""),"")</f>
        <v/>
      </c>
      <c r="K157" s="261" t="str">
        <f aca="false">IFERROR(IF(K$21*K$22*K$24*K$25*K$26*K$27&gt;0,AVERAGE(K$21:K$22, K$24:K$27),""),"")</f>
        <v/>
      </c>
      <c r="L157" s="261" t="str">
        <f aca="false">IFERROR(IF(L$21*L$22*L$24*L$25*L$26*L$27&gt;0,AVERAGE(L$21:L$22, L$24:L$27),""),"")</f>
        <v/>
      </c>
      <c r="M157" s="261" t="str">
        <f aca="false">IFERROR(IF(M$21*M$22*M$24*M$25*M$26*M$27&gt;0,AVERAGE(M$21:M$22, M$24:M$27),""),"")</f>
        <v/>
      </c>
      <c r="N157" s="261" t="str">
        <f aca="false">IFERROR(IF(N$21*N$22*N$24*N$25*N$26*N$27&gt;0,AVERAGE(N$21:N$22, N$24:N$27),""),"")</f>
        <v/>
      </c>
      <c r="O157" s="224"/>
      <c r="P157" s="224"/>
      <c r="Q157" s="232"/>
      <c r="R157" s="226" t="s">
        <v>615</v>
      </c>
      <c r="S157" s="227" t="str">
        <f aca="false">IFERROR(IF(C$21*C$22*C$24*C$25*C$26*C$27&gt;0,STDEV(C$21:C$22, C$24:C$27),"")/IF(C$21*C$22*C$24*C$25*C$26*C$27&gt;0,AVERAGE(C$21:C$22, C$24:C$27),""),"")</f>
        <v/>
      </c>
      <c r="T157" s="227" t="str">
        <f aca="false">IFERROR(IF(D$21*D$22*D$24*D$25*D$26*D$27&gt;0,STDEV(D$21:D$22, D$24:D$27),"")/IF(D$21*D$22*D$24*D$25*D$26*D$27&gt;0,AVERAGE(D$21:D$22, D$24:D$27),""),"")</f>
        <v/>
      </c>
      <c r="U157" s="227" t="str">
        <f aca="false">IFERROR(IF(E$21*E$22*E$24*E$25*E$26*E$27&gt;0,STDEV(E$21:E$22, E$24:E$27),"")/IF(E$21*E$22*E$24*E$25*E$26*E$27&gt;0,AVERAGE(E$21:E$22, E$24:E$27),""),"")</f>
        <v/>
      </c>
      <c r="V157" s="227" t="str">
        <f aca="false">IFERROR(IF(F$21*F$22*F$24*F$25*F$26*F$27&gt;0,STDEV(F$21:F$22, F$24:F$27),"")/IF(F$21*F$22*F$24*F$25*F$26*F$27&gt;0,AVERAGE(F$21:F$22, F$24:F$27),""),"")</f>
        <v/>
      </c>
      <c r="W157" s="227" t="str">
        <f aca="false">IFERROR(IF(G$21*G$22*G$24*G$25*G$26*G$27&gt;0,STDEV(G$21:G$22, G$24:G$27),"")/IF(G$21*G$22*G$24*G$25*G$26*G$27&gt;0,AVERAGE(G$21:G$22, G$24:G$27),""),"")</f>
        <v/>
      </c>
      <c r="X157" s="227" t="str">
        <f aca="false">IFERROR(IF(H$21*H$22*H$24*H$25*H$26*H$27&gt;0,STDEV(H$21:H$22, H$24:H$27),"")/IF(H$21*H$22*H$24*H$25*H$26*H$27&gt;0,AVERAGE(H$21:H$22, H$24:H$27),""),"")</f>
        <v/>
      </c>
      <c r="Y157" s="227" t="str">
        <f aca="false">IFERROR(IF(I$21*I$22*I$24*I$25*I$26*I$27&gt;0,STDEV(I$21:I$22, I$24:I$27),"")/IF(I$21*I$22*I$24*I$25*I$26*I$27&gt;0,AVERAGE(I$21:I$22, I$24:I$27),""),"")</f>
        <v/>
      </c>
      <c r="Z157" s="227" t="str">
        <f aca="false">IFERROR(IF(J$21*J$22*J$24*J$25*J$26*J$27&gt;0,STDEV(J$21:J$22, J$24:J$27),"")/IF(J$21*J$22*J$24*J$25*J$26*J$27&gt;0,AVERAGE(J$21:J$22, J$24:J$27),""),"")</f>
        <v/>
      </c>
      <c r="AA157" s="227" t="str">
        <f aca="false">IFERROR(IF(K$21*K$22*K$24*K$25*K$26*K$27&gt;0,STDEV(K$21:K$22, K$24:K$27),"")/IF(K$21*K$22*K$24*K$25*K$26*K$27&gt;0,AVERAGE(K$21:K$22, K$24:K$27),""),"")</f>
        <v/>
      </c>
      <c r="AB157" s="227" t="str">
        <f aca="false">IFERROR(IF(L$21*L$22*L$24*L$25*L$26*L$27&gt;0,STDEV(L$21:L$22, L$24:L$27),"")/IF(L$21*L$22*L$24*L$25*L$26*L$27&gt;0,AVERAGE(L$21:L$22, L$24:L$27),""),"")</f>
        <v/>
      </c>
      <c r="AC157" s="227" t="str">
        <f aca="false">IFERROR(IF(M$21*M$22*M$24*M$25*M$26*M$27&gt;0,STDEV(M$21:M$22, M$24:M$27),"")/IF(M$21*M$22*M$24*M$25*M$26*M$27&gt;0,AVERAGE(M$21:M$22, M$24:M$27),""),"")</f>
        <v/>
      </c>
      <c r="AD157" s="227" t="str">
        <f aca="false">IFERROR(IF(N$21*N$22*N$24*N$25*N$26*N$27&gt;0,STDEV(N$21:N$22, N$24:N$27),"")/IF(N$21*N$22*N$24*N$25*N$26*N$27&gt;0,AVERAGE(N$21:N$22, N$24:N$27),""),"")</f>
        <v/>
      </c>
      <c r="AE157" s="233"/>
      <c r="AF157" s="229" t="s">
        <v>616</v>
      </c>
      <c r="AG157" s="230" t="str">
        <f aca="false">IFERROR(IF(C$21*C$22*C$24*C$25*C$26*C$27&gt;0,STDEV(C$21:C$22, C$24:C$27)," ")/IF(C$21*C$22*C$24*C$25*C$26*C$27&gt;0,SQRT(COUNT(C$21:C$22, C$24:C$27))," "),"")</f>
        <v/>
      </c>
      <c r="AH157" s="230" t="str">
        <f aca="false">IFERROR(IF(D$21*D$22*D$24*D$25*D$26*D$27&gt;0,STDEV(D$21:D$22, D$24:D$27)," ")/IF(D$21*D$22*D$24*D$25*D$26*D$27&gt;0,SQRT(COUNT(D$21:D$22, D$24:D$27))," "),"")</f>
        <v/>
      </c>
      <c r="AI157" s="230" t="str">
        <f aca="false">IFERROR(IF(E$21*E$22*E$24*E$25*E$26*E$27&gt;0,STDEV(E$21:E$22, E$24:E$27)," ")/IF(E$21*E$22*E$24*E$25*E$26*E$27&gt;0,SQRT(COUNT(E$21:E$22, E$24:E$27))," "),"")</f>
        <v/>
      </c>
      <c r="AJ157" s="230" t="str">
        <f aca="false">IFERROR(IF(F$21*F$22*F$24*F$25*F$26*F$27&gt;0,STDEV(F$21:F$22, F$24:F$27)," ")/IF(F$21*F$22*F$24*F$25*F$26*F$27&gt;0,SQRT(COUNT(F$21:F$22, F$24:F$27))," "),"")</f>
        <v/>
      </c>
      <c r="AK157" s="230" t="str">
        <f aca="false">IFERROR(IF(G$21*G$22*G$24*G$25*G$26*G$27&gt;0,STDEV(G$21:G$22, G$24:G$27)," ")/IF(G$21*G$22*G$24*G$25*G$26*G$27&gt;0,SQRT(COUNT(G$21:G$22, G$24:G$27))," "),"")</f>
        <v/>
      </c>
      <c r="AL157" s="230" t="str">
        <f aca="false">IFERROR(IF(H$21*H$22*H$24*H$25*H$26*H$27&gt;0,STDEV(H$21:H$22, H$24:H$27)," ")/IF(H$21*H$22*H$24*H$25*H$26*H$27&gt;0,SQRT(COUNT(H$21:H$22, H$24:H$27))," "),"")</f>
        <v/>
      </c>
      <c r="AM157" s="230" t="str">
        <f aca="false">IFERROR(IF(I$21*I$22*I$24*I$25*I$26*I$27&gt;0,STDEV(I$21:I$22, I$24:I$27)," ")/IF(I$21*I$22*I$24*I$25*I$26*I$27&gt;0,SQRT(COUNT(I$21:I$22, I$24:I$27))," "),"")</f>
        <v/>
      </c>
      <c r="AN157" s="230" t="str">
        <f aca="false">IFERROR(IF(J$21*J$22*J$24*J$25*J$26*J$27&gt;0,STDEV(J$21:J$22, J$24:J$27)," ")/IF(J$21*J$22*J$24*J$25*J$26*J$27&gt;0,SQRT(COUNT(J$21:J$22, J$24:J$27))," "),"")</f>
        <v/>
      </c>
      <c r="AO157" s="230" t="str">
        <f aca="false">IFERROR(IF(K$21*K$22*K$24*K$25*K$26*K$27&gt;0,STDEV(K$21:K$22, K$24:K$27)," ")/IF(K$21*K$22*K$24*K$25*K$26*K$27&gt;0,SQRT(COUNT(K$21:K$22, K$24:K$27))," "),"")</f>
        <v/>
      </c>
      <c r="AP157" s="230" t="str">
        <f aca="false">IFERROR(IF(L$21*L$22*L$24*L$25*L$26*L$27&gt;0,STDEV(L$21:L$22, L$24:L$27)," ")/IF(L$21*L$22*L$24*L$25*L$26*L$27&gt;0,SQRT(COUNT(L$21:L$22, L$24:L$27))," "),"")</f>
        <v/>
      </c>
      <c r="AQ157" s="230" t="str">
        <f aca="false">IFERROR(IF(M$21*M$22*M$24*M$25*M$26*M$27&gt;0,STDEV(M$21:M$22, M$24:M$27)," ")/IF(M$21*M$22*M$24*M$25*M$26*M$27&gt;0,SQRT(COUNT(M$21:M$22, M$24:M$27))," "),"")</f>
        <v/>
      </c>
      <c r="AR157" s="230" t="str">
        <f aca="false">IFERROR(IF(N$21*N$22*N$24*N$25*N$26*N$27&gt;0,STDEV(N$21:N$22, N$24:N$27)," ")/IF(N$21*N$22*N$24*N$25*N$26*N$27&gt;0,SQRT(COUNT(N$21:N$22, N$24:N$27))," "),"")</f>
        <v/>
      </c>
    </row>
    <row r="158" customFormat="false" ht="15.75" hidden="false" customHeight="false" outlineLevel="0" collapsed="false">
      <c r="A158" s="220" t="s">
        <v>617</v>
      </c>
      <c r="B158" s="221"/>
      <c r="C158" s="261" t="str">
        <f aca="false">IFERROR(IF(C$21*C$23*C$24*C$25*C$26*C$27&gt;0,AVERAGE(C$21, C$23:C$27),""),"")</f>
        <v/>
      </c>
      <c r="D158" s="261" t="str">
        <f aca="false">IFERROR(IF(D$21*D$23*D$24*D$25*D$26*D$27&gt;0,AVERAGE(D$21, D$23:D$27),""),"")</f>
        <v/>
      </c>
      <c r="E158" s="261" t="str">
        <f aca="false">IFERROR(IF(E$21*E$23*E$24*E$25*E$26*E$27&gt;0,AVERAGE(E$21, E$23:E$27),""),"")</f>
        <v/>
      </c>
      <c r="F158" s="261" t="str">
        <f aca="false">IFERROR(IF(F$21*F$23*F$24*F$25*F$26*F$27&gt;0,AVERAGE(F$21, F$23:F$27),""),"")</f>
        <v/>
      </c>
      <c r="G158" s="261" t="str">
        <f aca="false">IFERROR(IF(G$21*G$23*G$24*G$25*G$26*G$27&gt;0,AVERAGE(G$21, G$23:G$27),""),"")</f>
        <v/>
      </c>
      <c r="H158" s="261" t="str">
        <f aca="false">IFERROR(IF(H$21*H$23*H$24*H$25*H$26*H$27&gt;0,AVERAGE(H$21, H$23:H$27),""),"")</f>
        <v/>
      </c>
      <c r="I158" s="261" t="str">
        <f aca="false">IFERROR(IF(I$21*I$23*I$24*I$25*I$26*I$27&gt;0,AVERAGE(I$21, I$23:I$27),""),"")</f>
        <v/>
      </c>
      <c r="J158" s="261" t="str">
        <f aca="false">IFERROR(IF(J$21*J$23*J$24*J$25*J$26*J$27&gt;0,AVERAGE(J$21, J$23:J$27),""),"")</f>
        <v/>
      </c>
      <c r="K158" s="261" t="str">
        <f aca="false">IFERROR(IF(K$21*K$23*K$24*K$25*K$26*K$27&gt;0,AVERAGE(K$21, K$23:K$27),""),"")</f>
        <v/>
      </c>
      <c r="L158" s="261" t="str">
        <f aca="false">IFERROR(IF(L$21*L$23*L$24*L$25*L$26*L$27&gt;0,AVERAGE(L$21, L$23:L$27),""),"")</f>
        <v/>
      </c>
      <c r="M158" s="261" t="str">
        <f aca="false">IFERROR(IF(M$21*M$23*M$24*M$25*M$26*M$27&gt;0,AVERAGE(M$21, M$23:M$27),""),"")</f>
        <v/>
      </c>
      <c r="N158" s="261" t="str">
        <f aca="false">IFERROR(IF(N$21*N$23*N$24*N$25*N$26*N$27&gt;0,AVERAGE(N$21, N$23:N$27),""),"")</f>
        <v/>
      </c>
      <c r="O158" s="224"/>
      <c r="P158" s="224"/>
      <c r="Q158" s="232"/>
      <c r="R158" s="226" t="s">
        <v>618</v>
      </c>
      <c r="S158" s="227" t="str">
        <f aca="false">IFERROR(IF(C$21*C$23*C$24*C$25*C$26*C$27&gt;0,STDEV(C$21, C$23:C$27),"")/IF(C$21*C$23*C$24*C$25*C$26*C$27&gt;0,AVERAGE(C$21, C$23:C$27),""),"")</f>
        <v/>
      </c>
      <c r="T158" s="227" t="str">
        <f aca="false">IFERROR(IF(D$21*D$23*D$24*D$25*D$26*D$27&gt;0,STDEV(D$21, D$23:D$27),"")/IF(D$21*D$23*D$24*D$25*D$26*D$27&gt;0,AVERAGE(D$21, D$23:D$27),""),"")</f>
        <v/>
      </c>
      <c r="U158" s="227" t="str">
        <f aca="false">IFERROR(IF(E$21*E$23*E$24*E$25*E$26*E$27&gt;0,STDEV(E$21, E$23:E$27),"")/IF(E$21*E$23*E$24*E$25*E$26*E$27&gt;0,AVERAGE(E$21, E$23:E$27),""),"")</f>
        <v/>
      </c>
      <c r="V158" s="227" t="str">
        <f aca="false">IFERROR(IF(F$21*F$23*F$24*F$25*F$26*F$27&gt;0,STDEV(F$21, F$23:F$27),"")/IF(F$21*F$23*F$24*F$25*F$26*F$27&gt;0,AVERAGE(F$21, F$23:F$27),""),"")</f>
        <v/>
      </c>
      <c r="W158" s="227" t="str">
        <f aca="false">IFERROR(IF(G$21*G$23*G$24*G$25*G$26*G$27&gt;0,STDEV(G$21, G$23:G$27),"")/IF(G$21*G$23*G$24*G$25*G$26*G$27&gt;0,AVERAGE(G$21, G$23:G$27),""),"")</f>
        <v/>
      </c>
      <c r="X158" s="227" t="str">
        <f aca="false">IFERROR(IF(H$21*H$23*H$24*H$25*H$26*H$27&gt;0,STDEV(H$21, H$23:H$27),"")/IF(H$21*H$23*H$24*H$25*H$26*H$27&gt;0,AVERAGE(H$21, H$23:H$27),""),"")</f>
        <v/>
      </c>
      <c r="Y158" s="227" t="str">
        <f aca="false">IFERROR(IF(I$21*I$23*I$24*I$25*I$26*I$27&gt;0,STDEV(I$21, I$23:I$27),"")/IF(I$21*I$23*I$24*I$25*I$26*I$27&gt;0,AVERAGE(I$21, I$23:I$27),""),"")</f>
        <v/>
      </c>
      <c r="Z158" s="227" t="str">
        <f aca="false">IFERROR(IF(J$21*J$23*J$24*J$25*J$26*J$27&gt;0,STDEV(J$21, J$23:J$27),"")/IF(J$21*J$23*J$24*J$25*J$26*J$27&gt;0,AVERAGE(J$21, J$23:J$27),""),"")</f>
        <v/>
      </c>
      <c r="AA158" s="227" t="str">
        <f aca="false">IFERROR(IF(K$21*K$23*K$24*K$25*K$26*K$27&gt;0,STDEV(K$21, K$23:K$27),"")/IF(K$21*K$23*K$24*K$25*K$26*K$27&gt;0,AVERAGE(K$21, K$23:K$27),""),"")</f>
        <v/>
      </c>
      <c r="AB158" s="227" t="str">
        <f aca="false">IFERROR(IF(L$21*L$23*L$24*L$25*L$26*L$27&gt;0,STDEV(L$21, L$23:L$27),"")/IF(L$21*L$23*L$24*L$25*L$26*L$27&gt;0,AVERAGE(L$21, L$23:L$27),""),"")</f>
        <v/>
      </c>
      <c r="AC158" s="227" t="str">
        <f aca="false">IFERROR(IF(M$21*M$23*M$24*M$25*M$26*M$27&gt;0,STDEV(M$21, M$23:M$27),"")/IF(M$21*M$23*M$24*M$25*M$26*M$27&gt;0,AVERAGE(M$21, M$23:M$27),""),"")</f>
        <v/>
      </c>
      <c r="AD158" s="227" t="str">
        <f aca="false">IFERROR(IF(N$21*N$23*N$24*N$25*N$26*N$27&gt;0,STDEV(N$21, N$23:N$27),"")/IF(N$21*N$23*N$24*N$25*N$26*N$27&gt;0,AVERAGE(N$21, N$23:N$27),""),"")</f>
        <v/>
      </c>
      <c r="AE158" s="233"/>
      <c r="AF158" s="229" t="s">
        <v>619</v>
      </c>
      <c r="AG158" s="230" t="str">
        <f aca="false">IFERROR(IF(C$21*C$23*C$24*C$25*C$26*C$27&gt;0,STDEV(C$21, C$23:C$27)," ")/IF(C$21*C$23*C$24*C$25*C$26*C$27&gt;0,SQRT(COUNT(C$21, C$23:C$27))," "),"")</f>
        <v/>
      </c>
      <c r="AH158" s="230" t="str">
        <f aca="false">IFERROR(IF(D$21*D$23*D$24*D$25*D$26*D$27&gt;0,STDEV(D$21, D$23:D$27)," ")/IF(D$21*D$23*D$24*D$25*D$26*D$27&gt;0,SQRT(COUNT(D$21, D$23:D$27))," "),"")</f>
        <v/>
      </c>
      <c r="AI158" s="230" t="str">
        <f aca="false">IFERROR(IF(E$21*E$23*E$24*E$25*E$26*E$27&gt;0,STDEV(E$21, E$23:E$27)," ")/IF(E$21*E$23*E$24*E$25*E$26*E$27&gt;0,SQRT(COUNT(E$21, E$23:E$27))," "),"")</f>
        <v/>
      </c>
      <c r="AJ158" s="230" t="str">
        <f aca="false">IFERROR(IF(F$21*F$23*F$24*F$25*F$26*F$27&gt;0,STDEV(F$21, F$23:F$27)," ")/IF(F$21*F$23*F$24*F$25*F$26*F$27&gt;0,SQRT(COUNT(F$21, F$23:F$27))," "),"")</f>
        <v/>
      </c>
      <c r="AK158" s="230" t="str">
        <f aca="false">IFERROR(IF(G$21*G$23*G$24*G$25*G$26*G$27&gt;0,STDEV(G$21, G$23:G$27)," ")/IF(G$21*G$23*G$24*G$25*G$26*G$27&gt;0,SQRT(COUNT(G$21, G$23:G$27))," "),"")</f>
        <v/>
      </c>
      <c r="AL158" s="230" t="str">
        <f aca="false">IFERROR(IF(H$21*H$23*H$24*H$25*H$26*H$27&gt;0,STDEV(H$21, H$23:H$27)," ")/IF(H$21*H$23*H$24*H$25*H$26*H$27&gt;0,SQRT(COUNT(H$21, H$23:H$27))," "),"")</f>
        <v/>
      </c>
      <c r="AM158" s="230" t="str">
        <f aca="false">IFERROR(IF(I$21*I$23*I$24*I$25*I$26*I$27&gt;0,STDEV(I$21, I$23:I$27)," ")/IF(I$21*I$23*I$24*I$25*I$26*I$27&gt;0,SQRT(COUNT(I$21, I$23:I$27))," "),"")</f>
        <v/>
      </c>
      <c r="AN158" s="230" t="str">
        <f aca="false">IFERROR(IF(J$21*J$23*J$24*J$25*J$26*J$27&gt;0,STDEV(J$21, J$23:J$27)," ")/IF(J$21*J$23*J$24*J$25*J$26*J$27&gt;0,SQRT(COUNT(J$21, J$23:J$27))," "),"")</f>
        <v/>
      </c>
      <c r="AO158" s="230" t="str">
        <f aca="false">IFERROR(IF(K$21*K$23*K$24*K$25*K$26*K$27&gt;0,STDEV(K$21, K$23:K$27)," ")/IF(K$21*K$23*K$24*K$25*K$26*K$27&gt;0,SQRT(COUNT(K$21, K$23:K$27))," "),"")</f>
        <v/>
      </c>
      <c r="AP158" s="230" t="str">
        <f aca="false">IFERROR(IF(L$21*L$23*L$24*L$25*L$26*L$27&gt;0,STDEV(L$21, L$23:L$27)," ")/IF(L$21*L$23*L$24*L$25*L$26*L$27&gt;0,SQRT(COUNT(L$21, L$23:L$27))," "),"")</f>
        <v/>
      </c>
      <c r="AQ158" s="230" t="str">
        <f aca="false">IFERROR(IF(M$21*M$23*M$24*M$25*M$26*M$27&gt;0,STDEV(M$21, M$23:M$27)," ")/IF(M$21*M$23*M$24*M$25*M$26*M$27&gt;0,SQRT(COUNT(M$21, M$23:M$27))," "),"")</f>
        <v/>
      </c>
      <c r="AR158" s="230" t="str">
        <f aca="false">IFERROR(IF(N$21*N$23*N$24*N$25*N$26*N$27&gt;0,STDEV(N$21, N$23:N$27)," ")/IF(N$21*N$23*N$24*N$25*N$26*N$27&gt;0,SQRT(COUNT(N$21, N$23:N$27))," "),"")</f>
        <v/>
      </c>
    </row>
    <row r="159" customFormat="false" ht="15.75" hidden="false" customHeight="false" outlineLevel="0" collapsed="false">
      <c r="A159" s="242" t="s">
        <v>620</v>
      </c>
      <c r="B159" s="243"/>
      <c r="C159" s="262" t="str">
        <f aca="false">IFERROR(IF(C$22*C$23*C$24*C$25*C$26*C$27&gt;0,AVERAGE(C$22:C$27),""),"")</f>
        <v/>
      </c>
      <c r="D159" s="262" t="str">
        <f aca="false">IFERROR(IF(D$22*D$23*D$24*D$25*D$26*D$27&gt;0,AVERAGE(D$22:D$27),""),"")</f>
        <v/>
      </c>
      <c r="E159" s="262" t="str">
        <f aca="false">IFERROR(IF(E$22*E$23*E$24*E$25*E$26*E$27&gt;0,AVERAGE(E$22:E$27),""),"")</f>
        <v/>
      </c>
      <c r="F159" s="262" t="str">
        <f aca="false">IFERROR(IF(F$22*F$23*F$24*F$25*F$26*F$27&gt;0,AVERAGE(F$22:F$27),""),"")</f>
        <v/>
      </c>
      <c r="G159" s="262" t="str">
        <f aca="false">IFERROR(IF(G$22*G$23*G$24*G$25*G$26*G$27&gt;0,AVERAGE(G$22:G$27),""),"")</f>
        <v/>
      </c>
      <c r="H159" s="262" t="str">
        <f aca="false">IFERROR(IF(H$22*H$23*H$24*H$25*H$26*H$27&gt;0,AVERAGE(H$22:H$27),""),"")</f>
        <v/>
      </c>
      <c r="I159" s="262" t="str">
        <f aca="false">IFERROR(IF(I$22*I$23*I$24*I$25*I$26*I$27&gt;0,AVERAGE(I$22:I$27),""),"")</f>
        <v/>
      </c>
      <c r="J159" s="262" t="str">
        <f aca="false">IFERROR(IF(J$22*J$23*J$24*J$25*J$26*J$27&gt;0,AVERAGE(J$22:J$27),""),"")</f>
        <v/>
      </c>
      <c r="K159" s="262" t="str">
        <f aca="false">IFERROR(IF(K$22*K$23*K$24*K$25*K$26*K$27&gt;0,AVERAGE(K$22:K$27),""),"")</f>
        <v/>
      </c>
      <c r="L159" s="262" t="str">
        <f aca="false">IFERROR(IF(L$22*L$23*L$24*L$25*L$26*L$27&gt;0,AVERAGE(L$22:L$27),""),"")</f>
        <v/>
      </c>
      <c r="M159" s="262" t="str">
        <f aca="false">IFERROR(IF(M$22*M$23*M$24*M$25*M$26*M$27&gt;0,AVERAGE(M$22:M$27),""),"")</f>
        <v/>
      </c>
      <c r="N159" s="262" t="str">
        <f aca="false">IFERROR(IF(N$22*N$23*N$24*N$25*N$26*N$27&gt;0,AVERAGE(N$22:N$27),""),"")</f>
        <v/>
      </c>
      <c r="O159" s="245"/>
      <c r="P159" s="245"/>
      <c r="Q159" s="246"/>
      <c r="R159" s="247" t="s">
        <v>621</v>
      </c>
      <c r="S159" s="248" t="str">
        <f aca="false">IFERROR(IF(C$22*C$23*C$24*C$25*C$26*C$27&gt;0,STDEV(C$22:C$27),"")/IF(C$22*C$23*C$24*C$25*C$26*C$27&gt;0,AVERAGE(C$22:C$27),""),"")</f>
        <v/>
      </c>
      <c r="T159" s="248" t="str">
        <f aca="false">IFERROR(IF(D$22*D$23*D$24*D$25*D$26*D$27&gt;0,STDEV(D$22:D$27),"")/IF(D$22*D$23*D$24*D$25*D$26*D$27&gt;0,AVERAGE(D$22:D$27),""),"")</f>
        <v/>
      </c>
      <c r="U159" s="248" t="str">
        <f aca="false">IFERROR(IF(E$22*E$23*E$24*E$25*E$26*E$27&gt;0,STDEV(E$22:E$27),"")/IF(E$22*E$23*E$24*E$25*E$26*E$27&gt;0,AVERAGE(E$22:E$27),""),"")</f>
        <v/>
      </c>
      <c r="V159" s="248" t="str">
        <f aca="false">IFERROR(IF(F$22*F$23*F$24*F$25*F$26*F$27&gt;0,STDEV(F$22:F$27),"")/IF(F$22*F$23*F$24*F$25*F$26*F$27&gt;0,AVERAGE(F$22:F$27),""),"")</f>
        <v/>
      </c>
      <c r="W159" s="248" t="str">
        <f aca="false">IFERROR(IF(G$22*G$23*G$24*G$25*G$26*G$27&gt;0,STDEV(G$22:G$27),"")/IF(G$22*G$23*G$24*G$25*G$26*G$27&gt;0,AVERAGE(G$22:G$27),""),"")</f>
        <v/>
      </c>
      <c r="X159" s="248" t="str">
        <f aca="false">IFERROR(IF(H$22*H$23*H$24*H$25*H$26*H$27&gt;0,STDEV(H$22:H$27),"")/IF(H$22*H$23*H$24*H$25*H$26*H$27&gt;0,AVERAGE(H$22:H$27),""),"")</f>
        <v/>
      </c>
      <c r="Y159" s="248" t="str">
        <f aca="false">IFERROR(IF(I$22*I$23*I$24*I$25*I$26*I$27&gt;0,STDEV(I$22:I$27),"")/IF(I$22*I$23*I$24*I$25*I$26*I$27&gt;0,AVERAGE(I$22:I$27),""),"")</f>
        <v/>
      </c>
      <c r="Z159" s="248" t="str">
        <f aca="false">IFERROR(IF(J$22*J$23*J$24*J$25*J$26*J$27&gt;0,STDEV(J$22:J$27),"")/IF(J$22*J$23*J$24*J$25*J$26*J$27&gt;0,AVERAGE(J$22:J$27),""),"")</f>
        <v/>
      </c>
      <c r="AA159" s="248" t="str">
        <f aca="false">IFERROR(IF(K$22*K$23*K$24*K$25*K$26*K$27&gt;0,STDEV(K$22:K$27),"")/IF(K$22*K$23*K$24*K$25*K$26*K$27&gt;0,AVERAGE(K$22:K$27),""),"")</f>
        <v/>
      </c>
      <c r="AB159" s="248" t="str">
        <f aca="false">IFERROR(IF(L$22*L$23*L$24*L$25*L$26*L$27&gt;0,STDEV(L$22:L$27),"")/IF(L$22*L$23*L$24*L$25*L$26*L$27&gt;0,AVERAGE(L$22:L$27),""),"")</f>
        <v/>
      </c>
      <c r="AC159" s="248" t="str">
        <f aca="false">IFERROR(IF(M$22*M$23*M$24*M$25*M$26*M$27&gt;0,STDEV(M$22:M$27),"")/IF(M$22*M$23*M$24*M$25*M$26*M$27&gt;0,AVERAGE(M$22:M$27),""),"")</f>
        <v/>
      </c>
      <c r="AD159" s="248" t="str">
        <f aca="false">IFERROR(IF(N$22*N$23*N$24*N$25*N$26*N$27&gt;0,STDEV(N$22:N$27),"")/IF(N$22*N$23*N$24*N$25*N$26*N$27&gt;0,AVERAGE(N$22:N$27),""),"")</f>
        <v/>
      </c>
      <c r="AE159" s="249"/>
      <c r="AF159" s="250" t="s">
        <v>622</v>
      </c>
      <c r="AG159" s="251" t="str">
        <f aca="false">IFERROR(IF(C$22*C$23*C$24*C$25*C$26*C$27&gt;0,STDEV(C$22:C$27)," ")/IF(C$22*C$23*C$24*C$25*C$26*C$27&gt;0,SQRT(COUNT(C$22:C$27))," "),"")</f>
        <v/>
      </c>
      <c r="AH159" s="251" t="str">
        <f aca="false">IFERROR(IF(D$22*D$23*D$24*D$25*D$26*D$27&gt;0,STDEV(D$22:D$27)," ")/IF(D$22*D$23*D$24*D$25*D$26*D$27&gt;0,SQRT(COUNT(D$22:D$27))," "),"")</f>
        <v/>
      </c>
      <c r="AI159" s="251" t="str">
        <f aca="false">IFERROR(IF(E$22*E$23*E$24*E$25*E$26*E$27&gt;0,STDEV(E$22:E$27)," ")/IF(E$22*E$23*E$24*E$25*E$26*E$27&gt;0,SQRT(COUNT(E$22:E$27))," "),"")</f>
        <v/>
      </c>
      <c r="AJ159" s="251" t="str">
        <f aca="false">IFERROR(IF(F$22*F$23*F$24*F$25*F$26*F$27&gt;0,STDEV(F$22:F$27)," ")/IF(F$22*F$23*F$24*F$25*F$26*F$27&gt;0,SQRT(COUNT(F$22:F$27))," "),"")</f>
        <v/>
      </c>
      <c r="AK159" s="251" t="str">
        <f aca="false">IFERROR(IF(G$22*G$23*G$24*G$25*G$26*G$27&gt;0,STDEV(G$22:G$27)," ")/IF(G$22*G$23*G$24*G$25*G$26*G$27&gt;0,SQRT(COUNT(G$22:G$27))," "),"")</f>
        <v/>
      </c>
      <c r="AL159" s="251" t="str">
        <f aca="false">IFERROR(IF(H$22*H$23*H$24*H$25*H$26*H$27&gt;0,STDEV(H$22:H$27)," ")/IF(H$22*H$23*H$24*H$25*H$26*H$27&gt;0,SQRT(COUNT(H$22:H$27))," "),"")</f>
        <v/>
      </c>
      <c r="AM159" s="251" t="str">
        <f aca="false">IFERROR(IF(I$22*I$23*I$24*I$25*I$26*I$27&gt;0,STDEV(I$22:I$27)," ")/IF(I$22*I$23*I$24*I$25*I$26*I$27&gt;0,SQRT(COUNT(I$22:I$27))," "),"")</f>
        <v/>
      </c>
      <c r="AN159" s="251" t="str">
        <f aca="false">IFERROR(IF(J$22*J$23*J$24*J$25*J$26*J$27&gt;0,STDEV(J$22:J$27)," ")/IF(J$22*J$23*J$24*J$25*J$26*J$27&gt;0,SQRT(COUNT(J$22:J$27))," "),"")</f>
        <v/>
      </c>
      <c r="AO159" s="251" t="str">
        <f aca="false">IFERROR(IF(K$22*K$23*K$24*K$25*K$26*K$27&gt;0,STDEV(K$22:K$27)," ")/IF(K$22*K$23*K$24*K$25*K$26*K$27&gt;0,SQRT(COUNT(K$22:K$27))," "),"")</f>
        <v/>
      </c>
      <c r="AP159" s="251" t="str">
        <f aca="false">IFERROR(IF(L$22*L$23*L$24*L$25*L$26*L$27&gt;0,STDEV(L$22:L$27)," ")/IF(L$22*L$23*L$24*L$25*L$26*L$27&gt;0,SQRT(COUNT(L$22:L$27))," "),"")</f>
        <v/>
      </c>
      <c r="AQ159" s="251" t="str">
        <f aca="false">IFERROR(IF(M$22*M$23*M$24*M$25*M$26*M$27&gt;0,STDEV(M$22:M$27)," ")/IF(M$22*M$23*M$24*M$25*M$26*M$27&gt;0,SQRT(COUNT(M$22:M$27))," "),"")</f>
        <v/>
      </c>
      <c r="AR159" s="251" t="str">
        <f aca="false">IFERROR(IF(N$22*N$23*N$24*N$25*N$26*N$27&gt;0,STDEV(N$22:N$27)," ")/IF(N$22*N$23*N$24*N$25*N$26*N$27&gt;0,SQRT(COUNT(N$22:N$27))," "),"")</f>
        <v/>
      </c>
    </row>
    <row r="160" customFormat="false" ht="15.75" hidden="false" customHeight="false" outlineLevel="0" collapsed="false">
      <c r="A160" s="220" t="s">
        <v>623</v>
      </c>
      <c r="B160" s="221"/>
      <c r="C160" s="261" t="str">
        <f aca="false">IFERROR(IF(C$21*C$22*C$23*C$24*C$25*C$26*C$27&gt;0,AVERAGE(C$21:C$27),""),"")</f>
        <v/>
      </c>
      <c r="D160" s="261" t="str">
        <f aca="false">IFERROR(IF(D$21*D$22*D$23*D$24*D$25*D$26*D$27&gt;0,AVERAGE(D$21:D$27),""),"")</f>
        <v/>
      </c>
      <c r="E160" s="261" t="str">
        <f aca="false">IFERROR(IF(E$21*E$22*E$23*E$24*E$25*E$26*E$27&gt;0,AVERAGE(E$21:E$27),""),"")</f>
        <v/>
      </c>
      <c r="F160" s="261" t="str">
        <f aca="false">IFERROR(IF(F$21*F$22*F$23*F$24*F$25*F$26*F$27&gt;0,AVERAGE(F$21:F$27),""),"")</f>
        <v/>
      </c>
      <c r="G160" s="261" t="str">
        <f aca="false">IFERROR(IF(G$21*G$22*G$23*G$24*G$25*G$26*G$27&gt;0,AVERAGE(G$21:G$27),""),"")</f>
        <v/>
      </c>
      <c r="H160" s="261" t="str">
        <f aca="false">IFERROR(IF(H$21*H$22*H$23*H$24*H$25*H$26*H$27&gt;0,AVERAGE(H$21:H$27),""),"")</f>
        <v/>
      </c>
      <c r="I160" s="261" t="str">
        <f aca="false">IFERROR(IF(I$21*I$22*I$23*I$24*I$25*I$26*I$27&gt;0,AVERAGE(I$21:I$27),""),"")</f>
        <v/>
      </c>
      <c r="J160" s="261" t="str">
        <f aca="false">IFERROR(IF(J$21*J$22*J$23*J$24*J$25*J$26*J$27&gt;0,AVERAGE(J$21:J$27),""),"")</f>
        <v/>
      </c>
      <c r="K160" s="261" t="str">
        <f aca="false">IFERROR(IF(K$21*K$22*K$23*K$24*K$25*K$26*K$27&gt;0,AVERAGE(K$21:K$27),""),"")</f>
        <v/>
      </c>
      <c r="L160" s="261" t="str">
        <f aca="false">IFERROR(IF(L$21*L$22*L$23*L$24*L$25*L$26*L$27&gt;0,AVERAGE(L$21:L$27),""),"")</f>
        <v/>
      </c>
      <c r="M160" s="261" t="str">
        <f aca="false">IFERROR(IF(M$21*M$22*M$23*M$24*M$25*M$26*M$27&gt;0,AVERAGE(M$21:M$27),""),"")</f>
        <v/>
      </c>
      <c r="N160" s="261" t="str">
        <f aca="false">IFERROR(IF(N$21*N$22*N$23*N$24*N$25*N$26*N$27&gt;0,AVERAGE(N$21:N$27),""),"")</f>
        <v/>
      </c>
      <c r="O160" s="240" t="n">
        <v>7</v>
      </c>
      <c r="P160" s="224" t="n">
        <f aca="false">COMBIN(7,7)</f>
        <v>1</v>
      </c>
      <c r="Q160" s="252" t="n">
        <f aca="false">ROW(N160)-ROW(N160)+1</f>
        <v>1</v>
      </c>
      <c r="R160" s="226" t="s">
        <v>624</v>
      </c>
      <c r="S160" s="227" t="str">
        <f aca="false">IFERROR(IF(C$21*C$22*C$23*C$24*C$25*C$26*C$27&gt;0,STDEV(C$21:C$27),"")/IF(C$21*C$22*C$23*C$24*C$25*C$26*C$27&gt;0,AVERAGE(C$21:C$27),""),"")</f>
        <v/>
      </c>
      <c r="T160" s="227" t="str">
        <f aca="false">IFERROR(IF(D$21*D$22*D$23*D$24*D$25*D$26*D$27&gt;0,STDEV(D$21:D$27),"")/IF(D$21*D$22*D$23*D$24*D$25*D$26*D$27&gt;0,AVERAGE(D$21:D$27),""),"")</f>
        <v/>
      </c>
      <c r="U160" s="227" t="str">
        <f aca="false">IFERROR(IF(E$21*E$22*E$23*E$24*E$25*E$26*E$27&gt;0,STDEV(E$21:E$27),"")/IF(E$21*E$22*E$23*E$24*E$25*E$26*E$27&gt;0,AVERAGE(E$21:E$27),""),"")</f>
        <v/>
      </c>
      <c r="V160" s="227" t="str">
        <f aca="false">IFERROR(IF(F$21*F$22*F$23*F$24*F$25*F$26*F$27&gt;0,STDEV(F$21:F$27),"")/IF(F$21*F$22*F$23*F$24*F$25*F$26*F$27&gt;0,AVERAGE(F$21:F$27),""),"")</f>
        <v/>
      </c>
      <c r="W160" s="227" t="str">
        <f aca="false">IFERROR(IF(G$21*G$22*G$23*G$24*G$25*G$26*G$27&gt;0,STDEV(G$21:G$27),"")/IF(G$21*G$22*G$23*G$24*G$25*G$26*G$27&gt;0,AVERAGE(G$21:G$27),""),"")</f>
        <v/>
      </c>
      <c r="X160" s="227" t="str">
        <f aca="false">IFERROR(IF(H$21*H$22*H$23*H$24*H$25*H$26*H$27&gt;0,STDEV(H$21:H$27),"")/IF(H$21*H$22*H$23*H$24*H$25*H$26*H$27&gt;0,AVERAGE(H$21:H$27),""),"")</f>
        <v/>
      </c>
      <c r="Y160" s="227" t="str">
        <f aca="false">IFERROR(IF(I$21*I$22*I$23*I$24*I$25*I$26*I$27&gt;0,STDEV(I$21:I$27),"")/IF(I$21*I$22*I$23*I$24*I$25*I$26*I$27&gt;0,AVERAGE(I$21:I$27),""),"")</f>
        <v/>
      </c>
      <c r="Z160" s="227" t="str">
        <f aca="false">IFERROR(IF(J$21*J$22*J$23*J$24*J$25*J$26*J$27&gt;0,STDEV(J$21:J$27),"")/IF(J$21*J$22*J$23*J$24*J$25*J$26*J$27&gt;0,AVERAGE(J$21:J$27),""),"")</f>
        <v/>
      </c>
      <c r="AA160" s="227" t="str">
        <f aca="false">IFERROR(IF(K$21*K$22*K$23*K$24*K$25*K$26*K$27&gt;0,STDEV(K$21:K$27),"")/IF(K$21*K$22*K$23*K$24*K$25*K$26*K$27&gt;0,AVERAGE(K$21:K$27),""),"")</f>
        <v/>
      </c>
      <c r="AB160" s="227" t="str">
        <f aca="false">IFERROR(IF(L$21*L$22*L$23*L$24*L$25*L$26*L$27&gt;0,STDEV(L$21:L$27),"")/IF(L$21*L$22*L$23*L$24*L$25*L$26*L$27&gt;0,AVERAGE(L$21:L$27),""),"")</f>
        <v/>
      </c>
      <c r="AC160" s="227" t="str">
        <f aca="false">IFERROR(IF(M$21*M$22*M$23*M$24*M$25*M$26*M$27&gt;0,STDEV(M$21:M$27),"")/IF(M$21*M$22*M$23*M$24*M$25*M$26*M$27&gt;0,AVERAGE(M$21:M$27),""),"")</f>
        <v/>
      </c>
      <c r="AD160" s="227" t="str">
        <f aca="false">IFERROR(IF(N$21*N$22*N$23*N$24*N$25*N$26*N$27&gt;0,STDEV(N$21:N$27),"")/IF(N$21*N$22*N$23*N$24*N$25*N$26*N$27&gt;0,AVERAGE(N$21:N$27),""),"")</f>
        <v/>
      </c>
      <c r="AE160" s="233"/>
      <c r="AF160" s="229" t="s">
        <v>625</v>
      </c>
      <c r="AG160" s="230" t="str">
        <f aca="false">IFERROR(IF(C$21*C$22*C$23*C$24*C$25*C$26*C$27&gt;0,STDEV(C$21:C$27)," ")/IF(C$21*C$22*C$23*C$24*C$25*C$26*C$27&gt;0,SQRT(COUNT(C$21:C$27))," "),"")</f>
        <v/>
      </c>
      <c r="AH160" s="230" t="str">
        <f aca="false">IFERROR(IF(D$21*D$22*D$23*D$24*D$25*D$26*D$27&gt;0,STDEV(D$21:D$27)," ")/IF(D$21*D$22*D$23*D$24*D$25*D$26*D$27&gt;0,SQRT(COUNT(D$21:D$27))," "),"")</f>
        <v/>
      </c>
      <c r="AI160" s="230" t="str">
        <f aca="false">IFERROR(IF(E$21*E$22*E$23*E$24*E$25*E$26*E$27&gt;0,STDEV(E$21:E$27)," ")/IF(E$21*E$22*E$23*E$24*E$25*E$26*E$27&gt;0,SQRT(COUNT(E$21:E$27))," "),"")</f>
        <v/>
      </c>
      <c r="AJ160" s="230" t="str">
        <f aca="false">IFERROR(IF(F$21*F$22*F$23*F$24*F$25*F$26*F$27&gt;0,STDEV(F$21:F$27)," ")/IF(F$21*F$22*F$23*F$24*F$25*F$26*F$27&gt;0,SQRT(COUNT(F$21:F$27))," "),"")</f>
        <v/>
      </c>
      <c r="AK160" s="230" t="str">
        <f aca="false">IFERROR(IF(G$21*G$22*G$23*G$24*G$25*G$26*G$27&gt;0,STDEV(G$21:G$27)," ")/IF(G$21*G$22*G$23*G$24*G$25*G$26*G$27&gt;0,SQRT(COUNT(G$21:G$27))," "),"")</f>
        <v/>
      </c>
      <c r="AL160" s="230" t="str">
        <f aca="false">IFERROR(IF(H$21*H$22*H$23*H$24*H$25*H$26*H$27&gt;0,STDEV(H$21:H$27)," ")/IF(H$21*H$22*H$23*H$24*H$25*H$26*H$27&gt;0,SQRT(COUNT(H$21:H$27))," "),"")</f>
        <v/>
      </c>
      <c r="AM160" s="230" t="str">
        <f aca="false">IFERROR(IF(I$21*I$22*I$23*I$24*I$25*I$26*I$27&gt;0,STDEV(I$21:I$27)," ")/IF(I$21*I$22*I$23*I$24*I$25*I$26*I$27&gt;0,SQRT(COUNT(I$21:I$27))," "),"")</f>
        <v/>
      </c>
      <c r="AN160" s="230" t="str">
        <f aca="false">IFERROR(IF(J$21*J$22*J$23*J$24*J$25*J$26*J$27&gt;0,STDEV(J$21:J$27)," ")/IF(J$21*J$22*J$23*J$24*J$25*J$26*J$27&gt;0,SQRT(COUNT(J$21:J$27))," "),"")</f>
        <v/>
      </c>
      <c r="AO160" s="230" t="str">
        <f aca="false">IFERROR(IF(K$21*K$22*K$23*K$24*K$25*K$26*K$27&gt;0,STDEV(K$21:K$27)," ")/IF(K$21*K$22*K$23*K$24*K$25*K$26*K$27&gt;0,SQRT(COUNT(K$21:K$27))," "),"")</f>
        <v/>
      </c>
      <c r="AP160" s="230" t="str">
        <f aca="false">IFERROR(IF(L$21*L$22*L$23*L$24*L$25*L$26*L$27&gt;0,STDEV(L$21:L$27)," ")/IF(L$21*L$22*L$23*L$24*L$25*L$26*L$27&gt;0,SQRT(COUNT(L$21:L$27))," "),"")</f>
        <v/>
      </c>
      <c r="AQ160" s="230" t="str">
        <f aca="false">IFERROR(IF(M$21*M$22*M$23*M$24*M$25*M$26*M$27&gt;0,STDEV(M$21:M$27)," ")/IF(M$21*M$22*M$23*M$24*M$25*M$26*M$27&gt;0,SQRT(COUNT(M$21:M$27))," "),"")</f>
        <v/>
      </c>
      <c r="AR160" s="230" t="str">
        <f aca="false">IFERROR(IF(N$21*N$22*N$23*N$24*N$25*N$26*N$27&gt;0,STDEV(N$21:N$27)," ")/IF(N$21*N$22*N$23*N$24*N$25*N$26*N$27&gt;0,SQRT(COUNT(N$21:N$27))," "),"")</f>
        <v/>
      </c>
    </row>
    <row r="161" customFormat="false" ht="15.75" hidden="false" customHeight="false" outlineLevel="0" collapsed="false">
      <c r="A161" s="44"/>
      <c r="B161" s="120"/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44"/>
      <c r="O161" s="44" t="n">
        <f aca="false">SUM(P$41:P160)</f>
        <v>120</v>
      </c>
      <c r="P161" s="83" t="n">
        <f aca="false">SUM(Q$41:Q160)</f>
        <v>120</v>
      </c>
      <c r="Q161" s="44" t="n">
        <f aca="false">SUM(COMBIN(7,2), COMBIN(7,3), COMBIN(7,4), COMBIN(7,5), COMBIN(7,6), COMBIN(7,7))</f>
        <v>120</v>
      </c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157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</row>
    <row r="162" customFormat="false" ht="15.75" hidden="false" customHeight="false" outlineLevel="0" collapsed="false">
      <c r="A162" s="44"/>
      <c r="B162" s="120"/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44"/>
      <c r="O162" s="44"/>
      <c r="P162" s="83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157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</row>
    <row r="163" customFormat="false" ht="15" hidden="false" customHeight="false" outlineLevel="0" collapsed="false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265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</row>
    <row r="164" customFormat="false" ht="18" hidden="false" customHeight="false" outlineLevel="0" collapsed="false">
      <c r="A164" s="59" t="s">
        <v>626</v>
      </c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265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</row>
    <row r="165" customFormat="false" ht="15" hidden="false" customHeight="false" outlineLevel="0" collapsed="false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265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</row>
    <row r="166" customFormat="false" ht="15" hidden="false" customHeight="false" outlineLevel="0" collapsed="false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265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</row>
    <row r="167" customFormat="false" ht="21" hidden="false" customHeight="false" outlineLevel="0" collapsed="false">
      <c r="A167" s="44"/>
      <c r="B167" s="185" t="s">
        <v>265</v>
      </c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5"/>
      <c r="P167" s="95"/>
      <c r="Q167" s="186"/>
      <c r="R167" s="44" t="s">
        <v>266</v>
      </c>
      <c r="S167" s="44"/>
      <c r="T167" s="44"/>
      <c r="U167" s="44"/>
      <c r="V167" s="44"/>
      <c r="W167" s="44"/>
      <c r="X167" s="95"/>
      <c r="Y167" s="44"/>
      <c r="Z167" s="149"/>
      <c r="AA167" s="85"/>
      <c r="AB167" s="85"/>
      <c r="AC167" s="85"/>
      <c r="AD167" s="85"/>
      <c r="AE167" s="157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</row>
    <row r="168" customFormat="false" ht="15.75" hidden="false" customHeight="false" outlineLevel="0" collapsed="false">
      <c r="A168" s="58" t="s">
        <v>267</v>
      </c>
      <c r="B168" s="42"/>
      <c r="C168" s="44"/>
      <c r="D168" s="44"/>
      <c r="E168" s="44"/>
      <c r="F168" s="44"/>
      <c r="G168" s="44"/>
      <c r="H168" s="44"/>
      <c r="I168" s="44"/>
      <c r="J168" s="44"/>
      <c r="K168" s="44"/>
      <c r="L168" s="58"/>
      <c r="M168" s="58"/>
      <c r="N168" s="58"/>
      <c r="O168" s="58"/>
      <c r="P168" s="95"/>
      <c r="Q168" s="186"/>
      <c r="R168" s="44"/>
      <c r="S168" s="44"/>
      <c r="T168" s="44" t="s">
        <v>269</v>
      </c>
      <c r="U168" s="44"/>
      <c r="V168" s="44"/>
      <c r="W168" s="44"/>
      <c r="X168" s="95"/>
      <c r="Y168" s="187"/>
      <c r="Z168" s="148"/>
      <c r="AA168" s="84"/>
      <c r="AB168" s="84"/>
      <c r="AC168" s="84"/>
      <c r="AD168" s="85"/>
      <c r="AE168" s="157"/>
      <c r="AF168" s="44"/>
      <c r="AG168" s="44"/>
      <c r="AH168" s="44"/>
      <c r="AI168" s="44"/>
      <c r="AJ168" s="44"/>
      <c r="AK168" s="44"/>
      <c r="AL168" s="44"/>
      <c r="AM168" s="44"/>
      <c r="AN168" s="44"/>
      <c r="AO168" s="42"/>
      <c r="AP168" s="44"/>
      <c r="AQ168" s="44"/>
      <c r="AR168" s="44"/>
    </row>
    <row r="169" customFormat="false" ht="15.75" hidden="false" customHeight="false" outlineLevel="0" collapsed="false">
      <c r="A169" s="116"/>
      <c r="B169" s="97"/>
      <c r="C169" s="97" t="n">
        <v>1</v>
      </c>
      <c r="D169" s="97" t="n">
        <v>2</v>
      </c>
      <c r="E169" s="97" t="n">
        <v>3</v>
      </c>
      <c r="F169" s="97" t="n">
        <v>4</v>
      </c>
      <c r="G169" s="97" t="n">
        <v>5</v>
      </c>
      <c r="H169" s="97" t="n">
        <v>6</v>
      </c>
      <c r="I169" s="97" t="n">
        <v>7</v>
      </c>
      <c r="J169" s="97" t="n">
        <v>8</v>
      </c>
      <c r="K169" s="97" t="n">
        <v>9</v>
      </c>
      <c r="L169" s="97" t="n">
        <v>10</v>
      </c>
      <c r="M169" s="98" t="n">
        <v>11</v>
      </c>
      <c r="N169" s="98" t="n">
        <v>12</v>
      </c>
      <c r="O169" s="42"/>
      <c r="P169" s="42"/>
      <c r="Q169" s="188"/>
      <c r="R169" s="42"/>
      <c r="S169" s="42"/>
      <c r="T169" s="44"/>
      <c r="U169" s="44" t="s">
        <v>271</v>
      </c>
      <c r="V169" s="95"/>
      <c r="W169" s="187"/>
      <c r="Z169" s="151"/>
      <c r="AA169" s="100"/>
      <c r="AB169" s="100"/>
      <c r="AC169" s="100"/>
      <c r="AD169" s="85"/>
      <c r="AE169" s="157"/>
      <c r="AF169" s="44"/>
      <c r="AG169" s="44"/>
      <c r="AH169" s="44"/>
      <c r="AI169" s="44"/>
      <c r="AJ169" s="44"/>
      <c r="AK169" s="44"/>
      <c r="AL169" s="44"/>
      <c r="AM169" s="44"/>
      <c r="AN169" s="44"/>
      <c r="AO169" s="99"/>
      <c r="AP169" s="44"/>
      <c r="AQ169" s="44"/>
      <c r="AR169" s="44"/>
    </row>
    <row r="170" customFormat="false" ht="16.5" hidden="false" customHeight="false" outlineLevel="0" collapsed="false">
      <c r="A170" s="97" t="s">
        <v>166</v>
      </c>
      <c r="B170" s="97" t="s">
        <v>226</v>
      </c>
      <c r="C170" s="95" t="str">
        <f aca="false">'Titer Calculation'!C48</f>
        <v>pALD-eGFP</v>
      </c>
      <c r="D170" s="95" t="str">
        <f aca="false">'Titer Calculation'!D48</f>
        <v>pCTX</v>
      </c>
      <c r="E170" s="95" t="str">
        <f aca="false">'Titer Calculation'!E48</f>
        <v>pCTX</v>
      </c>
      <c r="F170" s="95" t="str">
        <f aca="false">'Titer Calculation'!F48</f>
        <v>pCTX</v>
      </c>
      <c r="G170" s="95" t="str">
        <f aca="false">'Titer Calculation'!G48</f>
        <v>pCTX</v>
      </c>
      <c r="H170" s="95" t="str">
        <f aca="false">'Titer Calculation'!H48</f>
        <v>pCTX</v>
      </c>
      <c r="I170" s="95" t="str">
        <f aca="false">'Titer Calculation'!I48</f>
        <v>pCTX</v>
      </c>
      <c r="J170" s="95" t="str">
        <f aca="false">'Titer Calculation'!J48</f>
        <v>pCTX</v>
      </c>
      <c r="K170" s="95" t="str">
        <f aca="false">'Titer Calculation'!K48</f>
        <v>pCTX</v>
      </c>
      <c r="L170" s="95" t="str">
        <f aca="false">'Titer Calculation'!L48</f>
        <v>pCTX</v>
      </c>
      <c r="M170" s="95" t="str">
        <f aca="false">'Titer Calculation'!M48</f>
        <v>pCTX</v>
      </c>
      <c r="N170" s="95" t="str">
        <f aca="false">'Titer Calculation'!N48</f>
        <v>pCTX</v>
      </c>
      <c r="O170" s="44"/>
      <c r="P170" s="95"/>
      <c r="Q170" s="191"/>
      <c r="R170" s="99"/>
      <c r="S170" s="99"/>
      <c r="T170" s="44" t="s">
        <v>272</v>
      </c>
      <c r="U170" s="44" t="s">
        <v>273</v>
      </c>
      <c r="V170" s="44" t="s">
        <v>274</v>
      </c>
      <c r="W170" s="44"/>
      <c r="Z170" s="148"/>
      <c r="AA170" s="84"/>
      <c r="AB170" s="84"/>
      <c r="AC170" s="84"/>
      <c r="AD170" s="85"/>
      <c r="AE170" s="157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</row>
    <row r="171" customFormat="false" ht="15.75" hidden="false" customHeight="false" outlineLevel="0" collapsed="false">
      <c r="A171" s="97" t="s">
        <v>167</v>
      </c>
      <c r="B171" s="97" t="n">
        <f aca="false">'Titer Calculation'!B49</f>
        <v>5</v>
      </c>
      <c r="C171" s="102" t="str">
        <f aca="false">IFERROR(IF(AND('Titer Calculation'!C49&lt;='Titer Calculation'!$T$4,'Titer Calculation'!C49&gt;'Titer Calculation'!$T$5), 'Titer Calculation'!C49," "), "")</f>
        <v> </v>
      </c>
      <c r="D171" s="102" t="str">
        <f aca="false">IFERROR(IF(AND('Titer Calculation'!D49&lt;='Titer Calculation'!$T$4,'Titer Calculation'!D49&gt;'Titer Calculation'!$T$5), 'Titer Calculation'!D49," "), "")</f>
        <v> </v>
      </c>
      <c r="E171" s="102" t="str">
        <f aca="false">IFERROR(IF(AND('Titer Calculation'!E49&lt;='Titer Calculation'!$T$4,'Titer Calculation'!E49&gt;'Titer Calculation'!$T$5), 'Titer Calculation'!E49," "), "")</f>
        <v> </v>
      </c>
      <c r="F171" s="102" t="str">
        <f aca="false">IFERROR(IF(AND('Titer Calculation'!F49&lt;='Titer Calculation'!$T$4,'Titer Calculation'!F49&gt;'Titer Calculation'!$T$5), 'Titer Calculation'!F49," "), "")</f>
        <v> </v>
      </c>
      <c r="G171" s="102" t="str">
        <f aca="false">IFERROR(IF(AND('Titer Calculation'!G49&lt;='Titer Calculation'!$T$4,'Titer Calculation'!G49&gt;'Titer Calculation'!$T$5), 'Titer Calculation'!G49," "), "")</f>
        <v> </v>
      </c>
      <c r="H171" s="102" t="str">
        <f aca="false">IFERROR(IF(AND('Titer Calculation'!H49&lt;='Titer Calculation'!$T$4,'Titer Calculation'!H49&gt;'Titer Calculation'!$T$5), 'Titer Calculation'!H49," "), "")</f>
        <v> </v>
      </c>
      <c r="I171" s="102" t="str">
        <f aca="false">IFERROR(IF(AND('Titer Calculation'!I49&lt;='Titer Calculation'!$T$4,'Titer Calculation'!I49&gt;'Titer Calculation'!$T$5), 'Titer Calculation'!I49," "), "")</f>
        <v> </v>
      </c>
      <c r="J171" s="102" t="str">
        <f aca="false">IFERROR(IF(AND('Titer Calculation'!J49&lt;='Titer Calculation'!$T$4,'Titer Calculation'!J49&gt;'Titer Calculation'!$T$5), 'Titer Calculation'!J49," "), "")</f>
        <v> </v>
      </c>
      <c r="K171" s="102" t="str">
        <f aca="false">IFERROR(IF(AND('Titer Calculation'!K49&lt;='Titer Calculation'!$T$4,'Titer Calculation'!K49&gt;'Titer Calculation'!$T$5), 'Titer Calculation'!K49," "), "")</f>
        <v> </v>
      </c>
      <c r="L171" s="102" t="str">
        <f aca="false">IFERROR(IF(AND('Titer Calculation'!L49&lt;='Titer Calculation'!$T$4,'Titer Calculation'!L49&gt;'Titer Calculation'!$T$5), 'Titer Calculation'!L49," "), "")</f>
        <v> </v>
      </c>
      <c r="M171" s="102" t="str">
        <f aca="false">IFERROR(IF(AND('Titer Calculation'!M49&lt;='Titer Calculation'!$T$4,'Titer Calculation'!M49&gt;'Titer Calculation'!$T$5), 'Titer Calculation'!M49," "), "")</f>
        <v> </v>
      </c>
      <c r="N171" s="102" t="str">
        <f aca="false">IFERROR(IF(AND('Titer Calculation'!N49&lt;='Titer Calculation'!$T$4,'Titer Calculation'!N49&gt;'Titer Calculation'!$T$5), 'Titer Calculation'!N49," "), "")</f>
        <v> </v>
      </c>
      <c r="O171" s="44"/>
      <c r="P171" s="266" t="s">
        <v>627</v>
      </c>
      <c r="Q171" s="267"/>
      <c r="R171" s="268"/>
      <c r="S171" s="44"/>
      <c r="T171" s="193" t="n">
        <v>2</v>
      </c>
      <c r="U171" s="194" t="s">
        <v>276</v>
      </c>
      <c r="V171" s="196" t="n">
        <v>222</v>
      </c>
      <c r="W171" s="44" t="n">
        <f aca="false">COMBIN(7,T171)</f>
        <v>21</v>
      </c>
      <c r="Z171" s="269"/>
      <c r="AA171" s="269"/>
      <c r="AB171" s="103"/>
      <c r="AC171" s="103"/>
      <c r="AD171" s="85"/>
      <c r="AE171" s="157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</row>
    <row r="172" customFormat="false" ht="15.75" hidden="false" customHeight="false" outlineLevel="0" collapsed="false">
      <c r="A172" s="97" t="s">
        <v>168</v>
      </c>
      <c r="B172" s="97" t="n">
        <f aca="false">'Titer Calculation'!B50</f>
        <v>25</v>
      </c>
      <c r="C172" s="102" t="str">
        <f aca="false">IFERROR(IF(AND('Titer Calculation'!C50&lt;='Titer Calculation'!$T$4,'Titer Calculation'!C50&gt;'Titer Calculation'!$T$5), 'Titer Calculation'!C50," "), "")</f>
        <v> </v>
      </c>
      <c r="D172" s="102" t="str">
        <f aca="false">IFERROR(IF(AND('Titer Calculation'!D50&lt;='Titer Calculation'!$T$4,'Titer Calculation'!D50&gt;'Titer Calculation'!$T$5), 'Titer Calculation'!D50," "), "")</f>
        <v> </v>
      </c>
      <c r="E172" s="102" t="str">
        <f aca="false">IFERROR(IF(AND('Titer Calculation'!E50&lt;='Titer Calculation'!$T$4,'Titer Calculation'!E50&gt;'Titer Calculation'!$T$5), 'Titer Calculation'!E50," "), "")</f>
        <v> </v>
      </c>
      <c r="F172" s="102" t="str">
        <f aca="false">IFERROR(IF(AND('Titer Calculation'!F50&lt;='Titer Calculation'!$T$4,'Titer Calculation'!F50&gt;'Titer Calculation'!$T$5), 'Titer Calculation'!F50," "), "")</f>
        <v> </v>
      </c>
      <c r="G172" s="102" t="str">
        <f aca="false">IFERROR(IF(AND('Titer Calculation'!G50&lt;='Titer Calculation'!$T$4,'Titer Calculation'!G50&gt;'Titer Calculation'!$T$5), 'Titer Calculation'!G50," "), "")</f>
        <v> </v>
      </c>
      <c r="H172" s="102" t="str">
        <f aca="false">IFERROR(IF(AND('Titer Calculation'!H50&lt;='Titer Calculation'!$T$4,'Titer Calculation'!H50&gt;'Titer Calculation'!$T$5), 'Titer Calculation'!H50," "), "")</f>
        <v> </v>
      </c>
      <c r="I172" s="102" t="str">
        <f aca="false">IFERROR(IF(AND('Titer Calculation'!I50&lt;='Titer Calculation'!$T$4,'Titer Calculation'!I50&gt;'Titer Calculation'!$T$5), 'Titer Calculation'!I50," "), "")</f>
        <v> </v>
      </c>
      <c r="J172" s="102" t="str">
        <f aca="false">IFERROR(IF(AND('Titer Calculation'!J50&lt;='Titer Calculation'!$T$4,'Titer Calculation'!J50&gt;'Titer Calculation'!$T$5), 'Titer Calculation'!J50," "), "")</f>
        <v> </v>
      </c>
      <c r="K172" s="102" t="str">
        <f aca="false">IFERROR(IF(AND('Titer Calculation'!K50&lt;='Titer Calculation'!$T$4,'Titer Calculation'!K50&gt;'Titer Calculation'!$T$5), 'Titer Calculation'!K50," "), "")</f>
        <v> </v>
      </c>
      <c r="L172" s="102" t="str">
        <f aca="false">IFERROR(IF(AND('Titer Calculation'!L50&lt;='Titer Calculation'!$T$4,'Titer Calculation'!L50&gt;'Titer Calculation'!$T$5), 'Titer Calculation'!L50," "), "")</f>
        <v> </v>
      </c>
      <c r="M172" s="102" t="str">
        <f aca="false">IFERROR(IF(AND('Titer Calculation'!M50&lt;='Titer Calculation'!$T$4,'Titer Calculation'!M50&gt;'Titer Calculation'!$T$5), 'Titer Calculation'!M50," "), "")</f>
        <v> </v>
      </c>
      <c r="N172" s="102" t="str">
        <f aca="false">IFERROR(IF(AND('Titer Calculation'!N50&lt;='Titer Calculation'!$T$4,'Titer Calculation'!N50&gt;'Titer Calculation'!$T$5), 'Titer Calculation'!N50," "), "")</f>
        <v> </v>
      </c>
      <c r="O172" s="44"/>
      <c r="P172" s="44"/>
      <c r="Q172" s="83"/>
      <c r="R172" s="44"/>
      <c r="S172" s="44"/>
      <c r="T172" s="200" t="n">
        <v>3</v>
      </c>
      <c r="U172" s="146" t="n">
        <v>223</v>
      </c>
      <c r="V172" s="201" t="n">
        <v>258</v>
      </c>
      <c r="W172" s="44" t="n">
        <f aca="false">COMBIN(7,T172)</f>
        <v>35</v>
      </c>
      <c r="Z172" s="269"/>
      <c r="AA172" s="269"/>
      <c r="AB172" s="84"/>
      <c r="AC172" s="84"/>
      <c r="AD172" s="85"/>
      <c r="AE172" s="157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</row>
    <row r="173" customFormat="false" ht="15.75" hidden="false" customHeight="false" outlineLevel="0" collapsed="false">
      <c r="A173" s="97" t="s">
        <v>169</v>
      </c>
      <c r="B173" s="97" t="n">
        <f aca="false">'Titer Calculation'!B51</f>
        <v>125</v>
      </c>
      <c r="C173" s="102" t="str">
        <f aca="false">IFERROR(IF(AND('Titer Calculation'!C51&lt;='Titer Calculation'!$T$4,'Titer Calculation'!C51&gt;'Titer Calculation'!$T$5), 'Titer Calculation'!C51," "), "")</f>
        <v> </v>
      </c>
      <c r="D173" s="102" t="str">
        <f aca="false">IFERROR(IF(AND('Titer Calculation'!D51&lt;='Titer Calculation'!$T$4,'Titer Calculation'!D51&gt;'Titer Calculation'!$T$5), 'Titer Calculation'!D51," "), "")</f>
        <v> </v>
      </c>
      <c r="E173" s="102" t="str">
        <f aca="false">IFERROR(IF(AND('Titer Calculation'!E51&lt;='Titer Calculation'!$T$4,'Titer Calculation'!E51&gt;'Titer Calculation'!$T$5), 'Titer Calculation'!E51," "), "")</f>
        <v> </v>
      </c>
      <c r="F173" s="102" t="str">
        <f aca="false">IFERROR(IF(AND('Titer Calculation'!F51&lt;='Titer Calculation'!$T$4,'Titer Calculation'!F51&gt;'Titer Calculation'!$T$5), 'Titer Calculation'!F51," "), "")</f>
        <v> </v>
      </c>
      <c r="G173" s="102" t="str">
        <f aca="false">IFERROR(IF(AND('Titer Calculation'!G51&lt;='Titer Calculation'!$T$4,'Titer Calculation'!G51&gt;'Titer Calculation'!$T$5), 'Titer Calculation'!G51," "), "")</f>
        <v> </v>
      </c>
      <c r="H173" s="102" t="str">
        <f aca="false">IFERROR(IF(AND('Titer Calculation'!H51&lt;='Titer Calculation'!$T$4,'Titer Calculation'!H51&gt;'Titer Calculation'!$T$5), 'Titer Calculation'!H51," "), "")</f>
        <v> </v>
      </c>
      <c r="I173" s="102" t="str">
        <f aca="false">IFERROR(IF(AND('Titer Calculation'!I51&lt;='Titer Calculation'!$T$4,'Titer Calculation'!I51&gt;'Titer Calculation'!$T$5), 'Titer Calculation'!I51," "), "")</f>
        <v> </v>
      </c>
      <c r="J173" s="102" t="str">
        <f aca="false">IFERROR(IF(AND('Titer Calculation'!J51&lt;='Titer Calculation'!$T$4,'Titer Calculation'!J51&gt;'Titer Calculation'!$T$5), 'Titer Calculation'!J51," "), "")</f>
        <v> </v>
      </c>
      <c r="K173" s="102" t="str">
        <f aca="false">IFERROR(IF(AND('Titer Calculation'!K51&lt;='Titer Calculation'!$T$4,'Titer Calculation'!K51&gt;'Titer Calculation'!$T$5), 'Titer Calculation'!K51," "), "")</f>
        <v> </v>
      </c>
      <c r="L173" s="102" t="str">
        <f aca="false">IFERROR(IF(AND('Titer Calculation'!L51&lt;='Titer Calculation'!$T$4,'Titer Calculation'!L51&gt;'Titer Calculation'!$T$5), 'Titer Calculation'!L51," "), "")</f>
        <v> </v>
      </c>
      <c r="M173" s="102" t="str">
        <f aca="false">IFERROR(IF(AND('Titer Calculation'!M51&lt;='Titer Calculation'!$T$4,'Titer Calculation'!M51&gt;'Titer Calculation'!$T$5), 'Titer Calculation'!M51," "), "")</f>
        <v> </v>
      </c>
      <c r="N173" s="102" t="str">
        <f aca="false">IFERROR(IF(AND('Titer Calculation'!N51&lt;='Titer Calculation'!$T$4,'Titer Calculation'!N51&gt;'Titer Calculation'!$T$5), 'Titer Calculation'!N51," "), "")</f>
        <v> </v>
      </c>
      <c r="O173" s="44"/>
      <c r="P173" s="44"/>
      <c r="Q173" s="83"/>
      <c r="R173" s="44"/>
      <c r="S173" s="44"/>
      <c r="T173" s="200" t="n">
        <v>4</v>
      </c>
      <c r="U173" s="146" t="n">
        <v>259</v>
      </c>
      <c r="V173" s="201" t="n">
        <v>294</v>
      </c>
      <c r="W173" s="44" t="n">
        <f aca="false">COMBIN(7,T173)</f>
        <v>35</v>
      </c>
      <c r="Z173" s="269"/>
      <c r="AA173" s="269"/>
      <c r="AB173" s="44"/>
      <c r="AC173" s="44"/>
      <c r="AD173" s="44"/>
      <c r="AE173" s="157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</row>
    <row r="174" customFormat="false" ht="15.75" hidden="false" customHeight="false" outlineLevel="0" collapsed="false">
      <c r="A174" s="97" t="s">
        <v>170</v>
      </c>
      <c r="B174" s="97" t="n">
        <f aca="false">'Titer Calculation'!B52</f>
        <v>625</v>
      </c>
      <c r="C174" s="102" t="str">
        <f aca="false">IFERROR(IF(AND('Titer Calculation'!C52&lt;='Titer Calculation'!$T$4,'Titer Calculation'!C52&gt;'Titer Calculation'!$T$5), 'Titer Calculation'!C52," "), "")</f>
        <v> </v>
      </c>
      <c r="D174" s="102" t="str">
        <f aca="false">IFERROR(IF(AND('Titer Calculation'!D52&lt;='Titer Calculation'!$T$4,'Titer Calculation'!D52&gt;'Titer Calculation'!$T$5), 'Titer Calculation'!D52," "), "")</f>
        <v> </v>
      </c>
      <c r="E174" s="102" t="str">
        <f aca="false">IFERROR(IF(AND('Titer Calculation'!E52&lt;='Titer Calculation'!$T$4,'Titer Calculation'!E52&gt;'Titer Calculation'!$T$5), 'Titer Calculation'!E52," "), "")</f>
        <v> </v>
      </c>
      <c r="F174" s="102" t="str">
        <f aca="false">IFERROR(IF(AND('Titer Calculation'!F52&lt;='Titer Calculation'!$T$4,'Titer Calculation'!F52&gt;'Titer Calculation'!$T$5), 'Titer Calculation'!F52," "), "")</f>
        <v> </v>
      </c>
      <c r="G174" s="102" t="str">
        <f aca="false">IFERROR(IF(AND('Titer Calculation'!G52&lt;='Titer Calculation'!$T$4,'Titer Calculation'!G52&gt;'Titer Calculation'!$T$5), 'Titer Calculation'!G52," "), "")</f>
        <v> </v>
      </c>
      <c r="H174" s="102" t="str">
        <f aca="false">IFERROR(IF(AND('Titer Calculation'!H52&lt;='Titer Calculation'!$T$4,'Titer Calculation'!H52&gt;'Titer Calculation'!$T$5), 'Titer Calculation'!H52," "), "")</f>
        <v> </v>
      </c>
      <c r="I174" s="102" t="str">
        <f aca="false">IFERROR(IF(AND('Titer Calculation'!I52&lt;='Titer Calculation'!$T$4,'Titer Calculation'!I52&gt;'Titer Calculation'!$T$5), 'Titer Calculation'!I52," "), "")</f>
        <v> </v>
      </c>
      <c r="J174" s="102" t="str">
        <f aca="false">IFERROR(IF(AND('Titer Calculation'!J52&lt;='Titer Calculation'!$T$4,'Titer Calculation'!J52&gt;'Titer Calculation'!$T$5), 'Titer Calculation'!J52," "), "")</f>
        <v> </v>
      </c>
      <c r="K174" s="102" t="str">
        <f aca="false">IFERROR(IF(AND('Titer Calculation'!K52&lt;='Titer Calculation'!$T$4,'Titer Calculation'!K52&gt;'Titer Calculation'!$T$5), 'Titer Calculation'!K52," "), "")</f>
        <v> </v>
      </c>
      <c r="L174" s="102" t="str">
        <f aca="false">IFERROR(IF(AND('Titer Calculation'!L52&lt;='Titer Calculation'!$T$4,'Titer Calculation'!L52&gt;'Titer Calculation'!$T$5), 'Titer Calculation'!L52," "), "")</f>
        <v> </v>
      </c>
      <c r="M174" s="102" t="str">
        <f aca="false">IFERROR(IF(AND('Titer Calculation'!M52&lt;='Titer Calculation'!$T$4,'Titer Calculation'!M52&gt;'Titer Calculation'!$T$5), 'Titer Calculation'!M52," "), "")</f>
        <v> </v>
      </c>
      <c r="N174" s="102" t="str">
        <f aca="false">IFERROR(IF(AND('Titer Calculation'!N52&lt;='Titer Calculation'!$T$4,'Titer Calculation'!N52&gt;'Titer Calculation'!$T$5), 'Titer Calculation'!N52," "), "")</f>
        <v> </v>
      </c>
      <c r="O174" s="44"/>
      <c r="P174" s="44"/>
      <c r="Q174" s="83"/>
      <c r="R174" s="44"/>
      <c r="S174" s="44"/>
      <c r="T174" s="200" t="n">
        <v>5</v>
      </c>
      <c r="U174" s="146" t="n">
        <v>295</v>
      </c>
      <c r="V174" s="201" t="n">
        <v>316</v>
      </c>
      <c r="W174" s="44" t="n">
        <f aca="false">COMBIN(7,T174)</f>
        <v>21</v>
      </c>
      <c r="Z174" s="269"/>
      <c r="AA174" s="269"/>
      <c r="AB174" s="44"/>
      <c r="AC174" s="44"/>
      <c r="AD174" s="44"/>
      <c r="AE174" s="157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</row>
    <row r="175" customFormat="false" ht="15.75" hidden="false" customHeight="false" outlineLevel="0" collapsed="false">
      <c r="A175" s="97" t="s">
        <v>171</v>
      </c>
      <c r="B175" s="97" t="n">
        <f aca="false">'Titer Calculation'!B53</f>
        <v>3125</v>
      </c>
      <c r="C175" s="102" t="str">
        <f aca="false">IFERROR(IF(AND('Titer Calculation'!C53&lt;='Titer Calculation'!$T$4,'Titer Calculation'!C53&gt;'Titer Calculation'!$T$5), 'Titer Calculation'!C53," "), "")</f>
        <v> </v>
      </c>
      <c r="D175" s="102" t="str">
        <f aca="false">IFERROR(IF(AND('Titer Calculation'!D53&lt;='Titer Calculation'!$T$4,'Titer Calculation'!D53&gt;'Titer Calculation'!$T$5), 'Titer Calculation'!D53," "), "")</f>
        <v> </v>
      </c>
      <c r="E175" s="102" t="str">
        <f aca="false">IFERROR(IF(AND('Titer Calculation'!E53&lt;='Titer Calculation'!$T$4,'Titer Calculation'!E53&gt;'Titer Calculation'!$T$5), 'Titer Calculation'!E53," "), "")</f>
        <v> </v>
      </c>
      <c r="F175" s="102" t="str">
        <f aca="false">IFERROR(IF(AND('Titer Calculation'!F53&lt;='Titer Calculation'!$T$4,'Titer Calculation'!F53&gt;'Titer Calculation'!$T$5), 'Titer Calculation'!F53," "), "")</f>
        <v> </v>
      </c>
      <c r="G175" s="102" t="str">
        <f aca="false">IFERROR(IF(AND('Titer Calculation'!G53&lt;='Titer Calculation'!$T$4,'Titer Calculation'!G53&gt;'Titer Calculation'!$T$5), 'Titer Calculation'!G53," "), "")</f>
        <v> </v>
      </c>
      <c r="H175" s="102" t="str">
        <f aca="false">IFERROR(IF(AND('Titer Calculation'!H53&lt;='Titer Calculation'!$T$4,'Titer Calculation'!H53&gt;'Titer Calculation'!$T$5), 'Titer Calculation'!H53," "), "")</f>
        <v> </v>
      </c>
      <c r="I175" s="102" t="str">
        <f aca="false">IFERROR(IF(AND('Titer Calculation'!I53&lt;='Titer Calculation'!$T$4,'Titer Calculation'!I53&gt;'Titer Calculation'!$T$5), 'Titer Calculation'!I53," "), "")</f>
        <v> </v>
      </c>
      <c r="J175" s="102" t="str">
        <f aca="false">IFERROR(IF(AND('Titer Calculation'!J53&lt;='Titer Calculation'!$T$4,'Titer Calculation'!J53&gt;'Titer Calculation'!$T$5), 'Titer Calculation'!J53," "), "")</f>
        <v> </v>
      </c>
      <c r="K175" s="102" t="str">
        <f aca="false">IFERROR(IF(AND('Titer Calculation'!K53&lt;='Titer Calculation'!$T$4,'Titer Calculation'!K53&gt;'Titer Calculation'!$T$5), 'Titer Calculation'!K53," "), "")</f>
        <v> </v>
      </c>
      <c r="L175" s="102" t="str">
        <f aca="false">IFERROR(IF(AND('Titer Calculation'!L53&lt;='Titer Calculation'!$T$4,'Titer Calculation'!L53&gt;'Titer Calculation'!$T$5), 'Titer Calculation'!L53," "), "")</f>
        <v> </v>
      </c>
      <c r="M175" s="102" t="str">
        <f aca="false">IFERROR(IF(AND('Titer Calculation'!M53&lt;='Titer Calculation'!$T$4,'Titer Calculation'!M53&gt;'Titer Calculation'!$T$5), 'Titer Calculation'!M53," "), "")</f>
        <v> </v>
      </c>
      <c r="N175" s="102" t="str">
        <f aca="false">IFERROR(IF(AND('Titer Calculation'!N53&lt;='Titer Calculation'!$T$4,'Titer Calculation'!N53&gt;'Titer Calculation'!$T$5), 'Titer Calculation'!N53," "), "")</f>
        <v> </v>
      </c>
      <c r="O175" s="44"/>
      <c r="P175" s="44"/>
      <c r="Q175" s="83"/>
      <c r="R175" s="44"/>
      <c r="S175" s="44"/>
      <c r="T175" s="200" t="n">
        <v>6</v>
      </c>
      <c r="U175" s="146" t="n">
        <v>317</v>
      </c>
      <c r="V175" s="201" t="n">
        <v>324</v>
      </c>
      <c r="W175" s="44" t="n">
        <f aca="false">COMBIN(7,T175)</f>
        <v>7</v>
      </c>
      <c r="Z175" s="269"/>
      <c r="AA175" s="269"/>
      <c r="AB175" s="44"/>
      <c r="AC175" s="44"/>
      <c r="AD175" s="44"/>
      <c r="AE175" s="157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</row>
    <row r="176" customFormat="false" ht="16.5" hidden="false" customHeight="false" outlineLevel="0" collapsed="false">
      <c r="A176" s="97" t="s">
        <v>172</v>
      </c>
      <c r="B176" s="97" t="n">
        <f aca="false">'Titer Calculation'!B54</f>
        <v>15625</v>
      </c>
      <c r="C176" s="102" t="str">
        <f aca="false">IFERROR(IF(AND('Titer Calculation'!C54&lt;='Titer Calculation'!$T$4,'Titer Calculation'!C54&gt;'Titer Calculation'!$T$5), 'Titer Calculation'!C54," "), "")</f>
        <v> </v>
      </c>
      <c r="D176" s="102" t="str">
        <f aca="false">IFERROR(IF(AND('Titer Calculation'!D54&lt;='Titer Calculation'!$T$4,'Titer Calculation'!D54&gt;'Titer Calculation'!$T$5), 'Titer Calculation'!D54," "), "")</f>
        <v> </v>
      </c>
      <c r="E176" s="102" t="str">
        <f aca="false">IFERROR(IF(AND('Titer Calculation'!E54&lt;='Titer Calculation'!$T$4,'Titer Calculation'!E54&gt;'Titer Calculation'!$T$5), 'Titer Calculation'!E54," "), "")</f>
        <v> </v>
      </c>
      <c r="F176" s="102" t="str">
        <f aca="false">IFERROR(IF(AND('Titer Calculation'!F54&lt;='Titer Calculation'!$T$4,'Titer Calculation'!F54&gt;'Titer Calculation'!$T$5), 'Titer Calculation'!F54," "), "")</f>
        <v> </v>
      </c>
      <c r="G176" s="102" t="str">
        <f aca="false">IFERROR(IF(AND('Titer Calculation'!G54&lt;='Titer Calculation'!$T$4,'Titer Calculation'!G54&gt;'Titer Calculation'!$T$5), 'Titer Calculation'!G54," "), "")</f>
        <v> </v>
      </c>
      <c r="H176" s="102" t="str">
        <f aca="false">IFERROR(IF(AND('Titer Calculation'!H54&lt;='Titer Calculation'!$T$4,'Titer Calculation'!H54&gt;'Titer Calculation'!$T$5), 'Titer Calculation'!H54," "), "")</f>
        <v> </v>
      </c>
      <c r="I176" s="102" t="str">
        <f aca="false">IFERROR(IF(AND('Titer Calculation'!I54&lt;='Titer Calculation'!$T$4,'Titer Calculation'!I54&gt;'Titer Calculation'!$T$5), 'Titer Calculation'!I54," "), "")</f>
        <v> </v>
      </c>
      <c r="J176" s="102" t="str">
        <f aca="false">IFERROR(IF(AND('Titer Calculation'!J54&lt;='Titer Calculation'!$T$4,'Titer Calculation'!J54&gt;'Titer Calculation'!$T$5), 'Titer Calculation'!J54," "), "")</f>
        <v> </v>
      </c>
      <c r="K176" s="102" t="str">
        <f aca="false">IFERROR(IF(AND('Titer Calculation'!K54&lt;='Titer Calculation'!$T$4,'Titer Calculation'!K54&gt;'Titer Calculation'!$T$5), 'Titer Calculation'!K54," "), "")</f>
        <v> </v>
      </c>
      <c r="L176" s="102" t="str">
        <f aca="false">IFERROR(IF(AND('Titer Calculation'!L54&lt;='Titer Calculation'!$T$4,'Titer Calculation'!L54&gt;'Titer Calculation'!$T$5), 'Titer Calculation'!L54," "), "")</f>
        <v> </v>
      </c>
      <c r="M176" s="102" t="str">
        <f aca="false">IFERROR(IF(AND('Titer Calculation'!M54&lt;='Titer Calculation'!$T$4,'Titer Calculation'!M54&gt;'Titer Calculation'!$T$5), 'Titer Calculation'!M54," "), "")</f>
        <v> </v>
      </c>
      <c r="N176" s="102" t="str">
        <f aca="false">IFERROR(IF(AND('Titer Calculation'!N54&lt;='Titer Calculation'!$T$4,'Titer Calculation'!N54&gt;'Titer Calculation'!$T$5), 'Titer Calculation'!N54," "), "")</f>
        <v> </v>
      </c>
      <c r="O176" s="44"/>
      <c r="P176" s="44"/>
      <c r="Q176" s="83"/>
      <c r="R176" s="44"/>
      <c r="S176" s="44"/>
      <c r="T176" s="205" t="n">
        <v>7</v>
      </c>
      <c r="U176" s="206" t="n">
        <v>325</v>
      </c>
      <c r="V176" s="207" t="n">
        <v>325</v>
      </c>
      <c r="W176" s="44" t="n">
        <f aca="false">COMBIN(7,T176)</f>
        <v>1</v>
      </c>
      <c r="Z176" s="269"/>
      <c r="AA176" s="269"/>
      <c r="AB176" s="44"/>
      <c r="AC176" s="44"/>
      <c r="AD176" s="44"/>
      <c r="AE176" s="157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</row>
    <row r="177" customFormat="false" ht="15.75" hidden="false" customHeight="false" outlineLevel="0" collapsed="false">
      <c r="A177" s="97" t="s">
        <v>173</v>
      </c>
      <c r="B177" s="97" t="n">
        <f aca="false">'Titer Calculation'!B55</f>
        <v>78125</v>
      </c>
      <c r="C177" s="102" t="str">
        <f aca="false">IFERROR(IF(AND('Titer Calculation'!C55&lt;='Titer Calculation'!$T$4,'Titer Calculation'!C55&gt;'Titer Calculation'!$T$5), 'Titer Calculation'!C55," "), "")</f>
        <v> </v>
      </c>
      <c r="D177" s="102" t="str">
        <f aca="false">IFERROR(IF(AND('Titer Calculation'!D55&lt;='Titer Calculation'!$T$4,'Titer Calculation'!D55&gt;'Titer Calculation'!$T$5), 'Titer Calculation'!D55," "), "")</f>
        <v> </v>
      </c>
      <c r="E177" s="102" t="str">
        <f aca="false">IFERROR(IF(AND('Titer Calculation'!E55&lt;='Titer Calculation'!$T$4,'Titer Calculation'!E55&gt;'Titer Calculation'!$T$5), 'Titer Calculation'!E55," "), "")</f>
        <v> </v>
      </c>
      <c r="F177" s="102" t="str">
        <f aca="false">IFERROR(IF(AND('Titer Calculation'!F55&lt;='Titer Calculation'!$T$4,'Titer Calculation'!F55&gt;'Titer Calculation'!$T$5), 'Titer Calculation'!F55," "), "")</f>
        <v> </v>
      </c>
      <c r="G177" s="102" t="str">
        <f aca="false">IFERROR(IF(AND('Titer Calculation'!G55&lt;='Titer Calculation'!$T$4,'Titer Calculation'!G55&gt;'Titer Calculation'!$T$5), 'Titer Calculation'!G55," "), "")</f>
        <v> </v>
      </c>
      <c r="H177" s="102" t="str">
        <f aca="false">IFERROR(IF(AND('Titer Calculation'!H55&lt;='Titer Calculation'!$T$4,'Titer Calculation'!H55&gt;'Titer Calculation'!$T$5), 'Titer Calculation'!H55," "), "")</f>
        <v> </v>
      </c>
      <c r="I177" s="102" t="str">
        <f aca="false">IFERROR(IF(AND('Titer Calculation'!I55&lt;='Titer Calculation'!$T$4,'Titer Calculation'!I55&gt;'Titer Calculation'!$T$5), 'Titer Calculation'!I55," "), "")</f>
        <v> </v>
      </c>
      <c r="J177" s="102" t="str">
        <f aca="false">IFERROR(IF(AND('Titer Calculation'!J55&lt;='Titer Calculation'!$T$4,'Titer Calculation'!J55&gt;'Titer Calculation'!$T$5), 'Titer Calculation'!J55," "), "")</f>
        <v> </v>
      </c>
      <c r="K177" s="102" t="str">
        <f aca="false">IFERROR(IF(AND('Titer Calculation'!K55&lt;='Titer Calculation'!$T$4,'Titer Calculation'!K55&gt;'Titer Calculation'!$T$5), 'Titer Calculation'!K55," "), "")</f>
        <v> </v>
      </c>
      <c r="L177" s="102" t="str">
        <f aca="false">IFERROR(IF(AND('Titer Calculation'!L55&lt;='Titer Calculation'!$T$4,'Titer Calculation'!L55&gt;'Titer Calculation'!$T$5), 'Titer Calculation'!L55," "), "")</f>
        <v> </v>
      </c>
      <c r="M177" s="102" t="str">
        <f aca="false">IFERROR(IF(AND('Titer Calculation'!M55&lt;='Titer Calculation'!$T$4,'Titer Calculation'!M55&gt;'Titer Calculation'!$T$5), 'Titer Calculation'!M55," "), "")</f>
        <v> </v>
      </c>
      <c r="N177" s="102" t="str">
        <f aca="false">IFERROR(IF(AND('Titer Calculation'!N55&lt;='Titer Calculation'!$T$4,'Titer Calculation'!N55&gt;'Titer Calculation'!$T$5), 'Titer Calculation'!N55," "), "")</f>
        <v> </v>
      </c>
      <c r="O177" s="44"/>
      <c r="P177" s="44"/>
      <c r="Q177" s="83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157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</row>
    <row r="178" customFormat="false" ht="15.75" hidden="false" customHeight="false" outlineLevel="0" collapsed="false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83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157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</row>
    <row r="179" customFormat="false" ht="21" hidden="false" customHeight="false" outlineLevel="0" collapsed="false">
      <c r="A179" s="44"/>
      <c r="B179" s="34"/>
      <c r="C179" s="44"/>
      <c r="D179" s="44"/>
      <c r="E179" s="114"/>
      <c r="F179" s="114"/>
      <c r="G179" s="44"/>
      <c r="H179" s="115"/>
      <c r="I179" s="44"/>
      <c r="J179" s="58"/>
      <c r="K179" s="44"/>
      <c r="L179" s="44"/>
      <c r="M179" s="44"/>
      <c r="N179" s="44"/>
      <c r="O179" s="44"/>
      <c r="P179" s="44"/>
      <c r="Q179" s="83"/>
      <c r="R179" s="185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157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</row>
    <row r="180" customFormat="false" ht="15.75" hidden="false" customHeight="false" outlineLevel="0" collapsed="false">
      <c r="A180" s="42" t="s">
        <v>239</v>
      </c>
      <c r="B180" s="42"/>
      <c r="C180" s="97" t="n">
        <f aca="false">C169</f>
        <v>1</v>
      </c>
      <c r="D180" s="97" t="n">
        <f aca="false">D169</f>
        <v>2</v>
      </c>
      <c r="E180" s="97" t="n">
        <f aca="false">E169</f>
        <v>3</v>
      </c>
      <c r="F180" s="97" t="n">
        <f aca="false">F169</f>
        <v>4</v>
      </c>
      <c r="G180" s="97" t="n">
        <f aca="false">G169</f>
        <v>5</v>
      </c>
      <c r="H180" s="97" t="n">
        <f aca="false">H169</f>
        <v>6</v>
      </c>
      <c r="I180" s="97" t="n">
        <f aca="false">I169</f>
        <v>7</v>
      </c>
      <c r="J180" s="97" t="n">
        <f aca="false">J169</f>
        <v>8</v>
      </c>
      <c r="K180" s="97" t="n">
        <f aca="false">K169</f>
        <v>9</v>
      </c>
      <c r="L180" s="98" t="n">
        <f aca="false">L169</f>
        <v>10</v>
      </c>
      <c r="M180" s="98" t="n">
        <f aca="false">M169</f>
        <v>11</v>
      </c>
      <c r="N180" s="98" t="n">
        <f aca="false">N169</f>
        <v>12</v>
      </c>
      <c r="O180" s="42"/>
      <c r="P180" s="42"/>
      <c r="Q180" s="83"/>
      <c r="R180" s="44"/>
      <c r="S180" s="44"/>
      <c r="T180" s="99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157"/>
      <c r="AF180" s="44"/>
      <c r="AG180" s="44"/>
      <c r="AH180" s="44"/>
      <c r="AI180" s="44"/>
      <c r="AJ180" s="44"/>
      <c r="AK180" s="44"/>
      <c r="AL180" s="44"/>
      <c r="AM180" s="44"/>
      <c r="AN180" s="44"/>
      <c r="AO180" s="99"/>
      <c r="AP180" s="44"/>
      <c r="AQ180" s="44"/>
      <c r="AR180" s="44"/>
    </row>
    <row r="181" customFormat="false" ht="15.75" hidden="false" customHeight="false" outlineLevel="0" collapsed="false">
      <c r="A181" s="116" t="s">
        <v>166</v>
      </c>
      <c r="B181" s="97" t="s">
        <v>226</v>
      </c>
      <c r="C181" s="117" t="str">
        <f aca="false">C170</f>
        <v>pALD-eGFP</v>
      </c>
      <c r="D181" s="117" t="str">
        <f aca="false">D170</f>
        <v>pCTX</v>
      </c>
      <c r="E181" s="118" t="str">
        <f aca="false">E170</f>
        <v>pCTX</v>
      </c>
      <c r="F181" s="118" t="str">
        <f aca="false">F170</f>
        <v>pCTX</v>
      </c>
      <c r="G181" s="118" t="str">
        <f aca="false">G170</f>
        <v>pCTX</v>
      </c>
      <c r="H181" s="118" t="str">
        <f aca="false">H170</f>
        <v>pCTX</v>
      </c>
      <c r="I181" s="118" t="str">
        <f aca="false">I170</f>
        <v>pCTX</v>
      </c>
      <c r="J181" s="118" t="str">
        <f aca="false">J170</f>
        <v>pCTX</v>
      </c>
      <c r="K181" s="118" t="str">
        <f aca="false">K170</f>
        <v>pCTX</v>
      </c>
      <c r="L181" s="118" t="str">
        <f aca="false">L170</f>
        <v>pCTX</v>
      </c>
      <c r="M181" s="118" t="str">
        <f aca="false">M170</f>
        <v>pCTX</v>
      </c>
      <c r="N181" s="119" t="str">
        <f aca="false">N170</f>
        <v>pCTX</v>
      </c>
      <c r="O181" s="99"/>
      <c r="P181" s="99"/>
      <c r="Q181" s="191"/>
      <c r="R181" s="99"/>
      <c r="S181" s="99"/>
      <c r="T181" s="120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157"/>
      <c r="AF181" s="44"/>
      <c r="AG181" s="44"/>
      <c r="AH181" s="44"/>
      <c r="AI181" s="44"/>
      <c r="AJ181" s="44"/>
      <c r="AK181" s="44"/>
      <c r="AL181" s="44"/>
      <c r="AM181" s="44"/>
      <c r="AN181" s="44"/>
      <c r="AO181" s="120"/>
      <c r="AP181" s="44"/>
      <c r="AQ181" s="44"/>
      <c r="AR181" s="44"/>
    </row>
    <row r="182" customFormat="false" ht="15.75" hidden="false" customHeight="false" outlineLevel="0" collapsed="false">
      <c r="A182" s="97" t="s">
        <v>167</v>
      </c>
      <c r="B182" s="97" t="n">
        <f aca="false">'Titer Calculation'!B49</f>
        <v>5</v>
      </c>
      <c r="C182" s="121" t="e">
        <f aca="false">(C171/100)*10000*$B182*10</f>
        <v>#VALUE!</v>
      </c>
      <c r="D182" s="121" t="e">
        <f aca="false">(D171/100)*10000*$B182*10</f>
        <v>#VALUE!</v>
      </c>
      <c r="E182" s="121" t="e">
        <f aca="false">(E171/100)*10000*$B182*10</f>
        <v>#VALUE!</v>
      </c>
      <c r="F182" s="121" t="e">
        <f aca="false">(F171/100)*10000*$B182*10</f>
        <v>#VALUE!</v>
      </c>
      <c r="G182" s="121" t="e">
        <f aca="false">(G171/100)*10000*$B182*10</f>
        <v>#VALUE!</v>
      </c>
      <c r="H182" s="121" t="e">
        <f aca="false">(H171/100)*10000*$B182*10</f>
        <v>#VALUE!</v>
      </c>
      <c r="I182" s="121" t="e">
        <f aca="false">(I171/100)*10000*$B182*10</f>
        <v>#VALUE!</v>
      </c>
      <c r="J182" s="121" t="e">
        <f aca="false">(J171/100)*10000*$B182*10</f>
        <v>#VALUE!</v>
      </c>
      <c r="K182" s="121" t="e">
        <f aca="false">(K171/100)*10000*$B182*10</f>
        <v>#VALUE!</v>
      </c>
      <c r="L182" s="121" t="e">
        <f aca="false">(L171/100)*10000*$B182*10</f>
        <v>#VALUE!</v>
      </c>
      <c r="M182" s="121" t="e">
        <f aca="false">(M171/100)*10000*$B182*10</f>
        <v>#VALUE!</v>
      </c>
      <c r="N182" s="121" t="e">
        <f aca="false">(N171/100)*10000*$B182*10</f>
        <v>#VALUE!</v>
      </c>
      <c r="O182" s="120"/>
      <c r="P182" s="44"/>
      <c r="Q182" s="83"/>
      <c r="R182" s="120"/>
      <c r="S182" s="44"/>
      <c r="T182" s="120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157"/>
      <c r="AF182" s="44"/>
      <c r="AG182" s="44"/>
      <c r="AH182" s="44"/>
      <c r="AI182" s="44"/>
      <c r="AJ182" s="44"/>
      <c r="AK182" s="44"/>
      <c r="AL182" s="44"/>
      <c r="AM182" s="44"/>
      <c r="AN182" s="44"/>
      <c r="AO182" s="120"/>
      <c r="AP182" s="44"/>
      <c r="AQ182" s="44"/>
      <c r="AR182" s="44"/>
    </row>
    <row r="183" customFormat="false" ht="15.75" hidden="false" customHeight="false" outlineLevel="0" collapsed="false">
      <c r="A183" s="97" t="s">
        <v>168</v>
      </c>
      <c r="B183" s="97" t="n">
        <f aca="false">'Titer Calculation'!B50</f>
        <v>25</v>
      </c>
      <c r="C183" s="121" t="e">
        <f aca="false">(C172/100)*10000*$B183*10</f>
        <v>#VALUE!</v>
      </c>
      <c r="D183" s="121" t="e">
        <f aca="false">(D172/100)*10000*$B183*10</f>
        <v>#VALUE!</v>
      </c>
      <c r="E183" s="121" t="e">
        <f aca="false">(E172/100)*10000*$B183*10</f>
        <v>#VALUE!</v>
      </c>
      <c r="F183" s="121" t="e">
        <f aca="false">(F172/100)*10000*$B183*10</f>
        <v>#VALUE!</v>
      </c>
      <c r="G183" s="121" t="e">
        <f aca="false">(G172/100)*10000*$B183*10</f>
        <v>#VALUE!</v>
      </c>
      <c r="H183" s="121" t="e">
        <f aca="false">(H172/100)*10000*$B183*10</f>
        <v>#VALUE!</v>
      </c>
      <c r="I183" s="121" t="e">
        <f aca="false">(I172/100)*10000*$B183*10</f>
        <v>#VALUE!</v>
      </c>
      <c r="J183" s="121" t="e">
        <f aca="false">(J172/100)*10000*$B183*10</f>
        <v>#VALUE!</v>
      </c>
      <c r="K183" s="121" t="e">
        <f aca="false">(K172/100)*10000*$B183*10</f>
        <v>#VALUE!</v>
      </c>
      <c r="L183" s="121" t="e">
        <f aca="false">(L172/100)*10000*$B183*10</f>
        <v>#VALUE!</v>
      </c>
      <c r="M183" s="121" t="e">
        <f aca="false">(M172/100)*10000*$B183*10</f>
        <v>#VALUE!</v>
      </c>
      <c r="N183" s="121" t="e">
        <f aca="false">(N172/100)*10000*$B183*10</f>
        <v>#VALUE!</v>
      </c>
      <c r="O183" s="120"/>
      <c r="P183" s="44"/>
      <c r="Q183" s="83"/>
      <c r="R183" s="120"/>
      <c r="S183" s="44"/>
      <c r="T183" s="120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157"/>
      <c r="AF183" s="44"/>
      <c r="AG183" s="44"/>
      <c r="AH183" s="44"/>
      <c r="AI183" s="44"/>
      <c r="AJ183" s="44"/>
      <c r="AK183" s="44"/>
      <c r="AL183" s="44"/>
      <c r="AM183" s="44"/>
      <c r="AN183" s="44"/>
      <c r="AO183" s="120"/>
      <c r="AP183" s="44"/>
      <c r="AQ183" s="44"/>
      <c r="AR183" s="44"/>
    </row>
    <row r="184" customFormat="false" ht="15.75" hidden="false" customHeight="false" outlineLevel="0" collapsed="false">
      <c r="A184" s="97" t="s">
        <v>169</v>
      </c>
      <c r="B184" s="97" t="n">
        <f aca="false">'Titer Calculation'!B51</f>
        <v>125</v>
      </c>
      <c r="C184" s="121" t="e">
        <f aca="false">(C173/100)*10000*$B184*10</f>
        <v>#VALUE!</v>
      </c>
      <c r="D184" s="121" t="e">
        <f aca="false">(D173/100)*10000*$B184*10</f>
        <v>#VALUE!</v>
      </c>
      <c r="E184" s="121" t="e">
        <f aca="false">(E173/100)*10000*$B184*10</f>
        <v>#VALUE!</v>
      </c>
      <c r="F184" s="121" t="e">
        <f aca="false">(F173/100)*10000*$B184*10</f>
        <v>#VALUE!</v>
      </c>
      <c r="G184" s="121" t="e">
        <f aca="false">(G173/100)*10000*$B184*10</f>
        <v>#VALUE!</v>
      </c>
      <c r="H184" s="121" t="e">
        <f aca="false">(H173/100)*10000*$B184*10</f>
        <v>#VALUE!</v>
      </c>
      <c r="I184" s="121" t="e">
        <f aca="false">(I173/100)*10000*$B184*10</f>
        <v>#VALUE!</v>
      </c>
      <c r="J184" s="121" t="e">
        <f aca="false">(J173/100)*10000*$B184*10</f>
        <v>#VALUE!</v>
      </c>
      <c r="K184" s="121" t="e">
        <f aca="false">(K173/100)*10000*$B184*10</f>
        <v>#VALUE!</v>
      </c>
      <c r="L184" s="121" t="e">
        <f aca="false">(L173/100)*10000*$B184*10</f>
        <v>#VALUE!</v>
      </c>
      <c r="M184" s="121" t="e">
        <f aca="false">(M173/100)*10000*$B184*10</f>
        <v>#VALUE!</v>
      </c>
      <c r="N184" s="121" t="e">
        <f aca="false">(N173/100)*10000*$B184*10</f>
        <v>#VALUE!</v>
      </c>
      <c r="O184" s="120"/>
      <c r="P184" s="44"/>
      <c r="Q184" s="83"/>
      <c r="R184" s="120"/>
      <c r="S184" s="44"/>
      <c r="T184" s="120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157"/>
      <c r="AF184" s="44"/>
      <c r="AG184" s="44"/>
      <c r="AH184" s="44"/>
      <c r="AI184" s="44"/>
      <c r="AJ184" s="44"/>
      <c r="AK184" s="44"/>
      <c r="AL184" s="44"/>
      <c r="AM184" s="44"/>
      <c r="AN184" s="44"/>
      <c r="AO184" s="120"/>
      <c r="AP184" s="44"/>
      <c r="AQ184" s="44"/>
      <c r="AR184" s="44"/>
    </row>
    <row r="185" customFormat="false" ht="15.75" hidden="false" customHeight="false" outlineLevel="0" collapsed="false">
      <c r="A185" s="97" t="s">
        <v>170</v>
      </c>
      <c r="B185" s="97" t="n">
        <f aca="false">'Titer Calculation'!B52</f>
        <v>625</v>
      </c>
      <c r="C185" s="121" t="e">
        <f aca="false">(C174/100)*10000*$B185*10</f>
        <v>#VALUE!</v>
      </c>
      <c r="D185" s="121" t="e">
        <f aca="false">(D174/100)*10000*$B185*10</f>
        <v>#VALUE!</v>
      </c>
      <c r="E185" s="121" t="e">
        <f aca="false">(E174/100)*10000*$B185*10</f>
        <v>#VALUE!</v>
      </c>
      <c r="F185" s="121" t="e">
        <f aca="false">(F174/100)*10000*$B185*10</f>
        <v>#VALUE!</v>
      </c>
      <c r="G185" s="121" t="e">
        <f aca="false">(G174/100)*10000*$B185*10</f>
        <v>#VALUE!</v>
      </c>
      <c r="H185" s="121" t="e">
        <f aca="false">(H174/100)*10000*$B185*10</f>
        <v>#VALUE!</v>
      </c>
      <c r="I185" s="121" t="e">
        <f aca="false">(I174/100)*10000*$B185*10</f>
        <v>#VALUE!</v>
      </c>
      <c r="J185" s="121" t="e">
        <f aca="false">(J174/100)*10000*$B185*10</f>
        <v>#VALUE!</v>
      </c>
      <c r="K185" s="121" t="e">
        <f aca="false">(K174/100)*10000*$B185*10</f>
        <v>#VALUE!</v>
      </c>
      <c r="L185" s="121" t="e">
        <f aca="false">(L174/100)*10000*$B185*10</f>
        <v>#VALUE!</v>
      </c>
      <c r="M185" s="121" t="e">
        <f aca="false">(M174/100)*10000*$B185*10</f>
        <v>#VALUE!</v>
      </c>
      <c r="N185" s="121" t="e">
        <f aca="false">(N174/100)*10000*$B185*10</f>
        <v>#VALUE!</v>
      </c>
      <c r="O185" s="120"/>
      <c r="P185" s="44"/>
      <c r="Q185" s="83"/>
      <c r="R185" s="44"/>
      <c r="S185" s="120"/>
      <c r="T185" s="120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157"/>
      <c r="AF185" s="44"/>
      <c r="AG185" s="44"/>
      <c r="AH185" s="44"/>
      <c r="AI185" s="44"/>
      <c r="AJ185" s="44"/>
      <c r="AK185" s="44"/>
      <c r="AL185" s="44"/>
      <c r="AM185" s="44"/>
      <c r="AN185" s="44"/>
      <c r="AO185" s="120"/>
      <c r="AP185" s="44"/>
      <c r="AQ185" s="44"/>
      <c r="AR185" s="44"/>
    </row>
    <row r="186" customFormat="false" ht="15.75" hidden="false" customHeight="false" outlineLevel="0" collapsed="false">
      <c r="A186" s="97" t="s">
        <v>171</v>
      </c>
      <c r="B186" s="97" t="n">
        <f aca="false">'Titer Calculation'!B53</f>
        <v>3125</v>
      </c>
      <c r="C186" s="121" t="e">
        <f aca="false">(C175/100)*10000*$B186*10</f>
        <v>#VALUE!</v>
      </c>
      <c r="D186" s="121" t="e">
        <f aca="false">(D175/100)*10000*$B186*10</f>
        <v>#VALUE!</v>
      </c>
      <c r="E186" s="121" t="e">
        <f aca="false">(E175/100)*10000*$B186*10</f>
        <v>#VALUE!</v>
      </c>
      <c r="F186" s="121" t="e">
        <f aca="false">(F175/100)*10000*$B186*10</f>
        <v>#VALUE!</v>
      </c>
      <c r="G186" s="121" t="e">
        <f aca="false">(G175/100)*10000*$B186*10</f>
        <v>#VALUE!</v>
      </c>
      <c r="H186" s="121" t="e">
        <f aca="false">(H175/100)*10000*$B186*10</f>
        <v>#VALUE!</v>
      </c>
      <c r="I186" s="121" t="e">
        <f aca="false">(I175/100)*10000*$B186*10</f>
        <v>#VALUE!</v>
      </c>
      <c r="J186" s="121" t="e">
        <f aca="false">(J175/100)*10000*$B186*10</f>
        <v>#VALUE!</v>
      </c>
      <c r="K186" s="121" t="e">
        <f aca="false">(K175/100)*10000*$B186*10</f>
        <v>#VALUE!</v>
      </c>
      <c r="L186" s="121" t="e">
        <f aca="false">(L175/100)*10000*$B186*10</f>
        <v>#VALUE!</v>
      </c>
      <c r="M186" s="121" t="e">
        <f aca="false">(M175/100)*10000*$B186*10</f>
        <v>#VALUE!</v>
      </c>
      <c r="N186" s="121" t="e">
        <f aca="false">(N175/100)*10000*$B186*10</f>
        <v>#VALUE!</v>
      </c>
      <c r="O186" s="120"/>
      <c r="P186" s="44"/>
      <c r="Q186" s="83"/>
      <c r="R186" s="44"/>
      <c r="S186" s="44"/>
      <c r="T186" s="120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157"/>
      <c r="AF186" s="44"/>
      <c r="AG186" s="44"/>
      <c r="AH186" s="44"/>
      <c r="AI186" s="44"/>
      <c r="AJ186" s="44"/>
      <c r="AK186" s="44"/>
      <c r="AL186" s="44"/>
      <c r="AM186" s="44"/>
      <c r="AN186" s="44"/>
      <c r="AO186" s="120"/>
      <c r="AP186" s="44"/>
      <c r="AQ186" s="44"/>
      <c r="AR186" s="44"/>
    </row>
    <row r="187" customFormat="false" ht="15.75" hidden="false" customHeight="false" outlineLevel="0" collapsed="false">
      <c r="A187" s="97" t="s">
        <v>172</v>
      </c>
      <c r="B187" s="97" t="n">
        <f aca="false">'Titer Calculation'!B54</f>
        <v>15625</v>
      </c>
      <c r="C187" s="121" t="e">
        <f aca="false">(C176/100)*10000*$B187*10</f>
        <v>#VALUE!</v>
      </c>
      <c r="D187" s="121" t="e">
        <f aca="false">(D176/100)*10000*$B187*10</f>
        <v>#VALUE!</v>
      </c>
      <c r="E187" s="121" t="e">
        <f aca="false">(E176/100)*10000*$B187*10</f>
        <v>#VALUE!</v>
      </c>
      <c r="F187" s="121" t="e">
        <f aca="false">(F176/100)*10000*$B187*10</f>
        <v>#VALUE!</v>
      </c>
      <c r="G187" s="121" t="e">
        <f aca="false">(G176/100)*10000*$B187*10</f>
        <v>#VALUE!</v>
      </c>
      <c r="H187" s="121" t="e">
        <f aca="false">(H176/100)*10000*$B187*10</f>
        <v>#VALUE!</v>
      </c>
      <c r="I187" s="121" t="e">
        <f aca="false">(I176/100)*10000*$B187*10</f>
        <v>#VALUE!</v>
      </c>
      <c r="J187" s="121" t="e">
        <f aca="false">(J176/100)*10000*$B187*10</f>
        <v>#VALUE!</v>
      </c>
      <c r="K187" s="121" t="e">
        <f aca="false">(K176/100)*10000*$B187*10</f>
        <v>#VALUE!</v>
      </c>
      <c r="L187" s="121" t="e">
        <f aca="false">(L176/100)*10000*$B187*10</f>
        <v>#VALUE!</v>
      </c>
      <c r="M187" s="121" t="e">
        <f aca="false">(M176/100)*10000*$B187*10</f>
        <v>#VALUE!</v>
      </c>
      <c r="N187" s="121" t="e">
        <f aca="false">(N176/100)*10000*$B187*10</f>
        <v>#VALUE!</v>
      </c>
      <c r="O187" s="120"/>
      <c r="P187" s="44"/>
      <c r="Q187" s="83"/>
      <c r="R187" s="120"/>
      <c r="S187" s="44"/>
      <c r="T187" s="120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157"/>
      <c r="AF187" s="44"/>
      <c r="AG187" s="44"/>
      <c r="AH187" s="44"/>
      <c r="AI187" s="44"/>
      <c r="AJ187" s="44"/>
      <c r="AK187" s="44"/>
      <c r="AL187" s="44"/>
      <c r="AM187" s="44"/>
      <c r="AN187" s="44"/>
      <c r="AO187" s="120"/>
      <c r="AP187" s="44"/>
      <c r="AQ187" s="44"/>
      <c r="AR187" s="44"/>
    </row>
    <row r="188" customFormat="false" ht="15.75" hidden="false" customHeight="false" outlineLevel="0" collapsed="false">
      <c r="A188" s="97" t="s">
        <v>173</v>
      </c>
      <c r="B188" s="97" t="n">
        <f aca="false">'Titer Calculation'!B55</f>
        <v>78125</v>
      </c>
      <c r="C188" s="121" t="e">
        <f aca="false">(C177/100)*10000*$B188*10</f>
        <v>#VALUE!</v>
      </c>
      <c r="D188" s="121" t="e">
        <f aca="false">(D177/100)*10000*$B188*10</f>
        <v>#VALUE!</v>
      </c>
      <c r="E188" s="121" t="e">
        <f aca="false">(E177/100)*10000*$B188*10</f>
        <v>#VALUE!</v>
      </c>
      <c r="F188" s="121" t="e">
        <f aca="false">(F177/100)*10000*$B188*10</f>
        <v>#VALUE!</v>
      </c>
      <c r="G188" s="121" t="e">
        <f aca="false">(G177/100)*10000*$B188*10</f>
        <v>#VALUE!</v>
      </c>
      <c r="H188" s="121" t="e">
        <f aca="false">(H177/100)*10000*$B188*10</f>
        <v>#VALUE!</v>
      </c>
      <c r="I188" s="121" t="e">
        <f aca="false">(I177/100)*10000*$B188*10</f>
        <v>#VALUE!</v>
      </c>
      <c r="J188" s="121" t="e">
        <f aca="false">(J177/100)*10000*$B188*10</f>
        <v>#VALUE!</v>
      </c>
      <c r="K188" s="121" t="e">
        <f aca="false">(K177/100)*10000*$B188*10</f>
        <v>#VALUE!</v>
      </c>
      <c r="L188" s="121" t="e">
        <f aca="false">(L177/100)*10000*$B188*10</f>
        <v>#VALUE!</v>
      </c>
      <c r="M188" s="121" t="e">
        <f aca="false">(M177/100)*10000*$B188*10</f>
        <v>#VALUE!</v>
      </c>
      <c r="N188" s="121" t="e">
        <f aca="false">(N177/100)*10000*$B188*10</f>
        <v>#VALUE!</v>
      </c>
      <c r="O188" s="211" t="s">
        <v>272</v>
      </c>
      <c r="P188" s="44"/>
      <c r="Q188" s="83"/>
      <c r="R188" s="212"/>
      <c r="S188" s="44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157"/>
      <c r="AF188" s="44"/>
      <c r="AG188" s="44"/>
      <c r="AH188" s="44"/>
      <c r="AI188" s="44"/>
      <c r="AJ188" s="44"/>
      <c r="AK188" s="44"/>
      <c r="AL188" s="44"/>
      <c r="AM188" s="44"/>
      <c r="AN188" s="44"/>
      <c r="AO188" s="75"/>
      <c r="AP188" s="44"/>
      <c r="AQ188" s="44"/>
      <c r="AR188" s="44"/>
    </row>
    <row r="189" customFormat="false" ht="15.75" hidden="false" customHeight="false" outlineLevel="0" collapsed="false">
      <c r="A189" s="213" t="s">
        <v>277</v>
      </c>
      <c r="B189" s="213"/>
      <c r="C189" s="214" t="e">
        <f aca="false" t="array" ref="C189:C189">_xlfn.IFS(AND(COUNT(C$171:C$177)&gt;=7,S$325&lt;'Titer Calculation'!$T$6),C$325,AND(COUNT(C$171:C$177)&gt;=6,MIN(S$317:S$324)&lt;'Titer Calculation'!$T$6),_xlfn.xlookup(MIN(S$317:S$324),S$317:S$324, C$317:C$324),AND(COUNT(C$171:C$177)&gt;=5,MIN(S$293:S$316)&lt;'Titer Calculation'!$T$6),_xlfn.xlookup(MIN(S$295:S$316), S$295:S$316, C$295:$C$316),AND(COUNT(C$171:C$177)&gt;=4,MIN(S$259:S$294)&lt;'Titer Calculation'!$T$6),_xlfn.xlookup(MIN(S$259:S$294), S$259:S$294, C$259:C$294),AND(COUNT(C$171:C$177)&gt;=3,MIN(S$223:S$258)&lt;'Titer Calculation'!$T$6),_xlfn.xlookup(MIN(S$223:S$258), S$223:S$258, C$223:C$258),AND(COUNT(C$171:C$177)&gt;=2,MIN(S$202:S$222)&lt;'Titer Calculation'!$T$6),_xlfn.xlookup(MIN(S$202:S$222), S$202:S$222, C$202:C$222), TRUE(), _xlfn.xlookup(MIN(S$202:S$325), S$202:S$325, C$202:C$325))</f>
        <v>#NAME?</v>
      </c>
      <c r="D189" s="214" t="e">
        <f aca="false" t="array" ref="D189:D189">_xlfn.IFS(AND(COUNT(D$171:D$177)&gt;=7,T$325&lt;'Titer Calculation'!$T$6),D$325,AND(COUNT(D$171:D$177)&gt;=6,MIN(T$317:T$324)&lt;'Titer Calculation'!$T$6),_xlfn.xlookup(MIN(T$317:T$324),T$317:T$324, D$317:D$324),AND(COUNT(D$171:D$177)&gt;=5,MIN(T$293:T$316)&lt;'Titer Calculation'!$T$6),_xlfn.xlookup(MIN(T$295:T$316), T$295:T$316, $C$295:D$316),AND(COUNT(D$171:D$177)&gt;=4,MIN(T$259:T$294)&lt;'Titer Calculation'!$T$6),_xlfn.xlookup(MIN(T$259:T$294), T$259:T$294, D$259:D$294),AND(COUNT(D$171:D$177)&gt;=3,MIN(T$223:T$258)&lt;'Titer Calculation'!$T$6),_xlfn.xlookup(MIN(T$223:T$258), T$223:T$258, D$223:D$258),AND(COUNT(D$171:D$177)&gt;=2,MIN(T$202:T$222)&lt;'Titer Calculation'!$T$6),_xlfn.xlookup(MIN(T$202:T$222), T$202:T$222, D$202:D$222), TRUE(), _xlfn.xlookup(MIN(T$202:T$325), T$202:T$325, D$202:D$325))</f>
        <v>#NAME?</v>
      </c>
      <c r="E189" s="214" t="e">
        <f aca="false" t="array" ref="E189:E189">_xlfn.IFS(AND(COUNT(E$171:E$177)&gt;=7,U$325&lt;'Titer Calculation'!$T$6),E$325,AND(COUNT(E$171:E$177)&gt;=6,MIN(U$317:U$324)&lt;'Titer Calculation'!$T$6),_xlfn.xlookup(MIN(U$317:U$324),U$317:U$324, E$317:E$324),AND(COUNT(E$171:E$177)&gt;=5,MIN(U$293:U$316)&lt;'Titer Calculation'!$T$6),_xlfn.xlookup(MIN(U$295:U$316), U$295:U$316, $C$295:E$316),AND(COUNT(E$171:E$177)&gt;=4,MIN(U$259:U$294)&lt;'Titer Calculation'!$T$6),_xlfn.xlookup(MIN(U$259:U$294), U$259:U$294, E$259:E$294),AND(COUNT(E$171:E$177)&gt;=3,MIN(U$223:U$258)&lt;'Titer Calculation'!$T$6),_xlfn.xlookup(MIN(U$223:U$258), U$223:U$258, E$223:E$258),AND(COUNT(E$171:E$177)&gt;=2,MIN(U$202:U$222)&lt;'Titer Calculation'!$T$6),_xlfn.xlookup(MIN(U$202:U$222), U$202:U$222, E$202:E$222), TRUE(), _xlfn.xlookup(MIN(U$202:U$325), U$202:U$325, E$202:E$325))</f>
        <v>#NAME?</v>
      </c>
      <c r="F189" s="214" t="e">
        <f aca="false" t="array" ref="F189:F189">_xlfn.IFS(AND(COUNT(F$171:F$177)&gt;=7,V$325&lt;'Titer Calculation'!$T$6),F$325,AND(COUNT(F$171:F$177)&gt;=6,MIN(V$317:V$324)&lt;'Titer Calculation'!$T$6),_xlfn.xlookup(MIN(V$317:V$324),V$317:V$324, F$317:F$324),AND(COUNT(F$171:F$177)&gt;=5,MIN(V$293:V$316)&lt;'Titer Calculation'!$T$6),_xlfn.xlookup(MIN(V$295:V$316), V$295:V$316, $C$295:F$316),AND(COUNT(F$171:F$177)&gt;=4,MIN(V$259:V$294)&lt;'Titer Calculation'!$T$6),_xlfn.xlookup(MIN(V$259:V$294), V$259:V$294, F$259:F$294),AND(COUNT(F$171:F$177)&gt;=3,MIN(V$223:V$258)&lt;'Titer Calculation'!$T$6),_xlfn.xlookup(MIN(V$223:V$258), V$223:V$258, F$223:F$258),AND(COUNT(F$171:F$177)&gt;=2,MIN(V$202:V$222)&lt;'Titer Calculation'!$T$6),_xlfn.xlookup(MIN(V$202:V$222), V$202:V$222, F$202:F$222), TRUE(), _xlfn.xlookup(MIN(V$202:V$325), V$202:V$325, F$202:F$325))</f>
        <v>#NAME?</v>
      </c>
      <c r="G189" s="214" t="e">
        <f aca="false" t="array" ref="G189:G189">_xlfn.IFS(AND(COUNT(G$171:G$177)&gt;=7,W$325&lt;'Titer Calculation'!$T$6),G$325,AND(COUNT(G$171:G$177)&gt;=6,MIN(W$317:W$324)&lt;'Titer Calculation'!$T$6),_xlfn.xlookup(MIN(W$317:W$324),W$317:W$324, G$317:G$324),AND(COUNT(G$171:G$177)&gt;=5,MIN(W$293:W$316)&lt;'Titer Calculation'!$T$6),_xlfn.xlookup(MIN(W$295:W$316), W$295:W$316, $C$295:G$316),AND(COUNT(G$171:G$177)&gt;=4,MIN(W$259:W$294)&lt;'Titer Calculation'!$T$6),_xlfn.xlookup(MIN(W$259:W$294), W$259:W$294, G$259:G$294),AND(COUNT(G$171:G$177)&gt;=3,MIN(W$223:W$258)&lt;'Titer Calculation'!$T$6),_xlfn.xlookup(MIN(W$223:W$258), W$223:W$258, G$223:G$258),AND(COUNT(G$171:G$177)&gt;=2,MIN(W$202:W$222)&lt;'Titer Calculation'!$T$6),_xlfn.xlookup(MIN(W$202:W$222), W$202:W$222, G$202:G$222), TRUE(), _xlfn.xlookup(MIN(W$202:W$325), W$202:W$325, G$202:G$325))</f>
        <v>#NAME?</v>
      </c>
      <c r="H189" s="214" t="e">
        <f aca="false" t="array" ref="H189:H189">_xlfn.IFS(AND(COUNT(H$171:H$177)&gt;=7,X$325&lt;'Titer Calculation'!$T$6),H$325,AND(COUNT(H$171:H$177)&gt;=6,MIN(X$317:X$324)&lt;'Titer Calculation'!$T$6),_xlfn.xlookup(MIN(X$317:X$324),X$317:X$324, H$317:H$324),AND(COUNT(H$171:H$177)&gt;=5,MIN(X$293:X$316)&lt;'Titer Calculation'!$T$6),_xlfn.xlookup(MIN(X$295:X$316), X$295:X$316, $C$295:H$316),AND(COUNT(H$171:H$177)&gt;=4,MIN(X$259:X$294)&lt;'Titer Calculation'!$T$6),_xlfn.xlookup(MIN(X$259:X$294), X$259:X$294, H$259:H$294),AND(COUNT(H$171:H$177)&gt;=3,MIN(X$223:X$258)&lt;'Titer Calculation'!$T$6),_xlfn.xlookup(MIN(X$223:X$258), X$223:X$258, H$223:H$258),AND(COUNT(H$171:H$177)&gt;=2,MIN(X$202:X$222)&lt;'Titer Calculation'!$T$6),_xlfn.xlookup(MIN(X$202:X$222), X$202:X$222, H$202:H$222), TRUE(), _xlfn.xlookup(MIN(X$202:X$325), X$202:X$325, H$202:H$325))</f>
        <v>#NAME?</v>
      </c>
      <c r="I189" s="214" t="e">
        <f aca="false" t="array" ref="I189:I189">_xlfn.IFS(AND(COUNT(I$171:I$177)&gt;=7,Y$325&lt;'Titer Calculation'!$T$6),I$325,AND(COUNT(I$171:I$177)&gt;=6,MIN(Y$317:Y$324)&lt;'Titer Calculation'!$T$6),_xlfn.xlookup(MIN(Y$317:Y$324),Y$317:Y$324, I$317:I$324),AND(COUNT(I$171:I$177)&gt;=5,MIN(Y$293:Y$316)&lt;'Titer Calculation'!$T$6),_xlfn.xlookup(MIN(Y$295:Y$316), Y$295:Y$316, $C$295:I$316),AND(COUNT(I$171:I$177)&gt;=4,MIN(Y$259:Y$294)&lt;'Titer Calculation'!$T$6),_xlfn.xlookup(MIN(Y$259:Y$294), Y$259:Y$294, I$259:I$294),AND(COUNT(I$171:I$177)&gt;=3,MIN(Y$223:Y$258)&lt;'Titer Calculation'!$T$6),_xlfn.xlookup(MIN(Y$223:Y$258), Y$223:Y$258, I$223:I$258),AND(COUNT(I$171:I$177)&gt;=2,MIN(Y$202:Y$222)&lt;'Titer Calculation'!$T$6),_xlfn.xlookup(MIN(Y$202:Y$222), Y$202:Y$222, I$202:I$222), TRUE(), _xlfn.xlookup(MIN(Y$202:Y$325), Y$202:Y$325, I$202:I$325))</f>
        <v>#NAME?</v>
      </c>
      <c r="J189" s="214" t="e">
        <f aca="false" t="array" ref="J189:J189">_xlfn.IFS(AND(COUNT(J$171:J$177)&gt;=7,Z$325&lt;'Titer Calculation'!$T$6),J$325,AND(COUNT(J$171:J$177)&gt;=6,MIN(Z$317:Z$324)&lt;'Titer Calculation'!$T$6),_xlfn.xlookup(MIN(Z$317:Z$324),Z$317:Z$324, J$317:J$324),AND(COUNT(J$171:J$177)&gt;=5,MIN(Z$293:Z$316)&lt;'Titer Calculation'!$T$6),_xlfn.xlookup(MIN(Z$295:Z$316), Z$295:Z$316, $C$295:J$316),AND(COUNT(J$171:J$177)&gt;=4,MIN(Z$259:Z$294)&lt;'Titer Calculation'!$T$6),_xlfn.xlookup(MIN(Z$259:Z$294), Z$259:Z$294, J$259:J$294),AND(COUNT(J$171:J$177)&gt;=3,MIN(Z$223:Z$258)&lt;'Titer Calculation'!$T$6),_xlfn.xlookup(MIN(Z$223:Z$258), Z$223:Z$258, J$223:J$258),AND(COUNT(J$171:J$177)&gt;=2,MIN(Z$202:Z$222)&lt;'Titer Calculation'!$T$6),_xlfn.xlookup(MIN(Z$202:Z$222), Z$202:Z$222, J$202:J$222), TRUE(), _xlfn.xlookup(MIN(Z$202:Z$325), Z$202:Z$325, J$202:J$325))</f>
        <v>#NAME?</v>
      </c>
      <c r="K189" s="214" t="e">
        <f aca="false" t="array" ref="K189:K189">_xlfn.IFS(AND(COUNT(K$171:K$177)&gt;=7,AA$325&lt;'Titer Calculation'!$T$6),K$325,AND(COUNT(K$171:K$177)&gt;=6,MIN(AA$317:AA$324)&lt;'Titer Calculation'!$T$6),_xlfn.xlookup(MIN(AA$317:AA$324),AA$317:AA$324, K$317:K$324),AND(COUNT(K$171:K$177)&gt;=5,MIN(AA$293:AA$316)&lt;'Titer Calculation'!$T$6),_xlfn.xlookup(MIN(AA$295:AA$316), AA$295:AA$316, $C$295:K$316),AND(COUNT(K$171:K$177)&gt;=4,MIN(AA$259:AA$294)&lt;'Titer Calculation'!$T$6),_xlfn.xlookup(MIN(AA$259:AA$294), AA$259:AA$294, K$259:K$294),AND(COUNT(K$171:K$177)&gt;=3,MIN(AA$223:AA$258)&lt;'Titer Calculation'!$T$6),_xlfn.xlookup(MIN(AA$223:AA$258), AA$223:AA$258, K$223:K$258),AND(COUNT(K$171:K$177)&gt;=2,MIN(AA$202:AA$222)&lt;'Titer Calculation'!$T$6),_xlfn.xlookup(MIN(AA$202:AA$222), AA$202:AA$222, K$202:K$222), TRUE(), _xlfn.xlookup(MIN(AA$202:AA$325), AA$202:AA$325, K$202:K$325))</f>
        <v>#NAME?</v>
      </c>
      <c r="L189" s="214" t="e">
        <f aca="false" t="array" ref="L189:L189">_xlfn.IFS(AND(COUNT(L$171:L$177)&gt;=7,AB$325&lt;'Titer Calculation'!$T$6),L$325,AND(COUNT(L$171:L$177)&gt;=6,MIN(AB$317:AB$324)&lt;'Titer Calculation'!$T$6),_xlfn.xlookup(MIN(AB$317:AB$324),AB$317:AB$324, L$317:L$324),AND(COUNT(L$171:L$177)&gt;=5,MIN(AB$293:AB$316)&lt;'Titer Calculation'!$T$6),_xlfn.xlookup(MIN(AB$295:AB$316), AB$295:AB$316, $C$295:L$316),AND(COUNT(L$171:L$177)&gt;=4,MIN(AB$259:AB$294)&lt;'Titer Calculation'!$T$6),_xlfn.xlookup(MIN(AB$259:AB$294), AB$259:AB$294, L$259:L$294),AND(COUNT(L$171:L$177)&gt;=3,MIN(AB$223:AB$258)&lt;'Titer Calculation'!$T$6),_xlfn.xlookup(MIN(AB$223:AB$258), AB$223:AB$258, L$223:L$258),AND(COUNT(L$171:L$177)&gt;=2,MIN(AB$202:AB$222)&lt;'Titer Calculation'!$T$6),_xlfn.xlookup(MIN(AB$202:AB$222), AB$202:AB$222, L$202:L$222), TRUE(), _xlfn.xlookup(MIN(AB$202:AB$325), AB$202:AB$325, L$202:L$325))</f>
        <v>#NAME?</v>
      </c>
      <c r="M189" s="214" t="e">
        <f aca="false" t="array" ref="M189:M189">_xlfn.IFS(AND(COUNT(M$171:M$177)&gt;=7,AC$325&lt;'Titer Calculation'!$T$6),M$325,AND(COUNT(M$171:M$177)&gt;=6,MIN(AC$317:AC$324)&lt;'Titer Calculation'!$T$6),_xlfn.xlookup(MIN(AC$317:AC$324),AC$317:AC$324, M$317:M$324),AND(COUNT(M$171:M$177)&gt;=5,MIN(AC$293:AC$316)&lt;'Titer Calculation'!$T$6),_xlfn.xlookup(MIN(AC$295:AC$316), AC$295:AC$316, $C$295:M$316),AND(COUNT(M$171:M$177)&gt;=4,MIN(AC$259:AC$294)&lt;'Titer Calculation'!$T$6),_xlfn.xlookup(MIN(AC$259:AC$294), AC$259:AC$294, M$259:M$294),AND(COUNT(M$171:M$177)&gt;=3,MIN(AC$223:AC$258)&lt;'Titer Calculation'!$T$6),_xlfn.xlookup(MIN(AC$223:AC$258), AC$223:AC$258, M$223:M$258),AND(COUNT(M$171:M$177)&gt;=2,MIN(AC$202:AC$222)&lt;'Titer Calculation'!$T$6),_xlfn.xlookup(MIN(AC$202:AC$222), AC$202:AC$222, M$202:M$222), TRUE(), _xlfn.xlookup(MIN(AC$202:AC$325), AC$202:AC$325, M$202:M$325))</f>
        <v>#NAME?</v>
      </c>
      <c r="N189" s="214" t="e">
        <f aca="false" t="array" ref="N189:N189">_xlfn.IFS(AND(COUNT(N$171:N$177)&gt;=7,AD$325&lt;'Titer Calculation'!$T$6),N$325,AND(COUNT(N$171:N$177)&gt;=6,MIN(AD$317:AD$324)&lt;'Titer Calculation'!$T$6),_xlfn.xlookup(MIN(AD$317:AD$324),AD$317:AD$324, N$317:N$324),AND(COUNT(N$171:N$177)&gt;=5,MIN(AD$293:AD$316)&lt;'Titer Calculation'!$T$6),_xlfn.xlookup(MIN(AD$295:AD$316), AD$295:AD$316, $C$295:N$316),AND(COUNT(N$171:N$177)&gt;=4,MIN(AD$259:AD$294)&lt;'Titer Calculation'!$T$6),_xlfn.xlookup(MIN(AD$259:AD$294), AD$259:AD$294, N$259:N$294),AND(COUNT(N$171:N$177)&gt;=3,MIN(AD$223:AD$258)&lt;'Titer Calculation'!$T$6),_xlfn.xlookup(MIN(AD$223:AD$258), AD$223:AD$258, N$223:N$258),AND(COUNT(N$171:N$177)&gt;=2,MIN(AD$202:AD$222)&lt;'Titer Calculation'!$T$6),_xlfn.xlookup(MIN(AD$202:AD$222), AD$202:AD$222, N$202:N$222), TRUE(), _xlfn.xlookup(MIN(AD$202:AD$325), AD$202:AD$325, N$202:N$325))</f>
        <v>#NAME?</v>
      </c>
      <c r="O189" s="211"/>
      <c r="P189" s="44"/>
      <c r="Q189" s="83"/>
      <c r="R189" s="212"/>
      <c r="S189" s="44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157"/>
      <c r="AF189" s="44"/>
      <c r="AG189" s="44"/>
      <c r="AH189" s="44"/>
      <c r="AI189" s="44"/>
      <c r="AJ189" s="44"/>
      <c r="AK189" s="44"/>
      <c r="AL189" s="44"/>
      <c r="AM189" s="44"/>
      <c r="AN189" s="44"/>
      <c r="AO189" s="75"/>
      <c r="AP189" s="44"/>
      <c r="AQ189" s="44"/>
      <c r="AR189" s="44"/>
    </row>
    <row r="190" customFormat="false" ht="15.75" hidden="false" customHeight="false" outlineLevel="0" collapsed="false">
      <c r="A190" s="213" t="s">
        <v>278</v>
      </c>
      <c r="B190" s="213"/>
      <c r="C190" s="215" t="e">
        <f aca="false" t="array" ref="C190:C190">REPLACE(_xlfn.IFS(AND(COUNT(C$171:C$177)&gt;=7,S$325&lt;'Titer Calculation'!$T$6),$A$325,AND(COUNT(C$171:C$177)&gt;=6,MIN(S$317:S$324)&lt;'Titer Calculation'!$T$6),_xlfn.xlookup(MIN(S$317:S$324),S$317:S$324, $A$317:$A$324),AND(COUNT(C$171:C$177)&gt;=5,MIN(S$295:S$316)&lt;'Titer Calculation'!$T$6),_xlfn.xlookup(MIN(S$295:S$316), S$295:S$316, $A$295:$A$316),AND(COUNT(C$171:C$177)&gt;=4,MIN(S$259:S$294)&lt;'Titer Calculation'!$T$6),_xlfn.xlookup(MIN(S$259:S$294), S$259:S$294, $A$259:$A$294),AND(COUNT(C$171:C$177)&gt;=3,MIN(S$223:S$258)&lt;'Titer Calculation'!$T$6),_xlfn.xlookup(MIN(S$223:S$258), S$223:S$258, $A$223:$A$258),AND(COUNT(C$171:C$177)&gt;=2,MIN(S$202:S$222)&lt;'Titer Calculation'!$T$6),_xlfn.xlookup(MIN(S$202:S$222), S$202:S$222, $A$202:$A$222), TRUE(), _xlfn.xlookup(MIN(S$202:S$325),S$202:S$325, $A$202:$A$325)), 1, 8,)</f>
        <v>#NAME?</v>
      </c>
      <c r="D190" s="215" t="e">
        <f aca="false" t="array" ref="D190:D190">REPLACE(_xlfn.IFS(AND(COUNT(D$171:D$177)&gt;=7,T$325&lt;'Titer Calculation'!$T$6),$A$325,AND(COUNT(D$171:D$177)&gt;=6,MIN(T$317:T$324)&lt;'Titer Calculation'!$T$6),_xlfn.xlookup(MIN(T$317:T$324),T$317:T$324, $A$317:$A$324),AND(COUNT(D$171:D$177)&gt;=5,MIN(T$295:T$316)&lt;'Titer Calculation'!$T$6),_xlfn.xlookup(MIN(T$295:T$316), T$295:T$316, $A$295:$A$316),AND(COUNT(D$171:D$177)&gt;=4,MIN(T$259:T$294)&lt;'Titer Calculation'!$T$6),_xlfn.xlookup(MIN(T$259:T$294), T$259:T$294, $A$259:$A$294),AND(COUNT(D$171:D$177)&gt;=3,MIN(T$223:T$258)&lt;'Titer Calculation'!$T$6),_xlfn.xlookup(MIN(T$223:T$258), T$223:T$258, $A$223:$A$258),AND(COUNT(D$171:D$177)&gt;=2,MIN(T$202:T$222)&lt;'Titer Calculation'!$T$6),_xlfn.xlookup(MIN(T$202:T$222), T$202:T$222, $A$202:$A$222), TRUE(), _xlfn.xlookup(MIN(T$202:T$325),T$202:T$325, $A$202:$A$325)), 1, 8,)</f>
        <v>#NAME?</v>
      </c>
      <c r="E190" s="215" t="e">
        <f aca="false" t="array" ref="E190:E190">REPLACE(_xlfn.IFS(AND(COUNT(E$171:E$177)&gt;=7,U$325&lt;'Titer Calculation'!$T$6),$A$325,AND(COUNT(E$171:E$177)&gt;=6,MIN(U$317:U$324)&lt;'Titer Calculation'!$T$6),_xlfn.xlookup(MIN(U$317:U$324),U$317:U$324, $A$317:$A$324),AND(COUNT(E$171:E$177)&gt;=5,MIN(U$295:U$316)&lt;'Titer Calculation'!$T$6),_xlfn.xlookup(MIN(U$295:U$316), U$295:U$316, $A$295:$A$316),AND(COUNT(E$171:E$177)&gt;=4,MIN(U$259:U$294)&lt;'Titer Calculation'!$T$6),_xlfn.xlookup(MIN(U$259:U$294), U$259:U$294, $A$259:$A$294),AND(COUNT(E$171:E$177)&gt;=3,MIN(U$223:U$258)&lt;'Titer Calculation'!$T$6),_xlfn.xlookup(MIN(U$223:U$258), U$223:U$258, $A$223:$A$258),AND(COUNT(E$171:E$177)&gt;=2,MIN(U$202:U$222)&lt;'Titer Calculation'!$T$6),_xlfn.xlookup(MIN(U$202:U$222), U$202:U$222, $A$202:$A$222), TRUE(), _xlfn.xlookup(MIN(U$202:U$325),U$202:U$325, $A$202:$A$325)), 1, 8,)</f>
        <v>#NAME?</v>
      </c>
      <c r="F190" s="215" t="e">
        <f aca="false" t="array" ref="F190:F190">REPLACE(_xlfn.IFS(AND(COUNT(F$171:F$177)&gt;=7,V$325&lt;'Titer Calculation'!$T$6),$A$325,AND(COUNT(F$171:F$177)&gt;=6,MIN(V$317:V$324)&lt;'Titer Calculation'!$T$6),_xlfn.xlookup(MIN(V$317:V$324),V$317:V$324, $A$317:$A$324),AND(COUNT(F$171:F$177)&gt;=5,MIN(V$295:V$316)&lt;'Titer Calculation'!$T$6),_xlfn.xlookup(MIN(V$295:V$316), V$295:V$316, $A$295:$A$316),AND(COUNT(F$171:F$177)&gt;=4,MIN(V$259:V$294)&lt;'Titer Calculation'!$T$6),_xlfn.xlookup(MIN(V$259:V$294), V$259:V$294, $A$259:$A$294),AND(COUNT(F$171:F$177)&gt;=3,MIN(V$223:V$258)&lt;'Titer Calculation'!$T$6),_xlfn.xlookup(MIN(V$223:V$258), V$223:V$258, $A$223:$A$258),AND(COUNT(F$171:F$177)&gt;=2,MIN(V$202:V$222)&lt;'Titer Calculation'!$T$6),_xlfn.xlookup(MIN(V$202:V$222), V$202:V$222, $A$202:$A$222), TRUE(), _xlfn.xlookup(MIN(V$202:V$325),V$202:V$325, $A$202:$A$325)), 1, 8,)</f>
        <v>#NAME?</v>
      </c>
      <c r="G190" s="215" t="e">
        <f aca="false" t="array" ref="G190:G190">REPLACE(_xlfn.IFS(AND(COUNT(G$171:G$177)&gt;=7,W$325&lt;'Titer Calculation'!$T$6),$A$325,AND(COUNT(G$171:G$177)&gt;=6,MIN(W$317:W$324)&lt;'Titer Calculation'!$T$6),_xlfn.xlookup(MIN(W$317:W$324),W$317:W$324, $A$317:$A$324),AND(COUNT(G$171:G$177)&gt;=5,MIN(W$295:W$316)&lt;'Titer Calculation'!$T$6),_xlfn.xlookup(MIN(W$295:W$316), W$295:W$316, $A$295:$A$316),AND(COUNT(G$171:G$177)&gt;=4,MIN(W$259:W$294)&lt;'Titer Calculation'!$T$6),_xlfn.xlookup(MIN(W$259:W$294), W$259:W$294, $A$259:$A$294),AND(COUNT(G$171:G$177)&gt;=3,MIN(W$223:W$258)&lt;'Titer Calculation'!$T$6),_xlfn.xlookup(MIN(W$223:W$258), W$223:W$258, $A$223:$A$258),AND(COUNT(G$171:G$177)&gt;=2,MIN(W$202:W$222)&lt;'Titer Calculation'!$T$6),_xlfn.xlookup(MIN(W$202:W$222), W$202:W$222, $A$202:$A$222), TRUE(), _xlfn.xlookup(MIN(W$202:W$325),W$202:W$325, $A$202:$A$325)), 1, 8,)</f>
        <v>#NAME?</v>
      </c>
      <c r="H190" s="215" t="e">
        <f aca="false" t="array" ref="H190:H190">REPLACE(_xlfn.IFS(AND(COUNT(H$171:H$177)&gt;=7,X$325&lt;'Titer Calculation'!$T$6),$A$325,AND(COUNT(H$171:H$177)&gt;=6,MIN(X$317:X$324)&lt;'Titer Calculation'!$T$6),_xlfn.xlookup(MIN(X$317:X$324),X$317:X$324, $A$317:$A$324),AND(COUNT(H$171:H$177)&gt;=5,MIN(X$295:X$316)&lt;'Titer Calculation'!$T$6),_xlfn.xlookup(MIN(X$295:X$316), X$295:X$316, $A$295:$A$316),AND(COUNT(H$171:H$177)&gt;=4,MIN(X$259:X$294)&lt;'Titer Calculation'!$T$6),_xlfn.xlookup(MIN(X$259:X$294), X$259:X$294, $A$259:$A$294),AND(COUNT(H$171:H$177)&gt;=3,MIN(X$223:X$258)&lt;'Titer Calculation'!$T$6),_xlfn.xlookup(MIN(X$223:X$258), X$223:X$258, $A$223:$A$258),AND(COUNT(H$171:H$177)&gt;=2,MIN(X$202:X$222)&lt;'Titer Calculation'!$T$6),_xlfn.xlookup(MIN(X$202:X$222), X$202:X$222, $A$202:$A$222), TRUE(), _xlfn.xlookup(MIN(X$202:X$325),X$202:X$325, $A$202:$A$325)), 1, 8,)</f>
        <v>#NAME?</v>
      </c>
      <c r="I190" s="215" t="e">
        <f aca="false" t="array" ref="I190:I190">REPLACE(_xlfn.IFS(AND(COUNT(I$171:I$177)&gt;=7,Y$325&lt;'Titer Calculation'!$T$6),$A$325,AND(COUNT(I$171:I$177)&gt;=6,MIN(Y$317:Y$324)&lt;'Titer Calculation'!$T$6),_xlfn.xlookup(MIN(Y$317:Y$324),Y$317:Y$324, $A$317:$A$324),AND(COUNT(I$171:I$177)&gt;=5,MIN(Y$295:Y$316)&lt;'Titer Calculation'!$T$6),_xlfn.xlookup(MIN(Y$295:Y$316), Y$295:Y$316, $A$295:$A$316),AND(COUNT(I$171:I$177)&gt;=4,MIN(Y$259:Y$294)&lt;'Titer Calculation'!$T$6),_xlfn.xlookup(MIN(Y$259:Y$294), Y$259:Y$294, $A$259:$A$294),AND(COUNT(I$171:I$177)&gt;=3,MIN(Y$223:Y$258)&lt;'Titer Calculation'!$T$6),_xlfn.xlookup(MIN(Y$223:Y$258), Y$223:Y$258, $A$223:$A$258),AND(COUNT(I$171:I$177)&gt;=2,MIN(Y$202:Y$222)&lt;'Titer Calculation'!$T$6),_xlfn.xlookup(MIN(Y$202:Y$222), Y$202:Y$222, $A$202:$A$222), TRUE(), _xlfn.xlookup(MIN(Y$202:Y$325),Y$202:Y$325, $A$202:$A$325)), 1, 8,)</f>
        <v>#NAME?</v>
      </c>
      <c r="J190" s="215" t="e">
        <f aca="false" t="array" ref="J190:J190">REPLACE(_xlfn.IFS(AND(COUNT(J$171:J$177)&gt;=7,Z$325&lt;'Titer Calculation'!$T$6),$A$325,AND(COUNT(J$171:J$177)&gt;=6,MIN(Z$317:Z$324)&lt;'Titer Calculation'!$T$6),_xlfn.xlookup(MIN(Z$317:Z$324),Z$317:Z$324, $A$317:$A$324),AND(COUNT(J$171:J$177)&gt;=5,MIN(Z$295:Z$316)&lt;'Titer Calculation'!$T$6),_xlfn.xlookup(MIN(Z$295:Z$316), Z$295:Z$316, $A$295:$A$316),AND(COUNT(J$171:J$177)&gt;=4,MIN(Z$259:Z$294)&lt;'Titer Calculation'!$T$6),_xlfn.xlookup(MIN(Z$259:Z$294), Z$259:Z$294, $A$259:$A$294),AND(COUNT(J$171:J$177)&gt;=3,MIN(Z$223:Z$258)&lt;'Titer Calculation'!$T$6),_xlfn.xlookup(MIN(Z$223:Z$258), Z$223:Z$258, $A$223:$A$258),AND(COUNT(J$171:J$177)&gt;=2,MIN(Z$202:Z$222)&lt;'Titer Calculation'!$T$6),_xlfn.xlookup(MIN(Z$202:Z$222), Z$202:Z$222, $A$202:$A$222), TRUE(), _xlfn.xlookup(MIN(Z$202:Z$325),Z$202:Z$325, $A$202:$A$325)), 1, 8,)</f>
        <v>#NAME?</v>
      </c>
      <c r="K190" s="215" t="e">
        <f aca="false" t="array" ref="K190:K190">REPLACE(_xlfn.IFS(AND(COUNT(K$171:K$177)&gt;=7,AA$325&lt;'Titer Calculation'!$T$6),$A$325,AND(COUNT(K$171:K$177)&gt;=6,MIN(AA$317:AA$324)&lt;'Titer Calculation'!$T$6),_xlfn.xlookup(MIN(AA$317:AA$324),AA$317:AA$324, $A$317:$A$324),AND(COUNT(K$171:K$177)&gt;=5,MIN(AA$295:AA$316)&lt;'Titer Calculation'!$T$6),_xlfn.xlookup(MIN(AA$295:AA$316), AA$295:AA$316, $A$295:$A$316),AND(COUNT(K$171:K$177)&gt;=4,MIN(AA$259:AA$294)&lt;'Titer Calculation'!$T$6),_xlfn.xlookup(MIN(AA$259:AA$294), AA$259:AA$294, $A$259:$A$294),AND(COUNT(K$171:K$177)&gt;=3,MIN(AA$223:AA$258)&lt;'Titer Calculation'!$T$6),_xlfn.xlookup(MIN(AA$223:AA$258), AA$223:AA$258, $A$223:$A$258),AND(COUNT(K$171:K$177)&gt;=2,MIN(AA$202:AA$222)&lt;'Titer Calculation'!$T$6),_xlfn.xlookup(MIN(AA$202:AA$222), AA$202:AA$222, $A$202:$A$222), TRUE(), _xlfn.xlookup(MIN(AA$202:AA$325),AA$202:AA$325, $A$202:$A$325)), 1, 8,)</f>
        <v>#NAME?</v>
      </c>
      <c r="L190" s="215" t="e">
        <f aca="false" t="array" ref="L190:L190">REPLACE(_xlfn.IFS(AND(COUNT(L$171:L$177)&gt;=7,AB$325&lt;'Titer Calculation'!$T$6),$A$325,AND(COUNT(L$171:L$177)&gt;=6,MIN(AB$317:AB$324)&lt;'Titer Calculation'!$T$6),_xlfn.xlookup(MIN(AB$317:AB$324),AB$317:AB$324, $A$317:$A$324),AND(COUNT(L$171:L$177)&gt;=5,MIN(AB$295:AB$316)&lt;'Titer Calculation'!$T$6),_xlfn.xlookup(MIN(AB$295:AB$316), AB$295:AB$316, $A$295:$A$316),AND(COUNT(L$171:L$177)&gt;=4,MIN(AB$259:AB$294)&lt;'Titer Calculation'!$T$6),_xlfn.xlookup(MIN(AB$259:AB$294), AB$259:AB$294, $A$259:$A$294),AND(COUNT(L$171:L$177)&gt;=3,MIN(AB$223:AB$258)&lt;'Titer Calculation'!$T$6),_xlfn.xlookup(MIN(AB$223:AB$258), AB$223:AB$258, $A$223:$A$258),AND(COUNT(L$171:L$177)&gt;=2,MIN(AB$202:AB$222)&lt;'Titer Calculation'!$T$6),_xlfn.xlookup(MIN(AB$202:AB$222), AB$202:AB$222, $A$202:$A$222), TRUE(), _xlfn.xlookup(MIN(AB$202:AB$325),AB$202:AB$325, $A$202:$A$325)), 1, 8,)</f>
        <v>#NAME?</v>
      </c>
      <c r="M190" s="215" t="e">
        <f aca="false" t="array" ref="M190:M190">REPLACE(_xlfn.IFS(AND(COUNT(M$171:M$177)&gt;=7,AC$325&lt;'Titer Calculation'!$T$6),$A$325,AND(COUNT(M$171:M$177)&gt;=6,MIN(AC$317:AC$324)&lt;'Titer Calculation'!$T$6),_xlfn.xlookup(MIN(AC$317:AC$324),AC$317:AC$324, $A$317:$A$324),AND(COUNT(M$171:M$177)&gt;=5,MIN(AC$295:AC$316)&lt;'Titer Calculation'!$T$6),_xlfn.xlookup(MIN(AC$295:AC$316), AC$295:AC$316, $A$295:$A$316),AND(COUNT(M$171:M$177)&gt;=4,MIN(AC$259:AC$294)&lt;'Titer Calculation'!$T$6),_xlfn.xlookup(MIN(AC$259:AC$294), AC$259:AC$294, $A$259:$A$294),AND(COUNT(M$171:M$177)&gt;=3,MIN(AC$223:AC$258)&lt;'Titer Calculation'!$T$6),_xlfn.xlookup(MIN(AC$223:AC$258), AC$223:AC$258, $A$223:$A$258),AND(COUNT(M$171:M$177)&gt;=2,MIN(AC$202:AC$222)&lt;'Titer Calculation'!$T$6),_xlfn.xlookup(MIN(AC$202:AC$222), AC$202:AC$222, $A$202:$A$222), TRUE(), _xlfn.xlookup(MIN(AC$202:AC$325),AC$202:AC$325, $A$202:$A$325)), 1, 8,)</f>
        <v>#NAME?</v>
      </c>
      <c r="N190" s="215" t="e">
        <f aca="false" t="array" ref="N190:N190">REPLACE(_xlfn.IFS(AND(COUNT(N$171:N$177)&gt;=7,AD$325&lt;'Titer Calculation'!$T$6),$A$325,AND(COUNT(N$171:N$177)&gt;=6,MIN(AD$317:AD$324)&lt;'Titer Calculation'!$T$6),_xlfn.xlookup(MIN(AD$317:AD$324),AD$317:AD$324, $A$317:$A$324),AND(COUNT(N$171:N$177)&gt;=5,MIN(AD$295:AD$316)&lt;'Titer Calculation'!$T$6),_xlfn.xlookup(MIN(AD$295:AD$316), AD$295:AD$316, $A$295:$A$316),AND(COUNT(N$171:N$177)&gt;=4,MIN(AD$259:AD$294)&lt;'Titer Calculation'!$T$6),_xlfn.xlookup(MIN(AD$259:AD$294), AD$259:AD$294, $A$259:$A$294),AND(COUNT(N$171:N$177)&gt;=3,MIN(AD$223:AD$258)&lt;'Titer Calculation'!$T$6),_xlfn.xlookup(MIN(AD$223:AD$258), AD$223:AD$258, $A$223:$A$258),AND(COUNT(N$171:N$177)&gt;=2,MIN(AD$202:AD$222)&lt;'Titer Calculation'!$T$6),_xlfn.xlookup(MIN(AD$202:AD$222), AD$202:AD$222, $A$202:$A$222), TRUE(), _xlfn.xlookup(MIN(AD$202:AD$325),AD$202:AD$325, $A$202:$A$325)), 1, 8,)</f>
        <v>#NAME?</v>
      </c>
      <c r="O190" s="211"/>
      <c r="P190" s="44"/>
      <c r="Q190" s="83"/>
      <c r="R190" s="212"/>
      <c r="S190" s="44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157"/>
      <c r="AF190" s="44"/>
      <c r="AG190" s="44"/>
      <c r="AH190" s="44"/>
      <c r="AI190" s="44"/>
      <c r="AJ190" s="44"/>
      <c r="AK190" s="44"/>
      <c r="AL190" s="44"/>
      <c r="AM190" s="44"/>
      <c r="AN190" s="44"/>
      <c r="AO190" s="75"/>
      <c r="AP190" s="44"/>
      <c r="AQ190" s="44"/>
      <c r="AR190" s="44"/>
    </row>
    <row r="191" customFormat="false" ht="15.75" hidden="false" customHeight="false" outlineLevel="0" collapsed="false">
      <c r="A191" s="213" t="s">
        <v>240</v>
      </c>
      <c r="B191" s="213"/>
      <c r="C191" s="214" t="e">
        <f aca="false" t="array" ref="C191:C191">_xlfn.IFS(AND(COUNT(C$171:C$177)&gt;=7,S$325&lt;'Titer Calculation'!$T$6),AG$325,AND(COUNT(C$171:C$177)&gt;=6,MIN(S$317:S$324)&lt;'Titer Calculation'!$T$6),_xlfn.xlookup(MIN(S$317:S$324),S$317:S$324,AG$317:AG$324),AND(COUNT(C$171:C$177)&gt;=5,MIN(S$295:S$316)&lt;'Titer Calculation'!$T$6),_xlfn.xlookup(MIN(S$295:S$316),S$295:S$316,AG$295:AG$316),AND(COUNT(C$171:C$177)&gt;=4,MIN(S$259:S$294)&lt;'Titer Calculation'!$T$6),_xlfn.xlookup(MIN(S$259:S$294),S$259:S$294,AG$259:AG$294),AND(COUNT(C$171:C$177)&gt;=3,MIN(S$223:S$258)&lt;'Titer Calculation'!$T$6),_xlfn.xlookup(MIN(S$223:S$258),S$223:S$258,AG$223:AG$258),AND(COUNT(C$171:C$177)&gt;=2,MIN(S$202:S$222)&lt;'Titer Calculation'!$T$6),_xlfn.xlookup(MIN(S$202:S$222),S$202:S$222,AG$202:AG$222),TRUE(),_xlfn.xlookup(MIN(S$202:S$325),S$202:S$325,AG$202:AG$325))</f>
        <v>#NAME?</v>
      </c>
      <c r="D191" s="214" t="e">
        <f aca="false" t="array" ref="D191:D191">_xlfn.IFS(AND(COUNT(D$171:D$177)&gt;=7,T$325&lt;'Titer Calculation'!$T$6),AH$325,AND(COUNT(D$171:D$177)&gt;=6,MIN(T$317:T$324)&lt;'Titer Calculation'!$T$6),_xlfn.xlookup(MIN(T$317:T$324),T$317:T$324,AH$317:AH$324),AND(COUNT(D$171:D$177)&gt;=5,MIN(T$295:T$316)&lt;'Titer Calculation'!$T$6),_xlfn.xlookup(MIN(T$295:T$316),T$295:T$316,AH$295:AH$316),AND(COUNT(D$171:D$177)&gt;=4,MIN(T$259:T$294)&lt;'Titer Calculation'!$T$6),_xlfn.xlookup(MIN(T$259:T$294),T$259:T$294,AH$259:AH$294),AND(COUNT(D$171:D$177)&gt;=3,MIN(T$223:T$258)&lt;'Titer Calculation'!$T$6),_xlfn.xlookup(MIN(T$223:T$258),T$223:T$258,AH$223:AH$258),AND(COUNT(D$171:D$177)&gt;=2,MIN(T$202:T$222)&lt;'Titer Calculation'!$T$6),_xlfn.xlookup(MIN(T$202:T$222),T$202:T$222,AH$202:AH$222),TRUE(),_xlfn.xlookup(MIN(T$202:T$325),T$202:T$325,AH$202:AH$325))</f>
        <v>#NAME?</v>
      </c>
      <c r="E191" s="214" t="e">
        <f aca="false" t="array" ref="E191:E191">_xlfn.IFS(AND(COUNT(E$171:E$177)&gt;=7,U$325&lt;'Titer Calculation'!$T$6),AI$325,AND(COUNT(E$171:E$177)&gt;=6,MIN(U$317:U$324)&lt;'Titer Calculation'!$T$6),_xlfn.xlookup(MIN(U$317:U$324),U$317:U$324,AI$317:AI$324),AND(COUNT(E$171:E$177)&gt;=5,MIN(U$295:U$316)&lt;'Titer Calculation'!$T$6),_xlfn.xlookup(MIN(U$295:U$316),U$295:U$316,AI$295:AI$316),AND(COUNT(E$171:E$177)&gt;=4,MIN(U$259:U$294)&lt;'Titer Calculation'!$T$6),_xlfn.xlookup(MIN(U$259:U$294),U$259:U$294,AI$259:AI$294),AND(COUNT(E$171:E$177)&gt;=3,MIN(U$223:U$258)&lt;'Titer Calculation'!$T$6),_xlfn.xlookup(MIN(U$223:U$258),U$223:U$258,AI$223:AI$258),AND(COUNT(E$171:E$177)&gt;=2,MIN(U$202:U$222)&lt;'Titer Calculation'!$T$6),_xlfn.xlookup(MIN(U$202:U$222),U$202:U$222,AI$202:AI$222),TRUE(),_xlfn.xlookup(MIN(U$202:U$325),U$202:U$325,AI$202:AI$325))</f>
        <v>#NAME?</v>
      </c>
      <c r="F191" s="214" t="e">
        <f aca="false" t="array" ref="F191:F191">_xlfn.IFS(AND(COUNT(F$171:F$177)&gt;=7,V$325&lt;'Titer Calculation'!$T$6),AJ$325,AND(COUNT(F$171:F$177)&gt;=6,MIN(V$317:V$324)&lt;'Titer Calculation'!$T$6),_xlfn.xlookup(MIN(V$317:V$324),V$317:V$324,AJ$317:AJ$324),AND(COUNT(F$171:F$177)&gt;=5,MIN(V$295:V$316)&lt;'Titer Calculation'!$T$6),_xlfn.xlookup(MIN(V$295:V$316),V$295:V$316,AJ$295:AJ$316),AND(COUNT(F$171:F$177)&gt;=4,MIN(V$259:V$294)&lt;'Titer Calculation'!$T$6),_xlfn.xlookup(MIN(V$259:V$294),V$259:V$294,AJ$259:AJ$294),AND(COUNT(F$171:F$177)&gt;=3,MIN(V$223:V$258)&lt;'Titer Calculation'!$T$6),_xlfn.xlookup(MIN(V$223:V$258),V$223:V$258,AJ$223:AJ$258),AND(COUNT(F$171:F$177)&gt;=2,MIN(V$202:V$222)&lt;'Titer Calculation'!$T$6),_xlfn.xlookup(MIN(V$202:V$222),V$202:V$222,AJ$202:AJ$222),TRUE(),_xlfn.xlookup(MIN(V$202:V$325),V$202:V$325,AJ$202:AJ$325))</f>
        <v>#NAME?</v>
      </c>
      <c r="G191" s="214" t="e">
        <f aca="false" t="array" ref="G191:G191">_xlfn.IFS(AND(COUNT(G$171:G$177)&gt;=7,W$325&lt;'Titer Calculation'!$T$6),AK$325,AND(COUNT(G$171:G$177)&gt;=6,MIN(W$317:W$324)&lt;'Titer Calculation'!$T$6),_xlfn.xlookup(MIN(W$317:W$324),W$317:W$324,AK$317:AK$324),AND(COUNT(G$171:G$177)&gt;=5,MIN(W$295:W$316)&lt;'Titer Calculation'!$T$6),_xlfn.xlookup(MIN(W$295:W$316),W$295:W$316,AK$295:AK$316),AND(COUNT(G$171:G$177)&gt;=4,MIN(W$259:W$294)&lt;'Titer Calculation'!$T$6),_xlfn.xlookup(MIN(W$259:W$294),W$259:W$294,AK$259:AK$294),AND(COUNT(G$171:G$177)&gt;=3,MIN(W$223:W$258)&lt;'Titer Calculation'!$T$6),_xlfn.xlookup(MIN(W$223:W$258),W$223:W$258,AK$223:AK$258),AND(COUNT(G$171:G$177)&gt;=2,MIN(W$202:W$222)&lt;'Titer Calculation'!$T$6),_xlfn.xlookup(MIN(W$202:W$222),W$202:W$222,AK$202:AK$222),TRUE(),_xlfn.xlookup(MIN(W$202:W$325),W$202:W$325,AK$202:AK$325))</f>
        <v>#NAME?</v>
      </c>
      <c r="H191" s="214" t="e">
        <f aca="false" t="array" ref="H191:H191">_xlfn.IFS(AND(COUNT(H$171:H$177)&gt;=7,X$325&lt;'Titer Calculation'!$T$6),AL$325,AND(COUNT(H$171:H$177)&gt;=6,MIN(X$317:X$324)&lt;'Titer Calculation'!$T$6),_xlfn.xlookup(MIN(X$317:X$324),X$317:X$324,AL$317:AL$324),AND(COUNT(H$171:H$177)&gt;=5,MIN(X$295:X$316)&lt;'Titer Calculation'!$T$6),_xlfn.xlookup(MIN(X$295:X$316),X$295:X$316,AL$295:AL$316),AND(COUNT(H$171:H$177)&gt;=4,MIN(X$259:X$294)&lt;'Titer Calculation'!$T$6),_xlfn.xlookup(MIN(X$259:X$294),X$259:X$294,AL$259:AL$294),AND(COUNT(H$171:H$177)&gt;=3,MIN(X$223:X$258)&lt;'Titer Calculation'!$T$6),_xlfn.xlookup(MIN(X$223:X$258),X$223:X$258,AL$223:AL$258),AND(COUNT(H$171:H$177)&gt;=2,MIN(X$202:X$222)&lt;'Titer Calculation'!$T$6),_xlfn.xlookup(MIN(X$202:X$222),X$202:X$222,AL$202:AL$222),TRUE(),_xlfn.xlookup(MIN(X$202:X$325),X$202:X$325,AL$202:AL$325))</f>
        <v>#NAME?</v>
      </c>
      <c r="I191" s="214" t="e">
        <f aca="false" t="array" ref="I191:I191">_xlfn.IFS(AND(COUNT(I$171:I$177)&gt;=7,Y$325&lt;'Titer Calculation'!$T$6),AM$325,AND(COUNT(I$171:I$177)&gt;=6,MIN(Y$317:Y$324)&lt;'Titer Calculation'!$T$6),_xlfn.xlookup(MIN(Y$317:Y$324),Y$317:Y$324,AM$317:AM$324),AND(COUNT(I$171:I$177)&gt;=5,MIN(Y$295:Y$316)&lt;'Titer Calculation'!$T$6),_xlfn.xlookup(MIN(Y$295:Y$316),Y$295:Y$316,AM$295:AM$316),AND(COUNT(I$171:I$177)&gt;=4,MIN(Y$259:Y$294)&lt;'Titer Calculation'!$T$6),_xlfn.xlookup(MIN(Y$259:Y$294),Y$259:Y$294,AM$259:AM$294),AND(COUNT(I$171:I$177)&gt;=3,MIN(Y$223:Y$258)&lt;'Titer Calculation'!$T$6),_xlfn.xlookup(MIN(Y$223:Y$258),Y$223:Y$258,AM$223:AM$258),AND(COUNT(I$171:I$177)&gt;=2,MIN(Y$202:Y$222)&lt;'Titer Calculation'!$T$6),_xlfn.xlookup(MIN(Y$202:Y$222),Y$202:Y$222,AM$202:AM$222),TRUE(),_xlfn.xlookup(MIN(Y$202:Y$325),Y$202:Y$325,AM$202:AM$325))</f>
        <v>#NAME?</v>
      </c>
      <c r="J191" s="214" t="e">
        <f aca="false" t="array" ref="J191:J191">_xlfn.IFS(AND(COUNT(J$171:J$177)&gt;=7,Z$325&lt;'Titer Calculation'!$T$6),AN$325,AND(COUNT(J$171:J$177)&gt;=6,MIN(Z$317:Z$324)&lt;'Titer Calculation'!$T$6),_xlfn.xlookup(MIN(Z$317:Z$324),Z$317:Z$324,AN$317:AN$324),AND(COUNT(J$171:J$177)&gt;=5,MIN(Z$295:Z$316)&lt;'Titer Calculation'!$T$6),_xlfn.xlookup(MIN(Z$295:Z$316),Z$295:Z$316,AN$295:AN$316),AND(COUNT(J$171:J$177)&gt;=4,MIN(Z$259:Z$294)&lt;'Titer Calculation'!$T$6),_xlfn.xlookup(MIN(Z$259:Z$294),Z$259:Z$294,AN$259:AN$294),AND(COUNT(J$171:J$177)&gt;=3,MIN(Z$223:Z$258)&lt;'Titer Calculation'!$T$6),_xlfn.xlookup(MIN(Z$223:Z$258),Z$223:Z$258,AN$223:AN$258),AND(COUNT(J$171:J$177)&gt;=2,MIN(Z$202:Z$222)&lt;'Titer Calculation'!$T$6),_xlfn.xlookup(MIN(Z$202:Z$222),Z$202:Z$222,AN$202:AN$222),TRUE(),_xlfn.xlookup(MIN(Z$202:Z$325),Z$202:Z$325,AN$202:AN$325))</f>
        <v>#NAME?</v>
      </c>
      <c r="K191" s="214" t="e">
        <f aca="false" t="array" ref="K191:K191">_xlfn.IFS(AND(COUNT(K$171:K$177)&gt;=7,AA$325&lt;'Titer Calculation'!$T$6),AO$325,AND(COUNT(K$171:K$177)&gt;=6,MIN(AA$317:AA$324)&lt;'Titer Calculation'!$T$6),_xlfn.xlookup(MIN(AA$317:AA$324),AA$317:AA$324,AO$317:AO$324),AND(COUNT(K$171:K$177)&gt;=5,MIN(AA$295:AA$316)&lt;'Titer Calculation'!$T$6),_xlfn.xlookup(MIN(AA$295:AA$316),AA$295:AA$316,AO$295:AO$316),AND(COUNT(K$171:K$177)&gt;=4,MIN(AA$259:AA$294)&lt;'Titer Calculation'!$T$6),_xlfn.xlookup(MIN(AA$259:AA$294),AA$259:AA$294,AO$259:AO$294),AND(COUNT(K$171:K$177)&gt;=3,MIN(AA$223:AA$258)&lt;'Titer Calculation'!$T$6),_xlfn.xlookup(MIN(AA$223:AA$258),AA$223:AA$258,AO$223:AO$258),AND(COUNT(K$171:K$177)&gt;=2,MIN(AA$202:AA$222)&lt;'Titer Calculation'!$T$6),_xlfn.xlookup(MIN(AA$202:AA$222),AA$202:AA$222,AO$202:AO$222),TRUE(),_xlfn.xlookup(MIN(AA$202:AA$325),AA$202:AA$325,AO$202:AO$325))</f>
        <v>#NAME?</v>
      </c>
      <c r="L191" s="214" t="e">
        <f aca="false" t="array" ref="L191:L191">_xlfn.IFS(AND(COUNT(L$171:L$177)&gt;=7,AB$325&lt;'Titer Calculation'!$T$6),AP$325,AND(COUNT(L$171:L$177)&gt;=6,MIN(AB$317:AB$324)&lt;'Titer Calculation'!$T$6),_xlfn.xlookup(MIN(AB$317:AB$324),AB$317:AB$324,AP$317:AP$324),AND(COUNT(L$171:L$177)&gt;=5,MIN(AB$295:AB$316)&lt;'Titer Calculation'!$T$6),_xlfn.xlookup(MIN(AB$295:AB$316),AB$295:AB$316,AP$295:AP$316),AND(COUNT(L$171:L$177)&gt;=4,MIN(AB$259:AB$294)&lt;'Titer Calculation'!$T$6),_xlfn.xlookup(MIN(AB$259:AB$294),AB$259:AB$294,AP$259:AP$294),AND(COUNT(L$171:L$177)&gt;=3,MIN(AB$223:AB$258)&lt;'Titer Calculation'!$T$6),_xlfn.xlookup(MIN(AB$223:AB$258),AB$223:AB$258,AP$223:AP$258),AND(COUNT(L$171:L$177)&gt;=2,MIN(AB$202:AB$222)&lt;'Titer Calculation'!$T$6),_xlfn.xlookup(MIN(AB$202:AB$222),AB$202:AB$222,AP$202:AP$222),TRUE(),_xlfn.xlookup(MIN(AB$202:AB$325),AB$202:AB$325,AP$202:AP$325))</f>
        <v>#NAME?</v>
      </c>
      <c r="M191" s="214" t="e">
        <f aca="false" t="array" ref="M191:M191">_xlfn.IFS(AND(COUNT(M$171:M$177)&gt;=7,AC$325&lt;'Titer Calculation'!$T$6),AQ$325,AND(COUNT(M$171:M$177)&gt;=6,MIN(AC$317:AC$324)&lt;'Titer Calculation'!$T$6),_xlfn.xlookup(MIN(AC$317:AC$324),AC$317:AC$324,AQ$317:AQ$324),AND(COUNT(M$171:M$177)&gt;=5,MIN(AC$295:AC$316)&lt;'Titer Calculation'!$T$6),_xlfn.xlookup(MIN(AC$295:AC$316),AC$295:AC$316,AQ$295:AQ$316),AND(COUNT(M$171:M$177)&gt;=4,MIN(AC$259:AC$294)&lt;'Titer Calculation'!$T$6),_xlfn.xlookup(MIN(AC$259:AC$294),AC$259:AC$294,AQ$259:AQ$294),AND(COUNT(M$171:M$177)&gt;=3,MIN(AC$223:AC$258)&lt;'Titer Calculation'!$T$6),_xlfn.xlookup(MIN(AC$223:AC$258),AC$223:AC$258,AQ$223:AQ$258),AND(COUNT(M$171:M$177)&gt;=2,MIN(AC$202:AC$222)&lt;'Titer Calculation'!$T$6),_xlfn.xlookup(MIN(AC$202:AC$222),AC$202:AC$222,AQ$202:AQ$222),TRUE(),_xlfn.xlookup(MIN(AC$202:AC$325),AC$202:AC$325,AQ$202:AQ$325))</f>
        <v>#NAME?</v>
      </c>
      <c r="N191" s="214" t="e">
        <f aca="false" t="array" ref="N191:N191">_xlfn.IFS(AND(COUNT(N$171:N$177)&gt;=7,AD$325&lt;'Titer Calculation'!$T$6),AR$325,AND(COUNT(N$171:N$177)&gt;=6,MIN(AD$317:AD$324)&lt;'Titer Calculation'!$T$6),_xlfn.xlookup(MIN(AD$317:AD$324),AD$317:AD$324,AR$317:AR$324),AND(COUNT(N$171:N$177)&gt;=5,MIN(AD$295:AD$316)&lt;'Titer Calculation'!$T$6),_xlfn.xlookup(MIN(AD$295:AD$316),AD$295:AD$316,AR$295:AR$316),AND(COUNT(N$171:N$177)&gt;=4,MIN(AD$259:AD$294)&lt;'Titer Calculation'!$T$6),_xlfn.xlookup(MIN(AD$259:AD$294),AD$259:AD$294,AR$259:AR$294),AND(COUNT(N$171:N$177)&gt;=3,MIN(AD$223:AD$258)&lt;'Titer Calculation'!$T$6),_xlfn.xlookup(MIN(AD$223:AD$258),AD$223:AD$258,AR$223:AR$258),AND(COUNT(N$171:N$177)&gt;=2,MIN(AD$202:AD$222)&lt;'Titer Calculation'!$T$6),_xlfn.xlookup(MIN(AD$202:AD$222),AD$202:AD$222,AR$202:AR$222),TRUE(),_xlfn.xlookup(MIN(AD$202:AD$325),AD$202:AD$325,AR$202:AR$325))</f>
        <v>#NAME?</v>
      </c>
      <c r="O191" s="211"/>
      <c r="P191" s="44"/>
      <c r="Q191" s="83"/>
      <c r="R191" s="212"/>
      <c r="S191" s="44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157"/>
      <c r="AF191" s="44"/>
      <c r="AG191" s="44"/>
      <c r="AH191" s="44"/>
      <c r="AI191" s="44"/>
      <c r="AJ191" s="44"/>
      <c r="AK191" s="44"/>
      <c r="AL191" s="44"/>
      <c r="AM191" s="44"/>
      <c r="AN191" s="44"/>
      <c r="AO191" s="75"/>
      <c r="AP191" s="44"/>
      <c r="AQ191" s="44"/>
      <c r="AR191" s="44"/>
    </row>
    <row r="192" customFormat="false" ht="15.75" hidden="false" customHeight="false" outlineLevel="0" collapsed="false">
      <c r="A192" s="213" t="s">
        <v>241</v>
      </c>
      <c r="B192" s="213"/>
      <c r="C192" s="216" t="n">
        <f aca="false" t="array" ref="C192:C192">_xlfn.IFS(AND(COUNT(C$171:C$177)&gt;=7,S$325&lt;'Titer Calculation'!$T$6),S$325,AND(COUNT(C$171:C$177)&gt;=6,MIN(S$317:S$324)&lt;'Titer Calculation'!$T$6),MIN(S$317:S$324),AND(COUNT(C$171:C$177)&gt;=5,MIN(S$295:S$316)&lt;'Titer Calculation'!$T$6),MIN(S$295:S$316),AND(COUNT(C$171:C$177)&gt;=4,MIN(S$259:S$294)&lt;'Titer Calculation'!$T$6),MIN(S$259:S$294),AND(COUNT(C$171:C$177)&gt;=3,MIN(S$223:S$258)&lt;'Titer Calculation'!$T$6),MIN(S$223:S$258),AND(COUNT(C$171:C$177)&gt;=2,MIN(S$202:S$222)&lt;'Titer Calculation'!$T$6),MIN(S$202:S$222),TRUE(),MIN(S$202:S321))</f>
        <v>0</v>
      </c>
      <c r="D192" s="216" t="n">
        <f aca="false" t="array" ref="D192:D192">_xlfn.IFS(AND(COUNT(D$171:D$177)&gt;=7,T$325&lt;'Titer Calculation'!$T$6),T$325,AND(COUNT(D$171:D$177)&gt;=6,MIN(T$317:T$324)&lt;'Titer Calculation'!$T$6),MIN(T$317:T$324),AND(COUNT(D$171:D$177)&gt;=5,MIN(T$295:T$316)&lt;'Titer Calculation'!$T$6),MIN(T$295:T$316),AND(COUNT(D$171:D$177)&gt;=4,MIN(T$259:T$294)&lt;'Titer Calculation'!$T$6),MIN(T$259:T$294),AND(COUNT(D$171:D$177)&gt;=3,MIN(T$223:T$258)&lt;'Titer Calculation'!$T$6),MIN(T$223:T$258),AND(COUNT(D$171:D$177)&gt;=2,MIN(T$202:T$222)&lt;'Titer Calculation'!$T$6),MIN(T$202:T$222),TRUE(),MIN(T$202:T321))</f>
        <v>0</v>
      </c>
      <c r="E192" s="216" t="n">
        <f aca="false" t="array" ref="E192:E192">_xlfn.IFS(AND(COUNT(E$171:E$177)&gt;=7,U$325&lt;'Titer Calculation'!$T$6),U$325,AND(COUNT(E$171:E$177)&gt;=6,MIN(U$317:U$324)&lt;'Titer Calculation'!$T$6),MIN(U$317:U$324),AND(COUNT(E$171:E$177)&gt;=5,MIN(U$295:U$316)&lt;'Titer Calculation'!$T$6),MIN(U$295:U$316),AND(COUNT(E$171:E$177)&gt;=4,MIN(U$259:U$294)&lt;'Titer Calculation'!$T$6),MIN(U$259:U$294),AND(COUNT(E$171:E$177)&gt;=3,MIN(U$223:U$258)&lt;'Titer Calculation'!$T$6),MIN(U$223:U$258),AND(COUNT(E$171:E$177)&gt;=2,MIN(U$202:U$222)&lt;'Titer Calculation'!$T$6),MIN(U$202:U$222),TRUE(),MIN(U$202:U321))</f>
        <v>0</v>
      </c>
      <c r="F192" s="216" t="n">
        <f aca="false" t="array" ref="F192:F192">_xlfn.IFS(AND(COUNT(F$171:F$177)&gt;=7,V$325&lt;'Titer Calculation'!$T$6),V$325,AND(COUNT(F$171:F$177)&gt;=6,MIN(V$317:V$324)&lt;'Titer Calculation'!$T$6),MIN(V$317:V$324),AND(COUNT(F$171:F$177)&gt;=5,MIN(V$295:V$316)&lt;'Titer Calculation'!$T$6),MIN(V$295:V$316),AND(COUNT(F$171:F$177)&gt;=4,MIN(V$259:V$294)&lt;'Titer Calculation'!$T$6),MIN(V$259:V$294),AND(COUNT(F$171:F$177)&gt;=3,MIN(V$223:V$258)&lt;'Titer Calculation'!$T$6),MIN(V$223:V$258),AND(COUNT(F$171:F$177)&gt;=2,MIN(V$202:V$222)&lt;'Titer Calculation'!$T$6),MIN(V$202:V$222),TRUE(),MIN(V$202:V321))</f>
        <v>0</v>
      </c>
      <c r="G192" s="216" t="n">
        <f aca="false" t="array" ref="G192:G192">_xlfn.IFS(AND(COUNT(G$171:G$177)&gt;=7,W$325&lt;'Titer Calculation'!$T$6),W$325,AND(COUNT(G$171:G$177)&gt;=6,MIN(W$317:W$324)&lt;'Titer Calculation'!$T$6),MIN(W$317:W$324),AND(COUNT(G$171:G$177)&gt;=5,MIN(W$295:W$316)&lt;'Titer Calculation'!$T$6),MIN(W$295:W$316),AND(COUNT(G$171:G$177)&gt;=4,MIN(W$259:W$294)&lt;'Titer Calculation'!$T$6),MIN(W$259:W$294),AND(COUNT(G$171:G$177)&gt;=3,MIN(W$223:W$258)&lt;'Titer Calculation'!$T$6),MIN(W$223:W$258),AND(COUNT(G$171:G$177)&gt;=2,MIN(W$202:W$222)&lt;'Titer Calculation'!$T$6),MIN(W$202:W$222),TRUE(),MIN(W$202:W321))</f>
        <v>0</v>
      </c>
      <c r="H192" s="216" t="n">
        <f aca="false" t="array" ref="H192:H192">_xlfn.IFS(AND(COUNT(H$171:H$177)&gt;=7,X$325&lt;'Titer Calculation'!$T$6),X$325,AND(COUNT(H$171:H$177)&gt;=6,MIN(X$317:X$324)&lt;'Titer Calculation'!$T$6),MIN(X$317:X$324),AND(COUNT(H$171:H$177)&gt;=5,MIN(X$295:X$316)&lt;'Titer Calculation'!$T$6),MIN(X$295:X$316),AND(COUNT(H$171:H$177)&gt;=4,MIN(X$259:X$294)&lt;'Titer Calculation'!$T$6),MIN(X$259:X$294),AND(COUNT(H$171:H$177)&gt;=3,MIN(X$223:X$258)&lt;'Titer Calculation'!$T$6),MIN(X$223:X$258),AND(COUNT(H$171:H$177)&gt;=2,MIN(X$202:X$222)&lt;'Titer Calculation'!$T$6),MIN(X$202:X$222),TRUE(),MIN(X$202:X321))</f>
        <v>0</v>
      </c>
      <c r="I192" s="216" t="n">
        <f aca="false" t="array" ref="I192:I192">_xlfn.IFS(AND(COUNT(I$171:I$177)&gt;=7,Y$325&lt;'Titer Calculation'!$T$6),Y$325,AND(COUNT(I$171:I$177)&gt;=6,MIN(Y$317:Y$324)&lt;'Titer Calculation'!$T$6),MIN(Y$317:Y$324),AND(COUNT(I$171:I$177)&gt;=5,MIN(Y$295:Y$316)&lt;'Titer Calculation'!$T$6),MIN(Y$295:Y$316),AND(COUNT(I$171:I$177)&gt;=4,MIN(Y$259:Y$294)&lt;'Titer Calculation'!$T$6),MIN(Y$259:Y$294),AND(COUNT(I$171:I$177)&gt;=3,MIN(Y$223:Y$258)&lt;'Titer Calculation'!$T$6),MIN(Y$223:Y$258),AND(COUNT(I$171:I$177)&gt;=2,MIN(Y$202:Y$222)&lt;'Titer Calculation'!$T$6),MIN(Y$202:Y$222),TRUE(),MIN(Y$202:Y321))</f>
        <v>0</v>
      </c>
      <c r="J192" s="216" t="n">
        <f aca="false" t="array" ref="J192:J192">_xlfn.IFS(AND(COUNT(J$171:J$177)&gt;=7,Z$325&lt;'Titer Calculation'!$T$6),Z$325,AND(COUNT(J$171:J$177)&gt;=6,MIN(Z$317:Z$324)&lt;'Titer Calculation'!$T$6),MIN(Z$317:Z$324),AND(COUNT(J$171:J$177)&gt;=5,MIN(Z$295:Z$316)&lt;'Titer Calculation'!$T$6),MIN(Z$295:Z$316),AND(COUNT(J$171:J$177)&gt;=4,MIN(Z$259:Z$294)&lt;'Titer Calculation'!$T$6),MIN(Z$259:Z$294),AND(COUNT(J$171:J$177)&gt;=3,MIN(Z$223:Z$258)&lt;'Titer Calculation'!$T$6),MIN(Z$223:Z$258),AND(COUNT(J$171:J$177)&gt;=2,MIN(Z$202:Z$222)&lt;'Titer Calculation'!$T$6),MIN(Z$202:Z$222),TRUE(),MIN(Z$202:Z321))</f>
        <v>0</v>
      </c>
      <c r="K192" s="216" t="n">
        <f aca="false" t="array" ref="K192:K192">_xlfn.IFS(AND(COUNT(K$171:K$177)&gt;=7,AA$325&lt;'Titer Calculation'!$T$6),AA$325,AND(COUNT(K$171:K$177)&gt;=6,MIN(AA$317:AA$324)&lt;'Titer Calculation'!$T$6),MIN(AA$317:AA$324),AND(COUNT(K$171:K$177)&gt;=5,MIN(AA$295:AA$316)&lt;'Titer Calculation'!$T$6),MIN(AA$295:AA$316),AND(COUNT(K$171:K$177)&gt;=4,MIN(AA$259:AA$294)&lt;'Titer Calculation'!$T$6),MIN(AA$259:AA$294),AND(COUNT(K$171:K$177)&gt;=3,MIN(AA$223:AA$258)&lt;'Titer Calculation'!$T$6),MIN(AA$223:AA$258),AND(COUNT(K$171:K$177)&gt;=2,MIN(AA$202:AA$222)&lt;'Titer Calculation'!$T$6),MIN(AA$202:AA$222),TRUE(),MIN(AA$202:AA321))</f>
        <v>0</v>
      </c>
      <c r="L192" s="216" t="n">
        <f aca="false" t="array" ref="L192:L192">_xlfn.IFS(AND(COUNT(L$171:L$177)&gt;=7,AB$325&lt;'Titer Calculation'!$T$6),AB$325,AND(COUNT(L$171:L$177)&gt;=6,MIN(AB$317:AB$324)&lt;'Titer Calculation'!$T$6),MIN(AB$317:AB$324),AND(COUNT(L$171:L$177)&gt;=5,MIN(AB$295:AB$316)&lt;'Titer Calculation'!$T$6),MIN(AB$295:AB$316),AND(COUNT(L$171:L$177)&gt;=4,MIN(AB$259:AB$294)&lt;'Titer Calculation'!$T$6),MIN(AB$259:AB$294),AND(COUNT(L$171:L$177)&gt;=3,MIN(AB$223:AB$258)&lt;'Titer Calculation'!$T$6),MIN(AB$223:AB$258),AND(COUNT(L$171:L$177)&gt;=2,MIN(AB$202:AB$222)&lt;'Titer Calculation'!$T$6),MIN(AB$202:AB$222),TRUE(),MIN(AB$202:AB321))</f>
        <v>0</v>
      </c>
      <c r="M192" s="216" t="n">
        <f aca="false" t="array" ref="M192:M192">_xlfn.IFS(AND(COUNT(M$171:M$177)&gt;=7,AC$325&lt;'Titer Calculation'!$T$6),AC$325,AND(COUNT(M$171:M$177)&gt;=6,MIN(AC$317:AC$324)&lt;'Titer Calculation'!$T$6),MIN(AC$317:AC$324),AND(COUNT(M$171:M$177)&gt;=5,MIN(AC$295:AC$316)&lt;'Titer Calculation'!$T$6),MIN(AC$295:AC$316),AND(COUNT(M$171:M$177)&gt;=4,MIN(AC$259:AC$294)&lt;'Titer Calculation'!$T$6),MIN(AC$259:AC$294),AND(COUNT(M$171:M$177)&gt;=3,MIN(AC$223:AC$258)&lt;'Titer Calculation'!$T$6),MIN(AC$223:AC$258),AND(COUNT(M$171:M$177)&gt;=2,MIN(AC$202:AC$222)&lt;'Titer Calculation'!$T$6),MIN(AC$202:AC$222),TRUE(),MIN(AC$202:AC321))</f>
        <v>0</v>
      </c>
      <c r="N192" s="216" t="n">
        <f aca="false" t="array" ref="N192:N192">_xlfn.IFS(AND(COUNT(N$171:N$177)&gt;=7,AD$325&lt;'Titer Calculation'!$T$6),AD$325,AND(COUNT(N$171:N$177)&gt;=6,MIN(AD$317:AD$324)&lt;'Titer Calculation'!$T$6),MIN(AD$317:AD$324),AND(COUNT(N$171:N$177)&gt;=5,MIN(AD$295:AD$316)&lt;'Titer Calculation'!$T$6),MIN(AD$295:AD$316),AND(COUNT(N$171:N$177)&gt;=4,MIN(AD$259:AD$294)&lt;'Titer Calculation'!$T$6),MIN(AD$259:AD$294),AND(COUNT(N$171:N$177)&gt;=3,MIN(AD$223:AD$258)&lt;'Titer Calculation'!$T$6),MIN(AD$223:AD$258),AND(COUNT(N$171:N$177)&gt;=2,MIN(AD$202:AD$222)&lt;'Titer Calculation'!$T$6),MIN(AD$202:AD$222),TRUE(),MIN(AD$202:AD321))</f>
        <v>0</v>
      </c>
      <c r="O192" s="211"/>
      <c r="P192" s="44"/>
      <c r="Q192" s="83"/>
      <c r="R192" s="212"/>
      <c r="S192" s="44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157"/>
      <c r="AF192" s="44"/>
      <c r="AG192" s="44"/>
      <c r="AH192" s="44"/>
      <c r="AI192" s="44"/>
      <c r="AJ192" s="44"/>
      <c r="AK192" s="44"/>
      <c r="AL192" s="44"/>
      <c r="AM192" s="44"/>
      <c r="AN192" s="44"/>
      <c r="AO192" s="75"/>
      <c r="AP192" s="44"/>
      <c r="AQ192" s="44"/>
      <c r="AR192" s="44"/>
    </row>
    <row r="193" customFormat="false" ht="15.75" hidden="false" customHeight="false" outlineLevel="0" collapsed="false">
      <c r="A193" s="42"/>
      <c r="B193" s="42"/>
      <c r="C193" s="217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211"/>
      <c r="P193" s="44"/>
      <c r="Q193" s="83"/>
      <c r="R193" s="212"/>
      <c r="S193" s="44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157"/>
      <c r="AF193" s="44"/>
      <c r="AG193" s="44"/>
      <c r="AH193" s="44"/>
      <c r="AI193" s="44"/>
      <c r="AJ193" s="44"/>
      <c r="AK193" s="44"/>
      <c r="AL193" s="44"/>
      <c r="AM193" s="44"/>
      <c r="AN193" s="44"/>
      <c r="AO193" s="75"/>
      <c r="AP193" s="44"/>
      <c r="AQ193" s="44"/>
      <c r="AR193" s="44"/>
    </row>
    <row r="194" customFormat="false" ht="15.75" hidden="false" customHeight="false" outlineLevel="0" collapsed="false">
      <c r="A194" s="42"/>
      <c r="B194" s="42"/>
      <c r="C194" s="217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211"/>
      <c r="P194" s="44"/>
      <c r="Q194" s="83"/>
      <c r="R194" s="212"/>
      <c r="S194" s="44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157"/>
      <c r="AF194" s="44"/>
      <c r="AG194" s="44"/>
      <c r="AH194" s="44"/>
      <c r="AI194" s="44"/>
      <c r="AJ194" s="44"/>
      <c r="AK194" s="44"/>
      <c r="AL194" s="44"/>
      <c r="AM194" s="44"/>
      <c r="AN194" s="44"/>
      <c r="AO194" s="75"/>
      <c r="AP194" s="44"/>
      <c r="AQ194" s="44"/>
      <c r="AR194" s="44"/>
    </row>
    <row r="195" customFormat="false" ht="15.75" hidden="false" customHeight="false" outlineLevel="0" collapsed="false">
      <c r="A195" s="42"/>
      <c r="B195" s="42"/>
      <c r="C195" s="217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211"/>
      <c r="P195" s="44"/>
      <c r="Q195" s="83"/>
      <c r="R195" s="212"/>
      <c r="S195" s="44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157"/>
      <c r="AF195" s="44"/>
      <c r="AG195" s="44"/>
      <c r="AH195" s="44"/>
      <c r="AI195" s="44"/>
      <c r="AJ195" s="44"/>
      <c r="AK195" s="44"/>
      <c r="AL195" s="44"/>
      <c r="AM195" s="44"/>
      <c r="AN195" s="44"/>
      <c r="AO195" s="75"/>
      <c r="AP195" s="44"/>
      <c r="AQ195" s="44"/>
      <c r="AR195" s="44"/>
    </row>
    <row r="196" customFormat="false" ht="15.75" hidden="false" customHeight="false" outlineLevel="0" collapsed="false">
      <c r="A196" s="42"/>
      <c r="B196" s="42"/>
      <c r="C196" s="217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211"/>
      <c r="P196" s="44"/>
      <c r="Q196" s="83"/>
      <c r="R196" s="212"/>
      <c r="S196" s="44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157"/>
      <c r="AF196" s="44"/>
      <c r="AG196" s="44"/>
      <c r="AH196" s="44"/>
      <c r="AI196" s="44"/>
      <c r="AJ196" s="44"/>
      <c r="AK196" s="44"/>
      <c r="AL196" s="44"/>
      <c r="AM196" s="44"/>
      <c r="AN196" s="44"/>
      <c r="AO196" s="75"/>
      <c r="AP196" s="44"/>
      <c r="AQ196" s="44"/>
      <c r="AR196" s="44"/>
    </row>
    <row r="197" customFormat="false" ht="15.75" hidden="false" customHeight="false" outlineLevel="0" collapsed="false">
      <c r="A197" s="42"/>
      <c r="B197" s="42"/>
      <c r="C197" s="217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211"/>
      <c r="P197" s="44"/>
      <c r="Q197" s="83"/>
      <c r="R197" s="212"/>
      <c r="S197" s="44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157"/>
      <c r="AF197" s="44"/>
      <c r="AG197" s="44"/>
      <c r="AH197" s="44"/>
      <c r="AI197" s="44"/>
      <c r="AJ197" s="44"/>
      <c r="AK197" s="44"/>
      <c r="AL197" s="44"/>
      <c r="AM197" s="44"/>
      <c r="AN197" s="44"/>
      <c r="AO197" s="75"/>
      <c r="AP197" s="44"/>
      <c r="AQ197" s="44"/>
      <c r="AR197" s="44"/>
    </row>
    <row r="198" customFormat="false" ht="15.75" hidden="false" customHeight="false" outlineLevel="0" collapsed="false">
      <c r="A198" s="42"/>
      <c r="B198" s="42"/>
      <c r="C198" s="217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211"/>
      <c r="P198" s="44"/>
      <c r="Q198" s="83"/>
      <c r="R198" s="42" t="s">
        <v>628</v>
      </c>
      <c r="S198" s="44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157"/>
      <c r="AF198" s="42" t="s">
        <v>279</v>
      </c>
      <c r="AG198" s="44"/>
      <c r="AH198" s="44"/>
      <c r="AI198" s="44"/>
      <c r="AJ198" s="44"/>
      <c r="AK198" s="44"/>
      <c r="AL198" s="44"/>
      <c r="AM198" s="44"/>
      <c r="AN198" s="44"/>
      <c r="AO198" s="75"/>
      <c r="AP198" s="44"/>
      <c r="AQ198" s="44"/>
      <c r="AR198" s="44"/>
    </row>
    <row r="199" customFormat="false" ht="20.25" hidden="false" customHeight="false" outlineLevel="0" collapsed="false">
      <c r="A199" s="42"/>
      <c r="B199" s="42"/>
      <c r="C199" s="217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211"/>
      <c r="P199" s="44"/>
      <c r="Q199" s="83"/>
      <c r="R199" s="218" t="s">
        <v>214</v>
      </c>
      <c r="S199" s="44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157"/>
      <c r="AF199" s="44"/>
      <c r="AG199" s="44"/>
      <c r="AH199" s="44"/>
      <c r="AI199" s="44"/>
      <c r="AJ199" s="44"/>
      <c r="AK199" s="44"/>
      <c r="AL199" s="44"/>
      <c r="AM199" s="44"/>
      <c r="AN199" s="44"/>
      <c r="AO199" s="75"/>
      <c r="AP199" s="44"/>
      <c r="AQ199" s="44"/>
      <c r="AR199" s="44"/>
    </row>
    <row r="200" customFormat="false" ht="15.75" hidden="false" customHeight="false" outlineLevel="0" collapsed="false">
      <c r="A200" s="42" t="s">
        <v>628</v>
      </c>
      <c r="B200" s="42"/>
      <c r="C200" s="217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211"/>
      <c r="P200" s="44"/>
      <c r="Q200" s="83"/>
      <c r="R200" s="120" t="s">
        <v>280</v>
      </c>
      <c r="S200" s="44"/>
      <c r="T200" s="120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157"/>
      <c r="AF200" s="44" t="s">
        <v>281</v>
      </c>
      <c r="AG200" s="44"/>
      <c r="AH200" s="44"/>
      <c r="AI200" s="44"/>
      <c r="AJ200" s="44"/>
      <c r="AK200" s="44"/>
      <c r="AL200" s="44"/>
      <c r="AM200" s="44"/>
      <c r="AN200" s="44"/>
      <c r="AO200" s="75"/>
      <c r="AP200" s="44"/>
      <c r="AQ200" s="44"/>
      <c r="AR200" s="44"/>
    </row>
    <row r="201" customFormat="false" ht="15.75" hidden="false" customHeight="false" outlineLevel="0" collapsed="false">
      <c r="A201" s="42" t="s">
        <v>282</v>
      </c>
      <c r="B201" s="42"/>
      <c r="C201" s="75" t="n">
        <v>1</v>
      </c>
      <c r="D201" s="75" t="n">
        <v>2</v>
      </c>
      <c r="E201" s="75" t="n">
        <v>3</v>
      </c>
      <c r="F201" s="75" t="n">
        <v>4</v>
      </c>
      <c r="G201" s="75" t="n">
        <v>5</v>
      </c>
      <c r="H201" s="75" t="n">
        <v>6</v>
      </c>
      <c r="I201" s="75" t="n">
        <v>7</v>
      </c>
      <c r="J201" s="75" t="n">
        <v>8</v>
      </c>
      <c r="K201" s="75" t="n">
        <v>9</v>
      </c>
      <c r="L201" s="75" t="n">
        <v>10</v>
      </c>
      <c r="M201" s="75" t="n">
        <v>11</v>
      </c>
      <c r="N201" s="75" t="n">
        <v>12</v>
      </c>
      <c r="O201" s="211"/>
      <c r="P201" s="44"/>
      <c r="Q201" s="83"/>
      <c r="R201" s="212" t="s">
        <v>283</v>
      </c>
      <c r="S201" s="75" t="n">
        <v>1</v>
      </c>
      <c r="T201" s="75" t="n">
        <v>2</v>
      </c>
      <c r="U201" s="75" t="n">
        <v>3</v>
      </c>
      <c r="V201" s="75" t="n">
        <v>4</v>
      </c>
      <c r="W201" s="75" t="n">
        <v>5</v>
      </c>
      <c r="X201" s="75" t="n">
        <v>6</v>
      </c>
      <c r="Y201" s="75" t="n">
        <v>7</v>
      </c>
      <c r="Z201" s="75" t="n">
        <v>8</v>
      </c>
      <c r="AA201" s="75" t="n">
        <v>9</v>
      </c>
      <c r="AB201" s="75" t="n">
        <v>10</v>
      </c>
      <c r="AC201" s="75" t="n">
        <v>11</v>
      </c>
      <c r="AD201" s="75" t="n">
        <v>12</v>
      </c>
      <c r="AE201" s="157"/>
      <c r="AF201" s="219" t="s">
        <v>240</v>
      </c>
      <c r="AG201" s="75" t="n">
        <v>1</v>
      </c>
      <c r="AH201" s="75" t="n">
        <v>2</v>
      </c>
      <c r="AI201" s="75" t="n">
        <v>3</v>
      </c>
      <c r="AJ201" s="75" t="n">
        <v>4</v>
      </c>
      <c r="AK201" s="75" t="n">
        <v>5</v>
      </c>
      <c r="AL201" s="75" t="n">
        <v>6</v>
      </c>
      <c r="AM201" s="75" t="n">
        <v>7</v>
      </c>
      <c r="AN201" s="75" t="n">
        <v>8</v>
      </c>
      <c r="AO201" s="75" t="n">
        <v>9</v>
      </c>
      <c r="AP201" s="75" t="n">
        <v>10</v>
      </c>
      <c r="AQ201" s="75" t="n">
        <v>11</v>
      </c>
      <c r="AR201" s="75" t="n">
        <v>12</v>
      </c>
    </row>
    <row r="202" customFormat="false" ht="15.75" hidden="false" customHeight="false" outlineLevel="0" collapsed="false">
      <c r="A202" s="220" t="s">
        <v>284</v>
      </c>
      <c r="B202" s="221"/>
      <c r="C202" s="222" t="str">
        <f aca="false">IFERROR(IF(C$182*C183&gt;0,AVERAGE(C$182,C183),""),"")</f>
        <v/>
      </c>
      <c r="D202" s="222" t="str">
        <f aca="false">IFERROR(IF(D$182*D183&gt;0,AVERAGE(D$182,D183),""),"")</f>
        <v/>
      </c>
      <c r="E202" s="222" t="str">
        <f aca="false">IFERROR(IF(E$182*E183&gt;0,AVERAGE(E$182,E183),""),"")</f>
        <v/>
      </c>
      <c r="F202" s="222" t="str">
        <f aca="false">IFERROR(IF(F$182*F183&gt;0,AVERAGE(F$182,F183),""),"")</f>
        <v/>
      </c>
      <c r="G202" s="222" t="str">
        <f aca="false">IFERROR(IF(G$182*G183&gt;0,AVERAGE(G$182,G183),""),"")</f>
        <v/>
      </c>
      <c r="H202" s="222" t="str">
        <f aca="false">IFERROR(IF(H$182*H183&gt;0,AVERAGE(H$182,H183),""),"")</f>
        <v/>
      </c>
      <c r="I202" s="222" t="str">
        <f aca="false">IFERROR(IF(I$182*I183&gt;0,AVERAGE(I$182,I183),""),"")</f>
        <v/>
      </c>
      <c r="J202" s="222" t="str">
        <f aca="false">IFERROR(IF(J$182*J183&gt;0,AVERAGE(J$182,J183),""),"")</f>
        <v/>
      </c>
      <c r="K202" s="222" t="str">
        <f aca="false">IFERROR(IF(K$182*K183&gt;0,AVERAGE(K$182,K183),""),"")</f>
        <v/>
      </c>
      <c r="L202" s="222" t="str">
        <f aca="false">IFERROR(IF(L$182*L183&gt;0,AVERAGE(L$182,L183),""),"")</f>
        <v/>
      </c>
      <c r="M202" s="222" t="str">
        <f aca="false">IFERROR(IF(M$182*M183&gt;0,AVERAGE(M$182,M183),""),"")</f>
        <v/>
      </c>
      <c r="N202" s="222" t="str">
        <f aca="false">IFERROR(IF(N$182*N183&gt;0,AVERAGE(N$182,N183),""),"")</f>
        <v/>
      </c>
      <c r="O202" s="223" t="n">
        <v>2</v>
      </c>
      <c r="P202" s="224" t="n">
        <f aca="false">COMBIN(7,2)</f>
        <v>21</v>
      </c>
      <c r="Q202" s="225" t="n">
        <f aca="false">ROW(N222)-ROW(N202)+1</f>
        <v>21</v>
      </c>
      <c r="R202" s="226" t="s">
        <v>285</v>
      </c>
      <c r="S202" s="227" t="str">
        <f aca="false">IFERROR(IF(C$182*C183&gt;0,STDEV(C$182,C183),"")/IF(C$182*C183&gt;0,AVERAGE(C$182,C183),""),"")</f>
        <v/>
      </c>
      <c r="T202" s="227" t="str">
        <f aca="false">IFERROR(IF(D$182*D183&gt;0,STDEV(D$182,D183),"")/IF(D$182*D183&gt;0,AVERAGE(D$182,D183),""),"")</f>
        <v/>
      </c>
      <c r="U202" s="227" t="str">
        <f aca="false">IFERROR(IF(E$182*E183&gt;0,STDEV(E$182,E183),"")/IF(E$182*E183&gt;0,AVERAGE(E$182,E183),""),"")</f>
        <v/>
      </c>
      <c r="V202" s="227" t="str">
        <f aca="false">IFERROR(IF(F$182*F183&gt;0,STDEV(F$182,F183),"")/IF(F$182*F183&gt;0,AVERAGE(F$182,F183),""),"")</f>
        <v/>
      </c>
      <c r="W202" s="227" t="str">
        <f aca="false">IFERROR(IF(G$182*G183&gt;0,STDEV(G$182,G183),"")/IF(G$182*G183&gt;0,AVERAGE(G$182,G183),""),"")</f>
        <v/>
      </c>
      <c r="X202" s="227" t="str">
        <f aca="false">IFERROR(IF(H$182*H183&gt;0,STDEV(H$182,H183),"")/IF(H$182*H183&gt;0,AVERAGE(H$182,H183),""),"")</f>
        <v/>
      </c>
      <c r="Y202" s="227" t="str">
        <f aca="false">IFERROR(IF(I$182*I183&gt;0,STDEV(I$182,I183),"")/IF(I$182*I183&gt;0,AVERAGE(I$182,I183),""),"")</f>
        <v/>
      </c>
      <c r="Z202" s="227" t="str">
        <f aca="false">IFERROR(IF(J$182*J183&gt;0,STDEV(J$182,J183),"")/IF(J$182*J183&gt;0,AVERAGE(J$182,J183),""),"")</f>
        <v/>
      </c>
      <c r="AA202" s="227" t="str">
        <f aca="false">IFERROR(IF(K$182*K183&gt;0,STDEV(K$182,K183),"")/IF(K$182*K183&gt;0,AVERAGE(K$182,K183),""),"")</f>
        <v/>
      </c>
      <c r="AB202" s="227" t="str">
        <f aca="false">IFERROR(IF(L$182*L183&gt;0,STDEV(L$182,L183),"")/IF(L$182*L183&gt;0,AVERAGE(L$182,L183),""),"")</f>
        <v/>
      </c>
      <c r="AC202" s="227" t="str">
        <f aca="false">IFERROR(IF(M$182*M183&gt;0,STDEV(M$182,M183),"")/IF(M$182*M183&gt;0,AVERAGE(M$182,M183),""),"")</f>
        <v/>
      </c>
      <c r="AD202" s="227" t="str">
        <f aca="false">IFERROR(IF(N$182*N183&gt;0,STDEV(N$182,N183),"")/IF(N$182*N183&gt;0,AVERAGE(N$182,N183),""),"")</f>
        <v/>
      </c>
      <c r="AE202" s="228"/>
      <c r="AF202" s="229" t="s">
        <v>286</v>
      </c>
      <c r="AG202" s="270" t="str">
        <f aca="false">IFERROR(IF(C$182*C183&gt;0,STDEV(C$182,C183)," ")/IF(C$182*C183&gt;0,SQRT(COUNT(C$182,C183)),""),"")</f>
        <v/>
      </c>
      <c r="AH202" s="270" t="str">
        <f aca="false">IFERROR(IF(D$182*D183&gt;0,STDEV(D$182,D183)," ")/IF(D$182*D183&gt;0,SQRT(COUNT(D$182,D183)),""),"")</f>
        <v/>
      </c>
      <c r="AI202" s="270" t="str">
        <f aca="false">IFERROR(IF(E$182*E183&gt;0,STDEV(E$182,E183)," ")/IF(E$182*E183&gt;0,SQRT(COUNT(E$182,E183)),""),"")</f>
        <v/>
      </c>
      <c r="AJ202" s="270" t="str">
        <f aca="false">IFERROR(IF(F$182*F183&gt;0,STDEV(F$182,F183)," ")/IF(F$182*F183&gt;0,SQRT(COUNT(F$182,F183)),""),"")</f>
        <v/>
      </c>
      <c r="AK202" s="270" t="str">
        <f aca="false">IFERROR(IF(G$182*G183&gt;0,STDEV(G$182,G183)," ")/IF(G$182*G183&gt;0,SQRT(COUNT(G$182,G183)),""),"")</f>
        <v/>
      </c>
      <c r="AL202" s="270" t="str">
        <f aca="false">IFERROR(IF(H$182*H183&gt;0,STDEV(H$182,H183)," ")/IF(H$182*H183&gt;0,SQRT(COUNT(H$182,H183)),""),"")</f>
        <v/>
      </c>
      <c r="AM202" s="270" t="str">
        <f aca="false">IFERROR(IF(I$182*I183&gt;0,STDEV(I$182,I183)," ")/IF(I$182*I183&gt;0,SQRT(COUNT(I$182,I183)),""),"")</f>
        <v/>
      </c>
      <c r="AN202" s="270" t="str">
        <f aca="false">IFERROR(IF(J$182*J183&gt;0,STDEV(J$182,J183)," ")/IF(J$182*J183&gt;0,SQRT(COUNT(J$182,J183)),""),"")</f>
        <v/>
      </c>
      <c r="AO202" s="270" t="str">
        <f aca="false">IFERROR(IF(K$182*K183&gt;0,STDEV(K$182,K183)," ")/IF(K$182*K183&gt;0,SQRT(COUNT(K$182,K183)),""),"")</f>
        <v/>
      </c>
      <c r="AP202" s="270" t="str">
        <f aca="false">IFERROR(IF(L$182*L183&gt;0,STDEV(L$182,L183)," ")/IF(L$182*L183&gt;0,SQRT(COUNT(L$182,L183)),""),"")</f>
        <v/>
      </c>
      <c r="AQ202" s="270" t="str">
        <f aca="false">IFERROR(IF(M$182*M183&gt;0,STDEV(M$182,M183)," ")/IF(M$182*M183&gt;0,SQRT(COUNT(M$182,M183)),""),"")</f>
        <v/>
      </c>
      <c r="AR202" s="270" t="str">
        <f aca="false">IFERROR(IF(N$182*N183&gt;0,STDEV(N$182,N183)," ")/IF(N$182*N183&gt;0,SQRT(COUNT(N$182,N183)),""),"")</f>
        <v/>
      </c>
    </row>
    <row r="203" customFormat="false" ht="15.75" hidden="false" customHeight="false" outlineLevel="0" collapsed="false">
      <c r="A203" s="220" t="s">
        <v>287</v>
      </c>
      <c r="B203" s="221"/>
      <c r="C203" s="222" t="str">
        <f aca="false">IFERROR(IF(C$182*C184&gt;0,AVERAGE(C$182,C184),""),"")</f>
        <v/>
      </c>
      <c r="D203" s="222" t="str">
        <f aca="false">IFERROR(IF(D$182*D184&gt;0,AVERAGE(D$182,D184),""),"")</f>
        <v/>
      </c>
      <c r="E203" s="222" t="str">
        <f aca="false">IFERROR(IF(E$182*E184&gt;0,AVERAGE(E$182,E184),""),"")</f>
        <v/>
      </c>
      <c r="F203" s="222" t="str">
        <f aca="false">IFERROR(IF(F$182*F184&gt;0,AVERAGE(F$182,F184),""),"")</f>
        <v/>
      </c>
      <c r="G203" s="222" t="str">
        <f aca="false">IFERROR(IF(G$182*G184&gt;0,AVERAGE(G$182,G184),""),"")</f>
        <v/>
      </c>
      <c r="H203" s="222" t="str">
        <f aca="false">IFERROR(IF(H$182*H184&gt;0,AVERAGE(H$182,H184),""),"")</f>
        <v/>
      </c>
      <c r="I203" s="222" t="str">
        <f aca="false">IFERROR(IF(I$182*I184&gt;0,AVERAGE(I$182,I184),""),"")</f>
        <v/>
      </c>
      <c r="J203" s="222" t="str">
        <f aca="false">IFERROR(IF(J$182*J184&gt;0,AVERAGE(J$182,J184),""),"")</f>
        <v/>
      </c>
      <c r="K203" s="222" t="str">
        <f aca="false">IFERROR(IF(K$182*K184&gt;0,AVERAGE(K$182,K184),""),"")</f>
        <v/>
      </c>
      <c r="L203" s="222" t="str">
        <f aca="false">IFERROR(IF(L$182*L184&gt;0,AVERAGE(L$182,L184),""),"")</f>
        <v/>
      </c>
      <c r="M203" s="222" t="str">
        <f aca="false">IFERROR(IF(M$182*M184&gt;0,AVERAGE(M$182,M184),""),"")</f>
        <v/>
      </c>
      <c r="N203" s="222" t="str">
        <f aca="false">IFERROR(IF(N$182*N184&gt;0,AVERAGE(N$182,N184),""),"")</f>
        <v/>
      </c>
      <c r="O203" s="231"/>
      <c r="P203" s="224"/>
      <c r="Q203" s="232"/>
      <c r="R203" s="226" t="s">
        <v>288</v>
      </c>
      <c r="S203" s="227" t="str">
        <f aca="false">IFERROR(IF(C$182*C184&gt;0,STDEV(C$182,C184),"")/IF(C$182*C184&gt;0,AVERAGE(C$182,C184),""),"")</f>
        <v/>
      </c>
      <c r="T203" s="227" t="str">
        <f aca="false">IFERROR(IF(D$182*D184&gt;0,STDEV(D$182,D184),"")/IF(D$182*D184&gt;0,AVERAGE(D$182,D184),""),"")</f>
        <v/>
      </c>
      <c r="U203" s="227" t="str">
        <f aca="false">IFERROR(IF(E$182*E184&gt;0,STDEV(E$182,E184),"")/IF(E$182*E184&gt;0,AVERAGE(E$182,E184),""),"")</f>
        <v/>
      </c>
      <c r="V203" s="227" t="str">
        <f aca="false">IFERROR(IF(F$182*F184&gt;0,STDEV(F$182,F184),"")/IF(F$182*F184&gt;0,AVERAGE(F$182,F184),""),"")</f>
        <v/>
      </c>
      <c r="W203" s="227" t="str">
        <f aca="false">IFERROR(IF(G$182*G184&gt;0,STDEV(G$182,G184),"")/IF(G$182*G184&gt;0,AVERAGE(G$182,G184),""),"")</f>
        <v/>
      </c>
      <c r="X203" s="227" t="str">
        <f aca="false">IFERROR(IF(H$182*H184&gt;0,STDEV(H$182,H184),"")/IF(H$182*H184&gt;0,AVERAGE(H$182,H184),""),"")</f>
        <v/>
      </c>
      <c r="Y203" s="227" t="str">
        <f aca="false">IFERROR(IF(I$182*I184&gt;0,STDEV(I$182,I184),"")/IF(I$182*I184&gt;0,AVERAGE(I$182,I184),""),"")</f>
        <v/>
      </c>
      <c r="Z203" s="227" t="str">
        <f aca="false">IFERROR(IF(J$182*J184&gt;0,STDEV(J$182,J184),"")/IF(J$182*J184&gt;0,AVERAGE(J$182,J184),""),"")</f>
        <v/>
      </c>
      <c r="AA203" s="227" t="str">
        <f aca="false">IFERROR(IF(K$182*K184&gt;0,STDEV(K$182,K184),"")/IF(K$182*K184&gt;0,AVERAGE(K$182,K184),""),"")</f>
        <v/>
      </c>
      <c r="AB203" s="227" t="str">
        <f aca="false">IFERROR(IF(L$182*L184&gt;0,STDEV(L$182,L184),"")/IF(L$182*L184&gt;0,AVERAGE(L$182,L184),""),"")</f>
        <v/>
      </c>
      <c r="AC203" s="227" t="str">
        <f aca="false">IFERROR(IF(M$182*M184&gt;0,STDEV(M$182,M184),"")/IF(M$182*M184&gt;0,AVERAGE(M$182,M184),""),"")</f>
        <v/>
      </c>
      <c r="AD203" s="227" t="str">
        <f aca="false">IFERROR(IF(N$182*N184&gt;0,STDEV(N$182,N184),"")/IF(N$182*N184&gt;0,AVERAGE(N$182,N184),""),"")</f>
        <v/>
      </c>
      <c r="AE203" s="233"/>
      <c r="AF203" s="229" t="s">
        <v>289</v>
      </c>
      <c r="AG203" s="270" t="str">
        <f aca="false">IFERROR(IF(C$182*C183&gt;0,STDEV(C$182,C183)," ")/IF(C$182*C183&gt;0,SQRT(COUNT(C$182,C183)),""),"")</f>
        <v/>
      </c>
      <c r="AH203" s="270" t="str">
        <f aca="false">IFERROR(IF(D$182*D183&gt;0,STDEV(D$182,D183)," ")/IF(D$182*D183&gt;0,SQRT(COUNT(D$182,D183)),""),"")</f>
        <v/>
      </c>
      <c r="AI203" s="270" t="str">
        <f aca="false">IFERROR(IF(E$182*E183&gt;0,STDEV(E$182,E183)," ")/IF(E$182*E183&gt;0,SQRT(COUNT(E$182,E183)),""),"")</f>
        <v/>
      </c>
      <c r="AJ203" s="270" t="str">
        <f aca="false">IFERROR(IF(F$182*F183&gt;0,STDEV(F$182,F183)," ")/IF(F$182*F183&gt;0,SQRT(COUNT(F$182,F183)),""),"")</f>
        <v/>
      </c>
      <c r="AK203" s="270" t="str">
        <f aca="false">IFERROR(IF(G$182*G183&gt;0,STDEV(G$182,G183)," ")/IF(G$182*G183&gt;0,SQRT(COUNT(G$182,G183)),""),"")</f>
        <v/>
      </c>
      <c r="AL203" s="270" t="str">
        <f aca="false">IFERROR(IF(H$182*H183&gt;0,STDEV(H$182,H183)," ")/IF(H$182*H183&gt;0,SQRT(COUNT(H$182,H183)),""),"")</f>
        <v/>
      </c>
      <c r="AM203" s="270" t="str">
        <f aca="false">IFERROR(IF(I$182*I183&gt;0,STDEV(I$182,I183)," ")/IF(I$182*I183&gt;0,SQRT(COUNT(I$182,I183)),""),"")</f>
        <v/>
      </c>
      <c r="AN203" s="270" t="str">
        <f aca="false">IFERROR(IF(J$182*J183&gt;0,STDEV(J$182,J183)," ")/IF(J$182*J183&gt;0,SQRT(COUNT(J$182,J183)),""),"")</f>
        <v/>
      </c>
      <c r="AO203" s="270" t="str">
        <f aca="false">IFERROR(IF(K$182*K183&gt;0,STDEV(K$182,K183)," ")/IF(K$182*K183&gt;0,SQRT(COUNT(K$182,K183)),""),"")</f>
        <v/>
      </c>
      <c r="AP203" s="270" t="str">
        <f aca="false">IFERROR(IF(L$182*L183&gt;0,STDEV(L$182,L183)," ")/IF(L$182*L183&gt;0,SQRT(COUNT(L$182,L183)),""),"")</f>
        <v/>
      </c>
      <c r="AQ203" s="270" t="str">
        <f aca="false">IFERROR(IF(M$182*M183&gt;0,STDEV(M$182,M183)," ")/IF(M$182*M183&gt;0,SQRT(COUNT(M$182,M183)),""),"")</f>
        <v/>
      </c>
      <c r="AR203" s="270" t="str">
        <f aca="false">IFERROR(IF(N$182*N183&gt;0,STDEV(N$182,N183)," ")/IF(N$182*N183&gt;0,SQRT(COUNT(N$182,N183)),""),"")</f>
        <v/>
      </c>
    </row>
    <row r="204" customFormat="false" ht="15.75" hidden="false" customHeight="false" outlineLevel="0" collapsed="false">
      <c r="A204" s="220" t="s">
        <v>290</v>
      </c>
      <c r="B204" s="221"/>
      <c r="C204" s="222" t="str">
        <f aca="false">IFERROR(IF(C$182*C185&gt;0,AVERAGE(C$182,C185),""),"")</f>
        <v/>
      </c>
      <c r="D204" s="222" t="str">
        <f aca="false">IFERROR(IF(D$182*D185&gt;0,AVERAGE(D$182,D185),""),"")</f>
        <v/>
      </c>
      <c r="E204" s="222" t="str">
        <f aca="false">IFERROR(IF(E$182*E185&gt;0,AVERAGE(E$182,E185),""),"")</f>
        <v/>
      </c>
      <c r="F204" s="222" t="str">
        <f aca="false">IFERROR(IF(F$182*F185&gt;0,AVERAGE(F$182,F185),""),"")</f>
        <v/>
      </c>
      <c r="G204" s="222" t="str">
        <f aca="false">IFERROR(IF(G$182*G185&gt;0,AVERAGE(G$182,G185),""),"")</f>
        <v/>
      </c>
      <c r="H204" s="222" t="str">
        <f aca="false">IFERROR(IF(H$182*H185&gt;0,AVERAGE(H$182,H185),""),"")</f>
        <v/>
      </c>
      <c r="I204" s="222" t="str">
        <f aca="false">IFERROR(IF(I$182*I185&gt;0,AVERAGE(I$182,I185),""),"")</f>
        <v/>
      </c>
      <c r="J204" s="222" t="str">
        <f aca="false">IFERROR(IF(J$182*J185&gt;0,AVERAGE(J$182,J185),""),"")</f>
        <v/>
      </c>
      <c r="K204" s="222" t="str">
        <f aca="false">IFERROR(IF(K$182*K185&gt;0,AVERAGE(K$182,K185),""),"")</f>
        <v/>
      </c>
      <c r="L204" s="222" t="str">
        <f aca="false">IFERROR(IF(L$182*L185&gt;0,AVERAGE(L$182,L185),""),"")</f>
        <v/>
      </c>
      <c r="M204" s="222" t="str">
        <f aca="false">IFERROR(IF(M$182*M185&gt;0,AVERAGE(M$182,M185),""),"")</f>
        <v/>
      </c>
      <c r="N204" s="222" t="str">
        <f aca="false">IFERROR(IF(N$182*N185&gt;0,AVERAGE(N$182,N185),""),"")</f>
        <v/>
      </c>
      <c r="O204" s="224"/>
      <c r="P204" s="224"/>
      <c r="Q204" s="232"/>
      <c r="R204" s="226" t="s">
        <v>291</v>
      </c>
      <c r="S204" s="227" t="str">
        <f aca="false">IFERROR(IF(C$182*C185&gt;0,STDEV(C$182,C185),"")/IF(C$182*C185&gt;0,AVERAGE(C$182,C185),""),"")</f>
        <v/>
      </c>
      <c r="T204" s="227" t="str">
        <f aca="false">IFERROR(IF(D$182*D185&gt;0,STDEV(D$182,D185),"")/IF(D$182*D185&gt;0,AVERAGE(D$182,D185),""),"")</f>
        <v/>
      </c>
      <c r="U204" s="227" t="str">
        <f aca="false">IFERROR(IF(E$182*E185&gt;0,STDEV(E$182,E185),"")/IF(E$182*E185&gt;0,AVERAGE(E$182,E185),""),"")</f>
        <v/>
      </c>
      <c r="V204" s="227" t="str">
        <f aca="false">IFERROR(IF(F$182*F185&gt;0,STDEV(F$182,F185),"")/IF(F$182*F185&gt;0,AVERAGE(F$182,F185),""),"")</f>
        <v/>
      </c>
      <c r="W204" s="227" t="str">
        <f aca="false">IFERROR(IF(G$182*G185&gt;0,STDEV(G$182,G185),"")/IF(G$182*G185&gt;0,AVERAGE(G$182,G185),""),"")</f>
        <v/>
      </c>
      <c r="X204" s="227" t="str">
        <f aca="false">IFERROR(IF(H$182*H185&gt;0,STDEV(H$182,H185),"")/IF(H$182*H185&gt;0,AVERAGE(H$182,H185),""),"")</f>
        <v/>
      </c>
      <c r="Y204" s="227" t="str">
        <f aca="false">IFERROR(IF(I$182*I185&gt;0,STDEV(I$182,I185),"")/IF(I$182*I185&gt;0,AVERAGE(I$182,I185),""),"")</f>
        <v/>
      </c>
      <c r="Z204" s="227" t="str">
        <f aca="false">IFERROR(IF(J$182*J185&gt;0,STDEV(J$182,J185),"")/IF(J$182*J185&gt;0,AVERAGE(J$182,J185),""),"")</f>
        <v/>
      </c>
      <c r="AA204" s="227" t="str">
        <f aca="false">IFERROR(IF(K$182*K185&gt;0,STDEV(K$182,K185),"")/IF(K$182*K185&gt;0,AVERAGE(K$182,K185),""),"")</f>
        <v/>
      </c>
      <c r="AB204" s="227" t="str">
        <f aca="false">IFERROR(IF(L$182*L185&gt;0,STDEV(L$182,L185),"")/IF(L$182*L185&gt;0,AVERAGE(L$182,L185),""),"")</f>
        <v/>
      </c>
      <c r="AC204" s="227" t="str">
        <f aca="false">IFERROR(IF(M$182*M185&gt;0,STDEV(M$182,M185),"")/IF(M$182*M185&gt;0,AVERAGE(M$182,M185),""),"")</f>
        <v/>
      </c>
      <c r="AD204" s="227" t="str">
        <f aca="false">IFERROR(IF(N$182*N185&gt;0,STDEV(N$182,N185),"")/IF(N$182*N185&gt;0,AVERAGE(N$182,N185),""),"")</f>
        <v/>
      </c>
      <c r="AE204" s="233"/>
      <c r="AF204" s="229" t="s">
        <v>292</v>
      </c>
      <c r="AG204" s="270" t="str">
        <f aca="false">IFERROR(IF(C$10*C13&gt;0,STDEV(C$182,C185)," ")/IF(C$182*C185&gt;0,SQRT(COUNT(C$182,C185))," "),"")</f>
        <v/>
      </c>
      <c r="AH204" s="270" t="str">
        <f aca="false">IFERROR(IF(D$10*D13&gt;0,STDEV(D$182,D185)," ")/IF(D$182*D185&gt;0,SQRT(COUNT(D$182,D185))," "),"")</f>
        <v/>
      </c>
      <c r="AI204" s="270" t="str">
        <f aca="false">IFERROR(IF(E$10*E13&gt;0,STDEV(E$182,E185)," ")/IF(E$182*E185&gt;0,SQRT(COUNT(E$182,E185))," "),"")</f>
        <v/>
      </c>
      <c r="AJ204" s="270" t="str">
        <f aca="false">IFERROR(IF(F$10*F13&gt;0,STDEV(F$182,F185)," ")/IF(F$182*F185&gt;0,SQRT(COUNT(F$182,F185))," "),"")</f>
        <v/>
      </c>
      <c r="AK204" s="270" t="str">
        <f aca="false">IFERROR(IF(G$10*G13&gt;0,STDEV(G$182,G185)," ")/IF(G$182*G185&gt;0,SQRT(COUNT(G$182,G185))," "),"")</f>
        <v/>
      </c>
      <c r="AL204" s="270" t="str">
        <f aca="false">IFERROR(IF(H$10*H13&gt;0,STDEV(H$182,H185)," ")/IF(H$182*H185&gt;0,SQRT(COUNT(H$182,H185))," "),"")</f>
        <v/>
      </c>
      <c r="AM204" s="270" t="str">
        <f aca="false">IFERROR(IF(I$10*I13&gt;0,STDEV(I$182,I185)," ")/IF(I$182*I185&gt;0,SQRT(COUNT(I$182,I185))," "),"")</f>
        <v/>
      </c>
      <c r="AN204" s="270" t="str">
        <f aca="false">IFERROR(IF(J$10*J13&gt;0,STDEV(J$182,J185)," ")/IF(J$182*J185&gt;0,SQRT(COUNT(J$182,J185))," "),"")</f>
        <v/>
      </c>
      <c r="AO204" s="270" t="str">
        <f aca="false">IFERROR(IF(K$10*K13&gt;0,STDEV(K$182,K185)," ")/IF(K$182*K185&gt;0,SQRT(COUNT(K$182,K185))," "),"")</f>
        <v/>
      </c>
      <c r="AP204" s="270" t="str">
        <f aca="false">IFERROR(IF(L$10*L13&gt;0,STDEV(L$182,L185)," ")/IF(L$182*L185&gt;0,SQRT(COUNT(L$182,L185))," "),"")</f>
        <v/>
      </c>
      <c r="AQ204" s="270" t="str">
        <f aca="false">IFERROR(IF(M$10*M13&gt;0,STDEV(M$182,M185)," ")/IF(M$182*M185&gt;0,SQRT(COUNT(M$182,M185))," "),"")</f>
        <v/>
      </c>
      <c r="AR204" s="270" t="str">
        <f aca="false">IFERROR(IF(N$10*N13&gt;0,STDEV(N$182,N185)," ")/IF(N$182*N185&gt;0,SQRT(COUNT(N$182,N185))," "),"")</f>
        <v/>
      </c>
    </row>
    <row r="205" customFormat="false" ht="15.75" hidden="false" customHeight="false" outlineLevel="0" collapsed="false">
      <c r="A205" s="220" t="s">
        <v>293</v>
      </c>
      <c r="B205" s="221"/>
      <c r="C205" s="222" t="str">
        <f aca="false">IFERROR(IF(C$182*C186&gt;0,AVERAGE(C$182,C186),""),"")</f>
        <v/>
      </c>
      <c r="D205" s="222" t="str">
        <f aca="false">IFERROR(IF(D$182*D186&gt;0,AVERAGE(D$182,D186),""),"")</f>
        <v/>
      </c>
      <c r="E205" s="222" t="str">
        <f aca="false">IFERROR(IF(E$182*E186&gt;0,AVERAGE(E$182,E186),""),"")</f>
        <v/>
      </c>
      <c r="F205" s="222" t="str">
        <f aca="false">IFERROR(IF(F$182*F186&gt;0,AVERAGE(F$182,F186),""),"")</f>
        <v/>
      </c>
      <c r="G205" s="222" t="str">
        <f aca="false">IFERROR(IF(G$182*G186&gt;0,AVERAGE(G$182,G186),""),"")</f>
        <v/>
      </c>
      <c r="H205" s="222" t="str">
        <f aca="false">IFERROR(IF(H$182*H186&gt;0,AVERAGE(H$182,H186),""),"")</f>
        <v/>
      </c>
      <c r="I205" s="222" t="str">
        <f aca="false">IFERROR(IF(I$182*I186&gt;0,AVERAGE(I$182,I186),""),"")</f>
        <v/>
      </c>
      <c r="J205" s="222" t="str">
        <f aca="false">IFERROR(IF(J$182*J186&gt;0,AVERAGE(J$182,J186),""),"")</f>
        <v/>
      </c>
      <c r="K205" s="222" t="str">
        <f aca="false">IFERROR(IF(K$182*K186&gt;0,AVERAGE(K$182,K186),""),"")</f>
        <v/>
      </c>
      <c r="L205" s="222" t="str">
        <f aca="false">IFERROR(IF(L$182*L186&gt;0,AVERAGE(L$182,L186),""),"")</f>
        <v/>
      </c>
      <c r="M205" s="222" t="str">
        <f aca="false">IFERROR(IF(M$182*M186&gt;0,AVERAGE(M$182,M186),""),"")</f>
        <v/>
      </c>
      <c r="N205" s="222" t="str">
        <f aca="false">IFERROR(IF(N$182*N186&gt;0,AVERAGE(N$182,N186),""),"")</f>
        <v/>
      </c>
      <c r="O205" s="224"/>
      <c r="P205" s="224"/>
      <c r="Q205" s="232"/>
      <c r="R205" s="226" t="s">
        <v>294</v>
      </c>
      <c r="S205" s="227" t="str">
        <f aca="false">IFERROR(IF(C$182*C186&gt;0,STDEV(C$182,C186),"")/IF(C$182*C186&gt;0,AVERAGE(C$182,C186),""),"")</f>
        <v/>
      </c>
      <c r="T205" s="227" t="str">
        <f aca="false">IFERROR(IF(D$182*D186&gt;0,STDEV(D$182,D186),"")/IF(D$182*D186&gt;0,AVERAGE(D$182,D186),""),"")</f>
        <v/>
      </c>
      <c r="U205" s="227" t="str">
        <f aca="false">IFERROR(IF(E$182*E186&gt;0,STDEV(E$182,E186),"")/IF(E$182*E186&gt;0,AVERAGE(E$182,E186),""),"")</f>
        <v/>
      </c>
      <c r="V205" s="227" t="str">
        <f aca="false">IFERROR(IF(F$182*F186&gt;0,STDEV(F$182,F186),"")/IF(F$182*F186&gt;0,AVERAGE(F$182,F186),""),"")</f>
        <v/>
      </c>
      <c r="W205" s="227" t="str">
        <f aca="false">IFERROR(IF(G$182*G186&gt;0,STDEV(G$182,G186),"")/IF(G$182*G186&gt;0,AVERAGE(G$182,G186),""),"")</f>
        <v/>
      </c>
      <c r="X205" s="227" t="str">
        <f aca="false">IFERROR(IF(H$182*H186&gt;0,STDEV(H$182,H186),"")/IF(H$182*H186&gt;0,AVERAGE(H$182,H186),""),"")</f>
        <v/>
      </c>
      <c r="Y205" s="227" t="str">
        <f aca="false">IFERROR(IF(I$182*I186&gt;0,STDEV(I$182,I186),"")/IF(I$182*I186&gt;0,AVERAGE(I$182,I186),""),"")</f>
        <v/>
      </c>
      <c r="Z205" s="227" t="str">
        <f aca="false">IFERROR(IF(J$182*J186&gt;0,STDEV(J$182,J186),"")/IF(J$182*J186&gt;0,AVERAGE(J$182,J186),""),"")</f>
        <v/>
      </c>
      <c r="AA205" s="227" t="str">
        <f aca="false">IFERROR(IF(K$182*K186&gt;0,STDEV(K$182,K186),"")/IF(K$182*K186&gt;0,AVERAGE(K$182,K186),""),"")</f>
        <v/>
      </c>
      <c r="AB205" s="227" t="str">
        <f aca="false">IFERROR(IF(L$182*L186&gt;0,STDEV(L$182,L186),"")/IF(L$182*L186&gt;0,AVERAGE(L$182,L186),""),"")</f>
        <v/>
      </c>
      <c r="AC205" s="227" t="str">
        <f aca="false">IFERROR(IF(M$182*M186&gt;0,STDEV(M$182,M186),"")/IF(M$182*M186&gt;0,AVERAGE(M$182,M186),""),"")</f>
        <v/>
      </c>
      <c r="AD205" s="227" t="str">
        <f aca="false">IFERROR(IF(N$182*N186&gt;0,STDEV(N$182,N186),"")/IF(N$182*N186&gt;0,AVERAGE(N$182,N186),""),"")</f>
        <v/>
      </c>
      <c r="AE205" s="233"/>
      <c r="AF205" s="229" t="s">
        <v>295</v>
      </c>
      <c r="AG205" s="270" t="str">
        <f aca="false">IFERROR(IF(C$182*C186&gt;0,STDEV(C$182,C186)," ")/IF(C$182*C186&gt;0,SQRT(COUNT(C$182,C186))," "),"")</f>
        <v/>
      </c>
      <c r="AH205" s="270" t="str">
        <f aca="false">IFERROR(IF(D$182*D186&gt;0,STDEV(D$182,D186)," ")/IF(D$182*D186&gt;0,SQRT(COUNT(D$182,D186))," "),"")</f>
        <v/>
      </c>
      <c r="AI205" s="270" t="str">
        <f aca="false">IFERROR(IF(E$182*E186&gt;0,STDEV(E$182,E186)," ")/IF(E$182*E186&gt;0,SQRT(COUNT(E$182,E186))," "),"")</f>
        <v/>
      </c>
      <c r="AJ205" s="270" t="str">
        <f aca="false">IFERROR(IF(F$182*F186&gt;0,STDEV(F$182,F186)," ")/IF(F$182*F186&gt;0,SQRT(COUNT(F$182,F186))," "),"")</f>
        <v/>
      </c>
      <c r="AK205" s="270" t="str">
        <f aca="false">IFERROR(IF(G$182*G186&gt;0,STDEV(G$182,G186)," ")/IF(G$182*G186&gt;0,SQRT(COUNT(G$182,G186))," "),"")</f>
        <v/>
      </c>
      <c r="AL205" s="270" t="str">
        <f aca="false">IFERROR(IF(H$182*H186&gt;0,STDEV(H$182,H186)," ")/IF(H$182*H186&gt;0,SQRT(COUNT(H$182,H186))," "),"")</f>
        <v/>
      </c>
      <c r="AM205" s="270" t="str">
        <f aca="false">IFERROR(IF(I$182*I186&gt;0,STDEV(I$182,I186)," ")/IF(I$182*I186&gt;0,SQRT(COUNT(I$182,I186))," "),"")</f>
        <v/>
      </c>
      <c r="AN205" s="270" t="str">
        <f aca="false">IFERROR(IF(J$182*J186&gt;0,STDEV(J$182,J186)," ")/IF(J$182*J186&gt;0,SQRT(COUNT(J$182,J186))," "),"")</f>
        <v/>
      </c>
      <c r="AO205" s="270" t="str">
        <f aca="false">IFERROR(IF(K$182*K186&gt;0,STDEV(K$182,K186)," ")/IF(K$182*K186&gt;0,SQRT(COUNT(K$182,K186))," "),"")</f>
        <v/>
      </c>
      <c r="AP205" s="270" t="str">
        <f aca="false">IFERROR(IF(L$182*L186&gt;0,STDEV(L$182,L186)," ")/IF(L$182*L186&gt;0,SQRT(COUNT(L$182,L186))," "),"")</f>
        <v/>
      </c>
      <c r="AQ205" s="270" t="str">
        <f aca="false">IFERROR(IF(M$182*M186&gt;0,STDEV(M$182,M186)," ")/IF(M$182*M186&gt;0,SQRT(COUNT(M$182,M186))," "),"")</f>
        <v/>
      </c>
      <c r="AR205" s="270" t="str">
        <f aca="false">IFERROR(IF(N$182*N186&gt;0,STDEV(N$182,N186)," ")/IF(N$182*N186&gt;0,SQRT(COUNT(N$182,N186))," "),"")</f>
        <v/>
      </c>
    </row>
    <row r="206" customFormat="false" ht="15.75" hidden="false" customHeight="false" outlineLevel="0" collapsed="false">
      <c r="A206" s="220" t="s">
        <v>296</v>
      </c>
      <c r="B206" s="221"/>
      <c r="C206" s="222" t="str">
        <f aca="false">IFERROR(IF(C$182*C187&gt;0,AVERAGE(C$182,C187),""),"")</f>
        <v/>
      </c>
      <c r="D206" s="222" t="str">
        <f aca="false">IFERROR(IF(D$182*D187&gt;0,AVERAGE(D$182,D187),""),"")</f>
        <v/>
      </c>
      <c r="E206" s="222" t="str">
        <f aca="false">IFERROR(IF(E$182*E187&gt;0,AVERAGE(E$182,E187),""),"")</f>
        <v/>
      </c>
      <c r="F206" s="222" t="str">
        <f aca="false">IFERROR(IF(F$182*F187&gt;0,AVERAGE(F$182,F187),""),"")</f>
        <v/>
      </c>
      <c r="G206" s="222" t="str">
        <f aca="false">IFERROR(IF(G$182*G187&gt;0,AVERAGE(G$182,G187),""),"")</f>
        <v/>
      </c>
      <c r="H206" s="222" t="str">
        <f aca="false">IFERROR(IF(H$182*H187&gt;0,AVERAGE(H$182,H187),""),"")</f>
        <v/>
      </c>
      <c r="I206" s="222" t="str">
        <f aca="false">IFERROR(IF(I$182*I187&gt;0,AVERAGE(I$182,I187),""),"")</f>
        <v/>
      </c>
      <c r="J206" s="222" t="str">
        <f aca="false">IFERROR(IF(J$182*J187&gt;0,AVERAGE(J$182,J187),""),"")</f>
        <v/>
      </c>
      <c r="K206" s="222" t="str">
        <f aca="false">IFERROR(IF(K$182*K187&gt;0,AVERAGE(K$182,K187),""),"")</f>
        <v/>
      </c>
      <c r="L206" s="222" t="str">
        <f aca="false">IFERROR(IF(L$182*L187&gt;0,AVERAGE(L$182,L187),""),"")</f>
        <v/>
      </c>
      <c r="M206" s="222" t="str">
        <f aca="false">IFERROR(IF(M$182*M187&gt;0,AVERAGE(M$182,M187),""),"")</f>
        <v/>
      </c>
      <c r="N206" s="222" t="str">
        <f aca="false">IFERROR(IF(N$182*N187&gt;0,AVERAGE(N$182,N187),""),"")</f>
        <v/>
      </c>
      <c r="O206" s="224"/>
      <c r="P206" s="224"/>
      <c r="Q206" s="232"/>
      <c r="R206" s="226" t="s">
        <v>297</v>
      </c>
      <c r="S206" s="227" t="str">
        <f aca="false">IFERROR(IF(C$182*C187&gt;0,STDEV(C$182,C187),"")/IF(C$182*C187&gt;0,AVERAGE(C$182,C187),""),"")</f>
        <v/>
      </c>
      <c r="T206" s="227" t="str">
        <f aca="false">IFERROR(IF(D$182*D187&gt;0,STDEV(D$182,D187),"")/IF(D$182*D187&gt;0,AVERAGE(D$182,D187),""),"")</f>
        <v/>
      </c>
      <c r="U206" s="227" t="str">
        <f aca="false">IFERROR(IF(E$182*E187&gt;0,STDEV(E$182,E187),"")/IF(E$182*E187&gt;0,AVERAGE(E$182,E187),""),"")</f>
        <v/>
      </c>
      <c r="V206" s="227" t="str">
        <f aca="false">IFERROR(IF(F$182*F187&gt;0,STDEV(F$182,F187),"")/IF(F$182*F187&gt;0,AVERAGE(F$182,F187),""),"")</f>
        <v/>
      </c>
      <c r="W206" s="227" t="str">
        <f aca="false">IFERROR(IF(G$182*G187&gt;0,STDEV(G$182,G187),"")/IF(G$182*G187&gt;0,AVERAGE(G$182,G187),""),"")</f>
        <v/>
      </c>
      <c r="X206" s="227" t="str">
        <f aca="false">IFERROR(IF(H$182*H187&gt;0,STDEV(H$182,H187),"")/IF(H$182*H187&gt;0,AVERAGE(H$182,H187),""),"")</f>
        <v/>
      </c>
      <c r="Y206" s="227" t="str">
        <f aca="false">IFERROR(IF(I$182*I187&gt;0,STDEV(I$182,I187),"")/IF(I$182*I187&gt;0,AVERAGE(I$182,I187),""),"")</f>
        <v/>
      </c>
      <c r="Z206" s="227" t="str">
        <f aca="false">IFERROR(IF(J$182*J187&gt;0,STDEV(J$182,J187),"")/IF(J$182*J187&gt;0,AVERAGE(J$182,J187),""),"")</f>
        <v/>
      </c>
      <c r="AA206" s="227" t="str">
        <f aca="false">IFERROR(IF(K$182*K187&gt;0,STDEV(K$182,K187),"")/IF(K$182*K187&gt;0,AVERAGE(K$182,K187),""),"")</f>
        <v/>
      </c>
      <c r="AB206" s="227" t="str">
        <f aca="false">IFERROR(IF(L$182*L187&gt;0,STDEV(L$182,L187),"")/IF(L$182*L187&gt;0,AVERAGE(L$182,L187),""),"")</f>
        <v/>
      </c>
      <c r="AC206" s="227" t="str">
        <f aca="false">IFERROR(IF(M$182*M187&gt;0,STDEV(M$182,M187),"")/IF(M$182*M187&gt;0,AVERAGE(M$182,M187),""),"")</f>
        <v/>
      </c>
      <c r="AD206" s="227" t="str">
        <f aca="false">IFERROR(IF(N$182*N187&gt;0,STDEV(N$182,N187),"")/IF(N$182*N187&gt;0,AVERAGE(N$182,N187),""),"")</f>
        <v/>
      </c>
      <c r="AE206" s="233"/>
      <c r="AF206" s="229" t="s">
        <v>298</v>
      </c>
      <c r="AG206" s="270" t="str">
        <f aca="false">IFERROR(IF(C$182*C187&gt;0,STDEV(C$182,C187)," ")/IF(C$182*C187&gt;0,SQRT(COUNT(C$182,C187))," "),"")</f>
        <v/>
      </c>
      <c r="AH206" s="270" t="str">
        <f aca="false">IFERROR(IF(D$182*D187&gt;0,STDEV(D$182,D187)," ")/IF(D$182*D187&gt;0,SQRT(COUNT(D$182,D187))," "),"")</f>
        <v/>
      </c>
      <c r="AI206" s="270" t="str">
        <f aca="false">IFERROR(IF(E$182*E187&gt;0,STDEV(E$182,E187)," ")/IF(E$182*E187&gt;0,SQRT(COUNT(E$182,E187))," "),"")</f>
        <v/>
      </c>
      <c r="AJ206" s="270" t="str">
        <f aca="false">IFERROR(IF(F$182*F187&gt;0,STDEV(F$182,F187)," ")/IF(F$182*F187&gt;0,SQRT(COUNT(F$182,F187))," "),"")</f>
        <v/>
      </c>
      <c r="AK206" s="270" t="str">
        <f aca="false">IFERROR(IF(G$182*G187&gt;0,STDEV(G$182,G187)," ")/IF(G$182*G187&gt;0,SQRT(COUNT(G$182,G187))," "),"")</f>
        <v/>
      </c>
      <c r="AL206" s="270" t="str">
        <f aca="false">IFERROR(IF(H$182*H187&gt;0,STDEV(H$182,H187)," ")/IF(H$182*H187&gt;0,SQRT(COUNT(H$182,H187))," "),"")</f>
        <v/>
      </c>
      <c r="AM206" s="270" t="str">
        <f aca="false">IFERROR(IF(I$182*I187&gt;0,STDEV(I$182,I187)," ")/IF(I$182*I187&gt;0,SQRT(COUNT(I$182,I187))," "),"")</f>
        <v/>
      </c>
      <c r="AN206" s="270" t="str">
        <f aca="false">IFERROR(IF(J$182*J187&gt;0,STDEV(J$182,J187)," ")/IF(J$182*J187&gt;0,SQRT(COUNT(J$182,J187))," "),"")</f>
        <v/>
      </c>
      <c r="AO206" s="270" t="str">
        <f aca="false">IFERROR(IF(K$182*K187&gt;0,STDEV(K$182,K187)," ")/IF(K$182*K187&gt;0,SQRT(COUNT(K$182,K187))," "),"")</f>
        <v/>
      </c>
      <c r="AP206" s="270" t="str">
        <f aca="false">IFERROR(IF(L$182*L187&gt;0,STDEV(L$182,L187)," ")/IF(L$182*L187&gt;0,SQRT(COUNT(L$182,L187))," "),"")</f>
        <v/>
      </c>
      <c r="AQ206" s="270" t="str">
        <f aca="false">IFERROR(IF(M$182*M187&gt;0,STDEV(M$182,M187)," ")/IF(M$182*M187&gt;0,SQRT(COUNT(M$182,M187))," "),"")</f>
        <v/>
      </c>
      <c r="AR206" s="270" t="str">
        <f aca="false">IFERROR(IF(N$182*N187&gt;0,STDEV(N$182,N187)," ")/IF(N$182*N187&gt;0,SQRT(COUNT(N$182,N187))," "),"")</f>
        <v/>
      </c>
    </row>
    <row r="207" customFormat="false" ht="15.75" hidden="false" customHeight="false" outlineLevel="0" collapsed="false">
      <c r="A207" s="220" t="s">
        <v>299</v>
      </c>
      <c r="B207" s="221"/>
      <c r="C207" s="222" t="str">
        <f aca="false">IFERROR(IF(C$182*C188&gt;0,AVERAGE(C$182,C188),""),"")</f>
        <v/>
      </c>
      <c r="D207" s="222" t="str">
        <f aca="false">IFERROR(IF(D$182*D188&gt;0,AVERAGE(D$182,D188),""),"")</f>
        <v/>
      </c>
      <c r="E207" s="222" t="str">
        <f aca="false">IFERROR(IF(E$182*E188&gt;0,AVERAGE(E$182,E188),""),"")</f>
        <v/>
      </c>
      <c r="F207" s="222" t="str">
        <f aca="false">IFERROR(IF(F$182*F188&gt;0,AVERAGE(F$182,F188),""),"")</f>
        <v/>
      </c>
      <c r="G207" s="222" t="str">
        <f aca="false">IFERROR(IF(G$182*G188&gt;0,AVERAGE(G$182,G188),""),"")</f>
        <v/>
      </c>
      <c r="H207" s="222" t="str">
        <f aca="false">IFERROR(IF(H$182*H188&gt;0,AVERAGE(H$182,H188),""),"")</f>
        <v/>
      </c>
      <c r="I207" s="222" t="str">
        <f aca="false">IFERROR(IF(I$182*I188&gt;0,AVERAGE(I$182,I188),""),"")</f>
        <v/>
      </c>
      <c r="J207" s="222" t="str">
        <f aca="false">IFERROR(IF(J$182*J188&gt;0,AVERAGE(J$182,J188),""),"")</f>
        <v/>
      </c>
      <c r="K207" s="222" t="str">
        <f aca="false">IFERROR(IF(K$182*K188&gt;0,AVERAGE(K$182,K188),""),"")</f>
        <v/>
      </c>
      <c r="L207" s="222" t="str">
        <f aca="false">IFERROR(IF(L$182*L188&gt;0,AVERAGE(L$182,L188),""),"")</f>
        <v/>
      </c>
      <c r="M207" s="222" t="str">
        <f aca="false">IFERROR(IF(M$182*M188&gt;0,AVERAGE(M$182,M188),""),"")</f>
        <v/>
      </c>
      <c r="N207" s="222" t="str">
        <f aca="false">IFERROR(IF(N$182*N188&gt;0,AVERAGE(N$182,N188),""),"")</f>
        <v/>
      </c>
      <c r="O207" s="224"/>
      <c r="P207" s="224"/>
      <c r="Q207" s="232"/>
      <c r="R207" s="226" t="s">
        <v>300</v>
      </c>
      <c r="S207" s="227" t="str">
        <f aca="false">IFERROR(IF(C$182*C188&gt;0,STDEV(C$182,C188),"")/IF(C$182*C188&gt;0,AVERAGE(C$182,C188),""),"")</f>
        <v/>
      </c>
      <c r="T207" s="227" t="str">
        <f aca="false">IFERROR(IF(D$182*D188&gt;0,STDEV(D$182,D188),"")/IF(D$182*D188&gt;0,AVERAGE(D$182,D188),""),"")</f>
        <v/>
      </c>
      <c r="U207" s="227" t="str">
        <f aca="false">IFERROR(IF(E$182*E188&gt;0,STDEV(E$182,E188),"")/IF(E$182*E188&gt;0,AVERAGE(E$182,E188),""),"")</f>
        <v/>
      </c>
      <c r="V207" s="227" t="str">
        <f aca="false">IFERROR(IF(F$182*F188&gt;0,STDEV(F$182,F188),"")/IF(F$182*F188&gt;0,AVERAGE(F$182,F188),""),"")</f>
        <v/>
      </c>
      <c r="W207" s="227" t="str">
        <f aca="false">IFERROR(IF(G$182*G188&gt;0,STDEV(G$182,G188),"")/IF(G$182*G188&gt;0,AVERAGE(G$182,G188),""),"")</f>
        <v/>
      </c>
      <c r="X207" s="227" t="str">
        <f aca="false">IFERROR(IF(H$182*H188&gt;0,STDEV(H$182,H188),"")/IF(H$182*H188&gt;0,AVERAGE(H$182,H188),""),"")</f>
        <v/>
      </c>
      <c r="Y207" s="227" t="str">
        <f aca="false">IFERROR(IF(I$182*I188&gt;0,STDEV(I$182,I188),"")/IF(I$182*I188&gt;0,AVERAGE(I$182,I188),""),"")</f>
        <v/>
      </c>
      <c r="Z207" s="227" t="str">
        <f aca="false">IFERROR(IF(J$182*J188&gt;0,STDEV(J$182,J188),"")/IF(J$182*J188&gt;0,AVERAGE(J$182,J188),""),"")</f>
        <v/>
      </c>
      <c r="AA207" s="227" t="str">
        <f aca="false">IFERROR(IF(K$182*K188&gt;0,STDEV(K$182,K188),"")/IF(K$182*K188&gt;0,AVERAGE(K$182,K188),""),"")</f>
        <v/>
      </c>
      <c r="AB207" s="227" t="str">
        <f aca="false">IFERROR(IF(L$182*L188&gt;0,STDEV(L$182,L188),"")/IF(L$182*L188&gt;0,AVERAGE(L$182,L188),""),"")</f>
        <v/>
      </c>
      <c r="AC207" s="227" t="str">
        <f aca="false">IFERROR(IF(M$182*M188&gt;0,STDEV(M$182,M188),"")/IF(M$182*M188&gt;0,AVERAGE(M$182,M188),""),"")</f>
        <v/>
      </c>
      <c r="AD207" s="227" t="str">
        <f aca="false">IFERROR(IF(N$182*N188&gt;0,STDEV(N$182,N188),"")/IF(N$182*N188&gt;0,AVERAGE(N$182,N188),""),"")</f>
        <v/>
      </c>
      <c r="AE207" s="233"/>
      <c r="AF207" s="229" t="s">
        <v>301</v>
      </c>
      <c r="AG207" s="270" t="str">
        <f aca="false">IFERROR(IF(C$182*C188&gt;0,STDEV(C$182,C188)," ")/IF(C$182*C188&gt;0,SQRT(COUNT(C$182,C188))," "),"")</f>
        <v/>
      </c>
      <c r="AH207" s="270" t="str">
        <f aca="false">IFERROR(IF(D$182*D188&gt;0,STDEV(D$182,D188)," ")/IF(D$182*D188&gt;0,SQRT(COUNT(D$182,D188))," "),"")</f>
        <v/>
      </c>
      <c r="AI207" s="270" t="str">
        <f aca="false">IFERROR(IF(E$182*E188&gt;0,STDEV(E$182,E188)," ")/IF(E$182*E188&gt;0,SQRT(COUNT(E$182,E188))," "),"")</f>
        <v/>
      </c>
      <c r="AJ207" s="270" t="str">
        <f aca="false">IFERROR(IF(F$182*F188&gt;0,STDEV(F$182,F188)," ")/IF(F$182*F188&gt;0,SQRT(COUNT(F$182,F188))," "),"")</f>
        <v/>
      </c>
      <c r="AK207" s="270" t="str">
        <f aca="false">IFERROR(IF(G$182*G188&gt;0,STDEV(G$182,G188)," ")/IF(G$182*G188&gt;0,SQRT(COUNT(G$182,G188))," "),"")</f>
        <v/>
      </c>
      <c r="AL207" s="270" t="str">
        <f aca="false">IFERROR(IF(H$182*H188&gt;0,STDEV(H$182,H188)," ")/IF(H$182*H188&gt;0,SQRT(COUNT(H$182,H188))," "),"")</f>
        <v/>
      </c>
      <c r="AM207" s="270" t="str">
        <f aca="false">IFERROR(IF(I$182*I188&gt;0,STDEV(I$182,I188)," ")/IF(I$182*I188&gt;0,SQRT(COUNT(I$182,I188))," "),"")</f>
        <v/>
      </c>
      <c r="AN207" s="270" t="str">
        <f aca="false">IFERROR(IF(J$182*J188&gt;0,STDEV(J$182,J188)," ")/IF(J$182*J188&gt;0,SQRT(COUNT(J$182,J188))," "),"")</f>
        <v/>
      </c>
      <c r="AO207" s="270" t="str">
        <f aca="false">IFERROR(IF(K$182*K188&gt;0,STDEV(K$182,K188)," ")/IF(K$182*K188&gt;0,SQRT(COUNT(K$182,K188))," "),"")</f>
        <v/>
      </c>
      <c r="AP207" s="270" t="str">
        <f aca="false">IFERROR(IF(L$182*L188&gt;0,STDEV(L$182,L188)," ")/IF(L$182*L188&gt;0,SQRT(COUNT(L$182,L188))," "),"")</f>
        <v/>
      </c>
      <c r="AQ207" s="270" t="str">
        <f aca="false">IFERROR(IF(M$182*M188&gt;0,STDEV(M$182,M188)," ")/IF(M$182*M188&gt;0,SQRT(COUNT(M$182,M188))," "),"")</f>
        <v/>
      </c>
      <c r="AR207" s="270" t="str">
        <f aca="false">IFERROR(IF(N$182*N188&gt;0,STDEV(N$182,N188)," ")/IF(N$182*N188&gt;0,SQRT(COUNT(N$182,N188))," "),"")</f>
        <v/>
      </c>
    </row>
    <row r="208" customFormat="false" ht="15.75" hidden="false" customHeight="false" outlineLevel="0" collapsed="false">
      <c r="A208" s="220" t="s">
        <v>302</v>
      </c>
      <c r="B208" s="221"/>
      <c r="C208" s="222" t="str">
        <f aca="false">IFERROR(IF(C$183*C184&gt;0,AVERAGE(C$183,C184),""),"")</f>
        <v/>
      </c>
      <c r="D208" s="222" t="str">
        <f aca="false">IFERROR(IF(D$183*D184&gt;0,AVERAGE(D$183,D184),""),"")</f>
        <v/>
      </c>
      <c r="E208" s="222" t="str">
        <f aca="false">IFERROR(IF(E$183*E184&gt;0,AVERAGE(E$183,E184),""),"")</f>
        <v/>
      </c>
      <c r="F208" s="222" t="str">
        <f aca="false">IFERROR(IF(F$183*F184&gt;0,AVERAGE(F$183,F184),""),"")</f>
        <v/>
      </c>
      <c r="G208" s="222" t="str">
        <f aca="false">IFERROR(IF(G$183*G184&gt;0,AVERAGE(G$183,G184),""),"")</f>
        <v/>
      </c>
      <c r="H208" s="222" t="str">
        <f aca="false">IFERROR(IF(H$183*H184&gt;0,AVERAGE(H$183,H184),""),"")</f>
        <v/>
      </c>
      <c r="I208" s="222" t="str">
        <f aca="false">IFERROR(IF(I$183*I184&gt;0,AVERAGE(I$183,I184),""),"")</f>
        <v/>
      </c>
      <c r="J208" s="222" t="str">
        <f aca="false">IFERROR(IF(J$183*J184&gt;0,AVERAGE(J$183,J184),""),"")</f>
        <v/>
      </c>
      <c r="K208" s="222" t="str">
        <f aca="false">IFERROR(IF(K$183*K184&gt;0,AVERAGE(K$183,K184),""),"")</f>
        <v/>
      </c>
      <c r="L208" s="222" t="str">
        <f aca="false">IFERROR(IF(L$183*L184&gt;0,AVERAGE(L$183,L184),""),"")</f>
        <v/>
      </c>
      <c r="M208" s="222" t="str">
        <f aca="false">IFERROR(IF(M$183*M184&gt;0,AVERAGE(M$183,M184),""),"")</f>
        <v/>
      </c>
      <c r="N208" s="222" t="str">
        <f aca="false">IFERROR(IF(N$183*N184&gt;0,AVERAGE(N$183,N184),""),"")</f>
        <v/>
      </c>
      <c r="O208" s="224"/>
      <c r="P208" s="224"/>
      <c r="Q208" s="232"/>
      <c r="R208" s="226" t="s">
        <v>303</v>
      </c>
      <c r="S208" s="227" t="str">
        <f aca="false">IFERROR(IF(C$183*C184&gt;0,STDEV(C$183,C184),"")/IF(C$183*C184&gt;0,AVERAGE(C$183,C184),""),"")</f>
        <v/>
      </c>
      <c r="T208" s="227" t="str">
        <f aca="false">IFERROR(IF(D$183*D184&gt;0,STDEV(D$183,D184),"")/IF(D$183*D184&gt;0,AVERAGE(D$183,D184),""),"")</f>
        <v/>
      </c>
      <c r="U208" s="227" t="str">
        <f aca="false">IFERROR(IF(E$183*E184&gt;0,STDEV(E$183,E184),"")/IF(E$183*E184&gt;0,AVERAGE(E$183,E184),""),"")</f>
        <v/>
      </c>
      <c r="V208" s="227" t="str">
        <f aca="false">IFERROR(IF(F$183*F184&gt;0,STDEV(F$183,F184),"")/IF(F$183*F184&gt;0,AVERAGE(F$183,F184),""),"")</f>
        <v/>
      </c>
      <c r="W208" s="227" t="str">
        <f aca="false">IFERROR(IF(G$183*G184&gt;0,STDEV(G$183,G184),"")/IF(G$183*G184&gt;0,AVERAGE(G$183,G184),""),"")</f>
        <v/>
      </c>
      <c r="X208" s="227" t="str">
        <f aca="false">IFERROR(IF(H$183*H184&gt;0,STDEV(H$183,H184),"")/IF(H$183*H184&gt;0,AVERAGE(H$183,H184),""),"")</f>
        <v/>
      </c>
      <c r="Y208" s="227" t="str">
        <f aca="false">IFERROR(IF(I$183*I184&gt;0,STDEV(I$183,I184),"")/IF(I$183*I184&gt;0,AVERAGE(I$183,I184),""),"")</f>
        <v/>
      </c>
      <c r="Z208" s="227" t="str">
        <f aca="false">IFERROR(IF(J$183*J184&gt;0,STDEV(J$183,J184),"")/IF(J$183*J184&gt;0,AVERAGE(J$183,J184),""),"")</f>
        <v/>
      </c>
      <c r="AA208" s="227" t="str">
        <f aca="false">IFERROR(IF(K$183*K184&gt;0,STDEV(K$183,K184),"")/IF(K$183*K184&gt;0,AVERAGE(K$183,K184),""),"")</f>
        <v/>
      </c>
      <c r="AB208" s="227" t="str">
        <f aca="false">IFERROR(IF(L$183*L184&gt;0,STDEV(L$183,L184),"")/IF(L$183*L184&gt;0,AVERAGE(L$183,L184),""),"")</f>
        <v/>
      </c>
      <c r="AC208" s="227" t="str">
        <f aca="false">IFERROR(IF(M$183*M184&gt;0,STDEV(M$183,M184),"")/IF(M$183*M184&gt;0,AVERAGE(M$183,M184),""),"")</f>
        <v/>
      </c>
      <c r="AD208" s="227" t="str">
        <f aca="false">IFERROR(IF(N$183*N184&gt;0,STDEV(N$183,N184),"")/IF(N$183*N184&gt;0,AVERAGE(N$183,N184),""),"")</f>
        <v/>
      </c>
      <c r="AE208" s="233"/>
      <c r="AF208" s="229" t="s">
        <v>304</v>
      </c>
      <c r="AG208" s="270" t="str">
        <f aca="false">IFERROR(IF(C$183*C184&gt;0,STDEV(C$183,C184)," ")/IF(C$183*C184&gt;0,SQRT(COUNT(C$183,C184))," "),"")</f>
        <v/>
      </c>
      <c r="AH208" s="270" t="str">
        <f aca="false">IFERROR(IF(D$183*D184&gt;0,STDEV(D$183,D184)," ")/IF(D$183*D184&gt;0,SQRT(COUNT(D$183,D184))," "),"")</f>
        <v/>
      </c>
      <c r="AI208" s="270" t="str">
        <f aca="false">IFERROR(IF(E$183*E184&gt;0,STDEV(E$183,E184)," ")/IF(E$183*E184&gt;0,SQRT(COUNT(E$183,E184))," "),"")</f>
        <v/>
      </c>
      <c r="AJ208" s="270" t="str">
        <f aca="false">IFERROR(IF(F$183*F184&gt;0,STDEV(F$183,F184)," ")/IF(F$183*F184&gt;0,SQRT(COUNT(F$183,F184))," "),"")</f>
        <v/>
      </c>
      <c r="AK208" s="270" t="str">
        <f aca="false">IFERROR(IF(G$183*G184&gt;0,STDEV(G$183,G184)," ")/IF(G$183*G184&gt;0,SQRT(COUNT(G$183,G184))," "),"")</f>
        <v/>
      </c>
      <c r="AL208" s="270" t="str">
        <f aca="false">IFERROR(IF(H$183*H184&gt;0,STDEV(H$183,H184)," ")/IF(H$183*H184&gt;0,SQRT(COUNT(H$183,H184))," "),"")</f>
        <v/>
      </c>
      <c r="AM208" s="270" t="str">
        <f aca="false">IFERROR(IF(I$183*I184&gt;0,STDEV(I$183,I184)," ")/IF(I$183*I184&gt;0,SQRT(COUNT(I$183,I184))," "),"")</f>
        <v/>
      </c>
      <c r="AN208" s="270" t="str">
        <f aca="false">IFERROR(IF(J$183*J184&gt;0,STDEV(J$183,J184)," ")/IF(J$183*J184&gt;0,SQRT(COUNT(J$183,J184))," "),"")</f>
        <v/>
      </c>
      <c r="AO208" s="270" t="str">
        <f aca="false">IFERROR(IF(K$183*K184&gt;0,STDEV(K$183,K184)," ")/IF(K$183*K184&gt;0,SQRT(COUNT(K$183,K184))," "),"")</f>
        <v/>
      </c>
      <c r="AP208" s="270" t="str">
        <f aca="false">IFERROR(IF(L$183*L184&gt;0,STDEV(L$183,L184)," ")/IF(L$183*L184&gt;0,SQRT(COUNT(L$183,L184))," "),"")</f>
        <v/>
      </c>
      <c r="AQ208" s="270" t="str">
        <f aca="false">IFERROR(IF(M$183*M184&gt;0,STDEV(M$183,M184)," ")/IF(M$183*M184&gt;0,SQRT(COUNT(M$183,M184))," "),"")</f>
        <v/>
      </c>
      <c r="AR208" s="270" t="str">
        <f aca="false">IFERROR(IF(N$183*N184&gt;0,STDEV(N$183,N184)," ")/IF(N$183*N184&gt;0,SQRT(COUNT(N$183,N184))," "),"")</f>
        <v/>
      </c>
    </row>
    <row r="209" customFormat="false" ht="15.75" hidden="false" customHeight="false" outlineLevel="0" collapsed="false">
      <c r="A209" s="220" t="s">
        <v>305</v>
      </c>
      <c r="B209" s="221"/>
      <c r="C209" s="222" t="str">
        <f aca="false">IFERROR(IF(C$183*C185&gt;0,AVERAGE(C$183,C185),""),"")</f>
        <v/>
      </c>
      <c r="D209" s="222" t="str">
        <f aca="false">IFERROR(IF(D$183*D185&gt;0,AVERAGE(D$183,D185),""),"")</f>
        <v/>
      </c>
      <c r="E209" s="222" t="str">
        <f aca="false">IFERROR(IF(E$183*E185&gt;0,AVERAGE(E$183,E185),""),"")</f>
        <v/>
      </c>
      <c r="F209" s="222" t="str">
        <f aca="false">IFERROR(IF(F$183*F185&gt;0,AVERAGE(F$183,F185),""),"")</f>
        <v/>
      </c>
      <c r="G209" s="222" t="str">
        <f aca="false">IFERROR(IF(G$183*G185&gt;0,AVERAGE(G$183,G185),""),"")</f>
        <v/>
      </c>
      <c r="H209" s="222" t="str">
        <f aca="false">IFERROR(IF(H$183*H185&gt;0,AVERAGE(H$183,H185),""),"")</f>
        <v/>
      </c>
      <c r="I209" s="222" t="str">
        <f aca="false">IFERROR(IF(I$183*I185&gt;0,AVERAGE(I$183,I185),""),"")</f>
        <v/>
      </c>
      <c r="J209" s="222" t="str">
        <f aca="false">IFERROR(IF(J$183*J185&gt;0,AVERAGE(J$183,J185),""),"")</f>
        <v/>
      </c>
      <c r="K209" s="222" t="str">
        <f aca="false">IFERROR(IF(K$183*K185&gt;0,AVERAGE(K$183,K185),""),"")</f>
        <v/>
      </c>
      <c r="L209" s="222" t="str">
        <f aca="false">IFERROR(IF(L$183*L185&gt;0,AVERAGE(L$183,L185),""),"")</f>
        <v/>
      </c>
      <c r="M209" s="222" t="str">
        <f aca="false">IFERROR(IF(M$183*M185&gt;0,AVERAGE(M$183,M185),""),"")</f>
        <v/>
      </c>
      <c r="N209" s="222" t="str">
        <f aca="false">IFERROR(IF(N$183*N185&gt;0,AVERAGE(N$183,N185),""),"")</f>
        <v/>
      </c>
      <c r="O209" s="224"/>
      <c r="P209" s="224"/>
      <c r="Q209" s="232"/>
      <c r="R209" s="226" t="s">
        <v>306</v>
      </c>
      <c r="S209" s="227" t="str">
        <f aca="false">IFERROR(IF(C$183*C185&gt;0,STDEV(C$183,C185),"")/IF(C$183*C185&gt;0,AVERAGE(C$183,C185),""),"")</f>
        <v/>
      </c>
      <c r="T209" s="227" t="str">
        <f aca="false">IFERROR(IF(D$183*D185&gt;0,STDEV(D$183,D185),"")/IF(D$183*D185&gt;0,AVERAGE(D$183,D185),""),"")</f>
        <v/>
      </c>
      <c r="U209" s="227" t="str">
        <f aca="false">IFERROR(IF(E$183*E185&gt;0,STDEV(E$183,E185),"")/IF(E$183*E185&gt;0,AVERAGE(E$183,E185),""),"")</f>
        <v/>
      </c>
      <c r="V209" s="227" t="str">
        <f aca="false">IFERROR(IF(F$183*F185&gt;0,STDEV(F$183,F185),"")/IF(F$183*F185&gt;0,AVERAGE(F$183,F185),""),"")</f>
        <v/>
      </c>
      <c r="W209" s="227" t="str">
        <f aca="false">IFERROR(IF(G$183*G185&gt;0,STDEV(G$183,G185),"")/IF(G$183*G185&gt;0,AVERAGE(G$183,G185),""),"")</f>
        <v/>
      </c>
      <c r="X209" s="227" t="str">
        <f aca="false">IFERROR(IF(H$183*H185&gt;0,STDEV(H$183,H185),"")/IF(H$183*H185&gt;0,AVERAGE(H$183,H185),""),"")</f>
        <v/>
      </c>
      <c r="Y209" s="227" t="str">
        <f aca="false">IFERROR(IF(I$183*I185&gt;0,STDEV(I$183,I185),"")/IF(I$183*I185&gt;0,AVERAGE(I$183,I185),""),"")</f>
        <v/>
      </c>
      <c r="Z209" s="227" t="str">
        <f aca="false">IFERROR(IF(J$183*J185&gt;0,STDEV(J$183,J185),"")/IF(J$183*J185&gt;0,AVERAGE(J$183,J185),""),"")</f>
        <v/>
      </c>
      <c r="AA209" s="227" t="str">
        <f aca="false">IFERROR(IF(K$183*K185&gt;0,STDEV(K$183,K185),"")/IF(K$183*K185&gt;0,AVERAGE(K$183,K185),""),"")</f>
        <v/>
      </c>
      <c r="AB209" s="227" t="str">
        <f aca="false">IFERROR(IF(L$183*L185&gt;0,STDEV(L$183,L185),"")/IF(L$183*L185&gt;0,AVERAGE(L$183,L185),""),"")</f>
        <v/>
      </c>
      <c r="AC209" s="227" t="str">
        <f aca="false">IFERROR(IF(M$183*M185&gt;0,STDEV(M$183,M185),"")/IF(M$183*M185&gt;0,AVERAGE(M$183,M185),""),"")</f>
        <v/>
      </c>
      <c r="AD209" s="227" t="str">
        <f aca="false">IFERROR(IF(N$183*N185&gt;0,STDEV(N$183,N185),"")/IF(N$183*N185&gt;0,AVERAGE(N$183,N185),""),"")</f>
        <v/>
      </c>
      <c r="AE209" s="233"/>
      <c r="AF209" s="229" t="s">
        <v>307</v>
      </c>
      <c r="AG209" s="270" t="str">
        <f aca="false">IFERROR(IF(C$183*C185&gt;0,STDEV(C$183,C185)," ")/IF(C$183*C185&gt;0,SQRT(COUNT(C$183,C185))," "),"")</f>
        <v/>
      </c>
      <c r="AH209" s="270" t="str">
        <f aca="false">IFERROR(IF(D$183*D185&gt;0,STDEV(D$183,D185)," ")/IF(D$183*D185&gt;0,SQRT(COUNT(D$183,D185))," "),"")</f>
        <v/>
      </c>
      <c r="AI209" s="270" t="str">
        <f aca="false">IFERROR(IF(E$183*E185&gt;0,STDEV(E$183,E185)," ")/IF(E$183*E185&gt;0,SQRT(COUNT(E$183,E185))," "),"")</f>
        <v/>
      </c>
      <c r="AJ209" s="270" t="str">
        <f aca="false">IFERROR(IF(F$183*F185&gt;0,STDEV(F$183,F185)," ")/IF(F$183*F185&gt;0,SQRT(COUNT(F$183,F185))," "),"")</f>
        <v/>
      </c>
      <c r="AK209" s="270" t="str">
        <f aca="false">IFERROR(IF(G$183*G185&gt;0,STDEV(G$183,G185)," ")/IF(G$183*G185&gt;0,SQRT(COUNT(G$183,G185))," "),"")</f>
        <v/>
      </c>
      <c r="AL209" s="270" t="str">
        <f aca="false">IFERROR(IF(H$183*H185&gt;0,STDEV(H$183,H185)," ")/IF(H$183*H185&gt;0,SQRT(COUNT(H$183,H185))," "),"")</f>
        <v/>
      </c>
      <c r="AM209" s="270" t="str">
        <f aca="false">IFERROR(IF(I$183*I185&gt;0,STDEV(I$183,I185)," ")/IF(I$183*I185&gt;0,SQRT(COUNT(I$183,I185))," "),"")</f>
        <v/>
      </c>
      <c r="AN209" s="270" t="str">
        <f aca="false">IFERROR(IF(J$183*J185&gt;0,STDEV(J$183,J185)," ")/IF(J$183*J185&gt;0,SQRT(COUNT(J$183,J185))," "),"")</f>
        <v/>
      </c>
      <c r="AO209" s="270" t="str">
        <f aca="false">IFERROR(IF(K$183*K185&gt;0,STDEV(K$183,K185)," ")/IF(K$183*K185&gt;0,SQRT(COUNT(K$183,K185))," "),"")</f>
        <v/>
      </c>
      <c r="AP209" s="270" t="str">
        <f aca="false">IFERROR(IF(L$183*L185&gt;0,STDEV(L$183,L185)," ")/IF(L$183*L185&gt;0,SQRT(COUNT(L$183,L185))," "),"")</f>
        <v/>
      </c>
      <c r="AQ209" s="270" t="str">
        <f aca="false">IFERROR(IF(M$183*M185&gt;0,STDEV(M$183,M185)," ")/IF(M$183*M185&gt;0,SQRT(COUNT(M$183,M185))," "),"")</f>
        <v/>
      </c>
      <c r="AR209" s="270" t="str">
        <f aca="false">IFERROR(IF(N$183*N185&gt;0,STDEV(N$183,N185)," ")/IF(N$183*N185&gt;0,SQRT(COUNT(N$183,N185))," "),"")</f>
        <v/>
      </c>
    </row>
    <row r="210" customFormat="false" ht="15.75" hidden="false" customHeight="false" outlineLevel="0" collapsed="false">
      <c r="A210" s="220" t="s">
        <v>308</v>
      </c>
      <c r="B210" s="221"/>
      <c r="C210" s="222" t="str">
        <f aca="false">IFERROR(IF(C$183*C186&gt;0,AVERAGE(C$183,C186),""),"")</f>
        <v/>
      </c>
      <c r="D210" s="222" t="str">
        <f aca="false">IFERROR(IF(D$183*D186&gt;0,AVERAGE(D$183,D186),""),"")</f>
        <v/>
      </c>
      <c r="E210" s="222" t="str">
        <f aca="false">IFERROR(IF(E$183*E186&gt;0,AVERAGE(E$183,E186),""),"")</f>
        <v/>
      </c>
      <c r="F210" s="222" t="str">
        <f aca="false">IFERROR(IF(F$183*F186&gt;0,AVERAGE(F$183,F186),""),"")</f>
        <v/>
      </c>
      <c r="G210" s="222" t="str">
        <f aca="false">IFERROR(IF(G$183*G186&gt;0,AVERAGE(G$183,G186),""),"")</f>
        <v/>
      </c>
      <c r="H210" s="222" t="str">
        <f aca="false">IFERROR(IF(H$183*H186&gt;0,AVERAGE(H$183,H186),""),"")</f>
        <v/>
      </c>
      <c r="I210" s="222" t="str">
        <f aca="false">IFERROR(IF(I$183*I186&gt;0,AVERAGE(I$183,I186),""),"")</f>
        <v/>
      </c>
      <c r="J210" s="222" t="str">
        <f aca="false">IFERROR(IF(J$183*J186&gt;0,AVERAGE(J$183,J186),""),"")</f>
        <v/>
      </c>
      <c r="K210" s="222" t="str">
        <f aca="false">IFERROR(IF(K$183*K186&gt;0,AVERAGE(K$183,K186),""),"")</f>
        <v/>
      </c>
      <c r="L210" s="222" t="str">
        <f aca="false">IFERROR(IF(L$183*L186&gt;0,AVERAGE(L$183,L186),""),"")</f>
        <v/>
      </c>
      <c r="M210" s="222" t="str">
        <f aca="false">IFERROR(IF(M$183*M186&gt;0,AVERAGE(M$183,M186),""),"")</f>
        <v/>
      </c>
      <c r="N210" s="222" t="str">
        <f aca="false">IFERROR(IF(N$183*N186&gt;0,AVERAGE(N$183,N186),""),"")</f>
        <v/>
      </c>
      <c r="O210" s="224"/>
      <c r="P210" s="224"/>
      <c r="Q210" s="232"/>
      <c r="R210" s="226" t="s">
        <v>309</v>
      </c>
      <c r="S210" s="227" t="str">
        <f aca="false">IFERROR(IF(C$183*C186&gt;0,STDEV(C$183,C186),"")/IF(C$183*C186&gt;0,AVERAGE(C$183,C186),""),"")</f>
        <v/>
      </c>
      <c r="T210" s="227" t="str">
        <f aca="false">IFERROR(IF(D$183*D186&gt;0,STDEV(D$183,D186),"")/IF(D$183*D186&gt;0,AVERAGE(D$183,D186),""),"")</f>
        <v/>
      </c>
      <c r="U210" s="227" t="str">
        <f aca="false">IFERROR(IF(E$183*E186&gt;0,STDEV(E$183,E186),"")/IF(E$183*E186&gt;0,AVERAGE(E$183,E186),""),"")</f>
        <v/>
      </c>
      <c r="V210" s="227" t="str">
        <f aca="false">IFERROR(IF(F$183*F186&gt;0,STDEV(F$183,F186),"")/IF(F$183*F186&gt;0,AVERAGE(F$183,F186),""),"")</f>
        <v/>
      </c>
      <c r="W210" s="227" t="str">
        <f aca="false">IFERROR(IF(G$183*G186&gt;0,STDEV(G$183,G186),"")/IF(G$183*G186&gt;0,AVERAGE(G$183,G186),""),"")</f>
        <v/>
      </c>
      <c r="X210" s="227" t="str">
        <f aca="false">IFERROR(IF(H$183*H186&gt;0,STDEV(H$183,H186),"")/IF(H$183*H186&gt;0,AVERAGE(H$183,H186),""),"")</f>
        <v/>
      </c>
      <c r="Y210" s="227" t="str">
        <f aca="false">IFERROR(IF(I$183*I186&gt;0,STDEV(I$183,I186),"")/IF(I$183*I186&gt;0,AVERAGE(I$183,I186),""),"")</f>
        <v/>
      </c>
      <c r="Z210" s="227" t="str">
        <f aca="false">IFERROR(IF(J$183*J186&gt;0,STDEV(J$183,J186),"")/IF(J$183*J186&gt;0,AVERAGE(J$183,J186),""),"")</f>
        <v/>
      </c>
      <c r="AA210" s="227" t="str">
        <f aca="false">IFERROR(IF(K$183*K186&gt;0,STDEV(K$183,K186),"")/IF(K$183*K186&gt;0,AVERAGE(K$183,K186),""),"")</f>
        <v/>
      </c>
      <c r="AB210" s="227" t="str">
        <f aca="false">IFERROR(IF(L$183*L186&gt;0,STDEV(L$183,L186),"")/IF(L$183*L186&gt;0,AVERAGE(L$183,L186),""),"")</f>
        <v/>
      </c>
      <c r="AC210" s="227" t="str">
        <f aca="false">IFERROR(IF(M$183*M186&gt;0,STDEV(M$183,M186),"")/IF(M$183*M186&gt;0,AVERAGE(M$183,M186),""),"")</f>
        <v/>
      </c>
      <c r="AD210" s="227" t="str">
        <f aca="false">IFERROR(IF(N$183*N186&gt;0,STDEV(N$183,N186),"")/IF(N$183*N186&gt;0,AVERAGE(N$183,N186),""),"")</f>
        <v/>
      </c>
      <c r="AE210" s="233"/>
      <c r="AF210" s="229" t="s">
        <v>310</v>
      </c>
      <c r="AG210" s="270" t="str">
        <f aca="false">IFERROR(IF(C$183*C186&gt;0,STDEV(C$183,C186)," ")/IF(C$183*C186&gt;0,SQRT(COUNT(C$183,C186))," "),"")</f>
        <v/>
      </c>
      <c r="AH210" s="270" t="str">
        <f aca="false">IFERROR(IF(D$183*D186&gt;0,STDEV(D$183,D186)," ")/IF(D$183*D186&gt;0,SQRT(COUNT(D$183,D186))," "),"")</f>
        <v/>
      </c>
      <c r="AI210" s="270" t="str">
        <f aca="false">IFERROR(IF(E$183*E186&gt;0,STDEV(E$183,E186)," ")/IF(E$183*E186&gt;0,SQRT(COUNT(E$183,E186))," "),"")</f>
        <v/>
      </c>
      <c r="AJ210" s="270" t="str">
        <f aca="false">IFERROR(IF(F$183*F186&gt;0,STDEV(F$183,F186)," ")/IF(F$183*F186&gt;0,SQRT(COUNT(F$183,F186))," "),"")</f>
        <v/>
      </c>
      <c r="AK210" s="270" t="str">
        <f aca="false">IFERROR(IF(G$183*G186&gt;0,STDEV(G$183,G186)," ")/IF(G$183*G186&gt;0,SQRT(COUNT(G$183,G186))," "),"")</f>
        <v/>
      </c>
      <c r="AL210" s="270" t="str">
        <f aca="false">IFERROR(IF(H$183*H186&gt;0,STDEV(H$183,H186)," ")/IF(H$183*H186&gt;0,SQRT(COUNT(H$183,H186))," "),"")</f>
        <v/>
      </c>
      <c r="AM210" s="270" t="str">
        <f aca="false">IFERROR(IF(I$183*I186&gt;0,STDEV(I$183,I186)," ")/IF(I$183*I186&gt;0,SQRT(COUNT(I$183,I186))," "),"")</f>
        <v/>
      </c>
      <c r="AN210" s="270" t="str">
        <f aca="false">IFERROR(IF(J$183*J186&gt;0,STDEV(J$183,J186)," ")/IF(J$183*J186&gt;0,SQRT(COUNT(J$183,J186))," "),"")</f>
        <v/>
      </c>
      <c r="AO210" s="270" t="str">
        <f aca="false">IFERROR(IF(K$183*K186&gt;0,STDEV(K$183,K186)," ")/IF(K$183*K186&gt;0,SQRT(COUNT(K$183,K186))," "),"")</f>
        <v/>
      </c>
      <c r="AP210" s="270" t="str">
        <f aca="false">IFERROR(IF(L$183*L186&gt;0,STDEV(L$183,L186)," ")/IF(L$183*L186&gt;0,SQRT(COUNT(L$183,L186))," "),"")</f>
        <v/>
      </c>
      <c r="AQ210" s="270" t="str">
        <f aca="false">IFERROR(IF(M$183*M186&gt;0,STDEV(M$183,M186)," ")/IF(M$183*M186&gt;0,SQRT(COUNT(M$183,M186))," "),"")</f>
        <v/>
      </c>
      <c r="AR210" s="270" t="str">
        <f aca="false">IFERROR(IF(N$183*N186&gt;0,STDEV(N$183,N186)," ")/IF(N$183*N186&gt;0,SQRT(COUNT(N$183,N186))," "),"")</f>
        <v/>
      </c>
    </row>
    <row r="211" customFormat="false" ht="18" hidden="false" customHeight="false" outlineLevel="0" collapsed="false">
      <c r="A211" s="220" t="s">
        <v>311</v>
      </c>
      <c r="B211" s="221"/>
      <c r="C211" s="222" t="str">
        <f aca="false">IFERROR(IF(C$183*C187&gt;0,AVERAGE(C$183,C187),""),"")</f>
        <v/>
      </c>
      <c r="D211" s="222" t="str">
        <f aca="false">IFERROR(IF(D$183*D187&gt;0,AVERAGE(D$183,D187),""),"")</f>
        <v/>
      </c>
      <c r="E211" s="222" t="str">
        <f aca="false">IFERROR(IF(E$183*E187&gt;0,AVERAGE(E$183,E187),""),"")</f>
        <v/>
      </c>
      <c r="F211" s="222" t="str">
        <f aca="false">IFERROR(IF(F$183*F187&gt;0,AVERAGE(F$183,F187),""),"")</f>
        <v/>
      </c>
      <c r="G211" s="222" t="str">
        <f aca="false">IFERROR(IF(G$183*G187&gt;0,AVERAGE(G$183,G187),""),"")</f>
        <v/>
      </c>
      <c r="H211" s="222" t="str">
        <f aca="false">IFERROR(IF(H$183*H187&gt;0,AVERAGE(H$183,H187),""),"")</f>
        <v/>
      </c>
      <c r="I211" s="222" t="str">
        <f aca="false">IFERROR(IF(I$183*I187&gt;0,AVERAGE(I$183,I187),""),"")</f>
        <v/>
      </c>
      <c r="J211" s="222" t="str">
        <f aca="false">IFERROR(IF(J$183*J187&gt;0,AVERAGE(J$183,J187),""),"")</f>
        <v/>
      </c>
      <c r="K211" s="222" t="str">
        <f aca="false">IFERROR(IF(K$183*K187&gt;0,AVERAGE(K$183,K187),""),"")</f>
        <v/>
      </c>
      <c r="L211" s="222" t="str">
        <f aca="false">IFERROR(IF(L$183*L187&gt;0,AVERAGE(L$183,L187),""),"")</f>
        <v/>
      </c>
      <c r="M211" s="222" t="str">
        <f aca="false">IFERROR(IF(M$183*M187&gt;0,AVERAGE(M$183,M187),""),"")</f>
        <v/>
      </c>
      <c r="N211" s="222" t="str">
        <f aca="false">IFERROR(IF(N$183*N187&gt;0,AVERAGE(N$183,N187),""),"")</f>
        <v/>
      </c>
      <c r="O211" s="234"/>
      <c r="P211" s="224"/>
      <c r="Q211" s="232"/>
      <c r="R211" s="226" t="s">
        <v>312</v>
      </c>
      <c r="S211" s="227" t="str">
        <f aca="false">IFERROR(IF(C$183*C187&gt;0,STDEV(C$183,C187),"")/IF(C$183*C187&gt;0,AVERAGE(C$183,C187),""),"")</f>
        <v/>
      </c>
      <c r="T211" s="227" t="str">
        <f aca="false">IFERROR(IF(D$183*D187&gt;0,STDEV(D$183,D187),"")/IF(D$183*D187&gt;0,AVERAGE(D$183,D187),""),"")</f>
        <v/>
      </c>
      <c r="U211" s="227" t="str">
        <f aca="false">IFERROR(IF(E$183*E187&gt;0,STDEV(E$183,E187),"")/IF(E$183*E187&gt;0,AVERAGE(E$183,E187),""),"")</f>
        <v/>
      </c>
      <c r="V211" s="227" t="str">
        <f aca="false">IFERROR(IF(F$183*F187&gt;0,STDEV(F$183,F187),"")/IF(F$183*F187&gt;0,AVERAGE(F$183,F187),""),"")</f>
        <v/>
      </c>
      <c r="W211" s="227" t="str">
        <f aca="false">IFERROR(IF(G$183*G187&gt;0,STDEV(G$183,G187),"")/IF(G$183*G187&gt;0,AVERAGE(G$183,G187),""),"")</f>
        <v/>
      </c>
      <c r="X211" s="227" t="str">
        <f aca="false">IFERROR(IF(H$183*H187&gt;0,STDEV(H$183,H187),"")/IF(H$183*H187&gt;0,AVERAGE(H$183,H187),""),"")</f>
        <v/>
      </c>
      <c r="Y211" s="227" t="str">
        <f aca="false">IFERROR(IF(I$183*I187&gt;0,STDEV(I$183,I187),"")/IF(I$183*I187&gt;0,AVERAGE(I$183,I187),""),"")</f>
        <v/>
      </c>
      <c r="Z211" s="227" t="str">
        <f aca="false">IFERROR(IF(J$183*J187&gt;0,STDEV(J$183,J187),"")/IF(J$183*J187&gt;0,AVERAGE(J$183,J187),""),"")</f>
        <v/>
      </c>
      <c r="AA211" s="227" t="str">
        <f aca="false">IFERROR(IF(K$183*K187&gt;0,STDEV(K$183,K187),"")/IF(K$183*K187&gt;0,AVERAGE(K$183,K187),""),"")</f>
        <v/>
      </c>
      <c r="AB211" s="227" t="str">
        <f aca="false">IFERROR(IF(L$183*L187&gt;0,STDEV(L$183,L187),"")/IF(L$183*L187&gt;0,AVERAGE(L$183,L187),""),"")</f>
        <v/>
      </c>
      <c r="AC211" s="227" t="str">
        <f aca="false">IFERROR(IF(M$183*M187&gt;0,STDEV(M$183,M187),"")/IF(M$183*M187&gt;0,AVERAGE(M$183,M187),""),"")</f>
        <v/>
      </c>
      <c r="AD211" s="227" t="str">
        <f aca="false">IFERROR(IF(N$183*N187&gt;0,STDEV(N$183,N187),"")/IF(N$183*N187&gt;0,AVERAGE(N$183,N187),""),"")</f>
        <v/>
      </c>
      <c r="AE211" s="233"/>
      <c r="AF211" s="229" t="s">
        <v>313</v>
      </c>
      <c r="AG211" s="270" t="str">
        <f aca="false">IFERROR(IF(C$183*C187&gt;0,STDEV(C$183,C187)," ")/IF(C$183*C187&gt;0,SQRT(COUNT(C$183,C187))," "),"")</f>
        <v/>
      </c>
      <c r="AH211" s="270" t="str">
        <f aca="false">IFERROR(IF(D$183*D187&gt;0,STDEV(D$183,D187)," ")/IF(D$183*D187&gt;0,SQRT(COUNT(D$183,D187))," "),"")</f>
        <v/>
      </c>
      <c r="AI211" s="270" t="str">
        <f aca="false">IFERROR(IF(E$183*E187&gt;0,STDEV(E$183,E187)," ")/IF(E$183*E187&gt;0,SQRT(COUNT(E$183,E187))," "),"")</f>
        <v/>
      </c>
      <c r="AJ211" s="270" t="str">
        <f aca="false">IFERROR(IF(F$183*F187&gt;0,STDEV(F$183,F187)," ")/IF(F$183*F187&gt;0,SQRT(COUNT(F$183,F187))," "),"")</f>
        <v/>
      </c>
      <c r="AK211" s="270" t="str">
        <f aca="false">IFERROR(IF(G$183*G187&gt;0,STDEV(G$183,G187)," ")/IF(G$183*G187&gt;0,SQRT(COUNT(G$183,G187))," "),"")</f>
        <v/>
      </c>
      <c r="AL211" s="270" t="str">
        <f aca="false">IFERROR(IF(H$183*H187&gt;0,STDEV(H$183,H187)," ")/IF(H$183*H187&gt;0,SQRT(COUNT(H$183,H187))," "),"")</f>
        <v/>
      </c>
      <c r="AM211" s="270" t="str">
        <f aca="false">IFERROR(IF(I$183*I187&gt;0,STDEV(I$183,I187)," ")/IF(I$183*I187&gt;0,SQRT(COUNT(I$183,I187))," "),"")</f>
        <v/>
      </c>
      <c r="AN211" s="270" t="str">
        <f aca="false">IFERROR(IF(J$183*J187&gt;0,STDEV(J$183,J187)," ")/IF(J$183*J187&gt;0,SQRT(COUNT(J$183,J187))," "),"")</f>
        <v/>
      </c>
      <c r="AO211" s="270" t="str">
        <f aca="false">IFERROR(IF(K$183*K187&gt;0,STDEV(K$183,K187)," ")/IF(K$183*K187&gt;0,SQRT(COUNT(K$183,K187))," "),"")</f>
        <v/>
      </c>
      <c r="AP211" s="270" t="str">
        <f aca="false">IFERROR(IF(L$183*L187&gt;0,STDEV(L$183,L187)," ")/IF(L$183*L187&gt;0,SQRT(COUNT(L$183,L187))," "),"")</f>
        <v/>
      </c>
      <c r="AQ211" s="270" t="str">
        <f aca="false">IFERROR(IF(M$183*M187&gt;0,STDEV(M$183,M187)," ")/IF(M$183*M187&gt;0,SQRT(COUNT(M$183,M187))," "),"")</f>
        <v/>
      </c>
      <c r="AR211" s="270" t="str">
        <f aca="false">IFERROR(IF(N$183*N187&gt;0,STDEV(N$183,N187)," ")/IF(N$183*N187&gt;0,SQRT(COUNT(N$183,N187))," "),"")</f>
        <v/>
      </c>
    </row>
    <row r="212" customFormat="false" ht="15.75" hidden="false" customHeight="false" outlineLevel="0" collapsed="false">
      <c r="A212" s="220" t="s">
        <v>314</v>
      </c>
      <c r="B212" s="221"/>
      <c r="C212" s="222" t="str">
        <f aca="false">IFERROR(IF(C$183*C188&gt;0,AVERAGE(C$183,C188),""),"")</f>
        <v/>
      </c>
      <c r="D212" s="222" t="str">
        <f aca="false">IFERROR(IF(D$183*D188&gt;0,AVERAGE(D$183,D188),""),"")</f>
        <v/>
      </c>
      <c r="E212" s="222" t="str">
        <f aca="false">IFERROR(IF(E$183*E188&gt;0,AVERAGE(E$183,E188),""),"")</f>
        <v/>
      </c>
      <c r="F212" s="222" t="str">
        <f aca="false">IFERROR(IF(F$183*F188&gt;0,AVERAGE(F$183,F188),""),"")</f>
        <v/>
      </c>
      <c r="G212" s="222" t="str">
        <f aca="false">IFERROR(IF(G$183*G188&gt;0,AVERAGE(G$183,G188),""),"")</f>
        <v/>
      </c>
      <c r="H212" s="222" t="str">
        <f aca="false">IFERROR(IF(H$183*H188&gt;0,AVERAGE(H$183,H188),""),"")</f>
        <v/>
      </c>
      <c r="I212" s="222" t="str">
        <f aca="false">IFERROR(IF(I$183*I188&gt;0,AVERAGE(I$183,I188),""),"")</f>
        <v/>
      </c>
      <c r="J212" s="222" t="str">
        <f aca="false">IFERROR(IF(J$183*J188&gt;0,AVERAGE(J$183,J188),""),"")</f>
        <v/>
      </c>
      <c r="K212" s="222" t="str">
        <f aca="false">IFERROR(IF(K$183*K188&gt;0,AVERAGE(K$183,K188),""),"")</f>
        <v/>
      </c>
      <c r="L212" s="222" t="str">
        <f aca="false">IFERROR(IF(L$183*L188&gt;0,AVERAGE(L$183,L188),""),"")</f>
        <v/>
      </c>
      <c r="M212" s="222" t="str">
        <f aca="false">IFERROR(IF(M$183*M188&gt;0,AVERAGE(M$183,M188),""),"")</f>
        <v/>
      </c>
      <c r="N212" s="222" t="str">
        <f aca="false">IFERROR(IF(N$183*N188&gt;0,AVERAGE(N$183,N188),""),"")</f>
        <v/>
      </c>
      <c r="O212" s="96"/>
      <c r="P212" s="224"/>
      <c r="Q212" s="232"/>
      <c r="R212" s="226" t="s">
        <v>315</v>
      </c>
      <c r="S212" s="227" t="str">
        <f aca="false">IFERROR(IF(C$183*C188&gt;0,STDEV(C$183,C188),"")/IF(C$183*C188&gt;0,AVERAGE(C$183,C188),""),"")</f>
        <v/>
      </c>
      <c r="T212" s="227" t="str">
        <f aca="false">IFERROR(IF(D$183*D188&gt;0,STDEV(D$183,D188),"")/IF(D$183*D188&gt;0,AVERAGE(D$183,D188),""),"")</f>
        <v/>
      </c>
      <c r="U212" s="227" t="str">
        <f aca="false">IFERROR(IF(E$183*E188&gt;0,STDEV(E$183,E188),"")/IF(E$183*E188&gt;0,AVERAGE(E$183,E188),""),"")</f>
        <v/>
      </c>
      <c r="V212" s="227" t="str">
        <f aca="false">IFERROR(IF(F$183*F188&gt;0,STDEV(F$183,F188),"")/IF(F$183*F188&gt;0,AVERAGE(F$183,F188),""),"")</f>
        <v/>
      </c>
      <c r="W212" s="227" t="str">
        <f aca="false">IFERROR(IF(G$183*G188&gt;0,STDEV(G$183,G188),"")/IF(G$183*G188&gt;0,AVERAGE(G$183,G188),""),"")</f>
        <v/>
      </c>
      <c r="X212" s="227" t="str">
        <f aca="false">IFERROR(IF(H$183*H188&gt;0,STDEV(H$183,H188),"")/IF(H$183*H188&gt;0,AVERAGE(H$183,H188),""),"")</f>
        <v/>
      </c>
      <c r="Y212" s="227" t="str">
        <f aca="false">IFERROR(IF(I$183*I188&gt;0,STDEV(I$183,I188),"")/IF(I$183*I188&gt;0,AVERAGE(I$183,I188),""),"")</f>
        <v/>
      </c>
      <c r="Z212" s="227" t="str">
        <f aca="false">IFERROR(IF(J$183*J188&gt;0,STDEV(J$183,J188),"")/IF(J$183*J188&gt;0,AVERAGE(J$183,J188),""),"")</f>
        <v/>
      </c>
      <c r="AA212" s="227" t="str">
        <f aca="false">IFERROR(IF(K$183*K188&gt;0,STDEV(K$183,K188),"")/IF(K$183*K188&gt;0,AVERAGE(K$183,K188),""),"")</f>
        <v/>
      </c>
      <c r="AB212" s="227" t="str">
        <f aca="false">IFERROR(IF(L$183*L188&gt;0,STDEV(L$183,L188),"")/IF(L$183*L188&gt;0,AVERAGE(L$183,L188),""),"")</f>
        <v/>
      </c>
      <c r="AC212" s="227" t="str">
        <f aca="false">IFERROR(IF(M$183*M188&gt;0,STDEV(M$183,M188),"")/IF(M$183*M188&gt;0,AVERAGE(M$183,M188),""),"")</f>
        <v/>
      </c>
      <c r="AD212" s="227" t="str">
        <f aca="false">IFERROR(IF(N$183*N188&gt;0,STDEV(N$183,N188),"")/IF(N$183*N188&gt;0,AVERAGE(N$183,N188),""),"")</f>
        <v/>
      </c>
      <c r="AE212" s="233"/>
      <c r="AF212" s="229" t="s">
        <v>316</v>
      </c>
      <c r="AG212" s="270" t="str">
        <f aca="false">IFERROR(IF(C$183*C188&gt;0,STDEV(C$183,C188)," ")/IF(C$183*C188&gt;0,SQRT(COUNT(C$183,C188))," "),"")</f>
        <v/>
      </c>
      <c r="AH212" s="270" t="str">
        <f aca="false">IFERROR(IF(D$183*D188&gt;0,STDEV(D$183,D188)," ")/IF(D$183*D188&gt;0,SQRT(COUNT(D$183,D188))," "),"")</f>
        <v/>
      </c>
      <c r="AI212" s="270" t="str">
        <f aca="false">IFERROR(IF(E$183*E188&gt;0,STDEV(E$183,E188)," ")/IF(E$183*E188&gt;0,SQRT(COUNT(E$183,E188))," "),"")</f>
        <v/>
      </c>
      <c r="AJ212" s="270" t="str">
        <f aca="false">IFERROR(IF(F$183*F188&gt;0,STDEV(F$183,F188)," ")/IF(F$183*F188&gt;0,SQRT(COUNT(F$183,F188))," "),"")</f>
        <v/>
      </c>
      <c r="AK212" s="270" t="str">
        <f aca="false">IFERROR(IF(G$183*G188&gt;0,STDEV(G$183,G188)," ")/IF(G$183*G188&gt;0,SQRT(COUNT(G$183,G188))," "),"")</f>
        <v/>
      </c>
      <c r="AL212" s="270" t="str">
        <f aca="false">IFERROR(IF(H$183*H188&gt;0,STDEV(H$183,H188)," ")/IF(H$183*H188&gt;0,SQRT(COUNT(H$183,H188))," "),"")</f>
        <v/>
      </c>
      <c r="AM212" s="270" t="str">
        <f aca="false">IFERROR(IF(I$183*I188&gt;0,STDEV(I$183,I188)," ")/IF(I$183*I188&gt;0,SQRT(COUNT(I$183,I188))," "),"")</f>
        <v/>
      </c>
      <c r="AN212" s="270" t="str">
        <f aca="false">IFERROR(IF(J$183*J188&gt;0,STDEV(J$183,J188)," ")/IF(J$183*J188&gt;0,SQRT(COUNT(J$183,J188))," "),"")</f>
        <v/>
      </c>
      <c r="AO212" s="270" t="str">
        <f aca="false">IFERROR(IF(K$183*K188&gt;0,STDEV(K$183,K188)," ")/IF(K$183*K188&gt;0,SQRT(COUNT(K$183,K188))," "),"")</f>
        <v/>
      </c>
      <c r="AP212" s="270" t="str">
        <f aca="false">IFERROR(IF(L$183*L188&gt;0,STDEV(L$183,L188)," ")/IF(L$183*L188&gt;0,SQRT(COUNT(L$183,L188))," "),"")</f>
        <v/>
      </c>
      <c r="AQ212" s="270" t="str">
        <f aca="false">IFERROR(IF(M$183*M188&gt;0,STDEV(M$183,M188)," ")/IF(M$183*M188&gt;0,SQRT(COUNT(M$183,M188))," "),"")</f>
        <v/>
      </c>
      <c r="AR212" s="270" t="str">
        <f aca="false">IFERROR(IF(N$183*N188&gt;0,STDEV(N$183,N188)," ")/IF(N$183*N188&gt;0,SQRT(COUNT(N$183,N188))," "),"")</f>
        <v/>
      </c>
    </row>
    <row r="213" customFormat="false" ht="15.75" hidden="false" customHeight="false" outlineLevel="0" collapsed="false">
      <c r="A213" s="220" t="s">
        <v>317</v>
      </c>
      <c r="B213" s="221"/>
      <c r="C213" s="222" t="str">
        <f aca="false">IFERROR(IF(C$184*C185&gt;0,AVERAGE(C$184,C185),""),"")</f>
        <v/>
      </c>
      <c r="D213" s="222" t="str">
        <f aca="false">IFERROR(IF(D$184*D185&gt;0,AVERAGE(D$184,D185),""),"")</f>
        <v/>
      </c>
      <c r="E213" s="222" t="str">
        <f aca="false">IFERROR(IF(E$184*E185&gt;0,AVERAGE(E$184,E185),""),"")</f>
        <v/>
      </c>
      <c r="F213" s="222" t="str">
        <f aca="false">IFERROR(IF(F$184*F185&gt;0,AVERAGE(F$184,F185),""),"")</f>
        <v/>
      </c>
      <c r="G213" s="222" t="str">
        <f aca="false">IFERROR(IF(G$184*G185&gt;0,AVERAGE(G$184,G185),""),"")</f>
        <v/>
      </c>
      <c r="H213" s="222" t="str">
        <f aca="false">IFERROR(IF(H$184*H185&gt;0,AVERAGE(H$184,H185),""),"")</f>
        <v/>
      </c>
      <c r="I213" s="222" t="str">
        <f aca="false">IFERROR(IF(I$184*I185&gt;0,AVERAGE(I$184,I185),""),"")</f>
        <v/>
      </c>
      <c r="J213" s="222" t="str">
        <f aca="false">IFERROR(IF(J$184*J185&gt;0,AVERAGE(J$184,J185),""),"")</f>
        <v/>
      </c>
      <c r="K213" s="222" t="str">
        <f aca="false">IFERROR(IF(K$184*K185&gt;0,AVERAGE(K$184,K185),""),"")</f>
        <v/>
      </c>
      <c r="L213" s="222" t="str">
        <f aca="false">IFERROR(IF(L$184*L185&gt;0,AVERAGE(L$184,L185),""),"")</f>
        <v/>
      </c>
      <c r="M213" s="222" t="str">
        <f aca="false">IFERROR(IF(M$184*M185&gt;0,AVERAGE(M$184,M185),""),"")</f>
        <v/>
      </c>
      <c r="N213" s="222" t="str">
        <f aca="false">IFERROR(IF(N$184*N185&gt;0,AVERAGE(N$184,N185),""),"")</f>
        <v/>
      </c>
      <c r="O213" s="96"/>
      <c r="P213" s="224"/>
      <c r="Q213" s="232"/>
      <c r="R213" s="226" t="s">
        <v>318</v>
      </c>
      <c r="S213" s="227" t="str">
        <f aca="false">IFERROR(IF(C$184*C185&gt;0,STDEV(C$184,C185),"")/IF(C$184*C185&gt;0,AVERAGE(C$184,C185),""),"")</f>
        <v/>
      </c>
      <c r="T213" s="227" t="str">
        <f aca="false">IFERROR(IF(D$184*D185&gt;0,STDEV(D$184,D185),"")/IF(D$184*D185&gt;0,AVERAGE(D$184,D185),""),"")</f>
        <v/>
      </c>
      <c r="U213" s="227" t="str">
        <f aca="false">IFERROR(IF(E$184*E185&gt;0,STDEV(E$184,E185),"")/IF(E$184*E185&gt;0,AVERAGE(E$184,E185),""),"")</f>
        <v/>
      </c>
      <c r="V213" s="227" t="str">
        <f aca="false">IFERROR(IF(F$184*F185&gt;0,STDEV(F$184,F185),"")/IF(F$184*F185&gt;0,AVERAGE(F$184,F185),""),"")</f>
        <v/>
      </c>
      <c r="W213" s="227" t="str">
        <f aca="false">IFERROR(IF(G$184*G185&gt;0,STDEV(G$184,G185),"")/IF(G$184*G185&gt;0,AVERAGE(G$184,G185),""),"")</f>
        <v/>
      </c>
      <c r="X213" s="227" t="str">
        <f aca="false">IFERROR(IF(H$184*H185&gt;0,STDEV(H$184,H185),"")/IF(H$184*H185&gt;0,AVERAGE(H$184,H185),""),"")</f>
        <v/>
      </c>
      <c r="Y213" s="227" t="str">
        <f aca="false">IFERROR(IF(I$184*I185&gt;0,STDEV(I$184,I185),"")/IF(I$184*I185&gt;0,AVERAGE(I$184,I185),""),"")</f>
        <v/>
      </c>
      <c r="Z213" s="227" t="str">
        <f aca="false">IFERROR(IF(J$184*J185&gt;0,STDEV(J$184,J185),"")/IF(J$184*J185&gt;0,AVERAGE(J$184,J185),""),"")</f>
        <v/>
      </c>
      <c r="AA213" s="227" t="str">
        <f aca="false">IFERROR(IF(K$184*K185&gt;0,STDEV(K$184,K185),"")/IF(K$184*K185&gt;0,AVERAGE(K$184,K185),""),"")</f>
        <v/>
      </c>
      <c r="AB213" s="227" t="str">
        <f aca="false">IFERROR(IF(L$184*L185&gt;0,STDEV(L$184,L185),"")/IF(L$184*L185&gt;0,AVERAGE(L$184,L185),""),"")</f>
        <v/>
      </c>
      <c r="AC213" s="227" t="str">
        <f aca="false">IFERROR(IF(M$184*M185&gt;0,STDEV(M$184,M185),"")/IF(M$184*M185&gt;0,AVERAGE(M$184,M185),""),"")</f>
        <v/>
      </c>
      <c r="AD213" s="227" t="str">
        <f aca="false">IFERROR(IF(N$184*N185&gt;0,STDEV(N$184,N185),"")/IF(N$184*N185&gt;0,AVERAGE(N$184,N185),""),"")</f>
        <v/>
      </c>
      <c r="AE213" s="233"/>
      <c r="AF213" s="229" t="s">
        <v>319</v>
      </c>
      <c r="AG213" s="270" t="str">
        <f aca="false">IFERROR(IF(C$184*C185&gt;0,STDEV(C$184,C185)," ")/IF(C$184*C185&gt;0,SQRT(COUNT(C$184,C185))," "),"")</f>
        <v/>
      </c>
      <c r="AH213" s="270" t="str">
        <f aca="false">IFERROR(IF(D$184*D185&gt;0,STDEV(D$184,D185)," ")/IF(D$184*D185&gt;0,SQRT(COUNT(D$184,D185))," "),"")</f>
        <v/>
      </c>
      <c r="AI213" s="270" t="str">
        <f aca="false">IFERROR(IF(E$184*E185&gt;0,STDEV(E$184,E185)," ")/IF(E$184*E185&gt;0,SQRT(COUNT(E$184,E185))," "),"")</f>
        <v/>
      </c>
      <c r="AJ213" s="270" t="str">
        <f aca="false">IFERROR(IF(F$184*F185&gt;0,STDEV(F$184,F185)," ")/IF(F$184*F185&gt;0,SQRT(COUNT(F$184,F185))," "),"")</f>
        <v/>
      </c>
      <c r="AK213" s="270" t="str">
        <f aca="false">IFERROR(IF(G$184*G185&gt;0,STDEV(G$184,G185)," ")/IF(G$184*G185&gt;0,SQRT(COUNT(G$184,G185))," "),"")</f>
        <v/>
      </c>
      <c r="AL213" s="270" t="str">
        <f aca="false">IFERROR(IF(H$184*H185&gt;0,STDEV(H$184,H185)," ")/IF(H$184*H185&gt;0,SQRT(COUNT(H$184,H185))," "),"")</f>
        <v/>
      </c>
      <c r="AM213" s="270" t="str">
        <f aca="false">IFERROR(IF(I$184*I185&gt;0,STDEV(I$184,I185)," ")/IF(I$184*I185&gt;0,SQRT(COUNT(I$184,I185))," "),"")</f>
        <v/>
      </c>
      <c r="AN213" s="270" t="str">
        <f aca="false">IFERROR(IF(J$184*J185&gt;0,STDEV(J$184,J185)," ")/IF(J$184*J185&gt;0,SQRT(COUNT(J$184,J185))," "),"")</f>
        <v/>
      </c>
      <c r="AO213" s="270" t="str">
        <f aca="false">IFERROR(IF(K$184*K185&gt;0,STDEV(K$184,K185)," ")/IF(K$184*K185&gt;0,SQRT(COUNT(K$184,K185))," "),"")</f>
        <v/>
      </c>
      <c r="AP213" s="270" t="str">
        <f aca="false">IFERROR(IF(L$184*L185&gt;0,STDEV(L$184,L185)," ")/IF(L$184*L185&gt;0,SQRT(COUNT(L$184,L185))," "),"")</f>
        <v/>
      </c>
      <c r="AQ213" s="270" t="str">
        <f aca="false">IFERROR(IF(M$184*M185&gt;0,STDEV(M$184,M185)," ")/IF(M$184*M185&gt;0,SQRT(COUNT(M$184,M185))," "),"")</f>
        <v/>
      </c>
      <c r="AR213" s="270" t="str">
        <f aca="false">IFERROR(IF(N$184*N185&gt;0,STDEV(N$184,N185)," ")/IF(N$184*N185&gt;0,SQRT(COUNT(N$184,N185))," "),"")</f>
        <v/>
      </c>
    </row>
    <row r="214" customFormat="false" ht="15.75" hidden="false" customHeight="false" outlineLevel="0" collapsed="false">
      <c r="A214" s="220" t="s">
        <v>320</v>
      </c>
      <c r="B214" s="221"/>
      <c r="C214" s="222" t="str">
        <f aca="false">IFERROR(IF(C$184*C186&gt;0,AVERAGE(C$184,C186),""),"")</f>
        <v/>
      </c>
      <c r="D214" s="222" t="str">
        <f aca="false">IFERROR(IF(D$184*D186&gt;0,AVERAGE(D$184,D186),""),"")</f>
        <v/>
      </c>
      <c r="E214" s="222" t="str">
        <f aca="false">IFERROR(IF(E$184*E186&gt;0,AVERAGE(E$184,E186),""),"")</f>
        <v/>
      </c>
      <c r="F214" s="222" t="str">
        <f aca="false">IFERROR(IF(F$184*F186&gt;0,AVERAGE(F$184,F186),""),"")</f>
        <v/>
      </c>
      <c r="G214" s="222" t="str">
        <f aca="false">IFERROR(IF(G$184*G186&gt;0,AVERAGE(G$184,G186),""),"")</f>
        <v/>
      </c>
      <c r="H214" s="222" t="str">
        <f aca="false">IFERROR(IF(H$184*H186&gt;0,AVERAGE(H$184,H186),""),"")</f>
        <v/>
      </c>
      <c r="I214" s="222" t="str">
        <f aca="false">IFERROR(IF(I$184*I186&gt;0,AVERAGE(I$184,I186),""),"")</f>
        <v/>
      </c>
      <c r="J214" s="222" t="str">
        <f aca="false">IFERROR(IF(J$184*J186&gt;0,AVERAGE(J$184,J186),""),"")</f>
        <v/>
      </c>
      <c r="K214" s="222" t="str">
        <f aca="false">IFERROR(IF(K$184*K186&gt;0,AVERAGE(K$184,K186),""),"")</f>
        <v/>
      </c>
      <c r="L214" s="222" t="str">
        <f aca="false">IFERROR(IF(L$184*L186&gt;0,AVERAGE(L$184,L186),""),"")</f>
        <v/>
      </c>
      <c r="M214" s="222" t="str">
        <f aca="false">IFERROR(IF(M$184*M186&gt;0,AVERAGE(M$184,M186),""),"")</f>
        <v/>
      </c>
      <c r="N214" s="222" t="str">
        <f aca="false">IFERROR(IF(N$184*N186&gt;0,AVERAGE(N$184,N186),""),"")</f>
        <v/>
      </c>
      <c r="O214" s="235"/>
      <c r="P214" s="224"/>
      <c r="Q214" s="232"/>
      <c r="R214" s="226" t="s">
        <v>321</v>
      </c>
      <c r="S214" s="227" t="str">
        <f aca="false">IFERROR(IF(C$184*C186&gt;0,STDEV(C$184,C186),"")/IF(C$184*C186&gt;0,AVERAGE(C$184,C186),""),"")</f>
        <v/>
      </c>
      <c r="T214" s="227" t="str">
        <f aca="false">IFERROR(IF(D$184*D186&gt;0,STDEV(D$184,D186),"")/IF(D$184*D186&gt;0,AVERAGE(D$184,D186),""),"")</f>
        <v/>
      </c>
      <c r="U214" s="227" t="str">
        <f aca="false">IFERROR(IF(E$184*E186&gt;0,STDEV(E$184,E186),"")/IF(E$184*E186&gt;0,AVERAGE(E$184,E186),""),"")</f>
        <v/>
      </c>
      <c r="V214" s="227" t="str">
        <f aca="false">IFERROR(IF(F$184*F186&gt;0,STDEV(F$184,F186),"")/IF(F$184*F186&gt;0,AVERAGE(F$184,F186),""),"")</f>
        <v/>
      </c>
      <c r="W214" s="227" t="str">
        <f aca="false">IFERROR(IF(G$184*G186&gt;0,STDEV(G$184,G186),"")/IF(G$184*G186&gt;0,AVERAGE(G$184,G186),""),"")</f>
        <v/>
      </c>
      <c r="X214" s="227" t="str">
        <f aca="false">IFERROR(IF(H$184*H186&gt;0,STDEV(H$184,H186),"")/IF(H$184*H186&gt;0,AVERAGE(H$184,H186),""),"")</f>
        <v/>
      </c>
      <c r="Y214" s="227" t="str">
        <f aca="false">IFERROR(IF(I$184*I186&gt;0,STDEV(I$184,I186),"")/IF(I$184*I186&gt;0,AVERAGE(I$184,I186),""),"")</f>
        <v/>
      </c>
      <c r="Z214" s="227" t="str">
        <f aca="false">IFERROR(IF(J$184*J186&gt;0,STDEV(J$184,J186),"")/IF(J$184*J186&gt;0,AVERAGE(J$184,J186),""),"")</f>
        <v/>
      </c>
      <c r="AA214" s="227" t="str">
        <f aca="false">IFERROR(IF(K$184*K186&gt;0,STDEV(K$184,K186),"")/IF(K$184*K186&gt;0,AVERAGE(K$184,K186),""),"")</f>
        <v/>
      </c>
      <c r="AB214" s="227" t="str">
        <f aca="false">IFERROR(IF(L$184*L186&gt;0,STDEV(L$184,L186),"")/IF(L$184*L186&gt;0,AVERAGE(L$184,L186),""),"")</f>
        <v/>
      </c>
      <c r="AC214" s="227" t="str">
        <f aca="false">IFERROR(IF(M$184*M186&gt;0,STDEV(M$184,M186),"")/IF(M$184*M186&gt;0,AVERAGE(M$184,M186),""),"")</f>
        <v/>
      </c>
      <c r="AD214" s="227" t="str">
        <f aca="false">IFERROR(IF(N$184*N186&gt;0,STDEV(N$184,N186),"")/IF(N$184*N186&gt;0,AVERAGE(N$184,N186),""),"")</f>
        <v/>
      </c>
      <c r="AE214" s="233"/>
      <c r="AF214" s="229" t="s">
        <v>322</v>
      </c>
      <c r="AG214" s="270" t="str">
        <f aca="false">IFERROR(IF(C$184*C186&gt;0,STDEV(C$184,C186)," ")/IF(C$184*C186&gt;0,SQRT(COUNT(C$184,C186))," "),"")</f>
        <v/>
      </c>
      <c r="AH214" s="270" t="str">
        <f aca="false">IFERROR(IF(D$184*D186&gt;0,STDEV(D$184,D186)," ")/IF(D$184*D186&gt;0,SQRT(COUNT(D$184,D186))," "),"")</f>
        <v/>
      </c>
      <c r="AI214" s="270" t="str">
        <f aca="false">IFERROR(IF(E$184*E186&gt;0,STDEV(E$184,E186)," ")/IF(E$184*E186&gt;0,SQRT(COUNT(E$184,E186))," "),"")</f>
        <v/>
      </c>
      <c r="AJ214" s="270" t="str">
        <f aca="false">IFERROR(IF(F$184*F186&gt;0,STDEV(F$184,F186)," ")/IF(F$184*F186&gt;0,SQRT(COUNT(F$184,F186))," "),"")</f>
        <v/>
      </c>
      <c r="AK214" s="270" t="str">
        <f aca="false">IFERROR(IF(G$184*G186&gt;0,STDEV(G$184,G186)," ")/IF(G$184*G186&gt;0,SQRT(COUNT(G$184,G186))," "),"")</f>
        <v/>
      </c>
      <c r="AL214" s="270" t="str">
        <f aca="false">IFERROR(IF(H$184*H186&gt;0,STDEV(H$184,H186)," ")/IF(H$184*H186&gt;0,SQRT(COUNT(H$184,H186))," "),"")</f>
        <v/>
      </c>
      <c r="AM214" s="270" t="str">
        <f aca="false">IFERROR(IF(I$184*I186&gt;0,STDEV(I$184,I186)," ")/IF(I$184*I186&gt;0,SQRT(COUNT(I$184,I186))," "),"")</f>
        <v/>
      </c>
      <c r="AN214" s="270" t="str">
        <f aca="false">IFERROR(IF(J$184*J186&gt;0,STDEV(J$184,J186)," ")/IF(J$184*J186&gt;0,SQRT(COUNT(J$184,J186))," "),"")</f>
        <v/>
      </c>
      <c r="AO214" s="270" t="str">
        <f aca="false">IFERROR(IF(K$184*K186&gt;0,STDEV(K$184,K186)," ")/IF(K$184*K186&gt;0,SQRT(COUNT(K$184,K186))," "),"")</f>
        <v/>
      </c>
      <c r="AP214" s="270" t="str">
        <f aca="false">IFERROR(IF(L$184*L186&gt;0,STDEV(L$184,L186)," ")/IF(L$184*L186&gt;0,SQRT(COUNT(L$184,L186))," "),"")</f>
        <v/>
      </c>
      <c r="AQ214" s="270" t="str">
        <f aca="false">IFERROR(IF(M$184*M186&gt;0,STDEV(M$184,M186)," ")/IF(M$184*M186&gt;0,SQRT(COUNT(M$184,M186))," "),"")</f>
        <v/>
      </c>
      <c r="AR214" s="270" t="str">
        <f aca="false">IFERROR(IF(N$184*N186&gt;0,STDEV(N$184,N186)," ")/IF(N$184*N186&gt;0,SQRT(COUNT(N$184,N186))," "),"")</f>
        <v/>
      </c>
    </row>
    <row r="215" customFormat="false" ht="15.75" hidden="false" customHeight="false" outlineLevel="0" collapsed="false">
      <c r="A215" s="220" t="s">
        <v>323</v>
      </c>
      <c r="B215" s="221"/>
      <c r="C215" s="222" t="str">
        <f aca="false">IFERROR(IF(C$184*C187&gt;0,AVERAGE(C$184,C187),""),"")</f>
        <v/>
      </c>
      <c r="D215" s="222" t="str">
        <f aca="false">IFERROR(IF(D$184*D187&gt;0,AVERAGE(D$184,D187),""),"")</f>
        <v/>
      </c>
      <c r="E215" s="222" t="str">
        <f aca="false">IFERROR(IF(E$184*E187&gt;0,AVERAGE(E$184,E187),""),"")</f>
        <v/>
      </c>
      <c r="F215" s="222" t="str">
        <f aca="false">IFERROR(IF(F$184*F187&gt;0,AVERAGE(F$184,F187),""),"")</f>
        <v/>
      </c>
      <c r="G215" s="222" t="str">
        <f aca="false">IFERROR(IF(G$184*G187&gt;0,AVERAGE(G$184,G187),""),"")</f>
        <v/>
      </c>
      <c r="H215" s="222" t="str">
        <f aca="false">IFERROR(IF(H$184*H187&gt;0,AVERAGE(H$184,H187),""),"")</f>
        <v/>
      </c>
      <c r="I215" s="222" t="str">
        <f aca="false">IFERROR(IF(I$184*I187&gt;0,AVERAGE(I$184,I187),""),"")</f>
        <v/>
      </c>
      <c r="J215" s="222" t="str">
        <f aca="false">IFERROR(IF(J$184*J187&gt;0,AVERAGE(J$184,J187),""),"")</f>
        <v/>
      </c>
      <c r="K215" s="222" t="str">
        <f aca="false">IFERROR(IF(K$184*K187&gt;0,AVERAGE(K$184,K187),""),"")</f>
        <v/>
      </c>
      <c r="L215" s="222" t="str">
        <f aca="false">IFERROR(IF(L$184*L187&gt;0,AVERAGE(L$184,L187),""),"")</f>
        <v/>
      </c>
      <c r="M215" s="222" t="str">
        <f aca="false">IFERROR(IF(M$184*M187&gt;0,AVERAGE(M$184,M187),""),"")</f>
        <v/>
      </c>
      <c r="N215" s="222" t="str">
        <f aca="false">IFERROR(IF(N$184*N187&gt;0,AVERAGE(N$184,N187),""),"")</f>
        <v/>
      </c>
      <c r="O215" s="224"/>
      <c r="P215" s="224"/>
      <c r="Q215" s="232"/>
      <c r="R215" s="226" t="s">
        <v>324</v>
      </c>
      <c r="S215" s="227" t="str">
        <f aca="false">IFERROR(IF(C$184*C187&gt;0,STDEV(C$184,C187),"")/IF(C$184*C187&gt;0,AVERAGE(C$184,C187),""),"")</f>
        <v/>
      </c>
      <c r="T215" s="227" t="str">
        <f aca="false">IFERROR(IF(D$184*D187&gt;0,STDEV(D$184,D187),"")/IF(D$184*D187&gt;0,AVERAGE(D$184,D187),""),"")</f>
        <v/>
      </c>
      <c r="U215" s="227" t="str">
        <f aca="false">IFERROR(IF(E$184*E187&gt;0,STDEV(E$184,E187),"")/IF(E$184*E187&gt;0,AVERAGE(E$184,E187),""),"")</f>
        <v/>
      </c>
      <c r="V215" s="227" t="str">
        <f aca="false">IFERROR(IF(F$184*F187&gt;0,STDEV(F$184,F187),"")/IF(F$184*F187&gt;0,AVERAGE(F$184,F187),""),"")</f>
        <v/>
      </c>
      <c r="W215" s="227" t="str">
        <f aca="false">IFERROR(IF(G$184*G187&gt;0,STDEV(G$184,G187),"")/IF(G$184*G187&gt;0,AVERAGE(G$184,G187),""),"")</f>
        <v/>
      </c>
      <c r="X215" s="227" t="str">
        <f aca="false">IFERROR(IF(H$184*H187&gt;0,STDEV(H$184,H187),"")/IF(H$184*H187&gt;0,AVERAGE(H$184,H187),""),"")</f>
        <v/>
      </c>
      <c r="Y215" s="227" t="str">
        <f aca="false">IFERROR(IF(I$184*I187&gt;0,STDEV(I$184,I187),"")/IF(I$184*I187&gt;0,AVERAGE(I$184,I187),""),"")</f>
        <v/>
      </c>
      <c r="Z215" s="227" t="str">
        <f aca="false">IFERROR(IF(J$184*J187&gt;0,STDEV(J$184,J187),"")/IF(J$184*J187&gt;0,AVERAGE(J$184,J187),""),"")</f>
        <v/>
      </c>
      <c r="AA215" s="227" t="str">
        <f aca="false">IFERROR(IF(K$184*K187&gt;0,STDEV(K$184,K187),"")/IF(K$184*K187&gt;0,AVERAGE(K$184,K187),""),"")</f>
        <v/>
      </c>
      <c r="AB215" s="227" t="str">
        <f aca="false">IFERROR(IF(L$184*L187&gt;0,STDEV(L$184,L187),"")/IF(L$184*L187&gt;0,AVERAGE(L$184,L187),""),"")</f>
        <v/>
      </c>
      <c r="AC215" s="227" t="str">
        <f aca="false">IFERROR(IF(M$184*M187&gt;0,STDEV(M$184,M187),"")/IF(M$184*M187&gt;0,AVERAGE(M$184,M187),""),"")</f>
        <v/>
      </c>
      <c r="AD215" s="227" t="str">
        <f aca="false">IFERROR(IF(N$184*N187&gt;0,STDEV(N$184,N187),"")/IF(N$184*N187&gt;0,AVERAGE(N$184,N187),""),"")</f>
        <v/>
      </c>
      <c r="AE215" s="233"/>
      <c r="AF215" s="229" t="s">
        <v>325</v>
      </c>
      <c r="AG215" s="270" t="str">
        <f aca="false">IFERROR(IF(C$184*C187&gt;0,STDEV(C$184,C187)," ")/IF(C$184*C187&gt;0,SQRT(COUNT(C$184,C187))," "),"")</f>
        <v/>
      </c>
      <c r="AH215" s="270" t="str">
        <f aca="false">IFERROR(IF(D$184*D187&gt;0,STDEV(D$184,D187)," ")/IF(D$184*D187&gt;0,SQRT(COUNT(D$184,D187))," "),"")</f>
        <v/>
      </c>
      <c r="AI215" s="270" t="str">
        <f aca="false">IFERROR(IF(E$184*E187&gt;0,STDEV(E$184,E187)," ")/IF(E$184*E187&gt;0,SQRT(COUNT(E$184,E187))," "),"")</f>
        <v/>
      </c>
      <c r="AJ215" s="270" t="str">
        <f aca="false">IFERROR(IF(F$184*F187&gt;0,STDEV(F$184,F187)," ")/IF(F$184*F187&gt;0,SQRT(COUNT(F$184,F187))," "),"")</f>
        <v/>
      </c>
      <c r="AK215" s="270" t="str">
        <f aca="false">IFERROR(IF(G$184*G187&gt;0,STDEV(G$184,G187)," ")/IF(G$184*G187&gt;0,SQRT(COUNT(G$184,G187))," "),"")</f>
        <v/>
      </c>
      <c r="AL215" s="270" t="str">
        <f aca="false">IFERROR(IF(H$184*H187&gt;0,STDEV(H$184,H187)," ")/IF(H$184*H187&gt;0,SQRT(COUNT(H$184,H187))," "),"")</f>
        <v/>
      </c>
      <c r="AM215" s="270" t="str">
        <f aca="false">IFERROR(IF(I$184*I187&gt;0,STDEV(I$184,I187)," ")/IF(I$184*I187&gt;0,SQRT(COUNT(I$184,I187))," "),"")</f>
        <v/>
      </c>
      <c r="AN215" s="270" t="str">
        <f aca="false">IFERROR(IF(J$184*J187&gt;0,STDEV(J$184,J187)," ")/IF(J$184*J187&gt;0,SQRT(COUNT(J$184,J187))," "),"")</f>
        <v/>
      </c>
      <c r="AO215" s="270" t="str">
        <f aca="false">IFERROR(IF(K$184*K187&gt;0,STDEV(K$184,K187)," ")/IF(K$184*K187&gt;0,SQRT(COUNT(K$184,K187))," "),"")</f>
        <v/>
      </c>
      <c r="AP215" s="270" t="str">
        <f aca="false">IFERROR(IF(L$184*L187&gt;0,STDEV(L$184,L187)," ")/IF(L$184*L187&gt;0,SQRT(COUNT(L$184,L187))," "),"")</f>
        <v/>
      </c>
      <c r="AQ215" s="270" t="str">
        <f aca="false">IFERROR(IF(M$184*M187&gt;0,STDEV(M$184,M187)," ")/IF(M$184*M187&gt;0,SQRT(COUNT(M$184,M187))," "),"")</f>
        <v/>
      </c>
      <c r="AR215" s="270" t="str">
        <f aca="false">IFERROR(IF(N$184*N187&gt;0,STDEV(N$184,N187)," ")/IF(N$184*N187&gt;0,SQRT(COUNT(N$184,N187))," "),"")</f>
        <v/>
      </c>
    </row>
    <row r="216" customFormat="false" ht="15.75" hidden="false" customHeight="false" outlineLevel="0" collapsed="false">
      <c r="A216" s="220" t="s">
        <v>326</v>
      </c>
      <c r="B216" s="221"/>
      <c r="C216" s="222" t="str">
        <f aca="false">IFERROR(IF(C$184*C188&gt;0,AVERAGE(C$184,C188),""),"")</f>
        <v/>
      </c>
      <c r="D216" s="222" t="str">
        <f aca="false">IFERROR(IF(D$184*D188&gt;0,AVERAGE(D$184,D188),""),"")</f>
        <v/>
      </c>
      <c r="E216" s="222" t="str">
        <f aca="false">IFERROR(IF(E$184*E188&gt;0,AVERAGE(E$184,E188),""),"")</f>
        <v/>
      </c>
      <c r="F216" s="222" t="str">
        <f aca="false">IFERROR(IF(F$184*F188&gt;0,AVERAGE(F$184,F188),""),"")</f>
        <v/>
      </c>
      <c r="G216" s="222" t="str">
        <f aca="false">IFERROR(IF(G$184*G188&gt;0,AVERAGE(G$184,G188),""),"")</f>
        <v/>
      </c>
      <c r="H216" s="222" t="str">
        <f aca="false">IFERROR(IF(H$184*H188&gt;0,AVERAGE(H$184,H188),""),"")</f>
        <v/>
      </c>
      <c r="I216" s="222" t="str">
        <f aca="false">IFERROR(IF(I$184*I188&gt;0,AVERAGE(I$184,I188),""),"")</f>
        <v/>
      </c>
      <c r="J216" s="222" t="str">
        <f aca="false">IFERROR(IF(J$184*J188&gt;0,AVERAGE(J$184,J188),""),"")</f>
        <v/>
      </c>
      <c r="K216" s="222" t="str">
        <f aca="false">IFERROR(IF(K$184*K188&gt;0,AVERAGE(K$184,K188),""),"")</f>
        <v/>
      </c>
      <c r="L216" s="222" t="str">
        <f aca="false">IFERROR(IF(L$184*L188&gt;0,AVERAGE(L$184,L188),""),"")</f>
        <v/>
      </c>
      <c r="M216" s="222" t="str">
        <f aca="false">IFERROR(IF(M$184*M188&gt;0,AVERAGE(M$184,M188),""),"")</f>
        <v/>
      </c>
      <c r="N216" s="222" t="str">
        <f aca="false">IFERROR(IF(N$184*N188&gt;0,AVERAGE(N$184,N188),""),"")</f>
        <v/>
      </c>
      <c r="O216" s="235"/>
      <c r="P216" s="224"/>
      <c r="Q216" s="232"/>
      <c r="R216" s="226" t="s">
        <v>327</v>
      </c>
      <c r="S216" s="227" t="str">
        <f aca="false">IFERROR(IF(C$184*C188&gt;0,STDEV(C$184,C188),"")/IF(C$184*C188&gt;0,AVERAGE(C$184,C188),""),"")</f>
        <v/>
      </c>
      <c r="T216" s="227" t="str">
        <f aca="false">IFERROR(IF(D$184*D188&gt;0,STDEV(D$184,D188),"")/IF(D$184*D188&gt;0,AVERAGE(D$184,D188),""),"")</f>
        <v/>
      </c>
      <c r="U216" s="227" t="str">
        <f aca="false">IFERROR(IF(E$184*E188&gt;0,STDEV(E$184,E188),"")/IF(E$184*E188&gt;0,AVERAGE(E$184,E188),""),"")</f>
        <v/>
      </c>
      <c r="V216" s="227" t="str">
        <f aca="false">IFERROR(IF(F$184*F188&gt;0,STDEV(F$184,F188),"")/IF(F$184*F188&gt;0,AVERAGE(F$184,F188),""),"")</f>
        <v/>
      </c>
      <c r="W216" s="227" t="str">
        <f aca="false">IFERROR(IF(G$184*G188&gt;0,STDEV(G$184,G188),"")/IF(G$184*G188&gt;0,AVERAGE(G$184,G188),""),"")</f>
        <v/>
      </c>
      <c r="X216" s="227" t="str">
        <f aca="false">IFERROR(IF(H$184*H188&gt;0,STDEV(H$184,H188),"")/IF(H$184*H188&gt;0,AVERAGE(H$184,H188),""),"")</f>
        <v/>
      </c>
      <c r="Y216" s="227" t="str">
        <f aca="false">IFERROR(IF(I$184*I188&gt;0,STDEV(I$184,I188),"")/IF(I$184*I188&gt;0,AVERAGE(I$184,I188),""),"")</f>
        <v/>
      </c>
      <c r="Z216" s="227" t="str">
        <f aca="false">IFERROR(IF(J$184*J188&gt;0,STDEV(J$184,J188),"")/IF(J$184*J188&gt;0,AVERAGE(J$184,J188),""),"")</f>
        <v/>
      </c>
      <c r="AA216" s="227" t="str">
        <f aca="false">IFERROR(IF(K$184*K188&gt;0,STDEV(K$184,K188),"")/IF(K$184*K188&gt;0,AVERAGE(K$184,K188),""),"")</f>
        <v/>
      </c>
      <c r="AB216" s="227" t="str">
        <f aca="false">IFERROR(IF(L$184*L188&gt;0,STDEV(L$184,L188),"")/IF(L$184*L188&gt;0,AVERAGE(L$184,L188),""),"")</f>
        <v/>
      </c>
      <c r="AC216" s="227" t="str">
        <f aca="false">IFERROR(IF(M$184*M188&gt;0,STDEV(M$184,M188),"")/IF(M$184*M188&gt;0,AVERAGE(M$184,M188),""),"")</f>
        <v/>
      </c>
      <c r="AD216" s="227" t="str">
        <f aca="false">IFERROR(IF(N$184*N188&gt;0,STDEV(N$184,N188),"")/IF(N$184*N188&gt;0,AVERAGE(N$184,N188),""),"")</f>
        <v/>
      </c>
      <c r="AE216" s="233"/>
      <c r="AF216" s="229" t="s">
        <v>328</v>
      </c>
      <c r="AG216" s="270" t="str">
        <f aca="false">IFERROR(IF(C$184*C188&gt;0,STDEV(C$184,C188)," ")/IF(C$184*C188&gt;0,SQRT(COUNT(C$184,C188))," "),"")</f>
        <v/>
      </c>
      <c r="AH216" s="270" t="str">
        <f aca="false">IFERROR(IF(D$184*D188&gt;0,STDEV(D$184,D188)," ")/IF(D$184*D188&gt;0,SQRT(COUNT(D$184,D188))," "),"")</f>
        <v/>
      </c>
      <c r="AI216" s="270" t="str">
        <f aca="false">IFERROR(IF(E$184*E188&gt;0,STDEV(E$184,E188)," ")/IF(E$184*E188&gt;0,SQRT(COUNT(E$184,E188))," "),"")</f>
        <v/>
      </c>
      <c r="AJ216" s="270" t="str">
        <f aca="false">IFERROR(IF(F$184*F188&gt;0,STDEV(F$184,F188)," ")/IF(F$184*F188&gt;0,SQRT(COUNT(F$184,F188))," "),"")</f>
        <v/>
      </c>
      <c r="AK216" s="270" t="str">
        <f aca="false">IFERROR(IF(G$184*G188&gt;0,STDEV(G$184,G188)," ")/IF(G$184*G188&gt;0,SQRT(COUNT(G$184,G188))," "),"")</f>
        <v/>
      </c>
      <c r="AL216" s="270" t="str">
        <f aca="false">IFERROR(IF(H$184*H188&gt;0,STDEV(H$184,H188)," ")/IF(H$184*H188&gt;0,SQRT(COUNT(H$184,H188))," "),"")</f>
        <v/>
      </c>
      <c r="AM216" s="270" t="str">
        <f aca="false">IFERROR(IF(I$184*I188&gt;0,STDEV(I$184,I188)," ")/IF(I$184*I188&gt;0,SQRT(COUNT(I$184,I188))," "),"")</f>
        <v/>
      </c>
      <c r="AN216" s="270" t="str">
        <f aca="false">IFERROR(IF(J$184*J188&gt;0,STDEV(J$184,J188)," ")/IF(J$184*J188&gt;0,SQRT(COUNT(J$184,J188))," "),"")</f>
        <v/>
      </c>
      <c r="AO216" s="270" t="str">
        <f aca="false">IFERROR(IF(K$184*K188&gt;0,STDEV(K$184,K188)," ")/IF(K$184*K188&gt;0,SQRT(COUNT(K$184,K188))," "),"")</f>
        <v/>
      </c>
      <c r="AP216" s="270" t="str">
        <f aca="false">IFERROR(IF(L$184*L188&gt;0,STDEV(L$184,L188)," ")/IF(L$184*L188&gt;0,SQRT(COUNT(L$184,L188))," "),"")</f>
        <v/>
      </c>
      <c r="AQ216" s="270" t="str">
        <f aca="false">IFERROR(IF(M$184*M188&gt;0,STDEV(M$184,M188)," ")/IF(M$184*M188&gt;0,SQRT(COUNT(M$184,M188))," "),"")</f>
        <v/>
      </c>
      <c r="AR216" s="270" t="str">
        <f aca="false">IFERROR(IF(N$184*N188&gt;0,STDEV(N$184,N188)," ")/IF(N$184*N188&gt;0,SQRT(COUNT(N$184,N188))," "),"")</f>
        <v/>
      </c>
    </row>
    <row r="217" customFormat="false" ht="15.75" hidden="false" customHeight="false" outlineLevel="0" collapsed="false">
      <c r="A217" s="220" t="s">
        <v>329</v>
      </c>
      <c r="B217" s="221"/>
      <c r="C217" s="222" t="str">
        <f aca="false">IFERROR(IF(C$185*C186&gt;0,AVERAGE(C$185,C186),""),"")</f>
        <v/>
      </c>
      <c r="D217" s="222" t="str">
        <f aca="false">IFERROR(IF(D$185*D186&gt;0,AVERAGE(D$185,D186),""),"")</f>
        <v/>
      </c>
      <c r="E217" s="222" t="str">
        <f aca="false">IFERROR(IF(E$185*E186&gt;0,AVERAGE(E$185,E186),""),"")</f>
        <v/>
      </c>
      <c r="F217" s="222" t="str">
        <f aca="false">IFERROR(IF(F$185*F186&gt;0,AVERAGE(F$185,F186),""),"")</f>
        <v/>
      </c>
      <c r="G217" s="222" t="str">
        <f aca="false">IFERROR(IF(G$185*G186&gt;0,AVERAGE(G$185,G186),""),"")</f>
        <v/>
      </c>
      <c r="H217" s="222" t="str">
        <f aca="false">IFERROR(IF(H$185*H186&gt;0,AVERAGE(H$185,H186),""),"")</f>
        <v/>
      </c>
      <c r="I217" s="222" t="str">
        <f aca="false">IFERROR(IF(I$185*I186&gt;0,AVERAGE(I$185,I186),""),"")</f>
        <v/>
      </c>
      <c r="J217" s="222" t="str">
        <f aca="false">IFERROR(IF(J$185*J186&gt;0,AVERAGE(J$185,J186),""),"")</f>
        <v/>
      </c>
      <c r="K217" s="222" t="str">
        <f aca="false">IFERROR(IF(K$185*K186&gt;0,AVERAGE(K$185,K186),""),"")</f>
        <v/>
      </c>
      <c r="L217" s="222" t="str">
        <f aca="false">IFERROR(IF(L$185*L186&gt;0,AVERAGE(L$185,L186),""),"")</f>
        <v/>
      </c>
      <c r="M217" s="222" t="str">
        <f aca="false">IFERROR(IF(M$185*M186&gt;0,AVERAGE(M$185,M186),""),"")</f>
        <v/>
      </c>
      <c r="N217" s="222" t="str">
        <f aca="false">IFERROR(IF(N$185*N186&gt;0,AVERAGE(N$185,N186),""),"")</f>
        <v/>
      </c>
      <c r="O217" s="96"/>
      <c r="P217" s="224"/>
      <c r="Q217" s="236"/>
      <c r="R217" s="226" t="s">
        <v>330</v>
      </c>
      <c r="S217" s="227" t="str">
        <f aca="false">IFERROR(IF(C$185*C186&gt;0,STDEV(C$185,C186),"")/IF(C$185*C186&gt;0,AVERAGE(C$185,C186),""),"")</f>
        <v/>
      </c>
      <c r="T217" s="227" t="str">
        <f aca="false">IFERROR(IF(D$185*D186&gt;0,STDEV(D$185,D186),"")/IF(D$185*D186&gt;0,AVERAGE(D$185,D186),""),"")</f>
        <v/>
      </c>
      <c r="U217" s="227" t="str">
        <f aca="false">IFERROR(IF(E$185*E186&gt;0,STDEV(E$185,E186),"")/IF(E$185*E186&gt;0,AVERAGE(E$185,E186),""),"")</f>
        <v/>
      </c>
      <c r="V217" s="227" t="str">
        <f aca="false">IFERROR(IF(F$185*F186&gt;0,STDEV(F$185,F186),"")/IF(F$185*F186&gt;0,AVERAGE(F$185,F186),""),"")</f>
        <v/>
      </c>
      <c r="W217" s="227" t="str">
        <f aca="false">IFERROR(IF(G$185*G186&gt;0,STDEV(G$185,G186),"")/IF(G$185*G186&gt;0,AVERAGE(G$185,G186),""),"")</f>
        <v/>
      </c>
      <c r="X217" s="227" t="str">
        <f aca="false">IFERROR(IF(H$185*H186&gt;0,STDEV(H$185,H186),"")/IF(H$185*H186&gt;0,AVERAGE(H$185,H186),""),"")</f>
        <v/>
      </c>
      <c r="Y217" s="227" t="str">
        <f aca="false">IFERROR(IF(I$185*I186&gt;0,STDEV(I$185,I186),"")/IF(I$185*I186&gt;0,AVERAGE(I$185,I186),""),"")</f>
        <v/>
      </c>
      <c r="Z217" s="227" t="str">
        <f aca="false">IFERROR(IF(J$185*J186&gt;0,STDEV(J$185,J186),"")/IF(J$185*J186&gt;0,AVERAGE(J$185,J186),""),"")</f>
        <v/>
      </c>
      <c r="AA217" s="227" t="str">
        <f aca="false">IFERROR(IF(K$185*K186&gt;0,STDEV(K$185,K186),"")/IF(K$185*K186&gt;0,AVERAGE(K$185,K186),""),"")</f>
        <v/>
      </c>
      <c r="AB217" s="227" t="str">
        <f aca="false">IFERROR(IF(L$185*L186&gt;0,STDEV(L$185,L186),"")/IF(L$185*L186&gt;0,AVERAGE(L$185,L186),""),"")</f>
        <v/>
      </c>
      <c r="AC217" s="227" t="str">
        <f aca="false">IFERROR(IF(M$185*M186&gt;0,STDEV(M$185,M186),"")/IF(M$185*M186&gt;0,AVERAGE(M$185,M186),""),"")</f>
        <v/>
      </c>
      <c r="AD217" s="227" t="str">
        <f aca="false">IFERROR(IF(N$185*N186&gt;0,STDEV(N$185,N186),"")/IF(N$185*N186&gt;0,AVERAGE(N$185,N186),""),"")</f>
        <v/>
      </c>
      <c r="AE217" s="237"/>
      <c r="AF217" s="229" t="s">
        <v>331</v>
      </c>
      <c r="AG217" s="271" t="str">
        <f aca="false">IFERROR(IF(C$185*C186&gt;0,STDEV(C$185,C186)," ")/IF(C$185*C186&gt;0,SQRT(COUNT(C$185,C186))," "),"")</f>
        <v/>
      </c>
      <c r="AH217" s="271" t="str">
        <f aca="false">IFERROR(IF(D$185*D186&gt;0,STDEV(D$185,D186)," ")/IF(D$185*D186&gt;0,SQRT(COUNT(D$185,D186))," "),"")</f>
        <v/>
      </c>
      <c r="AI217" s="271" t="str">
        <f aca="false">IFERROR(IF(E$185*E186&gt;0,STDEV(E$185,E186)," ")/IF(E$185*E186&gt;0,SQRT(COUNT(E$185,E186))," "),"")</f>
        <v/>
      </c>
      <c r="AJ217" s="271" t="str">
        <f aca="false">IFERROR(IF(F$185*F186&gt;0,STDEV(F$185,F186)," ")/IF(F$185*F186&gt;0,SQRT(COUNT(F$185,F186))," "),"")</f>
        <v/>
      </c>
      <c r="AK217" s="271" t="str">
        <f aca="false">IFERROR(IF(G$185*G186&gt;0,STDEV(G$185,G186)," ")/IF(G$185*G186&gt;0,SQRT(COUNT(G$185,G186))," "),"")</f>
        <v/>
      </c>
      <c r="AL217" s="271" t="str">
        <f aca="false">IFERROR(IF(H$185*H186&gt;0,STDEV(H$185,H186)," ")/IF(H$185*H186&gt;0,SQRT(COUNT(H$185,H186))," "),"")</f>
        <v/>
      </c>
      <c r="AM217" s="271" t="str">
        <f aca="false">IFERROR(IF(I$185*I186&gt;0,STDEV(I$185,I186)," ")/IF(I$185*I186&gt;0,SQRT(COUNT(I$185,I186))," "),"")</f>
        <v/>
      </c>
      <c r="AN217" s="271" t="str">
        <f aca="false">IFERROR(IF(J$185*J186&gt;0,STDEV(J$185,J186)," ")/IF(J$185*J186&gt;0,SQRT(COUNT(J$185,J186))," "),"")</f>
        <v/>
      </c>
      <c r="AO217" s="271" t="str">
        <f aca="false">IFERROR(IF(K$185*K186&gt;0,STDEV(K$185,K186)," ")/IF(K$185*K186&gt;0,SQRT(COUNT(K$185,K186))," "),"")</f>
        <v/>
      </c>
      <c r="AP217" s="271" t="str">
        <f aca="false">IFERROR(IF(L$185*L186&gt;0,STDEV(L$185,L186)," ")/IF(L$185*L186&gt;0,SQRT(COUNT(L$185,L186))," "),"")</f>
        <v/>
      </c>
      <c r="AQ217" s="271" t="str">
        <f aca="false">IFERROR(IF(M$185*M186&gt;0,STDEV(M$185,M186)," ")/IF(M$185*M186&gt;0,SQRT(COUNT(M$185,M186))," "),"")</f>
        <v/>
      </c>
      <c r="AR217" s="271" t="str">
        <f aca="false">IFERROR(IF(N$185*N186&gt;0,STDEV(N$185,N186)," ")/IF(N$185*N186&gt;0,SQRT(COUNT(N$185,N186))," "),"")</f>
        <v/>
      </c>
    </row>
    <row r="218" customFormat="false" ht="15.75" hidden="false" customHeight="false" outlineLevel="0" collapsed="false">
      <c r="A218" s="220" t="s">
        <v>332</v>
      </c>
      <c r="B218" s="221"/>
      <c r="C218" s="222" t="str">
        <f aca="false">IFERROR(IF(C$185*C187&gt;0,AVERAGE(C$185,C187),""),"")</f>
        <v/>
      </c>
      <c r="D218" s="222" t="str">
        <f aca="false">IFERROR(IF(D$185*D187&gt;0,AVERAGE(D$185,D187),""),"")</f>
        <v/>
      </c>
      <c r="E218" s="222" t="str">
        <f aca="false">IFERROR(IF(E$185*E187&gt;0,AVERAGE(E$185,E187),""),"")</f>
        <v/>
      </c>
      <c r="F218" s="222" t="str">
        <f aca="false">IFERROR(IF(F$185*F187&gt;0,AVERAGE(F$185,F187),""),"")</f>
        <v/>
      </c>
      <c r="G218" s="222" t="str">
        <f aca="false">IFERROR(IF(G$185*G187&gt;0,AVERAGE(G$185,G187),""),"")</f>
        <v/>
      </c>
      <c r="H218" s="222" t="str">
        <f aca="false">IFERROR(IF(H$185*H187&gt;0,AVERAGE(H$185,H187),""),"")</f>
        <v/>
      </c>
      <c r="I218" s="222" t="str">
        <f aca="false">IFERROR(IF(I$185*I187&gt;0,AVERAGE(I$185,I187),""),"")</f>
        <v/>
      </c>
      <c r="J218" s="222" t="str">
        <f aca="false">IFERROR(IF(J$185*J187&gt;0,AVERAGE(J$185,J187),""),"")</f>
        <v/>
      </c>
      <c r="K218" s="222" t="str">
        <f aca="false">IFERROR(IF(K$185*K187&gt;0,AVERAGE(K$185,K187),""),"")</f>
        <v/>
      </c>
      <c r="L218" s="222" t="str">
        <f aca="false">IFERROR(IF(L$185*L187&gt;0,AVERAGE(L$185,L187),""),"")</f>
        <v/>
      </c>
      <c r="M218" s="222" t="str">
        <f aca="false">IFERROR(IF(M$185*M187&gt;0,AVERAGE(M$185,M187),""),"")</f>
        <v/>
      </c>
      <c r="N218" s="222" t="str">
        <f aca="false">IFERROR(IF(N$185*N187&gt;0,AVERAGE(N$185,N187),""),"")</f>
        <v/>
      </c>
      <c r="O218" s="239"/>
      <c r="P218" s="224"/>
      <c r="Q218" s="240"/>
      <c r="R218" s="226" t="s">
        <v>333</v>
      </c>
      <c r="S218" s="227" t="str">
        <f aca="false">IFERROR(IF(C$185*C187&gt;0,STDEV(C$185,C187),"")/IF(C$185*C187&gt;0,AVERAGE(C$185,C187),""),"")</f>
        <v/>
      </c>
      <c r="T218" s="227" t="str">
        <f aca="false">IFERROR(IF(D$185*D187&gt;0,STDEV(D$185,D187),"")/IF(D$185*D187&gt;0,AVERAGE(D$185,D187),""),"")</f>
        <v/>
      </c>
      <c r="U218" s="227" t="str">
        <f aca="false">IFERROR(IF(E$185*E187&gt;0,STDEV(E$185,E187),"")/IF(E$185*E187&gt;0,AVERAGE(E$185,E187),""),"")</f>
        <v/>
      </c>
      <c r="V218" s="227" t="str">
        <f aca="false">IFERROR(IF(F$185*F187&gt;0,STDEV(F$185,F187),"")/IF(F$185*F187&gt;0,AVERAGE(F$185,F187),""),"")</f>
        <v/>
      </c>
      <c r="W218" s="227" t="str">
        <f aca="false">IFERROR(IF(G$185*G187&gt;0,STDEV(G$185,G187),"")/IF(G$185*G187&gt;0,AVERAGE(G$185,G187),""),"")</f>
        <v/>
      </c>
      <c r="X218" s="227" t="str">
        <f aca="false">IFERROR(IF(H$185*H187&gt;0,STDEV(H$185,H187),"")/IF(H$185*H187&gt;0,AVERAGE(H$185,H187),""),"")</f>
        <v/>
      </c>
      <c r="Y218" s="227" t="str">
        <f aca="false">IFERROR(IF(I$185*I187&gt;0,STDEV(I$185,I187),"")/IF(I$185*I187&gt;0,AVERAGE(I$185,I187),""),"")</f>
        <v/>
      </c>
      <c r="Z218" s="227" t="str">
        <f aca="false">IFERROR(IF(J$185*J187&gt;0,STDEV(J$185,J187),"")/IF(J$185*J187&gt;0,AVERAGE(J$185,J187),""),"")</f>
        <v/>
      </c>
      <c r="AA218" s="227" t="str">
        <f aca="false">IFERROR(IF(K$185*K187&gt;0,STDEV(K$185,K187),"")/IF(K$185*K187&gt;0,AVERAGE(K$185,K187),""),"")</f>
        <v/>
      </c>
      <c r="AB218" s="227" t="str">
        <f aca="false">IFERROR(IF(L$185*L187&gt;0,STDEV(L$185,L187),"")/IF(L$185*L187&gt;0,AVERAGE(L$185,L187),""),"")</f>
        <v/>
      </c>
      <c r="AC218" s="227" t="str">
        <f aca="false">IFERROR(IF(M$185*M187&gt;0,STDEV(M$185,M187),"")/IF(M$185*M187&gt;0,AVERAGE(M$185,M187),""),"")</f>
        <v/>
      </c>
      <c r="AD218" s="227" t="str">
        <f aca="false">IFERROR(IF(N$185*N187&gt;0,STDEV(N$185,N187),"")/IF(N$185*N187&gt;0,AVERAGE(N$185,N187),""),"")</f>
        <v/>
      </c>
      <c r="AE218" s="241"/>
      <c r="AF218" s="229" t="s">
        <v>334</v>
      </c>
      <c r="AG218" s="270" t="str">
        <f aca="false">IFERROR(IF(C$185*C187&gt;0,STDEV(C$185,C187)," ")/IF(C$185*C187&gt;0,SQRT(COUNT(C$185,C187))," "),"")</f>
        <v/>
      </c>
      <c r="AH218" s="270" t="str">
        <f aca="false">IFERROR(IF(D$185*D187&gt;0,STDEV(D$185,D187)," ")/IF(D$185*D187&gt;0,SQRT(COUNT(D$185,D187))," "),"")</f>
        <v/>
      </c>
      <c r="AI218" s="270" t="str">
        <f aca="false">IFERROR(IF(E$185*E187&gt;0,STDEV(E$185,E187)," ")/IF(E$185*E187&gt;0,SQRT(COUNT(E$185,E187))," "),"")</f>
        <v/>
      </c>
      <c r="AJ218" s="270" t="str">
        <f aca="false">IFERROR(IF(F$185*F187&gt;0,STDEV(F$185,F187)," ")/IF(F$185*F187&gt;0,SQRT(COUNT(F$185,F187))," "),"")</f>
        <v/>
      </c>
      <c r="AK218" s="270" t="str">
        <f aca="false">IFERROR(IF(G$185*G187&gt;0,STDEV(G$185,G187)," ")/IF(G$185*G187&gt;0,SQRT(COUNT(G$185,G187))," "),"")</f>
        <v/>
      </c>
      <c r="AL218" s="270" t="str">
        <f aca="false">IFERROR(IF(H$185*H187&gt;0,STDEV(H$185,H187)," ")/IF(H$185*H187&gt;0,SQRT(COUNT(H$185,H187))," "),"")</f>
        <v/>
      </c>
      <c r="AM218" s="270" t="str">
        <f aca="false">IFERROR(IF(I$185*I187&gt;0,STDEV(I$185,I187)," ")/IF(I$185*I187&gt;0,SQRT(COUNT(I$185,I187))," "),"")</f>
        <v/>
      </c>
      <c r="AN218" s="270" t="str">
        <f aca="false">IFERROR(IF(J$185*J187&gt;0,STDEV(J$185,J187)," ")/IF(J$185*J187&gt;0,SQRT(COUNT(J$185,J187))," "),"")</f>
        <v/>
      </c>
      <c r="AO218" s="270" t="str">
        <f aca="false">IFERROR(IF(K$185*K187&gt;0,STDEV(K$185,K187)," ")/IF(K$185*K187&gt;0,SQRT(COUNT(K$185,K187))," "),"")</f>
        <v/>
      </c>
      <c r="AP218" s="270" t="str">
        <f aca="false">IFERROR(IF(L$185*L187&gt;0,STDEV(L$185,L187)," ")/IF(L$185*L187&gt;0,SQRT(COUNT(L$185,L187))," "),"")</f>
        <v/>
      </c>
      <c r="AQ218" s="270" t="str">
        <f aca="false">IFERROR(IF(M$185*M187&gt;0,STDEV(M$185,M187)," ")/IF(M$185*M187&gt;0,SQRT(COUNT(M$185,M187))," "),"")</f>
        <v/>
      </c>
      <c r="AR218" s="270" t="str">
        <f aca="false">IFERROR(IF(N$185*N187&gt;0,STDEV(N$185,N187)," ")/IF(N$185*N187&gt;0,SQRT(COUNT(N$185,N187))," "),"")</f>
        <v/>
      </c>
    </row>
    <row r="219" customFormat="false" ht="15.75" hidden="false" customHeight="false" outlineLevel="0" collapsed="false">
      <c r="A219" s="220" t="s">
        <v>335</v>
      </c>
      <c r="B219" s="221"/>
      <c r="C219" s="222" t="str">
        <f aca="false">IFERROR(IF(C$185*C188&gt;0,AVERAGE(C$185,C188),""),"")</f>
        <v/>
      </c>
      <c r="D219" s="222" t="str">
        <f aca="false">IFERROR(IF(D$185*D188&gt;0,AVERAGE(D$185,D188),""),"")</f>
        <v/>
      </c>
      <c r="E219" s="222" t="str">
        <f aca="false">IFERROR(IF(E$185*E188&gt;0,AVERAGE(E$185,E188),""),"")</f>
        <v/>
      </c>
      <c r="F219" s="222" t="str">
        <f aca="false">IFERROR(IF(F$185*F188&gt;0,AVERAGE(F$185,F188),""),"")</f>
        <v/>
      </c>
      <c r="G219" s="222" t="str">
        <f aca="false">IFERROR(IF(G$185*G188&gt;0,AVERAGE(G$185,G188),""),"")</f>
        <v/>
      </c>
      <c r="H219" s="222" t="str">
        <f aca="false">IFERROR(IF(H$185*H188&gt;0,AVERAGE(H$185,H188),""),"")</f>
        <v/>
      </c>
      <c r="I219" s="222" t="str">
        <f aca="false">IFERROR(IF(I$185*I188&gt;0,AVERAGE(I$185,I188),""),"")</f>
        <v/>
      </c>
      <c r="J219" s="222" t="str">
        <f aca="false">IFERROR(IF(J$185*J188&gt;0,AVERAGE(J$185,J188),""),"")</f>
        <v/>
      </c>
      <c r="K219" s="222" t="str">
        <f aca="false">IFERROR(IF(K$185*K188&gt;0,AVERAGE(K$185,K188),""),"")</f>
        <v/>
      </c>
      <c r="L219" s="222" t="str">
        <f aca="false">IFERROR(IF(L$185*L188&gt;0,AVERAGE(L$185,L188),""),"")</f>
        <v/>
      </c>
      <c r="M219" s="222" t="str">
        <f aca="false">IFERROR(IF(M$185*M188&gt;0,AVERAGE(M$185,M188),""),"")</f>
        <v/>
      </c>
      <c r="N219" s="222" t="str">
        <f aca="false">IFERROR(IF(N$185*N188&gt;0,AVERAGE(N$185,N188),""),"")</f>
        <v/>
      </c>
      <c r="O219" s="224"/>
      <c r="P219" s="224"/>
      <c r="Q219" s="232"/>
      <c r="R219" s="226" t="s">
        <v>336</v>
      </c>
      <c r="S219" s="227" t="str">
        <f aca="false">IFERROR(IF(C$185*C188&gt;0,STDEV(C$185,C188),"")/IF(C$185*C188&gt;0,AVERAGE(C$185,C188),""),"")</f>
        <v/>
      </c>
      <c r="T219" s="227" t="str">
        <f aca="false">IFERROR(IF(D$185*D188&gt;0,STDEV(D$185,D188),"")/IF(D$185*D188&gt;0,AVERAGE(D$185,D188),""),"")</f>
        <v/>
      </c>
      <c r="U219" s="227" t="str">
        <f aca="false">IFERROR(IF(E$185*E188&gt;0,STDEV(E$185,E188),"")/IF(E$185*E188&gt;0,AVERAGE(E$185,E188),""),"")</f>
        <v/>
      </c>
      <c r="V219" s="227" t="str">
        <f aca="false">IFERROR(IF(F$185*F188&gt;0,STDEV(F$185,F188),"")/IF(F$185*F188&gt;0,AVERAGE(F$185,F188),""),"")</f>
        <v/>
      </c>
      <c r="W219" s="227" t="str">
        <f aca="false">IFERROR(IF(G$185*G188&gt;0,STDEV(G$185,G188),"")/IF(G$185*G188&gt;0,AVERAGE(G$185,G188),""),"")</f>
        <v/>
      </c>
      <c r="X219" s="227" t="str">
        <f aca="false">IFERROR(IF(H$185*H188&gt;0,STDEV(H$185,H188),"")/IF(H$185*H188&gt;0,AVERAGE(H$185,H188),""),"")</f>
        <v/>
      </c>
      <c r="Y219" s="227" t="str">
        <f aca="false">IFERROR(IF(I$185*I188&gt;0,STDEV(I$185,I188),"")/IF(I$185*I188&gt;0,AVERAGE(I$185,I188),""),"")</f>
        <v/>
      </c>
      <c r="Z219" s="227" t="str">
        <f aca="false">IFERROR(IF(J$185*J188&gt;0,STDEV(J$185,J188),"")/IF(J$185*J188&gt;0,AVERAGE(J$185,J188),""),"")</f>
        <v/>
      </c>
      <c r="AA219" s="227" t="str">
        <f aca="false">IFERROR(IF(K$185*K188&gt;0,STDEV(K$185,K188),"")/IF(K$185*K188&gt;0,AVERAGE(K$185,K188),""),"")</f>
        <v/>
      </c>
      <c r="AB219" s="227" t="str">
        <f aca="false">IFERROR(IF(L$185*L188&gt;0,STDEV(L$185,L188),"")/IF(L$185*L188&gt;0,AVERAGE(L$185,L188),""),"")</f>
        <v/>
      </c>
      <c r="AC219" s="227" t="str">
        <f aca="false">IFERROR(IF(M$185*M188&gt;0,STDEV(M$185,M188),"")/IF(M$185*M188&gt;0,AVERAGE(M$185,M188),""),"")</f>
        <v/>
      </c>
      <c r="AD219" s="227" t="str">
        <f aca="false">IFERROR(IF(N$185*N188&gt;0,STDEV(N$185,N188),"")/IF(N$185*N188&gt;0,AVERAGE(N$185,N188),""),"")</f>
        <v/>
      </c>
      <c r="AE219" s="233"/>
      <c r="AF219" s="229" t="s">
        <v>337</v>
      </c>
      <c r="AG219" s="270" t="str">
        <f aca="false">IFERROR(IF(C$185*C188&gt;0,STDEV(C$185,C188)," ")/IF(C$185*C188&gt;0,SQRT(COUNT(C$185,C188))," "),"")</f>
        <v/>
      </c>
      <c r="AH219" s="270" t="str">
        <f aca="false">IFERROR(IF(D$185*D188&gt;0,STDEV(D$185,D188)," ")/IF(D$185*D188&gt;0,SQRT(COUNT(D$185,D188))," "),"")</f>
        <v/>
      </c>
      <c r="AI219" s="270" t="str">
        <f aca="false">IFERROR(IF(E$185*E188&gt;0,STDEV(E$185,E188)," ")/IF(E$185*E188&gt;0,SQRT(COUNT(E$185,E188))," "),"")</f>
        <v/>
      </c>
      <c r="AJ219" s="270" t="str">
        <f aca="false">IFERROR(IF(F$185*F188&gt;0,STDEV(F$185,F188)," ")/IF(F$185*F188&gt;0,SQRT(COUNT(F$185,F188))," "),"")</f>
        <v/>
      </c>
      <c r="AK219" s="270" t="str">
        <f aca="false">IFERROR(IF(G$185*G188&gt;0,STDEV(G$185,G188)," ")/IF(G$185*G188&gt;0,SQRT(COUNT(G$185,G188))," "),"")</f>
        <v/>
      </c>
      <c r="AL219" s="270" t="str">
        <f aca="false">IFERROR(IF(H$185*H188&gt;0,STDEV(H$185,H188)," ")/IF(H$185*H188&gt;0,SQRT(COUNT(H$185,H188))," "),"")</f>
        <v/>
      </c>
      <c r="AM219" s="270" t="str">
        <f aca="false">IFERROR(IF(I$185*I188&gt;0,STDEV(I$185,I188)," ")/IF(I$185*I188&gt;0,SQRT(COUNT(I$185,I188))," "),"")</f>
        <v/>
      </c>
      <c r="AN219" s="270" t="str">
        <f aca="false">IFERROR(IF(J$185*J188&gt;0,STDEV(J$185,J188)," ")/IF(J$185*J188&gt;0,SQRT(COUNT(J$185,J188))," "),"")</f>
        <v/>
      </c>
      <c r="AO219" s="270" t="str">
        <f aca="false">IFERROR(IF(K$185*K188&gt;0,STDEV(K$185,K188)," ")/IF(K$185*K188&gt;0,SQRT(COUNT(K$185,K188))," "),"")</f>
        <v/>
      </c>
      <c r="AP219" s="270" t="str">
        <f aca="false">IFERROR(IF(L$185*L188&gt;0,STDEV(L$185,L188)," ")/IF(L$185*L188&gt;0,SQRT(COUNT(L$185,L188))," "),"")</f>
        <v/>
      </c>
      <c r="AQ219" s="270" t="str">
        <f aca="false">IFERROR(IF(M$185*M188&gt;0,STDEV(M$185,M188)," ")/IF(M$185*M188&gt;0,SQRT(COUNT(M$185,M188))," "),"")</f>
        <v/>
      </c>
      <c r="AR219" s="270" t="str">
        <f aca="false">IFERROR(IF(N$185*N188&gt;0,STDEV(N$185,N188)," ")/IF(N$185*N188&gt;0,SQRT(COUNT(N$185,N188))," "),"")</f>
        <v/>
      </c>
    </row>
    <row r="220" customFormat="false" ht="15.75" hidden="false" customHeight="false" outlineLevel="0" collapsed="false">
      <c r="A220" s="220" t="s">
        <v>338</v>
      </c>
      <c r="B220" s="221"/>
      <c r="C220" s="222" t="str">
        <f aca="false">IFERROR(IF(C$186*C187&gt;0,AVERAGE(C$186,C187),""),"")</f>
        <v/>
      </c>
      <c r="D220" s="222" t="str">
        <f aca="false">IFERROR(IF(D$186*D187&gt;0,AVERAGE(D$186,D187),""),"")</f>
        <v/>
      </c>
      <c r="E220" s="222" t="str">
        <f aca="false">IFERROR(IF(E$186*E187&gt;0,AVERAGE(E$186,E187),""),"")</f>
        <v/>
      </c>
      <c r="F220" s="222" t="str">
        <f aca="false">IFERROR(IF(F$186*F187&gt;0,AVERAGE(F$186,F187),""),"")</f>
        <v/>
      </c>
      <c r="G220" s="222" t="str">
        <f aca="false">IFERROR(IF(G$186*G187&gt;0,AVERAGE(G$186,G187),""),"")</f>
        <v/>
      </c>
      <c r="H220" s="222" t="str">
        <f aca="false">IFERROR(IF(H$186*H187&gt;0,AVERAGE(H$186,H187),""),"")</f>
        <v/>
      </c>
      <c r="I220" s="222" t="str">
        <f aca="false">IFERROR(IF(I$186*I187&gt;0,AVERAGE(I$186,I187),""),"")</f>
        <v/>
      </c>
      <c r="J220" s="222" t="str">
        <f aca="false">IFERROR(IF(J$186*J187&gt;0,AVERAGE(J$186,J187),""),"")</f>
        <v/>
      </c>
      <c r="K220" s="222" t="str">
        <f aca="false">IFERROR(IF(K$186*K187&gt;0,AVERAGE(K$186,K187),""),"")</f>
        <v/>
      </c>
      <c r="L220" s="222" t="str">
        <f aca="false">IFERROR(IF(L$186*L187&gt;0,AVERAGE(L$186,L187),""),"")</f>
        <v/>
      </c>
      <c r="M220" s="222" t="str">
        <f aca="false">IFERROR(IF(M$186*M187&gt;0,AVERAGE(M$186,M187),""),"")</f>
        <v/>
      </c>
      <c r="N220" s="222" t="str">
        <f aca="false">IFERROR(IF(N$186*N187&gt;0,AVERAGE(N$186,N187),""),"")</f>
        <v/>
      </c>
      <c r="O220" s="224"/>
      <c r="P220" s="224"/>
      <c r="Q220" s="232"/>
      <c r="R220" s="226" t="s">
        <v>339</v>
      </c>
      <c r="S220" s="227" t="str">
        <f aca="false">IFERROR(IF(C$186*C187&gt;0,STDEV(C$186,C187),"")/IF(C$186*C187&gt;0,AVERAGE(C$186,C187),""),"")</f>
        <v/>
      </c>
      <c r="T220" s="227" t="str">
        <f aca="false">IFERROR(IF(D$186*D187&gt;0,STDEV(D$186,D187),"")/IF(D$186*D187&gt;0,AVERAGE(D$186,D187),""),"")</f>
        <v/>
      </c>
      <c r="U220" s="227" t="str">
        <f aca="false">IFERROR(IF(E$186*E187&gt;0,STDEV(E$186,E187),"")/IF(E$186*E187&gt;0,AVERAGE(E$186,E187),""),"")</f>
        <v/>
      </c>
      <c r="V220" s="227" t="str">
        <f aca="false">IFERROR(IF(F$186*F187&gt;0,STDEV(F$186,F187),"")/IF(F$186*F187&gt;0,AVERAGE(F$186,F187),""),"")</f>
        <v/>
      </c>
      <c r="W220" s="227" t="str">
        <f aca="false">IFERROR(IF(G$186*G187&gt;0,STDEV(G$186,G187),"")/IF(G$186*G187&gt;0,AVERAGE(G$186,G187),""),"")</f>
        <v/>
      </c>
      <c r="X220" s="227" t="str">
        <f aca="false">IFERROR(IF(H$186*H187&gt;0,STDEV(H$186,H187),"")/IF(H$186*H187&gt;0,AVERAGE(H$186,H187),""),"")</f>
        <v/>
      </c>
      <c r="Y220" s="227" t="str">
        <f aca="false">IFERROR(IF(I$186*I187&gt;0,STDEV(I$186,I187),"")/IF(I$186*I187&gt;0,AVERAGE(I$186,I187),""),"")</f>
        <v/>
      </c>
      <c r="Z220" s="227" t="str">
        <f aca="false">IFERROR(IF(J$186*J187&gt;0,STDEV(J$186,J187),"")/IF(J$186*J187&gt;0,AVERAGE(J$186,J187),""),"")</f>
        <v/>
      </c>
      <c r="AA220" s="227" t="str">
        <f aca="false">IFERROR(IF(K$186*K187&gt;0,STDEV(K$186,K187),"")/IF(K$186*K187&gt;0,AVERAGE(K$186,K187),""),"")</f>
        <v/>
      </c>
      <c r="AB220" s="227" t="str">
        <f aca="false">IFERROR(IF(L$186*L187&gt;0,STDEV(L$186,L187),"")/IF(L$186*L187&gt;0,AVERAGE(L$186,L187),""),"")</f>
        <v/>
      </c>
      <c r="AC220" s="227" t="str">
        <f aca="false">IFERROR(IF(M$186*M187&gt;0,STDEV(M$186,M187),"")/IF(M$186*M187&gt;0,AVERAGE(M$186,M187),""),"")</f>
        <v/>
      </c>
      <c r="AD220" s="227" t="str">
        <f aca="false">IFERROR(IF(N$186*N187&gt;0,STDEV(N$186,N187),"")/IF(N$186*N187&gt;0,AVERAGE(N$186,N187),""),"")</f>
        <v/>
      </c>
      <c r="AE220" s="233"/>
      <c r="AF220" s="229" t="s">
        <v>340</v>
      </c>
      <c r="AG220" s="270" t="str">
        <f aca="false">IFERROR(IF(C$186*C187&gt;0,STDEV(C$186,C187)," ")/IF(C$186*C187&gt;0,SQRT(COUNT(C$186,C187))," "),"")</f>
        <v/>
      </c>
      <c r="AH220" s="270" t="str">
        <f aca="false">IFERROR(IF(D$186*D187&gt;0,STDEV(D$186,D187)," ")/IF(D$186*D187&gt;0,SQRT(COUNT(D$186,D187))," "),"")</f>
        <v/>
      </c>
      <c r="AI220" s="270" t="str">
        <f aca="false">IFERROR(IF(E$186*E187&gt;0,STDEV(E$186,E187)," ")/IF(E$186*E187&gt;0,SQRT(COUNT(E$186,E187))," "),"")</f>
        <v/>
      </c>
      <c r="AJ220" s="270" t="str">
        <f aca="false">IFERROR(IF(F$186*F187&gt;0,STDEV(F$186,F187)," ")/IF(F$186*F187&gt;0,SQRT(COUNT(F$186,F187))," "),"")</f>
        <v/>
      </c>
      <c r="AK220" s="270" t="str">
        <f aca="false">IFERROR(IF(G$186*G187&gt;0,STDEV(G$186,G187)," ")/IF(G$186*G187&gt;0,SQRT(COUNT(G$186,G187))," "),"")</f>
        <v/>
      </c>
      <c r="AL220" s="270" t="str">
        <f aca="false">IFERROR(IF(H$186*H187&gt;0,STDEV(H$186,H187)," ")/IF(H$186*H187&gt;0,SQRT(COUNT(H$186,H187))," "),"")</f>
        <v/>
      </c>
      <c r="AM220" s="270" t="str">
        <f aca="false">IFERROR(IF(I$186*I187&gt;0,STDEV(I$186,I187)," ")/IF(I$186*I187&gt;0,SQRT(COUNT(I$186,I187))," "),"")</f>
        <v/>
      </c>
      <c r="AN220" s="270" t="str">
        <f aca="false">IFERROR(IF(J$186*J187&gt;0,STDEV(J$186,J187)," ")/IF(J$186*J187&gt;0,SQRT(COUNT(J$186,J187))," "),"")</f>
        <v/>
      </c>
      <c r="AO220" s="270" t="str">
        <f aca="false">IFERROR(IF(K$186*K187&gt;0,STDEV(K$186,K187)," ")/IF(K$186*K187&gt;0,SQRT(COUNT(K$186,K187))," "),"")</f>
        <v/>
      </c>
      <c r="AP220" s="270" t="str">
        <f aca="false">IFERROR(IF(L$186*L187&gt;0,STDEV(L$186,L187)," ")/IF(L$186*L187&gt;0,SQRT(COUNT(L$186,L187))," "),"")</f>
        <v/>
      </c>
      <c r="AQ220" s="270" t="str">
        <f aca="false">IFERROR(IF(M$186*M187&gt;0,STDEV(M$186,M187)," ")/IF(M$186*M187&gt;0,SQRT(COUNT(M$186,M187))," "),"")</f>
        <v/>
      </c>
      <c r="AR220" s="270" t="str">
        <f aca="false">IFERROR(IF(N$186*N187&gt;0,STDEV(N$186,N187)," ")/IF(N$186*N187&gt;0,SQRT(COUNT(N$186,N187))," "),"")</f>
        <v/>
      </c>
    </row>
    <row r="221" customFormat="false" ht="15.75" hidden="false" customHeight="false" outlineLevel="0" collapsed="false">
      <c r="A221" s="220" t="s">
        <v>341</v>
      </c>
      <c r="B221" s="221"/>
      <c r="C221" s="222" t="str">
        <f aca="false">IFERROR(IF(C$186*C188&gt;0,AVERAGE(C$186,C188),""),"")</f>
        <v/>
      </c>
      <c r="D221" s="222" t="str">
        <f aca="false">IFERROR(IF(D$186*D188&gt;0,AVERAGE(D$186,D188),""),"")</f>
        <v/>
      </c>
      <c r="E221" s="222" t="str">
        <f aca="false">IFERROR(IF(E$186*E188&gt;0,AVERAGE(E$186,E188),""),"")</f>
        <v/>
      </c>
      <c r="F221" s="222" t="str">
        <f aca="false">IFERROR(IF(F$186*F188&gt;0,AVERAGE(F$186,F188),""),"")</f>
        <v/>
      </c>
      <c r="G221" s="222" t="str">
        <f aca="false">IFERROR(IF(G$186*G188&gt;0,AVERAGE(G$186,G188),""),"")</f>
        <v/>
      </c>
      <c r="H221" s="222" t="str">
        <f aca="false">IFERROR(IF(H$186*H188&gt;0,AVERAGE(H$186,H188),""),"")</f>
        <v/>
      </c>
      <c r="I221" s="222" t="str">
        <f aca="false">IFERROR(IF(I$186*I188&gt;0,AVERAGE(I$186,I188),""),"")</f>
        <v/>
      </c>
      <c r="J221" s="222" t="str">
        <f aca="false">IFERROR(IF(J$186*J188&gt;0,AVERAGE(J$186,J188),""),"")</f>
        <v/>
      </c>
      <c r="K221" s="222" t="str">
        <f aca="false">IFERROR(IF(K$186*K188&gt;0,AVERAGE(K$186,K188),""),"")</f>
        <v/>
      </c>
      <c r="L221" s="222" t="str">
        <f aca="false">IFERROR(IF(L$186*L188&gt;0,AVERAGE(L$186,L188),""),"")</f>
        <v/>
      </c>
      <c r="M221" s="222" t="str">
        <f aca="false">IFERROR(IF(M$186*M188&gt;0,AVERAGE(M$186,M188),""),"")</f>
        <v/>
      </c>
      <c r="N221" s="222" t="str">
        <f aca="false">IFERROR(IF(N$186*N188&gt;0,AVERAGE(N$186,N188),""),"")</f>
        <v/>
      </c>
      <c r="O221" s="224"/>
      <c r="P221" s="224"/>
      <c r="Q221" s="232"/>
      <c r="R221" s="226" t="s">
        <v>342</v>
      </c>
      <c r="S221" s="227" t="str">
        <f aca="false">IFERROR(IF(C$186*C188&gt;0,STDEV(C$186,C188),"")/IF(C$186*C188&gt;0,AVERAGE(C$186,C188),""),"")</f>
        <v/>
      </c>
      <c r="T221" s="227" t="str">
        <f aca="false">IFERROR(IF(D$186*D188&gt;0,STDEV(D$186,D188),"")/IF(D$186*D188&gt;0,AVERAGE(D$186,D188),""),"")</f>
        <v/>
      </c>
      <c r="U221" s="227" t="str">
        <f aca="false">IFERROR(IF(E$186*E188&gt;0,STDEV(E$186,E188),"")/IF(E$186*E188&gt;0,AVERAGE(E$186,E188),""),"")</f>
        <v/>
      </c>
      <c r="V221" s="227" t="str">
        <f aca="false">IFERROR(IF(F$186*F188&gt;0,STDEV(F$186,F188),"")/IF(F$186*F188&gt;0,AVERAGE(F$186,F188),""),"")</f>
        <v/>
      </c>
      <c r="W221" s="227" t="str">
        <f aca="false">IFERROR(IF(G$186*G188&gt;0,STDEV(G$186,G188),"")/IF(G$186*G188&gt;0,AVERAGE(G$186,G188),""),"")</f>
        <v/>
      </c>
      <c r="X221" s="227" t="str">
        <f aca="false">IFERROR(IF(H$186*H188&gt;0,STDEV(H$186,H188),"")/IF(H$186*H188&gt;0,AVERAGE(H$186,H188),""),"")</f>
        <v/>
      </c>
      <c r="Y221" s="227" t="str">
        <f aca="false">IFERROR(IF(I$186*I188&gt;0,STDEV(I$186,I188),"")/IF(I$186*I188&gt;0,AVERAGE(I$186,I188),""),"")</f>
        <v/>
      </c>
      <c r="Z221" s="227" t="str">
        <f aca="false">IFERROR(IF(J$186*J188&gt;0,STDEV(J$186,J188),"")/IF(J$186*J188&gt;0,AVERAGE(J$186,J188),""),"")</f>
        <v/>
      </c>
      <c r="AA221" s="227" t="str">
        <f aca="false">IFERROR(IF(K$186*K188&gt;0,STDEV(K$186,K188),"")/IF(K$186*K188&gt;0,AVERAGE(K$186,K188),""),"")</f>
        <v/>
      </c>
      <c r="AB221" s="227" t="str">
        <f aca="false">IFERROR(IF(L$186*L188&gt;0,STDEV(L$186,L188),"")/IF(L$186*L188&gt;0,AVERAGE(L$186,L188),""),"")</f>
        <v/>
      </c>
      <c r="AC221" s="227" t="str">
        <f aca="false">IFERROR(IF(M$186*M188&gt;0,STDEV(M$186,M188),"")/IF(M$186*M188&gt;0,AVERAGE(M$186,M188),""),"")</f>
        <v/>
      </c>
      <c r="AD221" s="227" t="str">
        <f aca="false">IFERROR(IF(N$186*N188&gt;0,STDEV(N$186,N188),"")/IF(N$186*N188&gt;0,AVERAGE(N$186,N188),""),"")</f>
        <v/>
      </c>
      <c r="AE221" s="233"/>
      <c r="AF221" s="229" t="s">
        <v>343</v>
      </c>
      <c r="AG221" s="270" t="str">
        <f aca="false">IFERROR(IF(C$186*C188&gt;0,STDEV(C$186,C188)," ")/IF(C$186*C188&gt;0,SQRT(COUNT(C$186,C188))," "),"")</f>
        <v/>
      </c>
      <c r="AH221" s="270" t="str">
        <f aca="false">IFERROR(IF(D$186*D188&gt;0,STDEV(D$186,D188)," ")/IF(D$186*D188&gt;0,SQRT(COUNT(D$186,D188))," "),"")</f>
        <v/>
      </c>
      <c r="AI221" s="270" t="str">
        <f aca="false">IFERROR(IF(E$186*E188&gt;0,STDEV(E$186,E188)," ")/IF(E$186*E188&gt;0,SQRT(COUNT(E$186,E188))," "),"")</f>
        <v/>
      </c>
      <c r="AJ221" s="270" t="str">
        <f aca="false">IFERROR(IF(F$186*F188&gt;0,STDEV(F$186,F188)," ")/IF(F$186*F188&gt;0,SQRT(COUNT(F$186,F188))," "),"")</f>
        <v/>
      </c>
      <c r="AK221" s="270" t="str">
        <f aca="false">IFERROR(IF(G$186*G188&gt;0,STDEV(G$186,G188)," ")/IF(G$186*G188&gt;0,SQRT(COUNT(G$186,G188))," "),"")</f>
        <v/>
      </c>
      <c r="AL221" s="270" t="str">
        <f aca="false">IFERROR(IF(H$186*H188&gt;0,STDEV(H$186,H188)," ")/IF(H$186*H188&gt;0,SQRT(COUNT(H$186,H188))," "),"")</f>
        <v/>
      </c>
      <c r="AM221" s="270" t="str">
        <f aca="false">IFERROR(IF(I$186*I188&gt;0,STDEV(I$186,I188)," ")/IF(I$186*I188&gt;0,SQRT(COUNT(I$186,I188))," "),"")</f>
        <v/>
      </c>
      <c r="AN221" s="270" t="str">
        <f aca="false">IFERROR(IF(J$186*J188&gt;0,STDEV(J$186,J188)," ")/IF(J$186*J188&gt;0,SQRT(COUNT(J$186,J188))," "),"")</f>
        <v/>
      </c>
      <c r="AO221" s="270" t="str">
        <f aca="false">IFERROR(IF(K$186*K188&gt;0,STDEV(K$186,K188)," ")/IF(K$186*K188&gt;0,SQRT(COUNT(K$186,K188))," "),"")</f>
        <v/>
      </c>
      <c r="AP221" s="270" t="str">
        <f aca="false">IFERROR(IF(L$186*L188&gt;0,STDEV(L$186,L188)," ")/IF(L$186*L188&gt;0,SQRT(COUNT(L$186,L188))," "),"")</f>
        <v/>
      </c>
      <c r="AQ221" s="270" t="str">
        <f aca="false">IFERROR(IF(M$186*M188&gt;0,STDEV(M$186,M188)," ")/IF(M$186*M188&gt;0,SQRT(COUNT(M$186,M188))," "),"")</f>
        <v/>
      </c>
      <c r="AR221" s="270" t="str">
        <f aca="false">IFERROR(IF(N$186*N188&gt;0,STDEV(N$186,N188)," ")/IF(N$186*N188&gt;0,SQRT(COUNT(N$186,N188))," "),"")</f>
        <v/>
      </c>
    </row>
    <row r="222" customFormat="false" ht="15.75" hidden="false" customHeight="false" outlineLevel="0" collapsed="false">
      <c r="A222" s="242" t="s">
        <v>344</v>
      </c>
      <c r="B222" s="243"/>
      <c r="C222" s="244" t="str">
        <f aca="false">IFERROR(IF(C$187*C188&gt;0,AVERAGE(C$187,C188),""),"")</f>
        <v/>
      </c>
      <c r="D222" s="244" t="str">
        <f aca="false">IFERROR(IF(D$187*D188&gt;0,AVERAGE(D$187,D188),""),"")</f>
        <v/>
      </c>
      <c r="E222" s="244" t="str">
        <f aca="false">IFERROR(IF(E$187*E188&gt;0,AVERAGE(E$187,E188),""),"")</f>
        <v/>
      </c>
      <c r="F222" s="244" t="str">
        <f aca="false">IFERROR(IF(F$187*F188&gt;0,AVERAGE(F$187,F188),""),"")</f>
        <v/>
      </c>
      <c r="G222" s="244" t="str">
        <f aca="false">IFERROR(IF(G$187*G188&gt;0,AVERAGE(G$187,G188),""),"")</f>
        <v/>
      </c>
      <c r="H222" s="244" t="str">
        <f aca="false">IFERROR(IF(H$187*H188&gt;0,AVERAGE(H$187,H188),""),"")</f>
        <v/>
      </c>
      <c r="I222" s="244" t="str">
        <f aca="false">IFERROR(IF(I$187*I188&gt;0,AVERAGE(I$187,I188),""),"")</f>
        <v/>
      </c>
      <c r="J222" s="244" t="str">
        <f aca="false">IFERROR(IF(J$187*J188&gt;0,AVERAGE(J$187,J188),""),"")</f>
        <v/>
      </c>
      <c r="K222" s="244" t="str">
        <f aca="false">IFERROR(IF(K$187*K188&gt;0,AVERAGE(K$187,K188),""),"")</f>
        <v/>
      </c>
      <c r="L222" s="244" t="str">
        <f aca="false">IFERROR(IF(L$187*L188&gt;0,AVERAGE(L$187,L188),""),"")</f>
        <v/>
      </c>
      <c r="M222" s="244" t="str">
        <f aca="false">IFERROR(IF(M$187*M188&gt;0,AVERAGE(M$187,M188),""),"")</f>
        <v/>
      </c>
      <c r="N222" s="244" t="str">
        <f aca="false">IFERROR(IF(N$187*N188&gt;0,AVERAGE(N$187,N188),""),"")</f>
        <v/>
      </c>
      <c r="O222" s="245"/>
      <c r="P222" s="245"/>
      <c r="Q222" s="246"/>
      <c r="R222" s="247" t="s">
        <v>345</v>
      </c>
      <c r="S222" s="248" t="str">
        <f aca="false">IFERROR(IF(C$187*C188&gt;0,STDEV(C$187,C188),"")/IF(C$187*C188&gt;0,AVERAGE(C$187,C188),""),"")</f>
        <v/>
      </c>
      <c r="T222" s="248" t="str">
        <f aca="false">IFERROR(IF(D$187*D188&gt;0,STDEV(D$187,D188),"")/IF(D$187*D188&gt;0,AVERAGE(D$187,D188),""),"")</f>
        <v/>
      </c>
      <c r="U222" s="248" t="str">
        <f aca="false">IFERROR(IF(E$187*E188&gt;0,STDEV(E$187,E188),"")/IF(E$187*E188&gt;0,AVERAGE(E$187,E188),""),"")</f>
        <v/>
      </c>
      <c r="V222" s="248" t="str">
        <f aca="false">IFERROR(IF(F$187*F188&gt;0,STDEV(F$187,F188),"")/IF(F$187*F188&gt;0,AVERAGE(F$187,F188),""),"")</f>
        <v/>
      </c>
      <c r="W222" s="248" t="str">
        <f aca="false">IFERROR(IF(G$187*G188&gt;0,STDEV(G$187,G188),"")/IF(G$187*G188&gt;0,AVERAGE(G$187,G188),""),"")</f>
        <v/>
      </c>
      <c r="X222" s="248" t="str">
        <f aca="false">IFERROR(IF(H$187*H188&gt;0,STDEV(H$187,H188),"")/IF(H$187*H188&gt;0,AVERAGE(H$187,H188),""),"")</f>
        <v/>
      </c>
      <c r="Y222" s="248" t="str">
        <f aca="false">IFERROR(IF(I$187*I188&gt;0,STDEV(I$187,I188),"")/IF(I$187*I188&gt;0,AVERAGE(I$187,I188),""),"")</f>
        <v/>
      </c>
      <c r="Z222" s="248" t="str">
        <f aca="false">IFERROR(IF(J$187*J188&gt;0,STDEV(J$187,J188),"")/IF(J$187*J188&gt;0,AVERAGE(J$187,J188),""),"")</f>
        <v/>
      </c>
      <c r="AA222" s="248" t="str">
        <f aca="false">IFERROR(IF(K$187*K188&gt;0,STDEV(K$187,K188),"")/IF(K$187*K188&gt;0,AVERAGE(K$187,K188),""),"")</f>
        <v/>
      </c>
      <c r="AB222" s="248" t="str">
        <f aca="false">IFERROR(IF(L$187*L188&gt;0,STDEV(L$187,L188),"")/IF(L$187*L188&gt;0,AVERAGE(L$187,L188),""),"")</f>
        <v/>
      </c>
      <c r="AC222" s="248" t="str">
        <f aca="false">IFERROR(IF(M$187*M188&gt;0,STDEV(M$187,M188),"")/IF(M$187*M188&gt;0,AVERAGE(M$187,M188),""),"")</f>
        <v/>
      </c>
      <c r="AD222" s="248" t="str">
        <f aca="false">IFERROR(IF(N$187*N188&gt;0,STDEV(N$187,N188),"")/IF(N$187*N188&gt;0,AVERAGE(N$187,N188),""),"")</f>
        <v/>
      </c>
      <c r="AE222" s="249"/>
      <c r="AF222" s="250" t="s">
        <v>346</v>
      </c>
      <c r="AG222" s="272" t="str">
        <f aca="false">IFERROR(IF(C$187*C188&gt;0,STDEV(C$187,C188)," ")/IF(C$187*C188&gt;0,SQRT(COUNT(C$187,C188))," "),"")</f>
        <v/>
      </c>
      <c r="AH222" s="272" t="str">
        <f aca="false">IFERROR(IF(D$187*D188&gt;0,STDEV(D$187,D188)," ")/IF(D$187*D188&gt;0,SQRT(COUNT(D$187,D188))," "),"")</f>
        <v/>
      </c>
      <c r="AI222" s="272" t="str">
        <f aca="false">IFERROR(IF(E$187*E188&gt;0,STDEV(E$187,E188)," ")/IF(E$187*E188&gt;0,SQRT(COUNT(E$187,E188))," "),"")</f>
        <v/>
      </c>
      <c r="AJ222" s="272" t="str">
        <f aca="false">IFERROR(IF(F$187*F188&gt;0,STDEV(F$187,F188)," ")/IF(F$187*F188&gt;0,SQRT(COUNT(F$187,F188))," "),"")</f>
        <v/>
      </c>
      <c r="AK222" s="272" t="str">
        <f aca="false">IFERROR(IF(G$187*G188&gt;0,STDEV(G$187,G188)," ")/IF(G$187*G188&gt;0,SQRT(COUNT(G$187,G188))," "),"")</f>
        <v/>
      </c>
      <c r="AL222" s="272" t="str">
        <f aca="false">IFERROR(IF(H$187*H188&gt;0,STDEV(H$187,H188)," ")/IF(H$187*H188&gt;0,SQRT(COUNT(H$187,H188))," "),"")</f>
        <v/>
      </c>
      <c r="AM222" s="272" t="str">
        <f aca="false">IFERROR(IF(I$187*I188&gt;0,STDEV(I$187,I188)," ")/IF(I$187*I188&gt;0,SQRT(COUNT(I$187,I188))," "),"")</f>
        <v/>
      </c>
      <c r="AN222" s="272" t="str">
        <f aca="false">IFERROR(IF(J$187*J188&gt;0,STDEV(J$187,J188)," ")/IF(J$187*J188&gt;0,SQRT(COUNT(J$187,J188))," "),"")</f>
        <v/>
      </c>
      <c r="AO222" s="272" t="str">
        <f aca="false">IFERROR(IF(K$187*K188&gt;0,STDEV(K$187,K188)," ")/IF(K$187*K188&gt;0,SQRT(COUNT(K$187,K188))," "),"")</f>
        <v/>
      </c>
      <c r="AP222" s="272" t="str">
        <f aca="false">IFERROR(IF(L$187*L188&gt;0,STDEV(L$187,L188)," ")/IF(L$187*L188&gt;0,SQRT(COUNT(L$187,L188))," "),"")</f>
        <v/>
      </c>
      <c r="AQ222" s="272" t="str">
        <f aca="false">IFERROR(IF(M$187*M188&gt;0,STDEV(M$187,M188)," ")/IF(M$187*M188&gt;0,SQRT(COUNT(M$187,M188))," "),"")</f>
        <v/>
      </c>
      <c r="AR222" s="272" t="str">
        <f aca="false">IFERROR(IF(N$187*N188&gt;0,STDEV(N$187,N188)," ")/IF(N$187*N188&gt;0,SQRT(COUNT(N$187,N188))," "),"")</f>
        <v/>
      </c>
    </row>
    <row r="223" customFormat="false" ht="15.75" hidden="false" customHeight="false" outlineLevel="0" collapsed="false">
      <c r="A223" s="220" t="s">
        <v>347</v>
      </c>
      <c r="B223" s="221"/>
      <c r="C223" s="222" t="str">
        <f aca="false">IFERROR(IF(C$182*C$183*C184&gt;0,AVERAGE(C$182:C$183,C184),""),"")</f>
        <v/>
      </c>
      <c r="D223" s="222" t="str">
        <f aca="false">IFERROR(IF(D$182*D$183*D184&gt;0,AVERAGE(D$182:D$183,D184),""),"")</f>
        <v/>
      </c>
      <c r="E223" s="222" t="str">
        <f aca="false">IFERROR(IF(E$182*E$183*E184&gt;0,AVERAGE(E$182:E$183,E184),""),"")</f>
        <v/>
      </c>
      <c r="F223" s="222" t="str">
        <f aca="false">IFERROR(IF(F$182*F$183*F184&gt;0,AVERAGE(F$182:F$183,F184),""),"")</f>
        <v/>
      </c>
      <c r="G223" s="222" t="str">
        <f aca="false">IFERROR(IF(G$182*G$183*G184&gt;0,AVERAGE(G$182:G$183,G184),""),"")</f>
        <v/>
      </c>
      <c r="H223" s="222" t="str">
        <f aca="false">IFERROR(IF(H$182*H$183*H184&gt;0,AVERAGE(H$182:H$183,H184),""),"")</f>
        <v/>
      </c>
      <c r="I223" s="222" t="str">
        <f aca="false">IFERROR(IF(I$182*I$183*I184&gt;0,AVERAGE(I$182:I$183,I184),""),"")</f>
        <v/>
      </c>
      <c r="J223" s="222" t="str">
        <f aca="false">IFERROR(IF(J$182*J$183*J184&gt;0,AVERAGE(J$182:J$183,J184),""),"")</f>
        <v/>
      </c>
      <c r="K223" s="222" t="str">
        <f aca="false">IFERROR(IF(K$182*K$183*K184&gt;0,AVERAGE(K$182:K$183,K184),""),"")</f>
        <v/>
      </c>
      <c r="L223" s="222" t="str">
        <f aca="false">IFERROR(IF(L$182*L$183*L184&gt;0,AVERAGE(L$182:L$183,L184),""),"")</f>
        <v/>
      </c>
      <c r="M223" s="222" t="str">
        <f aca="false">IFERROR(IF(M$182*M$183*M184&gt;0,AVERAGE(M$182:M$183,M184),""),"")</f>
        <v/>
      </c>
      <c r="N223" s="222" t="str">
        <f aca="false">IFERROR(IF(N$182*N$183*N184&gt;0,AVERAGE(N$182:N$183,N184),""),"")</f>
        <v/>
      </c>
      <c r="O223" s="240" t="n">
        <v>3</v>
      </c>
      <c r="P223" s="224" t="n">
        <f aca="false">COMBIN(7,3)</f>
        <v>35</v>
      </c>
      <c r="Q223" s="252" t="n">
        <f aca="false">ROW(N257)-ROW(N223)+1</f>
        <v>35</v>
      </c>
      <c r="R223" s="226" t="s">
        <v>348</v>
      </c>
      <c r="S223" s="227" t="str">
        <f aca="false">IFERROR(IF(C$182*C$183*C184&gt;0,STDEV(C$182:C$183,C184),"")/IF(C$182*C$183*C184&gt;0,AVERAGE(C$182:C$183,C184),""),"")</f>
        <v/>
      </c>
      <c r="T223" s="227" t="str">
        <f aca="false">IFERROR(IF(D$182*D$183*D184&gt;0,STDEV(D$182:D$183,D184),"")/IF(D$182*D$183*D184&gt;0,AVERAGE(D$182:D$183,D184),""),"")</f>
        <v/>
      </c>
      <c r="U223" s="227" t="str">
        <f aca="false">IFERROR(IF(E$182*E$183*E184&gt;0,STDEV(E$182:E$183,E184),"")/IF(E$182*E$183*E184&gt;0,AVERAGE(E$182:E$183,E184),""),"")</f>
        <v/>
      </c>
      <c r="V223" s="227" t="str">
        <f aca="false">IFERROR(IF(F$182*F$183*F184&gt;0,STDEV(F$182:F$183,F184),"")/IF(F$182*F$183*F184&gt;0,AVERAGE(F$182:F$183,F184),""),"")</f>
        <v/>
      </c>
      <c r="W223" s="227" t="str">
        <f aca="false">IFERROR(IF(G$182*G$183*G184&gt;0,STDEV(G$182:G$183,G184),"")/IF(G$182*G$183*G184&gt;0,AVERAGE(G$182:G$183,G184),""),"")</f>
        <v/>
      </c>
      <c r="X223" s="227" t="str">
        <f aca="false">IFERROR(IF(H$182*H$183*H184&gt;0,STDEV(H$182:H$183,H184),"")/IF(H$182*H$183*H184&gt;0,AVERAGE(H$182:H$183,H184),""),"")</f>
        <v/>
      </c>
      <c r="Y223" s="227" t="str">
        <f aca="false">IFERROR(IF(I$182*I$183*I184&gt;0,STDEV(I$182:I$183,I184),"")/IF(I$182*I$183*I184&gt;0,AVERAGE(I$182:I$183,I184),""),"")</f>
        <v/>
      </c>
      <c r="Z223" s="227" t="str">
        <f aca="false">IFERROR(IF(J$182*J$183*J184&gt;0,STDEV(J$182:J$183,J184),"")/IF(J$182*J$183*J184&gt;0,AVERAGE(J$182:J$183,J184),""),"")</f>
        <v/>
      </c>
      <c r="AA223" s="227" t="str">
        <f aca="false">IFERROR(IF(K$182*K$183*K184&gt;0,STDEV(K$182:K$183,K184),"")/IF(K$182*K$183*K184&gt;0,AVERAGE(K$182:K$183,K184),""),"")</f>
        <v/>
      </c>
      <c r="AB223" s="227" t="str">
        <f aca="false">IFERROR(IF(L$182*L$183*L184&gt;0,STDEV(L$182:L$183,L184),"")/IF(L$182*L$183*L184&gt;0,AVERAGE(L$182:L$183,L184),""),"")</f>
        <v/>
      </c>
      <c r="AC223" s="227" t="str">
        <f aca="false">IFERROR(IF(M$182*M$183*M184&gt;0,STDEV(M$182:M$183,M184),"")/IF(M$182*M$183*M184&gt;0,AVERAGE(M$182:M$183,M184),""),"")</f>
        <v/>
      </c>
      <c r="AD223" s="227" t="str">
        <f aca="false">IFERROR(IF(N$182*N$183*N184&gt;0,STDEV(N$182:N$183,N184),"")/IF(N$182*N$183*N184&gt;0,AVERAGE(N$182:N$183,N184),""),"")</f>
        <v/>
      </c>
      <c r="AE223" s="233"/>
      <c r="AF223" s="229" t="s">
        <v>349</v>
      </c>
      <c r="AG223" s="270" t="str">
        <f aca="false">IFERROR(IF(C$182*C$183*C184&gt;0,STDEV(C$182:C$183,C184)," ")/IF(C$182*C$183*C184&gt;0,SQRT(COUNT(C$182:C$183,C184))," "),"")</f>
        <v/>
      </c>
      <c r="AH223" s="270" t="str">
        <f aca="false">IFERROR(IF(D$182*D$183*D184&gt;0,STDEV(D$182:D$183,D184)," ")/IF(D$182*D$183*D184&gt;0,SQRT(COUNT(D$182:D$183,D184))," "),"")</f>
        <v/>
      </c>
      <c r="AI223" s="270" t="str">
        <f aca="false">IFERROR(IF(E$182*E$183*E184&gt;0,STDEV(E$182:E$183,E184)," ")/IF(E$182*E$183*E184&gt;0,SQRT(COUNT(E$182:E$183,E184))," "),"")</f>
        <v/>
      </c>
      <c r="AJ223" s="270" t="str">
        <f aca="false">IFERROR(IF(F$182*F$183*F184&gt;0,STDEV(F$182:F$183,F184)," ")/IF(F$182*F$183*F184&gt;0,SQRT(COUNT(F$182:F$183,F184))," "),"")</f>
        <v/>
      </c>
      <c r="AK223" s="270" t="str">
        <f aca="false">IFERROR(IF(G$182*G$183*G184&gt;0,STDEV(G$182:G$183,G184)," ")/IF(G$182*G$183*G184&gt;0,SQRT(COUNT(G$182:G$183,G184))," "),"")</f>
        <v/>
      </c>
      <c r="AL223" s="270" t="str">
        <f aca="false">IFERROR(IF(H$182*H$183*H184&gt;0,STDEV(H$182:H$183,H184)," ")/IF(H$182*H$183*H184&gt;0,SQRT(COUNT(H$182:H$183,H184))," "),"")</f>
        <v/>
      </c>
      <c r="AM223" s="270" t="str">
        <f aca="false">IFERROR(IF(I$182*I$183*I184&gt;0,STDEV(I$182:I$183,I184)," ")/IF(I$182*I$183*I184&gt;0,SQRT(COUNT(I$182:I$183,I184))," "),"")</f>
        <v/>
      </c>
      <c r="AN223" s="270" t="str">
        <f aca="false">IFERROR(IF(J$182*J$183*J184&gt;0,STDEV(J$182:J$183,J184)," ")/IF(J$182*J$183*J184&gt;0,SQRT(COUNT(J$182:J$183,J184))," "),"")</f>
        <v/>
      </c>
      <c r="AO223" s="270" t="str">
        <f aca="false">IFERROR(IF(K$182*K$183*K184&gt;0,STDEV(K$182:K$183,K184)," ")/IF(K$182*K$183*K184&gt;0,SQRT(COUNT(K$182:K$183,K184))," "),"")</f>
        <v/>
      </c>
      <c r="AP223" s="270" t="str">
        <f aca="false">IFERROR(IF(L$182*L$183*L184&gt;0,STDEV(L$182:L$183,L184)," ")/IF(L$182*L$183*L184&gt;0,SQRT(COUNT(L$182:L$183,L184))," "),"")</f>
        <v/>
      </c>
      <c r="AQ223" s="270" t="str">
        <f aca="false">IFERROR(IF(M$182*M$183*M184&gt;0,STDEV(M$182:M$183,M184)," ")/IF(M$182*M$183*M184&gt;0,SQRT(COUNT(M$182:M$183,M184))," "),"")</f>
        <v/>
      </c>
      <c r="AR223" s="270" t="str">
        <f aca="false">IFERROR(IF(N$182*N$183*N184&gt;0,STDEV(N$182:N$183,N184)," ")/IF(N$182*N$183*N184&gt;0,SQRT(COUNT(N$182:N$183,N184))," "),"")</f>
        <v/>
      </c>
    </row>
    <row r="224" customFormat="false" ht="15.75" hidden="false" customHeight="false" outlineLevel="0" collapsed="false">
      <c r="A224" s="220" t="s">
        <v>350</v>
      </c>
      <c r="B224" s="221"/>
      <c r="C224" s="222" t="str">
        <f aca="false">IFERROR(IF(C$182*C$183*C185&gt;0,AVERAGE(C$182:C$183,C185),""),"")</f>
        <v/>
      </c>
      <c r="D224" s="222" t="str">
        <f aca="false">IFERROR(IF(D$182*D$183*D185&gt;0,AVERAGE(D$182:D$183,D185),""),"")</f>
        <v/>
      </c>
      <c r="E224" s="222" t="str">
        <f aca="false">IFERROR(IF(E$182*E$183*E185&gt;0,AVERAGE(E$182:E$183,E185),""),"")</f>
        <v/>
      </c>
      <c r="F224" s="222" t="str">
        <f aca="false">IFERROR(IF(F$182*F$183*F185&gt;0,AVERAGE(F$182:F$183,F185),""),"")</f>
        <v/>
      </c>
      <c r="G224" s="222" t="str">
        <f aca="false">IFERROR(IF(G$182*G$183*G185&gt;0,AVERAGE(G$182:G$183,G185),""),"")</f>
        <v/>
      </c>
      <c r="H224" s="222" t="str">
        <f aca="false">IFERROR(IF(H$182*H$183*H185&gt;0,AVERAGE(H$182:H$183,H185),""),"")</f>
        <v/>
      </c>
      <c r="I224" s="222" t="str">
        <f aca="false">IFERROR(IF(I$182*I$183*I185&gt;0,AVERAGE(I$182:I$183,I185),""),"")</f>
        <v/>
      </c>
      <c r="J224" s="222" t="str">
        <f aca="false">IFERROR(IF(J$182*J$183*J185&gt;0,AVERAGE(J$182:J$183,J185),""),"")</f>
        <v/>
      </c>
      <c r="K224" s="222" t="str">
        <f aca="false">IFERROR(IF(K$182*K$183*K185&gt;0,AVERAGE(K$182:K$183,K185),""),"")</f>
        <v/>
      </c>
      <c r="L224" s="222" t="str">
        <f aca="false">IFERROR(IF(L$182*L$183*L185&gt;0,AVERAGE(L$182:L$183,L185),""),"")</f>
        <v/>
      </c>
      <c r="M224" s="222" t="str">
        <f aca="false">IFERROR(IF(M$182*M$183*M185&gt;0,AVERAGE(M$182:M$183,M185),""),"")</f>
        <v/>
      </c>
      <c r="N224" s="222" t="str">
        <f aca="false">IFERROR(IF(N$182*N$183*N185&gt;0,AVERAGE(N$182:N$183,N185),""),"")</f>
        <v/>
      </c>
      <c r="O224" s="224"/>
      <c r="P224" s="224"/>
      <c r="Q224" s="232"/>
      <c r="R224" s="226" t="s">
        <v>351</v>
      </c>
      <c r="S224" s="227" t="str">
        <f aca="false">IFERROR(IF(C$182*C$183*C185&gt;0,STDEV(C$182:C$183,C185),"")/IF(C$182*C$183*C185&gt;0,AVERAGE(C$182:C$183,C185),""),"")</f>
        <v/>
      </c>
      <c r="T224" s="227" t="str">
        <f aca="false">IFERROR(IF(D$182*D$183*D185&gt;0,STDEV(D$182:D$183,D185),"")/IF(D$182*D$183*D185&gt;0,AVERAGE(D$182:D$183,D185),""),"")</f>
        <v/>
      </c>
      <c r="U224" s="227" t="str">
        <f aca="false">IFERROR(IF(E$182*E$183*E185&gt;0,STDEV(E$182:E$183,E185),"")/IF(E$182*E$183*E185&gt;0,AVERAGE(E$182:E$183,E185),""),"")</f>
        <v/>
      </c>
      <c r="V224" s="227" t="str">
        <f aca="false">IFERROR(IF(F$182*F$183*F185&gt;0,STDEV(F$182:F$183,F185),"")/IF(F$182*F$183*F185&gt;0,AVERAGE(F$182:F$183,F185),""),"")</f>
        <v/>
      </c>
      <c r="W224" s="227" t="str">
        <f aca="false">IFERROR(IF(G$182*G$183*G185&gt;0,STDEV(G$182:G$183,G185),"")/IF(G$182*G$183*G185&gt;0,AVERAGE(G$182:G$183,G185),""),"")</f>
        <v/>
      </c>
      <c r="X224" s="227" t="str">
        <f aca="false">IFERROR(IF(H$182*H$183*H185&gt;0,STDEV(H$182:H$183,H185),"")/IF(H$182*H$183*H185&gt;0,AVERAGE(H$182:H$183,H185),""),"")</f>
        <v/>
      </c>
      <c r="Y224" s="227" t="str">
        <f aca="false">IFERROR(IF(I$182*I$183*I185&gt;0,STDEV(I$182:I$183,I185),"")/IF(I$182*I$183*I185&gt;0,AVERAGE(I$182:I$183,I185),""),"")</f>
        <v/>
      </c>
      <c r="Z224" s="227" t="str">
        <f aca="false">IFERROR(IF(J$182*J$183*J185&gt;0,STDEV(J$182:J$183,J185),"")/IF(J$182*J$183*J185&gt;0,AVERAGE(J$182:J$183,J185),""),"")</f>
        <v/>
      </c>
      <c r="AA224" s="227" t="str">
        <f aca="false">IFERROR(IF(K$182*K$183*K185&gt;0,STDEV(K$182:K$183,K185),"")/IF(K$182*K$183*K185&gt;0,AVERAGE(K$182:K$183,K185),""),"")</f>
        <v/>
      </c>
      <c r="AB224" s="227" t="str">
        <f aca="false">IFERROR(IF(L$182*L$183*L185&gt;0,STDEV(L$182:L$183,L185),"")/IF(L$182*L$183*L185&gt;0,AVERAGE(L$182:L$183,L185),""),"")</f>
        <v/>
      </c>
      <c r="AC224" s="227" t="str">
        <f aca="false">IFERROR(IF(M$182*M$183*M185&gt;0,STDEV(M$182:M$183,M185),"")/IF(M$182*M$183*M185&gt;0,AVERAGE(M$182:M$183,M185),""),"")</f>
        <v/>
      </c>
      <c r="AD224" s="227" t="str">
        <f aca="false">IFERROR(IF(N$182*N$183*N185&gt;0,STDEV(N$182:N$183,N185),"")/IF(N$182*N$183*N185&gt;0,AVERAGE(N$182:N$183,N185),""),"")</f>
        <v/>
      </c>
      <c r="AE224" s="233"/>
      <c r="AF224" s="229" t="s">
        <v>352</v>
      </c>
      <c r="AG224" s="270" t="str">
        <f aca="false">IFERROR(IF(C$182*C$183*C185&gt;0,STDEV(C$182:C$183,C185)," ")/IF(C$182*C$183*C185&gt;0,SQRT(COUNT(C$182:C$183,C185))," "),"")</f>
        <v/>
      </c>
      <c r="AH224" s="270" t="str">
        <f aca="false">IFERROR(IF(D$182*D$183*D185&gt;0,STDEV(D$182:D$183,D185)," ")/IF(D$182*D$183*D185&gt;0,SQRT(COUNT(D$182:D$183,D185))," "),"")</f>
        <v/>
      </c>
      <c r="AI224" s="270" t="str">
        <f aca="false">IFERROR(IF(E$182*E$183*E185&gt;0,STDEV(E$182:E$183,E185)," ")/IF(E$182*E$183*E185&gt;0,SQRT(COUNT(E$182:E$183,E185))," "),"")</f>
        <v/>
      </c>
      <c r="AJ224" s="270" t="str">
        <f aca="false">IFERROR(IF(F$182*F$183*F185&gt;0,STDEV(F$182:F$183,F185)," ")/IF(F$182*F$183*F185&gt;0,SQRT(COUNT(F$182:F$183,F185))," "),"")</f>
        <v/>
      </c>
      <c r="AK224" s="270" t="str">
        <f aca="false">IFERROR(IF(G$182*G$183*G185&gt;0,STDEV(G$182:G$183,G185)," ")/IF(G$182*G$183*G185&gt;0,SQRT(COUNT(G$182:G$183,G185))," "),"")</f>
        <v/>
      </c>
      <c r="AL224" s="270" t="str">
        <f aca="false">IFERROR(IF(H$182*H$183*H185&gt;0,STDEV(H$182:H$183,H185)," ")/IF(H$182*H$183*H185&gt;0,SQRT(COUNT(H$182:H$183,H185))," "),"")</f>
        <v/>
      </c>
      <c r="AM224" s="270" t="str">
        <f aca="false">IFERROR(IF(I$182*I$183*I185&gt;0,STDEV(I$182:I$183,I185)," ")/IF(I$182*I$183*I185&gt;0,SQRT(COUNT(I$182:I$183,I185))," "),"")</f>
        <v/>
      </c>
      <c r="AN224" s="270" t="str">
        <f aca="false">IFERROR(IF(J$182*J$183*J185&gt;0,STDEV(J$182:J$183,J185)," ")/IF(J$182*J$183*J185&gt;0,SQRT(COUNT(J$182:J$183,J185))," "),"")</f>
        <v/>
      </c>
      <c r="AO224" s="270" t="str">
        <f aca="false">IFERROR(IF(K$182*K$183*K185&gt;0,STDEV(K$182:K$183,K185)," ")/IF(K$182*K$183*K185&gt;0,SQRT(COUNT(K$182:K$183,K185))," "),"")</f>
        <v/>
      </c>
      <c r="AP224" s="270" t="str">
        <f aca="false">IFERROR(IF(L$182*L$183*L185&gt;0,STDEV(L$182:L$183,L185)," ")/IF(L$182*L$183*L185&gt;0,SQRT(COUNT(L$182:L$183,L185))," "),"")</f>
        <v/>
      </c>
      <c r="AQ224" s="270" t="str">
        <f aca="false">IFERROR(IF(M$182*M$183*M185&gt;0,STDEV(M$182:M$183,M185)," ")/IF(M$182*M$183*M185&gt;0,SQRT(COUNT(M$182:M$183,M185))," "),"")</f>
        <v/>
      </c>
      <c r="AR224" s="270" t="str">
        <f aca="false">IFERROR(IF(N$182*N$183*N185&gt;0,STDEV(N$182:N$183,N185)," ")/IF(N$182*N$183*N185&gt;0,SQRT(COUNT(N$182:N$183,N185))," "),"")</f>
        <v/>
      </c>
    </row>
    <row r="225" customFormat="false" ht="15.75" hidden="false" customHeight="false" outlineLevel="0" collapsed="false">
      <c r="A225" s="220" t="s">
        <v>353</v>
      </c>
      <c r="B225" s="221"/>
      <c r="C225" s="222" t="str">
        <f aca="false">IFERROR(IF(C$182*C$183*C186&gt;0,AVERAGE(C$182:C$183,C186),""),"")</f>
        <v/>
      </c>
      <c r="D225" s="222" t="str">
        <f aca="false">IFERROR(IF(D$182*D$183*D186&gt;0,AVERAGE(D$182:D$183,D186),""),"")</f>
        <v/>
      </c>
      <c r="E225" s="222" t="str">
        <f aca="false">IFERROR(IF(E$182*E$183*E186&gt;0,AVERAGE(E$182:E$183,E186),""),"")</f>
        <v/>
      </c>
      <c r="F225" s="222" t="str">
        <f aca="false">IFERROR(IF(F$182*F$183*F186&gt;0,AVERAGE(F$182:F$183,F186),""),"")</f>
        <v/>
      </c>
      <c r="G225" s="222" t="str">
        <f aca="false">IFERROR(IF(G$182*G$183*G186&gt;0,AVERAGE(G$182:G$183,G186),""),"")</f>
        <v/>
      </c>
      <c r="H225" s="222" t="str">
        <f aca="false">IFERROR(IF(H$182*H$183*H186&gt;0,AVERAGE(H$182:H$183,H186),""),"")</f>
        <v/>
      </c>
      <c r="I225" s="222" t="str">
        <f aca="false">IFERROR(IF(I$182*I$183*I186&gt;0,AVERAGE(I$182:I$183,I186),""),"")</f>
        <v/>
      </c>
      <c r="J225" s="222" t="str">
        <f aca="false">IFERROR(IF(J$182*J$183*J186&gt;0,AVERAGE(J$182:J$183,J186),""),"")</f>
        <v/>
      </c>
      <c r="K225" s="222" t="str">
        <f aca="false">IFERROR(IF(K$182*K$183*K186&gt;0,AVERAGE(K$182:K$183,K186),""),"")</f>
        <v/>
      </c>
      <c r="L225" s="222" t="str">
        <f aca="false">IFERROR(IF(L$182*L$183*L186&gt;0,AVERAGE(L$182:L$183,L186),""),"")</f>
        <v/>
      </c>
      <c r="M225" s="222" t="str">
        <f aca="false">IFERROR(IF(M$182*M$183*M186&gt;0,AVERAGE(M$182:M$183,M186),""),"")</f>
        <v/>
      </c>
      <c r="N225" s="222" t="str">
        <f aca="false">IFERROR(IF(N$182*N$183*N186&gt;0,AVERAGE(N$182:N$183,N186),""),"")</f>
        <v/>
      </c>
      <c r="O225" s="224"/>
      <c r="P225" s="224"/>
      <c r="Q225" s="232"/>
      <c r="R225" s="226" t="s">
        <v>354</v>
      </c>
      <c r="S225" s="227" t="str">
        <f aca="false">IFERROR(IF(C$182*C$183*C186&gt;0,STDEV(C$182:C$183,C186),"")/IF(C$182*C$183*C186&gt;0,AVERAGE(C$182:C$183,C186),""),"")</f>
        <v/>
      </c>
      <c r="T225" s="227" t="str">
        <f aca="false">IFERROR(IF(D$182*D$183*D186&gt;0,STDEV(D$182:D$183,D186),"")/IF(D$182*D$183*D186&gt;0,AVERAGE(D$182:D$183,D186),""),"")</f>
        <v/>
      </c>
      <c r="U225" s="227" t="str">
        <f aca="false">IFERROR(IF(E$182*E$183*E186&gt;0,STDEV(E$182:E$183,E186),"")/IF(E$182*E$183*E186&gt;0,AVERAGE(E$182:E$183,E186),""),"")</f>
        <v/>
      </c>
      <c r="V225" s="227" t="str">
        <f aca="false">IFERROR(IF(F$182*F$183*F186&gt;0,STDEV(F$182:F$183,F186),"")/IF(F$182*F$183*F186&gt;0,AVERAGE(F$182:F$183,F186),""),"")</f>
        <v/>
      </c>
      <c r="W225" s="227" t="str">
        <f aca="false">IFERROR(IF(G$182*G$183*G186&gt;0,STDEV(G$182:G$183,G186),"")/IF(G$182*G$183*G186&gt;0,AVERAGE(G$182:G$183,G186),""),"")</f>
        <v/>
      </c>
      <c r="X225" s="227" t="str">
        <f aca="false">IFERROR(IF(H$182*H$183*H186&gt;0,STDEV(H$182:H$183,H186),"")/IF(H$182*H$183*H186&gt;0,AVERAGE(H$182:H$183,H186),""),"")</f>
        <v/>
      </c>
      <c r="Y225" s="227" t="str">
        <f aca="false">IFERROR(IF(I$182*I$183*I186&gt;0,STDEV(I$182:I$183,I186),"")/IF(I$182*I$183*I186&gt;0,AVERAGE(I$182:I$183,I186),""),"")</f>
        <v/>
      </c>
      <c r="Z225" s="227" t="str">
        <f aca="false">IFERROR(IF(J$182*J$183*J186&gt;0,STDEV(J$182:J$183,J186),"")/IF(J$182*J$183*J186&gt;0,AVERAGE(J$182:J$183,J186),""),"")</f>
        <v/>
      </c>
      <c r="AA225" s="227" t="str">
        <f aca="false">IFERROR(IF(K$182*K$183*K186&gt;0,STDEV(K$182:K$183,K186),"")/IF(K$182*K$183*K186&gt;0,AVERAGE(K$182:K$183,K186),""),"")</f>
        <v/>
      </c>
      <c r="AB225" s="227" t="str">
        <f aca="false">IFERROR(IF(L$182*L$183*L186&gt;0,STDEV(L$182:L$183,L186),"")/IF(L$182*L$183*L186&gt;0,AVERAGE(L$182:L$183,L186),""),"")</f>
        <v/>
      </c>
      <c r="AC225" s="227" t="str">
        <f aca="false">IFERROR(IF(M$182*M$183*M186&gt;0,STDEV(M$182:M$183,M186),"")/IF(M$182*M$183*M186&gt;0,AVERAGE(M$182:M$183,M186),""),"")</f>
        <v/>
      </c>
      <c r="AD225" s="227" t="str">
        <f aca="false">IFERROR(IF(N$182*N$183*N186&gt;0,STDEV(N$182:N$183,N186),"")/IF(N$182*N$183*N186&gt;0,AVERAGE(N$182:N$183,N186),""),"")</f>
        <v/>
      </c>
      <c r="AE225" s="233"/>
      <c r="AF225" s="229" t="s">
        <v>355</v>
      </c>
      <c r="AG225" s="270" t="str">
        <f aca="false">IFERROR(IF(C$182*C$183*C186&gt;0,STDEV(C$182:C$183,C186)," ")/IF(C$182*C$183*C186&gt;0,SQRT(COUNT(C$182:C$183,C186))," "),"")</f>
        <v/>
      </c>
      <c r="AH225" s="270" t="str">
        <f aca="false">IFERROR(IF(D$182*D$183*D186&gt;0,STDEV(D$182:D$183,D186)," ")/IF(D$182*D$183*D186&gt;0,SQRT(COUNT(D$182:D$183,D186))," "),"")</f>
        <v/>
      </c>
      <c r="AI225" s="270" t="str">
        <f aca="false">IFERROR(IF(E$182*E$183*E186&gt;0,STDEV(E$182:E$183,E186)," ")/IF(E$182*E$183*E186&gt;0,SQRT(COUNT(E$182:E$183,E186))," "),"")</f>
        <v/>
      </c>
      <c r="AJ225" s="270" t="str">
        <f aca="false">IFERROR(IF(F$182*F$183*F186&gt;0,STDEV(F$182:F$183,F186)," ")/IF(F$182*F$183*F186&gt;0,SQRT(COUNT(F$182:F$183,F186))," "),"")</f>
        <v/>
      </c>
      <c r="AK225" s="270" t="str">
        <f aca="false">IFERROR(IF(G$182*G$183*G186&gt;0,STDEV(G$182:G$183,G186)," ")/IF(G$182*G$183*G186&gt;0,SQRT(COUNT(G$182:G$183,G186))," "),"")</f>
        <v/>
      </c>
      <c r="AL225" s="270" t="str">
        <f aca="false">IFERROR(IF(H$182*H$183*H186&gt;0,STDEV(H$182:H$183,H186)," ")/IF(H$182*H$183*H186&gt;0,SQRT(COUNT(H$182:H$183,H186))," "),"")</f>
        <v/>
      </c>
      <c r="AM225" s="270" t="str">
        <f aca="false">IFERROR(IF(I$182*I$183*I186&gt;0,STDEV(I$182:I$183,I186)," ")/IF(I$182*I$183*I186&gt;0,SQRT(COUNT(I$182:I$183,I186))," "),"")</f>
        <v/>
      </c>
      <c r="AN225" s="270" t="str">
        <f aca="false">IFERROR(IF(J$182*J$183*J186&gt;0,STDEV(J$182:J$183,J186)," ")/IF(J$182*J$183*J186&gt;0,SQRT(COUNT(J$182:J$183,J186))," "),"")</f>
        <v/>
      </c>
      <c r="AO225" s="270" t="str">
        <f aca="false">IFERROR(IF(K$182*K$183*K186&gt;0,STDEV(K$182:K$183,K186)," ")/IF(K$182*K$183*K186&gt;0,SQRT(COUNT(K$182:K$183,K186))," "),"")</f>
        <v/>
      </c>
      <c r="AP225" s="270" t="str">
        <f aca="false">IFERROR(IF(L$182*L$183*L186&gt;0,STDEV(L$182:L$183,L186)," ")/IF(L$182*L$183*L186&gt;0,SQRT(COUNT(L$182:L$183,L186))," "),"")</f>
        <v/>
      </c>
      <c r="AQ225" s="270" t="str">
        <f aca="false">IFERROR(IF(M$182*M$183*M186&gt;0,STDEV(M$182:M$183,M186)," ")/IF(M$182*M$183*M186&gt;0,SQRT(COUNT(M$182:M$183,M186))," "),"")</f>
        <v/>
      </c>
      <c r="AR225" s="270" t="str">
        <f aca="false">IFERROR(IF(N$182*N$183*N186&gt;0,STDEV(N$182:N$183,N186)," ")/IF(N$182*N$183*N186&gt;0,SQRT(COUNT(N$182:N$183,N186))," "),"")</f>
        <v/>
      </c>
    </row>
    <row r="226" customFormat="false" ht="15.75" hidden="false" customHeight="false" outlineLevel="0" collapsed="false">
      <c r="A226" s="220" t="s">
        <v>356</v>
      </c>
      <c r="B226" s="221"/>
      <c r="C226" s="222" t="str">
        <f aca="false">IFERROR(IF(C$182*C$183*C187&gt;0,AVERAGE(C$182:C$183,C187),""),"")</f>
        <v/>
      </c>
      <c r="D226" s="222" t="str">
        <f aca="false">IFERROR(IF(D$182*D$183*D187&gt;0,AVERAGE(D$182:D$183,D187),""),"")</f>
        <v/>
      </c>
      <c r="E226" s="222" t="str">
        <f aca="false">IFERROR(IF(E$182*E$183*E187&gt;0,AVERAGE(E$182:E$183,E187),""),"")</f>
        <v/>
      </c>
      <c r="F226" s="222" t="str">
        <f aca="false">IFERROR(IF(F$182*F$183*F187&gt;0,AVERAGE(F$182:F$183,F187),""),"")</f>
        <v/>
      </c>
      <c r="G226" s="222" t="str">
        <f aca="false">IFERROR(IF(G$182*G$183*G187&gt;0,AVERAGE(G$182:G$183,G187),""),"")</f>
        <v/>
      </c>
      <c r="H226" s="222" t="str">
        <f aca="false">IFERROR(IF(H$182*H$183*H187&gt;0,AVERAGE(H$182:H$183,H187),""),"")</f>
        <v/>
      </c>
      <c r="I226" s="222" t="str">
        <f aca="false">IFERROR(IF(I$182*I$183*I187&gt;0,AVERAGE(I$182:I$183,I187),""),"")</f>
        <v/>
      </c>
      <c r="J226" s="222" t="str">
        <f aca="false">IFERROR(IF(J$182*J$183*J187&gt;0,AVERAGE(J$182:J$183,J187),""),"")</f>
        <v/>
      </c>
      <c r="K226" s="222" t="str">
        <f aca="false">IFERROR(IF(K$182*K$183*K187&gt;0,AVERAGE(K$182:K$183,K187),""),"")</f>
        <v/>
      </c>
      <c r="L226" s="222" t="str">
        <f aca="false">IFERROR(IF(L$182*L$183*L187&gt;0,AVERAGE(L$182:L$183,L187),""),"")</f>
        <v/>
      </c>
      <c r="M226" s="222" t="str">
        <f aca="false">IFERROR(IF(M$182*M$183*M187&gt;0,AVERAGE(M$182:M$183,M187),""),"")</f>
        <v/>
      </c>
      <c r="N226" s="222" t="str">
        <f aca="false">IFERROR(IF(N$182*N$183*N187&gt;0,AVERAGE(N$182:N$183,N187),""),"")</f>
        <v/>
      </c>
      <c r="O226" s="253"/>
      <c r="P226" s="253"/>
      <c r="Q226" s="254"/>
      <c r="R226" s="226" t="s">
        <v>357</v>
      </c>
      <c r="S226" s="227" t="str">
        <f aca="false">IFERROR(IF(C$182*C$183*C187&gt;0,STDEV(C$182:C$183,C187),"")/IF(C$182*C$183*C187&gt;0,AVERAGE(C$182:C$183,C187),""),"")</f>
        <v/>
      </c>
      <c r="T226" s="227" t="str">
        <f aca="false">IFERROR(IF(D$182*D$183*D187&gt;0,STDEV(D$182:D$183,D187),"")/IF(D$182*D$183*D187&gt;0,AVERAGE(D$182:D$183,D187),""),"")</f>
        <v/>
      </c>
      <c r="U226" s="227" t="str">
        <f aca="false">IFERROR(IF(E$182*E$183*E187&gt;0,STDEV(E$182:E$183,E187),"")/IF(E$182*E$183*E187&gt;0,AVERAGE(E$182:E$183,E187),""),"")</f>
        <v/>
      </c>
      <c r="V226" s="227" t="str">
        <f aca="false">IFERROR(IF(F$182*F$183*F187&gt;0,STDEV(F$182:F$183,F187),"")/IF(F$182*F$183*F187&gt;0,AVERAGE(F$182:F$183,F187),""),"")</f>
        <v/>
      </c>
      <c r="W226" s="227" t="str">
        <f aca="false">IFERROR(IF(G$182*G$183*G187&gt;0,STDEV(G$182:G$183,G187),"")/IF(G$182*G$183*G187&gt;0,AVERAGE(G$182:G$183,G187),""),"")</f>
        <v/>
      </c>
      <c r="X226" s="227" t="str">
        <f aca="false">IFERROR(IF(H$182*H$183*H187&gt;0,STDEV(H$182:H$183,H187),"")/IF(H$182*H$183*H187&gt;0,AVERAGE(H$182:H$183,H187),""),"")</f>
        <v/>
      </c>
      <c r="Y226" s="227" t="str">
        <f aca="false">IFERROR(IF(I$182*I$183*I187&gt;0,STDEV(I$182:I$183,I187),"")/IF(I$182*I$183*I187&gt;0,AVERAGE(I$182:I$183,I187),""),"")</f>
        <v/>
      </c>
      <c r="Z226" s="227" t="str">
        <f aca="false">IFERROR(IF(J$182*J$183*J187&gt;0,STDEV(J$182:J$183,J187),"")/IF(J$182*J$183*J187&gt;0,AVERAGE(J$182:J$183,J187),""),"")</f>
        <v/>
      </c>
      <c r="AA226" s="227" t="str">
        <f aca="false">IFERROR(IF(K$182*K$183*K187&gt;0,STDEV(K$182:K$183,K187),"")/IF(K$182*K$183*K187&gt;0,AVERAGE(K$182:K$183,K187),""),"")</f>
        <v/>
      </c>
      <c r="AB226" s="227" t="str">
        <f aca="false">IFERROR(IF(L$182*L$183*L187&gt;0,STDEV(L$182:L$183,L187),"")/IF(L$182*L$183*L187&gt;0,AVERAGE(L$182:L$183,L187),""),"")</f>
        <v/>
      </c>
      <c r="AC226" s="227" t="str">
        <f aca="false">IFERROR(IF(M$182*M$183*M187&gt;0,STDEV(M$182:M$183,M187),"")/IF(M$182*M$183*M187&gt;0,AVERAGE(M$182:M$183,M187),""),"")</f>
        <v/>
      </c>
      <c r="AD226" s="227" t="str">
        <f aca="false">IFERROR(IF(N$182*N$183*N187&gt;0,STDEV(N$182:N$183,N187),"")/IF(N$182*N$183*N187&gt;0,AVERAGE(N$182:N$183,N187),""),"")</f>
        <v/>
      </c>
      <c r="AE226" s="233"/>
      <c r="AF226" s="229" t="s">
        <v>358</v>
      </c>
      <c r="AG226" s="270" t="str">
        <f aca="false">IFERROR(IF(C$182*C$183*C187&gt;0,STDEV(C$182:C$183,C187)," ")/IF(C$182*C$183*C187&gt;0,SQRT(COUNT(C$182:C$183,C187))," "),"")</f>
        <v/>
      </c>
      <c r="AH226" s="270" t="str">
        <f aca="false">IFERROR(IF(D$182*D$183*D187&gt;0,STDEV(D$182:D$183,D187)," ")/IF(D$182*D$183*D187&gt;0,SQRT(COUNT(D$182:D$183,D187))," "),"")</f>
        <v/>
      </c>
      <c r="AI226" s="270" t="str">
        <f aca="false">IFERROR(IF(E$182*E$183*E187&gt;0,STDEV(E$182:E$183,E187)," ")/IF(E$182*E$183*E187&gt;0,SQRT(COUNT(E$182:E$183,E187))," "),"")</f>
        <v/>
      </c>
      <c r="AJ226" s="270" t="str">
        <f aca="false">IFERROR(IF(F$182*F$183*F187&gt;0,STDEV(F$182:F$183,F187)," ")/IF(F$182*F$183*F187&gt;0,SQRT(COUNT(F$182:F$183,F187))," "),"")</f>
        <v/>
      </c>
      <c r="AK226" s="270" t="str">
        <f aca="false">IFERROR(IF(G$182*G$183*G187&gt;0,STDEV(G$182:G$183,G187)," ")/IF(G$182*G$183*G187&gt;0,SQRT(COUNT(G$182:G$183,G187))," "),"")</f>
        <v/>
      </c>
      <c r="AL226" s="270" t="str">
        <f aca="false">IFERROR(IF(H$182*H$183*H187&gt;0,STDEV(H$182:H$183,H187)," ")/IF(H$182*H$183*H187&gt;0,SQRT(COUNT(H$182:H$183,H187))," "),"")</f>
        <v/>
      </c>
      <c r="AM226" s="270" t="str">
        <f aca="false">IFERROR(IF(I$182*I$183*I187&gt;0,STDEV(I$182:I$183,I187)," ")/IF(I$182*I$183*I187&gt;0,SQRT(COUNT(I$182:I$183,I187))," "),"")</f>
        <v/>
      </c>
      <c r="AN226" s="270" t="str">
        <f aca="false">IFERROR(IF(J$182*J$183*J187&gt;0,STDEV(J$182:J$183,J187)," ")/IF(J$182*J$183*J187&gt;0,SQRT(COUNT(J$182:J$183,J187))," "),"")</f>
        <v/>
      </c>
      <c r="AO226" s="270" t="str">
        <f aca="false">IFERROR(IF(K$182*K$183*K187&gt;0,STDEV(K$182:K$183,K187)," ")/IF(K$182*K$183*K187&gt;0,SQRT(COUNT(K$182:K$183,K187))," "),"")</f>
        <v/>
      </c>
      <c r="AP226" s="270" t="str">
        <f aca="false">IFERROR(IF(L$182*L$183*L187&gt;0,STDEV(L$182:L$183,L187)," ")/IF(L$182*L$183*L187&gt;0,SQRT(COUNT(L$182:L$183,L187))," "),"")</f>
        <v/>
      </c>
      <c r="AQ226" s="270" t="str">
        <f aca="false">IFERROR(IF(M$182*M$183*M187&gt;0,STDEV(M$182:M$183,M187)," ")/IF(M$182*M$183*M187&gt;0,SQRT(COUNT(M$182:M$183,M187))," "),"")</f>
        <v/>
      </c>
      <c r="AR226" s="270" t="str">
        <f aca="false">IFERROR(IF(N$182*N$183*N187&gt;0,STDEV(N$182:N$183,N187)," ")/IF(N$182*N$183*N187&gt;0,SQRT(COUNT(N$182:N$183,N187))," "),"")</f>
        <v/>
      </c>
    </row>
    <row r="227" customFormat="false" ht="15.75" hidden="false" customHeight="false" outlineLevel="0" collapsed="false">
      <c r="A227" s="220" t="s">
        <v>359</v>
      </c>
      <c r="B227" s="221"/>
      <c r="C227" s="222" t="str">
        <f aca="false">IFERROR(IF(C$182*C$183*C188&gt;0,AVERAGE(C$182:C$183,C188),""),"")</f>
        <v/>
      </c>
      <c r="D227" s="222" t="str">
        <f aca="false">IFERROR(IF(D$182*D$183*D188&gt;0,AVERAGE(D$182:D$183,D188),""),"")</f>
        <v/>
      </c>
      <c r="E227" s="222" t="str">
        <f aca="false">IFERROR(IF(E$182*E$183*E188&gt;0,AVERAGE(E$182:E$183,E188),""),"")</f>
        <v/>
      </c>
      <c r="F227" s="222" t="str">
        <f aca="false">IFERROR(IF(F$182*F$183*F188&gt;0,AVERAGE(F$182:F$183,F188),""),"")</f>
        <v/>
      </c>
      <c r="G227" s="222" t="str">
        <f aca="false">IFERROR(IF(G$182*G$183*G188&gt;0,AVERAGE(G$182:G$183,G188),""),"")</f>
        <v/>
      </c>
      <c r="H227" s="222" t="str">
        <f aca="false">IFERROR(IF(H$182*H$183*H188&gt;0,AVERAGE(H$182:H$183,H188),""),"")</f>
        <v/>
      </c>
      <c r="I227" s="222" t="str">
        <f aca="false">IFERROR(IF(I$182*I$183*I188&gt;0,AVERAGE(I$182:I$183,I188),""),"")</f>
        <v/>
      </c>
      <c r="J227" s="222" t="str">
        <f aca="false">IFERROR(IF(J$182*J$183*J188&gt;0,AVERAGE(J$182:J$183,J188),""),"")</f>
        <v/>
      </c>
      <c r="K227" s="222" t="str">
        <f aca="false">IFERROR(IF(K$182*K$183*K188&gt;0,AVERAGE(K$182:K$183,K188),""),"")</f>
        <v/>
      </c>
      <c r="L227" s="222" t="str">
        <f aca="false">IFERROR(IF(L$182*L$183*L188&gt;0,AVERAGE(L$182:L$183,L188),""),"")</f>
        <v/>
      </c>
      <c r="M227" s="222" t="str">
        <f aca="false">IFERROR(IF(M$182*M$183*M188&gt;0,AVERAGE(M$182:M$183,M188),""),"")</f>
        <v/>
      </c>
      <c r="N227" s="222" t="str">
        <f aca="false">IFERROR(IF(N$182*N$183*N188&gt;0,AVERAGE(N$182:N$183,N188),""),"")</f>
        <v/>
      </c>
      <c r="O227" s="253"/>
      <c r="P227" s="253"/>
      <c r="Q227" s="254"/>
      <c r="R227" s="226" t="s">
        <v>360</v>
      </c>
      <c r="S227" s="227" t="str">
        <f aca="false">IFERROR(IF(C$182*C$183*C188&gt;0,STDEV(C$182:C$183,C188),"")/IF(C$182*C$183*C188&gt;0,AVERAGE(C$182:C$183,C188),""),"")</f>
        <v/>
      </c>
      <c r="T227" s="227" t="str">
        <f aca="false">IFERROR(IF(D$182*D$183*D188&gt;0,STDEV(D$182:D$183,D188),"")/IF(D$182*D$183*D188&gt;0,AVERAGE(D$182:D$183,D188),""),"")</f>
        <v/>
      </c>
      <c r="U227" s="227" t="str">
        <f aca="false">IFERROR(IF(E$182*E$183*E188&gt;0,STDEV(E$182:E$183,E188),"")/IF(E$182*E$183*E188&gt;0,AVERAGE(E$182:E$183,E188),""),"")</f>
        <v/>
      </c>
      <c r="V227" s="227" t="str">
        <f aca="false">IFERROR(IF(F$182*F$183*F188&gt;0,STDEV(F$182:F$183,F188),"")/IF(F$182*F$183*F188&gt;0,AVERAGE(F$182:F$183,F188),""),"")</f>
        <v/>
      </c>
      <c r="W227" s="227" t="str">
        <f aca="false">IFERROR(IF(G$182*G$183*G188&gt;0,STDEV(G$182:G$183,G188),"")/IF(G$182*G$183*G188&gt;0,AVERAGE(G$182:G$183,G188),""),"")</f>
        <v/>
      </c>
      <c r="X227" s="227" t="str">
        <f aca="false">IFERROR(IF(H$182*H$183*H188&gt;0,STDEV(H$182:H$183,H188),"")/IF(H$182*H$183*H188&gt;0,AVERAGE(H$182:H$183,H188),""),"")</f>
        <v/>
      </c>
      <c r="Y227" s="227" t="str">
        <f aca="false">IFERROR(IF(I$182*I$183*I188&gt;0,STDEV(I$182:I$183,I188),"")/IF(I$182*I$183*I188&gt;0,AVERAGE(I$182:I$183,I188),""),"")</f>
        <v/>
      </c>
      <c r="Z227" s="227" t="str">
        <f aca="false">IFERROR(IF(J$182*J$183*J188&gt;0,STDEV(J$182:J$183,J188),"")/IF(J$182*J$183*J188&gt;0,AVERAGE(J$182:J$183,J188),""),"")</f>
        <v/>
      </c>
      <c r="AA227" s="227" t="str">
        <f aca="false">IFERROR(IF(K$182*K$183*K188&gt;0,STDEV(K$182:K$183,K188),"")/IF(K$182*K$183*K188&gt;0,AVERAGE(K$182:K$183,K188),""),"")</f>
        <v/>
      </c>
      <c r="AB227" s="227" t="str">
        <f aca="false">IFERROR(IF(L$182*L$183*L188&gt;0,STDEV(L$182:L$183,L188),"")/IF(L$182*L$183*L188&gt;0,AVERAGE(L$182:L$183,L188),""),"")</f>
        <v/>
      </c>
      <c r="AC227" s="227" t="str">
        <f aca="false">IFERROR(IF(M$182*M$183*M188&gt;0,STDEV(M$182:M$183,M188),"")/IF(M$182*M$183*M188&gt;0,AVERAGE(M$182:M$183,M188),""),"")</f>
        <v/>
      </c>
      <c r="AD227" s="227" t="str">
        <f aca="false">IFERROR(IF(N$182*N$183*N188&gt;0,STDEV(N$182:N$183,N188),"")/IF(N$182*N$183*N188&gt;0,AVERAGE(N$182:N$183,N188),""),"")</f>
        <v/>
      </c>
      <c r="AE227" s="233"/>
      <c r="AF227" s="229" t="s">
        <v>361</v>
      </c>
      <c r="AG227" s="270" t="str">
        <f aca="false">IFERROR(IF(C$182*C$183*C188&gt;0,STDEV(C$182:C$183,C188)," ")/IF(C$182*C$183*C188&gt;0,SQRT(COUNT(C$182:C$183,C188))," "),"")</f>
        <v/>
      </c>
      <c r="AH227" s="270" t="str">
        <f aca="false">IFERROR(IF(D$182*D$183*D188&gt;0,STDEV(D$182:D$183,D188)," ")/IF(D$182*D$183*D188&gt;0,SQRT(COUNT(D$182:D$183,D188))," "),"")</f>
        <v/>
      </c>
      <c r="AI227" s="270" t="str">
        <f aca="false">IFERROR(IF(E$182*E$183*E188&gt;0,STDEV(E$182:E$183,E188)," ")/IF(E$182*E$183*E188&gt;0,SQRT(COUNT(E$182:E$183,E188))," "),"")</f>
        <v/>
      </c>
      <c r="AJ227" s="270" t="str">
        <f aca="false">IFERROR(IF(F$182*F$183*F188&gt;0,STDEV(F$182:F$183,F188)," ")/IF(F$182*F$183*F188&gt;0,SQRT(COUNT(F$182:F$183,F188))," "),"")</f>
        <v/>
      </c>
      <c r="AK227" s="270" t="str">
        <f aca="false">IFERROR(IF(G$182*G$183*G188&gt;0,STDEV(G$182:G$183,G188)," ")/IF(G$182*G$183*G188&gt;0,SQRT(COUNT(G$182:G$183,G188))," "),"")</f>
        <v/>
      </c>
      <c r="AL227" s="270" t="str">
        <f aca="false">IFERROR(IF(H$182*H$183*H188&gt;0,STDEV(H$182:H$183,H188)," ")/IF(H$182*H$183*H188&gt;0,SQRT(COUNT(H$182:H$183,H188))," "),"")</f>
        <v/>
      </c>
      <c r="AM227" s="270" t="str">
        <f aca="false">IFERROR(IF(I$182*I$183*I188&gt;0,STDEV(I$182:I$183,I188)," ")/IF(I$182*I$183*I188&gt;0,SQRT(COUNT(I$182:I$183,I188))," "),"")</f>
        <v/>
      </c>
      <c r="AN227" s="270" t="str">
        <f aca="false">IFERROR(IF(J$182*J$183*J188&gt;0,STDEV(J$182:J$183,J188)," ")/IF(J$182*J$183*J188&gt;0,SQRT(COUNT(J$182:J$183,J188))," "),"")</f>
        <v/>
      </c>
      <c r="AO227" s="270" t="str">
        <f aca="false">IFERROR(IF(K$182*K$183*K188&gt;0,STDEV(K$182:K$183,K188)," ")/IF(K$182*K$183*K188&gt;0,SQRT(COUNT(K$182:K$183,K188))," "),"")</f>
        <v/>
      </c>
      <c r="AP227" s="270" t="str">
        <f aca="false">IFERROR(IF(L$182*L$183*L188&gt;0,STDEV(L$182:L$183,L188)," ")/IF(L$182*L$183*L188&gt;0,SQRT(COUNT(L$182:L$183,L188))," "),"")</f>
        <v/>
      </c>
      <c r="AQ227" s="270" t="str">
        <f aca="false">IFERROR(IF(M$182*M$183*M188&gt;0,STDEV(M$182:M$183,M188)," ")/IF(M$182*M$183*M188&gt;0,SQRT(COUNT(M$182:M$183,M188))," "),"")</f>
        <v/>
      </c>
      <c r="AR227" s="270" t="str">
        <f aca="false">IFERROR(IF(N$182*N$183*N188&gt;0,STDEV(N$182:N$183,N188)," ")/IF(N$182*N$183*N188&gt;0,SQRT(COUNT(N$182:N$183,N188))," "),"")</f>
        <v/>
      </c>
    </row>
    <row r="228" customFormat="false" ht="15.75" hidden="false" customHeight="false" outlineLevel="0" collapsed="false">
      <c r="A228" s="220" t="s">
        <v>253</v>
      </c>
      <c r="B228" s="221"/>
      <c r="C228" s="222" t="str">
        <f aca="false">IFERROR(IF(C$183*C$184*C185&gt;0,AVERAGE(C$183:C$184,C185),""),"")</f>
        <v/>
      </c>
      <c r="D228" s="222" t="str">
        <f aca="false">IFERROR(IF(D$183*D$184*D185&gt;0,AVERAGE(D$183:D$184,D185),""),"")</f>
        <v/>
      </c>
      <c r="E228" s="222" t="str">
        <f aca="false">IFERROR(IF(E$183*E$184*E185&gt;0,AVERAGE(E$183:E$184,E185),""),"")</f>
        <v/>
      </c>
      <c r="F228" s="222" t="str">
        <f aca="false">IFERROR(IF(F$183*F$184*F185&gt;0,AVERAGE(F$183:F$184,F185),""),"")</f>
        <v/>
      </c>
      <c r="G228" s="222" t="str">
        <f aca="false">IFERROR(IF(G$183*G$184*G185&gt;0,AVERAGE(G$183:G$184,G185),""),"")</f>
        <v/>
      </c>
      <c r="H228" s="222" t="str">
        <f aca="false">IFERROR(IF(H$183*H$184*H185&gt;0,AVERAGE(H$183:H$184,H185),""),"")</f>
        <v/>
      </c>
      <c r="I228" s="222" t="str">
        <f aca="false">IFERROR(IF(I$183*I$184*I185&gt;0,AVERAGE(I$183:I$184,I185),""),"")</f>
        <v/>
      </c>
      <c r="J228" s="222" t="str">
        <f aca="false">IFERROR(IF(J$183*J$184*J185&gt;0,AVERAGE(J$183:J$184,J185),""),"")</f>
        <v/>
      </c>
      <c r="K228" s="222" t="str">
        <f aca="false">IFERROR(IF(K$183*K$184*K185&gt;0,AVERAGE(K$183:K$184,K185),""),"")</f>
        <v/>
      </c>
      <c r="L228" s="222" t="str">
        <f aca="false">IFERROR(IF(L$183*L$184*L185&gt;0,AVERAGE(L$183:L$184,L185),""),"")</f>
        <v/>
      </c>
      <c r="M228" s="222" t="str">
        <f aca="false">IFERROR(IF(M$183*M$184*M185&gt;0,AVERAGE(M$183:M$184,M185),""),"")</f>
        <v/>
      </c>
      <c r="N228" s="222" t="str">
        <f aca="false">IFERROR(IF(N$183*N$184*N185&gt;0,AVERAGE(N$183:N$184,N185),""),"")</f>
        <v/>
      </c>
      <c r="O228" s="237"/>
      <c r="P228" s="253"/>
      <c r="Q228" s="255"/>
      <c r="R228" s="226" t="s">
        <v>362</v>
      </c>
      <c r="S228" s="227" t="str">
        <f aca="false">IFERROR(IF(C$183*C$184*C185&gt;0,STDEV(C$183:C$184,C185),"")/IF(C$183*C$184*C185&gt;0,AVERAGE(C$183:C$184,C185),""),"")</f>
        <v/>
      </c>
      <c r="T228" s="227" t="str">
        <f aca="false">IFERROR(IF(D$183*D$184*D185&gt;0,STDEV(D$183:D$184,D185),"")/IF(D$183*D$184*D185&gt;0,AVERAGE(D$183:D$184,D185),""),"")</f>
        <v/>
      </c>
      <c r="U228" s="227" t="str">
        <f aca="false">IFERROR(IF(E$183*E$184*E185&gt;0,STDEV(E$183:E$184,E185),"")/IF(E$183*E$184*E185&gt;0,AVERAGE(E$183:E$184,E185),""),"")</f>
        <v/>
      </c>
      <c r="V228" s="227" t="str">
        <f aca="false">IFERROR(IF(F$183*F$184*F185&gt;0,STDEV(F$183:F$184,F185),"")/IF(F$183*F$184*F185&gt;0,AVERAGE(F$183:F$184,F185),""),"")</f>
        <v/>
      </c>
      <c r="W228" s="227" t="str">
        <f aca="false">IFERROR(IF(G$183*G$184*G185&gt;0,STDEV(G$183:G$184,G185),"")/IF(G$183*G$184*G185&gt;0,AVERAGE(G$183:G$184,G185),""),"")</f>
        <v/>
      </c>
      <c r="X228" s="227" t="str">
        <f aca="false">IFERROR(IF(H$183*H$184*H185&gt;0,STDEV(H$183:H$184,H185),"")/IF(H$183*H$184*H185&gt;0,AVERAGE(H$183:H$184,H185),""),"")</f>
        <v/>
      </c>
      <c r="Y228" s="227" t="str">
        <f aca="false">IFERROR(IF(I$183*I$184*I185&gt;0,STDEV(I$183:I$184,I185),"")/IF(I$183*I$184*I185&gt;0,AVERAGE(I$183:I$184,I185),""),"")</f>
        <v/>
      </c>
      <c r="Z228" s="227" t="str">
        <f aca="false">IFERROR(IF(J$183*J$184*J185&gt;0,STDEV(J$183:J$184,J185),"")/IF(J$183*J$184*J185&gt;0,AVERAGE(J$183:J$184,J185),""),"")</f>
        <v/>
      </c>
      <c r="AA228" s="227" t="str">
        <f aca="false">IFERROR(IF(K$183*K$184*K185&gt;0,STDEV(K$183:K$184,K185),"")/IF(K$183*K$184*K185&gt;0,AVERAGE(K$183:K$184,K185),""),"")</f>
        <v/>
      </c>
      <c r="AB228" s="227" t="str">
        <f aca="false">IFERROR(IF(L$183*L$184*L185&gt;0,STDEV(L$183:L$184,L185),"")/IF(L$183*L$184*L185&gt;0,AVERAGE(L$183:L$184,L185),""),"")</f>
        <v/>
      </c>
      <c r="AC228" s="227" t="str">
        <f aca="false">IFERROR(IF(M$183*M$184*M185&gt;0,STDEV(M$183:M$184,M185),"")/IF(M$183*M$184*M185&gt;0,AVERAGE(M$183:M$184,M185),""),"")</f>
        <v/>
      </c>
      <c r="AD228" s="227" t="str">
        <f aca="false">IFERROR(IF(N$183*N$184*N185&gt;0,STDEV(N$183:N$184,N185),"")/IF(N$183*N$184*N185&gt;0,AVERAGE(N$183:N$184,N185),""),"")</f>
        <v/>
      </c>
      <c r="AE228" s="233"/>
      <c r="AF228" s="229" t="s">
        <v>363</v>
      </c>
      <c r="AG228" s="270" t="str">
        <f aca="false">IFERROR(IF(C$183*C$184*C185&gt;0,STDEV(C$183:C$184,C185)," ")/IF(C$183*C$184*C185&gt;0,SQRT(COUNT(C$183:C$184,C185))," "),"")</f>
        <v/>
      </c>
      <c r="AH228" s="270" t="str">
        <f aca="false">IFERROR(IF(D$183*D$184*D185&gt;0,STDEV(D$183:D$184,D185)," ")/IF(D$183*D$184*D185&gt;0,SQRT(COUNT(D$183:D$184,D185))," "),"")</f>
        <v/>
      </c>
      <c r="AI228" s="270" t="str">
        <f aca="false">IFERROR(IF(E$183*E$184*E185&gt;0,STDEV(E$183:E$184,E185)," ")/IF(E$183*E$184*E185&gt;0,SQRT(COUNT(E$183:E$184,E185))," "),"")</f>
        <v/>
      </c>
      <c r="AJ228" s="270" t="str">
        <f aca="false">IFERROR(IF(F$183*F$184*F185&gt;0,STDEV(F$183:F$184,F185)," ")/IF(F$183*F$184*F185&gt;0,SQRT(COUNT(F$183:F$184,F185))," "),"")</f>
        <v/>
      </c>
      <c r="AK228" s="270" t="str">
        <f aca="false">IFERROR(IF(G$183*G$184*G185&gt;0,STDEV(G$183:G$184,G185)," ")/IF(G$183*G$184*G185&gt;0,SQRT(COUNT(G$183:G$184,G185))," "),"")</f>
        <v/>
      </c>
      <c r="AL228" s="270" t="str">
        <f aca="false">IFERROR(IF(H$183*H$184*H185&gt;0,STDEV(H$183:H$184,H185)," ")/IF(H$183*H$184*H185&gt;0,SQRT(COUNT(H$183:H$184,H185))," "),"")</f>
        <v/>
      </c>
      <c r="AM228" s="270" t="str">
        <f aca="false">IFERROR(IF(I$183*I$184*I185&gt;0,STDEV(I$183:I$184,I185)," ")/IF(I$183*I$184*I185&gt;0,SQRT(COUNT(I$183:I$184,I185))," "),"")</f>
        <v/>
      </c>
      <c r="AN228" s="270" t="str">
        <f aca="false">IFERROR(IF(J$183*J$184*J185&gt;0,STDEV(J$183:J$184,J185)," ")/IF(J$183*J$184*J185&gt;0,SQRT(COUNT(J$183:J$184,J185))," "),"")</f>
        <v/>
      </c>
      <c r="AO228" s="270" t="str">
        <f aca="false">IFERROR(IF(K$183*K$184*K185&gt;0,STDEV(K$183:K$184,K185)," ")/IF(K$183*K$184*K185&gt;0,SQRT(COUNT(K$183:K$184,K185))," "),"")</f>
        <v/>
      </c>
      <c r="AP228" s="270" t="str">
        <f aca="false">IFERROR(IF(L$183*L$184*L185&gt;0,STDEV(L$183:L$184,L185)," ")/IF(L$183*L$184*L185&gt;0,SQRT(COUNT(L$183:L$184,L185))," "),"")</f>
        <v/>
      </c>
      <c r="AQ228" s="270" t="str">
        <f aca="false">IFERROR(IF(M$183*M$184*M185&gt;0,STDEV(M$183:M$184,M185)," ")/IF(M$183*M$184*M185&gt;0,SQRT(COUNT(M$183:M$184,M185))," "),"")</f>
        <v/>
      </c>
      <c r="AR228" s="270" t="str">
        <f aca="false">IFERROR(IF(N$183*N$184*N185&gt;0,STDEV(N$183:N$184,N185)," ")/IF(N$183*N$184*N185&gt;0,SQRT(COUNT(N$183:N$184,N185))," "),"")</f>
        <v/>
      </c>
    </row>
    <row r="229" customFormat="false" ht="15.75" hidden="false" customHeight="false" outlineLevel="0" collapsed="false">
      <c r="A229" s="220" t="s">
        <v>254</v>
      </c>
      <c r="B229" s="221"/>
      <c r="C229" s="222" t="str">
        <f aca="false">IFERROR(IF(C$183*C$184*C186&gt;0,AVERAGE(C$183:C$184,C186),""),"")</f>
        <v/>
      </c>
      <c r="D229" s="222" t="str">
        <f aca="false">IFERROR(IF(D$183*D$184*D186&gt;0,AVERAGE(D$183:D$184,D186),""),"")</f>
        <v/>
      </c>
      <c r="E229" s="222" t="str">
        <f aca="false">IFERROR(IF(E$183*E$184*E186&gt;0,AVERAGE(E$183:E$184,E186),""),"")</f>
        <v/>
      </c>
      <c r="F229" s="222" t="str">
        <f aca="false">IFERROR(IF(F$183*F$184*F186&gt;0,AVERAGE(F$183:F$184,F186),""),"")</f>
        <v/>
      </c>
      <c r="G229" s="222" t="str">
        <f aca="false">IFERROR(IF(G$183*G$184*G186&gt;0,AVERAGE(G$183:G$184,G186),""),"")</f>
        <v/>
      </c>
      <c r="H229" s="222" t="str">
        <f aca="false">IFERROR(IF(H$183*H$184*H186&gt;0,AVERAGE(H$183:H$184,H186),""),"")</f>
        <v/>
      </c>
      <c r="I229" s="222" t="str">
        <f aca="false">IFERROR(IF(I$183*I$184*I186&gt;0,AVERAGE(I$183:I$184,I186),""),"")</f>
        <v/>
      </c>
      <c r="J229" s="222" t="str">
        <f aca="false">IFERROR(IF(J$183*J$184*J186&gt;0,AVERAGE(J$183:J$184,J186),""),"")</f>
        <v/>
      </c>
      <c r="K229" s="222" t="str">
        <f aca="false">IFERROR(IF(K$183*K$184*K186&gt;0,AVERAGE(K$183:K$184,K186),""),"")</f>
        <v/>
      </c>
      <c r="L229" s="222" t="str">
        <f aca="false">IFERROR(IF(L$183*L$184*L186&gt;0,AVERAGE(L$183:L$184,L186),""),"")</f>
        <v/>
      </c>
      <c r="M229" s="222" t="str">
        <f aca="false">IFERROR(IF(M$183*M$184*M186&gt;0,AVERAGE(M$183:M$184,M186),""),"")</f>
        <v/>
      </c>
      <c r="N229" s="222" t="str">
        <f aca="false">IFERROR(IF(N$183*N$184*N186&gt;0,AVERAGE(N$183:N$184,N186),""),"")</f>
        <v/>
      </c>
      <c r="O229" s="253"/>
      <c r="P229" s="253"/>
      <c r="Q229" s="254"/>
      <c r="R229" s="226" t="s">
        <v>364</v>
      </c>
      <c r="S229" s="227" t="str">
        <f aca="false">IFERROR(IF(C$183*C$184*C186&gt;0,STDEV(C$183:C$184,C186),"")/IF(C$183*C$184*C186&gt;0,AVERAGE(C$183:C$184,C186),""),"")</f>
        <v/>
      </c>
      <c r="T229" s="227" t="str">
        <f aca="false">IFERROR(IF(D$183*D$184*D186&gt;0,STDEV(D$183:D$184,D186),"")/IF(D$183*D$184*D186&gt;0,AVERAGE(D$183:D$184,D186),""),"")</f>
        <v/>
      </c>
      <c r="U229" s="227" t="str">
        <f aca="false">IFERROR(IF(E$183*E$184*E186&gt;0,STDEV(E$183:E$184,E186),"")/IF(E$183*E$184*E186&gt;0,AVERAGE(E$183:E$184,E186),""),"")</f>
        <v/>
      </c>
      <c r="V229" s="227" t="str">
        <f aca="false">IFERROR(IF(F$183*F$184*F186&gt;0,STDEV(F$183:F$184,F186),"")/IF(F$183*F$184*F186&gt;0,AVERAGE(F$183:F$184,F186),""),"")</f>
        <v/>
      </c>
      <c r="W229" s="227" t="str">
        <f aca="false">IFERROR(IF(G$183*G$184*G186&gt;0,STDEV(G$183:G$184,G186),"")/IF(G$183*G$184*G186&gt;0,AVERAGE(G$183:G$184,G186),""),"")</f>
        <v/>
      </c>
      <c r="X229" s="227" t="str">
        <f aca="false">IFERROR(IF(H$183*H$184*H186&gt;0,STDEV(H$183:H$184,H186),"")/IF(H$183*H$184*H186&gt;0,AVERAGE(H$183:H$184,H186),""),"")</f>
        <v/>
      </c>
      <c r="Y229" s="227" t="str">
        <f aca="false">IFERROR(IF(I$183*I$184*I186&gt;0,STDEV(I$183:I$184,I186),"")/IF(I$183*I$184*I186&gt;0,AVERAGE(I$183:I$184,I186),""),"")</f>
        <v/>
      </c>
      <c r="Z229" s="227" t="str">
        <f aca="false">IFERROR(IF(J$183*J$184*J186&gt;0,STDEV(J$183:J$184,J186),"")/IF(J$183*J$184*J186&gt;0,AVERAGE(J$183:J$184,J186),""),"")</f>
        <v/>
      </c>
      <c r="AA229" s="227" t="str">
        <f aca="false">IFERROR(IF(K$183*K$184*K186&gt;0,STDEV(K$183:K$184,K186),"")/IF(K$183*K$184*K186&gt;0,AVERAGE(K$183:K$184,K186),""),"")</f>
        <v/>
      </c>
      <c r="AB229" s="227" t="str">
        <f aca="false">IFERROR(IF(L$183*L$184*L186&gt;0,STDEV(L$183:L$184,L186),"")/IF(L$183*L$184*L186&gt;0,AVERAGE(L$183:L$184,L186),""),"")</f>
        <v/>
      </c>
      <c r="AC229" s="227" t="str">
        <f aca="false">IFERROR(IF(M$183*M$184*M186&gt;0,STDEV(M$183:M$184,M186),"")/IF(M$183*M$184*M186&gt;0,AVERAGE(M$183:M$184,M186),""),"")</f>
        <v/>
      </c>
      <c r="AD229" s="227" t="str">
        <f aca="false">IFERROR(IF(N$183*N$184*N186&gt;0,STDEV(N$183:N$184,N186),"")/IF(N$183*N$184*N186&gt;0,AVERAGE(N$183:N$184,N186),""),"")</f>
        <v/>
      </c>
      <c r="AE229" s="256"/>
      <c r="AF229" s="229" t="s">
        <v>365</v>
      </c>
      <c r="AG229" s="270" t="str">
        <f aca="false">IFERROR(IF(C$183*C$184*C186&gt;0,STDEV(C$183:C$184,C186)," ")/IF(C$183*C$184*C186&gt;0,SQRT(COUNT(C$183:C$184,C186))," "),"")</f>
        <v/>
      </c>
      <c r="AH229" s="270" t="str">
        <f aca="false">IFERROR(IF(D$183*D$184*D186&gt;0,STDEV(D$183:D$184,D186)," ")/IF(D$183*D$184*D186&gt;0,SQRT(COUNT(D$183:D$184,D186))," "),"")</f>
        <v/>
      </c>
      <c r="AI229" s="270" t="str">
        <f aca="false">IFERROR(IF(E$183*E$184*E186&gt;0,STDEV(E$183:E$184,E186)," ")/IF(E$183*E$184*E186&gt;0,SQRT(COUNT(E$183:E$184,E186))," "),"")</f>
        <v/>
      </c>
      <c r="AJ229" s="270" t="str">
        <f aca="false">IFERROR(IF(F$183*F$184*F186&gt;0,STDEV(F$183:F$184,F186)," ")/IF(F$183*F$184*F186&gt;0,SQRT(COUNT(F$183:F$184,F186))," "),"")</f>
        <v/>
      </c>
      <c r="AK229" s="270" t="str">
        <f aca="false">IFERROR(IF(G$183*G$184*G186&gt;0,STDEV(G$183:G$184,G186)," ")/IF(G$183*G$184*G186&gt;0,SQRT(COUNT(G$183:G$184,G186))," "),"")</f>
        <v/>
      </c>
      <c r="AL229" s="270" t="str">
        <f aca="false">IFERROR(IF(H$183*H$184*H186&gt;0,STDEV(H$183:H$184,H186)," ")/IF(H$183*H$184*H186&gt;0,SQRT(COUNT(H$183:H$184,H186))," "),"")</f>
        <v/>
      </c>
      <c r="AM229" s="270" t="str">
        <f aca="false">IFERROR(IF(I$183*I$184*I186&gt;0,STDEV(I$183:I$184,I186)," ")/IF(I$183*I$184*I186&gt;0,SQRT(COUNT(I$183:I$184,I186))," "),"")</f>
        <v/>
      </c>
      <c r="AN229" s="270" t="str">
        <f aca="false">IFERROR(IF(J$183*J$184*J186&gt;0,STDEV(J$183:J$184,J186)," ")/IF(J$183*J$184*J186&gt;0,SQRT(COUNT(J$183:J$184,J186))," "),"")</f>
        <v/>
      </c>
      <c r="AO229" s="270" t="str">
        <f aca="false">IFERROR(IF(K$183*K$184*K186&gt;0,STDEV(K$183:K$184,K186)," ")/IF(K$183*K$184*K186&gt;0,SQRT(COUNT(K$183:K$184,K186))," "),"")</f>
        <v/>
      </c>
      <c r="AP229" s="270" t="str">
        <f aca="false">IFERROR(IF(L$183*L$184*L186&gt;0,STDEV(L$183:L$184,L186)," ")/IF(L$183*L$184*L186&gt;0,SQRT(COUNT(L$183:L$184,L186))," "),"")</f>
        <v/>
      </c>
      <c r="AQ229" s="270" t="str">
        <f aca="false">IFERROR(IF(M$183*M$184*M186&gt;0,STDEV(M$183:M$184,M186)," ")/IF(M$183*M$184*M186&gt;0,SQRT(COUNT(M$183:M$184,M186))," "),"")</f>
        <v/>
      </c>
      <c r="AR229" s="270" t="str">
        <f aca="false">IFERROR(IF(N$183*N$184*N186&gt;0,STDEV(N$183:N$184,N186)," ")/IF(N$183*N$184*N186&gt;0,SQRT(COUNT(N$183:N$184,N186))," "),"")</f>
        <v/>
      </c>
    </row>
    <row r="230" customFormat="false" ht="15.75" hidden="false" customHeight="false" outlineLevel="0" collapsed="false">
      <c r="A230" s="220" t="s">
        <v>255</v>
      </c>
      <c r="B230" s="221"/>
      <c r="C230" s="222" t="str">
        <f aca="false">IFERROR(IF(C$183*C$184*C187&gt;0,AVERAGE(C$183:C$184,C187),""),"")</f>
        <v/>
      </c>
      <c r="D230" s="222" t="str">
        <f aca="false">IFERROR(IF(D$183*D$184*D187&gt;0,AVERAGE(D$183:D$184,D187),""),"")</f>
        <v/>
      </c>
      <c r="E230" s="222" t="str">
        <f aca="false">IFERROR(IF(E$183*E$184*E187&gt;0,AVERAGE(E$183:E$184,E187),""),"")</f>
        <v/>
      </c>
      <c r="F230" s="222" t="str">
        <f aca="false">IFERROR(IF(F$183*F$184*F187&gt;0,AVERAGE(F$183:F$184,F187),""),"")</f>
        <v/>
      </c>
      <c r="G230" s="222" t="str">
        <f aca="false">IFERROR(IF(G$183*G$184*G187&gt;0,AVERAGE(G$183:G$184,G187),""),"")</f>
        <v/>
      </c>
      <c r="H230" s="222" t="str">
        <f aca="false">IFERROR(IF(H$183*H$184*H187&gt;0,AVERAGE(H$183:H$184,H187),""),"")</f>
        <v/>
      </c>
      <c r="I230" s="222" t="str">
        <f aca="false">IFERROR(IF(I$183*I$184*I187&gt;0,AVERAGE(I$183:I$184,I187),""),"")</f>
        <v/>
      </c>
      <c r="J230" s="222" t="str">
        <f aca="false">IFERROR(IF(J$183*J$184*J187&gt;0,AVERAGE(J$183:J$184,J187),""),"")</f>
        <v/>
      </c>
      <c r="K230" s="222" t="str">
        <f aca="false">IFERROR(IF(K$183*K$184*K187&gt;0,AVERAGE(K$183:K$184,K187),""),"")</f>
        <v/>
      </c>
      <c r="L230" s="222" t="str">
        <f aca="false">IFERROR(IF(L$183*L$184*L187&gt;0,AVERAGE(L$183:L$184,L187),""),"")</f>
        <v/>
      </c>
      <c r="M230" s="222" t="str">
        <f aca="false">IFERROR(IF(M$183*M$184*M187&gt;0,AVERAGE(M$183:M$184,M187),""),"")</f>
        <v/>
      </c>
      <c r="N230" s="222" t="str">
        <f aca="false">IFERROR(IF(N$183*N$184*N187&gt;0,AVERAGE(N$183:N$184,N187),""),"")</f>
        <v/>
      </c>
      <c r="O230" s="257"/>
      <c r="P230" s="253"/>
      <c r="Q230" s="254"/>
      <c r="R230" s="226" t="s">
        <v>366</v>
      </c>
      <c r="S230" s="227" t="str">
        <f aca="false">IFERROR(IF(C$183*C$184*C187&gt;0,STDEV(C$183:C$184,C187),"")/IF(C$183*C$184*C187&gt;0,AVERAGE(C$183:C$184,C187),""),"")</f>
        <v/>
      </c>
      <c r="T230" s="227" t="str">
        <f aca="false">IFERROR(IF(D$183*D$184*D187&gt;0,STDEV(D$183:D$184,D187),"")/IF(D$183*D$184*D187&gt;0,AVERAGE(D$183:D$184,D187),""),"")</f>
        <v/>
      </c>
      <c r="U230" s="227" t="str">
        <f aca="false">IFERROR(IF(E$183*E$184*E187&gt;0,STDEV(E$183:E$184,E187),"")/IF(E$183*E$184*E187&gt;0,AVERAGE(E$183:E$184,E187),""),"")</f>
        <v/>
      </c>
      <c r="V230" s="227" t="str">
        <f aca="false">IFERROR(IF(F$183*F$184*F187&gt;0,STDEV(F$183:F$184,F187),"")/IF(F$183*F$184*F187&gt;0,AVERAGE(F$183:F$184,F187),""),"")</f>
        <v/>
      </c>
      <c r="W230" s="227" t="str">
        <f aca="false">IFERROR(IF(G$183*G$184*G187&gt;0,STDEV(G$183:G$184,G187),"")/IF(G$183*G$184*G187&gt;0,AVERAGE(G$183:G$184,G187),""),"")</f>
        <v/>
      </c>
      <c r="X230" s="227" t="str">
        <f aca="false">IFERROR(IF(H$183*H$184*H187&gt;0,STDEV(H$183:H$184,H187),"")/IF(H$183*H$184*H187&gt;0,AVERAGE(H$183:H$184,H187),""),"")</f>
        <v/>
      </c>
      <c r="Y230" s="227" t="str">
        <f aca="false">IFERROR(IF(I$183*I$184*I187&gt;0,STDEV(I$183:I$184,I187),"")/IF(I$183*I$184*I187&gt;0,AVERAGE(I$183:I$184,I187),""),"")</f>
        <v/>
      </c>
      <c r="Z230" s="227" t="str">
        <f aca="false">IFERROR(IF(J$183*J$184*J187&gt;0,STDEV(J$183:J$184,J187),"")/IF(J$183*J$184*J187&gt;0,AVERAGE(J$183:J$184,J187),""),"")</f>
        <v/>
      </c>
      <c r="AA230" s="227" t="str">
        <f aca="false">IFERROR(IF(K$183*K$184*K187&gt;0,STDEV(K$183:K$184,K187),"")/IF(K$183*K$184*K187&gt;0,AVERAGE(K$183:K$184,K187),""),"")</f>
        <v/>
      </c>
      <c r="AB230" s="227" t="str">
        <f aca="false">IFERROR(IF(L$183*L$184*L187&gt;0,STDEV(L$183:L$184,L187),"")/IF(L$183*L$184*L187&gt;0,AVERAGE(L$183:L$184,L187),""),"")</f>
        <v/>
      </c>
      <c r="AC230" s="227" t="str">
        <f aca="false">IFERROR(IF(M$183*M$184*M187&gt;0,STDEV(M$183:M$184,M187),"")/IF(M$183*M$184*M187&gt;0,AVERAGE(M$183:M$184,M187),""),"")</f>
        <v/>
      </c>
      <c r="AD230" s="227" t="str">
        <f aca="false">IFERROR(IF(N$183*N$184*N187&gt;0,STDEV(N$183:N$184,N187),"")/IF(N$183*N$184*N187&gt;0,AVERAGE(N$183:N$184,N187),""),"")</f>
        <v/>
      </c>
      <c r="AE230" s="228"/>
      <c r="AF230" s="229" t="s">
        <v>367</v>
      </c>
      <c r="AG230" s="270" t="str">
        <f aca="false">IFERROR(IF(C$183*C$184*C187&gt;0,STDEV(C$183:C$184,C187)," ")/IF(C$183*C$184*C187&gt;0,SQRT(COUNT(C$183:C$184,C187))," "),"")</f>
        <v/>
      </c>
      <c r="AH230" s="270" t="str">
        <f aca="false">IFERROR(IF(D$183*D$184*D187&gt;0,STDEV(D$183:D$184,D187)," ")/IF(D$183*D$184*D187&gt;0,SQRT(COUNT(D$183:D$184,D187))," "),"")</f>
        <v/>
      </c>
      <c r="AI230" s="270" t="str">
        <f aca="false">IFERROR(IF(E$183*E$184*E187&gt;0,STDEV(E$183:E$184,E187)," ")/IF(E$183*E$184*E187&gt;0,SQRT(COUNT(E$183:E$184,E187))," "),"")</f>
        <v/>
      </c>
      <c r="AJ230" s="270" t="str">
        <f aca="false">IFERROR(IF(F$183*F$184*F187&gt;0,STDEV(F$183:F$184,F187)," ")/IF(F$183*F$184*F187&gt;0,SQRT(COUNT(F$183:F$184,F187))," "),"")</f>
        <v/>
      </c>
      <c r="AK230" s="270" t="str">
        <f aca="false">IFERROR(IF(G$183*G$184*G187&gt;0,STDEV(G$183:G$184,G187)," ")/IF(G$183*G$184*G187&gt;0,SQRT(COUNT(G$183:G$184,G187))," "),"")</f>
        <v/>
      </c>
      <c r="AL230" s="270" t="str">
        <f aca="false">IFERROR(IF(H$183*H$184*H187&gt;0,STDEV(H$183:H$184,H187)," ")/IF(H$183*H$184*H187&gt;0,SQRT(COUNT(H$183:H$184,H187))," "),"")</f>
        <v/>
      </c>
      <c r="AM230" s="270" t="str">
        <f aca="false">IFERROR(IF(I$183*I$184*I187&gt;0,STDEV(I$183:I$184,I187)," ")/IF(I$183*I$184*I187&gt;0,SQRT(COUNT(I$183:I$184,I187))," "),"")</f>
        <v/>
      </c>
      <c r="AN230" s="270" t="str">
        <f aca="false">IFERROR(IF(J$183*J$184*J187&gt;0,STDEV(J$183:J$184,J187)," ")/IF(J$183*J$184*J187&gt;0,SQRT(COUNT(J$183:J$184,J187))," "),"")</f>
        <v/>
      </c>
      <c r="AO230" s="270" t="str">
        <f aca="false">IFERROR(IF(K$183*K$184*K187&gt;0,STDEV(K$183:K$184,K187)," ")/IF(K$183*K$184*K187&gt;0,SQRT(COUNT(K$183:K$184,K187))," "),"")</f>
        <v/>
      </c>
      <c r="AP230" s="270" t="str">
        <f aca="false">IFERROR(IF(L$183*L$184*L187&gt;0,STDEV(L$183:L$184,L187)," ")/IF(L$183*L$184*L187&gt;0,SQRT(COUNT(L$183:L$184,L187))," "),"")</f>
        <v/>
      </c>
      <c r="AQ230" s="270" t="str">
        <f aca="false">IFERROR(IF(M$183*M$184*M187&gt;0,STDEV(M$183:M$184,M187)," ")/IF(M$183*M$184*M187&gt;0,SQRT(COUNT(M$183:M$184,M187))," "),"")</f>
        <v/>
      </c>
      <c r="AR230" s="270" t="str">
        <f aca="false">IFERROR(IF(N$183*N$184*N187&gt;0,STDEV(N$183:N$184,N187)," ")/IF(N$183*N$184*N187&gt;0,SQRT(COUNT(N$183:N$184,N187))," "),"")</f>
        <v/>
      </c>
    </row>
    <row r="231" customFormat="false" ht="15.75" hidden="false" customHeight="false" outlineLevel="0" collapsed="false">
      <c r="A231" s="220" t="s">
        <v>256</v>
      </c>
      <c r="B231" s="221"/>
      <c r="C231" s="222" t="str">
        <f aca="false">IFERROR(IF(C$183*C$184*C188&gt;0,AVERAGE(C$183:C$184,C188),""),"")</f>
        <v/>
      </c>
      <c r="D231" s="222" t="str">
        <f aca="false">IFERROR(IF(D$183*D$184*D188&gt;0,AVERAGE(D$183:D$184,D188),""),"")</f>
        <v/>
      </c>
      <c r="E231" s="222" t="str">
        <f aca="false">IFERROR(IF(E$183*E$184*E188&gt;0,AVERAGE(E$183:E$184,E188),""),"")</f>
        <v/>
      </c>
      <c r="F231" s="222" t="str">
        <f aca="false">IFERROR(IF(F$183*F$184*F188&gt;0,AVERAGE(F$183:F$184,F188),""),"")</f>
        <v/>
      </c>
      <c r="G231" s="222" t="str">
        <f aca="false">IFERROR(IF(G$183*G$184*G188&gt;0,AVERAGE(G$183:G$184,G188),""),"")</f>
        <v/>
      </c>
      <c r="H231" s="222" t="str">
        <f aca="false">IFERROR(IF(H$183*H$184*H188&gt;0,AVERAGE(H$183:H$184,H188),""),"")</f>
        <v/>
      </c>
      <c r="I231" s="222" t="str">
        <f aca="false">IFERROR(IF(I$183*I$184*I188&gt;0,AVERAGE(I$183:I$184,I188),""),"")</f>
        <v/>
      </c>
      <c r="J231" s="222" t="str">
        <f aca="false">IFERROR(IF(J$183*J$184*J188&gt;0,AVERAGE(J$183:J$184,J188),""),"")</f>
        <v/>
      </c>
      <c r="K231" s="222" t="str">
        <f aca="false">IFERROR(IF(K$183*K$184*K188&gt;0,AVERAGE(K$183:K$184,K188),""),"")</f>
        <v/>
      </c>
      <c r="L231" s="222" t="str">
        <f aca="false">IFERROR(IF(L$183*L$184*L188&gt;0,AVERAGE(L$183:L$184,L188),""),"")</f>
        <v/>
      </c>
      <c r="M231" s="222" t="str">
        <f aca="false">IFERROR(IF(M$183*M$184*M188&gt;0,AVERAGE(M$183:M$184,M188),""),"")</f>
        <v/>
      </c>
      <c r="N231" s="222" t="str">
        <f aca="false">IFERROR(IF(N$183*N$184*N188&gt;0,AVERAGE(N$183:N$184,N188),""),"")</f>
        <v/>
      </c>
      <c r="O231" s="257"/>
      <c r="P231" s="253"/>
      <c r="Q231" s="254"/>
      <c r="R231" s="226" t="s">
        <v>368</v>
      </c>
      <c r="S231" s="227" t="str">
        <f aca="false">IFERROR(IF(C$183*C$184*C188&gt;0,STDEV(C$183:C$184,C188),"")/IF(C$183*C$184*C188&gt;0,AVERAGE(C$183:C$184,C188),""),"")</f>
        <v/>
      </c>
      <c r="T231" s="227" t="str">
        <f aca="false">IFERROR(IF(D$183*D$184*D188&gt;0,STDEV(D$183:D$184,D188),"")/IF(D$183*D$184*D188&gt;0,AVERAGE(D$183:D$184,D188),""),"")</f>
        <v/>
      </c>
      <c r="U231" s="227" t="str">
        <f aca="false">IFERROR(IF(E$183*E$184*E188&gt;0,STDEV(E$183:E$184,E188),"")/IF(E$183*E$184*E188&gt;0,AVERAGE(E$183:E$184,E188),""),"")</f>
        <v/>
      </c>
      <c r="V231" s="227" t="str">
        <f aca="false">IFERROR(IF(F$183*F$184*F188&gt;0,STDEV(F$183:F$184,F188),"")/IF(F$183*F$184*F188&gt;0,AVERAGE(F$183:F$184,F188),""),"")</f>
        <v/>
      </c>
      <c r="W231" s="227" t="str">
        <f aca="false">IFERROR(IF(G$183*G$184*G188&gt;0,STDEV(G$183:G$184,G188),"")/IF(G$183*G$184*G188&gt;0,AVERAGE(G$183:G$184,G188),""),"")</f>
        <v/>
      </c>
      <c r="X231" s="227" t="str">
        <f aca="false">IFERROR(IF(H$183*H$184*H188&gt;0,STDEV(H$183:H$184,H188),"")/IF(H$183*H$184*H188&gt;0,AVERAGE(H$183:H$184,H188),""),"")</f>
        <v/>
      </c>
      <c r="Y231" s="227" t="str">
        <f aca="false">IFERROR(IF(I$183*I$184*I188&gt;0,STDEV(I$183:I$184,I188),"")/IF(I$183*I$184*I188&gt;0,AVERAGE(I$183:I$184,I188),""),"")</f>
        <v/>
      </c>
      <c r="Z231" s="227" t="str">
        <f aca="false">IFERROR(IF(J$183*J$184*J188&gt;0,STDEV(J$183:J$184,J188),"")/IF(J$183*J$184*J188&gt;0,AVERAGE(J$183:J$184,J188),""),"")</f>
        <v/>
      </c>
      <c r="AA231" s="227" t="str">
        <f aca="false">IFERROR(IF(K$183*K$184*K188&gt;0,STDEV(K$183:K$184,K188),"")/IF(K$183*K$184*K188&gt;0,AVERAGE(K$183:K$184,K188),""),"")</f>
        <v/>
      </c>
      <c r="AB231" s="227" t="str">
        <f aca="false">IFERROR(IF(L$183*L$184*L188&gt;0,STDEV(L$183:L$184,L188),"")/IF(L$183*L$184*L188&gt;0,AVERAGE(L$183:L$184,L188),""),"")</f>
        <v/>
      </c>
      <c r="AC231" s="227" t="str">
        <f aca="false">IFERROR(IF(M$183*M$184*M188&gt;0,STDEV(M$183:M$184,M188),"")/IF(M$183*M$184*M188&gt;0,AVERAGE(M$183:M$184,M188),""),"")</f>
        <v/>
      </c>
      <c r="AD231" s="227" t="str">
        <f aca="false">IFERROR(IF(N$183*N$184*N188&gt;0,STDEV(N$183:N$184,N188),"")/IF(N$183*N$184*N188&gt;0,AVERAGE(N$183:N$184,N188),""),"")</f>
        <v/>
      </c>
      <c r="AE231" s="228"/>
      <c r="AF231" s="229" t="s">
        <v>369</v>
      </c>
      <c r="AG231" s="270" t="str">
        <f aca="false">IFERROR(IF(C$183*C$184*C188&gt;0,STDEV(C$183:C$184,C188)," ")/IF(C$183*C$184*C188&gt;0,SQRT(COUNT(C$183:C$184,C188))," "),"")</f>
        <v/>
      </c>
      <c r="AH231" s="270" t="str">
        <f aca="false">IFERROR(IF(D$183*D$184*D188&gt;0,STDEV(D$183:D$184,D188)," ")/IF(D$183*D$184*D188&gt;0,SQRT(COUNT(D$183:D$184,D188))," "),"")</f>
        <v/>
      </c>
      <c r="AI231" s="270" t="str">
        <f aca="false">IFERROR(IF(E$183*E$184*E188&gt;0,STDEV(E$183:E$184,E188)," ")/IF(E$183*E$184*E188&gt;0,SQRT(COUNT(E$183:E$184,E188))," "),"")</f>
        <v/>
      </c>
      <c r="AJ231" s="270" t="str">
        <f aca="false">IFERROR(IF(F$183*F$184*F188&gt;0,STDEV(F$183:F$184,F188)," ")/IF(F$183*F$184*F188&gt;0,SQRT(COUNT(F$183:F$184,F188))," "),"")</f>
        <v/>
      </c>
      <c r="AK231" s="270" t="str">
        <f aca="false">IFERROR(IF(G$183*G$184*G188&gt;0,STDEV(G$183:G$184,G188)," ")/IF(G$183*G$184*G188&gt;0,SQRT(COUNT(G$183:G$184,G188))," "),"")</f>
        <v/>
      </c>
      <c r="AL231" s="270" t="str">
        <f aca="false">IFERROR(IF(H$183*H$184*H188&gt;0,STDEV(H$183:H$184,H188)," ")/IF(H$183*H$184*H188&gt;0,SQRT(COUNT(H$183:H$184,H188))," "),"")</f>
        <v/>
      </c>
      <c r="AM231" s="270" t="str">
        <f aca="false">IFERROR(IF(I$183*I$184*I188&gt;0,STDEV(I$183:I$184,I188)," ")/IF(I$183*I$184*I188&gt;0,SQRT(COUNT(I$183:I$184,I188))," "),"")</f>
        <v/>
      </c>
      <c r="AN231" s="270" t="str">
        <f aca="false">IFERROR(IF(J$183*J$184*J188&gt;0,STDEV(J$183:J$184,J188)," ")/IF(J$183*J$184*J188&gt;0,SQRT(COUNT(J$183:J$184,J188))," "),"")</f>
        <v/>
      </c>
      <c r="AO231" s="270" t="str">
        <f aca="false">IFERROR(IF(K$183*K$184*K188&gt;0,STDEV(K$183:K$184,K188)," ")/IF(K$183*K$184*K188&gt;0,SQRT(COUNT(K$183:K$184,K188))," "),"")</f>
        <v/>
      </c>
      <c r="AP231" s="270" t="str">
        <f aca="false">IFERROR(IF(L$183*L$184*L188&gt;0,STDEV(L$183:L$184,L188)," ")/IF(L$183*L$184*L188&gt;0,SQRT(COUNT(L$183:L$184,L188))," "),"")</f>
        <v/>
      </c>
      <c r="AQ231" s="270" t="str">
        <f aca="false">IFERROR(IF(M$183*M$184*M188&gt;0,STDEV(M$183:M$184,M188)," ")/IF(M$183*M$184*M188&gt;0,SQRT(COUNT(M$183:M$184,M188))," "),"")</f>
        <v/>
      </c>
      <c r="AR231" s="270" t="str">
        <f aca="false">IFERROR(IF(N$183*N$184*N188&gt;0,STDEV(N$183:N$184,N188)," ")/IF(N$183*N$184*N188&gt;0,SQRT(COUNT(N$183:N$184,N188))," "),"")</f>
        <v/>
      </c>
    </row>
    <row r="232" customFormat="false" ht="15.75" hidden="false" customHeight="false" outlineLevel="0" collapsed="false">
      <c r="A232" s="220" t="s">
        <v>257</v>
      </c>
      <c r="B232" s="221"/>
      <c r="C232" s="222" t="str">
        <f aca="false">IFERROR(IF(C$184*C$185*C182&gt;0,AVERAGE(C$184:C$185,C182),""),"")</f>
        <v/>
      </c>
      <c r="D232" s="222" t="str">
        <f aca="false">IFERROR(IF(D$184*D$185*D182&gt;0,AVERAGE(D$184:D$185,D182),""),"")</f>
        <v/>
      </c>
      <c r="E232" s="222" t="str">
        <f aca="false">IFERROR(IF(E$184*E$185*E182&gt;0,AVERAGE(E$184:E$185,E182),""),"")</f>
        <v/>
      </c>
      <c r="F232" s="222" t="str">
        <f aca="false">IFERROR(IF(F$184*F$185*F182&gt;0,AVERAGE(F$184:F$185,F182),""),"")</f>
        <v/>
      </c>
      <c r="G232" s="222" t="str">
        <f aca="false">IFERROR(IF(G$184*G$185*G182&gt;0,AVERAGE(G$184:G$185,G182),""),"")</f>
        <v/>
      </c>
      <c r="H232" s="222" t="str">
        <f aca="false">IFERROR(IF(H$184*H$185*H182&gt;0,AVERAGE(H$184:H$185,H182),""),"")</f>
        <v/>
      </c>
      <c r="I232" s="222" t="str">
        <f aca="false">IFERROR(IF(I$184*I$185*I182&gt;0,AVERAGE(I$184:I$185,I182),""),"")</f>
        <v/>
      </c>
      <c r="J232" s="222" t="str">
        <f aca="false">IFERROR(IF(J$184*J$185*J182&gt;0,AVERAGE(J$184:J$185,J182),""),"")</f>
        <v/>
      </c>
      <c r="K232" s="222" t="str">
        <f aca="false">IFERROR(IF(K$184*K$185*K182&gt;0,AVERAGE(K$184:K$185,K182),""),"")</f>
        <v/>
      </c>
      <c r="L232" s="222" t="str">
        <f aca="false">IFERROR(IF(L$184*L$185*L182&gt;0,AVERAGE(L$184:L$185,L182),""),"")</f>
        <v/>
      </c>
      <c r="M232" s="222" t="str">
        <f aca="false">IFERROR(IF(M$184*M$185*M182&gt;0,AVERAGE(M$184:M$185,M182),""),"")</f>
        <v/>
      </c>
      <c r="N232" s="222" t="str">
        <f aca="false">IFERROR(IF(N$184*N$185*N182&gt;0,AVERAGE(N$184:N$185,N182),""),"")</f>
        <v/>
      </c>
      <c r="O232" s="257"/>
      <c r="P232" s="253"/>
      <c r="Q232" s="254"/>
      <c r="R232" s="226" t="s">
        <v>370</v>
      </c>
      <c r="S232" s="227" t="str">
        <f aca="false">IFERROR(IF(C$184*C$185*C182&gt;0,STDEV(C$184:C$185,C182),"")/IF(C$184*C$185*C182&gt;0,AVERAGE(C$184:C$185,C182),""),"")</f>
        <v/>
      </c>
      <c r="T232" s="227" t="str">
        <f aca="false">IFERROR(IF(D$184*D$185*D182&gt;0,STDEV(D$184:D$185,D182),"")/IF(D$184*D$185*D182&gt;0,AVERAGE(D$184:D$185,D182),""),"")</f>
        <v/>
      </c>
      <c r="U232" s="227" t="str">
        <f aca="false">IFERROR(IF(E$184*E$185*E182&gt;0,STDEV(E$184:E$185,E182),"")/IF(E$184*E$185*E182&gt;0,AVERAGE(E$184:E$185,E182),""),"")</f>
        <v/>
      </c>
      <c r="V232" s="227" t="str">
        <f aca="false">IFERROR(IF(F$184*F$185*F182&gt;0,STDEV(F$184:F$185,F182),"")/IF(F$184*F$185*F182&gt;0,AVERAGE(F$184:F$185,F182),""),"")</f>
        <v/>
      </c>
      <c r="W232" s="227" t="str">
        <f aca="false">IFERROR(IF(G$184*G$185*G182&gt;0,STDEV(G$184:G$185,G182),"")/IF(G$184*G$185*G182&gt;0,AVERAGE(G$184:G$185,G182),""),"")</f>
        <v/>
      </c>
      <c r="X232" s="227" t="str">
        <f aca="false">IFERROR(IF(H$184*H$185*H182&gt;0,STDEV(H$184:H$185,H182),"")/IF(H$184*H$185*H182&gt;0,AVERAGE(H$184:H$185,H182),""),"")</f>
        <v/>
      </c>
      <c r="Y232" s="227" t="str">
        <f aca="false">IFERROR(IF(I$184*I$185*I182&gt;0,STDEV(I$184:I$185,I182),"")/IF(I$184*I$185*I182&gt;0,AVERAGE(I$184:I$185,I182),""),"")</f>
        <v/>
      </c>
      <c r="Z232" s="227" t="str">
        <f aca="false">IFERROR(IF(J$184*J$185*J182&gt;0,STDEV(J$184:J$185,J182),"")/IF(J$184*J$185*J182&gt;0,AVERAGE(J$184:J$185,J182),""),"")</f>
        <v/>
      </c>
      <c r="AA232" s="227" t="str">
        <f aca="false">IFERROR(IF(K$184*K$185*K182&gt;0,STDEV(K$184:K$185,K182),"")/IF(K$184*K$185*K182&gt;0,AVERAGE(K$184:K$185,K182),""),"")</f>
        <v/>
      </c>
      <c r="AB232" s="227" t="str">
        <f aca="false">IFERROR(IF(L$184*L$185*L182&gt;0,STDEV(L$184:L$185,L182),"")/IF(L$184*L$185*L182&gt;0,AVERAGE(L$184:L$185,L182),""),"")</f>
        <v/>
      </c>
      <c r="AC232" s="227" t="str">
        <f aca="false">IFERROR(IF(M$184*M$185*M182&gt;0,STDEV(M$184:M$185,M182),"")/IF(M$184*M$185*M182&gt;0,AVERAGE(M$184:M$185,M182),""),"")</f>
        <v/>
      </c>
      <c r="AD232" s="227" t="str">
        <f aca="false">IFERROR(IF(N$184*N$185*N182&gt;0,STDEV(N$184:N$185,N182),"")/IF(N$184*N$185*N182&gt;0,AVERAGE(N$184:N$185,N182),""),"")</f>
        <v/>
      </c>
      <c r="AE232" s="228"/>
      <c r="AF232" s="229" t="s">
        <v>371</v>
      </c>
      <c r="AG232" s="270" t="str">
        <f aca="false">IFERROR(IF(C$184*C$185*C182&gt;0,STDEV(C$184:C$185,C182)," ")/IF(C$184*C$185*C182&gt;0,SQRT(COUNT(C$184:C$185,C182))," "),"")</f>
        <v/>
      </c>
      <c r="AH232" s="270" t="str">
        <f aca="false">IFERROR(IF(D$184*D$185*D182&gt;0,STDEV(D$184:D$185,D182)," ")/IF(D$184*D$185*D182&gt;0,SQRT(COUNT(D$184:D$185,D182))," "),"")</f>
        <v/>
      </c>
      <c r="AI232" s="270" t="str">
        <f aca="false">IFERROR(IF(E$184*E$185*E182&gt;0,STDEV(E$184:E$185,E182)," ")/IF(E$184*E$185*E182&gt;0,SQRT(COUNT(E$184:E$185,E182))," "),"")</f>
        <v/>
      </c>
      <c r="AJ232" s="270" t="str">
        <f aca="false">IFERROR(IF(F$184*F$185*F182&gt;0,STDEV(F$184:F$185,F182)," ")/IF(F$184*F$185*F182&gt;0,SQRT(COUNT(F$184:F$185,F182))," "),"")</f>
        <v/>
      </c>
      <c r="AK232" s="270" t="str">
        <f aca="false">IFERROR(IF(G$184*G$185*G182&gt;0,STDEV(G$184:G$185,G182)," ")/IF(G$184*G$185*G182&gt;0,SQRT(COUNT(G$184:G$185,G182))," "),"")</f>
        <v/>
      </c>
      <c r="AL232" s="270" t="str">
        <f aca="false">IFERROR(IF(H$184*H$185*H182&gt;0,STDEV(H$184:H$185,H182)," ")/IF(H$184*H$185*H182&gt;0,SQRT(COUNT(H$184:H$185,H182))," "),"")</f>
        <v/>
      </c>
      <c r="AM232" s="270" t="str">
        <f aca="false">IFERROR(IF(I$184*I$185*I182&gt;0,STDEV(I$184:I$185,I182)," ")/IF(I$184*I$185*I182&gt;0,SQRT(COUNT(I$184:I$185,I182))," "),"")</f>
        <v/>
      </c>
      <c r="AN232" s="270" t="str">
        <f aca="false">IFERROR(IF(J$184*J$185*J182&gt;0,STDEV(J$184:J$185,J182)," ")/IF(J$184*J$185*J182&gt;0,SQRT(COUNT(J$184:J$185,J182))," "),"")</f>
        <v/>
      </c>
      <c r="AO232" s="270" t="str">
        <f aca="false">IFERROR(IF(K$184*K$185*K182&gt;0,STDEV(K$184:K$185,K182)," ")/IF(K$184*K$185*K182&gt;0,SQRT(COUNT(K$184:K$185,K182))," "),"")</f>
        <v/>
      </c>
      <c r="AP232" s="270" t="str">
        <f aca="false">IFERROR(IF(L$184*L$185*L182&gt;0,STDEV(L$184:L$185,L182)," ")/IF(L$184*L$185*L182&gt;0,SQRT(COUNT(L$184:L$185,L182))," "),"")</f>
        <v/>
      </c>
      <c r="AQ232" s="270" t="str">
        <f aca="false">IFERROR(IF(M$184*M$185*M182&gt;0,STDEV(M$184:M$185,M182)," ")/IF(M$184*M$185*M182&gt;0,SQRT(COUNT(M$184:M$185,M182))," "),"")</f>
        <v/>
      </c>
      <c r="AR232" s="270" t="str">
        <f aca="false">IFERROR(IF(N$184*N$185*N182&gt;0,STDEV(N$184:N$185,N182)," ")/IF(N$184*N$185*N182&gt;0,SQRT(COUNT(N$184:N$185,N182))," "),"")</f>
        <v/>
      </c>
    </row>
    <row r="233" customFormat="false" ht="15.75" hidden="false" customHeight="false" outlineLevel="0" collapsed="false">
      <c r="A233" s="220" t="s">
        <v>258</v>
      </c>
      <c r="B233" s="221"/>
      <c r="C233" s="222" t="str">
        <f aca="false">IFERROR(IF(C$184*C$185*C186&gt;0,AVERAGE(C$184:C$185,C186),""),"")</f>
        <v/>
      </c>
      <c r="D233" s="222" t="str">
        <f aca="false">IFERROR(IF(D$184*D$185*D186&gt;0,AVERAGE(D$184:D$185,D186),""),"")</f>
        <v/>
      </c>
      <c r="E233" s="222" t="str">
        <f aca="false">IFERROR(IF(E$184*E$185*E186&gt;0,AVERAGE(E$184:E$185,E186),""),"")</f>
        <v/>
      </c>
      <c r="F233" s="222" t="str">
        <f aca="false">IFERROR(IF(F$184*F$185*F186&gt;0,AVERAGE(F$184:F$185,F186),""),"")</f>
        <v/>
      </c>
      <c r="G233" s="222" t="str">
        <f aca="false">IFERROR(IF(G$184*G$185*G186&gt;0,AVERAGE(G$184:G$185,G186),""),"")</f>
        <v/>
      </c>
      <c r="H233" s="222" t="str">
        <f aca="false">IFERROR(IF(H$184*H$185*H186&gt;0,AVERAGE(H$184:H$185,H186),""),"")</f>
        <v/>
      </c>
      <c r="I233" s="222" t="str">
        <f aca="false">IFERROR(IF(I$184*I$185*I186&gt;0,AVERAGE(I$184:I$185,I186),""),"")</f>
        <v/>
      </c>
      <c r="J233" s="222" t="str">
        <f aca="false">IFERROR(IF(J$184*J$185*J186&gt;0,AVERAGE(J$184:J$185,J186),""),"")</f>
        <v/>
      </c>
      <c r="K233" s="222" t="str">
        <f aca="false">IFERROR(IF(K$184*K$185*K186&gt;0,AVERAGE(K$184:K$185,K186),""),"")</f>
        <v/>
      </c>
      <c r="L233" s="222" t="str">
        <f aca="false">IFERROR(IF(L$184*L$185*L186&gt;0,AVERAGE(L$184:L$185,L186),""),"")</f>
        <v/>
      </c>
      <c r="M233" s="222" t="str">
        <f aca="false">IFERROR(IF(M$184*M$185*M186&gt;0,AVERAGE(M$184:M$185,M186),""),"")</f>
        <v/>
      </c>
      <c r="N233" s="222" t="str">
        <f aca="false">IFERROR(IF(N$184*N$185*N186&gt;0,AVERAGE(N$184:N$185,N186),""),"")</f>
        <v/>
      </c>
      <c r="O233" s="257"/>
      <c r="P233" s="253"/>
      <c r="Q233" s="254"/>
      <c r="R233" s="226" t="s">
        <v>372</v>
      </c>
      <c r="S233" s="227" t="str">
        <f aca="false">IFERROR(IF(C$184*C$185*C186&gt;0,STDEV(C$184:C$185,C186),"")/IF(C$184*C$185*C186&gt;0,AVERAGE(C$184:C$185,C186),""),"")</f>
        <v/>
      </c>
      <c r="T233" s="227" t="str">
        <f aca="false">IFERROR(IF(D$184*D$185*D186&gt;0,STDEV(D$184:D$185,D186),"")/IF(D$184*D$185*D186&gt;0,AVERAGE(D$184:D$185,D186),""),"")</f>
        <v/>
      </c>
      <c r="U233" s="227" t="str">
        <f aca="false">IFERROR(IF(E$184*E$185*E186&gt;0,STDEV(E$184:E$185,E186),"")/IF(E$184*E$185*E186&gt;0,AVERAGE(E$184:E$185,E186),""),"")</f>
        <v/>
      </c>
      <c r="V233" s="227" t="str">
        <f aca="false">IFERROR(IF(F$184*F$185*F186&gt;0,STDEV(F$184:F$185,F186),"")/IF(F$184*F$185*F186&gt;0,AVERAGE(F$184:F$185,F186),""),"")</f>
        <v/>
      </c>
      <c r="W233" s="227" t="str">
        <f aca="false">IFERROR(IF(G$184*G$185*G186&gt;0,STDEV(G$184:G$185,G186),"")/IF(G$184*G$185*G186&gt;0,AVERAGE(G$184:G$185,G186),""),"")</f>
        <v/>
      </c>
      <c r="X233" s="227" t="str">
        <f aca="false">IFERROR(IF(H$184*H$185*H186&gt;0,STDEV(H$184:H$185,H186),"")/IF(H$184*H$185*H186&gt;0,AVERAGE(H$184:H$185,H186),""),"")</f>
        <v/>
      </c>
      <c r="Y233" s="227" t="str">
        <f aca="false">IFERROR(IF(I$184*I$185*I186&gt;0,STDEV(I$184:I$185,I186),"")/IF(I$184*I$185*I186&gt;0,AVERAGE(I$184:I$185,I186),""),"")</f>
        <v/>
      </c>
      <c r="Z233" s="227" t="str">
        <f aca="false">IFERROR(IF(J$184*J$185*J186&gt;0,STDEV(J$184:J$185,J186),"")/IF(J$184*J$185*J186&gt;0,AVERAGE(J$184:J$185,J186),""),"")</f>
        <v/>
      </c>
      <c r="AA233" s="227" t="str">
        <f aca="false">IFERROR(IF(K$184*K$185*K186&gt;0,STDEV(K$184:K$185,K186),"")/IF(K$184*K$185*K186&gt;0,AVERAGE(K$184:K$185,K186),""),"")</f>
        <v/>
      </c>
      <c r="AB233" s="227" t="str">
        <f aca="false">IFERROR(IF(L$184*L$185*L186&gt;0,STDEV(L$184:L$185,L186),"")/IF(L$184*L$185*L186&gt;0,AVERAGE(L$184:L$185,L186),""),"")</f>
        <v/>
      </c>
      <c r="AC233" s="227" t="str">
        <f aca="false">IFERROR(IF(M$184*M$185*M186&gt;0,STDEV(M$184:M$185,M186),"")/IF(M$184*M$185*M186&gt;0,AVERAGE(M$184:M$185,M186),""),"")</f>
        <v/>
      </c>
      <c r="AD233" s="227" t="str">
        <f aca="false">IFERROR(IF(N$184*N$185*N186&gt;0,STDEV(N$184:N$185,N186),"")/IF(N$184*N$185*N186&gt;0,AVERAGE(N$184:N$185,N186),""),"")</f>
        <v/>
      </c>
      <c r="AE233" s="228"/>
      <c r="AF233" s="229" t="s">
        <v>373</v>
      </c>
      <c r="AG233" s="270" t="str">
        <f aca="false">IFERROR(IF(C$184*C$185*C186&gt;0,STDEV(C$184:C$185,C186)," ")/IF(C$184*C$185*C186&gt;0,SQRT(COUNT(C$184:C$185,C186))," "),"")</f>
        <v/>
      </c>
      <c r="AH233" s="270" t="str">
        <f aca="false">IFERROR(IF(D$184*D$185*D186&gt;0,STDEV(D$184:D$185,D186)," ")/IF(D$184*D$185*D186&gt;0,SQRT(COUNT(D$184:D$185,D186))," "),"")</f>
        <v/>
      </c>
      <c r="AI233" s="270" t="str">
        <f aca="false">IFERROR(IF(E$184*E$185*E186&gt;0,STDEV(E$184:E$185,E186)," ")/IF(E$184*E$185*E186&gt;0,SQRT(COUNT(E$184:E$185,E186))," "),"")</f>
        <v/>
      </c>
      <c r="AJ233" s="270" t="str">
        <f aca="false">IFERROR(IF(F$184*F$185*F186&gt;0,STDEV(F$184:F$185,F186)," ")/IF(F$184*F$185*F186&gt;0,SQRT(COUNT(F$184:F$185,F186))," "),"")</f>
        <v/>
      </c>
      <c r="AK233" s="270" t="str">
        <f aca="false">IFERROR(IF(G$184*G$185*G186&gt;0,STDEV(G$184:G$185,G186)," ")/IF(G$184*G$185*G186&gt;0,SQRT(COUNT(G$184:G$185,G186))," "),"")</f>
        <v/>
      </c>
      <c r="AL233" s="270" t="str">
        <f aca="false">IFERROR(IF(H$184*H$185*H186&gt;0,STDEV(H$184:H$185,H186)," ")/IF(H$184*H$185*H186&gt;0,SQRT(COUNT(H$184:H$185,H186))," "),"")</f>
        <v/>
      </c>
      <c r="AM233" s="270" t="str">
        <f aca="false">IFERROR(IF(I$184*I$185*I186&gt;0,STDEV(I$184:I$185,I186)," ")/IF(I$184*I$185*I186&gt;0,SQRT(COUNT(I$184:I$185,I186))," "),"")</f>
        <v/>
      </c>
      <c r="AN233" s="270" t="str">
        <f aca="false">IFERROR(IF(J$184*J$185*J186&gt;0,STDEV(J$184:J$185,J186)," ")/IF(J$184*J$185*J186&gt;0,SQRT(COUNT(J$184:J$185,J186))," "),"")</f>
        <v/>
      </c>
      <c r="AO233" s="270" t="str">
        <f aca="false">IFERROR(IF(K$184*K$185*K186&gt;0,STDEV(K$184:K$185,K186)," ")/IF(K$184*K$185*K186&gt;0,SQRT(COUNT(K$184:K$185,K186))," "),"")</f>
        <v/>
      </c>
      <c r="AP233" s="270" t="str">
        <f aca="false">IFERROR(IF(L$184*L$185*L186&gt;0,STDEV(L$184:L$185,L186)," ")/IF(L$184*L$185*L186&gt;0,SQRT(COUNT(L$184:L$185,L186))," "),"")</f>
        <v/>
      </c>
      <c r="AQ233" s="270" t="str">
        <f aca="false">IFERROR(IF(M$184*M$185*M186&gt;0,STDEV(M$184:M$185,M186)," ")/IF(M$184*M$185*M186&gt;0,SQRT(COUNT(M$184:M$185,M186))," "),"")</f>
        <v/>
      </c>
      <c r="AR233" s="270" t="str">
        <f aca="false">IFERROR(IF(N$184*N$185*N186&gt;0,STDEV(N$184:N$185,N186)," ")/IF(N$184*N$185*N186&gt;0,SQRT(COUNT(N$184:N$185,N186))," "),"")</f>
        <v/>
      </c>
    </row>
    <row r="234" customFormat="false" ht="15.75" hidden="false" customHeight="false" outlineLevel="0" collapsed="false">
      <c r="A234" s="220" t="s">
        <v>259</v>
      </c>
      <c r="B234" s="221"/>
      <c r="C234" s="222" t="str">
        <f aca="false">IFERROR(IF(C$184*C$185*C187&gt;0,AVERAGE(C$184:C$185,C187),""),"")</f>
        <v/>
      </c>
      <c r="D234" s="222" t="str">
        <f aca="false">IFERROR(IF(D$184*D$185*D187&gt;0,AVERAGE(D$184:D$185,D187),""),"")</f>
        <v/>
      </c>
      <c r="E234" s="222" t="str">
        <f aca="false">IFERROR(IF(E$184*E$185*E187&gt;0,AVERAGE(E$184:E$185,E187),""),"")</f>
        <v/>
      </c>
      <c r="F234" s="222" t="str">
        <f aca="false">IFERROR(IF(F$184*F$185*F187&gt;0,AVERAGE(F$184:F$185,F187),""),"")</f>
        <v/>
      </c>
      <c r="G234" s="222" t="str">
        <f aca="false">IFERROR(IF(G$184*G$185*G187&gt;0,AVERAGE(G$184:G$185,G187),""),"")</f>
        <v/>
      </c>
      <c r="H234" s="222" t="str">
        <f aca="false">IFERROR(IF(H$184*H$185*H187&gt;0,AVERAGE(H$184:H$185,H187),""),"")</f>
        <v/>
      </c>
      <c r="I234" s="222" t="str">
        <f aca="false">IFERROR(IF(I$184*I$185*I187&gt;0,AVERAGE(I$184:I$185,I187),""),"")</f>
        <v/>
      </c>
      <c r="J234" s="222" t="str">
        <f aca="false">IFERROR(IF(J$184*J$185*J187&gt;0,AVERAGE(J$184:J$185,J187),""),"")</f>
        <v/>
      </c>
      <c r="K234" s="222" t="str">
        <f aca="false">IFERROR(IF(K$184*K$185*K187&gt;0,AVERAGE(K$184:K$185,K187),""),"")</f>
        <v/>
      </c>
      <c r="L234" s="222" t="str">
        <f aca="false">IFERROR(IF(L$184*L$185*L187&gt;0,AVERAGE(L$184:L$185,L187),""),"")</f>
        <v/>
      </c>
      <c r="M234" s="222" t="str">
        <f aca="false">IFERROR(IF(M$184*M$185*M187&gt;0,AVERAGE(M$184:M$185,M187),""),"")</f>
        <v/>
      </c>
      <c r="N234" s="222" t="str">
        <f aca="false">IFERROR(IF(N$184*N$185*N187&gt;0,AVERAGE(N$184:N$185,N187),""),"")</f>
        <v/>
      </c>
      <c r="O234" s="257"/>
      <c r="P234" s="253"/>
      <c r="Q234" s="254"/>
      <c r="R234" s="226" t="s">
        <v>374</v>
      </c>
      <c r="S234" s="227" t="str">
        <f aca="false">IFERROR(IF(C$184*C$185*C187&gt;0,STDEV(C$184:C$185,C187),"")/IF(C$184*C$185*C187&gt;0,AVERAGE(C$184:C$185,C187),""),"")</f>
        <v/>
      </c>
      <c r="T234" s="227" t="str">
        <f aca="false">IFERROR(IF(D$184*D$185*D187&gt;0,STDEV(D$184:D$185,D187),"")/IF(D$184*D$185*D187&gt;0,AVERAGE(D$184:D$185,D187),""),"")</f>
        <v/>
      </c>
      <c r="U234" s="227" t="str">
        <f aca="false">IFERROR(IF(E$184*E$185*E187&gt;0,STDEV(E$184:E$185,E187),"")/IF(E$184*E$185*E187&gt;0,AVERAGE(E$184:E$185,E187),""),"")</f>
        <v/>
      </c>
      <c r="V234" s="227" t="str">
        <f aca="false">IFERROR(IF(F$184*F$185*F187&gt;0,STDEV(F$184:F$185,F187),"")/IF(F$184*F$185*F187&gt;0,AVERAGE(F$184:F$185,F187),""),"")</f>
        <v/>
      </c>
      <c r="W234" s="227" t="str">
        <f aca="false">IFERROR(IF(G$184*G$185*G187&gt;0,STDEV(G$184:G$185,G187),"")/IF(G$184*G$185*G187&gt;0,AVERAGE(G$184:G$185,G187),""),"")</f>
        <v/>
      </c>
      <c r="X234" s="227" t="str">
        <f aca="false">IFERROR(IF(H$184*H$185*H187&gt;0,STDEV(H$184:H$185,H187),"")/IF(H$184*H$185*H187&gt;0,AVERAGE(H$184:H$185,H187),""),"")</f>
        <v/>
      </c>
      <c r="Y234" s="227" t="str">
        <f aca="false">IFERROR(IF(I$184*I$185*I187&gt;0,STDEV(I$184:I$185,I187),"")/IF(I$184*I$185*I187&gt;0,AVERAGE(I$184:I$185,I187),""),"")</f>
        <v/>
      </c>
      <c r="Z234" s="227" t="str">
        <f aca="false">IFERROR(IF(J$184*J$185*J187&gt;0,STDEV(J$184:J$185,J187),"")/IF(J$184*J$185*J187&gt;0,AVERAGE(J$184:J$185,J187),""),"")</f>
        <v/>
      </c>
      <c r="AA234" s="227" t="str">
        <f aca="false">IFERROR(IF(K$184*K$185*K187&gt;0,STDEV(K$184:K$185,K187),"")/IF(K$184*K$185*K187&gt;0,AVERAGE(K$184:K$185,K187),""),"")</f>
        <v/>
      </c>
      <c r="AB234" s="227" t="str">
        <f aca="false">IFERROR(IF(L$184*L$185*L187&gt;0,STDEV(L$184:L$185,L187),"")/IF(L$184*L$185*L187&gt;0,AVERAGE(L$184:L$185,L187),""),"")</f>
        <v/>
      </c>
      <c r="AC234" s="227" t="str">
        <f aca="false">IFERROR(IF(M$184*M$185*M187&gt;0,STDEV(M$184:M$185,M187),"")/IF(M$184*M$185*M187&gt;0,AVERAGE(M$184:M$185,M187),""),"")</f>
        <v/>
      </c>
      <c r="AD234" s="227" t="str">
        <f aca="false">IFERROR(IF(N$184*N$185*N187&gt;0,STDEV(N$184:N$185,N187),"")/IF(N$184*N$185*N187&gt;0,AVERAGE(N$184:N$185,N187),""),"")</f>
        <v/>
      </c>
      <c r="AE234" s="228"/>
      <c r="AF234" s="229" t="s">
        <v>375</v>
      </c>
      <c r="AG234" s="270" t="str">
        <f aca="false">IFERROR(IF(C$184*C$185*C187&gt;0,STDEV(C$184:C$185,C187)," ")/IF(C$184*C$185*C187&gt;0,SQRT(COUNT(C$184:C$185,C187))," "),"")</f>
        <v/>
      </c>
      <c r="AH234" s="270" t="str">
        <f aca="false">IFERROR(IF(D$184*D$185*D187&gt;0,STDEV(D$184:D$185,D187)," ")/IF(D$184*D$185*D187&gt;0,SQRT(COUNT(D$184:D$185,D187))," "),"")</f>
        <v/>
      </c>
      <c r="AI234" s="270" t="str">
        <f aca="false">IFERROR(IF(E$184*E$185*E187&gt;0,STDEV(E$184:E$185,E187)," ")/IF(E$184*E$185*E187&gt;0,SQRT(COUNT(E$184:E$185,E187))," "),"")</f>
        <v/>
      </c>
      <c r="AJ234" s="270" t="str">
        <f aca="false">IFERROR(IF(F$184*F$185*F187&gt;0,STDEV(F$184:F$185,F187)," ")/IF(F$184*F$185*F187&gt;0,SQRT(COUNT(F$184:F$185,F187))," "),"")</f>
        <v/>
      </c>
      <c r="AK234" s="270" t="str">
        <f aca="false">IFERROR(IF(G$184*G$185*G187&gt;0,STDEV(G$184:G$185,G187)," ")/IF(G$184*G$185*G187&gt;0,SQRT(COUNT(G$184:G$185,G187))," "),"")</f>
        <v/>
      </c>
      <c r="AL234" s="270" t="str">
        <f aca="false">IFERROR(IF(H$184*H$185*H187&gt;0,STDEV(H$184:H$185,H187)," ")/IF(H$184*H$185*H187&gt;0,SQRT(COUNT(H$184:H$185,H187))," "),"")</f>
        <v/>
      </c>
      <c r="AM234" s="270" t="str">
        <f aca="false">IFERROR(IF(I$184*I$185*I187&gt;0,STDEV(I$184:I$185,I187)," ")/IF(I$184*I$185*I187&gt;0,SQRT(COUNT(I$184:I$185,I187))," "),"")</f>
        <v/>
      </c>
      <c r="AN234" s="270" t="str">
        <f aca="false">IFERROR(IF(J$184*J$185*J187&gt;0,STDEV(J$184:J$185,J187)," ")/IF(J$184*J$185*J187&gt;0,SQRT(COUNT(J$184:J$185,J187))," "),"")</f>
        <v/>
      </c>
      <c r="AO234" s="270" t="str">
        <f aca="false">IFERROR(IF(K$184*K$185*K187&gt;0,STDEV(K$184:K$185,K187)," ")/IF(K$184*K$185*K187&gt;0,SQRT(COUNT(K$184:K$185,K187))," "),"")</f>
        <v/>
      </c>
      <c r="AP234" s="270" t="str">
        <f aca="false">IFERROR(IF(L$184*L$185*L187&gt;0,STDEV(L$184:L$185,L187)," ")/IF(L$184*L$185*L187&gt;0,SQRT(COUNT(L$184:L$185,L187))," "),"")</f>
        <v/>
      </c>
      <c r="AQ234" s="270" t="str">
        <f aca="false">IFERROR(IF(M$184*M$185*M187&gt;0,STDEV(M$184:M$185,M187)," ")/IF(M$184*M$185*M187&gt;0,SQRT(COUNT(M$184:M$185,M187))," "),"")</f>
        <v/>
      </c>
      <c r="AR234" s="270" t="str">
        <f aca="false">IFERROR(IF(N$184*N$185*N187&gt;0,STDEV(N$184:N$185,N187)," ")/IF(N$184*N$185*N187&gt;0,SQRT(COUNT(N$184:N$185,N187))," "),"")</f>
        <v/>
      </c>
    </row>
    <row r="235" customFormat="false" ht="15.75" hidden="false" customHeight="false" outlineLevel="0" collapsed="false">
      <c r="A235" s="220" t="s">
        <v>260</v>
      </c>
      <c r="B235" s="221"/>
      <c r="C235" s="222" t="str">
        <f aca="false">IFERROR(IF(C$184*C$185*C188&gt;0,AVERAGE(C$184:C$185,C188),""),"")</f>
        <v/>
      </c>
      <c r="D235" s="222" t="str">
        <f aca="false">IFERROR(IF(D$184*D$185*D188&gt;0,AVERAGE(D$184:D$185,D188),""),"")</f>
        <v/>
      </c>
      <c r="E235" s="222" t="str">
        <f aca="false">IFERROR(IF(E$184*E$185*E188&gt;0,AVERAGE(E$184:E$185,E188),""),"")</f>
        <v/>
      </c>
      <c r="F235" s="222" t="str">
        <f aca="false">IFERROR(IF(F$184*F$185*F188&gt;0,AVERAGE(F$184:F$185,F188),""),"")</f>
        <v/>
      </c>
      <c r="G235" s="222" t="str">
        <f aca="false">IFERROR(IF(G$184*G$185*G188&gt;0,AVERAGE(G$184:G$185,G188),""),"")</f>
        <v/>
      </c>
      <c r="H235" s="222" t="str">
        <f aca="false">IFERROR(IF(H$184*H$185*H188&gt;0,AVERAGE(H$184:H$185,H188),""),"")</f>
        <v/>
      </c>
      <c r="I235" s="222" t="str">
        <f aca="false">IFERROR(IF(I$184*I$185*I188&gt;0,AVERAGE(I$184:I$185,I188),""),"")</f>
        <v/>
      </c>
      <c r="J235" s="222" t="str">
        <f aca="false">IFERROR(IF(J$184*J$185*J188&gt;0,AVERAGE(J$184:J$185,J188),""),"")</f>
        <v/>
      </c>
      <c r="K235" s="222" t="str">
        <f aca="false">IFERROR(IF(K$184*K$185*K188&gt;0,AVERAGE(K$184:K$185,K188),""),"")</f>
        <v/>
      </c>
      <c r="L235" s="222" t="str">
        <f aca="false">IFERROR(IF(L$184*L$185*L188&gt;0,AVERAGE(L$184:L$185,L188),""),"")</f>
        <v/>
      </c>
      <c r="M235" s="222" t="str">
        <f aca="false">IFERROR(IF(M$184*M$185*M188&gt;0,AVERAGE(M$184:M$185,M188),""),"")</f>
        <v/>
      </c>
      <c r="N235" s="222" t="str">
        <f aca="false">IFERROR(IF(N$184*N$185*N188&gt;0,AVERAGE(N$184:N$185,N188),""),"")</f>
        <v/>
      </c>
      <c r="O235" s="257"/>
      <c r="P235" s="253"/>
      <c r="Q235" s="254"/>
      <c r="R235" s="226" t="s">
        <v>376</v>
      </c>
      <c r="S235" s="227" t="str">
        <f aca="false">IFERROR(IF(C$184*C$185*C188&gt;0,STDEV(C$184:C$185,C188),"")/IF(C$184*C$185*C188&gt;0,AVERAGE(C$184:C$185,C188),""),"")</f>
        <v/>
      </c>
      <c r="T235" s="227" t="str">
        <f aca="false">IFERROR(IF(D$184*D$185*D188&gt;0,STDEV(D$184:D$185,D188),"")/IF(D$184*D$185*D188&gt;0,AVERAGE(D$184:D$185,D188),""),"")</f>
        <v/>
      </c>
      <c r="U235" s="227" t="str">
        <f aca="false">IFERROR(IF(E$184*E$185*E188&gt;0,STDEV(E$184:E$185,E188),"")/IF(E$184*E$185*E188&gt;0,AVERAGE(E$184:E$185,E188),""),"")</f>
        <v/>
      </c>
      <c r="V235" s="227" t="str">
        <f aca="false">IFERROR(IF(F$184*F$185*F188&gt;0,STDEV(F$184:F$185,F188),"")/IF(F$184*F$185*F188&gt;0,AVERAGE(F$184:F$185,F188),""),"")</f>
        <v/>
      </c>
      <c r="W235" s="227" t="str">
        <f aca="false">IFERROR(IF(G$184*G$185*G188&gt;0,STDEV(G$184:G$185,G188),"")/IF(G$184*G$185*G188&gt;0,AVERAGE(G$184:G$185,G188),""),"")</f>
        <v/>
      </c>
      <c r="X235" s="227" t="str">
        <f aca="false">IFERROR(IF(H$184*H$185*H188&gt;0,STDEV(H$184:H$185,H188),"")/IF(H$184*H$185*H188&gt;0,AVERAGE(H$184:H$185,H188),""),"")</f>
        <v/>
      </c>
      <c r="Y235" s="227" t="str">
        <f aca="false">IFERROR(IF(I$184*I$185*I188&gt;0,STDEV(I$184:I$185,I188),"")/IF(I$184*I$185*I188&gt;0,AVERAGE(I$184:I$185,I188),""),"")</f>
        <v/>
      </c>
      <c r="Z235" s="227" t="str">
        <f aca="false">IFERROR(IF(J$184*J$185*J188&gt;0,STDEV(J$184:J$185,J188),"")/IF(J$184*J$185*J188&gt;0,AVERAGE(J$184:J$185,J188),""),"")</f>
        <v/>
      </c>
      <c r="AA235" s="227" t="str">
        <f aca="false">IFERROR(IF(K$184*K$185*K188&gt;0,STDEV(K$184:K$185,K188),"")/IF(K$184*K$185*K188&gt;0,AVERAGE(K$184:K$185,K188),""),"")</f>
        <v/>
      </c>
      <c r="AB235" s="227" t="str">
        <f aca="false">IFERROR(IF(L$184*L$185*L188&gt;0,STDEV(L$184:L$185,L188),"")/IF(L$184*L$185*L188&gt;0,AVERAGE(L$184:L$185,L188),""),"")</f>
        <v/>
      </c>
      <c r="AC235" s="227" t="str">
        <f aca="false">IFERROR(IF(M$184*M$185*M188&gt;0,STDEV(M$184:M$185,M188),"")/IF(M$184*M$185*M188&gt;0,AVERAGE(M$184:M$185,M188),""),"")</f>
        <v/>
      </c>
      <c r="AD235" s="227" t="str">
        <f aca="false">IFERROR(IF(N$184*N$185*N188&gt;0,STDEV(N$184:N$185,N188),"")/IF(N$184*N$185*N188&gt;0,AVERAGE(N$184:N$185,N188),""),"")</f>
        <v/>
      </c>
      <c r="AE235" s="228"/>
      <c r="AF235" s="229" t="s">
        <v>377</v>
      </c>
      <c r="AG235" s="270" t="str">
        <f aca="false">IFERROR(IF(C$184*C$185*C188&gt;0,STDEV(C$184:C$185,C188)," ")/IF(C$184*C$185*C188&gt;0,SQRT(COUNT(C$184:C$185,C188))," "),"")</f>
        <v/>
      </c>
      <c r="AH235" s="270" t="str">
        <f aca="false">IFERROR(IF(D$184*D$185*D188&gt;0,STDEV(D$184:D$185,D188)," ")/IF(D$184*D$185*D188&gt;0,SQRT(COUNT(D$184:D$185,D188))," "),"")</f>
        <v/>
      </c>
      <c r="AI235" s="270" t="str">
        <f aca="false">IFERROR(IF(E$184*E$185*E188&gt;0,STDEV(E$184:E$185,E188)," ")/IF(E$184*E$185*E188&gt;0,SQRT(COUNT(E$184:E$185,E188))," "),"")</f>
        <v/>
      </c>
      <c r="AJ235" s="270" t="str">
        <f aca="false">IFERROR(IF(F$184*F$185*F188&gt;0,STDEV(F$184:F$185,F188)," ")/IF(F$184*F$185*F188&gt;0,SQRT(COUNT(F$184:F$185,F188))," "),"")</f>
        <v/>
      </c>
      <c r="AK235" s="270" t="str">
        <f aca="false">IFERROR(IF(G$184*G$185*G188&gt;0,STDEV(G$184:G$185,G188)," ")/IF(G$184*G$185*G188&gt;0,SQRT(COUNT(G$184:G$185,G188))," "),"")</f>
        <v/>
      </c>
      <c r="AL235" s="270" t="str">
        <f aca="false">IFERROR(IF(H$184*H$185*H188&gt;0,STDEV(H$184:H$185,H188)," ")/IF(H$184*H$185*H188&gt;0,SQRT(COUNT(H$184:H$185,H188))," "),"")</f>
        <v/>
      </c>
      <c r="AM235" s="270" t="str">
        <f aca="false">IFERROR(IF(I$184*I$185*I188&gt;0,STDEV(I$184:I$185,I188)," ")/IF(I$184*I$185*I188&gt;0,SQRT(COUNT(I$184:I$185,I188))," "),"")</f>
        <v/>
      </c>
      <c r="AN235" s="270" t="str">
        <f aca="false">IFERROR(IF(J$184*J$185*J188&gt;0,STDEV(J$184:J$185,J188)," ")/IF(J$184*J$185*J188&gt;0,SQRT(COUNT(J$184:J$185,J188))," "),"")</f>
        <v/>
      </c>
      <c r="AO235" s="270" t="str">
        <f aca="false">IFERROR(IF(K$184*K$185*K188&gt;0,STDEV(K$184:K$185,K188)," ")/IF(K$184*K$185*K188&gt;0,SQRT(COUNT(K$184:K$185,K188))," "),"")</f>
        <v/>
      </c>
      <c r="AP235" s="270" t="str">
        <f aca="false">IFERROR(IF(L$184*L$185*L188&gt;0,STDEV(L$184:L$185,L188)," ")/IF(L$184*L$185*L188&gt;0,SQRT(COUNT(L$184:L$185,L188))," "),"")</f>
        <v/>
      </c>
      <c r="AQ235" s="270" t="str">
        <f aca="false">IFERROR(IF(M$184*M$185*M188&gt;0,STDEV(M$184:M$185,M188)," ")/IF(M$184*M$185*M188&gt;0,SQRT(COUNT(M$184:M$185,M188))," "),"")</f>
        <v/>
      </c>
      <c r="AR235" s="270" t="str">
        <f aca="false">IFERROR(IF(N$184*N$185*N188&gt;0,STDEV(N$184:N$185,N188)," ")/IF(N$184*N$185*N188&gt;0,SQRT(COUNT(N$184:N$185,N188))," "),"")</f>
        <v/>
      </c>
    </row>
    <row r="236" customFormat="false" ht="15.75" hidden="false" customHeight="false" outlineLevel="0" collapsed="false">
      <c r="A236" s="220" t="s">
        <v>261</v>
      </c>
      <c r="B236" s="221"/>
      <c r="C236" s="222" t="str">
        <f aca="false">IFERROR(IF(C$185*C$186*C182&gt;0,AVERAGE(C$185:C$186,C182),""),"")</f>
        <v/>
      </c>
      <c r="D236" s="222" t="str">
        <f aca="false">IFERROR(IF(D$185*D$186*D182&gt;0,AVERAGE(D$185:D$186,D182),""),"")</f>
        <v/>
      </c>
      <c r="E236" s="222" t="str">
        <f aca="false">IFERROR(IF(E$185*E$186*E182&gt;0,AVERAGE(E$185:E$186,E182),""),"")</f>
        <v/>
      </c>
      <c r="F236" s="222" t="str">
        <f aca="false">IFERROR(IF(F$185*F$186*F182&gt;0,AVERAGE(F$185:F$186,F182),""),"")</f>
        <v/>
      </c>
      <c r="G236" s="222" t="str">
        <f aca="false">IFERROR(IF(G$185*G$186*G182&gt;0,AVERAGE(G$185:G$186,G182),""),"")</f>
        <v/>
      </c>
      <c r="H236" s="222" t="str">
        <f aca="false">IFERROR(IF(H$185*H$186*H182&gt;0,AVERAGE(H$185:H$186,H182),""),"")</f>
        <v/>
      </c>
      <c r="I236" s="222" t="str">
        <f aca="false">IFERROR(IF(I$185*I$186*I182&gt;0,AVERAGE(I$185:I$186,I182),""),"")</f>
        <v/>
      </c>
      <c r="J236" s="222" t="str">
        <f aca="false">IFERROR(IF(J$185*J$186*J182&gt;0,AVERAGE(J$185:J$186,J182),""),"")</f>
        <v/>
      </c>
      <c r="K236" s="222" t="str">
        <f aca="false">IFERROR(IF(K$185*K$186*K182&gt;0,AVERAGE(K$185:K$186,K182),""),"")</f>
        <v/>
      </c>
      <c r="L236" s="222" t="str">
        <f aca="false">IFERROR(IF(L$185*L$186*L182&gt;0,AVERAGE(L$185:L$186,L182),""),"")</f>
        <v/>
      </c>
      <c r="M236" s="222" t="str">
        <f aca="false">IFERROR(IF(M$185*M$186*M182&gt;0,AVERAGE(M$185:M$186,M182),""),"")</f>
        <v/>
      </c>
      <c r="N236" s="222" t="str">
        <f aca="false">IFERROR(IF(N$185*N$186*N182&gt;0,AVERAGE(N$185:N$186,N182),""),"")</f>
        <v/>
      </c>
      <c r="O236" s="257"/>
      <c r="P236" s="253"/>
      <c r="Q236" s="254"/>
      <c r="R236" s="226" t="s">
        <v>378</v>
      </c>
      <c r="S236" s="227" t="str">
        <f aca="false">IFERROR(IF(C$185*C$186*C182&gt;0,STDEV(C$185:C$186,C182),"")/IF(C$185*C$186*C182&gt;0,AVERAGE(C$185:C$186,C182),""),"")</f>
        <v/>
      </c>
      <c r="T236" s="227" t="str">
        <f aca="false">IFERROR(IF(D$185*D$186*D182&gt;0,STDEV(D$185:D$186,D182),"")/IF(D$185*D$186*D182&gt;0,AVERAGE(D$185:D$186,D182),""),"")</f>
        <v/>
      </c>
      <c r="U236" s="227" t="str">
        <f aca="false">IFERROR(IF(E$185*E$186*E182&gt;0,STDEV(E$185:E$186,E182),"")/IF(E$185*E$186*E182&gt;0,AVERAGE(E$185:E$186,E182),""),"")</f>
        <v/>
      </c>
      <c r="V236" s="227" t="str">
        <f aca="false">IFERROR(IF(F$185*F$186*F182&gt;0,STDEV(F$185:F$186,F182),"")/IF(F$185*F$186*F182&gt;0,AVERAGE(F$185:F$186,F182),""),"")</f>
        <v/>
      </c>
      <c r="W236" s="227" t="str">
        <f aca="false">IFERROR(IF(G$185*G$186*G182&gt;0,STDEV(G$185:G$186,G182),"")/IF(G$185*G$186*G182&gt;0,AVERAGE(G$185:G$186,G182),""),"")</f>
        <v/>
      </c>
      <c r="X236" s="227" t="str">
        <f aca="false">IFERROR(IF(H$185*H$186*H182&gt;0,STDEV(H$185:H$186,H182),"")/IF(H$185*H$186*H182&gt;0,AVERAGE(H$185:H$186,H182),""),"")</f>
        <v/>
      </c>
      <c r="Y236" s="227" t="str">
        <f aca="false">IFERROR(IF(I$185*I$186*I182&gt;0,STDEV(I$185:I$186,I182),"")/IF(I$185*I$186*I182&gt;0,AVERAGE(I$185:I$186,I182),""),"")</f>
        <v/>
      </c>
      <c r="Z236" s="227" t="str">
        <f aca="false">IFERROR(IF(J$185*J$186*J182&gt;0,STDEV(J$185:J$186,J182),"")/IF(J$185*J$186*J182&gt;0,AVERAGE(J$185:J$186,J182),""),"")</f>
        <v/>
      </c>
      <c r="AA236" s="227" t="str">
        <f aca="false">IFERROR(IF(K$185*K$186*K182&gt;0,STDEV(K$185:K$186,K182),"")/IF(K$185*K$186*K182&gt;0,AVERAGE(K$185:K$186,K182),""),"")</f>
        <v/>
      </c>
      <c r="AB236" s="227" t="str">
        <f aca="false">IFERROR(IF(L$185*L$186*L182&gt;0,STDEV(L$185:L$186,L182),"")/IF(L$185*L$186*L182&gt;0,AVERAGE(L$185:L$186,L182),""),"")</f>
        <v/>
      </c>
      <c r="AC236" s="227" t="str">
        <f aca="false">IFERROR(IF(M$185*M$186*M182&gt;0,STDEV(M$185:M$186,M182),"")/IF(M$185*M$186*M182&gt;0,AVERAGE(M$185:M$186,M182),""),"")</f>
        <v/>
      </c>
      <c r="AD236" s="227" t="str">
        <f aca="false">IFERROR(IF(N$185*N$186*N182&gt;0,STDEV(N$185:N$186,N182),"")/IF(N$185*N$186*N182&gt;0,AVERAGE(N$185:N$186,N182),""),"")</f>
        <v/>
      </c>
      <c r="AE236" s="228"/>
      <c r="AF236" s="229" t="s">
        <v>379</v>
      </c>
      <c r="AG236" s="270" t="str">
        <f aca="false">IFERROR(IF(C$185*C$186*C182&gt;0,STDEV(C$185:C$186,C182)," ")/IF(C$185*C$186*C182&gt;0,SQRT(COUNT(C$185:C$186,C182))," "),"")</f>
        <v/>
      </c>
      <c r="AH236" s="270" t="str">
        <f aca="false">IFERROR(IF(D$185*D$186*D182&gt;0,STDEV(D$185:D$186,D182)," ")/IF(D$185*D$186*D182&gt;0,SQRT(COUNT(D$185:D$186,D182))," "),"")</f>
        <v/>
      </c>
      <c r="AI236" s="270" t="str">
        <f aca="false">IFERROR(IF(E$185*E$186*E182&gt;0,STDEV(E$185:E$186,E182)," ")/IF(E$185*E$186*E182&gt;0,SQRT(COUNT(E$185:E$186,E182))," "),"")</f>
        <v/>
      </c>
      <c r="AJ236" s="270" t="str">
        <f aca="false">IFERROR(IF(F$185*F$186*F182&gt;0,STDEV(F$185:F$186,F182)," ")/IF(F$185*F$186*F182&gt;0,SQRT(COUNT(F$185:F$186,F182))," "),"")</f>
        <v/>
      </c>
      <c r="AK236" s="270" t="str">
        <f aca="false">IFERROR(IF(G$185*G$186*G182&gt;0,STDEV(G$185:G$186,G182)," ")/IF(G$185*G$186*G182&gt;0,SQRT(COUNT(G$185:G$186,G182))," "),"")</f>
        <v/>
      </c>
      <c r="AL236" s="270" t="str">
        <f aca="false">IFERROR(IF(H$185*H$186*H182&gt;0,STDEV(H$185:H$186,H182)," ")/IF(H$185*H$186*H182&gt;0,SQRT(COUNT(H$185:H$186,H182))," "),"")</f>
        <v/>
      </c>
      <c r="AM236" s="270" t="str">
        <f aca="false">IFERROR(IF(I$185*I$186*I182&gt;0,STDEV(I$185:I$186,I182)," ")/IF(I$185*I$186*I182&gt;0,SQRT(COUNT(I$185:I$186,I182))," "),"")</f>
        <v/>
      </c>
      <c r="AN236" s="270" t="str">
        <f aca="false">IFERROR(IF(J$185*J$186*J182&gt;0,STDEV(J$185:J$186,J182)," ")/IF(J$185*J$186*J182&gt;0,SQRT(COUNT(J$185:J$186,J182))," "),"")</f>
        <v/>
      </c>
      <c r="AO236" s="270" t="str">
        <f aca="false">IFERROR(IF(K$185*K$186*K182&gt;0,STDEV(K$185:K$186,K182)," ")/IF(K$185*K$186*K182&gt;0,SQRT(COUNT(K$185:K$186,K182))," "),"")</f>
        <v/>
      </c>
      <c r="AP236" s="270" t="str">
        <f aca="false">IFERROR(IF(L$185*L$186*L182&gt;0,STDEV(L$185:L$186,L182)," ")/IF(L$185*L$186*L182&gt;0,SQRT(COUNT(L$185:L$186,L182))," "),"")</f>
        <v/>
      </c>
      <c r="AQ236" s="270" t="str">
        <f aca="false">IFERROR(IF(M$185*M$186*M182&gt;0,STDEV(M$185:M$186,M182)," ")/IF(M$185*M$186*M182&gt;0,SQRT(COUNT(M$185:M$186,M182))," "),"")</f>
        <v/>
      </c>
      <c r="AR236" s="270" t="str">
        <f aca="false">IFERROR(IF(N$185*N$186*N182&gt;0,STDEV(N$185:N$186,N182)," ")/IF(N$185*N$186*N182&gt;0,SQRT(COUNT(N$185:N$186,N182))," "),"")</f>
        <v/>
      </c>
    </row>
    <row r="237" customFormat="false" ht="15.75" hidden="false" customHeight="false" outlineLevel="0" collapsed="false">
      <c r="A237" s="220" t="s">
        <v>380</v>
      </c>
      <c r="B237" s="221"/>
      <c r="C237" s="222" t="str">
        <f aca="false">IFERROR(IF(C$185*C$186*C183&gt;0,AVERAGE(C$185:C$186,C183),""),"")</f>
        <v/>
      </c>
      <c r="D237" s="222" t="str">
        <f aca="false">IFERROR(IF(D$185*D$186*D183&gt;0,AVERAGE(D$185:D$186,D183),""),"")</f>
        <v/>
      </c>
      <c r="E237" s="222" t="str">
        <f aca="false">IFERROR(IF(E$185*E$186*E183&gt;0,AVERAGE(E$185:E$186,E183),""),"")</f>
        <v/>
      </c>
      <c r="F237" s="222" t="str">
        <f aca="false">IFERROR(IF(F$185*F$186*F183&gt;0,AVERAGE(F$185:F$186,F183),""),"")</f>
        <v/>
      </c>
      <c r="G237" s="222" t="str">
        <f aca="false">IFERROR(IF(G$185*G$186*G183&gt;0,AVERAGE(G$185:G$186,G183),""),"")</f>
        <v/>
      </c>
      <c r="H237" s="222" t="str">
        <f aca="false">IFERROR(IF(H$185*H$186*H183&gt;0,AVERAGE(H$185:H$186,H183),""),"")</f>
        <v/>
      </c>
      <c r="I237" s="222" t="str">
        <f aca="false">IFERROR(IF(I$185*I$186*I183&gt;0,AVERAGE(I$185:I$186,I183),""),"")</f>
        <v/>
      </c>
      <c r="J237" s="222" t="str">
        <f aca="false">IFERROR(IF(J$185*J$186*J183&gt;0,AVERAGE(J$185:J$186,J183),""),"")</f>
        <v/>
      </c>
      <c r="K237" s="222" t="str">
        <f aca="false">IFERROR(IF(K$185*K$186*K183&gt;0,AVERAGE(K$185:K$186,K183),""),"")</f>
        <v/>
      </c>
      <c r="L237" s="222" t="str">
        <f aca="false">IFERROR(IF(L$185*L$186*L183&gt;0,AVERAGE(L$185:L$186,L183),""),"")</f>
        <v/>
      </c>
      <c r="M237" s="222" t="str">
        <f aca="false">IFERROR(IF(M$185*M$186*M183&gt;0,AVERAGE(M$185:M$186,M183),""),"")</f>
        <v/>
      </c>
      <c r="N237" s="222" t="str">
        <f aca="false">IFERROR(IF(N$185*N$186*N183&gt;0,AVERAGE(N$185:N$186,N183),""),"")</f>
        <v/>
      </c>
      <c r="O237" s="258"/>
      <c r="P237" s="259"/>
      <c r="Q237" s="260"/>
      <c r="R237" s="226" t="s">
        <v>381</v>
      </c>
      <c r="S237" s="227" t="str">
        <f aca="false">IFERROR(IF(C$185*C$186*C183&gt;0,STDEV(C$185:C$186,C183),"")/IF(C$185*C$186*C183&gt;0,AVERAGE(C$185:C$186,C183),""),"")</f>
        <v/>
      </c>
      <c r="T237" s="227" t="str">
        <f aca="false">IFERROR(IF(D$185*D$186*D183&gt;0,STDEV(D$185:D$186,D183),"")/IF(D$185*D$186*D183&gt;0,AVERAGE(D$185:D$186,D183),""),"")</f>
        <v/>
      </c>
      <c r="U237" s="227" t="str">
        <f aca="false">IFERROR(IF(E$185*E$186*E183&gt;0,STDEV(E$185:E$186,E183),"")/IF(E$185*E$186*E183&gt;0,AVERAGE(E$185:E$186,E183),""),"")</f>
        <v/>
      </c>
      <c r="V237" s="227" t="str">
        <f aca="false">IFERROR(IF(F$185*F$186*F183&gt;0,STDEV(F$185:F$186,F183),"")/IF(F$185*F$186*F183&gt;0,AVERAGE(F$185:F$186,F183),""),"")</f>
        <v/>
      </c>
      <c r="W237" s="227" t="str">
        <f aca="false">IFERROR(IF(G$185*G$186*G183&gt;0,STDEV(G$185:G$186,G183),"")/IF(G$185*G$186*G183&gt;0,AVERAGE(G$185:G$186,G183),""),"")</f>
        <v/>
      </c>
      <c r="X237" s="227" t="str">
        <f aca="false">IFERROR(IF(H$185*H$186*H183&gt;0,STDEV(H$185:H$186,H183),"")/IF(H$185*H$186*H183&gt;0,AVERAGE(H$185:H$186,H183),""),"")</f>
        <v/>
      </c>
      <c r="Y237" s="227" t="str">
        <f aca="false">IFERROR(IF(I$185*I$186*I183&gt;0,STDEV(I$185:I$186,I183),"")/IF(I$185*I$186*I183&gt;0,AVERAGE(I$185:I$186,I183),""),"")</f>
        <v/>
      </c>
      <c r="Z237" s="227" t="str">
        <f aca="false">IFERROR(IF(J$185*J$186*J183&gt;0,STDEV(J$185:J$186,J183),"")/IF(J$185*J$186*J183&gt;0,AVERAGE(J$185:J$186,J183),""),"")</f>
        <v/>
      </c>
      <c r="AA237" s="227" t="str">
        <f aca="false">IFERROR(IF(K$185*K$186*K183&gt;0,STDEV(K$185:K$186,K183),"")/IF(K$185*K$186*K183&gt;0,AVERAGE(K$185:K$186,K183),""),"")</f>
        <v/>
      </c>
      <c r="AB237" s="227" t="str">
        <f aca="false">IFERROR(IF(L$185*L$186*L183&gt;0,STDEV(L$185:L$186,L183),"")/IF(L$185*L$186*L183&gt;0,AVERAGE(L$185:L$186,L183),""),"")</f>
        <v/>
      </c>
      <c r="AC237" s="227" t="str">
        <f aca="false">IFERROR(IF(M$185*M$186*M183&gt;0,STDEV(M$185:M$186,M183),"")/IF(M$185*M$186*M183&gt;0,AVERAGE(M$185:M$186,M183),""),"")</f>
        <v/>
      </c>
      <c r="AD237" s="227" t="str">
        <f aca="false">IFERROR(IF(N$185*N$186*N183&gt;0,STDEV(N$185:N$186,N183),"")/IF(N$185*N$186*N183&gt;0,AVERAGE(N$185:N$186,N183),""),"")</f>
        <v/>
      </c>
      <c r="AE237" s="258"/>
      <c r="AF237" s="229" t="s">
        <v>382</v>
      </c>
      <c r="AG237" s="271" t="str">
        <f aca="false">IFERROR(IF(C$185*C$186*C183&gt;0,STDEV(C$185:C$186,C183)," ")/IF(C$185*C$186*C183&gt;0,SQRT(COUNT(C$185:C$186,C183)),""),"")</f>
        <v/>
      </c>
      <c r="AH237" s="271" t="str">
        <f aca="false">IFERROR(IF(D$185*D$186*D183&gt;0,STDEV(D$185:D$186,D183)," ")/IF(D$185*D$186*D183&gt;0,SQRT(COUNT(D$185:D$186,D183)),""),"")</f>
        <v/>
      </c>
      <c r="AI237" s="271" t="str">
        <f aca="false">IFERROR(IF(E$185*E$186*E183&gt;0,STDEV(E$185:E$186,E183)," ")/IF(E$185*E$186*E183&gt;0,SQRT(COUNT(E$185:E$186,E183)),""),"")</f>
        <v/>
      </c>
      <c r="AJ237" s="271" t="str">
        <f aca="false">IFERROR(IF(F$185*F$186*F183&gt;0,STDEV(F$185:F$186,F183)," ")/IF(F$185*F$186*F183&gt;0,SQRT(COUNT(F$185:F$186,F183)),""),"")</f>
        <v/>
      </c>
      <c r="AK237" s="271" t="str">
        <f aca="false">IFERROR(IF(G$185*G$186*G183&gt;0,STDEV(G$185:G$186,G183)," ")/IF(G$185*G$186*G183&gt;0,SQRT(COUNT(G$185:G$186,G183)),""),"")</f>
        <v/>
      </c>
      <c r="AL237" s="271" t="str">
        <f aca="false">IFERROR(IF(H$185*H$186*H183&gt;0,STDEV(H$185:H$186,H183)," ")/IF(H$185*H$186*H183&gt;0,SQRT(COUNT(H$185:H$186,H183)),""),"")</f>
        <v/>
      </c>
      <c r="AM237" s="271" t="str">
        <f aca="false">IFERROR(IF(I$185*I$186*I183&gt;0,STDEV(I$185:I$186,I183)," ")/IF(I$185*I$186*I183&gt;0,SQRT(COUNT(I$185:I$186,I183)),""),"")</f>
        <v/>
      </c>
      <c r="AN237" s="271" t="str">
        <f aca="false">IFERROR(IF(J$185*J$186*J183&gt;0,STDEV(J$185:J$186,J183)," ")/IF(J$185*J$186*J183&gt;0,SQRT(COUNT(J$185:J$186,J183)),""),"")</f>
        <v/>
      </c>
      <c r="AO237" s="271" t="str">
        <f aca="false">IFERROR(IF(K$185*K$186*K183&gt;0,STDEV(K$185:K$186,K183)," ")/IF(K$185*K$186*K183&gt;0,SQRT(COUNT(K$185:K$186,K183)),""),"")</f>
        <v/>
      </c>
      <c r="AP237" s="271" t="str">
        <f aca="false">IFERROR(IF(L$185*L$186*L183&gt;0,STDEV(L$185:L$186,L183)," ")/IF(L$185*L$186*L183&gt;0,SQRT(COUNT(L$185:L$186,L183)),""),"")</f>
        <v/>
      </c>
      <c r="AQ237" s="271" t="str">
        <f aca="false">IFERROR(IF(M$185*M$186*M183&gt;0,STDEV(M$185:M$186,M183)," ")/IF(M$185*M$186*M183&gt;0,SQRT(COUNT(M$185:M$186,M183)),""),"")</f>
        <v/>
      </c>
      <c r="AR237" s="271" t="str">
        <f aca="false">IFERROR(IF(N$185*N$186*N183&gt;0,STDEV(N$185:N$186,N183)," ")/IF(N$185*N$186*N183&gt;0,SQRT(COUNT(N$185:N$186,N183)),""),"")</f>
        <v/>
      </c>
    </row>
    <row r="238" customFormat="false" ht="15.75" hidden="false" customHeight="false" outlineLevel="0" collapsed="false">
      <c r="A238" s="220" t="s">
        <v>383</v>
      </c>
      <c r="B238" s="221"/>
      <c r="C238" s="222" t="str">
        <f aca="false">IFERROR(IF(C$185*C$186*C187&gt;0,AVERAGE(C$185:C$186,C187),""),"")</f>
        <v/>
      </c>
      <c r="D238" s="222" t="str">
        <f aca="false">IFERROR(IF(D$185*D$186*D187&gt;0,AVERAGE(D$185:D$186,D187),""),"")</f>
        <v/>
      </c>
      <c r="E238" s="222" t="str">
        <f aca="false">IFERROR(IF(E$185*E$186*E187&gt;0,AVERAGE(E$185:E$186,E187),""),"")</f>
        <v/>
      </c>
      <c r="F238" s="222" t="str">
        <f aca="false">IFERROR(IF(F$185*F$186*F187&gt;0,AVERAGE(F$185:F$186,F187),""),"")</f>
        <v/>
      </c>
      <c r="G238" s="222" t="str">
        <f aca="false">IFERROR(IF(G$185*G$186*G187&gt;0,AVERAGE(G$185:G$186,G187),""),"")</f>
        <v/>
      </c>
      <c r="H238" s="222" t="str">
        <f aca="false">IFERROR(IF(H$185*H$186*H187&gt;0,AVERAGE(H$185:H$186,H187),""),"")</f>
        <v/>
      </c>
      <c r="I238" s="222" t="str">
        <f aca="false">IFERROR(IF(I$185*I$186*I187&gt;0,AVERAGE(I$185:I$186,I187),""),"")</f>
        <v/>
      </c>
      <c r="J238" s="222" t="str">
        <f aca="false">IFERROR(IF(J$185*J$186*J187&gt;0,AVERAGE(J$185:J$186,J187),""),"")</f>
        <v/>
      </c>
      <c r="K238" s="222" t="str">
        <f aca="false">IFERROR(IF(K$185*K$186*K187&gt;0,AVERAGE(K$185:K$186,K187),""),"")</f>
        <v/>
      </c>
      <c r="L238" s="222" t="str">
        <f aca="false">IFERROR(IF(L$185*L$186*L187&gt;0,AVERAGE(L$185:L$186,L187),""),"")</f>
        <v/>
      </c>
      <c r="M238" s="222" t="str">
        <f aca="false">IFERROR(IF(M$185*M$186*M187&gt;0,AVERAGE(M$185:M$186,M187),""),"")</f>
        <v/>
      </c>
      <c r="N238" s="222" t="str">
        <f aca="false">IFERROR(IF(N$185*N$186*N187&gt;0,AVERAGE(N$185:N$186,N187),""),"")</f>
        <v/>
      </c>
      <c r="O238" s="253"/>
      <c r="P238" s="253"/>
      <c r="Q238" s="254"/>
      <c r="R238" s="226" t="s">
        <v>384</v>
      </c>
      <c r="S238" s="227" t="str">
        <f aca="false">IFERROR(IF(C$185*C$186*C187&gt;0,STDEV(C$185:C$186,C187),"")/IF(C$185*C$186*C187&gt;0,AVERAGE(C$185:C$186,C187),""),"")</f>
        <v/>
      </c>
      <c r="T238" s="227" t="str">
        <f aca="false">IFERROR(IF(D$185*D$186*D187&gt;0,STDEV(D$185:D$186,D187),"")/IF(D$185*D$186*D187&gt;0,AVERAGE(D$185:D$186,D187),""),"")</f>
        <v/>
      </c>
      <c r="U238" s="227" t="str">
        <f aca="false">IFERROR(IF(E$185*E$186*E187&gt;0,STDEV(E$185:E$186,E187),"")/IF(E$185*E$186*E187&gt;0,AVERAGE(E$185:E$186,E187),""),"")</f>
        <v/>
      </c>
      <c r="V238" s="227" t="str">
        <f aca="false">IFERROR(IF(F$185*F$186*F187&gt;0,STDEV(F$185:F$186,F187),"")/IF(F$185*F$186*F187&gt;0,AVERAGE(F$185:F$186,F187),""),"")</f>
        <v/>
      </c>
      <c r="W238" s="227" t="str">
        <f aca="false">IFERROR(IF(G$185*G$186*G187&gt;0,STDEV(G$185:G$186,G187),"")/IF(G$185*G$186*G187&gt;0,AVERAGE(G$185:G$186,G187),""),"")</f>
        <v/>
      </c>
      <c r="X238" s="227" t="str">
        <f aca="false">IFERROR(IF(H$185*H$186*H187&gt;0,STDEV(H$185:H$186,H187),"")/IF(H$185*H$186*H187&gt;0,AVERAGE(H$185:H$186,H187),""),"")</f>
        <v/>
      </c>
      <c r="Y238" s="227" t="str">
        <f aca="false">IFERROR(IF(I$185*I$186*I187&gt;0,STDEV(I$185:I$186,I187),"")/IF(I$185*I$186*I187&gt;0,AVERAGE(I$185:I$186,I187),""),"")</f>
        <v/>
      </c>
      <c r="Z238" s="227" t="str">
        <f aca="false">IFERROR(IF(J$185*J$186*J187&gt;0,STDEV(J$185:J$186,J187),"")/IF(J$185*J$186*J187&gt;0,AVERAGE(J$185:J$186,J187),""),"")</f>
        <v/>
      </c>
      <c r="AA238" s="227" t="str">
        <f aca="false">IFERROR(IF(K$185*K$186*K187&gt;0,STDEV(K$185:K$186,K187),"")/IF(K$185*K$186*K187&gt;0,AVERAGE(K$185:K$186,K187),""),"")</f>
        <v/>
      </c>
      <c r="AB238" s="227" t="str">
        <f aca="false">IFERROR(IF(L$185*L$186*L187&gt;0,STDEV(L$185:L$186,L187),"")/IF(L$185*L$186*L187&gt;0,AVERAGE(L$185:L$186,L187),""),"")</f>
        <v/>
      </c>
      <c r="AC238" s="227" t="str">
        <f aca="false">IFERROR(IF(M$185*M$186*M187&gt;0,STDEV(M$185:M$186,M187),"")/IF(M$185*M$186*M187&gt;0,AVERAGE(M$185:M$186,M187),""),"")</f>
        <v/>
      </c>
      <c r="AD238" s="227" t="str">
        <f aca="false">IFERROR(IF(N$185*N$186*N187&gt;0,STDEV(N$185:N$186,N187),"")/IF(N$185*N$186*N187&gt;0,AVERAGE(N$185:N$186,N187),""),"")</f>
        <v/>
      </c>
      <c r="AE238" s="233"/>
      <c r="AF238" s="229" t="s">
        <v>385</v>
      </c>
      <c r="AG238" s="270" t="str">
        <f aca="false">IFERROR(IF(C$185*C$186*C187&gt;0,STDEV(C$185:C$186,C187)," ")/IF(C$185*C$186*C187&gt;0,SQRT(COUNT(C$185:C$186,C187))," "),"")</f>
        <v/>
      </c>
      <c r="AH238" s="270" t="str">
        <f aca="false">IFERROR(IF(D$185*D$186*D187&gt;0,STDEV(D$185:D$186,D187)," ")/IF(D$185*D$186*D187&gt;0,SQRT(COUNT(D$185:D$186,D187))," "),"")</f>
        <v/>
      </c>
      <c r="AI238" s="270" t="str">
        <f aca="false">IFERROR(IF(E$185*E$186*E187&gt;0,STDEV(E$185:E$186,E187)," ")/IF(E$185*E$186*E187&gt;0,SQRT(COUNT(E$185:E$186,E187))," "),"")</f>
        <v/>
      </c>
      <c r="AJ238" s="270" t="str">
        <f aca="false">IFERROR(IF(F$185*F$186*F187&gt;0,STDEV(F$185:F$186,F187)," ")/IF(F$185*F$186*F187&gt;0,SQRT(COUNT(F$185:F$186,F187))," "),"")</f>
        <v/>
      </c>
      <c r="AK238" s="270" t="str">
        <f aca="false">IFERROR(IF(G$185*G$186*G187&gt;0,STDEV(G$185:G$186,G187)," ")/IF(G$185*G$186*G187&gt;0,SQRT(COUNT(G$185:G$186,G187))," "),"")</f>
        <v/>
      </c>
      <c r="AL238" s="270" t="str">
        <f aca="false">IFERROR(IF(H$185*H$186*H187&gt;0,STDEV(H$185:H$186,H187)," ")/IF(H$185*H$186*H187&gt;0,SQRT(COUNT(H$185:H$186,H187))," "),"")</f>
        <v/>
      </c>
      <c r="AM238" s="270" t="str">
        <f aca="false">IFERROR(IF(I$185*I$186*I187&gt;0,STDEV(I$185:I$186,I187)," ")/IF(I$185*I$186*I187&gt;0,SQRT(COUNT(I$185:I$186,I187))," "),"")</f>
        <v/>
      </c>
      <c r="AN238" s="270" t="str">
        <f aca="false">IFERROR(IF(J$185*J$186*J187&gt;0,STDEV(J$185:J$186,J187)," ")/IF(J$185*J$186*J187&gt;0,SQRT(COUNT(J$185:J$186,J187))," "),"")</f>
        <v/>
      </c>
      <c r="AO238" s="270" t="str">
        <f aca="false">IFERROR(IF(K$185*K$186*K187&gt;0,STDEV(K$185:K$186,K187)," ")/IF(K$185*K$186*K187&gt;0,SQRT(COUNT(K$185:K$186,K187))," "),"")</f>
        <v/>
      </c>
      <c r="AP238" s="270" t="str">
        <f aca="false">IFERROR(IF(L$185*L$186*L187&gt;0,STDEV(L$185:L$186,L187)," ")/IF(L$185*L$186*L187&gt;0,SQRT(COUNT(L$185:L$186,L187))," "),"")</f>
        <v/>
      </c>
      <c r="AQ238" s="270" t="str">
        <f aca="false">IFERROR(IF(M$185*M$186*M187&gt;0,STDEV(M$185:M$186,M187)," ")/IF(M$185*M$186*M187&gt;0,SQRT(COUNT(M$185:M$186,M187))," "),"")</f>
        <v/>
      </c>
      <c r="AR238" s="270" t="str">
        <f aca="false">IFERROR(IF(N$185*N$186*N187&gt;0,STDEV(N$185:N$186,N187)," ")/IF(N$185*N$186*N187&gt;0,SQRT(COUNT(N$185:N$186,N187))," "),"")</f>
        <v/>
      </c>
    </row>
    <row r="239" customFormat="false" ht="15.75" hidden="false" customHeight="false" outlineLevel="0" collapsed="false">
      <c r="A239" s="220" t="s">
        <v>386</v>
      </c>
      <c r="B239" s="221"/>
      <c r="C239" s="222" t="str">
        <f aca="false">IFERROR(IF(C$185*C$186*C188&gt;0,AVERAGE(C$185:C$186,C188),""),"")</f>
        <v/>
      </c>
      <c r="D239" s="222" t="str">
        <f aca="false">IFERROR(IF(D$185*D$186*D188&gt;0,AVERAGE(D$185:D$186,D188),""),"")</f>
        <v/>
      </c>
      <c r="E239" s="222" t="str">
        <f aca="false">IFERROR(IF(E$185*E$186*E188&gt;0,AVERAGE(E$185:E$186,E188),""),"")</f>
        <v/>
      </c>
      <c r="F239" s="222" t="str">
        <f aca="false">IFERROR(IF(F$185*F$186*F188&gt;0,AVERAGE(F$185:F$186,F188),""),"")</f>
        <v/>
      </c>
      <c r="G239" s="222" t="str">
        <f aca="false">IFERROR(IF(G$185*G$186*G188&gt;0,AVERAGE(G$185:G$186,G188),""),"")</f>
        <v/>
      </c>
      <c r="H239" s="222" t="str">
        <f aca="false">IFERROR(IF(H$185*H$186*H188&gt;0,AVERAGE(H$185:H$186,H188),""),"")</f>
        <v/>
      </c>
      <c r="I239" s="222" t="str">
        <f aca="false">IFERROR(IF(I$185*I$186*I188&gt;0,AVERAGE(I$185:I$186,I188),""),"")</f>
        <v/>
      </c>
      <c r="J239" s="222" t="str">
        <f aca="false">IFERROR(IF(J$185*J$186*J188&gt;0,AVERAGE(J$185:J$186,J188),""),"")</f>
        <v/>
      </c>
      <c r="K239" s="222" t="str">
        <f aca="false">IFERROR(IF(K$185*K$186*K188&gt;0,AVERAGE(K$185:K$186,K188),""),"")</f>
        <v/>
      </c>
      <c r="L239" s="222" t="str">
        <f aca="false">IFERROR(IF(L$185*L$186*L188&gt;0,AVERAGE(L$185:L$186,L188),""),"")</f>
        <v/>
      </c>
      <c r="M239" s="222" t="str">
        <f aca="false">IFERROR(IF(M$185*M$186*M188&gt;0,AVERAGE(M$185:M$186,M188),""),"")</f>
        <v/>
      </c>
      <c r="N239" s="222" t="str">
        <f aca="false">IFERROR(IF(N$185*N$186*N188&gt;0,AVERAGE(N$185:N$186,N188),""),"")</f>
        <v/>
      </c>
      <c r="O239" s="253"/>
      <c r="P239" s="253"/>
      <c r="Q239" s="254"/>
      <c r="R239" s="226" t="s">
        <v>387</v>
      </c>
      <c r="S239" s="227" t="str">
        <f aca="false">IFERROR(IF(C$185*C$186*C188&gt;0,STDEV(C$185:C$186,C188),"")/IF(C$185*C$186*C188&gt;0,AVERAGE(C$185:C$186,C188),""),"")</f>
        <v/>
      </c>
      <c r="T239" s="227" t="str">
        <f aca="false">IFERROR(IF(D$185*D$186*D188&gt;0,STDEV(D$185:D$186,D188),"")/IF(D$185*D$186*D188&gt;0,AVERAGE(D$185:D$186,D188),""),"")</f>
        <v/>
      </c>
      <c r="U239" s="227" t="str">
        <f aca="false">IFERROR(IF(E$185*E$186*E188&gt;0,STDEV(E$185:E$186,E188),"")/IF(E$185*E$186*E188&gt;0,AVERAGE(E$185:E$186,E188),""),"")</f>
        <v/>
      </c>
      <c r="V239" s="227" t="str">
        <f aca="false">IFERROR(IF(F$185*F$186*F188&gt;0,STDEV(F$185:F$186,F188),"")/IF(F$185*F$186*F188&gt;0,AVERAGE(F$185:F$186,F188),""),"")</f>
        <v/>
      </c>
      <c r="W239" s="227" t="str">
        <f aca="false">IFERROR(IF(G$185*G$186*G188&gt;0,STDEV(G$185:G$186,G188),"")/IF(G$185*G$186*G188&gt;0,AVERAGE(G$185:G$186,G188),""),"")</f>
        <v/>
      </c>
      <c r="X239" s="227" t="str">
        <f aca="false">IFERROR(IF(H$185*H$186*H188&gt;0,STDEV(H$185:H$186,H188),"")/IF(H$185*H$186*H188&gt;0,AVERAGE(H$185:H$186,H188),""),"")</f>
        <v/>
      </c>
      <c r="Y239" s="227" t="str">
        <f aca="false">IFERROR(IF(I$185*I$186*I188&gt;0,STDEV(I$185:I$186,I188),"")/IF(I$185*I$186*I188&gt;0,AVERAGE(I$185:I$186,I188),""),"")</f>
        <v/>
      </c>
      <c r="Z239" s="227" t="str">
        <f aca="false">IFERROR(IF(J$185*J$186*J188&gt;0,STDEV(J$185:J$186,J188),"")/IF(J$185*J$186*J188&gt;0,AVERAGE(J$185:J$186,J188),""),"")</f>
        <v/>
      </c>
      <c r="AA239" s="227" t="str">
        <f aca="false">IFERROR(IF(K$185*K$186*K188&gt;0,STDEV(K$185:K$186,K188),"")/IF(K$185*K$186*K188&gt;0,AVERAGE(K$185:K$186,K188),""),"")</f>
        <v/>
      </c>
      <c r="AB239" s="227" t="str">
        <f aca="false">IFERROR(IF(L$185*L$186*L188&gt;0,STDEV(L$185:L$186,L188),"")/IF(L$185*L$186*L188&gt;0,AVERAGE(L$185:L$186,L188),""),"")</f>
        <v/>
      </c>
      <c r="AC239" s="227" t="str">
        <f aca="false">IFERROR(IF(M$185*M$186*M188&gt;0,STDEV(M$185:M$186,M188),"")/IF(M$185*M$186*M188&gt;0,AVERAGE(M$185:M$186,M188),""),"")</f>
        <v/>
      </c>
      <c r="AD239" s="227" t="str">
        <f aca="false">IFERROR(IF(N$185*N$186*N188&gt;0,STDEV(N$185:N$186,N188),"")/IF(N$185*N$186*N188&gt;0,AVERAGE(N$185:N$186,N188),""),"")</f>
        <v/>
      </c>
      <c r="AE239" s="233"/>
      <c r="AF239" s="229" t="s">
        <v>388</v>
      </c>
      <c r="AG239" s="270" t="str">
        <f aca="false">IFERROR(IF(C$185*C$186*C188&gt;0,STDEV(C$185:C$186,C188)," ")/IF(C$185*C$186*C188&gt;0,SQRT(COUNT(C$185:C$186,C188))," "),"")</f>
        <v/>
      </c>
      <c r="AH239" s="270" t="str">
        <f aca="false">IFERROR(IF(D$185*D$186*D188&gt;0,STDEV(D$185:D$186,D188)," ")/IF(D$185*D$186*D188&gt;0,SQRT(COUNT(D$185:D$186,D188))," "),"")</f>
        <v/>
      </c>
      <c r="AI239" s="270" t="str">
        <f aca="false">IFERROR(IF(E$185*E$186*E188&gt;0,STDEV(E$185:E$186,E188)," ")/IF(E$185*E$186*E188&gt;0,SQRT(COUNT(E$185:E$186,E188))," "),"")</f>
        <v/>
      </c>
      <c r="AJ239" s="270" t="str">
        <f aca="false">IFERROR(IF(F$185*F$186*F188&gt;0,STDEV(F$185:F$186,F188)," ")/IF(F$185*F$186*F188&gt;0,SQRT(COUNT(F$185:F$186,F188))," "),"")</f>
        <v/>
      </c>
      <c r="AK239" s="270" t="str">
        <f aca="false">IFERROR(IF(G$185*G$186*G188&gt;0,STDEV(G$185:G$186,G188)," ")/IF(G$185*G$186*G188&gt;0,SQRT(COUNT(G$185:G$186,G188))," "),"")</f>
        <v/>
      </c>
      <c r="AL239" s="270" t="str">
        <f aca="false">IFERROR(IF(H$185*H$186*H188&gt;0,STDEV(H$185:H$186,H188)," ")/IF(H$185*H$186*H188&gt;0,SQRT(COUNT(H$185:H$186,H188))," "),"")</f>
        <v/>
      </c>
      <c r="AM239" s="270" t="str">
        <f aca="false">IFERROR(IF(I$185*I$186*I188&gt;0,STDEV(I$185:I$186,I188)," ")/IF(I$185*I$186*I188&gt;0,SQRT(COUNT(I$185:I$186,I188))," "),"")</f>
        <v/>
      </c>
      <c r="AN239" s="270" t="str">
        <f aca="false">IFERROR(IF(J$185*J$186*J188&gt;0,STDEV(J$185:J$186,J188)," ")/IF(J$185*J$186*J188&gt;0,SQRT(COUNT(J$185:J$186,J188))," "),"")</f>
        <v/>
      </c>
      <c r="AO239" s="270" t="str">
        <f aca="false">IFERROR(IF(K$185*K$186*K188&gt;0,STDEV(K$185:K$186,K188)," ")/IF(K$185*K$186*K188&gt;0,SQRT(COUNT(K$185:K$186,K188))," "),"")</f>
        <v/>
      </c>
      <c r="AP239" s="270" t="str">
        <f aca="false">IFERROR(IF(L$185*L$186*L188&gt;0,STDEV(L$185:L$186,L188)," ")/IF(L$185*L$186*L188&gt;0,SQRT(COUNT(L$185:L$186,L188))," "),"")</f>
        <v/>
      </c>
      <c r="AQ239" s="270" t="str">
        <f aca="false">IFERROR(IF(M$185*M$186*M188&gt;0,STDEV(M$185:M$186,M188)," ")/IF(M$185*M$186*M188&gt;0,SQRT(COUNT(M$185:M$186,M188))," "),"")</f>
        <v/>
      </c>
      <c r="AR239" s="270" t="str">
        <f aca="false">IFERROR(IF(N$185*N$186*N188&gt;0,STDEV(N$185:N$186,N188)," ")/IF(N$185*N$186*N188&gt;0,SQRT(COUNT(N$185:N$186,N188))," "),"")</f>
        <v/>
      </c>
    </row>
    <row r="240" customFormat="false" ht="15.75" hidden="false" customHeight="false" outlineLevel="0" collapsed="false">
      <c r="A240" s="220" t="s">
        <v>389</v>
      </c>
      <c r="B240" s="221"/>
      <c r="C240" s="222" t="str">
        <f aca="false">IFERROR(IF(C$186*C$187*C182&gt;0,AVERAGE(C$186:C$187,C182),""),"")</f>
        <v/>
      </c>
      <c r="D240" s="222" t="str">
        <f aca="false">IFERROR(IF(D$186*D$187*D182&gt;0,AVERAGE(D$186:D$187,D182),""),"")</f>
        <v/>
      </c>
      <c r="E240" s="222" t="str">
        <f aca="false">IFERROR(IF(E$186*E$187*E182&gt;0,AVERAGE(E$186:E$187,E182),""),"")</f>
        <v/>
      </c>
      <c r="F240" s="222" t="str">
        <f aca="false">IFERROR(IF(F$186*F$187*F182&gt;0,AVERAGE(F$186:F$187,F182),""),"")</f>
        <v/>
      </c>
      <c r="G240" s="222" t="str">
        <f aca="false">IFERROR(IF(G$186*G$187*G182&gt;0,AVERAGE(G$186:G$187,G182),""),"")</f>
        <v/>
      </c>
      <c r="H240" s="222" t="str">
        <f aca="false">IFERROR(IF(H$186*H$187*H182&gt;0,AVERAGE(H$186:H$187,H182),""),"")</f>
        <v/>
      </c>
      <c r="I240" s="222" t="str">
        <f aca="false">IFERROR(IF(I$186*I$187*I182&gt;0,AVERAGE(I$186:I$187,I182),""),"")</f>
        <v/>
      </c>
      <c r="J240" s="222" t="str">
        <f aca="false">IFERROR(IF(J$186*J$187*J182&gt;0,AVERAGE(J$186:J$187,J182),""),"")</f>
        <v/>
      </c>
      <c r="K240" s="222" t="str">
        <f aca="false">IFERROR(IF(K$186*K$187*K182&gt;0,AVERAGE(K$186:K$187,K182),""),"")</f>
        <v/>
      </c>
      <c r="L240" s="222" t="str">
        <f aca="false">IFERROR(IF(L$186*L$187*L182&gt;0,AVERAGE(L$186:L$187,L182),""),"")</f>
        <v/>
      </c>
      <c r="M240" s="222" t="str">
        <f aca="false">IFERROR(IF(M$186*M$187*M182&gt;0,AVERAGE(M$186:M$187,M182),""),"")</f>
        <v/>
      </c>
      <c r="N240" s="222" t="str">
        <f aca="false">IFERROR(IF(N$186*N$187*N182&gt;0,AVERAGE(N$186:N$187,N182),""),"")</f>
        <v/>
      </c>
      <c r="O240" s="253"/>
      <c r="P240" s="253"/>
      <c r="Q240" s="254"/>
      <c r="R240" s="226" t="s">
        <v>390</v>
      </c>
      <c r="S240" s="227" t="str">
        <f aca="false">IFERROR(IF(C$186*C$187*C182&gt;0,STDEV(C$186:C$187,C182),"")/IF(C$186*C$187*C182&gt;0,AVERAGE(C$186:C$187,C182),""),"")</f>
        <v/>
      </c>
      <c r="T240" s="227" t="str">
        <f aca="false">IFERROR(IF(D$186*D$187*D182&gt;0,STDEV(D$186:D$187,D182),"")/IF(D$186*D$187*D182&gt;0,AVERAGE(D$186:D$187,D182),""),"")</f>
        <v/>
      </c>
      <c r="U240" s="227" t="str">
        <f aca="false">IFERROR(IF(E$186*E$187*E182&gt;0,STDEV(E$186:E$187,E182),"")/IF(E$186*E$187*E182&gt;0,AVERAGE(E$186:E$187,E182),""),"")</f>
        <v/>
      </c>
      <c r="V240" s="227" t="str">
        <f aca="false">IFERROR(IF(F$186*F$187*F182&gt;0,STDEV(F$186:F$187,F182),"")/IF(F$186*F$187*F182&gt;0,AVERAGE(F$186:F$187,F182),""),"")</f>
        <v/>
      </c>
      <c r="W240" s="227" t="str">
        <f aca="false">IFERROR(IF(G$186*G$187*G182&gt;0,STDEV(G$186:G$187,G182),"")/IF(G$186*G$187*G182&gt;0,AVERAGE(G$186:G$187,G182),""),"")</f>
        <v/>
      </c>
      <c r="X240" s="227" t="str">
        <f aca="false">IFERROR(IF(H$186*H$187*H182&gt;0,STDEV(H$186:H$187,H182),"")/IF(H$186*H$187*H182&gt;0,AVERAGE(H$186:H$187,H182),""),"")</f>
        <v/>
      </c>
      <c r="Y240" s="227" t="str">
        <f aca="false">IFERROR(IF(I$186*I$187*I182&gt;0,STDEV(I$186:I$187,I182),"")/IF(I$186*I$187*I182&gt;0,AVERAGE(I$186:I$187,I182),""),"")</f>
        <v/>
      </c>
      <c r="Z240" s="227" t="str">
        <f aca="false">IFERROR(IF(J$186*J$187*J182&gt;0,STDEV(J$186:J$187,J182),"")/IF(J$186*J$187*J182&gt;0,AVERAGE(J$186:J$187,J182),""),"")</f>
        <v/>
      </c>
      <c r="AA240" s="227" t="str">
        <f aca="false">IFERROR(IF(K$186*K$187*K182&gt;0,STDEV(K$186:K$187,K182),"")/IF(K$186*K$187*K182&gt;0,AVERAGE(K$186:K$187,K182),""),"")</f>
        <v/>
      </c>
      <c r="AB240" s="227" t="str">
        <f aca="false">IFERROR(IF(L$186*L$187*L182&gt;0,STDEV(L$186:L$187,L182),"")/IF(L$186*L$187*L182&gt;0,AVERAGE(L$186:L$187,L182),""),"")</f>
        <v/>
      </c>
      <c r="AC240" s="227" t="str">
        <f aca="false">IFERROR(IF(M$186*M$187*M182&gt;0,STDEV(M$186:M$187,M182),"")/IF(M$186*M$187*M182&gt;0,AVERAGE(M$186:M$187,M182),""),"")</f>
        <v/>
      </c>
      <c r="AD240" s="227" t="str">
        <f aca="false">IFERROR(IF(N$186*N$187*N182&gt;0,STDEV(N$186:N$187,N182),"")/IF(N$186*N$187*N182&gt;0,AVERAGE(N$186:N$187,N182),""),"")</f>
        <v/>
      </c>
      <c r="AE240" s="233"/>
      <c r="AF240" s="229" t="s">
        <v>391</v>
      </c>
      <c r="AG240" s="270" t="str">
        <f aca="false">IFERROR(IF(C$186*C$187*C182&gt;0,STDEV(C$186:C$187,C182)," ")/IF(C$186*C$187*C182&gt;0,SQRT(COUNT(C$186:C$187,C182))," "),"")</f>
        <v/>
      </c>
      <c r="AH240" s="270" t="str">
        <f aca="false">IFERROR(IF(D$186*D$187*D182&gt;0,STDEV(D$186:D$187,D182)," ")/IF(D$186*D$187*D182&gt;0,SQRT(COUNT(D$186:D$187,D182))," "),"")</f>
        <v/>
      </c>
      <c r="AI240" s="270" t="str">
        <f aca="false">IFERROR(IF(E$186*E$187*E182&gt;0,STDEV(E$186:E$187,E182)," ")/IF(E$186*E$187*E182&gt;0,SQRT(COUNT(E$186:E$187,E182))," "),"")</f>
        <v/>
      </c>
      <c r="AJ240" s="270" t="str">
        <f aca="false">IFERROR(IF(F$186*F$187*F182&gt;0,STDEV(F$186:F$187,F182)," ")/IF(F$186*F$187*F182&gt;0,SQRT(COUNT(F$186:F$187,F182))," "),"")</f>
        <v/>
      </c>
      <c r="AK240" s="270" t="str">
        <f aca="false">IFERROR(IF(G$186*G$187*G182&gt;0,STDEV(G$186:G$187,G182)," ")/IF(G$186*G$187*G182&gt;0,SQRT(COUNT(G$186:G$187,G182))," "),"")</f>
        <v/>
      </c>
      <c r="AL240" s="270" t="str">
        <f aca="false">IFERROR(IF(H$186*H$187*H182&gt;0,STDEV(H$186:H$187,H182)," ")/IF(H$186*H$187*H182&gt;0,SQRT(COUNT(H$186:H$187,H182))," "),"")</f>
        <v/>
      </c>
      <c r="AM240" s="270" t="str">
        <f aca="false">IFERROR(IF(I$186*I$187*I182&gt;0,STDEV(I$186:I$187,I182)," ")/IF(I$186*I$187*I182&gt;0,SQRT(COUNT(I$186:I$187,I182))," "),"")</f>
        <v/>
      </c>
      <c r="AN240" s="270" t="str">
        <f aca="false">IFERROR(IF(J$186*J$187*J182&gt;0,STDEV(J$186:J$187,J182)," ")/IF(J$186*J$187*J182&gt;0,SQRT(COUNT(J$186:J$187,J182))," "),"")</f>
        <v/>
      </c>
      <c r="AO240" s="270" t="str">
        <f aca="false">IFERROR(IF(K$186*K$187*K182&gt;0,STDEV(K$186:K$187,K182)," ")/IF(K$186*K$187*K182&gt;0,SQRT(COUNT(K$186:K$187,K182))," "),"")</f>
        <v/>
      </c>
      <c r="AP240" s="270" t="str">
        <f aca="false">IFERROR(IF(L$186*L$187*L182&gt;0,STDEV(L$186:L$187,L182)," ")/IF(L$186*L$187*L182&gt;0,SQRT(COUNT(L$186:L$187,L182))," "),"")</f>
        <v/>
      </c>
      <c r="AQ240" s="270" t="str">
        <f aca="false">IFERROR(IF(M$186*M$187*M182&gt;0,STDEV(M$186:M$187,M182)," ")/IF(M$186*M$187*M182&gt;0,SQRT(COUNT(M$186:M$187,M182))," "),"")</f>
        <v/>
      </c>
      <c r="AR240" s="270" t="str">
        <f aca="false">IFERROR(IF(N$186*N$187*N182&gt;0,STDEV(N$186:N$187,N182)," ")/IF(N$186*N$187*N182&gt;0,SQRT(COUNT(N$186:N$187,N182))," "),"")</f>
        <v/>
      </c>
    </row>
    <row r="241" customFormat="false" ht="15.75" hidden="false" customHeight="false" outlineLevel="0" collapsed="false">
      <c r="A241" s="220" t="s">
        <v>392</v>
      </c>
      <c r="B241" s="221"/>
      <c r="C241" s="222" t="str">
        <f aca="false">IFERROR(IF(C$186*C$187*C183&gt;0,AVERAGE(C$186:C$187,C183),""),"")</f>
        <v/>
      </c>
      <c r="D241" s="222" t="str">
        <f aca="false">IFERROR(IF(D$186*D$187*D183&gt;0,AVERAGE(D$186:D$187,D183),""),"")</f>
        <v/>
      </c>
      <c r="E241" s="222" t="str">
        <f aca="false">IFERROR(IF(E$186*E$187*E183&gt;0,AVERAGE(E$186:E$187,E183),""),"")</f>
        <v/>
      </c>
      <c r="F241" s="222" t="str">
        <f aca="false">IFERROR(IF(F$186*F$187*F183&gt;0,AVERAGE(F$186:F$187,F183),""),"")</f>
        <v/>
      </c>
      <c r="G241" s="222" t="str">
        <f aca="false">IFERROR(IF(G$186*G$187*G183&gt;0,AVERAGE(G$186:G$187,G183),""),"")</f>
        <v/>
      </c>
      <c r="H241" s="222" t="str">
        <f aca="false">IFERROR(IF(H$186*H$187*H183&gt;0,AVERAGE(H$186:H$187,H183),""),"")</f>
        <v/>
      </c>
      <c r="I241" s="222" t="str">
        <f aca="false">IFERROR(IF(I$186*I$187*I183&gt;0,AVERAGE(I$186:I$187,I183),""),"")</f>
        <v/>
      </c>
      <c r="J241" s="222" t="str">
        <f aca="false">IFERROR(IF(J$186*J$187*J183&gt;0,AVERAGE(J$186:J$187,J183),""),"")</f>
        <v/>
      </c>
      <c r="K241" s="222" t="str">
        <f aca="false">IFERROR(IF(K$186*K$187*K183&gt;0,AVERAGE(K$186:K$187,K183),""),"")</f>
        <v/>
      </c>
      <c r="L241" s="222" t="str">
        <f aca="false">IFERROR(IF(L$186*L$187*L183&gt;0,AVERAGE(L$186:L$187,L183),""),"")</f>
        <v/>
      </c>
      <c r="M241" s="222" t="str">
        <f aca="false">IFERROR(IF(M$186*M$187*M183&gt;0,AVERAGE(M$186:M$187,M183),""),"")</f>
        <v/>
      </c>
      <c r="N241" s="222" t="str">
        <f aca="false">IFERROR(IF(N$186*N$187*N183&gt;0,AVERAGE(N$186:N$187,N183),""),"")</f>
        <v/>
      </c>
      <c r="O241" s="253"/>
      <c r="P241" s="253"/>
      <c r="Q241" s="254"/>
      <c r="R241" s="226" t="s">
        <v>393</v>
      </c>
      <c r="S241" s="227" t="str">
        <f aca="false">IFERROR(IF(C$186*C$187*C183&gt;0,STDEV(C$186:C$187,C183),"")/IF(C$186*C$187*C183&gt;0,AVERAGE(C$186:C$187,C183),""),"")</f>
        <v/>
      </c>
      <c r="T241" s="227" t="str">
        <f aca="false">IFERROR(IF(D$186*D$187*D183&gt;0,STDEV(D$186:D$187,D183),"")/IF(D$186*D$187*D183&gt;0,AVERAGE(D$186:D$187,D183),""),"")</f>
        <v/>
      </c>
      <c r="U241" s="227" t="str">
        <f aca="false">IFERROR(IF(E$186*E$187*E183&gt;0,STDEV(E$186:E$187,E183),"")/IF(E$186*E$187*E183&gt;0,AVERAGE(E$186:E$187,E183),""),"")</f>
        <v/>
      </c>
      <c r="V241" s="227" t="str">
        <f aca="false">IFERROR(IF(F$186*F$187*F183&gt;0,STDEV(F$186:F$187,F183),"")/IF(F$186*F$187*F183&gt;0,AVERAGE(F$186:F$187,F183),""),"")</f>
        <v/>
      </c>
      <c r="W241" s="227" t="str">
        <f aca="false">IFERROR(IF(G$186*G$187*G183&gt;0,STDEV(G$186:G$187,G183),"")/IF(G$186*G$187*G183&gt;0,AVERAGE(G$186:G$187,G183),""),"")</f>
        <v/>
      </c>
      <c r="X241" s="227" t="str">
        <f aca="false">IFERROR(IF(H$186*H$187*H183&gt;0,STDEV(H$186:H$187,H183),"")/IF(H$186*H$187*H183&gt;0,AVERAGE(H$186:H$187,H183),""),"")</f>
        <v/>
      </c>
      <c r="Y241" s="227" t="str">
        <f aca="false">IFERROR(IF(I$186*I$187*I183&gt;0,STDEV(I$186:I$187,I183),"")/IF(I$186*I$187*I183&gt;0,AVERAGE(I$186:I$187,I183),""),"")</f>
        <v/>
      </c>
      <c r="Z241" s="227" t="str">
        <f aca="false">IFERROR(IF(J$186*J$187*J183&gt;0,STDEV(J$186:J$187,J183),"")/IF(J$186*J$187*J183&gt;0,AVERAGE(J$186:J$187,J183),""),"")</f>
        <v/>
      </c>
      <c r="AA241" s="227" t="str">
        <f aca="false">IFERROR(IF(K$186*K$187*K183&gt;0,STDEV(K$186:K$187,K183),"")/IF(K$186*K$187*K183&gt;0,AVERAGE(K$186:K$187,K183),""),"")</f>
        <v/>
      </c>
      <c r="AB241" s="227" t="str">
        <f aca="false">IFERROR(IF(L$186*L$187*L183&gt;0,STDEV(L$186:L$187,L183),"")/IF(L$186*L$187*L183&gt;0,AVERAGE(L$186:L$187,L183),""),"")</f>
        <v/>
      </c>
      <c r="AC241" s="227" t="str">
        <f aca="false">IFERROR(IF(M$186*M$187*M183&gt;0,STDEV(M$186:M$187,M183),"")/IF(M$186*M$187*M183&gt;0,AVERAGE(M$186:M$187,M183),""),"")</f>
        <v/>
      </c>
      <c r="AD241" s="227" t="str">
        <f aca="false">IFERROR(IF(N$186*N$187*N183&gt;0,STDEV(N$186:N$187,N183),"")/IF(N$186*N$187*N183&gt;0,AVERAGE(N$186:N$187,N183),""),"")</f>
        <v/>
      </c>
      <c r="AE241" s="233"/>
      <c r="AF241" s="229" t="s">
        <v>394</v>
      </c>
      <c r="AG241" s="270" t="str">
        <f aca="false">IFERROR(IF(C$186*C$187*C183&gt;0,STDEV(C$186:C$187,C183)," ")/IF(C$186*C$187*C183&gt;0,SQRT(COUNT(C$186:C$187,C183))," "),"")</f>
        <v/>
      </c>
      <c r="AH241" s="270" t="str">
        <f aca="false">IFERROR(IF(D$186*D$187*D183&gt;0,STDEV(D$186:D$187,D183)," ")/IF(D$186*D$187*D183&gt;0,SQRT(COUNT(D$186:D$187,D183))," "),"")</f>
        <v/>
      </c>
      <c r="AI241" s="270" t="str">
        <f aca="false">IFERROR(IF(E$186*E$187*E183&gt;0,STDEV(E$186:E$187,E183)," ")/IF(E$186*E$187*E183&gt;0,SQRT(COUNT(E$186:E$187,E183))," "),"")</f>
        <v/>
      </c>
      <c r="AJ241" s="270" t="str">
        <f aca="false">IFERROR(IF(F$186*F$187*F183&gt;0,STDEV(F$186:F$187,F183)," ")/IF(F$186*F$187*F183&gt;0,SQRT(COUNT(F$186:F$187,F183))," "),"")</f>
        <v/>
      </c>
      <c r="AK241" s="270" t="str">
        <f aca="false">IFERROR(IF(G$186*G$187*G183&gt;0,STDEV(G$186:G$187,G183)," ")/IF(G$186*G$187*G183&gt;0,SQRT(COUNT(G$186:G$187,G183))," "),"")</f>
        <v/>
      </c>
      <c r="AL241" s="270" t="str">
        <f aca="false">IFERROR(IF(H$186*H$187*H183&gt;0,STDEV(H$186:H$187,H183)," ")/IF(H$186*H$187*H183&gt;0,SQRT(COUNT(H$186:H$187,H183))," "),"")</f>
        <v/>
      </c>
      <c r="AM241" s="270" t="str">
        <f aca="false">IFERROR(IF(I$186*I$187*I183&gt;0,STDEV(I$186:I$187,I183)," ")/IF(I$186*I$187*I183&gt;0,SQRT(COUNT(I$186:I$187,I183))," "),"")</f>
        <v/>
      </c>
      <c r="AN241" s="270" t="str">
        <f aca="false">IFERROR(IF(J$186*J$187*J183&gt;0,STDEV(J$186:J$187,J183)," ")/IF(J$186*J$187*J183&gt;0,SQRT(COUNT(J$186:J$187,J183))," "),"")</f>
        <v/>
      </c>
      <c r="AO241" s="270" t="str">
        <f aca="false">IFERROR(IF(K$186*K$187*K183&gt;0,STDEV(K$186:K$187,K183)," ")/IF(K$186*K$187*K183&gt;0,SQRT(COUNT(K$186:K$187,K183))," "),"")</f>
        <v/>
      </c>
      <c r="AP241" s="270" t="str">
        <f aca="false">IFERROR(IF(L$186*L$187*L183&gt;0,STDEV(L$186:L$187,L183)," ")/IF(L$186*L$187*L183&gt;0,SQRT(COUNT(L$186:L$187,L183))," "),"")</f>
        <v/>
      </c>
      <c r="AQ241" s="270" t="str">
        <f aca="false">IFERROR(IF(M$186*M$187*M183&gt;0,STDEV(M$186:M$187,M183)," ")/IF(M$186*M$187*M183&gt;0,SQRT(COUNT(M$186:M$187,M183))," "),"")</f>
        <v/>
      </c>
      <c r="AR241" s="270" t="str">
        <f aca="false">IFERROR(IF(N$186*N$187*N183&gt;0,STDEV(N$186:N$187,N183)," ")/IF(N$186*N$187*N183&gt;0,SQRT(COUNT(N$186:N$187,N183))," "),"")</f>
        <v/>
      </c>
    </row>
    <row r="242" customFormat="false" ht="15.75" hidden="false" customHeight="false" outlineLevel="0" collapsed="false">
      <c r="A242" s="220" t="s">
        <v>395</v>
      </c>
      <c r="B242" s="221"/>
      <c r="C242" s="222" t="str">
        <f aca="false">IFERROR(IF(C$186*C$187*C184&gt;0,AVERAGE(C$186:C$187,C184),""),"")</f>
        <v/>
      </c>
      <c r="D242" s="222" t="str">
        <f aca="false">IFERROR(IF(D$186*D$187*D184&gt;0,AVERAGE(D$186:D$187,D184),""),"")</f>
        <v/>
      </c>
      <c r="E242" s="222" t="str">
        <f aca="false">IFERROR(IF(E$186*E$187*E184&gt;0,AVERAGE(E$186:E$187,E184),""),"")</f>
        <v/>
      </c>
      <c r="F242" s="222" t="str">
        <f aca="false">IFERROR(IF(F$186*F$187*F184&gt;0,AVERAGE(F$186:F$187,F184),""),"")</f>
        <v/>
      </c>
      <c r="G242" s="222" t="str">
        <f aca="false">IFERROR(IF(G$186*G$187*G184&gt;0,AVERAGE(G$186:G$187,G184),""),"")</f>
        <v/>
      </c>
      <c r="H242" s="222" t="str">
        <f aca="false">IFERROR(IF(H$186*H$187*H184&gt;0,AVERAGE(H$186:H$187,H184),""),"")</f>
        <v/>
      </c>
      <c r="I242" s="222" t="str">
        <f aca="false">IFERROR(IF(I$186*I$187*I184&gt;0,AVERAGE(I$186:I$187,I184),""),"")</f>
        <v/>
      </c>
      <c r="J242" s="222" t="str">
        <f aca="false">IFERROR(IF(J$186*J$187*J184&gt;0,AVERAGE(J$186:J$187,J184),""),"")</f>
        <v/>
      </c>
      <c r="K242" s="222" t="str">
        <f aca="false">IFERROR(IF(K$186*K$187*K184&gt;0,AVERAGE(K$186:K$187,K184),""),"")</f>
        <v/>
      </c>
      <c r="L242" s="222" t="str">
        <f aca="false">IFERROR(IF(L$186*L$187*L184&gt;0,AVERAGE(L$186:L$187,L184),""),"")</f>
        <v/>
      </c>
      <c r="M242" s="222" t="str">
        <f aca="false">IFERROR(IF(M$186*M$187*M184&gt;0,AVERAGE(M$186:M$187,M184),""),"")</f>
        <v/>
      </c>
      <c r="N242" s="222" t="str">
        <f aca="false">IFERROR(IF(N$186*N$187*N184&gt;0,AVERAGE(N$186:N$187,N184),""),"")</f>
        <v/>
      </c>
      <c r="O242" s="253"/>
      <c r="P242" s="253"/>
      <c r="Q242" s="254"/>
      <c r="R242" s="226" t="s">
        <v>396</v>
      </c>
      <c r="S242" s="227" t="str">
        <f aca="false">IFERROR(IF(C$186*C$187*C184&gt;0,STDEV(C$186:C$187,C184),"")/IF(C$186*C$187*C184&gt;0,AVERAGE(C$186:C$187,C184),""),"")</f>
        <v/>
      </c>
      <c r="T242" s="227" t="str">
        <f aca="false">IFERROR(IF(D$186*D$187*D184&gt;0,STDEV(D$186:D$187,D184),"")/IF(D$186*D$187*D184&gt;0,AVERAGE(D$186:D$187,D184),""),"")</f>
        <v/>
      </c>
      <c r="U242" s="227" t="str">
        <f aca="false">IFERROR(IF(E$186*E$187*E184&gt;0,STDEV(E$186:E$187,E184),"")/IF(E$186*E$187*E184&gt;0,AVERAGE(E$186:E$187,E184),""),"")</f>
        <v/>
      </c>
      <c r="V242" s="227" t="str">
        <f aca="false">IFERROR(IF(F$186*F$187*F184&gt;0,STDEV(F$186:F$187,F184),"")/IF(F$186*F$187*F184&gt;0,AVERAGE(F$186:F$187,F184),""),"")</f>
        <v/>
      </c>
      <c r="W242" s="227" t="str">
        <f aca="false">IFERROR(IF(G$186*G$187*G184&gt;0,STDEV(G$186:G$187,G184),"")/IF(G$186*G$187*G184&gt;0,AVERAGE(G$186:G$187,G184),""),"")</f>
        <v/>
      </c>
      <c r="X242" s="227" t="str">
        <f aca="false">IFERROR(IF(H$186*H$187*H184&gt;0,STDEV(H$186:H$187,H184),"")/IF(H$186*H$187*H184&gt;0,AVERAGE(H$186:H$187,H184),""),"")</f>
        <v/>
      </c>
      <c r="Y242" s="227" t="str">
        <f aca="false">IFERROR(IF(I$186*I$187*I184&gt;0,STDEV(I$186:I$187,I184),"")/IF(I$186*I$187*I184&gt;0,AVERAGE(I$186:I$187,I184),""),"")</f>
        <v/>
      </c>
      <c r="Z242" s="227" t="str">
        <f aca="false">IFERROR(IF(J$186*J$187*J184&gt;0,STDEV(J$186:J$187,J184),"")/IF(J$186*J$187*J184&gt;0,AVERAGE(J$186:J$187,J184),""),"")</f>
        <v/>
      </c>
      <c r="AA242" s="227" t="str">
        <f aca="false">IFERROR(IF(K$186*K$187*K184&gt;0,STDEV(K$186:K$187,K184),"")/IF(K$186*K$187*K184&gt;0,AVERAGE(K$186:K$187,K184),""),"")</f>
        <v/>
      </c>
      <c r="AB242" s="227" t="str">
        <f aca="false">IFERROR(IF(L$186*L$187*L184&gt;0,STDEV(L$186:L$187,L184),"")/IF(L$186*L$187*L184&gt;0,AVERAGE(L$186:L$187,L184),""),"")</f>
        <v/>
      </c>
      <c r="AC242" s="227" t="str">
        <f aca="false">IFERROR(IF(M$186*M$187*M184&gt;0,STDEV(M$186:M$187,M184),"")/IF(M$186*M$187*M184&gt;0,AVERAGE(M$186:M$187,M184),""),"")</f>
        <v/>
      </c>
      <c r="AD242" s="227" t="str">
        <f aca="false">IFERROR(IF(N$186*N$187*N184&gt;0,STDEV(N$186:N$187,N184),"")/IF(N$186*N$187*N184&gt;0,AVERAGE(N$186:N$187,N184),""),"")</f>
        <v/>
      </c>
      <c r="AE242" s="233"/>
      <c r="AF242" s="229" t="s">
        <v>397</v>
      </c>
      <c r="AG242" s="270" t="str">
        <f aca="false">IFERROR(IF(C$186*C$187*C184&gt;0,STDEV(C$186:C$187,C184)," ")/IF(C$186*C$187*C184&gt;0,SQRT(COUNT(C$186:C$187,C184))," "),"")</f>
        <v/>
      </c>
      <c r="AH242" s="270" t="str">
        <f aca="false">IFERROR(IF(D$186*D$187*D184&gt;0,STDEV(D$186:D$187,D184)," ")/IF(D$186*D$187*D184&gt;0,SQRT(COUNT(D$186:D$187,D184))," "),"")</f>
        <v/>
      </c>
      <c r="AI242" s="270" t="str">
        <f aca="false">IFERROR(IF(E$186*E$187*E184&gt;0,STDEV(E$186:E$187,E184)," ")/IF(E$186*E$187*E184&gt;0,SQRT(COUNT(E$186:E$187,E184))," "),"")</f>
        <v/>
      </c>
      <c r="AJ242" s="270" t="str">
        <f aca="false">IFERROR(IF(F$186*F$187*F184&gt;0,STDEV(F$186:F$187,F184)," ")/IF(F$186*F$187*F184&gt;0,SQRT(COUNT(F$186:F$187,F184))," "),"")</f>
        <v/>
      </c>
      <c r="AK242" s="270" t="str">
        <f aca="false">IFERROR(IF(G$186*G$187*G184&gt;0,STDEV(G$186:G$187,G184)," ")/IF(G$186*G$187*G184&gt;0,SQRT(COUNT(G$186:G$187,G184))," "),"")</f>
        <v/>
      </c>
      <c r="AL242" s="270" t="str">
        <f aca="false">IFERROR(IF(H$186*H$187*H184&gt;0,STDEV(H$186:H$187,H184)," ")/IF(H$186*H$187*H184&gt;0,SQRT(COUNT(H$186:H$187,H184))," "),"")</f>
        <v/>
      </c>
      <c r="AM242" s="270" t="str">
        <f aca="false">IFERROR(IF(I$186*I$187*I184&gt;0,STDEV(I$186:I$187,I184)," ")/IF(I$186*I$187*I184&gt;0,SQRT(COUNT(I$186:I$187,I184))," "),"")</f>
        <v/>
      </c>
      <c r="AN242" s="270" t="str">
        <f aca="false">IFERROR(IF(J$186*J$187*J184&gt;0,STDEV(J$186:J$187,J184)," ")/IF(J$186*J$187*J184&gt;0,SQRT(COUNT(J$186:J$187,J184))," "),"")</f>
        <v/>
      </c>
      <c r="AO242" s="270" t="str">
        <f aca="false">IFERROR(IF(K$186*K$187*K184&gt;0,STDEV(K$186:K$187,K184)," ")/IF(K$186*K$187*K184&gt;0,SQRT(COUNT(K$186:K$187,K184))," "),"")</f>
        <v/>
      </c>
      <c r="AP242" s="270" t="str">
        <f aca="false">IFERROR(IF(L$186*L$187*L184&gt;0,STDEV(L$186:L$187,L184)," ")/IF(L$186*L$187*L184&gt;0,SQRT(COUNT(L$186:L$187,L184))," "),"")</f>
        <v/>
      </c>
      <c r="AQ242" s="270" t="str">
        <f aca="false">IFERROR(IF(M$186*M$187*M184&gt;0,STDEV(M$186:M$187,M184)," ")/IF(M$186*M$187*M184&gt;0,SQRT(COUNT(M$186:M$187,M184))," "),"")</f>
        <v/>
      </c>
      <c r="AR242" s="270" t="str">
        <f aca="false">IFERROR(IF(N$186*N$187*N184&gt;0,STDEV(N$186:N$187,N184)," ")/IF(N$186*N$187*N184&gt;0,SQRT(COUNT(N$186:N$187,N184))," "),"")</f>
        <v/>
      </c>
    </row>
    <row r="243" customFormat="false" ht="15.75" hidden="false" customHeight="false" outlineLevel="0" collapsed="false">
      <c r="A243" s="220" t="s">
        <v>401</v>
      </c>
      <c r="B243" s="221"/>
      <c r="C243" s="222" t="str">
        <f aca="false">IFERROR(IF(C$186*C$187*C188&gt;0,AVERAGE(C$186:C$187,C188),""),"")</f>
        <v/>
      </c>
      <c r="D243" s="222" t="str">
        <f aca="false">IFERROR(IF(D$186*D$187*D188&gt;0,AVERAGE(D$186:D$187,D188),""),"")</f>
        <v/>
      </c>
      <c r="E243" s="222" t="str">
        <f aca="false">IFERROR(IF(E$186*E$187*E188&gt;0,AVERAGE(E$186:E$187,E188),""),"")</f>
        <v/>
      </c>
      <c r="F243" s="222" t="str">
        <f aca="false">IFERROR(IF(F$186*F$187*F188&gt;0,AVERAGE(F$186:F$187,F188),""),"")</f>
        <v/>
      </c>
      <c r="G243" s="222" t="str">
        <f aca="false">IFERROR(IF(G$186*G$187*G188&gt;0,AVERAGE(G$186:G$187,G188),""),"")</f>
        <v/>
      </c>
      <c r="H243" s="222" t="str">
        <f aca="false">IFERROR(IF(H$186*H$187*H188&gt;0,AVERAGE(H$186:H$187,H188),""),"")</f>
        <v/>
      </c>
      <c r="I243" s="222" t="str">
        <f aca="false">IFERROR(IF(I$186*I$187*I188&gt;0,AVERAGE(I$186:I$187,I188),""),"")</f>
        <v/>
      </c>
      <c r="J243" s="222" t="str">
        <f aca="false">IFERROR(IF(J$186*J$187*J188&gt;0,AVERAGE(J$186:J$187,J188),""),"")</f>
        <v/>
      </c>
      <c r="K243" s="222" t="str">
        <f aca="false">IFERROR(IF(K$186*K$187*K188&gt;0,AVERAGE(K$186:K$187,K188),""),"")</f>
        <v/>
      </c>
      <c r="L243" s="222" t="str">
        <f aca="false">IFERROR(IF(L$186*L$187*L188&gt;0,AVERAGE(L$186:L$187,L188),""),"")</f>
        <v/>
      </c>
      <c r="M243" s="222" t="str">
        <f aca="false">IFERROR(IF(M$186*M$187*M188&gt;0,AVERAGE(M$186:M$187,M188),""),"")</f>
        <v/>
      </c>
      <c r="N243" s="222" t="str">
        <f aca="false">IFERROR(IF(N$186*N$187*N188&gt;0,AVERAGE(N$186:N$187,N188),""),"")</f>
        <v/>
      </c>
      <c r="O243" s="253"/>
      <c r="P243" s="253"/>
      <c r="Q243" s="254"/>
      <c r="R243" s="226" t="s">
        <v>402</v>
      </c>
      <c r="S243" s="227" t="str">
        <f aca="false">IFERROR(IF(C$186*C$187*C188&gt;0,STDEV(C$186:C$187,C188),"")/IF(C$186*C$187*C188&gt;0,AVERAGE(C$186:C$187,C188),""),"")</f>
        <v/>
      </c>
      <c r="T243" s="227" t="str">
        <f aca="false">IFERROR(IF(D$186*D$187*D188&gt;0,STDEV(D$186:D$187,D188),"")/IF(D$186*D$187*D188&gt;0,AVERAGE(D$186:D$187,D188),""),"")</f>
        <v/>
      </c>
      <c r="U243" s="227" t="str">
        <f aca="false">IFERROR(IF(E$186*E$187*E188&gt;0,STDEV(E$186:E$187,E188),"")/IF(E$186*E$187*E188&gt;0,AVERAGE(E$186:E$187,E188),""),"")</f>
        <v/>
      </c>
      <c r="V243" s="227" t="str">
        <f aca="false">IFERROR(IF(F$186*F$187*F188&gt;0,STDEV(F$186:F$187,F188),"")/IF(F$186*F$187*F188&gt;0,AVERAGE(F$186:F$187,F188),""),"")</f>
        <v/>
      </c>
      <c r="W243" s="227" t="str">
        <f aca="false">IFERROR(IF(G$186*G$187*G188&gt;0,STDEV(G$186:G$187,G188),"")/IF(G$186*G$187*G188&gt;0,AVERAGE(G$186:G$187,G188),""),"")</f>
        <v/>
      </c>
      <c r="X243" s="227" t="str">
        <f aca="false">IFERROR(IF(H$186*H$187*H188&gt;0,STDEV(H$186:H$187,H188),"")/IF(H$186*H$187*H188&gt;0,AVERAGE(H$186:H$187,H188),""),"")</f>
        <v/>
      </c>
      <c r="Y243" s="227" t="str">
        <f aca="false">IFERROR(IF(I$186*I$187*I188&gt;0,STDEV(I$186:I$187,I188),"")/IF(I$186*I$187*I188&gt;0,AVERAGE(I$186:I$187,I188),""),"")</f>
        <v/>
      </c>
      <c r="Z243" s="227" t="str">
        <f aca="false">IFERROR(IF(J$186*J$187*J188&gt;0,STDEV(J$186:J$187,J188),"")/IF(J$186*J$187*J188&gt;0,AVERAGE(J$186:J$187,J188),""),"")</f>
        <v/>
      </c>
      <c r="AA243" s="227" t="str">
        <f aca="false">IFERROR(IF(K$186*K$187*K188&gt;0,STDEV(K$186:K$187,K188),"")/IF(K$186*K$187*K188&gt;0,AVERAGE(K$186:K$187,K188),""),"")</f>
        <v/>
      </c>
      <c r="AB243" s="227" t="str">
        <f aca="false">IFERROR(IF(L$186*L$187*L188&gt;0,STDEV(L$186:L$187,L188),"")/IF(L$186*L$187*L188&gt;0,AVERAGE(L$186:L$187,L188),""),"")</f>
        <v/>
      </c>
      <c r="AC243" s="227" t="str">
        <f aca="false">IFERROR(IF(M$186*M$187*M188&gt;0,STDEV(M$186:M$187,M188),"")/IF(M$186*M$187*M188&gt;0,AVERAGE(M$186:M$187,M188),""),"")</f>
        <v/>
      </c>
      <c r="AD243" s="227" t="str">
        <f aca="false">IFERROR(IF(N$186*N$187*N188&gt;0,STDEV(N$186:N$187,N188),"")/IF(N$186*N$187*N188&gt;0,AVERAGE(N$186:N$187,N188),""),"")</f>
        <v/>
      </c>
      <c r="AE243" s="233"/>
      <c r="AF243" s="229" t="s">
        <v>403</v>
      </c>
      <c r="AG243" s="270" t="str">
        <f aca="false">IFERROR(IF(C$186*C$187*C188&gt;0,STDEV(C$186:C$187,C188)," ")/IF(C$186*C$187*C188&gt;0,SQRT(COUNT(C$186:C$187,C188))," "),"")</f>
        <v/>
      </c>
      <c r="AH243" s="270" t="str">
        <f aca="false">IFERROR(IF(D$186*D$187*D188&gt;0,STDEV(D$186:D$187,D188)," ")/IF(D$186*D$187*D188&gt;0,SQRT(COUNT(D$186:D$187,D188))," "),"")</f>
        <v/>
      </c>
      <c r="AI243" s="270" t="str">
        <f aca="false">IFERROR(IF(E$186*E$187*E188&gt;0,STDEV(E$186:E$187,E188)," ")/IF(E$186*E$187*E188&gt;0,SQRT(COUNT(E$186:E$187,E188))," "),"")</f>
        <v/>
      </c>
      <c r="AJ243" s="270" t="str">
        <f aca="false">IFERROR(IF(F$186*F$187*F188&gt;0,STDEV(F$186:F$187,F188)," ")/IF(F$186*F$187*F188&gt;0,SQRT(COUNT(F$186:F$187,F188))," "),"")</f>
        <v/>
      </c>
      <c r="AK243" s="270" t="str">
        <f aca="false">IFERROR(IF(G$186*G$187*G188&gt;0,STDEV(G$186:G$187,G188)," ")/IF(G$186*G$187*G188&gt;0,SQRT(COUNT(G$186:G$187,G188))," "),"")</f>
        <v/>
      </c>
      <c r="AL243" s="270" t="str">
        <f aca="false">IFERROR(IF(H$186*H$187*H188&gt;0,STDEV(H$186:H$187,H188)," ")/IF(H$186*H$187*H188&gt;0,SQRT(COUNT(H$186:H$187,H188))," "),"")</f>
        <v/>
      </c>
      <c r="AM243" s="270" t="str">
        <f aca="false">IFERROR(IF(I$186*I$187*I188&gt;0,STDEV(I$186:I$187,I188)," ")/IF(I$186*I$187*I188&gt;0,SQRT(COUNT(I$186:I$187,I188))," "),"")</f>
        <v/>
      </c>
      <c r="AN243" s="270" t="str">
        <f aca="false">IFERROR(IF(J$186*J$187*J188&gt;0,STDEV(J$186:J$187,J188)," ")/IF(J$186*J$187*J188&gt;0,SQRT(COUNT(J$186:J$187,J188))," "),"")</f>
        <v/>
      </c>
      <c r="AO243" s="270" t="str">
        <f aca="false">IFERROR(IF(K$186*K$187*K188&gt;0,STDEV(K$186:K$187,K188)," ")/IF(K$186*K$187*K188&gt;0,SQRT(COUNT(K$186:K$187,K188))," "),"")</f>
        <v/>
      </c>
      <c r="AP243" s="270" t="str">
        <f aca="false">IFERROR(IF(L$186*L$187*L188&gt;0,STDEV(L$186:L$187,L188)," ")/IF(L$186*L$187*L188&gt;0,SQRT(COUNT(L$186:L$187,L188))," "),"")</f>
        <v/>
      </c>
      <c r="AQ243" s="270" t="str">
        <f aca="false">IFERROR(IF(M$186*M$187*M188&gt;0,STDEV(M$186:M$187,M188)," ")/IF(M$186*M$187*M188&gt;0,SQRT(COUNT(M$186:M$187,M188))," "),"")</f>
        <v/>
      </c>
      <c r="AR243" s="270" t="str">
        <f aca="false">IFERROR(IF(N$186*N$187*N188&gt;0,STDEV(N$186:N$187,N188)," ")/IF(N$186*N$187*N188&gt;0,SQRT(COUNT(N$186:N$187,N188))," "),"")</f>
        <v/>
      </c>
    </row>
    <row r="244" customFormat="false" ht="15.75" hidden="false" customHeight="false" outlineLevel="0" collapsed="false">
      <c r="A244" s="220" t="s">
        <v>404</v>
      </c>
      <c r="B244" s="221"/>
      <c r="C244" s="261" t="str">
        <f aca="false">IFERROR(IF(C$187*C$188*C182&gt;0,AVERAGE(C$187:C$188,C182),""),"")</f>
        <v/>
      </c>
      <c r="D244" s="261" t="str">
        <f aca="false">IFERROR(IF(D$187*D$188*D182&gt;0,AVERAGE(D$187:D$188,D182),""),"")</f>
        <v/>
      </c>
      <c r="E244" s="261" t="str">
        <f aca="false">IFERROR(IF(E$187*E$188*E182&gt;0,AVERAGE(E$187:E$188,E182),""),"")</f>
        <v/>
      </c>
      <c r="F244" s="261" t="str">
        <f aca="false">IFERROR(IF(F$187*F$188*F182&gt;0,AVERAGE(F$187:F$188,F182),""),"")</f>
        <v/>
      </c>
      <c r="G244" s="261" t="str">
        <f aca="false">IFERROR(IF(G$187*G$188*G182&gt;0,AVERAGE(G$187:G$188,G182),""),"")</f>
        <v/>
      </c>
      <c r="H244" s="261" t="str">
        <f aca="false">IFERROR(IF(H$187*H$188*H182&gt;0,AVERAGE(H$187:H$188,H182),""),"")</f>
        <v/>
      </c>
      <c r="I244" s="261" t="str">
        <f aca="false">IFERROR(IF(I$187*I$188*I182&gt;0,AVERAGE(I$187:I$188,I182),""),"")</f>
        <v/>
      </c>
      <c r="J244" s="261" t="str">
        <f aca="false">IFERROR(IF(J$187*J$188*J182&gt;0,AVERAGE(J$187:J$188,J182),""),"")</f>
        <v/>
      </c>
      <c r="K244" s="261" t="str">
        <f aca="false">IFERROR(IF(K$187*K$188*K182&gt;0,AVERAGE(K$187:K$188,K182),""),"")</f>
        <v/>
      </c>
      <c r="L244" s="261" t="str">
        <f aca="false">IFERROR(IF(L$187*L$188*L182&gt;0,AVERAGE(L$187:L$188,L182),""),"")</f>
        <v/>
      </c>
      <c r="M244" s="261" t="str">
        <f aca="false">IFERROR(IF(M$187*M$188*M182&gt;0,AVERAGE(M$187:M$188,M182),""),"")</f>
        <v/>
      </c>
      <c r="N244" s="261" t="str">
        <f aca="false">IFERROR(IF(N$187*N$188*N182&gt;0,AVERAGE(N$187:N$188,N182),""),"")</f>
        <v/>
      </c>
      <c r="O244" s="253"/>
      <c r="P244" s="253"/>
      <c r="Q244" s="254"/>
      <c r="R244" s="226" t="s">
        <v>405</v>
      </c>
      <c r="S244" s="227" t="str">
        <f aca="false">IFERROR(IF(C$187*C$188*C182&gt;0,STDEV(C$187:C$188,C182),"")/IF(C$187*C$188*C182&gt;0,AVERAGE(C$187:C$188,C182),""),"")</f>
        <v/>
      </c>
      <c r="T244" s="227" t="str">
        <f aca="false">IFERROR(IF(D$187*D$188*D182&gt;0,STDEV(D$187:D$188,D182),"")/IF(D$187*D$188*D182&gt;0,AVERAGE(D$187:D$188,D182),""),"")</f>
        <v/>
      </c>
      <c r="U244" s="227" t="str">
        <f aca="false">IFERROR(IF(E$187*E$188*E182&gt;0,STDEV(E$187:E$188,E182),"")/IF(E$187*E$188*E182&gt;0,AVERAGE(E$187:E$188,E182),""),"")</f>
        <v/>
      </c>
      <c r="V244" s="227" t="str">
        <f aca="false">IFERROR(IF(F$187*F$188*F182&gt;0,STDEV(F$187:F$188,F182),"")/IF(F$187*F$188*F182&gt;0,AVERAGE(F$187:F$188,F182),""),"")</f>
        <v/>
      </c>
      <c r="W244" s="227" t="str">
        <f aca="false">IFERROR(IF(G$187*G$188*G182&gt;0,STDEV(G$187:G$188,G182),"")/IF(G$187*G$188*G182&gt;0,AVERAGE(G$187:G$188,G182),""),"")</f>
        <v/>
      </c>
      <c r="X244" s="227" t="str">
        <f aca="false">IFERROR(IF(H$187*H$188*H182&gt;0,STDEV(H$187:H$188,H182),"")/IF(H$187*H$188*H182&gt;0,AVERAGE(H$187:H$188,H182),""),"")</f>
        <v/>
      </c>
      <c r="Y244" s="227" t="str">
        <f aca="false">IFERROR(IF(I$187*I$188*I182&gt;0,STDEV(I$187:I$188,I182),"")/IF(I$187*I$188*I182&gt;0,AVERAGE(I$187:I$188,I182),""),"")</f>
        <v/>
      </c>
      <c r="Z244" s="227" t="str">
        <f aca="false">IFERROR(IF(J$187*J$188*J182&gt;0,STDEV(J$187:J$188,J182),"")/IF(J$187*J$188*J182&gt;0,AVERAGE(J$187:J$188,J182),""),"")</f>
        <v/>
      </c>
      <c r="AA244" s="227" t="str">
        <f aca="false">IFERROR(IF(K$187*K$188*K182&gt;0,STDEV(K$187:K$188,K182),"")/IF(K$187*K$188*K182&gt;0,AVERAGE(K$187:K$188,K182),""),"")</f>
        <v/>
      </c>
      <c r="AB244" s="227" t="str">
        <f aca="false">IFERROR(IF(L$187*L$188*L182&gt;0,STDEV(L$187:L$188,L182),"")/IF(L$187*L$188*L182&gt;0,AVERAGE(L$187:L$188,L182),""),"")</f>
        <v/>
      </c>
      <c r="AC244" s="227" t="str">
        <f aca="false">IFERROR(IF(M$187*M$188*M182&gt;0,STDEV(M$187:M$188,M182),"")/IF(M$187*M$188*M182&gt;0,AVERAGE(M$187:M$188,M182),""),"")</f>
        <v/>
      </c>
      <c r="AD244" s="227" t="str">
        <f aca="false">IFERROR(IF(N$187*N$188*N182&gt;0,STDEV(N$187:N$188,N182),"")/IF(N$187*N$188*N182&gt;0,AVERAGE(N$187:N$188,N182),""),"")</f>
        <v/>
      </c>
      <c r="AE244" s="233"/>
      <c r="AF244" s="229" t="s">
        <v>406</v>
      </c>
      <c r="AG244" s="270" t="str">
        <f aca="false">IFERROR(IF(C$187*C$188*C182&gt;0,STDEV(C$187:C$188,C182)," ")/IF(C$187*C$188*C182&gt;0,SQRT(COUNT(C$187:C$188,C182))," "),"")</f>
        <v/>
      </c>
      <c r="AH244" s="270" t="str">
        <f aca="false">IFERROR(IF(D$187*D$188*D182&gt;0,STDEV(D$187:D$188,D182)," ")/IF(D$187*D$188*D182&gt;0,SQRT(COUNT(D$187:D$188,D182))," "),"")</f>
        <v/>
      </c>
      <c r="AI244" s="270" t="str">
        <f aca="false">IFERROR(IF(E$187*E$188*E182&gt;0,STDEV(E$187:E$188,E182)," ")/IF(E$187*E$188*E182&gt;0,SQRT(COUNT(E$187:E$188,E182))," "),"")</f>
        <v/>
      </c>
      <c r="AJ244" s="270" t="str">
        <f aca="false">IFERROR(IF(F$187*F$188*F182&gt;0,STDEV(F$187:F$188,F182)," ")/IF(F$187*F$188*F182&gt;0,SQRT(COUNT(F$187:F$188,F182))," "),"")</f>
        <v/>
      </c>
      <c r="AK244" s="270" t="str">
        <f aca="false">IFERROR(IF(G$187*G$188*G182&gt;0,STDEV(G$187:G$188,G182)," ")/IF(G$187*G$188*G182&gt;0,SQRT(COUNT(G$187:G$188,G182))," "),"")</f>
        <v/>
      </c>
      <c r="AL244" s="270" t="str">
        <f aca="false">IFERROR(IF(H$187*H$188*H182&gt;0,STDEV(H$187:H$188,H182)," ")/IF(H$187*H$188*H182&gt;0,SQRT(COUNT(H$187:H$188,H182))," "),"")</f>
        <v/>
      </c>
      <c r="AM244" s="270" t="str">
        <f aca="false">IFERROR(IF(I$187*I$188*I182&gt;0,STDEV(I$187:I$188,I182)," ")/IF(I$187*I$188*I182&gt;0,SQRT(COUNT(I$187:I$188,I182))," "),"")</f>
        <v/>
      </c>
      <c r="AN244" s="270" t="str">
        <f aca="false">IFERROR(IF(J$187*J$188*J182&gt;0,STDEV(J$187:J$188,J182)," ")/IF(J$187*J$188*J182&gt;0,SQRT(COUNT(J$187:J$188,J182))," "),"")</f>
        <v/>
      </c>
      <c r="AO244" s="270" t="str">
        <f aca="false">IFERROR(IF(K$187*K$188*K182&gt;0,STDEV(K$187:K$188,K182)," ")/IF(K$187*K$188*K182&gt;0,SQRT(COUNT(K$187:K$188,K182))," "),"")</f>
        <v/>
      </c>
      <c r="AP244" s="270" t="str">
        <f aca="false">IFERROR(IF(L$187*L$188*L182&gt;0,STDEV(L$187:L$188,L182)," ")/IF(L$187*L$188*L182&gt;0,SQRT(COUNT(L$187:L$188,L182))," "),"")</f>
        <v/>
      </c>
      <c r="AQ244" s="270" t="str">
        <f aca="false">IFERROR(IF(M$187*M$188*M182&gt;0,STDEV(M$187:M$188,M182)," ")/IF(M$187*M$188*M182&gt;0,SQRT(COUNT(M$187:M$188,M182))," "),"")</f>
        <v/>
      </c>
      <c r="AR244" s="270" t="str">
        <f aca="false">IFERROR(IF(N$187*N$188*N182&gt;0,STDEV(N$187:N$188,N182)," ")/IF(N$187*N$188*N182&gt;0,SQRT(COUNT(N$187:N$188,N182))," "),"")</f>
        <v/>
      </c>
    </row>
    <row r="245" customFormat="false" ht="15.75" hidden="false" customHeight="false" outlineLevel="0" collapsed="false">
      <c r="A245" s="220" t="s">
        <v>407</v>
      </c>
      <c r="B245" s="221"/>
      <c r="C245" s="261" t="str">
        <f aca="false">IFERROR(IF(C$187*C$188*C183&gt;0,AVERAGE(C$187:C$188,C183),""),"")</f>
        <v/>
      </c>
      <c r="D245" s="261" t="str">
        <f aca="false">IFERROR(IF(D$187*D$188*D183&gt;0,AVERAGE(D$187:D$188,D183),""),"")</f>
        <v/>
      </c>
      <c r="E245" s="261" t="str">
        <f aca="false">IFERROR(IF(E$187*E$188*E183&gt;0,AVERAGE(E$187:E$188,E183),""),"")</f>
        <v/>
      </c>
      <c r="F245" s="261" t="str">
        <f aca="false">IFERROR(IF(F$187*F$188*F183&gt;0,AVERAGE(F$187:F$188,F183),""),"")</f>
        <v/>
      </c>
      <c r="G245" s="261" t="str">
        <f aca="false">IFERROR(IF(G$187*G$188*G183&gt;0,AVERAGE(G$187:G$188,G183),""),"")</f>
        <v/>
      </c>
      <c r="H245" s="261" t="str">
        <f aca="false">IFERROR(IF(H$187*H$188*H183&gt;0,AVERAGE(H$187:H$188,H183),""),"")</f>
        <v/>
      </c>
      <c r="I245" s="261" t="str">
        <f aca="false">IFERROR(IF(I$187*I$188*I183&gt;0,AVERAGE(I$187:I$188,I183),""),"")</f>
        <v/>
      </c>
      <c r="J245" s="261" t="str">
        <f aca="false">IFERROR(IF(J$187*J$188*J183&gt;0,AVERAGE(J$187:J$188,J183),""),"")</f>
        <v/>
      </c>
      <c r="K245" s="261" t="str">
        <f aca="false">IFERROR(IF(K$187*K$188*K183&gt;0,AVERAGE(K$187:K$188,K183),""),"")</f>
        <v/>
      </c>
      <c r="L245" s="261" t="str">
        <f aca="false">IFERROR(IF(L$187*L$188*L183&gt;0,AVERAGE(L$187:L$188,L183),""),"")</f>
        <v/>
      </c>
      <c r="M245" s="261" t="str">
        <f aca="false">IFERROR(IF(M$187*M$188*M183&gt;0,AVERAGE(M$187:M$188,M183),""),"")</f>
        <v/>
      </c>
      <c r="N245" s="261" t="str">
        <f aca="false">IFERROR(IF(N$187*N$188*N183&gt;0,AVERAGE(N$187:N$188,N183),""),"")</f>
        <v/>
      </c>
      <c r="O245" s="253"/>
      <c r="P245" s="253"/>
      <c r="Q245" s="254"/>
      <c r="R245" s="226" t="s">
        <v>408</v>
      </c>
      <c r="S245" s="227" t="str">
        <f aca="false">IFERROR(IF(C$187*C$188*C183&gt;0,STDEV(C$187:C$188,C183),"")/IF(C$187*C$188*C183&gt;0,AVERAGE(C$187:C$188,C183),""),"")</f>
        <v/>
      </c>
      <c r="T245" s="227" t="str">
        <f aca="false">IFERROR(IF(D$187*D$188*D183&gt;0,STDEV(D$187:D$188,D183),"")/IF(D$187*D$188*D183&gt;0,AVERAGE(D$187:D$188,D183),""),"")</f>
        <v/>
      </c>
      <c r="U245" s="227" t="str">
        <f aca="false">IFERROR(IF(E$187*E$188*E183&gt;0,STDEV(E$187:E$188,E183),"")/IF(E$187*E$188*E183&gt;0,AVERAGE(E$187:E$188,E183),""),"")</f>
        <v/>
      </c>
      <c r="V245" s="227" t="str">
        <f aca="false">IFERROR(IF(F$187*F$188*F183&gt;0,STDEV(F$187:F$188,F183),"")/IF(F$187*F$188*F183&gt;0,AVERAGE(F$187:F$188,F183),""),"")</f>
        <v/>
      </c>
      <c r="W245" s="227" t="str">
        <f aca="false">IFERROR(IF(G$187*G$188*G183&gt;0,STDEV(G$187:G$188,G183),"")/IF(G$187*G$188*G183&gt;0,AVERAGE(G$187:G$188,G183),""),"")</f>
        <v/>
      </c>
      <c r="X245" s="227" t="str">
        <f aca="false">IFERROR(IF(H$187*H$188*H183&gt;0,STDEV(H$187:H$188,H183),"")/IF(H$187*H$188*H183&gt;0,AVERAGE(H$187:H$188,H183),""),"")</f>
        <v/>
      </c>
      <c r="Y245" s="227" t="str">
        <f aca="false">IFERROR(IF(I$187*I$188*I183&gt;0,STDEV(I$187:I$188,I183),"")/IF(I$187*I$188*I183&gt;0,AVERAGE(I$187:I$188,I183),""),"")</f>
        <v/>
      </c>
      <c r="Z245" s="227" t="str">
        <f aca="false">IFERROR(IF(J$187*J$188*J183&gt;0,STDEV(J$187:J$188,J183),"")/IF(J$187*J$188*J183&gt;0,AVERAGE(J$187:J$188,J183),""),"")</f>
        <v/>
      </c>
      <c r="AA245" s="227" t="str">
        <f aca="false">IFERROR(IF(K$187*K$188*K183&gt;0,STDEV(K$187:K$188,K183),"")/IF(K$187*K$188*K183&gt;0,AVERAGE(K$187:K$188,K183),""),"")</f>
        <v/>
      </c>
      <c r="AB245" s="227" t="str">
        <f aca="false">IFERROR(IF(L$187*L$188*L183&gt;0,STDEV(L$187:L$188,L183),"")/IF(L$187*L$188*L183&gt;0,AVERAGE(L$187:L$188,L183),""),"")</f>
        <v/>
      </c>
      <c r="AC245" s="227" t="str">
        <f aca="false">IFERROR(IF(M$187*M$188*M183&gt;0,STDEV(M$187:M$188,M183),"")/IF(M$187*M$188*M183&gt;0,AVERAGE(M$187:M$188,M183),""),"")</f>
        <v/>
      </c>
      <c r="AD245" s="227" t="str">
        <f aca="false">IFERROR(IF(N$187*N$188*N183&gt;0,STDEV(N$187:N$188,N183),"")/IF(N$187*N$188*N183&gt;0,AVERAGE(N$187:N$188,N183),""),"")</f>
        <v/>
      </c>
      <c r="AE245" s="233"/>
      <c r="AF245" s="229" t="s">
        <v>409</v>
      </c>
      <c r="AG245" s="270" t="str">
        <f aca="false">IFERROR(IF(C$187*C$188*C183&gt;0,STDEV(C$187:C$188,C183)," ")/IF(C$187*C$188*C183&gt;0,SQRT(COUNT(C$187:C$188,C183))," "),"")</f>
        <v/>
      </c>
      <c r="AH245" s="270" t="str">
        <f aca="false">IFERROR(IF(D$187*D$188*D183&gt;0,STDEV(D$187:D$188,D183)," ")/IF(D$187*D$188*D183&gt;0,SQRT(COUNT(D$187:D$188,D183))," "),"")</f>
        <v/>
      </c>
      <c r="AI245" s="270" t="str">
        <f aca="false">IFERROR(IF(E$187*E$188*E183&gt;0,STDEV(E$187:E$188,E183)," ")/IF(E$187*E$188*E183&gt;0,SQRT(COUNT(E$187:E$188,E183))," "),"")</f>
        <v/>
      </c>
      <c r="AJ245" s="270" t="str">
        <f aca="false">IFERROR(IF(F$187*F$188*F183&gt;0,STDEV(F$187:F$188,F183)," ")/IF(F$187*F$188*F183&gt;0,SQRT(COUNT(F$187:F$188,F183))," "),"")</f>
        <v/>
      </c>
      <c r="AK245" s="270" t="str">
        <f aca="false">IFERROR(IF(G$187*G$188*G183&gt;0,STDEV(G$187:G$188,G183)," ")/IF(G$187*G$188*G183&gt;0,SQRT(COUNT(G$187:G$188,G183))," "),"")</f>
        <v/>
      </c>
      <c r="AL245" s="270" t="str">
        <f aca="false">IFERROR(IF(H$187*H$188*H183&gt;0,STDEV(H$187:H$188,H183)," ")/IF(H$187*H$188*H183&gt;0,SQRT(COUNT(H$187:H$188,H183))," "),"")</f>
        <v/>
      </c>
      <c r="AM245" s="270" t="str">
        <f aca="false">IFERROR(IF(I$187*I$188*I183&gt;0,STDEV(I$187:I$188,I183)," ")/IF(I$187*I$188*I183&gt;0,SQRT(COUNT(I$187:I$188,I183))," "),"")</f>
        <v/>
      </c>
      <c r="AN245" s="270" t="str">
        <f aca="false">IFERROR(IF(J$187*J$188*J183&gt;0,STDEV(J$187:J$188,J183)," ")/IF(J$187*J$188*J183&gt;0,SQRT(COUNT(J$187:J$188,J183))," "),"")</f>
        <v/>
      </c>
      <c r="AO245" s="270" t="str">
        <f aca="false">IFERROR(IF(K$187*K$188*K183&gt;0,STDEV(K$187:K$188,K183)," ")/IF(K$187*K$188*K183&gt;0,SQRT(COUNT(K$187:K$188,K183))," "),"")</f>
        <v/>
      </c>
      <c r="AP245" s="270" t="str">
        <f aca="false">IFERROR(IF(L$187*L$188*L183&gt;0,STDEV(L$187:L$188,L183)," ")/IF(L$187*L$188*L183&gt;0,SQRT(COUNT(L$187:L$188,L183))," "),"")</f>
        <v/>
      </c>
      <c r="AQ245" s="270" t="str">
        <f aca="false">IFERROR(IF(M$187*M$188*M183&gt;0,STDEV(M$187:M$188,M183)," ")/IF(M$187*M$188*M183&gt;0,SQRT(COUNT(M$187:M$188,M183))," "),"")</f>
        <v/>
      </c>
      <c r="AR245" s="270" t="str">
        <f aca="false">IFERROR(IF(N$187*N$188*N183&gt;0,STDEV(N$187:N$188,N183)," ")/IF(N$187*N$188*N183&gt;0,SQRT(COUNT(N$187:N$188,N183))," "),"")</f>
        <v/>
      </c>
    </row>
    <row r="246" customFormat="false" ht="15.75" hidden="false" customHeight="false" outlineLevel="0" collapsed="false">
      <c r="A246" s="220" t="s">
        <v>410</v>
      </c>
      <c r="B246" s="221"/>
      <c r="C246" s="261" t="str">
        <f aca="false">IFERROR(IF(C$187*C$188*C184&gt;0,AVERAGE(C$187:C$188,C184),""),"")</f>
        <v/>
      </c>
      <c r="D246" s="261" t="str">
        <f aca="false">IFERROR(IF(D$187*D$188*D184&gt;0,AVERAGE(D$187:D$188,D184),""),"")</f>
        <v/>
      </c>
      <c r="E246" s="261" t="str">
        <f aca="false">IFERROR(IF(E$187*E$188*E184&gt;0,AVERAGE(E$187:E$188,E184),""),"")</f>
        <v/>
      </c>
      <c r="F246" s="261" t="str">
        <f aca="false">IFERROR(IF(F$187*F$188*F184&gt;0,AVERAGE(F$187:F$188,F184),""),"")</f>
        <v/>
      </c>
      <c r="G246" s="261" t="str">
        <f aca="false">IFERROR(IF(G$187*G$188*G184&gt;0,AVERAGE(G$187:G$188,G184),""),"")</f>
        <v/>
      </c>
      <c r="H246" s="261" t="str">
        <f aca="false">IFERROR(IF(H$187*H$188*H184&gt;0,AVERAGE(H$187:H$188,H184),""),"")</f>
        <v/>
      </c>
      <c r="I246" s="261" t="str">
        <f aca="false">IFERROR(IF(I$187*I$188*I184&gt;0,AVERAGE(I$187:I$188,I184),""),"")</f>
        <v/>
      </c>
      <c r="J246" s="261" t="str">
        <f aca="false">IFERROR(IF(J$187*J$188*J184&gt;0,AVERAGE(J$187:J$188,J184),""),"")</f>
        <v/>
      </c>
      <c r="K246" s="261" t="str">
        <f aca="false">IFERROR(IF(K$187*K$188*K184&gt;0,AVERAGE(K$187:K$188,K184),""),"")</f>
        <v/>
      </c>
      <c r="L246" s="261" t="str">
        <f aca="false">IFERROR(IF(L$187*L$188*L184&gt;0,AVERAGE(L$187:L$188,L184),""),"")</f>
        <v/>
      </c>
      <c r="M246" s="261" t="str">
        <f aca="false">IFERROR(IF(M$187*M$188*M184&gt;0,AVERAGE(M$187:M$188,M184),""),"")</f>
        <v/>
      </c>
      <c r="N246" s="261" t="str">
        <f aca="false">IFERROR(IF(N$187*N$188*N184&gt;0,AVERAGE(N$187:N$188,N184),""),"")</f>
        <v/>
      </c>
      <c r="O246" s="253"/>
      <c r="P246" s="253"/>
      <c r="Q246" s="254"/>
      <c r="R246" s="226" t="s">
        <v>411</v>
      </c>
      <c r="S246" s="227" t="str">
        <f aca="false">IFERROR(IF(C$187*C$188*C184&gt;0,STDEV(C$187:C$188,C184),"")/IF(C$187*C$188*C184&gt;0,AVERAGE(C$187:C$188,C184),""),"")</f>
        <v/>
      </c>
      <c r="T246" s="227" t="str">
        <f aca="false">IFERROR(IF(D$187*D$188*D184&gt;0,STDEV(D$187:D$188,D184),"")/IF(D$187*D$188*D184&gt;0,AVERAGE(D$187:D$188,D184),""),"")</f>
        <v/>
      </c>
      <c r="U246" s="227" t="str">
        <f aca="false">IFERROR(IF(E$187*E$188*E184&gt;0,STDEV(E$187:E$188,E184),"")/IF(E$187*E$188*E184&gt;0,AVERAGE(E$187:E$188,E184),""),"")</f>
        <v/>
      </c>
      <c r="V246" s="227" t="str">
        <f aca="false">IFERROR(IF(F$187*F$188*F184&gt;0,STDEV(F$187:F$188,F184),"")/IF(F$187*F$188*F184&gt;0,AVERAGE(F$187:F$188,F184),""),"")</f>
        <v/>
      </c>
      <c r="W246" s="227" t="str">
        <f aca="false">IFERROR(IF(G$187*G$188*G184&gt;0,STDEV(G$187:G$188,G184),"")/IF(G$187*G$188*G184&gt;0,AVERAGE(G$187:G$188,G184),""),"")</f>
        <v/>
      </c>
      <c r="X246" s="227" t="str">
        <f aca="false">IFERROR(IF(H$187*H$188*H184&gt;0,STDEV(H$187:H$188,H184),"")/IF(H$187*H$188*H184&gt;0,AVERAGE(H$187:H$188,H184),""),"")</f>
        <v/>
      </c>
      <c r="Y246" s="227" t="str">
        <f aca="false">IFERROR(IF(I$187*I$188*I184&gt;0,STDEV(I$187:I$188,I184),"")/IF(I$187*I$188*I184&gt;0,AVERAGE(I$187:I$188,I184),""),"")</f>
        <v/>
      </c>
      <c r="Z246" s="227" t="str">
        <f aca="false">IFERROR(IF(J$187*J$188*J184&gt;0,STDEV(J$187:J$188,J184),"")/IF(J$187*J$188*J184&gt;0,AVERAGE(J$187:J$188,J184),""),"")</f>
        <v/>
      </c>
      <c r="AA246" s="227" t="str">
        <f aca="false">IFERROR(IF(K$187*K$188*K184&gt;0,STDEV(K$187:K$188,K184),"")/IF(K$187*K$188*K184&gt;0,AVERAGE(K$187:K$188,K184),""),"")</f>
        <v/>
      </c>
      <c r="AB246" s="227" t="str">
        <f aca="false">IFERROR(IF(L$187*L$188*L184&gt;0,STDEV(L$187:L$188,L184),"")/IF(L$187*L$188*L184&gt;0,AVERAGE(L$187:L$188,L184),""),"")</f>
        <v/>
      </c>
      <c r="AC246" s="227" t="str">
        <f aca="false">IFERROR(IF(M$187*M$188*M184&gt;0,STDEV(M$187:M$188,M184),"")/IF(M$187*M$188*M184&gt;0,AVERAGE(M$187:M$188,M184),""),"")</f>
        <v/>
      </c>
      <c r="AD246" s="227" t="str">
        <f aca="false">IFERROR(IF(N$187*N$188*N184&gt;0,STDEV(N$187:N$188,N184),"")/IF(N$187*N$188*N184&gt;0,AVERAGE(N$187:N$188,N184),""),"")</f>
        <v/>
      </c>
      <c r="AE246" s="233"/>
      <c r="AF246" s="229" t="s">
        <v>412</v>
      </c>
      <c r="AG246" s="270" t="str">
        <f aca="false">IFERROR(IF(C$187*C$188*C184&gt;0,STDEV(C$187:C$188,C184)," ")/IF(C$187*C$188*C184&gt;0,SQRT(COUNT(C$187:C$188,C184))," "),"")</f>
        <v/>
      </c>
      <c r="AH246" s="270" t="str">
        <f aca="false">IFERROR(IF(D$187*D$188*D184&gt;0,STDEV(D$187:D$188,D184)," ")/IF(D$187*D$188*D184&gt;0,SQRT(COUNT(D$187:D$188,D184))," "),"")</f>
        <v/>
      </c>
      <c r="AI246" s="270" t="str">
        <f aca="false">IFERROR(IF(E$187*E$188*E184&gt;0,STDEV(E$187:E$188,E184)," ")/IF(E$187*E$188*E184&gt;0,SQRT(COUNT(E$187:E$188,E184))," "),"")</f>
        <v/>
      </c>
      <c r="AJ246" s="270" t="str">
        <f aca="false">IFERROR(IF(F$187*F$188*F184&gt;0,STDEV(F$187:F$188,F184)," ")/IF(F$187*F$188*F184&gt;0,SQRT(COUNT(F$187:F$188,F184))," "),"")</f>
        <v/>
      </c>
      <c r="AK246" s="270" t="str">
        <f aca="false">IFERROR(IF(G$187*G$188*G184&gt;0,STDEV(G$187:G$188,G184)," ")/IF(G$187*G$188*G184&gt;0,SQRT(COUNT(G$187:G$188,G184))," "),"")</f>
        <v/>
      </c>
      <c r="AL246" s="270" t="str">
        <f aca="false">IFERROR(IF(H$187*H$188*H184&gt;0,STDEV(H$187:H$188,H184)," ")/IF(H$187*H$188*H184&gt;0,SQRT(COUNT(H$187:H$188,H184))," "),"")</f>
        <v/>
      </c>
      <c r="AM246" s="270" t="str">
        <f aca="false">IFERROR(IF(I$187*I$188*I184&gt;0,STDEV(I$187:I$188,I184)," ")/IF(I$187*I$188*I184&gt;0,SQRT(COUNT(I$187:I$188,I184))," "),"")</f>
        <v/>
      </c>
      <c r="AN246" s="270" t="str">
        <f aca="false">IFERROR(IF(J$187*J$188*J184&gt;0,STDEV(J$187:J$188,J184)," ")/IF(J$187*J$188*J184&gt;0,SQRT(COUNT(J$187:J$188,J184))," "),"")</f>
        <v/>
      </c>
      <c r="AO246" s="270" t="str">
        <f aca="false">IFERROR(IF(K$187*K$188*K184&gt;0,STDEV(K$187:K$188,K184)," ")/IF(K$187*K$188*K184&gt;0,SQRT(COUNT(K$187:K$188,K184))," "),"")</f>
        <v/>
      </c>
      <c r="AP246" s="270" t="str">
        <f aca="false">IFERROR(IF(L$187*L$188*L184&gt;0,STDEV(L$187:L$188,L184)," ")/IF(L$187*L$188*L184&gt;0,SQRT(COUNT(L$187:L$188,L184))," "),"")</f>
        <v/>
      </c>
      <c r="AQ246" s="270" t="str">
        <f aca="false">IFERROR(IF(M$187*M$188*M184&gt;0,STDEV(M$187:M$188,M184)," ")/IF(M$187*M$188*M184&gt;0,SQRT(COUNT(M$187:M$188,M184))," "),"")</f>
        <v/>
      </c>
      <c r="AR246" s="270" t="str">
        <f aca="false">IFERROR(IF(N$187*N$188*N184&gt;0,STDEV(N$187:N$188,N184)," ")/IF(N$187*N$188*N184&gt;0,SQRT(COUNT(N$187:N$188,N184))," "),"")</f>
        <v/>
      </c>
    </row>
    <row r="247" customFormat="false" ht="15.75" hidden="false" customHeight="false" outlineLevel="0" collapsed="false">
      <c r="A247" s="220" t="s">
        <v>413</v>
      </c>
      <c r="B247" s="221"/>
      <c r="C247" s="261" t="str">
        <f aca="false">IFERROR(IF(C$187*C$188*C185&gt;0,AVERAGE(C$187:C$188,C185),""),"")</f>
        <v/>
      </c>
      <c r="D247" s="261" t="str">
        <f aca="false">IFERROR(IF(D$187*D$188*D185&gt;0,AVERAGE(D$187:D$188,D185),""),"")</f>
        <v/>
      </c>
      <c r="E247" s="261" t="str">
        <f aca="false">IFERROR(IF(E$187*E$188*E185&gt;0,AVERAGE(E$187:E$188,E185),""),"")</f>
        <v/>
      </c>
      <c r="F247" s="261" t="str">
        <f aca="false">IFERROR(IF(F$187*F$188*F185&gt;0,AVERAGE(F$187:F$188,F185),""),"")</f>
        <v/>
      </c>
      <c r="G247" s="261" t="str">
        <f aca="false">IFERROR(IF(G$187*G$188*G185&gt;0,AVERAGE(G$187:G$188,G185),""),"")</f>
        <v/>
      </c>
      <c r="H247" s="261" t="str">
        <f aca="false">IFERROR(IF(H$187*H$188*H185&gt;0,AVERAGE(H$187:H$188,H185),""),"")</f>
        <v/>
      </c>
      <c r="I247" s="261" t="str">
        <f aca="false">IFERROR(IF(I$187*I$188*I185&gt;0,AVERAGE(I$187:I$188,I185),""),"")</f>
        <v/>
      </c>
      <c r="J247" s="261" t="str">
        <f aca="false">IFERROR(IF(J$187*J$188*J185&gt;0,AVERAGE(J$187:J$188,J185),""),"")</f>
        <v/>
      </c>
      <c r="K247" s="261" t="str">
        <f aca="false">IFERROR(IF(K$187*K$188*K185&gt;0,AVERAGE(K$187:K$188,K185),""),"")</f>
        <v/>
      </c>
      <c r="L247" s="261" t="str">
        <f aca="false">IFERROR(IF(L$187*L$188*L185&gt;0,AVERAGE(L$187:L$188,L185),""),"")</f>
        <v/>
      </c>
      <c r="M247" s="261" t="str">
        <f aca="false">IFERROR(IF(M$187*M$188*M185&gt;0,AVERAGE(M$187:M$188,M185),""),"")</f>
        <v/>
      </c>
      <c r="N247" s="261" t="str">
        <f aca="false">IFERROR(IF(N$187*N$188*N185&gt;0,AVERAGE(N$187:N$188,N185),""),"")</f>
        <v/>
      </c>
      <c r="O247" s="253"/>
      <c r="P247" s="253"/>
      <c r="Q247" s="254"/>
      <c r="R247" s="226" t="s">
        <v>414</v>
      </c>
      <c r="S247" s="227" t="str">
        <f aca="false">IFERROR(IF(C$187*C$188*C185&gt;0,STDEV(C$187:C$188,C185),"")/IF(C$187*C$188*C185&gt;0,AVERAGE(C$187:C$188,C185),""),"")</f>
        <v/>
      </c>
      <c r="T247" s="227" t="str">
        <f aca="false">IFERROR(IF(D$187*D$188*D185&gt;0,STDEV(D$187:D$188,D185),"")/IF(D$187*D$188*D185&gt;0,AVERAGE(D$187:D$188,D185),""),"")</f>
        <v/>
      </c>
      <c r="U247" s="227" t="str">
        <f aca="false">IFERROR(IF(E$187*E$188*E185&gt;0,STDEV(E$187:E$188,E185),"")/IF(E$187*E$188*E185&gt;0,AVERAGE(E$187:E$188,E185),""),"")</f>
        <v/>
      </c>
      <c r="V247" s="227" t="str">
        <f aca="false">IFERROR(IF(F$187*F$188*F185&gt;0,STDEV(F$187:F$188,F185),"")/IF(F$187*F$188*F185&gt;0,AVERAGE(F$187:F$188,F185),""),"")</f>
        <v/>
      </c>
      <c r="W247" s="227" t="str">
        <f aca="false">IFERROR(IF(G$187*G$188*G185&gt;0,STDEV(G$187:G$188,G185),"")/IF(G$187*G$188*G185&gt;0,AVERAGE(G$187:G$188,G185),""),"")</f>
        <v/>
      </c>
      <c r="X247" s="227" t="str">
        <f aca="false">IFERROR(IF(H$187*H$188*H185&gt;0,STDEV(H$187:H$188,H185),"")/IF(H$187*H$188*H185&gt;0,AVERAGE(H$187:H$188,H185),""),"")</f>
        <v/>
      </c>
      <c r="Y247" s="227" t="str">
        <f aca="false">IFERROR(IF(I$187*I$188*I185&gt;0,STDEV(I$187:I$188,I185),"")/IF(I$187*I$188*I185&gt;0,AVERAGE(I$187:I$188,I185),""),"")</f>
        <v/>
      </c>
      <c r="Z247" s="227" t="str">
        <f aca="false">IFERROR(IF(J$187*J$188*J185&gt;0,STDEV(J$187:J$188,J185),"")/IF(J$187*J$188*J185&gt;0,AVERAGE(J$187:J$188,J185),""),"")</f>
        <v/>
      </c>
      <c r="AA247" s="227" t="str">
        <f aca="false">IFERROR(IF(K$187*K$188*K185&gt;0,STDEV(K$187:K$188,K185),"")/IF(K$187*K$188*K185&gt;0,AVERAGE(K$187:K$188,K185),""),"")</f>
        <v/>
      </c>
      <c r="AB247" s="227" t="str">
        <f aca="false">IFERROR(IF(L$187*L$188*L185&gt;0,STDEV(L$187:L$188,L185),"")/IF(L$187*L$188*L185&gt;0,AVERAGE(L$187:L$188,L185),""),"")</f>
        <v/>
      </c>
      <c r="AC247" s="227" t="str">
        <f aca="false">IFERROR(IF(M$187*M$188*M185&gt;0,STDEV(M$187:M$188,M185),"")/IF(M$187*M$188*M185&gt;0,AVERAGE(M$187:M$188,M185),""),"")</f>
        <v/>
      </c>
      <c r="AD247" s="227" t="str">
        <f aca="false">IFERROR(IF(N$187*N$188*N185&gt;0,STDEV(N$187:N$188,N185),"")/IF(N$187*N$188*N185&gt;0,AVERAGE(N$187:N$188,N185),""),"")</f>
        <v/>
      </c>
      <c r="AE247" s="233"/>
      <c r="AF247" s="229" t="s">
        <v>415</v>
      </c>
      <c r="AG247" s="270" t="str">
        <f aca="false">IFERROR(IF(C$187*C$188*C185&gt;0,STDEV(C$187:C$188,C185)," ")/IF(C$187*C$188*C185&gt;0,SQRT(COUNT(C$187:C$188,C185))," "),"")</f>
        <v/>
      </c>
      <c r="AH247" s="270" t="str">
        <f aca="false">IFERROR(IF(D$187*D$188*D185&gt;0,STDEV(D$187:D$188,D185)," ")/IF(D$187*D$188*D185&gt;0,SQRT(COUNT(D$187:D$188,D185))," "),"")</f>
        <v/>
      </c>
      <c r="AI247" s="270" t="str">
        <f aca="false">IFERROR(IF(E$187*E$188*E185&gt;0,STDEV(E$187:E$188,E185)," ")/IF(E$187*E$188*E185&gt;0,SQRT(COUNT(E$187:E$188,E185))," "),"")</f>
        <v/>
      </c>
      <c r="AJ247" s="270" t="str">
        <f aca="false">IFERROR(IF(F$187*F$188*F185&gt;0,STDEV(F$187:F$188,F185)," ")/IF(F$187*F$188*F185&gt;0,SQRT(COUNT(F$187:F$188,F185))," "),"")</f>
        <v/>
      </c>
      <c r="AK247" s="270" t="str">
        <f aca="false">IFERROR(IF(G$187*G$188*G185&gt;0,STDEV(G$187:G$188,G185)," ")/IF(G$187*G$188*G185&gt;0,SQRT(COUNT(G$187:G$188,G185))," "),"")</f>
        <v/>
      </c>
      <c r="AL247" s="270" t="str">
        <f aca="false">IFERROR(IF(H$187*H$188*H185&gt;0,STDEV(H$187:H$188,H185)," ")/IF(H$187*H$188*H185&gt;0,SQRT(COUNT(H$187:H$188,H185))," "),"")</f>
        <v/>
      </c>
      <c r="AM247" s="270" t="str">
        <f aca="false">IFERROR(IF(I$187*I$188*I185&gt;0,STDEV(I$187:I$188,I185)," ")/IF(I$187*I$188*I185&gt;0,SQRT(COUNT(I$187:I$188,I185))," "),"")</f>
        <v/>
      </c>
      <c r="AN247" s="270" t="str">
        <f aca="false">IFERROR(IF(J$187*J$188*J185&gt;0,STDEV(J$187:J$188,J185)," ")/IF(J$187*J$188*J185&gt;0,SQRT(COUNT(J$187:J$188,J185))," "),"")</f>
        <v/>
      </c>
      <c r="AO247" s="270" t="str">
        <f aca="false">IFERROR(IF(K$187*K$188*K185&gt;0,STDEV(K$187:K$188,K185)," ")/IF(K$187*K$188*K185&gt;0,SQRT(COUNT(K$187:K$188,K185))," "),"")</f>
        <v/>
      </c>
      <c r="AP247" s="270" t="str">
        <f aca="false">IFERROR(IF(L$187*L$188*L185&gt;0,STDEV(L$187:L$188,L185)," ")/IF(L$187*L$188*L185&gt;0,SQRT(COUNT(L$187:L$188,L185))," "),"")</f>
        <v/>
      </c>
      <c r="AQ247" s="270" t="str">
        <f aca="false">IFERROR(IF(M$187*M$188*M185&gt;0,STDEV(M$187:M$188,M185)," ")/IF(M$187*M$188*M185&gt;0,SQRT(COUNT(M$187:M$188,M185))," "),"")</f>
        <v/>
      </c>
      <c r="AR247" s="270" t="str">
        <f aca="false">IFERROR(IF(N$187*N$188*N185&gt;0,STDEV(N$187:N$188,N185)," ")/IF(N$187*N$188*N185&gt;0,SQRT(COUNT(N$187:N$188,N185))," "),"")</f>
        <v/>
      </c>
    </row>
    <row r="248" customFormat="false" ht="15.75" hidden="false" customHeight="false" outlineLevel="0" collapsed="false">
      <c r="A248" s="220" t="s">
        <v>629</v>
      </c>
      <c r="B248" s="221"/>
      <c r="C248" s="261" t="str">
        <f aca="false">IFERROR(IF(C$187*C$188*C186&gt;0,AVERAGE(C$187:C$188,C186),""),"")</f>
        <v/>
      </c>
      <c r="D248" s="261" t="str">
        <f aca="false">IFERROR(IF(D$187*D$188*D186&gt;0,AVERAGE(D$187:D$188,D186),""),"")</f>
        <v/>
      </c>
      <c r="E248" s="261" t="str">
        <f aca="false">IFERROR(IF(E$187*E$188*E186&gt;0,AVERAGE(E$187:E$188,E186),""),"")</f>
        <v/>
      </c>
      <c r="F248" s="261" t="str">
        <f aca="false">IFERROR(IF(F$187*F$188*F186&gt;0,AVERAGE(F$187:F$188,F186),""),"")</f>
        <v/>
      </c>
      <c r="G248" s="261" t="str">
        <f aca="false">IFERROR(IF(G$187*G$188*G186&gt;0,AVERAGE(G$187:G$188,G186),""),"")</f>
        <v/>
      </c>
      <c r="H248" s="261" t="str">
        <f aca="false">IFERROR(IF(H$187*H$188*H186&gt;0,AVERAGE(H$187:H$188,H186),""),"")</f>
        <v/>
      </c>
      <c r="I248" s="261" t="str">
        <f aca="false">IFERROR(IF(I$187*I$188*I186&gt;0,AVERAGE(I$187:I$188,I186),""),"")</f>
        <v/>
      </c>
      <c r="J248" s="261" t="str">
        <f aca="false">IFERROR(IF(J$187*J$188*J186&gt;0,AVERAGE(J$187:J$188,J186),""),"")</f>
        <v/>
      </c>
      <c r="K248" s="261" t="str">
        <f aca="false">IFERROR(IF(K$187*K$188*K186&gt;0,AVERAGE(K$187:K$188,K186),""),"")</f>
        <v/>
      </c>
      <c r="L248" s="261" t="str">
        <f aca="false">IFERROR(IF(L$187*L$188*L186&gt;0,AVERAGE(L$187:L$188,L186),""),"")</f>
        <v/>
      </c>
      <c r="M248" s="261" t="str">
        <f aca="false">IFERROR(IF(M$187*M$188*M186&gt;0,AVERAGE(M$187:M$188,M186),""),"")</f>
        <v/>
      </c>
      <c r="N248" s="261" t="str">
        <f aca="false">IFERROR(IF(N$187*N$188*N186&gt;0,AVERAGE(N$187:N$188,N186),""),"")</f>
        <v/>
      </c>
      <c r="O248" s="253"/>
      <c r="P248" s="253"/>
      <c r="Q248" s="254"/>
      <c r="R248" s="226" t="s">
        <v>630</v>
      </c>
      <c r="S248" s="227" t="str">
        <f aca="false">IFERROR(IF(C$187*C$188*C186&gt;0,STDEV(C$187:C$188,C186),"")/IF(C$187*C$188*C186&gt;0,AVERAGE(C$187:C$188,C186),""),"")</f>
        <v/>
      </c>
      <c r="T248" s="227" t="str">
        <f aca="false">IFERROR(IF(D$187*D$188*D186&gt;0,STDEV(D$187:D$188,D186),"")/IF(D$187*D$188*D186&gt;0,AVERAGE(D$187:D$188,D186),""),"")</f>
        <v/>
      </c>
      <c r="U248" s="227" t="str">
        <f aca="false">IFERROR(IF(E$187*E$188*E186&gt;0,STDEV(E$187:E$188,E186),"")/IF(E$187*E$188*E186&gt;0,AVERAGE(E$187:E$188,E186),""),"")</f>
        <v/>
      </c>
      <c r="V248" s="227" t="str">
        <f aca="false">IFERROR(IF(F$187*F$188*F186&gt;0,STDEV(F$187:F$188,F186),"")/IF(F$187*F$188*F186&gt;0,AVERAGE(F$187:F$188,F186),""),"")</f>
        <v/>
      </c>
      <c r="W248" s="227" t="str">
        <f aca="false">IFERROR(IF(G$187*G$188*G186&gt;0,STDEV(G$187:G$188,G186),"")/IF(G$187*G$188*G186&gt;0,AVERAGE(G$187:G$188,G186),""),"")</f>
        <v/>
      </c>
      <c r="X248" s="227" t="str">
        <f aca="false">IFERROR(IF(H$187*H$188*H186&gt;0,STDEV(H$187:H$188,H186),"")/IF(H$187*H$188*H186&gt;0,AVERAGE(H$187:H$188,H186),""),"")</f>
        <v/>
      </c>
      <c r="Y248" s="227" t="str">
        <f aca="false">IFERROR(IF(I$187*I$188*I186&gt;0,STDEV(I$187:I$188,I186),"")/IF(I$187*I$188*I186&gt;0,AVERAGE(I$187:I$188,I186),""),"")</f>
        <v/>
      </c>
      <c r="Z248" s="227" t="str">
        <f aca="false">IFERROR(IF(J$187*J$188*J186&gt;0,STDEV(J$187:J$188,J186),"")/IF(J$187*J$188*J186&gt;0,AVERAGE(J$187:J$188,J186),""),"")</f>
        <v/>
      </c>
      <c r="AA248" s="227" t="str">
        <f aca="false">IFERROR(IF(K$187*K$188*K186&gt;0,STDEV(K$187:K$188,K186),"")/IF(K$187*K$188*K186&gt;0,AVERAGE(K$187:K$188,K186),""),"")</f>
        <v/>
      </c>
      <c r="AB248" s="227" t="str">
        <f aca="false">IFERROR(IF(L$187*L$188*L186&gt;0,STDEV(L$187:L$188,L186),"")/IF(L$187*L$188*L186&gt;0,AVERAGE(L$187:L$188,L186),""),"")</f>
        <v/>
      </c>
      <c r="AC248" s="227" t="str">
        <f aca="false">IFERROR(IF(M$187*M$188*M186&gt;0,STDEV(M$187:M$188,M186),"")/IF(M$187*M$188*M186&gt;0,AVERAGE(M$187:M$188,M186),""),"")</f>
        <v/>
      </c>
      <c r="AD248" s="227" t="str">
        <f aca="false">IFERROR(IF(N$187*N$188*N186&gt;0,STDEV(N$187:N$188,N186),"")/IF(N$187*N$188*N186&gt;0,AVERAGE(N$187:N$188,N186),""),"")</f>
        <v/>
      </c>
      <c r="AE248" s="233"/>
      <c r="AF248" s="229" t="s">
        <v>631</v>
      </c>
      <c r="AG248" s="270" t="str">
        <f aca="false">IFERROR(IF(C$187*C$188*C186&gt;0,STDEV(C$187:C$188,C186)," ")/IF(C$187*C$188*C186&gt;0,SQRT(COUNT(C$187:C$188,C186))," "),"")</f>
        <v/>
      </c>
      <c r="AH248" s="270" t="str">
        <f aca="false">IFERROR(IF(D$187*D$188*D186&gt;0,STDEV(D$187:D$188,D186)," ")/IF(D$187*D$188*D186&gt;0,SQRT(COUNT(D$187:D$188,D186))," "),"")</f>
        <v/>
      </c>
      <c r="AI248" s="270" t="str">
        <f aca="false">IFERROR(IF(E$187*E$188*E186&gt;0,STDEV(E$187:E$188,E186)," ")/IF(E$187*E$188*E186&gt;0,SQRT(COUNT(E$187:E$188,E186))," "),"")</f>
        <v/>
      </c>
      <c r="AJ248" s="270" t="str">
        <f aca="false">IFERROR(IF(F$187*F$188*F186&gt;0,STDEV(F$187:F$188,F186)," ")/IF(F$187*F$188*F186&gt;0,SQRT(COUNT(F$187:F$188,F186))," "),"")</f>
        <v/>
      </c>
      <c r="AK248" s="270" t="str">
        <f aca="false">IFERROR(IF(G$187*G$188*G186&gt;0,STDEV(G$187:G$188,G186)," ")/IF(G$187*G$188*G186&gt;0,SQRT(COUNT(G$187:G$188,G186))," "),"")</f>
        <v/>
      </c>
      <c r="AL248" s="270" t="str">
        <f aca="false">IFERROR(IF(H$187*H$188*H186&gt;0,STDEV(H$187:H$188,H186)," ")/IF(H$187*H$188*H186&gt;0,SQRT(COUNT(H$187:H$188,H186))," "),"")</f>
        <v/>
      </c>
      <c r="AM248" s="270" t="str">
        <f aca="false">IFERROR(IF(I$187*I$188*I186&gt;0,STDEV(I$187:I$188,I186)," ")/IF(I$187*I$188*I186&gt;0,SQRT(COUNT(I$187:I$188,I186))," "),"")</f>
        <v/>
      </c>
      <c r="AN248" s="270" t="str">
        <f aca="false">IFERROR(IF(J$187*J$188*J186&gt;0,STDEV(J$187:J$188,J186)," ")/IF(J$187*J$188*J186&gt;0,SQRT(COUNT(J$187:J$188,J186))," "),"")</f>
        <v/>
      </c>
      <c r="AO248" s="270" t="str">
        <f aca="false">IFERROR(IF(K$187*K$188*K186&gt;0,STDEV(K$187:K$188,K186)," ")/IF(K$187*K$188*K186&gt;0,SQRT(COUNT(K$187:K$188,K186))," "),"")</f>
        <v/>
      </c>
      <c r="AP248" s="270" t="str">
        <f aca="false">IFERROR(IF(L$187*L$188*L186&gt;0,STDEV(L$187:L$188,L186)," ")/IF(L$187*L$188*L186&gt;0,SQRT(COUNT(L$187:L$188,L186))," "),"")</f>
        <v/>
      </c>
      <c r="AQ248" s="270" t="str">
        <f aca="false">IFERROR(IF(M$187*M$188*M186&gt;0,STDEV(M$187:M$188,M186)," ")/IF(M$187*M$188*M186&gt;0,SQRT(COUNT(M$187:M$188,M186))," "),"")</f>
        <v/>
      </c>
      <c r="AR248" s="270" t="str">
        <f aca="false">IFERROR(IF(N$187*N$188*N186&gt;0,STDEV(N$187:N$188,N186)," ")/IF(N$187*N$188*N186&gt;0,SQRT(COUNT(N$187:N$188,N186))," "),"")</f>
        <v/>
      </c>
    </row>
    <row r="249" customFormat="false" ht="15.75" hidden="false" customHeight="false" outlineLevel="0" collapsed="false">
      <c r="A249" s="220" t="s">
        <v>416</v>
      </c>
      <c r="B249" s="221"/>
      <c r="C249" s="261" t="str">
        <f aca="false">IFERROR(IF(C$182*C$184*C$186&gt;0,AVERAGE(C$182,C$184,C$186),""),"")</f>
        <v/>
      </c>
      <c r="D249" s="261" t="str">
        <f aca="false">IFERROR(IF(D$182*D$184*D$186&gt;0,AVERAGE(D$182,D$184,D$186),""),"")</f>
        <v/>
      </c>
      <c r="E249" s="261" t="str">
        <f aca="false">IFERROR(IF(E$182*E$184*E$186&gt;0,AVERAGE(E$182,E$184,E$186),""),"")</f>
        <v/>
      </c>
      <c r="F249" s="261" t="str">
        <f aca="false">IFERROR(IF(F$182*F$184*F$186&gt;0,AVERAGE(F$182,F$184,F$186),""),"")</f>
        <v/>
      </c>
      <c r="G249" s="261" t="str">
        <f aca="false">IFERROR(IF(G$182*G$184*G$186&gt;0,AVERAGE(G$182,G$184,G$186),""),"")</f>
        <v/>
      </c>
      <c r="H249" s="261" t="str">
        <f aca="false">IFERROR(IF(H$182*H$184*H$186&gt;0,AVERAGE(H$182,H$184,H$186),""),"")</f>
        <v/>
      </c>
      <c r="I249" s="261" t="str">
        <f aca="false">IFERROR(IF(I$182*I$184*I$186&gt;0,AVERAGE(I$182,I$184,I$186),""),"")</f>
        <v/>
      </c>
      <c r="J249" s="261" t="str">
        <f aca="false">IFERROR(IF(J$182*J$184*J$186&gt;0,AVERAGE(J$182,J$184,J$186),""),"")</f>
        <v/>
      </c>
      <c r="K249" s="261" t="str">
        <f aca="false">IFERROR(IF(K$182*K$184*K$186&gt;0,AVERAGE(K$182,K$184,K$186),""),"")</f>
        <v/>
      </c>
      <c r="L249" s="261" t="str">
        <f aca="false">IFERROR(IF(L$182*L$184*L$186&gt;0,AVERAGE(L$182,L$184,L$186),""),"")</f>
        <v/>
      </c>
      <c r="M249" s="261" t="str">
        <f aca="false">IFERROR(IF(M$182*M$184*M$186&gt;0,AVERAGE(M$182,M$184,M$186),""),"")</f>
        <v/>
      </c>
      <c r="N249" s="261" t="str">
        <f aca="false">IFERROR(IF(N$182*N$184*N$186&gt;0,AVERAGE(N$182,N$184,N$186),""),"")</f>
        <v/>
      </c>
      <c r="O249" s="253"/>
      <c r="P249" s="253"/>
      <c r="Q249" s="254"/>
      <c r="R249" s="226" t="s">
        <v>417</v>
      </c>
      <c r="S249" s="227" t="str">
        <f aca="false">IFERROR(IF(C$182*C$184*C$186&gt;0,STDEV(C$182,C$184,C$186),"")/IF(C$182*C$184*C$186&gt;0,AVERAGE(C$182,C$184,C$186),""),"")</f>
        <v/>
      </c>
      <c r="T249" s="227" t="str">
        <f aca="false">IFERROR(IF(D$182*D$184*D$186&gt;0,STDEV(D$182,D$184,D$186),"")/IF(D$182*D$184*D$186&gt;0,AVERAGE(D$182,D$184,D$186),""),"")</f>
        <v/>
      </c>
      <c r="U249" s="227" t="str">
        <f aca="false">IFERROR(IF(E$182*E$184*E$186&gt;0,STDEV(E$182,E$184,E$186),"")/IF(E$182*E$184*E$186&gt;0,AVERAGE(E$182,E$184,E$186),""),"")</f>
        <v/>
      </c>
      <c r="V249" s="227" t="str">
        <f aca="false">IFERROR(IF(F$182*F$184*F$186&gt;0,STDEV(F$182,F$184,F$186),"")/IF(F$182*F$184*F$186&gt;0,AVERAGE(F$182,F$184,F$186),""),"")</f>
        <v/>
      </c>
      <c r="W249" s="227" t="str">
        <f aca="false">IFERROR(IF(G$182*G$184*G$186&gt;0,STDEV(G$182,G$184,G$186),"")/IF(G$182*G$184*G$186&gt;0,AVERAGE(G$182,G$184,G$186),""),"")</f>
        <v/>
      </c>
      <c r="X249" s="227" t="str">
        <f aca="false">IFERROR(IF(H$182*H$184*H$186&gt;0,STDEV(H$182,H$184,H$186),"")/IF(H$182*H$184*H$186&gt;0,AVERAGE(H$182,H$184,H$186),""),"")</f>
        <v/>
      </c>
      <c r="Y249" s="227" t="str">
        <f aca="false">IFERROR(IF(I$182*I$184*I$186&gt;0,STDEV(I$182,I$184,I$186),"")/IF(I$182*I$184*I$186&gt;0,AVERAGE(I$182,I$184,I$186),""),"")</f>
        <v/>
      </c>
      <c r="Z249" s="227" t="str">
        <f aca="false">IFERROR(IF(J$182*J$184*J$186&gt;0,STDEV(J$182,J$184,J$186),"")/IF(J$182*J$184*J$186&gt;0,AVERAGE(J$182,J$184,J$186),""),"")</f>
        <v/>
      </c>
      <c r="AA249" s="227" t="str">
        <f aca="false">IFERROR(IF(K$182*K$184*K$186&gt;0,STDEV(K$182,K$184,K$186),"")/IF(K$182*K$184*K$186&gt;0,AVERAGE(K$182,K$184,K$186),""),"")</f>
        <v/>
      </c>
      <c r="AB249" s="227" t="str">
        <f aca="false">IFERROR(IF(L$182*L$184*L$186&gt;0,STDEV(L$182,L$184,L$186),"")/IF(L$182*L$184*L$186&gt;0,AVERAGE(L$182,L$184,L$186),""),"")</f>
        <v/>
      </c>
      <c r="AC249" s="227" t="str">
        <f aca="false">IFERROR(IF(M$182*M$184*M$186&gt;0,STDEV(M$182,M$184,M$186),"")/IF(M$182*M$184*M$186&gt;0,AVERAGE(M$182,M$184,M$186),""),"")</f>
        <v/>
      </c>
      <c r="AD249" s="227" t="str">
        <f aca="false">IFERROR(IF(N$182*N$184*N$186&gt;0,STDEV(N$182,N$184,N$186),"")/IF(N$182*N$184*N$186&gt;0,AVERAGE(N$182,N$184,N$186),""),"")</f>
        <v/>
      </c>
      <c r="AE249" s="233"/>
      <c r="AF249" s="229" t="s">
        <v>418</v>
      </c>
      <c r="AG249" s="270" t="str">
        <f aca="false">IFERROR(IF(C$182*C$184*C$186&gt;0,STDEV(C$182,C$184,C$186)," ")/IF(C$182*C$184*C$186&gt;0,SQRT(COUNT(C$182,C$184,C$186))," "),"")</f>
        <v/>
      </c>
      <c r="AH249" s="270" t="str">
        <f aca="false">IFERROR(IF(D$182*D$184*D$186&gt;0,STDEV(D$182,D$184,D$186)," ")/IF(D$182*D$184*D$186&gt;0,SQRT(COUNT(D$182,D$184,D$186))," "),"")</f>
        <v/>
      </c>
      <c r="AI249" s="270" t="str">
        <f aca="false">IFERROR(IF(E$182*E$184*E$186&gt;0,STDEV(E$182,E$184,E$186)," ")/IF(E$182*E$184*E$186&gt;0,SQRT(COUNT(E$182,E$184,E$186))," "),"")</f>
        <v/>
      </c>
      <c r="AJ249" s="270" t="str">
        <f aca="false">IFERROR(IF(F$182*F$184*F$186&gt;0,STDEV(F$182,F$184,F$186)," ")/IF(F$182*F$184*F$186&gt;0,SQRT(COUNT(F$182,F$184,F$186))," "),"")</f>
        <v/>
      </c>
      <c r="AK249" s="270" t="str">
        <f aca="false">IFERROR(IF(G$182*G$184*G$186&gt;0,STDEV(G$182,G$184,G$186)," ")/IF(G$182*G$184*G$186&gt;0,SQRT(COUNT(G$182,G$184,G$186))," "),"")</f>
        <v/>
      </c>
      <c r="AL249" s="270" t="str">
        <f aca="false">IFERROR(IF(H$182*H$184*H$186&gt;0,STDEV(H$182,H$184,H$186)," ")/IF(H$182*H$184*H$186&gt;0,SQRT(COUNT(H$182,H$184,H$186))," "),"")</f>
        <v/>
      </c>
      <c r="AM249" s="270" t="str">
        <f aca="false">IFERROR(IF(I$182*I$184*I$186&gt;0,STDEV(I$182,I$184,I$186)," ")/IF(I$182*I$184*I$186&gt;0,SQRT(COUNT(I$182,I$184,I$186))," "),"")</f>
        <v/>
      </c>
      <c r="AN249" s="270" t="str">
        <f aca="false">IFERROR(IF(J$182*J$184*J$186&gt;0,STDEV(J$182,J$184,J$186)," ")/IF(J$182*J$184*J$186&gt;0,SQRT(COUNT(J$182,J$184,J$186))," "),"")</f>
        <v/>
      </c>
      <c r="AO249" s="270" t="str">
        <f aca="false">IFERROR(IF(K$182*K$184*K$186&gt;0,STDEV(K$182,K$184,K$186)," ")/IF(K$182*K$184*K$186&gt;0,SQRT(COUNT(K$182,K$184,K$186))," "),"")</f>
        <v/>
      </c>
      <c r="AP249" s="270" t="str">
        <f aca="false">IFERROR(IF(L$182*L$184*L$186&gt;0,STDEV(L$182,L$184,L$186)," ")/IF(L$182*L$184*L$186&gt;0,SQRT(COUNT(L$182,L$184,L$186))," "),"")</f>
        <v/>
      </c>
      <c r="AQ249" s="270" t="str">
        <f aca="false">IFERROR(IF(M$182*M$184*M$186&gt;0,STDEV(M$182,M$184,M$186)," ")/IF(M$182*M$184*M$186&gt;0,SQRT(COUNT(M$182,M$184,M$186))," "),"")</f>
        <v/>
      </c>
      <c r="AR249" s="270" t="str">
        <f aca="false">IFERROR(IF(N$182*N$184*N$186&gt;0,STDEV(N$182,N$184,N$186)," ")/IF(N$182*N$184*N$186&gt;0,SQRT(COUNT(N$182,N$184,N$186))," "),"")</f>
        <v/>
      </c>
    </row>
    <row r="250" customFormat="false" ht="15.75" hidden="false" customHeight="false" outlineLevel="0" collapsed="false">
      <c r="A250" s="220" t="s">
        <v>419</v>
      </c>
      <c r="B250" s="221"/>
      <c r="C250" s="261" t="str">
        <f aca="false">IFERROR(IF(C$182*C$185*C$187&gt;0,AVERAGE(C$182,C$185,C$187),""),"")</f>
        <v/>
      </c>
      <c r="D250" s="261" t="str">
        <f aca="false">IFERROR(IF(D$182*D$185*D$187&gt;0,AVERAGE(D$182,D$185,D$187),""),"")</f>
        <v/>
      </c>
      <c r="E250" s="261" t="str">
        <f aca="false">IFERROR(IF(E$182*E$185*E$187&gt;0,AVERAGE(E$182,E$185,E$187),""),"")</f>
        <v/>
      </c>
      <c r="F250" s="261" t="str">
        <f aca="false">IFERROR(IF(F$182*F$185*F$187&gt;0,AVERAGE(F$182,F$185,F$187),""),"")</f>
        <v/>
      </c>
      <c r="G250" s="261" t="str">
        <f aca="false">IFERROR(IF(G$182*G$185*G$187&gt;0,AVERAGE(G$182,G$185,G$187),""),"")</f>
        <v/>
      </c>
      <c r="H250" s="261" t="str">
        <f aca="false">IFERROR(IF(H$182*H$185*H$187&gt;0,AVERAGE(H$182,H$185,H$187),""),"")</f>
        <v/>
      </c>
      <c r="I250" s="261" t="str">
        <f aca="false">IFERROR(IF(I$182*I$185*I$187&gt;0,AVERAGE(I$182,I$185,I$187),""),"")</f>
        <v/>
      </c>
      <c r="J250" s="261" t="str">
        <f aca="false">IFERROR(IF(J$182*J$185*J$187&gt;0,AVERAGE(J$182,J$185,J$187),""),"")</f>
        <v/>
      </c>
      <c r="K250" s="261" t="str">
        <f aca="false">IFERROR(IF(K$182*K$185*K$187&gt;0,AVERAGE(K$182,K$185,K$187),""),"")</f>
        <v/>
      </c>
      <c r="L250" s="261" t="str">
        <f aca="false">IFERROR(IF(L$182*L$185*L$187&gt;0,AVERAGE(L$182,L$185,L$187),""),"")</f>
        <v/>
      </c>
      <c r="M250" s="261" t="str">
        <f aca="false">IFERROR(IF(M$182*M$185*M$187&gt;0,AVERAGE(M$182,M$185,M$187),""),"")</f>
        <v/>
      </c>
      <c r="N250" s="261" t="str">
        <f aca="false">IFERROR(IF(N$182*N$185*N$187&gt;0,AVERAGE(N$182,N$185,N$187),""),"")</f>
        <v/>
      </c>
      <c r="O250" s="253"/>
      <c r="P250" s="253"/>
      <c r="Q250" s="254"/>
      <c r="R250" s="226" t="s">
        <v>420</v>
      </c>
      <c r="S250" s="227" t="str">
        <f aca="false">IFERROR(IF(C$182*C$185*C$187&gt;0,STDEV(C$182,C$185,C$187),"")/IF(C$182*C$185*C$187&gt;0,AVERAGE(C$182,C$185,C$187),""),"")</f>
        <v/>
      </c>
      <c r="T250" s="227" t="str">
        <f aca="false">IFERROR(IF(D$182*D$185*D$187&gt;0,STDEV(D$182,D$185,D$187),"")/IF(D$182*D$185*D$187&gt;0,AVERAGE(D$182,D$185,D$187),""),"")</f>
        <v/>
      </c>
      <c r="U250" s="227" t="str">
        <f aca="false">IFERROR(IF(E$182*E$185*E$187&gt;0,STDEV(E$182,E$185,E$187),"")/IF(E$182*E$185*E$187&gt;0,AVERAGE(E$182,E$185,E$187),""),"")</f>
        <v/>
      </c>
      <c r="V250" s="227" t="str">
        <f aca="false">IFERROR(IF(F$182*F$185*F$187&gt;0,STDEV(F$182,F$185,F$187),"")/IF(F$182*F$185*F$187&gt;0,AVERAGE(F$182,F$185,F$187),""),"")</f>
        <v/>
      </c>
      <c r="W250" s="227" t="str">
        <f aca="false">IFERROR(IF(G$182*G$185*G$187&gt;0,STDEV(G$182,G$185,G$187),"")/IF(G$182*G$185*G$187&gt;0,AVERAGE(G$182,G$185,G$187),""),"")</f>
        <v/>
      </c>
      <c r="X250" s="227" t="str">
        <f aca="false">IFERROR(IF(H$182*H$185*H$187&gt;0,STDEV(H$182,H$185,H$187),"")/IF(H$182*H$185*H$187&gt;0,AVERAGE(H$182,H$185,H$187),""),"")</f>
        <v/>
      </c>
      <c r="Y250" s="227" t="str">
        <f aca="false">IFERROR(IF(I$182*I$185*I$187&gt;0,STDEV(I$182,I$185,I$187),"")/IF(I$182*I$185*I$187&gt;0,AVERAGE(I$182,I$185,I$187),""),"")</f>
        <v/>
      </c>
      <c r="Z250" s="227" t="str">
        <f aca="false">IFERROR(IF(J$182*J$185*J$187&gt;0,STDEV(J$182,J$185,J$187),"")/IF(J$182*J$185*J$187&gt;0,AVERAGE(J$182,J$185,J$187),""),"")</f>
        <v/>
      </c>
      <c r="AA250" s="227" t="str">
        <f aca="false">IFERROR(IF(K$182*K$185*K$187&gt;0,STDEV(K$182,K$185,K$187),"")/IF(K$182*K$185*K$187&gt;0,AVERAGE(K$182,K$185,K$187),""),"")</f>
        <v/>
      </c>
      <c r="AB250" s="227" t="str">
        <f aca="false">IFERROR(IF(L$182*L$185*L$187&gt;0,STDEV(L$182,L$185,L$187),"")/IF(L$182*L$185*L$187&gt;0,AVERAGE(L$182,L$185,L$187),""),"")</f>
        <v/>
      </c>
      <c r="AC250" s="227" t="str">
        <f aca="false">IFERROR(IF(M$182*M$185*M$187&gt;0,STDEV(M$182,M$185,M$187),"")/IF(M$182*M$185*M$187&gt;0,AVERAGE(M$182,M$185,M$187),""),"")</f>
        <v/>
      </c>
      <c r="AD250" s="227" t="str">
        <f aca="false">IFERROR(IF(N$182*N$185*N$187&gt;0,STDEV(N$182,N$185,N$187),"")/IF(N$182*N$185*N$187&gt;0,AVERAGE(N$182,N$185,N$187),""),"")</f>
        <v/>
      </c>
      <c r="AE250" s="233"/>
      <c r="AF250" s="229" t="s">
        <v>421</v>
      </c>
      <c r="AG250" s="270" t="str">
        <f aca="false">IFERROR(IF(C$182*C$185*C$187&gt;0,STDEV(C$182,C$185,C$187)," ")/IF(C$182*C$185*C$187&gt;0,SQRT(COUNT(C$182,C$185,C$187))," "),"")</f>
        <v/>
      </c>
      <c r="AH250" s="270" t="str">
        <f aca="false">IFERROR(IF(D$182*D$185*D$187&gt;0,STDEV(D$182,D$185,D$187)," ")/IF(D$182*D$185*D$187&gt;0,SQRT(COUNT(D$182,D$185,D$187))," "),"")</f>
        <v/>
      </c>
      <c r="AI250" s="270" t="str">
        <f aca="false">IFERROR(IF(E$182*E$185*E$187&gt;0,STDEV(E$182,E$185,E$187)," ")/IF(E$182*E$185*E$187&gt;0,SQRT(COUNT(E$182,E$185,E$187))," "),"")</f>
        <v/>
      </c>
      <c r="AJ250" s="270" t="str">
        <f aca="false">IFERROR(IF(F$182*F$185*F$187&gt;0,STDEV(F$182,F$185,F$187)," ")/IF(F$182*F$185*F$187&gt;0,SQRT(COUNT(F$182,F$185,F$187))," "),"")</f>
        <v/>
      </c>
      <c r="AK250" s="270" t="str">
        <f aca="false">IFERROR(IF(G$182*G$185*G$187&gt;0,STDEV(G$182,G$185,G$187)," ")/IF(G$182*G$185*G$187&gt;0,SQRT(COUNT(G$182,G$185,G$187))," "),"")</f>
        <v/>
      </c>
      <c r="AL250" s="270" t="str">
        <f aca="false">IFERROR(IF(H$182*H$185*H$187&gt;0,STDEV(H$182,H$185,H$187)," ")/IF(H$182*H$185*H$187&gt;0,SQRT(COUNT(H$182,H$185,H$187))," "),"")</f>
        <v/>
      </c>
      <c r="AM250" s="270" t="str">
        <f aca="false">IFERROR(IF(I$182*I$185*I$187&gt;0,STDEV(I$182,I$185,I$187)," ")/IF(I$182*I$185*I$187&gt;0,SQRT(COUNT(I$182,I$185,I$187))," "),"")</f>
        <v/>
      </c>
      <c r="AN250" s="270" t="str">
        <f aca="false">IFERROR(IF(J$182*J$185*J$187&gt;0,STDEV(J$182,J$185,J$187)," ")/IF(J$182*J$185*J$187&gt;0,SQRT(COUNT(J$182,J$185,J$187))," "),"")</f>
        <v/>
      </c>
      <c r="AO250" s="270" t="str">
        <f aca="false">IFERROR(IF(K$182*K$185*K$187&gt;0,STDEV(K$182,K$185,K$187)," ")/IF(K$182*K$185*K$187&gt;0,SQRT(COUNT(K$182,K$185,K$187))," "),"")</f>
        <v/>
      </c>
      <c r="AP250" s="270" t="str">
        <f aca="false">IFERROR(IF(L$182*L$185*L$187&gt;0,STDEV(L$182,L$185,L$187)," ")/IF(L$182*L$185*L$187&gt;0,SQRT(COUNT(L$182,L$185,L$187))," "),"")</f>
        <v/>
      </c>
      <c r="AQ250" s="270" t="str">
        <f aca="false">IFERROR(IF(M$182*M$185*M$187&gt;0,STDEV(M$182,M$185,M$187)," ")/IF(M$182*M$185*M$187&gt;0,SQRT(COUNT(M$182,M$185,M$187))," "),"")</f>
        <v/>
      </c>
      <c r="AR250" s="270" t="str">
        <f aca="false">IFERROR(IF(N$182*N$185*N$187&gt;0,STDEV(N$182,N$185,N$187)," ")/IF(N$182*N$185*N$187&gt;0,SQRT(COUNT(N$182,N$185,N$187))," "),"")</f>
        <v/>
      </c>
    </row>
    <row r="251" customFormat="false" ht="15.75" hidden="false" customHeight="false" outlineLevel="0" collapsed="false">
      <c r="A251" s="220" t="s">
        <v>422</v>
      </c>
      <c r="B251" s="221"/>
      <c r="C251" s="261" t="str">
        <f aca="false">IFERROR(IF(C$182*C$185*C$188&gt;0,AVERAGE(C$182,C$185,C$188),""),"")</f>
        <v/>
      </c>
      <c r="D251" s="261" t="str">
        <f aca="false">IFERROR(IF(D$182*D$185*D$188&gt;0,AVERAGE(D$182,D$185,D$188),""),"")</f>
        <v/>
      </c>
      <c r="E251" s="261" t="str">
        <f aca="false">IFERROR(IF(E$182*E$185*E$188&gt;0,AVERAGE(E$182,E$185,E$188),""),"")</f>
        <v/>
      </c>
      <c r="F251" s="261" t="str">
        <f aca="false">IFERROR(IF(F$182*F$185*F$188&gt;0,AVERAGE(F$182,F$185,F$188),""),"")</f>
        <v/>
      </c>
      <c r="G251" s="261" t="str">
        <f aca="false">IFERROR(IF(G$182*G$185*G$188&gt;0,AVERAGE(G$182,G$185,G$188),""),"")</f>
        <v/>
      </c>
      <c r="H251" s="261" t="str">
        <f aca="false">IFERROR(IF(H$182*H$185*H$188&gt;0,AVERAGE(H$182,H$185,H$188),""),"")</f>
        <v/>
      </c>
      <c r="I251" s="261" t="str">
        <f aca="false">IFERROR(IF(I$182*I$185*I$188&gt;0,AVERAGE(I$182,I$185,I$188),""),"")</f>
        <v/>
      </c>
      <c r="J251" s="261" t="str">
        <f aca="false">IFERROR(IF(J$182*J$185*J$188&gt;0,AVERAGE(J$182,J$185,J$188),""),"")</f>
        <v/>
      </c>
      <c r="K251" s="261" t="str">
        <f aca="false">IFERROR(IF(K$182*K$185*K$188&gt;0,AVERAGE(K$182,K$185,K$188),""),"")</f>
        <v/>
      </c>
      <c r="L251" s="261" t="str">
        <f aca="false">IFERROR(IF(L$182*L$185*L$188&gt;0,AVERAGE(L$182,L$185,L$188),""),"")</f>
        <v/>
      </c>
      <c r="M251" s="261" t="str">
        <f aca="false">IFERROR(IF(M$182*M$185*M$188&gt;0,AVERAGE(M$182,M$185,M$188),""),"")</f>
        <v/>
      </c>
      <c r="N251" s="261" t="str">
        <f aca="false">IFERROR(IF(N$182*N$185*N$188&gt;0,AVERAGE(N$182,N$185,N$188),""),"")</f>
        <v/>
      </c>
      <c r="O251" s="253"/>
      <c r="P251" s="253"/>
      <c r="Q251" s="254"/>
      <c r="R251" s="226" t="s">
        <v>423</v>
      </c>
      <c r="S251" s="227" t="str">
        <f aca="false">IFERROR(IF(C$182*C$185*C$188&gt;0,STDEV(C$182,C$185,C$188),"")/IF(C$182*C$185*C$188&gt;0,AVERAGE(C$182,C$185,C$188),""),"")</f>
        <v/>
      </c>
      <c r="T251" s="227" t="str">
        <f aca="false">IFERROR(IF(D$182*D$185*D$188&gt;0,STDEV(D$182,D$185,D$188),"")/IF(D$182*D$185*D$188&gt;0,AVERAGE(D$182,D$185,D$188),""),"")</f>
        <v/>
      </c>
      <c r="U251" s="227" t="str">
        <f aca="false">IFERROR(IF(E$182*E$185*E$188&gt;0,STDEV(E$182,E$185,E$188),"")/IF(E$182*E$185*E$188&gt;0,AVERAGE(E$182,E$185,E$188),""),"")</f>
        <v/>
      </c>
      <c r="V251" s="227" t="str">
        <f aca="false">IFERROR(IF(F$182*F$185*F$188&gt;0,STDEV(F$182,F$185,F$188),"")/IF(F$182*F$185*F$188&gt;0,AVERAGE(F$182,F$185,F$188),""),"")</f>
        <v/>
      </c>
      <c r="W251" s="227" t="str">
        <f aca="false">IFERROR(IF(G$182*G$185*G$188&gt;0,STDEV(G$182,G$185,G$188),"")/IF(G$182*G$185*G$188&gt;0,AVERAGE(G$182,G$185,G$188),""),"")</f>
        <v/>
      </c>
      <c r="X251" s="227" t="str">
        <f aca="false">IFERROR(IF(H$182*H$185*H$188&gt;0,STDEV(H$182,H$185,H$188),"")/IF(H$182*H$185*H$188&gt;0,AVERAGE(H$182,H$185,H$188),""),"")</f>
        <v/>
      </c>
      <c r="Y251" s="227" t="str">
        <f aca="false">IFERROR(IF(I$182*I$185*I$188&gt;0,STDEV(I$182,I$185,I$188),"")/IF(I$182*I$185*I$188&gt;0,AVERAGE(I$182,I$185,I$188),""),"")</f>
        <v/>
      </c>
      <c r="Z251" s="227" t="str">
        <f aca="false">IFERROR(IF(J$182*J$185*J$188&gt;0,STDEV(J$182,J$185,J$188),"")/IF(J$182*J$185*J$188&gt;0,AVERAGE(J$182,J$185,J$188),""),"")</f>
        <v/>
      </c>
      <c r="AA251" s="227" t="str">
        <f aca="false">IFERROR(IF(K$182*K$185*K$188&gt;0,STDEV(K$182,K$185,K$188),"")/IF(K$182*K$185*K$188&gt;0,AVERAGE(K$182,K$185,K$188),""),"")</f>
        <v/>
      </c>
      <c r="AB251" s="227" t="str">
        <f aca="false">IFERROR(IF(L$182*L$185*L$188&gt;0,STDEV(L$182,L$185,L$188),"")/IF(L$182*L$185*L$188&gt;0,AVERAGE(L$182,L$185,L$188),""),"")</f>
        <v/>
      </c>
      <c r="AC251" s="227" t="str">
        <f aca="false">IFERROR(IF(M$182*M$185*M$188&gt;0,STDEV(M$182,M$185,M$188),"")/IF(M$182*M$185*M$188&gt;0,AVERAGE(M$182,M$185,M$188),""),"")</f>
        <v/>
      </c>
      <c r="AD251" s="227" t="str">
        <f aca="false">IFERROR(IF(N$182*N$185*N$188&gt;0,STDEV(N$182,N$185,N$188),"")/IF(N$182*N$185*N$188&gt;0,AVERAGE(N$182,N$185,N$188),""),"")</f>
        <v/>
      </c>
      <c r="AE251" s="233"/>
      <c r="AF251" s="229" t="s">
        <v>424</v>
      </c>
      <c r="AG251" s="270" t="str">
        <f aca="false">IFERROR(IF(C$182*C$185*C$188&gt;0,STDEV(C$182,C$185,C$188)," ")/IF(C$182*C$185*C$188&gt;0,SQRT(COUNT(C$182,C$185,C$188))," "),"")</f>
        <v/>
      </c>
      <c r="AH251" s="270" t="str">
        <f aca="false">IFERROR(IF(D$182*D$185*D$188&gt;0,STDEV(D$182,D$185,D$188)," ")/IF(D$182*D$185*D$188&gt;0,SQRT(COUNT(D$182,D$185,D$188))," "),"")</f>
        <v/>
      </c>
      <c r="AI251" s="270" t="str">
        <f aca="false">IFERROR(IF(E$182*E$185*E$188&gt;0,STDEV(E$182,E$185,E$188)," ")/IF(E$182*E$185*E$188&gt;0,SQRT(COUNT(E$182,E$185,E$188))," "),"")</f>
        <v/>
      </c>
      <c r="AJ251" s="270" t="str">
        <f aca="false">IFERROR(IF(F$182*F$185*F$188&gt;0,STDEV(F$182,F$185,F$188)," ")/IF(F$182*F$185*F$188&gt;0,SQRT(COUNT(F$182,F$185,F$188))," "),"")</f>
        <v/>
      </c>
      <c r="AK251" s="270" t="str">
        <f aca="false">IFERROR(IF(G$182*G$185*G$188&gt;0,STDEV(G$182,G$185,G$188)," ")/IF(G$182*G$185*G$188&gt;0,SQRT(COUNT(G$182,G$185,G$188))," "),"")</f>
        <v/>
      </c>
      <c r="AL251" s="270" t="str">
        <f aca="false">IFERROR(IF(H$182*H$185*H$188&gt;0,STDEV(H$182,H$185,H$188)," ")/IF(H$182*H$185*H$188&gt;0,SQRT(COUNT(H$182,H$185,H$188))," "),"")</f>
        <v/>
      </c>
      <c r="AM251" s="270" t="str">
        <f aca="false">IFERROR(IF(I$182*I$185*I$188&gt;0,STDEV(I$182,I$185,I$188)," ")/IF(I$182*I$185*I$188&gt;0,SQRT(COUNT(I$182,I$185,I$188))," "),"")</f>
        <v/>
      </c>
      <c r="AN251" s="270" t="str">
        <f aca="false">IFERROR(IF(J$182*J$185*J$188&gt;0,STDEV(J$182,J$185,J$188)," ")/IF(J$182*J$185*J$188&gt;0,SQRT(COUNT(J$182,J$185,J$188))," "),"")</f>
        <v/>
      </c>
      <c r="AO251" s="270" t="str">
        <f aca="false">IFERROR(IF(K$182*K$185*K$188&gt;0,STDEV(K$182,K$185,K$188)," ")/IF(K$182*K$185*K$188&gt;0,SQRT(COUNT(K$182,K$185,K$188))," "),"")</f>
        <v/>
      </c>
      <c r="AP251" s="270" t="str">
        <f aca="false">IFERROR(IF(L$182*L$185*L$188&gt;0,STDEV(L$182,L$185,L$188)," ")/IF(L$182*L$185*L$188&gt;0,SQRT(COUNT(L$182,L$185,L$188))," "),"")</f>
        <v/>
      </c>
      <c r="AQ251" s="270" t="str">
        <f aca="false">IFERROR(IF(M$182*M$185*M$188&gt;0,STDEV(M$182,M$185,M$188)," ")/IF(M$182*M$185*M$188&gt;0,SQRT(COUNT(M$182,M$185,M$188))," "),"")</f>
        <v/>
      </c>
      <c r="AR251" s="270" t="str">
        <f aca="false">IFERROR(IF(N$182*N$185*N$188&gt;0,STDEV(N$182,N$185,N$188)," ")/IF(N$182*N$185*N$188&gt;0,SQRT(COUNT(N$182,N$185,N$188))," "),"")</f>
        <v/>
      </c>
    </row>
    <row r="252" customFormat="false" ht="15.75" hidden="false" customHeight="false" outlineLevel="0" collapsed="false">
      <c r="A252" s="220" t="s">
        <v>425</v>
      </c>
      <c r="B252" s="221"/>
      <c r="C252" s="261" t="str">
        <f aca="false">IFERROR(IF(C$182*C$186*C$188&gt;0,AVERAGE(C$182,C$186,C$188),""),"")</f>
        <v/>
      </c>
      <c r="D252" s="261" t="str">
        <f aca="false">IFERROR(IF(D$182*D$186*D$188&gt;0,AVERAGE(D$182,D$186,D$188),""),"")</f>
        <v/>
      </c>
      <c r="E252" s="261" t="str">
        <f aca="false">IFERROR(IF(E$182*E$186*E$188&gt;0,AVERAGE(E$182,E$186,E$188),""),"")</f>
        <v/>
      </c>
      <c r="F252" s="261" t="str">
        <f aca="false">IFERROR(IF(F$182*F$186*F$188&gt;0,AVERAGE(F$182,F$186,F$188),""),"")</f>
        <v/>
      </c>
      <c r="G252" s="261" t="str">
        <f aca="false">IFERROR(IF(G$182*G$186*G$188&gt;0,AVERAGE(G$182,G$186,G$188),""),"")</f>
        <v/>
      </c>
      <c r="H252" s="261" t="str">
        <f aca="false">IFERROR(IF(H$182*H$186*H$188&gt;0,AVERAGE(H$182,H$186,H$188),""),"")</f>
        <v/>
      </c>
      <c r="I252" s="261" t="str">
        <f aca="false">IFERROR(IF(I$182*I$186*I$188&gt;0,AVERAGE(I$182,I$186,I$188),""),"")</f>
        <v/>
      </c>
      <c r="J252" s="261" t="str">
        <f aca="false">IFERROR(IF(J$182*J$186*J$188&gt;0,AVERAGE(J$182,J$186,J$188),""),"")</f>
        <v/>
      </c>
      <c r="K252" s="261" t="str">
        <f aca="false">IFERROR(IF(K$182*K$186*K$188&gt;0,AVERAGE(K$182,K$186,K$188),""),"")</f>
        <v/>
      </c>
      <c r="L252" s="261" t="str">
        <f aca="false">IFERROR(IF(L$182*L$186*L$188&gt;0,AVERAGE(L$182,L$186,L$188),""),"")</f>
        <v/>
      </c>
      <c r="M252" s="261" t="str">
        <f aca="false">IFERROR(IF(M$182*M$186*M$188&gt;0,AVERAGE(M$182,M$186,M$188),""),"")</f>
        <v/>
      </c>
      <c r="N252" s="261" t="str">
        <f aca="false">IFERROR(IF(N$182*N$186*N$188&gt;0,AVERAGE(N$182,N$186,N$188),""),"")</f>
        <v/>
      </c>
      <c r="O252" s="253"/>
      <c r="P252" s="253"/>
      <c r="Q252" s="254"/>
      <c r="R252" s="226" t="s">
        <v>426</v>
      </c>
      <c r="S252" s="227" t="str">
        <f aca="false">IFERROR(IF(C$182*C$186*C$188&gt;0,STDEV(C$182,C$186,C$188),"")/IF(C$182*C$186*C$188&gt;0,AVERAGE(C$182,C$186,C$188),""),"")</f>
        <v/>
      </c>
      <c r="T252" s="227" t="str">
        <f aca="false">IFERROR(IF(D$182*D$186*D$188&gt;0,STDEV(D$182,D$186,D$188),"")/IF(D$182*D$186*D$188&gt;0,AVERAGE(D$182,D$186,D$188),""),"")</f>
        <v/>
      </c>
      <c r="U252" s="227" t="str">
        <f aca="false">IFERROR(IF(E$182*E$186*E$188&gt;0,STDEV(E$182,E$186,E$188),"")/IF(E$182*E$186*E$188&gt;0,AVERAGE(E$182,E$186,E$188),""),"")</f>
        <v/>
      </c>
      <c r="V252" s="227" t="str">
        <f aca="false">IFERROR(IF(F$182*F$186*F$188&gt;0,STDEV(F$182,F$186,F$188),"")/IF(F$182*F$186*F$188&gt;0,AVERAGE(F$182,F$186,F$188),""),"")</f>
        <v/>
      </c>
      <c r="W252" s="227" t="str">
        <f aca="false">IFERROR(IF(G$182*G$186*G$188&gt;0,STDEV(G$182,G$186,G$188),"")/IF(G$182*G$186*G$188&gt;0,AVERAGE(G$182,G$186,G$188),""),"")</f>
        <v/>
      </c>
      <c r="X252" s="227" t="str">
        <f aca="false">IFERROR(IF(H$182*H$186*H$188&gt;0,STDEV(H$182,H$186,H$188),"")/IF(H$182*H$186*H$188&gt;0,AVERAGE(H$182,H$186,H$188),""),"")</f>
        <v/>
      </c>
      <c r="Y252" s="227" t="str">
        <f aca="false">IFERROR(IF(I$182*I$186*I$188&gt;0,STDEV(I$182,I$186,I$188),"")/IF(I$182*I$186*I$188&gt;0,AVERAGE(I$182,I$186,I$188),""),"")</f>
        <v/>
      </c>
      <c r="Z252" s="227" t="str">
        <f aca="false">IFERROR(IF(J$182*J$186*J$188&gt;0,STDEV(J$182,J$186,J$188),"")/IF(J$182*J$186*J$188&gt;0,AVERAGE(J$182,J$186,J$188),""),"")</f>
        <v/>
      </c>
      <c r="AA252" s="227" t="str">
        <f aca="false">IFERROR(IF(K$182*K$186*K$188&gt;0,STDEV(K$182,K$186,K$188),"")/IF(K$182*K$186*K$188&gt;0,AVERAGE(K$182,K$186,K$188),""),"")</f>
        <v/>
      </c>
      <c r="AB252" s="227" t="str">
        <f aca="false">IFERROR(IF(L$182*L$186*L$188&gt;0,STDEV(L$182,L$186,L$188),"")/IF(L$182*L$186*L$188&gt;0,AVERAGE(L$182,L$186,L$188),""),"")</f>
        <v/>
      </c>
      <c r="AC252" s="227" t="str">
        <f aca="false">IFERROR(IF(M$182*M$186*M$188&gt;0,STDEV(M$182,M$186,M$188),"")/IF(M$182*M$186*M$188&gt;0,AVERAGE(M$182,M$186,M$188),""),"")</f>
        <v/>
      </c>
      <c r="AD252" s="227" t="str">
        <f aca="false">IFERROR(IF(N$182*N$186*N$188&gt;0,STDEV(N$182,N$186,N$188),"")/IF(N$182*N$186*N$188&gt;0,AVERAGE(N$182,N$186,N$188),""),"")</f>
        <v/>
      </c>
      <c r="AE252" s="233"/>
      <c r="AF252" s="229" t="s">
        <v>427</v>
      </c>
      <c r="AG252" s="270" t="str">
        <f aca="false">IFERROR(IF(C$182*C$186*C$188&gt;0,STDEV(C$182,C$186,C$188)," ")/IF(C$182*C$186*C$188&gt;0,SQRT(COUNT(C$182,C$186,C$188))," "),"")</f>
        <v/>
      </c>
      <c r="AH252" s="270" t="str">
        <f aca="false">IFERROR(IF(D$182*D$186*D$188&gt;0,STDEV(D$182,D$186,D$188)," ")/IF(D$182*D$186*D$188&gt;0,SQRT(COUNT(D$182,D$186,D$188))," "),"")</f>
        <v/>
      </c>
      <c r="AI252" s="270" t="str">
        <f aca="false">IFERROR(IF(E$182*E$186*E$188&gt;0,STDEV(E$182,E$186,E$188)," ")/IF(E$182*E$186*E$188&gt;0,SQRT(COUNT(E$182,E$186,E$188))," "),"")</f>
        <v/>
      </c>
      <c r="AJ252" s="270" t="str">
        <f aca="false">IFERROR(IF(F$182*F$186*F$188&gt;0,STDEV(F$182,F$186,F$188)," ")/IF(F$182*F$186*F$188&gt;0,SQRT(COUNT(F$182,F$186,F$188))," "),"")</f>
        <v/>
      </c>
      <c r="AK252" s="270" t="str">
        <f aca="false">IFERROR(IF(G$182*G$186*G$188&gt;0,STDEV(G$182,G$186,G$188)," ")/IF(G$182*G$186*G$188&gt;0,SQRT(COUNT(G$182,G$186,G$188))," "),"")</f>
        <v/>
      </c>
      <c r="AL252" s="270" t="str">
        <f aca="false">IFERROR(IF(H$182*H$186*H$188&gt;0,STDEV(H$182,H$186,H$188)," ")/IF(H$182*H$186*H$188&gt;0,SQRT(COUNT(H$182,H$186,H$188))," "),"")</f>
        <v/>
      </c>
      <c r="AM252" s="270" t="str">
        <f aca="false">IFERROR(IF(I$182*I$186*I$188&gt;0,STDEV(I$182,I$186,I$188)," ")/IF(I$182*I$186*I$188&gt;0,SQRT(COUNT(I$182,I$186,I$188))," "),"")</f>
        <v/>
      </c>
      <c r="AN252" s="270" t="str">
        <f aca="false">IFERROR(IF(J$182*J$186*J$188&gt;0,STDEV(J$182,J$186,J$188)," ")/IF(J$182*J$186*J$188&gt;0,SQRT(COUNT(J$182,J$186,J$188))," "),"")</f>
        <v/>
      </c>
      <c r="AO252" s="270" t="str">
        <f aca="false">IFERROR(IF(K$182*K$186*K$188&gt;0,STDEV(K$182,K$186,K$188)," ")/IF(K$182*K$186*K$188&gt;0,SQRT(COUNT(K$182,K$186,K$188))," "),"")</f>
        <v/>
      </c>
      <c r="AP252" s="270" t="str">
        <f aca="false">IFERROR(IF(L$182*L$186*L$188&gt;0,STDEV(L$182,L$186,L$188)," ")/IF(L$182*L$186*L$188&gt;0,SQRT(COUNT(L$182,L$186,L$188))," "),"")</f>
        <v/>
      </c>
      <c r="AQ252" s="270" t="str">
        <f aca="false">IFERROR(IF(M$182*M$186*M$188&gt;0,STDEV(M$182,M$186,M$188)," ")/IF(M$182*M$186*M$188&gt;0,SQRT(COUNT(M$182,M$186,M$188))," "),"")</f>
        <v/>
      </c>
      <c r="AR252" s="270" t="str">
        <f aca="false">IFERROR(IF(N$182*N$186*N$188&gt;0,STDEV(N$182,N$186,N$188)," ")/IF(N$182*N$186*N$188&gt;0,SQRT(COUNT(N$182,N$186,N$188))," "),"")</f>
        <v/>
      </c>
    </row>
    <row r="253" customFormat="false" ht="15.75" hidden="false" customHeight="false" outlineLevel="0" collapsed="false">
      <c r="A253" s="220" t="s">
        <v>428</v>
      </c>
      <c r="B253" s="221"/>
      <c r="C253" s="261" t="str">
        <f aca="false">IFERROR(IF(C$183*C$185*C$186&gt;0,AVERAGE(C$183,C$185,C$186),""),"")</f>
        <v/>
      </c>
      <c r="D253" s="261" t="str">
        <f aca="false">IFERROR(IF(D$183*D$185*D$186&gt;0,AVERAGE(D$183,D$185,D$186),""),"")</f>
        <v/>
      </c>
      <c r="E253" s="261" t="str">
        <f aca="false">IFERROR(IF(E$183*E$185*E$186&gt;0,AVERAGE(E$183,E$185,E$186),""),"")</f>
        <v/>
      </c>
      <c r="F253" s="261" t="str">
        <f aca="false">IFERROR(IF(F$183*F$185*F$186&gt;0,AVERAGE(F$183,F$185,F$186),""),"")</f>
        <v/>
      </c>
      <c r="G253" s="261" t="str">
        <f aca="false">IFERROR(IF(G$183*G$185*G$186&gt;0,AVERAGE(G$183,G$185,G$186),""),"")</f>
        <v/>
      </c>
      <c r="H253" s="261" t="str">
        <f aca="false">IFERROR(IF(H$183*H$185*H$186&gt;0,AVERAGE(H$183,H$185,H$186),""),"")</f>
        <v/>
      </c>
      <c r="I253" s="261" t="str">
        <f aca="false">IFERROR(IF(I$183*I$185*I$186&gt;0,AVERAGE(I$183,I$185,I$186),""),"")</f>
        <v/>
      </c>
      <c r="J253" s="261" t="str">
        <f aca="false">IFERROR(IF(J$183*J$185*J$186&gt;0,AVERAGE(J$183,J$185,J$186),""),"")</f>
        <v/>
      </c>
      <c r="K253" s="261" t="str">
        <f aca="false">IFERROR(IF(K$183*K$185*K$186&gt;0,AVERAGE(K$183,K$185,K$186),""),"")</f>
        <v/>
      </c>
      <c r="L253" s="261" t="str">
        <f aca="false">IFERROR(IF(L$183*L$185*L$186&gt;0,AVERAGE(L$183,L$185,L$186),""),"")</f>
        <v/>
      </c>
      <c r="M253" s="261" t="str">
        <f aca="false">IFERROR(IF(M$183*M$185*M$186&gt;0,AVERAGE(M$183,M$185,M$186),""),"")</f>
        <v/>
      </c>
      <c r="N253" s="261" t="str">
        <f aca="false">IFERROR(IF(N$183*N$185*N$186&gt;0,AVERAGE(N$183,N$185,N$186),""),"")</f>
        <v/>
      </c>
      <c r="O253" s="253"/>
      <c r="P253" s="253"/>
      <c r="Q253" s="254"/>
      <c r="R253" s="226" t="s">
        <v>429</v>
      </c>
      <c r="S253" s="227" t="str">
        <f aca="false">IFERROR(IF(C$183*C$185*C$186&gt;0,STDEV(C$183,C$185,C$186),"")/IF(C$183*C$185*C$186&gt;0,AVERAGE(C$183,C$185,C$186),""),"")</f>
        <v/>
      </c>
      <c r="T253" s="227" t="str">
        <f aca="false">IFERROR(IF(D$183*D$185*D$186&gt;0,STDEV(D$183,D$185,D$186),"")/IF(D$183*D$185*D$186&gt;0,AVERAGE(D$183,D$185,D$186),""),"")</f>
        <v/>
      </c>
      <c r="U253" s="227" t="str">
        <f aca="false">IFERROR(IF(E$183*E$185*E$186&gt;0,STDEV(E$183,E$185,E$186),"")/IF(E$183*E$185*E$186&gt;0,AVERAGE(E$183,E$185,E$186),""),"")</f>
        <v/>
      </c>
      <c r="V253" s="227" t="str">
        <f aca="false">IFERROR(IF(F$183*F$185*F$186&gt;0,STDEV(F$183,F$185,F$186),"")/IF(F$183*F$185*F$186&gt;0,AVERAGE(F$183,F$185,F$186),""),"")</f>
        <v/>
      </c>
      <c r="W253" s="227" t="str">
        <f aca="false">IFERROR(IF(G$183*G$185*G$186&gt;0,STDEV(G$183,G$185,G$186),"")/IF(G$183*G$185*G$186&gt;0,AVERAGE(G$183,G$185,G$186),""),"")</f>
        <v/>
      </c>
      <c r="X253" s="227" t="str">
        <f aca="false">IFERROR(IF(H$183*H$185*H$186&gt;0,STDEV(H$183,H$185,H$186),"")/IF(H$183*H$185*H$186&gt;0,AVERAGE(H$183,H$185,H$186),""),"")</f>
        <v/>
      </c>
      <c r="Y253" s="227" t="str">
        <f aca="false">IFERROR(IF(I$183*I$185*I$186&gt;0,STDEV(I$183,I$185,I$186),"")/IF(I$183*I$185*I$186&gt;0,AVERAGE(I$183,I$185,I$186),""),"")</f>
        <v/>
      </c>
      <c r="Z253" s="227" t="str">
        <f aca="false">IFERROR(IF(J$183*J$185*J$186&gt;0,STDEV(J$183,J$185,J$186),"")/IF(J$183*J$185*J$186&gt;0,AVERAGE(J$183,J$185,J$186),""),"")</f>
        <v/>
      </c>
      <c r="AA253" s="227" t="str">
        <f aca="false">IFERROR(IF(K$183*K$185*K$186&gt;0,STDEV(K$183,K$185,K$186),"")/IF(K$183*K$185*K$186&gt;0,AVERAGE(K$183,K$185,K$186),""),"")</f>
        <v/>
      </c>
      <c r="AB253" s="227" t="str">
        <f aca="false">IFERROR(IF(L$183*L$185*L$186&gt;0,STDEV(L$183,L$185,L$186),"")/IF(L$183*L$185*L$186&gt;0,AVERAGE(L$183,L$185,L$186),""),"")</f>
        <v/>
      </c>
      <c r="AC253" s="227" t="str">
        <f aca="false">IFERROR(IF(M$183*M$185*M$186&gt;0,STDEV(M$183,M$185,M$186),"")/IF(M$183*M$185*M$186&gt;0,AVERAGE(M$183,M$185,M$186),""),"")</f>
        <v/>
      </c>
      <c r="AD253" s="227" t="str">
        <f aca="false">IFERROR(IF(N$183*N$185*N$186&gt;0,STDEV(N$183,N$185,N$186),"")/IF(N$183*N$185*N$186&gt;0,AVERAGE(N$183,N$185,N$186),""),"")</f>
        <v/>
      </c>
      <c r="AE253" s="233"/>
      <c r="AF253" s="229" t="s">
        <v>430</v>
      </c>
      <c r="AG253" s="270" t="str">
        <f aca="false">IFERROR(IF(C$183*C$185*C$186&gt;0,STDEV(C$183,C$185,C$186)," ")/IF(C$183*C$185*C$186&gt;0,SQRT(COUNT(C$183,C$185,C$186))," "),"")</f>
        <v/>
      </c>
      <c r="AH253" s="270" t="str">
        <f aca="false">IFERROR(IF(D$183*D$185*D$186&gt;0,STDEV(D$183,D$185,D$186)," ")/IF(D$183*D$185*D$186&gt;0,SQRT(COUNT(D$183,D$185,D$186))," "),"")</f>
        <v/>
      </c>
      <c r="AI253" s="270" t="str">
        <f aca="false">IFERROR(IF(E$183*E$185*E$186&gt;0,STDEV(E$183,E$185,E$186)," ")/IF(E$183*E$185*E$186&gt;0,SQRT(COUNT(E$183,E$185,E$186))," "),"")</f>
        <v/>
      </c>
      <c r="AJ253" s="270" t="str">
        <f aca="false">IFERROR(IF(F$183*F$185*F$186&gt;0,STDEV(F$183,F$185,F$186)," ")/IF(F$183*F$185*F$186&gt;0,SQRT(COUNT(F$183,F$185,F$186))," "),"")</f>
        <v/>
      </c>
      <c r="AK253" s="270" t="str">
        <f aca="false">IFERROR(IF(G$183*G$185*G$186&gt;0,STDEV(G$183,G$185,G$186)," ")/IF(G$183*G$185*G$186&gt;0,SQRT(COUNT(G$183,G$185,G$186))," "),"")</f>
        <v/>
      </c>
      <c r="AL253" s="270" t="str">
        <f aca="false">IFERROR(IF(H$183*H$185*H$186&gt;0,STDEV(H$183,H$185,H$186)," ")/IF(H$183*H$185*H$186&gt;0,SQRT(COUNT(H$183,H$185,H$186))," "),"")</f>
        <v/>
      </c>
      <c r="AM253" s="270" t="str">
        <f aca="false">IFERROR(IF(I$183*I$185*I$186&gt;0,STDEV(I$183,I$185,I$186)," ")/IF(I$183*I$185*I$186&gt;0,SQRT(COUNT(I$183,I$185,I$186))," "),"")</f>
        <v/>
      </c>
      <c r="AN253" s="270" t="str">
        <f aca="false">IFERROR(IF(J$183*J$185*J$186&gt;0,STDEV(J$183,J$185,J$186)," ")/IF(J$183*J$185*J$186&gt;0,SQRT(COUNT(J$183,J$185,J$186))," "),"")</f>
        <v/>
      </c>
      <c r="AO253" s="270" t="str">
        <f aca="false">IFERROR(IF(K$183*K$185*K$186&gt;0,STDEV(K$183,K$185,K$186)," ")/IF(K$183*K$185*K$186&gt;0,SQRT(COUNT(K$183,K$185,K$186))," "),"")</f>
        <v/>
      </c>
      <c r="AP253" s="270" t="str">
        <f aca="false">IFERROR(IF(L$183*L$185*L$186&gt;0,STDEV(L$183,L$185,L$186)," ")/IF(L$183*L$185*L$186&gt;0,SQRT(COUNT(L$183,L$185,L$186))," "),"")</f>
        <v/>
      </c>
      <c r="AQ253" s="270" t="str">
        <f aca="false">IFERROR(IF(M$183*M$185*M$186&gt;0,STDEV(M$183,M$185,M$186)," ")/IF(M$183*M$185*M$186&gt;0,SQRT(COUNT(M$183,M$185,M$186))," "),"")</f>
        <v/>
      </c>
      <c r="AR253" s="270" t="str">
        <f aca="false">IFERROR(IF(N$183*N$185*N$186&gt;0,STDEV(N$183,N$185,N$186)," ")/IF(N$183*N$185*N$186&gt;0,SQRT(COUNT(N$183,N$185,N$186))," "),"")</f>
        <v/>
      </c>
    </row>
    <row r="254" customFormat="false" ht="15.75" hidden="false" customHeight="false" outlineLevel="0" collapsed="false">
      <c r="A254" s="220" t="s">
        <v>431</v>
      </c>
      <c r="B254" s="221"/>
      <c r="C254" s="261" t="str">
        <f aca="false">IFERROR(IF(C$183*C$185*C$187&gt;0,AVERAGE(C$183,C$185,C$187),""),"")</f>
        <v/>
      </c>
      <c r="D254" s="261" t="str">
        <f aca="false">IFERROR(IF(D$183*D$185*D$187&gt;0,AVERAGE(D$183,D$185,D$187),""),"")</f>
        <v/>
      </c>
      <c r="E254" s="261" t="str">
        <f aca="false">IFERROR(IF(E$183*E$185*E$187&gt;0,AVERAGE(E$183,E$185,E$187),""),"")</f>
        <v/>
      </c>
      <c r="F254" s="261" t="str">
        <f aca="false">IFERROR(IF(F$183*F$185*F$187&gt;0,AVERAGE(F$183,F$185,F$187),""),"")</f>
        <v/>
      </c>
      <c r="G254" s="261" t="str">
        <f aca="false">IFERROR(IF(G$183*G$185*G$187&gt;0,AVERAGE(G$183,G$185,G$187),""),"")</f>
        <v/>
      </c>
      <c r="H254" s="261" t="str">
        <f aca="false">IFERROR(IF(H$183*H$185*H$187&gt;0,AVERAGE(H$183,H$185,H$187),""),"")</f>
        <v/>
      </c>
      <c r="I254" s="261" t="str">
        <f aca="false">IFERROR(IF(I$183*I$185*I$187&gt;0,AVERAGE(I$183,I$185,I$187),""),"")</f>
        <v/>
      </c>
      <c r="J254" s="261" t="str">
        <f aca="false">IFERROR(IF(J$183*J$185*J$187&gt;0,AVERAGE(J$183,J$185,J$187),""),"")</f>
        <v/>
      </c>
      <c r="K254" s="261" t="str">
        <f aca="false">IFERROR(IF(K$183*K$185*K$187&gt;0,AVERAGE(K$183,K$185,K$187),""),"")</f>
        <v/>
      </c>
      <c r="L254" s="261" t="str">
        <f aca="false">IFERROR(IF(L$183*L$185*L$187&gt;0,AVERAGE(L$183,L$185,L$187),""),"")</f>
        <v/>
      </c>
      <c r="M254" s="261" t="str">
        <f aca="false">IFERROR(IF(M$183*M$185*M$187&gt;0,AVERAGE(M$183,M$185,M$187),""),"")</f>
        <v/>
      </c>
      <c r="N254" s="261" t="str">
        <f aca="false">IFERROR(IF(N$183*N$185*N$187&gt;0,AVERAGE(N$183,N$185,N$187),""),"")</f>
        <v/>
      </c>
      <c r="O254" s="253"/>
      <c r="P254" s="253"/>
      <c r="Q254" s="254"/>
      <c r="R254" s="226" t="s">
        <v>432</v>
      </c>
      <c r="S254" s="227" t="str">
        <f aca="false">IFERROR(IF(C$183*C$185*C$187&gt;0,STDEV(C$183,C$185,C$187),"")/IF(C$183*C$185*C$187&gt;0,AVERAGE(C$183,C$185,C$187),""),"")</f>
        <v/>
      </c>
      <c r="T254" s="227" t="str">
        <f aca="false">IFERROR(IF(D$183*D$185*D$187&gt;0,STDEV(D$183,D$185,D$187),"")/IF(D$183*D$185*D$187&gt;0,AVERAGE(D$183,D$185,D$187),""),"")</f>
        <v/>
      </c>
      <c r="U254" s="227" t="str">
        <f aca="false">IFERROR(IF(E$183*E$185*E$187&gt;0,STDEV(E$183,E$185,E$187),"")/IF(E$183*E$185*E$187&gt;0,AVERAGE(E$183,E$185,E$187),""),"")</f>
        <v/>
      </c>
      <c r="V254" s="227" t="str">
        <f aca="false">IFERROR(IF(F$183*F$185*F$187&gt;0,STDEV(F$183,F$185,F$187),"")/IF(F$183*F$185*F$187&gt;0,AVERAGE(F$183,F$185,F$187),""),"")</f>
        <v/>
      </c>
      <c r="W254" s="227" t="str">
        <f aca="false">IFERROR(IF(G$183*G$185*G$187&gt;0,STDEV(G$183,G$185,G$187),"")/IF(G$183*G$185*G$187&gt;0,AVERAGE(G$183,G$185,G$187),""),"")</f>
        <v/>
      </c>
      <c r="X254" s="227" t="str">
        <f aca="false">IFERROR(IF(H$183*H$185*H$187&gt;0,STDEV(H$183,H$185,H$187),"")/IF(H$183*H$185*H$187&gt;0,AVERAGE(H$183,H$185,H$187),""),"")</f>
        <v/>
      </c>
      <c r="Y254" s="227" t="str">
        <f aca="false">IFERROR(IF(I$183*I$185*I$187&gt;0,STDEV(I$183,I$185,I$187),"")/IF(I$183*I$185*I$187&gt;0,AVERAGE(I$183,I$185,I$187),""),"")</f>
        <v/>
      </c>
      <c r="Z254" s="227" t="str">
        <f aca="false">IFERROR(IF(J$183*J$185*J$187&gt;0,STDEV(J$183,J$185,J$187),"")/IF(J$183*J$185*J$187&gt;0,AVERAGE(J$183,J$185,J$187),""),"")</f>
        <v/>
      </c>
      <c r="AA254" s="227" t="str">
        <f aca="false">IFERROR(IF(K$183*K$185*K$187&gt;0,STDEV(K$183,K$185,K$187),"")/IF(K$183*K$185*K$187&gt;0,AVERAGE(K$183,K$185,K$187),""),"")</f>
        <v/>
      </c>
      <c r="AB254" s="227" t="str">
        <f aca="false">IFERROR(IF(L$183*L$185*L$187&gt;0,STDEV(L$183,L$185,L$187),"")/IF(L$183*L$185*L$187&gt;0,AVERAGE(L$183,L$185,L$187),""),"")</f>
        <v/>
      </c>
      <c r="AC254" s="227" t="str">
        <f aca="false">IFERROR(IF(M$183*M$185*M$187&gt;0,STDEV(M$183,M$185,M$187),"")/IF(M$183*M$185*M$187&gt;0,AVERAGE(M$183,M$185,M$187),""),"")</f>
        <v/>
      </c>
      <c r="AD254" s="227" t="str">
        <f aca="false">IFERROR(IF(N$183*N$185*N$187&gt;0,STDEV(N$183,N$185,N$187),"")/IF(N$183*N$185*N$187&gt;0,AVERAGE(N$183,N$185,N$187),""),"")</f>
        <v/>
      </c>
      <c r="AE254" s="233"/>
      <c r="AF254" s="229" t="s">
        <v>433</v>
      </c>
      <c r="AG254" s="270" t="str">
        <f aca="false">IFERROR(IF(C$183*C$185*C$187&gt;0,STDEV(C$183,C$185,C$187)," ")/IF(C$183*C$185*C$187&gt;0,SQRT(COUNT(C$183,C$185,C$187))," "),"")</f>
        <v/>
      </c>
      <c r="AH254" s="270" t="str">
        <f aca="false">IFERROR(IF(D$183*D$185*D$187&gt;0,STDEV(D$183,D$185,D$187)," ")/IF(D$183*D$185*D$187&gt;0,SQRT(COUNT(D$183,D$185,D$187))," "),"")</f>
        <v/>
      </c>
      <c r="AI254" s="270" t="str">
        <f aca="false">IFERROR(IF(E$183*E$185*E$187&gt;0,STDEV(E$183,E$185,E$187)," ")/IF(E$183*E$185*E$187&gt;0,SQRT(COUNT(E$183,E$185,E$187))," "),"")</f>
        <v/>
      </c>
      <c r="AJ254" s="270" t="str">
        <f aca="false">IFERROR(IF(F$183*F$185*F$187&gt;0,STDEV(F$183,F$185,F$187)," ")/IF(F$183*F$185*F$187&gt;0,SQRT(COUNT(F$183,F$185,F$187))," "),"")</f>
        <v/>
      </c>
      <c r="AK254" s="270" t="str">
        <f aca="false">IFERROR(IF(G$183*G$185*G$187&gt;0,STDEV(G$183,G$185,G$187)," ")/IF(G$183*G$185*G$187&gt;0,SQRT(COUNT(G$183,G$185,G$187))," "),"")</f>
        <v/>
      </c>
      <c r="AL254" s="270" t="str">
        <f aca="false">IFERROR(IF(H$183*H$185*H$187&gt;0,STDEV(H$183,H$185,H$187)," ")/IF(H$183*H$185*H$187&gt;0,SQRT(COUNT(H$183,H$185,H$187))," "),"")</f>
        <v/>
      </c>
      <c r="AM254" s="270" t="str">
        <f aca="false">IFERROR(IF(I$183*I$185*I$187&gt;0,STDEV(I$183,I$185,I$187)," ")/IF(I$183*I$185*I$187&gt;0,SQRT(COUNT(I$183,I$185,I$187))," "),"")</f>
        <v/>
      </c>
      <c r="AN254" s="270" t="str">
        <f aca="false">IFERROR(IF(J$183*J$185*J$187&gt;0,STDEV(J$183,J$185,J$187)," ")/IF(J$183*J$185*J$187&gt;0,SQRT(COUNT(J$183,J$185,J$187))," "),"")</f>
        <v/>
      </c>
      <c r="AO254" s="270" t="str">
        <f aca="false">IFERROR(IF(K$183*K$185*K$187&gt;0,STDEV(K$183,K$185,K$187)," ")/IF(K$183*K$185*K$187&gt;0,SQRT(COUNT(K$183,K$185,K$187))," "),"")</f>
        <v/>
      </c>
      <c r="AP254" s="270" t="str">
        <f aca="false">IFERROR(IF(L$183*L$185*L$187&gt;0,STDEV(L$183,L$185,L$187)," ")/IF(L$183*L$185*L$187&gt;0,SQRT(COUNT(L$183,L$185,L$187))," "),"")</f>
        <v/>
      </c>
      <c r="AQ254" s="270" t="str">
        <f aca="false">IFERROR(IF(M$183*M$185*M$187&gt;0,STDEV(M$183,M$185,M$187)," ")/IF(M$183*M$185*M$187&gt;0,SQRT(COUNT(M$183,M$185,M$187))," "),"")</f>
        <v/>
      </c>
      <c r="AR254" s="270" t="str">
        <f aca="false">IFERROR(IF(N$183*N$185*N$187&gt;0,STDEV(N$183,N$185,N$187)," ")/IF(N$183*N$185*N$187&gt;0,SQRT(COUNT(N$183,N$185,N$187))," "),"")</f>
        <v/>
      </c>
    </row>
    <row r="255" customFormat="false" ht="15.75" hidden="false" customHeight="false" outlineLevel="0" collapsed="false">
      <c r="A255" s="220" t="s">
        <v>434</v>
      </c>
      <c r="B255" s="221"/>
      <c r="C255" s="261" t="str">
        <f aca="false">IFERROR(IF(C$183*C$185*C$188&gt;0,AVERAGE(C$183,C$185,C$188),""),"")</f>
        <v/>
      </c>
      <c r="D255" s="261" t="str">
        <f aca="false">IFERROR(IF(D$183*D$185*D$188&gt;0,AVERAGE(D$183,D$185,D$188),""),"")</f>
        <v/>
      </c>
      <c r="E255" s="261" t="str">
        <f aca="false">IFERROR(IF(E$183*E$185*E$188&gt;0,AVERAGE(E$183,E$185,E$188),""),"")</f>
        <v/>
      </c>
      <c r="F255" s="261" t="str">
        <f aca="false">IFERROR(IF(F$183*F$185*F$188&gt;0,AVERAGE(F$183,F$185,F$188),""),"")</f>
        <v/>
      </c>
      <c r="G255" s="261" t="str">
        <f aca="false">IFERROR(IF(G$183*G$185*G$188&gt;0,AVERAGE(G$183,G$185,G$188),""),"")</f>
        <v/>
      </c>
      <c r="H255" s="261" t="str">
        <f aca="false">IFERROR(IF(H$183*H$185*H$188&gt;0,AVERAGE(H$183,H$185,H$188),""),"")</f>
        <v/>
      </c>
      <c r="I255" s="261" t="str">
        <f aca="false">IFERROR(IF(I$183*I$185*I$188&gt;0,AVERAGE(I$183,I$185,I$188),""),"")</f>
        <v/>
      </c>
      <c r="J255" s="261" t="str">
        <f aca="false">IFERROR(IF(J$183*J$185*J$188&gt;0,AVERAGE(J$183,J$185,J$188),""),"")</f>
        <v/>
      </c>
      <c r="K255" s="261" t="str">
        <f aca="false">IFERROR(IF(K$183*K$185*K$188&gt;0,AVERAGE(K$183,K$185,K$188),""),"")</f>
        <v/>
      </c>
      <c r="L255" s="261" t="str">
        <f aca="false">IFERROR(IF(L$183*L$185*L$188&gt;0,AVERAGE(L$183,L$185,L$188),""),"")</f>
        <v/>
      </c>
      <c r="M255" s="261" t="str">
        <f aca="false">IFERROR(IF(M$183*M$185*M$188&gt;0,AVERAGE(M$183,M$185,M$188),""),"")</f>
        <v/>
      </c>
      <c r="N255" s="261" t="str">
        <f aca="false">IFERROR(IF(N$183*N$185*N$188&gt;0,AVERAGE(N$183,N$185,N$188),""),"")</f>
        <v/>
      </c>
      <c r="O255" s="253"/>
      <c r="P255" s="253"/>
      <c r="Q255" s="254"/>
      <c r="R255" s="226" t="s">
        <v>435</v>
      </c>
      <c r="S255" s="227" t="str">
        <f aca="false">IFERROR(IF(C$183*C$185*C$188&gt;0,STDEV(C$183,C$185,C$188),"")/IF(C$183*C$185*C$188&gt;0,AVERAGE(C$183,C$185,C$188),""),"")</f>
        <v/>
      </c>
      <c r="T255" s="227" t="str">
        <f aca="false">IFERROR(IF(D$183*D$185*D$188&gt;0,STDEV(D$183,D$185,D$188),"")/IF(D$183*D$185*D$188&gt;0,AVERAGE(D$183,D$185,D$188),""),"")</f>
        <v/>
      </c>
      <c r="U255" s="227" t="str">
        <f aca="false">IFERROR(IF(E$183*E$185*E$188&gt;0,STDEV(E$183,E$185,E$188),"")/IF(E$183*E$185*E$188&gt;0,AVERAGE(E$183,E$185,E$188),""),"")</f>
        <v/>
      </c>
      <c r="V255" s="227" t="str">
        <f aca="false">IFERROR(IF(F$183*F$185*F$188&gt;0,STDEV(F$183,F$185,F$188),"")/IF(F$183*F$185*F$188&gt;0,AVERAGE(F$183,F$185,F$188),""),"")</f>
        <v/>
      </c>
      <c r="W255" s="227" t="str">
        <f aca="false">IFERROR(IF(G$183*G$185*G$188&gt;0,STDEV(G$183,G$185,G$188),"")/IF(G$183*G$185*G$188&gt;0,AVERAGE(G$183,G$185,G$188),""),"")</f>
        <v/>
      </c>
      <c r="X255" s="227" t="str">
        <f aca="false">IFERROR(IF(H$183*H$185*H$188&gt;0,STDEV(H$183,H$185,H$188),"")/IF(H$183*H$185*H$188&gt;0,AVERAGE(H$183,H$185,H$188),""),"")</f>
        <v/>
      </c>
      <c r="Y255" s="227" t="str">
        <f aca="false">IFERROR(IF(I$183*I$185*I$188&gt;0,STDEV(I$183,I$185,I$188),"")/IF(I$183*I$185*I$188&gt;0,AVERAGE(I$183,I$185,I$188),""),"")</f>
        <v/>
      </c>
      <c r="Z255" s="227" t="str">
        <f aca="false">IFERROR(IF(J$183*J$185*J$188&gt;0,STDEV(J$183,J$185,J$188),"")/IF(J$183*J$185*J$188&gt;0,AVERAGE(J$183,J$185,J$188),""),"")</f>
        <v/>
      </c>
      <c r="AA255" s="227" t="str">
        <f aca="false">IFERROR(IF(K$183*K$185*K$188&gt;0,STDEV(K$183,K$185,K$188),"")/IF(K$183*K$185*K$188&gt;0,AVERAGE(K$183,K$185,K$188),""),"")</f>
        <v/>
      </c>
      <c r="AB255" s="227" t="str">
        <f aca="false">IFERROR(IF(L$183*L$185*L$188&gt;0,STDEV(L$183,L$185,L$188),"")/IF(L$183*L$185*L$188&gt;0,AVERAGE(L$183,L$185,L$188),""),"")</f>
        <v/>
      </c>
      <c r="AC255" s="227" t="str">
        <f aca="false">IFERROR(IF(M$183*M$185*M$188&gt;0,STDEV(M$183,M$185,M$188),"")/IF(M$183*M$185*M$188&gt;0,AVERAGE(M$183,M$185,M$188),""),"")</f>
        <v/>
      </c>
      <c r="AD255" s="227" t="str">
        <f aca="false">IFERROR(IF(N$183*N$185*N$188&gt;0,STDEV(N$183,N$185,N$188),"")/IF(N$183*N$185*N$188&gt;0,AVERAGE(N$183,N$185,N$188),""),"")</f>
        <v/>
      </c>
      <c r="AE255" s="233"/>
      <c r="AF255" s="229" t="s">
        <v>436</v>
      </c>
      <c r="AG255" s="270" t="str">
        <f aca="false">IFERROR(IF(C$183*C$185*C$188&gt;0,STDEV(C$183,C$185,C$188)," ")/IF(C$183*C$185*C$188&gt;0,SQRT(COUNT(C$183,C$185,C$188))," "),"")</f>
        <v/>
      </c>
      <c r="AH255" s="270" t="str">
        <f aca="false">IFERROR(IF(D$183*D$185*D$188&gt;0,STDEV(D$183,D$185,D$188)," ")/IF(D$183*D$185*D$188&gt;0,SQRT(COUNT(D$183,D$185,D$188))," "),"")</f>
        <v/>
      </c>
      <c r="AI255" s="270" t="str">
        <f aca="false">IFERROR(IF(E$183*E$185*E$188&gt;0,STDEV(E$183,E$185,E$188)," ")/IF(E$183*E$185*E$188&gt;0,SQRT(COUNT(E$183,E$185,E$188))," "),"")</f>
        <v/>
      </c>
      <c r="AJ255" s="270" t="str">
        <f aca="false">IFERROR(IF(F$183*F$185*F$188&gt;0,STDEV(F$183,F$185,F$188)," ")/IF(F$183*F$185*F$188&gt;0,SQRT(COUNT(F$183,F$185,F$188))," "),"")</f>
        <v/>
      </c>
      <c r="AK255" s="270" t="str">
        <f aca="false">IFERROR(IF(G$183*G$185*G$188&gt;0,STDEV(G$183,G$185,G$188)," ")/IF(G$183*G$185*G$188&gt;0,SQRT(COUNT(G$183,G$185,G$188))," "),"")</f>
        <v/>
      </c>
      <c r="AL255" s="270" t="str">
        <f aca="false">IFERROR(IF(H$183*H$185*H$188&gt;0,STDEV(H$183,H$185,H$188)," ")/IF(H$183*H$185*H$188&gt;0,SQRT(COUNT(H$183,H$185,H$188))," "),"")</f>
        <v/>
      </c>
      <c r="AM255" s="270" t="str">
        <f aca="false">IFERROR(IF(I$183*I$185*I$188&gt;0,STDEV(I$183,I$185,I$188)," ")/IF(I$183*I$185*I$188&gt;0,SQRT(COUNT(I$183,I$185,I$188))," "),"")</f>
        <v/>
      </c>
      <c r="AN255" s="270" t="str">
        <f aca="false">IFERROR(IF(J$183*J$185*J$188&gt;0,STDEV(J$183,J$185,J$188)," ")/IF(J$183*J$185*J$188&gt;0,SQRT(COUNT(J$183,J$185,J$188))," "),"")</f>
        <v/>
      </c>
      <c r="AO255" s="270" t="str">
        <f aca="false">IFERROR(IF(K$183*K$185*K$188&gt;0,STDEV(K$183,K$185,K$188)," ")/IF(K$183*K$185*K$188&gt;0,SQRT(COUNT(K$183,K$185,K$188))," "),"")</f>
        <v/>
      </c>
      <c r="AP255" s="270" t="str">
        <f aca="false">IFERROR(IF(L$183*L$185*L$188&gt;0,STDEV(L$183,L$185,L$188)," ")/IF(L$183*L$185*L$188&gt;0,SQRT(COUNT(L$183,L$185,L$188))," "),"")</f>
        <v/>
      </c>
      <c r="AQ255" s="270" t="str">
        <f aca="false">IFERROR(IF(M$183*M$185*M$188&gt;0,STDEV(M$183,M$185,M$188)," ")/IF(M$183*M$185*M$188&gt;0,SQRT(COUNT(M$183,M$185,M$188))," "),"")</f>
        <v/>
      </c>
      <c r="AR255" s="270" t="str">
        <f aca="false">IFERROR(IF(N$183*N$185*N$188&gt;0,STDEV(N$183,N$185,N$188)," ")/IF(N$183*N$185*N$188&gt;0,SQRT(COUNT(N$183,N$185,N$188))," "),"")</f>
        <v/>
      </c>
    </row>
    <row r="256" customFormat="false" ht="15.75" hidden="false" customHeight="false" outlineLevel="0" collapsed="false">
      <c r="A256" s="220" t="s">
        <v>437</v>
      </c>
      <c r="B256" s="221"/>
      <c r="C256" s="261" t="str">
        <f aca="false">IFERROR(IF(C$183*C$186*C$188&gt;0,AVERAGE(C$183,C$186,C$188),""),"")</f>
        <v/>
      </c>
      <c r="D256" s="261" t="str">
        <f aca="false">IFERROR(IF(D$183*D$186*D$188&gt;0,AVERAGE(D$183,D$186,D$188),""),"")</f>
        <v/>
      </c>
      <c r="E256" s="261" t="str">
        <f aca="false">IFERROR(IF(E$183*E$186*E$188&gt;0,AVERAGE(E$183,E$186,E$188),""),"")</f>
        <v/>
      </c>
      <c r="F256" s="261" t="str">
        <f aca="false">IFERROR(IF(F$183*F$186*F$188&gt;0,AVERAGE(F$183,F$186,F$188),""),"")</f>
        <v/>
      </c>
      <c r="G256" s="261" t="str">
        <f aca="false">IFERROR(IF(G$183*G$186*G$188&gt;0,AVERAGE(G$183,G$186,G$188),""),"")</f>
        <v/>
      </c>
      <c r="H256" s="261" t="str">
        <f aca="false">IFERROR(IF(H$183*H$186*H$188&gt;0,AVERAGE(H$183,H$186,H$188),""),"")</f>
        <v/>
      </c>
      <c r="I256" s="261" t="str">
        <f aca="false">IFERROR(IF(I$183*I$186*I$188&gt;0,AVERAGE(I$183,I$186,I$188),""),"")</f>
        <v/>
      </c>
      <c r="J256" s="261" t="str">
        <f aca="false">IFERROR(IF(J$183*J$186*J$188&gt;0,AVERAGE(J$183,J$186,J$188),""),"")</f>
        <v/>
      </c>
      <c r="K256" s="261" t="str">
        <f aca="false">IFERROR(IF(K$183*K$186*K$188&gt;0,AVERAGE(K$183,K$186,K$188),""),"")</f>
        <v/>
      </c>
      <c r="L256" s="261" t="str">
        <f aca="false">IFERROR(IF(L$183*L$186*L$188&gt;0,AVERAGE(L$183,L$186,L$188),""),"")</f>
        <v/>
      </c>
      <c r="M256" s="261" t="str">
        <f aca="false">IFERROR(IF(M$183*M$186*M$188&gt;0,AVERAGE(M$183,M$186,M$188),""),"")</f>
        <v/>
      </c>
      <c r="N256" s="261" t="str">
        <f aca="false">IFERROR(IF(N$183*N$186*N$188&gt;0,AVERAGE(N$183,N$186,N$188),""),"")</f>
        <v/>
      </c>
      <c r="O256" s="253"/>
      <c r="P256" s="253"/>
      <c r="Q256" s="254"/>
      <c r="R256" s="226" t="s">
        <v>438</v>
      </c>
      <c r="S256" s="227" t="str">
        <f aca="false">IFERROR(IF(C$183*C$186*C$188&gt;0,STDEV(C$183,C$186,C$188),"")/IF(C$183*C$186*C$188&gt;0,AVERAGE(C$183,C$186,C$188),""),"")</f>
        <v/>
      </c>
      <c r="T256" s="227" t="str">
        <f aca="false">IFERROR(IF(D$183*D$186*D$188&gt;0,STDEV(D$183,D$186,D$188),"")/IF(D$183*D$186*D$188&gt;0,AVERAGE(D$183,D$186,D$188),""),"")</f>
        <v/>
      </c>
      <c r="U256" s="227" t="str">
        <f aca="false">IFERROR(IF(E$183*E$186*E$188&gt;0,STDEV(E$183,E$186,E$188),"")/IF(E$183*E$186*E$188&gt;0,AVERAGE(E$183,E$186,E$188),""),"")</f>
        <v/>
      </c>
      <c r="V256" s="227" t="str">
        <f aca="false">IFERROR(IF(F$183*F$186*F$188&gt;0,STDEV(F$183,F$186,F$188),"")/IF(F$183*F$186*F$188&gt;0,AVERAGE(F$183,F$186,F$188),""),"")</f>
        <v/>
      </c>
      <c r="W256" s="227" t="str">
        <f aca="false">IFERROR(IF(G$183*G$186*G$188&gt;0,STDEV(G$183,G$186,G$188),"")/IF(G$183*G$186*G$188&gt;0,AVERAGE(G$183,G$186,G$188),""),"")</f>
        <v/>
      </c>
      <c r="X256" s="227" t="str">
        <f aca="false">IFERROR(IF(H$183*H$186*H$188&gt;0,STDEV(H$183,H$186,H$188),"")/IF(H$183*H$186*H$188&gt;0,AVERAGE(H$183,H$186,H$188),""),"")</f>
        <v/>
      </c>
      <c r="Y256" s="227" t="str">
        <f aca="false">IFERROR(IF(I$183*I$186*I$188&gt;0,STDEV(I$183,I$186,I$188),"")/IF(I$183*I$186*I$188&gt;0,AVERAGE(I$183,I$186,I$188),""),"")</f>
        <v/>
      </c>
      <c r="Z256" s="227" t="str">
        <f aca="false">IFERROR(IF(J$183*J$186*J$188&gt;0,STDEV(J$183,J$186,J$188),"")/IF(J$183*J$186*J$188&gt;0,AVERAGE(J$183,J$186,J$188),""),"")</f>
        <v/>
      </c>
      <c r="AA256" s="227" t="str">
        <f aca="false">IFERROR(IF(K$183*K$186*K$188&gt;0,STDEV(K$183,K$186,K$188),"")/IF(K$183*K$186*K$188&gt;0,AVERAGE(K$183,K$186,K$188),""),"")</f>
        <v/>
      </c>
      <c r="AB256" s="227" t="str">
        <f aca="false">IFERROR(IF(L$183*L$186*L$188&gt;0,STDEV(L$183,L$186,L$188),"")/IF(L$183*L$186*L$188&gt;0,AVERAGE(L$183,L$186,L$188),""),"")</f>
        <v/>
      </c>
      <c r="AC256" s="227" t="str">
        <f aca="false">IFERROR(IF(M$183*M$186*M$188&gt;0,STDEV(M$183,M$186,M$188),"")/IF(M$183*M$186*M$188&gt;0,AVERAGE(M$183,M$186,M$188),""),"")</f>
        <v/>
      </c>
      <c r="AD256" s="227" t="str">
        <f aca="false">IFERROR(IF(N$183*N$186*N$188&gt;0,STDEV(N$183,N$186,N$188),"")/IF(N$183*N$186*N$188&gt;0,AVERAGE(N$183,N$186,N$188),""),"")</f>
        <v/>
      </c>
      <c r="AE256" s="233"/>
      <c r="AF256" s="229" t="s">
        <v>439</v>
      </c>
      <c r="AG256" s="270" t="str">
        <f aca="false">IFERROR(IF(C$183*C$186*C$188&gt;0,STDEV(C$183,C$186,C$188)," ")/IF(C$183*C$186*C$188&gt;0,SQRT(COUNT(C$183,C$186,C$188))," "),"")</f>
        <v/>
      </c>
      <c r="AH256" s="270" t="str">
        <f aca="false">IFERROR(IF(D$183*D$186*D$188&gt;0,STDEV(D$183,D$186,D$188)," ")/IF(D$183*D$186*D$188&gt;0,SQRT(COUNT(D$183,D$186,D$188))," "),"")</f>
        <v/>
      </c>
      <c r="AI256" s="270" t="str">
        <f aca="false">IFERROR(IF(E$183*E$186*E$188&gt;0,STDEV(E$183,E$186,E$188)," ")/IF(E$183*E$186*E$188&gt;0,SQRT(COUNT(E$183,E$186,E$188))," "),"")</f>
        <v/>
      </c>
      <c r="AJ256" s="270" t="str">
        <f aca="false">IFERROR(IF(F$183*F$186*F$188&gt;0,STDEV(F$183,F$186,F$188)," ")/IF(F$183*F$186*F$188&gt;0,SQRT(COUNT(F$183,F$186,F$188))," "),"")</f>
        <v/>
      </c>
      <c r="AK256" s="270" t="str">
        <f aca="false">IFERROR(IF(G$183*G$186*G$188&gt;0,STDEV(G$183,G$186,G$188)," ")/IF(G$183*G$186*G$188&gt;0,SQRT(COUNT(G$183,G$186,G$188))," "),"")</f>
        <v/>
      </c>
      <c r="AL256" s="270" t="str">
        <f aca="false">IFERROR(IF(H$183*H$186*H$188&gt;0,STDEV(H$183,H$186,H$188)," ")/IF(H$183*H$186*H$188&gt;0,SQRT(COUNT(H$183,H$186,H$188))," "),"")</f>
        <v/>
      </c>
      <c r="AM256" s="270" t="str">
        <f aca="false">IFERROR(IF(I$183*I$186*I$188&gt;0,STDEV(I$183,I$186,I$188)," ")/IF(I$183*I$186*I$188&gt;0,SQRT(COUNT(I$183,I$186,I$188))," "),"")</f>
        <v/>
      </c>
      <c r="AN256" s="270" t="str">
        <f aca="false">IFERROR(IF(J$183*J$186*J$188&gt;0,STDEV(J$183,J$186,J$188)," ")/IF(J$183*J$186*J$188&gt;0,SQRT(COUNT(J$183,J$186,J$188))," "),"")</f>
        <v/>
      </c>
      <c r="AO256" s="270" t="str">
        <f aca="false">IFERROR(IF(K$183*K$186*K$188&gt;0,STDEV(K$183,K$186,K$188)," ")/IF(K$183*K$186*K$188&gt;0,SQRT(COUNT(K$183,K$186,K$188))," "),"")</f>
        <v/>
      </c>
      <c r="AP256" s="270" t="str">
        <f aca="false">IFERROR(IF(L$183*L$186*L$188&gt;0,STDEV(L$183,L$186,L$188)," ")/IF(L$183*L$186*L$188&gt;0,SQRT(COUNT(L$183,L$186,L$188))," "),"")</f>
        <v/>
      </c>
      <c r="AQ256" s="270" t="str">
        <f aca="false">IFERROR(IF(M$183*M$186*M$188&gt;0,STDEV(M$183,M$186,M$188)," ")/IF(M$183*M$186*M$188&gt;0,SQRT(COUNT(M$183,M$186,M$188))," "),"")</f>
        <v/>
      </c>
      <c r="AR256" s="270" t="str">
        <f aca="false">IFERROR(IF(N$183*N$186*N$188&gt;0,STDEV(N$183,N$186,N$188)," ")/IF(N$183*N$186*N$188&gt;0,SQRT(COUNT(N$183,N$186,N$188))," "),"")</f>
        <v/>
      </c>
    </row>
    <row r="257" customFormat="false" ht="15.75" hidden="false" customHeight="false" outlineLevel="0" collapsed="false">
      <c r="A257" s="242" t="s">
        <v>440</v>
      </c>
      <c r="B257" s="243"/>
      <c r="C257" s="262" t="str">
        <f aca="false">IFERROR(IF(C$184*C$186*C$188&gt;0,AVERAGE(C$184,C$186,C$188),""),"")</f>
        <v/>
      </c>
      <c r="D257" s="262" t="str">
        <f aca="false">IFERROR(IF(D$184*D$186*D$188&gt;0,AVERAGE(D$184,D$186,D$188),""),"")</f>
        <v/>
      </c>
      <c r="E257" s="262" t="str">
        <f aca="false">IFERROR(IF(E$184*E$186*E$188&gt;0,AVERAGE(E$184,E$186,E$188),""),"")</f>
        <v/>
      </c>
      <c r="F257" s="262" t="str">
        <f aca="false">IFERROR(IF(F$184*F$186*F$188&gt;0,AVERAGE(F$184,F$186,F$188),""),"")</f>
        <v/>
      </c>
      <c r="G257" s="262" t="str">
        <f aca="false">IFERROR(IF(G$184*G$186*G$188&gt;0,AVERAGE(G$184,G$186,G$188),""),"")</f>
        <v/>
      </c>
      <c r="H257" s="262" t="str">
        <f aca="false">IFERROR(IF(H$184*H$186*H$188&gt;0,AVERAGE(H$184,H$186,H$188),""),"")</f>
        <v/>
      </c>
      <c r="I257" s="262" t="str">
        <f aca="false">IFERROR(IF(I$184*I$186*I$188&gt;0,AVERAGE(I$184,I$186,I$188),""),"")</f>
        <v/>
      </c>
      <c r="J257" s="262" t="str">
        <f aca="false">IFERROR(IF(J$184*J$186*J$188&gt;0,AVERAGE(J$184,J$186,J$188),""),"")</f>
        <v/>
      </c>
      <c r="K257" s="262" t="str">
        <f aca="false">IFERROR(IF(K$184*K$186*K$188&gt;0,AVERAGE(K$184,K$186,K$188),""),"")</f>
        <v/>
      </c>
      <c r="L257" s="262" t="str">
        <f aca="false">IFERROR(IF(L$184*L$186*L$188&gt;0,AVERAGE(L$184,L$186,L$188),""),"")</f>
        <v/>
      </c>
      <c r="M257" s="262" t="str">
        <f aca="false">IFERROR(IF(M$184*M$186*M$188&gt;0,AVERAGE(M$184,M$186,M$188),""),"")</f>
        <v/>
      </c>
      <c r="N257" s="262" t="str">
        <f aca="false">IFERROR(IF(N$184*N$186*N$188&gt;0,AVERAGE(N$184,N$186,N$188),""),"")</f>
        <v/>
      </c>
      <c r="O257" s="245"/>
      <c r="P257" s="245"/>
      <c r="Q257" s="246"/>
      <c r="R257" s="247" t="s">
        <v>441</v>
      </c>
      <c r="S257" s="248" t="str">
        <f aca="false">IFERROR(IF(C$184*C$186*C$188&gt;0,STDEV(C$184,C$186,C$188),"")/IF(C$184*C$186*C$188&gt;0,AVERAGE(C$184,C$186,C$188),""),"")</f>
        <v/>
      </c>
      <c r="T257" s="248" t="str">
        <f aca="false">IFERROR(IF(D$184*D$186*D$188&gt;0,STDEV(D$184,D$186,D$188),"")/IF(D$184*D$186*D$188&gt;0,AVERAGE(D$184,D$186,D$188),""),"")</f>
        <v/>
      </c>
      <c r="U257" s="248" t="str">
        <f aca="false">IFERROR(IF(E$184*E$186*E$188&gt;0,STDEV(E$184,E$186,E$188),"")/IF(E$184*E$186*E$188&gt;0,AVERAGE(E$184,E$186,E$188),""),"")</f>
        <v/>
      </c>
      <c r="V257" s="248" t="str">
        <f aca="false">IFERROR(IF(F$184*F$186*F$188&gt;0,STDEV(F$184,F$186,F$188),"")/IF(F$184*F$186*F$188&gt;0,AVERAGE(F$184,F$186,F$188),""),"")</f>
        <v/>
      </c>
      <c r="W257" s="248" t="str">
        <f aca="false">IFERROR(IF(G$184*G$186*G$188&gt;0,STDEV(G$184,G$186,G$188),"")/IF(G$184*G$186*G$188&gt;0,AVERAGE(G$184,G$186,G$188),""),"")</f>
        <v/>
      </c>
      <c r="X257" s="248" t="str">
        <f aca="false">IFERROR(IF(H$184*H$186*H$188&gt;0,STDEV(H$184,H$186,H$188),"")/IF(H$184*H$186*H$188&gt;0,AVERAGE(H$184,H$186,H$188),""),"")</f>
        <v/>
      </c>
      <c r="Y257" s="248" t="str">
        <f aca="false">IFERROR(IF(I$184*I$186*I$188&gt;0,STDEV(I$184,I$186,I$188),"")/IF(I$184*I$186*I$188&gt;0,AVERAGE(I$184,I$186,I$188),""),"")</f>
        <v/>
      </c>
      <c r="Z257" s="248" t="str">
        <f aca="false">IFERROR(IF(J$184*J$186*J$188&gt;0,STDEV(J$184,J$186,J$188),"")/IF(J$184*J$186*J$188&gt;0,AVERAGE(J$184,J$186,J$188),""),"")</f>
        <v/>
      </c>
      <c r="AA257" s="248" t="str">
        <f aca="false">IFERROR(IF(K$184*K$186*K$188&gt;0,STDEV(K$184,K$186,K$188),"")/IF(K$184*K$186*K$188&gt;0,AVERAGE(K$184,K$186,K$188),""),"")</f>
        <v/>
      </c>
      <c r="AB257" s="248" t="str">
        <f aca="false">IFERROR(IF(L$184*L$186*L$188&gt;0,STDEV(L$184,L$186,L$188),"")/IF(L$184*L$186*L$188&gt;0,AVERAGE(L$184,L$186,L$188),""),"")</f>
        <v/>
      </c>
      <c r="AC257" s="248" t="str">
        <f aca="false">IFERROR(IF(M$184*M$186*M$188&gt;0,STDEV(M$184,M$186,M$188),"")/IF(M$184*M$186*M$188&gt;0,AVERAGE(M$184,M$186,M$188),""),"")</f>
        <v/>
      </c>
      <c r="AD257" s="248" t="str">
        <f aca="false">IFERROR(IF(N$184*N$186*N$188&gt;0,STDEV(N$184,N$186,N$188),"")/IF(N$184*N$186*N$188&gt;0,AVERAGE(N$184,N$186,N$188),""),"")</f>
        <v/>
      </c>
      <c r="AE257" s="249"/>
      <c r="AF257" s="250" t="s">
        <v>442</v>
      </c>
      <c r="AG257" s="272" t="str">
        <f aca="false">IFERROR(IF(C$184*C$186*C$188&gt;0,STDEV(C$184,C$186,C$188)," ")/IF(C$184*C$186*C$188&gt;0,SQRT(COUNT(C$184,C$186,C$188))," "),"")</f>
        <v/>
      </c>
      <c r="AH257" s="272" t="str">
        <f aca="false">IFERROR(IF(D$184*D$186*D$188&gt;0,STDEV(D$184,D$186,D$188)," ")/IF(D$184*D$186*D$188&gt;0,SQRT(COUNT(D$184,D$186,D$188))," "),"")</f>
        <v/>
      </c>
      <c r="AI257" s="272" t="str">
        <f aca="false">IFERROR(IF(E$184*E$186*E$188&gt;0,STDEV(E$184,E$186,E$188)," ")/IF(E$184*E$186*E$188&gt;0,SQRT(COUNT(E$184,E$186,E$188))," "),"")</f>
        <v/>
      </c>
      <c r="AJ257" s="272" t="str">
        <f aca="false">IFERROR(IF(F$184*F$186*F$188&gt;0,STDEV(F$184,F$186,F$188)," ")/IF(F$184*F$186*F$188&gt;0,SQRT(COUNT(F$184,F$186,F$188))," "),"")</f>
        <v/>
      </c>
      <c r="AK257" s="272" t="str">
        <f aca="false">IFERROR(IF(G$184*G$186*G$188&gt;0,STDEV(G$184,G$186,G$188)," ")/IF(G$184*G$186*G$188&gt;0,SQRT(COUNT(G$184,G$186,G$188))," "),"")</f>
        <v/>
      </c>
      <c r="AL257" s="272" t="str">
        <f aca="false">IFERROR(IF(H$184*H$186*H$188&gt;0,STDEV(H$184,H$186,H$188)," ")/IF(H$184*H$186*H$188&gt;0,SQRT(COUNT(H$184,H$186,H$188))," "),"")</f>
        <v/>
      </c>
      <c r="AM257" s="272" t="str">
        <f aca="false">IFERROR(IF(I$184*I$186*I$188&gt;0,STDEV(I$184,I$186,I$188)," ")/IF(I$184*I$186*I$188&gt;0,SQRT(COUNT(I$184,I$186,I$188))," "),"")</f>
        <v/>
      </c>
      <c r="AN257" s="272" t="str">
        <f aca="false">IFERROR(IF(J$184*J$186*J$188&gt;0,STDEV(J$184,J$186,J$188)," ")/IF(J$184*J$186*J$188&gt;0,SQRT(COUNT(J$184,J$186,J$188))," "),"")</f>
        <v/>
      </c>
      <c r="AO257" s="272" t="str">
        <f aca="false">IFERROR(IF(K$184*K$186*K$188&gt;0,STDEV(K$184,K$186,K$188)," ")/IF(K$184*K$186*K$188&gt;0,SQRT(COUNT(K$184,K$186,K$188))," "),"")</f>
        <v/>
      </c>
      <c r="AP257" s="272" t="str">
        <f aca="false">IFERROR(IF(L$184*L$186*L$188&gt;0,STDEV(L$184,L$186,L$188)," ")/IF(L$184*L$186*L$188&gt;0,SQRT(COUNT(L$184,L$186,L$188))," "),"")</f>
        <v/>
      </c>
      <c r="AQ257" s="272" t="str">
        <f aca="false">IFERROR(IF(M$184*M$186*M$188&gt;0,STDEV(M$184,M$186,M$188)," ")/IF(M$184*M$186*M$188&gt;0,SQRT(COUNT(M$184,M$186,M$188))," "),"")</f>
        <v/>
      </c>
      <c r="AR257" s="272" t="str">
        <f aca="false">IFERROR(IF(N$184*N$186*N$188&gt;0,STDEV(N$184,N$186,N$188)," ")/IF(N$184*N$186*N$188&gt;0,SQRT(COUNT(N$184,N$186,N$188))," "),"")</f>
        <v/>
      </c>
    </row>
    <row r="258" customFormat="false" ht="15.75" hidden="false" customHeight="false" outlineLevel="0" collapsed="false">
      <c r="A258" s="220" t="s">
        <v>443</v>
      </c>
      <c r="B258" s="221"/>
      <c r="C258" s="261" t="str">
        <f aca="false">IFERROR(IF(C$182*C$183*C$184*C185&gt;0,AVERAGE(C$182:C$184, C185),""),"")</f>
        <v/>
      </c>
      <c r="D258" s="261" t="str">
        <f aca="false">IFERROR(IF(D$182*D$183*D$184*D185&gt;0,AVERAGE(D$182:D$184, D185),""),"")</f>
        <v/>
      </c>
      <c r="E258" s="261" t="str">
        <f aca="false">IFERROR(IF(E$182*E$183*E$184*E185&gt;0,AVERAGE(E$182:E$184, E185),""),"")</f>
        <v/>
      </c>
      <c r="F258" s="261" t="str">
        <f aca="false">IFERROR(IF(F$182*F$183*F$184*F185&gt;0,AVERAGE(F$182:F$184, F185),""),"")</f>
        <v/>
      </c>
      <c r="G258" s="261" t="str">
        <f aca="false">IFERROR(IF(G$182*G$183*G$184*G185&gt;0,AVERAGE(G$182:G$184, G185),""),"")</f>
        <v/>
      </c>
      <c r="H258" s="261" t="str">
        <f aca="false">IFERROR(IF(H$182*H$183*H$184*H185&gt;0,AVERAGE(H$182:H$184, H185),""),"")</f>
        <v/>
      </c>
      <c r="I258" s="261" t="str">
        <f aca="false">IFERROR(IF(I$182*I$183*I$184*I185&gt;0,AVERAGE(I$182:I$184, I185),""),"")</f>
        <v/>
      </c>
      <c r="J258" s="261" t="str">
        <f aca="false">IFERROR(IF(J$182*J$183*J$184*J185&gt;0,AVERAGE(J$182:J$184, J185),""),"")</f>
        <v/>
      </c>
      <c r="K258" s="261" t="str">
        <f aca="false">IFERROR(IF(K$182*K$183*K$184*K185&gt;0,AVERAGE(K$182:K$184, K185),""),"")</f>
        <v/>
      </c>
      <c r="L258" s="261" t="str">
        <f aca="false">IFERROR(IF(L$182*L$183*L$184*L185&gt;0,AVERAGE(L$182:L$184, L185),""),"")</f>
        <v/>
      </c>
      <c r="M258" s="261" t="str">
        <f aca="false">IFERROR(IF(M$182*M$183*M$184*M185&gt;0,AVERAGE(M$182:M$184, M185),""),"")</f>
        <v/>
      </c>
      <c r="N258" s="261" t="str">
        <f aca="false">IFERROR(IF(N$182*N$183*N$184*N185&gt;0,AVERAGE(N$182:N$184, N185),""),"")</f>
        <v/>
      </c>
      <c r="O258" s="240" t="n">
        <v>4</v>
      </c>
      <c r="P258" s="224" t="n">
        <f aca="false">COMBIN(7,4)</f>
        <v>35</v>
      </c>
      <c r="Q258" s="252" t="n">
        <f aca="false">ROW(N292)-ROW(N258)+1</f>
        <v>35</v>
      </c>
      <c r="R258" s="226" t="s">
        <v>444</v>
      </c>
      <c r="S258" s="227" t="str">
        <f aca="false">IFERROR(IF(C$182*C$183*C$184*C185&gt;0,STDEV(C$182:C$184, C185),"")/IF(C$182*C$183*C$184*C185&gt;0,AVERAGE(C$182:C$184, C185),""),"")</f>
        <v/>
      </c>
      <c r="T258" s="227" t="str">
        <f aca="false">IFERROR(IF(D$182*D$183*D$184*D185&gt;0,STDEV(D$182:D$184, D185),"")/IF(D$182*D$183*D$184*D185&gt;0,AVERAGE(D$182:D$184, D185),""),"")</f>
        <v/>
      </c>
      <c r="U258" s="227" t="str">
        <f aca="false">IFERROR(IF(E$182*E$183*E$184*E185&gt;0,STDEV(E$182:E$184, E185),"")/IF(E$182*E$183*E$184*E185&gt;0,AVERAGE(E$182:E$184, E185),""),"")</f>
        <v/>
      </c>
      <c r="V258" s="227" t="str">
        <f aca="false">IFERROR(IF(F$182*F$183*F$184*F185&gt;0,STDEV(F$182:F$184, F185),"")/IF(F$182*F$183*F$184*F185&gt;0,AVERAGE(F$182:F$184, F185),""),"")</f>
        <v/>
      </c>
      <c r="W258" s="227" t="str">
        <f aca="false">IFERROR(IF(G$182*G$183*G$184*G185&gt;0,STDEV(G$182:G$184, G185),"")/IF(G$182*G$183*G$184*G185&gt;0,AVERAGE(G$182:G$184, G185),""),"")</f>
        <v/>
      </c>
      <c r="X258" s="227" t="str">
        <f aca="false">IFERROR(IF(H$182*H$183*H$184*H185&gt;0,STDEV(H$182:H$184, H185),"")/IF(H$182*H$183*H$184*H185&gt;0,AVERAGE(H$182:H$184, H185),""),"")</f>
        <v/>
      </c>
      <c r="Y258" s="227" t="str">
        <f aca="false">IFERROR(IF(I$182*I$183*I$184*I185&gt;0,STDEV(I$182:I$184, I185),"")/IF(I$182*I$183*I$184*I185&gt;0,AVERAGE(I$182:I$184, I185),""),"")</f>
        <v/>
      </c>
      <c r="Z258" s="227" t="str">
        <f aca="false">IFERROR(IF(J$182*J$183*J$184*J185&gt;0,STDEV(J$182:J$184, J185),"")/IF(J$182*J$183*J$184*J185&gt;0,AVERAGE(J$182:J$184, J185),""),"")</f>
        <v/>
      </c>
      <c r="AA258" s="227" t="str">
        <f aca="false">IFERROR(IF(K$182*K$183*K$184*K185&gt;0,STDEV(K$182:K$184, K185),"")/IF(K$182*K$183*K$184*K185&gt;0,AVERAGE(K$182:K$184, K185),""),"")</f>
        <v/>
      </c>
      <c r="AB258" s="227" t="str">
        <f aca="false">IFERROR(IF(L$182*L$183*L$184*L185&gt;0,STDEV(L$182:L$184, L185),"")/IF(L$182*L$183*L$184*L185&gt;0,AVERAGE(L$182:L$184, L185),""),"")</f>
        <v/>
      </c>
      <c r="AC258" s="227" t="str">
        <f aca="false">IFERROR(IF(M$182*M$183*M$184*M185&gt;0,STDEV(M$182:M$184, M185),"")/IF(M$182*M$183*M$184*M185&gt;0,AVERAGE(M$182:M$184, M185),""),"")</f>
        <v/>
      </c>
      <c r="AD258" s="227" t="str">
        <f aca="false">IFERROR(IF(N$182*N$183*N$184*N185&gt;0,STDEV(N$182:N$184, N185),"")/IF(N$182*N$183*N$184*N185&gt;0,AVERAGE(N$182:N$184, N185),""),"")</f>
        <v/>
      </c>
      <c r="AE258" s="233"/>
      <c r="AF258" s="229" t="s">
        <v>445</v>
      </c>
      <c r="AG258" s="270" t="str">
        <f aca="false">IFERROR(IF(C$182*C$183*C$184*C185&gt;0,STDEV(C$182:C$184, C185)," ")/IF(C$182*C$183*C$184*C185&gt;0,SQRT(COUNT(C$182:C$184, C185))," "),"")</f>
        <v/>
      </c>
      <c r="AH258" s="270" t="str">
        <f aca="false">IFERROR(IF(D$182*D$183*D$184*D185&gt;0,STDEV(D$182:D$184, D185)," ")/IF(D$182*D$183*D$184*D185&gt;0,SQRT(COUNT(D$182:D$184, D185))," "),"")</f>
        <v/>
      </c>
      <c r="AI258" s="270" t="str">
        <f aca="false">IFERROR(IF(E$182*E$183*E$184*E185&gt;0,STDEV(E$182:E$184, E185)," ")/IF(E$182*E$183*E$184*E185&gt;0,SQRT(COUNT(E$182:E$184, E185))," "),"")</f>
        <v/>
      </c>
      <c r="AJ258" s="270" t="str">
        <f aca="false">IFERROR(IF(F$182*F$183*F$184*F185&gt;0,STDEV(F$182:F$184, F185)," ")/IF(F$182*F$183*F$184*F185&gt;0,SQRT(COUNT(F$182:F$184, F185))," "),"")</f>
        <v/>
      </c>
      <c r="AK258" s="270" t="str">
        <f aca="false">IFERROR(IF(G$182*G$183*G$184*G185&gt;0,STDEV(G$182:G$184, G185)," ")/IF(G$182*G$183*G$184*G185&gt;0,SQRT(COUNT(G$182:G$184, G185))," "),"")</f>
        <v/>
      </c>
      <c r="AL258" s="270" t="str">
        <f aca="false">IFERROR(IF(H$182*H$183*H$184*H185&gt;0,STDEV(H$182:H$184, H185)," ")/IF(H$182*H$183*H$184*H185&gt;0,SQRT(COUNT(H$182:H$184, H185))," "),"")</f>
        <v/>
      </c>
      <c r="AM258" s="270" t="str">
        <f aca="false">IFERROR(IF(I$182*I$183*I$184*I185&gt;0,STDEV(I$182:I$184, I185)," ")/IF(I$182*I$183*I$184*I185&gt;0,SQRT(COUNT(I$182:I$184, I185))," "),"")</f>
        <v/>
      </c>
      <c r="AN258" s="270" t="str">
        <f aca="false">IFERROR(IF(J$182*J$183*J$184*J185&gt;0,STDEV(J$182:J$184, J185)," ")/IF(J$182*J$183*J$184*J185&gt;0,SQRT(COUNT(J$182:J$184, J185))," "),"")</f>
        <v/>
      </c>
      <c r="AO258" s="270" t="str">
        <f aca="false">IFERROR(IF(K$182*K$183*K$184*K185&gt;0,STDEV(K$182:K$184, K185)," ")/IF(K$182*K$183*K$184*K185&gt;0,SQRT(COUNT(K$182:K$184, K185))," "),"")</f>
        <v/>
      </c>
      <c r="AP258" s="270" t="str">
        <f aca="false">IFERROR(IF(L$182*L$183*L$184*L185&gt;0,STDEV(L$182:L$184, L185)," ")/IF(L$182*L$183*L$184*L185&gt;0,SQRT(COUNT(L$182:L$184, L185))," "),"")</f>
        <v/>
      </c>
      <c r="AQ258" s="270" t="str">
        <f aca="false">IFERROR(IF(M$182*M$183*M$184*M185&gt;0,STDEV(M$182:M$184, M185)," ")/IF(M$182*M$183*M$184*M185&gt;0,SQRT(COUNT(M$182:M$184, M185))," "),"")</f>
        <v/>
      </c>
      <c r="AR258" s="270" t="str">
        <f aca="false">IFERROR(IF(N$182*N$183*N$184*N185&gt;0,STDEV(N$182:N$184, N185)," ")/IF(N$182*N$183*N$184*N185&gt;0,SQRT(COUNT(N$182:N$184, N185))," "),"")</f>
        <v/>
      </c>
    </row>
    <row r="259" customFormat="false" ht="15.75" hidden="false" customHeight="false" outlineLevel="0" collapsed="false">
      <c r="A259" s="220" t="s">
        <v>446</v>
      </c>
      <c r="B259" s="221"/>
      <c r="C259" s="261" t="str">
        <f aca="false">IFERROR(IF(C$182*C$183*C$184*C186&gt;0,AVERAGE(C$182:C$184, C186),""),"")</f>
        <v/>
      </c>
      <c r="D259" s="261" t="str">
        <f aca="false">IFERROR(IF(D$182*D$183*D$184*D186&gt;0,AVERAGE(D$182:D$184, D186),""),"")</f>
        <v/>
      </c>
      <c r="E259" s="261" t="str">
        <f aca="false">IFERROR(IF(E$182*E$183*E$184*E186&gt;0,AVERAGE(E$182:E$184, E186),""),"")</f>
        <v/>
      </c>
      <c r="F259" s="261" t="str">
        <f aca="false">IFERROR(IF(F$182*F$183*F$184*F186&gt;0,AVERAGE(F$182:F$184, F186),""),"")</f>
        <v/>
      </c>
      <c r="G259" s="261" t="str">
        <f aca="false">IFERROR(IF(G$182*G$183*G$184*G186&gt;0,AVERAGE(G$182:G$184, G186),""),"")</f>
        <v/>
      </c>
      <c r="H259" s="261" t="str">
        <f aca="false">IFERROR(IF(H$182*H$183*H$184*H186&gt;0,AVERAGE(H$182:H$184, H186),""),"")</f>
        <v/>
      </c>
      <c r="I259" s="261" t="str">
        <f aca="false">IFERROR(IF(I$182*I$183*I$184*I186&gt;0,AVERAGE(I$182:I$184, I186),""),"")</f>
        <v/>
      </c>
      <c r="J259" s="261" t="str">
        <f aca="false">IFERROR(IF(J$182*J$183*J$184*J186&gt;0,AVERAGE(J$182:J$184, J186),""),"")</f>
        <v/>
      </c>
      <c r="K259" s="261" t="str">
        <f aca="false">IFERROR(IF(K$182*K$183*K$184*K186&gt;0,AVERAGE(K$182:K$184, K186),""),"")</f>
        <v/>
      </c>
      <c r="L259" s="261" t="str">
        <f aca="false">IFERROR(IF(L$182*L$183*L$184*L186&gt;0,AVERAGE(L$182:L$184, L186),""),"")</f>
        <v/>
      </c>
      <c r="M259" s="261" t="str">
        <f aca="false">IFERROR(IF(M$182*M$183*M$184*M186&gt;0,AVERAGE(M$182:M$184, M186),""),"")</f>
        <v/>
      </c>
      <c r="N259" s="261" t="str">
        <f aca="false">IFERROR(IF(N$182*N$183*N$184*N186&gt;0,AVERAGE(N$182:N$184, N186),""),"")</f>
        <v/>
      </c>
      <c r="O259" s="224"/>
      <c r="P259" s="224"/>
      <c r="Q259" s="232"/>
      <c r="R259" s="226" t="s">
        <v>447</v>
      </c>
      <c r="S259" s="227" t="str">
        <f aca="false">IFERROR(IF(C$182*C$183*C$184*C186&gt;0,STDEV(C$182:C$184, C186),"")/IF(C$182*C$183*C$184*C186&gt;0,AVERAGE(C$182:C$184, C186),""),"")</f>
        <v/>
      </c>
      <c r="T259" s="227" t="str">
        <f aca="false">IFERROR(IF(D$182*D$183*D$184*D186&gt;0,STDEV(D$182:D$184, D186),"")/IF(D$182*D$183*D$184*D186&gt;0,AVERAGE(D$182:D$184, D186),""),"")</f>
        <v/>
      </c>
      <c r="U259" s="227" t="str">
        <f aca="false">IFERROR(IF(E$182*E$183*E$184*E186&gt;0,STDEV(E$182:E$184, E186),"")/IF(E$182*E$183*E$184*E186&gt;0,AVERAGE(E$182:E$184, E186),""),"")</f>
        <v/>
      </c>
      <c r="V259" s="227" t="str">
        <f aca="false">IFERROR(IF(F$182*F$183*F$184*F186&gt;0,STDEV(F$182:F$184, F186),"")/IF(F$182*F$183*F$184*F186&gt;0,AVERAGE(F$182:F$184, F186),""),"")</f>
        <v/>
      </c>
      <c r="W259" s="227" t="str">
        <f aca="false">IFERROR(IF(G$182*G$183*G$184*G186&gt;0,STDEV(G$182:G$184, G186),"")/IF(G$182*G$183*G$184*G186&gt;0,AVERAGE(G$182:G$184, G186),""),"")</f>
        <v/>
      </c>
      <c r="X259" s="227" t="str">
        <f aca="false">IFERROR(IF(H$182*H$183*H$184*H186&gt;0,STDEV(H$182:H$184, H186),"")/IF(H$182*H$183*H$184*H186&gt;0,AVERAGE(H$182:H$184, H186),""),"")</f>
        <v/>
      </c>
      <c r="Y259" s="227" t="str">
        <f aca="false">IFERROR(IF(I$182*I$183*I$184*I186&gt;0,STDEV(I$182:I$184, I186),"")/IF(I$182*I$183*I$184*I186&gt;0,AVERAGE(I$182:I$184, I186),""),"")</f>
        <v/>
      </c>
      <c r="Z259" s="227" t="str">
        <f aca="false">IFERROR(IF(J$182*J$183*J$184*J186&gt;0,STDEV(J$182:J$184, J186),"")/IF(J$182*J$183*J$184*J186&gt;0,AVERAGE(J$182:J$184, J186),""),"")</f>
        <v/>
      </c>
      <c r="AA259" s="227" t="str">
        <f aca="false">IFERROR(IF(K$182*K$183*K$184*K186&gt;0,STDEV(K$182:K$184, K186),"")/IF(K$182*K$183*K$184*K186&gt;0,AVERAGE(K$182:K$184, K186),""),"")</f>
        <v/>
      </c>
      <c r="AB259" s="227" t="str">
        <f aca="false">IFERROR(IF(L$182*L$183*L$184*L186&gt;0,STDEV(L$182:L$184, L186),"")/IF(L$182*L$183*L$184*L186&gt;0,AVERAGE(L$182:L$184, L186),""),"")</f>
        <v/>
      </c>
      <c r="AC259" s="227" t="str">
        <f aca="false">IFERROR(IF(M$182*M$183*M$184*M186&gt;0,STDEV(M$182:M$184, M186),"")/IF(M$182*M$183*M$184*M186&gt;0,AVERAGE(M$182:M$184, M186),""),"")</f>
        <v/>
      </c>
      <c r="AD259" s="227" t="str">
        <f aca="false">IFERROR(IF(N$182*N$183*N$184*N186&gt;0,STDEV(N$182:N$184, N186),"")/IF(N$182*N$183*N$184*N186&gt;0,AVERAGE(N$182:N$184, N186),""),"")</f>
        <v/>
      </c>
      <c r="AE259" s="233"/>
      <c r="AF259" s="229" t="s">
        <v>448</v>
      </c>
      <c r="AG259" s="270" t="str">
        <f aca="false">IFERROR(IF(C$182*C$183*C$184*C186&gt;0,STDEV(C$182:C$184, C186)," ")/IF(C$182*C$183*C$184*C186&gt;0,SQRT(COUNT(C$182:C$184, C186))," "),"")</f>
        <v/>
      </c>
      <c r="AH259" s="270" t="str">
        <f aca="false">IFERROR(IF(D$182*D$183*D$184*D186&gt;0,STDEV(D$182:D$184, D186)," ")/IF(D$182*D$183*D$184*D186&gt;0,SQRT(COUNT(D$182:D$184, D186))," "),"")</f>
        <v/>
      </c>
      <c r="AI259" s="270" t="str">
        <f aca="false">IFERROR(IF(E$182*E$183*E$184*E186&gt;0,STDEV(E$182:E$184, E186)," ")/IF(E$182*E$183*E$184*E186&gt;0,SQRT(COUNT(E$182:E$184, E186))," "),"")</f>
        <v/>
      </c>
      <c r="AJ259" s="270" t="str">
        <f aca="false">IFERROR(IF(F$182*F$183*F$184*F186&gt;0,STDEV(F$182:F$184, F186)," ")/IF(F$182*F$183*F$184*F186&gt;0,SQRT(COUNT(F$182:F$184, F186))," "),"")</f>
        <v/>
      </c>
      <c r="AK259" s="270" t="str">
        <f aca="false">IFERROR(IF(G$182*G$183*G$184*G186&gt;0,STDEV(G$182:G$184, G186)," ")/IF(G$182*G$183*G$184*G186&gt;0,SQRT(COUNT(G$182:G$184, G186))," "),"")</f>
        <v/>
      </c>
      <c r="AL259" s="270" t="str">
        <f aca="false">IFERROR(IF(H$182*H$183*H$184*H186&gt;0,STDEV(H$182:H$184, H186)," ")/IF(H$182*H$183*H$184*H186&gt;0,SQRT(COUNT(H$182:H$184, H186))," "),"")</f>
        <v/>
      </c>
      <c r="AM259" s="270" t="str">
        <f aca="false">IFERROR(IF(I$182*I$183*I$184*I186&gt;0,STDEV(I$182:I$184, I186)," ")/IF(I$182*I$183*I$184*I186&gt;0,SQRT(COUNT(I$182:I$184, I186))," "),"")</f>
        <v/>
      </c>
      <c r="AN259" s="270" t="str">
        <f aca="false">IFERROR(IF(J$182*J$183*J$184*J186&gt;0,STDEV(J$182:J$184, J186)," ")/IF(J$182*J$183*J$184*J186&gt;0,SQRT(COUNT(J$182:J$184, J186))," "),"")</f>
        <v/>
      </c>
      <c r="AO259" s="270" t="str">
        <f aca="false">IFERROR(IF(K$182*K$183*K$184*K186&gt;0,STDEV(K$182:K$184, K186)," ")/IF(K$182*K$183*K$184*K186&gt;0,SQRT(COUNT(K$182:K$184, K186))," "),"")</f>
        <v/>
      </c>
      <c r="AP259" s="270" t="str">
        <f aca="false">IFERROR(IF(L$182*L$183*L$184*L186&gt;0,STDEV(L$182:L$184, L186)," ")/IF(L$182*L$183*L$184*L186&gt;0,SQRT(COUNT(L$182:L$184, L186))," "),"")</f>
        <v/>
      </c>
      <c r="AQ259" s="270" t="str">
        <f aca="false">IFERROR(IF(M$182*M$183*M$184*M186&gt;0,STDEV(M$182:M$184, M186)," ")/IF(M$182*M$183*M$184*M186&gt;0,SQRT(COUNT(M$182:M$184, M186))," "),"")</f>
        <v/>
      </c>
      <c r="AR259" s="270" t="str">
        <f aca="false">IFERROR(IF(N$182*N$183*N$184*N186&gt;0,STDEV(N$182:N$184, N186)," ")/IF(N$182*N$183*N$184*N186&gt;0,SQRT(COUNT(N$182:N$184, N186))," "),"")</f>
        <v/>
      </c>
    </row>
    <row r="260" customFormat="false" ht="15.75" hidden="false" customHeight="false" outlineLevel="0" collapsed="false">
      <c r="A260" s="220" t="s">
        <v>449</v>
      </c>
      <c r="B260" s="221"/>
      <c r="C260" s="261" t="str">
        <f aca="false">IFERROR(IF(C$182*C$183*C$184*C187&gt;0,AVERAGE(C$182:C$184, C187),""),"")</f>
        <v/>
      </c>
      <c r="D260" s="261" t="str">
        <f aca="false">IFERROR(IF(D$182*D$183*D$184*D187&gt;0,AVERAGE(D$182:D$184, D187),""),"")</f>
        <v/>
      </c>
      <c r="E260" s="261" t="str">
        <f aca="false">IFERROR(IF(E$182*E$183*E$184*E187&gt;0,AVERAGE(E$182:E$184, E187),""),"")</f>
        <v/>
      </c>
      <c r="F260" s="261" t="str">
        <f aca="false">IFERROR(IF(F$182*F$183*F$184*F187&gt;0,AVERAGE(F$182:F$184, F187),""),"")</f>
        <v/>
      </c>
      <c r="G260" s="261" t="str">
        <f aca="false">IFERROR(IF(G$182*G$183*G$184*G187&gt;0,AVERAGE(G$182:G$184, G187),""),"")</f>
        <v/>
      </c>
      <c r="H260" s="261" t="str">
        <f aca="false">IFERROR(IF(H$182*H$183*H$184*H187&gt;0,AVERAGE(H$182:H$184, H187),""),"")</f>
        <v/>
      </c>
      <c r="I260" s="261" t="str">
        <f aca="false">IFERROR(IF(I$182*I$183*I$184*I187&gt;0,AVERAGE(I$182:I$184, I187),""),"")</f>
        <v/>
      </c>
      <c r="J260" s="261" t="str">
        <f aca="false">IFERROR(IF(J$182*J$183*J$184*J187&gt;0,AVERAGE(J$182:J$184, J187),""),"")</f>
        <v/>
      </c>
      <c r="K260" s="261" t="str">
        <f aca="false">IFERROR(IF(K$182*K$183*K$184*K187&gt;0,AVERAGE(K$182:K$184, K187),""),"")</f>
        <v/>
      </c>
      <c r="L260" s="261" t="str">
        <f aca="false">IFERROR(IF(L$182*L$183*L$184*L187&gt;0,AVERAGE(L$182:L$184, L187),""),"")</f>
        <v/>
      </c>
      <c r="M260" s="261" t="str">
        <f aca="false">IFERROR(IF(M$182*M$183*M$184*M187&gt;0,AVERAGE(M$182:M$184, M187),""),"")</f>
        <v/>
      </c>
      <c r="N260" s="261" t="str">
        <f aca="false">IFERROR(IF(N$182*N$183*N$184*N187&gt;0,AVERAGE(N$182:N$184, N187),""),"")</f>
        <v/>
      </c>
      <c r="O260" s="224"/>
      <c r="P260" s="224"/>
      <c r="Q260" s="232"/>
      <c r="R260" s="226" t="s">
        <v>450</v>
      </c>
      <c r="S260" s="227" t="str">
        <f aca="false">IFERROR(IF(C$182*C$183*C$184*C187&gt;0,STDEV(C$182:C$184, C187),"")/IF(C$182*C$183*C$184*C187&gt;0,AVERAGE(C$182:C$184, C187),""),"")</f>
        <v/>
      </c>
      <c r="T260" s="227" t="str">
        <f aca="false">IFERROR(IF(D$182*D$183*D$184*D187&gt;0,STDEV(D$182:D$184, D187),"")/IF(D$182*D$183*D$184*D187&gt;0,AVERAGE(D$182:D$184, D187),""),"")</f>
        <v/>
      </c>
      <c r="U260" s="227" t="str">
        <f aca="false">IFERROR(IF(E$182*E$183*E$184*E187&gt;0,STDEV(E$182:E$184, E187),"")/IF(E$182*E$183*E$184*E187&gt;0,AVERAGE(E$182:E$184, E187),""),"")</f>
        <v/>
      </c>
      <c r="V260" s="227" t="str">
        <f aca="false">IFERROR(IF(F$182*F$183*F$184*F187&gt;0,STDEV(F$182:F$184, F187),"")/IF(F$182*F$183*F$184*F187&gt;0,AVERAGE(F$182:F$184, F187),""),"")</f>
        <v/>
      </c>
      <c r="W260" s="227" t="str">
        <f aca="false">IFERROR(IF(G$182*G$183*G$184*G187&gt;0,STDEV(G$182:G$184, G187),"")/IF(G$182*G$183*G$184*G187&gt;0,AVERAGE(G$182:G$184, G187),""),"")</f>
        <v/>
      </c>
      <c r="X260" s="227" t="str">
        <f aca="false">IFERROR(IF(H$182*H$183*H$184*H187&gt;0,STDEV(H$182:H$184, H187),"")/IF(H$182*H$183*H$184*H187&gt;0,AVERAGE(H$182:H$184, H187),""),"")</f>
        <v/>
      </c>
      <c r="Y260" s="227" t="str">
        <f aca="false">IFERROR(IF(I$182*I$183*I$184*I187&gt;0,STDEV(I$182:I$184, I187),"")/IF(I$182*I$183*I$184*I187&gt;0,AVERAGE(I$182:I$184, I187),""),"")</f>
        <v/>
      </c>
      <c r="Z260" s="227" t="str">
        <f aca="false">IFERROR(IF(J$182*J$183*J$184*J187&gt;0,STDEV(J$182:J$184, J187),"")/IF(J$182*J$183*J$184*J187&gt;0,AVERAGE(J$182:J$184, J187),""),"")</f>
        <v/>
      </c>
      <c r="AA260" s="227" t="str">
        <f aca="false">IFERROR(IF(K$182*K$183*K$184*K187&gt;0,STDEV(K$182:K$184, K187),"")/IF(K$182*K$183*K$184*K187&gt;0,AVERAGE(K$182:K$184, K187),""),"")</f>
        <v/>
      </c>
      <c r="AB260" s="227" t="str">
        <f aca="false">IFERROR(IF(L$182*L$183*L$184*L187&gt;0,STDEV(L$182:L$184, L187),"")/IF(L$182*L$183*L$184*L187&gt;0,AVERAGE(L$182:L$184, L187),""),"")</f>
        <v/>
      </c>
      <c r="AC260" s="227" t="str">
        <f aca="false">IFERROR(IF(M$182*M$183*M$184*M187&gt;0,STDEV(M$182:M$184, M187),"")/IF(M$182*M$183*M$184*M187&gt;0,AVERAGE(M$182:M$184, M187),""),"")</f>
        <v/>
      </c>
      <c r="AD260" s="227" t="str">
        <f aca="false">IFERROR(IF(N$182*N$183*N$184*N187&gt;0,STDEV(N$182:N$184, N187),"")/IF(N$182*N$183*N$184*N187&gt;0,AVERAGE(N$182:N$184, N187),""),"")</f>
        <v/>
      </c>
      <c r="AE260" s="233"/>
      <c r="AF260" s="229" t="s">
        <v>451</v>
      </c>
      <c r="AG260" s="270" t="str">
        <f aca="false">IFERROR(IF(C$182*C$183*C$184*C187&gt;0,STDEV(C$182:C$184, C187)," ")/IF(C$182*C$183*C$184*C187&gt;0,SQRT(COUNT(C$182:C$184, C187))," "),"")</f>
        <v/>
      </c>
      <c r="AH260" s="270" t="str">
        <f aca="false">IFERROR(IF(D$182*D$183*D$184*D187&gt;0,STDEV(D$182:D$184, D187)," ")/IF(D$182*D$183*D$184*D187&gt;0,SQRT(COUNT(D$182:D$184, D187))," "),"")</f>
        <v/>
      </c>
      <c r="AI260" s="270" t="str">
        <f aca="false">IFERROR(IF(E$182*E$183*E$184*E187&gt;0,STDEV(E$182:E$184, E187)," ")/IF(E$182*E$183*E$184*E187&gt;0,SQRT(COUNT(E$182:E$184, E187))," "),"")</f>
        <v/>
      </c>
      <c r="AJ260" s="270" t="str">
        <f aca="false">IFERROR(IF(F$182*F$183*F$184*F187&gt;0,STDEV(F$182:F$184, F187)," ")/IF(F$182*F$183*F$184*F187&gt;0,SQRT(COUNT(F$182:F$184, F187))," "),"")</f>
        <v/>
      </c>
      <c r="AK260" s="270" t="str">
        <f aca="false">IFERROR(IF(G$182*G$183*G$184*G187&gt;0,STDEV(G$182:G$184, G187)," ")/IF(G$182*G$183*G$184*G187&gt;0,SQRT(COUNT(G$182:G$184, G187))," "),"")</f>
        <v/>
      </c>
      <c r="AL260" s="270" t="str">
        <f aca="false">IFERROR(IF(H$182*H$183*H$184*H187&gt;0,STDEV(H$182:H$184, H187)," ")/IF(H$182*H$183*H$184*H187&gt;0,SQRT(COUNT(H$182:H$184, H187))," "),"")</f>
        <v/>
      </c>
      <c r="AM260" s="270" t="str">
        <f aca="false">IFERROR(IF(I$182*I$183*I$184*I187&gt;0,STDEV(I$182:I$184, I187)," ")/IF(I$182*I$183*I$184*I187&gt;0,SQRT(COUNT(I$182:I$184, I187))," "),"")</f>
        <v/>
      </c>
      <c r="AN260" s="270" t="str">
        <f aca="false">IFERROR(IF(J$182*J$183*J$184*J187&gt;0,STDEV(J$182:J$184, J187)," ")/IF(J$182*J$183*J$184*J187&gt;0,SQRT(COUNT(J$182:J$184, J187))," "),"")</f>
        <v/>
      </c>
      <c r="AO260" s="270" t="str">
        <f aca="false">IFERROR(IF(K$182*K$183*K$184*K187&gt;0,STDEV(K$182:K$184, K187)," ")/IF(K$182*K$183*K$184*K187&gt;0,SQRT(COUNT(K$182:K$184, K187))," "),"")</f>
        <v/>
      </c>
      <c r="AP260" s="270" t="str">
        <f aca="false">IFERROR(IF(L$182*L$183*L$184*L187&gt;0,STDEV(L$182:L$184, L187)," ")/IF(L$182*L$183*L$184*L187&gt;0,SQRT(COUNT(L$182:L$184, L187))," "),"")</f>
        <v/>
      </c>
      <c r="AQ260" s="270" t="str">
        <f aca="false">IFERROR(IF(M$182*M$183*M$184*M187&gt;0,STDEV(M$182:M$184, M187)," ")/IF(M$182*M$183*M$184*M187&gt;0,SQRT(COUNT(M$182:M$184, M187))," "),"")</f>
        <v/>
      </c>
      <c r="AR260" s="270" t="str">
        <f aca="false">IFERROR(IF(N$182*N$183*N$184*N187&gt;0,STDEV(N$182:N$184, N187)," ")/IF(N$182*N$183*N$184*N187&gt;0,SQRT(COUNT(N$182:N$184, N187))," "),"")</f>
        <v/>
      </c>
    </row>
    <row r="261" customFormat="false" ht="15.75" hidden="false" customHeight="false" outlineLevel="0" collapsed="false">
      <c r="A261" s="220" t="s">
        <v>452</v>
      </c>
      <c r="B261" s="221"/>
      <c r="C261" s="261" t="str">
        <f aca="false">IFERROR(IF(C$182*C$183*C$184*C188&gt;0,AVERAGE(C$182:C$184, C188),""),"")</f>
        <v/>
      </c>
      <c r="D261" s="261" t="str">
        <f aca="false">IFERROR(IF(D$182*D$183*D$184*D188&gt;0,AVERAGE(D$182:D$184, D188),""),"")</f>
        <v/>
      </c>
      <c r="E261" s="261" t="str">
        <f aca="false">IFERROR(IF(E$182*E$183*E$184*E188&gt;0,AVERAGE(E$182:E$184, E188),""),"")</f>
        <v/>
      </c>
      <c r="F261" s="261" t="str">
        <f aca="false">IFERROR(IF(F$182*F$183*F$184*F188&gt;0,AVERAGE(F$182:F$184, F188),""),"")</f>
        <v/>
      </c>
      <c r="G261" s="261" t="str">
        <f aca="false">IFERROR(IF(G$182*G$183*G$184*G188&gt;0,AVERAGE(G$182:G$184, G188),""),"")</f>
        <v/>
      </c>
      <c r="H261" s="261" t="str">
        <f aca="false">IFERROR(IF(H$182*H$183*H$184*H188&gt;0,AVERAGE(H$182:H$184, H188),""),"")</f>
        <v/>
      </c>
      <c r="I261" s="261" t="str">
        <f aca="false">IFERROR(IF(I$182*I$183*I$184*I188&gt;0,AVERAGE(I$182:I$184, I188),""),"")</f>
        <v/>
      </c>
      <c r="J261" s="261" t="str">
        <f aca="false">IFERROR(IF(J$182*J$183*J$184*J188&gt;0,AVERAGE(J$182:J$184, J188),""),"")</f>
        <v/>
      </c>
      <c r="K261" s="261" t="str">
        <f aca="false">IFERROR(IF(K$182*K$183*K$184*K188&gt;0,AVERAGE(K$182:K$184, K188),""),"")</f>
        <v/>
      </c>
      <c r="L261" s="261" t="str">
        <f aca="false">IFERROR(IF(L$182*L$183*L$184*L188&gt;0,AVERAGE(L$182:L$184, L188),""),"")</f>
        <v/>
      </c>
      <c r="M261" s="261" t="str">
        <f aca="false">IFERROR(IF(M$182*M$183*M$184*M188&gt;0,AVERAGE(M$182:M$184, M188),""),"")</f>
        <v/>
      </c>
      <c r="N261" s="261" t="str">
        <f aca="false">IFERROR(IF(N$182*N$183*N$184*N188&gt;0,AVERAGE(N$182:N$184, N188),""),"")</f>
        <v/>
      </c>
      <c r="O261" s="224"/>
      <c r="P261" s="224"/>
      <c r="Q261" s="232"/>
      <c r="R261" s="226" t="s">
        <v>453</v>
      </c>
      <c r="S261" s="227" t="str">
        <f aca="false">IFERROR(IF(C$182*C$183*C$184*C188&gt;0,STDEV(C$182:C$184, C188),"")/IF(C$182*C$183*C$184*C188&gt;0,AVERAGE(C$182:C$184, C188),""),"")</f>
        <v/>
      </c>
      <c r="T261" s="227" t="str">
        <f aca="false">IFERROR(IF(D$182*D$183*D$184*D188&gt;0,STDEV(D$182:D$184, D188),"")/IF(D$182*D$183*D$184*D188&gt;0,AVERAGE(D$182:D$184, D188),""),"")</f>
        <v/>
      </c>
      <c r="U261" s="227" t="str">
        <f aca="false">IFERROR(IF(E$182*E$183*E$184*E188&gt;0,STDEV(E$182:E$184, E188),"")/IF(E$182*E$183*E$184*E188&gt;0,AVERAGE(E$182:E$184, E188),""),"")</f>
        <v/>
      </c>
      <c r="V261" s="227" t="str">
        <f aca="false">IFERROR(IF(F$182*F$183*F$184*F188&gt;0,STDEV(F$182:F$184, F188),"")/IF(F$182*F$183*F$184*F188&gt;0,AVERAGE(F$182:F$184, F188),""),"")</f>
        <v/>
      </c>
      <c r="W261" s="227" t="str">
        <f aca="false">IFERROR(IF(G$182*G$183*G$184*G188&gt;0,STDEV(G$182:G$184, G188),"")/IF(G$182*G$183*G$184*G188&gt;0,AVERAGE(G$182:G$184, G188),""),"")</f>
        <v/>
      </c>
      <c r="X261" s="227" t="str">
        <f aca="false">IFERROR(IF(H$182*H$183*H$184*H188&gt;0,STDEV(H$182:H$184, H188),"")/IF(H$182*H$183*H$184*H188&gt;0,AVERAGE(H$182:H$184, H188),""),"")</f>
        <v/>
      </c>
      <c r="Y261" s="227" t="str">
        <f aca="false">IFERROR(IF(I$182*I$183*I$184*I188&gt;0,STDEV(I$182:I$184, I188),"")/IF(I$182*I$183*I$184*I188&gt;0,AVERAGE(I$182:I$184, I188),""),"")</f>
        <v/>
      </c>
      <c r="Z261" s="227" t="str">
        <f aca="false">IFERROR(IF(J$182*J$183*J$184*J188&gt;0,STDEV(J$182:J$184, J188),"")/IF(J$182*J$183*J$184*J188&gt;0,AVERAGE(J$182:J$184, J188),""),"")</f>
        <v/>
      </c>
      <c r="AA261" s="227" t="str">
        <f aca="false">IFERROR(IF(K$182*K$183*K$184*K188&gt;0,STDEV(K$182:K$184, K188),"")/IF(K$182*K$183*K$184*K188&gt;0,AVERAGE(K$182:K$184, K188),""),"")</f>
        <v/>
      </c>
      <c r="AB261" s="227" t="str">
        <f aca="false">IFERROR(IF(L$182*L$183*L$184*L188&gt;0,STDEV(L$182:L$184, L188),"")/IF(L$182*L$183*L$184*L188&gt;0,AVERAGE(L$182:L$184, L188),""),"")</f>
        <v/>
      </c>
      <c r="AC261" s="227" t="str">
        <f aca="false">IFERROR(IF(M$182*M$183*M$184*M188&gt;0,STDEV(M$182:M$184, M188),"")/IF(M$182*M$183*M$184*M188&gt;0,AVERAGE(M$182:M$184, M188),""),"")</f>
        <v/>
      </c>
      <c r="AD261" s="227" t="str">
        <f aca="false">IFERROR(IF(N$182*N$183*N$184*N188&gt;0,STDEV(N$182:N$184, N188),"")/IF(N$182*N$183*N$184*N188&gt;0,AVERAGE(N$182:N$184, N188),""),"")</f>
        <v/>
      </c>
      <c r="AE261" s="233"/>
      <c r="AF261" s="229" t="s">
        <v>454</v>
      </c>
      <c r="AG261" s="270" t="str">
        <f aca="false">IFERROR(IF(C$182*C$183*C$184*C188&gt;0,STDEV(C$182:C$184, C188)," ")/IF(C$182*C$183*C$184*C188&gt;0,SQRT(COUNT(C$182:C$184, C188))," "),"")</f>
        <v/>
      </c>
      <c r="AH261" s="270" t="str">
        <f aca="false">IFERROR(IF(D$182*D$183*D$184*D188&gt;0,STDEV(D$182:D$184, D188)," ")/IF(D$182*D$183*D$184*D188&gt;0,SQRT(COUNT(D$182:D$184, D188))," "),"")</f>
        <v/>
      </c>
      <c r="AI261" s="270" t="str">
        <f aca="false">IFERROR(IF(E$182*E$183*E$184*E188&gt;0,STDEV(E$182:E$184, E188)," ")/IF(E$182*E$183*E$184*E188&gt;0,SQRT(COUNT(E$182:E$184, E188))," "),"")</f>
        <v/>
      </c>
      <c r="AJ261" s="270" t="str">
        <f aca="false">IFERROR(IF(F$182*F$183*F$184*F188&gt;0,STDEV(F$182:F$184, F188)," ")/IF(F$182*F$183*F$184*F188&gt;0,SQRT(COUNT(F$182:F$184, F188))," "),"")</f>
        <v/>
      </c>
      <c r="AK261" s="270" t="str">
        <f aca="false">IFERROR(IF(G$182*G$183*G$184*G188&gt;0,STDEV(G$182:G$184, G188)," ")/IF(G$182*G$183*G$184*G188&gt;0,SQRT(COUNT(G$182:G$184, G188))," "),"")</f>
        <v/>
      </c>
      <c r="AL261" s="270" t="str">
        <f aca="false">IFERROR(IF(H$182*H$183*H$184*H188&gt;0,STDEV(H$182:H$184, H188)," ")/IF(H$182*H$183*H$184*H188&gt;0,SQRT(COUNT(H$182:H$184, H188))," "),"")</f>
        <v/>
      </c>
      <c r="AM261" s="270" t="str">
        <f aca="false">IFERROR(IF(I$182*I$183*I$184*I188&gt;0,STDEV(I$182:I$184, I188)," ")/IF(I$182*I$183*I$184*I188&gt;0,SQRT(COUNT(I$182:I$184, I188))," "),"")</f>
        <v/>
      </c>
      <c r="AN261" s="270" t="str">
        <f aca="false">IFERROR(IF(J$182*J$183*J$184*J188&gt;0,STDEV(J$182:J$184, J188)," ")/IF(J$182*J$183*J$184*J188&gt;0,SQRT(COUNT(J$182:J$184, J188))," "),"")</f>
        <v/>
      </c>
      <c r="AO261" s="270" t="str">
        <f aca="false">IFERROR(IF(K$182*K$183*K$184*K188&gt;0,STDEV(K$182:K$184, K188)," ")/IF(K$182*K$183*K$184*K188&gt;0,SQRT(COUNT(K$182:K$184, K188))," "),"")</f>
        <v/>
      </c>
      <c r="AP261" s="270" t="str">
        <f aca="false">IFERROR(IF(L$182*L$183*L$184*L188&gt;0,STDEV(L$182:L$184, L188)," ")/IF(L$182*L$183*L$184*L188&gt;0,SQRT(COUNT(L$182:L$184, L188))," "),"")</f>
        <v/>
      </c>
      <c r="AQ261" s="270" t="str">
        <f aca="false">IFERROR(IF(M$182*M$183*M$184*M188&gt;0,STDEV(M$182:M$184, M188)," ")/IF(M$182*M$183*M$184*M188&gt;0,SQRT(COUNT(M$182:M$184, M188))," "),"")</f>
        <v/>
      </c>
      <c r="AR261" s="270" t="str">
        <f aca="false">IFERROR(IF(N$182*N$183*N$184*N188&gt;0,STDEV(N$182:N$184, N188)," ")/IF(N$182*N$183*N$184*N188&gt;0,SQRT(COUNT(N$182:N$184, N188))," "),"")</f>
        <v/>
      </c>
    </row>
    <row r="262" customFormat="false" ht="15.75" hidden="false" customHeight="false" outlineLevel="0" collapsed="false">
      <c r="A262" s="220" t="s">
        <v>455</v>
      </c>
      <c r="B262" s="221"/>
      <c r="C262" s="261" t="str">
        <f aca="false">IFERROR(IF(C$183*C$184*C$185*C182&gt;0,AVERAGE(C$183:C$185, C182),""),"")</f>
        <v/>
      </c>
      <c r="D262" s="261" t="str">
        <f aca="false">IFERROR(IF(D$183*D$184*D$185*D182&gt;0,AVERAGE(D$183:D$185, D182),""),"")</f>
        <v/>
      </c>
      <c r="E262" s="261" t="str">
        <f aca="false">IFERROR(IF(E$183*E$184*E$185*E182&gt;0,AVERAGE(E$183:E$185, E182),""),"")</f>
        <v/>
      </c>
      <c r="F262" s="261" t="str">
        <f aca="false">IFERROR(IF(F$183*F$184*F$185*F182&gt;0,AVERAGE(F$183:F$185, F182),""),"")</f>
        <v/>
      </c>
      <c r="G262" s="261" t="str">
        <f aca="false">IFERROR(IF(G$183*G$184*G$185*G182&gt;0,AVERAGE(G$183:G$185, G182),""),"")</f>
        <v/>
      </c>
      <c r="H262" s="261" t="str">
        <f aca="false">IFERROR(IF(H$183*H$184*H$185*H182&gt;0,AVERAGE(H$183:H$185, H182),""),"")</f>
        <v/>
      </c>
      <c r="I262" s="261" t="str">
        <f aca="false">IFERROR(IF(I$183*I$184*I$185*I182&gt;0,AVERAGE(I$183:I$185, I182),""),"")</f>
        <v/>
      </c>
      <c r="J262" s="261" t="str">
        <f aca="false">IFERROR(IF(J$183*J$184*J$185*J182&gt;0,AVERAGE(J$183:J$185, J182),""),"")</f>
        <v/>
      </c>
      <c r="K262" s="261" t="str">
        <f aca="false">IFERROR(IF(K$183*K$184*K$185*K182&gt;0,AVERAGE(K$183:K$185, K182),""),"")</f>
        <v/>
      </c>
      <c r="L262" s="261" t="str">
        <f aca="false">IFERROR(IF(L$183*L$184*L$185*L182&gt;0,AVERAGE(L$183:L$185, L182),""),"")</f>
        <v/>
      </c>
      <c r="M262" s="261" t="str">
        <f aca="false">IFERROR(IF(M$183*M$184*M$185*M182&gt;0,AVERAGE(M$183:M$185, M182),""),"")</f>
        <v/>
      </c>
      <c r="N262" s="261" t="str">
        <f aca="false">IFERROR(IF(N$183*N$184*N$185*N182&gt;0,AVERAGE(N$183:N$185, N182),""),"")</f>
        <v/>
      </c>
      <c r="O262" s="224"/>
      <c r="P262" s="224"/>
      <c r="Q262" s="232"/>
      <c r="R262" s="226" t="s">
        <v>456</v>
      </c>
      <c r="S262" s="227" t="str">
        <f aca="false">IFERROR(IF(C$183*C$184*C$185*C182&gt;0,STDEV(C$183:C$185, C182),"")/IF(C$183*C$184*C$185*C182&gt;0,AVERAGE(C$183:C$185, C182),""),"")</f>
        <v/>
      </c>
      <c r="T262" s="227" t="str">
        <f aca="false">IFERROR(IF(D$183*D$184*D$185*D182&gt;0,STDEV(D$183:D$185, D182),"")/IF(D$183*D$184*D$185*D182&gt;0,AVERAGE(D$183:D$185, D182),""),"")</f>
        <v/>
      </c>
      <c r="U262" s="227" t="str">
        <f aca="false">IFERROR(IF(E$183*E$184*E$185*E182&gt;0,STDEV(E$183:E$185, E182),"")/IF(E$183*E$184*E$185*E182&gt;0,AVERAGE(E$183:E$185, E182),""),"")</f>
        <v/>
      </c>
      <c r="V262" s="227" t="str">
        <f aca="false">IFERROR(IF(F$183*F$184*F$185*F182&gt;0,STDEV(F$183:F$185, F182),"")/IF(F$183*F$184*F$185*F182&gt;0,AVERAGE(F$183:F$185, F182),""),"")</f>
        <v/>
      </c>
      <c r="W262" s="227" t="str">
        <f aca="false">IFERROR(IF(G$183*G$184*G$185*G182&gt;0,STDEV(G$183:G$185, G182),"")/IF(G$183*G$184*G$185*G182&gt;0,AVERAGE(G$183:G$185, G182),""),"")</f>
        <v/>
      </c>
      <c r="X262" s="227" t="str">
        <f aca="false">IFERROR(IF(H$183*H$184*H$185*H182&gt;0,STDEV(H$183:H$185, H182),"")/IF(H$183*H$184*H$185*H182&gt;0,AVERAGE(H$183:H$185, H182),""),"")</f>
        <v/>
      </c>
      <c r="Y262" s="227" t="str">
        <f aca="false">IFERROR(IF(I$183*I$184*I$185*I182&gt;0,STDEV(I$183:I$185, I182),"")/IF(I$183*I$184*I$185*I182&gt;0,AVERAGE(I$183:I$185, I182),""),"")</f>
        <v/>
      </c>
      <c r="Z262" s="227" t="str">
        <f aca="false">IFERROR(IF(J$183*J$184*J$185*J182&gt;0,STDEV(J$183:J$185, J182),"")/IF(J$183*J$184*J$185*J182&gt;0,AVERAGE(J$183:J$185, J182),""),"")</f>
        <v/>
      </c>
      <c r="AA262" s="227" t="str">
        <f aca="false">IFERROR(IF(K$183*K$184*K$185*K182&gt;0,STDEV(K$183:K$185, K182),"")/IF(K$183*K$184*K$185*K182&gt;0,AVERAGE(K$183:K$185, K182),""),"")</f>
        <v/>
      </c>
      <c r="AB262" s="227" t="str">
        <f aca="false">IFERROR(IF(L$183*L$184*L$185*L182&gt;0,STDEV(L$183:L$185, L182),"")/IF(L$183*L$184*L$185*L182&gt;0,AVERAGE(L$183:L$185, L182),""),"")</f>
        <v/>
      </c>
      <c r="AC262" s="227" t="str">
        <f aca="false">IFERROR(IF(M$183*M$184*M$185*M182&gt;0,STDEV(M$183:M$185, M182),"")/IF(M$183*M$184*M$185*M182&gt;0,AVERAGE(M$183:M$185, M182),""),"")</f>
        <v/>
      </c>
      <c r="AD262" s="227" t="str">
        <f aca="false">IFERROR(IF(N$183*N$184*N$185*N182&gt;0,STDEV(N$183:N$185, N182),"")/IF(N$183*N$184*N$185*N182&gt;0,AVERAGE(N$183:N$185, N182),""),"")</f>
        <v/>
      </c>
      <c r="AE262" s="233"/>
      <c r="AF262" s="229" t="s">
        <v>457</v>
      </c>
      <c r="AG262" s="270" t="str">
        <f aca="false">IFERROR(IF(C$183*C$184*C$185*C182&gt;0,STDEV(C$183:C$185, C182)," ")/IF(C$183*C$184*C$185*C182&gt;0,SQRT(COUNT(C$183:C$185, C182))," "),"")</f>
        <v/>
      </c>
      <c r="AH262" s="270" t="str">
        <f aca="false">IFERROR(IF(D$183*D$184*D$185*D182&gt;0,STDEV(D$183:D$185, D182)," ")/IF(D$183*D$184*D$185*D182&gt;0,SQRT(COUNT(D$183:D$185, D182))," "),"")</f>
        <v/>
      </c>
      <c r="AI262" s="270" t="str">
        <f aca="false">IFERROR(IF(E$183*E$184*E$185*E182&gt;0,STDEV(E$183:E$185, E182)," ")/IF(E$183*E$184*E$185*E182&gt;0,SQRT(COUNT(E$183:E$185, E182))," "),"")</f>
        <v/>
      </c>
      <c r="AJ262" s="270" t="str">
        <f aca="false">IFERROR(IF(F$183*F$184*F$185*F182&gt;0,STDEV(F$183:F$185, F182)," ")/IF(F$183*F$184*F$185*F182&gt;0,SQRT(COUNT(F$183:F$185, F182))," "),"")</f>
        <v/>
      </c>
      <c r="AK262" s="270" t="str">
        <f aca="false">IFERROR(IF(G$183*G$184*G$185*G182&gt;0,STDEV(G$183:G$185, G182)," ")/IF(G$183*G$184*G$185*G182&gt;0,SQRT(COUNT(G$183:G$185, G182))," "),"")</f>
        <v/>
      </c>
      <c r="AL262" s="270" t="str">
        <f aca="false">IFERROR(IF(H$183*H$184*H$185*H182&gt;0,STDEV(H$183:H$185, H182)," ")/IF(H$183*H$184*H$185*H182&gt;0,SQRT(COUNT(H$183:H$185, H182))," "),"")</f>
        <v/>
      </c>
      <c r="AM262" s="270" t="str">
        <f aca="false">IFERROR(IF(I$183*I$184*I$185*I182&gt;0,STDEV(I$183:I$185, I182)," ")/IF(I$183*I$184*I$185*I182&gt;0,SQRT(COUNT(I$183:I$185, I182))," "),"")</f>
        <v/>
      </c>
      <c r="AN262" s="270" t="str">
        <f aca="false">IFERROR(IF(J$183*J$184*J$185*J182&gt;0,STDEV(J$183:J$185, J182)," ")/IF(J$183*J$184*J$185*J182&gt;0,SQRT(COUNT(J$183:J$185, J182))," "),"")</f>
        <v/>
      </c>
      <c r="AO262" s="270" t="str">
        <f aca="false">IFERROR(IF(K$183*K$184*K$185*K182&gt;0,STDEV(K$183:K$185, K182)," ")/IF(K$183*K$184*K$185*K182&gt;0,SQRT(COUNT(K$183:K$185, K182))," "),"")</f>
        <v/>
      </c>
      <c r="AP262" s="270" t="str">
        <f aca="false">IFERROR(IF(L$183*L$184*L$185*L182&gt;0,STDEV(L$183:L$185, L182)," ")/IF(L$183*L$184*L$185*L182&gt;0,SQRT(COUNT(L$183:L$185, L182))," "),"")</f>
        <v/>
      </c>
      <c r="AQ262" s="270" t="str">
        <f aca="false">IFERROR(IF(M$183*M$184*M$185*M182&gt;0,STDEV(M$183:M$185, M182)," ")/IF(M$183*M$184*M$185*M182&gt;0,SQRT(COUNT(M$183:M$185, M182))," "),"")</f>
        <v/>
      </c>
      <c r="AR262" s="270" t="str">
        <f aca="false">IFERROR(IF(N$183*N$184*N$185*N182&gt;0,STDEV(N$183:N$185, N182)," ")/IF(N$183*N$184*N$185*N182&gt;0,SQRT(COUNT(N$183:N$185, N182))," "),"")</f>
        <v/>
      </c>
    </row>
    <row r="263" customFormat="false" ht="15.75" hidden="false" customHeight="false" outlineLevel="0" collapsed="false">
      <c r="A263" s="220" t="s">
        <v>458</v>
      </c>
      <c r="B263" s="221"/>
      <c r="C263" s="261" t="str">
        <f aca="false">IFERROR(IF(C$183*C$184*C$185*C186&gt;0,AVERAGE(C$183:C$185, C186),""),"")</f>
        <v/>
      </c>
      <c r="D263" s="261" t="str">
        <f aca="false">IFERROR(IF(D$183*D$184*D$185*D186&gt;0,AVERAGE(D$183:D$185, D186),""),"")</f>
        <v/>
      </c>
      <c r="E263" s="261" t="str">
        <f aca="false">IFERROR(IF(E$183*E$184*E$185*E186&gt;0,AVERAGE(E$183:E$185, E186),""),"")</f>
        <v/>
      </c>
      <c r="F263" s="261" t="str">
        <f aca="false">IFERROR(IF(F$183*F$184*F$185*F186&gt;0,AVERAGE(F$183:F$185, F186),""),"")</f>
        <v/>
      </c>
      <c r="G263" s="261" t="str">
        <f aca="false">IFERROR(IF(G$183*G$184*G$185*G186&gt;0,AVERAGE(G$183:G$185, G186),""),"")</f>
        <v/>
      </c>
      <c r="H263" s="261" t="str">
        <f aca="false">IFERROR(IF(H$183*H$184*H$185*H186&gt;0,AVERAGE(H$183:H$185, H186),""),"")</f>
        <v/>
      </c>
      <c r="I263" s="261" t="str">
        <f aca="false">IFERROR(IF(I$183*I$184*I$185*I186&gt;0,AVERAGE(I$183:I$185, I186),""),"")</f>
        <v/>
      </c>
      <c r="J263" s="261" t="str">
        <f aca="false">IFERROR(IF(J$183*J$184*J$185*J186&gt;0,AVERAGE(J$183:J$185, J186),""),"")</f>
        <v/>
      </c>
      <c r="K263" s="261" t="str">
        <f aca="false">IFERROR(IF(K$183*K$184*K$185*K186&gt;0,AVERAGE(K$183:K$185, K186),""),"")</f>
        <v/>
      </c>
      <c r="L263" s="261" t="str">
        <f aca="false">IFERROR(IF(L$183*L$184*L$185*L186&gt;0,AVERAGE(L$183:L$185, L186),""),"")</f>
        <v/>
      </c>
      <c r="M263" s="261" t="str">
        <f aca="false">IFERROR(IF(M$183*M$184*M$185*M186&gt;0,AVERAGE(M$183:M$185, M186),""),"")</f>
        <v/>
      </c>
      <c r="N263" s="261" t="str">
        <f aca="false">IFERROR(IF(N$183*N$184*N$185*N186&gt;0,AVERAGE(N$183:N$185, N186),""),"")</f>
        <v/>
      </c>
      <c r="O263" s="224"/>
      <c r="P263" s="224"/>
      <c r="Q263" s="232"/>
      <c r="R263" s="226" t="s">
        <v>459</v>
      </c>
      <c r="S263" s="227" t="str">
        <f aca="false">IFERROR(IF(C$183*C$184*C$185*C186&gt;0,STDEV(C$183:C$185, C186),"")/IF(C$183*C$184*C$185*C186&gt;0,AVERAGE(C$183:C$185, C186),""),"")</f>
        <v/>
      </c>
      <c r="T263" s="227" t="str">
        <f aca="false">IFERROR(IF(D$183*D$184*D$185*D186&gt;0,STDEV(D$183:D$185, D186),"")/IF(D$183*D$184*D$185*D186&gt;0,AVERAGE(D$183:D$185, D186),""),"")</f>
        <v/>
      </c>
      <c r="U263" s="227" t="str">
        <f aca="false">IFERROR(IF(E$183*E$184*E$185*E186&gt;0,STDEV(E$183:E$185, E186),"")/IF(E$183*E$184*E$185*E186&gt;0,AVERAGE(E$183:E$185, E186),""),"")</f>
        <v/>
      </c>
      <c r="V263" s="227" t="str">
        <f aca="false">IFERROR(IF(F$183*F$184*F$185*F186&gt;0,STDEV(F$183:F$185, F186),"")/IF(F$183*F$184*F$185*F186&gt;0,AVERAGE(F$183:F$185, F186),""),"")</f>
        <v/>
      </c>
      <c r="W263" s="227" t="str">
        <f aca="false">IFERROR(IF(G$183*G$184*G$185*G186&gt;0,STDEV(G$183:G$185, G186),"")/IF(G$183*G$184*G$185*G186&gt;0,AVERAGE(G$183:G$185, G186),""),"")</f>
        <v/>
      </c>
      <c r="X263" s="227" t="str">
        <f aca="false">IFERROR(IF(H$183*H$184*H$185*H186&gt;0,STDEV(H$183:H$185, H186),"")/IF(H$183*H$184*H$185*H186&gt;0,AVERAGE(H$183:H$185, H186),""),"")</f>
        <v/>
      </c>
      <c r="Y263" s="227" t="str">
        <f aca="false">IFERROR(IF(I$183*I$184*I$185*I186&gt;0,STDEV(I$183:I$185, I186),"")/IF(I$183*I$184*I$185*I186&gt;0,AVERAGE(I$183:I$185, I186),""),"")</f>
        <v/>
      </c>
      <c r="Z263" s="227" t="str">
        <f aca="false">IFERROR(IF(J$183*J$184*J$185*J186&gt;0,STDEV(J$183:J$185, J186),"")/IF(J$183*J$184*J$185*J186&gt;0,AVERAGE(J$183:J$185, J186),""),"")</f>
        <v/>
      </c>
      <c r="AA263" s="227" t="str">
        <f aca="false">IFERROR(IF(K$183*K$184*K$185*K186&gt;0,STDEV(K$183:K$185, K186),"")/IF(K$183*K$184*K$185*K186&gt;0,AVERAGE(K$183:K$185, K186),""),"")</f>
        <v/>
      </c>
      <c r="AB263" s="227" t="str">
        <f aca="false">IFERROR(IF(L$183*L$184*L$185*L186&gt;0,STDEV(L$183:L$185, L186),"")/IF(L$183*L$184*L$185*L186&gt;0,AVERAGE(L$183:L$185, L186),""),"")</f>
        <v/>
      </c>
      <c r="AC263" s="227" t="str">
        <f aca="false">IFERROR(IF(M$183*M$184*M$185*M186&gt;0,STDEV(M$183:M$185, M186),"")/IF(M$183*M$184*M$185*M186&gt;0,AVERAGE(M$183:M$185, M186),""),"")</f>
        <v/>
      </c>
      <c r="AD263" s="227" t="str">
        <f aca="false">IFERROR(IF(N$183*N$184*N$185*N186&gt;0,STDEV(N$183:N$185, N186),"")/IF(N$183*N$184*N$185*N186&gt;0,AVERAGE(N$183:N$185, N186),""),"")</f>
        <v/>
      </c>
      <c r="AE263" s="233"/>
      <c r="AF263" s="229" t="s">
        <v>460</v>
      </c>
      <c r="AG263" s="270" t="str">
        <f aca="false">IFERROR(IF(C$183*C$184*C$185*C186&gt;0,STDEV(C$183:C$185, C186)," ")/IF(C$183*C$184*C$185*C186&gt;0,SQRT(COUNT(C$183:C$185, C186))," "),"")</f>
        <v/>
      </c>
      <c r="AH263" s="270" t="str">
        <f aca="false">IFERROR(IF(D$183*D$184*D$185*D186&gt;0,STDEV(D$183:D$185, D186)," ")/IF(D$183*D$184*D$185*D186&gt;0,SQRT(COUNT(D$183:D$185, D186))," "),"")</f>
        <v/>
      </c>
      <c r="AI263" s="270" t="str">
        <f aca="false">IFERROR(IF(E$183*E$184*E$185*E186&gt;0,STDEV(E$183:E$185, E186)," ")/IF(E$183*E$184*E$185*E186&gt;0,SQRT(COUNT(E$183:E$185, E186))," "),"")</f>
        <v/>
      </c>
      <c r="AJ263" s="270" t="str">
        <f aca="false">IFERROR(IF(F$183*F$184*F$185*F186&gt;0,STDEV(F$183:F$185, F186)," ")/IF(F$183*F$184*F$185*F186&gt;0,SQRT(COUNT(F$183:F$185, F186))," "),"")</f>
        <v/>
      </c>
      <c r="AK263" s="270" t="str">
        <f aca="false">IFERROR(IF(G$183*G$184*G$185*G186&gt;0,STDEV(G$183:G$185, G186)," ")/IF(G$183*G$184*G$185*G186&gt;0,SQRT(COUNT(G$183:G$185, G186))," "),"")</f>
        <v/>
      </c>
      <c r="AL263" s="270" t="str">
        <f aca="false">IFERROR(IF(H$183*H$184*H$185*H186&gt;0,STDEV(H$183:H$185, H186)," ")/IF(H$183*H$184*H$185*H186&gt;0,SQRT(COUNT(H$183:H$185, H186))," "),"")</f>
        <v/>
      </c>
      <c r="AM263" s="270" t="str">
        <f aca="false">IFERROR(IF(I$183*I$184*I$185*I186&gt;0,STDEV(I$183:I$185, I186)," ")/IF(I$183*I$184*I$185*I186&gt;0,SQRT(COUNT(I$183:I$185, I186))," "),"")</f>
        <v/>
      </c>
      <c r="AN263" s="270" t="str">
        <f aca="false">IFERROR(IF(J$183*J$184*J$185*J186&gt;0,STDEV(J$183:J$185, J186)," ")/IF(J$183*J$184*J$185*J186&gt;0,SQRT(COUNT(J$183:J$185, J186))," "),"")</f>
        <v/>
      </c>
      <c r="AO263" s="270" t="str">
        <f aca="false">IFERROR(IF(K$183*K$184*K$185*K186&gt;0,STDEV(K$183:K$185, K186)," ")/IF(K$183*K$184*K$185*K186&gt;0,SQRT(COUNT(K$183:K$185, K186))," "),"")</f>
        <v/>
      </c>
      <c r="AP263" s="270" t="str">
        <f aca="false">IFERROR(IF(L$183*L$184*L$185*L186&gt;0,STDEV(L$183:L$185, L186)," ")/IF(L$183*L$184*L$185*L186&gt;0,SQRT(COUNT(L$183:L$185, L186))," "),"")</f>
        <v/>
      </c>
      <c r="AQ263" s="270" t="str">
        <f aca="false">IFERROR(IF(M$183*M$184*M$185*M186&gt;0,STDEV(M$183:M$185, M186)," ")/IF(M$183*M$184*M$185*M186&gt;0,SQRT(COUNT(M$183:M$185, M186))," "),"")</f>
        <v/>
      </c>
      <c r="AR263" s="270" t="str">
        <f aca="false">IFERROR(IF(N$183*N$184*N$185*N186&gt;0,STDEV(N$183:N$185, N186)," ")/IF(N$183*N$184*N$185*N186&gt;0,SQRT(COUNT(N$183:N$185, N186))," "),"")</f>
        <v/>
      </c>
    </row>
    <row r="264" customFormat="false" ht="15.75" hidden="false" customHeight="false" outlineLevel="0" collapsed="false">
      <c r="A264" s="220" t="s">
        <v>461</v>
      </c>
      <c r="B264" s="221"/>
      <c r="C264" s="261" t="str">
        <f aca="false">IFERROR(IF(C$183*C$184*C$185*C187&gt;0,AVERAGE(C$183:C$185, C187),""),"")</f>
        <v/>
      </c>
      <c r="D264" s="261" t="str">
        <f aca="false">IFERROR(IF(D$183*D$184*D$185*D187&gt;0,AVERAGE(D$183:D$185, D187),""),"")</f>
        <v/>
      </c>
      <c r="E264" s="261" t="str">
        <f aca="false">IFERROR(IF(E$183*E$184*E$185*E187&gt;0,AVERAGE(E$183:E$185, E187),""),"")</f>
        <v/>
      </c>
      <c r="F264" s="261" t="str">
        <f aca="false">IFERROR(IF(F$183*F$184*F$185*F187&gt;0,AVERAGE(F$183:F$185, F187),""),"")</f>
        <v/>
      </c>
      <c r="G264" s="261" t="str">
        <f aca="false">IFERROR(IF(G$183*G$184*G$185*G187&gt;0,AVERAGE(G$183:G$185, G187),""),"")</f>
        <v/>
      </c>
      <c r="H264" s="261" t="str">
        <f aca="false">IFERROR(IF(H$183*H$184*H$185*H187&gt;0,AVERAGE(H$183:H$185, H187),""),"")</f>
        <v/>
      </c>
      <c r="I264" s="261" t="str">
        <f aca="false">IFERROR(IF(I$183*I$184*I$185*I187&gt;0,AVERAGE(I$183:I$185, I187),""),"")</f>
        <v/>
      </c>
      <c r="J264" s="261" t="str">
        <f aca="false">IFERROR(IF(J$183*J$184*J$185*J187&gt;0,AVERAGE(J$183:J$185, J187),""),"")</f>
        <v/>
      </c>
      <c r="K264" s="261" t="str">
        <f aca="false">IFERROR(IF(K$183*K$184*K$185*K187&gt;0,AVERAGE(K$183:K$185, K187),""),"")</f>
        <v/>
      </c>
      <c r="L264" s="261" t="str">
        <f aca="false">IFERROR(IF(L$183*L$184*L$185*L187&gt;0,AVERAGE(L$183:L$185, L187),""),"")</f>
        <v/>
      </c>
      <c r="M264" s="261" t="str">
        <f aca="false">IFERROR(IF(M$183*M$184*M$185*M187&gt;0,AVERAGE(M$183:M$185, M187),""),"")</f>
        <v/>
      </c>
      <c r="N264" s="261" t="str">
        <f aca="false">IFERROR(IF(N$183*N$184*N$185*N187&gt;0,AVERAGE(N$183:N$185, N187),""),"")</f>
        <v/>
      </c>
      <c r="O264" s="224"/>
      <c r="P264" s="224"/>
      <c r="Q264" s="232"/>
      <c r="R264" s="226" t="s">
        <v>462</v>
      </c>
      <c r="S264" s="227" t="str">
        <f aca="false">IFERROR(IF(C$183*C$184*C$185*C187&gt;0,STDEV(C$183:C$185, C187),"")/IF(C$183*C$184*C$185*C187&gt;0,AVERAGE(C$183:C$185, C187),""),"")</f>
        <v/>
      </c>
      <c r="T264" s="227" t="str">
        <f aca="false">IFERROR(IF(D$183*D$184*D$185*D187&gt;0,STDEV(D$183:D$185, D187),"")/IF(D$183*D$184*D$185*D187&gt;0,AVERAGE(D$183:D$185, D187),""),"")</f>
        <v/>
      </c>
      <c r="U264" s="227" t="str">
        <f aca="false">IFERROR(IF(E$183*E$184*E$185*E187&gt;0,STDEV(E$183:E$185, E187),"")/IF(E$183*E$184*E$185*E187&gt;0,AVERAGE(E$183:E$185, E187),""),"")</f>
        <v/>
      </c>
      <c r="V264" s="227" t="str">
        <f aca="false">IFERROR(IF(F$183*F$184*F$185*F187&gt;0,STDEV(F$183:F$185, F187),"")/IF(F$183*F$184*F$185*F187&gt;0,AVERAGE(F$183:F$185, F187),""),"")</f>
        <v/>
      </c>
      <c r="W264" s="227" t="str">
        <f aca="false">IFERROR(IF(G$183*G$184*G$185*G187&gt;0,STDEV(G$183:G$185, G187),"")/IF(G$183*G$184*G$185*G187&gt;0,AVERAGE(G$183:G$185, G187),""),"")</f>
        <v/>
      </c>
      <c r="X264" s="227" t="str">
        <f aca="false">IFERROR(IF(H$183*H$184*H$185*H187&gt;0,STDEV(H$183:H$185, H187),"")/IF(H$183*H$184*H$185*H187&gt;0,AVERAGE(H$183:H$185, H187),""),"")</f>
        <v/>
      </c>
      <c r="Y264" s="227" t="str">
        <f aca="false">IFERROR(IF(I$183*I$184*I$185*I187&gt;0,STDEV(I$183:I$185, I187),"")/IF(I$183*I$184*I$185*I187&gt;0,AVERAGE(I$183:I$185, I187),""),"")</f>
        <v/>
      </c>
      <c r="Z264" s="227" t="str">
        <f aca="false">IFERROR(IF(J$183*J$184*J$185*J187&gt;0,STDEV(J$183:J$185, J187),"")/IF(J$183*J$184*J$185*J187&gt;0,AVERAGE(J$183:J$185, J187),""),"")</f>
        <v/>
      </c>
      <c r="AA264" s="227" t="str">
        <f aca="false">IFERROR(IF(K$183*K$184*K$185*K187&gt;0,STDEV(K$183:K$185, K187),"")/IF(K$183*K$184*K$185*K187&gt;0,AVERAGE(K$183:K$185, K187),""),"")</f>
        <v/>
      </c>
      <c r="AB264" s="227" t="str">
        <f aca="false">IFERROR(IF(L$183*L$184*L$185*L187&gt;0,STDEV(L$183:L$185, L187),"")/IF(L$183*L$184*L$185*L187&gt;0,AVERAGE(L$183:L$185, L187),""),"")</f>
        <v/>
      </c>
      <c r="AC264" s="227" t="str">
        <f aca="false">IFERROR(IF(M$183*M$184*M$185*M187&gt;0,STDEV(M$183:M$185, M187),"")/IF(M$183*M$184*M$185*M187&gt;0,AVERAGE(M$183:M$185, M187),""),"")</f>
        <v/>
      </c>
      <c r="AD264" s="227" t="str">
        <f aca="false">IFERROR(IF(N$183*N$184*N$185*N187&gt;0,STDEV(N$183:N$185, N187),"")/IF(N$183*N$184*N$185*N187&gt;0,AVERAGE(N$183:N$185, N187),""),"")</f>
        <v/>
      </c>
      <c r="AE264" s="233"/>
      <c r="AF264" s="229" t="s">
        <v>463</v>
      </c>
      <c r="AG264" s="270" t="str">
        <f aca="false">IFERROR(IF(C$183*C$184*C$185*C187&gt;0,STDEV(C$183:C$185, C187)," ")/IF(C$183*C$184*C$185*C187&gt;0,SQRT(COUNT(C$183:C$185, C187))," "),"")</f>
        <v/>
      </c>
      <c r="AH264" s="270" t="str">
        <f aca="false">IFERROR(IF(D$183*D$184*D$185*D187&gt;0,STDEV(D$183:D$185, D187)," ")/IF(D$183*D$184*D$185*D187&gt;0,SQRT(COUNT(D$183:D$185, D187))," "),"")</f>
        <v/>
      </c>
      <c r="AI264" s="270" t="str">
        <f aca="false">IFERROR(IF(E$183*E$184*E$185*E187&gt;0,STDEV(E$183:E$185, E187)," ")/IF(E$183*E$184*E$185*E187&gt;0,SQRT(COUNT(E$183:E$185, E187))," "),"")</f>
        <v/>
      </c>
      <c r="AJ264" s="270" t="str">
        <f aca="false">IFERROR(IF(F$183*F$184*F$185*F187&gt;0,STDEV(F$183:F$185, F187)," ")/IF(F$183*F$184*F$185*F187&gt;0,SQRT(COUNT(F$183:F$185, F187))," "),"")</f>
        <v/>
      </c>
      <c r="AK264" s="270" t="str">
        <f aca="false">IFERROR(IF(G$183*G$184*G$185*G187&gt;0,STDEV(G$183:G$185, G187)," ")/IF(G$183*G$184*G$185*G187&gt;0,SQRT(COUNT(G$183:G$185, G187))," "),"")</f>
        <v/>
      </c>
      <c r="AL264" s="270" t="str">
        <f aca="false">IFERROR(IF(H$183*H$184*H$185*H187&gt;0,STDEV(H$183:H$185, H187)," ")/IF(H$183*H$184*H$185*H187&gt;0,SQRT(COUNT(H$183:H$185, H187))," "),"")</f>
        <v/>
      </c>
      <c r="AM264" s="270" t="str">
        <f aca="false">IFERROR(IF(I$183*I$184*I$185*I187&gt;0,STDEV(I$183:I$185, I187)," ")/IF(I$183*I$184*I$185*I187&gt;0,SQRT(COUNT(I$183:I$185, I187))," "),"")</f>
        <v/>
      </c>
      <c r="AN264" s="270" t="str">
        <f aca="false">IFERROR(IF(J$183*J$184*J$185*J187&gt;0,STDEV(J$183:J$185, J187)," ")/IF(J$183*J$184*J$185*J187&gt;0,SQRT(COUNT(J$183:J$185, J187))," "),"")</f>
        <v/>
      </c>
      <c r="AO264" s="270" t="str">
        <f aca="false">IFERROR(IF(K$183*K$184*K$185*K187&gt;0,STDEV(K$183:K$185, K187)," ")/IF(K$183*K$184*K$185*K187&gt;0,SQRT(COUNT(K$183:K$185, K187))," "),"")</f>
        <v/>
      </c>
      <c r="AP264" s="270" t="str">
        <f aca="false">IFERROR(IF(L$183*L$184*L$185*L187&gt;0,STDEV(L$183:L$185, L187)," ")/IF(L$183*L$184*L$185*L187&gt;0,SQRT(COUNT(L$183:L$185, L187))," "),"")</f>
        <v/>
      </c>
      <c r="AQ264" s="270" t="str">
        <f aca="false">IFERROR(IF(M$183*M$184*M$185*M187&gt;0,STDEV(M$183:M$185, M187)," ")/IF(M$183*M$184*M$185*M187&gt;0,SQRT(COUNT(M$183:M$185, M187))," "),"")</f>
        <v/>
      </c>
      <c r="AR264" s="270" t="str">
        <f aca="false">IFERROR(IF(N$183*N$184*N$185*N187&gt;0,STDEV(N$183:N$185, N187)," ")/IF(N$183*N$184*N$185*N187&gt;0,SQRT(COUNT(N$183:N$185, N187))," "),"")</f>
        <v/>
      </c>
    </row>
    <row r="265" customFormat="false" ht="15.75" hidden="false" customHeight="false" outlineLevel="0" collapsed="false">
      <c r="A265" s="220" t="s">
        <v>464</v>
      </c>
      <c r="B265" s="221"/>
      <c r="C265" s="261" t="str">
        <f aca="false">IFERROR(IF(C$183*C$184*C$185*C188&gt;0,AVERAGE(C$183:C$185, C188),""),"")</f>
        <v/>
      </c>
      <c r="D265" s="261" t="str">
        <f aca="false">IFERROR(IF(D$183*D$184*D$185*D188&gt;0,AVERAGE(D$183:D$185, D188),""),"")</f>
        <v/>
      </c>
      <c r="E265" s="261" t="str">
        <f aca="false">IFERROR(IF(E$183*E$184*E$185*E188&gt;0,AVERAGE(E$183:E$185, E188),""),"")</f>
        <v/>
      </c>
      <c r="F265" s="261" t="str">
        <f aca="false">IFERROR(IF(F$183*F$184*F$185*F188&gt;0,AVERAGE(F$183:F$185, F188),""),"")</f>
        <v/>
      </c>
      <c r="G265" s="261" t="str">
        <f aca="false">IFERROR(IF(G$183*G$184*G$185*G188&gt;0,AVERAGE(G$183:G$185, G188),""),"")</f>
        <v/>
      </c>
      <c r="H265" s="261" t="str">
        <f aca="false">IFERROR(IF(H$183*H$184*H$185*H188&gt;0,AVERAGE(H$183:H$185, H188),""),"")</f>
        <v/>
      </c>
      <c r="I265" s="261" t="str">
        <f aca="false">IFERROR(IF(I$183*I$184*I$185*I188&gt;0,AVERAGE(I$183:I$185, I188),""),"")</f>
        <v/>
      </c>
      <c r="J265" s="261" t="str">
        <f aca="false">IFERROR(IF(J$183*J$184*J$185*J188&gt;0,AVERAGE(J$183:J$185, J188),""),"")</f>
        <v/>
      </c>
      <c r="K265" s="261" t="str">
        <f aca="false">IFERROR(IF(K$183*K$184*K$185*K188&gt;0,AVERAGE(K$183:K$185, K188),""),"")</f>
        <v/>
      </c>
      <c r="L265" s="261" t="str">
        <f aca="false">IFERROR(IF(L$183*L$184*L$185*L188&gt;0,AVERAGE(L$183:L$185, L188),""),"")</f>
        <v/>
      </c>
      <c r="M265" s="261" t="str">
        <f aca="false">IFERROR(IF(M$183*M$184*M$185*M188&gt;0,AVERAGE(M$183:M$185, M188),""),"")</f>
        <v/>
      </c>
      <c r="N265" s="261" t="str">
        <f aca="false">IFERROR(IF(N$183*N$184*N$185*N188&gt;0,AVERAGE(N$183:N$185, N188),""),"")</f>
        <v/>
      </c>
      <c r="O265" s="224"/>
      <c r="P265" s="224"/>
      <c r="Q265" s="232"/>
      <c r="R265" s="226" t="s">
        <v>465</v>
      </c>
      <c r="S265" s="227" t="str">
        <f aca="false">IFERROR(IF(C$183*C$184*C$185*C188&gt;0,STDEV(C$183:C$185, C188),"")/IF(C$183*C$184*C$185*C188&gt;0,AVERAGE(C$183:C$185, C188),""),"")</f>
        <v/>
      </c>
      <c r="T265" s="227" t="str">
        <f aca="false">IFERROR(IF(D$183*D$184*D$185*D188&gt;0,STDEV(D$183:D$185, D188),"")/IF(D$183*D$184*D$185*D188&gt;0,AVERAGE(D$183:D$185, D188),""),"")</f>
        <v/>
      </c>
      <c r="U265" s="227" t="str">
        <f aca="false">IFERROR(IF(E$183*E$184*E$185*E188&gt;0,STDEV(E$183:E$185, E188),"")/IF(E$183*E$184*E$185*E188&gt;0,AVERAGE(E$183:E$185, E188),""),"")</f>
        <v/>
      </c>
      <c r="V265" s="227" t="str">
        <f aca="false">IFERROR(IF(F$183*F$184*F$185*F188&gt;0,STDEV(F$183:F$185, F188),"")/IF(F$183*F$184*F$185*F188&gt;0,AVERAGE(F$183:F$185, F188),""),"")</f>
        <v/>
      </c>
      <c r="W265" s="227" t="str">
        <f aca="false">IFERROR(IF(G$183*G$184*G$185*G188&gt;0,STDEV(G$183:G$185, G188),"")/IF(G$183*G$184*G$185*G188&gt;0,AVERAGE(G$183:G$185, G188),""),"")</f>
        <v/>
      </c>
      <c r="X265" s="227" t="str">
        <f aca="false">IFERROR(IF(H$183*H$184*H$185*H188&gt;0,STDEV(H$183:H$185, H188),"")/IF(H$183*H$184*H$185*H188&gt;0,AVERAGE(H$183:H$185, H188),""),"")</f>
        <v/>
      </c>
      <c r="Y265" s="227" t="str">
        <f aca="false">IFERROR(IF(I$183*I$184*I$185*I188&gt;0,STDEV(I$183:I$185, I188),"")/IF(I$183*I$184*I$185*I188&gt;0,AVERAGE(I$183:I$185, I188),""),"")</f>
        <v/>
      </c>
      <c r="Z265" s="227" t="str">
        <f aca="false">IFERROR(IF(J$183*J$184*J$185*J188&gt;0,STDEV(J$183:J$185, J188),"")/IF(J$183*J$184*J$185*J188&gt;0,AVERAGE(J$183:J$185, J188),""),"")</f>
        <v/>
      </c>
      <c r="AA265" s="227" t="str">
        <f aca="false">IFERROR(IF(K$183*K$184*K$185*K188&gt;0,STDEV(K$183:K$185, K188),"")/IF(K$183*K$184*K$185*K188&gt;0,AVERAGE(K$183:K$185, K188),""),"")</f>
        <v/>
      </c>
      <c r="AB265" s="227" t="str">
        <f aca="false">IFERROR(IF(L$183*L$184*L$185*L188&gt;0,STDEV(L$183:L$185, L188),"")/IF(L$183*L$184*L$185*L188&gt;0,AVERAGE(L$183:L$185, L188),""),"")</f>
        <v/>
      </c>
      <c r="AC265" s="227" t="str">
        <f aca="false">IFERROR(IF(M$183*M$184*M$185*M188&gt;0,STDEV(M$183:M$185, M188),"")/IF(M$183*M$184*M$185*M188&gt;0,AVERAGE(M$183:M$185, M188),""),"")</f>
        <v/>
      </c>
      <c r="AD265" s="227" t="str">
        <f aca="false">IFERROR(IF(N$183*N$184*N$185*N188&gt;0,STDEV(N$183:N$185, N188),"")/IF(N$183*N$184*N$185*N188&gt;0,AVERAGE(N$183:N$185, N188),""),"")</f>
        <v/>
      </c>
      <c r="AE265" s="233"/>
      <c r="AF265" s="229" t="s">
        <v>466</v>
      </c>
      <c r="AG265" s="270" t="str">
        <f aca="false">IFERROR(IF(C$183*C$184*C$185*C188&gt;0,STDEV(C$183:C$185, C188)," ")/IF(C$183*C$184*C$185*C188&gt;0,SQRT(COUNT(C$183:C$185, C188))," "),"")</f>
        <v/>
      </c>
      <c r="AH265" s="270" t="str">
        <f aca="false">IFERROR(IF(D$183*D$184*D$185*D188&gt;0,STDEV(D$183:D$185, D188)," ")/IF(D$183*D$184*D$185*D188&gt;0,SQRT(COUNT(D$183:D$185, D188))," "),"")</f>
        <v/>
      </c>
      <c r="AI265" s="270" t="str">
        <f aca="false">IFERROR(IF(E$183*E$184*E$185*E188&gt;0,STDEV(E$183:E$185, E188)," ")/IF(E$183*E$184*E$185*E188&gt;0,SQRT(COUNT(E$183:E$185, E188))," "),"")</f>
        <v/>
      </c>
      <c r="AJ265" s="270" t="str">
        <f aca="false">IFERROR(IF(F$183*F$184*F$185*F188&gt;0,STDEV(F$183:F$185, F188)," ")/IF(F$183*F$184*F$185*F188&gt;0,SQRT(COUNT(F$183:F$185, F188))," "),"")</f>
        <v/>
      </c>
      <c r="AK265" s="270" t="str">
        <f aca="false">IFERROR(IF(G$183*G$184*G$185*G188&gt;0,STDEV(G$183:G$185, G188)," ")/IF(G$183*G$184*G$185*G188&gt;0,SQRT(COUNT(G$183:G$185, G188))," "),"")</f>
        <v/>
      </c>
      <c r="AL265" s="270" t="str">
        <f aca="false">IFERROR(IF(H$183*H$184*H$185*H188&gt;0,STDEV(H$183:H$185, H188)," ")/IF(H$183*H$184*H$185*H188&gt;0,SQRT(COUNT(H$183:H$185, H188))," "),"")</f>
        <v/>
      </c>
      <c r="AM265" s="270" t="str">
        <f aca="false">IFERROR(IF(I$183*I$184*I$185*I188&gt;0,STDEV(I$183:I$185, I188)," ")/IF(I$183*I$184*I$185*I188&gt;0,SQRT(COUNT(I$183:I$185, I188))," "),"")</f>
        <v/>
      </c>
      <c r="AN265" s="270" t="str">
        <f aca="false">IFERROR(IF(J$183*J$184*J$185*J188&gt;0,STDEV(J$183:J$185, J188)," ")/IF(J$183*J$184*J$185*J188&gt;0,SQRT(COUNT(J$183:J$185, J188))," "),"")</f>
        <v/>
      </c>
      <c r="AO265" s="270" t="str">
        <f aca="false">IFERROR(IF(K$183*K$184*K$185*K188&gt;0,STDEV(K$183:K$185, K188)," ")/IF(K$183*K$184*K$185*K188&gt;0,SQRT(COUNT(K$183:K$185, K188))," "),"")</f>
        <v/>
      </c>
      <c r="AP265" s="270" t="str">
        <f aca="false">IFERROR(IF(L$183*L$184*L$185*L188&gt;0,STDEV(L$183:L$185, L188)," ")/IF(L$183*L$184*L$185*L188&gt;0,SQRT(COUNT(L$183:L$185, L188))," "),"")</f>
        <v/>
      </c>
      <c r="AQ265" s="270" t="str">
        <f aca="false">IFERROR(IF(M$183*M$184*M$185*M188&gt;0,STDEV(M$183:M$185, M188)," ")/IF(M$183*M$184*M$185*M188&gt;0,SQRT(COUNT(M$183:M$185, M188))," "),"")</f>
        <v/>
      </c>
      <c r="AR265" s="270" t="str">
        <f aca="false">IFERROR(IF(N$183*N$184*N$185*N188&gt;0,STDEV(N$183:N$185, N188)," ")/IF(N$183*N$184*N$185*N188&gt;0,SQRT(COUNT(N$183:N$185, N188))," "),"")</f>
        <v/>
      </c>
    </row>
    <row r="266" customFormat="false" ht="15.75" hidden="false" customHeight="false" outlineLevel="0" collapsed="false">
      <c r="A266" s="220" t="s">
        <v>467</v>
      </c>
      <c r="B266" s="221"/>
      <c r="C266" s="261" t="str">
        <f aca="false">IFERROR(IF(C$184*C$185*C$186*C182&gt;0,AVERAGE(C$184:C$186, C182),""),"")</f>
        <v/>
      </c>
      <c r="D266" s="261" t="str">
        <f aca="false">IFERROR(IF(D$184*D$185*D$186*D182&gt;0,AVERAGE(D$184:D$186, D182),""),"")</f>
        <v/>
      </c>
      <c r="E266" s="261" t="str">
        <f aca="false">IFERROR(IF(E$184*E$185*E$186*E182&gt;0,AVERAGE(E$184:E$186, E182),""),"")</f>
        <v/>
      </c>
      <c r="F266" s="261" t="str">
        <f aca="false">IFERROR(IF(F$184*F$185*F$186*F182&gt;0,AVERAGE(F$184:F$186, F182),""),"")</f>
        <v/>
      </c>
      <c r="G266" s="261" t="str">
        <f aca="false">IFERROR(IF(G$184*G$185*G$186*G182&gt;0,AVERAGE(G$184:G$186, G182),""),"")</f>
        <v/>
      </c>
      <c r="H266" s="261" t="str">
        <f aca="false">IFERROR(IF(H$184*H$185*H$186*H182&gt;0,AVERAGE(H$184:H$186, H182),""),"")</f>
        <v/>
      </c>
      <c r="I266" s="261" t="str">
        <f aca="false">IFERROR(IF(I$184*I$185*I$186*I182&gt;0,AVERAGE(I$184:I$186, I182),""),"")</f>
        <v/>
      </c>
      <c r="J266" s="261" t="str">
        <f aca="false">IFERROR(IF(J$184*J$185*J$186*J182&gt;0,AVERAGE(J$184:J$186, J182),""),"")</f>
        <v/>
      </c>
      <c r="K266" s="261" t="str">
        <f aca="false">IFERROR(IF(K$184*K$185*K$186*K182&gt;0,AVERAGE(K$184:K$186, K182),""),"")</f>
        <v/>
      </c>
      <c r="L266" s="261" t="str">
        <f aca="false">IFERROR(IF(L$184*L$185*L$186*L182&gt;0,AVERAGE(L$184:L$186, L182),""),"")</f>
        <v/>
      </c>
      <c r="M266" s="261" t="str">
        <f aca="false">IFERROR(IF(M$184*M$185*M$186*M182&gt;0,AVERAGE(M$184:M$186, M182),""),"")</f>
        <v/>
      </c>
      <c r="N266" s="261" t="str">
        <f aca="false">IFERROR(IF(N$184*N$185*N$186*N182&gt;0,AVERAGE(N$184:N$186, N182),""),"")</f>
        <v/>
      </c>
      <c r="O266" s="224"/>
      <c r="P266" s="224"/>
      <c r="Q266" s="232"/>
      <c r="R266" s="226" t="s">
        <v>468</v>
      </c>
      <c r="S266" s="227" t="str">
        <f aca="false">IFERROR(IF(C$184*C$185*C$186*C182&gt;0,STDEV(C$184:C$186, C182),"")/IF(C$184*C$185*C$186*C182&gt;0,AVERAGE(C$184:C$186, C182),""),"")</f>
        <v/>
      </c>
      <c r="T266" s="227" t="str">
        <f aca="false">IFERROR(IF(D$184*D$185*D$186*D182&gt;0,STDEV(D$184:D$186, D182),"")/IF(D$184*D$185*D$186*D182&gt;0,AVERAGE(D$184:D$186, D182),""),"")</f>
        <v/>
      </c>
      <c r="U266" s="227" t="str">
        <f aca="false">IFERROR(IF(E$184*E$185*E$186*E182&gt;0,STDEV(E$184:E$186, E182),"")/IF(E$184*E$185*E$186*E182&gt;0,AVERAGE(E$184:E$186, E182),""),"")</f>
        <v/>
      </c>
      <c r="V266" s="227" t="str">
        <f aca="false">IFERROR(IF(F$184*F$185*F$186*F182&gt;0,STDEV(F$184:F$186, F182),"")/IF(F$184*F$185*F$186*F182&gt;0,AVERAGE(F$184:F$186, F182),""),"")</f>
        <v/>
      </c>
      <c r="W266" s="227" t="str">
        <f aca="false">IFERROR(IF(G$184*G$185*G$186*G182&gt;0,STDEV(G$184:G$186, G182),"")/IF(G$184*G$185*G$186*G182&gt;0,AVERAGE(G$184:G$186, G182),""),"")</f>
        <v/>
      </c>
      <c r="X266" s="227" t="str">
        <f aca="false">IFERROR(IF(H$184*H$185*H$186*H182&gt;0,STDEV(H$184:H$186, H182),"")/IF(H$184*H$185*H$186*H182&gt;0,AVERAGE(H$184:H$186, H182),""),"")</f>
        <v/>
      </c>
      <c r="Y266" s="227" t="str">
        <f aca="false">IFERROR(IF(I$184*I$185*I$186*I182&gt;0,STDEV(I$184:I$186, I182),"")/IF(I$184*I$185*I$186*I182&gt;0,AVERAGE(I$184:I$186, I182),""),"")</f>
        <v/>
      </c>
      <c r="Z266" s="227" t="str">
        <f aca="false">IFERROR(IF(J$184*J$185*J$186*J182&gt;0,STDEV(J$184:J$186, J182),"")/IF(J$184*J$185*J$186*J182&gt;0,AVERAGE(J$184:J$186, J182),""),"")</f>
        <v/>
      </c>
      <c r="AA266" s="227" t="str">
        <f aca="false">IFERROR(IF(K$184*K$185*K$186*K182&gt;0,STDEV(K$184:K$186, K182),"")/IF(K$184*K$185*K$186*K182&gt;0,AVERAGE(K$184:K$186, K182),""),"")</f>
        <v/>
      </c>
      <c r="AB266" s="227" t="str">
        <f aca="false">IFERROR(IF(L$184*L$185*L$186*L182&gt;0,STDEV(L$184:L$186, L182),"")/IF(L$184*L$185*L$186*L182&gt;0,AVERAGE(L$184:L$186, L182),""),"")</f>
        <v/>
      </c>
      <c r="AC266" s="227" t="str">
        <f aca="false">IFERROR(IF(M$184*M$185*M$186*M182&gt;0,STDEV(M$184:M$186, M182),"")/IF(M$184*M$185*M$186*M182&gt;0,AVERAGE(M$184:M$186, M182),""),"")</f>
        <v/>
      </c>
      <c r="AD266" s="227" t="str">
        <f aca="false">IFERROR(IF(N$184*N$185*N$186*N182&gt;0,STDEV(N$184:N$186, N182),"")/IF(N$184*N$185*N$186*N182&gt;0,AVERAGE(N$184:N$186, N182),""),"")</f>
        <v/>
      </c>
      <c r="AE266" s="233"/>
      <c r="AF266" s="229" t="s">
        <v>469</v>
      </c>
      <c r="AG266" s="270" t="str">
        <f aca="false">IFERROR(IF(C$184*C$185*C$186*C182&gt;0,STDEV(C$184:C$186, C182)," ")/IF(C$184*C$185*C$186*C182&gt;0,SQRT(COUNT(C$184:C$186, C182))," "),"")</f>
        <v/>
      </c>
      <c r="AH266" s="270" t="str">
        <f aca="false">IFERROR(IF(D$184*D$185*D$186*D182&gt;0,STDEV(D$184:D$186, D182)," ")/IF(D$184*D$185*D$186*D182&gt;0,SQRT(COUNT(D$184:D$186, D182))," "),"")</f>
        <v/>
      </c>
      <c r="AI266" s="270" t="str">
        <f aca="false">IFERROR(IF(E$184*E$185*E$186*E182&gt;0,STDEV(E$184:E$186, E182)," ")/IF(E$184*E$185*E$186*E182&gt;0,SQRT(COUNT(E$184:E$186, E182))," "),"")</f>
        <v/>
      </c>
      <c r="AJ266" s="270" t="str">
        <f aca="false">IFERROR(IF(F$184*F$185*F$186*F182&gt;0,STDEV(F$184:F$186, F182)," ")/IF(F$184*F$185*F$186*F182&gt;0,SQRT(COUNT(F$184:F$186, F182))," "),"")</f>
        <v/>
      </c>
      <c r="AK266" s="270" t="str">
        <f aca="false">IFERROR(IF(G$184*G$185*G$186*G182&gt;0,STDEV(G$184:G$186, G182)," ")/IF(G$184*G$185*G$186*G182&gt;0,SQRT(COUNT(G$184:G$186, G182))," "),"")</f>
        <v/>
      </c>
      <c r="AL266" s="270" t="str">
        <f aca="false">IFERROR(IF(H$184*H$185*H$186*H182&gt;0,STDEV(H$184:H$186, H182)," ")/IF(H$184*H$185*H$186*H182&gt;0,SQRT(COUNT(H$184:H$186, H182))," "),"")</f>
        <v/>
      </c>
      <c r="AM266" s="270" t="str">
        <f aca="false">IFERROR(IF(I$184*I$185*I$186*I182&gt;0,STDEV(I$184:I$186, I182)," ")/IF(I$184*I$185*I$186*I182&gt;0,SQRT(COUNT(I$184:I$186, I182))," "),"")</f>
        <v/>
      </c>
      <c r="AN266" s="270" t="str">
        <f aca="false">IFERROR(IF(J$184*J$185*J$186*J182&gt;0,STDEV(J$184:J$186, J182)," ")/IF(J$184*J$185*J$186*J182&gt;0,SQRT(COUNT(J$184:J$186, J182))," "),"")</f>
        <v/>
      </c>
      <c r="AO266" s="270" t="str">
        <f aca="false">IFERROR(IF(K$184*K$185*K$186*K182&gt;0,STDEV(K$184:K$186, K182)," ")/IF(K$184*K$185*K$186*K182&gt;0,SQRT(COUNT(K$184:K$186, K182))," "),"")</f>
        <v/>
      </c>
      <c r="AP266" s="270" t="str">
        <f aca="false">IFERROR(IF(L$184*L$185*L$186*L182&gt;0,STDEV(L$184:L$186, L182)," ")/IF(L$184*L$185*L$186*L182&gt;0,SQRT(COUNT(L$184:L$186, L182))," "),"")</f>
        <v/>
      </c>
      <c r="AQ266" s="270" t="str">
        <f aca="false">IFERROR(IF(M$184*M$185*M$186*M182&gt;0,STDEV(M$184:M$186, M182)," ")/IF(M$184*M$185*M$186*M182&gt;0,SQRT(COUNT(M$184:M$186, M182))," "),"")</f>
        <v/>
      </c>
      <c r="AR266" s="270" t="str">
        <f aca="false">IFERROR(IF(N$184*N$185*N$186*N182&gt;0,STDEV(N$184:N$186, N182)," ")/IF(N$184*N$185*N$186*N182&gt;0,SQRT(COUNT(N$184:N$186, N182))," "),"")</f>
        <v/>
      </c>
    </row>
    <row r="267" customFormat="false" ht="15.75" hidden="false" customHeight="false" outlineLevel="0" collapsed="false">
      <c r="A267" s="220" t="s">
        <v>470</v>
      </c>
      <c r="B267" s="221"/>
      <c r="C267" s="261" t="str">
        <f aca="false">IFERROR(IF(C$184*C$185*C$186*C183&gt;0,AVERAGE(C$184:C$186, C183),""),"")</f>
        <v/>
      </c>
      <c r="D267" s="261" t="str">
        <f aca="false">IFERROR(IF(D$184*D$185*D$186*D183&gt;0,AVERAGE(D$184:D$186, D183),""),"")</f>
        <v/>
      </c>
      <c r="E267" s="261" t="str">
        <f aca="false">IFERROR(IF(E$184*E$185*E$186*E183&gt;0,AVERAGE(E$184:E$186, E183),""),"")</f>
        <v/>
      </c>
      <c r="F267" s="261" t="str">
        <f aca="false">IFERROR(IF(F$184*F$185*F$186*F183&gt;0,AVERAGE(F$184:F$186, F183),""),"")</f>
        <v/>
      </c>
      <c r="G267" s="261" t="str">
        <f aca="false">IFERROR(IF(G$184*G$185*G$186*G183&gt;0,AVERAGE(G$184:G$186, G183),""),"")</f>
        <v/>
      </c>
      <c r="H267" s="261" t="str">
        <f aca="false">IFERROR(IF(H$184*H$185*H$186*H183&gt;0,AVERAGE(H$184:H$186, H183),""),"")</f>
        <v/>
      </c>
      <c r="I267" s="261" t="str">
        <f aca="false">IFERROR(IF(I$184*I$185*I$186*I183&gt;0,AVERAGE(I$184:I$186, I183),""),"")</f>
        <v/>
      </c>
      <c r="J267" s="261" t="str">
        <f aca="false">IFERROR(IF(J$184*J$185*J$186*J183&gt;0,AVERAGE(J$184:J$186, J183),""),"")</f>
        <v/>
      </c>
      <c r="K267" s="261" t="str">
        <f aca="false">IFERROR(IF(K$184*K$185*K$186*K183&gt;0,AVERAGE(K$184:K$186, K183),""),"")</f>
        <v/>
      </c>
      <c r="L267" s="261" t="str">
        <f aca="false">IFERROR(IF(L$184*L$185*L$186*L183&gt;0,AVERAGE(L$184:L$186, L183),""),"")</f>
        <v/>
      </c>
      <c r="M267" s="261" t="str">
        <f aca="false">IFERROR(IF(M$184*M$185*M$186*M183&gt;0,AVERAGE(M$184:M$186, M183),""),"")</f>
        <v/>
      </c>
      <c r="N267" s="261" t="str">
        <f aca="false">IFERROR(IF(N$184*N$185*N$186*N183&gt;0,AVERAGE(N$184:N$186, N183),""),"")</f>
        <v/>
      </c>
      <c r="O267" s="224"/>
      <c r="P267" s="224"/>
      <c r="Q267" s="232"/>
      <c r="R267" s="226" t="s">
        <v>471</v>
      </c>
      <c r="S267" s="227" t="str">
        <f aca="false">IFERROR(IF(C$184*C$185*C$186*C183&gt;0,STDEV(C$184:C$186, C183),"")/IF(C$184*C$185*C$186*C183&gt;0,AVERAGE(C$184:C$186, C183),""),"")</f>
        <v/>
      </c>
      <c r="T267" s="227" t="str">
        <f aca="false">IFERROR(IF(D$184*D$185*D$186*D183&gt;0,STDEV(D$184:D$186, D183),"")/IF(D$184*D$185*D$186*D183&gt;0,AVERAGE(D$184:D$186, D183),""),"")</f>
        <v/>
      </c>
      <c r="U267" s="227" t="str">
        <f aca="false">IFERROR(IF(E$184*E$185*E$186*E183&gt;0,STDEV(E$184:E$186, E183),"")/IF(E$184*E$185*E$186*E183&gt;0,AVERAGE(E$184:E$186, E183),""),"")</f>
        <v/>
      </c>
      <c r="V267" s="227" t="str">
        <f aca="false">IFERROR(IF(F$184*F$185*F$186*F183&gt;0,STDEV(F$184:F$186, F183),"")/IF(F$184*F$185*F$186*F183&gt;0,AVERAGE(F$184:F$186, F183),""),"")</f>
        <v/>
      </c>
      <c r="W267" s="227" t="str">
        <f aca="false">IFERROR(IF(G$184*G$185*G$186*G183&gt;0,STDEV(G$184:G$186, G183),"")/IF(G$184*G$185*G$186*G183&gt;0,AVERAGE(G$184:G$186, G183),""),"")</f>
        <v/>
      </c>
      <c r="X267" s="227" t="str">
        <f aca="false">IFERROR(IF(H$184*H$185*H$186*H183&gt;0,STDEV(H$184:H$186, H183),"")/IF(H$184*H$185*H$186*H183&gt;0,AVERAGE(H$184:H$186, H183),""),"")</f>
        <v/>
      </c>
      <c r="Y267" s="227" t="str">
        <f aca="false">IFERROR(IF(I$184*I$185*I$186*I183&gt;0,STDEV(I$184:I$186, I183),"")/IF(I$184*I$185*I$186*I183&gt;0,AVERAGE(I$184:I$186, I183),""),"")</f>
        <v/>
      </c>
      <c r="Z267" s="227" t="str">
        <f aca="false">IFERROR(IF(J$184*J$185*J$186*J183&gt;0,STDEV(J$184:J$186, J183),"")/IF(J$184*J$185*J$186*J183&gt;0,AVERAGE(J$184:J$186, J183),""),"")</f>
        <v/>
      </c>
      <c r="AA267" s="227" t="str">
        <f aca="false">IFERROR(IF(K$184*K$185*K$186*K183&gt;0,STDEV(K$184:K$186, K183),"")/IF(K$184*K$185*K$186*K183&gt;0,AVERAGE(K$184:K$186, K183),""),"")</f>
        <v/>
      </c>
      <c r="AB267" s="227" t="str">
        <f aca="false">IFERROR(IF(L$184*L$185*L$186*L183&gt;0,STDEV(L$184:L$186, L183),"")/IF(L$184*L$185*L$186*L183&gt;0,AVERAGE(L$184:L$186, L183),""),"")</f>
        <v/>
      </c>
      <c r="AC267" s="227" t="str">
        <f aca="false">IFERROR(IF(M$184*M$185*M$186*M183&gt;0,STDEV(M$184:M$186, M183),"")/IF(M$184*M$185*M$186*M183&gt;0,AVERAGE(M$184:M$186, M183),""),"")</f>
        <v/>
      </c>
      <c r="AD267" s="227" t="str">
        <f aca="false">IFERROR(IF(N$184*N$185*N$186*N183&gt;0,STDEV(N$184:N$186, N183),"")/IF(N$184*N$185*N$186*N183&gt;0,AVERAGE(N$184:N$186, N183),""),"")</f>
        <v/>
      </c>
      <c r="AE267" s="233"/>
      <c r="AF267" s="229" t="s">
        <v>472</v>
      </c>
      <c r="AG267" s="270" t="str">
        <f aca="false">IFERROR(IF(C$184*C$185*C$186*C183&gt;0,STDEV(C$184:C$186, C183)," ")/IF(C$184*C$185*C$186*C183&gt;0,SQRT(COUNT(C$184:C$186, C183))," "),"")</f>
        <v/>
      </c>
      <c r="AH267" s="270" t="str">
        <f aca="false">IFERROR(IF(D$184*D$185*D$186*D183&gt;0,STDEV(D$184:D$186, D183)," ")/IF(D$184*D$185*D$186*D183&gt;0,SQRT(COUNT(D$184:D$186, D183))," "),"")</f>
        <v/>
      </c>
      <c r="AI267" s="270" t="str">
        <f aca="false">IFERROR(IF(E$184*E$185*E$186*E183&gt;0,STDEV(E$184:E$186, E183)," ")/IF(E$184*E$185*E$186*E183&gt;0,SQRT(COUNT(E$184:E$186, E183))," "),"")</f>
        <v/>
      </c>
      <c r="AJ267" s="270" t="str">
        <f aca="false">IFERROR(IF(F$184*F$185*F$186*F183&gt;0,STDEV(F$184:F$186, F183)," ")/IF(F$184*F$185*F$186*F183&gt;0,SQRT(COUNT(F$184:F$186, F183))," "),"")</f>
        <v/>
      </c>
      <c r="AK267" s="270" t="str">
        <f aca="false">IFERROR(IF(G$184*G$185*G$186*G183&gt;0,STDEV(G$184:G$186, G183)," ")/IF(G$184*G$185*G$186*G183&gt;0,SQRT(COUNT(G$184:G$186, G183))," "),"")</f>
        <v/>
      </c>
      <c r="AL267" s="270" t="str">
        <f aca="false">IFERROR(IF(H$184*H$185*H$186*H183&gt;0,STDEV(H$184:H$186, H183)," ")/IF(H$184*H$185*H$186*H183&gt;0,SQRT(COUNT(H$184:H$186, H183))," "),"")</f>
        <v/>
      </c>
      <c r="AM267" s="270" t="str">
        <f aca="false">IFERROR(IF(I$184*I$185*I$186*I183&gt;0,STDEV(I$184:I$186, I183)," ")/IF(I$184*I$185*I$186*I183&gt;0,SQRT(COUNT(I$184:I$186, I183))," "),"")</f>
        <v/>
      </c>
      <c r="AN267" s="270" t="str">
        <f aca="false">IFERROR(IF(J$184*J$185*J$186*J183&gt;0,STDEV(J$184:J$186, J183)," ")/IF(J$184*J$185*J$186*J183&gt;0,SQRT(COUNT(J$184:J$186, J183))," "),"")</f>
        <v/>
      </c>
      <c r="AO267" s="270" t="str">
        <f aca="false">IFERROR(IF(K$184*K$185*K$186*K183&gt;0,STDEV(K$184:K$186, K183)," ")/IF(K$184*K$185*K$186*K183&gt;0,SQRT(COUNT(K$184:K$186, K183))," "),"")</f>
        <v/>
      </c>
      <c r="AP267" s="270" t="str">
        <f aca="false">IFERROR(IF(L$184*L$185*L$186*L183&gt;0,STDEV(L$184:L$186, L183)," ")/IF(L$184*L$185*L$186*L183&gt;0,SQRT(COUNT(L$184:L$186, L183))," "),"")</f>
        <v/>
      </c>
      <c r="AQ267" s="270" t="str">
        <f aca="false">IFERROR(IF(M$184*M$185*M$186*M183&gt;0,STDEV(M$184:M$186, M183)," ")/IF(M$184*M$185*M$186*M183&gt;0,SQRT(COUNT(M$184:M$186, M183))," "),"")</f>
        <v/>
      </c>
      <c r="AR267" s="270" t="str">
        <f aca="false">IFERROR(IF(N$184*N$185*N$186*N183&gt;0,STDEV(N$184:N$186, N183)," ")/IF(N$184*N$185*N$186*N183&gt;0,SQRT(COUNT(N$184:N$186, N183))," "),"")</f>
        <v/>
      </c>
    </row>
    <row r="268" customFormat="false" ht="15.75" hidden="false" customHeight="false" outlineLevel="0" collapsed="false">
      <c r="A268" s="220" t="s">
        <v>473</v>
      </c>
      <c r="B268" s="221"/>
      <c r="C268" s="261" t="str">
        <f aca="false">IFERROR(IF(C$184*C$185*C$186*C187&gt;0,AVERAGE(C$184:C$186, C187),""),"")</f>
        <v/>
      </c>
      <c r="D268" s="261" t="str">
        <f aca="false">IFERROR(IF(D$184*D$185*D$186*D187&gt;0,AVERAGE(D$184:D$186, D187),""),"")</f>
        <v/>
      </c>
      <c r="E268" s="261" t="str">
        <f aca="false">IFERROR(IF(E$184*E$185*E$186*E187&gt;0,AVERAGE(E$184:E$186, E187),""),"")</f>
        <v/>
      </c>
      <c r="F268" s="261" t="str">
        <f aca="false">IFERROR(IF(F$184*F$185*F$186*F187&gt;0,AVERAGE(F$184:F$186, F187),""),"")</f>
        <v/>
      </c>
      <c r="G268" s="261" t="str">
        <f aca="false">IFERROR(IF(G$184*G$185*G$186*G187&gt;0,AVERAGE(G$184:G$186, G187),""),"")</f>
        <v/>
      </c>
      <c r="H268" s="261" t="str">
        <f aca="false">IFERROR(IF(H$184*H$185*H$186*H187&gt;0,AVERAGE(H$184:H$186, H187),""),"")</f>
        <v/>
      </c>
      <c r="I268" s="261" t="str">
        <f aca="false">IFERROR(IF(I$184*I$185*I$186*I187&gt;0,AVERAGE(I$184:I$186, I187),""),"")</f>
        <v/>
      </c>
      <c r="J268" s="261" t="str">
        <f aca="false">IFERROR(IF(J$184*J$185*J$186*J187&gt;0,AVERAGE(J$184:J$186, J187),""),"")</f>
        <v/>
      </c>
      <c r="K268" s="261" t="str">
        <f aca="false">IFERROR(IF(K$184*K$185*K$186*K187&gt;0,AVERAGE(K$184:K$186, K187),""),"")</f>
        <v/>
      </c>
      <c r="L268" s="261" t="str">
        <f aca="false">IFERROR(IF(L$184*L$185*L$186*L187&gt;0,AVERAGE(L$184:L$186, L187),""),"")</f>
        <v/>
      </c>
      <c r="M268" s="261" t="str">
        <f aca="false">IFERROR(IF(M$184*M$185*M$186*M187&gt;0,AVERAGE(M$184:M$186, M187),""),"")</f>
        <v/>
      </c>
      <c r="N268" s="261" t="str">
        <f aca="false">IFERROR(IF(N$184*N$185*N$186*N187&gt;0,AVERAGE(N$184:N$186, N187),""),"")</f>
        <v/>
      </c>
      <c r="O268" s="224"/>
      <c r="P268" s="224"/>
      <c r="Q268" s="232"/>
      <c r="R268" s="226" t="s">
        <v>474</v>
      </c>
      <c r="S268" s="227" t="str">
        <f aca="false">IFERROR(IF(C$184*C$185*C$186*C187&gt;0,STDEV(C$184:C$186, C187),"")/IF(C$184*C$185*C$186*C187&gt;0,AVERAGE(C$184:C$186, C187),""),"")</f>
        <v/>
      </c>
      <c r="T268" s="227" t="str">
        <f aca="false">IFERROR(IF(D$184*D$185*D$186*D187&gt;0,STDEV(D$184:D$186, D187),"")/IF(D$184*D$185*D$186*D187&gt;0,AVERAGE(D$184:D$186, D187),""),"")</f>
        <v/>
      </c>
      <c r="U268" s="227" t="str">
        <f aca="false">IFERROR(IF(E$184*E$185*E$186*E187&gt;0,STDEV(E$184:E$186, E187),"")/IF(E$184*E$185*E$186*E187&gt;0,AVERAGE(E$184:E$186, E187),""),"")</f>
        <v/>
      </c>
      <c r="V268" s="227" t="str">
        <f aca="false">IFERROR(IF(F$184*F$185*F$186*F187&gt;0,STDEV(F$184:F$186, F187),"")/IF(F$184*F$185*F$186*F187&gt;0,AVERAGE(F$184:F$186, F187),""),"")</f>
        <v/>
      </c>
      <c r="W268" s="227" t="str">
        <f aca="false">IFERROR(IF(G$184*G$185*G$186*G187&gt;0,STDEV(G$184:G$186, G187),"")/IF(G$184*G$185*G$186*G187&gt;0,AVERAGE(G$184:G$186, G187),""),"")</f>
        <v/>
      </c>
      <c r="X268" s="227" t="str">
        <f aca="false">IFERROR(IF(H$184*H$185*H$186*H187&gt;0,STDEV(H$184:H$186, H187),"")/IF(H$184*H$185*H$186*H187&gt;0,AVERAGE(H$184:H$186, H187),""),"")</f>
        <v/>
      </c>
      <c r="Y268" s="227" t="str">
        <f aca="false">IFERROR(IF(I$184*I$185*I$186*I187&gt;0,STDEV(I$184:I$186, I187),"")/IF(I$184*I$185*I$186*I187&gt;0,AVERAGE(I$184:I$186, I187),""),"")</f>
        <v/>
      </c>
      <c r="Z268" s="227" t="str">
        <f aca="false">IFERROR(IF(J$184*J$185*J$186*J187&gt;0,STDEV(J$184:J$186, J187),"")/IF(J$184*J$185*J$186*J187&gt;0,AVERAGE(J$184:J$186, J187),""),"")</f>
        <v/>
      </c>
      <c r="AA268" s="227" t="str">
        <f aca="false">IFERROR(IF(K$184*K$185*K$186*K187&gt;0,STDEV(K$184:K$186, K187),"")/IF(K$184*K$185*K$186*K187&gt;0,AVERAGE(K$184:K$186, K187),""),"")</f>
        <v/>
      </c>
      <c r="AB268" s="227" t="str">
        <f aca="false">IFERROR(IF(L$184*L$185*L$186*L187&gt;0,STDEV(L$184:L$186, L187),"")/IF(L$184*L$185*L$186*L187&gt;0,AVERAGE(L$184:L$186, L187),""),"")</f>
        <v/>
      </c>
      <c r="AC268" s="227" t="str">
        <f aca="false">IFERROR(IF(M$184*M$185*M$186*M187&gt;0,STDEV(M$184:M$186, M187),"")/IF(M$184*M$185*M$186*M187&gt;0,AVERAGE(M$184:M$186, M187),""),"")</f>
        <v/>
      </c>
      <c r="AD268" s="227" t="str">
        <f aca="false">IFERROR(IF(N$184*N$185*N$186*N187&gt;0,STDEV(N$184:N$186, N187),"")/IF(N$184*N$185*N$186*N187&gt;0,AVERAGE(N$184:N$186, N187),""),"")</f>
        <v/>
      </c>
      <c r="AE268" s="233"/>
      <c r="AF268" s="229" t="s">
        <v>475</v>
      </c>
      <c r="AG268" s="270" t="str">
        <f aca="false">IFERROR(IF(C$184*C$185*C$186*C187&gt;0,STDEV(C$184:C$186, C187)," ")/IF(C$184*C$185*C$186*C187&gt;0,SQRT(COUNT(C$184:C$186, C187))," "),"")</f>
        <v/>
      </c>
      <c r="AH268" s="270" t="str">
        <f aca="false">IFERROR(IF(D$184*D$185*D$186*D187&gt;0,STDEV(D$184:D$186, D187)," ")/IF(D$184*D$185*D$186*D187&gt;0,SQRT(COUNT(D$184:D$186, D187))," "),"")</f>
        <v/>
      </c>
      <c r="AI268" s="270" t="str">
        <f aca="false">IFERROR(IF(E$184*E$185*E$186*E187&gt;0,STDEV(E$184:E$186, E187)," ")/IF(E$184*E$185*E$186*E187&gt;0,SQRT(COUNT(E$184:E$186, E187))," "),"")</f>
        <v/>
      </c>
      <c r="AJ268" s="270" t="str">
        <f aca="false">IFERROR(IF(F$184*F$185*F$186*F187&gt;0,STDEV(F$184:F$186, F187)," ")/IF(F$184*F$185*F$186*F187&gt;0,SQRT(COUNT(F$184:F$186, F187))," "),"")</f>
        <v/>
      </c>
      <c r="AK268" s="270" t="str">
        <f aca="false">IFERROR(IF(G$184*G$185*G$186*G187&gt;0,STDEV(G$184:G$186, G187)," ")/IF(G$184*G$185*G$186*G187&gt;0,SQRT(COUNT(G$184:G$186, G187))," "),"")</f>
        <v/>
      </c>
      <c r="AL268" s="270" t="str">
        <f aca="false">IFERROR(IF(H$184*H$185*H$186*H187&gt;0,STDEV(H$184:H$186, H187)," ")/IF(H$184*H$185*H$186*H187&gt;0,SQRT(COUNT(H$184:H$186, H187))," "),"")</f>
        <v/>
      </c>
      <c r="AM268" s="270" t="str">
        <f aca="false">IFERROR(IF(I$184*I$185*I$186*I187&gt;0,STDEV(I$184:I$186, I187)," ")/IF(I$184*I$185*I$186*I187&gt;0,SQRT(COUNT(I$184:I$186, I187))," "),"")</f>
        <v/>
      </c>
      <c r="AN268" s="270" t="str">
        <f aca="false">IFERROR(IF(J$184*J$185*J$186*J187&gt;0,STDEV(J$184:J$186, J187)," ")/IF(J$184*J$185*J$186*J187&gt;0,SQRT(COUNT(J$184:J$186, J187))," "),"")</f>
        <v/>
      </c>
      <c r="AO268" s="270" t="str">
        <f aca="false">IFERROR(IF(K$184*K$185*K$186*K187&gt;0,STDEV(K$184:K$186, K187)," ")/IF(K$184*K$185*K$186*K187&gt;0,SQRT(COUNT(K$184:K$186, K187))," "),"")</f>
        <v/>
      </c>
      <c r="AP268" s="270" t="str">
        <f aca="false">IFERROR(IF(L$184*L$185*L$186*L187&gt;0,STDEV(L$184:L$186, L187)," ")/IF(L$184*L$185*L$186*L187&gt;0,SQRT(COUNT(L$184:L$186, L187))," "),"")</f>
        <v/>
      </c>
      <c r="AQ268" s="270" t="str">
        <f aca="false">IFERROR(IF(M$184*M$185*M$186*M187&gt;0,STDEV(M$184:M$186, M187)," ")/IF(M$184*M$185*M$186*M187&gt;0,SQRT(COUNT(M$184:M$186, M187))," "),"")</f>
        <v/>
      </c>
      <c r="AR268" s="270" t="str">
        <f aca="false">IFERROR(IF(N$184*N$185*N$186*N187&gt;0,STDEV(N$184:N$186, N187)," ")/IF(N$184*N$185*N$186*N187&gt;0,SQRT(COUNT(N$184:N$186, N187))," "),"")</f>
        <v/>
      </c>
    </row>
    <row r="269" customFormat="false" ht="15.75" hidden="false" customHeight="false" outlineLevel="0" collapsed="false">
      <c r="A269" s="220" t="s">
        <v>476</v>
      </c>
      <c r="B269" s="221"/>
      <c r="C269" s="261" t="str">
        <f aca="false">IFERROR(IF(C$184*C$185*C$186*C188&gt;0,AVERAGE(C$184:C$186, C188),""),"")</f>
        <v/>
      </c>
      <c r="D269" s="261" t="str">
        <f aca="false">IFERROR(IF(D$184*D$185*D$186*D188&gt;0,AVERAGE(D$184:D$186, D188),""),"")</f>
        <v/>
      </c>
      <c r="E269" s="261" t="str">
        <f aca="false">IFERROR(IF(E$184*E$185*E$186*E188&gt;0,AVERAGE(E$184:E$186, E188),""),"")</f>
        <v/>
      </c>
      <c r="F269" s="261" t="str">
        <f aca="false">IFERROR(IF(F$184*F$185*F$186*F188&gt;0,AVERAGE(F$184:F$186, F188),""),"")</f>
        <v/>
      </c>
      <c r="G269" s="261" t="str">
        <f aca="false">IFERROR(IF(G$184*G$185*G$186*G188&gt;0,AVERAGE(G$184:G$186, G188),""),"")</f>
        <v/>
      </c>
      <c r="H269" s="261" t="str">
        <f aca="false">IFERROR(IF(H$184*H$185*H$186*H188&gt;0,AVERAGE(H$184:H$186, H188),""),"")</f>
        <v/>
      </c>
      <c r="I269" s="261" t="str">
        <f aca="false">IFERROR(IF(I$184*I$185*I$186*I188&gt;0,AVERAGE(I$184:I$186, I188),""),"")</f>
        <v/>
      </c>
      <c r="J269" s="261" t="str">
        <f aca="false">IFERROR(IF(J$184*J$185*J$186*J188&gt;0,AVERAGE(J$184:J$186, J188),""),"")</f>
        <v/>
      </c>
      <c r="K269" s="261" t="str">
        <f aca="false">IFERROR(IF(K$184*K$185*K$186*K188&gt;0,AVERAGE(K$184:K$186, K188),""),"")</f>
        <v/>
      </c>
      <c r="L269" s="261" t="str">
        <f aca="false">IFERROR(IF(L$184*L$185*L$186*L188&gt;0,AVERAGE(L$184:L$186, L188),""),"")</f>
        <v/>
      </c>
      <c r="M269" s="261" t="str">
        <f aca="false">IFERROR(IF(M$184*M$185*M$186*M188&gt;0,AVERAGE(M$184:M$186, M188),""),"")</f>
        <v/>
      </c>
      <c r="N269" s="261" t="str">
        <f aca="false">IFERROR(IF(N$184*N$185*N$186*N188&gt;0,AVERAGE(N$184:N$186, N188),""),"")</f>
        <v/>
      </c>
      <c r="O269" s="224"/>
      <c r="P269" s="224"/>
      <c r="Q269" s="232"/>
      <c r="R269" s="226" t="s">
        <v>477</v>
      </c>
      <c r="S269" s="227" t="str">
        <f aca="false">IFERROR(IF(C$184*C$185*C$186*C188&gt;0,STDEV(C$184:C$186, C188),"")/IF(C$184*C$185*C$186*C188&gt;0,AVERAGE(C$184:C$186, C188),""),"")</f>
        <v/>
      </c>
      <c r="T269" s="227" t="str">
        <f aca="false">IFERROR(IF(D$184*D$185*D$186*D188&gt;0,STDEV(D$184:D$186, D188),"")/IF(D$184*D$185*D$186*D188&gt;0,AVERAGE(D$184:D$186, D188),""),"")</f>
        <v/>
      </c>
      <c r="U269" s="227" t="str">
        <f aca="false">IFERROR(IF(E$184*E$185*E$186*E188&gt;0,STDEV(E$184:E$186, E188),"")/IF(E$184*E$185*E$186*E188&gt;0,AVERAGE(E$184:E$186, E188),""),"")</f>
        <v/>
      </c>
      <c r="V269" s="227" t="str">
        <f aca="false">IFERROR(IF(F$184*F$185*F$186*F188&gt;0,STDEV(F$184:F$186, F188),"")/IF(F$184*F$185*F$186*F188&gt;0,AVERAGE(F$184:F$186, F188),""),"")</f>
        <v/>
      </c>
      <c r="W269" s="227" t="str">
        <f aca="false">IFERROR(IF(G$184*G$185*G$186*G188&gt;0,STDEV(G$184:G$186, G188),"")/IF(G$184*G$185*G$186*G188&gt;0,AVERAGE(G$184:G$186, G188),""),"")</f>
        <v/>
      </c>
      <c r="X269" s="227" t="str">
        <f aca="false">IFERROR(IF(H$184*H$185*H$186*H188&gt;0,STDEV(H$184:H$186, H188),"")/IF(H$184*H$185*H$186*H188&gt;0,AVERAGE(H$184:H$186, H188),""),"")</f>
        <v/>
      </c>
      <c r="Y269" s="227" t="str">
        <f aca="false">IFERROR(IF(I$184*I$185*I$186*I188&gt;0,STDEV(I$184:I$186, I188),"")/IF(I$184*I$185*I$186*I188&gt;0,AVERAGE(I$184:I$186, I188),""),"")</f>
        <v/>
      </c>
      <c r="Z269" s="227" t="str">
        <f aca="false">IFERROR(IF(J$184*J$185*J$186*J188&gt;0,STDEV(J$184:J$186, J188),"")/IF(J$184*J$185*J$186*J188&gt;0,AVERAGE(J$184:J$186, J188),""),"")</f>
        <v/>
      </c>
      <c r="AA269" s="227" t="str">
        <f aca="false">IFERROR(IF(K$184*K$185*K$186*K188&gt;0,STDEV(K$184:K$186, K188),"")/IF(K$184*K$185*K$186*K188&gt;0,AVERAGE(K$184:K$186, K188),""),"")</f>
        <v/>
      </c>
      <c r="AB269" s="227" t="str">
        <f aca="false">IFERROR(IF(L$184*L$185*L$186*L188&gt;0,STDEV(L$184:L$186, L188),"")/IF(L$184*L$185*L$186*L188&gt;0,AVERAGE(L$184:L$186, L188),""),"")</f>
        <v/>
      </c>
      <c r="AC269" s="227" t="str">
        <f aca="false">IFERROR(IF(M$184*M$185*M$186*M188&gt;0,STDEV(M$184:M$186, M188),"")/IF(M$184*M$185*M$186*M188&gt;0,AVERAGE(M$184:M$186, M188),""),"")</f>
        <v/>
      </c>
      <c r="AD269" s="227" t="str">
        <f aca="false">IFERROR(IF(N$184*N$185*N$186*N188&gt;0,STDEV(N$184:N$186, N188),"")/IF(N$184*N$185*N$186*N188&gt;0,AVERAGE(N$184:N$186, N188),""),"")</f>
        <v/>
      </c>
      <c r="AE269" s="233"/>
      <c r="AF269" s="229" t="s">
        <v>478</v>
      </c>
      <c r="AG269" s="270" t="str">
        <f aca="false">IFERROR(IF(C$184*C$185*C$186*C188&gt;0,STDEV(C$184:C$186, C188)," ")/IF(C$184*C$185*C$186*C188&gt;0,SQRT(COUNT(C$184:C$186, C188))," "),"")</f>
        <v/>
      </c>
      <c r="AH269" s="270" t="str">
        <f aca="false">IFERROR(IF(D$184*D$185*D$186*D188&gt;0,STDEV(D$184:D$186, D188)," ")/IF(D$184*D$185*D$186*D188&gt;0,SQRT(COUNT(D$184:D$186, D188))," "),"")</f>
        <v/>
      </c>
      <c r="AI269" s="270" t="str">
        <f aca="false">IFERROR(IF(E$184*E$185*E$186*E188&gt;0,STDEV(E$184:E$186, E188)," ")/IF(E$184*E$185*E$186*E188&gt;0,SQRT(COUNT(E$184:E$186, E188))," "),"")</f>
        <v/>
      </c>
      <c r="AJ269" s="270" t="str">
        <f aca="false">IFERROR(IF(F$184*F$185*F$186*F188&gt;0,STDEV(F$184:F$186, F188)," ")/IF(F$184*F$185*F$186*F188&gt;0,SQRT(COUNT(F$184:F$186, F188))," "),"")</f>
        <v/>
      </c>
      <c r="AK269" s="270" t="str">
        <f aca="false">IFERROR(IF(G$184*G$185*G$186*G188&gt;0,STDEV(G$184:G$186, G188)," ")/IF(G$184*G$185*G$186*G188&gt;0,SQRT(COUNT(G$184:G$186, G188))," "),"")</f>
        <v/>
      </c>
      <c r="AL269" s="270" t="str">
        <f aca="false">IFERROR(IF(H$184*H$185*H$186*H188&gt;0,STDEV(H$184:H$186, H188)," ")/IF(H$184*H$185*H$186*H188&gt;0,SQRT(COUNT(H$184:H$186, H188))," "),"")</f>
        <v/>
      </c>
      <c r="AM269" s="270" t="str">
        <f aca="false">IFERROR(IF(I$184*I$185*I$186*I188&gt;0,STDEV(I$184:I$186, I188)," ")/IF(I$184*I$185*I$186*I188&gt;0,SQRT(COUNT(I$184:I$186, I188))," "),"")</f>
        <v/>
      </c>
      <c r="AN269" s="270" t="str">
        <f aca="false">IFERROR(IF(J$184*J$185*J$186*J188&gt;0,STDEV(J$184:J$186, J188)," ")/IF(J$184*J$185*J$186*J188&gt;0,SQRT(COUNT(J$184:J$186, J188))," "),"")</f>
        <v/>
      </c>
      <c r="AO269" s="270" t="str">
        <f aca="false">IFERROR(IF(K$184*K$185*K$186*K188&gt;0,STDEV(K$184:K$186, K188)," ")/IF(K$184*K$185*K$186*K188&gt;0,SQRT(COUNT(K$184:K$186, K188))," "),"")</f>
        <v/>
      </c>
      <c r="AP269" s="270" t="str">
        <f aca="false">IFERROR(IF(L$184*L$185*L$186*L188&gt;0,STDEV(L$184:L$186, L188)," ")/IF(L$184*L$185*L$186*L188&gt;0,SQRT(COUNT(L$184:L$186, L188))," "),"")</f>
        <v/>
      </c>
      <c r="AQ269" s="270" t="str">
        <f aca="false">IFERROR(IF(M$184*M$185*M$186*M188&gt;0,STDEV(M$184:M$186, M188)," ")/IF(M$184*M$185*M$186*M188&gt;0,SQRT(COUNT(M$184:M$186, M188))," "),"")</f>
        <v/>
      </c>
      <c r="AR269" s="270" t="str">
        <f aca="false">IFERROR(IF(N$184*N$185*N$186*N188&gt;0,STDEV(N$184:N$186, N188)," ")/IF(N$184*N$185*N$186*N188&gt;0,SQRT(COUNT(N$184:N$186, N188))," "),"")</f>
        <v/>
      </c>
    </row>
    <row r="270" customFormat="false" ht="15.75" hidden="false" customHeight="false" outlineLevel="0" collapsed="false">
      <c r="A270" s="220" t="s">
        <v>479</v>
      </c>
      <c r="B270" s="221"/>
      <c r="C270" s="261" t="str">
        <f aca="false">IFERROR(IF(C$185*C$186*C$187*C182&gt;0,AVERAGE(C$185:C$187, C182),""),"")</f>
        <v/>
      </c>
      <c r="D270" s="261" t="str">
        <f aca="false">IFERROR(IF(D$185*D$186*D$187*D182&gt;0,AVERAGE(D$185:D$187, D182),""),"")</f>
        <v/>
      </c>
      <c r="E270" s="261" t="str">
        <f aca="false">IFERROR(IF(E$185*E$186*E$187*E182&gt;0,AVERAGE(E$185:E$187, E182),""),"")</f>
        <v/>
      </c>
      <c r="F270" s="261" t="str">
        <f aca="false">IFERROR(IF(F$185*F$186*F$187*F182&gt;0,AVERAGE(F$185:F$187, F182),""),"")</f>
        <v/>
      </c>
      <c r="G270" s="261" t="str">
        <f aca="false">IFERROR(IF(G$185*G$186*G$187*G182&gt;0,AVERAGE(G$185:G$187, G182),""),"")</f>
        <v/>
      </c>
      <c r="H270" s="261" t="str">
        <f aca="false">IFERROR(IF(H$185*H$186*H$187*H182&gt;0,AVERAGE(H$185:H$187, H182),""),"")</f>
        <v/>
      </c>
      <c r="I270" s="261" t="str">
        <f aca="false">IFERROR(IF(I$185*I$186*I$187*I182&gt;0,AVERAGE(I$185:I$187, I182),""),"")</f>
        <v/>
      </c>
      <c r="J270" s="261" t="str">
        <f aca="false">IFERROR(IF(J$185*J$186*J$187*J182&gt;0,AVERAGE(J$185:J$187, J182),""),"")</f>
        <v/>
      </c>
      <c r="K270" s="261" t="str">
        <f aca="false">IFERROR(IF(K$185*K$186*K$187*K182&gt;0,AVERAGE(K$185:K$187, K182),""),"")</f>
        <v/>
      </c>
      <c r="L270" s="261" t="str">
        <f aca="false">IFERROR(IF(L$185*L$186*L$187*L182&gt;0,AVERAGE(L$185:L$187, L182),""),"")</f>
        <v/>
      </c>
      <c r="M270" s="261" t="str">
        <f aca="false">IFERROR(IF(M$185*M$186*M$187*M182&gt;0,AVERAGE(M$185:M$187, M182),""),"")</f>
        <v/>
      </c>
      <c r="N270" s="261" t="str">
        <f aca="false">IFERROR(IF(N$185*N$186*N$187*N182&gt;0,AVERAGE(N$185:N$187, N182),""),"")</f>
        <v/>
      </c>
      <c r="O270" s="224"/>
      <c r="P270" s="224"/>
      <c r="Q270" s="232"/>
      <c r="R270" s="226" t="s">
        <v>480</v>
      </c>
      <c r="S270" s="227" t="str">
        <f aca="false">IFERROR(IF(C$185*C$186*C$187*C182&gt;0,STDEV(C$185:C$187, C182),"")/IF(C$185*C$186*C$187*C182&gt;0,AVERAGE(C$185:C$187, C182),""),"")</f>
        <v/>
      </c>
      <c r="T270" s="227" t="str">
        <f aca="false">IFERROR(IF(D$185*D$186*D$187*D182&gt;0,STDEV(D$185:D$187, D182),"")/IF(D$185*D$186*D$187*D182&gt;0,AVERAGE(D$185:D$187, D182),""),"")</f>
        <v/>
      </c>
      <c r="U270" s="227" t="str">
        <f aca="false">IFERROR(IF(E$185*E$186*E$187*E182&gt;0,STDEV(E$185:E$187, E182),"")/IF(E$185*E$186*E$187*E182&gt;0,AVERAGE(E$185:E$187, E182),""),"")</f>
        <v/>
      </c>
      <c r="V270" s="227" t="str">
        <f aca="false">IFERROR(IF(F$185*F$186*F$187*F182&gt;0,STDEV(F$185:F$187, F182),"")/IF(F$185*F$186*F$187*F182&gt;0,AVERAGE(F$185:F$187, F182),""),"")</f>
        <v/>
      </c>
      <c r="W270" s="227" t="str">
        <f aca="false">IFERROR(IF(G$185*G$186*G$187*G182&gt;0,STDEV(G$185:G$187, G182),"")/IF(G$185*G$186*G$187*G182&gt;0,AVERAGE(G$185:G$187, G182),""),"")</f>
        <v/>
      </c>
      <c r="X270" s="227" t="str">
        <f aca="false">IFERROR(IF(H$185*H$186*H$187*H182&gt;0,STDEV(H$185:H$187, H182),"")/IF(H$185*H$186*H$187*H182&gt;0,AVERAGE(H$185:H$187, H182),""),"")</f>
        <v/>
      </c>
      <c r="Y270" s="227" t="str">
        <f aca="false">IFERROR(IF(I$185*I$186*I$187*I182&gt;0,STDEV(I$185:I$187, I182),"")/IF(I$185*I$186*I$187*I182&gt;0,AVERAGE(I$185:I$187, I182),""),"")</f>
        <v/>
      </c>
      <c r="Z270" s="227" t="str">
        <f aca="false">IFERROR(IF(J$185*J$186*J$187*J182&gt;0,STDEV(J$185:J$187, J182),"")/IF(J$185*J$186*J$187*J182&gt;0,AVERAGE(J$185:J$187, J182),""),"")</f>
        <v/>
      </c>
      <c r="AA270" s="227" t="str">
        <f aca="false">IFERROR(IF(K$185*K$186*K$187*K182&gt;0,STDEV(K$185:K$187, K182),"")/IF(K$185*K$186*K$187*K182&gt;0,AVERAGE(K$185:K$187, K182),""),"")</f>
        <v/>
      </c>
      <c r="AB270" s="227" t="str">
        <f aca="false">IFERROR(IF(L$185*L$186*L$187*L182&gt;0,STDEV(L$185:L$187, L182),"")/IF(L$185*L$186*L$187*L182&gt;0,AVERAGE(L$185:L$187, L182),""),"")</f>
        <v/>
      </c>
      <c r="AC270" s="227" t="str">
        <f aca="false">IFERROR(IF(M$185*M$186*M$187*M182&gt;0,STDEV(M$185:M$187, M182),"")/IF(M$185*M$186*M$187*M182&gt;0,AVERAGE(M$185:M$187, M182),""),"")</f>
        <v/>
      </c>
      <c r="AD270" s="227" t="str">
        <f aca="false">IFERROR(IF(N$185*N$186*N$187*N182&gt;0,STDEV(N$185:N$187, N182),"")/IF(N$185*N$186*N$187*N182&gt;0,AVERAGE(N$185:N$187, N182),""),"")</f>
        <v/>
      </c>
      <c r="AE270" s="233"/>
      <c r="AF270" s="229" t="s">
        <v>481</v>
      </c>
      <c r="AG270" s="270" t="str">
        <f aca="false">IFERROR(IF(C$185*C$186*C$187*C182&gt;0,STDEV(C$185:C$187, C182)," ")/IF(C$185*C$186*C$187*C182&gt;0,SQRT(COUNT(C$185:C$187, C182))," "),"")</f>
        <v/>
      </c>
      <c r="AH270" s="270" t="str">
        <f aca="false">IFERROR(IF(D$185*D$186*D$187*D182&gt;0,STDEV(D$185:D$187, D182)," ")/IF(D$185*D$186*D$187*D182&gt;0,SQRT(COUNT(D$185:D$187, D182))," "),"")</f>
        <v/>
      </c>
      <c r="AI270" s="270" t="str">
        <f aca="false">IFERROR(IF(E$185*E$186*E$187*E182&gt;0,STDEV(E$185:E$187, E182)," ")/IF(E$185*E$186*E$187*E182&gt;0,SQRT(COUNT(E$185:E$187, E182))," "),"")</f>
        <v/>
      </c>
      <c r="AJ270" s="270" t="str">
        <f aca="false">IFERROR(IF(F$185*F$186*F$187*F182&gt;0,STDEV(F$185:F$187, F182)," ")/IF(F$185*F$186*F$187*F182&gt;0,SQRT(COUNT(F$185:F$187, F182))," "),"")</f>
        <v/>
      </c>
      <c r="AK270" s="270" t="str">
        <f aca="false">IFERROR(IF(G$185*G$186*G$187*G182&gt;0,STDEV(G$185:G$187, G182)," ")/IF(G$185*G$186*G$187*G182&gt;0,SQRT(COUNT(G$185:G$187, G182))," "),"")</f>
        <v/>
      </c>
      <c r="AL270" s="270" t="str">
        <f aca="false">IFERROR(IF(H$185*H$186*H$187*H182&gt;0,STDEV(H$185:H$187, H182)," ")/IF(H$185*H$186*H$187*H182&gt;0,SQRT(COUNT(H$185:H$187, H182))," "),"")</f>
        <v/>
      </c>
      <c r="AM270" s="270" t="str">
        <f aca="false">IFERROR(IF(I$185*I$186*I$187*I182&gt;0,STDEV(I$185:I$187, I182)," ")/IF(I$185*I$186*I$187*I182&gt;0,SQRT(COUNT(I$185:I$187, I182))," "),"")</f>
        <v/>
      </c>
      <c r="AN270" s="270" t="str">
        <f aca="false">IFERROR(IF(J$185*J$186*J$187*J182&gt;0,STDEV(J$185:J$187, J182)," ")/IF(J$185*J$186*J$187*J182&gt;0,SQRT(COUNT(J$185:J$187, J182))," "),"")</f>
        <v/>
      </c>
      <c r="AO270" s="270" t="str">
        <f aca="false">IFERROR(IF(K$185*K$186*K$187*K182&gt;0,STDEV(K$185:K$187, K182)," ")/IF(K$185*K$186*K$187*K182&gt;0,SQRT(COUNT(K$185:K$187, K182))," "),"")</f>
        <v/>
      </c>
      <c r="AP270" s="270" t="str">
        <f aca="false">IFERROR(IF(L$185*L$186*L$187*L182&gt;0,STDEV(L$185:L$187, L182)," ")/IF(L$185*L$186*L$187*L182&gt;0,SQRT(COUNT(L$185:L$187, L182))," "),"")</f>
        <v/>
      </c>
      <c r="AQ270" s="270" t="str">
        <f aca="false">IFERROR(IF(M$185*M$186*M$187*M182&gt;0,STDEV(M$185:M$187, M182)," ")/IF(M$185*M$186*M$187*M182&gt;0,SQRT(COUNT(M$185:M$187, M182))," "),"")</f>
        <v/>
      </c>
      <c r="AR270" s="270" t="str">
        <f aca="false">IFERROR(IF(N$185*N$186*N$187*N182&gt;0,STDEV(N$185:N$187, N182)," ")/IF(N$185*N$186*N$187*N182&gt;0,SQRT(COUNT(N$185:N$187, N182))," "),"")</f>
        <v/>
      </c>
    </row>
    <row r="271" customFormat="false" ht="15.75" hidden="false" customHeight="false" outlineLevel="0" collapsed="false">
      <c r="A271" s="220" t="s">
        <v>482</v>
      </c>
      <c r="B271" s="221"/>
      <c r="C271" s="261" t="str">
        <f aca="false">IFERROR(IF(C$185*C$186*C$187*C183&gt;0,AVERAGE(C$185:C$187, C183),""),"")</f>
        <v/>
      </c>
      <c r="D271" s="261" t="str">
        <f aca="false">IFERROR(IF(D$185*D$186*D$187*D183&gt;0,AVERAGE(D$185:D$187, D183),""),"")</f>
        <v/>
      </c>
      <c r="E271" s="261" t="str">
        <f aca="false">IFERROR(IF(E$185*E$186*E$187*E183&gt;0,AVERAGE(E$185:E$187, E183),""),"")</f>
        <v/>
      </c>
      <c r="F271" s="261" t="str">
        <f aca="false">IFERROR(IF(F$185*F$186*F$187*F183&gt;0,AVERAGE(F$185:F$187, F183),""),"")</f>
        <v/>
      </c>
      <c r="G271" s="261" t="str">
        <f aca="false">IFERROR(IF(G$185*G$186*G$187*G183&gt;0,AVERAGE(G$185:G$187, G183),""),"")</f>
        <v/>
      </c>
      <c r="H271" s="261" t="str">
        <f aca="false">IFERROR(IF(H$185*H$186*H$187*H183&gt;0,AVERAGE(H$185:H$187, H183),""),"")</f>
        <v/>
      </c>
      <c r="I271" s="261" t="str">
        <f aca="false">IFERROR(IF(I$185*I$186*I$187*I183&gt;0,AVERAGE(I$185:I$187, I183),""),"")</f>
        <v/>
      </c>
      <c r="J271" s="261" t="str">
        <f aca="false">IFERROR(IF(J$185*J$186*J$187*J183&gt;0,AVERAGE(J$185:J$187, J183),""),"")</f>
        <v/>
      </c>
      <c r="K271" s="261" t="str">
        <f aca="false">IFERROR(IF(K$185*K$186*K$187*K183&gt;0,AVERAGE(K$185:K$187, K183),""),"")</f>
        <v/>
      </c>
      <c r="L271" s="261" t="str">
        <f aca="false">IFERROR(IF(L$185*L$186*L$187*L183&gt;0,AVERAGE(L$185:L$187, L183),""),"")</f>
        <v/>
      </c>
      <c r="M271" s="261" t="str">
        <f aca="false">IFERROR(IF(M$185*M$186*M$187*M183&gt;0,AVERAGE(M$185:M$187, M183),""),"")</f>
        <v/>
      </c>
      <c r="N271" s="261" t="str">
        <f aca="false">IFERROR(IF(N$185*N$186*N$187*N183&gt;0,AVERAGE(N$185:N$187, N183),""),"")</f>
        <v/>
      </c>
      <c r="O271" s="224"/>
      <c r="P271" s="224"/>
      <c r="Q271" s="232"/>
      <c r="R271" s="226" t="s">
        <v>483</v>
      </c>
      <c r="S271" s="227" t="str">
        <f aca="false">IFERROR(IF(C$185*C$186*C$187*C183&gt;0,STDEV(C$185:C$187, C183),"")/IF(C$185*C$186*C$187*C183&gt;0,AVERAGE(C$185:C$187, C183),""),"")</f>
        <v/>
      </c>
      <c r="T271" s="227" t="str">
        <f aca="false">IFERROR(IF(D$185*D$186*D$187*D183&gt;0,STDEV(D$185:D$187, D183),"")/IF(D$185*D$186*D$187*D183&gt;0,AVERAGE(D$185:D$187, D183),""),"")</f>
        <v/>
      </c>
      <c r="U271" s="227" t="str">
        <f aca="false">IFERROR(IF(E$185*E$186*E$187*E183&gt;0,STDEV(E$185:E$187, E183),"")/IF(E$185*E$186*E$187*E183&gt;0,AVERAGE(E$185:E$187, E183),""),"")</f>
        <v/>
      </c>
      <c r="V271" s="227" t="str">
        <f aca="false">IFERROR(IF(F$185*F$186*F$187*F183&gt;0,STDEV(F$185:F$187, F183),"")/IF(F$185*F$186*F$187*F183&gt;0,AVERAGE(F$185:F$187, F183),""),"")</f>
        <v/>
      </c>
      <c r="W271" s="227" t="str">
        <f aca="false">IFERROR(IF(G$185*G$186*G$187*G183&gt;0,STDEV(G$185:G$187, G183),"")/IF(G$185*G$186*G$187*G183&gt;0,AVERAGE(G$185:G$187, G183),""),"")</f>
        <v/>
      </c>
      <c r="X271" s="227" t="str">
        <f aca="false">IFERROR(IF(H$185*H$186*H$187*H183&gt;0,STDEV(H$185:H$187, H183),"")/IF(H$185*H$186*H$187*H183&gt;0,AVERAGE(H$185:H$187, H183),""),"")</f>
        <v/>
      </c>
      <c r="Y271" s="227" t="str">
        <f aca="false">IFERROR(IF(I$185*I$186*I$187*I183&gt;0,STDEV(I$185:I$187, I183),"")/IF(I$185*I$186*I$187*I183&gt;0,AVERAGE(I$185:I$187, I183),""),"")</f>
        <v/>
      </c>
      <c r="Z271" s="227" t="str">
        <f aca="false">IFERROR(IF(J$185*J$186*J$187*J183&gt;0,STDEV(J$185:J$187, J183),"")/IF(J$185*J$186*J$187*J183&gt;0,AVERAGE(J$185:J$187, J183),""),"")</f>
        <v/>
      </c>
      <c r="AA271" s="227" t="str">
        <f aca="false">IFERROR(IF(K$185*K$186*K$187*K183&gt;0,STDEV(K$185:K$187, K183),"")/IF(K$185*K$186*K$187*K183&gt;0,AVERAGE(K$185:K$187, K183),""),"")</f>
        <v/>
      </c>
      <c r="AB271" s="227" t="str">
        <f aca="false">IFERROR(IF(L$185*L$186*L$187*L183&gt;0,STDEV(L$185:L$187, L183),"")/IF(L$185*L$186*L$187*L183&gt;0,AVERAGE(L$185:L$187, L183),""),"")</f>
        <v/>
      </c>
      <c r="AC271" s="227" t="str">
        <f aca="false">IFERROR(IF(M$185*M$186*M$187*M183&gt;0,STDEV(M$185:M$187, M183),"")/IF(M$185*M$186*M$187*M183&gt;0,AVERAGE(M$185:M$187, M183),""),"")</f>
        <v/>
      </c>
      <c r="AD271" s="227" t="str">
        <f aca="false">IFERROR(IF(N$185*N$186*N$187*N183&gt;0,STDEV(N$185:N$187, N183),"")/IF(N$185*N$186*N$187*N183&gt;0,AVERAGE(N$185:N$187, N183),""),"")</f>
        <v/>
      </c>
      <c r="AE271" s="233"/>
      <c r="AF271" s="229" t="s">
        <v>484</v>
      </c>
      <c r="AG271" s="270" t="str">
        <f aca="false">IFERROR(IF(C$185*C$186*C$187*C183&gt;0,STDEV(C$185:C$187, C183)," ")/IF(C$185*C$186*C$187*C183&gt;0,SQRT(COUNT(C$185:C$187, C183))," "),"")</f>
        <v/>
      </c>
      <c r="AH271" s="270" t="str">
        <f aca="false">IFERROR(IF(D$185*D$186*D$187*D183&gt;0,STDEV(D$185:D$187, D183)," ")/IF(D$185*D$186*D$187*D183&gt;0,SQRT(COUNT(D$185:D$187, D183))," "),"")</f>
        <v/>
      </c>
      <c r="AI271" s="270" t="str">
        <f aca="false">IFERROR(IF(E$185*E$186*E$187*E183&gt;0,STDEV(E$185:E$187, E183)," ")/IF(E$185*E$186*E$187*E183&gt;0,SQRT(COUNT(E$185:E$187, E183))," "),"")</f>
        <v/>
      </c>
      <c r="AJ271" s="270" t="str">
        <f aca="false">IFERROR(IF(F$185*F$186*F$187*F183&gt;0,STDEV(F$185:F$187, F183)," ")/IF(F$185*F$186*F$187*F183&gt;0,SQRT(COUNT(F$185:F$187, F183))," "),"")</f>
        <v/>
      </c>
      <c r="AK271" s="270" t="str">
        <f aca="false">IFERROR(IF(G$185*G$186*G$187*G183&gt;0,STDEV(G$185:G$187, G183)," ")/IF(G$185*G$186*G$187*G183&gt;0,SQRT(COUNT(G$185:G$187, G183))," "),"")</f>
        <v/>
      </c>
      <c r="AL271" s="270" t="str">
        <f aca="false">IFERROR(IF(H$185*H$186*H$187*H183&gt;0,STDEV(H$185:H$187, H183)," ")/IF(H$185*H$186*H$187*H183&gt;0,SQRT(COUNT(H$185:H$187, H183))," "),"")</f>
        <v/>
      </c>
      <c r="AM271" s="270" t="str">
        <f aca="false">IFERROR(IF(I$185*I$186*I$187*I183&gt;0,STDEV(I$185:I$187, I183)," ")/IF(I$185*I$186*I$187*I183&gt;0,SQRT(COUNT(I$185:I$187, I183))," "),"")</f>
        <v/>
      </c>
      <c r="AN271" s="270" t="str">
        <f aca="false">IFERROR(IF(J$185*J$186*J$187*J183&gt;0,STDEV(J$185:J$187, J183)," ")/IF(J$185*J$186*J$187*J183&gt;0,SQRT(COUNT(J$185:J$187, J183))," "),"")</f>
        <v/>
      </c>
      <c r="AO271" s="270" t="str">
        <f aca="false">IFERROR(IF(K$185*K$186*K$187*K183&gt;0,STDEV(K$185:K$187, K183)," ")/IF(K$185*K$186*K$187*K183&gt;0,SQRT(COUNT(K$185:K$187, K183))," "),"")</f>
        <v/>
      </c>
      <c r="AP271" s="270" t="str">
        <f aca="false">IFERROR(IF(L$185*L$186*L$187*L183&gt;0,STDEV(L$185:L$187, L183)," ")/IF(L$185*L$186*L$187*L183&gt;0,SQRT(COUNT(L$185:L$187, L183))," "),"")</f>
        <v/>
      </c>
      <c r="AQ271" s="270" t="str">
        <f aca="false">IFERROR(IF(M$185*M$186*M$187*M183&gt;0,STDEV(M$185:M$187, M183)," ")/IF(M$185*M$186*M$187*M183&gt;0,SQRT(COUNT(M$185:M$187, M183))," "),"")</f>
        <v/>
      </c>
      <c r="AR271" s="270" t="str">
        <f aca="false">IFERROR(IF(N$185*N$186*N$187*N183&gt;0,STDEV(N$185:N$187, N183)," ")/IF(N$185*N$186*N$187*N183&gt;0,SQRT(COUNT(N$185:N$187, N183))," "),"")</f>
        <v/>
      </c>
    </row>
    <row r="272" customFormat="false" ht="15.75" hidden="false" customHeight="false" outlineLevel="0" collapsed="false">
      <c r="A272" s="220" t="s">
        <v>485</v>
      </c>
      <c r="B272" s="221"/>
      <c r="C272" s="261" t="str">
        <f aca="false">IFERROR(IF(C$185*C$186*C$187*C184&gt;0,AVERAGE(C$185:C$187, C184),""),"")</f>
        <v/>
      </c>
      <c r="D272" s="261" t="str">
        <f aca="false">IFERROR(IF(D$185*D$186*D$187*D184&gt;0,AVERAGE(D$185:D$187, D184),""),"")</f>
        <v/>
      </c>
      <c r="E272" s="261" t="str">
        <f aca="false">IFERROR(IF(E$185*E$186*E$187*E184&gt;0,AVERAGE(E$185:E$187, E184),""),"")</f>
        <v/>
      </c>
      <c r="F272" s="261" t="str">
        <f aca="false">IFERROR(IF(F$185*F$186*F$187*F184&gt;0,AVERAGE(F$185:F$187, F184),""),"")</f>
        <v/>
      </c>
      <c r="G272" s="261" t="str">
        <f aca="false">IFERROR(IF(G$185*G$186*G$187*G184&gt;0,AVERAGE(G$185:G$187, G184),""),"")</f>
        <v/>
      </c>
      <c r="H272" s="261" t="str">
        <f aca="false">IFERROR(IF(H$185*H$186*H$187*H184&gt;0,AVERAGE(H$185:H$187, H184),""),"")</f>
        <v/>
      </c>
      <c r="I272" s="261" t="str">
        <f aca="false">IFERROR(IF(I$185*I$186*I$187*I184&gt;0,AVERAGE(I$185:I$187, I184),""),"")</f>
        <v/>
      </c>
      <c r="J272" s="261" t="str">
        <f aca="false">IFERROR(IF(J$185*J$186*J$187*J184&gt;0,AVERAGE(J$185:J$187, J184),""),"")</f>
        <v/>
      </c>
      <c r="K272" s="261" t="str">
        <f aca="false">IFERROR(IF(K$185*K$186*K$187*K184&gt;0,AVERAGE(K$185:K$187, K184),""),"")</f>
        <v/>
      </c>
      <c r="L272" s="261" t="str">
        <f aca="false">IFERROR(IF(L$185*L$186*L$187*L184&gt;0,AVERAGE(L$185:L$187, L184),""),"")</f>
        <v/>
      </c>
      <c r="M272" s="261" t="str">
        <f aca="false">IFERROR(IF(M$185*M$186*M$187*M184&gt;0,AVERAGE(M$185:M$187, M184),""),"")</f>
        <v/>
      </c>
      <c r="N272" s="261" t="str">
        <f aca="false">IFERROR(IF(N$185*N$186*N$187*N184&gt;0,AVERAGE(N$185:N$187, N184),""),"")</f>
        <v/>
      </c>
      <c r="O272" s="224"/>
      <c r="P272" s="224"/>
      <c r="Q272" s="232"/>
      <c r="R272" s="226" t="s">
        <v>486</v>
      </c>
      <c r="S272" s="227" t="str">
        <f aca="false">IFERROR(IF(C$185*C$186*C$187*C184&gt;0,STDEV(C$185:C$187, C184),"")/IF(C$185*C$186*C$187*C184&gt;0,AVERAGE(C$185:C$187, C184),""),"")</f>
        <v/>
      </c>
      <c r="T272" s="227" t="str">
        <f aca="false">IFERROR(IF(D$185*D$186*D$187*D184&gt;0,STDEV(D$185:D$187, D184),"")/IF(D$185*D$186*D$187*D184&gt;0,AVERAGE(D$185:D$187, D184),""),"")</f>
        <v/>
      </c>
      <c r="U272" s="227" t="str">
        <f aca="false">IFERROR(IF(E$185*E$186*E$187*E184&gt;0,STDEV(E$185:E$187, E184),"")/IF(E$185*E$186*E$187*E184&gt;0,AVERAGE(E$185:E$187, E184),""),"")</f>
        <v/>
      </c>
      <c r="V272" s="227" t="str">
        <f aca="false">IFERROR(IF(F$185*F$186*F$187*F184&gt;0,STDEV(F$185:F$187, F184),"")/IF(F$185*F$186*F$187*F184&gt;0,AVERAGE(F$185:F$187, F184),""),"")</f>
        <v/>
      </c>
      <c r="W272" s="227" t="str">
        <f aca="false">IFERROR(IF(G$185*G$186*G$187*G184&gt;0,STDEV(G$185:G$187, G184),"")/IF(G$185*G$186*G$187*G184&gt;0,AVERAGE(G$185:G$187, G184),""),"")</f>
        <v/>
      </c>
      <c r="X272" s="227" t="str">
        <f aca="false">IFERROR(IF(H$185*H$186*H$187*H184&gt;0,STDEV(H$185:H$187, H184),"")/IF(H$185*H$186*H$187*H184&gt;0,AVERAGE(H$185:H$187, H184),""),"")</f>
        <v/>
      </c>
      <c r="Y272" s="227" t="str">
        <f aca="false">IFERROR(IF(I$185*I$186*I$187*I184&gt;0,STDEV(I$185:I$187, I184),"")/IF(I$185*I$186*I$187*I184&gt;0,AVERAGE(I$185:I$187, I184),""),"")</f>
        <v/>
      </c>
      <c r="Z272" s="227" t="str">
        <f aca="false">IFERROR(IF(J$185*J$186*J$187*J184&gt;0,STDEV(J$185:J$187, J184),"")/IF(J$185*J$186*J$187*J184&gt;0,AVERAGE(J$185:J$187, J184),""),"")</f>
        <v/>
      </c>
      <c r="AA272" s="227" t="str">
        <f aca="false">IFERROR(IF(K$185*K$186*K$187*K184&gt;0,STDEV(K$185:K$187, K184),"")/IF(K$185*K$186*K$187*K184&gt;0,AVERAGE(K$185:K$187, K184),""),"")</f>
        <v/>
      </c>
      <c r="AB272" s="227" t="str">
        <f aca="false">IFERROR(IF(L$185*L$186*L$187*L184&gt;0,STDEV(L$185:L$187, L184),"")/IF(L$185*L$186*L$187*L184&gt;0,AVERAGE(L$185:L$187, L184),""),"")</f>
        <v/>
      </c>
      <c r="AC272" s="227" t="str">
        <f aca="false">IFERROR(IF(M$185*M$186*M$187*M184&gt;0,STDEV(M$185:M$187, M184),"")/IF(M$185*M$186*M$187*M184&gt;0,AVERAGE(M$185:M$187, M184),""),"")</f>
        <v/>
      </c>
      <c r="AD272" s="227" t="str">
        <f aca="false">IFERROR(IF(N$185*N$186*N$187*N184&gt;0,STDEV(N$185:N$187, N184),"")/IF(N$185*N$186*N$187*N184&gt;0,AVERAGE(N$185:N$187, N184),""),"")</f>
        <v/>
      </c>
      <c r="AE272" s="233"/>
      <c r="AF272" s="229" t="s">
        <v>487</v>
      </c>
      <c r="AG272" s="270" t="str">
        <f aca="false">IFERROR(IF(C$185*C$186*C$187*C184&gt;0,STDEV(C$185:C$187, C184)," ")/IF(C$185*C$186*C$187*C184&gt;0,SQRT(COUNT(C$185:C$187, C184))," "),"")</f>
        <v/>
      </c>
      <c r="AH272" s="270" t="str">
        <f aca="false">IFERROR(IF(D$185*D$186*D$187*D184&gt;0,STDEV(D$185:D$187, D184)," ")/IF(D$185*D$186*D$187*D184&gt;0,SQRT(COUNT(D$185:D$187, D184))," "),"")</f>
        <v/>
      </c>
      <c r="AI272" s="270" t="str">
        <f aca="false">IFERROR(IF(E$185*E$186*E$187*E184&gt;0,STDEV(E$185:E$187, E184)," ")/IF(E$185*E$186*E$187*E184&gt;0,SQRT(COUNT(E$185:E$187, E184))," "),"")</f>
        <v/>
      </c>
      <c r="AJ272" s="270" t="str">
        <f aca="false">IFERROR(IF(F$185*F$186*F$187*F184&gt;0,STDEV(F$185:F$187, F184)," ")/IF(F$185*F$186*F$187*F184&gt;0,SQRT(COUNT(F$185:F$187, F184))," "),"")</f>
        <v/>
      </c>
      <c r="AK272" s="270" t="str">
        <f aca="false">IFERROR(IF(G$185*G$186*G$187*G184&gt;0,STDEV(G$185:G$187, G184)," ")/IF(G$185*G$186*G$187*G184&gt;0,SQRT(COUNT(G$185:G$187, G184))," "),"")</f>
        <v/>
      </c>
      <c r="AL272" s="270" t="str">
        <f aca="false">IFERROR(IF(H$185*H$186*H$187*H184&gt;0,STDEV(H$185:H$187, H184)," ")/IF(H$185*H$186*H$187*H184&gt;0,SQRT(COUNT(H$185:H$187, H184))," "),"")</f>
        <v/>
      </c>
      <c r="AM272" s="270" t="str">
        <f aca="false">IFERROR(IF(I$185*I$186*I$187*I184&gt;0,STDEV(I$185:I$187, I184)," ")/IF(I$185*I$186*I$187*I184&gt;0,SQRT(COUNT(I$185:I$187, I184))," "),"")</f>
        <v/>
      </c>
      <c r="AN272" s="270" t="str">
        <f aca="false">IFERROR(IF(J$185*J$186*J$187*J184&gt;0,STDEV(J$185:J$187, J184)," ")/IF(J$185*J$186*J$187*J184&gt;0,SQRT(COUNT(J$185:J$187, J184))," "),"")</f>
        <v/>
      </c>
      <c r="AO272" s="270" t="str">
        <f aca="false">IFERROR(IF(K$185*K$186*K$187*K184&gt;0,STDEV(K$185:K$187, K184)," ")/IF(K$185*K$186*K$187*K184&gt;0,SQRT(COUNT(K$185:K$187, K184))," "),"")</f>
        <v/>
      </c>
      <c r="AP272" s="270" t="str">
        <f aca="false">IFERROR(IF(L$185*L$186*L$187*L184&gt;0,STDEV(L$185:L$187, L184)," ")/IF(L$185*L$186*L$187*L184&gt;0,SQRT(COUNT(L$185:L$187, L184))," "),"")</f>
        <v/>
      </c>
      <c r="AQ272" s="270" t="str">
        <f aca="false">IFERROR(IF(M$185*M$186*M$187*M184&gt;0,STDEV(M$185:M$187, M184)," ")/IF(M$185*M$186*M$187*M184&gt;0,SQRT(COUNT(M$185:M$187, M184))," "),"")</f>
        <v/>
      </c>
      <c r="AR272" s="270" t="str">
        <f aca="false">IFERROR(IF(N$185*N$186*N$187*N184&gt;0,STDEV(N$185:N$187, N184)," ")/IF(N$185*N$186*N$187*N184&gt;0,SQRT(COUNT(N$185:N$187, N184))," "),"")</f>
        <v/>
      </c>
    </row>
    <row r="273" customFormat="false" ht="15.75" hidden="false" customHeight="false" outlineLevel="0" collapsed="false">
      <c r="A273" s="220" t="s">
        <v>488</v>
      </c>
      <c r="B273" s="221"/>
      <c r="C273" s="261" t="str">
        <f aca="false">IFERROR(IF(C$185*C$186*C$187*C188&gt;0,AVERAGE(C$185:C$187, C188),""),"")</f>
        <v/>
      </c>
      <c r="D273" s="261" t="str">
        <f aca="false">IFERROR(IF(D$185*D$186*D$187*D188&gt;0,AVERAGE(D$185:D$187, D188),""),"")</f>
        <v/>
      </c>
      <c r="E273" s="261" t="str">
        <f aca="false">IFERROR(IF(E$185*E$186*E$187*E188&gt;0,AVERAGE(E$185:E$187, E188),""),"")</f>
        <v/>
      </c>
      <c r="F273" s="261" t="str">
        <f aca="false">IFERROR(IF(F$185*F$186*F$187*F188&gt;0,AVERAGE(F$185:F$187, F188),""),"")</f>
        <v/>
      </c>
      <c r="G273" s="261" t="str">
        <f aca="false">IFERROR(IF(G$185*G$186*G$187*G188&gt;0,AVERAGE(G$185:G$187, G188),""),"")</f>
        <v/>
      </c>
      <c r="H273" s="261" t="str">
        <f aca="false">IFERROR(IF(H$185*H$186*H$187*H188&gt;0,AVERAGE(H$185:H$187, H188),""),"")</f>
        <v/>
      </c>
      <c r="I273" s="261" t="str">
        <f aca="false">IFERROR(IF(I$185*I$186*I$187*I188&gt;0,AVERAGE(I$185:I$187, I188),""),"")</f>
        <v/>
      </c>
      <c r="J273" s="261" t="str">
        <f aca="false">IFERROR(IF(J$185*J$186*J$187*J188&gt;0,AVERAGE(J$185:J$187, J188),""),"")</f>
        <v/>
      </c>
      <c r="K273" s="261" t="str">
        <f aca="false">IFERROR(IF(K$185*K$186*K$187*K188&gt;0,AVERAGE(K$185:K$187, K188),""),"")</f>
        <v/>
      </c>
      <c r="L273" s="261" t="str">
        <f aca="false">IFERROR(IF(L$185*L$186*L$187*L188&gt;0,AVERAGE(L$185:L$187, L188),""),"")</f>
        <v/>
      </c>
      <c r="M273" s="261" t="str">
        <f aca="false">IFERROR(IF(M$185*M$186*M$187*M188&gt;0,AVERAGE(M$185:M$187, M188),""),"")</f>
        <v/>
      </c>
      <c r="N273" s="261" t="str">
        <f aca="false">IFERROR(IF(N$185*N$186*N$187*N188&gt;0,AVERAGE(N$185:N$187, N188),""),"")</f>
        <v/>
      </c>
      <c r="O273" s="224"/>
      <c r="P273" s="224"/>
      <c r="Q273" s="232"/>
      <c r="R273" s="226" t="s">
        <v>489</v>
      </c>
      <c r="S273" s="227" t="str">
        <f aca="false">IFERROR(IF(C$185*C$186*C$187*C188&gt;0,STDEV(C$185:C$187, C188),"")/IF(C$185*C$186*C$187*C188&gt;0,AVERAGE(C$185:C$187, C188),""),"")</f>
        <v/>
      </c>
      <c r="T273" s="227" t="str">
        <f aca="false">IFERROR(IF(D$185*D$186*D$187*D188&gt;0,STDEV(D$185:D$187, D188),"")/IF(D$185*D$186*D$187*D188&gt;0,AVERAGE(D$185:D$187, D188),""),"")</f>
        <v/>
      </c>
      <c r="U273" s="227" t="str">
        <f aca="false">IFERROR(IF(E$185*E$186*E$187*E188&gt;0,STDEV(E$185:E$187, E188),"")/IF(E$185*E$186*E$187*E188&gt;0,AVERAGE(E$185:E$187, E188),""),"")</f>
        <v/>
      </c>
      <c r="V273" s="227" t="str">
        <f aca="false">IFERROR(IF(F$185*F$186*F$187*F188&gt;0,STDEV(F$185:F$187, F188),"")/IF(F$185*F$186*F$187*F188&gt;0,AVERAGE(F$185:F$187, F188),""),"")</f>
        <v/>
      </c>
      <c r="W273" s="227" t="str">
        <f aca="false">IFERROR(IF(G$185*G$186*G$187*G188&gt;0,STDEV(G$185:G$187, G188),"")/IF(G$185*G$186*G$187*G188&gt;0,AVERAGE(G$185:G$187, G188),""),"")</f>
        <v/>
      </c>
      <c r="X273" s="227" t="str">
        <f aca="false">IFERROR(IF(H$185*H$186*H$187*H188&gt;0,STDEV(H$185:H$187, H188),"")/IF(H$185*H$186*H$187*H188&gt;0,AVERAGE(H$185:H$187, H188),""),"")</f>
        <v/>
      </c>
      <c r="Y273" s="227" t="str">
        <f aca="false">IFERROR(IF(I$185*I$186*I$187*I188&gt;0,STDEV(I$185:I$187, I188),"")/IF(I$185*I$186*I$187*I188&gt;0,AVERAGE(I$185:I$187, I188),""),"")</f>
        <v/>
      </c>
      <c r="Z273" s="227" t="str">
        <f aca="false">IFERROR(IF(J$185*J$186*J$187*J188&gt;0,STDEV(J$185:J$187, J188),"")/IF(J$185*J$186*J$187*J188&gt;0,AVERAGE(J$185:J$187, J188),""),"")</f>
        <v/>
      </c>
      <c r="AA273" s="227" t="str">
        <f aca="false">IFERROR(IF(K$185*K$186*K$187*K188&gt;0,STDEV(K$185:K$187, K188),"")/IF(K$185*K$186*K$187*K188&gt;0,AVERAGE(K$185:K$187, K188),""),"")</f>
        <v/>
      </c>
      <c r="AB273" s="227" t="str">
        <f aca="false">IFERROR(IF(L$185*L$186*L$187*L188&gt;0,STDEV(L$185:L$187, L188),"")/IF(L$185*L$186*L$187*L188&gt;0,AVERAGE(L$185:L$187, L188),""),"")</f>
        <v/>
      </c>
      <c r="AC273" s="227" t="str">
        <f aca="false">IFERROR(IF(M$185*M$186*M$187*M188&gt;0,STDEV(M$185:M$187, M188),"")/IF(M$185*M$186*M$187*M188&gt;0,AVERAGE(M$185:M$187, M188),""),"")</f>
        <v/>
      </c>
      <c r="AD273" s="227" t="str">
        <f aca="false">IFERROR(IF(N$185*N$186*N$187*N188&gt;0,STDEV(N$185:N$187, N188),"")/IF(N$185*N$186*N$187*N188&gt;0,AVERAGE(N$185:N$187, N188),""),"")</f>
        <v/>
      </c>
      <c r="AE273" s="233"/>
      <c r="AF273" s="229" t="s">
        <v>490</v>
      </c>
      <c r="AG273" s="270" t="str">
        <f aca="false">IFERROR(IF(C$185*C$186*C$187*C188&gt;0,STDEV(C$185:C$187, C188)," ")/IF(C$185*C$186*C$187*C188&gt;0,SQRT(COUNT(C$185:C$187, C188))," "),"")</f>
        <v/>
      </c>
      <c r="AH273" s="270" t="str">
        <f aca="false">IFERROR(IF(D$185*D$186*D$187*D188&gt;0,STDEV(D$185:D$187, D188)," ")/IF(D$185*D$186*D$187*D188&gt;0,SQRT(COUNT(D$185:D$187, D188))," "),"")</f>
        <v/>
      </c>
      <c r="AI273" s="270" t="str">
        <f aca="false">IFERROR(IF(E$185*E$186*E$187*E188&gt;0,STDEV(E$185:E$187, E188)," ")/IF(E$185*E$186*E$187*E188&gt;0,SQRT(COUNT(E$185:E$187, E188))," "),"")</f>
        <v/>
      </c>
      <c r="AJ273" s="270" t="str">
        <f aca="false">IFERROR(IF(F$185*F$186*F$187*F188&gt;0,STDEV(F$185:F$187, F188)," ")/IF(F$185*F$186*F$187*F188&gt;0,SQRT(COUNT(F$185:F$187, F188))," "),"")</f>
        <v/>
      </c>
      <c r="AK273" s="270" t="str">
        <f aca="false">IFERROR(IF(G$185*G$186*G$187*G188&gt;0,STDEV(G$185:G$187, G188)," ")/IF(G$185*G$186*G$187*G188&gt;0,SQRT(COUNT(G$185:G$187, G188))," "),"")</f>
        <v/>
      </c>
      <c r="AL273" s="270" t="str">
        <f aca="false">IFERROR(IF(H$185*H$186*H$187*H188&gt;0,STDEV(H$185:H$187, H188)," ")/IF(H$185*H$186*H$187*H188&gt;0,SQRT(COUNT(H$185:H$187, H188))," "),"")</f>
        <v/>
      </c>
      <c r="AM273" s="270" t="str">
        <f aca="false">IFERROR(IF(I$185*I$186*I$187*I188&gt;0,STDEV(I$185:I$187, I188)," ")/IF(I$185*I$186*I$187*I188&gt;0,SQRT(COUNT(I$185:I$187, I188))," "),"")</f>
        <v/>
      </c>
      <c r="AN273" s="270" t="str">
        <f aca="false">IFERROR(IF(J$185*J$186*J$187*J188&gt;0,STDEV(J$185:J$187, J188)," ")/IF(J$185*J$186*J$187*J188&gt;0,SQRT(COUNT(J$185:J$187, J188))," "),"")</f>
        <v/>
      </c>
      <c r="AO273" s="270" t="str">
        <f aca="false">IFERROR(IF(K$185*K$186*K$187*K188&gt;0,STDEV(K$185:K$187, K188)," ")/IF(K$185*K$186*K$187*K188&gt;0,SQRT(COUNT(K$185:K$187, K188))," "),"")</f>
        <v/>
      </c>
      <c r="AP273" s="270" t="str">
        <f aca="false">IFERROR(IF(L$185*L$186*L$187*L188&gt;0,STDEV(L$185:L$187, L188)," ")/IF(L$185*L$186*L$187*L188&gt;0,SQRT(COUNT(L$185:L$187, L188))," "),"")</f>
        <v/>
      </c>
      <c r="AQ273" s="270" t="str">
        <f aca="false">IFERROR(IF(M$185*M$186*M$187*M188&gt;0,STDEV(M$185:M$187, M188)," ")/IF(M$185*M$186*M$187*M188&gt;0,SQRT(COUNT(M$185:M$187, M188))," "),"")</f>
        <v/>
      </c>
      <c r="AR273" s="270" t="str">
        <f aca="false">IFERROR(IF(N$185*N$186*N$187*N188&gt;0,STDEV(N$185:N$187, N188)," ")/IF(N$185*N$186*N$187*N188&gt;0,SQRT(COUNT(N$185:N$187, N188))," "),"")</f>
        <v/>
      </c>
    </row>
    <row r="274" customFormat="false" ht="15.75" hidden="false" customHeight="false" outlineLevel="0" collapsed="false">
      <c r="A274" s="220" t="s">
        <v>491</v>
      </c>
      <c r="B274" s="221"/>
      <c r="C274" s="261" t="str">
        <f aca="false">IFERROR(IF(C$186*C$187*C$188*C182&gt;0,AVERAGE(C$186:C$188, C182),""),"")</f>
        <v/>
      </c>
      <c r="D274" s="261" t="str">
        <f aca="false">IFERROR(IF(D$186*D$187*D$188*D182&gt;0,AVERAGE(D$186:D$188, D182),""),"")</f>
        <v/>
      </c>
      <c r="E274" s="261" t="str">
        <f aca="false">IFERROR(IF(E$186*E$187*E$188*E182&gt;0,AVERAGE(E$186:E$188, E182),""),"")</f>
        <v/>
      </c>
      <c r="F274" s="261" t="str">
        <f aca="false">IFERROR(IF(F$186*F$187*F$188*F182&gt;0,AVERAGE(F$186:F$188, F182),""),"")</f>
        <v/>
      </c>
      <c r="G274" s="261" t="str">
        <f aca="false">IFERROR(IF(G$186*G$187*G$188*G182&gt;0,AVERAGE(G$186:G$188, G182),""),"")</f>
        <v/>
      </c>
      <c r="H274" s="261" t="str">
        <f aca="false">IFERROR(IF(H$186*H$187*H$188*H182&gt;0,AVERAGE(H$186:H$188, H182),""),"")</f>
        <v/>
      </c>
      <c r="I274" s="261" t="str">
        <f aca="false">IFERROR(IF(I$186*I$187*I$188*I182&gt;0,AVERAGE(I$186:I$188, I182),""),"")</f>
        <v/>
      </c>
      <c r="J274" s="261" t="str">
        <f aca="false">IFERROR(IF(J$186*J$187*J$188*J182&gt;0,AVERAGE(J$186:J$188, J182),""),"")</f>
        <v/>
      </c>
      <c r="K274" s="261" t="str">
        <f aca="false">IFERROR(IF(K$186*K$187*K$188*K182&gt;0,AVERAGE(K$186:K$188, K182),""),"")</f>
        <v/>
      </c>
      <c r="L274" s="261" t="str">
        <f aca="false">IFERROR(IF(L$186*L$187*L$188*L182&gt;0,AVERAGE(L$186:L$188, L182),""),"")</f>
        <v/>
      </c>
      <c r="M274" s="261" t="str">
        <f aca="false">IFERROR(IF(M$186*M$187*M$188*M182&gt;0,AVERAGE(M$186:M$188, M182),""),"")</f>
        <v/>
      </c>
      <c r="N274" s="261" t="str">
        <f aca="false">IFERROR(IF(N$186*N$187*N$188*N182&gt;0,AVERAGE(N$186:N$188, N182),""),"")</f>
        <v/>
      </c>
      <c r="O274" s="224"/>
      <c r="P274" s="224"/>
      <c r="Q274" s="232"/>
      <c r="R274" s="226" t="s">
        <v>492</v>
      </c>
      <c r="S274" s="227" t="str">
        <f aca="false">IFERROR(IF(C$186*C$187*C$188*C182&gt;0,STDEV(C$186:C$188, C182),"")/IF(C$186*C$187*C$188*C182&gt;0,AVERAGE(C$186:C$188, C182),""),"")</f>
        <v/>
      </c>
      <c r="T274" s="227" t="str">
        <f aca="false">IFERROR(IF(D$186*D$187*D$188*D182&gt;0,STDEV(D$186:D$188, D182),"")/IF(D$186*D$187*D$188*D182&gt;0,AVERAGE(D$186:D$188, D182),""),"")</f>
        <v/>
      </c>
      <c r="U274" s="227" t="str">
        <f aca="false">IFERROR(IF(E$186*E$187*E$188*E182&gt;0,STDEV(E$186:E$188, E182),"")/IF(E$186*E$187*E$188*E182&gt;0,AVERAGE(E$186:E$188, E182),""),"")</f>
        <v/>
      </c>
      <c r="V274" s="227" t="str">
        <f aca="false">IFERROR(IF(F$186*F$187*F$188*F182&gt;0,STDEV(F$186:F$188, F182),"")/IF(F$186*F$187*F$188*F182&gt;0,AVERAGE(F$186:F$188, F182),""),"")</f>
        <v/>
      </c>
      <c r="W274" s="227" t="str">
        <f aca="false">IFERROR(IF(G$186*G$187*G$188*G182&gt;0,STDEV(G$186:G$188, G182),"")/IF(G$186*G$187*G$188*G182&gt;0,AVERAGE(G$186:G$188, G182),""),"")</f>
        <v/>
      </c>
      <c r="X274" s="227" t="str">
        <f aca="false">IFERROR(IF(H$186*H$187*H$188*H182&gt;0,STDEV(H$186:H$188, H182),"")/IF(H$186*H$187*H$188*H182&gt;0,AVERAGE(H$186:H$188, H182),""),"")</f>
        <v/>
      </c>
      <c r="Y274" s="227" t="str">
        <f aca="false">IFERROR(IF(I$186*I$187*I$188*I182&gt;0,STDEV(I$186:I$188, I182),"")/IF(I$186*I$187*I$188*I182&gt;0,AVERAGE(I$186:I$188, I182),""),"")</f>
        <v/>
      </c>
      <c r="Z274" s="227" t="str">
        <f aca="false">IFERROR(IF(J$186*J$187*J$188*J182&gt;0,STDEV(J$186:J$188, J182),"")/IF(J$186*J$187*J$188*J182&gt;0,AVERAGE(J$186:J$188, J182),""),"")</f>
        <v/>
      </c>
      <c r="AA274" s="227" t="str">
        <f aca="false">IFERROR(IF(K$186*K$187*K$188*K182&gt;0,STDEV(K$186:K$188, K182),"")/IF(K$186*K$187*K$188*K182&gt;0,AVERAGE(K$186:K$188, K182),""),"")</f>
        <v/>
      </c>
      <c r="AB274" s="227" t="str">
        <f aca="false">IFERROR(IF(L$186*L$187*L$188*L182&gt;0,STDEV(L$186:L$188, L182),"")/IF(L$186*L$187*L$188*L182&gt;0,AVERAGE(L$186:L$188, L182),""),"")</f>
        <v/>
      </c>
      <c r="AC274" s="227" t="str">
        <f aca="false">IFERROR(IF(M$186*M$187*M$188*M182&gt;0,STDEV(M$186:M$188, M182),"")/IF(M$186*M$187*M$188*M182&gt;0,AVERAGE(M$186:M$188, M182),""),"")</f>
        <v/>
      </c>
      <c r="AD274" s="227" t="str">
        <f aca="false">IFERROR(IF(N$186*N$187*N$188*N182&gt;0,STDEV(N$186:N$188, N182),"")/IF(N$186*N$187*N$188*N182&gt;0,AVERAGE(N$186:N$188, N182),""),"")</f>
        <v/>
      </c>
      <c r="AE274" s="233"/>
      <c r="AF274" s="229" t="s">
        <v>493</v>
      </c>
      <c r="AG274" s="270" t="str">
        <f aca="false">IFERROR(IF(C$186*C$187*C$188*C182&gt;0,STDEV(C$186:C$188, C182)," ")/IF(C$186*C$187*C$188*C182&gt;0,SQRT(COUNT(C$186:C$188, C182))," "),"")</f>
        <v/>
      </c>
      <c r="AH274" s="270" t="str">
        <f aca="false">IFERROR(IF(D$186*D$187*D$188*D182&gt;0,STDEV(D$186:D$188, D182)," ")/IF(D$186*D$187*D$188*D182&gt;0,SQRT(COUNT(D$186:D$188, D182))," "),"")</f>
        <v/>
      </c>
      <c r="AI274" s="270" t="str">
        <f aca="false">IFERROR(IF(E$186*E$187*E$188*E182&gt;0,STDEV(E$186:E$188, E182)," ")/IF(E$186*E$187*E$188*E182&gt;0,SQRT(COUNT(E$186:E$188, E182))," "),"")</f>
        <v/>
      </c>
      <c r="AJ274" s="270" t="str">
        <f aca="false">IFERROR(IF(F$186*F$187*F$188*F182&gt;0,STDEV(F$186:F$188, F182)," ")/IF(F$186*F$187*F$188*F182&gt;0,SQRT(COUNT(F$186:F$188, F182))," "),"")</f>
        <v/>
      </c>
      <c r="AK274" s="270" t="str">
        <f aca="false">IFERROR(IF(G$186*G$187*G$188*G182&gt;0,STDEV(G$186:G$188, G182)," ")/IF(G$186*G$187*G$188*G182&gt;0,SQRT(COUNT(G$186:G$188, G182))," "),"")</f>
        <v/>
      </c>
      <c r="AL274" s="270" t="str">
        <f aca="false">IFERROR(IF(H$186*H$187*H$188*H182&gt;0,STDEV(H$186:H$188, H182)," ")/IF(H$186*H$187*H$188*H182&gt;0,SQRT(COUNT(H$186:H$188, H182))," "),"")</f>
        <v/>
      </c>
      <c r="AM274" s="270" t="str">
        <f aca="false">IFERROR(IF(I$186*I$187*I$188*I182&gt;0,STDEV(I$186:I$188, I182)," ")/IF(I$186*I$187*I$188*I182&gt;0,SQRT(COUNT(I$186:I$188, I182))," "),"")</f>
        <v/>
      </c>
      <c r="AN274" s="270" t="str">
        <f aca="false">IFERROR(IF(J$186*J$187*J$188*J182&gt;0,STDEV(J$186:J$188, J182)," ")/IF(J$186*J$187*J$188*J182&gt;0,SQRT(COUNT(J$186:J$188, J182))," "),"")</f>
        <v/>
      </c>
      <c r="AO274" s="270" t="str">
        <f aca="false">IFERROR(IF(K$186*K$187*K$188*K182&gt;0,STDEV(K$186:K$188, K182)," ")/IF(K$186*K$187*K$188*K182&gt;0,SQRT(COUNT(K$186:K$188, K182))," "),"")</f>
        <v/>
      </c>
      <c r="AP274" s="270" t="str">
        <f aca="false">IFERROR(IF(L$186*L$187*L$188*L182&gt;0,STDEV(L$186:L$188, L182)," ")/IF(L$186*L$187*L$188*L182&gt;0,SQRT(COUNT(L$186:L$188, L182))," "),"")</f>
        <v/>
      </c>
      <c r="AQ274" s="270" t="str">
        <f aca="false">IFERROR(IF(M$186*M$187*M$188*M182&gt;0,STDEV(M$186:M$188, M182)," ")/IF(M$186*M$187*M$188*M182&gt;0,SQRT(COUNT(M$186:M$188, M182))," "),"")</f>
        <v/>
      </c>
      <c r="AR274" s="270" t="str">
        <f aca="false">IFERROR(IF(N$186*N$187*N$188*N182&gt;0,STDEV(N$186:N$188, N182)," ")/IF(N$186*N$187*N$188*N182&gt;0,SQRT(COUNT(N$186:N$188, N182))," "),"")</f>
        <v/>
      </c>
    </row>
    <row r="275" customFormat="false" ht="15.75" hidden="false" customHeight="false" outlineLevel="0" collapsed="false">
      <c r="A275" s="220" t="s">
        <v>494</v>
      </c>
      <c r="B275" s="221"/>
      <c r="C275" s="261" t="str">
        <f aca="false">IFERROR(IF(C$186*C$187*C$188*C183&gt;0,AVERAGE(C$186:C$188, C183),""),"")</f>
        <v/>
      </c>
      <c r="D275" s="261" t="str">
        <f aca="false">IFERROR(IF(D$186*D$187*D$188*D183&gt;0,AVERAGE(D$186:D$188, D183),""),"")</f>
        <v/>
      </c>
      <c r="E275" s="261" t="str">
        <f aca="false">IFERROR(IF(E$186*E$187*E$188*E183&gt;0,AVERAGE(E$186:E$188, E183),""),"")</f>
        <v/>
      </c>
      <c r="F275" s="261" t="str">
        <f aca="false">IFERROR(IF(F$186*F$187*F$188*F183&gt;0,AVERAGE(F$186:F$188, F183),""),"")</f>
        <v/>
      </c>
      <c r="G275" s="261" t="str">
        <f aca="false">IFERROR(IF(G$186*G$187*G$188*G183&gt;0,AVERAGE(G$186:G$188, G183),""),"")</f>
        <v/>
      </c>
      <c r="H275" s="261" t="str">
        <f aca="false">IFERROR(IF(H$186*H$187*H$188*H183&gt;0,AVERAGE(H$186:H$188, H183),""),"")</f>
        <v/>
      </c>
      <c r="I275" s="261" t="str">
        <f aca="false">IFERROR(IF(I$186*I$187*I$188*I183&gt;0,AVERAGE(I$186:I$188, I183),""),"")</f>
        <v/>
      </c>
      <c r="J275" s="261" t="str">
        <f aca="false">IFERROR(IF(J$186*J$187*J$188*J183&gt;0,AVERAGE(J$186:J$188, J183),""),"")</f>
        <v/>
      </c>
      <c r="K275" s="261" t="str">
        <f aca="false">IFERROR(IF(K$186*K$187*K$188*K183&gt;0,AVERAGE(K$186:K$188, K183),""),"")</f>
        <v/>
      </c>
      <c r="L275" s="261" t="str">
        <f aca="false">IFERROR(IF(L$186*L$187*L$188*L183&gt;0,AVERAGE(L$186:L$188, L183),""),"")</f>
        <v/>
      </c>
      <c r="M275" s="261" t="str">
        <f aca="false">IFERROR(IF(M$186*M$187*M$188*M183&gt;0,AVERAGE(M$186:M$188, M183),""),"")</f>
        <v/>
      </c>
      <c r="N275" s="261" t="str">
        <f aca="false">IFERROR(IF(N$186*N$187*N$188*N183&gt;0,AVERAGE(N$186:N$188, N183),""),"")</f>
        <v/>
      </c>
      <c r="O275" s="224"/>
      <c r="P275" s="224"/>
      <c r="Q275" s="232"/>
      <c r="R275" s="226" t="s">
        <v>495</v>
      </c>
      <c r="S275" s="227" t="str">
        <f aca="false">IFERROR(IF(C$186*C$187*C$188*C183&gt;0,STDEV(C$186:C$188, C183),"")/IF(C$186*C$187*C$188*C183&gt;0,AVERAGE(C$186:C$188, C183),""),"")</f>
        <v/>
      </c>
      <c r="T275" s="227" t="str">
        <f aca="false">IFERROR(IF(D$186*D$187*D$188*D183&gt;0,STDEV(D$186:D$188, D183),"")/IF(D$186*D$187*D$188*D183&gt;0,AVERAGE(D$186:D$188, D183),""),"")</f>
        <v/>
      </c>
      <c r="U275" s="227" t="str">
        <f aca="false">IFERROR(IF(E$186*E$187*E$188*E183&gt;0,STDEV(E$186:E$188, E183),"")/IF(E$186*E$187*E$188*E183&gt;0,AVERAGE(E$186:E$188, E183),""),"")</f>
        <v/>
      </c>
      <c r="V275" s="227" t="str">
        <f aca="false">IFERROR(IF(F$186*F$187*F$188*F183&gt;0,STDEV(F$186:F$188, F183),"")/IF(F$186*F$187*F$188*F183&gt;0,AVERAGE(F$186:F$188, F183),""),"")</f>
        <v/>
      </c>
      <c r="W275" s="227" t="str">
        <f aca="false">IFERROR(IF(G$186*G$187*G$188*G183&gt;0,STDEV(G$186:G$188, G183),"")/IF(G$186*G$187*G$188*G183&gt;0,AVERAGE(G$186:G$188, G183),""),"")</f>
        <v/>
      </c>
      <c r="X275" s="227" t="str">
        <f aca="false">IFERROR(IF(H$186*H$187*H$188*H183&gt;0,STDEV(H$186:H$188, H183),"")/IF(H$186*H$187*H$188*H183&gt;0,AVERAGE(H$186:H$188, H183),""),"")</f>
        <v/>
      </c>
      <c r="Y275" s="227" t="str">
        <f aca="false">IFERROR(IF(I$186*I$187*I$188*I183&gt;0,STDEV(I$186:I$188, I183),"")/IF(I$186*I$187*I$188*I183&gt;0,AVERAGE(I$186:I$188, I183),""),"")</f>
        <v/>
      </c>
      <c r="Z275" s="227" t="str">
        <f aca="false">IFERROR(IF(J$186*J$187*J$188*J183&gt;0,STDEV(J$186:J$188, J183),"")/IF(J$186*J$187*J$188*J183&gt;0,AVERAGE(J$186:J$188, J183),""),"")</f>
        <v/>
      </c>
      <c r="AA275" s="227" t="str">
        <f aca="false">IFERROR(IF(K$186*K$187*K$188*K183&gt;0,STDEV(K$186:K$188, K183),"")/IF(K$186*K$187*K$188*K183&gt;0,AVERAGE(K$186:K$188, K183),""),"")</f>
        <v/>
      </c>
      <c r="AB275" s="227" t="str">
        <f aca="false">IFERROR(IF(L$186*L$187*L$188*L183&gt;0,STDEV(L$186:L$188, L183),"")/IF(L$186*L$187*L$188*L183&gt;0,AVERAGE(L$186:L$188, L183),""),"")</f>
        <v/>
      </c>
      <c r="AC275" s="227" t="str">
        <f aca="false">IFERROR(IF(M$186*M$187*M$188*M183&gt;0,STDEV(M$186:M$188, M183),"")/IF(M$186*M$187*M$188*M183&gt;0,AVERAGE(M$186:M$188, M183),""),"")</f>
        <v/>
      </c>
      <c r="AD275" s="227" t="str">
        <f aca="false">IFERROR(IF(N$186*N$187*N$188*N183&gt;0,STDEV(N$186:N$188, N183),"")/IF(N$186*N$187*N$188*N183&gt;0,AVERAGE(N$186:N$188, N183),""),"")</f>
        <v/>
      </c>
      <c r="AE275" s="233"/>
      <c r="AF275" s="229" t="s">
        <v>496</v>
      </c>
      <c r="AG275" s="270" t="str">
        <f aca="false">IFERROR(IF(C$186*C$187*C$188*C183&gt;0,STDEV(C$186:C$188, C183)," ")/IF(C$186*C$187*C$188*C183&gt;0,SQRT(COUNT(C$186:C$188, C183))," "),"")</f>
        <v/>
      </c>
      <c r="AH275" s="270" t="str">
        <f aca="false">IFERROR(IF(D$186*D$187*D$188*D183&gt;0,STDEV(D$186:D$188, D183)," ")/IF(D$186*D$187*D$188*D183&gt;0,SQRT(COUNT(D$186:D$188, D183))," "),"")</f>
        <v/>
      </c>
      <c r="AI275" s="270" t="str">
        <f aca="false">IFERROR(IF(E$186*E$187*E$188*E183&gt;0,STDEV(E$186:E$188, E183)," ")/IF(E$186*E$187*E$188*E183&gt;0,SQRT(COUNT(E$186:E$188, E183))," "),"")</f>
        <v/>
      </c>
      <c r="AJ275" s="270" t="str">
        <f aca="false">IFERROR(IF(F$186*F$187*F$188*F183&gt;0,STDEV(F$186:F$188, F183)," ")/IF(F$186*F$187*F$188*F183&gt;0,SQRT(COUNT(F$186:F$188, F183))," "),"")</f>
        <v/>
      </c>
      <c r="AK275" s="270" t="str">
        <f aca="false">IFERROR(IF(G$186*G$187*G$188*G183&gt;0,STDEV(G$186:G$188, G183)," ")/IF(G$186*G$187*G$188*G183&gt;0,SQRT(COUNT(G$186:G$188, G183))," "),"")</f>
        <v/>
      </c>
      <c r="AL275" s="270" t="str">
        <f aca="false">IFERROR(IF(H$186*H$187*H$188*H183&gt;0,STDEV(H$186:H$188, H183)," ")/IF(H$186*H$187*H$188*H183&gt;0,SQRT(COUNT(H$186:H$188, H183))," "),"")</f>
        <v/>
      </c>
      <c r="AM275" s="270" t="str">
        <f aca="false">IFERROR(IF(I$186*I$187*I$188*I183&gt;0,STDEV(I$186:I$188, I183)," ")/IF(I$186*I$187*I$188*I183&gt;0,SQRT(COUNT(I$186:I$188, I183))," "),"")</f>
        <v/>
      </c>
      <c r="AN275" s="270" t="str">
        <f aca="false">IFERROR(IF(J$186*J$187*J$188*J183&gt;0,STDEV(J$186:J$188, J183)," ")/IF(J$186*J$187*J$188*J183&gt;0,SQRT(COUNT(J$186:J$188, J183))," "),"")</f>
        <v/>
      </c>
      <c r="AO275" s="270" t="str">
        <f aca="false">IFERROR(IF(K$186*K$187*K$188*K183&gt;0,STDEV(K$186:K$188, K183)," ")/IF(K$186*K$187*K$188*K183&gt;0,SQRT(COUNT(K$186:K$188, K183))," "),"")</f>
        <v/>
      </c>
      <c r="AP275" s="270" t="str">
        <f aca="false">IFERROR(IF(L$186*L$187*L$188*L183&gt;0,STDEV(L$186:L$188, L183)," ")/IF(L$186*L$187*L$188*L183&gt;0,SQRT(COUNT(L$186:L$188, L183))," "),"")</f>
        <v/>
      </c>
      <c r="AQ275" s="270" t="str">
        <f aca="false">IFERROR(IF(M$186*M$187*M$188*M183&gt;0,STDEV(M$186:M$188, M183)," ")/IF(M$186*M$187*M$188*M183&gt;0,SQRT(COUNT(M$186:M$188, M183))," "),"")</f>
        <v/>
      </c>
      <c r="AR275" s="270" t="str">
        <f aca="false">IFERROR(IF(N$186*N$187*N$188*N183&gt;0,STDEV(N$186:N$188, N183)," ")/IF(N$186*N$187*N$188*N183&gt;0,SQRT(COUNT(N$186:N$188, N183))," "),"")</f>
        <v/>
      </c>
    </row>
    <row r="276" customFormat="false" ht="15.75" hidden="false" customHeight="false" outlineLevel="0" collapsed="false">
      <c r="A276" s="220" t="s">
        <v>497</v>
      </c>
      <c r="B276" s="221"/>
      <c r="C276" s="261" t="str">
        <f aca="false">IFERROR(IF(C$186*C$187*C$188*C184&gt;0,AVERAGE(C$186:C$188, C184),""),"")</f>
        <v/>
      </c>
      <c r="D276" s="261" t="str">
        <f aca="false">IFERROR(IF(D$186*D$187*D$188*D184&gt;0,AVERAGE(D$186:D$188, D184),""),"")</f>
        <v/>
      </c>
      <c r="E276" s="261" t="str">
        <f aca="false">IFERROR(IF(E$186*E$187*E$188*E184&gt;0,AVERAGE(E$186:E$188, E184),""),"")</f>
        <v/>
      </c>
      <c r="F276" s="261" t="str">
        <f aca="false">IFERROR(IF(F$186*F$187*F$188*F184&gt;0,AVERAGE(F$186:F$188, F184),""),"")</f>
        <v/>
      </c>
      <c r="G276" s="261" t="str">
        <f aca="false">IFERROR(IF(G$186*G$187*G$188*G184&gt;0,AVERAGE(G$186:G$188, G184),""),"")</f>
        <v/>
      </c>
      <c r="H276" s="261" t="str">
        <f aca="false">IFERROR(IF(H$186*H$187*H$188*H184&gt;0,AVERAGE(H$186:H$188, H184),""),"")</f>
        <v/>
      </c>
      <c r="I276" s="261" t="str">
        <f aca="false">IFERROR(IF(I$186*I$187*I$188*I184&gt;0,AVERAGE(I$186:I$188, I184),""),"")</f>
        <v/>
      </c>
      <c r="J276" s="261" t="str">
        <f aca="false">IFERROR(IF(J$186*J$187*J$188*J184&gt;0,AVERAGE(J$186:J$188, J184),""),"")</f>
        <v/>
      </c>
      <c r="K276" s="261" t="str">
        <f aca="false">IFERROR(IF(K$186*K$187*K$188*K184&gt;0,AVERAGE(K$186:K$188, K184),""),"")</f>
        <v/>
      </c>
      <c r="L276" s="261" t="str">
        <f aca="false">IFERROR(IF(L$186*L$187*L$188*L184&gt;0,AVERAGE(L$186:L$188, L184),""),"")</f>
        <v/>
      </c>
      <c r="M276" s="261" t="str">
        <f aca="false">IFERROR(IF(M$186*M$187*M$188*M184&gt;0,AVERAGE(M$186:M$188, M184),""),"")</f>
        <v/>
      </c>
      <c r="N276" s="261" t="str">
        <f aca="false">IFERROR(IF(N$186*N$187*N$188*N184&gt;0,AVERAGE(N$186:N$188, N184),""),"")</f>
        <v/>
      </c>
      <c r="O276" s="224"/>
      <c r="P276" s="224"/>
      <c r="Q276" s="232"/>
      <c r="R276" s="226" t="s">
        <v>498</v>
      </c>
      <c r="S276" s="227" t="str">
        <f aca="false">IFERROR(IF(C$186*C$187*C$188*C184&gt;0,STDEV(C$186:C$188, C184),"")/IF(C$186*C$187*C$188*C184&gt;0,AVERAGE(C$186:C$188, C184),""),"")</f>
        <v/>
      </c>
      <c r="T276" s="227" t="str">
        <f aca="false">IFERROR(IF(D$186*D$187*D$188*D184&gt;0,STDEV(D$186:D$188, D184),"")/IF(D$186*D$187*D$188*D184&gt;0,AVERAGE(D$186:D$188, D184),""),"")</f>
        <v/>
      </c>
      <c r="U276" s="227" t="str">
        <f aca="false">IFERROR(IF(E$186*E$187*E$188*E184&gt;0,STDEV(E$186:E$188, E184),"")/IF(E$186*E$187*E$188*E184&gt;0,AVERAGE(E$186:E$188, E184),""),"")</f>
        <v/>
      </c>
      <c r="V276" s="227" t="str">
        <f aca="false">IFERROR(IF(F$186*F$187*F$188*F184&gt;0,STDEV(F$186:F$188, F184),"")/IF(F$186*F$187*F$188*F184&gt;0,AVERAGE(F$186:F$188, F184),""),"")</f>
        <v/>
      </c>
      <c r="W276" s="227" t="str">
        <f aca="false">IFERROR(IF(G$186*G$187*G$188*G184&gt;0,STDEV(G$186:G$188, G184),"")/IF(G$186*G$187*G$188*G184&gt;0,AVERAGE(G$186:G$188, G184),""),"")</f>
        <v/>
      </c>
      <c r="X276" s="227" t="str">
        <f aca="false">IFERROR(IF(H$186*H$187*H$188*H184&gt;0,STDEV(H$186:H$188, H184),"")/IF(H$186*H$187*H$188*H184&gt;0,AVERAGE(H$186:H$188, H184),""),"")</f>
        <v/>
      </c>
      <c r="Y276" s="227" t="str">
        <f aca="false">IFERROR(IF(I$186*I$187*I$188*I184&gt;0,STDEV(I$186:I$188, I184),"")/IF(I$186*I$187*I$188*I184&gt;0,AVERAGE(I$186:I$188, I184),""),"")</f>
        <v/>
      </c>
      <c r="Z276" s="227" t="str">
        <f aca="false">IFERROR(IF(J$186*J$187*J$188*J184&gt;0,STDEV(J$186:J$188, J184),"")/IF(J$186*J$187*J$188*J184&gt;0,AVERAGE(J$186:J$188, J184),""),"")</f>
        <v/>
      </c>
      <c r="AA276" s="227" t="str">
        <f aca="false">IFERROR(IF(K$186*K$187*K$188*K184&gt;0,STDEV(K$186:K$188, K184),"")/IF(K$186*K$187*K$188*K184&gt;0,AVERAGE(K$186:K$188, K184),""),"")</f>
        <v/>
      </c>
      <c r="AB276" s="227" t="str">
        <f aca="false">IFERROR(IF(L$186*L$187*L$188*L184&gt;0,STDEV(L$186:L$188, L184),"")/IF(L$186*L$187*L$188*L184&gt;0,AVERAGE(L$186:L$188, L184),""),"")</f>
        <v/>
      </c>
      <c r="AC276" s="227" t="str">
        <f aca="false">IFERROR(IF(M$186*M$187*M$188*M184&gt;0,STDEV(M$186:M$188, M184),"")/IF(M$186*M$187*M$188*M184&gt;0,AVERAGE(M$186:M$188, M184),""),"")</f>
        <v/>
      </c>
      <c r="AD276" s="227" t="str">
        <f aca="false">IFERROR(IF(N$186*N$187*N$188*N184&gt;0,STDEV(N$186:N$188, N184),"")/IF(N$186*N$187*N$188*N184&gt;0,AVERAGE(N$186:N$188, N184),""),"")</f>
        <v/>
      </c>
      <c r="AE276" s="233"/>
      <c r="AF276" s="229" t="s">
        <v>499</v>
      </c>
      <c r="AG276" s="270" t="str">
        <f aca="false">IFERROR(IF(C$186*C$187*C$188*C184&gt;0,STDEV(C$186:C$188, C184)," ")/IF(C$186*C$187*C$188*C184&gt;0,SQRT(COUNT(C$186:C$188, C184))," "),"")</f>
        <v/>
      </c>
      <c r="AH276" s="270" t="str">
        <f aca="false">IFERROR(IF(D$186*D$187*D$188*D184&gt;0,STDEV(D$186:D$188, D184)," ")/IF(D$186*D$187*D$188*D184&gt;0,SQRT(COUNT(D$186:D$188, D184))," "),"")</f>
        <v/>
      </c>
      <c r="AI276" s="270" t="str">
        <f aca="false">IFERROR(IF(E$186*E$187*E$188*E184&gt;0,STDEV(E$186:E$188, E184)," ")/IF(E$186*E$187*E$188*E184&gt;0,SQRT(COUNT(E$186:E$188, E184))," "),"")</f>
        <v/>
      </c>
      <c r="AJ276" s="270" t="str">
        <f aca="false">IFERROR(IF(F$186*F$187*F$188*F184&gt;0,STDEV(F$186:F$188, F184)," ")/IF(F$186*F$187*F$188*F184&gt;0,SQRT(COUNT(F$186:F$188, F184))," "),"")</f>
        <v/>
      </c>
      <c r="AK276" s="270" t="str">
        <f aca="false">IFERROR(IF(G$186*G$187*G$188*G184&gt;0,STDEV(G$186:G$188, G184)," ")/IF(G$186*G$187*G$188*G184&gt;0,SQRT(COUNT(G$186:G$188, G184))," "),"")</f>
        <v/>
      </c>
      <c r="AL276" s="270" t="str">
        <f aca="false">IFERROR(IF(H$186*H$187*H$188*H184&gt;0,STDEV(H$186:H$188, H184)," ")/IF(H$186*H$187*H$188*H184&gt;0,SQRT(COUNT(H$186:H$188, H184))," "),"")</f>
        <v/>
      </c>
      <c r="AM276" s="270" t="str">
        <f aca="false">IFERROR(IF(I$186*I$187*I$188*I184&gt;0,STDEV(I$186:I$188, I184)," ")/IF(I$186*I$187*I$188*I184&gt;0,SQRT(COUNT(I$186:I$188, I184))," "),"")</f>
        <v/>
      </c>
      <c r="AN276" s="270" t="str">
        <f aca="false">IFERROR(IF(J$186*J$187*J$188*J184&gt;0,STDEV(J$186:J$188, J184)," ")/IF(J$186*J$187*J$188*J184&gt;0,SQRT(COUNT(J$186:J$188, J184))," "),"")</f>
        <v/>
      </c>
      <c r="AO276" s="270" t="str">
        <f aca="false">IFERROR(IF(K$186*K$187*K$188*K184&gt;0,STDEV(K$186:K$188, K184)," ")/IF(K$186*K$187*K$188*K184&gt;0,SQRT(COUNT(K$186:K$188, K184))," "),"")</f>
        <v/>
      </c>
      <c r="AP276" s="270" t="str">
        <f aca="false">IFERROR(IF(L$186*L$187*L$188*L184&gt;0,STDEV(L$186:L$188, L184)," ")/IF(L$186*L$187*L$188*L184&gt;0,SQRT(COUNT(L$186:L$188, L184))," "),"")</f>
        <v/>
      </c>
      <c r="AQ276" s="270" t="str">
        <f aca="false">IFERROR(IF(M$186*M$187*M$188*M184&gt;0,STDEV(M$186:M$188, M184)," ")/IF(M$186*M$187*M$188*M184&gt;0,SQRT(COUNT(M$186:M$188, M184))," "),"")</f>
        <v/>
      </c>
      <c r="AR276" s="270" t="str">
        <f aca="false">IFERROR(IF(N$186*N$187*N$188*N184&gt;0,STDEV(N$186:N$188, N184)," ")/IF(N$186*N$187*N$188*N184&gt;0,SQRT(COUNT(N$186:N$188, N184))," "),"")</f>
        <v/>
      </c>
    </row>
    <row r="277" customFormat="false" ht="15.75" hidden="false" customHeight="false" outlineLevel="0" collapsed="false">
      <c r="A277" s="220" t="s">
        <v>500</v>
      </c>
      <c r="B277" s="221"/>
      <c r="C277" s="261" t="str">
        <f aca="false">IFERROR(IF(C$186*C$187*C$188*C185&gt;0,AVERAGE(C$186:C$188, C185),""),"")</f>
        <v/>
      </c>
      <c r="D277" s="261" t="str">
        <f aca="false">IFERROR(IF(D$186*D$187*D$188*D185&gt;0,AVERAGE(D$186:D$188, D185),""),"")</f>
        <v/>
      </c>
      <c r="E277" s="261" t="str">
        <f aca="false">IFERROR(IF(E$186*E$187*E$188*E185&gt;0,AVERAGE(E$186:E$188, E185),""),"")</f>
        <v/>
      </c>
      <c r="F277" s="261" t="str">
        <f aca="false">IFERROR(IF(F$186*F$187*F$188*F185&gt;0,AVERAGE(F$186:F$188, F185),""),"")</f>
        <v/>
      </c>
      <c r="G277" s="261" t="str">
        <f aca="false">IFERROR(IF(G$186*G$187*G$188*G185&gt;0,AVERAGE(G$186:G$188, G185),""),"")</f>
        <v/>
      </c>
      <c r="H277" s="261" t="str">
        <f aca="false">IFERROR(IF(H$186*H$187*H$188*H185&gt;0,AVERAGE(H$186:H$188, H185),""),"")</f>
        <v/>
      </c>
      <c r="I277" s="261" t="str">
        <f aca="false">IFERROR(IF(I$186*I$187*I$188*I185&gt;0,AVERAGE(I$186:I$188, I185),""),"")</f>
        <v/>
      </c>
      <c r="J277" s="261" t="str">
        <f aca="false">IFERROR(IF(J$186*J$187*J$188*J185&gt;0,AVERAGE(J$186:J$188, J185),""),"")</f>
        <v/>
      </c>
      <c r="K277" s="261" t="str">
        <f aca="false">IFERROR(IF(K$186*K$187*K$188*K185&gt;0,AVERAGE(K$186:K$188, K185),""),"")</f>
        <v/>
      </c>
      <c r="L277" s="261" t="str">
        <f aca="false">IFERROR(IF(L$186*L$187*L$188*L185&gt;0,AVERAGE(L$186:L$188, L185),""),"")</f>
        <v/>
      </c>
      <c r="M277" s="261" t="str">
        <f aca="false">IFERROR(IF(M$186*M$187*M$188*M185&gt;0,AVERAGE(M$186:M$188, M185),""),"")</f>
        <v/>
      </c>
      <c r="N277" s="261" t="str">
        <f aca="false">IFERROR(IF(N$186*N$187*N$188*N185&gt;0,AVERAGE(N$186:N$188, N185),""),"")</f>
        <v/>
      </c>
      <c r="O277" s="224"/>
      <c r="P277" s="224"/>
      <c r="Q277" s="232"/>
      <c r="R277" s="226" t="s">
        <v>501</v>
      </c>
      <c r="S277" s="227" t="str">
        <f aca="false">IFERROR(IF(C$186*C$187*C$188*C185&gt;0,STDEV(C$186:C$188, C185),"")/IF(C$186*C$187*C$188*C185&gt;0,AVERAGE(C$186:C$188, C185),""),"")</f>
        <v/>
      </c>
      <c r="T277" s="227" t="str">
        <f aca="false">IFERROR(IF(D$186*D$187*D$188*D185&gt;0,STDEV(D$186:D$188, D185),"")/IF(D$186*D$187*D$188*D185&gt;0,AVERAGE(D$186:D$188, D185),""),"")</f>
        <v/>
      </c>
      <c r="U277" s="227" t="str">
        <f aca="false">IFERROR(IF(E$186*E$187*E$188*E185&gt;0,STDEV(E$186:E$188, E185),"")/IF(E$186*E$187*E$188*E185&gt;0,AVERAGE(E$186:E$188, E185),""),"")</f>
        <v/>
      </c>
      <c r="V277" s="227" t="str">
        <f aca="false">IFERROR(IF(F$186*F$187*F$188*F185&gt;0,STDEV(F$186:F$188, F185),"")/IF(F$186*F$187*F$188*F185&gt;0,AVERAGE(F$186:F$188, F185),""),"")</f>
        <v/>
      </c>
      <c r="W277" s="227" t="str">
        <f aca="false">IFERROR(IF(G$186*G$187*G$188*G185&gt;0,STDEV(G$186:G$188, G185),"")/IF(G$186*G$187*G$188*G185&gt;0,AVERAGE(G$186:G$188, G185),""),"")</f>
        <v/>
      </c>
      <c r="X277" s="227" t="str">
        <f aca="false">IFERROR(IF(H$186*H$187*H$188*H185&gt;0,STDEV(H$186:H$188, H185),"")/IF(H$186*H$187*H$188*H185&gt;0,AVERAGE(H$186:H$188, H185),""),"")</f>
        <v/>
      </c>
      <c r="Y277" s="227" t="str">
        <f aca="false">IFERROR(IF(I$186*I$187*I$188*I185&gt;0,STDEV(I$186:I$188, I185),"")/IF(I$186*I$187*I$188*I185&gt;0,AVERAGE(I$186:I$188, I185),""),"")</f>
        <v/>
      </c>
      <c r="Z277" s="227" t="str">
        <f aca="false">IFERROR(IF(J$186*J$187*J$188*J185&gt;0,STDEV(J$186:J$188, J185),"")/IF(J$186*J$187*J$188*J185&gt;0,AVERAGE(J$186:J$188, J185),""),"")</f>
        <v/>
      </c>
      <c r="AA277" s="227" t="str">
        <f aca="false">IFERROR(IF(K$186*K$187*K$188*K185&gt;0,STDEV(K$186:K$188, K185),"")/IF(K$186*K$187*K$188*K185&gt;0,AVERAGE(K$186:K$188, K185),""),"")</f>
        <v/>
      </c>
      <c r="AB277" s="227" t="str">
        <f aca="false">IFERROR(IF(L$186*L$187*L$188*L185&gt;0,STDEV(L$186:L$188, L185),"")/IF(L$186*L$187*L$188*L185&gt;0,AVERAGE(L$186:L$188, L185),""),"")</f>
        <v/>
      </c>
      <c r="AC277" s="227" t="str">
        <f aca="false">IFERROR(IF(M$186*M$187*M$188*M185&gt;0,STDEV(M$186:M$188, M185),"")/IF(M$186*M$187*M$188*M185&gt;0,AVERAGE(M$186:M$188, M185),""),"")</f>
        <v/>
      </c>
      <c r="AD277" s="227" t="str">
        <f aca="false">IFERROR(IF(N$186*N$187*N$188*N185&gt;0,STDEV(N$186:N$188, N185),"")/IF(N$186*N$187*N$188*N185&gt;0,AVERAGE(N$186:N$188, N185),""),"")</f>
        <v/>
      </c>
      <c r="AE277" s="233"/>
      <c r="AF277" s="229" t="s">
        <v>502</v>
      </c>
      <c r="AG277" s="270" t="str">
        <f aca="false">IFERROR(IF(C$186*C$187*C$188*C185&gt;0,STDEV(C$186:C$188, C185)," ")/IF(C$186*C$187*C$188*C185&gt;0,SQRT(COUNT(C$186:C$188, C185))," "),"")</f>
        <v/>
      </c>
      <c r="AH277" s="270" t="str">
        <f aca="false">IFERROR(IF(D$186*D$187*D$188*D185&gt;0,STDEV(D$186:D$188, D185)," ")/IF(D$186*D$187*D$188*D185&gt;0,SQRT(COUNT(D$186:D$188, D185))," "),"")</f>
        <v/>
      </c>
      <c r="AI277" s="270" t="str">
        <f aca="false">IFERROR(IF(E$186*E$187*E$188*E185&gt;0,STDEV(E$186:E$188, E185)," ")/IF(E$186*E$187*E$188*E185&gt;0,SQRT(COUNT(E$186:E$188, E185))," "),"")</f>
        <v/>
      </c>
      <c r="AJ277" s="270" t="str">
        <f aca="false">IFERROR(IF(F$186*F$187*F$188*F185&gt;0,STDEV(F$186:F$188, F185)," ")/IF(F$186*F$187*F$188*F185&gt;0,SQRT(COUNT(F$186:F$188, F185))," "),"")</f>
        <v/>
      </c>
      <c r="AK277" s="270" t="str">
        <f aca="false">IFERROR(IF(G$186*G$187*G$188*G185&gt;0,STDEV(G$186:G$188, G185)," ")/IF(G$186*G$187*G$188*G185&gt;0,SQRT(COUNT(G$186:G$188, G185))," "),"")</f>
        <v/>
      </c>
      <c r="AL277" s="270" t="str">
        <f aca="false">IFERROR(IF(H$186*H$187*H$188*H185&gt;0,STDEV(H$186:H$188, H185)," ")/IF(H$186*H$187*H$188*H185&gt;0,SQRT(COUNT(H$186:H$188, H185))," "),"")</f>
        <v/>
      </c>
      <c r="AM277" s="270" t="str">
        <f aca="false">IFERROR(IF(I$186*I$187*I$188*I185&gt;0,STDEV(I$186:I$188, I185)," ")/IF(I$186*I$187*I$188*I185&gt;0,SQRT(COUNT(I$186:I$188, I185))," "),"")</f>
        <v/>
      </c>
      <c r="AN277" s="270" t="str">
        <f aca="false">IFERROR(IF(J$186*J$187*J$188*J185&gt;0,STDEV(J$186:J$188, J185)," ")/IF(J$186*J$187*J$188*J185&gt;0,SQRT(COUNT(J$186:J$188, J185))," "),"")</f>
        <v/>
      </c>
      <c r="AO277" s="270" t="str">
        <f aca="false">IFERROR(IF(K$186*K$187*K$188*K185&gt;0,STDEV(K$186:K$188, K185)," ")/IF(K$186*K$187*K$188*K185&gt;0,SQRT(COUNT(K$186:K$188, K185))," "),"")</f>
        <v/>
      </c>
      <c r="AP277" s="270" t="str">
        <f aca="false">IFERROR(IF(L$186*L$187*L$188*L185&gt;0,STDEV(L$186:L$188, L185)," ")/IF(L$186*L$187*L$188*L185&gt;0,SQRT(COUNT(L$186:L$188, L185))," "),"")</f>
        <v/>
      </c>
      <c r="AQ277" s="270" t="str">
        <f aca="false">IFERROR(IF(M$186*M$187*M$188*M185&gt;0,STDEV(M$186:M$188, M185)," ")/IF(M$186*M$187*M$188*M185&gt;0,SQRT(COUNT(M$186:M$188, M185))," "),"")</f>
        <v/>
      </c>
      <c r="AR277" s="270" t="str">
        <f aca="false">IFERROR(IF(N$186*N$187*N$188*N185&gt;0,STDEV(N$186:N$188, N185)," ")/IF(N$186*N$187*N$188*N185&gt;0,SQRT(COUNT(N$186:N$188, N185))," "),"")</f>
        <v/>
      </c>
    </row>
    <row r="278" customFormat="false" ht="15.75" hidden="false" customHeight="false" outlineLevel="0" collapsed="false">
      <c r="A278" s="220" t="s">
        <v>446</v>
      </c>
      <c r="B278" s="221"/>
      <c r="C278" s="261" t="str">
        <f aca="false">IFERROR(IF(C$182*C$183*C$184*C186&gt;0,AVERAGE(C$182, C$183, C$184, C$186),""),"")</f>
        <v/>
      </c>
      <c r="D278" s="261" t="str">
        <f aca="false">IFERROR(IF(D$182*D$183*D$184*D186&gt;0,AVERAGE(D$182, D$183, D$184, D$186),""),"")</f>
        <v/>
      </c>
      <c r="E278" s="261" t="str">
        <f aca="false">IFERROR(IF(E$182*E$183*E$184*E186&gt;0,AVERAGE(E$182, E$183, E$184, E$186),""),"")</f>
        <v/>
      </c>
      <c r="F278" s="261" t="str">
        <f aca="false">IFERROR(IF(F$182*F$183*F$184*F186&gt;0,AVERAGE(F$182, F$183, F$184, F$186),""),"")</f>
        <v/>
      </c>
      <c r="G278" s="261" t="str">
        <f aca="false">IFERROR(IF(G$182*G$183*G$184*G186&gt;0,AVERAGE(G$182, G$183, G$184, G$186),""),"")</f>
        <v/>
      </c>
      <c r="H278" s="261" t="str">
        <f aca="false">IFERROR(IF(H$182*H$183*H$184*H186&gt;0,AVERAGE(H$182, H$183, H$184, H$186),""),"")</f>
        <v/>
      </c>
      <c r="I278" s="261" t="str">
        <f aca="false">IFERROR(IF(I$182*I$183*I$184*I186&gt;0,AVERAGE(I$182, I$183, I$184, I$186),""),"")</f>
        <v/>
      </c>
      <c r="J278" s="261" t="str">
        <f aca="false">IFERROR(IF(J$182*J$183*J$184*J186&gt;0,AVERAGE(J$182, J$183, J$184, J$186),""),"")</f>
        <v/>
      </c>
      <c r="K278" s="261" t="str">
        <f aca="false">IFERROR(IF(K$182*K$183*K$184*K186&gt;0,AVERAGE(K$182, K$183, K$184, K$186),""),"")</f>
        <v/>
      </c>
      <c r="L278" s="261" t="str">
        <f aca="false">IFERROR(IF(L$182*L$183*L$184*L186&gt;0,AVERAGE(L$182, L$183, L$184, L$186),""),"")</f>
        <v/>
      </c>
      <c r="M278" s="261" t="str">
        <f aca="false">IFERROR(IF(M$182*M$183*M$184*M186&gt;0,AVERAGE(M$182, M$183, M$184, M$186),""),"")</f>
        <v/>
      </c>
      <c r="N278" s="261" t="str">
        <f aca="false">IFERROR(IF(N$182*N$183*N$184*N186&gt;0,AVERAGE(N$182, N$183, N$184, N$186),""),"")</f>
        <v/>
      </c>
      <c r="O278" s="224"/>
      <c r="P278" s="224"/>
      <c r="Q278" s="232"/>
      <c r="R278" s="226" t="s">
        <v>447</v>
      </c>
      <c r="S278" s="227" t="str">
        <f aca="false">IFERROR(IF(C$182*C$183*C$184*C186&gt;0,STDEV(C$182, C$183, C$184, C$186),"")/IF(C$182*C$183*C$184*C186&gt;0,AVERAGE(C$182, C$183, C$184, C$186),""),"")</f>
        <v/>
      </c>
      <c r="T278" s="227" t="str">
        <f aca="false">IFERROR(IF(D$182*D$183*D$184*D186&gt;0,STDEV(D$182, D$183, D$184, D$186),"")/IF(D$182*D$183*D$184*D186&gt;0,AVERAGE(D$182, D$183, D$184, D$186),""),"")</f>
        <v/>
      </c>
      <c r="U278" s="227" t="str">
        <f aca="false">IFERROR(IF(E$182*E$183*E$184*E186&gt;0,STDEV(E$182, E$183, E$184, E$186),"")/IF(E$182*E$183*E$184*E186&gt;0,AVERAGE(E$182, E$183, E$184, E$186),""),"")</f>
        <v/>
      </c>
      <c r="V278" s="227" t="str">
        <f aca="false">IFERROR(IF(F$182*F$183*F$184*F186&gt;0,STDEV(F$182, F$183, F$184, F$186),"")/IF(F$182*F$183*F$184*F186&gt;0,AVERAGE(F$182, F$183, F$184, F$186),""),"")</f>
        <v/>
      </c>
      <c r="W278" s="227" t="str">
        <f aca="false">IFERROR(IF(G$182*G$183*G$184*G186&gt;0,STDEV(G$182, G$183, G$184, G$186),"")/IF(G$182*G$183*G$184*G186&gt;0,AVERAGE(G$182, G$183, G$184, G$186),""),"")</f>
        <v/>
      </c>
      <c r="X278" s="227" t="str">
        <f aca="false">IFERROR(IF(H$182*H$183*H$184*H186&gt;0,STDEV(H$182, H$183, H$184, H$186),"")/IF(H$182*H$183*H$184*H186&gt;0,AVERAGE(H$182, H$183, H$184, H$186),""),"")</f>
        <v/>
      </c>
      <c r="Y278" s="227" t="str">
        <f aca="false">IFERROR(IF(I$182*I$183*I$184*I186&gt;0,STDEV(I$182, I$183, I$184, I$186),"")/IF(I$182*I$183*I$184*I186&gt;0,AVERAGE(I$182, I$183, I$184, I$186),""),"")</f>
        <v/>
      </c>
      <c r="Z278" s="227" t="str">
        <f aca="false">IFERROR(IF(J$182*J$183*J$184*J186&gt;0,STDEV(J$182, J$183, J$184, J$186),"")/IF(J$182*J$183*J$184*J186&gt;0,AVERAGE(J$182, J$183, J$184, J$186),""),"")</f>
        <v/>
      </c>
      <c r="AA278" s="227" t="str">
        <f aca="false">IFERROR(IF(K$182*K$183*K$184*K186&gt;0,STDEV(K$182, K$183, K$184, K$186),"")/IF(K$182*K$183*K$184*K186&gt;0,AVERAGE(K$182, K$183, K$184, K$186),""),"")</f>
        <v/>
      </c>
      <c r="AB278" s="227" t="str">
        <f aca="false">IFERROR(IF(L$182*L$183*L$184*L186&gt;0,STDEV(L$182, L$183, L$184, L$186),"")/IF(L$182*L$183*L$184*L186&gt;0,AVERAGE(L$182, L$183, L$184, L$186),""),"")</f>
        <v/>
      </c>
      <c r="AC278" s="227" t="str">
        <f aca="false">IFERROR(IF(M$182*M$183*M$184*M186&gt;0,STDEV(M$182, M$183, M$184, M$186),"")/IF(M$182*M$183*M$184*M186&gt;0,AVERAGE(M$182, M$183, M$184, M$186),""),"")</f>
        <v/>
      </c>
      <c r="AD278" s="227" t="str">
        <f aca="false">IFERROR(IF(N$182*N$183*N$184*N186&gt;0,STDEV(N$182, N$183, N$184, N$186),"")/IF(N$182*N$183*N$184*N186&gt;0,AVERAGE(N$182, N$183, N$184, N$186),""),"")</f>
        <v/>
      </c>
      <c r="AE278" s="233"/>
      <c r="AF278" s="229" t="s">
        <v>448</v>
      </c>
      <c r="AG278" s="270" t="str">
        <f aca="false">IFERROR(IF(C$182*C$183*C$184*C186&gt;0,STDEV(C$182, C$183, C$184, C$186)," ")/IF(C$182*C$183*C$184*C186&gt;0,SQRT(COUNT(C$182, C$183, C$184, C$186))," "),"")</f>
        <v/>
      </c>
      <c r="AH278" s="270" t="str">
        <f aca="false">IFERROR(IF(D$182*D$183*D$184*D186&gt;0,STDEV(D$182, D$183, D$184, D$186)," ")/IF(D$182*D$183*D$184*D186&gt;0,SQRT(COUNT(D$182, D$183, D$184, D$186))," "),"")</f>
        <v/>
      </c>
      <c r="AI278" s="270" t="str">
        <f aca="false">IFERROR(IF(E$182*E$183*E$184*E186&gt;0,STDEV(E$182, E$183, E$184, E$186)," ")/IF(E$182*E$183*E$184*E186&gt;0,SQRT(COUNT(E$182, E$183, E$184, E$186))," "),"")</f>
        <v/>
      </c>
      <c r="AJ278" s="270" t="str">
        <f aca="false">IFERROR(IF(F$182*F$183*F$184*F186&gt;0,STDEV(F$182, F$183, F$184, F$186)," ")/IF(F$182*F$183*F$184*F186&gt;0,SQRT(COUNT(F$182, F$183, F$184, F$186))," "),"")</f>
        <v/>
      </c>
      <c r="AK278" s="270" t="str">
        <f aca="false">IFERROR(IF(G$182*G$183*G$184*G186&gt;0,STDEV(G$182, G$183, G$184, G$186)," ")/IF(G$182*G$183*G$184*G186&gt;0,SQRT(COUNT(G$182, G$183, G$184, G$186))," "),"")</f>
        <v/>
      </c>
      <c r="AL278" s="270" t="str">
        <f aca="false">IFERROR(IF(H$182*H$183*H$184*H186&gt;0,STDEV(H$182, H$183, H$184, H$186)," ")/IF(H$182*H$183*H$184*H186&gt;0,SQRT(COUNT(H$182, H$183, H$184, H$186))," "),"")</f>
        <v/>
      </c>
      <c r="AM278" s="270" t="str">
        <f aca="false">IFERROR(IF(I$182*I$183*I$184*I186&gt;0,STDEV(I$182, I$183, I$184, I$186)," ")/IF(I$182*I$183*I$184*I186&gt;0,SQRT(COUNT(I$182, I$183, I$184, I$186))," "),"")</f>
        <v/>
      </c>
      <c r="AN278" s="270" t="str">
        <f aca="false">IFERROR(IF(J$182*J$183*J$184*J186&gt;0,STDEV(J$182, J$183, J$184, J$186)," ")/IF(J$182*J$183*J$184*J186&gt;0,SQRT(COUNT(J$182, J$183, J$184, J$186))," "),"")</f>
        <v/>
      </c>
      <c r="AO278" s="270" t="str">
        <f aca="false">IFERROR(IF(K$182*K$183*K$184*K186&gt;0,STDEV(K$182, K$183, K$184, K$186)," ")/IF(K$182*K$183*K$184*K186&gt;0,SQRT(COUNT(K$182, K$183, K$184, K$186))," "),"")</f>
        <v/>
      </c>
      <c r="AP278" s="270" t="str">
        <f aca="false">IFERROR(IF(L$182*L$183*L$184*L186&gt;0,STDEV(L$182, L$183, L$184, L$186)," ")/IF(L$182*L$183*L$184*L186&gt;0,SQRT(COUNT(L$182, L$183, L$184, L$186))," "),"")</f>
        <v/>
      </c>
      <c r="AQ278" s="270" t="str">
        <f aca="false">IFERROR(IF(M$182*M$183*M$184*M186&gt;0,STDEV(M$182, M$183, M$184, M$186)," ")/IF(M$182*M$183*M$184*M186&gt;0,SQRT(COUNT(M$182, M$183, M$184, M$186))," "),"")</f>
        <v/>
      </c>
      <c r="AR278" s="270" t="str">
        <f aca="false">IFERROR(IF(N$182*N$183*N$184*N186&gt;0,STDEV(N$182, N$183, N$184, N$186)," ")/IF(N$182*N$183*N$184*N186&gt;0,SQRT(COUNT(N$182, N$183, N$184, N$186))," "),"")</f>
        <v/>
      </c>
    </row>
    <row r="279" customFormat="false" ht="15.75" hidden="false" customHeight="false" outlineLevel="0" collapsed="false">
      <c r="A279" s="220" t="s">
        <v>449</v>
      </c>
      <c r="B279" s="221"/>
      <c r="C279" s="261" t="str">
        <f aca="false">IFERROR(IF(C$182*C$183*C$184*C187&gt;0,AVERAGE(C$182, C$183, C$184, C$187),""),"")</f>
        <v/>
      </c>
      <c r="D279" s="261" t="str">
        <f aca="false">IFERROR(IF(D$182*D$183*D$184*D187&gt;0,AVERAGE(D$182, D$183, D$184, D$187),""),"")</f>
        <v/>
      </c>
      <c r="E279" s="261" t="str">
        <f aca="false">IFERROR(IF(E$182*E$183*E$184*E187&gt;0,AVERAGE(E$182, E$183, E$184, E$187),""),"")</f>
        <v/>
      </c>
      <c r="F279" s="261" t="str">
        <f aca="false">IFERROR(IF(F$182*F$183*F$184*F187&gt;0,AVERAGE(F$182, F$183, F$184, F$187),""),"")</f>
        <v/>
      </c>
      <c r="G279" s="261" t="str">
        <f aca="false">IFERROR(IF(G$182*G$183*G$184*G187&gt;0,AVERAGE(G$182, G$183, G$184, G$187),""),"")</f>
        <v/>
      </c>
      <c r="H279" s="261" t="str">
        <f aca="false">IFERROR(IF(H$182*H$183*H$184*H187&gt;0,AVERAGE(H$182, H$183, H$184, H$187),""),"")</f>
        <v/>
      </c>
      <c r="I279" s="261" t="str">
        <f aca="false">IFERROR(IF(I$182*I$183*I$184*I187&gt;0,AVERAGE(I$182, I$183, I$184, I$187),""),"")</f>
        <v/>
      </c>
      <c r="J279" s="261" t="str">
        <f aca="false">IFERROR(IF(J$182*J$183*J$184*J187&gt;0,AVERAGE(J$182, J$183, J$184, J$187),""),"")</f>
        <v/>
      </c>
      <c r="K279" s="261" t="str">
        <f aca="false">IFERROR(IF(K$182*K$183*K$184*K187&gt;0,AVERAGE(K$182, K$183, K$184, K$187),""),"")</f>
        <v/>
      </c>
      <c r="L279" s="261" t="str">
        <f aca="false">IFERROR(IF(L$182*L$183*L$184*L187&gt;0,AVERAGE(L$182, L$183, L$184, L$187),""),"")</f>
        <v/>
      </c>
      <c r="M279" s="261" t="str">
        <f aca="false">IFERROR(IF(M$182*M$183*M$184*M187&gt;0,AVERAGE(M$182, M$183, M$184, M$187),""),"")</f>
        <v/>
      </c>
      <c r="N279" s="261" t="str">
        <f aca="false">IFERROR(IF(N$182*N$183*N$184*N187&gt;0,AVERAGE(N$182, N$183, N$184, N$187),""),"")</f>
        <v/>
      </c>
      <c r="O279" s="224"/>
      <c r="P279" s="224"/>
      <c r="Q279" s="232"/>
      <c r="R279" s="226" t="s">
        <v>450</v>
      </c>
      <c r="S279" s="227" t="str">
        <f aca="false">IFERROR(IF(C$182*C$183*C$184*C187&gt;0,STDEV(C$182, C$183, C$184, C$187),"")/IF(C$182*C$183*C$184*C187&gt;0,AVERAGE(C$182, C$183, C$184, C$187),""),"")</f>
        <v/>
      </c>
      <c r="T279" s="227" t="str">
        <f aca="false">IFERROR(IF(D$182*D$183*D$184*D187&gt;0,STDEV(D$182, D$183, D$184, D$187),"")/IF(D$182*D$183*D$184*D187&gt;0,AVERAGE(D$182, D$183, D$184, D$187),""),"")</f>
        <v/>
      </c>
      <c r="U279" s="227" t="str">
        <f aca="false">IFERROR(IF(E$182*E$183*E$184*E187&gt;0,STDEV(E$182, E$183, E$184, E$187),"")/IF(E$182*E$183*E$184*E187&gt;0,AVERAGE(E$182, E$183, E$184, E$187),""),"")</f>
        <v/>
      </c>
      <c r="V279" s="227" t="str">
        <f aca="false">IFERROR(IF(F$182*F$183*F$184*F187&gt;0,STDEV(F$182, F$183, F$184, F$187),"")/IF(F$182*F$183*F$184*F187&gt;0,AVERAGE(F$182, F$183, F$184, F$187),""),"")</f>
        <v/>
      </c>
      <c r="W279" s="227" t="str">
        <f aca="false">IFERROR(IF(G$182*G$183*G$184*G187&gt;0,STDEV(G$182, G$183, G$184, G$187),"")/IF(G$182*G$183*G$184*G187&gt;0,AVERAGE(G$182, G$183, G$184, G$187),""),"")</f>
        <v/>
      </c>
      <c r="X279" s="227" t="str">
        <f aca="false">IFERROR(IF(H$182*H$183*H$184*H187&gt;0,STDEV(H$182, H$183, H$184, H$187),"")/IF(H$182*H$183*H$184*H187&gt;0,AVERAGE(H$182, H$183, H$184, H$187),""),"")</f>
        <v/>
      </c>
      <c r="Y279" s="227" t="str">
        <f aca="false">IFERROR(IF(I$182*I$183*I$184*I187&gt;0,STDEV(I$182, I$183, I$184, I$187),"")/IF(I$182*I$183*I$184*I187&gt;0,AVERAGE(I$182, I$183, I$184, I$187),""),"")</f>
        <v/>
      </c>
      <c r="Z279" s="227" t="str">
        <f aca="false">IFERROR(IF(J$182*J$183*J$184*J187&gt;0,STDEV(J$182, J$183, J$184, J$187),"")/IF(J$182*J$183*J$184*J187&gt;0,AVERAGE(J$182, J$183, J$184, J$187),""),"")</f>
        <v/>
      </c>
      <c r="AA279" s="227" t="str">
        <f aca="false">IFERROR(IF(K$182*K$183*K$184*K187&gt;0,STDEV(K$182, K$183, K$184, K$187),"")/IF(K$182*K$183*K$184*K187&gt;0,AVERAGE(K$182, K$183, K$184, K$187),""),"")</f>
        <v/>
      </c>
      <c r="AB279" s="227" t="str">
        <f aca="false">IFERROR(IF(L$182*L$183*L$184*L187&gt;0,STDEV(L$182, L$183, L$184, L$187),"")/IF(L$182*L$183*L$184*L187&gt;0,AVERAGE(L$182, L$183, L$184, L$187),""),"")</f>
        <v/>
      </c>
      <c r="AC279" s="227" t="str">
        <f aca="false">IFERROR(IF(M$182*M$183*M$184*M187&gt;0,STDEV(M$182, M$183, M$184, M$187),"")/IF(M$182*M$183*M$184*M187&gt;0,AVERAGE(M$182, M$183, M$184, M$187),""),"")</f>
        <v/>
      </c>
      <c r="AD279" s="227" t="str">
        <f aca="false">IFERROR(IF(N$182*N$183*N$184*N187&gt;0,STDEV(N$182, N$183, N$184, N$187),"")/IF(N$182*N$183*N$184*N187&gt;0,AVERAGE(N$182, N$183, N$184, N$187),""),"")</f>
        <v/>
      </c>
      <c r="AE279" s="233"/>
      <c r="AF279" s="229" t="s">
        <v>451</v>
      </c>
      <c r="AG279" s="270" t="str">
        <f aca="false">IFERROR(IF(C$182*C$183*C$184*C187&gt;0,STDEV(C$182, C$183, C$184, C$187)," ")/IF(C$182*C$183*C$184*C187&gt;0,SQRT(COUNT(C$182, C$183, C$184, C$187))," "),"")</f>
        <v/>
      </c>
      <c r="AH279" s="270" t="str">
        <f aca="false">IFERROR(IF(D$182*D$183*D$184*D187&gt;0,STDEV(D$182, D$183, D$184, D$187)," ")/IF(D$182*D$183*D$184*D187&gt;0,SQRT(COUNT(D$182, D$183, D$184, D$187))," "),"")</f>
        <v/>
      </c>
      <c r="AI279" s="270" t="str">
        <f aca="false">IFERROR(IF(E$182*E$183*E$184*E187&gt;0,STDEV(E$182, E$183, E$184, E$187)," ")/IF(E$182*E$183*E$184*E187&gt;0,SQRT(COUNT(E$182, E$183, E$184, E$187))," "),"")</f>
        <v/>
      </c>
      <c r="AJ279" s="270" t="str">
        <f aca="false">IFERROR(IF(F$182*F$183*F$184*F187&gt;0,STDEV(F$182, F$183, F$184, F$187)," ")/IF(F$182*F$183*F$184*F187&gt;0,SQRT(COUNT(F$182, F$183, F$184, F$187))," "),"")</f>
        <v/>
      </c>
      <c r="AK279" s="270" t="str">
        <f aca="false">IFERROR(IF(G$182*G$183*G$184*G187&gt;0,STDEV(G$182, G$183, G$184, G$187)," ")/IF(G$182*G$183*G$184*G187&gt;0,SQRT(COUNT(G$182, G$183, G$184, G$187))," "),"")</f>
        <v/>
      </c>
      <c r="AL279" s="270" t="str">
        <f aca="false">IFERROR(IF(H$182*H$183*H$184*H187&gt;0,STDEV(H$182, H$183, H$184, H$187)," ")/IF(H$182*H$183*H$184*H187&gt;0,SQRT(COUNT(H$182, H$183, H$184, H$187))," "),"")</f>
        <v/>
      </c>
      <c r="AM279" s="270" t="str">
        <f aca="false">IFERROR(IF(I$182*I$183*I$184*I187&gt;0,STDEV(I$182, I$183, I$184, I$187)," ")/IF(I$182*I$183*I$184*I187&gt;0,SQRT(COUNT(I$182, I$183, I$184, I$187))," "),"")</f>
        <v/>
      </c>
      <c r="AN279" s="270" t="str">
        <f aca="false">IFERROR(IF(J$182*J$183*J$184*J187&gt;0,STDEV(J$182, J$183, J$184, J$187)," ")/IF(J$182*J$183*J$184*J187&gt;0,SQRT(COUNT(J$182, J$183, J$184, J$187))," "),"")</f>
        <v/>
      </c>
      <c r="AO279" s="270" t="str">
        <f aca="false">IFERROR(IF(K$182*K$183*K$184*K187&gt;0,STDEV(K$182, K$183, K$184, K$187)," ")/IF(K$182*K$183*K$184*K187&gt;0,SQRT(COUNT(K$182, K$183, K$184, K$187))," "),"")</f>
        <v/>
      </c>
      <c r="AP279" s="270" t="str">
        <f aca="false">IFERROR(IF(L$182*L$183*L$184*L187&gt;0,STDEV(L$182, L$183, L$184, L$187)," ")/IF(L$182*L$183*L$184*L187&gt;0,SQRT(COUNT(L$182, L$183, L$184, L$187))," "),"")</f>
        <v/>
      </c>
      <c r="AQ279" s="270" t="str">
        <f aca="false">IFERROR(IF(M$182*M$183*M$184*M187&gt;0,STDEV(M$182, M$183, M$184, M$187)," ")/IF(M$182*M$183*M$184*M187&gt;0,SQRT(COUNT(M$182, M$183, M$184, M$187))," "),"")</f>
        <v/>
      </c>
      <c r="AR279" s="270" t="str">
        <f aca="false">IFERROR(IF(N$182*N$183*N$184*N187&gt;0,STDEV(N$182, N$183, N$184, N$187)," ")/IF(N$182*N$183*N$184*N187&gt;0,SQRT(COUNT(N$182, N$183, N$184, N$187))," "),"")</f>
        <v/>
      </c>
    </row>
    <row r="280" customFormat="false" ht="15.75" hidden="false" customHeight="false" outlineLevel="0" collapsed="false">
      <c r="A280" s="220" t="s">
        <v>503</v>
      </c>
      <c r="B280" s="221"/>
      <c r="C280" s="261" t="str">
        <f aca="false">IFERROR(IF(C$182*C$183*C$185*C187&gt;0,AVERAGE(C$182, C$183, C$185, C$187),""),"")</f>
        <v/>
      </c>
      <c r="D280" s="261" t="str">
        <f aca="false">IFERROR(IF(D$182*D$183*D$185*D187&gt;0,AVERAGE(D$182, D$183, D$185, D$187),""),"")</f>
        <v/>
      </c>
      <c r="E280" s="261" t="str">
        <f aca="false">IFERROR(IF(E$182*E$183*E$185*E187&gt;0,AVERAGE(E$182, E$183, E$185, E$187),""),"")</f>
        <v/>
      </c>
      <c r="F280" s="261" t="str">
        <f aca="false">IFERROR(IF(F$182*F$183*F$185*F187&gt;0,AVERAGE(F$182, F$183, F$185, F$187),""),"")</f>
        <v/>
      </c>
      <c r="G280" s="261" t="str">
        <f aca="false">IFERROR(IF(G$182*G$183*G$185*G187&gt;0,AVERAGE(G$182, G$183, G$185, G$187),""),"")</f>
        <v/>
      </c>
      <c r="H280" s="261" t="str">
        <f aca="false">IFERROR(IF(H$182*H$183*H$185*H187&gt;0,AVERAGE(H$182, H$183, H$185, H$187),""),"")</f>
        <v/>
      </c>
      <c r="I280" s="261" t="str">
        <f aca="false">IFERROR(IF(I$182*I$183*I$185*I187&gt;0,AVERAGE(I$182, I$183, I$185, I$187),""),"")</f>
        <v/>
      </c>
      <c r="J280" s="261" t="str">
        <f aca="false">IFERROR(IF(J$182*J$183*J$185*J187&gt;0,AVERAGE(J$182, J$183, J$185, J$187),""),"")</f>
        <v/>
      </c>
      <c r="K280" s="261" t="str">
        <f aca="false">IFERROR(IF(K$182*K$183*K$185*K187&gt;0,AVERAGE(K$182, K$183, K$185, K$187),""),"")</f>
        <v/>
      </c>
      <c r="L280" s="261" t="str">
        <f aca="false">IFERROR(IF(L$182*L$183*L$185*L187&gt;0,AVERAGE(L$182, L$183, L$185, L$187),""),"")</f>
        <v/>
      </c>
      <c r="M280" s="261" t="str">
        <f aca="false">IFERROR(IF(M$182*M$183*M$185*M187&gt;0,AVERAGE(M$182, M$183, M$185, M$187),""),"")</f>
        <v/>
      </c>
      <c r="N280" s="261" t="str">
        <f aca="false">IFERROR(IF(N$182*N$183*N$185*N187&gt;0,AVERAGE(N$182, N$183, N$185, N$187),""),"")</f>
        <v/>
      </c>
      <c r="O280" s="224"/>
      <c r="P280" s="224"/>
      <c r="Q280" s="232"/>
      <c r="R280" s="226" t="s">
        <v>504</v>
      </c>
      <c r="S280" s="227" t="str">
        <f aca="false">IFERROR(IF(C$182*C$183*C$185*C187&gt;0,STDEV(C$182, C$183, C$185, C$187),"")/IF(C$182*C$183*C$185*C187&gt;0,AVERAGE(C$182, C$183, C$185, C$187),""),"")</f>
        <v/>
      </c>
      <c r="T280" s="227" t="str">
        <f aca="false">IFERROR(IF(D$182*D$183*D$185*D187&gt;0,STDEV(D$182, D$183, D$185, D$187),"")/IF(D$182*D$183*D$185*D187&gt;0,AVERAGE(D$182, D$183, D$185, D$187),""),"")</f>
        <v/>
      </c>
      <c r="U280" s="227" t="str">
        <f aca="false">IFERROR(IF(E$182*E$183*E$185*E187&gt;0,STDEV(E$182, E$183, E$185, E$187),"")/IF(E$182*E$183*E$185*E187&gt;0,AVERAGE(E$182, E$183, E$185, E$187),""),"")</f>
        <v/>
      </c>
      <c r="V280" s="227" t="str">
        <f aca="false">IFERROR(IF(F$182*F$183*F$185*F187&gt;0,STDEV(F$182, F$183, F$185, F$187),"")/IF(F$182*F$183*F$185*F187&gt;0,AVERAGE(F$182, F$183, F$185, F$187),""),"")</f>
        <v/>
      </c>
      <c r="W280" s="227" t="str">
        <f aca="false">IFERROR(IF(G$182*G$183*G$185*G187&gt;0,STDEV(G$182, G$183, G$185, G$187),"")/IF(G$182*G$183*G$185*G187&gt;0,AVERAGE(G$182, G$183, G$185, G$187),""),"")</f>
        <v/>
      </c>
      <c r="X280" s="227" t="str">
        <f aca="false">IFERROR(IF(H$182*H$183*H$185*H187&gt;0,STDEV(H$182, H$183, H$185, H$187),"")/IF(H$182*H$183*H$185*H187&gt;0,AVERAGE(H$182, H$183, H$185, H$187),""),"")</f>
        <v/>
      </c>
      <c r="Y280" s="227" t="str">
        <f aca="false">IFERROR(IF(I$182*I$183*I$185*I187&gt;0,STDEV(I$182, I$183, I$185, I$187),"")/IF(I$182*I$183*I$185*I187&gt;0,AVERAGE(I$182, I$183, I$185, I$187),""),"")</f>
        <v/>
      </c>
      <c r="Z280" s="227" t="str">
        <f aca="false">IFERROR(IF(J$182*J$183*J$185*J187&gt;0,STDEV(J$182, J$183, J$185, J$187),"")/IF(J$182*J$183*J$185*J187&gt;0,AVERAGE(J$182, J$183, J$185, J$187),""),"")</f>
        <v/>
      </c>
      <c r="AA280" s="227" t="str">
        <f aca="false">IFERROR(IF(K$182*K$183*K$185*K187&gt;0,STDEV(K$182, K$183, K$185, K$187),"")/IF(K$182*K$183*K$185*K187&gt;0,AVERAGE(K$182, K$183, K$185, K$187),""),"")</f>
        <v/>
      </c>
      <c r="AB280" s="227" t="str">
        <f aca="false">IFERROR(IF(L$182*L$183*L$185*L187&gt;0,STDEV(L$182, L$183, L$185, L$187),"")/IF(L$182*L$183*L$185*L187&gt;0,AVERAGE(L$182, L$183, L$185, L$187),""),"")</f>
        <v/>
      </c>
      <c r="AC280" s="227" t="str">
        <f aca="false">IFERROR(IF(M$182*M$183*M$185*M187&gt;0,STDEV(M$182, M$183, M$185, M$187),"")/IF(M$182*M$183*M$185*M187&gt;0,AVERAGE(M$182, M$183, M$185, M$187),""),"")</f>
        <v/>
      </c>
      <c r="AD280" s="227" t="str">
        <f aca="false">IFERROR(IF(N$182*N$183*N$185*N187&gt;0,STDEV(N$182, N$183, N$185, N$187),"")/IF(N$182*N$183*N$185*N187&gt;0,AVERAGE(N$182, N$183, N$185, N$187),""),"")</f>
        <v/>
      </c>
      <c r="AE280" s="233"/>
      <c r="AF280" s="229" t="s">
        <v>505</v>
      </c>
      <c r="AG280" s="270" t="str">
        <f aca="false">IFERROR(IF(C$182*C$183*C$185*C187&gt;0,STDEV(C$182, C$183, C$185, C$187)," ")/IF(C$182*C$183*C$185*C187&gt;0,SQRT(COUNT(C$182, C$183, C$185, C$187))," "),"")</f>
        <v/>
      </c>
      <c r="AH280" s="270" t="str">
        <f aca="false">IFERROR(IF(D$182*D$183*D$185*D187&gt;0,STDEV(D$182, D$183, D$185, D$187)," ")/IF(D$182*D$183*D$185*D187&gt;0,SQRT(COUNT(D$182, D$183, D$185, D$187))," "),"")</f>
        <v/>
      </c>
      <c r="AI280" s="270" t="str">
        <f aca="false">IFERROR(IF(E$182*E$183*E$185*E187&gt;0,STDEV(E$182, E$183, E$185, E$187)," ")/IF(E$182*E$183*E$185*E187&gt;0,SQRT(COUNT(E$182, E$183, E$185, E$187))," "),"")</f>
        <v/>
      </c>
      <c r="AJ280" s="270" t="str">
        <f aca="false">IFERROR(IF(F$182*F$183*F$185*F187&gt;0,STDEV(F$182, F$183, F$185, F$187)," ")/IF(F$182*F$183*F$185*F187&gt;0,SQRT(COUNT(F$182, F$183, F$185, F$187))," "),"")</f>
        <v/>
      </c>
      <c r="AK280" s="270" t="str">
        <f aca="false">IFERROR(IF(G$182*G$183*G$185*G187&gt;0,STDEV(G$182, G$183, G$185, G$187)," ")/IF(G$182*G$183*G$185*G187&gt;0,SQRT(COUNT(G$182, G$183, G$185, G$187))," "),"")</f>
        <v/>
      </c>
      <c r="AL280" s="270" t="str">
        <f aca="false">IFERROR(IF(H$182*H$183*H$185*H187&gt;0,STDEV(H$182, H$183, H$185, H$187)," ")/IF(H$182*H$183*H$185*H187&gt;0,SQRT(COUNT(H$182, H$183, H$185, H$187))," "),"")</f>
        <v/>
      </c>
      <c r="AM280" s="270" t="str">
        <f aca="false">IFERROR(IF(I$182*I$183*I$185*I187&gt;0,STDEV(I$182, I$183, I$185, I$187)," ")/IF(I$182*I$183*I$185*I187&gt;0,SQRT(COUNT(I$182, I$183, I$185, I$187))," "),"")</f>
        <v/>
      </c>
      <c r="AN280" s="270" t="str">
        <f aca="false">IFERROR(IF(J$182*J$183*J$185*J187&gt;0,STDEV(J$182, J$183, J$185, J$187)," ")/IF(J$182*J$183*J$185*J187&gt;0,SQRT(COUNT(J$182, J$183, J$185, J$187))," "),"")</f>
        <v/>
      </c>
      <c r="AO280" s="270" t="str">
        <f aca="false">IFERROR(IF(K$182*K$183*K$185*K187&gt;0,STDEV(K$182, K$183, K$185, K$187)," ")/IF(K$182*K$183*K$185*K187&gt;0,SQRT(COUNT(K$182, K$183, K$185, K$187))," "),"")</f>
        <v/>
      </c>
      <c r="AP280" s="270" t="str">
        <f aca="false">IFERROR(IF(L$182*L$183*L$185*L187&gt;0,STDEV(L$182, L$183, L$185, L$187)," ")/IF(L$182*L$183*L$185*L187&gt;0,SQRT(COUNT(L$182, L$183, L$185, L$187))," "),"")</f>
        <v/>
      </c>
      <c r="AQ280" s="270" t="str">
        <f aca="false">IFERROR(IF(M$182*M$183*M$185*M187&gt;0,STDEV(M$182, M$183, M$185, M$187)," ")/IF(M$182*M$183*M$185*M187&gt;0,SQRT(COUNT(M$182, M$183, M$185, M$187))," "),"")</f>
        <v/>
      </c>
      <c r="AR280" s="270" t="str">
        <f aca="false">IFERROR(IF(N$182*N$183*N$185*N187&gt;0,STDEV(N$182, N$183, N$185, N$187)," ")/IF(N$182*N$183*N$185*N187&gt;0,SQRT(COUNT(N$182, N$183, N$185, N$187))," "),"")</f>
        <v/>
      </c>
    </row>
    <row r="281" customFormat="false" ht="15.75" hidden="false" customHeight="false" outlineLevel="0" collapsed="false">
      <c r="A281" s="220" t="s">
        <v>506</v>
      </c>
      <c r="B281" s="221"/>
      <c r="C281" s="261" t="str">
        <f aca="false">IFERROR(IF(C$182*C$183*C$185*C$188&gt;0,AVERAGE(C$182, C$183, C$185, C$188),""),"")</f>
        <v/>
      </c>
      <c r="D281" s="261" t="str">
        <f aca="false">IFERROR(IF(D$182*D$183*D$185*D$188&gt;0,AVERAGE(D$182, D$183, D$185, D$188),""),"")</f>
        <v/>
      </c>
      <c r="E281" s="261" t="str">
        <f aca="false">IFERROR(IF(E$182*E$183*E$185*E$188&gt;0,AVERAGE(E$182, E$183, E$185, E$188),""),"")</f>
        <v/>
      </c>
      <c r="F281" s="261" t="str">
        <f aca="false">IFERROR(IF(F$182*F$183*F$185*F$188&gt;0,AVERAGE(F$182, F$183, F$185, F$188),""),"")</f>
        <v/>
      </c>
      <c r="G281" s="261" t="str">
        <f aca="false">IFERROR(IF(G$182*G$183*G$185*G$188&gt;0,AVERAGE(G$182, G$183, G$185, G$188),""),"")</f>
        <v/>
      </c>
      <c r="H281" s="261" t="str">
        <f aca="false">IFERROR(IF(H$182*H$183*H$185*H$188&gt;0,AVERAGE(H$182, H$183, H$185, H$188),""),"")</f>
        <v/>
      </c>
      <c r="I281" s="261" t="str">
        <f aca="false">IFERROR(IF(I$182*I$183*I$185*I$188&gt;0,AVERAGE(I$182, I$183, I$185, I$188),""),"")</f>
        <v/>
      </c>
      <c r="J281" s="261" t="str">
        <f aca="false">IFERROR(IF(J$182*J$183*J$185*J$188&gt;0,AVERAGE(J$182, J$183, J$185, J$188),""),"")</f>
        <v/>
      </c>
      <c r="K281" s="261" t="str">
        <f aca="false">IFERROR(IF(K$182*K$183*K$185*K$188&gt;0,AVERAGE(K$182, K$183, K$185, K$188),""),"")</f>
        <v/>
      </c>
      <c r="L281" s="261" t="str">
        <f aca="false">IFERROR(IF(L$182*L$183*L$185*L$188&gt;0,AVERAGE(L$182, L$183, L$185, L$188),""),"")</f>
        <v/>
      </c>
      <c r="M281" s="261" t="str">
        <f aca="false">IFERROR(IF(M$182*M$183*M$185*M$188&gt;0,AVERAGE(M$182, M$183, M$185, M$188),""),"")</f>
        <v/>
      </c>
      <c r="N281" s="261" t="str">
        <f aca="false">IFERROR(IF(N$182*N$183*N$185*N$188&gt;0,AVERAGE(N$182, N$183, N$185, N$188),""),"")</f>
        <v/>
      </c>
      <c r="O281" s="224"/>
      <c r="P281" s="224"/>
      <c r="Q281" s="232"/>
      <c r="R281" s="226" t="s">
        <v>507</v>
      </c>
      <c r="S281" s="227" t="str">
        <f aca="false">IFERROR(IF(C$182*C$183*C$185*C$188&gt;0,STDEV(C$182, C$183, C$185, C$188),"")/IF(C$182*C$183*C$185*C$188&gt;0,AVERAGE(C$182, C$183, C$185, C$188),""),"")</f>
        <v/>
      </c>
      <c r="T281" s="227" t="str">
        <f aca="false">IFERROR(IF(D$182*D$183*D$185*D$188&gt;0,STDEV(D$182, D$183, D$185, D$188),"")/IF(D$182*D$183*D$185*D$188&gt;0,AVERAGE(D$182, D$183, D$185, D$188),""),"")</f>
        <v/>
      </c>
      <c r="U281" s="227" t="str">
        <f aca="false">IFERROR(IF(E$182*E$183*E$185*E$188&gt;0,STDEV(E$182, E$183, E$185, E$188),"")/IF(E$182*E$183*E$185*E$188&gt;0,AVERAGE(E$182, E$183, E$185, E$188),""),"")</f>
        <v/>
      </c>
      <c r="V281" s="227" t="str">
        <f aca="false">IFERROR(IF(F$182*F$183*F$185*F$188&gt;0,STDEV(F$182, F$183, F$185, F$188),"")/IF(F$182*F$183*F$185*F$188&gt;0,AVERAGE(F$182, F$183, F$185, F$188),""),"")</f>
        <v/>
      </c>
      <c r="W281" s="227" t="str">
        <f aca="false">IFERROR(IF(G$182*G$183*G$185*G$188&gt;0,STDEV(G$182, G$183, G$185, G$188),"")/IF(G$182*G$183*G$185*G$188&gt;0,AVERAGE(G$182, G$183, G$185, G$188),""),"")</f>
        <v/>
      </c>
      <c r="X281" s="227" t="str">
        <f aca="false">IFERROR(IF(H$182*H$183*H$185*H$188&gt;0,STDEV(H$182, H$183, H$185, H$188),"")/IF(H$182*H$183*H$185*H$188&gt;0,AVERAGE(H$182, H$183, H$185, H$188),""),"")</f>
        <v/>
      </c>
      <c r="Y281" s="227" t="str">
        <f aca="false">IFERROR(IF(I$182*I$183*I$185*I$188&gt;0,STDEV(I$182, I$183, I$185, I$188),"")/IF(I$182*I$183*I$185*I$188&gt;0,AVERAGE(I$182, I$183, I$185, I$188),""),"")</f>
        <v/>
      </c>
      <c r="Z281" s="227" t="str">
        <f aca="false">IFERROR(IF(J$182*J$183*J$185*J$188&gt;0,STDEV(J$182, J$183, J$185, J$188),"")/IF(J$182*J$183*J$185*J$188&gt;0,AVERAGE(J$182, J$183, J$185, J$188),""),"")</f>
        <v/>
      </c>
      <c r="AA281" s="227" t="str">
        <f aca="false">IFERROR(IF(K$182*K$183*K$185*K$188&gt;0,STDEV(K$182, K$183, K$185, K$188),"")/IF(K$182*K$183*K$185*K$188&gt;0,AVERAGE(K$182, K$183, K$185, K$188),""),"")</f>
        <v/>
      </c>
      <c r="AB281" s="227" t="str">
        <f aca="false">IFERROR(IF(L$182*L$183*L$185*L$188&gt;0,STDEV(L$182, L$183, L$185, L$188),"")/IF(L$182*L$183*L$185*L$188&gt;0,AVERAGE(L$182, L$183, L$185, L$188),""),"")</f>
        <v/>
      </c>
      <c r="AC281" s="227" t="str">
        <f aca="false">IFERROR(IF(M$182*M$183*M$185*M$188&gt;0,STDEV(M$182, M$183, M$185, M$188),"")/IF(M$182*M$183*M$185*M$188&gt;0,AVERAGE(M$182, M$183, M$185, M$188),""),"")</f>
        <v/>
      </c>
      <c r="AD281" s="227" t="str">
        <f aca="false">IFERROR(IF(N$182*N$183*N$185*N$188&gt;0,STDEV(N$182, N$183, N$185, N$188),"")/IF(N$182*N$183*N$185*N$188&gt;0,AVERAGE(N$182, N$183, N$185, N$188),""),"")</f>
        <v/>
      </c>
      <c r="AE281" s="233"/>
      <c r="AF281" s="229" t="s">
        <v>508</v>
      </c>
      <c r="AG281" s="270" t="str">
        <f aca="false">IFERROR(IF(C$182*C$183*C$185*C$188&gt;0,STDEV(C$182, C$183, C$185, C$188)," ")/IF(C$182*C$183*C$185*C$188&gt;0,SQRT(COUNT(C$182, C$183, C$185, C$188))," "),"")</f>
        <v/>
      </c>
      <c r="AH281" s="270" t="str">
        <f aca="false">IFERROR(IF(D$182*D$183*D$185*D$188&gt;0,STDEV(D$182, D$183, D$185, D$188)," ")/IF(D$182*D$183*D$185*D$188&gt;0,SQRT(COUNT(D$182, D$183, D$185, D$188))," "),"")</f>
        <v/>
      </c>
      <c r="AI281" s="270" t="str">
        <f aca="false">IFERROR(IF(E$182*E$183*E$185*E$188&gt;0,STDEV(E$182, E$183, E$185, E$188)," ")/IF(E$182*E$183*E$185*E$188&gt;0,SQRT(COUNT(E$182, E$183, E$185, E$188))," "),"")</f>
        <v/>
      </c>
      <c r="AJ281" s="270" t="str">
        <f aca="false">IFERROR(IF(F$182*F$183*F$185*F$188&gt;0,STDEV(F$182, F$183, F$185, F$188)," ")/IF(F$182*F$183*F$185*F$188&gt;0,SQRT(COUNT(F$182, F$183, F$185, F$188))," "),"")</f>
        <v/>
      </c>
      <c r="AK281" s="270" t="str">
        <f aca="false">IFERROR(IF(G$182*G$183*G$185*G$188&gt;0,STDEV(G$182, G$183, G$185, G$188)," ")/IF(G$182*G$183*G$185*G$188&gt;0,SQRT(COUNT(G$182, G$183, G$185, G$188))," "),"")</f>
        <v/>
      </c>
      <c r="AL281" s="270" t="str">
        <f aca="false">IFERROR(IF(H$182*H$183*H$185*H$188&gt;0,STDEV(H$182, H$183, H$185, H$188)," ")/IF(H$182*H$183*H$185*H$188&gt;0,SQRT(COUNT(H$182, H$183, H$185, H$188))," "),"")</f>
        <v/>
      </c>
      <c r="AM281" s="270" t="str">
        <f aca="false">IFERROR(IF(I$182*I$183*I$185*I$188&gt;0,STDEV(I$182, I$183, I$185, I$188)," ")/IF(I$182*I$183*I$185*I$188&gt;0,SQRT(COUNT(I$182, I$183, I$185, I$188))," "),"")</f>
        <v/>
      </c>
      <c r="AN281" s="270" t="str">
        <f aca="false">IFERROR(IF(J$182*J$183*J$185*J$188&gt;0,STDEV(J$182, J$183, J$185, J$188)," ")/IF(J$182*J$183*J$185*J$188&gt;0,SQRT(COUNT(J$182, J$183, J$185, J$188))," "),"")</f>
        <v/>
      </c>
      <c r="AO281" s="270" t="str">
        <f aca="false">IFERROR(IF(K$182*K$183*K$185*K$188&gt;0,STDEV(K$182, K$183, K$185, K$188)," ")/IF(K$182*K$183*K$185*K$188&gt;0,SQRT(COUNT(K$182, K$183, K$185, K$188))," "),"")</f>
        <v/>
      </c>
      <c r="AP281" s="270" t="str">
        <f aca="false">IFERROR(IF(L$182*L$183*L$185*L$188&gt;0,STDEV(L$182, L$183, L$185, L$188)," ")/IF(L$182*L$183*L$185*L$188&gt;0,SQRT(COUNT(L$182, L$183, L$185, L$188))," "),"")</f>
        <v/>
      </c>
      <c r="AQ281" s="270" t="str">
        <f aca="false">IFERROR(IF(M$182*M$183*M$185*M$188&gt;0,STDEV(M$182, M$183, M$185, M$188)," ")/IF(M$182*M$183*M$185*M$188&gt;0,SQRT(COUNT(M$182, M$183, M$185, M$188))," "),"")</f>
        <v/>
      </c>
      <c r="AR281" s="270" t="str">
        <f aca="false">IFERROR(IF(N$182*N$183*N$185*N$188&gt;0,STDEV(N$182, N$183, N$185, N$188)," ")/IF(N$182*N$183*N$185*N$188&gt;0,SQRT(COUNT(N$182, N$183, N$185, N$188))," "),"")</f>
        <v/>
      </c>
    </row>
    <row r="282" customFormat="false" ht="15.75" hidden="false" customHeight="false" outlineLevel="0" collapsed="false">
      <c r="A282" s="220" t="s">
        <v>452</v>
      </c>
      <c r="B282" s="221"/>
      <c r="C282" s="261" t="str">
        <f aca="false">IFERROR(IF(C$182*C$183*C$184*C188&gt;0,AVERAGE(C$182, C$183, C$184, C$188),""),"")</f>
        <v/>
      </c>
      <c r="D282" s="261" t="str">
        <f aca="false">IFERROR(IF(D$182*D$183*D$184*D188&gt;0,AVERAGE(D$182, D$183, D$184, D$188),""),"")</f>
        <v/>
      </c>
      <c r="E282" s="261" t="str">
        <f aca="false">IFERROR(IF(E$182*E$183*E$184*E188&gt;0,AVERAGE(E$182, E$183, E$184, E$188),""),"")</f>
        <v/>
      </c>
      <c r="F282" s="261" t="str">
        <f aca="false">IFERROR(IF(F$182*F$183*F$184*F188&gt;0,AVERAGE(F$182, F$183, F$184, F$188),""),"")</f>
        <v/>
      </c>
      <c r="G282" s="261" t="str">
        <f aca="false">IFERROR(IF(G$182*G$183*G$184*G188&gt;0,AVERAGE(G$182, G$183, G$184, G$188),""),"")</f>
        <v/>
      </c>
      <c r="H282" s="261" t="str">
        <f aca="false">IFERROR(IF(H$182*H$183*H$184*H188&gt;0,AVERAGE(H$182, H$183, H$184, H$188),""),"")</f>
        <v/>
      </c>
      <c r="I282" s="261" t="str">
        <f aca="false">IFERROR(IF(I$182*I$183*I$184*I188&gt;0,AVERAGE(I$182, I$183, I$184, I$188),""),"")</f>
        <v/>
      </c>
      <c r="J282" s="261" t="str">
        <f aca="false">IFERROR(IF(J$182*J$183*J$184*J188&gt;0,AVERAGE(J$182, J$183, J$184, J$188),""),"")</f>
        <v/>
      </c>
      <c r="K282" s="261" t="str">
        <f aca="false">IFERROR(IF(K$182*K$183*K$184*K188&gt;0,AVERAGE(K$182, K$183, K$184, K$188),""),"")</f>
        <v/>
      </c>
      <c r="L282" s="261" t="str">
        <f aca="false">IFERROR(IF(L$182*L$183*L$184*L188&gt;0,AVERAGE(L$182, L$183, L$184, L$188),""),"")</f>
        <v/>
      </c>
      <c r="M282" s="261" t="str">
        <f aca="false">IFERROR(IF(M$182*M$183*M$184*M188&gt;0,AVERAGE(M$182, M$183, M$184, M$188),""),"")</f>
        <v/>
      </c>
      <c r="N282" s="261" t="str">
        <f aca="false">IFERROR(IF(N$182*N$183*N$184*N188&gt;0,AVERAGE(N$182, N$183, N$184, N$188),""),"")</f>
        <v/>
      </c>
      <c r="O282" s="224"/>
      <c r="P282" s="224"/>
      <c r="Q282" s="232"/>
      <c r="R282" s="226" t="s">
        <v>453</v>
      </c>
      <c r="S282" s="227" t="str">
        <f aca="false">IFERROR(IF(C$182*C$183*C$184*C188&gt;0,STDEV(C$182, C$183, C$184, C$188),"")/IF(C$182*C$183*C$184*C188&gt;0,AVERAGE(C$182, C$183, C$184, C$188),""),"")</f>
        <v/>
      </c>
      <c r="T282" s="227" t="str">
        <f aca="false">IFERROR(IF(D$182*D$183*D$184*D188&gt;0,STDEV(D$182, D$183, D$184, D$188),"")/IF(D$182*D$183*D$184*D188&gt;0,AVERAGE(D$182, D$183, D$184, D$188),""),"")</f>
        <v/>
      </c>
      <c r="U282" s="227" t="str">
        <f aca="false">IFERROR(IF(E$182*E$183*E$184*E188&gt;0,STDEV(E$182, E$183, E$184, E$188),"")/IF(E$182*E$183*E$184*E188&gt;0,AVERAGE(E$182, E$183, E$184, E$188),""),"")</f>
        <v/>
      </c>
      <c r="V282" s="227" t="str">
        <f aca="false">IFERROR(IF(F$182*F$183*F$184*F188&gt;0,STDEV(F$182, F$183, F$184, F$188),"")/IF(F$182*F$183*F$184*F188&gt;0,AVERAGE(F$182, F$183, F$184, F$188),""),"")</f>
        <v/>
      </c>
      <c r="W282" s="227" t="str">
        <f aca="false">IFERROR(IF(G$182*G$183*G$184*G188&gt;0,STDEV(G$182, G$183, G$184, G$188),"")/IF(G$182*G$183*G$184*G188&gt;0,AVERAGE(G$182, G$183, G$184, G$188),""),"")</f>
        <v/>
      </c>
      <c r="X282" s="227" t="str">
        <f aca="false">IFERROR(IF(H$182*H$183*H$184*H188&gt;0,STDEV(H$182, H$183, H$184, H$188),"")/IF(H$182*H$183*H$184*H188&gt;0,AVERAGE(H$182, H$183, H$184, H$188),""),"")</f>
        <v/>
      </c>
      <c r="Y282" s="227" t="str">
        <f aca="false">IFERROR(IF(I$182*I$183*I$184*I188&gt;0,STDEV(I$182, I$183, I$184, I$188),"")/IF(I$182*I$183*I$184*I188&gt;0,AVERAGE(I$182, I$183, I$184, I$188),""),"")</f>
        <v/>
      </c>
      <c r="Z282" s="227" t="str">
        <f aca="false">IFERROR(IF(J$182*J$183*J$184*J188&gt;0,STDEV(J$182, J$183, J$184, J$188),"")/IF(J$182*J$183*J$184*J188&gt;0,AVERAGE(J$182, J$183, J$184, J$188),""),"")</f>
        <v/>
      </c>
      <c r="AA282" s="227" t="str">
        <f aca="false">IFERROR(IF(K$182*K$183*K$184*K188&gt;0,STDEV(K$182, K$183, K$184, K$188),"")/IF(K$182*K$183*K$184*K188&gt;0,AVERAGE(K$182, K$183, K$184, K$188),""),"")</f>
        <v/>
      </c>
      <c r="AB282" s="227" t="str">
        <f aca="false">IFERROR(IF(L$182*L$183*L$184*L188&gt;0,STDEV(L$182, L$183, L$184, L$188),"")/IF(L$182*L$183*L$184*L188&gt;0,AVERAGE(L$182, L$183, L$184, L$188),""),"")</f>
        <v/>
      </c>
      <c r="AC282" s="227" t="str">
        <f aca="false">IFERROR(IF(M$182*M$183*M$184*M188&gt;0,STDEV(M$182, M$183, M$184, M$188),"")/IF(M$182*M$183*M$184*M188&gt;0,AVERAGE(M$182, M$183, M$184, M$188),""),"")</f>
        <v/>
      </c>
      <c r="AD282" s="227" t="str">
        <f aca="false">IFERROR(IF(N$182*N$183*N$184*N188&gt;0,STDEV(N$182, N$183, N$184, N$188),"")/IF(N$182*N$183*N$184*N188&gt;0,AVERAGE(N$182, N$183, N$184, N$188),""),"")</f>
        <v/>
      </c>
      <c r="AE282" s="233"/>
      <c r="AF282" s="229" t="s">
        <v>454</v>
      </c>
      <c r="AG282" s="270" t="str">
        <f aca="false">IFERROR(IF(C$182*C$183*C$184*C188&gt;0,STDEV(C$182, C$183, C$184, C$188)," ")/IF(C$182*C$183*C$184*C188&gt;0,SQRT(COUNT(C$182, C$183, C$184, C$188))," "),"")</f>
        <v/>
      </c>
      <c r="AH282" s="270" t="str">
        <f aca="false">IFERROR(IF(D$182*D$183*D$184*D188&gt;0,STDEV(D$182, D$183, D$184, D$188)," ")/IF(D$182*D$183*D$184*D188&gt;0,SQRT(COUNT(D$182, D$183, D$184, D$188))," "),"")</f>
        <v/>
      </c>
      <c r="AI282" s="270" t="str">
        <f aca="false">IFERROR(IF(E$182*E$183*E$184*E188&gt;0,STDEV(E$182, E$183, E$184, E$188)," ")/IF(E$182*E$183*E$184*E188&gt;0,SQRT(COUNT(E$182, E$183, E$184, E$188))," "),"")</f>
        <v/>
      </c>
      <c r="AJ282" s="270" t="str">
        <f aca="false">IFERROR(IF(F$182*F$183*F$184*F188&gt;0,STDEV(F$182, F$183, F$184, F$188)," ")/IF(F$182*F$183*F$184*F188&gt;0,SQRT(COUNT(F$182, F$183, F$184, F$188))," "),"")</f>
        <v/>
      </c>
      <c r="AK282" s="270" t="str">
        <f aca="false">IFERROR(IF(G$182*G$183*G$184*G188&gt;0,STDEV(G$182, G$183, G$184, G$188)," ")/IF(G$182*G$183*G$184*G188&gt;0,SQRT(COUNT(G$182, G$183, G$184, G$188))," "),"")</f>
        <v/>
      </c>
      <c r="AL282" s="270" t="str">
        <f aca="false">IFERROR(IF(H$182*H$183*H$184*H188&gt;0,STDEV(H$182, H$183, H$184, H$188)," ")/IF(H$182*H$183*H$184*H188&gt;0,SQRT(COUNT(H$182, H$183, H$184, H$188))," "),"")</f>
        <v/>
      </c>
      <c r="AM282" s="270" t="str">
        <f aca="false">IFERROR(IF(I$182*I$183*I$184*I188&gt;0,STDEV(I$182, I$183, I$184, I$188)," ")/IF(I$182*I$183*I$184*I188&gt;0,SQRT(COUNT(I$182, I$183, I$184, I$188))," "),"")</f>
        <v/>
      </c>
      <c r="AN282" s="270" t="str">
        <f aca="false">IFERROR(IF(J$182*J$183*J$184*J188&gt;0,STDEV(J$182, J$183, J$184, J$188)," ")/IF(J$182*J$183*J$184*J188&gt;0,SQRT(COUNT(J$182, J$183, J$184, J$188))," "),"")</f>
        <v/>
      </c>
      <c r="AO282" s="270" t="str">
        <f aca="false">IFERROR(IF(K$182*K$183*K$184*K188&gt;0,STDEV(K$182, K$183, K$184, K$188)," ")/IF(K$182*K$183*K$184*K188&gt;0,SQRT(COUNT(K$182, K$183, K$184, K$188))," "),"")</f>
        <v/>
      </c>
      <c r="AP282" s="270" t="str">
        <f aca="false">IFERROR(IF(L$182*L$183*L$184*L188&gt;0,STDEV(L$182, L$183, L$184, L$188)," ")/IF(L$182*L$183*L$184*L188&gt;0,SQRT(COUNT(L$182, L$183, L$184, L$188))," "),"")</f>
        <v/>
      </c>
      <c r="AQ282" s="270" t="str">
        <f aca="false">IFERROR(IF(M$182*M$183*M$184*M188&gt;0,STDEV(M$182, M$183, M$184, M$188)," ")/IF(M$182*M$183*M$184*M188&gt;0,SQRT(COUNT(M$182, M$183, M$184, M$188))," "),"")</f>
        <v/>
      </c>
      <c r="AR282" s="270" t="str">
        <f aca="false">IFERROR(IF(N$182*N$183*N$184*N188&gt;0,STDEV(N$182, N$183, N$184, N$188)," ")/IF(N$182*N$183*N$184*N188&gt;0,SQRT(COUNT(N$182, N$183, N$184, N$188))," "),"")</f>
        <v/>
      </c>
    </row>
    <row r="283" customFormat="false" ht="15.75" hidden="false" customHeight="false" outlineLevel="0" collapsed="false">
      <c r="A283" s="220" t="s">
        <v>509</v>
      </c>
      <c r="B283" s="221"/>
      <c r="C283" s="261" t="str">
        <f aca="false">IFERROR(IF(C$182*C$183*C$187*C$188&gt;0,AVERAGE(C$182, C$183, C$187, C$188),""),"")</f>
        <v/>
      </c>
      <c r="D283" s="261" t="str">
        <f aca="false">IFERROR(IF(D$182*D$183*D$187*D$188&gt;0,AVERAGE(D$182, D$183, D$187, D$188),""),"")</f>
        <v/>
      </c>
      <c r="E283" s="261" t="str">
        <f aca="false">IFERROR(IF(E$182*E$183*E$187*E$188&gt;0,AVERAGE(E$182, E$183, E$187, E$188),""),"")</f>
        <v/>
      </c>
      <c r="F283" s="261" t="str">
        <f aca="false">IFERROR(IF(F$182*F$183*F$187*F$188&gt;0,AVERAGE(F$182, F$183, F$187, F$188),""),"")</f>
        <v/>
      </c>
      <c r="G283" s="261" t="str">
        <f aca="false">IFERROR(IF(G$182*G$183*G$187*G$188&gt;0,AVERAGE(G$182, G$183, G$187, G$188),""),"")</f>
        <v/>
      </c>
      <c r="H283" s="261" t="str">
        <f aca="false">IFERROR(IF(H$182*H$183*H$187*H$188&gt;0,AVERAGE(H$182, H$183, H$187, H$188),""),"")</f>
        <v/>
      </c>
      <c r="I283" s="261" t="str">
        <f aca="false">IFERROR(IF(I$182*I$183*I$187*I$188&gt;0,AVERAGE(I$182, I$183, I$187, I$188),""),"")</f>
        <v/>
      </c>
      <c r="J283" s="261" t="str">
        <f aca="false">IFERROR(IF(J$182*J$183*J$187*J$188&gt;0,AVERAGE(J$182, J$183, J$187, J$188),""),"")</f>
        <v/>
      </c>
      <c r="K283" s="261" t="str">
        <f aca="false">IFERROR(IF(K$182*K$183*K$187*K$188&gt;0,AVERAGE(K$182, K$183, K$187, K$188),""),"")</f>
        <v/>
      </c>
      <c r="L283" s="261" t="str">
        <f aca="false">IFERROR(IF(L$182*L$183*L$187*L$188&gt;0,AVERAGE(L$182, L$183, L$187, L$188),""),"")</f>
        <v/>
      </c>
      <c r="M283" s="261" t="str">
        <f aca="false">IFERROR(IF(M$182*M$183*M$187*M$188&gt;0,AVERAGE(M$182, M$183, M$187, M$188),""),"")</f>
        <v/>
      </c>
      <c r="N283" s="261" t="str">
        <f aca="false">IFERROR(IF(N$182*N$183*N$187*N$188&gt;0,AVERAGE(N$182, N$183, N$187, N$188),""),"")</f>
        <v/>
      </c>
      <c r="O283" s="224"/>
      <c r="P283" s="224"/>
      <c r="Q283" s="232"/>
      <c r="R283" s="226" t="s">
        <v>510</v>
      </c>
      <c r="S283" s="227" t="str">
        <f aca="false">IFERROR(IF(C$182*C$183*C$187*C$188&gt;0,STDEV(C$182, C$183, C$187, C$188),"")/IF(C$182*C$183*C$187*C$188&gt;0,AVERAGE(C$182, C$183, C$187, C$188),""),"")</f>
        <v/>
      </c>
      <c r="T283" s="227" t="str">
        <f aca="false">IFERROR(IF(D$182*D$183*D$187*D$188&gt;0,STDEV(D$182, D$183, D$187, D$188),"")/IF(D$182*D$183*D$187*D$188&gt;0,AVERAGE(D$182, D$183, D$187, D$188),""),"")</f>
        <v/>
      </c>
      <c r="U283" s="227" t="str">
        <f aca="false">IFERROR(IF(E$182*E$183*E$187*E$188&gt;0,STDEV(E$182, E$183, E$187, E$188),"")/IF(E$182*E$183*E$187*E$188&gt;0,AVERAGE(E$182, E$183, E$187, E$188),""),"")</f>
        <v/>
      </c>
      <c r="V283" s="227" t="str">
        <f aca="false">IFERROR(IF(F$182*F$183*F$187*F$188&gt;0,STDEV(F$182, F$183, F$187, F$188),"")/IF(F$182*F$183*F$187*F$188&gt;0,AVERAGE(F$182, F$183, F$187, F$188),""),"")</f>
        <v/>
      </c>
      <c r="W283" s="227" t="str">
        <f aca="false">IFERROR(IF(G$182*G$183*G$187*G$188&gt;0,STDEV(G$182, G$183, G$187, G$188),"")/IF(G$182*G$183*G$187*G$188&gt;0,AVERAGE(G$182, G$183, G$187, G$188),""),"")</f>
        <v/>
      </c>
      <c r="X283" s="227" t="str">
        <f aca="false">IFERROR(IF(H$182*H$183*H$187*H$188&gt;0,STDEV(H$182, H$183, H$187, H$188),"")/IF(H$182*H$183*H$187*H$188&gt;0,AVERAGE(H$182, H$183, H$187, H$188),""),"")</f>
        <v/>
      </c>
      <c r="Y283" s="227" t="str">
        <f aca="false">IFERROR(IF(I$182*I$183*I$187*I$188&gt;0,STDEV(I$182, I$183, I$187, I$188),"")/IF(I$182*I$183*I$187*I$188&gt;0,AVERAGE(I$182, I$183, I$187, I$188),""),"")</f>
        <v/>
      </c>
      <c r="Z283" s="227" t="str">
        <f aca="false">IFERROR(IF(J$182*J$183*J$187*J$188&gt;0,STDEV(J$182, J$183, J$187, J$188),"")/IF(J$182*J$183*J$187*J$188&gt;0,AVERAGE(J$182, J$183, J$187, J$188),""),"")</f>
        <v/>
      </c>
      <c r="AA283" s="227" t="str">
        <f aca="false">IFERROR(IF(K$182*K$183*K$187*K$188&gt;0,STDEV(K$182, K$183, K$187, K$188),"")/IF(K$182*K$183*K$187*K$188&gt;0,AVERAGE(K$182, K$183, K$187, K$188),""),"")</f>
        <v/>
      </c>
      <c r="AB283" s="227" t="str">
        <f aca="false">IFERROR(IF(L$182*L$183*L$187*L$188&gt;0,STDEV(L$182, L$183, L$187, L$188),"")/IF(L$182*L$183*L$187*L$188&gt;0,AVERAGE(L$182, L$183, L$187, L$188),""),"")</f>
        <v/>
      </c>
      <c r="AC283" s="227" t="str">
        <f aca="false">IFERROR(IF(M$182*M$183*M$187*M$188&gt;0,STDEV(M$182, M$183, M$187, M$188),"")/IF(M$182*M$183*M$187*M$188&gt;0,AVERAGE(M$182, M$183, M$187, M$188),""),"")</f>
        <v/>
      </c>
      <c r="AD283" s="227" t="str">
        <f aca="false">IFERROR(IF(N$182*N$183*N$187*N$188&gt;0,STDEV(N$182, N$183, N$187, N$188),"")/IF(N$182*N$183*N$187*N$188&gt;0,AVERAGE(N$182, N$183, N$187, N$188),""),"")</f>
        <v/>
      </c>
      <c r="AE283" s="233"/>
      <c r="AF283" s="229" t="s">
        <v>511</v>
      </c>
      <c r="AG283" s="270" t="str">
        <f aca="false">IFERROR(IF(C$182*C$183*C$187*C$188&gt;0,STDEV(C$182, C$183, C$187, C$188)," ")/IF(C$182*C$183*C$187*C$188&gt;0,SQRT(COUNT(C$182, C$183, C$187, C$188))," "),"")</f>
        <v/>
      </c>
      <c r="AH283" s="270" t="str">
        <f aca="false">IFERROR(IF(D$182*D$183*D$187*D$188&gt;0,STDEV(D$182, D$183, D$187, D$188)," ")/IF(D$182*D$183*D$187*D$188&gt;0,SQRT(COUNT(D$182, D$183, D$187, D$188))," "),"")</f>
        <v/>
      </c>
      <c r="AI283" s="270" t="str">
        <f aca="false">IFERROR(IF(E$182*E$183*E$187*E$188&gt;0,STDEV(E$182, E$183, E$187, E$188)," ")/IF(E$182*E$183*E$187*E$188&gt;0,SQRT(COUNT(E$182, E$183, E$187, E$188))," "),"")</f>
        <v/>
      </c>
      <c r="AJ283" s="270" t="str">
        <f aca="false">IFERROR(IF(F$182*F$183*F$187*F$188&gt;0,STDEV(F$182, F$183, F$187, F$188)," ")/IF(F$182*F$183*F$187*F$188&gt;0,SQRT(COUNT(F$182, F$183, F$187, F$188))," "),"")</f>
        <v/>
      </c>
      <c r="AK283" s="270" t="str">
        <f aca="false">IFERROR(IF(G$182*G$183*G$187*G$188&gt;0,STDEV(G$182, G$183, G$187, G$188)," ")/IF(G$182*G$183*G$187*G$188&gt;0,SQRT(COUNT(G$182, G$183, G$187, G$188))," "),"")</f>
        <v/>
      </c>
      <c r="AL283" s="270" t="str">
        <f aca="false">IFERROR(IF(H$182*H$183*H$187*H$188&gt;0,STDEV(H$182, H$183, H$187, H$188)," ")/IF(H$182*H$183*H$187*H$188&gt;0,SQRT(COUNT(H$182, H$183, H$187, H$188))," "),"")</f>
        <v/>
      </c>
      <c r="AM283" s="270" t="str">
        <f aca="false">IFERROR(IF(I$182*I$183*I$187*I$188&gt;0,STDEV(I$182, I$183, I$187, I$188)," ")/IF(I$182*I$183*I$187*I$188&gt;0,SQRT(COUNT(I$182, I$183, I$187, I$188))," "),"")</f>
        <v/>
      </c>
      <c r="AN283" s="270" t="str">
        <f aca="false">IFERROR(IF(J$182*J$183*J$187*J$188&gt;0,STDEV(J$182, J$183, J$187, J$188)," ")/IF(J$182*J$183*J$187*J$188&gt;0,SQRT(COUNT(J$182, J$183, J$187, J$188))," "),"")</f>
        <v/>
      </c>
      <c r="AO283" s="270" t="str">
        <f aca="false">IFERROR(IF(K$182*K$183*K$187*K$188&gt;0,STDEV(K$182, K$183, K$187, K$188)," ")/IF(K$182*K$183*K$187*K$188&gt;0,SQRT(COUNT(K$182, K$183, K$187, K$188))," "),"")</f>
        <v/>
      </c>
      <c r="AP283" s="270" t="str">
        <f aca="false">IFERROR(IF(L$182*L$183*L$187*L$188&gt;0,STDEV(L$182, L$183, L$187, L$188)," ")/IF(L$182*L$183*L$187*L$188&gt;0,SQRT(COUNT(L$182, L$183, L$187, L$188))," "),"")</f>
        <v/>
      </c>
      <c r="AQ283" s="270" t="str">
        <f aca="false">IFERROR(IF(M$182*M$183*M$187*M$188&gt;0,STDEV(M$182, M$183, M$187, M$188)," ")/IF(M$182*M$183*M$187*M$188&gt;0,SQRT(COUNT(M$182, M$183, M$187, M$188))," "),"")</f>
        <v/>
      </c>
      <c r="AR283" s="270" t="str">
        <f aca="false">IFERROR(IF(N$182*N$183*N$187*N$188&gt;0,STDEV(N$182, N$183, N$187, N$188)," ")/IF(N$182*N$183*N$187*N$188&gt;0,SQRT(COUNT(N$182, N$183, N$187, N$188))," "),"")</f>
        <v/>
      </c>
    </row>
    <row r="284" customFormat="false" ht="15.75" hidden="false" customHeight="false" outlineLevel="0" collapsed="false">
      <c r="A284" s="220" t="s">
        <v>512</v>
      </c>
      <c r="B284" s="221"/>
      <c r="C284" s="261" t="str">
        <f aca="false">IFERROR(IF(C$182*C$184*C$187*C$188&gt;0,AVERAGE(C$182, C$184, C$187, C$188),""),"")</f>
        <v/>
      </c>
      <c r="D284" s="261" t="str">
        <f aca="false">IFERROR(IF(D$182*D$184*D$187*D$188&gt;0,AVERAGE(D$182, D$184, D$187, D$188),""),"")</f>
        <v/>
      </c>
      <c r="E284" s="261" t="str">
        <f aca="false">IFERROR(IF(E$182*E$184*E$187*E$188&gt;0,AVERAGE(E$182, E$184, E$187, E$188),""),"")</f>
        <v/>
      </c>
      <c r="F284" s="261" t="str">
        <f aca="false">IFERROR(IF(F$182*F$184*F$187*F$188&gt;0,AVERAGE(F$182, F$184, F$187, F$188),""),"")</f>
        <v/>
      </c>
      <c r="G284" s="261" t="str">
        <f aca="false">IFERROR(IF(G$182*G$184*G$187*G$188&gt;0,AVERAGE(G$182, G$184, G$187, G$188),""),"")</f>
        <v/>
      </c>
      <c r="H284" s="261" t="str">
        <f aca="false">IFERROR(IF(H$182*H$184*H$187*H$188&gt;0,AVERAGE(H$182, H$184, H$187, H$188),""),"")</f>
        <v/>
      </c>
      <c r="I284" s="261" t="str">
        <f aca="false">IFERROR(IF(I$182*I$184*I$187*I$188&gt;0,AVERAGE(I$182, I$184, I$187, I$188),""),"")</f>
        <v/>
      </c>
      <c r="J284" s="261" t="str">
        <f aca="false">IFERROR(IF(J$182*J$184*J$187*J$188&gt;0,AVERAGE(J$182, J$184, J$187, J$188),""),"")</f>
        <v/>
      </c>
      <c r="K284" s="261" t="str">
        <f aca="false">IFERROR(IF(K$182*K$184*K$187*K$188&gt;0,AVERAGE(K$182, K$184, K$187, K$188),""),"")</f>
        <v/>
      </c>
      <c r="L284" s="261" t="str">
        <f aca="false">IFERROR(IF(L$182*L$184*L$187*L$188&gt;0,AVERAGE(L$182, L$184, L$187, L$188),""),"")</f>
        <v/>
      </c>
      <c r="M284" s="261" t="str">
        <f aca="false">IFERROR(IF(M$182*M$184*M$187*M$188&gt;0,AVERAGE(M$182, M$184, M$187, M$188),""),"")</f>
        <v/>
      </c>
      <c r="N284" s="261" t="str">
        <f aca="false">IFERROR(IF(N$182*N$184*N$187*N$188&gt;0,AVERAGE(N$182, N$184, N$187, N$188),""),"")</f>
        <v/>
      </c>
      <c r="O284" s="224"/>
      <c r="P284" s="224"/>
      <c r="Q284" s="232"/>
      <c r="R284" s="226" t="s">
        <v>513</v>
      </c>
      <c r="S284" s="227" t="str">
        <f aca="false">IFERROR(IF(C$182*C$184*C$187*C$188&gt;0,STDEV(C$182, C$184, C$187, C$188),"")/IF(C$182*C$184*C$187*C$188&gt;0,AVERAGE(C$182, C$184, C$187, C$188),""),"")</f>
        <v/>
      </c>
      <c r="T284" s="227" t="str">
        <f aca="false">IFERROR(IF(D$182*D$184*D$187*D$188&gt;0,STDEV(D$182, D$184, D$187, D$188),"")/IF(D$182*D$184*D$187*D$188&gt;0,AVERAGE(D$182, D$184, D$187, D$188),""),"")</f>
        <v/>
      </c>
      <c r="U284" s="227" t="str">
        <f aca="false">IFERROR(IF(E$182*E$184*E$187*E$188&gt;0,STDEV(E$182, E$184, E$187, E$188),"")/IF(E$182*E$184*E$187*E$188&gt;0,AVERAGE(E$182, E$184, E$187, E$188),""),"")</f>
        <v/>
      </c>
      <c r="V284" s="227" t="str">
        <f aca="false">IFERROR(IF(F$182*F$184*F$187*F$188&gt;0,STDEV(F$182, F$184, F$187, F$188),"")/IF(F$182*F$184*F$187*F$188&gt;0,AVERAGE(F$182, F$184, F$187, F$188),""),"")</f>
        <v/>
      </c>
      <c r="W284" s="227" t="str">
        <f aca="false">IFERROR(IF(G$182*G$184*G$187*G$188&gt;0,STDEV(G$182, G$184, G$187, G$188),"")/IF(G$182*G$184*G$187*G$188&gt;0,AVERAGE(G$182, G$184, G$187, G$188),""),"")</f>
        <v/>
      </c>
      <c r="X284" s="227" t="str">
        <f aca="false">IFERROR(IF(H$182*H$184*H$187*H$188&gt;0,STDEV(H$182, H$184, H$187, H$188),"")/IF(H$182*H$184*H$187*H$188&gt;0,AVERAGE(H$182, H$184, H$187, H$188),""),"")</f>
        <v/>
      </c>
      <c r="Y284" s="227" t="str">
        <f aca="false">IFERROR(IF(I$182*I$184*I$187*I$188&gt;0,STDEV(I$182, I$184, I$187, I$188),"")/IF(I$182*I$184*I$187*I$188&gt;0,AVERAGE(I$182, I$184, I$187, I$188),""),"")</f>
        <v/>
      </c>
      <c r="Z284" s="227" t="str">
        <f aca="false">IFERROR(IF(J$182*J$184*J$187*J$188&gt;0,STDEV(J$182, J$184, J$187, J$188),"")/IF(J$182*J$184*J$187*J$188&gt;0,AVERAGE(J$182, J$184, J$187, J$188),""),"")</f>
        <v/>
      </c>
      <c r="AA284" s="227" t="str">
        <f aca="false">IFERROR(IF(K$182*K$184*K$187*K$188&gt;0,STDEV(K$182, K$184, K$187, K$188),"")/IF(K$182*K$184*K$187*K$188&gt;0,AVERAGE(K$182, K$184, K$187, K$188),""),"")</f>
        <v/>
      </c>
      <c r="AB284" s="227" t="str">
        <f aca="false">IFERROR(IF(L$182*L$184*L$187*L$188&gt;0,STDEV(L$182, L$184, L$187, L$188),"")/IF(L$182*L$184*L$187*L$188&gt;0,AVERAGE(L$182, L$184, L$187, L$188),""),"")</f>
        <v/>
      </c>
      <c r="AC284" s="227" t="str">
        <f aca="false">IFERROR(IF(M$182*M$184*M$187*M$188&gt;0,STDEV(M$182, M$184, M$187, M$188),"")/IF(M$182*M$184*M$187*M$188&gt;0,AVERAGE(M$182, M$184, M$187, M$188),""),"")</f>
        <v/>
      </c>
      <c r="AD284" s="227" t="str">
        <f aca="false">IFERROR(IF(N$182*N$184*N$187*N$188&gt;0,STDEV(N$182, N$184, N$187, N$188),"")/IF(N$182*N$184*N$187*N$188&gt;0,AVERAGE(N$182, N$184, N$187, N$188),""),"")</f>
        <v/>
      </c>
      <c r="AE284" s="233"/>
      <c r="AF284" s="229" t="s">
        <v>514</v>
      </c>
      <c r="AG284" s="270" t="str">
        <f aca="false">IFERROR(IF(C$182*C$184*C$187*C$188&gt;0,STDEV(C$182, C$184, C$187, C$188)," ")/IF(C$182*C$184*C$187*C$188&gt;0,SQRT(COUNT(C$182, C$184, C$187, C$188))," "),"")</f>
        <v/>
      </c>
      <c r="AH284" s="270" t="str">
        <f aca="false">IFERROR(IF(D$182*D$184*D$187*D$188&gt;0,STDEV(D$182, D$184, D$187, D$188)," ")/IF(D$182*D$184*D$187*D$188&gt;0,SQRT(COUNT(D$182, D$184, D$187, D$188))," "),"")</f>
        <v/>
      </c>
      <c r="AI284" s="270" t="str">
        <f aca="false">IFERROR(IF(E$182*E$184*E$187*E$188&gt;0,STDEV(E$182, E$184, E$187, E$188)," ")/IF(E$182*E$184*E$187*E$188&gt;0,SQRT(COUNT(E$182, E$184, E$187, E$188))," "),"")</f>
        <v/>
      </c>
      <c r="AJ284" s="270" t="str">
        <f aca="false">IFERROR(IF(F$182*F$184*F$187*F$188&gt;0,STDEV(F$182, F$184, F$187, F$188)," ")/IF(F$182*F$184*F$187*F$188&gt;0,SQRT(COUNT(F$182, F$184, F$187, F$188))," "),"")</f>
        <v/>
      </c>
      <c r="AK284" s="270" t="str">
        <f aca="false">IFERROR(IF(G$182*G$184*G$187*G$188&gt;0,STDEV(G$182, G$184, G$187, G$188)," ")/IF(G$182*G$184*G$187*G$188&gt;0,SQRT(COUNT(G$182, G$184, G$187, G$188))," "),"")</f>
        <v/>
      </c>
      <c r="AL284" s="270" t="str">
        <f aca="false">IFERROR(IF(H$182*H$184*H$187*H$188&gt;0,STDEV(H$182, H$184, H$187, H$188)," ")/IF(H$182*H$184*H$187*H$188&gt;0,SQRT(COUNT(H$182, H$184, H$187, H$188))," "),"")</f>
        <v/>
      </c>
      <c r="AM284" s="270" t="str">
        <f aca="false">IFERROR(IF(I$182*I$184*I$187*I$188&gt;0,STDEV(I$182, I$184, I$187, I$188)," ")/IF(I$182*I$184*I$187*I$188&gt;0,SQRT(COUNT(I$182, I$184, I$187, I$188))," "),"")</f>
        <v/>
      </c>
      <c r="AN284" s="270" t="str">
        <f aca="false">IFERROR(IF(J$182*J$184*J$187*J$188&gt;0,STDEV(J$182, J$184, J$187, J$188)," ")/IF(J$182*J$184*J$187*J$188&gt;0,SQRT(COUNT(J$182, J$184, J$187, J$188))," "),"")</f>
        <v/>
      </c>
      <c r="AO284" s="270" t="str">
        <f aca="false">IFERROR(IF(K$182*K$184*K$187*K$188&gt;0,STDEV(K$182, K$184, K$187, K$188)," ")/IF(K$182*K$184*K$187*K$188&gt;0,SQRT(COUNT(K$182, K$184, K$187, K$188))," "),"")</f>
        <v/>
      </c>
      <c r="AP284" s="270" t="str">
        <f aca="false">IFERROR(IF(L$182*L$184*L$187*L$188&gt;0,STDEV(L$182, L$184, L$187, L$188)," ")/IF(L$182*L$184*L$187*L$188&gt;0,SQRT(COUNT(L$182, L$184, L$187, L$188))," "),"")</f>
        <v/>
      </c>
      <c r="AQ284" s="270" t="str">
        <f aca="false">IFERROR(IF(M$182*M$184*M$187*M$188&gt;0,STDEV(M$182, M$184, M$187, M$188)," ")/IF(M$182*M$184*M$187*M$188&gt;0,SQRT(COUNT(M$182, M$184, M$187, M$188))," "),"")</f>
        <v/>
      </c>
      <c r="AR284" s="270" t="str">
        <f aca="false">IFERROR(IF(N$182*N$184*N$187*N$188&gt;0,STDEV(N$182, N$184, N$187, N$188)," ")/IF(N$182*N$184*N$187*N$188&gt;0,SQRT(COUNT(N$182, N$184, N$187, N$188))," "),"")</f>
        <v/>
      </c>
    </row>
    <row r="285" customFormat="false" ht="15.75" hidden="false" customHeight="false" outlineLevel="0" collapsed="false">
      <c r="A285" s="220" t="s">
        <v>515</v>
      </c>
      <c r="B285" s="221"/>
      <c r="C285" s="261" t="str">
        <f aca="false">IFERROR(IF(C$186*C$187*C$188*C182&gt;0,AVERAGE(C$186:C$188, C182),""),"")</f>
        <v/>
      </c>
      <c r="D285" s="261" t="str">
        <f aca="false">IFERROR(IF(D$186*D$187*D$188*D182&gt;0,AVERAGE(D$186:D$188, D182),""),"")</f>
        <v/>
      </c>
      <c r="E285" s="261" t="str">
        <f aca="false">IFERROR(IF(E$186*E$187*E$188*E182&gt;0,AVERAGE(E$186:E$188, E182),""),"")</f>
        <v/>
      </c>
      <c r="F285" s="261" t="str">
        <f aca="false">IFERROR(IF(F$186*F$187*F$188*F182&gt;0,AVERAGE(F$186:F$188, F182),""),"")</f>
        <v/>
      </c>
      <c r="G285" s="261" t="str">
        <f aca="false">IFERROR(IF(G$186*G$187*G$188*G182&gt;0,AVERAGE(G$186:G$188, G182),""),"")</f>
        <v/>
      </c>
      <c r="H285" s="261" t="str">
        <f aca="false">IFERROR(IF(H$186*H$187*H$188*H182&gt;0,AVERAGE(H$186:H$188, H182),""),"")</f>
        <v/>
      </c>
      <c r="I285" s="261" t="str">
        <f aca="false">IFERROR(IF(I$186*I$187*I$188*I182&gt;0,AVERAGE(I$186:I$188, I182),""),"")</f>
        <v/>
      </c>
      <c r="J285" s="261" t="str">
        <f aca="false">IFERROR(IF(J$186*J$187*J$188*J182&gt;0,AVERAGE(J$186:J$188, J182),""),"")</f>
        <v/>
      </c>
      <c r="K285" s="261" t="str">
        <f aca="false">IFERROR(IF(K$186*K$187*K$188*K182&gt;0,AVERAGE(K$186:K$188, K182),""),"")</f>
        <v/>
      </c>
      <c r="L285" s="261" t="str">
        <f aca="false">IFERROR(IF(L$186*L$187*L$188*L182&gt;0,AVERAGE(L$186:L$188, L182),""),"")</f>
        <v/>
      </c>
      <c r="M285" s="261" t="str">
        <f aca="false">IFERROR(IF(M$186*M$187*M$188*M182&gt;0,AVERAGE(M$186:M$188, M182),""),"")</f>
        <v/>
      </c>
      <c r="N285" s="261" t="str">
        <f aca="false">IFERROR(IF(N$186*N$187*N$188*N182&gt;0,AVERAGE(N$186:N$188, N182),""),"")</f>
        <v/>
      </c>
      <c r="O285" s="224"/>
      <c r="P285" s="224"/>
      <c r="Q285" s="232"/>
      <c r="R285" s="226" t="s">
        <v>516</v>
      </c>
      <c r="S285" s="227" t="str">
        <f aca="false">IFERROR(IF(C$186*C$187*C$188*C182&gt;0,STDEV(C$186:C$188, C182),"")/IF(C$186*C$187*C$188*C182&gt;0,AVERAGE(C$186:C$188, C182),""),"")</f>
        <v/>
      </c>
      <c r="T285" s="227" t="str">
        <f aca="false">IFERROR(IF(D$186*D$187*D$188*D182&gt;0,STDEV(D$186:D$188, D182),"")/IF(D$186*D$187*D$188*D182&gt;0,AVERAGE(D$186:D$188, D182),""),"")</f>
        <v/>
      </c>
      <c r="U285" s="227" t="str">
        <f aca="false">IFERROR(IF(E$186*E$187*E$188*E182&gt;0,STDEV(E$186:E$188, E182),"")/IF(E$186*E$187*E$188*E182&gt;0,AVERAGE(E$186:E$188, E182),""),"")</f>
        <v/>
      </c>
      <c r="V285" s="227" t="str">
        <f aca="false">IFERROR(IF(F$186*F$187*F$188*F182&gt;0,STDEV(F$186:F$188, F182),"")/IF(F$186*F$187*F$188*F182&gt;0,AVERAGE(F$186:F$188, F182),""),"")</f>
        <v/>
      </c>
      <c r="W285" s="227" t="str">
        <f aca="false">IFERROR(IF(G$186*G$187*G$188*G182&gt;0,STDEV(G$186:G$188, G182),"")/IF(G$186*G$187*G$188*G182&gt;0,AVERAGE(G$186:G$188, G182),""),"")</f>
        <v/>
      </c>
      <c r="X285" s="227" t="str">
        <f aca="false">IFERROR(IF(H$186*H$187*H$188*H182&gt;0,STDEV(H$186:H$188, H182),"")/IF(H$186*H$187*H$188*H182&gt;0,AVERAGE(H$186:H$188, H182),""),"")</f>
        <v/>
      </c>
      <c r="Y285" s="227" t="str">
        <f aca="false">IFERROR(IF(I$186*I$187*I$188*I182&gt;0,STDEV(I$186:I$188, I182),"")/IF(I$186*I$187*I$188*I182&gt;0,AVERAGE(I$186:I$188, I182),""),"")</f>
        <v/>
      </c>
      <c r="Z285" s="227" t="str">
        <f aca="false">IFERROR(IF(J$186*J$187*J$188*J182&gt;0,STDEV(J$186:J$188, J182),"")/IF(J$186*J$187*J$188*J182&gt;0,AVERAGE(J$186:J$188, J182),""),"")</f>
        <v/>
      </c>
      <c r="AA285" s="227" t="str">
        <f aca="false">IFERROR(IF(K$186*K$187*K$188*K182&gt;0,STDEV(K$186:K$188, K182),"")/IF(K$186*K$187*K$188*K182&gt;0,AVERAGE(K$186:K$188, K182),""),"")</f>
        <v/>
      </c>
      <c r="AB285" s="227" t="str">
        <f aca="false">IFERROR(IF(L$186*L$187*L$188*L182&gt;0,STDEV(L$186:L$188, L182),"")/IF(L$186*L$187*L$188*L182&gt;0,AVERAGE(L$186:L$188, L182),""),"")</f>
        <v/>
      </c>
      <c r="AC285" s="227" t="str">
        <f aca="false">IFERROR(IF(M$186*M$187*M$188*M182&gt;0,STDEV(M$186:M$188, M182),"")/IF(M$186*M$187*M$188*M182&gt;0,AVERAGE(M$186:M$188, M182),""),"")</f>
        <v/>
      </c>
      <c r="AD285" s="227" t="str">
        <f aca="false">IFERROR(IF(N$186*N$187*N$188*N182&gt;0,STDEV(N$186:N$188, N182),"")/IF(N$186*N$187*N$188*N182&gt;0,AVERAGE(N$186:N$188, N182),""),"")</f>
        <v/>
      </c>
      <c r="AE285" s="233"/>
      <c r="AF285" s="229" t="s">
        <v>517</v>
      </c>
      <c r="AG285" s="270" t="str">
        <f aca="false">IFERROR(IF(C$186*C$187*C$188*C182&gt;0,STDEV(C$186:C$188, C182)," ")/IF(C$186*C$187*C$188*C182&gt;0,SQRT(COUNT(C$186:C$188, C182))," "),"")</f>
        <v/>
      </c>
      <c r="AH285" s="270" t="str">
        <f aca="false">IFERROR(IF(D$186*D$187*D$188*D182&gt;0,STDEV(D$186:D$188, D182)," ")/IF(D$186*D$187*D$188*D182&gt;0,SQRT(COUNT(D$186:D$188, D182))," "),"")</f>
        <v/>
      </c>
      <c r="AI285" s="270" t="str">
        <f aca="false">IFERROR(IF(E$186*E$187*E$188*E182&gt;0,STDEV(E$186:E$188, E182)," ")/IF(E$186*E$187*E$188*E182&gt;0,SQRT(COUNT(E$186:E$188, E182))," "),"")</f>
        <v/>
      </c>
      <c r="AJ285" s="270" t="str">
        <f aca="false">IFERROR(IF(F$186*F$187*F$188*F182&gt;0,STDEV(F$186:F$188, F182)," ")/IF(F$186*F$187*F$188*F182&gt;0,SQRT(COUNT(F$186:F$188, F182))," "),"")</f>
        <v/>
      </c>
      <c r="AK285" s="270" t="str">
        <f aca="false">IFERROR(IF(G$186*G$187*G$188*G182&gt;0,STDEV(G$186:G$188, G182)," ")/IF(G$186*G$187*G$188*G182&gt;0,SQRT(COUNT(G$186:G$188, G182))," "),"")</f>
        <v/>
      </c>
      <c r="AL285" s="270" t="str">
        <f aca="false">IFERROR(IF(H$186*H$187*H$188*H182&gt;0,STDEV(H$186:H$188, H182)," ")/IF(H$186*H$187*H$188*H182&gt;0,SQRT(COUNT(H$186:H$188, H182))," "),"")</f>
        <v/>
      </c>
      <c r="AM285" s="270" t="str">
        <f aca="false">IFERROR(IF(I$186*I$187*I$188*I182&gt;0,STDEV(I$186:I$188, I182)," ")/IF(I$186*I$187*I$188*I182&gt;0,SQRT(COUNT(I$186:I$188, I182))," "),"")</f>
        <v/>
      </c>
      <c r="AN285" s="270" t="str">
        <f aca="false">IFERROR(IF(J$186*J$187*J$188*J182&gt;0,STDEV(J$186:J$188, J182)," ")/IF(J$186*J$187*J$188*J182&gt;0,SQRT(COUNT(J$186:J$188, J182))," "),"")</f>
        <v/>
      </c>
      <c r="AO285" s="270" t="str">
        <f aca="false">IFERROR(IF(K$186*K$187*K$188*K182&gt;0,STDEV(K$186:K$188, K182)," ")/IF(K$186*K$187*K$188*K182&gt;0,SQRT(COUNT(K$186:K$188, K182))," "),"")</f>
        <v/>
      </c>
      <c r="AP285" s="270" t="str">
        <f aca="false">IFERROR(IF(L$186*L$187*L$188*L182&gt;0,STDEV(L$186:L$188, L182)," ")/IF(L$186*L$187*L$188*L182&gt;0,SQRT(COUNT(L$186:L$188, L182))," "),"")</f>
        <v/>
      </c>
      <c r="AQ285" s="270" t="str">
        <f aca="false">IFERROR(IF(M$186*M$187*M$188*M182&gt;0,STDEV(M$186:M$188, M182)," ")/IF(M$186*M$187*M$188*M182&gt;0,SQRT(COUNT(M$186:M$188, M182))," "),"")</f>
        <v/>
      </c>
      <c r="AR285" s="270" t="str">
        <f aca="false">IFERROR(IF(N$186*N$187*N$188*N182&gt;0,STDEV(N$186:N$188, N182)," ")/IF(N$186*N$187*N$188*N182&gt;0,SQRT(COUNT(N$186:N$188, N182))," "),"")</f>
        <v/>
      </c>
    </row>
    <row r="286" customFormat="false" ht="15.75" hidden="false" customHeight="false" outlineLevel="0" collapsed="false">
      <c r="A286" s="220" t="s">
        <v>518</v>
      </c>
      <c r="B286" s="221"/>
      <c r="C286" s="261" t="str">
        <f aca="false">IFERROR(IF(C$186*C$187*C$188*C183&gt;0,AVERAGE(C$186:C$188, C183),""),"")</f>
        <v/>
      </c>
      <c r="D286" s="261" t="str">
        <f aca="false">IFERROR(IF(D$186*D$187*D$188*D183&gt;0,AVERAGE(D$186:D$188, D183),""),"")</f>
        <v/>
      </c>
      <c r="E286" s="261" t="str">
        <f aca="false">IFERROR(IF(E$186*E$187*E$188*E183&gt;0,AVERAGE(E$186:E$188, E183),""),"")</f>
        <v/>
      </c>
      <c r="F286" s="261" t="str">
        <f aca="false">IFERROR(IF(F$186*F$187*F$188*F183&gt;0,AVERAGE(F$186:F$188, F183),""),"")</f>
        <v/>
      </c>
      <c r="G286" s="261" t="str">
        <f aca="false">IFERROR(IF(G$186*G$187*G$188*G183&gt;0,AVERAGE(G$186:G$188, G183),""),"")</f>
        <v/>
      </c>
      <c r="H286" s="261" t="str">
        <f aca="false">IFERROR(IF(H$186*H$187*H$188*H183&gt;0,AVERAGE(H$186:H$188, H183),""),"")</f>
        <v/>
      </c>
      <c r="I286" s="261" t="str">
        <f aca="false">IFERROR(IF(I$186*I$187*I$188*I183&gt;0,AVERAGE(I$186:I$188, I183),""),"")</f>
        <v/>
      </c>
      <c r="J286" s="261" t="str">
        <f aca="false">IFERROR(IF(J$186*J$187*J$188*J183&gt;0,AVERAGE(J$186:J$188, J183),""),"")</f>
        <v/>
      </c>
      <c r="K286" s="261" t="str">
        <f aca="false">IFERROR(IF(K$186*K$187*K$188*K183&gt;0,AVERAGE(K$186:K$188, K183),""),"")</f>
        <v/>
      </c>
      <c r="L286" s="261" t="str">
        <f aca="false">IFERROR(IF(L$186*L$187*L$188*L183&gt;0,AVERAGE(L$186:L$188, L183),""),"")</f>
        <v/>
      </c>
      <c r="M286" s="261" t="str">
        <f aca="false">IFERROR(IF(M$186*M$187*M$188*M183&gt;0,AVERAGE(M$186:M$188, M183),""),"")</f>
        <v/>
      </c>
      <c r="N286" s="261" t="str">
        <f aca="false">IFERROR(IF(N$186*N$187*N$188*N183&gt;0,AVERAGE(N$186:N$188, N183),""),"")</f>
        <v/>
      </c>
      <c r="O286" s="224"/>
      <c r="P286" s="224"/>
      <c r="Q286" s="232"/>
      <c r="R286" s="226" t="s">
        <v>519</v>
      </c>
      <c r="S286" s="227" t="str">
        <f aca="false">IFERROR(IF(C$186*C$187*C$188*C183&gt;0,STDEV(C$186:C$188, C183),"")/IF(C$186*C$187*C$188*C183&gt;0,AVERAGE(C$186:C$188, C183),""),"")</f>
        <v/>
      </c>
      <c r="T286" s="227" t="str">
        <f aca="false">IFERROR(IF(D$186*D$187*D$188*D183&gt;0,STDEV(D$186:D$188, D183),"")/IF(D$186*D$187*D$188*D183&gt;0,AVERAGE(D$186:D$188, D183),""),"")</f>
        <v/>
      </c>
      <c r="U286" s="227" t="str">
        <f aca="false">IFERROR(IF(E$186*E$187*E$188*E183&gt;0,STDEV(E$186:E$188, E183),"")/IF(E$186*E$187*E$188*E183&gt;0,AVERAGE(E$186:E$188, E183),""),"")</f>
        <v/>
      </c>
      <c r="V286" s="227" t="str">
        <f aca="false">IFERROR(IF(F$186*F$187*F$188*F183&gt;0,STDEV(F$186:F$188, F183),"")/IF(F$186*F$187*F$188*F183&gt;0,AVERAGE(F$186:F$188, F183),""),"")</f>
        <v/>
      </c>
      <c r="W286" s="227" t="str">
        <f aca="false">IFERROR(IF(G$186*G$187*G$188*G183&gt;0,STDEV(G$186:G$188, G183),"")/IF(G$186*G$187*G$188*G183&gt;0,AVERAGE(G$186:G$188, G183),""),"")</f>
        <v/>
      </c>
      <c r="X286" s="227" t="str">
        <f aca="false">IFERROR(IF(H$186*H$187*H$188*H183&gt;0,STDEV(H$186:H$188, H183),"")/IF(H$186*H$187*H$188*H183&gt;0,AVERAGE(H$186:H$188, H183),""),"")</f>
        <v/>
      </c>
      <c r="Y286" s="227" t="str">
        <f aca="false">IFERROR(IF(I$186*I$187*I$188*I183&gt;0,STDEV(I$186:I$188, I183),"")/IF(I$186*I$187*I$188*I183&gt;0,AVERAGE(I$186:I$188, I183),""),"")</f>
        <v/>
      </c>
      <c r="Z286" s="227" t="str">
        <f aca="false">IFERROR(IF(J$186*J$187*J$188*J183&gt;0,STDEV(J$186:J$188, J183),"")/IF(J$186*J$187*J$188*J183&gt;0,AVERAGE(J$186:J$188, J183),""),"")</f>
        <v/>
      </c>
      <c r="AA286" s="227" t="str">
        <f aca="false">IFERROR(IF(K$186*K$187*K$188*K183&gt;0,STDEV(K$186:K$188, K183),"")/IF(K$186*K$187*K$188*K183&gt;0,AVERAGE(K$186:K$188, K183),""),"")</f>
        <v/>
      </c>
      <c r="AB286" s="227" t="str">
        <f aca="false">IFERROR(IF(L$186*L$187*L$188*L183&gt;0,STDEV(L$186:L$188, L183),"")/IF(L$186*L$187*L$188*L183&gt;0,AVERAGE(L$186:L$188, L183),""),"")</f>
        <v/>
      </c>
      <c r="AC286" s="227" t="str">
        <f aca="false">IFERROR(IF(M$186*M$187*M$188*M183&gt;0,STDEV(M$186:M$188, M183),"")/IF(M$186*M$187*M$188*M183&gt;0,AVERAGE(M$186:M$188, M183),""),"")</f>
        <v/>
      </c>
      <c r="AD286" s="227" t="str">
        <f aca="false">IFERROR(IF(N$186*N$187*N$188*N183&gt;0,STDEV(N$186:N$188, N183),"")/IF(N$186*N$187*N$188*N183&gt;0,AVERAGE(N$186:N$188, N183),""),"")</f>
        <v/>
      </c>
      <c r="AE286" s="233"/>
      <c r="AF286" s="229" t="s">
        <v>520</v>
      </c>
      <c r="AG286" s="270" t="str">
        <f aca="false">IFERROR(IF(C$186*C$187*C$188*C183&gt;0,STDEV(C$186:C$188, C183)," ")/IF(C$186*C$187*C$188*C183&gt;0,SQRT(COUNT(C$186:C$188, C183))," "),"")</f>
        <v/>
      </c>
      <c r="AH286" s="270" t="str">
        <f aca="false">IFERROR(IF(D$186*D$187*D$188*D183&gt;0,STDEV(D$186:D$188, D183)," ")/IF(D$186*D$187*D$188*D183&gt;0,SQRT(COUNT(D$186:D$188, D183))," "),"")</f>
        <v/>
      </c>
      <c r="AI286" s="270" t="str">
        <f aca="false">IFERROR(IF(E$186*E$187*E$188*E183&gt;0,STDEV(E$186:E$188, E183)," ")/IF(E$186*E$187*E$188*E183&gt;0,SQRT(COUNT(E$186:E$188, E183))," "),"")</f>
        <v/>
      </c>
      <c r="AJ286" s="270" t="str">
        <f aca="false">IFERROR(IF(F$186*F$187*F$188*F183&gt;0,STDEV(F$186:F$188, F183)," ")/IF(F$186*F$187*F$188*F183&gt;0,SQRT(COUNT(F$186:F$188, F183))," "),"")</f>
        <v/>
      </c>
      <c r="AK286" s="270" t="str">
        <f aca="false">IFERROR(IF(G$186*G$187*G$188*G183&gt;0,STDEV(G$186:G$188, G183)," ")/IF(G$186*G$187*G$188*G183&gt;0,SQRT(COUNT(G$186:G$188, G183))," "),"")</f>
        <v/>
      </c>
      <c r="AL286" s="270" t="str">
        <f aca="false">IFERROR(IF(H$186*H$187*H$188*H183&gt;0,STDEV(H$186:H$188, H183)," ")/IF(H$186*H$187*H$188*H183&gt;0,SQRT(COUNT(H$186:H$188, H183))," "),"")</f>
        <v/>
      </c>
      <c r="AM286" s="270" t="str">
        <f aca="false">IFERROR(IF(I$186*I$187*I$188*I183&gt;0,STDEV(I$186:I$188, I183)," ")/IF(I$186*I$187*I$188*I183&gt;0,SQRT(COUNT(I$186:I$188, I183))," "),"")</f>
        <v/>
      </c>
      <c r="AN286" s="270" t="str">
        <f aca="false">IFERROR(IF(J$186*J$187*J$188*J183&gt;0,STDEV(J$186:J$188, J183)," ")/IF(J$186*J$187*J$188*J183&gt;0,SQRT(COUNT(J$186:J$188, J183))," "),"")</f>
        <v/>
      </c>
      <c r="AO286" s="270" t="str">
        <f aca="false">IFERROR(IF(K$186*K$187*K$188*K183&gt;0,STDEV(K$186:K$188, K183)," ")/IF(K$186*K$187*K$188*K183&gt;0,SQRT(COUNT(K$186:K$188, K183))," "),"")</f>
        <v/>
      </c>
      <c r="AP286" s="270" t="str">
        <f aca="false">IFERROR(IF(L$186*L$187*L$188*L183&gt;0,STDEV(L$186:L$188, L183)," ")/IF(L$186*L$187*L$188*L183&gt;0,SQRT(COUNT(L$186:L$188, L183))," "),"")</f>
        <v/>
      </c>
      <c r="AQ286" s="270" t="str">
        <f aca="false">IFERROR(IF(M$186*M$187*M$188*M183&gt;0,STDEV(M$186:M$188, M183)," ")/IF(M$186*M$187*M$188*M183&gt;0,SQRT(COUNT(M$186:M$188, M183))," "),"")</f>
        <v/>
      </c>
      <c r="AR286" s="270" t="str">
        <f aca="false">IFERROR(IF(N$186*N$187*N$188*N183&gt;0,STDEV(N$186:N$188, N183)," ")/IF(N$186*N$187*N$188*N183&gt;0,SQRT(COUNT(N$186:N$188, N183))," "),"")</f>
        <v/>
      </c>
    </row>
    <row r="287" customFormat="false" ht="15.75" hidden="false" customHeight="false" outlineLevel="0" collapsed="false">
      <c r="A287" s="220" t="s">
        <v>521</v>
      </c>
      <c r="B287" s="221"/>
      <c r="C287" s="261" t="str">
        <f aca="false">IFERROR(IF(C$186*C$187*C$188*C184&gt;0,AVERAGE(C$186:C$188, C184),""),"")</f>
        <v/>
      </c>
      <c r="D287" s="261" t="str">
        <f aca="false">IFERROR(IF(D$186*D$187*D$188*D184&gt;0,AVERAGE(D$186:D$188, D184),""),"")</f>
        <v/>
      </c>
      <c r="E287" s="261" t="str">
        <f aca="false">IFERROR(IF(E$186*E$187*E$188*E184&gt;0,AVERAGE(E$186:E$188, E184),""),"")</f>
        <v/>
      </c>
      <c r="F287" s="261" t="str">
        <f aca="false">IFERROR(IF(F$186*F$187*F$188*F184&gt;0,AVERAGE(F$186:F$188, F184),""),"")</f>
        <v/>
      </c>
      <c r="G287" s="261" t="str">
        <f aca="false">IFERROR(IF(G$186*G$187*G$188*G184&gt;0,AVERAGE(G$186:G$188, G184),""),"")</f>
        <v/>
      </c>
      <c r="H287" s="261" t="str">
        <f aca="false">IFERROR(IF(H$186*H$187*H$188*H184&gt;0,AVERAGE(H$186:H$188, H184),""),"")</f>
        <v/>
      </c>
      <c r="I287" s="261" t="str">
        <f aca="false">IFERROR(IF(I$186*I$187*I$188*I184&gt;0,AVERAGE(I$186:I$188, I184),""),"")</f>
        <v/>
      </c>
      <c r="J287" s="261" t="str">
        <f aca="false">IFERROR(IF(J$186*J$187*J$188*J184&gt;0,AVERAGE(J$186:J$188, J184),""),"")</f>
        <v/>
      </c>
      <c r="K287" s="261" t="str">
        <f aca="false">IFERROR(IF(K$186*K$187*K$188*K184&gt;0,AVERAGE(K$186:K$188, K184),""),"")</f>
        <v/>
      </c>
      <c r="L287" s="261" t="str">
        <f aca="false">IFERROR(IF(L$186*L$187*L$188*L184&gt;0,AVERAGE(L$186:L$188, L184),""),"")</f>
        <v/>
      </c>
      <c r="M287" s="261" t="str">
        <f aca="false">IFERROR(IF(M$186*M$187*M$188*M184&gt;0,AVERAGE(M$186:M$188, M184),""),"")</f>
        <v/>
      </c>
      <c r="N287" s="261" t="str">
        <f aca="false">IFERROR(IF(N$186*N$187*N$188*N184&gt;0,AVERAGE(N$186:N$188, N184),""),"")</f>
        <v/>
      </c>
      <c r="O287" s="224"/>
      <c r="P287" s="224"/>
      <c r="Q287" s="232"/>
      <c r="R287" s="226" t="s">
        <v>522</v>
      </c>
      <c r="S287" s="227" t="str">
        <f aca="false">IFERROR(IF(C$186*C$187*C$188*C184&gt;0,STDEV(C$186:C$188, C184),"")/IF(C$186*C$187*C$188*C184&gt;0,AVERAGE(C$186:C$188, C184),""),"")</f>
        <v/>
      </c>
      <c r="T287" s="227" t="str">
        <f aca="false">IFERROR(IF(D$186*D$187*D$188*D184&gt;0,STDEV(D$186:D$188, D184),"")/IF(D$186*D$187*D$188*D184&gt;0,AVERAGE(D$186:D$188, D184),""),"")</f>
        <v/>
      </c>
      <c r="U287" s="227" t="str">
        <f aca="false">IFERROR(IF(E$186*E$187*E$188*E184&gt;0,STDEV(E$186:E$188, E184),"")/IF(E$186*E$187*E$188*E184&gt;0,AVERAGE(E$186:E$188, E184),""),"")</f>
        <v/>
      </c>
      <c r="V287" s="227" t="str">
        <f aca="false">IFERROR(IF(F$186*F$187*F$188*F184&gt;0,STDEV(F$186:F$188, F184),"")/IF(F$186*F$187*F$188*F184&gt;0,AVERAGE(F$186:F$188, F184),""),"")</f>
        <v/>
      </c>
      <c r="W287" s="227" t="str">
        <f aca="false">IFERROR(IF(G$186*G$187*G$188*G184&gt;0,STDEV(G$186:G$188, G184),"")/IF(G$186*G$187*G$188*G184&gt;0,AVERAGE(G$186:G$188, G184),""),"")</f>
        <v/>
      </c>
      <c r="X287" s="227" t="str">
        <f aca="false">IFERROR(IF(H$186*H$187*H$188*H184&gt;0,STDEV(H$186:H$188, H184),"")/IF(H$186*H$187*H$188*H184&gt;0,AVERAGE(H$186:H$188, H184),""),"")</f>
        <v/>
      </c>
      <c r="Y287" s="227" t="str">
        <f aca="false">IFERROR(IF(I$186*I$187*I$188*I184&gt;0,STDEV(I$186:I$188, I184),"")/IF(I$186*I$187*I$188*I184&gt;0,AVERAGE(I$186:I$188, I184),""),"")</f>
        <v/>
      </c>
      <c r="Z287" s="227" t="str">
        <f aca="false">IFERROR(IF(J$186*J$187*J$188*J184&gt;0,STDEV(J$186:J$188, J184),"")/IF(J$186*J$187*J$188*J184&gt;0,AVERAGE(J$186:J$188, J184),""),"")</f>
        <v/>
      </c>
      <c r="AA287" s="227" t="str">
        <f aca="false">IFERROR(IF(K$186*K$187*K$188*K184&gt;0,STDEV(K$186:K$188, K184),"")/IF(K$186*K$187*K$188*K184&gt;0,AVERAGE(K$186:K$188, K184),""),"")</f>
        <v/>
      </c>
      <c r="AB287" s="227" t="str">
        <f aca="false">IFERROR(IF(L$186*L$187*L$188*L184&gt;0,STDEV(L$186:L$188, L184),"")/IF(L$186*L$187*L$188*L184&gt;0,AVERAGE(L$186:L$188, L184),""),"")</f>
        <v/>
      </c>
      <c r="AC287" s="227" t="str">
        <f aca="false">IFERROR(IF(M$186*M$187*M$188*M184&gt;0,STDEV(M$186:M$188, M184),"")/IF(M$186*M$187*M$188*M184&gt;0,AVERAGE(M$186:M$188, M184),""),"")</f>
        <v/>
      </c>
      <c r="AD287" s="227" t="str">
        <f aca="false">IFERROR(IF(N$186*N$187*N$188*N184&gt;0,STDEV(N$186:N$188, N184),"")/IF(N$186*N$187*N$188*N184&gt;0,AVERAGE(N$186:N$188, N184),""),"")</f>
        <v/>
      </c>
      <c r="AE287" s="233"/>
      <c r="AF287" s="229" t="s">
        <v>523</v>
      </c>
      <c r="AG287" s="270" t="str">
        <f aca="false">IFERROR(IF(C$186*C$187*C$188*C184&gt;0,STDEV(C$186:C$188, C184)," ")/IF(C$186*C$187*C$188*C184&gt;0,SQRT(COUNT(C$186:C$188, C184))," "),"")</f>
        <v/>
      </c>
      <c r="AH287" s="270" t="str">
        <f aca="false">IFERROR(IF(D$186*D$187*D$188*D184&gt;0,STDEV(D$186:D$188, D184)," ")/IF(D$186*D$187*D$188*D184&gt;0,SQRT(COUNT(D$186:D$188, D184))," "),"")</f>
        <v/>
      </c>
      <c r="AI287" s="270" t="str">
        <f aca="false">IFERROR(IF(E$186*E$187*E$188*E184&gt;0,STDEV(E$186:E$188, E184)," ")/IF(E$186*E$187*E$188*E184&gt;0,SQRT(COUNT(E$186:E$188, E184))," "),"")</f>
        <v/>
      </c>
      <c r="AJ287" s="270" t="str">
        <f aca="false">IFERROR(IF(F$186*F$187*F$188*F184&gt;0,STDEV(F$186:F$188, F184)," ")/IF(F$186*F$187*F$188*F184&gt;0,SQRT(COUNT(F$186:F$188, F184))," "),"")</f>
        <v/>
      </c>
      <c r="AK287" s="270" t="str">
        <f aca="false">IFERROR(IF(G$186*G$187*G$188*G184&gt;0,STDEV(G$186:G$188, G184)," ")/IF(G$186*G$187*G$188*G184&gt;0,SQRT(COUNT(G$186:G$188, G184))," "),"")</f>
        <v/>
      </c>
      <c r="AL287" s="270" t="str">
        <f aca="false">IFERROR(IF(H$186*H$187*H$188*H184&gt;0,STDEV(H$186:H$188, H184)," ")/IF(H$186*H$187*H$188*H184&gt;0,SQRT(COUNT(H$186:H$188, H184))," "),"")</f>
        <v/>
      </c>
      <c r="AM287" s="270" t="str">
        <f aca="false">IFERROR(IF(I$186*I$187*I$188*I184&gt;0,STDEV(I$186:I$188, I184)," ")/IF(I$186*I$187*I$188*I184&gt;0,SQRT(COUNT(I$186:I$188, I184))," "),"")</f>
        <v/>
      </c>
      <c r="AN287" s="270" t="str">
        <f aca="false">IFERROR(IF(J$186*J$187*J$188*J184&gt;0,STDEV(J$186:J$188, J184)," ")/IF(J$186*J$187*J$188*J184&gt;0,SQRT(COUNT(J$186:J$188, J184))," "),"")</f>
        <v/>
      </c>
      <c r="AO287" s="270" t="str">
        <f aca="false">IFERROR(IF(K$186*K$187*K$188*K184&gt;0,STDEV(K$186:K$188, K184)," ")/IF(K$186*K$187*K$188*K184&gt;0,SQRT(COUNT(K$186:K$188, K184))," "),"")</f>
        <v/>
      </c>
      <c r="AP287" s="270" t="str">
        <f aca="false">IFERROR(IF(L$186*L$187*L$188*L184&gt;0,STDEV(L$186:L$188, L184)," ")/IF(L$186*L$187*L$188*L184&gt;0,SQRT(COUNT(L$186:L$188, L184))," "),"")</f>
        <v/>
      </c>
      <c r="AQ287" s="270" t="str">
        <f aca="false">IFERROR(IF(M$186*M$187*M$188*M184&gt;0,STDEV(M$186:M$188, M184)," ")/IF(M$186*M$187*M$188*M184&gt;0,SQRT(COUNT(M$186:M$188, M184))," "),"")</f>
        <v/>
      </c>
      <c r="AR287" s="270" t="str">
        <f aca="false">IFERROR(IF(N$186*N$187*N$188*N184&gt;0,STDEV(N$186:N$188, N184)," ")/IF(N$186*N$187*N$188*N184&gt;0,SQRT(COUNT(N$186:N$188, N184))," "),"")</f>
        <v/>
      </c>
    </row>
    <row r="288" customFormat="false" ht="15.75" hidden="false" customHeight="false" outlineLevel="0" collapsed="false">
      <c r="A288" s="220" t="s">
        <v>632</v>
      </c>
      <c r="B288" s="221"/>
      <c r="C288" s="261" t="str">
        <f aca="false">IFERROR(IF(C$182*C$184*C$186*C$187&gt;0,AVERAGE(C$182, C$184, C$186, C$187),""),"")</f>
        <v/>
      </c>
      <c r="D288" s="261" t="str">
        <f aca="false">IFERROR(IF(D$182*D$184*D$186*D$187&gt;0,AVERAGE(D$182, D$184, D$186, D$187),""),"")</f>
        <v/>
      </c>
      <c r="E288" s="261" t="str">
        <f aca="false">IFERROR(IF(E$182*E$184*E$186*E$187&gt;0,AVERAGE(E$182, E$184, E$186, E$187),""),"")</f>
        <v/>
      </c>
      <c r="F288" s="261" t="str">
        <f aca="false">IFERROR(IF(F$182*F$184*F$186*F$187&gt;0,AVERAGE(F$182, F$184, F$186, F$187),""),"")</f>
        <v/>
      </c>
      <c r="G288" s="261" t="str">
        <f aca="false">IFERROR(IF(G$182*G$184*G$186*G$187&gt;0,AVERAGE(G$182, G$184, G$186, G$187),""),"")</f>
        <v/>
      </c>
      <c r="H288" s="261" t="str">
        <f aca="false">IFERROR(IF(H$182*H$184*H$186*H$187&gt;0,AVERAGE(H$182, H$184, H$186, H$187),""),"")</f>
        <v/>
      </c>
      <c r="I288" s="261" t="str">
        <f aca="false">IFERROR(IF(I$182*I$184*I$186*I$187&gt;0,AVERAGE(I$182, I$184, I$186, I$187),""),"")</f>
        <v/>
      </c>
      <c r="J288" s="261" t="str">
        <f aca="false">IFERROR(IF(J$182*J$184*J$186*J$187&gt;0,AVERAGE(J$182, J$184, J$186, J$187),""),"")</f>
        <v/>
      </c>
      <c r="K288" s="261" t="str">
        <f aca="false">IFERROR(IF(K$182*K$184*K$186*K$187&gt;0,AVERAGE(K$182, K$184, K$186, K$187),""),"")</f>
        <v/>
      </c>
      <c r="L288" s="261" t="str">
        <f aca="false">IFERROR(IF(L$182*L$184*L$186*L$187&gt;0,AVERAGE(L$182, L$184, L$186, L$187),""),"")</f>
        <v/>
      </c>
      <c r="M288" s="261" t="str">
        <f aca="false">IFERROR(IF(M$182*M$184*M$186*M$187&gt;0,AVERAGE(M$182, M$184, M$186, M$187),""),"")</f>
        <v/>
      </c>
      <c r="N288" s="261" t="str">
        <f aca="false">IFERROR(IF(N$182*N$184*N$186*N$187&gt;0,AVERAGE(N$182, N$184, N$186, N$187),""),"")</f>
        <v/>
      </c>
      <c r="O288" s="224"/>
      <c r="P288" s="224"/>
      <c r="Q288" s="232"/>
      <c r="R288" s="226" t="s">
        <v>525</v>
      </c>
      <c r="S288" s="227" t="str">
        <f aca="false">IFERROR(IF(C$182*C$184*C$186*C$187&gt;0,STDEV(C$182, C$184, C$186, C$187),"")/IF(C$182*C$184*C$186*C$187&gt;0,AVERAGE(C$182, C$184, C$186, C$187),""),"")</f>
        <v/>
      </c>
      <c r="T288" s="227" t="str">
        <f aca="false">IFERROR(IF(D$182*D$184*D$186*D$187&gt;0,STDEV(D$182, D$184, D$186, D$187),"")/IF(D$182*D$184*D$186*D$187&gt;0,AVERAGE(D$182, D$184, D$186, D$187),""),"")</f>
        <v/>
      </c>
      <c r="U288" s="227" t="str">
        <f aca="false">IFERROR(IF(E$182*E$184*E$186*E$187&gt;0,STDEV(E$182, E$184, E$186, E$187),"")/IF(E$182*E$184*E$186*E$187&gt;0,AVERAGE(E$182, E$184, E$186, E$187),""),"")</f>
        <v/>
      </c>
      <c r="V288" s="227" t="str">
        <f aca="false">IFERROR(IF(F$182*F$184*F$186*F$187&gt;0,STDEV(F$182, F$184, F$186, F$187),"")/IF(F$182*F$184*F$186*F$187&gt;0,AVERAGE(F$182, F$184, F$186, F$187),""),"")</f>
        <v/>
      </c>
      <c r="W288" s="227" t="str">
        <f aca="false">IFERROR(IF(G$182*G$184*G$186*G$187&gt;0,STDEV(G$182, G$184, G$186, G$187),"")/IF(G$182*G$184*G$186*G$187&gt;0,AVERAGE(G$182, G$184, G$186, G$187),""),"")</f>
        <v/>
      </c>
      <c r="X288" s="227" t="str">
        <f aca="false">IFERROR(IF(H$182*H$184*H$186*H$187&gt;0,STDEV(H$182, H$184, H$186, H$187),"")/IF(H$182*H$184*H$186*H$187&gt;0,AVERAGE(H$182, H$184, H$186, H$187),""),"")</f>
        <v/>
      </c>
      <c r="Y288" s="227" t="str">
        <f aca="false">IFERROR(IF(I$182*I$184*I$186*I$187&gt;0,STDEV(I$182, I$184, I$186, I$187),"")/IF(I$182*I$184*I$186*I$187&gt;0,AVERAGE(I$182, I$184, I$186, I$187),""),"")</f>
        <v/>
      </c>
      <c r="Z288" s="227" t="str">
        <f aca="false">IFERROR(IF(J$182*J$184*J$186*J$187&gt;0,STDEV(J$182, J$184, J$186, J$187),"")/IF(J$182*J$184*J$186*J$187&gt;0,AVERAGE(J$182, J$184, J$186, J$187),""),"")</f>
        <v/>
      </c>
      <c r="AA288" s="227" t="str">
        <f aca="false">IFERROR(IF(K$182*K$184*K$186*K$187&gt;0,STDEV(K$182, K$184, K$186, K$187),"")/IF(K$182*K$184*K$186*K$187&gt;0,AVERAGE(K$182, K$184, K$186, K$187),""),"")</f>
        <v/>
      </c>
      <c r="AB288" s="227" t="str">
        <f aca="false">IFERROR(IF(L$182*L$184*L$186*L$187&gt;0,STDEV(L$182, L$184, L$186, L$187),"")/IF(L$182*L$184*L$186*L$187&gt;0,AVERAGE(L$182, L$184, L$186, L$187),""),"")</f>
        <v/>
      </c>
      <c r="AC288" s="227" t="str">
        <f aca="false">IFERROR(IF(M$182*M$184*M$186*M$187&gt;0,STDEV(M$182, M$184, M$186, M$187),"")/IF(M$182*M$184*M$186*M$187&gt;0,AVERAGE(M$182, M$184, M$186, M$187),""),"")</f>
        <v/>
      </c>
      <c r="AD288" s="227" t="str">
        <f aca="false">IFERROR(IF(N$182*N$184*N$186*N$187&gt;0,STDEV(N$182, N$184, N$186, N$187),"")/IF(N$182*N$184*N$186*N$187&gt;0,AVERAGE(N$182, N$184, N$186, N$187),""),"")</f>
        <v/>
      </c>
      <c r="AE288" s="233"/>
      <c r="AF288" s="229" t="s">
        <v>526</v>
      </c>
      <c r="AG288" s="270" t="str">
        <f aca="false">IFERROR(IF(C$182*C$184*C$186*C$187&gt;0,STDEV(C$182, C$184, C$186, C$187)," ")/IF(C$182*C$184*C$186*C$187&gt;0,SQRT(COUNT(C$182, C$184, C$186, C$187))," "),"")</f>
        <v/>
      </c>
      <c r="AH288" s="270" t="str">
        <f aca="false">IFERROR(IF(D$182*D$184*D$186*D$187&gt;0,STDEV(D$182, D$184, D$186, D$187)," ")/IF(D$182*D$184*D$186*D$187&gt;0,SQRT(COUNT(D$182, D$184, D$186, D$187))," "),"")</f>
        <v/>
      </c>
      <c r="AI288" s="270" t="str">
        <f aca="false">IFERROR(IF(E$182*E$184*E$186*E$187&gt;0,STDEV(E$182, E$184, E$186, E$187)," ")/IF(E$182*E$184*E$186*E$187&gt;0,SQRT(COUNT(E$182, E$184, E$186, E$187))," "),"")</f>
        <v/>
      </c>
      <c r="AJ288" s="270" t="str">
        <f aca="false">IFERROR(IF(F$182*F$184*F$186*F$187&gt;0,STDEV(F$182, F$184, F$186, F$187)," ")/IF(F$182*F$184*F$186*F$187&gt;0,SQRT(COUNT(F$182, F$184, F$186, F$187))," "),"")</f>
        <v/>
      </c>
      <c r="AK288" s="270" t="str">
        <f aca="false">IFERROR(IF(G$182*G$184*G$186*G$187&gt;0,STDEV(G$182, G$184, G$186, G$187)," ")/IF(G$182*G$184*G$186*G$187&gt;0,SQRT(COUNT(G$182, G$184, G$186, G$187))," "),"")</f>
        <v/>
      </c>
      <c r="AL288" s="270" t="str">
        <f aca="false">IFERROR(IF(H$182*H$184*H$186*H$187&gt;0,STDEV(H$182, H$184, H$186, H$187)," ")/IF(H$182*H$184*H$186*H$187&gt;0,SQRT(COUNT(H$182, H$184, H$186, H$187))," "),"")</f>
        <v/>
      </c>
      <c r="AM288" s="270" t="str">
        <f aca="false">IFERROR(IF(I$182*I$184*I$186*I$187&gt;0,STDEV(I$182, I$184, I$186, I$187)," ")/IF(I$182*I$184*I$186*I$187&gt;0,SQRT(COUNT(I$182, I$184, I$186, I$187))," "),"")</f>
        <v/>
      </c>
      <c r="AN288" s="270" t="str">
        <f aca="false">IFERROR(IF(J$182*J$184*J$186*J$187&gt;0,STDEV(J$182, J$184, J$186, J$187)," ")/IF(J$182*J$184*J$186*J$187&gt;0,SQRT(COUNT(J$182, J$184, J$186, J$187))," "),"")</f>
        <v/>
      </c>
      <c r="AO288" s="270" t="str">
        <f aca="false">IFERROR(IF(K$182*K$184*K$186*K$187&gt;0,STDEV(K$182, K$184, K$186, K$187)," ")/IF(K$182*K$184*K$186*K$187&gt;0,SQRT(COUNT(K$182, K$184, K$186, K$187))," "),"")</f>
        <v/>
      </c>
      <c r="AP288" s="270" t="str">
        <f aca="false">IFERROR(IF(L$182*L$184*L$186*L$187&gt;0,STDEV(L$182, L$184, L$186, L$187)," ")/IF(L$182*L$184*L$186*L$187&gt;0,SQRT(COUNT(L$182, L$184, L$186, L$187))," "),"")</f>
        <v/>
      </c>
      <c r="AQ288" s="270" t="str">
        <f aca="false">IFERROR(IF(M$182*M$184*M$186*M$187&gt;0,STDEV(M$182, M$184, M$186, M$187)," ")/IF(M$182*M$184*M$186*M$187&gt;0,SQRT(COUNT(M$182, M$184, M$186, M$187))," "),"")</f>
        <v/>
      </c>
      <c r="AR288" s="270" t="str">
        <f aca="false">IFERROR(IF(N$182*N$184*N$186*N$187&gt;0,STDEV(N$182, N$184, N$186, N$187)," ")/IF(N$182*N$184*N$186*N$187&gt;0,SQRT(COUNT(N$182, N$184, N$186, N$187))," "),"")</f>
        <v/>
      </c>
    </row>
    <row r="289" customFormat="false" ht="15.75" hidden="false" customHeight="false" outlineLevel="0" collapsed="false">
      <c r="A289" s="220" t="s">
        <v>633</v>
      </c>
      <c r="B289" s="221"/>
      <c r="C289" s="261" t="str">
        <f aca="false">IFERROR(IF(C$182*C$184*C$186*C$188&gt;0,AVERAGE(C$186:C$188, C$188),""),"")</f>
        <v/>
      </c>
      <c r="D289" s="261" t="str">
        <f aca="false">IFERROR(IF(D$182*D$184*D$186*D$188&gt;0,AVERAGE(D$186:D$188, D$188),""),"")</f>
        <v/>
      </c>
      <c r="E289" s="261" t="str">
        <f aca="false">IFERROR(IF(E$182*E$184*E$186*E$188&gt;0,AVERAGE(E$186:E$188, E$188),""),"")</f>
        <v/>
      </c>
      <c r="F289" s="261" t="str">
        <f aca="false">IFERROR(IF(F$182*F$184*F$186*F$188&gt;0,AVERAGE(F$186:F$188, F$188),""),"")</f>
        <v/>
      </c>
      <c r="G289" s="261" t="str">
        <f aca="false">IFERROR(IF(G$182*G$184*G$186*G$188&gt;0,AVERAGE(G$186:G$188, G$188),""),"")</f>
        <v/>
      </c>
      <c r="H289" s="261" t="str">
        <f aca="false">IFERROR(IF(H$182*H$184*H$186*H$188&gt;0,AVERAGE(H$186:H$188, H$188),""),"")</f>
        <v/>
      </c>
      <c r="I289" s="261" t="str">
        <f aca="false">IFERROR(IF(I$182*I$184*I$186*I$188&gt;0,AVERAGE(I$186:I$188, I$188),""),"")</f>
        <v/>
      </c>
      <c r="J289" s="261" t="str">
        <f aca="false">IFERROR(IF(J$182*J$184*J$186*J$188&gt;0,AVERAGE(J$186:J$188, J$188),""),"")</f>
        <v/>
      </c>
      <c r="K289" s="261" t="str">
        <f aca="false">IFERROR(IF(K$182*K$184*K$186*K$188&gt;0,AVERAGE(K$186:K$188, K$188),""),"")</f>
        <v/>
      </c>
      <c r="L289" s="261" t="str">
        <f aca="false">IFERROR(IF(L$182*L$184*L$186*L$188&gt;0,AVERAGE(L$186:L$188, L$188),""),"")</f>
        <v/>
      </c>
      <c r="M289" s="261" t="str">
        <f aca="false">IFERROR(IF(M$182*M$184*M$186*M$188&gt;0,AVERAGE(M$186:M$188, M$188),""),"")</f>
        <v/>
      </c>
      <c r="N289" s="261" t="str">
        <f aca="false">IFERROR(IF(N$182*N$184*N$186*N$188&gt;0,AVERAGE(N$186:N$188, N$188),""),"")</f>
        <v/>
      </c>
      <c r="O289" s="224"/>
      <c r="P289" s="224"/>
      <c r="Q289" s="232"/>
      <c r="R289" s="226" t="s">
        <v>528</v>
      </c>
      <c r="S289" s="227" t="str">
        <f aca="false">IFERROR(IF(C$182*C$184*C$186*C$188&gt;0,STDEV(C$186:C$188, C$188),"")/IF(C$182*C$184*C$186*C$188&gt;0,AVERAGE(C$186:C$188, C$188),""),"")</f>
        <v/>
      </c>
      <c r="T289" s="227" t="str">
        <f aca="false">IFERROR(IF(D$182*D$184*D$186*D$188&gt;0,STDEV(D$186:D$188, D$188),"")/IF(D$182*D$184*D$186*D$188&gt;0,AVERAGE(D$186:D$188, D$188),""),"")</f>
        <v/>
      </c>
      <c r="U289" s="227" t="str">
        <f aca="false">IFERROR(IF(E$182*E$184*E$186*E$188&gt;0,STDEV(E$186:E$188, E$188),"")/IF(E$182*E$184*E$186*E$188&gt;0,AVERAGE(E$186:E$188, E$188),""),"")</f>
        <v/>
      </c>
      <c r="V289" s="227" t="str">
        <f aca="false">IFERROR(IF(F$182*F$184*F$186*F$188&gt;0,STDEV(F$186:F$188, F$188),"")/IF(F$182*F$184*F$186*F$188&gt;0,AVERAGE(F$186:F$188, F$188),""),"")</f>
        <v/>
      </c>
      <c r="W289" s="227" t="str">
        <f aca="false">IFERROR(IF(G$182*G$184*G$186*G$188&gt;0,STDEV(G$186:G$188, G$188),"")/IF(G$182*G$184*G$186*G$188&gt;0,AVERAGE(G$186:G$188, G$188),""),"")</f>
        <v/>
      </c>
      <c r="X289" s="227" t="str">
        <f aca="false">IFERROR(IF(H$182*H$184*H$186*H$188&gt;0,STDEV(H$186:H$188, H$188),"")/IF(H$182*H$184*H$186*H$188&gt;0,AVERAGE(H$186:H$188, H$188),""),"")</f>
        <v/>
      </c>
      <c r="Y289" s="227" t="str">
        <f aca="false">IFERROR(IF(I$182*I$184*I$186*I$188&gt;0,STDEV(I$186:I$188, I$188),"")/IF(I$182*I$184*I$186*I$188&gt;0,AVERAGE(I$186:I$188, I$188),""),"")</f>
        <v/>
      </c>
      <c r="Z289" s="227" t="str">
        <f aca="false">IFERROR(IF(J$182*J$184*J$186*J$188&gt;0,STDEV(J$186:J$188, J$188),"")/IF(J$182*J$184*J$186*J$188&gt;0,AVERAGE(J$186:J$188, J$188),""),"")</f>
        <v/>
      </c>
      <c r="AA289" s="227" t="str">
        <f aca="false">IFERROR(IF(K$182*K$184*K$186*K$188&gt;0,STDEV(K$186:K$188, K$188),"")/IF(K$182*K$184*K$186*K$188&gt;0,AVERAGE(K$186:K$188, K$188),""),"")</f>
        <v/>
      </c>
      <c r="AB289" s="227" t="str">
        <f aca="false">IFERROR(IF(L$182*L$184*L$186*L$188&gt;0,STDEV(L$186:L$188, L$188),"")/IF(L$182*L$184*L$186*L$188&gt;0,AVERAGE(L$186:L$188, L$188),""),"")</f>
        <v/>
      </c>
      <c r="AC289" s="227" t="str">
        <f aca="false">IFERROR(IF(M$182*M$184*M$186*M$188&gt;0,STDEV(M$186:M$188, M$188),"")/IF(M$182*M$184*M$186*M$188&gt;0,AVERAGE(M$186:M$188, M$188),""),"")</f>
        <v/>
      </c>
      <c r="AD289" s="227" t="str">
        <f aca="false">IFERROR(IF(N$182*N$184*N$186*N$188&gt;0,STDEV(N$186:N$188, N$188),"")/IF(N$182*N$184*N$186*N$188&gt;0,AVERAGE(N$186:N$188, N$188),""),"")</f>
        <v/>
      </c>
      <c r="AE289" s="233"/>
      <c r="AF289" s="229" t="s">
        <v>529</v>
      </c>
      <c r="AG289" s="270" t="str">
        <f aca="false">IFERROR(IF(C$182*C$184*C$186*C$188&gt;0,STDEV(C$186:C$188, C$188)," ")/IF(C$182*C$184*C$186*C$188&gt;0,SQRT(COUNT(C$186:C$188, C$188))," "),"")</f>
        <v/>
      </c>
      <c r="AH289" s="270" t="str">
        <f aca="false">IFERROR(IF(D$182*D$184*D$186*D$188&gt;0,STDEV(D$186:D$188, D$188)," ")/IF(D$182*D$184*D$186*D$188&gt;0,SQRT(COUNT(D$186:D$188, D$188))," "),"")</f>
        <v/>
      </c>
      <c r="AI289" s="270" t="str">
        <f aca="false">IFERROR(IF(E$182*E$184*E$186*E$188&gt;0,STDEV(E$186:E$188, E$188)," ")/IF(E$182*E$184*E$186*E$188&gt;0,SQRT(COUNT(E$186:E$188, E$188))," "),"")</f>
        <v/>
      </c>
      <c r="AJ289" s="270" t="str">
        <f aca="false">IFERROR(IF(F$182*F$184*F$186*F$188&gt;0,STDEV(F$186:F$188, F$188)," ")/IF(F$182*F$184*F$186*F$188&gt;0,SQRT(COUNT(F$186:F$188, F$188))," "),"")</f>
        <v/>
      </c>
      <c r="AK289" s="270" t="str">
        <f aca="false">IFERROR(IF(G$182*G$184*G$186*G$188&gt;0,STDEV(G$186:G$188, G$188)," ")/IF(G$182*G$184*G$186*G$188&gt;0,SQRT(COUNT(G$186:G$188, G$188))," "),"")</f>
        <v/>
      </c>
      <c r="AL289" s="270" t="str">
        <f aca="false">IFERROR(IF(H$182*H$184*H$186*H$188&gt;0,STDEV(H$186:H$188, H$188)," ")/IF(H$182*H$184*H$186*H$188&gt;0,SQRT(COUNT(H$186:H$188, H$188))," "),"")</f>
        <v/>
      </c>
      <c r="AM289" s="270" t="str">
        <f aca="false">IFERROR(IF(I$182*I$184*I$186*I$188&gt;0,STDEV(I$186:I$188, I$188)," ")/IF(I$182*I$184*I$186*I$188&gt;0,SQRT(COUNT(I$186:I$188, I$188))," "),"")</f>
        <v/>
      </c>
      <c r="AN289" s="270" t="str">
        <f aca="false">IFERROR(IF(J$182*J$184*J$186*J$188&gt;0,STDEV(J$186:J$188, J$188)," ")/IF(J$182*J$184*J$186*J$188&gt;0,SQRT(COUNT(J$186:J$188, J$188))," "),"")</f>
        <v/>
      </c>
      <c r="AO289" s="270" t="str">
        <f aca="false">IFERROR(IF(K$182*K$184*K$186*K$188&gt;0,STDEV(K$186:K$188, K$188)," ")/IF(K$182*K$184*K$186*K$188&gt;0,SQRT(COUNT(K$186:K$188, K$188))," "),"")</f>
        <v/>
      </c>
      <c r="AP289" s="270" t="str">
        <f aca="false">IFERROR(IF(L$182*L$184*L$186*L$188&gt;0,STDEV(L$186:L$188, L$188)," ")/IF(L$182*L$184*L$186*L$188&gt;0,SQRT(COUNT(L$186:L$188, L$188))," "),"")</f>
        <v/>
      </c>
      <c r="AQ289" s="270" t="str">
        <f aca="false">IFERROR(IF(M$182*M$184*M$186*M$188&gt;0,STDEV(M$186:M$188, M$188)," ")/IF(M$182*M$184*M$186*M$188&gt;0,SQRT(COUNT(M$186:M$188, M$188))," "),"")</f>
        <v/>
      </c>
      <c r="AR289" s="270" t="str">
        <f aca="false">IFERROR(IF(N$182*N$184*N$186*N$188&gt;0,STDEV(N$186:N$188, N$188)," ")/IF(N$182*N$184*N$186*N$188&gt;0,SQRT(COUNT(N$186:N$188, N$188))," "),"")</f>
        <v/>
      </c>
    </row>
    <row r="290" customFormat="false" ht="15.75" hidden="false" customHeight="false" outlineLevel="0" collapsed="false">
      <c r="A290" s="220" t="s">
        <v>530</v>
      </c>
      <c r="B290" s="221"/>
      <c r="C290" s="261" t="str">
        <f aca="false">IFERROR(IF(C$182*C$185*C$186*C$188&gt;0,AVERAGE(C$182, C$185, C$186, C$187),""),"")</f>
        <v/>
      </c>
      <c r="D290" s="261" t="str">
        <f aca="false">IFERROR(IF(D$182*D$185*D$186*D$188&gt;0,AVERAGE(D$182, D$185, D$186, D$187),""),"")</f>
        <v/>
      </c>
      <c r="E290" s="261" t="str">
        <f aca="false">IFERROR(IF(E$182*E$185*E$186*E$188&gt;0,AVERAGE(E$182, E$185, E$186, E$187),""),"")</f>
        <v/>
      </c>
      <c r="F290" s="261" t="str">
        <f aca="false">IFERROR(IF(F$182*F$185*F$186*F$188&gt;0,AVERAGE(F$182, F$185, F$186, F$187),""),"")</f>
        <v/>
      </c>
      <c r="G290" s="261" t="str">
        <f aca="false">IFERROR(IF(G$182*G$185*G$186*G$188&gt;0,AVERAGE(G$182, G$185, G$186, G$187),""),"")</f>
        <v/>
      </c>
      <c r="H290" s="261" t="str">
        <f aca="false">IFERROR(IF(H$182*H$185*H$186*H$188&gt;0,AVERAGE(H$182, H$185, H$186, H$187),""),"")</f>
        <v/>
      </c>
      <c r="I290" s="261" t="str">
        <f aca="false">IFERROR(IF(I$182*I$185*I$186*I$188&gt;0,AVERAGE(I$182, I$185, I$186, I$187),""),"")</f>
        <v/>
      </c>
      <c r="J290" s="261" t="str">
        <f aca="false">IFERROR(IF(J$182*J$185*J$186*J$188&gt;0,AVERAGE(J$182, J$185, J$186, J$187),""),"")</f>
        <v/>
      </c>
      <c r="K290" s="261" t="str">
        <f aca="false">IFERROR(IF(K$182*K$185*K$186*K$188&gt;0,AVERAGE(K$182, K$185, K$186, K$187),""),"")</f>
        <v/>
      </c>
      <c r="L290" s="261" t="str">
        <f aca="false">IFERROR(IF(L$182*L$185*L$186*L$188&gt;0,AVERAGE(L$182, L$185, L$186, L$187),""),"")</f>
        <v/>
      </c>
      <c r="M290" s="261" t="str">
        <f aca="false">IFERROR(IF(M$182*M$185*M$186*M$188&gt;0,AVERAGE(M$182, M$185, M$186, M$187),""),"")</f>
        <v/>
      </c>
      <c r="N290" s="261" t="str">
        <f aca="false">IFERROR(IF(N$182*N$185*N$186*N$188&gt;0,AVERAGE(N$182, N$185, N$186, N$187),""),"")</f>
        <v/>
      </c>
      <c r="O290" s="224"/>
      <c r="P290" s="224"/>
      <c r="Q290" s="232"/>
      <c r="R290" s="226" t="s">
        <v>531</v>
      </c>
      <c r="S290" s="227" t="str">
        <f aca="false">IFERROR(IF(C$182*C$185*C$186*C$188&gt;0,STDEV(C$182, C$185, C$186, C$187),"")/IF(C$182*C$185*C$186*C$188&gt;0,AVERAGE(C$182, C$185, C$186, C$187),""),"")</f>
        <v/>
      </c>
      <c r="T290" s="227" t="str">
        <f aca="false">IFERROR(IF(D$182*D$185*D$186*D$188&gt;0,STDEV(D$182, D$185, D$186, D$187),"")/IF(D$182*D$185*D$186*D$188&gt;0,AVERAGE(D$182, D$185, D$186, D$187),""),"")</f>
        <v/>
      </c>
      <c r="U290" s="227" t="str">
        <f aca="false">IFERROR(IF(E$182*E$185*E$186*E$188&gt;0,STDEV(E$182, E$185, E$186, E$187),"")/IF(E$182*E$185*E$186*E$188&gt;0,AVERAGE(E$182, E$185, E$186, E$187),""),"")</f>
        <v/>
      </c>
      <c r="V290" s="227" t="str">
        <f aca="false">IFERROR(IF(F$182*F$185*F$186*F$188&gt;0,STDEV(F$182, F$185, F$186, F$187),"")/IF(F$182*F$185*F$186*F$188&gt;0,AVERAGE(F$182, F$185, F$186, F$187),""),"")</f>
        <v/>
      </c>
      <c r="W290" s="227" t="str">
        <f aca="false">IFERROR(IF(G$182*G$185*G$186*G$188&gt;0,STDEV(G$182, G$185, G$186, G$187),"")/IF(G$182*G$185*G$186*G$188&gt;0,AVERAGE(G$182, G$185, G$186, G$187),""),"")</f>
        <v/>
      </c>
      <c r="X290" s="227" t="str">
        <f aca="false">IFERROR(IF(H$182*H$185*H$186*H$188&gt;0,STDEV(H$182, H$185, H$186, H$187),"")/IF(H$182*H$185*H$186*H$188&gt;0,AVERAGE(H$182, H$185, H$186, H$187),""),"")</f>
        <v/>
      </c>
      <c r="Y290" s="227" t="str">
        <f aca="false">IFERROR(IF(I$182*I$185*I$186*I$188&gt;0,STDEV(I$182, I$185, I$186, I$187),"")/IF(I$182*I$185*I$186*I$188&gt;0,AVERAGE(I$182, I$185, I$186, I$187),""),"")</f>
        <v/>
      </c>
      <c r="Z290" s="227" t="str">
        <f aca="false">IFERROR(IF(J$182*J$185*J$186*J$188&gt;0,STDEV(J$182, J$185, J$186, J$187),"")/IF(J$182*J$185*J$186*J$188&gt;0,AVERAGE(J$182, J$185, J$186, J$187),""),"")</f>
        <v/>
      </c>
      <c r="AA290" s="227" t="str">
        <f aca="false">IFERROR(IF(K$182*K$185*K$186*K$188&gt;0,STDEV(K$182, K$185, K$186, K$187),"")/IF(K$182*K$185*K$186*K$188&gt;0,AVERAGE(K$182, K$185, K$186, K$187),""),"")</f>
        <v/>
      </c>
      <c r="AB290" s="227" t="str">
        <f aca="false">IFERROR(IF(L$182*L$185*L$186*L$188&gt;0,STDEV(L$182, L$185, L$186, L$187),"")/IF(L$182*L$185*L$186*L$188&gt;0,AVERAGE(L$182, L$185, L$186, L$187),""),"")</f>
        <v/>
      </c>
      <c r="AC290" s="227" t="str">
        <f aca="false">IFERROR(IF(M$182*M$185*M$186*M$188&gt;0,STDEV(M$182, M$185, M$186, M$187),"")/IF(M$182*M$185*M$186*M$188&gt;0,AVERAGE(M$182, M$185, M$186, M$187),""),"")</f>
        <v/>
      </c>
      <c r="AD290" s="227" t="str">
        <f aca="false">IFERROR(IF(N$182*N$185*N$186*N$188&gt;0,STDEV(N$182, N$185, N$186, N$187),"")/IF(N$182*N$185*N$186*N$188&gt;0,AVERAGE(N$182, N$185, N$186, N$187),""),"")</f>
        <v/>
      </c>
      <c r="AE290" s="233"/>
      <c r="AF290" s="229" t="s">
        <v>532</v>
      </c>
      <c r="AG290" s="270" t="str">
        <f aca="false">IFERROR(IF(C$182*C$185*C$186*C$188&gt;0,STDEV(C$182, C$185, C$186, C$187)," ")/IF(C$182*C$185*C$186*C$188&gt;0,SQRT(COUNT(C$182, C$185, C$186, C$187))," "),"")</f>
        <v/>
      </c>
      <c r="AH290" s="270" t="str">
        <f aca="false">IFERROR(IF(D$182*D$185*D$186*D$188&gt;0,STDEV(D$182, D$185, D$186, D$187)," ")/IF(D$182*D$185*D$186*D$188&gt;0,SQRT(COUNT(D$182, D$185, D$186, D$187))," "),"")</f>
        <v/>
      </c>
      <c r="AI290" s="270" t="str">
        <f aca="false">IFERROR(IF(E$182*E$185*E$186*E$188&gt;0,STDEV(E$182, E$185, E$186, E$187)," ")/IF(E$182*E$185*E$186*E$188&gt;0,SQRT(COUNT(E$182, E$185, E$186, E$187))," "),"")</f>
        <v/>
      </c>
      <c r="AJ290" s="270" t="str">
        <f aca="false">IFERROR(IF(F$182*F$185*F$186*F$188&gt;0,STDEV(F$182, F$185, F$186, F$187)," ")/IF(F$182*F$185*F$186*F$188&gt;0,SQRT(COUNT(F$182, F$185, F$186, F$187))," "),"")</f>
        <v/>
      </c>
      <c r="AK290" s="270" t="str">
        <f aca="false">IFERROR(IF(G$182*G$185*G$186*G$188&gt;0,STDEV(G$182, G$185, G$186, G$187)," ")/IF(G$182*G$185*G$186*G$188&gt;0,SQRT(COUNT(G$182, G$185, G$186, G$187))," "),"")</f>
        <v/>
      </c>
      <c r="AL290" s="270" t="str">
        <f aca="false">IFERROR(IF(H$182*H$185*H$186*H$188&gt;0,STDEV(H$182, H$185, H$186, H$187)," ")/IF(H$182*H$185*H$186*H$188&gt;0,SQRT(COUNT(H$182, H$185, H$186, H$187))," "),"")</f>
        <v/>
      </c>
      <c r="AM290" s="270" t="str">
        <f aca="false">IFERROR(IF(I$182*I$185*I$186*I$188&gt;0,STDEV(I$182, I$185, I$186, I$187)," ")/IF(I$182*I$185*I$186*I$188&gt;0,SQRT(COUNT(I$182, I$185, I$186, I$187))," "),"")</f>
        <v/>
      </c>
      <c r="AN290" s="270" t="str">
        <f aca="false">IFERROR(IF(J$182*J$185*J$186*J$188&gt;0,STDEV(J$182, J$185, J$186, J$187)," ")/IF(J$182*J$185*J$186*J$188&gt;0,SQRT(COUNT(J$182, J$185, J$186, J$187))," "),"")</f>
        <v/>
      </c>
      <c r="AO290" s="270" t="str">
        <f aca="false">IFERROR(IF(K$182*K$185*K$186*K$188&gt;0,STDEV(K$182, K$185, K$186, K$187)," ")/IF(K$182*K$185*K$186*K$188&gt;0,SQRT(COUNT(K$182, K$185, K$186, K$187))," "),"")</f>
        <v/>
      </c>
      <c r="AP290" s="270" t="str">
        <f aca="false">IFERROR(IF(L$182*L$185*L$186*L$188&gt;0,STDEV(L$182, L$185, L$186, L$187)," ")/IF(L$182*L$185*L$186*L$188&gt;0,SQRT(COUNT(L$182, L$185, L$186, L$187))," "),"")</f>
        <v/>
      </c>
      <c r="AQ290" s="270" t="str">
        <f aca="false">IFERROR(IF(M$182*M$185*M$186*M$188&gt;0,STDEV(M$182, M$185, M$186, M$187)," ")/IF(M$182*M$185*M$186*M$188&gt;0,SQRT(COUNT(M$182, M$185, M$186, M$187))," "),"")</f>
        <v/>
      </c>
      <c r="AR290" s="270" t="str">
        <f aca="false">IFERROR(IF(N$182*N$185*N$186*N$188&gt;0,STDEV(N$182, N$185, N$186, N$187)," ")/IF(N$182*N$185*N$186*N$188&gt;0,SQRT(COUNT(N$182, N$185, N$186, N$187))," "),"")</f>
        <v/>
      </c>
    </row>
    <row r="291" customFormat="false" ht="15.75" hidden="false" customHeight="false" outlineLevel="0" collapsed="false">
      <c r="A291" s="220" t="s">
        <v>533</v>
      </c>
      <c r="B291" s="221"/>
      <c r="C291" s="261" t="str">
        <f aca="false">IFERROR(IF(C$182*C$185*C$186*C$188&gt;0,AVERAGE(C$182, C$185, C$186, C$188),""),"")</f>
        <v/>
      </c>
      <c r="D291" s="261" t="str">
        <f aca="false">IFERROR(IF(D$182*D$185*D$186*D$188&gt;0,AVERAGE(D$182, D$185, D$186, D$188),""),"")</f>
        <v/>
      </c>
      <c r="E291" s="261" t="str">
        <f aca="false">IFERROR(IF(E$182*E$185*E$186*E$188&gt;0,AVERAGE(E$182, E$185, E$186, E$188),""),"")</f>
        <v/>
      </c>
      <c r="F291" s="261" t="str">
        <f aca="false">IFERROR(IF(F$182*F$185*F$186*F$188&gt;0,AVERAGE(F$182, F$185, F$186, F$188),""),"")</f>
        <v/>
      </c>
      <c r="G291" s="261" t="str">
        <f aca="false">IFERROR(IF(G$182*G$185*G$186*G$188&gt;0,AVERAGE(G$182, G$185, G$186, G$188),""),"")</f>
        <v/>
      </c>
      <c r="H291" s="261" t="str">
        <f aca="false">IFERROR(IF(H$182*H$185*H$186*H$188&gt;0,AVERAGE(H$182, H$185, H$186, H$188),""),"")</f>
        <v/>
      </c>
      <c r="I291" s="261" t="str">
        <f aca="false">IFERROR(IF(I$182*I$185*I$186*I$188&gt;0,AVERAGE(I$182, I$185, I$186, I$188),""),"")</f>
        <v/>
      </c>
      <c r="J291" s="261" t="str">
        <f aca="false">IFERROR(IF(J$182*J$185*J$186*J$188&gt;0,AVERAGE(J$182, J$185, J$186, J$188),""),"")</f>
        <v/>
      </c>
      <c r="K291" s="261" t="str">
        <f aca="false">IFERROR(IF(K$182*K$185*K$186*K$188&gt;0,AVERAGE(K$182, K$185, K$186, K$188),""),"")</f>
        <v/>
      </c>
      <c r="L291" s="261" t="str">
        <f aca="false">IFERROR(IF(L$182*L$185*L$186*L$188&gt;0,AVERAGE(L$182, L$185, L$186, L$188),""),"")</f>
        <v/>
      </c>
      <c r="M291" s="261" t="str">
        <f aca="false">IFERROR(IF(M$182*M$185*M$186*M$188&gt;0,AVERAGE(M$182, M$185, M$186, M$188),""),"")</f>
        <v/>
      </c>
      <c r="N291" s="261" t="str">
        <f aca="false">IFERROR(IF(N$182*N$185*N$186*N$188&gt;0,AVERAGE(N$182, N$185, N$186, N$188),""),"")</f>
        <v/>
      </c>
      <c r="O291" s="224"/>
      <c r="P291" s="224"/>
      <c r="Q291" s="232"/>
      <c r="R291" s="226" t="s">
        <v>534</v>
      </c>
      <c r="S291" s="227" t="str">
        <f aca="false">IFERROR(IF(C$182*C$185*C$186*C$188&gt;0,STDEV(C$182, C$185, C$186, C$188),"")/IF(C$182*C$185*C$186*C$188&gt;0,AVERAGE(C$182, C$185, C$186, C$188),""),"")</f>
        <v/>
      </c>
      <c r="T291" s="227" t="str">
        <f aca="false">IFERROR(IF(D$182*D$185*D$186*D$188&gt;0,STDEV(D$182, D$185, D$186, D$188),"")/IF(D$182*D$185*D$186*D$188&gt;0,AVERAGE(D$182, D$185, D$186, D$188),""),"")</f>
        <v/>
      </c>
      <c r="U291" s="227" t="str">
        <f aca="false">IFERROR(IF(E$182*E$185*E$186*E$188&gt;0,STDEV(E$182, E$185, E$186, E$188),"")/IF(E$182*E$185*E$186*E$188&gt;0,AVERAGE(E$182, E$185, E$186, E$188),""),"")</f>
        <v/>
      </c>
      <c r="V291" s="227" t="str">
        <f aca="false">IFERROR(IF(F$182*F$185*F$186*F$188&gt;0,STDEV(F$182, F$185, F$186, F$188),"")/IF(F$182*F$185*F$186*F$188&gt;0,AVERAGE(F$182, F$185, F$186, F$188),""),"")</f>
        <v/>
      </c>
      <c r="W291" s="227" t="str">
        <f aca="false">IFERROR(IF(G$182*G$185*G$186*G$188&gt;0,STDEV(G$182, G$185, G$186, G$188),"")/IF(G$182*G$185*G$186*G$188&gt;0,AVERAGE(G$182, G$185, G$186, G$188),""),"")</f>
        <v/>
      </c>
      <c r="X291" s="227" t="str">
        <f aca="false">IFERROR(IF(H$182*H$185*H$186*H$188&gt;0,STDEV(H$182, H$185, H$186, H$188),"")/IF(H$182*H$185*H$186*H$188&gt;0,AVERAGE(H$182, H$185, H$186, H$188),""),"")</f>
        <v/>
      </c>
      <c r="Y291" s="227" t="str">
        <f aca="false">IFERROR(IF(I$182*I$185*I$186*I$188&gt;0,STDEV(I$182, I$185, I$186, I$188),"")/IF(I$182*I$185*I$186*I$188&gt;0,AVERAGE(I$182, I$185, I$186, I$188),""),"")</f>
        <v/>
      </c>
      <c r="Z291" s="227" t="str">
        <f aca="false">IFERROR(IF(J$182*J$185*J$186*J$188&gt;0,STDEV(J$182, J$185, J$186, J$188),"")/IF(J$182*J$185*J$186*J$188&gt;0,AVERAGE(J$182, J$185, J$186, J$188),""),"")</f>
        <v/>
      </c>
      <c r="AA291" s="227" t="str">
        <f aca="false">IFERROR(IF(K$182*K$185*K$186*K$188&gt;0,STDEV(K$182, K$185, K$186, K$188),"")/IF(K$182*K$185*K$186*K$188&gt;0,AVERAGE(K$182, K$185, K$186, K$188),""),"")</f>
        <v/>
      </c>
      <c r="AB291" s="227" t="str">
        <f aca="false">IFERROR(IF(L$182*L$185*L$186*L$188&gt;0,STDEV(L$182, L$185, L$186, L$188),"")/IF(L$182*L$185*L$186*L$188&gt;0,AVERAGE(L$182, L$185, L$186, L$188),""),"")</f>
        <v/>
      </c>
      <c r="AC291" s="227" t="str">
        <f aca="false">IFERROR(IF(M$182*M$185*M$186*M$188&gt;0,STDEV(M$182, M$185, M$186, M$188),"")/IF(M$182*M$185*M$186*M$188&gt;0,AVERAGE(M$182, M$185, M$186, M$188),""),"")</f>
        <v/>
      </c>
      <c r="AD291" s="227" t="str">
        <f aca="false">IFERROR(IF(N$182*N$185*N$186*N$188&gt;0,STDEV(N$182, N$185, N$186, N$188),"")/IF(N$182*N$185*N$186*N$188&gt;0,AVERAGE(N$182, N$185, N$186, N$188),""),"")</f>
        <v/>
      </c>
      <c r="AE291" s="233"/>
      <c r="AF291" s="229" t="s">
        <v>535</v>
      </c>
      <c r="AG291" s="270" t="str">
        <f aca="false">IFERROR(IF(C$182*C$185*C$186*C$188&gt;0,STDEV(C$182, C$185, C$186, C$188)," ")/IF(C$182*C$185*C$186*C$188&gt;0,SQRT(COUNT(C$182, C$185, C$186, C$188))," "),"")</f>
        <v/>
      </c>
      <c r="AH291" s="270" t="str">
        <f aca="false">IFERROR(IF(D$182*D$185*D$186*D$188&gt;0,STDEV(D$182, D$185, D$186, D$188)," ")/IF(D$182*D$185*D$186*D$188&gt;0,SQRT(COUNT(D$182, D$185, D$186, D$188))," "),"")</f>
        <v/>
      </c>
      <c r="AI291" s="270" t="str">
        <f aca="false">IFERROR(IF(E$182*E$185*E$186*E$188&gt;0,STDEV(E$182, E$185, E$186, E$188)," ")/IF(E$182*E$185*E$186*E$188&gt;0,SQRT(COUNT(E$182, E$185, E$186, E$188))," "),"")</f>
        <v/>
      </c>
      <c r="AJ291" s="270" t="str">
        <f aca="false">IFERROR(IF(F$182*F$185*F$186*F$188&gt;0,STDEV(F$182, F$185, F$186, F$188)," ")/IF(F$182*F$185*F$186*F$188&gt;0,SQRT(COUNT(F$182, F$185, F$186, F$188))," "),"")</f>
        <v/>
      </c>
      <c r="AK291" s="270" t="str">
        <f aca="false">IFERROR(IF(G$182*G$185*G$186*G$188&gt;0,STDEV(G$182, G$185, G$186, G$188)," ")/IF(G$182*G$185*G$186*G$188&gt;0,SQRT(COUNT(G$182, G$185, G$186, G$188))," "),"")</f>
        <v/>
      </c>
      <c r="AL291" s="270" t="str">
        <f aca="false">IFERROR(IF(H$182*H$185*H$186*H$188&gt;0,STDEV(H$182, H$185, H$186, H$188)," ")/IF(H$182*H$185*H$186*H$188&gt;0,SQRT(COUNT(H$182, H$185, H$186, H$188))," "),"")</f>
        <v/>
      </c>
      <c r="AM291" s="270" t="str">
        <f aca="false">IFERROR(IF(I$182*I$185*I$186*I$188&gt;0,STDEV(I$182, I$185, I$186, I$188)," ")/IF(I$182*I$185*I$186*I$188&gt;0,SQRT(COUNT(I$182, I$185, I$186, I$188))," "),"")</f>
        <v/>
      </c>
      <c r="AN291" s="270" t="str">
        <f aca="false">IFERROR(IF(J$182*J$185*J$186*J$188&gt;0,STDEV(J$182, J$185, J$186, J$188)," ")/IF(J$182*J$185*J$186*J$188&gt;0,SQRT(COUNT(J$182, J$185, J$186, J$188))," "),"")</f>
        <v/>
      </c>
      <c r="AO291" s="270" t="str">
        <f aca="false">IFERROR(IF(K$182*K$185*K$186*K$188&gt;0,STDEV(K$182, K$185, K$186, K$188)," ")/IF(K$182*K$185*K$186*K$188&gt;0,SQRT(COUNT(K$182, K$185, K$186, K$188))," "),"")</f>
        <v/>
      </c>
      <c r="AP291" s="270" t="str">
        <f aca="false">IFERROR(IF(L$182*L$185*L$186*L$188&gt;0,STDEV(L$182, L$185, L$186, L$188)," ")/IF(L$182*L$185*L$186*L$188&gt;0,SQRT(COUNT(L$182, L$185, L$186, L$188))," "),"")</f>
        <v/>
      </c>
      <c r="AQ291" s="270" t="str">
        <f aca="false">IFERROR(IF(M$182*M$185*M$186*M$188&gt;0,STDEV(M$182, M$185, M$186, M$188)," ")/IF(M$182*M$185*M$186*M$188&gt;0,SQRT(COUNT(M$182, M$185, M$186, M$188))," "),"")</f>
        <v/>
      </c>
      <c r="AR291" s="270" t="str">
        <f aca="false">IFERROR(IF(N$182*N$185*N$186*N$188&gt;0,STDEV(N$182, N$185, N$186, N$188)," ")/IF(N$182*N$185*N$186*N$188&gt;0,SQRT(COUNT(N$182, N$185, N$186, N$188))," "),"")</f>
        <v/>
      </c>
    </row>
    <row r="292" customFormat="false" ht="15.75" hidden="false" customHeight="false" outlineLevel="0" collapsed="false">
      <c r="A292" s="242" t="s">
        <v>536</v>
      </c>
      <c r="B292" s="243"/>
      <c r="C292" s="262" t="str">
        <f aca="false">IFERROR(IF(C$182*C$183*C$186*C$188&gt;0,AVERAGE(C$182, C$183, C$186, C$188),""),"")</f>
        <v/>
      </c>
      <c r="D292" s="262" t="str">
        <f aca="false">IFERROR(IF(D$182*D$183*D$186*D$188&gt;0,AVERAGE(D$182, D$183, D$186, D$188),""),"")</f>
        <v/>
      </c>
      <c r="E292" s="262" t="str">
        <f aca="false">IFERROR(IF(E$182*E$183*E$186*E$188&gt;0,AVERAGE(E$182, E$183, E$186, E$188),""),"")</f>
        <v/>
      </c>
      <c r="F292" s="262" t="str">
        <f aca="false">IFERROR(IF(F$182*F$183*F$186*F$188&gt;0,AVERAGE(F$182, F$183, F$186, F$188),""),"")</f>
        <v/>
      </c>
      <c r="G292" s="262" t="str">
        <f aca="false">IFERROR(IF(G$182*G$183*G$186*G$188&gt;0,AVERAGE(G$182, G$183, G$186, G$188),""),"")</f>
        <v/>
      </c>
      <c r="H292" s="262" t="str">
        <f aca="false">IFERROR(IF(H$182*H$183*H$186*H$188&gt;0,AVERAGE(H$182, H$183, H$186, H$188),""),"")</f>
        <v/>
      </c>
      <c r="I292" s="262" t="str">
        <f aca="false">IFERROR(IF(I$182*I$183*I$186*I$188&gt;0,AVERAGE(I$182, I$183, I$186, I$188),""),"")</f>
        <v/>
      </c>
      <c r="J292" s="262" t="str">
        <f aca="false">IFERROR(IF(J$182*J$183*J$186*J$188&gt;0,AVERAGE(J$182, J$183, J$186, J$188),""),"")</f>
        <v/>
      </c>
      <c r="K292" s="262" t="str">
        <f aca="false">IFERROR(IF(K$182*K$183*K$186*K$188&gt;0,AVERAGE(K$182, K$183, K$186, K$188),""),"")</f>
        <v/>
      </c>
      <c r="L292" s="262" t="str">
        <f aca="false">IFERROR(IF(L$182*L$183*L$186*L$188&gt;0,AVERAGE(L$182, L$183, L$186, L$188),""),"")</f>
        <v/>
      </c>
      <c r="M292" s="262" t="str">
        <f aca="false">IFERROR(IF(M$182*M$183*M$186*M$188&gt;0,AVERAGE(M$182, M$183, M$186, M$188),""),"")</f>
        <v/>
      </c>
      <c r="N292" s="262" t="str">
        <f aca="false">IFERROR(IF(N$182*N$183*N$186*N$188&gt;0,AVERAGE(N$182, N$183, N$186, N$188),""),"")</f>
        <v/>
      </c>
      <c r="O292" s="263"/>
      <c r="P292" s="245"/>
      <c r="Q292" s="264"/>
      <c r="R292" s="247" t="s">
        <v>537</v>
      </c>
      <c r="S292" s="248" t="str">
        <f aca="false">IFERROR(IF(C$182*C$183*C$186*C$188&gt;0,STDEV(C$182, C$183, C$186, C$188),"")/IF(C$182*C$183*C$186*C$188&gt;0,AVERAGE(C$182, C$183, C$186, C$188),""),"")</f>
        <v/>
      </c>
      <c r="T292" s="248" t="str">
        <f aca="false">IFERROR(IF(D$182*D$183*D$186*D$188&gt;0,STDEV(D$182, D$183, D$186, D$188),"")/IF(D$182*D$183*D$186*D$188&gt;0,AVERAGE(D$182, D$183, D$186, D$188),""),"")</f>
        <v/>
      </c>
      <c r="U292" s="248" t="str">
        <f aca="false">IFERROR(IF(E$182*E$183*E$186*E$188&gt;0,STDEV(E$182, E$183, E$186, E$188),"")/IF(E$182*E$183*E$186*E$188&gt;0,AVERAGE(E$182, E$183, E$186, E$188),""),"")</f>
        <v/>
      </c>
      <c r="V292" s="248" t="str">
        <f aca="false">IFERROR(IF(F$182*F$183*F$186*F$188&gt;0,STDEV(F$182, F$183, F$186, F$188),"")/IF(F$182*F$183*F$186*F$188&gt;0,AVERAGE(F$182, F$183, F$186, F$188),""),"")</f>
        <v/>
      </c>
      <c r="W292" s="248" t="str">
        <f aca="false">IFERROR(IF(G$182*G$183*G$186*G$188&gt;0,STDEV(G$182, G$183, G$186, G$188),"")/IF(G$182*G$183*G$186*G$188&gt;0,AVERAGE(G$182, G$183, G$186, G$188),""),"")</f>
        <v/>
      </c>
      <c r="X292" s="248" t="str">
        <f aca="false">IFERROR(IF(H$182*H$183*H$186*H$188&gt;0,STDEV(H$182, H$183, H$186, H$188),"")/IF(H$182*H$183*H$186*H$188&gt;0,AVERAGE(H$182, H$183, H$186, H$188),""),"")</f>
        <v/>
      </c>
      <c r="Y292" s="248" t="str">
        <f aca="false">IFERROR(IF(I$182*I$183*I$186*I$188&gt;0,STDEV(I$182, I$183, I$186, I$188),"")/IF(I$182*I$183*I$186*I$188&gt;0,AVERAGE(I$182, I$183, I$186, I$188),""),"")</f>
        <v/>
      </c>
      <c r="Z292" s="248" t="str">
        <f aca="false">IFERROR(IF(J$182*J$183*J$186*J$188&gt;0,STDEV(J$182, J$183, J$186, J$188),"")/IF(J$182*J$183*J$186*J$188&gt;0,AVERAGE(J$182, J$183, J$186, J$188),""),"")</f>
        <v/>
      </c>
      <c r="AA292" s="248" t="str">
        <f aca="false">IFERROR(IF(K$182*K$183*K$186*K$188&gt;0,STDEV(K$182, K$183, K$186, K$188),"")/IF(K$182*K$183*K$186*K$188&gt;0,AVERAGE(K$182, K$183, K$186, K$188),""),"")</f>
        <v/>
      </c>
      <c r="AB292" s="248" t="str">
        <f aca="false">IFERROR(IF(L$182*L$183*L$186*L$188&gt;0,STDEV(L$182, L$183, L$186, L$188),"")/IF(L$182*L$183*L$186*L$188&gt;0,AVERAGE(L$182, L$183, L$186, L$188),""),"")</f>
        <v/>
      </c>
      <c r="AC292" s="248" t="str">
        <f aca="false">IFERROR(IF(M$182*M$183*M$186*M$188&gt;0,STDEV(M$182, M$183, M$186, M$188),"")/IF(M$182*M$183*M$186*M$188&gt;0,AVERAGE(M$182, M$183, M$186, M$188),""),"")</f>
        <v/>
      </c>
      <c r="AD292" s="248" t="str">
        <f aca="false">IFERROR(IF(N$182*N$183*N$186*N$188&gt;0,STDEV(N$182, N$183, N$186, N$188),"")/IF(N$182*N$183*N$186*N$188&gt;0,AVERAGE(N$182, N$183, N$186, N$188),""),"")</f>
        <v/>
      </c>
      <c r="AE292" s="249"/>
      <c r="AF292" s="250" t="s">
        <v>538</v>
      </c>
      <c r="AG292" s="272" t="str">
        <f aca="false">IFERROR(IF(C$182*C$183*C$186*C$188&gt;0,STDEV(C$182, C$183, C$186, C$188)," ")/IF(C$182*C$183*C$186*C$188&gt;0,SQRT(COUNT(C$182, C$183, C$186, C$188))," "),"")</f>
        <v/>
      </c>
      <c r="AH292" s="272" t="str">
        <f aca="false">IFERROR(IF(D$182*D$183*D$186*D$188&gt;0,STDEV(D$182, D$183, D$186, D$188)," ")/IF(D$182*D$183*D$186*D$188&gt;0,SQRT(COUNT(D$182, D$183, D$186, D$188))," "),"")</f>
        <v/>
      </c>
      <c r="AI292" s="272" t="str">
        <f aca="false">IFERROR(IF(E$182*E$183*E$186*E$188&gt;0,STDEV(E$182, E$183, E$186, E$188)," ")/IF(E$182*E$183*E$186*E$188&gt;0,SQRT(COUNT(E$182, E$183, E$186, E$188))," "),"")</f>
        <v/>
      </c>
      <c r="AJ292" s="272" t="str">
        <f aca="false">IFERROR(IF(F$182*F$183*F$186*F$188&gt;0,STDEV(F$182, F$183, F$186, F$188)," ")/IF(F$182*F$183*F$186*F$188&gt;0,SQRT(COUNT(F$182, F$183, F$186, F$188))," "),"")</f>
        <v/>
      </c>
      <c r="AK292" s="272" t="str">
        <f aca="false">IFERROR(IF(G$182*G$183*G$186*G$188&gt;0,STDEV(G$182, G$183, G$186, G$188)," ")/IF(G$182*G$183*G$186*G$188&gt;0,SQRT(COUNT(G$182, G$183, G$186, G$188))," "),"")</f>
        <v/>
      </c>
      <c r="AL292" s="272" t="str">
        <f aca="false">IFERROR(IF(H$182*H$183*H$186*H$188&gt;0,STDEV(H$182, H$183, H$186, H$188)," ")/IF(H$182*H$183*H$186*H$188&gt;0,SQRT(COUNT(H$182, H$183, H$186, H$188))," "),"")</f>
        <v/>
      </c>
      <c r="AM292" s="272" t="str">
        <f aca="false">IFERROR(IF(I$182*I$183*I$186*I$188&gt;0,STDEV(I$182, I$183, I$186, I$188)," ")/IF(I$182*I$183*I$186*I$188&gt;0,SQRT(COUNT(I$182, I$183, I$186, I$188))," "),"")</f>
        <v/>
      </c>
      <c r="AN292" s="272" t="str">
        <f aca="false">IFERROR(IF(J$182*J$183*J$186*J$188&gt;0,STDEV(J$182, J$183, J$186, J$188)," ")/IF(J$182*J$183*J$186*J$188&gt;0,SQRT(COUNT(J$182, J$183, J$186, J$188))," "),"")</f>
        <v/>
      </c>
      <c r="AO292" s="272" t="str">
        <f aca="false">IFERROR(IF(K$182*K$183*K$186*K$188&gt;0,STDEV(K$182, K$183, K$186, K$188)," ")/IF(K$182*K$183*K$186*K$188&gt;0,SQRT(COUNT(K$182, K$183, K$186, K$188))," "),"")</f>
        <v/>
      </c>
      <c r="AP292" s="272" t="str">
        <f aca="false">IFERROR(IF(L$182*L$183*L$186*L$188&gt;0,STDEV(L$182, L$183, L$186, L$188)," ")/IF(L$182*L$183*L$186*L$188&gt;0,SQRT(COUNT(L$182, L$183, L$186, L$188))," "),"")</f>
        <v/>
      </c>
      <c r="AQ292" s="272" t="str">
        <f aca="false">IFERROR(IF(M$182*M$183*M$186*M$188&gt;0,STDEV(M$182, M$183, M$186, M$188)," ")/IF(M$182*M$183*M$186*M$188&gt;0,SQRT(COUNT(M$182, M$183, M$186, M$188))," "),"")</f>
        <v/>
      </c>
      <c r="AR292" s="272" t="str">
        <f aca="false">IFERROR(IF(N$182*N$183*N$186*N$188&gt;0,STDEV(N$182, N$183, N$186, N$188)," ")/IF(N$182*N$183*N$186*N$188&gt;0,SQRT(COUNT(N$182, N$183, N$186, N$188))," "),"")</f>
        <v/>
      </c>
    </row>
    <row r="293" customFormat="false" ht="15.75" hidden="false" customHeight="false" outlineLevel="0" collapsed="false">
      <c r="A293" s="220" t="s">
        <v>539</v>
      </c>
      <c r="B293" s="221"/>
      <c r="C293" s="261" t="str">
        <f aca="false">IFERROR(IF(C$182*C$183*C$184*C$185*C186&gt;0,AVERAGE(C$182:C$185,C186),""),"")</f>
        <v/>
      </c>
      <c r="D293" s="261" t="str">
        <f aca="false">IFERROR(IF(D$182*D$183*D$184*D$185*D186&gt;0,AVERAGE(D$182:D$185,D186),""),"")</f>
        <v/>
      </c>
      <c r="E293" s="261" t="str">
        <f aca="false">IFERROR(IF(E$182*E$183*E$184*E$185*E186&gt;0,AVERAGE(E$182:E$185,E186),""),"")</f>
        <v/>
      </c>
      <c r="F293" s="261" t="str">
        <f aca="false">IFERROR(IF(F$182*F$183*F$184*F$185*F186&gt;0,AVERAGE(F$182:F$185,F186),""),"")</f>
        <v/>
      </c>
      <c r="G293" s="261" t="str">
        <f aca="false">IFERROR(IF(G$182*G$183*G$184*G$185*G186&gt;0,AVERAGE(G$182:G$185,G186),""),"")</f>
        <v/>
      </c>
      <c r="H293" s="261" t="str">
        <f aca="false">IFERROR(IF(H$182*H$183*H$184*H$185*H186&gt;0,AVERAGE(H$182:H$185,H186),""),"")</f>
        <v/>
      </c>
      <c r="I293" s="261" t="str">
        <f aca="false">IFERROR(IF(I$182*I$183*I$184*I$185*I186&gt;0,AVERAGE(I$182:I$185,I186),""),"")</f>
        <v/>
      </c>
      <c r="J293" s="261" t="str">
        <f aca="false">IFERROR(IF(J$182*J$183*J$184*J$185*J186&gt;0,AVERAGE(J$182:J$185,J186),""),"")</f>
        <v/>
      </c>
      <c r="K293" s="261" t="str">
        <f aca="false">IFERROR(IF(K$182*K$183*K$184*K$185*K186&gt;0,AVERAGE(K$182:K$185,K186),""),"")</f>
        <v/>
      </c>
      <c r="L293" s="261" t="str">
        <f aca="false">IFERROR(IF(L$182*L$183*L$184*L$185*L186&gt;0,AVERAGE(L$182:L$185,L186),""),"")</f>
        <v/>
      </c>
      <c r="M293" s="261" t="str">
        <f aca="false">IFERROR(IF(M$182*M$183*M$184*M$185*M186&gt;0,AVERAGE(M$182:M$185,M186),""),"")</f>
        <v/>
      </c>
      <c r="N293" s="261" t="str">
        <f aca="false">IFERROR(IF(N$182*N$183*N$184*N$185*N186&gt;0,AVERAGE(N$182:N$185,N186),""),"")</f>
        <v/>
      </c>
      <c r="O293" s="240" t="n">
        <v>5</v>
      </c>
      <c r="P293" s="224" t="n">
        <f aca="false">COMBIN(7,5)</f>
        <v>21</v>
      </c>
      <c r="Q293" s="252" t="n">
        <f aca="false">ROW(N313)-ROW(N293)+1</f>
        <v>21</v>
      </c>
      <c r="R293" s="226" t="s">
        <v>540</v>
      </c>
      <c r="S293" s="227" t="str">
        <f aca="false">IFERROR(IF(C$182*C$183*C$184*C$185*C186&gt;0,STDEV(C$182:C$185,C186),"")/IF(C$182*C$183*C$184*C$185*C186&gt;0,AVERAGE(C$182:C$185,C186),""),"")</f>
        <v/>
      </c>
      <c r="T293" s="227" t="str">
        <f aca="false">IFERROR(IF(D$182*D$183*D$184*D$185*D186&gt;0,STDEV(D$182:D$185,D186),"")/IF(D$182*D$183*D$184*D$185*D186&gt;0,AVERAGE(D$182:D$185,D186),""),"")</f>
        <v/>
      </c>
      <c r="U293" s="227" t="str">
        <f aca="false">IFERROR(IF(E$182*E$183*E$184*E$185*E186&gt;0,STDEV(E$182:E$185,E186),"")/IF(E$182*E$183*E$184*E$185*E186&gt;0,AVERAGE(E$182:E$185,E186),""),"")</f>
        <v/>
      </c>
      <c r="V293" s="227" t="str">
        <f aca="false">IFERROR(IF(F$182*F$183*F$184*F$185*F186&gt;0,STDEV(F$182:F$185,F186),"")/IF(F$182*F$183*F$184*F$185*F186&gt;0,AVERAGE(F$182:F$185,F186),""),"")</f>
        <v/>
      </c>
      <c r="W293" s="227" t="str">
        <f aca="false">IFERROR(IF(G$182*G$183*G$184*G$185*G186&gt;0,STDEV(G$182:G$185,G186),"")/IF(G$182*G$183*G$184*G$185*G186&gt;0,AVERAGE(G$182:G$185,G186),""),"")</f>
        <v/>
      </c>
      <c r="X293" s="227" t="str">
        <f aca="false">IFERROR(IF(H$182*H$183*H$184*H$185*H186&gt;0,STDEV(H$182:H$185,H186),"")/IF(H$182*H$183*H$184*H$185*H186&gt;0,AVERAGE(H$182:H$185,H186),""),"")</f>
        <v/>
      </c>
      <c r="Y293" s="227" t="str">
        <f aca="false">IFERROR(IF(I$182*I$183*I$184*I$185*I186&gt;0,STDEV(I$182:I$185,I186),"")/IF(I$182*I$183*I$184*I$185*I186&gt;0,AVERAGE(I$182:I$185,I186),""),"")</f>
        <v/>
      </c>
      <c r="Z293" s="227" t="str">
        <f aca="false">IFERROR(IF(J$182*J$183*J$184*J$185*J186&gt;0,STDEV(J$182:J$185,J186),"")/IF(J$182*J$183*J$184*J$185*J186&gt;0,AVERAGE(J$182:J$185,J186),""),"")</f>
        <v/>
      </c>
      <c r="AA293" s="227" t="str">
        <f aca="false">IFERROR(IF(K$182*K$183*K$184*K$185*K186&gt;0,STDEV(K$182:K$185,K186),"")/IF(K$182*K$183*K$184*K$185*K186&gt;0,AVERAGE(K$182:K$185,K186),""),"")</f>
        <v/>
      </c>
      <c r="AB293" s="227" t="str">
        <f aca="false">IFERROR(IF(L$182*L$183*L$184*L$185*L186&gt;0,STDEV(L$182:L$185,L186),"")/IF(L$182*L$183*L$184*L$185*L186&gt;0,AVERAGE(L$182:L$185,L186),""),"")</f>
        <v/>
      </c>
      <c r="AC293" s="227" t="str">
        <f aca="false">IFERROR(IF(M$182*M$183*M$184*M$185*M186&gt;0,STDEV(M$182:M$185,M186),"")/IF(M$182*M$183*M$184*M$185*M186&gt;0,AVERAGE(M$182:M$185,M186),""),"")</f>
        <v/>
      </c>
      <c r="AD293" s="227" t="str">
        <f aca="false">IFERROR(IF(N$182*N$183*N$184*N$185*N186&gt;0,STDEV(N$182:N$185,N186),"")/IF(N$182*N$183*N$184*N$185*N186&gt;0,AVERAGE(N$182:N$185,N186),""),"")</f>
        <v/>
      </c>
      <c r="AE293" s="233"/>
      <c r="AF293" s="229" t="s">
        <v>541</v>
      </c>
      <c r="AG293" s="270" t="str">
        <f aca="false">IFERROR(IF(C$182*C$183*C$184*C$185*C186&gt;0,STDEV(C$182:C$185,C186)," ")/IF(C$182*C$183*C$184*C$185*C186&gt;0,SQRT(COUNT(C$182:C$185,C186))," "),"")</f>
        <v/>
      </c>
      <c r="AH293" s="270" t="str">
        <f aca="false">IFERROR(IF(D$182*D$183*D$184*D$185*D186&gt;0,STDEV(D$182:D$185,D186)," ")/IF(D$182*D$183*D$184*D$185*D186&gt;0,SQRT(COUNT(D$182:D$185,D186))," "),"")</f>
        <v/>
      </c>
      <c r="AI293" s="270" t="str">
        <f aca="false">IFERROR(IF(E$182*E$183*E$184*E$185*E186&gt;0,STDEV(E$182:E$185,E186)," ")/IF(E$182*E$183*E$184*E$185*E186&gt;0,SQRT(COUNT(E$182:E$185,E186))," "),"")</f>
        <v/>
      </c>
      <c r="AJ293" s="270" t="str">
        <f aca="false">IFERROR(IF(F$182*F$183*F$184*F$185*F186&gt;0,STDEV(F$182:F$185,F186)," ")/IF(F$182*F$183*F$184*F$185*F186&gt;0,SQRT(COUNT(F$182:F$185,F186))," "),"")</f>
        <v/>
      </c>
      <c r="AK293" s="270" t="str">
        <f aca="false">IFERROR(IF(G$182*G$183*G$184*G$185*G186&gt;0,STDEV(G$182:G$185,G186)," ")/IF(G$182*G$183*G$184*G$185*G186&gt;0,SQRT(COUNT(G$182:G$185,G186))," "),"")</f>
        <v/>
      </c>
      <c r="AL293" s="270" t="str">
        <f aca="false">IFERROR(IF(H$182*H$183*H$184*H$185*H186&gt;0,STDEV(H$182:H$185,H186)," ")/IF(H$182*H$183*H$184*H$185*H186&gt;0,SQRT(COUNT(H$182:H$185,H186))," "),"")</f>
        <v/>
      </c>
      <c r="AM293" s="270" t="str">
        <f aca="false">IFERROR(IF(I$182*I$183*I$184*I$185*I186&gt;0,STDEV(I$182:I$185,I186)," ")/IF(I$182*I$183*I$184*I$185*I186&gt;0,SQRT(COUNT(I$182:I$185,I186))," "),"")</f>
        <v/>
      </c>
      <c r="AN293" s="270" t="str">
        <f aca="false">IFERROR(IF(J$182*J$183*J$184*J$185*J186&gt;0,STDEV(J$182:J$185,J186)," ")/IF(J$182*J$183*J$184*J$185*J186&gt;0,SQRT(COUNT(J$182:J$185,J186))," "),"")</f>
        <v/>
      </c>
      <c r="AO293" s="270" t="str">
        <f aca="false">IFERROR(IF(K$182*K$183*K$184*K$185*K186&gt;0,STDEV(K$182:K$185,K186)," ")/IF(K$182*K$183*K$184*K$185*K186&gt;0,SQRT(COUNT(K$182:K$185,K186))," "),"")</f>
        <v/>
      </c>
      <c r="AP293" s="270" t="str">
        <f aca="false">IFERROR(IF(L$182*L$183*L$184*L$185*L186&gt;0,STDEV(L$182:L$185,L186)," ")/IF(L$182*L$183*L$184*L$185*L186&gt;0,SQRT(COUNT(L$182:L$185,L186))," "),"")</f>
        <v/>
      </c>
      <c r="AQ293" s="270" t="str">
        <f aca="false">IFERROR(IF(M$182*M$183*M$184*M$185*M186&gt;0,STDEV(M$182:M$185,M186)," ")/IF(M$182*M$183*M$184*M$185*M186&gt;0,SQRT(COUNT(M$182:M$185,M186))," "),"")</f>
        <v/>
      </c>
      <c r="AR293" s="270" t="str">
        <f aca="false">IFERROR(IF(N$182*N$183*N$184*N$185*N186&gt;0,STDEV(N$182:N$185,N186)," ")/IF(N$182*N$183*N$184*N$185*N186&gt;0,SQRT(COUNT(N$182:N$185,N186))," "),"")</f>
        <v/>
      </c>
    </row>
    <row r="294" customFormat="false" ht="15.75" hidden="false" customHeight="false" outlineLevel="0" collapsed="false">
      <c r="A294" s="220" t="s">
        <v>542</v>
      </c>
      <c r="B294" s="221"/>
      <c r="C294" s="261" t="str">
        <f aca="false">IFERROR(IF(C$182*C$183*C$184*C$185*C187&gt;0,AVERAGE(C$182:C$185,C187),""),"")</f>
        <v/>
      </c>
      <c r="D294" s="261" t="str">
        <f aca="false">IFERROR(IF(D$182*D$183*D$184*D$185*D187&gt;0,AVERAGE(D$182:D$185,D187),""),"")</f>
        <v/>
      </c>
      <c r="E294" s="261" t="str">
        <f aca="false">IFERROR(IF(E$182*E$183*E$184*E$185*E187&gt;0,AVERAGE(E$182:E$185,E187),""),"")</f>
        <v/>
      </c>
      <c r="F294" s="261" t="str">
        <f aca="false">IFERROR(IF(F$182*F$183*F$184*F$185*F187&gt;0,AVERAGE(F$182:F$185,F187),""),"")</f>
        <v/>
      </c>
      <c r="G294" s="261" t="str">
        <f aca="false">IFERROR(IF(G$182*G$183*G$184*G$185*G187&gt;0,AVERAGE(G$182:G$185,G187),""),"")</f>
        <v/>
      </c>
      <c r="H294" s="261" t="str">
        <f aca="false">IFERROR(IF(H$182*H$183*H$184*H$185*H187&gt;0,AVERAGE(H$182:H$185,H187),""),"")</f>
        <v/>
      </c>
      <c r="I294" s="261" t="str">
        <f aca="false">IFERROR(IF(I$182*I$183*I$184*I$185*I187&gt;0,AVERAGE(I$182:I$185,I187),""),"")</f>
        <v/>
      </c>
      <c r="J294" s="261" t="str">
        <f aca="false">IFERROR(IF(J$182*J$183*J$184*J$185*J187&gt;0,AVERAGE(J$182:J$185,J187),""),"")</f>
        <v/>
      </c>
      <c r="K294" s="261" t="str">
        <f aca="false">IFERROR(IF(K$182*K$183*K$184*K$185*K187&gt;0,AVERAGE(K$182:K$185,K187),""),"")</f>
        <v/>
      </c>
      <c r="L294" s="261" t="str">
        <f aca="false">IFERROR(IF(L$182*L$183*L$184*L$185*L187&gt;0,AVERAGE(L$182:L$185,L187),""),"")</f>
        <v/>
      </c>
      <c r="M294" s="261" t="str">
        <f aca="false">IFERROR(IF(M$182*M$183*M$184*M$185*M187&gt;0,AVERAGE(M$182:M$185,M187),""),"")</f>
        <v/>
      </c>
      <c r="N294" s="261" t="str">
        <f aca="false">IFERROR(IF(N$182*N$183*N$184*N$185*N187&gt;0,AVERAGE(N$182:N$185,N187),""),"")</f>
        <v/>
      </c>
      <c r="O294" s="224"/>
      <c r="P294" s="224"/>
      <c r="Q294" s="232"/>
      <c r="R294" s="226" t="s">
        <v>543</v>
      </c>
      <c r="S294" s="227" t="str">
        <f aca="false">IFERROR(IF(C$182*C$183*C$184*C$185*C187&gt;0,STDEV(C$182:C$185,C187),"")/IF(C$182*C$183*C$184*C$185*C187&gt;0,AVERAGE(C$182:C$185,C187),""),"")</f>
        <v/>
      </c>
      <c r="T294" s="227" t="str">
        <f aca="false">IFERROR(IF(D$182*D$183*D$184*D$185*D187&gt;0,STDEV(D$182:D$185,D187),"")/IF(D$182*D$183*D$184*D$185*D187&gt;0,AVERAGE(D$182:D$185,D187),""),"")</f>
        <v/>
      </c>
      <c r="U294" s="227" t="str">
        <f aca="false">IFERROR(IF(E$182*E$183*E$184*E$185*E187&gt;0,STDEV(E$182:E$185,E187),"")/IF(E$182*E$183*E$184*E$185*E187&gt;0,AVERAGE(E$182:E$185,E187),""),"")</f>
        <v/>
      </c>
      <c r="V294" s="227" t="str">
        <f aca="false">IFERROR(IF(F$182*F$183*F$184*F$185*F187&gt;0,STDEV(F$182:F$185,F187),"")/IF(F$182*F$183*F$184*F$185*F187&gt;0,AVERAGE(F$182:F$185,F187),""),"")</f>
        <v/>
      </c>
      <c r="W294" s="227" t="str">
        <f aca="false">IFERROR(IF(G$182*G$183*G$184*G$185*G187&gt;0,STDEV(G$182:G$185,G187),"")/IF(G$182*G$183*G$184*G$185*G187&gt;0,AVERAGE(G$182:G$185,G187),""),"")</f>
        <v/>
      </c>
      <c r="X294" s="227" t="str">
        <f aca="false">IFERROR(IF(H$182*H$183*H$184*H$185*H187&gt;0,STDEV(H$182:H$185,H187),"")/IF(H$182*H$183*H$184*H$185*H187&gt;0,AVERAGE(H$182:H$185,H187),""),"")</f>
        <v/>
      </c>
      <c r="Y294" s="227" t="str">
        <f aca="false">IFERROR(IF(I$182*I$183*I$184*I$185*I187&gt;0,STDEV(I$182:I$185,I187),"")/IF(I$182*I$183*I$184*I$185*I187&gt;0,AVERAGE(I$182:I$185,I187),""),"")</f>
        <v/>
      </c>
      <c r="Z294" s="227" t="str">
        <f aca="false">IFERROR(IF(J$182*J$183*J$184*J$185*J187&gt;0,STDEV(J$182:J$185,J187),"")/IF(J$182*J$183*J$184*J$185*J187&gt;0,AVERAGE(J$182:J$185,J187),""),"")</f>
        <v/>
      </c>
      <c r="AA294" s="227" t="str">
        <f aca="false">IFERROR(IF(K$182*K$183*K$184*K$185*K187&gt;0,STDEV(K$182:K$185,K187),"")/IF(K$182*K$183*K$184*K$185*K187&gt;0,AVERAGE(K$182:K$185,K187),""),"")</f>
        <v/>
      </c>
      <c r="AB294" s="227" t="str">
        <f aca="false">IFERROR(IF(L$182*L$183*L$184*L$185*L187&gt;0,STDEV(L$182:L$185,L187),"")/IF(L$182*L$183*L$184*L$185*L187&gt;0,AVERAGE(L$182:L$185,L187),""),"")</f>
        <v/>
      </c>
      <c r="AC294" s="227" t="str">
        <f aca="false">IFERROR(IF(M$182*M$183*M$184*M$185*M187&gt;0,STDEV(M$182:M$185,M187),"")/IF(M$182*M$183*M$184*M$185*M187&gt;0,AVERAGE(M$182:M$185,M187),""),"")</f>
        <v/>
      </c>
      <c r="AD294" s="227" t="str">
        <f aca="false">IFERROR(IF(N$182*N$183*N$184*N$185*N187&gt;0,STDEV(N$182:N$185,N187),"")/IF(N$182*N$183*N$184*N$185*N187&gt;0,AVERAGE(N$182:N$185,N187),""),"")</f>
        <v/>
      </c>
      <c r="AE294" s="233"/>
      <c r="AF294" s="229" t="s">
        <v>544</v>
      </c>
      <c r="AG294" s="270" t="str">
        <f aca="false">IFERROR(IF(C$182*C$183*C$184*C$185*C187&gt;0,STDEV(C$182:C$185,C187)," ")/IF(C$182*C$183*C$184*C$185*C187&gt;0,SQRT(COUNT(C$182:C$185,C187))," "),"")</f>
        <v/>
      </c>
      <c r="AH294" s="270" t="str">
        <f aca="false">IFERROR(IF(D$182*D$183*D$184*D$185*D187&gt;0,STDEV(D$182:D$185,D187)," ")/IF(D$182*D$183*D$184*D$185*D187&gt;0,SQRT(COUNT(D$182:D$185,D187))," "),"")</f>
        <v/>
      </c>
      <c r="AI294" s="270" t="str">
        <f aca="false">IFERROR(IF(E$182*E$183*E$184*E$185*E187&gt;0,STDEV(E$182:E$185,E187)," ")/IF(E$182*E$183*E$184*E$185*E187&gt;0,SQRT(COUNT(E$182:E$185,E187))," "),"")</f>
        <v/>
      </c>
      <c r="AJ294" s="270" t="str">
        <f aca="false">IFERROR(IF(F$182*F$183*F$184*F$185*F187&gt;0,STDEV(F$182:F$185,F187)," ")/IF(F$182*F$183*F$184*F$185*F187&gt;0,SQRT(COUNT(F$182:F$185,F187))," "),"")</f>
        <v/>
      </c>
      <c r="AK294" s="270" t="str">
        <f aca="false">IFERROR(IF(G$182*G$183*G$184*G$185*G187&gt;0,STDEV(G$182:G$185,G187)," ")/IF(G$182*G$183*G$184*G$185*G187&gt;0,SQRT(COUNT(G$182:G$185,G187))," "),"")</f>
        <v/>
      </c>
      <c r="AL294" s="270" t="str">
        <f aca="false">IFERROR(IF(H$182*H$183*H$184*H$185*H187&gt;0,STDEV(H$182:H$185,H187)," ")/IF(H$182*H$183*H$184*H$185*H187&gt;0,SQRT(COUNT(H$182:H$185,H187))," "),"")</f>
        <v/>
      </c>
      <c r="AM294" s="270" t="str">
        <f aca="false">IFERROR(IF(I$182*I$183*I$184*I$185*I187&gt;0,STDEV(I$182:I$185,I187)," ")/IF(I$182*I$183*I$184*I$185*I187&gt;0,SQRT(COUNT(I$182:I$185,I187))," "),"")</f>
        <v/>
      </c>
      <c r="AN294" s="270" t="str">
        <f aca="false">IFERROR(IF(J$182*J$183*J$184*J$185*J187&gt;0,STDEV(J$182:J$185,J187)," ")/IF(J$182*J$183*J$184*J$185*J187&gt;0,SQRT(COUNT(J$182:J$185,J187))," "),"")</f>
        <v/>
      </c>
      <c r="AO294" s="270" t="str">
        <f aca="false">IFERROR(IF(K$182*K$183*K$184*K$185*K187&gt;0,STDEV(K$182:K$185,K187)," ")/IF(K$182*K$183*K$184*K$185*K187&gt;0,SQRT(COUNT(K$182:K$185,K187))," "),"")</f>
        <v/>
      </c>
      <c r="AP294" s="270" t="str">
        <f aca="false">IFERROR(IF(L$182*L$183*L$184*L$185*L187&gt;0,STDEV(L$182:L$185,L187)," ")/IF(L$182*L$183*L$184*L$185*L187&gt;0,SQRT(COUNT(L$182:L$185,L187))," "),"")</f>
        <v/>
      </c>
      <c r="AQ294" s="270" t="str">
        <f aca="false">IFERROR(IF(M$182*M$183*M$184*M$185*M187&gt;0,STDEV(M$182:M$185,M187)," ")/IF(M$182*M$183*M$184*M$185*M187&gt;0,SQRT(COUNT(M$182:M$185,M187))," "),"")</f>
        <v/>
      </c>
      <c r="AR294" s="270" t="str">
        <f aca="false">IFERROR(IF(N$182*N$183*N$184*N$185*N187&gt;0,STDEV(N$182:N$185,N187)," ")/IF(N$182*N$183*N$184*N$185*N187&gt;0,SQRT(COUNT(N$182:N$185,N187))," "),"")</f>
        <v/>
      </c>
    </row>
    <row r="295" customFormat="false" ht="15.75" hidden="false" customHeight="false" outlineLevel="0" collapsed="false">
      <c r="A295" s="220" t="s">
        <v>545</v>
      </c>
      <c r="B295" s="221"/>
      <c r="C295" s="261" t="str">
        <f aca="false">IFERROR(IF(C$182*C$183*C$184*C$185*C188&gt;0,AVERAGE(C$182:C$185,C188),""),"")</f>
        <v/>
      </c>
      <c r="D295" s="261" t="str">
        <f aca="false">IFERROR(IF(D$182*D$183*D$184*D$185*D188&gt;0,AVERAGE(D$182:D$185,D188),""),"")</f>
        <v/>
      </c>
      <c r="E295" s="261" t="str">
        <f aca="false">IFERROR(IF(E$182*E$183*E$184*E$185*E188&gt;0,AVERAGE(E$182:E$185,E188),""),"")</f>
        <v/>
      </c>
      <c r="F295" s="261" t="str">
        <f aca="false">IFERROR(IF(F$182*F$183*F$184*F$185*F188&gt;0,AVERAGE(F$182:F$185,F188),""),"")</f>
        <v/>
      </c>
      <c r="G295" s="261" t="str">
        <f aca="false">IFERROR(IF(G$182*G$183*G$184*G$185*G188&gt;0,AVERAGE(G$182:G$185,G188),""),"")</f>
        <v/>
      </c>
      <c r="H295" s="261" t="str">
        <f aca="false">IFERROR(IF(H$182*H$183*H$184*H$185*H188&gt;0,AVERAGE(H$182:H$185,H188),""),"")</f>
        <v/>
      </c>
      <c r="I295" s="261" t="str">
        <f aca="false">IFERROR(IF(I$182*I$183*I$184*I$185*I188&gt;0,AVERAGE(I$182:I$185,I188),""),"")</f>
        <v/>
      </c>
      <c r="J295" s="261" t="str">
        <f aca="false">IFERROR(IF(J$182*J$183*J$184*J$185*J188&gt;0,AVERAGE(J$182:J$185,J188),""),"")</f>
        <v/>
      </c>
      <c r="K295" s="261" t="str">
        <f aca="false">IFERROR(IF(K$182*K$183*K$184*K$185*K188&gt;0,AVERAGE(K$182:K$185,K188),""),"")</f>
        <v/>
      </c>
      <c r="L295" s="261" t="str">
        <f aca="false">IFERROR(IF(L$182*L$183*L$184*L$185*L188&gt;0,AVERAGE(L$182:L$185,L188),""),"")</f>
        <v/>
      </c>
      <c r="M295" s="261" t="str">
        <f aca="false">IFERROR(IF(M$182*M$183*M$184*M$185*M188&gt;0,AVERAGE(M$182:M$185,M188),""),"")</f>
        <v/>
      </c>
      <c r="N295" s="261" t="str">
        <f aca="false">IFERROR(IF(N$182*N$183*N$184*N$185*N188&gt;0,AVERAGE(N$182:N$185,N188),""),"")</f>
        <v/>
      </c>
      <c r="O295" s="224"/>
      <c r="P295" s="224"/>
      <c r="Q295" s="232"/>
      <c r="R295" s="226" t="s">
        <v>546</v>
      </c>
      <c r="S295" s="227" t="str">
        <f aca="false">IFERROR(IF(C$182*C$183*C$184*C$185*C188&gt;0,STDEV(C$182:C$185,C188),"")/IF(C$182*C$183*C$184*C$185*C188&gt;0,AVERAGE(C$182:C$185,C188),""),"")</f>
        <v/>
      </c>
      <c r="T295" s="227" t="str">
        <f aca="false">IFERROR(IF(D$182*D$183*D$184*D$185*D188&gt;0,STDEV(D$182:D$185,D188),"")/IF(D$182*D$183*D$184*D$185*D188&gt;0,AVERAGE(D$182:D$185,D188),""),"")</f>
        <v/>
      </c>
      <c r="U295" s="227" t="str">
        <f aca="false">IFERROR(IF(E$182*E$183*E$184*E$185*E188&gt;0,STDEV(E$182:E$185,E188),"")/IF(E$182*E$183*E$184*E$185*E188&gt;0,AVERAGE(E$182:E$185,E188),""),"")</f>
        <v/>
      </c>
      <c r="V295" s="227" t="str">
        <f aca="false">IFERROR(IF(F$182*F$183*F$184*F$185*F188&gt;0,STDEV(F$182:F$185,F188),"")/IF(F$182*F$183*F$184*F$185*F188&gt;0,AVERAGE(F$182:F$185,F188),""),"")</f>
        <v/>
      </c>
      <c r="W295" s="227" t="str">
        <f aca="false">IFERROR(IF(G$182*G$183*G$184*G$185*G188&gt;0,STDEV(G$182:G$185,G188),"")/IF(G$182*G$183*G$184*G$185*G188&gt;0,AVERAGE(G$182:G$185,G188),""),"")</f>
        <v/>
      </c>
      <c r="X295" s="227" t="str">
        <f aca="false">IFERROR(IF(H$182*H$183*H$184*H$185*H188&gt;0,STDEV(H$182:H$185,H188),"")/IF(H$182*H$183*H$184*H$185*H188&gt;0,AVERAGE(H$182:H$185,H188),""),"")</f>
        <v/>
      </c>
      <c r="Y295" s="227" t="str">
        <f aca="false">IFERROR(IF(I$182*I$183*I$184*I$185*I188&gt;0,STDEV(I$182:I$185,I188),"")/IF(I$182*I$183*I$184*I$185*I188&gt;0,AVERAGE(I$182:I$185,I188),""),"")</f>
        <v/>
      </c>
      <c r="Z295" s="227" t="str">
        <f aca="false">IFERROR(IF(J$182*J$183*J$184*J$185*J188&gt;0,STDEV(J$182:J$185,J188),"")/IF(J$182*J$183*J$184*J$185*J188&gt;0,AVERAGE(J$182:J$185,J188),""),"")</f>
        <v/>
      </c>
      <c r="AA295" s="227" t="str">
        <f aca="false">IFERROR(IF(K$182*K$183*K$184*K$185*K188&gt;0,STDEV(K$182:K$185,K188),"")/IF(K$182*K$183*K$184*K$185*K188&gt;0,AVERAGE(K$182:K$185,K188),""),"")</f>
        <v/>
      </c>
      <c r="AB295" s="227" t="str">
        <f aca="false">IFERROR(IF(L$182*L$183*L$184*L$185*L188&gt;0,STDEV(L$182:L$185,L188),"")/IF(L$182*L$183*L$184*L$185*L188&gt;0,AVERAGE(L$182:L$185,L188),""),"")</f>
        <v/>
      </c>
      <c r="AC295" s="227" t="str">
        <f aca="false">IFERROR(IF(M$182*M$183*M$184*M$185*M188&gt;0,STDEV(M$182:M$185,M188),"")/IF(M$182*M$183*M$184*M$185*M188&gt;0,AVERAGE(M$182:M$185,M188),""),"")</f>
        <v/>
      </c>
      <c r="AD295" s="227" t="str">
        <f aca="false">IFERROR(IF(N$182*N$183*N$184*N$185*N188&gt;0,STDEV(N$182:N$185,N188),"")/IF(N$182*N$183*N$184*N$185*N188&gt;0,AVERAGE(N$182:N$185,N188),""),"")</f>
        <v/>
      </c>
      <c r="AE295" s="233"/>
      <c r="AF295" s="229" t="s">
        <v>547</v>
      </c>
      <c r="AG295" s="270" t="str">
        <f aca="false">IFERROR(IF(C$182*C$183*C$184*C$185*C188&gt;0,STDEV(C$182:C$185,C188)," ")/IF(C$182*C$183*C$184*C$185*C188&gt;0,SQRT(COUNT(C$182:C$185,C188))," "),"")</f>
        <v/>
      </c>
      <c r="AH295" s="270" t="str">
        <f aca="false">IFERROR(IF(D$182*D$183*D$184*D$185*D188&gt;0,STDEV(D$182:D$185,D188)," ")/IF(D$182*D$183*D$184*D$185*D188&gt;0,SQRT(COUNT(D$182:D$185,D188))," "),"")</f>
        <v/>
      </c>
      <c r="AI295" s="270" t="str">
        <f aca="false">IFERROR(IF(E$182*E$183*E$184*E$185*E188&gt;0,STDEV(E$182:E$185,E188)," ")/IF(E$182*E$183*E$184*E$185*E188&gt;0,SQRT(COUNT(E$182:E$185,E188))," "),"")</f>
        <v/>
      </c>
      <c r="AJ295" s="270" t="str">
        <f aca="false">IFERROR(IF(F$182*F$183*F$184*F$185*F188&gt;0,STDEV(F$182:F$185,F188)," ")/IF(F$182*F$183*F$184*F$185*F188&gt;0,SQRT(COUNT(F$182:F$185,F188))," "),"")</f>
        <v/>
      </c>
      <c r="AK295" s="270" t="str">
        <f aca="false">IFERROR(IF(G$182*G$183*G$184*G$185*G188&gt;0,STDEV(G$182:G$185,G188)," ")/IF(G$182*G$183*G$184*G$185*G188&gt;0,SQRT(COUNT(G$182:G$185,G188))," "),"")</f>
        <v/>
      </c>
      <c r="AL295" s="270" t="str">
        <f aca="false">IFERROR(IF(H$182*H$183*H$184*H$185*H188&gt;0,STDEV(H$182:H$185,H188)," ")/IF(H$182*H$183*H$184*H$185*H188&gt;0,SQRT(COUNT(H$182:H$185,H188))," "),"")</f>
        <v/>
      </c>
      <c r="AM295" s="270" t="str">
        <f aca="false">IFERROR(IF(I$182*I$183*I$184*I$185*I188&gt;0,STDEV(I$182:I$185,I188)," ")/IF(I$182*I$183*I$184*I$185*I188&gt;0,SQRT(COUNT(I$182:I$185,I188))," "),"")</f>
        <v/>
      </c>
      <c r="AN295" s="270" t="str">
        <f aca="false">IFERROR(IF(J$182*J$183*J$184*J$185*J188&gt;0,STDEV(J$182:J$185,J188)," ")/IF(J$182*J$183*J$184*J$185*J188&gt;0,SQRT(COUNT(J$182:J$185,J188))," "),"")</f>
        <v/>
      </c>
      <c r="AO295" s="270" t="str">
        <f aca="false">IFERROR(IF(K$182*K$183*K$184*K$185*K188&gt;0,STDEV(K$182:K$185,K188)," ")/IF(K$182*K$183*K$184*K$185*K188&gt;0,SQRT(COUNT(K$182:K$185,K188))," "),"")</f>
        <v/>
      </c>
      <c r="AP295" s="270" t="str">
        <f aca="false">IFERROR(IF(L$182*L$183*L$184*L$185*L188&gt;0,STDEV(L$182:L$185,L188)," ")/IF(L$182*L$183*L$184*L$185*L188&gt;0,SQRT(COUNT(L$182:L$185,L188))," "),"")</f>
        <v/>
      </c>
      <c r="AQ295" s="270" t="str">
        <f aca="false">IFERROR(IF(M$182*M$183*M$184*M$185*M188&gt;0,STDEV(M$182:M$185,M188)," ")/IF(M$182*M$183*M$184*M$185*M188&gt;0,SQRT(COUNT(M$182:M$185,M188))," "),"")</f>
        <v/>
      </c>
      <c r="AR295" s="270" t="str">
        <f aca="false">IFERROR(IF(N$182*N$183*N$184*N$185*N188&gt;0,STDEV(N$182:N$185,N188)," ")/IF(N$182*N$183*N$184*N$185*N188&gt;0,SQRT(COUNT(N$182:N$185,N188))," "),"")</f>
        <v/>
      </c>
    </row>
    <row r="296" customFormat="false" ht="15.75" hidden="false" customHeight="false" outlineLevel="0" collapsed="false">
      <c r="A296" s="220" t="s">
        <v>548</v>
      </c>
      <c r="B296" s="221"/>
      <c r="C296" s="261" t="str">
        <f aca="false">IFERROR(IF(C$183*C$184*C$185*C$186*C182&gt;0,AVERAGE(C$183:C$186,C182),""),"")</f>
        <v/>
      </c>
      <c r="D296" s="261" t="str">
        <f aca="false">IFERROR(IF(D$183*D$184*D$185*D$186*D182&gt;0,AVERAGE(D$183:D$186,D182),""),"")</f>
        <v/>
      </c>
      <c r="E296" s="261" t="str">
        <f aca="false">IFERROR(IF(E$183*E$184*E$185*E$186*E182&gt;0,AVERAGE(E$183:E$186,E182),""),"")</f>
        <v/>
      </c>
      <c r="F296" s="261" t="str">
        <f aca="false">IFERROR(IF(F$183*F$184*F$185*F$186*F182&gt;0,AVERAGE(F$183:F$186,F182),""),"")</f>
        <v/>
      </c>
      <c r="G296" s="261" t="str">
        <f aca="false">IFERROR(IF(G$183*G$184*G$185*G$186*G182&gt;0,AVERAGE(G$183:G$186,G182),""),"")</f>
        <v/>
      </c>
      <c r="H296" s="261" t="str">
        <f aca="false">IFERROR(IF(H$183*H$184*H$185*H$186*H182&gt;0,AVERAGE(H$183:H$186,H182),""),"")</f>
        <v/>
      </c>
      <c r="I296" s="261" t="str">
        <f aca="false">IFERROR(IF(I$183*I$184*I$185*I$186*I182&gt;0,AVERAGE(I$183:I$186,I182),""),"")</f>
        <v/>
      </c>
      <c r="J296" s="261" t="str">
        <f aca="false">IFERROR(IF(J$183*J$184*J$185*J$186*J182&gt;0,AVERAGE(J$183:J$186,J182),""),"")</f>
        <v/>
      </c>
      <c r="K296" s="261" t="str">
        <f aca="false">IFERROR(IF(K$183*K$184*K$185*K$186*K182&gt;0,AVERAGE(K$183:K$186,K182),""),"")</f>
        <v/>
      </c>
      <c r="L296" s="261" t="str">
        <f aca="false">IFERROR(IF(L$183*L$184*L$185*L$186*L182&gt;0,AVERAGE(L$183:L$186,L182),""),"")</f>
        <v/>
      </c>
      <c r="M296" s="261" t="str">
        <f aca="false">IFERROR(IF(M$183*M$184*M$185*M$186*M182&gt;0,AVERAGE(M$183:M$186,M182),""),"")</f>
        <v/>
      </c>
      <c r="N296" s="261" t="str">
        <f aca="false">IFERROR(IF(N$183*N$184*N$185*N$186*N182&gt;0,AVERAGE(N$183:N$186,N182),""),"")</f>
        <v/>
      </c>
      <c r="O296" s="224"/>
      <c r="P296" s="224"/>
      <c r="Q296" s="232"/>
      <c r="R296" s="226" t="s">
        <v>549</v>
      </c>
      <c r="S296" s="227" t="str">
        <f aca="false">IFERROR(IF(C$183*C$184*C$185*C$186*C182&gt;0,STDEV(C$183:C$186,C182),"")/IF(C$183*C$184*C$185*C$186*C182&gt;0,AVERAGE(C$183:C$186,C182),""),"")</f>
        <v/>
      </c>
      <c r="T296" s="227" t="str">
        <f aca="false">IFERROR(IF(D$183*D$184*D$185*D$186*D182&gt;0,STDEV(D$183:D$186,D182),"")/IF(D$183*D$184*D$185*D$186*D182&gt;0,AVERAGE(D$183:D$186,D182),""),"")</f>
        <v/>
      </c>
      <c r="U296" s="227" t="str">
        <f aca="false">IFERROR(IF(E$183*E$184*E$185*E$186*E182&gt;0,STDEV(E$183:E$186,E182),"")/IF(E$183*E$184*E$185*E$186*E182&gt;0,AVERAGE(E$183:E$186,E182),""),"")</f>
        <v/>
      </c>
      <c r="V296" s="227" t="str">
        <f aca="false">IFERROR(IF(F$183*F$184*F$185*F$186*F182&gt;0,STDEV(F$183:F$186,F182),"")/IF(F$183*F$184*F$185*F$186*F182&gt;0,AVERAGE(F$183:F$186,F182),""),"")</f>
        <v/>
      </c>
      <c r="W296" s="227" t="str">
        <f aca="false">IFERROR(IF(G$183*G$184*G$185*G$186*G182&gt;0,STDEV(G$183:G$186,G182),"")/IF(G$183*G$184*G$185*G$186*G182&gt;0,AVERAGE(G$183:G$186,G182),""),"")</f>
        <v/>
      </c>
      <c r="X296" s="227" t="str">
        <f aca="false">IFERROR(IF(H$183*H$184*H$185*H$186*H182&gt;0,STDEV(H$183:H$186,H182),"")/IF(H$183*H$184*H$185*H$186*H182&gt;0,AVERAGE(H$183:H$186,H182),""),"")</f>
        <v/>
      </c>
      <c r="Y296" s="227" t="str">
        <f aca="false">IFERROR(IF(I$183*I$184*I$185*I$186*I182&gt;0,STDEV(I$183:I$186,I182),"")/IF(I$183*I$184*I$185*I$186*I182&gt;0,AVERAGE(I$183:I$186,I182),""),"")</f>
        <v/>
      </c>
      <c r="Z296" s="227" t="str">
        <f aca="false">IFERROR(IF(J$183*J$184*J$185*J$186*J182&gt;0,STDEV(J$183:J$186,J182),"")/IF(J$183*J$184*J$185*J$186*J182&gt;0,AVERAGE(J$183:J$186,J182),""),"")</f>
        <v/>
      </c>
      <c r="AA296" s="227" t="str">
        <f aca="false">IFERROR(IF(K$183*K$184*K$185*K$186*K182&gt;0,STDEV(K$183:K$186,K182),"")/IF(K$183*K$184*K$185*K$186*K182&gt;0,AVERAGE(K$183:K$186,K182),""),"")</f>
        <v/>
      </c>
      <c r="AB296" s="227" t="str">
        <f aca="false">IFERROR(IF(L$183*L$184*L$185*L$186*L182&gt;0,STDEV(L$183:L$186,L182),"")/IF(L$183*L$184*L$185*L$186*L182&gt;0,AVERAGE(L$183:L$186,L182),""),"")</f>
        <v/>
      </c>
      <c r="AC296" s="227" t="str">
        <f aca="false">IFERROR(IF(M$183*M$184*M$185*M$186*M182&gt;0,STDEV(M$183:M$186,M182),"")/IF(M$183*M$184*M$185*M$186*M182&gt;0,AVERAGE(M$183:M$186,M182),""),"")</f>
        <v/>
      </c>
      <c r="AD296" s="227" t="str">
        <f aca="false">IFERROR(IF(N$183*N$184*N$185*N$186*N182&gt;0,STDEV(N$183:N$186,N182),"")/IF(N$183*N$184*N$185*N$186*N182&gt;0,AVERAGE(N$183:N$186,N182),""),"")</f>
        <v/>
      </c>
      <c r="AE296" s="233"/>
      <c r="AF296" s="229" t="s">
        <v>550</v>
      </c>
      <c r="AG296" s="270" t="str">
        <f aca="false">IFERROR(IF(C$183*C$184*C$185*C$186*C182&gt;0,STDEV(C$183:C$186,C182)," ")/IF(C$183*C$184*C$185*C$186*C182&gt;0,SQRT(COUNT(C$183:C$186,C182))," "),"")</f>
        <v/>
      </c>
      <c r="AH296" s="270" t="str">
        <f aca="false">IFERROR(IF(D$183*D$184*D$185*D$186*D182&gt;0,STDEV(D$183:D$186,D182)," ")/IF(D$183*D$184*D$185*D$186*D182&gt;0,SQRT(COUNT(D$183:D$186,D182))," "),"")</f>
        <v/>
      </c>
      <c r="AI296" s="270" t="str">
        <f aca="false">IFERROR(IF(E$183*E$184*E$185*E$186*E182&gt;0,STDEV(E$183:E$186,E182)," ")/IF(E$183*E$184*E$185*E$186*E182&gt;0,SQRT(COUNT(E$183:E$186,E182))," "),"")</f>
        <v/>
      </c>
      <c r="AJ296" s="270" t="str">
        <f aca="false">IFERROR(IF(F$183*F$184*F$185*F$186*F182&gt;0,STDEV(F$183:F$186,F182)," ")/IF(F$183*F$184*F$185*F$186*F182&gt;0,SQRT(COUNT(F$183:F$186,F182))," "),"")</f>
        <v/>
      </c>
      <c r="AK296" s="270" t="str">
        <f aca="false">IFERROR(IF(G$183*G$184*G$185*G$186*G182&gt;0,STDEV(G$183:G$186,G182)," ")/IF(G$183*G$184*G$185*G$186*G182&gt;0,SQRT(COUNT(G$183:G$186,G182))," "),"")</f>
        <v/>
      </c>
      <c r="AL296" s="270" t="str">
        <f aca="false">IFERROR(IF(H$183*H$184*H$185*H$186*H182&gt;0,STDEV(H$183:H$186,H182)," ")/IF(H$183*H$184*H$185*H$186*H182&gt;0,SQRT(COUNT(H$183:H$186,H182))," "),"")</f>
        <v/>
      </c>
      <c r="AM296" s="270" t="str">
        <f aca="false">IFERROR(IF(I$183*I$184*I$185*I$186*I182&gt;0,STDEV(I$183:I$186,I182)," ")/IF(I$183*I$184*I$185*I$186*I182&gt;0,SQRT(COUNT(I$183:I$186,I182))," "),"")</f>
        <v/>
      </c>
      <c r="AN296" s="270" t="str">
        <f aca="false">IFERROR(IF(J$183*J$184*J$185*J$186*J182&gt;0,STDEV(J$183:J$186,J182)," ")/IF(J$183*J$184*J$185*J$186*J182&gt;0,SQRT(COUNT(J$183:J$186,J182))," "),"")</f>
        <v/>
      </c>
      <c r="AO296" s="270" t="str">
        <f aca="false">IFERROR(IF(K$183*K$184*K$185*K$186*K182&gt;0,STDEV(K$183:K$186,K182)," ")/IF(K$183*K$184*K$185*K$186*K182&gt;0,SQRT(COUNT(K$183:K$186,K182))," "),"")</f>
        <v/>
      </c>
      <c r="AP296" s="270" t="str">
        <f aca="false">IFERROR(IF(L$183*L$184*L$185*L$186*L182&gt;0,STDEV(L$183:L$186,L182)," ")/IF(L$183*L$184*L$185*L$186*L182&gt;0,SQRT(COUNT(L$183:L$186,L182))," "),"")</f>
        <v/>
      </c>
      <c r="AQ296" s="270" t="str">
        <f aca="false">IFERROR(IF(M$183*M$184*M$185*M$186*M182&gt;0,STDEV(M$183:M$186,M182)," ")/IF(M$183*M$184*M$185*M$186*M182&gt;0,SQRT(COUNT(M$183:M$186,M182))," "),"")</f>
        <v/>
      </c>
      <c r="AR296" s="270" t="str">
        <f aca="false">IFERROR(IF(N$183*N$184*N$185*N$186*N182&gt;0,STDEV(N$183:N$186,N182)," ")/IF(N$183*N$184*N$185*N$186*N182&gt;0,SQRT(COUNT(N$183:N$186,N182))," "),"")</f>
        <v/>
      </c>
    </row>
    <row r="297" customFormat="false" ht="15.75" hidden="false" customHeight="false" outlineLevel="0" collapsed="false">
      <c r="A297" s="220" t="s">
        <v>551</v>
      </c>
      <c r="B297" s="221"/>
      <c r="C297" s="261" t="str">
        <f aca="false">IFERROR(IF(C$183*C$184*C$185*C$186*C187&gt;0,AVERAGE(C$183:C$186,C187),""),"")</f>
        <v/>
      </c>
      <c r="D297" s="261" t="str">
        <f aca="false">IFERROR(IF(D$183*D$184*D$185*D$186*D187&gt;0,AVERAGE(D$183:D$186,D187),""),"")</f>
        <v/>
      </c>
      <c r="E297" s="261" t="str">
        <f aca="false">IFERROR(IF(E$183*E$184*E$185*E$186*E187&gt;0,AVERAGE(E$183:E$186,E187),""),"")</f>
        <v/>
      </c>
      <c r="F297" s="261" t="str">
        <f aca="false">IFERROR(IF(F$183*F$184*F$185*F$186*F187&gt;0,AVERAGE(F$183:F$186,F187),""),"")</f>
        <v/>
      </c>
      <c r="G297" s="261" t="str">
        <f aca="false">IFERROR(IF(G$183*G$184*G$185*G$186*G187&gt;0,AVERAGE(G$183:G$186,G187),""),"")</f>
        <v/>
      </c>
      <c r="H297" s="261" t="str">
        <f aca="false">IFERROR(IF(H$183*H$184*H$185*H$186*H187&gt;0,AVERAGE(H$183:H$186,H187),""),"")</f>
        <v/>
      </c>
      <c r="I297" s="261" t="str">
        <f aca="false">IFERROR(IF(I$183*I$184*I$185*I$186*I187&gt;0,AVERAGE(I$183:I$186,I187),""),"")</f>
        <v/>
      </c>
      <c r="J297" s="261" t="str">
        <f aca="false">IFERROR(IF(J$183*J$184*J$185*J$186*J187&gt;0,AVERAGE(J$183:J$186,J187),""),"")</f>
        <v/>
      </c>
      <c r="K297" s="261" t="str">
        <f aca="false">IFERROR(IF(K$183*K$184*K$185*K$186*K187&gt;0,AVERAGE(K$183:K$186,K187),""),"")</f>
        <v/>
      </c>
      <c r="L297" s="261" t="str">
        <f aca="false">IFERROR(IF(L$183*L$184*L$185*L$186*L187&gt;0,AVERAGE(L$183:L$186,L187),""),"")</f>
        <v/>
      </c>
      <c r="M297" s="261" t="str">
        <f aca="false">IFERROR(IF(M$183*M$184*M$185*M$186*M187&gt;0,AVERAGE(M$183:M$186,M187),""),"")</f>
        <v/>
      </c>
      <c r="N297" s="261" t="str">
        <f aca="false">IFERROR(IF(N$183*N$184*N$185*N$186*N187&gt;0,AVERAGE(N$183:N$186,N187),""),"")</f>
        <v/>
      </c>
      <c r="O297" s="224"/>
      <c r="P297" s="224"/>
      <c r="Q297" s="232"/>
      <c r="R297" s="226" t="s">
        <v>552</v>
      </c>
      <c r="S297" s="227" t="str">
        <f aca="false">IFERROR(IF(C$183*C$184*C$185*C$186*C187&gt;0,STDEV(C$183:C$186,C187),"")/IF(C$183*C$184*C$185*C$186*C187&gt;0,AVERAGE(C$183:C$186,C187),""),"")</f>
        <v/>
      </c>
      <c r="T297" s="227" t="str">
        <f aca="false">IFERROR(IF(D$183*D$184*D$185*D$186*D187&gt;0,STDEV(D$183:D$186,D187),"")/IF(D$183*D$184*D$185*D$186*D187&gt;0,AVERAGE(D$183:D$186,D187),""),"")</f>
        <v/>
      </c>
      <c r="U297" s="227" t="str">
        <f aca="false">IFERROR(IF(E$183*E$184*E$185*E$186*E187&gt;0,STDEV(E$183:E$186,E187),"")/IF(E$183*E$184*E$185*E$186*E187&gt;0,AVERAGE(E$183:E$186,E187),""),"")</f>
        <v/>
      </c>
      <c r="V297" s="227" t="str">
        <f aca="false">IFERROR(IF(F$183*F$184*F$185*F$186*F187&gt;0,STDEV(F$183:F$186,F187),"")/IF(F$183*F$184*F$185*F$186*F187&gt;0,AVERAGE(F$183:F$186,F187),""),"")</f>
        <v/>
      </c>
      <c r="W297" s="227" t="str">
        <f aca="false">IFERROR(IF(G$183*G$184*G$185*G$186*G187&gt;0,STDEV(G$183:G$186,G187),"")/IF(G$183*G$184*G$185*G$186*G187&gt;0,AVERAGE(G$183:G$186,G187),""),"")</f>
        <v/>
      </c>
      <c r="X297" s="227" t="str">
        <f aca="false">IFERROR(IF(H$183*H$184*H$185*H$186*H187&gt;0,STDEV(H$183:H$186,H187),"")/IF(H$183*H$184*H$185*H$186*H187&gt;0,AVERAGE(H$183:H$186,H187),""),"")</f>
        <v/>
      </c>
      <c r="Y297" s="227" t="str">
        <f aca="false">IFERROR(IF(I$183*I$184*I$185*I$186*I187&gt;0,STDEV(I$183:I$186,I187),"")/IF(I$183*I$184*I$185*I$186*I187&gt;0,AVERAGE(I$183:I$186,I187),""),"")</f>
        <v/>
      </c>
      <c r="Z297" s="227" t="str">
        <f aca="false">IFERROR(IF(J$183*J$184*J$185*J$186*J187&gt;0,STDEV(J$183:J$186,J187),"")/IF(J$183*J$184*J$185*J$186*J187&gt;0,AVERAGE(J$183:J$186,J187),""),"")</f>
        <v/>
      </c>
      <c r="AA297" s="227" t="str">
        <f aca="false">IFERROR(IF(K$183*K$184*K$185*K$186*K187&gt;0,STDEV(K$183:K$186,K187),"")/IF(K$183*K$184*K$185*K$186*K187&gt;0,AVERAGE(K$183:K$186,K187),""),"")</f>
        <v/>
      </c>
      <c r="AB297" s="227" t="str">
        <f aca="false">IFERROR(IF(L$183*L$184*L$185*L$186*L187&gt;0,STDEV(L$183:L$186,L187),"")/IF(L$183*L$184*L$185*L$186*L187&gt;0,AVERAGE(L$183:L$186,L187),""),"")</f>
        <v/>
      </c>
      <c r="AC297" s="227" t="str">
        <f aca="false">IFERROR(IF(M$183*M$184*M$185*M$186*M187&gt;0,STDEV(M$183:M$186,M187),"")/IF(M$183*M$184*M$185*M$186*M187&gt;0,AVERAGE(M$183:M$186,M187),""),"")</f>
        <v/>
      </c>
      <c r="AD297" s="227" t="str">
        <f aca="false">IFERROR(IF(N$183*N$184*N$185*N$186*N187&gt;0,STDEV(N$183:N$186,N187),"")/IF(N$183*N$184*N$185*N$186*N187&gt;0,AVERAGE(N$183:N$186,N187),""),"")</f>
        <v/>
      </c>
      <c r="AE297" s="233"/>
      <c r="AF297" s="229" t="s">
        <v>553</v>
      </c>
      <c r="AG297" s="270" t="str">
        <f aca="false">IFERROR(IF(C$183*C$184*C$185*C$186*C187&gt;0,STDEV(C$183:C$186,C187)," ")/IF(C$183*C$184*C$185*C$186*C187&gt;0,SQRT(COUNT(C$183:C$186,C187))," "),"")</f>
        <v/>
      </c>
      <c r="AH297" s="270" t="str">
        <f aca="false">IFERROR(IF(D$183*D$184*D$185*D$186*D187&gt;0,STDEV(D$183:D$186,D187)," ")/IF(D$183*D$184*D$185*D$186*D187&gt;0,SQRT(COUNT(D$183:D$186,D187))," "),"")</f>
        <v/>
      </c>
      <c r="AI297" s="270" t="str">
        <f aca="false">IFERROR(IF(E$183*E$184*E$185*E$186*E187&gt;0,STDEV(E$183:E$186,E187)," ")/IF(E$183*E$184*E$185*E$186*E187&gt;0,SQRT(COUNT(E$183:E$186,E187))," "),"")</f>
        <v/>
      </c>
      <c r="AJ297" s="270" t="str">
        <f aca="false">IFERROR(IF(F$183*F$184*F$185*F$186*F187&gt;0,STDEV(F$183:F$186,F187)," ")/IF(F$183*F$184*F$185*F$186*F187&gt;0,SQRT(COUNT(F$183:F$186,F187))," "),"")</f>
        <v/>
      </c>
      <c r="AK297" s="270" t="str">
        <f aca="false">IFERROR(IF(G$183*G$184*G$185*G$186*G187&gt;0,STDEV(G$183:G$186,G187)," ")/IF(G$183*G$184*G$185*G$186*G187&gt;0,SQRT(COUNT(G$183:G$186,G187))," "),"")</f>
        <v/>
      </c>
      <c r="AL297" s="270" t="str">
        <f aca="false">IFERROR(IF(H$183*H$184*H$185*H$186*H187&gt;0,STDEV(H$183:H$186,H187)," ")/IF(H$183*H$184*H$185*H$186*H187&gt;0,SQRT(COUNT(H$183:H$186,H187))," "),"")</f>
        <v/>
      </c>
      <c r="AM297" s="270" t="str">
        <f aca="false">IFERROR(IF(I$183*I$184*I$185*I$186*I187&gt;0,STDEV(I$183:I$186,I187)," ")/IF(I$183*I$184*I$185*I$186*I187&gt;0,SQRT(COUNT(I$183:I$186,I187))," "),"")</f>
        <v/>
      </c>
      <c r="AN297" s="270" t="str">
        <f aca="false">IFERROR(IF(J$183*J$184*J$185*J$186*J187&gt;0,STDEV(J$183:J$186,J187)," ")/IF(J$183*J$184*J$185*J$186*J187&gt;0,SQRT(COUNT(J$183:J$186,J187))," "),"")</f>
        <v/>
      </c>
      <c r="AO297" s="270" t="str">
        <f aca="false">IFERROR(IF(K$183*K$184*K$185*K$186*K187&gt;0,STDEV(K$183:K$186,K187)," ")/IF(K$183*K$184*K$185*K$186*K187&gt;0,SQRT(COUNT(K$183:K$186,K187))," "),"")</f>
        <v/>
      </c>
      <c r="AP297" s="270" t="str">
        <f aca="false">IFERROR(IF(L$183*L$184*L$185*L$186*L187&gt;0,STDEV(L$183:L$186,L187)," ")/IF(L$183*L$184*L$185*L$186*L187&gt;0,SQRT(COUNT(L$183:L$186,L187))," "),"")</f>
        <v/>
      </c>
      <c r="AQ297" s="270" t="str">
        <f aca="false">IFERROR(IF(M$183*M$184*M$185*M$186*M187&gt;0,STDEV(M$183:M$186,M187)," ")/IF(M$183*M$184*M$185*M$186*M187&gt;0,SQRT(COUNT(M$183:M$186,M187))," "),"")</f>
        <v/>
      </c>
      <c r="AR297" s="270" t="str">
        <f aca="false">IFERROR(IF(N$183*N$184*N$185*N$186*N187&gt;0,STDEV(N$183:N$186,N187)," ")/IF(N$183*N$184*N$185*N$186*N187&gt;0,SQRT(COUNT(N$183:N$186,N187))," "),"")</f>
        <v/>
      </c>
    </row>
    <row r="298" customFormat="false" ht="15.75" hidden="false" customHeight="false" outlineLevel="0" collapsed="false">
      <c r="A298" s="220" t="s">
        <v>554</v>
      </c>
      <c r="B298" s="221"/>
      <c r="C298" s="261" t="str">
        <f aca="false">IFERROR(IF(C$183*C$184*C$185*C$186*C188&gt;0,AVERAGE(C$183:C$186,C188),""),"")</f>
        <v/>
      </c>
      <c r="D298" s="261" t="str">
        <f aca="false">IFERROR(IF(D$183*D$184*D$185*D$186*D188&gt;0,AVERAGE(D$183:D$186,D188),""),"")</f>
        <v/>
      </c>
      <c r="E298" s="261" t="str">
        <f aca="false">IFERROR(IF(E$183*E$184*E$185*E$186*E188&gt;0,AVERAGE(E$183:E$186,E188),""),"")</f>
        <v/>
      </c>
      <c r="F298" s="261" t="str">
        <f aca="false">IFERROR(IF(F$183*F$184*F$185*F$186*F188&gt;0,AVERAGE(F$183:F$186,F188),""),"")</f>
        <v/>
      </c>
      <c r="G298" s="261" t="str">
        <f aca="false">IFERROR(IF(G$183*G$184*G$185*G$186*G188&gt;0,AVERAGE(G$183:G$186,G188),""),"")</f>
        <v/>
      </c>
      <c r="H298" s="261" t="str">
        <f aca="false">IFERROR(IF(H$183*H$184*H$185*H$186*H188&gt;0,AVERAGE(H$183:H$186,H188),""),"")</f>
        <v/>
      </c>
      <c r="I298" s="261" t="str">
        <f aca="false">IFERROR(IF(I$183*I$184*I$185*I$186*I188&gt;0,AVERAGE(I$183:I$186,I188),""),"")</f>
        <v/>
      </c>
      <c r="J298" s="261" t="str">
        <f aca="false">IFERROR(IF(J$183*J$184*J$185*J$186*J188&gt;0,AVERAGE(J$183:J$186,J188),""),"")</f>
        <v/>
      </c>
      <c r="K298" s="261" t="str">
        <f aca="false">IFERROR(IF(K$183*K$184*K$185*K$186*K188&gt;0,AVERAGE(K$183:K$186,K188),""),"")</f>
        <v/>
      </c>
      <c r="L298" s="261" t="str">
        <f aca="false">IFERROR(IF(L$183*L$184*L$185*L$186*L188&gt;0,AVERAGE(L$183:L$186,L188),""),"")</f>
        <v/>
      </c>
      <c r="M298" s="261" t="str">
        <f aca="false">IFERROR(IF(M$183*M$184*M$185*M$186*M188&gt;0,AVERAGE(M$183:M$186,M188),""),"")</f>
        <v/>
      </c>
      <c r="N298" s="261" t="str">
        <f aca="false">IFERROR(IF(N$183*N$184*N$185*N$186*N188&gt;0,AVERAGE(N$183:N$186,N188),""),"")</f>
        <v/>
      </c>
      <c r="O298" s="224"/>
      <c r="P298" s="224"/>
      <c r="Q298" s="232"/>
      <c r="R298" s="226" t="s">
        <v>555</v>
      </c>
      <c r="S298" s="227" t="str">
        <f aca="false">IFERROR(IF(C$183*C$184*C$185*C$186*C188&gt;0,STDEV(C$183:C$186,C188),"")/IF(C$183*C$184*C$185*C$186*C188&gt;0,AVERAGE(C$183:C$186,C188),""),"")</f>
        <v/>
      </c>
      <c r="T298" s="227" t="str">
        <f aca="false">IFERROR(IF(D$183*D$184*D$185*D$186*D188&gt;0,STDEV(D$183:D$186,D188),"")/IF(D$183*D$184*D$185*D$186*D188&gt;0,AVERAGE(D$183:D$186,D188),""),"")</f>
        <v/>
      </c>
      <c r="U298" s="227" t="str">
        <f aca="false">IFERROR(IF(E$183*E$184*E$185*E$186*E188&gt;0,STDEV(E$183:E$186,E188),"")/IF(E$183*E$184*E$185*E$186*E188&gt;0,AVERAGE(E$183:E$186,E188),""),"")</f>
        <v/>
      </c>
      <c r="V298" s="227" t="str">
        <f aca="false">IFERROR(IF(F$183*F$184*F$185*F$186*F188&gt;0,STDEV(F$183:F$186,F188),"")/IF(F$183*F$184*F$185*F$186*F188&gt;0,AVERAGE(F$183:F$186,F188),""),"")</f>
        <v/>
      </c>
      <c r="W298" s="227" t="str">
        <f aca="false">IFERROR(IF(G$183*G$184*G$185*G$186*G188&gt;0,STDEV(G$183:G$186,G188),"")/IF(G$183*G$184*G$185*G$186*G188&gt;0,AVERAGE(G$183:G$186,G188),""),"")</f>
        <v/>
      </c>
      <c r="X298" s="227" t="str">
        <f aca="false">IFERROR(IF(H$183*H$184*H$185*H$186*H188&gt;0,STDEV(H$183:H$186,H188),"")/IF(H$183*H$184*H$185*H$186*H188&gt;0,AVERAGE(H$183:H$186,H188),""),"")</f>
        <v/>
      </c>
      <c r="Y298" s="227" t="str">
        <f aca="false">IFERROR(IF(I$183*I$184*I$185*I$186*I188&gt;0,STDEV(I$183:I$186,I188),"")/IF(I$183*I$184*I$185*I$186*I188&gt;0,AVERAGE(I$183:I$186,I188),""),"")</f>
        <v/>
      </c>
      <c r="Z298" s="227" t="str">
        <f aca="false">IFERROR(IF(J$183*J$184*J$185*J$186*J188&gt;0,STDEV(J$183:J$186,J188),"")/IF(J$183*J$184*J$185*J$186*J188&gt;0,AVERAGE(J$183:J$186,J188),""),"")</f>
        <v/>
      </c>
      <c r="AA298" s="227" t="str">
        <f aca="false">IFERROR(IF(K$183*K$184*K$185*K$186*K188&gt;0,STDEV(K$183:K$186,K188),"")/IF(K$183*K$184*K$185*K$186*K188&gt;0,AVERAGE(K$183:K$186,K188),""),"")</f>
        <v/>
      </c>
      <c r="AB298" s="227" t="str">
        <f aca="false">IFERROR(IF(L$183*L$184*L$185*L$186*L188&gt;0,STDEV(L$183:L$186,L188),"")/IF(L$183*L$184*L$185*L$186*L188&gt;0,AVERAGE(L$183:L$186,L188),""),"")</f>
        <v/>
      </c>
      <c r="AC298" s="227" t="str">
        <f aca="false">IFERROR(IF(M$183*M$184*M$185*M$186*M188&gt;0,STDEV(M$183:M$186,M188),"")/IF(M$183*M$184*M$185*M$186*M188&gt;0,AVERAGE(M$183:M$186,M188),""),"")</f>
        <v/>
      </c>
      <c r="AD298" s="227" t="str">
        <f aca="false">IFERROR(IF(N$183*N$184*N$185*N$186*N188&gt;0,STDEV(N$183:N$186,N188),"")/IF(N$183*N$184*N$185*N$186*N188&gt;0,AVERAGE(N$183:N$186,N188),""),"")</f>
        <v/>
      </c>
      <c r="AE298" s="233"/>
      <c r="AF298" s="229" t="s">
        <v>556</v>
      </c>
      <c r="AG298" s="270" t="str">
        <f aca="false">IFERROR(IF(C$183*C$184*C$185*C$186*C188&gt;0,STDEV(C$183:C$186,C188)," ")/IF(C$183*C$184*C$185*C$186*C188&gt;0,SQRT(COUNT(C$183:C$186,C188))," "),"")</f>
        <v/>
      </c>
      <c r="AH298" s="270" t="str">
        <f aca="false">IFERROR(IF(D$183*D$184*D$185*D$186*D188&gt;0,STDEV(D$183:D$186,D188)," ")/IF(D$183*D$184*D$185*D$186*D188&gt;0,SQRT(COUNT(D$183:D$186,D188))," "),"")</f>
        <v/>
      </c>
      <c r="AI298" s="270" t="str">
        <f aca="false">IFERROR(IF(E$183*E$184*E$185*E$186*E188&gt;0,STDEV(E$183:E$186,E188)," ")/IF(E$183*E$184*E$185*E$186*E188&gt;0,SQRT(COUNT(E$183:E$186,E188))," "),"")</f>
        <v/>
      </c>
      <c r="AJ298" s="270" t="str">
        <f aca="false">IFERROR(IF(F$183*F$184*F$185*F$186*F188&gt;0,STDEV(F$183:F$186,F188)," ")/IF(F$183*F$184*F$185*F$186*F188&gt;0,SQRT(COUNT(F$183:F$186,F188))," "),"")</f>
        <v/>
      </c>
      <c r="AK298" s="270" t="str">
        <f aca="false">IFERROR(IF(G$183*G$184*G$185*G$186*G188&gt;0,STDEV(G$183:G$186,G188)," ")/IF(G$183*G$184*G$185*G$186*G188&gt;0,SQRT(COUNT(G$183:G$186,G188))," "),"")</f>
        <v/>
      </c>
      <c r="AL298" s="270" t="str">
        <f aca="false">IFERROR(IF(H$183*H$184*H$185*H$186*H188&gt;0,STDEV(H$183:H$186,H188)," ")/IF(H$183*H$184*H$185*H$186*H188&gt;0,SQRT(COUNT(H$183:H$186,H188))," "),"")</f>
        <v/>
      </c>
      <c r="AM298" s="270" t="str">
        <f aca="false">IFERROR(IF(I$183*I$184*I$185*I$186*I188&gt;0,STDEV(I$183:I$186,I188)," ")/IF(I$183*I$184*I$185*I$186*I188&gt;0,SQRT(COUNT(I$183:I$186,I188))," "),"")</f>
        <v/>
      </c>
      <c r="AN298" s="270" t="str">
        <f aca="false">IFERROR(IF(J$183*J$184*J$185*J$186*J188&gt;0,STDEV(J$183:J$186,J188)," ")/IF(J$183*J$184*J$185*J$186*J188&gt;0,SQRT(COUNT(J$183:J$186,J188))," "),"")</f>
        <v/>
      </c>
      <c r="AO298" s="270" t="str">
        <f aca="false">IFERROR(IF(K$183*K$184*K$185*K$186*K188&gt;0,STDEV(K$183:K$186,K188)," ")/IF(K$183*K$184*K$185*K$186*K188&gt;0,SQRT(COUNT(K$183:K$186,K188))," "),"")</f>
        <v/>
      </c>
      <c r="AP298" s="270" t="str">
        <f aca="false">IFERROR(IF(L$183*L$184*L$185*L$186*L188&gt;0,STDEV(L$183:L$186,L188)," ")/IF(L$183*L$184*L$185*L$186*L188&gt;0,SQRT(COUNT(L$183:L$186,L188))," "),"")</f>
        <v/>
      </c>
      <c r="AQ298" s="270" t="str">
        <f aca="false">IFERROR(IF(M$183*M$184*M$185*M$186*M188&gt;0,STDEV(M$183:M$186,M188)," ")/IF(M$183*M$184*M$185*M$186*M188&gt;0,SQRT(COUNT(M$183:M$186,M188))," "),"")</f>
        <v/>
      </c>
      <c r="AR298" s="270" t="str">
        <f aca="false">IFERROR(IF(N$183*N$184*N$185*N$186*N188&gt;0,STDEV(N$183:N$186,N188)," ")/IF(N$183*N$184*N$185*N$186*N188&gt;0,SQRT(COUNT(N$183:N$186,N188))," "),"")</f>
        <v/>
      </c>
    </row>
    <row r="299" customFormat="false" ht="15.75" hidden="false" customHeight="false" outlineLevel="0" collapsed="false">
      <c r="A299" s="220" t="s">
        <v>557</v>
      </c>
      <c r="B299" s="221"/>
      <c r="C299" s="261" t="str">
        <f aca="false">IFERROR(IF(C$184*C$185*C$186*C$187*C182&gt;0,AVERAGE(C$184:C$187,C182),""),"")</f>
        <v/>
      </c>
      <c r="D299" s="261" t="str">
        <f aca="false">IFERROR(IF(D$184*D$185*D$186*D$187*D182&gt;0,AVERAGE(D$184:D$187,D182),""),"")</f>
        <v/>
      </c>
      <c r="E299" s="261" t="str">
        <f aca="false">IFERROR(IF(E$184*E$185*E$186*E$187*E182&gt;0,AVERAGE(E$184:E$187,E182),""),"")</f>
        <v/>
      </c>
      <c r="F299" s="261" t="str">
        <f aca="false">IFERROR(IF(F$184*F$185*F$186*F$187*F182&gt;0,AVERAGE(F$184:F$187,F182),""),"")</f>
        <v/>
      </c>
      <c r="G299" s="261" t="str">
        <f aca="false">IFERROR(IF(G$184*G$185*G$186*G$187*G182&gt;0,AVERAGE(G$184:G$187,G182),""),"")</f>
        <v/>
      </c>
      <c r="H299" s="261" t="str">
        <f aca="false">IFERROR(IF(H$184*H$185*H$186*H$187*H182&gt;0,AVERAGE(H$184:H$187,H182),""),"")</f>
        <v/>
      </c>
      <c r="I299" s="261" t="str">
        <f aca="false">IFERROR(IF(I$184*I$185*I$186*I$187*I182&gt;0,AVERAGE(I$184:I$187,I182),""),"")</f>
        <v/>
      </c>
      <c r="J299" s="261" t="str">
        <f aca="false">IFERROR(IF(J$184*J$185*J$186*J$187*J182&gt;0,AVERAGE(J$184:J$187,J182),""),"")</f>
        <v/>
      </c>
      <c r="K299" s="261" t="str">
        <f aca="false">IFERROR(IF(K$184*K$185*K$186*K$187*K182&gt;0,AVERAGE(K$184:K$187,K182),""),"")</f>
        <v/>
      </c>
      <c r="L299" s="261" t="str">
        <f aca="false">IFERROR(IF(L$184*L$185*L$186*L$187*L182&gt;0,AVERAGE(L$184:L$187,L182),""),"")</f>
        <v/>
      </c>
      <c r="M299" s="261" t="str">
        <f aca="false">IFERROR(IF(M$184*M$185*M$186*M$187*M182&gt;0,AVERAGE(M$184:M$187,M182),""),"")</f>
        <v/>
      </c>
      <c r="N299" s="261" t="str">
        <f aca="false">IFERROR(IF(N$184*N$185*N$186*N$187*N182&gt;0,AVERAGE(N$184:N$187,N182),""),"")</f>
        <v/>
      </c>
      <c r="O299" s="224"/>
      <c r="P299" s="224"/>
      <c r="Q299" s="232"/>
      <c r="R299" s="226" t="s">
        <v>558</v>
      </c>
      <c r="S299" s="227" t="str">
        <f aca="false">IFERROR(IF(C$184*C$185*C$186*C$187*C182&gt;0,STDEV(C$184:C$187,C182),"")/IF(C$184*C$185*C$186*C$187*C182&gt;0,AVERAGE(C$184:C$187,C182),""),"")</f>
        <v/>
      </c>
      <c r="T299" s="227" t="str">
        <f aca="false">IFERROR(IF(D$184*D$185*D$186*D$187*D182&gt;0,STDEV(D$184:D$187,D182),"")/IF(D$184*D$185*D$186*D$187*D182&gt;0,AVERAGE(D$184:D$187,D182),""),"")</f>
        <v/>
      </c>
      <c r="U299" s="227" t="str">
        <f aca="false">IFERROR(IF(E$184*E$185*E$186*E$187*E182&gt;0,STDEV(E$184:E$187,E182),"")/IF(E$184*E$185*E$186*E$187*E182&gt;0,AVERAGE(E$184:E$187,E182),""),"")</f>
        <v/>
      </c>
      <c r="V299" s="227" t="str">
        <f aca="false">IFERROR(IF(F$184*F$185*F$186*F$187*F182&gt;0,STDEV(F$184:F$187,F182),"")/IF(F$184*F$185*F$186*F$187*F182&gt;0,AVERAGE(F$184:F$187,F182),""),"")</f>
        <v/>
      </c>
      <c r="W299" s="227" t="str">
        <f aca="false">IFERROR(IF(G$184*G$185*G$186*G$187*G182&gt;0,STDEV(G$184:G$187,G182),"")/IF(G$184*G$185*G$186*G$187*G182&gt;0,AVERAGE(G$184:G$187,G182),""),"")</f>
        <v/>
      </c>
      <c r="X299" s="227" t="str">
        <f aca="false">IFERROR(IF(H$184*H$185*H$186*H$187*H182&gt;0,STDEV(H$184:H$187,H182),"")/IF(H$184*H$185*H$186*H$187*H182&gt;0,AVERAGE(H$184:H$187,H182),""),"")</f>
        <v/>
      </c>
      <c r="Y299" s="227" t="str">
        <f aca="false">IFERROR(IF(I$184*I$185*I$186*I$187*I182&gt;0,STDEV(I$184:I$187,I182),"")/IF(I$184*I$185*I$186*I$187*I182&gt;0,AVERAGE(I$184:I$187,I182),""),"")</f>
        <v/>
      </c>
      <c r="Z299" s="227" t="str">
        <f aca="false">IFERROR(IF(J$184*J$185*J$186*J$187*J182&gt;0,STDEV(J$184:J$187,J182),"")/IF(J$184*J$185*J$186*J$187*J182&gt;0,AVERAGE(J$184:J$187,J182),""),"")</f>
        <v/>
      </c>
      <c r="AA299" s="227" t="str">
        <f aca="false">IFERROR(IF(K$184*K$185*K$186*K$187*K182&gt;0,STDEV(K$184:K$187,K182),"")/IF(K$184*K$185*K$186*K$187*K182&gt;0,AVERAGE(K$184:K$187,K182),""),"")</f>
        <v/>
      </c>
      <c r="AB299" s="227" t="str">
        <f aca="false">IFERROR(IF(L$184*L$185*L$186*L$187*L182&gt;0,STDEV(L$184:L$187,L182),"")/IF(L$184*L$185*L$186*L$187*L182&gt;0,AVERAGE(L$184:L$187,L182),""),"")</f>
        <v/>
      </c>
      <c r="AC299" s="227" t="str">
        <f aca="false">IFERROR(IF(M$184*M$185*M$186*M$187*M182&gt;0,STDEV(M$184:M$187,M182),"")/IF(M$184*M$185*M$186*M$187*M182&gt;0,AVERAGE(M$184:M$187,M182),""),"")</f>
        <v/>
      </c>
      <c r="AD299" s="227" t="str">
        <f aca="false">IFERROR(IF(N$184*N$185*N$186*N$187*N182&gt;0,STDEV(N$184:N$187,N182),"")/IF(N$184*N$185*N$186*N$187*N182&gt;0,AVERAGE(N$184:N$187,N182),""),"")</f>
        <v/>
      </c>
      <c r="AE299" s="233"/>
      <c r="AF299" s="229" t="s">
        <v>559</v>
      </c>
      <c r="AG299" s="270" t="str">
        <f aca="false">IFERROR(IF(C$184*C$185*C$186*C$187*C182&gt;0,STDEV(C$184:C$187,C182)," ")/IF(C$184*C$185*C$186*C$187*C182&gt;0,SQRT(COUNT(C$184:C$187,C182))," "),"")</f>
        <v/>
      </c>
      <c r="AH299" s="270" t="str">
        <f aca="false">IFERROR(IF(D$184*D$185*D$186*D$187*D182&gt;0,STDEV(D$184:D$187,D182)," ")/IF(D$184*D$185*D$186*D$187*D182&gt;0,SQRT(COUNT(D$184:D$187,D182))," "),"")</f>
        <v/>
      </c>
      <c r="AI299" s="270" t="str">
        <f aca="false">IFERROR(IF(E$184*E$185*E$186*E$187*E182&gt;0,STDEV(E$184:E$187,E182)," ")/IF(E$184*E$185*E$186*E$187*E182&gt;0,SQRT(COUNT(E$184:E$187,E182))," "),"")</f>
        <v/>
      </c>
      <c r="AJ299" s="270" t="str">
        <f aca="false">IFERROR(IF(F$184*F$185*F$186*F$187*F182&gt;0,STDEV(F$184:F$187,F182)," ")/IF(F$184*F$185*F$186*F$187*F182&gt;0,SQRT(COUNT(F$184:F$187,F182))," "),"")</f>
        <v/>
      </c>
      <c r="AK299" s="270" t="str">
        <f aca="false">IFERROR(IF(G$184*G$185*G$186*G$187*G182&gt;0,STDEV(G$184:G$187,G182)," ")/IF(G$184*G$185*G$186*G$187*G182&gt;0,SQRT(COUNT(G$184:G$187,G182))," "),"")</f>
        <v/>
      </c>
      <c r="AL299" s="270" t="str">
        <f aca="false">IFERROR(IF(H$184*H$185*H$186*H$187*H182&gt;0,STDEV(H$184:H$187,H182)," ")/IF(H$184*H$185*H$186*H$187*H182&gt;0,SQRT(COUNT(H$184:H$187,H182))," "),"")</f>
        <v/>
      </c>
      <c r="AM299" s="270" t="str">
        <f aca="false">IFERROR(IF(I$184*I$185*I$186*I$187*I182&gt;0,STDEV(I$184:I$187,I182)," ")/IF(I$184*I$185*I$186*I$187*I182&gt;0,SQRT(COUNT(I$184:I$187,I182))," "),"")</f>
        <v/>
      </c>
      <c r="AN299" s="270" t="str">
        <f aca="false">IFERROR(IF(J$184*J$185*J$186*J$187*J182&gt;0,STDEV(J$184:J$187,J182)," ")/IF(J$184*J$185*J$186*J$187*J182&gt;0,SQRT(COUNT(J$184:J$187,J182))," "),"")</f>
        <v/>
      </c>
      <c r="AO299" s="270" t="str">
        <f aca="false">IFERROR(IF(K$184*K$185*K$186*K$187*K182&gt;0,STDEV(K$184:K$187,K182)," ")/IF(K$184*K$185*K$186*K$187*K182&gt;0,SQRT(COUNT(K$184:K$187,K182))," "),"")</f>
        <v/>
      </c>
      <c r="AP299" s="270" t="str">
        <f aca="false">IFERROR(IF(L$184*L$185*L$186*L$187*L182&gt;0,STDEV(L$184:L$187,L182)," ")/IF(L$184*L$185*L$186*L$187*L182&gt;0,SQRT(COUNT(L$184:L$187,L182))," "),"")</f>
        <v/>
      </c>
      <c r="AQ299" s="270" t="str">
        <f aca="false">IFERROR(IF(M$184*M$185*M$186*M$187*M182&gt;0,STDEV(M$184:M$187,M182)," ")/IF(M$184*M$185*M$186*M$187*M182&gt;0,SQRT(COUNT(M$184:M$187,M182))," "),"")</f>
        <v/>
      </c>
      <c r="AR299" s="270" t="str">
        <f aca="false">IFERROR(IF(N$184*N$185*N$186*N$187*N182&gt;0,STDEV(N$184:N$187,N182)," ")/IF(N$184*N$185*N$186*N$187*N182&gt;0,SQRT(COUNT(N$184:N$187,N182))," "),"")</f>
        <v/>
      </c>
    </row>
    <row r="300" customFormat="false" ht="15.75" hidden="false" customHeight="false" outlineLevel="0" collapsed="false">
      <c r="A300" s="220" t="s">
        <v>560</v>
      </c>
      <c r="B300" s="221"/>
      <c r="C300" s="261" t="str">
        <f aca="false">IFERROR(IF(C$184*C$185*C$186*C$187*C183&gt;0,AVERAGE(C$184:C$187,C183),""),"")</f>
        <v/>
      </c>
      <c r="D300" s="261" t="str">
        <f aca="false">IFERROR(IF(D$184*D$185*D$186*D$187*D183&gt;0,AVERAGE(D$184:D$187,D183),""),"")</f>
        <v/>
      </c>
      <c r="E300" s="261" t="str">
        <f aca="false">IFERROR(IF(E$184*E$185*E$186*E$187*E183&gt;0,AVERAGE(E$184:E$187,E183),""),"")</f>
        <v/>
      </c>
      <c r="F300" s="261" t="str">
        <f aca="false">IFERROR(IF(F$184*F$185*F$186*F$187*F183&gt;0,AVERAGE(F$184:F$187,F183),""),"")</f>
        <v/>
      </c>
      <c r="G300" s="261" t="str">
        <f aca="false">IFERROR(IF(G$184*G$185*G$186*G$187*G183&gt;0,AVERAGE(G$184:G$187,G183),""),"")</f>
        <v/>
      </c>
      <c r="H300" s="261" t="str">
        <f aca="false">IFERROR(IF(H$184*H$185*H$186*H$187*H183&gt;0,AVERAGE(H$184:H$187,H183),""),"")</f>
        <v/>
      </c>
      <c r="I300" s="261" t="str">
        <f aca="false">IFERROR(IF(I$184*I$185*I$186*I$187*I183&gt;0,AVERAGE(I$184:I$187,I183),""),"")</f>
        <v/>
      </c>
      <c r="J300" s="261" t="str">
        <f aca="false">IFERROR(IF(J$184*J$185*J$186*J$187*J183&gt;0,AVERAGE(J$184:J$187,J183),""),"")</f>
        <v/>
      </c>
      <c r="K300" s="261" t="str">
        <f aca="false">IFERROR(IF(K$184*K$185*K$186*K$187*K183&gt;0,AVERAGE(K$184:K$187,K183),""),"")</f>
        <v/>
      </c>
      <c r="L300" s="261" t="str">
        <f aca="false">IFERROR(IF(L$184*L$185*L$186*L$187*L183&gt;0,AVERAGE(L$184:L$187,L183),""),"")</f>
        <v/>
      </c>
      <c r="M300" s="261" t="str">
        <f aca="false">IFERROR(IF(M$184*M$185*M$186*M$187*M183&gt;0,AVERAGE(M$184:M$187,M183),""),"")</f>
        <v/>
      </c>
      <c r="N300" s="261" t="str">
        <f aca="false">IFERROR(IF(N$184*N$185*N$186*N$187*N183&gt;0,AVERAGE(N$184:N$187,N183),""),"")</f>
        <v/>
      </c>
      <c r="O300" s="224"/>
      <c r="P300" s="224"/>
      <c r="Q300" s="232"/>
      <c r="R300" s="226" t="s">
        <v>561</v>
      </c>
      <c r="S300" s="227" t="str">
        <f aca="false">IFERROR(IF(C$184*C$185*C$186*C$187*C183&gt;0,STDEV(C$184:C$187,C183),"")/IF(C$184*C$185*C$186*C$187*C183&gt;0,AVERAGE(C$184:C$187,C183),""),"")</f>
        <v/>
      </c>
      <c r="T300" s="227" t="str">
        <f aca="false">IFERROR(IF(D$184*D$185*D$186*D$187*D183&gt;0,STDEV(D$184:D$187,D183),"")/IF(D$184*D$185*D$186*D$187*D183&gt;0,AVERAGE(D$184:D$187,D183),""),"")</f>
        <v/>
      </c>
      <c r="U300" s="227" t="str">
        <f aca="false">IFERROR(IF(E$184*E$185*E$186*E$187*E183&gt;0,STDEV(E$184:E$187,E183),"")/IF(E$184*E$185*E$186*E$187*E183&gt;0,AVERAGE(E$184:E$187,E183),""),"")</f>
        <v/>
      </c>
      <c r="V300" s="227" t="str">
        <f aca="false">IFERROR(IF(F$184*F$185*F$186*F$187*F183&gt;0,STDEV(F$184:F$187,F183),"")/IF(F$184*F$185*F$186*F$187*F183&gt;0,AVERAGE(F$184:F$187,F183),""),"")</f>
        <v/>
      </c>
      <c r="W300" s="227" t="str">
        <f aca="false">IFERROR(IF(G$184*G$185*G$186*G$187*G183&gt;0,STDEV(G$184:G$187,G183),"")/IF(G$184*G$185*G$186*G$187*G183&gt;0,AVERAGE(G$184:G$187,G183),""),"")</f>
        <v/>
      </c>
      <c r="X300" s="227" t="str">
        <f aca="false">IFERROR(IF(H$184*H$185*H$186*H$187*H183&gt;0,STDEV(H$184:H$187,H183),"")/IF(H$184*H$185*H$186*H$187*H183&gt;0,AVERAGE(H$184:H$187,H183),""),"")</f>
        <v/>
      </c>
      <c r="Y300" s="227" t="str">
        <f aca="false">IFERROR(IF(I$184*I$185*I$186*I$187*I183&gt;0,STDEV(I$184:I$187,I183),"")/IF(I$184*I$185*I$186*I$187*I183&gt;0,AVERAGE(I$184:I$187,I183),""),"")</f>
        <v/>
      </c>
      <c r="Z300" s="227" t="str">
        <f aca="false">IFERROR(IF(J$184*J$185*J$186*J$187*J183&gt;0,STDEV(J$184:J$187,J183),"")/IF(J$184*J$185*J$186*J$187*J183&gt;0,AVERAGE(J$184:J$187,J183),""),"")</f>
        <v/>
      </c>
      <c r="AA300" s="227" t="str">
        <f aca="false">IFERROR(IF(K$184*K$185*K$186*K$187*K183&gt;0,STDEV(K$184:K$187,K183),"")/IF(K$184*K$185*K$186*K$187*K183&gt;0,AVERAGE(K$184:K$187,K183),""),"")</f>
        <v/>
      </c>
      <c r="AB300" s="227" t="str">
        <f aca="false">IFERROR(IF(L$184*L$185*L$186*L$187*L183&gt;0,STDEV(L$184:L$187,L183),"")/IF(L$184*L$185*L$186*L$187*L183&gt;0,AVERAGE(L$184:L$187,L183),""),"")</f>
        <v/>
      </c>
      <c r="AC300" s="227" t="str">
        <f aca="false">IFERROR(IF(M$184*M$185*M$186*M$187*M183&gt;0,STDEV(M$184:M$187,M183),"")/IF(M$184*M$185*M$186*M$187*M183&gt;0,AVERAGE(M$184:M$187,M183),""),"")</f>
        <v/>
      </c>
      <c r="AD300" s="227" t="str">
        <f aca="false">IFERROR(IF(N$184*N$185*N$186*N$187*N183&gt;0,STDEV(N$184:N$187,N183),"")/IF(N$184*N$185*N$186*N$187*N183&gt;0,AVERAGE(N$184:N$187,N183),""),"")</f>
        <v/>
      </c>
      <c r="AE300" s="233"/>
      <c r="AF300" s="229" t="s">
        <v>562</v>
      </c>
      <c r="AG300" s="270" t="str">
        <f aca="false">IFERROR(IF(C$184*C$185*C$186*C$187*C183&gt;0,STDEV(C$184:C$187,C183)," ")/IF(C$184*C$185*C$186*C$187*C183&gt;0,SQRT(COUNT(C$184:C$187,C183))," "),"")</f>
        <v/>
      </c>
      <c r="AH300" s="270" t="str">
        <f aca="false">IFERROR(IF(D$184*D$185*D$186*D$187*D183&gt;0,STDEV(D$184:D$187,D183)," ")/IF(D$184*D$185*D$186*D$187*D183&gt;0,SQRT(COUNT(D$184:D$187,D183))," "),"")</f>
        <v/>
      </c>
      <c r="AI300" s="270" t="str">
        <f aca="false">IFERROR(IF(E$184*E$185*E$186*E$187*E183&gt;0,STDEV(E$184:E$187,E183)," ")/IF(E$184*E$185*E$186*E$187*E183&gt;0,SQRT(COUNT(E$184:E$187,E183))," "),"")</f>
        <v/>
      </c>
      <c r="AJ300" s="270" t="str">
        <f aca="false">IFERROR(IF(F$184*F$185*F$186*F$187*F183&gt;0,STDEV(F$184:F$187,F183)," ")/IF(F$184*F$185*F$186*F$187*F183&gt;0,SQRT(COUNT(F$184:F$187,F183))," "),"")</f>
        <v/>
      </c>
      <c r="AK300" s="270" t="str">
        <f aca="false">IFERROR(IF(G$184*G$185*G$186*G$187*G183&gt;0,STDEV(G$184:G$187,G183)," ")/IF(G$184*G$185*G$186*G$187*G183&gt;0,SQRT(COUNT(G$184:G$187,G183))," "),"")</f>
        <v/>
      </c>
      <c r="AL300" s="270" t="str">
        <f aca="false">IFERROR(IF(H$184*H$185*H$186*H$187*H183&gt;0,STDEV(H$184:H$187,H183)," ")/IF(H$184*H$185*H$186*H$187*H183&gt;0,SQRT(COUNT(H$184:H$187,H183))," "),"")</f>
        <v/>
      </c>
      <c r="AM300" s="270" t="str">
        <f aca="false">IFERROR(IF(I$184*I$185*I$186*I$187*I183&gt;0,STDEV(I$184:I$187,I183)," ")/IF(I$184*I$185*I$186*I$187*I183&gt;0,SQRT(COUNT(I$184:I$187,I183))," "),"")</f>
        <v/>
      </c>
      <c r="AN300" s="270" t="str">
        <f aca="false">IFERROR(IF(J$184*J$185*J$186*J$187*J183&gt;0,STDEV(J$184:J$187,J183)," ")/IF(J$184*J$185*J$186*J$187*J183&gt;0,SQRT(COUNT(J$184:J$187,J183))," "),"")</f>
        <v/>
      </c>
      <c r="AO300" s="270" t="str">
        <f aca="false">IFERROR(IF(K$184*K$185*K$186*K$187*K183&gt;0,STDEV(K$184:K$187,K183)," ")/IF(K$184*K$185*K$186*K$187*K183&gt;0,SQRT(COUNT(K$184:K$187,K183))," "),"")</f>
        <v/>
      </c>
      <c r="AP300" s="270" t="str">
        <f aca="false">IFERROR(IF(L$184*L$185*L$186*L$187*L183&gt;0,STDEV(L$184:L$187,L183)," ")/IF(L$184*L$185*L$186*L$187*L183&gt;0,SQRT(COUNT(L$184:L$187,L183))," "),"")</f>
        <v/>
      </c>
      <c r="AQ300" s="270" t="str">
        <f aca="false">IFERROR(IF(M$184*M$185*M$186*M$187*M183&gt;0,STDEV(M$184:M$187,M183)," ")/IF(M$184*M$185*M$186*M$187*M183&gt;0,SQRT(COUNT(M$184:M$187,M183))," "),"")</f>
        <v/>
      </c>
      <c r="AR300" s="270" t="str">
        <f aca="false">IFERROR(IF(N$184*N$185*N$186*N$187*N183&gt;0,STDEV(N$184:N$187,N183)," ")/IF(N$184*N$185*N$186*N$187*N183&gt;0,SQRT(COUNT(N$184:N$187,N183))," "),"")</f>
        <v/>
      </c>
    </row>
    <row r="301" customFormat="false" ht="15.75" hidden="false" customHeight="false" outlineLevel="0" collapsed="false">
      <c r="A301" s="220" t="s">
        <v>563</v>
      </c>
      <c r="B301" s="221"/>
      <c r="C301" s="261" t="str">
        <f aca="false">IFERROR(IF(C$184*C$185*C$186*C$187*C188&gt;0,AVERAGE(C$184:C$187,C188),""),"")</f>
        <v/>
      </c>
      <c r="D301" s="261" t="str">
        <f aca="false">IFERROR(IF(D$184*D$185*D$186*D$187*D188&gt;0,AVERAGE(D$184:D$187,D188),""),"")</f>
        <v/>
      </c>
      <c r="E301" s="261" t="str">
        <f aca="false">IFERROR(IF(E$184*E$185*E$186*E$187*E188&gt;0,AVERAGE(E$184:E$187,E188),""),"")</f>
        <v/>
      </c>
      <c r="F301" s="261" t="str">
        <f aca="false">IFERROR(IF(F$184*F$185*F$186*F$187*F188&gt;0,AVERAGE(F$184:F$187,F188),""),"")</f>
        <v/>
      </c>
      <c r="G301" s="261" t="str">
        <f aca="false">IFERROR(IF(G$184*G$185*G$186*G$187*G188&gt;0,AVERAGE(G$184:G$187,G188),""),"")</f>
        <v/>
      </c>
      <c r="H301" s="261" t="str">
        <f aca="false">IFERROR(IF(H$184*H$185*H$186*H$187*H188&gt;0,AVERAGE(H$184:H$187,H188),""),"")</f>
        <v/>
      </c>
      <c r="I301" s="261" t="str">
        <f aca="false">IFERROR(IF(I$184*I$185*I$186*I$187*I188&gt;0,AVERAGE(I$184:I$187,I188),""),"")</f>
        <v/>
      </c>
      <c r="J301" s="261" t="str">
        <f aca="false">IFERROR(IF(J$184*J$185*J$186*J$187*J188&gt;0,AVERAGE(J$184:J$187,J188),""),"")</f>
        <v/>
      </c>
      <c r="K301" s="261" t="str">
        <f aca="false">IFERROR(IF(K$184*K$185*K$186*K$187*K188&gt;0,AVERAGE(K$184:K$187,K188),""),"")</f>
        <v/>
      </c>
      <c r="L301" s="261" t="str">
        <f aca="false">IFERROR(IF(L$184*L$185*L$186*L$187*L188&gt;0,AVERAGE(L$184:L$187,L188),""),"")</f>
        <v/>
      </c>
      <c r="M301" s="261" t="str">
        <f aca="false">IFERROR(IF(M$184*M$185*M$186*M$187*M188&gt;0,AVERAGE(M$184:M$187,M188),""),"")</f>
        <v/>
      </c>
      <c r="N301" s="261" t="str">
        <f aca="false">IFERROR(IF(N$184*N$185*N$186*N$187*N188&gt;0,AVERAGE(N$184:N$187,N188),""),"")</f>
        <v/>
      </c>
      <c r="O301" s="224"/>
      <c r="P301" s="224"/>
      <c r="Q301" s="232"/>
      <c r="R301" s="226" t="s">
        <v>564</v>
      </c>
      <c r="S301" s="227" t="str">
        <f aca="false">IFERROR(IF(C$184*C$185*C$186*C$187*C188&gt;0,STDEV(C$184:C$187,C188),"")/IF(C$184*C$185*C$186*C$187*C188&gt;0,AVERAGE(C$184:C$187,C188),""),"")</f>
        <v/>
      </c>
      <c r="T301" s="227" t="str">
        <f aca="false">IFERROR(IF(D$184*D$185*D$186*D$187*D188&gt;0,STDEV(D$184:D$187,D188),"")/IF(D$184*D$185*D$186*D$187*D188&gt;0,AVERAGE(D$184:D$187,D188),""),"")</f>
        <v/>
      </c>
      <c r="U301" s="227" t="str">
        <f aca="false">IFERROR(IF(E$184*E$185*E$186*E$187*E188&gt;0,STDEV(E$184:E$187,E188),"")/IF(E$184*E$185*E$186*E$187*E188&gt;0,AVERAGE(E$184:E$187,E188),""),"")</f>
        <v/>
      </c>
      <c r="V301" s="227" t="str">
        <f aca="false">IFERROR(IF(F$184*F$185*F$186*F$187*F188&gt;0,STDEV(F$184:F$187,F188),"")/IF(F$184*F$185*F$186*F$187*F188&gt;0,AVERAGE(F$184:F$187,F188),""),"")</f>
        <v/>
      </c>
      <c r="W301" s="227" t="str">
        <f aca="false">IFERROR(IF(G$184*G$185*G$186*G$187*G188&gt;0,STDEV(G$184:G$187,G188),"")/IF(G$184*G$185*G$186*G$187*G188&gt;0,AVERAGE(G$184:G$187,G188),""),"")</f>
        <v/>
      </c>
      <c r="X301" s="227" t="str">
        <f aca="false">IFERROR(IF(H$184*H$185*H$186*H$187*H188&gt;0,STDEV(H$184:H$187,H188),"")/IF(H$184*H$185*H$186*H$187*H188&gt;0,AVERAGE(H$184:H$187,H188),""),"")</f>
        <v/>
      </c>
      <c r="Y301" s="227" t="str">
        <f aca="false">IFERROR(IF(I$184*I$185*I$186*I$187*I188&gt;0,STDEV(I$184:I$187,I188),"")/IF(I$184*I$185*I$186*I$187*I188&gt;0,AVERAGE(I$184:I$187,I188),""),"")</f>
        <v/>
      </c>
      <c r="Z301" s="227" t="str">
        <f aca="false">IFERROR(IF(J$184*J$185*J$186*J$187*J188&gt;0,STDEV(J$184:J$187,J188),"")/IF(J$184*J$185*J$186*J$187*J188&gt;0,AVERAGE(J$184:J$187,J188),""),"")</f>
        <v/>
      </c>
      <c r="AA301" s="227" t="str">
        <f aca="false">IFERROR(IF(K$184*K$185*K$186*K$187*K188&gt;0,STDEV(K$184:K$187,K188),"")/IF(K$184*K$185*K$186*K$187*K188&gt;0,AVERAGE(K$184:K$187,K188),""),"")</f>
        <v/>
      </c>
      <c r="AB301" s="227" t="str">
        <f aca="false">IFERROR(IF(L$184*L$185*L$186*L$187*L188&gt;0,STDEV(L$184:L$187,L188),"")/IF(L$184*L$185*L$186*L$187*L188&gt;0,AVERAGE(L$184:L$187,L188),""),"")</f>
        <v/>
      </c>
      <c r="AC301" s="227" t="str">
        <f aca="false">IFERROR(IF(M$184*M$185*M$186*M$187*M188&gt;0,STDEV(M$184:M$187,M188),"")/IF(M$184*M$185*M$186*M$187*M188&gt;0,AVERAGE(M$184:M$187,M188),""),"")</f>
        <v/>
      </c>
      <c r="AD301" s="227" t="str">
        <f aca="false">IFERROR(IF(N$184*N$185*N$186*N$187*N188&gt;0,STDEV(N$184:N$187,N188),"")/IF(N$184*N$185*N$186*N$187*N188&gt;0,AVERAGE(N$184:N$187,N188),""),"")</f>
        <v/>
      </c>
      <c r="AE301" s="233"/>
      <c r="AF301" s="229" t="s">
        <v>565</v>
      </c>
      <c r="AG301" s="270" t="str">
        <f aca="false">IFERROR(IF(C$184*C$185*C$186*C$187*C188&gt;0,STDEV(C$184:C$187,C188)," ")/IF(C$184*C$185*C$186*C$187*C188&gt;0,SQRT(COUNT(C$184:C$187,C188))," "),"")</f>
        <v/>
      </c>
      <c r="AH301" s="270" t="str">
        <f aca="false">IFERROR(IF(D$184*D$185*D$186*D$187*D188&gt;0,STDEV(D$184:D$187,D188)," ")/IF(D$184*D$185*D$186*D$187*D188&gt;0,SQRT(COUNT(D$184:D$187,D188))," "),"")</f>
        <v/>
      </c>
      <c r="AI301" s="270" t="str">
        <f aca="false">IFERROR(IF(E$184*E$185*E$186*E$187*E188&gt;0,STDEV(E$184:E$187,E188)," ")/IF(E$184*E$185*E$186*E$187*E188&gt;0,SQRT(COUNT(E$184:E$187,E188))," "),"")</f>
        <v/>
      </c>
      <c r="AJ301" s="270" t="str">
        <f aca="false">IFERROR(IF(F$184*F$185*F$186*F$187*F188&gt;0,STDEV(F$184:F$187,F188)," ")/IF(F$184*F$185*F$186*F$187*F188&gt;0,SQRT(COUNT(F$184:F$187,F188))," "),"")</f>
        <v/>
      </c>
      <c r="AK301" s="270" t="str">
        <f aca="false">IFERROR(IF(G$184*G$185*G$186*G$187*G188&gt;0,STDEV(G$184:G$187,G188)," ")/IF(G$184*G$185*G$186*G$187*G188&gt;0,SQRT(COUNT(G$184:G$187,G188))," "),"")</f>
        <v/>
      </c>
      <c r="AL301" s="270" t="str">
        <f aca="false">IFERROR(IF(H$184*H$185*H$186*H$187*H188&gt;0,STDEV(H$184:H$187,H188)," ")/IF(H$184*H$185*H$186*H$187*H188&gt;0,SQRT(COUNT(H$184:H$187,H188))," "),"")</f>
        <v/>
      </c>
      <c r="AM301" s="270" t="str">
        <f aca="false">IFERROR(IF(I$184*I$185*I$186*I$187*I188&gt;0,STDEV(I$184:I$187,I188)," ")/IF(I$184*I$185*I$186*I$187*I188&gt;0,SQRT(COUNT(I$184:I$187,I188))," "),"")</f>
        <v/>
      </c>
      <c r="AN301" s="270" t="str">
        <f aca="false">IFERROR(IF(J$184*J$185*J$186*J$187*J188&gt;0,STDEV(J$184:J$187,J188)," ")/IF(J$184*J$185*J$186*J$187*J188&gt;0,SQRT(COUNT(J$184:J$187,J188))," "),"")</f>
        <v/>
      </c>
      <c r="AO301" s="270" t="str">
        <f aca="false">IFERROR(IF(K$184*K$185*K$186*K$187*K188&gt;0,STDEV(K$184:K$187,K188)," ")/IF(K$184*K$185*K$186*K$187*K188&gt;0,SQRT(COUNT(K$184:K$187,K188))," "),"")</f>
        <v/>
      </c>
      <c r="AP301" s="270" t="str">
        <f aca="false">IFERROR(IF(L$184*L$185*L$186*L$187*L188&gt;0,STDEV(L$184:L$187,L188)," ")/IF(L$184*L$185*L$186*L$187*L188&gt;0,SQRT(COUNT(L$184:L$187,L188))," "),"")</f>
        <v/>
      </c>
      <c r="AQ301" s="270" t="str">
        <f aca="false">IFERROR(IF(M$184*M$185*M$186*M$187*M188&gt;0,STDEV(M$184:M$187,M188)," ")/IF(M$184*M$185*M$186*M$187*M188&gt;0,SQRT(COUNT(M$184:M$187,M188))," "),"")</f>
        <v/>
      </c>
      <c r="AR301" s="270" t="str">
        <f aca="false">IFERROR(IF(N$184*N$185*N$186*N$187*N188&gt;0,STDEV(N$184:N$187,N188)," ")/IF(N$184*N$185*N$186*N$187*N188&gt;0,SQRT(COUNT(N$184:N$187,N188))," "),"")</f>
        <v/>
      </c>
    </row>
    <row r="302" customFormat="false" ht="15.75" hidden="false" customHeight="false" outlineLevel="0" collapsed="false">
      <c r="A302" s="220" t="s">
        <v>566</v>
      </c>
      <c r="B302" s="221"/>
      <c r="C302" s="261" t="str">
        <f aca="false">IFERROR(IF(C$185*C$186*C$187*C$188*C182&gt;0,AVERAGE(C$185:C$188,C182),""),"")</f>
        <v/>
      </c>
      <c r="D302" s="261" t="str">
        <f aca="false">IFERROR(IF(D$185*D$186*D$187*D$188*D182&gt;0,AVERAGE(D$185:D$188,D182),""),"")</f>
        <v/>
      </c>
      <c r="E302" s="261" t="str">
        <f aca="false">IFERROR(IF(E$185*E$186*E$187*E$188*E182&gt;0,AVERAGE(E$185:E$188,E182),""),"")</f>
        <v/>
      </c>
      <c r="F302" s="261" t="str">
        <f aca="false">IFERROR(IF(F$185*F$186*F$187*F$188*F182&gt;0,AVERAGE(F$185:F$188,F182),""),"")</f>
        <v/>
      </c>
      <c r="G302" s="261" t="str">
        <f aca="false">IFERROR(IF(G$185*G$186*G$187*G$188*G182&gt;0,AVERAGE(G$185:G$188,G182),""),"")</f>
        <v/>
      </c>
      <c r="H302" s="261" t="str">
        <f aca="false">IFERROR(IF(H$185*H$186*H$187*H$188*H182&gt;0,AVERAGE(H$185:H$188,H182),""),"")</f>
        <v/>
      </c>
      <c r="I302" s="261" t="str">
        <f aca="false">IFERROR(IF(I$185*I$186*I$187*I$188*I182&gt;0,AVERAGE(I$185:I$188,I182),""),"")</f>
        <v/>
      </c>
      <c r="J302" s="261" t="str">
        <f aca="false">IFERROR(IF(J$185*J$186*J$187*J$188*J182&gt;0,AVERAGE(J$185:J$188,J182),""),"")</f>
        <v/>
      </c>
      <c r="K302" s="261" t="str">
        <f aca="false">IFERROR(IF(K$185*K$186*K$187*K$188*K182&gt;0,AVERAGE(K$185:K$188,K182),""),"")</f>
        <v/>
      </c>
      <c r="L302" s="261" t="str">
        <f aca="false">IFERROR(IF(L$185*L$186*L$187*L$188*L182&gt;0,AVERAGE(L$185:L$188,L182),""),"")</f>
        <v/>
      </c>
      <c r="M302" s="261" t="str">
        <f aca="false">IFERROR(IF(M$185*M$186*M$187*M$188*M182&gt;0,AVERAGE(M$185:M$188,M182),""),"")</f>
        <v/>
      </c>
      <c r="N302" s="261" t="str">
        <f aca="false">IFERROR(IF(N$185*N$186*N$187*N$188*N182&gt;0,AVERAGE(N$185:N$188,N182),""),"")</f>
        <v/>
      </c>
      <c r="O302" s="224"/>
      <c r="P302" s="224"/>
      <c r="Q302" s="232"/>
      <c r="R302" s="226" t="s">
        <v>567</v>
      </c>
      <c r="S302" s="227" t="str">
        <f aca="false">IFERROR(IF(C$185*C$186*C$187*C$188*C182&gt;0,STDEV(C$185:C$188,C182),"")/IF(C$185*C$186*C$187*C$188*C182&gt;0,AVERAGE(C$185:C$188,C182),""),"")</f>
        <v/>
      </c>
      <c r="T302" s="227" t="str">
        <f aca="false">IFERROR(IF(D$185*D$186*D$187*D$188*D182&gt;0,STDEV(D$185:D$188,D182),"")/IF(D$185*D$186*D$187*D$188*D182&gt;0,AVERAGE(D$185:D$188,D182),""),"")</f>
        <v/>
      </c>
      <c r="U302" s="227" t="str">
        <f aca="false">IFERROR(IF(E$185*E$186*E$187*E$188*E182&gt;0,STDEV(E$185:E$188,E182),"")/IF(E$185*E$186*E$187*E$188*E182&gt;0,AVERAGE(E$185:E$188,E182),""),"")</f>
        <v/>
      </c>
      <c r="V302" s="227" t="str">
        <f aca="false">IFERROR(IF(F$185*F$186*F$187*F$188*F182&gt;0,STDEV(F$185:F$188,F182),"")/IF(F$185*F$186*F$187*F$188*F182&gt;0,AVERAGE(F$185:F$188,F182),""),"")</f>
        <v/>
      </c>
      <c r="W302" s="227" t="str">
        <f aca="false">IFERROR(IF(G$185*G$186*G$187*G$188*G182&gt;0,STDEV(G$185:G$188,G182),"")/IF(G$185*G$186*G$187*G$188*G182&gt;0,AVERAGE(G$185:G$188,G182),""),"")</f>
        <v/>
      </c>
      <c r="X302" s="227" t="str">
        <f aca="false">IFERROR(IF(H$185*H$186*H$187*H$188*H182&gt;0,STDEV(H$185:H$188,H182),"")/IF(H$185*H$186*H$187*H$188*H182&gt;0,AVERAGE(H$185:H$188,H182),""),"")</f>
        <v/>
      </c>
      <c r="Y302" s="227" t="str">
        <f aca="false">IFERROR(IF(I$185*I$186*I$187*I$188*I182&gt;0,STDEV(I$185:I$188,I182),"")/IF(I$185*I$186*I$187*I$188*I182&gt;0,AVERAGE(I$185:I$188,I182),""),"")</f>
        <v/>
      </c>
      <c r="Z302" s="227" t="str">
        <f aca="false">IFERROR(IF(J$185*J$186*J$187*J$188*J182&gt;0,STDEV(J$185:J$188,J182),"")/IF(J$185*J$186*J$187*J$188*J182&gt;0,AVERAGE(J$185:J$188,J182),""),"")</f>
        <v/>
      </c>
      <c r="AA302" s="227" t="str">
        <f aca="false">IFERROR(IF(K$185*K$186*K$187*K$188*K182&gt;0,STDEV(K$185:K$188,K182),"")/IF(K$185*K$186*K$187*K$188*K182&gt;0,AVERAGE(K$185:K$188,K182),""),"")</f>
        <v/>
      </c>
      <c r="AB302" s="227" t="str">
        <f aca="false">IFERROR(IF(L$185*L$186*L$187*L$188*L182&gt;0,STDEV(L$185:L$188,L182),"")/IF(L$185*L$186*L$187*L$188*L182&gt;0,AVERAGE(L$185:L$188,L182),""),"")</f>
        <v/>
      </c>
      <c r="AC302" s="227" t="str">
        <f aca="false">IFERROR(IF(M$185*M$186*M$187*M$188*M182&gt;0,STDEV(M$185:M$188,M182),"")/IF(M$185*M$186*M$187*M$188*M182&gt;0,AVERAGE(M$185:M$188,M182),""),"")</f>
        <v/>
      </c>
      <c r="AD302" s="227" t="str">
        <f aca="false">IFERROR(IF(N$185*N$186*N$187*N$188*N182&gt;0,STDEV(N$185:N$188,N182),"")/IF(N$185*N$186*N$187*N$188*N182&gt;0,AVERAGE(N$185:N$188,N182),""),"")</f>
        <v/>
      </c>
      <c r="AE302" s="233"/>
      <c r="AF302" s="229" t="s">
        <v>568</v>
      </c>
      <c r="AG302" s="270" t="str">
        <f aca="false">IFERROR(IF(C$185*C$186*C$187*C$188*C182&gt;0,STDEV(C$185:C$188,C182)," ")/IF(C$185*C$186*C$187*C$188*C182&gt;0,SQRT(COUNT(C$185:C$188,C182))," "),"")</f>
        <v/>
      </c>
      <c r="AH302" s="270" t="str">
        <f aca="false">IFERROR(IF(D$185*D$186*D$187*D$188*D182&gt;0,STDEV(D$185:D$188,D182)," ")/IF(D$185*D$186*D$187*D$188*D182&gt;0,SQRT(COUNT(D$185:D$188,D182))," "),"")</f>
        <v/>
      </c>
      <c r="AI302" s="270" t="str">
        <f aca="false">IFERROR(IF(E$185*E$186*E$187*E$188*E182&gt;0,STDEV(E$185:E$188,E182)," ")/IF(E$185*E$186*E$187*E$188*E182&gt;0,SQRT(COUNT(E$185:E$188,E182))," "),"")</f>
        <v/>
      </c>
      <c r="AJ302" s="270" t="str">
        <f aca="false">IFERROR(IF(F$185*F$186*F$187*F$188*F182&gt;0,STDEV(F$185:F$188,F182)," ")/IF(F$185*F$186*F$187*F$188*F182&gt;0,SQRT(COUNT(F$185:F$188,F182))," "),"")</f>
        <v/>
      </c>
      <c r="AK302" s="270" t="str">
        <f aca="false">IFERROR(IF(G$185*G$186*G$187*G$188*G182&gt;0,STDEV(G$185:G$188,G182)," ")/IF(G$185*G$186*G$187*G$188*G182&gt;0,SQRT(COUNT(G$185:G$188,G182))," "),"")</f>
        <v/>
      </c>
      <c r="AL302" s="270" t="str">
        <f aca="false">IFERROR(IF(H$185*H$186*H$187*H$188*H182&gt;0,STDEV(H$185:H$188,H182)," ")/IF(H$185*H$186*H$187*H$188*H182&gt;0,SQRT(COUNT(H$185:H$188,H182))," "),"")</f>
        <v/>
      </c>
      <c r="AM302" s="270" t="str">
        <f aca="false">IFERROR(IF(I$185*I$186*I$187*I$188*I182&gt;0,STDEV(I$185:I$188,I182)," ")/IF(I$185*I$186*I$187*I$188*I182&gt;0,SQRT(COUNT(I$185:I$188,I182))," "),"")</f>
        <v/>
      </c>
      <c r="AN302" s="270" t="str">
        <f aca="false">IFERROR(IF(J$185*J$186*J$187*J$188*J182&gt;0,STDEV(J$185:J$188,J182)," ")/IF(J$185*J$186*J$187*J$188*J182&gt;0,SQRT(COUNT(J$185:J$188,J182))," "),"")</f>
        <v/>
      </c>
      <c r="AO302" s="270" t="str">
        <f aca="false">IFERROR(IF(K$185*K$186*K$187*K$188*K182&gt;0,STDEV(K$185:K$188,K182)," ")/IF(K$185*K$186*K$187*K$188*K182&gt;0,SQRT(COUNT(K$185:K$188,K182))," "),"")</f>
        <v/>
      </c>
      <c r="AP302" s="270" t="str">
        <f aca="false">IFERROR(IF(L$185*L$186*L$187*L$188*L182&gt;0,STDEV(L$185:L$188,L182)," ")/IF(L$185*L$186*L$187*L$188*L182&gt;0,SQRT(COUNT(L$185:L$188,L182))," "),"")</f>
        <v/>
      </c>
      <c r="AQ302" s="270" t="str">
        <f aca="false">IFERROR(IF(M$185*M$186*M$187*M$188*M182&gt;0,STDEV(M$185:M$188,M182)," ")/IF(M$185*M$186*M$187*M$188*M182&gt;0,SQRT(COUNT(M$185:M$188,M182))," "),"")</f>
        <v/>
      </c>
      <c r="AR302" s="270" t="str">
        <f aca="false">IFERROR(IF(N$185*N$186*N$187*N$188*N182&gt;0,STDEV(N$185:N$188,N182)," ")/IF(N$185*N$186*N$187*N$188*N182&gt;0,SQRT(COUNT(N$185:N$188,N182))," "),"")</f>
        <v/>
      </c>
    </row>
    <row r="303" customFormat="false" ht="15.75" hidden="false" customHeight="false" outlineLevel="0" collapsed="false">
      <c r="A303" s="220" t="s">
        <v>569</v>
      </c>
      <c r="B303" s="221"/>
      <c r="C303" s="261" t="str">
        <f aca="false">IFERROR(IF(C$185*C$186*C$187*C$188*C183&gt;0,AVERAGE(C$185:C$188,C183),""),"")</f>
        <v/>
      </c>
      <c r="D303" s="261" t="str">
        <f aca="false">IFERROR(IF(D$185*D$186*D$187*D$188*D183&gt;0,AVERAGE(D$185:D$188,D183),""),"")</f>
        <v/>
      </c>
      <c r="E303" s="261" t="str">
        <f aca="false">IFERROR(IF(E$185*E$186*E$187*E$188*E183&gt;0,AVERAGE(E$185:E$188,E183),""),"")</f>
        <v/>
      </c>
      <c r="F303" s="261" t="str">
        <f aca="false">IFERROR(IF(F$185*F$186*F$187*F$188*F183&gt;0,AVERAGE(F$185:F$188,F183),""),"")</f>
        <v/>
      </c>
      <c r="G303" s="261" t="str">
        <f aca="false">IFERROR(IF(G$185*G$186*G$187*G$188*G183&gt;0,AVERAGE(G$185:G$188,G183),""),"")</f>
        <v/>
      </c>
      <c r="H303" s="261" t="str">
        <f aca="false">IFERROR(IF(H$185*H$186*H$187*H$188*H183&gt;0,AVERAGE(H$185:H$188,H183),""),"")</f>
        <v/>
      </c>
      <c r="I303" s="261" t="str">
        <f aca="false">IFERROR(IF(I$185*I$186*I$187*I$188*I183&gt;0,AVERAGE(I$185:I$188,I183),""),"")</f>
        <v/>
      </c>
      <c r="J303" s="261" t="str">
        <f aca="false">IFERROR(IF(J$185*J$186*J$187*J$188*J183&gt;0,AVERAGE(J$185:J$188,J183),""),"")</f>
        <v/>
      </c>
      <c r="K303" s="261" t="str">
        <f aca="false">IFERROR(IF(K$185*K$186*K$187*K$188*K183&gt;0,AVERAGE(K$185:K$188,K183),""),"")</f>
        <v/>
      </c>
      <c r="L303" s="261" t="str">
        <f aca="false">IFERROR(IF(L$185*L$186*L$187*L$188*L183&gt;0,AVERAGE(L$185:L$188,L183),""),"")</f>
        <v/>
      </c>
      <c r="M303" s="261" t="str">
        <f aca="false">IFERROR(IF(M$185*M$186*M$187*M$188*M183&gt;0,AVERAGE(M$185:M$188,M183),""),"")</f>
        <v/>
      </c>
      <c r="N303" s="261" t="str">
        <f aca="false">IFERROR(IF(N$185*N$186*N$187*N$188*N183&gt;0,AVERAGE(N$185:N$188,N183),""),"")</f>
        <v/>
      </c>
      <c r="O303" s="224"/>
      <c r="P303" s="224"/>
      <c r="Q303" s="232"/>
      <c r="R303" s="226" t="s">
        <v>570</v>
      </c>
      <c r="S303" s="227" t="str">
        <f aca="false">IFERROR(IF(C$185*C$186*C$187*C$188*C183&gt;0,STDEV(C$185:C$188,C183),"")/IF(C$185*C$186*C$187*C$188*C183&gt;0,AVERAGE(C$185:C$188,C183),""),"")</f>
        <v/>
      </c>
      <c r="T303" s="227" t="str">
        <f aca="false">IFERROR(IF(D$185*D$186*D$187*D$188*D183&gt;0,STDEV(D$185:D$188,D183),"")/IF(D$185*D$186*D$187*D$188*D183&gt;0,AVERAGE(D$185:D$188,D183),""),"")</f>
        <v/>
      </c>
      <c r="U303" s="227" t="str">
        <f aca="false">IFERROR(IF(E$185*E$186*E$187*E$188*E183&gt;0,STDEV(E$185:E$188,E183),"")/IF(E$185*E$186*E$187*E$188*E183&gt;0,AVERAGE(E$185:E$188,E183),""),"")</f>
        <v/>
      </c>
      <c r="V303" s="227" t="str">
        <f aca="false">IFERROR(IF(F$185*F$186*F$187*F$188*F183&gt;0,STDEV(F$185:F$188,F183),"")/IF(F$185*F$186*F$187*F$188*F183&gt;0,AVERAGE(F$185:F$188,F183),""),"")</f>
        <v/>
      </c>
      <c r="W303" s="227" t="str">
        <f aca="false">IFERROR(IF(G$185*G$186*G$187*G$188*G183&gt;0,STDEV(G$185:G$188,G183),"")/IF(G$185*G$186*G$187*G$188*G183&gt;0,AVERAGE(G$185:G$188,G183),""),"")</f>
        <v/>
      </c>
      <c r="X303" s="227" t="str">
        <f aca="false">IFERROR(IF(H$185*H$186*H$187*H$188*H183&gt;0,STDEV(H$185:H$188,H183),"")/IF(H$185*H$186*H$187*H$188*H183&gt;0,AVERAGE(H$185:H$188,H183),""),"")</f>
        <v/>
      </c>
      <c r="Y303" s="227" t="str">
        <f aca="false">IFERROR(IF(I$185*I$186*I$187*I$188*I183&gt;0,STDEV(I$185:I$188,I183),"")/IF(I$185*I$186*I$187*I$188*I183&gt;0,AVERAGE(I$185:I$188,I183),""),"")</f>
        <v/>
      </c>
      <c r="Z303" s="227" t="str">
        <f aca="false">IFERROR(IF(J$185*J$186*J$187*J$188*J183&gt;0,STDEV(J$185:J$188,J183),"")/IF(J$185*J$186*J$187*J$188*J183&gt;0,AVERAGE(J$185:J$188,J183),""),"")</f>
        <v/>
      </c>
      <c r="AA303" s="227" t="str">
        <f aca="false">IFERROR(IF(K$185*K$186*K$187*K$188*K183&gt;0,STDEV(K$185:K$188,K183),"")/IF(K$185*K$186*K$187*K$188*K183&gt;0,AVERAGE(K$185:K$188,K183),""),"")</f>
        <v/>
      </c>
      <c r="AB303" s="227" t="str">
        <f aca="false">IFERROR(IF(L$185*L$186*L$187*L$188*L183&gt;0,STDEV(L$185:L$188,L183),"")/IF(L$185*L$186*L$187*L$188*L183&gt;0,AVERAGE(L$185:L$188,L183),""),"")</f>
        <v/>
      </c>
      <c r="AC303" s="227" t="str">
        <f aca="false">IFERROR(IF(M$185*M$186*M$187*M$188*M183&gt;0,STDEV(M$185:M$188,M183),"")/IF(M$185*M$186*M$187*M$188*M183&gt;0,AVERAGE(M$185:M$188,M183),""),"")</f>
        <v/>
      </c>
      <c r="AD303" s="227" t="str">
        <f aca="false">IFERROR(IF(N$185*N$186*N$187*N$188*N183&gt;0,STDEV(N$185:N$188,N183),"")/IF(N$185*N$186*N$187*N$188*N183&gt;0,AVERAGE(N$185:N$188,N183),""),"")</f>
        <v/>
      </c>
      <c r="AE303" s="233"/>
      <c r="AF303" s="229" t="s">
        <v>571</v>
      </c>
      <c r="AG303" s="270" t="str">
        <f aca="false">IFERROR(IF(C$185*C$186*C$187*C$188*C183&gt;0,STDEV(C$185:C$188,C183)," ")/IF(C$185*C$186*C$187*C$188*C183&gt;0,SQRT(COUNT(C$185:C$188,C183))," "),"")</f>
        <v/>
      </c>
      <c r="AH303" s="270" t="str">
        <f aca="false">IFERROR(IF(D$185*D$186*D$187*D$188*D183&gt;0,STDEV(D$185:D$188,D183)," ")/IF(D$185*D$186*D$187*D$188*D183&gt;0,SQRT(COUNT(D$185:D$188,D183))," "),"")</f>
        <v/>
      </c>
      <c r="AI303" s="270" t="str">
        <f aca="false">IFERROR(IF(E$185*E$186*E$187*E$188*E183&gt;0,STDEV(E$185:E$188,E183)," ")/IF(E$185*E$186*E$187*E$188*E183&gt;0,SQRT(COUNT(E$185:E$188,E183))," "),"")</f>
        <v/>
      </c>
      <c r="AJ303" s="270" t="str">
        <f aca="false">IFERROR(IF(F$185*F$186*F$187*F$188*F183&gt;0,STDEV(F$185:F$188,F183)," ")/IF(F$185*F$186*F$187*F$188*F183&gt;0,SQRT(COUNT(F$185:F$188,F183))," "),"")</f>
        <v/>
      </c>
      <c r="AK303" s="270" t="str">
        <f aca="false">IFERROR(IF(G$185*G$186*G$187*G$188*G183&gt;0,STDEV(G$185:G$188,G183)," ")/IF(G$185*G$186*G$187*G$188*G183&gt;0,SQRT(COUNT(G$185:G$188,G183))," "),"")</f>
        <v/>
      </c>
      <c r="AL303" s="270" t="str">
        <f aca="false">IFERROR(IF(H$185*H$186*H$187*H$188*H183&gt;0,STDEV(H$185:H$188,H183)," ")/IF(H$185*H$186*H$187*H$188*H183&gt;0,SQRT(COUNT(H$185:H$188,H183))," "),"")</f>
        <v/>
      </c>
      <c r="AM303" s="270" t="str">
        <f aca="false">IFERROR(IF(I$185*I$186*I$187*I$188*I183&gt;0,STDEV(I$185:I$188,I183)," ")/IF(I$185*I$186*I$187*I$188*I183&gt;0,SQRT(COUNT(I$185:I$188,I183))," "),"")</f>
        <v/>
      </c>
      <c r="AN303" s="270" t="str">
        <f aca="false">IFERROR(IF(J$185*J$186*J$187*J$188*J183&gt;0,STDEV(J$185:J$188,J183)," ")/IF(J$185*J$186*J$187*J$188*J183&gt;0,SQRT(COUNT(J$185:J$188,J183))," "),"")</f>
        <v/>
      </c>
      <c r="AO303" s="270" t="str">
        <f aca="false">IFERROR(IF(K$185*K$186*K$187*K$188*K183&gt;0,STDEV(K$185:K$188,K183)," ")/IF(K$185*K$186*K$187*K$188*K183&gt;0,SQRT(COUNT(K$185:K$188,K183))," "),"")</f>
        <v/>
      </c>
      <c r="AP303" s="270" t="str">
        <f aca="false">IFERROR(IF(L$185*L$186*L$187*L$188*L183&gt;0,STDEV(L$185:L$188,L183)," ")/IF(L$185*L$186*L$187*L$188*L183&gt;0,SQRT(COUNT(L$185:L$188,L183))," "),"")</f>
        <v/>
      </c>
      <c r="AQ303" s="270" t="str">
        <f aca="false">IFERROR(IF(M$185*M$186*M$187*M$188*M183&gt;0,STDEV(M$185:M$188,M183)," ")/IF(M$185*M$186*M$187*M$188*M183&gt;0,SQRT(COUNT(M$185:M$188,M183))," "),"")</f>
        <v/>
      </c>
      <c r="AR303" s="270" t="str">
        <f aca="false">IFERROR(IF(N$185*N$186*N$187*N$188*N183&gt;0,STDEV(N$185:N$188,N183)," ")/IF(N$185*N$186*N$187*N$188*N183&gt;0,SQRT(COUNT(N$185:N$188,N183))," "),"")</f>
        <v/>
      </c>
    </row>
    <row r="304" customFormat="false" ht="15.75" hidden="false" customHeight="false" outlineLevel="0" collapsed="false">
      <c r="A304" s="220" t="s">
        <v>572</v>
      </c>
      <c r="B304" s="221"/>
      <c r="C304" s="261" t="str">
        <f aca="false">IFERROR(IF(C$186*C$187*C$188*C$182*C$183&gt;0,AVERAGE(C$186:C$188, C$182, C$183),""),"")</f>
        <v/>
      </c>
      <c r="D304" s="261" t="str">
        <f aca="false">IFERROR(IF(D$186*D$187*D$188*D$182*D$183&gt;0,AVERAGE(D$186:D$188, D$182, D$183),""),"")</f>
        <v/>
      </c>
      <c r="E304" s="261" t="str">
        <f aca="false">IFERROR(IF(E$186*E$187*E$188*E$182*E$183&gt;0,AVERAGE(E$186:E$188, E$182, E$183),""),"")</f>
        <v/>
      </c>
      <c r="F304" s="261" t="str">
        <f aca="false">IFERROR(IF(F$186*F$187*F$188*F$182*F$183&gt;0,AVERAGE(F$186:F$188, F$182, F$183),""),"")</f>
        <v/>
      </c>
      <c r="G304" s="261" t="str">
        <f aca="false">IFERROR(IF(G$186*G$187*G$188*G$182*G$183&gt;0,AVERAGE(G$186:G$188, G$182, G$183),""),"")</f>
        <v/>
      </c>
      <c r="H304" s="261" t="str">
        <f aca="false">IFERROR(IF(H$186*H$187*H$188*H$182*H$183&gt;0,AVERAGE(H$186:H$188, H$182, H$183),""),"")</f>
        <v/>
      </c>
      <c r="I304" s="261" t="str">
        <f aca="false">IFERROR(IF(I$186*I$187*I$188*I$182*I$183&gt;0,AVERAGE(I$186:I$188, I$182, I$183),""),"")</f>
        <v/>
      </c>
      <c r="J304" s="261" t="str">
        <f aca="false">IFERROR(IF(J$186*J$187*J$188*J$182*J$183&gt;0,AVERAGE(J$186:J$188, J$182, J$183),""),"")</f>
        <v/>
      </c>
      <c r="K304" s="261" t="str">
        <f aca="false">IFERROR(IF(K$186*K$187*K$188*K$182*K$183&gt;0,AVERAGE(K$186:K$188, K$182, K$183),""),"")</f>
        <v/>
      </c>
      <c r="L304" s="261" t="str">
        <f aca="false">IFERROR(IF(L$186*L$187*L$188*L$182*L$183&gt;0,AVERAGE(L$186:L$188, L$182, L$183),""),"")</f>
        <v/>
      </c>
      <c r="M304" s="261" t="str">
        <f aca="false">IFERROR(IF(M$186*M$187*M$188*M$182*M$183&gt;0,AVERAGE(M$186:M$188, M$182, M$183),""),"")</f>
        <v/>
      </c>
      <c r="N304" s="261" t="str">
        <f aca="false">IFERROR(IF(N$186*N$187*N$188*N$182*N$183&gt;0,AVERAGE(N$186:N$188, N$182, N$183),""),"")</f>
        <v/>
      </c>
      <c r="O304" s="224"/>
      <c r="P304" s="224"/>
      <c r="Q304" s="232"/>
      <c r="R304" s="226" t="s">
        <v>573</v>
      </c>
      <c r="S304" s="227" t="str">
        <f aca="false">IFERROR(IF(C$186*C$187*C$188*C$182*C$183&gt;0,STDEV(C$186:C$188,, C$182, C$183),"")/IF(C$186*C$187*C$188*C$182*C$183&gt;0,AVERAGE(C$186:C$188,, C$182, C$183),""),"")</f>
        <v/>
      </c>
      <c r="T304" s="227" t="str">
        <f aca="false">IFERROR(IF(D$186*D$187*D$188*D$182*D$183&gt;0,STDEV(D$186:D$188,, D$182, D$183),"")/IF(D$186*D$187*D$188*D$182*D$183&gt;0,AVERAGE(D$186:D$188,, D$182, D$183),""),"")</f>
        <v/>
      </c>
      <c r="U304" s="227" t="str">
        <f aca="false">IFERROR(IF(E$186*E$187*E$188*E$182*E$183&gt;0,STDEV(E$186:E$188,, E$182, E$183),"")/IF(E$186*E$187*E$188*E$182*E$183&gt;0,AVERAGE(E$186:E$188,, E$182, E$183),""),"")</f>
        <v/>
      </c>
      <c r="V304" s="227" t="str">
        <f aca="false">IFERROR(IF(F$186*F$187*F$188*F$182*F$183&gt;0,STDEV(F$186:F$188,, F$182, F$183),"")/IF(F$186*F$187*F$188*F$182*F$183&gt;0,AVERAGE(F$186:F$188,, F$182, F$183),""),"")</f>
        <v/>
      </c>
      <c r="W304" s="227" t="str">
        <f aca="false">IFERROR(IF(G$186*G$187*G$188*G$182*G$183&gt;0,STDEV(G$186:G$188,, G$182, G$183),"")/IF(G$186*G$187*G$188*G$182*G$183&gt;0,AVERAGE(G$186:G$188,, G$182, G$183),""),"")</f>
        <v/>
      </c>
      <c r="X304" s="227" t="str">
        <f aca="false">IFERROR(IF(H$186*H$187*H$188*H$182*H$183&gt;0,STDEV(H$186:H$188,, H$182, H$183),"")/IF(H$186*H$187*H$188*H$182*H$183&gt;0,AVERAGE(H$186:H$188,, H$182, H$183),""),"")</f>
        <v/>
      </c>
      <c r="Y304" s="227" t="str">
        <f aca="false">IFERROR(IF(I$186*I$187*I$188*I$182*I$183&gt;0,STDEV(I$186:I$188,, I$182, I$183),"")/IF(I$186*I$187*I$188*I$182*I$183&gt;0,AVERAGE(I$186:I$188,, I$182, I$183),""),"")</f>
        <v/>
      </c>
      <c r="Z304" s="227" t="str">
        <f aca="false">IFERROR(IF(J$186*J$187*J$188*J$182*J$183&gt;0,STDEV(J$186:J$188,, J$182, J$183),"")/IF(J$186*J$187*J$188*J$182*J$183&gt;0,AVERAGE(J$186:J$188,, J$182, J$183),""),"")</f>
        <v/>
      </c>
      <c r="AA304" s="227" t="str">
        <f aca="false">IFERROR(IF(K$186*K$187*K$188*K$182*K$183&gt;0,STDEV(K$186:K$188,, K$182, K$183),"")/IF(K$186*K$187*K$188*K$182*K$183&gt;0,AVERAGE(K$186:K$188,, K$182, K$183),""),"")</f>
        <v/>
      </c>
      <c r="AB304" s="227" t="str">
        <f aca="false">IFERROR(IF(L$186*L$187*L$188*L$182*L$183&gt;0,STDEV(L$186:L$188,, L$182, L$183),"")/IF(L$186*L$187*L$188*L$182*L$183&gt;0,AVERAGE(L$186:L$188,, L$182, L$183),""),"")</f>
        <v/>
      </c>
      <c r="AC304" s="227" t="str">
        <f aca="false">IFERROR(IF(M$186*M$187*M$188*M$182*M$183&gt;0,STDEV(M$186:M$188,, M$182, M$183),"")/IF(M$186*M$187*M$188*M$182*M$183&gt;0,AVERAGE(M$186:M$188,, M$182, M$183),""),"")</f>
        <v/>
      </c>
      <c r="AD304" s="227" t="str">
        <f aca="false">IFERROR(IF(N$186*N$187*N$188*N$182*N$183&gt;0,STDEV(N$186:N$188,, N$182, N$183),"")/IF(N$186*N$187*N$188*N$182*N$183&gt;0,AVERAGE(N$186:N$188,, N$182, N$183),""),"")</f>
        <v/>
      </c>
      <c r="AE304" s="233"/>
      <c r="AF304" s="229" t="s">
        <v>574</v>
      </c>
      <c r="AG304" s="270" t="str">
        <f aca="false">IFERROR(IF(C$186*C$187*C$188*C$182*C$183&gt;0,STDEV(C$186:C$188,, C$182, C$183)," ")/IF(C$186*C$187*C$188*C$182*C$183&gt;0,SQRT(COUNT(C$186:C$188,, C$182, C$183))," "),"")</f>
        <v/>
      </c>
      <c r="AH304" s="270" t="str">
        <f aca="false">IFERROR(IF(D$186*D$187*D$188*D$182*D$183&gt;0,STDEV(D$186:D$188,, D$182, D$183)," ")/IF(D$186*D$187*D$188*D$182*D$183&gt;0,SQRT(COUNT(D$186:D$188,, D$182, D$183))," "),"")</f>
        <v/>
      </c>
      <c r="AI304" s="270" t="str">
        <f aca="false">IFERROR(IF(E$186*E$187*E$188*E$182*E$183&gt;0,STDEV(E$186:E$188,, E$182, E$183)," ")/IF(E$186*E$187*E$188*E$182*E$183&gt;0,SQRT(COUNT(E$186:E$188,, E$182, E$183))," "),"")</f>
        <v/>
      </c>
      <c r="AJ304" s="270" t="str">
        <f aca="false">IFERROR(IF(F$186*F$187*F$188*F$182*F$183&gt;0,STDEV(F$186:F$188,, F$182, F$183)," ")/IF(F$186*F$187*F$188*F$182*F$183&gt;0,SQRT(COUNT(F$186:F$188,, F$182, F$183))," "),"")</f>
        <v/>
      </c>
      <c r="AK304" s="270" t="str">
        <f aca="false">IFERROR(IF(G$186*G$187*G$188*G$182*G$183&gt;0,STDEV(G$186:G$188,, G$182, G$183)," ")/IF(G$186*G$187*G$188*G$182*G$183&gt;0,SQRT(COUNT(G$186:G$188,, G$182, G$183))," "),"")</f>
        <v/>
      </c>
      <c r="AL304" s="270" t="str">
        <f aca="false">IFERROR(IF(H$186*H$187*H$188*H$182*H$183&gt;0,STDEV(H$186:H$188,, H$182, H$183)," ")/IF(H$186*H$187*H$188*H$182*H$183&gt;0,SQRT(COUNT(H$186:H$188,, H$182, H$183))," "),"")</f>
        <v/>
      </c>
      <c r="AM304" s="270" t="str">
        <f aca="false">IFERROR(IF(I$186*I$187*I$188*I$182*I$183&gt;0,STDEV(I$186:I$188,, I$182, I$183)," ")/IF(I$186*I$187*I$188*I$182*I$183&gt;0,SQRT(COUNT(I$186:I$188,, I$182, I$183))," "),"")</f>
        <v/>
      </c>
      <c r="AN304" s="270" t="str">
        <f aca="false">IFERROR(IF(J$186*J$187*J$188*J$182*J$183&gt;0,STDEV(J$186:J$188,, J$182, J$183)," ")/IF(J$186*J$187*J$188*J$182*J$183&gt;0,SQRT(COUNT(J$186:J$188,, J$182, J$183))," "),"")</f>
        <v/>
      </c>
      <c r="AO304" s="270" t="str">
        <f aca="false">IFERROR(IF(K$186*K$187*K$188*K$182*K$183&gt;0,STDEV(K$186:K$188,, K$182, K$183)," ")/IF(K$186*K$187*K$188*K$182*K$183&gt;0,SQRT(COUNT(K$186:K$188,, K$182, K$183))," "),"")</f>
        <v/>
      </c>
      <c r="AP304" s="270" t="str">
        <f aca="false">IFERROR(IF(L$186*L$187*L$188*L$182*L$183&gt;0,STDEV(L$186:L$188,, L$182, L$183)," ")/IF(L$186*L$187*L$188*L$182*L$183&gt;0,SQRT(COUNT(L$186:L$188,, L$182, L$183))," "),"")</f>
        <v/>
      </c>
      <c r="AQ304" s="270" t="str">
        <f aca="false">IFERROR(IF(M$186*M$187*M$188*M$182*M$183&gt;0,STDEV(M$186:M$188,, M$182, M$183)," ")/IF(M$186*M$187*M$188*M$182*M$183&gt;0,SQRT(COUNT(M$186:M$188,, M$182, M$183))," "),"")</f>
        <v/>
      </c>
      <c r="AR304" s="270" t="str">
        <f aca="false">IFERROR(IF(N$186*N$187*N$188*N$182*N$183&gt;0,STDEV(N$186:N$188,, N$182, N$183)," ")/IF(N$186*N$187*N$188*N$182*N$183&gt;0,SQRT(COUNT(N$186:N$188,, N$182, N$183))," "),"")</f>
        <v/>
      </c>
    </row>
    <row r="305" customFormat="false" ht="15.75" hidden="false" customHeight="false" outlineLevel="0" collapsed="false">
      <c r="A305" s="220" t="s">
        <v>575</v>
      </c>
      <c r="B305" s="221"/>
      <c r="C305" s="261" t="str">
        <f aca="false">IFERROR(IF(C$186*C$187*C$188*C$182*C$184&gt;0,AVERAGE(C$186:C$188, C$182, C$184),""),"")</f>
        <v/>
      </c>
      <c r="D305" s="261" t="str">
        <f aca="false">IFERROR(IF(D$186*D$187*D$188*D$182*D$184&gt;0,AVERAGE(D$186:D$188, D$182, D$184),""),"")</f>
        <v/>
      </c>
      <c r="E305" s="261" t="str">
        <f aca="false">IFERROR(IF(E$186*E$187*E$188*E$182*E$184&gt;0,AVERAGE(E$186:E$188, E$182, E$184),""),"")</f>
        <v/>
      </c>
      <c r="F305" s="261" t="str">
        <f aca="false">IFERROR(IF(F$186*F$187*F$188*F$182*F$184&gt;0,AVERAGE(F$186:F$188, F$182, F$184),""),"")</f>
        <v/>
      </c>
      <c r="G305" s="261" t="str">
        <f aca="false">IFERROR(IF(G$186*G$187*G$188*G$182*G$184&gt;0,AVERAGE(G$186:G$188, G$182, G$184),""),"")</f>
        <v/>
      </c>
      <c r="H305" s="261" t="str">
        <f aca="false">IFERROR(IF(H$186*H$187*H$188*H$182*H$184&gt;0,AVERAGE(H$186:H$188, H$182, H$184),""),"")</f>
        <v/>
      </c>
      <c r="I305" s="261" t="str">
        <f aca="false">IFERROR(IF(I$186*I$187*I$188*I$182*I$184&gt;0,AVERAGE(I$186:I$188, I$182, I$184),""),"")</f>
        <v/>
      </c>
      <c r="J305" s="261" t="str">
        <f aca="false">IFERROR(IF(J$186*J$187*J$188*J$182*J$184&gt;0,AVERAGE(J$186:J$188, J$182, J$184),""),"")</f>
        <v/>
      </c>
      <c r="K305" s="261" t="str">
        <f aca="false">IFERROR(IF(K$186*K$187*K$188*K$182*K$184&gt;0,AVERAGE(K$186:K$188, K$182, K$184),""),"")</f>
        <v/>
      </c>
      <c r="L305" s="261" t="str">
        <f aca="false">IFERROR(IF(L$186*L$187*L$188*L$182*L$184&gt;0,AVERAGE(L$186:L$188, L$182, L$184),""),"")</f>
        <v/>
      </c>
      <c r="M305" s="261" t="str">
        <f aca="false">IFERROR(IF(M$186*M$187*M$188*M$182*M$184&gt;0,AVERAGE(M$186:M$188, M$182, M$184),""),"")</f>
        <v/>
      </c>
      <c r="N305" s="261" t="str">
        <f aca="false">IFERROR(IF(N$186*N$187*N$188*N$182*N$184&gt;0,AVERAGE(N$186:N$188, N$182, N$184),""),"")</f>
        <v/>
      </c>
      <c r="O305" s="224"/>
      <c r="P305" s="224"/>
      <c r="Q305" s="232"/>
      <c r="R305" s="226" t="s">
        <v>576</v>
      </c>
      <c r="S305" s="227" t="str">
        <f aca="false">IFERROR(IF(C$186*C$187*C$188*C$182*C$184&gt;0,STDEV(C$186:C$188,, C$182, C$184),"")/IF(C$186*C$187*C$188*C$182*C$184&gt;0,AVERAGE(C$186:C$188,, C$182, C$184),""),"")</f>
        <v/>
      </c>
      <c r="T305" s="227" t="str">
        <f aca="false">IFERROR(IF(D$186*D$187*D$188*D$182*D$184&gt;0,STDEV(D$186:D$188,, D$182, D$184),"")/IF(D$186*D$187*D$188*D$182*D$184&gt;0,AVERAGE(D$186:D$188,, D$182, D$184),""),"")</f>
        <v/>
      </c>
      <c r="U305" s="227" t="str">
        <f aca="false">IFERROR(IF(E$186*E$187*E$188*E$182*E$184&gt;0,STDEV(E$186:E$188,, E$182, E$184),"")/IF(E$186*E$187*E$188*E$182*E$184&gt;0,AVERAGE(E$186:E$188,, E$182, E$184),""),"")</f>
        <v/>
      </c>
      <c r="V305" s="227" t="str">
        <f aca="false">IFERROR(IF(F$186*F$187*F$188*F$182*F$184&gt;0,STDEV(F$186:F$188,, F$182, F$184),"")/IF(F$186*F$187*F$188*F$182*F$184&gt;0,AVERAGE(F$186:F$188,, F$182, F$184),""),"")</f>
        <v/>
      </c>
      <c r="W305" s="227" t="str">
        <f aca="false">IFERROR(IF(G$186*G$187*G$188*G$182*G$184&gt;0,STDEV(G$186:G$188,, G$182, G$184),"")/IF(G$186*G$187*G$188*G$182*G$184&gt;0,AVERAGE(G$186:G$188,, G$182, G$184),""),"")</f>
        <v/>
      </c>
      <c r="X305" s="227" t="str">
        <f aca="false">IFERROR(IF(H$186*H$187*H$188*H$182*H$184&gt;0,STDEV(H$186:H$188,, H$182, H$184),"")/IF(H$186*H$187*H$188*H$182*H$184&gt;0,AVERAGE(H$186:H$188,, H$182, H$184),""),"")</f>
        <v/>
      </c>
      <c r="Y305" s="227" t="str">
        <f aca="false">IFERROR(IF(I$186*I$187*I$188*I$182*I$184&gt;0,STDEV(I$186:I$188,, I$182, I$184),"")/IF(I$186*I$187*I$188*I$182*I$184&gt;0,AVERAGE(I$186:I$188,, I$182, I$184),""),"")</f>
        <v/>
      </c>
      <c r="Z305" s="227" t="str">
        <f aca="false">IFERROR(IF(J$186*J$187*J$188*J$182*J$184&gt;0,STDEV(J$186:J$188,, J$182, J$184),"")/IF(J$186*J$187*J$188*J$182*J$184&gt;0,AVERAGE(J$186:J$188,, J$182, J$184),""),"")</f>
        <v/>
      </c>
      <c r="AA305" s="227" t="str">
        <f aca="false">IFERROR(IF(K$186*K$187*K$188*K$182*K$184&gt;0,STDEV(K$186:K$188,, K$182, K$184),"")/IF(K$186*K$187*K$188*K$182*K$184&gt;0,AVERAGE(K$186:K$188,, K$182, K$184),""),"")</f>
        <v/>
      </c>
      <c r="AB305" s="227" t="str">
        <f aca="false">IFERROR(IF(L$186*L$187*L$188*L$182*L$184&gt;0,STDEV(L$186:L$188,, L$182, L$184),"")/IF(L$186*L$187*L$188*L$182*L$184&gt;0,AVERAGE(L$186:L$188,, L$182, L$184),""),"")</f>
        <v/>
      </c>
      <c r="AC305" s="227" t="str">
        <f aca="false">IFERROR(IF(M$186*M$187*M$188*M$182*M$184&gt;0,STDEV(M$186:M$188,, M$182, M$184),"")/IF(M$186*M$187*M$188*M$182*M$184&gt;0,AVERAGE(M$186:M$188,, M$182, M$184),""),"")</f>
        <v/>
      </c>
      <c r="AD305" s="227" t="str">
        <f aca="false">IFERROR(IF(N$186*N$187*N$188*N$182*N$184&gt;0,STDEV(N$186:N$188,, N$182, N$184),"")/IF(N$186*N$187*N$188*N$182*N$184&gt;0,AVERAGE(N$186:N$188,, N$182, N$184),""),"")</f>
        <v/>
      </c>
      <c r="AE305" s="233"/>
      <c r="AF305" s="229" t="s">
        <v>577</v>
      </c>
      <c r="AG305" s="270" t="str">
        <f aca="false">IFERROR(IF(C$186*C$187*C$188*C$182*C$184&gt;0,STDEV(C$186:C$188,, C$182, C$184)," ")/IF(C$186*C$187*C$188*C$182*C$184&gt;0,SQRT(COUNT(C$186:C$188,, C$182, C$184))," "),"")</f>
        <v/>
      </c>
      <c r="AH305" s="270" t="str">
        <f aca="false">IFERROR(IF(D$186*D$187*D$188*D$182*D$184&gt;0,STDEV(D$186:D$188,, D$182, D$184)," ")/IF(D$186*D$187*D$188*D$182*D$184&gt;0,SQRT(COUNT(D$186:D$188,, D$182, D$184))," "),"")</f>
        <v/>
      </c>
      <c r="AI305" s="270" t="str">
        <f aca="false">IFERROR(IF(E$186*E$187*E$188*E$182*E$184&gt;0,STDEV(E$186:E$188,, E$182, E$184)," ")/IF(E$186*E$187*E$188*E$182*E$184&gt;0,SQRT(COUNT(E$186:E$188,, E$182, E$184))," "),"")</f>
        <v/>
      </c>
      <c r="AJ305" s="270" t="str">
        <f aca="false">IFERROR(IF(F$186*F$187*F$188*F$182*F$184&gt;0,STDEV(F$186:F$188,, F$182, F$184)," ")/IF(F$186*F$187*F$188*F$182*F$184&gt;0,SQRT(COUNT(F$186:F$188,, F$182, F$184))," "),"")</f>
        <v/>
      </c>
      <c r="AK305" s="270" t="str">
        <f aca="false">IFERROR(IF(G$186*G$187*G$188*G$182*G$184&gt;0,STDEV(G$186:G$188,, G$182, G$184)," ")/IF(G$186*G$187*G$188*G$182*G$184&gt;0,SQRT(COUNT(G$186:G$188,, G$182, G$184))," "),"")</f>
        <v/>
      </c>
      <c r="AL305" s="270" t="str">
        <f aca="false">IFERROR(IF(H$186*H$187*H$188*H$182*H$184&gt;0,STDEV(H$186:H$188,, H$182, H$184)," ")/IF(H$186*H$187*H$188*H$182*H$184&gt;0,SQRT(COUNT(H$186:H$188,, H$182, H$184))," "),"")</f>
        <v/>
      </c>
      <c r="AM305" s="270" t="str">
        <f aca="false">IFERROR(IF(I$186*I$187*I$188*I$182*I$184&gt;0,STDEV(I$186:I$188,, I$182, I$184)," ")/IF(I$186*I$187*I$188*I$182*I$184&gt;0,SQRT(COUNT(I$186:I$188,, I$182, I$184))," "),"")</f>
        <v/>
      </c>
      <c r="AN305" s="270" t="str">
        <f aca="false">IFERROR(IF(J$186*J$187*J$188*J$182*J$184&gt;0,STDEV(J$186:J$188,, J$182, J$184)," ")/IF(J$186*J$187*J$188*J$182*J$184&gt;0,SQRT(COUNT(J$186:J$188,, J$182, J$184))," "),"")</f>
        <v/>
      </c>
      <c r="AO305" s="270" t="str">
        <f aca="false">IFERROR(IF(K$186*K$187*K$188*K$182*K$184&gt;0,STDEV(K$186:K$188,, K$182, K$184)," ")/IF(K$186*K$187*K$188*K$182*K$184&gt;0,SQRT(COUNT(K$186:K$188,, K$182, K$184))," "),"")</f>
        <v/>
      </c>
      <c r="AP305" s="270" t="str">
        <f aca="false">IFERROR(IF(L$186*L$187*L$188*L$182*L$184&gt;0,STDEV(L$186:L$188,, L$182, L$184)," ")/IF(L$186*L$187*L$188*L$182*L$184&gt;0,SQRT(COUNT(L$186:L$188,, L$182, L$184))," "),"")</f>
        <v/>
      </c>
      <c r="AQ305" s="270" t="str">
        <f aca="false">IFERROR(IF(M$186*M$187*M$188*M$182*M$184&gt;0,STDEV(M$186:M$188,, M$182, M$184)," ")/IF(M$186*M$187*M$188*M$182*M$184&gt;0,SQRT(COUNT(M$186:M$188,, M$182, M$184))," "),"")</f>
        <v/>
      </c>
      <c r="AR305" s="270" t="str">
        <f aca="false">IFERROR(IF(N$186*N$187*N$188*N$182*N$184&gt;0,STDEV(N$186:N$188,, N$182, N$184)," ")/IF(N$186*N$187*N$188*N$182*N$184&gt;0,SQRT(COUNT(N$186:N$188,, N$182, N$184))," "),"")</f>
        <v/>
      </c>
    </row>
    <row r="306" customFormat="false" ht="15.75" hidden="false" customHeight="false" outlineLevel="0" collapsed="false">
      <c r="A306" s="220" t="s">
        <v>578</v>
      </c>
      <c r="B306" s="221"/>
      <c r="C306" s="261" t="str">
        <f aca="false">IFERROR(IF(C$186*C$187*C$188*C$182*C$185&gt;0,AVERAGE(C$186:C$188, C$182, C$185),""),"")</f>
        <v/>
      </c>
      <c r="D306" s="261" t="str">
        <f aca="false">IFERROR(IF(D$186*D$187*D$188*D$182*D$185&gt;0,AVERAGE(D$186:D$188, D$182, D$185),""),"")</f>
        <v/>
      </c>
      <c r="E306" s="261" t="str">
        <f aca="false">IFERROR(IF(E$186*E$187*E$188*E$182*E$185&gt;0,AVERAGE(E$186:E$188, E$182, E$185),""),"")</f>
        <v/>
      </c>
      <c r="F306" s="261" t="str">
        <f aca="false">IFERROR(IF(F$186*F$187*F$188*F$182*F$185&gt;0,AVERAGE(F$186:F$188, F$182, F$185),""),"")</f>
        <v/>
      </c>
      <c r="G306" s="261" t="str">
        <f aca="false">IFERROR(IF(G$186*G$187*G$188*G$182*G$185&gt;0,AVERAGE(G$186:G$188, G$182, G$185),""),"")</f>
        <v/>
      </c>
      <c r="H306" s="261" t="str">
        <f aca="false">IFERROR(IF(H$186*H$187*H$188*H$182*H$185&gt;0,AVERAGE(H$186:H$188, H$182, H$185),""),"")</f>
        <v/>
      </c>
      <c r="I306" s="261" t="str">
        <f aca="false">IFERROR(IF(I$186*I$187*I$188*I$182*I$185&gt;0,AVERAGE(I$186:I$188, I$182, I$185),""),"")</f>
        <v/>
      </c>
      <c r="J306" s="261" t="str">
        <f aca="false">IFERROR(IF(J$186*J$187*J$188*J$182*J$185&gt;0,AVERAGE(J$186:J$188, J$182, J$185),""),"")</f>
        <v/>
      </c>
      <c r="K306" s="261" t="str">
        <f aca="false">IFERROR(IF(K$186*K$187*K$188*K$182*K$185&gt;0,AVERAGE(K$186:K$188, K$182, K$185),""),"")</f>
        <v/>
      </c>
      <c r="L306" s="261" t="str">
        <f aca="false">IFERROR(IF(L$186*L$187*L$188*L$182*L$185&gt;0,AVERAGE(L$186:L$188, L$182, L$185),""),"")</f>
        <v/>
      </c>
      <c r="M306" s="261" t="str">
        <f aca="false">IFERROR(IF(M$186*M$187*M$188*M$182*M$185&gt;0,AVERAGE(M$186:M$188, M$182, M$185),""),"")</f>
        <v/>
      </c>
      <c r="N306" s="261" t="str">
        <f aca="false">IFERROR(IF(N$186*N$187*N$188*N$182*N$185&gt;0,AVERAGE(N$186:N$188, N$182, N$185),""),"")</f>
        <v/>
      </c>
      <c r="O306" s="224"/>
      <c r="P306" s="224"/>
      <c r="Q306" s="232"/>
      <c r="R306" s="226" t="s">
        <v>579</v>
      </c>
      <c r="S306" s="227" t="str">
        <f aca="false">IFERROR(IF(C$186*C$187*C$188*C$182*C$185&gt;0,STDEV(C$186:C$188,, C$182, C$185),"")/IF(C$186*C$187*C$188*C$182*C$185&gt;0,AVERAGE(C$186:C$188,, C$182, C$185),""),"")</f>
        <v/>
      </c>
      <c r="T306" s="227" t="str">
        <f aca="false">IFERROR(IF(D$186*D$187*D$188*D$182*D$185&gt;0,STDEV(D$186:D$188,, D$182, D$185),"")/IF(D$186*D$187*D$188*D$182*D$185&gt;0,AVERAGE(D$186:D$188,, D$182, D$185),""),"")</f>
        <v/>
      </c>
      <c r="U306" s="227" t="str">
        <f aca="false">IFERROR(IF(E$186*E$187*E$188*E$182*E$185&gt;0,STDEV(E$186:E$188,, E$182, E$185),"")/IF(E$186*E$187*E$188*E$182*E$185&gt;0,AVERAGE(E$186:E$188,, E$182, E$185),""),"")</f>
        <v/>
      </c>
      <c r="V306" s="227" t="str">
        <f aca="false">IFERROR(IF(F$186*F$187*F$188*F$182*F$185&gt;0,STDEV(F$186:F$188,, F$182, F$185),"")/IF(F$186*F$187*F$188*F$182*F$185&gt;0,AVERAGE(F$186:F$188,, F$182, F$185),""),"")</f>
        <v/>
      </c>
      <c r="W306" s="227" t="str">
        <f aca="false">IFERROR(IF(G$186*G$187*G$188*G$182*G$185&gt;0,STDEV(G$186:G$188,, G$182, G$185),"")/IF(G$186*G$187*G$188*G$182*G$185&gt;0,AVERAGE(G$186:G$188,, G$182, G$185),""),"")</f>
        <v/>
      </c>
      <c r="X306" s="227" t="str">
        <f aca="false">IFERROR(IF(H$186*H$187*H$188*H$182*H$185&gt;0,STDEV(H$186:H$188,, H$182, H$185),"")/IF(H$186*H$187*H$188*H$182*H$185&gt;0,AVERAGE(H$186:H$188,, H$182, H$185),""),"")</f>
        <v/>
      </c>
      <c r="Y306" s="227" t="str">
        <f aca="false">IFERROR(IF(I$186*I$187*I$188*I$182*I$185&gt;0,STDEV(I$186:I$188,, I$182, I$185),"")/IF(I$186*I$187*I$188*I$182*I$185&gt;0,AVERAGE(I$186:I$188,, I$182, I$185),""),"")</f>
        <v/>
      </c>
      <c r="Z306" s="227" t="str">
        <f aca="false">IFERROR(IF(J$186*J$187*J$188*J$182*J$185&gt;0,STDEV(J$186:J$188,, J$182, J$185),"")/IF(J$186*J$187*J$188*J$182*J$185&gt;0,AVERAGE(J$186:J$188,, J$182, J$185),""),"")</f>
        <v/>
      </c>
      <c r="AA306" s="227" t="str">
        <f aca="false">IFERROR(IF(K$186*K$187*K$188*K$182*K$185&gt;0,STDEV(K$186:K$188,, K$182, K$185),"")/IF(K$186*K$187*K$188*K$182*K$185&gt;0,AVERAGE(K$186:K$188,, K$182, K$185),""),"")</f>
        <v/>
      </c>
      <c r="AB306" s="227" t="str">
        <f aca="false">IFERROR(IF(L$186*L$187*L$188*L$182*L$185&gt;0,STDEV(L$186:L$188,, L$182, L$185),"")/IF(L$186*L$187*L$188*L$182*L$185&gt;0,AVERAGE(L$186:L$188,, L$182, L$185),""),"")</f>
        <v/>
      </c>
      <c r="AC306" s="227" t="str">
        <f aca="false">IFERROR(IF(M$186*M$187*M$188*M$182*M$185&gt;0,STDEV(M$186:M$188,, M$182, M$185),"")/IF(M$186*M$187*M$188*M$182*M$185&gt;0,AVERAGE(M$186:M$188,, M$182, M$185),""),"")</f>
        <v/>
      </c>
      <c r="AD306" s="227" t="str">
        <f aca="false">IFERROR(IF(N$186*N$187*N$188*N$182*N$185&gt;0,STDEV(N$186:N$188,, N$182, N$185),"")/IF(N$186*N$187*N$188*N$182*N$185&gt;0,AVERAGE(N$186:N$188,, N$182, N$185),""),"")</f>
        <v/>
      </c>
      <c r="AE306" s="233"/>
      <c r="AF306" s="229" t="s">
        <v>580</v>
      </c>
      <c r="AG306" s="270" t="str">
        <f aca="false">IFERROR(IF(C$186*C$187*C$188*C$182*C$185&gt;0,STDEV(C$186:C$188,, C$182, C$185)," ")/IF(C$186*C$187*C$188*C$182*C$185&gt;0,SQRT(COUNT(C$186:C$188,, C$182, C$185))," "),"")</f>
        <v/>
      </c>
      <c r="AH306" s="270" t="str">
        <f aca="false">IFERROR(IF(D$186*D$187*D$188*D$182*D$185&gt;0,STDEV(D$186:D$188,, D$182, D$185)," ")/IF(D$186*D$187*D$188*D$182*D$185&gt;0,SQRT(COUNT(D$186:D$188,, D$182, D$185))," "),"")</f>
        <v/>
      </c>
      <c r="AI306" s="270" t="str">
        <f aca="false">IFERROR(IF(E$186*E$187*E$188*E$182*E$185&gt;0,STDEV(E$186:E$188,, E$182, E$185)," ")/IF(E$186*E$187*E$188*E$182*E$185&gt;0,SQRT(COUNT(E$186:E$188,, E$182, E$185))," "),"")</f>
        <v/>
      </c>
      <c r="AJ306" s="270" t="str">
        <f aca="false">IFERROR(IF(F$186*F$187*F$188*F$182*F$185&gt;0,STDEV(F$186:F$188,, F$182, F$185)," ")/IF(F$186*F$187*F$188*F$182*F$185&gt;0,SQRT(COUNT(F$186:F$188,, F$182, F$185))," "),"")</f>
        <v/>
      </c>
      <c r="AK306" s="270" t="str">
        <f aca="false">IFERROR(IF(G$186*G$187*G$188*G$182*G$185&gt;0,STDEV(G$186:G$188,, G$182, G$185)," ")/IF(G$186*G$187*G$188*G$182*G$185&gt;0,SQRT(COUNT(G$186:G$188,, G$182, G$185))," "),"")</f>
        <v/>
      </c>
      <c r="AL306" s="270" t="str">
        <f aca="false">IFERROR(IF(H$186*H$187*H$188*H$182*H$185&gt;0,STDEV(H$186:H$188,, H$182, H$185)," ")/IF(H$186*H$187*H$188*H$182*H$185&gt;0,SQRT(COUNT(H$186:H$188,, H$182, H$185))," "),"")</f>
        <v/>
      </c>
      <c r="AM306" s="270" t="str">
        <f aca="false">IFERROR(IF(I$186*I$187*I$188*I$182*I$185&gt;0,STDEV(I$186:I$188,, I$182, I$185)," ")/IF(I$186*I$187*I$188*I$182*I$185&gt;0,SQRT(COUNT(I$186:I$188,, I$182, I$185))," "),"")</f>
        <v/>
      </c>
      <c r="AN306" s="270" t="str">
        <f aca="false">IFERROR(IF(J$186*J$187*J$188*J$182*J$185&gt;0,STDEV(J$186:J$188,, J$182, J$185)," ")/IF(J$186*J$187*J$188*J$182*J$185&gt;0,SQRT(COUNT(J$186:J$188,, J$182, J$185))," "),"")</f>
        <v/>
      </c>
      <c r="AO306" s="270" t="str">
        <f aca="false">IFERROR(IF(K$186*K$187*K$188*K$182*K$185&gt;0,STDEV(K$186:K$188,, K$182, K$185)," ")/IF(K$186*K$187*K$188*K$182*K$185&gt;0,SQRT(COUNT(K$186:K$188,, K$182, K$185))," "),"")</f>
        <v/>
      </c>
      <c r="AP306" s="270" t="str">
        <f aca="false">IFERROR(IF(L$186*L$187*L$188*L$182*L$185&gt;0,STDEV(L$186:L$188,, L$182, L$185)," ")/IF(L$186*L$187*L$188*L$182*L$185&gt;0,SQRT(COUNT(L$186:L$188,, L$182, L$185))," "),"")</f>
        <v/>
      </c>
      <c r="AQ306" s="270" t="str">
        <f aca="false">IFERROR(IF(M$186*M$187*M$188*M$182*M$185&gt;0,STDEV(M$186:M$188,, M$182, M$185)," ")/IF(M$186*M$187*M$188*M$182*M$185&gt;0,SQRT(COUNT(M$186:M$188,, M$182, M$185))," "),"")</f>
        <v/>
      </c>
      <c r="AR306" s="270" t="str">
        <f aca="false">IFERROR(IF(N$186*N$187*N$188*N$182*N$185&gt;0,STDEV(N$186:N$188,, N$182, N$185)," ")/IF(N$186*N$187*N$188*N$182*N$185&gt;0,SQRT(COUNT(N$186:N$188,, N$182, N$185))," "),"")</f>
        <v/>
      </c>
    </row>
    <row r="307" customFormat="false" ht="15.75" hidden="false" customHeight="false" outlineLevel="0" collapsed="false">
      <c r="A307" s="220" t="s">
        <v>581</v>
      </c>
      <c r="B307" s="221"/>
      <c r="C307" s="261" t="str">
        <f aca="false">IFERROR(IF(C$186*C$187*C$188*C$183*C$184&gt;0,AVERAGE(C$186:C$188, C$183, C$184),""),"")</f>
        <v/>
      </c>
      <c r="D307" s="261" t="str">
        <f aca="false">IFERROR(IF(D$186*D$187*D$188*D$183*D$184&gt;0,AVERAGE(D$186:D$188, D$183, D$184),""),"")</f>
        <v/>
      </c>
      <c r="E307" s="261" t="str">
        <f aca="false">IFERROR(IF(E$186*E$187*E$188*E$183*E$184&gt;0,AVERAGE(E$186:E$188, E$183, E$184),""),"")</f>
        <v/>
      </c>
      <c r="F307" s="261" t="str">
        <f aca="false">IFERROR(IF(F$186*F$187*F$188*F$183*F$184&gt;0,AVERAGE(F$186:F$188, F$183, F$184),""),"")</f>
        <v/>
      </c>
      <c r="G307" s="261" t="str">
        <f aca="false">IFERROR(IF(G$186*G$187*G$188*G$183*G$184&gt;0,AVERAGE(G$186:G$188, G$183, G$184),""),"")</f>
        <v/>
      </c>
      <c r="H307" s="261" t="str">
        <f aca="false">IFERROR(IF(H$186*H$187*H$188*H$183*H$184&gt;0,AVERAGE(H$186:H$188, H$183, H$184),""),"")</f>
        <v/>
      </c>
      <c r="I307" s="261" t="str">
        <f aca="false">IFERROR(IF(I$186*I$187*I$188*I$183*I$184&gt;0,AVERAGE(I$186:I$188, I$183, I$184),""),"")</f>
        <v/>
      </c>
      <c r="J307" s="261" t="str">
        <f aca="false">IFERROR(IF(J$186*J$187*J$188*J$183*J$184&gt;0,AVERAGE(J$186:J$188, J$183, J$184),""),"")</f>
        <v/>
      </c>
      <c r="K307" s="261" t="str">
        <f aca="false">IFERROR(IF(K$186*K$187*K$188*K$183*K$184&gt;0,AVERAGE(K$186:K$188, K$183, K$184),""),"")</f>
        <v/>
      </c>
      <c r="L307" s="261" t="str">
        <f aca="false">IFERROR(IF(L$186*L$187*L$188*L$183*L$184&gt;0,AVERAGE(L$186:L$188, L$183, L$184),""),"")</f>
        <v/>
      </c>
      <c r="M307" s="261" t="str">
        <f aca="false">IFERROR(IF(M$186*M$187*M$188*M$183*M$184&gt;0,AVERAGE(M$186:M$188, M$183, M$184),""),"")</f>
        <v/>
      </c>
      <c r="N307" s="261" t="str">
        <f aca="false">IFERROR(IF(N$186*N$187*N$188*N$183*N$184&gt;0,AVERAGE(N$186:N$188, N$183, N$184),""),"")</f>
        <v/>
      </c>
      <c r="O307" s="224"/>
      <c r="P307" s="224"/>
      <c r="Q307" s="232"/>
      <c r="R307" s="226" t="s">
        <v>582</v>
      </c>
      <c r="S307" s="227" t="str">
        <f aca="false">IFERROR(IF(C$186*C$187*C$188*C$183*C$184&gt;0,STDEV(C$186:C$188,, C$183, C$184),"")/IF(C$186*C$187*C$188*C$183*C$184&gt;0,AVERAGE(C$186:C$188,, C$183, C$184),""),"")</f>
        <v/>
      </c>
      <c r="T307" s="227" t="str">
        <f aca="false">IFERROR(IF(D$186*D$187*D$188*D$183*D$184&gt;0,STDEV(D$186:D$188,, D$183, D$184),"")/IF(D$186*D$187*D$188*D$183*D$184&gt;0,AVERAGE(D$186:D$188,, D$183, D$184),""),"")</f>
        <v/>
      </c>
      <c r="U307" s="227" t="str">
        <f aca="false">IFERROR(IF(E$186*E$187*E$188*E$183*E$184&gt;0,STDEV(E$186:E$188,, E$183, E$184),"")/IF(E$186*E$187*E$188*E$183*E$184&gt;0,AVERAGE(E$186:E$188,, E$183, E$184),""),"")</f>
        <v/>
      </c>
      <c r="V307" s="227" t="str">
        <f aca="false">IFERROR(IF(F$186*F$187*F$188*F$183*F$184&gt;0,STDEV(F$186:F$188,, F$183, F$184),"")/IF(F$186*F$187*F$188*F$183*F$184&gt;0,AVERAGE(F$186:F$188,, F$183, F$184),""),"")</f>
        <v/>
      </c>
      <c r="W307" s="227" t="str">
        <f aca="false">IFERROR(IF(G$186*G$187*G$188*G$183*G$184&gt;0,STDEV(G$186:G$188,, G$183, G$184),"")/IF(G$186*G$187*G$188*G$183*G$184&gt;0,AVERAGE(G$186:G$188,, G$183, G$184),""),"")</f>
        <v/>
      </c>
      <c r="X307" s="227" t="str">
        <f aca="false">IFERROR(IF(H$186*H$187*H$188*H$183*H$184&gt;0,STDEV(H$186:H$188,, H$183, H$184),"")/IF(H$186*H$187*H$188*H$183*H$184&gt;0,AVERAGE(H$186:H$188,, H$183, H$184),""),"")</f>
        <v/>
      </c>
      <c r="Y307" s="227" t="str">
        <f aca="false">IFERROR(IF(I$186*I$187*I$188*I$183*I$184&gt;0,STDEV(I$186:I$188,, I$183, I$184),"")/IF(I$186*I$187*I$188*I$183*I$184&gt;0,AVERAGE(I$186:I$188,, I$183, I$184),""),"")</f>
        <v/>
      </c>
      <c r="Z307" s="227" t="str">
        <f aca="false">IFERROR(IF(J$186*J$187*J$188*J$183*J$184&gt;0,STDEV(J$186:J$188,, J$183, J$184),"")/IF(J$186*J$187*J$188*J$183*J$184&gt;0,AVERAGE(J$186:J$188,, J$183, J$184),""),"")</f>
        <v/>
      </c>
      <c r="AA307" s="227" t="str">
        <f aca="false">IFERROR(IF(K$186*K$187*K$188*K$183*K$184&gt;0,STDEV(K$186:K$188,, K$183, K$184),"")/IF(K$186*K$187*K$188*K$183*K$184&gt;0,AVERAGE(K$186:K$188,, K$183, K$184),""),"")</f>
        <v/>
      </c>
      <c r="AB307" s="227" t="str">
        <f aca="false">IFERROR(IF(L$186*L$187*L$188*L$183*L$184&gt;0,STDEV(L$186:L$188,, L$183, L$184),"")/IF(L$186*L$187*L$188*L$183*L$184&gt;0,AVERAGE(L$186:L$188,, L$183, L$184),""),"")</f>
        <v/>
      </c>
      <c r="AC307" s="227" t="str">
        <f aca="false">IFERROR(IF(M$186*M$187*M$188*M$183*M$184&gt;0,STDEV(M$186:M$188,, M$183, M$184),"")/IF(M$186*M$187*M$188*M$183*M$184&gt;0,AVERAGE(M$186:M$188,, M$183, M$184),""),"")</f>
        <v/>
      </c>
      <c r="AD307" s="227" t="str">
        <f aca="false">IFERROR(IF(N$186*N$187*N$188*N$183*N$184&gt;0,STDEV(N$186:N$188,, N$183, N$184),"")/IF(N$186*N$187*N$188*N$183*N$184&gt;0,AVERAGE(N$186:N$188,, N$183, N$184),""),"")</f>
        <v/>
      </c>
      <c r="AE307" s="233"/>
      <c r="AF307" s="229" t="s">
        <v>583</v>
      </c>
      <c r="AG307" s="270" t="str">
        <f aca="false">IFERROR(IF(C$186*C$187*C$188*C$183*C$184&gt;0,STDEV(C$186:C$188,, C$183, C$184)," ")/IF(C$186*C$187*C$188*C$183*C$184&gt;0,SQRT(COUNT(C$186:C$188,, C$183, C$184))," "),"")</f>
        <v/>
      </c>
      <c r="AH307" s="270" t="str">
        <f aca="false">IFERROR(IF(D$186*D$187*D$188*D$183*D$184&gt;0,STDEV(D$186:D$188,, D$183, D$184)," ")/IF(D$186*D$187*D$188*D$183*D$184&gt;0,SQRT(COUNT(D$186:D$188,, D$183, D$184))," "),"")</f>
        <v/>
      </c>
      <c r="AI307" s="270" t="str">
        <f aca="false">IFERROR(IF(E$186*E$187*E$188*E$183*E$184&gt;0,STDEV(E$186:E$188,, E$183, E$184)," ")/IF(E$186*E$187*E$188*E$183*E$184&gt;0,SQRT(COUNT(E$186:E$188,, E$183, E$184))," "),"")</f>
        <v/>
      </c>
      <c r="AJ307" s="270" t="str">
        <f aca="false">IFERROR(IF(F$186*F$187*F$188*F$183*F$184&gt;0,STDEV(F$186:F$188,, F$183, F$184)," ")/IF(F$186*F$187*F$188*F$183*F$184&gt;0,SQRT(COUNT(F$186:F$188,, F$183, F$184))," "),"")</f>
        <v/>
      </c>
      <c r="AK307" s="270" t="str">
        <f aca="false">IFERROR(IF(G$186*G$187*G$188*G$183*G$184&gt;0,STDEV(G$186:G$188,, G$183, G$184)," ")/IF(G$186*G$187*G$188*G$183*G$184&gt;0,SQRT(COUNT(G$186:G$188,, G$183, G$184))," "),"")</f>
        <v/>
      </c>
      <c r="AL307" s="270" t="str">
        <f aca="false">IFERROR(IF(H$186*H$187*H$188*H$183*H$184&gt;0,STDEV(H$186:H$188,, H$183, H$184)," ")/IF(H$186*H$187*H$188*H$183*H$184&gt;0,SQRT(COUNT(H$186:H$188,, H$183, H$184))," "),"")</f>
        <v/>
      </c>
      <c r="AM307" s="270" t="str">
        <f aca="false">IFERROR(IF(I$186*I$187*I$188*I$183*I$184&gt;0,STDEV(I$186:I$188,, I$183, I$184)," ")/IF(I$186*I$187*I$188*I$183*I$184&gt;0,SQRT(COUNT(I$186:I$188,, I$183, I$184))," "),"")</f>
        <v/>
      </c>
      <c r="AN307" s="270" t="str">
        <f aca="false">IFERROR(IF(J$186*J$187*J$188*J$183*J$184&gt;0,STDEV(J$186:J$188,, J$183, J$184)," ")/IF(J$186*J$187*J$188*J$183*J$184&gt;0,SQRT(COUNT(J$186:J$188,, J$183, J$184))," "),"")</f>
        <v/>
      </c>
      <c r="AO307" s="270" t="str">
        <f aca="false">IFERROR(IF(K$186*K$187*K$188*K$183*K$184&gt;0,STDEV(K$186:K$188,, K$183, K$184)," ")/IF(K$186*K$187*K$188*K$183*K$184&gt;0,SQRT(COUNT(K$186:K$188,, K$183, K$184))," "),"")</f>
        <v/>
      </c>
      <c r="AP307" s="270" t="str">
        <f aca="false">IFERROR(IF(L$186*L$187*L$188*L$183*L$184&gt;0,STDEV(L$186:L$188,, L$183, L$184)," ")/IF(L$186*L$187*L$188*L$183*L$184&gt;0,SQRT(COUNT(L$186:L$188,, L$183, L$184))," "),"")</f>
        <v/>
      </c>
      <c r="AQ307" s="270" t="str">
        <f aca="false">IFERROR(IF(M$186*M$187*M$188*M$183*M$184&gt;0,STDEV(M$186:M$188,, M$183, M$184)," ")/IF(M$186*M$187*M$188*M$183*M$184&gt;0,SQRT(COUNT(M$186:M$188,, M$183, M$184))," "),"")</f>
        <v/>
      </c>
      <c r="AR307" s="270" t="str">
        <f aca="false">IFERROR(IF(N$186*N$187*N$188*N$183*N$184&gt;0,STDEV(N$186:N$188,, N$183, N$184)," ")/IF(N$186*N$187*N$188*N$183*N$184&gt;0,SQRT(COUNT(N$186:N$188,, N$183, N$184))," "),"")</f>
        <v/>
      </c>
    </row>
    <row r="308" customFormat="false" ht="15.75" hidden="false" customHeight="false" outlineLevel="0" collapsed="false">
      <c r="A308" s="220" t="s">
        <v>584</v>
      </c>
      <c r="B308" s="221"/>
      <c r="C308" s="261" t="str">
        <f aca="false">IFERROR(IF(C$186*C$187*C$188*C$183*C$185&gt;0,AVERAGE(C$186:C$188, C$183, C$185),""),"")</f>
        <v/>
      </c>
      <c r="D308" s="261" t="str">
        <f aca="false">IFERROR(IF(D$186*D$187*D$188*D$183*D$185&gt;0,AVERAGE(D$186:D$188, D$183, D$185),""),"")</f>
        <v/>
      </c>
      <c r="E308" s="261" t="str">
        <f aca="false">IFERROR(IF(E$186*E$187*E$188*E$183*E$185&gt;0,AVERAGE(E$186:E$188, E$183, E$185),""),"")</f>
        <v/>
      </c>
      <c r="F308" s="261" t="str">
        <f aca="false">IFERROR(IF(F$186*F$187*F$188*F$183*F$185&gt;0,AVERAGE(F$186:F$188, F$183, F$185),""),"")</f>
        <v/>
      </c>
      <c r="G308" s="261" t="str">
        <f aca="false">IFERROR(IF(G$186*G$187*G$188*G$183*G$185&gt;0,AVERAGE(G$186:G$188, G$183, G$185),""),"")</f>
        <v/>
      </c>
      <c r="H308" s="261" t="str">
        <f aca="false">IFERROR(IF(H$186*H$187*H$188*H$183*H$185&gt;0,AVERAGE(H$186:H$188, H$183, H$185),""),"")</f>
        <v/>
      </c>
      <c r="I308" s="261" t="str">
        <f aca="false">IFERROR(IF(I$186*I$187*I$188*I$183*I$185&gt;0,AVERAGE(I$186:I$188, I$183, I$185),""),"")</f>
        <v/>
      </c>
      <c r="J308" s="261" t="str">
        <f aca="false">IFERROR(IF(J$186*J$187*J$188*J$183*J$185&gt;0,AVERAGE(J$186:J$188, J$183, J$185),""),"")</f>
        <v/>
      </c>
      <c r="K308" s="261" t="str">
        <f aca="false">IFERROR(IF(K$186*K$187*K$188*K$183*K$185&gt;0,AVERAGE(K$186:K$188, K$183, K$185),""),"")</f>
        <v/>
      </c>
      <c r="L308" s="261" t="str">
        <f aca="false">IFERROR(IF(L$186*L$187*L$188*L$183*L$185&gt;0,AVERAGE(L$186:L$188, L$183, L$185),""),"")</f>
        <v/>
      </c>
      <c r="M308" s="261" t="str">
        <f aca="false">IFERROR(IF(M$186*M$187*M$188*M$183*M$185&gt;0,AVERAGE(M$186:M$188, M$183, M$185),""),"")</f>
        <v/>
      </c>
      <c r="N308" s="261" t="str">
        <f aca="false">IFERROR(IF(N$186*N$187*N$188*N$183*N$185&gt;0,AVERAGE(N$186:N$188, N$183, N$185),""),"")</f>
        <v/>
      </c>
      <c r="O308" s="224"/>
      <c r="P308" s="224"/>
      <c r="Q308" s="232"/>
      <c r="R308" s="226" t="s">
        <v>585</v>
      </c>
      <c r="S308" s="227" t="str">
        <f aca="false">IFERROR(IF(C$186*C$187*C$188*C$183*C$185&gt;0,STDEV(C$186:C$188, C$183, C$185),"")/IF(C$186*C$187*C$188*C$183*C$185&gt;0,AVERAGE(C$186:C$188, C$183, C$185),""),"")</f>
        <v/>
      </c>
      <c r="T308" s="227" t="str">
        <f aca="false">IFERROR(IF(D$186*D$187*D$188*D$183*D$185&gt;0,STDEV(D$186:D$188, D$183, D$185),"")/IF(D$186*D$187*D$188*D$183*D$185&gt;0,AVERAGE(D$186:D$188, D$183, D$185),""),"")</f>
        <v/>
      </c>
      <c r="U308" s="227" t="str">
        <f aca="false">IFERROR(IF(E$186*E$187*E$188*E$183*E$185&gt;0,STDEV(E$186:E$188, E$183, E$185),"")/IF(E$186*E$187*E$188*E$183*E$185&gt;0,AVERAGE(E$186:E$188, E$183, E$185),""),"")</f>
        <v/>
      </c>
      <c r="V308" s="227" t="str">
        <f aca="false">IFERROR(IF(F$186*F$187*F$188*F$183*F$185&gt;0,STDEV(F$186:F$188, F$183, F$185),"")/IF(F$186*F$187*F$188*F$183*F$185&gt;0,AVERAGE(F$186:F$188, F$183, F$185),""),"")</f>
        <v/>
      </c>
      <c r="W308" s="227" t="str">
        <f aca="false">IFERROR(IF(G$186*G$187*G$188*G$183*G$185&gt;0,STDEV(G$186:G$188, G$183, G$185),"")/IF(G$186*G$187*G$188*G$183*G$185&gt;0,AVERAGE(G$186:G$188, G$183, G$185),""),"")</f>
        <v/>
      </c>
      <c r="X308" s="227" t="str">
        <f aca="false">IFERROR(IF(H$186*H$187*H$188*H$183*H$185&gt;0,STDEV(H$186:H$188, H$183, H$185),"")/IF(H$186*H$187*H$188*H$183*H$185&gt;0,AVERAGE(H$186:H$188, H$183, H$185),""),"")</f>
        <v/>
      </c>
      <c r="Y308" s="227" t="str">
        <f aca="false">IFERROR(IF(I$186*I$187*I$188*I$183*I$185&gt;0,STDEV(I$186:I$188, I$183, I$185),"")/IF(I$186*I$187*I$188*I$183*I$185&gt;0,AVERAGE(I$186:I$188, I$183, I$185),""),"")</f>
        <v/>
      </c>
      <c r="Z308" s="227" t="str">
        <f aca="false">IFERROR(IF(J$186*J$187*J$188*J$183*J$185&gt;0,STDEV(J$186:J$188, J$183, J$185),"")/IF(J$186*J$187*J$188*J$183*J$185&gt;0,AVERAGE(J$186:J$188, J$183, J$185),""),"")</f>
        <v/>
      </c>
      <c r="AA308" s="227" t="str">
        <f aca="false">IFERROR(IF(K$186*K$187*K$188*K$183*K$185&gt;0,STDEV(K$186:K$188, K$183, K$185),"")/IF(K$186*K$187*K$188*K$183*K$185&gt;0,AVERAGE(K$186:K$188, K$183, K$185),""),"")</f>
        <v/>
      </c>
      <c r="AB308" s="227" t="str">
        <f aca="false">IFERROR(IF(L$186*L$187*L$188*L$183*L$185&gt;0,STDEV(L$186:L$188, L$183, L$185),"")/IF(L$186*L$187*L$188*L$183*L$185&gt;0,AVERAGE(L$186:L$188, L$183, L$185),""),"")</f>
        <v/>
      </c>
      <c r="AC308" s="227" t="str">
        <f aca="false">IFERROR(IF(M$186*M$187*M$188*M$183*M$185&gt;0,STDEV(M$186:M$188, M$183, M$185),"")/IF(M$186*M$187*M$188*M$183*M$185&gt;0,AVERAGE(M$186:M$188, M$183, M$185),""),"")</f>
        <v/>
      </c>
      <c r="AD308" s="227" t="str">
        <f aca="false">IFERROR(IF(N$186*N$187*N$188*N$183*N$185&gt;0,STDEV(N$186:N$188, N$183, N$185),"")/IF(N$186*N$187*N$188*N$183*N$185&gt;0,AVERAGE(N$186:N$188, N$183, N$185),""),"")</f>
        <v/>
      </c>
      <c r="AE308" s="233"/>
      <c r="AF308" s="229" t="s">
        <v>586</v>
      </c>
      <c r="AG308" s="270" t="str">
        <f aca="false">IFERROR(IF(C$186*C$187*C$188*C$183*C$185&gt;0,STDEV(C$186:C$188, C$183, C$185)," ")/IF(C$186*C$187*C$188*C$183*C$185&gt;0,SQRT(COUNT(C$186:C$188, C$183, C$185))," "),"")</f>
        <v/>
      </c>
      <c r="AH308" s="270" t="str">
        <f aca="false">IFERROR(IF(D$186*D$187*D$188*D$183*D$185&gt;0,STDEV(D$186:D$188, D$183, D$185)," ")/IF(D$186*D$187*D$188*D$183*D$185&gt;0,SQRT(COUNT(D$186:D$188, D$183, D$185))," "),"")</f>
        <v/>
      </c>
      <c r="AI308" s="270" t="str">
        <f aca="false">IFERROR(IF(E$186*E$187*E$188*E$183*E$185&gt;0,STDEV(E$186:E$188, E$183, E$185)," ")/IF(E$186*E$187*E$188*E$183*E$185&gt;0,SQRT(COUNT(E$186:E$188, E$183, E$185))," "),"")</f>
        <v/>
      </c>
      <c r="AJ308" s="270" t="str">
        <f aca="false">IFERROR(IF(F$186*F$187*F$188*F$183*F$185&gt;0,STDEV(F$186:F$188, F$183, F$185)," ")/IF(F$186*F$187*F$188*F$183*F$185&gt;0,SQRT(COUNT(F$186:F$188, F$183, F$185))," "),"")</f>
        <v/>
      </c>
      <c r="AK308" s="270" t="str">
        <f aca="false">IFERROR(IF(G$186*G$187*G$188*G$183*G$185&gt;0,STDEV(G$186:G$188, G$183, G$185)," ")/IF(G$186*G$187*G$188*G$183*G$185&gt;0,SQRT(COUNT(G$186:G$188, G$183, G$185))," "),"")</f>
        <v/>
      </c>
      <c r="AL308" s="270" t="str">
        <f aca="false">IFERROR(IF(H$186*H$187*H$188*H$183*H$185&gt;0,STDEV(H$186:H$188, H$183, H$185)," ")/IF(H$186*H$187*H$188*H$183*H$185&gt;0,SQRT(COUNT(H$186:H$188, H$183, H$185))," "),"")</f>
        <v/>
      </c>
      <c r="AM308" s="270" t="str">
        <f aca="false">IFERROR(IF(I$186*I$187*I$188*I$183*I$185&gt;0,STDEV(I$186:I$188, I$183, I$185)," ")/IF(I$186*I$187*I$188*I$183*I$185&gt;0,SQRT(COUNT(I$186:I$188, I$183, I$185))," "),"")</f>
        <v/>
      </c>
      <c r="AN308" s="270" t="str">
        <f aca="false">IFERROR(IF(J$186*J$187*J$188*J$183*J$185&gt;0,STDEV(J$186:J$188, J$183, J$185)," ")/IF(J$186*J$187*J$188*J$183*J$185&gt;0,SQRT(COUNT(J$186:J$188, J$183, J$185))," "),"")</f>
        <v/>
      </c>
      <c r="AO308" s="270" t="str">
        <f aca="false">IFERROR(IF(K$186*K$187*K$188*K$183*K$185&gt;0,STDEV(K$186:K$188, K$183, K$185)," ")/IF(K$186*K$187*K$188*K$183*K$185&gt;0,SQRT(COUNT(K$186:K$188, K$183, K$185))," "),"")</f>
        <v/>
      </c>
      <c r="AP308" s="270" t="str">
        <f aca="false">IFERROR(IF(L$186*L$187*L$188*L$183*L$185&gt;0,STDEV(L$186:L$188, L$183, L$185)," ")/IF(L$186*L$187*L$188*L$183*L$185&gt;0,SQRT(COUNT(L$186:L$188, L$183, L$185))," "),"")</f>
        <v/>
      </c>
      <c r="AQ308" s="270" t="str">
        <f aca="false">IFERROR(IF(M$186*M$187*M$188*M$183*M$185&gt;0,STDEV(M$186:M$188, M$183, M$185)," ")/IF(M$186*M$187*M$188*M$183*M$185&gt;0,SQRT(COUNT(M$186:M$188, M$183, M$185))," "),"")</f>
        <v/>
      </c>
      <c r="AR308" s="270" t="str">
        <f aca="false">IFERROR(IF(N$186*N$187*N$188*N$183*N$185&gt;0,STDEV(N$186:N$188, N$183, N$185)," ")/IF(N$186*N$187*N$188*N$183*N$185&gt;0,SQRT(COUNT(N$186:N$188, N$183, N$185))," "),"")</f>
        <v/>
      </c>
    </row>
    <row r="309" customFormat="false" ht="15.75" hidden="false" customHeight="false" outlineLevel="0" collapsed="false">
      <c r="A309" s="220" t="s">
        <v>587</v>
      </c>
      <c r="B309" s="221"/>
      <c r="C309" s="261" t="str">
        <f aca="false">IFERROR(IF(C$182*C$184*C$185*C$186*C187&gt;0,AVERAGE(C$182, C$184,C$185, C$186, C$187),""),"")</f>
        <v/>
      </c>
      <c r="D309" s="261" t="str">
        <f aca="false">IFERROR(IF(D$182*D$184*D$185*D$186*D187&gt;0,AVERAGE(D$182, D$184,D$185, D$186, D$187),""),"")</f>
        <v/>
      </c>
      <c r="E309" s="261" t="str">
        <f aca="false">IFERROR(IF(E$182*E$184*E$185*E$186*E187&gt;0,AVERAGE(E$182, E$184,E$185, E$186, E$187),""),"")</f>
        <v/>
      </c>
      <c r="F309" s="261" t="str">
        <f aca="false">IFERROR(IF(F$182*F$184*F$185*F$186*F187&gt;0,AVERAGE(F$182, F$184,F$185, F$186, F$187),""),"")</f>
        <v/>
      </c>
      <c r="G309" s="261" t="str">
        <f aca="false">IFERROR(IF(G$182*G$184*G$185*G$186*G187&gt;0,AVERAGE(G$182, G$184,G$185, G$186, G$187),""),"")</f>
        <v/>
      </c>
      <c r="H309" s="261" t="str">
        <f aca="false">IFERROR(IF(H$182*H$184*H$185*H$186*H187&gt;0,AVERAGE(H$182, H$184,H$185, H$186, H$187),""),"")</f>
        <v/>
      </c>
      <c r="I309" s="261" t="str">
        <f aca="false">IFERROR(IF(I$182*I$184*I$185*I$186*I187&gt;0,AVERAGE(I$182, I$184,I$185, I$186, I$187),""),"")</f>
        <v/>
      </c>
      <c r="J309" s="261" t="str">
        <f aca="false">IFERROR(IF(J$182*J$184*J$185*J$186*J187&gt;0,AVERAGE(J$182, J$184,J$185, J$186, J$187),""),"")</f>
        <v/>
      </c>
      <c r="K309" s="261" t="str">
        <f aca="false">IFERROR(IF(K$182*K$184*K$185*K$186*K187&gt;0,AVERAGE(K$182, K$184,K$185, K$186, K$187),""),"")</f>
        <v/>
      </c>
      <c r="L309" s="261" t="str">
        <f aca="false">IFERROR(IF(L$182*L$184*L$185*L$186*L187&gt;0,AVERAGE(L$182, L$184,L$185, L$186, L$187),""),"")</f>
        <v/>
      </c>
      <c r="M309" s="261" t="str">
        <f aca="false">IFERROR(IF(M$182*M$184*M$185*M$186*M187&gt;0,AVERAGE(M$182, M$184,M$185, M$186, M$187),""),"")</f>
        <v/>
      </c>
      <c r="N309" s="261" t="str">
        <f aca="false">IFERROR(IF(N$182*N$184*N$185*N$186*N187&gt;0,AVERAGE(N$182, N$184,N$185, N$186, N$187),""),"")</f>
        <v/>
      </c>
      <c r="O309" s="224"/>
      <c r="P309" s="224"/>
      <c r="Q309" s="232"/>
      <c r="R309" s="226" t="s">
        <v>588</v>
      </c>
      <c r="S309" s="227" t="str">
        <f aca="false">IFERROR(IF(C$182*C$184*C$185*C$186*C187&gt;0,STDEV(C$182, C$184,C$185, C$186, C$187),"")/IF(C$182*C$184*C$185*C$186*C187&gt;0,AVERAGE(C$182, C$184,C$185, C$186, C$187),""),"")</f>
        <v/>
      </c>
      <c r="T309" s="227" t="str">
        <f aca="false">IFERROR(IF(D$182*D$184*D$185*D$186*D187&gt;0,STDEV(D$182, D$184,D$185, D$186, D$187),"")/IF(D$182*D$184*D$185*D$186*D187&gt;0,AVERAGE(D$182, D$184,D$185, D$186, D$187),""),"")</f>
        <v/>
      </c>
      <c r="U309" s="227" t="str">
        <f aca="false">IFERROR(IF(E$182*E$184*E$185*E$186*E187&gt;0,STDEV(E$182, E$184,E$185, E$186, E$187),"")/IF(E$182*E$184*E$185*E$186*E187&gt;0,AVERAGE(E$182, E$184,E$185, E$186, E$187),""),"")</f>
        <v/>
      </c>
      <c r="V309" s="227" t="str">
        <f aca="false">IFERROR(IF(F$182*F$184*F$185*F$186*F187&gt;0,STDEV(F$182, F$184,F$185, F$186, F$187),"")/IF(F$182*F$184*F$185*F$186*F187&gt;0,AVERAGE(F$182, F$184,F$185, F$186, F$187),""),"")</f>
        <v/>
      </c>
      <c r="W309" s="227" t="str">
        <f aca="false">IFERROR(IF(G$182*G$184*G$185*G$186*G187&gt;0,STDEV(G$182, G$184,G$185, G$186, G$187),"")/IF(G$182*G$184*G$185*G$186*G187&gt;0,AVERAGE(G$182, G$184,G$185, G$186, G$187),""),"")</f>
        <v/>
      </c>
      <c r="X309" s="227" t="str">
        <f aca="false">IFERROR(IF(H$182*H$184*H$185*H$186*H187&gt;0,STDEV(H$182, H$184,H$185, H$186, H$187),"")/IF(H$182*H$184*H$185*H$186*H187&gt;0,AVERAGE(H$182, H$184,H$185, H$186, H$187),""),"")</f>
        <v/>
      </c>
      <c r="Y309" s="227" t="str">
        <f aca="false">IFERROR(IF(I$182*I$184*I$185*I$186*I187&gt;0,STDEV(I$182, I$184,I$185, I$186, I$187),"")/IF(I$182*I$184*I$185*I$186*I187&gt;0,AVERAGE(I$182, I$184,I$185, I$186, I$187),""),"")</f>
        <v/>
      </c>
      <c r="Z309" s="227" t="str">
        <f aca="false">IFERROR(IF(J$182*J$184*J$185*J$186*J187&gt;0,STDEV(J$182, J$184,J$185, J$186, J$187),"")/IF(J$182*J$184*J$185*J$186*J187&gt;0,AVERAGE(J$182, J$184,J$185, J$186, J$187),""),"")</f>
        <v/>
      </c>
      <c r="AA309" s="227" t="str">
        <f aca="false">IFERROR(IF(K$182*K$184*K$185*K$186*K187&gt;0,STDEV(K$182, K$184,K$185, K$186, K$187),"")/IF(K$182*K$184*K$185*K$186*K187&gt;0,AVERAGE(K$182, K$184,K$185, K$186, K$187),""),"")</f>
        <v/>
      </c>
      <c r="AB309" s="227" t="str">
        <f aca="false">IFERROR(IF(L$182*L$184*L$185*L$186*L187&gt;0,STDEV(L$182, L$184,L$185, L$186, L$187),"")/IF(L$182*L$184*L$185*L$186*L187&gt;0,AVERAGE(L$182, L$184,L$185, L$186, L$187),""),"")</f>
        <v/>
      </c>
      <c r="AC309" s="227" t="str">
        <f aca="false">IFERROR(IF(M$182*M$184*M$185*M$186*M187&gt;0,STDEV(M$182, M$184,M$185, M$186, M$187),"")/IF(M$182*M$184*M$185*M$186*M187&gt;0,AVERAGE(M$182, M$184,M$185, M$186, M$187),""),"")</f>
        <v/>
      </c>
      <c r="AD309" s="227" t="str">
        <f aca="false">IFERROR(IF(N$182*N$184*N$185*N$186*N187&gt;0,STDEV(N$182, N$184,N$185, N$186, N$187),"")/IF(N$182*N$184*N$185*N$186*N187&gt;0,AVERAGE(N$182, N$184,N$185, N$186, N$187),""),"")</f>
        <v/>
      </c>
      <c r="AE309" s="233"/>
      <c r="AF309" s="229" t="s">
        <v>589</v>
      </c>
      <c r="AG309" s="270" t="str">
        <f aca="false">IFERROR(IF(C$182*C$184*C$185*C$186*C187&gt;0,STDEV(C$182, C$184,C$185, C$186, C$187)," ")/IF(C$182*C$184*C$185*C$186*C187&gt;0,SQRT(COUNT(C$182, C$184,C$185, C$186, C$187))," "),"")</f>
        <v/>
      </c>
      <c r="AH309" s="270" t="str">
        <f aca="false">IFERROR(IF(D$182*D$184*D$185*D$186*D187&gt;0,STDEV(D$182, D$184,D$185, D$186, D$187)," ")/IF(D$182*D$184*D$185*D$186*D187&gt;0,SQRT(COUNT(D$182, D$184,D$185, D$186, D$187))," "),"")</f>
        <v/>
      </c>
      <c r="AI309" s="270" t="str">
        <f aca="false">IFERROR(IF(E$182*E$184*E$185*E$186*E187&gt;0,STDEV(E$182, E$184,E$185, E$186, E$187)," ")/IF(E$182*E$184*E$185*E$186*E187&gt;0,SQRT(COUNT(E$182, E$184,E$185, E$186, E$187))," "),"")</f>
        <v/>
      </c>
      <c r="AJ309" s="270" t="str">
        <f aca="false">IFERROR(IF(F$182*F$184*F$185*F$186*F187&gt;0,STDEV(F$182, F$184,F$185, F$186, F$187)," ")/IF(F$182*F$184*F$185*F$186*F187&gt;0,SQRT(COUNT(F$182, F$184,F$185, F$186, F$187))," "),"")</f>
        <v/>
      </c>
      <c r="AK309" s="270" t="str">
        <f aca="false">IFERROR(IF(G$182*G$184*G$185*G$186*G187&gt;0,STDEV(G$182, G$184,G$185, G$186, G$187)," ")/IF(G$182*G$184*G$185*G$186*G187&gt;0,SQRT(COUNT(G$182, G$184,G$185, G$186, G$187))," "),"")</f>
        <v/>
      </c>
      <c r="AL309" s="270" t="str">
        <f aca="false">IFERROR(IF(H$182*H$184*H$185*H$186*H187&gt;0,STDEV(H$182, H$184,H$185, H$186, H$187)," ")/IF(H$182*H$184*H$185*H$186*H187&gt;0,SQRT(COUNT(H$182, H$184,H$185, H$186, H$187))," "),"")</f>
        <v/>
      </c>
      <c r="AM309" s="270" t="str">
        <f aca="false">IFERROR(IF(I$182*I$184*I$185*I$186*I187&gt;0,STDEV(I$182, I$184,I$185, I$186, I$187)," ")/IF(I$182*I$184*I$185*I$186*I187&gt;0,SQRT(COUNT(I$182, I$184,I$185, I$186, I$187))," "),"")</f>
        <v/>
      </c>
      <c r="AN309" s="270" t="str">
        <f aca="false">IFERROR(IF(J$182*J$184*J$185*J$186*J187&gt;0,STDEV(J$182, J$184,J$185, J$186, J$187)," ")/IF(J$182*J$184*J$185*J$186*J187&gt;0,SQRT(COUNT(J$182, J$184,J$185, J$186, J$187))," "),"")</f>
        <v/>
      </c>
      <c r="AO309" s="270" t="str">
        <f aca="false">IFERROR(IF(K$182*K$184*K$185*K$186*K187&gt;0,STDEV(K$182, K$184,K$185, K$186, K$187)," ")/IF(K$182*K$184*K$185*K$186*K187&gt;0,SQRT(COUNT(K$182, K$184,K$185, K$186, K$187))," "),"")</f>
        <v/>
      </c>
      <c r="AP309" s="270" t="str">
        <f aca="false">IFERROR(IF(L$182*L$184*L$185*L$186*L187&gt;0,STDEV(L$182, L$184,L$185, L$186, L$187)," ")/IF(L$182*L$184*L$185*L$186*L187&gt;0,SQRT(COUNT(L$182, L$184,L$185, L$186, L$187))," "),"")</f>
        <v/>
      </c>
      <c r="AQ309" s="270" t="str">
        <f aca="false">IFERROR(IF(M$182*M$184*M$185*M$186*M187&gt;0,STDEV(M$182, M$184,M$185, M$186, M$187)," ")/IF(M$182*M$184*M$185*M$186*M187&gt;0,SQRT(COUNT(M$182, M$184,M$185, M$186, M$187))," "),"")</f>
        <v/>
      </c>
      <c r="AR309" s="270" t="str">
        <f aca="false">IFERROR(IF(N$182*N$184*N$185*N$186*N187&gt;0,STDEV(N$182, N$184,N$185, N$186, N$187)," ")/IF(N$182*N$184*N$185*N$186*N187&gt;0,SQRT(COUNT(N$182, N$184,N$185, N$186, N$187))," "),"")</f>
        <v/>
      </c>
    </row>
    <row r="310" customFormat="false" ht="15.75" hidden="false" customHeight="false" outlineLevel="0" collapsed="false">
      <c r="A310" s="220" t="s">
        <v>590</v>
      </c>
      <c r="B310" s="221"/>
      <c r="C310" s="261" t="str">
        <f aca="false">IFERROR(IF(C$182*C$183*C$185*C$186*C187&gt;0,AVERAGE(C$182, C$183, C$185, C$186, C$187),""),"")</f>
        <v/>
      </c>
      <c r="D310" s="261" t="str">
        <f aca="false">IFERROR(IF(D$182*D$183*D$185*D$186*D187&gt;0,AVERAGE(D$182, D$183, D$185, D$186, D$187),""),"")</f>
        <v/>
      </c>
      <c r="E310" s="261" t="str">
        <f aca="false">IFERROR(IF(E$182*E$183*E$185*E$186*E187&gt;0,AVERAGE(E$182, E$183, E$185, E$186, E$187),""),"")</f>
        <v/>
      </c>
      <c r="F310" s="261" t="str">
        <f aca="false">IFERROR(IF(F$182*F$183*F$185*F$186*F187&gt;0,AVERAGE(F$182, F$183, F$185, F$186, F$187),""),"")</f>
        <v/>
      </c>
      <c r="G310" s="261" t="str">
        <f aca="false">IFERROR(IF(G$182*G$183*G$185*G$186*G187&gt;0,AVERAGE(G$182, G$183, G$185, G$186, G$187),""),"")</f>
        <v/>
      </c>
      <c r="H310" s="261" t="str">
        <f aca="false">IFERROR(IF(H$182*H$183*H$185*H$186*H187&gt;0,AVERAGE(H$182, H$183, H$185, H$186, H$187),""),"")</f>
        <v/>
      </c>
      <c r="I310" s="261" t="str">
        <f aca="false">IFERROR(IF(I$182*I$183*I$185*I$186*I187&gt;0,AVERAGE(I$182, I$183, I$185, I$186, I$187),""),"")</f>
        <v/>
      </c>
      <c r="J310" s="261" t="str">
        <f aca="false">IFERROR(IF(J$182*J$183*J$185*J$186*J187&gt;0,AVERAGE(J$182, J$183, J$185, J$186, J$187),""),"")</f>
        <v/>
      </c>
      <c r="K310" s="261" t="str">
        <f aca="false">IFERROR(IF(K$182*K$183*K$185*K$186*K187&gt;0,AVERAGE(K$182, K$183, K$185, K$186, K$187),""),"")</f>
        <v/>
      </c>
      <c r="L310" s="261" t="str">
        <f aca="false">IFERROR(IF(L$182*L$183*L$185*L$186*L187&gt;0,AVERAGE(L$182, L$183, L$185, L$186, L$187),""),"")</f>
        <v/>
      </c>
      <c r="M310" s="261" t="str">
        <f aca="false">IFERROR(IF(M$182*M$183*M$185*M$186*M187&gt;0,AVERAGE(M$182, M$183, M$185, M$186, M$187),""),"")</f>
        <v/>
      </c>
      <c r="N310" s="261" t="str">
        <f aca="false">IFERROR(IF(N$182*N$183*N$185*N$186*N187&gt;0,AVERAGE(N$182, N$183, N$185, N$186, N$187),""),"")</f>
        <v/>
      </c>
      <c r="O310" s="224"/>
      <c r="P310" s="224"/>
      <c r="Q310" s="232"/>
      <c r="R310" s="226" t="s">
        <v>591</v>
      </c>
      <c r="S310" s="227" t="str">
        <f aca="false">IFERROR(IF(C$182*C$183*C$185*C$186*C187&gt;0,STDEV(C$182, C$183, C$185, C$186, C$187),"")/IF(C$182*C$183*C$185*C$186*C187&gt;0,AVERAGE(C$182, C$183, C$185, C$186, C$187),""),"")</f>
        <v/>
      </c>
      <c r="T310" s="227" t="str">
        <f aca="false">IFERROR(IF(D$182*D$183*D$185*D$186*D187&gt;0,STDEV(D$182, D$183, D$185, D$186, D$187),"")/IF(D$182*D$183*D$185*D$186*D187&gt;0,AVERAGE(D$182, D$183, D$185, D$186, D$187),""),"")</f>
        <v/>
      </c>
      <c r="U310" s="227" t="str">
        <f aca="false">IFERROR(IF(E$182*E$183*E$185*E$186*E187&gt;0,STDEV(E$182, E$183, E$185, E$186, E$187),"")/IF(E$182*E$183*E$185*E$186*E187&gt;0,AVERAGE(E$182, E$183, E$185, E$186, E$187),""),"")</f>
        <v/>
      </c>
      <c r="V310" s="227" t="str">
        <f aca="false">IFERROR(IF(F$182*F$183*F$185*F$186*F187&gt;0,STDEV(F$182, F$183, F$185, F$186, F$187),"")/IF(F$182*F$183*F$185*F$186*F187&gt;0,AVERAGE(F$182, F$183, F$185, F$186, F$187),""),"")</f>
        <v/>
      </c>
      <c r="W310" s="227" t="str">
        <f aca="false">IFERROR(IF(G$182*G$183*G$185*G$186*G187&gt;0,STDEV(G$182, G$183, G$185, G$186, G$187),"")/IF(G$182*G$183*G$185*G$186*G187&gt;0,AVERAGE(G$182, G$183, G$185, G$186, G$187),""),"")</f>
        <v/>
      </c>
      <c r="X310" s="227" t="str">
        <f aca="false">IFERROR(IF(H$182*H$183*H$185*H$186*H187&gt;0,STDEV(H$182, H$183, H$185, H$186, H$187),"")/IF(H$182*H$183*H$185*H$186*H187&gt;0,AVERAGE(H$182, H$183, H$185, H$186, H$187),""),"")</f>
        <v/>
      </c>
      <c r="Y310" s="227" t="str">
        <f aca="false">IFERROR(IF(I$182*I$183*I$185*I$186*I187&gt;0,STDEV(I$182, I$183, I$185, I$186, I$187),"")/IF(I$182*I$183*I$185*I$186*I187&gt;0,AVERAGE(I$182, I$183, I$185, I$186, I$187),""),"")</f>
        <v/>
      </c>
      <c r="Z310" s="227" t="str">
        <f aca="false">IFERROR(IF(J$182*J$183*J$185*J$186*J187&gt;0,STDEV(J$182, J$183, J$185, J$186, J$187),"")/IF(J$182*J$183*J$185*J$186*J187&gt;0,AVERAGE(J$182, J$183, J$185, J$186, J$187),""),"")</f>
        <v/>
      </c>
      <c r="AA310" s="227" t="str">
        <f aca="false">IFERROR(IF(K$182*K$183*K$185*K$186*K187&gt;0,STDEV(K$182, K$183, K$185, K$186, K$187),"")/IF(K$182*K$183*K$185*K$186*K187&gt;0,AVERAGE(K$182, K$183, K$185, K$186, K$187),""),"")</f>
        <v/>
      </c>
      <c r="AB310" s="227" t="str">
        <f aca="false">IFERROR(IF(L$182*L$183*L$185*L$186*L187&gt;0,STDEV(L$182, L$183, L$185, L$186, L$187),"")/IF(L$182*L$183*L$185*L$186*L187&gt;0,AVERAGE(L$182, L$183, L$185, L$186, L$187),""),"")</f>
        <v/>
      </c>
      <c r="AC310" s="227" t="str">
        <f aca="false">IFERROR(IF(M$182*M$183*M$185*M$186*M187&gt;0,STDEV(M$182, M$183, M$185, M$186, M$187),"")/IF(M$182*M$183*M$185*M$186*M187&gt;0,AVERAGE(M$182, M$183, M$185, M$186, M$187),""),"")</f>
        <v/>
      </c>
      <c r="AD310" s="227" t="str">
        <f aca="false">IFERROR(IF(N$182*N$183*N$185*N$186*N187&gt;0,STDEV(N$182, N$183, N$185, N$186, N$187),"")/IF(N$182*N$183*N$185*N$186*N187&gt;0,AVERAGE(N$182, N$183, N$185, N$186, N$187),""),"")</f>
        <v/>
      </c>
      <c r="AE310" s="233"/>
      <c r="AF310" s="229" t="s">
        <v>592</v>
      </c>
      <c r="AG310" s="270" t="str">
        <f aca="false">IFERROR(IF(C$182*C$183*C$185*C$186*C187&gt;0,STDEV(C$182, C$183, C$185, C$186, C$187)," ")/IF(C$182*C$183*C$185*C$186*C187&gt;0,SQRT(COUNT(C$182, C$183, C$185, C$186, C$187))," "),"")</f>
        <v/>
      </c>
      <c r="AH310" s="270" t="str">
        <f aca="false">IFERROR(IF(D$182*D$183*D$185*D$186*D187&gt;0,STDEV(D$182, D$183, D$185, D$186, D$187)," ")/IF(D$182*D$183*D$185*D$186*D187&gt;0,SQRT(COUNT(D$182, D$183, D$185, D$186, D$187))," "),"")</f>
        <v/>
      </c>
      <c r="AI310" s="270" t="str">
        <f aca="false">IFERROR(IF(E$182*E$183*E$185*E$186*E187&gt;0,STDEV(E$182, E$183, E$185, E$186, E$187)," ")/IF(E$182*E$183*E$185*E$186*E187&gt;0,SQRT(COUNT(E$182, E$183, E$185, E$186, E$187))," "),"")</f>
        <v/>
      </c>
      <c r="AJ310" s="270" t="str">
        <f aca="false">IFERROR(IF(F$182*F$183*F$185*F$186*F187&gt;0,STDEV(F$182, F$183, F$185, F$186, F$187)," ")/IF(F$182*F$183*F$185*F$186*F187&gt;0,SQRT(COUNT(F$182, F$183, F$185, F$186, F$187))," "),"")</f>
        <v/>
      </c>
      <c r="AK310" s="270" t="str">
        <f aca="false">IFERROR(IF(G$182*G$183*G$185*G$186*G187&gt;0,STDEV(G$182, G$183, G$185, G$186, G$187)," ")/IF(G$182*G$183*G$185*G$186*G187&gt;0,SQRT(COUNT(G$182, G$183, G$185, G$186, G$187))," "),"")</f>
        <v/>
      </c>
      <c r="AL310" s="270" t="str">
        <f aca="false">IFERROR(IF(H$182*H$183*H$185*H$186*H187&gt;0,STDEV(H$182, H$183, H$185, H$186, H$187)," ")/IF(H$182*H$183*H$185*H$186*H187&gt;0,SQRT(COUNT(H$182, H$183, H$185, H$186, H$187))," "),"")</f>
        <v/>
      </c>
      <c r="AM310" s="270" t="str">
        <f aca="false">IFERROR(IF(I$182*I$183*I$185*I$186*I187&gt;0,STDEV(I$182, I$183, I$185, I$186, I$187)," ")/IF(I$182*I$183*I$185*I$186*I187&gt;0,SQRT(COUNT(I$182, I$183, I$185, I$186, I$187))," "),"")</f>
        <v/>
      </c>
      <c r="AN310" s="270" t="str">
        <f aca="false">IFERROR(IF(J$182*J$183*J$185*J$186*J187&gt;0,STDEV(J$182, J$183, J$185, J$186, J$187)," ")/IF(J$182*J$183*J$185*J$186*J187&gt;0,SQRT(COUNT(J$182, J$183, J$185, J$186, J$187))," "),"")</f>
        <v/>
      </c>
      <c r="AO310" s="270" t="str">
        <f aca="false">IFERROR(IF(K$182*K$183*K$185*K$186*K187&gt;0,STDEV(K$182, K$183, K$185, K$186, K$187)," ")/IF(K$182*K$183*K$185*K$186*K187&gt;0,SQRT(COUNT(K$182, K$183, K$185, K$186, K$187))," "),"")</f>
        <v/>
      </c>
      <c r="AP310" s="270" t="str">
        <f aca="false">IFERROR(IF(L$182*L$183*L$185*L$186*L187&gt;0,STDEV(L$182, L$183, L$185, L$186, L$187)," ")/IF(L$182*L$183*L$185*L$186*L187&gt;0,SQRT(COUNT(L$182, L$183, L$185, L$186, L$187))," "),"")</f>
        <v/>
      </c>
      <c r="AQ310" s="270" t="str">
        <f aca="false">IFERROR(IF(M$182*M$183*M$185*M$186*M187&gt;0,STDEV(M$182, M$183, M$185, M$186, M$187)," ")/IF(M$182*M$183*M$185*M$186*M187&gt;0,SQRT(COUNT(M$182, M$183, M$185, M$186, M$187))," "),"")</f>
        <v/>
      </c>
      <c r="AR310" s="270" t="str">
        <f aca="false">IFERROR(IF(N$182*N$183*N$185*N$186*N187&gt;0,STDEV(N$182, N$183, N$185, N$186, N$187)," ")/IF(N$182*N$183*N$185*N$186*N187&gt;0,SQRT(COUNT(N$182, N$183, N$185, N$186, N$187))," "),"")</f>
        <v/>
      </c>
    </row>
    <row r="311" customFormat="false" ht="15.75" hidden="false" customHeight="false" outlineLevel="0" collapsed="false">
      <c r="A311" s="220" t="s">
        <v>593</v>
      </c>
      <c r="B311" s="221"/>
      <c r="C311" s="261" t="str">
        <f aca="false">IFERROR(IF(C$182*C$183*C$184*C$186*C$187&gt;0,AVERAGE(C$182, C$183, C$184, C$186, C$187),""),"")</f>
        <v/>
      </c>
      <c r="D311" s="261" t="str">
        <f aca="false">IFERROR(IF(D$182*D$183*D$184*D$186*D$187&gt;0,AVERAGE(D$182, D$183, D$184, D$186, D$187),""),"")</f>
        <v/>
      </c>
      <c r="E311" s="261" t="str">
        <f aca="false">IFERROR(IF(E$182*E$183*E$184*E$186*E$187&gt;0,AVERAGE(E$182, E$183, E$184, E$186, E$187),""),"")</f>
        <v/>
      </c>
      <c r="F311" s="261" t="str">
        <f aca="false">IFERROR(IF(F$182*F$183*F$184*F$186*F$187&gt;0,AVERAGE(F$182, F$183, F$184, F$186, F$187),""),"")</f>
        <v/>
      </c>
      <c r="G311" s="261" t="str">
        <f aca="false">IFERROR(IF(G$182*G$183*G$184*G$186*G$187&gt;0,AVERAGE(G$182, G$183, G$184, G$186, G$187),""),"")</f>
        <v/>
      </c>
      <c r="H311" s="261" t="str">
        <f aca="false">IFERROR(IF(H$182*H$183*H$184*H$186*H$187&gt;0,AVERAGE(H$182, H$183, H$184, H$186, H$187),""),"")</f>
        <v/>
      </c>
      <c r="I311" s="261" t="str">
        <f aca="false">IFERROR(IF(I$182*I$183*I$184*I$186*I$187&gt;0,AVERAGE(I$182, I$183, I$184, I$186, I$187),""),"")</f>
        <v/>
      </c>
      <c r="J311" s="261" t="str">
        <f aca="false">IFERROR(IF(J$182*J$183*J$184*J$186*J$187&gt;0,AVERAGE(J$182, J$183, J$184, J$186, J$187),""),"")</f>
        <v/>
      </c>
      <c r="K311" s="261" t="str">
        <f aca="false">IFERROR(IF(K$182*K$183*K$184*K$186*K$187&gt;0,AVERAGE(K$182, K$183, K$184, K$186, K$187),""),"")</f>
        <v/>
      </c>
      <c r="L311" s="261" t="str">
        <f aca="false">IFERROR(IF(L$182*L$183*L$184*L$186*L$187&gt;0,AVERAGE(L$182, L$183, L$184, L$186, L$187),""),"")</f>
        <v/>
      </c>
      <c r="M311" s="261" t="str">
        <f aca="false">IFERROR(IF(M$182*M$183*M$184*M$186*M$187&gt;0,AVERAGE(M$182, M$183, M$184, M$186, M$187),""),"")</f>
        <v/>
      </c>
      <c r="N311" s="261" t="str">
        <f aca="false">IFERROR(IF(N$182*N$183*N$184*N$186*N$187&gt;0,AVERAGE(N$182, N$183, N$184, N$186, N$187),""),"")</f>
        <v/>
      </c>
      <c r="O311" s="224"/>
      <c r="P311" s="224"/>
      <c r="Q311" s="232"/>
      <c r="R311" s="226" t="s">
        <v>594</v>
      </c>
      <c r="S311" s="227" t="str">
        <f aca="false">IFERROR(IF(C$182*C$183*C$184*C$186*C$187&gt;0,STDEV(C$182, C$183, C$184, C$186, C$187),"")/IF(C$182*C$183*C$184*C$186*C$187&gt;0,AVERAGE(C$182, C$183, C$184, C$186, C$187),""),"")</f>
        <v/>
      </c>
      <c r="T311" s="227" t="str">
        <f aca="false">IFERROR(IF(D$182*D$183*D$184*D$186*D$187&gt;0,STDEV(D$182, D$183, D$184, D$186, D$187),"")/IF(D$182*D$183*D$184*D$186*D$187&gt;0,AVERAGE(D$182, D$183, D$184, D$186, D$187),""),"")</f>
        <v/>
      </c>
      <c r="U311" s="227" t="str">
        <f aca="false">IFERROR(IF(E$182*E$183*E$184*E$186*E$187&gt;0,STDEV(E$182, E$183, E$184, E$186, E$187),"")/IF(E$182*E$183*E$184*E$186*E$187&gt;0,AVERAGE(E$182, E$183, E$184, E$186, E$187),""),"")</f>
        <v/>
      </c>
      <c r="V311" s="227" t="str">
        <f aca="false">IFERROR(IF(F$182*F$183*F$184*F$186*F$187&gt;0,STDEV(F$182, F$183, F$184, F$186, F$187),"")/IF(F$182*F$183*F$184*F$186*F$187&gt;0,AVERAGE(F$182, F$183, F$184, F$186, F$187),""),"")</f>
        <v/>
      </c>
      <c r="W311" s="227" t="str">
        <f aca="false">IFERROR(IF(G$182*G$183*G$184*G$186*G$187&gt;0,STDEV(G$182, G$183, G$184, G$186, G$187),"")/IF(G$182*G$183*G$184*G$186*G$187&gt;0,AVERAGE(G$182, G$183, G$184, G$186, G$187),""),"")</f>
        <v/>
      </c>
      <c r="X311" s="227" t="str">
        <f aca="false">IFERROR(IF(H$182*H$183*H$184*H$186*H$187&gt;0,STDEV(H$182, H$183, H$184, H$186, H$187),"")/IF(H$182*H$183*H$184*H$186*H$187&gt;0,AVERAGE(H$182, H$183, H$184, H$186, H$187),""),"")</f>
        <v/>
      </c>
      <c r="Y311" s="227" t="str">
        <f aca="false">IFERROR(IF(I$182*I$183*I$184*I$186*I$187&gt;0,STDEV(I$182, I$183, I$184, I$186, I$187),"")/IF(I$182*I$183*I$184*I$186*I$187&gt;0,AVERAGE(I$182, I$183, I$184, I$186, I$187),""),"")</f>
        <v/>
      </c>
      <c r="Z311" s="227" t="str">
        <f aca="false">IFERROR(IF(J$182*J$183*J$184*J$186*J$187&gt;0,STDEV(J$182, J$183, J$184, J$186, J$187),"")/IF(J$182*J$183*J$184*J$186*J$187&gt;0,AVERAGE(J$182, J$183, J$184, J$186, J$187),""),"")</f>
        <v/>
      </c>
      <c r="AA311" s="227" t="str">
        <f aca="false">IFERROR(IF(K$182*K$183*K$184*K$186*K$187&gt;0,STDEV(K$182, K$183, K$184, K$186, K$187),"")/IF(K$182*K$183*K$184*K$186*K$187&gt;0,AVERAGE(K$182, K$183, K$184, K$186, K$187),""),"")</f>
        <v/>
      </c>
      <c r="AB311" s="227" t="str">
        <f aca="false">IFERROR(IF(L$182*L$183*L$184*L$186*L$187&gt;0,STDEV(L$182, L$183, L$184, L$186, L$187),"")/IF(L$182*L$183*L$184*L$186*L$187&gt;0,AVERAGE(L$182, L$183, L$184, L$186, L$187),""),"")</f>
        <v/>
      </c>
      <c r="AC311" s="227" t="str">
        <f aca="false">IFERROR(IF(M$182*M$183*M$184*M$186*M$187&gt;0,STDEV(M$182, M$183, M$184, M$186, M$187),"")/IF(M$182*M$183*M$184*M$186*M$187&gt;0,AVERAGE(M$182, M$183, M$184, M$186, M$187),""),"")</f>
        <v/>
      </c>
      <c r="AD311" s="227" t="str">
        <f aca="false">IFERROR(IF(N$182*N$183*N$184*N$186*N$187&gt;0,STDEV(N$182, N$183, N$184, N$186, N$187),"")/IF(N$182*N$183*N$184*N$186*N$187&gt;0,AVERAGE(N$182, N$183, N$184, N$186, N$187),""),"")</f>
        <v/>
      </c>
      <c r="AE311" s="233"/>
      <c r="AF311" s="229" t="s">
        <v>595</v>
      </c>
      <c r="AG311" s="270" t="str">
        <f aca="false">IFERROR(IF(C$182*C$183*C$184*C$186*C$187&gt;0,STDEV(C$182, C$183, C$184, C$186, C$187)," ")/IF(C$182*C$183*C$184*C$186*C$187&gt;0,SQRT(COUNT(C$182, C$183, C$184, C$186, C$187))," "),"")</f>
        <v/>
      </c>
      <c r="AH311" s="270" t="str">
        <f aca="false">IFERROR(IF(D$182*D$183*D$184*D$186*D$187&gt;0,STDEV(D$182, D$183, D$184, D$186, D$187)," ")/IF(D$182*D$183*D$184*D$186*D$187&gt;0,SQRT(COUNT(D$182, D$183, D$184, D$186, D$187))," "),"")</f>
        <v/>
      </c>
      <c r="AI311" s="270" t="str">
        <f aca="false">IFERROR(IF(E$182*E$183*E$184*E$186*E$187&gt;0,STDEV(E$182, E$183, E$184, E$186, E$187)," ")/IF(E$182*E$183*E$184*E$186*E$187&gt;0,SQRT(COUNT(E$182, E$183, E$184, E$186, E$187))," "),"")</f>
        <v/>
      </c>
      <c r="AJ311" s="270" t="str">
        <f aca="false">IFERROR(IF(F$182*F$183*F$184*F$186*F$187&gt;0,STDEV(F$182, F$183, F$184, F$186, F$187)," ")/IF(F$182*F$183*F$184*F$186*F$187&gt;0,SQRT(COUNT(F$182, F$183, F$184, F$186, F$187))," "),"")</f>
        <v/>
      </c>
      <c r="AK311" s="270" t="str">
        <f aca="false">IFERROR(IF(G$182*G$183*G$184*G$186*G$187&gt;0,STDEV(G$182, G$183, G$184, G$186, G$187)," ")/IF(G$182*G$183*G$184*G$186*G$187&gt;0,SQRT(COUNT(G$182, G$183, G$184, G$186, G$187))," "),"")</f>
        <v/>
      </c>
      <c r="AL311" s="270" t="str">
        <f aca="false">IFERROR(IF(H$182*H$183*H$184*H$186*H$187&gt;0,STDEV(H$182, H$183, H$184, H$186, H$187)," ")/IF(H$182*H$183*H$184*H$186*H$187&gt;0,SQRT(COUNT(H$182, H$183, H$184, H$186, H$187))," "),"")</f>
        <v/>
      </c>
      <c r="AM311" s="270" t="str">
        <f aca="false">IFERROR(IF(I$182*I$183*I$184*I$186*I$187&gt;0,STDEV(I$182, I$183, I$184, I$186, I$187)," ")/IF(I$182*I$183*I$184*I$186*I$187&gt;0,SQRT(COUNT(I$182, I$183, I$184, I$186, I$187))," "),"")</f>
        <v/>
      </c>
      <c r="AN311" s="270" t="str">
        <f aca="false">IFERROR(IF(J$182*J$183*J$184*J$186*J$187&gt;0,STDEV(J$182, J$183, J$184, J$186, J$187)," ")/IF(J$182*J$183*J$184*J$186*J$187&gt;0,SQRT(COUNT(J$182, J$183, J$184, J$186, J$187))," "),"")</f>
        <v/>
      </c>
      <c r="AO311" s="270" t="str">
        <f aca="false">IFERROR(IF(K$182*K$183*K$184*K$186*K$187&gt;0,STDEV(K$182, K$183, K$184, K$186, K$187)," ")/IF(K$182*K$183*K$184*K$186*K$187&gt;0,SQRT(COUNT(K$182, K$183, K$184, K$186, K$187))," "),"")</f>
        <v/>
      </c>
      <c r="AP311" s="270" t="str">
        <f aca="false">IFERROR(IF(L$182*L$183*L$184*L$186*L$187&gt;0,STDEV(L$182, L$183, L$184, L$186, L$187)," ")/IF(L$182*L$183*L$184*L$186*L$187&gt;0,SQRT(COUNT(L$182, L$183, L$184, L$186, L$187))," "),"")</f>
        <v/>
      </c>
      <c r="AQ311" s="270" t="str">
        <f aca="false">IFERROR(IF(M$182*M$183*M$184*M$186*M$187&gt;0,STDEV(M$182, M$183, M$184, M$186, M$187)," ")/IF(M$182*M$183*M$184*M$186*M$187&gt;0,SQRT(COUNT(M$182, M$183, M$184, M$186, M$187))," "),"")</f>
        <v/>
      </c>
      <c r="AR311" s="270" t="str">
        <f aca="false">IFERROR(IF(N$182*N$183*N$184*N$186*N$187&gt;0,STDEV(N$182, N$183, N$184, N$186, N$187)," ")/IF(N$182*N$183*N$184*N$186*N$187&gt;0,SQRT(COUNT(N$182, N$183, N$184, N$186, N$187))," "),"")</f>
        <v/>
      </c>
    </row>
    <row r="312" customFormat="false" ht="15.75" hidden="false" customHeight="false" outlineLevel="0" collapsed="false">
      <c r="A312" s="220" t="s">
        <v>596</v>
      </c>
      <c r="B312" s="221"/>
      <c r="C312" s="261" t="str">
        <f aca="false">IFERROR(IF(C$182*C$183*C$184*C$187*C$188&gt;0,AVERAGE(C$182, C$183, C$184, C$187, C$188),""),"")</f>
        <v/>
      </c>
      <c r="D312" s="261" t="str">
        <f aca="false">IFERROR(IF(D$182*D$183*D$184*D$187*D$188&gt;0,AVERAGE(D$182, D$183, D$184, D$187, D$188),""),"")</f>
        <v/>
      </c>
      <c r="E312" s="261" t="str">
        <f aca="false">IFERROR(IF(E$182*E$183*E$184*E$187*E$188&gt;0,AVERAGE(E$182, E$183, E$184, E$187, E$188),""),"")</f>
        <v/>
      </c>
      <c r="F312" s="261" t="str">
        <f aca="false">IFERROR(IF(F$182*F$183*F$184*F$187*F$188&gt;0,AVERAGE(F$182, F$183, F$184, F$187, F$188),""),"")</f>
        <v/>
      </c>
      <c r="G312" s="261" t="str">
        <f aca="false">IFERROR(IF(G$182*G$183*G$184*G$187*G$188&gt;0,AVERAGE(G$182, G$183, G$184, G$187, G$188),""),"")</f>
        <v/>
      </c>
      <c r="H312" s="261" t="str">
        <f aca="false">IFERROR(IF(H$182*H$183*H$184*H$187*H$188&gt;0,AVERAGE(H$182, H$183, H$184, H$187, H$188),""),"")</f>
        <v/>
      </c>
      <c r="I312" s="261" t="str">
        <f aca="false">IFERROR(IF(I$182*I$183*I$184*I$187*I$188&gt;0,AVERAGE(I$182, I$183, I$184, I$187, I$188),""),"")</f>
        <v/>
      </c>
      <c r="J312" s="261" t="str">
        <f aca="false">IFERROR(IF(J$182*J$183*J$184*J$187*J$188&gt;0,AVERAGE(J$182, J$183, J$184, J$187, J$188),""),"")</f>
        <v/>
      </c>
      <c r="K312" s="261" t="str">
        <f aca="false">IFERROR(IF(K$182*K$183*K$184*K$187*K$188&gt;0,AVERAGE(K$182, K$183, K$184, K$187, K$188),""),"")</f>
        <v/>
      </c>
      <c r="L312" s="261" t="str">
        <f aca="false">IFERROR(IF(L$182*L$183*L$184*L$187*L$188&gt;0,AVERAGE(L$182, L$183, L$184, L$187, L$188),""),"")</f>
        <v/>
      </c>
      <c r="M312" s="261" t="str">
        <f aca="false">IFERROR(IF(M$182*M$183*M$184*M$187*M$188&gt;0,AVERAGE(M$182, M$183, M$184, M$187, M$188),""),"")</f>
        <v/>
      </c>
      <c r="N312" s="261" t="str">
        <f aca="false">IFERROR(IF(N$182*N$183*N$184*N$187*N$188&gt;0,AVERAGE(N$182, N$183, N$184, N$187, N$188),""),"")</f>
        <v/>
      </c>
      <c r="O312" s="224"/>
      <c r="P312" s="224"/>
      <c r="Q312" s="232"/>
      <c r="R312" s="226" t="s">
        <v>597</v>
      </c>
      <c r="S312" s="227" t="str">
        <f aca="false">IFERROR(IF(C$182*C$183*C$184*C$187*C$188&gt;0,STDEV(C$182, C$183, C$184, C$187, C$188),"")/IF(C$182*C$183*C$184*C$187*C$188&gt;0,AVERAGE(C$182, C$183, C$184, C$187, C$188),""),"")</f>
        <v/>
      </c>
      <c r="T312" s="227" t="str">
        <f aca="false">IFERROR(IF(D$182*D$183*D$184*D$187*D$188&gt;0,STDEV(D$182, D$183, D$184, D$187, D$188),"")/IF(D$182*D$183*D$184*D$187*D$188&gt;0,AVERAGE(D$182, D$183, D$184, D$187, D$188),""),"")</f>
        <v/>
      </c>
      <c r="U312" s="227" t="str">
        <f aca="false">IFERROR(IF(E$182*E$183*E$184*E$187*E$188&gt;0,STDEV(E$182, E$183, E$184, E$187, E$188),"")/IF(E$182*E$183*E$184*E$187*E$188&gt;0,AVERAGE(E$182, E$183, E$184, E$187, E$188),""),"")</f>
        <v/>
      </c>
      <c r="V312" s="227" t="str">
        <f aca="false">IFERROR(IF(F$182*F$183*F$184*F$187*F$188&gt;0,STDEV(F$182, F$183, F$184, F$187, F$188),"")/IF(F$182*F$183*F$184*F$187*F$188&gt;0,AVERAGE(F$182, F$183, F$184, F$187, F$188),""),"")</f>
        <v/>
      </c>
      <c r="W312" s="227" t="str">
        <f aca="false">IFERROR(IF(G$182*G$183*G$184*G$187*G$188&gt;0,STDEV(G$182, G$183, G$184, G$187, G$188),"")/IF(G$182*G$183*G$184*G$187*G$188&gt;0,AVERAGE(G$182, G$183, G$184, G$187, G$188),""),"")</f>
        <v/>
      </c>
      <c r="X312" s="227" t="str">
        <f aca="false">IFERROR(IF(H$182*H$183*H$184*H$187*H$188&gt;0,STDEV(H$182, H$183, H$184, H$187, H$188),"")/IF(H$182*H$183*H$184*H$187*H$188&gt;0,AVERAGE(H$182, H$183, H$184, H$187, H$188),""),"")</f>
        <v/>
      </c>
      <c r="Y312" s="227" t="str">
        <f aca="false">IFERROR(IF(I$182*I$183*I$184*I$187*I$188&gt;0,STDEV(I$182, I$183, I$184, I$187, I$188),"")/IF(I$182*I$183*I$184*I$187*I$188&gt;0,AVERAGE(I$182, I$183, I$184, I$187, I$188),""),"")</f>
        <v/>
      </c>
      <c r="Z312" s="227" t="str">
        <f aca="false">IFERROR(IF(J$182*J$183*J$184*J$187*J$188&gt;0,STDEV(J$182, J$183, J$184, J$187, J$188),"")/IF(J$182*J$183*J$184*J$187*J$188&gt;0,AVERAGE(J$182, J$183, J$184, J$187, J$188),""),"")</f>
        <v/>
      </c>
      <c r="AA312" s="227" t="str">
        <f aca="false">IFERROR(IF(K$182*K$183*K$184*K$187*K$188&gt;0,STDEV(K$182, K$183, K$184, K$187, K$188),"")/IF(K$182*K$183*K$184*K$187*K$188&gt;0,AVERAGE(K$182, K$183, K$184, K$187, K$188),""),"")</f>
        <v/>
      </c>
      <c r="AB312" s="227" t="str">
        <f aca="false">IFERROR(IF(L$182*L$183*L$184*L$187*L$188&gt;0,STDEV(L$182, L$183, L$184, L$187, L$188),"")/IF(L$182*L$183*L$184*L$187*L$188&gt;0,AVERAGE(L$182, L$183, L$184, L$187, L$188),""),"")</f>
        <v/>
      </c>
      <c r="AC312" s="227" t="str">
        <f aca="false">IFERROR(IF(M$182*M$183*M$184*M$187*M$188&gt;0,STDEV(M$182, M$183, M$184, M$187, M$188),"")/IF(M$182*M$183*M$184*M$187*M$188&gt;0,AVERAGE(M$182, M$183, M$184, M$187, M$188),""),"")</f>
        <v/>
      </c>
      <c r="AD312" s="227" t="str">
        <f aca="false">IFERROR(IF(N$182*N$183*N$184*N$187*N$188&gt;0,STDEV(N$182, N$183, N$184, N$187, N$188),"")/IF(N$182*N$183*N$184*N$187*N$188&gt;0,AVERAGE(N$182, N$183, N$184, N$187, N$188),""),"")</f>
        <v/>
      </c>
      <c r="AE312" s="233"/>
      <c r="AF312" s="229" t="s">
        <v>598</v>
      </c>
      <c r="AG312" s="270" t="str">
        <f aca="false">IFERROR(IF(C$182*C$183*C$184*C$187*C$188&gt;0,STDEV(C$182, C$183, C$184, C$187, C$188)," ")/IF(C$182*C$183*C$184*C$187*C$188&gt;0,SQRT(COUNT(C$182, C$183, C$184, C$187, C$188))," "),"")</f>
        <v/>
      </c>
      <c r="AH312" s="270" t="str">
        <f aca="false">IFERROR(IF(D$182*D$183*D$184*D$187*D$188&gt;0,STDEV(D$182, D$183, D$184, D$187, D$188)," ")/IF(D$182*D$183*D$184*D$187*D$188&gt;0,SQRT(COUNT(D$182, D$183, D$184, D$187, D$188))," "),"")</f>
        <v/>
      </c>
      <c r="AI312" s="270" t="str">
        <f aca="false">IFERROR(IF(E$182*E$183*E$184*E$187*E$188&gt;0,STDEV(E$182, E$183, E$184, E$187, E$188)," ")/IF(E$182*E$183*E$184*E$187*E$188&gt;0,SQRT(COUNT(E$182, E$183, E$184, E$187, E$188))," "),"")</f>
        <v/>
      </c>
      <c r="AJ312" s="270" t="str">
        <f aca="false">IFERROR(IF(F$182*F$183*F$184*F$187*F$188&gt;0,STDEV(F$182, F$183, F$184, F$187, F$188)," ")/IF(F$182*F$183*F$184*F$187*F$188&gt;0,SQRT(COUNT(F$182, F$183, F$184, F$187, F$188))," "),"")</f>
        <v/>
      </c>
      <c r="AK312" s="270" t="str">
        <f aca="false">IFERROR(IF(G$182*G$183*G$184*G$187*G$188&gt;0,STDEV(G$182, G$183, G$184, G$187, G$188)," ")/IF(G$182*G$183*G$184*G$187*G$188&gt;0,SQRT(COUNT(G$182, G$183, G$184, G$187, G$188))," "),"")</f>
        <v/>
      </c>
      <c r="AL312" s="270" t="str">
        <f aca="false">IFERROR(IF(H$182*H$183*H$184*H$187*H$188&gt;0,STDEV(H$182, H$183, H$184, H$187, H$188)," ")/IF(H$182*H$183*H$184*H$187*H$188&gt;0,SQRT(COUNT(H$182, H$183, H$184, H$187, H$188))," "),"")</f>
        <v/>
      </c>
      <c r="AM312" s="270" t="str">
        <f aca="false">IFERROR(IF(I$182*I$183*I$184*I$187*I$188&gt;0,STDEV(I$182, I$183, I$184, I$187, I$188)," ")/IF(I$182*I$183*I$184*I$187*I$188&gt;0,SQRT(COUNT(I$182, I$183, I$184, I$187, I$188))," "),"")</f>
        <v/>
      </c>
      <c r="AN312" s="270" t="str">
        <f aca="false">IFERROR(IF(J$182*J$183*J$184*J$187*J$188&gt;0,STDEV(J$182, J$183, J$184, J$187, J$188)," ")/IF(J$182*J$183*J$184*J$187*J$188&gt;0,SQRT(COUNT(J$182, J$183, J$184, J$187, J$188))," "),"")</f>
        <v/>
      </c>
      <c r="AO312" s="270" t="str">
        <f aca="false">IFERROR(IF(K$182*K$183*K$184*K$187*K$188&gt;0,STDEV(K$182, K$183, K$184, K$187, K$188)," ")/IF(K$182*K$183*K$184*K$187*K$188&gt;0,SQRT(COUNT(K$182, K$183, K$184, K$187, K$188))," "),"")</f>
        <v/>
      </c>
      <c r="AP312" s="270" t="str">
        <f aca="false">IFERROR(IF(L$182*L$183*L$184*L$187*L$188&gt;0,STDEV(L$182, L$183, L$184, L$187, L$188)," ")/IF(L$182*L$183*L$184*L$187*L$188&gt;0,SQRT(COUNT(L$182, L$183, L$184, L$187, L$188))," "),"")</f>
        <v/>
      </c>
      <c r="AQ312" s="270" t="str">
        <f aca="false">IFERROR(IF(M$182*M$183*M$184*M$187*M$188&gt;0,STDEV(M$182, M$183, M$184, M$187, M$188)," ")/IF(M$182*M$183*M$184*M$187*M$188&gt;0,SQRT(COUNT(M$182, M$183, M$184, M$187, M$188))," "),"")</f>
        <v/>
      </c>
      <c r="AR312" s="270" t="str">
        <f aca="false">IFERROR(IF(N$182*N$183*N$184*N$187*N$188&gt;0,STDEV(N$182, N$183, N$184, N$187, N$188)," ")/IF(N$182*N$183*N$184*N$187*N$188&gt;0,SQRT(COUNT(N$182, N$183, N$184, N$187, N$188))," "),"")</f>
        <v/>
      </c>
    </row>
    <row r="313" customFormat="false" ht="15.75" hidden="false" customHeight="false" outlineLevel="0" collapsed="false">
      <c r="A313" s="242" t="s">
        <v>599</v>
      </c>
      <c r="B313" s="243"/>
      <c r="C313" s="262" t="str">
        <f aca="false">IFERROR(IF(C$182*C$183*C$184*C$186*C$188&gt;0,AVERAGE(C$182, C$183, C$184, C$186, C$188),""),"")</f>
        <v/>
      </c>
      <c r="D313" s="262" t="str">
        <f aca="false">IFERROR(IF(D$182*D$183*D$184*D$186*D$188&gt;0,AVERAGE(D$182, D$183, D$184, D$186, D$188),""),"")</f>
        <v/>
      </c>
      <c r="E313" s="262" t="str">
        <f aca="false">IFERROR(IF(E$182*E$183*E$184*E$186*E$188&gt;0,AVERAGE(E$182, E$183, E$184, E$186, E$188),""),"")</f>
        <v/>
      </c>
      <c r="F313" s="262" t="str">
        <f aca="false">IFERROR(IF(F$182*F$183*F$184*F$186*F$188&gt;0,AVERAGE(F$182, F$183, F$184, F$186, F$188),""),"")</f>
        <v/>
      </c>
      <c r="G313" s="262" t="str">
        <f aca="false">IFERROR(IF(G$182*G$183*G$184*G$186*G$188&gt;0,AVERAGE(G$182, G$183, G$184, G$186, G$188),""),"")</f>
        <v/>
      </c>
      <c r="H313" s="262" t="str">
        <f aca="false">IFERROR(IF(H$182*H$183*H$184*H$186*H$188&gt;0,AVERAGE(H$182, H$183, H$184, H$186, H$188),""),"")</f>
        <v/>
      </c>
      <c r="I313" s="262" t="str">
        <f aca="false">IFERROR(IF(I$182*I$183*I$184*I$186*I$188&gt;0,AVERAGE(I$182, I$183, I$184, I$186, I$188),""),"")</f>
        <v/>
      </c>
      <c r="J313" s="262" t="str">
        <f aca="false">IFERROR(IF(J$182*J$183*J$184*J$186*J$188&gt;0,AVERAGE(J$182, J$183, J$184, J$186, J$188),""),"")</f>
        <v/>
      </c>
      <c r="K313" s="262" t="str">
        <f aca="false">IFERROR(IF(K$182*K$183*K$184*K$186*K$188&gt;0,AVERAGE(K$182, K$183, K$184, K$186, K$188),""),"")</f>
        <v/>
      </c>
      <c r="L313" s="262" t="str">
        <f aca="false">IFERROR(IF(L$182*L$183*L$184*L$186*L$188&gt;0,AVERAGE(L$182, L$183, L$184, L$186, L$188),""),"")</f>
        <v/>
      </c>
      <c r="M313" s="262" t="str">
        <f aca="false">IFERROR(IF(M$182*M$183*M$184*M$186*M$188&gt;0,AVERAGE(M$182, M$183, M$184, M$186, M$188),""),"")</f>
        <v/>
      </c>
      <c r="N313" s="262" t="str">
        <f aca="false">IFERROR(IF(N$182*N$183*N$184*N$186*N$188&gt;0,AVERAGE(N$182, N$183, N$184, N$186, N$188),""),"")</f>
        <v/>
      </c>
      <c r="O313" s="245"/>
      <c r="P313" s="245"/>
      <c r="Q313" s="246"/>
      <c r="R313" s="247" t="s">
        <v>600</v>
      </c>
      <c r="S313" s="248" t="str">
        <f aca="false">IFERROR(IF(C$182*C$183*C$184*C$186*C$188&gt;0,STDEV(C$182, C$183, C$184, C$186, C$188),"")/IF(C$182*C$183*C$184*C$186*C$188&gt;0,AVERAGE(C$182, C$183, C$184, C$186, C$188),""),"")</f>
        <v/>
      </c>
      <c r="T313" s="248" t="str">
        <f aca="false">IFERROR(IF(D$182*D$183*D$184*D$186*D$188&gt;0,STDEV(D$182, D$183, D$184, D$186, D$188),"")/IF(D$182*D$183*D$184*D$186*D$188&gt;0,AVERAGE(D$182, D$183, D$184, D$186, D$188),""),"")</f>
        <v/>
      </c>
      <c r="U313" s="248" t="str">
        <f aca="false">IFERROR(IF(E$182*E$183*E$184*E$186*E$188&gt;0,STDEV(E$182, E$183, E$184, E$186, E$188),"")/IF(E$182*E$183*E$184*E$186*E$188&gt;0,AVERAGE(E$182, E$183, E$184, E$186, E$188),""),"")</f>
        <v/>
      </c>
      <c r="V313" s="248" t="str">
        <f aca="false">IFERROR(IF(F$182*F$183*F$184*F$186*F$188&gt;0,STDEV(F$182, F$183, F$184, F$186, F$188),"")/IF(F$182*F$183*F$184*F$186*F$188&gt;0,AVERAGE(F$182, F$183, F$184, F$186, F$188),""),"")</f>
        <v/>
      </c>
      <c r="W313" s="248" t="str">
        <f aca="false">IFERROR(IF(G$182*G$183*G$184*G$186*G$188&gt;0,STDEV(G$182, G$183, G$184, G$186, G$188),"")/IF(G$182*G$183*G$184*G$186*G$188&gt;0,AVERAGE(G$182, G$183, G$184, G$186, G$188),""),"")</f>
        <v/>
      </c>
      <c r="X313" s="248" t="str">
        <f aca="false">IFERROR(IF(H$182*H$183*H$184*H$186*H$188&gt;0,STDEV(H$182, H$183, H$184, H$186, H$188),"")/IF(H$182*H$183*H$184*H$186*H$188&gt;0,AVERAGE(H$182, H$183, H$184, H$186, H$188),""),"")</f>
        <v/>
      </c>
      <c r="Y313" s="248" t="str">
        <f aca="false">IFERROR(IF(I$182*I$183*I$184*I$186*I$188&gt;0,STDEV(I$182, I$183, I$184, I$186, I$188),"")/IF(I$182*I$183*I$184*I$186*I$188&gt;0,AVERAGE(I$182, I$183, I$184, I$186, I$188),""),"")</f>
        <v/>
      </c>
      <c r="Z313" s="248" t="str">
        <f aca="false">IFERROR(IF(J$182*J$183*J$184*J$186*J$188&gt;0,STDEV(J$182, J$183, J$184, J$186, J$188),"")/IF(J$182*J$183*J$184*J$186*J$188&gt;0,AVERAGE(J$182, J$183, J$184, J$186, J$188),""),"")</f>
        <v/>
      </c>
      <c r="AA313" s="248" t="str">
        <f aca="false">IFERROR(IF(K$182*K$183*K$184*K$186*K$188&gt;0,STDEV(K$182, K$183, K$184, K$186, K$188),"")/IF(K$182*K$183*K$184*K$186*K$188&gt;0,AVERAGE(K$182, K$183, K$184, K$186, K$188),""),"")</f>
        <v/>
      </c>
      <c r="AB313" s="248" t="str">
        <f aca="false">IFERROR(IF(L$182*L$183*L$184*L$186*L$188&gt;0,STDEV(L$182, L$183, L$184, L$186, L$188),"")/IF(L$182*L$183*L$184*L$186*L$188&gt;0,AVERAGE(L$182, L$183, L$184, L$186, L$188),""),"")</f>
        <v/>
      </c>
      <c r="AC313" s="248" t="str">
        <f aca="false">IFERROR(IF(M$182*M$183*M$184*M$186*M$188&gt;0,STDEV(M$182, M$183, M$184, M$186, M$188),"")/IF(M$182*M$183*M$184*M$186*M$188&gt;0,AVERAGE(M$182, M$183, M$184, M$186, M$188),""),"")</f>
        <v/>
      </c>
      <c r="AD313" s="248" t="str">
        <f aca="false">IFERROR(IF(N$182*N$183*N$184*N$186*N$188&gt;0,STDEV(N$182, N$183, N$184, N$186, N$188),"")/IF(N$182*N$183*N$184*N$186*N$188&gt;0,AVERAGE(N$182, N$183, N$184, N$186, N$188),""),"")</f>
        <v/>
      </c>
      <c r="AE313" s="249"/>
      <c r="AF313" s="250" t="s">
        <v>601</v>
      </c>
      <c r="AG313" s="272" t="str">
        <f aca="false">IFERROR(IF(C$182*C$183*C$184*C$186*C$188&gt;0,STDEV(C$182, C$183, C$184, C$186, C$188)," ")/IF(C$182*C$183*C$184*C$186*C$188&gt;0,SQRT(COUNT(C$182, C$183, C$184, C$186, C$188))," "),"")</f>
        <v/>
      </c>
      <c r="AH313" s="272" t="str">
        <f aca="false">IFERROR(IF(D$182*D$183*D$184*D$186*D$188&gt;0,STDEV(D$182, D$183, D$184, D$186, D$188)," ")/IF(D$182*D$183*D$184*D$186*D$188&gt;0,SQRT(COUNT(D$182, D$183, D$184, D$186, D$188))," "),"")</f>
        <v/>
      </c>
      <c r="AI313" s="272" t="str">
        <f aca="false">IFERROR(IF(E$182*E$183*E$184*E$186*E$188&gt;0,STDEV(E$182, E$183, E$184, E$186, E$188)," ")/IF(E$182*E$183*E$184*E$186*E$188&gt;0,SQRT(COUNT(E$182, E$183, E$184, E$186, E$188))," "),"")</f>
        <v/>
      </c>
      <c r="AJ313" s="272" t="str">
        <f aca="false">IFERROR(IF(F$182*F$183*F$184*F$186*F$188&gt;0,STDEV(F$182, F$183, F$184, F$186, F$188)," ")/IF(F$182*F$183*F$184*F$186*F$188&gt;0,SQRT(COUNT(F$182, F$183, F$184, F$186, F$188))," "),"")</f>
        <v/>
      </c>
      <c r="AK313" s="272" t="str">
        <f aca="false">IFERROR(IF(G$182*G$183*G$184*G$186*G$188&gt;0,STDEV(G$182, G$183, G$184, G$186, G$188)," ")/IF(G$182*G$183*G$184*G$186*G$188&gt;0,SQRT(COUNT(G$182, G$183, G$184, G$186, G$188))," "),"")</f>
        <v/>
      </c>
      <c r="AL313" s="272" t="str">
        <f aca="false">IFERROR(IF(H$182*H$183*H$184*H$186*H$188&gt;0,STDEV(H$182, H$183, H$184, H$186, H$188)," ")/IF(H$182*H$183*H$184*H$186*H$188&gt;0,SQRT(COUNT(H$182, H$183, H$184, H$186, H$188))," "),"")</f>
        <v/>
      </c>
      <c r="AM313" s="272" t="str">
        <f aca="false">IFERROR(IF(I$182*I$183*I$184*I$186*I$188&gt;0,STDEV(I$182, I$183, I$184, I$186, I$188)," ")/IF(I$182*I$183*I$184*I$186*I$188&gt;0,SQRT(COUNT(I$182, I$183, I$184, I$186, I$188))," "),"")</f>
        <v/>
      </c>
      <c r="AN313" s="272" t="str">
        <f aca="false">IFERROR(IF(J$182*J$183*J$184*J$186*J$188&gt;0,STDEV(J$182, J$183, J$184, J$186, J$188)," ")/IF(J$182*J$183*J$184*J$186*J$188&gt;0,SQRT(COUNT(J$182, J$183, J$184, J$186, J$188))," "),"")</f>
        <v/>
      </c>
      <c r="AO313" s="272" t="str">
        <f aca="false">IFERROR(IF(K$182*K$183*K$184*K$186*K$188&gt;0,STDEV(K$182, K$183, K$184, K$186, K$188)," ")/IF(K$182*K$183*K$184*K$186*K$188&gt;0,SQRT(COUNT(K$182, K$183, K$184, K$186, K$188))," "),"")</f>
        <v/>
      </c>
      <c r="AP313" s="272" t="str">
        <f aca="false">IFERROR(IF(L$182*L$183*L$184*L$186*L$188&gt;0,STDEV(L$182, L$183, L$184, L$186, L$188)," ")/IF(L$182*L$183*L$184*L$186*L$188&gt;0,SQRT(COUNT(L$182, L$183, L$184, L$186, L$188))," "),"")</f>
        <v/>
      </c>
      <c r="AQ313" s="272" t="str">
        <f aca="false">IFERROR(IF(M$182*M$183*M$184*M$186*M$188&gt;0,STDEV(M$182, M$183, M$184, M$186, M$188)," ")/IF(M$182*M$183*M$184*M$186*M$188&gt;0,SQRT(COUNT(M$182, M$183, M$184, M$186, M$188))," "),"")</f>
        <v/>
      </c>
      <c r="AR313" s="272" t="str">
        <f aca="false">IFERROR(IF(N$182*N$183*N$184*N$186*N$188&gt;0,STDEV(N$182, N$183, N$184, N$186, N$188)," ")/IF(N$182*N$183*N$184*N$186*N$188&gt;0,SQRT(COUNT(N$182, N$183, N$184, N$186, N$188))," "),"")</f>
        <v/>
      </c>
    </row>
    <row r="314" customFormat="false" ht="15.75" hidden="false" customHeight="false" outlineLevel="0" collapsed="false">
      <c r="A314" s="220" t="s">
        <v>602</v>
      </c>
      <c r="B314" s="221"/>
      <c r="C314" s="261" t="str">
        <f aca="false">IFERROR(IF(C$182*C$183*C$184*C$185*C$186*C$187&gt;0,AVERAGE(C$182:C$186,C$187),""),"")</f>
        <v/>
      </c>
      <c r="D314" s="261" t="str">
        <f aca="false">IFERROR(IF(D$182*D$183*D$184*D$185*D$186*D$187&gt;0,AVERAGE(D$182:D$186,D$187),""),"")</f>
        <v/>
      </c>
      <c r="E314" s="261" t="str">
        <f aca="false">IFERROR(IF(E$182*E$183*E$184*E$185*E$186*E$187&gt;0,AVERAGE(E$182:E$186,E$187),""),"")</f>
        <v/>
      </c>
      <c r="F314" s="261" t="str">
        <f aca="false">IFERROR(IF(F$182*F$183*F$184*F$185*F$186*F$187&gt;0,AVERAGE(F$182:F$186,F$187),""),"")</f>
        <v/>
      </c>
      <c r="G314" s="261" t="str">
        <f aca="false">IFERROR(IF(G$182*G$183*G$184*G$185*G$186*G$187&gt;0,AVERAGE(G$182:G$186,G$187),""),"")</f>
        <v/>
      </c>
      <c r="H314" s="261" t="str">
        <f aca="false">IFERROR(IF(H$182*H$183*H$184*H$185*H$186*H$187&gt;0,AVERAGE(H$182:H$186,H$187),""),"")</f>
        <v/>
      </c>
      <c r="I314" s="261" t="str">
        <f aca="false">IFERROR(IF(I$182*I$183*I$184*I$185*I$186*I$187&gt;0,AVERAGE(I$182:I$186,I$187),""),"")</f>
        <v/>
      </c>
      <c r="J314" s="261" t="str">
        <f aca="false">IFERROR(IF(J$182*J$183*J$184*J$185*J$186*J$187&gt;0,AVERAGE(J$182:J$186,J$187),""),"")</f>
        <v/>
      </c>
      <c r="K314" s="261" t="str">
        <f aca="false">IFERROR(IF(K$182*K$183*K$184*K$185*K$186*K$187&gt;0,AVERAGE(K$182:K$186,K$187),""),"")</f>
        <v/>
      </c>
      <c r="L314" s="261" t="str">
        <f aca="false">IFERROR(IF(L$182*L$183*L$184*L$185*L$186*L$187&gt;0,AVERAGE(L$182:L$186,L$187),""),"")</f>
        <v/>
      </c>
      <c r="M314" s="261" t="str">
        <f aca="false">IFERROR(IF(M$182*M$183*M$184*M$185*M$186*M$187&gt;0,AVERAGE(M$182:M$186,M$187),""),"")</f>
        <v/>
      </c>
      <c r="N314" s="261" t="str">
        <f aca="false">IFERROR(IF(N$182*N$183*N$184*N$185*N$186*N$187&gt;0,AVERAGE(N$182:N$186,N$187),""),"")</f>
        <v/>
      </c>
      <c r="O314" s="240" t="n">
        <v>6</v>
      </c>
      <c r="P314" s="224" t="n">
        <f aca="false">COMBIN(7,6)</f>
        <v>7</v>
      </c>
      <c r="Q314" s="252" t="n">
        <f aca="false">ROW(N320)-ROW(N314)+1</f>
        <v>7</v>
      </c>
      <c r="R314" s="226" t="s">
        <v>603</v>
      </c>
      <c r="S314" s="227" t="str">
        <f aca="false">IFERROR(IF(C$182*C$183*C$184*C$185*C$186*C$187&gt;0,STDEV(C$182:C$186,C$187),"")/IF(C$182*C$183*C$184*C$185*C$186*C$187&gt;0,AVERAGE(C$182:C$186,C$187),""),"")</f>
        <v/>
      </c>
      <c r="T314" s="227" t="str">
        <f aca="false">IFERROR(IF(D$182*D$183*D$184*D$185*D$186*D$187&gt;0,STDEV(D$182:D$186,D$187),"")/IF(D$182*D$183*D$184*D$185*D$186*D$187&gt;0,AVERAGE(D$182:D$186,D$187),""),"")</f>
        <v/>
      </c>
      <c r="U314" s="227" t="str">
        <f aca="false">IFERROR(IF(E$182*E$183*E$184*E$185*E$186*E$187&gt;0,STDEV(E$182:E$186,E$187),"")/IF(E$182*E$183*E$184*E$185*E$186*E$187&gt;0,AVERAGE(E$182:E$186,E$187),""),"")</f>
        <v/>
      </c>
      <c r="V314" s="227" t="str">
        <f aca="false">IFERROR(IF(F$182*F$183*F$184*F$185*F$186*F$187&gt;0,STDEV(F$182:F$186,F$187),"")/IF(F$182*F$183*F$184*F$185*F$186*F$187&gt;0,AVERAGE(F$182:F$186,F$187),""),"")</f>
        <v/>
      </c>
      <c r="W314" s="227" t="str">
        <f aca="false">IFERROR(IF(G$182*G$183*G$184*G$185*G$186*G$187&gt;0,STDEV(G$182:G$186,G$187),"")/IF(G$182*G$183*G$184*G$185*G$186*G$187&gt;0,AVERAGE(G$182:G$186,G$187),""),"")</f>
        <v/>
      </c>
      <c r="X314" s="227" t="str">
        <f aca="false">IFERROR(IF(H$182*H$183*H$184*H$185*H$186*H$187&gt;0,STDEV(H$182:H$186,H$187),"")/IF(H$182*H$183*H$184*H$185*H$186*H$187&gt;0,AVERAGE(H$182:H$186,H$187),""),"")</f>
        <v/>
      </c>
      <c r="Y314" s="227" t="str">
        <f aca="false">IFERROR(IF(I$182*I$183*I$184*I$185*I$186*I$187&gt;0,STDEV(I$182:I$186,I$187),"")/IF(I$182*I$183*I$184*I$185*I$186*I$187&gt;0,AVERAGE(I$182:I$186,I$187),""),"")</f>
        <v/>
      </c>
      <c r="Z314" s="227" t="str">
        <f aca="false">IFERROR(IF(J$182*J$183*J$184*J$185*J$186*J$187&gt;0,STDEV(J$182:J$186,J$187),"")/IF(J$182*J$183*J$184*J$185*J$186*J$187&gt;0,AVERAGE(J$182:J$186,J$187),""),"")</f>
        <v/>
      </c>
      <c r="AA314" s="227" t="str">
        <f aca="false">IFERROR(IF(K$182*K$183*K$184*K$185*K$186*K$187&gt;0,STDEV(K$182:K$186,K$187),"")/IF(K$182*K$183*K$184*K$185*K$186*K$187&gt;0,AVERAGE(K$182:K$186,K$187),""),"")</f>
        <v/>
      </c>
      <c r="AB314" s="227" t="str">
        <f aca="false">IFERROR(IF(L$182*L$183*L$184*L$185*L$186*L$187&gt;0,STDEV(L$182:L$186,L$187),"")/IF(L$182*L$183*L$184*L$185*L$186*L$187&gt;0,AVERAGE(L$182:L$186,L$187),""),"")</f>
        <v/>
      </c>
      <c r="AC314" s="227" t="str">
        <f aca="false">IFERROR(IF(M$182*M$183*M$184*M$185*M$186*M$187&gt;0,STDEV(M$182:M$186,M$187),"")/IF(M$182*M$183*M$184*M$185*M$186*M$187&gt;0,AVERAGE(M$182:M$186,M$187),""),"")</f>
        <v/>
      </c>
      <c r="AD314" s="227" t="str">
        <f aca="false">IFERROR(IF(N$182*N$183*N$184*N$185*N$186*N$187&gt;0,STDEV(N$182:N$186,N$187),"")/IF(N$182*N$183*N$184*N$185*N$186*N$187&gt;0,AVERAGE(N$182:N$186,N$187),""),"")</f>
        <v/>
      </c>
      <c r="AE314" s="233"/>
      <c r="AF314" s="229" t="s">
        <v>604</v>
      </c>
      <c r="AG314" s="270" t="str">
        <f aca="false">IFERROR(IF(C$182*C$183*C$184*C$185*C$186*C$187&gt;0,STDEV(C$182:C$186,C$187)," ")/IF(C$182*C$183*C$184*C$185*C$186*C$187&gt;0,SQRT(COUNT(C$182:C$186,C$187))," "),"")</f>
        <v/>
      </c>
      <c r="AH314" s="270" t="str">
        <f aca="false">IFERROR(IF(D$182*D$183*D$184*D$185*D$186*D$187&gt;0,STDEV(D$182:D$186,D$187)," ")/IF(D$182*D$183*D$184*D$185*D$186*D$187&gt;0,SQRT(COUNT(D$182:D$186,D$187))," "),"")</f>
        <v/>
      </c>
      <c r="AI314" s="270" t="str">
        <f aca="false">IFERROR(IF(E$182*E$183*E$184*E$185*E$186*E$187&gt;0,STDEV(E$182:E$186,E$187)," ")/IF(E$182*E$183*E$184*E$185*E$186*E$187&gt;0,SQRT(COUNT(E$182:E$186,E$187))," "),"")</f>
        <v/>
      </c>
      <c r="AJ314" s="270" t="str">
        <f aca="false">IFERROR(IF(F$182*F$183*F$184*F$185*F$186*F$187&gt;0,STDEV(F$182:F$186,F$187)," ")/IF(F$182*F$183*F$184*F$185*F$186*F$187&gt;0,SQRT(COUNT(F$182:F$186,F$187))," "),"")</f>
        <v/>
      </c>
      <c r="AK314" s="270" t="str">
        <f aca="false">IFERROR(IF(G$182*G$183*G$184*G$185*G$186*G$187&gt;0,STDEV(G$182:G$186,G$187)," ")/IF(G$182*G$183*G$184*G$185*G$186*G$187&gt;0,SQRT(COUNT(G$182:G$186,G$187))," "),"")</f>
        <v/>
      </c>
      <c r="AL314" s="270" t="str">
        <f aca="false">IFERROR(IF(H$182*H$183*H$184*H$185*H$186*H$187&gt;0,STDEV(H$182:H$186,H$187)," ")/IF(H$182*H$183*H$184*H$185*H$186*H$187&gt;0,SQRT(COUNT(H$182:H$186,H$187))," "),"")</f>
        <v/>
      </c>
      <c r="AM314" s="270" t="str">
        <f aca="false">IFERROR(IF(I$182*I$183*I$184*I$185*I$186*I$187&gt;0,STDEV(I$182:I$186,I$187)," ")/IF(I$182*I$183*I$184*I$185*I$186*I$187&gt;0,SQRT(COUNT(I$182:I$186,I$187))," "),"")</f>
        <v/>
      </c>
      <c r="AN314" s="270" t="str">
        <f aca="false">IFERROR(IF(J$182*J$183*J$184*J$185*J$186*J$187&gt;0,STDEV(J$182:J$186,J$187)," ")/IF(J$182*J$183*J$184*J$185*J$186*J$187&gt;0,SQRT(COUNT(J$182:J$186,J$187))," "),"")</f>
        <v/>
      </c>
      <c r="AO314" s="270" t="str">
        <f aca="false">IFERROR(IF(K$182*K$183*K$184*K$185*K$186*K$187&gt;0,STDEV(K$182:K$186,K$187)," ")/IF(K$182*K$183*K$184*K$185*K$186*K$187&gt;0,SQRT(COUNT(K$182:K$186,K$187))," "),"")</f>
        <v/>
      </c>
      <c r="AP314" s="270" t="str">
        <f aca="false">IFERROR(IF(L$182*L$183*L$184*L$185*L$186*L$187&gt;0,STDEV(L$182:L$186,L$187)," ")/IF(L$182*L$183*L$184*L$185*L$186*L$187&gt;0,SQRT(COUNT(L$182:L$186,L$187))," "),"")</f>
        <v/>
      </c>
      <c r="AQ314" s="270" t="str">
        <f aca="false">IFERROR(IF(M$182*M$183*M$184*M$185*M$186*M$187&gt;0,STDEV(M$182:M$186,M$187)," ")/IF(M$182*M$183*M$184*M$185*M$186*M$187&gt;0,SQRT(COUNT(M$182:M$186,M$187))," "),"")</f>
        <v/>
      </c>
      <c r="AR314" s="270" t="str">
        <f aca="false">IFERROR(IF(N$182*N$183*N$184*N$185*N$186*N$187&gt;0,STDEV(N$182:N$186,N$187)," ")/IF(N$182*N$183*N$184*N$185*N$186*N$187&gt;0,SQRT(COUNT(N$182:N$186,N$187))," "),"")</f>
        <v/>
      </c>
    </row>
    <row r="315" customFormat="false" ht="15.75" hidden="false" customHeight="false" outlineLevel="0" collapsed="false">
      <c r="A315" s="220" t="s">
        <v>605</v>
      </c>
      <c r="B315" s="221"/>
      <c r="C315" s="261" t="str">
        <f aca="false">IFERROR(IF(C$182*C$183*C$184*C$185*C$186*C$188&gt;0,AVERAGE(C$182:C$186,C$188),""),"")</f>
        <v/>
      </c>
      <c r="D315" s="261" t="str">
        <f aca="false">IFERROR(IF(D$182*D$183*D$184*D$185*D$186*D$188&gt;0,AVERAGE(D$182:D$186,D$188),""),"")</f>
        <v/>
      </c>
      <c r="E315" s="261" t="str">
        <f aca="false">IFERROR(IF(E$182*E$183*E$184*E$185*E$186*E$188&gt;0,AVERAGE(E$182:E$186,E$188),""),"")</f>
        <v/>
      </c>
      <c r="F315" s="261" t="str">
        <f aca="false">IFERROR(IF(F$182*F$183*F$184*F$185*F$186*F$188&gt;0,AVERAGE(F$182:F$186,F$188),""),"")</f>
        <v/>
      </c>
      <c r="G315" s="261" t="str">
        <f aca="false">IFERROR(IF(G$182*G$183*G$184*G$185*G$186*G$188&gt;0,AVERAGE(G$182:G$186,G$188),""),"")</f>
        <v/>
      </c>
      <c r="H315" s="261" t="str">
        <f aca="false">IFERROR(IF(H$182*H$183*H$184*H$185*H$186*H$188&gt;0,AVERAGE(H$182:H$186,H$188),""),"")</f>
        <v/>
      </c>
      <c r="I315" s="261" t="str">
        <f aca="false">IFERROR(IF(I$182*I$183*I$184*I$185*I$186*I$188&gt;0,AVERAGE(I$182:I$186,I$188),""),"")</f>
        <v/>
      </c>
      <c r="J315" s="261" t="str">
        <f aca="false">IFERROR(IF(J$182*J$183*J$184*J$185*J$186*J$188&gt;0,AVERAGE(J$182:J$186,J$188),""),"")</f>
        <v/>
      </c>
      <c r="K315" s="261" t="str">
        <f aca="false">IFERROR(IF(K$182*K$183*K$184*K$185*K$186*K$188&gt;0,AVERAGE(K$182:K$186,K$188),""),"")</f>
        <v/>
      </c>
      <c r="L315" s="261" t="str">
        <f aca="false">IFERROR(IF(L$182*L$183*L$184*L$185*L$186*L$188&gt;0,AVERAGE(L$182:L$186,L$188),""),"")</f>
        <v/>
      </c>
      <c r="M315" s="261" t="str">
        <f aca="false">IFERROR(IF(M$182*M$183*M$184*M$185*M$186*M$188&gt;0,AVERAGE(M$182:M$186,M$188),""),"")</f>
        <v/>
      </c>
      <c r="N315" s="261" t="str">
        <f aca="false">IFERROR(IF(N$182*N$183*N$184*N$185*N$186*N$188&gt;0,AVERAGE(N$182:N$186,N$188),""),"")</f>
        <v/>
      </c>
      <c r="O315" s="224"/>
      <c r="P315" s="224"/>
      <c r="Q315" s="232"/>
      <c r="R315" s="226" t="s">
        <v>606</v>
      </c>
      <c r="S315" s="227" t="str">
        <f aca="false">IFERROR(IF(C$182*C$183*C$184*C$185*C$186*C$188&gt;0,STDEV(C$182:C$186,C$188),"")/IF(C$182*C$183*C$184*C$185*C$186*C$188&gt;0,AVERAGE(C$182:C$186,C$188),""),"")</f>
        <v/>
      </c>
      <c r="T315" s="227" t="str">
        <f aca="false">IFERROR(IF(D$182*D$183*D$184*D$185*D$186*D$188&gt;0,STDEV(D$182:D$186,D$188),"")/IF(D$182*D$183*D$184*D$185*D$186*D$188&gt;0,AVERAGE(D$182:D$186,D$188),""),"")</f>
        <v/>
      </c>
      <c r="U315" s="227" t="str">
        <f aca="false">IFERROR(IF(E$182*E$183*E$184*E$185*E$186*E$188&gt;0,STDEV(E$182:E$186,E$188),"")/IF(E$182*E$183*E$184*E$185*E$186*E$188&gt;0,AVERAGE(E$182:E$186,E$188),""),"")</f>
        <v/>
      </c>
      <c r="V315" s="227" t="str">
        <f aca="false">IFERROR(IF(F$182*F$183*F$184*F$185*F$186*F$188&gt;0,STDEV(F$182:F$186,F$188),"")/IF(F$182*F$183*F$184*F$185*F$186*F$188&gt;0,AVERAGE(F$182:F$186,F$188),""),"")</f>
        <v/>
      </c>
      <c r="W315" s="227" t="str">
        <f aca="false">IFERROR(IF(G$182*G$183*G$184*G$185*G$186*G$188&gt;0,STDEV(G$182:G$186,G$188),"")/IF(G$182*G$183*G$184*G$185*G$186*G$188&gt;0,AVERAGE(G$182:G$186,G$188),""),"")</f>
        <v/>
      </c>
      <c r="X315" s="227" t="str">
        <f aca="false">IFERROR(IF(H$182*H$183*H$184*H$185*H$186*H$188&gt;0,STDEV(H$182:H$186,H$188),"")/IF(H$182*H$183*H$184*H$185*H$186*H$188&gt;0,AVERAGE(H$182:H$186,H$188),""),"")</f>
        <v/>
      </c>
      <c r="Y315" s="227" t="str">
        <f aca="false">IFERROR(IF(I$182*I$183*I$184*I$185*I$186*I$188&gt;0,STDEV(I$182:I$186,I$188),"")/IF(I$182*I$183*I$184*I$185*I$186*I$188&gt;0,AVERAGE(I$182:I$186,I$188),""),"")</f>
        <v/>
      </c>
      <c r="Z315" s="227" t="str">
        <f aca="false">IFERROR(IF(J$182*J$183*J$184*J$185*J$186*J$188&gt;0,STDEV(J$182:J$186,J$188),"")/IF(J$182*J$183*J$184*J$185*J$186*J$188&gt;0,AVERAGE(J$182:J$186,J$188),""),"")</f>
        <v/>
      </c>
      <c r="AA315" s="227" t="str">
        <f aca="false">IFERROR(IF(K$182*K$183*K$184*K$185*K$186*K$188&gt;0,STDEV(K$182:K$186,K$188),"")/IF(K$182*K$183*K$184*K$185*K$186*K$188&gt;0,AVERAGE(K$182:K$186,K$188),""),"")</f>
        <v/>
      </c>
      <c r="AB315" s="227" t="str">
        <f aca="false">IFERROR(IF(L$182*L$183*L$184*L$185*L$186*L$188&gt;0,STDEV(L$182:L$186,L$188),"")/IF(L$182*L$183*L$184*L$185*L$186*L$188&gt;0,AVERAGE(L$182:L$186,L$188),""),"")</f>
        <v/>
      </c>
      <c r="AC315" s="227" t="str">
        <f aca="false">IFERROR(IF(M$182*M$183*M$184*M$185*M$186*M$188&gt;0,STDEV(M$182:M$186,M$188),"")/IF(M$182*M$183*M$184*M$185*M$186*M$188&gt;0,AVERAGE(M$182:M$186,M$188),""),"")</f>
        <v/>
      </c>
      <c r="AD315" s="227" t="str">
        <f aca="false">IFERROR(IF(N$182*N$183*N$184*N$185*N$186*N$188&gt;0,STDEV(N$182:N$186,N$188),"")/IF(N$182*N$183*N$184*N$185*N$186*N$188&gt;0,AVERAGE(N$182:N$186,N$188),""),"")</f>
        <v/>
      </c>
      <c r="AE315" s="233"/>
      <c r="AF315" s="229" t="s">
        <v>607</v>
      </c>
      <c r="AG315" s="270" t="str">
        <f aca="false">IFERROR(IF(C$182*C$183*C$184*C$185*C$186*C$188&gt;0,STDEV(C$182:C$186,C$188)," ")/IF(C$182*C$183*C$184*C$185*C$186*C$188&gt;0,SQRT(COUNT(C$182:C$186,C$188))," "),"")</f>
        <v/>
      </c>
      <c r="AH315" s="270" t="str">
        <f aca="false">IFERROR(IF(D$182*D$183*D$184*D$185*D$186*D$188&gt;0,STDEV(D$182:D$186,D$188)," ")/IF(D$182*D$183*D$184*D$185*D$186*D$188&gt;0,SQRT(COUNT(D$182:D$186,D$188))," "),"")</f>
        <v/>
      </c>
      <c r="AI315" s="270" t="str">
        <f aca="false">IFERROR(IF(E$182*E$183*E$184*E$185*E$186*E$188&gt;0,STDEV(E$182:E$186,E$188)," ")/IF(E$182*E$183*E$184*E$185*E$186*E$188&gt;0,SQRT(COUNT(E$182:E$186,E$188))," "),"")</f>
        <v/>
      </c>
      <c r="AJ315" s="270" t="str">
        <f aca="false">IFERROR(IF(F$182*F$183*F$184*F$185*F$186*F$188&gt;0,STDEV(F$182:F$186,F$188)," ")/IF(F$182*F$183*F$184*F$185*F$186*F$188&gt;0,SQRT(COUNT(F$182:F$186,F$188))," "),"")</f>
        <v/>
      </c>
      <c r="AK315" s="270" t="str">
        <f aca="false">IFERROR(IF(G$182*G$183*G$184*G$185*G$186*G$188&gt;0,STDEV(G$182:G$186,G$188)," ")/IF(G$182*G$183*G$184*G$185*G$186*G$188&gt;0,SQRT(COUNT(G$182:G$186,G$188))," "),"")</f>
        <v/>
      </c>
      <c r="AL315" s="270" t="str">
        <f aca="false">IFERROR(IF(H$182*H$183*H$184*H$185*H$186*H$188&gt;0,STDEV(H$182:H$186,H$188)," ")/IF(H$182*H$183*H$184*H$185*H$186*H$188&gt;0,SQRT(COUNT(H$182:H$186,H$188))," "),"")</f>
        <v/>
      </c>
      <c r="AM315" s="270" t="str">
        <f aca="false">IFERROR(IF(I$182*I$183*I$184*I$185*I$186*I$188&gt;0,STDEV(I$182:I$186,I$188)," ")/IF(I$182*I$183*I$184*I$185*I$186*I$188&gt;0,SQRT(COUNT(I$182:I$186,I$188))," "),"")</f>
        <v/>
      </c>
      <c r="AN315" s="270" t="str">
        <f aca="false">IFERROR(IF(J$182*J$183*J$184*J$185*J$186*J$188&gt;0,STDEV(J$182:J$186,J$188)," ")/IF(J$182*J$183*J$184*J$185*J$186*J$188&gt;0,SQRT(COUNT(J$182:J$186,J$188))," "),"")</f>
        <v/>
      </c>
      <c r="AO315" s="270" t="str">
        <f aca="false">IFERROR(IF(K$182*K$183*K$184*K$185*K$186*K$188&gt;0,STDEV(K$182:K$186,K$188)," ")/IF(K$182*K$183*K$184*K$185*K$186*K$188&gt;0,SQRT(COUNT(K$182:K$186,K$188))," "),"")</f>
        <v/>
      </c>
      <c r="AP315" s="270" t="str">
        <f aca="false">IFERROR(IF(L$182*L$183*L$184*L$185*L$186*L$188&gt;0,STDEV(L$182:L$186,L$188)," ")/IF(L$182*L$183*L$184*L$185*L$186*L$188&gt;0,SQRT(COUNT(L$182:L$186,L$188))," "),"")</f>
        <v/>
      </c>
      <c r="AQ315" s="270" t="str">
        <f aca="false">IFERROR(IF(M$182*M$183*M$184*M$185*M$186*M$188&gt;0,STDEV(M$182:M$186,M$188)," ")/IF(M$182*M$183*M$184*M$185*M$186*M$188&gt;0,SQRT(COUNT(M$182:M$186,M$188))," "),"")</f>
        <v/>
      </c>
      <c r="AR315" s="270" t="str">
        <f aca="false">IFERROR(IF(N$182*N$183*N$184*N$185*N$186*N$188&gt;0,STDEV(N$182:N$186,N$188)," ")/IF(N$182*N$183*N$184*N$185*N$186*N$188&gt;0,SQRT(COUNT(N$182:N$186,N$188))," "),"")</f>
        <v/>
      </c>
    </row>
    <row r="316" customFormat="false" ht="15.75" hidden="false" customHeight="false" outlineLevel="0" collapsed="false">
      <c r="A316" s="220" t="s">
        <v>608</v>
      </c>
      <c r="B316" s="221"/>
      <c r="C316" s="261" t="str">
        <f aca="false">IFERROR(IF(C$182*C$183*C$184*C$185*C$187*C$188&gt;0,AVERAGE(C$182:C$185, C$188),""),"")</f>
        <v/>
      </c>
      <c r="D316" s="261" t="str">
        <f aca="false">IFERROR(IF(D$182*D$183*D$184*D$185*D$187*D$188&gt;0,AVERAGE(D$182:D$185, D$188),""),"")</f>
        <v/>
      </c>
      <c r="E316" s="261" t="str">
        <f aca="false">IFERROR(IF(E$182*E$183*E$184*E$185*E$187*E$188&gt;0,AVERAGE(E$182:E$185, E$188),""),"")</f>
        <v/>
      </c>
      <c r="F316" s="261" t="str">
        <f aca="false">IFERROR(IF(F$182*F$183*F$184*F$185*F$187*F$188&gt;0,AVERAGE(F$182:F$185, F$188),""),"")</f>
        <v/>
      </c>
      <c r="G316" s="261" t="str">
        <f aca="false">IFERROR(IF(G$182*G$183*G$184*G$185*G$187*G$188&gt;0,AVERAGE(G$182:G$185, G$188),""),"")</f>
        <v/>
      </c>
      <c r="H316" s="261" t="str">
        <f aca="false">IFERROR(IF(H$182*H$183*H$184*H$185*H$187*H$188&gt;0,AVERAGE(H$182:H$185, H$188),""),"")</f>
        <v/>
      </c>
      <c r="I316" s="261" t="str">
        <f aca="false">IFERROR(IF(I$182*I$183*I$184*I$185*I$187*I$188&gt;0,AVERAGE(I$182:I$185, I$188),""),"")</f>
        <v/>
      </c>
      <c r="J316" s="261" t="str">
        <f aca="false">IFERROR(IF(J$182*J$183*J$184*J$185*J$187*J$188&gt;0,AVERAGE(J$182:J$185, J$188),""),"")</f>
        <v/>
      </c>
      <c r="K316" s="261" t="str">
        <f aca="false">IFERROR(IF(K$182*K$183*K$184*K$185*K$187*K$188&gt;0,AVERAGE(K$182:K$185, K$188),""),"")</f>
        <v/>
      </c>
      <c r="L316" s="261" t="str">
        <f aca="false">IFERROR(IF(L$182*L$183*L$184*L$185*L$187*L$188&gt;0,AVERAGE(L$182:L$185, L$188),""),"")</f>
        <v/>
      </c>
      <c r="M316" s="261" t="str">
        <f aca="false">IFERROR(IF(M$182*M$183*M$184*M$185*M$187*M$188&gt;0,AVERAGE(M$182:M$185, M$188),""),"")</f>
        <v/>
      </c>
      <c r="N316" s="261" t="str">
        <f aca="false">IFERROR(IF(N$182*N$183*N$184*N$185*N$187*N$188&gt;0,AVERAGE(N$182:N$185, N$188),""),"")</f>
        <v/>
      </c>
      <c r="O316" s="224"/>
      <c r="P316" s="224"/>
      <c r="Q316" s="232"/>
      <c r="R316" s="226" t="s">
        <v>609</v>
      </c>
      <c r="S316" s="227" t="str">
        <f aca="false">IFERROR(IF(C$182*C$183*C$184*C$185*C$187*C$188&gt;0,STDEV(C$182:C$185, C$188),"")/IF(C$182*C$183*C$184*C$185*C$187*C$188&gt;0,AVERAGE(C$182:C$185, C$188),""),"")</f>
        <v/>
      </c>
      <c r="T316" s="227" t="str">
        <f aca="false">IFERROR(IF(D$182*D$183*D$184*D$185*D$187*D$188&gt;0,STDEV(D$182:D$185, D$188),"")/IF(D$182*D$183*D$184*D$185*D$187*D$188&gt;0,AVERAGE(D$182:D$185, D$188),""),"")</f>
        <v/>
      </c>
      <c r="U316" s="227" t="str">
        <f aca="false">IFERROR(IF(E$182*E$183*E$184*E$185*E$187*E$188&gt;0,STDEV(E$182:E$185, E$188),"")/IF(E$182*E$183*E$184*E$185*E$187*E$188&gt;0,AVERAGE(E$182:E$185, E$188),""),"")</f>
        <v/>
      </c>
      <c r="V316" s="227" t="str">
        <f aca="false">IFERROR(IF(F$182*F$183*F$184*F$185*F$187*F$188&gt;0,STDEV(F$182:F$185, F$188),"")/IF(F$182*F$183*F$184*F$185*F$187*F$188&gt;0,AVERAGE(F$182:F$185, F$188),""),"")</f>
        <v/>
      </c>
      <c r="W316" s="227" t="str">
        <f aca="false">IFERROR(IF(G$182*G$183*G$184*G$185*G$187*G$188&gt;0,STDEV(G$182:G$185, G$188),"")/IF(G$182*G$183*G$184*G$185*G$187*G$188&gt;0,AVERAGE(G$182:G$185, G$188),""),"")</f>
        <v/>
      </c>
      <c r="X316" s="227" t="str">
        <f aca="false">IFERROR(IF(H$182*H$183*H$184*H$185*H$187*H$188&gt;0,STDEV(H$182:H$185, H$188),"")/IF(H$182*H$183*H$184*H$185*H$187*H$188&gt;0,AVERAGE(H$182:H$185, H$188),""),"")</f>
        <v/>
      </c>
      <c r="Y316" s="227" t="str">
        <f aca="false">IFERROR(IF(I$182*I$183*I$184*I$185*I$187*I$188&gt;0,STDEV(I$182:I$185, I$188),"")/IF(I$182*I$183*I$184*I$185*I$187*I$188&gt;0,AVERAGE(I$182:I$185, I$188),""),"")</f>
        <v/>
      </c>
      <c r="Z316" s="227" t="str">
        <f aca="false">IFERROR(IF(J$182*J$183*J$184*J$185*J$187*J$188&gt;0,STDEV(J$182:J$185, J$188),"")/IF(J$182*J$183*J$184*J$185*J$187*J$188&gt;0,AVERAGE(J$182:J$185, J$188),""),"")</f>
        <v/>
      </c>
      <c r="AA316" s="227" t="str">
        <f aca="false">IFERROR(IF(K$182*K$183*K$184*K$185*K$187*K$188&gt;0,STDEV(K$182:K$185, K$188),"")/IF(K$182*K$183*K$184*K$185*K$187*K$188&gt;0,AVERAGE(K$182:K$185, K$188),""),"")</f>
        <v/>
      </c>
      <c r="AB316" s="227" t="str">
        <f aca="false">IFERROR(IF(L$182*L$183*L$184*L$185*L$187*L$188&gt;0,STDEV(L$182:L$185, L$188),"")/IF(L$182*L$183*L$184*L$185*L$187*L$188&gt;0,AVERAGE(L$182:L$185, L$188),""),"")</f>
        <v/>
      </c>
      <c r="AC316" s="227" t="str">
        <f aca="false">IFERROR(IF(M$182*M$183*M$184*M$185*M$187*M$188&gt;0,STDEV(M$182:M$185, M$188),"")/IF(M$182*M$183*M$184*M$185*M$187*M$188&gt;0,AVERAGE(M$182:M$185, M$188),""),"")</f>
        <v/>
      </c>
      <c r="AD316" s="227" t="str">
        <f aca="false">IFERROR(IF(N$182*N$183*N$184*N$185*N$187*N$188&gt;0,STDEV(N$182:N$185, N$188),"")/IF(N$182*N$183*N$184*N$185*N$187*N$188&gt;0,AVERAGE(N$182:N$185, N$188),""),"")</f>
        <v/>
      </c>
      <c r="AE316" s="233"/>
      <c r="AF316" s="229" t="s">
        <v>610</v>
      </c>
      <c r="AG316" s="270" t="str">
        <f aca="false">IFERROR(IF(C$182*C$183*C$184*C$185*C$187*C$188&gt;0,STDEV(C$182:C$185, C$188)," ")/IF(C$182*C$183*C$184*C$185*C$187*C$188&gt;0,SQRT(COUNT(C$182:C$185, C$188))," "),"")</f>
        <v/>
      </c>
      <c r="AH316" s="270" t="str">
        <f aca="false">IFERROR(IF(D$182*D$183*D$184*D$185*D$187*D$188&gt;0,STDEV(D$182:D$185, D$188)," ")/IF(D$182*D$183*D$184*D$185*D$187*D$188&gt;0,SQRT(COUNT(D$182:D$185, D$188))," "),"")</f>
        <v/>
      </c>
      <c r="AI316" s="270" t="str">
        <f aca="false">IFERROR(IF(E$182*E$183*E$184*E$185*E$187*E$188&gt;0,STDEV(E$182:E$185, E$188)," ")/IF(E$182*E$183*E$184*E$185*E$187*E$188&gt;0,SQRT(COUNT(E$182:E$185, E$188))," "),"")</f>
        <v/>
      </c>
      <c r="AJ316" s="270" t="str">
        <f aca="false">IFERROR(IF(F$182*F$183*F$184*F$185*F$187*F$188&gt;0,STDEV(F$182:F$185, F$188)," ")/IF(F$182*F$183*F$184*F$185*F$187*F$188&gt;0,SQRT(COUNT(F$182:F$185, F$188))," "),"")</f>
        <v/>
      </c>
      <c r="AK316" s="270" t="str">
        <f aca="false">IFERROR(IF(G$182*G$183*G$184*G$185*G$187*G$188&gt;0,STDEV(G$182:G$185, G$188)," ")/IF(G$182*G$183*G$184*G$185*G$187*G$188&gt;0,SQRT(COUNT(G$182:G$185, G$188))," "),"")</f>
        <v/>
      </c>
      <c r="AL316" s="270" t="str">
        <f aca="false">IFERROR(IF(H$182*H$183*H$184*H$185*H$187*H$188&gt;0,STDEV(H$182:H$185, H$188)," ")/IF(H$182*H$183*H$184*H$185*H$187*H$188&gt;0,SQRT(COUNT(H$182:H$185, H$188))," "),"")</f>
        <v/>
      </c>
      <c r="AM316" s="270" t="str">
        <f aca="false">IFERROR(IF(I$182*I$183*I$184*I$185*I$187*I$188&gt;0,STDEV(I$182:I$185, I$188)," ")/IF(I$182*I$183*I$184*I$185*I$187*I$188&gt;0,SQRT(COUNT(I$182:I$185, I$188))," "),"")</f>
        <v/>
      </c>
      <c r="AN316" s="270" t="str">
        <f aca="false">IFERROR(IF(J$182*J$183*J$184*J$185*J$187*J$188&gt;0,STDEV(J$182:J$185, J$188)," ")/IF(J$182*J$183*J$184*J$185*J$187*J$188&gt;0,SQRT(COUNT(J$182:J$185, J$188))," "),"")</f>
        <v/>
      </c>
      <c r="AO316" s="270" t="str">
        <f aca="false">IFERROR(IF(K$182*K$183*K$184*K$185*K$187*K$188&gt;0,STDEV(K$182:K$185, K$188)," ")/IF(K$182*K$183*K$184*K$185*K$187*K$188&gt;0,SQRT(COUNT(K$182:K$185, K$188))," "),"")</f>
        <v/>
      </c>
      <c r="AP316" s="270" t="str">
        <f aca="false">IFERROR(IF(L$182*L$183*L$184*L$185*L$187*L$188&gt;0,STDEV(L$182:L$185, L$188)," ")/IF(L$182*L$183*L$184*L$185*L$187*L$188&gt;0,SQRT(COUNT(L$182:L$185, L$188))," "),"")</f>
        <v/>
      </c>
      <c r="AQ316" s="270" t="str">
        <f aca="false">IFERROR(IF(M$182*M$183*M$184*M$185*M$187*M$188&gt;0,STDEV(M$182:M$185, M$188)," ")/IF(M$182*M$183*M$184*M$185*M$187*M$188&gt;0,SQRT(COUNT(M$182:M$185, M$188))," "),"")</f>
        <v/>
      </c>
      <c r="AR316" s="270" t="str">
        <f aca="false">IFERROR(IF(N$182*N$183*N$184*N$185*N$187*N$188&gt;0,STDEV(N$182:N$185, N$188)," ")/IF(N$182*N$183*N$184*N$185*N$187*N$188&gt;0,SQRT(COUNT(N$182:N$185, N$188))," "),"")</f>
        <v/>
      </c>
    </row>
    <row r="317" customFormat="false" ht="15.75" hidden="false" customHeight="false" outlineLevel="0" collapsed="false">
      <c r="A317" s="220" t="s">
        <v>611</v>
      </c>
      <c r="B317" s="221"/>
      <c r="C317" s="261" t="str">
        <f aca="false">IFERROR(IF(C$182*C$183*C$184*C$186*C$187*C$188&gt;0,AVERAGE(C$182:C$184,C$186:C$188),""),"")</f>
        <v/>
      </c>
      <c r="D317" s="261" t="str">
        <f aca="false">IFERROR(IF(D$182*D$183*D$184*D$186*D$187*D$188&gt;0,AVERAGE(D$182:D$184,D$186:D$188),""),"")</f>
        <v/>
      </c>
      <c r="E317" s="261" t="str">
        <f aca="false">IFERROR(IF(E$182*E$183*E$184*E$186*E$187*E$188&gt;0,AVERAGE(E$182:E$184,E$186:E$188),""),"")</f>
        <v/>
      </c>
      <c r="F317" s="261" t="str">
        <f aca="false">IFERROR(IF(F$182*F$183*F$184*F$186*F$187*F$188&gt;0,AVERAGE(F$182:F$184,F$186:F$188),""),"")</f>
        <v/>
      </c>
      <c r="G317" s="261" t="str">
        <f aca="false">IFERROR(IF(G$182*G$183*G$184*G$186*G$187*G$188&gt;0,AVERAGE(G$182:G$184,G$186:G$188),""),"")</f>
        <v/>
      </c>
      <c r="H317" s="261" t="str">
        <f aca="false">IFERROR(IF(H$182*H$183*H$184*H$186*H$187*H$188&gt;0,AVERAGE(H$182:H$184,H$186:H$188),""),"")</f>
        <v/>
      </c>
      <c r="I317" s="261" t="str">
        <f aca="false">IFERROR(IF(I$182*I$183*I$184*I$186*I$187*I$188&gt;0,AVERAGE(I$182:I$184,I$186:I$188),""),"")</f>
        <v/>
      </c>
      <c r="J317" s="261" t="str">
        <f aca="false">IFERROR(IF(J$182*J$183*J$184*J$186*J$187*J$188&gt;0,AVERAGE(J$182:J$184,J$186:J$188),""),"")</f>
        <v/>
      </c>
      <c r="K317" s="261" t="str">
        <f aca="false">IFERROR(IF(K$182*K$183*K$184*K$186*K$187*K$188&gt;0,AVERAGE(K$182:K$184,K$186:K$188),""),"")</f>
        <v/>
      </c>
      <c r="L317" s="261" t="str">
        <f aca="false">IFERROR(IF(L$182*L$183*L$184*L$186*L$187*L$188&gt;0,AVERAGE(L$182:L$184,L$186:L$188),""),"")</f>
        <v/>
      </c>
      <c r="M317" s="261" t="str">
        <f aca="false">IFERROR(IF(M$182*M$183*M$184*M$186*M$187*M$188&gt;0,AVERAGE(M$182:M$184,M$186:M$188),""),"")</f>
        <v/>
      </c>
      <c r="N317" s="261" t="str">
        <f aca="false">IFERROR(IF(N$182*N$183*N$184*N$186*N$187*N$188&gt;0,AVERAGE(N$182:N$184,N$186:N$188),""),"")</f>
        <v/>
      </c>
      <c r="O317" s="224"/>
      <c r="P317" s="224"/>
      <c r="Q317" s="232"/>
      <c r="R317" s="226" t="s">
        <v>612</v>
      </c>
      <c r="S317" s="227" t="str">
        <f aca="false">IFERROR(IF(C$182*C$183*C$184*C$186*C$187*C$188&gt;0,STDEV(C$182:C$184,C$186:C$188),"")/IF(C$182*C$183*C$184*C$186*C$187*C$188&gt;0,AVERAGE(C$182:C$184,C$186:C$188),""),"")</f>
        <v/>
      </c>
      <c r="T317" s="227" t="str">
        <f aca="false">IFERROR(IF(D$182*D$183*D$184*D$186*D$187*D$188&gt;0,STDEV(D$182:D$184,D$186:D$188),"")/IF(D$182*D$183*D$184*D$186*D$187*D$188&gt;0,AVERAGE(D$182:D$184,D$186:D$188),""),"")</f>
        <v/>
      </c>
      <c r="U317" s="227" t="str">
        <f aca="false">IFERROR(IF(E$182*E$183*E$184*E$186*E$187*E$188&gt;0,STDEV(E$182:E$184,E$186:E$188),"")/IF(E$182*E$183*E$184*E$186*E$187*E$188&gt;0,AVERAGE(E$182:E$184,E$186:E$188),""),"")</f>
        <v/>
      </c>
      <c r="V317" s="227" t="str">
        <f aca="false">IFERROR(IF(F$182*F$183*F$184*F$186*F$187*F$188&gt;0,STDEV(F$182:F$184,F$186:F$188),"")/IF(F$182*F$183*F$184*F$186*F$187*F$188&gt;0,AVERAGE(F$182:F$184,F$186:F$188),""),"")</f>
        <v/>
      </c>
      <c r="W317" s="227" t="str">
        <f aca="false">IFERROR(IF(G$182*G$183*G$184*G$186*G$187*G$188&gt;0,STDEV(G$182:G$184,G$186:G$188),"")/IF(G$182*G$183*G$184*G$186*G$187*G$188&gt;0,AVERAGE(G$182:G$184,G$186:G$188),""),"")</f>
        <v/>
      </c>
      <c r="X317" s="227" t="str">
        <f aca="false">IFERROR(IF(H$182*H$183*H$184*H$186*H$187*H$188&gt;0,STDEV(H$182:H$184,H$186:H$188),"")/IF(H$182*H$183*H$184*H$186*H$187*H$188&gt;0,AVERAGE(H$182:H$184,H$186:H$188),""),"")</f>
        <v/>
      </c>
      <c r="Y317" s="227" t="str">
        <f aca="false">IFERROR(IF(I$182*I$183*I$184*I$186*I$187*I$188&gt;0,STDEV(I$182:I$184,I$186:I$188),"")/IF(I$182*I$183*I$184*I$186*I$187*I$188&gt;0,AVERAGE(I$182:I$184,I$186:I$188),""),"")</f>
        <v/>
      </c>
      <c r="Z317" s="227" t="str">
        <f aca="false">IFERROR(IF(J$182*J$183*J$184*J$186*J$187*J$188&gt;0,STDEV(J$182:J$184,J$186:J$188),"")/IF(J$182*J$183*J$184*J$186*J$187*J$188&gt;0,AVERAGE(J$182:J$184,J$186:J$188),""),"")</f>
        <v/>
      </c>
      <c r="AA317" s="227" t="str">
        <f aca="false">IFERROR(IF(K$182*K$183*K$184*K$186*K$187*K$188&gt;0,STDEV(K$182:K$184,K$186:K$188),"")/IF(K$182*K$183*K$184*K$186*K$187*K$188&gt;0,AVERAGE(K$182:K$184,K$186:K$188),""),"")</f>
        <v/>
      </c>
      <c r="AB317" s="227" t="str">
        <f aca="false">IFERROR(IF(L$182*L$183*L$184*L$186*L$187*L$188&gt;0,STDEV(L$182:L$184,L$186:L$188),"")/IF(L$182*L$183*L$184*L$186*L$187*L$188&gt;0,AVERAGE(L$182:L$184,L$186:L$188),""),"")</f>
        <v/>
      </c>
      <c r="AC317" s="227" t="str">
        <f aca="false">IFERROR(IF(M$182*M$183*M$184*M$186*M$187*M$188&gt;0,STDEV(M$182:M$184,M$186:M$188),"")/IF(M$182*M$183*M$184*M$186*M$187*M$188&gt;0,AVERAGE(M$182:M$184,M$186:M$188),""),"")</f>
        <v/>
      </c>
      <c r="AD317" s="227" t="str">
        <f aca="false">IFERROR(IF(N$182*N$183*N$184*N$186*N$187*N$188&gt;0,STDEV(N$182:N$184,N$186:N$188),"")/IF(N$182*N$183*N$184*N$186*N$187*N$188&gt;0,AVERAGE(N$182:N$184,N$186:N$188),""),"")</f>
        <v/>
      </c>
      <c r="AE317" s="233"/>
      <c r="AF317" s="229" t="s">
        <v>613</v>
      </c>
      <c r="AG317" s="270" t="str">
        <f aca="false">IFERROR(IF(C$182*C$183*C$184*C$186*C$187*C$188&gt;0,STDEV(C$182:C$184,C$186:C$188)," ")/IF(C$182*C$183*C$184*C$186*C$187*C$188&gt;0,SQRT(COUNT(C$182:C$184,C$186:C$188))," "),"")</f>
        <v/>
      </c>
      <c r="AH317" s="270" t="str">
        <f aca="false">IFERROR(IF(D$182*D$183*D$184*D$186*D$187*D$188&gt;0,STDEV(D$182:D$184,D$186:D$188)," ")/IF(D$182*D$183*D$184*D$186*D$187*D$188&gt;0,SQRT(COUNT(D$182:D$184,D$186:D$188))," "),"")</f>
        <v/>
      </c>
      <c r="AI317" s="270" t="str">
        <f aca="false">IFERROR(IF(E$182*E$183*E$184*E$186*E$187*E$188&gt;0,STDEV(E$182:E$184,E$186:E$188)," ")/IF(E$182*E$183*E$184*E$186*E$187*E$188&gt;0,SQRT(COUNT(E$182:E$184,E$186:E$188))," "),"")</f>
        <v/>
      </c>
      <c r="AJ317" s="270" t="str">
        <f aca="false">IFERROR(IF(F$182*F$183*F$184*F$186*F$187*F$188&gt;0,STDEV(F$182:F$184,F$186:F$188)," ")/IF(F$182*F$183*F$184*F$186*F$187*F$188&gt;0,SQRT(COUNT(F$182:F$184,F$186:F$188))," "),"")</f>
        <v/>
      </c>
      <c r="AK317" s="270" t="str">
        <f aca="false">IFERROR(IF(G$182*G$183*G$184*G$186*G$187*G$188&gt;0,STDEV(G$182:G$184,G$186:G$188)," ")/IF(G$182*G$183*G$184*G$186*G$187*G$188&gt;0,SQRT(COUNT(G$182:G$184,G$186:G$188))," "),"")</f>
        <v/>
      </c>
      <c r="AL317" s="270" t="str">
        <f aca="false">IFERROR(IF(H$182*H$183*H$184*H$186*H$187*H$188&gt;0,STDEV(H$182:H$184,H$186:H$188)," ")/IF(H$182*H$183*H$184*H$186*H$187*H$188&gt;0,SQRT(COUNT(H$182:H$184,H$186:H$188))," "),"")</f>
        <v/>
      </c>
      <c r="AM317" s="270" t="str">
        <f aca="false">IFERROR(IF(I$182*I$183*I$184*I$186*I$187*I$188&gt;0,STDEV(I$182:I$184,I$186:I$188)," ")/IF(I$182*I$183*I$184*I$186*I$187*I$188&gt;0,SQRT(COUNT(I$182:I$184,I$186:I$188))," "),"")</f>
        <v/>
      </c>
      <c r="AN317" s="270" t="str">
        <f aca="false">IFERROR(IF(J$182*J$183*J$184*J$186*J$187*J$188&gt;0,STDEV(J$182:J$184,J$186:J$188)," ")/IF(J$182*J$183*J$184*J$186*J$187*J$188&gt;0,SQRT(COUNT(J$182:J$184,J$186:J$188))," "),"")</f>
        <v/>
      </c>
      <c r="AO317" s="270" t="str">
        <f aca="false">IFERROR(IF(K$182*K$183*K$184*K$186*K$187*K$188&gt;0,STDEV(K$182:K$184,K$186:K$188)," ")/IF(K$182*K$183*K$184*K$186*K$187*K$188&gt;0,SQRT(COUNT(K$182:K$184,K$186:K$188))," "),"")</f>
        <v/>
      </c>
      <c r="AP317" s="270" t="str">
        <f aca="false">IFERROR(IF(L$182*L$183*L$184*L$186*L$187*L$188&gt;0,STDEV(L$182:L$184,L$186:L$188)," ")/IF(L$182*L$183*L$184*L$186*L$187*L$188&gt;0,SQRT(COUNT(L$182:L$184,L$186:L$188))," "),"")</f>
        <v/>
      </c>
      <c r="AQ317" s="270" t="str">
        <f aca="false">IFERROR(IF(M$182*M$183*M$184*M$186*M$187*M$188&gt;0,STDEV(M$182:M$184,M$186:M$188)," ")/IF(M$182*M$183*M$184*M$186*M$187*M$188&gt;0,SQRT(COUNT(M$182:M$184,M$186:M$188))," "),"")</f>
        <v/>
      </c>
      <c r="AR317" s="270" t="str">
        <f aca="false">IFERROR(IF(N$182*N$183*N$184*N$186*N$187*N$188&gt;0,STDEV(N$182:N$184,N$186:N$188)," ")/IF(N$182*N$183*N$184*N$186*N$187*N$188&gt;0,SQRT(COUNT(N$182:N$184,N$186:N$188))," "),"")</f>
        <v/>
      </c>
    </row>
    <row r="318" customFormat="false" ht="15.75" hidden="false" customHeight="false" outlineLevel="0" collapsed="false">
      <c r="A318" s="220" t="s">
        <v>614</v>
      </c>
      <c r="B318" s="221"/>
      <c r="C318" s="261" t="str">
        <f aca="false">IFERROR(IF(C$182*C$183*C$185*C$186*C$187*C$188&gt;0,AVERAGE(C$182:C$183, C$185:C$188),""),"")</f>
        <v/>
      </c>
      <c r="D318" s="261" t="str">
        <f aca="false">IFERROR(IF(D$182*D$183*D$185*D$186*D$187*D$188&gt;0,AVERAGE(D$182:D$183, D$185:D$188),""),"")</f>
        <v/>
      </c>
      <c r="E318" s="261" t="str">
        <f aca="false">IFERROR(IF(E$182*E$183*E$185*E$186*E$187*E$188&gt;0,AVERAGE(E$182:E$183, E$185:E$188),""),"")</f>
        <v/>
      </c>
      <c r="F318" s="261" t="str">
        <f aca="false">IFERROR(IF(F$182*F$183*F$185*F$186*F$187*F$188&gt;0,AVERAGE(F$182:F$183, F$185:F$188),""),"")</f>
        <v/>
      </c>
      <c r="G318" s="261" t="str">
        <f aca="false">IFERROR(IF(G$182*G$183*G$185*G$186*G$187*G$188&gt;0,AVERAGE(G$182:G$183, G$185:G$188),""),"")</f>
        <v/>
      </c>
      <c r="H318" s="261" t="str">
        <f aca="false">IFERROR(IF(H$182*H$183*H$185*H$186*H$187*H$188&gt;0,AVERAGE(H$182:H$183, H$185:H$188),""),"")</f>
        <v/>
      </c>
      <c r="I318" s="261" t="str">
        <f aca="false">IFERROR(IF(I$182*I$183*I$185*I$186*I$187*I$188&gt;0,AVERAGE(I$182:I$183, I$185:I$188),""),"")</f>
        <v/>
      </c>
      <c r="J318" s="261" t="str">
        <f aca="false">IFERROR(IF(J$182*J$183*J$185*J$186*J$187*J$188&gt;0,AVERAGE(J$182:J$183, J$185:J$188),""),"")</f>
        <v/>
      </c>
      <c r="K318" s="261" t="str">
        <f aca="false">IFERROR(IF(K$182*K$183*K$185*K$186*K$187*K$188&gt;0,AVERAGE(K$182:K$183, K$185:K$188),""),"")</f>
        <v/>
      </c>
      <c r="L318" s="261" t="str">
        <f aca="false">IFERROR(IF(L$182*L$183*L$185*L$186*L$187*L$188&gt;0,AVERAGE(L$182:L$183, L$185:L$188),""),"")</f>
        <v/>
      </c>
      <c r="M318" s="261" t="str">
        <f aca="false">IFERROR(IF(M$182*M$183*M$185*M$186*M$187*M$188&gt;0,AVERAGE(M$182:M$183, M$185:M$188),""),"")</f>
        <v/>
      </c>
      <c r="N318" s="261" t="str">
        <f aca="false">IFERROR(IF(N$182*N$183*N$185*N$186*N$187*N$188&gt;0,AVERAGE(N$182:N$183, N$185:N$188),""),"")</f>
        <v/>
      </c>
      <c r="O318" s="224"/>
      <c r="P318" s="224"/>
      <c r="Q318" s="232"/>
      <c r="R318" s="226" t="s">
        <v>615</v>
      </c>
      <c r="S318" s="227" t="str">
        <f aca="false">IFERROR(IF(C$182*C$183*C$185*C$186*C$187*C$188&gt;0,STDEV(C$182:C$183, C$185:C$188),"")/IF(C$182*C$183*C$185*C$186*C$187*C$188&gt;0,AVERAGE(C$182:C$183, C$185:C$188),""),"")</f>
        <v/>
      </c>
      <c r="T318" s="227" t="str">
        <f aca="false">IFERROR(IF(D$182*D$183*D$185*D$186*D$187*D$188&gt;0,STDEV(D$182:D$183, D$185:D$188),"")/IF(D$182*D$183*D$185*D$186*D$187*D$188&gt;0,AVERAGE(D$182:D$183, D$185:D$188),""),"")</f>
        <v/>
      </c>
      <c r="U318" s="227" t="str">
        <f aca="false">IFERROR(IF(E$182*E$183*E$185*E$186*E$187*E$188&gt;0,STDEV(E$182:E$183, E$185:E$188),"")/IF(E$182*E$183*E$185*E$186*E$187*E$188&gt;0,AVERAGE(E$182:E$183, E$185:E$188),""),"")</f>
        <v/>
      </c>
      <c r="V318" s="227" t="str">
        <f aca="false">IFERROR(IF(F$182*F$183*F$185*F$186*F$187*F$188&gt;0,STDEV(F$182:F$183, F$185:F$188),"")/IF(F$182*F$183*F$185*F$186*F$187*F$188&gt;0,AVERAGE(F$182:F$183, F$185:F$188),""),"")</f>
        <v/>
      </c>
      <c r="W318" s="227" t="str">
        <f aca="false">IFERROR(IF(G$182*G$183*G$185*G$186*G$187*G$188&gt;0,STDEV(G$182:G$183, G$185:G$188),"")/IF(G$182*G$183*G$185*G$186*G$187*G$188&gt;0,AVERAGE(G$182:G$183, G$185:G$188),""),"")</f>
        <v/>
      </c>
      <c r="X318" s="227" t="str">
        <f aca="false">IFERROR(IF(H$182*H$183*H$185*H$186*H$187*H$188&gt;0,STDEV(H$182:H$183, H$185:H$188),"")/IF(H$182*H$183*H$185*H$186*H$187*H$188&gt;0,AVERAGE(H$182:H$183, H$185:H$188),""),"")</f>
        <v/>
      </c>
      <c r="Y318" s="227" t="str">
        <f aca="false">IFERROR(IF(I$182*I$183*I$185*I$186*I$187*I$188&gt;0,STDEV(I$182:I$183, I$185:I$188),"")/IF(I$182*I$183*I$185*I$186*I$187*I$188&gt;0,AVERAGE(I$182:I$183, I$185:I$188),""),"")</f>
        <v/>
      </c>
      <c r="Z318" s="227" t="str">
        <f aca="false">IFERROR(IF(J$182*J$183*J$185*J$186*J$187*J$188&gt;0,STDEV(J$182:J$183, J$185:J$188),"")/IF(J$182*J$183*J$185*J$186*J$187*J$188&gt;0,AVERAGE(J$182:J$183, J$185:J$188),""),"")</f>
        <v/>
      </c>
      <c r="AA318" s="227" t="str">
        <f aca="false">IFERROR(IF(K$182*K$183*K$185*K$186*K$187*K$188&gt;0,STDEV(K$182:K$183, K$185:K$188),"")/IF(K$182*K$183*K$185*K$186*K$187*K$188&gt;0,AVERAGE(K$182:K$183, K$185:K$188),""),"")</f>
        <v/>
      </c>
      <c r="AB318" s="227" t="str">
        <f aca="false">IFERROR(IF(L$182*L$183*L$185*L$186*L$187*L$188&gt;0,STDEV(L$182:L$183, L$185:L$188),"")/IF(L$182*L$183*L$185*L$186*L$187*L$188&gt;0,AVERAGE(L$182:L$183, L$185:L$188),""),"")</f>
        <v/>
      </c>
      <c r="AC318" s="227" t="str">
        <f aca="false">IFERROR(IF(M$182*M$183*M$185*M$186*M$187*M$188&gt;0,STDEV(M$182:M$183, M$185:M$188),"")/IF(M$182*M$183*M$185*M$186*M$187*M$188&gt;0,AVERAGE(M$182:M$183, M$185:M$188),""),"")</f>
        <v/>
      </c>
      <c r="AD318" s="227" t="str">
        <f aca="false">IFERROR(IF(N$182*N$183*N$185*N$186*N$187*N$188&gt;0,STDEV(N$182:N$183, N$185:N$188),"")/IF(N$182*N$183*N$185*N$186*N$187*N$188&gt;0,AVERAGE(N$182:N$183, N$185:N$188),""),"")</f>
        <v/>
      </c>
      <c r="AE318" s="233"/>
      <c r="AF318" s="229" t="s">
        <v>616</v>
      </c>
      <c r="AG318" s="270" t="str">
        <f aca="false">IFERROR(IF(C$182*C$183*C$185*C$186*C$187*C$188&gt;0,STDEV(C$182:C$183, C$185:C$188)," ")/IF(C$182*C$183*C$185*C$186*C$187*C$188&gt;0,SQRT(COUNT(C$182:C$183, C$185:C$188))," "),"")</f>
        <v/>
      </c>
      <c r="AH318" s="270" t="str">
        <f aca="false">IFERROR(IF(D$182*D$183*D$185*D$186*D$187*D$188&gt;0,STDEV(D$182:D$183, D$185:D$188)," ")/IF(D$182*D$183*D$185*D$186*D$187*D$188&gt;0,SQRT(COUNT(D$182:D$183, D$185:D$188))," "),"")</f>
        <v/>
      </c>
      <c r="AI318" s="270" t="str">
        <f aca="false">IFERROR(IF(E$182*E$183*E$185*E$186*E$187*E$188&gt;0,STDEV(E$182:E$183, E$185:E$188)," ")/IF(E$182*E$183*E$185*E$186*E$187*E$188&gt;0,SQRT(COUNT(E$182:E$183, E$185:E$188))," "),"")</f>
        <v/>
      </c>
      <c r="AJ318" s="270" t="str">
        <f aca="false">IFERROR(IF(F$182*F$183*F$185*F$186*F$187*F$188&gt;0,STDEV(F$182:F$183, F$185:F$188)," ")/IF(F$182*F$183*F$185*F$186*F$187*F$188&gt;0,SQRT(COUNT(F$182:F$183, F$185:F$188))," "),"")</f>
        <v/>
      </c>
      <c r="AK318" s="270" t="str">
        <f aca="false">IFERROR(IF(G$182*G$183*G$185*G$186*G$187*G$188&gt;0,STDEV(G$182:G$183, G$185:G$188)," ")/IF(G$182*G$183*G$185*G$186*G$187*G$188&gt;0,SQRT(COUNT(G$182:G$183, G$185:G$188))," "),"")</f>
        <v/>
      </c>
      <c r="AL318" s="270" t="str">
        <f aca="false">IFERROR(IF(H$182*H$183*H$185*H$186*H$187*H$188&gt;0,STDEV(H$182:H$183, H$185:H$188)," ")/IF(H$182*H$183*H$185*H$186*H$187*H$188&gt;0,SQRT(COUNT(H$182:H$183, H$185:H$188))," "),"")</f>
        <v/>
      </c>
      <c r="AM318" s="270" t="str">
        <f aca="false">IFERROR(IF(I$182*I$183*I$185*I$186*I$187*I$188&gt;0,STDEV(I$182:I$183, I$185:I$188)," ")/IF(I$182*I$183*I$185*I$186*I$187*I$188&gt;0,SQRT(COUNT(I$182:I$183, I$185:I$188))," "),"")</f>
        <v/>
      </c>
      <c r="AN318" s="270" t="str">
        <f aca="false">IFERROR(IF(J$182*J$183*J$185*J$186*J$187*J$188&gt;0,STDEV(J$182:J$183, J$185:J$188)," ")/IF(J$182*J$183*J$185*J$186*J$187*J$188&gt;0,SQRT(COUNT(J$182:J$183, J$185:J$188))," "),"")</f>
        <v/>
      </c>
      <c r="AO318" s="270" t="str">
        <f aca="false">IFERROR(IF(K$182*K$183*K$185*K$186*K$187*K$188&gt;0,STDEV(K$182:K$183, K$185:K$188)," ")/IF(K$182*K$183*K$185*K$186*K$187*K$188&gt;0,SQRT(COUNT(K$182:K$183, K$185:K$188))," "),"")</f>
        <v/>
      </c>
      <c r="AP318" s="270" t="str">
        <f aca="false">IFERROR(IF(L$182*L$183*L$185*L$186*L$187*L$188&gt;0,STDEV(L$182:L$183, L$185:L$188)," ")/IF(L$182*L$183*L$185*L$186*L$187*L$188&gt;0,SQRT(COUNT(L$182:L$183, L$185:L$188))," "),"")</f>
        <v/>
      </c>
      <c r="AQ318" s="270" t="str">
        <f aca="false">IFERROR(IF(M$182*M$183*M$185*M$186*M$187*M$188&gt;0,STDEV(M$182:M$183, M$185:M$188)," ")/IF(M$182*M$183*M$185*M$186*M$187*M$188&gt;0,SQRT(COUNT(M$182:M$183, M$185:M$188))," "),"")</f>
        <v/>
      </c>
      <c r="AR318" s="270" t="str">
        <f aca="false">IFERROR(IF(N$182*N$183*N$185*N$186*N$187*N$188&gt;0,STDEV(N$182:N$183, N$185:N$188)," ")/IF(N$182*N$183*N$185*N$186*N$187*N$188&gt;0,SQRT(COUNT(N$182:N$183, N$185:N$188))," "),"")</f>
        <v/>
      </c>
    </row>
    <row r="319" customFormat="false" ht="15.75" hidden="false" customHeight="false" outlineLevel="0" collapsed="false">
      <c r="A319" s="220" t="s">
        <v>617</v>
      </c>
      <c r="B319" s="221"/>
      <c r="C319" s="261" t="str">
        <f aca="false">IFERROR(IF(C$182*C$184*C$185*C$186*C$187*C$188&gt;0,AVERAGE(C$182, C$184:C$188),""),"")</f>
        <v/>
      </c>
      <c r="D319" s="261" t="str">
        <f aca="false">IFERROR(IF(D$182*D$184*D$185*D$186*D$187*D$188&gt;0,AVERAGE(D$182, D$184:D$188),""),"")</f>
        <v/>
      </c>
      <c r="E319" s="261" t="str">
        <f aca="false">IFERROR(IF(E$182*E$184*E$185*E$186*E$187*E$188&gt;0,AVERAGE(E$182, E$184:E$188),""),"")</f>
        <v/>
      </c>
      <c r="F319" s="261" t="str">
        <f aca="false">IFERROR(IF(F$182*F$184*F$185*F$186*F$187*F$188&gt;0,AVERAGE(F$182, F$184:F$188),""),"")</f>
        <v/>
      </c>
      <c r="G319" s="261" t="str">
        <f aca="false">IFERROR(IF(G$182*G$184*G$185*G$186*G$187*G$188&gt;0,AVERAGE(G$182, G$184:G$188),""),"")</f>
        <v/>
      </c>
      <c r="H319" s="261" t="str">
        <f aca="false">IFERROR(IF(H$182*H$184*H$185*H$186*H$187*H$188&gt;0,AVERAGE(H$182, H$184:H$188),""),"")</f>
        <v/>
      </c>
      <c r="I319" s="261" t="str">
        <f aca="false">IFERROR(IF(I$182*I$184*I$185*I$186*I$187*I$188&gt;0,AVERAGE(I$182, I$184:I$188),""),"")</f>
        <v/>
      </c>
      <c r="J319" s="261" t="str">
        <f aca="false">IFERROR(IF(J$182*J$184*J$185*J$186*J$187*J$188&gt;0,AVERAGE(J$182, J$184:J$188),""),"")</f>
        <v/>
      </c>
      <c r="K319" s="261" t="str">
        <f aca="false">IFERROR(IF(K$182*K$184*K$185*K$186*K$187*K$188&gt;0,AVERAGE(K$182, K$184:K$188),""),"")</f>
        <v/>
      </c>
      <c r="L319" s="261" t="str">
        <f aca="false">IFERROR(IF(L$182*L$184*L$185*L$186*L$187*L$188&gt;0,AVERAGE(L$182, L$184:L$188),""),"")</f>
        <v/>
      </c>
      <c r="M319" s="261" t="str">
        <f aca="false">IFERROR(IF(M$182*M$184*M$185*M$186*M$187*M$188&gt;0,AVERAGE(M$182, M$184:M$188),""),"")</f>
        <v/>
      </c>
      <c r="N319" s="261" t="str">
        <f aca="false">IFERROR(IF(N$182*N$184*N$185*N$186*N$187*N$188&gt;0,AVERAGE(N$182, N$184:N$188),""),"")</f>
        <v/>
      </c>
      <c r="O319" s="224"/>
      <c r="P319" s="224"/>
      <c r="Q319" s="232"/>
      <c r="R319" s="226" t="s">
        <v>618</v>
      </c>
      <c r="S319" s="227" t="str">
        <f aca="false">IFERROR(IF(C$182*C$184*C$185*C$186*C$187*C$188&gt;0,STDEV(C$182, C$184:C$188),"")/IF(C$182*C$184*C$185*C$186*C$187*C$188&gt;0,AVERAGE(C$182, C$184:C$188),""),"")</f>
        <v/>
      </c>
      <c r="T319" s="227" t="str">
        <f aca="false">IFERROR(IF(D$182*D$184*D$185*D$186*D$187*D$188&gt;0,STDEV(D$182, D$184:D$188),"")/IF(D$182*D$184*D$185*D$186*D$187*D$188&gt;0,AVERAGE(D$182, D$184:D$188),""),"")</f>
        <v/>
      </c>
      <c r="U319" s="227" t="str">
        <f aca="false">IFERROR(IF(E$182*E$184*E$185*E$186*E$187*E$188&gt;0,STDEV(E$182, E$184:E$188),"")/IF(E$182*E$184*E$185*E$186*E$187*E$188&gt;0,AVERAGE(E$182, E$184:E$188),""),"")</f>
        <v/>
      </c>
      <c r="V319" s="227" t="str">
        <f aca="false">IFERROR(IF(F$182*F$184*F$185*F$186*F$187*F$188&gt;0,STDEV(F$182, F$184:F$188),"")/IF(F$182*F$184*F$185*F$186*F$187*F$188&gt;0,AVERAGE(F$182, F$184:F$188),""),"")</f>
        <v/>
      </c>
      <c r="W319" s="227" t="str">
        <f aca="false">IFERROR(IF(G$182*G$184*G$185*G$186*G$187*G$188&gt;0,STDEV(G$182, G$184:G$188),"")/IF(G$182*G$184*G$185*G$186*G$187*G$188&gt;0,AVERAGE(G$182, G$184:G$188),""),"")</f>
        <v/>
      </c>
      <c r="X319" s="227" t="str">
        <f aca="false">IFERROR(IF(H$182*H$184*H$185*H$186*H$187*H$188&gt;0,STDEV(H$182, H$184:H$188),"")/IF(H$182*H$184*H$185*H$186*H$187*H$188&gt;0,AVERAGE(H$182, H$184:H$188),""),"")</f>
        <v/>
      </c>
      <c r="Y319" s="227" t="str">
        <f aca="false">IFERROR(IF(I$182*I$184*I$185*I$186*I$187*I$188&gt;0,STDEV(I$182, I$184:I$188),"")/IF(I$182*I$184*I$185*I$186*I$187*I$188&gt;0,AVERAGE(I$182, I$184:I$188),""),"")</f>
        <v/>
      </c>
      <c r="Z319" s="227" t="str">
        <f aca="false">IFERROR(IF(J$182*J$184*J$185*J$186*J$187*J$188&gt;0,STDEV(J$182, J$184:J$188),"")/IF(J$182*J$184*J$185*J$186*J$187*J$188&gt;0,AVERAGE(J$182, J$184:J$188),""),"")</f>
        <v/>
      </c>
      <c r="AA319" s="227" t="str">
        <f aca="false">IFERROR(IF(K$182*K$184*K$185*K$186*K$187*K$188&gt;0,STDEV(K$182, K$184:K$188),"")/IF(K$182*K$184*K$185*K$186*K$187*K$188&gt;0,AVERAGE(K$182, K$184:K$188),""),"")</f>
        <v/>
      </c>
      <c r="AB319" s="227" t="str">
        <f aca="false">IFERROR(IF(L$182*L$184*L$185*L$186*L$187*L$188&gt;0,STDEV(L$182, L$184:L$188),"")/IF(L$182*L$184*L$185*L$186*L$187*L$188&gt;0,AVERAGE(L$182, L$184:L$188),""),"")</f>
        <v/>
      </c>
      <c r="AC319" s="227" t="str">
        <f aca="false">IFERROR(IF(M$182*M$184*M$185*M$186*M$187*M$188&gt;0,STDEV(M$182, M$184:M$188),"")/IF(M$182*M$184*M$185*M$186*M$187*M$188&gt;0,AVERAGE(M$182, M$184:M$188),""),"")</f>
        <v/>
      </c>
      <c r="AD319" s="227" t="str">
        <f aca="false">IFERROR(IF(N$182*N$184*N$185*N$186*N$187*N$188&gt;0,STDEV(N$182, N$184:N$188),"")/IF(N$182*N$184*N$185*N$186*N$187*N$188&gt;0,AVERAGE(N$182, N$184:N$188),""),"")</f>
        <v/>
      </c>
      <c r="AE319" s="233"/>
      <c r="AF319" s="229" t="s">
        <v>619</v>
      </c>
      <c r="AG319" s="270" t="str">
        <f aca="false">IFERROR(IF(C$182*C$184*C$185*C$186*C$187*C$188&gt;0,STDEV(C$182, C$184:C$188)," ")/IF(C$182*C$184*C$185*C$186*C$187*C$188&gt;0,SQRT(COUNT(C$182, C$184:C$188))," "),"")</f>
        <v/>
      </c>
      <c r="AH319" s="270" t="str">
        <f aca="false">IFERROR(IF(D$182*D$184*D$185*D$186*D$187*D$188&gt;0,STDEV(D$182, D$184:D$188)," ")/IF(D$182*D$184*D$185*D$186*D$187*D$188&gt;0,SQRT(COUNT(D$182, D$184:D$188))," "),"")</f>
        <v/>
      </c>
      <c r="AI319" s="270" t="str">
        <f aca="false">IFERROR(IF(E$182*E$184*E$185*E$186*E$187*E$188&gt;0,STDEV(E$182, E$184:E$188)," ")/IF(E$182*E$184*E$185*E$186*E$187*E$188&gt;0,SQRT(COUNT(E$182, E$184:E$188))," "),"")</f>
        <v/>
      </c>
      <c r="AJ319" s="270" t="str">
        <f aca="false">IFERROR(IF(F$182*F$184*F$185*F$186*F$187*F$188&gt;0,STDEV(F$182, F$184:F$188)," ")/IF(F$182*F$184*F$185*F$186*F$187*F$188&gt;0,SQRT(COUNT(F$182, F$184:F$188))," "),"")</f>
        <v/>
      </c>
      <c r="AK319" s="270" t="str">
        <f aca="false">IFERROR(IF(G$182*G$184*G$185*G$186*G$187*G$188&gt;0,STDEV(G$182, G$184:G$188)," ")/IF(G$182*G$184*G$185*G$186*G$187*G$188&gt;0,SQRT(COUNT(G$182, G$184:G$188))," "),"")</f>
        <v/>
      </c>
      <c r="AL319" s="270" t="str">
        <f aca="false">IFERROR(IF(H$182*H$184*H$185*H$186*H$187*H$188&gt;0,STDEV(H$182, H$184:H$188)," ")/IF(H$182*H$184*H$185*H$186*H$187*H$188&gt;0,SQRT(COUNT(H$182, H$184:H$188))," "),"")</f>
        <v/>
      </c>
      <c r="AM319" s="270" t="str">
        <f aca="false">IFERROR(IF(I$182*I$184*I$185*I$186*I$187*I$188&gt;0,STDEV(I$182, I$184:I$188)," ")/IF(I$182*I$184*I$185*I$186*I$187*I$188&gt;0,SQRT(COUNT(I$182, I$184:I$188))," "),"")</f>
        <v/>
      </c>
      <c r="AN319" s="270" t="str">
        <f aca="false">IFERROR(IF(J$182*J$184*J$185*J$186*J$187*J$188&gt;0,STDEV(J$182, J$184:J$188)," ")/IF(J$182*J$184*J$185*J$186*J$187*J$188&gt;0,SQRT(COUNT(J$182, J$184:J$188))," "),"")</f>
        <v/>
      </c>
      <c r="AO319" s="270" t="str">
        <f aca="false">IFERROR(IF(K$182*K$184*K$185*K$186*K$187*K$188&gt;0,STDEV(K$182, K$184:K$188)," ")/IF(K$182*K$184*K$185*K$186*K$187*K$188&gt;0,SQRT(COUNT(K$182, K$184:K$188))," "),"")</f>
        <v/>
      </c>
      <c r="AP319" s="270" t="str">
        <f aca="false">IFERROR(IF(L$182*L$184*L$185*L$186*L$187*L$188&gt;0,STDEV(L$182, L$184:L$188)," ")/IF(L$182*L$184*L$185*L$186*L$187*L$188&gt;0,SQRT(COUNT(L$182, L$184:L$188))," "),"")</f>
        <v/>
      </c>
      <c r="AQ319" s="270" t="str">
        <f aca="false">IFERROR(IF(M$182*M$184*M$185*M$186*M$187*M$188&gt;0,STDEV(M$182, M$184:M$188)," ")/IF(M$182*M$184*M$185*M$186*M$187*M$188&gt;0,SQRT(COUNT(M$182, M$184:M$188))," "),"")</f>
        <v/>
      </c>
      <c r="AR319" s="270" t="str">
        <f aca="false">IFERROR(IF(N$182*N$184*N$185*N$186*N$187*N$188&gt;0,STDEV(N$182, N$184:N$188)," ")/IF(N$182*N$184*N$185*N$186*N$187*N$188&gt;0,SQRT(COUNT(N$182, N$184:N$188))," "),"")</f>
        <v/>
      </c>
    </row>
    <row r="320" customFormat="false" ht="15.75" hidden="false" customHeight="false" outlineLevel="0" collapsed="false">
      <c r="A320" s="242" t="s">
        <v>620</v>
      </c>
      <c r="B320" s="243"/>
      <c r="C320" s="262" t="str">
        <f aca="false">IFERROR(IF(C$183*C$184*C$185*C$186*C$187*C$188&gt;0,AVERAGE(C$183:C$188),""),"")</f>
        <v/>
      </c>
      <c r="D320" s="262" t="str">
        <f aca="false">IFERROR(IF(D$183*D$184*D$185*D$186*D$187*D$188&gt;0,AVERAGE(D$183:D$188),""),"")</f>
        <v/>
      </c>
      <c r="E320" s="262" t="str">
        <f aca="false">IFERROR(IF(E$183*E$184*E$185*E$186*E$187*E$188&gt;0,AVERAGE(E$183:E$188),""),"")</f>
        <v/>
      </c>
      <c r="F320" s="262" t="str">
        <f aca="false">IFERROR(IF(F$183*F$184*F$185*F$186*F$187*F$188&gt;0,AVERAGE(F$183:F$188),""),"")</f>
        <v/>
      </c>
      <c r="G320" s="262" t="str">
        <f aca="false">IFERROR(IF(G$183*G$184*G$185*G$186*G$187*G$188&gt;0,AVERAGE(G$183:G$188),""),"")</f>
        <v/>
      </c>
      <c r="H320" s="262" t="str">
        <f aca="false">IFERROR(IF(H$183*H$184*H$185*H$186*H$187*H$188&gt;0,AVERAGE(H$183:H$188),""),"")</f>
        <v/>
      </c>
      <c r="I320" s="262" t="str">
        <f aca="false">IFERROR(IF(I$183*I$184*I$185*I$186*I$187*I$188&gt;0,AVERAGE(I$183:I$188),""),"")</f>
        <v/>
      </c>
      <c r="J320" s="262" t="str">
        <f aca="false">IFERROR(IF(J$183*J$184*J$185*J$186*J$187*J$188&gt;0,AVERAGE(J$183:J$188),""),"")</f>
        <v/>
      </c>
      <c r="K320" s="262" t="str">
        <f aca="false">IFERROR(IF(K$183*K$184*K$185*K$186*K$187*K$188&gt;0,AVERAGE(K$183:K$188),""),"")</f>
        <v/>
      </c>
      <c r="L320" s="262" t="str">
        <f aca="false">IFERROR(IF(L$183*L$184*L$185*L$186*L$187*L$188&gt;0,AVERAGE(L$183:L$188),""),"")</f>
        <v/>
      </c>
      <c r="M320" s="262" t="str">
        <f aca="false">IFERROR(IF(M$183*M$184*M$185*M$186*M$187*M$188&gt;0,AVERAGE(M$183:M$188),""),"")</f>
        <v/>
      </c>
      <c r="N320" s="262" t="str">
        <f aca="false">IFERROR(IF(N$183*N$184*N$185*N$186*N$187*N$188&gt;0,AVERAGE(N$183:N$188),""),"")</f>
        <v/>
      </c>
      <c r="O320" s="245"/>
      <c r="P320" s="245"/>
      <c r="Q320" s="246"/>
      <c r="R320" s="247" t="s">
        <v>621</v>
      </c>
      <c r="S320" s="248" t="str">
        <f aca="false">IFERROR(IF(C$183*C$184*C$185*C$186*C$187*C$188&gt;0,STDEV(C$183:C$188),"")/IF(C$183*C$184*C$185*C$186*C$187*C$188&gt;0,AVERAGE(C$183:C$188),""),"")</f>
        <v/>
      </c>
      <c r="T320" s="248" t="str">
        <f aca="false">IFERROR(IF(D$183*D$184*D$185*D$186*D$187*D$188&gt;0,STDEV(D$183:D$188),"")/IF(D$183*D$184*D$185*D$186*D$187*D$188&gt;0,AVERAGE(D$183:D$188),""),"")</f>
        <v/>
      </c>
      <c r="U320" s="248" t="str">
        <f aca="false">IFERROR(IF(E$183*E$184*E$185*E$186*E$187*E$188&gt;0,STDEV(E$183:E$188),"")/IF(E$183*E$184*E$185*E$186*E$187*E$188&gt;0,AVERAGE(E$183:E$188),""),"")</f>
        <v/>
      </c>
      <c r="V320" s="248" t="str">
        <f aca="false">IFERROR(IF(F$183*F$184*F$185*F$186*F$187*F$188&gt;0,STDEV(F$183:F$188),"")/IF(F$183*F$184*F$185*F$186*F$187*F$188&gt;0,AVERAGE(F$183:F$188),""),"")</f>
        <v/>
      </c>
      <c r="W320" s="248" t="str">
        <f aca="false">IFERROR(IF(G$183*G$184*G$185*G$186*G$187*G$188&gt;0,STDEV(G$183:G$188),"")/IF(G$183*G$184*G$185*G$186*G$187*G$188&gt;0,AVERAGE(G$183:G$188),""),"")</f>
        <v/>
      </c>
      <c r="X320" s="248" t="str">
        <f aca="false">IFERROR(IF(H$183*H$184*H$185*H$186*H$187*H$188&gt;0,STDEV(H$183:H$188),"")/IF(H$183*H$184*H$185*H$186*H$187*H$188&gt;0,AVERAGE(H$183:H$188),""),"")</f>
        <v/>
      </c>
      <c r="Y320" s="248" t="str">
        <f aca="false">IFERROR(IF(I$183*I$184*I$185*I$186*I$187*I$188&gt;0,STDEV(I$183:I$188),"")/IF(I$183*I$184*I$185*I$186*I$187*I$188&gt;0,AVERAGE(I$183:I$188),""),"")</f>
        <v/>
      </c>
      <c r="Z320" s="248" t="str">
        <f aca="false">IFERROR(IF(J$183*J$184*J$185*J$186*J$187*J$188&gt;0,STDEV(J$183:J$188),"")/IF(J$183*J$184*J$185*J$186*J$187*J$188&gt;0,AVERAGE(J$183:J$188),""),"")</f>
        <v/>
      </c>
      <c r="AA320" s="248" t="str">
        <f aca="false">IFERROR(IF(K$183*K$184*K$185*K$186*K$187*K$188&gt;0,STDEV(K$183:K$188),"")/IF(K$183*K$184*K$185*K$186*K$187*K$188&gt;0,AVERAGE(K$183:K$188),""),"")</f>
        <v/>
      </c>
      <c r="AB320" s="248" t="str">
        <f aca="false">IFERROR(IF(L$183*L$184*L$185*L$186*L$187*L$188&gt;0,STDEV(L$183:L$188),"")/IF(L$183*L$184*L$185*L$186*L$187*L$188&gt;0,AVERAGE(L$183:L$188),""),"")</f>
        <v/>
      </c>
      <c r="AC320" s="248" t="str">
        <f aca="false">IFERROR(IF(M$183*M$184*M$185*M$186*M$187*M$188&gt;0,STDEV(M$183:M$188),"")/IF(M$183*M$184*M$185*M$186*M$187*M$188&gt;0,AVERAGE(M$183:M$188),""),"")</f>
        <v/>
      </c>
      <c r="AD320" s="248" t="str">
        <f aca="false">IFERROR(IF(N$183*N$184*N$185*N$186*N$187*N$188&gt;0,STDEV(N$183:N$188),"")/IF(N$183*N$184*N$185*N$186*N$187*N$188&gt;0,AVERAGE(N$183:N$188),""),"")</f>
        <v/>
      </c>
      <c r="AE320" s="249"/>
      <c r="AF320" s="250" t="s">
        <v>622</v>
      </c>
      <c r="AG320" s="272" t="str">
        <f aca="false">IFERROR(IF(C$183*C$184*C$185*C$186*C$187*C$188&gt;0,STDEV(C$183:C$188)," ")/IF(C$183*C$184*C$185*C$186*C$187*C$188&gt;0,SQRT(COUNT(C$183:C$188))," "),"")</f>
        <v/>
      </c>
      <c r="AH320" s="272" t="str">
        <f aca="false">IFERROR(IF(D$183*D$184*D$185*D$186*D$187*D$188&gt;0,STDEV(D$183:D$188)," ")/IF(D$183*D$184*D$185*D$186*D$187*D$188&gt;0,SQRT(COUNT(D$183:D$188))," "),"")</f>
        <v/>
      </c>
      <c r="AI320" s="272" t="str">
        <f aca="false">IFERROR(IF(E$183*E$184*E$185*E$186*E$187*E$188&gt;0,STDEV(E$183:E$188)," ")/IF(E$183*E$184*E$185*E$186*E$187*E$188&gt;0,SQRT(COUNT(E$183:E$188))," "),"")</f>
        <v/>
      </c>
      <c r="AJ320" s="272" t="str">
        <f aca="false">IFERROR(IF(F$183*F$184*F$185*F$186*F$187*F$188&gt;0,STDEV(F$183:F$188)," ")/IF(F$183*F$184*F$185*F$186*F$187*F$188&gt;0,SQRT(COUNT(F$183:F$188))," "),"")</f>
        <v/>
      </c>
      <c r="AK320" s="272" t="str">
        <f aca="false">IFERROR(IF(G$183*G$184*G$185*G$186*G$187*G$188&gt;0,STDEV(G$183:G$188)," ")/IF(G$183*G$184*G$185*G$186*G$187*G$188&gt;0,SQRT(COUNT(G$183:G$188))," "),"")</f>
        <v/>
      </c>
      <c r="AL320" s="272" t="str">
        <f aca="false">IFERROR(IF(H$183*H$184*H$185*H$186*H$187*H$188&gt;0,STDEV(H$183:H$188)," ")/IF(H$183*H$184*H$185*H$186*H$187*H$188&gt;0,SQRT(COUNT(H$183:H$188))," "),"")</f>
        <v/>
      </c>
      <c r="AM320" s="272" t="str">
        <f aca="false">IFERROR(IF(I$183*I$184*I$185*I$186*I$187*I$188&gt;0,STDEV(I$183:I$188)," ")/IF(I$183*I$184*I$185*I$186*I$187*I$188&gt;0,SQRT(COUNT(I$183:I$188))," "),"")</f>
        <v/>
      </c>
      <c r="AN320" s="272" t="str">
        <f aca="false">IFERROR(IF(J$183*J$184*J$185*J$186*J$187*J$188&gt;0,STDEV(J$183:J$188)," ")/IF(J$183*J$184*J$185*J$186*J$187*J$188&gt;0,SQRT(COUNT(J$183:J$188))," "),"")</f>
        <v/>
      </c>
      <c r="AO320" s="272" t="str">
        <f aca="false">IFERROR(IF(K$183*K$184*K$185*K$186*K$187*K$188&gt;0,STDEV(K$183:K$188)," ")/IF(K$183*K$184*K$185*K$186*K$187*K$188&gt;0,SQRT(COUNT(K$183:K$188))," "),"")</f>
        <v/>
      </c>
      <c r="AP320" s="272" t="str">
        <f aca="false">IFERROR(IF(L$183*L$184*L$185*L$186*L$187*L$188&gt;0,STDEV(L$183:L$188)," ")/IF(L$183*L$184*L$185*L$186*L$187*L$188&gt;0,SQRT(COUNT(L$183:L$188))," "),"")</f>
        <v/>
      </c>
      <c r="AQ320" s="272" t="str">
        <f aca="false">IFERROR(IF(M$183*M$184*M$185*M$186*M$187*M$188&gt;0,STDEV(M$183:M$188)," ")/IF(M$183*M$184*M$185*M$186*M$187*M$188&gt;0,SQRT(COUNT(M$183:M$188))," "),"")</f>
        <v/>
      </c>
      <c r="AR320" s="272" t="str">
        <f aca="false">IFERROR(IF(N$183*N$184*N$185*N$186*N$187*N$188&gt;0,STDEV(N$183:N$188)," ")/IF(N$183*N$184*N$185*N$186*N$187*N$188&gt;0,SQRT(COUNT(N$183:N$188))," "),"")</f>
        <v/>
      </c>
    </row>
    <row r="321" customFormat="false" ht="15.75" hidden="false" customHeight="false" outlineLevel="0" collapsed="false">
      <c r="A321" s="220" t="s">
        <v>623</v>
      </c>
      <c r="B321" s="221"/>
      <c r="C321" s="261" t="str">
        <f aca="false">IFERROR(IF(C$182*C$183*C$184*C$185*C$186*C$187*C$188&gt;0,AVERAGE(C$182:C$188),""),"")</f>
        <v/>
      </c>
      <c r="D321" s="261" t="str">
        <f aca="false">IFERROR(IF(D$182*D$183*D$184*D$185*D$186*D$187*D$188&gt;0,AVERAGE(D$182:D$188),""),"")</f>
        <v/>
      </c>
      <c r="E321" s="261" t="str">
        <f aca="false">IFERROR(IF(E$182*E$183*E$184*E$185*E$186*E$187*E$188&gt;0,AVERAGE(E$182:E$188),""),"")</f>
        <v/>
      </c>
      <c r="F321" s="261" t="str">
        <f aca="false">IFERROR(IF(F$182*F$183*F$184*F$185*F$186*F$187*F$188&gt;0,AVERAGE(F$182:F$188),""),"")</f>
        <v/>
      </c>
      <c r="G321" s="261" t="str">
        <f aca="false">IFERROR(IF(G$182*G$183*G$184*G$185*G$186*G$187*G$188&gt;0,AVERAGE(G$182:G$188),""),"")</f>
        <v/>
      </c>
      <c r="H321" s="261" t="str">
        <f aca="false">IFERROR(IF(H$182*H$183*H$184*H$185*H$186*H$187*H$188&gt;0,AVERAGE(H$182:H$188),""),"")</f>
        <v/>
      </c>
      <c r="I321" s="261" t="str">
        <f aca="false">IFERROR(IF(I$182*I$183*I$184*I$185*I$186*I$187*I$188&gt;0,AVERAGE(I$182:I$188),""),"")</f>
        <v/>
      </c>
      <c r="J321" s="261" t="str">
        <f aca="false">IFERROR(IF(J$182*J$183*J$184*J$185*J$186*J$187*J$188&gt;0,AVERAGE(J$182:J$188),""),"")</f>
        <v/>
      </c>
      <c r="K321" s="261" t="str">
        <f aca="false">IFERROR(IF(K$182*K$183*K$184*K$185*K$186*K$187*K$188&gt;0,AVERAGE(K$182:K$188),""),"")</f>
        <v/>
      </c>
      <c r="L321" s="261" t="str">
        <f aca="false">IFERROR(IF(L$182*L$183*L$184*L$185*L$186*L$187*L$188&gt;0,AVERAGE(L$182:L$188),""),"")</f>
        <v/>
      </c>
      <c r="M321" s="261" t="str">
        <f aca="false">IFERROR(IF(M$182*M$183*M$184*M$185*M$186*M$187*M$188&gt;0,AVERAGE(M$182:M$188),""),"")</f>
        <v/>
      </c>
      <c r="N321" s="261" t="str">
        <f aca="false">IFERROR(IF(N$182*N$183*N$184*N$185*N$186*N$187*N$188&gt;0,AVERAGE(N$182:N$188),""),"")</f>
        <v/>
      </c>
      <c r="O321" s="240" t="n">
        <v>7</v>
      </c>
      <c r="P321" s="224" t="n">
        <f aca="false">COMBIN(7,7)</f>
        <v>1</v>
      </c>
      <c r="Q321" s="252" t="n">
        <f aca="false">ROW(N321)-ROW(N321)+1</f>
        <v>1</v>
      </c>
      <c r="R321" s="226" t="s">
        <v>624</v>
      </c>
      <c r="S321" s="227" t="str">
        <f aca="false">IFERROR(IF(C$182*C$183*C$184*C$185*C$186*C$187*C$188&gt;0,STDEV(C$182:C$188),"")/IF(C$182*C$183*C$184*C$185*C$186*C$187*C$188&gt;0,AVERAGE(C$182:C$188),""),"")</f>
        <v/>
      </c>
      <c r="T321" s="227" t="str">
        <f aca="false">IFERROR(IF(D$182*D$183*D$184*D$185*D$186*D$187*D$188&gt;0,STDEV(D$182:D$188),"")/IF(D$182*D$183*D$184*D$185*D$186*D$187*D$188&gt;0,AVERAGE(D$182:D$188),""),"")</f>
        <v/>
      </c>
      <c r="U321" s="227" t="str">
        <f aca="false">IFERROR(IF(E$182*E$183*E$184*E$185*E$186*E$187*E$188&gt;0,STDEV(E$182:E$188),"")/IF(E$182*E$183*E$184*E$185*E$186*E$187*E$188&gt;0,AVERAGE(E$182:E$188),""),"")</f>
        <v/>
      </c>
      <c r="V321" s="227" t="str">
        <f aca="false">IFERROR(IF(F$182*F$183*F$184*F$185*F$186*F$187*F$188&gt;0,STDEV(F$182:F$188),"")/IF(F$182*F$183*F$184*F$185*F$186*F$187*F$188&gt;0,AVERAGE(F$182:F$188),""),"")</f>
        <v/>
      </c>
      <c r="W321" s="227" t="str">
        <f aca="false">IFERROR(IF(G$182*G$183*G$184*G$185*G$186*G$187*G$188&gt;0,STDEV(G$182:G$188),"")/IF(G$182*G$183*G$184*G$185*G$186*G$187*G$188&gt;0,AVERAGE(G$182:G$188),""),"")</f>
        <v/>
      </c>
      <c r="X321" s="227" t="str">
        <f aca="false">IFERROR(IF(H$182*H$183*H$184*H$185*H$186*H$187*H$188&gt;0,STDEV(H$182:H$188),"")/IF(H$182*H$183*H$184*H$185*H$186*H$187*H$188&gt;0,AVERAGE(H$182:H$188),""),"")</f>
        <v/>
      </c>
      <c r="Y321" s="227" t="str">
        <f aca="false">IFERROR(IF(I$182*I$183*I$184*I$185*I$186*I$187*I$188&gt;0,STDEV(I$182:I$188),"")/IF(I$182*I$183*I$184*I$185*I$186*I$187*I$188&gt;0,AVERAGE(I$182:I$188),""),"")</f>
        <v/>
      </c>
      <c r="Z321" s="227" t="str">
        <f aca="false">IFERROR(IF(J$182*J$183*J$184*J$185*J$186*J$187*J$188&gt;0,STDEV(J$182:J$188),"")/IF(J$182*J$183*J$184*J$185*J$186*J$187*J$188&gt;0,AVERAGE(J$182:J$188),""),"")</f>
        <v/>
      </c>
      <c r="AA321" s="227" t="str">
        <f aca="false">IFERROR(IF(K$182*K$183*K$184*K$185*K$186*K$187*K$188&gt;0,STDEV(K$182:K$188),"")/IF(K$182*K$183*K$184*K$185*K$186*K$187*K$188&gt;0,AVERAGE(K$182:K$188),""),"")</f>
        <v/>
      </c>
      <c r="AB321" s="227" t="str">
        <f aca="false">IFERROR(IF(L$182*L$183*L$184*L$185*L$186*L$187*L$188&gt;0,STDEV(L$182:L$188),"")/IF(L$182*L$183*L$184*L$185*L$186*L$187*L$188&gt;0,AVERAGE(L$182:L$188),""),"")</f>
        <v/>
      </c>
      <c r="AC321" s="227" t="str">
        <f aca="false">IFERROR(IF(M$182*M$183*M$184*M$185*M$186*M$187*M$188&gt;0,STDEV(M$182:M$188),"")/IF(M$182*M$183*M$184*M$185*M$186*M$187*M$188&gt;0,AVERAGE(M$182:M$188),""),"")</f>
        <v/>
      </c>
      <c r="AD321" s="227" t="str">
        <f aca="false">IFERROR(IF(N$182*N$183*N$184*N$185*N$186*N$187*N$188&gt;0,STDEV(N$182:N$188),"")/IF(N$182*N$183*N$184*N$185*N$186*N$187*N$188&gt;0,AVERAGE(N$182:N$188),""),"")</f>
        <v/>
      </c>
      <c r="AE321" s="233"/>
      <c r="AF321" s="229" t="s">
        <v>625</v>
      </c>
      <c r="AG321" s="270" t="str">
        <f aca="false">IFERROR(IF(C$182*C$183*C$184*C$185*C$186*C$187*C$188&gt;0,STDEV(C$182:C$188)," ")/IF(C$182*C$183*C$184*C$185*C$186*C$187*C$188&gt;0,SQRT(COUNT(C$182:C$188))," "),"")</f>
        <v/>
      </c>
      <c r="AH321" s="270" t="str">
        <f aca="false">IFERROR(IF(D$182*D$183*D$184*D$185*D$186*D$187*D$188&gt;0,STDEV(D$182:D$188)," ")/IF(D$182*D$183*D$184*D$185*D$186*D$187*D$188&gt;0,SQRT(COUNT(D$182:D$188))," "),"")</f>
        <v/>
      </c>
      <c r="AI321" s="270" t="str">
        <f aca="false">IFERROR(IF(E$182*E$183*E$184*E$185*E$186*E$187*E$188&gt;0,STDEV(E$182:E$188)," ")/IF(E$182*E$183*E$184*E$185*E$186*E$187*E$188&gt;0,SQRT(COUNT(E$182:E$188))," "),"")</f>
        <v/>
      </c>
      <c r="AJ321" s="270" t="str">
        <f aca="false">IFERROR(IF(F$182*F$183*F$184*F$185*F$186*F$187*F$188&gt;0,STDEV(F$182:F$188)," ")/IF(F$182*F$183*F$184*F$185*F$186*F$187*F$188&gt;0,SQRT(COUNT(F$182:F$188))," "),"")</f>
        <v/>
      </c>
      <c r="AK321" s="270" t="str">
        <f aca="false">IFERROR(IF(G$182*G$183*G$184*G$185*G$186*G$187*G$188&gt;0,STDEV(G$182:G$188)," ")/IF(G$182*G$183*G$184*G$185*G$186*G$187*G$188&gt;0,SQRT(COUNT(G$182:G$188))," "),"")</f>
        <v/>
      </c>
      <c r="AL321" s="270" t="str">
        <f aca="false">IFERROR(IF(H$182*H$183*H$184*H$185*H$186*H$187*H$188&gt;0,STDEV(H$182:H$188)," ")/IF(H$182*H$183*H$184*H$185*H$186*H$187*H$188&gt;0,SQRT(COUNT(H$182:H$188))," "),"")</f>
        <v/>
      </c>
      <c r="AM321" s="270" t="str">
        <f aca="false">IFERROR(IF(I$182*I$183*I$184*I$185*I$186*I$187*I$188&gt;0,STDEV(I$182:I$188)," ")/IF(I$182*I$183*I$184*I$185*I$186*I$187*I$188&gt;0,SQRT(COUNT(I$182:I$188))," "),"")</f>
        <v/>
      </c>
      <c r="AN321" s="270" t="str">
        <f aca="false">IFERROR(IF(J$182*J$183*J$184*J$185*J$186*J$187*J$188&gt;0,STDEV(J$182:J$188)," ")/IF(J$182*J$183*J$184*J$185*J$186*J$187*J$188&gt;0,SQRT(COUNT(J$182:J$188))," "),"")</f>
        <v/>
      </c>
      <c r="AO321" s="270" t="str">
        <f aca="false">IFERROR(IF(K$182*K$183*K$184*K$185*K$186*K$187*K$188&gt;0,STDEV(K$182:K$188)," ")/IF(K$182*K$183*K$184*K$185*K$186*K$187*K$188&gt;0,SQRT(COUNT(K$182:K$188))," "),"")</f>
        <v/>
      </c>
      <c r="AP321" s="270" t="str">
        <f aca="false">IFERROR(IF(L$182*L$183*L$184*L$185*L$186*L$187*L$188&gt;0,STDEV(L$182:L$188)," ")/IF(L$182*L$183*L$184*L$185*L$186*L$187*L$188&gt;0,SQRT(COUNT(L$182:L$188))," "),"")</f>
        <v/>
      </c>
      <c r="AQ321" s="270" t="str">
        <f aca="false">IFERROR(IF(M$182*M$183*M$184*M$185*M$186*M$187*M$188&gt;0,STDEV(M$182:M$188)," ")/IF(M$182*M$183*M$184*M$185*M$186*M$187*M$188&gt;0,SQRT(COUNT(M$182:M$188))," "),"")</f>
        <v/>
      </c>
      <c r="AR321" s="270" t="str">
        <f aca="false">IFERROR(IF(N$182*N$183*N$184*N$185*N$186*N$187*N$188&gt;0,STDEV(N$182:N$188)," ")/IF(N$182*N$183*N$184*N$185*N$186*N$187*N$188&gt;0,SQRT(COUNT(N$182:N$188))," "),"")</f>
        <v/>
      </c>
    </row>
    <row r="322" customFormat="false" ht="15" hidden="false" customHeight="false" outlineLevel="0" collapsed="false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 t="n">
        <f aca="false">SUM(P202:P321)</f>
        <v>120</v>
      </c>
      <c r="Q322" s="34" t="n">
        <f aca="false">SUM(Q202:Q321)</f>
        <v>120</v>
      </c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265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</row>
    <row r="323" customFormat="false" ht="15" hidden="false" customHeight="false" outlineLevel="0" collapsed="false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265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</row>
    <row r="324" customFormat="false" ht="15" hidden="false" customHeight="false" outlineLevel="0" collapsed="false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265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</row>
    <row r="325" customFormat="false" ht="15" hidden="false" customHeight="false" outlineLevel="0" collapsed="false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265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</row>
    <row r="326" customFormat="false" ht="15" hidden="false" customHeight="false" outlineLevel="0" collapsed="false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265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</row>
    <row r="327" customFormat="false" ht="15" hidden="false" customHeight="false" outlineLevel="0" collapsed="false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265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</row>
    <row r="328" customFormat="false" ht="15" hidden="false" customHeight="false" outlineLevel="0" collapsed="false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265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</row>
    <row r="329" customFormat="false" ht="23.25" hidden="false" customHeight="false" outlineLevel="0" collapsed="false">
      <c r="A329" s="163" t="s">
        <v>248</v>
      </c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265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</row>
    <row r="330" customFormat="false" ht="15" hidden="false" customHeight="false" outlineLevel="0" collapsed="false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265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</row>
    <row r="331" customFormat="false" ht="15" hidden="false" customHeight="false" outlineLevel="0" collapsed="false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265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</row>
    <row r="332" customFormat="false" ht="21" hidden="false" customHeight="false" outlineLevel="0" collapsed="false">
      <c r="A332" s="44"/>
      <c r="B332" s="185" t="s">
        <v>265</v>
      </c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95"/>
      <c r="P332" s="95"/>
      <c r="Q332" s="186"/>
      <c r="R332" s="44" t="s">
        <v>266</v>
      </c>
      <c r="S332" s="44"/>
      <c r="T332" s="44"/>
      <c r="U332" s="44"/>
      <c r="V332" s="44"/>
      <c r="W332" s="44"/>
      <c r="X332" s="95"/>
      <c r="Y332" s="44"/>
      <c r="Z332" s="149"/>
      <c r="AA332" s="85"/>
      <c r="AB332" s="85"/>
      <c r="AC332" s="85"/>
      <c r="AD332" s="85"/>
      <c r="AE332" s="157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</row>
    <row r="333" customFormat="false" ht="15.75" hidden="false" customHeight="false" outlineLevel="0" collapsed="false">
      <c r="A333" s="42" t="s">
        <v>634</v>
      </c>
      <c r="B333" s="42"/>
      <c r="C333" s="44"/>
      <c r="D333" s="44"/>
      <c r="E333" s="44"/>
      <c r="F333" s="44"/>
      <c r="G333" s="44"/>
      <c r="H333" s="44"/>
      <c r="I333" s="44"/>
      <c r="J333" s="44"/>
      <c r="K333" s="44"/>
      <c r="L333" s="58"/>
      <c r="M333" s="58"/>
      <c r="N333" s="58"/>
      <c r="O333" s="58"/>
      <c r="P333" s="95"/>
      <c r="Q333" s="186"/>
      <c r="R333" s="44"/>
      <c r="S333" s="44"/>
      <c r="T333" s="42"/>
      <c r="U333" s="44"/>
      <c r="V333" s="44" t="s">
        <v>270</v>
      </c>
      <c r="W333" s="44"/>
      <c r="X333" s="95"/>
      <c r="Y333" s="187"/>
      <c r="Z333" s="148"/>
      <c r="AA333" s="84"/>
      <c r="AB333" s="84"/>
      <c r="AC333" s="84"/>
      <c r="AD333" s="85"/>
      <c r="AE333" s="157"/>
      <c r="AF333" s="44"/>
      <c r="AG333" s="44"/>
      <c r="AH333" s="44"/>
      <c r="AI333" s="44"/>
      <c r="AJ333" s="44"/>
      <c r="AK333" s="44"/>
      <c r="AL333" s="44"/>
      <c r="AM333" s="44"/>
      <c r="AN333" s="44"/>
      <c r="AO333" s="42"/>
      <c r="AP333" s="44"/>
      <c r="AQ333" s="44"/>
      <c r="AR333" s="44"/>
    </row>
    <row r="334" customFormat="false" ht="15.75" hidden="false" customHeight="false" outlineLevel="0" collapsed="false">
      <c r="A334" s="168"/>
      <c r="B334" s="96"/>
      <c r="C334" s="96"/>
      <c r="D334" s="96"/>
      <c r="E334" s="96"/>
      <c r="F334" s="96"/>
      <c r="G334" s="96"/>
      <c r="H334" s="96"/>
      <c r="I334" s="96"/>
      <c r="J334" s="96"/>
      <c r="K334" s="96"/>
      <c r="L334" s="96"/>
      <c r="M334" s="96"/>
      <c r="N334" s="96"/>
      <c r="O334" s="42"/>
      <c r="P334" s="42"/>
      <c r="Q334" s="188"/>
      <c r="R334" s="42"/>
      <c r="S334" s="42"/>
      <c r="T334" s="99"/>
      <c r="U334" s="44"/>
      <c r="V334" s="189"/>
      <c r="W334" s="189" t="s">
        <v>271</v>
      </c>
      <c r="X334" s="190"/>
      <c r="Y334" s="273"/>
      <c r="Z334" s="274"/>
      <c r="AA334" s="275"/>
      <c r="AB334" s="100"/>
      <c r="AC334" s="100"/>
      <c r="AD334" s="85"/>
      <c r="AE334" s="157"/>
      <c r="AF334" s="44"/>
      <c r="AG334" s="44"/>
      <c r="AH334" s="44"/>
      <c r="AI334" s="44"/>
      <c r="AJ334" s="44"/>
      <c r="AK334" s="44"/>
      <c r="AL334" s="44"/>
      <c r="AM334" s="44"/>
      <c r="AN334" s="44"/>
      <c r="AO334" s="99"/>
      <c r="AP334" s="44"/>
      <c r="AQ334" s="44"/>
      <c r="AR334" s="44"/>
    </row>
    <row r="335" customFormat="false" ht="16.5" hidden="false" customHeight="false" outlineLevel="0" collapsed="false">
      <c r="A335" s="96" t="s">
        <v>166</v>
      </c>
      <c r="B335" s="96" t="s">
        <v>226</v>
      </c>
      <c r="C335" s="276" t="n">
        <f aca="false">'Titer Calculation'!C171</f>
        <v>1</v>
      </c>
      <c r="D335" s="276" t="n">
        <f aca="false">'Titer Calculation'!D171</f>
        <v>2</v>
      </c>
      <c r="E335" s="276" t="n">
        <f aca="false">'Titer Calculation'!E171</f>
        <v>3</v>
      </c>
      <c r="F335" s="276" t="n">
        <f aca="false">'Titer Calculation'!F171</f>
        <v>4</v>
      </c>
      <c r="G335" s="276" t="n">
        <f aca="false">'Titer Calculation'!G171</f>
        <v>5</v>
      </c>
      <c r="H335" s="276" t="n">
        <f aca="false">'Titer Calculation'!H171</f>
        <v>6</v>
      </c>
      <c r="I335" s="276" t="n">
        <f aca="false">'Titer Calculation'!I171</f>
        <v>7</v>
      </c>
      <c r="J335" s="276" t="n">
        <f aca="false">'Titer Calculation'!J171</f>
        <v>8</v>
      </c>
      <c r="K335" s="276" t="n">
        <f aca="false">'Titer Calculation'!K171</f>
        <v>9</v>
      </c>
      <c r="L335" s="276" t="n">
        <f aca="false">'Titer Calculation'!L171</f>
        <v>10</v>
      </c>
      <c r="M335" s="276" t="n">
        <f aca="false">'Titer Calculation'!M171</f>
        <v>11</v>
      </c>
      <c r="N335" s="276" t="n">
        <f aca="false">'Titer Calculation'!N171</f>
        <v>12</v>
      </c>
      <c r="O335" s="44"/>
      <c r="P335" s="95"/>
      <c r="Q335" s="191"/>
      <c r="R335" s="99"/>
      <c r="S335" s="99"/>
      <c r="T335" s="44"/>
      <c r="U335" s="44"/>
      <c r="V335" s="189" t="s">
        <v>272</v>
      </c>
      <c r="W335" s="189" t="s">
        <v>273</v>
      </c>
      <c r="X335" s="189" t="s">
        <v>274</v>
      </c>
      <c r="Y335" s="189"/>
      <c r="Z335" s="277"/>
      <c r="AA335" s="278"/>
      <c r="AB335" s="84"/>
      <c r="AC335" s="84"/>
      <c r="AD335" s="85"/>
      <c r="AE335" s="157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</row>
    <row r="336" customFormat="false" ht="15.75" hidden="false" customHeight="false" outlineLevel="0" collapsed="false">
      <c r="A336" s="97" t="s">
        <v>167</v>
      </c>
      <c r="B336" s="97" t="n">
        <f aca="false">'Titer Calculation'!B173</f>
        <v>5</v>
      </c>
      <c r="C336" s="116" t="str">
        <f aca="false">IFERROR(IF(AND('Titer Calculation'!C173&lt;='Titer Calculation'!$T$10,'Titer Calculation'!C173&gt;'Titer Calculation'!$T$11), 'Titer Calculation'!C173," "), "")</f>
        <v/>
      </c>
      <c r="D336" s="116" t="str">
        <f aca="false">IFERROR(IF(AND('Titer Calculation'!D173&lt;='Titer Calculation'!$T$10,'Titer Calculation'!D173&gt;'Titer Calculation'!$T$11), 'Titer Calculation'!D173," "), "")</f>
        <v/>
      </c>
      <c r="E336" s="116" t="str">
        <f aca="false">IFERROR(IF(AND('Titer Calculation'!E173&lt;='Titer Calculation'!$T$10,'Titer Calculation'!E173&gt;'Titer Calculation'!$T$11), 'Titer Calculation'!E173," "), "")</f>
        <v/>
      </c>
      <c r="F336" s="116" t="str">
        <f aca="false">IFERROR(IF(AND('Titer Calculation'!F173&lt;='Titer Calculation'!$T$10,'Titer Calculation'!F173&gt;'Titer Calculation'!$T$11), 'Titer Calculation'!F173," "), "")</f>
        <v/>
      </c>
      <c r="G336" s="116" t="str">
        <f aca="false">IFERROR(IF(AND('Titer Calculation'!G173&lt;='Titer Calculation'!$T$10,'Titer Calculation'!G173&gt;'Titer Calculation'!$T$11), 'Titer Calculation'!G173," "), "")</f>
        <v/>
      </c>
      <c r="H336" s="116" t="str">
        <f aca="false">IFERROR(IF(AND('Titer Calculation'!H173&lt;='Titer Calculation'!$T$10,'Titer Calculation'!H173&gt;'Titer Calculation'!$T$11), 'Titer Calculation'!H173," "), "")</f>
        <v/>
      </c>
      <c r="I336" s="116" t="str">
        <f aca="false">IFERROR(IF(AND('Titer Calculation'!I173&lt;='Titer Calculation'!$T$10,'Titer Calculation'!I173&gt;'Titer Calculation'!$T$11), 'Titer Calculation'!I173," "), "")</f>
        <v/>
      </c>
      <c r="J336" s="116" t="str">
        <f aca="false">IFERROR(IF(AND('Titer Calculation'!J173&lt;='Titer Calculation'!$T$10,'Titer Calculation'!J173&gt;'Titer Calculation'!$T$11), 'Titer Calculation'!J173," "), "")</f>
        <v/>
      </c>
      <c r="K336" s="116" t="str">
        <f aca="false">IFERROR(IF(AND('Titer Calculation'!K173&lt;='Titer Calculation'!$T$10,'Titer Calculation'!K173&gt;'Titer Calculation'!$T$11), 'Titer Calculation'!K173," "), "")</f>
        <v/>
      </c>
      <c r="L336" s="116" t="str">
        <f aca="false">IFERROR(IF(AND('Titer Calculation'!L173&lt;='Titer Calculation'!$T$10,'Titer Calculation'!L173&gt;'Titer Calculation'!$T$11), 'Titer Calculation'!L173," "), "")</f>
        <v/>
      </c>
      <c r="M336" s="116" t="str">
        <f aca="false">IFERROR(IF(AND('Titer Calculation'!M173&lt;='Titer Calculation'!$T$10,'Titer Calculation'!M173&gt;'Titer Calculation'!$T$11), 'Titer Calculation'!M173," "), "")</f>
        <v/>
      </c>
      <c r="N336" s="116" t="str">
        <f aca="false">IFERROR(IF(AND('Titer Calculation'!N173&lt;='Titer Calculation'!$T$10,'Titer Calculation'!N173&gt;'Titer Calculation'!$T$11), 'Titer Calculation'!N173," "), "")</f>
        <v/>
      </c>
      <c r="O336" s="44"/>
      <c r="P336" s="46"/>
      <c r="Q336" s="46"/>
      <c r="R336" s="46"/>
      <c r="S336" s="46"/>
      <c r="T336" s="44"/>
      <c r="U336" s="44"/>
      <c r="V336" s="197" t="n">
        <v>2</v>
      </c>
      <c r="W336" s="198" t="n">
        <v>367</v>
      </c>
      <c r="X336" s="199" t="n">
        <v>387</v>
      </c>
      <c r="Y336" s="189"/>
      <c r="Z336" s="189"/>
      <c r="AA336" s="279"/>
      <c r="AB336" s="103"/>
      <c r="AC336" s="103"/>
      <c r="AD336" s="85"/>
      <c r="AE336" s="157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</row>
    <row r="337" customFormat="false" ht="15.75" hidden="false" customHeight="false" outlineLevel="0" collapsed="false">
      <c r="A337" s="97" t="s">
        <v>168</v>
      </c>
      <c r="B337" s="97" t="n">
        <f aca="false">'Titer Calculation'!B174</f>
        <v>25</v>
      </c>
      <c r="C337" s="116" t="str">
        <f aca="false">IFERROR(IF(AND('Titer Calculation'!C174&lt;='Titer Calculation'!$T$4,'Titer Calculation'!C174&gt;'Titer Calculation'!$T$5), 'Titer Calculation'!C174," "), "")</f>
        <v/>
      </c>
      <c r="D337" s="116" t="str">
        <f aca="false">IFERROR(IF(AND('Titer Calculation'!D174&lt;='Titer Calculation'!$T$4,'Titer Calculation'!D174&gt;'Titer Calculation'!$T$5), 'Titer Calculation'!D174," "), "")</f>
        <v/>
      </c>
      <c r="E337" s="116" t="str">
        <f aca="false">IFERROR(IF(AND('Titer Calculation'!E174&lt;='Titer Calculation'!$T$4,'Titer Calculation'!E174&gt;'Titer Calculation'!$T$5), 'Titer Calculation'!E174," "), "")</f>
        <v/>
      </c>
      <c r="F337" s="116" t="str">
        <f aca="false">IFERROR(IF(AND('Titer Calculation'!F174&lt;='Titer Calculation'!$T$4,'Titer Calculation'!F174&gt;'Titer Calculation'!$T$5), 'Titer Calculation'!F174," "), "")</f>
        <v/>
      </c>
      <c r="G337" s="116" t="str">
        <f aca="false">IFERROR(IF(AND('Titer Calculation'!G174&lt;='Titer Calculation'!$T$4,'Titer Calculation'!G174&gt;'Titer Calculation'!$T$5), 'Titer Calculation'!G174," "), "")</f>
        <v/>
      </c>
      <c r="H337" s="116" t="str">
        <f aca="false">IFERROR(IF(AND('Titer Calculation'!H174&lt;='Titer Calculation'!$T$4,'Titer Calculation'!H174&gt;'Titer Calculation'!$T$5), 'Titer Calculation'!H174," "), "")</f>
        <v/>
      </c>
      <c r="I337" s="116" t="str">
        <f aca="false">IFERROR(IF(AND('Titer Calculation'!I174&lt;='Titer Calculation'!$T$4,'Titer Calculation'!I174&gt;'Titer Calculation'!$T$5), 'Titer Calculation'!I174," "), "")</f>
        <v/>
      </c>
      <c r="J337" s="116" t="str">
        <f aca="false">IFERROR(IF(AND('Titer Calculation'!J174&lt;='Titer Calculation'!$T$4,'Titer Calculation'!J174&gt;'Titer Calculation'!$T$5), 'Titer Calculation'!J174," "), "")</f>
        <v/>
      </c>
      <c r="K337" s="116" t="str">
        <f aca="false">IFERROR(IF(AND('Titer Calculation'!K174&lt;='Titer Calculation'!$T$4,'Titer Calculation'!K174&gt;'Titer Calculation'!$T$5), 'Titer Calculation'!K174," "), "")</f>
        <v/>
      </c>
      <c r="L337" s="116" t="str">
        <f aca="false">IFERROR(IF(AND('Titer Calculation'!L174&lt;='Titer Calculation'!$T$4,'Titer Calculation'!L174&gt;'Titer Calculation'!$T$5), 'Titer Calculation'!L174," "), "")</f>
        <v/>
      </c>
      <c r="M337" s="116" t="str">
        <f aca="false">IFERROR(IF(AND('Titer Calculation'!M174&lt;='Titer Calculation'!$T$4,'Titer Calculation'!M174&gt;'Titer Calculation'!$T$5), 'Titer Calculation'!M174," "), "")</f>
        <v/>
      </c>
      <c r="N337" s="116" t="str">
        <f aca="false">IFERROR(IF(AND('Titer Calculation'!N174&lt;='Titer Calculation'!$T$4,'Titer Calculation'!N174&gt;'Titer Calculation'!$T$5), 'Titer Calculation'!N174," "), "")</f>
        <v/>
      </c>
      <c r="O337" s="44"/>
      <c r="P337" s="44"/>
      <c r="Q337" s="83"/>
      <c r="R337" s="44"/>
      <c r="S337" s="44"/>
      <c r="T337" s="44"/>
      <c r="U337" s="44"/>
      <c r="V337" s="202" t="n">
        <v>3</v>
      </c>
      <c r="W337" s="203" t="n">
        <v>388</v>
      </c>
      <c r="X337" s="204" t="n">
        <v>422</v>
      </c>
      <c r="Y337" s="189"/>
      <c r="Z337" s="189"/>
      <c r="AA337" s="279"/>
      <c r="AB337" s="84"/>
      <c r="AC337" s="84"/>
      <c r="AD337" s="85"/>
      <c r="AE337" s="157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</row>
    <row r="338" customFormat="false" ht="15.75" hidden="false" customHeight="false" outlineLevel="0" collapsed="false">
      <c r="A338" s="97" t="s">
        <v>169</v>
      </c>
      <c r="B338" s="97" t="n">
        <f aca="false">'Titer Calculation'!B175</f>
        <v>125</v>
      </c>
      <c r="C338" s="116" t="str">
        <f aca="false">IFERROR(IF(AND('Titer Calculation'!C175&lt;='Titer Calculation'!$T$4,'Titer Calculation'!C175&gt;'Titer Calculation'!$T$5), 'Titer Calculation'!C175," "), "")</f>
        <v/>
      </c>
      <c r="D338" s="116" t="str">
        <f aca="false">IFERROR(IF(AND('Titer Calculation'!D175&lt;='Titer Calculation'!$T$4,'Titer Calculation'!D175&gt;'Titer Calculation'!$T$5), 'Titer Calculation'!D175," "), "")</f>
        <v/>
      </c>
      <c r="E338" s="116" t="str">
        <f aca="false">IFERROR(IF(AND('Titer Calculation'!E175&lt;='Titer Calculation'!$T$4,'Titer Calculation'!E175&gt;'Titer Calculation'!$T$5), 'Titer Calculation'!E175," "), "")</f>
        <v/>
      </c>
      <c r="F338" s="116" t="str">
        <f aca="false">IFERROR(IF(AND('Titer Calculation'!F175&lt;='Titer Calculation'!$T$4,'Titer Calculation'!F175&gt;'Titer Calculation'!$T$5), 'Titer Calculation'!F175," "), "")</f>
        <v/>
      </c>
      <c r="G338" s="116" t="str">
        <f aca="false">IFERROR(IF(AND('Titer Calculation'!G175&lt;='Titer Calculation'!$T$4,'Titer Calculation'!G175&gt;'Titer Calculation'!$T$5), 'Titer Calculation'!G175," "), "")</f>
        <v/>
      </c>
      <c r="H338" s="116" t="str">
        <f aca="false">IFERROR(IF(AND('Titer Calculation'!H175&lt;='Titer Calculation'!$T$4,'Titer Calculation'!H175&gt;'Titer Calculation'!$T$5), 'Titer Calculation'!H175," "), "")</f>
        <v/>
      </c>
      <c r="I338" s="116" t="str">
        <f aca="false">IFERROR(IF(AND('Titer Calculation'!I175&lt;='Titer Calculation'!$T$4,'Titer Calculation'!I175&gt;'Titer Calculation'!$T$5), 'Titer Calculation'!I175," "), "")</f>
        <v/>
      </c>
      <c r="J338" s="116" t="str">
        <f aca="false">IFERROR(IF(AND('Titer Calculation'!J175&lt;='Titer Calculation'!$T$4,'Titer Calculation'!J175&gt;'Titer Calculation'!$T$5), 'Titer Calculation'!J175," "), "")</f>
        <v/>
      </c>
      <c r="K338" s="116" t="str">
        <f aca="false">IFERROR(IF(AND('Titer Calculation'!K175&lt;='Titer Calculation'!$T$4,'Titer Calculation'!K175&gt;'Titer Calculation'!$T$5), 'Titer Calculation'!K175," "), "")</f>
        <v/>
      </c>
      <c r="L338" s="116" t="str">
        <f aca="false">IFERROR(IF(AND('Titer Calculation'!L175&lt;='Titer Calculation'!$T$4,'Titer Calculation'!L175&gt;'Titer Calculation'!$T$5), 'Titer Calculation'!L175," "), "")</f>
        <v/>
      </c>
      <c r="M338" s="116" t="str">
        <f aca="false">IFERROR(IF(AND('Titer Calculation'!M175&lt;='Titer Calculation'!$T$4,'Titer Calculation'!M175&gt;'Titer Calculation'!$T$5), 'Titer Calculation'!M175," "), "")</f>
        <v/>
      </c>
      <c r="N338" s="116" t="str">
        <f aca="false">IFERROR(IF(AND('Titer Calculation'!N175&lt;='Titer Calculation'!$T$4,'Titer Calculation'!N175&gt;'Titer Calculation'!$T$5), 'Titer Calculation'!N175," "), "")</f>
        <v/>
      </c>
      <c r="O338" s="44"/>
      <c r="P338" s="44"/>
      <c r="Q338" s="83"/>
      <c r="R338" s="44"/>
      <c r="S338" s="44"/>
      <c r="T338" s="44"/>
      <c r="U338" s="44"/>
      <c r="V338" s="202" t="n">
        <v>4</v>
      </c>
      <c r="W338" s="203" t="n">
        <v>423</v>
      </c>
      <c r="X338" s="204" t="n">
        <v>457</v>
      </c>
      <c r="Y338" s="189"/>
      <c r="Z338" s="189"/>
      <c r="AA338" s="279"/>
      <c r="AB338" s="44"/>
      <c r="AC338" s="44"/>
      <c r="AD338" s="44"/>
      <c r="AE338" s="157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</row>
    <row r="339" customFormat="false" ht="15.75" hidden="false" customHeight="false" outlineLevel="0" collapsed="false">
      <c r="A339" s="97" t="s">
        <v>170</v>
      </c>
      <c r="B339" s="97" t="n">
        <f aca="false">'Titer Calculation'!B176</f>
        <v>625</v>
      </c>
      <c r="C339" s="116" t="str">
        <f aca="false">IFERROR(IF(AND('Titer Calculation'!C176&lt;='Titer Calculation'!$T$4,'Titer Calculation'!C176&gt;'Titer Calculation'!$T$5), 'Titer Calculation'!C176," "), "")</f>
        <v/>
      </c>
      <c r="D339" s="116" t="str">
        <f aca="false">IFERROR(IF(AND('Titer Calculation'!D176&lt;='Titer Calculation'!$T$4,'Titer Calculation'!D176&gt;'Titer Calculation'!$T$5), 'Titer Calculation'!D176," "), "")</f>
        <v/>
      </c>
      <c r="E339" s="116" t="str">
        <f aca="false">IFERROR(IF(AND('Titer Calculation'!E176&lt;='Titer Calculation'!$T$4,'Titer Calculation'!E176&gt;'Titer Calculation'!$T$5), 'Titer Calculation'!E176," "), "")</f>
        <v/>
      </c>
      <c r="F339" s="116" t="str">
        <f aca="false">IFERROR(IF(AND('Titer Calculation'!F176&lt;='Titer Calculation'!$T$4,'Titer Calculation'!F176&gt;'Titer Calculation'!$T$5), 'Titer Calculation'!F176," "), "")</f>
        <v/>
      </c>
      <c r="G339" s="116" t="str">
        <f aca="false">IFERROR(IF(AND('Titer Calculation'!G176&lt;='Titer Calculation'!$T$4,'Titer Calculation'!G176&gt;'Titer Calculation'!$T$5), 'Titer Calculation'!G176," "), "")</f>
        <v/>
      </c>
      <c r="H339" s="116" t="str">
        <f aca="false">IFERROR(IF(AND('Titer Calculation'!H176&lt;='Titer Calculation'!$T$4,'Titer Calculation'!H176&gt;'Titer Calculation'!$T$5), 'Titer Calculation'!H176," "), "")</f>
        <v/>
      </c>
      <c r="I339" s="116" t="str">
        <f aca="false">IFERROR(IF(AND('Titer Calculation'!I176&lt;='Titer Calculation'!$T$4,'Titer Calculation'!I176&gt;'Titer Calculation'!$T$5), 'Titer Calculation'!I176," "), "")</f>
        <v/>
      </c>
      <c r="J339" s="116" t="str">
        <f aca="false">IFERROR(IF(AND('Titer Calculation'!J176&lt;='Titer Calculation'!$T$4,'Titer Calculation'!J176&gt;'Titer Calculation'!$T$5), 'Titer Calculation'!J176," "), "")</f>
        <v/>
      </c>
      <c r="K339" s="116" t="str">
        <f aca="false">IFERROR(IF(AND('Titer Calculation'!K176&lt;='Titer Calculation'!$T$4,'Titer Calculation'!K176&gt;'Titer Calculation'!$T$5), 'Titer Calculation'!K176," "), "")</f>
        <v/>
      </c>
      <c r="L339" s="116" t="str">
        <f aca="false">IFERROR(IF(AND('Titer Calculation'!L176&lt;='Titer Calculation'!$T$4,'Titer Calculation'!L176&gt;'Titer Calculation'!$T$5), 'Titer Calculation'!L176," "), "")</f>
        <v/>
      </c>
      <c r="M339" s="116" t="str">
        <f aca="false">IFERROR(IF(AND('Titer Calculation'!M176&lt;='Titer Calculation'!$T$4,'Titer Calculation'!M176&gt;'Titer Calculation'!$T$5), 'Titer Calculation'!M176," "), "")</f>
        <v/>
      </c>
      <c r="N339" s="116" t="str">
        <f aca="false">IFERROR(IF(AND('Titer Calculation'!N176&lt;='Titer Calculation'!$T$4,'Titer Calculation'!N176&gt;'Titer Calculation'!$T$5), 'Titer Calculation'!N176," "), "")</f>
        <v/>
      </c>
      <c r="O339" s="44"/>
      <c r="P339" s="44"/>
      <c r="Q339" s="83"/>
      <c r="R339" s="44"/>
      <c r="S339" s="44"/>
      <c r="T339" s="44"/>
      <c r="U339" s="44"/>
      <c r="V339" s="202" t="n">
        <v>5</v>
      </c>
      <c r="W339" s="203" t="n">
        <v>458</v>
      </c>
      <c r="X339" s="204" t="n">
        <v>478</v>
      </c>
      <c r="Y339" s="189"/>
      <c r="Z339" s="189"/>
      <c r="AA339" s="279"/>
      <c r="AB339" s="44"/>
      <c r="AC339" s="44"/>
      <c r="AD339" s="44"/>
      <c r="AE339" s="157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</row>
    <row r="340" customFormat="false" ht="15.75" hidden="false" customHeight="false" outlineLevel="0" collapsed="false">
      <c r="A340" s="97" t="s">
        <v>171</v>
      </c>
      <c r="B340" s="97" t="n">
        <f aca="false">'Titer Calculation'!B177</f>
        <v>3125</v>
      </c>
      <c r="C340" s="116" t="str">
        <f aca="false">IFERROR(IF(AND('Titer Calculation'!C177&lt;='Titer Calculation'!$T$4,'Titer Calculation'!C177&gt;'Titer Calculation'!$T$5), 'Titer Calculation'!C177," "), "")</f>
        <v/>
      </c>
      <c r="D340" s="116" t="str">
        <f aca="false">IFERROR(IF(AND('Titer Calculation'!D177&lt;='Titer Calculation'!$T$4,'Titer Calculation'!D177&gt;'Titer Calculation'!$T$5), 'Titer Calculation'!D177," "), "")</f>
        <v/>
      </c>
      <c r="E340" s="116" t="str">
        <f aca="false">IFERROR(IF(AND('Titer Calculation'!E177&lt;='Titer Calculation'!$T$4,'Titer Calculation'!E177&gt;'Titer Calculation'!$T$5), 'Titer Calculation'!E177," "), "")</f>
        <v/>
      </c>
      <c r="F340" s="116" t="str">
        <f aca="false">IFERROR(IF(AND('Titer Calculation'!F177&lt;='Titer Calculation'!$T$4,'Titer Calculation'!F177&gt;'Titer Calculation'!$T$5), 'Titer Calculation'!F177," "), "")</f>
        <v/>
      </c>
      <c r="G340" s="116" t="str">
        <f aca="false">IFERROR(IF(AND('Titer Calculation'!G177&lt;='Titer Calculation'!$T$4,'Titer Calculation'!G177&gt;'Titer Calculation'!$T$5), 'Titer Calculation'!G177," "), "")</f>
        <v/>
      </c>
      <c r="H340" s="116" t="str">
        <f aca="false">IFERROR(IF(AND('Titer Calculation'!H177&lt;='Titer Calculation'!$T$4,'Titer Calculation'!H177&gt;'Titer Calculation'!$T$5), 'Titer Calculation'!H177," "), "")</f>
        <v/>
      </c>
      <c r="I340" s="116" t="str">
        <f aca="false">IFERROR(IF(AND('Titer Calculation'!I177&lt;='Titer Calculation'!$T$4,'Titer Calculation'!I177&gt;'Titer Calculation'!$T$5), 'Titer Calculation'!I177," "), "")</f>
        <v/>
      </c>
      <c r="J340" s="116" t="str">
        <f aca="false">IFERROR(IF(AND('Titer Calculation'!J177&lt;='Titer Calculation'!$T$4,'Titer Calculation'!J177&gt;'Titer Calculation'!$T$5), 'Titer Calculation'!J177," "), "")</f>
        <v/>
      </c>
      <c r="K340" s="116" t="str">
        <f aca="false">IFERROR(IF(AND('Titer Calculation'!K177&lt;='Titer Calculation'!$T$4,'Titer Calculation'!K177&gt;'Titer Calculation'!$T$5), 'Titer Calculation'!K177," "), "")</f>
        <v/>
      </c>
      <c r="L340" s="116" t="str">
        <f aca="false">IFERROR(IF(AND('Titer Calculation'!L177&lt;='Titer Calculation'!$T$4,'Titer Calculation'!L177&gt;'Titer Calculation'!$T$5), 'Titer Calculation'!L177," "), "")</f>
        <v/>
      </c>
      <c r="M340" s="116" t="str">
        <f aca="false">IFERROR(IF(AND('Titer Calculation'!M177&lt;='Titer Calculation'!$T$4,'Titer Calculation'!M177&gt;'Titer Calculation'!$T$5), 'Titer Calculation'!M177," "), "")</f>
        <v/>
      </c>
      <c r="N340" s="116" t="str">
        <f aca="false">IFERROR(IF(AND('Titer Calculation'!N177&lt;='Titer Calculation'!$T$4,'Titer Calculation'!N177&gt;'Titer Calculation'!$T$5), 'Titer Calculation'!N177," "), "")</f>
        <v/>
      </c>
      <c r="O340" s="44"/>
      <c r="P340" s="44"/>
      <c r="Q340" s="83"/>
      <c r="R340" s="44"/>
      <c r="S340" s="44"/>
      <c r="T340" s="44"/>
      <c r="U340" s="44"/>
      <c r="V340" s="202" t="n">
        <v>6</v>
      </c>
      <c r="W340" s="203" t="n">
        <v>479</v>
      </c>
      <c r="X340" s="204" t="n">
        <v>485</v>
      </c>
      <c r="Y340" s="189"/>
      <c r="Z340" s="189"/>
      <c r="AA340" s="279"/>
      <c r="AB340" s="44"/>
      <c r="AC340" s="44"/>
      <c r="AD340" s="44"/>
      <c r="AE340" s="157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</row>
    <row r="341" customFormat="false" ht="16.5" hidden="false" customHeight="false" outlineLevel="0" collapsed="false">
      <c r="A341" s="97" t="s">
        <v>172</v>
      </c>
      <c r="B341" s="97" t="n">
        <f aca="false">'Titer Calculation'!B178</f>
        <v>15625</v>
      </c>
      <c r="C341" s="116" t="str">
        <f aca="false">IFERROR(IF(AND('Titer Calculation'!C178&lt;='Titer Calculation'!$T$4,'Titer Calculation'!C178&gt;'Titer Calculation'!$T$5), 'Titer Calculation'!C178," "), "")</f>
        <v/>
      </c>
      <c r="D341" s="116" t="str">
        <f aca="false">IFERROR(IF(AND('Titer Calculation'!D178&lt;='Titer Calculation'!$T$4,'Titer Calculation'!D178&gt;'Titer Calculation'!$T$5), 'Titer Calculation'!D178," "), "")</f>
        <v/>
      </c>
      <c r="E341" s="116" t="str">
        <f aca="false">IFERROR(IF(AND('Titer Calculation'!E178&lt;='Titer Calculation'!$T$4,'Titer Calculation'!E178&gt;'Titer Calculation'!$T$5), 'Titer Calculation'!E178," "), "")</f>
        <v/>
      </c>
      <c r="F341" s="116" t="str">
        <f aca="false">IFERROR(IF(AND('Titer Calculation'!F178&lt;='Titer Calculation'!$T$4,'Titer Calculation'!F178&gt;'Titer Calculation'!$T$5), 'Titer Calculation'!F178," "), "")</f>
        <v/>
      </c>
      <c r="G341" s="116" t="str">
        <f aca="false">IFERROR(IF(AND('Titer Calculation'!G178&lt;='Titer Calculation'!$T$4,'Titer Calculation'!G178&gt;'Titer Calculation'!$T$5), 'Titer Calculation'!G178," "), "")</f>
        <v/>
      </c>
      <c r="H341" s="116" t="str">
        <f aca="false">IFERROR(IF(AND('Titer Calculation'!H178&lt;='Titer Calculation'!$T$4,'Titer Calculation'!H178&gt;'Titer Calculation'!$T$5), 'Titer Calculation'!H178," "), "")</f>
        <v/>
      </c>
      <c r="I341" s="116" t="str">
        <f aca="false">IFERROR(IF(AND('Titer Calculation'!I178&lt;='Titer Calculation'!$T$4,'Titer Calculation'!I178&gt;'Titer Calculation'!$T$5), 'Titer Calculation'!I178," "), "")</f>
        <v/>
      </c>
      <c r="J341" s="116" t="str">
        <f aca="false">IFERROR(IF(AND('Titer Calculation'!J178&lt;='Titer Calculation'!$T$4,'Titer Calculation'!J178&gt;'Titer Calculation'!$T$5), 'Titer Calculation'!J178," "), "")</f>
        <v/>
      </c>
      <c r="K341" s="116" t="str">
        <f aca="false">IFERROR(IF(AND('Titer Calculation'!K178&lt;='Titer Calculation'!$T$4,'Titer Calculation'!K178&gt;'Titer Calculation'!$T$5), 'Titer Calculation'!K178," "), "")</f>
        <v/>
      </c>
      <c r="L341" s="116" t="str">
        <f aca="false">IFERROR(IF(AND('Titer Calculation'!L178&lt;='Titer Calculation'!$T$4,'Titer Calculation'!L178&gt;'Titer Calculation'!$T$5), 'Titer Calculation'!L178," "), "")</f>
        <v/>
      </c>
      <c r="M341" s="116" t="str">
        <f aca="false">IFERROR(IF(AND('Titer Calculation'!M178&lt;='Titer Calculation'!$T$4,'Titer Calculation'!M178&gt;'Titer Calculation'!$T$5), 'Titer Calculation'!M178," "), "")</f>
        <v/>
      </c>
      <c r="N341" s="116" t="str">
        <f aca="false">IFERROR(IF(AND('Titer Calculation'!N178&lt;='Titer Calculation'!$T$4,'Titer Calculation'!N178&gt;'Titer Calculation'!$T$5), 'Titer Calculation'!N178," "), "")</f>
        <v/>
      </c>
      <c r="O341" s="44"/>
      <c r="P341" s="44"/>
      <c r="Q341" s="83"/>
      <c r="R341" s="44"/>
      <c r="S341" s="44"/>
      <c r="T341" s="44"/>
      <c r="U341" s="44"/>
      <c r="V341" s="208" t="n">
        <v>7</v>
      </c>
      <c r="W341" s="209" t="n">
        <v>486</v>
      </c>
      <c r="X341" s="210" t="n">
        <v>486</v>
      </c>
      <c r="Y341" s="189"/>
      <c r="Z341" s="189"/>
      <c r="AA341" s="279"/>
      <c r="AB341" s="44"/>
      <c r="AC341" s="44"/>
      <c r="AD341" s="44"/>
      <c r="AE341" s="157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</row>
    <row r="342" customFormat="false" ht="15.75" hidden="false" customHeight="false" outlineLevel="0" collapsed="false">
      <c r="A342" s="97" t="s">
        <v>173</v>
      </c>
      <c r="B342" s="97" t="n">
        <f aca="false">'Titer Calculation'!B179</f>
        <v>78125</v>
      </c>
      <c r="C342" s="116" t="str">
        <f aca="false">IFERROR(IF(AND('Titer Calculation'!C179&lt;='Titer Calculation'!$T$4,'Titer Calculation'!C179&gt;'Titer Calculation'!$T$5), 'Titer Calculation'!C179," "), "")</f>
        <v/>
      </c>
      <c r="D342" s="116" t="str">
        <f aca="false">IFERROR(IF(AND('Titer Calculation'!D179&lt;='Titer Calculation'!$T$4,'Titer Calculation'!D179&gt;'Titer Calculation'!$T$5), 'Titer Calculation'!D179," "), "")</f>
        <v/>
      </c>
      <c r="E342" s="116" t="str">
        <f aca="false">IFERROR(IF(AND('Titer Calculation'!E179&lt;='Titer Calculation'!$T$4,'Titer Calculation'!E179&gt;'Titer Calculation'!$T$5), 'Titer Calculation'!E179," "), "")</f>
        <v/>
      </c>
      <c r="F342" s="116" t="str">
        <f aca="false">IFERROR(IF(AND('Titer Calculation'!F179&lt;='Titer Calculation'!$T$4,'Titer Calculation'!F179&gt;'Titer Calculation'!$T$5), 'Titer Calculation'!F179," "), "")</f>
        <v/>
      </c>
      <c r="G342" s="116" t="str">
        <f aca="false">IFERROR(IF(AND('Titer Calculation'!G179&lt;='Titer Calculation'!$T$4,'Titer Calculation'!G179&gt;'Titer Calculation'!$T$5), 'Titer Calculation'!G179," "), "")</f>
        <v/>
      </c>
      <c r="H342" s="116" t="str">
        <f aca="false">IFERROR(IF(AND('Titer Calculation'!H179&lt;='Titer Calculation'!$T$4,'Titer Calculation'!H179&gt;'Titer Calculation'!$T$5), 'Titer Calculation'!H179," "), "")</f>
        <v/>
      </c>
      <c r="I342" s="116" t="str">
        <f aca="false">IFERROR(IF(AND('Titer Calculation'!I179&lt;='Titer Calculation'!$T$4,'Titer Calculation'!I179&gt;'Titer Calculation'!$T$5), 'Titer Calculation'!I179," "), "")</f>
        <v/>
      </c>
      <c r="J342" s="116" t="str">
        <f aca="false">IFERROR(IF(AND('Titer Calculation'!J179&lt;='Titer Calculation'!$T$4,'Titer Calculation'!J179&gt;'Titer Calculation'!$T$5), 'Titer Calculation'!J179," "), "")</f>
        <v/>
      </c>
      <c r="K342" s="116" t="str">
        <f aca="false">IFERROR(IF(AND('Titer Calculation'!K179&lt;='Titer Calculation'!$T$4,'Titer Calculation'!K179&gt;'Titer Calculation'!$T$5), 'Titer Calculation'!K179," "), "")</f>
        <v/>
      </c>
      <c r="L342" s="116" t="str">
        <f aca="false">IFERROR(IF(AND('Titer Calculation'!L179&lt;='Titer Calculation'!$T$4,'Titer Calculation'!L179&gt;'Titer Calculation'!$T$5), 'Titer Calculation'!L179," "), "")</f>
        <v/>
      </c>
      <c r="M342" s="116" t="str">
        <f aca="false">IFERROR(IF(AND('Titer Calculation'!M179&lt;='Titer Calculation'!$T$4,'Titer Calculation'!M179&gt;'Titer Calculation'!$T$5), 'Titer Calculation'!M179," "), "")</f>
        <v/>
      </c>
      <c r="N342" s="116" t="str">
        <f aca="false">IFERROR(IF(AND('Titer Calculation'!N179&lt;='Titer Calculation'!$T$4,'Titer Calculation'!N179&gt;'Titer Calculation'!$T$5), 'Titer Calculation'!N179," "), "")</f>
        <v/>
      </c>
      <c r="O342" s="44"/>
      <c r="P342" s="44"/>
      <c r="Q342" s="83"/>
      <c r="R342" s="44"/>
      <c r="S342" s="44"/>
      <c r="T342" s="44"/>
      <c r="U342" s="44"/>
      <c r="V342" s="189"/>
      <c r="W342" s="189"/>
      <c r="X342" s="189"/>
      <c r="Y342" s="189"/>
      <c r="Z342" s="189"/>
      <c r="AA342" s="189"/>
      <c r="AB342" s="44"/>
      <c r="AC342" s="44"/>
      <c r="AD342" s="44"/>
      <c r="AE342" s="157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</row>
    <row r="343" customFormat="false" ht="15.75" hidden="false" customHeight="false" outlineLevel="0" collapsed="false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83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157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</row>
    <row r="344" customFormat="false" ht="21" hidden="false" customHeight="false" outlineLevel="0" collapsed="false">
      <c r="A344" s="44"/>
      <c r="B344" s="34"/>
      <c r="C344" s="44"/>
      <c r="D344" s="44"/>
      <c r="E344" s="114"/>
      <c r="F344" s="114"/>
      <c r="G344" s="44"/>
      <c r="H344" s="115"/>
      <c r="I344" s="44"/>
      <c r="J344" s="58"/>
      <c r="K344" s="44"/>
      <c r="L344" s="44"/>
      <c r="M344" s="44"/>
      <c r="N344" s="44"/>
      <c r="O344" s="44"/>
      <c r="P344" s="44"/>
      <c r="Q344" s="83"/>
      <c r="R344" s="185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157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</row>
    <row r="345" customFormat="false" ht="15.75" hidden="false" customHeight="false" outlineLevel="0" collapsed="false">
      <c r="A345" s="96" t="s">
        <v>239</v>
      </c>
      <c r="B345" s="96"/>
      <c r="C345" s="96"/>
      <c r="D345" s="96"/>
      <c r="E345" s="96"/>
      <c r="F345" s="96"/>
      <c r="G345" s="96"/>
      <c r="H345" s="96"/>
      <c r="I345" s="96"/>
      <c r="J345" s="96"/>
      <c r="K345" s="96"/>
      <c r="L345" s="96"/>
      <c r="M345" s="96"/>
      <c r="N345" s="96"/>
      <c r="O345" s="42"/>
      <c r="P345" s="42"/>
      <c r="Q345" s="83"/>
      <c r="R345" s="44"/>
      <c r="S345" s="44"/>
      <c r="T345" s="99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157"/>
      <c r="AF345" s="44"/>
      <c r="AG345" s="44"/>
      <c r="AH345" s="44"/>
      <c r="AI345" s="44"/>
      <c r="AJ345" s="44"/>
      <c r="AK345" s="44"/>
      <c r="AL345" s="44"/>
      <c r="AM345" s="44"/>
      <c r="AN345" s="44"/>
      <c r="AO345" s="99"/>
      <c r="AP345" s="44"/>
      <c r="AQ345" s="44"/>
      <c r="AR345" s="44"/>
    </row>
    <row r="346" customFormat="false" ht="15.75" hidden="false" customHeight="false" outlineLevel="0" collapsed="false">
      <c r="A346" s="168" t="s">
        <v>166</v>
      </c>
      <c r="B346" s="96" t="s">
        <v>226</v>
      </c>
      <c r="C346" s="276" t="n">
        <f aca="false">C335</f>
        <v>1</v>
      </c>
      <c r="D346" s="276" t="n">
        <f aca="false">D335</f>
        <v>2</v>
      </c>
      <c r="E346" s="239" t="n">
        <f aca="false">E335</f>
        <v>3</v>
      </c>
      <c r="F346" s="239" t="n">
        <f aca="false">F335</f>
        <v>4</v>
      </c>
      <c r="G346" s="239" t="n">
        <f aca="false">G335</f>
        <v>5</v>
      </c>
      <c r="H346" s="239" t="n">
        <f aca="false">H335</f>
        <v>6</v>
      </c>
      <c r="I346" s="239" t="n">
        <f aca="false">I335</f>
        <v>7</v>
      </c>
      <c r="J346" s="239" t="n">
        <f aca="false">J335</f>
        <v>8</v>
      </c>
      <c r="K346" s="239" t="n">
        <f aca="false">K335</f>
        <v>9</v>
      </c>
      <c r="L346" s="239" t="n">
        <f aca="false">L335</f>
        <v>10</v>
      </c>
      <c r="M346" s="239" t="n">
        <f aca="false">M335</f>
        <v>11</v>
      </c>
      <c r="N346" s="239" t="n">
        <f aca="false">N335</f>
        <v>12</v>
      </c>
      <c r="O346" s="99"/>
      <c r="P346" s="99"/>
      <c r="Q346" s="191"/>
      <c r="R346" s="99"/>
      <c r="S346" s="99"/>
      <c r="T346" s="120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157"/>
      <c r="AF346" s="44"/>
      <c r="AG346" s="44"/>
      <c r="AH346" s="44"/>
      <c r="AI346" s="44"/>
      <c r="AJ346" s="44"/>
      <c r="AK346" s="44"/>
      <c r="AL346" s="44"/>
      <c r="AM346" s="44"/>
      <c r="AN346" s="44"/>
      <c r="AO346" s="120"/>
      <c r="AP346" s="44"/>
      <c r="AQ346" s="44"/>
      <c r="AR346" s="44"/>
    </row>
    <row r="347" customFormat="false" ht="15.75" hidden="false" customHeight="false" outlineLevel="0" collapsed="false">
      <c r="A347" s="97" t="s">
        <v>167</v>
      </c>
      <c r="B347" s="97" t="n">
        <f aca="false">'Titer Calculation'!B173</f>
        <v>5</v>
      </c>
      <c r="C347" s="280" t="e">
        <f aca="false">10000*C336*$B336*10</f>
        <v>#VALUE!</v>
      </c>
      <c r="D347" s="280" t="e">
        <f aca="false">10000*D336*$B336*10</f>
        <v>#VALUE!</v>
      </c>
      <c r="E347" s="280" t="e">
        <f aca="false">10000*E336*$B336*10</f>
        <v>#VALUE!</v>
      </c>
      <c r="F347" s="280" t="e">
        <f aca="false">10000*F336*$B336*10</f>
        <v>#VALUE!</v>
      </c>
      <c r="G347" s="280" t="e">
        <f aca="false">10000*G336*$B336*10</f>
        <v>#VALUE!</v>
      </c>
      <c r="H347" s="280" t="e">
        <f aca="false">10000*H336*$B336*10</f>
        <v>#VALUE!</v>
      </c>
      <c r="I347" s="280" t="e">
        <f aca="false">10000*I336*$B336*10</f>
        <v>#VALUE!</v>
      </c>
      <c r="J347" s="280" t="e">
        <f aca="false">10000*J336*$B336*10</f>
        <v>#VALUE!</v>
      </c>
      <c r="K347" s="280" t="e">
        <f aca="false">10000*K336*$B336*10</f>
        <v>#VALUE!</v>
      </c>
      <c r="L347" s="280" t="e">
        <f aca="false">10000*L336*$B336*10</f>
        <v>#VALUE!</v>
      </c>
      <c r="M347" s="280" t="e">
        <f aca="false">10000*M336*$B336*10</f>
        <v>#VALUE!</v>
      </c>
      <c r="N347" s="280" t="e">
        <f aca="false">10000*N336*$B336*10</f>
        <v>#VALUE!</v>
      </c>
      <c r="O347" s="120"/>
      <c r="P347" s="44"/>
      <c r="Q347" s="83"/>
      <c r="R347" s="120"/>
      <c r="S347" s="44"/>
      <c r="T347" s="120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157"/>
      <c r="AF347" s="44"/>
      <c r="AG347" s="44"/>
      <c r="AH347" s="44"/>
      <c r="AI347" s="44"/>
      <c r="AJ347" s="44"/>
      <c r="AK347" s="44"/>
      <c r="AL347" s="44"/>
      <c r="AM347" s="44"/>
      <c r="AN347" s="44"/>
      <c r="AO347" s="120"/>
      <c r="AP347" s="44"/>
      <c r="AQ347" s="44"/>
      <c r="AR347" s="44"/>
    </row>
    <row r="348" customFormat="false" ht="15.75" hidden="false" customHeight="false" outlineLevel="0" collapsed="false">
      <c r="A348" s="97" t="s">
        <v>168</v>
      </c>
      <c r="B348" s="97" t="n">
        <f aca="false">'Titer Calculation'!B174</f>
        <v>25</v>
      </c>
      <c r="C348" s="280" t="e">
        <f aca="false">10000*C337*$B337*10</f>
        <v>#VALUE!</v>
      </c>
      <c r="D348" s="280" t="e">
        <f aca="false">10000*D337*$B337*10</f>
        <v>#VALUE!</v>
      </c>
      <c r="E348" s="280" t="e">
        <f aca="false">10000*E337*$B337*10</f>
        <v>#VALUE!</v>
      </c>
      <c r="F348" s="280" t="e">
        <f aca="false">10000*F337*$B337*10</f>
        <v>#VALUE!</v>
      </c>
      <c r="G348" s="280" t="e">
        <f aca="false">10000*G337*$B337*10</f>
        <v>#VALUE!</v>
      </c>
      <c r="H348" s="280" t="e">
        <f aca="false">10000*H337*$B337*10</f>
        <v>#VALUE!</v>
      </c>
      <c r="I348" s="280" t="e">
        <f aca="false">10000*I337*$B337*10</f>
        <v>#VALUE!</v>
      </c>
      <c r="J348" s="280" t="e">
        <f aca="false">10000*J337*$B337*10</f>
        <v>#VALUE!</v>
      </c>
      <c r="K348" s="280" t="e">
        <f aca="false">10000*K337*$B337*10</f>
        <v>#VALUE!</v>
      </c>
      <c r="L348" s="280" t="e">
        <f aca="false">10000*L337*$B337*10</f>
        <v>#VALUE!</v>
      </c>
      <c r="M348" s="280" t="e">
        <f aca="false">10000*M337*$B337*10</f>
        <v>#VALUE!</v>
      </c>
      <c r="N348" s="280" t="e">
        <f aca="false">10000*N337*$B337*10</f>
        <v>#VALUE!</v>
      </c>
      <c r="O348" s="120"/>
      <c r="P348" s="44"/>
      <c r="Q348" s="83"/>
      <c r="R348" s="120"/>
      <c r="S348" s="44"/>
      <c r="T348" s="120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157"/>
      <c r="AF348" s="44"/>
      <c r="AG348" s="44"/>
      <c r="AH348" s="44"/>
      <c r="AI348" s="44"/>
      <c r="AJ348" s="44"/>
      <c r="AK348" s="44"/>
      <c r="AL348" s="44"/>
      <c r="AM348" s="44"/>
      <c r="AN348" s="44"/>
      <c r="AO348" s="120"/>
      <c r="AP348" s="44"/>
      <c r="AQ348" s="44"/>
      <c r="AR348" s="44"/>
    </row>
    <row r="349" customFormat="false" ht="15.75" hidden="false" customHeight="false" outlineLevel="0" collapsed="false">
      <c r="A349" s="97" t="s">
        <v>169</v>
      </c>
      <c r="B349" s="97" t="n">
        <f aca="false">'Titer Calculation'!B175</f>
        <v>125</v>
      </c>
      <c r="C349" s="280" t="e">
        <f aca="false">10000*C338*$B338*10</f>
        <v>#VALUE!</v>
      </c>
      <c r="D349" s="280" t="e">
        <f aca="false">10000*D338*$B338*10</f>
        <v>#VALUE!</v>
      </c>
      <c r="E349" s="280" t="e">
        <f aca="false">10000*E338*$B338*10</f>
        <v>#VALUE!</v>
      </c>
      <c r="F349" s="280" t="e">
        <f aca="false">10000*F338*$B338*10</f>
        <v>#VALUE!</v>
      </c>
      <c r="G349" s="280" t="e">
        <f aca="false">10000*G338*$B338*10</f>
        <v>#VALUE!</v>
      </c>
      <c r="H349" s="280" t="e">
        <f aca="false">10000*H338*$B338*10</f>
        <v>#VALUE!</v>
      </c>
      <c r="I349" s="280" t="e">
        <f aca="false">10000*I338*$B338*10</f>
        <v>#VALUE!</v>
      </c>
      <c r="J349" s="280" t="e">
        <f aca="false">10000*J338*$B338*10</f>
        <v>#VALUE!</v>
      </c>
      <c r="K349" s="280" t="e">
        <f aca="false">10000*K338*$B338*10</f>
        <v>#VALUE!</v>
      </c>
      <c r="L349" s="280" t="e">
        <f aca="false">10000*L338*$B338*10</f>
        <v>#VALUE!</v>
      </c>
      <c r="M349" s="280" t="e">
        <f aca="false">10000*M338*$B338*10</f>
        <v>#VALUE!</v>
      </c>
      <c r="N349" s="280" t="e">
        <f aca="false">10000*N338*$B338*10</f>
        <v>#VALUE!</v>
      </c>
      <c r="O349" s="120"/>
      <c r="P349" s="44"/>
      <c r="Q349" s="83"/>
      <c r="R349" s="120"/>
      <c r="S349" s="44"/>
      <c r="T349" s="120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157"/>
      <c r="AF349" s="44"/>
      <c r="AG349" s="44"/>
      <c r="AH349" s="44"/>
      <c r="AI349" s="44"/>
      <c r="AJ349" s="44"/>
      <c r="AK349" s="44"/>
      <c r="AL349" s="44"/>
      <c r="AM349" s="44"/>
      <c r="AN349" s="44"/>
      <c r="AO349" s="120"/>
      <c r="AP349" s="44"/>
      <c r="AQ349" s="44"/>
      <c r="AR349" s="44"/>
    </row>
    <row r="350" customFormat="false" ht="15.75" hidden="false" customHeight="false" outlineLevel="0" collapsed="false">
      <c r="A350" s="97" t="s">
        <v>170</v>
      </c>
      <c r="B350" s="97" t="n">
        <f aca="false">'Titer Calculation'!B176</f>
        <v>625</v>
      </c>
      <c r="C350" s="280" t="e">
        <f aca="false">10000*C339*$B339*10</f>
        <v>#VALUE!</v>
      </c>
      <c r="D350" s="280" t="e">
        <f aca="false">10000*D339*$B339*10</f>
        <v>#VALUE!</v>
      </c>
      <c r="E350" s="280" t="e">
        <f aca="false">10000*E339*$B339*10</f>
        <v>#VALUE!</v>
      </c>
      <c r="F350" s="280" t="e">
        <f aca="false">10000*F339*$B339*10</f>
        <v>#VALUE!</v>
      </c>
      <c r="G350" s="280" t="e">
        <f aca="false">10000*G339*$B339*10</f>
        <v>#VALUE!</v>
      </c>
      <c r="H350" s="280" t="e">
        <f aca="false">10000*H339*$B339*10</f>
        <v>#VALUE!</v>
      </c>
      <c r="I350" s="280" t="e">
        <f aca="false">10000*I339*$B339*10</f>
        <v>#VALUE!</v>
      </c>
      <c r="J350" s="280" t="e">
        <f aca="false">10000*J339*$B339*10</f>
        <v>#VALUE!</v>
      </c>
      <c r="K350" s="280" t="e">
        <f aca="false">10000*K339*$B339*10</f>
        <v>#VALUE!</v>
      </c>
      <c r="L350" s="280" t="e">
        <f aca="false">10000*L339*$B339*10</f>
        <v>#VALUE!</v>
      </c>
      <c r="M350" s="280" t="e">
        <f aca="false">10000*M339*$B339*10</f>
        <v>#VALUE!</v>
      </c>
      <c r="N350" s="280" t="e">
        <f aca="false">10000*N339*$B339*10</f>
        <v>#VALUE!</v>
      </c>
      <c r="O350" s="120"/>
      <c r="P350" s="44"/>
      <c r="Q350" s="83"/>
      <c r="R350" s="44"/>
      <c r="S350" s="120"/>
      <c r="T350" s="120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157"/>
      <c r="AF350" s="44"/>
      <c r="AG350" s="44"/>
      <c r="AH350" s="44"/>
      <c r="AI350" s="44"/>
      <c r="AJ350" s="44"/>
      <c r="AK350" s="44"/>
      <c r="AL350" s="44"/>
      <c r="AM350" s="44"/>
      <c r="AN350" s="44"/>
      <c r="AO350" s="120"/>
      <c r="AP350" s="44"/>
      <c r="AQ350" s="44"/>
      <c r="AR350" s="44"/>
    </row>
    <row r="351" customFormat="false" ht="15.75" hidden="false" customHeight="false" outlineLevel="0" collapsed="false">
      <c r="A351" s="97" t="s">
        <v>171</v>
      </c>
      <c r="B351" s="97" t="n">
        <f aca="false">'Titer Calculation'!B177</f>
        <v>3125</v>
      </c>
      <c r="C351" s="280" t="e">
        <f aca="false">10000*C340*$B340*10</f>
        <v>#VALUE!</v>
      </c>
      <c r="D351" s="280" t="e">
        <f aca="false">10000*D340*$B340*10</f>
        <v>#VALUE!</v>
      </c>
      <c r="E351" s="280" t="e">
        <f aca="false">10000*E340*$B340*10</f>
        <v>#VALUE!</v>
      </c>
      <c r="F351" s="280" t="e">
        <f aca="false">10000*F340*$B340*10</f>
        <v>#VALUE!</v>
      </c>
      <c r="G351" s="280" t="e">
        <f aca="false">10000*G340*$B340*10</f>
        <v>#VALUE!</v>
      </c>
      <c r="H351" s="280" t="e">
        <f aca="false">10000*H340*$B340*10</f>
        <v>#VALUE!</v>
      </c>
      <c r="I351" s="280" t="e">
        <f aca="false">10000*I340*$B340*10</f>
        <v>#VALUE!</v>
      </c>
      <c r="J351" s="280" t="e">
        <f aca="false">10000*J340*$B340*10</f>
        <v>#VALUE!</v>
      </c>
      <c r="K351" s="280" t="e">
        <f aca="false">10000*K340*$B340*10</f>
        <v>#VALUE!</v>
      </c>
      <c r="L351" s="280" t="e">
        <f aca="false">10000*L340*$B340*10</f>
        <v>#VALUE!</v>
      </c>
      <c r="M351" s="280" t="e">
        <f aca="false">10000*M340*$B340*10</f>
        <v>#VALUE!</v>
      </c>
      <c r="N351" s="280" t="e">
        <f aca="false">10000*N340*$B340*10</f>
        <v>#VALUE!</v>
      </c>
      <c r="O351" s="120"/>
      <c r="P351" s="44"/>
      <c r="Q351" s="83"/>
      <c r="R351" s="44"/>
      <c r="S351" s="44"/>
      <c r="T351" s="120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157"/>
      <c r="AF351" s="44"/>
      <c r="AG351" s="44"/>
      <c r="AH351" s="44"/>
      <c r="AI351" s="44"/>
      <c r="AJ351" s="44"/>
      <c r="AK351" s="44"/>
      <c r="AL351" s="44"/>
      <c r="AM351" s="44"/>
      <c r="AN351" s="44"/>
      <c r="AO351" s="120"/>
      <c r="AP351" s="44"/>
      <c r="AQ351" s="44"/>
      <c r="AR351" s="44"/>
    </row>
    <row r="352" customFormat="false" ht="15.75" hidden="false" customHeight="false" outlineLevel="0" collapsed="false">
      <c r="A352" s="97" t="s">
        <v>172</v>
      </c>
      <c r="B352" s="97" t="n">
        <f aca="false">'Titer Calculation'!B178</f>
        <v>15625</v>
      </c>
      <c r="C352" s="280" t="e">
        <f aca="false">10000*C341*$B341*10</f>
        <v>#VALUE!</v>
      </c>
      <c r="D352" s="280" t="e">
        <f aca="false">10000*D341*$B341*10</f>
        <v>#VALUE!</v>
      </c>
      <c r="E352" s="280" t="e">
        <f aca="false">10000*E341*$B341*10</f>
        <v>#VALUE!</v>
      </c>
      <c r="F352" s="280" t="e">
        <f aca="false">10000*F341*$B341*10</f>
        <v>#VALUE!</v>
      </c>
      <c r="G352" s="280" t="e">
        <f aca="false">10000*G341*$B341*10</f>
        <v>#VALUE!</v>
      </c>
      <c r="H352" s="280" t="e">
        <f aca="false">10000*H341*$B341*10</f>
        <v>#VALUE!</v>
      </c>
      <c r="I352" s="280" t="e">
        <f aca="false">10000*I341*$B341*10</f>
        <v>#VALUE!</v>
      </c>
      <c r="J352" s="280" t="e">
        <f aca="false">10000*J341*$B341*10</f>
        <v>#VALUE!</v>
      </c>
      <c r="K352" s="280" t="e">
        <f aca="false">10000*K341*$B341*10</f>
        <v>#VALUE!</v>
      </c>
      <c r="L352" s="280" t="e">
        <f aca="false">10000*L341*$B341*10</f>
        <v>#VALUE!</v>
      </c>
      <c r="M352" s="280" t="e">
        <f aca="false">10000*M341*$B341*10</f>
        <v>#VALUE!</v>
      </c>
      <c r="N352" s="280" t="e">
        <f aca="false">10000*N341*$B341*10</f>
        <v>#VALUE!</v>
      </c>
      <c r="O352" s="120"/>
      <c r="P352" s="44"/>
      <c r="Q352" s="83"/>
      <c r="R352" s="120"/>
      <c r="S352" s="44"/>
      <c r="T352" s="120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157"/>
      <c r="AF352" s="44"/>
      <c r="AG352" s="44"/>
      <c r="AH352" s="44"/>
      <c r="AI352" s="44"/>
      <c r="AJ352" s="44"/>
      <c r="AK352" s="44"/>
      <c r="AL352" s="44"/>
      <c r="AM352" s="44"/>
      <c r="AN352" s="44"/>
      <c r="AO352" s="120"/>
      <c r="AP352" s="44"/>
      <c r="AQ352" s="44"/>
      <c r="AR352" s="44"/>
    </row>
    <row r="353" customFormat="false" ht="15.75" hidden="false" customHeight="false" outlineLevel="0" collapsed="false">
      <c r="A353" s="97" t="s">
        <v>173</v>
      </c>
      <c r="B353" s="97" t="n">
        <f aca="false">'Titer Calculation'!B179</f>
        <v>78125</v>
      </c>
      <c r="C353" s="280" t="e">
        <f aca="false">10000*C342*$B342*10</f>
        <v>#VALUE!</v>
      </c>
      <c r="D353" s="280" t="e">
        <f aca="false">10000*D342*$B342*10</f>
        <v>#VALUE!</v>
      </c>
      <c r="E353" s="280" t="e">
        <f aca="false">10000*E342*$B342*10</f>
        <v>#VALUE!</v>
      </c>
      <c r="F353" s="280" t="e">
        <f aca="false">10000*F342*$B342*10</f>
        <v>#VALUE!</v>
      </c>
      <c r="G353" s="280" t="e">
        <f aca="false">10000*G342*$B342*10</f>
        <v>#VALUE!</v>
      </c>
      <c r="H353" s="280" t="e">
        <f aca="false">10000*H342*$B342*10</f>
        <v>#VALUE!</v>
      </c>
      <c r="I353" s="280" t="e">
        <f aca="false">10000*I342*$B342*10</f>
        <v>#VALUE!</v>
      </c>
      <c r="J353" s="280" t="e">
        <f aca="false">10000*J342*$B342*10</f>
        <v>#VALUE!</v>
      </c>
      <c r="K353" s="280" t="e">
        <f aca="false">10000*K342*$B342*10</f>
        <v>#VALUE!</v>
      </c>
      <c r="L353" s="280" t="e">
        <f aca="false">10000*L342*$B342*10</f>
        <v>#VALUE!</v>
      </c>
      <c r="M353" s="280" t="e">
        <f aca="false">10000*M342*$B342*10</f>
        <v>#VALUE!</v>
      </c>
      <c r="N353" s="280" t="e">
        <f aca="false">10000*N342*$B342*10</f>
        <v>#VALUE!</v>
      </c>
      <c r="O353" s="211" t="s">
        <v>272</v>
      </c>
      <c r="P353" s="44"/>
      <c r="Q353" s="83"/>
      <c r="R353" s="212"/>
      <c r="S353" s="44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157"/>
      <c r="AF353" s="44"/>
      <c r="AG353" s="44"/>
      <c r="AH353" s="44"/>
      <c r="AI353" s="44"/>
      <c r="AJ353" s="44"/>
      <c r="AK353" s="44"/>
      <c r="AL353" s="44"/>
      <c r="AM353" s="44"/>
      <c r="AN353" s="44"/>
      <c r="AO353" s="75"/>
      <c r="AP353" s="44"/>
      <c r="AQ353" s="44"/>
      <c r="AR353" s="44"/>
    </row>
    <row r="354" s="46" customFormat="true" ht="15.75" hidden="false" customHeight="false" outlineLevel="0" collapsed="false">
      <c r="A354" s="96"/>
      <c r="B354" s="96"/>
      <c r="C354" s="217"/>
      <c r="D354" s="217"/>
      <c r="E354" s="217"/>
      <c r="F354" s="217"/>
      <c r="G354" s="217"/>
      <c r="H354" s="217"/>
      <c r="I354" s="217"/>
      <c r="J354" s="217"/>
      <c r="K354" s="217"/>
      <c r="L354" s="217"/>
      <c r="M354" s="217"/>
      <c r="N354" s="217"/>
      <c r="O354" s="211"/>
      <c r="P354" s="44"/>
      <c r="Q354" s="83"/>
      <c r="R354" s="212"/>
      <c r="S354" s="44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157"/>
      <c r="AF354" s="44"/>
      <c r="AG354" s="44"/>
      <c r="AH354" s="44"/>
      <c r="AI354" s="44"/>
      <c r="AJ354" s="44"/>
      <c r="AK354" s="44"/>
      <c r="AL354" s="44"/>
      <c r="AM354" s="44"/>
      <c r="AN354" s="44"/>
      <c r="AO354" s="75"/>
      <c r="AP354" s="44"/>
      <c r="AQ354" s="44"/>
      <c r="AR354" s="44"/>
    </row>
    <row r="355" customFormat="false" ht="15.75" hidden="false" customHeight="false" outlineLevel="0" collapsed="false">
      <c r="A355" s="213" t="s">
        <v>277</v>
      </c>
      <c r="B355" s="213"/>
      <c r="C355" s="214" t="e">
        <f aca="false" t="array" ref="C355:C355">_xlfn.IFS(AND(COUNT(C$336:C$342)&gt;=7,S$487&lt;'Titer Calculation'!$T$12),C$487,AND(COUNT(C$336:C$342)&gt;=6,MIN(S$480:S$486)&lt;'Titer Calculation'!$T$12),_xlfn.xlookup(MIN(S$480:S$486),S$480:S$486, C$480:C$486),AND(COUNT(C$336:C$342)&gt;=5,MIN(S$459:S$479)&lt;'Titer Calculation'!$T$12),_xlfn.xlookup(MIN(S$459:S$479), S$459:S$479, C$459:$C$479),AND(COUNT(C$336:C$342)&gt;=4,MIN(S$424:S$458)&lt;'Titer Calculation'!$T$12),_xlfn.xlookup(MIN(S$424:S$458), S$424:S$458, C$424:C$458),AND(COUNT(C$336:C$342)&gt;=3,MIN(S$389:S$423)&lt;'Titer Calculation'!$T$12),_xlfn.xlookup(MIN(S$389:S$423), S$389:S$423, C$389:C$423),AND(COUNT(C$336:C$342)&gt;=2,MIN(S$368:S$388)&lt;'Titer Calculation'!$T$12),_xlfn.xlookup(MIN(S$368:S$388), S$368:S$388, C$368:C$388), TRUE(), _xlfn.xlookup(MIN(S$368:S$487), S$368:S$487, C$368:C$487))</f>
        <v>#NAME?</v>
      </c>
      <c r="D355" s="214" t="e">
        <f aca="false" t="array" ref="D355:D355">_xlfn.IFS(AND(COUNT(D$336:D$342)&gt;=7,T$487&lt;'Titer Calculation'!$T$12),D$487,AND(COUNT(D$336:D$342)&gt;=6,MIN(T$480:T$486)&lt;'Titer Calculation'!$T$12),_xlfn.xlookup(MIN(T$480:T$486),T$480:T$486, D$480:D$486),AND(COUNT(D$336:D$342)&gt;=5,MIN(T$459:T$479)&lt;'Titer Calculation'!$T$12),_xlfn.xlookup(MIN(T$459:T$479), T$459:T$479, $C$459:D$479),AND(COUNT(D$336:D$342)&gt;=4,MIN(T$424:T$458)&lt;'Titer Calculation'!$T$12),_xlfn.xlookup(MIN(T$424:T$458), T$424:T$458, D$424:D$458),AND(COUNT(D$336:D$342)&gt;=3,MIN(T$389:T$423)&lt;'Titer Calculation'!$T$12),_xlfn.xlookup(MIN(T$389:T$423), T$389:T$423, D$389:D$423),AND(COUNT(D$336:D$342)&gt;=2,MIN(T$368:T$388)&lt;'Titer Calculation'!$T$12),_xlfn.xlookup(MIN(T$368:T$388), T$368:T$388, D$368:D$388), TRUE(), _xlfn.xlookup(MIN(T$368:T$487), T$368:T$487, D$368:D$487))</f>
        <v>#NAME?</v>
      </c>
      <c r="E355" s="214" t="e">
        <f aca="false" t="array" ref="E355:E355">_xlfn.IFS(AND(COUNT(E$336:E$342)&gt;=7,U$487&lt;'Titer Calculation'!$T$12),E$487,AND(COUNT(E$336:E$342)&gt;=6,MIN(U$480:U$486)&lt;'Titer Calculation'!$T$12),_xlfn.xlookup(MIN(U$480:U$486),U$480:U$486, E$480:E$486),AND(COUNT(E$336:E$342)&gt;=5,MIN(U$459:U$479)&lt;'Titer Calculation'!$T$12),_xlfn.xlookup(MIN(U$459:U$479), U$459:U$479, $C$459:E$479),AND(COUNT(E$336:E$342)&gt;=4,MIN(U$424:U$458)&lt;'Titer Calculation'!$T$12),_xlfn.xlookup(MIN(U$424:U$458), U$424:U$458, E$424:E$458),AND(COUNT(E$336:E$342)&gt;=3,MIN(U$389:U$423)&lt;'Titer Calculation'!$T$12),_xlfn.xlookup(MIN(U$389:U$423), U$389:U$423, E$389:E$423),AND(COUNT(E$336:E$342)&gt;=2,MIN(U$368:U$388)&lt;'Titer Calculation'!$T$12),_xlfn.xlookup(MIN(U$368:U$388), U$368:U$388, E$368:E$388), TRUE(), _xlfn.xlookup(MIN(U$368:U$487), U$368:U$487, E$368:E$487))</f>
        <v>#NAME?</v>
      </c>
      <c r="F355" s="214" t="e">
        <f aca="false" t="array" ref="F355:F355">_xlfn.IFS(AND(COUNT(F$336:F$342)&gt;=7,V$487&lt;'Titer Calculation'!$T$12),F$487,AND(COUNT(F$336:F$342)&gt;=6,MIN(V$480:V$486)&lt;'Titer Calculation'!$T$12),_xlfn.xlookup(MIN(V$480:V$486),V$480:V$486, F$480:F$486),AND(COUNT(F$336:F$342)&gt;=5,MIN(V$459:V$479)&lt;'Titer Calculation'!$T$12),_xlfn.xlookup(MIN(V$459:V$479), V$459:V$479, $C$459:F$479),AND(COUNT(F$336:F$342)&gt;=4,MIN(V$424:V$458)&lt;'Titer Calculation'!$T$12),_xlfn.xlookup(MIN(V$424:V$458), V$424:V$458, F$424:F$458),AND(COUNT(F$336:F$342)&gt;=3,MIN(V$389:V$423)&lt;'Titer Calculation'!$T$12),_xlfn.xlookup(MIN(V$389:V$423), V$389:V$423, F$389:F$423),AND(COUNT(F$336:F$342)&gt;=2,MIN(V$368:V$388)&lt;'Titer Calculation'!$T$12),_xlfn.xlookup(MIN(V$368:V$388), V$368:V$388, F$368:F$388), TRUE(), _xlfn.xlookup(MIN(V$368:V$487), V$368:V$487, F$368:F$487))</f>
        <v>#NAME?</v>
      </c>
      <c r="G355" s="214" t="e">
        <f aca="false" t="array" ref="G355:G355">_xlfn.IFS(AND(COUNT(G$336:G$342)&gt;=7,W$487&lt;'Titer Calculation'!$T$12),G$487,AND(COUNT(G$336:G$342)&gt;=6,MIN(W$480:W$486)&lt;'Titer Calculation'!$T$12),_xlfn.xlookup(MIN(W$480:W$486),W$480:W$486, G$480:G$486),AND(COUNT(G$336:G$342)&gt;=5,MIN(W$459:W$479)&lt;'Titer Calculation'!$T$12),_xlfn.xlookup(MIN(W$459:W$479), W$459:W$479, $C$459:G$479),AND(COUNT(G$336:G$342)&gt;=4,MIN(W$424:W$458)&lt;'Titer Calculation'!$T$12),_xlfn.xlookup(MIN(W$424:W$458), W$424:W$458, G$424:G$458),AND(COUNT(G$336:G$342)&gt;=3,MIN(W$389:W$423)&lt;'Titer Calculation'!$T$12),_xlfn.xlookup(MIN(W$389:W$423), W$389:W$423, G$389:G$423),AND(COUNT(G$336:G$342)&gt;=2,MIN(W$368:W$388)&lt;'Titer Calculation'!$T$12),_xlfn.xlookup(MIN(W$368:W$388), W$368:W$388, G$368:G$388), TRUE(), _xlfn.xlookup(MIN(W$368:W$487), W$368:W$487, G$368:G$487))</f>
        <v>#NAME?</v>
      </c>
      <c r="H355" s="214" t="e">
        <f aca="false" t="array" ref="H355:H355">_xlfn.IFS(AND(COUNT(H$336:H$342)&gt;=7,X$487&lt;'Titer Calculation'!$T$12),H$487,AND(COUNT(H$336:H$342)&gt;=6,MIN(X$480:X$486)&lt;'Titer Calculation'!$T$12),_xlfn.xlookup(MIN(X$480:X$486),X$480:X$486, H$480:H$486),AND(COUNT(H$336:H$342)&gt;=5,MIN(X$459:X$479)&lt;'Titer Calculation'!$T$12),_xlfn.xlookup(MIN(X$459:X$479), X$459:X$479, $C$459:H$479),AND(COUNT(H$336:H$342)&gt;=4,MIN(X$424:X$458)&lt;'Titer Calculation'!$T$12),_xlfn.xlookup(MIN(X$424:X$458), X$424:X$458, H$424:H$458),AND(COUNT(H$336:H$342)&gt;=3,MIN(X$389:X$423)&lt;'Titer Calculation'!$T$12),_xlfn.xlookup(MIN(X$389:X$423), X$389:X$423, H$389:H$423),AND(COUNT(H$336:H$342)&gt;=2,MIN(X$368:X$388)&lt;'Titer Calculation'!$T$12),_xlfn.xlookup(MIN(X$368:X$388), X$368:X$388, H$368:H$388), TRUE(), _xlfn.xlookup(MIN(X$368:X$487), X$368:X$487, H$368:H$487))</f>
        <v>#NAME?</v>
      </c>
      <c r="I355" s="214" t="e">
        <f aca="false" t="array" ref="I355:I355">_xlfn.IFS(AND(COUNT(I$336:I$342)&gt;=7,Y$487&lt;'Titer Calculation'!$T$12),I$487,AND(COUNT(I$336:I$342)&gt;=6,MIN(Y$480:Y$486)&lt;'Titer Calculation'!$T$12),_xlfn.xlookup(MIN(Y$480:Y$486),Y$480:Y$486, I$480:I$486),AND(COUNT(I$336:I$342)&gt;=5,MIN(Y$459:Y$479)&lt;'Titer Calculation'!$T$12),_xlfn.xlookup(MIN(Y$459:Y$479), Y$459:Y$479, $C$459:I$479),AND(COUNT(I$336:I$342)&gt;=4,MIN(Y$424:Y$458)&lt;'Titer Calculation'!$T$12),_xlfn.xlookup(MIN(Y$424:Y$458), Y$424:Y$458, I$424:I$458),AND(COUNT(I$336:I$342)&gt;=3,MIN(Y$389:Y$423)&lt;'Titer Calculation'!$T$12),_xlfn.xlookup(MIN(Y$389:Y$423), Y$389:Y$423, I$389:I$423),AND(COUNT(I$336:I$342)&gt;=2,MIN(Y$368:Y$388)&lt;'Titer Calculation'!$T$12),_xlfn.xlookup(MIN(Y$368:Y$388), Y$368:Y$388, I$368:I$388), TRUE(), _xlfn.xlookup(MIN(Y$368:Y$487), Y$368:Y$487, I$368:I$487))</f>
        <v>#NAME?</v>
      </c>
      <c r="J355" s="214" t="e">
        <f aca="false" t="array" ref="J355:J355">_xlfn.IFS(AND(COUNT(J$336:J$342)&gt;=7,Z$487&lt;'Titer Calculation'!$T$12),J$487,AND(COUNT(J$336:J$342)&gt;=6,MIN(Z$480:Z$486)&lt;'Titer Calculation'!$T$12),_xlfn.xlookup(MIN(Z$480:Z$486),Z$480:Z$486, J$480:J$486),AND(COUNT(J$336:J$342)&gt;=5,MIN(Z$459:Z$479)&lt;'Titer Calculation'!$T$12),_xlfn.xlookup(MIN(Z$459:Z$479), Z$459:Z$479, $C$459:J$479),AND(COUNT(J$336:J$342)&gt;=4,MIN(Z$424:Z$458)&lt;'Titer Calculation'!$T$12),_xlfn.xlookup(MIN(Z$424:Z$458), Z$424:Z$458, J$424:J$458),AND(COUNT(J$336:J$342)&gt;=3,MIN(Z$389:Z$423)&lt;'Titer Calculation'!$T$12),_xlfn.xlookup(MIN(Z$389:Z$423), Z$389:Z$423, J$389:J$423),AND(COUNT(J$336:J$342)&gt;=2,MIN(Z$368:Z$388)&lt;'Titer Calculation'!$T$12),_xlfn.xlookup(MIN(Z$368:Z$388), Z$368:Z$388, J$368:J$388), TRUE(), _xlfn.xlookup(MIN(Z$368:Z$487), Z$368:Z$487, J$368:J$487))</f>
        <v>#NAME?</v>
      </c>
      <c r="K355" s="214" t="e">
        <f aca="false" t="array" ref="K355:K355">_xlfn.IFS(AND(COUNT(K$336:K$342)&gt;=7,AA$487&lt;'Titer Calculation'!$T$12),K$487,AND(COUNT(K$336:K$342)&gt;=6,MIN(AA$480:AA$486)&lt;'Titer Calculation'!$T$12),_xlfn.xlookup(MIN(AA$480:AA$486),AA$480:AA$486, K$480:K$486),AND(COUNT(K$336:K$342)&gt;=5,MIN(AA$459:AA$479)&lt;'Titer Calculation'!$T$12),_xlfn.xlookup(MIN(AA$459:AA$479), AA$459:AA$479, $C$459:K$479),AND(COUNT(K$336:K$342)&gt;=4,MIN(AA$424:AA$458)&lt;'Titer Calculation'!$T$12),_xlfn.xlookup(MIN(AA$424:AA$458), AA$424:AA$458, K$424:K$458),AND(COUNT(K$336:K$342)&gt;=3,MIN(AA$389:AA$423)&lt;'Titer Calculation'!$T$12),_xlfn.xlookup(MIN(AA$389:AA$423), AA$389:AA$423, K$389:K$423),AND(COUNT(K$336:K$342)&gt;=2,MIN(AA$368:AA$388)&lt;'Titer Calculation'!$T$12),_xlfn.xlookup(MIN(AA$368:AA$388), AA$368:AA$388, K$368:K$388), TRUE(), _xlfn.xlookup(MIN(AA$368:AA$487), AA$368:AA$487, K$368:K$487))</f>
        <v>#NAME?</v>
      </c>
      <c r="L355" s="214" t="e">
        <f aca="false" t="array" ref="L355:L355">_xlfn.IFS(AND(COUNT(L$336:L$342)&gt;=7,AB$487&lt;'Titer Calculation'!$T$12),L$487,AND(COUNT(L$336:L$342)&gt;=6,MIN(AB$480:AB$486)&lt;'Titer Calculation'!$T$12),_xlfn.xlookup(MIN(AB$480:AB$486),AB$480:AB$486, L$480:L$486),AND(COUNT(L$336:L$342)&gt;=5,MIN(AB$459:AB$479)&lt;'Titer Calculation'!$T$12),_xlfn.xlookup(MIN(AB$459:AB$479), AB$459:AB$479, $C$459:L$479),AND(COUNT(L$336:L$342)&gt;=4,MIN(AB$424:AB$458)&lt;'Titer Calculation'!$T$12),_xlfn.xlookup(MIN(AB$424:AB$458), AB$424:AB$458, L$424:L$458),AND(COUNT(L$336:L$342)&gt;=3,MIN(AB$389:AB$423)&lt;'Titer Calculation'!$T$12),_xlfn.xlookup(MIN(AB$389:AB$423), AB$389:AB$423, L$389:L$423),AND(COUNT(L$336:L$342)&gt;=2,MIN(AB$368:AB$388)&lt;'Titer Calculation'!$T$12),_xlfn.xlookup(MIN(AB$368:AB$388), AB$368:AB$388, L$368:L$388), TRUE(), _xlfn.xlookup(MIN(AB$368:AB$487), AB$368:AB$487, L$368:L$487))</f>
        <v>#NAME?</v>
      </c>
      <c r="M355" s="214" t="e">
        <f aca="false" t="array" ref="M355:M355">_xlfn.IFS(AND(COUNT(M$336:M$342)&gt;=7,AC$487&lt;'Titer Calculation'!$T$12),M$487,AND(COUNT(M$336:M$342)&gt;=6,MIN(AC$480:AC$486)&lt;'Titer Calculation'!$T$12),_xlfn.xlookup(MIN(AC$480:AC$486),AC$480:AC$486, M$480:M$486),AND(COUNT(M$336:M$342)&gt;=5,MIN(AC$459:AC$479)&lt;'Titer Calculation'!$T$12),_xlfn.xlookup(MIN(AC$459:AC$479), AC$459:AC$479, $C$459:M$479),AND(COUNT(M$336:M$342)&gt;=4,MIN(AC$424:AC$458)&lt;'Titer Calculation'!$T$12),_xlfn.xlookup(MIN(AC$424:AC$458), AC$424:AC$458, M$424:M$458),AND(COUNT(M$336:M$342)&gt;=3,MIN(AC$389:AC$423)&lt;'Titer Calculation'!$T$12),_xlfn.xlookup(MIN(AC$389:AC$423), AC$389:AC$423, M$389:M$423),AND(COUNT(M$336:M$342)&gt;=2,MIN(AC$368:AC$388)&lt;'Titer Calculation'!$T$12),_xlfn.xlookup(MIN(AC$368:AC$388), AC$368:AC$388, M$368:M$388), TRUE(), _xlfn.xlookup(MIN(AC$368:AC$487), AC$368:AC$487, M$368:M$487))</f>
        <v>#NAME?</v>
      </c>
      <c r="N355" s="214" t="e">
        <f aca="false" t="array" ref="N355:N355">_xlfn.IFS(AND(COUNT(N$336:N$342)&gt;=7,AD$487&lt;'Titer Calculation'!$T$12),N$487,AND(COUNT(N$336:N$342)&gt;=6,MIN(AD$480:AD$486)&lt;'Titer Calculation'!$T$12),_xlfn.xlookup(MIN(AD$480:AD$486),AD$480:AD$486, N$480:N$486),AND(COUNT(N$336:N$342)&gt;=5,MIN(AD$459:AD$479)&lt;'Titer Calculation'!$T$12),_xlfn.xlookup(MIN(AD$459:AD$479), AD$459:AD$479, $C$459:N$479),AND(COUNT(N$336:N$342)&gt;=4,MIN(AD$424:AD$458)&lt;'Titer Calculation'!$T$12),_xlfn.xlookup(MIN(AD$424:AD$458), AD$424:AD$458, N$424:N$458),AND(COUNT(N$336:N$342)&gt;=3,MIN(AD$389:AD$423)&lt;'Titer Calculation'!$T$12),_xlfn.xlookup(MIN(AD$389:AD$423), AD$389:AD$423, N$389:N$423),AND(COUNT(N$336:N$342)&gt;=2,MIN(AD$368:AD$388)&lt;'Titer Calculation'!$T$12),_xlfn.xlookup(MIN(AD$368:AD$388), AD$368:AD$388, N$368:N$388), TRUE(), _xlfn.xlookup(MIN(AD$368:AD$487), AD$368:AD$487, N$368:N$487))</f>
        <v>#NAME?</v>
      </c>
      <c r="O355" s="211"/>
      <c r="P355" s="44"/>
      <c r="Q355" s="83"/>
      <c r="R355" s="212"/>
      <c r="S355" s="44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157"/>
      <c r="AF355" s="44"/>
      <c r="AG355" s="44"/>
      <c r="AH355" s="44"/>
      <c r="AI355" s="44"/>
      <c r="AJ355" s="44"/>
      <c r="AK355" s="44"/>
      <c r="AL355" s="44"/>
      <c r="AM355" s="44"/>
      <c r="AN355" s="44"/>
      <c r="AO355" s="75"/>
      <c r="AP355" s="44"/>
      <c r="AQ355" s="44"/>
      <c r="AR355" s="44"/>
    </row>
    <row r="356" customFormat="false" ht="15.75" hidden="false" customHeight="false" outlineLevel="0" collapsed="false">
      <c r="A356" s="213" t="s">
        <v>278</v>
      </c>
      <c r="B356" s="213"/>
      <c r="C356" s="215" t="e">
        <f aca="false" t="array" ref="C356:C356">REPLACE(_xlfn.IFS(AND(COUNT(C$336:C$342)&gt;=7,S$487&lt;'Titer Calculation'!$T$12),$A$487,AND(COUNT(C$336:C$342)&gt;=6,MIN(S$480:S$486)&lt;'Titer Calculation'!$T$12),_xlfn.xlookup(MIN(S$480:S$486),S$480:S$486, $A$480:$A$486),AND(COUNT(C$336:C$342)&gt;=5,MIN(S$459:S$479)&lt;'Titer Calculation'!$T$12),_xlfn.xlookup(MIN(S$459:S$479), S$459:S$479, $A$459:$A$479),AND(COUNT(C$336:C$342)&gt;=4,MIN(S$424:S$458)&lt;'Titer Calculation'!$T$12),_xlfn.xlookup(MIN(S$424:S$458), S$424:S$458, $A$424:$A$458),AND(COUNT(C$336:C$342)&gt;=3,MIN(S$389:S$423)&lt;'Titer Calculation'!$T$12),_xlfn.xlookup(MIN(S$389:S$423), S$389:S$423, $A$389:$A$423),AND(COUNT(C$336:C$342)&gt;=2,MIN(S$368:S$388)&lt;'Titer Calculation'!$T$12),_xlfn.xlookup(MIN(S$368:S$388), S$368:S$388, $A$368:$A$388), TRUE(), _xlfn.xlookup(MIN(S$368:S$487),S$368:S$487, $A$368:$A$487)), 1, 8,)</f>
        <v>#NAME?</v>
      </c>
      <c r="D356" s="215" t="e">
        <f aca="false" t="array" ref="D356:D356">REPLACE(_xlfn.IFS(AND(COUNT(D$336:D$342)&gt;=7,T$487&lt;'Titer Calculation'!$T$12),$A$487,AND(COUNT(D$336:D$342)&gt;=6,MIN(T$480:T$486)&lt;'Titer Calculation'!$T$12),_xlfn.xlookup(MIN(T$480:T$486),T$480:T$486, $A$480:$A$486),AND(COUNT(D$336:D$342)&gt;=5,MIN(T$459:T$479)&lt;'Titer Calculation'!$T$12),_xlfn.xlookup(MIN(T$459:T$479), T$459:T$479, $A$459:$A$479),AND(COUNT(D$336:D$342)&gt;=4,MIN(T$424:T$458)&lt;'Titer Calculation'!$T$12),_xlfn.xlookup(MIN(T$424:T$458), T$424:T$458, $A$424:$A$458),AND(COUNT(D$336:D$342)&gt;=3,MIN(T$389:T$423)&lt;'Titer Calculation'!$T$12),_xlfn.xlookup(MIN(T$389:T$423), T$389:T$423, $A$389:$A$423),AND(COUNT(D$336:D$342)&gt;=2,MIN(T$368:T$388)&lt;'Titer Calculation'!$T$12),_xlfn.xlookup(MIN(T$368:T$388), T$368:T$388, $A$368:$A$388), TRUE(), _xlfn.xlookup(MIN(T$368:T$487),T$368:T$487, $A$368:$A$487)), 1, 8,)</f>
        <v>#NAME?</v>
      </c>
      <c r="E356" s="215" t="e">
        <f aca="false" t="array" ref="E356:E356">REPLACE(_xlfn.IFS(AND(COUNT(E$336:E$342)&gt;=7,U$487&lt;'Titer Calculation'!$T$12),$A$487,AND(COUNT(E$336:E$342)&gt;=6,MIN(U$480:U$486)&lt;'Titer Calculation'!$T$12),_xlfn.xlookup(MIN(U$480:U$486),U$480:U$486, $A$480:$A$486),AND(COUNT(E$336:E$342)&gt;=5,MIN(U$459:U$479)&lt;'Titer Calculation'!$T$12),_xlfn.xlookup(MIN(U$459:U$479), U$459:U$479, $A$459:$A$479),AND(COUNT(E$336:E$342)&gt;=4,MIN(U$424:U$458)&lt;'Titer Calculation'!$T$12),_xlfn.xlookup(MIN(U$424:U$458), U$424:U$458, $A$424:$A$458),AND(COUNT(E$336:E$342)&gt;=3,MIN(U$389:U$423)&lt;'Titer Calculation'!$T$12),_xlfn.xlookup(MIN(U$389:U$423), U$389:U$423, $A$389:$A$423),AND(COUNT(E$336:E$342)&gt;=2,MIN(U$368:U$388)&lt;'Titer Calculation'!$T$12),_xlfn.xlookup(MIN(U$368:U$388), U$368:U$388, $A$368:$A$388), TRUE(), _xlfn.xlookup(MIN(U$368:U$487),U$368:U$487, $A$368:$A$487)), 1, 8,)</f>
        <v>#NAME?</v>
      </c>
      <c r="F356" s="215" t="e">
        <f aca="false" t="array" ref="F356:F356">REPLACE(_xlfn.IFS(AND(COUNT(F$336:F$342)&gt;=7,V$487&lt;'Titer Calculation'!$T$12),$A$487,AND(COUNT(F$336:F$342)&gt;=6,MIN(V$480:V$486)&lt;'Titer Calculation'!$T$12),_xlfn.xlookup(MIN(V$480:V$486),V$480:V$486, $A$480:$A$486),AND(COUNT(F$336:F$342)&gt;=5,MIN(V$459:V$479)&lt;'Titer Calculation'!$T$12),_xlfn.xlookup(MIN(V$459:V$479), V$459:V$479, $A$459:$A$479),AND(COUNT(F$336:F$342)&gt;=4,MIN(V$424:V$458)&lt;'Titer Calculation'!$T$12),_xlfn.xlookup(MIN(V$424:V$458), V$424:V$458, $A$424:$A$458),AND(COUNT(F$336:F$342)&gt;=3,MIN(V$389:V$423)&lt;'Titer Calculation'!$T$12),_xlfn.xlookup(MIN(V$389:V$423), V$389:V$423, $A$389:$A$423),AND(COUNT(F$336:F$342)&gt;=2,MIN(V$368:V$388)&lt;'Titer Calculation'!$T$12),_xlfn.xlookup(MIN(V$368:V$388), V$368:V$388, $A$368:$A$388), TRUE(), _xlfn.xlookup(MIN(V$368:V$487),V$368:V$487, $A$368:$A$487)), 1, 8,)</f>
        <v>#NAME?</v>
      </c>
      <c r="G356" s="215" t="e">
        <f aca="false" t="array" ref="G356:G356">REPLACE(_xlfn.IFS(AND(COUNT(G$336:G$342)&gt;=7,W$487&lt;'Titer Calculation'!$T$12),$A$487,AND(COUNT(G$336:G$342)&gt;=6,MIN(W$480:W$486)&lt;'Titer Calculation'!$T$12),_xlfn.xlookup(MIN(W$480:W$486),W$480:W$486, $A$480:$A$486),AND(COUNT(G$336:G$342)&gt;=5,MIN(W$459:W$479)&lt;'Titer Calculation'!$T$12),_xlfn.xlookup(MIN(W$459:W$479), W$459:W$479, $A$459:$A$479),AND(COUNT(G$336:G$342)&gt;=4,MIN(W$424:W$458)&lt;'Titer Calculation'!$T$12),_xlfn.xlookup(MIN(W$424:W$458), W$424:W$458, $A$424:$A$458),AND(COUNT(G$336:G$342)&gt;=3,MIN(W$389:W$423)&lt;'Titer Calculation'!$T$12),_xlfn.xlookup(MIN(W$389:W$423), W$389:W$423, $A$389:$A$423),AND(COUNT(G$336:G$342)&gt;=2,MIN(W$368:W$388)&lt;'Titer Calculation'!$T$12),_xlfn.xlookup(MIN(W$368:W$388), W$368:W$388, $A$368:$A$388), TRUE(), _xlfn.xlookup(MIN(W$368:W$487),W$368:W$487, $A$368:$A$487)), 1, 8,)</f>
        <v>#NAME?</v>
      </c>
      <c r="H356" s="215" t="e">
        <f aca="false" t="array" ref="H356:H356">REPLACE(_xlfn.IFS(AND(COUNT(H$336:H$342)&gt;=7,X$487&lt;'Titer Calculation'!$T$12),$A$487,AND(COUNT(H$336:H$342)&gt;=6,MIN(X$480:X$486)&lt;'Titer Calculation'!$T$12),_xlfn.xlookup(MIN(X$480:X$486),X$480:X$486, $A$480:$A$486),AND(COUNT(H$336:H$342)&gt;=5,MIN(X$459:X$479)&lt;'Titer Calculation'!$T$12),_xlfn.xlookup(MIN(X$459:X$479), X$459:X$479, $A$459:$A$479),AND(COUNT(H$336:H$342)&gt;=4,MIN(X$424:X$458)&lt;'Titer Calculation'!$T$12),_xlfn.xlookup(MIN(X$424:X$458), X$424:X$458, $A$424:$A$458),AND(COUNT(H$336:H$342)&gt;=3,MIN(X$389:X$423)&lt;'Titer Calculation'!$T$12),_xlfn.xlookup(MIN(X$389:X$423), X$389:X$423, $A$389:$A$423),AND(COUNT(H$336:H$342)&gt;=2,MIN(X$368:X$388)&lt;'Titer Calculation'!$T$12),_xlfn.xlookup(MIN(X$368:X$388), X$368:X$388, $A$368:$A$388), TRUE(), _xlfn.xlookup(MIN(X$368:X$487),X$368:X$487, $A$368:$A$487)), 1, 8,)</f>
        <v>#NAME?</v>
      </c>
      <c r="I356" s="215" t="e">
        <f aca="false" t="array" ref="I356:I356">REPLACE(_xlfn.IFS(AND(COUNT(I$336:I$342)&gt;=7,Y$487&lt;'Titer Calculation'!$T$12),$A$487,AND(COUNT(I$336:I$342)&gt;=6,MIN(Y$480:Y$486)&lt;'Titer Calculation'!$T$12),_xlfn.xlookup(MIN(Y$480:Y$486),Y$480:Y$486, $A$480:$A$486),AND(COUNT(I$336:I$342)&gt;=5,MIN(Y$459:Y$479)&lt;'Titer Calculation'!$T$12),_xlfn.xlookup(MIN(Y$459:Y$479), Y$459:Y$479, $A$459:$A$479),AND(COUNT(I$336:I$342)&gt;=4,MIN(Y$424:Y$458)&lt;'Titer Calculation'!$T$12),_xlfn.xlookup(MIN(Y$424:Y$458), Y$424:Y$458, $A$424:$A$458),AND(COUNT(I$336:I$342)&gt;=3,MIN(Y$389:Y$423)&lt;'Titer Calculation'!$T$12),_xlfn.xlookup(MIN(Y$389:Y$423), Y$389:Y$423, $A$389:$A$423),AND(COUNT(I$336:I$342)&gt;=2,MIN(Y$368:Y$388)&lt;'Titer Calculation'!$T$12),_xlfn.xlookup(MIN(Y$368:Y$388), Y$368:Y$388, $A$368:$A$388), TRUE(), _xlfn.xlookup(MIN(Y$368:Y$487),Y$368:Y$487, $A$368:$A$487)), 1, 8,)</f>
        <v>#NAME?</v>
      </c>
      <c r="J356" s="215" t="e">
        <f aca="false" t="array" ref="J356:J356">REPLACE(_xlfn.IFS(AND(COUNT(J$336:J$342)&gt;=7,Z$487&lt;'Titer Calculation'!$T$12),$A$487,AND(COUNT(J$336:J$342)&gt;=6,MIN(Z$480:Z$486)&lt;'Titer Calculation'!$T$12),_xlfn.xlookup(MIN(Z$480:Z$486),Z$480:Z$486, $A$480:$A$486),AND(COUNT(J$336:J$342)&gt;=5,MIN(Z$459:Z$479)&lt;'Titer Calculation'!$T$12),_xlfn.xlookup(MIN(Z$459:Z$479), Z$459:Z$479, $A$459:$A$479),AND(COUNT(J$336:J$342)&gt;=4,MIN(Z$424:Z$458)&lt;'Titer Calculation'!$T$12),_xlfn.xlookup(MIN(Z$424:Z$458), Z$424:Z$458, $A$424:$A$458),AND(COUNT(J$336:J$342)&gt;=3,MIN(Z$389:Z$423)&lt;'Titer Calculation'!$T$12),_xlfn.xlookup(MIN(Z$389:Z$423), Z$389:Z$423, $A$389:$A$423),AND(COUNT(J$336:J$342)&gt;=2,MIN(Z$368:Z$388)&lt;'Titer Calculation'!$T$12),_xlfn.xlookup(MIN(Z$368:Z$388), Z$368:Z$388, $A$368:$A$388), TRUE(), _xlfn.xlookup(MIN(Z$368:Z$487),Z$368:Z$487, $A$368:$A$487)), 1, 8,)</f>
        <v>#NAME?</v>
      </c>
      <c r="K356" s="215" t="e">
        <f aca="false" t="array" ref="K356:K356">REPLACE(_xlfn.IFS(AND(COUNT(K$336:K$342)&gt;=7,AA$487&lt;'Titer Calculation'!$T$12),$A$487,AND(COUNT(K$336:K$342)&gt;=6,MIN(AA$480:AA$486)&lt;'Titer Calculation'!$T$12),_xlfn.xlookup(MIN(AA$480:AA$486),AA$480:AA$486, $A$480:$A$486),AND(COUNT(K$336:K$342)&gt;=5,MIN(AA$459:AA$479)&lt;'Titer Calculation'!$T$12),_xlfn.xlookup(MIN(AA$459:AA$479), AA$459:AA$479, $A$459:$A$479),AND(COUNT(K$336:K$342)&gt;=4,MIN(AA$424:AA$458)&lt;'Titer Calculation'!$T$12),_xlfn.xlookup(MIN(AA$424:AA$458), AA$424:AA$458, $A$424:$A$458),AND(COUNT(K$336:K$342)&gt;=3,MIN(AA$389:AA$423)&lt;'Titer Calculation'!$T$12),_xlfn.xlookup(MIN(AA$389:AA$423), AA$389:AA$423, $A$389:$A$423),AND(COUNT(K$336:K$342)&gt;=2,MIN(AA$368:AA$388)&lt;'Titer Calculation'!$T$12),_xlfn.xlookup(MIN(AA$368:AA$388), AA$368:AA$388, $A$368:$A$388), TRUE(), _xlfn.xlookup(MIN(AA$368:AA$487),AA$368:AA$487, $A$368:$A$487)), 1, 8,)</f>
        <v>#NAME?</v>
      </c>
      <c r="L356" s="215" t="e">
        <f aca="false" t="array" ref="L356:L356">REPLACE(_xlfn.IFS(AND(COUNT(L$336:L$342)&gt;=7,AB$487&lt;'Titer Calculation'!$T$12),$A$487,AND(COUNT(L$336:L$342)&gt;=6,MIN(AB$480:AB$486)&lt;'Titer Calculation'!$T$12),_xlfn.xlookup(MIN(AB$480:AB$486),AB$480:AB$486, $A$480:$A$486),AND(COUNT(L$336:L$342)&gt;=5,MIN(AB$459:AB$479)&lt;'Titer Calculation'!$T$12),_xlfn.xlookup(MIN(AB$459:AB$479), AB$459:AB$479, $A$459:$A$479),AND(COUNT(L$336:L$342)&gt;=4,MIN(AB$424:AB$458)&lt;'Titer Calculation'!$T$12),_xlfn.xlookup(MIN(AB$424:AB$458), AB$424:AB$458, $A$424:$A$458),AND(COUNT(L$336:L$342)&gt;=3,MIN(AB$389:AB$423)&lt;'Titer Calculation'!$T$12),_xlfn.xlookup(MIN(AB$389:AB$423), AB$389:AB$423, $A$389:$A$423),AND(COUNT(L$336:L$342)&gt;=2,MIN(AB$368:AB$388)&lt;'Titer Calculation'!$T$12),_xlfn.xlookup(MIN(AB$368:AB$388), AB$368:AB$388, $A$368:$A$388), TRUE(), _xlfn.xlookup(MIN(AB$368:AB$487),AB$368:AB$487, $A$368:$A$487)), 1, 8,)</f>
        <v>#NAME?</v>
      </c>
      <c r="M356" s="215" t="e">
        <f aca="false" t="array" ref="M356:M356">REPLACE(_xlfn.IFS(AND(COUNT(M$336:M$342)&gt;=7,AC$487&lt;'Titer Calculation'!$T$12),$A$487,AND(COUNT(M$336:M$342)&gt;=6,MIN(AC$480:AC$486)&lt;'Titer Calculation'!$T$12),_xlfn.xlookup(MIN(AC$480:AC$486),AC$480:AC$486, $A$480:$A$486),AND(COUNT(M$336:M$342)&gt;=5,MIN(AC$459:AC$479)&lt;'Titer Calculation'!$T$12),_xlfn.xlookup(MIN(AC$459:AC$479), AC$459:AC$479, $A$459:$A$479),AND(COUNT(M$336:M$342)&gt;=4,MIN(AC$424:AC$458)&lt;'Titer Calculation'!$T$12),_xlfn.xlookup(MIN(AC$424:AC$458), AC$424:AC$458, $A$424:$A$458),AND(COUNT(M$336:M$342)&gt;=3,MIN(AC$389:AC$423)&lt;'Titer Calculation'!$T$12),_xlfn.xlookup(MIN(AC$389:AC$423), AC$389:AC$423, $A$389:$A$423),AND(COUNT(M$336:M$342)&gt;=2,MIN(AC$368:AC$388)&lt;'Titer Calculation'!$T$12),_xlfn.xlookup(MIN(AC$368:AC$388), AC$368:AC$388, $A$368:$A$388), TRUE(), _xlfn.xlookup(MIN(AC$368:AC$487),AC$368:AC$487, $A$368:$A$487)), 1, 8,)</f>
        <v>#NAME?</v>
      </c>
      <c r="N356" s="215" t="e">
        <f aca="false" t="array" ref="N356:N356">REPLACE(_xlfn.IFS(AND(COUNT(N$336:N$342)&gt;=7,AD$487&lt;'Titer Calculation'!$T$12),$A$487,AND(COUNT(N$336:N$342)&gt;=6,MIN(AD$480:AD$486)&lt;'Titer Calculation'!$T$12),_xlfn.xlookup(MIN(AD$480:AD$486),AD$480:AD$486, $A$480:$A$486),AND(COUNT(N$336:N$342)&gt;=5,MIN(AD$459:AD$479)&lt;'Titer Calculation'!$T$12),_xlfn.xlookup(MIN(AD$459:AD$479), AD$459:AD$479, $A$459:$A$479),AND(COUNT(N$336:N$342)&gt;=4,MIN(AD$424:AD$458)&lt;'Titer Calculation'!$T$12),_xlfn.xlookup(MIN(AD$424:AD$458), AD$424:AD$458, $A$424:$A$458),AND(COUNT(N$336:N$342)&gt;=3,MIN(AD$389:AD$423)&lt;'Titer Calculation'!$T$12),_xlfn.xlookup(MIN(AD$389:AD$423), AD$389:AD$423, $A$389:$A$423),AND(COUNT(N$336:N$342)&gt;=2,MIN(AD$368:AD$388)&lt;'Titer Calculation'!$T$12),_xlfn.xlookup(MIN(AD$368:AD$388), AD$368:AD$388, $A$368:$A$388), TRUE(), _xlfn.xlookup(MIN(AD$368:AD$487),AD$368:AD$487, $A$368:$A$487)), 1, 8,)</f>
        <v>#NAME?</v>
      </c>
      <c r="O356" s="211"/>
      <c r="P356" s="44"/>
      <c r="Q356" s="83"/>
      <c r="R356" s="212"/>
      <c r="S356" s="44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157"/>
      <c r="AF356" s="44"/>
      <c r="AG356" s="44"/>
      <c r="AH356" s="44"/>
      <c r="AI356" s="44"/>
      <c r="AJ356" s="44"/>
      <c r="AK356" s="44"/>
      <c r="AL356" s="44"/>
      <c r="AM356" s="44"/>
      <c r="AN356" s="44"/>
      <c r="AO356" s="75"/>
      <c r="AP356" s="44"/>
      <c r="AQ356" s="44"/>
      <c r="AR356" s="44"/>
    </row>
    <row r="357" customFormat="false" ht="15.75" hidden="false" customHeight="false" outlineLevel="0" collapsed="false">
      <c r="A357" s="213" t="s">
        <v>240</v>
      </c>
      <c r="B357" s="213"/>
      <c r="C357" s="214" t="e">
        <f aca="false" t="array" ref="C357:C357">_xlfn.IFS(AND(COUNT(C$336:C$342)&gt;=7,S$487&lt;'Titer Calculation'!$T$12),AG$487,AND(COUNT(C$336:C$342)&gt;=6,MIN(S$480:S$486)&lt;'Titer Calculation'!$T$12),_xlfn.xlookup(MIN(S$480:S$486),S$480:S$486,AG$480:AG$486),AND(COUNT(C$336:C$342)&gt;=5,MIN(S$459:S$479)&lt;'Titer Calculation'!$T$12),_xlfn.xlookup(MIN(S$459:S$479),S$459:S$479,AG$459:AG$479),AND(COUNT(C$336:C$342)&gt;=4,MIN(S$424:S$458)&lt;'Titer Calculation'!$T$12),_xlfn.xlookup(MIN(S$424:S$458),S$424:S$458,AG$424:AG$458),AND(COUNT(C$336:C$342)&gt;=3,MIN(S$389:S$423)&lt;'Titer Calculation'!$T$12),_xlfn.xlookup(MIN(S$389:S$423),S$389:S$423,AG$389:AG$423),AND(COUNT(C$336:C$342)&gt;=2,MIN(S$368:S$388)&lt;'Titer Calculation'!$T$12),_xlfn.xlookup(MIN(S$368:S$388),S$368:S$388,AG$368:AG$388),TRUE(),_xlfn.xlookup(MIN(S$368:S$487),S$368:S$487,AG$368:AG$487))</f>
        <v>#NAME?</v>
      </c>
      <c r="D357" s="214" t="e">
        <f aca="false" t="array" ref="D357:D357">_xlfn.IFS(AND(COUNT(D$336:D$342)&gt;=7,T$487&lt;'Titer Calculation'!$T$12),AH$487,AND(COUNT(D$336:D$342)&gt;=6,MIN(T$480:T$486)&lt;'Titer Calculation'!$T$12),_xlfn.xlookup(MIN(T$480:T$486),T$480:T$486,AH$480:AH$486),AND(COUNT(D$336:D$342)&gt;=5,MIN(T$459:T$479)&lt;'Titer Calculation'!$T$12),_xlfn.xlookup(MIN(T$459:T$479),T$459:T$479,AH$459:AH$479),AND(COUNT(D$336:D$342)&gt;=4,MIN(T$424:T$458)&lt;'Titer Calculation'!$T$12),_xlfn.xlookup(MIN(T$424:T$458),T$424:T$458,AH$424:AH$458),AND(COUNT(D$336:D$342)&gt;=3,MIN(T$389:T$423)&lt;'Titer Calculation'!$T$12),_xlfn.xlookup(MIN(T$389:T$423),T$389:T$423,AH$389:AH$423),AND(COUNT(D$336:D$342)&gt;=2,MIN(T$368:T$388)&lt;'Titer Calculation'!$T$12),_xlfn.xlookup(MIN(T$368:T$388),T$368:T$388,AH$368:AH$388),TRUE(),_xlfn.xlookup(MIN(T$368:T$487),T$368:T$487,AH$368:AH$487))</f>
        <v>#NAME?</v>
      </c>
      <c r="E357" s="214" t="e">
        <f aca="false" t="array" ref="E357:E357">_xlfn.IFS(AND(COUNT(E$336:E$342)&gt;=7,U$487&lt;'Titer Calculation'!$T$12),AI$487,AND(COUNT(E$336:E$342)&gt;=6,MIN(U$480:U$486)&lt;'Titer Calculation'!$T$12),_xlfn.xlookup(MIN(U$480:U$486),U$480:U$486,AI$480:AI$486),AND(COUNT(E$336:E$342)&gt;=5,MIN(U$459:U$479)&lt;'Titer Calculation'!$T$12),_xlfn.xlookup(MIN(U$459:U$479),U$459:U$479,AI$459:AI$479),AND(COUNT(E$336:E$342)&gt;=4,MIN(U$424:U$458)&lt;'Titer Calculation'!$T$12),_xlfn.xlookup(MIN(U$424:U$458),U$424:U$458,AI$424:AI$458),AND(COUNT(E$336:E$342)&gt;=3,MIN(U$389:U$423)&lt;'Titer Calculation'!$T$12),_xlfn.xlookup(MIN(U$389:U$423),U$389:U$423,AI$389:AI$423),AND(COUNT(E$336:E$342)&gt;=2,MIN(U$368:U$388)&lt;'Titer Calculation'!$T$12),_xlfn.xlookup(MIN(U$368:U$388),U$368:U$388,AI$368:AI$388),TRUE(),_xlfn.xlookup(MIN(U$368:U$487),U$368:U$487,AI$368:AI$487))</f>
        <v>#NAME?</v>
      </c>
      <c r="F357" s="214" t="e">
        <f aca="false" t="array" ref="F357:F357">_xlfn.IFS(AND(COUNT(F$336:F$342)&gt;=7,V$487&lt;'Titer Calculation'!$T$12),AJ$487,AND(COUNT(F$336:F$342)&gt;=6,MIN(V$480:V$486)&lt;'Titer Calculation'!$T$12),_xlfn.xlookup(MIN(V$480:V$486),V$480:V$486,AJ$480:AJ$486),AND(COUNT(F$336:F$342)&gt;=5,MIN(V$459:V$479)&lt;'Titer Calculation'!$T$12),_xlfn.xlookup(MIN(V$459:V$479),V$459:V$479,AJ$459:AJ$479),AND(COUNT(F$336:F$342)&gt;=4,MIN(V$424:V$458)&lt;'Titer Calculation'!$T$12),_xlfn.xlookup(MIN(V$424:V$458),V$424:V$458,AJ$424:AJ$458),AND(COUNT(F$336:F$342)&gt;=3,MIN(V$389:V$423)&lt;'Titer Calculation'!$T$12),_xlfn.xlookup(MIN(V$389:V$423),V$389:V$423,AJ$389:AJ$423),AND(COUNT(F$336:F$342)&gt;=2,MIN(V$368:V$388)&lt;'Titer Calculation'!$T$12),_xlfn.xlookup(MIN(V$368:V$388),V$368:V$388,AJ$368:AJ$388),TRUE(),_xlfn.xlookup(MIN(V$368:V$487),V$368:V$487,AJ$368:AJ$487))</f>
        <v>#NAME?</v>
      </c>
      <c r="G357" s="214" t="e">
        <f aca="false" t="array" ref="G357:G357">_xlfn.IFS(AND(COUNT(G$336:G$342)&gt;=7,W$487&lt;'Titer Calculation'!$T$12),AK$487,AND(COUNT(G$336:G$342)&gt;=6,MIN(W$480:W$486)&lt;'Titer Calculation'!$T$12),_xlfn.xlookup(MIN(W$480:W$486),W$480:W$486,AK$480:AK$486),AND(COUNT(G$336:G$342)&gt;=5,MIN(W$459:W$479)&lt;'Titer Calculation'!$T$12),_xlfn.xlookup(MIN(W$459:W$479),W$459:W$479,AK$459:AK$479),AND(COUNT(G$336:G$342)&gt;=4,MIN(W$424:W$458)&lt;'Titer Calculation'!$T$12),_xlfn.xlookup(MIN(W$424:W$458),W$424:W$458,AK$424:AK$458),AND(COUNT(G$336:G$342)&gt;=3,MIN(W$389:W$423)&lt;'Titer Calculation'!$T$12),_xlfn.xlookup(MIN(W$389:W$423),W$389:W$423,AK$389:AK$423),AND(COUNT(G$336:G$342)&gt;=2,MIN(W$368:W$388)&lt;'Titer Calculation'!$T$12),_xlfn.xlookup(MIN(W$368:W$388),W$368:W$388,AK$368:AK$388),TRUE(),_xlfn.xlookup(MIN(W$368:W$487),W$368:W$487,AK$368:AK$487))</f>
        <v>#NAME?</v>
      </c>
      <c r="H357" s="214" t="e">
        <f aca="false" t="array" ref="H357:H357">_xlfn.IFS(AND(COUNT(H$336:H$342)&gt;=7,X$487&lt;'Titer Calculation'!$T$12),AL$487,AND(COUNT(H$336:H$342)&gt;=6,MIN(X$480:X$486)&lt;'Titer Calculation'!$T$12),_xlfn.xlookup(MIN(X$480:X$486),X$480:X$486,AL$480:AL$486),AND(COUNT(H$336:H$342)&gt;=5,MIN(X$459:X$479)&lt;'Titer Calculation'!$T$12),_xlfn.xlookup(MIN(X$459:X$479),X$459:X$479,AL$459:AL$479),AND(COUNT(H$336:H$342)&gt;=4,MIN(X$424:X$458)&lt;'Titer Calculation'!$T$12),_xlfn.xlookup(MIN(X$424:X$458),X$424:X$458,AL$424:AL$458),AND(COUNT(H$336:H$342)&gt;=3,MIN(X$389:X$423)&lt;'Titer Calculation'!$T$12),_xlfn.xlookup(MIN(X$389:X$423),X$389:X$423,AL$389:AL$423),AND(COUNT(H$336:H$342)&gt;=2,MIN(X$368:X$388)&lt;'Titer Calculation'!$T$12),_xlfn.xlookup(MIN(X$368:X$388),X$368:X$388,AL$368:AL$388),TRUE(),_xlfn.xlookup(MIN(X$368:X$487),X$368:X$487,AL$368:AL$487))</f>
        <v>#NAME?</v>
      </c>
      <c r="I357" s="214" t="e">
        <f aca="false" t="array" ref="I357:I357">_xlfn.IFS(AND(COUNT(I$336:I$342)&gt;=7,Y$487&lt;'Titer Calculation'!$T$12),AM$487,AND(COUNT(I$336:I$342)&gt;=6,MIN(Y$480:Y$486)&lt;'Titer Calculation'!$T$12),_xlfn.xlookup(MIN(Y$480:Y$486),Y$480:Y$486,AM$480:AM$486),AND(COUNT(I$336:I$342)&gt;=5,MIN(Y$459:Y$479)&lt;'Titer Calculation'!$T$12),_xlfn.xlookup(MIN(Y$459:Y$479),Y$459:Y$479,AM$459:AM$479),AND(COUNT(I$336:I$342)&gt;=4,MIN(Y$424:Y$458)&lt;'Titer Calculation'!$T$12),_xlfn.xlookup(MIN(Y$424:Y$458),Y$424:Y$458,AM$424:AM$458),AND(COUNT(I$336:I$342)&gt;=3,MIN(Y$389:Y$423)&lt;'Titer Calculation'!$T$12),_xlfn.xlookup(MIN(Y$389:Y$423),Y$389:Y$423,AM$389:AM$423),AND(COUNT(I$336:I$342)&gt;=2,MIN(Y$368:Y$388)&lt;'Titer Calculation'!$T$12),_xlfn.xlookup(MIN(Y$368:Y$388),Y$368:Y$388,AM$368:AM$388),TRUE(),_xlfn.xlookup(MIN(Y$368:Y$487),Y$368:Y$487,AM$368:AM$487))</f>
        <v>#NAME?</v>
      </c>
      <c r="J357" s="214" t="e">
        <f aca="false" t="array" ref="J357:J357">_xlfn.IFS(AND(COUNT(J$336:J$342)&gt;=7,Z$487&lt;'Titer Calculation'!$T$12),AN$487,AND(COUNT(J$336:J$342)&gt;=6,MIN(Z$480:Z$486)&lt;'Titer Calculation'!$T$12),_xlfn.xlookup(MIN(Z$480:Z$486),Z$480:Z$486,AN$480:AN$486),AND(COUNT(J$336:J$342)&gt;=5,MIN(Z$459:Z$479)&lt;'Titer Calculation'!$T$12),_xlfn.xlookup(MIN(Z$459:Z$479),Z$459:Z$479,AN$459:AN$479),AND(COUNT(J$336:J$342)&gt;=4,MIN(Z$424:Z$458)&lt;'Titer Calculation'!$T$12),_xlfn.xlookup(MIN(Z$424:Z$458),Z$424:Z$458,AN$424:AN$458),AND(COUNT(J$336:J$342)&gt;=3,MIN(Z$389:Z$423)&lt;'Titer Calculation'!$T$12),_xlfn.xlookup(MIN(Z$389:Z$423),Z$389:Z$423,AN$389:AN$423),AND(COUNT(J$336:J$342)&gt;=2,MIN(Z$368:Z$388)&lt;'Titer Calculation'!$T$12),_xlfn.xlookup(MIN(Z$368:Z$388),Z$368:Z$388,AN$368:AN$388),TRUE(),_xlfn.xlookup(MIN(Z$368:Z$487),Z$368:Z$487,AN$368:AN$487))</f>
        <v>#NAME?</v>
      </c>
      <c r="K357" s="214" t="e">
        <f aca="false" t="array" ref="K357:K357">_xlfn.IFS(AND(COUNT(K$336:K$342)&gt;=7,AA$487&lt;'Titer Calculation'!$T$12),AO$487,AND(COUNT(K$336:K$342)&gt;=6,MIN(AA$480:AA$486)&lt;'Titer Calculation'!$T$12),_xlfn.xlookup(MIN(AA$480:AA$486),AA$480:AA$486,AO$480:AO$486),AND(COUNT(K$336:K$342)&gt;=5,MIN(AA$459:AA$479)&lt;'Titer Calculation'!$T$12),_xlfn.xlookup(MIN(AA$459:AA$479),AA$459:AA$479,AO$459:AO$479),AND(COUNT(K$336:K$342)&gt;=4,MIN(AA$424:AA$458)&lt;'Titer Calculation'!$T$12),_xlfn.xlookup(MIN(AA$424:AA$458),AA$424:AA$458,AO$424:AO$458),AND(COUNT(K$336:K$342)&gt;=3,MIN(AA$389:AA$423)&lt;'Titer Calculation'!$T$12),_xlfn.xlookup(MIN(AA$389:AA$423),AA$389:AA$423,AO$389:AO$423),AND(COUNT(K$336:K$342)&gt;=2,MIN(AA$368:AA$388)&lt;'Titer Calculation'!$T$12),_xlfn.xlookup(MIN(AA$368:AA$388),AA$368:AA$388,AO$368:AO$388),TRUE(),_xlfn.xlookup(MIN(AA$368:AA$487),AA$368:AA$487,AO$368:AO$487))</f>
        <v>#NAME?</v>
      </c>
      <c r="L357" s="214" t="e">
        <f aca="false" t="array" ref="L357:L357">_xlfn.IFS(AND(COUNT(L$336:L$342)&gt;=7,AB$487&lt;'Titer Calculation'!$T$12),AP$487,AND(COUNT(L$336:L$342)&gt;=6,MIN(AB$480:AB$486)&lt;'Titer Calculation'!$T$12),_xlfn.xlookup(MIN(AB$480:AB$486),AB$480:AB$486,AP$480:AP$486),AND(COUNT(L$336:L$342)&gt;=5,MIN(AB$459:AB$479)&lt;'Titer Calculation'!$T$12),_xlfn.xlookup(MIN(AB$459:AB$479),AB$459:AB$479,AP$459:AP$479),AND(COUNT(L$336:L$342)&gt;=4,MIN(AB$424:AB$458)&lt;'Titer Calculation'!$T$12),_xlfn.xlookup(MIN(AB$424:AB$458),AB$424:AB$458,AP$424:AP$458),AND(COUNT(L$336:L$342)&gt;=3,MIN(AB$389:AB$423)&lt;'Titer Calculation'!$T$12),_xlfn.xlookup(MIN(AB$389:AB$423),AB$389:AB$423,AP$389:AP$423),AND(COUNT(L$336:L$342)&gt;=2,MIN(AB$368:AB$388)&lt;'Titer Calculation'!$T$12),_xlfn.xlookup(MIN(AB$368:AB$388),AB$368:AB$388,AP$368:AP$388),TRUE(),_xlfn.xlookup(MIN(AB$368:AB$487),AB$368:AB$487,AP$368:AP$487))</f>
        <v>#NAME?</v>
      </c>
      <c r="M357" s="214" t="e">
        <f aca="false" t="array" ref="M357:M357">_xlfn.IFS(AND(COUNT(M$336:M$342)&gt;=7,AC$487&lt;'Titer Calculation'!$T$12),AQ$487,AND(COUNT(M$336:M$342)&gt;=6,MIN(AC$480:AC$486)&lt;'Titer Calculation'!$T$12),_xlfn.xlookup(MIN(AC$480:AC$486),AC$480:AC$486,AQ$480:AQ$486),AND(COUNT(M$336:M$342)&gt;=5,MIN(AC$459:AC$479)&lt;'Titer Calculation'!$T$12),_xlfn.xlookup(MIN(AC$459:AC$479),AC$459:AC$479,AQ$459:AQ$479),AND(COUNT(M$336:M$342)&gt;=4,MIN(AC$424:AC$458)&lt;'Titer Calculation'!$T$12),_xlfn.xlookup(MIN(AC$424:AC$458),AC$424:AC$458,AQ$424:AQ$458),AND(COUNT(M$336:M$342)&gt;=3,MIN(AC$389:AC$423)&lt;'Titer Calculation'!$T$12),_xlfn.xlookup(MIN(AC$389:AC$423),AC$389:AC$423,AQ$389:AQ$423),AND(COUNT(M$336:M$342)&gt;=2,MIN(AC$368:AC$388)&lt;'Titer Calculation'!$T$12),_xlfn.xlookup(MIN(AC$368:AC$388),AC$368:AC$388,AQ$368:AQ$388),TRUE(),_xlfn.xlookup(MIN(AC$368:AC$487),AC$368:AC$487,AQ$368:AQ$487))</f>
        <v>#NAME?</v>
      </c>
      <c r="N357" s="214" t="e">
        <f aca="false" t="array" ref="N357:N357">_xlfn.IFS(AND(COUNT(N$336:N$342)&gt;=7,AD$487&lt;'Titer Calculation'!$T$12),AR$487,AND(COUNT(N$336:N$342)&gt;=6,MIN(AD$480:AD$486)&lt;'Titer Calculation'!$T$12),_xlfn.xlookup(MIN(AD$480:AD$486),AD$480:AD$486,AR$480:AR$486),AND(COUNT(N$336:N$342)&gt;=5,MIN(AD$459:AD$479)&lt;'Titer Calculation'!$T$12),_xlfn.xlookup(MIN(AD$459:AD$479),AD$459:AD$479,AR$459:AR$479),AND(COUNT(N$336:N$342)&gt;=4,MIN(AD$424:AD$458)&lt;'Titer Calculation'!$T$12),_xlfn.xlookup(MIN(AD$424:AD$458),AD$424:AD$458,AR$424:AR$458),AND(COUNT(N$336:N$342)&gt;=3,MIN(AD$389:AD$423)&lt;'Titer Calculation'!$T$12),_xlfn.xlookup(MIN(AD$389:AD$423),AD$389:AD$423,AR$389:AR$423),AND(COUNT(N$336:N$342)&gt;=2,MIN(AD$368:AD$388)&lt;'Titer Calculation'!$T$12),_xlfn.xlookup(MIN(AD$368:AD$388),AD$368:AD$388,AR$368:AR$388),TRUE(),_xlfn.xlookup(MIN(AD$368:AD$487),AD$368:AD$487,AR$368:AR$487))</f>
        <v>#NAME?</v>
      </c>
      <c r="O357" s="211"/>
      <c r="P357" s="44"/>
      <c r="Q357" s="83"/>
      <c r="R357" s="212"/>
      <c r="S357" s="44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157"/>
      <c r="AF357" s="44"/>
      <c r="AG357" s="44"/>
      <c r="AH357" s="44"/>
      <c r="AI357" s="44"/>
      <c r="AJ357" s="44"/>
      <c r="AK357" s="44"/>
      <c r="AL357" s="44"/>
      <c r="AM357" s="44"/>
      <c r="AN357" s="44"/>
      <c r="AO357" s="75"/>
      <c r="AP357" s="44"/>
      <c r="AQ357" s="44"/>
      <c r="AR357" s="44"/>
    </row>
    <row r="358" customFormat="false" ht="15.75" hidden="false" customHeight="false" outlineLevel="0" collapsed="false">
      <c r="A358" s="213" t="s">
        <v>241</v>
      </c>
      <c r="B358" s="213"/>
      <c r="C358" s="216" t="n">
        <f aca="false" t="array" ref="C358:C358">_xlfn.IFS(AND(COUNT(C$336:C$342)&gt;=7,S$487&lt;'Titer Calculation'!$T$12),S$487,AND(COUNT(C$336:C$342)&gt;=6,MIN(S$480:S$486)&lt;'Titer Calculation'!$T$12),MIN(S$480:S$486),AND(COUNT(C$336:C$342)&gt;=5,MIN(S$459:S$479)&lt;'Titer Calculation'!$T$12),MIN(S$459:S$479),AND(COUNT(C$336:C$342)&gt;=4,MIN(S$424:S$458)&lt;'Titer Calculation'!$T$12),MIN(S$424:S$458),AND(COUNT(C$336:C$342)&gt;=3,MIN(S$389:S$423)&lt;'Titer Calculation'!$T$12),MIN(S$389:S$423),AND(COUNT(C$336:C$342)&gt;=2,MIN(S$368:S$388)&lt;'Titer Calculation'!$T$12),MIN(S$368:S$388),TRUE(),MIN(S$368:S485))</f>
        <v>0</v>
      </c>
      <c r="D358" s="216" t="n">
        <f aca="false" t="array" ref="D358:D358">_xlfn.IFS(AND(COUNT(D$336:D$342)&gt;=7,T$487&lt;'Titer Calculation'!$T$12),T$487,AND(COUNT(D$336:D$342)&gt;=6,MIN(T$480:T$486)&lt;'Titer Calculation'!$T$12),MIN(T$480:T$486),AND(COUNT(D$336:D$342)&gt;=5,MIN(T$459:T$479)&lt;'Titer Calculation'!$T$12),MIN(T$459:T$479),AND(COUNT(D$336:D$342)&gt;=4,MIN(T$424:T$458)&lt;'Titer Calculation'!$T$12),MIN(T$424:T$458),AND(COUNT(D$336:D$342)&gt;=3,MIN(T$389:T$423)&lt;'Titer Calculation'!$T$12),MIN(T$389:T$423),AND(COUNT(D$336:D$342)&gt;=2,MIN(T$368:T$388)&lt;'Titer Calculation'!$T$12),MIN(T$368:T$388),TRUE(),MIN(T$368:T485))</f>
        <v>0</v>
      </c>
      <c r="E358" s="216" t="n">
        <f aca="false" t="array" ref="E358:E358">_xlfn.IFS(AND(COUNT(E$336:E$342)&gt;=7,U$487&lt;'Titer Calculation'!$T$12),U$487,AND(COUNT(E$336:E$342)&gt;=6,MIN(U$480:U$486)&lt;'Titer Calculation'!$T$12),MIN(U$480:U$486),AND(COUNT(E$336:E$342)&gt;=5,MIN(U$459:U$479)&lt;'Titer Calculation'!$T$12),MIN(U$459:U$479),AND(COUNT(E$336:E$342)&gt;=4,MIN(U$424:U$458)&lt;'Titer Calculation'!$T$12),MIN(U$424:U$458),AND(COUNT(E$336:E$342)&gt;=3,MIN(U$389:U$423)&lt;'Titer Calculation'!$T$12),MIN(U$389:U$423),AND(COUNT(E$336:E$342)&gt;=2,MIN(U$368:U$388)&lt;'Titer Calculation'!$T$12),MIN(U$368:U$388),TRUE(),MIN(U$368:U485))</f>
        <v>0</v>
      </c>
      <c r="F358" s="216" t="n">
        <f aca="false" t="array" ref="F358:F358">_xlfn.IFS(AND(COUNT(F$336:F$342)&gt;=7,V$487&lt;'Titer Calculation'!$T$12),V$487,AND(COUNT(F$336:F$342)&gt;=6,MIN(V$480:V$486)&lt;'Titer Calculation'!$T$12),MIN(V$480:V$486),AND(COUNT(F$336:F$342)&gt;=5,MIN(V$459:V$479)&lt;'Titer Calculation'!$T$12),MIN(V$459:V$479),AND(COUNT(F$336:F$342)&gt;=4,MIN(V$424:V$458)&lt;'Titer Calculation'!$T$12),MIN(V$424:V$458),AND(COUNT(F$336:F$342)&gt;=3,MIN(V$389:V$423)&lt;'Titer Calculation'!$T$12),MIN(V$389:V$423),AND(COUNT(F$336:F$342)&gt;=2,MIN(V$368:V$388)&lt;'Titer Calculation'!$T$12),MIN(V$368:V$388),TRUE(),MIN(V$368:V485))</f>
        <v>0</v>
      </c>
      <c r="G358" s="216" t="n">
        <f aca="false" t="array" ref="G358:G358">_xlfn.IFS(AND(COUNT(G$336:G$342)&gt;=7,W$487&lt;'Titer Calculation'!$T$12),W$487,AND(COUNT(G$336:G$342)&gt;=6,MIN(W$480:W$486)&lt;'Titer Calculation'!$T$12),MIN(W$480:W$486),AND(COUNT(G$336:G$342)&gt;=5,MIN(W$459:W$479)&lt;'Titer Calculation'!$T$12),MIN(W$459:W$479),AND(COUNT(G$336:G$342)&gt;=4,MIN(W$424:W$458)&lt;'Titer Calculation'!$T$12),MIN(W$424:W$458),AND(COUNT(G$336:G$342)&gt;=3,MIN(W$389:W$423)&lt;'Titer Calculation'!$T$12),MIN(W$389:W$423),AND(COUNT(G$336:G$342)&gt;=2,MIN(W$368:W$388)&lt;'Titer Calculation'!$T$12),MIN(W$368:W$388),TRUE(),MIN(W$368:W485))</f>
        <v>0</v>
      </c>
      <c r="H358" s="216" t="n">
        <f aca="false" t="array" ref="H358:H358">_xlfn.IFS(AND(COUNT(H$336:H$342)&gt;=7,X$487&lt;'Titer Calculation'!$T$12),X$487,AND(COUNT(H$336:H$342)&gt;=6,MIN(X$480:X$486)&lt;'Titer Calculation'!$T$12),MIN(X$480:X$486),AND(COUNT(H$336:H$342)&gt;=5,MIN(X$459:X$479)&lt;'Titer Calculation'!$T$12),MIN(X$459:X$479),AND(COUNT(H$336:H$342)&gt;=4,MIN(X$424:X$458)&lt;'Titer Calculation'!$T$12),MIN(X$424:X$458),AND(COUNT(H$336:H$342)&gt;=3,MIN(X$389:X$423)&lt;'Titer Calculation'!$T$12),MIN(X$389:X$423),AND(COUNT(H$336:H$342)&gt;=2,MIN(X$368:X$388)&lt;'Titer Calculation'!$T$12),MIN(X$368:X$388),TRUE(),MIN(X$368:X485))</f>
        <v>0</v>
      </c>
      <c r="I358" s="216" t="n">
        <f aca="false" t="array" ref="I358:I358">_xlfn.IFS(AND(COUNT(I$336:I$342)&gt;=7,Y$487&lt;'Titer Calculation'!$T$12),Y$487,AND(COUNT(I$336:I$342)&gt;=6,MIN(Y$480:Y$486)&lt;'Titer Calculation'!$T$12),MIN(Y$480:Y$486),AND(COUNT(I$336:I$342)&gt;=5,MIN(Y$459:Y$479)&lt;'Titer Calculation'!$T$12),MIN(Y$459:Y$479),AND(COUNT(I$336:I$342)&gt;=4,MIN(Y$424:Y$458)&lt;'Titer Calculation'!$T$12),MIN(Y$424:Y$458),AND(COUNT(I$336:I$342)&gt;=3,MIN(Y$389:Y$423)&lt;'Titer Calculation'!$T$12),MIN(Y$389:Y$423),AND(COUNT(I$336:I$342)&gt;=2,MIN(Y$368:Y$388)&lt;'Titer Calculation'!$T$12),MIN(Y$368:Y$388),TRUE(),MIN(Y$368:Y485))</f>
        <v>0</v>
      </c>
      <c r="J358" s="216" t="n">
        <f aca="false" t="array" ref="J358:J358">_xlfn.IFS(AND(COUNT(J$336:J$342)&gt;=7,Z$487&lt;'Titer Calculation'!$T$12),Z$487,AND(COUNT(J$336:J$342)&gt;=6,MIN(Z$480:Z$486)&lt;'Titer Calculation'!$T$12),MIN(Z$480:Z$486),AND(COUNT(J$336:J$342)&gt;=5,MIN(Z$459:Z$479)&lt;'Titer Calculation'!$T$12),MIN(Z$459:Z$479),AND(COUNT(J$336:J$342)&gt;=4,MIN(Z$424:Z$458)&lt;'Titer Calculation'!$T$12),MIN(Z$424:Z$458),AND(COUNT(J$336:J$342)&gt;=3,MIN(Z$389:Z$423)&lt;'Titer Calculation'!$T$12),MIN(Z$389:Z$423),AND(COUNT(J$336:J$342)&gt;=2,MIN(Z$368:Z$388)&lt;'Titer Calculation'!$T$12),MIN(Z$368:Z$388),TRUE(),MIN(Z$368:Z485))</f>
        <v>0</v>
      </c>
      <c r="K358" s="216" t="n">
        <f aca="false" t="array" ref="K358:K358">_xlfn.IFS(AND(COUNT(K$336:K$342)&gt;=7,AA$487&lt;'Titer Calculation'!$T$12),AA$487,AND(COUNT(K$336:K$342)&gt;=6,MIN(AA$480:AA$486)&lt;'Titer Calculation'!$T$12),MIN(AA$480:AA$486),AND(COUNT(K$336:K$342)&gt;=5,MIN(AA$459:AA$479)&lt;'Titer Calculation'!$T$12),MIN(AA$459:AA$479),AND(COUNT(K$336:K$342)&gt;=4,MIN(AA$424:AA$458)&lt;'Titer Calculation'!$T$12),MIN(AA$424:AA$458),AND(COUNT(K$336:K$342)&gt;=3,MIN(AA$389:AA$423)&lt;'Titer Calculation'!$T$12),MIN(AA$389:AA$423),AND(COUNT(K$336:K$342)&gt;=2,MIN(AA$368:AA$388)&lt;'Titer Calculation'!$T$12),MIN(AA$368:AA$388),TRUE(),MIN(AA$368:AA485))</f>
        <v>0</v>
      </c>
      <c r="L358" s="216" t="n">
        <f aca="false" t="array" ref="L358:L358">_xlfn.IFS(AND(COUNT(L$336:L$342)&gt;=7,AB$487&lt;'Titer Calculation'!$T$12),AB$487,AND(COUNT(L$336:L$342)&gt;=6,MIN(AB$480:AB$486)&lt;'Titer Calculation'!$T$12),MIN(AB$480:AB$486),AND(COUNT(L$336:L$342)&gt;=5,MIN(AB$459:AB$479)&lt;'Titer Calculation'!$T$12),MIN(AB$459:AB$479),AND(COUNT(L$336:L$342)&gt;=4,MIN(AB$424:AB$458)&lt;'Titer Calculation'!$T$12),MIN(AB$424:AB$458),AND(COUNT(L$336:L$342)&gt;=3,MIN(AB$389:AB$423)&lt;'Titer Calculation'!$T$12),MIN(AB$389:AB$423),AND(COUNT(L$336:L$342)&gt;=2,MIN(AB$368:AB$388)&lt;'Titer Calculation'!$T$12),MIN(AB$368:AB$388),TRUE(),MIN(AB$368:AB485))</f>
        <v>0</v>
      </c>
      <c r="M358" s="216" t="n">
        <f aca="false" t="array" ref="M358:M358">_xlfn.IFS(AND(COUNT(M$336:M$342)&gt;=7,AC$487&lt;'Titer Calculation'!$T$12),AC$487,AND(COUNT(M$336:M$342)&gt;=6,MIN(AC$480:AC$486)&lt;'Titer Calculation'!$T$12),MIN(AC$480:AC$486),AND(COUNT(M$336:M$342)&gt;=5,MIN(AC$459:AC$479)&lt;'Titer Calculation'!$T$12),MIN(AC$459:AC$479),AND(COUNT(M$336:M$342)&gt;=4,MIN(AC$424:AC$458)&lt;'Titer Calculation'!$T$12),MIN(AC$424:AC$458),AND(COUNT(M$336:M$342)&gt;=3,MIN(AC$389:AC$423)&lt;'Titer Calculation'!$T$12),MIN(AC$389:AC$423),AND(COUNT(M$336:M$342)&gt;=2,MIN(AC$368:AC$388)&lt;'Titer Calculation'!$T$12),MIN(AC$368:AC$388),TRUE(),MIN(AC$368:AC485))</f>
        <v>0</v>
      </c>
      <c r="N358" s="216" t="n">
        <f aca="false" t="array" ref="N358:N358">_xlfn.IFS(AND(COUNT(N$336:N$342)&gt;=7,AD$487&lt;'Titer Calculation'!$T$12),AD$487,AND(COUNT(N$336:N$342)&gt;=6,MIN(AD$480:AD$486)&lt;'Titer Calculation'!$T$12),MIN(AD$480:AD$486),AND(COUNT(N$336:N$342)&gt;=5,MIN(AD$459:AD$479)&lt;'Titer Calculation'!$T$12),MIN(AD$459:AD$479),AND(COUNT(N$336:N$342)&gt;=4,MIN(AD$424:AD$458)&lt;'Titer Calculation'!$T$12),MIN(AD$424:AD$458),AND(COUNT(N$336:N$342)&gt;=3,MIN(AD$389:AD$423)&lt;'Titer Calculation'!$T$12),MIN(AD$389:AD$423),AND(COUNT(N$336:N$342)&gt;=2,MIN(AD$368:AD$388)&lt;'Titer Calculation'!$T$12),MIN(AD$368:AD$388),TRUE(),MIN(AD$368:AD485))</f>
        <v>0</v>
      </c>
      <c r="O358" s="211"/>
      <c r="P358" s="44"/>
      <c r="Q358" s="83"/>
      <c r="R358" s="212"/>
      <c r="S358" s="44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157"/>
      <c r="AF358" s="44"/>
      <c r="AG358" s="44"/>
      <c r="AH358" s="44"/>
      <c r="AI358" s="44"/>
      <c r="AJ358" s="44"/>
      <c r="AK358" s="44"/>
      <c r="AL358" s="44"/>
      <c r="AM358" s="44"/>
      <c r="AN358" s="44"/>
      <c r="AO358" s="75"/>
      <c r="AP358" s="44"/>
      <c r="AQ358" s="44"/>
      <c r="AR358" s="44"/>
    </row>
    <row r="359" customFormat="false" ht="15.75" hidden="false" customHeight="false" outlineLevel="0" collapsed="false">
      <c r="A359" s="42"/>
      <c r="B359" s="42"/>
      <c r="C359" s="217"/>
      <c r="D359" s="128"/>
      <c r="E359" s="128"/>
      <c r="F359" s="128"/>
      <c r="G359" s="128"/>
      <c r="H359" s="128"/>
      <c r="I359" s="128"/>
      <c r="J359" s="128"/>
      <c r="K359" s="128"/>
      <c r="L359" s="128"/>
      <c r="M359" s="128"/>
      <c r="N359" s="128"/>
      <c r="O359" s="211"/>
      <c r="P359" s="44"/>
      <c r="Q359" s="83"/>
      <c r="R359" s="212"/>
      <c r="S359" s="44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157"/>
      <c r="AF359" s="44"/>
      <c r="AG359" s="44"/>
      <c r="AH359" s="44"/>
      <c r="AI359" s="44"/>
      <c r="AJ359" s="44"/>
      <c r="AK359" s="44"/>
      <c r="AL359" s="44"/>
      <c r="AM359" s="44"/>
      <c r="AN359" s="44"/>
      <c r="AO359" s="75"/>
      <c r="AP359" s="44"/>
      <c r="AQ359" s="44"/>
      <c r="AR359" s="44"/>
    </row>
    <row r="360" customFormat="false" ht="15.75" hidden="false" customHeight="false" outlineLevel="0" collapsed="false">
      <c r="A360" s="42"/>
      <c r="B360" s="42"/>
      <c r="C360" s="217"/>
      <c r="D360" s="128"/>
      <c r="E360" s="128"/>
      <c r="F360" s="128"/>
      <c r="G360" s="128"/>
      <c r="H360" s="128"/>
      <c r="I360" s="128"/>
      <c r="J360" s="128"/>
      <c r="K360" s="128"/>
      <c r="L360" s="128"/>
      <c r="M360" s="128"/>
      <c r="N360" s="128"/>
      <c r="O360" s="211"/>
      <c r="P360" s="44"/>
      <c r="Q360" s="83"/>
      <c r="R360" s="212"/>
      <c r="S360" s="44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157"/>
      <c r="AF360" s="44"/>
      <c r="AG360" s="44"/>
      <c r="AH360" s="44"/>
      <c r="AI360" s="44"/>
      <c r="AJ360" s="44"/>
      <c r="AK360" s="44"/>
      <c r="AL360" s="44"/>
      <c r="AM360" s="44"/>
      <c r="AN360" s="44"/>
      <c r="AO360" s="75"/>
      <c r="AP360" s="44"/>
      <c r="AQ360" s="44"/>
      <c r="AR360" s="44"/>
    </row>
    <row r="361" customFormat="false" ht="15.75" hidden="false" customHeight="false" outlineLevel="0" collapsed="false">
      <c r="A361" s="42"/>
      <c r="B361" s="42"/>
      <c r="C361" s="217"/>
      <c r="D361" s="128"/>
      <c r="E361" s="128"/>
      <c r="F361" s="128"/>
      <c r="G361" s="128"/>
      <c r="H361" s="128"/>
      <c r="I361" s="128"/>
      <c r="J361" s="128"/>
      <c r="K361" s="128"/>
      <c r="L361" s="128"/>
      <c r="M361" s="128"/>
      <c r="N361" s="128"/>
      <c r="O361" s="211"/>
      <c r="P361" s="44"/>
      <c r="Q361" s="83"/>
      <c r="R361" s="212"/>
      <c r="S361" s="44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157"/>
      <c r="AF361" s="44"/>
      <c r="AG361" s="44"/>
      <c r="AH361" s="44"/>
      <c r="AI361" s="44"/>
      <c r="AJ361" s="44"/>
      <c r="AK361" s="44"/>
      <c r="AL361" s="44"/>
      <c r="AM361" s="44"/>
      <c r="AN361" s="44"/>
      <c r="AO361" s="75"/>
      <c r="AP361" s="44"/>
      <c r="AQ361" s="44"/>
      <c r="AR361" s="44"/>
    </row>
    <row r="362" customFormat="false" ht="15.75" hidden="false" customHeight="false" outlineLevel="0" collapsed="false">
      <c r="A362" s="42"/>
      <c r="B362" s="42"/>
      <c r="C362" s="217"/>
      <c r="D362" s="128"/>
      <c r="E362" s="128"/>
      <c r="F362" s="128"/>
      <c r="G362" s="128"/>
      <c r="H362" s="128"/>
      <c r="I362" s="128"/>
      <c r="J362" s="128"/>
      <c r="K362" s="128"/>
      <c r="L362" s="128"/>
      <c r="M362" s="128"/>
      <c r="N362" s="128"/>
      <c r="O362" s="211"/>
      <c r="P362" s="44"/>
      <c r="Q362" s="83"/>
      <c r="R362" s="212"/>
      <c r="S362" s="44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157"/>
      <c r="AF362" s="44"/>
      <c r="AG362" s="44"/>
      <c r="AH362" s="44"/>
      <c r="AI362" s="44"/>
      <c r="AJ362" s="44"/>
      <c r="AK362" s="44"/>
      <c r="AL362" s="44"/>
      <c r="AM362" s="44"/>
      <c r="AN362" s="44"/>
      <c r="AO362" s="75"/>
      <c r="AP362" s="44"/>
      <c r="AQ362" s="44"/>
      <c r="AR362" s="44"/>
    </row>
    <row r="363" customFormat="false" ht="15.75" hidden="false" customHeight="false" outlineLevel="0" collapsed="false">
      <c r="A363" s="42"/>
      <c r="B363" s="42"/>
      <c r="C363" s="217"/>
      <c r="D363" s="128"/>
      <c r="E363" s="128"/>
      <c r="F363" s="128"/>
      <c r="G363" s="128"/>
      <c r="H363" s="128"/>
      <c r="I363" s="128"/>
      <c r="J363" s="128"/>
      <c r="K363" s="128"/>
      <c r="L363" s="128"/>
      <c r="M363" s="128"/>
      <c r="N363" s="128"/>
      <c r="O363" s="211"/>
      <c r="P363" s="44"/>
      <c r="Q363" s="83"/>
      <c r="R363" s="212"/>
      <c r="S363" s="44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157"/>
      <c r="AF363" s="44"/>
      <c r="AG363" s="44"/>
      <c r="AH363" s="44"/>
      <c r="AI363" s="44"/>
      <c r="AJ363" s="44"/>
      <c r="AK363" s="44"/>
      <c r="AL363" s="44"/>
      <c r="AM363" s="44"/>
      <c r="AN363" s="44"/>
      <c r="AO363" s="75"/>
      <c r="AP363" s="44"/>
      <c r="AQ363" s="44"/>
      <c r="AR363" s="44"/>
    </row>
    <row r="364" customFormat="false" ht="15.75" hidden="false" customHeight="false" outlineLevel="0" collapsed="false">
      <c r="A364" s="42"/>
      <c r="B364" s="42"/>
      <c r="C364" s="217"/>
      <c r="D364" s="128"/>
      <c r="E364" s="128"/>
      <c r="F364" s="128"/>
      <c r="G364" s="128"/>
      <c r="H364" s="128"/>
      <c r="I364" s="128"/>
      <c r="J364" s="128"/>
      <c r="K364" s="128"/>
      <c r="L364" s="128"/>
      <c r="M364" s="128"/>
      <c r="N364" s="128"/>
      <c r="O364" s="211"/>
      <c r="P364" s="44"/>
      <c r="Q364" s="83"/>
      <c r="R364" s="42" t="s">
        <v>628</v>
      </c>
      <c r="S364" s="44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157"/>
      <c r="AF364" s="42" t="s">
        <v>279</v>
      </c>
      <c r="AG364" s="44"/>
      <c r="AH364" s="44"/>
      <c r="AI364" s="44"/>
      <c r="AJ364" s="44"/>
      <c r="AK364" s="44"/>
      <c r="AL364" s="44"/>
      <c r="AM364" s="44"/>
      <c r="AN364" s="44"/>
      <c r="AO364" s="75"/>
      <c r="AP364" s="44"/>
      <c r="AQ364" s="44"/>
      <c r="AR364" s="44"/>
    </row>
    <row r="365" customFormat="false" ht="20.25" hidden="false" customHeight="false" outlineLevel="0" collapsed="false">
      <c r="A365" s="42"/>
      <c r="B365" s="42"/>
      <c r="C365" s="217"/>
      <c r="D365" s="128"/>
      <c r="E365" s="128"/>
      <c r="F365" s="128"/>
      <c r="G365" s="128"/>
      <c r="H365" s="128"/>
      <c r="I365" s="128"/>
      <c r="J365" s="128"/>
      <c r="K365" s="128"/>
      <c r="L365" s="128"/>
      <c r="M365" s="128"/>
      <c r="N365" s="128"/>
      <c r="O365" s="211"/>
      <c r="P365" s="44"/>
      <c r="Q365" s="83"/>
      <c r="R365" s="218" t="s">
        <v>214</v>
      </c>
      <c r="S365" s="44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157"/>
      <c r="AF365" s="44"/>
      <c r="AG365" s="44"/>
      <c r="AH365" s="44"/>
      <c r="AI365" s="44"/>
      <c r="AJ365" s="44"/>
      <c r="AK365" s="44"/>
      <c r="AL365" s="44"/>
      <c r="AM365" s="44"/>
      <c r="AN365" s="44"/>
      <c r="AO365" s="75"/>
      <c r="AP365" s="44"/>
      <c r="AQ365" s="44"/>
      <c r="AR365" s="44"/>
    </row>
    <row r="366" customFormat="false" ht="15.75" hidden="false" customHeight="false" outlineLevel="0" collapsed="false">
      <c r="A366" s="42" t="s">
        <v>628</v>
      </c>
      <c r="B366" s="42"/>
      <c r="C366" s="217"/>
      <c r="D366" s="128"/>
      <c r="E366" s="128"/>
      <c r="F366" s="128"/>
      <c r="G366" s="128"/>
      <c r="H366" s="128"/>
      <c r="I366" s="128"/>
      <c r="J366" s="128"/>
      <c r="K366" s="128"/>
      <c r="L366" s="128"/>
      <c r="M366" s="128"/>
      <c r="N366" s="128"/>
      <c r="O366" s="211"/>
      <c r="P366" s="44"/>
      <c r="Q366" s="83"/>
      <c r="R366" s="120" t="s">
        <v>280</v>
      </c>
      <c r="S366" s="44"/>
      <c r="T366" s="120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157"/>
      <c r="AF366" s="44" t="s">
        <v>281</v>
      </c>
      <c r="AG366" s="44"/>
      <c r="AH366" s="44"/>
      <c r="AI366" s="44"/>
      <c r="AJ366" s="44"/>
      <c r="AK366" s="44"/>
      <c r="AL366" s="44"/>
      <c r="AM366" s="44"/>
      <c r="AN366" s="44"/>
      <c r="AO366" s="75"/>
      <c r="AP366" s="44"/>
      <c r="AQ366" s="44"/>
      <c r="AR366" s="44"/>
    </row>
    <row r="367" customFormat="false" ht="15.75" hidden="false" customHeight="false" outlineLevel="0" collapsed="false">
      <c r="A367" s="42" t="s">
        <v>282</v>
      </c>
      <c r="B367" s="42"/>
      <c r="C367" s="75" t="n">
        <v>1</v>
      </c>
      <c r="D367" s="75" t="n">
        <v>2</v>
      </c>
      <c r="E367" s="75" t="n">
        <v>3</v>
      </c>
      <c r="F367" s="75" t="n">
        <v>4</v>
      </c>
      <c r="G367" s="75" t="n">
        <v>5</v>
      </c>
      <c r="H367" s="75" t="n">
        <v>6</v>
      </c>
      <c r="I367" s="75" t="n">
        <v>7</v>
      </c>
      <c r="J367" s="75" t="n">
        <v>8</v>
      </c>
      <c r="K367" s="75" t="n">
        <v>9</v>
      </c>
      <c r="L367" s="75" t="n">
        <v>10</v>
      </c>
      <c r="M367" s="75" t="n">
        <v>11</v>
      </c>
      <c r="N367" s="75" t="n">
        <v>12</v>
      </c>
      <c r="O367" s="211"/>
      <c r="P367" s="44"/>
      <c r="Q367" s="83"/>
      <c r="R367" s="212" t="s">
        <v>283</v>
      </c>
      <c r="S367" s="75" t="n">
        <v>1</v>
      </c>
      <c r="T367" s="75" t="n">
        <v>2</v>
      </c>
      <c r="U367" s="75" t="n">
        <v>3</v>
      </c>
      <c r="V367" s="75" t="n">
        <v>4</v>
      </c>
      <c r="W367" s="75" t="n">
        <v>5</v>
      </c>
      <c r="X367" s="75" t="n">
        <v>6</v>
      </c>
      <c r="Y367" s="75" t="n">
        <v>7</v>
      </c>
      <c r="Z367" s="75" t="n">
        <v>8</v>
      </c>
      <c r="AA367" s="75" t="n">
        <v>9</v>
      </c>
      <c r="AB367" s="75" t="n">
        <v>10</v>
      </c>
      <c r="AC367" s="75" t="n">
        <v>11</v>
      </c>
      <c r="AD367" s="75" t="n">
        <v>12</v>
      </c>
      <c r="AE367" s="157"/>
      <c r="AF367" s="219" t="s">
        <v>240</v>
      </c>
      <c r="AG367" s="75" t="n">
        <v>1</v>
      </c>
      <c r="AH367" s="75" t="n">
        <v>2</v>
      </c>
      <c r="AI367" s="75" t="n">
        <v>3</v>
      </c>
      <c r="AJ367" s="75" t="n">
        <v>4</v>
      </c>
      <c r="AK367" s="75" t="n">
        <v>5</v>
      </c>
      <c r="AL367" s="75" t="n">
        <v>6</v>
      </c>
      <c r="AM367" s="75" t="n">
        <v>7</v>
      </c>
      <c r="AN367" s="75" t="n">
        <v>8</v>
      </c>
      <c r="AO367" s="75" t="n">
        <v>9</v>
      </c>
      <c r="AP367" s="75" t="n">
        <v>10</v>
      </c>
      <c r="AQ367" s="75" t="n">
        <v>11</v>
      </c>
      <c r="AR367" s="75" t="n">
        <v>12</v>
      </c>
    </row>
    <row r="368" customFormat="false" ht="15.75" hidden="false" customHeight="false" outlineLevel="0" collapsed="false">
      <c r="A368" s="220" t="s">
        <v>284</v>
      </c>
      <c r="B368" s="221"/>
      <c r="C368" s="222" t="str">
        <f aca="false">IFERROR(IF(C$347*C348&gt;0,AVERAGE(C$347,C348),""),"")</f>
        <v/>
      </c>
      <c r="D368" s="222" t="str">
        <f aca="false">IFERROR(IF(D$347*D348&gt;0,AVERAGE(D$347,D348),""),"")</f>
        <v/>
      </c>
      <c r="E368" s="222" t="str">
        <f aca="false">IFERROR(IF(E$347*E348&gt;0,AVERAGE(E$347,E348),""),"")</f>
        <v/>
      </c>
      <c r="F368" s="222" t="str">
        <f aca="false">IFERROR(IF(F$347*F348&gt;0,AVERAGE(F$347,F348),""),"")</f>
        <v/>
      </c>
      <c r="G368" s="222" t="str">
        <f aca="false">IFERROR(IF(G$347*G348&gt;0,AVERAGE(G$347,G348),""),"")</f>
        <v/>
      </c>
      <c r="H368" s="222" t="str">
        <f aca="false">IFERROR(IF(H$347*H348&gt;0,AVERAGE(H$347,H348),""),"")</f>
        <v/>
      </c>
      <c r="I368" s="222" t="str">
        <f aca="false">IFERROR(IF(I$347*I348&gt;0,AVERAGE(I$347,I348),""),"")</f>
        <v/>
      </c>
      <c r="J368" s="222" t="str">
        <f aca="false">IFERROR(IF(J$347*J348&gt;0,AVERAGE(J$347,J348),""),"")</f>
        <v/>
      </c>
      <c r="K368" s="222" t="str">
        <f aca="false">IFERROR(IF(K$347*K348&gt;0,AVERAGE(K$347,K348),""),"")</f>
        <v/>
      </c>
      <c r="L368" s="222" t="str">
        <f aca="false">IFERROR(IF(L$347*L348&gt;0,AVERAGE(L$347,L348),""),"")</f>
        <v/>
      </c>
      <c r="M368" s="222" t="str">
        <f aca="false">IFERROR(IF(M$347*M348&gt;0,AVERAGE(M$347,M348),""),"")</f>
        <v/>
      </c>
      <c r="N368" s="222" t="str">
        <f aca="false">IFERROR(IF(N$347*N348&gt;0,AVERAGE(N$347,N348),""),"")</f>
        <v/>
      </c>
      <c r="O368" s="223" t="n">
        <v>2</v>
      </c>
      <c r="P368" s="224" t="n">
        <f aca="false">COMBIN(7,2)</f>
        <v>21</v>
      </c>
      <c r="Q368" s="225" t="n">
        <f aca="false">ROW(N388)-ROW(N368)+1</f>
        <v>21</v>
      </c>
      <c r="R368" s="226" t="s">
        <v>285</v>
      </c>
      <c r="S368" s="227" t="str">
        <f aca="false">IFERROR(IF(C$347*C348&gt;0,STDEV(C$347,C348),"")/IF(C$347*C348&gt;0,AVERAGE(C$347,C348),""),"")</f>
        <v/>
      </c>
      <c r="T368" s="227" t="str">
        <f aca="false">IFERROR(IF(D$347*D348&gt;0,STDEV(D$347,D348),"")/IF(D$347*D348&gt;0,AVERAGE(D$347,D348),""),"")</f>
        <v/>
      </c>
      <c r="U368" s="227" t="str">
        <f aca="false">IFERROR(IF(E$347*E348&gt;0,STDEV(E$347,E348),"")/IF(E$347*E348&gt;0,AVERAGE(E$347,E348),""),"")</f>
        <v/>
      </c>
      <c r="V368" s="227" t="str">
        <f aca="false">IFERROR(IF(F$347*F348&gt;0,STDEV(F$347,F348),"")/IF(F$347*F348&gt;0,AVERAGE(F$347,F348),""),"")</f>
        <v/>
      </c>
      <c r="W368" s="227" t="str">
        <f aca="false">IFERROR(IF(G$347*G348&gt;0,STDEV(G$347,G348),"")/IF(G$347*G348&gt;0,AVERAGE(G$347,G348),""),"")</f>
        <v/>
      </c>
      <c r="X368" s="227" t="str">
        <f aca="false">IFERROR(IF(H$347*H348&gt;0,STDEV(H$347,H348),"")/IF(H$347*H348&gt;0,AVERAGE(H$347,H348),""),"")</f>
        <v/>
      </c>
      <c r="Y368" s="227" t="str">
        <f aca="false">IFERROR(IF(I$347*I348&gt;0,STDEV(I$347,I348),"")/IF(I$347*I348&gt;0,AVERAGE(I$347,I348),""),"")</f>
        <v/>
      </c>
      <c r="Z368" s="227" t="str">
        <f aca="false">IFERROR(IF(J$347*J348&gt;0,STDEV(J$347,J348),"")/IF(J$347*J348&gt;0,AVERAGE(J$347,J348),""),"")</f>
        <v/>
      </c>
      <c r="AA368" s="227" t="str">
        <f aca="false">IFERROR(IF(K$347*K348&gt;0,STDEV(K$347,K348),"")/IF(K$347*K348&gt;0,AVERAGE(K$347,K348),""),"")</f>
        <v/>
      </c>
      <c r="AB368" s="227" t="str">
        <f aca="false">IFERROR(IF(L$347*L348&gt;0,STDEV(L$347,L348),"")/IF(L$347*L348&gt;0,AVERAGE(L$347,L348),""),"")</f>
        <v/>
      </c>
      <c r="AC368" s="227" t="str">
        <f aca="false">IFERROR(IF(M$347*M348&gt;0,STDEV(M$347,M348),"")/IF(M$347*M348&gt;0,AVERAGE(M$347,M348),""),"")</f>
        <v/>
      </c>
      <c r="AD368" s="227" t="str">
        <f aca="false">IFERROR(IF(N$347*N348&gt;0,STDEV(N$347,N348),"")/IF(N$347*N348&gt;0,AVERAGE(N$347,N348),""),"")</f>
        <v/>
      </c>
      <c r="AE368" s="228"/>
      <c r="AF368" s="229" t="s">
        <v>286</v>
      </c>
      <c r="AG368" s="230" t="str">
        <f aca="false">IFERROR(IF(C$347*C348&gt;0,STDEV(C$347,C348)," ")/IF(C$347*C348&gt;0,SQRT(COUNT(C$347,C348)),""),"")</f>
        <v/>
      </c>
      <c r="AH368" s="230" t="str">
        <f aca="false">IFERROR(IF(D$347*D348&gt;0,STDEV(D$347,D348)," ")/IF(D$347*D348&gt;0,SQRT(COUNT(D$347,D348)),""),"")</f>
        <v/>
      </c>
      <c r="AI368" s="230" t="str">
        <f aca="false">IFERROR(IF(E$347*E348&gt;0,STDEV(E$347,E348)," ")/IF(E$347*E348&gt;0,SQRT(COUNT(E$347,E348)),""),"")</f>
        <v/>
      </c>
      <c r="AJ368" s="230" t="str">
        <f aca="false">IFERROR(IF(F$347*F348&gt;0,STDEV(F$347,F348)," ")/IF(F$347*F348&gt;0,SQRT(COUNT(F$347,F348)),""),"")</f>
        <v/>
      </c>
      <c r="AK368" s="230" t="str">
        <f aca="false">IFERROR(IF(G$347*G348&gt;0,STDEV(G$347,G348)," ")/IF(G$347*G348&gt;0,SQRT(COUNT(G$347,G348)),""),"")</f>
        <v/>
      </c>
      <c r="AL368" s="230" t="str">
        <f aca="false">IFERROR(IF(H$347*H348&gt;0,STDEV(H$347,H348)," ")/IF(H$347*H348&gt;0,SQRT(COUNT(H$347,H348)),""),"")</f>
        <v/>
      </c>
      <c r="AM368" s="230" t="str">
        <f aca="false">IFERROR(IF(I$347*I348&gt;0,STDEV(I$347,I348)," ")/IF(I$347*I348&gt;0,SQRT(COUNT(I$347,I348)),""),"")</f>
        <v/>
      </c>
      <c r="AN368" s="230" t="str">
        <f aca="false">IFERROR(IF(J$347*J348&gt;0,STDEV(J$347,J348)," ")/IF(J$347*J348&gt;0,SQRT(COUNT(J$347,J348)),""),"")</f>
        <v/>
      </c>
      <c r="AO368" s="230" t="str">
        <f aca="false">IFERROR(IF(K$347*K348&gt;0,STDEV(K$347,K348)," ")/IF(K$347*K348&gt;0,SQRT(COUNT(K$347,K348)),""),"")</f>
        <v/>
      </c>
      <c r="AP368" s="230" t="str">
        <f aca="false">IFERROR(IF(L$347*L348&gt;0,STDEV(L$347,L348)," ")/IF(L$347*L348&gt;0,SQRT(COUNT(L$347,L348)),""),"")</f>
        <v/>
      </c>
      <c r="AQ368" s="230" t="str">
        <f aca="false">IFERROR(IF(M$347*M348&gt;0,STDEV(M$347,M348)," ")/IF(M$347*M348&gt;0,SQRT(COUNT(M$347,M348)),""),"")</f>
        <v/>
      </c>
      <c r="AR368" s="230" t="str">
        <f aca="false">IFERROR(IF(N$347*N348&gt;0,STDEV(N$347,N348)," ")/IF(N$347*N348&gt;0,SQRT(COUNT(N$347,N348)),""),"")</f>
        <v/>
      </c>
    </row>
    <row r="369" customFormat="false" ht="15.75" hidden="false" customHeight="false" outlineLevel="0" collapsed="false">
      <c r="A369" s="220" t="s">
        <v>287</v>
      </c>
      <c r="B369" s="221"/>
      <c r="C369" s="222" t="str">
        <f aca="false">IFERROR(IF(C$347*C349&gt;0,AVERAGE(C$347,C349),""),"")</f>
        <v/>
      </c>
      <c r="D369" s="222" t="str">
        <f aca="false">IFERROR(IF(D$347*D349&gt;0,AVERAGE(D$347,D349),""),"")</f>
        <v/>
      </c>
      <c r="E369" s="222" t="str">
        <f aca="false">IFERROR(IF(E$347*E349&gt;0,AVERAGE(E$347,E349),""),"")</f>
        <v/>
      </c>
      <c r="F369" s="222" t="str">
        <f aca="false">IFERROR(IF(F$347*F349&gt;0,AVERAGE(F$347,F349),""),"")</f>
        <v/>
      </c>
      <c r="G369" s="222" t="str">
        <f aca="false">IFERROR(IF(G$347*G349&gt;0,AVERAGE(G$347,G349),""),"")</f>
        <v/>
      </c>
      <c r="H369" s="222" t="str">
        <f aca="false">IFERROR(IF(H$347*H349&gt;0,AVERAGE(H$347,H349),""),"")</f>
        <v/>
      </c>
      <c r="I369" s="222" t="str">
        <f aca="false">IFERROR(IF(I$347*I349&gt;0,AVERAGE(I$347,I349),""),"")</f>
        <v/>
      </c>
      <c r="J369" s="222" t="str">
        <f aca="false">IFERROR(IF(J$347*J349&gt;0,AVERAGE(J$347,J349),""),"")</f>
        <v/>
      </c>
      <c r="K369" s="222" t="str">
        <f aca="false">IFERROR(IF(K$347*K349&gt;0,AVERAGE(K$347,K349),""),"")</f>
        <v/>
      </c>
      <c r="L369" s="222" t="str">
        <f aca="false">IFERROR(IF(L$347*L349&gt;0,AVERAGE(L$347,L349),""),"")</f>
        <v/>
      </c>
      <c r="M369" s="222" t="str">
        <f aca="false">IFERROR(IF(M$347*M349&gt;0,AVERAGE(M$347,M349),""),"")</f>
        <v/>
      </c>
      <c r="N369" s="222" t="str">
        <f aca="false">IFERROR(IF(N$347*N349&gt;0,AVERAGE(N$347,N349),""),"")</f>
        <v/>
      </c>
      <c r="O369" s="231"/>
      <c r="P369" s="224"/>
      <c r="Q369" s="232"/>
      <c r="R369" s="226" t="s">
        <v>288</v>
      </c>
      <c r="S369" s="227" t="str">
        <f aca="false">IFERROR(IF(C$347*C349&gt;0,STDEV(C$347,C349),"")/IF(C$347*C349&gt;0,AVERAGE(C$347,C349),""),"")</f>
        <v/>
      </c>
      <c r="T369" s="227" t="str">
        <f aca="false">IFERROR(IF(D$347*D349&gt;0,STDEV(D$347,D349),"")/IF(D$347*D349&gt;0,AVERAGE(D$347,D349),""),"")</f>
        <v/>
      </c>
      <c r="U369" s="227" t="str">
        <f aca="false">IFERROR(IF(E$347*E349&gt;0,STDEV(E$347,E349),"")/IF(E$347*E349&gt;0,AVERAGE(E$347,E349),""),"")</f>
        <v/>
      </c>
      <c r="V369" s="227" t="str">
        <f aca="false">IFERROR(IF(F$347*F349&gt;0,STDEV(F$347,F349),"")/IF(F$347*F349&gt;0,AVERAGE(F$347,F349),""),"")</f>
        <v/>
      </c>
      <c r="W369" s="227" t="str">
        <f aca="false">IFERROR(IF(G$347*G349&gt;0,STDEV(G$347,G349),"")/IF(G$347*G349&gt;0,AVERAGE(G$347,G349),""),"")</f>
        <v/>
      </c>
      <c r="X369" s="227" t="str">
        <f aca="false">IFERROR(IF(H$347*H349&gt;0,STDEV(H$347,H349),"")/IF(H$347*H349&gt;0,AVERAGE(H$347,H349),""),"")</f>
        <v/>
      </c>
      <c r="Y369" s="227" t="str">
        <f aca="false">IFERROR(IF(I$347*I349&gt;0,STDEV(I$347,I349),"")/IF(I$347*I349&gt;0,AVERAGE(I$347,I349),""),"")</f>
        <v/>
      </c>
      <c r="Z369" s="227" t="str">
        <f aca="false">IFERROR(IF(J$347*J349&gt;0,STDEV(J$347,J349),"")/IF(J$347*J349&gt;0,AVERAGE(J$347,J349),""),"")</f>
        <v/>
      </c>
      <c r="AA369" s="227" t="str">
        <f aca="false">IFERROR(IF(K$347*K349&gt;0,STDEV(K$347,K349),"")/IF(K$347*K349&gt;0,AVERAGE(K$347,K349),""),"")</f>
        <v/>
      </c>
      <c r="AB369" s="227" t="str">
        <f aca="false">IFERROR(IF(L$347*L349&gt;0,STDEV(L$347,L349),"")/IF(L$347*L349&gt;0,AVERAGE(L$347,L349),""),"")</f>
        <v/>
      </c>
      <c r="AC369" s="227" t="str">
        <f aca="false">IFERROR(IF(M$347*M349&gt;0,STDEV(M$347,M349),"")/IF(M$347*M349&gt;0,AVERAGE(M$347,M349),""),"")</f>
        <v/>
      </c>
      <c r="AD369" s="227" t="str">
        <f aca="false">IFERROR(IF(N$347*N349&gt;0,STDEV(N$347,N349),"")/IF(N$347*N349&gt;0,AVERAGE(N$347,N349),""),"")</f>
        <v/>
      </c>
      <c r="AE369" s="233"/>
      <c r="AF369" s="229" t="s">
        <v>289</v>
      </c>
      <c r="AG369" s="230" t="str">
        <f aca="false">IFERROR(IF(C$347*C349&gt;0,STDEV(C$347,C349)," ")/IF(C$347*C349&gt;0,SQRT(COUNT(C$347,C349)),""),"")</f>
        <v/>
      </c>
      <c r="AH369" s="230" t="str">
        <f aca="false">IFERROR(IF(D$347*D349&gt;0,STDEV(D$347,D349)," ")/IF(D$347*D349&gt;0,SQRT(COUNT(D$347,D349)),""),"")</f>
        <v/>
      </c>
      <c r="AI369" s="230" t="str">
        <f aca="false">IFERROR(IF(E$347*E349&gt;0,STDEV(E$347,E349)," ")/IF(E$347*E349&gt;0,SQRT(COUNT(E$347,E349)),""),"")</f>
        <v/>
      </c>
      <c r="AJ369" s="230" t="str">
        <f aca="false">IFERROR(IF(F$347*F349&gt;0,STDEV(F$347,F349)," ")/IF(F$347*F349&gt;0,SQRT(COUNT(F$347,F349)),""),"")</f>
        <v/>
      </c>
      <c r="AK369" s="230" t="str">
        <f aca="false">IFERROR(IF(G$347*G349&gt;0,STDEV(G$347,G349)," ")/IF(G$347*G349&gt;0,SQRT(COUNT(G$347,G349)),""),"")</f>
        <v/>
      </c>
      <c r="AL369" s="230" t="str">
        <f aca="false">IFERROR(IF(H$347*H349&gt;0,STDEV(H$347,H349)," ")/IF(H$347*H349&gt;0,SQRT(COUNT(H$347,H349)),""),"")</f>
        <v/>
      </c>
      <c r="AM369" s="230" t="str">
        <f aca="false">IFERROR(IF(I$347*I349&gt;0,STDEV(I$347,I349)," ")/IF(I$347*I349&gt;0,SQRT(COUNT(I$347,I349)),""),"")</f>
        <v/>
      </c>
      <c r="AN369" s="230" t="str">
        <f aca="false">IFERROR(IF(J$347*J349&gt;0,STDEV(J$347,J349)," ")/IF(J$347*J349&gt;0,SQRT(COUNT(J$347,J349)),""),"")</f>
        <v/>
      </c>
      <c r="AO369" s="230" t="str">
        <f aca="false">IFERROR(IF(K$347*K349&gt;0,STDEV(K$347,K349)," ")/IF(K$347*K349&gt;0,SQRT(COUNT(K$347,K349)),""),"")</f>
        <v/>
      </c>
      <c r="AP369" s="230" t="str">
        <f aca="false">IFERROR(IF(L$347*L349&gt;0,STDEV(L$347,L349)," ")/IF(L$347*L349&gt;0,SQRT(COUNT(L$347,L349)),""),"")</f>
        <v/>
      </c>
      <c r="AQ369" s="230" t="str">
        <f aca="false">IFERROR(IF(M$347*M349&gt;0,STDEV(M$347,M349)," ")/IF(M$347*M349&gt;0,SQRT(COUNT(M$347,M349)),""),"")</f>
        <v/>
      </c>
      <c r="AR369" s="230" t="str">
        <f aca="false">IFERROR(IF(N$347*N349&gt;0,STDEV(N$347,N349)," ")/IF(N$347*N349&gt;0,SQRT(COUNT(N$347,N349)),""),"")</f>
        <v/>
      </c>
    </row>
    <row r="370" customFormat="false" ht="15.75" hidden="false" customHeight="false" outlineLevel="0" collapsed="false">
      <c r="A370" s="220" t="s">
        <v>290</v>
      </c>
      <c r="B370" s="221"/>
      <c r="C370" s="222" t="str">
        <f aca="false">IFERROR(IF(C$347*C350&gt;0,AVERAGE(C$347,C350),""),"")</f>
        <v/>
      </c>
      <c r="D370" s="222" t="str">
        <f aca="false">IFERROR(IF(D$347*D350&gt;0,AVERAGE(D$347,D350),""),"")</f>
        <v/>
      </c>
      <c r="E370" s="222" t="str">
        <f aca="false">IFERROR(IF(E$347*E350&gt;0,AVERAGE(E$347,E350),""),"")</f>
        <v/>
      </c>
      <c r="F370" s="222" t="str">
        <f aca="false">IFERROR(IF(F$347*F350&gt;0,AVERAGE(F$347,F350),""),"")</f>
        <v/>
      </c>
      <c r="G370" s="222" t="str">
        <f aca="false">IFERROR(IF(G$347*G350&gt;0,AVERAGE(G$347,G350),""),"")</f>
        <v/>
      </c>
      <c r="H370" s="222" t="str">
        <f aca="false">IFERROR(IF(H$347*H350&gt;0,AVERAGE(H$347,H350),""),"")</f>
        <v/>
      </c>
      <c r="I370" s="222" t="str">
        <f aca="false">IFERROR(IF(I$347*I350&gt;0,AVERAGE(I$347,I350),""),"")</f>
        <v/>
      </c>
      <c r="J370" s="222" t="str">
        <f aca="false">IFERROR(IF(J$347*J350&gt;0,AVERAGE(J$347,J350),""),"")</f>
        <v/>
      </c>
      <c r="K370" s="222" t="str">
        <f aca="false">IFERROR(IF(K$347*K350&gt;0,AVERAGE(K$347,K350),""),"")</f>
        <v/>
      </c>
      <c r="L370" s="222" t="str">
        <f aca="false">IFERROR(IF(L$347*L350&gt;0,AVERAGE(L$347,L350),""),"")</f>
        <v/>
      </c>
      <c r="M370" s="222" t="str">
        <f aca="false">IFERROR(IF(M$347*M350&gt;0,AVERAGE(M$347,M350),""),"")</f>
        <v/>
      </c>
      <c r="N370" s="222" t="str">
        <f aca="false">IFERROR(IF(N$347*N350&gt;0,AVERAGE(N$347,N350),""),"")</f>
        <v/>
      </c>
      <c r="O370" s="224"/>
      <c r="P370" s="224"/>
      <c r="Q370" s="232"/>
      <c r="R370" s="226" t="s">
        <v>291</v>
      </c>
      <c r="S370" s="227" t="str">
        <f aca="false">IFERROR(IF(C$347*C350&gt;0,STDEV(C$347,C350),"")/IF(C$347*C350&gt;0,AVERAGE(C$347,C350),""),"")</f>
        <v/>
      </c>
      <c r="T370" s="227" t="str">
        <f aca="false">IFERROR(IF(D$347*D350&gt;0,STDEV(D$347,D350),"")/IF(D$347*D350&gt;0,AVERAGE(D$347,D350),""),"")</f>
        <v/>
      </c>
      <c r="U370" s="227" t="str">
        <f aca="false">IFERROR(IF(E$347*E350&gt;0,STDEV(E$347,E350),"")/IF(E$347*E350&gt;0,AVERAGE(E$347,E350),""),"")</f>
        <v/>
      </c>
      <c r="V370" s="227" t="str">
        <f aca="false">IFERROR(IF(F$347*F350&gt;0,STDEV(F$347,F350),"")/IF(F$347*F350&gt;0,AVERAGE(F$347,F350),""),"")</f>
        <v/>
      </c>
      <c r="W370" s="227" t="str">
        <f aca="false">IFERROR(IF(G$347*G350&gt;0,STDEV(G$347,G350),"")/IF(G$347*G350&gt;0,AVERAGE(G$347,G350),""),"")</f>
        <v/>
      </c>
      <c r="X370" s="227" t="str">
        <f aca="false">IFERROR(IF(H$347*H350&gt;0,STDEV(H$347,H350),"")/IF(H$347*H350&gt;0,AVERAGE(H$347,H350),""),"")</f>
        <v/>
      </c>
      <c r="Y370" s="227" t="str">
        <f aca="false">IFERROR(IF(I$347*I350&gt;0,STDEV(I$347,I350),"")/IF(I$347*I350&gt;0,AVERAGE(I$347,I350),""),"")</f>
        <v/>
      </c>
      <c r="Z370" s="227" t="str">
        <f aca="false">IFERROR(IF(J$347*J350&gt;0,STDEV(J$347,J350),"")/IF(J$347*J350&gt;0,AVERAGE(J$347,J350),""),"")</f>
        <v/>
      </c>
      <c r="AA370" s="227" t="str">
        <f aca="false">IFERROR(IF(K$347*K350&gt;0,STDEV(K$347,K350),"")/IF(K$347*K350&gt;0,AVERAGE(K$347,K350),""),"")</f>
        <v/>
      </c>
      <c r="AB370" s="227" t="str">
        <f aca="false">IFERROR(IF(L$347*L350&gt;0,STDEV(L$347,L350),"")/IF(L$347*L350&gt;0,AVERAGE(L$347,L350),""),"")</f>
        <v/>
      </c>
      <c r="AC370" s="227" t="str">
        <f aca="false">IFERROR(IF(M$347*M350&gt;0,STDEV(M$347,M350),"")/IF(M$347*M350&gt;0,AVERAGE(M$347,M350),""),"")</f>
        <v/>
      </c>
      <c r="AD370" s="227" t="str">
        <f aca="false">IFERROR(IF(N$347*N350&gt;0,STDEV(N$347,N350),"")/IF(N$347*N350&gt;0,AVERAGE(N$347,N350),""),"")</f>
        <v/>
      </c>
      <c r="AE370" s="233"/>
      <c r="AF370" s="229" t="s">
        <v>292</v>
      </c>
      <c r="AG370" s="230" t="str">
        <f aca="false">IFERROR(IF(C$347*C350&gt;0,STDEV(C$347,C350)," ")/IF(C$347*C350&gt;0,SQRT(COUNT(C$347,C350)),""),"")</f>
        <v/>
      </c>
      <c r="AH370" s="230" t="str">
        <f aca="false">IFERROR(IF(D$347*D350&gt;0,STDEV(D$347,D350)," ")/IF(D$347*D350&gt;0,SQRT(COUNT(D$347,D350)),""),"")</f>
        <v/>
      </c>
      <c r="AI370" s="230" t="str">
        <f aca="false">IFERROR(IF(E$347*E350&gt;0,STDEV(E$347,E350)," ")/IF(E$347*E350&gt;0,SQRT(COUNT(E$347,E350)),""),"")</f>
        <v/>
      </c>
      <c r="AJ370" s="230" t="str">
        <f aca="false">IFERROR(IF(F$347*F350&gt;0,STDEV(F$347,F350)," ")/IF(F$347*F350&gt;0,SQRT(COUNT(F$347,F350)),""),"")</f>
        <v/>
      </c>
      <c r="AK370" s="230" t="str">
        <f aca="false">IFERROR(IF(G$347*G350&gt;0,STDEV(G$347,G350)," ")/IF(G$347*G350&gt;0,SQRT(COUNT(G$347,G350)),""),"")</f>
        <v/>
      </c>
      <c r="AL370" s="230" t="str">
        <f aca="false">IFERROR(IF(H$347*H350&gt;0,STDEV(H$347,H350)," ")/IF(H$347*H350&gt;0,SQRT(COUNT(H$347,H350)),""),"")</f>
        <v/>
      </c>
      <c r="AM370" s="230" t="str">
        <f aca="false">IFERROR(IF(I$347*I350&gt;0,STDEV(I$347,I350)," ")/IF(I$347*I350&gt;0,SQRT(COUNT(I$347,I350)),""),"")</f>
        <v/>
      </c>
      <c r="AN370" s="230" t="str">
        <f aca="false">IFERROR(IF(J$347*J350&gt;0,STDEV(J$347,J350)," ")/IF(J$347*J350&gt;0,SQRT(COUNT(J$347,J350)),""),"")</f>
        <v/>
      </c>
      <c r="AO370" s="230" t="str">
        <f aca="false">IFERROR(IF(K$347*K350&gt;0,STDEV(K$347,K350)," ")/IF(K$347*K350&gt;0,SQRT(COUNT(K$347,K350)),""),"")</f>
        <v/>
      </c>
      <c r="AP370" s="230" t="str">
        <f aca="false">IFERROR(IF(L$347*L350&gt;0,STDEV(L$347,L350)," ")/IF(L$347*L350&gt;0,SQRT(COUNT(L$347,L350)),""),"")</f>
        <v/>
      </c>
      <c r="AQ370" s="230" t="str">
        <f aca="false">IFERROR(IF(M$347*M350&gt;0,STDEV(M$347,M350)," ")/IF(M$347*M350&gt;0,SQRT(COUNT(M$347,M350)),""),"")</f>
        <v/>
      </c>
      <c r="AR370" s="230" t="str">
        <f aca="false">IFERROR(IF(N$347*N350&gt;0,STDEV(N$347,N350)," ")/IF(N$347*N350&gt;0,SQRT(COUNT(N$347,N350)),""),"")</f>
        <v/>
      </c>
    </row>
    <row r="371" customFormat="false" ht="15.75" hidden="false" customHeight="false" outlineLevel="0" collapsed="false">
      <c r="A371" s="220" t="s">
        <v>293</v>
      </c>
      <c r="B371" s="221"/>
      <c r="C371" s="222" t="str">
        <f aca="false">IFERROR(IF(C$347*C351&gt;0,AVERAGE(C$347,C351),""),"")</f>
        <v/>
      </c>
      <c r="D371" s="222" t="str">
        <f aca="false">IFERROR(IF(D$347*D351&gt;0,AVERAGE(D$347,D351),""),"")</f>
        <v/>
      </c>
      <c r="E371" s="222" t="str">
        <f aca="false">IFERROR(IF(E$347*E351&gt;0,AVERAGE(E$347,E351),""),"")</f>
        <v/>
      </c>
      <c r="F371" s="222" t="str">
        <f aca="false">IFERROR(IF(F$347*F351&gt;0,AVERAGE(F$347,F351),""),"")</f>
        <v/>
      </c>
      <c r="G371" s="222" t="str">
        <f aca="false">IFERROR(IF(G$347*G351&gt;0,AVERAGE(G$347,G351),""),"")</f>
        <v/>
      </c>
      <c r="H371" s="222" t="str">
        <f aca="false">IFERROR(IF(H$347*H351&gt;0,AVERAGE(H$347,H351),""),"")</f>
        <v/>
      </c>
      <c r="I371" s="222" t="str">
        <f aca="false">IFERROR(IF(I$347*I351&gt;0,AVERAGE(I$347,I351),""),"")</f>
        <v/>
      </c>
      <c r="J371" s="222" t="str">
        <f aca="false">IFERROR(IF(J$347*J351&gt;0,AVERAGE(J$347,J351),""),"")</f>
        <v/>
      </c>
      <c r="K371" s="222" t="str">
        <f aca="false">IFERROR(IF(K$347*K351&gt;0,AVERAGE(K$347,K351),""),"")</f>
        <v/>
      </c>
      <c r="L371" s="222" t="str">
        <f aca="false">IFERROR(IF(L$347*L351&gt;0,AVERAGE(L$347,L351),""),"")</f>
        <v/>
      </c>
      <c r="M371" s="222" t="str">
        <f aca="false">IFERROR(IF(M$347*M351&gt;0,AVERAGE(M$347,M351),""),"")</f>
        <v/>
      </c>
      <c r="N371" s="222" t="str">
        <f aca="false">IFERROR(IF(N$347*N351&gt;0,AVERAGE(N$347,N351),""),"")</f>
        <v/>
      </c>
      <c r="O371" s="224"/>
      <c r="P371" s="224"/>
      <c r="Q371" s="232"/>
      <c r="R371" s="226" t="s">
        <v>294</v>
      </c>
      <c r="S371" s="227" t="str">
        <f aca="false">IFERROR(IF(C$347*C351&gt;0,STDEV(C$347,C351),"")/IF(C$347*C351&gt;0,AVERAGE(C$347,C351),""),"")</f>
        <v/>
      </c>
      <c r="T371" s="227" t="str">
        <f aca="false">IFERROR(IF(D$347*D351&gt;0,STDEV(D$347,D351),"")/IF(D$347*D351&gt;0,AVERAGE(D$347,D351),""),"")</f>
        <v/>
      </c>
      <c r="U371" s="227" t="str">
        <f aca="false">IFERROR(IF(E$347*E351&gt;0,STDEV(E$347,E351),"")/IF(E$347*E351&gt;0,AVERAGE(E$347,E351),""),"")</f>
        <v/>
      </c>
      <c r="V371" s="227" t="str">
        <f aca="false">IFERROR(IF(F$347*F351&gt;0,STDEV(F$347,F351),"")/IF(F$347*F351&gt;0,AVERAGE(F$347,F351),""),"")</f>
        <v/>
      </c>
      <c r="W371" s="227" t="str">
        <f aca="false">IFERROR(IF(G$347*G351&gt;0,STDEV(G$347,G351),"")/IF(G$347*G351&gt;0,AVERAGE(G$347,G351),""),"")</f>
        <v/>
      </c>
      <c r="X371" s="227" t="str">
        <f aca="false">IFERROR(IF(H$347*H351&gt;0,STDEV(H$347,H351),"")/IF(H$347*H351&gt;0,AVERAGE(H$347,H351),""),"")</f>
        <v/>
      </c>
      <c r="Y371" s="227" t="str">
        <f aca="false">IFERROR(IF(I$347*I351&gt;0,STDEV(I$347,I351),"")/IF(I$347*I351&gt;0,AVERAGE(I$347,I351),""),"")</f>
        <v/>
      </c>
      <c r="Z371" s="227" t="str">
        <f aca="false">IFERROR(IF(J$347*J351&gt;0,STDEV(J$347,J351),"")/IF(J$347*J351&gt;0,AVERAGE(J$347,J351),""),"")</f>
        <v/>
      </c>
      <c r="AA371" s="227" t="str">
        <f aca="false">IFERROR(IF(K$347*K351&gt;0,STDEV(K$347,K351),"")/IF(K$347*K351&gt;0,AVERAGE(K$347,K351),""),"")</f>
        <v/>
      </c>
      <c r="AB371" s="227" t="str">
        <f aca="false">IFERROR(IF(L$347*L351&gt;0,STDEV(L$347,L351),"")/IF(L$347*L351&gt;0,AVERAGE(L$347,L351),""),"")</f>
        <v/>
      </c>
      <c r="AC371" s="227" t="str">
        <f aca="false">IFERROR(IF(M$347*M351&gt;0,STDEV(M$347,M351),"")/IF(M$347*M351&gt;0,AVERAGE(M$347,M351),""),"")</f>
        <v/>
      </c>
      <c r="AD371" s="227" t="str">
        <f aca="false">IFERROR(IF(N$347*N351&gt;0,STDEV(N$347,N351),"")/IF(N$347*N351&gt;0,AVERAGE(N$347,N351),""),"")</f>
        <v/>
      </c>
      <c r="AE371" s="233"/>
      <c r="AF371" s="229" t="s">
        <v>295</v>
      </c>
      <c r="AG371" s="230" t="str">
        <f aca="false">IFERROR(IF(C$347*C351&gt;0,STDEV(C$347,C351)," ")/IF(C$347*C351&gt;0,SQRT(COUNT(C$347,C351))," "),"")</f>
        <v/>
      </c>
      <c r="AH371" s="230" t="str">
        <f aca="false">IFERROR(IF(D$347*D351&gt;0,STDEV(D$347,D351)," ")/IF(D$347*D351&gt;0,SQRT(COUNT(D$347,D351))," "),"")</f>
        <v/>
      </c>
      <c r="AI371" s="230" t="str">
        <f aca="false">IFERROR(IF(E$347*E351&gt;0,STDEV(E$347,E351)," ")/IF(E$347*E351&gt;0,SQRT(COUNT(E$347,E351))," "),"")</f>
        <v/>
      </c>
      <c r="AJ371" s="230" t="str">
        <f aca="false">IFERROR(IF(F$347*F351&gt;0,STDEV(F$347,F351)," ")/IF(F$347*F351&gt;0,SQRT(COUNT(F$347,F351))," "),"")</f>
        <v/>
      </c>
      <c r="AK371" s="230" t="str">
        <f aca="false">IFERROR(IF(G$347*G351&gt;0,STDEV(G$347,G351)," ")/IF(G$347*G351&gt;0,SQRT(COUNT(G$347,G351))," "),"")</f>
        <v/>
      </c>
      <c r="AL371" s="230" t="str">
        <f aca="false">IFERROR(IF(H$347*H351&gt;0,STDEV(H$347,H351)," ")/IF(H$347*H351&gt;0,SQRT(COUNT(H$347,H351))," "),"")</f>
        <v/>
      </c>
      <c r="AM371" s="230" t="str">
        <f aca="false">IFERROR(IF(I$347*I351&gt;0,STDEV(I$347,I351)," ")/IF(I$347*I351&gt;0,SQRT(COUNT(I$347,I351))," "),"")</f>
        <v/>
      </c>
      <c r="AN371" s="230" t="str">
        <f aca="false">IFERROR(IF(J$347*J351&gt;0,STDEV(J$347,J351)," ")/IF(J$347*J351&gt;0,SQRT(COUNT(J$347,J351))," "),"")</f>
        <v/>
      </c>
      <c r="AO371" s="230" t="str">
        <f aca="false">IFERROR(IF(K$347*K351&gt;0,STDEV(K$347,K351)," ")/IF(K$347*K351&gt;0,SQRT(COUNT(K$347,K351))," "),"")</f>
        <v/>
      </c>
      <c r="AP371" s="230" t="str">
        <f aca="false">IFERROR(IF(L$347*L351&gt;0,STDEV(L$347,L351)," ")/IF(L$347*L351&gt;0,SQRT(COUNT(L$347,L351))," "),"")</f>
        <v/>
      </c>
      <c r="AQ371" s="230" t="str">
        <f aca="false">IFERROR(IF(M$347*M351&gt;0,STDEV(M$347,M351)," ")/IF(M$347*M351&gt;0,SQRT(COUNT(M$347,M351))," "),"")</f>
        <v/>
      </c>
      <c r="AR371" s="230" t="str">
        <f aca="false">IFERROR(IF(N$347*N351&gt;0,STDEV(N$347,N351)," ")/IF(N$347*N351&gt;0,SQRT(COUNT(N$347,N351))," "),"")</f>
        <v/>
      </c>
    </row>
    <row r="372" customFormat="false" ht="15.75" hidden="false" customHeight="false" outlineLevel="0" collapsed="false">
      <c r="A372" s="220" t="s">
        <v>296</v>
      </c>
      <c r="B372" s="221"/>
      <c r="C372" s="222" t="str">
        <f aca="false">IFERROR(IF(C$347*C352&gt;0,AVERAGE(C$347,C352),""),"")</f>
        <v/>
      </c>
      <c r="D372" s="222" t="str">
        <f aca="false">IFERROR(IF(D$347*D352&gt;0,AVERAGE(D$347,D352),""),"")</f>
        <v/>
      </c>
      <c r="E372" s="222" t="str">
        <f aca="false">IFERROR(IF(E$347*E352&gt;0,AVERAGE(E$347,E352),""),"")</f>
        <v/>
      </c>
      <c r="F372" s="222" t="str">
        <f aca="false">IFERROR(IF(F$347*F352&gt;0,AVERAGE(F$347,F352),""),"")</f>
        <v/>
      </c>
      <c r="G372" s="222" t="str">
        <f aca="false">IFERROR(IF(G$347*G352&gt;0,AVERAGE(G$347,G352),""),"")</f>
        <v/>
      </c>
      <c r="H372" s="222" t="str">
        <f aca="false">IFERROR(IF(H$347*H352&gt;0,AVERAGE(H$347,H352),""),"")</f>
        <v/>
      </c>
      <c r="I372" s="222" t="str">
        <f aca="false">IFERROR(IF(I$347*I352&gt;0,AVERAGE(I$347,I352),""),"")</f>
        <v/>
      </c>
      <c r="J372" s="222" t="str">
        <f aca="false">IFERROR(IF(J$347*J352&gt;0,AVERAGE(J$347,J352),""),"")</f>
        <v/>
      </c>
      <c r="K372" s="222" t="str">
        <f aca="false">IFERROR(IF(K$347*K352&gt;0,AVERAGE(K$347,K352),""),"")</f>
        <v/>
      </c>
      <c r="L372" s="222" t="str">
        <f aca="false">IFERROR(IF(L$347*L352&gt;0,AVERAGE(L$347,L352),""),"")</f>
        <v/>
      </c>
      <c r="M372" s="222" t="str">
        <f aca="false">IFERROR(IF(M$347*M352&gt;0,AVERAGE(M$347,M352),""),"")</f>
        <v/>
      </c>
      <c r="N372" s="222" t="str">
        <f aca="false">IFERROR(IF(N$347*N352&gt;0,AVERAGE(N$347,N352),""),"")</f>
        <v/>
      </c>
      <c r="O372" s="224"/>
      <c r="P372" s="224"/>
      <c r="Q372" s="232"/>
      <c r="R372" s="226" t="s">
        <v>297</v>
      </c>
      <c r="S372" s="227" t="str">
        <f aca="false">IFERROR(IF(C$347*C352&gt;0,STDEV(C$347,C352),"")/IF(C$347*C352&gt;0,AVERAGE(C$347,C352),""),"")</f>
        <v/>
      </c>
      <c r="T372" s="227" t="str">
        <f aca="false">IFERROR(IF(D$347*D352&gt;0,STDEV(D$347,D352),"")/IF(D$347*D352&gt;0,AVERAGE(D$347,D352),""),"")</f>
        <v/>
      </c>
      <c r="U372" s="227" t="str">
        <f aca="false">IFERROR(IF(E$347*E352&gt;0,STDEV(E$347,E352),"")/IF(E$347*E352&gt;0,AVERAGE(E$347,E352),""),"")</f>
        <v/>
      </c>
      <c r="V372" s="227" t="str">
        <f aca="false">IFERROR(IF(F$347*F352&gt;0,STDEV(F$347,F352),"")/IF(F$347*F352&gt;0,AVERAGE(F$347,F352),""),"")</f>
        <v/>
      </c>
      <c r="W372" s="227" t="str">
        <f aca="false">IFERROR(IF(G$347*G352&gt;0,STDEV(G$347,G352),"")/IF(G$347*G352&gt;0,AVERAGE(G$347,G352),""),"")</f>
        <v/>
      </c>
      <c r="X372" s="227" t="str">
        <f aca="false">IFERROR(IF(H$347*H352&gt;0,STDEV(H$347,H352),"")/IF(H$347*H352&gt;0,AVERAGE(H$347,H352),""),"")</f>
        <v/>
      </c>
      <c r="Y372" s="227" t="str">
        <f aca="false">IFERROR(IF(I$347*I352&gt;0,STDEV(I$347,I352),"")/IF(I$347*I352&gt;0,AVERAGE(I$347,I352),""),"")</f>
        <v/>
      </c>
      <c r="Z372" s="227" t="str">
        <f aca="false">IFERROR(IF(J$347*J352&gt;0,STDEV(J$347,J352),"")/IF(J$347*J352&gt;0,AVERAGE(J$347,J352),""),"")</f>
        <v/>
      </c>
      <c r="AA372" s="227" t="str">
        <f aca="false">IFERROR(IF(K$347*K352&gt;0,STDEV(K$347,K352),"")/IF(K$347*K352&gt;0,AVERAGE(K$347,K352),""),"")</f>
        <v/>
      </c>
      <c r="AB372" s="227" t="str">
        <f aca="false">IFERROR(IF(L$347*L352&gt;0,STDEV(L$347,L352),"")/IF(L$347*L352&gt;0,AVERAGE(L$347,L352),""),"")</f>
        <v/>
      </c>
      <c r="AC372" s="227" t="str">
        <f aca="false">IFERROR(IF(M$347*M352&gt;0,STDEV(M$347,M352),"")/IF(M$347*M352&gt;0,AVERAGE(M$347,M352),""),"")</f>
        <v/>
      </c>
      <c r="AD372" s="227" t="str">
        <f aca="false">IFERROR(IF(N$347*N352&gt;0,STDEV(N$347,N352),"")/IF(N$347*N352&gt;0,AVERAGE(N$347,N352),""),"")</f>
        <v/>
      </c>
      <c r="AE372" s="233"/>
      <c r="AF372" s="229" t="s">
        <v>298</v>
      </c>
      <c r="AG372" s="230" t="str">
        <f aca="false">IFERROR(IF(C$347*C352&gt;0,STDEV(C$347,C352)," ")/IF(C$347*C352&gt;0,SQRT(COUNT(C$347,C352))," "),"")</f>
        <v/>
      </c>
      <c r="AH372" s="230" t="str">
        <f aca="false">IFERROR(IF(D$347*D352&gt;0,STDEV(D$347,D352)," ")/IF(D$347*D352&gt;0,SQRT(COUNT(D$347,D352))," "),"")</f>
        <v/>
      </c>
      <c r="AI372" s="230" t="str">
        <f aca="false">IFERROR(IF(E$347*E352&gt;0,STDEV(E$347,E352)," ")/IF(E$347*E352&gt;0,SQRT(COUNT(E$347,E352))," "),"")</f>
        <v/>
      </c>
      <c r="AJ372" s="230" t="str">
        <f aca="false">IFERROR(IF(F$347*F352&gt;0,STDEV(F$347,F352)," ")/IF(F$347*F352&gt;0,SQRT(COUNT(F$347,F352))," "),"")</f>
        <v/>
      </c>
      <c r="AK372" s="230" t="str">
        <f aca="false">IFERROR(IF(G$347*G352&gt;0,STDEV(G$347,G352)," ")/IF(G$347*G352&gt;0,SQRT(COUNT(G$347,G352))," "),"")</f>
        <v/>
      </c>
      <c r="AL372" s="230" t="str">
        <f aca="false">IFERROR(IF(H$347*H352&gt;0,STDEV(H$347,H352)," ")/IF(H$347*H352&gt;0,SQRT(COUNT(H$347,H352))," "),"")</f>
        <v/>
      </c>
      <c r="AM372" s="230" t="str">
        <f aca="false">IFERROR(IF(I$347*I352&gt;0,STDEV(I$347,I352)," ")/IF(I$347*I352&gt;0,SQRT(COUNT(I$347,I352))," "),"")</f>
        <v/>
      </c>
      <c r="AN372" s="230" t="str">
        <f aca="false">IFERROR(IF(J$347*J352&gt;0,STDEV(J$347,J352)," ")/IF(J$347*J352&gt;0,SQRT(COUNT(J$347,J352))," "),"")</f>
        <v/>
      </c>
      <c r="AO372" s="230" t="str">
        <f aca="false">IFERROR(IF(K$347*K352&gt;0,STDEV(K$347,K352)," ")/IF(K$347*K352&gt;0,SQRT(COUNT(K$347,K352))," "),"")</f>
        <v/>
      </c>
      <c r="AP372" s="230" t="str">
        <f aca="false">IFERROR(IF(L$347*L352&gt;0,STDEV(L$347,L352)," ")/IF(L$347*L352&gt;0,SQRT(COUNT(L$347,L352))," "),"")</f>
        <v/>
      </c>
      <c r="AQ372" s="230" t="str">
        <f aca="false">IFERROR(IF(M$347*M352&gt;0,STDEV(M$347,M352)," ")/IF(M$347*M352&gt;0,SQRT(COUNT(M$347,M352))," "),"")</f>
        <v/>
      </c>
      <c r="AR372" s="230" t="str">
        <f aca="false">IFERROR(IF(N$347*N352&gt;0,STDEV(N$347,N352)," ")/IF(N$347*N352&gt;0,SQRT(COUNT(N$347,N352))," "),"")</f>
        <v/>
      </c>
    </row>
    <row r="373" customFormat="false" ht="15.75" hidden="false" customHeight="false" outlineLevel="0" collapsed="false">
      <c r="A373" s="220" t="s">
        <v>299</v>
      </c>
      <c r="B373" s="221"/>
      <c r="C373" s="222" t="str">
        <f aca="false">IFERROR(IF(C$347*C353&gt;0,AVERAGE(C$347,C353),""),"")</f>
        <v/>
      </c>
      <c r="D373" s="222" t="str">
        <f aca="false">IFERROR(IF(D$347*D353&gt;0,AVERAGE(D$347,D353),""),"")</f>
        <v/>
      </c>
      <c r="E373" s="222" t="str">
        <f aca="false">IFERROR(IF(E$347*E353&gt;0,AVERAGE(E$347,E353),""),"")</f>
        <v/>
      </c>
      <c r="F373" s="222" t="str">
        <f aca="false">IFERROR(IF(F$347*F353&gt;0,AVERAGE(F$347,F353),""),"")</f>
        <v/>
      </c>
      <c r="G373" s="222" t="str">
        <f aca="false">IFERROR(IF(G$347*G353&gt;0,AVERAGE(G$347,G353),""),"")</f>
        <v/>
      </c>
      <c r="H373" s="222" t="str">
        <f aca="false">IFERROR(IF(H$347*H353&gt;0,AVERAGE(H$347,H353),""),"")</f>
        <v/>
      </c>
      <c r="I373" s="222" t="str">
        <f aca="false">IFERROR(IF(I$347*I353&gt;0,AVERAGE(I$347,I353),""),"")</f>
        <v/>
      </c>
      <c r="J373" s="222" t="str">
        <f aca="false">IFERROR(IF(J$347*J353&gt;0,AVERAGE(J$347,J353),""),"")</f>
        <v/>
      </c>
      <c r="K373" s="222" t="str">
        <f aca="false">IFERROR(IF(K$347*K353&gt;0,AVERAGE(K$347,K353),""),"")</f>
        <v/>
      </c>
      <c r="L373" s="222" t="str">
        <f aca="false">IFERROR(IF(L$347*L353&gt;0,AVERAGE(L$347,L353),""),"")</f>
        <v/>
      </c>
      <c r="M373" s="222" t="str">
        <f aca="false">IFERROR(IF(M$347*M353&gt;0,AVERAGE(M$347,M353),""),"")</f>
        <v/>
      </c>
      <c r="N373" s="222" t="str">
        <f aca="false">IFERROR(IF(N$347*N353&gt;0,AVERAGE(N$347,N353),""),"")</f>
        <v/>
      </c>
      <c r="O373" s="224"/>
      <c r="P373" s="224"/>
      <c r="Q373" s="232"/>
      <c r="R373" s="226" t="s">
        <v>300</v>
      </c>
      <c r="S373" s="227" t="str">
        <f aca="false">IFERROR(IF(C$347*C353&gt;0,STDEV(C$347,C353),"")/IF(C$347*C353&gt;0,AVERAGE(C$347,C353),""),"")</f>
        <v/>
      </c>
      <c r="T373" s="227" t="str">
        <f aca="false">IFERROR(IF(D$347*D353&gt;0,STDEV(D$347,D353),"")/IF(D$347*D353&gt;0,AVERAGE(D$347,D353),""),"")</f>
        <v/>
      </c>
      <c r="U373" s="227" t="str">
        <f aca="false">IFERROR(IF(E$347*E353&gt;0,STDEV(E$347,E353),"")/IF(E$347*E353&gt;0,AVERAGE(E$347,E353),""),"")</f>
        <v/>
      </c>
      <c r="V373" s="227" t="str">
        <f aca="false">IFERROR(IF(F$347*F353&gt;0,STDEV(F$347,F353),"")/IF(F$347*F353&gt;0,AVERAGE(F$347,F353),""),"")</f>
        <v/>
      </c>
      <c r="W373" s="227" t="str">
        <f aca="false">IFERROR(IF(G$347*G353&gt;0,STDEV(G$347,G353),"")/IF(G$347*G353&gt;0,AVERAGE(G$347,G353),""),"")</f>
        <v/>
      </c>
      <c r="X373" s="227" t="str">
        <f aca="false">IFERROR(IF(H$347*H353&gt;0,STDEV(H$347,H353),"")/IF(H$347*H353&gt;0,AVERAGE(H$347,H353),""),"")</f>
        <v/>
      </c>
      <c r="Y373" s="227" t="str">
        <f aca="false">IFERROR(IF(I$347*I353&gt;0,STDEV(I$347,I353),"")/IF(I$347*I353&gt;0,AVERAGE(I$347,I353),""),"")</f>
        <v/>
      </c>
      <c r="Z373" s="227" t="str">
        <f aca="false">IFERROR(IF(J$347*J353&gt;0,STDEV(J$347,J353),"")/IF(J$347*J353&gt;0,AVERAGE(J$347,J353),""),"")</f>
        <v/>
      </c>
      <c r="AA373" s="227" t="str">
        <f aca="false">IFERROR(IF(K$347*K353&gt;0,STDEV(K$347,K353),"")/IF(K$347*K353&gt;0,AVERAGE(K$347,K353),""),"")</f>
        <v/>
      </c>
      <c r="AB373" s="227" t="str">
        <f aca="false">IFERROR(IF(L$347*L353&gt;0,STDEV(L$347,L353),"")/IF(L$347*L353&gt;0,AVERAGE(L$347,L353),""),"")</f>
        <v/>
      </c>
      <c r="AC373" s="227" t="str">
        <f aca="false">IFERROR(IF(M$347*M353&gt;0,STDEV(M$347,M353),"")/IF(M$347*M353&gt;0,AVERAGE(M$347,M353),""),"")</f>
        <v/>
      </c>
      <c r="AD373" s="227" t="str">
        <f aca="false">IFERROR(IF(N$347*N353&gt;0,STDEV(N$347,N353),"")/IF(N$347*N353&gt;0,AVERAGE(N$347,N353),""),"")</f>
        <v/>
      </c>
      <c r="AE373" s="233"/>
      <c r="AF373" s="229" t="s">
        <v>301</v>
      </c>
      <c r="AG373" s="230" t="str">
        <f aca="false">IFERROR(IF(C$347*C353&gt;0,STDEV(C$347,C353)," ")/IF(C$347*C353&gt;0,SQRT(COUNT(C$347,C353))," "),"")</f>
        <v/>
      </c>
      <c r="AH373" s="230" t="str">
        <f aca="false">IFERROR(IF(D$347*D353&gt;0,STDEV(D$347,D353)," ")/IF(D$347*D353&gt;0,SQRT(COUNT(D$347,D353))," "),"")</f>
        <v/>
      </c>
      <c r="AI373" s="230" t="str">
        <f aca="false">IFERROR(IF(E$347*E353&gt;0,STDEV(E$347,E353)," ")/IF(E$347*E353&gt;0,SQRT(COUNT(E$347,E353))," "),"")</f>
        <v/>
      </c>
      <c r="AJ373" s="230" t="str">
        <f aca="false">IFERROR(IF(F$347*F353&gt;0,STDEV(F$347,F353)," ")/IF(F$347*F353&gt;0,SQRT(COUNT(F$347,F353))," "),"")</f>
        <v/>
      </c>
      <c r="AK373" s="230" t="str">
        <f aca="false">IFERROR(IF(G$347*G353&gt;0,STDEV(G$347,G353)," ")/IF(G$347*G353&gt;0,SQRT(COUNT(G$347,G353))," "),"")</f>
        <v/>
      </c>
      <c r="AL373" s="230" t="str">
        <f aca="false">IFERROR(IF(H$347*H353&gt;0,STDEV(H$347,H353)," ")/IF(H$347*H353&gt;0,SQRT(COUNT(H$347,H353))," "),"")</f>
        <v/>
      </c>
      <c r="AM373" s="230" t="str">
        <f aca="false">IFERROR(IF(I$347*I353&gt;0,STDEV(I$347,I353)," ")/IF(I$347*I353&gt;0,SQRT(COUNT(I$347,I353))," "),"")</f>
        <v/>
      </c>
      <c r="AN373" s="230" t="str">
        <f aca="false">IFERROR(IF(J$347*J353&gt;0,STDEV(J$347,J353)," ")/IF(J$347*J353&gt;0,SQRT(COUNT(J$347,J353))," "),"")</f>
        <v/>
      </c>
      <c r="AO373" s="230" t="str">
        <f aca="false">IFERROR(IF(K$347*K353&gt;0,STDEV(K$347,K353)," ")/IF(K$347*K353&gt;0,SQRT(COUNT(K$347,K353))," "),"")</f>
        <v/>
      </c>
      <c r="AP373" s="230" t="str">
        <f aca="false">IFERROR(IF(L$347*L353&gt;0,STDEV(L$347,L353)," ")/IF(L$347*L353&gt;0,SQRT(COUNT(L$347,L353))," "),"")</f>
        <v/>
      </c>
      <c r="AQ373" s="230" t="str">
        <f aca="false">IFERROR(IF(M$347*M353&gt;0,STDEV(M$347,M353)," ")/IF(M$347*M353&gt;0,SQRT(COUNT(M$347,M353))," "),"")</f>
        <v/>
      </c>
      <c r="AR373" s="230" t="str">
        <f aca="false">IFERROR(IF(N$347*N353&gt;0,STDEV(N$347,N353)," ")/IF(N$347*N353&gt;0,SQRT(COUNT(N$347,N353))," "),"")</f>
        <v/>
      </c>
    </row>
    <row r="374" customFormat="false" ht="15.75" hidden="false" customHeight="false" outlineLevel="0" collapsed="false">
      <c r="A374" s="220" t="s">
        <v>302</v>
      </c>
      <c r="B374" s="221"/>
      <c r="C374" s="222" t="str">
        <f aca="false">IFERROR(IF(C$348*C349&gt;0,AVERAGE(C$348,C349),""),"")</f>
        <v/>
      </c>
      <c r="D374" s="222" t="str">
        <f aca="false">IFERROR(IF(D$348*D349&gt;0,AVERAGE(D$348,D349),""),"")</f>
        <v/>
      </c>
      <c r="E374" s="222" t="str">
        <f aca="false">IFERROR(IF(E$348*E349&gt;0,AVERAGE(E$348,E349),""),"")</f>
        <v/>
      </c>
      <c r="F374" s="222" t="str">
        <f aca="false">IFERROR(IF(F$348*F349&gt;0,AVERAGE(F$348,F349),""),"")</f>
        <v/>
      </c>
      <c r="G374" s="222" t="str">
        <f aca="false">IFERROR(IF(G$348*G349&gt;0,AVERAGE(G$348,G349),""),"")</f>
        <v/>
      </c>
      <c r="H374" s="222" t="str">
        <f aca="false">IFERROR(IF(H$348*H349&gt;0,AVERAGE(H$348,H349),""),"")</f>
        <v/>
      </c>
      <c r="I374" s="222" t="str">
        <f aca="false">IFERROR(IF(I$348*I349&gt;0,AVERAGE(I$348,I349),""),"")</f>
        <v/>
      </c>
      <c r="J374" s="222" t="str">
        <f aca="false">IFERROR(IF(J$348*J349&gt;0,AVERAGE(J$348,J349),""),"")</f>
        <v/>
      </c>
      <c r="K374" s="222" t="str">
        <f aca="false">IFERROR(IF(K$348*K349&gt;0,AVERAGE(K$348,K349),""),"")</f>
        <v/>
      </c>
      <c r="L374" s="222" t="str">
        <f aca="false">IFERROR(IF(L$348*L349&gt;0,AVERAGE(L$348,L349),""),"")</f>
        <v/>
      </c>
      <c r="M374" s="222" t="str">
        <f aca="false">IFERROR(IF(M$348*M349&gt;0,AVERAGE(M$348,M349),""),"")</f>
        <v/>
      </c>
      <c r="N374" s="222" t="str">
        <f aca="false">IFERROR(IF(N$348*N349&gt;0,AVERAGE(N$348,N349),""),"")</f>
        <v/>
      </c>
      <c r="O374" s="224"/>
      <c r="P374" s="224"/>
      <c r="Q374" s="232"/>
      <c r="R374" s="226" t="s">
        <v>303</v>
      </c>
      <c r="S374" s="227" t="str">
        <f aca="false">IFERROR(IF(C$348*C349&gt;0,STDEV(C$348,C349),"")/IF(C$348*C349&gt;0,AVERAGE(C$348,C349),""),"")</f>
        <v/>
      </c>
      <c r="T374" s="227" t="str">
        <f aca="false">IFERROR(IF(D$348*D349&gt;0,STDEV(D$348,D349),"")/IF(D$348*D349&gt;0,AVERAGE(D$348,D349),""),"")</f>
        <v/>
      </c>
      <c r="U374" s="227" t="str">
        <f aca="false">IFERROR(IF(E$348*E349&gt;0,STDEV(E$348,E349),"")/IF(E$348*E349&gt;0,AVERAGE(E$348,E349),""),"")</f>
        <v/>
      </c>
      <c r="V374" s="227" t="str">
        <f aca="false">IFERROR(IF(F$348*F349&gt;0,STDEV(F$348,F349),"")/IF(F$348*F349&gt;0,AVERAGE(F$348,F349),""),"")</f>
        <v/>
      </c>
      <c r="W374" s="227" t="str">
        <f aca="false">IFERROR(IF(G$348*G349&gt;0,STDEV(G$348,G349),"")/IF(G$348*G349&gt;0,AVERAGE(G$348,G349),""),"")</f>
        <v/>
      </c>
      <c r="X374" s="227" t="str">
        <f aca="false">IFERROR(IF(H$348*H349&gt;0,STDEV(H$348,H349),"")/IF(H$348*H349&gt;0,AVERAGE(H$348,H349),""),"")</f>
        <v/>
      </c>
      <c r="Y374" s="227" t="str">
        <f aca="false">IFERROR(IF(I$348*I349&gt;0,STDEV(I$348,I349),"")/IF(I$348*I349&gt;0,AVERAGE(I$348,I349),""),"")</f>
        <v/>
      </c>
      <c r="Z374" s="227" t="str">
        <f aca="false">IFERROR(IF(J$348*J349&gt;0,STDEV(J$348,J349),"")/IF(J$348*J349&gt;0,AVERAGE(J$348,J349),""),"")</f>
        <v/>
      </c>
      <c r="AA374" s="227" t="str">
        <f aca="false">IFERROR(IF(K$348*K349&gt;0,STDEV(K$348,K349),"")/IF(K$348*K349&gt;0,AVERAGE(K$348,K349),""),"")</f>
        <v/>
      </c>
      <c r="AB374" s="227" t="str">
        <f aca="false">IFERROR(IF(L$348*L349&gt;0,STDEV(L$348,L349),"")/IF(L$348*L349&gt;0,AVERAGE(L$348,L349),""),"")</f>
        <v/>
      </c>
      <c r="AC374" s="227" t="str">
        <f aca="false">IFERROR(IF(M$348*M349&gt;0,STDEV(M$348,M349),"")/IF(M$348*M349&gt;0,AVERAGE(M$348,M349),""),"")</f>
        <v/>
      </c>
      <c r="AD374" s="227" t="str">
        <f aca="false">IFERROR(IF(N$348*N349&gt;0,STDEV(N$348,N349),"")/IF(N$348*N349&gt;0,AVERAGE(N$348,N349),""),"")</f>
        <v/>
      </c>
      <c r="AE374" s="233"/>
      <c r="AF374" s="229" t="s">
        <v>304</v>
      </c>
      <c r="AG374" s="230" t="str">
        <f aca="false">IFERROR(IF(C$348*C349&gt;0,STDEV(C$348,C349)," ")/IF(C$348*C349&gt;0,SQRT(COUNT(C$348,C349))," "),"")</f>
        <v/>
      </c>
      <c r="AH374" s="230" t="str">
        <f aca="false">IFERROR(IF(D$348*D349&gt;0,STDEV(D$348,D349)," ")/IF(D$348*D349&gt;0,SQRT(COUNT(D$348,D349))," "),"")</f>
        <v/>
      </c>
      <c r="AI374" s="230" t="str">
        <f aca="false">IFERROR(IF(E$348*E349&gt;0,STDEV(E$348,E349)," ")/IF(E$348*E349&gt;0,SQRT(COUNT(E$348,E349))," "),"")</f>
        <v/>
      </c>
      <c r="AJ374" s="230" t="str">
        <f aca="false">IFERROR(IF(F$348*F349&gt;0,STDEV(F$348,F349)," ")/IF(F$348*F349&gt;0,SQRT(COUNT(F$348,F349))," "),"")</f>
        <v/>
      </c>
      <c r="AK374" s="230" t="str">
        <f aca="false">IFERROR(IF(G$348*G349&gt;0,STDEV(G$348,G349)," ")/IF(G$348*G349&gt;0,SQRT(COUNT(G$348,G349))," "),"")</f>
        <v/>
      </c>
      <c r="AL374" s="230" t="str">
        <f aca="false">IFERROR(IF(H$348*H349&gt;0,STDEV(H$348,H349)," ")/IF(H$348*H349&gt;0,SQRT(COUNT(H$348,H349))," "),"")</f>
        <v/>
      </c>
      <c r="AM374" s="230" t="str">
        <f aca="false">IFERROR(IF(I$348*I349&gt;0,STDEV(I$348,I349)," ")/IF(I$348*I349&gt;0,SQRT(COUNT(I$348,I349))," "),"")</f>
        <v/>
      </c>
      <c r="AN374" s="230" t="str">
        <f aca="false">IFERROR(IF(J$348*J349&gt;0,STDEV(J$348,J349)," ")/IF(J$348*J349&gt;0,SQRT(COUNT(J$348,J349))," "),"")</f>
        <v/>
      </c>
      <c r="AO374" s="230" t="str">
        <f aca="false">IFERROR(IF(K$348*K349&gt;0,STDEV(K$348,K349)," ")/IF(K$348*K349&gt;0,SQRT(COUNT(K$348,K349))," "),"")</f>
        <v/>
      </c>
      <c r="AP374" s="230" t="str">
        <f aca="false">IFERROR(IF(L$348*L349&gt;0,STDEV(L$348,L349)," ")/IF(L$348*L349&gt;0,SQRT(COUNT(L$348,L349))," "),"")</f>
        <v/>
      </c>
      <c r="AQ374" s="230" t="str">
        <f aca="false">IFERROR(IF(M$348*M349&gt;0,STDEV(M$348,M349)," ")/IF(M$348*M349&gt;0,SQRT(COUNT(M$348,M349))," "),"")</f>
        <v/>
      </c>
      <c r="AR374" s="230" t="str">
        <f aca="false">IFERROR(IF(N$348*N349&gt;0,STDEV(N$348,N349)," ")/IF(N$348*N349&gt;0,SQRT(COUNT(N$348,N349))," "),"")</f>
        <v/>
      </c>
    </row>
    <row r="375" customFormat="false" ht="15.75" hidden="false" customHeight="false" outlineLevel="0" collapsed="false">
      <c r="A375" s="220" t="s">
        <v>305</v>
      </c>
      <c r="B375" s="221"/>
      <c r="C375" s="222" t="str">
        <f aca="false">IFERROR(IF(C$348*C350&gt;0,AVERAGE(C$348,C350),""),"")</f>
        <v/>
      </c>
      <c r="D375" s="222" t="str">
        <f aca="false">IFERROR(IF(D$348*D350&gt;0,AVERAGE(D$348,D350),""),"")</f>
        <v/>
      </c>
      <c r="E375" s="222" t="str">
        <f aca="false">IFERROR(IF(E$348*E350&gt;0,AVERAGE(E$348,E350),""),"")</f>
        <v/>
      </c>
      <c r="F375" s="222" t="str">
        <f aca="false">IFERROR(IF(F$348*F350&gt;0,AVERAGE(F$348,F350),""),"")</f>
        <v/>
      </c>
      <c r="G375" s="222" t="str">
        <f aca="false">IFERROR(IF(G$348*G350&gt;0,AVERAGE(G$348,G350),""),"")</f>
        <v/>
      </c>
      <c r="H375" s="222" t="str">
        <f aca="false">IFERROR(IF(H$348*H350&gt;0,AVERAGE(H$348,H350),""),"")</f>
        <v/>
      </c>
      <c r="I375" s="222" t="str">
        <f aca="false">IFERROR(IF(I$348*I350&gt;0,AVERAGE(I$348,I350),""),"")</f>
        <v/>
      </c>
      <c r="J375" s="222" t="str">
        <f aca="false">IFERROR(IF(J$348*J350&gt;0,AVERAGE(J$348,J350),""),"")</f>
        <v/>
      </c>
      <c r="K375" s="222" t="str">
        <f aca="false">IFERROR(IF(K$348*K350&gt;0,AVERAGE(K$348,K350),""),"")</f>
        <v/>
      </c>
      <c r="L375" s="222" t="str">
        <f aca="false">IFERROR(IF(L$348*L350&gt;0,AVERAGE(L$348,L350),""),"")</f>
        <v/>
      </c>
      <c r="M375" s="222" t="str">
        <f aca="false">IFERROR(IF(M$348*M350&gt;0,AVERAGE(M$348,M350),""),"")</f>
        <v/>
      </c>
      <c r="N375" s="222" t="str">
        <f aca="false">IFERROR(IF(N$348*N350&gt;0,AVERAGE(N$348,N350),""),"")</f>
        <v/>
      </c>
      <c r="O375" s="224"/>
      <c r="P375" s="224"/>
      <c r="Q375" s="232"/>
      <c r="R375" s="226" t="s">
        <v>306</v>
      </c>
      <c r="S375" s="227" t="str">
        <f aca="false">IFERROR(IF(C$348*C350&gt;0,STDEV(C$348,C350),"")/IF(C$348*C350&gt;0,AVERAGE(C$348,C350),""),"")</f>
        <v/>
      </c>
      <c r="T375" s="227" t="str">
        <f aca="false">IFERROR(IF(D$348*D350&gt;0,STDEV(D$348,D350),"")/IF(D$348*D350&gt;0,AVERAGE(D$348,D350),""),"")</f>
        <v/>
      </c>
      <c r="U375" s="227" t="str">
        <f aca="false">IFERROR(IF(E$348*E350&gt;0,STDEV(E$348,E350),"")/IF(E$348*E350&gt;0,AVERAGE(E$348,E350),""),"")</f>
        <v/>
      </c>
      <c r="V375" s="227" t="str">
        <f aca="false">IFERROR(IF(F$348*F350&gt;0,STDEV(F$348,F350),"")/IF(F$348*F350&gt;0,AVERAGE(F$348,F350),""),"")</f>
        <v/>
      </c>
      <c r="W375" s="227" t="str">
        <f aca="false">IFERROR(IF(G$348*G350&gt;0,STDEV(G$348,G350),"")/IF(G$348*G350&gt;0,AVERAGE(G$348,G350),""),"")</f>
        <v/>
      </c>
      <c r="X375" s="227" t="str">
        <f aca="false">IFERROR(IF(H$348*H350&gt;0,STDEV(H$348,H350),"")/IF(H$348*H350&gt;0,AVERAGE(H$348,H350),""),"")</f>
        <v/>
      </c>
      <c r="Y375" s="227" t="str">
        <f aca="false">IFERROR(IF(I$348*I350&gt;0,STDEV(I$348,I350),"")/IF(I$348*I350&gt;0,AVERAGE(I$348,I350),""),"")</f>
        <v/>
      </c>
      <c r="Z375" s="227" t="str">
        <f aca="false">IFERROR(IF(J$348*J350&gt;0,STDEV(J$348,J350),"")/IF(J$348*J350&gt;0,AVERAGE(J$348,J350),""),"")</f>
        <v/>
      </c>
      <c r="AA375" s="227" t="str">
        <f aca="false">IFERROR(IF(K$348*K350&gt;0,STDEV(K$348,K350),"")/IF(K$348*K350&gt;0,AVERAGE(K$348,K350),""),"")</f>
        <v/>
      </c>
      <c r="AB375" s="227" t="str">
        <f aca="false">IFERROR(IF(L$348*L350&gt;0,STDEV(L$348,L350),"")/IF(L$348*L350&gt;0,AVERAGE(L$348,L350),""),"")</f>
        <v/>
      </c>
      <c r="AC375" s="227" t="str">
        <f aca="false">IFERROR(IF(M$348*M350&gt;0,STDEV(M$348,M350),"")/IF(M$348*M350&gt;0,AVERAGE(M$348,M350),""),"")</f>
        <v/>
      </c>
      <c r="AD375" s="227" t="str">
        <f aca="false">IFERROR(IF(N$348*N350&gt;0,STDEV(N$348,N350),"")/IF(N$348*N350&gt;0,AVERAGE(N$348,N350),""),"")</f>
        <v/>
      </c>
      <c r="AE375" s="233"/>
      <c r="AF375" s="229" t="s">
        <v>307</v>
      </c>
      <c r="AG375" s="230" t="str">
        <f aca="false">IFERROR(IF(C$348*C350&gt;0,STDEV(C$348,C350)," ")/IF(C$348*C350&gt;0,SQRT(COUNT(C$348,C350))," "),"")</f>
        <v/>
      </c>
      <c r="AH375" s="230" t="str">
        <f aca="false">IFERROR(IF(D$348*D350&gt;0,STDEV(D$348,D350)," ")/IF(D$348*D350&gt;0,SQRT(COUNT(D$348,D350))," "),"")</f>
        <v/>
      </c>
      <c r="AI375" s="230" t="str">
        <f aca="false">IFERROR(IF(E$348*E350&gt;0,STDEV(E$348,E350)," ")/IF(E$348*E350&gt;0,SQRT(COUNT(E$348,E350))," "),"")</f>
        <v/>
      </c>
      <c r="AJ375" s="230" t="str">
        <f aca="false">IFERROR(IF(F$348*F350&gt;0,STDEV(F$348,F350)," ")/IF(F$348*F350&gt;0,SQRT(COUNT(F$348,F350))," "),"")</f>
        <v/>
      </c>
      <c r="AK375" s="230" t="str">
        <f aca="false">IFERROR(IF(G$348*G350&gt;0,STDEV(G$348,G350)," ")/IF(G$348*G350&gt;0,SQRT(COUNT(G$348,G350))," "),"")</f>
        <v/>
      </c>
      <c r="AL375" s="230" t="str">
        <f aca="false">IFERROR(IF(H$348*H350&gt;0,STDEV(H$348,H350)," ")/IF(H$348*H350&gt;0,SQRT(COUNT(H$348,H350))," "),"")</f>
        <v/>
      </c>
      <c r="AM375" s="230" t="str">
        <f aca="false">IFERROR(IF(I$348*I350&gt;0,STDEV(I$348,I350)," ")/IF(I$348*I350&gt;0,SQRT(COUNT(I$348,I350))," "),"")</f>
        <v/>
      </c>
      <c r="AN375" s="230" t="str">
        <f aca="false">IFERROR(IF(J$348*J350&gt;0,STDEV(J$348,J350)," ")/IF(J$348*J350&gt;0,SQRT(COUNT(J$348,J350))," "),"")</f>
        <v/>
      </c>
      <c r="AO375" s="230" t="str">
        <f aca="false">IFERROR(IF(K$348*K350&gt;0,STDEV(K$348,K350)," ")/IF(K$348*K350&gt;0,SQRT(COUNT(K$348,K350))," "),"")</f>
        <v/>
      </c>
      <c r="AP375" s="230" t="str">
        <f aca="false">IFERROR(IF(L$348*L350&gt;0,STDEV(L$348,L350)," ")/IF(L$348*L350&gt;0,SQRT(COUNT(L$348,L350))," "),"")</f>
        <v/>
      </c>
      <c r="AQ375" s="230" t="str">
        <f aca="false">IFERROR(IF(M$348*M350&gt;0,STDEV(M$348,M350)," ")/IF(M$348*M350&gt;0,SQRT(COUNT(M$348,M350))," "),"")</f>
        <v/>
      </c>
      <c r="AR375" s="230" t="str">
        <f aca="false">IFERROR(IF(N$348*N350&gt;0,STDEV(N$348,N350)," ")/IF(N$348*N350&gt;0,SQRT(COUNT(N$348,N350))," "),"")</f>
        <v/>
      </c>
    </row>
    <row r="376" customFormat="false" ht="15.75" hidden="false" customHeight="false" outlineLevel="0" collapsed="false">
      <c r="A376" s="220" t="s">
        <v>308</v>
      </c>
      <c r="B376" s="221"/>
      <c r="C376" s="222" t="str">
        <f aca="false">IFERROR(IF(C$348*C351&gt;0,AVERAGE(C$348,C351),""),"")</f>
        <v/>
      </c>
      <c r="D376" s="222" t="str">
        <f aca="false">IFERROR(IF(D$348*D351&gt;0,AVERAGE(D$348,D351),""),"")</f>
        <v/>
      </c>
      <c r="E376" s="222" t="str">
        <f aca="false">IFERROR(IF(E$348*E351&gt;0,AVERAGE(E$348,E351),""),"")</f>
        <v/>
      </c>
      <c r="F376" s="222" t="str">
        <f aca="false">IFERROR(IF(F$348*F351&gt;0,AVERAGE(F$348,F351),""),"")</f>
        <v/>
      </c>
      <c r="G376" s="222" t="str">
        <f aca="false">IFERROR(IF(G$348*G351&gt;0,AVERAGE(G$348,G351),""),"")</f>
        <v/>
      </c>
      <c r="H376" s="222" t="str">
        <f aca="false">IFERROR(IF(H$348*H351&gt;0,AVERAGE(H$348,H351),""),"")</f>
        <v/>
      </c>
      <c r="I376" s="222" t="str">
        <f aca="false">IFERROR(IF(I$348*I351&gt;0,AVERAGE(I$348,I351),""),"")</f>
        <v/>
      </c>
      <c r="J376" s="222" t="str">
        <f aca="false">IFERROR(IF(J$348*J351&gt;0,AVERAGE(J$348,J351),""),"")</f>
        <v/>
      </c>
      <c r="K376" s="222" t="str">
        <f aca="false">IFERROR(IF(K$348*K351&gt;0,AVERAGE(K$348,K351),""),"")</f>
        <v/>
      </c>
      <c r="L376" s="222" t="str">
        <f aca="false">IFERROR(IF(L$348*L351&gt;0,AVERAGE(L$348,L351),""),"")</f>
        <v/>
      </c>
      <c r="M376" s="222" t="str">
        <f aca="false">IFERROR(IF(M$348*M351&gt;0,AVERAGE(M$348,M351),""),"")</f>
        <v/>
      </c>
      <c r="N376" s="222" t="str">
        <f aca="false">IFERROR(IF(N$348*N351&gt;0,AVERAGE(N$348,N351),""),"")</f>
        <v/>
      </c>
      <c r="O376" s="224"/>
      <c r="P376" s="224"/>
      <c r="Q376" s="232"/>
      <c r="R376" s="226" t="s">
        <v>309</v>
      </c>
      <c r="S376" s="227" t="str">
        <f aca="false">IFERROR(IF(C$348*C351&gt;0,STDEV(C$348,C351),"")/IF(C$348*C351&gt;0,AVERAGE(C$348,C351),""),"")</f>
        <v/>
      </c>
      <c r="T376" s="227" t="str">
        <f aca="false">IFERROR(IF(D$348*D351&gt;0,STDEV(D$348,D351),"")/IF(D$348*D351&gt;0,AVERAGE(D$348,D351),""),"")</f>
        <v/>
      </c>
      <c r="U376" s="227" t="str">
        <f aca="false">IFERROR(IF(E$348*E351&gt;0,STDEV(E$348,E351),"")/IF(E$348*E351&gt;0,AVERAGE(E$348,E351),""),"")</f>
        <v/>
      </c>
      <c r="V376" s="227" t="str">
        <f aca="false">IFERROR(IF(F$348*F351&gt;0,STDEV(F$348,F351),"")/IF(F$348*F351&gt;0,AVERAGE(F$348,F351),""),"")</f>
        <v/>
      </c>
      <c r="W376" s="227" t="str">
        <f aca="false">IFERROR(IF(G$348*G351&gt;0,STDEV(G$348,G351),"")/IF(G$348*G351&gt;0,AVERAGE(G$348,G351),""),"")</f>
        <v/>
      </c>
      <c r="X376" s="227" t="str">
        <f aca="false">IFERROR(IF(H$348*H351&gt;0,STDEV(H$348,H351),"")/IF(H$348*H351&gt;0,AVERAGE(H$348,H351),""),"")</f>
        <v/>
      </c>
      <c r="Y376" s="227" t="str">
        <f aca="false">IFERROR(IF(I$348*I351&gt;0,STDEV(I$348,I351),"")/IF(I$348*I351&gt;0,AVERAGE(I$348,I351),""),"")</f>
        <v/>
      </c>
      <c r="Z376" s="227" t="str">
        <f aca="false">IFERROR(IF(J$348*J351&gt;0,STDEV(J$348,J351),"")/IF(J$348*J351&gt;0,AVERAGE(J$348,J351),""),"")</f>
        <v/>
      </c>
      <c r="AA376" s="227" t="str">
        <f aca="false">IFERROR(IF(K$348*K351&gt;0,STDEV(K$348,K351),"")/IF(K$348*K351&gt;0,AVERAGE(K$348,K351),""),"")</f>
        <v/>
      </c>
      <c r="AB376" s="227" t="str">
        <f aca="false">IFERROR(IF(L$348*L351&gt;0,STDEV(L$348,L351),"")/IF(L$348*L351&gt;0,AVERAGE(L$348,L351),""),"")</f>
        <v/>
      </c>
      <c r="AC376" s="227" t="str">
        <f aca="false">IFERROR(IF(M$348*M351&gt;0,STDEV(M$348,M351),"")/IF(M$348*M351&gt;0,AVERAGE(M$348,M351),""),"")</f>
        <v/>
      </c>
      <c r="AD376" s="227" t="str">
        <f aca="false">IFERROR(IF(N$348*N351&gt;0,STDEV(N$348,N351),"")/IF(N$348*N351&gt;0,AVERAGE(N$348,N351),""),"")</f>
        <v/>
      </c>
      <c r="AE376" s="233"/>
      <c r="AF376" s="229" t="s">
        <v>310</v>
      </c>
      <c r="AG376" s="230" t="str">
        <f aca="false">IFERROR(IF(C$348*C351&gt;0,STDEV(C$348,C351)," ")/IF(C$348*C351&gt;0,SQRT(COUNT(C$348,C351))," "),"")</f>
        <v/>
      </c>
      <c r="AH376" s="230" t="str">
        <f aca="false">IFERROR(IF(D$348*D351&gt;0,STDEV(D$348,D351)," ")/IF(D$348*D351&gt;0,SQRT(COUNT(D$348,D351))," "),"")</f>
        <v/>
      </c>
      <c r="AI376" s="230" t="str">
        <f aca="false">IFERROR(IF(E$348*E351&gt;0,STDEV(E$348,E351)," ")/IF(E$348*E351&gt;0,SQRT(COUNT(E$348,E351))," "),"")</f>
        <v/>
      </c>
      <c r="AJ376" s="230" t="str">
        <f aca="false">IFERROR(IF(F$348*F351&gt;0,STDEV(F$348,F351)," ")/IF(F$348*F351&gt;0,SQRT(COUNT(F$348,F351))," "),"")</f>
        <v/>
      </c>
      <c r="AK376" s="230" t="str">
        <f aca="false">IFERROR(IF(G$348*G351&gt;0,STDEV(G$348,G351)," ")/IF(G$348*G351&gt;0,SQRT(COUNT(G$348,G351))," "),"")</f>
        <v/>
      </c>
      <c r="AL376" s="230" t="str">
        <f aca="false">IFERROR(IF(H$348*H351&gt;0,STDEV(H$348,H351)," ")/IF(H$348*H351&gt;0,SQRT(COUNT(H$348,H351))," "),"")</f>
        <v/>
      </c>
      <c r="AM376" s="230" t="str">
        <f aca="false">IFERROR(IF(I$348*I351&gt;0,STDEV(I$348,I351)," ")/IF(I$348*I351&gt;0,SQRT(COUNT(I$348,I351))," "),"")</f>
        <v/>
      </c>
      <c r="AN376" s="230" t="str">
        <f aca="false">IFERROR(IF(J$348*J351&gt;0,STDEV(J$348,J351)," ")/IF(J$348*J351&gt;0,SQRT(COUNT(J$348,J351))," "),"")</f>
        <v/>
      </c>
      <c r="AO376" s="230" t="str">
        <f aca="false">IFERROR(IF(K$348*K351&gt;0,STDEV(K$348,K351)," ")/IF(K$348*K351&gt;0,SQRT(COUNT(K$348,K351))," "),"")</f>
        <v/>
      </c>
      <c r="AP376" s="230" t="str">
        <f aca="false">IFERROR(IF(L$348*L351&gt;0,STDEV(L$348,L351)," ")/IF(L$348*L351&gt;0,SQRT(COUNT(L$348,L351))," "),"")</f>
        <v/>
      </c>
      <c r="AQ376" s="230" t="str">
        <f aca="false">IFERROR(IF(M$348*M351&gt;0,STDEV(M$348,M351)," ")/IF(M$348*M351&gt;0,SQRT(COUNT(M$348,M351))," "),"")</f>
        <v/>
      </c>
      <c r="AR376" s="230" t="str">
        <f aca="false">IFERROR(IF(N$348*N351&gt;0,STDEV(N$348,N351)," ")/IF(N$348*N351&gt;0,SQRT(COUNT(N$348,N351))," "),"")</f>
        <v/>
      </c>
    </row>
    <row r="377" customFormat="false" ht="18" hidden="false" customHeight="false" outlineLevel="0" collapsed="false">
      <c r="A377" s="220" t="s">
        <v>311</v>
      </c>
      <c r="B377" s="221"/>
      <c r="C377" s="222" t="str">
        <f aca="false">IFERROR(IF(C$348*C352&gt;0,AVERAGE(C$348,C352),""),"")</f>
        <v/>
      </c>
      <c r="D377" s="222" t="str">
        <f aca="false">IFERROR(IF(D$348*D352&gt;0,AVERAGE(D$348,D352),""),"")</f>
        <v/>
      </c>
      <c r="E377" s="222" t="str">
        <f aca="false">IFERROR(IF(E$348*E352&gt;0,AVERAGE(E$348,E352),""),"")</f>
        <v/>
      </c>
      <c r="F377" s="222" t="str">
        <f aca="false">IFERROR(IF(F$348*F352&gt;0,AVERAGE(F$348,F352),""),"")</f>
        <v/>
      </c>
      <c r="G377" s="222" t="str">
        <f aca="false">IFERROR(IF(G$348*G352&gt;0,AVERAGE(G$348,G352),""),"")</f>
        <v/>
      </c>
      <c r="H377" s="222" t="str">
        <f aca="false">IFERROR(IF(H$348*H352&gt;0,AVERAGE(H$348,H352),""),"")</f>
        <v/>
      </c>
      <c r="I377" s="222" t="str">
        <f aca="false">IFERROR(IF(I$348*I352&gt;0,AVERAGE(I$348,I352),""),"")</f>
        <v/>
      </c>
      <c r="J377" s="222" t="str">
        <f aca="false">IFERROR(IF(J$348*J352&gt;0,AVERAGE(J$348,J352),""),"")</f>
        <v/>
      </c>
      <c r="K377" s="222" t="str">
        <f aca="false">IFERROR(IF(K$348*K352&gt;0,AVERAGE(K$348,K352),""),"")</f>
        <v/>
      </c>
      <c r="L377" s="222" t="str">
        <f aca="false">IFERROR(IF(L$348*L352&gt;0,AVERAGE(L$348,L352),""),"")</f>
        <v/>
      </c>
      <c r="M377" s="222" t="str">
        <f aca="false">IFERROR(IF(M$348*M352&gt;0,AVERAGE(M$348,M352),""),"")</f>
        <v/>
      </c>
      <c r="N377" s="222" t="str">
        <f aca="false">IFERROR(IF(N$348*N352&gt;0,AVERAGE(N$348,N352),""),"")</f>
        <v/>
      </c>
      <c r="O377" s="234"/>
      <c r="P377" s="224"/>
      <c r="Q377" s="232"/>
      <c r="R377" s="226" t="s">
        <v>312</v>
      </c>
      <c r="S377" s="227" t="str">
        <f aca="false">IFERROR(IF(C$348*C352&gt;0,STDEV(C$348,C352),"")/IF(C$348*C352&gt;0,AVERAGE(C$348,C352),""),"")</f>
        <v/>
      </c>
      <c r="T377" s="227" t="str">
        <f aca="false">IFERROR(IF(D$348*D352&gt;0,STDEV(D$348,D352),"")/IF(D$348*D352&gt;0,AVERAGE(D$348,D352),""),"")</f>
        <v/>
      </c>
      <c r="U377" s="227" t="str">
        <f aca="false">IFERROR(IF(E$348*E352&gt;0,STDEV(E$348,E352),"")/IF(E$348*E352&gt;0,AVERAGE(E$348,E352),""),"")</f>
        <v/>
      </c>
      <c r="V377" s="227" t="str">
        <f aca="false">IFERROR(IF(F$348*F352&gt;0,STDEV(F$348,F352),"")/IF(F$348*F352&gt;0,AVERAGE(F$348,F352),""),"")</f>
        <v/>
      </c>
      <c r="W377" s="227" t="str">
        <f aca="false">IFERROR(IF(G$348*G352&gt;0,STDEV(G$348,G352),"")/IF(G$348*G352&gt;0,AVERAGE(G$348,G352),""),"")</f>
        <v/>
      </c>
      <c r="X377" s="227" t="str">
        <f aca="false">IFERROR(IF(H$348*H352&gt;0,STDEV(H$348,H352),"")/IF(H$348*H352&gt;0,AVERAGE(H$348,H352),""),"")</f>
        <v/>
      </c>
      <c r="Y377" s="227" t="str">
        <f aca="false">IFERROR(IF(I$348*I352&gt;0,STDEV(I$348,I352),"")/IF(I$348*I352&gt;0,AVERAGE(I$348,I352),""),"")</f>
        <v/>
      </c>
      <c r="Z377" s="227" t="str">
        <f aca="false">IFERROR(IF(J$348*J352&gt;0,STDEV(J$348,J352),"")/IF(J$348*J352&gt;0,AVERAGE(J$348,J352),""),"")</f>
        <v/>
      </c>
      <c r="AA377" s="227" t="str">
        <f aca="false">IFERROR(IF(K$348*K352&gt;0,STDEV(K$348,K352),"")/IF(K$348*K352&gt;0,AVERAGE(K$348,K352),""),"")</f>
        <v/>
      </c>
      <c r="AB377" s="227" t="str">
        <f aca="false">IFERROR(IF(L$348*L352&gt;0,STDEV(L$348,L352),"")/IF(L$348*L352&gt;0,AVERAGE(L$348,L352),""),"")</f>
        <v/>
      </c>
      <c r="AC377" s="227" t="str">
        <f aca="false">IFERROR(IF(M$348*M352&gt;0,STDEV(M$348,M352),"")/IF(M$348*M352&gt;0,AVERAGE(M$348,M352),""),"")</f>
        <v/>
      </c>
      <c r="AD377" s="227" t="str">
        <f aca="false">IFERROR(IF(N$348*N352&gt;0,STDEV(N$348,N352),"")/IF(N$348*N352&gt;0,AVERAGE(N$348,N352),""),"")</f>
        <v/>
      </c>
      <c r="AE377" s="233"/>
      <c r="AF377" s="229" t="s">
        <v>313</v>
      </c>
      <c r="AG377" s="230" t="str">
        <f aca="false">IFERROR(IF(C$348*C352&gt;0,STDEV(C$348,C352)," ")/IF(C$348*C352&gt;0,SQRT(COUNT(C$348,C352))," "),"")</f>
        <v/>
      </c>
      <c r="AH377" s="230" t="str">
        <f aca="false">IFERROR(IF(D$348*D352&gt;0,STDEV(D$348,D352)," ")/IF(D$348*D352&gt;0,SQRT(COUNT(D$348,D352))," "),"")</f>
        <v/>
      </c>
      <c r="AI377" s="230" t="str">
        <f aca="false">IFERROR(IF(E$348*E352&gt;0,STDEV(E$348,E352)," ")/IF(E$348*E352&gt;0,SQRT(COUNT(E$348,E352))," "),"")</f>
        <v/>
      </c>
      <c r="AJ377" s="230" t="str">
        <f aca="false">IFERROR(IF(F$348*F352&gt;0,STDEV(F$348,F352)," ")/IF(F$348*F352&gt;0,SQRT(COUNT(F$348,F352))," "),"")</f>
        <v/>
      </c>
      <c r="AK377" s="230" t="str">
        <f aca="false">IFERROR(IF(G$348*G352&gt;0,STDEV(G$348,G352)," ")/IF(G$348*G352&gt;0,SQRT(COUNT(G$348,G352))," "),"")</f>
        <v/>
      </c>
      <c r="AL377" s="230" t="str">
        <f aca="false">IFERROR(IF(H$348*H352&gt;0,STDEV(H$348,H352)," ")/IF(H$348*H352&gt;0,SQRT(COUNT(H$348,H352))," "),"")</f>
        <v/>
      </c>
      <c r="AM377" s="230" t="str">
        <f aca="false">IFERROR(IF(I$348*I352&gt;0,STDEV(I$348,I352)," ")/IF(I$348*I352&gt;0,SQRT(COUNT(I$348,I352))," "),"")</f>
        <v/>
      </c>
      <c r="AN377" s="230" t="str">
        <f aca="false">IFERROR(IF(J$348*J352&gt;0,STDEV(J$348,J352)," ")/IF(J$348*J352&gt;0,SQRT(COUNT(J$348,J352))," "),"")</f>
        <v/>
      </c>
      <c r="AO377" s="230" t="str">
        <f aca="false">IFERROR(IF(K$348*K352&gt;0,STDEV(K$348,K352)," ")/IF(K$348*K352&gt;0,SQRT(COUNT(K$348,K352))," "),"")</f>
        <v/>
      </c>
      <c r="AP377" s="230" t="str">
        <f aca="false">IFERROR(IF(L$348*L352&gt;0,STDEV(L$348,L352)," ")/IF(L$348*L352&gt;0,SQRT(COUNT(L$348,L352))," "),"")</f>
        <v/>
      </c>
      <c r="AQ377" s="230" t="str">
        <f aca="false">IFERROR(IF(M$348*M352&gt;0,STDEV(M$348,M352)," ")/IF(M$348*M352&gt;0,SQRT(COUNT(M$348,M352))," "),"")</f>
        <v/>
      </c>
      <c r="AR377" s="230" t="str">
        <f aca="false">IFERROR(IF(N$348*N352&gt;0,STDEV(N$348,N352)," ")/IF(N$348*N352&gt;0,SQRT(COUNT(N$348,N352))," "),"")</f>
        <v/>
      </c>
    </row>
    <row r="378" customFormat="false" ht="15.75" hidden="false" customHeight="false" outlineLevel="0" collapsed="false">
      <c r="A378" s="220" t="s">
        <v>314</v>
      </c>
      <c r="B378" s="221"/>
      <c r="C378" s="222" t="str">
        <f aca="false">IFERROR(IF(C$348*C353&gt;0,AVERAGE(C$348,C353),""),"")</f>
        <v/>
      </c>
      <c r="D378" s="222" t="str">
        <f aca="false">IFERROR(IF(D$348*D353&gt;0,AVERAGE(D$348,D353),""),"")</f>
        <v/>
      </c>
      <c r="E378" s="222" t="str">
        <f aca="false">IFERROR(IF(E$348*E353&gt;0,AVERAGE(E$348,E353),""),"")</f>
        <v/>
      </c>
      <c r="F378" s="222" t="str">
        <f aca="false">IFERROR(IF(F$348*F353&gt;0,AVERAGE(F$348,F353),""),"")</f>
        <v/>
      </c>
      <c r="G378" s="222" t="str">
        <f aca="false">IFERROR(IF(G$348*G353&gt;0,AVERAGE(G$348,G353),""),"")</f>
        <v/>
      </c>
      <c r="H378" s="222" t="str">
        <f aca="false">IFERROR(IF(H$348*H353&gt;0,AVERAGE(H$348,H353),""),"")</f>
        <v/>
      </c>
      <c r="I378" s="222" t="str">
        <f aca="false">IFERROR(IF(I$348*I353&gt;0,AVERAGE(I$348,I353),""),"")</f>
        <v/>
      </c>
      <c r="J378" s="222" t="str">
        <f aca="false">IFERROR(IF(J$348*J353&gt;0,AVERAGE(J$348,J353),""),"")</f>
        <v/>
      </c>
      <c r="K378" s="222" t="str">
        <f aca="false">IFERROR(IF(K$348*K353&gt;0,AVERAGE(K$348,K353),""),"")</f>
        <v/>
      </c>
      <c r="L378" s="222" t="str">
        <f aca="false">IFERROR(IF(L$348*L353&gt;0,AVERAGE(L$348,L353),""),"")</f>
        <v/>
      </c>
      <c r="M378" s="222" t="str">
        <f aca="false">IFERROR(IF(M$348*M353&gt;0,AVERAGE(M$348,M353),""),"")</f>
        <v/>
      </c>
      <c r="N378" s="222" t="str">
        <f aca="false">IFERROR(IF(N$348*N353&gt;0,AVERAGE(N$348,N353),""),"")</f>
        <v/>
      </c>
      <c r="O378" s="96"/>
      <c r="P378" s="224"/>
      <c r="Q378" s="232"/>
      <c r="R378" s="226" t="s">
        <v>315</v>
      </c>
      <c r="S378" s="227" t="str">
        <f aca="false">IFERROR(IF(C$348*C353&gt;0,STDEV(C$348,C353),"")/IF(C$348*C353&gt;0,AVERAGE(C$348,C353),""),"")</f>
        <v/>
      </c>
      <c r="T378" s="227" t="str">
        <f aca="false">IFERROR(IF(D$348*D353&gt;0,STDEV(D$348,D353),"")/IF(D$348*D353&gt;0,AVERAGE(D$348,D353),""),"")</f>
        <v/>
      </c>
      <c r="U378" s="227" t="str">
        <f aca="false">IFERROR(IF(E$348*E353&gt;0,STDEV(E$348,E353),"")/IF(E$348*E353&gt;0,AVERAGE(E$348,E353),""),"")</f>
        <v/>
      </c>
      <c r="V378" s="227" t="str">
        <f aca="false">IFERROR(IF(F$348*F353&gt;0,STDEV(F$348,F353),"")/IF(F$348*F353&gt;0,AVERAGE(F$348,F353),""),"")</f>
        <v/>
      </c>
      <c r="W378" s="227" t="str">
        <f aca="false">IFERROR(IF(G$348*G353&gt;0,STDEV(G$348,G353),"")/IF(G$348*G353&gt;0,AVERAGE(G$348,G353),""),"")</f>
        <v/>
      </c>
      <c r="X378" s="227" t="str">
        <f aca="false">IFERROR(IF(H$348*H353&gt;0,STDEV(H$348,H353),"")/IF(H$348*H353&gt;0,AVERAGE(H$348,H353),""),"")</f>
        <v/>
      </c>
      <c r="Y378" s="227" t="str">
        <f aca="false">IFERROR(IF(I$348*I353&gt;0,STDEV(I$348,I353),"")/IF(I$348*I353&gt;0,AVERAGE(I$348,I353),""),"")</f>
        <v/>
      </c>
      <c r="Z378" s="227" t="str">
        <f aca="false">IFERROR(IF(J$348*J353&gt;0,STDEV(J$348,J353),"")/IF(J$348*J353&gt;0,AVERAGE(J$348,J353),""),"")</f>
        <v/>
      </c>
      <c r="AA378" s="227" t="str">
        <f aca="false">IFERROR(IF(K$348*K353&gt;0,STDEV(K$348,K353),"")/IF(K$348*K353&gt;0,AVERAGE(K$348,K353),""),"")</f>
        <v/>
      </c>
      <c r="AB378" s="227" t="str">
        <f aca="false">IFERROR(IF(L$348*L353&gt;0,STDEV(L$348,L353),"")/IF(L$348*L353&gt;0,AVERAGE(L$348,L353),""),"")</f>
        <v/>
      </c>
      <c r="AC378" s="227" t="str">
        <f aca="false">IFERROR(IF(M$348*M353&gt;0,STDEV(M$348,M353),"")/IF(M$348*M353&gt;0,AVERAGE(M$348,M353),""),"")</f>
        <v/>
      </c>
      <c r="AD378" s="227" t="str">
        <f aca="false">IFERROR(IF(N$348*N353&gt;0,STDEV(N$348,N353),"")/IF(N$348*N353&gt;0,AVERAGE(N$348,N353),""),"")</f>
        <v/>
      </c>
      <c r="AE378" s="233"/>
      <c r="AF378" s="229" t="s">
        <v>316</v>
      </c>
      <c r="AG378" s="230" t="str">
        <f aca="false">IFERROR(IF(C$348*C353&gt;0,STDEV(C$348,C353)," ")/IF(C$348*C353&gt;0,SQRT(COUNT(C$348,C353))," "),"")</f>
        <v/>
      </c>
      <c r="AH378" s="230" t="str">
        <f aca="false">IFERROR(IF(D$348*D353&gt;0,STDEV(D$348,D353)," ")/IF(D$348*D353&gt;0,SQRT(COUNT(D$348,D353))," "),"")</f>
        <v/>
      </c>
      <c r="AI378" s="230" t="str">
        <f aca="false">IFERROR(IF(E$348*E353&gt;0,STDEV(E$348,E353)," ")/IF(E$348*E353&gt;0,SQRT(COUNT(E$348,E353))," "),"")</f>
        <v/>
      </c>
      <c r="AJ378" s="230" t="str">
        <f aca="false">IFERROR(IF(F$348*F353&gt;0,STDEV(F$348,F353)," ")/IF(F$348*F353&gt;0,SQRT(COUNT(F$348,F353))," "),"")</f>
        <v/>
      </c>
      <c r="AK378" s="230" t="str">
        <f aca="false">IFERROR(IF(G$348*G353&gt;0,STDEV(G$348,G353)," ")/IF(G$348*G353&gt;0,SQRT(COUNT(G$348,G353))," "),"")</f>
        <v/>
      </c>
      <c r="AL378" s="230" t="str">
        <f aca="false">IFERROR(IF(H$348*H353&gt;0,STDEV(H$348,H353)," ")/IF(H$348*H353&gt;0,SQRT(COUNT(H$348,H353))," "),"")</f>
        <v/>
      </c>
      <c r="AM378" s="230" t="str">
        <f aca="false">IFERROR(IF(I$348*I353&gt;0,STDEV(I$348,I353)," ")/IF(I$348*I353&gt;0,SQRT(COUNT(I$348,I353))," "),"")</f>
        <v/>
      </c>
      <c r="AN378" s="230" t="str">
        <f aca="false">IFERROR(IF(J$348*J353&gt;0,STDEV(J$348,J353)," ")/IF(J$348*J353&gt;0,SQRT(COUNT(J$348,J353))," "),"")</f>
        <v/>
      </c>
      <c r="AO378" s="230" t="str">
        <f aca="false">IFERROR(IF(K$348*K353&gt;0,STDEV(K$348,K353)," ")/IF(K$348*K353&gt;0,SQRT(COUNT(K$348,K353))," "),"")</f>
        <v/>
      </c>
      <c r="AP378" s="230" t="str">
        <f aca="false">IFERROR(IF(L$348*L353&gt;0,STDEV(L$348,L353)," ")/IF(L$348*L353&gt;0,SQRT(COUNT(L$348,L353))," "),"")</f>
        <v/>
      </c>
      <c r="AQ378" s="230" t="str">
        <f aca="false">IFERROR(IF(M$348*M353&gt;0,STDEV(M$348,M353)," ")/IF(M$348*M353&gt;0,SQRT(COUNT(M$348,M353))," "),"")</f>
        <v/>
      </c>
      <c r="AR378" s="230" t="str">
        <f aca="false">IFERROR(IF(N$348*N353&gt;0,STDEV(N$348,N353)," ")/IF(N$348*N353&gt;0,SQRT(COUNT(N$348,N353))," "),"")</f>
        <v/>
      </c>
    </row>
    <row r="379" customFormat="false" ht="15.75" hidden="false" customHeight="false" outlineLevel="0" collapsed="false">
      <c r="A379" s="220" t="s">
        <v>317</v>
      </c>
      <c r="B379" s="221"/>
      <c r="C379" s="222" t="str">
        <f aca="false">IFERROR(IF(C$349*C350&gt;0,AVERAGE(C$349,C350),""),"")</f>
        <v/>
      </c>
      <c r="D379" s="222" t="str">
        <f aca="false">IFERROR(IF(D$349*D350&gt;0,AVERAGE(D$349,D350),""),"")</f>
        <v/>
      </c>
      <c r="E379" s="222" t="str">
        <f aca="false">IFERROR(IF(E$349*E350&gt;0,AVERAGE(E$349,E350),""),"")</f>
        <v/>
      </c>
      <c r="F379" s="222" t="str">
        <f aca="false">IFERROR(IF(F$349*F350&gt;0,AVERAGE(F$349,F350),""),"")</f>
        <v/>
      </c>
      <c r="G379" s="222" t="str">
        <f aca="false">IFERROR(IF(G$349*G350&gt;0,AVERAGE(G$349,G350),""),"")</f>
        <v/>
      </c>
      <c r="H379" s="222" t="str">
        <f aca="false">IFERROR(IF(H$349*H350&gt;0,AVERAGE(H$349,H350),""),"")</f>
        <v/>
      </c>
      <c r="I379" s="222" t="str">
        <f aca="false">IFERROR(IF(I$349*I350&gt;0,AVERAGE(I$349,I350),""),"")</f>
        <v/>
      </c>
      <c r="J379" s="222" t="str">
        <f aca="false">IFERROR(IF(J$349*J350&gt;0,AVERAGE(J$349,J350),""),"")</f>
        <v/>
      </c>
      <c r="K379" s="222" t="str">
        <f aca="false">IFERROR(IF(K$349*K350&gt;0,AVERAGE(K$349,K350),""),"")</f>
        <v/>
      </c>
      <c r="L379" s="222" t="str">
        <f aca="false">IFERROR(IF(L$349*L350&gt;0,AVERAGE(L$349,L350),""),"")</f>
        <v/>
      </c>
      <c r="M379" s="222" t="str">
        <f aca="false">IFERROR(IF(M$349*M350&gt;0,AVERAGE(M$349,M350),""),"")</f>
        <v/>
      </c>
      <c r="N379" s="222" t="str">
        <f aca="false">IFERROR(IF(N$349*N350&gt;0,AVERAGE(N$349,N350),""),"")</f>
        <v/>
      </c>
      <c r="O379" s="96"/>
      <c r="P379" s="224"/>
      <c r="Q379" s="232"/>
      <c r="R379" s="226" t="s">
        <v>318</v>
      </c>
      <c r="S379" s="227" t="str">
        <f aca="false">IFERROR(IF(C$349*C350&gt;0,STDEV(C$349,C350),"")/IF(C$349*C350&gt;0,AVERAGE(C$349,C350),""),"")</f>
        <v/>
      </c>
      <c r="T379" s="227" t="str">
        <f aca="false">IFERROR(IF(D$349*D350&gt;0,STDEV(D$349,D350),"")/IF(D$349*D350&gt;0,AVERAGE(D$349,D350),""),"")</f>
        <v/>
      </c>
      <c r="U379" s="227" t="str">
        <f aca="false">IFERROR(IF(E$349*E350&gt;0,STDEV(E$349,E350),"")/IF(E$349*E350&gt;0,AVERAGE(E$349,E350),""),"")</f>
        <v/>
      </c>
      <c r="V379" s="227" t="str">
        <f aca="false">IFERROR(IF(F$349*F350&gt;0,STDEV(F$349,F350),"")/IF(F$349*F350&gt;0,AVERAGE(F$349,F350),""),"")</f>
        <v/>
      </c>
      <c r="W379" s="227" t="str">
        <f aca="false">IFERROR(IF(G$349*G350&gt;0,STDEV(G$349,G350),"")/IF(G$349*G350&gt;0,AVERAGE(G$349,G350),""),"")</f>
        <v/>
      </c>
      <c r="X379" s="227" t="str">
        <f aca="false">IFERROR(IF(H$349*H350&gt;0,STDEV(H$349,H350),"")/IF(H$349*H350&gt;0,AVERAGE(H$349,H350),""),"")</f>
        <v/>
      </c>
      <c r="Y379" s="227" t="str">
        <f aca="false">IFERROR(IF(I$349*I350&gt;0,STDEV(I$349,I350),"")/IF(I$349*I350&gt;0,AVERAGE(I$349,I350),""),"")</f>
        <v/>
      </c>
      <c r="Z379" s="227" t="str">
        <f aca="false">IFERROR(IF(J$349*J350&gt;0,STDEV(J$349,J350),"")/IF(J$349*J350&gt;0,AVERAGE(J$349,J350),""),"")</f>
        <v/>
      </c>
      <c r="AA379" s="227" t="str">
        <f aca="false">IFERROR(IF(K$349*K350&gt;0,STDEV(K$349,K350),"")/IF(K$349*K350&gt;0,AVERAGE(K$349,K350),""),"")</f>
        <v/>
      </c>
      <c r="AB379" s="227" t="str">
        <f aca="false">IFERROR(IF(L$349*L350&gt;0,STDEV(L$349,L350),"")/IF(L$349*L350&gt;0,AVERAGE(L$349,L350),""),"")</f>
        <v/>
      </c>
      <c r="AC379" s="227" t="str">
        <f aca="false">IFERROR(IF(M$349*M350&gt;0,STDEV(M$349,M350),"")/IF(M$349*M350&gt;0,AVERAGE(M$349,M350),""),"")</f>
        <v/>
      </c>
      <c r="AD379" s="227" t="str">
        <f aca="false">IFERROR(IF(N$349*N350&gt;0,STDEV(N$349,N350),"")/IF(N$349*N350&gt;0,AVERAGE(N$349,N350),""),"")</f>
        <v/>
      </c>
      <c r="AE379" s="233"/>
      <c r="AF379" s="229" t="s">
        <v>319</v>
      </c>
      <c r="AG379" s="230" t="str">
        <f aca="false">IFERROR(IF(C$349*C350&gt;0,STDEV(C$349,C350)," ")/IF(C$349*C350&gt;0,SQRT(COUNT(C$349,C350))," "),"")</f>
        <v/>
      </c>
      <c r="AH379" s="230" t="str">
        <f aca="false">IFERROR(IF(D$349*D350&gt;0,STDEV(D$349,D350)," ")/IF(D$349*D350&gt;0,SQRT(COUNT(D$349,D350))," "),"")</f>
        <v/>
      </c>
      <c r="AI379" s="230" t="str">
        <f aca="false">IFERROR(IF(E$349*E350&gt;0,STDEV(E$349,E350)," ")/IF(E$349*E350&gt;0,SQRT(COUNT(E$349,E350))," "),"")</f>
        <v/>
      </c>
      <c r="AJ379" s="230" t="str">
        <f aca="false">IFERROR(IF(F$349*F350&gt;0,STDEV(F$349,F350)," ")/IF(F$349*F350&gt;0,SQRT(COUNT(F$349,F350))," "),"")</f>
        <v/>
      </c>
      <c r="AK379" s="230" t="str">
        <f aca="false">IFERROR(IF(G$349*G350&gt;0,STDEV(G$349,G350)," ")/IF(G$349*G350&gt;0,SQRT(COUNT(G$349,G350))," "),"")</f>
        <v/>
      </c>
      <c r="AL379" s="230" t="str">
        <f aca="false">IFERROR(IF(H$349*H350&gt;0,STDEV(H$349,H350)," ")/IF(H$349*H350&gt;0,SQRT(COUNT(H$349,H350))," "),"")</f>
        <v/>
      </c>
      <c r="AM379" s="230" t="str">
        <f aca="false">IFERROR(IF(I$349*I350&gt;0,STDEV(I$349,I350)," ")/IF(I$349*I350&gt;0,SQRT(COUNT(I$349,I350))," "),"")</f>
        <v/>
      </c>
      <c r="AN379" s="230" t="str">
        <f aca="false">IFERROR(IF(J$349*J350&gt;0,STDEV(J$349,J350)," ")/IF(J$349*J350&gt;0,SQRT(COUNT(J$349,J350))," "),"")</f>
        <v/>
      </c>
      <c r="AO379" s="230" t="str">
        <f aca="false">IFERROR(IF(K$349*K350&gt;0,STDEV(K$349,K350)," ")/IF(K$349*K350&gt;0,SQRT(COUNT(K$349,K350))," "),"")</f>
        <v/>
      </c>
      <c r="AP379" s="230" t="str">
        <f aca="false">IFERROR(IF(L$349*L350&gt;0,STDEV(L$349,L350)," ")/IF(L$349*L350&gt;0,SQRT(COUNT(L$349,L350))," "),"")</f>
        <v/>
      </c>
      <c r="AQ379" s="230" t="str">
        <f aca="false">IFERROR(IF(M$349*M350&gt;0,STDEV(M$349,M350)," ")/IF(M$349*M350&gt;0,SQRT(COUNT(M$349,M350))," "),"")</f>
        <v/>
      </c>
      <c r="AR379" s="230" t="str">
        <f aca="false">IFERROR(IF(N$349*N350&gt;0,STDEV(N$349,N350)," ")/IF(N$349*N350&gt;0,SQRT(COUNT(N$349,N350))," "),"")</f>
        <v/>
      </c>
    </row>
    <row r="380" customFormat="false" ht="15.75" hidden="false" customHeight="false" outlineLevel="0" collapsed="false">
      <c r="A380" s="220" t="s">
        <v>320</v>
      </c>
      <c r="B380" s="221"/>
      <c r="C380" s="222" t="str">
        <f aca="false">IFERROR(IF(C$349*C351&gt;0,AVERAGE(C$349,C351),""),"")</f>
        <v/>
      </c>
      <c r="D380" s="222" t="str">
        <f aca="false">IFERROR(IF(D$349*D351&gt;0,AVERAGE(D$349,D351),""),"")</f>
        <v/>
      </c>
      <c r="E380" s="222" t="str">
        <f aca="false">IFERROR(IF(E$349*E351&gt;0,AVERAGE(E$349,E351),""),"")</f>
        <v/>
      </c>
      <c r="F380" s="222" t="str">
        <f aca="false">IFERROR(IF(F$349*F351&gt;0,AVERAGE(F$349,F351),""),"")</f>
        <v/>
      </c>
      <c r="G380" s="222" t="str">
        <f aca="false">IFERROR(IF(G$349*G351&gt;0,AVERAGE(G$349,G351),""),"")</f>
        <v/>
      </c>
      <c r="H380" s="222" t="str">
        <f aca="false">IFERROR(IF(H$349*H351&gt;0,AVERAGE(H$349,H351),""),"")</f>
        <v/>
      </c>
      <c r="I380" s="222" t="str">
        <f aca="false">IFERROR(IF(I$349*I351&gt;0,AVERAGE(I$349,I351),""),"")</f>
        <v/>
      </c>
      <c r="J380" s="222" t="str">
        <f aca="false">IFERROR(IF(J$349*J351&gt;0,AVERAGE(J$349,J351),""),"")</f>
        <v/>
      </c>
      <c r="K380" s="222" t="str">
        <f aca="false">IFERROR(IF(K$349*K351&gt;0,AVERAGE(K$349,K351),""),"")</f>
        <v/>
      </c>
      <c r="L380" s="222" t="str">
        <f aca="false">IFERROR(IF(L$349*L351&gt;0,AVERAGE(L$349,L351),""),"")</f>
        <v/>
      </c>
      <c r="M380" s="222" t="str">
        <f aca="false">IFERROR(IF(M$349*M351&gt;0,AVERAGE(M$349,M351),""),"")</f>
        <v/>
      </c>
      <c r="N380" s="222" t="str">
        <f aca="false">IFERROR(IF(N$349*N351&gt;0,AVERAGE(N$349,N351),""),"")</f>
        <v/>
      </c>
      <c r="O380" s="235"/>
      <c r="P380" s="224"/>
      <c r="Q380" s="232"/>
      <c r="R380" s="226" t="s">
        <v>321</v>
      </c>
      <c r="S380" s="227" t="str">
        <f aca="false">IFERROR(IF(C$349*C351&gt;0,STDEV(C$349,C351),"")/IF(C$349*C351&gt;0,AVERAGE(C$349,C351),""),"")</f>
        <v/>
      </c>
      <c r="T380" s="227" t="str">
        <f aca="false">IFERROR(IF(D$349*D351&gt;0,STDEV(D$349,D351),"")/IF(D$349*D351&gt;0,AVERAGE(D$349,D351),""),"")</f>
        <v/>
      </c>
      <c r="U380" s="227" t="str">
        <f aca="false">IFERROR(IF(E$349*E351&gt;0,STDEV(E$349,E351),"")/IF(E$349*E351&gt;0,AVERAGE(E$349,E351),""),"")</f>
        <v/>
      </c>
      <c r="V380" s="227" t="str">
        <f aca="false">IFERROR(IF(F$349*F351&gt;0,STDEV(F$349,F351),"")/IF(F$349*F351&gt;0,AVERAGE(F$349,F351),""),"")</f>
        <v/>
      </c>
      <c r="W380" s="227" t="str">
        <f aca="false">IFERROR(IF(G$349*G351&gt;0,STDEV(G$349,G351),"")/IF(G$349*G351&gt;0,AVERAGE(G$349,G351),""),"")</f>
        <v/>
      </c>
      <c r="X380" s="227" t="str">
        <f aca="false">IFERROR(IF(H$349*H351&gt;0,STDEV(H$349,H351),"")/IF(H$349*H351&gt;0,AVERAGE(H$349,H351),""),"")</f>
        <v/>
      </c>
      <c r="Y380" s="227" t="str">
        <f aca="false">IFERROR(IF(I$349*I351&gt;0,STDEV(I$349,I351),"")/IF(I$349*I351&gt;0,AVERAGE(I$349,I351),""),"")</f>
        <v/>
      </c>
      <c r="Z380" s="227" t="str">
        <f aca="false">IFERROR(IF(J$349*J351&gt;0,STDEV(J$349,J351),"")/IF(J$349*J351&gt;0,AVERAGE(J$349,J351),""),"")</f>
        <v/>
      </c>
      <c r="AA380" s="227" t="str">
        <f aca="false">IFERROR(IF(K$349*K351&gt;0,STDEV(K$349,K351),"")/IF(K$349*K351&gt;0,AVERAGE(K$349,K351),""),"")</f>
        <v/>
      </c>
      <c r="AB380" s="227" t="str">
        <f aca="false">IFERROR(IF(L$349*L351&gt;0,STDEV(L$349,L351),"")/IF(L$349*L351&gt;0,AVERAGE(L$349,L351),""),"")</f>
        <v/>
      </c>
      <c r="AC380" s="227" t="str">
        <f aca="false">IFERROR(IF(M$349*M351&gt;0,STDEV(M$349,M351),"")/IF(M$349*M351&gt;0,AVERAGE(M$349,M351),""),"")</f>
        <v/>
      </c>
      <c r="AD380" s="227" t="str">
        <f aca="false">IFERROR(IF(N$349*N351&gt;0,STDEV(N$349,N351),"")/IF(N$349*N351&gt;0,AVERAGE(N$349,N351),""),"")</f>
        <v/>
      </c>
      <c r="AE380" s="233"/>
      <c r="AF380" s="229" t="s">
        <v>322</v>
      </c>
      <c r="AG380" s="230" t="str">
        <f aca="false">IFERROR(IF(C$349*C351&gt;0,STDEV(C$349,C351)," ")/IF(C$349*C351&gt;0,SQRT(COUNT(C$349,C351))," "),"")</f>
        <v/>
      </c>
      <c r="AH380" s="230" t="str">
        <f aca="false">IFERROR(IF(D$349*D351&gt;0,STDEV(D$349,D351)," ")/IF(D$349*D351&gt;0,SQRT(COUNT(D$349,D351))," "),"")</f>
        <v/>
      </c>
      <c r="AI380" s="230" t="str">
        <f aca="false">IFERROR(IF(E$349*E351&gt;0,STDEV(E$349,E351)," ")/IF(E$349*E351&gt;0,SQRT(COUNT(E$349,E351))," "),"")</f>
        <v/>
      </c>
      <c r="AJ380" s="230" t="str">
        <f aca="false">IFERROR(IF(F$349*F351&gt;0,STDEV(F$349,F351)," ")/IF(F$349*F351&gt;0,SQRT(COUNT(F$349,F351))," "),"")</f>
        <v/>
      </c>
      <c r="AK380" s="230" t="str">
        <f aca="false">IFERROR(IF(G$349*G351&gt;0,STDEV(G$349,G351)," ")/IF(G$349*G351&gt;0,SQRT(COUNT(G$349,G351))," "),"")</f>
        <v/>
      </c>
      <c r="AL380" s="230" t="str">
        <f aca="false">IFERROR(IF(H$349*H351&gt;0,STDEV(H$349,H351)," ")/IF(H$349*H351&gt;0,SQRT(COUNT(H$349,H351))," "),"")</f>
        <v/>
      </c>
      <c r="AM380" s="230" t="str">
        <f aca="false">IFERROR(IF(I$349*I351&gt;0,STDEV(I$349,I351)," ")/IF(I$349*I351&gt;0,SQRT(COUNT(I$349,I351))," "),"")</f>
        <v/>
      </c>
      <c r="AN380" s="230" t="str">
        <f aca="false">IFERROR(IF(J$349*J351&gt;0,STDEV(J$349,J351)," ")/IF(J$349*J351&gt;0,SQRT(COUNT(J$349,J351))," "),"")</f>
        <v/>
      </c>
      <c r="AO380" s="230" t="str">
        <f aca="false">IFERROR(IF(K$349*K351&gt;0,STDEV(K$349,K351)," ")/IF(K$349*K351&gt;0,SQRT(COUNT(K$349,K351))," "),"")</f>
        <v/>
      </c>
      <c r="AP380" s="230" t="str">
        <f aca="false">IFERROR(IF(L$349*L351&gt;0,STDEV(L$349,L351)," ")/IF(L$349*L351&gt;0,SQRT(COUNT(L$349,L351))," "),"")</f>
        <v/>
      </c>
      <c r="AQ380" s="230" t="str">
        <f aca="false">IFERROR(IF(M$349*M351&gt;0,STDEV(M$349,M351)," ")/IF(M$349*M351&gt;0,SQRT(COUNT(M$349,M351))," "),"")</f>
        <v/>
      </c>
      <c r="AR380" s="230" t="str">
        <f aca="false">IFERROR(IF(N$349*N351&gt;0,STDEV(N$349,N351)," ")/IF(N$349*N351&gt;0,SQRT(COUNT(N$349,N351))," "),"")</f>
        <v/>
      </c>
    </row>
    <row r="381" customFormat="false" ht="15.75" hidden="false" customHeight="false" outlineLevel="0" collapsed="false">
      <c r="A381" s="220" t="s">
        <v>323</v>
      </c>
      <c r="B381" s="221"/>
      <c r="C381" s="222" t="str">
        <f aca="false">IFERROR(IF(C$349*C352&gt;0,AVERAGE(C$349,C352),""),"")</f>
        <v/>
      </c>
      <c r="D381" s="222" t="str">
        <f aca="false">IFERROR(IF(D$349*D352&gt;0,AVERAGE(D$349,D352),""),"")</f>
        <v/>
      </c>
      <c r="E381" s="222" t="str">
        <f aca="false">IFERROR(IF(E$349*E352&gt;0,AVERAGE(E$349,E352),""),"")</f>
        <v/>
      </c>
      <c r="F381" s="222" t="str">
        <f aca="false">IFERROR(IF(F$349*F352&gt;0,AVERAGE(F$349,F352),""),"")</f>
        <v/>
      </c>
      <c r="G381" s="222" t="str">
        <f aca="false">IFERROR(IF(G$349*G352&gt;0,AVERAGE(G$349,G352),""),"")</f>
        <v/>
      </c>
      <c r="H381" s="222" t="str">
        <f aca="false">IFERROR(IF(H$349*H352&gt;0,AVERAGE(H$349,H352),""),"")</f>
        <v/>
      </c>
      <c r="I381" s="222" t="str">
        <f aca="false">IFERROR(IF(I$349*I352&gt;0,AVERAGE(I$349,I352),""),"")</f>
        <v/>
      </c>
      <c r="J381" s="222" t="str">
        <f aca="false">IFERROR(IF(J$349*J352&gt;0,AVERAGE(J$349,J352),""),"")</f>
        <v/>
      </c>
      <c r="K381" s="222" t="str">
        <f aca="false">IFERROR(IF(K$349*K352&gt;0,AVERAGE(K$349,K352),""),"")</f>
        <v/>
      </c>
      <c r="L381" s="222" t="str">
        <f aca="false">IFERROR(IF(L$349*L352&gt;0,AVERAGE(L$349,L352),""),"")</f>
        <v/>
      </c>
      <c r="M381" s="222" t="str">
        <f aca="false">IFERROR(IF(M$349*M352&gt;0,AVERAGE(M$349,M352),""),"")</f>
        <v/>
      </c>
      <c r="N381" s="222" t="str">
        <f aca="false">IFERROR(IF(N$349*N352&gt;0,AVERAGE(N$349,N352),""),"")</f>
        <v/>
      </c>
      <c r="O381" s="224"/>
      <c r="P381" s="224"/>
      <c r="Q381" s="232"/>
      <c r="R381" s="226" t="s">
        <v>324</v>
      </c>
      <c r="S381" s="227" t="str">
        <f aca="false">IFERROR(IF(C$349*C352&gt;0,STDEV(C$349,C352),"")/IF(C$349*C352&gt;0,AVERAGE(C$349,C352),""),"")</f>
        <v/>
      </c>
      <c r="T381" s="227" t="str">
        <f aca="false">IFERROR(IF(D$349*D352&gt;0,STDEV(D$349,D352),"")/IF(D$349*D352&gt;0,AVERAGE(D$349,D352),""),"")</f>
        <v/>
      </c>
      <c r="U381" s="227" t="str">
        <f aca="false">IFERROR(IF(E$349*E352&gt;0,STDEV(E$349,E352),"")/IF(E$349*E352&gt;0,AVERAGE(E$349,E352),""),"")</f>
        <v/>
      </c>
      <c r="V381" s="227" t="str">
        <f aca="false">IFERROR(IF(F$349*F352&gt;0,STDEV(F$349,F352),"")/IF(F$349*F352&gt;0,AVERAGE(F$349,F352),""),"")</f>
        <v/>
      </c>
      <c r="W381" s="227" t="str">
        <f aca="false">IFERROR(IF(G$349*G352&gt;0,STDEV(G$349,G352),"")/IF(G$349*G352&gt;0,AVERAGE(G$349,G352),""),"")</f>
        <v/>
      </c>
      <c r="X381" s="227" t="str">
        <f aca="false">IFERROR(IF(H$349*H352&gt;0,STDEV(H$349,H352),"")/IF(H$349*H352&gt;0,AVERAGE(H$349,H352),""),"")</f>
        <v/>
      </c>
      <c r="Y381" s="227" t="str">
        <f aca="false">IFERROR(IF(I$349*I352&gt;0,STDEV(I$349,I352),"")/IF(I$349*I352&gt;0,AVERAGE(I$349,I352),""),"")</f>
        <v/>
      </c>
      <c r="Z381" s="227" t="str">
        <f aca="false">IFERROR(IF(J$349*J352&gt;0,STDEV(J$349,J352),"")/IF(J$349*J352&gt;0,AVERAGE(J$349,J352),""),"")</f>
        <v/>
      </c>
      <c r="AA381" s="227" t="str">
        <f aca="false">IFERROR(IF(K$349*K352&gt;0,STDEV(K$349,K352),"")/IF(K$349*K352&gt;0,AVERAGE(K$349,K352),""),"")</f>
        <v/>
      </c>
      <c r="AB381" s="227" t="str">
        <f aca="false">IFERROR(IF(L$349*L352&gt;0,STDEV(L$349,L352),"")/IF(L$349*L352&gt;0,AVERAGE(L$349,L352),""),"")</f>
        <v/>
      </c>
      <c r="AC381" s="227" t="str">
        <f aca="false">IFERROR(IF(M$349*M352&gt;0,STDEV(M$349,M352),"")/IF(M$349*M352&gt;0,AVERAGE(M$349,M352),""),"")</f>
        <v/>
      </c>
      <c r="AD381" s="227" t="str">
        <f aca="false">IFERROR(IF(N$349*N352&gt;0,STDEV(N$349,N352),"")/IF(N$349*N352&gt;0,AVERAGE(N$349,N352),""),"")</f>
        <v/>
      </c>
      <c r="AE381" s="233"/>
      <c r="AF381" s="229" t="s">
        <v>325</v>
      </c>
      <c r="AG381" s="230" t="str">
        <f aca="false">IFERROR(IF(C$349*C352&gt;0,STDEV(C$349,C352)," ")/IF(C$349*C352&gt;0,SQRT(COUNT(C$349,C352))," "),"")</f>
        <v/>
      </c>
      <c r="AH381" s="230" t="str">
        <f aca="false">IFERROR(IF(D$349*D352&gt;0,STDEV(D$349,D352)," ")/IF(D$349*D352&gt;0,SQRT(COUNT(D$349,D352))," "),"")</f>
        <v/>
      </c>
      <c r="AI381" s="230" t="str">
        <f aca="false">IFERROR(IF(E$349*E352&gt;0,STDEV(E$349,E352)," ")/IF(E$349*E352&gt;0,SQRT(COUNT(E$349,E352))," "),"")</f>
        <v/>
      </c>
      <c r="AJ381" s="230" t="str">
        <f aca="false">IFERROR(IF(F$349*F352&gt;0,STDEV(F$349,F352)," ")/IF(F$349*F352&gt;0,SQRT(COUNT(F$349,F352))," "),"")</f>
        <v/>
      </c>
      <c r="AK381" s="230" t="str">
        <f aca="false">IFERROR(IF(G$349*G352&gt;0,STDEV(G$349,G352)," ")/IF(G$349*G352&gt;0,SQRT(COUNT(G$349,G352))," "),"")</f>
        <v/>
      </c>
      <c r="AL381" s="230" t="str">
        <f aca="false">IFERROR(IF(H$349*H352&gt;0,STDEV(H$349,H352)," ")/IF(H$349*H352&gt;0,SQRT(COUNT(H$349,H352))," "),"")</f>
        <v/>
      </c>
      <c r="AM381" s="230" t="str">
        <f aca="false">IFERROR(IF(I$349*I352&gt;0,STDEV(I$349,I352)," ")/IF(I$349*I352&gt;0,SQRT(COUNT(I$349,I352))," "),"")</f>
        <v/>
      </c>
      <c r="AN381" s="230" t="str">
        <f aca="false">IFERROR(IF(J$349*J352&gt;0,STDEV(J$349,J352)," ")/IF(J$349*J352&gt;0,SQRT(COUNT(J$349,J352))," "),"")</f>
        <v/>
      </c>
      <c r="AO381" s="230" t="str">
        <f aca="false">IFERROR(IF(K$349*K352&gt;0,STDEV(K$349,K352)," ")/IF(K$349*K352&gt;0,SQRT(COUNT(K$349,K352))," "),"")</f>
        <v/>
      </c>
      <c r="AP381" s="230" t="str">
        <f aca="false">IFERROR(IF(L$349*L352&gt;0,STDEV(L$349,L352)," ")/IF(L$349*L352&gt;0,SQRT(COUNT(L$349,L352))," "),"")</f>
        <v/>
      </c>
      <c r="AQ381" s="230" t="str">
        <f aca="false">IFERROR(IF(M$349*M352&gt;0,STDEV(M$349,M352)," ")/IF(M$349*M352&gt;0,SQRT(COUNT(M$349,M352))," "),"")</f>
        <v/>
      </c>
      <c r="AR381" s="230" t="str">
        <f aca="false">IFERROR(IF(N$349*N352&gt;0,STDEV(N$349,N352)," ")/IF(N$349*N352&gt;0,SQRT(COUNT(N$349,N352))," "),"")</f>
        <v/>
      </c>
    </row>
    <row r="382" customFormat="false" ht="15.75" hidden="false" customHeight="false" outlineLevel="0" collapsed="false">
      <c r="A382" s="220" t="s">
        <v>326</v>
      </c>
      <c r="B382" s="221"/>
      <c r="C382" s="222" t="str">
        <f aca="false">IFERROR(IF(C$349*C353&gt;0,AVERAGE(C$349,C353),""),"")</f>
        <v/>
      </c>
      <c r="D382" s="222" t="str">
        <f aca="false">IFERROR(IF(D$349*D353&gt;0,AVERAGE(D$349,D353),""),"")</f>
        <v/>
      </c>
      <c r="E382" s="222" t="str">
        <f aca="false">IFERROR(IF(E$349*E353&gt;0,AVERAGE(E$349,E353),""),"")</f>
        <v/>
      </c>
      <c r="F382" s="222" t="str">
        <f aca="false">IFERROR(IF(F$349*F353&gt;0,AVERAGE(F$349,F353),""),"")</f>
        <v/>
      </c>
      <c r="G382" s="222" t="str">
        <f aca="false">IFERROR(IF(G$349*G353&gt;0,AVERAGE(G$349,G353),""),"")</f>
        <v/>
      </c>
      <c r="H382" s="222" t="str">
        <f aca="false">IFERROR(IF(H$349*H353&gt;0,AVERAGE(H$349,H353),""),"")</f>
        <v/>
      </c>
      <c r="I382" s="222" t="str">
        <f aca="false">IFERROR(IF(I$349*I353&gt;0,AVERAGE(I$349,I353),""),"")</f>
        <v/>
      </c>
      <c r="J382" s="222" t="str">
        <f aca="false">IFERROR(IF(J$349*J353&gt;0,AVERAGE(J$349,J353),""),"")</f>
        <v/>
      </c>
      <c r="K382" s="222" t="str">
        <f aca="false">IFERROR(IF(K$349*K353&gt;0,AVERAGE(K$349,K353),""),"")</f>
        <v/>
      </c>
      <c r="L382" s="222" t="str">
        <f aca="false">IFERROR(IF(L$349*L353&gt;0,AVERAGE(L$349,L353),""),"")</f>
        <v/>
      </c>
      <c r="M382" s="222" t="str">
        <f aca="false">IFERROR(IF(M$349*M353&gt;0,AVERAGE(M$349,M353),""),"")</f>
        <v/>
      </c>
      <c r="N382" s="222" t="str">
        <f aca="false">IFERROR(IF(N$349*N353&gt;0,AVERAGE(N$349,N353),""),"")</f>
        <v/>
      </c>
      <c r="O382" s="235"/>
      <c r="P382" s="224"/>
      <c r="Q382" s="232"/>
      <c r="R382" s="226" t="s">
        <v>327</v>
      </c>
      <c r="S382" s="227" t="str">
        <f aca="false">IFERROR(IF(C$349*C353&gt;0,STDEV(C$349,C353),"")/IF(C$349*C353&gt;0,AVERAGE(C$349,C353),""),"")</f>
        <v/>
      </c>
      <c r="T382" s="227" t="str">
        <f aca="false">IFERROR(IF(D$349*D353&gt;0,STDEV(D$349,D353),"")/IF(D$349*D353&gt;0,AVERAGE(D$349,D353),""),"")</f>
        <v/>
      </c>
      <c r="U382" s="227" t="str">
        <f aca="false">IFERROR(IF(E$349*E353&gt;0,STDEV(E$349,E353),"")/IF(E$349*E353&gt;0,AVERAGE(E$349,E353),""),"")</f>
        <v/>
      </c>
      <c r="V382" s="227" t="str">
        <f aca="false">IFERROR(IF(F$349*F353&gt;0,STDEV(F$349,F353),"")/IF(F$349*F353&gt;0,AVERAGE(F$349,F353),""),"")</f>
        <v/>
      </c>
      <c r="W382" s="227" t="str">
        <f aca="false">IFERROR(IF(G$349*G353&gt;0,STDEV(G$349,G353),"")/IF(G$349*G353&gt;0,AVERAGE(G$349,G353),""),"")</f>
        <v/>
      </c>
      <c r="X382" s="227" t="str">
        <f aca="false">IFERROR(IF(H$349*H353&gt;0,STDEV(H$349,H353),"")/IF(H$349*H353&gt;0,AVERAGE(H$349,H353),""),"")</f>
        <v/>
      </c>
      <c r="Y382" s="227" t="str">
        <f aca="false">IFERROR(IF(I$349*I353&gt;0,STDEV(I$349,I353),"")/IF(I$349*I353&gt;0,AVERAGE(I$349,I353),""),"")</f>
        <v/>
      </c>
      <c r="Z382" s="227" t="str">
        <f aca="false">IFERROR(IF(J$349*J353&gt;0,STDEV(J$349,J353),"")/IF(J$349*J353&gt;0,AVERAGE(J$349,J353),""),"")</f>
        <v/>
      </c>
      <c r="AA382" s="227" t="str">
        <f aca="false">IFERROR(IF(K$349*K353&gt;0,STDEV(K$349,K353),"")/IF(K$349*K353&gt;0,AVERAGE(K$349,K353),""),"")</f>
        <v/>
      </c>
      <c r="AB382" s="227" t="str">
        <f aca="false">IFERROR(IF(L$349*L353&gt;0,STDEV(L$349,L353),"")/IF(L$349*L353&gt;0,AVERAGE(L$349,L353),""),"")</f>
        <v/>
      </c>
      <c r="AC382" s="227" t="str">
        <f aca="false">IFERROR(IF(M$349*M353&gt;0,STDEV(M$349,M353),"")/IF(M$349*M353&gt;0,AVERAGE(M$349,M353),""),"")</f>
        <v/>
      </c>
      <c r="AD382" s="227" t="str">
        <f aca="false">IFERROR(IF(N$349*N353&gt;0,STDEV(N$349,N353),"")/IF(N$349*N353&gt;0,AVERAGE(N$349,N353),""),"")</f>
        <v/>
      </c>
      <c r="AE382" s="233"/>
      <c r="AF382" s="229" t="s">
        <v>328</v>
      </c>
      <c r="AG382" s="230" t="str">
        <f aca="false">IFERROR(IF(C$349*C353&gt;0,STDEV(C$349,C353)," ")/IF(C$349*C353&gt;0,SQRT(COUNT(C$349,C353))," "),"")</f>
        <v/>
      </c>
      <c r="AH382" s="230" t="str">
        <f aca="false">IFERROR(IF(D$349*D353&gt;0,STDEV(D$349,D353)," ")/IF(D$349*D353&gt;0,SQRT(COUNT(D$349,D353))," "),"")</f>
        <v/>
      </c>
      <c r="AI382" s="230" t="str">
        <f aca="false">IFERROR(IF(E$349*E353&gt;0,STDEV(E$349,E353)," ")/IF(E$349*E353&gt;0,SQRT(COUNT(E$349,E353))," "),"")</f>
        <v/>
      </c>
      <c r="AJ382" s="230" t="str">
        <f aca="false">IFERROR(IF(F$349*F353&gt;0,STDEV(F$349,F353)," ")/IF(F$349*F353&gt;0,SQRT(COUNT(F$349,F353))," "),"")</f>
        <v/>
      </c>
      <c r="AK382" s="230" t="str">
        <f aca="false">IFERROR(IF(G$349*G353&gt;0,STDEV(G$349,G353)," ")/IF(G$349*G353&gt;0,SQRT(COUNT(G$349,G353))," "),"")</f>
        <v/>
      </c>
      <c r="AL382" s="230" t="str">
        <f aca="false">IFERROR(IF(H$349*H353&gt;0,STDEV(H$349,H353)," ")/IF(H$349*H353&gt;0,SQRT(COUNT(H$349,H353))," "),"")</f>
        <v/>
      </c>
      <c r="AM382" s="230" t="str">
        <f aca="false">IFERROR(IF(I$349*I353&gt;0,STDEV(I$349,I353)," ")/IF(I$349*I353&gt;0,SQRT(COUNT(I$349,I353))," "),"")</f>
        <v/>
      </c>
      <c r="AN382" s="230" t="str">
        <f aca="false">IFERROR(IF(J$349*J353&gt;0,STDEV(J$349,J353)," ")/IF(J$349*J353&gt;0,SQRT(COUNT(J$349,J353))," "),"")</f>
        <v/>
      </c>
      <c r="AO382" s="230" t="str">
        <f aca="false">IFERROR(IF(K$349*K353&gt;0,STDEV(K$349,K353)," ")/IF(K$349*K353&gt;0,SQRT(COUNT(K$349,K353))," "),"")</f>
        <v/>
      </c>
      <c r="AP382" s="230" t="str">
        <f aca="false">IFERROR(IF(L$349*L353&gt;0,STDEV(L$349,L353)," ")/IF(L$349*L353&gt;0,SQRT(COUNT(L$349,L353))," "),"")</f>
        <v/>
      </c>
      <c r="AQ382" s="230" t="str">
        <f aca="false">IFERROR(IF(M$349*M353&gt;0,STDEV(M$349,M353)," ")/IF(M$349*M353&gt;0,SQRT(COUNT(M$349,M353))," "),"")</f>
        <v/>
      </c>
      <c r="AR382" s="230" t="str">
        <f aca="false">IFERROR(IF(N$349*N353&gt;0,STDEV(N$349,N353)," ")/IF(N$349*N353&gt;0,SQRT(COUNT(N$349,N353))," "),"")</f>
        <v/>
      </c>
    </row>
    <row r="383" customFormat="false" ht="15.75" hidden="false" customHeight="false" outlineLevel="0" collapsed="false">
      <c r="A383" s="220" t="s">
        <v>329</v>
      </c>
      <c r="B383" s="221"/>
      <c r="C383" s="222" t="str">
        <f aca="false">IFERROR(IF(C$350*C351&gt;0,AVERAGE(C$350,C351),""),"")</f>
        <v/>
      </c>
      <c r="D383" s="222" t="str">
        <f aca="false">IFERROR(IF(D$350*D351&gt;0,AVERAGE(D$350,D351),""),"")</f>
        <v/>
      </c>
      <c r="E383" s="222" t="str">
        <f aca="false">IFERROR(IF(E$350*E351&gt;0,AVERAGE(E$350,E351),""),"")</f>
        <v/>
      </c>
      <c r="F383" s="222" t="str">
        <f aca="false">IFERROR(IF(F$350*F351&gt;0,AVERAGE(F$350,F351),""),"")</f>
        <v/>
      </c>
      <c r="G383" s="222" t="str">
        <f aca="false">IFERROR(IF(G$350*G351&gt;0,AVERAGE(G$350,G351),""),"")</f>
        <v/>
      </c>
      <c r="H383" s="222" t="str">
        <f aca="false">IFERROR(IF(H$350*H351&gt;0,AVERAGE(H$350,H351),""),"")</f>
        <v/>
      </c>
      <c r="I383" s="222" t="str">
        <f aca="false">IFERROR(IF(I$350*I351&gt;0,AVERAGE(I$350,I351),""),"")</f>
        <v/>
      </c>
      <c r="J383" s="222" t="str">
        <f aca="false">IFERROR(IF(J$350*J351&gt;0,AVERAGE(J$350,J351),""),"")</f>
        <v/>
      </c>
      <c r="K383" s="222" t="str">
        <f aca="false">IFERROR(IF(K$350*K351&gt;0,AVERAGE(K$350,K351),""),"")</f>
        <v/>
      </c>
      <c r="L383" s="222" t="str">
        <f aca="false">IFERROR(IF(L$350*L351&gt;0,AVERAGE(L$350,L351),""),"")</f>
        <v/>
      </c>
      <c r="M383" s="222" t="str">
        <f aca="false">IFERROR(IF(M$350*M351&gt;0,AVERAGE(M$350,M351),""),"")</f>
        <v/>
      </c>
      <c r="N383" s="222" t="str">
        <f aca="false">IFERROR(IF(N$350*N351&gt;0,AVERAGE(N$350,N351),""),"")</f>
        <v/>
      </c>
      <c r="O383" s="96"/>
      <c r="P383" s="224"/>
      <c r="Q383" s="236"/>
      <c r="R383" s="226" t="s">
        <v>330</v>
      </c>
      <c r="S383" s="227" t="str">
        <f aca="false">IFERROR(IF(C$350*C351&gt;0,STDEV(C$350,C351),"")/IF(C$350*C351&gt;0,AVERAGE(C$350,C351),""),"")</f>
        <v/>
      </c>
      <c r="T383" s="227" t="str">
        <f aca="false">IFERROR(IF(D$350*D351&gt;0,STDEV(D$350,D351),"")/IF(D$350*D351&gt;0,AVERAGE(D$350,D351),""),"")</f>
        <v/>
      </c>
      <c r="U383" s="227" t="str">
        <f aca="false">IFERROR(IF(E$350*E351&gt;0,STDEV(E$350,E351),"")/IF(E$350*E351&gt;0,AVERAGE(E$350,E351),""),"")</f>
        <v/>
      </c>
      <c r="V383" s="227" t="str">
        <f aca="false">IFERROR(IF(F$350*F351&gt;0,STDEV(F$350,F351),"")/IF(F$350*F351&gt;0,AVERAGE(F$350,F351),""),"")</f>
        <v/>
      </c>
      <c r="W383" s="227" t="str">
        <f aca="false">IFERROR(IF(G$350*G351&gt;0,STDEV(G$350,G351),"")/IF(G$350*G351&gt;0,AVERAGE(G$350,G351),""),"")</f>
        <v/>
      </c>
      <c r="X383" s="227" t="str">
        <f aca="false">IFERROR(IF(H$350*H351&gt;0,STDEV(H$350,H351),"")/IF(H$350*H351&gt;0,AVERAGE(H$350,H351),""),"")</f>
        <v/>
      </c>
      <c r="Y383" s="227" t="str">
        <f aca="false">IFERROR(IF(I$350*I351&gt;0,STDEV(I$350,I351),"")/IF(I$350*I351&gt;0,AVERAGE(I$350,I351),""),"")</f>
        <v/>
      </c>
      <c r="Z383" s="227" t="str">
        <f aca="false">IFERROR(IF(J$350*J351&gt;0,STDEV(J$350,J351),"")/IF(J$350*J351&gt;0,AVERAGE(J$350,J351),""),"")</f>
        <v/>
      </c>
      <c r="AA383" s="227" t="str">
        <f aca="false">IFERROR(IF(K$350*K351&gt;0,STDEV(K$350,K351),"")/IF(K$350*K351&gt;0,AVERAGE(K$350,K351),""),"")</f>
        <v/>
      </c>
      <c r="AB383" s="227" t="str">
        <f aca="false">IFERROR(IF(L$350*L351&gt;0,STDEV(L$350,L351),"")/IF(L$350*L351&gt;0,AVERAGE(L$350,L351),""),"")</f>
        <v/>
      </c>
      <c r="AC383" s="227" t="str">
        <f aca="false">IFERROR(IF(M$350*M351&gt;0,STDEV(M$350,M351),"")/IF(M$350*M351&gt;0,AVERAGE(M$350,M351),""),"")</f>
        <v/>
      </c>
      <c r="AD383" s="227" t="str">
        <f aca="false">IFERROR(IF(N$350*N351&gt;0,STDEV(N$350,N351),"")/IF(N$350*N351&gt;0,AVERAGE(N$350,N351),""),"")</f>
        <v/>
      </c>
      <c r="AE383" s="237"/>
      <c r="AF383" s="229" t="s">
        <v>331</v>
      </c>
      <c r="AG383" s="230" t="str">
        <f aca="false">IFERROR(IF(C$350*C351&gt;0,STDEV(C$350,C351)," ")/IF(C$350*C351&gt;0,SQRT(COUNT(C$350,C351))," "),"")</f>
        <v/>
      </c>
      <c r="AH383" s="230" t="str">
        <f aca="false">IFERROR(IF(D$350*D351&gt;0,STDEV(D$350,D351)," ")/IF(D$350*D351&gt;0,SQRT(COUNT(D$350,D351))," "),"")</f>
        <v/>
      </c>
      <c r="AI383" s="230" t="str">
        <f aca="false">IFERROR(IF(E$350*E351&gt;0,STDEV(E$350,E351)," ")/IF(E$350*E351&gt;0,SQRT(COUNT(E$350,E351))," "),"")</f>
        <v/>
      </c>
      <c r="AJ383" s="230" t="str">
        <f aca="false">IFERROR(IF(F$350*F351&gt;0,STDEV(F$350,F351)," ")/IF(F$350*F351&gt;0,SQRT(COUNT(F$350,F351))," "),"")</f>
        <v/>
      </c>
      <c r="AK383" s="230" t="str">
        <f aca="false">IFERROR(IF(G$350*G351&gt;0,STDEV(G$350,G351)," ")/IF(G$350*G351&gt;0,SQRT(COUNT(G$350,G351))," "),"")</f>
        <v/>
      </c>
      <c r="AL383" s="230" t="str">
        <f aca="false">IFERROR(IF(H$350*H351&gt;0,STDEV(H$350,H351)," ")/IF(H$350*H351&gt;0,SQRT(COUNT(H$350,H351))," "),"")</f>
        <v/>
      </c>
      <c r="AM383" s="230" t="str">
        <f aca="false">IFERROR(IF(I$350*I351&gt;0,STDEV(I$350,I351)," ")/IF(I$350*I351&gt;0,SQRT(COUNT(I$350,I351))," "),"")</f>
        <v/>
      </c>
      <c r="AN383" s="230" t="str">
        <f aca="false">IFERROR(IF(J$350*J351&gt;0,STDEV(J$350,J351)," ")/IF(J$350*J351&gt;0,SQRT(COUNT(J$350,J351))," "),"")</f>
        <v/>
      </c>
      <c r="AO383" s="230" t="str">
        <f aca="false">IFERROR(IF(K$350*K351&gt;0,STDEV(K$350,K351)," ")/IF(K$350*K351&gt;0,SQRT(COUNT(K$350,K351))," "),"")</f>
        <v/>
      </c>
      <c r="AP383" s="230" t="str">
        <f aca="false">IFERROR(IF(L$350*L351&gt;0,STDEV(L$350,L351)," ")/IF(L$350*L351&gt;0,SQRT(COUNT(L$350,L351))," "),"")</f>
        <v/>
      </c>
      <c r="AQ383" s="230" t="str">
        <f aca="false">IFERROR(IF(M$350*M351&gt;0,STDEV(M$350,M351)," ")/IF(M$350*M351&gt;0,SQRT(COUNT(M$350,M351))," "),"")</f>
        <v/>
      </c>
      <c r="AR383" s="230" t="str">
        <f aca="false">IFERROR(IF(N$350*N351&gt;0,STDEV(N$350,N351)," ")/IF(N$350*N351&gt;0,SQRT(COUNT(N$350,N351))," "),"")</f>
        <v/>
      </c>
    </row>
    <row r="384" customFormat="false" ht="15.75" hidden="false" customHeight="false" outlineLevel="0" collapsed="false">
      <c r="A384" s="220" t="s">
        <v>332</v>
      </c>
      <c r="B384" s="221"/>
      <c r="C384" s="222" t="str">
        <f aca="false">IFERROR(IF(C$350*C352&gt;0,AVERAGE(C$350,C352),""),"")</f>
        <v/>
      </c>
      <c r="D384" s="222" t="str">
        <f aca="false">IFERROR(IF(D$350*D352&gt;0,AVERAGE(D$350,D352),""),"")</f>
        <v/>
      </c>
      <c r="E384" s="222" t="str">
        <f aca="false">IFERROR(IF(E$350*E352&gt;0,AVERAGE(E$350,E352),""),"")</f>
        <v/>
      </c>
      <c r="F384" s="222" t="str">
        <f aca="false">IFERROR(IF(F$350*F352&gt;0,AVERAGE(F$350,F352),""),"")</f>
        <v/>
      </c>
      <c r="G384" s="222" t="str">
        <f aca="false">IFERROR(IF(G$350*G352&gt;0,AVERAGE(G$350,G352),""),"")</f>
        <v/>
      </c>
      <c r="H384" s="222" t="str">
        <f aca="false">IFERROR(IF(H$350*H352&gt;0,AVERAGE(H$350,H352),""),"")</f>
        <v/>
      </c>
      <c r="I384" s="222" t="str">
        <f aca="false">IFERROR(IF(I$350*I352&gt;0,AVERAGE(I$350,I352),""),"")</f>
        <v/>
      </c>
      <c r="J384" s="222" t="str">
        <f aca="false">IFERROR(IF(J$350*J352&gt;0,AVERAGE(J$350,J352),""),"")</f>
        <v/>
      </c>
      <c r="K384" s="222" t="str">
        <f aca="false">IFERROR(IF(K$350*K352&gt;0,AVERAGE(K$350,K352),""),"")</f>
        <v/>
      </c>
      <c r="L384" s="222" t="str">
        <f aca="false">IFERROR(IF(L$350*L352&gt;0,AVERAGE(L$350,L352),""),"")</f>
        <v/>
      </c>
      <c r="M384" s="222" t="str">
        <f aca="false">IFERROR(IF(M$350*M352&gt;0,AVERAGE(M$350,M352),""),"")</f>
        <v/>
      </c>
      <c r="N384" s="222" t="str">
        <f aca="false">IFERROR(IF(N$350*N352&gt;0,AVERAGE(N$350,N352),""),"")</f>
        <v/>
      </c>
      <c r="O384" s="239"/>
      <c r="P384" s="224"/>
      <c r="Q384" s="240"/>
      <c r="R384" s="226" t="s">
        <v>333</v>
      </c>
      <c r="S384" s="227" t="str">
        <f aca="false">IFERROR(IF(C$350*C352&gt;0,STDEV(C$350,C352),"")/IF(C$350*C352&gt;0,AVERAGE(C$350,C352),""),"")</f>
        <v/>
      </c>
      <c r="T384" s="227" t="str">
        <f aca="false">IFERROR(IF(D$350*D352&gt;0,STDEV(D$350,D352),"")/IF(D$350*D352&gt;0,AVERAGE(D$350,D352),""),"")</f>
        <v/>
      </c>
      <c r="U384" s="227" t="str">
        <f aca="false">IFERROR(IF(E$350*E352&gt;0,STDEV(E$350,E352),"")/IF(E$350*E352&gt;0,AVERAGE(E$350,E352),""),"")</f>
        <v/>
      </c>
      <c r="V384" s="227" t="str">
        <f aca="false">IFERROR(IF(F$350*F352&gt;0,STDEV(F$350,F352),"")/IF(F$350*F352&gt;0,AVERAGE(F$350,F352),""),"")</f>
        <v/>
      </c>
      <c r="W384" s="227" t="str">
        <f aca="false">IFERROR(IF(G$350*G352&gt;0,STDEV(G$350,G352),"")/IF(G$350*G352&gt;0,AVERAGE(G$350,G352),""),"")</f>
        <v/>
      </c>
      <c r="X384" s="227" t="str">
        <f aca="false">IFERROR(IF(H$350*H352&gt;0,STDEV(H$350,H352),"")/IF(H$350*H352&gt;0,AVERAGE(H$350,H352),""),"")</f>
        <v/>
      </c>
      <c r="Y384" s="227" t="str">
        <f aca="false">IFERROR(IF(I$350*I352&gt;0,STDEV(I$350,I352),"")/IF(I$350*I352&gt;0,AVERAGE(I$350,I352),""),"")</f>
        <v/>
      </c>
      <c r="Z384" s="227" t="str">
        <f aca="false">IFERROR(IF(J$350*J352&gt;0,STDEV(J$350,J352),"")/IF(J$350*J352&gt;0,AVERAGE(J$350,J352),""),"")</f>
        <v/>
      </c>
      <c r="AA384" s="227" t="str">
        <f aca="false">IFERROR(IF(K$350*K352&gt;0,STDEV(K$350,K352),"")/IF(K$350*K352&gt;0,AVERAGE(K$350,K352),""),"")</f>
        <v/>
      </c>
      <c r="AB384" s="227" t="str">
        <f aca="false">IFERROR(IF(L$350*L352&gt;0,STDEV(L$350,L352),"")/IF(L$350*L352&gt;0,AVERAGE(L$350,L352),""),"")</f>
        <v/>
      </c>
      <c r="AC384" s="227" t="str">
        <f aca="false">IFERROR(IF(M$350*M352&gt;0,STDEV(M$350,M352),"")/IF(M$350*M352&gt;0,AVERAGE(M$350,M352),""),"")</f>
        <v/>
      </c>
      <c r="AD384" s="227" t="str">
        <f aca="false">IFERROR(IF(N$350*N352&gt;0,STDEV(N$350,N352),"")/IF(N$350*N352&gt;0,AVERAGE(N$350,N352),""),"")</f>
        <v/>
      </c>
      <c r="AE384" s="241"/>
      <c r="AF384" s="229" t="s">
        <v>334</v>
      </c>
      <c r="AG384" s="230" t="str">
        <f aca="false">IFERROR(IF(C$350*C352&gt;0,STDEV(C$350,C352)," ")/IF(C$350*C352&gt;0,SQRT(COUNT(C$350,C352))," "),"")</f>
        <v/>
      </c>
      <c r="AH384" s="230" t="str">
        <f aca="false">IFERROR(IF(D$350*D352&gt;0,STDEV(D$350,D352)," ")/IF(D$350*D352&gt;0,SQRT(COUNT(D$350,D352))," "),"")</f>
        <v/>
      </c>
      <c r="AI384" s="230" t="str">
        <f aca="false">IFERROR(IF(E$350*E352&gt;0,STDEV(E$350,E352)," ")/IF(E$350*E352&gt;0,SQRT(COUNT(E$350,E352))," "),"")</f>
        <v/>
      </c>
      <c r="AJ384" s="230" t="str">
        <f aca="false">IFERROR(IF(F$350*F352&gt;0,STDEV(F$350,F352)," ")/IF(F$350*F352&gt;0,SQRT(COUNT(F$350,F352))," "),"")</f>
        <v/>
      </c>
      <c r="AK384" s="230" t="str">
        <f aca="false">IFERROR(IF(G$350*G352&gt;0,STDEV(G$350,G352)," ")/IF(G$350*G352&gt;0,SQRT(COUNT(G$350,G352))," "),"")</f>
        <v/>
      </c>
      <c r="AL384" s="230" t="str">
        <f aca="false">IFERROR(IF(H$350*H352&gt;0,STDEV(H$350,H352)," ")/IF(H$350*H352&gt;0,SQRT(COUNT(H$350,H352))," "),"")</f>
        <v/>
      </c>
      <c r="AM384" s="230" t="str">
        <f aca="false">IFERROR(IF(I$350*I352&gt;0,STDEV(I$350,I352)," ")/IF(I$350*I352&gt;0,SQRT(COUNT(I$350,I352))," "),"")</f>
        <v/>
      </c>
      <c r="AN384" s="230" t="str">
        <f aca="false">IFERROR(IF(J$350*J352&gt;0,STDEV(J$350,J352)," ")/IF(J$350*J352&gt;0,SQRT(COUNT(J$350,J352))," "),"")</f>
        <v/>
      </c>
      <c r="AO384" s="230" t="str">
        <f aca="false">IFERROR(IF(K$350*K352&gt;0,STDEV(K$350,K352)," ")/IF(K$350*K352&gt;0,SQRT(COUNT(K$350,K352))," "),"")</f>
        <v/>
      </c>
      <c r="AP384" s="230" t="str">
        <f aca="false">IFERROR(IF(L$350*L352&gt;0,STDEV(L$350,L352)," ")/IF(L$350*L352&gt;0,SQRT(COUNT(L$350,L352))," "),"")</f>
        <v/>
      </c>
      <c r="AQ384" s="230" t="str">
        <f aca="false">IFERROR(IF(M$350*M352&gt;0,STDEV(M$350,M352)," ")/IF(M$350*M352&gt;0,SQRT(COUNT(M$350,M352))," "),"")</f>
        <v/>
      </c>
      <c r="AR384" s="230" t="str">
        <f aca="false">IFERROR(IF(N$350*N352&gt;0,STDEV(N$350,N352)," ")/IF(N$350*N352&gt;0,SQRT(COUNT(N$350,N352))," "),"")</f>
        <v/>
      </c>
    </row>
    <row r="385" customFormat="false" ht="15.75" hidden="false" customHeight="false" outlineLevel="0" collapsed="false">
      <c r="A385" s="220" t="s">
        <v>335</v>
      </c>
      <c r="B385" s="221"/>
      <c r="C385" s="222" t="str">
        <f aca="false">IFERROR(IF(C$350*C353&gt;0,AVERAGE(C$350,C353),""),"")</f>
        <v/>
      </c>
      <c r="D385" s="222" t="str">
        <f aca="false">IFERROR(IF(D$350*D353&gt;0,AVERAGE(D$350,D353),""),"")</f>
        <v/>
      </c>
      <c r="E385" s="222" t="str">
        <f aca="false">IFERROR(IF(E$350*E353&gt;0,AVERAGE(E$350,E353),""),"")</f>
        <v/>
      </c>
      <c r="F385" s="222" t="str">
        <f aca="false">IFERROR(IF(F$350*F353&gt;0,AVERAGE(F$350,F353),""),"")</f>
        <v/>
      </c>
      <c r="G385" s="222" t="str">
        <f aca="false">IFERROR(IF(G$350*G353&gt;0,AVERAGE(G$350,G353),""),"")</f>
        <v/>
      </c>
      <c r="H385" s="222" t="str">
        <f aca="false">IFERROR(IF(H$350*H353&gt;0,AVERAGE(H$350,H353),""),"")</f>
        <v/>
      </c>
      <c r="I385" s="222" t="str">
        <f aca="false">IFERROR(IF(I$350*I353&gt;0,AVERAGE(I$350,I353),""),"")</f>
        <v/>
      </c>
      <c r="J385" s="222" t="str">
        <f aca="false">IFERROR(IF(J$350*J353&gt;0,AVERAGE(J$350,J353),""),"")</f>
        <v/>
      </c>
      <c r="K385" s="222" t="str">
        <f aca="false">IFERROR(IF(K$350*K353&gt;0,AVERAGE(K$350,K353),""),"")</f>
        <v/>
      </c>
      <c r="L385" s="222" t="str">
        <f aca="false">IFERROR(IF(L$350*L353&gt;0,AVERAGE(L$350,L353),""),"")</f>
        <v/>
      </c>
      <c r="M385" s="222" t="str">
        <f aca="false">IFERROR(IF(M$350*M353&gt;0,AVERAGE(M$350,M353),""),"")</f>
        <v/>
      </c>
      <c r="N385" s="222" t="str">
        <f aca="false">IFERROR(IF(N$350*N353&gt;0,AVERAGE(N$350,N353),""),"")</f>
        <v/>
      </c>
      <c r="O385" s="224"/>
      <c r="P385" s="224"/>
      <c r="Q385" s="232"/>
      <c r="R385" s="226" t="s">
        <v>336</v>
      </c>
      <c r="S385" s="227" t="str">
        <f aca="false">IFERROR(IF(C$350*C353&gt;0,STDEV(C$350,C353),"")/IF(C$350*C353&gt;0,AVERAGE(C$350,C353),""),"")</f>
        <v/>
      </c>
      <c r="T385" s="227" t="str">
        <f aca="false">IFERROR(IF(D$350*D353&gt;0,STDEV(D$350,D353),"")/IF(D$350*D353&gt;0,AVERAGE(D$350,D353),""),"")</f>
        <v/>
      </c>
      <c r="U385" s="227" t="str">
        <f aca="false">IFERROR(IF(E$350*E353&gt;0,STDEV(E$350,E353),"")/IF(E$350*E353&gt;0,AVERAGE(E$350,E353),""),"")</f>
        <v/>
      </c>
      <c r="V385" s="227" t="str">
        <f aca="false">IFERROR(IF(F$350*F353&gt;0,STDEV(F$350,F353),"")/IF(F$350*F353&gt;0,AVERAGE(F$350,F353),""),"")</f>
        <v/>
      </c>
      <c r="W385" s="227" t="str">
        <f aca="false">IFERROR(IF(G$350*G353&gt;0,STDEV(G$350,G353),"")/IF(G$350*G353&gt;0,AVERAGE(G$350,G353),""),"")</f>
        <v/>
      </c>
      <c r="X385" s="227" t="str">
        <f aca="false">IFERROR(IF(H$350*H353&gt;0,STDEV(H$350,H353),"")/IF(H$350*H353&gt;0,AVERAGE(H$350,H353),""),"")</f>
        <v/>
      </c>
      <c r="Y385" s="227" t="str">
        <f aca="false">IFERROR(IF(I$350*I353&gt;0,STDEV(I$350,I353),"")/IF(I$350*I353&gt;0,AVERAGE(I$350,I353),""),"")</f>
        <v/>
      </c>
      <c r="Z385" s="227" t="str">
        <f aca="false">IFERROR(IF(J$350*J353&gt;0,STDEV(J$350,J353),"")/IF(J$350*J353&gt;0,AVERAGE(J$350,J353),""),"")</f>
        <v/>
      </c>
      <c r="AA385" s="227" t="str">
        <f aca="false">IFERROR(IF(K$350*K353&gt;0,STDEV(K$350,K353),"")/IF(K$350*K353&gt;0,AVERAGE(K$350,K353),""),"")</f>
        <v/>
      </c>
      <c r="AB385" s="227" t="str">
        <f aca="false">IFERROR(IF(L$350*L353&gt;0,STDEV(L$350,L353),"")/IF(L$350*L353&gt;0,AVERAGE(L$350,L353),""),"")</f>
        <v/>
      </c>
      <c r="AC385" s="227" t="str">
        <f aca="false">IFERROR(IF(M$350*M353&gt;0,STDEV(M$350,M353),"")/IF(M$350*M353&gt;0,AVERAGE(M$350,M353),""),"")</f>
        <v/>
      </c>
      <c r="AD385" s="227" t="str">
        <f aca="false">IFERROR(IF(N$350*N353&gt;0,STDEV(N$350,N353),"")/IF(N$350*N353&gt;0,AVERAGE(N$350,N353),""),"")</f>
        <v/>
      </c>
      <c r="AE385" s="233"/>
      <c r="AF385" s="229" t="s">
        <v>337</v>
      </c>
      <c r="AG385" s="230" t="str">
        <f aca="false">IFERROR(IF(C$350*C353&gt;0,STDEV(C$350,C353)," ")/IF(C$350*C353&gt;0,SQRT(COUNT(C$350,C353))," "),"")</f>
        <v/>
      </c>
      <c r="AH385" s="230" t="str">
        <f aca="false">IFERROR(IF(D$350*D353&gt;0,STDEV(D$350,D353)," ")/IF(D$350*D353&gt;0,SQRT(COUNT(D$350,D353))," "),"")</f>
        <v/>
      </c>
      <c r="AI385" s="230" t="str">
        <f aca="false">IFERROR(IF(E$350*E353&gt;0,STDEV(E$350,E353)," ")/IF(E$350*E353&gt;0,SQRT(COUNT(E$350,E353))," "),"")</f>
        <v/>
      </c>
      <c r="AJ385" s="230" t="str">
        <f aca="false">IFERROR(IF(F$350*F353&gt;0,STDEV(F$350,F353)," ")/IF(F$350*F353&gt;0,SQRT(COUNT(F$350,F353))," "),"")</f>
        <v/>
      </c>
      <c r="AK385" s="230" t="str">
        <f aca="false">IFERROR(IF(G$350*G353&gt;0,STDEV(G$350,G353)," ")/IF(G$350*G353&gt;0,SQRT(COUNT(G$350,G353))," "),"")</f>
        <v/>
      </c>
      <c r="AL385" s="230" t="str">
        <f aca="false">IFERROR(IF(H$350*H353&gt;0,STDEV(H$350,H353)," ")/IF(H$350*H353&gt;0,SQRT(COUNT(H$350,H353))," "),"")</f>
        <v/>
      </c>
      <c r="AM385" s="230" t="str">
        <f aca="false">IFERROR(IF(I$350*I353&gt;0,STDEV(I$350,I353)," ")/IF(I$350*I353&gt;0,SQRT(COUNT(I$350,I353))," "),"")</f>
        <v/>
      </c>
      <c r="AN385" s="230" t="str">
        <f aca="false">IFERROR(IF(J$350*J353&gt;0,STDEV(J$350,J353)," ")/IF(J$350*J353&gt;0,SQRT(COUNT(J$350,J353))," "),"")</f>
        <v/>
      </c>
      <c r="AO385" s="230" t="str">
        <f aca="false">IFERROR(IF(K$350*K353&gt;0,STDEV(K$350,K353)," ")/IF(K$350*K353&gt;0,SQRT(COUNT(K$350,K353))," "),"")</f>
        <v/>
      </c>
      <c r="AP385" s="230" t="str">
        <f aca="false">IFERROR(IF(L$350*L353&gt;0,STDEV(L$350,L353)," ")/IF(L$350*L353&gt;0,SQRT(COUNT(L$350,L353))," "),"")</f>
        <v/>
      </c>
      <c r="AQ385" s="230" t="str">
        <f aca="false">IFERROR(IF(M$350*M353&gt;0,STDEV(M$350,M353)," ")/IF(M$350*M353&gt;0,SQRT(COUNT(M$350,M353))," "),"")</f>
        <v/>
      </c>
      <c r="AR385" s="230" t="str">
        <f aca="false">IFERROR(IF(N$350*N353&gt;0,STDEV(N$350,N353)," ")/IF(N$350*N353&gt;0,SQRT(COUNT(N$350,N353))," "),"")</f>
        <v/>
      </c>
    </row>
    <row r="386" customFormat="false" ht="15.75" hidden="false" customHeight="false" outlineLevel="0" collapsed="false">
      <c r="A386" s="220" t="s">
        <v>338</v>
      </c>
      <c r="B386" s="221"/>
      <c r="C386" s="222" t="str">
        <f aca="false">IFERROR(IF(C$351*C352&gt;0,AVERAGE(C$351,C352),""),"")</f>
        <v/>
      </c>
      <c r="D386" s="222" t="str">
        <f aca="false">IFERROR(IF(D$351*D352&gt;0,AVERAGE(D$351,D352),""),"")</f>
        <v/>
      </c>
      <c r="E386" s="222" t="str">
        <f aca="false">IFERROR(IF(E$351*E352&gt;0,AVERAGE(E$351,E352),""),"")</f>
        <v/>
      </c>
      <c r="F386" s="222" t="str">
        <f aca="false">IFERROR(IF(F$351*F352&gt;0,AVERAGE(F$351,F352),""),"")</f>
        <v/>
      </c>
      <c r="G386" s="222" t="str">
        <f aca="false">IFERROR(IF(G$351*G352&gt;0,AVERAGE(G$351,G352),""),"")</f>
        <v/>
      </c>
      <c r="H386" s="222" t="str">
        <f aca="false">IFERROR(IF(H$351*H352&gt;0,AVERAGE(H$351,H352),""),"")</f>
        <v/>
      </c>
      <c r="I386" s="222" t="str">
        <f aca="false">IFERROR(IF(I$351*I352&gt;0,AVERAGE(I$351,I352),""),"")</f>
        <v/>
      </c>
      <c r="J386" s="222" t="str">
        <f aca="false">IFERROR(IF(J$351*J352&gt;0,AVERAGE(J$351,J352),""),"")</f>
        <v/>
      </c>
      <c r="K386" s="222" t="str">
        <f aca="false">IFERROR(IF(K$351*K352&gt;0,AVERAGE(K$351,K352),""),"")</f>
        <v/>
      </c>
      <c r="L386" s="222" t="str">
        <f aca="false">IFERROR(IF(L$351*L352&gt;0,AVERAGE(L$351,L352),""),"")</f>
        <v/>
      </c>
      <c r="M386" s="222" t="str">
        <f aca="false">IFERROR(IF(M$351*M352&gt;0,AVERAGE(M$351,M352),""),"")</f>
        <v/>
      </c>
      <c r="N386" s="222" t="str">
        <f aca="false">IFERROR(IF(N$351*N352&gt;0,AVERAGE(N$351,N352),""),"")</f>
        <v/>
      </c>
      <c r="O386" s="224"/>
      <c r="P386" s="224"/>
      <c r="Q386" s="232"/>
      <c r="R386" s="226" t="s">
        <v>339</v>
      </c>
      <c r="S386" s="227" t="str">
        <f aca="false">IFERROR(IF(C$351*C352&gt;0,STDEV(C$351,C352),"")/IF(C$351*C352&gt;0,AVERAGE(C$351,C352),""),"")</f>
        <v/>
      </c>
      <c r="T386" s="227" t="str">
        <f aca="false">IFERROR(IF(D$351*D352&gt;0,STDEV(D$351,D352),"")/IF(D$351*D352&gt;0,AVERAGE(D$351,D352),""),"")</f>
        <v/>
      </c>
      <c r="U386" s="227" t="str">
        <f aca="false">IFERROR(IF(E$351*E352&gt;0,STDEV(E$351,E352),"")/IF(E$351*E352&gt;0,AVERAGE(E$351,E352),""),"")</f>
        <v/>
      </c>
      <c r="V386" s="227" t="str">
        <f aca="false">IFERROR(IF(F$351*F352&gt;0,STDEV(F$351,F352),"")/IF(F$351*F352&gt;0,AVERAGE(F$351,F352),""),"")</f>
        <v/>
      </c>
      <c r="W386" s="227" t="str">
        <f aca="false">IFERROR(IF(G$351*G352&gt;0,STDEV(G$351,G352),"")/IF(G$351*G352&gt;0,AVERAGE(G$351,G352),""),"")</f>
        <v/>
      </c>
      <c r="X386" s="227" t="str">
        <f aca="false">IFERROR(IF(H$351*H352&gt;0,STDEV(H$351,H352),"")/IF(H$351*H352&gt;0,AVERAGE(H$351,H352),""),"")</f>
        <v/>
      </c>
      <c r="Y386" s="227" t="str">
        <f aca="false">IFERROR(IF(I$351*I352&gt;0,STDEV(I$351,I352),"")/IF(I$351*I352&gt;0,AVERAGE(I$351,I352),""),"")</f>
        <v/>
      </c>
      <c r="Z386" s="227" t="str">
        <f aca="false">IFERROR(IF(J$351*J352&gt;0,STDEV(J$351,J352),"")/IF(J$351*J352&gt;0,AVERAGE(J$351,J352),""),"")</f>
        <v/>
      </c>
      <c r="AA386" s="227" t="str">
        <f aca="false">IFERROR(IF(K$351*K352&gt;0,STDEV(K$351,K352),"")/IF(K$351*K352&gt;0,AVERAGE(K$351,K352),""),"")</f>
        <v/>
      </c>
      <c r="AB386" s="227" t="str">
        <f aca="false">IFERROR(IF(L$351*L352&gt;0,STDEV(L$351,L352),"")/IF(L$351*L352&gt;0,AVERAGE(L$351,L352),""),"")</f>
        <v/>
      </c>
      <c r="AC386" s="227" t="str">
        <f aca="false">IFERROR(IF(M$351*M352&gt;0,STDEV(M$351,M352),"")/IF(M$351*M352&gt;0,AVERAGE(M$351,M352),""),"")</f>
        <v/>
      </c>
      <c r="AD386" s="227" t="str">
        <f aca="false">IFERROR(IF(N$351*N352&gt;0,STDEV(N$351,N352),"")/IF(N$351*N352&gt;0,AVERAGE(N$351,N352),""),"")</f>
        <v/>
      </c>
      <c r="AE386" s="233"/>
      <c r="AF386" s="229" t="s">
        <v>340</v>
      </c>
      <c r="AG386" s="230" t="str">
        <f aca="false">IFERROR(IF(C$351*C352&gt;0,STDEV(C$351,C352)," ")/IF(C$351*C352&gt;0,SQRT(COUNT(C$351,C352))," "),"")</f>
        <v/>
      </c>
      <c r="AH386" s="230" t="str">
        <f aca="false">IFERROR(IF(D$351*D352&gt;0,STDEV(D$351,D352)," ")/IF(D$351*D352&gt;0,SQRT(COUNT(D$351,D352))," "),"")</f>
        <v/>
      </c>
      <c r="AI386" s="230" t="str">
        <f aca="false">IFERROR(IF(E$351*E352&gt;0,STDEV(E$351,E352)," ")/IF(E$351*E352&gt;0,SQRT(COUNT(E$351,E352))," "),"")</f>
        <v/>
      </c>
      <c r="AJ386" s="230" t="str">
        <f aca="false">IFERROR(IF(F$351*F352&gt;0,STDEV(F$351,F352)," ")/IF(F$351*F352&gt;0,SQRT(COUNT(F$351,F352))," "),"")</f>
        <v/>
      </c>
      <c r="AK386" s="230" t="str">
        <f aca="false">IFERROR(IF(G$351*G352&gt;0,STDEV(G$351,G352)," ")/IF(G$351*G352&gt;0,SQRT(COUNT(G$351,G352))," "),"")</f>
        <v/>
      </c>
      <c r="AL386" s="230" t="str">
        <f aca="false">IFERROR(IF(H$351*H352&gt;0,STDEV(H$351,H352)," ")/IF(H$351*H352&gt;0,SQRT(COUNT(H$351,H352))," "),"")</f>
        <v/>
      </c>
      <c r="AM386" s="230" t="str">
        <f aca="false">IFERROR(IF(I$351*I352&gt;0,STDEV(I$351,I352)," ")/IF(I$351*I352&gt;0,SQRT(COUNT(I$351,I352))," "),"")</f>
        <v/>
      </c>
      <c r="AN386" s="230" t="str">
        <f aca="false">IFERROR(IF(J$351*J352&gt;0,STDEV(J$351,J352)," ")/IF(J$351*J352&gt;0,SQRT(COUNT(J$351,J352))," "),"")</f>
        <v/>
      </c>
      <c r="AO386" s="230" t="str">
        <f aca="false">IFERROR(IF(K$351*K352&gt;0,STDEV(K$351,K352)," ")/IF(K$351*K352&gt;0,SQRT(COUNT(K$351,K352))," "),"")</f>
        <v/>
      </c>
      <c r="AP386" s="230" t="str">
        <f aca="false">IFERROR(IF(L$351*L352&gt;0,STDEV(L$351,L352)," ")/IF(L$351*L352&gt;0,SQRT(COUNT(L$351,L352))," "),"")</f>
        <v/>
      </c>
      <c r="AQ386" s="230" t="str">
        <f aca="false">IFERROR(IF(M$351*M352&gt;0,STDEV(M$351,M352)," ")/IF(M$351*M352&gt;0,SQRT(COUNT(M$351,M352))," "),"")</f>
        <v/>
      </c>
      <c r="AR386" s="230" t="str">
        <f aca="false">IFERROR(IF(N$351*N352&gt;0,STDEV(N$351,N352)," ")/IF(N$351*N352&gt;0,SQRT(COUNT(N$351,N352))," "),"")</f>
        <v/>
      </c>
    </row>
    <row r="387" customFormat="false" ht="15.75" hidden="false" customHeight="false" outlineLevel="0" collapsed="false">
      <c r="A387" s="220" t="s">
        <v>341</v>
      </c>
      <c r="B387" s="221"/>
      <c r="C387" s="222" t="str">
        <f aca="false">IFERROR(IF(C$351*C353&gt;0,AVERAGE(C$351,C353),""),"")</f>
        <v/>
      </c>
      <c r="D387" s="222" t="str">
        <f aca="false">IFERROR(IF(D$351*D353&gt;0,AVERAGE(D$351,D353),""),"")</f>
        <v/>
      </c>
      <c r="E387" s="222" t="str">
        <f aca="false">IFERROR(IF(E$351*E353&gt;0,AVERAGE(E$351,E353),""),"")</f>
        <v/>
      </c>
      <c r="F387" s="222" t="str">
        <f aca="false">IFERROR(IF(F$351*F353&gt;0,AVERAGE(F$351,F353),""),"")</f>
        <v/>
      </c>
      <c r="G387" s="222" t="str">
        <f aca="false">IFERROR(IF(G$351*G353&gt;0,AVERAGE(G$351,G353),""),"")</f>
        <v/>
      </c>
      <c r="H387" s="222" t="str">
        <f aca="false">IFERROR(IF(H$351*H353&gt;0,AVERAGE(H$351,H353),""),"")</f>
        <v/>
      </c>
      <c r="I387" s="222" t="str">
        <f aca="false">IFERROR(IF(I$351*I353&gt;0,AVERAGE(I$351,I353),""),"")</f>
        <v/>
      </c>
      <c r="J387" s="222" t="str">
        <f aca="false">IFERROR(IF(J$351*J353&gt;0,AVERAGE(J$351,J353),""),"")</f>
        <v/>
      </c>
      <c r="K387" s="222" t="str">
        <f aca="false">IFERROR(IF(K$351*K353&gt;0,AVERAGE(K$351,K353),""),"")</f>
        <v/>
      </c>
      <c r="L387" s="222" t="str">
        <f aca="false">IFERROR(IF(L$351*L353&gt;0,AVERAGE(L$351,L353),""),"")</f>
        <v/>
      </c>
      <c r="M387" s="222" t="str">
        <f aca="false">IFERROR(IF(M$351*M353&gt;0,AVERAGE(M$351,M353),""),"")</f>
        <v/>
      </c>
      <c r="N387" s="222" t="str">
        <f aca="false">IFERROR(IF(N$351*N353&gt;0,AVERAGE(N$351,N353),""),"")</f>
        <v/>
      </c>
      <c r="O387" s="224"/>
      <c r="P387" s="224"/>
      <c r="Q387" s="232"/>
      <c r="R387" s="226" t="s">
        <v>342</v>
      </c>
      <c r="S387" s="227" t="str">
        <f aca="false">IFERROR(IF(C$351*C353&gt;0,STDEV(C$351,C353),"")/IF(C$351*C353&gt;0,AVERAGE(C$351,C353),""),"")</f>
        <v/>
      </c>
      <c r="T387" s="227" t="str">
        <f aca="false">IFERROR(IF(D$351*D353&gt;0,STDEV(D$351,D353),"")/IF(D$351*D353&gt;0,AVERAGE(D$351,D353),""),"")</f>
        <v/>
      </c>
      <c r="U387" s="227" t="str">
        <f aca="false">IFERROR(IF(E$351*E353&gt;0,STDEV(E$351,E353),"")/IF(E$351*E353&gt;0,AVERAGE(E$351,E353),""),"")</f>
        <v/>
      </c>
      <c r="V387" s="227" t="str">
        <f aca="false">IFERROR(IF(F$351*F353&gt;0,STDEV(F$351,F353),"")/IF(F$351*F353&gt;0,AVERAGE(F$351,F353),""),"")</f>
        <v/>
      </c>
      <c r="W387" s="227" t="str">
        <f aca="false">IFERROR(IF(G$351*G353&gt;0,STDEV(G$351,G353),"")/IF(G$351*G353&gt;0,AVERAGE(G$351,G353),""),"")</f>
        <v/>
      </c>
      <c r="X387" s="227" t="str">
        <f aca="false">IFERROR(IF(H$351*H353&gt;0,STDEV(H$351,H353),"")/IF(H$351*H353&gt;0,AVERAGE(H$351,H353),""),"")</f>
        <v/>
      </c>
      <c r="Y387" s="227" t="str">
        <f aca="false">IFERROR(IF(I$351*I353&gt;0,STDEV(I$351,I353),"")/IF(I$351*I353&gt;0,AVERAGE(I$351,I353),""),"")</f>
        <v/>
      </c>
      <c r="Z387" s="227" t="str">
        <f aca="false">IFERROR(IF(J$351*J353&gt;0,STDEV(J$351,J353),"")/IF(J$351*J353&gt;0,AVERAGE(J$351,J353),""),"")</f>
        <v/>
      </c>
      <c r="AA387" s="227" t="str">
        <f aca="false">IFERROR(IF(K$351*K353&gt;0,STDEV(K$351,K353),"")/IF(K$351*K353&gt;0,AVERAGE(K$351,K353),""),"")</f>
        <v/>
      </c>
      <c r="AB387" s="227" t="str">
        <f aca="false">IFERROR(IF(L$351*L353&gt;0,STDEV(L$351,L353),"")/IF(L$351*L353&gt;0,AVERAGE(L$351,L353),""),"")</f>
        <v/>
      </c>
      <c r="AC387" s="227" t="str">
        <f aca="false">IFERROR(IF(M$351*M353&gt;0,STDEV(M$351,M353),"")/IF(M$351*M353&gt;0,AVERAGE(M$351,M353),""),"")</f>
        <v/>
      </c>
      <c r="AD387" s="227" t="str">
        <f aca="false">IFERROR(IF(N$351*N353&gt;0,STDEV(N$351,N353),"")/IF(N$351*N353&gt;0,AVERAGE(N$351,N353),""),"")</f>
        <v/>
      </c>
      <c r="AE387" s="233"/>
      <c r="AF387" s="229" t="s">
        <v>343</v>
      </c>
      <c r="AG387" s="230" t="str">
        <f aca="false">IFERROR(IF(C$351*C353&gt;0,STDEV(C$351,C353)," ")/IF(C$351*C353&gt;0,SQRT(COUNT(C$351,C353))," "),"")</f>
        <v/>
      </c>
      <c r="AH387" s="230" t="str">
        <f aca="false">IFERROR(IF(D$351*D353&gt;0,STDEV(D$351,D353)," ")/IF(D$351*D353&gt;0,SQRT(COUNT(D$351,D353))," "),"")</f>
        <v/>
      </c>
      <c r="AI387" s="230" t="str">
        <f aca="false">IFERROR(IF(E$351*E353&gt;0,STDEV(E$351,E353)," ")/IF(E$351*E353&gt;0,SQRT(COUNT(E$351,E353))," "),"")</f>
        <v/>
      </c>
      <c r="AJ387" s="230" t="str">
        <f aca="false">IFERROR(IF(F$351*F353&gt;0,STDEV(F$351,F353)," ")/IF(F$351*F353&gt;0,SQRT(COUNT(F$351,F353))," "),"")</f>
        <v/>
      </c>
      <c r="AK387" s="230" t="str">
        <f aca="false">IFERROR(IF(G$351*G353&gt;0,STDEV(G$351,G353)," ")/IF(G$351*G353&gt;0,SQRT(COUNT(G$351,G353))," "),"")</f>
        <v/>
      </c>
      <c r="AL387" s="230" t="str">
        <f aca="false">IFERROR(IF(H$351*H353&gt;0,STDEV(H$351,H353)," ")/IF(H$351*H353&gt;0,SQRT(COUNT(H$351,H353))," "),"")</f>
        <v/>
      </c>
      <c r="AM387" s="230" t="str">
        <f aca="false">IFERROR(IF(I$351*I353&gt;0,STDEV(I$351,I353)," ")/IF(I$351*I353&gt;0,SQRT(COUNT(I$351,I353))," "),"")</f>
        <v/>
      </c>
      <c r="AN387" s="230" t="str">
        <f aca="false">IFERROR(IF(J$351*J353&gt;0,STDEV(J$351,J353)," ")/IF(J$351*J353&gt;0,SQRT(COUNT(J$351,J353))," "),"")</f>
        <v/>
      </c>
      <c r="AO387" s="230" t="str">
        <f aca="false">IFERROR(IF(K$351*K353&gt;0,STDEV(K$351,K353)," ")/IF(K$351*K353&gt;0,SQRT(COUNT(K$351,K353))," "),"")</f>
        <v/>
      </c>
      <c r="AP387" s="230" t="str">
        <f aca="false">IFERROR(IF(L$351*L353&gt;0,STDEV(L$351,L353)," ")/IF(L$351*L353&gt;0,SQRT(COUNT(L$351,L353))," "),"")</f>
        <v/>
      </c>
      <c r="AQ387" s="230" t="str">
        <f aca="false">IFERROR(IF(M$351*M353&gt;0,STDEV(M$351,M353)," ")/IF(M$351*M353&gt;0,SQRT(COUNT(M$351,M353))," "),"")</f>
        <v/>
      </c>
      <c r="AR387" s="230" t="str">
        <f aca="false">IFERROR(IF(N$351*N353&gt;0,STDEV(N$351,N353)," ")/IF(N$351*N353&gt;0,SQRT(COUNT(N$351,N353))," "),"")</f>
        <v/>
      </c>
    </row>
    <row r="388" customFormat="false" ht="15.75" hidden="false" customHeight="false" outlineLevel="0" collapsed="false">
      <c r="A388" s="242" t="s">
        <v>344</v>
      </c>
      <c r="B388" s="243"/>
      <c r="C388" s="244" t="str">
        <f aca="false">IFERROR(IF(C$352*C353&gt;0,AVERAGE(C$352,C353),""),"")</f>
        <v/>
      </c>
      <c r="D388" s="244" t="str">
        <f aca="false">IFERROR(IF(D$352*D353&gt;0,AVERAGE(D$352,D353),""),"")</f>
        <v/>
      </c>
      <c r="E388" s="244" t="str">
        <f aca="false">IFERROR(IF(E$352*E353&gt;0,AVERAGE(E$352,E353),""),"")</f>
        <v/>
      </c>
      <c r="F388" s="244" t="str">
        <f aca="false">IFERROR(IF(F$352*F353&gt;0,AVERAGE(F$352,F353),""),"")</f>
        <v/>
      </c>
      <c r="G388" s="244" t="str">
        <f aca="false">IFERROR(IF(G$352*G353&gt;0,AVERAGE(G$352,G353),""),"")</f>
        <v/>
      </c>
      <c r="H388" s="244" t="str">
        <f aca="false">IFERROR(IF(H$352*H353&gt;0,AVERAGE(H$352,H353),""),"")</f>
        <v/>
      </c>
      <c r="I388" s="244" t="str">
        <f aca="false">IFERROR(IF(I$352*I353&gt;0,AVERAGE(I$352,I353),""),"")</f>
        <v/>
      </c>
      <c r="J388" s="244" t="str">
        <f aca="false">IFERROR(IF(J$352*J353&gt;0,AVERAGE(J$352,J353),""),"")</f>
        <v/>
      </c>
      <c r="K388" s="244" t="str">
        <f aca="false">IFERROR(IF(K$352*K353&gt;0,AVERAGE(K$352,K353),""),"")</f>
        <v/>
      </c>
      <c r="L388" s="244" t="str">
        <f aca="false">IFERROR(IF(L$352*L353&gt;0,AVERAGE(L$352,L353),""),"")</f>
        <v/>
      </c>
      <c r="M388" s="244" t="str">
        <f aca="false">IFERROR(IF(M$352*M353&gt;0,AVERAGE(M$352,M353),""),"")</f>
        <v/>
      </c>
      <c r="N388" s="244" t="str">
        <f aca="false">IFERROR(IF(N$352*N353&gt;0,AVERAGE(N$352,N353),""),"")</f>
        <v/>
      </c>
      <c r="O388" s="245"/>
      <c r="P388" s="245"/>
      <c r="Q388" s="246"/>
      <c r="R388" s="247" t="s">
        <v>345</v>
      </c>
      <c r="S388" s="248" t="str">
        <f aca="false">IFERROR(IF(C$352*C353&gt;0,STDEV(C$352,C353),"")/IF(C$352*C353&gt;0,AVERAGE(C$352,C353),""),"")</f>
        <v/>
      </c>
      <c r="T388" s="248" t="str">
        <f aca="false">IFERROR(IF(D$352*D353&gt;0,STDEV(D$352,D353),"")/IF(D$352*D353&gt;0,AVERAGE(D$352,D353),""),"")</f>
        <v/>
      </c>
      <c r="U388" s="248" t="str">
        <f aca="false">IFERROR(IF(E$352*E353&gt;0,STDEV(E$352,E353),"")/IF(E$352*E353&gt;0,AVERAGE(E$352,E353),""),"")</f>
        <v/>
      </c>
      <c r="V388" s="248" t="str">
        <f aca="false">IFERROR(IF(F$352*F353&gt;0,STDEV(F$352,F353),"")/IF(F$352*F353&gt;0,AVERAGE(F$352,F353),""),"")</f>
        <v/>
      </c>
      <c r="W388" s="248" t="str">
        <f aca="false">IFERROR(IF(G$352*G353&gt;0,STDEV(G$352,G353),"")/IF(G$352*G353&gt;0,AVERAGE(G$352,G353),""),"")</f>
        <v/>
      </c>
      <c r="X388" s="248" t="str">
        <f aca="false">IFERROR(IF(H$352*H353&gt;0,STDEV(H$352,H353),"")/IF(H$352*H353&gt;0,AVERAGE(H$352,H353),""),"")</f>
        <v/>
      </c>
      <c r="Y388" s="248" t="str">
        <f aca="false">IFERROR(IF(I$352*I353&gt;0,STDEV(I$352,I353),"")/IF(I$352*I353&gt;0,AVERAGE(I$352,I353),""),"")</f>
        <v/>
      </c>
      <c r="Z388" s="248" t="str">
        <f aca="false">IFERROR(IF(J$352*J353&gt;0,STDEV(J$352,J353),"")/IF(J$352*J353&gt;0,AVERAGE(J$352,J353),""),"")</f>
        <v/>
      </c>
      <c r="AA388" s="248" t="str">
        <f aca="false">IFERROR(IF(K$352*K353&gt;0,STDEV(K$352,K353),"")/IF(K$352*K353&gt;0,AVERAGE(K$352,K353),""),"")</f>
        <v/>
      </c>
      <c r="AB388" s="248" t="str">
        <f aca="false">IFERROR(IF(L$352*L353&gt;0,STDEV(L$352,L353),"")/IF(L$352*L353&gt;0,AVERAGE(L$352,L353),""),"")</f>
        <v/>
      </c>
      <c r="AC388" s="248" t="str">
        <f aca="false">IFERROR(IF(M$352*M353&gt;0,STDEV(M$352,M353),"")/IF(M$352*M353&gt;0,AVERAGE(M$352,M353),""),"")</f>
        <v/>
      </c>
      <c r="AD388" s="248" t="str">
        <f aca="false">IFERROR(IF(N$352*N353&gt;0,STDEV(N$352,N353),"")/IF(N$352*N353&gt;0,AVERAGE(N$352,N353),""),"")</f>
        <v/>
      </c>
      <c r="AE388" s="249"/>
      <c r="AF388" s="250" t="s">
        <v>346</v>
      </c>
      <c r="AG388" s="251" t="str">
        <f aca="false">IFERROR(IF(C$352*C353&gt;0,STDEV(C$352,C353)," ")/IF(C$352*C353&gt;0,SQRT(COUNT(C$352,C353))," "),"")</f>
        <v/>
      </c>
      <c r="AH388" s="251" t="str">
        <f aca="false">IFERROR(IF(D$352*D353&gt;0,STDEV(D$352,D353)," ")/IF(D$352*D353&gt;0,SQRT(COUNT(D$352,D353))," "),"")</f>
        <v/>
      </c>
      <c r="AI388" s="251" t="str">
        <f aca="false">IFERROR(IF(E$352*E353&gt;0,STDEV(E$352,E353)," ")/IF(E$352*E353&gt;0,SQRT(COUNT(E$352,E353))," "),"")</f>
        <v/>
      </c>
      <c r="AJ388" s="251" t="str">
        <f aca="false">IFERROR(IF(F$352*F353&gt;0,STDEV(F$352,F353)," ")/IF(F$352*F353&gt;0,SQRT(COUNT(F$352,F353))," "),"")</f>
        <v/>
      </c>
      <c r="AK388" s="251" t="str">
        <f aca="false">IFERROR(IF(G$352*G353&gt;0,STDEV(G$352,G353)," ")/IF(G$352*G353&gt;0,SQRT(COUNT(G$352,G353))," "),"")</f>
        <v/>
      </c>
      <c r="AL388" s="251" t="str">
        <f aca="false">IFERROR(IF(H$352*H353&gt;0,STDEV(H$352,H353)," ")/IF(H$352*H353&gt;0,SQRT(COUNT(H$352,H353))," "),"")</f>
        <v/>
      </c>
      <c r="AM388" s="251" t="str">
        <f aca="false">IFERROR(IF(I$352*I353&gt;0,STDEV(I$352,I353)," ")/IF(I$352*I353&gt;0,SQRT(COUNT(I$352,I353))," "),"")</f>
        <v/>
      </c>
      <c r="AN388" s="251" t="str">
        <f aca="false">IFERROR(IF(J$352*J353&gt;0,STDEV(J$352,J353)," ")/IF(J$352*J353&gt;0,SQRT(COUNT(J$352,J353))," "),"")</f>
        <v/>
      </c>
      <c r="AO388" s="251" t="str">
        <f aca="false">IFERROR(IF(K$352*K353&gt;0,STDEV(K$352,K353)," ")/IF(K$352*K353&gt;0,SQRT(COUNT(K$352,K353))," "),"")</f>
        <v/>
      </c>
      <c r="AP388" s="251" t="str">
        <f aca="false">IFERROR(IF(L$352*L353&gt;0,STDEV(L$352,L353)," ")/IF(L$352*L353&gt;0,SQRT(COUNT(L$352,L353))," "),"")</f>
        <v/>
      </c>
      <c r="AQ388" s="251" t="str">
        <f aca="false">IFERROR(IF(M$352*M353&gt;0,STDEV(M$352,M353)," ")/IF(M$352*M353&gt;0,SQRT(COUNT(M$352,M353))," "),"")</f>
        <v/>
      </c>
      <c r="AR388" s="251" t="str">
        <f aca="false">IFERROR(IF(N$352*N353&gt;0,STDEV(N$352,N353)," ")/IF(N$352*N353&gt;0,SQRT(COUNT(N$352,N353))," "),"")</f>
        <v/>
      </c>
    </row>
    <row r="389" customFormat="false" ht="15.75" hidden="false" customHeight="false" outlineLevel="0" collapsed="false">
      <c r="A389" s="220" t="s">
        <v>347</v>
      </c>
      <c r="B389" s="221"/>
      <c r="C389" s="222" t="str">
        <f aca="false">IFERROR(IF(C$347*C$348*C349&gt;0,AVERAGE(C$347:C$348,C349),""),"")</f>
        <v/>
      </c>
      <c r="D389" s="222" t="str">
        <f aca="false">IFERROR(IF(D$347*D$348*D349&gt;0,AVERAGE(D$347:D$348,D349),""),"")</f>
        <v/>
      </c>
      <c r="E389" s="222" t="str">
        <f aca="false">IFERROR(IF(E$347*E$348*E349&gt;0,AVERAGE(E$347:E$348,E349),""),"")</f>
        <v/>
      </c>
      <c r="F389" s="222" t="str">
        <f aca="false">IFERROR(IF(F$347*F$348*F349&gt;0,AVERAGE(F$347:F$348,F349),""),"")</f>
        <v/>
      </c>
      <c r="G389" s="222" t="str">
        <f aca="false">IFERROR(IF(G$347*G$348*G349&gt;0,AVERAGE(G$347:G$348,G349),""),"")</f>
        <v/>
      </c>
      <c r="H389" s="222" t="str">
        <f aca="false">IFERROR(IF(H$347*H$348*H349&gt;0,AVERAGE(H$347:H$348,H349),""),"")</f>
        <v/>
      </c>
      <c r="I389" s="222" t="str">
        <f aca="false">IFERROR(IF(I$347*I$348*I349&gt;0,AVERAGE(I$347:I$348,I349),""),"")</f>
        <v/>
      </c>
      <c r="J389" s="222" t="str">
        <f aca="false">IFERROR(IF(J$347*J$348*J349&gt;0,AVERAGE(J$347:J$348,J349),""),"")</f>
        <v/>
      </c>
      <c r="K389" s="222" t="str">
        <f aca="false">IFERROR(IF(K$347*K$348*K349&gt;0,AVERAGE(K$347:K$348,K349),""),"")</f>
        <v/>
      </c>
      <c r="L389" s="222" t="str">
        <f aca="false">IFERROR(IF(L$347*L$348*L349&gt;0,AVERAGE(L$347:L$348,L349),""),"")</f>
        <v/>
      </c>
      <c r="M389" s="222" t="str">
        <f aca="false">IFERROR(IF(M$347*M$348*M349&gt;0,AVERAGE(M$347:M$348,M349),""),"")</f>
        <v/>
      </c>
      <c r="N389" s="222" t="str">
        <f aca="false">IFERROR(IF(N$347*N$348*N349&gt;0,AVERAGE(N$347:N$348,N349),""),"")</f>
        <v/>
      </c>
      <c r="O389" s="240" t="n">
        <v>3</v>
      </c>
      <c r="P389" s="224" t="n">
        <f aca="false">COMBIN(7,3)</f>
        <v>35</v>
      </c>
      <c r="Q389" s="252" t="n">
        <f aca="false">ROW(N424)-ROW(N389)+1</f>
        <v>36</v>
      </c>
      <c r="R389" s="226" t="s">
        <v>348</v>
      </c>
      <c r="S389" s="227" t="str">
        <f aca="false">IFERROR(IF(C$347*C$348*C349&gt;0,STDEV(C$347:C$348,C349),"")/IF(C$347*C$348*C349&gt;0,AVERAGE(C$347:C$348,C349),""),"")</f>
        <v/>
      </c>
      <c r="T389" s="227" t="str">
        <f aca="false">IFERROR(IF(D$347*D$348*D349&gt;0,STDEV(D$347:D$348,D349),"")/IF(D$347*D$348*D349&gt;0,AVERAGE(D$347:D$348,D349),""),"")</f>
        <v/>
      </c>
      <c r="U389" s="227" t="str">
        <f aca="false">IFERROR(IF(E$347*E$348*E349&gt;0,STDEV(E$347:E$348,E349),"")/IF(E$347*E$348*E349&gt;0,AVERAGE(E$347:E$348,E349),""),"")</f>
        <v/>
      </c>
      <c r="V389" s="227" t="str">
        <f aca="false">IFERROR(IF(F$347*F$348*F349&gt;0,STDEV(F$347:F$348,F349),"")/IF(F$347*F$348*F349&gt;0,AVERAGE(F$347:F$348,F349),""),"")</f>
        <v/>
      </c>
      <c r="W389" s="227" t="str">
        <f aca="false">IFERROR(IF(G$347*G$348*G349&gt;0,STDEV(G$347:G$348,G349),"")/IF(G$347*G$348*G349&gt;0,AVERAGE(G$347:G$348,G349),""),"")</f>
        <v/>
      </c>
      <c r="X389" s="227" t="str">
        <f aca="false">IFERROR(IF(H$347*H$348*H349&gt;0,STDEV(H$347:H$348,H349),"")/IF(H$347*H$348*H349&gt;0,AVERAGE(H$347:H$348,H349),""),"")</f>
        <v/>
      </c>
      <c r="Y389" s="227" t="str">
        <f aca="false">IFERROR(IF(I$347*I$348*I349&gt;0,STDEV(I$347:I$348,I349),"")/IF(I$347*I$348*I349&gt;0,AVERAGE(I$347:I$348,I349),""),"")</f>
        <v/>
      </c>
      <c r="Z389" s="227" t="str">
        <f aca="false">IFERROR(IF(J$347*J$348*J349&gt;0,STDEV(J$347:J$348,J349),"")/IF(J$347*J$348*J349&gt;0,AVERAGE(J$347:J$348,J349),""),"")</f>
        <v/>
      </c>
      <c r="AA389" s="227" t="str">
        <f aca="false">IFERROR(IF(K$347*K$348*K349&gt;0,STDEV(K$347:K$348,K349),"")/IF(K$347*K$348*K349&gt;0,AVERAGE(K$347:K$348,K349),""),"")</f>
        <v/>
      </c>
      <c r="AB389" s="227" t="str">
        <f aca="false">IFERROR(IF(L$347*L$348*L349&gt;0,STDEV(L$347:L$348,L349),"")/IF(L$347*L$348*L349&gt;0,AVERAGE(L$347:L$348,L349),""),"")</f>
        <v/>
      </c>
      <c r="AC389" s="227" t="str">
        <f aca="false">IFERROR(IF(M$347*M$348*M349&gt;0,STDEV(M$347:M$348,M349),"")/IF(M$347*M$348*M349&gt;0,AVERAGE(M$347:M$348,M349),""),"")</f>
        <v/>
      </c>
      <c r="AD389" s="227" t="str">
        <f aca="false">IFERROR(IF(N$347*N$348*N349&gt;0,STDEV(N$347:N$348,N349),"")/IF(N$347*N$348*N349&gt;0,AVERAGE(N$347:N$348,N349),""),"")</f>
        <v/>
      </c>
      <c r="AE389" s="233"/>
      <c r="AF389" s="229" t="s">
        <v>349</v>
      </c>
      <c r="AG389" s="230" t="str">
        <f aca="false">IFERROR(IF(C$347*C$348*C349&gt;0,STDEV(C$347:C$348,C349)," ")/IF(C$347*C$348*C349&gt;0,SQRT(COUNT(C$347:C$348,C349))," "),"")</f>
        <v/>
      </c>
      <c r="AH389" s="230" t="str">
        <f aca="false">IFERROR(IF(D$347*D$348*D349&gt;0,STDEV(D$347:D$348,D349)," ")/IF(D$347*D$348*D349&gt;0,SQRT(COUNT(D$347:D$348,D349))," "),"")</f>
        <v/>
      </c>
      <c r="AI389" s="230" t="str">
        <f aca="false">IFERROR(IF(E$347*E$348*E349&gt;0,STDEV(E$347:E$348,E349)," ")/IF(E$347*E$348*E349&gt;0,SQRT(COUNT(E$347:E$348,E349))," "),"")</f>
        <v/>
      </c>
      <c r="AJ389" s="230" t="str">
        <f aca="false">IFERROR(IF(F$347*F$348*F349&gt;0,STDEV(F$347:F$348,F349)," ")/IF(F$347*F$348*F349&gt;0,SQRT(COUNT(F$347:F$348,F349))," "),"")</f>
        <v/>
      </c>
      <c r="AK389" s="230" t="str">
        <f aca="false">IFERROR(IF(G$347*G$348*G349&gt;0,STDEV(G$347:G$348,G349)," ")/IF(G$347*G$348*G349&gt;0,SQRT(COUNT(G$347:G$348,G349))," "),"")</f>
        <v/>
      </c>
      <c r="AL389" s="230" t="str">
        <f aca="false">IFERROR(IF(H$347*H$348*H349&gt;0,STDEV(H$347:H$348,H349)," ")/IF(H$347*H$348*H349&gt;0,SQRT(COUNT(H$347:H$348,H349))," "),"")</f>
        <v/>
      </c>
      <c r="AM389" s="230" t="str">
        <f aca="false">IFERROR(IF(I$347*I$348*I349&gt;0,STDEV(I$347:I$348,I349)," ")/IF(I$347*I$348*I349&gt;0,SQRT(COUNT(I$347:I$348,I349))," "),"")</f>
        <v/>
      </c>
      <c r="AN389" s="230" t="str">
        <f aca="false">IFERROR(IF(J$347*J$348*J349&gt;0,STDEV(J$347:J$348,J349)," ")/IF(J$347*J$348*J349&gt;0,SQRT(COUNT(J$347:J$348,J349))," "),"")</f>
        <v/>
      </c>
      <c r="AO389" s="230" t="str">
        <f aca="false">IFERROR(IF(K$347*K$348*K349&gt;0,STDEV(K$347:K$348,K349)," ")/IF(K$347*K$348*K349&gt;0,SQRT(COUNT(K$347:K$348,K349))," "),"")</f>
        <v/>
      </c>
      <c r="AP389" s="230" t="str">
        <f aca="false">IFERROR(IF(L$347*L$348*L349&gt;0,STDEV(L$347:L$348,L349)," ")/IF(L$347*L$348*L349&gt;0,SQRT(COUNT(L$347:L$348,L349))," "),"")</f>
        <v/>
      </c>
      <c r="AQ389" s="230" t="str">
        <f aca="false">IFERROR(IF(M$347*M$348*M349&gt;0,STDEV(M$347:M$348,M349)," ")/IF(M$347*M$348*M349&gt;0,SQRT(COUNT(M$347:M$348,M349))," "),"")</f>
        <v/>
      </c>
      <c r="AR389" s="230" t="str">
        <f aca="false">IFERROR(IF(N$347*N$348*N349&gt;0,STDEV(N$347:N$348,N349)," ")/IF(N$347*N$348*N349&gt;0,SQRT(COUNT(N$347:N$348,N349))," "),"")</f>
        <v/>
      </c>
    </row>
    <row r="390" customFormat="false" ht="15.75" hidden="false" customHeight="false" outlineLevel="0" collapsed="false">
      <c r="A390" s="220" t="s">
        <v>350</v>
      </c>
      <c r="B390" s="221"/>
      <c r="C390" s="222" t="str">
        <f aca="false">IFERROR(IF(C$347*C$348*C350&gt;0,AVERAGE(C$347:C$348,C350),""),"")</f>
        <v/>
      </c>
      <c r="D390" s="222" t="str">
        <f aca="false">IFERROR(IF(D$347*D$348*D350&gt;0,AVERAGE(D$347:D$348,D350),""),"")</f>
        <v/>
      </c>
      <c r="E390" s="222" t="str">
        <f aca="false">IFERROR(IF(E$347*E$348*E350&gt;0,AVERAGE(E$347:E$348,E350),""),"")</f>
        <v/>
      </c>
      <c r="F390" s="222" t="str">
        <f aca="false">IFERROR(IF(F$347*F$348*F350&gt;0,AVERAGE(F$347:F$348,F350),""),"")</f>
        <v/>
      </c>
      <c r="G390" s="222" t="str">
        <f aca="false">IFERROR(IF(G$347*G$348*G350&gt;0,AVERAGE(G$347:G$348,G350),""),"")</f>
        <v/>
      </c>
      <c r="H390" s="222" t="str">
        <f aca="false">IFERROR(IF(H$347*H$348*H350&gt;0,AVERAGE(H$347:H$348,H350),""),"")</f>
        <v/>
      </c>
      <c r="I390" s="222" t="str">
        <f aca="false">IFERROR(IF(I$347*I$348*I350&gt;0,AVERAGE(I$347:I$348,I350),""),"")</f>
        <v/>
      </c>
      <c r="J390" s="222" t="str">
        <f aca="false">IFERROR(IF(J$347*J$348*J350&gt;0,AVERAGE(J$347:J$348,J350),""),"")</f>
        <v/>
      </c>
      <c r="K390" s="222" t="str">
        <f aca="false">IFERROR(IF(K$347*K$348*K350&gt;0,AVERAGE(K$347:K$348,K350),""),"")</f>
        <v/>
      </c>
      <c r="L390" s="222" t="str">
        <f aca="false">IFERROR(IF(L$347*L$348*L350&gt;0,AVERAGE(L$347:L$348,L350),""),"")</f>
        <v/>
      </c>
      <c r="M390" s="222" t="str">
        <f aca="false">IFERROR(IF(M$347*M$348*M350&gt;0,AVERAGE(M$347:M$348,M350),""),"")</f>
        <v/>
      </c>
      <c r="N390" s="222" t="str">
        <f aca="false">IFERROR(IF(N$347*N$348*N350&gt;0,AVERAGE(N$347:N$348,N350),""),"")</f>
        <v/>
      </c>
      <c r="O390" s="224"/>
      <c r="P390" s="224"/>
      <c r="Q390" s="232"/>
      <c r="R390" s="226" t="s">
        <v>351</v>
      </c>
      <c r="S390" s="227" t="str">
        <f aca="false">IFERROR(IF(C$347*C$348*C350&gt;0,STDEV(C$347:C$348,C350),"")/IF(C$347*C$348*C350&gt;0,AVERAGE(C$347:C$348,C350),""),"")</f>
        <v/>
      </c>
      <c r="T390" s="227" t="str">
        <f aca="false">IFERROR(IF(D$347*D$348*D350&gt;0,STDEV(D$347:D$348,D350),"")/IF(D$347*D$348*D350&gt;0,AVERAGE(D$347:D$348,D350),""),"")</f>
        <v/>
      </c>
      <c r="U390" s="227" t="str">
        <f aca="false">IFERROR(IF(E$347*E$348*E350&gt;0,STDEV(E$347:E$348,E350),"")/IF(E$347*E$348*E350&gt;0,AVERAGE(E$347:E$348,E350),""),"")</f>
        <v/>
      </c>
      <c r="V390" s="227" t="str">
        <f aca="false">IFERROR(IF(F$347*F$348*F350&gt;0,STDEV(F$347:F$348,F350),"")/IF(F$347*F$348*F350&gt;0,AVERAGE(F$347:F$348,F350),""),"")</f>
        <v/>
      </c>
      <c r="W390" s="227" t="str">
        <f aca="false">IFERROR(IF(G$347*G$348*G350&gt;0,STDEV(G$347:G$348,G350),"")/IF(G$347*G$348*G350&gt;0,AVERAGE(G$347:G$348,G350),""),"")</f>
        <v/>
      </c>
      <c r="X390" s="227" t="str">
        <f aca="false">IFERROR(IF(H$347*H$348*H350&gt;0,STDEV(H$347:H$348,H350),"")/IF(H$347*H$348*H350&gt;0,AVERAGE(H$347:H$348,H350),""),"")</f>
        <v/>
      </c>
      <c r="Y390" s="227" t="str">
        <f aca="false">IFERROR(IF(I$347*I$348*I350&gt;0,STDEV(I$347:I$348,I350),"")/IF(I$347*I$348*I350&gt;0,AVERAGE(I$347:I$348,I350),""),"")</f>
        <v/>
      </c>
      <c r="Z390" s="227" t="str">
        <f aca="false">IFERROR(IF(J$347*J$348*J350&gt;0,STDEV(J$347:J$348,J350),"")/IF(J$347*J$348*J350&gt;0,AVERAGE(J$347:J$348,J350),""),"")</f>
        <v/>
      </c>
      <c r="AA390" s="227" t="str">
        <f aca="false">IFERROR(IF(K$347*K$348*K350&gt;0,STDEV(K$347:K$348,K350),"")/IF(K$347*K$348*K350&gt;0,AVERAGE(K$347:K$348,K350),""),"")</f>
        <v/>
      </c>
      <c r="AB390" s="227" t="str">
        <f aca="false">IFERROR(IF(L$347*L$348*L350&gt;0,STDEV(L$347:L$348,L350),"")/IF(L$347*L$348*L350&gt;0,AVERAGE(L$347:L$348,L350),""),"")</f>
        <v/>
      </c>
      <c r="AC390" s="227" t="str">
        <f aca="false">IFERROR(IF(M$347*M$348*M350&gt;0,STDEV(M$347:M$348,M350),"")/IF(M$347*M$348*M350&gt;0,AVERAGE(M$347:M$348,M350),""),"")</f>
        <v/>
      </c>
      <c r="AD390" s="227" t="str">
        <f aca="false">IFERROR(IF(N$347*N$348*N350&gt;0,STDEV(N$347:N$348,N350),"")/IF(N$347*N$348*N350&gt;0,AVERAGE(N$347:N$348,N350),""),"")</f>
        <v/>
      </c>
      <c r="AE390" s="233"/>
      <c r="AF390" s="229" t="s">
        <v>352</v>
      </c>
      <c r="AG390" s="230" t="str">
        <f aca="false">IFERROR(IF(C$347*C$348*C350&gt;0,STDEV(C$347:C$348,C350)," ")/IF(C$347*C$348*C350&gt;0,SQRT(COUNT(C$347:C$348,C350))," "),"")</f>
        <v/>
      </c>
      <c r="AH390" s="230" t="str">
        <f aca="false">IFERROR(IF(D$347*D$348*D350&gt;0,STDEV(D$347:D$348,D350)," ")/IF(D$347*D$348*D350&gt;0,SQRT(COUNT(D$347:D$348,D350))," "),"")</f>
        <v/>
      </c>
      <c r="AI390" s="230" t="str">
        <f aca="false">IFERROR(IF(E$347*E$348*E350&gt;0,STDEV(E$347:E$348,E350)," ")/IF(E$347*E$348*E350&gt;0,SQRT(COUNT(E$347:E$348,E350))," "),"")</f>
        <v/>
      </c>
      <c r="AJ390" s="230" t="str">
        <f aca="false">IFERROR(IF(F$347*F$348*F350&gt;0,STDEV(F$347:F$348,F350)," ")/IF(F$347*F$348*F350&gt;0,SQRT(COUNT(F$347:F$348,F350))," "),"")</f>
        <v/>
      </c>
      <c r="AK390" s="230" t="str">
        <f aca="false">IFERROR(IF(G$347*G$348*G350&gt;0,STDEV(G$347:G$348,G350)," ")/IF(G$347*G$348*G350&gt;0,SQRT(COUNT(G$347:G$348,G350))," "),"")</f>
        <v/>
      </c>
      <c r="AL390" s="230" t="str">
        <f aca="false">IFERROR(IF(H$347*H$348*H350&gt;0,STDEV(H$347:H$348,H350)," ")/IF(H$347*H$348*H350&gt;0,SQRT(COUNT(H$347:H$348,H350))," "),"")</f>
        <v/>
      </c>
      <c r="AM390" s="230" t="str">
        <f aca="false">IFERROR(IF(I$347*I$348*I350&gt;0,STDEV(I$347:I$348,I350)," ")/IF(I$347*I$348*I350&gt;0,SQRT(COUNT(I$347:I$348,I350))," "),"")</f>
        <v/>
      </c>
      <c r="AN390" s="230" t="str">
        <f aca="false">IFERROR(IF(J$347*J$348*J350&gt;0,STDEV(J$347:J$348,J350)," ")/IF(J$347*J$348*J350&gt;0,SQRT(COUNT(J$347:J$348,J350))," "),"")</f>
        <v/>
      </c>
      <c r="AO390" s="230" t="str">
        <f aca="false">IFERROR(IF(K$347*K$348*K350&gt;0,STDEV(K$347:K$348,K350)," ")/IF(K$347*K$348*K350&gt;0,SQRT(COUNT(K$347:K$348,K350))," "),"")</f>
        <v/>
      </c>
      <c r="AP390" s="230" t="str">
        <f aca="false">IFERROR(IF(L$347*L$348*L350&gt;0,STDEV(L$347:L$348,L350)," ")/IF(L$347*L$348*L350&gt;0,SQRT(COUNT(L$347:L$348,L350))," "),"")</f>
        <v/>
      </c>
      <c r="AQ390" s="230" t="str">
        <f aca="false">IFERROR(IF(M$347*M$348*M350&gt;0,STDEV(M$347:M$348,M350)," ")/IF(M$347*M$348*M350&gt;0,SQRT(COUNT(M$347:M$348,M350))," "),"")</f>
        <v/>
      </c>
      <c r="AR390" s="230" t="str">
        <f aca="false">IFERROR(IF(N$347*N$348*N350&gt;0,STDEV(N$347:N$348,N350)," ")/IF(N$347*N$348*N350&gt;0,SQRT(COUNT(N$347:N$348,N350))," "),"")</f>
        <v/>
      </c>
    </row>
    <row r="391" customFormat="false" ht="15.75" hidden="false" customHeight="false" outlineLevel="0" collapsed="false">
      <c r="A391" s="220" t="s">
        <v>353</v>
      </c>
      <c r="B391" s="221"/>
      <c r="C391" s="222" t="str">
        <f aca="false">IFERROR(IF(C$347*C$348*C351&gt;0,AVERAGE(C$347:C$348,C351),""),"")</f>
        <v/>
      </c>
      <c r="D391" s="222" t="str">
        <f aca="false">IFERROR(IF(D$347*D$348*D351&gt;0,AVERAGE(D$347:D$348,D351),""),"")</f>
        <v/>
      </c>
      <c r="E391" s="222" t="str">
        <f aca="false">IFERROR(IF(E$347*E$348*E351&gt;0,AVERAGE(E$347:E$348,E351),""),"")</f>
        <v/>
      </c>
      <c r="F391" s="222" t="str">
        <f aca="false">IFERROR(IF(F$347*F$348*F351&gt;0,AVERAGE(F$347:F$348,F351),""),"")</f>
        <v/>
      </c>
      <c r="G391" s="222" t="str">
        <f aca="false">IFERROR(IF(G$347*G$348*G351&gt;0,AVERAGE(G$347:G$348,G351),""),"")</f>
        <v/>
      </c>
      <c r="H391" s="222" t="str">
        <f aca="false">IFERROR(IF(H$347*H$348*H351&gt;0,AVERAGE(H$347:H$348,H351),""),"")</f>
        <v/>
      </c>
      <c r="I391" s="222" t="str">
        <f aca="false">IFERROR(IF(I$347*I$348*I351&gt;0,AVERAGE(I$347:I$348,I351),""),"")</f>
        <v/>
      </c>
      <c r="J391" s="222" t="str">
        <f aca="false">IFERROR(IF(J$347*J$348*J351&gt;0,AVERAGE(J$347:J$348,J351),""),"")</f>
        <v/>
      </c>
      <c r="K391" s="222" t="str">
        <f aca="false">IFERROR(IF(K$347*K$348*K351&gt;0,AVERAGE(K$347:K$348,K351),""),"")</f>
        <v/>
      </c>
      <c r="L391" s="222" t="str">
        <f aca="false">IFERROR(IF(L$347*L$348*L351&gt;0,AVERAGE(L$347:L$348,L351),""),"")</f>
        <v/>
      </c>
      <c r="M391" s="222" t="str">
        <f aca="false">IFERROR(IF(M$347*M$348*M351&gt;0,AVERAGE(M$347:M$348,M351),""),"")</f>
        <v/>
      </c>
      <c r="N391" s="222" t="str">
        <f aca="false">IFERROR(IF(N$347*N$348*N351&gt;0,AVERAGE(N$347:N$348,N351),""),"")</f>
        <v/>
      </c>
      <c r="O391" s="224"/>
      <c r="P391" s="224"/>
      <c r="Q391" s="232"/>
      <c r="R391" s="226" t="s">
        <v>354</v>
      </c>
      <c r="S391" s="227" t="str">
        <f aca="false">IFERROR(IF(C$347*C$348*C351&gt;0,STDEV(C$347:C$348,C351),"")/IF(C$347*C$348*C351&gt;0,AVERAGE(C$347:C$348,C351),""),"")</f>
        <v/>
      </c>
      <c r="T391" s="227" t="str">
        <f aca="false">IFERROR(IF(D$347*D$348*D351&gt;0,STDEV(D$347:D$348,D351),"")/IF(D$347*D$348*D351&gt;0,AVERAGE(D$347:D$348,D351),""),"")</f>
        <v/>
      </c>
      <c r="U391" s="227" t="str">
        <f aca="false">IFERROR(IF(E$347*E$348*E351&gt;0,STDEV(E$347:E$348,E351),"")/IF(E$347*E$348*E351&gt;0,AVERAGE(E$347:E$348,E351),""),"")</f>
        <v/>
      </c>
      <c r="V391" s="227" t="str">
        <f aca="false">IFERROR(IF(F$347*F$348*F351&gt;0,STDEV(F$347:F$348,F351),"")/IF(F$347*F$348*F351&gt;0,AVERAGE(F$347:F$348,F351),""),"")</f>
        <v/>
      </c>
      <c r="W391" s="227" t="str">
        <f aca="false">IFERROR(IF(G$347*G$348*G351&gt;0,STDEV(G$347:G$348,G351),"")/IF(G$347*G$348*G351&gt;0,AVERAGE(G$347:G$348,G351),""),"")</f>
        <v/>
      </c>
      <c r="X391" s="227" t="str">
        <f aca="false">IFERROR(IF(H$347*H$348*H351&gt;0,STDEV(H$347:H$348,H351),"")/IF(H$347*H$348*H351&gt;0,AVERAGE(H$347:H$348,H351),""),"")</f>
        <v/>
      </c>
      <c r="Y391" s="227" t="str">
        <f aca="false">IFERROR(IF(I$347*I$348*I351&gt;0,STDEV(I$347:I$348,I351),"")/IF(I$347*I$348*I351&gt;0,AVERAGE(I$347:I$348,I351),""),"")</f>
        <v/>
      </c>
      <c r="Z391" s="227" t="str">
        <f aca="false">IFERROR(IF(J$347*J$348*J351&gt;0,STDEV(J$347:J$348,J351),"")/IF(J$347*J$348*J351&gt;0,AVERAGE(J$347:J$348,J351),""),"")</f>
        <v/>
      </c>
      <c r="AA391" s="227" t="str">
        <f aca="false">IFERROR(IF(K$347*K$348*K351&gt;0,STDEV(K$347:K$348,K351),"")/IF(K$347*K$348*K351&gt;0,AVERAGE(K$347:K$348,K351),""),"")</f>
        <v/>
      </c>
      <c r="AB391" s="227" t="str">
        <f aca="false">IFERROR(IF(L$347*L$348*L351&gt;0,STDEV(L$347:L$348,L351),"")/IF(L$347*L$348*L351&gt;0,AVERAGE(L$347:L$348,L351),""),"")</f>
        <v/>
      </c>
      <c r="AC391" s="227" t="str">
        <f aca="false">IFERROR(IF(M$347*M$348*M351&gt;0,STDEV(M$347:M$348,M351),"")/IF(M$347*M$348*M351&gt;0,AVERAGE(M$347:M$348,M351),""),"")</f>
        <v/>
      </c>
      <c r="AD391" s="227" t="str">
        <f aca="false">IFERROR(IF(N$347*N$348*N351&gt;0,STDEV(N$347:N$348,N351),"")/IF(N$347*N$348*N351&gt;0,AVERAGE(N$347:N$348,N351),""),"")</f>
        <v/>
      </c>
      <c r="AE391" s="233"/>
      <c r="AF391" s="229" t="s">
        <v>355</v>
      </c>
      <c r="AG391" s="230" t="str">
        <f aca="false">IFERROR(IF(C$347*C$348*C351&gt;0,STDEV(C$347:C$348,C351)," ")/IF(C$347*C$348*C351&gt;0,SQRT(COUNT(C$347:C$348,C351))," "),"")</f>
        <v/>
      </c>
      <c r="AH391" s="230" t="str">
        <f aca="false">IFERROR(IF(D$347*D$348*D351&gt;0,STDEV(D$347:D$348,D351)," ")/IF(D$347*D$348*D351&gt;0,SQRT(COUNT(D$347:D$348,D351))," "),"")</f>
        <v/>
      </c>
      <c r="AI391" s="230" t="str">
        <f aca="false">IFERROR(IF(E$347*E$348*E351&gt;0,STDEV(E$347:E$348,E351)," ")/IF(E$347*E$348*E351&gt;0,SQRT(COUNT(E$347:E$348,E351))," "),"")</f>
        <v/>
      </c>
      <c r="AJ391" s="230" t="str">
        <f aca="false">IFERROR(IF(F$347*F$348*F351&gt;0,STDEV(F$347:F$348,F351)," ")/IF(F$347*F$348*F351&gt;0,SQRT(COUNT(F$347:F$348,F351))," "),"")</f>
        <v/>
      </c>
      <c r="AK391" s="230" t="str">
        <f aca="false">IFERROR(IF(G$347*G$348*G351&gt;0,STDEV(G$347:G$348,G351)," ")/IF(G$347*G$348*G351&gt;0,SQRT(COUNT(G$347:G$348,G351))," "),"")</f>
        <v/>
      </c>
      <c r="AL391" s="230" t="str">
        <f aca="false">IFERROR(IF(H$347*H$348*H351&gt;0,STDEV(H$347:H$348,H351)," ")/IF(H$347*H$348*H351&gt;0,SQRT(COUNT(H$347:H$348,H351))," "),"")</f>
        <v/>
      </c>
      <c r="AM391" s="230" t="str">
        <f aca="false">IFERROR(IF(I$347*I$348*I351&gt;0,STDEV(I$347:I$348,I351)," ")/IF(I$347*I$348*I351&gt;0,SQRT(COUNT(I$347:I$348,I351))," "),"")</f>
        <v/>
      </c>
      <c r="AN391" s="230" t="str">
        <f aca="false">IFERROR(IF(J$347*J$348*J351&gt;0,STDEV(J$347:J$348,J351)," ")/IF(J$347*J$348*J351&gt;0,SQRT(COUNT(J$347:J$348,J351))," "),"")</f>
        <v/>
      </c>
      <c r="AO391" s="230" t="str">
        <f aca="false">IFERROR(IF(K$347*K$348*K351&gt;0,STDEV(K$347:K$348,K351)," ")/IF(K$347*K$348*K351&gt;0,SQRT(COUNT(K$347:K$348,K351))," "),"")</f>
        <v/>
      </c>
      <c r="AP391" s="230" t="str">
        <f aca="false">IFERROR(IF(L$347*L$348*L351&gt;0,STDEV(L$347:L$348,L351)," ")/IF(L$347*L$348*L351&gt;0,SQRT(COUNT(L$347:L$348,L351))," "),"")</f>
        <v/>
      </c>
      <c r="AQ391" s="230" t="str">
        <f aca="false">IFERROR(IF(M$347*M$348*M351&gt;0,STDEV(M$347:M$348,M351)," ")/IF(M$347*M$348*M351&gt;0,SQRT(COUNT(M$347:M$348,M351))," "),"")</f>
        <v/>
      </c>
      <c r="AR391" s="230" t="str">
        <f aca="false">IFERROR(IF(N$347*N$348*N351&gt;0,STDEV(N$347:N$348,N351)," ")/IF(N$347*N$348*N351&gt;0,SQRT(COUNT(N$347:N$348,N351))," "),"")</f>
        <v/>
      </c>
    </row>
    <row r="392" customFormat="false" ht="15.75" hidden="false" customHeight="false" outlineLevel="0" collapsed="false">
      <c r="A392" s="220" t="s">
        <v>356</v>
      </c>
      <c r="B392" s="221"/>
      <c r="C392" s="222" t="str">
        <f aca="false">IFERROR(IF(C$347*C$348*C352&gt;0,AVERAGE(C$347:C$348,C352),""),"")</f>
        <v/>
      </c>
      <c r="D392" s="222" t="str">
        <f aca="false">IFERROR(IF(D$347*D$348*D352&gt;0,AVERAGE(D$347:D$348,D352),""),"")</f>
        <v/>
      </c>
      <c r="E392" s="222" t="str">
        <f aca="false">IFERROR(IF(E$347*E$348*E352&gt;0,AVERAGE(E$347:E$348,E352),""),"")</f>
        <v/>
      </c>
      <c r="F392" s="222" t="str">
        <f aca="false">IFERROR(IF(F$347*F$348*F352&gt;0,AVERAGE(F$347:F$348,F352),""),"")</f>
        <v/>
      </c>
      <c r="G392" s="222" t="str">
        <f aca="false">IFERROR(IF(G$347*G$348*G352&gt;0,AVERAGE(G$347:G$348,G352),""),"")</f>
        <v/>
      </c>
      <c r="H392" s="222" t="str">
        <f aca="false">IFERROR(IF(H$347*H$348*H352&gt;0,AVERAGE(H$347:H$348,H352),""),"")</f>
        <v/>
      </c>
      <c r="I392" s="222" t="str">
        <f aca="false">IFERROR(IF(I$347*I$348*I352&gt;0,AVERAGE(I$347:I$348,I352),""),"")</f>
        <v/>
      </c>
      <c r="J392" s="222" t="str">
        <f aca="false">IFERROR(IF(J$347*J$348*J352&gt;0,AVERAGE(J$347:J$348,J352),""),"")</f>
        <v/>
      </c>
      <c r="K392" s="222" t="str">
        <f aca="false">IFERROR(IF(K$347*K$348*K352&gt;0,AVERAGE(K$347:K$348,K352),""),"")</f>
        <v/>
      </c>
      <c r="L392" s="222" t="str">
        <f aca="false">IFERROR(IF(L$347*L$348*L352&gt;0,AVERAGE(L$347:L$348,L352),""),"")</f>
        <v/>
      </c>
      <c r="M392" s="222" t="str">
        <f aca="false">IFERROR(IF(M$347*M$348*M352&gt;0,AVERAGE(M$347:M$348,M352),""),"")</f>
        <v/>
      </c>
      <c r="N392" s="222" t="str">
        <f aca="false">IFERROR(IF(N$347*N$348*N352&gt;0,AVERAGE(N$347:N$348,N352),""),"")</f>
        <v/>
      </c>
      <c r="O392" s="253"/>
      <c r="P392" s="253"/>
      <c r="Q392" s="254"/>
      <c r="R392" s="226" t="s">
        <v>357</v>
      </c>
      <c r="S392" s="227" t="str">
        <f aca="false">IFERROR(IF(C$347*C$348*C352&gt;0,STDEV(C$347:C$348,C352),"")/IF(C$347*C$348*C352&gt;0,AVERAGE(C$347:C$348,C352),""),"")</f>
        <v/>
      </c>
      <c r="T392" s="227" t="str">
        <f aca="false">IFERROR(IF(D$347*D$348*D352&gt;0,STDEV(D$347:D$348,D352),"")/IF(D$347*D$348*D352&gt;0,AVERAGE(D$347:D$348,D352),""),"")</f>
        <v/>
      </c>
      <c r="U392" s="227" t="str">
        <f aca="false">IFERROR(IF(E$347*E$348*E352&gt;0,STDEV(E$347:E$348,E352),"")/IF(E$347*E$348*E352&gt;0,AVERAGE(E$347:E$348,E352),""),"")</f>
        <v/>
      </c>
      <c r="V392" s="227" t="str">
        <f aca="false">IFERROR(IF(F$347*F$348*F352&gt;0,STDEV(F$347:F$348,F352),"")/IF(F$347*F$348*F352&gt;0,AVERAGE(F$347:F$348,F352),""),"")</f>
        <v/>
      </c>
      <c r="W392" s="227" t="str">
        <f aca="false">IFERROR(IF(G$347*G$348*G352&gt;0,STDEV(G$347:G$348,G352),"")/IF(G$347*G$348*G352&gt;0,AVERAGE(G$347:G$348,G352),""),"")</f>
        <v/>
      </c>
      <c r="X392" s="227" t="str">
        <f aca="false">IFERROR(IF(H$347*H$348*H352&gt;0,STDEV(H$347:H$348,H352),"")/IF(H$347*H$348*H352&gt;0,AVERAGE(H$347:H$348,H352),""),"")</f>
        <v/>
      </c>
      <c r="Y392" s="227" t="str">
        <f aca="false">IFERROR(IF(I$347*I$348*I352&gt;0,STDEV(I$347:I$348,I352),"")/IF(I$347*I$348*I352&gt;0,AVERAGE(I$347:I$348,I352),""),"")</f>
        <v/>
      </c>
      <c r="Z392" s="227" t="str">
        <f aca="false">IFERROR(IF(J$347*J$348*J352&gt;0,STDEV(J$347:J$348,J352),"")/IF(J$347*J$348*J352&gt;0,AVERAGE(J$347:J$348,J352),""),"")</f>
        <v/>
      </c>
      <c r="AA392" s="227" t="str">
        <f aca="false">IFERROR(IF(K$347*K$348*K352&gt;0,STDEV(K$347:K$348,K352),"")/IF(K$347*K$348*K352&gt;0,AVERAGE(K$347:K$348,K352),""),"")</f>
        <v/>
      </c>
      <c r="AB392" s="227" t="str">
        <f aca="false">IFERROR(IF(L$347*L$348*L352&gt;0,STDEV(L$347:L$348,L352),"")/IF(L$347*L$348*L352&gt;0,AVERAGE(L$347:L$348,L352),""),"")</f>
        <v/>
      </c>
      <c r="AC392" s="227" t="str">
        <f aca="false">IFERROR(IF(M$347*M$348*M352&gt;0,STDEV(M$347:M$348,M352),"")/IF(M$347*M$348*M352&gt;0,AVERAGE(M$347:M$348,M352),""),"")</f>
        <v/>
      </c>
      <c r="AD392" s="227" t="str">
        <f aca="false">IFERROR(IF(N$347*N$348*N352&gt;0,STDEV(N$347:N$348,N352),"")/IF(N$347*N$348*N352&gt;0,AVERAGE(N$347:N$348,N352),""),"")</f>
        <v/>
      </c>
      <c r="AE392" s="233"/>
      <c r="AF392" s="229" t="s">
        <v>358</v>
      </c>
      <c r="AG392" s="230" t="str">
        <f aca="false">IFERROR(IF(C$347*C$348*C352&gt;0,STDEV(C$347:C$348,C352)," ")/IF(C$347*C$348*C352&gt;0,SQRT(COUNT(C$347:C$348,C352))," "),"")</f>
        <v/>
      </c>
      <c r="AH392" s="230" t="str">
        <f aca="false">IFERROR(IF(D$347*D$348*D352&gt;0,STDEV(D$347:D$348,D352)," ")/IF(D$347*D$348*D352&gt;0,SQRT(COUNT(D$347:D$348,D352))," "),"")</f>
        <v/>
      </c>
      <c r="AI392" s="230" t="str">
        <f aca="false">IFERROR(IF(E$347*E$348*E352&gt;0,STDEV(E$347:E$348,E352)," ")/IF(E$347*E$348*E352&gt;0,SQRT(COUNT(E$347:E$348,E352))," "),"")</f>
        <v/>
      </c>
      <c r="AJ392" s="230" t="str">
        <f aca="false">IFERROR(IF(F$347*F$348*F352&gt;0,STDEV(F$347:F$348,F352)," ")/IF(F$347*F$348*F352&gt;0,SQRT(COUNT(F$347:F$348,F352))," "),"")</f>
        <v/>
      </c>
      <c r="AK392" s="230" t="str">
        <f aca="false">IFERROR(IF(G$347*G$348*G352&gt;0,STDEV(G$347:G$348,G352)," ")/IF(G$347*G$348*G352&gt;0,SQRT(COUNT(G$347:G$348,G352))," "),"")</f>
        <v/>
      </c>
      <c r="AL392" s="230" t="str">
        <f aca="false">IFERROR(IF(H$347*H$348*H352&gt;0,STDEV(H$347:H$348,H352)," ")/IF(H$347*H$348*H352&gt;0,SQRT(COUNT(H$347:H$348,H352))," "),"")</f>
        <v/>
      </c>
      <c r="AM392" s="230" t="str">
        <f aca="false">IFERROR(IF(I$347*I$348*I352&gt;0,STDEV(I$347:I$348,I352)," ")/IF(I$347*I$348*I352&gt;0,SQRT(COUNT(I$347:I$348,I352))," "),"")</f>
        <v/>
      </c>
      <c r="AN392" s="230" t="str">
        <f aca="false">IFERROR(IF(J$347*J$348*J352&gt;0,STDEV(J$347:J$348,J352)," ")/IF(J$347*J$348*J352&gt;0,SQRT(COUNT(J$347:J$348,J352))," "),"")</f>
        <v/>
      </c>
      <c r="AO392" s="230" t="str">
        <f aca="false">IFERROR(IF(K$347*K$348*K352&gt;0,STDEV(K$347:K$348,K352)," ")/IF(K$347*K$348*K352&gt;0,SQRT(COUNT(K$347:K$348,K352))," "),"")</f>
        <v/>
      </c>
      <c r="AP392" s="230" t="str">
        <f aca="false">IFERROR(IF(L$347*L$348*L352&gt;0,STDEV(L$347:L$348,L352)," ")/IF(L$347*L$348*L352&gt;0,SQRT(COUNT(L$347:L$348,L352))," "),"")</f>
        <v/>
      </c>
      <c r="AQ392" s="230" t="str">
        <f aca="false">IFERROR(IF(M$347*M$348*M352&gt;0,STDEV(M$347:M$348,M352)," ")/IF(M$347*M$348*M352&gt;0,SQRT(COUNT(M$347:M$348,M352))," "),"")</f>
        <v/>
      </c>
      <c r="AR392" s="230" t="str">
        <f aca="false">IFERROR(IF(N$347*N$348*N352&gt;0,STDEV(N$347:N$348,N352)," ")/IF(N$347*N$348*N352&gt;0,SQRT(COUNT(N$347:N$348,N352))," "),"")</f>
        <v/>
      </c>
    </row>
    <row r="393" customFormat="false" ht="15.75" hidden="false" customHeight="false" outlineLevel="0" collapsed="false">
      <c r="A393" s="220" t="s">
        <v>359</v>
      </c>
      <c r="B393" s="221"/>
      <c r="C393" s="222" t="str">
        <f aca="false">IFERROR(IF(C$347*C$348*C353&gt;0,AVERAGE(C$347:C$348,C353),""),"")</f>
        <v/>
      </c>
      <c r="D393" s="222" t="str">
        <f aca="false">IFERROR(IF(D$347*D$348*D353&gt;0,AVERAGE(D$347:D$348,D353),""),"")</f>
        <v/>
      </c>
      <c r="E393" s="222" t="str">
        <f aca="false">IFERROR(IF(E$347*E$348*E353&gt;0,AVERAGE(E$347:E$348,E353),""),"")</f>
        <v/>
      </c>
      <c r="F393" s="222" t="str">
        <f aca="false">IFERROR(IF(F$347*F$348*F353&gt;0,AVERAGE(F$347:F$348,F353),""),"")</f>
        <v/>
      </c>
      <c r="G393" s="222" t="str">
        <f aca="false">IFERROR(IF(G$347*G$348*G353&gt;0,AVERAGE(G$347:G$348,G353),""),"")</f>
        <v/>
      </c>
      <c r="H393" s="222" t="str">
        <f aca="false">IFERROR(IF(H$347*H$348*H353&gt;0,AVERAGE(H$347:H$348,H353),""),"")</f>
        <v/>
      </c>
      <c r="I393" s="222" t="str">
        <f aca="false">IFERROR(IF(I$347*I$348*I353&gt;0,AVERAGE(I$347:I$348,I353),""),"")</f>
        <v/>
      </c>
      <c r="J393" s="222" t="str">
        <f aca="false">IFERROR(IF(J$347*J$348*J353&gt;0,AVERAGE(J$347:J$348,J353),""),"")</f>
        <v/>
      </c>
      <c r="K393" s="222" t="str">
        <f aca="false">IFERROR(IF(K$347*K$348*K353&gt;0,AVERAGE(K$347:K$348,K353),""),"")</f>
        <v/>
      </c>
      <c r="L393" s="222" t="str">
        <f aca="false">IFERROR(IF(L$347*L$348*L353&gt;0,AVERAGE(L$347:L$348,L353),""),"")</f>
        <v/>
      </c>
      <c r="M393" s="222" t="str">
        <f aca="false">IFERROR(IF(M$347*M$348*M353&gt;0,AVERAGE(M$347:M$348,M353),""),"")</f>
        <v/>
      </c>
      <c r="N393" s="222" t="str">
        <f aca="false">IFERROR(IF(N$347*N$348*N353&gt;0,AVERAGE(N$347:N$348,N353),""),"")</f>
        <v/>
      </c>
      <c r="O393" s="253"/>
      <c r="P393" s="253"/>
      <c r="Q393" s="254"/>
      <c r="R393" s="226" t="s">
        <v>360</v>
      </c>
      <c r="S393" s="227" t="str">
        <f aca="false">IFERROR(IF(C$347*C$348*C353&gt;0,STDEV(C$347:C$348,C353),"")/IF(C$347*C$348*C353&gt;0,AVERAGE(C$347:C$348,C353),""),"")</f>
        <v/>
      </c>
      <c r="T393" s="227" t="str">
        <f aca="false">IFERROR(IF(D$347*D$348*D353&gt;0,STDEV(D$347:D$348,D353),"")/IF(D$347*D$348*D353&gt;0,AVERAGE(D$347:D$348,D353),""),"")</f>
        <v/>
      </c>
      <c r="U393" s="227" t="str">
        <f aca="false">IFERROR(IF(E$347*E$348*E353&gt;0,STDEV(E$347:E$348,E353),"")/IF(E$347*E$348*E353&gt;0,AVERAGE(E$347:E$348,E353),""),"")</f>
        <v/>
      </c>
      <c r="V393" s="227" t="str">
        <f aca="false">IFERROR(IF(F$347*F$348*F353&gt;0,STDEV(F$347:F$348,F353),"")/IF(F$347*F$348*F353&gt;0,AVERAGE(F$347:F$348,F353),""),"")</f>
        <v/>
      </c>
      <c r="W393" s="227" t="str">
        <f aca="false">IFERROR(IF(G$347*G$348*G353&gt;0,STDEV(G$347:G$348,G353),"")/IF(G$347*G$348*G353&gt;0,AVERAGE(G$347:G$348,G353),""),"")</f>
        <v/>
      </c>
      <c r="X393" s="227" t="str">
        <f aca="false">IFERROR(IF(H$347*H$348*H353&gt;0,STDEV(H$347:H$348,H353),"")/IF(H$347*H$348*H353&gt;0,AVERAGE(H$347:H$348,H353),""),"")</f>
        <v/>
      </c>
      <c r="Y393" s="227" t="str">
        <f aca="false">IFERROR(IF(I$347*I$348*I353&gt;0,STDEV(I$347:I$348,I353),"")/IF(I$347*I$348*I353&gt;0,AVERAGE(I$347:I$348,I353),""),"")</f>
        <v/>
      </c>
      <c r="Z393" s="227" t="str">
        <f aca="false">IFERROR(IF(J$347*J$348*J353&gt;0,STDEV(J$347:J$348,J353),"")/IF(J$347*J$348*J353&gt;0,AVERAGE(J$347:J$348,J353),""),"")</f>
        <v/>
      </c>
      <c r="AA393" s="227" t="str">
        <f aca="false">IFERROR(IF(K$347*K$348*K353&gt;0,STDEV(K$347:K$348,K353),"")/IF(K$347*K$348*K353&gt;0,AVERAGE(K$347:K$348,K353),""),"")</f>
        <v/>
      </c>
      <c r="AB393" s="227" t="str">
        <f aca="false">IFERROR(IF(L$347*L$348*L353&gt;0,STDEV(L$347:L$348,L353),"")/IF(L$347*L$348*L353&gt;0,AVERAGE(L$347:L$348,L353),""),"")</f>
        <v/>
      </c>
      <c r="AC393" s="227" t="str">
        <f aca="false">IFERROR(IF(M$347*M$348*M353&gt;0,STDEV(M$347:M$348,M353),"")/IF(M$347*M$348*M353&gt;0,AVERAGE(M$347:M$348,M353),""),"")</f>
        <v/>
      </c>
      <c r="AD393" s="227" t="str">
        <f aca="false">IFERROR(IF(N$347*N$348*N353&gt;0,STDEV(N$347:N$348,N353),"")/IF(N$347*N$348*N353&gt;0,AVERAGE(N$347:N$348,N353),""),"")</f>
        <v/>
      </c>
      <c r="AE393" s="233"/>
      <c r="AF393" s="229" t="s">
        <v>361</v>
      </c>
      <c r="AG393" s="230" t="str">
        <f aca="false">IFERROR(IF(C$347*C$348*C353&gt;0,STDEV(C$347:C$348,C353)," ")/IF(C$347*C$348*C353&gt;0,SQRT(COUNT(C$347:C$348,C353))," "),"")</f>
        <v/>
      </c>
      <c r="AH393" s="230" t="str">
        <f aca="false">IFERROR(IF(D$347*D$348*D353&gt;0,STDEV(D$347:D$348,D353)," ")/IF(D$347*D$348*D353&gt;0,SQRT(COUNT(D$347:D$348,D353))," "),"")</f>
        <v/>
      </c>
      <c r="AI393" s="230" t="str">
        <f aca="false">IFERROR(IF(E$347*E$348*E353&gt;0,STDEV(E$347:E$348,E353)," ")/IF(E$347*E$348*E353&gt;0,SQRT(COUNT(E$347:E$348,E353))," "),"")</f>
        <v/>
      </c>
      <c r="AJ393" s="230" t="str">
        <f aca="false">IFERROR(IF(F$347*F$348*F353&gt;0,STDEV(F$347:F$348,F353)," ")/IF(F$347*F$348*F353&gt;0,SQRT(COUNT(F$347:F$348,F353))," "),"")</f>
        <v/>
      </c>
      <c r="AK393" s="230" t="str">
        <f aca="false">IFERROR(IF(G$347*G$348*G353&gt;0,STDEV(G$347:G$348,G353)," ")/IF(G$347*G$348*G353&gt;0,SQRT(COUNT(G$347:G$348,G353))," "),"")</f>
        <v/>
      </c>
      <c r="AL393" s="230" t="str">
        <f aca="false">IFERROR(IF(H$347*H$348*H353&gt;0,STDEV(H$347:H$348,H353)," ")/IF(H$347*H$348*H353&gt;0,SQRT(COUNT(H$347:H$348,H353))," "),"")</f>
        <v/>
      </c>
      <c r="AM393" s="230" t="str">
        <f aca="false">IFERROR(IF(I$347*I$348*I353&gt;0,STDEV(I$347:I$348,I353)," ")/IF(I$347*I$348*I353&gt;0,SQRT(COUNT(I$347:I$348,I353))," "),"")</f>
        <v/>
      </c>
      <c r="AN393" s="230" t="str">
        <f aca="false">IFERROR(IF(J$347*J$348*J353&gt;0,STDEV(J$347:J$348,J353)," ")/IF(J$347*J$348*J353&gt;0,SQRT(COUNT(J$347:J$348,J353))," "),"")</f>
        <v/>
      </c>
      <c r="AO393" s="230" t="str">
        <f aca="false">IFERROR(IF(K$347*K$348*K353&gt;0,STDEV(K$347:K$348,K353)," ")/IF(K$347*K$348*K353&gt;0,SQRT(COUNT(K$347:K$348,K353))," "),"")</f>
        <v/>
      </c>
      <c r="AP393" s="230" t="str">
        <f aca="false">IFERROR(IF(L$347*L$348*L353&gt;0,STDEV(L$347:L$348,L353)," ")/IF(L$347*L$348*L353&gt;0,SQRT(COUNT(L$347:L$348,L353))," "),"")</f>
        <v/>
      </c>
      <c r="AQ393" s="230" t="str">
        <f aca="false">IFERROR(IF(M$347*M$348*M353&gt;0,STDEV(M$347:M$348,M353)," ")/IF(M$347*M$348*M353&gt;0,SQRT(COUNT(M$347:M$348,M353))," "),"")</f>
        <v/>
      </c>
      <c r="AR393" s="230" t="str">
        <f aca="false">IFERROR(IF(N$347*N$348*N353&gt;0,STDEV(N$347:N$348,N353)," ")/IF(N$347*N$348*N353&gt;0,SQRT(COUNT(N$347:N$348,N353))," "),"")</f>
        <v/>
      </c>
    </row>
    <row r="394" customFormat="false" ht="15.75" hidden="false" customHeight="false" outlineLevel="0" collapsed="false">
      <c r="A394" s="220" t="s">
        <v>253</v>
      </c>
      <c r="B394" s="221"/>
      <c r="C394" s="222" t="str">
        <f aca="false">IFERROR(IF(C$348*C$349*C350&gt;0,AVERAGE(C$348:C$349,C350),""),"")</f>
        <v/>
      </c>
      <c r="D394" s="222" t="str">
        <f aca="false">IFERROR(IF(D$348*D$349*D350&gt;0,AVERAGE(D$348:D$349,D350),""),"")</f>
        <v/>
      </c>
      <c r="E394" s="222" t="str">
        <f aca="false">IFERROR(IF(E$348*E$349*E350&gt;0,AVERAGE(E$348:E$349,E350),""),"")</f>
        <v/>
      </c>
      <c r="F394" s="222" t="str">
        <f aca="false">IFERROR(IF(F$348*F$349*F350&gt;0,AVERAGE(F$348:F$349,F350),""),"")</f>
        <v/>
      </c>
      <c r="G394" s="222" t="str">
        <f aca="false">IFERROR(IF(G$348*G$349*G350&gt;0,AVERAGE(G$348:G$349,G350),""),"")</f>
        <v/>
      </c>
      <c r="H394" s="222" t="str">
        <f aca="false">IFERROR(IF(H$348*H$349*H350&gt;0,AVERAGE(H$348:H$349,H350),""),"")</f>
        <v/>
      </c>
      <c r="I394" s="222" t="str">
        <f aca="false">IFERROR(IF(I$348*I$349*I350&gt;0,AVERAGE(I$348:I$349,I350),""),"")</f>
        <v/>
      </c>
      <c r="J394" s="222" t="str">
        <f aca="false">IFERROR(IF(J$348*J$349*J350&gt;0,AVERAGE(J$348:J$349,J350),""),"")</f>
        <v/>
      </c>
      <c r="K394" s="222" t="str">
        <f aca="false">IFERROR(IF(K$348*K$349*K350&gt;0,AVERAGE(K$348:K$349,K350),""),"")</f>
        <v/>
      </c>
      <c r="L394" s="222" t="str">
        <f aca="false">IFERROR(IF(L$348*L$349*L350&gt;0,AVERAGE(L$348:L$349,L350),""),"")</f>
        <v/>
      </c>
      <c r="M394" s="222" t="str">
        <f aca="false">IFERROR(IF(M$348*M$349*M350&gt;0,AVERAGE(M$348:M$349,M350),""),"")</f>
        <v/>
      </c>
      <c r="N394" s="222" t="str">
        <f aca="false">IFERROR(IF(N$348*N$349*N350&gt;0,AVERAGE(N$348:N$349,N350),""),"")</f>
        <v/>
      </c>
      <c r="O394" s="237"/>
      <c r="P394" s="253"/>
      <c r="Q394" s="255"/>
      <c r="R394" s="226" t="s">
        <v>362</v>
      </c>
      <c r="S394" s="227" t="str">
        <f aca="false">IFERROR(IF(C$348*C$349*C350&gt;0,STDEV(C$348:C$349,C350),"")/IF(C$348*C$349*C350&gt;0,AVERAGE(C$348:C$349,C350),""),"")</f>
        <v/>
      </c>
      <c r="T394" s="227" t="str">
        <f aca="false">IFERROR(IF(D$348*D$349*D350&gt;0,STDEV(D$348:D$349,D350),"")/IF(D$348*D$349*D350&gt;0,AVERAGE(D$348:D$349,D350),""),"")</f>
        <v/>
      </c>
      <c r="U394" s="227" t="str">
        <f aca="false">IFERROR(IF(E$348*E$349*E350&gt;0,STDEV(E$348:E$349,E350),"")/IF(E$348*E$349*E350&gt;0,AVERAGE(E$348:E$349,E350),""),"")</f>
        <v/>
      </c>
      <c r="V394" s="227" t="str">
        <f aca="false">IFERROR(IF(F$348*F$349*F350&gt;0,STDEV(F$348:F$349,F350),"")/IF(F$348*F$349*F350&gt;0,AVERAGE(F$348:F$349,F350),""),"")</f>
        <v/>
      </c>
      <c r="W394" s="227" t="str">
        <f aca="false">IFERROR(IF(G$348*G$349*G350&gt;0,STDEV(G$348:G$349,G350),"")/IF(G$348*G$349*G350&gt;0,AVERAGE(G$348:G$349,G350),""),"")</f>
        <v/>
      </c>
      <c r="X394" s="227" t="str">
        <f aca="false">IFERROR(IF(H$348*H$349*H350&gt;0,STDEV(H$348:H$349,H350),"")/IF(H$348*H$349*H350&gt;0,AVERAGE(H$348:H$349,H350),""),"")</f>
        <v/>
      </c>
      <c r="Y394" s="227" t="str">
        <f aca="false">IFERROR(IF(I$348*I$349*I350&gt;0,STDEV(I$348:I$349,I350),"")/IF(I$348*I$349*I350&gt;0,AVERAGE(I$348:I$349,I350),""),"")</f>
        <v/>
      </c>
      <c r="Z394" s="227" t="str">
        <f aca="false">IFERROR(IF(J$348*J$349*J350&gt;0,STDEV(J$348:J$349,J350),"")/IF(J$348*J$349*J350&gt;0,AVERAGE(J$348:J$349,J350),""),"")</f>
        <v/>
      </c>
      <c r="AA394" s="227" t="str">
        <f aca="false">IFERROR(IF(K$348*K$349*K350&gt;0,STDEV(K$348:K$349,K350),"")/IF(K$348*K$349*K350&gt;0,AVERAGE(K$348:K$349,K350),""),"")</f>
        <v/>
      </c>
      <c r="AB394" s="227" t="str">
        <f aca="false">IFERROR(IF(L$348*L$349*L350&gt;0,STDEV(L$348:L$349,L350),"")/IF(L$348*L$349*L350&gt;0,AVERAGE(L$348:L$349,L350),""),"")</f>
        <v/>
      </c>
      <c r="AC394" s="227" t="str">
        <f aca="false">IFERROR(IF(M$348*M$349*M350&gt;0,STDEV(M$348:M$349,M350),"")/IF(M$348*M$349*M350&gt;0,AVERAGE(M$348:M$349,M350),""),"")</f>
        <v/>
      </c>
      <c r="AD394" s="227" t="str">
        <f aca="false">IFERROR(IF(N$348*N$349*N350&gt;0,STDEV(N$348:N$349,N350),"")/IF(N$348*N$349*N350&gt;0,AVERAGE(N$348:N$349,N350),""),"")</f>
        <v/>
      </c>
      <c r="AE394" s="233"/>
      <c r="AF394" s="229" t="s">
        <v>635</v>
      </c>
      <c r="AG394" s="230" t="str">
        <f aca="false">IFERROR(IF(C$348*C$349*C350&gt;0,STDEV(C$348:C$349,C350)," ")/IF(C$348*C$349*C350&gt;0,SQRT(COUNT(C$348:C$349,C350))," "),"")</f>
        <v/>
      </c>
      <c r="AH394" s="230" t="str">
        <f aca="false">IFERROR(IF(D$348*D$349*D350&gt;0,STDEV(D$348:D$349,D350)," ")/IF(D$348*D$349*D350&gt;0,SQRT(COUNT(D$348:D$349,D350))," "),"")</f>
        <v/>
      </c>
      <c r="AI394" s="230" t="str">
        <f aca="false">IFERROR(IF(E$348*E$349*E350&gt;0,STDEV(E$348:E$349,E350)," ")/IF(E$348*E$349*E350&gt;0,SQRT(COUNT(E$348:E$349,E350))," "),"")</f>
        <v/>
      </c>
      <c r="AJ394" s="230" t="str">
        <f aca="false">IFERROR(IF(F$348*F$349*F350&gt;0,STDEV(F$348:F$349,F350)," ")/IF(F$348*F$349*F350&gt;0,SQRT(COUNT(F$348:F$349,F350))," "),"")</f>
        <v/>
      </c>
      <c r="AK394" s="230" t="str">
        <f aca="false">IFERROR(IF(G$348*G$349*G350&gt;0,STDEV(G$348:G$349,G350)," ")/IF(G$348*G$349*G350&gt;0,SQRT(COUNT(G$348:G$349,G350))," "),"")</f>
        <v/>
      </c>
      <c r="AL394" s="230" t="str">
        <f aca="false">IFERROR(IF(H$348*H$349*H350&gt;0,STDEV(H$348:H$349,H350)," ")/IF(H$348*H$349*H350&gt;0,SQRT(COUNT(H$348:H$349,H350))," "),"")</f>
        <v/>
      </c>
      <c r="AM394" s="230" t="str">
        <f aca="false">IFERROR(IF(I$348*I$349*I350&gt;0,STDEV(I$348:I$349,I350)," ")/IF(I$348*I$349*I350&gt;0,SQRT(COUNT(I$348:I$349,I350))," "),"")</f>
        <v/>
      </c>
      <c r="AN394" s="230" t="str">
        <f aca="false">IFERROR(IF(J$348*J$349*J350&gt;0,STDEV(J$348:J$349,J350)," ")/IF(J$348*J$349*J350&gt;0,SQRT(COUNT(J$348:J$349,J350))," "),"")</f>
        <v/>
      </c>
      <c r="AO394" s="230" t="str">
        <f aca="false">IFERROR(IF(K$348*K$349*K350&gt;0,STDEV(K$348:K$349,K350)," ")/IF(K$348*K$349*K350&gt;0,SQRT(COUNT(K$348:K$349,K350))," "),"")</f>
        <v/>
      </c>
      <c r="AP394" s="230" t="str">
        <f aca="false">IFERROR(IF(L$348*L$349*L350&gt;0,STDEV(L$348:L$349,L350)," ")/IF(L$348*L$349*L350&gt;0,SQRT(COUNT(L$348:L$349,L350))," "),"")</f>
        <v/>
      </c>
      <c r="AQ394" s="230" t="str">
        <f aca="false">IFERROR(IF(M$348*M$349*M350&gt;0,STDEV(M$348:M$349,M350)," ")/IF(M$348*M$349*M350&gt;0,SQRT(COUNT(M$348:M$349,M350))," "),"")</f>
        <v/>
      </c>
      <c r="AR394" s="230" t="str">
        <f aca="false">IFERROR(IF(N$348*N$349*N350&gt;0,STDEV(N$348:N$349,N350)," ")/IF(N$348*N$349*N350&gt;0,SQRT(COUNT(N$348:N$349,N350))," "),"")</f>
        <v/>
      </c>
    </row>
    <row r="395" customFormat="false" ht="15.75" hidden="false" customHeight="false" outlineLevel="0" collapsed="false">
      <c r="A395" s="220" t="s">
        <v>254</v>
      </c>
      <c r="B395" s="221"/>
      <c r="C395" s="222" t="str">
        <f aca="false">IFERROR(IF(C$348*C$349*C351&gt;0,AVERAGE(C$348:C$349,C351),""),"")</f>
        <v/>
      </c>
      <c r="D395" s="222" t="str">
        <f aca="false">IFERROR(IF(D$348*D$349*D351&gt;0,AVERAGE(D$348:D$349,D351),""),"")</f>
        <v/>
      </c>
      <c r="E395" s="222" t="str">
        <f aca="false">IFERROR(IF(E$348*E$349*E351&gt;0,AVERAGE(E$348:E$349,E351),""),"")</f>
        <v/>
      </c>
      <c r="F395" s="222" t="str">
        <f aca="false">IFERROR(IF(F$348*F$349*F351&gt;0,AVERAGE(F$348:F$349,F351),""),"")</f>
        <v/>
      </c>
      <c r="G395" s="222" t="str">
        <f aca="false">IFERROR(IF(G$348*G$349*G351&gt;0,AVERAGE(G$348:G$349,G351),""),"")</f>
        <v/>
      </c>
      <c r="H395" s="222" t="str">
        <f aca="false">IFERROR(IF(H$348*H$349*H351&gt;0,AVERAGE(H$348:H$349,H351),""),"")</f>
        <v/>
      </c>
      <c r="I395" s="222" t="str">
        <f aca="false">IFERROR(IF(I$348*I$349*I351&gt;0,AVERAGE(I$348:I$349,I351),""),"")</f>
        <v/>
      </c>
      <c r="J395" s="222" t="str">
        <f aca="false">IFERROR(IF(J$348*J$349*J351&gt;0,AVERAGE(J$348:J$349,J351),""),"")</f>
        <v/>
      </c>
      <c r="K395" s="222" t="str">
        <f aca="false">IFERROR(IF(K$348*K$349*K351&gt;0,AVERAGE(K$348:K$349,K351),""),"")</f>
        <v/>
      </c>
      <c r="L395" s="222" t="str">
        <f aca="false">IFERROR(IF(L$348*L$349*L351&gt;0,AVERAGE(L$348:L$349,L351),""),"")</f>
        <v/>
      </c>
      <c r="M395" s="222" t="str">
        <f aca="false">IFERROR(IF(M$348*M$349*M351&gt;0,AVERAGE(M$348:M$349,M351),""),"")</f>
        <v/>
      </c>
      <c r="N395" s="222" t="str">
        <f aca="false">IFERROR(IF(N$348*N$349*N351&gt;0,AVERAGE(N$348:N$349,N351),""),"")</f>
        <v/>
      </c>
      <c r="O395" s="253"/>
      <c r="P395" s="253"/>
      <c r="Q395" s="254"/>
      <c r="R395" s="226" t="s">
        <v>364</v>
      </c>
      <c r="S395" s="227" t="str">
        <f aca="false">IFERROR(IF(C$348*C$349*C351&gt;0,STDEV(C$348:C$349,C351),"")/IF(C$348*C$349*C351&gt;0,AVERAGE(C$348:C$349,C351),""),"")</f>
        <v/>
      </c>
      <c r="T395" s="227" t="str">
        <f aca="false">IFERROR(IF(D$348*D$349*D351&gt;0,STDEV(D$348:D$349,D351),"")/IF(D$348*D$349*D351&gt;0,AVERAGE(D$348:D$349,D351),""),"")</f>
        <v/>
      </c>
      <c r="U395" s="227" t="str">
        <f aca="false">IFERROR(IF(E$348*E$349*E351&gt;0,STDEV(E$348:E$349,E351),"")/IF(E$348*E$349*E351&gt;0,AVERAGE(E$348:E$349,E351),""),"")</f>
        <v/>
      </c>
      <c r="V395" s="227" t="str">
        <f aca="false">IFERROR(IF(F$348*F$349*F351&gt;0,STDEV(F$348:F$349,F351),"")/IF(F$348*F$349*F351&gt;0,AVERAGE(F$348:F$349,F351),""),"")</f>
        <v/>
      </c>
      <c r="W395" s="227" t="str">
        <f aca="false">IFERROR(IF(G$348*G$349*G351&gt;0,STDEV(G$348:G$349,G351),"")/IF(G$348*G$349*G351&gt;0,AVERAGE(G$348:G$349,G351),""),"")</f>
        <v/>
      </c>
      <c r="X395" s="227" t="str">
        <f aca="false">IFERROR(IF(H$348*H$349*H351&gt;0,STDEV(H$348:H$349,H351),"")/IF(H$348*H$349*H351&gt;0,AVERAGE(H$348:H$349,H351),""),"")</f>
        <v/>
      </c>
      <c r="Y395" s="227" t="str">
        <f aca="false">IFERROR(IF(I$348*I$349*I351&gt;0,STDEV(I$348:I$349,I351),"")/IF(I$348*I$349*I351&gt;0,AVERAGE(I$348:I$349,I351),""),"")</f>
        <v/>
      </c>
      <c r="Z395" s="227" t="str">
        <f aca="false">IFERROR(IF(J$348*J$349*J351&gt;0,STDEV(J$348:J$349,J351),"")/IF(J$348*J$349*J351&gt;0,AVERAGE(J$348:J$349,J351),""),"")</f>
        <v/>
      </c>
      <c r="AA395" s="227" t="str">
        <f aca="false">IFERROR(IF(K$348*K$349*K351&gt;0,STDEV(K$348:K$349,K351),"")/IF(K$348*K$349*K351&gt;0,AVERAGE(K$348:K$349,K351),""),"")</f>
        <v/>
      </c>
      <c r="AB395" s="227" t="str">
        <f aca="false">IFERROR(IF(L$348*L$349*L351&gt;0,STDEV(L$348:L$349,L351),"")/IF(L$348*L$349*L351&gt;0,AVERAGE(L$348:L$349,L351),""),"")</f>
        <v/>
      </c>
      <c r="AC395" s="227" t="str">
        <f aca="false">IFERROR(IF(M$348*M$349*M351&gt;0,STDEV(M$348:M$349,M351),"")/IF(M$348*M$349*M351&gt;0,AVERAGE(M$348:M$349,M351),""),"")</f>
        <v/>
      </c>
      <c r="AD395" s="227" t="str">
        <f aca="false">IFERROR(IF(N$348*N$349*N351&gt;0,STDEV(N$348:N$349,N351),"")/IF(N$348*N$349*N351&gt;0,AVERAGE(N$348:N$349,N351),""),"")</f>
        <v/>
      </c>
      <c r="AE395" s="256"/>
      <c r="AF395" s="229" t="s">
        <v>636</v>
      </c>
      <c r="AG395" s="230" t="str">
        <f aca="false">IFERROR(IF(C$348*C$349*C351&gt;0,STDEV(C$348:C$349,C351)," ")/IF(C$348*C$349*C351&gt;0,SQRT(COUNT(C$348:C$349,C351))," "),"")</f>
        <v/>
      </c>
      <c r="AH395" s="230" t="str">
        <f aca="false">IFERROR(IF(D$348*D$349*D351&gt;0,STDEV(D$348:D$349,D351)," ")/IF(D$348*D$349*D351&gt;0,SQRT(COUNT(D$348:D$349,D351))," "),"")</f>
        <v/>
      </c>
      <c r="AI395" s="230" t="str">
        <f aca="false">IFERROR(IF(E$348*E$349*E351&gt;0,STDEV(E$348:E$349,E351)," ")/IF(E$348*E$349*E351&gt;0,SQRT(COUNT(E$348:E$349,E351))," "),"")</f>
        <v/>
      </c>
      <c r="AJ395" s="230" t="str">
        <f aca="false">IFERROR(IF(F$348*F$349*F351&gt;0,STDEV(F$348:F$349,F351)," ")/IF(F$348*F$349*F351&gt;0,SQRT(COUNT(F$348:F$349,F351))," "),"")</f>
        <v/>
      </c>
      <c r="AK395" s="230" t="str">
        <f aca="false">IFERROR(IF(G$348*G$349*G351&gt;0,STDEV(G$348:G$349,G351)," ")/IF(G$348*G$349*G351&gt;0,SQRT(COUNT(G$348:G$349,G351))," "),"")</f>
        <v/>
      </c>
      <c r="AL395" s="230" t="str">
        <f aca="false">IFERROR(IF(H$348*H$349*H351&gt;0,STDEV(H$348:H$349,H351)," ")/IF(H$348*H$349*H351&gt;0,SQRT(COUNT(H$348:H$349,H351))," "),"")</f>
        <v/>
      </c>
      <c r="AM395" s="230" t="str">
        <f aca="false">IFERROR(IF(I$348*I$349*I351&gt;0,STDEV(I$348:I$349,I351)," ")/IF(I$348*I$349*I351&gt;0,SQRT(COUNT(I$348:I$349,I351))," "),"")</f>
        <v/>
      </c>
      <c r="AN395" s="230" t="str">
        <f aca="false">IFERROR(IF(J$348*J$349*J351&gt;0,STDEV(J$348:J$349,J351)," ")/IF(J$348*J$349*J351&gt;0,SQRT(COUNT(J$348:J$349,J351))," "),"")</f>
        <v/>
      </c>
      <c r="AO395" s="230" t="str">
        <f aca="false">IFERROR(IF(K$348*K$349*K351&gt;0,STDEV(K$348:K$349,K351)," ")/IF(K$348*K$349*K351&gt;0,SQRT(COUNT(K$348:K$349,K351))," "),"")</f>
        <v/>
      </c>
      <c r="AP395" s="230" t="str">
        <f aca="false">IFERROR(IF(L$348*L$349*L351&gt;0,STDEV(L$348:L$349,L351)," ")/IF(L$348*L$349*L351&gt;0,SQRT(COUNT(L$348:L$349,L351))," "),"")</f>
        <v/>
      </c>
      <c r="AQ395" s="230" t="str">
        <f aca="false">IFERROR(IF(M$348*M$349*M351&gt;0,STDEV(M$348:M$349,M351)," ")/IF(M$348*M$349*M351&gt;0,SQRT(COUNT(M$348:M$349,M351))," "),"")</f>
        <v/>
      </c>
      <c r="AR395" s="230" t="str">
        <f aca="false">IFERROR(IF(N$348*N$349*N351&gt;0,STDEV(N$348:N$349,N351)," ")/IF(N$348*N$349*N351&gt;0,SQRT(COUNT(N$348:N$349,N351))," "),"")</f>
        <v/>
      </c>
    </row>
    <row r="396" customFormat="false" ht="15.75" hidden="false" customHeight="false" outlineLevel="0" collapsed="false">
      <c r="A396" s="220" t="s">
        <v>255</v>
      </c>
      <c r="B396" s="221"/>
      <c r="C396" s="222" t="str">
        <f aca="false">IFERROR(IF(C$348*C$349*C352&gt;0,AVERAGE(C$348:C$349,C352),""),"")</f>
        <v/>
      </c>
      <c r="D396" s="222" t="str">
        <f aca="false">IFERROR(IF(D$348*D$349*D352&gt;0,AVERAGE(D$348:D$349,D352),""),"")</f>
        <v/>
      </c>
      <c r="E396" s="222" t="str">
        <f aca="false">IFERROR(IF(E$348*E$349*E352&gt;0,AVERAGE(E$348:E$349,E352),""),"")</f>
        <v/>
      </c>
      <c r="F396" s="222" t="str">
        <f aca="false">IFERROR(IF(F$348*F$349*F352&gt;0,AVERAGE(F$348:F$349,F352),""),"")</f>
        <v/>
      </c>
      <c r="G396" s="222" t="str">
        <f aca="false">IFERROR(IF(G$348*G$349*G352&gt;0,AVERAGE(G$348:G$349,G352),""),"")</f>
        <v/>
      </c>
      <c r="H396" s="222" t="str">
        <f aca="false">IFERROR(IF(H$348*H$349*H352&gt;0,AVERAGE(H$348:H$349,H352),""),"")</f>
        <v/>
      </c>
      <c r="I396" s="222" t="str">
        <f aca="false">IFERROR(IF(I$348*I$349*I352&gt;0,AVERAGE(I$348:I$349,I352),""),"")</f>
        <v/>
      </c>
      <c r="J396" s="222" t="str">
        <f aca="false">IFERROR(IF(J$348*J$349*J352&gt;0,AVERAGE(J$348:J$349,J352),""),"")</f>
        <v/>
      </c>
      <c r="K396" s="222" t="str">
        <f aca="false">IFERROR(IF(K$348*K$349*K352&gt;0,AVERAGE(K$348:K$349,K352),""),"")</f>
        <v/>
      </c>
      <c r="L396" s="222" t="str">
        <f aca="false">IFERROR(IF(L$348*L$349*L352&gt;0,AVERAGE(L$348:L$349,L352),""),"")</f>
        <v/>
      </c>
      <c r="M396" s="222" t="str">
        <f aca="false">IFERROR(IF(M$348*M$349*M352&gt;0,AVERAGE(M$348:M$349,M352),""),"")</f>
        <v/>
      </c>
      <c r="N396" s="222" t="str">
        <f aca="false">IFERROR(IF(N$348*N$349*N352&gt;0,AVERAGE(N$348:N$349,N352),""),"")</f>
        <v/>
      </c>
      <c r="O396" s="257"/>
      <c r="P396" s="253"/>
      <c r="Q396" s="254"/>
      <c r="R396" s="226" t="s">
        <v>366</v>
      </c>
      <c r="S396" s="227" t="str">
        <f aca="false">IFERROR(IF(C$348*C$349*C352&gt;0,STDEV(C$348:C$349,C352),"")/IF(C$348*C$349*C352&gt;0,AVERAGE(C$348:C$349,C352),""),"")</f>
        <v/>
      </c>
      <c r="T396" s="227" t="str">
        <f aca="false">IFERROR(IF(D$348*D$349*D352&gt;0,STDEV(D$348:D$349,D352),"")/IF(D$348*D$349*D352&gt;0,AVERAGE(D$348:D$349,D352),""),"")</f>
        <v/>
      </c>
      <c r="U396" s="227" t="str">
        <f aca="false">IFERROR(IF(E$348*E$349*E352&gt;0,STDEV(E$348:E$349,E352),"")/IF(E$348*E$349*E352&gt;0,AVERAGE(E$348:E$349,E352),""),"")</f>
        <v/>
      </c>
      <c r="V396" s="227" t="str">
        <f aca="false">IFERROR(IF(F$348*F$349*F352&gt;0,STDEV(F$348:F$349,F352),"")/IF(F$348*F$349*F352&gt;0,AVERAGE(F$348:F$349,F352),""),"")</f>
        <v/>
      </c>
      <c r="W396" s="227" t="str">
        <f aca="false">IFERROR(IF(G$348*G$349*G352&gt;0,STDEV(G$348:G$349,G352),"")/IF(G$348*G$349*G352&gt;0,AVERAGE(G$348:G$349,G352),""),"")</f>
        <v/>
      </c>
      <c r="X396" s="227" t="str">
        <f aca="false">IFERROR(IF(H$348*H$349*H352&gt;0,STDEV(H$348:H$349,H352),"")/IF(H$348*H$349*H352&gt;0,AVERAGE(H$348:H$349,H352),""),"")</f>
        <v/>
      </c>
      <c r="Y396" s="227" t="str">
        <f aca="false">IFERROR(IF(I$348*I$349*I352&gt;0,STDEV(I$348:I$349,I352),"")/IF(I$348*I$349*I352&gt;0,AVERAGE(I$348:I$349,I352),""),"")</f>
        <v/>
      </c>
      <c r="Z396" s="227" t="str">
        <f aca="false">IFERROR(IF(J$348*J$349*J352&gt;0,STDEV(J$348:J$349,J352),"")/IF(J$348*J$349*J352&gt;0,AVERAGE(J$348:J$349,J352),""),"")</f>
        <v/>
      </c>
      <c r="AA396" s="227" t="str">
        <f aca="false">IFERROR(IF(K$348*K$349*K352&gt;0,STDEV(K$348:K$349,K352),"")/IF(K$348*K$349*K352&gt;0,AVERAGE(K$348:K$349,K352),""),"")</f>
        <v/>
      </c>
      <c r="AB396" s="227" t="str">
        <f aca="false">IFERROR(IF(L$348*L$349*L352&gt;0,STDEV(L$348:L$349,L352),"")/IF(L$348*L$349*L352&gt;0,AVERAGE(L$348:L$349,L352),""),"")</f>
        <v/>
      </c>
      <c r="AC396" s="227" t="str">
        <f aca="false">IFERROR(IF(M$348*M$349*M352&gt;0,STDEV(M$348:M$349,M352),"")/IF(M$348*M$349*M352&gt;0,AVERAGE(M$348:M$349,M352),""),"")</f>
        <v/>
      </c>
      <c r="AD396" s="227" t="str">
        <f aca="false">IFERROR(IF(N$348*N$349*N352&gt;0,STDEV(N$348:N$349,N352),"")/IF(N$348*N$349*N352&gt;0,AVERAGE(N$348:N$349,N352),""),"")</f>
        <v/>
      </c>
      <c r="AE396" s="228"/>
      <c r="AF396" s="229" t="s">
        <v>637</v>
      </c>
      <c r="AG396" s="230" t="str">
        <f aca="false">IFERROR(IF(C$348*C$349*C352&gt;0,STDEV(C$348:C$349,C352)," ")/IF(C$348*C$349*C352&gt;0,SQRT(COUNT(C$348:C$349,C352))," "),"")</f>
        <v/>
      </c>
      <c r="AH396" s="230" t="str">
        <f aca="false">IFERROR(IF(D$348*D$349*D352&gt;0,STDEV(D$348:D$349,D352)," ")/IF(D$348*D$349*D352&gt;0,SQRT(COUNT(D$348:D$349,D352))," "),"")</f>
        <v/>
      </c>
      <c r="AI396" s="230" t="str">
        <f aca="false">IFERROR(IF(E$348*E$349*E352&gt;0,STDEV(E$348:E$349,E352)," ")/IF(E$348*E$349*E352&gt;0,SQRT(COUNT(E$348:E$349,E352))," "),"")</f>
        <v/>
      </c>
      <c r="AJ396" s="230" t="str">
        <f aca="false">IFERROR(IF(F$348*F$349*F352&gt;0,STDEV(F$348:F$349,F352)," ")/IF(F$348*F$349*F352&gt;0,SQRT(COUNT(F$348:F$349,F352))," "),"")</f>
        <v/>
      </c>
      <c r="AK396" s="230" t="str">
        <f aca="false">IFERROR(IF(G$348*G$349*G352&gt;0,STDEV(G$348:G$349,G352)," ")/IF(G$348*G$349*G352&gt;0,SQRT(COUNT(G$348:G$349,G352))," "),"")</f>
        <v/>
      </c>
      <c r="AL396" s="230" t="str">
        <f aca="false">IFERROR(IF(H$348*H$349*H352&gt;0,STDEV(H$348:H$349,H352)," ")/IF(H$348*H$349*H352&gt;0,SQRT(COUNT(H$348:H$349,H352))," "),"")</f>
        <v/>
      </c>
      <c r="AM396" s="230" t="str">
        <f aca="false">IFERROR(IF(I$348*I$349*I352&gt;0,STDEV(I$348:I$349,I352)," ")/IF(I$348*I$349*I352&gt;0,SQRT(COUNT(I$348:I$349,I352))," "),"")</f>
        <v/>
      </c>
      <c r="AN396" s="230" t="str">
        <f aca="false">IFERROR(IF(J$348*J$349*J352&gt;0,STDEV(J$348:J$349,J352)," ")/IF(J$348*J$349*J352&gt;0,SQRT(COUNT(J$348:J$349,J352))," "),"")</f>
        <v/>
      </c>
      <c r="AO396" s="230" t="str">
        <f aca="false">IFERROR(IF(K$348*K$349*K352&gt;0,STDEV(K$348:K$349,K352)," ")/IF(K$348*K$349*K352&gt;0,SQRT(COUNT(K$348:K$349,K352))," "),"")</f>
        <v/>
      </c>
      <c r="AP396" s="230" t="str">
        <f aca="false">IFERROR(IF(L$348*L$349*L352&gt;0,STDEV(L$348:L$349,L352)," ")/IF(L$348*L$349*L352&gt;0,SQRT(COUNT(L$348:L$349,L352))," "),"")</f>
        <v/>
      </c>
      <c r="AQ396" s="230" t="str">
        <f aca="false">IFERROR(IF(M$348*M$349*M352&gt;0,STDEV(M$348:M$349,M352)," ")/IF(M$348*M$349*M352&gt;0,SQRT(COUNT(M$348:M$349,M352))," "),"")</f>
        <v/>
      </c>
      <c r="AR396" s="230" t="str">
        <f aca="false">IFERROR(IF(N$348*N$349*N352&gt;0,STDEV(N$348:N$349,N352)," ")/IF(N$348*N$349*N352&gt;0,SQRT(COUNT(N$348:N$349,N352))," "),"")</f>
        <v/>
      </c>
    </row>
    <row r="397" customFormat="false" ht="15.75" hidden="false" customHeight="false" outlineLevel="0" collapsed="false">
      <c r="A397" s="220" t="s">
        <v>256</v>
      </c>
      <c r="B397" s="221"/>
      <c r="C397" s="222" t="str">
        <f aca="false">IFERROR(IF(C$348*C$349*C353&gt;0,AVERAGE(C$348:C$349,C353),""),"")</f>
        <v/>
      </c>
      <c r="D397" s="222" t="str">
        <f aca="false">IFERROR(IF(D$348*D$349*D353&gt;0,AVERAGE(D$348:D$349,D353),""),"")</f>
        <v/>
      </c>
      <c r="E397" s="222" t="str">
        <f aca="false">IFERROR(IF(E$348*E$349*E353&gt;0,AVERAGE(E$348:E$349,E353),""),"")</f>
        <v/>
      </c>
      <c r="F397" s="222" t="str">
        <f aca="false">IFERROR(IF(F$348*F$349*F353&gt;0,AVERAGE(F$348:F$349,F353),""),"")</f>
        <v/>
      </c>
      <c r="G397" s="222" t="str">
        <f aca="false">IFERROR(IF(G$348*G$349*G353&gt;0,AVERAGE(G$348:G$349,G353),""),"")</f>
        <v/>
      </c>
      <c r="H397" s="222" t="str">
        <f aca="false">IFERROR(IF(H$348*H$349*H353&gt;0,AVERAGE(H$348:H$349,H353),""),"")</f>
        <v/>
      </c>
      <c r="I397" s="222" t="str">
        <f aca="false">IFERROR(IF(I$348*I$349*I353&gt;0,AVERAGE(I$348:I$349,I353),""),"")</f>
        <v/>
      </c>
      <c r="J397" s="222" t="str">
        <f aca="false">IFERROR(IF(J$348*J$349*J353&gt;0,AVERAGE(J$348:J$349,J353),""),"")</f>
        <v/>
      </c>
      <c r="K397" s="222" t="str">
        <f aca="false">IFERROR(IF(K$348*K$349*K353&gt;0,AVERAGE(K$348:K$349,K353),""),"")</f>
        <v/>
      </c>
      <c r="L397" s="222" t="str">
        <f aca="false">IFERROR(IF(L$348*L$349*L353&gt;0,AVERAGE(L$348:L$349,L353),""),"")</f>
        <v/>
      </c>
      <c r="M397" s="222" t="str">
        <f aca="false">IFERROR(IF(M$348*M$349*M353&gt;0,AVERAGE(M$348:M$349,M353),""),"")</f>
        <v/>
      </c>
      <c r="N397" s="222" t="str">
        <f aca="false">IFERROR(IF(N$348*N$349*N353&gt;0,AVERAGE(N$348:N$349,N353),""),"")</f>
        <v/>
      </c>
      <c r="O397" s="257"/>
      <c r="P397" s="253"/>
      <c r="Q397" s="254"/>
      <c r="R397" s="226" t="s">
        <v>368</v>
      </c>
      <c r="S397" s="227" t="str">
        <f aca="false">IFERROR(IF(C$348*C$349*C353&gt;0,STDEV(C$348:C$349,C353),"")/IF(C$348*C$349*C353&gt;0,AVERAGE(C$348:C$349,C353),""),"")</f>
        <v/>
      </c>
      <c r="T397" s="227" t="str">
        <f aca="false">IFERROR(IF(D$348*D$349*D353&gt;0,STDEV(D$348:D$349,D353),"")/IF(D$348*D$349*D353&gt;0,AVERAGE(D$348:D$349,D353),""),"")</f>
        <v/>
      </c>
      <c r="U397" s="227" t="str">
        <f aca="false">IFERROR(IF(E$348*E$349*E353&gt;0,STDEV(E$348:E$349,E353),"")/IF(E$348*E$349*E353&gt;0,AVERAGE(E$348:E$349,E353),""),"")</f>
        <v/>
      </c>
      <c r="V397" s="227" t="str">
        <f aca="false">IFERROR(IF(F$348*F$349*F353&gt;0,STDEV(F$348:F$349,F353),"")/IF(F$348*F$349*F353&gt;0,AVERAGE(F$348:F$349,F353),""),"")</f>
        <v/>
      </c>
      <c r="W397" s="227" t="str">
        <f aca="false">IFERROR(IF(G$348*G$349*G353&gt;0,STDEV(G$348:G$349,G353),"")/IF(G$348*G$349*G353&gt;0,AVERAGE(G$348:G$349,G353),""),"")</f>
        <v/>
      </c>
      <c r="X397" s="227" t="str">
        <f aca="false">IFERROR(IF(H$348*H$349*H353&gt;0,STDEV(H$348:H$349,H353),"")/IF(H$348*H$349*H353&gt;0,AVERAGE(H$348:H$349,H353),""),"")</f>
        <v/>
      </c>
      <c r="Y397" s="227" t="str">
        <f aca="false">IFERROR(IF(I$348*I$349*I353&gt;0,STDEV(I$348:I$349,I353),"")/IF(I$348*I$349*I353&gt;0,AVERAGE(I$348:I$349,I353),""),"")</f>
        <v/>
      </c>
      <c r="Z397" s="227" t="str">
        <f aca="false">IFERROR(IF(J$348*J$349*J353&gt;0,STDEV(J$348:J$349,J353),"")/IF(J$348*J$349*J353&gt;0,AVERAGE(J$348:J$349,J353),""),"")</f>
        <v/>
      </c>
      <c r="AA397" s="227" t="str">
        <f aca="false">IFERROR(IF(K$348*K$349*K353&gt;0,STDEV(K$348:K$349,K353),"")/IF(K$348*K$349*K353&gt;0,AVERAGE(K$348:K$349,K353),""),"")</f>
        <v/>
      </c>
      <c r="AB397" s="227" t="str">
        <f aca="false">IFERROR(IF(L$348*L$349*L353&gt;0,STDEV(L$348:L$349,L353),"")/IF(L$348*L$349*L353&gt;0,AVERAGE(L$348:L$349,L353),""),"")</f>
        <v/>
      </c>
      <c r="AC397" s="227" t="str">
        <f aca="false">IFERROR(IF(M$348*M$349*M353&gt;0,STDEV(M$348:M$349,M353),"")/IF(M$348*M$349*M353&gt;0,AVERAGE(M$348:M$349,M353),""),"")</f>
        <v/>
      </c>
      <c r="AD397" s="227" t="str">
        <f aca="false">IFERROR(IF(N$348*N$349*N353&gt;0,STDEV(N$348:N$349,N353),"")/IF(N$348*N$349*N353&gt;0,AVERAGE(N$348:N$349,N353),""),"")</f>
        <v/>
      </c>
      <c r="AE397" s="228"/>
      <c r="AF397" s="229" t="s">
        <v>638</v>
      </c>
      <c r="AG397" s="230" t="str">
        <f aca="false">IFERROR(IF(C$348*C$349*C353&gt;0,STDEV(C$348:C$349,C353)," ")/IF(C$348*C$349*C353&gt;0,SQRT(COUNT(C$348:C$349,C353))," "),"")</f>
        <v/>
      </c>
      <c r="AH397" s="230" t="str">
        <f aca="false">IFERROR(IF(D$348*D$349*D353&gt;0,STDEV(D$348:D$349,D353)," ")/IF(D$348*D$349*D353&gt;0,SQRT(COUNT(D$348:D$349,D353))," "),"")</f>
        <v/>
      </c>
      <c r="AI397" s="230" t="str">
        <f aca="false">IFERROR(IF(E$348*E$349*E353&gt;0,STDEV(E$348:E$349,E353)," ")/IF(E$348*E$349*E353&gt;0,SQRT(COUNT(E$348:E$349,E353))," "),"")</f>
        <v/>
      </c>
      <c r="AJ397" s="230" t="str">
        <f aca="false">IFERROR(IF(F$348*F$349*F353&gt;0,STDEV(F$348:F$349,F353)," ")/IF(F$348*F$349*F353&gt;0,SQRT(COUNT(F$348:F$349,F353))," "),"")</f>
        <v/>
      </c>
      <c r="AK397" s="230" t="str">
        <f aca="false">IFERROR(IF(G$348*G$349*G353&gt;0,STDEV(G$348:G$349,G353)," ")/IF(G$348*G$349*G353&gt;0,SQRT(COUNT(G$348:G$349,G353))," "),"")</f>
        <v/>
      </c>
      <c r="AL397" s="230" t="str">
        <f aca="false">IFERROR(IF(H$348*H$349*H353&gt;0,STDEV(H$348:H$349,H353)," ")/IF(H$348*H$349*H353&gt;0,SQRT(COUNT(H$348:H$349,H353))," "),"")</f>
        <v/>
      </c>
      <c r="AM397" s="230" t="str">
        <f aca="false">IFERROR(IF(I$348*I$349*I353&gt;0,STDEV(I$348:I$349,I353)," ")/IF(I$348*I$349*I353&gt;0,SQRT(COUNT(I$348:I$349,I353))," "),"")</f>
        <v/>
      </c>
      <c r="AN397" s="230" t="str">
        <f aca="false">IFERROR(IF(J$348*J$349*J353&gt;0,STDEV(J$348:J$349,J353)," ")/IF(J$348*J$349*J353&gt;0,SQRT(COUNT(J$348:J$349,J353))," "),"")</f>
        <v/>
      </c>
      <c r="AO397" s="230" t="str">
        <f aca="false">IFERROR(IF(K$348*K$349*K353&gt;0,STDEV(K$348:K$349,K353)," ")/IF(K$348*K$349*K353&gt;0,SQRT(COUNT(K$348:K$349,K353))," "),"")</f>
        <v/>
      </c>
      <c r="AP397" s="230" t="str">
        <f aca="false">IFERROR(IF(L$348*L$349*L353&gt;0,STDEV(L$348:L$349,L353)," ")/IF(L$348*L$349*L353&gt;0,SQRT(COUNT(L$348:L$349,L353))," "),"")</f>
        <v/>
      </c>
      <c r="AQ397" s="230" t="str">
        <f aca="false">IFERROR(IF(M$348*M$349*M353&gt;0,STDEV(M$348:M$349,M353)," ")/IF(M$348*M$349*M353&gt;0,SQRT(COUNT(M$348:M$349,M353))," "),"")</f>
        <v/>
      </c>
      <c r="AR397" s="230" t="str">
        <f aca="false">IFERROR(IF(N$348*N$349*N353&gt;0,STDEV(N$348:N$349,N353)," ")/IF(N$348*N$349*N353&gt;0,SQRT(COUNT(N$348:N$349,N353))," "),"")</f>
        <v/>
      </c>
    </row>
    <row r="398" customFormat="false" ht="15.75" hidden="false" customHeight="false" outlineLevel="0" collapsed="false">
      <c r="A398" s="220" t="s">
        <v>257</v>
      </c>
      <c r="B398" s="221"/>
      <c r="C398" s="222" t="str">
        <f aca="false">IFERROR(IF(C$349*C$350*C347&gt;0,AVERAGE(C$349:C$350,C347),""),"")</f>
        <v/>
      </c>
      <c r="D398" s="222" t="str">
        <f aca="false">IFERROR(IF(D$349*D$350*D347&gt;0,AVERAGE(D$349:D$350,D347),""),"")</f>
        <v/>
      </c>
      <c r="E398" s="222" t="str">
        <f aca="false">IFERROR(IF(E$349*E$350*E347&gt;0,AVERAGE(E$349:E$350,E347),""),"")</f>
        <v/>
      </c>
      <c r="F398" s="222" t="str">
        <f aca="false">IFERROR(IF(F$349*F$350*F347&gt;0,AVERAGE(F$349:F$350,F347),""),"")</f>
        <v/>
      </c>
      <c r="G398" s="222" t="str">
        <f aca="false">IFERROR(IF(G$349*G$350*G347&gt;0,AVERAGE(G$349:G$350,G347),""),"")</f>
        <v/>
      </c>
      <c r="H398" s="222" t="str">
        <f aca="false">IFERROR(IF(H$349*H$350*H347&gt;0,AVERAGE(H$349:H$350,H347),""),"")</f>
        <v/>
      </c>
      <c r="I398" s="222" t="str">
        <f aca="false">IFERROR(IF(I$349*I$350*I347&gt;0,AVERAGE(I$349:I$350,I347),""),"")</f>
        <v/>
      </c>
      <c r="J398" s="222" t="str">
        <f aca="false">IFERROR(IF(J$349*J$350*J347&gt;0,AVERAGE(J$349:J$350,J347),""),"")</f>
        <v/>
      </c>
      <c r="K398" s="222" t="str">
        <f aca="false">IFERROR(IF(K$349*K$350*K347&gt;0,AVERAGE(K$349:K$350,K347),""),"")</f>
        <v/>
      </c>
      <c r="L398" s="222" t="str">
        <f aca="false">IFERROR(IF(L$349*L$350*L347&gt;0,AVERAGE(L$349:L$350,L347),""),"")</f>
        <v/>
      </c>
      <c r="M398" s="222" t="str">
        <f aca="false">IFERROR(IF(M$349*M$350*M347&gt;0,AVERAGE(M$349:M$350,M347),""),"")</f>
        <v/>
      </c>
      <c r="N398" s="222" t="str">
        <f aca="false">IFERROR(IF(N$349*N$350*N347&gt;0,AVERAGE(N$349:N$350,N347),""),"")</f>
        <v/>
      </c>
      <c r="O398" s="257"/>
      <c r="P398" s="253"/>
      <c r="Q398" s="254"/>
      <c r="R398" s="226" t="s">
        <v>370</v>
      </c>
      <c r="S398" s="227" t="str">
        <f aca="false">IFERROR(IF(C$349*C$350*C347&gt;0,STDEV(C$349:C$350,C347),"")/IF(C$349*C$350*C347&gt;0,AVERAGE(C$349:C$350,C347),""),"")</f>
        <v/>
      </c>
      <c r="T398" s="227" t="str">
        <f aca="false">IFERROR(IF(D$349*D$350*D347&gt;0,STDEV(D$349:D$350,D347),"")/IF(D$349*D$350*D347&gt;0,AVERAGE(D$349:D$350,D347),""),"")</f>
        <v/>
      </c>
      <c r="U398" s="227" t="str">
        <f aca="false">IFERROR(IF(E$349*E$350*E347&gt;0,STDEV(E$349:E$350,E347),"")/IF(E$349*E$350*E347&gt;0,AVERAGE(E$349:E$350,E347),""),"")</f>
        <v/>
      </c>
      <c r="V398" s="227" t="str">
        <f aca="false">IFERROR(IF(F$349*F$350*F347&gt;0,STDEV(F$349:F$350,F347),"")/IF(F$349*F$350*F347&gt;0,AVERAGE(F$349:F$350,F347),""),"")</f>
        <v/>
      </c>
      <c r="W398" s="227" t="str">
        <f aca="false">IFERROR(IF(G$349*G$350*G347&gt;0,STDEV(G$349:G$350,G347),"")/IF(G$349*G$350*G347&gt;0,AVERAGE(G$349:G$350,G347),""),"")</f>
        <v/>
      </c>
      <c r="X398" s="227" t="str">
        <f aca="false">IFERROR(IF(H$349*H$350*H347&gt;0,STDEV(H$349:H$350,H347),"")/IF(H$349*H$350*H347&gt;0,AVERAGE(H$349:H$350,H347),""),"")</f>
        <v/>
      </c>
      <c r="Y398" s="227" t="str">
        <f aca="false">IFERROR(IF(I$349*I$350*I347&gt;0,STDEV(I$349:I$350,I347),"")/IF(I$349*I$350*I347&gt;0,AVERAGE(I$349:I$350,I347),""),"")</f>
        <v/>
      </c>
      <c r="Z398" s="227" t="str">
        <f aca="false">IFERROR(IF(J$349*J$350*J347&gt;0,STDEV(J$349:J$350,J347),"")/IF(J$349*J$350*J347&gt;0,AVERAGE(J$349:J$350,J347),""),"")</f>
        <v/>
      </c>
      <c r="AA398" s="227" t="str">
        <f aca="false">IFERROR(IF(K$349*K$350*K347&gt;0,STDEV(K$349:K$350,K347),"")/IF(K$349*K$350*K347&gt;0,AVERAGE(K$349:K$350,K347),""),"")</f>
        <v/>
      </c>
      <c r="AB398" s="227" t="str">
        <f aca="false">IFERROR(IF(L$349*L$350*L347&gt;0,STDEV(L$349:L$350,L347),"")/IF(L$349*L$350*L347&gt;0,AVERAGE(L$349:L$350,L347),""),"")</f>
        <v/>
      </c>
      <c r="AC398" s="227" t="str">
        <f aca="false">IFERROR(IF(M$349*M$350*M347&gt;0,STDEV(M$349:M$350,M347),"")/IF(M$349*M$350*M347&gt;0,AVERAGE(M$349:M$350,M347),""),"")</f>
        <v/>
      </c>
      <c r="AD398" s="227" t="str">
        <f aca="false">IFERROR(IF(N$349*N$350*N347&gt;0,STDEV(N$349:N$350,N347),"")/IF(N$349*N$350*N347&gt;0,AVERAGE(N$349:N$350,N347),""),"")</f>
        <v/>
      </c>
      <c r="AE398" s="228"/>
      <c r="AF398" s="229" t="s">
        <v>639</v>
      </c>
      <c r="AG398" s="230" t="str">
        <f aca="false">IFERROR(IF(C$349*C$350*C347&gt;0,STDEV(C$349:C$350,C347)," ")/IF(C$349*C$350*C347&gt;0,SQRT(COUNT(C$349:C$350,C347))," "),"")</f>
        <v/>
      </c>
      <c r="AH398" s="230" t="str">
        <f aca="false">IFERROR(IF(D$349*D$350*D347&gt;0,STDEV(D$349:D$350,D347)," ")/IF(D$349*D$350*D347&gt;0,SQRT(COUNT(D$349:D$350,D347))," "),"")</f>
        <v/>
      </c>
      <c r="AI398" s="230" t="str">
        <f aca="false">IFERROR(IF(E$349*E$350*E347&gt;0,STDEV(E$349:E$350,E347)," ")/IF(E$349*E$350*E347&gt;0,SQRT(COUNT(E$349:E$350,E347))," "),"")</f>
        <v/>
      </c>
      <c r="AJ398" s="230" t="str">
        <f aca="false">IFERROR(IF(F$349*F$350*F347&gt;0,STDEV(F$349:F$350,F347)," ")/IF(F$349*F$350*F347&gt;0,SQRT(COUNT(F$349:F$350,F347))," "),"")</f>
        <v/>
      </c>
      <c r="AK398" s="230" t="str">
        <f aca="false">IFERROR(IF(G$349*G$350*G347&gt;0,STDEV(G$349:G$350,G347)," ")/IF(G$349*G$350*G347&gt;0,SQRT(COUNT(G$349:G$350,G347))," "),"")</f>
        <v/>
      </c>
      <c r="AL398" s="230" t="str">
        <f aca="false">IFERROR(IF(H$349*H$350*H347&gt;0,STDEV(H$349:H$350,H347)," ")/IF(H$349*H$350*H347&gt;0,SQRT(COUNT(H$349:H$350,H347))," "),"")</f>
        <v/>
      </c>
      <c r="AM398" s="230" t="str">
        <f aca="false">IFERROR(IF(I$349*I$350*I347&gt;0,STDEV(I$349:I$350,I347)," ")/IF(I$349*I$350*I347&gt;0,SQRT(COUNT(I$349:I$350,I347))," "),"")</f>
        <v/>
      </c>
      <c r="AN398" s="230" t="str">
        <f aca="false">IFERROR(IF(J$349*J$350*J347&gt;0,STDEV(J$349:J$350,J347)," ")/IF(J$349*J$350*J347&gt;0,SQRT(COUNT(J$349:J$350,J347))," "),"")</f>
        <v/>
      </c>
      <c r="AO398" s="230" t="str">
        <f aca="false">IFERROR(IF(K$349*K$350*K347&gt;0,STDEV(K$349:K$350,K347)," ")/IF(K$349*K$350*K347&gt;0,SQRT(COUNT(K$349:K$350,K347))," "),"")</f>
        <v/>
      </c>
      <c r="AP398" s="230" t="str">
        <f aca="false">IFERROR(IF(L$349*L$350*L347&gt;0,STDEV(L$349:L$350,L347)," ")/IF(L$349*L$350*L347&gt;0,SQRT(COUNT(L$349:L$350,L347))," "),"")</f>
        <v/>
      </c>
      <c r="AQ398" s="230" t="str">
        <f aca="false">IFERROR(IF(M$349*M$350*M347&gt;0,STDEV(M$349:M$350,M347)," ")/IF(M$349*M$350*M347&gt;0,SQRT(COUNT(M$349:M$350,M347))," "),"")</f>
        <v/>
      </c>
      <c r="AR398" s="230" t="str">
        <f aca="false">IFERROR(IF(N$349*N$350*N347&gt;0,STDEV(N$349:N$350,N347)," ")/IF(N$349*N$350*N347&gt;0,SQRT(COUNT(N$349:N$350,N347))," "),"")</f>
        <v/>
      </c>
    </row>
    <row r="399" customFormat="false" ht="15.75" hidden="false" customHeight="false" outlineLevel="0" collapsed="false">
      <c r="A399" s="220" t="s">
        <v>258</v>
      </c>
      <c r="B399" s="221"/>
      <c r="C399" s="222" t="str">
        <f aca="false">IFERROR(IF(C$349*C$350*C351&gt;0,AVERAGE(C$349:C$350,C351),""),"")</f>
        <v/>
      </c>
      <c r="D399" s="222" t="str">
        <f aca="false">IFERROR(IF(D$349*D$350*D351&gt;0,AVERAGE(D$349:D$350,D351),""),"")</f>
        <v/>
      </c>
      <c r="E399" s="222" t="str">
        <f aca="false">IFERROR(IF(E$349*E$350*E351&gt;0,AVERAGE(E$349:E$350,E351),""),"")</f>
        <v/>
      </c>
      <c r="F399" s="222" t="str">
        <f aca="false">IFERROR(IF(F$349*F$350*F351&gt;0,AVERAGE(F$349:F$350,F351),""),"")</f>
        <v/>
      </c>
      <c r="G399" s="222" t="str">
        <f aca="false">IFERROR(IF(G$349*G$350*G351&gt;0,AVERAGE(G$349:G$350,G351),""),"")</f>
        <v/>
      </c>
      <c r="H399" s="222" t="str">
        <f aca="false">IFERROR(IF(H$349*H$350*H351&gt;0,AVERAGE(H$349:H$350,H351),""),"")</f>
        <v/>
      </c>
      <c r="I399" s="222" t="str">
        <f aca="false">IFERROR(IF(I$349*I$350*I351&gt;0,AVERAGE(I$349:I$350,I351),""),"")</f>
        <v/>
      </c>
      <c r="J399" s="222" t="str">
        <f aca="false">IFERROR(IF(J$349*J$350*J351&gt;0,AVERAGE(J$349:J$350,J351),""),"")</f>
        <v/>
      </c>
      <c r="K399" s="222" t="str">
        <f aca="false">IFERROR(IF(K$349*K$350*K351&gt;0,AVERAGE(K$349:K$350,K351),""),"")</f>
        <v/>
      </c>
      <c r="L399" s="222" t="str">
        <f aca="false">IFERROR(IF(L$349*L$350*L351&gt;0,AVERAGE(L$349:L$350,L351),""),"")</f>
        <v/>
      </c>
      <c r="M399" s="222" t="str">
        <f aca="false">IFERROR(IF(M$349*M$350*M351&gt;0,AVERAGE(M$349:M$350,M351),""),"")</f>
        <v/>
      </c>
      <c r="N399" s="222" t="str">
        <f aca="false">IFERROR(IF(N$349*N$350*N351&gt;0,AVERAGE(N$349:N$350,N351),""),"")</f>
        <v/>
      </c>
      <c r="O399" s="257"/>
      <c r="P399" s="253"/>
      <c r="Q399" s="254"/>
      <c r="R399" s="226" t="s">
        <v>372</v>
      </c>
      <c r="S399" s="227" t="str">
        <f aca="false">IFERROR(IF(C$349*C$350*C351&gt;0,STDEV(C$349:C$350,C351),"")/IF(C$349*C$350*C351&gt;0,AVERAGE(C$349:C$350,C351),""),"")</f>
        <v/>
      </c>
      <c r="T399" s="227" t="str">
        <f aca="false">IFERROR(IF(D$349*D$350*D351&gt;0,STDEV(D$349:D$350,D351),"")/IF(D$349*D$350*D351&gt;0,AVERAGE(D$349:D$350,D351),""),"")</f>
        <v/>
      </c>
      <c r="U399" s="227" t="str">
        <f aca="false">IFERROR(IF(E$349*E$350*E351&gt;0,STDEV(E$349:E$350,E351),"")/IF(E$349*E$350*E351&gt;0,AVERAGE(E$349:E$350,E351),""),"")</f>
        <v/>
      </c>
      <c r="V399" s="227" t="str">
        <f aca="false">IFERROR(IF(F$349*F$350*F351&gt;0,STDEV(F$349:F$350,F351),"")/IF(F$349*F$350*F351&gt;0,AVERAGE(F$349:F$350,F351),""),"")</f>
        <v/>
      </c>
      <c r="W399" s="227" t="str">
        <f aca="false">IFERROR(IF(G$349*G$350*G351&gt;0,STDEV(G$349:G$350,G351),"")/IF(G$349*G$350*G351&gt;0,AVERAGE(G$349:G$350,G351),""),"")</f>
        <v/>
      </c>
      <c r="X399" s="227" t="str">
        <f aca="false">IFERROR(IF(H$349*H$350*H351&gt;0,STDEV(H$349:H$350,H351),"")/IF(H$349*H$350*H351&gt;0,AVERAGE(H$349:H$350,H351),""),"")</f>
        <v/>
      </c>
      <c r="Y399" s="227" t="str">
        <f aca="false">IFERROR(IF(I$349*I$350*I351&gt;0,STDEV(I$349:I$350,I351),"")/IF(I$349*I$350*I351&gt;0,AVERAGE(I$349:I$350,I351),""),"")</f>
        <v/>
      </c>
      <c r="Z399" s="227" t="str">
        <f aca="false">IFERROR(IF(J$349*J$350*J351&gt;0,STDEV(J$349:J$350,J351),"")/IF(J$349*J$350*J351&gt;0,AVERAGE(J$349:J$350,J351),""),"")</f>
        <v/>
      </c>
      <c r="AA399" s="227" t="str">
        <f aca="false">IFERROR(IF(K$349*K$350*K351&gt;0,STDEV(K$349:K$350,K351),"")/IF(K$349*K$350*K351&gt;0,AVERAGE(K$349:K$350,K351),""),"")</f>
        <v/>
      </c>
      <c r="AB399" s="227" t="str">
        <f aca="false">IFERROR(IF(L$349*L$350*L351&gt;0,STDEV(L$349:L$350,L351),"")/IF(L$349*L$350*L351&gt;0,AVERAGE(L$349:L$350,L351),""),"")</f>
        <v/>
      </c>
      <c r="AC399" s="227" t="str">
        <f aca="false">IFERROR(IF(M$349*M$350*M351&gt;0,STDEV(M$349:M$350,M351),"")/IF(M$349*M$350*M351&gt;0,AVERAGE(M$349:M$350,M351),""),"")</f>
        <v/>
      </c>
      <c r="AD399" s="227" t="str">
        <f aca="false">IFERROR(IF(N$349*N$350*N351&gt;0,STDEV(N$349:N$350,N351),"")/IF(N$349*N$350*N351&gt;0,AVERAGE(N$349:N$350,N351),""),"")</f>
        <v/>
      </c>
      <c r="AE399" s="228"/>
      <c r="AF399" s="229" t="s">
        <v>640</v>
      </c>
      <c r="AG399" s="230" t="str">
        <f aca="false">IFERROR(IF(C$349*C$350*C351&gt;0,STDEV(C$349:C$350,C351)," ")/IF(C$349*C$350*C351&gt;0,SQRT(COUNT(C$349:C$350,C351))," "),"")</f>
        <v/>
      </c>
      <c r="AH399" s="230" t="str">
        <f aca="false">IFERROR(IF(D$349*D$350*D351&gt;0,STDEV(D$349:D$350,D351)," ")/IF(D$349*D$350*D351&gt;0,SQRT(COUNT(D$349:D$350,D351))," "),"")</f>
        <v/>
      </c>
      <c r="AI399" s="230" t="str">
        <f aca="false">IFERROR(IF(E$349*E$350*E351&gt;0,STDEV(E$349:E$350,E351)," ")/IF(E$349*E$350*E351&gt;0,SQRT(COUNT(E$349:E$350,E351))," "),"")</f>
        <v/>
      </c>
      <c r="AJ399" s="230" t="str">
        <f aca="false">IFERROR(IF(F$349*F$350*F351&gt;0,STDEV(F$349:F$350,F351)," ")/IF(F$349*F$350*F351&gt;0,SQRT(COUNT(F$349:F$350,F351))," "),"")</f>
        <v/>
      </c>
      <c r="AK399" s="230" t="str">
        <f aca="false">IFERROR(IF(G$349*G$350*G351&gt;0,STDEV(G$349:G$350,G351)," ")/IF(G$349*G$350*G351&gt;0,SQRT(COUNT(G$349:G$350,G351))," "),"")</f>
        <v/>
      </c>
      <c r="AL399" s="230" t="str">
        <f aca="false">IFERROR(IF(H$349*H$350*H351&gt;0,STDEV(H$349:H$350,H351)," ")/IF(H$349*H$350*H351&gt;0,SQRT(COUNT(H$349:H$350,H351))," "),"")</f>
        <v/>
      </c>
      <c r="AM399" s="230" t="str">
        <f aca="false">IFERROR(IF(I$349*I$350*I351&gt;0,STDEV(I$349:I$350,I351)," ")/IF(I$349*I$350*I351&gt;0,SQRT(COUNT(I$349:I$350,I351))," "),"")</f>
        <v/>
      </c>
      <c r="AN399" s="230" t="str">
        <f aca="false">IFERROR(IF(J$349*J$350*J351&gt;0,STDEV(J$349:J$350,J351)," ")/IF(J$349*J$350*J351&gt;0,SQRT(COUNT(J$349:J$350,J351))," "),"")</f>
        <v/>
      </c>
      <c r="AO399" s="230" t="str">
        <f aca="false">IFERROR(IF(K$349*K$350*K351&gt;0,STDEV(K$349:K$350,K351)," ")/IF(K$349*K$350*K351&gt;0,SQRT(COUNT(K$349:K$350,K351))," "),"")</f>
        <v/>
      </c>
      <c r="AP399" s="230" t="str">
        <f aca="false">IFERROR(IF(L$349*L$350*L351&gt;0,STDEV(L$349:L$350,L351)," ")/IF(L$349*L$350*L351&gt;0,SQRT(COUNT(L$349:L$350,L351))," "),"")</f>
        <v/>
      </c>
      <c r="AQ399" s="230" t="str">
        <f aca="false">IFERROR(IF(M$349*M$350*M351&gt;0,STDEV(M$349:M$350,M351)," ")/IF(M$349*M$350*M351&gt;0,SQRT(COUNT(M$349:M$350,M351))," "),"")</f>
        <v/>
      </c>
      <c r="AR399" s="230" t="str">
        <f aca="false">IFERROR(IF(N$349*N$350*N351&gt;0,STDEV(N$349:N$350,N351)," ")/IF(N$349*N$350*N351&gt;0,SQRT(COUNT(N$349:N$350,N351))," "),"")</f>
        <v/>
      </c>
    </row>
    <row r="400" customFormat="false" ht="15.75" hidden="false" customHeight="false" outlineLevel="0" collapsed="false">
      <c r="A400" s="220" t="s">
        <v>259</v>
      </c>
      <c r="B400" s="221"/>
      <c r="C400" s="222" t="str">
        <f aca="false">IFERROR(IF(C$349*C$350*C352&gt;0,AVERAGE(C$349:C$350,C352),""),"")</f>
        <v/>
      </c>
      <c r="D400" s="222" t="str">
        <f aca="false">IFERROR(IF(D$349*D$350*D352&gt;0,AVERAGE(D$349:D$350,D352),""),"")</f>
        <v/>
      </c>
      <c r="E400" s="222" t="str">
        <f aca="false">IFERROR(IF(E$349*E$350*E352&gt;0,AVERAGE(E$349:E$350,E352),""),"")</f>
        <v/>
      </c>
      <c r="F400" s="222" t="str">
        <f aca="false">IFERROR(IF(F$349*F$350*F352&gt;0,AVERAGE(F$349:F$350,F352),""),"")</f>
        <v/>
      </c>
      <c r="G400" s="222" t="str">
        <f aca="false">IFERROR(IF(G$349*G$350*G352&gt;0,AVERAGE(G$349:G$350,G352),""),"")</f>
        <v/>
      </c>
      <c r="H400" s="222" t="str">
        <f aca="false">IFERROR(IF(H$349*H$350*H352&gt;0,AVERAGE(H$349:H$350,H352),""),"")</f>
        <v/>
      </c>
      <c r="I400" s="222" t="str">
        <f aca="false">IFERROR(IF(I$349*I$350*I352&gt;0,AVERAGE(I$349:I$350,I352),""),"")</f>
        <v/>
      </c>
      <c r="J400" s="222" t="str">
        <f aca="false">IFERROR(IF(J$349*J$350*J352&gt;0,AVERAGE(J$349:J$350,J352),""),"")</f>
        <v/>
      </c>
      <c r="K400" s="222" t="str">
        <f aca="false">IFERROR(IF(K$349*K$350*K352&gt;0,AVERAGE(K$349:K$350,K352),""),"")</f>
        <v/>
      </c>
      <c r="L400" s="222" t="str">
        <f aca="false">IFERROR(IF(L$349*L$350*L352&gt;0,AVERAGE(L$349:L$350,L352),""),"")</f>
        <v/>
      </c>
      <c r="M400" s="222" t="str">
        <f aca="false">IFERROR(IF(M$349*M$350*M352&gt;0,AVERAGE(M$349:M$350,M352),""),"")</f>
        <v/>
      </c>
      <c r="N400" s="222" t="str">
        <f aca="false">IFERROR(IF(N$349*N$350*N352&gt;0,AVERAGE(N$349:N$350,N352),""),"")</f>
        <v/>
      </c>
      <c r="O400" s="257"/>
      <c r="P400" s="253"/>
      <c r="Q400" s="254"/>
      <c r="R400" s="226" t="s">
        <v>374</v>
      </c>
      <c r="S400" s="227" t="str">
        <f aca="false">IFERROR(IF(C$349*C$350*C352&gt;0,STDEV(C$349:C$350,C352),"")/IF(C$349*C$350*C352&gt;0,AVERAGE(C$349:C$350,C352),""),"")</f>
        <v/>
      </c>
      <c r="T400" s="227" t="str">
        <f aca="false">IFERROR(IF(D$349*D$350*D352&gt;0,STDEV(D$349:D$350,D352),"")/IF(D$349*D$350*D352&gt;0,AVERAGE(D$349:D$350,D352),""),"")</f>
        <v/>
      </c>
      <c r="U400" s="227" t="str">
        <f aca="false">IFERROR(IF(E$349*E$350*E352&gt;0,STDEV(E$349:E$350,E352),"")/IF(E$349*E$350*E352&gt;0,AVERAGE(E$349:E$350,E352),""),"")</f>
        <v/>
      </c>
      <c r="V400" s="227" t="str">
        <f aca="false">IFERROR(IF(F$349*F$350*F352&gt;0,STDEV(F$349:F$350,F352),"")/IF(F$349*F$350*F352&gt;0,AVERAGE(F$349:F$350,F352),""),"")</f>
        <v/>
      </c>
      <c r="W400" s="227" t="str">
        <f aca="false">IFERROR(IF(G$349*G$350*G352&gt;0,STDEV(G$349:G$350,G352),"")/IF(G$349*G$350*G352&gt;0,AVERAGE(G$349:G$350,G352),""),"")</f>
        <v/>
      </c>
      <c r="X400" s="227" t="str">
        <f aca="false">IFERROR(IF(H$349*H$350*H352&gt;0,STDEV(H$349:H$350,H352),"")/IF(H$349*H$350*H352&gt;0,AVERAGE(H$349:H$350,H352),""),"")</f>
        <v/>
      </c>
      <c r="Y400" s="227" t="str">
        <f aca="false">IFERROR(IF(I$349*I$350*I352&gt;0,STDEV(I$349:I$350,I352),"")/IF(I$349*I$350*I352&gt;0,AVERAGE(I$349:I$350,I352),""),"")</f>
        <v/>
      </c>
      <c r="Z400" s="227" t="str">
        <f aca="false">IFERROR(IF(J$349*J$350*J352&gt;0,STDEV(J$349:J$350,J352),"")/IF(J$349*J$350*J352&gt;0,AVERAGE(J$349:J$350,J352),""),"")</f>
        <v/>
      </c>
      <c r="AA400" s="227" t="str">
        <f aca="false">IFERROR(IF(K$349*K$350*K352&gt;0,STDEV(K$349:K$350,K352),"")/IF(K$349*K$350*K352&gt;0,AVERAGE(K$349:K$350,K352),""),"")</f>
        <v/>
      </c>
      <c r="AB400" s="227" t="str">
        <f aca="false">IFERROR(IF(L$349*L$350*L352&gt;0,STDEV(L$349:L$350,L352),"")/IF(L$349*L$350*L352&gt;0,AVERAGE(L$349:L$350,L352),""),"")</f>
        <v/>
      </c>
      <c r="AC400" s="227" t="str">
        <f aca="false">IFERROR(IF(M$349*M$350*M352&gt;0,STDEV(M$349:M$350,M352),"")/IF(M$349*M$350*M352&gt;0,AVERAGE(M$349:M$350,M352),""),"")</f>
        <v/>
      </c>
      <c r="AD400" s="227" t="str">
        <f aca="false">IFERROR(IF(N$349*N$350*N352&gt;0,STDEV(N$349:N$350,N352),"")/IF(N$349*N$350*N352&gt;0,AVERAGE(N$349:N$350,N352),""),"")</f>
        <v/>
      </c>
      <c r="AE400" s="228"/>
      <c r="AF400" s="229" t="s">
        <v>641</v>
      </c>
      <c r="AG400" s="230" t="str">
        <f aca="false">IFERROR(IF(C$349*C$350*C352&gt;0,STDEV(C$349:C$350,C352)," ")/IF(C$349*C$350*C352&gt;0,SQRT(COUNT(C$349:C$350,C352))," "),"")</f>
        <v/>
      </c>
      <c r="AH400" s="230" t="str">
        <f aca="false">IFERROR(IF(D$349*D$350*D352&gt;0,STDEV(D$349:D$350,D352)," ")/IF(D$349*D$350*D352&gt;0,SQRT(COUNT(D$349:D$350,D352))," "),"")</f>
        <v/>
      </c>
      <c r="AI400" s="230" t="str">
        <f aca="false">IFERROR(IF(E$349*E$350*E352&gt;0,STDEV(E$349:E$350,E352)," ")/IF(E$349*E$350*E352&gt;0,SQRT(COUNT(E$349:E$350,E352))," "),"")</f>
        <v/>
      </c>
      <c r="AJ400" s="230" t="str">
        <f aca="false">IFERROR(IF(F$349*F$350*F352&gt;0,STDEV(F$349:F$350,F352)," ")/IF(F$349*F$350*F352&gt;0,SQRT(COUNT(F$349:F$350,F352))," "),"")</f>
        <v/>
      </c>
      <c r="AK400" s="230" t="str">
        <f aca="false">IFERROR(IF(G$349*G$350*G352&gt;0,STDEV(G$349:G$350,G352)," ")/IF(G$349*G$350*G352&gt;0,SQRT(COUNT(G$349:G$350,G352))," "),"")</f>
        <v/>
      </c>
      <c r="AL400" s="230" t="str">
        <f aca="false">IFERROR(IF(H$349*H$350*H352&gt;0,STDEV(H$349:H$350,H352)," ")/IF(H$349*H$350*H352&gt;0,SQRT(COUNT(H$349:H$350,H352))," "),"")</f>
        <v/>
      </c>
      <c r="AM400" s="230" t="str">
        <f aca="false">IFERROR(IF(I$349*I$350*I352&gt;0,STDEV(I$349:I$350,I352)," ")/IF(I$349*I$350*I352&gt;0,SQRT(COUNT(I$349:I$350,I352))," "),"")</f>
        <v/>
      </c>
      <c r="AN400" s="230" t="str">
        <f aca="false">IFERROR(IF(J$349*J$350*J352&gt;0,STDEV(J$349:J$350,J352)," ")/IF(J$349*J$350*J352&gt;0,SQRT(COUNT(J$349:J$350,J352))," "),"")</f>
        <v/>
      </c>
      <c r="AO400" s="230" t="str">
        <f aca="false">IFERROR(IF(K$349*K$350*K352&gt;0,STDEV(K$349:K$350,K352)," ")/IF(K$349*K$350*K352&gt;0,SQRT(COUNT(K$349:K$350,K352))," "),"")</f>
        <v/>
      </c>
      <c r="AP400" s="230" t="str">
        <f aca="false">IFERROR(IF(L$349*L$350*L352&gt;0,STDEV(L$349:L$350,L352)," ")/IF(L$349*L$350*L352&gt;0,SQRT(COUNT(L$349:L$350,L352))," "),"")</f>
        <v/>
      </c>
      <c r="AQ400" s="230" t="str">
        <f aca="false">IFERROR(IF(M$349*M$350*M352&gt;0,STDEV(M$349:M$350,M352)," ")/IF(M$349*M$350*M352&gt;0,SQRT(COUNT(M$349:M$350,M352))," "),"")</f>
        <v/>
      </c>
      <c r="AR400" s="230" t="str">
        <f aca="false">IFERROR(IF(N$349*N$350*N352&gt;0,STDEV(N$349:N$350,N352)," ")/IF(N$349*N$350*N352&gt;0,SQRT(COUNT(N$349:N$350,N352))," "),"")</f>
        <v/>
      </c>
    </row>
    <row r="401" customFormat="false" ht="15.75" hidden="false" customHeight="false" outlineLevel="0" collapsed="false">
      <c r="A401" s="220" t="s">
        <v>260</v>
      </c>
      <c r="B401" s="221"/>
      <c r="C401" s="222" t="str">
        <f aca="false">IFERROR(IF(C$349*C$350*C353&gt;0,AVERAGE(C$349:C$350,C353),""),"")</f>
        <v/>
      </c>
      <c r="D401" s="222" t="str">
        <f aca="false">IFERROR(IF(D$349*D$350*D353&gt;0,AVERAGE(D$349:D$350,D353),""),"")</f>
        <v/>
      </c>
      <c r="E401" s="222" t="str">
        <f aca="false">IFERROR(IF(E$349*E$350*E353&gt;0,AVERAGE(E$349:E$350,E353),""),"")</f>
        <v/>
      </c>
      <c r="F401" s="222" t="str">
        <f aca="false">IFERROR(IF(F$349*F$350*F353&gt;0,AVERAGE(F$349:F$350,F353),""),"")</f>
        <v/>
      </c>
      <c r="G401" s="222" t="str">
        <f aca="false">IFERROR(IF(G$349*G$350*G353&gt;0,AVERAGE(G$349:G$350,G353),""),"")</f>
        <v/>
      </c>
      <c r="H401" s="222" t="str">
        <f aca="false">IFERROR(IF(H$349*H$350*H353&gt;0,AVERAGE(H$349:H$350,H353),""),"")</f>
        <v/>
      </c>
      <c r="I401" s="222" t="str">
        <f aca="false">IFERROR(IF(I$349*I$350*I353&gt;0,AVERAGE(I$349:I$350,I353),""),"")</f>
        <v/>
      </c>
      <c r="J401" s="222" t="str">
        <f aca="false">IFERROR(IF(J$349*J$350*J353&gt;0,AVERAGE(J$349:J$350,J353),""),"")</f>
        <v/>
      </c>
      <c r="K401" s="222" t="str">
        <f aca="false">IFERROR(IF(K$349*K$350*K353&gt;0,AVERAGE(K$349:K$350,K353),""),"")</f>
        <v/>
      </c>
      <c r="L401" s="222" t="str">
        <f aca="false">IFERROR(IF(L$349*L$350*L353&gt;0,AVERAGE(L$349:L$350,L353),""),"")</f>
        <v/>
      </c>
      <c r="M401" s="222" t="str">
        <f aca="false">IFERROR(IF(M$349*M$350*M353&gt;0,AVERAGE(M$349:M$350,M353),""),"")</f>
        <v/>
      </c>
      <c r="N401" s="222" t="str">
        <f aca="false">IFERROR(IF(N$349*N$350*N353&gt;0,AVERAGE(N$349:N$350,N353),""),"")</f>
        <v/>
      </c>
      <c r="O401" s="257"/>
      <c r="P401" s="253"/>
      <c r="Q401" s="254"/>
      <c r="R401" s="226" t="s">
        <v>376</v>
      </c>
      <c r="S401" s="227" t="str">
        <f aca="false">IFERROR(IF(C$349*C$350*C353&gt;0,STDEV(C$349:C$350,C353),"")/IF(C$349*C$350*C353&gt;0,AVERAGE(C$349:C$350,C353),""),"")</f>
        <v/>
      </c>
      <c r="T401" s="227" t="str">
        <f aca="false">IFERROR(IF(D$349*D$350*D353&gt;0,STDEV(D$349:D$350,D353),"")/IF(D$349*D$350*D353&gt;0,AVERAGE(D$349:D$350,D353),""),"")</f>
        <v/>
      </c>
      <c r="U401" s="227" t="str">
        <f aca="false">IFERROR(IF(E$349*E$350*E353&gt;0,STDEV(E$349:E$350,E353),"")/IF(E$349*E$350*E353&gt;0,AVERAGE(E$349:E$350,E353),""),"")</f>
        <v/>
      </c>
      <c r="V401" s="227" t="str">
        <f aca="false">IFERROR(IF(F$349*F$350*F353&gt;0,STDEV(F$349:F$350,F353),"")/IF(F$349*F$350*F353&gt;0,AVERAGE(F$349:F$350,F353),""),"")</f>
        <v/>
      </c>
      <c r="W401" s="227" t="str">
        <f aca="false">IFERROR(IF(G$349*G$350*G353&gt;0,STDEV(G$349:G$350,G353),"")/IF(G$349*G$350*G353&gt;0,AVERAGE(G$349:G$350,G353),""),"")</f>
        <v/>
      </c>
      <c r="X401" s="227" t="str">
        <f aca="false">IFERROR(IF(H$349*H$350*H353&gt;0,STDEV(H$349:H$350,H353),"")/IF(H$349*H$350*H353&gt;0,AVERAGE(H$349:H$350,H353),""),"")</f>
        <v/>
      </c>
      <c r="Y401" s="227" t="str">
        <f aca="false">IFERROR(IF(I$349*I$350*I353&gt;0,STDEV(I$349:I$350,I353),"")/IF(I$349*I$350*I353&gt;0,AVERAGE(I$349:I$350,I353),""),"")</f>
        <v/>
      </c>
      <c r="Z401" s="227" t="str">
        <f aca="false">IFERROR(IF(J$349*J$350*J353&gt;0,STDEV(J$349:J$350,J353),"")/IF(J$349*J$350*J353&gt;0,AVERAGE(J$349:J$350,J353),""),"")</f>
        <v/>
      </c>
      <c r="AA401" s="227" t="str">
        <f aca="false">IFERROR(IF(K$349*K$350*K353&gt;0,STDEV(K$349:K$350,K353),"")/IF(K$349*K$350*K353&gt;0,AVERAGE(K$349:K$350,K353),""),"")</f>
        <v/>
      </c>
      <c r="AB401" s="227" t="str">
        <f aca="false">IFERROR(IF(L$349*L$350*L353&gt;0,STDEV(L$349:L$350,L353),"")/IF(L$349*L$350*L353&gt;0,AVERAGE(L$349:L$350,L353),""),"")</f>
        <v/>
      </c>
      <c r="AC401" s="227" t="str">
        <f aca="false">IFERROR(IF(M$349*M$350*M353&gt;0,STDEV(M$349:M$350,M353),"")/IF(M$349*M$350*M353&gt;0,AVERAGE(M$349:M$350,M353),""),"")</f>
        <v/>
      </c>
      <c r="AD401" s="227" t="str">
        <f aca="false">IFERROR(IF(N$349*N$350*N353&gt;0,STDEV(N$349:N$350,N353),"")/IF(N$349*N$350*N353&gt;0,AVERAGE(N$349:N$350,N353),""),"")</f>
        <v/>
      </c>
      <c r="AE401" s="228"/>
      <c r="AF401" s="229" t="s">
        <v>642</v>
      </c>
      <c r="AG401" s="230" t="str">
        <f aca="false">IFERROR(IF(C$349*C$350*C353&gt;0,STDEV(C$349:C$350,C353)," ")/IF(C$349*C$350*C353&gt;0,SQRT(COUNT(C$349:C$350,C353))," "),"")</f>
        <v/>
      </c>
      <c r="AH401" s="230" t="str">
        <f aca="false">IFERROR(IF(D$349*D$350*D353&gt;0,STDEV(D$349:D$350,D353)," ")/IF(D$349*D$350*D353&gt;0,SQRT(COUNT(D$349:D$350,D353))," "),"")</f>
        <v/>
      </c>
      <c r="AI401" s="230" t="str">
        <f aca="false">IFERROR(IF(E$349*E$350*E353&gt;0,STDEV(E$349:E$350,E353)," ")/IF(E$349*E$350*E353&gt;0,SQRT(COUNT(E$349:E$350,E353))," "),"")</f>
        <v/>
      </c>
      <c r="AJ401" s="230" t="str">
        <f aca="false">IFERROR(IF(F$349*F$350*F353&gt;0,STDEV(F$349:F$350,F353)," ")/IF(F$349*F$350*F353&gt;0,SQRT(COUNT(F$349:F$350,F353))," "),"")</f>
        <v/>
      </c>
      <c r="AK401" s="230" t="str">
        <f aca="false">IFERROR(IF(G$349*G$350*G353&gt;0,STDEV(G$349:G$350,G353)," ")/IF(G$349*G$350*G353&gt;0,SQRT(COUNT(G$349:G$350,G353))," "),"")</f>
        <v/>
      </c>
      <c r="AL401" s="230" t="str">
        <f aca="false">IFERROR(IF(H$349*H$350*H353&gt;0,STDEV(H$349:H$350,H353)," ")/IF(H$349*H$350*H353&gt;0,SQRT(COUNT(H$349:H$350,H353))," "),"")</f>
        <v/>
      </c>
      <c r="AM401" s="230" t="str">
        <f aca="false">IFERROR(IF(I$349*I$350*I353&gt;0,STDEV(I$349:I$350,I353)," ")/IF(I$349*I$350*I353&gt;0,SQRT(COUNT(I$349:I$350,I353))," "),"")</f>
        <v/>
      </c>
      <c r="AN401" s="230" t="str">
        <f aca="false">IFERROR(IF(J$349*J$350*J353&gt;0,STDEV(J$349:J$350,J353)," ")/IF(J$349*J$350*J353&gt;0,SQRT(COUNT(J$349:J$350,J353))," "),"")</f>
        <v/>
      </c>
      <c r="AO401" s="230" t="str">
        <f aca="false">IFERROR(IF(K$349*K$350*K353&gt;0,STDEV(K$349:K$350,K353)," ")/IF(K$349*K$350*K353&gt;0,SQRT(COUNT(K$349:K$350,K353))," "),"")</f>
        <v/>
      </c>
      <c r="AP401" s="230" t="str">
        <f aca="false">IFERROR(IF(L$349*L$350*L353&gt;0,STDEV(L$349:L$350,L353)," ")/IF(L$349*L$350*L353&gt;0,SQRT(COUNT(L$349:L$350,L353))," "),"")</f>
        <v/>
      </c>
      <c r="AQ401" s="230" t="str">
        <f aca="false">IFERROR(IF(M$349*M$350*M353&gt;0,STDEV(M$349:M$350,M353)," ")/IF(M$349*M$350*M353&gt;0,SQRT(COUNT(M$349:M$350,M353))," "),"")</f>
        <v/>
      </c>
      <c r="AR401" s="230" t="str">
        <f aca="false">IFERROR(IF(N$349*N$350*N353&gt;0,STDEV(N$349:N$350,N353)," ")/IF(N$349*N$350*N353&gt;0,SQRT(COUNT(N$349:N$350,N353))," "),"")</f>
        <v/>
      </c>
    </row>
    <row r="402" customFormat="false" ht="15.75" hidden="false" customHeight="false" outlineLevel="0" collapsed="false">
      <c r="A402" s="220" t="s">
        <v>261</v>
      </c>
      <c r="B402" s="221"/>
      <c r="C402" s="222" t="str">
        <f aca="false">IFERROR(IF(C$350*C$351*C347&gt;0,AVERAGE(C$350:C$351,C347),""),"")</f>
        <v/>
      </c>
      <c r="D402" s="222" t="str">
        <f aca="false">IFERROR(IF(D$350*D$351*D347&gt;0,AVERAGE(D$350:D$351,D347),""),"")</f>
        <v/>
      </c>
      <c r="E402" s="222" t="str">
        <f aca="false">IFERROR(IF(E$350*E$351*E347&gt;0,AVERAGE(E$350:E$351,E347),""),"")</f>
        <v/>
      </c>
      <c r="F402" s="222" t="str">
        <f aca="false">IFERROR(IF(F$350*F$351*F347&gt;0,AVERAGE(F$350:F$351,F347),""),"")</f>
        <v/>
      </c>
      <c r="G402" s="222" t="str">
        <f aca="false">IFERROR(IF(G$350*G$351*G347&gt;0,AVERAGE(G$350:G$351,G347),""),"")</f>
        <v/>
      </c>
      <c r="H402" s="222" t="str">
        <f aca="false">IFERROR(IF(H$350*H$351*H347&gt;0,AVERAGE(H$350:H$351,H347),""),"")</f>
        <v/>
      </c>
      <c r="I402" s="222" t="str">
        <f aca="false">IFERROR(IF(I$350*I$351*I347&gt;0,AVERAGE(I$350:I$351,I347),""),"")</f>
        <v/>
      </c>
      <c r="J402" s="222" t="str">
        <f aca="false">IFERROR(IF(J$350*J$351*J347&gt;0,AVERAGE(J$350:J$351,J347),""),"")</f>
        <v/>
      </c>
      <c r="K402" s="222" t="str">
        <f aca="false">IFERROR(IF(K$350*K$351*K347&gt;0,AVERAGE(K$350:K$351,K347),""),"")</f>
        <v/>
      </c>
      <c r="L402" s="222" t="str">
        <f aca="false">IFERROR(IF(L$350*L$351*L347&gt;0,AVERAGE(L$350:L$351,L347),""),"")</f>
        <v/>
      </c>
      <c r="M402" s="222" t="str">
        <f aca="false">IFERROR(IF(M$350*M$351*M347&gt;0,AVERAGE(M$350:M$351,M347),""),"")</f>
        <v/>
      </c>
      <c r="N402" s="222" t="str">
        <f aca="false">IFERROR(IF(N$350*N$351*N347&gt;0,AVERAGE(N$350:N$351,N347),""),"")</f>
        <v/>
      </c>
      <c r="O402" s="257"/>
      <c r="P402" s="253"/>
      <c r="Q402" s="254"/>
      <c r="R402" s="226" t="s">
        <v>378</v>
      </c>
      <c r="S402" s="227" t="str">
        <f aca="false">IFERROR(IF(C$350*C$351*C347&gt;0,STDEV(C$350:C$351,C347),"")/IF(C$350*C$351*C347&gt;0,AVERAGE(C$350:C$351,C347),""),"")</f>
        <v/>
      </c>
      <c r="T402" s="227" t="str">
        <f aca="false">IFERROR(IF(D$350*D$351*D347&gt;0,STDEV(D$350:D$351,D347),"")/IF(D$350*D$351*D347&gt;0,AVERAGE(D$350:D$351,D347),""),"")</f>
        <v/>
      </c>
      <c r="U402" s="227" t="str">
        <f aca="false">IFERROR(IF(E$350*E$351*E347&gt;0,STDEV(E$350:E$351,E347),"")/IF(E$350*E$351*E347&gt;0,AVERAGE(E$350:E$351,E347),""),"")</f>
        <v/>
      </c>
      <c r="V402" s="227" t="str">
        <f aca="false">IFERROR(IF(F$350*F$351*F347&gt;0,STDEV(F$350:F$351,F347),"")/IF(F$350*F$351*F347&gt;0,AVERAGE(F$350:F$351,F347),""),"")</f>
        <v/>
      </c>
      <c r="W402" s="227" t="str">
        <f aca="false">IFERROR(IF(G$350*G$351*G347&gt;0,STDEV(G$350:G$351,G347),"")/IF(G$350*G$351*G347&gt;0,AVERAGE(G$350:G$351,G347),""),"")</f>
        <v/>
      </c>
      <c r="X402" s="227" t="str">
        <f aca="false">IFERROR(IF(H$350*H$351*H347&gt;0,STDEV(H$350:H$351,H347),"")/IF(H$350*H$351*H347&gt;0,AVERAGE(H$350:H$351,H347),""),"")</f>
        <v/>
      </c>
      <c r="Y402" s="227" t="str">
        <f aca="false">IFERROR(IF(I$350*I$351*I347&gt;0,STDEV(I$350:I$351,I347),"")/IF(I$350*I$351*I347&gt;0,AVERAGE(I$350:I$351,I347),""),"")</f>
        <v/>
      </c>
      <c r="Z402" s="227" t="str">
        <f aca="false">IFERROR(IF(J$350*J$351*J347&gt;0,STDEV(J$350:J$351,J347),"")/IF(J$350*J$351*J347&gt;0,AVERAGE(J$350:J$351,J347),""),"")</f>
        <v/>
      </c>
      <c r="AA402" s="227" t="str">
        <f aca="false">IFERROR(IF(K$350*K$351*K347&gt;0,STDEV(K$350:K$351,K347),"")/IF(K$350*K$351*K347&gt;0,AVERAGE(K$350:K$351,K347),""),"")</f>
        <v/>
      </c>
      <c r="AB402" s="227" t="str">
        <f aca="false">IFERROR(IF(L$350*L$351*L347&gt;0,STDEV(L$350:L$351,L347),"")/IF(L$350*L$351*L347&gt;0,AVERAGE(L$350:L$351,L347),""),"")</f>
        <v/>
      </c>
      <c r="AC402" s="227" t="str">
        <f aca="false">IFERROR(IF(M$350*M$351*M347&gt;0,STDEV(M$350:M$351,M347),"")/IF(M$350*M$351*M347&gt;0,AVERAGE(M$350:M$351,M347),""),"")</f>
        <v/>
      </c>
      <c r="AD402" s="227" t="str">
        <f aca="false">IFERROR(IF(N$350*N$351*N347&gt;0,STDEV(N$350:N$351,N347),"")/IF(N$350*N$351*N347&gt;0,AVERAGE(N$350:N$351,N347),""),"")</f>
        <v/>
      </c>
      <c r="AE402" s="228"/>
      <c r="AF402" s="229" t="s">
        <v>379</v>
      </c>
      <c r="AG402" s="230" t="str">
        <f aca="false">IFERROR(IF(C$350*C$351*C347&gt;0,STDEV(C$350:C$351,C347)," ")/IF(C$350*C$351*C347&gt;0,SQRT(COUNT(C$350:C$351,C347))," "),"")</f>
        <v/>
      </c>
      <c r="AH402" s="230" t="str">
        <f aca="false">IFERROR(IF(D$350*D$351*D347&gt;0,STDEV(D$350:D$351,D347)," ")/IF(D$350*D$351*D347&gt;0,SQRT(COUNT(D$350:D$351,D347))," "),"")</f>
        <v/>
      </c>
      <c r="AI402" s="230" t="str">
        <f aca="false">IFERROR(IF(E$350*E$351*E347&gt;0,STDEV(E$350:E$351,E347)," ")/IF(E$350*E$351*E347&gt;0,SQRT(COUNT(E$350:E$351,E347))," "),"")</f>
        <v/>
      </c>
      <c r="AJ402" s="230" t="str">
        <f aca="false">IFERROR(IF(F$350*F$351*F347&gt;0,STDEV(F$350:F$351,F347)," ")/IF(F$350*F$351*F347&gt;0,SQRT(COUNT(F$350:F$351,F347))," "),"")</f>
        <v/>
      </c>
      <c r="AK402" s="230" t="str">
        <f aca="false">IFERROR(IF(G$350*G$351*G347&gt;0,STDEV(G$350:G$351,G347)," ")/IF(G$350*G$351*G347&gt;0,SQRT(COUNT(G$350:G$351,G347))," "),"")</f>
        <v/>
      </c>
      <c r="AL402" s="230" t="str">
        <f aca="false">IFERROR(IF(H$350*H$351*H347&gt;0,STDEV(H$350:H$351,H347)," ")/IF(H$350*H$351*H347&gt;0,SQRT(COUNT(H$350:H$351,H347))," "),"")</f>
        <v/>
      </c>
      <c r="AM402" s="230" t="str">
        <f aca="false">IFERROR(IF(I$350*I$351*I347&gt;0,STDEV(I$350:I$351,I347)," ")/IF(I$350*I$351*I347&gt;0,SQRT(COUNT(I$350:I$351,I347))," "),"")</f>
        <v/>
      </c>
      <c r="AN402" s="230" t="str">
        <f aca="false">IFERROR(IF(J$350*J$351*J347&gt;0,STDEV(J$350:J$351,J347)," ")/IF(J$350*J$351*J347&gt;0,SQRT(COUNT(J$350:J$351,J347))," "),"")</f>
        <v/>
      </c>
      <c r="AO402" s="230" t="str">
        <f aca="false">IFERROR(IF(K$350*K$351*K347&gt;0,STDEV(K$350:K$351,K347)," ")/IF(K$350*K$351*K347&gt;0,SQRT(COUNT(K$350:K$351,K347))," "),"")</f>
        <v/>
      </c>
      <c r="AP402" s="230" t="str">
        <f aca="false">IFERROR(IF(L$350*L$351*L347&gt;0,STDEV(L$350:L$351,L347)," ")/IF(L$350*L$351*L347&gt;0,SQRT(COUNT(L$350:L$351,L347))," "),"")</f>
        <v/>
      </c>
      <c r="AQ402" s="230" t="str">
        <f aca="false">IFERROR(IF(M$350*M$351*M347&gt;0,STDEV(M$350:M$351,M347)," ")/IF(M$350*M$351*M347&gt;0,SQRT(COUNT(M$350:M$351,M347))," "),"")</f>
        <v/>
      </c>
      <c r="AR402" s="230" t="str">
        <f aca="false">IFERROR(IF(N$350*N$351*N347&gt;0,STDEV(N$350:N$351,N347)," ")/IF(N$350*N$351*N347&gt;0,SQRT(COUNT(N$350:N$351,N347))," "),"")</f>
        <v/>
      </c>
    </row>
    <row r="403" customFormat="false" ht="15.75" hidden="false" customHeight="false" outlineLevel="0" collapsed="false">
      <c r="A403" s="220" t="s">
        <v>380</v>
      </c>
      <c r="B403" s="221"/>
      <c r="C403" s="222" t="str">
        <f aca="false">IFERROR(IF(C$350*C$351*C348&gt;0,AVERAGE(C$350:C$351,C348),""),"")</f>
        <v/>
      </c>
      <c r="D403" s="222" t="str">
        <f aca="false">IFERROR(IF(D$350*D$351*D348&gt;0,AVERAGE(D$350:D$351,D348),""),"")</f>
        <v/>
      </c>
      <c r="E403" s="222" t="str">
        <f aca="false">IFERROR(IF(E$350*E$351*E348&gt;0,AVERAGE(E$350:E$351,E348),""),"")</f>
        <v/>
      </c>
      <c r="F403" s="222" t="str">
        <f aca="false">IFERROR(IF(F$350*F$351*F348&gt;0,AVERAGE(F$350:F$351,F348),""),"")</f>
        <v/>
      </c>
      <c r="G403" s="222" t="str">
        <f aca="false">IFERROR(IF(G$350*G$351*G348&gt;0,AVERAGE(G$350:G$351,G348),""),"")</f>
        <v/>
      </c>
      <c r="H403" s="222" t="str">
        <f aca="false">IFERROR(IF(H$350*H$351*H348&gt;0,AVERAGE(H$350:H$351,H348),""),"")</f>
        <v/>
      </c>
      <c r="I403" s="222" t="str">
        <f aca="false">IFERROR(IF(I$350*I$351*I348&gt;0,AVERAGE(I$350:I$351,I348),""),"")</f>
        <v/>
      </c>
      <c r="J403" s="222" t="str">
        <f aca="false">IFERROR(IF(J$350*J$351*J348&gt;0,AVERAGE(J$350:J$351,J348),""),"")</f>
        <v/>
      </c>
      <c r="K403" s="222" t="str">
        <f aca="false">IFERROR(IF(K$350*K$351*K348&gt;0,AVERAGE(K$350:K$351,K348),""),"")</f>
        <v/>
      </c>
      <c r="L403" s="222" t="str">
        <f aca="false">IFERROR(IF(L$350*L$351*L348&gt;0,AVERAGE(L$350:L$351,L348),""),"")</f>
        <v/>
      </c>
      <c r="M403" s="222" t="str">
        <f aca="false">IFERROR(IF(M$350*M$351*M348&gt;0,AVERAGE(M$350:M$351,M348),""),"")</f>
        <v/>
      </c>
      <c r="N403" s="222" t="str">
        <f aca="false">IFERROR(IF(N$350*N$351*N348&gt;0,AVERAGE(N$350:N$351,N348),""),"")</f>
        <v/>
      </c>
      <c r="O403" s="258"/>
      <c r="P403" s="259"/>
      <c r="Q403" s="260"/>
      <c r="R403" s="226" t="s">
        <v>381</v>
      </c>
      <c r="S403" s="227" t="str">
        <f aca="false">IFERROR(IF(C$350*C$351*C348&gt;0,STDEV(C$350:C$351,C348),"")/IF(C$350*C$351*C348&gt;0,AVERAGE(C$350:C$351,C348),""),"")</f>
        <v/>
      </c>
      <c r="T403" s="227" t="str">
        <f aca="false">IFERROR(IF(D$350*D$351*D348&gt;0,STDEV(D$350:D$351,D348),"")/IF(D$350*D$351*D348&gt;0,AVERAGE(D$350:D$351,D348),""),"")</f>
        <v/>
      </c>
      <c r="U403" s="227" t="str">
        <f aca="false">IFERROR(IF(E$350*E$351*E348&gt;0,STDEV(E$350:E$351,E348),"")/IF(E$350*E$351*E348&gt;0,AVERAGE(E$350:E$351,E348),""),"")</f>
        <v/>
      </c>
      <c r="V403" s="227" t="str">
        <f aca="false">IFERROR(IF(F$350*F$351*F348&gt;0,STDEV(F$350:F$351,F348),"")/IF(F$350*F$351*F348&gt;0,AVERAGE(F$350:F$351,F348),""),"")</f>
        <v/>
      </c>
      <c r="W403" s="227" t="str">
        <f aca="false">IFERROR(IF(G$350*G$351*G348&gt;0,STDEV(G$350:G$351,G348),"")/IF(G$350*G$351*G348&gt;0,AVERAGE(G$350:G$351,G348),""),"")</f>
        <v/>
      </c>
      <c r="X403" s="227" t="str">
        <f aca="false">IFERROR(IF(H$350*H$351*H348&gt;0,STDEV(H$350:H$351,H348),"")/IF(H$350*H$351*H348&gt;0,AVERAGE(H$350:H$351,H348),""),"")</f>
        <v/>
      </c>
      <c r="Y403" s="227" t="str">
        <f aca="false">IFERROR(IF(I$350*I$351*I348&gt;0,STDEV(I$350:I$351,I348),"")/IF(I$350*I$351*I348&gt;0,AVERAGE(I$350:I$351,I348),""),"")</f>
        <v/>
      </c>
      <c r="Z403" s="227" t="str">
        <f aca="false">IFERROR(IF(J$350*J$351*J348&gt;0,STDEV(J$350:J$351,J348),"")/IF(J$350*J$351*J348&gt;0,AVERAGE(J$350:J$351,J348),""),"")</f>
        <v/>
      </c>
      <c r="AA403" s="227" t="str">
        <f aca="false">IFERROR(IF(K$350*K$351*K348&gt;0,STDEV(K$350:K$351,K348),"")/IF(K$350*K$351*K348&gt;0,AVERAGE(K$350:K$351,K348),""),"")</f>
        <v/>
      </c>
      <c r="AB403" s="227" t="str">
        <f aca="false">IFERROR(IF(L$350*L$351*L348&gt;0,STDEV(L$350:L$351,L348),"")/IF(L$350*L$351*L348&gt;0,AVERAGE(L$350:L$351,L348),""),"")</f>
        <v/>
      </c>
      <c r="AC403" s="227" t="str">
        <f aca="false">IFERROR(IF(M$350*M$351*M348&gt;0,STDEV(M$350:M$351,M348),"")/IF(M$350*M$351*M348&gt;0,AVERAGE(M$350:M$351,M348),""),"")</f>
        <v/>
      </c>
      <c r="AD403" s="227" t="str">
        <f aca="false">IFERROR(IF(N$350*N$351*N348&gt;0,STDEV(N$350:N$351,N348),"")/IF(N$350*N$351*N348&gt;0,AVERAGE(N$350:N$351,N348),""),"")</f>
        <v/>
      </c>
      <c r="AE403" s="258"/>
      <c r="AF403" s="229" t="s">
        <v>382</v>
      </c>
      <c r="AG403" s="230" t="str">
        <f aca="false">IFERROR(IF(C$350*C$351*C348&gt;0,STDEV(C$350:C$351,C348)," ")/IF(C$350*C$351*C348&gt;0,SQRT(COUNT(C$350:C$351,C348)),""),"")</f>
        <v/>
      </c>
      <c r="AH403" s="230" t="str">
        <f aca="false">IFERROR(IF(D$350*D$351*D348&gt;0,STDEV(D$350:D$351,D348)," ")/IF(D$350*D$351*D348&gt;0,SQRT(COUNT(D$350:D$351,D348)),""),"")</f>
        <v/>
      </c>
      <c r="AI403" s="230" t="str">
        <f aca="false">IFERROR(IF(E$350*E$351*E348&gt;0,STDEV(E$350:E$351,E348)," ")/IF(E$350*E$351*E348&gt;0,SQRT(COUNT(E$350:E$351,E348)),""),"")</f>
        <v/>
      </c>
      <c r="AJ403" s="230" t="str">
        <f aca="false">IFERROR(IF(F$350*F$351*F348&gt;0,STDEV(F$350:F$351,F348)," ")/IF(F$350*F$351*F348&gt;0,SQRT(COUNT(F$350:F$351,F348)),""),"")</f>
        <v/>
      </c>
      <c r="AK403" s="230" t="str">
        <f aca="false">IFERROR(IF(G$350*G$351*G348&gt;0,STDEV(G$350:G$351,G348)," ")/IF(G$350*G$351*G348&gt;0,SQRT(COUNT(G$350:G$351,G348)),""),"")</f>
        <v/>
      </c>
      <c r="AL403" s="230" t="str">
        <f aca="false">IFERROR(IF(H$350*H$351*H348&gt;0,STDEV(H$350:H$351,H348)," ")/IF(H$350*H$351*H348&gt;0,SQRT(COUNT(H$350:H$351,H348)),""),"")</f>
        <v/>
      </c>
      <c r="AM403" s="230" t="str">
        <f aca="false">IFERROR(IF(I$350*I$351*I348&gt;0,STDEV(I$350:I$351,I348)," ")/IF(I$350*I$351*I348&gt;0,SQRT(COUNT(I$350:I$351,I348)),""),"")</f>
        <v/>
      </c>
      <c r="AN403" s="230" t="str">
        <f aca="false">IFERROR(IF(J$350*J$351*J348&gt;0,STDEV(J$350:J$351,J348)," ")/IF(J$350*J$351*J348&gt;0,SQRT(COUNT(J$350:J$351,J348)),""),"")</f>
        <v/>
      </c>
      <c r="AO403" s="230" t="str">
        <f aca="false">IFERROR(IF(K$350*K$351*K348&gt;0,STDEV(K$350:K$351,K348)," ")/IF(K$350*K$351*K348&gt;0,SQRT(COUNT(K$350:K$351,K348)),""),"")</f>
        <v/>
      </c>
      <c r="AP403" s="230" t="str">
        <f aca="false">IFERROR(IF(L$350*L$351*L348&gt;0,STDEV(L$350:L$351,L348)," ")/IF(L$350*L$351*L348&gt;0,SQRT(COUNT(L$350:L$351,L348)),""),"")</f>
        <v/>
      </c>
      <c r="AQ403" s="230" t="str">
        <f aca="false">IFERROR(IF(M$350*M$351*M348&gt;0,STDEV(M$350:M$351,M348)," ")/IF(M$350*M$351*M348&gt;0,SQRT(COUNT(M$350:M$351,M348)),""),"")</f>
        <v/>
      </c>
      <c r="AR403" s="230" t="str">
        <f aca="false">IFERROR(IF(N$350*N$351*N348&gt;0,STDEV(N$350:N$351,N348)," ")/IF(N$350*N$351*N348&gt;0,SQRT(COUNT(N$350:N$351,N348)),""),"")</f>
        <v/>
      </c>
    </row>
    <row r="404" customFormat="false" ht="15.75" hidden="false" customHeight="false" outlineLevel="0" collapsed="false">
      <c r="A404" s="220" t="s">
        <v>383</v>
      </c>
      <c r="B404" s="221"/>
      <c r="C404" s="222" t="str">
        <f aca="false">IFERROR(IF(C$350*C$351*C352&gt;0,AVERAGE(C$350:C$351,C352),""),"")</f>
        <v/>
      </c>
      <c r="D404" s="222" t="str">
        <f aca="false">IFERROR(IF(D$350*D$351*D352&gt;0,AVERAGE(D$350:D$351,D352),""),"")</f>
        <v/>
      </c>
      <c r="E404" s="222" t="str">
        <f aca="false">IFERROR(IF(E$350*E$351*E352&gt;0,AVERAGE(E$350:E$351,E352),""),"")</f>
        <v/>
      </c>
      <c r="F404" s="222" t="str">
        <f aca="false">IFERROR(IF(F$350*F$351*F352&gt;0,AVERAGE(F$350:F$351,F352),""),"")</f>
        <v/>
      </c>
      <c r="G404" s="222" t="str">
        <f aca="false">IFERROR(IF(G$350*G$351*G352&gt;0,AVERAGE(G$350:G$351,G352),""),"")</f>
        <v/>
      </c>
      <c r="H404" s="222" t="str">
        <f aca="false">IFERROR(IF(H$350*H$351*H352&gt;0,AVERAGE(H$350:H$351,H352),""),"")</f>
        <v/>
      </c>
      <c r="I404" s="222" t="str">
        <f aca="false">IFERROR(IF(I$350*I$351*I352&gt;0,AVERAGE(I$350:I$351,I352),""),"")</f>
        <v/>
      </c>
      <c r="J404" s="222" t="str">
        <f aca="false">IFERROR(IF(J$350*J$351*J352&gt;0,AVERAGE(J$350:J$351,J352),""),"")</f>
        <v/>
      </c>
      <c r="K404" s="222" t="str">
        <f aca="false">IFERROR(IF(K$350*K$351*K352&gt;0,AVERAGE(K$350:K$351,K352),""),"")</f>
        <v/>
      </c>
      <c r="L404" s="222" t="str">
        <f aca="false">IFERROR(IF(L$350*L$351*L352&gt;0,AVERAGE(L$350:L$351,L352),""),"")</f>
        <v/>
      </c>
      <c r="M404" s="222" t="str">
        <f aca="false">IFERROR(IF(M$350*M$351*M352&gt;0,AVERAGE(M$350:M$351,M352),""),"")</f>
        <v/>
      </c>
      <c r="N404" s="222" t="str">
        <f aca="false">IFERROR(IF(N$350*N$351*N352&gt;0,AVERAGE(N$350:N$351,N352),""),"")</f>
        <v/>
      </c>
      <c r="O404" s="253"/>
      <c r="P404" s="253"/>
      <c r="Q404" s="254"/>
      <c r="R404" s="226" t="s">
        <v>384</v>
      </c>
      <c r="S404" s="227" t="str">
        <f aca="false">IFERROR(IF(C$350*C$351*C352&gt;0,STDEV(C$350:C$351,C352),"")/IF(C$350*C$351*C352&gt;0,AVERAGE(C$350:C$351,C352),""),"")</f>
        <v/>
      </c>
      <c r="T404" s="227" t="str">
        <f aca="false">IFERROR(IF(D$350*D$351*D352&gt;0,STDEV(D$350:D$351,D352),"")/IF(D$350*D$351*D352&gt;0,AVERAGE(D$350:D$351,D352),""),"")</f>
        <v/>
      </c>
      <c r="U404" s="227" t="str">
        <f aca="false">IFERROR(IF(E$350*E$351*E352&gt;0,STDEV(E$350:E$351,E352),"")/IF(E$350*E$351*E352&gt;0,AVERAGE(E$350:E$351,E352),""),"")</f>
        <v/>
      </c>
      <c r="V404" s="227" t="str">
        <f aca="false">IFERROR(IF(F$350*F$351*F352&gt;0,STDEV(F$350:F$351,F352),"")/IF(F$350*F$351*F352&gt;0,AVERAGE(F$350:F$351,F352),""),"")</f>
        <v/>
      </c>
      <c r="W404" s="227" t="str">
        <f aca="false">IFERROR(IF(G$350*G$351*G352&gt;0,STDEV(G$350:G$351,G352),"")/IF(G$350*G$351*G352&gt;0,AVERAGE(G$350:G$351,G352),""),"")</f>
        <v/>
      </c>
      <c r="X404" s="227" t="str">
        <f aca="false">IFERROR(IF(H$350*H$351*H352&gt;0,STDEV(H$350:H$351,H352),"")/IF(H$350*H$351*H352&gt;0,AVERAGE(H$350:H$351,H352),""),"")</f>
        <v/>
      </c>
      <c r="Y404" s="227" t="str">
        <f aca="false">IFERROR(IF(I$350*I$351*I352&gt;0,STDEV(I$350:I$351,I352),"")/IF(I$350*I$351*I352&gt;0,AVERAGE(I$350:I$351,I352),""),"")</f>
        <v/>
      </c>
      <c r="Z404" s="227" t="str">
        <f aca="false">IFERROR(IF(J$350*J$351*J352&gt;0,STDEV(J$350:J$351,J352),"")/IF(J$350*J$351*J352&gt;0,AVERAGE(J$350:J$351,J352),""),"")</f>
        <v/>
      </c>
      <c r="AA404" s="227" t="str">
        <f aca="false">IFERROR(IF(K$350*K$351*K352&gt;0,STDEV(K$350:K$351,K352),"")/IF(K$350*K$351*K352&gt;0,AVERAGE(K$350:K$351,K352),""),"")</f>
        <v/>
      </c>
      <c r="AB404" s="227" t="str">
        <f aca="false">IFERROR(IF(L$350*L$351*L352&gt;0,STDEV(L$350:L$351,L352),"")/IF(L$350*L$351*L352&gt;0,AVERAGE(L$350:L$351,L352),""),"")</f>
        <v/>
      </c>
      <c r="AC404" s="227" t="str">
        <f aca="false">IFERROR(IF(M$350*M$351*M352&gt;0,STDEV(M$350:M$351,M352),"")/IF(M$350*M$351*M352&gt;0,AVERAGE(M$350:M$351,M352),""),"")</f>
        <v/>
      </c>
      <c r="AD404" s="227" t="str">
        <f aca="false">IFERROR(IF(N$350*N$351*N352&gt;0,STDEV(N$350:N$351,N352),"")/IF(N$350*N$351*N352&gt;0,AVERAGE(N$350:N$351,N352),""),"")</f>
        <v/>
      </c>
      <c r="AE404" s="233"/>
      <c r="AF404" s="229" t="s">
        <v>385</v>
      </c>
      <c r="AG404" s="230" t="str">
        <f aca="false">IFERROR(IF(C$350*C$351*C352&gt;0,STDEV(C$350:C$351,C352)," ")/IF(C$350*C$351*C352&gt;0,SQRT(COUNT(C$350:C$351,C352))," "),"")</f>
        <v/>
      </c>
      <c r="AH404" s="230" t="str">
        <f aca="false">IFERROR(IF(D$350*D$351*D352&gt;0,STDEV(D$350:D$351,D352)," ")/IF(D$350*D$351*D352&gt;0,SQRT(COUNT(D$350:D$351,D352))," "),"")</f>
        <v/>
      </c>
      <c r="AI404" s="230" t="str">
        <f aca="false">IFERROR(IF(E$350*E$351*E352&gt;0,STDEV(E$350:E$351,E352)," ")/IF(E$350*E$351*E352&gt;0,SQRT(COUNT(E$350:E$351,E352))," "),"")</f>
        <v/>
      </c>
      <c r="AJ404" s="230" t="str">
        <f aca="false">IFERROR(IF(F$350*F$351*F352&gt;0,STDEV(F$350:F$351,F352)," ")/IF(F$350*F$351*F352&gt;0,SQRT(COUNT(F$350:F$351,F352))," "),"")</f>
        <v/>
      </c>
      <c r="AK404" s="230" t="str">
        <f aca="false">IFERROR(IF(G$350*G$351*G352&gt;0,STDEV(G$350:G$351,G352)," ")/IF(G$350*G$351*G352&gt;0,SQRT(COUNT(G$350:G$351,G352))," "),"")</f>
        <v/>
      </c>
      <c r="AL404" s="230" t="str">
        <f aca="false">IFERROR(IF(H$350*H$351*H352&gt;0,STDEV(H$350:H$351,H352)," ")/IF(H$350*H$351*H352&gt;0,SQRT(COUNT(H$350:H$351,H352))," "),"")</f>
        <v/>
      </c>
      <c r="AM404" s="230" t="str">
        <f aca="false">IFERROR(IF(I$350*I$351*I352&gt;0,STDEV(I$350:I$351,I352)," ")/IF(I$350*I$351*I352&gt;0,SQRT(COUNT(I$350:I$351,I352))," "),"")</f>
        <v/>
      </c>
      <c r="AN404" s="230" t="str">
        <f aca="false">IFERROR(IF(J$350*J$351*J352&gt;0,STDEV(J$350:J$351,J352)," ")/IF(J$350*J$351*J352&gt;0,SQRT(COUNT(J$350:J$351,J352))," "),"")</f>
        <v/>
      </c>
      <c r="AO404" s="230" t="str">
        <f aca="false">IFERROR(IF(K$350*K$351*K352&gt;0,STDEV(K$350:K$351,K352)," ")/IF(K$350*K$351*K352&gt;0,SQRT(COUNT(K$350:K$351,K352))," "),"")</f>
        <v/>
      </c>
      <c r="AP404" s="230" t="str">
        <f aca="false">IFERROR(IF(L$350*L$351*L352&gt;0,STDEV(L$350:L$351,L352)," ")/IF(L$350*L$351*L352&gt;0,SQRT(COUNT(L$350:L$351,L352))," "),"")</f>
        <v/>
      </c>
      <c r="AQ404" s="230" t="str">
        <f aca="false">IFERROR(IF(M$350*M$351*M352&gt;0,STDEV(M$350:M$351,M352)," ")/IF(M$350*M$351*M352&gt;0,SQRT(COUNT(M$350:M$351,M352))," "),"")</f>
        <v/>
      </c>
      <c r="AR404" s="230" t="str">
        <f aca="false">IFERROR(IF(N$350*N$351*N352&gt;0,STDEV(N$350:N$351,N352)," ")/IF(N$350*N$351*N352&gt;0,SQRT(COUNT(N$350:N$351,N352))," "),"")</f>
        <v/>
      </c>
    </row>
    <row r="405" customFormat="false" ht="15.75" hidden="false" customHeight="false" outlineLevel="0" collapsed="false">
      <c r="A405" s="220" t="s">
        <v>386</v>
      </c>
      <c r="B405" s="221"/>
      <c r="C405" s="222" t="str">
        <f aca="false">IFERROR(IF(C$350*C$351*C353&gt;0,AVERAGE(C$350:C$351,C353),""),"")</f>
        <v/>
      </c>
      <c r="D405" s="222" t="str">
        <f aca="false">IFERROR(IF(D$350*D$351*D353&gt;0,AVERAGE(D$350:D$351,D353),""),"")</f>
        <v/>
      </c>
      <c r="E405" s="222" t="str">
        <f aca="false">IFERROR(IF(E$350*E$351*E353&gt;0,AVERAGE(E$350:E$351,E353),""),"")</f>
        <v/>
      </c>
      <c r="F405" s="222" t="str">
        <f aca="false">IFERROR(IF(F$350*F$351*F353&gt;0,AVERAGE(F$350:F$351,F353),""),"")</f>
        <v/>
      </c>
      <c r="G405" s="222" t="str">
        <f aca="false">IFERROR(IF(G$350*G$351*G353&gt;0,AVERAGE(G$350:G$351,G353),""),"")</f>
        <v/>
      </c>
      <c r="H405" s="222" t="str">
        <f aca="false">IFERROR(IF(H$350*H$351*H353&gt;0,AVERAGE(H$350:H$351,H353),""),"")</f>
        <v/>
      </c>
      <c r="I405" s="222" t="str">
        <f aca="false">IFERROR(IF(I$350*I$351*I353&gt;0,AVERAGE(I$350:I$351,I353),""),"")</f>
        <v/>
      </c>
      <c r="J405" s="222" t="str">
        <f aca="false">IFERROR(IF(J$350*J$351*J353&gt;0,AVERAGE(J$350:J$351,J353),""),"")</f>
        <v/>
      </c>
      <c r="K405" s="222" t="str">
        <f aca="false">IFERROR(IF(K$350*K$351*K353&gt;0,AVERAGE(K$350:K$351,K353),""),"")</f>
        <v/>
      </c>
      <c r="L405" s="222" t="str">
        <f aca="false">IFERROR(IF(L$350*L$351*L353&gt;0,AVERAGE(L$350:L$351,L353),""),"")</f>
        <v/>
      </c>
      <c r="M405" s="222" t="str">
        <f aca="false">IFERROR(IF(M$350*M$351*M353&gt;0,AVERAGE(M$350:M$351,M353),""),"")</f>
        <v/>
      </c>
      <c r="N405" s="222" t="str">
        <f aca="false">IFERROR(IF(N$350*N$351*N353&gt;0,AVERAGE(N$350:N$351,N353),""),"")</f>
        <v/>
      </c>
      <c r="O405" s="253"/>
      <c r="P405" s="253"/>
      <c r="Q405" s="254"/>
      <c r="R405" s="226" t="s">
        <v>387</v>
      </c>
      <c r="S405" s="227" t="str">
        <f aca="false">IFERROR(IF(C$350*C$351*C353&gt;0,STDEV(C$350:C$351,C353),"")/IF(C$350*C$351*C353&gt;0,AVERAGE(C$350:C$351,C353),""),"")</f>
        <v/>
      </c>
      <c r="T405" s="227" t="str">
        <f aca="false">IFERROR(IF(D$350*D$351*D353&gt;0,STDEV(D$350:D$351,D353),"")/IF(D$350*D$351*D353&gt;0,AVERAGE(D$350:D$351,D353),""),"")</f>
        <v/>
      </c>
      <c r="U405" s="227" t="str">
        <f aca="false">IFERROR(IF(E$350*E$351*E353&gt;0,STDEV(E$350:E$351,E353),"")/IF(E$350*E$351*E353&gt;0,AVERAGE(E$350:E$351,E353),""),"")</f>
        <v/>
      </c>
      <c r="V405" s="227" t="str">
        <f aca="false">IFERROR(IF(F$350*F$351*F353&gt;0,STDEV(F$350:F$351,F353),"")/IF(F$350*F$351*F353&gt;0,AVERAGE(F$350:F$351,F353),""),"")</f>
        <v/>
      </c>
      <c r="W405" s="227" t="str">
        <f aca="false">IFERROR(IF(G$350*G$351*G353&gt;0,STDEV(G$350:G$351,G353),"")/IF(G$350*G$351*G353&gt;0,AVERAGE(G$350:G$351,G353),""),"")</f>
        <v/>
      </c>
      <c r="X405" s="227" t="str">
        <f aca="false">IFERROR(IF(H$350*H$351*H353&gt;0,STDEV(H$350:H$351,H353),"")/IF(H$350*H$351*H353&gt;0,AVERAGE(H$350:H$351,H353),""),"")</f>
        <v/>
      </c>
      <c r="Y405" s="227" t="str">
        <f aca="false">IFERROR(IF(I$350*I$351*I353&gt;0,STDEV(I$350:I$351,I353),"")/IF(I$350*I$351*I353&gt;0,AVERAGE(I$350:I$351,I353),""),"")</f>
        <v/>
      </c>
      <c r="Z405" s="227" t="str">
        <f aca="false">IFERROR(IF(J$350*J$351*J353&gt;0,STDEV(J$350:J$351,J353),"")/IF(J$350*J$351*J353&gt;0,AVERAGE(J$350:J$351,J353),""),"")</f>
        <v/>
      </c>
      <c r="AA405" s="227" t="str">
        <f aca="false">IFERROR(IF(K$350*K$351*K353&gt;0,STDEV(K$350:K$351,K353),"")/IF(K$350*K$351*K353&gt;0,AVERAGE(K$350:K$351,K353),""),"")</f>
        <v/>
      </c>
      <c r="AB405" s="227" t="str">
        <f aca="false">IFERROR(IF(L$350*L$351*L353&gt;0,STDEV(L$350:L$351,L353),"")/IF(L$350*L$351*L353&gt;0,AVERAGE(L$350:L$351,L353),""),"")</f>
        <v/>
      </c>
      <c r="AC405" s="227" t="str">
        <f aca="false">IFERROR(IF(M$350*M$351*M353&gt;0,STDEV(M$350:M$351,M353),"")/IF(M$350*M$351*M353&gt;0,AVERAGE(M$350:M$351,M353),""),"")</f>
        <v/>
      </c>
      <c r="AD405" s="227" t="str">
        <f aca="false">IFERROR(IF(N$350*N$351*N353&gt;0,STDEV(N$350:N$351,N353),"")/IF(N$350*N$351*N353&gt;0,AVERAGE(N$350:N$351,N353),""),"")</f>
        <v/>
      </c>
      <c r="AE405" s="233"/>
      <c r="AF405" s="229" t="s">
        <v>388</v>
      </c>
      <c r="AG405" s="230" t="str">
        <f aca="false">IFERROR(IF(C$350*C$351*C353&gt;0,STDEV(C$350:C$351,C353)," ")/IF(C$350*C$351*C353&gt;0,SQRT(COUNT(C$350:C$351,C353))," "),"")</f>
        <v/>
      </c>
      <c r="AH405" s="230" t="str">
        <f aca="false">IFERROR(IF(D$350*D$351*D353&gt;0,STDEV(D$350:D$351,D353)," ")/IF(D$350*D$351*D353&gt;0,SQRT(COUNT(D$350:D$351,D353))," "),"")</f>
        <v/>
      </c>
      <c r="AI405" s="230" t="str">
        <f aca="false">IFERROR(IF(E$350*E$351*E353&gt;0,STDEV(E$350:E$351,E353)," ")/IF(E$350*E$351*E353&gt;0,SQRT(COUNT(E$350:E$351,E353))," "),"")</f>
        <v/>
      </c>
      <c r="AJ405" s="230" t="str">
        <f aca="false">IFERROR(IF(F$350*F$351*F353&gt;0,STDEV(F$350:F$351,F353)," ")/IF(F$350*F$351*F353&gt;0,SQRT(COUNT(F$350:F$351,F353))," "),"")</f>
        <v/>
      </c>
      <c r="AK405" s="230" t="str">
        <f aca="false">IFERROR(IF(G$350*G$351*G353&gt;0,STDEV(G$350:G$351,G353)," ")/IF(G$350*G$351*G353&gt;0,SQRT(COUNT(G$350:G$351,G353))," "),"")</f>
        <v/>
      </c>
      <c r="AL405" s="230" t="str">
        <f aca="false">IFERROR(IF(H$350*H$351*H353&gt;0,STDEV(H$350:H$351,H353)," ")/IF(H$350*H$351*H353&gt;0,SQRT(COUNT(H$350:H$351,H353))," "),"")</f>
        <v/>
      </c>
      <c r="AM405" s="230" t="str">
        <f aca="false">IFERROR(IF(I$350*I$351*I353&gt;0,STDEV(I$350:I$351,I353)," ")/IF(I$350*I$351*I353&gt;0,SQRT(COUNT(I$350:I$351,I353))," "),"")</f>
        <v/>
      </c>
      <c r="AN405" s="230" t="str">
        <f aca="false">IFERROR(IF(J$350*J$351*J353&gt;0,STDEV(J$350:J$351,J353)," ")/IF(J$350*J$351*J353&gt;0,SQRT(COUNT(J$350:J$351,J353))," "),"")</f>
        <v/>
      </c>
      <c r="AO405" s="230" t="str">
        <f aca="false">IFERROR(IF(K$350*K$351*K353&gt;0,STDEV(K$350:K$351,K353)," ")/IF(K$350*K$351*K353&gt;0,SQRT(COUNT(K$350:K$351,K353))," "),"")</f>
        <v/>
      </c>
      <c r="AP405" s="230" t="str">
        <f aca="false">IFERROR(IF(L$350*L$351*L353&gt;0,STDEV(L$350:L$351,L353)," ")/IF(L$350*L$351*L353&gt;0,SQRT(COUNT(L$350:L$351,L353))," "),"")</f>
        <v/>
      </c>
      <c r="AQ405" s="230" t="str">
        <f aca="false">IFERROR(IF(M$350*M$351*M353&gt;0,STDEV(M$350:M$351,M353)," ")/IF(M$350*M$351*M353&gt;0,SQRT(COUNT(M$350:M$351,M353))," "),"")</f>
        <v/>
      </c>
      <c r="AR405" s="230" t="str">
        <f aca="false">IFERROR(IF(N$350*N$351*N353&gt;0,STDEV(N$350:N$351,N353)," ")/IF(N$350*N$351*N353&gt;0,SQRT(COUNT(N$350:N$351,N353))," "),"")</f>
        <v/>
      </c>
    </row>
    <row r="406" customFormat="false" ht="15.75" hidden="false" customHeight="false" outlineLevel="0" collapsed="false">
      <c r="A406" s="220" t="s">
        <v>389</v>
      </c>
      <c r="B406" s="221"/>
      <c r="C406" s="222" t="str">
        <f aca="false">IFERROR(IF(C$351*C$352*C347&gt;0,AVERAGE(C$351:C$352,C347),""),"")</f>
        <v/>
      </c>
      <c r="D406" s="222" t="str">
        <f aca="false">IFERROR(IF(D$351*D$352*D347&gt;0,AVERAGE(D$351:D$352,D347),""),"")</f>
        <v/>
      </c>
      <c r="E406" s="222" t="str">
        <f aca="false">IFERROR(IF(E$351*E$352*E347&gt;0,AVERAGE(E$351:E$352,E347),""),"")</f>
        <v/>
      </c>
      <c r="F406" s="222" t="str">
        <f aca="false">IFERROR(IF(F$351*F$352*F347&gt;0,AVERAGE(F$351:F$352,F347),""),"")</f>
        <v/>
      </c>
      <c r="G406" s="222" t="str">
        <f aca="false">IFERROR(IF(G$351*G$352*G347&gt;0,AVERAGE(G$351:G$352,G347),""),"")</f>
        <v/>
      </c>
      <c r="H406" s="222" t="str">
        <f aca="false">IFERROR(IF(H$351*H$352*H347&gt;0,AVERAGE(H$351:H$352,H347),""),"")</f>
        <v/>
      </c>
      <c r="I406" s="222" t="str">
        <f aca="false">IFERROR(IF(I$351*I$352*I347&gt;0,AVERAGE(I$351:I$352,I347),""),"")</f>
        <v/>
      </c>
      <c r="J406" s="222" t="str">
        <f aca="false">IFERROR(IF(J$351*J$352*J347&gt;0,AVERAGE(J$351:J$352,J347),""),"")</f>
        <v/>
      </c>
      <c r="K406" s="222" t="str">
        <f aca="false">IFERROR(IF(K$351*K$352*K347&gt;0,AVERAGE(K$351:K$352,K347),""),"")</f>
        <v/>
      </c>
      <c r="L406" s="222" t="str">
        <f aca="false">IFERROR(IF(L$351*L$352*L347&gt;0,AVERAGE(L$351:L$352,L347),""),"")</f>
        <v/>
      </c>
      <c r="M406" s="222" t="str">
        <f aca="false">IFERROR(IF(M$351*M$352*M347&gt;0,AVERAGE(M$351:M$352,M347),""),"")</f>
        <v/>
      </c>
      <c r="N406" s="222" t="str">
        <f aca="false">IFERROR(IF(N$351*N$352*N347&gt;0,AVERAGE(N$351:N$352,N347),""),"")</f>
        <v/>
      </c>
      <c r="O406" s="253"/>
      <c r="P406" s="253"/>
      <c r="Q406" s="254"/>
      <c r="R406" s="226" t="s">
        <v>390</v>
      </c>
      <c r="S406" s="227" t="str">
        <f aca="false">IFERROR(IF(C$351*C$352*C347&gt;0,STDEV(C$351:C$352,C347),"")/IF(C$351*C$352*C347&gt;0,AVERAGE(C$351:C$352,C347),""),"")</f>
        <v/>
      </c>
      <c r="T406" s="227" t="str">
        <f aca="false">IFERROR(IF(D$351*D$352*D347&gt;0,STDEV(D$351:D$352,D347),"")/IF(D$351*D$352*D347&gt;0,AVERAGE(D$351:D$352,D347),""),"")</f>
        <v/>
      </c>
      <c r="U406" s="227" t="str">
        <f aca="false">IFERROR(IF(E$351*E$352*E347&gt;0,STDEV(E$351:E$352,E347),"")/IF(E$351*E$352*E347&gt;0,AVERAGE(E$351:E$352,E347),""),"")</f>
        <v/>
      </c>
      <c r="V406" s="227" t="str">
        <f aca="false">IFERROR(IF(F$351*F$352*F347&gt;0,STDEV(F$351:F$352,F347),"")/IF(F$351*F$352*F347&gt;0,AVERAGE(F$351:F$352,F347),""),"")</f>
        <v/>
      </c>
      <c r="W406" s="227" t="str">
        <f aca="false">IFERROR(IF(G$351*G$352*G347&gt;0,STDEV(G$351:G$352,G347),"")/IF(G$351*G$352*G347&gt;0,AVERAGE(G$351:G$352,G347),""),"")</f>
        <v/>
      </c>
      <c r="X406" s="227" t="str">
        <f aca="false">IFERROR(IF(H$351*H$352*H347&gt;0,STDEV(H$351:H$352,H347),"")/IF(H$351*H$352*H347&gt;0,AVERAGE(H$351:H$352,H347),""),"")</f>
        <v/>
      </c>
      <c r="Y406" s="227" t="str">
        <f aca="false">IFERROR(IF(I$351*I$352*I347&gt;0,STDEV(I$351:I$352,I347),"")/IF(I$351*I$352*I347&gt;0,AVERAGE(I$351:I$352,I347),""),"")</f>
        <v/>
      </c>
      <c r="Z406" s="227" t="str">
        <f aca="false">IFERROR(IF(J$351*J$352*J347&gt;0,STDEV(J$351:J$352,J347),"")/IF(J$351*J$352*J347&gt;0,AVERAGE(J$351:J$352,J347),""),"")</f>
        <v/>
      </c>
      <c r="AA406" s="227" t="str">
        <f aca="false">IFERROR(IF(K$351*K$352*K347&gt;0,STDEV(K$351:K$352,K347),"")/IF(K$351*K$352*K347&gt;0,AVERAGE(K$351:K$352,K347),""),"")</f>
        <v/>
      </c>
      <c r="AB406" s="227" t="str">
        <f aca="false">IFERROR(IF(L$351*L$352*L347&gt;0,STDEV(L$351:L$352,L347),"")/IF(L$351*L$352*L347&gt;0,AVERAGE(L$351:L$352,L347),""),"")</f>
        <v/>
      </c>
      <c r="AC406" s="227" t="str">
        <f aca="false">IFERROR(IF(M$351*M$352*M347&gt;0,STDEV(M$351:M$352,M347),"")/IF(M$351*M$352*M347&gt;0,AVERAGE(M$351:M$352,M347),""),"")</f>
        <v/>
      </c>
      <c r="AD406" s="227" t="str">
        <f aca="false">IFERROR(IF(N$351*N$352*N347&gt;0,STDEV(N$351:N$352,N347),"")/IF(N$351*N$352*N347&gt;0,AVERAGE(N$351:N$352,N347),""),"")</f>
        <v/>
      </c>
      <c r="AE406" s="233"/>
      <c r="AF406" s="229" t="s">
        <v>391</v>
      </c>
      <c r="AG406" s="230" t="str">
        <f aca="false">IFERROR(IF(C$351*C$352*C347&gt;0,STDEV(C$351:C$352,C347)," ")/IF(C$351*C$352*C347&gt;0,SQRT(COUNT(C$351:C$352,C347))," "),"")</f>
        <v/>
      </c>
      <c r="AH406" s="230" t="str">
        <f aca="false">IFERROR(IF(D$351*D$352*D347&gt;0,STDEV(D$351:D$352,D347)," ")/IF(D$351*D$352*D347&gt;0,SQRT(COUNT(D$351:D$352,D347))," "),"")</f>
        <v/>
      </c>
      <c r="AI406" s="230" t="str">
        <f aca="false">IFERROR(IF(E$351*E$352*E347&gt;0,STDEV(E$351:E$352,E347)," ")/IF(E$351*E$352*E347&gt;0,SQRT(COUNT(E$351:E$352,E347))," "),"")</f>
        <v/>
      </c>
      <c r="AJ406" s="230" t="str">
        <f aca="false">IFERROR(IF(F$351*F$352*F347&gt;0,STDEV(F$351:F$352,F347)," ")/IF(F$351*F$352*F347&gt;0,SQRT(COUNT(F$351:F$352,F347))," "),"")</f>
        <v/>
      </c>
      <c r="AK406" s="230" t="str">
        <f aca="false">IFERROR(IF(G$351*G$352*G347&gt;0,STDEV(G$351:G$352,G347)," ")/IF(G$351*G$352*G347&gt;0,SQRT(COUNT(G$351:G$352,G347))," "),"")</f>
        <v/>
      </c>
      <c r="AL406" s="230" t="str">
        <f aca="false">IFERROR(IF(H$351*H$352*H347&gt;0,STDEV(H$351:H$352,H347)," ")/IF(H$351*H$352*H347&gt;0,SQRT(COUNT(H$351:H$352,H347))," "),"")</f>
        <v/>
      </c>
      <c r="AM406" s="230" t="str">
        <f aca="false">IFERROR(IF(I$351*I$352*I347&gt;0,STDEV(I$351:I$352,I347)," ")/IF(I$351*I$352*I347&gt;0,SQRT(COUNT(I$351:I$352,I347))," "),"")</f>
        <v/>
      </c>
      <c r="AN406" s="230" t="str">
        <f aca="false">IFERROR(IF(J$351*J$352*J347&gt;0,STDEV(J$351:J$352,J347)," ")/IF(J$351*J$352*J347&gt;0,SQRT(COUNT(J$351:J$352,J347))," "),"")</f>
        <v/>
      </c>
      <c r="AO406" s="230" t="str">
        <f aca="false">IFERROR(IF(K$351*K$352*K347&gt;0,STDEV(K$351:K$352,K347)," ")/IF(K$351*K$352*K347&gt;0,SQRT(COUNT(K$351:K$352,K347))," "),"")</f>
        <v/>
      </c>
      <c r="AP406" s="230" t="str">
        <f aca="false">IFERROR(IF(L$351*L$352*L347&gt;0,STDEV(L$351:L$352,L347)," ")/IF(L$351*L$352*L347&gt;0,SQRT(COUNT(L$351:L$352,L347))," "),"")</f>
        <v/>
      </c>
      <c r="AQ406" s="230" t="str">
        <f aca="false">IFERROR(IF(M$351*M$352*M347&gt;0,STDEV(M$351:M$352,M347)," ")/IF(M$351*M$352*M347&gt;0,SQRT(COUNT(M$351:M$352,M347))," "),"")</f>
        <v/>
      </c>
      <c r="AR406" s="230" t="str">
        <f aca="false">IFERROR(IF(N$351*N$352*N347&gt;0,STDEV(N$351:N$352,N347)," ")/IF(N$351*N$352*N347&gt;0,SQRT(COUNT(N$351:N$352,N347))," "),"")</f>
        <v/>
      </c>
    </row>
    <row r="407" customFormat="false" ht="15.75" hidden="false" customHeight="false" outlineLevel="0" collapsed="false">
      <c r="A407" s="220" t="s">
        <v>392</v>
      </c>
      <c r="B407" s="221"/>
      <c r="C407" s="222" t="str">
        <f aca="false">IFERROR(IF(C$351*C$352*C348&gt;0,AVERAGE(C$351:C$352,C348),""),"")</f>
        <v/>
      </c>
      <c r="D407" s="222" t="str">
        <f aca="false">IFERROR(IF(D$351*D$352*D348&gt;0,AVERAGE(D$351:D$352,D348),""),"")</f>
        <v/>
      </c>
      <c r="E407" s="222" t="str">
        <f aca="false">IFERROR(IF(E$351*E$352*E348&gt;0,AVERAGE(E$351:E$352,E348),""),"")</f>
        <v/>
      </c>
      <c r="F407" s="222" t="str">
        <f aca="false">IFERROR(IF(F$351*F$352*F348&gt;0,AVERAGE(F$351:F$352,F348),""),"")</f>
        <v/>
      </c>
      <c r="G407" s="222" t="str">
        <f aca="false">IFERROR(IF(G$351*G$352*G348&gt;0,AVERAGE(G$351:G$352,G348),""),"")</f>
        <v/>
      </c>
      <c r="H407" s="222" t="str">
        <f aca="false">IFERROR(IF(H$351*H$352*H348&gt;0,AVERAGE(H$351:H$352,H348),""),"")</f>
        <v/>
      </c>
      <c r="I407" s="222" t="str">
        <f aca="false">IFERROR(IF(I$351*I$352*I348&gt;0,AVERAGE(I$351:I$352,I348),""),"")</f>
        <v/>
      </c>
      <c r="J407" s="222" t="str">
        <f aca="false">IFERROR(IF(J$351*J$352*J348&gt;0,AVERAGE(J$351:J$352,J348),""),"")</f>
        <v/>
      </c>
      <c r="K407" s="222" t="str">
        <f aca="false">IFERROR(IF(K$351*K$352*K348&gt;0,AVERAGE(K$351:K$352,K348),""),"")</f>
        <v/>
      </c>
      <c r="L407" s="222" t="str">
        <f aca="false">IFERROR(IF(L$351*L$352*L348&gt;0,AVERAGE(L$351:L$352,L348),""),"")</f>
        <v/>
      </c>
      <c r="M407" s="222" t="str">
        <f aca="false">IFERROR(IF(M$351*M$352*M348&gt;0,AVERAGE(M$351:M$352,M348),""),"")</f>
        <v/>
      </c>
      <c r="N407" s="222" t="str">
        <f aca="false">IFERROR(IF(N$351*N$352*N348&gt;0,AVERAGE(N$351:N$352,N348),""),"")</f>
        <v/>
      </c>
      <c r="O407" s="253"/>
      <c r="P407" s="253"/>
      <c r="Q407" s="254"/>
      <c r="R407" s="226" t="s">
        <v>393</v>
      </c>
      <c r="S407" s="227" t="str">
        <f aca="false">IFERROR(IF(C$351*C$352*C348&gt;0,STDEV(C$351:C$352,C348),"")/IF(C$351*C$352*C348&gt;0,AVERAGE(C$351:C$352,C348),""),"")</f>
        <v/>
      </c>
      <c r="T407" s="227" t="str">
        <f aca="false">IFERROR(IF(D$351*D$352*D348&gt;0,STDEV(D$351:D$352,D348),"")/IF(D$351*D$352*D348&gt;0,AVERAGE(D$351:D$352,D348),""),"")</f>
        <v/>
      </c>
      <c r="U407" s="227" t="str">
        <f aca="false">IFERROR(IF(E$351*E$352*E348&gt;0,STDEV(E$351:E$352,E348),"")/IF(E$351*E$352*E348&gt;0,AVERAGE(E$351:E$352,E348),""),"")</f>
        <v/>
      </c>
      <c r="V407" s="227" t="str">
        <f aca="false">IFERROR(IF(F$351*F$352*F348&gt;0,STDEV(F$351:F$352,F348),"")/IF(F$351*F$352*F348&gt;0,AVERAGE(F$351:F$352,F348),""),"")</f>
        <v/>
      </c>
      <c r="W407" s="227" t="str">
        <f aca="false">IFERROR(IF(G$351*G$352*G348&gt;0,STDEV(G$351:G$352,G348),"")/IF(G$351*G$352*G348&gt;0,AVERAGE(G$351:G$352,G348),""),"")</f>
        <v/>
      </c>
      <c r="X407" s="227" t="str">
        <f aca="false">IFERROR(IF(H$351*H$352*H348&gt;0,STDEV(H$351:H$352,H348),"")/IF(H$351*H$352*H348&gt;0,AVERAGE(H$351:H$352,H348),""),"")</f>
        <v/>
      </c>
      <c r="Y407" s="227" t="str">
        <f aca="false">IFERROR(IF(I$351*I$352*I348&gt;0,STDEV(I$351:I$352,I348),"")/IF(I$351*I$352*I348&gt;0,AVERAGE(I$351:I$352,I348),""),"")</f>
        <v/>
      </c>
      <c r="Z407" s="227" t="str">
        <f aca="false">IFERROR(IF(J$351*J$352*J348&gt;0,STDEV(J$351:J$352,J348),"")/IF(J$351*J$352*J348&gt;0,AVERAGE(J$351:J$352,J348),""),"")</f>
        <v/>
      </c>
      <c r="AA407" s="227" t="str">
        <f aca="false">IFERROR(IF(K$351*K$352*K348&gt;0,STDEV(K$351:K$352,K348),"")/IF(K$351*K$352*K348&gt;0,AVERAGE(K$351:K$352,K348),""),"")</f>
        <v/>
      </c>
      <c r="AB407" s="227" t="str">
        <f aca="false">IFERROR(IF(L$351*L$352*L348&gt;0,STDEV(L$351:L$352,L348),"")/IF(L$351*L$352*L348&gt;0,AVERAGE(L$351:L$352,L348),""),"")</f>
        <v/>
      </c>
      <c r="AC407" s="227" t="str">
        <f aca="false">IFERROR(IF(M$351*M$352*M348&gt;0,STDEV(M$351:M$352,M348),"")/IF(M$351*M$352*M348&gt;0,AVERAGE(M$351:M$352,M348),""),"")</f>
        <v/>
      </c>
      <c r="AD407" s="227" t="str">
        <f aca="false">IFERROR(IF(N$351*N$352*N348&gt;0,STDEV(N$351:N$352,N348),"")/IF(N$351*N$352*N348&gt;0,AVERAGE(N$351:N$352,N348),""),"")</f>
        <v/>
      </c>
      <c r="AE407" s="233"/>
      <c r="AF407" s="229" t="s">
        <v>394</v>
      </c>
      <c r="AG407" s="230" t="str">
        <f aca="false">IFERROR(IF(C$351*C$352*C348&gt;0,STDEV(C$351:C$352,C348)," ")/IF(C$351*C$352*C348&gt;0,SQRT(COUNT(C$351:C$352,C348))," "),"")</f>
        <v/>
      </c>
      <c r="AH407" s="230" t="str">
        <f aca="false">IFERROR(IF(D$351*D$352*D348&gt;0,STDEV(D$351:D$352,D348)," ")/IF(D$351*D$352*D348&gt;0,SQRT(COUNT(D$351:D$352,D348))," "),"")</f>
        <v/>
      </c>
      <c r="AI407" s="230" t="str">
        <f aca="false">IFERROR(IF(E$351*E$352*E348&gt;0,STDEV(E$351:E$352,E348)," ")/IF(E$351*E$352*E348&gt;0,SQRT(COUNT(E$351:E$352,E348))," "),"")</f>
        <v/>
      </c>
      <c r="AJ407" s="230" t="str">
        <f aca="false">IFERROR(IF(F$351*F$352*F348&gt;0,STDEV(F$351:F$352,F348)," ")/IF(F$351*F$352*F348&gt;0,SQRT(COUNT(F$351:F$352,F348))," "),"")</f>
        <v/>
      </c>
      <c r="AK407" s="230" t="str">
        <f aca="false">IFERROR(IF(G$351*G$352*G348&gt;0,STDEV(G$351:G$352,G348)," ")/IF(G$351*G$352*G348&gt;0,SQRT(COUNT(G$351:G$352,G348))," "),"")</f>
        <v/>
      </c>
      <c r="AL407" s="230" t="str">
        <f aca="false">IFERROR(IF(H$351*H$352*H348&gt;0,STDEV(H$351:H$352,H348)," ")/IF(H$351*H$352*H348&gt;0,SQRT(COUNT(H$351:H$352,H348))," "),"")</f>
        <v/>
      </c>
      <c r="AM407" s="230" t="str">
        <f aca="false">IFERROR(IF(I$351*I$352*I348&gt;0,STDEV(I$351:I$352,I348)," ")/IF(I$351*I$352*I348&gt;0,SQRT(COUNT(I$351:I$352,I348))," "),"")</f>
        <v/>
      </c>
      <c r="AN407" s="230" t="str">
        <f aca="false">IFERROR(IF(J$351*J$352*J348&gt;0,STDEV(J$351:J$352,J348)," ")/IF(J$351*J$352*J348&gt;0,SQRT(COUNT(J$351:J$352,J348))," "),"")</f>
        <v/>
      </c>
      <c r="AO407" s="230" t="str">
        <f aca="false">IFERROR(IF(K$351*K$352*K348&gt;0,STDEV(K$351:K$352,K348)," ")/IF(K$351*K$352*K348&gt;0,SQRT(COUNT(K$351:K$352,K348))," "),"")</f>
        <v/>
      </c>
      <c r="AP407" s="230" t="str">
        <f aca="false">IFERROR(IF(L$351*L$352*L348&gt;0,STDEV(L$351:L$352,L348)," ")/IF(L$351*L$352*L348&gt;0,SQRT(COUNT(L$351:L$352,L348))," "),"")</f>
        <v/>
      </c>
      <c r="AQ407" s="230" t="str">
        <f aca="false">IFERROR(IF(M$351*M$352*M348&gt;0,STDEV(M$351:M$352,M348)," ")/IF(M$351*M$352*M348&gt;0,SQRT(COUNT(M$351:M$352,M348))," "),"")</f>
        <v/>
      </c>
      <c r="AR407" s="230" t="str">
        <f aca="false">IFERROR(IF(N$351*N$352*N348&gt;0,STDEV(N$351:N$352,N348)," ")/IF(N$351*N$352*N348&gt;0,SQRT(COUNT(N$351:N$352,N348))," "),"")</f>
        <v/>
      </c>
    </row>
    <row r="408" customFormat="false" ht="15.75" hidden="false" customHeight="false" outlineLevel="0" collapsed="false">
      <c r="A408" s="220" t="s">
        <v>395</v>
      </c>
      <c r="B408" s="221"/>
      <c r="C408" s="222" t="str">
        <f aca="false">IFERROR(IF(C$351*C$352*C349&gt;0,AVERAGE(C$351:C$352,C349),""),"")</f>
        <v/>
      </c>
      <c r="D408" s="222" t="str">
        <f aca="false">IFERROR(IF(D$351*D$352*D349&gt;0,AVERAGE(D$351:D$352,D349),""),"")</f>
        <v/>
      </c>
      <c r="E408" s="222" t="str">
        <f aca="false">IFERROR(IF(E$351*E$352*E349&gt;0,AVERAGE(E$351:E$352,E349),""),"")</f>
        <v/>
      </c>
      <c r="F408" s="222" t="str">
        <f aca="false">IFERROR(IF(F$351*F$352*F349&gt;0,AVERAGE(F$351:F$352,F349),""),"")</f>
        <v/>
      </c>
      <c r="G408" s="222" t="str">
        <f aca="false">IFERROR(IF(G$351*G$352*G349&gt;0,AVERAGE(G$351:G$352,G349),""),"")</f>
        <v/>
      </c>
      <c r="H408" s="222" t="str">
        <f aca="false">IFERROR(IF(H$351*H$352*H349&gt;0,AVERAGE(H$351:H$352,H349),""),"")</f>
        <v/>
      </c>
      <c r="I408" s="222" t="str">
        <f aca="false">IFERROR(IF(I$351*I$352*I349&gt;0,AVERAGE(I$351:I$352,I349),""),"")</f>
        <v/>
      </c>
      <c r="J408" s="222" t="str">
        <f aca="false">IFERROR(IF(J$351*J$352*J349&gt;0,AVERAGE(J$351:J$352,J349),""),"")</f>
        <v/>
      </c>
      <c r="K408" s="222" t="str">
        <f aca="false">IFERROR(IF(K$351*K$352*K349&gt;0,AVERAGE(K$351:K$352,K349),""),"")</f>
        <v/>
      </c>
      <c r="L408" s="222" t="str">
        <f aca="false">IFERROR(IF(L$351*L$352*L349&gt;0,AVERAGE(L$351:L$352,L349),""),"")</f>
        <v/>
      </c>
      <c r="M408" s="222" t="str">
        <f aca="false">IFERROR(IF(M$351*M$352*M349&gt;0,AVERAGE(M$351:M$352,M349),""),"")</f>
        <v/>
      </c>
      <c r="N408" s="222" t="str">
        <f aca="false">IFERROR(IF(N$351*N$352*N349&gt;0,AVERAGE(N$351:N$352,N349),""),"")</f>
        <v/>
      </c>
      <c r="O408" s="253"/>
      <c r="P408" s="253"/>
      <c r="Q408" s="254"/>
      <c r="R408" s="226" t="s">
        <v>396</v>
      </c>
      <c r="S408" s="227" t="str">
        <f aca="false">IFERROR(IF(C$351*C$352*C349&gt;0,STDEV(C$351:C$352,C349),"")/IF(C$351*C$352*C349&gt;0,AVERAGE(C$351:C$352,C349),""),"")</f>
        <v/>
      </c>
      <c r="T408" s="227" t="str">
        <f aca="false">IFERROR(IF(D$351*D$352*D349&gt;0,STDEV(D$351:D$352,D349),"")/IF(D$351*D$352*D349&gt;0,AVERAGE(D$351:D$352,D349),""),"")</f>
        <v/>
      </c>
      <c r="U408" s="227" t="str">
        <f aca="false">IFERROR(IF(E$351*E$352*E349&gt;0,STDEV(E$351:E$352,E349),"")/IF(E$351*E$352*E349&gt;0,AVERAGE(E$351:E$352,E349),""),"")</f>
        <v/>
      </c>
      <c r="V408" s="227" t="str">
        <f aca="false">IFERROR(IF(F$351*F$352*F349&gt;0,STDEV(F$351:F$352,F349),"")/IF(F$351*F$352*F349&gt;0,AVERAGE(F$351:F$352,F349),""),"")</f>
        <v/>
      </c>
      <c r="W408" s="227" t="str">
        <f aca="false">IFERROR(IF(G$351*G$352*G349&gt;0,STDEV(G$351:G$352,G349),"")/IF(G$351*G$352*G349&gt;0,AVERAGE(G$351:G$352,G349),""),"")</f>
        <v/>
      </c>
      <c r="X408" s="227" t="str">
        <f aca="false">IFERROR(IF(H$351*H$352*H349&gt;0,STDEV(H$351:H$352,H349),"")/IF(H$351*H$352*H349&gt;0,AVERAGE(H$351:H$352,H349),""),"")</f>
        <v/>
      </c>
      <c r="Y408" s="227" t="str">
        <f aca="false">IFERROR(IF(I$351*I$352*I349&gt;0,STDEV(I$351:I$352,I349),"")/IF(I$351*I$352*I349&gt;0,AVERAGE(I$351:I$352,I349),""),"")</f>
        <v/>
      </c>
      <c r="Z408" s="227" t="str">
        <f aca="false">IFERROR(IF(J$351*J$352*J349&gt;0,STDEV(J$351:J$352,J349),"")/IF(J$351*J$352*J349&gt;0,AVERAGE(J$351:J$352,J349),""),"")</f>
        <v/>
      </c>
      <c r="AA408" s="227" t="str">
        <f aca="false">IFERROR(IF(K$351*K$352*K349&gt;0,STDEV(K$351:K$352,K349),"")/IF(K$351*K$352*K349&gt;0,AVERAGE(K$351:K$352,K349),""),"")</f>
        <v/>
      </c>
      <c r="AB408" s="227" t="str">
        <f aca="false">IFERROR(IF(L$351*L$352*L349&gt;0,STDEV(L$351:L$352,L349),"")/IF(L$351*L$352*L349&gt;0,AVERAGE(L$351:L$352,L349),""),"")</f>
        <v/>
      </c>
      <c r="AC408" s="227" t="str">
        <f aca="false">IFERROR(IF(M$351*M$352*M349&gt;0,STDEV(M$351:M$352,M349),"")/IF(M$351*M$352*M349&gt;0,AVERAGE(M$351:M$352,M349),""),"")</f>
        <v/>
      </c>
      <c r="AD408" s="227" t="str">
        <f aca="false">IFERROR(IF(N$351*N$352*N349&gt;0,STDEV(N$351:N$352,N349),"")/IF(N$351*N$352*N349&gt;0,AVERAGE(N$351:N$352,N349),""),"")</f>
        <v/>
      </c>
      <c r="AE408" s="233"/>
      <c r="AF408" s="229" t="s">
        <v>397</v>
      </c>
      <c r="AG408" s="230" t="str">
        <f aca="false">IFERROR(IF(C$351*C$352*C349&gt;0,STDEV(C$351:C$352,C349)," ")/IF(C$351*C$352*C349&gt;0,SQRT(COUNT(C$351:C$352,C349))," "),"")</f>
        <v/>
      </c>
      <c r="AH408" s="230" t="str">
        <f aca="false">IFERROR(IF(D$351*D$352*D349&gt;0,STDEV(D$351:D$352,D349)," ")/IF(D$351*D$352*D349&gt;0,SQRT(COUNT(D$351:D$352,D349))," "),"")</f>
        <v/>
      </c>
      <c r="AI408" s="230" t="str">
        <f aca="false">IFERROR(IF(E$351*E$352*E349&gt;0,STDEV(E$351:E$352,E349)," ")/IF(E$351*E$352*E349&gt;0,SQRT(COUNT(E$351:E$352,E349))," "),"")</f>
        <v/>
      </c>
      <c r="AJ408" s="230" t="str">
        <f aca="false">IFERROR(IF(F$351*F$352*F349&gt;0,STDEV(F$351:F$352,F349)," ")/IF(F$351*F$352*F349&gt;0,SQRT(COUNT(F$351:F$352,F349))," "),"")</f>
        <v/>
      </c>
      <c r="AK408" s="230" t="str">
        <f aca="false">IFERROR(IF(G$351*G$352*G349&gt;0,STDEV(G$351:G$352,G349)," ")/IF(G$351*G$352*G349&gt;0,SQRT(COUNT(G$351:G$352,G349))," "),"")</f>
        <v/>
      </c>
      <c r="AL408" s="230" t="str">
        <f aca="false">IFERROR(IF(H$351*H$352*H349&gt;0,STDEV(H$351:H$352,H349)," ")/IF(H$351*H$352*H349&gt;0,SQRT(COUNT(H$351:H$352,H349))," "),"")</f>
        <v/>
      </c>
      <c r="AM408" s="230" t="str">
        <f aca="false">IFERROR(IF(I$351*I$352*I349&gt;0,STDEV(I$351:I$352,I349)," ")/IF(I$351*I$352*I349&gt;0,SQRT(COUNT(I$351:I$352,I349))," "),"")</f>
        <v/>
      </c>
      <c r="AN408" s="230" t="str">
        <f aca="false">IFERROR(IF(J$351*J$352*J349&gt;0,STDEV(J$351:J$352,J349)," ")/IF(J$351*J$352*J349&gt;0,SQRT(COUNT(J$351:J$352,J349))," "),"")</f>
        <v/>
      </c>
      <c r="AO408" s="230" t="str">
        <f aca="false">IFERROR(IF(K$351*K$352*K349&gt;0,STDEV(K$351:K$352,K349)," ")/IF(K$351*K$352*K349&gt;0,SQRT(COUNT(K$351:K$352,K349))," "),"")</f>
        <v/>
      </c>
      <c r="AP408" s="230" t="str">
        <f aca="false">IFERROR(IF(L$351*L$352*L349&gt;0,STDEV(L$351:L$352,L349)," ")/IF(L$351*L$352*L349&gt;0,SQRT(COUNT(L$351:L$352,L349))," "),"")</f>
        <v/>
      </c>
      <c r="AQ408" s="230" t="str">
        <f aca="false">IFERROR(IF(M$351*M$352*M349&gt;0,STDEV(M$351:M$352,M349)," ")/IF(M$351*M$352*M349&gt;0,SQRT(COUNT(M$351:M$352,M349))," "),"")</f>
        <v/>
      </c>
      <c r="AR408" s="230" t="str">
        <f aca="false">IFERROR(IF(N$351*N$352*N349&gt;0,STDEV(N$351:N$352,N349)," ")/IF(N$351*N$352*N349&gt;0,SQRT(COUNT(N$351:N$352,N349))," "),"")</f>
        <v/>
      </c>
    </row>
    <row r="409" customFormat="false" ht="15.75" hidden="false" customHeight="false" outlineLevel="0" collapsed="false">
      <c r="A409" s="220" t="s">
        <v>398</v>
      </c>
      <c r="B409" s="221"/>
      <c r="C409" s="222" t="str">
        <f aca="false">IFERROR(IF(C$351*C$352*C350&gt;0,AVERAGE(C$351:C$352,C350),""),"")</f>
        <v/>
      </c>
      <c r="D409" s="222" t="str">
        <f aca="false">IFERROR(IF(D$351*D$352*D350&gt;0,AVERAGE(D$351:D$352,D350),""),"")</f>
        <v/>
      </c>
      <c r="E409" s="222" t="str">
        <f aca="false">IFERROR(IF(E$351*E$352*E350&gt;0,AVERAGE(E$351:E$352,E350),""),"")</f>
        <v/>
      </c>
      <c r="F409" s="222" t="str">
        <f aca="false">IFERROR(IF(F$351*F$352*F350&gt;0,AVERAGE(F$351:F$352,F350),""),"")</f>
        <v/>
      </c>
      <c r="G409" s="222" t="str">
        <f aca="false">IFERROR(IF(G$351*G$352*G350&gt;0,AVERAGE(G$351:G$352,G350),""),"")</f>
        <v/>
      </c>
      <c r="H409" s="222" t="str">
        <f aca="false">IFERROR(IF(H$351*H$352*H350&gt;0,AVERAGE(H$351:H$352,H350),""),"")</f>
        <v/>
      </c>
      <c r="I409" s="222" t="str">
        <f aca="false">IFERROR(IF(I$351*I$352*I350&gt;0,AVERAGE(I$351:I$352,I350),""),"")</f>
        <v/>
      </c>
      <c r="J409" s="222" t="str">
        <f aca="false">IFERROR(IF(J$351*J$352*J350&gt;0,AVERAGE(J$351:J$352,J350),""),"")</f>
        <v/>
      </c>
      <c r="K409" s="222" t="str">
        <f aca="false">IFERROR(IF(K$351*K$352*K350&gt;0,AVERAGE(K$351:K$352,K350),""),"")</f>
        <v/>
      </c>
      <c r="L409" s="222" t="str">
        <f aca="false">IFERROR(IF(L$351*L$352*L350&gt;0,AVERAGE(L$351:L$352,L350),""),"")</f>
        <v/>
      </c>
      <c r="M409" s="222" t="str">
        <f aca="false">IFERROR(IF(M$351*M$352*M350&gt;0,AVERAGE(M$351:M$352,M350),""),"")</f>
        <v/>
      </c>
      <c r="N409" s="222" t="str">
        <f aca="false">IFERROR(IF(N$351*N$352*N350&gt;0,AVERAGE(N$351:N$352,N350),""),"")</f>
        <v/>
      </c>
      <c r="O409" s="253"/>
      <c r="P409" s="253"/>
      <c r="Q409" s="254"/>
      <c r="R409" s="226" t="s">
        <v>399</v>
      </c>
      <c r="S409" s="227" t="str">
        <f aca="false">IFERROR(IF(C$351*C$352*C350&gt;0,STDEV(C$351:C$352,C350),"")/IF(C$351*C$352*C350&gt;0,AVERAGE(C$351:C$352,C350),""),"")</f>
        <v/>
      </c>
      <c r="T409" s="227" t="str">
        <f aca="false">IFERROR(IF(D$351*D$352*D350&gt;0,STDEV(D$351:D$352,D350),"")/IF(D$351*D$352*D350&gt;0,AVERAGE(D$351:D$352,D350),""),"")</f>
        <v/>
      </c>
      <c r="U409" s="227" t="str">
        <f aca="false">IFERROR(IF(E$351*E$352*E350&gt;0,STDEV(E$351:E$352,E350),"")/IF(E$351*E$352*E350&gt;0,AVERAGE(E$351:E$352,E350),""),"")</f>
        <v/>
      </c>
      <c r="V409" s="227" t="str">
        <f aca="false">IFERROR(IF(F$351*F$352*F350&gt;0,STDEV(F$351:F$352,F350),"")/IF(F$351*F$352*F350&gt;0,AVERAGE(F$351:F$352,F350),""),"")</f>
        <v/>
      </c>
      <c r="W409" s="227" t="str">
        <f aca="false">IFERROR(IF(G$351*G$352*G350&gt;0,STDEV(G$351:G$352,G350),"")/IF(G$351*G$352*G350&gt;0,AVERAGE(G$351:G$352,G350),""),"")</f>
        <v/>
      </c>
      <c r="X409" s="227" t="str">
        <f aca="false">IFERROR(IF(H$351*H$352*H350&gt;0,STDEV(H$351:H$352,H350),"")/IF(H$351*H$352*H350&gt;0,AVERAGE(H$351:H$352,H350),""),"")</f>
        <v/>
      </c>
      <c r="Y409" s="227" t="str">
        <f aca="false">IFERROR(IF(I$351*I$352*I350&gt;0,STDEV(I$351:I$352,I350),"")/IF(I$351*I$352*I350&gt;0,AVERAGE(I$351:I$352,I350),""),"")</f>
        <v/>
      </c>
      <c r="Z409" s="227" t="str">
        <f aca="false">IFERROR(IF(J$351*J$352*J350&gt;0,STDEV(J$351:J$352,J350),"")/IF(J$351*J$352*J350&gt;0,AVERAGE(J$351:J$352,J350),""),"")</f>
        <v/>
      </c>
      <c r="AA409" s="227" t="str">
        <f aca="false">IFERROR(IF(K$351*K$352*K350&gt;0,STDEV(K$351:K$352,K350),"")/IF(K$351*K$352*K350&gt;0,AVERAGE(K$351:K$352,K350),""),"")</f>
        <v/>
      </c>
      <c r="AB409" s="227" t="str">
        <f aca="false">IFERROR(IF(L$351*L$352*L350&gt;0,STDEV(L$351:L$352,L350),"")/IF(L$351*L$352*L350&gt;0,AVERAGE(L$351:L$352,L350),""),"")</f>
        <v/>
      </c>
      <c r="AC409" s="227" t="str">
        <f aca="false">IFERROR(IF(M$351*M$352*M350&gt;0,STDEV(M$351:M$352,M350),"")/IF(M$351*M$352*M350&gt;0,AVERAGE(M$351:M$352,M350),""),"")</f>
        <v/>
      </c>
      <c r="AD409" s="227" t="str">
        <f aca="false">IFERROR(IF(N$351*N$352*N350&gt;0,STDEV(N$351:N$352,N350),"")/IF(N$351*N$352*N350&gt;0,AVERAGE(N$351:N$352,N350),""),"")</f>
        <v/>
      </c>
      <c r="AE409" s="233"/>
      <c r="AF409" s="229" t="s">
        <v>400</v>
      </c>
      <c r="AG409" s="230" t="str">
        <f aca="false">IFERROR(IF(C$351*C$352*C350&gt;0,STDEV(C$351:C$352,C350)," ")/IF(C$351*C$352*C350&gt;0,SQRT(COUNT(C$351:C$352,C350))," "),"")</f>
        <v/>
      </c>
      <c r="AH409" s="230" t="str">
        <f aca="false">IFERROR(IF(D$351*D$352*D350&gt;0,STDEV(D$351:D$352,D350)," ")/IF(D$351*D$352*D350&gt;0,SQRT(COUNT(D$351:D$352,D350))," "),"")</f>
        <v/>
      </c>
      <c r="AI409" s="230" t="str">
        <f aca="false">IFERROR(IF(E$351*E$352*E350&gt;0,STDEV(E$351:E$352,E350)," ")/IF(E$351*E$352*E350&gt;0,SQRT(COUNT(E$351:E$352,E350))," "),"")</f>
        <v/>
      </c>
      <c r="AJ409" s="230" t="str">
        <f aca="false">IFERROR(IF(F$351*F$352*F350&gt;0,STDEV(F$351:F$352,F350)," ")/IF(F$351*F$352*F350&gt;0,SQRT(COUNT(F$351:F$352,F350))," "),"")</f>
        <v/>
      </c>
      <c r="AK409" s="230" t="str">
        <f aca="false">IFERROR(IF(G$351*G$352*G350&gt;0,STDEV(G$351:G$352,G350)," ")/IF(G$351*G$352*G350&gt;0,SQRT(COUNT(G$351:G$352,G350))," "),"")</f>
        <v/>
      </c>
      <c r="AL409" s="230" t="str">
        <f aca="false">IFERROR(IF(H$351*H$352*H350&gt;0,STDEV(H$351:H$352,H350)," ")/IF(H$351*H$352*H350&gt;0,SQRT(COUNT(H$351:H$352,H350))," "),"")</f>
        <v/>
      </c>
      <c r="AM409" s="230" t="str">
        <f aca="false">IFERROR(IF(I$351*I$352*I350&gt;0,STDEV(I$351:I$352,I350)," ")/IF(I$351*I$352*I350&gt;0,SQRT(COUNT(I$351:I$352,I350))," "),"")</f>
        <v/>
      </c>
      <c r="AN409" s="230" t="str">
        <f aca="false">IFERROR(IF(J$351*J$352*J350&gt;0,STDEV(J$351:J$352,J350)," ")/IF(J$351*J$352*J350&gt;0,SQRT(COUNT(J$351:J$352,J350))," "),"")</f>
        <v/>
      </c>
      <c r="AO409" s="230" t="str">
        <f aca="false">IFERROR(IF(K$351*K$352*K350&gt;0,STDEV(K$351:K$352,K350)," ")/IF(K$351*K$352*K350&gt;0,SQRT(COUNT(K$351:K$352,K350))," "),"")</f>
        <v/>
      </c>
      <c r="AP409" s="230" t="str">
        <f aca="false">IFERROR(IF(L$351*L$352*L350&gt;0,STDEV(L$351:L$352,L350)," ")/IF(L$351*L$352*L350&gt;0,SQRT(COUNT(L$351:L$352,L350))," "),"")</f>
        <v/>
      </c>
      <c r="AQ409" s="230" t="str">
        <f aca="false">IFERROR(IF(M$351*M$352*M350&gt;0,STDEV(M$351:M$352,M350)," ")/IF(M$351*M$352*M350&gt;0,SQRT(COUNT(M$351:M$352,M350))," "),"")</f>
        <v/>
      </c>
      <c r="AR409" s="230" t="str">
        <f aca="false">IFERROR(IF(N$351*N$352*N350&gt;0,STDEV(N$351:N$352,N350)," ")/IF(N$351*N$352*N350&gt;0,SQRT(COUNT(N$351:N$352,N350))," "),"")</f>
        <v/>
      </c>
    </row>
    <row r="410" customFormat="false" ht="15.75" hidden="false" customHeight="false" outlineLevel="0" collapsed="false">
      <c r="A410" s="220" t="s">
        <v>401</v>
      </c>
      <c r="B410" s="221"/>
      <c r="C410" s="261" t="str">
        <f aca="false">IFERROR(IF(C$351*C$352*C353&gt;0,AVERAGE(C$351:C$352,C353),""),"")</f>
        <v/>
      </c>
      <c r="D410" s="261" t="str">
        <f aca="false">IFERROR(IF(D$351*D$352*D353&gt;0,AVERAGE(D$351:D$352,D353),""),"")</f>
        <v/>
      </c>
      <c r="E410" s="261" t="str">
        <f aca="false">IFERROR(IF(E$351*E$352*E353&gt;0,AVERAGE(E$351:E$352,E353),""),"")</f>
        <v/>
      </c>
      <c r="F410" s="261" t="str">
        <f aca="false">IFERROR(IF(F$351*F$352*F353&gt;0,AVERAGE(F$351:F$352,F353),""),"")</f>
        <v/>
      </c>
      <c r="G410" s="261" t="str">
        <f aca="false">IFERROR(IF(G$351*G$352*G353&gt;0,AVERAGE(G$351:G$352,G353),""),"")</f>
        <v/>
      </c>
      <c r="H410" s="261" t="str">
        <f aca="false">IFERROR(IF(H$351*H$352*H353&gt;0,AVERAGE(H$351:H$352,H353),""),"")</f>
        <v/>
      </c>
      <c r="I410" s="261" t="str">
        <f aca="false">IFERROR(IF(I$351*I$352*I353&gt;0,AVERAGE(I$351:I$352,I353),""),"")</f>
        <v/>
      </c>
      <c r="J410" s="261" t="str">
        <f aca="false">IFERROR(IF(J$351*J$352*J353&gt;0,AVERAGE(J$351:J$352,J353),""),"")</f>
        <v/>
      </c>
      <c r="K410" s="261" t="str">
        <f aca="false">IFERROR(IF(K$351*K$352*K353&gt;0,AVERAGE(K$351:K$352,K353),""),"")</f>
        <v/>
      </c>
      <c r="L410" s="261" t="str">
        <f aca="false">IFERROR(IF(L$351*L$352*L353&gt;0,AVERAGE(L$351:L$352,L353),""),"")</f>
        <v/>
      </c>
      <c r="M410" s="261" t="str">
        <f aca="false">IFERROR(IF(M$351*M$352*M353&gt;0,AVERAGE(M$351:M$352,M353),""),"")</f>
        <v/>
      </c>
      <c r="N410" s="261" t="str">
        <f aca="false">IFERROR(IF(N$351*N$352*N353&gt;0,AVERAGE(N$351:N$352,N353),""),"")</f>
        <v/>
      </c>
      <c r="O410" s="253"/>
      <c r="P410" s="253"/>
      <c r="Q410" s="254"/>
      <c r="R410" s="226" t="s">
        <v>402</v>
      </c>
      <c r="S410" s="227" t="str">
        <f aca="false">IFERROR(IF(C$351*C$352*C353&gt;0,STDEV(C$351:C$352,C353),"")/IF(C$351*C$352*C353&gt;0,AVERAGE(C$351:C$352,C353),""),"")</f>
        <v/>
      </c>
      <c r="T410" s="227" t="str">
        <f aca="false">IFERROR(IF(D$351*D$352*D353&gt;0,STDEV(D$351:D$352,D353),"")/IF(D$351*D$352*D353&gt;0,AVERAGE(D$351:D$352,D353),""),"")</f>
        <v/>
      </c>
      <c r="U410" s="227" t="str">
        <f aca="false">IFERROR(IF(E$351*E$352*E353&gt;0,STDEV(E$351:E$352,E353),"")/IF(E$351*E$352*E353&gt;0,AVERAGE(E$351:E$352,E353),""),"")</f>
        <v/>
      </c>
      <c r="V410" s="227" t="str">
        <f aca="false">IFERROR(IF(F$351*F$352*F353&gt;0,STDEV(F$351:F$352,F353),"")/IF(F$351*F$352*F353&gt;0,AVERAGE(F$351:F$352,F353),""),"")</f>
        <v/>
      </c>
      <c r="W410" s="227" t="str">
        <f aca="false">IFERROR(IF(G$351*G$352*G353&gt;0,STDEV(G$351:G$352,G353),"")/IF(G$351*G$352*G353&gt;0,AVERAGE(G$351:G$352,G353),""),"")</f>
        <v/>
      </c>
      <c r="X410" s="227" t="str">
        <f aca="false">IFERROR(IF(H$351*H$352*H353&gt;0,STDEV(H$351:H$352,H353),"")/IF(H$351*H$352*H353&gt;0,AVERAGE(H$351:H$352,H353),""),"")</f>
        <v/>
      </c>
      <c r="Y410" s="227" t="str">
        <f aca="false">IFERROR(IF(I$351*I$352*I353&gt;0,STDEV(I$351:I$352,I353),"")/IF(I$351*I$352*I353&gt;0,AVERAGE(I$351:I$352,I353),""),"")</f>
        <v/>
      </c>
      <c r="Z410" s="227" t="str">
        <f aca="false">IFERROR(IF(J$351*J$352*J353&gt;0,STDEV(J$351:J$352,J353),"")/IF(J$351*J$352*J353&gt;0,AVERAGE(J$351:J$352,J353),""),"")</f>
        <v/>
      </c>
      <c r="AA410" s="227" t="str">
        <f aca="false">IFERROR(IF(K$351*K$352*K353&gt;0,STDEV(K$351:K$352,K353),"")/IF(K$351*K$352*K353&gt;0,AVERAGE(K$351:K$352,K353),""),"")</f>
        <v/>
      </c>
      <c r="AB410" s="227" t="str">
        <f aca="false">IFERROR(IF(L$351*L$352*L353&gt;0,STDEV(L$351:L$352,L353),"")/IF(L$351*L$352*L353&gt;0,AVERAGE(L$351:L$352,L353),""),"")</f>
        <v/>
      </c>
      <c r="AC410" s="227" t="str">
        <f aca="false">IFERROR(IF(M$351*M$352*M353&gt;0,STDEV(M$351:M$352,M353),"")/IF(M$351*M$352*M353&gt;0,AVERAGE(M$351:M$352,M353),""),"")</f>
        <v/>
      </c>
      <c r="AD410" s="227" t="str">
        <f aca="false">IFERROR(IF(N$351*N$352*N353&gt;0,STDEV(N$351:N$352,N353),"")/IF(N$351*N$352*N353&gt;0,AVERAGE(N$351:N$352,N353),""),"")</f>
        <v/>
      </c>
      <c r="AE410" s="233"/>
      <c r="AF410" s="229" t="s">
        <v>403</v>
      </c>
      <c r="AG410" s="230" t="str">
        <f aca="false">IFERROR(IF(C$351*C$352*C353&gt;0,STDEV(C$351:C$352,C353)," ")/IF(C$351*C$352*C353&gt;0,SQRT(COUNT(C$351:C$352,C353))," "),"")</f>
        <v/>
      </c>
      <c r="AH410" s="230" t="str">
        <f aca="false">IFERROR(IF(D$351*D$352*D353&gt;0,STDEV(D$351:D$352,D353)," ")/IF(D$351*D$352*D353&gt;0,SQRT(COUNT(D$351:D$352,D353))," "),"")</f>
        <v/>
      </c>
      <c r="AI410" s="230" t="str">
        <f aca="false">IFERROR(IF(E$351*E$352*E353&gt;0,STDEV(E$351:E$352,E353)," ")/IF(E$351*E$352*E353&gt;0,SQRT(COUNT(E$351:E$352,E353))," "),"")</f>
        <v/>
      </c>
      <c r="AJ410" s="230" t="str">
        <f aca="false">IFERROR(IF(F$351*F$352*F353&gt;0,STDEV(F$351:F$352,F353)," ")/IF(F$351*F$352*F353&gt;0,SQRT(COUNT(F$351:F$352,F353))," "),"")</f>
        <v/>
      </c>
      <c r="AK410" s="230" t="str">
        <f aca="false">IFERROR(IF(G$351*G$352*G353&gt;0,STDEV(G$351:G$352,G353)," ")/IF(G$351*G$352*G353&gt;0,SQRT(COUNT(G$351:G$352,G353))," "),"")</f>
        <v/>
      </c>
      <c r="AL410" s="230" t="str">
        <f aca="false">IFERROR(IF(H$351*H$352*H353&gt;0,STDEV(H$351:H$352,H353)," ")/IF(H$351*H$352*H353&gt;0,SQRT(COUNT(H$351:H$352,H353))," "),"")</f>
        <v/>
      </c>
      <c r="AM410" s="230" t="str">
        <f aca="false">IFERROR(IF(I$351*I$352*I353&gt;0,STDEV(I$351:I$352,I353)," ")/IF(I$351*I$352*I353&gt;0,SQRT(COUNT(I$351:I$352,I353))," "),"")</f>
        <v/>
      </c>
      <c r="AN410" s="230" t="str">
        <f aca="false">IFERROR(IF(J$351*J$352*J353&gt;0,STDEV(J$351:J$352,J353)," ")/IF(J$351*J$352*J353&gt;0,SQRT(COUNT(J$351:J$352,J353))," "),"")</f>
        <v/>
      </c>
      <c r="AO410" s="230" t="str">
        <f aca="false">IFERROR(IF(K$351*K$352*K353&gt;0,STDEV(K$351:K$352,K353)," ")/IF(K$351*K$352*K353&gt;0,SQRT(COUNT(K$351:K$352,K353))," "),"")</f>
        <v/>
      </c>
      <c r="AP410" s="230" t="str">
        <f aca="false">IFERROR(IF(L$351*L$352*L353&gt;0,STDEV(L$351:L$352,L353)," ")/IF(L$351*L$352*L353&gt;0,SQRT(COUNT(L$351:L$352,L353))," "),"")</f>
        <v/>
      </c>
      <c r="AQ410" s="230" t="str">
        <f aca="false">IFERROR(IF(M$351*M$352*M353&gt;0,STDEV(M$351:M$352,M353)," ")/IF(M$351*M$352*M353&gt;0,SQRT(COUNT(M$351:M$352,M353))," "),"")</f>
        <v/>
      </c>
      <c r="AR410" s="230" t="str">
        <f aca="false">IFERROR(IF(N$351*N$352*N353&gt;0,STDEV(N$351:N$352,N353)," ")/IF(N$351*N$352*N353&gt;0,SQRT(COUNT(N$351:N$352,N353))," "),"")</f>
        <v/>
      </c>
    </row>
    <row r="411" customFormat="false" ht="15.75" hidden="false" customHeight="false" outlineLevel="0" collapsed="false">
      <c r="A411" s="220" t="s">
        <v>404</v>
      </c>
      <c r="B411" s="221"/>
      <c r="C411" s="261" t="str">
        <f aca="false">IFERROR(IF(C$352*C$353*C347&gt;0,AVERAGE(C$352:C$353,C347),""),"")</f>
        <v/>
      </c>
      <c r="D411" s="261" t="str">
        <f aca="false">IFERROR(IF(D$352*D$353*D347&gt;0,AVERAGE(D$352:D$353,D347),""),"")</f>
        <v/>
      </c>
      <c r="E411" s="261" t="str">
        <f aca="false">IFERROR(IF(E$352*E$353*E347&gt;0,AVERAGE(E$352:E$353,E347),""),"")</f>
        <v/>
      </c>
      <c r="F411" s="261" t="str">
        <f aca="false">IFERROR(IF(F$352*F$353*F347&gt;0,AVERAGE(F$352:F$353,F347),""),"")</f>
        <v/>
      </c>
      <c r="G411" s="261" t="str">
        <f aca="false">IFERROR(IF(G$352*G$353*G347&gt;0,AVERAGE(G$352:G$353,G347),""),"")</f>
        <v/>
      </c>
      <c r="H411" s="261" t="str">
        <f aca="false">IFERROR(IF(H$352*H$353*H347&gt;0,AVERAGE(H$352:H$353,H347),""),"")</f>
        <v/>
      </c>
      <c r="I411" s="261" t="str">
        <f aca="false">IFERROR(IF(I$352*I$353*I347&gt;0,AVERAGE(I$352:I$353,I347),""),"")</f>
        <v/>
      </c>
      <c r="J411" s="261" t="str">
        <f aca="false">IFERROR(IF(J$352*J$353*J347&gt;0,AVERAGE(J$352:J$353,J347),""),"")</f>
        <v/>
      </c>
      <c r="K411" s="261" t="str">
        <f aca="false">IFERROR(IF(K$352*K$353*K347&gt;0,AVERAGE(K$352:K$353,K347),""),"")</f>
        <v/>
      </c>
      <c r="L411" s="261" t="str">
        <f aca="false">IFERROR(IF(L$352*L$353*L347&gt;0,AVERAGE(L$352:L$353,L347),""),"")</f>
        <v/>
      </c>
      <c r="M411" s="261" t="str">
        <f aca="false">IFERROR(IF(M$352*M$353*M347&gt;0,AVERAGE(M$352:M$353,M347),""),"")</f>
        <v/>
      </c>
      <c r="N411" s="261" t="str">
        <f aca="false">IFERROR(IF(N$352*N$353*N347&gt;0,AVERAGE(N$352:N$353,N347),""),"")</f>
        <v/>
      </c>
      <c r="O411" s="253"/>
      <c r="P411" s="253"/>
      <c r="Q411" s="254"/>
      <c r="R411" s="226" t="s">
        <v>405</v>
      </c>
      <c r="S411" s="227" t="str">
        <f aca="false">IFERROR(IF(C$352*C$353*C347&gt;0,STDEV(C$352:C$353,C347),"")/IF(C$352*C$353*C347&gt;0,AVERAGE(C$352:C$353,C347),""),"")</f>
        <v/>
      </c>
      <c r="T411" s="227" t="str">
        <f aca="false">IFERROR(IF(D$352*D$353*D347&gt;0,STDEV(D$352:D$353,D347),"")/IF(D$352*D$353*D347&gt;0,AVERAGE(D$352:D$353,D347),""),"")</f>
        <v/>
      </c>
      <c r="U411" s="227" t="str">
        <f aca="false">IFERROR(IF(E$352*E$353*E347&gt;0,STDEV(E$352:E$353,E347),"")/IF(E$352*E$353*E347&gt;0,AVERAGE(E$352:E$353,E347),""),"")</f>
        <v/>
      </c>
      <c r="V411" s="227" t="str">
        <f aca="false">IFERROR(IF(F$352*F$353*F347&gt;0,STDEV(F$352:F$353,F347),"")/IF(F$352*F$353*F347&gt;0,AVERAGE(F$352:F$353,F347),""),"")</f>
        <v/>
      </c>
      <c r="W411" s="227" t="str">
        <f aca="false">IFERROR(IF(G$352*G$353*G347&gt;0,STDEV(G$352:G$353,G347),"")/IF(G$352*G$353*G347&gt;0,AVERAGE(G$352:G$353,G347),""),"")</f>
        <v/>
      </c>
      <c r="X411" s="227" t="str">
        <f aca="false">IFERROR(IF(H$352*H$353*H347&gt;0,STDEV(H$352:H$353,H347),"")/IF(H$352*H$353*H347&gt;0,AVERAGE(H$352:H$353,H347),""),"")</f>
        <v/>
      </c>
      <c r="Y411" s="227" t="str">
        <f aca="false">IFERROR(IF(I$352*I$353*I347&gt;0,STDEV(I$352:I$353,I347),"")/IF(I$352*I$353*I347&gt;0,AVERAGE(I$352:I$353,I347),""),"")</f>
        <v/>
      </c>
      <c r="Z411" s="227" t="str">
        <f aca="false">IFERROR(IF(J$352*J$353*J347&gt;0,STDEV(J$352:J$353,J347),"")/IF(J$352*J$353*J347&gt;0,AVERAGE(J$352:J$353,J347),""),"")</f>
        <v/>
      </c>
      <c r="AA411" s="227" t="str">
        <f aca="false">IFERROR(IF(K$352*K$353*K347&gt;0,STDEV(K$352:K$353,K347),"")/IF(K$352*K$353*K347&gt;0,AVERAGE(K$352:K$353,K347),""),"")</f>
        <v/>
      </c>
      <c r="AB411" s="227" t="str">
        <f aca="false">IFERROR(IF(L$352*L$353*L347&gt;0,STDEV(L$352:L$353,L347),"")/IF(L$352*L$353*L347&gt;0,AVERAGE(L$352:L$353,L347),""),"")</f>
        <v/>
      </c>
      <c r="AC411" s="227" t="str">
        <f aca="false">IFERROR(IF(M$352*M$353*M347&gt;0,STDEV(M$352:M$353,M347),"")/IF(M$352*M$353*M347&gt;0,AVERAGE(M$352:M$353,M347),""),"")</f>
        <v/>
      </c>
      <c r="AD411" s="227" t="str">
        <f aca="false">IFERROR(IF(N$352*N$353*N347&gt;0,STDEV(N$352:N$353,N347),"")/IF(N$352*N$353*N347&gt;0,AVERAGE(N$352:N$353,N347),""),"")</f>
        <v/>
      </c>
      <c r="AE411" s="233"/>
      <c r="AF411" s="229" t="s">
        <v>406</v>
      </c>
      <c r="AG411" s="230" t="str">
        <f aca="false">IFERROR(IF(C$352*C$353*C347&gt;0,STDEV(C$352:C$353,C347)," ")/IF(C$352*C$353*C347&gt;0,SQRT(COUNT(C$352:C$353,C347))," "),"")</f>
        <v/>
      </c>
      <c r="AH411" s="230" t="str">
        <f aca="false">IFERROR(IF(D$352*D$353*D347&gt;0,STDEV(D$352:D$353,D347)," ")/IF(D$352*D$353*D347&gt;0,SQRT(COUNT(D$352:D$353,D347))," "),"")</f>
        <v/>
      </c>
      <c r="AI411" s="230" t="str">
        <f aca="false">IFERROR(IF(E$352*E$353*E347&gt;0,STDEV(E$352:E$353,E347)," ")/IF(E$352*E$353*E347&gt;0,SQRT(COUNT(E$352:E$353,E347))," "),"")</f>
        <v/>
      </c>
      <c r="AJ411" s="230" t="str">
        <f aca="false">IFERROR(IF(F$352*F$353*F347&gt;0,STDEV(F$352:F$353,F347)," ")/IF(F$352*F$353*F347&gt;0,SQRT(COUNT(F$352:F$353,F347))," "),"")</f>
        <v/>
      </c>
      <c r="AK411" s="230" t="str">
        <f aca="false">IFERROR(IF(G$352*G$353*G347&gt;0,STDEV(G$352:G$353,G347)," ")/IF(G$352*G$353*G347&gt;0,SQRT(COUNT(G$352:G$353,G347))," "),"")</f>
        <v/>
      </c>
      <c r="AL411" s="230" t="str">
        <f aca="false">IFERROR(IF(H$352*H$353*H347&gt;0,STDEV(H$352:H$353,H347)," ")/IF(H$352*H$353*H347&gt;0,SQRT(COUNT(H$352:H$353,H347))," "),"")</f>
        <v/>
      </c>
      <c r="AM411" s="230" t="str">
        <f aca="false">IFERROR(IF(I$352*I$353*I347&gt;0,STDEV(I$352:I$353,I347)," ")/IF(I$352*I$353*I347&gt;0,SQRT(COUNT(I$352:I$353,I347))," "),"")</f>
        <v/>
      </c>
      <c r="AN411" s="230" t="str">
        <f aca="false">IFERROR(IF(J$352*J$353*J347&gt;0,STDEV(J$352:J$353,J347)," ")/IF(J$352*J$353*J347&gt;0,SQRT(COUNT(J$352:J$353,J347))," "),"")</f>
        <v/>
      </c>
      <c r="AO411" s="230" t="str">
        <f aca="false">IFERROR(IF(K$352*K$353*K347&gt;0,STDEV(K$352:K$353,K347)," ")/IF(K$352*K$353*K347&gt;0,SQRT(COUNT(K$352:K$353,K347))," "),"")</f>
        <v/>
      </c>
      <c r="AP411" s="230" t="str">
        <f aca="false">IFERROR(IF(L$352*L$353*L347&gt;0,STDEV(L$352:L$353,L347)," ")/IF(L$352*L$353*L347&gt;0,SQRT(COUNT(L$352:L$353,L347))," "),"")</f>
        <v/>
      </c>
      <c r="AQ411" s="230" t="str">
        <f aca="false">IFERROR(IF(M$352*M$353*M347&gt;0,STDEV(M$352:M$353,M347)," ")/IF(M$352*M$353*M347&gt;0,SQRT(COUNT(M$352:M$353,M347))," "),"")</f>
        <v/>
      </c>
      <c r="AR411" s="230" t="str">
        <f aca="false">IFERROR(IF(N$352*N$353*N347&gt;0,STDEV(N$352:N$353,N347)," ")/IF(N$352*N$353*N347&gt;0,SQRT(COUNT(N$352:N$353,N347))," "),"")</f>
        <v/>
      </c>
    </row>
    <row r="412" customFormat="false" ht="15.75" hidden="false" customHeight="false" outlineLevel="0" collapsed="false">
      <c r="A412" s="220" t="s">
        <v>407</v>
      </c>
      <c r="B412" s="221"/>
      <c r="C412" s="261" t="str">
        <f aca="false">IFERROR(IF(C$352*C$353*C348&gt;0,AVERAGE(C$352:C$353,C348),""),"")</f>
        <v/>
      </c>
      <c r="D412" s="261" t="str">
        <f aca="false">IFERROR(IF(D$352*D$353*D348&gt;0,AVERAGE(D$352:D$353,D348),""),"")</f>
        <v/>
      </c>
      <c r="E412" s="261" t="str">
        <f aca="false">IFERROR(IF(E$352*E$353*E348&gt;0,AVERAGE(E$352:E$353,E348),""),"")</f>
        <v/>
      </c>
      <c r="F412" s="261" t="str">
        <f aca="false">IFERROR(IF(F$352*F$353*F348&gt;0,AVERAGE(F$352:F$353,F348),""),"")</f>
        <v/>
      </c>
      <c r="G412" s="261" t="str">
        <f aca="false">IFERROR(IF(G$352*G$353*G348&gt;0,AVERAGE(G$352:G$353,G348),""),"")</f>
        <v/>
      </c>
      <c r="H412" s="261" t="str">
        <f aca="false">IFERROR(IF(H$352*H$353*H348&gt;0,AVERAGE(H$352:H$353,H348),""),"")</f>
        <v/>
      </c>
      <c r="I412" s="261" t="str">
        <f aca="false">IFERROR(IF(I$352*I$353*I348&gt;0,AVERAGE(I$352:I$353,I348),""),"")</f>
        <v/>
      </c>
      <c r="J412" s="261" t="str">
        <f aca="false">IFERROR(IF(J$352*J$353*J348&gt;0,AVERAGE(J$352:J$353,J348),""),"")</f>
        <v/>
      </c>
      <c r="K412" s="261" t="str">
        <f aca="false">IFERROR(IF(K$352*K$353*K348&gt;0,AVERAGE(K$352:K$353,K348),""),"")</f>
        <v/>
      </c>
      <c r="L412" s="261" t="str">
        <f aca="false">IFERROR(IF(L$352*L$353*L348&gt;0,AVERAGE(L$352:L$353,L348),""),"")</f>
        <v/>
      </c>
      <c r="M412" s="261" t="str">
        <f aca="false">IFERROR(IF(M$352*M$353*M348&gt;0,AVERAGE(M$352:M$353,M348),""),"")</f>
        <v/>
      </c>
      <c r="N412" s="261" t="str">
        <f aca="false">IFERROR(IF(N$352*N$353*N348&gt;0,AVERAGE(N$352:N$353,N348),""),"")</f>
        <v/>
      </c>
      <c r="O412" s="253"/>
      <c r="P412" s="253"/>
      <c r="Q412" s="254"/>
      <c r="R412" s="226" t="s">
        <v>408</v>
      </c>
      <c r="S412" s="227" t="str">
        <f aca="false">IFERROR(IF(C$352*C$353*C348&gt;0,STDEV(C$352:C$353,C348),"")/IF(C$352*C$353*C348&gt;0,AVERAGE(C$352:C$353,C348),""),"")</f>
        <v/>
      </c>
      <c r="T412" s="227" t="str">
        <f aca="false">IFERROR(IF(D$352*D$353*D348&gt;0,STDEV(D$352:D$353,D348),"")/IF(D$352*D$353*D348&gt;0,AVERAGE(D$352:D$353,D348),""),"")</f>
        <v/>
      </c>
      <c r="U412" s="227" t="str">
        <f aca="false">IFERROR(IF(E$352*E$353*E348&gt;0,STDEV(E$352:E$353,E348),"")/IF(E$352*E$353*E348&gt;0,AVERAGE(E$352:E$353,E348),""),"")</f>
        <v/>
      </c>
      <c r="V412" s="227" t="str">
        <f aca="false">IFERROR(IF(F$352*F$353*F348&gt;0,STDEV(F$352:F$353,F348),"")/IF(F$352*F$353*F348&gt;0,AVERAGE(F$352:F$353,F348),""),"")</f>
        <v/>
      </c>
      <c r="W412" s="227" t="str">
        <f aca="false">IFERROR(IF(G$352*G$353*G348&gt;0,STDEV(G$352:G$353,G348),"")/IF(G$352*G$353*G348&gt;0,AVERAGE(G$352:G$353,G348),""),"")</f>
        <v/>
      </c>
      <c r="X412" s="227" t="str">
        <f aca="false">IFERROR(IF(H$352*H$353*H348&gt;0,STDEV(H$352:H$353,H348),"")/IF(H$352*H$353*H348&gt;0,AVERAGE(H$352:H$353,H348),""),"")</f>
        <v/>
      </c>
      <c r="Y412" s="227" t="str">
        <f aca="false">IFERROR(IF(I$352*I$353*I348&gt;0,STDEV(I$352:I$353,I348),"")/IF(I$352*I$353*I348&gt;0,AVERAGE(I$352:I$353,I348),""),"")</f>
        <v/>
      </c>
      <c r="Z412" s="227" t="str">
        <f aca="false">IFERROR(IF(J$352*J$353*J348&gt;0,STDEV(J$352:J$353,J348),"")/IF(J$352*J$353*J348&gt;0,AVERAGE(J$352:J$353,J348),""),"")</f>
        <v/>
      </c>
      <c r="AA412" s="227" t="str">
        <f aca="false">IFERROR(IF(K$352*K$353*K348&gt;0,STDEV(K$352:K$353,K348),"")/IF(K$352*K$353*K348&gt;0,AVERAGE(K$352:K$353,K348),""),"")</f>
        <v/>
      </c>
      <c r="AB412" s="227" t="str">
        <f aca="false">IFERROR(IF(L$352*L$353*L348&gt;0,STDEV(L$352:L$353,L348),"")/IF(L$352*L$353*L348&gt;0,AVERAGE(L$352:L$353,L348),""),"")</f>
        <v/>
      </c>
      <c r="AC412" s="227" t="str">
        <f aca="false">IFERROR(IF(M$352*M$353*M348&gt;0,STDEV(M$352:M$353,M348),"")/IF(M$352*M$353*M348&gt;0,AVERAGE(M$352:M$353,M348),""),"")</f>
        <v/>
      </c>
      <c r="AD412" s="227" t="str">
        <f aca="false">IFERROR(IF(N$352*N$353*N348&gt;0,STDEV(N$352:N$353,N348),"")/IF(N$352*N$353*N348&gt;0,AVERAGE(N$352:N$353,N348),""),"")</f>
        <v/>
      </c>
      <c r="AE412" s="233"/>
      <c r="AF412" s="229" t="s">
        <v>409</v>
      </c>
      <c r="AG412" s="230" t="str">
        <f aca="false">IFERROR(IF(C$352*C$353*C348&gt;0,STDEV(C$352:C$353,C348)," ")/IF(C$352*C$353*C348&gt;0,SQRT(COUNT(C$352:C$353,C348))," "),"")</f>
        <v/>
      </c>
      <c r="AH412" s="230" t="str">
        <f aca="false">IFERROR(IF(D$352*D$353*D348&gt;0,STDEV(D$352:D$353,D348)," ")/IF(D$352*D$353*D348&gt;0,SQRT(COUNT(D$352:D$353,D348))," "),"")</f>
        <v/>
      </c>
      <c r="AI412" s="230" t="str">
        <f aca="false">IFERROR(IF(E$352*E$353*E348&gt;0,STDEV(E$352:E$353,E348)," ")/IF(E$352*E$353*E348&gt;0,SQRT(COUNT(E$352:E$353,E348))," "),"")</f>
        <v/>
      </c>
      <c r="AJ412" s="230" t="str">
        <f aca="false">IFERROR(IF(F$352*F$353*F348&gt;0,STDEV(F$352:F$353,F348)," ")/IF(F$352*F$353*F348&gt;0,SQRT(COUNT(F$352:F$353,F348))," "),"")</f>
        <v/>
      </c>
      <c r="AK412" s="230" t="str">
        <f aca="false">IFERROR(IF(G$352*G$353*G348&gt;0,STDEV(G$352:G$353,G348)," ")/IF(G$352*G$353*G348&gt;0,SQRT(COUNT(G$352:G$353,G348))," "),"")</f>
        <v/>
      </c>
      <c r="AL412" s="230" t="str">
        <f aca="false">IFERROR(IF(H$352*H$353*H348&gt;0,STDEV(H$352:H$353,H348)," ")/IF(H$352*H$353*H348&gt;0,SQRT(COUNT(H$352:H$353,H348))," "),"")</f>
        <v/>
      </c>
      <c r="AM412" s="230" t="str">
        <f aca="false">IFERROR(IF(I$352*I$353*I348&gt;0,STDEV(I$352:I$353,I348)," ")/IF(I$352*I$353*I348&gt;0,SQRT(COUNT(I$352:I$353,I348))," "),"")</f>
        <v/>
      </c>
      <c r="AN412" s="230" t="str">
        <f aca="false">IFERROR(IF(J$352*J$353*J348&gt;0,STDEV(J$352:J$353,J348)," ")/IF(J$352*J$353*J348&gt;0,SQRT(COUNT(J$352:J$353,J348))," "),"")</f>
        <v/>
      </c>
      <c r="AO412" s="230" t="str">
        <f aca="false">IFERROR(IF(K$352*K$353*K348&gt;0,STDEV(K$352:K$353,K348)," ")/IF(K$352*K$353*K348&gt;0,SQRT(COUNT(K$352:K$353,K348))," "),"")</f>
        <v/>
      </c>
      <c r="AP412" s="230" t="str">
        <f aca="false">IFERROR(IF(L$352*L$353*L348&gt;0,STDEV(L$352:L$353,L348)," ")/IF(L$352*L$353*L348&gt;0,SQRT(COUNT(L$352:L$353,L348))," "),"")</f>
        <v/>
      </c>
      <c r="AQ412" s="230" t="str">
        <f aca="false">IFERROR(IF(M$352*M$353*M348&gt;0,STDEV(M$352:M$353,M348)," ")/IF(M$352*M$353*M348&gt;0,SQRT(COUNT(M$352:M$353,M348))," "),"")</f>
        <v/>
      </c>
      <c r="AR412" s="230" t="str">
        <f aca="false">IFERROR(IF(N$352*N$353*N348&gt;0,STDEV(N$352:N$353,N348)," ")/IF(N$352*N$353*N348&gt;0,SQRT(COUNT(N$352:N$353,N348))," "),"")</f>
        <v/>
      </c>
    </row>
    <row r="413" customFormat="false" ht="15.75" hidden="false" customHeight="false" outlineLevel="0" collapsed="false">
      <c r="A413" s="220" t="s">
        <v>410</v>
      </c>
      <c r="B413" s="221"/>
      <c r="C413" s="261" t="str">
        <f aca="false">IFERROR(IF(C$352*C$353*C349&gt;0,AVERAGE(C$352:C$353,C349),""),"")</f>
        <v/>
      </c>
      <c r="D413" s="261" t="str">
        <f aca="false">IFERROR(IF(D$352*D$353*D349&gt;0,AVERAGE(D$352:D$353,D349),""),"")</f>
        <v/>
      </c>
      <c r="E413" s="261" t="str">
        <f aca="false">IFERROR(IF(E$352*E$353*E349&gt;0,AVERAGE(E$352:E$353,E349),""),"")</f>
        <v/>
      </c>
      <c r="F413" s="261" t="str">
        <f aca="false">IFERROR(IF(F$352*F$353*F349&gt;0,AVERAGE(F$352:F$353,F349),""),"")</f>
        <v/>
      </c>
      <c r="G413" s="261" t="str">
        <f aca="false">IFERROR(IF(G$352*G$353*G349&gt;0,AVERAGE(G$352:G$353,G349),""),"")</f>
        <v/>
      </c>
      <c r="H413" s="261" t="str">
        <f aca="false">IFERROR(IF(H$352*H$353*H349&gt;0,AVERAGE(H$352:H$353,H349),""),"")</f>
        <v/>
      </c>
      <c r="I413" s="261" t="str">
        <f aca="false">IFERROR(IF(I$352*I$353*I349&gt;0,AVERAGE(I$352:I$353,I349),""),"")</f>
        <v/>
      </c>
      <c r="J413" s="261" t="str">
        <f aca="false">IFERROR(IF(J$352*J$353*J349&gt;0,AVERAGE(J$352:J$353,J349),""),"")</f>
        <v/>
      </c>
      <c r="K413" s="261" t="str">
        <f aca="false">IFERROR(IF(K$352*K$353*K349&gt;0,AVERAGE(K$352:K$353,K349),""),"")</f>
        <v/>
      </c>
      <c r="L413" s="261" t="str">
        <f aca="false">IFERROR(IF(L$352*L$353*L349&gt;0,AVERAGE(L$352:L$353,L349),""),"")</f>
        <v/>
      </c>
      <c r="M413" s="261" t="str">
        <f aca="false">IFERROR(IF(M$352*M$353*M349&gt;0,AVERAGE(M$352:M$353,M349),""),"")</f>
        <v/>
      </c>
      <c r="N413" s="261" t="str">
        <f aca="false">IFERROR(IF(N$352*N$353*N349&gt;0,AVERAGE(N$352:N$353,N349),""),"")</f>
        <v/>
      </c>
      <c r="O413" s="253"/>
      <c r="P413" s="253"/>
      <c r="Q413" s="254"/>
      <c r="R413" s="226" t="s">
        <v>411</v>
      </c>
      <c r="S413" s="227" t="str">
        <f aca="false">IFERROR(IF(C$352*C$353*C349&gt;0,STDEV(C$352:C$353,C349),"")/IF(C$352*C$353*C349&gt;0,AVERAGE(C$352:C$353,C349),""),"")</f>
        <v/>
      </c>
      <c r="T413" s="227" t="str">
        <f aca="false">IFERROR(IF(D$352*D$353*D349&gt;0,STDEV(D$352:D$353,D349),"")/IF(D$352*D$353*D349&gt;0,AVERAGE(D$352:D$353,D349),""),"")</f>
        <v/>
      </c>
      <c r="U413" s="227" t="str">
        <f aca="false">IFERROR(IF(E$352*E$353*E349&gt;0,STDEV(E$352:E$353,E349),"")/IF(E$352*E$353*E349&gt;0,AVERAGE(E$352:E$353,E349),""),"")</f>
        <v/>
      </c>
      <c r="V413" s="227" t="str">
        <f aca="false">IFERROR(IF(F$352*F$353*F349&gt;0,STDEV(F$352:F$353,F349),"")/IF(F$352*F$353*F349&gt;0,AVERAGE(F$352:F$353,F349),""),"")</f>
        <v/>
      </c>
      <c r="W413" s="227" t="str">
        <f aca="false">IFERROR(IF(G$352*G$353*G349&gt;0,STDEV(G$352:G$353,G349),"")/IF(G$352*G$353*G349&gt;0,AVERAGE(G$352:G$353,G349),""),"")</f>
        <v/>
      </c>
      <c r="X413" s="227" t="str">
        <f aca="false">IFERROR(IF(H$352*H$353*H349&gt;0,STDEV(H$352:H$353,H349),"")/IF(H$352*H$353*H349&gt;0,AVERAGE(H$352:H$353,H349),""),"")</f>
        <v/>
      </c>
      <c r="Y413" s="227" t="str">
        <f aca="false">IFERROR(IF(I$352*I$353*I349&gt;0,STDEV(I$352:I$353,I349),"")/IF(I$352*I$353*I349&gt;0,AVERAGE(I$352:I$353,I349),""),"")</f>
        <v/>
      </c>
      <c r="Z413" s="227" t="str">
        <f aca="false">IFERROR(IF(J$352*J$353*J349&gt;0,STDEV(J$352:J$353,J349),"")/IF(J$352*J$353*J349&gt;0,AVERAGE(J$352:J$353,J349),""),"")</f>
        <v/>
      </c>
      <c r="AA413" s="227" t="str">
        <f aca="false">IFERROR(IF(K$352*K$353*K349&gt;0,STDEV(K$352:K$353,K349),"")/IF(K$352*K$353*K349&gt;0,AVERAGE(K$352:K$353,K349),""),"")</f>
        <v/>
      </c>
      <c r="AB413" s="227" t="str">
        <f aca="false">IFERROR(IF(L$352*L$353*L349&gt;0,STDEV(L$352:L$353,L349),"")/IF(L$352*L$353*L349&gt;0,AVERAGE(L$352:L$353,L349),""),"")</f>
        <v/>
      </c>
      <c r="AC413" s="227" t="str">
        <f aca="false">IFERROR(IF(M$352*M$353*M349&gt;0,STDEV(M$352:M$353,M349),"")/IF(M$352*M$353*M349&gt;0,AVERAGE(M$352:M$353,M349),""),"")</f>
        <v/>
      </c>
      <c r="AD413" s="227" t="str">
        <f aca="false">IFERROR(IF(N$352*N$353*N349&gt;0,STDEV(N$352:N$353,N349),"")/IF(N$352*N$353*N349&gt;0,AVERAGE(N$352:N$353,N349),""),"")</f>
        <v/>
      </c>
      <c r="AE413" s="233"/>
      <c r="AF413" s="229" t="s">
        <v>412</v>
      </c>
      <c r="AG413" s="230" t="str">
        <f aca="false">IFERROR(IF(C$352*C$353*C349&gt;0,STDEV(C$352:C$353,C349)," ")/IF(C$352*C$353*C349&gt;0,SQRT(COUNT(C$352:C$353,C349))," "),"")</f>
        <v/>
      </c>
      <c r="AH413" s="230" t="str">
        <f aca="false">IFERROR(IF(D$352*D$353*D349&gt;0,STDEV(D$352:D$353,D349)," ")/IF(D$352*D$353*D349&gt;0,SQRT(COUNT(D$352:D$353,D349))," "),"")</f>
        <v/>
      </c>
      <c r="AI413" s="230" t="str">
        <f aca="false">IFERROR(IF(E$352*E$353*E349&gt;0,STDEV(E$352:E$353,E349)," ")/IF(E$352*E$353*E349&gt;0,SQRT(COUNT(E$352:E$353,E349))," "),"")</f>
        <v/>
      </c>
      <c r="AJ413" s="230" t="str">
        <f aca="false">IFERROR(IF(F$352*F$353*F349&gt;0,STDEV(F$352:F$353,F349)," ")/IF(F$352*F$353*F349&gt;0,SQRT(COUNT(F$352:F$353,F349))," "),"")</f>
        <v/>
      </c>
      <c r="AK413" s="230" t="str">
        <f aca="false">IFERROR(IF(G$352*G$353*G349&gt;0,STDEV(G$352:G$353,G349)," ")/IF(G$352*G$353*G349&gt;0,SQRT(COUNT(G$352:G$353,G349))," "),"")</f>
        <v/>
      </c>
      <c r="AL413" s="230" t="str">
        <f aca="false">IFERROR(IF(H$352*H$353*H349&gt;0,STDEV(H$352:H$353,H349)," ")/IF(H$352*H$353*H349&gt;0,SQRT(COUNT(H$352:H$353,H349))," "),"")</f>
        <v/>
      </c>
      <c r="AM413" s="230" t="str">
        <f aca="false">IFERROR(IF(I$352*I$353*I349&gt;0,STDEV(I$352:I$353,I349)," ")/IF(I$352*I$353*I349&gt;0,SQRT(COUNT(I$352:I$353,I349))," "),"")</f>
        <v/>
      </c>
      <c r="AN413" s="230" t="str">
        <f aca="false">IFERROR(IF(J$352*J$353*J349&gt;0,STDEV(J$352:J$353,J349)," ")/IF(J$352*J$353*J349&gt;0,SQRT(COUNT(J$352:J$353,J349))," "),"")</f>
        <v/>
      </c>
      <c r="AO413" s="230" t="str">
        <f aca="false">IFERROR(IF(K$352*K$353*K349&gt;0,STDEV(K$352:K$353,K349)," ")/IF(K$352*K$353*K349&gt;0,SQRT(COUNT(K$352:K$353,K349))," "),"")</f>
        <v/>
      </c>
      <c r="AP413" s="230" t="str">
        <f aca="false">IFERROR(IF(L$352*L$353*L349&gt;0,STDEV(L$352:L$353,L349)," ")/IF(L$352*L$353*L349&gt;0,SQRT(COUNT(L$352:L$353,L349))," "),"")</f>
        <v/>
      </c>
      <c r="AQ413" s="230" t="str">
        <f aca="false">IFERROR(IF(M$352*M$353*M349&gt;0,STDEV(M$352:M$353,M349)," ")/IF(M$352*M$353*M349&gt;0,SQRT(COUNT(M$352:M$353,M349))," "),"")</f>
        <v/>
      </c>
      <c r="AR413" s="230" t="str">
        <f aca="false">IFERROR(IF(N$352*N$353*N349&gt;0,STDEV(N$352:N$353,N349)," ")/IF(N$352*N$353*N349&gt;0,SQRT(COUNT(N$352:N$353,N349))," "),"")</f>
        <v/>
      </c>
    </row>
    <row r="414" customFormat="false" ht="15.75" hidden="false" customHeight="false" outlineLevel="0" collapsed="false">
      <c r="A414" s="220" t="s">
        <v>413</v>
      </c>
      <c r="B414" s="221"/>
      <c r="C414" s="261" t="str">
        <f aca="false">IFERROR(IF(C$352*C$353*C350&gt;0,AVERAGE(C$352:C$353,C350),""),"")</f>
        <v/>
      </c>
      <c r="D414" s="261" t="str">
        <f aca="false">IFERROR(IF(D$352*D$353*D350&gt;0,AVERAGE(D$352:D$353,D350),""),"")</f>
        <v/>
      </c>
      <c r="E414" s="261" t="str">
        <f aca="false">IFERROR(IF(E$352*E$353*E350&gt;0,AVERAGE(E$352:E$353,E350),""),"")</f>
        <v/>
      </c>
      <c r="F414" s="261" t="str">
        <f aca="false">IFERROR(IF(F$352*F$353*F350&gt;0,AVERAGE(F$352:F$353,F350),""),"")</f>
        <v/>
      </c>
      <c r="G414" s="261" t="str">
        <f aca="false">IFERROR(IF(G$352*G$353*G350&gt;0,AVERAGE(G$352:G$353,G350),""),"")</f>
        <v/>
      </c>
      <c r="H414" s="261" t="str">
        <f aca="false">IFERROR(IF(H$352*H$353*H350&gt;0,AVERAGE(H$352:H$353,H350),""),"")</f>
        <v/>
      </c>
      <c r="I414" s="261" t="str">
        <f aca="false">IFERROR(IF(I$352*I$353*I350&gt;0,AVERAGE(I$352:I$353,I350),""),"")</f>
        <v/>
      </c>
      <c r="J414" s="261" t="str">
        <f aca="false">IFERROR(IF(J$352*J$353*J350&gt;0,AVERAGE(J$352:J$353,J350),""),"")</f>
        <v/>
      </c>
      <c r="K414" s="261" t="str">
        <f aca="false">IFERROR(IF(K$352*K$353*K350&gt;0,AVERAGE(K$352:K$353,K350),""),"")</f>
        <v/>
      </c>
      <c r="L414" s="261" t="str">
        <f aca="false">IFERROR(IF(L$352*L$353*L350&gt;0,AVERAGE(L$352:L$353,L350),""),"")</f>
        <v/>
      </c>
      <c r="M414" s="261" t="str">
        <f aca="false">IFERROR(IF(M$352*M$353*M350&gt;0,AVERAGE(M$352:M$353,M350),""),"")</f>
        <v/>
      </c>
      <c r="N414" s="261" t="str">
        <f aca="false">IFERROR(IF(N$352*N$353*N350&gt;0,AVERAGE(N$352:N$353,N350),""),"")</f>
        <v/>
      </c>
      <c r="O414" s="253"/>
      <c r="P414" s="253"/>
      <c r="Q414" s="254"/>
      <c r="R414" s="226" t="s">
        <v>414</v>
      </c>
      <c r="S414" s="227" t="str">
        <f aca="false">IFERROR(IF(C$352*C$353*C350&gt;0,STDEV(C$352:C$353,C350),"")/IF(C$352*C$353*C350&gt;0,AVERAGE(C$352:C$353,C350),""),"")</f>
        <v/>
      </c>
      <c r="T414" s="227" t="str">
        <f aca="false">IFERROR(IF(D$352*D$353*D350&gt;0,STDEV(D$352:D$353,D350),"")/IF(D$352*D$353*D350&gt;0,AVERAGE(D$352:D$353,D350),""),"")</f>
        <v/>
      </c>
      <c r="U414" s="227" t="str">
        <f aca="false">IFERROR(IF(E$352*E$353*E350&gt;0,STDEV(E$352:E$353,E350),"")/IF(E$352*E$353*E350&gt;0,AVERAGE(E$352:E$353,E350),""),"")</f>
        <v/>
      </c>
      <c r="V414" s="227" t="str">
        <f aca="false">IFERROR(IF(F$352*F$353*F350&gt;0,STDEV(F$352:F$353,F350),"")/IF(F$352*F$353*F350&gt;0,AVERAGE(F$352:F$353,F350),""),"")</f>
        <v/>
      </c>
      <c r="W414" s="227" t="str">
        <f aca="false">IFERROR(IF(G$352*G$353*G350&gt;0,STDEV(G$352:G$353,G350),"")/IF(G$352*G$353*G350&gt;0,AVERAGE(G$352:G$353,G350),""),"")</f>
        <v/>
      </c>
      <c r="X414" s="227" t="str">
        <f aca="false">IFERROR(IF(H$352*H$353*H350&gt;0,STDEV(H$352:H$353,H350),"")/IF(H$352*H$353*H350&gt;0,AVERAGE(H$352:H$353,H350),""),"")</f>
        <v/>
      </c>
      <c r="Y414" s="227" t="str">
        <f aca="false">IFERROR(IF(I$352*I$353*I350&gt;0,STDEV(I$352:I$353,I350),"")/IF(I$352*I$353*I350&gt;0,AVERAGE(I$352:I$353,I350),""),"")</f>
        <v/>
      </c>
      <c r="Z414" s="227" t="str">
        <f aca="false">IFERROR(IF(J$352*J$353*J350&gt;0,STDEV(J$352:J$353,J350),"")/IF(J$352*J$353*J350&gt;0,AVERAGE(J$352:J$353,J350),""),"")</f>
        <v/>
      </c>
      <c r="AA414" s="227" t="str">
        <f aca="false">IFERROR(IF(K$352*K$353*K350&gt;0,STDEV(K$352:K$353,K350),"")/IF(K$352*K$353*K350&gt;0,AVERAGE(K$352:K$353,K350),""),"")</f>
        <v/>
      </c>
      <c r="AB414" s="227" t="str">
        <f aca="false">IFERROR(IF(L$352*L$353*L350&gt;0,STDEV(L$352:L$353,L350),"")/IF(L$352*L$353*L350&gt;0,AVERAGE(L$352:L$353,L350),""),"")</f>
        <v/>
      </c>
      <c r="AC414" s="227" t="str">
        <f aca="false">IFERROR(IF(M$352*M$353*M350&gt;0,STDEV(M$352:M$353,M350),"")/IF(M$352*M$353*M350&gt;0,AVERAGE(M$352:M$353,M350),""),"")</f>
        <v/>
      </c>
      <c r="AD414" s="227" t="str">
        <f aca="false">IFERROR(IF(N$352*N$353*N350&gt;0,STDEV(N$352:N$353,N350),"")/IF(N$352*N$353*N350&gt;0,AVERAGE(N$352:N$353,N350),""),"")</f>
        <v/>
      </c>
      <c r="AE414" s="233"/>
      <c r="AF414" s="229" t="s">
        <v>415</v>
      </c>
      <c r="AG414" s="230" t="str">
        <f aca="false">IFERROR(IF(C$352*C$353*C350&gt;0,STDEV(C$352:C$353,C350)," ")/IF(C$352*C$353*C350&gt;0,SQRT(COUNT(C$352:C$353,C350))," "),"")</f>
        <v/>
      </c>
      <c r="AH414" s="230" t="str">
        <f aca="false">IFERROR(IF(D$352*D$353*D350&gt;0,STDEV(D$352:D$353,D350)," ")/IF(D$352*D$353*D350&gt;0,SQRT(COUNT(D$352:D$353,D350))," "),"")</f>
        <v/>
      </c>
      <c r="AI414" s="230" t="str">
        <f aca="false">IFERROR(IF(E$352*E$353*E350&gt;0,STDEV(E$352:E$353,E350)," ")/IF(E$352*E$353*E350&gt;0,SQRT(COUNT(E$352:E$353,E350))," "),"")</f>
        <v/>
      </c>
      <c r="AJ414" s="230" t="str">
        <f aca="false">IFERROR(IF(F$352*F$353*F350&gt;0,STDEV(F$352:F$353,F350)," ")/IF(F$352*F$353*F350&gt;0,SQRT(COUNT(F$352:F$353,F350))," "),"")</f>
        <v/>
      </c>
      <c r="AK414" s="230" t="str">
        <f aca="false">IFERROR(IF(G$352*G$353*G350&gt;0,STDEV(G$352:G$353,G350)," ")/IF(G$352*G$353*G350&gt;0,SQRT(COUNT(G$352:G$353,G350))," "),"")</f>
        <v/>
      </c>
      <c r="AL414" s="230" t="str">
        <f aca="false">IFERROR(IF(H$352*H$353*H350&gt;0,STDEV(H$352:H$353,H350)," ")/IF(H$352*H$353*H350&gt;0,SQRT(COUNT(H$352:H$353,H350))," "),"")</f>
        <v/>
      </c>
      <c r="AM414" s="230" t="str">
        <f aca="false">IFERROR(IF(I$352*I$353*I350&gt;0,STDEV(I$352:I$353,I350)," ")/IF(I$352*I$353*I350&gt;0,SQRT(COUNT(I$352:I$353,I350))," "),"")</f>
        <v/>
      </c>
      <c r="AN414" s="230" t="str">
        <f aca="false">IFERROR(IF(J$352*J$353*J350&gt;0,STDEV(J$352:J$353,J350)," ")/IF(J$352*J$353*J350&gt;0,SQRT(COUNT(J$352:J$353,J350))," "),"")</f>
        <v/>
      </c>
      <c r="AO414" s="230" t="str">
        <f aca="false">IFERROR(IF(K$352*K$353*K350&gt;0,STDEV(K$352:K$353,K350)," ")/IF(K$352*K$353*K350&gt;0,SQRT(COUNT(K$352:K$353,K350))," "),"")</f>
        <v/>
      </c>
      <c r="AP414" s="230" t="str">
        <f aca="false">IFERROR(IF(L$352*L$353*L350&gt;0,STDEV(L$352:L$353,L350)," ")/IF(L$352*L$353*L350&gt;0,SQRT(COUNT(L$352:L$353,L350))," "),"")</f>
        <v/>
      </c>
      <c r="AQ414" s="230" t="str">
        <f aca="false">IFERROR(IF(M$352*M$353*M350&gt;0,STDEV(M$352:M$353,M350)," ")/IF(M$352*M$353*M350&gt;0,SQRT(COUNT(M$352:M$353,M350))," "),"")</f>
        <v/>
      </c>
      <c r="AR414" s="230" t="str">
        <f aca="false">IFERROR(IF(N$352*N$353*N350&gt;0,STDEV(N$352:N$353,N350)," ")/IF(N$352*N$353*N350&gt;0,SQRT(COUNT(N$352:N$353,N350))," "),"")</f>
        <v/>
      </c>
    </row>
    <row r="415" customFormat="false" ht="15.75" hidden="false" customHeight="false" outlineLevel="0" collapsed="false">
      <c r="A415" s="220" t="s">
        <v>629</v>
      </c>
      <c r="B415" s="221"/>
      <c r="C415" s="261" t="str">
        <f aca="false">IFERROR(IF(C$352*C$353*C351&gt;0,AVERAGE(C$352:C$353,C351),""),"")</f>
        <v/>
      </c>
      <c r="D415" s="261" t="str">
        <f aca="false">IFERROR(IF(D$352*D$353*D351&gt;0,AVERAGE(D$352:D$353,D351),""),"")</f>
        <v/>
      </c>
      <c r="E415" s="261" t="str">
        <f aca="false">IFERROR(IF(E$352*E$353*E351&gt;0,AVERAGE(E$352:E$353,E351),""),"")</f>
        <v/>
      </c>
      <c r="F415" s="261" t="str">
        <f aca="false">IFERROR(IF(F$352*F$353*F351&gt;0,AVERAGE(F$352:F$353,F351),""),"")</f>
        <v/>
      </c>
      <c r="G415" s="261" t="str">
        <f aca="false">IFERROR(IF(G$352*G$353*G351&gt;0,AVERAGE(G$352:G$353,G351),""),"")</f>
        <v/>
      </c>
      <c r="H415" s="261" t="str">
        <f aca="false">IFERROR(IF(H$352*H$353*H351&gt;0,AVERAGE(H$352:H$353,H351),""),"")</f>
        <v/>
      </c>
      <c r="I415" s="261" t="str">
        <f aca="false">IFERROR(IF(I$352*I$353*I351&gt;0,AVERAGE(I$352:I$353,I351),""),"")</f>
        <v/>
      </c>
      <c r="J415" s="261" t="str">
        <f aca="false">IFERROR(IF(J$352*J$353*J351&gt;0,AVERAGE(J$352:J$353,J351),""),"")</f>
        <v/>
      </c>
      <c r="K415" s="261" t="str">
        <f aca="false">IFERROR(IF(K$352*K$353*K351&gt;0,AVERAGE(K$352:K$353,K351),""),"")</f>
        <v/>
      </c>
      <c r="L415" s="261" t="str">
        <f aca="false">IFERROR(IF(L$352*L$353*L351&gt;0,AVERAGE(L$352:L$353,L351),""),"")</f>
        <v/>
      </c>
      <c r="M415" s="261" t="str">
        <f aca="false">IFERROR(IF(M$352*M$353*M351&gt;0,AVERAGE(M$352:M$353,M351),""),"")</f>
        <v/>
      </c>
      <c r="N415" s="261" t="str">
        <f aca="false">IFERROR(IF(N$352*N$353*N351&gt;0,AVERAGE(N$352:N$353,N351),""),"")</f>
        <v/>
      </c>
      <c r="O415" s="253"/>
      <c r="P415" s="253"/>
      <c r="Q415" s="254"/>
      <c r="R415" s="226" t="s">
        <v>630</v>
      </c>
      <c r="S415" s="227" t="str">
        <f aca="false">IFERROR(IF(C$352*C$353*C351&gt;0,STDEV(C$352:C$353,C351),"")/IF(C$352*C$353*C351&gt;0,AVERAGE(C$352:C$353,C351),""),"")</f>
        <v/>
      </c>
      <c r="T415" s="227" t="str">
        <f aca="false">IFERROR(IF(D$352*D$353*D351&gt;0,STDEV(D$352:D$353,D351),"")/IF(D$352*D$353*D351&gt;0,AVERAGE(D$352:D$353,D351),""),"")</f>
        <v/>
      </c>
      <c r="U415" s="227" t="str">
        <f aca="false">IFERROR(IF(E$352*E$353*E351&gt;0,STDEV(E$352:E$353,E351),"")/IF(E$352*E$353*E351&gt;0,AVERAGE(E$352:E$353,E351),""),"")</f>
        <v/>
      </c>
      <c r="V415" s="227" t="str">
        <f aca="false">IFERROR(IF(F$352*F$353*F351&gt;0,STDEV(F$352:F$353,F351),"")/IF(F$352*F$353*F351&gt;0,AVERAGE(F$352:F$353,F351),""),"")</f>
        <v/>
      </c>
      <c r="W415" s="227" t="str">
        <f aca="false">IFERROR(IF(G$352*G$353*G351&gt;0,STDEV(G$352:G$353,G351),"")/IF(G$352*G$353*G351&gt;0,AVERAGE(G$352:G$353,G351),""),"")</f>
        <v/>
      </c>
      <c r="X415" s="227" t="str">
        <f aca="false">IFERROR(IF(H$352*H$353*H351&gt;0,STDEV(H$352:H$353,H351),"")/IF(H$352*H$353*H351&gt;0,AVERAGE(H$352:H$353,H351),""),"")</f>
        <v/>
      </c>
      <c r="Y415" s="227" t="str">
        <f aca="false">IFERROR(IF(I$352*I$353*I351&gt;0,STDEV(I$352:I$353,I351),"")/IF(I$352*I$353*I351&gt;0,AVERAGE(I$352:I$353,I351),""),"")</f>
        <v/>
      </c>
      <c r="Z415" s="227" t="str">
        <f aca="false">IFERROR(IF(J$352*J$353*J351&gt;0,STDEV(J$352:J$353,J351),"")/IF(J$352*J$353*J351&gt;0,AVERAGE(J$352:J$353,J351),""),"")</f>
        <v/>
      </c>
      <c r="AA415" s="227" t="str">
        <f aca="false">IFERROR(IF(K$352*K$353*K351&gt;0,STDEV(K$352:K$353,K351),"")/IF(K$352*K$353*K351&gt;0,AVERAGE(K$352:K$353,K351),""),"")</f>
        <v/>
      </c>
      <c r="AB415" s="227" t="str">
        <f aca="false">IFERROR(IF(L$352*L$353*L351&gt;0,STDEV(L$352:L$353,L351),"")/IF(L$352*L$353*L351&gt;0,AVERAGE(L$352:L$353,L351),""),"")</f>
        <v/>
      </c>
      <c r="AC415" s="227" t="str">
        <f aca="false">IFERROR(IF(M$352*M$353*M351&gt;0,STDEV(M$352:M$353,M351),"")/IF(M$352*M$353*M351&gt;0,AVERAGE(M$352:M$353,M351),""),"")</f>
        <v/>
      </c>
      <c r="AD415" s="227" t="str">
        <f aca="false">IFERROR(IF(N$352*N$353*N351&gt;0,STDEV(N$352:N$353,N351),"")/IF(N$352*N$353*N351&gt;0,AVERAGE(N$352:N$353,N351),""),"")</f>
        <v/>
      </c>
      <c r="AE415" s="233"/>
      <c r="AF415" s="229" t="s">
        <v>631</v>
      </c>
      <c r="AG415" s="230" t="str">
        <f aca="false">IFERROR(IF(C$352*C$353*C351&gt;0,STDEV(C$352:C$353,C351)," ")/IF(C$352*C$353*C351&gt;0,SQRT(COUNT(C$352:C$353,C351))," "),"")</f>
        <v/>
      </c>
      <c r="AH415" s="230" t="str">
        <f aca="false">IFERROR(IF(D$352*D$353*D351&gt;0,STDEV(D$352:D$353,D351)," ")/IF(D$352*D$353*D351&gt;0,SQRT(COUNT(D$352:D$353,D351))," "),"")</f>
        <v/>
      </c>
      <c r="AI415" s="230" t="str">
        <f aca="false">IFERROR(IF(E$352*E$353*E351&gt;0,STDEV(E$352:E$353,E351)," ")/IF(E$352*E$353*E351&gt;0,SQRT(COUNT(E$352:E$353,E351))," "),"")</f>
        <v/>
      </c>
      <c r="AJ415" s="230" t="str">
        <f aca="false">IFERROR(IF(F$352*F$353*F351&gt;0,STDEV(F$352:F$353,F351)," ")/IF(F$352*F$353*F351&gt;0,SQRT(COUNT(F$352:F$353,F351))," "),"")</f>
        <v/>
      </c>
      <c r="AK415" s="230" t="str">
        <f aca="false">IFERROR(IF(G$352*G$353*G351&gt;0,STDEV(G$352:G$353,G351)," ")/IF(G$352*G$353*G351&gt;0,SQRT(COUNT(G$352:G$353,G351))," "),"")</f>
        <v/>
      </c>
      <c r="AL415" s="230" t="str">
        <f aca="false">IFERROR(IF(H$352*H$353*H351&gt;0,STDEV(H$352:H$353,H351)," ")/IF(H$352*H$353*H351&gt;0,SQRT(COUNT(H$352:H$353,H351))," "),"")</f>
        <v/>
      </c>
      <c r="AM415" s="230" t="str">
        <f aca="false">IFERROR(IF(I$352*I$353*I351&gt;0,STDEV(I$352:I$353,I351)," ")/IF(I$352*I$353*I351&gt;0,SQRT(COUNT(I$352:I$353,I351))," "),"")</f>
        <v/>
      </c>
      <c r="AN415" s="230" t="str">
        <f aca="false">IFERROR(IF(J$352*J$353*J351&gt;0,STDEV(J$352:J$353,J351)," ")/IF(J$352*J$353*J351&gt;0,SQRT(COUNT(J$352:J$353,J351))," "),"")</f>
        <v/>
      </c>
      <c r="AO415" s="230" t="str">
        <f aca="false">IFERROR(IF(K$352*K$353*K351&gt;0,STDEV(K$352:K$353,K351)," ")/IF(K$352*K$353*K351&gt;0,SQRT(COUNT(K$352:K$353,K351))," "),"")</f>
        <v/>
      </c>
      <c r="AP415" s="230" t="str">
        <f aca="false">IFERROR(IF(L$352*L$353*L351&gt;0,STDEV(L$352:L$353,L351)," ")/IF(L$352*L$353*L351&gt;0,SQRT(COUNT(L$352:L$353,L351))," "),"")</f>
        <v/>
      </c>
      <c r="AQ415" s="230" t="str">
        <f aca="false">IFERROR(IF(M$352*M$353*M351&gt;0,STDEV(M$352:M$353,M351)," ")/IF(M$352*M$353*M351&gt;0,SQRT(COUNT(M$352:M$353,M351))," "),"")</f>
        <v/>
      </c>
      <c r="AR415" s="230" t="str">
        <f aca="false">IFERROR(IF(N$352*N$353*N351&gt;0,STDEV(N$352:N$353,N351)," ")/IF(N$352*N$353*N351&gt;0,SQRT(COUNT(N$352:N$353,N351))," "),"")</f>
        <v/>
      </c>
    </row>
    <row r="416" customFormat="false" ht="15.75" hidden="false" customHeight="false" outlineLevel="0" collapsed="false">
      <c r="A416" s="220" t="s">
        <v>416</v>
      </c>
      <c r="B416" s="221"/>
      <c r="C416" s="261" t="str">
        <f aca="false">IFERROR(IF(C$347*C$349*C$351&gt;0,AVERAGE(C$347,C$349,C$351),""),"")</f>
        <v/>
      </c>
      <c r="D416" s="261" t="str">
        <f aca="false">IFERROR(IF(D$347*D$349*D$351&gt;0,AVERAGE(D$347,D$349,D$351),""),"")</f>
        <v/>
      </c>
      <c r="E416" s="261" t="str">
        <f aca="false">IFERROR(IF(E$347*E$349*E$351&gt;0,AVERAGE(E$347,E$349,E$351),""),"")</f>
        <v/>
      </c>
      <c r="F416" s="261" t="str">
        <f aca="false">IFERROR(IF(F$347*F$349*F$351&gt;0,AVERAGE(F$347,F$349,F$351),""),"")</f>
        <v/>
      </c>
      <c r="G416" s="261" t="str">
        <f aca="false">IFERROR(IF(G$347*G$349*G$351&gt;0,AVERAGE(G$347,G$349,G$351),""),"")</f>
        <v/>
      </c>
      <c r="H416" s="261" t="str">
        <f aca="false">IFERROR(IF(H$347*H$349*H$351&gt;0,AVERAGE(H$347,H$349,H$351),""),"")</f>
        <v/>
      </c>
      <c r="I416" s="261" t="str">
        <f aca="false">IFERROR(IF(I$347*I$349*I$351&gt;0,AVERAGE(I$347,I$349,I$351),""),"")</f>
        <v/>
      </c>
      <c r="J416" s="261" t="str">
        <f aca="false">IFERROR(IF(J$347*J$349*J$351&gt;0,AVERAGE(J$347,J$349,J$351),""),"")</f>
        <v/>
      </c>
      <c r="K416" s="261" t="str">
        <f aca="false">IFERROR(IF(K$347*K$349*K$351&gt;0,AVERAGE(K$347,K$349,K$351),""),"")</f>
        <v/>
      </c>
      <c r="L416" s="261" t="str">
        <f aca="false">IFERROR(IF(L$347*L$349*L$351&gt;0,AVERAGE(L$347,L$349,L$351),""),"")</f>
        <v/>
      </c>
      <c r="M416" s="261" t="str">
        <f aca="false">IFERROR(IF(M$347*M$349*M$351&gt;0,AVERAGE(M$347,M$349,M$351),""),"")</f>
        <v/>
      </c>
      <c r="N416" s="261" t="str">
        <f aca="false">IFERROR(IF(N$347*N$349*N$351&gt;0,AVERAGE(N$347,N$349,N$351),""),"")</f>
        <v/>
      </c>
      <c r="O416" s="253"/>
      <c r="P416" s="253"/>
      <c r="Q416" s="254"/>
      <c r="R416" s="226" t="s">
        <v>417</v>
      </c>
      <c r="S416" s="227" t="str">
        <f aca="false">IFERROR(IF(C$347*C$349*C$351&gt;0,STDEV(C$347,C$349,C$351),"")/IF(C$347*C$349*C$351&gt;0,AVERAGE(C$347,C$349,C$351),""),"")</f>
        <v/>
      </c>
      <c r="T416" s="227" t="str">
        <f aca="false">IFERROR(IF(D$347*D$349*D$351&gt;0,STDEV(D$347,D$349,D$351),"")/IF(D$347*D$349*D$351&gt;0,AVERAGE(D$347,D$349,D$351),""),"")</f>
        <v/>
      </c>
      <c r="U416" s="227" t="str">
        <f aca="false">IFERROR(IF(E$347*E$349*E$351&gt;0,STDEV(E$347,E$349,E$351),"")/IF(E$347*E$349*E$351&gt;0,AVERAGE(E$347,E$349,E$351),""),"")</f>
        <v/>
      </c>
      <c r="V416" s="227" t="str">
        <f aca="false">IFERROR(IF(F$347*F$349*F$351&gt;0,STDEV(F$347,F$349,F$351),"")/IF(F$347*F$349*F$351&gt;0,AVERAGE(F$347,F$349,F$351),""),"")</f>
        <v/>
      </c>
      <c r="W416" s="227" t="str">
        <f aca="false">IFERROR(IF(G$347*G$349*G$351&gt;0,STDEV(G$347,G$349,G$351),"")/IF(G$347*G$349*G$351&gt;0,AVERAGE(G$347,G$349,G$351),""),"")</f>
        <v/>
      </c>
      <c r="X416" s="227" t="str">
        <f aca="false">IFERROR(IF(H$347*H$349*H$351&gt;0,STDEV(H$347,H$349,H$351),"")/IF(H$347*H$349*H$351&gt;0,AVERAGE(H$347,H$349,H$351),""),"")</f>
        <v/>
      </c>
      <c r="Y416" s="227" t="str">
        <f aca="false">IFERROR(IF(I$347*I$349*I$351&gt;0,STDEV(I$347,I$349,I$351),"")/IF(I$347*I$349*I$351&gt;0,AVERAGE(I$347,I$349,I$351),""),"")</f>
        <v/>
      </c>
      <c r="Z416" s="227" t="str">
        <f aca="false">IFERROR(IF(J$347*J$349*J$351&gt;0,STDEV(J$347,J$349,J$351),"")/IF(J$347*J$349*J$351&gt;0,AVERAGE(J$347,J$349,J$351),""),"")</f>
        <v/>
      </c>
      <c r="AA416" s="227" t="str">
        <f aca="false">IFERROR(IF(K$347*K$349*K$351&gt;0,STDEV(K$347,K$349,K$351),"")/IF(K$347*K$349*K$351&gt;0,AVERAGE(K$347,K$349,K$351),""),"")</f>
        <v/>
      </c>
      <c r="AB416" s="227" t="str">
        <f aca="false">IFERROR(IF(L$347*L$349*L$351&gt;0,STDEV(L$347,L$349,L$351),"")/IF(L$347*L$349*L$351&gt;0,AVERAGE(L$347,L$349,L$351),""),"")</f>
        <v/>
      </c>
      <c r="AC416" s="227" t="str">
        <f aca="false">IFERROR(IF(M$347*M$349*M$351&gt;0,STDEV(M$347,M$349,M$351),"")/IF(M$347*M$349*M$351&gt;0,AVERAGE(M$347,M$349,M$351),""),"")</f>
        <v/>
      </c>
      <c r="AD416" s="227" t="str">
        <f aca="false">IFERROR(IF(N$347*N$349*N$351&gt;0,STDEV(N$347,N$349,N$351),"")/IF(N$347*N$349*N$351&gt;0,AVERAGE(N$347,N$349,N$351),""),"")</f>
        <v/>
      </c>
      <c r="AE416" s="233"/>
      <c r="AF416" s="229" t="s">
        <v>418</v>
      </c>
      <c r="AG416" s="230" t="str">
        <f aca="false">IFERROR(IF(C$347*C$349*C$351&gt;0,STDEV(C$347,C$349,C$351)," ")/IF(C$347*C$349*C$351&gt;0,SQRT(COUNT(C$347,C$349,C$351))," "),"")</f>
        <v/>
      </c>
      <c r="AH416" s="230" t="str">
        <f aca="false">IFERROR(IF(D$347*D$349*D$351&gt;0,STDEV(D$347,D$349,D$351)," ")/IF(D$347*D$349*D$351&gt;0,SQRT(COUNT(D$347,D$349,D$351))," "),"")</f>
        <v/>
      </c>
      <c r="AI416" s="230" t="str">
        <f aca="false">IFERROR(IF(E$347*E$349*E$351&gt;0,STDEV(E$347,E$349,E$351)," ")/IF(E$347*E$349*E$351&gt;0,SQRT(COUNT(E$347,E$349,E$351))," "),"")</f>
        <v/>
      </c>
      <c r="AJ416" s="230" t="str">
        <f aca="false">IFERROR(IF(F$347*F$349*F$351&gt;0,STDEV(F$347,F$349,F$351)," ")/IF(F$347*F$349*F$351&gt;0,SQRT(COUNT(F$347,F$349,F$351))," "),"")</f>
        <v/>
      </c>
      <c r="AK416" s="230" t="str">
        <f aca="false">IFERROR(IF(G$347*G$349*G$351&gt;0,STDEV(G$347,G$349,G$351)," ")/IF(G$347*G$349*G$351&gt;0,SQRT(COUNT(G$347,G$349,G$351))," "),"")</f>
        <v/>
      </c>
      <c r="AL416" s="230" t="str">
        <f aca="false">IFERROR(IF(H$347*H$349*H$351&gt;0,STDEV(H$347,H$349,H$351)," ")/IF(H$347*H$349*H$351&gt;0,SQRT(COUNT(H$347,H$349,H$351))," "),"")</f>
        <v/>
      </c>
      <c r="AM416" s="230" t="str">
        <f aca="false">IFERROR(IF(I$347*I$349*I$351&gt;0,STDEV(I$347,I$349,I$351)," ")/IF(I$347*I$349*I$351&gt;0,SQRT(COUNT(I$347,I$349,I$351))," "),"")</f>
        <v/>
      </c>
      <c r="AN416" s="230" t="str">
        <f aca="false">IFERROR(IF(J$347*J$349*J$351&gt;0,STDEV(J$347,J$349,J$351)," ")/IF(J$347*J$349*J$351&gt;0,SQRT(COUNT(J$347,J$349,J$351))," "),"")</f>
        <v/>
      </c>
      <c r="AO416" s="230" t="str">
        <f aca="false">IFERROR(IF(K$347*K$349*K$351&gt;0,STDEV(K$347,K$349,K$351)," ")/IF(K$347*K$349*K$351&gt;0,SQRT(COUNT(K$347,K$349,K$351))," "),"")</f>
        <v/>
      </c>
      <c r="AP416" s="230" t="str">
        <f aca="false">IFERROR(IF(L$347*L$349*L$351&gt;0,STDEV(L$347,L$349,L$351)," ")/IF(L$347*L$349*L$351&gt;0,SQRT(COUNT(L$347,L$349,L$351))," "),"")</f>
        <v/>
      </c>
      <c r="AQ416" s="230" t="str">
        <f aca="false">IFERROR(IF(M$347*M$349*M$351&gt;0,STDEV(M$347,M$349,M$351)," ")/IF(M$347*M$349*M$351&gt;0,SQRT(COUNT(M$347,M$349,M$351))," "),"")</f>
        <v/>
      </c>
      <c r="AR416" s="230" t="str">
        <f aca="false">IFERROR(IF(N$347*N$349*N$351&gt;0,STDEV(N$347,N$349,N$351)," ")/IF(N$347*N$349*N$351&gt;0,SQRT(COUNT(N$347,N$349,N$351))," "),"")</f>
        <v/>
      </c>
    </row>
    <row r="417" customFormat="false" ht="15.75" hidden="false" customHeight="false" outlineLevel="0" collapsed="false">
      <c r="A417" s="220" t="s">
        <v>419</v>
      </c>
      <c r="B417" s="221"/>
      <c r="C417" s="261" t="str">
        <f aca="false">IFERROR(IF(C$347*C$350*C$352&gt;0,AVERAGE(C$347,C$350,C$352),""),"")</f>
        <v/>
      </c>
      <c r="D417" s="261" t="str">
        <f aca="false">IFERROR(IF(D$347*D$350*D$352&gt;0,AVERAGE(D$347,D$350,D$352),""),"")</f>
        <v/>
      </c>
      <c r="E417" s="261" t="str">
        <f aca="false">IFERROR(IF(E$347*E$350*E$352&gt;0,AVERAGE(E$347,E$350,E$352),""),"")</f>
        <v/>
      </c>
      <c r="F417" s="261" t="str">
        <f aca="false">IFERROR(IF(F$347*F$350*F$352&gt;0,AVERAGE(F$347,F$350,F$352),""),"")</f>
        <v/>
      </c>
      <c r="G417" s="261" t="str">
        <f aca="false">IFERROR(IF(G$347*G$350*G$352&gt;0,AVERAGE(G$347,G$350,G$352),""),"")</f>
        <v/>
      </c>
      <c r="H417" s="261" t="str">
        <f aca="false">IFERROR(IF(H$347*H$350*H$352&gt;0,AVERAGE(H$347,H$350,H$352),""),"")</f>
        <v/>
      </c>
      <c r="I417" s="261" t="str">
        <f aca="false">IFERROR(IF(I$347*I$350*I$352&gt;0,AVERAGE(I$347,I$350,I$352),""),"")</f>
        <v/>
      </c>
      <c r="J417" s="261" t="str">
        <f aca="false">IFERROR(IF(J$347*J$350*J$352&gt;0,AVERAGE(J$347,J$350,J$352),""),"")</f>
        <v/>
      </c>
      <c r="K417" s="261" t="str">
        <f aca="false">IFERROR(IF(K$347*K$350*K$352&gt;0,AVERAGE(K$347,K$350,K$352),""),"")</f>
        <v/>
      </c>
      <c r="L417" s="261" t="str">
        <f aca="false">IFERROR(IF(L$347*L$350*L$352&gt;0,AVERAGE(L$347,L$350,L$352),""),"")</f>
        <v/>
      </c>
      <c r="M417" s="261" t="str">
        <f aca="false">IFERROR(IF(M$347*M$350*M$352&gt;0,AVERAGE(M$347,M$350,M$352),""),"")</f>
        <v/>
      </c>
      <c r="N417" s="261" t="str">
        <f aca="false">IFERROR(IF(N$347*N$350*N$352&gt;0,AVERAGE(N$347,N$350,N$352),""),"")</f>
        <v/>
      </c>
      <c r="O417" s="253"/>
      <c r="P417" s="253"/>
      <c r="Q417" s="254"/>
      <c r="R417" s="226" t="s">
        <v>420</v>
      </c>
      <c r="S417" s="227" t="str">
        <f aca="false">IFERROR(IF(C$347*C$350*C$352&gt;0,STDEV(C$347,C$350,C$352),"")/IF(C$347*C$350*C$352&gt;0,AVERAGE(C$347,C$350,C$352),""),"")</f>
        <v/>
      </c>
      <c r="T417" s="227" t="str">
        <f aca="false">IFERROR(IF(D$347*D$350*D$352&gt;0,STDEV(D$347,D$350,D$352),"")/IF(D$347*D$350*D$352&gt;0,AVERAGE(D$347,D$350,D$352),""),"")</f>
        <v/>
      </c>
      <c r="U417" s="227" t="str">
        <f aca="false">IFERROR(IF(E$347*E$350*E$352&gt;0,STDEV(E$347,E$350,E$352),"")/IF(E$347*E$350*E$352&gt;0,AVERAGE(E$347,E$350,E$352),""),"")</f>
        <v/>
      </c>
      <c r="V417" s="227" t="str">
        <f aca="false">IFERROR(IF(F$347*F$350*F$352&gt;0,STDEV(F$347,F$350,F$352),"")/IF(F$347*F$350*F$352&gt;0,AVERAGE(F$347,F$350,F$352),""),"")</f>
        <v/>
      </c>
      <c r="W417" s="227" t="str">
        <f aca="false">IFERROR(IF(G$347*G$350*G$352&gt;0,STDEV(G$347,G$350,G$352),"")/IF(G$347*G$350*G$352&gt;0,AVERAGE(G$347,G$350,G$352),""),"")</f>
        <v/>
      </c>
      <c r="X417" s="227" t="str">
        <f aca="false">IFERROR(IF(H$347*H$350*H$352&gt;0,STDEV(H$347,H$350,H$352),"")/IF(H$347*H$350*H$352&gt;0,AVERAGE(H$347,H$350,H$352),""),"")</f>
        <v/>
      </c>
      <c r="Y417" s="227" t="str">
        <f aca="false">IFERROR(IF(I$347*I$350*I$352&gt;0,STDEV(I$347,I$350,I$352),"")/IF(I$347*I$350*I$352&gt;0,AVERAGE(I$347,I$350,I$352),""),"")</f>
        <v/>
      </c>
      <c r="Z417" s="227" t="str">
        <f aca="false">IFERROR(IF(J$347*J$350*J$352&gt;0,STDEV(J$347,J$350,J$352),"")/IF(J$347*J$350*J$352&gt;0,AVERAGE(J$347,J$350,J$352),""),"")</f>
        <v/>
      </c>
      <c r="AA417" s="227" t="str">
        <f aca="false">IFERROR(IF(K$347*K$350*K$352&gt;0,STDEV(K$347,K$350,K$352),"")/IF(K$347*K$350*K$352&gt;0,AVERAGE(K$347,K$350,K$352),""),"")</f>
        <v/>
      </c>
      <c r="AB417" s="227" t="str">
        <f aca="false">IFERROR(IF(L$347*L$350*L$352&gt;0,STDEV(L$347,L$350,L$352),"")/IF(L$347*L$350*L$352&gt;0,AVERAGE(L$347,L$350,L$352),""),"")</f>
        <v/>
      </c>
      <c r="AC417" s="227" t="str">
        <f aca="false">IFERROR(IF(M$347*M$350*M$352&gt;0,STDEV(M$347,M$350,M$352),"")/IF(M$347*M$350*M$352&gt;0,AVERAGE(M$347,M$350,M$352),""),"")</f>
        <v/>
      </c>
      <c r="AD417" s="227" t="str">
        <f aca="false">IFERROR(IF(N$347*N$350*N$352&gt;0,STDEV(N$347,N$350,N$352),"")/IF(N$347*N$350*N$352&gt;0,AVERAGE(N$347,N$350,N$352),""),"")</f>
        <v/>
      </c>
      <c r="AE417" s="233"/>
      <c r="AF417" s="229" t="s">
        <v>421</v>
      </c>
      <c r="AG417" s="230" t="str">
        <f aca="false">IFERROR(IF(C$347*C$350*C$352&gt;0,STDEV(C$347,C$350,C$352)," ")/IF(C$347*C$350*C$352&gt;0,SQRT(COUNT(C$347,C$350,C$352))," "),"")</f>
        <v/>
      </c>
      <c r="AH417" s="230" t="str">
        <f aca="false">IFERROR(IF(D$347*D$350*D$352&gt;0,STDEV(D$347,D$350,D$352)," ")/IF(D$347*D$350*D$352&gt;0,SQRT(COUNT(D$347,D$350,D$352))," "),"")</f>
        <v/>
      </c>
      <c r="AI417" s="230" t="str">
        <f aca="false">IFERROR(IF(E$347*E$350*E$352&gt;0,STDEV(E$347,E$350,E$352)," ")/IF(E$347*E$350*E$352&gt;0,SQRT(COUNT(E$347,E$350,E$352))," "),"")</f>
        <v/>
      </c>
      <c r="AJ417" s="230" t="str">
        <f aca="false">IFERROR(IF(F$347*F$350*F$352&gt;0,STDEV(F$347,F$350,F$352)," ")/IF(F$347*F$350*F$352&gt;0,SQRT(COUNT(F$347,F$350,F$352))," "),"")</f>
        <v/>
      </c>
      <c r="AK417" s="230" t="str">
        <f aca="false">IFERROR(IF(G$347*G$350*G$352&gt;0,STDEV(G$347,G$350,G$352)," ")/IF(G$347*G$350*G$352&gt;0,SQRT(COUNT(G$347,G$350,G$352))," "),"")</f>
        <v/>
      </c>
      <c r="AL417" s="230" t="str">
        <f aca="false">IFERROR(IF(H$347*H$350*H$352&gt;0,STDEV(H$347,H$350,H$352)," ")/IF(H$347*H$350*H$352&gt;0,SQRT(COUNT(H$347,H$350,H$352))," "),"")</f>
        <v/>
      </c>
      <c r="AM417" s="230" t="str">
        <f aca="false">IFERROR(IF(I$347*I$350*I$352&gt;0,STDEV(I$347,I$350,I$352)," ")/IF(I$347*I$350*I$352&gt;0,SQRT(COUNT(I$347,I$350,I$352))," "),"")</f>
        <v/>
      </c>
      <c r="AN417" s="230" t="str">
        <f aca="false">IFERROR(IF(J$347*J$350*J$352&gt;0,STDEV(J$347,J$350,J$352)," ")/IF(J$347*J$350*J$352&gt;0,SQRT(COUNT(J$347,J$350,J$352))," "),"")</f>
        <v/>
      </c>
      <c r="AO417" s="230" t="str">
        <f aca="false">IFERROR(IF(K$347*K$350*K$352&gt;0,STDEV(K$347,K$350,K$352)," ")/IF(K$347*K$350*K$352&gt;0,SQRT(COUNT(K$347,K$350,K$352))," "),"")</f>
        <v/>
      </c>
      <c r="AP417" s="230" t="str">
        <f aca="false">IFERROR(IF(L$347*L$350*L$352&gt;0,STDEV(L$347,L$350,L$352)," ")/IF(L$347*L$350*L$352&gt;0,SQRT(COUNT(L$347,L$350,L$352))," "),"")</f>
        <v/>
      </c>
      <c r="AQ417" s="230" t="str">
        <f aca="false">IFERROR(IF(M$347*M$350*M$352&gt;0,STDEV(M$347,M$350,M$352)," ")/IF(M$347*M$350*M$352&gt;0,SQRT(COUNT(M$347,M$350,M$352))," "),"")</f>
        <v/>
      </c>
      <c r="AR417" s="230" t="str">
        <f aca="false">IFERROR(IF(N$347*N$350*N$352&gt;0,STDEV(N$347,N$350,N$352)," ")/IF(N$347*N$350*N$352&gt;0,SQRT(COUNT(N$347,N$350,N$352))," "),"")</f>
        <v/>
      </c>
    </row>
    <row r="418" customFormat="false" ht="15.75" hidden="false" customHeight="false" outlineLevel="0" collapsed="false">
      <c r="A418" s="220" t="s">
        <v>422</v>
      </c>
      <c r="B418" s="221"/>
      <c r="C418" s="261" t="str">
        <f aca="false">IFERROR(IF(C$347*C$350*C$353&gt;0,AVERAGE(C$347,C$350,C$353),""),"")</f>
        <v/>
      </c>
      <c r="D418" s="261" t="str">
        <f aca="false">IFERROR(IF(D$347*D$350*D$353&gt;0,AVERAGE(D$347,D$350,D$353),""),"")</f>
        <v/>
      </c>
      <c r="E418" s="261" t="str">
        <f aca="false">IFERROR(IF(E$347*E$350*E$353&gt;0,AVERAGE(E$347,E$350,E$353),""),"")</f>
        <v/>
      </c>
      <c r="F418" s="261" t="str">
        <f aca="false">IFERROR(IF(F$347*F$350*F$353&gt;0,AVERAGE(F$347,F$350,F$353),""),"")</f>
        <v/>
      </c>
      <c r="G418" s="261" t="str">
        <f aca="false">IFERROR(IF(G$347*G$350*G$353&gt;0,AVERAGE(G$347,G$350,G$353),""),"")</f>
        <v/>
      </c>
      <c r="H418" s="261" t="str">
        <f aca="false">IFERROR(IF(H$347*H$350*H$353&gt;0,AVERAGE(H$347,H$350,H$353),""),"")</f>
        <v/>
      </c>
      <c r="I418" s="261" t="str">
        <f aca="false">IFERROR(IF(I$347*I$350*I$353&gt;0,AVERAGE(I$347,I$350,I$353),""),"")</f>
        <v/>
      </c>
      <c r="J418" s="261" t="str">
        <f aca="false">IFERROR(IF(J$347*J$350*J$353&gt;0,AVERAGE(J$347,J$350,J$353),""),"")</f>
        <v/>
      </c>
      <c r="K418" s="261" t="str">
        <f aca="false">IFERROR(IF(K$347*K$350*K$353&gt;0,AVERAGE(K$347,K$350,K$353),""),"")</f>
        <v/>
      </c>
      <c r="L418" s="261" t="str">
        <f aca="false">IFERROR(IF(L$347*L$350*L$353&gt;0,AVERAGE(L$347,L$350,L$353),""),"")</f>
        <v/>
      </c>
      <c r="M418" s="261" t="str">
        <f aca="false">IFERROR(IF(M$347*M$350*M$353&gt;0,AVERAGE(M$347,M$350,M$353),""),"")</f>
        <v/>
      </c>
      <c r="N418" s="261" t="str">
        <f aca="false">IFERROR(IF(N$347*N$350*N$353&gt;0,AVERAGE(N$347,N$350,N$353),""),"")</f>
        <v/>
      </c>
      <c r="O418" s="253"/>
      <c r="P418" s="253"/>
      <c r="Q418" s="254"/>
      <c r="R418" s="226" t="s">
        <v>423</v>
      </c>
      <c r="S418" s="227" t="str">
        <f aca="false">IFERROR(IF(C$347*C$350*C$353&gt;0,STDEV(C$347,C$350,C$353),"")/IF(C$347*C$350*C$353&gt;0,AVERAGE(C$347,C$350,C$353),""),"")</f>
        <v/>
      </c>
      <c r="T418" s="227" t="str">
        <f aca="false">IFERROR(IF(D$347*D$350*D$353&gt;0,STDEV(D$347,D$350,D$353),"")/IF(D$347*D$350*D$353&gt;0,AVERAGE(D$347,D$350,D$353),""),"")</f>
        <v/>
      </c>
      <c r="U418" s="227" t="str">
        <f aca="false">IFERROR(IF(E$347*E$350*E$353&gt;0,STDEV(E$347,E$350,E$353),"")/IF(E$347*E$350*E$353&gt;0,AVERAGE(E$347,E$350,E$353),""),"")</f>
        <v/>
      </c>
      <c r="V418" s="227" t="str">
        <f aca="false">IFERROR(IF(F$347*F$350*F$353&gt;0,STDEV(F$347,F$350,F$353),"")/IF(F$347*F$350*F$353&gt;0,AVERAGE(F$347,F$350,F$353),""),"")</f>
        <v/>
      </c>
      <c r="W418" s="227" t="str">
        <f aca="false">IFERROR(IF(G$347*G$350*G$353&gt;0,STDEV(G$347,G$350,G$353),"")/IF(G$347*G$350*G$353&gt;0,AVERAGE(G$347,G$350,G$353),""),"")</f>
        <v/>
      </c>
      <c r="X418" s="227" t="str">
        <f aca="false">IFERROR(IF(H$347*H$350*H$353&gt;0,STDEV(H$347,H$350,H$353),"")/IF(H$347*H$350*H$353&gt;0,AVERAGE(H$347,H$350,H$353),""),"")</f>
        <v/>
      </c>
      <c r="Y418" s="227" t="str">
        <f aca="false">IFERROR(IF(I$347*I$350*I$353&gt;0,STDEV(I$347,I$350,I$353),"")/IF(I$347*I$350*I$353&gt;0,AVERAGE(I$347,I$350,I$353),""),"")</f>
        <v/>
      </c>
      <c r="Z418" s="227" t="str">
        <f aca="false">IFERROR(IF(J$347*J$350*J$353&gt;0,STDEV(J$347,J$350,J$353),"")/IF(J$347*J$350*J$353&gt;0,AVERAGE(J$347,J$350,J$353),""),"")</f>
        <v/>
      </c>
      <c r="AA418" s="227" t="str">
        <f aca="false">IFERROR(IF(K$347*K$350*K$353&gt;0,STDEV(K$347,K$350,K$353),"")/IF(K$347*K$350*K$353&gt;0,AVERAGE(K$347,K$350,K$353),""),"")</f>
        <v/>
      </c>
      <c r="AB418" s="227" t="str">
        <f aca="false">IFERROR(IF(L$347*L$350*L$353&gt;0,STDEV(L$347,L$350,L$353),"")/IF(L$347*L$350*L$353&gt;0,AVERAGE(L$347,L$350,L$353),""),"")</f>
        <v/>
      </c>
      <c r="AC418" s="227" t="str">
        <f aca="false">IFERROR(IF(M$347*M$350*M$353&gt;0,STDEV(M$347,M$350,M$353),"")/IF(M$347*M$350*M$353&gt;0,AVERAGE(M$347,M$350,M$353),""),"")</f>
        <v/>
      </c>
      <c r="AD418" s="227" t="str">
        <f aca="false">IFERROR(IF(N$347*N$350*N$353&gt;0,STDEV(N$347,N$350,N$353),"")/IF(N$347*N$350*N$353&gt;0,AVERAGE(N$347,N$350,N$353),""),"")</f>
        <v/>
      </c>
      <c r="AE418" s="233"/>
      <c r="AF418" s="229" t="s">
        <v>424</v>
      </c>
      <c r="AG418" s="230" t="str">
        <f aca="false">IFERROR(IF(C$347*C$350*C$353&gt;0,STDEV(C$347,C$350,C$353)," ")/IF(C$347*C$350*C$353&gt;0,SQRT(COUNT(C$347,C$350,C$353))," "),"")</f>
        <v/>
      </c>
      <c r="AH418" s="230" t="str">
        <f aca="false">IFERROR(IF(D$347*D$350*D$353&gt;0,STDEV(D$347,D$350,D$353)," ")/IF(D$347*D$350*D$353&gt;0,SQRT(COUNT(D$347,D$350,D$353))," "),"")</f>
        <v/>
      </c>
      <c r="AI418" s="230" t="str">
        <f aca="false">IFERROR(IF(E$347*E$350*E$353&gt;0,STDEV(E$347,E$350,E$353)," ")/IF(E$347*E$350*E$353&gt;0,SQRT(COUNT(E$347,E$350,E$353))," "),"")</f>
        <v/>
      </c>
      <c r="AJ418" s="230" t="str">
        <f aca="false">IFERROR(IF(F$347*F$350*F$353&gt;0,STDEV(F$347,F$350,F$353)," ")/IF(F$347*F$350*F$353&gt;0,SQRT(COUNT(F$347,F$350,F$353))," "),"")</f>
        <v/>
      </c>
      <c r="AK418" s="230" t="str">
        <f aca="false">IFERROR(IF(G$347*G$350*G$353&gt;0,STDEV(G$347,G$350,G$353)," ")/IF(G$347*G$350*G$353&gt;0,SQRT(COUNT(G$347,G$350,G$353))," "),"")</f>
        <v/>
      </c>
      <c r="AL418" s="230" t="str">
        <f aca="false">IFERROR(IF(H$347*H$350*H$353&gt;0,STDEV(H$347,H$350,H$353)," ")/IF(H$347*H$350*H$353&gt;0,SQRT(COUNT(H$347,H$350,H$353))," "),"")</f>
        <v/>
      </c>
      <c r="AM418" s="230" t="str">
        <f aca="false">IFERROR(IF(I$347*I$350*I$353&gt;0,STDEV(I$347,I$350,I$353)," ")/IF(I$347*I$350*I$353&gt;0,SQRT(COUNT(I$347,I$350,I$353))," "),"")</f>
        <v/>
      </c>
      <c r="AN418" s="230" t="str">
        <f aca="false">IFERROR(IF(J$347*J$350*J$353&gt;0,STDEV(J$347,J$350,J$353)," ")/IF(J$347*J$350*J$353&gt;0,SQRT(COUNT(J$347,J$350,J$353))," "),"")</f>
        <v/>
      </c>
      <c r="AO418" s="230" t="str">
        <f aca="false">IFERROR(IF(K$347*K$350*K$353&gt;0,STDEV(K$347,K$350,K$353)," ")/IF(K$347*K$350*K$353&gt;0,SQRT(COUNT(K$347,K$350,K$353))," "),"")</f>
        <v/>
      </c>
      <c r="AP418" s="230" t="str">
        <f aca="false">IFERROR(IF(L$347*L$350*L$353&gt;0,STDEV(L$347,L$350,L$353)," ")/IF(L$347*L$350*L$353&gt;0,SQRT(COUNT(L$347,L$350,L$353))," "),"")</f>
        <v/>
      </c>
      <c r="AQ418" s="230" t="str">
        <f aca="false">IFERROR(IF(M$347*M$350*M$353&gt;0,STDEV(M$347,M$350,M$353)," ")/IF(M$347*M$350*M$353&gt;0,SQRT(COUNT(M$347,M$350,M$353))," "),"")</f>
        <v/>
      </c>
      <c r="AR418" s="230" t="str">
        <f aca="false">IFERROR(IF(N$347*N$350*N$353&gt;0,STDEV(N$347,N$350,N$353)," ")/IF(N$347*N$350*N$353&gt;0,SQRT(COUNT(N$347,N$350,N$353))," "),"")</f>
        <v/>
      </c>
    </row>
    <row r="419" customFormat="false" ht="15.75" hidden="false" customHeight="false" outlineLevel="0" collapsed="false">
      <c r="A419" s="220" t="s">
        <v>425</v>
      </c>
      <c r="B419" s="221"/>
      <c r="C419" s="261" t="str">
        <f aca="false">IFERROR(IF(C$347*C$351*C$353&gt;0,AVERAGE(C$347,C$351,C$353),""),"")</f>
        <v/>
      </c>
      <c r="D419" s="261" t="str">
        <f aca="false">IFERROR(IF(D$347*D$351*D$353&gt;0,AVERAGE(D$347,D$351,D$353),""),"")</f>
        <v/>
      </c>
      <c r="E419" s="261" t="str">
        <f aca="false">IFERROR(IF(E$347*E$351*E$353&gt;0,AVERAGE(E$347,E$351,E$353),""),"")</f>
        <v/>
      </c>
      <c r="F419" s="261" t="str">
        <f aca="false">IFERROR(IF(F$347*F$351*F$353&gt;0,AVERAGE(F$347,F$351,F$353),""),"")</f>
        <v/>
      </c>
      <c r="G419" s="261" t="str">
        <f aca="false">IFERROR(IF(G$347*G$351*G$353&gt;0,AVERAGE(G$347,G$351,G$353),""),"")</f>
        <v/>
      </c>
      <c r="H419" s="261" t="str">
        <f aca="false">IFERROR(IF(H$347*H$351*H$353&gt;0,AVERAGE(H$347,H$351,H$353),""),"")</f>
        <v/>
      </c>
      <c r="I419" s="261" t="str">
        <f aca="false">IFERROR(IF(I$347*I$351*I$353&gt;0,AVERAGE(I$347,I$351,I$353),""),"")</f>
        <v/>
      </c>
      <c r="J419" s="261" t="str">
        <f aca="false">IFERROR(IF(J$347*J$351*J$353&gt;0,AVERAGE(J$347,J$351,J$353),""),"")</f>
        <v/>
      </c>
      <c r="K419" s="261" t="str">
        <f aca="false">IFERROR(IF(K$347*K$351*K$353&gt;0,AVERAGE(K$347,K$351,K$353),""),"")</f>
        <v/>
      </c>
      <c r="L419" s="261" t="str">
        <f aca="false">IFERROR(IF(L$347*L$351*L$353&gt;0,AVERAGE(L$347,L$351,L$353),""),"")</f>
        <v/>
      </c>
      <c r="M419" s="261" t="str">
        <f aca="false">IFERROR(IF(M$347*M$351*M$353&gt;0,AVERAGE(M$347,M$351,M$353),""),"")</f>
        <v/>
      </c>
      <c r="N419" s="261" t="str">
        <f aca="false">IFERROR(IF(N$347*N$351*N$353&gt;0,AVERAGE(N$347,N$351,N$353),""),"")</f>
        <v/>
      </c>
      <c r="O419" s="253"/>
      <c r="P419" s="253"/>
      <c r="Q419" s="254"/>
      <c r="R419" s="226" t="s">
        <v>426</v>
      </c>
      <c r="S419" s="227" t="str">
        <f aca="false">IFERROR(IF(C$347*C$351*C$353&gt;0,STDEV(C$347,C$351,C$353),"")/IF(C$347*C$351*C$353&gt;0,AVERAGE(C$347,C$351,C$353),""),"")</f>
        <v/>
      </c>
      <c r="T419" s="227" t="str">
        <f aca="false">IFERROR(IF(D$347*D$351*D$353&gt;0,STDEV(D$347,D$351,D$353),"")/IF(D$347*D$351*D$353&gt;0,AVERAGE(D$347,D$351,D$353),""),"")</f>
        <v/>
      </c>
      <c r="U419" s="227" t="str">
        <f aca="false">IFERROR(IF(E$347*E$351*E$353&gt;0,STDEV(E$347,E$351,E$353),"")/IF(E$347*E$351*E$353&gt;0,AVERAGE(E$347,E$351,E$353),""),"")</f>
        <v/>
      </c>
      <c r="V419" s="227" t="str">
        <f aca="false">IFERROR(IF(F$347*F$351*F$353&gt;0,STDEV(F$347,F$351,F$353),"")/IF(F$347*F$351*F$353&gt;0,AVERAGE(F$347,F$351,F$353),""),"")</f>
        <v/>
      </c>
      <c r="W419" s="227" t="str">
        <f aca="false">IFERROR(IF(G$347*G$351*G$353&gt;0,STDEV(G$347,G$351,G$353),"")/IF(G$347*G$351*G$353&gt;0,AVERAGE(G$347,G$351,G$353),""),"")</f>
        <v/>
      </c>
      <c r="X419" s="227" t="str">
        <f aca="false">IFERROR(IF(H$347*H$351*H$353&gt;0,STDEV(H$347,H$351,H$353),"")/IF(H$347*H$351*H$353&gt;0,AVERAGE(H$347,H$351,H$353),""),"")</f>
        <v/>
      </c>
      <c r="Y419" s="227" t="str">
        <f aca="false">IFERROR(IF(I$347*I$351*I$353&gt;0,STDEV(I$347,I$351,I$353),"")/IF(I$347*I$351*I$353&gt;0,AVERAGE(I$347,I$351,I$353),""),"")</f>
        <v/>
      </c>
      <c r="Z419" s="227" t="str">
        <f aca="false">IFERROR(IF(J$347*J$351*J$353&gt;0,STDEV(J$347,J$351,J$353),"")/IF(J$347*J$351*J$353&gt;0,AVERAGE(J$347,J$351,J$353),""),"")</f>
        <v/>
      </c>
      <c r="AA419" s="227" t="str">
        <f aca="false">IFERROR(IF(K$347*K$351*K$353&gt;0,STDEV(K$347,K$351,K$353),"")/IF(K$347*K$351*K$353&gt;0,AVERAGE(K$347,K$351,K$353),""),"")</f>
        <v/>
      </c>
      <c r="AB419" s="227" t="str">
        <f aca="false">IFERROR(IF(L$347*L$351*L$353&gt;0,STDEV(L$347,L$351,L$353),"")/IF(L$347*L$351*L$353&gt;0,AVERAGE(L$347,L$351,L$353),""),"")</f>
        <v/>
      </c>
      <c r="AC419" s="227" t="str">
        <f aca="false">IFERROR(IF(M$347*M$351*M$353&gt;0,STDEV(M$347,M$351,M$353),"")/IF(M$347*M$351*M$353&gt;0,AVERAGE(M$347,M$351,M$353),""),"")</f>
        <v/>
      </c>
      <c r="AD419" s="227" t="str">
        <f aca="false">IFERROR(IF(N$347*N$351*N$353&gt;0,STDEV(N$347,N$351,N$353),"")/IF(N$347*N$351*N$353&gt;0,AVERAGE(N$347,N$351,N$353),""),"")</f>
        <v/>
      </c>
      <c r="AE419" s="233"/>
      <c r="AF419" s="229" t="s">
        <v>427</v>
      </c>
      <c r="AG419" s="230" t="str">
        <f aca="false">IFERROR(IF(C$347*C$351*C$353&gt;0,STDEV(C$347,C$351,C$353)," ")/IF(C$347*C$351*C$353&gt;0,SQRT(COUNT(C$347,C$351,C$353))," "),"")</f>
        <v/>
      </c>
      <c r="AH419" s="230" t="str">
        <f aca="false">IFERROR(IF(D$347*D$351*D$353&gt;0,STDEV(D$347,D$351,D$353)," ")/IF(D$347*D$351*D$353&gt;0,SQRT(COUNT(D$347,D$351,D$353))," "),"")</f>
        <v/>
      </c>
      <c r="AI419" s="230" t="str">
        <f aca="false">IFERROR(IF(E$347*E$351*E$353&gt;0,STDEV(E$347,E$351,E$353)," ")/IF(E$347*E$351*E$353&gt;0,SQRT(COUNT(E$347,E$351,E$353))," "),"")</f>
        <v/>
      </c>
      <c r="AJ419" s="230" t="str">
        <f aca="false">IFERROR(IF(F$347*F$351*F$353&gt;0,STDEV(F$347,F$351,F$353)," ")/IF(F$347*F$351*F$353&gt;0,SQRT(COUNT(F$347,F$351,F$353))," "),"")</f>
        <v/>
      </c>
      <c r="AK419" s="230" t="str">
        <f aca="false">IFERROR(IF(G$347*G$351*G$353&gt;0,STDEV(G$347,G$351,G$353)," ")/IF(G$347*G$351*G$353&gt;0,SQRT(COUNT(G$347,G$351,G$353))," "),"")</f>
        <v/>
      </c>
      <c r="AL419" s="230" t="str">
        <f aca="false">IFERROR(IF(H$347*H$351*H$353&gt;0,STDEV(H$347,H$351,H$353)," ")/IF(H$347*H$351*H$353&gt;0,SQRT(COUNT(H$347,H$351,H$353))," "),"")</f>
        <v/>
      </c>
      <c r="AM419" s="230" t="str">
        <f aca="false">IFERROR(IF(I$347*I$351*I$353&gt;0,STDEV(I$347,I$351,I$353)," ")/IF(I$347*I$351*I$353&gt;0,SQRT(COUNT(I$347,I$351,I$353))," "),"")</f>
        <v/>
      </c>
      <c r="AN419" s="230" t="str">
        <f aca="false">IFERROR(IF(J$347*J$351*J$353&gt;0,STDEV(J$347,J$351,J$353)," ")/IF(J$347*J$351*J$353&gt;0,SQRT(COUNT(J$347,J$351,J$353))," "),"")</f>
        <v/>
      </c>
      <c r="AO419" s="230" t="str">
        <f aca="false">IFERROR(IF(K$347*K$351*K$353&gt;0,STDEV(K$347,K$351,K$353)," ")/IF(K$347*K$351*K$353&gt;0,SQRT(COUNT(K$347,K$351,K$353))," "),"")</f>
        <v/>
      </c>
      <c r="AP419" s="230" t="str">
        <f aca="false">IFERROR(IF(L$347*L$351*L$353&gt;0,STDEV(L$347,L$351,L$353)," ")/IF(L$347*L$351*L$353&gt;0,SQRT(COUNT(L$347,L$351,L$353))," "),"")</f>
        <v/>
      </c>
      <c r="AQ419" s="230" t="str">
        <f aca="false">IFERROR(IF(M$347*M$351*M$353&gt;0,STDEV(M$347,M$351,M$353)," ")/IF(M$347*M$351*M$353&gt;0,SQRT(COUNT(M$347,M$351,M$353))," "),"")</f>
        <v/>
      </c>
      <c r="AR419" s="230" t="str">
        <f aca="false">IFERROR(IF(N$347*N$351*N$353&gt;0,STDEV(N$347,N$351,N$353)," ")/IF(N$347*N$351*N$353&gt;0,SQRT(COUNT(N$347,N$351,N$353))," "),"")</f>
        <v/>
      </c>
    </row>
    <row r="420" customFormat="false" ht="15.75" hidden="false" customHeight="false" outlineLevel="0" collapsed="false">
      <c r="A420" s="220" t="s">
        <v>428</v>
      </c>
      <c r="B420" s="221"/>
      <c r="C420" s="261" t="str">
        <f aca="false">IFERROR(IF(C$348*C$350*C$351&gt;0,AVERAGE(C$348,C$350,C$351),""),"")</f>
        <v/>
      </c>
      <c r="D420" s="261" t="str">
        <f aca="false">IFERROR(IF(D$348*D$350*D$351&gt;0,AVERAGE(D$348,D$350,D$351),""),"")</f>
        <v/>
      </c>
      <c r="E420" s="261" t="str">
        <f aca="false">IFERROR(IF(E$348*E$350*E$351&gt;0,AVERAGE(E$348,E$350,E$351),""),"")</f>
        <v/>
      </c>
      <c r="F420" s="261" t="str">
        <f aca="false">IFERROR(IF(F$348*F$350*F$351&gt;0,AVERAGE(F$348,F$350,F$351),""),"")</f>
        <v/>
      </c>
      <c r="G420" s="261" t="str">
        <f aca="false">IFERROR(IF(G$348*G$350*G$351&gt;0,AVERAGE(G$348,G$350,G$351),""),"")</f>
        <v/>
      </c>
      <c r="H420" s="261" t="str">
        <f aca="false">IFERROR(IF(H$348*H$350*H$351&gt;0,AVERAGE(H$348,H$350,H$351),""),"")</f>
        <v/>
      </c>
      <c r="I420" s="261" t="str">
        <f aca="false">IFERROR(IF(I$348*I$350*I$351&gt;0,AVERAGE(I$348,I$350,I$351),""),"")</f>
        <v/>
      </c>
      <c r="J420" s="261" t="str">
        <f aca="false">IFERROR(IF(J$348*J$350*J$351&gt;0,AVERAGE(J$348,J$350,J$351),""),"")</f>
        <v/>
      </c>
      <c r="K420" s="261" t="str">
        <f aca="false">IFERROR(IF(K$348*K$350*K$351&gt;0,AVERAGE(K$348,K$350,K$351),""),"")</f>
        <v/>
      </c>
      <c r="L420" s="261" t="str">
        <f aca="false">IFERROR(IF(L$348*L$350*L$351&gt;0,AVERAGE(L$348,L$350,L$351),""),"")</f>
        <v/>
      </c>
      <c r="M420" s="261" t="str">
        <f aca="false">IFERROR(IF(M$348*M$350*M$351&gt;0,AVERAGE(M$348,M$350,M$351),""),"")</f>
        <v/>
      </c>
      <c r="N420" s="261" t="str">
        <f aca="false">IFERROR(IF(N$348*N$350*N$351&gt;0,AVERAGE(N$348,N$350,N$351),""),"")</f>
        <v/>
      </c>
      <c r="O420" s="253"/>
      <c r="P420" s="253"/>
      <c r="Q420" s="254"/>
      <c r="R420" s="226" t="s">
        <v>429</v>
      </c>
      <c r="S420" s="227" t="str">
        <f aca="false">IFERROR(IF(C$348*C$350*C$351&gt;0,STDEV(C$348,C$350,C$351),"")/IF(C$348*C$350*C$351&gt;0,AVERAGE(C$348,C$350,C$351),""),"")</f>
        <v/>
      </c>
      <c r="T420" s="227" t="str">
        <f aca="false">IFERROR(IF(D$348*D$350*D$351&gt;0,STDEV(D$348,D$350,D$351),"")/IF(D$348*D$350*D$351&gt;0,AVERAGE(D$348,D$350,D$351),""),"")</f>
        <v/>
      </c>
      <c r="U420" s="227" t="str">
        <f aca="false">IFERROR(IF(E$348*E$350*E$351&gt;0,STDEV(E$348,E$350,E$351),"")/IF(E$348*E$350*E$351&gt;0,AVERAGE(E$348,E$350,E$351),""),"")</f>
        <v/>
      </c>
      <c r="V420" s="227" t="str">
        <f aca="false">IFERROR(IF(F$348*F$350*F$351&gt;0,STDEV(F$348,F$350,F$351),"")/IF(F$348*F$350*F$351&gt;0,AVERAGE(F$348,F$350,F$351),""),"")</f>
        <v/>
      </c>
      <c r="W420" s="227" t="str">
        <f aca="false">IFERROR(IF(G$348*G$350*G$351&gt;0,STDEV(G$348,G$350,G$351),"")/IF(G$348*G$350*G$351&gt;0,AVERAGE(G$348,G$350,G$351),""),"")</f>
        <v/>
      </c>
      <c r="X420" s="227" t="str">
        <f aca="false">IFERROR(IF(H$348*H$350*H$351&gt;0,STDEV(H$348,H$350,H$351),"")/IF(H$348*H$350*H$351&gt;0,AVERAGE(H$348,H$350,H$351),""),"")</f>
        <v/>
      </c>
      <c r="Y420" s="227" t="str">
        <f aca="false">IFERROR(IF(I$348*I$350*I$351&gt;0,STDEV(I$348,I$350,I$351),"")/IF(I$348*I$350*I$351&gt;0,AVERAGE(I$348,I$350,I$351),""),"")</f>
        <v/>
      </c>
      <c r="Z420" s="227" t="str">
        <f aca="false">IFERROR(IF(J$348*J$350*J$351&gt;0,STDEV(J$348,J$350,J$351),"")/IF(J$348*J$350*J$351&gt;0,AVERAGE(J$348,J$350,J$351),""),"")</f>
        <v/>
      </c>
      <c r="AA420" s="227" t="str">
        <f aca="false">IFERROR(IF(K$348*K$350*K$351&gt;0,STDEV(K$348,K$350,K$351),"")/IF(K$348*K$350*K$351&gt;0,AVERAGE(K$348,K$350,K$351),""),"")</f>
        <v/>
      </c>
      <c r="AB420" s="227" t="str">
        <f aca="false">IFERROR(IF(L$348*L$350*L$351&gt;0,STDEV(L$348,L$350,L$351),"")/IF(L$348*L$350*L$351&gt;0,AVERAGE(L$348,L$350,L$351),""),"")</f>
        <v/>
      </c>
      <c r="AC420" s="227" t="str">
        <f aca="false">IFERROR(IF(M$348*M$350*M$351&gt;0,STDEV(M$348,M$350,M$351),"")/IF(M$348*M$350*M$351&gt;0,AVERAGE(M$348,M$350,M$351),""),"")</f>
        <v/>
      </c>
      <c r="AD420" s="227" t="str">
        <f aca="false">IFERROR(IF(N$348*N$350*N$351&gt;0,STDEV(N$348,N$350,N$351),"")/IF(N$348*N$350*N$351&gt;0,AVERAGE(N$348,N$350,N$351),""),"")</f>
        <v/>
      </c>
      <c r="AE420" s="233"/>
      <c r="AF420" s="229" t="s">
        <v>430</v>
      </c>
      <c r="AG420" s="230" t="str">
        <f aca="false">IFERROR(IF(C$348*C$350*C$351&gt;0,STDEV(C$348,C$350,C$351)," ")/IF(C$348*C$350*C$351&gt;0,SQRT(COUNT(C$348,C$350,C$351))," "),"")</f>
        <v/>
      </c>
      <c r="AH420" s="230" t="str">
        <f aca="false">IFERROR(IF(D$348*D$350*D$351&gt;0,STDEV(D$348,D$350,D$351)," ")/IF(D$348*D$350*D$351&gt;0,SQRT(COUNT(D$348,D$350,D$351))," "),"")</f>
        <v/>
      </c>
      <c r="AI420" s="230" t="str">
        <f aca="false">IFERROR(IF(E$348*E$350*E$351&gt;0,STDEV(E$348,E$350,E$351)," ")/IF(E$348*E$350*E$351&gt;0,SQRT(COUNT(E$348,E$350,E$351))," "),"")</f>
        <v/>
      </c>
      <c r="AJ420" s="230" t="str">
        <f aca="false">IFERROR(IF(F$348*F$350*F$351&gt;0,STDEV(F$348,F$350,F$351)," ")/IF(F$348*F$350*F$351&gt;0,SQRT(COUNT(F$348,F$350,F$351))," "),"")</f>
        <v/>
      </c>
      <c r="AK420" s="230" t="str">
        <f aca="false">IFERROR(IF(G$348*G$350*G$351&gt;0,STDEV(G$348,G$350,G$351)," ")/IF(G$348*G$350*G$351&gt;0,SQRT(COUNT(G$348,G$350,G$351))," "),"")</f>
        <v/>
      </c>
      <c r="AL420" s="230" t="str">
        <f aca="false">IFERROR(IF(H$348*H$350*H$351&gt;0,STDEV(H$348,H$350,H$351)," ")/IF(H$348*H$350*H$351&gt;0,SQRT(COUNT(H$348,H$350,H$351))," "),"")</f>
        <v/>
      </c>
      <c r="AM420" s="230" t="str">
        <f aca="false">IFERROR(IF(I$348*I$350*I$351&gt;0,STDEV(I$348,I$350,I$351)," ")/IF(I$348*I$350*I$351&gt;0,SQRT(COUNT(I$348,I$350,I$351))," "),"")</f>
        <v/>
      </c>
      <c r="AN420" s="230" t="str">
        <f aca="false">IFERROR(IF(J$348*J$350*J$351&gt;0,STDEV(J$348,J$350,J$351)," ")/IF(J$348*J$350*J$351&gt;0,SQRT(COUNT(J$348,J$350,J$351))," "),"")</f>
        <v/>
      </c>
      <c r="AO420" s="230" t="str">
        <f aca="false">IFERROR(IF(K$348*K$350*K$351&gt;0,STDEV(K$348,K$350,K$351)," ")/IF(K$348*K$350*K$351&gt;0,SQRT(COUNT(K$348,K$350,K$351))," "),"")</f>
        <v/>
      </c>
      <c r="AP420" s="230" t="str">
        <f aca="false">IFERROR(IF(L$348*L$350*L$351&gt;0,STDEV(L$348,L$350,L$351)," ")/IF(L$348*L$350*L$351&gt;0,SQRT(COUNT(L$348,L$350,L$351))," "),"")</f>
        <v/>
      </c>
      <c r="AQ420" s="230" t="str">
        <f aca="false">IFERROR(IF(M$348*M$350*M$351&gt;0,STDEV(M$348,M$350,M$351)," ")/IF(M$348*M$350*M$351&gt;0,SQRT(COUNT(M$348,M$350,M$351))," "),"")</f>
        <v/>
      </c>
      <c r="AR420" s="230" t="str">
        <f aca="false">IFERROR(IF(N$348*N$350*N$351&gt;0,STDEV(N$348,N$350,N$351)," ")/IF(N$348*N$350*N$351&gt;0,SQRT(COUNT(N$348,N$350,N$351))," "),"")</f>
        <v/>
      </c>
    </row>
    <row r="421" customFormat="false" ht="15.75" hidden="false" customHeight="false" outlineLevel="0" collapsed="false">
      <c r="A421" s="220" t="s">
        <v>431</v>
      </c>
      <c r="B421" s="221"/>
      <c r="C421" s="261" t="str">
        <f aca="false">IFERROR(IF(C$348*C$350*C$352&gt;0,AVERAGE(C$348,C$350,C$352),""),"")</f>
        <v/>
      </c>
      <c r="D421" s="261" t="str">
        <f aca="false">IFERROR(IF(D$348*D$350*D$352&gt;0,AVERAGE(D$348,D$350,D$352),""),"")</f>
        <v/>
      </c>
      <c r="E421" s="261" t="str">
        <f aca="false">IFERROR(IF(E$348*E$350*E$352&gt;0,AVERAGE(E$348,E$350,E$352),""),"")</f>
        <v/>
      </c>
      <c r="F421" s="261" t="str">
        <f aca="false">IFERROR(IF(F$348*F$350*F$352&gt;0,AVERAGE(F$348,F$350,F$352),""),"")</f>
        <v/>
      </c>
      <c r="G421" s="261" t="str">
        <f aca="false">IFERROR(IF(G$348*G$350*G$352&gt;0,AVERAGE(G$348,G$350,G$352),""),"")</f>
        <v/>
      </c>
      <c r="H421" s="261" t="str">
        <f aca="false">IFERROR(IF(H$348*H$350*H$352&gt;0,AVERAGE(H$348,H$350,H$352),""),"")</f>
        <v/>
      </c>
      <c r="I421" s="261" t="str">
        <f aca="false">IFERROR(IF(I$348*I$350*I$352&gt;0,AVERAGE(I$348,I$350,I$352),""),"")</f>
        <v/>
      </c>
      <c r="J421" s="261" t="str">
        <f aca="false">IFERROR(IF(J$348*J$350*J$352&gt;0,AVERAGE(J$348,J$350,J$352),""),"")</f>
        <v/>
      </c>
      <c r="K421" s="261" t="str">
        <f aca="false">IFERROR(IF(K$348*K$350*K$352&gt;0,AVERAGE(K$348,K$350,K$352),""),"")</f>
        <v/>
      </c>
      <c r="L421" s="261" t="str">
        <f aca="false">IFERROR(IF(L$348*L$350*L$352&gt;0,AVERAGE(L$348,L$350,L$352),""),"")</f>
        <v/>
      </c>
      <c r="M421" s="261" t="str">
        <f aca="false">IFERROR(IF(M$348*M$350*M$352&gt;0,AVERAGE(M$348,M$350,M$352),""),"")</f>
        <v/>
      </c>
      <c r="N421" s="261" t="str">
        <f aca="false">IFERROR(IF(N$348*N$350*N$352&gt;0,AVERAGE(N$348,N$350,N$352),""),"")</f>
        <v/>
      </c>
      <c r="O421" s="253"/>
      <c r="P421" s="253"/>
      <c r="Q421" s="254"/>
      <c r="R421" s="226" t="s">
        <v>432</v>
      </c>
      <c r="S421" s="227" t="str">
        <f aca="false">IFERROR(IF(C$348*C$350*C$352&gt;0,STDEV(C$348,C$350,C$352),"")/IF(C$348*C$350*C$352&gt;0,AVERAGE(C$348,C$350,C$352),""),"")</f>
        <v/>
      </c>
      <c r="T421" s="227" t="str">
        <f aca="false">IFERROR(IF(D$348*D$350*D$352&gt;0,STDEV(D$348,D$350,D$352),"")/IF(D$348*D$350*D$352&gt;0,AVERAGE(D$348,D$350,D$352),""),"")</f>
        <v/>
      </c>
      <c r="U421" s="227" t="str">
        <f aca="false">IFERROR(IF(E$348*E$350*E$352&gt;0,STDEV(E$348,E$350,E$352),"")/IF(E$348*E$350*E$352&gt;0,AVERAGE(E$348,E$350,E$352),""),"")</f>
        <v/>
      </c>
      <c r="V421" s="227" t="str">
        <f aca="false">IFERROR(IF(F$348*F$350*F$352&gt;0,STDEV(F$348,F$350,F$352),"")/IF(F$348*F$350*F$352&gt;0,AVERAGE(F$348,F$350,F$352),""),"")</f>
        <v/>
      </c>
      <c r="W421" s="227" t="str">
        <f aca="false">IFERROR(IF(G$348*G$350*G$352&gt;0,STDEV(G$348,G$350,G$352),"")/IF(G$348*G$350*G$352&gt;0,AVERAGE(G$348,G$350,G$352),""),"")</f>
        <v/>
      </c>
      <c r="X421" s="227" t="str">
        <f aca="false">IFERROR(IF(H$348*H$350*H$352&gt;0,STDEV(H$348,H$350,H$352),"")/IF(H$348*H$350*H$352&gt;0,AVERAGE(H$348,H$350,H$352),""),"")</f>
        <v/>
      </c>
      <c r="Y421" s="227" t="str">
        <f aca="false">IFERROR(IF(I$348*I$350*I$352&gt;0,STDEV(I$348,I$350,I$352),"")/IF(I$348*I$350*I$352&gt;0,AVERAGE(I$348,I$350,I$352),""),"")</f>
        <v/>
      </c>
      <c r="Z421" s="227" t="str">
        <f aca="false">IFERROR(IF(J$348*J$350*J$352&gt;0,STDEV(J$348,J$350,J$352),"")/IF(J$348*J$350*J$352&gt;0,AVERAGE(J$348,J$350,J$352),""),"")</f>
        <v/>
      </c>
      <c r="AA421" s="227" t="str">
        <f aca="false">IFERROR(IF(K$348*K$350*K$352&gt;0,STDEV(K$348,K$350,K$352),"")/IF(K$348*K$350*K$352&gt;0,AVERAGE(K$348,K$350,K$352),""),"")</f>
        <v/>
      </c>
      <c r="AB421" s="227" t="str">
        <f aca="false">IFERROR(IF(L$348*L$350*L$352&gt;0,STDEV(L$348,L$350,L$352),"")/IF(L$348*L$350*L$352&gt;0,AVERAGE(L$348,L$350,L$352),""),"")</f>
        <v/>
      </c>
      <c r="AC421" s="227" t="str">
        <f aca="false">IFERROR(IF(M$348*M$350*M$352&gt;0,STDEV(M$348,M$350,M$352),"")/IF(M$348*M$350*M$352&gt;0,AVERAGE(M$348,M$350,M$352),""),"")</f>
        <v/>
      </c>
      <c r="AD421" s="227" t="str">
        <f aca="false">IFERROR(IF(N$348*N$350*N$352&gt;0,STDEV(N$348,N$350,N$352),"")/IF(N$348*N$350*N$352&gt;0,AVERAGE(N$348,N$350,N$352),""),"")</f>
        <v/>
      </c>
      <c r="AE421" s="233"/>
      <c r="AF421" s="229" t="s">
        <v>433</v>
      </c>
      <c r="AG421" s="230" t="str">
        <f aca="false">IFERROR(IF(C$348*C$350*C$352&gt;0,STDEV(C$348,C$350,C$352)," ")/IF(C$348*C$350*C$352&gt;0,SQRT(COUNT(C$348,C$350,C$352))," "),"")</f>
        <v/>
      </c>
      <c r="AH421" s="230" t="str">
        <f aca="false">IFERROR(IF(D$348*D$350*D$352&gt;0,STDEV(D$348,D$350,D$352)," ")/IF(D$348*D$350*D$352&gt;0,SQRT(COUNT(D$348,D$350,D$352))," "),"")</f>
        <v/>
      </c>
      <c r="AI421" s="230" t="str">
        <f aca="false">IFERROR(IF(E$348*E$350*E$352&gt;0,STDEV(E$348,E$350,E$352)," ")/IF(E$348*E$350*E$352&gt;0,SQRT(COUNT(E$348,E$350,E$352))," "),"")</f>
        <v/>
      </c>
      <c r="AJ421" s="230" t="str">
        <f aca="false">IFERROR(IF(F$348*F$350*F$352&gt;0,STDEV(F$348,F$350,F$352)," ")/IF(F$348*F$350*F$352&gt;0,SQRT(COUNT(F$348,F$350,F$352))," "),"")</f>
        <v/>
      </c>
      <c r="AK421" s="230" t="str">
        <f aca="false">IFERROR(IF(G$348*G$350*G$352&gt;0,STDEV(G$348,G$350,G$352)," ")/IF(G$348*G$350*G$352&gt;0,SQRT(COUNT(G$348,G$350,G$352))," "),"")</f>
        <v/>
      </c>
      <c r="AL421" s="230" t="str">
        <f aca="false">IFERROR(IF(H$348*H$350*H$352&gt;0,STDEV(H$348,H$350,H$352)," ")/IF(H$348*H$350*H$352&gt;0,SQRT(COUNT(H$348,H$350,H$352))," "),"")</f>
        <v/>
      </c>
      <c r="AM421" s="230" t="str">
        <f aca="false">IFERROR(IF(I$348*I$350*I$352&gt;0,STDEV(I$348,I$350,I$352)," ")/IF(I$348*I$350*I$352&gt;0,SQRT(COUNT(I$348,I$350,I$352))," "),"")</f>
        <v/>
      </c>
      <c r="AN421" s="230" t="str">
        <f aca="false">IFERROR(IF(J$348*J$350*J$352&gt;0,STDEV(J$348,J$350,J$352)," ")/IF(J$348*J$350*J$352&gt;0,SQRT(COUNT(J$348,J$350,J$352))," "),"")</f>
        <v/>
      </c>
      <c r="AO421" s="230" t="str">
        <f aca="false">IFERROR(IF(K$348*K$350*K$352&gt;0,STDEV(K$348,K$350,K$352)," ")/IF(K$348*K$350*K$352&gt;0,SQRT(COUNT(K$348,K$350,K$352))," "),"")</f>
        <v/>
      </c>
      <c r="AP421" s="230" t="str">
        <f aca="false">IFERROR(IF(L$348*L$350*L$352&gt;0,STDEV(L$348,L$350,L$352)," ")/IF(L$348*L$350*L$352&gt;0,SQRT(COUNT(L$348,L$350,L$352))," "),"")</f>
        <v/>
      </c>
      <c r="AQ421" s="230" t="str">
        <f aca="false">IFERROR(IF(M$348*M$350*M$352&gt;0,STDEV(M$348,M$350,M$352)," ")/IF(M$348*M$350*M$352&gt;0,SQRT(COUNT(M$348,M$350,M$352))," "),"")</f>
        <v/>
      </c>
      <c r="AR421" s="230" t="str">
        <f aca="false">IFERROR(IF(N$348*N$350*N$352&gt;0,STDEV(N$348,N$350,N$352)," ")/IF(N$348*N$350*N$352&gt;0,SQRT(COUNT(N$348,N$350,N$352))," "),"")</f>
        <v/>
      </c>
    </row>
    <row r="422" customFormat="false" ht="15.75" hidden="false" customHeight="false" outlineLevel="0" collapsed="false">
      <c r="A422" s="220" t="s">
        <v>434</v>
      </c>
      <c r="B422" s="221"/>
      <c r="C422" s="261" t="str">
        <f aca="false">IFERROR(IF(C$348*C$350*C$353&gt;0,AVERAGE(C$348,C$350,C$353),""),"")</f>
        <v/>
      </c>
      <c r="D422" s="261" t="str">
        <f aca="false">IFERROR(IF(D$348*D$350*D$353&gt;0,AVERAGE(D$348,D$350,D$353),""),"")</f>
        <v/>
      </c>
      <c r="E422" s="261" t="str">
        <f aca="false">IFERROR(IF(E$348*E$350*E$353&gt;0,AVERAGE(E$348,E$350,E$353),""),"")</f>
        <v/>
      </c>
      <c r="F422" s="261" t="str">
        <f aca="false">IFERROR(IF(F$348*F$350*F$353&gt;0,AVERAGE(F$348,F$350,F$353),""),"")</f>
        <v/>
      </c>
      <c r="G422" s="261" t="str">
        <f aca="false">IFERROR(IF(G$348*G$350*G$353&gt;0,AVERAGE(G$348,G$350,G$353),""),"")</f>
        <v/>
      </c>
      <c r="H422" s="261" t="str">
        <f aca="false">IFERROR(IF(H$348*H$350*H$353&gt;0,AVERAGE(H$348,H$350,H$353),""),"")</f>
        <v/>
      </c>
      <c r="I422" s="261" t="str">
        <f aca="false">IFERROR(IF(I$348*I$350*I$353&gt;0,AVERAGE(I$348,I$350,I$353),""),"")</f>
        <v/>
      </c>
      <c r="J422" s="261" t="str">
        <f aca="false">IFERROR(IF(J$348*J$350*J$353&gt;0,AVERAGE(J$348,J$350,J$353),""),"")</f>
        <v/>
      </c>
      <c r="K422" s="261" t="str">
        <f aca="false">IFERROR(IF(K$348*K$350*K$353&gt;0,AVERAGE(K$348,K$350,K$353),""),"")</f>
        <v/>
      </c>
      <c r="L422" s="261" t="str">
        <f aca="false">IFERROR(IF(L$348*L$350*L$353&gt;0,AVERAGE(L$348,L$350,L$353),""),"")</f>
        <v/>
      </c>
      <c r="M422" s="261" t="str">
        <f aca="false">IFERROR(IF(M$348*M$350*M$353&gt;0,AVERAGE(M$348,M$350,M$353),""),"")</f>
        <v/>
      </c>
      <c r="N422" s="261" t="str">
        <f aca="false">IFERROR(IF(N$348*N$350*N$353&gt;0,AVERAGE(N$348,N$350,N$353),""),"")</f>
        <v/>
      </c>
      <c r="O422" s="253"/>
      <c r="P422" s="253"/>
      <c r="Q422" s="254"/>
      <c r="R422" s="226" t="s">
        <v>435</v>
      </c>
      <c r="S422" s="227" t="str">
        <f aca="false">IFERROR(IF(C$348*C$350*C$353&gt;0,STDEV(C$348,C$350,C$353),"")/IF(C$348*C$350*C$352&gt;0,AVERAGE(C$348,C$350,C$353),""),"")</f>
        <v/>
      </c>
      <c r="T422" s="227" t="str">
        <f aca="false">IFERROR(IF(D$348*D$350*D$353&gt;0,STDEV(D$348,D$350,D$353),"")/IF(D$348*D$350*D$352&gt;0,AVERAGE(D$348,D$350,D$353),""),"")</f>
        <v/>
      </c>
      <c r="U422" s="227" t="str">
        <f aca="false">IFERROR(IF(E$348*E$350*E$353&gt;0,STDEV(E$348,E$350,E$353),"")/IF(E$348*E$350*E$352&gt;0,AVERAGE(E$348,E$350,E$353),""),"")</f>
        <v/>
      </c>
      <c r="V422" s="227" t="str">
        <f aca="false">IFERROR(IF(F$348*F$350*F$353&gt;0,STDEV(F$348,F$350,F$353),"")/IF(F$348*F$350*F$352&gt;0,AVERAGE(F$348,F$350,F$353),""),"")</f>
        <v/>
      </c>
      <c r="W422" s="227" t="str">
        <f aca="false">IFERROR(IF(G$348*G$350*G$353&gt;0,STDEV(G$348,G$350,G$353),"")/IF(G$348*G$350*G$352&gt;0,AVERAGE(G$348,G$350,G$353),""),"")</f>
        <v/>
      </c>
      <c r="X422" s="227" t="str">
        <f aca="false">IFERROR(IF(H$348*H$350*H$353&gt;0,STDEV(H$348,H$350,H$353),"")/IF(H$348*H$350*H$352&gt;0,AVERAGE(H$348,H$350,H$353),""),"")</f>
        <v/>
      </c>
      <c r="Y422" s="227" t="str">
        <f aca="false">IFERROR(IF(I$348*I$350*I$353&gt;0,STDEV(I$348,I$350,I$353),"")/IF(I$348*I$350*I$352&gt;0,AVERAGE(I$348,I$350,I$353),""),"")</f>
        <v/>
      </c>
      <c r="Z422" s="227" t="str">
        <f aca="false">IFERROR(IF(J$348*J$350*J$353&gt;0,STDEV(J$348,J$350,J$353),"")/IF(J$348*J$350*J$352&gt;0,AVERAGE(J$348,J$350,J$353),""),"")</f>
        <v/>
      </c>
      <c r="AA422" s="227" t="str">
        <f aca="false">IFERROR(IF(K$348*K$350*K$353&gt;0,STDEV(K$348,K$350,K$353),"")/IF(K$348*K$350*K$352&gt;0,AVERAGE(K$348,K$350,K$353),""),"")</f>
        <v/>
      </c>
      <c r="AB422" s="227" t="str">
        <f aca="false">IFERROR(IF(L$348*L$350*L$353&gt;0,STDEV(L$348,L$350,L$353),"")/IF(L$348*L$350*L$352&gt;0,AVERAGE(L$348,L$350,L$353),""),"")</f>
        <v/>
      </c>
      <c r="AC422" s="227" t="str">
        <f aca="false">IFERROR(IF(M$348*M$350*M$353&gt;0,STDEV(M$348,M$350,M$353),"")/IF(M$348*M$350*M$352&gt;0,AVERAGE(M$348,M$350,M$353),""),"")</f>
        <v/>
      </c>
      <c r="AD422" s="227" t="str">
        <f aca="false">IFERROR(IF(N$348*N$350*N$353&gt;0,STDEV(N$348,N$350,N$353),"")/IF(N$348*N$350*N$352&gt;0,AVERAGE(N$348,N$350,N$353),""),"")</f>
        <v/>
      </c>
      <c r="AE422" s="233"/>
      <c r="AF422" s="229" t="s">
        <v>436</v>
      </c>
      <c r="AG422" s="230" t="str">
        <f aca="false">IFERROR(IF(C$348*C$350*C$353&gt;0,STDEV(C$348,C$350,C$353)," ")/IF(C$348*C$350*C$353&gt;0,SQRT(COUNT(C$348,C$350,C$353))," "),"")</f>
        <v/>
      </c>
      <c r="AH422" s="230" t="str">
        <f aca="false">IFERROR(IF(D$348*D$350*D$353&gt;0,STDEV(D$348,D$350,D$353)," ")/IF(D$348*D$350*D$353&gt;0,SQRT(COUNT(D$348,D$350,D$353))," "),"")</f>
        <v/>
      </c>
      <c r="AI422" s="230" t="str">
        <f aca="false">IFERROR(IF(E$348*E$350*E$353&gt;0,STDEV(E$348,E$350,E$353)," ")/IF(E$348*E$350*E$353&gt;0,SQRT(COUNT(E$348,E$350,E$353))," "),"")</f>
        <v/>
      </c>
      <c r="AJ422" s="230" t="str">
        <f aca="false">IFERROR(IF(F$348*F$350*F$353&gt;0,STDEV(F$348,F$350,F$353)," ")/IF(F$348*F$350*F$353&gt;0,SQRT(COUNT(F$348,F$350,F$353))," "),"")</f>
        <v/>
      </c>
      <c r="AK422" s="230" t="str">
        <f aca="false">IFERROR(IF(G$348*G$350*G$353&gt;0,STDEV(G$348,G$350,G$353)," ")/IF(G$348*G$350*G$353&gt;0,SQRT(COUNT(G$348,G$350,G$353))," "),"")</f>
        <v/>
      </c>
      <c r="AL422" s="230" t="str">
        <f aca="false">IFERROR(IF(H$348*H$350*H$353&gt;0,STDEV(H$348,H$350,H$353)," ")/IF(H$348*H$350*H$353&gt;0,SQRT(COUNT(H$348,H$350,H$353))," "),"")</f>
        <v/>
      </c>
      <c r="AM422" s="230" t="str">
        <f aca="false">IFERROR(IF(I$348*I$350*I$353&gt;0,STDEV(I$348,I$350,I$353)," ")/IF(I$348*I$350*I$353&gt;0,SQRT(COUNT(I$348,I$350,I$353))," "),"")</f>
        <v/>
      </c>
      <c r="AN422" s="230" t="str">
        <f aca="false">IFERROR(IF(J$348*J$350*J$353&gt;0,STDEV(J$348,J$350,J$353)," ")/IF(J$348*J$350*J$353&gt;0,SQRT(COUNT(J$348,J$350,J$353))," "),"")</f>
        <v/>
      </c>
      <c r="AO422" s="230" t="str">
        <f aca="false">IFERROR(IF(K$348*K$350*K$353&gt;0,STDEV(K$348,K$350,K$353)," ")/IF(K$348*K$350*K$353&gt;0,SQRT(COUNT(K$348,K$350,K$353))," "),"")</f>
        <v/>
      </c>
      <c r="AP422" s="230" t="str">
        <f aca="false">IFERROR(IF(L$348*L$350*L$353&gt;0,STDEV(L$348,L$350,L$353)," ")/IF(L$348*L$350*L$353&gt;0,SQRT(COUNT(L$348,L$350,L$353))," "),"")</f>
        <v/>
      </c>
      <c r="AQ422" s="230" t="str">
        <f aca="false">IFERROR(IF(M$348*M$350*M$353&gt;0,STDEV(M$348,M$350,M$353)," ")/IF(M$348*M$350*M$353&gt;0,SQRT(COUNT(M$348,M$350,M$353))," "),"")</f>
        <v/>
      </c>
      <c r="AR422" s="230" t="str">
        <f aca="false">IFERROR(IF(N$348*N$350*N$353&gt;0,STDEV(N$348,N$350,N$353)," ")/IF(N$348*N$350*N$353&gt;0,SQRT(COUNT(N$348,N$350,N$353))," "),"")</f>
        <v/>
      </c>
    </row>
    <row r="423" customFormat="false" ht="15.75" hidden="false" customHeight="false" outlineLevel="0" collapsed="false">
      <c r="A423" s="242" t="s">
        <v>437</v>
      </c>
      <c r="B423" s="243"/>
      <c r="C423" s="262" t="str">
        <f aca="false">IFERROR(IF(C$348*C$351*C$353&gt;0,AVERAGE(C$348,C$351,C$353),""),"")</f>
        <v/>
      </c>
      <c r="D423" s="262" t="str">
        <f aca="false">IFERROR(IF(D$348*D$351*D$353&gt;0,AVERAGE(D$348,D$351,D$353),""),"")</f>
        <v/>
      </c>
      <c r="E423" s="262" t="str">
        <f aca="false">IFERROR(IF(E$348*E$351*E$353&gt;0,AVERAGE(E$348,E$351,E$353),""),"")</f>
        <v/>
      </c>
      <c r="F423" s="262" t="str">
        <f aca="false">IFERROR(IF(F$348*F$351*F$353&gt;0,AVERAGE(F$348,F$351,F$353),""),"")</f>
        <v/>
      </c>
      <c r="G423" s="262" t="str">
        <f aca="false">IFERROR(IF(G$348*G$351*G$353&gt;0,AVERAGE(G$348,G$351,G$353),""),"")</f>
        <v/>
      </c>
      <c r="H423" s="262" t="str">
        <f aca="false">IFERROR(IF(H$348*H$351*H$353&gt;0,AVERAGE(H$348,H$351,H$353),""),"")</f>
        <v/>
      </c>
      <c r="I423" s="262" t="str">
        <f aca="false">IFERROR(IF(I$348*I$351*I$353&gt;0,AVERAGE(I$348,I$351,I$353),""),"")</f>
        <v/>
      </c>
      <c r="J423" s="262" t="str">
        <f aca="false">IFERROR(IF(J$348*J$351*J$353&gt;0,AVERAGE(J$348,J$351,J$353),""),"")</f>
        <v/>
      </c>
      <c r="K423" s="262" t="str">
        <f aca="false">IFERROR(IF(K$348*K$351*K$353&gt;0,AVERAGE(K$348,K$351,K$353),""),"")</f>
        <v/>
      </c>
      <c r="L423" s="262" t="str">
        <f aca="false">IFERROR(IF(L$348*L$351*L$353&gt;0,AVERAGE(L$348,L$351,L$353),""),"")</f>
        <v/>
      </c>
      <c r="M423" s="262" t="str">
        <f aca="false">IFERROR(IF(M$348*M$351*M$353&gt;0,AVERAGE(M$348,M$351,M$353),""),"")</f>
        <v/>
      </c>
      <c r="N423" s="262" t="str">
        <f aca="false">IFERROR(IF(N$348*N$351*N$353&gt;0,AVERAGE(N$348,N$351,N$353),""),"")</f>
        <v/>
      </c>
      <c r="O423" s="245"/>
      <c r="P423" s="245"/>
      <c r="Q423" s="246"/>
      <c r="R423" s="247" t="s">
        <v>438</v>
      </c>
      <c r="S423" s="248" t="str">
        <f aca="false">IFERROR(IF(C$348*C$351*C$353&gt;0,STDEV(C$348,C$351,C$353),"")/IF(C$348*C$351*C$353&gt;0,AVERAGE(C$348,C$351,C$353),""),"")</f>
        <v/>
      </c>
      <c r="T423" s="248" t="str">
        <f aca="false">IFERROR(IF(D$348*D$351*D$353&gt;0,STDEV(D$348,D$351,D$353),"")/IF(D$348*D$351*D$353&gt;0,AVERAGE(D$348,D$351,D$353),""),"")</f>
        <v/>
      </c>
      <c r="U423" s="248" t="str">
        <f aca="false">IFERROR(IF(E$348*E$351*E$353&gt;0,STDEV(E$348,E$351,E$353),"")/IF(E$348*E$351*E$353&gt;0,AVERAGE(E$348,E$351,E$353),""),"")</f>
        <v/>
      </c>
      <c r="V423" s="248" t="str">
        <f aca="false">IFERROR(IF(F$348*F$351*F$353&gt;0,STDEV(F$348,F$351,F$353),"")/IF(F$348*F$351*F$353&gt;0,AVERAGE(F$348,F$351,F$353),""),"")</f>
        <v/>
      </c>
      <c r="W423" s="248" t="str">
        <f aca="false">IFERROR(IF(G$348*G$351*G$353&gt;0,STDEV(G$348,G$351,G$353),"")/IF(G$348*G$351*G$353&gt;0,AVERAGE(G$348,G$351,G$353),""),"")</f>
        <v/>
      </c>
      <c r="X423" s="248" t="str">
        <f aca="false">IFERROR(IF(H$348*H$351*H$353&gt;0,STDEV(H$348,H$351,H$353),"")/IF(H$348*H$351*H$353&gt;0,AVERAGE(H$348,H$351,H$353),""),"")</f>
        <v/>
      </c>
      <c r="Y423" s="248" t="str">
        <f aca="false">IFERROR(IF(I$348*I$351*I$353&gt;0,STDEV(I$348,I$351,I$353),"")/IF(I$348*I$351*I$353&gt;0,AVERAGE(I$348,I$351,I$353),""),"")</f>
        <v/>
      </c>
      <c r="Z423" s="248" t="str">
        <f aca="false">IFERROR(IF(J$348*J$351*J$353&gt;0,STDEV(J$348,J$351,J$353),"")/IF(J$348*J$351*J$353&gt;0,AVERAGE(J$348,J$351,J$353),""),"")</f>
        <v/>
      </c>
      <c r="AA423" s="248" t="str">
        <f aca="false">IFERROR(IF(K$348*K$351*K$353&gt;0,STDEV(K$348,K$351,K$353),"")/IF(K$348*K$351*K$353&gt;0,AVERAGE(K$348,K$351,K$353),""),"")</f>
        <v/>
      </c>
      <c r="AB423" s="248" t="str">
        <f aca="false">IFERROR(IF(L$348*L$351*L$353&gt;0,STDEV(L$348,L$351,L$353),"")/IF(L$348*L$351*L$353&gt;0,AVERAGE(L$348,L$351,L$353),""),"")</f>
        <v/>
      </c>
      <c r="AC423" s="248" t="str">
        <f aca="false">IFERROR(IF(M$348*M$351*M$353&gt;0,STDEV(M$348,M$351,M$353),"")/IF(M$348*M$351*M$353&gt;0,AVERAGE(M$348,M$351,M$353),""),"")</f>
        <v/>
      </c>
      <c r="AD423" s="248" t="str">
        <f aca="false">IFERROR(IF(N$348*N$351*N$353&gt;0,STDEV(N$348,N$351,N$353),"")/IF(N$348*N$351*N$353&gt;0,AVERAGE(N$348,N$351,N$353),""),"")</f>
        <v/>
      </c>
      <c r="AE423" s="249"/>
      <c r="AF423" s="250" t="s">
        <v>439</v>
      </c>
      <c r="AG423" s="251" t="str">
        <f aca="false">IFERROR(IF(C$348*C$351*C$353&gt;0,STDEV(C$348,C$351,C$353)," ")/IF(C$348*C$351*C$353&gt;0,SQRT(COUNT(C$348,C$351,C$353))," "),"")</f>
        <v/>
      </c>
      <c r="AH423" s="251" t="str">
        <f aca="false">IFERROR(IF(D$348*D$351*D$353&gt;0,STDEV(D$348,D$351,D$353)," ")/IF(D$348*D$351*D$353&gt;0,SQRT(COUNT(D$348,D$351,D$353))," "),"")</f>
        <v/>
      </c>
      <c r="AI423" s="251" t="str">
        <f aca="false">IFERROR(IF(E$348*E$351*E$353&gt;0,STDEV(E$348,E$351,E$353)," ")/IF(E$348*E$351*E$353&gt;0,SQRT(COUNT(E$348,E$351,E$353))," "),"")</f>
        <v/>
      </c>
      <c r="AJ423" s="251" t="str">
        <f aca="false">IFERROR(IF(F$348*F$351*F$353&gt;0,STDEV(F$348,F$351,F$353)," ")/IF(F$348*F$351*F$353&gt;0,SQRT(COUNT(F$348,F$351,F$353))," "),"")</f>
        <v/>
      </c>
      <c r="AK423" s="251" t="str">
        <f aca="false">IFERROR(IF(G$348*G$351*G$353&gt;0,STDEV(G$348,G$351,G$353)," ")/IF(G$348*G$351*G$353&gt;0,SQRT(COUNT(G$348,G$351,G$353))," "),"")</f>
        <v/>
      </c>
      <c r="AL423" s="251" t="str">
        <f aca="false">IFERROR(IF(H$348*H$351*H$353&gt;0,STDEV(H$348,H$351,H$353)," ")/IF(H$348*H$351*H$353&gt;0,SQRT(COUNT(H$348,H$351,H$353))," "),"")</f>
        <v/>
      </c>
      <c r="AM423" s="251" t="str">
        <f aca="false">IFERROR(IF(I$348*I$351*I$353&gt;0,STDEV(I$348,I$351,I$353)," ")/IF(I$348*I$351*I$353&gt;0,SQRT(COUNT(I$348,I$351,I$353))," "),"")</f>
        <v/>
      </c>
      <c r="AN423" s="251" t="str">
        <f aca="false">IFERROR(IF(J$348*J$351*J$353&gt;0,STDEV(J$348,J$351,J$353)," ")/IF(J$348*J$351*J$353&gt;0,SQRT(COUNT(J$348,J$351,J$353))," "),"")</f>
        <v/>
      </c>
      <c r="AO423" s="251" t="str">
        <f aca="false">IFERROR(IF(K$348*K$351*K$353&gt;0,STDEV(K$348,K$351,K$353)," ")/IF(K$348*K$351*K$353&gt;0,SQRT(COUNT(K$348,K$351,K$353))," "),"")</f>
        <v/>
      </c>
      <c r="AP423" s="251" t="str">
        <f aca="false">IFERROR(IF(L$348*L$351*L$353&gt;0,STDEV(L$348,L$351,L$353)," ")/IF(L$348*L$351*L$353&gt;0,SQRT(COUNT(L$348,L$351,L$353))," "),"")</f>
        <v/>
      </c>
      <c r="AQ423" s="251" t="str">
        <f aca="false">IFERROR(IF(M$348*M$351*M$353&gt;0,STDEV(M$348,M$351,M$353)," ")/IF(M$348*M$351*M$353&gt;0,SQRT(COUNT(M$348,M$351,M$353))," "),"")</f>
        <v/>
      </c>
      <c r="AR423" s="251" t="str">
        <f aca="false">IFERROR(IF(N$348*N$351*N$353&gt;0,STDEV(N$348,N$351,N$353)," ")/IF(N$348*N$351*N$353&gt;0,SQRT(COUNT(N$348,N$351,N$353))," "),"")</f>
        <v/>
      </c>
    </row>
    <row r="424" customFormat="false" ht="15.75" hidden="false" customHeight="false" outlineLevel="0" collapsed="false">
      <c r="A424" s="220" t="s">
        <v>440</v>
      </c>
      <c r="B424" s="221"/>
      <c r="C424" s="261" t="str">
        <f aca="false">IFERROR(IF(C$349*C$351*C$353&gt;0,AVERAGE(C$349,C$351,C$353),""),"")</f>
        <v/>
      </c>
      <c r="D424" s="261" t="str">
        <f aca="false">IFERROR(IF(D$349*D$351*D$353&gt;0,AVERAGE(D$349,D$351,D$353),""),"")</f>
        <v/>
      </c>
      <c r="E424" s="261" t="str">
        <f aca="false">IFERROR(IF(E$349*E$351*E$353&gt;0,AVERAGE(E$349,E$351,E$353),""),"")</f>
        <v/>
      </c>
      <c r="F424" s="261" t="str">
        <f aca="false">IFERROR(IF(F$349*F$351*F$353&gt;0,AVERAGE(F$349,F$351,F$353),""),"")</f>
        <v/>
      </c>
      <c r="G424" s="261" t="str">
        <f aca="false">IFERROR(IF(G$349*G$351*G$353&gt;0,AVERAGE(G$349,G$351,G$353),""),"")</f>
        <v/>
      </c>
      <c r="H424" s="261" t="str">
        <f aca="false">IFERROR(IF(H$349*H$351*H$353&gt;0,AVERAGE(H$349,H$351,H$353),""),"")</f>
        <v/>
      </c>
      <c r="I424" s="261" t="str">
        <f aca="false">IFERROR(IF(I$349*I$351*I$353&gt;0,AVERAGE(I$349,I$351,I$353),""),"")</f>
        <v/>
      </c>
      <c r="J424" s="261" t="str">
        <f aca="false">IFERROR(IF(J$349*J$351*J$353&gt;0,AVERAGE(J$349,J$351,J$353),""),"")</f>
        <v/>
      </c>
      <c r="K424" s="261" t="str">
        <f aca="false">IFERROR(IF(K$349*K$351*K$353&gt;0,AVERAGE(K$349,K$351,K$353),""),"")</f>
        <v/>
      </c>
      <c r="L424" s="261" t="str">
        <f aca="false">IFERROR(IF(L$349*L$351*L$353&gt;0,AVERAGE(L$349,L$351,L$353),""),"")</f>
        <v/>
      </c>
      <c r="M424" s="261" t="str">
        <f aca="false">IFERROR(IF(M$349*M$351*M$353&gt;0,AVERAGE(M$349,M$351,M$353),""),"")</f>
        <v/>
      </c>
      <c r="N424" s="261" t="str">
        <f aca="false">IFERROR(IF(N$349*N$351*N$353&gt;0,AVERAGE(N$349,N$351,N$353),""),"")</f>
        <v/>
      </c>
      <c r="O424" s="240"/>
      <c r="P424" s="224"/>
      <c r="Q424" s="252"/>
      <c r="R424" s="226" t="s">
        <v>441</v>
      </c>
      <c r="S424" s="227" t="str">
        <f aca="false">IFERROR(IF(C$349*C$351*C$353&gt;0,STDEV(C$349,C$351,C$353),"")/IF(C$349*C$351*C$353&gt;0,AVERAGE(C$349,C$351,C$353),""),"")</f>
        <v/>
      </c>
      <c r="T424" s="227" t="str">
        <f aca="false">IFERROR(IF(D$349*D$351*D$353&gt;0,STDEV(D$349,D$351,D$353),"")/IF(D$349*D$351*D$353&gt;0,AVERAGE(D$349,D$351,D$353),""),"")</f>
        <v/>
      </c>
      <c r="U424" s="227" t="str">
        <f aca="false">IFERROR(IF(E$349*E$351*E$353&gt;0,STDEV(E$349,E$351,E$353),"")/IF(E$349*E$351*E$353&gt;0,AVERAGE(E$349,E$351,E$353),""),"")</f>
        <v/>
      </c>
      <c r="V424" s="227" t="str">
        <f aca="false">IFERROR(IF(F$349*F$351*F$353&gt;0,STDEV(F$349,F$351,F$353),"")/IF(F$349*F$351*F$353&gt;0,AVERAGE(F$349,F$351,F$353),""),"")</f>
        <v/>
      </c>
      <c r="W424" s="227" t="str">
        <f aca="false">IFERROR(IF(G$349*G$351*G$353&gt;0,STDEV(G$349,G$351,G$353),"")/IF(G$349*G$351*G$353&gt;0,AVERAGE(G$349,G$351,G$353),""),"")</f>
        <v/>
      </c>
      <c r="X424" s="227" t="str">
        <f aca="false">IFERROR(IF(H$349*H$351*H$353&gt;0,STDEV(H$349,H$351,H$353),"")/IF(H$349*H$351*H$353&gt;0,AVERAGE(H$349,H$351,H$353),""),"")</f>
        <v/>
      </c>
      <c r="Y424" s="227" t="str">
        <f aca="false">IFERROR(IF(I$349*I$351*I$353&gt;0,STDEV(I$349,I$351,I$353),"")/IF(I$349*I$351*I$353&gt;0,AVERAGE(I$349,I$351,I$353),""),"")</f>
        <v/>
      </c>
      <c r="Z424" s="227" t="str">
        <f aca="false">IFERROR(IF(J$349*J$351*J$353&gt;0,STDEV(J$349,J$351,J$353),"")/IF(J$349*J$351*J$353&gt;0,AVERAGE(J$349,J$351,J$353),""),"")</f>
        <v/>
      </c>
      <c r="AA424" s="227" t="str">
        <f aca="false">IFERROR(IF(K$349*K$351*K$353&gt;0,STDEV(K$349,K$351,K$353),"")/IF(K$349*K$351*K$353&gt;0,AVERAGE(K$349,K$351,K$353),""),"")</f>
        <v/>
      </c>
      <c r="AB424" s="227" t="str">
        <f aca="false">IFERROR(IF(L$349*L$351*L$353&gt;0,STDEV(L$349,L$351,L$353),"")/IF(L$349*L$351*L$353&gt;0,AVERAGE(L$349,L$351,L$353),""),"")</f>
        <v/>
      </c>
      <c r="AC424" s="227" t="str">
        <f aca="false">IFERROR(IF(M$349*M$351*M$353&gt;0,STDEV(M$349,M$351,M$353),"")/IF(M$349*M$351*M$353&gt;0,AVERAGE(M$349,M$351,M$353),""),"")</f>
        <v/>
      </c>
      <c r="AD424" s="227" t="str">
        <f aca="false">IFERROR(IF(N$349*N$351*N$353&gt;0,STDEV(N$349,N$351,N$353),"")/IF(N$349*N$351*N$353&gt;0,AVERAGE(N$349,N$351,N$353),""),"")</f>
        <v/>
      </c>
      <c r="AE424" s="233"/>
      <c r="AF424" s="229" t="s">
        <v>442</v>
      </c>
      <c r="AG424" s="230" t="str">
        <f aca="false">IFERROR(IF(C$349*C$351*C$353&gt;0,STDEV(C$349,C$351,C$353)," ")/IF(C$349*C$351*C$353&gt;0,SQRT(COUNT(C$349,C$351,C$353))," "),"")</f>
        <v/>
      </c>
      <c r="AH424" s="230" t="str">
        <f aca="false">IFERROR(IF(D$349*D$351*D$353&gt;0,STDEV(D$349,D$351,D$353)," ")/IF(D$349*D$351*D$353&gt;0,SQRT(COUNT(D$349,D$351,D$353))," "),"")</f>
        <v/>
      </c>
      <c r="AI424" s="230" t="str">
        <f aca="false">IFERROR(IF(E$349*E$351*E$353&gt;0,STDEV(E$349,E$351,E$353)," ")/IF(E$349*E$351*E$353&gt;0,SQRT(COUNT(E$349,E$351,E$353))," "),"")</f>
        <v/>
      </c>
      <c r="AJ424" s="230" t="str">
        <f aca="false">IFERROR(IF(F$349*F$351*F$353&gt;0,STDEV(F$349,F$351,F$353)," ")/IF(F$349*F$351*F$353&gt;0,SQRT(COUNT(F$349,F$351,F$353))," "),"")</f>
        <v/>
      </c>
      <c r="AK424" s="230" t="str">
        <f aca="false">IFERROR(IF(G$349*G$351*G$353&gt;0,STDEV(G$349,G$351,G$353)," ")/IF(G$349*G$351*G$353&gt;0,SQRT(COUNT(G$349,G$351,G$353))," "),"")</f>
        <v/>
      </c>
      <c r="AL424" s="230" t="str">
        <f aca="false">IFERROR(IF(H$349*H$351*H$353&gt;0,STDEV(H$349,H$351,H$353)," ")/IF(H$349*H$351*H$353&gt;0,SQRT(COUNT(H$349,H$351,H$353))," "),"")</f>
        <v/>
      </c>
      <c r="AM424" s="230" t="str">
        <f aca="false">IFERROR(IF(I$349*I$351*I$353&gt;0,STDEV(I$349,I$351,I$353)," ")/IF(I$349*I$351*I$353&gt;0,SQRT(COUNT(I$349,I$351,I$353))," "),"")</f>
        <v/>
      </c>
      <c r="AN424" s="230" t="str">
        <f aca="false">IFERROR(IF(J$349*J$351*J$353&gt;0,STDEV(J$349,J$351,J$353)," ")/IF(J$349*J$351*J$353&gt;0,SQRT(COUNT(J$349,J$351,J$353))," "),"")</f>
        <v/>
      </c>
      <c r="AO424" s="230" t="str">
        <f aca="false">IFERROR(IF(K$349*K$351*K$353&gt;0,STDEV(K$349,K$351,K$353)," ")/IF(K$349*K$351*K$353&gt;0,SQRT(COUNT(K$349,K$351,K$353))," "),"")</f>
        <v/>
      </c>
      <c r="AP424" s="230" t="str">
        <f aca="false">IFERROR(IF(L$349*L$351*L$353&gt;0,STDEV(L$349,L$351,L$353)," ")/IF(L$349*L$351*L$353&gt;0,SQRT(COUNT(L$349,L$351,L$353))," "),"")</f>
        <v/>
      </c>
      <c r="AQ424" s="230" t="str">
        <f aca="false">IFERROR(IF(M$349*M$351*M$353&gt;0,STDEV(M$349,M$351,M$353)," ")/IF(M$349*M$351*M$353&gt;0,SQRT(COUNT(M$349,M$351,M$353))," "),"")</f>
        <v/>
      </c>
      <c r="AR424" s="230" t="str">
        <f aca="false">IFERROR(IF(N$349*N$351*N$353&gt;0,STDEV(N$349,N$351,N$353)," ")/IF(N$349*N$351*N$353&gt;0,SQRT(COUNT(N$349,N$351,N$353))," "),"")</f>
        <v/>
      </c>
    </row>
    <row r="425" customFormat="false" ht="15.75" hidden="false" customHeight="false" outlineLevel="0" collapsed="false">
      <c r="A425" s="220" t="s">
        <v>443</v>
      </c>
      <c r="B425" s="221"/>
      <c r="C425" s="261" t="str">
        <f aca="false">IFERROR(IF(C$347*C$348*C$349*C350&gt;0,AVERAGE(C$347:C$349, C350),""),"")</f>
        <v/>
      </c>
      <c r="D425" s="261" t="str">
        <f aca="false">IFERROR(IF(D$347*D$348*D$349*D350&gt;0,AVERAGE(D$347:D$349, D350),""),"")</f>
        <v/>
      </c>
      <c r="E425" s="261" t="str">
        <f aca="false">IFERROR(IF(E$347*E$348*E$349*E350&gt;0,AVERAGE(E$347:E$349, E350),""),"")</f>
        <v/>
      </c>
      <c r="F425" s="261" t="str">
        <f aca="false">IFERROR(IF(F$347*F$348*F$349*F350&gt;0,AVERAGE(F$347:F$349, F350),""),"")</f>
        <v/>
      </c>
      <c r="G425" s="261" t="str">
        <f aca="false">IFERROR(IF(G$347*G$348*G$349*G350&gt;0,AVERAGE(G$347:G$349, G350),""),"")</f>
        <v/>
      </c>
      <c r="H425" s="261" t="str">
        <f aca="false">IFERROR(IF(H$347*H$348*H$349*H350&gt;0,AVERAGE(H$347:H$349, H350),""),"")</f>
        <v/>
      </c>
      <c r="I425" s="261" t="str">
        <f aca="false">IFERROR(IF(I$347*I$348*I$349*I350&gt;0,AVERAGE(I$347:I$349, I350),""),"")</f>
        <v/>
      </c>
      <c r="J425" s="261" t="str">
        <f aca="false">IFERROR(IF(J$347*J$348*J$349*J350&gt;0,AVERAGE(J$347:J$349, J350),""),"")</f>
        <v/>
      </c>
      <c r="K425" s="261" t="str">
        <f aca="false">IFERROR(IF(K$347*K$348*K$349*K350&gt;0,AVERAGE(K$347:K$349, K350),""),"")</f>
        <v/>
      </c>
      <c r="L425" s="261" t="str">
        <f aca="false">IFERROR(IF(L$347*L$348*L$349*L350&gt;0,AVERAGE(L$347:L$349, L350),""),"")</f>
        <v/>
      </c>
      <c r="M425" s="261" t="str">
        <f aca="false">IFERROR(IF(M$347*M$348*M$349*M350&gt;0,AVERAGE(M$347:M$349, M350),""),"")</f>
        <v/>
      </c>
      <c r="N425" s="261" t="str">
        <f aca="false">IFERROR(IF(N$347*N$348*N$349*N350&gt;0,AVERAGE(N$347:N$349, N350),""),"")</f>
        <v/>
      </c>
      <c r="O425" s="224" t="n">
        <v>4</v>
      </c>
      <c r="P425" s="224" t="n">
        <f aca="false">COMBIN(7,4)</f>
        <v>35</v>
      </c>
      <c r="Q425" s="232" t="n">
        <f aca="false">ROW(N459)-ROW(N425)+1</f>
        <v>35</v>
      </c>
      <c r="R425" s="226" t="s">
        <v>444</v>
      </c>
      <c r="S425" s="227" t="str">
        <f aca="false">IFERROR(IF(C$347*C$348*C$349*C350&gt;0,STDEV(C$347:C$349, C350),"")/IF(C$347*C$348*C$349*C350&gt;0,AVERAGE(C$347:C$349, C350),""),"")</f>
        <v/>
      </c>
      <c r="T425" s="227" t="str">
        <f aca="false">IFERROR(IF(D$347*D$348*D$349*D350&gt;0,STDEV(D$347:D$349, D350),"")/IF(D$347*D$348*D$349*D350&gt;0,AVERAGE(D$347:D$349, D350),""),"")</f>
        <v/>
      </c>
      <c r="U425" s="227" t="str">
        <f aca="false">IFERROR(IF(E$347*E$348*E$349*E350&gt;0,STDEV(E$347:E$349, E350),"")/IF(E$347*E$348*E$349*E350&gt;0,AVERAGE(E$347:E$349, E350),""),"")</f>
        <v/>
      </c>
      <c r="V425" s="227" t="str">
        <f aca="false">IFERROR(IF(F$347*F$348*F$349*F350&gt;0,STDEV(F$347:F$349, F350),"")/IF(F$347*F$348*F$349*F350&gt;0,AVERAGE(F$347:F$349, F350),""),"")</f>
        <v/>
      </c>
      <c r="W425" s="227" t="str">
        <f aca="false">IFERROR(IF(G$347*G$348*G$349*G350&gt;0,STDEV(G$347:G$349, G350),"")/IF(G$347*G$348*G$349*G350&gt;0,AVERAGE(G$347:G$349, G350),""),"")</f>
        <v/>
      </c>
      <c r="X425" s="227" t="str">
        <f aca="false">IFERROR(IF(H$347*H$348*H$349*H350&gt;0,STDEV(H$347:H$349, H350),"")/IF(H$347*H$348*H$349*H350&gt;0,AVERAGE(H$347:H$349, H350),""),"")</f>
        <v/>
      </c>
      <c r="Y425" s="227" t="str">
        <f aca="false">IFERROR(IF(I$347*I$348*I$349*I350&gt;0,STDEV(I$347:I$349, I350),"")/IF(I$347*I$348*I$349*I350&gt;0,AVERAGE(I$347:I$349, I350),""),"")</f>
        <v/>
      </c>
      <c r="Z425" s="227" t="str">
        <f aca="false">IFERROR(IF(J$347*J$348*J$349*J350&gt;0,STDEV(J$347:J$349, J350),"")/IF(J$347*J$348*J$349*J350&gt;0,AVERAGE(J$347:J$349, J350),""),"")</f>
        <v/>
      </c>
      <c r="AA425" s="227" t="str">
        <f aca="false">IFERROR(IF(K$347*K$348*K$349*K350&gt;0,STDEV(K$347:K$349, K350),"")/IF(K$347*K$348*K$349*K350&gt;0,AVERAGE(K$347:K$349, K350),""),"")</f>
        <v/>
      </c>
      <c r="AB425" s="227" t="str">
        <f aca="false">IFERROR(IF(L$347*L$348*L$349*L350&gt;0,STDEV(L$347:L$349, L350),"")/IF(L$347*L$348*L$349*L350&gt;0,AVERAGE(L$347:L$349, L350),""),"")</f>
        <v/>
      </c>
      <c r="AC425" s="227" t="str">
        <f aca="false">IFERROR(IF(M$347*M$348*M$349*M350&gt;0,STDEV(M$347:M$349, M350),"")/IF(M$347*M$348*M$349*M350&gt;0,AVERAGE(M$347:M$349, M350),""),"")</f>
        <v/>
      </c>
      <c r="AD425" s="227" t="str">
        <f aca="false">IFERROR(IF(N$347*N$348*N$349*N350&gt;0,STDEV(N$347:N$349, N350),"")/IF(N$347*N$348*N$349*N350&gt;0,AVERAGE(N$347:N$349, N350),""),"")</f>
        <v/>
      </c>
      <c r="AE425" s="233"/>
      <c r="AF425" s="229" t="s">
        <v>445</v>
      </c>
      <c r="AG425" s="230" t="str">
        <f aca="false">IFERROR(IF(C$347*C$348*C$349*C350&gt;0,STDEV(C$347:C$349, C350)," ")/IF(C$347*C$348*C$349*C350&gt;0,SQRT(COUNT(C$347:C$349, C350))," "),"")</f>
        <v/>
      </c>
      <c r="AH425" s="230" t="str">
        <f aca="false">IFERROR(IF(D$347*D$348*D$349*D350&gt;0,STDEV(D$347:D$349, D350)," ")/IF(D$347*D$348*D$349*D350&gt;0,SQRT(COUNT(D$347:D$349, D350))," "),"")</f>
        <v/>
      </c>
      <c r="AI425" s="230" t="str">
        <f aca="false">IFERROR(IF(E$347*E$348*E$349*E350&gt;0,STDEV(E$347:E$349, E350)," ")/IF(E$347*E$348*E$349*E350&gt;0,SQRT(COUNT(E$347:E$349, E350))," "),"")</f>
        <v/>
      </c>
      <c r="AJ425" s="230" t="str">
        <f aca="false">IFERROR(IF(F$347*F$348*F$349*F350&gt;0,STDEV(F$347:F$349, F350)," ")/IF(F$347*F$348*F$349*F350&gt;0,SQRT(COUNT(F$347:F$349, F350))," "),"")</f>
        <v/>
      </c>
      <c r="AK425" s="230" t="str">
        <f aca="false">IFERROR(IF(G$347*G$348*G$349*G350&gt;0,STDEV(G$347:G$349, G350)," ")/IF(G$347*G$348*G$349*G350&gt;0,SQRT(COUNT(G$347:G$349, G350))," "),"")</f>
        <v/>
      </c>
      <c r="AL425" s="230" t="str">
        <f aca="false">IFERROR(IF(H$347*H$348*H$349*H350&gt;0,STDEV(H$347:H$349, H350)," ")/IF(H$347*H$348*H$349*H350&gt;0,SQRT(COUNT(H$347:H$349, H350))," "),"")</f>
        <v/>
      </c>
      <c r="AM425" s="230" t="str">
        <f aca="false">IFERROR(IF(I$347*I$348*I$349*I350&gt;0,STDEV(I$347:I$349, I350)," ")/IF(I$347*I$348*I$349*I350&gt;0,SQRT(COUNT(I$347:I$349, I350))," "),"")</f>
        <v/>
      </c>
      <c r="AN425" s="230" t="str">
        <f aca="false">IFERROR(IF(J$347*J$348*J$349*J350&gt;0,STDEV(J$347:J$349, J350)," ")/IF(J$347*J$348*J$349*J350&gt;0,SQRT(COUNT(J$347:J$349, J350))," "),"")</f>
        <v/>
      </c>
      <c r="AO425" s="230" t="str">
        <f aca="false">IFERROR(IF(K$347*K$348*K$349*K350&gt;0,STDEV(K$347:K$349, K350)," ")/IF(K$347*K$348*K$349*K350&gt;0,SQRT(COUNT(K$347:K$349, K350))," "),"")</f>
        <v/>
      </c>
      <c r="AP425" s="230" t="str">
        <f aca="false">IFERROR(IF(L$347*L$348*L$349*L350&gt;0,STDEV(L$347:L$349, L350)," ")/IF(L$347*L$348*L$349*L350&gt;0,SQRT(COUNT(L$347:L$349, L350))," "),"")</f>
        <v/>
      </c>
      <c r="AQ425" s="230" t="str">
        <f aca="false">IFERROR(IF(M$347*M$348*M$349*M350&gt;0,STDEV(M$347:M$349, M350)," ")/IF(M$347*M$348*M$349*M350&gt;0,SQRT(COUNT(M$347:M$349, M350))," "),"")</f>
        <v/>
      </c>
      <c r="AR425" s="230" t="str">
        <f aca="false">IFERROR(IF(N$347*N$348*N$349*N350&gt;0,STDEV(N$347:N$349, N350)," ")/IF(N$347*N$348*N$349*N350&gt;0,SQRT(COUNT(N$347:N$349, N350))," "),"")</f>
        <v/>
      </c>
    </row>
    <row r="426" customFormat="false" ht="15.75" hidden="false" customHeight="false" outlineLevel="0" collapsed="false">
      <c r="A426" s="220" t="s">
        <v>446</v>
      </c>
      <c r="B426" s="221"/>
      <c r="C426" s="261" t="str">
        <f aca="false">IFERROR(IF(C$347*C$348*C$349*C351&gt;0,AVERAGE(C$347:C$349, C351),""),"")</f>
        <v/>
      </c>
      <c r="D426" s="261" t="str">
        <f aca="false">IFERROR(IF(D$347*D$348*D$349*D351&gt;0,AVERAGE(D$347:D$349, D351),""),"")</f>
        <v/>
      </c>
      <c r="E426" s="261" t="str">
        <f aca="false">IFERROR(IF(E$347*E$348*E$349*E351&gt;0,AVERAGE(E$347:E$349, E351),""),"")</f>
        <v/>
      </c>
      <c r="F426" s="261" t="str">
        <f aca="false">IFERROR(IF(F$347*F$348*F$349*F351&gt;0,AVERAGE(F$347:F$349, F351),""),"")</f>
        <v/>
      </c>
      <c r="G426" s="261" t="str">
        <f aca="false">IFERROR(IF(G$347*G$348*G$349*G351&gt;0,AVERAGE(G$347:G$349, G351),""),"")</f>
        <v/>
      </c>
      <c r="H426" s="261" t="str">
        <f aca="false">IFERROR(IF(H$347*H$348*H$349*H351&gt;0,AVERAGE(H$347:H$349, H351),""),"")</f>
        <v/>
      </c>
      <c r="I426" s="261" t="str">
        <f aca="false">IFERROR(IF(I$347*I$348*I$349*I351&gt;0,AVERAGE(I$347:I$349, I351),""),"")</f>
        <v/>
      </c>
      <c r="J426" s="261" t="str">
        <f aca="false">IFERROR(IF(J$347*J$348*J$349*J351&gt;0,AVERAGE(J$347:J$349, J351),""),"")</f>
        <v/>
      </c>
      <c r="K426" s="261" t="str">
        <f aca="false">IFERROR(IF(K$347*K$348*K$349*K351&gt;0,AVERAGE(K$347:K$349, K351),""),"")</f>
        <v/>
      </c>
      <c r="L426" s="261" t="str">
        <f aca="false">IFERROR(IF(L$347*L$348*L$349*L351&gt;0,AVERAGE(L$347:L$349, L351),""),"")</f>
        <v/>
      </c>
      <c r="M426" s="261" t="str">
        <f aca="false">IFERROR(IF(M$347*M$348*M$349*M351&gt;0,AVERAGE(M$347:M$349, M351),""),"")</f>
        <v/>
      </c>
      <c r="N426" s="261" t="str">
        <f aca="false">IFERROR(IF(N$347*N$348*N$349*N351&gt;0,AVERAGE(N$347:N$349, N351),""),"")</f>
        <v/>
      </c>
      <c r="O426" s="224"/>
      <c r="P426" s="224"/>
      <c r="Q426" s="232"/>
      <c r="R426" s="226" t="s">
        <v>447</v>
      </c>
      <c r="S426" s="227" t="str">
        <f aca="false">IFERROR(IF(C$347*C$348*C$349*C351&gt;0,STDEV(C$347:C$349, C351),"")/IF(C$347*C$348*C$349*C351&gt;0,AVERAGE(C$347:C$349, C351),""),"")</f>
        <v/>
      </c>
      <c r="T426" s="227" t="str">
        <f aca="false">IFERROR(IF(D$347*D$348*D$349*D351&gt;0,STDEV(D$347:D$349, D351),"")/IF(D$347*D$348*D$349*D351&gt;0,AVERAGE(D$347:D$349, D351),""),"")</f>
        <v/>
      </c>
      <c r="U426" s="227" t="str">
        <f aca="false">IFERROR(IF(E$347*E$348*E$349*E351&gt;0,STDEV(E$347:E$349, E351),"")/IF(E$347*E$348*E$349*E351&gt;0,AVERAGE(E$347:E$349, E351),""),"")</f>
        <v/>
      </c>
      <c r="V426" s="227" t="str">
        <f aca="false">IFERROR(IF(F$347*F$348*F$349*F351&gt;0,STDEV(F$347:F$349, F351),"")/IF(F$347*F$348*F$349*F351&gt;0,AVERAGE(F$347:F$349, F351),""),"")</f>
        <v/>
      </c>
      <c r="W426" s="227" t="str">
        <f aca="false">IFERROR(IF(G$347*G$348*G$349*G351&gt;0,STDEV(G$347:G$349, G351),"")/IF(G$347*G$348*G$349*G351&gt;0,AVERAGE(G$347:G$349, G351),""),"")</f>
        <v/>
      </c>
      <c r="X426" s="227" t="str">
        <f aca="false">IFERROR(IF(H$347*H$348*H$349*H351&gt;0,STDEV(H$347:H$349, H351),"")/IF(H$347*H$348*H$349*H351&gt;0,AVERAGE(H$347:H$349, H351),""),"")</f>
        <v/>
      </c>
      <c r="Y426" s="227" t="str">
        <f aca="false">IFERROR(IF(I$347*I$348*I$349*I351&gt;0,STDEV(I$347:I$349, I351),"")/IF(I$347*I$348*I$349*I351&gt;0,AVERAGE(I$347:I$349, I351),""),"")</f>
        <v/>
      </c>
      <c r="Z426" s="227" t="str">
        <f aca="false">IFERROR(IF(J$347*J$348*J$349*J351&gt;0,STDEV(J$347:J$349, J351),"")/IF(J$347*J$348*J$349*J351&gt;0,AVERAGE(J$347:J$349, J351),""),"")</f>
        <v/>
      </c>
      <c r="AA426" s="227" t="str">
        <f aca="false">IFERROR(IF(K$347*K$348*K$349*K351&gt;0,STDEV(K$347:K$349, K351),"")/IF(K$347*K$348*K$349*K351&gt;0,AVERAGE(K$347:K$349, K351),""),"")</f>
        <v/>
      </c>
      <c r="AB426" s="227" t="str">
        <f aca="false">IFERROR(IF(L$347*L$348*L$349*L351&gt;0,STDEV(L$347:L$349, L351),"")/IF(L$347*L$348*L$349*L351&gt;0,AVERAGE(L$347:L$349, L351),""),"")</f>
        <v/>
      </c>
      <c r="AC426" s="227" t="str">
        <f aca="false">IFERROR(IF(M$347*M$348*M$349*M351&gt;0,STDEV(M$347:M$349, M351),"")/IF(M$347*M$348*M$349*M351&gt;0,AVERAGE(M$347:M$349, M351),""),"")</f>
        <v/>
      </c>
      <c r="AD426" s="227" t="str">
        <f aca="false">IFERROR(IF(N$347*N$348*N$349*N351&gt;0,STDEV(N$347:N$349, N351),"")/IF(N$347*N$348*N$349*N351&gt;0,AVERAGE(N$347:N$349, N351),""),"")</f>
        <v/>
      </c>
      <c r="AE426" s="233"/>
      <c r="AF426" s="229" t="s">
        <v>448</v>
      </c>
      <c r="AG426" s="230" t="str">
        <f aca="false">IFERROR(IF(C$347*C$348*C$349*C351&gt;0,STDEV(C$347:C$349, C351)," ")/IF(C$347*C$348*C$349*C351&gt;0,SQRT(COUNT(C$347:C$349, C351))," "),"")</f>
        <v/>
      </c>
      <c r="AH426" s="230" t="str">
        <f aca="false">IFERROR(IF(D$347*D$348*D$349*D351&gt;0,STDEV(D$347:D$349, D351)," ")/IF(D$347*D$348*D$349*D351&gt;0,SQRT(COUNT(D$347:D$349, D351))," "),"")</f>
        <v/>
      </c>
      <c r="AI426" s="230" t="str">
        <f aca="false">IFERROR(IF(E$347*E$348*E$349*E351&gt;0,STDEV(E$347:E$349, E351)," ")/IF(E$347*E$348*E$349*E351&gt;0,SQRT(COUNT(E$347:E$349, E351))," "),"")</f>
        <v/>
      </c>
      <c r="AJ426" s="230" t="str">
        <f aca="false">IFERROR(IF(F$347*F$348*F$349*F351&gt;0,STDEV(F$347:F$349, F351)," ")/IF(F$347*F$348*F$349*F351&gt;0,SQRT(COUNT(F$347:F$349, F351))," "),"")</f>
        <v/>
      </c>
      <c r="AK426" s="230" t="str">
        <f aca="false">IFERROR(IF(G$347*G$348*G$349*G351&gt;0,STDEV(G$347:G$349, G351)," ")/IF(G$347*G$348*G$349*G351&gt;0,SQRT(COUNT(G$347:G$349, G351))," "),"")</f>
        <v/>
      </c>
      <c r="AL426" s="230" t="str">
        <f aca="false">IFERROR(IF(H$347*H$348*H$349*H351&gt;0,STDEV(H$347:H$349, H351)," ")/IF(H$347*H$348*H$349*H351&gt;0,SQRT(COUNT(H$347:H$349, H351))," "),"")</f>
        <v/>
      </c>
      <c r="AM426" s="230" t="str">
        <f aca="false">IFERROR(IF(I$347*I$348*I$349*I351&gt;0,STDEV(I$347:I$349, I351)," ")/IF(I$347*I$348*I$349*I351&gt;0,SQRT(COUNT(I$347:I$349, I351))," "),"")</f>
        <v/>
      </c>
      <c r="AN426" s="230" t="str">
        <f aca="false">IFERROR(IF(J$347*J$348*J$349*J351&gt;0,STDEV(J$347:J$349, J351)," ")/IF(J$347*J$348*J$349*J351&gt;0,SQRT(COUNT(J$347:J$349, J351))," "),"")</f>
        <v/>
      </c>
      <c r="AO426" s="230" t="str">
        <f aca="false">IFERROR(IF(K$347*K$348*K$349*K351&gt;0,STDEV(K$347:K$349, K351)," ")/IF(K$347*K$348*K$349*K351&gt;0,SQRT(COUNT(K$347:K$349, K351))," "),"")</f>
        <v/>
      </c>
      <c r="AP426" s="230" t="str">
        <f aca="false">IFERROR(IF(L$347*L$348*L$349*L351&gt;0,STDEV(L$347:L$349, L351)," ")/IF(L$347*L$348*L$349*L351&gt;0,SQRT(COUNT(L$347:L$349, L351))," "),"")</f>
        <v/>
      </c>
      <c r="AQ426" s="230" t="str">
        <f aca="false">IFERROR(IF(M$347*M$348*M$349*M351&gt;0,STDEV(M$347:M$349, M351)," ")/IF(M$347*M$348*M$349*M351&gt;0,SQRT(COUNT(M$347:M$349, M351))," "),"")</f>
        <v/>
      </c>
      <c r="AR426" s="230" t="str">
        <f aca="false">IFERROR(IF(N$347*N$348*N$349*N351&gt;0,STDEV(N$347:N$349, N351)," ")/IF(N$347*N$348*N$349*N351&gt;0,SQRT(COUNT(N$347:N$349, N351))," "),"")</f>
        <v/>
      </c>
    </row>
    <row r="427" customFormat="false" ht="15.75" hidden="false" customHeight="false" outlineLevel="0" collapsed="false">
      <c r="A427" s="220" t="s">
        <v>449</v>
      </c>
      <c r="B427" s="221"/>
      <c r="C427" s="261" t="str">
        <f aca="false">IFERROR(IF(C$347*C$348*C$349*C352&gt;0,AVERAGE(C$347:C$349, C352),""),"")</f>
        <v/>
      </c>
      <c r="D427" s="261" t="str">
        <f aca="false">IFERROR(IF(D$347*D$348*D$349*D352&gt;0,AVERAGE(D$347:D$349, D352),""),"")</f>
        <v/>
      </c>
      <c r="E427" s="261" t="str">
        <f aca="false">IFERROR(IF(E$347*E$348*E$349*E352&gt;0,AVERAGE(E$347:E$349, E352),""),"")</f>
        <v/>
      </c>
      <c r="F427" s="261" t="str">
        <f aca="false">IFERROR(IF(F$347*F$348*F$349*F352&gt;0,AVERAGE(F$347:F$349, F352),""),"")</f>
        <v/>
      </c>
      <c r="G427" s="261" t="str">
        <f aca="false">IFERROR(IF(G$347*G$348*G$349*G352&gt;0,AVERAGE(G$347:G$349, G352),""),"")</f>
        <v/>
      </c>
      <c r="H427" s="261" t="str">
        <f aca="false">IFERROR(IF(H$347*H$348*H$349*H352&gt;0,AVERAGE(H$347:H$349, H352),""),"")</f>
        <v/>
      </c>
      <c r="I427" s="261" t="str">
        <f aca="false">IFERROR(IF(I$347*I$348*I$349*I352&gt;0,AVERAGE(I$347:I$349, I352),""),"")</f>
        <v/>
      </c>
      <c r="J427" s="261" t="str">
        <f aca="false">IFERROR(IF(J$347*J$348*J$349*J352&gt;0,AVERAGE(J$347:J$349, J352),""),"")</f>
        <v/>
      </c>
      <c r="K427" s="261" t="str">
        <f aca="false">IFERROR(IF(K$347*K$348*K$349*K352&gt;0,AVERAGE(K$347:K$349, K352),""),"")</f>
        <v/>
      </c>
      <c r="L427" s="261" t="str">
        <f aca="false">IFERROR(IF(L$347*L$348*L$349*L352&gt;0,AVERAGE(L$347:L$349, L352),""),"")</f>
        <v/>
      </c>
      <c r="M427" s="261" t="str">
        <f aca="false">IFERROR(IF(M$347*M$348*M$349*M352&gt;0,AVERAGE(M$347:M$349, M352),""),"")</f>
        <v/>
      </c>
      <c r="N427" s="261" t="str">
        <f aca="false">IFERROR(IF(N$347*N$348*N$349*N352&gt;0,AVERAGE(N$347:N$349, N352),""),"")</f>
        <v/>
      </c>
      <c r="O427" s="224"/>
      <c r="P427" s="224"/>
      <c r="Q427" s="232"/>
      <c r="R427" s="226" t="s">
        <v>450</v>
      </c>
      <c r="S427" s="227" t="str">
        <f aca="false">IFERROR(IF(C$347*C$348*C$349*C352&gt;0,STDEV(C$347:C$349, C352),"")/IF(C$347*C$348*C$349*C352&gt;0,AVERAGE(C$347:C$349, C352),""),"")</f>
        <v/>
      </c>
      <c r="T427" s="227" t="str">
        <f aca="false">IFERROR(IF(D$347*D$348*D$349*D352&gt;0,STDEV(D$347:D$349, D352),"")/IF(D$347*D$348*D$349*D352&gt;0,AVERAGE(D$347:D$349, D352),""),"")</f>
        <v/>
      </c>
      <c r="U427" s="227" t="str">
        <f aca="false">IFERROR(IF(E$347*E$348*E$349*E352&gt;0,STDEV(E$347:E$349, E352),"")/IF(E$347*E$348*E$349*E352&gt;0,AVERAGE(E$347:E$349, E352),""),"")</f>
        <v/>
      </c>
      <c r="V427" s="227" t="str">
        <f aca="false">IFERROR(IF(F$347*F$348*F$349*F352&gt;0,STDEV(F$347:F$349, F352),"")/IF(F$347*F$348*F$349*F352&gt;0,AVERAGE(F$347:F$349, F352),""),"")</f>
        <v/>
      </c>
      <c r="W427" s="227" t="str">
        <f aca="false">IFERROR(IF(G$347*G$348*G$349*G352&gt;0,STDEV(G$347:G$349, G352),"")/IF(G$347*G$348*G$349*G352&gt;0,AVERAGE(G$347:G$349, G352),""),"")</f>
        <v/>
      </c>
      <c r="X427" s="227" t="str">
        <f aca="false">IFERROR(IF(H$347*H$348*H$349*H352&gt;0,STDEV(H$347:H$349, H352),"")/IF(H$347*H$348*H$349*H352&gt;0,AVERAGE(H$347:H$349, H352),""),"")</f>
        <v/>
      </c>
      <c r="Y427" s="227" t="str">
        <f aca="false">IFERROR(IF(I$347*I$348*I$349*I352&gt;0,STDEV(I$347:I$349, I352),"")/IF(I$347*I$348*I$349*I352&gt;0,AVERAGE(I$347:I$349, I352),""),"")</f>
        <v/>
      </c>
      <c r="Z427" s="227" t="str">
        <f aca="false">IFERROR(IF(J$347*J$348*J$349*J352&gt;0,STDEV(J$347:J$349, J352),"")/IF(J$347*J$348*J$349*J352&gt;0,AVERAGE(J$347:J$349, J352),""),"")</f>
        <v/>
      </c>
      <c r="AA427" s="227" t="str">
        <f aca="false">IFERROR(IF(K$347*K$348*K$349*K352&gt;0,STDEV(K$347:K$349, K352),"")/IF(K$347*K$348*K$349*K352&gt;0,AVERAGE(K$347:K$349, K352),""),"")</f>
        <v/>
      </c>
      <c r="AB427" s="227" t="str">
        <f aca="false">IFERROR(IF(L$347*L$348*L$349*L352&gt;0,STDEV(L$347:L$349, L352),"")/IF(L$347*L$348*L$349*L352&gt;0,AVERAGE(L$347:L$349, L352),""),"")</f>
        <v/>
      </c>
      <c r="AC427" s="227" t="str">
        <f aca="false">IFERROR(IF(M$347*M$348*M$349*M352&gt;0,STDEV(M$347:M$349, M352),"")/IF(M$347*M$348*M$349*M352&gt;0,AVERAGE(M$347:M$349, M352),""),"")</f>
        <v/>
      </c>
      <c r="AD427" s="227" t="str">
        <f aca="false">IFERROR(IF(N$347*N$348*N$349*N352&gt;0,STDEV(N$347:N$349, N352),"")/IF(N$347*N$348*N$349*N352&gt;0,AVERAGE(N$347:N$349, N352),""),"")</f>
        <v/>
      </c>
      <c r="AE427" s="233"/>
      <c r="AF427" s="229" t="s">
        <v>451</v>
      </c>
      <c r="AG427" s="230" t="str">
        <f aca="false">IFERROR(IF(C$347*C$348*C$349*C352&gt;0,STDEV(C$347:C$349, C352)," ")/IF(C$347*C$348*C$349*C352&gt;0,SQRT(COUNT(C$347:C$349, C352))," "),"")</f>
        <v/>
      </c>
      <c r="AH427" s="230" t="str">
        <f aca="false">IFERROR(IF(D$347*D$348*D$349*D352&gt;0,STDEV(D$347:D$349, D352)," ")/IF(D$347*D$348*D$349*D352&gt;0,SQRT(COUNT(D$347:D$349, D352))," "),"")</f>
        <v/>
      </c>
      <c r="AI427" s="230" t="str">
        <f aca="false">IFERROR(IF(E$347*E$348*E$349*E352&gt;0,STDEV(E$347:E$349, E352)," ")/IF(E$347*E$348*E$349*E352&gt;0,SQRT(COUNT(E$347:E$349, E352))," "),"")</f>
        <v/>
      </c>
      <c r="AJ427" s="230" t="str">
        <f aca="false">IFERROR(IF(F$347*F$348*F$349*F352&gt;0,STDEV(F$347:F$349, F352)," ")/IF(F$347*F$348*F$349*F352&gt;0,SQRT(COUNT(F$347:F$349, F352))," "),"")</f>
        <v/>
      </c>
      <c r="AK427" s="230" t="str">
        <f aca="false">IFERROR(IF(G$347*G$348*G$349*G352&gt;0,STDEV(G$347:G$349, G352)," ")/IF(G$347*G$348*G$349*G352&gt;0,SQRT(COUNT(G$347:G$349, G352))," "),"")</f>
        <v/>
      </c>
      <c r="AL427" s="230" t="str">
        <f aca="false">IFERROR(IF(H$347*H$348*H$349*H352&gt;0,STDEV(H$347:H$349, H352)," ")/IF(H$347*H$348*H$349*H352&gt;0,SQRT(COUNT(H$347:H$349, H352))," "),"")</f>
        <v/>
      </c>
      <c r="AM427" s="230" t="str">
        <f aca="false">IFERROR(IF(I$347*I$348*I$349*I352&gt;0,STDEV(I$347:I$349, I352)," ")/IF(I$347*I$348*I$349*I352&gt;0,SQRT(COUNT(I$347:I$349, I352))," "),"")</f>
        <v/>
      </c>
      <c r="AN427" s="230" t="str">
        <f aca="false">IFERROR(IF(J$347*J$348*J$349*J352&gt;0,STDEV(J$347:J$349, J352)," ")/IF(J$347*J$348*J$349*J352&gt;0,SQRT(COUNT(J$347:J$349, J352))," "),"")</f>
        <v/>
      </c>
      <c r="AO427" s="230" t="str">
        <f aca="false">IFERROR(IF(K$347*K$348*K$349*K352&gt;0,STDEV(K$347:K$349, K352)," ")/IF(K$347*K$348*K$349*K352&gt;0,SQRT(COUNT(K$347:K$349, K352))," "),"")</f>
        <v/>
      </c>
      <c r="AP427" s="230" t="str">
        <f aca="false">IFERROR(IF(L$347*L$348*L$349*L352&gt;0,STDEV(L$347:L$349, L352)," ")/IF(L$347*L$348*L$349*L352&gt;0,SQRT(COUNT(L$347:L$349, L352))," "),"")</f>
        <v/>
      </c>
      <c r="AQ427" s="230" t="str">
        <f aca="false">IFERROR(IF(M$347*M$348*M$349*M352&gt;0,STDEV(M$347:M$349, M352)," ")/IF(M$347*M$348*M$349*M352&gt;0,SQRT(COUNT(M$347:M$349, M352))," "),"")</f>
        <v/>
      </c>
      <c r="AR427" s="230" t="str">
        <f aca="false">IFERROR(IF(N$347*N$348*N$349*N352&gt;0,STDEV(N$347:N$349, N352)," ")/IF(N$347*N$348*N$349*N352&gt;0,SQRT(COUNT(N$347:N$349, N352))," "),"")</f>
        <v/>
      </c>
    </row>
    <row r="428" customFormat="false" ht="15.75" hidden="false" customHeight="false" outlineLevel="0" collapsed="false">
      <c r="A428" s="220" t="s">
        <v>452</v>
      </c>
      <c r="B428" s="221"/>
      <c r="C428" s="261" t="str">
        <f aca="false">IFERROR(IF(C$347*C$348*C$349*C353&gt;0,AVERAGE(C$347:C$349, C353),""),"")</f>
        <v/>
      </c>
      <c r="D428" s="261" t="str">
        <f aca="false">IFERROR(IF(D$347*D$348*D$349*D353&gt;0,AVERAGE(D$347:D$349, D353),""),"")</f>
        <v/>
      </c>
      <c r="E428" s="261" t="str">
        <f aca="false">IFERROR(IF(E$347*E$348*E$349*E353&gt;0,AVERAGE(E$347:E$349, E353),""),"")</f>
        <v/>
      </c>
      <c r="F428" s="261" t="str">
        <f aca="false">IFERROR(IF(F$347*F$348*F$349*F353&gt;0,AVERAGE(F$347:F$349, F353),""),"")</f>
        <v/>
      </c>
      <c r="G428" s="261" t="str">
        <f aca="false">IFERROR(IF(G$347*G$348*G$349*G353&gt;0,AVERAGE(G$347:G$349, G353),""),"")</f>
        <v/>
      </c>
      <c r="H428" s="261" t="str">
        <f aca="false">IFERROR(IF(H$347*H$348*H$349*H353&gt;0,AVERAGE(H$347:H$349, H353),""),"")</f>
        <v/>
      </c>
      <c r="I428" s="261" t="str">
        <f aca="false">IFERROR(IF(I$347*I$348*I$349*I353&gt;0,AVERAGE(I$347:I$349, I353),""),"")</f>
        <v/>
      </c>
      <c r="J428" s="261" t="str">
        <f aca="false">IFERROR(IF(J$347*J$348*J$349*J353&gt;0,AVERAGE(J$347:J$349, J353),""),"")</f>
        <v/>
      </c>
      <c r="K428" s="261" t="str">
        <f aca="false">IFERROR(IF(K$347*K$348*K$349*K353&gt;0,AVERAGE(K$347:K$349, K353),""),"")</f>
        <v/>
      </c>
      <c r="L428" s="261" t="str">
        <f aca="false">IFERROR(IF(L$347*L$348*L$349*L353&gt;0,AVERAGE(L$347:L$349, L353),""),"")</f>
        <v/>
      </c>
      <c r="M428" s="261" t="str">
        <f aca="false">IFERROR(IF(M$347*M$348*M$349*M353&gt;0,AVERAGE(M$347:M$349, M353),""),"")</f>
        <v/>
      </c>
      <c r="N428" s="261" t="str">
        <f aca="false">IFERROR(IF(N$347*N$348*N$349*N353&gt;0,AVERAGE(N$347:N$349, N353),""),"")</f>
        <v/>
      </c>
      <c r="O428" s="224"/>
      <c r="P428" s="224"/>
      <c r="Q428" s="232"/>
      <c r="R428" s="226" t="s">
        <v>453</v>
      </c>
      <c r="S428" s="227" t="str">
        <f aca="false">IFERROR(IF(C$347*C$348*C$349*C353&gt;0,STDEV(C$347:C$349, C353),"")/IF(C$347*C$348*C$349*C353&gt;0,AVERAGE(C$347:C$349, C353),""),"")</f>
        <v/>
      </c>
      <c r="T428" s="227" t="str">
        <f aca="false">IFERROR(IF(D$347*D$348*D$349*D353&gt;0,STDEV(D$347:D$349, D353),"")/IF(D$347*D$348*D$349*D353&gt;0,AVERAGE(D$347:D$349, D353),""),"")</f>
        <v/>
      </c>
      <c r="U428" s="227" t="str">
        <f aca="false">IFERROR(IF(E$347*E$348*E$349*E353&gt;0,STDEV(E$347:E$349, E353),"")/IF(E$347*E$348*E$349*E353&gt;0,AVERAGE(E$347:E$349, E353),""),"")</f>
        <v/>
      </c>
      <c r="V428" s="227" t="str">
        <f aca="false">IFERROR(IF(F$347*F$348*F$349*F353&gt;0,STDEV(F$347:F$349, F353),"")/IF(F$347*F$348*F$349*F353&gt;0,AVERAGE(F$347:F$349, F353),""),"")</f>
        <v/>
      </c>
      <c r="W428" s="227" t="str">
        <f aca="false">IFERROR(IF(G$347*G$348*G$349*G353&gt;0,STDEV(G$347:G$349, G353),"")/IF(G$347*G$348*G$349*G353&gt;0,AVERAGE(G$347:G$349, G353),""),"")</f>
        <v/>
      </c>
      <c r="X428" s="227" t="str">
        <f aca="false">IFERROR(IF(H$347*H$348*H$349*H353&gt;0,STDEV(H$347:H$349, H353),"")/IF(H$347*H$348*H$349*H353&gt;0,AVERAGE(H$347:H$349, H353),""),"")</f>
        <v/>
      </c>
      <c r="Y428" s="227" t="str">
        <f aca="false">IFERROR(IF(I$347*I$348*I$349*I353&gt;0,STDEV(I$347:I$349, I353),"")/IF(I$347*I$348*I$349*I353&gt;0,AVERAGE(I$347:I$349, I353),""),"")</f>
        <v/>
      </c>
      <c r="Z428" s="227" t="str">
        <f aca="false">IFERROR(IF(J$347*J$348*J$349*J353&gt;0,STDEV(J$347:J$349, J353),"")/IF(J$347*J$348*J$349*J353&gt;0,AVERAGE(J$347:J$349, J353),""),"")</f>
        <v/>
      </c>
      <c r="AA428" s="227" t="str">
        <f aca="false">IFERROR(IF(K$347*K$348*K$349*K353&gt;0,STDEV(K$347:K$349, K353),"")/IF(K$347*K$348*K$349*K353&gt;0,AVERAGE(K$347:K$349, K353),""),"")</f>
        <v/>
      </c>
      <c r="AB428" s="227" t="str">
        <f aca="false">IFERROR(IF(L$347*L$348*L$349*L353&gt;0,STDEV(L$347:L$349, L353),"")/IF(L$347*L$348*L$349*L353&gt;0,AVERAGE(L$347:L$349, L353),""),"")</f>
        <v/>
      </c>
      <c r="AC428" s="227" t="str">
        <f aca="false">IFERROR(IF(M$347*M$348*M$349*M353&gt;0,STDEV(M$347:M$349, M353),"")/IF(M$347*M$348*M$349*M353&gt;0,AVERAGE(M$347:M$349, M353),""),"")</f>
        <v/>
      </c>
      <c r="AD428" s="227" t="str">
        <f aca="false">IFERROR(IF(N$347*N$348*N$349*N353&gt;0,STDEV(N$347:N$349, N353),"")/IF(N$347*N$348*N$349*N353&gt;0,AVERAGE(N$347:N$349, N353),""),"")</f>
        <v/>
      </c>
      <c r="AE428" s="233"/>
      <c r="AF428" s="229" t="s">
        <v>454</v>
      </c>
      <c r="AG428" s="230" t="str">
        <f aca="false">IFERROR(IF(C$347*C$348*C$349*C353&gt;0,STDEV(C$347:C$349, C353)," ")/IF(C$347*C$348*C$349*C353&gt;0,SQRT(COUNT(C$347:C$349, C353))," "),"")</f>
        <v/>
      </c>
      <c r="AH428" s="230" t="str">
        <f aca="false">IFERROR(IF(D$347*D$348*D$349*D353&gt;0,STDEV(D$347:D$349, D353)," ")/IF(D$347*D$348*D$349*D353&gt;0,SQRT(COUNT(D$347:D$349, D353))," "),"")</f>
        <v/>
      </c>
      <c r="AI428" s="230" t="str">
        <f aca="false">IFERROR(IF(E$347*E$348*E$349*E353&gt;0,STDEV(E$347:E$349, E353)," ")/IF(E$347*E$348*E$349*E353&gt;0,SQRT(COUNT(E$347:E$349, E353))," "),"")</f>
        <v/>
      </c>
      <c r="AJ428" s="230" t="str">
        <f aca="false">IFERROR(IF(F$347*F$348*F$349*F353&gt;0,STDEV(F$347:F$349, F353)," ")/IF(F$347*F$348*F$349*F353&gt;0,SQRT(COUNT(F$347:F$349, F353))," "),"")</f>
        <v/>
      </c>
      <c r="AK428" s="230" t="str">
        <f aca="false">IFERROR(IF(G$347*G$348*G$349*G353&gt;0,STDEV(G$347:G$349, G353)," ")/IF(G$347*G$348*G$349*G353&gt;0,SQRT(COUNT(G$347:G$349, G353))," "),"")</f>
        <v/>
      </c>
      <c r="AL428" s="230" t="str">
        <f aca="false">IFERROR(IF(H$347*H$348*H$349*H353&gt;0,STDEV(H$347:H$349, H353)," ")/IF(H$347*H$348*H$349*H353&gt;0,SQRT(COUNT(H$347:H$349, H353))," "),"")</f>
        <v/>
      </c>
      <c r="AM428" s="230" t="str">
        <f aca="false">IFERROR(IF(I$347*I$348*I$349*I353&gt;0,STDEV(I$347:I$349, I353)," ")/IF(I$347*I$348*I$349*I353&gt;0,SQRT(COUNT(I$347:I$349, I353))," "),"")</f>
        <v/>
      </c>
      <c r="AN428" s="230" t="str">
        <f aca="false">IFERROR(IF(J$347*J$348*J$349*J353&gt;0,STDEV(J$347:J$349, J353)," ")/IF(J$347*J$348*J$349*J353&gt;0,SQRT(COUNT(J$347:J$349, J353))," "),"")</f>
        <v/>
      </c>
      <c r="AO428" s="230" t="str">
        <f aca="false">IFERROR(IF(K$347*K$348*K$349*K353&gt;0,STDEV(K$347:K$349, K353)," ")/IF(K$347*K$348*K$349*K353&gt;0,SQRT(COUNT(K$347:K$349, K353))," "),"")</f>
        <v/>
      </c>
      <c r="AP428" s="230" t="str">
        <f aca="false">IFERROR(IF(L$347*L$348*L$349*L353&gt;0,STDEV(L$347:L$349, L353)," ")/IF(L$347*L$348*L$349*L353&gt;0,SQRT(COUNT(L$347:L$349, L353))," "),"")</f>
        <v/>
      </c>
      <c r="AQ428" s="230" t="str">
        <f aca="false">IFERROR(IF(M$347*M$348*M$349*M353&gt;0,STDEV(M$347:M$349, M353)," ")/IF(M$347*M$348*M$349*M353&gt;0,SQRT(COUNT(M$347:M$349, M353))," "),"")</f>
        <v/>
      </c>
      <c r="AR428" s="230" t="str">
        <f aca="false">IFERROR(IF(N$347*N$348*N$349*N353&gt;0,STDEV(N$347:N$349, N353)," ")/IF(N$347*N$348*N$349*N353&gt;0,SQRT(COUNT(N$347:N$349, N353))," "),"")</f>
        <v/>
      </c>
    </row>
    <row r="429" customFormat="false" ht="15.75" hidden="false" customHeight="false" outlineLevel="0" collapsed="false">
      <c r="A429" s="220" t="s">
        <v>455</v>
      </c>
      <c r="B429" s="221"/>
      <c r="C429" s="261" t="str">
        <f aca="false">IFERROR(IF(C$348*C$349*C$350*C347&gt;0,AVERAGE(C$348:C$350, C347),""),"")</f>
        <v/>
      </c>
      <c r="D429" s="261" t="str">
        <f aca="false">IFERROR(IF(D$348*D$349*D$350*D347&gt;0,AVERAGE(D$348:D$350, D347),""),"")</f>
        <v/>
      </c>
      <c r="E429" s="261" t="str">
        <f aca="false">IFERROR(IF(E$348*E$349*E$350*E347&gt;0,AVERAGE(E$348:E$350, E347),""),"")</f>
        <v/>
      </c>
      <c r="F429" s="261" t="str">
        <f aca="false">IFERROR(IF(F$348*F$349*F$350*F347&gt;0,AVERAGE(F$348:F$350, F347),""),"")</f>
        <v/>
      </c>
      <c r="G429" s="261" t="str">
        <f aca="false">IFERROR(IF(G$348*G$349*G$350*G347&gt;0,AVERAGE(G$348:G$350, G347),""),"")</f>
        <v/>
      </c>
      <c r="H429" s="261" t="str">
        <f aca="false">IFERROR(IF(H$348*H$349*H$350*H347&gt;0,AVERAGE(H$348:H$350, H347),""),"")</f>
        <v/>
      </c>
      <c r="I429" s="261" t="str">
        <f aca="false">IFERROR(IF(I$348*I$349*I$350*I347&gt;0,AVERAGE(I$348:I$350, I347),""),"")</f>
        <v/>
      </c>
      <c r="J429" s="261" t="str">
        <f aca="false">IFERROR(IF(J$348*J$349*J$350*J347&gt;0,AVERAGE(J$348:J$350, J347),""),"")</f>
        <v/>
      </c>
      <c r="K429" s="261" t="str">
        <f aca="false">IFERROR(IF(K$348*K$349*K$350*K347&gt;0,AVERAGE(K$348:K$350, K347),""),"")</f>
        <v/>
      </c>
      <c r="L429" s="261" t="str">
        <f aca="false">IFERROR(IF(L$348*L$349*L$350*L347&gt;0,AVERAGE(L$348:L$350, L347),""),"")</f>
        <v/>
      </c>
      <c r="M429" s="261" t="str">
        <f aca="false">IFERROR(IF(M$348*M$349*M$350*M347&gt;0,AVERAGE(M$348:M$350, M347),""),"")</f>
        <v/>
      </c>
      <c r="N429" s="261" t="str">
        <f aca="false">IFERROR(IF(N$348*N$349*N$350*N347&gt;0,AVERAGE(N$348:N$350, N347),""),"")</f>
        <v/>
      </c>
      <c r="O429" s="224"/>
      <c r="P429" s="224"/>
      <c r="Q429" s="232"/>
      <c r="R429" s="226" t="s">
        <v>456</v>
      </c>
      <c r="S429" s="227" t="str">
        <f aca="false">IFERROR(IF(C$348*C$349*C$350*C347&gt;0,STDEV(C$348:C$350, C347),"")/IF(C$348*C$349*C$350*C347&gt;0,AVERAGE(C$348:C$350, C347),""),"")</f>
        <v/>
      </c>
      <c r="T429" s="227" t="str">
        <f aca="false">IFERROR(IF(D$348*D$349*D$350*D347&gt;0,STDEV(D$348:D$350, D347),"")/IF(D$348*D$349*D$350*D347&gt;0,AVERAGE(D$348:D$350, D347),""),"")</f>
        <v/>
      </c>
      <c r="U429" s="227" t="str">
        <f aca="false">IFERROR(IF(E$348*E$349*E$350*E347&gt;0,STDEV(E$348:E$350, E347),"")/IF(E$348*E$349*E$350*E347&gt;0,AVERAGE(E$348:E$350, E347),""),"")</f>
        <v/>
      </c>
      <c r="V429" s="227" t="str">
        <f aca="false">IFERROR(IF(F$348*F$349*F$350*F347&gt;0,STDEV(F$348:F$350, F347),"")/IF(F$348*F$349*F$350*F347&gt;0,AVERAGE(F$348:F$350, F347),""),"")</f>
        <v/>
      </c>
      <c r="W429" s="227" t="str">
        <f aca="false">IFERROR(IF(G$348*G$349*G$350*G347&gt;0,STDEV(G$348:G$350, G347),"")/IF(G$348*G$349*G$350*G347&gt;0,AVERAGE(G$348:G$350, G347),""),"")</f>
        <v/>
      </c>
      <c r="X429" s="227" t="str">
        <f aca="false">IFERROR(IF(H$348*H$349*H$350*H347&gt;0,STDEV(H$348:H$350, H347),"")/IF(H$348*H$349*H$350*H347&gt;0,AVERAGE(H$348:H$350, H347),""),"")</f>
        <v/>
      </c>
      <c r="Y429" s="227" t="str">
        <f aca="false">IFERROR(IF(I$348*I$349*I$350*I347&gt;0,STDEV(I$348:I$350, I347),"")/IF(I$348*I$349*I$350*I347&gt;0,AVERAGE(I$348:I$350, I347),""),"")</f>
        <v/>
      </c>
      <c r="Z429" s="227" t="str">
        <f aca="false">IFERROR(IF(J$348*J$349*J$350*J347&gt;0,STDEV(J$348:J$350, J347),"")/IF(J$348*J$349*J$350*J347&gt;0,AVERAGE(J$348:J$350, J347),""),"")</f>
        <v/>
      </c>
      <c r="AA429" s="227" t="str">
        <f aca="false">IFERROR(IF(K$348*K$349*K$350*K347&gt;0,STDEV(K$348:K$350, K347),"")/IF(K$348*K$349*K$350*K347&gt;0,AVERAGE(K$348:K$350, K347),""),"")</f>
        <v/>
      </c>
      <c r="AB429" s="227" t="str">
        <f aca="false">IFERROR(IF(L$348*L$349*L$350*L347&gt;0,STDEV(L$348:L$350, L347),"")/IF(L$348*L$349*L$350*L347&gt;0,AVERAGE(L$348:L$350, L347),""),"")</f>
        <v/>
      </c>
      <c r="AC429" s="227" t="str">
        <f aca="false">IFERROR(IF(M$348*M$349*M$350*M347&gt;0,STDEV(M$348:M$350, M347),"")/IF(M$348*M$349*M$350*M347&gt;0,AVERAGE(M$348:M$350, M347),""),"")</f>
        <v/>
      </c>
      <c r="AD429" s="227" t="str">
        <f aca="false">IFERROR(IF(N$348*N$349*N$350*N347&gt;0,STDEV(N$348:N$350, N347),"")/IF(N$348*N$349*N$350*N347&gt;0,AVERAGE(N$348:N$350, N347),""),"")</f>
        <v/>
      </c>
      <c r="AE429" s="233"/>
      <c r="AF429" s="229" t="s">
        <v>457</v>
      </c>
      <c r="AG429" s="230" t="str">
        <f aca="false">IFERROR(IF(C$348*C$349*C$350*C347&gt;0,STDEV(C$348:C$350, C347)," ")/IF(C$348*C$349*C$350*C347&gt;0,SQRT(COUNT(C$348:C$350, C347))," "),"")</f>
        <v/>
      </c>
      <c r="AH429" s="230" t="str">
        <f aca="false">IFERROR(IF(D$348*D$349*D$350*D347&gt;0,STDEV(D$348:D$350, D347)," ")/IF(D$348*D$349*D$350*D347&gt;0,SQRT(COUNT(D$348:D$350, D347))," "),"")</f>
        <v/>
      </c>
      <c r="AI429" s="230" t="str">
        <f aca="false">IFERROR(IF(E$348*E$349*E$350*E347&gt;0,STDEV(E$348:E$350, E347)," ")/IF(E$348*E$349*E$350*E347&gt;0,SQRT(COUNT(E$348:E$350, E347))," "),"")</f>
        <v/>
      </c>
      <c r="AJ429" s="230" t="str">
        <f aca="false">IFERROR(IF(F$348*F$349*F$350*F347&gt;0,STDEV(F$348:F$350, F347)," ")/IF(F$348*F$349*F$350*F347&gt;0,SQRT(COUNT(F$348:F$350, F347))," "),"")</f>
        <v/>
      </c>
      <c r="AK429" s="230" t="str">
        <f aca="false">IFERROR(IF(G$348*G$349*G$350*G347&gt;0,STDEV(G$348:G$350, G347)," ")/IF(G$348*G$349*G$350*G347&gt;0,SQRT(COUNT(G$348:G$350, G347))," "),"")</f>
        <v/>
      </c>
      <c r="AL429" s="230" t="str">
        <f aca="false">IFERROR(IF(H$348*H$349*H$350*H347&gt;0,STDEV(H$348:H$350, H347)," ")/IF(H$348*H$349*H$350*H347&gt;0,SQRT(COUNT(H$348:H$350, H347))," "),"")</f>
        <v/>
      </c>
      <c r="AM429" s="230" t="str">
        <f aca="false">IFERROR(IF(I$348*I$349*I$350*I347&gt;0,STDEV(I$348:I$350, I347)," ")/IF(I$348*I$349*I$350*I347&gt;0,SQRT(COUNT(I$348:I$350, I347))," "),"")</f>
        <v/>
      </c>
      <c r="AN429" s="230" t="str">
        <f aca="false">IFERROR(IF(J$348*J$349*J$350*J347&gt;0,STDEV(J$348:J$350, J347)," ")/IF(J$348*J$349*J$350*J347&gt;0,SQRT(COUNT(J$348:J$350, J347))," "),"")</f>
        <v/>
      </c>
      <c r="AO429" s="230" t="str">
        <f aca="false">IFERROR(IF(K$348*K$349*K$350*K347&gt;0,STDEV(K$348:K$350, K347)," ")/IF(K$348*K$349*K$350*K347&gt;0,SQRT(COUNT(K$348:K$350, K347))," "),"")</f>
        <v/>
      </c>
      <c r="AP429" s="230" t="str">
        <f aca="false">IFERROR(IF(L$348*L$349*L$350*L347&gt;0,STDEV(L$348:L$350, L347)," ")/IF(L$348*L$349*L$350*L347&gt;0,SQRT(COUNT(L$348:L$350, L347))," "),"")</f>
        <v/>
      </c>
      <c r="AQ429" s="230" t="str">
        <f aca="false">IFERROR(IF(M$348*M$349*M$350*M347&gt;0,STDEV(M$348:M$350, M347)," ")/IF(M$348*M$349*M$350*M347&gt;0,SQRT(COUNT(M$348:M$350, M347))," "),"")</f>
        <v/>
      </c>
      <c r="AR429" s="230" t="str">
        <f aca="false">IFERROR(IF(N$348*N$349*N$350*N347&gt;0,STDEV(N$348:N$350, N347)," ")/IF(N$348*N$349*N$350*N347&gt;0,SQRT(COUNT(N$348:N$350, N347))," "),"")</f>
        <v/>
      </c>
    </row>
    <row r="430" customFormat="false" ht="15.75" hidden="false" customHeight="false" outlineLevel="0" collapsed="false">
      <c r="A430" s="220" t="s">
        <v>458</v>
      </c>
      <c r="B430" s="221"/>
      <c r="C430" s="261" t="str">
        <f aca="false">IFERROR(IF(C$348*C$349*C$350*C351&gt;0,AVERAGE(C$348:C$350, C351),""),"")</f>
        <v/>
      </c>
      <c r="D430" s="261" t="str">
        <f aca="false">IFERROR(IF(D$348*D$349*D$350*D351&gt;0,AVERAGE(D$348:D$350, D351),""),"")</f>
        <v/>
      </c>
      <c r="E430" s="261" t="str">
        <f aca="false">IFERROR(IF(E$348*E$349*E$350*E351&gt;0,AVERAGE(E$348:E$350, E351),""),"")</f>
        <v/>
      </c>
      <c r="F430" s="261" t="str">
        <f aca="false">IFERROR(IF(F$348*F$349*F$350*F351&gt;0,AVERAGE(F$348:F$350, F351),""),"")</f>
        <v/>
      </c>
      <c r="G430" s="261" t="str">
        <f aca="false">IFERROR(IF(G$348*G$349*G$350*G351&gt;0,AVERAGE(G$348:G$350, G351),""),"")</f>
        <v/>
      </c>
      <c r="H430" s="261" t="str">
        <f aca="false">IFERROR(IF(H$348*H$349*H$350*H351&gt;0,AVERAGE(H$348:H$350, H351),""),"")</f>
        <v/>
      </c>
      <c r="I430" s="261" t="str">
        <f aca="false">IFERROR(IF(I$348*I$349*I$350*I351&gt;0,AVERAGE(I$348:I$350, I351),""),"")</f>
        <v/>
      </c>
      <c r="J430" s="261" t="str">
        <f aca="false">IFERROR(IF(J$348*J$349*J$350*J351&gt;0,AVERAGE(J$348:J$350, J351),""),"")</f>
        <v/>
      </c>
      <c r="K430" s="261" t="str">
        <f aca="false">IFERROR(IF(K$348*K$349*K$350*K351&gt;0,AVERAGE(K$348:K$350, K351),""),"")</f>
        <v/>
      </c>
      <c r="L430" s="261" t="str">
        <f aca="false">IFERROR(IF(L$348*L$349*L$350*L351&gt;0,AVERAGE(L$348:L$350, L351),""),"")</f>
        <v/>
      </c>
      <c r="M430" s="261" t="str">
        <f aca="false">IFERROR(IF(M$348*M$349*M$350*M351&gt;0,AVERAGE(M$348:M$350, M351),""),"")</f>
        <v/>
      </c>
      <c r="N430" s="261" t="str">
        <f aca="false">IFERROR(IF(N$348*N$349*N$350*N351&gt;0,AVERAGE(N$348:N$350, N351),""),"")</f>
        <v/>
      </c>
      <c r="O430" s="224"/>
      <c r="P430" s="224"/>
      <c r="Q430" s="232"/>
      <c r="R430" s="226" t="s">
        <v>459</v>
      </c>
      <c r="S430" s="227" t="str">
        <f aca="false">IFERROR(IF(C$348*C$349*C$350*C351&gt;0,STDEV(C$348:C$350, C351),"")/IF(C$348*C$349*C$350*C351&gt;0,AVERAGE(C$348:C$350, C351),""),"")</f>
        <v/>
      </c>
      <c r="T430" s="227" t="str">
        <f aca="false">IFERROR(IF(D$348*D$349*D$350*D351&gt;0,STDEV(D$348:D$350, D351),"")/IF(D$348*D$349*D$350*D351&gt;0,AVERAGE(D$348:D$350, D351),""),"")</f>
        <v/>
      </c>
      <c r="U430" s="227" t="str">
        <f aca="false">IFERROR(IF(E$348*E$349*E$350*E351&gt;0,STDEV(E$348:E$350, E351),"")/IF(E$348*E$349*E$350*E351&gt;0,AVERAGE(E$348:E$350, E351),""),"")</f>
        <v/>
      </c>
      <c r="V430" s="227" t="str">
        <f aca="false">IFERROR(IF(F$348*F$349*F$350*F351&gt;0,STDEV(F$348:F$350, F351),"")/IF(F$348*F$349*F$350*F351&gt;0,AVERAGE(F$348:F$350, F351),""),"")</f>
        <v/>
      </c>
      <c r="W430" s="227" t="str">
        <f aca="false">IFERROR(IF(G$348*G$349*G$350*G351&gt;0,STDEV(G$348:G$350, G351),"")/IF(G$348*G$349*G$350*G351&gt;0,AVERAGE(G$348:G$350, G351),""),"")</f>
        <v/>
      </c>
      <c r="X430" s="227" t="str">
        <f aca="false">IFERROR(IF(H$348*H$349*H$350*H351&gt;0,STDEV(H$348:H$350, H351),"")/IF(H$348*H$349*H$350*H351&gt;0,AVERAGE(H$348:H$350, H351),""),"")</f>
        <v/>
      </c>
      <c r="Y430" s="227" t="str">
        <f aca="false">IFERROR(IF(I$348*I$349*I$350*I351&gt;0,STDEV(I$348:I$350, I351),"")/IF(I$348*I$349*I$350*I351&gt;0,AVERAGE(I$348:I$350, I351),""),"")</f>
        <v/>
      </c>
      <c r="Z430" s="227" t="str">
        <f aca="false">IFERROR(IF(J$348*J$349*J$350*J351&gt;0,STDEV(J$348:J$350, J351),"")/IF(J$348*J$349*J$350*J351&gt;0,AVERAGE(J$348:J$350, J351),""),"")</f>
        <v/>
      </c>
      <c r="AA430" s="227" t="str">
        <f aca="false">IFERROR(IF(K$348*K$349*K$350*K351&gt;0,STDEV(K$348:K$350, K351),"")/IF(K$348*K$349*K$350*K351&gt;0,AVERAGE(K$348:K$350, K351),""),"")</f>
        <v/>
      </c>
      <c r="AB430" s="227" t="str">
        <f aca="false">IFERROR(IF(L$348*L$349*L$350*L351&gt;0,STDEV(L$348:L$350, L351),"")/IF(L$348*L$349*L$350*L351&gt;0,AVERAGE(L$348:L$350, L351),""),"")</f>
        <v/>
      </c>
      <c r="AC430" s="227" t="str">
        <f aca="false">IFERROR(IF(M$348*M$349*M$350*M351&gt;0,STDEV(M$348:M$350, M351),"")/IF(M$348*M$349*M$350*M351&gt;0,AVERAGE(M$348:M$350, M351),""),"")</f>
        <v/>
      </c>
      <c r="AD430" s="227" t="str">
        <f aca="false">IFERROR(IF(N$348*N$349*N$350*N351&gt;0,STDEV(N$348:N$350, N351),"")/IF(N$348*N$349*N$350*N351&gt;0,AVERAGE(N$348:N$350, N351),""),"")</f>
        <v/>
      </c>
      <c r="AE430" s="233"/>
      <c r="AF430" s="229" t="s">
        <v>460</v>
      </c>
      <c r="AG430" s="230" t="str">
        <f aca="false">IFERROR(IF(C$348*C$349*C$350*C351&gt;0,STDEV(C$348:C$350, C351)," ")/IF(C$348*C$349*C$350*C351&gt;0,SQRT(COUNT(C$348:C$350, C351))," "),"")</f>
        <v/>
      </c>
      <c r="AH430" s="230" t="str">
        <f aca="false">IFERROR(IF(D$348*D$349*D$350*D351&gt;0,STDEV(D$348:D$350, D351)," ")/IF(D$348*D$349*D$350*D351&gt;0,SQRT(COUNT(D$348:D$350, D351))," "),"")</f>
        <v/>
      </c>
      <c r="AI430" s="230" t="str">
        <f aca="false">IFERROR(IF(E$348*E$349*E$350*E351&gt;0,STDEV(E$348:E$350, E351)," ")/IF(E$348*E$349*E$350*E351&gt;0,SQRT(COUNT(E$348:E$350, E351))," "),"")</f>
        <v/>
      </c>
      <c r="AJ430" s="230" t="str">
        <f aca="false">IFERROR(IF(F$348*F$349*F$350*F351&gt;0,STDEV(F$348:F$350, F351)," ")/IF(F$348*F$349*F$350*F351&gt;0,SQRT(COUNT(F$348:F$350, F351))," "),"")</f>
        <v/>
      </c>
      <c r="AK430" s="230" t="str">
        <f aca="false">IFERROR(IF(G$348*G$349*G$350*G351&gt;0,STDEV(G$348:G$350, G351)," ")/IF(G$348*G$349*G$350*G351&gt;0,SQRT(COUNT(G$348:G$350, G351))," "),"")</f>
        <v/>
      </c>
      <c r="AL430" s="230" t="str">
        <f aca="false">IFERROR(IF(H$348*H$349*H$350*H351&gt;0,STDEV(H$348:H$350, H351)," ")/IF(H$348*H$349*H$350*H351&gt;0,SQRT(COUNT(H$348:H$350, H351))," "),"")</f>
        <v/>
      </c>
      <c r="AM430" s="230" t="str">
        <f aca="false">IFERROR(IF(I$348*I$349*I$350*I351&gt;0,STDEV(I$348:I$350, I351)," ")/IF(I$348*I$349*I$350*I351&gt;0,SQRT(COUNT(I$348:I$350, I351))," "),"")</f>
        <v/>
      </c>
      <c r="AN430" s="230" t="str">
        <f aca="false">IFERROR(IF(J$348*J$349*J$350*J351&gt;0,STDEV(J$348:J$350, J351)," ")/IF(J$348*J$349*J$350*J351&gt;0,SQRT(COUNT(J$348:J$350, J351))," "),"")</f>
        <v/>
      </c>
      <c r="AO430" s="230" t="str">
        <f aca="false">IFERROR(IF(K$348*K$349*K$350*K351&gt;0,STDEV(K$348:K$350, K351)," ")/IF(K$348*K$349*K$350*K351&gt;0,SQRT(COUNT(K$348:K$350, K351))," "),"")</f>
        <v/>
      </c>
      <c r="AP430" s="230" t="str">
        <f aca="false">IFERROR(IF(L$348*L$349*L$350*L351&gt;0,STDEV(L$348:L$350, L351)," ")/IF(L$348*L$349*L$350*L351&gt;0,SQRT(COUNT(L$348:L$350, L351))," "),"")</f>
        <v/>
      </c>
      <c r="AQ430" s="230" t="str">
        <f aca="false">IFERROR(IF(M$348*M$349*M$350*M351&gt;0,STDEV(M$348:M$350, M351)," ")/IF(M$348*M$349*M$350*M351&gt;0,SQRT(COUNT(M$348:M$350, M351))," "),"")</f>
        <v/>
      </c>
      <c r="AR430" s="230" t="str">
        <f aca="false">IFERROR(IF(N$348*N$349*N$350*N351&gt;0,STDEV(N$348:N$350, N351)," ")/IF(N$348*N$349*N$350*N351&gt;0,SQRT(COUNT(N$348:N$350, N351))," "),"")</f>
        <v/>
      </c>
    </row>
    <row r="431" customFormat="false" ht="15.75" hidden="false" customHeight="false" outlineLevel="0" collapsed="false">
      <c r="A431" s="220" t="s">
        <v>461</v>
      </c>
      <c r="B431" s="221"/>
      <c r="C431" s="261" t="str">
        <f aca="false">IFERROR(IF(C$348*C$349*C$350*C352&gt;0,AVERAGE(C$348:C$350, C352),""),"")</f>
        <v/>
      </c>
      <c r="D431" s="261" t="str">
        <f aca="false">IFERROR(IF(D$348*D$349*D$350*D352&gt;0,AVERAGE(D$348:D$350, D352),""),"")</f>
        <v/>
      </c>
      <c r="E431" s="261" t="str">
        <f aca="false">IFERROR(IF(E$348*E$349*E$350*E352&gt;0,AVERAGE(E$348:E$350, E352),""),"")</f>
        <v/>
      </c>
      <c r="F431" s="261" t="str">
        <f aca="false">IFERROR(IF(F$348*F$349*F$350*F352&gt;0,AVERAGE(F$348:F$350, F352),""),"")</f>
        <v/>
      </c>
      <c r="G431" s="261" t="str">
        <f aca="false">IFERROR(IF(G$348*G$349*G$350*G352&gt;0,AVERAGE(G$348:G$350, G352),""),"")</f>
        <v/>
      </c>
      <c r="H431" s="261" t="str">
        <f aca="false">IFERROR(IF(H$348*H$349*H$350*H352&gt;0,AVERAGE(H$348:H$350, H352),""),"")</f>
        <v/>
      </c>
      <c r="I431" s="261" t="str">
        <f aca="false">IFERROR(IF(I$348*I$349*I$350*I352&gt;0,AVERAGE(I$348:I$350, I352),""),"")</f>
        <v/>
      </c>
      <c r="J431" s="261" t="str">
        <f aca="false">IFERROR(IF(J$348*J$349*J$350*J352&gt;0,AVERAGE(J$348:J$350, J352),""),"")</f>
        <v/>
      </c>
      <c r="K431" s="261" t="str">
        <f aca="false">IFERROR(IF(K$348*K$349*K$350*K352&gt;0,AVERAGE(K$348:K$350, K352),""),"")</f>
        <v/>
      </c>
      <c r="L431" s="261" t="str">
        <f aca="false">IFERROR(IF(L$348*L$349*L$350*L352&gt;0,AVERAGE(L$348:L$350, L352),""),"")</f>
        <v/>
      </c>
      <c r="M431" s="261" t="str">
        <f aca="false">IFERROR(IF(M$348*M$349*M$350*M352&gt;0,AVERAGE(M$348:M$350, M352),""),"")</f>
        <v/>
      </c>
      <c r="N431" s="261" t="str">
        <f aca="false">IFERROR(IF(N$348*N$349*N$350*N352&gt;0,AVERAGE(N$348:N$350, N352),""),"")</f>
        <v/>
      </c>
      <c r="O431" s="224"/>
      <c r="P431" s="224"/>
      <c r="Q431" s="232"/>
      <c r="R431" s="226" t="s">
        <v>462</v>
      </c>
      <c r="S431" s="227" t="str">
        <f aca="false">IFERROR(IF(C$348*C$349*C$350*C352&gt;0,STDEV(C$348:C$350, C352),"")/IF(C$348*C$349*C$350*C352&gt;0,AVERAGE(C$348:C$350, C352),""),"")</f>
        <v/>
      </c>
      <c r="T431" s="227" t="str">
        <f aca="false">IFERROR(IF(D$348*D$349*D$350*D352&gt;0,STDEV(D$348:D$350, D352),"")/IF(D$348*D$349*D$350*D352&gt;0,AVERAGE(D$348:D$350, D352),""),"")</f>
        <v/>
      </c>
      <c r="U431" s="227" t="str">
        <f aca="false">IFERROR(IF(E$348*E$349*E$350*E352&gt;0,STDEV(E$348:E$350, E352),"")/IF(E$348*E$349*E$350*E352&gt;0,AVERAGE(E$348:E$350, E352),""),"")</f>
        <v/>
      </c>
      <c r="V431" s="227" t="str">
        <f aca="false">IFERROR(IF(F$348*F$349*F$350*F352&gt;0,STDEV(F$348:F$350, F352),"")/IF(F$348*F$349*F$350*F352&gt;0,AVERAGE(F$348:F$350, F352),""),"")</f>
        <v/>
      </c>
      <c r="W431" s="227" t="str">
        <f aca="false">IFERROR(IF(G$348*G$349*G$350*G352&gt;0,STDEV(G$348:G$350, G352),"")/IF(G$348*G$349*G$350*G352&gt;0,AVERAGE(G$348:G$350, G352),""),"")</f>
        <v/>
      </c>
      <c r="X431" s="227" t="str">
        <f aca="false">IFERROR(IF(H$348*H$349*H$350*H352&gt;0,STDEV(H$348:H$350, H352),"")/IF(H$348*H$349*H$350*H352&gt;0,AVERAGE(H$348:H$350, H352),""),"")</f>
        <v/>
      </c>
      <c r="Y431" s="227" t="str">
        <f aca="false">IFERROR(IF(I$348*I$349*I$350*I352&gt;0,STDEV(I$348:I$350, I352),"")/IF(I$348*I$349*I$350*I352&gt;0,AVERAGE(I$348:I$350, I352),""),"")</f>
        <v/>
      </c>
      <c r="Z431" s="227" t="str">
        <f aca="false">IFERROR(IF(J$348*J$349*J$350*J352&gt;0,STDEV(J$348:J$350, J352),"")/IF(J$348*J$349*J$350*J352&gt;0,AVERAGE(J$348:J$350, J352),""),"")</f>
        <v/>
      </c>
      <c r="AA431" s="227" t="str">
        <f aca="false">IFERROR(IF(K$348*K$349*K$350*K352&gt;0,STDEV(K$348:K$350, K352),"")/IF(K$348*K$349*K$350*K352&gt;0,AVERAGE(K$348:K$350, K352),""),"")</f>
        <v/>
      </c>
      <c r="AB431" s="227" t="str">
        <f aca="false">IFERROR(IF(L$348*L$349*L$350*L352&gt;0,STDEV(L$348:L$350, L352),"")/IF(L$348*L$349*L$350*L352&gt;0,AVERAGE(L$348:L$350, L352),""),"")</f>
        <v/>
      </c>
      <c r="AC431" s="227" t="str">
        <f aca="false">IFERROR(IF(M$348*M$349*M$350*M352&gt;0,STDEV(M$348:M$350, M352),"")/IF(M$348*M$349*M$350*M352&gt;0,AVERAGE(M$348:M$350, M352),""),"")</f>
        <v/>
      </c>
      <c r="AD431" s="227" t="str">
        <f aca="false">IFERROR(IF(N$348*N$349*N$350*N352&gt;0,STDEV(N$348:N$350, N352),"")/IF(N$348*N$349*N$350*N352&gt;0,AVERAGE(N$348:N$350, N352),""),"")</f>
        <v/>
      </c>
      <c r="AE431" s="233"/>
      <c r="AF431" s="229" t="s">
        <v>463</v>
      </c>
      <c r="AG431" s="230" t="str">
        <f aca="false">IFERROR(IF(C$348*C$349*C$350*C352&gt;0,STDEV(C$348:C$350, C352)," ")/IF(C$348*C$349*C$350*C352&gt;0,SQRT(COUNT(C$348:C$350, C352))," "),"")</f>
        <v/>
      </c>
      <c r="AH431" s="230" t="str">
        <f aca="false">IFERROR(IF(D$348*D$349*D$350*D352&gt;0,STDEV(D$348:D$350, D352)," ")/IF(D$348*D$349*D$350*D352&gt;0,SQRT(COUNT(D$348:D$350, D352))," "),"")</f>
        <v/>
      </c>
      <c r="AI431" s="230" t="str">
        <f aca="false">IFERROR(IF(E$348*E$349*E$350*E352&gt;0,STDEV(E$348:E$350, E352)," ")/IF(E$348*E$349*E$350*E352&gt;0,SQRT(COUNT(E$348:E$350, E352))," "),"")</f>
        <v/>
      </c>
      <c r="AJ431" s="230" t="str">
        <f aca="false">IFERROR(IF(F$348*F$349*F$350*F352&gt;0,STDEV(F$348:F$350, F352)," ")/IF(F$348*F$349*F$350*F352&gt;0,SQRT(COUNT(F$348:F$350, F352))," "),"")</f>
        <v/>
      </c>
      <c r="AK431" s="230" t="str">
        <f aca="false">IFERROR(IF(G$348*G$349*G$350*G352&gt;0,STDEV(G$348:G$350, G352)," ")/IF(G$348*G$349*G$350*G352&gt;0,SQRT(COUNT(G$348:G$350, G352))," "),"")</f>
        <v/>
      </c>
      <c r="AL431" s="230" t="str">
        <f aca="false">IFERROR(IF(H$348*H$349*H$350*H352&gt;0,STDEV(H$348:H$350, H352)," ")/IF(H$348*H$349*H$350*H352&gt;0,SQRT(COUNT(H$348:H$350, H352))," "),"")</f>
        <v/>
      </c>
      <c r="AM431" s="230" t="str">
        <f aca="false">IFERROR(IF(I$348*I$349*I$350*I352&gt;0,STDEV(I$348:I$350, I352)," ")/IF(I$348*I$349*I$350*I352&gt;0,SQRT(COUNT(I$348:I$350, I352))," "),"")</f>
        <v/>
      </c>
      <c r="AN431" s="230" t="str">
        <f aca="false">IFERROR(IF(J$348*J$349*J$350*J352&gt;0,STDEV(J$348:J$350, J352)," ")/IF(J$348*J$349*J$350*J352&gt;0,SQRT(COUNT(J$348:J$350, J352))," "),"")</f>
        <v/>
      </c>
      <c r="AO431" s="230" t="str">
        <f aca="false">IFERROR(IF(K$348*K$349*K$350*K352&gt;0,STDEV(K$348:K$350, K352)," ")/IF(K$348*K$349*K$350*K352&gt;0,SQRT(COUNT(K$348:K$350, K352))," "),"")</f>
        <v/>
      </c>
      <c r="AP431" s="230" t="str">
        <f aca="false">IFERROR(IF(L$348*L$349*L$350*L352&gt;0,STDEV(L$348:L$350, L352)," ")/IF(L$348*L$349*L$350*L352&gt;0,SQRT(COUNT(L$348:L$350, L352))," "),"")</f>
        <v/>
      </c>
      <c r="AQ431" s="230" t="str">
        <f aca="false">IFERROR(IF(M$348*M$349*M$350*M352&gt;0,STDEV(M$348:M$350, M352)," ")/IF(M$348*M$349*M$350*M352&gt;0,SQRT(COUNT(M$348:M$350, M352))," "),"")</f>
        <v/>
      </c>
      <c r="AR431" s="230" t="str">
        <f aca="false">IFERROR(IF(N$348*N$349*N$350*N352&gt;0,STDEV(N$348:N$350, N352)," ")/IF(N$348*N$349*N$350*N352&gt;0,SQRT(COUNT(N$348:N$350, N352))," "),"")</f>
        <v/>
      </c>
    </row>
    <row r="432" customFormat="false" ht="15.75" hidden="false" customHeight="false" outlineLevel="0" collapsed="false">
      <c r="A432" s="220" t="s">
        <v>464</v>
      </c>
      <c r="B432" s="221"/>
      <c r="C432" s="261" t="str">
        <f aca="false">IFERROR(IF(C$348*C$349*C$350*C353&gt;0,AVERAGE(C$348:C$350, C353),""),"")</f>
        <v/>
      </c>
      <c r="D432" s="261" t="str">
        <f aca="false">IFERROR(IF(D$348*D$349*D$350*D353&gt;0,AVERAGE(D$348:D$350, D353),""),"")</f>
        <v/>
      </c>
      <c r="E432" s="261" t="str">
        <f aca="false">IFERROR(IF(E$348*E$349*E$350*E353&gt;0,AVERAGE(E$348:E$350, E353),""),"")</f>
        <v/>
      </c>
      <c r="F432" s="261" t="str">
        <f aca="false">IFERROR(IF(F$348*F$349*F$350*F353&gt;0,AVERAGE(F$348:F$350, F353),""),"")</f>
        <v/>
      </c>
      <c r="G432" s="261" t="str">
        <f aca="false">IFERROR(IF(G$348*G$349*G$350*G353&gt;0,AVERAGE(G$348:G$350, G353),""),"")</f>
        <v/>
      </c>
      <c r="H432" s="261" t="str">
        <f aca="false">IFERROR(IF(H$348*H$349*H$350*H353&gt;0,AVERAGE(H$348:H$350, H353),""),"")</f>
        <v/>
      </c>
      <c r="I432" s="261" t="str">
        <f aca="false">IFERROR(IF(I$348*I$349*I$350*I353&gt;0,AVERAGE(I$348:I$350, I353),""),"")</f>
        <v/>
      </c>
      <c r="J432" s="261" t="str">
        <f aca="false">IFERROR(IF(J$348*J$349*J$350*J353&gt;0,AVERAGE(J$348:J$350, J353),""),"")</f>
        <v/>
      </c>
      <c r="K432" s="261" t="str">
        <f aca="false">IFERROR(IF(K$348*K$349*K$350*K353&gt;0,AVERAGE(K$348:K$350, K353),""),"")</f>
        <v/>
      </c>
      <c r="L432" s="261" t="str">
        <f aca="false">IFERROR(IF(L$348*L$349*L$350*L353&gt;0,AVERAGE(L$348:L$350, L353),""),"")</f>
        <v/>
      </c>
      <c r="M432" s="261" t="str">
        <f aca="false">IFERROR(IF(M$348*M$349*M$350*M353&gt;0,AVERAGE(M$348:M$350, M353),""),"")</f>
        <v/>
      </c>
      <c r="N432" s="261" t="str">
        <f aca="false">IFERROR(IF(N$348*N$349*N$350*N353&gt;0,AVERAGE(N$348:N$350, N353),""),"")</f>
        <v/>
      </c>
      <c r="O432" s="224"/>
      <c r="P432" s="224"/>
      <c r="Q432" s="232"/>
      <c r="R432" s="226" t="s">
        <v>465</v>
      </c>
      <c r="S432" s="227" t="str">
        <f aca="false">IFERROR(IF(C$348*C$349*C$350*C353&gt;0,STDEV(C$348:C$350, C353),"")/IF(C$348*C$349*C$350*C353&gt;0,AVERAGE(C$348:C$350, C353),""),"")</f>
        <v/>
      </c>
      <c r="T432" s="227" t="str">
        <f aca="false">IFERROR(IF(D$348*D$349*D$350*D353&gt;0,STDEV(D$348:D$350, D353),"")/IF(D$348*D$349*D$350*D353&gt;0,AVERAGE(D$348:D$350, D353),""),"")</f>
        <v/>
      </c>
      <c r="U432" s="227" t="str">
        <f aca="false">IFERROR(IF(E$348*E$349*E$350*E353&gt;0,STDEV(E$348:E$350, E353),"")/IF(E$348*E$349*E$350*E353&gt;0,AVERAGE(E$348:E$350, E353),""),"")</f>
        <v/>
      </c>
      <c r="V432" s="227" t="str">
        <f aca="false">IFERROR(IF(F$348*F$349*F$350*F353&gt;0,STDEV(F$348:F$350, F353),"")/IF(F$348*F$349*F$350*F353&gt;0,AVERAGE(F$348:F$350, F353),""),"")</f>
        <v/>
      </c>
      <c r="W432" s="227" t="str">
        <f aca="false">IFERROR(IF(G$348*G$349*G$350*G353&gt;0,STDEV(G$348:G$350, G353),"")/IF(G$348*G$349*G$350*G353&gt;0,AVERAGE(G$348:G$350, G353),""),"")</f>
        <v/>
      </c>
      <c r="X432" s="227" t="str">
        <f aca="false">IFERROR(IF(H$348*H$349*H$350*H353&gt;0,STDEV(H$348:H$350, H353),"")/IF(H$348*H$349*H$350*H353&gt;0,AVERAGE(H$348:H$350, H353),""),"")</f>
        <v/>
      </c>
      <c r="Y432" s="227" t="str">
        <f aca="false">IFERROR(IF(I$348*I$349*I$350*I353&gt;0,STDEV(I$348:I$350, I353),"")/IF(I$348*I$349*I$350*I353&gt;0,AVERAGE(I$348:I$350, I353),""),"")</f>
        <v/>
      </c>
      <c r="Z432" s="227" t="str">
        <f aca="false">IFERROR(IF(J$348*J$349*J$350*J353&gt;0,STDEV(J$348:J$350, J353),"")/IF(J$348*J$349*J$350*J353&gt;0,AVERAGE(J$348:J$350, J353),""),"")</f>
        <v/>
      </c>
      <c r="AA432" s="227" t="str">
        <f aca="false">IFERROR(IF(K$348*K$349*K$350*K353&gt;0,STDEV(K$348:K$350, K353),"")/IF(K$348*K$349*K$350*K353&gt;0,AVERAGE(K$348:K$350, K353),""),"")</f>
        <v/>
      </c>
      <c r="AB432" s="227" t="str">
        <f aca="false">IFERROR(IF(L$348*L$349*L$350*L353&gt;0,STDEV(L$348:L$350, L353),"")/IF(L$348*L$349*L$350*L353&gt;0,AVERAGE(L$348:L$350, L353),""),"")</f>
        <v/>
      </c>
      <c r="AC432" s="227" t="str">
        <f aca="false">IFERROR(IF(M$348*M$349*M$350*M353&gt;0,STDEV(M$348:M$350, M353),"")/IF(M$348*M$349*M$350*M353&gt;0,AVERAGE(M$348:M$350, M353),""),"")</f>
        <v/>
      </c>
      <c r="AD432" s="227" t="str">
        <f aca="false">IFERROR(IF(N$348*N$349*N$350*N353&gt;0,STDEV(N$348:N$350, N353),"")/IF(N$348*N$349*N$350*N353&gt;0,AVERAGE(N$348:N$350, N353),""),"")</f>
        <v/>
      </c>
      <c r="AE432" s="233"/>
      <c r="AF432" s="229" t="s">
        <v>466</v>
      </c>
      <c r="AG432" s="230" t="str">
        <f aca="false">IFERROR(IF(C$348*C$349*C$350*C353&gt;0,STDEV(C$348:C$350, C353)," ")/IF(C$348*C$349*C$350*C353&gt;0,SQRT(COUNT(C$348:C$350, C353))," "),"")</f>
        <v/>
      </c>
      <c r="AH432" s="230" t="str">
        <f aca="false">IFERROR(IF(D$348*D$349*D$350*D353&gt;0,STDEV(D$348:D$350, D353)," ")/IF(D$348*D$349*D$350*D353&gt;0,SQRT(COUNT(D$348:D$350, D353))," "),"")</f>
        <v/>
      </c>
      <c r="AI432" s="230" t="str">
        <f aca="false">IFERROR(IF(E$348*E$349*E$350*E353&gt;0,STDEV(E$348:E$350, E353)," ")/IF(E$348*E$349*E$350*E353&gt;0,SQRT(COUNT(E$348:E$350, E353))," "),"")</f>
        <v/>
      </c>
      <c r="AJ432" s="230" t="str">
        <f aca="false">IFERROR(IF(F$348*F$349*F$350*F353&gt;0,STDEV(F$348:F$350, F353)," ")/IF(F$348*F$349*F$350*F353&gt;0,SQRT(COUNT(F$348:F$350, F353))," "),"")</f>
        <v/>
      </c>
      <c r="AK432" s="230" t="str">
        <f aca="false">IFERROR(IF(G$348*G$349*G$350*G353&gt;0,STDEV(G$348:G$350, G353)," ")/IF(G$348*G$349*G$350*G353&gt;0,SQRT(COUNT(G$348:G$350, G353))," "),"")</f>
        <v/>
      </c>
      <c r="AL432" s="230" t="str">
        <f aca="false">IFERROR(IF(H$348*H$349*H$350*H353&gt;0,STDEV(H$348:H$350, H353)," ")/IF(H$348*H$349*H$350*H353&gt;0,SQRT(COUNT(H$348:H$350, H353))," "),"")</f>
        <v/>
      </c>
      <c r="AM432" s="230" t="str">
        <f aca="false">IFERROR(IF(I$348*I$349*I$350*I353&gt;0,STDEV(I$348:I$350, I353)," ")/IF(I$348*I$349*I$350*I353&gt;0,SQRT(COUNT(I$348:I$350, I353))," "),"")</f>
        <v/>
      </c>
      <c r="AN432" s="230" t="str">
        <f aca="false">IFERROR(IF(J$348*J$349*J$350*J353&gt;0,STDEV(J$348:J$350, J353)," ")/IF(J$348*J$349*J$350*J353&gt;0,SQRT(COUNT(J$348:J$350, J353))," "),"")</f>
        <v/>
      </c>
      <c r="AO432" s="230" t="str">
        <f aca="false">IFERROR(IF(K$348*K$349*K$350*K353&gt;0,STDEV(K$348:K$350, K353)," ")/IF(K$348*K$349*K$350*K353&gt;0,SQRT(COUNT(K$348:K$350, K353))," "),"")</f>
        <v/>
      </c>
      <c r="AP432" s="230" t="str">
        <f aca="false">IFERROR(IF(L$348*L$349*L$350*L353&gt;0,STDEV(L$348:L$350, L353)," ")/IF(L$348*L$349*L$350*L353&gt;0,SQRT(COUNT(L$348:L$350, L353))," "),"")</f>
        <v/>
      </c>
      <c r="AQ432" s="230" t="str">
        <f aca="false">IFERROR(IF(M$348*M$349*M$350*M353&gt;0,STDEV(M$348:M$350, M353)," ")/IF(M$348*M$349*M$350*M353&gt;0,SQRT(COUNT(M$348:M$350, M353))," "),"")</f>
        <v/>
      </c>
      <c r="AR432" s="230" t="str">
        <f aca="false">IFERROR(IF(N$348*N$349*N$350*N353&gt;0,STDEV(N$348:N$350, N353)," ")/IF(N$348*N$349*N$350*N353&gt;0,SQRT(COUNT(N$348:N$350, N353))," "),"")</f>
        <v/>
      </c>
    </row>
    <row r="433" customFormat="false" ht="15.75" hidden="false" customHeight="false" outlineLevel="0" collapsed="false">
      <c r="A433" s="220" t="s">
        <v>467</v>
      </c>
      <c r="B433" s="221"/>
      <c r="C433" s="261" t="str">
        <f aca="false">IFERROR(IF(C$349*C$350*C$351*C347&gt;0,AVERAGE(C$349:C$351, C347),""),"")</f>
        <v/>
      </c>
      <c r="D433" s="261" t="str">
        <f aca="false">IFERROR(IF(D$349*D$350*D$351*D347&gt;0,AVERAGE(D$349:D$351, D347),""),"")</f>
        <v/>
      </c>
      <c r="E433" s="261" t="str">
        <f aca="false">IFERROR(IF(E$349*E$350*E$351*E347&gt;0,AVERAGE(E$349:E$351, E347),""),"")</f>
        <v/>
      </c>
      <c r="F433" s="261" t="str">
        <f aca="false">IFERROR(IF(F$349*F$350*F$351*F347&gt;0,AVERAGE(F$349:F$351, F347),""),"")</f>
        <v/>
      </c>
      <c r="G433" s="261" t="str">
        <f aca="false">IFERROR(IF(G$349*G$350*G$351*G347&gt;0,AVERAGE(G$349:G$351, G347),""),"")</f>
        <v/>
      </c>
      <c r="H433" s="261" t="str">
        <f aca="false">IFERROR(IF(H$349*H$350*H$351*H347&gt;0,AVERAGE(H$349:H$351, H347),""),"")</f>
        <v/>
      </c>
      <c r="I433" s="261" t="str">
        <f aca="false">IFERROR(IF(I$349*I$350*I$351*I347&gt;0,AVERAGE(I$349:I$351, I347),""),"")</f>
        <v/>
      </c>
      <c r="J433" s="261" t="str">
        <f aca="false">IFERROR(IF(J$349*J$350*J$351*J347&gt;0,AVERAGE(J$349:J$351, J347),""),"")</f>
        <v/>
      </c>
      <c r="K433" s="261" t="str">
        <f aca="false">IFERROR(IF(K$349*K$350*K$351*K347&gt;0,AVERAGE(K$349:K$351, K347),""),"")</f>
        <v/>
      </c>
      <c r="L433" s="261" t="str">
        <f aca="false">IFERROR(IF(L$349*L$350*L$351*L347&gt;0,AVERAGE(L$349:L$351, L347),""),"")</f>
        <v/>
      </c>
      <c r="M433" s="261" t="str">
        <f aca="false">IFERROR(IF(M$349*M$350*M$351*M347&gt;0,AVERAGE(M$349:M$351, M347),""),"")</f>
        <v/>
      </c>
      <c r="N433" s="261" t="str">
        <f aca="false">IFERROR(IF(N$349*N$350*N$351*N347&gt;0,AVERAGE(N$349:N$351, N347),""),"")</f>
        <v/>
      </c>
      <c r="O433" s="224"/>
      <c r="P433" s="224"/>
      <c r="Q433" s="232"/>
      <c r="R433" s="226" t="s">
        <v>468</v>
      </c>
      <c r="S433" s="227" t="str">
        <f aca="false">IFERROR(IF(C$349*C$350*C$351*C347&gt;0,STDEV(C$349:C$351, C347),"")/IF(C$349*C$350*C$351*C347&gt;0,AVERAGE(C$349:C$351, C347),""),"")</f>
        <v/>
      </c>
      <c r="T433" s="227" t="str">
        <f aca="false">IFERROR(IF(D$349*D$350*D$351*D347&gt;0,STDEV(D$349:D$351, D347),"")/IF(D$349*D$350*D$351*D347&gt;0,AVERAGE(D$349:D$351, D347),""),"")</f>
        <v/>
      </c>
      <c r="U433" s="227" t="str">
        <f aca="false">IFERROR(IF(E$349*E$350*E$351*E347&gt;0,STDEV(E$349:E$351, E347),"")/IF(E$349*E$350*E$351*E347&gt;0,AVERAGE(E$349:E$351, E347),""),"")</f>
        <v/>
      </c>
      <c r="V433" s="227" t="str">
        <f aca="false">IFERROR(IF(F$349*F$350*F$351*F347&gt;0,STDEV(F$349:F$351, F347),"")/IF(F$349*F$350*F$351*F347&gt;0,AVERAGE(F$349:F$351, F347),""),"")</f>
        <v/>
      </c>
      <c r="W433" s="227" t="str">
        <f aca="false">IFERROR(IF(G$349*G$350*G$351*G347&gt;0,STDEV(G$349:G$351, G347),"")/IF(G$349*G$350*G$351*G347&gt;0,AVERAGE(G$349:G$351, G347),""),"")</f>
        <v/>
      </c>
      <c r="X433" s="227" t="str">
        <f aca="false">IFERROR(IF(H$349*H$350*H$351*H347&gt;0,STDEV(H$349:H$351, H347),"")/IF(H$349*H$350*H$351*H347&gt;0,AVERAGE(H$349:H$351, H347),""),"")</f>
        <v/>
      </c>
      <c r="Y433" s="227" t="str">
        <f aca="false">IFERROR(IF(I$349*I$350*I$351*I347&gt;0,STDEV(I$349:I$351, I347),"")/IF(I$349*I$350*I$351*I347&gt;0,AVERAGE(I$349:I$351, I347),""),"")</f>
        <v/>
      </c>
      <c r="Z433" s="227" t="str">
        <f aca="false">IFERROR(IF(J$349*J$350*J$351*J347&gt;0,STDEV(J$349:J$351, J347),"")/IF(J$349*J$350*J$351*J347&gt;0,AVERAGE(J$349:J$351, J347),""),"")</f>
        <v/>
      </c>
      <c r="AA433" s="227" t="str">
        <f aca="false">IFERROR(IF(K$349*K$350*K$351*K347&gt;0,STDEV(K$349:K$351, K347),"")/IF(K$349*K$350*K$351*K347&gt;0,AVERAGE(K$349:K$351, K347),""),"")</f>
        <v/>
      </c>
      <c r="AB433" s="227" t="str">
        <f aca="false">IFERROR(IF(L$349*L$350*L$351*L347&gt;0,STDEV(L$349:L$351, L347),"")/IF(L$349*L$350*L$351*L347&gt;0,AVERAGE(L$349:L$351, L347),""),"")</f>
        <v/>
      </c>
      <c r="AC433" s="227" t="str">
        <f aca="false">IFERROR(IF(M$349*M$350*M$351*M347&gt;0,STDEV(M$349:M$351, M347),"")/IF(M$349*M$350*M$351*M347&gt;0,AVERAGE(M$349:M$351, M347),""),"")</f>
        <v/>
      </c>
      <c r="AD433" s="227" t="str">
        <f aca="false">IFERROR(IF(N$349*N$350*N$351*N347&gt;0,STDEV(N$349:N$351, N347),"")/IF(N$349*N$350*N$351*N347&gt;0,AVERAGE(N$349:N$351, N347),""),"")</f>
        <v/>
      </c>
      <c r="AE433" s="233"/>
      <c r="AF433" s="229" t="s">
        <v>469</v>
      </c>
      <c r="AG433" s="230" t="str">
        <f aca="false">IFERROR(IF(C$349*C$350*C$351*C347&gt;0,STDEV(C$349:C$351, C347)," ")/IF(C$349*C$350*C$351*C347&gt;0,SQRT(COUNT(C$349:C$351, C347))," "),"")</f>
        <v/>
      </c>
      <c r="AH433" s="230" t="str">
        <f aca="false">IFERROR(IF(D$349*D$350*D$351*D347&gt;0,STDEV(D$349:D$351, D347)," ")/IF(D$349*D$350*D$351*D347&gt;0,SQRT(COUNT(D$349:D$351, D347))," "),"")</f>
        <v/>
      </c>
      <c r="AI433" s="230" t="str">
        <f aca="false">IFERROR(IF(E$349*E$350*E$351*E347&gt;0,STDEV(E$349:E$351, E347)," ")/IF(E$349*E$350*E$351*E347&gt;0,SQRT(COUNT(E$349:E$351, E347))," "),"")</f>
        <v/>
      </c>
      <c r="AJ433" s="230" t="str">
        <f aca="false">IFERROR(IF(F$349*F$350*F$351*F347&gt;0,STDEV(F$349:F$351, F347)," ")/IF(F$349*F$350*F$351*F347&gt;0,SQRT(COUNT(F$349:F$351, F347))," "),"")</f>
        <v/>
      </c>
      <c r="AK433" s="230" t="str">
        <f aca="false">IFERROR(IF(G$349*G$350*G$351*G347&gt;0,STDEV(G$349:G$351, G347)," ")/IF(G$349*G$350*G$351*G347&gt;0,SQRT(COUNT(G$349:G$351, G347))," "),"")</f>
        <v/>
      </c>
      <c r="AL433" s="230" t="str">
        <f aca="false">IFERROR(IF(H$349*H$350*H$351*H347&gt;0,STDEV(H$349:H$351, H347)," ")/IF(H$349*H$350*H$351*H347&gt;0,SQRT(COUNT(H$349:H$351, H347))," "),"")</f>
        <v/>
      </c>
      <c r="AM433" s="230" t="str">
        <f aca="false">IFERROR(IF(I$349*I$350*I$351*I347&gt;0,STDEV(I$349:I$351, I347)," ")/IF(I$349*I$350*I$351*I347&gt;0,SQRT(COUNT(I$349:I$351, I347))," "),"")</f>
        <v/>
      </c>
      <c r="AN433" s="230" t="str">
        <f aca="false">IFERROR(IF(J$349*J$350*J$351*J347&gt;0,STDEV(J$349:J$351, J347)," ")/IF(J$349*J$350*J$351*J347&gt;0,SQRT(COUNT(J$349:J$351, J347))," "),"")</f>
        <v/>
      </c>
      <c r="AO433" s="230" t="str">
        <f aca="false">IFERROR(IF(K$349*K$350*K$351*K347&gt;0,STDEV(K$349:K$351, K347)," ")/IF(K$349*K$350*K$351*K347&gt;0,SQRT(COUNT(K$349:K$351, K347))," "),"")</f>
        <v/>
      </c>
      <c r="AP433" s="230" t="str">
        <f aca="false">IFERROR(IF(L$349*L$350*L$351*L347&gt;0,STDEV(L$349:L$351, L347)," ")/IF(L$349*L$350*L$351*L347&gt;0,SQRT(COUNT(L$349:L$351, L347))," "),"")</f>
        <v/>
      </c>
      <c r="AQ433" s="230" t="str">
        <f aca="false">IFERROR(IF(M$349*M$350*M$351*M347&gt;0,STDEV(M$349:M$351, M347)," ")/IF(M$349*M$350*M$351*M347&gt;0,SQRT(COUNT(M$349:M$351, M347))," "),"")</f>
        <v/>
      </c>
      <c r="AR433" s="230" t="str">
        <f aca="false">IFERROR(IF(N$349*N$350*N$351*N347&gt;0,STDEV(N$349:N$351, N347)," ")/IF(N$349*N$350*N$351*N347&gt;0,SQRT(COUNT(N$349:N$351, N347))," "),"")</f>
        <v/>
      </c>
    </row>
    <row r="434" customFormat="false" ht="15.75" hidden="false" customHeight="false" outlineLevel="0" collapsed="false">
      <c r="A434" s="220" t="s">
        <v>470</v>
      </c>
      <c r="B434" s="221"/>
      <c r="C434" s="261" t="str">
        <f aca="false">IFERROR(IF(C$349*C$350*C$351*C348&gt;0,AVERAGE(C$349:C$351, C348),""),"")</f>
        <v/>
      </c>
      <c r="D434" s="261" t="str">
        <f aca="false">IFERROR(IF(D$349*D$350*D$351*D348&gt;0,AVERAGE(D$349:D$351, D348),""),"")</f>
        <v/>
      </c>
      <c r="E434" s="261" t="str">
        <f aca="false">IFERROR(IF(E$349*E$350*E$351*E348&gt;0,AVERAGE(E$349:E$351, E348),""),"")</f>
        <v/>
      </c>
      <c r="F434" s="261" t="str">
        <f aca="false">IFERROR(IF(F$349*F$350*F$351*F348&gt;0,AVERAGE(F$349:F$351, F348),""),"")</f>
        <v/>
      </c>
      <c r="G434" s="261" t="str">
        <f aca="false">IFERROR(IF(G$349*G$350*G$351*G348&gt;0,AVERAGE(G$349:G$351, G348),""),"")</f>
        <v/>
      </c>
      <c r="H434" s="261" t="str">
        <f aca="false">IFERROR(IF(H$349*H$350*H$351*H348&gt;0,AVERAGE(H$349:H$351, H348),""),"")</f>
        <v/>
      </c>
      <c r="I434" s="261" t="str">
        <f aca="false">IFERROR(IF(I$349*I$350*I$351*I348&gt;0,AVERAGE(I$349:I$351, I348),""),"")</f>
        <v/>
      </c>
      <c r="J434" s="261" t="str">
        <f aca="false">IFERROR(IF(J$349*J$350*J$351*J348&gt;0,AVERAGE(J$349:J$351, J348),""),"")</f>
        <v/>
      </c>
      <c r="K434" s="261" t="str">
        <f aca="false">IFERROR(IF(K$349*K$350*K$351*K348&gt;0,AVERAGE(K$349:K$351, K348),""),"")</f>
        <v/>
      </c>
      <c r="L434" s="261" t="str">
        <f aca="false">IFERROR(IF(L$349*L$350*L$351*L348&gt;0,AVERAGE(L$349:L$351, L348),""),"")</f>
        <v/>
      </c>
      <c r="M434" s="261" t="str">
        <f aca="false">IFERROR(IF(M$349*M$350*M$351*M348&gt;0,AVERAGE(M$349:M$351, M348),""),"")</f>
        <v/>
      </c>
      <c r="N434" s="261" t="str">
        <f aca="false">IFERROR(IF(N$349*N$350*N$351*N348&gt;0,AVERAGE(N$349:N$351, N348),""),"")</f>
        <v/>
      </c>
      <c r="O434" s="224"/>
      <c r="P434" s="224"/>
      <c r="Q434" s="232"/>
      <c r="R434" s="226" t="s">
        <v>471</v>
      </c>
      <c r="S434" s="227" t="str">
        <f aca="false">IFERROR(IF(C$349*C$350*C$351*C348&gt;0,STDEV(C$349:C$351, C348),"")/IF(C$349*C$350*C$351*C348&gt;0,AVERAGE(C$349:C$351, C348),""),"")</f>
        <v/>
      </c>
      <c r="T434" s="227" t="str">
        <f aca="false">IFERROR(IF(D$349*D$350*D$351*D348&gt;0,STDEV(D$349:D$351, D348),"")/IF(D$349*D$350*D$351*D348&gt;0,AVERAGE(D$349:D$351, D348),""),"")</f>
        <v/>
      </c>
      <c r="U434" s="227" t="str">
        <f aca="false">IFERROR(IF(E$349*E$350*E$351*E348&gt;0,STDEV(E$349:E$351, E348),"")/IF(E$349*E$350*E$351*E348&gt;0,AVERAGE(E$349:E$351, E348),""),"")</f>
        <v/>
      </c>
      <c r="V434" s="227" t="str">
        <f aca="false">IFERROR(IF(F$349*F$350*F$351*F348&gt;0,STDEV(F$349:F$351, F348),"")/IF(F$349*F$350*F$351*F348&gt;0,AVERAGE(F$349:F$351, F348),""),"")</f>
        <v/>
      </c>
      <c r="W434" s="227" t="str">
        <f aca="false">IFERROR(IF(G$349*G$350*G$351*G348&gt;0,STDEV(G$349:G$351, G348),"")/IF(G$349*G$350*G$351*G348&gt;0,AVERAGE(G$349:G$351, G348),""),"")</f>
        <v/>
      </c>
      <c r="X434" s="227" t="str">
        <f aca="false">IFERROR(IF(H$349*H$350*H$351*H348&gt;0,STDEV(H$349:H$351, H348),"")/IF(H$349*H$350*H$351*H348&gt;0,AVERAGE(H$349:H$351, H348),""),"")</f>
        <v/>
      </c>
      <c r="Y434" s="227" t="str">
        <f aca="false">IFERROR(IF(I$349*I$350*I$351*I348&gt;0,STDEV(I$349:I$351, I348),"")/IF(I$349*I$350*I$351*I348&gt;0,AVERAGE(I$349:I$351, I348),""),"")</f>
        <v/>
      </c>
      <c r="Z434" s="227" t="str">
        <f aca="false">IFERROR(IF(J$349*J$350*J$351*J348&gt;0,STDEV(J$349:J$351, J348),"")/IF(J$349*J$350*J$351*J348&gt;0,AVERAGE(J$349:J$351, J348),""),"")</f>
        <v/>
      </c>
      <c r="AA434" s="227" t="str">
        <f aca="false">IFERROR(IF(K$349*K$350*K$351*K348&gt;0,STDEV(K$349:K$351, K348),"")/IF(K$349*K$350*K$351*K348&gt;0,AVERAGE(K$349:K$351, K348),""),"")</f>
        <v/>
      </c>
      <c r="AB434" s="227" t="str">
        <f aca="false">IFERROR(IF(L$349*L$350*L$351*L348&gt;0,STDEV(L$349:L$351, L348),"")/IF(L$349*L$350*L$351*L348&gt;0,AVERAGE(L$349:L$351, L348),""),"")</f>
        <v/>
      </c>
      <c r="AC434" s="227" t="str">
        <f aca="false">IFERROR(IF(M$349*M$350*M$351*M348&gt;0,STDEV(M$349:M$351, M348),"")/IF(M$349*M$350*M$351*M348&gt;0,AVERAGE(M$349:M$351, M348),""),"")</f>
        <v/>
      </c>
      <c r="AD434" s="227" t="str">
        <f aca="false">IFERROR(IF(N$349*N$350*N$351*N348&gt;0,STDEV(N$349:N$351, N348),"")/IF(N$349*N$350*N$351*N348&gt;0,AVERAGE(N$349:N$351, N348),""),"")</f>
        <v/>
      </c>
      <c r="AE434" s="233"/>
      <c r="AF434" s="229" t="s">
        <v>472</v>
      </c>
      <c r="AG434" s="230" t="str">
        <f aca="false">IFERROR(IF(C$349*C$350*C$351*C348&gt;0,STDEV(C$349:C$351, C348)," ")/IF(C$349*C$350*C$351*C348&gt;0,SQRT(COUNT(C$349:C$351, C348))," "),"")</f>
        <v/>
      </c>
      <c r="AH434" s="230" t="str">
        <f aca="false">IFERROR(IF(D$349*D$350*D$351*D348&gt;0,STDEV(D$349:D$351, D348)," ")/IF(D$349*D$350*D$351*D348&gt;0,SQRT(COUNT(D$349:D$351, D348))," "),"")</f>
        <v/>
      </c>
      <c r="AI434" s="230" t="str">
        <f aca="false">IFERROR(IF(E$349*E$350*E$351*E348&gt;0,STDEV(E$349:E$351, E348)," ")/IF(E$349*E$350*E$351*E348&gt;0,SQRT(COUNT(E$349:E$351, E348))," "),"")</f>
        <v/>
      </c>
      <c r="AJ434" s="230" t="str">
        <f aca="false">IFERROR(IF(F$349*F$350*F$351*F348&gt;0,STDEV(F$349:F$351, F348)," ")/IF(F$349*F$350*F$351*F348&gt;0,SQRT(COUNT(F$349:F$351, F348))," "),"")</f>
        <v/>
      </c>
      <c r="AK434" s="230" t="str">
        <f aca="false">IFERROR(IF(G$349*G$350*G$351*G348&gt;0,STDEV(G$349:G$351, G348)," ")/IF(G$349*G$350*G$351*G348&gt;0,SQRT(COUNT(G$349:G$351, G348))," "),"")</f>
        <v/>
      </c>
      <c r="AL434" s="230" t="str">
        <f aca="false">IFERROR(IF(H$349*H$350*H$351*H348&gt;0,STDEV(H$349:H$351, H348)," ")/IF(H$349*H$350*H$351*H348&gt;0,SQRT(COUNT(H$349:H$351, H348))," "),"")</f>
        <v/>
      </c>
      <c r="AM434" s="230" t="str">
        <f aca="false">IFERROR(IF(I$349*I$350*I$351*I348&gt;0,STDEV(I$349:I$351, I348)," ")/IF(I$349*I$350*I$351*I348&gt;0,SQRT(COUNT(I$349:I$351, I348))," "),"")</f>
        <v/>
      </c>
      <c r="AN434" s="230" t="str">
        <f aca="false">IFERROR(IF(J$349*J$350*J$351*J348&gt;0,STDEV(J$349:J$351, J348)," ")/IF(J$349*J$350*J$351*J348&gt;0,SQRT(COUNT(J$349:J$351, J348))," "),"")</f>
        <v/>
      </c>
      <c r="AO434" s="230" t="str">
        <f aca="false">IFERROR(IF(K$349*K$350*K$351*K348&gt;0,STDEV(K$349:K$351, K348)," ")/IF(K$349*K$350*K$351*K348&gt;0,SQRT(COUNT(K$349:K$351, K348))," "),"")</f>
        <v/>
      </c>
      <c r="AP434" s="230" t="str">
        <f aca="false">IFERROR(IF(L$349*L$350*L$351*L348&gt;0,STDEV(L$349:L$351, L348)," ")/IF(L$349*L$350*L$351*L348&gt;0,SQRT(COUNT(L$349:L$351, L348))," "),"")</f>
        <v/>
      </c>
      <c r="AQ434" s="230" t="str">
        <f aca="false">IFERROR(IF(M$349*M$350*M$351*M348&gt;0,STDEV(M$349:M$351, M348)," ")/IF(M$349*M$350*M$351*M348&gt;0,SQRT(COUNT(M$349:M$351, M348))," "),"")</f>
        <v/>
      </c>
      <c r="AR434" s="230" t="str">
        <f aca="false">IFERROR(IF(N$349*N$350*N$351*N348&gt;0,STDEV(N$349:N$351, N348)," ")/IF(N$349*N$350*N$351*N348&gt;0,SQRT(COUNT(N$349:N$351, N348))," "),"")</f>
        <v/>
      </c>
    </row>
    <row r="435" customFormat="false" ht="15.75" hidden="false" customHeight="false" outlineLevel="0" collapsed="false">
      <c r="A435" s="220" t="s">
        <v>473</v>
      </c>
      <c r="B435" s="221"/>
      <c r="C435" s="261" t="str">
        <f aca="false">IFERROR(IF(C$349*C$350*C$351*C352&gt;0,AVERAGE(C$349:C$351, C352),""),"")</f>
        <v/>
      </c>
      <c r="D435" s="261" t="str">
        <f aca="false">IFERROR(IF(D$349*D$350*D$351*D352&gt;0,AVERAGE(D$349:D$351, D352),""),"")</f>
        <v/>
      </c>
      <c r="E435" s="261" t="str">
        <f aca="false">IFERROR(IF(E$349*E$350*E$351*E352&gt;0,AVERAGE(E$349:E$351, E352),""),"")</f>
        <v/>
      </c>
      <c r="F435" s="261" t="str">
        <f aca="false">IFERROR(IF(F$349*F$350*F$351*F352&gt;0,AVERAGE(F$349:F$351, F352),""),"")</f>
        <v/>
      </c>
      <c r="G435" s="261" t="str">
        <f aca="false">IFERROR(IF(G$349*G$350*G$351*G352&gt;0,AVERAGE(G$349:G$351, G352),""),"")</f>
        <v/>
      </c>
      <c r="H435" s="261" t="str">
        <f aca="false">IFERROR(IF(H$349*H$350*H$351*H352&gt;0,AVERAGE(H$349:H$351, H352),""),"")</f>
        <v/>
      </c>
      <c r="I435" s="261" t="str">
        <f aca="false">IFERROR(IF(I$349*I$350*I$351*I352&gt;0,AVERAGE(I$349:I$351, I352),""),"")</f>
        <v/>
      </c>
      <c r="J435" s="261" t="str">
        <f aca="false">IFERROR(IF(J$349*J$350*J$351*J352&gt;0,AVERAGE(J$349:J$351, J352),""),"")</f>
        <v/>
      </c>
      <c r="K435" s="261" t="str">
        <f aca="false">IFERROR(IF(K$349*K$350*K$351*K352&gt;0,AVERAGE(K$349:K$351, K352),""),"")</f>
        <v/>
      </c>
      <c r="L435" s="261" t="str">
        <f aca="false">IFERROR(IF(L$349*L$350*L$351*L352&gt;0,AVERAGE(L$349:L$351, L352),""),"")</f>
        <v/>
      </c>
      <c r="M435" s="261" t="str">
        <f aca="false">IFERROR(IF(M$349*M$350*M$351*M352&gt;0,AVERAGE(M$349:M$351, M352),""),"")</f>
        <v/>
      </c>
      <c r="N435" s="261" t="str">
        <f aca="false">IFERROR(IF(N$349*N$350*N$351*N352&gt;0,AVERAGE(N$349:N$351, N352),""),"")</f>
        <v/>
      </c>
      <c r="O435" s="224"/>
      <c r="P435" s="224"/>
      <c r="Q435" s="232"/>
      <c r="R435" s="226" t="s">
        <v>474</v>
      </c>
      <c r="S435" s="227" t="str">
        <f aca="false">IFERROR(IF(C$349*C$350*C$351*C352&gt;0,STDEV(C$349:C$351, C352),"")/IF(C$349*C$350*C$351*C352&gt;0,AVERAGE(C$349:C$351, C352),""),"")</f>
        <v/>
      </c>
      <c r="T435" s="227" t="str">
        <f aca="false">IFERROR(IF(D$349*D$350*D$351*D352&gt;0,STDEV(D$349:D$351, D352),"")/IF(D$349*D$350*D$351*D352&gt;0,AVERAGE(D$349:D$351, D352),""),"")</f>
        <v/>
      </c>
      <c r="U435" s="227" t="str">
        <f aca="false">IFERROR(IF(E$349*E$350*E$351*E352&gt;0,STDEV(E$349:E$351, E352),"")/IF(E$349*E$350*E$351*E352&gt;0,AVERAGE(E$349:E$351, E352),""),"")</f>
        <v/>
      </c>
      <c r="V435" s="227" t="str">
        <f aca="false">IFERROR(IF(F$349*F$350*F$351*F352&gt;0,STDEV(F$349:F$351, F352),"")/IF(F$349*F$350*F$351*F352&gt;0,AVERAGE(F$349:F$351, F352),""),"")</f>
        <v/>
      </c>
      <c r="W435" s="227" t="str">
        <f aca="false">IFERROR(IF(G$349*G$350*G$351*G352&gt;0,STDEV(G$349:G$351, G352),"")/IF(G$349*G$350*G$351*G352&gt;0,AVERAGE(G$349:G$351, G352),""),"")</f>
        <v/>
      </c>
      <c r="X435" s="227" t="str">
        <f aca="false">IFERROR(IF(H$349*H$350*H$351*H352&gt;0,STDEV(H$349:H$351, H352),"")/IF(H$349*H$350*H$351*H352&gt;0,AVERAGE(H$349:H$351, H352),""),"")</f>
        <v/>
      </c>
      <c r="Y435" s="227" t="str">
        <f aca="false">IFERROR(IF(I$349*I$350*I$351*I352&gt;0,STDEV(I$349:I$351, I352),"")/IF(I$349*I$350*I$351*I352&gt;0,AVERAGE(I$349:I$351, I352),""),"")</f>
        <v/>
      </c>
      <c r="Z435" s="227" t="str">
        <f aca="false">IFERROR(IF(J$349*J$350*J$351*J352&gt;0,STDEV(J$349:J$351, J352),"")/IF(J$349*J$350*J$351*J352&gt;0,AVERAGE(J$349:J$351, J352),""),"")</f>
        <v/>
      </c>
      <c r="AA435" s="227" t="str">
        <f aca="false">IFERROR(IF(K$349*K$350*K$351*K352&gt;0,STDEV(K$349:K$351, K352),"")/IF(K$349*K$350*K$351*K352&gt;0,AVERAGE(K$349:K$351, K352),""),"")</f>
        <v/>
      </c>
      <c r="AB435" s="227" t="str">
        <f aca="false">IFERROR(IF(L$349*L$350*L$351*L352&gt;0,STDEV(L$349:L$351, L352),"")/IF(L$349*L$350*L$351*L352&gt;0,AVERAGE(L$349:L$351, L352),""),"")</f>
        <v/>
      </c>
      <c r="AC435" s="227" t="str">
        <f aca="false">IFERROR(IF(M$349*M$350*M$351*M352&gt;0,STDEV(M$349:M$351, M352),"")/IF(M$349*M$350*M$351*M352&gt;0,AVERAGE(M$349:M$351, M352),""),"")</f>
        <v/>
      </c>
      <c r="AD435" s="227" t="str">
        <f aca="false">IFERROR(IF(N$349*N$350*N$351*N352&gt;0,STDEV(N$349:N$351, N352),"")/IF(N$349*N$350*N$351*N352&gt;0,AVERAGE(N$349:N$351, N352),""),"")</f>
        <v/>
      </c>
      <c r="AE435" s="233"/>
      <c r="AF435" s="229" t="s">
        <v>475</v>
      </c>
      <c r="AG435" s="230" t="str">
        <f aca="false">IFERROR(IF(C$349*C$350*C$351*C352&gt;0,STDEV(C$349:C$351, C352)," ")/IF(C$349*C$350*C$351*C352&gt;0,SQRT(COUNT(C$349:C$351, C352))," "),"")</f>
        <v/>
      </c>
      <c r="AH435" s="230" t="str">
        <f aca="false">IFERROR(IF(D$349*D$350*D$351*D352&gt;0,STDEV(D$349:D$351, D352)," ")/IF(D$349*D$350*D$351*D352&gt;0,SQRT(COUNT(D$349:D$351, D352))," "),"")</f>
        <v/>
      </c>
      <c r="AI435" s="230" t="str">
        <f aca="false">IFERROR(IF(E$349*E$350*E$351*E352&gt;0,STDEV(E$349:E$351, E352)," ")/IF(E$349*E$350*E$351*E352&gt;0,SQRT(COUNT(E$349:E$351, E352))," "),"")</f>
        <v/>
      </c>
      <c r="AJ435" s="230" t="str">
        <f aca="false">IFERROR(IF(F$349*F$350*F$351*F352&gt;0,STDEV(F$349:F$351, F352)," ")/IF(F$349*F$350*F$351*F352&gt;0,SQRT(COUNT(F$349:F$351, F352))," "),"")</f>
        <v/>
      </c>
      <c r="AK435" s="230" t="str">
        <f aca="false">IFERROR(IF(G$349*G$350*G$351*G352&gt;0,STDEV(G$349:G$351, G352)," ")/IF(G$349*G$350*G$351*G352&gt;0,SQRT(COUNT(G$349:G$351, G352))," "),"")</f>
        <v/>
      </c>
      <c r="AL435" s="230" t="str">
        <f aca="false">IFERROR(IF(H$349*H$350*H$351*H352&gt;0,STDEV(H$349:H$351, H352)," ")/IF(H$349*H$350*H$351*H352&gt;0,SQRT(COUNT(H$349:H$351, H352))," "),"")</f>
        <v/>
      </c>
      <c r="AM435" s="230" t="str">
        <f aca="false">IFERROR(IF(I$349*I$350*I$351*I352&gt;0,STDEV(I$349:I$351, I352)," ")/IF(I$349*I$350*I$351*I352&gt;0,SQRT(COUNT(I$349:I$351, I352))," "),"")</f>
        <v/>
      </c>
      <c r="AN435" s="230" t="str">
        <f aca="false">IFERROR(IF(J$349*J$350*J$351*J352&gt;0,STDEV(J$349:J$351, J352)," ")/IF(J$349*J$350*J$351*J352&gt;0,SQRT(COUNT(J$349:J$351, J352))," "),"")</f>
        <v/>
      </c>
      <c r="AO435" s="230" t="str">
        <f aca="false">IFERROR(IF(K$349*K$350*K$351*K352&gt;0,STDEV(K$349:K$351, K352)," ")/IF(K$349*K$350*K$351*K352&gt;0,SQRT(COUNT(K$349:K$351, K352))," "),"")</f>
        <v/>
      </c>
      <c r="AP435" s="230" t="str">
        <f aca="false">IFERROR(IF(L$349*L$350*L$351*L352&gt;0,STDEV(L$349:L$351, L352)," ")/IF(L$349*L$350*L$351*L352&gt;0,SQRT(COUNT(L$349:L$351, L352))," "),"")</f>
        <v/>
      </c>
      <c r="AQ435" s="230" t="str">
        <f aca="false">IFERROR(IF(M$349*M$350*M$351*M352&gt;0,STDEV(M$349:M$351, M352)," ")/IF(M$349*M$350*M$351*M352&gt;0,SQRT(COUNT(M$349:M$351, M352))," "),"")</f>
        <v/>
      </c>
      <c r="AR435" s="230" t="str">
        <f aca="false">IFERROR(IF(N$349*N$350*N$351*N352&gt;0,STDEV(N$349:N$351, N352)," ")/IF(N$349*N$350*N$351*N352&gt;0,SQRT(COUNT(N$349:N$351, N352))," "),"")</f>
        <v/>
      </c>
    </row>
    <row r="436" customFormat="false" ht="15.75" hidden="false" customHeight="false" outlineLevel="0" collapsed="false">
      <c r="A436" s="220" t="s">
        <v>476</v>
      </c>
      <c r="B436" s="221"/>
      <c r="C436" s="261" t="str">
        <f aca="false">IFERROR(IF(C$349*C$350*C$351*C353&gt;0,AVERAGE(C$349:C$351, C353),""),"")</f>
        <v/>
      </c>
      <c r="D436" s="261" t="str">
        <f aca="false">IFERROR(IF(D$349*D$350*D$351*D353&gt;0,AVERAGE(D$349:D$351, D353),""),"")</f>
        <v/>
      </c>
      <c r="E436" s="261" t="str">
        <f aca="false">IFERROR(IF(E$349*E$350*E$351*E353&gt;0,AVERAGE(E$349:E$351, E353),""),"")</f>
        <v/>
      </c>
      <c r="F436" s="261" t="str">
        <f aca="false">IFERROR(IF(F$349*F$350*F$351*F353&gt;0,AVERAGE(F$349:F$351, F353),""),"")</f>
        <v/>
      </c>
      <c r="G436" s="261" t="str">
        <f aca="false">IFERROR(IF(G$349*G$350*G$351*G353&gt;0,AVERAGE(G$349:G$351, G353),""),"")</f>
        <v/>
      </c>
      <c r="H436" s="261" t="str">
        <f aca="false">IFERROR(IF(H$349*H$350*H$351*H353&gt;0,AVERAGE(H$349:H$351, H353),""),"")</f>
        <v/>
      </c>
      <c r="I436" s="261" t="str">
        <f aca="false">IFERROR(IF(I$349*I$350*I$351*I353&gt;0,AVERAGE(I$349:I$351, I353),""),"")</f>
        <v/>
      </c>
      <c r="J436" s="261" t="str">
        <f aca="false">IFERROR(IF(J$349*J$350*J$351*J353&gt;0,AVERAGE(J$349:J$351, J353),""),"")</f>
        <v/>
      </c>
      <c r="K436" s="261" t="str">
        <f aca="false">IFERROR(IF(K$349*K$350*K$351*K353&gt;0,AVERAGE(K$349:K$351, K353),""),"")</f>
        <v/>
      </c>
      <c r="L436" s="261" t="str">
        <f aca="false">IFERROR(IF(L$349*L$350*L$351*L353&gt;0,AVERAGE(L$349:L$351, L353),""),"")</f>
        <v/>
      </c>
      <c r="M436" s="261" t="str">
        <f aca="false">IFERROR(IF(M$349*M$350*M$351*M353&gt;0,AVERAGE(M$349:M$351, M353),""),"")</f>
        <v/>
      </c>
      <c r="N436" s="261" t="str">
        <f aca="false">IFERROR(IF(N$349*N$350*N$351*N353&gt;0,AVERAGE(N$349:N$351, N353),""),"")</f>
        <v/>
      </c>
      <c r="O436" s="224"/>
      <c r="P436" s="224"/>
      <c r="Q436" s="232"/>
      <c r="R436" s="226" t="s">
        <v>477</v>
      </c>
      <c r="S436" s="227" t="str">
        <f aca="false">IFERROR(IF(C$349*C$350*C$351*C353&gt;0,STDEV(C$349:C$351, C353),"")/IF(C$349*C$350*C$351*C353&gt;0,AVERAGE(C$349:C$351, C353),""),"")</f>
        <v/>
      </c>
      <c r="T436" s="227" t="str">
        <f aca="false">IFERROR(IF(D$349*D$350*D$351*D353&gt;0,STDEV(D$349:D$351, D353),"")/IF(D$349*D$350*D$351*D353&gt;0,AVERAGE(D$349:D$351, D353),""),"")</f>
        <v/>
      </c>
      <c r="U436" s="227" t="str">
        <f aca="false">IFERROR(IF(E$349*E$350*E$351*E353&gt;0,STDEV(E$349:E$351, E353),"")/IF(E$349*E$350*E$351*E353&gt;0,AVERAGE(E$349:E$351, E353),""),"")</f>
        <v/>
      </c>
      <c r="V436" s="227" t="str">
        <f aca="false">IFERROR(IF(F$349*F$350*F$351*F353&gt;0,STDEV(F$349:F$351, F353),"")/IF(F$349*F$350*F$351*F353&gt;0,AVERAGE(F$349:F$351, F353),""),"")</f>
        <v/>
      </c>
      <c r="W436" s="227" t="str">
        <f aca="false">IFERROR(IF(G$349*G$350*G$351*G353&gt;0,STDEV(G$349:G$351, G353),"")/IF(G$349*G$350*G$351*G353&gt;0,AVERAGE(G$349:G$351, G353),""),"")</f>
        <v/>
      </c>
      <c r="X436" s="227" t="str">
        <f aca="false">IFERROR(IF(H$349*H$350*H$351*H353&gt;0,STDEV(H$349:H$351, H353),"")/IF(H$349*H$350*H$351*H353&gt;0,AVERAGE(H$349:H$351, H353),""),"")</f>
        <v/>
      </c>
      <c r="Y436" s="227" t="str">
        <f aca="false">IFERROR(IF(I$349*I$350*I$351*I353&gt;0,STDEV(I$349:I$351, I353),"")/IF(I$349*I$350*I$351*I353&gt;0,AVERAGE(I$349:I$351, I353),""),"")</f>
        <v/>
      </c>
      <c r="Z436" s="227" t="str">
        <f aca="false">IFERROR(IF(J$349*J$350*J$351*J353&gt;0,STDEV(J$349:J$351, J353),"")/IF(J$349*J$350*J$351*J353&gt;0,AVERAGE(J$349:J$351, J353),""),"")</f>
        <v/>
      </c>
      <c r="AA436" s="227" t="str">
        <f aca="false">IFERROR(IF(K$349*K$350*K$351*K353&gt;0,STDEV(K$349:K$351, K353),"")/IF(K$349*K$350*K$351*K353&gt;0,AVERAGE(K$349:K$351, K353),""),"")</f>
        <v/>
      </c>
      <c r="AB436" s="227" t="str">
        <f aca="false">IFERROR(IF(L$349*L$350*L$351*L353&gt;0,STDEV(L$349:L$351, L353),"")/IF(L$349*L$350*L$351*L353&gt;0,AVERAGE(L$349:L$351, L353),""),"")</f>
        <v/>
      </c>
      <c r="AC436" s="227" t="str">
        <f aca="false">IFERROR(IF(M$349*M$350*M$351*M353&gt;0,STDEV(M$349:M$351, M353),"")/IF(M$349*M$350*M$351*M353&gt;0,AVERAGE(M$349:M$351, M353),""),"")</f>
        <v/>
      </c>
      <c r="AD436" s="227" t="str">
        <f aca="false">IFERROR(IF(N$349*N$350*N$351*N353&gt;0,STDEV(N$349:N$351, N353),"")/IF(N$349*N$350*N$351*N353&gt;0,AVERAGE(N$349:N$351, N353),""),"")</f>
        <v/>
      </c>
      <c r="AE436" s="233"/>
      <c r="AF436" s="229" t="s">
        <v>478</v>
      </c>
      <c r="AG436" s="230" t="str">
        <f aca="false">IFERROR(IF(C$349*C$350*C$351*C353&gt;0,STDEV(C$349:C$351, C353)," ")/IF(C$349*C$350*C$351*C353&gt;0,SQRT(COUNT(C$349:C$351, C353))," "),"")</f>
        <v/>
      </c>
      <c r="AH436" s="230" t="str">
        <f aca="false">IFERROR(IF(D$349*D$350*D$351*D353&gt;0,STDEV(D$349:D$351, D353)," ")/IF(D$349*D$350*D$351*D353&gt;0,SQRT(COUNT(D$349:D$351, D353))," "),"")</f>
        <v/>
      </c>
      <c r="AI436" s="230" t="str">
        <f aca="false">IFERROR(IF(E$349*E$350*E$351*E353&gt;0,STDEV(E$349:E$351, E353)," ")/IF(E$349*E$350*E$351*E353&gt;0,SQRT(COUNT(E$349:E$351, E353))," "),"")</f>
        <v/>
      </c>
      <c r="AJ436" s="230" t="str">
        <f aca="false">IFERROR(IF(F$349*F$350*F$351*F353&gt;0,STDEV(F$349:F$351, F353)," ")/IF(F$349*F$350*F$351*F353&gt;0,SQRT(COUNT(F$349:F$351, F353))," "),"")</f>
        <v/>
      </c>
      <c r="AK436" s="230" t="str">
        <f aca="false">IFERROR(IF(G$349*G$350*G$351*G353&gt;0,STDEV(G$349:G$351, G353)," ")/IF(G$349*G$350*G$351*G353&gt;0,SQRT(COUNT(G$349:G$351, G353))," "),"")</f>
        <v/>
      </c>
      <c r="AL436" s="230" t="str">
        <f aca="false">IFERROR(IF(H$349*H$350*H$351*H353&gt;0,STDEV(H$349:H$351, H353)," ")/IF(H$349*H$350*H$351*H353&gt;0,SQRT(COUNT(H$349:H$351, H353))," "),"")</f>
        <v/>
      </c>
      <c r="AM436" s="230" t="str">
        <f aca="false">IFERROR(IF(I$349*I$350*I$351*I353&gt;0,STDEV(I$349:I$351, I353)," ")/IF(I$349*I$350*I$351*I353&gt;0,SQRT(COUNT(I$349:I$351, I353))," "),"")</f>
        <v/>
      </c>
      <c r="AN436" s="230" t="str">
        <f aca="false">IFERROR(IF(J$349*J$350*J$351*J353&gt;0,STDEV(J$349:J$351, J353)," ")/IF(J$349*J$350*J$351*J353&gt;0,SQRT(COUNT(J$349:J$351, J353))," "),"")</f>
        <v/>
      </c>
      <c r="AO436" s="230" t="str">
        <f aca="false">IFERROR(IF(K$349*K$350*K$351*K353&gt;0,STDEV(K$349:K$351, K353)," ")/IF(K$349*K$350*K$351*K353&gt;0,SQRT(COUNT(K$349:K$351, K353))," "),"")</f>
        <v/>
      </c>
      <c r="AP436" s="230" t="str">
        <f aca="false">IFERROR(IF(L$349*L$350*L$351*L353&gt;0,STDEV(L$349:L$351, L353)," ")/IF(L$349*L$350*L$351*L353&gt;0,SQRT(COUNT(L$349:L$351, L353))," "),"")</f>
        <v/>
      </c>
      <c r="AQ436" s="230" t="str">
        <f aca="false">IFERROR(IF(M$349*M$350*M$351*M353&gt;0,STDEV(M$349:M$351, M353)," ")/IF(M$349*M$350*M$351*M353&gt;0,SQRT(COUNT(M$349:M$351, M353))," "),"")</f>
        <v/>
      </c>
      <c r="AR436" s="230" t="str">
        <f aca="false">IFERROR(IF(N$349*N$350*N$351*N353&gt;0,STDEV(N$349:N$351, N353)," ")/IF(N$349*N$350*N$351*N353&gt;0,SQRT(COUNT(N$349:N$351, N353))," "),"")</f>
        <v/>
      </c>
    </row>
    <row r="437" customFormat="false" ht="15.75" hidden="false" customHeight="false" outlineLevel="0" collapsed="false">
      <c r="A437" s="220" t="s">
        <v>479</v>
      </c>
      <c r="B437" s="221"/>
      <c r="C437" s="261" t="str">
        <f aca="false">IFERROR(IF(C$350*C$351*C$352*C347&gt;0,AVERAGE(C$350:C$352, C347),""),"")</f>
        <v/>
      </c>
      <c r="D437" s="261" t="str">
        <f aca="false">IFERROR(IF(D$350*D$351*D$352*D347&gt;0,AVERAGE(D$350:D$352, D347),""),"")</f>
        <v/>
      </c>
      <c r="E437" s="261" t="str">
        <f aca="false">IFERROR(IF(E$350*E$351*E$352*E347&gt;0,AVERAGE(E$350:E$352, E347),""),"")</f>
        <v/>
      </c>
      <c r="F437" s="261" t="str">
        <f aca="false">IFERROR(IF(F$350*F$351*F$352*F347&gt;0,AVERAGE(F$350:F$352, F347),""),"")</f>
        <v/>
      </c>
      <c r="G437" s="261" t="str">
        <f aca="false">IFERROR(IF(G$350*G$351*G$352*G347&gt;0,AVERAGE(G$350:G$352, G347),""),"")</f>
        <v/>
      </c>
      <c r="H437" s="261" t="str">
        <f aca="false">IFERROR(IF(H$350*H$351*H$352*H347&gt;0,AVERAGE(H$350:H$352, H347),""),"")</f>
        <v/>
      </c>
      <c r="I437" s="261" t="str">
        <f aca="false">IFERROR(IF(I$350*I$351*I$352*I347&gt;0,AVERAGE(I$350:I$352, I347),""),"")</f>
        <v/>
      </c>
      <c r="J437" s="261" t="str">
        <f aca="false">IFERROR(IF(J$350*J$351*J$352*J347&gt;0,AVERAGE(J$350:J$352, J347),""),"")</f>
        <v/>
      </c>
      <c r="K437" s="261" t="str">
        <f aca="false">IFERROR(IF(K$350*K$351*K$352*K347&gt;0,AVERAGE(K$350:K$352, K347),""),"")</f>
        <v/>
      </c>
      <c r="L437" s="261" t="str">
        <f aca="false">IFERROR(IF(L$350*L$351*L$352*L347&gt;0,AVERAGE(L$350:L$352, L347),""),"")</f>
        <v/>
      </c>
      <c r="M437" s="261" t="str">
        <f aca="false">IFERROR(IF(M$350*M$351*M$352*M347&gt;0,AVERAGE(M$350:M$352, M347),""),"")</f>
        <v/>
      </c>
      <c r="N437" s="261" t="str">
        <f aca="false">IFERROR(IF(N$350*N$351*N$352*N347&gt;0,AVERAGE(N$350:N$352, N347),""),"")</f>
        <v/>
      </c>
      <c r="O437" s="224"/>
      <c r="P437" s="224"/>
      <c r="Q437" s="232"/>
      <c r="R437" s="226" t="s">
        <v>480</v>
      </c>
      <c r="S437" s="227" t="str">
        <f aca="false">IFERROR(IF(C$350*C$351*C$352*C347&gt;0,STDEV(C$350:C$352, C347),"")/IF(C$350*C$351*C$352*C347&gt;0,AVERAGE(C$350:C$352, C347),""),"")</f>
        <v/>
      </c>
      <c r="T437" s="227" t="str">
        <f aca="false">IFERROR(IF(D$350*D$351*D$352*D347&gt;0,STDEV(D$350:D$352, D347),"")/IF(D$350*D$351*D$352*D347&gt;0,AVERAGE(D$350:D$352, D347),""),"")</f>
        <v/>
      </c>
      <c r="U437" s="227" t="str">
        <f aca="false">IFERROR(IF(E$350*E$351*E$352*E347&gt;0,STDEV(E$350:E$352, E347),"")/IF(E$350*E$351*E$352*E347&gt;0,AVERAGE(E$350:E$352, E347),""),"")</f>
        <v/>
      </c>
      <c r="V437" s="227" t="str">
        <f aca="false">IFERROR(IF(F$350*F$351*F$352*F347&gt;0,STDEV(F$350:F$352, F347),"")/IF(F$350*F$351*F$352*F347&gt;0,AVERAGE(F$350:F$352, F347),""),"")</f>
        <v/>
      </c>
      <c r="W437" s="227" t="str">
        <f aca="false">IFERROR(IF(G$350*G$351*G$352*G347&gt;0,STDEV(G$350:G$352, G347),"")/IF(G$350*G$351*G$352*G347&gt;0,AVERAGE(G$350:G$352, G347),""),"")</f>
        <v/>
      </c>
      <c r="X437" s="227" t="str">
        <f aca="false">IFERROR(IF(H$350*H$351*H$352*H347&gt;0,STDEV(H$350:H$352, H347),"")/IF(H$350*H$351*H$352*H347&gt;0,AVERAGE(H$350:H$352, H347),""),"")</f>
        <v/>
      </c>
      <c r="Y437" s="227" t="str">
        <f aca="false">IFERROR(IF(I$350*I$351*I$352*I347&gt;0,STDEV(I$350:I$352, I347),"")/IF(I$350*I$351*I$352*I347&gt;0,AVERAGE(I$350:I$352, I347),""),"")</f>
        <v/>
      </c>
      <c r="Z437" s="227" t="str">
        <f aca="false">IFERROR(IF(J$350*J$351*J$352*J347&gt;0,STDEV(J$350:J$352, J347),"")/IF(J$350*J$351*J$352*J347&gt;0,AVERAGE(J$350:J$352, J347),""),"")</f>
        <v/>
      </c>
      <c r="AA437" s="227" t="str">
        <f aca="false">IFERROR(IF(K$350*K$351*K$352*K347&gt;0,STDEV(K$350:K$352, K347),"")/IF(K$350*K$351*K$352*K347&gt;0,AVERAGE(K$350:K$352, K347),""),"")</f>
        <v/>
      </c>
      <c r="AB437" s="227" t="str">
        <f aca="false">IFERROR(IF(L$350*L$351*L$352*L347&gt;0,STDEV(L$350:L$352, L347),"")/IF(L$350*L$351*L$352*L347&gt;0,AVERAGE(L$350:L$352, L347),""),"")</f>
        <v/>
      </c>
      <c r="AC437" s="227" t="str">
        <f aca="false">IFERROR(IF(M$350*M$351*M$352*M347&gt;0,STDEV(M$350:M$352, M347),"")/IF(M$350*M$351*M$352*M347&gt;0,AVERAGE(M$350:M$352, M347),""),"")</f>
        <v/>
      </c>
      <c r="AD437" s="227" t="str">
        <f aca="false">IFERROR(IF(N$350*N$351*N$352*N347&gt;0,STDEV(N$350:N$352, N347),"")/IF(N$350*N$351*N$352*N347&gt;0,AVERAGE(N$350:N$352, N347),""),"")</f>
        <v/>
      </c>
      <c r="AE437" s="233"/>
      <c r="AF437" s="229" t="s">
        <v>481</v>
      </c>
      <c r="AG437" s="230" t="str">
        <f aca="false">IFERROR(IF(C$350*C$351*C$352*C347&gt;0,STDEV(C$350:C$352, C347)," ")/IF(C$350*C$351*C$352*C347&gt;0,SQRT(COUNT(C$350:C$352, C347))," "),"")</f>
        <v/>
      </c>
      <c r="AH437" s="230" t="str">
        <f aca="false">IFERROR(IF(D$350*D$351*D$352*D347&gt;0,STDEV(D$350:D$352, D347)," ")/IF(D$350*D$351*D$352*D347&gt;0,SQRT(COUNT(D$350:D$352, D347))," "),"")</f>
        <v/>
      </c>
      <c r="AI437" s="230" t="str">
        <f aca="false">IFERROR(IF(E$350*E$351*E$352*E347&gt;0,STDEV(E$350:E$352, E347)," ")/IF(E$350*E$351*E$352*E347&gt;0,SQRT(COUNT(E$350:E$352, E347))," "),"")</f>
        <v/>
      </c>
      <c r="AJ437" s="230" t="str">
        <f aca="false">IFERROR(IF(F$350*F$351*F$352*F347&gt;0,STDEV(F$350:F$352, F347)," ")/IF(F$350*F$351*F$352*F347&gt;0,SQRT(COUNT(F$350:F$352, F347))," "),"")</f>
        <v/>
      </c>
      <c r="AK437" s="230" t="str">
        <f aca="false">IFERROR(IF(G$350*G$351*G$352*G347&gt;0,STDEV(G$350:G$352, G347)," ")/IF(G$350*G$351*G$352*G347&gt;0,SQRT(COUNT(G$350:G$352, G347))," "),"")</f>
        <v/>
      </c>
      <c r="AL437" s="230" t="str">
        <f aca="false">IFERROR(IF(H$350*H$351*H$352*H347&gt;0,STDEV(H$350:H$352, H347)," ")/IF(H$350*H$351*H$352*H347&gt;0,SQRT(COUNT(H$350:H$352, H347))," "),"")</f>
        <v/>
      </c>
      <c r="AM437" s="230" t="str">
        <f aca="false">IFERROR(IF(I$350*I$351*I$352*I347&gt;0,STDEV(I$350:I$352, I347)," ")/IF(I$350*I$351*I$352*I347&gt;0,SQRT(COUNT(I$350:I$352, I347))," "),"")</f>
        <v/>
      </c>
      <c r="AN437" s="230" t="str">
        <f aca="false">IFERROR(IF(J$350*J$351*J$352*J347&gt;0,STDEV(J$350:J$352, J347)," ")/IF(J$350*J$351*J$352*J347&gt;0,SQRT(COUNT(J$350:J$352, J347))," "),"")</f>
        <v/>
      </c>
      <c r="AO437" s="230" t="str">
        <f aca="false">IFERROR(IF(K$350*K$351*K$352*K347&gt;0,STDEV(K$350:K$352, K347)," ")/IF(K$350*K$351*K$352*K347&gt;0,SQRT(COUNT(K$350:K$352, K347))," "),"")</f>
        <v/>
      </c>
      <c r="AP437" s="230" t="str">
        <f aca="false">IFERROR(IF(L$350*L$351*L$352*L347&gt;0,STDEV(L$350:L$352, L347)," ")/IF(L$350*L$351*L$352*L347&gt;0,SQRT(COUNT(L$350:L$352, L347))," "),"")</f>
        <v/>
      </c>
      <c r="AQ437" s="230" t="str">
        <f aca="false">IFERROR(IF(M$350*M$351*M$352*M347&gt;0,STDEV(M$350:M$352, M347)," ")/IF(M$350*M$351*M$352*M347&gt;0,SQRT(COUNT(M$350:M$352, M347))," "),"")</f>
        <v/>
      </c>
      <c r="AR437" s="230" t="str">
        <f aca="false">IFERROR(IF(N$350*N$351*N$352*N347&gt;0,STDEV(N$350:N$352, N347)," ")/IF(N$350*N$351*N$352*N347&gt;0,SQRT(COUNT(N$350:N$352, N347))," "),"")</f>
        <v/>
      </c>
    </row>
    <row r="438" customFormat="false" ht="15.75" hidden="false" customHeight="false" outlineLevel="0" collapsed="false">
      <c r="A438" s="220" t="s">
        <v>482</v>
      </c>
      <c r="B438" s="221"/>
      <c r="C438" s="261" t="str">
        <f aca="false">IFERROR(IF(C$350*C$351*C$352*C348&gt;0,AVERAGE(C$350:C$352, C348),""),"")</f>
        <v/>
      </c>
      <c r="D438" s="261" t="str">
        <f aca="false">IFERROR(IF(D$350*D$351*D$352*D348&gt;0,AVERAGE(D$350:D$352, D348),""),"")</f>
        <v/>
      </c>
      <c r="E438" s="261" t="str">
        <f aca="false">IFERROR(IF(E$350*E$351*E$352*E348&gt;0,AVERAGE(E$350:E$352, E348),""),"")</f>
        <v/>
      </c>
      <c r="F438" s="261" t="str">
        <f aca="false">IFERROR(IF(F$350*F$351*F$352*F348&gt;0,AVERAGE(F$350:F$352, F348),""),"")</f>
        <v/>
      </c>
      <c r="G438" s="261" t="str">
        <f aca="false">IFERROR(IF(G$350*G$351*G$352*G348&gt;0,AVERAGE(G$350:G$352, G348),""),"")</f>
        <v/>
      </c>
      <c r="H438" s="261" t="str">
        <f aca="false">IFERROR(IF(H$350*H$351*H$352*H348&gt;0,AVERAGE(H$350:H$352, H348),""),"")</f>
        <v/>
      </c>
      <c r="I438" s="261" t="str">
        <f aca="false">IFERROR(IF(I$350*I$351*I$352*I348&gt;0,AVERAGE(I$350:I$352, I348),""),"")</f>
        <v/>
      </c>
      <c r="J438" s="261" t="str">
        <f aca="false">IFERROR(IF(J$350*J$351*J$352*J348&gt;0,AVERAGE(J$350:J$352, J348),""),"")</f>
        <v/>
      </c>
      <c r="K438" s="261" t="str">
        <f aca="false">IFERROR(IF(K$350*K$351*K$352*K348&gt;0,AVERAGE(K$350:K$352, K348),""),"")</f>
        <v/>
      </c>
      <c r="L438" s="261" t="str">
        <f aca="false">IFERROR(IF(L$350*L$351*L$352*L348&gt;0,AVERAGE(L$350:L$352, L348),""),"")</f>
        <v/>
      </c>
      <c r="M438" s="261" t="str">
        <f aca="false">IFERROR(IF(M$350*M$351*M$352*M348&gt;0,AVERAGE(M$350:M$352, M348),""),"")</f>
        <v/>
      </c>
      <c r="N438" s="261" t="str">
        <f aca="false">IFERROR(IF(N$350*N$351*N$352*N348&gt;0,AVERAGE(N$350:N$352, N348),""),"")</f>
        <v/>
      </c>
      <c r="O438" s="224"/>
      <c r="P438" s="224"/>
      <c r="Q438" s="232"/>
      <c r="R438" s="226" t="s">
        <v>483</v>
      </c>
      <c r="S438" s="227" t="str">
        <f aca="false">IFERROR(IF(C$350*C$351*C$352*C348&gt;0,STDEV(C$350:C$352, C348),"")/IF(C$350*C$351*C$352*C348&gt;0,AVERAGE(C$350:C$352, C348),""),"")</f>
        <v/>
      </c>
      <c r="T438" s="227" t="str">
        <f aca="false">IFERROR(IF(D$350*D$351*D$352*D348&gt;0,STDEV(D$350:D$352, D348),"")/IF(D$350*D$351*D$352*D348&gt;0,AVERAGE(D$350:D$352, D348),""),"")</f>
        <v/>
      </c>
      <c r="U438" s="227" t="str">
        <f aca="false">IFERROR(IF(E$350*E$351*E$352*E348&gt;0,STDEV(E$350:E$352, E348),"")/IF(E$350*E$351*E$352*E348&gt;0,AVERAGE(E$350:E$352, E348),""),"")</f>
        <v/>
      </c>
      <c r="V438" s="227" t="str">
        <f aca="false">IFERROR(IF(F$350*F$351*F$352*F348&gt;0,STDEV(F$350:F$352, F348),"")/IF(F$350*F$351*F$352*F348&gt;0,AVERAGE(F$350:F$352, F348),""),"")</f>
        <v/>
      </c>
      <c r="W438" s="227" t="str">
        <f aca="false">IFERROR(IF(G$350*G$351*G$352*G348&gt;0,STDEV(G$350:G$352, G348),"")/IF(G$350*G$351*G$352*G348&gt;0,AVERAGE(G$350:G$352, G348),""),"")</f>
        <v/>
      </c>
      <c r="X438" s="227" t="str">
        <f aca="false">IFERROR(IF(H$350*H$351*H$352*H348&gt;0,STDEV(H$350:H$352, H348),"")/IF(H$350*H$351*H$352*H348&gt;0,AVERAGE(H$350:H$352, H348),""),"")</f>
        <v/>
      </c>
      <c r="Y438" s="227" t="str">
        <f aca="false">IFERROR(IF(I$350*I$351*I$352*I348&gt;0,STDEV(I$350:I$352, I348),"")/IF(I$350*I$351*I$352*I348&gt;0,AVERAGE(I$350:I$352, I348),""),"")</f>
        <v/>
      </c>
      <c r="Z438" s="227" t="str">
        <f aca="false">IFERROR(IF(J$350*J$351*J$352*J348&gt;0,STDEV(J$350:J$352, J348),"")/IF(J$350*J$351*J$352*J348&gt;0,AVERAGE(J$350:J$352, J348),""),"")</f>
        <v/>
      </c>
      <c r="AA438" s="227" t="str">
        <f aca="false">IFERROR(IF(K$350*K$351*K$352*K348&gt;0,STDEV(K$350:K$352, K348),"")/IF(K$350*K$351*K$352*K348&gt;0,AVERAGE(K$350:K$352, K348),""),"")</f>
        <v/>
      </c>
      <c r="AB438" s="227" t="str">
        <f aca="false">IFERROR(IF(L$350*L$351*L$352*L348&gt;0,STDEV(L$350:L$352, L348),"")/IF(L$350*L$351*L$352*L348&gt;0,AVERAGE(L$350:L$352, L348),""),"")</f>
        <v/>
      </c>
      <c r="AC438" s="227" t="str">
        <f aca="false">IFERROR(IF(M$350*M$351*M$352*M348&gt;0,STDEV(M$350:M$352, M348),"")/IF(M$350*M$351*M$352*M348&gt;0,AVERAGE(M$350:M$352, M348),""),"")</f>
        <v/>
      </c>
      <c r="AD438" s="227" t="str">
        <f aca="false">IFERROR(IF(N$350*N$351*N$352*N348&gt;0,STDEV(N$350:N$352, N348),"")/IF(N$350*N$351*N$352*N348&gt;0,AVERAGE(N$350:N$352, N348),""),"")</f>
        <v/>
      </c>
      <c r="AE438" s="233"/>
      <c r="AF438" s="229" t="s">
        <v>484</v>
      </c>
      <c r="AG438" s="230" t="str">
        <f aca="false">IFERROR(IF(C$350*C$351*C$352*C348&gt;0,STDEV(C$350:C$352, C348)," ")/IF(C$350*C$351*C$352*C348&gt;0,SQRT(COUNT(C$350:C$352, C348))," "),"")</f>
        <v/>
      </c>
      <c r="AH438" s="230" t="str">
        <f aca="false">IFERROR(IF(D$350*D$351*D$352*D348&gt;0,STDEV(D$350:D$352, D348)," ")/IF(D$350*D$351*D$352*D348&gt;0,SQRT(COUNT(D$350:D$352, D348))," "),"")</f>
        <v/>
      </c>
      <c r="AI438" s="230" t="str">
        <f aca="false">IFERROR(IF(E$350*E$351*E$352*E348&gt;0,STDEV(E$350:E$352, E348)," ")/IF(E$350*E$351*E$352*E348&gt;0,SQRT(COUNT(E$350:E$352, E348))," "),"")</f>
        <v/>
      </c>
      <c r="AJ438" s="230" t="str">
        <f aca="false">IFERROR(IF(F$350*F$351*F$352*F348&gt;0,STDEV(F$350:F$352, F348)," ")/IF(F$350*F$351*F$352*F348&gt;0,SQRT(COUNT(F$350:F$352, F348))," "),"")</f>
        <v/>
      </c>
      <c r="AK438" s="230" t="str">
        <f aca="false">IFERROR(IF(G$350*G$351*G$352*G348&gt;0,STDEV(G$350:G$352, G348)," ")/IF(G$350*G$351*G$352*G348&gt;0,SQRT(COUNT(G$350:G$352, G348))," "),"")</f>
        <v/>
      </c>
      <c r="AL438" s="230" t="str">
        <f aca="false">IFERROR(IF(H$350*H$351*H$352*H348&gt;0,STDEV(H$350:H$352, H348)," ")/IF(H$350*H$351*H$352*H348&gt;0,SQRT(COUNT(H$350:H$352, H348))," "),"")</f>
        <v/>
      </c>
      <c r="AM438" s="230" t="str">
        <f aca="false">IFERROR(IF(I$350*I$351*I$352*I348&gt;0,STDEV(I$350:I$352, I348)," ")/IF(I$350*I$351*I$352*I348&gt;0,SQRT(COUNT(I$350:I$352, I348))," "),"")</f>
        <v/>
      </c>
      <c r="AN438" s="230" t="str">
        <f aca="false">IFERROR(IF(J$350*J$351*J$352*J348&gt;0,STDEV(J$350:J$352, J348)," ")/IF(J$350*J$351*J$352*J348&gt;0,SQRT(COUNT(J$350:J$352, J348))," "),"")</f>
        <v/>
      </c>
      <c r="AO438" s="230" t="str">
        <f aca="false">IFERROR(IF(K$350*K$351*K$352*K348&gt;0,STDEV(K$350:K$352, K348)," ")/IF(K$350*K$351*K$352*K348&gt;0,SQRT(COUNT(K$350:K$352, K348))," "),"")</f>
        <v/>
      </c>
      <c r="AP438" s="230" t="str">
        <f aca="false">IFERROR(IF(L$350*L$351*L$352*L348&gt;0,STDEV(L$350:L$352, L348)," ")/IF(L$350*L$351*L$352*L348&gt;0,SQRT(COUNT(L$350:L$352, L348))," "),"")</f>
        <v/>
      </c>
      <c r="AQ438" s="230" t="str">
        <f aca="false">IFERROR(IF(M$350*M$351*M$352*M348&gt;0,STDEV(M$350:M$352, M348)," ")/IF(M$350*M$351*M$352*M348&gt;0,SQRT(COUNT(M$350:M$352, M348))," "),"")</f>
        <v/>
      </c>
      <c r="AR438" s="230" t="str">
        <f aca="false">IFERROR(IF(N$350*N$351*N$352*N348&gt;0,STDEV(N$350:N$352, N348)," ")/IF(N$350*N$351*N$352*N348&gt;0,SQRT(COUNT(N$350:N$352, N348))," "),"")</f>
        <v/>
      </c>
    </row>
    <row r="439" customFormat="false" ht="15.75" hidden="false" customHeight="false" outlineLevel="0" collapsed="false">
      <c r="A439" s="220" t="s">
        <v>485</v>
      </c>
      <c r="B439" s="221"/>
      <c r="C439" s="261" t="str">
        <f aca="false">IFERROR(IF(C$350*C$351*C$352*C349&gt;0,AVERAGE(C$350:C$352, C349),""),"")</f>
        <v/>
      </c>
      <c r="D439" s="261" t="str">
        <f aca="false">IFERROR(IF(D$350*D$351*D$352*D349&gt;0,AVERAGE(D$350:D$352, D349),""),"")</f>
        <v/>
      </c>
      <c r="E439" s="261" t="str">
        <f aca="false">IFERROR(IF(E$350*E$351*E$352*E349&gt;0,AVERAGE(E$350:E$352, E349),""),"")</f>
        <v/>
      </c>
      <c r="F439" s="261" t="str">
        <f aca="false">IFERROR(IF(F$350*F$351*F$352*F349&gt;0,AVERAGE(F$350:F$352, F349),""),"")</f>
        <v/>
      </c>
      <c r="G439" s="261" t="str">
        <f aca="false">IFERROR(IF(G$350*G$351*G$352*G349&gt;0,AVERAGE(G$350:G$352, G349),""),"")</f>
        <v/>
      </c>
      <c r="H439" s="261" t="str">
        <f aca="false">IFERROR(IF(H$350*H$351*H$352*H349&gt;0,AVERAGE(H$350:H$352, H349),""),"")</f>
        <v/>
      </c>
      <c r="I439" s="261" t="str">
        <f aca="false">IFERROR(IF(I$350*I$351*I$352*I349&gt;0,AVERAGE(I$350:I$352, I349),""),"")</f>
        <v/>
      </c>
      <c r="J439" s="261" t="str">
        <f aca="false">IFERROR(IF(J$350*J$351*J$352*J349&gt;0,AVERAGE(J$350:J$352, J349),""),"")</f>
        <v/>
      </c>
      <c r="K439" s="261" t="str">
        <f aca="false">IFERROR(IF(K$350*K$351*K$352*K349&gt;0,AVERAGE(K$350:K$352, K349),""),"")</f>
        <v/>
      </c>
      <c r="L439" s="261" t="str">
        <f aca="false">IFERROR(IF(L$350*L$351*L$352*L349&gt;0,AVERAGE(L$350:L$352, L349),""),"")</f>
        <v/>
      </c>
      <c r="M439" s="261" t="str">
        <f aca="false">IFERROR(IF(M$350*M$351*M$352*M349&gt;0,AVERAGE(M$350:M$352, M349),""),"")</f>
        <v/>
      </c>
      <c r="N439" s="261" t="str">
        <f aca="false">IFERROR(IF(N$350*N$351*N$352*N349&gt;0,AVERAGE(N$350:N$352, N349),""),"")</f>
        <v/>
      </c>
      <c r="O439" s="224"/>
      <c r="P439" s="224"/>
      <c r="Q439" s="232"/>
      <c r="R439" s="226" t="s">
        <v>486</v>
      </c>
      <c r="S439" s="227" t="str">
        <f aca="false">IFERROR(IF(C$350*C$351*C$352*C349&gt;0,STDEV(C$350:C$352, C349),"")/IF(C$350*C$351*C$352*C349&gt;0,AVERAGE(C$350:C$352, C349),""),"")</f>
        <v/>
      </c>
      <c r="T439" s="227" t="str">
        <f aca="false">IFERROR(IF(D$350*D$351*D$352*D349&gt;0,STDEV(D$350:D$352, D349),"")/IF(D$350*D$351*D$352*D349&gt;0,AVERAGE(D$350:D$352, D349),""),"")</f>
        <v/>
      </c>
      <c r="U439" s="227" t="str">
        <f aca="false">IFERROR(IF(E$350*E$351*E$352*E349&gt;0,STDEV(E$350:E$352, E349),"")/IF(E$350*E$351*E$352*E349&gt;0,AVERAGE(E$350:E$352, E349),""),"")</f>
        <v/>
      </c>
      <c r="V439" s="227" t="str">
        <f aca="false">IFERROR(IF(F$350*F$351*F$352*F349&gt;0,STDEV(F$350:F$352, F349),"")/IF(F$350*F$351*F$352*F349&gt;0,AVERAGE(F$350:F$352, F349),""),"")</f>
        <v/>
      </c>
      <c r="W439" s="227" t="str">
        <f aca="false">IFERROR(IF(G$350*G$351*G$352*G349&gt;0,STDEV(G$350:G$352, G349),"")/IF(G$350*G$351*G$352*G349&gt;0,AVERAGE(G$350:G$352, G349),""),"")</f>
        <v/>
      </c>
      <c r="X439" s="227" t="str">
        <f aca="false">IFERROR(IF(H$350*H$351*H$352*H349&gt;0,STDEV(H$350:H$352, H349),"")/IF(H$350*H$351*H$352*H349&gt;0,AVERAGE(H$350:H$352, H349),""),"")</f>
        <v/>
      </c>
      <c r="Y439" s="227" t="str">
        <f aca="false">IFERROR(IF(I$350*I$351*I$352*I349&gt;0,STDEV(I$350:I$352, I349),"")/IF(I$350*I$351*I$352*I349&gt;0,AVERAGE(I$350:I$352, I349),""),"")</f>
        <v/>
      </c>
      <c r="Z439" s="227" t="str">
        <f aca="false">IFERROR(IF(J$350*J$351*J$352*J349&gt;0,STDEV(J$350:J$352, J349),"")/IF(J$350*J$351*J$352*J349&gt;0,AVERAGE(J$350:J$352, J349),""),"")</f>
        <v/>
      </c>
      <c r="AA439" s="227" t="str">
        <f aca="false">IFERROR(IF(K$350*K$351*K$352*K349&gt;0,STDEV(K$350:K$352, K349),"")/IF(K$350*K$351*K$352*K349&gt;0,AVERAGE(K$350:K$352, K349),""),"")</f>
        <v/>
      </c>
      <c r="AB439" s="227" t="str">
        <f aca="false">IFERROR(IF(L$350*L$351*L$352*L349&gt;0,STDEV(L$350:L$352, L349),"")/IF(L$350*L$351*L$352*L349&gt;0,AVERAGE(L$350:L$352, L349),""),"")</f>
        <v/>
      </c>
      <c r="AC439" s="227" t="str">
        <f aca="false">IFERROR(IF(M$350*M$351*M$352*M349&gt;0,STDEV(M$350:M$352, M349),"")/IF(M$350*M$351*M$352*M349&gt;0,AVERAGE(M$350:M$352, M349),""),"")</f>
        <v/>
      </c>
      <c r="AD439" s="227" t="str">
        <f aca="false">IFERROR(IF(N$350*N$351*N$352*N349&gt;0,STDEV(N$350:N$352, N349),"")/IF(N$350*N$351*N$352*N349&gt;0,AVERAGE(N$350:N$352, N349),""),"")</f>
        <v/>
      </c>
      <c r="AE439" s="233"/>
      <c r="AF439" s="229" t="s">
        <v>487</v>
      </c>
      <c r="AG439" s="230" t="str">
        <f aca="false">IFERROR(IF(C$350*C$351*C$352*C349&gt;0,STDEV(C$350:C$352, C349)," ")/IF(C$350*C$351*C$352*C349&gt;0,SQRT(COUNT(C$350:C$352, C349))," "),"")</f>
        <v/>
      </c>
      <c r="AH439" s="230" t="str">
        <f aca="false">IFERROR(IF(D$350*D$351*D$352*D349&gt;0,STDEV(D$350:D$352, D349)," ")/IF(D$350*D$351*D$352*D349&gt;0,SQRT(COUNT(D$350:D$352, D349))," "),"")</f>
        <v/>
      </c>
      <c r="AI439" s="230" t="str">
        <f aca="false">IFERROR(IF(E$350*E$351*E$352*E349&gt;0,STDEV(E$350:E$352, E349)," ")/IF(E$350*E$351*E$352*E349&gt;0,SQRT(COUNT(E$350:E$352, E349))," "),"")</f>
        <v/>
      </c>
      <c r="AJ439" s="230" t="str">
        <f aca="false">IFERROR(IF(F$350*F$351*F$352*F349&gt;0,STDEV(F$350:F$352, F349)," ")/IF(F$350*F$351*F$352*F349&gt;0,SQRT(COUNT(F$350:F$352, F349))," "),"")</f>
        <v/>
      </c>
      <c r="AK439" s="230" t="str">
        <f aca="false">IFERROR(IF(G$350*G$351*G$352*G349&gt;0,STDEV(G$350:G$352, G349)," ")/IF(G$350*G$351*G$352*G349&gt;0,SQRT(COUNT(G$350:G$352, G349))," "),"")</f>
        <v/>
      </c>
      <c r="AL439" s="230" t="str">
        <f aca="false">IFERROR(IF(H$350*H$351*H$352*H349&gt;0,STDEV(H$350:H$352, H349)," ")/IF(H$350*H$351*H$352*H349&gt;0,SQRT(COUNT(H$350:H$352, H349))," "),"")</f>
        <v/>
      </c>
      <c r="AM439" s="230" t="str">
        <f aca="false">IFERROR(IF(I$350*I$351*I$352*I349&gt;0,STDEV(I$350:I$352, I349)," ")/IF(I$350*I$351*I$352*I349&gt;0,SQRT(COUNT(I$350:I$352, I349))," "),"")</f>
        <v/>
      </c>
      <c r="AN439" s="230" t="str">
        <f aca="false">IFERROR(IF(J$350*J$351*J$352*J349&gt;0,STDEV(J$350:J$352, J349)," ")/IF(J$350*J$351*J$352*J349&gt;0,SQRT(COUNT(J$350:J$352, J349))," "),"")</f>
        <v/>
      </c>
      <c r="AO439" s="230" t="str">
        <f aca="false">IFERROR(IF(K$350*K$351*K$352*K349&gt;0,STDEV(K$350:K$352, K349)," ")/IF(K$350*K$351*K$352*K349&gt;0,SQRT(COUNT(K$350:K$352, K349))," "),"")</f>
        <v/>
      </c>
      <c r="AP439" s="230" t="str">
        <f aca="false">IFERROR(IF(L$350*L$351*L$352*L349&gt;0,STDEV(L$350:L$352, L349)," ")/IF(L$350*L$351*L$352*L349&gt;0,SQRT(COUNT(L$350:L$352, L349))," "),"")</f>
        <v/>
      </c>
      <c r="AQ439" s="230" t="str">
        <f aca="false">IFERROR(IF(M$350*M$351*M$352*M349&gt;0,STDEV(M$350:M$352, M349)," ")/IF(M$350*M$351*M$352*M349&gt;0,SQRT(COUNT(M$350:M$352, M349))," "),"")</f>
        <v/>
      </c>
      <c r="AR439" s="230" t="str">
        <f aca="false">IFERROR(IF(N$350*N$351*N$352*N349&gt;0,STDEV(N$350:N$352, N349)," ")/IF(N$350*N$351*N$352*N349&gt;0,SQRT(COUNT(N$350:N$352, N349))," "),"")</f>
        <v/>
      </c>
    </row>
    <row r="440" customFormat="false" ht="15.75" hidden="false" customHeight="false" outlineLevel="0" collapsed="false">
      <c r="A440" s="220" t="s">
        <v>488</v>
      </c>
      <c r="B440" s="221"/>
      <c r="C440" s="261" t="str">
        <f aca="false">IFERROR(IF(C$350*C$351*C$352*C353&gt;0,AVERAGE(C$350:C$352, C353),""),"")</f>
        <v/>
      </c>
      <c r="D440" s="261" t="str">
        <f aca="false">IFERROR(IF(D$350*D$351*D$352*D353&gt;0,AVERAGE(D$350:D$352, D353),""),"")</f>
        <v/>
      </c>
      <c r="E440" s="261" t="str">
        <f aca="false">IFERROR(IF(E$350*E$351*E$352*E353&gt;0,AVERAGE(E$350:E$352, E353),""),"")</f>
        <v/>
      </c>
      <c r="F440" s="261" t="str">
        <f aca="false">IFERROR(IF(F$350*F$351*F$352*F353&gt;0,AVERAGE(F$350:F$352, F353),""),"")</f>
        <v/>
      </c>
      <c r="G440" s="261" t="str">
        <f aca="false">IFERROR(IF(G$350*G$351*G$352*G353&gt;0,AVERAGE(G$350:G$352, G353),""),"")</f>
        <v/>
      </c>
      <c r="H440" s="261" t="str">
        <f aca="false">IFERROR(IF(H$350*H$351*H$352*H353&gt;0,AVERAGE(H$350:H$352, H353),""),"")</f>
        <v/>
      </c>
      <c r="I440" s="261" t="str">
        <f aca="false">IFERROR(IF(I$350*I$351*I$352*I353&gt;0,AVERAGE(I$350:I$352, I353),""),"")</f>
        <v/>
      </c>
      <c r="J440" s="261" t="str">
        <f aca="false">IFERROR(IF(J$350*J$351*J$352*J353&gt;0,AVERAGE(J$350:J$352, J353),""),"")</f>
        <v/>
      </c>
      <c r="K440" s="261" t="str">
        <f aca="false">IFERROR(IF(K$350*K$351*K$352*K353&gt;0,AVERAGE(K$350:K$352, K353),""),"")</f>
        <v/>
      </c>
      <c r="L440" s="261" t="str">
        <f aca="false">IFERROR(IF(L$350*L$351*L$352*L353&gt;0,AVERAGE(L$350:L$352, L353),""),"")</f>
        <v/>
      </c>
      <c r="M440" s="261" t="str">
        <f aca="false">IFERROR(IF(M$350*M$351*M$352*M353&gt;0,AVERAGE(M$350:M$352, M353),""),"")</f>
        <v/>
      </c>
      <c r="N440" s="261" t="str">
        <f aca="false">IFERROR(IF(N$350*N$351*N$352*N353&gt;0,AVERAGE(N$350:N$352, N353),""),"")</f>
        <v/>
      </c>
      <c r="O440" s="224"/>
      <c r="P440" s="224"/>
      <c r="Q440" s="232"/>
      <c r="R440" s="226" t="s">
        <v>489</v>
      </c>
      <c r="S440" s="227" t="str">
        <f aca="false">IFERROR(IF(C$350*C$351*C$352*C353&gt;0,STDEV(C$350:C$352, C353),"")/IF(C$350*C$351*C$352*C353&gt;0,AVERAGE(C$350:C$352, C353),""),"")</f>
        <v/>
      </c>
      <c r="T440" s="227" t="str">
        <f aca="false">IFERROR(IF(D$350*D$351*D$352*D353&gt;0,STDEV(D$350:D$352, D353),"")/IF(D$350*D$351*D$352*D353&gt;0,AVERAGE(D$350:D$352, D353),""),"")</f>
        <v/>
      </c>
      <c r="U440" s="227" t="str">
        <f aca="false">IFERROR(IF(E$350*E$351*E$352*E353&gt;0,STDEV(E$350:E$352, E353),"")/IF(E$350*E$351*E$352*E353&gt;0,AVERAGE(E$350:E$352, E353),""),"")</f>
        <v/>
      </c>
      <c r="V440" s="227" t="str">
        <f aca="false">IFERROR(IF(F$350*F$351*F$352*F353&gt;0,STDEV(F$350:F$352, F353),"")/IF(F$350*F$351*F$352*F353&gt;0,AVERAGE(F$350:F$352, F353),""),"")</f>
        <v/>
      </c>
      <c r="W440" s="227" t="str">
        <f aca="false">IFERROR(IF(G$350*G$351*G$352*G353&gt;0,STDEV(G$350:G$352, G353),"")/IF(G$350*G$351*G$352*G353&gt;0,AVERAGE(G$350:G$352, G353),""),"")</f>
        <v/>
      </c>
      <c r="X440" s="227" t="str">
        <f aca="false">IFERROR(IF(H$350*H$351*H$352*H353&gt;0,STDEV(H$350:H$352, H353),"")/IF(H$350*H$351*H$352*H353&gt;0,AVERAGE(H$350:H$352, H353),""),"")</f>
        <v/>
      </c>
      <c r="Y440" s="227" t="str">
        <f aca="false">IFERROR(IF(I$350*I$351*I$352*I353&gt;0,STDEV(I$350:I$352, I353),"")/IF(I$350*I$351*I$352*I353&gt;0,AVERAGE(I$350:I$352, I353),""),"")</f>
        <v/>
      </c>
      <c r="Z440" s="227" t="str">
        <f aca="false">IFERROR(IF(J$350*J$351*J$352*J353&gt;0,STDEV(J$350:J$352, J353),"")/IF(J$350*J$351*J$352*J353&gt;0,AVERAGE(J$350:J$352, J353),""),"")</f>
        <v/>
      </c>
      <c r="AA440" s="227" t="str">
        <f aca="false">IFERROR(IF(K$350*K$351*K$352*K353&gt;0,STDEV(K$350:K$352, K353),"")/IF(K$350*K$351*K$352*K353&gt;0,AVERAGE(K$350:K$352, K353),""),"")</f>
        <v/>
      </c>
      <c r="AB440" s="227" t="str">
        <f aca="false">IFERROR(IF(L$350*L$351*L$352*L353&gt;0,STDEV(L$350:L$352, L353),"")/IF(L$350*L$351*L$352*L353&gt;0,AVERAGE(L$350:L$352, L353),""),"")</f>
        <v/>
      </c>
      <c r="AC440" s="227" t="str">
        <f aca="false">IFERROR(IF(M$350*M$351*M$352*M353&gt;0,STDEV(M$350:M$352, M353),"")/IF(M$350*M$351*M$352*M353&gt;0,AVERAGE(M$350:M$352, M353),""),"")</f>
        <v/>
      </c>
      <c r="AD440" s="227" t="str">
        <f aca="false">IFERROR(IF(N$350*N$351*N$352*N353&gt;0,STDEV(N$350:N$352, N353),"")/IF(N$350*N$351*N$352*N353&gt;0,AVERAGE(N$350:N$352, N353),""),"")</f>
        <v/>
      </c>
      <c r="AE440" s="233"/>
      <c r="AF440" s="229" t="s">
        <v>490</v>
      </c>
      <c r="AG440" s="230" t="str">
        <f aca="false">IFERROR(IF(C$350*C$351*C$352*C353&gt;0,STDEV(C$350:C$352, C353)," ")/IF(C$350*C$351*C$352*C353&gt;0,SQRT(COUNT(C$350:C$352, C353))," "),"")</f>
        <v/>
      </c>
      <c r="AH440" s="230" t="str">
        <f aca="false">IFERROR(IF(D$350*D$351*D$352*D353&gt;0,STDEV(D$350:D$352, D353)," ")/IF(D$350*D$351*D$352*D353&gt;0,SQRT(COUNT(D$350:D$352, D353))," "),"")</f>
        <v/>
      </c>
      <c r="AI440" s="230" t="str">
        <f aca="false">IFERROR(IF(E$350*E$351*E$352*E353&gt;0,STDEV(E$350:E$352, E353)," ")/IF(E$350*E$351*E$352*E353&gt;0,SQRT(COUNT(E$350:E$352, E353))," "),"")</f>
        <v/>
      </c>
      <c r="AJ440" s="230" t="str">
        <f aca="false">IFERROR(IF(F$350*F$351*F$352*F353&gt;0,STDEV(F$350:F$352, F353)," ")/IF(F$350*F$351*F$352*F353&gt;0,SQRT(COUNT(F$350:F$352, F353))," "),"")</f>
        <v/>
      </c>
      <c r="AK440" s="230" t="str">
        <f aca="false">IFERROR(IF(G$350*G$351*G$352*G353&gt;0,STDEV(G$350:G$352, G353)," ")/IF(G$350*G$351*G$352*G353&gt;0,SQRT(COUNT(G$350:G$352, G353))," "),"")</f>
        <v/>
      </c>
      <c r="AL440" s="230" t="str">
        <f aca="false">IFERROR(IF(H$350*H$351*H$352*H353&gt;0,STDEV(H$350:H$352, H353)," ")/IF(H$350*H$351*H$352*H353&gt;0,SQRT(COUNT(H$350:H$352, H353))," "),"")</f>
        <v/>
      </c>
      <c r="AM440" s="230" t="str">
        <f aca="false">IFERROR(IF(I$350*I$351*I$352*I353&gt;0,STDEV(I$350:I$352, I353)," ")/IF(I$350*I$351*I$352*I353&gt;0,SQRT(COUNT(I$350:I$352, I353))," "),"")</f>
        <v/>
      </c>
      <c r="AN440" s="230" t="str">
        <f aca="false">IFERROR(IF(J$350*J$351*J$352*J353&gt;0,STDEV(J$350:J$352, J353)," ")/IF(J$350*J$351*J$352*J353&gt;0,SQRT(COUNT(J$350:J$352, J353))," "),"")</f>
        <v/>
      </c>
      <c r="AO440" s="230" t="str">
        <f aca="false">IFERROR(IF(K$350*K$351*K$352*K353&gt;0,STDEV(K$350:K$352, K353)," ")/IF(K$350*K$351*K$352*K353&gt;0,SQRT(COUNT(K$350:K$352, K353))," "),"")</f>
        <v/>
      </c>
      <c r="AP440" s="230" t="str">
        <f aca="false">IFERROR(IF(L$350*L$351*L$352*L353&gt;0,STDEV(L$350:L$352, L353)," ")/IF(L$350*L$351*L$352*L353&gt;0,SQRT(COUNT(L$350:L$352, L353))," "),"")</f>
        <v/>
      </c>
      <c r="AQ440" s="230" t="str">
        <f aca="false">IFERROR(IF(M$350*M$351*M$352*M353&gt;0,STDEV(M$350:M$352, M353)," ")/IF(M$350*M$351*M$352*M353&gt;0,SQRT(COUNT(M$350:M$352, M353))," "),"")</f>
        <v/>
      </c>
      <c r="AR440" s="230" t="str">
        <f aca="false">IFERROR(IF(N$350*N$351*N$352*N353&gt;0,STDEV(N$350:N$352, N353)," ")/IF(N$350*N$351*N$352*N353&gt;0,SQRT(COUNT(N$350:N$352, N353))," "),"")</f>
        <v/>
      </c>
    </row>
    <row r="441" customFormat="false" ht="15.75" hidden="false" customHeight="false" outlineLevel="0" collapsed="false">
      <c r="A441" s="220" t="s">
        <v>491</v>
      </c>
      <c r="B441" s="221"/>
      <c r="C441" s="261" t="str">
        <f aca="false">IFERROR(IF(C$351*C$352*C$353*C347&gt;0,AVERAGE(C$351:C$353, C347),""),"")</f>
        <v/>
      </c>
      <c r="D441" s="261" t="str">
        <f aca="false">IFERROR(IF(D$351*D$352*D$353*D347&gt;0,AVERAGE(D$351:D$353, D347),""),"")</f>
        <v/>
      </c>
      <c r="E441" s="261" t="str">
        <f aca="false">IFERROR(IF(E$351*E$352*E$353*E347&gt;0,AVERAGE(E$351:E$353, E347),""),"")</f>
        <v/>
      </c>
      <c r="F441" s="261" t="str">
        <f aca="false">IFERROR(IF(F$351*F$352*F$353*F347&gt;0,AVERAGE(F$351:F$353, F347),""),"")</f>
        <v/>
      </c>
      <c r="G441" s="261" t="str">
        <f aca="false">IFERROR(IF(G$351*G$352*G$353*G347&gt;0,AVERAGE(G$351:G$353, G347),""),"")</f>
        <v/>
      </c>
      <c r="H441" s="261" t="str">
        <f aca="false">IFERROR(IF(H$351*H$352*H$353*H347&gt;0,AVERAGE(H$351:H$353, H347),""),"")</f>
        <v/>
      </c>
      <c r="I441" s="261" t="str">
        <f aca="false">IFERROR(IF(I$351*I$352*I$353*I347&gt;0,AVERAGE(I$351:I$353, I347),""),"")</f>
        <v/>
      </c>
      <c r="J441" s="261" t="str">
        <f aca="false">IFERROR(IF(J$351*J$352*J$353*J347&gt;0,AVERAGE(J$351:J$353, J347),""),"")</f>
        <v/>
      </c>
      <c r="K441" s="261" t="str">
        <f aca="false">IFERROR(IF(K$351*K$352*K$353*K347&gt;0,AVERAGE(K$351:K$353, K347),""),"")</f>
        <v/>
      </c>
      <c r="L441" s="261" t="str">
        <f aca="false">IFERROR(IF(L$351*L$352*L$353*L347&gt;0,AVERAGE(L$351:L$353, L347),""),"")</f>
        <v/>
      </c>
      <c r="M441" s="261" t="str">
        <f aca="false">IFERROR(IF(M$351*M$352*M$353*M347&gt;0,AVERAGE(M$351:M$353, M347),""),"")</f>
        <v/>
      </c>
      <c r="N441" s="261" t="str">
        <f aca="false">IFERROR(IF(N$351*N$352*N$353*N347&gt;0,AVERAGE(N$351:N$353, N347),""),"")</f>
        <v/>
      </c>
      <c r="O441" s="224"/>
      <c r="P441" s="224"/>
      <c r="Q441" s="232"/>
      <c r="R441" s="226" t="s">
        <v>492</v>
      </c>
      <c r="S441" s="227" t="str">
        <f aca="false">IFERROR(IF(C$351*C$352*C$353*C347&gt;0,STDEV(C$351:C$353, C347),"")/IF(C$351*C$352*C$353*C347&gt;0,AVERAGE(C$351:C$353, C347),""),"")</f>
        <v/>
      </c>
      <c r="T441" s="227" t="str">
        <f aca="false">IFERROR(IF(D$351*D$352*D$353*D347&gt;0,STDEV(D$351:D$353, D347),"")/IF(D$351*D$352*D$353*D347&gt;0,AVERAGE(D$351:D$353, D347),""),"")</f>
        <v/>
      </c>
      <c r="U441" s="227" t="str">
        <f aca="false">IFERROR(IF(E$351*E$352*E$353*E347&gt;0,STDEV(E$351:E$353, E347),"")/IF(E$351*E$352*E$353*E347&gt;0,AVERAGE(E$351:E$353, E347),""),"")</f>
        <v/>
      </c>
      <c r="V441" s="227" t="str">
        <f aca="false">IFERROR(IF(F$351*F$352*F$353*F347&gt;0,STDEV(F$351:F$353, F347),"")/IF(F$351*F$352*F$353*F347&gt;0,AVERAGE(F$351:F$353, F347),""),"")</f>
        <v/>
      </c>
      <c r="W441" s="227" t="str">
        <f aca="false">IFERROR(IF(G$351*G$352*G$353*G347&gt;0,STDEV(G$351:G$353, G347),"")/IF(G$351*G$352*G$353*G347&gt;0,AVERAGE(G$351:G$353, G347),""),"")</f>
        <v/>
      </c>
      <c r="X441" s="227" t="str">
        <f aca="false">IFERROR(IF(H$351*H$352*H$353*H347&gt;0,STDEV(H$351:H$353, H347),"")/IF(H$351*H$352*H$353*H347&gt;0,AVERAGE(H$351:H$353, H347),""),"")</f>
        <v/>
      </c>
      <c r="Y441" s="227" t="str">
        <f aca="false">IFERROR(IF(I$351*I$352*I$353*I347&gt;0,STDEV(I$351:I$353, I347),"")/IF(I$351*I$352*I$353*I347&gt;0,AVERAGE(I$351:I$353, I347),""),"")</f>
        <v/>
      </c>
      <c r="Z441" s="227" t="str">
        <f aca="false">IFERROR(IF(J$351*J$352*J$353*J347&gt;0,STDEV(J$351:J$353, J347),"")/IF(J$351*J$352*J$353*J347&gt;0,AVERAGE(J$351:J$353, J347),""),"")</f>
        <v/>
      </c>
      <c r="AA441" s="227" t="str">
        <f aca="false">IFERROR(IF(K$351*K$352*K$353*K347&gt;0,STDEV(K$351:K$353, K347),"")/IF(K$351*K$352*K$353*K347&gt;0,AVERAGE(K$351:K$353, K347),""),"")</f>
        <v/>
      </c>
      <c r="AB441" s="227" t="str">
        <f aca="false">IFERROR(IF(L$351*L$352*L$353*L347&gt;0,STDEV(L$351:L$353, L347),"")/IF(L$351*L$352*L$353*L347&gt;0,AVERAGE(L$351:L$353, L347),""),"")</f>
        <v/>
      </c>
      <c r="AC441" s="227" t="str">
        <f aca="false">IFERROR(IF(M$351*M$352*M$353*M347&gt;0,STDEV(M$351:M$353, M347),"")/IF(M$351*M$352*M$353*M347&gt;0,AVERAGE(M$351:M$353, M347),""),"")</f>
        <v/>
      </c>
      <c r="AD441" s="227" t="str">
        <f aca="false">IFERROR(IF(N$351*N$352*N$353*N347&gt;0,STDEV(N$351:N$353, N347),"")/IF(N$351*N$352*N$353*N347&gt;0,AVERAGE(N$351:N$353, N347),""),"")</f>
        <v/>
      </c>
      <c r="AE441" s="233"/>
      <c r="AF441" s="229" t="s">
        <v>493</v>
      </c>
      <c r="AG441" s="230" t="str">
        <f aca="false">IFERROR(IF(C$351*C$352*C$353*C347&gt;0,STDEV(C$351:C$353, C347)," ")/IF(C$351*C$352*C$353*C347&gt;0,SQRT(COUNT(C$351:C$353, C347))," "),"")</f>
        <v/>
      </c>
      <c r="AH441" s="230" t="str">
        <f aca="false">IFERROR(IF(D$351*D$352*D$353*D347&gt;0,STDEV(D$351:D$353, D347)," ")/IF(D$351*D$352*D$353*D347&gt;0,SQRT(COUNT(D$351:D$353, D347))," "),"")</f>
        <v/>
      </c>
      <c r="AI441" s="230" t="str">
        <f aca="false">IFERROR(IF(E$351*E$352*E$353*E347&gt;0,STDEV(E$351:E$353, E347)," ")/IF(E$351*E$352*E$353*E347&gt;0,SQRT(COUNT(E$351:E$353, E347))," "),"")</f>
        <v/>
      </c>
      <c r="AJ441" s="230" t="str">
        <f aca="false">IFERROR(IF(F$351*F$352*F$353*F347&gt;0,STDEV(F$351:F$353, F347)," ")/IF(F$351*F$352*F$353*F347&gt;0,SQRT(COUNT(F$351:F$353, F347))," "),"")</f>
        <v/>
      </c>
      <c r="AK441" s="230" t="str">
        <f aca="false">IFERROR(IF(G$351*G$352*G$353*G347&gt;0,STDEV(G$351:G$353, G347)," ")/IF(G$351*G$352*G$353*G347&gt;0,SQRT(COUNT(G$351:G$353, G347))," "),"")</f>
        <v/>
      </c>
      <c r="AL441" s="230" t="str">
        <f aca="false">IFERROR(IF(H$351*H$352*H$353*H347&gt;0,STDEV(H$351:H$353, H347)," ")/IF(H$351*H$352*H$353*H347&gt;0,SQRT(COUNT(H$351:H$353, H347))," "),"")</f>
        <v/>
      </c>
      <c r="AM441" s="230" t="str">
        <f aca="false">IFERROR(IF(I$351*I$352*I$353*I347&gt;0,STDEV(I$351:I$353, I347)," ")/IF(I$351*I$352*I$353*I347&gt;0,SQRT(COUNT(I$351:I$353, I347))," "),"")</f>
        <v/>
      </c>
      <c r="AN441" s="230" t="str">
        <f aca="false">IFERROR(IF(J$351*J$352*J$353*J347&gt;0,STDEV(J$351:J$353, J347)," ")/IF(J$351*J$352*J$353*J347&gt;0,SQRT(COUNT(J$351:J$353, J347))," "),"")</f>
        <v/>
      </c>
      <c r="AO441" s="230" t="str">
        <f aca="false">IFERROR(IF(K$351*K$352*K$353*K347&gt;0,STDEV(K$351:K$353, K347)," ")/IF(K$351*K$352*K$353*K347&gt;0,SQRT(COUNT(K$351:K$353, K347))," "),"")</f>
        <v/>
      </c>
      <c r="AP441" s="230" t="str">
        <f aca="false">IFERROR(IF(L$351*L$352*L$353*L347&gt;0,STDEV(L$351:L$353, L347)," ")/IF(L$351*L$352*L$353*L347&gt;0,SQRT(COUNT(L$351:L$353, L347))," "),"")</f>
        <v/>
      </c>
      <c r="AQ441" s="230" t="str">
        <f aca="false">IFERROR(IF(M$351*M$352*M$353*M347&gt;0,STDEV(M$351:M$353, M347)," ")/IF(M$351*M$352*M$353*M347&gt;0,SQRT(COUNT(M$351:M$353, M347))," "),"")</f>
        <v/>
      </c>
      <c r="AR441" s="230" t="str">
        <f aca="false">IFERROR(IF(N$351*N$352*N$353*N347&gt;0,STDEV(N$351:N$353, N347)," ")/IF(N$351*N$352*N$353*N347&gt;0,SQRT(COUNT(N$351:N$353, N347))," "),"")</f>
        <v/>
      </c>
    </row>
    <row r="442" customFormat="false" ht="15.75" hidden="false" customHeight="false" outlineLevel="0" collapsed="false">
      <c r="A442" s="220" t="s">
        <v>494</v>
      </c>
      <c r="B442" s="221"/>
      <c r="C442" s="261" t="str">
        <f aca="false">IFERROR(IF(C$351*C$352*C$353*C348&gt;0,AVERAGE(C$351:C$353, C348),""),"")</f>
        <v/>
      </c>
      <c r="D442" s="261" t="str">
        <f aca="false">IFERROR(IF(D$351*D$352*D$353*D348&gt;0,AVERAGE(D$351:D$353, D348),""),"")</f>
        <v/>
      </c>
      <c r="E442" s="261" t="str">
        <f aca="false">IFERROR(IF(E$351*E$352*E$353*E348&gt;0,AVERAGE(E$351:E$353, E348),""),"")</f>
        <v/>
      </c>
      <c r="F442" s="261" t="str">
        <f aca="false">IFERROR(IF(F$351*F$352*F$353*F348&gt;0,AVERAGE(F$351:F$353, F348),""),"")</f>
        <v/>
      </c>
      <c r="G442" s="261" t="str">
        <f aca="false">IFERROR(IF(G$351*G$352*G$353*G348&gt;0,AVERAGE(G$351:G$353, G348),""),"")</f>
        <v/>
      </c>
      <c r="H442" s="261" t="str">
        <f aca="false">IFERROR(IF(H$351*H$352*H$353*H348&gt;0,AVERAGE(H$351:H$353, H348),""),"")</f>
        <v/>
      </c>
      <c r="I442" s="261" t="str">
        <f aca="false">IFERROR(IF(I$351*I$352*I$353*I348&gt;0,AVERAGE(I$351:I$353, I348),""),"")</f>
        <v/>
      </c>
      <c r="J442" s="261" t="str">
        <f aca="false">IFERROR(IF(J$351*J$352*J$353*J348&gt;0,AVERAGE(J$351:J$353, J348),""),"")</f>
        <v/>
      </c>
      <c r="K442" s="261" t="str">
        <f aca="false">IFERROR(IF(K$351*K$352*K$353*K348&gt;0,AVERAGE(K$351:K$353, K348),""),"")</f>
        <v/>
      </c>
      <c r="L442" s="261" t="str">
        <f aca="false">IFERROR(IF(L$351*L$352*L$353*L348&gt;0,AVERAGE(L$351:L$353, L348),""),"")</f>
        <v/>
      </c>
      <c r="M442" s="261" t="str">
        <f aca="false">IFERROR(IF(M$351*M$352*M$353*M348&gt;0,AVERAGE(M$351:M$353, M348),""),"")</f>
        <v/>
      </c>
      <c r="N442" s="261" t="str">
        <f aca="false">IFERROR(IF(N$351*N$352*N$353*N348&gt;0,AVERAGE(N$351:N$353, N348),""),"")</f>
        <v/>
      </c>
      <c r="O442" s="224"/>
      <c r="P442" s="224"/>
      <c r="Q442" s="232"/>
      <c r="R442" s="226" t="s">
        <v>495</v>
      </c>
      <c r="S442" s="227" t="str">
        <f aca="false">IFERROR(IF(C$351*C$352*C$353*C348&gt;0,STDEV(C$351:C$353, C348),"")/IF(C$351*C$352*C$353*C348&gt;0,AVERAGE(C$351:C$353, C348),""),"")</f>
        <v/>
      </c>
      <c r="T442" s="227" t="str">
        <f aca="false">IFERROR(IF(D$351*D$352*D$353*D348&gt;0,STDEV(D$351:D$353, D348),"")/IF(D$351*D$352*D$353*D348&gt;0,AVERAGE(D$351:D$353, D348),""),"")</f>
        <v/>
      </c>
      <c r="U442" s="227" t="str">
        <f aca="false">IFERROR(IF(E$351*E$352*E$353*E348&gt;0,STDEV(E$351:E$353, E348),"")/IF(E$351*E$352*E$353*E348&gt;0,AVERAGE(E$351:E$353, E348),""),"")</f>
        <v/>
      </c>
      <c r="V442" s="227" t="str">
        <f aca="false">IFERROR(IF(F$351*F$352*F$353*F348&gt;0,STDEV(F$351:F$353, F348),"")/IF(F$351*F$352*F$353*F348&gt;0,AVERAGE(F$351:F$353, F348),""),"")</f>
        <v/>
      </c>
      <c r="W442" s="227" t="str">
        <f aca="false">IFERROR(IF(G$351*G$352*G$353*G348&gt;0,STDEV(G$351:G$353, G348),"")/IF(G$351*G$352*G$353*G348&gt;0,AVERAGE(G$351:G$353, G348),""),"")</f>
        <v/>
      </c>
      <c r="X442" s="227" t="str">
        <f aca="false">IFERROR(IF(H$351*H$352*H$353*H348&gt;0,STDEV(H$351:H$353, H348),"")/IF(H$351*H$352*H$353*H348&gt;0,AVERAGE(H$351:H$353, H348),""),"")</f>
        <v/>
      </c>
      <c r="Y442" s="227" t="str">
        <f aca="false">IFERROR(IF(I$351*I$352*I$353*I348&gt;0,STDEV(I$351:I$353, I348),"")/IF(I$351*I$352*I$353*I348&gt;0,AVERAGE(I$351:I$353, I348),""),"")</f>
        <v/>
      </c>
      <c r="Z442" s="227" t="str">
        <f aca="false">IFERROR(IF(J$351*J$352*J$353*J348&gt;0,STDEV(J$351:J$353, J348),"")/IF(J$351*J$352*J$353*J348&gt;0,AVERAGE(J$351:J$353, J348),""),"")</f>
        <v/>
      </c>
      <c r="AA442" s="227" t="str">
        <f aca="false">IFERROR(IF(K$351*K$352*K$353*K348&gt;0,STDEV(K$351:K$353, K348),"")/IF(K$351*K$352*K$353*K348&gt;0,AVERAGE(K$351:K$353, K348),""),"")</f>
        <v/>
      </c>
      <c r="AB442" s="227" t="str">
        <f aca="false">IFERROR(IF(L$351*L$352*L$353*L348&gt;0,STDEV(L$351:L$353, L348),"")/IF(L$351*L$352*L$353*L348&gt;0,AVERAGE(L$351:L$353, L348),""),"")</f>
        <v/>
      </c>
      <c r="AC442" s="227" t="str">
        <f aca="false">IFERROR(IF(M$351*M$352*M$353*M348&gt;0,STDEV(M$351:M$353, M348),"")/IF(M$351*M$352*M$353*M348&gt;0,AVERAGE(M$351:M$353, M348),""),"")</f>
        <v/>
      </c>
      <c r="AD442" s="227" t="str">
        <f aca="false">IFERROR(IF(N$351*N$352*N$353*N348&gt;0,STDEV(N$351:N$353, N348),"")/IF(N$351*N$352*N$353*N348&gt;0,AVERAGE(N$351:N$353, N348),""),"")</f>
        <v/>
      </c>
      <c r="AE442" s="233"/>
      <c r="AF442" s="229" t="s">
        <v>496</v>
      </c>
      <c r="AG442" s="230" t="str">
        <f aca="false">IFERROR(IF(C$351*C$352*C$353*C348&gt;0,STDEV(C$351:C$353, C348)," ")/IF(C$351*C$352*C$353*C348&gt;0,SQRT(COUNT(C$351:C$353, C348))," "),"")</f>
        <v/>
      </c>
      <c r="AH442" s="230" t="str">
        <f aca="false">IFERROR(IF(D$351*D$352*D$353*D348&gt;0,STDEV(D$351:D$353, D348)," ")/IF(D$351*D$352*D$353*D348&gt;0,SQRT(COUNT(D$351:D$353, D348))," "),"")</f>
        <v/>
      </c>
      <c r="AI442" s="230" t="str">
        <f aca="false">IFERROR(IF(E$351*E$352*E$353*E348&gt;0,STDEV(E$351:E$353, E348)," ")/IF(E$351*E$352*E$353*E348&gt;0,SQRT(COUNT(E$351:E$353, E348))," "),"")</f>
        <v/>
      </c>
      <c r="AJ442" s="230" t="str">
        <f aca="false">IFERROR(IF(F$351*F$352*F$353*F348&gt;0,STDEV(F$351:F$353, F348)," ")/IF(F$351*F$352*F$353*F348&gt;0,SQRT(COUNT(F$351:F$353, F348))," "),"")</f>
        <v/>
      </c>
      <c r="AK442" s="230" t="str">
        <f aca="false">IFERROR(IF(G$351*G$352*G$353*G348&gt;0,STDEV(G$351:G$353, G348)," ")/IF(G$351*G$352*G$353*G348&gt;0,SQRT(COUNT(G$351:G$353, G348))," "),"")</f>
        <v/>
      </c>
      <c r="AL442" s="230" t="str">
        <f aca="false">IFERROR(IF(H$351*H$352*H$353*H348&gt;0,STDEV(H$351:H$353, H348)," ")/IF(H$351*H$352*H$353*H348&gt;0,SQRT(COUNT(H$351:H$353, H348))," "),"")</f>
        <v/>
      </c>
      <c r="AM442" s="230" t="str">
        <f aca="false">IFERROR(IF(I$351*I$352*I$353*I348&gt;0,STDEV(I$351:I$353, I348)," ")/IF(I$351*I$352*I$353*I348&gt;0,SQRT(COUNT(I$351:I$353, I348))," "),"")</f>
        <v/>
      </c>
      <c r="AN442" s="230" t="str">
        <f aca="false">IFERROR(IF(J$351*J$352*J$353*J348&gt;0,STDEV(J$351:J$353, J348)," ")/IF(J$351*J$352*J$353*J348&gt;0,SQRT(COUNT(J$351:J$353, J348))," "),"")</f>
        <v/>
      </c>
      <c r="AO442" s="230" t="str">
        <f aca="false">IFERROR(IF(K$351*K$352*K$353*K348&gt;0,STDEV(K$351:K$353, K348)," ")/IF(K$351*K$352*K$353*K348&gt;0,SQRT(COUNT(K$351:K$353, K348))," "),"")</f>
        <v/>
      </c>
      <c r="AP442" s="230" t="str">
        <f aca="false">IFERROR(IF(L$351*L$352*L$353*L348&gt;0,STDEV(L$351:L$353, L348)," ")/IF(L$351*L$352*L$353*L348&gt;0,SQRT(COUNT(L$351:L$353, L348))," "),"")</f>
        <v/>
      </c>
      <c r="AQ442" s="230" t="str">
        <f aca="false">IFERROR(IF(M$351*M$352*M$353*M348&gt;0,STDEV(M$351:M$353, M348)," ")/IF(M$351*M$352*M$353*M348&gt;0,SQRT(COUNT(M$351:M$353, M348))," "),"")</f>
        <v/>
      </c>
      <c r="AR442" s="230" t="str">
        <f aca="false">IFERROR(IF(N$351*N$352*N$353*N348&gt;0,STDEV(N$351:N$353, N348)," ")/IF(N$351*N$352*N$353*N348&gt;0,SQRT(COUNT(N$351:N$353, N348))," "),"")</f>
        <v/>
      </c>
    </row>
    <row r="443" customFormat="false" ht="15.75" hidden="false" customHeight="false" outlineLevel="0" collapsed="false">
      <c r="A443" s="220" t="s">
        <v>497</v>
      </c>
      <c r="B443" s="221"/>
      <c r="C443" s="261" t="str">
        <f aca="false">IFERROR(IF(C$351*C$352*C$353*C349&gt;0,AVERAGE(C$351:C$353, C349),""),"")</f>
        <v/>
      </c>
      <c r="D443" s="261" t="str">
        <f aca="false">IFERROR(IF(D$351*D$352*D$353*D349&gt;0,AVERAGE(D$351:D$353, D349),""),"")</f>
        <v/>
      </c>
      <c r="E443" s="261" t="str">
        <f aca="false">IFERROR(IF(E$351*E$352*E$353*E349&gt;0,AVERAGE(E$351:E$353, E349),""),"")</f>
        <v/>
      </c>
      <c r="F443" s="261" t="str">
        <f aca="false">IFERROR(IF(F$351*F$352*F$353*F349&gt;0,AVERAGE(F$351:F$353, F349),""),"")</f>
        <v/>
      </c>
      <c r="G443" s="261" t="str">
        <f aca="false">IFERROR(IF(G$351*G$352*G$353*G349&gt;0,AVERAGE(G$351:G$353, G349),""),"")</f>
        <v/>
      </c>
      <c r="H443" s="261" t="str">
        <f aca="false">IFERROR(IF(H$351*H$352*H$353*H349&gt;0,AVERAGE(H$351:H$353, H349),""),"")</f>
        <v/>
      </c>
      <c r="I443" s="261" t="str">
        <f aca="false">IFERROR(IF(I$351*I$352*I$353*I349&gt;0,AVERAGE(I$351:I$353, I349),""),"")</f>
        <v/>
      </c>
      <c r="J443" s="261" t="str">
        <f aca="false">IFERROR(IF(J$351*J$352*J$353*J349&gt;0,AVERAGE(J$351:J$353, J349),""),"")</f>
        <v/>
      </c>
      <c r="K443" s="261" t="str">
        <f aca="false">IFERROR(IF(K$351*K$352*K$353*K349&gt;0,AVERAGE(K$351:K$353, K349),""),"")</f>
        <v/>
      </c>
      <c r="L443" s="261" t="str">
        <f aca="false">IFERROR(IF(L$351*L$352*L$353*L349&gt;0,AVERAGE(L$351:L$353, L349),""),"")</f>
        <v/>
      </c>
      <c r="M443" s="261" t="str">
        <f aca="false">IFERROR(IF(M$351*M$352*M$353*M349&gt;0,AVERAGE(M$351:M$353, M349),""),"")</f>
        <v/>
      </c>
      <c r="N443" s="261" t="str">
        <f aca="false">IFERROR(IF(N$351*N$352*N$353*N349&gt;0,AVERAGE(N$351:N$353, N349),""),"")</f>
        <v/>
      </c>
      <c r="O443" s="224"/>
      <c r="P443" s="224"/>
      <c r="Q443" s="232"/>
      <c r="R443" s="226" t="s">
        <v>498</v>
      </c>
      <c r="S443" s="227" t="str">
        <f aca="false">IFERROR(IF(C$351*C$352*C$353*C349&gt;0,STDEV(C$351:C$353, C349),"")/IF(C$351*C$352*C$353*C349&gt;0,AVERAGE(C$351:C$353, C349),""),"")</f>
        <v/>
      </c>
      <c r="T443" s="227" t="str">
        <f aca="false">IFERROR(IF(D$351*D$352*D$353*D349&gt;0,STDEV(D$351:D$353, D349),"")/IF(D$351*D$352*D$353*D349&gt;0,AVERAGE(D$351:D$353, D349),""),"")</f>
        <v/>
      </c>
      <c r="U443" s="227" t="str">
        <f aca="false">IFERROR(IF(E$351*E$352*E$353*E349&gt;0,STDEV(E$351:E$353, E349),"")/IF(E$351*E$352*E$353*E349&gt;0,AVERAGE(E$351:E$353, E349),""),"")</f>
        <v/>
      </c>
      <c r="V443" s="227" t="str">
        <f aca="false">IFERROR(IF(F$351*F$352*F$353*F349&gt;0,STDEV(F$351:F$353, F349),"")/IF(F$351*F$352*F$353*F349&gt;0,AVERAGE(F$351:F$353, F349),""),"")</f>
        <v/>
      </c>
      <c r="W443" s="227" t="str">
        <f aca="false">IFERROR(IF(G$351*G$352*G$353*G349&gt;0,STDEV(G$351:G$353, G349),"")/IF(G$351*G$352*G$353*G349&gt;0,AVERAGE(G$351:G$353, G349),""),"")</f>
        <v/>
      </c>
      <c r="X443" s="227" t="str">
        <f aca="false">IFERROR(IF(H$351*H$352*H$353*H349&gt;0,STDEV(H$351:H$353, H349),"")/IF(H$351*H$352*H$353*H349&gt;0,AVERAGE(H$351:H$353, H349),""),"")</f>
        <v/>
      </c>
      <c r="Y443" s="227" t="str">
        <f aca="false">IFERROR(IF(I$351*I$352*I$353*I349&gt;0,STDEV(I$351:I$353, I349),"")/IF(I$351*I$352*I$353*I349&gt;0,AVERAGE(I$351:I$353, I349),""),"")</f>
        <v/>
      </c>
      <c r="Z443" s="227" t="str">
        <f aca="false">IFERROR(IF(J$351*J$352*J$353*J349&gt;0,STDEV(J$351:J$353, J349),"")/IF(J$351*J$352*J$353*J349&gt;0,AVERAGE(J$351:J$353, J349),""),"")</f>
        <v/>
      </c>
      <c r="AA443" s="227" t="str">
        <f aca="false">IFERROR(IF(K$351*K$352*K$353*K349&gt;0,STDEV(K$351:K$353, K349),"")/IF(K$351*K$352*K$353*K349&gt;0,AVERAGE(K$351:K$353, K349),""),"")</f>
        <v/>
      </c>
      <c r="AB443" s="227" t="str">
        <f aca="false">IFERROR(IF(L$351*L$352*L$353*L349&gt;0,STDEV(L$351:L$353, L349),"")/IF(L$351*L$352*L$353*L349&gt;0,AVERAGE(L$351:L$353, L349),""),"")</f>
        <v/>
      </c>
      <c r="AC443" s="227" t="str">
        <f aca="false">IFERROR(IF(M$351*M$352*M$353*M349&gt;0,STDEV(M$351:M$353, M349),"")/IF(M$351*M$352*M$353*M349&gt;0,AVERAGE(M$351:M$353, M349),""),"")</f>
        <v/>
      </c>
      <c r="AD443" s="227" t="str">
        <f aca="false">IFERROR(IF(N$351*N$352*N$353*N349&gt;0,STDEV(N$351:N$353, N349),"")/IF(N$351*N$352*N$353*N349&gt;0,AVERAGE(N$351:N$353, N349),""),"")</f>
        <v/>
      </c>
      <c r="AE443" s="233"/>
      <c r="AF443" s="229" t="s">
        <v>499</v>
      </c>
      <c r="AG443" s="230" t="str">
        <f aca="false">IFERROR(IF(C$351*C$352*C$353*C349&gt;0,STDEV(C$351:C$353, C349)," ")/IF(C$351*C$352*C$353*C349&gt;0,SQRT(COUNT(C$351:C$353, C349))," "),"")</f>
        <v/>
      </c>
      <c r="AH443" s="230" t="str">
        <f aca="false">IFERROR(IF(D$351*D$352*D$353*D349&gt;0,STDEV(D$351:D$353, D349)," ")/IF(D$351*D$352*D$353*D349&gt;0,SQRT(COUNT(D$351:D$353, D349))," "),"")</f>
        <v/>
      </c>
      <c r="AI443" s="230" t="str">
        <f aca="false">IFERROR(IF(E$351*E$352*E$353*E349&gt;0,STDEV(E$351:E$353, E349)," ")/IF(E$351*E$352*E$353*E349&gt;0,SQRT(COUNT(E$351:E$353, E349))," "),"")</f>
        <v/>
      </c>
      <c r="AJ443" s="230" t="str">
        <f aca="false">IFERROR(IF(F$351*F$352*F$353*F349&gt;0,STDEV(F$351:F$353, F349)," ")/IF(F$351*F$352*F$353*F349&gt;0,SQRT(COUNT(F$351:F$353, F349))," "),"")</f>
        <v/>
      </c>
      <c r="AK443" s="230" t="str">
        <f aca="false">IFERROR(IF(G$351*G$352*G$353*G349&gt;0,STDEV(G$351:G$353, G349)," ")/IF(G$351*G$352*G$353*G349&gt;0,SQRT(COUNT(G$351:G$353, G349))," "),"")</f>
        <v/>
      </c>
      <c r="AL443" s="230" t="str">
        <f aca="false">IFERROR(IF(H$351*H$352*H$353*H349&gt;0,STDEV(H$351:H$353, H349)," ")/IF(H$351*H$352*H$353*H349&gt;0,SQRT(COUNT(H$351:H$353, H349))," "),"")</f>
        <v/>
      </c>
      <c r="AM443" s="230" t="str">
        <f aca="false">IFERROR(IF(I$351*I$352*I$353*I349&gt;0,STDEV(I$351:I$353, I349)," ")/IF(I$351*I$352*I$353*I349&gt;0,SQRT(COUNT(I$351:I$353, I349))," "),"")</f>
        <v/>
      </c>
      <c r="AN443" s="230" t="str">
        <f aca="false">IFERROR(IF(J$351*J$352*J$353*J349&gt;0,STDEV(J$351:J$353, J349)," ")/IF(J$351*J$352*J$353*J349&gt;0,SQRT(COUNT(J$351:J$353, J349))," "),"")</f>
        <v/>
      </c>
      <c r="AO443" s="230" t="str">
        <f aca="false">IFERROR(IF(K$351*K$352*K$353*K349&gt;0,STDEV(K$351:K$353, K349)," ")/IF(K$351*K$352*K$353*K349&gt;0,SQRT(COUNT(K$351:K$353, K349))," "),"")</f>
        <v/>
      </c>
      <c r="AP443" s="230" t="str">
        <f aca="false">IFERROR(IF(L$351*L$352*L$353*L349&gt;0,STDEV(L$351:L$353, L349)," ")/IF(L$351*L$352*L$353*L349&gt;0,SQRT(COUNT(L$351:L$353, L349))," "),"")</f>
        <v/>
      </c>
      <c r="AQ443" s="230" t="str">
        <f aca="false">IFERROR(IF(M$351*M$352*M$353*M349&gt;0,STDEV(M$351:M$353, M349)," ")/IF(M$351*M$352*M$353*M349&gt;0,SQRT(COUNT(M$351:M$353, M349))," "),"")</f>
        <v/>
      </c>
      <c r="AR443" s="230" t="str">
        <f aca="false">IFERROR(IF(N$351*N$352*N$353*N349&gt;0,STDEV(N$351:N$353, N349)," ")/IF(N$351*N$352*N$353*N349&gt;0,SQRT(COUNT(N$351:N$353, N349))," "),"")</f>
        <v/>
      </c>
    </row>
    <row r="444" customFormat="false" ht="15.75" hidden="false" customHeight="false" outlineLevel="0" collapsed="false">
      <c r="A444" s="220" t="s">
        <v>500</v>
      </c>
      <c r="B444" s="221"/>
      <c r="C444" s="261" t="str">
        <f aca="false">IFERROR(IF(C$351*C$352*C$353*C350&gt;0,AVERAGE(C$351:C$353, C350),""),"")</f>
        <v/>
      </c>
      <c r="D444" s="261" t="str">
        <f aca="false">IFERROR(IF(D$351*D$352*D$353*D350&gt;0,AVERAGE(D$351:D$353, D350),""),"")</f>
        <v/>
      </c>
      <c r="E444" s="261" t="str">
        <f aca="false">IFERROR(IF(E$351*E$352*E$353*E350&gt;0,AVERAGE(E$351:E$353, E350),""),"")</f>
        <v/>
      </c>
      <c r="F444" s="261" t="str">
        <f aca="false">IFERROR(IF(F$351*F$352*F$353*F350&gt;0,AVERAGE(F$351:F$353, F350),""),"")</f>
        <v/>
      </c>
      <c r="G444" s="261" t="str">
        <f aca="false">IFERROR(IF(G$351*G$352*G$353*G350&gt;0,AVERAGE(G$351:G$353, G350),""),"")</f>
        <v/>
      </c>
      <c r="H444" s="261" t="str">
        <f aca="false">IFERROR(IF(H$351*H$352*H$353*H350&gt;0,AVERAGE(H$351:H$353, H350),""),"")</f>
        <v/>
      </c>
      <c r="I444" s="261" t="str">
        <f aca="false">IFERROR(IF(I$351*I$352*I$353*I350&gt;0,AVERAGE(I$351:I$353, I350),""),"")</f>
        <v/>
      </c>
      <c r="J444" s="261" t="str">
        <f aca="false">IFERROR(IF(J$351*J$352*J$353*J350&gt;0,AVERAGE(J$351:J$353, J350),""),"")</f>
        <v/>
      </c>
      <c r="K444" s="261" t="str">
        <f aca="false">IFERROR(IF(K$351*K$352*K$353*K350&gt;0,AVERAGE(K$351:K$353, K350),""),"")</f>
        <v/>
      </c>
      <c r="L444" s="261" t="str">
        <f aca="false">IFERROR(IF(L$351*L$352*L$353*L350&gt;0,AVERAGE(L$351:L$353, L350),""),"")</f>
        <v/>
      </c>
      <c r="M444" s="261" t="str">
        <f aca="false">IFERROR(IF(M$351*M$352*M$353*M350&gt;0,AVERAGE(M$351:M$353, M350),""),"")</f>
        <v/>
      </c>
      <c r="N444" s="261" t="str">
        <f aca="false">IFERROR(IF(N$351*N$352*N$353*N350&gt;0,AVERAGE(N$351:N$353, N350),""),"")</f>
        <v/>
      </c>
      <c r="O444" s="224"/>
      <c r="P444" s="224"/>
      <c r="Q444" s="232"/>
      <c r="R444" s="226" t="s">
        <v>501</v>
      </c>
      <c r="S444" s="227" t="str">
        <f aca="false">IFERROR(IF(C$351*C$352*C$353*C350&gt;0,STDEV(C$351:C$353, C350),"")/IF(C$351*C$352*C$353*C350&gt;0,AVERAGE(C$351:C$353, C350),""),"")</f>
        <v/>
      </c>
      <c r="T444" s="227" t="str">
        <f aca="false">IFERROR(IF(D$351*D$352*D$353*D350&gt;0,STDEV(D$351:D$353, D350),"")/IF(D$351*D$352*D$353*D350&gt;0,AVERAGE(D$351:D$353, D350),""),"")</f>
        <v/>
      </c>
      <c r="U444" s="227" t="str">
        <f aca="false">IFERROR(IF(E$351*E$352*E$353*E350&gt;0,STDEV(E$351:E$353, E350),"")/IF(E$351*E$352*E$353*E350&gt;0,AVERAGE(E$351:E$353, E350),""),"")</f>
        <v/>
      </c>
      <c r="V444" s="227" t="str">
        <f aca="false">IFERROR(IF(F$351*F$352*F$353*F350&gt;0,STDEV(F$351:F$353, F350),"")/IF(F$351*F$352*F$353*F350&gt;0,AVERAGE(F$351:F$353, F350),""),"")</f>
        <v/>
      </c>
      <c r="W444" s="227" t="str">
        <f aca="false">IFERROR(IF(G$351*G$352*G$353*G350&gt;0,STDEV(G$351:G$353, G350),"")/IF(G$351*G$352*G$353*G350&gt;0,AVERAGE(G$351:G$353, G350),""),"")</f>
        <v/>
      </c>
      <c r="X444" s="227" t="str">
        <f aca="false">IFERROR(IF(H$351*H$352*H$353*H350&gt;0,STDEV(H$351:H$353, H350),"")/IF(H$351*H$352*H$353*H350&gt;0,AVERAGE(H$351:H$353, H350),""),"")</f>
        <v/>
      </c>
      <c r="Y444" s="227" t="str">
        <f aca="false">IFERROR(IF(I$351*I$352*I$353*I350&gt;0,STDEV(I$351:I$353, I350),"")/IF(I$351*I$352*I$353*I350&gt;0,AVERAGE(I$351:I$353, I350),""),"")</f>
        <v/>
      </c>
      <c r="Z444" s="227" t="str">
        <f aca="false">IFERROR(IF(J$351*J$352*J$353*J350&gt;0,STDEV(J$351:J$353, J350),"")/IF(J$351*J$352*J$353*J350&gt;0,AVERAGE(J$351:J$353, J350),""),"")</f>
        <v/>
      </c>
      <c r="AA444" s="227" t="str">
        <f aca="false">IFERROR(IF(K$351*K$352*K$353*K350&gt;0,STDEV(K$351:K$353, K350),"")/IF(K$351*K$352*K$353*K350&gt;0,AVERAGE(K$351:K$353, K350),""),"")</f>
        <v/>
      </c>
      <c r="AB444" s="227" t="str">
        <f aca="false">IFERROR(IF(L$351*L$352*L$353*L350&gt;0,STDEV(L$351:L$353, L350),"")/IF(L$351*L$352*L$353*L350&gt;0,AVERAGE(L$351:L$353, L350),""),"")</f>
        <v/>
      </c>
      <c r="AC444" s="227" t="str">
        <f aca="false">IFERROR(IF(M$351*M$352*M$353*M350&gt;0,STDEV(M$351:M$353, M350),"")/IF(M$351*M$352*M$353*M350&gt;0,AVERAGE(M$351:M$353, M350),""),"")</f>
        <v/>
      </c>
      <c r="AD444" s="227" t="str">
        <f aca="false">IFERROR(IF(N$351*N$352*N$353*N350&gt;0,STDEV(N$351:N$353, N350),"")/IF(N$351*N$352*N$353*N350&gt;0,AVERAGE(N$351:N$353, N350),""),"")</f>
        <v/>
      </c>
      <c r="AE444" s="233"/>
      <c r="AF444" s="229" t="s">
        <v>502</v>
      </c>
      <c r="AG444" s="230" t="str">
        <f aca="false">IFERROR(IF(C$351*C$352*C$353*C350&gt;0,STDEV(C$351:C$353, C350)," ")/IF(C$351*C$352*C$353*C350&gt;0,SQRT(COUNT(C$351:C$353, C350))," "),"")</f>
        <v/>
      </c>
      <c r="AH444" s="230" t="str">
        <f aca="false">IFERROR(IF(D$351*D$352*D$353*D350&gt;0,STDEV(D$351:D$353, D350)," ")/IF(D$351*D$352*D$353*D350&gt;0,SQRT(COUNT(D$351:D$353, D350))," "),"")</f>
        <v/>
      </c>
      <c r="AI444" s="230" t="str">
        <f aca="false">IFERROR(IF(E$351*E$352*E$353*E350&gt;0,STDEV(E$351:E$353, E350)," ")/IF(E$351*E$352*E$353*E350&gt;0,SQRT(COUNT(E$351:E$353, E350))," "),"")</f>
        <v/>
      </c>
      <c r="AJ444" s="230" t="str">
        <f aca="false">IFERROR(IF(F$351*F$352*F$353*F350&gt;0,STDEV(F$351:F$353, F350)," ")/IF(F$351*F$352*F$353*F350&gt;0,SQRT(COUNT(F$351:F$353, F350))," "),"")</f>
        <v/>
      </c>
      <c r="AK444" s="230" t="str">
        <f aca="false">IFERROR(IF(G$351*G$352*G$353*G350&gt;0,STDEV(G$351:G$353, G350)," ")/IF(G$351*G$352*G$353*G350&gt;0,SQRT(COUNT(G$351:G$353, G350))," "),"")</f>
        <v/>
      </c>
      <c r="AL444" s="230" t="str">
        <f aca="false">IFERROR(IF(H$351*H$352*H$353*H350&gt;0,STDEV(H$351:H$353, H350)," ")/IF(H$351*H$352*H$353*H350&gt;0,SQRT(COUNT(H$351:H$353, H350))," "),"")</f>
        <v/>
      </c>
      <c r="AM444" s="230" t="str">
        <f aca="false">IFERROR(IF(I$351*I$352*I$353*I350&gt;0,STDEV(I$351:I$353, I350)," ")/IF(I$351*I$352*I$353*I350&gt;0,SQRT(COUNT(I$351:I$353, I350))," "),"")</f>
        <v/>
      </c>
      <c r="AN444" s="230" t="str">
        <f aca="false">IFERROR(IF(J$351*J$352*J$353*J350&gt;0,STDEV(J$351:J$353, J350)," ")/IF(J$351*J$352*J$353*J350&gt;0,SQRT(COUNT(J$351:J$353, J350))," "),"")</f>
        <v/>
      </c>
      <c r="AO444" s="230" t="str">
        <f aca="false">IFERROR(IF(K$351*K$352*K$353*K350&gt;0,STDEV(K$351:K$353, K350)," ")/IF(K$351*K$352*K$353*K350&gt;0,SQRT(COUNT(K$351:K$353, K350))," "),"")</f>
        <v/>
      </c>
      <c r="AP444" s="230" t="str">
        <f aca="false">IFERROR(IF(L$351*L$352*L$353*L350&gt;0,STDEV(L$351:L$353, L350)," ")/IF(L$351*L$352*L$353*L350&gt;0,SQRT(COUNT(L$351:L$353, L350))," "),"")</f>
        <v/>
      </c>
      <c r="AQ444" s="230" t="str">
        <f aca="false">IFERROR(IF(M$351*M$352*M$353*M350&gt;0,STDEV(M$351:M$353, M350)," ")/IF(M$351*M$352*M$353*M350&gt;0,SQRT(COUNT(M$351:M$353, M350))," "),"")</f>
        <v/>
      </c>
      <c r="AR444" s="230" t="str">
        <f aca="false">IFERROR(IF(N$351*N$352*N$353*N350&gt;0,STDEV(N$351:N$353, N350)," ")/IF(N$351*N$352*N$353*N350&gt;0,SQRT(COUNT(N$351:N$353, N350))," "),"")</f>
        <v/>
      </c>
    </row>
    <row r="445" customFormat="false" ht="15.75" hidden="false" customHeight="false" outlineLevel="0" collapsed="false">
      <c r="A445" s="220" t="s">
        <v>446</v>
      </c>
      <c r="B445" s="221"/>
      <c r="C445" s="261" t="str">
        <f aca="false">IFERROR(IF(C$347*C$348*C$349*C351&gt;0,AVERAGE(C$347, C$348, C$349, C$351),""),"")</f>
        <v/>
      </c>
      <c r="D445" s="261" t="str">
        <f aca="false">IFERROR(IF(D$347*D$348*D$349*D351&gt;0,AVERAGE(D$347, D$348, D$349, D$351),""),"")</f>
        <v/>
      </c>
      <c r="E445" s="261" t="str">
        <f aca="false">IFERROR(IF(E$347*E$348*E$349*E351&gt;0,AVERAGE(E$347, E$348, E$349, E$351),""),"")</f>
        <v/>
      </c>
      <c r="F445" s="261" t="str">
        <f aca="false">IFERROR(IF(F$347*F$348*F$349*F351&gt;0,AVERAGE(F$347, F$348, F$349, F$351),""),"")</f>
        <v/>
      </c>
      <c r="G445" s="261" t="str">
        <f aca="false">IFERROR(IF(G$347*G$348*G$349*G351&gt;0,AVERAGE(G$347, G$348, G$349, G$351),""),"")</f>
        <v/>
      </c>
      <c r="H445" s="261" t="str">
        <f aca="false">IFERROR(IF(H$347*H$348*H$349*H351&gt;0,AVERAGE(H$347, H$348, H$349, H$351),""),"")</f>
        <v/>
      </c>
      <c r="I445" s="261" t="str">
        <f aca="false">IFERROR(IF(I$347*I$348*I$349*I351&gt;0,AVERAGE(I$347, I$348, I$349, I$351),""),"")</f>
        <v/>
      </c>
      <c r="J445" s="261" t="str">
        <f aca="false">IFERROR(IF(J$347*J$348*J$349*J351&gt;0,AVERAGE(J$347, J$348, J$349, J$351),""),"")</f>
        <v/>
      </c>
      <c r="K445" s="261" t="str">
        <f aca="false">IFERROR(IF(K$347*K$348*K$349*K351&gt;0,AVERAGE(K$347, K$348, K$349, K$351),""),"")</f>
        <v/>
      </c>
      <c r="L445" s="261" t="str">
        <f aca="false">IFERROR(IF(L$347*L$348*L$349*L351&gt;0,AVERAGE(L$347, L$348, L$349, L$351),""),"")</f>
        <v/>
      </c>
      <c r="M445" s="261" t="str">
        <f aca="false">IFERROR(IF(M$347*M$348*M$349*M351&gt;0,AVERAGE(M$347, M$348, M$349, M$351),""),"")</f>
        <v/>
      </c>
      <c r="N445" s="261" t="str">
        <f aca="false">IFERROR(IF(N$347*N$348*N$349*N351&gt;0,AVERAGE(N$347, N$348, N$349, N$351),""),"")</f>
        <v/>
      </c>
      <c r="O445" s="224"/>
      <c r="P445" s="224"/>
      <c r="Q445" s="232"/>
      <c r="R445" s="226" t="s">
        <v>447</v>
      </c>
      <c r="S445" s="227" t="str">
        <f aca="false">IFERROR(IF(C$347*C$348*C$349*C351&gt;0,STDEV(C$347, C$348, C$349, C$351),"")/IF(C$347*C$348*C$349*C351&gt;0,AVERAGE(C$347, C$348, C$349, C$351),""),"")</f>
        <v/>
      </c>
      <c r="T445" s="227" t="str">
        <f aca="false">IFERROR(IF(D$347*D$348*D$349*D351&gt;0,STDEV(D$347, D$348, D$349, D$351),"")/IF(D$347*D$348*D$349*D351&gt;0,AVERAGE(D$347, D$348, D$349, D$351),""),"")</f>
        <v/>
      </c>
      <c r="U445" s="227" t="str">
        <f aca="false">IFERROR(IF(E$347*E$348*E$349*E351&gt;0,STDEV(E$347, E$348, E$349, E$351),"")/IF(E$347*E$348*E$349*E351&gt;0,AVERAGE(E$347, E$348, E$349, E$351),""),"")</f>
        <v/>
      </c>
      <c r="V445" s="227" t="str">
        <f aca="false">IFERROR(IF(F$347*F$348*F$349*F351&gt;0,STDEV(F$347, F$348, F$349, F$351),"")/IF(F$347*F$348*F$349*F351&gt;0,AVERAGE(F$347, F$348, F$349, F$351),""),"")</f>
        <v/>
      </c>
      <c r="W445" s="227" t="str">
        <f aca="false">IFERROR(IF(G$347*G$348*G$349*G351&gt;0,STDEV(G$347, G$348, G$349, G$351),"")/IF(G$347*G$348*G$349*G351&gt;0,AVERAGE(G$347, G$348, G$349, G$351),""),"")</f>
        <v/>
      </c>
      <c r="X445" s="227" t="str">
        <f aca="false">IFERROR(IF(H$347*H$348*H$349*H351&gt;0,STDEV(H$347, H$348, H$349, H$351),"")/IF(H$347*H$348*H$349*H351&gt;0,AVERAGE(H$347, H$348, H$349, H$351),""),"")</f>
        <v/>
      </c>
      <c r="Y445" s="227" t="str">
        <f aca="false">IFERROR(IF(I$347*I$348*I$349*I351&gt;0,STDEV(I$347, I$348, I$349, I$351),"")/IF(I$347*I$348*I$349*I351&gt;0,AVERAGE(I$347, I$348, I$349, I$351),""),"")</f>
        <v/>
      </c>
      <c r="Z445" s="227" t="str">
        <f aca="false">IFERROR(IF(J$347*J$348*J$349*J351&gt;0,STDEV(J$347, J$348, J$349, J$351),"")/IF(J$347*J$348*J$349*J351&gt;0,AVERAGE(J$347, J$348, J$349, J$351),""),"")</f>
        <v/>
      </c>
      <c r="AA445" s="227" t="str">
        <f aca="false">IFERROR(IF(K$347*K$348*K$349*K351&gt;0,STDEV(K$347, K$348, K$349, K$351),"")/IF(K$347*K$348*K$349*K351&gt;0,AVERAGE(K$347, K$348, K$349, K$351),""),"")</f>
        <v/>
      </c>
      <c r="AB445" s="227" t="str">
        <f aca="false">IFERROR(IF(L$347*L$348*L$349*L351&gt;0,STDEV(L$347, L$348, L$349, L$351),"")/IF(L$347*L$348*L$349*L351&gt;0,AVERAGE(L$347, L$348, L$349, L$351),""),"")</f>
        <v/>
      </c>
      <c r="AC445" s="227" t="str">
        <f aca="false">IFERROR(IF(M$347*M$348*M$349*M351&gt;0,STDEV(M$347, M$348, M$349, M$351),"")/IF(M$347*M$348*M$349*M351&gt;0,AVERAGE(M$347, M$348, M$349, M$351),""),"")</f>
        <v/>
      </c>
      <c r="AD445" s="227" t="str">
        <f aca="false">IFERROR(IF(N$347*N$348*N$349*N351&gt;0,STDEV(N$347, N$348, N$349, N$351),"")/IF(N$347*N$348*N$349*N351&gt;0,AVERAGE(N$347, N$348, N$349, N$351),""),"")</f>
        <v/>
      </c>
      <c r="AE445" s="233"/>
      <c r="AF445" s="229" t="s">
        <v>448</v>
      </c>
      <c r="AG445" s="230" t="str">
        <f aca="false">IFERROR(IF(C$347*C$348*C$349*C351&gt;0,STDEV(C$347, C$348, C$349, C$351)," ")/IF(C$347*C$348*C$349*C351&gt;0,SQRT(COUNT(C$347, C$348, C$349, C$351))," "),"")</f>
        <v/>
      </c>
      <c r="AH445" s="230" t="str">
        <f aca="false">IFERROR(IF(D$347*D$348*D$349*D351&gt;0,STDEV(D$347, D$348, D$349, D$351)," ")/IF(D$347*D$348*D$349*D351&gt;0,SQRT(COUNT(D$347, D$348, D$349, D$351))," "),"")</f>
        <v/>
      </c>
      <c r="AI445" s="230" t="str">
        <f aca="false">IFERROR(IF(E$347*E$348*E$349*E351&gt;0,STDEV(E$347, E$348, E$349, E$351)," ")/IF(E$347*E$348*E$349*E351&gt;0,SQRT(COUNT(E$347, E$348, E$349, E$351))," "),"")</f>
        <v/>
      </c>
      <c r="AJ445" s="230" t="str">
        <f aca="false">IFERROR(IF(F$347*F$348*F$349*F351&gt;0,STDEV(F$347, F$348, F$349, F$351)," ")/IF(F$347*F$348*F$349*F351&gt;0,SQRT(COUNT(F$347, F$348, F$349, F$351))," "),"")</f>
        <v/>
      </c>
      <c r="AK445" s="230" t="str">
        <f aca="false">IFERROR(IF(G$347*G$348*G$349*G351&gt;0,STDEV(G$347, G$348, G$349, G$351)," ")/IF(G$347*G$348*G$349*G351&gt;0,SQRT(COUNT(G$347, G$348, G$349, G$351))," "),"")</f>
        <v/>
      </c>
      <c r="AL445" s="230" t="str">
        <f aca="false">IFERROR(IF(H$347*H$348*H$349*H351&gt;0,STDEV(H$347, H$348, H$349, H$351)," ")/IF(H$347*H$348*H$349*H351&gt;0,SQRT(COUNT(H$347, H$348, H$349, H$351))," "),"")</f>
        <v/>
      </c>
      <c r="AM445" s="230" t="str">
        <f aca="false">IFERROR(IF(I$347*I$348*I$349*I351&gt;0,STDEV(I$347, I$348, I$349, I$351)," ")/IF(I$347*I$348*I$349*I351&gt;0,SQRT(COUNT(I$347, I$348, I$349, I$351))," "),"")</f>
        <v/>
      </c>
      <c r="AN445" s="230" t="str">
        <f aca="false">IFERROR(IF(J$347*J$348*J$349*J351&gt;0,STDEV(J$347, J$348, J$349, J$351)," ")/IF(J$347*J$348*J$349*J351&gt;0,SQRT(COUNT(J$347, J$348, J$349, J$351))," "),"")</f>
        <v/>
      </c>
      <c r="AO445" s="230" t="str">
        <f aca="false">IFERROR(IF(K$347*K$348*K$349*K351&gt;0,STDEV(K$347, K$348, K$349, K$351)," ")/IF(K$347*K$348*K$349*K351&gt;0,SQRT(COUNT(K$347, K$348, K$349, K$351))," "),"")</f>
        <v/>
      </c>
      <c r="AP445" s="230" t="str">
        <f aca="false">IFERROR(IF(L$347*L$348*L$349*L351&gt;0,STDEV(L$347, L$348, L$349, L$351)," ")/IF(L$347*L$348*L$349*L351&gt;0,SQRT(COUNT(L$347, L$348, L$349, L$351))," "),"")</f>
        <v/>
      </c>
      <c r="AQ445" s="230" t="str">
        <f aca="false">IFERROR(IF(M$347*M$348*M$349*M351&gt;0,STDEV(M$347, M$348, M$349, M$351)," ")/IF(M$347*M$348*M$349*M351&gt;0,SQRT(COUNT(M$347, M$348, M$349, M$351))," "),"")</f>
        <v/>
      </c>
      <c r="AR445" s="230" t="str">
        <f aca="false">IFERROR(IF(N$347*N$348*N$349*N351&gt;0,STDEV(N$347, N$348, N$349, N$351)," ")/IF(N$347*N$348*N$349*N351&gt;0,SQRT(COUNT(N$347, N$348, N$349, N$351))," "),"")</f>
        <v/>
      </c>
    </row>
    <row r="446" customFormat="false" ht="15.75" hidden="false" customHeight="false" outlineLevel="0" collapsed="false">
      <c r="A446" s="220" t="s">
        <v>449</v>
      </c>
      <c r="B446" s="221"/>
      <c r="C446" s="261" t="str">
        <f aca="false">IFERROR(IF(C$347*C$348*C$349*C352&gt;0,AVERAGE(C$347, C$348, C$349, C$352),""),"")</f>
        <v/>
      </c>
      <c r="D446" s="261" t="str">
        <f aca="false">IFERROR(IF(D$347*D$348*D$349*D352&gt;0,AVERAGE(D$347, D$348, D$349, D$352),""),"")</f>
        <v/>
      </c>
      <c r="E446" s="261" t="str">
        <f aca="false">IFERROR(IF(E$347*E$348*E$349*E352&gt;0,AVERAGE(E$347, E$348, E$349, E$352),""),"")</f>
        <v/>
      </c>
      <c r="F446" s="261" t="str">
        <f aca="false">IFERROR(IF(F$347*F$348*F$349*F352&gt;0,AVERAGE(F$347, F$348, F$349, F$352),""),"")</f>
        <v/>
      </c>
      <c r="G446" s="261" t="str">
        <f aca="false">IFERROR(IF(G$347*G$348*G$349*G352&gt;0,AVERAGE(G$347, G$348, G$349, G$352),""),"")</f>
        <v/>
      </c>
      <c r="H446" s="261" t="str">
        <f aca="false">IFERROR(IF(H$347*H$348*H$349*H352&gt;0,AVERAGE(H$347, H$348, H$349, H$352),""),"")</f>
        <v/>
      </c>
      <c r="I446" s="261" t="str">
        <f aca="false">IFERROR(IF(I$347*I$348*I$349*I352&gt;0,AVERAGE(I$347, I$348, I$349, I$352),""),"")</f>
        <v/>
      </c>
      <c r="J446" s="261" t="str">
        <f aca="false">IFERROR(IF(J$347*J$348*J$349*J352&gt;0,AVERAGE(J$347, J$348, J$349, J$352),""),"")</f>
        <v/>
      </c>
      <c r="K446" s="261" t="str">
        <f aca="false">IFERROR(IF(K$347*K$348*K$349*K352&gt;0,AVERAGE(K$347, K$348, K$349, K$352),""),"")</f>
        <v/>
      </c>
      <c r="L446" s="261" t="str">
        <f aca="false">IFERROR(IF(L$347*L$348*L$349*L352&gt;0,AVERAGE(L$347, L$348, L$349, L$352),""),"")</f>
        <v/>
      </c>
      <c r="M446" s="261" t="str">
        <f aca="false">IFERROR(IF(M$347*M$348*M$349*M352&gt;0,AVERAGE(M$347, M$348, M$349, M$352),""),"")</f>
        <v/>
      </c>
      <c r="N446" s="261" t="str">
        <f aca="false">IFERROR(IF(N$347*N$348*N$349*N352&gt;0,AVERAGE(N$347, N$348, N$349, N$352),""),"")</f>
        <v/>
      </c>
      <c r="O446" s="224"/>
      <c r="P446" s="224"/>
      <c r="Q446" s="232"/>
      <c r="R446" s="226" t="s">
        <v>450</v>
      </c>
      <c r="S446" s="227" t="str">
        <f aca="false">IFERROR(IF(C$347*C$348*C$349*C352&gt;0,STDEV(C$347, C$348, C$349, C$352),"")/IF(C$347*C$348*C$349*C352&gt;0,AVERAGE(C$347, C$348, C$349, C$352),""),"")</f>
        <v/>
      </c>
      <c r="T446" s="227" t="str">
        <f aca="false">IFERROR(IF(D$347*D$348*D$349*D352&gt;0,STDEV(D$347, D$348, D$349, D$352),"")/IF(D$347*D$348*D$349*D352&gt;0,AVERAGE(D$347, D$348, D$349, D$352),""),"")</f>
        <v/>
      </c>
      <c r="U446" s="227" t="str">
        <f aca="false">IFERROR(IF(E$347*E$348*E$349*E352&gt;0,STDEV(E$347, E$348, E$349, E$352),"")/IF(E$347*E$348*E$349*E352&gt;0,AVERAGE(E$347, E$348, E$349, E$352),""),"")</f>
        <v/>
      </c>
      <c r="V446" s="227" t="str">
        <f aca="false">IFERROR(IF(F$347*F$348*F$349*F352&gt;0,STDEV(F$347, F$348, F$349, F$352),"")/IF(F$347*F$348*F$349*F352&gt;0,AVERAGE(F$347, F$348, F$349, F$352),""),"")</f>
        <v/>
      </c>
      <c r="W446" s="227" t="str">
        <f aca="false">IFERROR(IF(G$347*G$348*G$349*G352&gt;0,STDEV(G$347, G$348, G$349, G$352),"")/IF(G$347*G$348*G$349*G352&gt;0,AVERAGE(G$347, G$348, G$349, G$352),""),"")</f>
        <v/>
      </c>
      <c r="X446" s="227" t="str">
        <f aca="false">IFERROR(IF(H$347*H$348*H$349*H352&gt;0,STDEV(H$347, H$348, H$349, H$352),"")/IF(H$347*H$348*H$349*H352&gt;0,AVERAGE(H$347, H$348, H$349, H$352),""),"")</f>
        <v/>
      </c>
      <c r="Y446" s="227" t="str">
        <f aca="false">IFERROR(IF(I$347*I$348*I$349*I352&gt;0,STDEV(I$347, I$348, I$349, I$352),"")/IF(I$347*I$348*I$349*I352&gt;0,AVERAGE(I$347, I$348, I$349, I$352),""),"")</f>
        <v/>
      </c>
      <c r="Z446" s="227" t="str">
        <f aca="false">IFERROR(IF(J$347*J$348*J$349*J352&gt;0,STDEV(J$347, J$348, J$349, J$352),"")/IF(J$347*J$348*J$349*J352&gt;0,AVERAGE(J$347, J$348, J$349, J$352),""),"")</f>
        <v/>
      </c>
      <c r="AA446" s="227" t="str">
        <f aca="false">IFERROR(IF(K$347*K$348*K$349*K352&gt;0,STDEV(K$347, K$348, K$349, K$352),"")/IF(K$347*K$348*K$349*K352&gt;0,AVERAGE(K$347, K$348, K$349, K$352),""),"")</f>
        <v/>
      </c>
      <c r="AB446" s="227" t="str">
        <f aca="false">IFERROR(IF(L$347*L$348*L$349*L352&gt;0,STDEV(L$347, L$348, L$349, L$352),"")/IF(L$347*L$348*L$349*L352&gt;0,AVERAGE(L$347, L$348, L$349, L$352),""),"")</f>
        <v/>
      </c>
      <c r="AC446" s="227" t="str">
        <f aca="false">IFERROR(IF(M$347*M$348*M$349*M352&gt;0,STDEV(M$347, M$348, M$349, M$352),"")/IF(M$347*M$348*M$349*M352&gt;0,AVERAGE(M$347, M$348, M$349, M$352),""),"")</f>
        <v/>
      </c>
      <c r="AD446" s="227" t="str">
        <f aca="false">IFERROR(IF(N$347*N$348*N$349*N352&gt;0,STDEV(N$347, N$348, N$349, N$352),"")/IF(N$347*N$348*N$349*N352&gt;0,AVERAGE(N$347, N$348, N$349, N$352),""),"")</f>
        <v/>
      </c>
      <c r="AE446" s="233"/>
      <c r="AF446" s="229" t="s">
        <v>451</v>
      </c>
      <c r="AG446" s="230" t="str">
        <f aca="false">IFERROR(IF(C$347*C$348*C$349*C352&gt;0,STDEV(C$347, C$348, C$349, C$352)," ")/IF(C$347*C$348*C$349*C352&gt;0,SQRT(COUNT(C$347, C$348, C$349, C$352))," "),"")</f>
        <v/>
      </c>
      <c r="AH446" s="230" t="str">
        <f aca="false">IFERROR(IF(D$347*D$348*D$349*D352&gt;0,STDEV(D$347, D$348, D$349, D$352)," ")/IF(D$347*D$348*D$349*D352&gt;0,SQRT(COUNT(D$347, D$348, D$349, D$352))," "),"")</f>
        <v/>
      </c>
      <c r="AI446" s="230" t="str">
        <f aca="false">IFERROR(IF(E$347*E$348*E$349*E352&gt;0,STDEV(E$347, E$348, E$349, E$352)," ")/IF(E$347*E$348*E$349*E352&gt;0,SQRT(COUNT(E$347, E$348, E$349, E$352))," "),"")</f>
        <v/>
      </c>
      <c r="AJ446" s="230" t="str">
        <f aca="false">IFERROR(IF(F$347*F$348*F$349*F352&gt;0,STDEV(F$347, F$348, F$349, F$352)," ")/IF(F$347*F$348*F$349*F352&gt;0,SQRT(COUNT(F$347, F$348, F$349, F$352))," "),"")</f>
        <v/>
      </c>
      <c r="AK446" s="230" t="str">
        <f aca="false">IFERROR(IF(G$347*G$348*G$349*G352&gt;0,STDEV(G$347, G$348, G$349, G$352)," ")/IF(G$347*G$348*G$349*G352&gt;0,SQRT(COUNT(G$347, G$348, G$349, G$352))," "),"")</f>
        <v/>
      </c>
      <c r="AL446" s="230" t="str">
        <f aca="false">IFERROR(IF(H$347*H$348*H$349*H352&gt;0,STDEV(H$347, H$348, H$349, H$352)," ")/IF(H$347*H$348*H$349*H352&gt;0,SQRT(COUNT(H$347, H$348, H$349, H$352))," "),"")</f>
        <v/>
      </c>
      <c r="AM446" s="230" t="str">
        <f aca="false">IFERROR(IF(I$347*I$348*I$349*I352&gt;0,STDEV(I$347, I$348, I$349, I$352)," ")/IF(I$347*I$348*I$349*I352&gt;0,SQRT(COUNT(I$347, I$348, I$349, I$352))," "),"")</f>
        <v/>
      </c>
      <c r="AN446" s="230" t="str">
        <f aca="false">IFERROR(IF(J$347*J$348*J$349*J352&gt;0,STDEV(J$347, J$348, J$349, J$352)," ")/IF(J$347*J$348*J$349*J352&gt;0,SQRT(COUNT(J$347, J$348, J$349, J$352))," "),"")</f>
        <v/>
      </c>
      <c r="AO446" s="230" t="str">
        <f aca="false">IFERROR(IF(K$347*K$348*K$349*K352&gt;0,STDEV(K$347, K$348, K$349, K$352)," ")/IF(K$347*K$348*K$349*K352&gt;0,SQRT(COUNT(K$347, K$348, K$349, K$352))," "),"")</f>
        <v/>
      </c>
      <c r="AP446" s="230" t="str">
        <f aca="false">IFERROR(IF(L$347*L$348*L$349*L352&gt;0,STDEV(L$347, L$348, L$349, L$352)," ")/IF(L$347*L$348*L$349*L352&gt;0,SQRT(COUNT(L$347, L$348, L$349, L$352))," "),"")</f>
        <v/>
      </c>
      <c r="AQ446" s="230" t="str">
        <f aca="false">IFERROR(IF(M$347*M$348*M$349*M352&gt;0,STDEV(M$347, M$348, M$349, M$352)," ")/IF(M$347*M$348*M$349*M352&gt;0,SQRT(COUNT(M$347, M$348, M$349, M$352))," "),"")</f>
        <v/>
      </c>
      <c r="AR446" s="230" t="str">
        <f aca="false">IFERROR(IF(N$347*N$348*N$349*N352&gt;0,STDEV(N$347, N$348, N$349, N$352)," ")/IF(N$347*N$348*N$349*N352&gt;0,SQRT(COUNT(N$347, N$348, N$349, N$352))," "),"")</f>
        <v/>
      </c>
    </row>
    <row r="447" customFormat="false" ht="15.75" hidden="false" customHeight="false" outlineLevel="0" collapsed="false">
      <c r="A447" s="220" t="s">
        <v>503</v>
      </c>
      <c r="B447" s="221"/>
      <c r="C447" s="261" t="str">
        <f aca="false">IFERROR(IF(C$347*C$348*C$350*C352&gt;0,AVERAGE(C$347, C$348, C$350, C$352),""),"")</f>
        <v/>
      </c>
      <c r="D447" s="261" t="str">
        <f aca="false">IFERROR(IF(D$347*D$348*D$350*D352&gt;0,AVERAGE(D$347, D$348, D$350, D$352),""),"")</f>
        <v/>
      </c>
      <c r="E447" s="261" t="str">
        <f aca="false">IFERROR(IF(E$347*E$348*E$350*E352&gt;0,AVERAGE(E$347, E$348, E$350, E$352),""),"")</f>
        <v/>
      </c>
      <c r="F447" s="261" t="str">
        <f aca="false">IFERROR(IF(F$347*F$348*F$350*F352&gt;0,AVERAGE(F$347, F$348, F$350, F$352),""),"")</f>
        <v/>
      </c>
      <c r="G447" s="261" t="str">
        <f aca="false">IFERROR(IF(G$347*G$348*G$350*G352&gt;0,AVERAGE(G$347, G$348, G$350, G$352),""),"")</f>
        <v/>
      </c>
      <c r="H447" s="261" t="str">
        <f aca="false">IFERROR(IF(H$347*H$348*H$350*H352&gt;0,AVERAGE(H$347, H$348, H$350, H$352),""),"")</f>
        <v/>
      </c>
      <c r="I447" s="261" t="str">
        <f aca="false">IFERROR(IF(I$347*I$348*I$350*I352&gt;0,AVERAGE(I$347, I$348, I$350, I$352),""),"")</f>
        <v/>
      </c>
      <c r="J447" s="261" t="str">
        <f aca="false">IFERROR(IF(J$347*J$348*J$350*J352&gt;0,AVERAGE(J$347, J$348, J$350, J$352),""),"")</f>
        <v/>
      </c>
      <c r="K447" s="261" t="str">
        <f aca="false">IFERROR(IF(K$347*K$348*K$350*K352&gt;0,AVERAGE(K$347, K$348, K$350, K$352),""),"")</f>
        <v/>
      </c>
      <c r="L447" s="261" t="str">
        <f aca="false">IFERROR(IF(L$347*L$348*L$350*L352&gt;0,AVERAGE(L$347, L$348, L$350, L$352),""),"")</f>
        <v/>
      </c>
      <c r="M447" s="261" t="str">
        <f aca="false">IFERROR(IF(M$347*M$348*M$350*M352&gt;0,AVERAGE(M$347, M$348, M$350, M$352),""),"")</f>
        <v/>
      </c>
      <c r="N447" s="261" t="str">
        <f aca="false">IFERROR(IF(N$347*N$348*N$350*N352&gt;0,AVERAGE(N$347, N$348, N$350, N$352),""),"")</f>
        <v/>
      </c>
      <c r="O447" s="224"/>
      <c r="P447" s="224"/>
      <c r="Q447" s="232"/>
      <c r="R447" s="226" t="s">
        <v>504</v>
      </c>
      <c r="S447" s="227" t="str">
        <f aca="false">IFERROR(IF(C$347*C$348*C$350*C352&gt;0,STDEV(C$347, C$348, C$350, C$352),"")/IF(C$347*C$348*C$350*C352&gt;0,AVERAGE(C$347, C$348, C$350, C$352),""),"")</f>
        <v/>
      </c>
      <c r="T447" s="227" t="str">
        <f aca="false">IFERROR(IF(D$347*D$348*D$350*D352&gt;0,STDEV(D$347, D$348, D$350, D$352),"")/IF(D$347*D$348*D$350*D352&gt;0,AVERAGE(D$347, D$348, D$350, D$352),""),"")</f>
        <v/>
      </c>
      <c r="U447" s="227" t="str">
        <f aca="false">IFERROR(IF(E$347*E$348*E$350*E352&gt;0,STDEV(E$347, E$348, E$350, E$352),"")/IF(E$347*E$348*E$350*E352&gt;0,AVERAGE(E$347, E$348, E$350, E$352),""),"")</f>
        <v/>
      </c>
      <c r="V447" s="227" t="str">
        <f aca="false">IFERROR(IF(F$347*F$348*F$350*F352&gt;0,STDEV(F$347, F$348, F$350, F$352),"")/IF(F$347*F$348*F$350*F352&gt;0,AVERAGE(F$347, F$348, F$350, F$352),""),"")</f>
        <v/>
      </c>
      <c r="W447" s="227" t="str">
        <f aca="false">IFERROR(IF(G$347*G$348*G$350*G352&gt;0,STDEV(G$347, G$348, G$350, G$352),"")/IF(G$347*G$348*G$350*G352&gt;0,AVERAGE(G$347, G$348, G$350, G$352),""),"")</f>
        <v/>
      </c>
      <c r="X447" s="227" t="str">
        <f aca="false">IFERROR(IF(H$347*H$348*H$350*H352&gt;0,STDEV(H$347, H$348, H$350, H$352),"")/IF(H$347*H$348*H$350*H352&gt;0,AVERAGE(H$347, H$348, H$350, H$352),""),"")</f>
        <v/>
      </c>
      <c r="Y447" s="227" t="str">
        <f aca="false">IFERROR(IF(I$347*I$348*I$350*I352&gt;0,STDEV(I$347, I$348, I$350, I$352),"")/IF(I$347*I$348*I$350*I352&gt;0,AVERAGE(I$347, I$348, I$350, I$352),""),"")</f>
        <v/>
      </c>
      <c r="Z447" s="227" t="str">
        <f aca="false">IFERROR(IF(J$347*J$348*J$350*J352&gt;0,STDEV(J$347, J$348, J$350, J$352),"")/IF(J$347*J$348*J$350*J352&gt;0,AVERAGE(J$347, J$348, J$350, J$352),""),"")</f>
        <v/>
      </c>
      <c r="AA447" s="227" t="str">
        <f aca="false">IFERROR(IF(K$347*K$348*K$350*K352&gt;0,STDEV(K$347, K$348, K$350, K$352),"")/IF(K$347*K$348*K$350*K352&gt;0,AVERAGE(K$347, K$348, K$350, K$352),""),"")</f>
        <v/>
      </c>
      <c r="AB447" s="227" t="str">
        <f aca="false">IFERROR(IF(L$347*L$348*L$350*L352&gt;0,STDEV(L$347, L$348, L$350, L$352),"")/IF(L$347*L$348*L$350*L352&gt;0,AVERAGE(L$347, L$348, L$350, L$352),""),"")</f>
        <v/>
      </c>
      <c r="AC447" s="227" t="str">
        <f aca="false">IFERROR(IF(M$347*M$348*M$350*M352&gt;0,STDEV(M$347, M$348, M$350, M$352),"")/IF(M$347*M$348*M$350*M352&gt;0,AVERAGE(M$347, M$348, M$350, M$352),""),"")</f>
        <v/>
      </c>
      <c r="AD447" s="227" t="str">
        <f aca="false">IFERROR(IF(N$347*N$348*N$350*N352&gt;0,STDEV(N$347, N$348, N$350, N$352),"")/IF(N$347*N$348*N$350*N352&gt;0,AVERAGE(N$347, N$348, N$350, N$352),""),"")</f>
        <v/>
      </c>
      <c r="AE447" s="233"/>
      <c r="AF447" s="229" t="s">
        <v>505</v>
      </c>
      <c r="AG447" s="230" t="str">
        <f aca="false">IFERROR(IF(C$347*C$348*C$350*C352&gt;0,STDEV(C$347, C$348, C$350, C$352)," ")/IF(C$347*C$348*C$350*C352&gt;0,SQRT(COUNT(C$347, C$348, C$350, C$352))," "),"")</f>
        <v/>
      </c>
      <c r="AH447" s="230" t="str">
        <f aca="false">IFERROR(IF(D$347*D$348*D$350*D352&gt;0,STDEV(D$347, D$348, D$350, D$352)," ")/IF(D$347*D$348*D$350*D352&gt;0,SQRT(COUNT(D$347, D$348, D$350, D$352))," "),"")</f>
        <v/>
      </c>
      <c r="AI447" s="230" t="str">
        <f aca="false">IFERROR(IF(E$347*E$348*E$350*E352&gt;0,STDEV(E$347, E$348, E$350, E$352)," ")/IF(E$347*E$348*E$350*E352&gt;0,SQRT(COUNT(E$347, E$348, E$350, E$352))," "),"")</f>
        <v/>
      </c>
      <c r="AJ447" s="230" t="str">
        <f aca="false">IFERROR(IF(F$347*F$348*F$350*F352&gt;0,STDEV(F$347, F$348, F$350, F$352)," ")/IF(F$347*F$348*F$350*F352&gt;0,SQRT(COUNT(F$347, F$348, F$350, F$352))," "),"")</f>
        <v/>
      </c>
      <c r="AK447" s="230" t="str">
        <f aca="false">IFERROR(IF(G$347*G$348*G$350*G352&gt;0,STDEV(G$347, G$348, G$350, G$352)," ")/IF(G$347*G$348*G$350*G352&gt;0,SQRT(COUNT(G$347, G$348, G$350, G$352))," "),"")</f>
        <v/>
      </c>
      <c r="AL447" s="230" t="str">
        <f aca="false">IFERROR(IF(H$347*H$348*H$350*H352&gt;0,STDEV(H$347, H$348, H$350, H$352)," ")/IF(H$347*H$348*H$350*H352&gt;0,SQRT(COUNT(H$347, H$348, H$350, H$352))," "),"")</f>
        <v/>
      </c>
      <c r="AM447" s="230" t="str">
        <f aca="false">IFERROR(IF(I$347*I$348*I$350*I352&gt;0,STDEV(I$347, I$348, I$350, I$352)," ")/IF(I$347*I$348*I$350*I352&gt;0,SQRT(COUNT(I$347, I$348, I$350, I$352))," "),"")</f>
        <v/>
      </c>
      <c r="AN447" s="230" t="str">
        <f aca="false">IFERROR(IF(J$347*J$348*J$350*J352&gt;0,STDEV(J$347, J$348, J$350, J$352)," ")/IF(J$347*J$348*J$350*J352&gt;0,SQRT(COUNT(J$347, J$348, J$350, J$352))," "),"")</f>
        <v/>
      </c>
      <c r="AO447" s="230" t="str">
        <f aca="false">IFERROR(IF(K$347*K$348*K$350*K352&gt;0,STDEV(K$347, K$348, K$350, K$352)," ")/IF(K$347*K$348*K$350*K352&gt;0,SQRT(COUNT(K$347, K$348, K$350, K$352))," "),"")</f>
        <v/>
      </c>
      <c r="AP447" s="230" t="str">
        <f aca="false">IFERROR(IF(L$347*L$348*L$350*L352&gt;0,STDEV(L$347, L$348, L$350, L$352)," ")/IF(L$347*L$348*L$350*L352&gt;0,SQRT(COUNT(L$347, L$348, L$350, L$352))," "),"")</f>
        <v/>
      </c>
      <c r="AQ447" s="230" t="str">
        <f aca="false">IFERROR(IF(M$347*M$348*M$350*M352&gt;0,STDEV(M$347, M$348, M$350, M$352)," ")/IF(M$347*M$348*M$350*M352&gt;0,SQRT(COUNT(M$347, M$348, M$350, M$352))," "),"")</f>
        <v/>
      </c>
      <c r="AR447" s="230" t="str">
        <f aca="false">IFERROR(IF(N$347*N$348*N$350*N352&gt;0,STDEV(N$347, N$348, N$350, N$352)," ")/IF(N$347*N$348*N$350*N352&gt;0,SQRT(COUNT(N$347, N$348, N$350, N$352))," "),"")</f>
        <v/>
      </c>
    </row>
    <row r="448" customFormat="false" ht="15.75" hidden="false" customHeight="false" outlineLevel="0" collapsed="false">
      <c r="A448" s="220" t="s">
        <v>506</v>
      </c>
      <c r="B448" s="221"/>
      <c r="C448" s="261" t="str">
        <f aca="false">IFERROR(IF(C$347*C$348*C$350*C$353&gt;0,AVERAGE(C$347, C$348, C$350, C$353),""),"")</f>
        <v/>
      </c>
      <c r="D448" s="261" t="str">
        <f aca="false">IFERROR(IF(D$347*D$348*D$350*D$353&gt;0,AVERAGE(D$347, D$348, D$350, D$353),""),"")</f>
        <v/>
      </c>
      <c r="E448" s="261" t="str">
        <f aca="false">IFERROR(IF(E$347*E$348*E$350*E$353&gt;0,AVERAGE(E$347, E$348, E$350, E$353),""),"")</f>
        <v/>
      </c>
      <c r="F448" s="261" t="str">
        <f aca="false">IFERROR(IF(F$347*F$348*F$350*F$353&gt;0,AVERAGE(F$347, F$348, F$350, F$353),""),"")</f>
        <v/>
      </c>
      <c r="G448" s="261" t="str">
        <f aca="false">IFERROR(IF(G$347*G$348*G$350*G$353&gt;0,AVERAGE(G$347, G$348, G$350, G$353),""),"")</f>
        <v/>
      </c>
      <c r="H448" s="261" t="str">
        <f aca="false">IFERROR(IF(H$347*H$348*H$350*H$353&gt;0,AVERAGE(H$347, H$348, H$350, H$353),""),"")</f>
        <v/>
      </c>
      <c r="I448" s="261" t="str">
        <f aca="false">IFERROR(IF(I$347*I$348*I$350*I$353&gt;0,AVERAGE(I$347, I$348, I$350, I$353),""),"")</f>
        <v/>
      </c>
      <c r="J448" s="261" t="str">
        <f aca="false">IFERROR(IF(J$347*J$348*J$350*J$353&gt;0,AVERAGE(J$347, J$348, J$350, J$353),""),"")</f>
        <v/>
      </c>
      <c r="K448" s="261" t="str">
        <f aca="false">IFERROR(IF(K$347*K$348*K$350*K$353&gt;0,AVERAGE(K$347, K$348, K$350, K$353),""),"")</f>
        <v/>
      </c>
      <c r="L448" s="261" t="str">
        <f aca="false">IFERROR(IF(L$347*L$348*L$350*L$353&gt;0,AVERAGE(L$347, L$348, L$350, L$353),""),"")</f>
        <v/>
      </c>
      <c r="M448" s="261" t="str">
        <f aca="false">IFERROR(IF(M$347*M$348*M$350*M$353&gt;0,AVERAGE(M$347, M$348, M$350, M$353),""),"")</f>
        <v/>
      </c>
      <c r="N448" s="261" t="str">
        <f aca="false">IFERROR(IF(N$347*N$348*N$350*N$353&gt;0,AVERAGE(N$347, N$348, N$350, N$353),""),"")</f>
        <v/>
      </c>
      <c r="O448" s="224"/>
      <c r="P448" s="224"/>
      <c r="Q448" s="232"/>
      <c r="R448" s="226" t="s">
        <v>507</v>
      </c>
      <c r="S448" s="227" t="str">
        <f aca="false">IFERROR(IF(C$347*C$348*C$350*C$353&gt;0,STDEV(C$347, C$348, C$350, C$353),"")/IF(C$347*C$348*C$350*C$353&gt;0,AVERAGE(C$347, C$348, C$350, C$353),""),"")</f>
        <v/>
      </c>
      <c r="T448" s="227" t="str">
        <f aca="false">IFERROR(IF(D$347*D$348*D$350*D$353&gt;0,STDEV(D$347, D$348, D$350, D$353),"")/IF(D$347*D$348*D$350*D$353&gt;0,AVERAGE(D$347, D$348, D$350, D$353),""),"")</f>
        <v/>
      </c>
      <c r="U448" s="227" t="str">
        <f aca="false">IFERROR(IF(E$347*E$348*E$350*E$353&gt;0,STDEV(E$347, E$348, E$350, E$353),"")/IF(E$347*E$348*E$350*E$353&gt;0,AVERAGE(E$347, E$348, E$350, E$353),""),"")</f>
        <v/>
      </c>
      <c r="V448" s="227" t="str">
        <f aca="false">IFERROR(IF(F$347*F$348*F$350*F$353&gt;0,STDEV(F$347, F$348, F$350, F$353),"")/IF(F$347*F$348*F$350*F$353&gt;0,AVERAGE(F$347, F$348, F$350, F$353),""),"")</f>
        <v/>
      </c>
      <c r="W448" s="227" t="str">
        <f aca="false">IFERROR(IF(G$347*G$348*G$350*G$353&gt;0,STDEV(G$347, G$348, G$350, G$353),"")/IF(G$347*G$348*G$350*G$353&gt;0,AVERAGE(G$347, G$348, G$350, G$353),""),"")</f>
        <v/>
      </c>
      <c r="X448" s="227" t="str">
        <f aca="false">IFERROR(IF(H$347*H$348*H$350*H$353&gt;0,STDEV(H$347, H$348, H$350, H$353),"")/IF(H$347*H$348*H$350*H$353&gt;0,AVERAGE(H$347, H$348, H$350, H$353),""),"")</f>
        <v/>
      </c>
      <c r="Y448" s="227" t="str">
        <f aca="false">IFERROR(IF(I$347*I$348*I$350*I$353&gt;0,STDEV(I$347, I$348, I$350, I$353),"")/IF(I$347*I$348*I$350*I$353&gt;0,AVERAGE(I$347, I$348, I$350, I$353),""),"")</f>
        <v/>
      </c>
      <c r="Z448" s="227" t="str">
        <f aca="false">IFERROR(IF(J$347*J$348*J$350*J$353&gt;0,STDEV(J$347, J$348, J$350, J$353),"")/IF(J$347*J$348*J$350*J$353&gt;0,AVERAGE(J$347, J$348, J$350, J$353),""),"")</f>
        <v/>
      </c>
      <c r="AA448" s="227" t="str">
        <f aca="false">IFERROR(IF(K$347*K$348*K$350*K$353&gt;0,STDEV(K$347, K$348, K$350, K$353),"")/IF(K$347*K$348*K$350*K$353&gt;0,AVERAGE(K$347, K$348, K$350, K$353),""),"")</f>
        <v/>
      </c>
      <c r="AB448" s="227" t="str">
        <f aca="false">IFERROR(IF(L$347*L$348*L$350*L$353&gt;0,STDEV(L$347, L$348, L$350, L$353),"")/IF(L$347*L$348*L$350*L$353&gt;0,AVERAGE(L$347, L$348, L$350, L$353),""),"")</f>
        <v/>
      </c>
      <c r="AC448" s="227" t="str">
        <f aca="false">IFERROR(IF(M$347*M$348*M$350*M$353&gt;0,STDEV(M$347, M$348, M$350, M$353),"")/IF(M$347*M$348*M$350*M$353&gt;0,AVERAGE(M$347, M$348, M$350, M$353),""),"")</f>
        <v/>
      </c>
      <c r="AD448" s="227" t="str">
        <f aca="false">IFERROR(IF(N$347*N$348*N$350*N$353&gt;0,STDEV(N$347, N$348, N$350, N$353),"")/IF(N$347*N$348*N$350*N$353&gt;0,AVERAGE(N$347, N$348, N$350, N$353),""),"")</f>
        <v/>
      </c>
      <c r="AE448" s="233"/>
      <c r="AF448" s="229" t="s">
        <v>508</v>
      </c>
      <c r="AG448" s="230" t="str">
        <f aca="false">IFERROR(IF(C$347*C$348*C$350*C$353&gt;0,STDEV(C$347, C$348, C$350, C$353)," ")/IF(C$347*C$348*C$350*C$353&gt;0,SQRT(COUNT(C$347, C$348, C$350, C$353))," "),"")</f>
        <v/>
      </c>
      <c r="AH448" s="230" t="str">
        <f aca="false">IFERROR(IF(D$347*D$348*D$350*D$353&gt;0,STDEV(D$347, D$348, D$350, D$353)," ")/IF(D$347*D$348*D$350*D$353&gt;0,SQRT(COUNT(D$347, D$348, D$350, D$353))," "),"")</f>
        <v/>
      </c>
      <c r="AI448" s="230" t="str">
        <f aca="false">IFERROR(IF(E$347*E$348*E$350*E$353&gt;0,STDEV(E$347, E$348, E$350, E$353)," ")/IF(E$347*E$348*E$350*E$353&gt;0,SQRT(COUNT(E$347, E$348, E$350, E$353))," "),"")</f>
        <v/>
      </c>
      <c r="AJ448" s="230" t="str">
        <f aca="false">IFERROR(IF(F$347*F$348*F$350*F$353&gt;0,STDEV(F$347, F$348, F$350, F$353)," ")/IF(F$347*F$348*F$350*F$353&gt;0,SQRT(COUNT(F$347, F$348, F$350, F$353))," "),"")</f>
        <v/>
      </c>
      <c r="AK448" s="230" t="str">
        <f aca="false">IFERROR(IF(G$347*G$348*G$350*G$353&gt;0,STDEV(G$347, G$348, G$350, G$353)," ")/IF(G$347*G$348*G$350*G$353&gt;0,SQRT(COUNT(G$347, G$348, G$350, G$353))," "),"")</f>
        <v/>
      </c>
      <c r="AL448" s="230" t="str">
        <f aca="false">IFERROR(IF(H$347*H$348*H$350*H$353&gt;0,STDEV(H$347, H$348, H$350, H$353)," ")/IF(H$347*H$348*H$350*H$353&gt;0,SQRT(COUNT(H$347, H$348, H$350, H$353))," "),"")</f>
        <v/>
      </c>
      <c r="AM448" s="230" t="str">
        <f aca="false">IFERROR(IF(I$347*I$348*I$350*I$353&gt;0,STDEV(I$347, I$348, I$350, I$353)," ")/IF(I$347*I$348*I$350*I$353&gt;0,SQRT(COUNT(I$347, I$348, I$350, I$353))," "),"")</f>
        <v/>
      </c>
      <c r="AN448" s="230" t="str">
        <f aca="false">IFERROR(IF(J$347*J$348*J$350*J$353&gt;0,STDEV(J$347, J$348, J$350, J$353)," ")/IF(J$347*J$348*J$350*J$353&gt;0,SQRT(COUNT(J$347, J$348, J$350, J$353))," "),"")</f>
        <v/>
      </c>
      <c r="AO448" s="230" t="str">
        <f aca="false">IFERROR(IF(K$347*K$348*K$350*K$353&gt;0,STDEV(K$347, K$348, K$350, K$353)," ")/IF(K$347*K$348*K$350*K$353&gt;0,SQRT(COUNT(K$347, K$348, K$350, K$353))," "),"")</f>
        <v/>
      </c>
      <c r="AP448" s="230" t="str">
        <f aca="false">IFERROR(IF(L$347*L$348*L$350*L$353&gt;0,STDEV(L$347, L$348, L$350, L$353)," ")/IF(L$347*L$348*L$350*L$353&gt;0,SQRT(COUNT(L$347, L$348, L$350, L$353))," "),"")</f>
        <v/>
      </c>
      <c r="AQ448" s="230" t="str">
        <f aca="false">IFERROR(IF(M$347*M$348*M$350*M$353&gt;0,STDEV(M$347, M$348, M$350, M$353)," ")/IF(M$347*M$348*M$350*M$353&gt;0,SQRT(COUNT(M$347, M$348, M$350, M$353))," "),"")</f>
        <v/>
      </c>
      <c r="AR448" s="230" t="str">
        <f aca="false">IFERROR(IF(N$347*N$348*N$350*N$353&gt;0,STDEV(N$347, N$348, N$350, N$353)," ")/IF(N$347*N$348*N$350*N$353&gt;0,SQRT(COUNT(N$347, N$348, N$350, N$353))," "),"")</f>
        <v/>
      </c>
    </row>
    <row r="449" customFormat="false" ht="15.75" hidden="false" customHeight="false" outlineLevel="0" collapsed="false">
      <c r="A449" s="220" t="s">
        <v>452</v>
      </c>
      <c r="B449" s="221"/>
      <c r="C449" s="261" t="str">
        <f aca="false">IFERROR(IF(C$347*C$348*C$349*C353&gt;0,AVERAGE(C$347, C$348, C$349, C$353),""),"")</f>
        <v/>
      </c>
      <c r="D449" s="261" t="str">
        <f aca="false">IFERROR(IF(D$347*D$348*D$349*D353&gt;0,AVERAGE(D$347, D$348, D$349, D$353),""),"")</f>
        <v/>
      </c>
      <c r="E449" s="261" t="str">
        <f aca="false">IFERROR(IF(E$347*E$348*E$349*E353&gt;0,AVERAGE(E$347, E$348, E$349, E$353),""),"")</f>
        <v/>
      </c>
      <c r="F449" s="261" t="str">
        <f aca="false">IFERROR(IF(F$347*F$348*F$349*F353&gt;0,AVERAGE(F$347, F$348, F$349, F$353),""),"")</f>
        <v/>
      </c>
      <c r="G449" s="261" t="str">
        <f aca="false">IFERROR(IF(G$347*G$348*G$349*G353&gt;0,AVERAGE(G$347, G$348, G$349, G$353),""),"")</f>
        <v/>
      </c>
      <c r="H449" s="261" t="str">
        <f aca="false">IFERROR(IF(H$347*H$348*H$349*H353&gt;0,AVERAGE(H$347, H$348, H$349, H$353),""),"")</f>
        <v/>
      </c>
      <c r="I449" s="261" t="str">
        <f aca="false">IFERROR(IF(I$347*I$348*I$349*I353&gt;0,AVERAGE(I$347, I$348, I$349, I$353),""),"")</f>
        <v/>
      </c>
      <c r="J449" s="261" t="str">
        <f aca="false">IFERROR(IF(J$347*J$348*J$349*J353&gt;0,AVERAGE(J$347, J$348, J$349, J$353),""),"")</f>
        <v/>
      </c>
      <c r="K449" s="261" t="str">
        <f aca="false">IFERROR(IF(K$347*K$348*K$349*K353&gt;0,AVERAGE(K$347, K$348, K$349, K$353),""),"")</f>
        <v/>
      </c>
      <c r="L449" s="261" t="str">
        <f aca="false">IFERROR(IF(L$347*L$348*L$349*L353&gt;0,AVERAGE(L$347, L$348, L$349, L$353),""),"")</f>
        <v/>
      </c>
      <c r="M449" s="261" t="str">
        <f aca="false">IFERROR(IF(M$347*M$348*M$349*M353&gt;0,AVERAGE(M$347, M$348, M$349, M$353),""),"")</f>
        <v/>
      </c>
      <c r="N449" s="261" t="str">
        <f aca="false">IFERROR(IF(N$347*N$348*N$349*N353&gt;0,AVERAGE(N$347, N$348, N$349, N$353),""),"")</f>
        <v/>
      </c>
      <c r="O449" s="224"/>
      <c r="P449" s="224"/>
      <c r="Q449" s="232"/>
      <c r="R449" s="226" t="s">
        <v>453</v>
      </c>
      <c r="S449" s="227" t="str">
        <f aca="false">IFERROR(IF(C$347*C$348*C$349*C353&gt;0,STDEV(C$347, C$348, C$349, C$353),"")/IF(C$347*C$348*C$349*C353&gt;0,AVERAGE(C$347, C$348, C$349, C$353),""),"")</f>
        <v/>
      </c>
      <c r="T449" s="227" t="str">
        <f aca="false">IFERROR(IF(D$347*D$348*D$349*D353&gt;0,STDEV(D$347, D$348, D$349, D$353),"")/IF(D$347*D$348*D$349*D353&gt;0,AVERAGE(D$347, D$348, D$349, D$353),""),"")</f>
        <v/>
      </c>
      <c r="U449" s="227" t="str">
        <f aca="false">IFERROR(IF(E$347*E$348*E$349*E353&gt;0,STDEV(E$347, E$348, E$349, E$353),"")/IF(E$347*E$348*E$349*E353&gt;0,AVERAGE(E$347, E$348, E$349, E$353),""),"")</f>
        <v/>
      </c>
      <c r="V449" s="227" t="str">
        <f aca="false">IFERROR(IF(F$347*F$348*F$349*F353&gt;0,STDEV(F$347, F$348, F$349, F$353),"")/IF(F$347*F$348*F$349*F353&gt;0,AVERAGE(F$347, F$348, F$349, F$353),""),"")</f>
        <v/>
      </c>
      <c r="W449" s="227" t="str">
        <f aca="false">IFERROR(IF(G$347*G$348*G$349*G353&gt;0,STDEV(G$347, G$348, G$349, G$353),"")/IF(G$347*G$348*G$349*G353&gt;0,AVERAGE(G$347, G$348, G$349, G$353),""),"")</f>
        <v/>
      </c>
      <c r="X449" s="227" t="str">
        <f aca="false">IFERROR(IF(H$347*H$348*H$349*H353&gt;0,STDEV(H$347, H$348, H$349, H$353),"")/IF(H$347*H$348*H$349*H353&gt;0,AVERAGE(H$347, H$348, H$349, H$353),""),"")</f>
        <v/>
      </c>
      <c r="Y449" s="227" t="str">
        <f aca="false">IFERROR(IF(I$347*I$348*I$349*I353&gt;0,STDEV(I$347, I$348, I$349, I$353),"")/IF(I$347*I$348*I$349*I353&gt;0,AVERAGE(I$347, I$348, I$349, I$353),""),"")</f>
        <v/>
      </c>
      <c r="Z449" s="227" t="str">
        <f aca="false">IFERROR(IF(J$347*J$348*J$349*J353&gt;0,STDEV(J$347, J$348, J$349, J$353),"")/IF(J$347*J$348*J$349*J353&gt;0,AVERAGE(J$347, J$348, J$349, J$353),""),"")</f>
        <v/>
      </c>
      <c r="AA449" s="227" t="str">
        <f aca="false">IFERROR(IF(K$347*K$348*K$349*K353&gt;0,STDEV(K$347, K$348, K$349, K$353),"")/IF(K$347*K$348*K$349*K353&gt;0,AVERAGE(K$347, K$348, K$349, K$353),""),"")</f>
        <v/>
      </c>
      <c r="AB449" s="227" t="str">
        <f aca="false">IFERROR(IF(L$347*L$348*L$349*L353&gt;0,STDEV(L$347, L$348, L$349, L$353),"")/IF(L$347*L$348*L$349*L353&gt;0,AVERAGE(L$347, L$348, L$349, L$353),""),"")</f>
        <v/>
      </c>
      <c r="AC449" s="227" t="str">
        <f aca="false">IFERROR(IF(M$347*M$348*M$349*M353&gt;0,STDEV(M$347, M$348, M$349, M$353),"")/IF(M$347*M$348*M$349*M353&gt;0,AVERAGE(M$347, M$348, M$349, M$353),""),"")</f>
        <v/>
      </c>
      <c r="AD449" s="227" t="str">
        <f aca="false">IFERROR(IF(N$347*N$348*N$349*N353&gt;0,STDEV(N$347, N$348, N$349, N$353),"")/IF(N$347*N$348*N$349*N353&gt;0,AVERAGE(N$347, N$348, N$349, N$353),""),"")</f>
        <v/>
      </c>
      <c r="AE449" s="233"/>
      <c r="AF449" s="229" t="s">
        <v>454</v>
      </c>
      <c r="AG449" s="230" t="str">
        <f aca="false">IFERROR(IF(C$347*C$348*C$349*C353&gt;0,STDEV(C$347, C$348, C$349, C$353)," ")/IF(C$347*C$348*C$349*C353&gt;0,SQRT(COUNT(C$347, C$348, C$349, C$353))," "),"")</f>
        <v/>
      </c>
      <c r="AH449" s="230" t="str">
        <f aca="false">IFERROR(IF(D$347*D$348*D$349*D353&gt;0,STDEV(D$347, D$348, D$349, D$353)," ")/IF(D$347*D$348*D$349*D353&gt;0,SQRT(COUNT(D$347, D$348, D$349, D$353))," "),"")</f>
        <v/>
      </c>
      <c r="AI449" s="230" t="str">
        <f aca="false">IFERROR(IF(E$347*E$348*E$349*E353&gt;0,STDEV(E$347, E$348, E$349, E$353)," ")/IF(E$347*E$348*E$349*E353&gt;0,SQRT(COUNT(E$347, E$348, E$349, E$353))," "),"")</f>
        <v/>
      </c>
      <c r="AJ449" s="230" t="str">
        <f aca="false">IFERROR(IF(F$347*F$348*F$349*F353&gt;0,STDEV(F$347, F$348, F$349, F$353)," ")/IF(F$347*F$348*F$349*F353&gt;0,SQRT(COUNT(F$347, F$348, F$349, F$353))," "),"")</f>
        <v/>
      </c>
      <c r="AK449" s="230" t="str">
        <f aca="false">IFERROR(IF(G$347*G$348*G$349*G353&gt;0,STDEV(G$347, G$348, G$349, G$353)," ")/IF(G$347*G$348*G$349*G353&gt;0,SQRT(COUNT(G$347, G$348, G$349, G$353))," "),"")</f>
        <v/>
      </c>
      <c r="AL449" s="230" t="str">
        <f aca="false">IFERROR(IF(H$347*H$348*H$349*H353&gt;0,STDEV(H$347, H$348, H$349, H$353)," ")/IF(H$347*H$348*H$349*H353&gt;0,SQRT(COUNT(H$347, H$348, H$349, H$353))," "),"")</f>
        <v/>
      </c>
      <c r="AM449" s="230" t="str">
        <f aca="false">IFERROR(IF(I$347*I$348*I$349*I353&gt;0,STDEV(I$347, I$348, I$349, I$353)," ")/IF(I$347*I$348*I$349*I353&gt;0,SQRT(COUNT(I$347, I$348, I$349, I$353))," "),"")</f>
        <v/>
      </c>
      <c r="AN449" s="230" t="str">
        <f aca="false">IFERROR(IF(J$347*J$348*J$349*J353&gt;0,STDEV(J$347, J$348, J$349, J$353)," ")/IF(J$347*J$348*J$349*J353&gt;0,SQRT(COUNT(J$347, J$348, J$349, J$353))," "),"")</f>
        <v/>
      </c>
      <c r="AO449" s="230" t="str">
        <f aca="false">IFERROR(IF(K$347*K$348*K$349*K353&gt;0,STDEV(K$347, K$348, K$349, K$353)," ")/IF(K$347*K$348*K$349*K353&gt;0,SQRT(COUNT(K$347, K$348, K$349, K$353))," "),"")</f>
        <v/>
      </c>
      <c r="AP449" s="230" t="str">
        <f aca="false">IFERROR(IF(L$347*L$348*L$349*L353&gt;0,STDEV(L$347, L$348, L$349, L$353)," ")/IF(L$347*L$348*L$349*L353&gt;0,SQRT(COUNT(L$347, L$348, L$349, L$353))," "),"")</f>
        <v/>
      </c>
      <c r="AQ449" s="230" t="str">
        <f aca="false">IFERROR(IF(M$347*M$348*M$349*M353&gt;0,STDEV(M$347, M$348, M$349, M$353)," ")/IF(M$347*M$348*M$349*M353&gt;0,SQRT(COUNT(M$347, M$348, M$349, M$353))," "),"")</f>
        <v/>
      </c>
      <c r="AR449" s="230" t="str">
        <f aca="false">IFERROR(IF(N$347*N$348*N$349*N353&gt;0,STDEV(N$347, N$348, N$349, N$353)," ")/IF(N$347*N$348*N$349*N353&gt;0,SQRT(COUNT(N$347, N$348, N$349, N$353))," "),"")</f>
        <v/>
      </c>
    </row>
    <row r="450" customFormat="false" ht="15.75" hidden="false" customHeight="false" outlineLevel="0" collapsed="false">
      <c r="A450" s="220" t="s">
        <v>509</v>
      </c>
      <c r="B450" s="221"/>
      <c r="C450" s="261" t="str">
        <f aca="false">IFERROR(IF(C$347*C$348*C$352*C$353&gt;0,AVERAGE(C$347, C$348, C$352, C$353),""),"")</f>
        <v/>
      </c>
      <c r="D450" s="261" t="str">
        <f aca="false">IFERROR(IF(D$347*D$348*D$352*D$353&gt;0,AVERAGE(D$347, D$348, D$352, D$353),""),"")</f>
        <v/>
      </c>
      <c r="E450" s="261" t="str">
        <f aca="false">IFERROR(IF(E$347*E$348*E$352*E$353&gt;0,AVERAGE(E$347, E$348, E$352, E$353),""),"")</f>
        <v/>
      </c>
      <c r="F450" s="261" t="str">
        <f aca="false">IFERROR(IF(F$347*F$348*F$352*F$353&gt;0,AVERAGE(F$347, F$348, F$352, F$353),""),"")</f>
        <v/>
      </c>
      <c r="G450" s="261" t="str">
        <f aca="false">IFERROR(IF(G$347*G$348*G$352*G$353&gt;0,AVERAGE(G$347, G$348, G$352, G$353),""),"")</f>
        <v/>
      </c>
      <c r="H450" s="261" t="str">
        <f aca="false">IFERROR(IF(H$347*H$348*H$352*H$353&gt;0,AVERAGE(H$347, H$348, H$352, H$353),""),"")</f>
        <v/>
      </c>
      <c r="I450" s="261" t="str">
        <f aca="false">IFERROR(IF(I$347*I$348*I$352*I$353&gt;0,AVERAGE(I$347, I$348, I$352, I$353),""),"")</f>
        <v/>
      </c>
      <c r="J450" s="261" t="str">
        <f aca="false">IFERROR(IF(J$347*J$348*J$352*J$353&gt;0,AVERAGE(J$347, J$348, J$352, J$353),""),"")</f>
        <v/>
      </c>
      <c r="K450" s="261" t="str">
        <f aca="false">IFERROR(IF(K$347*K$348*K$352*K$353&gt;0,AVERAGE(K$347, K$348, K$352, K$353),""),"")</f>
        <v/>
      </c>
      <c r="L450" s="261" t="str">
        <f aca="false">IFERROR(IF(L$347*L$348*L$352*L$353&gt;0,AVERAGE(L$347, L$348, L$352, L$353),""),"")</f>
        <v/>
      </c>
      <c r="M450" s="261" t="str">
        <f aca="false">IFERROR(IF(M$347*M$348*M$352*M$353&gt;0,AVERAGE(M$347, M$348, M$352, M$353),""),"")</f>
        <v/>
      </c>
      <c r="N450" s="261" t="str">
        <f aca="false">IFERROR(IF(N$347*N$348*N$352*N$353&gt;0,AVERAGE(N$347, N$348, N$352, N$353),""),"")</f>
        <v/>
      </c>
      <c r="O450" s="224"/>
      <c r="P450" s="224"/>
      <c r="Q450" s="232"/>
      <c r="R450" s="226" t="s">
        <v>510</v>
      </c>
      <c r="S450" s="227" t="str">
        <f aca="false">IFERROR(IF(C$347*C$348*C$352*C$353&gt;0,STDEV(C$347, C$348, C$352, C$353),"")/IF(C$347*C$348*C$352*C$353&gt;0,AVERAGE(C$347, C$348, C$352, C$353),""),"")</f>
        <v/>
      </c>
      <c r="T450" s="227" t="str">
        <f aca="false">IFERROR(IF(D$347*D$348*D$352*D$353&gt;0,STDEV(D$347, D$348, D$352, D$353),"")/IF(D$347*D$348*D$352*D$353&gt;0,AVERAGE(D$347, D$348, D$352, D$353),""),"")</f>
        <v/>
      </c>
      <c r="U450" s="227" t="str">
        <f aca="false">IFERROR(IF(E$347*E$348*E$352*E$353&gt;0,STDEV(E$347, E$348, E$352, E$353),"")/IF(E$347*E$348*E$352*E$353&gt;0,AVERAGE(E$347, E$348, E$352, E$353),""),"")</f>
        <v/>
      </c>
      <c r="V450" s="227" t="str">
        <f aca="false">IFERROR(IF(F$347*F$348*F$352*F$353&gt;0,STDEV(F$347, F$348, F$352, F$353),"")/IF(F$347*F$348*F$352*F$353&gt;0,AVERAGE(F$347, F$348, F$352, F$353),""),"")</f>
        <v/>
      </c>
      <c r="W450" s="227" t="str">
        <f aca="false">IFERROR(IF(G$347*G$348*G$352*G$353&gt;0,STDEV(G$347, G$348, G$352, G$353),"")/IF(G$347*G$348*G$352*G$353&gt;0,AVERAGE(G$347, G$348, G$352, G$353),""),"")</f>
        <v/>
      </c>
      <c r="X450" s="227" t="str">
        <f aca="false">IFERROR(IF(H$347*H$348*H$352*H$353&gt;0,STDEV(H$347, H$348, H$352, H$353),"")/IF(H$347*H$348*H$352*H$353&gt;0,AVERAGE(H$347, H$348, H$352, H$353),""),"")</f>
        <v/>
      </c>
      <c r="Y450" s="227" t="str">
        <f aca="false">IFERROR(IF(I$347*I$348*I$352*I$353&gt;0,STDEV(I$347, I$348, I$352, I$353),"")/IF(I$347*I$348*I$352*I$353&gt;0,AVERAGE(I$347, I$348, I$352, I$353),""),"")</f>
        <v/>
      </c>
      <c r="Z450" s="227" t="str">
        <f aca="false">IFERROR(IF(J$347*J$348*J$352*J$353&gt;0,STDEV(J$347, J$348, J$352, J$353),"")/IF(J$347*J$348*J$352*J$353&gt;0,AVERAGE(J$347, J$348, J$352, J$353),""),"")</f>
        <v/>
      </c>
      <c r="AA450" s="227" t="str">
        <f aca="false">IFERROR(IF(K$347*K$348*K$352*K$353&gt;0,STDEV(K$347, K$348, K$352, K$353),"")/IF(K$347*K$348*K$352*K$353&gt;0,AVERAGE(K$347, K$348, K$352, K$353),""),"")</f>
        <v/>
      </c>
      <c r="AB450" s="227" t="str">
        <f aca="false">IFERROR(IF(L$347*L$348*L$352*L$353&gt;0,STDEV(L$347, L$348, L$352, L$353),"")/IF(L$347*L$348*L$352*L$353&gt;0,AVERAGE(L$347, L$348, L$352, L$353),""),"")</f>
        <v/>
      </c>
      <c r="AC450" s="227" t="str">
        <f aca="false">IFERROR(IF(M$347*M$348*M$352*M$353&gt;0,STDEV(M$347, M$348, M$352, M$353),"")/IF(M$347*M$348*M$352*M$353&gt;0,AVERAGE(M$347, M$348, M$352, M$353),""),"")</f>
        <v/>
      </c>
      <c r="AD450" s="227" t="str">
        <f aca="false">IFERROR(IF(N$347*N$348*N$352*N$353&gt;0,STDEV(N$347, N$348, N$352, N$353),"")/IF(N$347*N$348*N$352*N$353&gt;0,AVERAGE(N$347, N$348, N$352, N$353),""),"")</f>
        <v/>
      </c>
      <c r="AE450" s="233"/>
      <c r="AF450" s="229" t="s">
        <v>511</v>
      </c>
      <c r="AG450" s="230" t="str">
        <f aca="false">IFERROR(IF(C$347*C$348*C$352*C$353&gt;0,STDEV(C$347, C$348, C$352, C$353)," ")/IF(C$347*C$348*C$352*C$353&gt;0,SQRT(COUNT(C$347, C$348, C$352, C$353))," "),"")</f>
        <v/>
      </c>
      <c r="AH450" s="230" t="str">
        <f aca="false">IFERROR(IF(D$347*D$348*D$352*D$353&gt;0,STDEV(D$347, D$348, D$352, D$353)," ")/IF(D$347*D$348*D$352*D$353&gt;0,SQRT(COUNT(D$347, D$348, D$352, D$353))," "),"")</f>
        <v/>
      </c>
      <c r="AI450" s="230" t="str">
        <f aca="false">IFERROR(IF(E$347*E$348*E$352*E$353&gt;0,STDEV(E$347, E$348, E$352, E$353)," ")/IF(E$347*E$348*E$352*E$353&gt;0,SQRT(COUNT(E$347, E$348, E$352, E$353))," "),"")</f>
        <v/>
      </c>
      <c r="AJ450" s="230" t="str">
        <f aca="false">IFERROR(IF(F$347*F$348*F$352*F$353&gt;0,STDEV(F$347, F$348, F$352, F$353)," ")/IF(F$347*F$348*F$352*F$353&gt;0,SQRT(COUNT(F$347, F$348, F$352, F$353))," "),"")</f>
        <v/>
      </c>
      <c r="AK450" s="230" t="str">
        <f aca="false">IFERROR(IF(G$347*G$348*G$352*G$353&gt;0,STDEV(G$347, G$348, G$352, G$353)," ")/IF(G$347*G$348*G$352*G$353&gt;0,SQRT(COUNT(G$347, G$348, G$352, G$353))," "),"")</f>
        <v/>
      </c>
      <c r="AL450" s="230" t="str">
        <f aca="false">IFERROR(IF(H$347*H$348*H$352*H$353&gt;0,STDEV(H$347, H$348, H$352, H$353)," ")/IF(H$347*H$348*H$352*H$353&gt;0,SQRT(COUNT(H$347, H$348, H$352, H$353))," "),"")</f>
        <v/>
      </c>
      <c r="AM450" s="230" t="str">
        <f aca="false">IFERROR(IF(I$347*I$348*I$352*I$353&gt;0,STDEV(I$347, I$348, I$352, I$353)," ")/IF(I$347*I$348*I$352*I$353&gt;0,SQRT(COUNT(I$347, I$348, I$352, I$353))," "),"")</f>
        <v/>
      </c>
      <c r="AN450" s="230" t="str">
        <f aca="false">IFERROR(IF(J$347*J$348*J$352*J$353&gt;0,STDEV(J$347, J$348, J$352, J$353)," ")/IF(J$347*J$348*J$352*J$353&gt;0,SQRT(COUNT(J$347, J$348, J$352, J$353))," "),"")</f>
        <v/>
      </c>
      <c r="AO450" s="230" t="str">
        <f aca="false">IFERROR(IF(K$347*K$348*K$352*K$353&gt;0,STDEV(K$347, K$348, K$352, K$353)," ")/IF(K$347*K$348*K$352*K$353&gt;0,SQRT(COUNT(K$347, K$348, K$352, K$353))," "),"")</f>
        <v/>
      </c>
      <c r="AP450" s="230" t="str">
        <f aca="false">IFERROR(IF(L$347*L$348*L$352*L$353&gt;0,STDEV(L$347, L$348, L$352, L$353)," ")/IF(L$347*L$348*L$352*L$353&gt;0,SQRT(COUNT(L$347, L$348, L$352, L$353))," "),"")</f>
        <v/>
      </c>
      <c r="AQ450" s="230" t="str">
        <f aca="false">IFERROR(IF(M$347*M$348*M$352*M$353&gt;0,STDEV(M$347, M$348, M$352, M$353)," ")/IF(M$347*M$348*M$352*M$353&gt;0,SQRT(COUNT(M$347, M$348, M$352, M$353))," "),"")</f>
        <v/>
      </c>
      <c r="AR450" s="230" t="str">
        <f aca="false">IFERROR(IF(N$347*N$348*N$352*N$353&gt;0,STDEV(N$347, N$348, N$352, N$353)," ")/IF(N$347*N$348*N$352*N$353&gt;0,SQRT(COUNT(N$347, N$348, N$352, N$353))," "),"")</f>
        <v/>
      </c>
    </row>
    <row r="451" customFormat="false" ht="15.75" hidden="false" customHeight="false" outlineLevel="0" collapsed="false">
      <c r="A451" s="220" t="s">
        <v>512</v>
      </c>
      <c r="B451" s="221"/>
      <c r="C451" s="261" t="str">
        <f aca="false">IFERROR(IF(C$347*C$349*C$352*C$353&gt;0,AVERAGE(C$347, C$349, C$352, C$353),""),"")</f>
        <v/>
      </c>
      <c r="D451" s="261" t="str">
        <f aca="false">IFERROR(IF(D$347*D$349*D$352*D$353&gt;0,AVERAGE(D$347, D$349, D$352, D$353),""),"")</f>
        <v/>
      </c>
      <c r="E451" s="261" t="str">
        <f aca="false">IFERROR(IF(E$347*E$349*E$352*E$353&gt;0,AVERAGE(E$347, E$349, E$352, E$353),""),"")</f>
        <v/>
      </c>
      <c r="F451" s="261" t="str">
        <f aca="false">IFERROR(IF(F$347*F$349*F$352*F$353&gt;0,AVERAGE(F$347, F$349, F$352, F$353),""),"")</f>
        <v/>
      </c>
      <c r="G451" s="261" t="str">
        <f aca="false">IFERROR(IF(G$347*G$349*G$352*G$353&gt;0,AVERAGE(G$347, G$349, G$352, G$353),""),"")</f>
        <v/>
      </c>
      <c r="H451" s="261" t="str">
        <f aca="false">IFERROR(IF(H$347*H$349*H$352*H$353&gt;0,AVERAGE(H$347, H$349, H$352, H$353),""),"")</f>
        <v/>
      </c>
      <c r="I451" s="261" t="str">
        <f aca="false">IFERROR(IF(I$347*I$349*I$352*I$353&gt;0,AVERAGE(I$347, I$349, I$352, I$353),""),"")</f>
        <v/>
      </c>
      <c r="J451" s="261" t="str">
        <f aca="false">IFERROR(IF(J$347*J$349*J$352*J$353&gt;0,AVERAGE(J$347, J$349, J$352, J$353),""),"")</f>
        <v/>
      </c>
      <c r="K451" s="261" t="str">
        <f aca="false">IFERROR(IF(K$347*K$349*K$352*K$353&gt;0,AVERAGE(K$347, K$349, K$352, K$353),""),"")</f>
        <v/>
      </c>
      <c r="L451" s="261" t="str">
        <f aca="false">IFERROR(IF(L$347*L$349*L$352*L$353&gt;0,AVERAGE(L$347, L$349, L$352, L$353),""),"")</f>
        <v/>
      </c>
      <c r="M451" s="261" t="str">
        <f aca="false">IFERROR(IF(M$347*M$349*M$352*M$353&gt;0,AVERAGE(M$347, M$349, M$352, M$353),""),"")</f>
        <v/>
      </c>
      <c r="N451" s="261" t="str">
        <f aca="false">IFERROR(IF(N$347*N$349*N$352*N$353&gt;0,AVERAGE(N$347, N$349, N$352, N$353),""),"")</f>
        <v/>
      </c>
      <c r="O451" s="224"/>
      <c r="P451" s="224"/>
      <c r="Q451" s="232"/>
      <c r="R451" s="226" t="s">
        <v>513</v>
      </c>
      <c r="S451" s="227" t="str">
        <f aca="false">IFERROR(IF(C$347*C$349*C$352*C$353&gt;0,STDEV(C$347, C$349, C$352, C$353),"")/IF(C$347*C$349*C$352*C$353&gt;0,AVERAGE(C$347, C$349, C$352, C$353),""),"")</f>
        <v/>
      </c>
      <c r="T451" s="227" t="str">
        <f aca="false">IFERROR(IF(D$347*D$349*D$352*D$353&gt;0,STDEV(D$347, D$349, D$352, D$353),"")/IF(D$347*D$349*D$352*D$353&gt;0,AVERAGE(D$347, D$349, D$352, D$353),""),"")</f>
        <v/>
      </c>
      <c r="U451" s="227" t="str">
        <f aca="false">IFERROR(IF(E$347*E$349*E$352*E$353&gt;0,STDEV(E$347, E$349, E$352, E$353),"")/IF(E$347*E$349*E$352*E$353&gt;0,AVERAGE(E$347, E$349, E$352, E$353),""),"")</f>
        <v/>
      </c>
      <c r="V451" s="227" t="str">
        <f aca="false">IFERROR(IF(F$347*F$349*F$352*F$353&gt;0,STDEV(F$347, F$349, F$352, F$353),"")/IF(F$347*F$349*F$352*F$353&gt;0,AVERAGE(F$347, F$349, F$352, F$353),""),"")</f>
        <v/>
      </c>
      <c r="W451" s="227" t="str">
        <f aca="false">IFERROR(IF(G$347*G$349*G$352*G$353&gt;0,STDEV(G$347, G$349, G$352, G$353),"")/IF(G$347*G$349*G$352*G$353&gt;0,AVERAGE(G$347, G$349, G$352, G$353),""),"")</f>
        <v/>
      </c>
      <c r="X451" s="227" t="str">
        <f aca="false">IFERROR(IF(H$347*H$349*H$352*H$353&gt;0,STDEV(H$347, H$349, H$352, H$353),"")/IF(H$347*H$349*H$352*H$353&gt;0,AVERAGE(H$347, H$349, H$352, H$353),""),"")</f>
        <v/>
      </c>
      <c r="Y451" s="227" t="str">
        <f aca="false">IFERROR(IF(I$347*I$349*I$352*I$353&gt;0,STDEV(I$347, I$349, I$352, I$353),"")/IF(I$347*I$349*I$352*I$353&gt;0,AVERAGE(I$347, I$349, I$352, I$353),""),"")</f>
        <v/>
      </c>
      <c r="Z451" s="227" t="str">
        <f aca="false">IFERROR(IF(J$347*J$349*J$352*J$353&gt;0,STDEV(J$347, J$349, J$352, J$353),"")/IF(J$347*J$349*J$352*J$353&gt;0,AVERAGE(J$347, J$349, J$352, J$353),""),"")</f>
        <v/>
      </c>
      <c r="AA451" s="227" t="str">
        <f aca="false">IFERROR(IF(K$347*K$349*K$352*K$353&gt;0,STDEV(K$347, K$349, K$352, K$353),"")/IF(K$347*K$349*K$352*K$353&gt;0,AVERAGE(K$347, K$349, K$352, K$353),""),"")</f>
        <v/>
      </c>
      <c r="AB451" s="227" t="str">
        <f aca="false">IFERROR(IF(L$347*L$349*L$352*L$353&gt;0,STDEV(L$347, L$349, L$352, L$353),"")/IF(L$347*L$349*L$352*L$353&gt;0,AVERAGE(L$347, L$349, L$352, L$353),""),"")</f>
        <v/>
      </c>
      <c r="AC451" s="227" t="str">
        <f aca="false">IFERROR(IF(M$347*M$349*M$352*M$353&gt;0,STDEV(M$347, M$349, M$352, M$353),"")/IF(M$347*M$349*M$352*M$353&gt;0,AVERAGE(M$347, M$349, M$352, M$353),""),"")</f>
        <v/>
      </c>
      <c r="AD451" s="227" t="str">
        <f aca="false">IFERROR(IF(N$347*N$349*N$352*N$353&gt;0,STDEV(N$347, N$349, N$352, N$353),"")/IF(N$347*N$349*N$352*N$353&gt;0,AVERAGE(N$347, N$349, N$352, N$353),""),"")</f>
        <v/>
      </c>
      <c r="AE451" s="233"/>
      <c r="AF451" s="229" t="s">
        <v>514</v>
      </c>
      <c r="AG451" s="230" t="str">
        <f aca="false">IFERROR(IF(C$347*C$349*C$352*C$353&gt;0,STDEV(C$347, C$349, C$352, C$353)," ")/IF(C$347*C$349*C$352*C$353&gt;0,SQRT(COUNT(C$347, C$349, C$352, C$353))," "),"")</f>
        <v/>
      </c>
      <c r="AH451" s="230" t="str">
        <f aca="false">IFERROR(IF(D$347*D$349*D$352*D$353&gt;0,STDEV(D$347, D$349, D$352, D$353)," ")/IF(D$347*D$349*D$352*D$353&gt;0,SQRT(COUNT(D$347, D$349, D$352, D$353))," "),"")</f>
        <v/>
      </c>
      <c r="AI451" s="230" t="str">
        <f aca="false">IFERROR(IF(E$347*E$349*E$352*E$353&gt;0,STDEV(E$347, E$349, E$352, E$353)," ")/IF(E$347*E$349*E$352*E$353&gt;0,SQRT(COUNT(E$347, E$349, E$352, E$353))," "),"")</f>
        <v/>
      </c>
      <c r="AJ451" s="230" t="str">
        <f aca="false">IFERROR(IF(F$347*F$349*F$352*F$353&gt;0,STDEV(F$347, F$349, F$352, F$353)," ")/IF(F$347*F$349*F$352*F$353&gt;0,SQRT(COUNT(F$347, F$349, F$352, F$353))," "),"")</f>
        <v/>
      </c>
      <c r="AK451" s="230" t="str">
        <f aca="false">IFERROR(IF(G$347*G$349*G$352*G$353&gt;0,STDEV(G$347, G$349, G$352, G$353)," ")/IF(G$347*G$349*G$352*G$353&gt;0,SQRT(COUNT(G$347, G$349, G$352, G$353))," "),"")</f>
        <v/>
      </c>
      <c r="AL451" s="230" t="str">
        <f aca="false">IFERROR(IF(H$347*H$349*H$352*H$353&gt;0,STDEV(H$347, H$349, H$352, H$353)," ")/IF(H$347*H$349*H$352*H$353&gt;0,SQRT(COUNT(H$347, H$349, H$352, H$353))," "),"")</f>
        <v/>
      </c>
      <c r="AM451" s="230" t="str">
        <f aca="false">IFERROR(IF(I$347*I$349*I$352*I$353&gt;0,STDEV(I$347, I$349, I$352, I$353)," ")/IF(I$347*I$349*I$352*I$353&gt;0,SQRT(COUNT(I$347, I$349, I$352, I$353))," "),"")</f>
        <v/>
      </c>
      <c r="AN451" s="230" t="str">
        <f aca="false">IFERROR(IF(J$347*J$349*J$352*J$353&gt;0,STDEV(J$347, J$349, J$352, J$353)," ")/IF(J$347*J$349*J$352*J$353&gt;0,SQRT(COUNT(J$347, J$349, J$352, J$353))," "),"")</f>
        <v/>
      </c>
      <c r="AO451" s="230" t="str">
        <f aca="false">IFERROR(IF(K$347*K$349*K$352*K$353&gt;0,STDEV(K$347, K$349, K$352, K$353)," ")/IF(K$347*K$349*K$352*K$353&gt;0,SQRT(COUNT(K$347, K$349, K$352, K$353))," "),"")</f>
        <v/>
      </c>
      <c r="AP451" s="230" t="str">
        <f aca="false">IFERROR(IF(L$347*L$349*L$352*L$353&gt;0,STDEV(L$347, L$349, L$352, L$353)," ")/IF(L$347*L$349*L$352*L$353&gt;0,SQRT(COUNT(L$347, L$349, L$352, L$353))," "),"")</f>
        <v/>
      </c>
      <c r="AQ451" s="230" t="str">
        <f aca="false">IFERROR(IF(M$347*M$349*M$352*M$353&gt;0,STDEV(M$347, M$349, M$352, M$353)," ")/IF(M$347*M$349*M$352*M$353&gt;0,SQRT(COUNT(M$347, M$349, M$352, M$353))," "),"")</f>
        <v/>
      </c>
      <c r="AR451" s="230" t="str">
        <f aca="false">IFERROR(IF(N$347*N$349*N$352*N$353&gt;0,STDEV(N$347, N$349, N$352, N$353)," ")/IF(N$347*N$349*N$352*N$353&gt;0,SQRT(COUNT(N$347, N$349, N$352, N$353))," "),"")</f>
        <v/>
      </c>
    </row>
    <row r="452" customFormat="false" ht="15.75" hidden="false" customHeight="false" outlineLevel="0" collapsed="false">
      <c r="A452" s="220" t="s">
        <v>515</v>
      </c>
      <c r="B452" s="221"/>
      <c r="C452" s="261" t="str">
        <f aca="false">IFERROR(IF(C$351*C$352*C$353*C347&gt;0,AVERAGE(C$351:C$353, C347),""),"")</f>
        <v/>
      </c>
      <c r="D452" s="261" t="str">
        <f aca="false">IFERROR(IF(D$351*D$352*D$353*D347&gt;0,AVERAGE(D$351:D$353, D347),""),"")</f>
        <v/>
      </c>
      <c r="E452" s="261" t="str">
        <f aca="false">IFERROR(IF(E$351*E$352*E$353*E347&gt;0,AVERAGE(E$351:E$353, E347),""),"")</f>
        <v/>
      </c>
      <c r="F452" s="261" t="str">
        <f aca="false">IFERROR(IF(F$351*F$352*F$353*F347&gt;0,AVERAGE(F$351:F$353, F347),""),"")</f>
        <v/>
      </c>
      <c r="G452" s="261" t="str">
        <f aca="false">IFERROR(IF(G$351*G$352*G$353*G347&gt;0,AVERAGE(G$351:G$353, G347),""),"")</f>
        <v/>
      </c>
      <c r="H452" s="261" t="str">
        <f aca="false">IFERROR(IF(H$351*H$352*H$353*H347&gt;0,AVERAGE(H$351:H$353, H347),""),"")</f>
        <v/>
      </c>
      <c r="I452" s="261" t="str">
        <f aca="false">IFERROR(IF(I$351*I$352*I$353*I347&gt;0,AVERAGE(I$351:I$353, I347),""),"")</f>
        <v/>
      </c>
      <c r="J452" s="261" t="str">
        <f aca="false">IFERROR(IF(J$351*J$352*J$353*J347&gt;0,AVERAGE(J$351:J$353, J347),""),"")</f>
        <v/>
      </c>
      <c r="K452" s="261" t="str">
        <f aca="false">IFERROR(IF(K$351*K$352*K$353*K347&gt;0,AVERAGE(K$351:K$353, K347),""),"")</f>
        <v/>
      </c>
      <c r="L452" s="261" t="str">
        <f aca="false">IFERROR(IF(L$351*L$352*L$353*L347&gt;0,AVERAGE(L$351:L$353, L347),""),"")</f>
        <v/>
      </c>
      <c r="M452" s="261" t="str">
        <f aca="false">IFERROR(IF(M$351*M$352*M$353*M347&gt;0,AVERAGE(M$351:M$353, M347),""),"")</f>
        <v/>
      </c>
      <c r="N452" s="261" t="str">
        <f aca="false">IFERROR(IF(N$351*N$352*N$353*N347&gt;0,AVERAGE(N$351:N$353, N347),""),"")</f>
        <v/>
      </c>
      <c r="O452" s="224"/>
      <c r="P452" s="224"/>
      <c r="Q452" s="232"/>
      <c r="R452" s="226" t="s">
        <v>516</v>
      </c>
      <c r="S452" s="227" t="str">
        <f aca="false">IFERROR(IF(C$351*C$352*C$353*C347&gt;0,STDEV(C$351:C$353, C347),"")/IF(C$351*C$352*C$353*C347&gt;0,AVERAGE(C$351:C$353, C347),""),"")</f>
        <v/>
      </c>
      <c r="T452" s="227" t="str">
        <f aca="false">IFERROR(IF(D$351*D$352*D$353*D347&gt;0,STDEV(D$351:D$353, D347),"")/IF(D$351*D$352*D$353*D347&gt;0,AVERAGE(D$351:D$353, D347),""),"")</f>
        <v/>
      </c>
      <c r="U452" s="227" t="str">
        <f aca="false">IFERROR(IF(E$351*E$352*E$353*E347&gt;0,STDEV(E$351:E$353, E347),"")/IF(E$351*E$352*E$353*E347&gt;0,AVERAGE(E$351:E$353, E347),""),"")</f>
        <v/>
      </c>
      <c r="V452" s="227" t="str">
        <f aca="false">IFERROR(IF(F$351*F$352*F$353*F347&gt;0,STDEV(F$351:F$353, F347),"")/IF(F$351*F$352*F$353*F347&gt;0,AVERAGE(F$351:F$353, F347),""),"")</f>
        <v/>
      </c>
      <c r="W452" s="227" t="str">
        <f aca="false">IFERROR(IF(G$351*G$352*G$353*G347&gt;0,STDEV(G$351:G$353, G347),"")/IF(G$351*G$352*G$353*G347&gt;0,AVERAGE(G$351:G$353, G347),""),"")</f>
        <v/>
      </c>
      <c r="X452" s="227" t="str">
        <f aca="false">IFERROR(IF(H$351*H$352*H$353*H347&gt;0,STDEV(H$351:H$353, H347),"")/IF(H$351*H$352*H$353*H347&gt;0,AVERAGE(H$351:H$353, H347),""),"")</f>
        <v/>
      </c>
      <c r="Y452" s="227" t="str">
        <f aca="false">IFERROR(IF(I$351*I$352*I$353*I347&gt;0,STDEV(I$351:I$353, I347),"")/IF(I$351*I$352*I$353*I347&gt;0,AVERAGE(I$351:I$353, I347),""),"")</f>
        <v/>
      </c>
      <c r="Z452" s="227" t="str">
        <f aca="false">IFERROR(IF(J$351*J$352*J$353*J347&gt;0,STDEV(J$351:J$353, J347),"")/IF(J$351*J$352*J$353*J347&gt;0,AVERAGE(J$351:J$353, J347),""),"")</f>
        <v/>
      </c>
      <c r="AA452" s="227" t="str">
        <f aca="false">IFERROR(IF(K$351*K$352*K$353*K347&gt;0,STDEV(K$351:K$353, K347),"")/IF(K$351*K$352*K$353*K347&gt;0,AVERAGE(K$351:K$353, K347),""),"")</f>
        <v/>
      </c>
      <c r="AB452" s="227" t="str">
        <f aca="false">IFERROR(IF(L$351*L$352*L$353*L347&gt;0,STDEV(L$351:L$353, L347),"")/IF(L$351*L$352*L$353*L347&gt;0,AVERAGE(L$351:L$353, L347),""),"")</f>
        <v/>
      </c>
      <c r="AC452" s="227" t="str">
        <f aca="false">IFERROR(IF(M$351*M$352*M$353*M347&gt;0,STDEV(M$351:M$353, M347),"")/IF(M$351*M$352*M$353*M347&gt;0,AVERAGE(M$351:M$353, M347),""),"")</f>
        <v/>
      </c>
      <c r="AD452" s="227" t="str">
        <f aca="false">IFERROR(IF(N$351*N$352*N$353*N347&gt;0,STDEV(N$351:N$353, N347),"")/IF(N$351*N$352*N$353*N347&gt;0,AVERAGE(N$351:N$353, N347),""),"")</f>
        <v/>
      </c>
      <c r="AE452" s="233"/>
      <c r="AF452" s="229" t="s">
        <v>517</v>
      </c>
      <c r="AG452" s="230" t="str">
        <f aca="false">IFERROR(IF(C$351*C$352*C$353*C347&gt;0,STDEV(C$351:C$353, C347)," ")/IF(C$351*C$352*C$353*C347&gt;0,SQRT(COUNT(C$351:C$353, C347))," "),"")</f>
        <v/>
      </c>
      <c r="AH452" s="230" t="str">
        <f aca="false">IFERROR(IF(D$351*D$352*D$353*D347&gt;0,STDEV(D$351:D$353, D347)," ")/IF(D$351*D$352*D$353*D347&gt;0,SQRT(COUNT(D$351:D$353, D347))," "),"")</f>
        <v/>
      </c>
      <c r="AI452" s="230" t="str">
        <f aca="false">IFERROR(IF(E$351*E$352*E$353*E347&gt;0,STDEV(E$351:E$353, E347)," ")/IF(E$351*E$352*E$353*E347&gt;0,SQRT(COUNT(E$351:E$353, E347))," "),"")</f>
        <v/>
      </c>
      <c r="AJ452" s="230" t="str">
        <f aca="false">IFERROR(IF(F$351*F$352*F$353*F347&gt;0,STDEV(F$351:F$353, F347)," ")/IF(F$351*F$352*F$353*F347&gt;0,SQRT(COUNT(F$351:F$353, F347))," "),"")</f>
        <v/>
      </c>
      <c r="AK452" s="230" t="str">
        <f aca="false">IFERROR(IF(G$351*G$352*G$353*G347&gt;0,STDEV(G$351:G$353, G347)," ")/IF(G$351*G$352*G$353*G347&gt;0,SQRT(COUNT(G$351:G$353, G347))," "),"")</f>
        <v/>
      </c>
      <c r="AL452" s="230" t="str">
        <f aca="false">IFERROR(IF(H$351*H$352*H$353*H347&gt;0,STDEV(H$351:H$353, H347)," ")/IF(H$351*H$352*H$353*H347&gt;0,SQRT(COUNT(H$351:H$353, H347))," "),"")</f>
        <v/>
      </c>
      <c r="AM452" s="230" t="str">
        <f aca="false">IFERROR(IF(I$351*I$352*I$353*I347&gt;0,STDEV(I$351:I$353, I347)," ")/IF(I$351*I$352*I$353*I347&gt;0,SQRT(COUNT(I$351:I$353, I347))," "),"")</f>
        <v/>
      </c>
      <c r="AN452" s="230" t="str">
        <f aca="false">IFERROR(IF(J$351*J$352*J$353*J347&gt;0,STDEV(J$351:J$353, J347)," ")/IF(J$351*J$352*J$353*J347&gt;0,SQRT(COUNT(J$351:J$353, J347))," "),"")</f>
        <v/>
      </c>
      <c r="AO452" s="230" t="str">
        <f aca="false">IFERROR(IF(K$351*K$352*K$353*K347&gt;0,STDEV(K$351:K$353, K347)," ")/IF(K$351*K$352*K$353*K347&gt;0,SQRT(COUNT(K$351:K$353, K347))," "),"")</f>
        <v/>
      </c>
      <c r="AP452" s="230" t="str">
        <f aca="false">IFERROR(IF(L$351*L$352*L$353*L347&gt;0,STDEV(L$351:L$353, L347)," ")/IF(L$351*L$352*L$353*L347&gt;0,SQRT(COUNT(L$351:L$353, L347))," "),"")</f>
        <v/>
      </c>
      <c r="AQ452" s="230" t="str">
        <f aca="false">IFERROR(IF(M$351*M$352*M$353*M347&gt;0,STDEV(M$351:M$353, M347)," ")/IF(M$351*M$352*M$353*M347&gt;0,SQRT(COUNT(M$351:M$353, M347))," "),"")</f>
        <v/>
      </c>
      <c r="AR452" s="230" t="str">
        <f aca="false">IFERROR(IF(N$351*N$352*N$353*N347&gt;0,STDEV(N$351:N$353, N347)," ")/IF(N$351*N$352*N$353*N347&gt;0,SQRT(COUNT(N$351:N$353, N347))," "),"")</f>
        <v/>
      </c>
    </row>
    <row r="453" customFormat="false" ht="15.75" hidden="false" customHeight="false" outlineLevel="0" collapsed="false">
      <c r="A453" s="220" t="s">
        <v>518</v>
      </c>
      <c r="B453" s="221"/>
      <c r="C453" s="261" t="str">
        <f aca="false">IFERROR(IF(C$351*C$352*C$353*C348&gt;0,AVERAGE(C$351:C$353, C348),""),"")</f>
        <v/>
      </c>
      <c r="D453" s="261" t="str">
        <f aca="false">IFERROR(IF(D$351*D$352*D$353*D348&gt;0,AVERAGE(D$351:D$353, D348),""),"")</f>
        <v/>
      </c>
      <c r="E453" s="261" t="str">
        <f aca="false">IFERROR(IF(E$351*E$352*E$353*E348&gt;0,AVERAGE(E$351:E$353, E348),""),"")</f>
        <v/>
      </c>
      <c r="F453" s="261" t="str">
        <f aca="false">IFERROR(IF(F$351*F$352*F$353*F348&gt;0,AVERAGE(F$351:F$353, F348),""),"")</f>
        <v/>
      </c>
      <c r="G453" s="261" t="str">
        <f aca="false">IFERROR(IF(G$351*G$352*G$353*G348&gt;0,AVERAGE(G$351:G$353, G348),""),"")</f>
        <v/>
      </c>
      <c r="H453" s="261" t="str">
        <f aca="false">IFERROR(IF(H$351*H$352*H$353*H348&gt;0,AVERAGE(H$351:H$353, H348),""),"")</f>
        <v/>
      </c>
      <c r="I453" s="261" t="str">
        <f aca="false">IFERROR(IF(I$351*I$352*I$353*I348&gt;0,AVERAGE(I$351:I$353, I348),""),"")</f>
        <v/>
      </c>
      <c r="J453" s="261" t="str">
        <f aca="false">IFERROR(IF(J$351*J$352*J$353*J348&gt;0,AVERAGE(J$351:J$353, J348),""),"")</f>
        <v/>
      </c>
      <c r="K453" s="261" t="str">
        <f aca="false">IFERROR(IF(K$351*K$352*K$353*K348&gt;0,AVERAGE(K$351:K$353, K348),""),"")</f>
        <v/>
      </c>
      <c r="L453" s="261" t="str">
        <f aca="false">IFERROR(IF(L$351*L$352*L$353*L348&gt;0,AVERAGE(L$351:L$353, L348),""),"")</f>
        <v/>
      </c>
      <c r="M453" s="261" t="str">
        <f aca="false">IFERROR(IF(M$351*M$352*M$353*M348&gt;0,AVERAGE(M$351:M$353, M348),""),"")</f>
        <v/>
      </c>
      <c r="N453" s="261" t="str">
        <f aca="false">IFERROR(IF(N$351*N$352*N$353*N348&gt;0,AVERAGE(N$351:N$353, N348),""),"")</f>
        <v/>
      </c>
      <c r="O453" s="224"/>
      <c r="P453" s="224"/>
      <c r="Q453" s="232"/>
      <c r="R453" s="226" t="s">
        <v>519</v>
      </c>
      <c r="S453" s="227" t="str">
        <f aca="false">IFERROR(IF(C$351*C$352*C$353*C348&gt;0,STDEV(C$351:C$353, C348),"")/IF(C$351*C$352*C$353*C348&gt;0,AVERAGE(C$351:C$353, C348),""),"")</f>
        <v/>
      </c>
      <c r="T453" s="227" t="str">
        <f aca="false">IFERROR(IF(D$351*D$352*D$353*D348&gt;0,STDEV(D$351:D$353, D348),"")/IF(D$351*D$352*D$353*D348&gt;0,AVERAGE(D$351:D$353, D348),""),"")</f>
        <v/>
      </c>
      <c r="U453" s="227" t="str">
        <f aca="false">IFERROR(IF(E$351*E$352*E$353*E348&gt;0,STDEV(E$351:E$353, E348),"")/IF(E$351*E$352*E$353*E348&gt;0,AVERAGE(E$351:E$353, E348),""),"")</f>
        <v/>
      </c>
      <c r="V453" s="227" t="str">
        <f aca="false">IFERROR(IF(F$351*F$352*F$353*F348&gt;0,STDEV(F$351:F$353, F348),"")/IF(F$351*F$352*F$353*F348&gt;0,AVERAGE(F$351:F$353, F348),""),"")</f>
        <v/>
      </c>
      <c r="W453" s="227" t="str">
        <f aca="false">IFERROR(IF(G$351*G$352*G$353*G348&gt;0,STDEV(G$351:G$353, G348),"")/IF(G$351*G$352*G$353*G348&gt;0,AVERAGE(G$351:G$353, G348),""),"")</f>
        <v/>
      </c>
      <c r="X453" s="227" t="str">
        <f aca="false">IFERROR(IF(H$351*H$352*H$353*H348&gt;0,STDEV(H$351:H$353, H348),"")/IF(H$351*H$352*H$353*H348&gt;0,AVERAGE(H$351:H$353, H348),""),"")</f>
        <v/>
      </c>
      <c r="Y453" s="227" t="str">
        <f aca="false">IFERROR(IF(I$351*I$352*I$353*I348&gt;0,STDEV(I$351:I$353, I348),"")/IF(I$351*I$352*I$353*I348&gt;0,AVERAGE(I$351:I$353, I348),""),"")</f>
        <v/>
      </c>
      <c r="Z453" s="227" t="str">
        <f aca="false">IFERROR(IF(J$351*J$352*J$353*J348&gt;0,STDEV(J$351:J$353, J348),"")/IF(J$351*J$352*J$353*J348&gt;0,AVERAGE(J$351:J$353, J348),""),"")</f>
        <v/>
      </c>
      <c r="AA453" s="227" t="str">
        <f aca="false">IFERROR(IF(K$351*K$352*K$353*K348&gt;0,STDEV(K$351:K$353, K348),"")/IF(K$351*K$352*K$353*K348&gt;0,AVERAGE(K$351:K$353, K348),""),"")</f>
        <v/>
      </c>
      <c r="AB453" s="227" t="str">
        <f aca="false">IFERROR(IF(L$351*L$352*L$353*L348&gt;0,STDEV(L$351:L$353, L348),"")/IF(L$351*L$352*L$353*L348&gt;0,AVERAGE(L$351:L$353, L348),""),"")</f>
        <v/>
      </c>
      <c r="AC453" s="227" t="str">
        <f aca="false">IFERROR(IF(M$351*M$352*M$353*M348&gt;0,STDEV(M$351:M$353, M348),"")/IF(M$351*M$352*M$353*M348&gt;0,AVERAGE(M$351:M$353, M348),""),"")</f>
        <v/>
      </c>
      <c r="AD453" s="227" t="str">
        <f aca="false">IFERROR(IF(N$351*N$352*N$353*N348&gt;0,STDEV(N$351:N$353, N348),"")/IF(N$351*N$352*N$353*N348&gt;0,AVERAGE(N$351:N$353, N348),""),"")</f>
        <v/>
      </c>
      <c r="AE453" s="233"/>
      <c r="AF453" s="229" t="s">
        <v>520</v>
      </c>
      <c r="AG453" s="230" t="str">
        <f aca="false">IFERROR(IF(C$351*C$352*C$353*C348&gt;0,STDEV(C$351:C$353, C348)," ")/IF(C$351*C$352*C$353*C348&gt;0,SQRT(COUNT(C$351:C$353, C348))," "),"")</f>
        <v/>
      </c>
      <c r="AH453" s="230" t="str">
        <f aca="false">IFERROR(IF(D$351*D$352*D$353*D348&gt;0,STDEV(D$351:D$353, D348)," ")/IF(D$351*D$352*D$353*D348&gt;0,SQRT(COUNT(D$351:D$353, D348))," "),"")</f>
        <v/>
      </c>
      <c r="AI453" s="230" t="str">
        <f aca="false">IFERROR(IF(E$351*E$352*E$353*E348&gt;0,STDEV(E$351:E$353, E348)," ")/IF(E$351*E$352*E$353*E348&gt;0,SQRT(COUNT(E$351:E$353, E348))," "),"")</f>
        <v/>
      </c>
      <c r="AJ453" s="230" t="str">
        <f aca="false">IFERROR(IF(F$351*F$352*F$353*F348&gt;0,STDEV(F$351:F$353, F348)," ")/IF(F$351*F$352*F$353*F348&gt;0,SQRT(COUNT(F$351:F$353, F348))," "),"")</f>
        <v/>
      </c>
      <c r="AK453" s="230" t="str">
        <f aca="false">IFERROR(IF(G$351*G$352*G$353*G348&gt;0,STDEV(G$351:G$353, G348)," ")/IF(G$351*G$352*G$353*G348&gt;0,SQRT(COUNT(G$351:G$353, G348))," "),"")</f>
        <v/>
      </c>
      <c r="AL453" s="230" t="str">
        <f aca="false">IFERROR(IF(H$351*H$352*H$353*H348&gt;0,STDEV(H$351:H$353, H348)," ")/IF(H$351*H$352*H$353*H348&gt;0,SQRT(COUNT(H$351:H$353, H348))," "),"")</f>
        <v/>
      </c>
      <c r="AM453" s="230" t="str">
        <f aca="false">IFERROR(IF(I$351*I$352*I$353*I348&gt;0,STDEV(I$351:I$353, I348)," ")/IF(I$351*I$352*I$353*I348&gt;0,SQRT(COUNT(I$351:I$353, I348))," "),"")</f>
        <v/>
      </c>
      <c r="AN453" s="230" t="str">
        <f aca="false">IFERROR(IF(J$351*J$352*J$353*J348&gt;0,STDEV(J$351:J$353, J348)," ")/IF(J$351*J$352*J$353*J348&gt;0,SQRT(COUNT(J$351:J$353, J348))," "),"")</f>
        <v/>
      </c>
      <c r="AO453" s="230" t="str">
        <f aca="false">IFERROR(IF(K$351*K$352*K$353*K348&gt;0,STDEV(K$351:K$353, K348)," ")/IF(K$351*K$352*K$353*K348&gt;0,SQRT(COUNT(K$351:K$353, K348))," "),"")</f>
        <v/>
      </c>
      <c r="AP453" s="230" t="str">
        <f aca="false">IFERROR(IF(L$351*L$352*L$353*L348&gt;0,STDEV(L$351:L$353, L348)," ")/IF(L$351*L$352*L$353*L348&gt;0,SQRT(COUNT(L$351:L$353, L348))," "),"")</f>
        <v/>
      </c>
      <c r="AQ453" s="230" t="str">
        <f aca="false">IFERROR(IF(M$351*M$352*M$353*M348&gt;0,STDEV(M$351:M$353, M348)," ")/IF(M$351*M$352*M$353*M348&gt;0,SQRT(COUNT(M$351:M$353, M348))," "),"")</f>
        <v/>
      </c>
      <c r="AR453" s="230" t="str">
        <f aca="false">IFERROR(IF(N$351*N$352*N$353*N348&gt;0,STDEV(N$351:N$353, N348)," ")/IF(N$351*N$352*N$353*N348&gt;0,SQRT(COUNT(N$351:N$353, N348))," "),"")</f>
        <v/>
      </c>
    </row>
    <row r="454" customFormat="false" ht="15.75" hidden="false" customHeight="false" outlineLevel="0" collapsed="false">
      <c r="A454" s="220" t="s">
        <v>521</v>
      </c>
      <c r="B454" s="221"/>
      <c r="C454" s="261" t="str">
        <f aca="false">IFERROR(IF(C$351*C$352*C$353*C349&gt;0,AVERAGE(C$351:C$353, C349),""),"")</f>
        <v/>
      </c>
      <c r="D454" s="261" t="str">
        <f aca="false">IFERROR(IF(D$351*D$352*D$353*D349&gt;0,AVERAGE(D$351:D$353, D349),""),"")</f>
        <v/>
      </c>
      <c r="E454" s="261" t="str">
        <f aca="false">IFERROR(IF(E$351*E$352*E$353*E349&gt;0,AVERAGE(E$351:E$353, E349),""),"")</f>
        <v/>
      </c>
      <c r="F454" s="261" t="str">
        <f aca="false">IFERROR(IF(F$351*F$352*F$353*F349&gt;0,AVERAGE(F$351:F$353, F349),""),"")</f>
        <v/>
      </c>
      <c r="G454" s="261" t="str">
        <f aca="false">IFERROR(IF(G$351*G$352*G$353*G349&gt;0,AVERAGE(G$351:G$353, G349),""),"")</f>
        <v/>
      </c>
      <c r="H454" s="261" t="str">
        <f aca="false">IFERROR(IF(H$351*H$352*H$353*H349&gt;0,AVERAGE(H$351:H$353, H349),""),"")</f>
        <v/>
      </c>
      <c r="I454" s="261" t="str">
        <f aca="false">IFERROR(IF(I$351*I$352*I$353*I349&gt;0,AVERAGE(I$351:I$353, I349),""),"")</f>
        <v/>
      </c>
      <c r="J454" s="261" t="str">
        <f aca="false">IFERROR(IF(J$351*J$352*J$353*J349&gt;0,AVERAGE(J$351:J$353, J349),""),"")</f>
        <v/>
      </c>
      <c r="K454" s="261" t="str">
        <f aca="false">IFERROR(IF(K$351*K$352*K$353*K349&gt;0,AVERAGE(K$351:K$353, K349),""),"")</f>
        <v/>
      </c>
      <c r="L454" s="261" t="str">
        <f aca="false">IFERROR(IF(L$351*L$352*L$353*L349&gt;0,AVERAGE(L$351:L$353, L349),""),"")</f>
        <v/>
      </c>
      <c r="M454" s="261" t="str">
        <f aca="false">IFERROR(IF(M$351*M$352*M$353*M349&gt;0,AVERAGE(M$351:M$353, M349),""),"")</f>
        <v/>
      </c>
      <c r="N454" s="261" t="str">
        <f aca="false">IFERROR(IF(N$351*N$352*N$353*N349&gt;0,AVERAGE(N$351:N$353, N349),""),"")</f>
        <v/>
      </c>
      <c r="O454" s="224"/>
      <c r="P454" s="224"/>
      <c r="Q454" s="232"/>
      <c r="R454" s="226" t="s">
        <v>522</v>
      </c>
      <c r="S454" s="227" t="str">
        <f aca="false">IFERROR(IF(C$351*C$352*C$353*C349&gt;0,STDEV(C$351:C$353, C349),"")/IF(C$351*C$352*C$353*C349&gt;0,AVERAGE(C$351:C$353, C349),""),"")</f>
        <v/>
      </c>
      <c r="T454" s="227" t="str">
        <f aca="false">IFERROR(IF(D$351*D$352*D$353*D349&gt;0,STDEV(D$351:D$353, D349),"")/IF(D$351*D$352*D$353*D349&gt;0,AVERAGE(D$351:D$353, D349),""),"")</f>
        <v/>
      </c>
      <c r="U454" s="227" t="str">
        <f aca="false">IFERROR(IF(E$351*E$352*E$353*E349&gt;0,STDEV(E$351:E$353, E349),"")/IF(E$351*E$352*E$353*E349&gt;0,AVERAGE(E$351:E$353, E349),""),"")</f>
        <v/>
      </c>
      <c r="V454" s="227" t="str">
        <f aca="false">IFERROR(IF(F$351*F$352*F$353*F349&gt;0,STDEV(F$351:F$353, F349),"")/IF(F$351*F$352*F$353*F349&gt;0,AVERAGE(F$351:F$353, F349),""),"")</f>
        <v/>
      </c>
      <c r="W454" s="227" t="str">
        <f aca="false">IFERROR(IF(G$351*G$352*G$353*G349&gt;0,STDEV(G$351:G$353, G349),"")/IF(G$351*G$352*G$353*G349&gt;0,AVERAGE(G$351:G$353, G349),""),"")</f>
        <v/>
      </c>
      <c r="X454" s="227" t="str">
        <f aca="false">IFERROR(IF(H$351*H$352*H$353*H349&gt;0,STDEV(H$351:H$353, H349),"")/IF(H$351*H$352*H$353*H349&gt;0,AVERAGE(H$351:H$353, H349),""),"")</f>
        <v/>
      </c>
      <c r="Y454" s="227" t="str">
        <f aca="false">IFERROR(IF(I$351*I$352*I$353*I349&gt;0,STDEV(I$351:I$353, I349),"")/IF(I$351*I$352*I$353*I349&gt;0,AVERAGE(I$351:I$353, I349),""),"")</f>
        <v/>
      </c>
      <c r="Z454" s="227" t="str">
        <f aca="false">IFERROR(IF(J$351*J$352*J$353*J349&gt;0,STDEV(J$351:J$353, J349),"")/IF(J$351*J$352*J$353*J349&gt;0,AVERAGE(J$351:J$353, J349),""),"")</f>
        <v/>
      </c>
      <c r="AA454" s="227" t="str">
        <f aca="false">IFERROR(IF(K$351*K$352*K$353*K349&gt;0,STDEV(K$351:K$353, K349),"")/IF(K$351*K$352*K$353*K349&gt;0,AVERAGE(K$351:K$353, K349),""),"")</f>
        <v/>
      </c>
      <c r="AB454" s="227" t="str">
        <f aca="false">IFERROR(IF(L$351*L$352*L$353*L349&gt;0,STDEV(L$351:L$353, L349),"")/IF(L$351*L$352*L$353*L349&gt;0,AVERAGE(L$351:L$353, L349),""),"")</f>
        <v/>
      </c>
      <c r="AC454" s="227" t="str">
        <f aca="false">IFERROR(IF(M$351*M$352*M$353*M349&gt;0,STDEV(M$351:M$353, M349),"")/IF(M$351*M$352*M$353*M349&gt;0,AVERAGE(M$351:M$353, M349),""),"")</f>
        <v/>
      </c>
      <c r="AD454" s="227" t="str">
        <f aca="false">IFERROR(IF(N$351*N$352*N$353*N349&gt;0,STDEV(N$351:N$353, N349),"")/IF(N$351*N$352*N$353*N349&gt;0,AVERAGE(N$351:N$353, N349),""),"")</f>
        <v/>
      </c>
      <c r="AE454" s="233"/>
      <c r="AF454" s="229" t="s">
        <v>523</v>
      </c>
      <c r="AG454" s="230" t="str">
        <f aca="false">IFERROR(IF(C$351*C$352*C$353*C349&gt;0,STDEV(C$351:C$353, C349)," ")/IF(C$351*C$352*C$353*C349&gt;0,SQRT(COUNT(C$351:C$353, C349))," "),"")</f>
        <v/>
      </c>
      <c r="AH454" s="230" t="str">
        <f aca="false">IFERROR(IF(D$351*D$352*D$353*D349&gt;0,STDEV(D$351:D$353, D349)," ")/IF(D$351*D$352*D$353*D349&gt;0,SQRT(COUNT(D$351:D$353, D349))," "),"")</f>
        <v/>
      </c>
      <c r="AI454" s="230" t="str">
        <f aca="false">IFERROR(IF(E$351*E$352*E$353*E349&gt;0,STDEV(E$351:E$353, E349)," ")/IF(E$351*E$352*E$353*E349&gt;0,SQRT(COUNT(E$351:E$353, E349))," "),"")</f>
        <v/>
      </c>
      <c r="AJ454" s="230" t="str">
        <f aca="false">IFERROR(IF(F$351*F$352*F$353*F349&gt;0,STDEV(F$351:F$353, F349)," ")/IF(F$351*F$352*F$353*F349&gt;0,SQRT(COUNT(F$351:F$353, F349))," "),"")</f>
        <v/>
      </c>
      <c r="AK454" s="230" t="str">
        <f aca="false">IFERROR(IF(G$351*G$352*G$353*G349&gt;0,STDEV(G$351:G$353, G349)," ")/IF(G$351*G$352*G$353*G349&gt;0,SQRT(COUNT(G$351:G$353, G349))," "),"")</f>
        <v/>
      </c>
      <c r="AL454" s="230" t="str">
        <f aca="false">IFERROR(IF(H$351*H$352*H$353*H349&gt;0,STDEV(H$351:H$353, H349)," ")/IF(H$351*H$352*H$353*H349&gt;0,SQRT(COUNT(H$351:H$353, H349))," "),"")</f>
        <v/>
      </c>
      <c r="AM454" s="230" t="str">
        <f aca="false">IFERROR(IF(I$351*I$352*I$353*I349&gt;0,STDEV(I$351:I$353, I349)," ")/IF(I$351*I$352*I$353*I349&gt;0,SQRT(COUNT(I$351:I$353, I349))," "),"")</f>
        <v/>
      </c>
      <c r="AN454" s="230" t="str">
        <f aca="false">IFERROR(IF(J$351*J$352*J$353*J349&gt;0,STDEV(J$351:J$353, J349)," ")/IF(J$351*J$352*J$353*J349&gt;0,SQRT(COUNT(J$351:J$353, J349))," "),"")</f>
        <v/>
      </c>
      <c r="AO454" s="230" t="str">
        <f aca="false">IFERROR(IF(K$351*K$352*K$353*K349&gt;0,STDEV(K$351:K$353, K349)," ")/IF(K$351*K$352*K$353*K349&gt;0,SQRT(COUNT(K$351:K$353, K349))," "),"")</f>
        <v/>
      </c>
      <c r="AP454" s="230" t="str">
        <f aca="false">IFERROR(IF(L$351*L$352*L$353*L349&gt;0,STDEV(L$351:L$353, L349)," ")/IF(L$351*L$352*L$353*L349&gt;0,SQRT(COUNT(L$351:L$353, L349))," "),"")</f>
        <v/>
      </c>
      <c r="AQ454" s="230" t="str">
        <f aca="false">IFERROR(IF(M$351*M$352*M$353*M349&gt;0,STDEV(M$351:M$353, M349)," ")/IF(M$351*M$352*M$353*M349&gt;0,SQRT(COUNT(M$351:M$353, M349))," "),"")</f>
        <v/>
      </c>
      <c r="AR454" s="230" t="str">
        <f aca="false">IFERROR(IF(N$351*N$352*N$353*N349&gt;0,STDEV(N$351:N$353, N349)," ")/IF(N$351*N$352*N$353*N349&gt;0,SQRT(COUNT(N$351:N$353, N349))," "),"")</f>
        <v/>
      </c>
    </row>
    <row r="455" customFormat="false" ht="15.75" hidden="false" customHeight="false" outlineLevel="0" collapsed="false">
      <c r="A455" s="220" t="s">
        <v>632</v>
      </c>
      <c r="B455" s="221"/>
      <c r="C455" s="261" t="str">
        <f aca="false">IFERROR(IF(C$347*C$349*C$351*C$352&gt;0,AVERAGE(C$347, C$349, C$351, C$352),""),"")</f>
        <v/>
      </c>
      <c r="D455" s="261" t="str">
        <f aca="false">IFERROR(IF(D$347*D$349*D$351*D$352&gt;0,AVERAGE(D$347, D$349, D$351, D$352),""),"")</f>
        <v/>
      </c>
      <c r="E455" s="261" t="str">
        <f aca="false">IFERROR(IF(E$347*E$349*E$351*E$352&gt;0,AVERAGE(E$347, E$349, E$351, E$352),""),"")</f>
        <v/>
      </c>
      <c r="F455" s="261" t="str">
        <f aca="false">IFERROR(IF(F$347*F$349*F$351*F$352&gt;0,AVERAGE(F$347, F$349, F$351, F$352),""),"")</f>
        <v/>
      </c>
      <c r="G455" s="261" t="str">
        <f aca="false">IFERROR(IF(G$347*G$349*G$351*G$352&gt;0,AVERAGE(G$347, G$349, G$351, G$352),""),"")</f>
        <v/>
      </c>
      <c r="H455" s="261" t="str">
        <f aca="false">IFERROR(IF(H$347*H$349*H$351*H$352&gt;0,AVERAGE(H$347, H$349, H$351, H$352),""),"")</f>
        <v/>
      </c>
      <c r="I455" s="261" t="str">
        <f aca="false">IFERROR(IF(I$347*I$349*I$351*I$352&gt;0,AVERAGE(I$347, I$349, I$351, I$352),""),"")</f>
        <v/>
      </c>
      <c r="J455" s="261" t="str">
        <f aca="false">IFERROR(IF(J$347*J$349*J$351*J$352&gt;0,AVERAGE(J$347, J$349, J$351, J$352),""),"")</f>
        <v/>
      </c>
      <c r="K455" s="261" t="str">
        <f aca="false">IFERROR(IF(K$347*K$349*K$351*K$352&gt;0,AVERAGE(K$347, K$349, K$351, K$352),""),"")</f>
        <v/>
      </c>
      <c r="L455" s="261" t="str">
        <f aca="false">IFERROR(IF(L$347*L$349*L$351*L$352&gt;0,AVERAGE(L$347, L$349, L$351, L$352),""),"")</f>
        <v/>
      </c>
      <c r="M455" s="261" t="str">
        <f aca="false">IFERROR(IF(M$347*M$349*M$351*M$352&gt;0,AVERAGE(M$347, M$349, M$351, M$352),""),"")</f>
        <v/>
      </c>
      <c r="N455" s="261" t="str">
        <f aca="false">IFERROR(IF(N$347*N$349*N$351*N$352&gt;0,AVERAGE(N$347, N$349, N$351, N$352),""),"")</f>
        <v/>
      </c>
      <c r="O455" s="224"/>
      <c r="P455" s="224"/>
      <c r="Q455" s="232"/>
      <c r="R455" s="226" t="s">
        <v>525</v>
      </c>
      <c r="S455" s="227" t="str">
        <f aca="false">IFERROR(IF(C$347*C$349*C$351*C$352&gt;0,STDEV(C$347, C$349, C$351, C$352),"")/IF(C$347*C$349*C$351*C$352&gt;0,AVERAGE(C$347, C$349, C$351, C$352),""),"")</f>
        <v/>
      </c>
      <c r="T455" s="227" t="str">
        <f aca="false">IFERROR(IF(D$347*D$349*D$351*D$352&gt;0,STDEV(D$347, D$349, D$351, D$352),"")/IF(D$347*D$349*D$351*D$352&gt;0,AVERAGE(D$347, D$349, D$351, D$352),""),"")</f>
        <v/>
      </c>
      <c r="U455" s="227" t="str">
        <f aca="false">IFERROR(IF(E$347*E$349*E$351*E$352&gt;0,STDEV(E$347, E$349, E$351, E$352),"")/IF(E$347*E$349*E$351*E$352&gt;0,AVERAGE(E$347, E$349, E$351, E$352),""),"")</f>
        <v/>
      </c>
      <c r="V455" s="227" t="str">
        <f aca="false">IFERROR(IF(F$347*F$349*F$351*F$352&gt;0,STDEV(F$347, F$349, F$351, F$352),"")/IF(F$347*F$349*F$351*F$352&gt;0,AVERAGE(F$347, F$349, F$351, F$352),""),"")</f>
        <v/>
      </c>
      <c r="W455" s="227" t="str">
        <f aca="false">IFERROR(IF(G$347*G$349*G$351*G$352&gt;0,STDEV(G$347, G$349, G$351, G$352),"")/IF(G$347*G$349*G$351*G$352&gt;0,AVERAGE(G$347, G$349, G$351, G$352),""),"")</f>
        <v/>
      </c>
      <c r="X455" s="227" t="str">
        <f aca="false">IFERROR(IF(H$347*H$349*H$351*H$352&gt;0,STDEV(H$347, H$349, H$351, H$352),"")/IF(H$347*H$349*H$351*H$352&gt;0,AVERAGE(H$347, H$349, H$351, H$352),""),"")</f>
        <v/>
      </c>
      <c r="Y455" s="227" t="str">
        <f aca="false">IFERROR(IF(I$347*I$349*I$351*I$352&gt;0,STDEV(I$347, I$349, I$351, I$352),"")/IF(I$347*I$349*I$351*I$352&gt;0,AVERAGE(I$347, I$349, I$351, I$352),""),"")</f>
        <v/>
      </c>
      <c r="Z455" s="227" t="str">
        <f aca="false">IFERROR(IF(J$347*J$349*J$351*J$352&gt;0,STDEV(J$347, J$349, J$351, J$352),"")/IF(J$347*J$349*J$351*J$352&gt;0,AVERAGE(J$347, J$349, J$351, J$352),""),"")</f>
        <v/>
      </c>
      <c r="AA455" s="227" t="str">
        <f aca="false">IFERROR(IF(K$347*K$349*K$351*K$352&gt;0,STDEV(K$347, K$349, K$351, K$352),"")/IF(K$347*K$349*K$351*K$352&gt;0,AVERAGE(K$347, K$349, K$351, K$352),""),"")</f>
        <v/>
      </c>
      <c r="AB455" s="227" t="str">
        <f aca="false">IFERROR(IF(L$347*L$349*L$351*L$352&gt;0,STDEV(L$347, L$349, L$351, L$352),"")/IF(L$347*L$349*L$351*L$352&gt;0,AVERAGE(L$347, L$349, L$351, L$352),""),"")</f>
        <v/>
      </c>
      <c r="AC455" s="227" t="str">
        <f aca="false">IFERROR(IF(M$347*M$349*M$351*M$352&gt;0,STDEV(M$347, M$349, M$351, M$352),"")/IF(M$347*M$349*M$351*M$352&gt;0,AVERAGE(M$347, M$349, M$351, M$352),""),"")</f>
        <v/>
      </c>
      <c r="AD455" s="227" t="str">
        <f aca="false">IFERROR(IF(N$347*N$349*N$351*N$352&gt;0,STDEV(N$347, N$349, N$351, N$352),"")/IF(N$347*N$349*N$351*N$352&gt;0,AVERAGE(N$347, N$349, N$351, N$352),""),"")</f>
        <v/>
      </c>
      <c r="AE455" s="233"/>
      <c r="AF455" s="229" t="s">
        <v>526</v>
      </c>
      <c r="AG455" s="230" t="str">
        <f aca="false">IFERROR(IF(C$347*C$349*C$351*C$352&gt;0,STDEV(C$347, C$349, C$351, C$352)," ")/IF(C$347*C$349*C$351*C$352&gt;0,SQRT(COUNT(C$347, C$349, C$351, C$352))," "),"")</f>
        <v/>
      </c>
      <c r="AH455" s="230" t="str">
        <f aca="false">IFERROR(IF(D$347*D$349*D$351*D$352&gt;0,STDEV(D$347, D$349, D$351, D$352)," ")/IF(D$347*D$349*D$351*D$352&gt;0,SQRT(COUNT(D$347, D$349, D$351, D$352))," "),"")</f>
        <v/>
      </c>
      <c r="AI455" s="230" t="str">
        <f aca="false">IFERROR(IF(E$347*E$349*E$351*E$352&gt;0,STDEV(E$347, E$349, E$351, E$352)," ")/IF(E$347*E$349*E$351*E$352&gt;0,SQRT(COUNT(E$347, E$349, E$351, E$352))," "),"")</f>
        <v/>
      </c>
      <c r="AJ455" s="230" t="str">
        <f aca="false">IFERROR(IF(F$347*F$349*F$351*F$352&gt;0,STDEV(F$347, F$349, F$351, F$352)," ")/IF(F$347*F$349*F$351*F$352&gt;0,SQRT(COUNT(F$347, F$349, F$351, F$352))," "),"")</f>
        <v/>
      </c>
      <c r="AK455" s="230" t="str">
        <f aca="false">IFERROR(IF(G$347*G$349*G$351*G$352&gt;0,STDEV(G$347, G$349, G$351, G$352)," ")/IF(G$347*G$349*G$351*G$352&gt;0,SQRT(COUNT(G$347, G$349, G$351, G$352))," "),"")</f>
        <v/>
      </c>
      <c r="AL455" s="230" t="str">
        <f aca="false">IFERROR(IF(H$347*H$349*H$351*H$352&gt;0,STDEV(H$347, H$349, H$351, H$352)," ")/IF(H$347*H$349*H$351*H$352&gt;0,SQRT(COUNT(H$347, H$349, H$351, H$352))," "),"")</f>
        <v/>
      </c>
      <c r="AM455" s="230" t="str">
        <f aca="false">IFERROR(IF(I$347*I$349*I$351*I$352&gt;0,STDEV(I$347, I$349, I$351, I$352)," ")/IF(I$347*I$349*I$351*I$352&gt;0,SQRT(COUNT(I$347, I$349, I$351, I$352))," "),"")</f>
        <v/>
      </c>
      <c r="AN455" s="230" t="str">
        <f aca="false">IFERROR(IF(J$347*J$349*J$351*J$352&gt;0,STDEV(J$347, J$349, J$351, J$352)," ")/IF(J$347*J$349*J$351*J$352&gt;0,SQRT(COUNT(J$347, J$349, J$351, J$352))," "),"")</f>
        <v/>
      </c>
      <c r="AO455" s="230" t="str">
        <f aca="false">IFERROR(IF(K$347*K$349*K$351*K$352&gt;0,STDEV(K$347, K$349, K$351, K$352)," ")/IF(K$347*K$349*K$351*K$352&gt;0,SQRT(COUNT(K$347, K$349, K$351, K$352))," "),"")</f>
        <v/>
      </c>
      <c r="AP455" s="230" t="str">
        <f aca="false">IFERROR(IF(L$347*L$349*L$351*L$352&gt;0,STDEV(L$347, L$349, L$351, L$352)," ")/IF(L$347*L$349*L$351*L$352&gt;0,SQRT(COUNT(L$347, L$349, L$351, L$352))," "),"")</f>
        <v/>
      </c>
      <c r="AQ455" s="230" t="str">
        <f aca="false">IFERROR(IF(M$347*M$349*M$351*M$352&gt;0,STDEV(M$347, M$349, M$351, M$352)," ")/IF(M$347*M$349*M$351*M$352&gt;0,SQRT(COUNT(M$347, M$349, M$351, M$352))," "),"")</f>
        <v/>
      </c>
      <c r="AR455" s="230" t="str">
        <f aca="false">IFERROR(IF(N$347*N$349*N$351*N$352&gt;0,STDEV(N$347, N$349, N$351, N$352)," ")/IF(N$347*N$349*N$351*N$352&gt;0,SQRT(COUNT(N$347, N$349, N$351, N$352))," "),"")</f>
        <v/>
      </c>
    </row>
    <row r="456" customFormat="false" ht="15.75" hidden="false" customHeight="false" outlineLevel="0" collapsed="false">
      <c r="A456" s="220" t="s">
        <v>633</v>
      </c>
      <c r="B456" s="221"/>
      <c r="C456" s="261" t="str">
        <f aca="false">IFERROR(IF(C$347*C$349*C$351*C$353&gt;0,AVERAGE(C$351:C$353, C$353),""),"")</f>
        <v/>
      </c>
      <c r="D456" s="261" t="str">
        <f aca="false">IFERROR(IF(D$347*D$349*D$351*D$353&gt;0,AVERAGE(D$351:D$353, D$353),""),"")</f>
        <v/>
      </c>
      <c r="E456" s="261" t="str">
        <f aca="false">IFERROR(IF(E$347*E$349*E$351*E$353&gt;0,AVERAGE(E$351:E$353, E$353),""),"")</f>
        <v/>
      </c>
      <c r="F456" s="261" t="str">
        <f aca="false">IFERROR(IF(F$347*F$349*F$351*F$353&gt;0,AVERAGE(F$351:F$353, F$353),""),"")</f>
        <v/>
      </c>
      <c r="G456" s="261" t="str">
        <f aca="false">IFERROR(IF(G$347*G$349*G$351*G$353&gt;0,AVERAGE(G$351:G$353, G$353),""),"")</f>
        <v/>
      </c>
      <c r="H456" s="261" t="str">
        <f aca="false">IFERROR(IF(H$347*H$349*H$351*H$353&gt;0,AVERAGE(H$351:H$353, H$353),""),"")</f>
        <v/>
      </c>
      <c r="I456" s="261" t="str">
        <f aca="false">IFERROR(IF(I$347*I$349*I$351*I$353&gt;0,AVERAGE(I$351:I$353, I$353),""),"")</f>
        <v/>
      </c>
      <c r="J456" s="261" t="str">
        <f aca="false">IFERROR(IF(J$347*J$349*J$351*J$353&gt;0,AVERAGE(J$351:J$353, J$353),""),"")</f>
        <v/>
      </c>
      <c r="K456" s="261" t="str">
        <f aca="false">IFERROR(IF(K$347*K$349*K$351*K$353&gt;0,AVERAGE(K$351:K$353, K$353),""),"")</f>
        <v/>
      </c>
      <c r="L456" s="261" t="str">
        <f aca="false">IFERROR(IF(L$347*L$349*L$351*L$353&gt;0,AVERAGE(L$351:L$353, L$353),""),"")</f>
        <v/>
      </c>
      <c r="M456" s="261" t="str">
        <f aca="false">IFERROR(IF(M$347*M$349*M$351*M$353&gt;0,AVERAGE(M$351:M$353, M$353),""),"")</f>
        <v/>
      </c>
      <c r="N456" s="261" t="str">
        <f aca="false">IFERROR(IF(N$347*N$349*N$351*N$353&gt;0,AVERAGE(N$351:N$353, N$353),""),"")</f>
        <v/>
      </c>
      <c r="O456" s="224"/>
      <c r="P456" s="224"/>
      <c r="Q456" s="232"/>
      <c r="R456" s="226" t="s">
        <v>528</v>
      </c>
      <c r="S456" s="227" t="str">
        <f aca="false">IFERROR(IF(C$347*C$349*C$351*C$353&gt;0,STDEV(C$351:C$353, C$353),"")/IF(C$347*C$349*C$351*C$353&gt;0,AVERAGE(C$351:C$353, C$353),""),"")</f>
        <v/>
      </c>
      <c r="T456" s="227" t="str">
        <f aca="false">IFERROR(IF(D$347*D$349*D$351*D$353&gt;0,STDEV(D$351:D$353, D$353),"")/IF(D$347*D$349*D$351*D$353&gt;0,AVERAGE(D$351:D$353, D$353),""),"")</f>
        <v/>
      </c>
      <c r="U456" s="227" t="str">
        <f aca="false">IFERROR(IF(E$347*E$349*E$351*E$353&gt;0,STDEV(E$351:E$353, E$353),"")/IF(E$347*E$349*E$351*E$353&gt;0,AVERAGE(E$351:E$353, E$353),""),"")</f>
        <v/>
      </c>
      <c r="V456" s="227" t="str">
        <f aca="false">IFERROR(IF(F$347*F$349*F$351*F$353&gt;0,STDEV(F$351:F$353, F$353),"")/IF(F$347*F$349*F$351*F$353&gt;0,AVERAGE(F$351:F$353, F$353),""),"")</f>
        <v/>
      </c>
      <c r="W456" s="227" t="str">
        <f aca="false">IFERROR(IF(G$347*G$349*G$351*G$353&gt;0,STDEV(G$351:G$353, G$353),"")/IF(G$347*G$349*G$351*G$353&gt;0,AVERAGE(G$351:G$353, G$353),""),"")</f>
        <v/>
      </c>
      <c r="X456" s="227" t="str">
        <f aca="false">IFERROR(IF(H$347*H$349*H$351*H$353&gt;0,STDEV(H$351:H$353, H$353),"")/IF(H$347*H$349*H$351*H$353&gt;0,AVERAGE(H$351:H$353, H$353),""),"")</f>
        <v/>
      </c>
      <c r="Y456" s="227" t="str">
        <f aca="false">IFERROR(IF(I$347*I$349*I$351*I$353&gt;0,STDEV(I$351:I$353, I$353),"")/IF(I$347*I$349*I$351*I$353&gt;0,AVERAGE(I$351:I$353, I$353),""),"")</f>
        <v/>
      </c>
      <c r="Z456" s="227" t="str">
        <f aca="false">IFERROR(IF(J$347*J$349*J$351*J$353&gt;0,STDEV(J$351:J$353, J$353),"")/IF(J$347*J$349*J$351*J$353&gt;0,AVERAGE(J$351:J$353, J$353),""),"")</f>
        <v/>
      </c>
      <c r="AA456" s="227" t="str">
        <f aca="false">IFERROR(IF(K$347*K$349*K$351*K$353&gt;0,STDEV(K$351:K$353, K$353),"")/IF(K$347*K$349*K$351*K$353&gt;0,AVERAGE(K$351:K$353, K$353),""),"")</f>
        <v/>
      </c>
      <c r="AB456" s="227" t="str">
        <f aca="false">IFERROR(IF(L$347*L$349*L$351*L$353&gt;0,STDEV(L$351:L$353, L$353),"")/IF(L$347*L$349*L$351*L$353&gt;0,AVERAGE(L$351:L$353, L$353),""),"")</f>
        <v/>
      </c>
      <c r="AC456" s="227" t="str">
        <f aca="false">IFERROR(IF(M$347*M$349*M$351*M$353&gt;0,STDEV(M$351:M$353, M$353),"")/IF(M$347*M$349*M$351*M$353&gt;0,AVERAGE(M$351:M$353, M$353),""),"")</f>
        <v/>
      </c>
      <c r="AD456" s="227" t="str">
        <f aca="false">IFERROR(IF(N$347*N$349*N$351*N$353&gt;0,STDEV(N$351:N$353, N$353),"")/IF(N$347*N$349*N$351*N$353&gt;0,AVERAGE(N$351:N$353, N$353),""),"")</f>
        <v/>
      </c>
      <c r="AE456" s="233"/>
      <c r="AF456" s="229" t="s">
        <v>529</v>
      </c>
      <c r="AG456" s="230" t="str">
        <f aca="false">IFERROR(IF(C$347*C$349*C$351*C$353&gt;0,STDEV(C$351:C$353, C$353)," ")/IF(C$347*C$349*C$351*C$353&gt;0,SQRT(COUNT(C$351:C$353, C$353))," "),"")</f>
        <v/>
      </c>
      <c r="AH456" s="230" t="str">
        <f aca="false">IFERROR(IF(D$347*D$349*D$351*D$353&gt;0,STDEV(D$351:D$353, D$353)," ")/IF(D$347*D$349*D$351*D$353&gt;0,SQRT(COUNT(D$351:D$353, D$353))," "),"")</f>
        <v/>
      </c>
      <c r="AI456" s="230" t="str">
        <f aca="false">IFERROR(IF(E$347*E$349*E$351*E$353&gt;0,STDEV(E$351:E$353, E$353)," ")/IF(E$347*E$349*E$351*E$353&gt;0,SQRT(COUNT(E$351:E$353, E$353))," "),"")</f>
        <v/>
      </c>
      <c r="AJ456" s="230" t="str">
        <f aca="false">IFERROR(IF(F$347*F$349*F$351*F$353&gt;0,STDEV(F$351:F$353, F$353)," ")/IF(F$347*F$349*F$351*F$353&gt;0,SQRT(COUNT(F$351:F$353, F$353))," "),"")</f>
        <v/>
      </c>
      <c r="AK456" s="230" t="str">
        <f aca="false">IFERROR(IF(G$347*G$349*G$351*G$353&gt;0,STDEV(G$351:G$353, G$353)," ")/IF(G$347*G$349*G$351*G$353&gt;0,SQRT(COUNT(G$351:G$353, G$353))," "),"")</f>
        <v/>
      </c>
      <c r="AL456" s="230" t="str">
        <f aca="false">IFERROR(IF(H$347*H$349*H$351*H$353&gt;0,STDEV(H$351:H$353, H$353)," ")/IF(H$347*H$349*H$351*H$353&gt;0,SQRT(COUNT(H$351:H$353, H$353))," "),"")</f>
        <v/>
      </c>
      <c r="AM456" s="230" t="str">
        <f aca="false">IFERROR(IF(I$347*I$349*I$351*I$353&gt;0,STDEV(I$351:I$353, I$353)," ")/IF(I$347*I$349*I$351*I$353&gt;0,SQRT(COUNT(I$351:I$353, I$353))," "),"")</f>
        <v/>
      </c>
      <c r="AN456" s="230" t="str">
        <f aca="false">IFERROR(IF(J$347*J$349*J$351*J$353&gt;0,STDEV(J$351:J$353, J$353)," ")/IF(J$347*J$349*J$351*J$353&gt;0,SQRT(COUNT(J$351:J$353, J$353))," "),"")</f>
        <v/>
      </c>
      <c r="AO456" s="230" t="str">
        <f aca="false">IFERROR(IF(K$347*K$349*K$351*K$353&gt;0,STDEV(K$351:K$353, K$353)," ")/IF(K$347*K$349*K$351*K$353&gt;0,SQRT(COUNT(K$351:K$353, K$353))," "),"")</f>
        <v/>
      </c>
      <c r="AP456" s="230" t="str">
        <f aca="false">IFERROR(IF(L$347*L$349*L$351*L$353&gt;0,STDEV(L$351:L$353, L$353)," ")/IF(L$347*L$349*L$351*L$353&gt;0,SQRT(COUNT(L$351:L$353, L$353))," "),"")</f>
        <v/>
      </c>
      <c r="AQ456" s="230" t="str">
        <f aca="false">IFERROR(IF(M$347*M$349*M$351*M$353&gt;0,STDEV(M$351:M$353, M$353)," ")/IF(M$347*M$349*M$351*M$353&gt;0,SQRT(COUNT(M$351:M$353, M$353))," "),"")</f>
        <v/>
      </c>
      <c r="AR456" s="230" t="str">
        <f aca="false">IFERROR(IF(N$347*N$349*N$351*N$353&gt;0,STDEV(N$351:N$353, N$353)," ")/IF(N$347*N$349*N$351*N$353&gt;0,SQRT(COUNT(N$351:N$353, N$353))," "),"")</f>
        <v/>
      </c>
    </row>
    <row r="457" customFormat="false" ht="15.75" hidden="false" customHeight="false" outlineLevel="0" collapsed="false">
      <c r="A457" s="220" t="s">
        <v>530</v>
      </c>
      <c r="B457" s="221"/>
      <c r="C457" s="261" t="str">
        <f aca="false">IFERROR(IF(C$347*C$350*C$351*C$353&gt;0,AVERAGE(C$347, C$350, C$351, C$352),""),"")</f>
        <v/>
      </c>
      <c r="D457" s="261" t="str">
        <f aca="false">IFERROR(IF(D$347*D$350*D$351*D$353&gt;0,AVERAGE(D$347, D$350, D$351, D$352),""),"")</f>
        <v/>
      </c>
      <c r="E457" s="261" t="str">
        <f aca="false">IFERROR(IF(E$347*E$350*E$351*E$353&gt;0,AVERAGE(E$347, E$350, E$351, E$352),""),"")</f>
        <v/>
      </c>
      <c r="F457" s="261" t="str">
        <f aca="false">IFERROR(IF(F$347*F$350*F$351*F$353&gt;0,AVERAGE(F$347, F$350, F$351, F$352),""),"")</f>
        <v/>
      </c>
      <c r="G457" s="261" t="str">
        <f aca="false">IFERROR(IF(G$347*G$350*G$351*G$353&gt;0,AVERAGE(G$347, G$350, G$351, G$352),""),"")</f>
        <v/>
      </c>
      <c r="H457" s="261" t="str">
        <f aca="false">IFERROR(IF(H$347*H$350*H$351*H$353&gt;0,AVERAGE(H$347, H$350, H$351, H$352),""),"")</f>
        <v/>
      </c>
      <c r="I457" s="261" t="str">
        <f aca="false">IFERROR(IF(I$347*I$350*I$351*I$353&gt;0,AVERAGE(I$347, I$350, I$351, I$352),""),"")</f>
        <v/>
      </c>
      <c r="J457" s="261" t="str">
        <f aca="false">IFERROR(IF(J$347*J$350*J$351*J$353&gt;0,AVERAGE(J$347, J$350, J$351, J$352),""),"")</f>
        <v/>
      </c>
      <c r="K457" s="261" t="str">
        <f aca="false">IFERROR(IF(K$347*K$350*K$351*K$353&gt;0,AVERAGE(K$347, K$350, K$351, K$352),""),"")</f>
        <v/>
      </c>
      <c r="L457" s="261" t="str">
        <f aca="false">IFERROR(IF(L$347*L$350*L$351*L$353&gt;0,AVERAGE(L$347, L$350, L$351, L$352),""),"")</f>
        <v/>
      </c>
      <c r="M457" s="261" t="str">
        <f aca="false">IFERROR(IF(M$347*M$350*M$351*M$353&gt;0,AVERAGE(M$347, M$350, M$351, M$352),""),"")</f>
        <v/>
      </c>
      <c r="N457" s="261" t="str">
        <f aca="false">IFERROR(IF(N$347*N$350*N$351*N$353&gt;0,AVERAGE(N$347, N$350, N$351, N$352),""),"")</f>
        <v/>
      </c>
      <c r="O457" s="224"/>
      <c r="P457" s="224"/>
      <c r="Q457" s="232"/>
      <c r="R457" s="226" t="s">
        <v>531</v>
      </c>
      <c r="S457" s="227" t="str">
        <f aca="false">IFERROR(IF(C$347*C$350*C$351*C$353&gt;0,STDEV(C$347, C$350, C$351, C$352),"")/IF(C$347*C$350*C$351*C$353&gt;0,AVERAGE(C$347, C$350, C$351, C$352),""),"")</f>
        <v/>
      </c>
      <c r="T457" s="227" t="str">
        <f aca="false">IFERROR(IF(D$347*D$350*D$351*D$353&gt;0,STDEV(D$347, D$350, D$351, D$352),"")/IF(D$347*D$350*D$351*D$353&gt;0,AVERAGE(D$347, D$350, D$351, D$352),""),"")</f>
        <v/>
      </c>
      <c r="U457" s="227" t="str">
        <f aca="false">IFERROR(IF(E$347*E$350*E$351*E$353&gt;0,STDEV(E$347, E$350, E$351, E$352),"")/IF(E$347*E$350*E$351*E$353&gt;0,AVERAGE(E$347, E$350, E$351, E$352),""),"")</f>
        <v/>
      </c>
      <c r="V457" s="227" t="str">
        <f aca="false">IFERROR(IF(F$347*F$350*F$351*F$353&gt;0,STDEV(F$347, F$350, F$351, F$352),"")/IF(F$347*F$350*F$351*F$353&gt;0,AVERAGE(F$347, F$350, F$351, F$352),""),"")</f>
        <v/>
      </c>
      <c r="W457" s="227" t="str">
        <f aca="false">IFERROR(IF(G$347*G$350*G$351*G$353&gt;0,STDEV(G$347, G$350, G$351, G$352),"")/IF(G$347*G$350*G$351*G$353&gt;0,AVERAGE(G$347, G$350, G$351, G$352),""),"")</f>
        <v/>
      </c>
      <c r="X457" s="227" t="str">
        <f aca="false">IFERROR(IF(H$347*H$350*H$351*H$353&gt;0,STDEV(H$347, H$350, H$351, H$352),"")/IF(H$347*H$350*H$351*H$353&gt;0,AVERAGE(H$347, H$350, H$351, H$352),""),"")</f>
        <v/>
      </c>
      <c r="Y457" s="227" t="str">
        <f aca="false">IFERROR(IF(I$347*I$350*I$351*I$353&gt;0,STDEV(I$347, I$350, I$351, I$352),"")/IF(I$347*I$350*I$351*I$353&gt;0,AVERAGE(I$347, I$350, I$351, I$352),""),"")</f>
        <v/>
      </c>
      <c r="Z457" s="227" t="str">
        <f aca="false">IFERROR(IF(J$347*J$350*J$351*J$353&gt;0,STDEV(J$347, J$350, J$351, J$352),"")/IF(J$347*J$350*J$351*J$353&gt;0,AVERAGE(J$347, J$350, J$351, J$352),""),"")</f>
        <v/>
      </c>
      <c r="AA457" s="227" t="str">
        <f aca="false">IFERROR(IF(K$347*K$350*K$351*K$353&gt;0,STDEV(K$347, K$350, K$351, K$352),"")/IF(K$347*K$350*K$351*K$353&gt;0,AVERAGE(K$347, K$350, K$351, K$352),""),"")</f>
        <v/>
      </c>
      <c r="AB457" s="227" t="str">
        <f aca="false">IFERROR(IF(L$347*L$350*L$351*L$353&gt;0,STDEV(L$347, L$350, L$351, L$352),"")/IF(L$347*L$350*L$351*L$353&gt;0,AVERAGE(L$347, L$350, L$351, L$352),""),"")</f>
        <v/>
      </c>
      <c r="AC457" s="227" t="str">
        <f aca="false">IFERROR(IF(M$347*M$350*M$351*M$353&gt;0,STDEV(M$347, M$350, M$351, M$352),"")/IF(M$347*M$350*M$351*M$353&gt;0,AVERAGE(M$347, M$350, M$351, M$352),""),"")</f>
        <v/>
      </c>
      <c r="AD457" s="227" t="str">
        <f aca="false">IFERROR(IF(N$347*N$350*N$351*N$353&gt;0,STDEV(N$347, N$350, N$351, N$352),"")/IF(N$347*N$350*N$351*N$353&gt;0,AVERAGE(N$347, N$350, N$351, N$352),""),"")</f>
        <v/>
      </c>
      <c r="AE457" s="233"/>
      <c r="AF457" s="229" t="s">
        <v>532</v>
      </c>
      <c r="AG457" s="230" t="str">
        <f aca="false">IFERROR(IF(C$347*C$350*C$351*C$353&gt;0,STDEV(C$347, C$350, C$351, C$352)," ")/IF(C$347*C$350*C$351*C$353&gt;0,SQRT(COUNT(C$347, C$350, C$351, C$352))," "),"")</f>
        <v/>
      </c>
      <c r="AH457" s="230" t="str">
        <f aca="false">IFERROR(IF(D$347*D$350*D$351*D$353&gt;0,STDEV(D$347, D$350, D$351, D$352)," ")/IF(D$347*D$350*D$351*D$353&gt;0,SQRT(COUNT(D$347, D$350, D$351, D$352))," "),"")</f>
        <v/>
      </c>
      <c r="AI457" s="230" t="str">
        <f aca="false">IFERROR(IF(E$347*E$350*E$351*E$353&gt;0,STDEV(E$347, E$350, E$351, E$352)," ")/IF(E$347*E$350*E$351*E$353&gt;0,SQRT(COUNT(E$347, E$350, E$351, E$352))," "),"")</f>
        <v/>
      </c>
      <c r="AJ457" s="230" t="str">
        <f aca="false">IFERROR(IF(F$347*F$350*F$351*F$353&gt;0,STDEV(F$347, F$350, F$351, F$352)," ")/IF(F$347*F$350*F$351*F$353&gt;0,SQRT(COUNT(F$347, F$350, F$351, F$352))," "),"")</f>
        <v/>
      </c>
      <c r="AK457" s="230" t="str">
        <f aca="false">IFERROR(IF(G$347*G$350*G$351*G$353&gt;0,STDEV(G$347, G$350, G$351, G$352)," ")/IF(G$347*G$350*G$351*G$353&gt;0,SQRT(COUNT(G$347, G$350, G$351, G$352))," "),"")</f>
        <v/>
      </c>
      <c r="AL457" s="230" t="str">
        <f aca="false">IFERROR(IF(H$347*H$350*H$351*H$353&gt;0,STDEV(H$347, H$350, H$351, H$352)," ")/IF(H$347*H$350*H$351*H$353&gt;0,SQRT(COUNT(H$347, H$350, H$351, H$352))," "),"")</f>
        <v/>
      </c>
      <c r="AM457" s="230" t="str">
        <f aca="false">IFERROR(IF(I$347*I$350*I$351*I$353&gt;0,STDEV(I$347, I$350, I$351, I$352)," ")/IF(I$347*I$350*I$351*I$353&gt;0,SQRT(COUNT(I$347, I$350, I$351, I$352))," "),"")</f>
        <v/>
      </c>
      <c r="AN457" s="230" t="str">
        <f aca="false">IFERROR(IF(J$347*J$350*J$351*J$353&gt;0,STDEV(J$347, J$350, J$351, J$352)," ")/IF(J$347*J$350*J$351*J$353&gt;0,SQRT(COUNT(J$347, J$350, J$351, J$352))," "),"")</f>
        <v/>
      </c>
      <c r="AO457" s="230" t="str">
        <f aca="false">IFERROR(IF(K$347*K$350*K$351*K$353&gt;0,STDEV(K$347, K$350, K$351, K$352)," ")/IF(K$347*K$350*K$351*K$353&gt;0,SQRT(COUNT(K$347, K$350, K$351, K$352))," "),"")</f>
        <v/>
      </c>
      <c r="AP457" s="230" t="str">
        <f aca="false">IFERROR(IF(L$347*L$350*L$351*L$353&gt;0,STDEV(L$347, L$350, L$351, L$352)," ")/IF(L$347*L$350*L$351*L$353&gt;0,SQRT(COUNT(L$347, L$350, L$351, L$352))," "),"")</f>
        <v/>
      </c>
      <c r="AQ457" s="230" t="str">
        <f aca="false">IFERROR(IF(M$347*M$350*M$351*M$353&gt;0,STDEV(M$347, M$350, M$351, M$352)," ")/IF(M$347*M$350*M$351*M$353&gt;0,SQRT(COUNT(M$347, M$350, M$351, M$352))," "),"")</f>
        <v/>
      </c>
      <c r="AR457" s="230" t="str">
        <f aca="false">IFERROR(IF(N$347*N$350*N$351*N$353&gt;0,STDEV(N$347, N$350, N$351, N$352)," ")/IF(N$347*N$350*N$351*N$353&gt;0,SQRT(COUNT(N$347, N$350, N$351, N$352))," "),"")</f>
        <v/>
      </c>
    </row>
    <row r="458" customFormat="false" ht="15.75" hidden="false" customHeight="false" outlineLevel="0" collapsed="false">
      <c r="A458" s="242" t="s">
        <v>533</v>
      </c>
      <c r="B458" s="243"/>
      <c r="C458" s="262" t="str">
        <f aca="false">IFERROR(IF(C$347*C$350*C$351*C$353&gt;0,AVERAGE(C$347, C$350, C$351, C$353),""),"")</f>
        <v/>
      </c>
      <c r="D458" s="262" t="str">
        <f aca="false">IFERROR(IF(D$347*D$350*D$351*D$353&gt;0,AVERAGE(D$347, D$350, D$351, D$353),""),"")</f>
        <v/>
      </c>
      <c r="E458" s="262" t="str">
        <f aca="false">IFERROR(IF(E$347*E$350*E$351*E$353&gt;0,AVERAGE(E$347, E$350, E$351, E$353),""),"")</f>
        <v/>
      </c>
      <c r="F458" s="262" t="str">
        <f aca="false">IFERROR(IF(F$347*F$350*F$351*F$353&gt;0,AVERAGE(F$347, F$350, F$351, F$353),""),"")</f>
        <v/>
      </c>
      <c r="G458" s="262" t="str">
        <f aca="false">IFERROR(IF(G$347*G$350*G$351*G$353&gt;0,AVERAGE(G$347, G$350, G$351, G$353),""),"")</f>
        <v/>
      </c>
      <c r="H458" s="262" t="str">
        <f aca="false">IFERROR(IF(H$347*H$350*H$351*H$353&gt;0,AVERAGE(H$347, H$350, H$351, H$353),""),"")</f>
        <v/>
      </c>
      <c r="I458" s="262" t="str">
        <f aca="false">IFERROR(IF(I$347*I$350*I$351*I$353&gt;0,AVERAGE(I$347, I$350, I$351, I$353),""),"")</f>
        <v/>
      </c>
      <c r="J458" s="262" t="str">
        <f aca="false">IFERROR(IF(J$347*J$350*J$351*J$353&gt;0,AVERAGE(J$347, J$350, J$351, J$353),""),"")</f>
        <v/>
      </c>
      <c r="K458" s="262" t="str">
        <f aca="false">IFERROR(IF(K$347*K$350*K$351*K$353&gt;0,AVERAGE(K$347, K$350, K$351, K$353),""),"")</f>
        <v/>
      </c>
      <c r="L458" s="262" t="str">
        <f aca="false">IFERROR(IF(L$347*L$350*L$351*L$353&gt;0,AVERAGE(L$347, L$350, L$351, L$353),""),"")</f>
        <v/>
      </c>
      <c r="M458" s="262" t="str">
        <f aca="false">IFERROR(IF(M$347*M$350*M$351*M$353&gt;0,AVERAGE(M$347, M$350, M$351, M$353),""),"")</f>
        <v/>
      </c>
      <c r="N458" s="262" t="str">
        <f aca="false">IFERROR(IF(N$347*N$350*N$351*N$353&gt;0,AVERAGE(N$347, N$350, N$351, N$353),""),"")</f>
        <v/>
      </c>
      <c r="O458" s="263"/>
      <c r="P458" s="245"/>
      <c r="Q458" s="264"/>
      <c r="R458" s="247" t="s">
        <v>534</v>
      </c>
      <c r="S458" s="248" t="str">
        <f aca="false">IFERROR(IF(C$347*C$350*C$351*C$353&gt;0,STDEV(C$347, C$350, C$351, C$353),"")/IF(C$347*C$350*C$351*C$353&gt;0,AVERAGE(C$347, C$350, C$351, C$353),""),"")</f>
        <v/>
      </c>
      <c r="T458" s="248" t="str">
        <f aca="false">IFERROR(IF(D$347*D$350*D$351*D$353&gt;0,STDEV(D$347, D$350, D$351, D$353),"")/IF(D$347*D$350*D$351*D$353&gt;0,AVERAGE(D$347, D$350, D$351, D$353),""),"")</f>
        <v/>
      </c>
      <c r="U458" s="248" t="str">
        <f aca="false">IFERROR(IF(E$347*E$350*E$351*E$353&gt;0,STDEV(E$347, E$350, E$351, E$353),"")/IF(E$347*E$350*E$351*E$353&gt;0,AVERAGE(E$347, E$350, E$351, E$353),""),"")</f>
        <v/>
      </c>
      <c r="V458" s="248" t="str">
        <f aca="false">IFERROR(IF(F$347*F$350*F$351*F$353&gt;0,STDEV(F$347, F$350, F$351, F$353),"")/IF(F$347*F$350*F$351*F$353&gt;0,AVERAGE(F$347, F$350, F$351, F$353),""),"")</f>
        <v/>
      </c>
      <c r="W458" s="248" t="str">
        <f aca="false">IFERROR(IF(G$347*G$350*G$351*G$353&gt;0,STDEV(G$347, G$350, G$351, G$353),"")/IF(G$347*G$350*G$351*G$353&gt;0,AVERAGE(G$347, G$350, G$351, G$353),""),"")</f>
        <v/>
      </c>
      <c r="X458" s="248" t="str">
        <f aca="false">IFERROR(IF(H$347*H$350*H$351*H$353&gt;0,STDEV(H$347, H$350, H$351, H$353),"")/IF(H$347*H$350*H$351*H$353&gt;0,AVERAGE(H$347, H$350, H$351, H$353),""),"")</f>
        <v/>
      </c>
      <c r="Y458" s="248" t="str">
        <f aca="false">IFERROR(IF(I$347*I$350*I$351*I$353&gt;0,STDEV(I$347, I$350, I$351, I$353),"")/IF(I$347*I$350*I$351*I$353&gt;0,AVERAGE(I$347, I$350, I$351, I$353),""),"")</f>
        <v/>
      </c>
      <c r="Z458" s="248" t="str">
        <f aca="false">IFERROR(IF(J$347*J$350*J$351*J$353&gt;0,STDEV(J$347, J$350, J$351, J$353),"")/IF(J$347*J$350*J$351*J$353&gt;0,AVERAGE(J$347, J$350, J$351, J$353),""),"")</f>
        <v/>
      </c>
      <c r="AA458" s="248" t="str">
        <f aca="false">IFERROR(IF(K$347*K$350*K$351*K$353&gt;0,STDEV(K$347, K$350, K$351, K$353),"")/IF(K$347*K$350*K$351*K$353&gt;0,AVERAGE(K$347, K$350, K$351, K$353),""),"")</f>
        <v/>
      </c>
      <c r="AB458" s="248" t="str">
        <f aca="false">IFERROR(IF(L$347*L$350*L$351*L$353&gt;0,STDEV(L$347, L$350, L$351, L$353),"")/IF(L$347*L$350*L$351*L$353&gt;0,AVERAGE(L$347, L$350, L$351, L$353),""),"")</f>
        <v/>
      </c>
      <c r="AC458" s="248" t="str">
        <f aca="false">IFERROR(IF(M$347*M$350*M$351*M$353&gt;0,STDEV(M$347, M$350, M$351, M$353),"")/IF(M$347*M$350*M$351*M$353&gt;0,AVERAGE(M$347, M$350, M$351, M$353),""),"")</f>
        <v/>
      </c>
      <c r="AD458" s="248" t="str">
        <f aca="false">IFERROR(IF(N$347*N$350*N$351*N$353&gt;0,STDEV(N$347, N$350, N$351, N$353),"")/IF(N$347*N$350*N$351*N$353&gt;0,AVERAGE(N$347, N$350, N$351, N$353),""),"")</f>
        <v/>
      </c>
      <c r="AE458" s="249"/>
      <c r="AF458" s="250" t="s">
        <v>535</v>
      </c>
      <c r="AG458" s="251" t="str">
        <f aca="false">IFERROR(IF(C$347*C$350*C$351*C$353&gt;0,STDEV(C$347, C$350, C$351, C$353)," ")/IF(C$347*C$350*C$351*C$353&gt;0,SQRT(COUNT(C$347, C$350, C$351, C$353))," "),"")</f>
        <v/>
      </c>
      <c r="AH458" s="251" t="str">
        <f aca="false">IFERROR(IF(D$347*D$350*D$351*D$353&gt;0,STDEV(D$347, D$350, D$351, D$353)," ")/IF(D$347*D$350*D$351*D$353&gt;0,SQRT(COUNT(D$347, D$350, D$351, D$353))," "),"")</f>
        <v/>
      </c>
      <c r="AI458" s="251" t="str">
        <f aca="false">IFERROR(IF(E$347*E$350*E$351*E$353&gt;0,STDEV(E$347, E$350, E$351, E$353)," ")/IF(E$347*E$350*E$351*E$353&gt;0,SQRT(COUNT(E$347, E$350, E$351, E$353))," "),"")</f>
        <v/>
      </c>
      <c r="AJ458" s="251" t="str">
        <f aca="false">IFERROR(IF(F$347*F$350*F$351*F$353&gt;0,STDEV(F$347, F$350, F$351, F$353)," ")/IF(F$347*F$350*F$351*F$353&gt;0,SQRT(COUNT(F$347, F$350, F$351, F$353))," "),"")</f>
        <v/>
      </c>
      <c r="AK458" s="251" t="str">
        <f aca="false">IFERROR(IF(G$347*G$350*G$351*G$353&gt;0,STDEV(G$347, G$350, G$351, G$353)," ")/IF(G$347*G$350*G$351*G$353&gt;0,SQRT(COUNT(G$347, G$350, G$351, G$353))," "),"")</f>
        <v/>
      </c>
      <c r="AL458" s="251" t="str">
        <f aca="false">IFERROR(IF(H$347*H$350*H$351*H$353&gt;0,STDEV(H$347, H$350, H$351, H$353)," ")/IF(H$347*H$350*H$351*H$353&gt;0,SQRT(COUNT(H$347, H$350, H$351, H$353))," "),"")</f>
        <v/>
      </c>
      <c r="AM458" s="251" t="str">
        <f aca="false">IFERROR(IF(I$347*I$350*I$351*I$353&gt;0,STDEV(I$347, I$350, I$351, I$353)," ")/IF(I$347*I$350*I$351*I$353&gt;0,SQRT(COUNT(I$347, I$350, I$351, I$353))," "),"")</f>
        <v/>
      </c>
      <c r="AN458" s="251" t="str">
        <f aca="false">IFERROR(IF(J$347*J$350*J$351*J$353&gt;0,STDEV(J$347, J$350, J$351, J$353)," ")/IF(J$347*J$350*J$351*J$353&gt;0,SQRT(COUNT(J$347, J$350, J$351, J$353))," "),"")</f>
        <v/>
      </c>
      <c r="AO458" s="251" t="str">
        <f aca="false">IFERROR(IF(K$347*K$350*K$351*K$353&gt;0,STDEV(K$347, K$350, K$351, K$353)," ")/IF(K$347*K$350*K$351*K$353&gt;0,SQRT(COUNT(K$347, K$350, K$351, K$353))," "),"")</f>
        <v/>
      </c>
      <c r="AP458" s="251" t="str">
        <f aca="false">IFERROR(IF(L$347*L$350*L$351*L$353&gt;0,STDEV(L$347, L$350, L$351, L$353)," ")/IF(L$347*L$350*L$351*L$353&gt;0,SQRT(COUNT(L$347, L$350, L$351, L$353))," "),"")</f>
        <v/>
      </c>
      <c r="AQ458" s="251" t="str">
        <f aca="false">IFERROR(IF(M$347*M$350*M$351*M$353&gt;0,STDEV(M$347, M$350, M$351, M$353)," ")/IF(M$347*M$350*M$351*M$353&gt;0,SQRT(COUNT(M$347, M$350, M$351, M$353))," "),"")</f>
        <v/>
      </c>
      <c r="AR458" s="251" t="str">
        <f aca="false">IFERROR(IF(N$347*N$350*N$351*N$353&gt;0,STDEV(N$347, N$350, N$351, N$353)," ")/IF(N$347*N$350*N$351*N$353&gt;0,SQRT(COUNT(N$347, N$350, N$351, N$353))," "),"")</f>
        <v/>
      </c>
    </row>
    <row r="459" customFormat="false" ht="15.75" hidden="false" customHeight="false" outlineLevel="0" collapsed="false">
      <c r="A459" s="220" t="s">
        <v>536</v>
      </c>
      <c r="B459" s="221"/>
      <c r="C459" s="261" t="str">
        <f aca="false">IFERROR(IF(C$347*C$348*C$351*C$353&gt;0,AVERAGE(C$347, C$348, C$351, C$353),""),"")</f>
        <v/>
      </c>
      <c r="D459" s="261" t="str">
        <f aca="false">IFERROR(IF(D$347*D$348*D$351*D$353&gt;0,AVERAGE(D$347, D$348, D$351, D$353),""),"")</f>
        <v/>
      </c>
      <c r="E459" s="261" t="str">
        <f aca="false">IFERROR(IF(E$347*E$348*E$351*E$353&gt;0,AVERAGE(E$347, E$348, E$351, E$353),""),"")</f>
        <v/>
      </c>
      <c r="F459" s="261" t="str">
        <f aca="false">IFERROR(IF(F$347*F$348*F$351*F$353&gt;0,AVERAGE(F$347, F$348, F$351, F$353),""),"")</f>
        <v/>
      </c>
      <c r="G459" s="261" t="str">
        <f aca="false">IFERROR(IF(G$347*G$348*G$351*G$353&gt;0,AVERAGE(G$347, G$348, G$351, G$353),""),"")</f>
        <v/>
      </c>
      <c r="H459" s="261" t="str">
        <f aca="false">IFERROR(IF(H$347*H$348*H$351*H$353&gt;0,AVERAGE(H$347, H$348, H$351, H$353),""),"")</f>
        <v/>
      </c>
      <c r="I459" s="261" t="str">
        <f aca="false">IFERROR(IF(I$347*I$348*I$351*I$353&gt;0,AVERAGE(I$347, I$348, I$351, I$353),""),"")</f>
        <v/>
      </c>
      <c r="J459" s="261" t="str">
        <f aca="false">IFERROR(IF(J$347*J$348*J$351*J$353&gt;0,AVERAGE(J$347, J$348, J$351, J$353),""),"")</f>
        <v/>
      </c>
      <c r="K459" s="261" t="str">
        <f aca="false">IFERROR(IF(K$347*K$348*K$351*K$353&gt;0,AVERAGE(K$347, K$348, K$351, K$353),""),"")</f>
        <v/>
      </c>
      <c r="L459" s="261" t="str">
        <f aca="false">IFERROR(IF(L$347*L$348*L$351*L$353&gt;0,AVERAGE(L$347, L$348, L$351, L$353),""),"")</f>
        <v/>
      </c>
      <c r="M459" s="261" t="str">
        <f aca="false">IFERROR(IF(M$347*M$348*M$351*M$353&gt;0,AVERAGE(M$347, M$348, M$351, M$353),""),"")</f>
        <v/>
      </c>
      <c r="N459" s="261" t="str">
        <f aca="false">IFERROR(IF(N$347*N$348*N$351*N$353&gt;0,AVERAGE(N$347, N$348, N$351, N$353),""),"")</f>
        <v/>
      </c>
      <c r="O459" s="240"/>
      <c r="P459" s="224"/>
      <c r="Q459" s="252"/>
      <c r="R459" s="226" t="s">
        <v>537</v>
      </c>
      <c r="S459" s="227" t="str">
        <f aca="false">IFERROR(IF(C$347*C$348*C$351*C$353&gt;0,STDEV(C$347, C$348, C$351, C$353),"")/IF(C$347*C$348*C$351*C$353&gt;0,AVERAGE(C$347, C$348, C$351, C$353),""),"")</f>
        <v/>
      </c>
      <c r="T459" s="227" t="str">
        <f aca="false">IFERROR(IF(D$347*D$348*D$351*D$353&gt;0,STDEV(D$347, D$348, D$351, D$353),"")/IF(D$347*D$348*D$351*D$353&gt;0,AVERAGE(D$347, D$348, D$351, D$353),""),"")</f>
        <v/>
      </c>
      <c r="U459" s="227" t="str">
        <f aca="false">IFERROR(IF(E$347*E$348*E$351*E$353&gt;0,STDEV(E$347, E$348, E$351, E$353),"")/IF(E$347*E$348*E$351*E$353&gt;0,AVERAGE(E$347, E$348, E$351, E$353),""),"")</f>
        <v/>
      </c>
      <c r="V459" s="227" t="str">
        <f aca="false">IFERROR(IF(F$347*F$348*F$351*F$353&gt;0,STDEV(F$347, F$348, F$351, F$353),"")/IF(F$347*F$348*F$351*F$353&gt;0,AVERAGE(F$347, F$348, F$351, F$353),""),"")</f>
        <v/>
      </c>
      <c r="W459" s="227" t="str">
        <f aca="false">IFERROR(IF(G$347*G$348*G$351*G$353&gt;0,STDEV(G$347, G$348, G$351, G$353),"")/IF(G$347*G$348*G$351*G$353&gt;0,AVERAGE(G$347, G$348, G$351, G$353),""),"")</f>
        <v/>
      </c>
      <c r="X459" s="227" t="str">
        <f aca="false">IFERROR(IF(H$347*H$348*H$351*H$353&gt;0,STDEV(H$347, H$348, H$351, H$353),"")/IF(H$347*H$348*H$351*H$353&gt;0,AVERAGE(H$347, H$348, H$351, H$353),""),"")</f>
        <v/>
      </c>
      <c r="Y459" s="227" t="str">
        <f aca="false">IFERROR(IF(I$347*I$348*I$351*I$353&gt;0,STDEV(I$347, I$348, I$351, I$353),"")/IF(I$347*I$348*I$351*I$353&gt;0,AVERAGE(I$347, I$348, I$351, I$353),""),"")</f>
        <v/>
      </c>
      <c r="Z459" s="227" t="str">
        <f aca="false">IFERROR(IF(J$347*J$348*J$351*J$353&gt;0,STDEV(J$347, J$348, J$351, J$353),"")/IF(J$347*J$348*J$351*J$353&gt;0,AVERAGE(J$347, J$348, J$351, J$353),""),"")</f>
        <v/>
      </c>
      <c r="AA459" s="227" t="str">
        <f aca="false">IFERROR(IF(K$347*K$348*K$351*K$353&gt;0,STDEV(K$347, K$348, K$351, K$353),"")/IF(K$347*K$348*K$351*K$353&gt;0,AVERAGE(K$347, K$348, K$351, K$353),""),"")</f>
        <v/>
      </c>
      <c r="AB459" s="227" t="str">
        <f aca="false">IFERROR(IF(L$347*L$348*L$351*L$353&gt;0,STDEV(L$347, L$348, L$351, L$353),"")/IF(L$347*L$348*L$351*L$353&gt;0,AVERAGE(L$347, L$348, L$351, L$353),""),"")</f>
        <v/>
      </c>
      <c r="AC459" s="227" t="str">
        <f aca="false">IFERROR(IF(M$347*M$348*M$351*M$353&gt;0,STDEV(M$347, M$348, M$351, M$353),"")/IF(M$347*M$348*M$351*M$353&gt;0,AVERAGE(M$347, M$348, M$351, M$353),""),"")</f>
        <v/>
      </c>
      <c r="AD459" s="227" t="str">
        <f aca="false">IFERROR(IF(N$347*N$348*N$351*N$353&gt;0,STDEV(N$347, N$348, N$351, N$353),"")/IF(N$347*N$348*N$351*N$353&gt;0,AVERAGE(N$347, N$348, N$351, N$353),""),"")</f>
        <v/>
      </c>
      <c r="AE459" s="233"/>
      <c r="AF459" s="229" t="s">
        <v>538</v>
      </c>
      <c r="AG459" s="230" t="str">
        <f aca="false">IFERROR(IF(C$347*C$348*C$351*C$353&gt;0,STDEV(C$347, C$348, C$351, C$353)," ")/IF(C$347*C$348*C$351*C$353&gt;0,SQRT(COUNT(C$347, C$348, C$351, C$353))," "),"")</f>
        <v/>
      </c>
      <c r="AH459" s="230" t="str">
        <f aca="false">IFERROR(IF(D$347*D$348*D$351*D$353&gt;0,STDEV(D$347, D$348, D$351, D$353)," ")/IF(D$347*D$348*D$351*D$353&gt;0,SQRT(COUNT(D$347, D$348, D$351, D$353))," "),"")</f>
        <v/>
      </c>
      <c r="AI459" s="230" t="str">
        <f aca="false">IFERROR(IF(E$347*E$348*E$351*E$353&gt;0,STDEV(E$347, E$348, E$351, E$353)," ")/IF(E$347*E$348*E$351*E$353&gt;0,SQRT(COUNT(E$347, E$348, E$351, E$353))," "),"")</f>
        <v/>
      </c>
      <c r="AJ459" s="230" t="str">
        <f aca="false">IFERROR(IF(F$347*F$348*F$351*F$353&gt;0,STDEV(F$347, F$348, F$351, F$353)," ")/IF(F$347*F$348*F$351*F$353&gt;0,SQRT(COUNT(F$347, F$348, F$351, F$353))," "),"")</f>
        <v/>
      </c>
      <c r="AK459" s="230" t="str">
        <f aca="false">IFERROR(IF(G$347*G$348*G$351*G$353&gt;0,STDEV(G$347, G$348, G$351, G$353)," ")/IF(G$347*G$348*G$351*G$353&gt;0,SQRT(COUNT(G$347, G$348, G$351, G$353))," "),"")</f>
        <v/>
      </c>
      <c r="AL459" s="230" t="str">
        <f aca="false">IFERROR(IF(H$347*H$348*H$351*H$353&gt;0,STDEV(H$347, H$348, H$351, H$353)," ")/IF(H$347*H$348*H$351*H$353&gt;0,SQRT(COUNT(H$347, H$348, H$351, H$353))," "),"")</f>
        <v/>
      </c>
      <c r="AM459" s="230" t="str">
        <f aca="false">IFERROR(IF(I$347*I$348*I$351*I$353&gt;0,STDEV(I$347, I$348, I$351, I$353)," ")/IF(I$347*I$348*I$351*I$353&gt;0,SQRT(COUNT(I$347, I$348, I$351, I$353))," "),"")</f>
        <v/>
      </c>
      <c r="AN459" s="230" t="str">
        <f aca="false">IFERROR(IF(J$347*J$348*J$351*J$353&gt;0,STDEV(J$347, J$348, J$351, J$353)," ")/IF(J$347*J$348*J$351*J$353&gt;0,SQRT(COUNT(J$347, J$348, J$351, J$353))," "),"")</f>
        <v/>
      </c>
      <c r="AO459" s="230" t="str">
        <f aca="false">IFERROR(IF(K$347*K$348*K$351*K$353&gt;0,STDEV(K$347, K$348, K$351, K$353)," ")/IF(K$347*K$348*K$351*K$353&gt;0,SQRT(COUNT(K$347, K$348, K$351, K$353))," "),"")</f>
        <v/>
      </c>
      <c r="AP459" s="230" t="str">
        <f aca="false">IFERROR(IF(L$347*L$348*L$351*L$353&gt;0,STDEV(L$347, L$348, L$351, L$353)," ")/IF(L$347*L$348*L$351*L$353&gt;0,SQRT(COUNT(L$347, L$348, L$351, L$353))," "),"")</f>
        <v/>
      </c>
      <c r="AQ459" s="230" t="str">
        <f aca="false">IFERROR(IF(M$347*M$348*M$351*M$353&gt;0,STDEV(M$347, M$348, M$351, M$353)," ")/IF(M$347*M$348*M$351*M$353&gt;0,SQRT(COUNT(M$347, M$348, M$351, M$353))," "),"")</f>
        <v/>
      </c>
      <c r="AR459" s="230" t="str">
        <f aca="false">IFERROR(IF(N$347*N$348*N$351*N$353&gt;0,STDEV(N$347, N$348, N$351, N$353)," ")/IF(N$347*N$348*N$351*N$353&gt;0,SQRT(COUNT(N$347, N$348, N$351, N$353))," "),"")</f>
        <v/>
      </c>
    </row>
    <row r="460" customFormat="false" ht="15.75" hidden="false" customHeight="false" outlineLevel="0" collapsed="false">
      <c r="A460" s="220" t="s">
        <v>539</v>
      </c>
      <c r="B460" s="221"/>
      <c r="C460" s="261" t="str">
        <f aca="false">IFERROR(IF(C$347*C$348*C$349*C$350*C351&gt;0,AVERAGE(C$347:C$350,C351),""),"")</f>
        <v/>
      </c>
      <c r="D460" s="261" t="str">
        <f aca="false">IFERROR(IF(D$347*D$348*D$349*D$350*D351&gt;0,AVERAGE(D$347:D$350,D351),""),"")</f>
        <v/>
      </c>
      <c r="E460" s="261" t="str">
        <f aca="false">IFERROR(IF(E$347*E$348*E$349*E$350*E351&gt;0,AVERAGE(E$347:E$350,E351),""),"")</f>
        <v/>
      </c>
      <c r="F460" s="261" t="str">
        <f aca="false">IFERROR(IF(F$347*F$348*F$349*F$350*F351&gt;0,AVERAGE(F$347:F$350,F351),""),"")</f>
        <v/>
      </c>
      <c r="G460" s="261" t="str">
        <f aca="false">IFERROR(IF(G$347*G$348*G$349*G$350*G351&gt;0,AVERAGE(G$347:G$350,G351),""),"")</f>
        <v/>
      </c>
      <c r="H460" s="261" t="str">
        <f aca="false">IFERROR(IF(H$347*H$348*H$349*H$350*H351&gt;0,AVERAGE(H$347:H$350,H351),""),"")</f>
        <v/>
      </c>
      <c r="I460" s="261" t="str">
        <f aca="false">IFERROR(IF(I$347*I$348*I$349*I$350*I351&gt;0,AVERAGE(I$347:I$350,I351),""),"")</f>
        <v/>
      </c>
      <c r="J460" s="261" t="str">
        <f aca="false">IFERROR(IF(J$347*J$348*J$349*J$350*J351&gt;0,AVERAGE(J$347:J$350,J351),""),"")</f>
        <v/>
      </c>
      <c r="K460" s="261" t="str">
        <f aca="false">IFERROR(IF(K$347*K$348*K$349*K$350*K351&gt;0,AVERAGE(K$347:K$350,K351),""),"")</f>
        <v/>
      </c>
      <c r="L460" s="261" t="str">
        <f aca="false">IFERROR(IF(L$347*L$348*L$349*L$350*L351&gt;0,AVERAGE(L$347:L$350,L351),""),"")</f>
        <v/>
      </c>
      <c r="M460" s="261" t="str">
        <f aca="false">IFERROR(IF(M$347*M$348*M$349*M$350*M351&gt;0,AVERAGE(M$347:M$350,M351),""),"")</f>
        <v/>
      </c>
      <c r="N460" s="261" t="str">
        <f aca="false">IFERROR(IF(N$347*N$348*N$349*N$350*N351&gt;0,AVERAGE(N$347:N$350,N351),""),"")</f>
        <v/>
      </c>
      <c r="O460" s="224" t="n">
        <v>5</v>
      </c>
      <c r="P460" s="224" t="n">
        <f aca="false">COMBIN(7,5)</f>
        <v>21</v>
      </c>
      <c r="Q460" s="232" t="n">
        <f aca="false">ROW(N480)-ROW(N460)+1</f>
        <v>21</v>
      </c>
      <c r="R460" s="226" t="s">
        <v>540</v>
      </c>
      <c r="S460" s="227" t="str">
        <f aca="false">IFERROR(IF(C$347*C$348*C$349*C$350*C351&gt;0,STDEV(C$347:C$350,C351),"")/IF(C$347*C$348*C$349*C$350*C351&gt;0,AVERAGE(C$347:C$350,C351),""),"")</f>
        <v/>
      </c>
      <c r="T460" s="227" t="str">
        <f aca="false">IFERROR(IF(D$347*D$348*D$349*D$350*D351&gt;0,STDEV(D$347:D$350,D351),"")/IF(D$347*D$348*D$349*D$350*D351&gt;0,AVERAGE(D$347:D$350,D351),""),"")</f>
        <v/>
      </c>
      <c r="U460" s="227" t="str">
        <f aca="false">IFERROR(IF(E$347*E$348*E$349*E$350*E351&gt;0,STDEV(E$347:E$350,E351),"")/IF(E$347*E$348*E$349*E$350*E351&gt;0,AVERAGE(E$347:E$350,E351),""),"")</f>
        <v/>
      </c>
      <c r="V460" s="227" t="str">
        <f aca="false">IFERROR(IF(F$347*F$348*F$349*F$350*F351&gt;0,STDEV(F$347:F$350,F351),"")/IF(F$347*F$348*F$349*F$350*F351&gt;0,AVERAGE(F$347:F$350,F351),""),"")</f>
        <v/>
      </c>
      <c r="W460" s="227" t="str">
        <f aca="false">IFERROR(IF(G$347*G$348*G$349*G$350*G351&gt;0,STDEV(G$347:G$350,G351),"")/IF(G$347*G$348*G$349*G$350*G351&gt;0,AVERAGE(G$347:G$350,G351),""),"")</f>
        <v/>
      </c>
      <c r="X460" s="227" t="str">
        <f aca="false">IFERROR(IF(H$347*H$348*H$349*H$350*H351&gt;0,STDEV(H$347:H$350,H351),"")/IF(H$347*H$348*H$349*H$350*H351&gt;0,AVERAGE(H$347:H$350,H351),""),"")</f>
        <v/>
      </c>
      <c r="Y460" s="227" t="str">
        <f aca="false">IFERROR(IF(I$347*I$348*I$349*I$350*I351&gt;0,STDEV(I$347:I$350,I351),"")/IF(I$347*I$348*I$349*I$350*I351&gt;0,AVERAGE(I$347:I$350,I351),""),"")</f>
        <v/>
      </c>
      <c r="Z460" s="227" t="str">
        <f aca="false">IFERROR(IF(J$347*J$348*J$349*J$350*J351&gt;0,STDEV(J$347:J$350,J351),"")/IF(J$347*J$348*J$349*J$350*J351&gt;0,AVERAGE(J$347:J$350,J351),""),"")</f>
        <v/>
      </c>
      <c r="AA460" s="227" t="str">
        <f aca="false">IFERROR(IF(K$347*K$348*K$349*K$350*K351&gt;0,STDEV(K$347:K$350,K351),"")/IF(K$347*K$348*K$349*K$350*K351&gt;0,AVERAGE(K$347:K$350,K351),""),"")</f>
        <v/>
      </c>
      <c r="AB460" s="227" t="str">
        <f aca="false">IFERROR(IF(L$347*L$348*L$349*L$350*L351&gt;0,STDEV(L$347:L$350,L351),"")/IF(L$347*L$348*L$349*L$350*L351&gt;0,AVERAGE(L$347:L$350,L351),""),"")</f>
        <v/>
      </c>
      <c r="AC460" s="227" t="str">
        <f aca="false">IFERROR(IF(M$347*M$348*M$349*M$350*M351&gt;0,STDEV(M$347:M$350,M351),"")/IF(M$347*M$348*M$349*M$350*M351&gt;0,AVERAGE(M$347:M$350,M351),""),"")</f>
        <v/>
      </c>
      <c r="AD460" s="227" t="str">
        <f aca="false">IFERROR(IF(N$347*N$348*N$349*N$350*N351&gt;0,STDEV(N$347:N$350,N351),"")/IF(N$347*N$348*N$349*N$350*N351&gt;0,AVERAGE(N$347:N$350,N351),""),"")</f>
        <v/>
      </c>
      <c r="AE460" s="233"/>
      <c r="AF460" s="229" t="s">
        <v>541</v>
      </c>
      <c r="AG460" s="230" t="str">
        <f aca="false">IFERROR(IF(C$347*C$348*C$349*C$350*C351&gt;0,STDEV(C$347:C$350,C351)," ")/IF(C$347*C$348*C$349*C$350*C351&gt;0,SQRT(COUNT(C$347:C$350,C351))," "),"")</f>
        <v/>
      </c>
      <c r="AH460" s="230" t="str">
        <f aca="false">IFERROR(IF(D$347*D$348*D$349*D$350*D351&gt;0,STDEV(D$347:D$350,D351)," ")/IF(D$347*D$348*D$349*D$350*D351&gt;0,SQRT(COUNT(D$347:D$350,D351))," "),"")</f>
        <v/>
      </c>
      <c r="AI460" s="230" t="str">
        <f aca="false">IFERROR(IF(E$347*E$348*E$349*E$350*E351&gt;0,STDEV(E$347:E$350,E351)," ")/IF(E$347*E$348*E$349*E$350*E351&gt;0,SQRT(COUNT(E$347:E$350,E351))," "),"")</f>
        <v/>
      </c>
      <c r="AJ460" s="230" t="str">
        <f aca="false">IFERROR(IF(F$347*F$348*F$349*F$350*F351&gt;0,STDEV(F$347:F$350,F351)," ")/IF(F$347*F$348*F$349*F$350*F351&gt;0,SQRT(COUNT(F$347:F$350,F351))," "),"")</f>
        <v/>
      </c>
      <c r="AK460" s="230" t="str">
        <f aca="false">IFERROR(IF(G$347*G$348*G$349*G$350*G351&gt;0,STDEV(G$347:G$350,G351)," ")/IF(G$347*G$348*G$349*G$350*G351&gt;0,SQRT(COUNT(G$347:G$350,G351))," "),"")</f>
        <v/>
      </c>
      <c r="AL460" s="230" t="str">
        <f aca="false">IFERROR(IF(H$347*H$348*H$349*H$350*H351&gt;0,STDEV(H$347:H$350,H351)," ")/IF(H$347*H$348*H$349*H$350*H351&gt;0,SQRT(COUNT(H$347:H$350,H351))," "),"")</f>
        <v/>
      </c>
      <c r="AM460" s="230" t="str">
        <f aca="false">IFERROR(IF(I$347*I$348*I$349*I$350*I351&gt;0,STDEV(I$347:I$350,I351)," ")/IF(I$347*I$348*I$349*I$350*I351&gt;0,SQRT(COUNT(I$347:I$350,I351))," "),"")</f>
        <v/>
      </c>
      <c r="AN460" s="230" t="str">
        <f aca="false">IFERROR(IF(J$347*J$348*J$349*J$350*J351&gt;0,STDEV(J$347:J$350,J351)," ")/IF(J$347*J$348*J$349*J$350*J351&gt;0,SQRT(COUNT(J$347:J$350,J351))," "),"")</f>
        <v/>
      </c>
      <c r="AO460" s="230" t="str">
        <f aca="false">IFERROR(IF(K$347*K$348*K$349*K$350*K351&gt;0,STDEV(K$347:K$350,K351)," ")/IF(K$347*K$348*K$349*K$350*K351&gt;0,SQRT(COUNT(K$347:K$350,K351))," "),"")</f>
        <v/>
      </c>
      <c r="AP460" s="230" t="str">
        <f aca="false">IFERROR(IF(L$347*L$348*L$349*L$350*L351&gt;0,STDEV(L$347:L$350,L351)," ")/IF(L$347*L$348*L$349*L$350*L351&gt;0,SQRT(COUNT(L$347:L$350,L351))," "),"")</f>
        <v/>
      </c>
      <c r="AQ460" s="230" t="str">
        <f aca="false">IFERROR(IF(M$347*M$348*M$349*M$350*M351&gt;0,STDEV(M$347:M$350,M351)," ")/IF(M$347*M$348*M$349*M$350*M351&gt;0,SQRT(COUNT(M$347:M$350,M351))," "),"")</f>
        <v/>
      </c>
      <c r="AR460" s="230" t="str">
        <f aca="false">IFERROR(IF(N$347*N$348*N$349*N$350*N351&gt;0,STDEV(N$347:N$350,N351)," ")/IF(N$347*N$348*N$349*N$350*N351&gt;0,SQRT(COUNT(N$347:N$350,N351))," "),"")</f>
        <v/>
      </c>
    </row>
    <row r="461" customFormat="false" ht="15.75" hidden="false" customHeight="false" outlineLevel="0" collapsed="false">
      <c r="A461" s="220" t="s">
        <v>542</v>
      </c>
      <c r="B461" s="221"/>
      <c r="C461" s="261" t="str">
        <f aca="false">IFERROR(IF(C$347*C$348*C$349*C$350*C352&gt;0,AVERAGE(C$347:C$350,C352),""),"")</f>
        <v/>
      </c>
      <c r="D461" s="261" t="str">
        <f aca="false">IFERROR(IF(D$347*D$348*D$349*D$350*D352&gt;0,AVERAGE(D$347:D$350,D352),""),"")</f>
        <v/>
      </c>
      <c r="E461" s="261" t="str">
        <f aca="false">IFERROR(IF(E$347*E$348*E$349*E$350*E352&gt;0,AVERAGE(E$347:E$350,E352),""),"")</f>
        <v/>
      </c>
      <c r="F461" s="261" t="str">
        <f aca="false">IFERROR(IF(F$347*F$348*F$349*F$350*F352&gt;0,AVERAGE(F$347:F$350,F352),""),"")</f>
        <v/>
      </c>
      <c r="G461" s="261" t="str">
        <f aca="false">IFERROR(IF(G$347*G$348*G$349*G$350*G352&gt;0,AVERAGE(G$347:G$350,G352),""),"")</f>
        <v/>
      </c>
      <c r="H461" s="261" t="str">
        <f aca="false">IFERROR(IF(H$347*H$348*H$349*H$350*H352&gt;0,AVERAGE(H$347:H$350,H352),""),"")</f>
        <v/>
      </c>
      <c r="I461" s="261" t="str">
        <f aca="false">IFERROR(IF(I$347*I$348*I$349*I$350*I352&gt;0,AVERAGE(I$347:I$350,I352),""),"")</f>
        <v/>
      </c>
      <c r="J461" s="261" t="str">
        <f aca="false">IFERROR(IF(J$347*J$348*J$349*J$350*J352&gt;0,AVERAGE(J$347:J$350,J352),""),"")</f>
        <v/>
      </c>
      <c r="K461" s="261" t="str">
        <f aca="false">IFERROR(IF(K$347*K$348*K$349*K$350*K352&gt;0,AVERAGE(K$347:K$350,K352),""),"")</f>
        <v/>
      </c>
      <c r="L461" s="261" t="str">
        <f aca="false">IFERROR(IF(L$347*L$348*L$349*L$350*L352&gt;0,AVERAGE(L$347:L$350,L352),""),"")</f>
        <v/>
      </c>
      <c r="M461" s="261" t="str">
        <f aca="false">IFERROR(IF(M$347*M$348*M$349*M$350*M352&gt;0,AVERAGE(M$347:M$350,M352),""),"")</f>
        <v/>
      </c>
      <c r="N461" s="261" t="str">
        <f aca="false">IFERROR(IF(N$347*N$348*N$349*N$350*N352&gt;0,AVERAGE(N$347:N$350,N352),""),"")</f>
        <v/>
      </c>
      <c r="O461" s="224"/>
      <c r="P461" s="224"/>
      <c r="Q461" s="232"/>
      <c r="R461" s="226" t="s">
        <v>543</v>
      </c>
      <c r="S461" s="227" t="str">
        <f aca="false">IFERROR(IF(C$347*C$348*C$349*C$350*C352&gt;0,STDEV(C$347:C$350,C352),"")/IF(C$347*C$348*C$349*C$350*C352&gt;0,AVERAGE(C$347:C$350,C352),""),"")</f>
        <v/>
      </c>
      <c r="T461" s="227" t="str">
        <f aca="false">IFERROR(IF(D$347*D$348*D$349*D$350*D352&gt;0,STDEV(D$347:D$350,D352),"")/IF(D$347*D$348*D$349*D$350*D352&gt;0,AVERAGE(D$347:D$350,D352),""),"")</f>
        <v/>
      </c>
      <c r="U461" s="227" t="str">
        <f aca="false">IFERROR(IF(E$347*E$348*E$349*E$350*E352&gt;0,STDEV(E$347:E$350,E352),"")/IF(E$347*E$348*E$349*E$350*E352&gt;0,AVERAGE(E$347:E$350,E352),""),"")</f>
        <v/>
      </c>
      <c r="V461" s="227" t="str">
        <f aca="false">IFERROR(IF(F$347*F$348*F$349*F$350*F352&gt;0,STDEV(F$347:F$350,F352),"")/IF(F$347*F$348*F$349*F$350*F352&gt;0,AVERAGE(F$347:F$350,F352),""),"")</f>
        <v/>
      </c>
      <c r="W461" s="227" t="str">
        <f aca="false">IFERROR(IF(G$347*G$348*G$349*G$350*G352&gt;0,STDEV(G$347:G$350,G352),"")/IF(G$347*G$348*G$349*G$350*G352&gt;0,AVERAGE(G$347:G$350,G352),""),"")</f>
        <v/>
      </c>
      <c r="X461" s="227" t="str">
        <f aca="false">IFERROR(IF(H$347*H$348*H$349*H$350*H352&gt;0,STDEV(H$347:H$350,H352),"")/IF(H$347*H$348*H$349*H$350*H352&gt;0,AVERAGE(H$347:H$350,H352),""),"")</f>
        <v/>
      </c>
      <c r="Y461" s="227" t="str">
        <f aca="false">IFERROR(IF(I$347*I$348*I$349*I$350*I352&gt;0,STDEV(I$347:I$350,I352),"")/IF(I$347*I$348*I$349*I$350*I352&gt;0,AVERAGE(I$347:I$350,I352),""),"")</f>
        <v/>
      </c>
      <c r="Z461" s="227" t="str">
        <f aca="false">IFERROR(IF(J$347*J$348*J$349*J$350*J352&gt;0,STDEV(J$347:J$350,J352),"")/IF(J$347*J$348*J$349*J$350*J352&gt;0,AVERAGE(J$347:J$350,J352),""),"")</f>
        <v/>
      </c>
      <c r="AA461" s="227" t="str">
        <f aca="false">IFERROR(IF(K$347*K$348*K$349*K$350*K352&gt;0,STDEV(K$347:K$350,K352),"")/IF(K$347*K$348*K$349*K$350*K352&gt;0,AVERAGE(K$347:K$350,K352),""),"")</f>
        <v/>
      </c>
      <c r="AB461" s="227" t="str">
        <f aca="false">IFERROR(IF(L$347*L$348*L$349*L$350*L352&gt;0,STDEV(L$347:L$350,L352),"")/IF(L$347*L$348*L$349*L$350*L352&gt;0,AVERAGE(L$347:L$350,L352),""),"")</f>
        <v/>
      </c>
      <c r="AC461" s="227" t="str">
        <f aca="false">IFERROR(IF(M$347*M$348*M$349*M$350*M352&gt;0,STDEV(M$347:M$350,M352),"")/IF(M$347*M$348*M$349*M$350*M352&gt;0,AVERAGE(M$347:M$350,M352),""),"")</f>
        <v/>
      </c>
      <c r="AD461" s="227" t="str">
        <f aca="false">IFERROR(IF(N$347*N$348*N$349*N$350*N352&gt;0,STDEV(N$347:N$350,N352),"")/IF(N$347*N$348*N$349*N$350*N352&gt;0,AVERAGE(N$347:N$350,N352),""),"")</f>
        <v/>
      </c>
      <c r="AE461" s="233"/>
      <c r="AF461" s="229" t="s">
        <v>544</v>
      </c>
      <c r="AG461" s="230" t="str">
        <f aca="false">IFERROR(IF(C$347*C$348*C$349*C$350*C352&gt;0,STDEV(C$347:C$350,C352)," ")/IF(C$347*C$348*C$349*C$350*C352&gt;0,SQRT(COUNT(C$347:C$350,C352))," "),"")</f>
        <v/>
      </c>
      <c r="AH461" s="230" t="str">
        <f aca="false">IFERROR(IF(D$347*D$348*D$349*D$350*D352&gt;0,STDEV(D$347:D$350,D352)," ")/IF(D$347*D$348*D$349*D$350*D352&gt;0,SQRT(COUNT(D$347:D$350,D352))," "),"")</f>
        <v/>
      </c>
      <c r="AI461" s="230" t="str">
        <f aca="false">IFERROR(IF(E$347*E$348*E$349*E$350*E352&gt;0,STDEV(E$347:E$350,E352)," ")/IF(E$347*E$348*E$349*E$350*E352&gt;0,SQRT(COUNT(E$347:E$350,E352))," "),"")</f>
        <v/>
      </c>
      <c r="AJ461" s="230" t="str">
        <f aca="false">IFERROR(IF(F$347*F$348*F$349*F$350*F352&gt;0,STDEV(F$347:F$350,F352)," ")/IF(F$347*F$348*F$349*F$350*F352&gt;0,SQRT(COUNT(F$347:F$350,F352))," "),"")</f>
        <v/>
      </c>
      <c r="AK461" s="230" t="str">
        <f aca="false">IFERROR(IF(G$347*G$348*G$349*G$350*G352&gt;0,STDEV(G$347:G$350,G352)," ")/IF(G$347*G$348*G$349*G$350*G352&gt;0,SQRT(COUNT(G$347:G$350,G352))," "),"")</f>
        <v/>
      </c>
      <c r="AL461" s="230" t="str">
        <f aca="false">IFERROR(IF(H$347*H$348*H$349*H$350*H352&gt;0,STDEV(H$347:H$350,H352)," ")/IF(H$347*H$348*H$349*H$350*H352&gt;0,SQRT(COUNT(H$347:H$350,H352))," "),"")</f>
        <v/>
      </c>
      <c r="AM461" s="230" t="str">
        <f aca="false">IFERROR(IF(I$347*I$348*I$349*I$350*I352&gt;0,STDEV(I$347:I$350,I352)," ")/IF(I$347*I$348*I$349*I$350*I352&gt;0,SQRT(COUNT(I$347:I$350,I352))," "),"")</f>
        <v/>
      </c>
      <c r="AN461" s="230" t="str">
        <f aca="false">IFERROR(IF(J$347*J$348*J$349*J$350*J352&gt;0,STDEV(J$347:J$350,J352)," ")/IF(J$347*J$348*J$349*J$350*J352&gt;0,SQRT(COUNT(J$347:J$350,J352))," "),"")</f>
        <v/>
      </c>
      <c r="AO461" s="230" t="str">
        <f aca="false">IFERROR(IF(K$347*K$348*K$349*K$350*K352&gt;0,STDEV(K$347:K$350,K352)," ")/IF(K$347*K$348*K$349*K$350*K352&gt;0,SQRT(COUNT(K$347:K$350,K352))," "),"")</f>
        <v/>
      </c>
      <c r="AP461" s="230" t="str">
        <f aca="false">IFERROR(IF(L$347*L$348*L$349*L$350*L352&gt;0,STDEV(L$347:L$350,L352)," ")/IF(L$347*L$348*L$349*L$350*L352&gt;0,SQRT(COUNT(L$347:L$350,L352))," "),"")</f>
        <v/>
      </c>
      <c r="AQ461" s="230" t="str">
        <f aca="false">IFERROR(IF(M$347*M$348*M$349*M$350*M352&gt;0,STDEV(M$347:M$350,M352)," ")/IF(M$347*M$348*M$349*M$350*M352&gt;0,SQRT(COUNT(M$347:M$350,M352))," "),"")</f>
        <v/>
      </c>
      <c r="AR461" s="230" t="str">
        <f aca="false">IFERROR(IF(N$347*N$348*N$349*N$350*N352&gt;0,STDEV(N$347:N$350,N352)," ")/IF(N$347*N$348*N$349*N$350*N352&gt;0,SQRT(COUNT(N$347:N$350,N352))," "),"")</f>
        <v/>
      </c>
    </row>
    <row r="462" customFormat="false" ht="15.75" hidden="false" customHeight="false" outlineLevel="0" collapsed="false">
      <c r="A462" s="220" t="s">
        <v>545</v>
      </c>
      <c r="B462" s="221"/>
      <c r="C462" s="261" t="str">
        <f aca="false">IFERROR(IF(C$347*C$348*C$349*C$350*C353&gt;0,AVERAGE(C$347:C$350,C353),""),"")</f>
        <v/>
      </c>
      <c r="D462" s="261" t="str">
        <f aca="false">IFERROR(IF(D$347*D$348*D$349*D$350*D353&gt;0,AVERAGE(D$347:D$350,D353),""),"")</f>
        <v/>
      </c>
      <c r="E462" s="261" t="str">
        <f aca="false">IFERROR(IF(E$347*E$348*E$349*E$350*E353&gt;0,AVERAGE(E$347:E$350,E353),""),"")</f>
        <v/>
      </c>
      <c r="F462" s="261" t="str">
        <f aca="false">IFERROR(IF(F$347*F$348*F$349*F$350*F353&gt;0,AVERAGE(F$347:F$350,F353),""),"")</f>
        <v/>
      </c>
      <c r="G462" s="261" t="str">
        <f aca="false">IFERROR(IF(G$347*G$348*G$349*G$350*G353&gt;0,AVERAGE(G$347:G$350,G353),""),"")</f>
        <v/>
      </c>
      <c r="H462" s="261" t="str">
        <f aca="false">IFERROR(IF(H$347*H$348*H$349*H$350*H353&gt;0,AVERAGE(H$347:H$350,H353),""),"")</f>
        <v/>
      </c>
      <c r="I462" s="261" t="str">
        <f aca="false">IFERROR(IF(I$347*I$348*I$349*I$350*I353&gt;0,AVERAGE(I$347:I$350,I353),""),"")</f>
        <v/>
      </c>
      <c r="J462" s="261" t="str">
        <f aca="false">IFERROR(IF(J$347*J$348*J$349*J$350*J353&gt;0,AVERAGE(J$347:J$350,J353),""),"")</f>
        <v/>
      </c>
      <c r="K462" s="261" t="str">
        <f aca="false">IFERROR(IF(K$347*K$348*K$349*K$350*K353&gt;0,AVERAGE(K$347:K$350,K353),""),"")</f>
        <v/>
      </c>
      <c r="L462" s="261" t="str">
        <f aca="false">IFERROR(IF(L$347*L$348*L$349*L$350*L353&gt;0,AVERAGE(L$347:L$350,L353),""),"")</f>
        <v/>
      </c>
      <c r="M462" s="261" t="str">
        <f aca="false">IFERROR(IF(M$347*M$348*M$349*M$350*M353&gt;0,AVERAGE(M$347:M$350,M353),""),"")</f>
        <v/>
      </c>
      <c r="N462" s="261" t="str">
        <f aca="false">IFERROR(IF(N$347*N$348*N$349*N$350*N353&gt;0,AVERAGE(N$347:N$350,N353),""),"")</f>
        <v/>
      </c>
      <c r="O462" s="224"/>
      <c r="P462" s="224"/>
      <c r="Q462" s="232"/>
      <c r="R462" s="226" t="s">
        <v>546</v>
      </c>
      <c r="S462" s="227" t="str">
        <f aca="false">IFERROR(IF(C$347*C$348*C$349*C$350*C353&gt;0,STDEV(C$347:C$350,C353),"")/IF(C$347*C$348*C$349*C$350*C353&gt;0,AVERAGE(C$347:C$350,C353),""),"")</f>
        <v/>
      </c>
      <c r="T462" s="227" t="str">
        <f aca="false">IFERROR(IF(D$347*D$348*D$349*D$350*D353&gt;0,STDEV(D$347:D$350,D353),"")/IF(D$347*D$348*D$349*D$350*D353&gt;0,AVERAGE(D$347:D$350,D353),""),"")</f>
        <v/>
      </c>
      <c r="U462" s="227" t="str">
        <f aca="false">IFERROR(IF(E$347*E$348*E$349*E$350*E353&gt;0,STDEV(E$347:E$350,E353),"")/IF(E$347*E$348*E$349*E$350*E353&gt;0,AVERAGE(E$347:E$350,E353),""),"")</f>
        <v/>
      </c>
      <c r="V462" s="227" t="str">
        <f aca="false">IFERROR(IF(F$347*F$348*F$349*F$350*F353&gt;0,STDEV(F$347:F$350,F353),"")/IF(F$347*F$348*F$349*F$350*F353&gt;0,AVERAGE(F$347:F$350,F353),""),"")</f>
        <v/>
      </c>
      <c r="W462" s="227" t="str">
        <f aca="false">IFERROR(IF(G$347*G$348*G$349*G$350*G353&gt;0,STDEV(G$347:G$350,G353),"")/IF(G$347*G$348*G$349*G$350*G353&gt;0,AVERAGE(G$347:G$350,G353),""),"")</f>
        <v/>
      </c>
      <c r="X462" s="227" t="str">
        <f aca="false">IFERROR(IF(H$347*H$348*H$349*H$350*H353&gt;0,STDEV(H$347:H$350,H353),"")/IF(H$347*H$348*H$349*H$350*H353&gt;0,AVERAGE(H$347:H$350,H353),""),"")</f>
        <v/>
      </c>
      <c r="Y462" s="227" t="str">
        <f aca="false">IFERROR(IF(I$347*I$348*I$349*I$350*I353&gt;0,STDEV(I$347:I$350,I353),"")/IF(I$347*I$348*I$349*I$350*I353&gt;0,AVERAGE(I$347:I$350,I353),""),"")</f>
        <v/>
      </c>
      <c r="Z462" s="227" t="str">
        <f aca="false">IFERROR(IF(J$347*J$348*J$349*J$350*J353&gt;0,STDEV(J$347:J$350,J353),"")/IF(J$347*J$348*J$349*J$350*J353&gt;0,AVERAGE(J$347:J$350,J353),""),"")</f>
        <v/>
      </c>
      <c r="AA462" s="227" t="str">
        <f aca="false">IFERROR(IF(K$347*K$348*K$349*K$350*K353&gt;0,STDEV(K$347:K$350,K353),"")/IF(K$347*K$348*K$349*K$350*K353&gt;0,AVERAGE(K$347:K$350,K353),""),"")</f>
        <v/>
      </c>
      <c r="AB462" s="227" t="str">
        <f aca="false">IFERROR(IF(L$347*L$348*L$349*L$350*L353&gt;0,STDEV(L$347:L$350,L353),"")/IF(L$347*L$348*L$349*L$350*L353&gt;0,AVERAGE(L$347:L$350,L353),""),"")</f>
        <v/>
      </c>
      <c r="AC462" s="227" t="str">
        <f aca="false">IFERROR(IF(M$347*M$348*M$349*M$350*M353&gt;0,STDEV(M$347:M$350,M353),"")/IF(M$347*M$348*M$349*M$350*M353&gt;0,AVERAGE(M$347:M$350,M353),""),"")</f>
        <v/>
      </c>
      <c r="AD462" s="227" t="str">
        <f aca="false">IFERROR(IF(N$347*N$348*N$349*N$350*N353&gt;0,STDEV(N$347:N$350,N353),"")/IF(N$347*N$348*N$349*N$350*N353&gt;0,AVERAGE(N$347:N$350,N353),""),"")</f>
        <v/>
      </c>
      <c r="AE462" s="233"/>
      <c r="AF462" s="229" t="s">
        <v>547</v>
      </c>
      <c r="AG462" s="230" t="str">
        <f aca="false">IFERROR(IF(C$347*C$348*C$349*C$350*C353&gt;0,STDEV(C$347:C$350,C353)," ")/IF(C$347*C$348*C$349*C$350*C353&gt;0,SQRT(COUNT(C$347:C$350,C353))," "),"")</f>
        <v/>
      </c>
      <c r="AH462" s="230" t="str">
        <f aca="false">IFERROR(IF(D$347*D$348*D$349*D$350*D353&gt;0,STDEV(D$347:D$350,D353)," ")/IF(D$347*D$348*D$349*D$350*D353&gt;0,SQRT(COUNT(D$347:D$350,D353))," "),"")</f>
        <v/>
      </c>
      <c r="AI462" s="230" t="str">
        <f aca="false">IFERROR(IF(E$347*E$348*E$349*E$350*E353&gt;0,STDEV(E$347:E$350,E353)," ")/IF(E$347*E$348*E$349*E$350*E353&gt;0,SQRT(COUNT(E$347:E$350,E353))," "),"")</f>
        <v/>
      </c>
      <c r="AJ462" s="230" t="str">
        <f aca="false">IFERROR(IF(F$347*F$348*F$349*F$350*F353&gt;0,STDEV(F$347:F$350,F353)," ")/IF(F$347*F$348*F$349*F$350*F353&gt;0,SQRT(COUNT(F$347:F$350,F353))," "),"")</f>
        <v/>
      </c>
      <c r="AK462" s="230" t="str">
        <f aca="false">IFERROR(IF(G$347*G$348*G$349*G$350*G353&gt;0,STDEV(G$347:G$350,G353)," ")/IF(G$347*G$348*G$349*G$350*G353&gt;0,SQRT(COUNT(G$347:G$350,G353))," "),"")</f>
        <v/>
      </c>
      <c r="AL462" s="230" t="str">
        <f aca="false">IFERROR(IF(H$347*H$348*H$349*H$350*H353&gt;0,STDEV(H$347:H$350,H353)," ")/IF(H$347*H$348*H$349*H$350*H353&gt;0,SQRT(COUNT(H$347:H$350,H353))," "),"")</f>
        <v/>
      </c>
      <c r="AM462" s="230" t="str">
        <f aca="false">IFERROR(IF(I$347*I$348*I$349*I$350*I353&gt;0,STDEV(I$347:I$350,I353)," ")/IF(I$347*I$348*I$349*I$350*I353&gt;0,SQRT(COUNT(I$347:I$350,I353))," "),"")</f>
        <v/>
      </c>
      <c r="AN462" s="230" t="str">
        <f aca="false">IFERROR(IF(J$347*J$348*J$349*J$350*J353&gt;0,STDEV(J$347:J$350,J353)," ")/IF(J$347*J$348*J$349*J$350*J353&gt;0,SQRT(COUNT(J$347:J$350,J353))," "),"")</f>
        <v/>
      </c>
      <c r="AO462" s="230" t="str">
        <f aca="false">IFERROR(IF(K$347*K$348*K$349*K$350*K353&gt;0,STDEV(K$347:K$350,K353)," ")/IF(K$347*K$348*K$349*K$350*K353&gt;0,SQRT(COUNT(K$347:K$350,K353))," "),"")</f>
        <v/>
      </c>
      <c r="AP462" s="230" t="str">
        <f aca="false">IFERROR(IF(L$347*L$348*L$349*L$350*L353&gt;0,STDEV(L$347:L$350,L353)," ")/IF(L$347*L$348*L$349*L$350*L353&gt;0,SQRT(COUNT(L$347:L$350,L353))," "),"")</f>
        <v/>
      </c>
      <c r="AQ462" s="230" t="str">
        <f aca="false">IFERROR(IF(M$347*M$348*M$349*M$350*M353&gt;0,STDEV(M$347:M$350,M353)," ")/IF(M$347*M$348*M$349*M$350*M353&gt;0,SQRT(COUNT(M$347:M$350,M353))," "),"")</f>
        <v/>
      </c>
      <c r="AR462" s="230" t="str">
        <f aca="false">IFERROR(IF(N$347*N$348*N$349*N$350*N353&gt;0,STDEV(N$347:N$350,N353)," ")/IF(N$347*N$348*N$349*N$350*N353&gt;0,SQRT(COUNT(N$347:N$350,N353))," "),"")</f>
        <v/>
      </c>
    </row>
    <row r="463" customFormat="false" ht="15.75" hidden="false" customHeight="false" outlineLevel="0" collapsed="false">
      <c r="A463" s="220" t="s">
        <v>548</v>
      </c>
      <c r="B463" s="221"/>
      <c r="C463" s="261" t="str">
        <f aca="false">IFERROR(IF(C$348*C$349*C$350*C$351*C347&gt;0,AVERAGE(C$348:C$351,C347),""),"")</f>
        <v/>
      </c>
      <c r="D463" s="261" t="str">
        <f aca="false">IFERROR(IF(D$348*D$349*D$350*D$351*D347&gt;0,AVERAGE(D$348:D$351,D347),""),"")</f>
        <v/>
      </c>
      <c r="E463" s="261" t="str">
        <f aca="false">IFERROR(IF(E$348*E$349*E$350*E$351*E347&gt;0,AVERAGE(E$348:E$351,E347),""),"")</f>
        <v/>
      </c>
      <c r="F463" s="261" t="str">
        <f aca="false">IFERROR(IF(F$348*F$349*F$350*F$351*F347&gt;0,AVERAGE(F$348:F$351,F347),""),"")</f>
        <v/>
      </c>
      <c r="G463" s="261" t="str">
        <f aca="false">IFERROR(IF(G$348*G$349*G$350*G$351*G347&gt;0,AVERAGE(G$348:G$351,G347),""),"")</f>
        <v/>
      </c>
      <c r="H463" s="261" t="str">
        <f aca="false">IFERROR(IF(H$348*H$349*H$350*H$351*H347&gt;0,AVERAGE(H$348:H$351,H347),""),"")</f>
        <v/>
      </c>
      <c r="I463" s="261" t="str">
        <f aca="false">IFERROR(IF(I$348*I$349*I$350*I$351*I347&gt;0,AVERAGE(I$348:I$351,I347),""),"")</f>
        <v/>
      </c>
      <c r="J463" s="261" t="str">
        <f aca="false">IFERROR(IF(J$348*J$349*J$350*J$351*J347&gt;0,AVERAGE(J$348:J$351,J347),""),"")</f>
        <v/>
      </c>
      <c r="K463" s="261" t="str">
        <f aca="false">IFERROR(IF(K$348*K$349*K$350*K$351*K347&gt;0,AVERAGE(K$348:K$351,K347),""),"")</f>
        <v/>
      </c>
      <c r="L463" s="261" t="str">
        <f aca="false">IFERROR(IF(L$348*L$349*L$350*L$351*L347&gt;0,AVERAGE(L$348:L$351,L347),""),"")</f>
        <v/>
      </c>
      <c r="M463" s="261" t="str">
        <f aca="false">IFERROR(IF(M$348*M$349*M$350*M$351*M347&gt;0,AVERAGE(M$348:M$351,M347),""),"")</f>
        <v/>
      </c>
      <c r="N463" s="261" t="str">
        <f aca="false">IFERROR(IF(N$348*N$349*N$350*N$351*N347&gt;0,AVERAGE(N$348:N$351,N347),""),"")</f>
        <v/>
      </c>
      <c r="O463" s="224"/>
      <c r="P463" s="224"/>
      <c r="Q463" s="232"/>
      <c r="R463" s="226" t="s">
        <v>549</v>
      </c>
      <c r="S463" s="227" t="str">
        <f aca="false">IFERROR(IF(C$348*C$349*C$350*C$351*C347&gt;0,STDEV(C$348:C$351,C347),"")/IF(C$348*C$349*C$350*C$351*C347&gt;0,AVERAGE(C$348:C$351,C347),""),"")</f>
        <v/>
      </c>
      <c r="T463" s="227" t="str">
        <f aca="false">IFERROR(IF(D$348*D$349*D$350*D$351*D347&gt;0,STDEV(D$348:D$351,D347),"")/IF(D$348*D$349*D$350*D$351*D347&gt;0,AVERAGE(D$348:D$351,D347),""),"")</f>
        <v/>
      </c>
      <c r="U463" s="227" t="str">
        <f aca="false">IFERROR(IF(E$348*E$349*E$350*E$351*E347&gt;0,STDEV(E$348:E$351,E347),"")/IF(E$348*E$349*E$350*E$351*E347&gt;0,AVERAGE(E$348:E$351,E347),""),"")</f>
        <v/>
      </c>
      <c r="V463" s="227" t="str">
        <f aca="false">IFERROR(IF(F$348*F$349*F$350*F$351*F347&gt;0,STDEV(F$348:F$351,F347),"")/IF(F$348*F$349*F$350*F$351*F347&gt;0,AVERAGE(F$348:F$351,F347),""),"")</f>
        <v/>
      </c>
      <c r="W463" s="227" t="str">
        <f aca="false">IFERROR(IF(G$348*G$349*G$350*G$351*G347&gt;0,STDEV(G$348:G$351,G347),"")/IF(G$348*G$349*G$350*G$351*G347&gt;0,AVERAGE(G$348:G$351,G347),""),"")</f>
        <v/>
      </c>
      <c r="X463" s="227" t="str">
        <f aca="false">IFERROR(IF(H$348*H$349*H$350*H$351*H347&gt;0,STDEV(H$348:H$351,H347),"")/IF(H$348*H$349*H$350*H$351*H347&gt;0,AVERAGE(H$348:H$351,H347),""),"")</f>
        <v/>
      </c>
      <c r="Y463" s="227" t="str">
        <f aca="false">IFERROR(IF(I$348*I$349*I$350*I$351*I347&gt;0,STDEV(I$348:I$351,I347),"")/IF(I$348*I$349*I$350*I$351*I347&gt;0,AVERAGE(I$348:I$351,I347),""),"")</f>
        <v/>
      </c>
      <c r="Z463" s="227" t="str">
        <f aca="false">IFERROR(IF(J$348*J$349*J$350*J$351*J347&gt;0,STDEV(J$348:J$351,J347),"")/IF(J$348*J$349*J$350*J$351*J347&gt;0,AVERAGE(J$348:J$351,J347),""),"")</f>
        <v/>
      </c>
      <c r="AA463" s="227" t="str">
        <f aca="false">IFERROR(IF(K$348*K$349*K$350*K$351*K347&gt;0,STDEV(K$348:K$351,K347),"")/IF(K$348*K$349*K$350*K$351*K347&gt;0,AVERAGE(K$348:K$351,K347),""),"")</f>
        <v/>
      </c>
      <c r="AB463" s="227" t="str">
        <f aca="false">IFERROR(IF(L$348*L$349*L$350*L$351*L347&gt;0,STDEV(L$348:L$351,L347),"")/IF(L$348*L$349*L$350*L$351*L347&gt;0,AVERAGE(L$348:L$351,L347),""),"")</f>
        <v/>
      </c>
      <c r="AC463" s="227" t="str">
        <f aca="false">IFERROR(IF(M$348*M$349*M$350*M$351*M347&gt;0,STDEV(M$348:M$351,M347),"")/IF(M$348*M$349*M$350*M$351*M347&gt;0,AVERAGE(M$348:M$351,M347),""),"")</f>
        <v/>
      </c>
      <c r="AD463" s="227" t="str">
        <f aca="false">IFERROR(IF(N$348*N$349*N$350*N$351*N347&gt;0,STDEV(N$348:N$351,N347),"")/IF(N$348*N$349*N$350*N$351*N347&gt;0,AVERAGE(N$348:N$351,N347),""),"")</f>
        <v/>
      </c>
      <c r="AE463" s="233"/>
      <c r="AF463" s="229" t="s">
        <v>550</v>
      </c>
      <c r="AG463" s="230" t="str">
        <f aca="false">IFERROR(IF(C$348*C$349*C$350*C$351*C347&gt;0,STDEV(C$348:C$351,C347)," ")/IF(C$348*C$349*C$350*C$351*C347&gt;0,SQRT(COUNT(C$348:C$351,C347))," "),"")</f>
        <v/>
      </c>
      <c r="AH463" s="230" t="str">
        <f aca="false">IFERROR(IF(D$348*D$349*D$350*D$351*D347&gt;0,STDEV(D$348:D$351,D347)," ")/IF(D$348*D$349*D$350*D$351*D347&gt;0,SQRT(COUNT(D$348:D$351,D347))," "),"")</f>
        <v/>
      </c>
      <c r="AI463" s="230" t="str">
        <f aca="false">IFERROR(IF(E$348*E$349*E$350*E$351*E347&gt;0,STDEV(E$348:E$351,E347)," ")/IF(E$348*E$349*E$350*E$351*E347&gt;0,SQRT(COUNT(E$348:E$351,E347))," "),"")</f>
        <v/>
      </c>
      <c r="AJ463" s="230" t="str">
        <f aca="false">IFERROR(IF(F$348*F$349*F$350*F$351*F347&gt;0,STDEV(F$348:F$351,F347)," ")/IF(F$348*F$349*F$350*F$351*F347&gt;0,SQRT(COUNT(F$348:F$351,F347))," "),"")</f>
        <v/>
      </c>
      <c r="AK463" s="230" t="str">
        <f aca="false">IFERROR(IF(G$348*G$349*G$350*G$351*G347&gt;0,STDEV(G$348:G$351,G347)," ")/IF(G$348*G$349*G$350*G$351*G347&gt;0,SQRT(COUNT(G$348:G$351,G347))," "),"")</f>
        <v/>
      </c>
      <c r="AL463" s="230" t="str">
        <f aca="false">IFERROR(IF(H$348*H$349*H$350*H$351*H347&gt;0,STDEV(H$348:H$351,H347)," ")/IF(H$348*H$349*H$350*H$351*H347&gt;0,SQRT(COUNT(H$348:H$351,H347))," "),"")</f>
        <v/>
      </c>
      <c r="AM463" s="230" t="str">
        <f aca="false">IFERROR(IF(I$348*I$349*I$350*I$351*I347&gt;0,STDEV(I$348:I$351,I347)," ")/IF(I$348*I$349*I$350*I$351*I347&gt;0,SQRT(COUNT(I$348:I$351,I347))," "),"")</f>
        <v/>
      </c>
      <c r="AN463" s="230" t="str">
        <f aca="false">IFERROR(IF(J$348*J$349*J$350*J$351*J347&gt;0,STDEV(J$348:J$351,J347)," ")/IF(J$348*J$349*J$350*J$351*J347&gt;0,SQRT(COUNT(J$348:J$351,J347))," "),"")</f>
        <v/>
      </c>
      <c r="AO463" s="230" t="str">
        <f aca="false">IFERROR(IF(K$348*K$349*K$350*K$351*K347&gt;0,STDEV(K$348:K$351,K347)," ")/IF(K$348*K$349*K$350*K$351*K347&gt;0,SQRT(COUNT(K$348:K$351,K347))," "),"")</f>
        <v/>
      </c>
      <c r="AP463" s="230" t="str">
        <f aca="false">IFERROR(IF(L$348*L$349*L$350*L$351*L347&gt;0,STDEV(L$348:L$351,L347)," ")/IF(L$348*L$349*L$350*L$351*L347&gt;0,SQRT(COUNT(L$348:L$351,L347))," "),"")</f>
        <v/>
      </c>
      <c r="AQ463" s="230" t="str">
        <f aca="false">IFERROR(IF(M$348*M$349*M$350*M$351*M347&gt;0,STDEV(M$348:M$351,M347)," ")/IF(M$348*M$349*M$350*M$351*M347&gt;0,SQRT(COUNT(M$348:M$351,M347))," "),"")</f>
        <v/>
      </c>
      <c r="AR463" s="230" t="str">
        <f aca="false">IFERROR(IF(N$348*N$349*N$350*N$351*N347&gt;0,STDEV(N$348:N$351,N347)," ")/IF(N$348*N$349*N$350*N$351*N347&gt;0,SQRT(COUNT(N$348:N$351,N347))," "),"")</f>
        <v/>
      </c>
    </row>
    <row r="464" customFormat="false" ht="15.75" hidden="false" customHeight="false" outlineLevel="0" collapsed="false">
      <c r="A464" s="220" t="s">
        <v>551</v>
      </c>
      <c r="B464" s="221"/>
      <c r="C464" s="261" t="str">
        <f aca="false">IFERROR(IF(C$348*C$349*C$350*C$351*C352&gt;0,AVERAGE(C$348:C$351,C352),""),"")</f>
        <v/>
      </c>
      <c r="D464" s="261" t="str">
        <f aca="false">IFERROR(IF(D$348*D$349*D$350*D$351*D352&gt;0,AVERAGE(D$348:D$351,D352),""),"")</f>
        <v/>
      </c>
      <c r="E464" s="261" t="str">
        <f aca="false">IFERROR(IF(E$348*E$349*E$350*E$351*E352&gt;0,AVERAGE(E$348:E$351,E352),""),"")</f>
        <v/>
      </c>
      <c r="F464" s="261" t="str">
        <f aca="false">IFERROR(IF(F$348*F$349*F$350*F$351*F352&gt;0,AVERAGE(F$348:F$351,F352),""),"")</f>
        <v/>
      </c>
      <c r="G464" s="261" t="str">
        <f aca="false">IFERROR(IF(G$348*G$349*G$350*G$351*G352&gt;0,AVERAGE(G$348:G$351,G352),""),"")</f>
        <v/>
      </c>
      <c r="H464" s="261" t="str">
        <f aca="false">IFERROR(IF(H$348*H$349*H$350*H$351*H352&gt;0,AVERAGE(H$348:H$351,H352),""),"")</f>
        <v/>
      </c>
      <c r="I464" s="261" t="str">
        <f aca="false">IFERROR(IF(I$348*I$349*I$350*I$351*I352&gt;0,AVERAGE(I$348:I$351,I352),""),"")</f>
        <v/>
      </c>
      <c r="J464" s="261" t="str">
        <f aca="false">IFERROR(IF(J$348*J$349*J$350*J$351*J352&gt;0,AVERAGE(J$348:J$351,J352),""),"")</f>
        <v/>
      </c>
      <c r="K464" s="261" t="str">
        <f aca="false">IFERROR(IF(K$348*K$349*K$350*K$351*K352&gt;0,AVERAGE(K$348:K$351,K352),""),"")</f>
        <v/>
      </c>
      <c r="L464" s="261" t="str">
        <f aca="false">IFERROR(IF(L$348*L$349*L$350*L$351*L352&gt;0,AVERAGE(L$348:L$351,L352),""),"")</f>
        <v/>
      </c>
      <c r="M464" s="261" t="str">
        <f aca="false">IFERROR(IF(M$348*M$349*M$350*M$351*M352&gt;0,AVERAGE(M$348:M$351,M352),""),"")</f>
        <v/>
      </c>
      <c r="N464" s="261" t="str">
        <f aca="false">IFERROR(IF(N$348*N$349*N$350*N$351*N352&gt;0,AVERAGE(N$348:N$351,N352),""),"")</f>
        <v/>
      </c>
      <c r="O464" s="224"/>
      <c r="P464" s="224"/>
      <c r="Q464" s="232"/>
      <c r="R464" s="226" t="s">
        <v>552</v>
      </c>
      <c r="S464" s="227" t="str">
        <f aca="false">IFERROR(IF(C$348*C$349*C$350*C$351*C352&gt;0,STDEV(C$348:C$351,C352),"")/IF(C$348*C$349*C$350*C$351*C352&gt;0,AVERAGE(C$348:C$351,C352),""),"")</f>
        <v/>
      </c>
      <c r="T464" s="227" t="str">
        <f aca="false">IFERROR(IF(D$348*D$349*D$350*D$351*D352&gt;0,STDEV(D$348:D$351,D352),"")/IF(D$348*D$349*D$350*D$351*D352&gt;0,AVERAGE(D$348:D$351,D352),""),"")</f>
        <v/>
      </c>
      <c r="U464" s="227" t="str">
        <f aca="false">IFERROR(IF(E$348*E$349*E$350*E$351*E352&gt;0,STDEV(E$348:E$351,E352),"")/IF(E$348*E$349*E$350*E$351*E352&gt;0,AVERAGE(E$348:E$351,E352),""),"")</f>
        <v/>
      </c>
      <c r="V464" s="227" t="str">
        <f aca="false">IFERROR(IF(F$348*F$349*F$350*F$351*F352&gt;0,STDEV(F$348:F$351,F352),"")/IF(F$348*F$349*F$350*F$351*F352&gt;0,AVERAGE(F$348:F$351,F352),""),"")</f>
        <v/>
      </c>
      <c r="W464" s="227" t="str">
        <f aca="false">IFERROR(IF(G$348*G$349*G$350*G$351*G352&gt;0,STDEV(G$348:G$351,G352),"")/IF(G$348*G$349*G$350*G$351*G352&gt;0,AVERAGE(G$348:G$351,G352),""),"")</f>
        <v/>
      </c>
      <c r="X464" s="227" t="str">
        <f aca="false">IFERROR(IF(H$348*H$349*H$350*H$351*H352&gt;0,STDEV(H$348:H$351,H352),"")/IF(H$348*H$349*H$350*H$351*H352&gt;0,AVERAGE(H$348:H$351,H352),""),"")</f>
        <v/>
      </c>
      <c r="Y464" s="227" t="str">
        <f aca="false">IFERROR(IF(I$348*I$349*I$350*I$351*I352&gt;0,STDEV(I$348:I$351,I352),"")/IF(I$348*I$349*I$350*I$351*I352&gt;0,AVERAGE(I$348:I$351,I352),""),"")</f>
        <v/>
      </c>
      <c r="Z464" s="227" t="str">
        <f aca="false">IFERROR(IF(J$348*J$349*J$350*J$351*J352&gt;0,STDEV(J$348:J$351,J352),"")/IF(J$348*J$349*J$350*J$351*J352&gt;0,AVERAGE(J$348:J$351,J352),""),"")</f>
        <v/>
      </c>
      <c r="AA464" s="227" t="str">
        <f aca="false">IFERROR(IF(K$348*K$349*K$350*K$351*K352&gt;0,STDEV(K$348:K$351,K352),"")/IF(K$348*K$349*K$350*K$351*K352&gt;0,AVERAGE(K$348:K$351,K352),""),"")</f>
        <v/>
      </c>
      <c r="AB464" s="227" t="str">
        <f aca="false">IFERROR(IF(L$348*L$349*L$350*L$351*L352&gt;0,STDEV(L$348:L$351,L352),"")/IF(L$348*L$349*L$350*L$351*L352&gt;0,AVERAGE(L$348:L$351,L352),""),"")</f>
        <v/>
      </c>
      <c r="AC464" s="227" t="str">
        <f aca="false">IFERROR(IF(M$348*M$349*M$350*M$351*M352&gt;0,STDEV(M$348:M$351,M352),"")/IF(M$348*M$349*M$350*M$351*M352&gt;0,AVERAGE(M$348:M$351,M352),""),"")</f>
        <v/>
      </c>
      <c r="AD464" s="227" t="str">
        <f aca="false">IFERROR(IF(N$348*N$349*N$350*N$351*N352&gt;0,STDEV(N$348:N$351,N352),"")/IF(N$348*N$349*N$350*N$351*N352&gt;0,AVERAGE(N$348:N$351,N352),""),"")</f>
        <v/>
      </c>
      <c r="AE464" s="233"/>
      <c r="AF464" s="229" t="s">
        <v>553</v>
      </c>
      <c r="AG464" s="230" t="str">
        <f aca="false">IFERROR(IF(C$348*C$349*C$350*C$351*C352&gt;0,STDEV(C$348:C$351,C352)," ")/IF(C$348*C$349*C$350*C$351*C352&gt;0,SQRT(COUNT(C$348:C$351,C352))," "),"")</f>
        <v/>
      </c>
      <c r="AH464" s="230" t="str">
        <f aca="false">IFERROR(IF(D$348*D$349*D$350*D$351*D352&gt;0,STDEV(D$348:D$351,D352)," ")/IF(D$348*D$349*D$350*D$351*D352&gt;0,SQRT(COUNT(D$348:D$351,D352))," "),"")</f>
        <v/>
      </c>
      <c r="AI464" s="230" t="str">
        <f aca="false">IFERROR(IF(E$348*E$349*E$350*E$351*E352&gt;0,STDEV(E$348:E$351,E352)," ")/IF(E$348*E$349*E$350*E$351*E352&gt;0,SQRT(COUNT(E$348:E$351,E352))," "),"")</f>
        <v/>
      </c>
      <c r="AJ464" s="230" t="str">
        <f aca="false">IFERROR(IF(F$348*F$349*F$350*F$351*F352&gt;0,STDEV(F$348:F$351,F352)," ")/IF(F$348*F$349*F$350*F$351*F352&gt;0,SQRT(COUNT(F$348:F$351,F352))," "),"")</f>
        <v/>
      </c>
      <c r="AK464" s="230" t="str">
        <f aca="false">IFERROR(IF(G$348*G$349*G$350*G$351*G352&gt;0,STDEV(G$348:G$351,G352)," ")/IF(G$348*G$349*G$350*G$351*G352&gt;0,SQRT(COUNT(G$348:G$351,G352))," "),"")</f>
        <v/>
      </c>
      <c r="AL464" s="230" t="str">
        <f aca="false">IFERROR(IF(H$348*H$349*H$350*H$351*H352&gt;0,STDEV(H$348:H$351,H352)," ")/IF(H$348*H$349*H$350*H$351*H352&gt;0,SQRT(COUNT(H$348:H$351,H352))," "),"")</f>
        <v/>
      </c>
      <c r="AM464" s="230" t="str">
        <f aca="false">IFERROR(IF(I$348*I$349*I$350*I$351*I352&gt;0,STDEV(I$348:I$351,I352)," ")/IF(I$348*I$349*I$350*I$351*I352&gt;0,SQRT(COUNT(I$348:I$351,I352))," "),"")</f>
        <v/>
      </c>
      <c r="AN464" s="230" t="str">
        <f aca="false">IFERROR(IF(J$348*J$349*J$350*J$351*J352&gt;0,STDEV(J$348:J$351,J352)," ")/IF(J$348*J$349*J$350*J$351*J352&gt;0,SQRT(COUNT(J$348:J$351,J352))," "),"")</f>
        <v/>
      </c>
      <c r="AO464" s="230" t="str">
        <f aca="false">IFERROR(IF(K$348*K$349*K$350*K$351*K352&gt;0,STDEV(K$348:K$351,K352)," ")/IF(K$348*K$349*K$350*K$351*K352&gt;0,SQRT(COUNT(K$348:K$351,K352))," "),"")</f>
        <v/>
      </c>
      <c r="AP464" s="230" t="str">
        <f aca="false">IFERROR(IF(L$348*L$349*L$350*L$351*L352&gt;0,STDEV(L$348:L$351,L352)," ")/IF(L$348*L$349*L$350*L$351*L352&gt;0,SQRT(COUNT(L$348:L$351,L352))," "),"")</f>
        <v/>
      </c>
      <c r="AQ464" s="230" t="str">
        <f aca="false">IFERROR(IF(M$348*M$349*M$350*M$351*M352&gt;0,STDEV(M$348:M$351,M352)," ")/IF(M$348*M$349*M$350*M$351*M352&gt;0,SQRT(COUNT(M$348:M$351,M352))," "),"")</f>
        <v/>
      </c>
      <c r="AR464" s="230" t="str">
        <f aca="false">IFERROR(IF(N$348*N$349*N$350*N$351*N352&gt;0,STDEV(N$348:N$351,N352)," ")/IF(N$348*N$349*N$350*N$351*N352&gt;0,SQRT(COUNT(N$348:N$351,N352))," "),"")</f>
        <v/>
      </c>
    </row>
    <row r="465" customFormat="false" ht="15.75" hidden="false" customHeight="false" outlineLevel="0" collapsed="false">
      <c r="A465" s="220" t="s">
        <v>554</v>
      </c>
      <c r="B465" s="221"/>
      <c r="C465" s="261" t="str">
        <f aca="false">IFERROR(IF(C$348*C$349*C$350*C$351*C353&gt;0,AVERAGE(C$348:C$351,C353),""),"")</f>
        <v/>
      </c>
      <c r="D465" s="261" t="str">
        <f aca="false">IFERROR(IF(D$348*D$349*D$350*D$351*D353&gt;0,AVERAGE(D$348:D$351,D353),""),"")</f>
        <v/>
      </c>
      <c r="E465" s="261" t="str">
        <f aca="false">IFERROR(IF(E$348*E$349*E$350*E$351*E353&gt;0,AVERAGE(E$348:E$351,E353),""),"")</f>
        <v/>
      </c>
      <c r="F465" s="261" t="str">
        <f aca="false">IFERROR(IF(F$348*F$349*F$350*F$351*F353&gt;0,AVERAGE(F$348:F$351,F353),""),"")</f>
        <v/>
      </c>
      <c r="G465" s="261" t="str">
        <f aca="false">IFERROR(IF(G$348*G$349*G$350*G$351*G353&gt;0,AVERAGE(G$348:G$351,G353),""),"")</f>
        <v/>
      </c>
      <c r="H465" s="261" t="str">
        <f aca="false">IFERROR(IF(H$348*H$349*H$350*H$351*H353&gt;0,AVERAGE(H$348:H$351,H353),""),"")</f>
        <v/>
      </c>
      <c r="I465" s="261" t="str">
        <f aca="false">IFERROR(IF(I$348*I$349*I$350*I$351*I353&gt;0,AVERAGE(I$348:I$351,I353),""),"")</f>
        <v/>
      </c>
      <c r="J465" s="261" t="str">
        <f aca="false">IFERROR(IF(J$348*J$349*J$350*J$351*J353&gt;0,AVERAGE(J$348:J$351,J353),""),"")</f>
        <v/>
      </c>
      <c r="K465" s="261" t="str">
        <f aca="false">IFERROR(IF(K$348*K$349*K$350*K$351*K353&gt;0,AVERAGE(K$348:K$351,K353),""),"")</f>
        <v/>
      </c>
      <c r="L465" s="261" t="str">
        <f aca="false">IFERROR(IF(L$348*L$349*L$350*L$351*L353&gt;0,AVERAGE(L$348:L$351,L353),""),"")</f>
        <v/>
      </c>
      <c r="M465" s="261" t="str">
        <f aca="false">IFERROR(IF(M$348*M$349*M$350*M$351*M353&gt;0,AVERAGE(M$348:M$351,M353),""),"")</f>
        <v/>
      </c>
      <c r="N465" s="261" t="str">
        <f aca="false">IFERROR(IF(N$348*N$349*N$350*N$351*N353&gt;0,AVERAGE(N$348:N$351,N353),""),"")</f>
        <v/>
      </c>
      <c r="O465" s="224"/>
      <c r="P465" s="224"/>
      <c r="Q465" s="232"/>
      <c r="R465" s="226" t="s">
        <v>555</v>
      </c>
      <c r="S465" s="227" t="str">
        <f aca="false">IFERROR(IF(C$348*C$349*C$350*C$351*C353&gt;0,STDEV(C$348:C$351,C353),"")/IF(C$348*C$349*C$350*C$351*C353&gt;0,AVERAGE(C$348:C$351,C353),""),"")</f>
        <v/>
      </c>
      <c r="T465" s="227" t="str">
        <f aca="false">IFERROR(IF(D$348*D$349*D$350*D$351*D353&gt;0,STDEV(D$348:D$351,D353),"")/IF(D$348*D$349*D$350*D$351*D353&gt;0,AVERAGE(D$348:D$351,D353),""),"")</f>
        <v/>
      </c>
      <c r="U465" s="227" t="str">
        <f aca="false">IFERROR(IF(E$348*E$349*E$350*E$351*E353&gt;0,STDEV(E$348:E$351,E353),"")/IF(E$348*E$349*E$350*E$351*E353&gt;0,AVERAGE(E$348:E$351,E353),""),"")</f>
        <v/>
      </c>
      <c r="V465" s="227" t="str">
        <f aca="false">IFERROR(IF(F$348*F$349*F$350*F$351*F353&gt;0,STDEV(F$348:F$351,F353),"")/IF(F$348*F$349*F$350*F$351*F353&gt;0,AVERAGE(F$348:F$351,F353),""),"")</f>
        <v/>
      </c>
      <c r="W465" s="227" t="str">
        <f aca="false">IFERROR(IF(G$348*G$349*G$350*G$351*G353&gt;0,STDEV(G$348:G$351,G353),"")/IF(G$348*G$349*G$350*G$351*G353&gt;0,AVERAGE(G$348:G$351,G353),""),"")</f>
        <v/>
      </c>
      <c r="X465" s="227" t="str">
        <f aca="false">IFERROR(IF(H$348*H$349*H$350*H$351*H353&gt;0,STDEV(H$348:H$351,H353),"")/IF(H$348*H$349*H$350*H$351*H353&gt;0,AVERAGE(H$348:H$351,H353),""),"")</f>
        <v/>
      </c>
      <c r="Y465" s="227" t="str">
        <f aca="false">IFERROR(IF(I$348*I$349*I$350*I$351*I353&gt;0,STDEV(I$348:I$351,I353),"")/IF(I$348*I$349*I$350*I$351*I353&gt;0,AVERAGE(I$348:I$351,I353),""),"")</f>
        <v/>
      </c>
      <c r="Z465" s="227" t="str">
        <f aca="false">IFERROR(IF(J$348*J$349*J$350*J$351*J353&gt;0,STDEV(J$348:J$351,J353),"")/IF(J$348*J$349*J$350*J$351*J353&gt;0,AVERAGE(J$348:J$351,J353),""),"")</f>
        <v/>
      </c>
      <c r="AA465" s="227" t="str">
        <f aca="false">IFERROR(IF(K$348*K$349*K$350*K$351*K353&gt;0,STDEV(K$348:K$351,K353),"")/IF(K$348*K$349*K$350*K$351*K353&gt;0,AVERAGE(K$348:K$351,K353),""),"")</f>
        <v/>
      </c>
      <c r="AB465" s="227" t="str">
        <f aca="false">IFERROR(IF(L$348*L$349*L$350*L$351*L353&gt;0,STDEV(L$348:L$351,L353),"")/IF(L$348*L$349*L$350*L$351*L353&gt;0,AVERAGE(L$348:L$351,L353),""),"")</f>
        <v/>
      </c>
      <c r="AC465" s="227" t="str">
        <f aca="false">IFERROR(IF(M$348*M$349*M$350*M$351*M353&gt;0,STDEV(M$348:M$351,M353),"")/IF(M$348*M$349*M$350*M$351*M353&gt;0,AVERAGE(M$348:M$351,M353),""),"")</f>
        <v/>
      </c>
      <c r="AD465" s="227" t="str">
        <f aca="false">IFERROR(IF(N$348*N$349*N$350*N$351*N353&gt;0,STDEV(N$348:N$351,N353),"")/IF(N$348*N$349*N$350*N$351*N353&gt;0,AVERAGE(N$348:N$351,N353),""),"")</f>
        <v/>
      </c>
      <c r="AE465" s="233"/>
      <c r="AF465" s="229" t="s">
        <v>556</v>
      </c>
      <c r="AG465" s="230" t="str">
        <f aca="false">IFERROR(IF(C$348*C$349*C$350*C$351*C353&gt;0,STDEV(C$348:C$351,C353)," ")/IF(C$348*C$349*C$350*C$351*C353&gt;0,SQRT(COUNT(C$348:C$351,C353))," "),"")</f>
        <v/>
      </c>
      <c r="AH465" s="230" t="str">
        <f aca="false">IFERROR(IF(D$348*D$349*D$350*D$351*D353&gt;0,STDEV(D$348:D$351,D353)," ")/IF(D$348*D$349*D$350*D$351*D353&gt;0,SQRT(COUNT(D$348:D$351,D353))," "),"")</f>
        <v/>
      </c>
      <c r="AI465" s="230" t="str">
        <f aca="false">IFERROR(IF(E$348*E$349*E$350*E$351*E353&gt;0,STDEV(E$348:E$351,E353)," ")/IF(E$348*E$349*E$350*E$351*E353&gt;0,SQRT(COUNT(E$348:E$351,E353))," "),"")</f>
        <v/>
      </c>
      <c r="AJ465" s="230" t="str">
        <f aca="false">IFERROR(IF(F$348*F$349*F$350*F$351*F353&gt;0,STDEV(F$348:F$351,F353)," ")/IF(F$348*F$349*F$350*F$351*F353&gt;0,SQRT(COUNT(F$348:F$351,F353))," "),"")</f>
        <v/>
      </c>
      <c r="AK465" s="230" t="str">
        <f aca="false">IFERROR(IF(G$348*G$349*G$350*G$351*G353&gt;0,STDEV(G$348:G$351,G353)," ")/IF(G$348*G$349*G$350*G$351*G353&gt;0,SQRT(COUNT(G$348:G$351,G353))," "),"")</f>
        <v/>
      </c>
      <c r="AL465" s="230" t="str">
        <f aca="false">IFERROR(IF(H$348*H$349*H$350*H$351*H353&gt;0,STDEV(H$348:H$351,H353)," ")/IF(H$348*H$349*H$350*H$351*H353&gt;0,SQRT(COUNT(H$348:H$351,H353))," "),"")</f>
        <v/>
      </c>
      <c r="AM465" s="230" t="str">
        <f aca="false">IFERROR(IF(I$348*I$349*I$350*I$351*I353&gt;0,STDEV(I$348:I$351,I353)," ")/IF(I$348*I$349*I$350*I$351*I353&gt;0,SQRT(COUNT(I$348:I$351,I353))," "),"")</f>
        <v/>
      </c>
      <c r="AN465" s="230" t="str">
        <f aca="false">IFERROR(IF(J$348*J$349*J$350*J$351*J353&gt;0,STDEV(J$348:J$351,J353)," ")/IF(J$348*J$349*J$350*J$351*J353&gt;0,SQRT(COUNT(J$348:J$351,J353))," "),"")</f>
        <v/>
      </c>
      <c r="AO465" s="230" t="str">
        <f aca="false">IFERROR(IF(K$348*K$349*K$350*K$351*K353&gt;0,STDEV(K$348:K$351,K353)," ")/IF(K$348*K$349*K$350*K$351*K353&gt;0,SQRT(COUNT(K$348:K$351,K353))," "),"")</f>
        <v/>
      </c>
      <c r="AP465" s="230" t="str">
        <f aca="false">IFERROR(IF(L$348*L$349*L$350*L$351*L353&gt;0,STDEV(L$348:L$351,L353)," ")/IF(L$348*L$349*L$350*L$351*L353&gt;0,SQRT(COUNT(L$348:L$351,L353))," "),"")</f>
        <v/>
      </c>
      <c r="AQ465" s="230" t="str">
        <f aca="false">IFERROR(IF(M$348*M$349*M$350*M$351*M353&gt;0,STDEV(M$348:M$351,M353)," ")/IF(M$348*M$349*M$350*M$351*M353&gt;0,SQRT(COUNT(M$348:M$351,M353))," "),"")</f>
        <v/>
      </c>
      <c r="AR465" s="230" t="str">
        <f aca="false">IFERROR(IF(N$348*N$349*N$350*N$351*N353&gt;0,STDEV(N$348:N$351,N353)," ")/IF(N$348*N$349*N$350*N$351*N353&gt;0,SQRT(COUNT(N$348:N$351,N353))," "),"")</f>
        <v/>
      </c>
    </row>
    <row r="466" customFormat="false" ht="15.75" hidden="false" customHeight="false" outlineLevel="0" collapsed="false">
      <c r="A466" s="220" t="s">
        <v>557</v>
      </c>
      <c r="B466" s="221"/>
      <c r="C466" s="261" t="str">
        <f aca="false">IFERROR(IF(C$349*C$350*C$351*C$352*C347&gt;0,AVERAGE(C$349:C$352,C347),""),"")</f>
        <v/>
      </c>
      <c r="D466" s="261" t="str">
        <f aca="false">IFERROR(IF(D$349*D$350*D$351*D$352*D347&gt;0,AVERAGE(D$349:D$352,D347),""),"")</f>
        <v/>
      </c>
      <c r="E466" s="261" t="str">
        <f aca="false">IFERROR(IF(E$349*E$350*E$351*E$352*E347&gt;0,AVERAGE(E$349:E$352,E347),""),"")</f>
        <v/>
      </c>
      <c r="F466" s="261" t="str">
        <f aca="false">IFERROR(IF(F$349*F$350*F$351*F$352*F347&gt;0,AVERAGE(F$349:F$352,F347),""),"")</f>
        <v/>
      </c>
      <c r="G466" s="261" t="str">
        <f aca="false">IFERROR(IF(G$349*G$350*G$351*G$352*G347&gt;0,AVERAGE(G$349:G$352,G347),""),"")</f>
        <v/>
      </c>
      <c r="H466" s="261" t="str">
        <f aca="false">IFERROR(IF(H$349*H$350*H$351*H$352*H347&gt;0,AVERAGE(H$349:H$352,H347),""),"")</f>
        <v/>
      </c>
      <c r="I466" s="261" t="str">
        <f aca="false">IFERROR(IF(I$349*I$350*I$351*I$352*I347&gt;0,AVERAGE(I$349:I$352,I347),""),"")</f>
        <v/>
      </c>
      <c r="J466" s="261" t="str">
        <f aca="false">IFERROR(IF(J$349*J$350*J$351*J$352*J347&gt;0,AVERAGE(J$349:J$352,J347),""),"")</f>
        <v/>
      </c>
      <c r="K466" s="261" t="str">
        <f aca="false">IFERROR(IF(K$349*K$350*K$351*K$352*K347&gt;0,AVERAGE(K$349:K$352,K347),""),"")</f>
        <v/>
      </c>
      <c r="L466" s="261" t="str">
        <f aca="false">IFERROR(IF(L$349*L$350*L$351*L$352*L347&gt;0,AVERAGE(L$349:L$352,L347),""),"")</f>
        <v/>
      </c>
      <c r="M466" s="261" t="str">
        <f aca="false">IFERROR(IF(M$349*M$350*M$351*M$352*M347&gt;0,AVERAGE(M$349:M$352,M347),""),"")</f>
        <v/>
      </c>
      <c r="N466" s="261" t="str">
        <f aca="false">IFERROR(IF(N$349*N$350*N$351*N$352*N347&gt;0,AVERAGE(N$349:N$352,N347),""),"")</f>
        <v/>
      </c>
      <c r="O466" s="224"/>
      <c r="P466" s="224"/>
      <c r="Q466" s="232"/>
      <c r="R466" s="226" t="s">
        <v>558</v>
      </c>
      <c r="S466" s="227" t="str">
        <f aca="false">IFERROR(IF(C$349*C$350*C$351*C$352*C347&gt;0,STDEV(C$349:C$352,C347),"")/IF(C$349*C$350*C$351*C$352*C347&gt;0,AVERAGE(C$349:C$352,C347),""),"")</f>
        <v/>
      </c>
      <c r="T466" s="227" t="str">
        <f aca="false">IFERROR(IF(D$349*D$350*D$351*D$352*D347&gt;0,STDEV(D$349:D$352,D347),"")/IF(D$349*D$350*D$351*D$352*D347&gt;0,AVERAGE(D$349:D$352,D347),""),"")</f>
        <v/>
      </c>
      <c r="U466" s="227" t="str">
        <f aca="false">IFERROR(IF(E$349*E$350*E$351*E$352*E347&gt;0,STDEV(E$349:E$352,E347),"")/IF(E$349*E$350*E$351*E$352*E347&gt;0,AVERAGE(E$349:E$352,E347),""),"")</f>
        <v/>
      </c>
      <c r="V466" s="227" t="str">
        <f aca="false">IFERROR(IF(F$349*F$350*F$351*F$352*F347&gt;0,STDEV(F$349:F$352,F347),"")/IF(F$349*F$350*F$351*F$352*F347&gt;0,AVERAGE(F$349:F$352,F347),""),"")</f>
        <v/>
      </c>
      <c r="W466" s="227" t="str">
        <f aca="false">IFERROR(IF(G$349*G$350*G$351*G$352*G347&gt;0,STDEV(G$349:G$352,G347),"")/IF(G$349*G$350*G$351*G$352*G347&gt;0,AVERAGE(G$349:G$352,G347),""),"")</f>
        <v/>
      </c>
      <c r="X466" s="227" t="str">
        <f aca="false">IFERROR(IF(H$349*H$350*H$351*H$352*H347&gt;0,STDEV(H$349:H$352,H347),"")/IF(H$349*H$350*H$351*H$352*H347&gt;0,AVERAGE(H$349:H$352,H347),""),"")</f>
        <v/>
      </c>
      <c r="Y466" s="227" t="str">
        <f aca="false">IFERROR(IF(I$349*I$350*I$351*I$352*I347&gt;0,STDEV(I$349:I$352,I347),"")/IF(I$349*I$350*I$351*I$352*I347&gt;0,AVERAGE(I$349:I$352,I347),""),"")</f>
        <v/>
      </c>
      <c r="Z466" s="227" t="str">
        <f aca="false">IFERROR(IF(J$349*J$350*J$351*J$352*J347&gt;0,STDEV(J$349:J$352,J347),"")/IF(J$349*J$350*J$351*J$352*J347&gt;0,AVERAGE(J$349:J$352,J347),""),"")</f>
        <v/>
      </c>
      <c r="AA466" s="227" t="str">
        <f aca="false">IFERROR(IF(K$349*K$350*K$351*K$352*K347&gt;0,STDEV(K$349:K$352,K347),"")/IF(K$349*K$350*K$351*K$352*K347&gt;0,AVERAGE(K$349:K$352,K347),""),"")</f>
        <v/>
      </c>
      <c r="AB466" s="227" t="str">
        <f aca="false">IFERROR(IF(L$349*L$350*L$351*L$352*L347&gt;0,STDEV(L$349:L$352,L347),"")/IF(L$349*L$350*L$351*L$352*L347&gt;0,AVERAGE(L$349:L$352,L347),""),"")</f>
        <v/>
      </c>
      <c r="AC466" s="227" t="str">
        <f aca="false">IFERROR(IF(M$349*M$350*M$351*M$352*M347&gt;0,STDEV(M$349:M$352,M347),"")/IF(M$349*M$350*M$351*M$352*M347&gt;0,AVERAGE(M$349:M$352,M347),""),"")</f>
        <v/>
      </c>
      <c r="AD466" s="227" t="str">
        <f aca="false">IFERROR(IF(N$349*N$350*N$351*N$352*N347&gt;0,STDEV(N$349:N$352,N347),"")/IF(N$349*N$350*N$351*N$352*N347&gt;0,AVERAGE(N$349:N$352,N347),""),"")</f>
        <v/>
      </c>
      <c r="AE466" s="233"/>
      <c r="AF466" s="229" t="s">
        <v>559</v>
      </c>
      <c r="AG466" s="230" t="str">
        <f aca="false">IFERROR(IF(C$349*C$350*C$351*C$352*C347&gt;0,STDEV(C$349:C$352,C347)," ")/IF(C$349*C$350*C$351*C$352*C347&gt;0,SQRT(COUNT(C$349:C$352,C347))," "),"")</f>
        <v/>
      </c>
      <c r="AH466" s="230" t="str">
        <f aca="false">IFERROR(IF(D$349*D$350*D$351*D$352*D347&gt;0,STDEV(D$349:D$352,D347)," ")/IF(D$349*D$350*D$351*D$352*D347&gt;0,SQRT(COUNT(D$349:D$352,D347))," "),"")</f>
        <v/>
      </c>
      <c r="AI466" s="230" t="str">
        <f aca="false">IFERROR(IF(E$349*E$350*E$351*E$352*E347&gt;0,STDEV(E$349:E$352,E347)," ")/IF(E$349*E$350*E$351*E$352*E347&gt;0,SQRT(COUNT(E$349:E$352,E347))," "),"")</f>
        <v/>
      </c>
      <c r="AJ466" s="230" t="str">
        <f aca="false">IFERROR(IF(F$349*F$350*F$351*F$352*F347&gt;0,STDEV(F$349:F$352,F347)," ")/IF(F$349*F$350*F$351*F$352*F347&gt;0,SQRT(COUNT(F$349:F$352,F347))," "),"")</f>
        <v/>
      </c>
      <c r="AK466" s="230" t="str">
        <f aca="false">IFERROR(IF(G$349*G$350*G$351*G$352*G347&gt;0,STDEV(G$349:G$352,G347)," ")/IF(G$349*G$350*G$351*G$352*G347&gt;0,SQRT(COUNT(G$349:G$352,G347))," "),"")</f>
        <v/>
      </c>
      <c r="AL466" s="230" t="str">
        <f aca="false">IFERROR(IF(H$349*H$350*H$351*H$352*H347&gt;0,STDEV(H$349:H$352,H347)," ")/IF(H$349*H$350*H$351*H$352*H347&gt;0,SQRT(COUNT(H$349:H$352,H347))," "),"")</f>
        <v/>
      </c>
      <c r="AM466" s="230" t="str">
        <f aca="false">IFERROR(IF(I$349*I$350*I$351*I$352*I347&gt;0,STDEV(I$349:I$352,I347)," ")/IF(I$349*I$350*I$351*I$352*I347&gt;0,SQRT(COUNT(I$349:I$352,I347))," "),"")</f>
        <v/>
      </c>
      <c r="AN466" s="230" t="str">
        <f aca="false">IFERROR(IF(J$349*J$350*J$351*J$352*J347&gt;0,STDEV(J$349:J$352,J347)," ")/IF(J$349*J$350*J$351*J$352*J347&gt;0,SQRT(COUNT(J$349:J$352,J347))," "),"")</f>
        <v/>
      </c>
      <c r="AO466" s="230" t="str">
        <f aca="false">IFERROR(IF(K$349*K$350*K$351*K$352*K347&gt;0,STDEV(K$349:K$352,K347)," ")/IF(K$349*K$350*K$351*K$352*K347&gt;0,SQRT(COUNT(K$349:K$352,K347))," "),"")</f>
        <v/>
      </c>
      <c r="AP466" s="230" t="str">
        <f aca="false">IFERROR(IF(L$349*L$350*L$351*L$352*L347&gt;0,STDEV(L$349:L$352,L347)," ")/IF(L$349*L$350*L$351*L$352*L347&gt;0,SQRT(COUNT(L$349:L$352,L347))," "),"")</f>
        <v/>
      </c>
      <c r="AQ466" s="230" t="str">
        <f aca="false">IFERROR(IF(M$349*M$350*M$351*M$352*M347&gt;0,STDEV(M$349:M$352,M347)," ")/IF(M$349*M$350*M$351*M$352*M347&gt;0,SQRT(COUNT(M$349:M$352,M347))," "),"")</f>
        <v/>
      </c>
      <c r="AR466" s="230" t="str">
        <f aca="false">IFERROR(IF(N$349*N$350*N$351*N$352*N347&gt;0,STDEV(N$349:N$352,N347)," ")/IF(N$349*N$350*N$351*N$352*N347&gt;0,SQRT(COUNT(N$349:N$352,N347))," "),"")</f>
        <v/>
      </c>
    </row>
    <row r="467" customFormat="false" ht="15.75" hidden="false" customHeight="false" outlineLevel="0" collapsed="false">
      <c r="A467" s="220" t="s">
        <v>560</v>
      </c>
      <c r="B467" s="221"/>
      <c r="C467" s="261" t="str">
        <f aca="false">IFERROR(IF(C$349*C$350*C$351*C$352*C348&gt;0,AVERAGE(C$349:C$352,C348),""),"")</f>
        <v/>
      </c>
      <c r="D467" s="261" t="str">
        <f aca="false">IFERROR(IF(D$349*D$350*D$351*D$352*D348&gt;0,AVERAGE(D$349:D$352,D348),""),"")</f>
        <v/>
      </c>
      <c r="E467" s="261" t="str">
        <f aca="false">IFERROR(IF(E$349*E$350*E$351*E$352*E348&gt;0,AVERAGE(E$349:E$352,E348),""),"")</f>
        <v/>
      </c>
      <c r="F467" s="261" t="str">
        <f aca="false">IFERROR(IF(F$349*F$350*F$351*F$352*F348&gt;0,AVERAGE(F$349:F$352,F348),""),"")</f>
        <v/>
      </c>
      <c r="G467" s="261" t="str">
        <f aca="false">IFERROR(IF(G$349*G$350*G$351*G$352*G348&gt;0,AVERAGE(G$349:G$352,G348),""),"")</f>
        <v/>
      </c>
      <c r="H467" s="261" t="str">
        <f aca="false">IFERROR(IF(H$349*H$350*H$351*H$352*H348&gt;0,AVERAGE(H$349:H$352,H348),""),"")</f>
        <v/>
      </c>
      <c r="I467" s="261" t="str">
        <f aca="false">IFERROR(IF(I$349*I$350*I$351*I$352*I348&gt;0,AVERAGE(I$349:I$352,I348),""),"")</f>
        <v/>
      </c>
      <c r="J467" s="261" t="str">
        <f aca="false">IFERROR(IF(J$349*J$350*J$351*J$352*J348&gt;0,AVERAGE(J$349:J$352,J348),""),"")</f>
        <v/>
      </c>
      <c r="K467" s="261" t="str">
        <f aca="false">IFERROR(IF(K$349*K$350*K$351*K$352*K348&gt;0,AVERAGE(K$349:K$352,K348),""),"")</f>
        <v/>
      </c>
      <c r="L467" s="261" t="str">
        <f aca="false">IFERROR(IF(L$349*L$350*L$351*L$352*L348&gt;0,AVERAGE(L$349:L$352,L348),""),"")</f>
        <v/>
      </c>
      <c r="M467" s="261" t="str">
        <f aca="false">IFERROR(IF(M$349*M$350*M$351*M$352*M348&gt;0,AVERAGE(M$349:M$352,M348),""),"")</f>
        <v/>
      </c>
      <c r="N467" s="261" t="str">
        <f aca="false">IFERROR(IF(N$349*N$350*N$351*N$352*N348&gt;0,AVERAGE(N$349:N$352,N348),""),"")</f>
        <v/>
      </c>
      <c r="O467" s="224"/>
      <c r="P467" s="224"/>
      <c r="Q467" s="232"/>
      <c r="R467" s="226" t="s">
        <v>561</v>
      </c>
      <c r="S467" s="227" t="str">
        <f aca="false">IFERROR(IF(C$349*C$350*C$351*C$352*C348&gt;0,STDEV(C$349:C$352,C348),"")/IF(C$349*C$350*C$351*C$352*C348&gt;0,AVERAGE(C$349:C$352,C348),""),"")</f>
        <v/>
      </c>
      <c r="T467" s="227" t="str">
        <f aca="false">IFERROR(IF(D$349*D$350*D$351*D$352*D348&gt;0,STDEV(D$349:D$352,D348),"")/IF(D$349*D$350*D$351*D$352*D348&gt;0,AVERAGE(D$349:D$352,D348),""),"")</f>
        <v/>
      </c>
      <c r="U467" s="227" t="str">
        <f aca="false">IFERROR(IF(E$349*E$350*E$351*E$352*E348&gt;0,STDEV(E$349:E$352,E348),"")/IF(E$349*E$350*E$351*E$352*E348&gt;0,AVERAGE(E$349:E$352,E348),""),"")</f>
        <v/>
      </c>
      <c r="V467" s="227" t="str">
        <f aca="false">IFERROR(IF(F$349*F$350*F$351*F$352*F348&gt;0,STDEV(F$349:F$352,F348),"")/IF(F$349*F$350*F$351*F$352*F348&gt;0,AVERAGE(F$349:F$352,F348),""),"")</f>
        <v/>
      </c>
      <c r="W467" s="227" t="str">
        <f aca="false">IFERROR(IF(G$349*G$350*G$351*G$352*G348&gt;0,STDEV(G$349:G$352,G348),"")/IF(G$349*G$350*G$351*G$352*G348&gt;0,AVERAGE(G$349:G$352,G348),""),"")</f>
        <v/>
      </c>
      <c r="X467" s="227" t="str">
        <f aca="false">IFERROR(IF(H$349*H$350*H$351*H$352*H348&gt;0,STDEV(H$349:H$352,H348),"")/IF(H$349*H$350*H$351*H$352*H348&gt;0,AVERAGE(H$349:H$352,H348),""),"")</f>
        <v/>
      </c>
      <c r="Y467" s="227" t="str">
        <f aca="false">IFERROR(IF(I$349*I$350*I$351*I$352*I348&gt;0,STDEV(I$349:I$352,I348),"")/IF(I$349*I$350*I$351*I$352*I348&gt;0,AVERAGE(I$349:I$352,I348),""),"")</f>
        <v/>
      </c>
      <c r="Z467" s="227" t="str">
        <f aca="false">IFERROR(IF(J$349*J$350*J$351*J$352*J348&gt;0,STDEV(J$349:J$352,J348),"")/IF(J$349*J$350*J$351*J$352*J348&gt;0,AVERAGE(J$349:J$352,J348),""),"")</f>
        <v/>
      </c>
      <c r="AA467" s="227" t="str">
        <f aca="false">IFERROR(IF(K$349*K$350*K$351*K$352*K348&gt;0,STDEV(K$349:K$352,K348),"")/IF(K$349*K$350*K$351*K$352*K348&gt;0,AVERAGE(K$349:K$352,K348),""),"")</f>
        <v/>
      </c>
      <c r="AB467" s="227" t="str">
        <f aca="false">IFERROR(IF(L$349*L$350*L$351*L$352*L348&gt;0,STDEV(L$349:L$352,L348),"")/IF(L$349*L$350*L$351*L$352*L348&gt;0,AVERAGE(L$349:L$352,L348),""),"")</f>
        <v/>
      </c>
      <c r="AC467" s="227" t="str">
        <f aca="false">IFERROR(IF(M$349*M$350*M$351*M$352*M348&gt;0,STDEV(M$349:M$352,M348),"")/IF(M$349*M$350*M$351*M$352*M348&gt;0,AVERAGE(M$349:M$352,M348),""),"")</f>
        <v/>
      </c>
      <c r="AD467" s="227" t="str">
        <f aca="false">IFERROR(IF(N$349*N$350*N$351*N$352*N348&gt;0,STDEV(N$349:N$352,N348),"")/IF(N$349*N$350*N$351*N$352*N348&gt;0,AVERAGE(N$349:N$352,N348),""),"")</f>
        <v/>
      </c>
      <c r="AE467" s="233"/>
      <c r="AF467" s="229" t="s">
        <v>562</v>
      </c>
      <c r="AG467" s="230" t="str">
        <f aca="false">IFERROR(IF(C$349*C$350*C$351*C$352*C348&gt;0,STDEV(C$349:C$352,C348)," ")/IF(C$349*C$350*C$351*C$352*C348&gt;0,SQRT(COUNT(C$349:C$352,C348))," "),"")</f>
        <v/>
      </c>
      <c r="AH467" s="230" t="str">
        <f aca="false">IFERROR(IF(D$349*D$350*D$351*D$352*D348&gt;0,STDEV(D$349:D$352,D348)," ")/IF(D$349*D$350*D$351*D$352*D348&gt;0,SQRT(COUNT(D$349:D$352,D348))," "),"")</f>
        <v/>
      </c>
      <c r="AI467" s="230" t="str">
        <f aca="false">IFERROR(IF(E$349*E$350*E$351*E$352*E348&gt;0,STDEV(E$349:E$352,E348)," ")/IF(E$349*E$350*E$351*E$352*E348&gt;0,SQRT(COUNT(E$349:E$352,E348))," "),"")</f>
        <v/>
      </c>
      <c r="AJ467" s="230" t="str">
        <f aca="false">IFERROR(IF(F$349*F$350*F$351*F$352*F348&gt;0,STDEV(F$349:F$352,F348)," ")/IF(F$349*F$350*F$351*F$352*F348&gt;0,SQRT(COUNT(F$349:F$352,F348))," "),"")</f>
        <v/>
      </c>
      <c r="AK467" s="230" t="str">
        <f aca="false">IFERROR(IF(G$349*G$350*G$351*G$352*G348&gt;0,STDEV(G$349:G$352,G348)," ")/IF(G$349*G$350*G$351*G$352*G348&gt;0,SQRT(COUNT(G$349:G$352,G348))," "),"")</f>
        <v/>
      </c>
      <c r="AL467" s="230" t="str">
        <f aca="false">IFERROR(IF(H$349*H$350*H$351*H$352*H348&gt;0,STDEV(H$349:H$352,H348)," ")/IF(H$349*H$350*H$351*H$352*H348&gt;0,SQRT(COUNT(H$349:H$352,H348))," "),"")</f>
        <v/>
      </c>
      <c r="AM467" s="230" t="str">
        <f aca="false">IFERROR(IF(I$349*I$350*I$351*I$352*I348&gt;0,STDEV(I$349:I$352,I348)," ")/IF(I$349*I$350*I$351*I$352*I348&gt;0,SQRT(COUNT(I$349:I$352,I348))," "),"")</f>
        <v/>
      </c>
      <c r="AN467" s="230" t="str">
        <f aca="false">IFERROR(IF(J$349*J$350*J$351*J$352*J348&gt;0,STDEV(J$349:J$352,J348)," ")/IF(J$349*J$350*J$351*J$352*J348&gt;0,SQRT(COUNT(J$349:J$352,J348))," "),"")</f>
        <v/>
      </c>
      <c r="AO467" s="230" t="str">
        <f aca="false">IFERROR(IF(K$349*K$350*K$351*K$352*K348&gt;0,STDEV(K$349:K$352,K348)," ")/IF(K$349*K$350*K$351*K$352*K348&gt;0,SQRT(COUNT(K$349:K$352,K348))," "),"")</f>
        <v/>
      </c>
      <c r="AP467" s="230" t="str">
        <f aca="false">IFERROR(IF(L$349*L$350*L$351*L$352*L348&gt;0,STDEV(L$349:L$352,L348)," ")/IF(L$349*L$350*L$351*L$352*L348&gt;0,SQRT(COUNT(L$349:L$352,L348))," "),"")</f>
        <v/>
      </c>
      <c r="AQ467" s="230" t="str">
        <f aca="false">IFERROR(IF(M$349*M$350*M$351*M$352*M348&gt;0,STDEV(M$349:M$352,M348)," ")/IF(M$349*M$350*M$351*M$352*M348&gt;0,SQRT(COUNT(M$349:M$352,M348))," "),"")</f>
        <v/>
      </c>
      <c r="AR467" s="230" t="str">
        <f aca="false">IFERROR(IF(N$349*N$350*N$351*N$352*N348&gt;0,STDEV(N$349:N$352,N348)," ")/IF(N$349*N$350*N$351*N$352*N348&gt;0,SQRT(COUNT(N$349:N$352,N348))," "),"")</f>
        <v/>
      </c>
    </row>
    <row r="468" customFormat="false" ht="15.75" hidden="false" customHeight="false" outlineLevel="0" collapsed="false">
      <c r="A468" s="220" t="s">
        <v>563</v>
      </c>
      <c r="B468" s="221"/>
      <c r="C468" s="261" t="str">
        <f aca="false">IFERROR(IF(C$349*C$350*C$351*C$352*C353&gt;0,AVERAGE(C$349:C$352,C353),""),"")</f>
        <v/>
      </c>
      <c r="D468" s="261" t="str">
        <f aca="false">IFERROR(IF(D$349*D$350*D$351*D$352*D353&gt;0,AVERAGE(D$349:D$352,D353),""),"")</f>
        <v/>
      </c>
      <c r="E468" s="261" t="str">
        <f aca="false">IFERROR(IF(E$349*E$350*E$351*E$352*E353&gt;0,AVERAGE(E$349:E$352,E353),""),"")</f>
        <v/>
      </c>
      <c r="F468" s="261" t="str">
        <f aca="false">IFERROR(IF(F$349*F$350*F$351*F$352*F353&gt;0,AVERAGE(F$349:F$352,F353),""),"")</f>
        <v/>
      </c>
      <c r="G468" s="261" t="str">
        <f aca="false">IFERROR(IF(G$349*G$350*G$351*G$352*G353&gt;0,AVERAGE(G$349:G$352,G353),""),"")</f>
        <v/>
      </c>
      <c r="H468" s="261" t="str">
        <f aca="false">IFERROR(IF(H$349*H$350*H$351*H$352*H353&gt;0,AVERAGE(H$349:H$352,H353),""),"")</f>
        <v/>
      </c>
      <c r="I468" s="261" t="str">
        <f aca="false">IFERROR(IF(I$349*I$350*I$351*I$352*I353&gt;0,AVERAGE(I$349:I$352,I353),""),"")</f>
        <v/>
      </c>
      <c r="J468" s="261" t="str">
        <f aca="false">IFERROR(IF(J$349*J$350*J$351*J$352*J353&gt;0,AVERAGE(J$349:J$352,J353),""),"")</f>
        <v/>
      </c>
      <c r="K468" s="261" t="str">
        <f aca="false">IFERROR(IF(K$349*K$350*K$351*K$352*K353&gt;0,AVERAGE(K$349:K$352,K353),""),"")</f>
        <v/>
      </c>
      <c r="L468" s="261" t="str">
        <f aca="false">IFERROR(IF(L$349*L$350*L$351*L$352*L353&gt;0,AVERAGE(L$349:L$352,L353),""),"")</f>
        <v/>
      </c>
      <c r="M468" s="261" t="str">
        <f aca="false">IFERROR(IF(M$349*M$350*M$351*M$352*M353&gt;0,AVERAGE(M$349:M$352,M353),""),"")</f>
        <v/>
      </c>
      <c r="N468" s="261" t="str">
        <f aca="false">IFERROR(IF(N$349*N$350*N$351*N$352*N353&gt;0,AVERAGE(N$349:N$352,N353),""),"")</f>
        <v/>
      </c>
      <c r="O468" s="224"/>
      <c r="P468" s="224"/>
      <c r="Q468" s="232"/>
      <c r="R468" s="226" t="s">
        <v>564</v>
      </c>
      <c r="S468" s="227" t="str">
        <f aca="false">IFERROR(IF(C$349*C$350*C$351*C$352*C353&gt;0,STDEV(C$349:C$352,C353),"")/IF(C$349*C$350*C$351*C$352*C353&gt;0,AVERAGE(C$349:C$352,C353),""),"")</f>
        <v/>
      </c>
      <c r="T468" s="227" t="str">
        <f aca="false">IFERROR(IF(D$349*D$350*D$351*D$352*D353&gt;0,STDEV(D$349:D$352,D353),"")/IF(D$349*D$350*D$351*D$352*D353&gt;0,AVERAGE(D$349:D$352,D353),""),"")</f>
        <v/>
      </c>
      <c r="U468" s="227" t="str">
        <f aca="false">IFERROR(IF(E$349*E$350*E$351*E$352*E353&gt;0,STDEV(E$349:E$352,E353),"")/IF(E$349*E$350*E$351*E$352*E353&gt;0,AVERAGE(E$349:E$352,E353),""),"")</f>
        <v/>
      </c>
      <c r="V468" s="227" t="str">
        <f aca="false">IFERROR(IF(F$349*F$350*F$351*F$352*F353&gt;0,STDEV(F$349:F$352,F353),"")/IF(F$349*F$350*F$351*F$352*F353&gt;0,AVERAGE(F$349:F$352,F353),""),"")</f>
        <v/>
      </c>
      <c r="W468" s="227" t="str">
        <f aca="false">IFERROR(IF(G$349*G$350*G$351*G$352*G353&gt;0,STDEV(G$349:G$352,G353),"")/IF(G$349*G$350*G$351*G$352*G353&gt;0,AVERAGE(G$349:G$352,G353),""),"")</f>
        <v/>
      </c>
      <c r="X468" s="227" t="str">
        <f aca="false">IFERROR(IF(H$349*H$350*H$351*H$352*H353&gt;0,STDEV(H$349:H$352,H353),"")/IF(H$349*H$350*H$351*H$352*H353&gt;0,AVERAGE(H$349:H$352,H353),""),"")</f>
        <v/>
      </c>
      <c r="Y468" s="227" t="str">
        <f aca="false">IFERROR(IF(I$349*I$350*I$351*I$352*I353&gt;0,STDEV(I$349:I$352,I353),"")/IF(I$349*I$350*I$351*I$352*I353&gt;0,AVERAGE(I$349:I$352,I353),""),"")</f>
        <v/>
      </c>
      <c r="Z468" s="227" t="str">
        <f aca="false">IFERROR(IF(J$349*J$350*J$351*J$352*J353&gt;0,STDEV(J$349:J$352,J353),"")/IF(J$349*J$350*J$351*J$352*J353&gt;0,AVERAGE(J$349:J$352,J353),""),"")</f>
        <v/>
      </c>
      <c r="AA468" s="227" t="str">
        <f aca="false">IFERROR(IF(K$349*K$350*K$351*K$352*K353&gt;0,STDEV(K$349:K$352,K353),"")/IF(K$349*K$350*K$351*K$352*K353&gt;0,AVERAGE(K$349:K$352,K353),""),"")</f>
        <v/>
      </c>
      <c r="AB468" s="227" t="str">
        <f aca="false">IFERROR(IF(L$349*L$350*L$351*L$352*L353&gt;0,STDEV(L$349:L$352,L353),"")/IF(L$349*L$350*L$351*L$352*L353&gt;0,AVERAGE(L$349:L$352,L353),""),"")</f>
        <v/>
      </c>
      <c r="AC468" s="227" t="str">
        <f aca="false">IFERROR(IF(M$349*M$350*M$351*M$352*M353&gt;0,STDEV(M$349:M$352,M353),"")/IF(M$349*M$350*M$351*M$352*M353&gt;0,AVERAGE(M$349:M$352,M353),""),"")</f>
        <v/>
      </c>
      <c r="AD468" s="227" t="str">
        <f aca="false">IFERROR(IF(N$349*N$350*N$351*N$352*N353&gt;0,STDEV(N$349:N$352,N353),"")/IF(N$349*N$350*N$351*N$352*N353&gt;0,AVERAGE(N$349:N$352,N353),""),"")</f>
        <v/>
      </c>
      <c r="AE468" s="233"/>
      <c r="AF468" s="229" t="s">
        <v>565</v>
      </c>
      <c r="AG468" s="230" t="str">
        <f aca="false">IFERROR(IF(C$349*C$350*C$351*C$352*C353&gt;0,STDEV(C$349:C$352,C353)," ")/IF(C$349*C$350*C$351*C$352*C353&gt;0,SQRT(COUNT(C$349:C$352,C353))," "),"")</f>
        <v/>
      </c>
      <c r="AH468" s="230" t="str">
        <f aca="false">IFERROR(IF(D$349*D$350*D$351*D$352*D353&gt;0,STDEV(D$349:D$352,D353)," ")/IF(D$349*D$350*D$351*D$352*D353&gt;0,SQRT(COUNT(D$349:D$352,D353))," "),"")</f>
        <v/>
      </c>
      <c r="AI468" s="230" t="str">
        <f aca="false">IFERROR(IF(E$349*E$350*E$351*E$352*E353&gt;0,STDEV(E$349:E$352,E353)," ")/IF(E$349*E$350*E$351*E$352*E353&gt;0,SQRT(COUNT(E$349:E$352,E353))," "),"")</f>
        <v/>
      </c>
      <c r="AJ468" s="230" t="str">
        <f aca="false">IFERROR(IF(F$349*F$350*F$351*F$352*F353&gt;0,STDEV(F$349:F$352,F353)," ")/IF(F$349*F$350*F$351*F$352*F353&gt;0,SQRT(COUNT(F$349:F$352,F353))," "),"")</f>
        <v/>
      </c>
      <c r="AK468" s="230" t="str">
        <f aca="false">IFERROR(IF(G$349*G$350*G$351*G$352*G353&gt;0,STDEV(G$349:G$352,G353)," ")/IF(G$349*G$350*G$351*G$352*G353&gt;0,SQRT(COUNT(G$349:G$352,G353))," "),"")</f>
        <v/>
      </c>
      <c r="AL468" s="230" t="str">
        <f aca="false">IFERROR(IF(H$349*H$350*H$351*H$352*H353&gt;0,STDEV(H$349:H$352,H353)," ")/IF(H$349*H$350*H$351*H$352*H353&gt;0,SQRT(COUNT(H$349:H$352,H353))," "),"")</f>
        <v/>
      </c>
      <c r="AM468" s="230" t="str">
        <f aca="false">IFERROR(IF(I$349*I$350*I$351*I$352*I353&gt;0,STDEV(I$349:I$352,I353)," ")/IF(I$349*I$350*I$351*I$352*I353&gt;0,SQRT(COUNT(I$349:I$352,I353))," "),"")</f>
        <v/>
      </c>
      <c r="AN468" s="230" t="str">
        <f aca="false">IFERROR(IF(J$349*J$350*J$351*J$352*J353&gt;0,STDEV(J$349:J$352,J353)," ")/IF(J$349*J$350*J$351*J$352*J353&gt;0,SQRT(COUNT(J$349:J$352,J353))," "),"")</f>
        <v/>
      </c>
      <c r="AO468" s="230" t="str">
        <f aca="false">IFERROR(IF(K$349*K$350*K$351*K$352*K353&gt;0,STDEV(K$349:K$352,K353)," ")/IF(K$349*K$350*K$351*K$352*K353&gt;0,SQRT(COUNT(K$349:K$352,K353))," "),"")</f>
        <v/>
      </c>
      <c r="AP468" s="230" t="str">
        <f aca="false">IFERROR(IF(L$349*L$350*L$351*L$352*L353&gt;0,STDEV(L$349:L$352,L353)," ")/IF(L$349*L$350*L$351*L$352*L353&gt;0,SQRT(COUNT(L$349:L$352,L353))," "),"")</f>
        <v/>
      </c>
      <c r="AQ468" s="230" t="str">
        <f aca="false">IFERROR(IF(M$349*M$350*M$351*M$352*M353&gt;0,STDEV(M$349:M$352,M353)," ")/IF(M$349*M$350*M$351*M$352*M353&gt;0,SQRT(COUNT(M$349:M$352,M353))," "),"")</f>
        <v/>
      </c>
      <c r="AR468" s="230" t="str">
        <f aca="false">IFERROR(IF(N$349*N$350*N$351*N$352*N353&gt;0,STDEV(N$349:N$352,N353)," ")/IF(N$349*N$350*N$351*N$352*N353&gt;0,SQRT(COUNT(N$349:N$352,N353))," "),"")</f>
        <v/>
      </c>
    </row>
    <row r="469" customFormat="false" ht="15.75" hidden="false" customHeight="false" outlineLevel="0" collapsed="false">
      <c r="A469" s="220" t="s">
        <v>566</v>
      </c>
      <c r="B469" s="221"/>
      <c r="C469" s="261" t="str">
        <f aca="false">IFERROR(IF(C$350*C$351*C$352*C$353*C347&gt;0,AVERAGE(C$350:C$353,C347),""),"")</f>
        <v/>
      </c>
      <c r="D469" s="261" t="str">
        <f aca="false">IFERROR(IF(D$350*D$351*D$352*D$353*D347&gt;0,AVERAGE(D$350:D$353,D347),""),"")</f>
        <v/>
      </c>
      <c r="E469" s="261" t="str">
        <f aca="false">IFERROR(IF(E$350*E$351*E$352*E$353*E347&gt;0,AVERAGE(E$350:E$353,E347),""),"")</f>
        <v/>
      </c>
      <c r="F469" s="261" t="str">
        <f aca="false">IFERROR(IF(F$350*F$351*F$352*F$353*F347&gt;0,AVERAGE(F$350:F$353,F347),""),"")</f>
        <v/>
      </c>
      <c r="G469" s="261" t="str">
        <f aca="false">IFERROR(IF(G$350*G$351*G$352*G$353*G347&gt;0,AVERAGE(G$350:G$353,G347),""),"")</f>
        <v/>
      </c>
      <c r="H469" s="261" t="str">
        <f aca="false">IFERROR(IF(H$350*H$351*H$352*H$353*H347&gt;0,AVERAGE(H$350:H$353,H347),""),"")</f>
        <v/>
      </c>
      <c r="I469" s="261" t="str">
        <f aca="false">IFERROR(IF(I$350*I$351*I$352*I$353*I347&gt;0,AVERAGE(I$350:I$353,I347),""),"")</f>
        <v/>
      </c>
      <c r="J469" s="261" t="str">
        <f aca="false">IFERROR(IF(J$350*J$351*J$352*J$353*J347&gt;0,AVERAGE(J$350:J$353,J347),""),"")</f>
        <v/>
      </c>
      <c r="K469" s="261" t="str">
        <f aca="false">IFERROR(IF(K$350*K$351*K$352*K$353*K347&gt;0,AVERAGE(K$350:K$353,K347),""),"")</f>
        <v/>
      </c>
      <c r="L469" s="261" t="str">
        <f aca="false">IFERROR(IF(L$350*L$351*L$352*L$353*L347&gt;0,AVERAGE(L$350:L$353,L347),""),"")</f>
        <v/>
      </c>
      <c r="M469" s="261" t="str">
        <f aca="false">IFERROR(IF(M$350*M$351*M$352*M$353*M347&gt;0,AVERAGE(M$350:M$353,M347),""),"")</f>
        <v/>
      </c>
      <c r="N469" s="261" t="str">
        <f aca="false">IFERROR(IF(N$350*N$351*N$352*N$353*N347&gt;0,AVERAGE(N$350:N$353,N347),""),"")</f>
        <v/>
      </c>
      <c r="O469" s="224"/>
      <c r="P469" s="224"/>
      <c r="Q469" s="232"/>
      <c r="R469" s="226" t="s">
        <v>567</v>
      </c>
      <c r="S469" s="227" t="str">
        <f aca="false">IFERROR(IF(C$350*C$351*C$352*C$353*C347&gt;0,STDEV(C$350:C$353,C347),"")/IF(C$350*C$351*C$352*C$353*C347&gt;0,AVERAGE(C$350:C$353,C347),""),"")</f>
        <v/>
      </c>
      <c r="T469" s="227" t="str">
        <f aca="false">IFERROR(IF(D$350*D$351*D$352*D$353*D347&gt;0,STDEV(D$350:D$353,D347),"")/IF(D$350*D$351*D$352*D$353*D347&gt;0,AVERAGE(D$350:D$353,D347),""),"")</f>
        <v/>
      </c>
      <c r="U469" s="227" t="str">
        <f aca="false">IFERROR(IF(E$350*E$351*E$352*E$353*E347&gt;0,STDEV(E$350:E$353,E347),"")/IF(E$350*E$351*E$352*E$353*E347&gt;0,AVERAGE(E$350:E$353,E347),""),"")</f>
        <v/>
      </c>
      <c r="V469" s="227" t="str">
        <f aca="false">IFERROR(IF(F$350*F$351*F$352*F$353*F347&gt;0,STDEV(F$350:F$353,F347),"")/IF(F$350*F$351*F$352*F$353*F347&gt;0,AVERAGE(F$350:F$353,F347),""),"")</f>
        <v/>
      </c>
      <c r="W469" s="227" t="str">
        <f aca="false">IFERROR(IF(G$350*G$351*G$352*G$353*G347&gt;0,STDEV(G$350:G$353,G347),"")/IF(G$350*G$351*G$352*G$353*G347&gt;0,AVERAGE(G$350:G$353,G347),""),"")</f>
        <v/>
      </c>
      <c r="X469" s="227" t="str">
        <f aca="false">IFERROR(IF(H$350*H$351*H$352*H$353*H347&gt;0,STDEV(H$350:H$353,H347),"")/IF(H$350*H$351*H$352*H$353*H347&gt;0,AVERAGE(H$350:H$353,H347),""),"")</f>
        <v/>
      </c>
      <c r="Y469" s="227" t="str">
        <f aca="false">IFERROR(IF(I$350*I$351*I$352*I$353*I347&gt;0,STDEV(I$350:I$353,I347),"")/IF(I$350*I$351*I$352*I$353*I347&gt;0,AVERAGE(I$350:I$353,I347),""),"")</f>
        <v/>
      </c>
      <c r="Z469" s="227" t="str">
        <f aca="false">IFERROR(IF(J$350*J$351*J$352*J$353*J347&gt;0,STDEV(J$350:J$353,J347),"")/IF(J$350*J$351*J$352*J$353*J347&gt;0,AVERAGE(J$350:J$353,J347),""),"")</f>
        <v/>
      </c>
      <c r="AA469" s="227" t="str">
        <f aca="false">IFERROR(IF(K$350*K$351*K$352*K$353*K347&gt;0,STDEV(K$350:K$353,K347),"")/IF(K$350*K$351*K$352*K$353*K347&gt;0,AVERAGE(K$350:K$353,K347),""),"")</f>
        <v/>
      </c>
      <c r="AB469" s="227" t="str">
        <f aca="false">IFERROR(IF(L$350*L$351*L$352*L$353*L347&gt;0,STDEV(L$350:L$353,L347),"")/IF(L$350*L$351*L$352*L$353*L347&gt;0,AVERAGE(L$350:L$353,L347),""),"")</f>
        <v/>
      </c>
      <c r="AC469" s="227" t="str">
        <f aca="false">IFERROR(IF(M$350*M$351*M$352*M$353*M347&gt;0,STDEV(M$350:M$353,M347),"")/IF(M$350*M$351*M$352*M$353*M347&gt;0,AVERAGE(M$350:M$353,M347),""),"")</f>
        <v/>
      </c>
      <c r="AD469" s="227" t="str">
        <f aca="false">IFERROR(IF(N$350*N$351*N$352*N$353*N347&gt;0,STDEV(N$350:N$353,N347),"")/IF(N$350*N$351*N$352*N$353*N347&gt;0,AVERAGE(N$350:N$353,N347),""),"")</f>
        <v/>
      </c>
      <c r="AE469" s="233"/>
      <c r="AF469" s="229" t="s">
        <v>568</v>
      </c>
      <c r="AG469" s="230" t="str">
        <f aca="false">IFERROR(IF(C$350*C$351*C$352*C$353*C347&gt;0,STDEV(C$350:C$353,C347)," ")/IF(C$350*C$351*C$352*C$353*C347&gt;0,SQRT(COUNT(C$350:C$353,C347))," "),"")</f>
        <v/>
      </c>
      <c r="AH469" s="230" t="str">
        <f aca="false">IFERROR(IF(D$350*D$351*D$352*D$353*D347&gt;0,STDEV(D$350:D$353,D347)," ")/IF(D$350*D$351*D$352*D$353*D347&gt;0,SQRT(COUNT(D$350:D$353,D347))," "),"")</f>
        <v/>
      </c>
      <c r="AI469" s="230" t="str">
        <f aca="false">IFERROR(IF(E$350*E$351*E$352*E$353*E347&gt;0,STDEV(E$350:E$353,E347)," ")/IF(E$350*E$351*E$352*E$353*E347&gt;0,SQRT(COUNT(E$350:E$353,E347))," "),"")</f>
        <v/>
      </c>
      <c r="AJ469" s="230" t="str">
        <f aca="false">IFERROR(IF(F$350*F$351*F$352*F$353*F347&gt;0,STDEV(F$350:F$353,F347)," ")/IF(F$350*F$351*F$352*F$353*F347&gt;0,SQRT(COUNT(F$350:F$353,F347))," "),"")</f>
        <v/>
      </c>
      <c r="AK469" s="230" t="str">
        <f aca="false">IFERROR(IF(G$350*G$351*G$352*G$353*G347&gt;0,STDEV(G$350:G$353,G347)," ")/IF(G$350*G$351*G$352*G$353*G347&gt;0,SQRT(COUNT(G$350:G$353,G347))," "),"")</f>
        <v/>
      </c>
      <c r="AL469" s="230" t="str">
        <f aca="false">IFERROR(IF(H$350*H$351*H$352*H$353*H347&gt;0,STDEV(H$350:H$353,H347)," ")/IF(H$350*H$351*H$352*H$353*H347&gt;0,SQRT(COUNT(H$350:H$353,H347))," "),"")</f>
        <v/>
      </c>
      <c r="AM469" s="230" t="str">
        <f aca="false">IFERROR(IF(I$350*I$351*I$352*I$353*I347&gt;0,STDEV(I$350:I$353,I347)," ")/IF(I$350*I$351*I$352*I$353*I347&gt;0,SQRT(COUNT(I$350:I$353,I347))," "),"")</f>
        <v/>
      </c>
      <c r="AN469" s="230" t="str">
        <f aca="false">IFERROR(IF(J$350*J$351*J$352*J$353*J347&gt;0,STDEV(J$350:J$353,J347)," ")/IF(J$350*J$351*J$352*J$353*J347&gt;0,SQRT(COUNT(J$350:J$353,J347))," "),"")</f>
        <v/>
      </c>
      <c r="AO469" s="230" t="str">
        <f aca="false">IFERROR(IF(K$350*K$351*K$352*K$353*K347&gt;0,STDEV(K$350:K$353,K347)," ")/IF(K$350*K$351*K$352*K$353*K347&gt;0,SQRT(COUNT(K$350:K$353,K347))," "),"")</f>
        <v/>
      </c>
      <c r="AP469" s="230" t="str">
        <f aca="false">IFERROR(IF(L$350*L$351*L$352*L$353*L347&gt;0,STDEV(L$350:L$353,L347)," ")/IF(L$350*L$351*L$352*L$353*L347&gt;0,SQRT(COUNT(L$350:L$353,L347))," "),"")</f>
        <v/>
      </c>
      <c r="AQ469" s="230" t="str">
        <f aca="false">IFERROR(IF(M$350*M$351*M$352*M$353*M347&gt;0,STDEV(M$350:M$353,M347)," ")/IF(M$350*M$351*M$352*M$353*M347&gt;0,SQRT(COUNT(M$350:M$353,M347))," "),"")</f>
        <v/>
      </c>
      <c r="AR469" s="230" t="str">
        <f aca="false">IFERROR(IF(N$350*N$351*N$352*N$353*N347&gt;0,STDEV(N$350:N$353,N347)," ")/IF(N$350*N$351*N$352*N$353*N347&gt;0,SQRT(COUNT(N$350:N$353,N347))," "),"")</f>
        <v/>
      </c>
    </row>
    <row r="470" customFormat="false" ht="15.75" hidden="false" customHeight="false" outlineLevel="0" collapsed="false">
      <c r="A470" s="220" t="s">
        <v>569</v>
      </c>
      <c r="B470" s="221"/>
      <c r="C470" s="261" t="str">
        <f aca="false">IFERROR(IF(C$350*C$351*C$352*C$353*C348&gt;0,AVERAGE(C$350:C$353,C348),""),"")</f>
        <v/>
      </c>
      <c r="D470" s="261" t="str">
        <f aca="false">IFERROR(IF(D$350*D$351*D$352*D$353*D348&gt;0,AVERAGE(D$350:D$353,D348),""),"")</f>
        <v/>
      </c>
      <c r="E470" s="261" t="str">
        <f aca="false">IFERROR(IF(E$350*E$351*E$352*E$353*E348&gt;0,AVERAGE(E$350:E$353,E348),""),"")</f>
        <v/>
      </c>
      <c r="F470" s="261" t="str">
        <f aca="false">IFERROR(IF(F$350*F$351*F$352*F$353*F348&gt;0,AVERAGE(F$350:F$353,F348),""),"")</f>
        <v/>
      </c>
      <c r="G470" s="261" t="str">
        <f aca="false">IFERROR(IF(G$350*G$351*G$352*G$353*G348&gt;0,AVERAGE(G$350:G$353,G348),""),"")</f>
        <v/>
      </c>
      <c r="H470" s="261" t="str">
        <f aca="false">IFERROR(IF(H$350*H$351*H$352*H$353*H348&gt;0,AVERAGE(H$350:H$353,H348),""),"")</f>
        <v/>
      </c>
      <c r="I470" s="261" t="str">
        <f aca="false">IFERROR(IF(I$350*I$351*I$352*I$353*I348&gt;0,AVERAGE(I$350:I$353,I348),""),"")</f>
        <v/>
      </c>
      <c r="J470" s="261" t="str">
        <f aca="false">IFERROR(IF(J$350*J$351*J$352*J$353*J348&gt;0,AVERAGE(J$350:J$353,J348),""),"")</f>
        <v/>
      </c>
      <c r="K470" s="261" t="str">
        <f aca="false">IFERROR(IF(K$350*K$351*K$352*K$353*K348&gt;0,AVERAGE(K$350:K$353,K348),""),"")</f>
        <v/>
      </c>
      <c r="L470" s="261" t="str">
        <f aca="false">IFERROR(IF(L$350*L$351*L$352*L$353*L348&gt;0,AVERAGE(L$350:L$353,L348),""),"")</f>
        <v/>
      </c>
      <c r="M470" s="261" t="str">
        <f aca="false">IFERROR(IF(M$350*M$351*M$352*M$353*M348&gt;0,AVERAGE(M$350:M$353,M348),""),"")</f>
        <v/>
      </c>
      <c r="N470" s="261" t="str">
        <f aca="false">IFERROR(IF(N$350*N$351*N$352*N$353*N348&gt;0,AVERAGE(N$350:N$353,N348),""),"")</f>
        <v/>
      </c>
      <c r="O470" s="224"/>
      <c r="P470" s="224"/>
      <c r="Q470" s="232"/>
      <c r="R470" s="226" t="s">
        <v>570</v>
      </c>
      <c r="S470" s="227" t="str">
        <f aca="false">IFERROR(IF(C$350*C$351*C$352*C$353*C348&gt;0,STDEV(C$350:C$353,C348),"")/IF(C$350*C$351*C$352*C$353*C348&gt;0,AVERAGE(C$350:C$353,C348),""),"")</f>
        <v/>
      </c>
      <c r="T470" s="227" t="str">
        <f aca="false">IFERROR(IF(D$350*D$351*D$352*D$353*D348&gt;0,STDEV(D$350:D$353,D348),"")/IF(D$350*D$351*D$352*D$353*D348&gt;0,AVERAGE(D$350:D$353,D348),""),"")</f>
        <v/>
      </c>
      <c r="U470" s="227" t="str">
        <f aca="false">IFERROR(IF(E$350*E$351*E$352*E$353*E348&gt;0,STDEV(E$350:E$353,E348),"")/IF(E$350*E$351*E$352*E$353*E348&gt;0,AVERAGE(E$350:E$353,E348),""),"")</f>
        <v/>
      </c>
      <c r="V470" s="227" t="str">
        <f aca="false">IFERROR(IF(F$350*F$351*F$352*F$353*F348&gt;0,STDEV(F$350:F$353,F348),"")/IF(F$350*F$351*F$352*F$353*F348&gt;0,AVERAGE(F$350:F$353,F348),""),"")</f>
        <v/>
      </c>
      <c r="W470" s="227" t="str">
        <f aca="false">IFERROR(IF(G$350*G$351*G$352*G$353*G348&gt;0,STDEV(G$350:G$353,G348),"")/IF(G$350*G$351*G$352*G$353*G348&gt;0,AVERAGE(G$350:G$353,G348),""),"")</f>
        <v/>
      </c>
      <c r="X470" s="227" t="str">
        <f aca="false">IFERROR(IF(H$350*H$351*H$352*H$353*H348&gt;0,STDEV(H$350:H$353,H348),"")/IF(H$350*H$351*H$352*H$353*H348&gt;0,AVERAGE(H$350:H$353,H348),""),"")</f>
        <v/>
      </c>
      <c r="Y470" s="227" t="str">
        <f aca="false">IFERROR(IF(I$350*I$351*I$352*I$353*I348&gt;0,STDEV(I$350:I$353,I348),"")/IF(I$350*I$351*I$352*I$353*I348&gt;0,AVERAGE(I$350:I$353,I348),""),"")</f>
        <v/>
      </c>
      <c r="Z470" s="227" t="str">
        <f aca="false">IFERROR(IF(J$350*J$351*J$352*J$353*J348&gt;0,STDEV(J$350:J$353,J348),"")/IF(J$350*J$351*J$352*J$353*J348&gt;0,AVERAGE(J$350:J$353,J348),""),"")</f>
        <v/>
      </c>
      <c r="AA470" s="227" t="str">
        <f aca="false">IFERROR(IF(K$350*K$351*K$352*K$353*K348&gt;0,STDEV(K$350:K$353,K348),"")/IF(K$350*K$351*K$352*K$353*K348&gt;0,AVERAGE(K$350:K$353,K348),""),"")</f>
        <v/>
      </c>
      <c r="AB470" s="227" t="str">
        <f aca="false">IFERROR(IF(L$350*L$351*L$352*L$353*L348&gt;0,STDEV(L$350:L$353,L348),"")/IF(L$350*L$351*L$352*L$353*L348&gt;0,AVERAGE(L$350:L$353,L348),""),"")</f>
        <v/>
      </c>
      <c r="AC470" s="227" t="str">
        <f aca="false">IFERROR(IF(M$350*M$351*M$352*M$353*M348&gt;0,STDEV(M$350:M$353,M348),"")/IF(M$350*M$351*M$352*M$353*M348&gt;0,AVERAGE(M$350:M$353,M348),""),"")</f>
        <v/>
      </c>
      <c r="AD470" s="227" t="str">
        <f aca="false">IFERROR(IF(N$350*N$351*N$352*N$353*N348&gt;0,STDEV(N$350:N$353,N348),"")/IF(N$350*N$351*N$352*N$353*N348&gt;0,AVERAGE(N$350:N$353,N348),""),"")</f>
        <v/>
      </c>
      <c r="AE470" s="233"/>
      <c r="AF470" s="229" t="s">
        <v>571</v>
      </c>
      <c r="AG470" s="230" t="str">
        <f aca="false">IFERROR(IF(C$350*C$351*C$352*C$353*C348&gt;0,STDEV(C$350:C$353,C348)," ")/IF(C$350*C$351*C$352*C$353*C348&gt;0,SQRT(COUNT(C$350:C$353,C348))," "),"")</f>
        <v/>
      </c>
      <c r="AH470" s="230" t="str">
        <f aca="false">IFERROR(IF(D$350*D$351*D$352*D$353*D348&gt;0,STDEV(D$350:D$353,D348)," ")/IF(D$350*D$351*D$352*D$353*D348&gt;0,SQRT(COUNT(D$350:D$353,D348))," "),"")</f>
        <v/>
      </c>
      <c r="AI470" s="230" t="str">
        <f aca="false">IFERROR(IF(E$350*E$351*E$352*E$353*E348&gt;0,STDEV(E$350:E$353,E348)," ")/IF(E$350*E$351*E$352*E$353*E348&gt;0,SQRT(COUNT(E$350:E$353,E348))," "),"")</f>
        <v/>
      </c>
      <c r="AJ470" s="230" t="str">
        <f aca="false">IFERROR(IF(F$350*F$351*F$352*F$353*F348&gt;0,STDEV(F$350:F$353,F348)," ")/IF(F$350*F$351*F$352*F$353*F348&gt;0,SQRT(COUNT(F$350:F$353,F348))," "),"")</f>
        <v/>
      </c>
      <c r="AK470" s="230" t="str">
        <f aca="false">IFERROR(IF(G$350*G$351*G$352*G$353*G348&gt;0,STDEV(G$350:G$353,G348)," ")/IF(G$350*G$351*G$352*G$353*G348&gt;0,SQRT(COUNT(G$350:G$353,G348))," "),"")</f>
        <v/>
      </c>
      <c r="AL470" s="230" t="str">
        <f aca="false">IFERROR(IF(H$350*H$351*H$352*H$353*H348&gt;0,STDEV(H$350:H$353,H348)," ")/IF(H$350*H$351*H$352*H$353*H348&gt;0,SQRT(COUNT(H$350:H$353,H348))," "),"")</f>
        <v/>
      </c>
      <c r="AM470" s="230" t="str">
        <f aca="false">IFERROR(IF(I$350*I$351*I$352*I$353*I348&gt;0,STDEV(I$350:I$353,I348)," ")/IF(I$350*I$351*I$352*I$353*I348&gt;0,SQRT(COUNT(I$350:I$353,I348))," "),"")</f>
        <v/>
      </c>
      <c r="AN470" s="230" t="str">
        <f aca="false">IFERROR(IF(J$350*J$351*J$352*J$353*J348&gt;0,STDEV(J$350:J$353,J348)," ")/IF(J$350*J$351*J$352*J$353*J348&gt;0,SQRT(COUNT(J$350:J$353,J348))," "),"")</f>
        <v/>
      </c>
      <c r="AO470" s="230" t="str">
        <f aca="false">IFERROR(IF(K$350*K$351*K$352*K$353*K348&gt;0,STDEV(K$350:K$353,K348)," ")/IF(K$350*K$351*K$352*K$353*K348&gt;0,SQRT(COUNT(K$350:K$353,K348))," "),"")</f>
        <v/>
      </c>
      <c r="AP470" s="230" t="str">
        <f aca="false">IFERROR(IF(L$350*L$351*L$352*L$353*L348&gt;0,STDEV(L$350:L$353,L348)," ")/IF(L$350*L$351*L$352*L$353*L348&gt;0,SQRT(COUNT(L$350:L$353,L348))," "),"")</f>
        <v/>
      </c>
      <c r="AQ470" s="230" t="str">
        <f aca="false">IFERROR(IF(M$350*M$351*M$352*M$353*M348&gt;0,STDEV(M$350:M$353,M348)," ")/IF(M$350*M$351*M$352*M$353*M348&gt;0,SQRT(COUNT(M$350:M$353,M348))," "),"")</f>
        <v/>
      </c>
      <c r="AR470" s="230" t="str">
        <f aca="false">IFERROR(IF(N$350*N$351*N$352*N$353*N348&gt;0,STDEV(N$350:N$353,N348)," ")/IF(N$350*N$351*N$352*N$353*N348&gt;0,SQRT(COUNT(N$350:N$353,N348))," "),"")</f>
        <v/>
      </c>
    </row>
    <row r="471" customFormat="false" ht="15.75" hidden="false" customHeight="false" outlineLevel="0" collapsed="false">
      <c r="A471" s="220" t="s">
        <v>572</v>
      </c>
      <c r="B471" s="221"/>
      <c r="C471" s="261" t="str">
        <f aca="false">IFERROR(IF(C$351*C$352*C$353*C$347*C$348&gt;0,AVERAGE(C$351:C$353, C$347, C$348),""),"")</f>
        <v/>
      </c>
      <c r="D471" s="261" t="str">
        <f aca="false">IFERROR(IF(D$351*D$352*D$353*D$347*D$348&gt;0,AVERAGE(D$351:D$353, D$347, D$348),""),"")</f>
        <v/>
      </c>
      <c r="E471" s="261" t="str">
        <f aca="false">IFERROR(IF(E$351*E$352*E$353*E$347*E$348&gt;0,AVERAGE(E$351:E$353, E$347, E$348),""),"")</f>
        <v/>
      </c>
      <c r="F471" s="261" t="str">
        <f aca="false">IFERROR(IF(F$351*F$352*F$353*F$347*F$348&gt;0,AVERAGE(F$351:F$353, F$347, F$348),""),"")</f>
        <v/>
      </c>
      <c r="G471" s="261" t="str">
        <f aca="false">IFERROR(IF(G$351*G$352*G$353*G$347*G$348&gt;0,AVERAGE(G$351:G$353, G$347, G$348),""),"")</f>
        <v/>
      </c>
      <c r="H471" s="261" t="str">
        <f aca="false">IFERROR(IF(H$351*H$352*H$353*H$347*H$348&gt;0,AVERAGE(H$351:H$353, H$347, H$348),""),"")</f>
        <v/>
      </c>
      <c r="I471" s="261" t="str">
        <f aca="false">IFERROR(IF(I$351*I$352*I$353*I$347*I$348&gt;0,AVERAGE(I$351:I$353, I$347, I$348),""),"")</f>
        <v/>
      </c>
      <c r="J471" s="261" t="str">
        <f aca="false">IFERROR(IF(J$351*J$352*J$353*J$347*J$348&gt;0,AVERAGE(J$351:J$353, J$347, J$348),""),"")</f>
        <v/>
      </c>
      <c r="K471" s="261" t="str">
        <f aca="false">IFERROR(IF(K$351*K$352*K$353*K$347*K$348&gt;0,AVERAGE(K$351:K$353, K$347, K$348),""),"")</f>
        <v/>
      </c>
      <c r="L471" s="261" t="str">
        <f aca="false">IFERROR(IF(L$351*L$352*L$353*L$347*L$348&gt;0,AVERAGE(L$351:L$353, L$347, L$348),""),"")</f>
        <v/>
      </c>
      <c r="M471" s="261" t="str">
        <f aca="false">IFERROR(IF(M$351*M$352*M$353*M$347*M$348&gt;0,AVERAGE(M$351:M$353, M$347, M$348),""),"")</f>
        <v/>
      </c>
      <c r="N471" s="261" t="str">
        <f aca="false">IFERROR(IF(N$351*N$352*N$353*N$347*N$348&gt;0,AVERAGE(N$351:N$353, N$347, N$348),""),"")</f>
        <v/>
      </c>
      <c r="O471" s="224"/>
      <c r="P471" s="224"/>
      <c r="Q471" s="232"/>
      <c r="R471" s="226" t="s">
        <v>573</v>
      </c>
      <c r="S471" s="227" t="str">
        <f aca="false">IFERROR(IF(C$351*C$352*C$353*C$347*C$348&gt;0,STDEV(C$351:C$353,, C$347, C$348),"")/IF(C$351*C$352*C$353*C$347*C$348&gt;0,AVERAGE(C$351:C$353,, C$347, C$348),""),"")</f>
        <v/>
      </c>
      <c r="T471" s="227" t="str">
        <f aca="false">IFERROR(IF(D$351*D$352*D$353*D$347*D$348&gt;0,STDEV(D$351:D$353,, D$347, D$348),"")/IF(D$351*D$352*D$353*D$347*D$348&gt;0,AVERAGE(D$351:D$353,, D$347, D$348),""),"")</f>
        <v/>
      </c>
      <c r="U471" s="227" t="str">
        <f aca="false">IFERROR(IF(E$351*E$352*E$353*E$347*E$348&gt;0,STDEV(E$351:E$353,, E$347, E$348),"")/IF(E$351*E$352*E$353*E$347*E$348&gt;0,AVERAGE(E$351:E$353,, E$347, E$348),""),"")</f>
        <v/>
      </c>
      <c r="V471" s="227" t="str">
        <f aca="false">IFERROR(IF(F$351*F$352*F$353*F$347*F$348&gt;0,STDEV(F$351:F$353,, F$347, F$348),"")/IF(F$351*F$352*F$353*F$347*F$348&gt;0,AVERAGE(F$351:F$353,, F$347, F$348),""),"")</f>
        <v/>
      </c>
      <c r="W471" s="227" t="str">
        <f aca="false">IFERROR(IF(G$351*G$352*G$353*G$347*G$348&gt;0,STDEV(G$351:G$353,, G$347, G$348),"")/IF(G$351*G$352*G$353*G$347*G$348&gt;0,AVERAGE(G$351:G$353,, G$347, G$348),""),"")</f>
        <v/>
      </c>
      <c r="X471" s="227" t="str">
        <f aca="false">IFERROR(IF(H$351*H$352*H$353*H$347*H$348&gt;0,STDEV(H$351:H$353,, H$347, H$348),"")/IF(H$351*H$352*H$353*H$347*H$348&gt;0,AVERAGE(H$351:H$353,, H$347, H$348),""),"")</f>
        <v/>
      </c>
      <c r="Y471" s="227" t="str">
        <f aca="false">IFERROR(IF(I$351*I$352*I$353*I$347*I$348&gt;0,STDEV(I$351:I$353,, I$347, I$348),"")/IF(I$351*I$352*I$353*I$347*I$348&gt;0,AVERAGE(I$351:I$353,, I$347, I$348),""),"")</f>
        <v/>
      </c>
      <c r="Z471" s="227" t="str">
        <f aca="false">IFERROR(IF(J$351*J$352*J$353*J$347*J$348&gt;0,STDEV(J$351:J$353,, J$347, J$348),"")/IF(J$351*J$352*J$353*J$347*J$348&gt;0,AVERAGE(J$351:J$353,, J$347, J$348),""),"")</f>
        <v/>
      </c>
      <c r="AA471" s="227" t="str">
        <f aca="false">IFERROR(IF(K$351*K$352*K$353*K$347*K$348&gt;0,STDEV(K$351:K$353,, K$347, K$348),"")/IF(K$351*K$352*K$353*K$347*K$348&gt;0,AVERAGE(K$351:K$353,, K$347, K$348),""),"")</f>
        <v/>
      </c>
      <c r="AB471" s="227" t="str">
        <f aca="false">IFERROR(IF(L$351*L$352*L$353*L$347*L$348&gt;0,STDEV(L$351:L$353,, L$347, L$348),"")/IF(L$351*L$352*L$353*L$347*L$348&gt;0,AVERAGE(L$351:L$353,, L$347, L$348),""),"")</f>
        <v/>
      </c>
      <c r="AC471" s="227" t="str">
        <f aca="false">IFERROR(IF(M$351*M$352*M$353*M$347*M$348&gt;0,STDEV(M$351:M$353,, M$347, M$348),"")/IF(M$351*M$352*M$353*M$347*M$348&gt;0,AVERAGE(M$351:M$353,, M$347, M$348),""),"")</f>
        <v/>
      </c>
      <c r="AD471" s="227" t="str">
        <f aca="false">IFERROR(IF(N$351*N$352*N$353*N$347*N$348&gt;0,STDEV(N$351:N$353,, N$347, N$348),"")/IF(N$351*N$352*N$353*N$347*N$348&gt;0,AVERAGE(N$351:N$353,, N$347, N$348),""),"")</f>
        <v/>
      </c>
      <c r="AE471" s="233"/>
      <c r="AF471" s="229" t="s">
        <v>574</v>
      </c>
      <c r="AG471" s="230" t="str">
        <f aca="false">IFERROR(IF(C$351*C$352*C$353*C$347*C$348&gt;0,STDEV(C$351:C$353,, C$347, C$348)," ")/IF(C$351*C$352*C$353*C$347*C$348&gt;0,SQRT(COUNT(C$351:C$353,, C$347, C$348))," "),"")</f>
        <v/>
      </c>
      <c r="AH471" s="230" t="str">
        <f aca="false">IFERROR(IF(D$351*D$352*D$353*D$347*D$348&gt;0,STDEV(D$351:D$353,, D$347, D$348)," ")/IF(D$351*D$352*D$353*D$347*D$348&gt;0,SQRT(COUNT(D$351:D$353,, D$347, D$348))," "),"")</f>
        <v/>
      </c>
      <c r="AI471" s="230" t="str">
        <f aca="false">IFERROR(IF(E$351*E$352*E$353*E$347*E$348&gt;0,STDEV(E$351:E$353,, E$347, E$348)," ")/IF(E$351*E$352*E$353*E$347*E$348&gt;0,SQRT(COUNT(E$351:E$353,, E$347, E$348))," "),"")</f>
        <v/>
      </c>
      <c r="AJ471" s="230" t="str">
        <f aca="false">IFERROR(IF(F$351*F$352*F$353*F$347*F$348&gt;0,STDEV(F$351:F$353,, F$347, F$348)," ")/IF(F$351*F$352*F$353*F$347*F$348&gt;0,SQRT(COUNT(F$351:F$353,, F$347, F$348))," "),"")</f>
        <v/>
      </c>
      <c r="AK471" s="230" t="str">
        <f aca="false">IFERROR(IF(G$351*G$352*G$353*G$347*G$348&gt;0,STDEV(G$351:G$353,, G$347, G$348)," ")/IF(G$351*G$352*G$353*G$347*G$348&gt;0,SQRT(COUNT(G$351:G$353,, G$347, G$348))," "),"")</f>
        <v/>
      </c>
      <c r="AL471" s="230" t="str">
        <f aca="false">IFERROR(IF(H$351*H$352*H$353*H$347*H$348&gt;0,STDEV(H$351:H$353,, H$347, H$348)," ")/IF(H$351*H$352*H$353*H$347*H$348&gt;0,SQRT(COUNT(H$351:H$353,, H$347, H$348))," "),"")</f>
        <v/>
      </c>
      <c r="AM471" s="230" t="str">
        <f aca="false">IFERROR(IF(I$351*I$352*I$353*I$347*I$348&gt;0,STDEV(I$351:I$353,, I$347, I$348)," ")/IF(I$351*I$352*I$353*I$347*I$348&gt;0,SQRT(COUNT(I$351:I$353,, I$347, I$348))," "),"")</f>
        <v/>
      </c>
      <c r="AN471" s="230" t="str">
        <f aca="false">IFERROR(IF(J$351*J$352*J$353*J$347*J$348&gt;0,STDEV(J$351:J$353,, J$347, J$348)," ")/IF(J$351*J$352*J$353*J$347*J$348&gt;0,SQRT(COUNT(J$351:J$353,, J$347, J$348))," "),"")</f>
        <v/>
      </c>
      <c r="AO471" s="230" t="str">
        <f aca="false">IFERROR(IF(K$351*K$352*K$353*K$347*K$348&gt;0,STDEV(K$351:K$353,, K$347, K$348)," ")/IF(K$351*K$352*K$353*K$347*K$348&gt;0,SQRT(COUNT(K$351:K$353,, K$347, K$348))," "),"")</f>
        <v/>
      </c>
      <c r="AP471" s="230" t="str">
        <f aca="false">IFERROR(IF(L$351*L$352*L$353*L$347*L$348&gt;0,STDEV(L$351:L$353,, L$347, L$348)," ")/IF(L$351*L$352*L$353*L$347*L$348&gt;0,SQRT(COUNT(L$351:L$353,, L$347, L$348))," "),"")</f>
        <v/>
      </c>
      <c r="AQ471" s="230" t="str">
        <f aca="false">IFERROR(IF(M$351*M$352*M$353*M$347*M$348&gt;0,STDEV(M$351:M$353,, M$347, M$348)," ")/IF(M$351*M$352*M$353*M$347*M$348&gt;0,SQRT(COUNT(M$351:M$353,, M$347, M$348))," "),"")</f>
        <v/>
      </c>
      <c r="AR471" s="230" t="str">
        <f aca="false">IFERROR(IF(N$351*N$352*N$353*N$347*N$348&gt;0,STDEV(N$351:N$353,, N$347, N$348)," ")/IF(N$351*N$352*N$353*N$347*N$348&gt;0,SQRT(COUNT(N$351:N$353,, N$347, N$348))," "),"")</f>
        <v/>
      </c>
    </row>
    <row r="472" customFormat="false" ht="15.75" hidden="false" customHeight="false" outlineLevel="0" collapsed="false">
      <c r="A472" s="220" t="s">
        <v>575</v>
      </c>
      <c r="B472" s="221"/>
      <c r="C472" s="261" t="str">
        <f aca="false">IFERROR(IF(C$351*C$352*C$353*C$347*C$349&gt;0,AVERAGE(C$351:C$353, C$347, C$349),""),"")</f>
        <v/>
      </c>
      <c r="D472" s="261" t="str">
        <f aca="false">IFERROR(IF(D$351*D$352*D$353*D$347*D$349&gt;0,AVERAGE(D$351:D$353, D$347, D$349),""),"")</f>
        <v/>
      </c>
      <c r="E472" s="261" t="str">
        <f aca="false">IFERROR(IF(E$351*E$352*E$353*E$347*E$349&gt;0,AVERAGE(E$351:E$353, E$347, E$349),""),"")</f>
        <v/>
      </c>
      <c r="F472" s="261" t="str">
        <f aca="false">IFERROR(IF(F$351*F$352*F$353*F$347*F$349&gt;0,AVERAGE(F$351:F$353, F$347, F$349),""),"")</f>
        <v/>
      </c>
      <c r="G472" s="261" t="str">
        <f aca="false">IFERROR(IF(G$351*G$352*G$353*G$347*G$349&gt;0,AVERAGE(G$351:G$353, G$347, G$349),""),"")</f>
        <v/>
      </c>
      <c r="H472" s="261" t="str">
        <f aca="false">IFERROR(IF(H$351*H$352*H$353*H$347*H$349&gt;0,AVERAGE(H$351:H$353, H$347, H$349),""),"")</f>
        <v/>
      </c>
      <c r="I472" s="261" t="str">
        <f aca="false">IFERROR(IF(I$351*I$352*I$353*I$347*I$349&gt;0,AVERAGE(I$351:I$353, I$347, I$349),""),"")</f>
        <v/>
      </c>
      <c r="J472" s="261" t="str">
        <f aca="false">IFERROR(IF(J$351*J$352*J$353*J$347*J$349&gt;0,AVERAGE(J$351:J$353, J$347, J$349),""),"")</f>
        <v/>
      </c>
      <c r="K472" s="261" t="str">
        <f aca="false">IFERROR(IF(K$351*K$352*K$353*K$347*K$349&gt;0,AVERAGE(K$351:K$353, K$347, K$349),""),"")</f>
        <v/>
      </c>
      <c r="L472" s="261" t="str">
        <f aca="false">IFERROR(IF(L$351*L$352*L$353*L$347*L$349&gt;0,AVERAGE(L$351:L$353, L$347, L$349),""),"")</f>
        <v/>
      </c>
      <c r="M472" s="261" t="str">
        <f aca="false">IFERROR(IF(M$351*M$352*M$353*M$347*M$349&gt;0,AVERAGE(M$351:M$353, M$347, M$349),""),"")</f>
        <v/>
      </c>
      <c r="N472" s="261" t="str">
        <f aca="false">IFERROR(IF(N$351*N$352*N$353*N$347*N$349&gt;0,AVERAGE(N$351:N$353, N$347, N$349),""),"")</f>
        <v/>
      </c>
      <c r="O472" s="224"/>
      <c r="P472" s="224"/>
      <c r="Q472" s="232"/>
      <c r="R472" s="226" t="s">
        <v>576</v>
      </c>
      <c r="S472" s="227" t="str">
        <f aca="false">IFERROR(IF(C$351*C$352*C$353*C$347*C$349&gt;0,STDEV(C$351:C$353,, C$347, C$349),"")/IF(C$351*C$352*C$353*C$347*C$349&gt;0,AVERAGE(C$351:C$353,, C$347, C$349),""),"")</f>
        <v/>
      </c>
      <c r="T472" s="227" t="str">
        <f aca="false">IFERROR(IF(D$351*D$352*D$353*D$347*D$349&gt;0,STDEV(D$351:D$353,, D$347, D$349),"")/IF(D$351*D$352*D$353*D$347*D$349&gt;0,AVERAGE(D$351:D$353,, D$347, D$349),""),"")</f>
        <v/>
      </c>
      <c r="U472" s="227" t="str">
        <f aca="false">IFERROR(IF(E$351*E$352*E$353*E$347*E$349&gt;0,STDEV(E$351:E$353,, E$347, E$349),"")/IF(E$351*E$352*E$353*E$347*E$349&gt;0,AVERAGE(E$351:E$353,, E$347, E$349),""),"")</f>
        <v/>
      </c>
      <c r="V472" s="227" t="str">
        <f aca="false">IFERROR(IF(F$351*F$352*F$353*F$347*F$349&gt;0,STDEV(F$351:F$353,, F$347, F$349),"")/IF(F$351*F$352*F$353*F$347*F$349&gt;0,AVERAGE(F$351:F$353,, F$347, F$349),""),"")</f>
        <v/>
      </c>
      <c r="W472" s="227" t="str">
        <f aca="false">IFERROR(IF(G$351*G$352*G$353*G$347*G$349&gt;0,STDEV(G$351:G$353,, G$347, G$349),"")/IF(G$351*G$352*G$353*G$347*G$349&gt;0,AVERAGE(G$351:G$353,, G$347, G$349),""),"")</f>
        <v/>
      </c>
      <c r="X472" s="227" t="str">
        <f aca="false">IFERROR(IF(H$351*H$352*H$353*H$347*H$349&gt;0,STDEV(H$351:H$353,, H$347, H$349),"")/IF(H$351*H$352*H$353*H$347*H$349&gt;0,AVERAGE(H$351:H$353,, H$347, H$349),""),"")</f>
        <v/>
      </c>
      <c r="Y472" s="227" t="str">
        <f aca="false">IFERROR(IF(I$351*I$352*I$353*I$347*I$349&gt;0,STDEV(I$351:I$353,, I$347, I$349),"")/IF(I$351*I$352*I$353*I$347*I$349&gt;0,AVERAGE(I$351:I$353,, I$347, I$349),""),"")</f>
        <v/>
      </c>
      <c r="Z472" s="227" t="str">
        <f aca="false">IFERROR(IF(J$351*J$352*J$353*J$347*J$349&gt;0,STDEV(J$351:J$353,, J$347, J$349),"")/IF(J$351*J$352*J$353*J$347*J$349&gt;0,AVERAGE(J$351:J$353,, J$347, J$349),""),"")</f>
        <v/>
      </c>
      <c r="AA472" s="227" t="str">
        <f aca="false">IFERROR(IF(K$351*K$352*K$353*K$347*K$349&gt;0,STDEV(K$351:K$353,, K$347, K$349),"")/IF(K$351*K$352*K$353*K$347*K$349&gt;0,AVERAGE(K$351:K$353,, K$347, K$349),""),"")</f>
        <v/>
      </c>
      <c r="AB472" s="227" t="str">
        <f aca="false">IFERROR(IF(L$351*L$352*L$353*L$347*L$349&gt;0,STDEV(L$351:L$353,, L$347, L$349),"")/IF(L$351*L$352*L$353*L$347*L$349&gt;0,AVERAGE(L$351:L$353,, L$347, L$349),""),"")</f>
        <v/>
      </c>
      <c r="AC472" s="227" t="str">
        <f aca="false">IFERROR(IF(M$351*M$352*M$353*M$347*M$349&gt;0,STDEV(M$351:M$353,, M$347, M$349),"")/IF(M$351*M$352*M$353*M$347*M$349&gt;0,AVERAGE(M$351:M$353,, M$347, M$349),""),"")</f>
        <v/>
      </c>
      <c r="AD472" s="227" t="str">
        <f aca="false">IFERROR(IF(N$351*N$352*N$353*N$347*N$349&gt;0,STDEV(N$351:N$353,, N$347, N$349),"")/IF(N$351*N$352*N$353*N$347*N$349&gt;0,AVERAGE(N$351:N$353,, N$347, N$349),""),"")</f>
        <v/>
      </c>
      <c r="AE472" s="233"/>
      <c r="AF472" s="229" t="s">
        <v>577</v>
      </c>
      <c r="AG472" s="230" t="str">
        <f aca="false">IFERROR(IF(C$351*C$352*C$353*C$347*C$349&gt;0,STDEV(C$351:C$353,, C$347, C$349)," ")/IF(C$351*C$352*C$353*C$347*C$349&gt;0,SQRT(COUNT(C$351:C$353,, C$347, C$349))," "),"")</f>
        <v/>
      </c>
      <c r="AH472" s="230" t="str">
        <f aca="false">IFERROR(IF(D$351*D$352*D$353*D$347*D$349&gt;0,STDEV(D$351:D$353,, D$347, D$349)," ")/IF(D$351*D$352*D$353*D$347*D$349&gt;0,SQRT(COUNT(D$351:D$353,, D$347, D$349))," "),"")</f>
        <v/>
      </c>
      <c r="AI472" s="230" t="str">
        <f aca="false">IFERROR(IF(E$351*E$352*E$353*E$347*E$349&gt;0,STDEV(E$351:E$353,, E$347, E$349)," ")/IF(E$351*E$352*E$353*E$347*E$349&gt;0,SQRT(COUNT(E$351:E$353,, E$347, E$349))," "),"")</f>
        <v/>
      </c>
      <c r="AJ472" s="230" t="str">
        <f aca="false">IFERROR(IF(F$351*F$352*F$353*F$347*F$349&gt;0,STDEV(F$351:F$353,, F$347, F$349)," ")/IF(F$351*F$352*F$353*F$347*F$349&gt;0,SQRT(COUNT(F$351:F$353,, F$347, F$349))," "),"")</f>
        <v/>
      </c>
      <c r="AK472" s="230" t="str">
        <f aca="false">IFERROR(IF(G$351*G$352*G$353*G$347*G$349&gt;0,STDEV(G$351:G$353,, G$347, G$349)," ")/IF(G$351*G$352*G$353*G$347*G$349&gt;0,SQRT(COUNT(G$351:G$353,, G$347, G$349))," "),"")</f>
        <v/>
      </c>
      <c r="AL472" s="230" t="str">
        <f aca="false">IFERROR(IF(H$351*H$352*H$353*H$347*H$349&gt;0,STDEV(H$351:H$353,, H$347, H$349)," ")/IF(H$351*H$352*H$353*H$347*H$349&gt;0,SQRT(COUNT(H$351:H$353,, H$347, H$349))," "),"")</f>
        <v/>
      </c>
      <c r="AM472" s="230" t="str">
        <f aca="false">IFERROR(IF(I$351*I$352*I$353*I$347*I$349&gt;0,STDEV(I$351:I$353,, I$347, I$349)," ")/IF(I$351*I$352*I$353*I$347*I$349&gt;0,SQRT(COUNT(I$351:I$353,, I$347, I$349))," "),"")</f>
        <v/>
      </c>
      <c r="AN472" s="230" t="str">
        <f aca="false">IFERROR(IF(J$351*J$352*J$353*J$347*J$349&gt;0,STDEV(J$351:J$353,, J$347, J$349)," ")/IF(J$351*J$352*J$353*J$347*J$349&gt;0,SQRT(COUNT(J$351:J$353,, J$347, J$349))," "),"")</f>
        <v/>
      </c>
      <c r="AO472" s="230" t="str">
        <f aca="false">IFERROR(IF(K$351*K$352*K$353*K$347*K$349&gt;0,STDEV(K$351:K$353,, K$347, K$349)," ")/IF(K$351*K$352*K$353*K$347*K$349&gt;0,SQRT(COUNT(K$351:K$353,, K$347, K$349))," "),"")</f>
        <v/>
      </c>
      <c r="AP472" s="230" t="str">
        <f aca="false">IFERROR(IF(L$351*L$352*L$353*L$347*L$349&gt;0,STDEV(L$351:L$353,, L$347, L$349)," ")/IF(L$351*L$352*L$353*L$347*L$349&gt;0,SQRT(COUNT(L$351:L$353,, L$347, L$349))," "),"")</f>
        <v/>
      </c>
      <c r="AQ472" s="230" t="str">
        <f aca="false">IFERROR(IF(M$351*M$352*M$353*M$347*M$349&gt;0,STDEV(M$351:M$353,, M$347, M$349)," ")/IF(M$351*M$352*M$353*M$347*M$349&gt;0,SQRT(COUNT(M$351:M$353,, M$347, M$349))," "),"")</f>
        <v/>
      </c>
      <c r="AR472" s="230" t="str">
        <f aca="false">IFERROR(IF(N$351*N$352*N$353*N$347*N$349&gt;0,STDEV(N$351:N$353,, N$347, N$349)," ")/IF(N$351*N$352*N$353*N$347*N$349&gt;0,SQRT(COUNT(N$351:N$353,, N$347, N$349))," "),"")</f>
        <v/>
      </c>
    </row>
    <row r="473" customFormat="false" ht="15.75" hidden="false" customHeight="false" outlineLevel="0" collapsed="false">
      <c r="A473" s="220" t="s">
        <v>578</v>
      </c>
      <c r="B473" s="221"/>
      <c r="C473" s="261" t="str">
        <f aca="false">IFERROR(IF(C$351*C$352*C$353*C$347*C$350&gt;0,AVERAGE(C$351:C$353, C$347, C$350),""),"")</f>
        <v/>
      </c>
      <c r="D473" s="261" t="str">
        <f aca="false">IFERROR(IF(D$351*D$352*D$353*D$347*D$350&gt;0,AVERAGE(D$351:D$353, D$347, D$350),""),"")</f>
        <v/>
      </c>
      <c r="E473" s="261" t="str">
        <f aca="false">IFERROR(IF(E$351*E$352*E$353*E$347*E$350&gt;0,AVERAGE(E$351:E$353, E$347, E$350),""),"")</f>
        <v/>
      </c>
      <c r="F473" s="261" t="str">
        <f aca="false">IFERROR(IF(F$351*F$352*F$353*F$347*F$350&gt;0,AVERAGE(F$351:F$353, F$347, F$350),""),"")</f>
        <v/>
      </c>
      <c r="G473" s="261" t="str">
        <f aca="false">IFERROR(IF(G$351*G$352*G$353*G$347*G$350&gt;0,AVERAGE(G$351:G$353, G$347, G$350),""),"")</f>
        <v/>
      </c>
      <c r="H473" s="261" t="str">
        <f aca="false">IFERROR(IF(H$351*H$352*H$353*H$347*H$350&gt;0,AVERAGE(H$351:H$353, H$347, H$350),""),"")</f>
        <v/>
      </c>
      <c r="I473" s="261" t="str">
        <f aca="false">IFERROR(IF(I$351*I$352*I$353*I$347*I$350&gt;0,AVERAGE(I$351:I$353, I$347, I$350),""),"")</f>
        <v/>
      </c>
      <c r="J473" s="261" t="str">
        <f aca="false">IFERROR(IF(J$351*J$352*J$353*J$347*J$350&gt;0,AVERAGE(J$351:J$353, J$347, J$350),""),"")</f>
        <v/>
      </c>
      <c r="K473" s="261" t="str">
        <f aca="false">IFERROR(IF(K$351*K$352*K$353*K$347*K$350&gt;0,AVERAGE(K$351:K$353, K$347, K$350),""),"")</f>
        <v/>
      </c>
      <c r="L473" s="261" t="str">
        <f aca="false">IFERROR(IF(L$351*L$352*L$353*L$347*L$350&gt;0,AVERAGE(L$351:L$353, L$347, L$350),""),"")</f>
        <v/>
      </c>
      <c r="M473" s="261" t="str">
        <f aca="false">IFERROR(IF(M$351*M$352*M$353*M$347*M$350&gt;0,AVERAGE(M$351:M$353, M$347, M$350),""),"")</f>
        <v/>
      </c>
      <c r="N473" s="261" t="str">
        <f aca="false">IFERROR(IF(N$351*N$352*N$353*N$347*N$350&gt;0,AVERAGE(N$351:N$353, N$347, N$350),""),"")</f>
        <v/>
      </c>
      <c r="O473" s="224"/>
      <c r="P473" s="224"/>
      <c r="Q473" s="232"/>
      <c r="R473" s="226" t="s">
        <v>579</v>
      </c>
      <c r="S473" s="227" t="str">
        <f aca="false">IFERROR(IF(C$351*C$352*C$353*C$347*C$350&gt;0,STDEV(C$351:C$353,, C$347, C$350),"")/IF(C$351*C$352*C$353*C$347*C$350&gt;0,AVERAGE(C$351:C$353,, C$347, C$350),""),"")</f>
        <v/>
      </c>
      <c r="T473" s="227" t="str">
        <f aca="false">IFERROR(IF(D$351*D$352*D$353*D$347*D$350&gt;0,STDEV(D$351:D$353,, D$347, D$350),"")/IF(D$351*D$352*D$353*D$347*D$350&gt;0,AVERAGE(D$351:D$353,, D$347, D$350),""),"")</f>
        <v/>
      </c>
      <c r="U473" s="227" t="str">
        <f aca="false">IFERROR(IF(E$351*E$352*E$353*E$347*E$350&gt;0,STDEV(E$351:E$353,, E$347, E$350),"")/IF(E$351*E$352*E$353*E$347*E$350&gt;0,AVERAGE(E$351:E$353,, E$347, E$350),""),"")</f>
        <v/>
      </c>
      <c r="V473" s="227" t="str">
        <f aca="false">IFERROR(IF(F$351*F$352*F$353*F$347*F$350&gt;0,STDEV(F$351:F$353,, F$347, F$350),"")/IF(F$351*F$352*F$353*F$347*F$350&gt;0,AVERAGE(F$351:F$353,, F$347, F$350),""),"")</f>
        <v/>
      </c>
      <c r="W473" s="227" t="str">
        <f aca="false">IFERROR(IF(G$351*G$352*G$353*G$347*G$350&gt;0,STDEV(G$351:G$353,, G$347, G$350),"")/IF(G$351*G$352*G$353*G$347*G$350&gt;0,AVERAGE(G$351:G$353,, G$347, G$350),""),"")</f>
        <v/>
      </c>
      <c r="X473" s="227" t="str">
        <f aca="false">IFERROR(IF(H$351*H$352*H$353*H$347*H$350&gt;0,STDEV(H$351:H$353,, H$347, H$350),"")/IF(H$351*H$352*H$353*H$347*H$350&gt;0,AVERAGE(H$351:H$353,, H$347, H$350),""),"")</f>
        <v/>
      </c>
      <c r="Y473" s="227" t="str">
        <f aca="false">IFERROR(IF(I$351*I$352*I$353*I$347*I$350&gt;0,STDEV(I$351:I$353,, I$347, I$350),"")/IF(I$351*I$352*I$353*I$347*I$350&gt;0,AVERAGE(I$351:I$353,, I$347, I$350),""),"")</f>
        <v/>
      </c>
      <c r="Z473" s="227" t="str">
        <f aca="false">IFERROR(IF(J$351*J$352*J$353*J$347*J$350&gt;0,STDEV(J$351:J$353,, J$347, J$350),"")/IF(J$351*J$352*J$353*J$347*J$350&gt;0,AVERAGE(J$351:J$353,, J$347, J$350),""),"")</f>
        <v/>
      </c>
      <c r="AA473" s="227" t="str">
        <f aca="false">IFERROR(IF(K$351*K$352*K$353*K$347*K$350&gt;0,STDEV(K$351:K$353,, K$347, K$350),"")/IF(K$351*K$352*K$353*K$347*K$350&gt;0,AVERAGE(K$351:K$353,, K$347, K$350),""),"")</f>
        <v/>
      </c>
      <c r="AB473" s="227" t="str">
        <f aca="false">IFERROR(IF(L$351*L$352*L$353*L$347*L$350&gt;0,STDEV(L$351:L$353,, L$347, L$350),"")/IF(L$351*L$352*L$353*L$347*L$350&gt;0,AVERAGE(L$351:L$353,, L$347, L$350),""),"")</f>
        <v/>
      </c>
      <c r="AC473" s="227" t="str">
        <f aca="false">IFERROR(IF(M$351*M$352*M$353*M$347*M$350&gt;0,STDEV(M$351:M$353,, M$347, M$350),"")/IF(M$351*M$352*M$353*M$347*M$350&gt;0,AVERAGE(M$351:M$353,, M$347, M$350),""),"")</f>
        <v/>
      </c>
      <c r="AD473" s="227" t="str">
        <f aca="false">IFERROR(IF(N$351*N$352*N$353*N$347*N$350&gt;0,STDEV(N$351:N$353,, N$347, N$350),"")/IF(N$351*N$352*N$353*N$347*N$350&gt;0,AVERAGE(N$351:N$353,, N$347, N$350),""),"")</f>
        <v/>
      </c>
      <c r="AE473" s="233"/>
      <c r="AF473" s="229" t="s">
        <v>580</v>
      </c>
      <c r="AG473" s="230" t="str">
        <f aca="false">IFERROR(IF(C$351*C$352*C$353*C$347*C$350&gt;0,STDEV(C$351:C$353,, C$347, C$350)," ")/IF(C$351*C$352*C$353*C$347*C$350&gt;0,SQRT(COUNT(C$351:C$353,, C$347, C$350))," "),"")</f>
        <v/>
      </c>
      <c r="AH473" s="230" t="str">
        <f aca="false">IFERROR(IF(D$351*D$352*D$353*D$347*D$350&gt;0,STDEV(D$351:D$353,, D$347, D$350)," ")/IF(D$351*D$352*D$353*D$347*D$350&gt;0,SQRT(COUNT(D$351:D$353,, D$347, D$350))," "),"")</f>
        <v/>
      </c>
      <c r="AI473" s="230" t="str">
        <f aca="false">IFERROR(IF(E$351*E$352*E$353*E$347*E$350&gt;0,STDEV(E$351:E$353,, E$347, E$350)," ")/IF(E$351*E$352*E$353*E$347*E$350&gt;0,SQRT(COUNT(E$351:E$353,, E$347, E$350))," "),"")</f>
        <v/>
      </c>
      <c r="AJ473" s="230" t="str">
        <f aca="false">IFERROR(IF(F$351*F$352*F$353*F$347*F$350&gt;0,STDEV(F$351:F$353,, F$347, F$350)," ")/IF(F$351*F$352*F$353*F$347*F$350&gt;0,SQRT(COUNT(F$351:F$353,, F$347, F$350))," "),"")</f>
        <v/>
      </c>
      <c r="AK473" s="230" t="str">
        <f aca="false">IFERROR(IF(G$351*G$352*G$353*G$347*G$350&gt;0,STDEV(G$351:G$353,, G$347, G$350)," ")/IF(G$351*G$352*G$353*G$347*G$350&gt;0,SQRT(COUNT(G$351:G$353,, G$347, G$350))," "),"")</f>
        <v/>
      </c>
      <c r="AL473" s="230" t="str">
        <f aca="false">IFERROR(IF(H$351*H$352*H$353*H$347*H$350&gt;0,STDEV(H$351:H$353,, H$347, H$350)," ")/IF(H$351*H$352*H$353*H$347*H$350&gt;0,SQRT(COUNT(H$351:H$353,, H$347, H$350))," "),"")</f>
        <v/>
      </c>
      <c r="AM473" s="230" t="str">
        <f aca="false">IFERROR(IF(I$351*I$352*I$353*I$347*I$350&gt;0,STDEV(I$351:I$353,, I$347, I$350)," ")/IF(I$351*I$352*I$353*I$347*I$350&gt;0,SQRT(COUNT(I$351:I$353,, I$347, I$350))," "),"")</f>
        <v/>
      </c>
      <c r="AN473" s="230" t="str">
        <f aca="false">IFERROR(IF(J$351*J$352*J$353*J$347*J$350&gt;0,STDEV(J$351:J$353,, J$347, J$350)," ")/IF(J$351*J$352*J$353*J$347*J$350&gt;0,SQRT(COUNT(J$351:J$353,, J$347, J$350))," "),"")</f>
        <v/>
      </c>
      <c r="AO473" s="230" t="str">
        <f aca="false">IFERROR(IF(K$351*K$352*K$353*K$347*K$350&gt;0,STDEV(K$351:K$353,, K$347, K$350)," ")/IF(K$351*K$352*K$353*K$347*K$350&gt;0,SQRT(COUNT(K$351:K$353,, K$347, K$350))," "),"")</f>
        <v/>
      </c>
      <c r="AP473" s="230" t="str">
        <f aca="false">IFERROR(IF(L$351*L$352*L$353*L$347*L$350&gt;0,STDEV(L$351:L$353,, L$347, L$350)," ")/IF(L$351*L$352*L$353*L$347*L$350&gt;0,SQRT(COUNT(L$351:L$353,, L$347, L$350))," "),"")</f>
        <v/>
      </c>
      <c r="AQ473" s="230" t="str">
        <f aca="false">IFERROR(IF(M$351*M$352*M$353*M$347*M$350&gt;0,STDEV(M$351:M$353,, M$347, M$350)," ")/IF(M$351*M$352*M$353*M$347*M$350&gt;0,SQRT(COUNT(M$351:M$353,, M$347, M$350))," "),"")</f>
        <v/>
      </c>
      <c r="AR473" s="230" t="str">
        <f aca="false">IFERROR(IF(N$351*N$352*N$353*N$347*N$350&gt;0,STDEV(N$351:N$353,, N$347, N$350)," ")/IF(N$351*N$352*N$353*N$347*N$350&gt;0,SQRT(COUNT(N$351:N$353,, N$347, N$350))," "),"")</f>
        <v/>
      </c>
    </row>
    <row r="474" customFormat="false" ht="15.75" hidden="false" customHeight="false" outlineLevel="0" collapsed="false">
      <c r="A474" s="220" t="s">
        <v>581</v>
      </c>
      <c r="B474" s="221"/>
      <c r="C474" s="261" t="str">
        <f aca="false">IFERROR(IF(C$351*C$352*C$353*C$348*C$349&gt;0,AVERAGE(C$351:C$353, C$348, C$349),""),"")</f>
        <v/>
      </c>
      <c r="D474" s="261" t="str">
        <f aca="false">IFERROR(IF(D$351*D$352*D$353*D$348*D$349&gt;0,AVERAGE(D$351:D$353, D$348, D$349),""),"")</f>
        <v/>
      </c>
      <c r="E474" s="261" t="str">
        <f aca="false">IFERROR(IF(E$351*E$352*E$353*E$348*E$349&gt;0,AVERAGE(E$351:E$353, E$348, E$349),""),"")</f>
        <v/>
      </c>
      <c r="F474" s="261" t="str">
        <f aca="false">IFERROR(IF(F$351*F$352*F$353*F$348*F$349&gt;0,AVERAGE(F$351:F$353, F$348, F$349),""),"")</f>
        <v/>
      </c>
      <c r="G474" s="261" t="str">
        <f aca="false">IFERROR(IF(G$351*G$352*G$353*G$348*G$349&gt;0,AVERAGE(G$351:G$353, G$348, G$349),""),"")</f>
        <v/>
      </c>
      <c r="H474" s="261" t="str">
        <f aca="false">IFERROR(IF(H$351*H$352*H$353*H$348*H$349&gt;0,AVERAGE(H$351:H$353, H$348, H$349),""),"")</f>
        <v/>
      </c>
      <c r="I474" s="261" t="str">
        <f aca="false">IFERROR(IF(I$351*I$352*I$353*I$348*I$349&gt;0,AVERAGE(I$351:I$353, I$348, I$349),""),"")</f>
        <v/>
      </c>
      <c r="J474" s="261" t="str">
        <f aca="false">IFERROR(IF(J$351*J$352*J$353*J$348*J$349&gt;0,AVERAGE(J$351:J$353, J$348, J$349),""),"")</f>
        <v/>
      </c>
      <c r="K474" s="261" t="str">
        <f aca="false">IFERROR(IF(K$351*K$352*K$353*K$348*K$349&gt;0,AVERAGE(K$351:K$353, K$348, K$349),""),"")</f>
        <v/>
      </c>
      <c r="L474" s="261" t="str">
        <f aca="false">IFERROR(IF(L$351*L$352*L$353*L$348*L$349&gt;0,AVERAGE(L$351:L$353, L$348, L$349),""),"")</f>
        <v/>
      </c>
      <c r="M474" s="261" t="str">
        <f aca="false">IFERROR(IF(M$351*M$352*M$353*M$348*M$349&gt;0,AVERAGE(M$351:M$353, M$348, M$349),""),"")</f>
        <v/>
      </c>
      <c r="N474" s="261" t="str">
        <f aca="false">IFERROR(IF(N$351*N$352*N$353*N$348*N$349&gt;0,AVERAGE(N$351:N$353, N$348, N$349),""),"")</f>
        <v/>
      </c>
      <c r="O474" s="224"/>
      <c r="P474" s="224"/>
      <c r="Q474" s="232"/>
      <c r="R474" s="226" t="s">
        <v>582</v>
      </c>
      <c r="S474" s="227" t="str">
        <f aca="false">IFERROR(IF(C$351*C$352*C$353*C$348*C$349&gt;0,STDEV(C$351:C$353,, C$348, C$349),"")/IF(C$351*C$352*C$353*C$348*C$349&gt;0,AVERAGE(C$351:C$353,, C$348, C$349),""),"")</f>
        <v/>
      </c>
      <c r="T474" s="227" t="str">
        <f aca="false">IFERROR(IF(D$351*D$352*D$353*D$348*D$349&gt;0,STDEV(D$351:D$353,, D$348, D$349),"")/IF(D$351*D$352*D$353*D$348*D$349&gt;0,AVERAGE(D$351:D$353,, D$348, D$349),""),"")</f>
        <v/>
      </c>
      <c r="U474" s="227" t="str">
        <f aca="false">IFERROR(IF(E$351*E$352*E$353*E$348*E$349&gt;0,STDEV(E$351:E$353,, E$348, E$349),"")/IF(E$351*E$352*E$353*E$348*E$349&gt;0,AVERAGE(E$351:E$353,, E$348, E$349),""),"")</f>
        <v/>
      </c>
      <c r="V474" s="227" t="str">
        <f aca="false">IFERROR(IF(F$351*F$352*F$353*F$348*F$349&gt;0,STDEV(F$351:F$353,, F$348, F$349),"")/IF(F$351*F$352*F$353*F$348*F$349&gt;0,AVERAGE(F$351:F$353,, F$348, F$349),""),"")</f>
        <v/>
      </c>
      <c r="W474" s="227" t="str">
        <f aca="false">IFERROR(IF(G$351*G$352*G$353*G$348*G$349&gt;0,STDEV(G$351:G$353,, G$348, G$349),"")/IF(G$351*G$352*G$353*G$348*G$349&gt;0,AVERAGE(G$351:G$353,, G$348, G$349),""),"")</f>
        <v/>
      </c>
      <c r="X474" s="227" t="str">
        <f aca="false">IFERROR(IF(H$351*H$352*H$353*H$348*H$349&gt;0,STDEV(H$351:H$353,, H$348, H$349),"")/IF(H$351*H$352*H$353*H$348*H$349&gt;0,AVERAGE(H$351:H$353,, H$348, H$349),""),"")</f>
        <v/>
      </c>
      <c r="Y474" s="227" t="str">
        <f aca="false">IFERROR(IF(I$351*I$352*I$353*I$348*I$349&gt;0,STDEV(I$351:I$353,, I$348, I$349),"")/IF(I$351*I$352*I$353*I$348*I$349&gt;0,AVERAGE(I$351:I$353,, I$348, I$349),""),"")</f>
        <v/>
      </c>
      <c r="Z474" s="227" t="str">
        <f aca="false">IFERROR(IF(J$351*J$352*J$353*J$348*J$349&gt;0,STDEV(J$351:J$353,, J$348, J$349),"")/IF(J$351*J$352*J$353*J$348*J$349&gt;0,AVERAGE(J$351:J$353,, J$348, J$349),""),"")</f>
        <v/>
      </c>
      <c r="AA474" s="227" t="str">
        <f aca="false">IFERROR(IF(K$351*K$352*K$353*K$348*K$349&gt;0,STDEV(K$351:K$353,, K$348, K$349),"")/IF(K$351*K$352*K$353*K$348*K$349&gt;0,AVERAGE(K$351:K$353,, K$348, K$349),""),"")</f>
        <v/>
      </c>
      <c r="AB474" s="227" t="str">
        <f aca="false">IFERROR(IF(L$351*L$352*L$353*L$348*L$349&gt;0,STDEV(L$351:L$353,, L$348, L$349),"")/IF(L$351*L$352*L$353*L$348*L$349&gt;0,AVERAGE(L$351:L$353,, L$348, L$349),""),"")</f>
        <v/>
      </c>
      <c r="AC474" s="227" t="str">
        <f aca="false">IFERROR(IF(M$351*M$352*M$353*M$348*M$349&gt;0,STDEV(M$351:M$353,, M$348, M$349),"")/IF(M$351*M$352*M$353*M$348*M$349&gt;0,AVERAGE(M$351:M$353,, M$348, M$349),""),"")</f>
        <v/>
      </c>
      <c r="AD474" s="227" t="str">
        <f aca="false">IFERROR(IF(N$351*N$352*N$353*N$348*N$349&gt;0,STDEV(N$351:N$353,, N$348, N$349),"")/IF(N$351*N$352*N$353*N$348*N$349&gt;0,AVERAGE(N$351:N$353,, N$348, N$349),""),"")</f>
        <v/>
      </c>
      <c r="AE474" s="233"/>
      <c r="AF474" s="229" t="s">
        <v>583</v>
      </c>
      <c r="AG474" s="230" t="str">
        <f aca="false">IFERROR(IF(C$351*C$352*C$353*C$348*C$349&gt;0,STDEV(C$351:C$353,, C$348, C$349)," ")/IF(C$351*C$352*C$353*C$348*C$349&gt;0,SQRT(COUNT(C$351:C$353,, C$348, C$349))," "),"")</f>
        <v/>
      </c>
      <c r="AH474" s="230" t="str">
        <f aca="false">IFERROR(IF(D$351*D$352*D$353*D$348*D$349&gt;0,STDEV(D$351:D$353,, D$348, D$349)," ")/IF(D$351*D$352*D$353*D$348*D$349&gt;0,SQRT(COUNT(D$351:D$353,, D$348, D$349))," "),"")</f>
        <v/>
      </c>
      <c r="AI474" s="230" t="str">
        <f aca="false">IFERROR(IF(E$351*E$352*E$353*E$348*E$349&gt;0,STDEV(E$351:E$353,, E$348, E$349)," ")/IF(E$351*E$352*E$353*E$348*E$349&gt;0,SQRT(COUNT(E$351:E$353,, E$348, E$349))," "),"")</f>
        <v/>
      </c>
      <c r="AJ474" s="230" t="str">
        <f aca="false">IFERROR(IF(F$351*F$352*F$353*F$348*F$349&gt;0,STDEV(F$351:F$353,, F$348, F$349)," ")/IF(F$351*F$352*F$353*F$348*F$349&gt;0,SQRT(COUNT(F$351:F$353,, F$348, F$349))," "),"")</f>
        <v/>
      </c>
      <c r="AK474" s="230" t="str">
        <f aca="false">IFERROR(IF(G$351*G$352*G$353*G$348*G$349&gt;0,STDEV(G$351:G$353,, G$348, G$349)," ")/IF(G$351*G$352*G$353*G$348*G$349&gt;0,SQRT(COUNT(G$351:G$353,, G$348, G$349))," "),"")</f>
        <v/>
      </c>
      <c r="AL474" s="230" t="str">
        <f aca="false">IFERROR(IF(H$351*H$352*H$353*H$348*H$349&gt;0,STDEV(H$351:H$353,, H$348, H$349)," ")/IF(H$351*H$352*H$353*H$348*H$349&gt;0,SQRT(COUNT(H$351:H$353,, H$348, H$349))," "),"")</f>
        <v/>
      </c>
      <c r="AM474" s="230" t="str">
        <f aca="false">IFERROR(IF(I$351*I$352*I$353*I$348*I$349&gt;0,STDEV(I$351:I$353,, I$348, I$349)," ")/IF(I$351*I$352*I$353*I$348*I$349&gt;0,SQRT(COUNT(I$351:I$353,, I$348, I$349))," "),"")</f>
        <v/>
      </c>
      <c r="AN474" s="230" t="str">
        <f aca="false">IFERROR(IF(J$351*J$352*J$353*J$348*J$349&gt;0,STDEV(J$351:J$353,, J$348, J$349)," ")/IF(J$351*J$352*J$353*J$348*J$349&gt;0,SQRT(COUNT(J$351:J$353,, J$348, J$349))," "),"")</f>
        <v/>
      </c>
      <c r="AO474" s="230" t="str">
        <f aca="false">IFERROR(IF(K$351*K$352*K$353*K$348*K$349&gt;0,STDEV(K$351:K$353,, K$348, K$349)," ")/IF(K$351*K$352*K$353*K$348*K$349&gt;0,SQRT(COUNT(K$351:K$353,, K$348, K$349))," "),"")</f>
        <v/>
      </c>
      <c r="AP474" s="230" t="str">
        <f aca="false">IFERROR(IF(L$351*L$352*L$353*L$348*L$349&gt;0,STDEV(L$351:L$353,, L$348, L$349)," ")/IF(L$351*L$352*L$353*L$348*L$349&gt;0,SQRT(COUNT(L$351:L$353,, L$348, L$349))," "),"")</f>
        <v/>
      </c>
      <c r="AQ474" s="230" t="str">
        <f aca="false">IFERROR(IF(M$351*M$352*M$353*M$348*M$349&gt;0,STDEV(M$351:M$353,, M$348, M$349)," ")/IF(M$351*M$352*M$353*M$348*M$349&gt;0,SQRT(COUNT(M$351:M$353,, M$348, M$349))," "),"")</f>
        <v/>
      </c>
      <c r="AR474" s="230" t="str">
        <f aca="false">IFERROR(IF(N$351*N$352*N$353*N$348*N$349&gt;0,STDEV(N$351:N$353,, N$348, N$349)," ")/IF(N$351*N$352*N$353*N$348*N$349&gt;0,SQRT(COUNT(N$351:N$353,, N$348, N$349))," "),"")</f>
        <v/>
      </c>
    </row>
    <row r="475" customFormat="false" ht="15.75" hidden="false" customHeight="false" outlineLevel="0" collapsed="false">
      <c r="A475" s="220" t="s">
        <v>584</v>
      </c>
      <c r="B475" s="221"/>
      <c r="C475" s="261" t="str">
        <f aca="false">IFERROR(IF(C$351*C$352*C$353*C$348*C$350&gt;0,AVERAGE(C$351:C$353, C$348, C$350),""),"")</f>
        <v/>
      </c>
      <c r="D475" s="261" t="str">
        <f aca="false">IFERROR(IF(D$351*D$352*D$353*D$348*D$350&gt;0,AVERAGE(D$351:D$353, D$348, D$350),""),"")</f>
        <v/>
      </c>
      <c r="E475" s="261" t="str">
        <f aca="false">IFERROR(IF(E$351*E$352*E$353*E$348*E$350&gt;0,AVERAGE(E$351:E$353, E$348, E$350),""),"")</f>
        <v/>
      </c>
      <c r="F475" s="261" t="str">
        <f aca="false">IFERROR(IF(F$351*F$352*F$353*F$348*F$350&gt;0,AVERAGE(F$351:F$353, F$348, F$350),""),"")</f>
        <v/>
      </c>
      <c r="G475" s="261" t="str">
        <f aca="false">IFERROR(IF(G$351*G$352*G$353*G$348*G$350&gt;0,AVERAGE(G$351:G$353, G$348, G$350),""),"")</f>
        <v/>
      </c>
      <c r="H475" s="261" t="str">
        <f aca="false">IFERROR(IF(H$351*H$352*H$353*H$348*H$350&gt;0,AVERAGE(H$351:H$353, H$348, H$350),""),"")</f>
        <v/>
      </c>
      <c r="I475" s="261" t="str">
        <f aca="false">IFERROR(IF(I$351*I$352*I$353*I$348*I$350&gt;0,AVERAGE(I$351:I$353, I$348, I$350),""),"")</f>
        <v/>
      </c>
      <c r="J475" s="261" t="str">
        <f aca="false">IFERROR(IF(J$351*J$352*J$353*J$348*J$350&gt;0,AVERAGE(J$351:J$353, J$348, J$350),""),"")</f>
        <v/>
      </c>
      <c r="K475" s="261" t="str">
        <f aca="false">IFERROR(IF(K$351*K$352*K$353*K$348*K$350&gt;0,AVERAGE(K$351:K$353, K$348, K$350),""),"")</f>
        <v/>
      </c>
      <c r="L475" s="261" t="str">
        <f aca="false">IFERROR(IF(L$351*L$352*L$353*L$348*L$350&gt;0,AVERAGE(L$351:L$353, L$348, L$350),""),"")</f>
        <v/>
      </c>
      <c r="M475" s="261" t="str">
        <f aca="false">IFERROR(IF(M$351*M$352*M$353*M$348*M$350&gt;0,AVERAGE(M$351:M$353, M$348, M$350),""),"")</f>
        <v/>
      </c>
      <c r="N475" s="261" t="str">
        <f aca="false">IFERROR(IF(N$351*N$352*N$353*N$348*N$350&gt;0,AVERAGE(N$351:N$353, N$348, N$350),""),"")</f>
        <v/>
      </c>
      <c r="O475" s="224"/>
      <c r="P475" s="224"/>
      <c r="Q475" s="232"/>
      <c r="R475" s="226" t="s">
        <v>585</v>
      </c>
      <c r="S475" s="227" t="str">
        <f aca="false">IFERROR(IF(C$351*C$352*C$353*C$348*C$350&gt;0,STDEV(C$351:C$353, C$348, C$350),"")/IF(C$351*C$352*C$353*C$348*C$350&gt;0,AVERAGE(C$351:C$353, C$348, C$350),""),"")</f>
        <v/>
      </c>
      <c r="T475" s="227" t="str">
        <f aca="false">IFERROR(IF(D$351*D$352*D$353*D$348*D$350&gt;0,STDEV(D$351:D$353, D$348, D$350),"")/IF(D$351*D$352*D$353*D$348*D$350&gt;0,AVERAGE(D$351:D$353, D$348, D$350),""),"")</f>
        <v/>
      </c>
      <c r="U475" s="227" t="str">
        <f aca="false">IFERROR(IF(E$351*E$352*E$353*E$348*E$350&gt;0,STDEV(E$351:E$353, E$348, E$350),"")/IF(E$351*E$352*E$353*E$348*E$350&gt;0,AVERAGE(E$351:E$353, E$348, E$350),""),"")</f>
        <v/>
      </c>
      <c r="V475" s="227" t="str">
        <f aca="false">IFERROR(IF(F$351*F$352*F$353*F$348*F$350&gt;0,STDEV(F$351:F$353, F$348, F$350),"")/IF(F$351*F$352*F$353*F$348*F$350&gt;0,AVERAGE(F$351:F$353, F$348, F$350),""),"")</f>
        <v/>
      </c>
      <c r="W475" s="227" t="str">
        <f aca="false">IFERROR(IF(G$351*G$352*G$353*G$348*G$350&gt;0,STDEV(G$351:G$353, G$348, G$350),"")/IF(G$351*G$352*G$353*G$348*G$350&gt;0,AVERAGE(G$351:G$353, G$348, G$350),""),"")</f>
        <v/>
      </c>
      <c r="X475" s="227" t="str">
        <f aca="false">IFERROR(IF(H$351*H$352*H$353*H$348*H$350&gt;0,STDEV(H$351:H$353, H$348, H$350),"")/IF(H$351*H$352*H$353*H$348*H$350&gt;0,AVERAGE(H$351:H$353, H$348, H$350),""),"")</f>
        <v/>
      </c>
      <c r="Y475" s="227" t="str">
        <f aca="false">IFERROR(IF(I$351*I$352*I$353*I$348*I$350&gt;0,STDEV(I$351:I$353, I$348, I$350),"")/IF(I$351*I$352*I$353*I$348*I$350&gt;0,AVERAGE(I$351:I$353, I$348, I$350),""),"")</f>
        <v/>
      </c>
      <c r="Z475" s="227" t="str">
        <f aca="false">IFERROR(IF(J$351*J$352*J$353*J$348*J$350&gt;0,STDEV(J$351:J$353, J$348, J$350),"")/IF(J$351*J$352*J$353*J$348*J$350&gt;0,AVERAGE(J$351:J$353, J$348, J$350),""),"")</f>
        <v/>
      </c>
      <c r="AA475" s="227" t="str">
        <f aca="false">IFERROR(IF(K$351*K$352*K$353*K$348*K$350&gt;0,STDEV(K$351:K$353, K$348, K$350),"")/IF(K$351*K$352*K$353*K$348*K$350&gt;0,AVERAGE(K$351:K$353, K$348, K$350),""),"")</f>
        <v/>
      </c>
      <c r="AB475" s="227" t="str">
        <f aca="false">IFERROR(IF(L$351*L$352*L$353*L$348*L$350&gt;0,STDEV(L$351:L$353, L$348, L$350),"")/IF(L$351*L$352*L$353*L$348*L$350&gt;0,AVERAGE(L$351:L$353, L$348, L$350),""),"")</f>
        <v/>
      </c>
      <c r="AC475" s="227" t="str">
        <f aca="false">IFERROR(IF(M$351*M$352*M$353*M$348*M$350&gt;0,STDEV(M$351:M$353, M$348, M$350),"")/IF(M$351*M$352*M$353*M$348*M$350&gt;0,AVERAGE(M$351:M$353, M$348, M$350),""),"")</f>
        <v/>
      </c>
      <c r="AD475" s="227" t="str">
        <f aca="false">IFERROR(IF(N$351*N$352*N$353*N$348*N$350&gt;0,STDEV(N$351:N$353, N$348, N$350),"")/IF(N$351*N$352*N$353*N$348*N$350&gt;0,AVERAGE(N$351:N$353, N$348, N$350),""),"")</f>
        <v/>
      </c>
      <c r="AE475" s="233"/>
      <c r="AF475" s="229" t="s">
        <v>586</v>
      </c>
      <c r="AG475" s="230" t="str">
        <f aca="false">IFERROR(IF(C$351*C$352*C$353*C$348*C$350&gt;0,STDEV(C$351:C$353, C$348, C$350)," ")/IF(C$351*C$352*C$353*C$348*C$350&gt;0,SQRT(COUNT(C$351:C$353, C$348, C$350))," "),"")</f>
        <v/>
      </c>
      <c r="AH475" s="230" t="str">
        <f aca="false">IFERROR(IF(D$351*D$352*D$353*D$348*D$350&gt;0,STDEV(D$351:D$353, D$348, D$350)," ")/IF(D$351*D$352*D$353*D$348*D$350&gt;0,SQRT(COUNT(D$351:D$353, D$348, D$350))," "),"")</f>
        <v/>
      </c>
      <c r="AI475" s="230" t="str">
        <f aca="false">IFERROR(IF(E$351*E$352*E$353*E$348*E$350&gt;0,STDEV(E$351:E$353, E$348, E$350)," ")/IF(E$351*E$352*E$353*E$348*E$350&gt;0,SQRT(COUNT(E$351:E$353, E$348, E$350))," "),"")</f>
        <v/>
      </c>
      <c r="AJ475" s="230" t="str">
        <f aca="false">IFERROR(IF(F$351*F$352*F$353*F$348*F$350&gt;0,STDEV(F$351:F$353, F$348, F$350)," ")/IF(F$351*F$352*F$353*F$348*F$350&gt;0,SQRT(COUNT(F$351:F$353, F$348, F$350))," "),"")</f>
        <v/>
      </c>
      <c r="AK475" s="230" t="str">
        <f aca="false">IFERROR(IF(G$351*G$352*G$353*G$348*G$350&gt;0,STDEV(G$351:G$353, G$348, G$350)," ")/IF(G$351*G$352*G$353*G$348*G$350&gt;0,SQRT(COUNT(G$351:G$353, G$348, G$350))," "),"")</f>
        <v/>
      </c>
      <c r="AL475" s="230" t="str">
        <f aca="false">IFERROR(IF(H$351*H$352*H$353*H$348*H$350&gt;0,STDEV(H$351:H$353, H$348, H$350)," ")/IF(H$351*H$352*H$353*H$348*H$350&gt;0,SQRT(COUNT(H$351:H$353, H$348, H$350))," "),"")</f>
        <v/>
      </c>
      <c r="AM475" s="230" t="str">
        <f aca="false">IFERROR(IF(I$351*I$352*I$353*I$348*I$350&gt;0,STDEV(I$351:I$353, I$348, I$350)," ")/IF(I$351*I$352*I$353*I$348*I$350&gt;0,SQRT(COUNT(I$351:I$353, I$348, I$350))," "),"")</f>
        <v/>
      </c>
      <c r="AN475" s="230" t="str">
        <f aca="false">IFERROR(IF(J$351*J$352*J$353*J$348*J$350&gt;0,STDEV(J$351:J$353, J$348, J$350)," ")/IF(J$351*J$352*J$353*J$348*J$350&gt;0,SQRT(COUNT(J$351:J$353, J$348, J$350))," "),"")</f>
        <v/>
      </c>
      <c r="AO475" s="230" t="str">
        <f aca="false">IFERROR(IF(K$351*K$352*K$353*K$348*K$350&gt;0,STDEV(K$351:K$353, K$348, K$350)," ")/IF(K$351*K$352*K$353*K$348*K$350&gt;0,SQRT(COUNT(K$351:K$353, K$348, K$350))," "),"")</f>
        <v/>
      </c>
      <c r="AP475" s="230" t="str">
        <f aca="false">IFERROR(IF(L$351*L$352*L$353*L$348*L$350&gt;0,STDEV(L$351:L$353, L$348, L$350)," ")/IF(L$351*L$352*L$353*L$348*L$350&gt;0,SQRT(COUNT(L$351:L$353, L$348, L$350))," "),"")</f>
        <v/>
      </c>
      <c r="AQ475" s="230" t="str">
        <f aca="false">IFERROR(IF(M$351*M$352*M$353*M$348*M$350&gt;0,STDEV(M$351:M$353, M$348, M$350)," ")/IF(M$351*M$352*M$353*M$348*M$350&gt;0,SQRT(COUNT(M$351:M$353, M$348, M$350))," "),"")</f>
        <v/>
      </c>
      <c r="AR475" s="230" t="str">
        <f aca="false">IFERROR(IF(N$351*N$352*N$353*N$348*N$350&gt;0,STDEV(N$351:N$353, N$348, N$350)," ")/IF(N$351*N$352*N$353*N$348*N$350&gt;0,SQRT(COUNT(N$351:N$353, N$348, N$350))," "),"")</f>
        <v/>
      </c>
    </row>
    <row r="476" customFormat="false" ht="15.75" hidden="false" customHeight="false" outlineLevel="0" collapsed="false">
      <c r="A476" s="220" t="s">
        <v>587</v>
      </c>
      <c r="B476" s="221"/>
      <c r="C476" s="261" t="str">
        <f aca="false">IFERROR(IF(C$347*C$349*C$350*C$351*C352&gt;0,AVERAGE(C$347, C$349,C$350, C$351, C$352),""),"")</f>
        <v/>
      </c>
      <c r="D476" s="261" t="str">
        <f aca="false">IFERROR(IF(D$347*D$349*D$350*D$351*D352&gt;0,AVERAGE(D$347, D$349,D$350, D$351, D$352),""),"")</f>
        <v/>
      </c>
      <c r="E476" s="261" t="str">
        <f aca="false">IFERROR(IF(E$347*E$349*E$350*E$351*E352&gt;0,AVERAGE(E$347, E$349,E$350, E$351, E$352),""),"")</f>
        <v/>
      </c>
      <c r="F476" s="261" t="str">
        <f aca="false">IFERROR(IF(F$347*F$349*F$350*F$351*F352&gt;0,AVERAGE(F$347, F$349,F$350, F$351, F$352),""),"")</f>
        <v/>
      </c>
      <c r="G476" s="261" t="str">
        <f aca="false">IFERROR(IF(G$347*G$349*G$350*G$351*G352&gt;0,AVERAGE(G$347, G$349,G$350, G$351, G$352),""),"")</f>
        <v/>
      </c>
      <c r="H476" s="261" t="str">
        <f aca="false">IFERROR(IF(H$347*H$349*H$350*H$351*H352&gt;0,AVERAGE(H$347, H$349,H$350, H$351, H$352),""),"")</f>
        <v/>
      </c>
      <c r="I476" s="261" t="str">
        <f aca="false">IFERROR(IF(I$347*I$349*I$350*I$351*I352&gt;0,AVERAGE(I$347, I$349,I$350, I$351, I$352),""),"")</f>
        <v/>
      </c>
      <c r="J476" s="261" t="str">
        <f aca="false">IFERROR(IF(J$347*J$349*J$350*J$351*J352&gt;0,AVERAGE(J$347, J$349,J$350, J$351, J$352),""),"")</f>
        <v/>
      </c>
      <c r="K476" s="261" t="str">
        <f aca="false">IFERROR(IF(K$347*K$349*K$350*K$351*K352&gt;0,AVERAGE(K$347, K$349,K$350, K$351, K$352),""),"")</f>
        <v/>
      </c>
      <c r="L476" s="261" t="str">
        <f aca="false">IFERROR(IF(L$347*L$349*L$350*L$351*L352&gt;0,AVERAGE(L$347, L$349,L$350, L$351, L$352),""),"")</f>
        <v/>
      </c>
      <c r="M476" s="261" t="str">
        <f aca="false">IFERROR(IF(M$347*M$349*M$350*M$351*M352&gt;0,AVERAGE(M$347, M$349,M$350, M$351, M$352),""),"")</f>
        <v/>
      </c>
      <c r="N476" s="261" t="str">
        <f aca="false">IFERROR(IF(N$347*N$349*N$350*N$351*N352&gt;0,AVERAGE(N$347, N$349,N$350, N$351, N$352),""),"")</f>
        <v/>
      </c>
      <c r="O476" s="224"/>
      <c r="P476" s="224"/>
      <c r="Q476" s="232"/>
      <c r="R476" s="226" t="s">
        <v>588</v>
      </c>
      <c r="S476" s="227" t="str">
        <f aca="false">IFERROR(IF(C$347*C$349*C$350*C$351*C352&gt;0,STDEV(C$347, C$349,C$350, C$351, C$352),"")/IF(C$347*C$349*C$350*C$351*C352&gt;0,AVERAGE(C$347, C$349,C$350, C$351, C$352),""),"")</f>
        <v/>
      </c>
      <c r="T476" s="227" t="str">
        <f aca="false">IFERROR(IF(D$347*D$349*D$350*D$351*D352&gt;0,STDEV(D$347, D$349,D$350, D$351, D$352),"")/IF(D$347*D$349*D$350*D$351*D352&gt;0,AVERAGE(D$347, D$349,D$350, D$351, D$352),""),"")</f>
        <v/>
      </c>
      <c r="U476" s="227" t="str">
        <f aca="false">IFERROR(IF(E$347*E$349*E$350*E$351*E352&gt;0,STDEV(E$347, E$349,E$350, E$351, E$352),"")/IF(E$347*E$349*E$350*E$351*E352&gt;0,AVERAGE(E$347, E$349,E$350, E$351, E$352),""),"")</f>
        <v/>
      </c>
      <c r="V476" s="227" t="str">
        <f aca="false">IFERROR(IF(F$347*F$349*F$350*F$351*F352&gt;0,STDEV(F$347, F$349,F$350, F$351, F$352),"")/IF(F$347*F$349*F$350*F$351*F352&gt;0,AVERAGE(F$347, F$349,F$350, F$351, F$352),""),"")</f>
        <v/>
      </c>
      <c r="W476" s="227" t="str">
        <f aca="false">IFERROR(IF(G$347*G$349*G$350*G$351*G352&gt;0,STDEV(G$347, G$349,G$350, G$351, G$352),"")/IF(G$347*G$349*G$350*G$351*G352&gt;0,AVERAGE(G$347, G$349,G$350, G$351, G$352),""),"")</f>
        <v/>
      </c>
      <c r="X476" s="227" t="str">
        <f aca="false">IFERROR(IF(H$347*H$349*H$350*H$351*H352&gt;0,STDEV(H$347, H$349,H$350, H$351, H$352),"")/IF(H$347*H$349*H$350*H$351*H352&gt;0,AVERAGE(H$347, H$349,H$350, H$351, H$352),""),"")</f>
        <v/>
      </c>
      <c r="Y476" s="227" t="str">
        <f aca="false">IFERROR(IF(I$347*I$349*I$350*I$351*I352&gt;0,STDEV(I$347, I$349,I$350, I$351, I$352),"")/IF(I$347*I$349*I$350*I$351*I352&gt;0,AVERAGE(I$347, I$349,I$350, I$351, I$352),""),"")</f>
        <v/>
      </c>
      <c r="Z476" s="227" t="str">
        <f aca="false">IFERROR(IF(J$347*J$349*J$350*J$351*J352&gt;0,STDEV(J$347, J$349,J$350, J$351, J$352),"")/IF(J$347*J$349*J$350*J$351*J352&gt;0,AVERAGE(J$347, J$349,J$350, J$351, J$352),""),"")</f>
        <v/>
      </c>
      <c r="AA476" s="227" t="str">
        <f aca="false">IFERROR(IF(K$347*K$349*K$350*K$351*K352&gt;0,STDEV(K$347, K$349,K$350, K$351, K$352),"")/IF(K$347*K$349*K$350*K$351*K352&gt;0,AVERAGE(K$347, K$349,K$350, K$351, K$352),""),"")</f>
        <v/>
      </c>
      <c r="AB476" s="227" t="str">
        <f aca="false">IFERROR(IF(L$347*L$349*L$350*L$351*L352&gt;0,STDEV(L$347, L$349,L$350, L$351, L$352),"")/IF(L$347*L$349*L$350*L$351*L352&gt;0,AVERAGE(L$347, L$349,L$350, L$351, L$352),""),"")</f>
        <v/>
      </c>
      <c r="AC476" s="227" t="str">
        <f aca="false">IFERROR(IF(M$347*M$349*M$350*M$351*M352&gt;0,STDEV(M$347, M$349,M$350, M$351, M$352),"")/IF(M$347*M$349*M$350*M$351*M352&gt;0,AVERAGE(M$347, M$349,M$350, M$351, M$352),""),"")</f>
        <v/>
      </c>
      <c r="AD476" s="227" t="str">
        <f aca="false">IFERROR(IF(N$347*N$349*N$350*N$351*N352&gt;0,STDEV(N$347, N$349,N$350, N$351, N$352),"")/IF(N$347*N$349*N$350*N$351*N352&gt;0,AVERAGE(N$347, N$349,N$350, N$351, N$352),""),"")</f>
        <v/>
      </c>
      <c r="AE476" s="233"/>
      <c r="AF476" s="229" t="s">
        <v>589</v>
      </c>
      <c r="AG476" s="230" t="str">
        <f aca="false">IFERROR(IF(C$347*C$349*C$350*C$351*C352&gt;0,STDEV(C$347, C$349,C$350, C$351, C$352)," ")/IF(C$347*C$349*C$350*C$351*C352&gt;0,SQRT(COUNT(C$347, C$349,C$350, C$351, C$352))," "),"")</f>
        <v/>
      </c>
      <c r="AH476" s="230" t="str">
        <f aca="false">IFERROR(IF(D$347*D$349*D$350*D$351*D352&gt;0,STDEV(D$347, D$349,D$350, D$351, D$352)," ")/IF(D$347*D$349*D$350*D$351*D352&gt;0,SQRT(COUNT(D$347, D$349,D$350, D$351, D$352))," "),"")</f>
        <v/>
      </c>
      <c r="AI476" s="230" t="str">
        <f aca="false">IFERROR(IF(E$347*E$349*E$350*E$351*E352&gt;0,STDEV(E$347, E$349,E$350, E$351, E$352)," ")/IF(E$347*E$349*E$350*E$351*E352&gt;0,SQRT(COUNT(E$347, E$349,E$350, E$351, E$352))," "),"")</f>
        <v/>
      </c>
      <c r="AJ476" s="230" t="str">
        <f aca="false">IFERROR(IF(F$347*F$349*F$350*F$351*F352&gt;0,STDEV(F$347, F$349,F$350, F$351, F$352)," ")/IF(F$347*F$349*F$350*F$351*F352&gt;0,SQRT(COUNT(F$347, F$349,F$350, F$351, F$352))," "),"")</f>
        <v/>
      </c>
      <c r="AK476" s="230" t="str">
        <f aca="false">IFERROR(IF(G$347*G$349*G$350*G$351*G352&gt;0,STDEV(G$347, G$349,G$350, G$351, G$352)," ")/IF(G$347*G$349*G$350*G$351*G352&gt;0,SQRT(COUNT(G$347, G$349,G$350, G$351, G$352))," "),"")</f>
        <v/>
      </c>
      <c r="AL476" s="230" t="str">
        <f aca="false">IFERROR(IF(H$347*H$349*H$350*H$351*H352&gt;0,STDEV(H$347, H$349,H$350, H$351, H$352)," ")/IF(H$347*H$349*H$350*H$351*H352&gt;0,SQRT(COUNT(H$347, H$349,H$350, H$351, H$352))," "),"")</f>
        <v/>
      </c>
      <c r="AM476" s="230" t="str">
        <f aca="false">IFERROR(IF(I$347*I$349*I$350*I$351*I352&gt;0,STDEV(I$347, I$349,I$350, I$351, I$352)," ")/IF(I$347*I$349*I$350*I$351*I352&gt;0,SQRT(COUNT(I$347, I$349,I$350, I$351, I$352))," "),"")</f>
        <v/>
      </c>
      <c r="AN476" s="230" t="str">
        <f aca="false">IFERROR(IF(J$347*J$349*J$350*J$351*J352&gt;0,STDEV(J$347, J$349,J$350, J$351, J$352)," ")/IF(J$347*J$349*J$350*J$351*J352&gt;0,SQRT(COUNT(J$347, J$349,J$350, J$351, J$352))," "),"")</f>
        <v/>
      </c>
      <c r="AO476" s="230" t="str">
        <f aca="false">IFERROR(IF(K$347*K$349*K$350*K$351*K352&gt;0,STDEV(K$347, K$349,K$350, K$351, K$352)," ")/IF(K$347*K$349*K$350*K$351*K352&gt;0,SQRT(COUNT(K$347, K$349,K$350, K$351, K$352))," "),"")</f>
        <v/>
      </c>
      <c r="AP476" s="230" t="str">
        <f aca="false">IFERROR(IF(L$347*L$349*L$350*L$351*L352&gt;0,STDEV(L$347, L$349,L$350, L$351, L$352)," ")/IF(L$347*L$349*L$350*L$351*L352&gt;0,SQRT(COUNT(L$347, L$349,L$350, L$351, L$352))," "),"")</f>
        <v/>
      </c>
      <c r="AQ476" s="230" t="str">
        <f aca="false">IFERROR(IF(M$347*M$349*M$350*M$351*M352&gt;0,STDEV(M$347, M$349,M$350, M$351, M$352)," ")/IF(M$347*M$349*M$350*M$351*M352&gt;0,SQRT(COUNT(M$347, M$349,M$350, M$351, M$352))," "),"")</f>
        <v/>
      </c>
      <c r="AR476" s="230" t="str">
        <f aca="false">IFERROR(IF(N$347*N$349*N$350*N$351*N352&gt;0,STDEV(N$347, N$349,N$350, N$351, N$352)," ")/IF(N$347*N$349*N$350*N$351*N352&gt;0,SQRT(COUNT(N$347, N$349,N$350, N$351, N$352))," "),"")</f>
        <v/>
      </c>
    </row>
    <row r="477" customFormat="false" ht="15.75" hidden="false" customHeight="false" outlineLevel="0" collapsed="false">
      <c r="A477" s="220" t="s">
        <v>590</v>
      </c>
      <c r="B477" s="221"/>
      <c r="C477" s="261" t="str">
        <f aca="false">IFERROR(IF(C$347*C$348*C$350*C$351*C352&gt;0,AVERAGE(C$347, C$348, C$350, C$351, C$352),""),"")</f>
        <v/>
      </c>
      <c r="D477" s="261" t="str">
        <f aca="false">IFERROR(IF(D$347*D$348*D$350*D$351*D352&gt;0,AVERAGE(D$347, D$348, D$350, D$351, D$352),""),"")</f>
        <v/>
      </c>
      <c r="E477" s="261" t="str">
        <f aca="false">IFERROR(IF(E$347*E$348*E$350*E$351*E352&gt;0,AVERAGE(E$347, E$348, E$350, E$351, E$352),""),"")</f>
        <v/>
      </c>
      <c r="F477" s="261" t="str">
        <f aca="false">IFERROR(IF(F$347*F$348*F$350*F$351*F352&gt;0,AVERAGE(F$347, F$348, F$350, F$351, F$352),""),"")</f>
        <v/>
      </c>
      <c r="G477" s="261" t="str">
        <f aca="false">IFERROR(IF(G$347*G$348*G$350*G$351*G352&gt;0,AVERAGE(G$347, G$348, G$350, G$351, G$352),""),"")</f>
        <v/>
      </c>
      <c r="H477" s="261" t="str">
        <f aca="false">IFERROR(IF(H$347*H$348*H$350*H$351*H352&gt;0,AVERAGE(H$347, H$348, H$350, H$351, H$352),""),"")</f>
        <v/>
      </c>
      <c r="I477" s="261" t="str">
        <f aca="false">IFERROR(IF(I$347*I$348*I$350*I$351*I352&gt;0,AVERAGE(I$347, I$348, I$350, I$351, I$352),""),"")</f>
        <v/>
      </c>
      <c r="J477" s="261" t="str">
        <f aca="false">IFERROR(IF(J$347*J$348*J$350*J$351*J352&gt;0,AVERAGE(J$347, J$348, J$350, J$351, J$352),""),"")</f>
        <v/>
      </c>
      <c r="K477" s="261" t="str">
        <f aca="false">IFERROR(IF(K$347*K$348*K$350*K$351*K352&gt;0,AVERAGE(K$347, K$348, K$350, K$351, K$352),""),"")</f>
        <v/>
      </c>
      <c r="L477" s="261" t="str">
        <f aca="false">IFERROR(IF(L$347*L$348*L$350*L$351*L352&gt;0,AVERAGE(L$347, L$348, L$350, L$351, L$352),""),"")</f>
        <v/>
      </c>
      <c r="M477" s="261" t="str">
        <f aca="false">IFERROR(IF(M$347*M$348*M$350*M$351*M352&gt;0,AVERAGE(M$347, M$348, M$350, M$351, M$352),""),"")</f>
        <v/>
      </c>
      <c r="N477" s="261" t="str">
        <f aca="false">IFERROR(IF(N$347*N$348*N$350*N$351*N352&gt;0,AVERAGE(N$347, N$348, N$350, N$351, N$352),""),"")</f>
        <v/>
      </c>
      <c r="O477" s="224"/>
      <c r="P477" s="224"/>
      <c r="Q477" s="232"/>
      <c r="R477" s="226" t="s">
        <v>591</v>
      </c>
      <c r="S477" s="227" t="str">
        <f aca="false">IFERROR(IF(C$347*C$348*C$350*C$351*C352&gt;0,STDEV(C$347, C$348, C$350, C$351, C$352),"")/IF(C$347*C$348*C$350*C$351*C352&gt;0,AVERAGE(C$347, C$348, C$350, C$351, C$352),""),"")</f>
        <v/>
      </c>
      <c r="T477" s="227" t="str">
        <f aca="false">IFERROR(IF(D$347*D$348*D$350*D$351*D352&gt;0,STDEV(D$347, D$348, D$350, D$351, D$352),"")/IF(D$347*D$348*D$350*D$351*D352&gt;0,AVERAGE(D$347, D$348, D$350, D$351, D$352),""),"")</f>
        <v/>
      </c>
      <c r="U477" s="227" t="str">
        <f aca="false">IFERROR(IF(E$347*E$348*E$350*E$351*E352&gt;0,STDEV(E$347, E$348, E$350, E$351, E$352),"")/IF(E$347*E$348*E$350*E$351*E352&gt;0,AVERAGE(E$347, E$348, E$350, E$351, E$352),""),"")</f>
        <v/>
      </c>
      <c r="V477" s="227" t="str">
        <f aca="false">IFERROR(IF(F$347*F$348*F$350*F$351*F352&gt;0,STDEV(F$347, F$348, F$350, F$351, F$352),"")/IF(F$347*F$348*F$350*F$351*F352&gt;0,AVERAGE(F$347, F$348, F$350, F$351, F$352),""),"")</f>
        <v/>
      </c>
      <c r="W477" s="227" t="str">
        <f aca="false">IFERROR(IF(G$347*G$348*G$350*G$351*G352&gt;0,STDEV(G$347, G$348, G$350, G$351, G$352),"")/IF(G$347*G$348*G$350*G$351*G352&gt;0,AVERAGE(G$347, G$348, G$350, G$351, G$352),""),"")</f>
        <v/>
      </c>
      <c r="X477" s="227" t="str">
        <f aca="false">IFERROR(IF(H$347*H$348*H$350*H$351*H352&gt;0,STDEV(H$347, H$348, H$350, H$351, H$352),"")/IF(H$347*H$348*H$350*H$351*H352&gt;0,AVERAGE(H$347, H$348, H$350, H$351, H$352),""),"")</f>
        <v/>
      </c>
      <c r="Y477" s="227" t="str">
        <f aca="false">IFERROR(IF(I$347*I$348*I$350*I$351*I352&gt;0,STDEV(I$347, I$348, I$350, I$351, I$352),"")/IF(I$347*I$348*I$350*I$351*I352&gt;0,AVERAGE(I$347, I$348, I$350, I$351, I$352),""),"")</f>
        <v/>
      </c>
      <c r="Z477" s="227" t="str">
        <f aca="false">IFERROR(IF(J$347*J$348*J$350*J$351*J352&gt;0,STDEV(J$347, J$348, J$350, J$351, J$352),"")/IF(J$347*J$348*J$350*J$351*J352&gt;0,AVERAGE(J$347, J$348, J$350, J$351, J$352),""),"")</f>
        <v/>
      </c>
      <c r="AA477" s="227" t="str">
        <f aca="false">IFERROR(IF(K$347*K$348*K$350*K$351*K352&gt;0,STDEV(K$347, K$348, K$350, K$351, K$352),"")/IF(K$347*K$348*K$350*K$351*K352&gt;0,AVERAGE(K$347, K$348, K$350, K$351, K$352),""),"")</f>
        <v/>
      </c>
      <c r="AB477" s="227" t="str">
        <f aca="false">IFERROR(IF(L$347*L$348*L$350*L$351*L352&gt;0,STDEV(L$347, L$348, L$350, L$351, L$352),"")/IF(L$347*L$348*L$350*L$351*L352&gt;0,AVERAGE(L$347, L$348, L$350, L$351, L$352),""),"")</f>
        <v/>
      </c>
      <c r="AC477" s="227" t="str">
        <f aca="false">IFERROR(IF(M$347*M$348*M$350*M$351*M352&gt;0,STDEV(M$347, M$348, M$350, M$351, M$352),"")/IF(M$347*M$348*M$350*M$351*M352&gt;0,AVERAGE(M$347, M$348, M$350, M$351, M$352),""),"")</f>
        <v/>
      </c>
      <c r="AD477" s="227" t="str">
        <f aca="false">IFERROR(IF(N$347*N$348*N$350*N$351*N352&gt;0,STDEV(N$347, N$348, N$350, N$351, N$352),"")/IF(N$347*N$348*N$350*N$351*N352&gt;0,AVERAGE(N$347, N$348, N$350, N$351, N$352),""),"")</f>
        <v/>
      </c>
      <c r="AE477" s="233"/>
      <c r="AF477" s="229" t="s">
        <v>592</v>
      </c>
      <c r="AG477" s="230" t="str">
        <f aca="false">IFERROR(IF(C$347*C$348*C$350*C$351*C352&gt;0,STDEV(C$347, C$348, C$350, C$351, C$352)," ")/IF(C$347*C$348*C$350*C$351*C352&gt;0,SQRT(COUNT(C$347, C$348, C$350, C$351, C$352))," "),"")</f>
        <v/>
      </c>
      <c r="AH477" s="230" t="str">
        <f aca="false">IFERROR(IF(D$347*D$348*D$350*D$351*D352&gt;0,STDEV(D$347, D$348, D$350, D$351, D$352)," ")/IF(D$347*D$348*D$350*D$351*D352&gt;0,SQRT(COUNT(D$347, D$348, D$350, D$351, D$352))," "),"")</f>
        <v/>
      </c>
      <c r="AI477" s="230" t="str">
        <f aca="false">IFERROR(IF(E$347*E$348*E$350*E$351*E352&gt;0,STDEV(E$347, E$348, E$350, E$351, E$352)," ")/IF(E$347*E$348*E$350*E$351*E352&gt;0,SQRT(COUNT(E$347, E$348, E$350, E$351, E$352))," "),"")</f>
        <v/>
      </c>
      <c r="AJ477" s="230" t="str">
        <f aca="false">IFERROR(IF(F$347*F$348*F$350*F$351*F352&gt;0,STDEV(F$347, F$348, F$350, F$351, F$352)," ")/IF(F$347*F$348*F$350*F$351*F352&gt;0,SQRT(COUNT(F$347, F$348, F$350, F$351, F$352))," "),"")</f>
        <v/>
      </c>
      <c r="AK477" s="230" t="str">
        <f aca="false">IFERROR(IF(G$347*G$348*G$350*G$351*G352&gt;0,STDEV(G$347, G$348, G$350, G$351, G$352)," ")/IF(G$347*G$348*G$350*G$351*G352&gt;0,SQRT(COUNT(G$347, G$348, G$350, G$351, G$352))," "),"")</f>
        <v/>
      </c>
      <c r="AL477" s="230" t="str">
        <f aca="false">IFERROR(IF(H$347*H$348*H$350*H$351*H352&gt;0,STDEV(H$347, H$348, H$350, H$351, H$352)," ")/IF(H$347*H$348*H$350*H$351*H352&gt;0,SQRT(COUNT(H$347, H$348, H$350, H$351, H$352))," "),"")</f>
        <v/>
      </c>
      <c r="AM477" s="230" t="str">
        <f aca="false">IFERROR(IF(I$347*I$348*I$350*I$351*I352&gt;0,STDEV(I$347, I$348, I$350, I$351, I$352)," ")/IF(I$347*I$348*I$350*I$351*I352&gt;0,SQRT(COUNT(I$347, I$348, I$350, I$351, I$352))," "),"")</f>
        <v/>
      </c>
      <c r="AN477" s="230" t="str">
        <f aca="false">IFERROR(IF(J$347*J$348*J$350*J$351*J352&gt;0,STDEV(J$347, J$348, J$350, J$351, J$352)," ")/IF(J$347*J$348*J$350*J$351*J352&gt;0,SQRT(COUNT(J$347, J$348, J$350, J$351, J$352))," "),"")</f>
        <v/>
      </c>
      <c r="AO477" s="230" t="str">
        <f aca="false">IFERROR(IF(K$347*K$348*K$350*K$351*K352&gt;0,STDEV(K$347, K$348, K$350, K$351, K$352)," ")/IF(K$347*K$348*K$350*K$351*K352&gt;0,SQRT(COUNT(K$347, K$348, K$350, K$351, K$352))," "),"")</f>
        <v/>
      </c>
      <c r="AP477" s="230" t="str">
        <f aca="false">IFERROR(IF(L$347*L$348*L$350*L$351*L352&gt;0,STDEV(L$347, L$348, L$350, L$351, L$352)," ")/IF(L$347*L$348*L$350*L$351*L352&gt;0,SQRT(COUNT(L$347, L$348, L$350, L$351, L$352))," "),"")</f>
        <v/>
      </c>
      <c r="AQ477" s="230" t="str">
        <f aca="false">IFERROR(IF(M$347*M$348*M$350*M$351*M352&gt;0,STDEV(M$347, M$348, M$350, M$351, M$352)," ")/IF(M$347*M$348*M$350*M$351*M352&gt;0,SQRT(COUNT(M$347, M$348, M$350, M$351, M$352))," "),"")</f>
        <v/>
      </c>
      <c r="AR477" s="230" t="str">
        <f aca="false">IFERROR(IF(N$347*N$348*N$350*N$351*N352&gt;0,STDEV(N$347, N$348, N$350, N$351, N$352)," ")/IF(N$347*N$348*N$350*N$351*N352&gt;0,SQRT(COUNT(N$347, N$348, N$350, N$351, N$352))," "),"")</f>
        <v/>
      </c>
    </row>
    <row r="478" customFormat="false" ht="15.75" hidden="false" customHeight="false" outlineLevel="0" collapsed="false">
      <c r="A478" s="220" t="s">
        <v>593</v>
      </c>
      <c r="B478" s="221"/>
      <c r="C478" s="261" t="str">
        <f aca="false">IFERROR(IF(C$347*C$348*C$349*C$351*C$352&gt;0,AVERAGE(C$347, C$348, C$349, C$351, C$352),""),"")</f>
        <v/>
      </c>
      <c r="D478" s="261" t="str">
        <f aca="false">IFERROR(IF(D$347*D$348*D$349*D$351*D$352&gt;0,AVERAGE(D$347, D$348, D$349, D$351, D$352),""),"")</f>
        <v/>
      </c>
      <c r="E478" s="261" t="str">
        <f aca="false">IFERROR(IF(E$347*E$348*E$349*E$351*E$352&gt;0,AVERAGE(E$347, E$348, E$349, E$351, E$352),""),"")</f>
        <v/>
      </c>
      <c r="F478" s="261" t="str">
        <f aca="false">IFERROR(IF(F$347*F$348*F$349*F$351*F$352&gt;0,AVERAGE(F$347, F$348, F$349, F$351, F$352),""),"")</f>
        <v/>
      </c>
      <c r="G478" s="261" t="str">
        <f aca="false">IFERROR(IF(G$347*G$348*G$349*G$351*G$352&gt;0,AVERAGE(G$347, G$348, G$349, G$351, G$352),""),"")</f>
        <v/>
      </c>
      <c r="H478" s="261" t="str">
        <f aca="false">IFERROR(IF(H$347*H$348*H$349*H$351*H$352&gt;0,AVERAGE(H$347, H$348, H$349, H$351, H$352),""),"")</f>
        <v/>
      </c>
      <c r="I478" s="261" t="str">
        <f aca="false">IFERROR(IF(I$347*I$348*I$349*I$351*I$352&gt;0,AVERAGE(I$347, I$348, I$349, I$351, I$352),""),"")</f>
        <v/>
      </c>
      <c r="J478" s="261" t="str">
        <f aca="false">IFERROR(IF(J$347*J$348*J$349*J$351*J$352&gt;0,AVERAGE(J$347, J$348, J$349, J$351, J$352),""),"")</f>
        <v/>
      </c>
      <c r="K478" s="261" t="str">
        <f aca="false">IFERROR(IF(K$347*K$348*K$349*K$351*K$352&gt;0,AVERAGE(K$347, K$348, K$349, K$351, K$352),""),"")</f>
        <v/>
      </c>
      <c r="L478" s="261" t="str">
        <f aca="false">IFERROR(IF(L$347*L$348*L$349*L$351*L$352&gt;0,AVERAGE(L$347, L$348, L$349, L$351, L$352),""),"")</f>
        <v/>
      </c>
      <c r="M478" s="261" t="str">
        <f aca="false">IFERROR(IF(M$347*M$348*M$349*M$351*M$352&gt;0,AVERAGE(M$347, M$348, M$349, M$351, M$352),""),"")</f>
        <v/>
      </c>
      <c r="N478" s="261" t="str">
        <f aca="false">IFERROR(IF(N$347*N$348*N$349*N$351*N$352&gt;0,AVERAGE(N$347, N$348, N$349, N$351, N$352),""),"")</f>
        <v/>
      </c>
      <c r="O478" s="224"/>
      <c r="P478" s="224"/>
      <c r="Q478" s="232"/>
      <c r="R478" s="226" t="s">
        <v>594</v>
      </c>
      <c r="S478" s="227" t="str">
        <f aca="false">IFERROR(IF(C$347*C$348*C$349*C$351*C$352&gt;0,STDEV(C$347, C$348, C$349, C$351, C$352),"")/IF(C$347*C$348*C$349*C$351*C$352&gt;0,AVERAGE(C$347, C$348, C$349, C$351, C$352),""),"")</f>
        <v/>
      </c>
      <c r="T478" s="227" t="str">
        <f aca="false">IFERROR(IF(D$347*D$348*D$349*D$351*D$352&gt;0,STDEV(D$347, D$348, D$349, D$351, D$352),"")/IF(D$347*D$348*D$349*D$351*D$352&gt;0,AVERAGE(D$347, D$348, D$349, D$351, D$352),""),"")</f>
        <v/>
      </c>
      <c r="U478" s="227" t="str">
        <f aca="false">IFERROR(IF(E$347*E$348*E$349*E$351*E$352&gt;0,STDEV(E$347, E$348, E$349, E$351, E$352),"")/IF(E$347*E$348*E$349*E$351*E$352&gt;0,AVERAGE(E$347, E$348, E$349, E$351, E$352),""),"")</f>
        <v/>
      </c>
      <c r="V478" s="227" t="str">
        <f aca="false">IFERROR(IF(F$347*F$348*F$349*F$351*F$352&gt;0,STDEV(F$347, F$348, F$349, F$351, F$352),"")/IF(F$347*F$348*F$349*F$351*F$352&gt;0,AVERAGE(F$347, F$348, F$349, F$351, F$352),""),"")</f>
        <v/>
      </c>
      <c r="W478" s="227" t="str">
        <f aca="false">IFERROR(IF(G$347*G$348*G$349*G$351*G$352&gt;0,STDEV(G$347, G$348, G$349, G$351, G$352),"")/IF(G$347*G$348*G$349*G$351*G$352&gt;0,AVERAGE(G$347, G$348, G$349, G$351, G$352),""),"")</f>
        <v/>
      </c>
      <c r="X478" s="227" t="str">
        <f aca="false">IFERROR(IF(H$347*H$348*H$349*H$351*H$352&gt;0,STDEV(H$347, H$348, H$349, H$351, H$352),"")/IF(H$347*H$348*H$349*H$351*H$352&gt;0,AVERAGE(H$347, H$348, H$349, H$351, H$352),""),"")</f>
        <v/>
      </c>
      <c r="Y478" s="227" t="str">
        <f aca="false">IFERROR(IF(I$347*I$348*I$349*I$351*I$352&gt;0,STDEV(I$347, I$348, I$349, I$351, I$352),"")/IF(I$347*I$348*I$349*I$351*I$352&gt;0,AVERAGE(I$347, I$348, I$349, I$351, I$352),""),"")</f>
        <v/>
      </c>
      <c r="Z478" s="227" t="str">
        <f aca="false">IFERROR(IF(J$347*J$348*J$349*J$351*J$352&gt;0,STDEV(J$347, J$348, J$349, J$351, J$352),"")/IF(J$347*J$348*J$349*J$351*J$352&gt;0,AVERAGE(J$347, J$348, J$349, J$351, J$352),""),"")</f>
        <v/>
      </c>
      <c r="AA478" s="227" t="str">
        <f aca="false">IFERROR(IF(K$347*K$348*K$349*K$351*K$352&gt;0,STDEV(K$347, K$348, K$349, K$351, K$352),"")/IF(K$347*K$348*K$349*K$351*K$352&gt;0,AVERAGE(K$347, K$348, K$349, K$351, K$352),""),"")</f>
        <v/>
      </c>
      <c r="AB478" s="227" t="str">
        <f aca="false">IFERROR(IF(L$347*L$348*L$349*L$351*L$352&gt;0,STDEV(L$347, L$348, L$349, L$351, L$352),"")/IF(L$347*L$348*L$349*L$351*L$352&gt;0,AVERAGE(L$347, L$348, L$349, L$351, L$352),""),"")</f>
        <v/>
      </c>
      <c r="AC478" s="227" t="str">
        <f aca="false">IFERROR(IF(M$347*M$348*M$349*M$351*M$352&gt;0,STDEV(M$347, M$348, M$349, M$351, M$352),"")/IF(M$347*M$348*M$349*M$351*M$352&gt;0,AVERAGE(M$347, M$348, M$349, M$351, M$352),""),"")</f>
        <v/>
      </c>
      <c r="AD478" s="227" t="str">
        <f aca="false">IFERROR(IF(N$347*N$348*N$349*N$351*N$352&gt;0,STDEV(N$347, N$348, N$349, N$351, N$352),"")/IF(N$347*N$348*N$349*N$351*N$352&gt;0,AVERAGE(N$347, N$348, N$349, N$351, N$352),""),"")</f>
        <v/>
      </c>
      <c r="AE478" s="233"/>
      <c r="AF478" s="229" t="s">
        <v>595</v>
      </c>
      <c r="AG478" s="230" t="str">
        <f aca="false">IFERROR(IF(C$347*C$348*C$349*C$351*C$352&gt;0,STDEV(C$347, C$348, C$349, C$351, C$352)," ")/IF(C$347*C$348*C$349*C$351*C$352&gt;0,SQRT(COUNT(C$347, C$348, C$349, C$351, C$352))," "),"")</f>
        <v/>
      </c>
      <c r="AH478" s="230" t="str">
        <f aca="false">IFERROR(IF(D$347*D$348*D$349*D$351*D$352&gt;0,STDEV(D$347, D$348, D$349, D$351, D$352)," ")/IF(D$347*D$348*D$349*D$351*D$352&gt;0,SQRT(COUNT(D$347, D$348, D$349, D$351, D$352))," "),"")</f>
        <v/>
      </c>
      <c r="AI478" s="230" t="str">
        <f aca="false">IFERROR(IF(E$347*E$348*E$349*E$351*E$352&gt;0,STDEV(E$347, E$348, E$349, E$351, E$352)," ")/IF(E$347*E$348*E$349*E$351*E$352&gt;0,SQRT(COUNT(E$347, E$348, E$349, E$351, E$352))," "),"")</f>
        <v/>
      </c>
      <c r="AJ478" s="230" t="str">
        <f aca="false">IFERROR(IF(F$347*F$348*F$349*F$351*F$352&gt;0,STDEV(F$347, F$348, F$349, F$351, F$352)," ")/IF(F$347*F$348*F$349*F$351*F$352&gt;0,SQRT(COUNT(F$347, F$348, F$349, F$351, F$352))," "),"")</f>
        <v/>
      </c>
      <c r="AK478" s="230" t="str">
        <f aca="false">IFERROR(IF(G$347*G$348*G$349*G$351*G$352&gt;0,STDEV(G$347, G$348, G$349, G$351, G$352)," ")/IF(G$347*G$348*G$349*G$351*G$352&gt;0,SQRT(COUNT(G$347, G$348, G$349, G$351, G$352))," "),"")</f>
        <v/>
      </c>
      <c r="AL478" s="230" t="str">
        <f aca="false">IFERROR(IF(H$347*H$348*H$349*H$351*H$352&gt;0,STDEV(H$347, H$348, H$349, H$351, H$352)," ")/IF(H$347*H$348*H$349*H$351*H$352&gt;0,SQRT(COUNT(H$347, H$348, H$349, H$351, H$352))," "),"")</f>
        <v/>
      </c>
      <c r="AM478" s="230" t="str">
        <f aca="false">IFERROR(IF(I$347*I$348*I$349*I$351*I$352&gt;0,STDEV(I$347, I$348, I$349, I$351, I$352)," ")/IF(I$347*I$348*I$349*I$351*I$352&gt;0,SQRT(COUNT(I$347, I$348, I$349, I$351, I$352))," "),"")</f>
        <v/>
      </c>
      <c r="AN478" s="230" t="str">
        <f aca="false">IFERROR(IF(J$347*J$348*J$349*J$351*J$352&gt;0,STDEV(J$347, J$348, J$349, J$351, J$352)," ")/IF(J$347*J$348*J$349*J$351*J$352&gt;0,SQRT(COUNT(J$347, J$348, J$349, J$351, J$352))," "),"")</f>
        <v/>
      </c>
      <c r="AO478" s="230" t="str">
        <f aca="false">IFERROR(IF(K$347*K$348*K$349*K$351*K$352&gt;0,STDEV(K$347, K$348, K$349, K$351, K$352)," ")/IF(K$347*K$348*K$349*K$351*K$352&gt;0,SQRT(COUNT(K$347, K$348, K$349, K$351, K$352))," "),"")</f>
        <v/>
      </c>
      <c r="AP478" s="230" t="str">
        <f aca="false">IFERROR(IF(L$347*L$348*L$349*L$351*L$352&gt;0,STDEV(L$347, L$348, L$349, L$351, L$352)," ")/IF(L$347*L$348*L$349*L$351*L$352&gt;0,SQRT(COUNT(L$347, L$348, L$349, L$351, L$352))," "),"")</f>
        <v/>
      </c>
      <c r="AQ478" s="230" t="str">
        <f aca="false">IFERROR(IF(M$347*M$348*M$349*M$351*M$352&gt;0,STDEV(M$347, M$348, M$349, M$351, M$352)," ")/IF(M$347*M$348*M$349*M$351*M$352&gt;0,SQRT(COUNT(M$347, M$348, M$349, M$351, M$352))," "),"")</f>
        <v/>
      </c>
      <c r="AR478" s="230" t="str">
        <f aca="false">IFERROR(IF(N$347*N$348*N$349*N$351*N$352&gt;0,STDEV(N$347, N$348, N$349, N$351, N$352)," ")/IF(N$347*N$348*N$349*N$351*N$352&gt;0,SQRT(COUNT(N$347, N$348, N$349, N$351, N$352))," "),"")</f>
        <v/>
      </c>
    </row>
    <row r="479" customFormat="false" ht="15.75" hidden="false" customHeight="false" outlineLevel="0" collapsed="false">
      <c r="A479" s="242" t="s">
        <v>596</v>
      </c>
      <c r="B479" s="243"/>
      <c r="C479" s="262" t="str">
        <f aca="false">IFERROR(IF(C$347*C$348*C$349*C$352*C$353&gt;0,AVERAGE(C$347, C$348, C$349, C$352, C$353),""),"")</f>
        <v/>
      </c>
      <c r="D479" s="262" t="str">
        <f aca="false">IFERROR(IF(D$347*D$348*D$349*D$352*D$353&gt;0,AVERAGE(D$347, D$348, D$349, D$352, D$353),""),"")</f>
        <v/>
      </c>
      <c r="E479" s="262" t="str">
        <f aca="false">IFERROR(IF(E$347*E$348*E$349*E$352*E$353&gt;0,AVERAGE(E$347, E$348, E$349, E$352, E$353),""),"")</f>
        <v/>
      </c>
      <c r="F479" s="262" t="str">
        <f aca="false">IFERROR(IF(F$347*F$348*F$349*F$352*F$353&gt;0,AVERAGE(F$347, F$348, F$349, F$352, F$353),""),"")</f>
        <v/>
      </c>
      <c r="G479" s="262" t="str">
        <f aca="false">IFERROR(IF(G$347*G$348*G$349*G$352*G$353&gt;0,AVERAGE(G$347, G$348, G$349, G$352, G$353),""),"")</f>
        <v/>
      </c>
      <c r="H479" s="262" t="str">
        <f aca="false">IFERROR(IF(H$347*H$348*H$349*H$352*H$353&gt;0,AVERAGE(H$347, H$348, H$349, H$352, H$353),""),"")</f>
        <v/>
      </c>
      <c r="I479" s="262" t="str">
        <f aca="false">IFERROR(IF(I$347*I$348*I$349*I$352*I$353&gt;0,AVERAGE(I$347, I$348, I$349, I$352, I$353),""),"")</f>
        <v/>
      </c>
      <c r="J479" s="262" t="str">
        <f aca="false">IFERROR(IF(J$347*J$348*J$349*J$352*J$353&gt;0,AVERAGE(J$347, J$348, J$349, J$352, J$353),""),"")</f>
        <v/>
      </c>
      <c r="K479" s="262" t="str">
        <f aca="false">IFERROR(IF(K$347*K$348*K$349*K$352*K$353&gt;0,AVERAGE(K$347, K$348, K$349, K$352, K$353),""),"")</f>
        <v/>
      </c>
      <c r="L479" s="262" t="str">
        <f aca="false">IFERROR(IF(L$347*L$348*L$349*L$352*L$353&gt;0,AVERAGE(L$347, L$348, L$349, L$352, L$353),""),"")</f>
        <v/>
      </c>
      <c r="M479" s="262" t="str">
        <f aca="false">IFERROR(IF(M$347*M$348*M$349*M$352*M$353&gt;0,AVERAGE(M$347, M$348, M$349, M$352, M$353),""),"")</f>
        <v/>
      </c>
      <c r="N479" s="262" t="str">
        <f aca="false">IFERROR(IF(N$347*N$348*N$349*N$352*N$353&gt;0,AVERAGE(N$347, N$348, N$349, N$352, N$353),""),"")</f>
        <v/>
      </c>
      <c r="O479" s="245"/>
      <c r="P479" s="245"/>
      <c r="Q479" s="246"/>
      <c r="R479" s="247" t="s">
        <v>597</v>
      </c>
      <c r="S479" s="248" t="str">
        <f aca="false">IFERROR(IF(C$347*C$348*C$349*C$352*C$353&gt;0,STDEV(C$347, C$348, C$349, C$352, C$353),"")/IF(C$347*C$348*C$349*C$352*C$353&gt;0,AVERAGE(C$347, C$348, C$349, C$352, C$353),""),"")</f>
        <v/>
      </c>
      <c r="T479" s="248" t="str">
        <f aca="false">IFERROR(IF(D$347*D$348*D$349*D$352*D$353&gt;0,STDEV(D$347, D$348, D$349, D$352, D$353),"")/IF(D$347*D$348*D$349*D$352*D$353&gt;0,AVERAGE(D$347, D$348, D$349, D$352, D$353),""),"")</f>
        <v/>
      </c>
      <c r="U479" s="248" t="str">
        <f aca="false">IFERROR(IF(E$347*E$348*E$349*E$352*E$353&gt;0,STDEV(E$347, E$348, E$349, E$352, E$353),"")/IF(E$347*E$348*E$349*E$352*E$353&gt;0,AVERAGE(E$347, E$348, E$349, E$352, E$353),""),"")</f>
        <v/>
      </c>
      <c r="V479" s="248" t="str">
        <f aca="false">IFERROR(IF(F$347*F$348*F$349*F$352*F$353&gt;0,STDEV(F$347, F$348, F$349, F$352, F$353),"")/IF(F$347*F$348*F$349*F$352*F$353&gt;0,AVERAGE(F$347, F$348, F$349, F$352, F$353),""),"")</f>
        <v/>
      </c>
      <c r="W479" s="248" t="str">
        <f aca="false">IFERROR(IF(G$347*G$348*G$349*G$352*G$353&gt;0,STDEV(G$347, G$348, G$349, G$352, G$353),"")/IF(G$347*G$348*G$349*G$352*G$353&gt;0,AVERAGE(G$347, G$348, G$349, G$352, G$353),""),"")</f>
        <v/>
      </c>
      <c r="X479" s="248" t="str">
        <f aca="false">IFERROR(IF(H$347*H$348*H$349*H$352*H$353&gt;0,STDEV(H$347, H$348, H$349, H$352, H$353),"")/IF(H$347*H$348*H$349*H$352*H$353&gt;0,AVERAGE(H$347, H$348, H$349, H$352, H$353),""),"")</f>
        <v/>
      </c>
      <c r="Y479" s="248" t="str">
        <f aca="false">IFERROR(IF(I$347*I$348*I$349*I$352*I$353&gt;0,STDEV(I$347, I$348, I$349, I$352, I$353),"")/IF(I$347*I$348*I$349*I$352*I$353&gt;0,AVERAGE(I$347, I$348, I$349, I$352, I$353),""),"")</f>
        <v/>
      </c>
      <c r="Z479" s="248" t="str">
        <f aca="false">IFERROR(IF(J$347*J$348*J$349*J$352*J$353&gt;0,STDEV(J$347, J$348, J$349, J$352, J$353),"")/IF(J$347*J$348*J$349*J$352*J$353&gt;0,AVERAGE(J$347, J$348, J$349, J$352, J$353),""),"")</f>
        <v/>
      </c>
      <c r="AA479" s="248" t="str">
        <f aca="false">IFERROR(IF(K$347*K$348*K$349*K$352*K$353&gt;0,STDEV(K$347, K$348, K$349, K$352, K$353),"")/IF(K$347*K$348*K$349*K$352*K$353&gt;0,AVERAGE(K$347, K$348, K$349, K$352, K$353),""),"")</f>
        <v/>
      </c>
      <c r="AB479" s="248" t="str">
        <f aca="false">IFERROR(IF(L$347*L$348*L$349*L$352*L$353&gt;0,STDEV(L$347, L$348, L$349, L$352, L$353),"")/IF(L$347*L$348*L$349*L$352*L$353&gt;0,AVERAGE(L$347, L$348, L$349, L$352, L$353),""),"")</f>
        <v/>
      </c>
      <c r="AC479" s="248" t="str">
        <f aca="false">IFERROR(IF(M$347*M$348*M$349*M$352*M$353&gt;0,STDEV(M$347, M$348, M$349, M$352, M$353),"")/IF(M$347*M$348*M$349*M$352*M$353&gt;0,AVERAGE(M$347, M$348, M$349, M$352, M$353),""),"")</f>
        <v/>
      </c>
      <c r="AD479" s="248" t="str">
        <f aca="false">IFERROR(IF(N$347*N$348*N$349*N$352*N$353&gt;0,STDEV(N$347, N$348, N$349, N$352, N$353),"")/IF(N$347*N$348*N$349*N$352*N$353&gt;0,AVERAGE(N$347, N$348, N$349, N$352, N$353),""),"")</f>
        <v/>
      </c>
      <c r="AE479" s="249"/>
      <c r="AF479" s="250" t="s">
        <v>598</v>
      </c>
      <c r="AG479" s="251" t="str">
        <f aca="false">IFERROR(IF(C$347*C$348*C$349*C$352*C$353&gt;0,STDEV(C$347, C$348, C$349, C$352, C$353)," ")/IF(C$347*C$348*C$349*C$352*C$353&gt;0,SQRT(COUNT(C$347, C$348, C$349, C$352, C$353))," "),"")</f>
        <v/>
      </c>
      <c r="AH479" s="251" t="str">
        <f aca="false">IFERROR(IF(D$347*D$348*D$349*D$352*D$353&gt;0,STDEV(D$347, D$348, D$349, D$352, D$353)," ")/IF(D$347*D$348*D$349*D$352*D$353&gt;0,SQRT(COUNT(D$347, D$348, D$349, D$352, D$353))," "),"")</f>
        <v/>
      </c>
      <c r="AI479" s="251" t="str">
        <f aca="false">IFERROR(IF(E$347*E$348*E$349*E$352*E$353&gt;0,STDEV(E$347, E$348, E$349, E$352, E$353)," ")/IF(E$347*E$348*E$349*E$352*E$353&gt;0,SQRT(COUNT(E$347, E$348, E$349, E$352, E$353))," "),"")</f>
        <v/>
      </c>
      <c r="AJ479" s="251" t="str">
        <f aca="false">IFERROR(IF(F$347*F$348*F$349*F$352*F$353&gt;0,STDEV(F$347, F$348, F$349, F$352, F$353)," ")/IF(F$347*F$348*F$349*F$352*F$353&gt;0,SQRT(COUNT(F$347, F$348, F$349, F$352, F$353))," "),"")</f>
        <v/>
      </c>
      <c r="AK479" s="251" t="str">
        <f aca="false">IFERROR(IF(G$347*G$348*G$349*G$352*G$353&gt;0,STDEV(G$347, G$348, G$349, G$352, G$353)," ")/IF(G$347*G$348*G$349*G$352*G$353&gt;0,SQRT(COUNT(G$347, G$348, G$349, G$352, G$353))," "),"")</f>
        <v/>
      </c>
      <c r="AL479" s="251" t="str">
        <f aca="false">IFERROR(IF(H$347*H$348*H$349*H$352*H$353&gt;0,STDEV(H$347, H$348, H$349, H$352, H$353)," ")/IF(H$347*H$348*H$349*H$352*H$353&gt;0,SQRT(COUNT(H$347, H$348, H$349, H$352, H$353))," "),"")</f>
        <v/>
      </c>
      <c r="AM479" s="251" t="str">
        <f aca="false">IFERROR(IF(I$347*I$348*I$349*I$352*I$353&gt;0,STDEV(I$347, I$348, I$349, I$352, I$353)," ")/IF(I$347*I$348*I$349*I$352*I$353&gt;0,SQRT(COUNT(I$347, I$348, I$349, I$352, I$353))," "),"")</f>
        <v/>
      </c>
      <c r="AN479" s="251" t="str">
        <f aca="false">IFERROR(IF(J$347*J$348*J$349*J$352*J$353&gt;0,STDEV(J$347, J$348, J$349, J$352, J$353)," ")/IF(J$347*J$348*J$349*J$352*J$353&gt;0,SQRT(COUNT(J$347, J$348, J$349, J$352, J$353))," "),"")</f>
        <v/>
      </c>
      <c r="AO479" s="251" t="str">
        <f aca="false">IFERROR(IF(K$347*K$348*K$349*K$352*K$353&gt;0,STDEV(K$347, K$348, K$349, K$352, K$353)," ")/IF(K$347*K$348*K$349*K$352*K$353&gt;0,SQRT(COUNT(K$347, K$348, K$349, K$352, K$353))," "),"")</f>
        <v/>
      </c>
      <c r="AP479" s="251" t="str">
        <f aca="false">IFERROR(IF(L$347*L$348*L$349*L$352*L$353&gt;0,STDEV(L$347, L$348, L$349, L$352, L$353)," ")/IF(L$347*L$348*L$349*L$352*L$353&gt;0,SQRT(COUNT(L$347, L$348, L$349, L$352, L$353))," "),"")</f>
        <v/>
      </c>
      <c r="AQ479" s="251" t="str">
        <f aca="false">IFERROR(IF(M$347*M$348*M$349*M$352*M$353&gt;0,STDEV(M$347, M$348, M$349, M$352, M$353)," ")/IF(M$347*M$348*M$349*M$352*M$353&gt;0,SQRT(COUNT(M$347, M$348, M$349, M$352, M$353))," "),"")</f>
        <v/>
      </c>
      <c r="AR479" s="251" t="str">
        <f aca="false">IFERROR(IF(N$347*N$348*N$349*N$352*N$353&gt;0,STDEV(N$347, N$348, N$349, N$352, N$353)," ")/IF(N$347*N$348*N$349*N$352*N$353&gt;0,SQRT(COUNT(N$347, N$348, N$349, N$352, N$353))," "),"")</f>
        <v/>
      </c>
    </row>
    <row r="480" customFormat="false" ht="15.75" hidden="false" customHeight="false" outlineLevel="0" collapsed="false">
      <c r="A480" s="220" t="s">
        <v>599</v>
      </c>
      <c r="B480" s="221"/>
      <c r="C480" s="261" t="str">
        <f aca="false">IFERROR(IF(C$347*C$348*C$349*C$351*C$353&gt;0,AVERAGE(C$347, C$348, C$349, C$351, C$353),""),"")</f>
        <v/>
      </c>
      <c r="D480" s="261" t="str">
        <f aca="false">IFERROR(IF(D$347*D$348*D$349*D$351*D$353&gt;0,AVERAGE(D$347, D$348, D$349, D$351, D$353),""),"")</f>
        <v/>
      </c>
      <c r="E480" s="261" t="str">
        <f aca="false">IFERROR(IF(E$347*E$348*E$349*E$351*E$353&gt;0,AVERAGE(E$347, E$348, E$349, E$351, E$353),""),"")</f>
        <v/>
      </c>
      <c r="F480" s="261" t="str">
        <f aca="false">IFERROR(IF(F$347*F$348*F$349*F$351*F$353&gt;0,AVERAGE(F$347, F$348, F$349, F$351, F$353),""),"")</f>
        <v/>
      </c>
      <c r="G480" s="261" t="str">
        <f aca="false">IFERROR(IF(G$347*G$348*G$349*G$351*G$353&gt;0,AVERAGE(G$347, G$348, G$349, G$351, G$353),""),"")</f>
        <v/>
      </c>
      <c r="H480" s="261" t="str">
        <f aca="false">IFERROR(IF(H$347*H$348*H$349*H$351*H$353&gt;0,AVERAGE(H$347, H$348, H$349, H$351, H$353),""),"")</f>
        <v/>
      </c>
      <c r="I480" s="261" t="str">
        <f aca="false">IFERROR(IF(I$347*I$348*I$349*I$351*I$353&gt;0,AVERAGE(I$347, I$348, I$349, I$351, I$353),""),"")</f>
        <v/>
      </c>
      <c r="J480" s="261" t="str">
        <f aca="false">IFERROR(IF(J$347*J$348*J$349*J$351*J$353&gt;0,AVERAGE(J$347, J$348, J$349, J$351, J$353),""),"")</f>
        <v/>
      </c>
      <c r="K480" s="261" t="str">
        <f aca="false">IFERROR(IF(K$347*K$348*K$349*K$351*K$353&gt;0,AVERAGE(K$347, K$348, K$349, K$351, K$353),""),"")</f>
        <v/>
      </c>
      <c r="L480" s="261" t="str">
        <f aca="false">IFERROR(IF(L$347*L$348*L$349*L$351*L$353&gt;0,AVERAGE(L$347, L$348, L$349, L$351, L$353),""),"")</f>
        <v/>
      </c>
      <c r="M480" s="261" t="str">
        <f aca="false">IFERROR(IF(M$347*M$348*M$349*M$351*M$353&gt;0,AVERAGE(M$347, M$348, M$349, M$351, M$353),""),"")</f>
        <v/>
      </c>
      <c r="N480" s="261" t="str">
        <f aca="false">IFERROR(IF(N$347*N$348*N$349*N$351*N$353&gt;0,AVERAGE(N$347, N$348, N$349, N$351, N$353),""),"")</f>
        <v/>
      </c>
      <c r="O480" s="240"/>
      <c r="P480" s="224"/>
      <c r="Q480" s="252"/>
      <c r="R480" s="226" t="s">
        <v>600</v>
      </c>
      <c r="S480" s="227" t="str">
        <f aca="false">IFERROR(IF(C$347*C$348*C$349*C$351*C$353&gt;0,STDEV(C$347, C$348, C$349, C$351, C$353),"")/IF(C$347*C$348*C$349*C$351*C$353&gt;0,AVERAGE(C$347, C$348, C$349, C$351, C$353),""),"")</f>
        <v/>
      </c>
      <c r="T480" s="227" t="str">
        <f aca="false">IFERROR(IF(D$347*D$348*D$349*D$351*D$353&gt;0,STDEV(D$347, D$348, D$349, D$351, D$353),"")/IF(D$347*D$348*D$349*D$351*D$353&gt;0,AVERAGE(D$347, D$348, D$349, D$351, D$353),""),"")</f>
        <v/>
      </c>
      <c r="U480" s="227" t="str">
        <f aca="false">IFERROR(IF(E$347*E$348*E$349*E$351*E$353&gt;0,STDEV(E$347, E$348, E$349, E$351, E$353),"")/IF(E$347*E$348*E$349*E$351*E$353&gt;0,AVERAGE(E$347, E$348, E$349, E$351, E$353),""),"")</f>
        <v/>
      </c>
      <c r="V480" s="227" t="str">
        <f aca="false">IFERROR(IF(F$347*F$348*F$349*F$351*F$353&gt;0,STDEV(F$347, F$348, F$349, F$351, F$353),"")/IF(F$347*F$348*F$349*F$351*F$353&gt;0,AVERAGE(F$347, F$348, F$349, F$351, F$353),""),"")</f>
        <v/>
      </c>
      <c r="W480" s="227" t="str">
        <f aca="false">IFERROR(IF(G$347*G$348*G$349*G$351*G$353&gt;0,STDEV(G$347, G$348, G$349, G$351, G$353),"")/IF(G$347*G$348*G$349*G$351*G$353&gt;0,AVERAGE(G$347, G$348, G$349, G$351, G$353),""),"")</f>
        <v/>
      </c>
      <c r="X480" s="227" t="str">
        <f aca="false">IFERROR(IF(H$347*H$348*H$349*H$351*H$353&gt;0,STDEV(H$347, H$348, H$349, H$351, H$353),"")/IF(H$347*H$348*H$349*H$351*H$353&gt;0,AVERAGE(H$347, H$348, H$349, H$351, H$353),""),"")</f>
        <v/>
      </c>
      <c r="Y480" s="227" t="str">
        <f aca="false">IFERROR(IF(I$347*I$348*I$349*I$351*I$353&gt;0,STDEV(I$347, I$348, I$349, I$351, I$353),"")/IF(I$347*I$348*I$349*I$351*I$353&gt;0,AVERAGE(I$347, I$348, I$349, I$351, I$353),""),"")</f>
        <v/>
      </c>
      <c r="Z480" s="227" t="str">
        <f aca="false">IFERROR(IF(J$347*J$348*J$349*J$351*J$353&gt;0,STDEV(J$347, J$348, J$349, J$351, J$353),"")/IF(J$347*J$348*J$349*J$351*J$353&gt;0,AVERAGE(J$347, J$348, J$349, J$351, J$353),""),"")</f>
        <v/>
      </c>
      <c r="AA480" s="227" t="str">
        <f aca="false">IFERROR(IF(K$347*K$348*K$349*K$351*K$353&gt;0,STDEV(K$347, K$348, K$349, K$351, K$353),"")/IF(K$347*K$348*K$349*K$351*K$353&gt;0,AVERAGE(K$347, K$348, K$349, K$351, K$353),""),"")</f>
        <v/>
      </c>
      <c r="AB480" s="227" t="str">
        <f aca="false">IFERROR(IF(L$347*L$348*L$349*L$351*L$353&gt;0,STDEV(L$347, L$348, L$349, L$351, L$353),"")/IF(L$347*L$348*L$349*L$351*L$353&gt;0,AVERAGE(L$347, L$348, L$349, L$351, L$353),""),"")</f>
        <v/>
      </c>
      <c r="AC480" s="227" t="str">
        <f aca="false">IFERROR(IF(M$347*M$348*M$349*M$351*M$353&gt;0,STDEV(M$347, M$348, M$349, M$351, M$353),"")/IF(M$347*M$348*M$349*M$351*M$353&gt;0,AVERAGE(M$347, M$348, M$349, M$351, M$353),""),"")</f>
        <v/>
      </c>
      <c r="AD480" s="227" t="str">
        <f aca="false">IFERROR(IF(N$347*N$348*N$349*N$351*N$353&gt;0,STDEV(N$347, N$348, N$349, N$351, N$353),"")/IF(N$347*N$348*N$349*N$351*N$353&gt;0,AVERAGE(N$347, N$348, N$349, N$351, N$353),""),"")</f>
        <v/>
      </c>
      <c r="AE480" s="233"/>
      <c r="AF480" s="229" t="s">
        <v>601</v>
      </c>
      <c r="AG480" s="230" t="str">
        <f aca="false">IFERROR(IF(C$347*C$348*C$349*C$351*C$353&gt;0,STDEV(C$347, C$348, C$349, C$351, C$353)," ")/IF(C$347*C$348*C$349*C$351*C$353&gt;0,SQRT(COUNT(C$347, C$348, C$349, C$351, C$353))," "),"")</f>
        <v/>
      </c>
      <c r="AH480" s="230" t="str">
        <f aca="false">IFERROR(IF(D$347*D$348*D$349*D$351*D$353&gt;0,STDEV(D$347, D$348, D$349, D$351, D$353)," ")/IF(D$347*D$348*D$349*D$351*D$353&gt;0,SQRT(COUNT(D$347, D$348, D$349, D$351, D$353))," "),"")</f>
        <v/>
      </c>
      <c r="AI480" s="230" t="str">
        <f aca="false">IFERROR(IF(E$347*E$348*E$349*E$351*E$353&gt;0,STDEV(E$347, E$348, E$349, E$351, E$353)," ")/IF(E$347*E$348*E$349*E$351*E$353&gt;0,SQRT(COUNT(E$347, E$348, E$349, E$351, E$353))," "),"")</f>
        <v/>
      </c>
      <c r="AJ480" s="230" t="str">
        <f aca="false">IFERROR(IF(F$347*F$348*F$349*F$351*F$353&gt;0,STDEV(F$347, F$348, F$349, F$351, F$353)," ")/IF(F$347*F$348*F$349*F$351*F$353&gt;0,SQRT(COUNT(F$347, F$348, F$349, F$351, F$353))," "),"")</f>
        <v/>
      </c>
      <c r="AK480" s="230" t="str">
        <f aca="false">IFERROR(IF(G$347*G$348*G$349*G$351*G$353&gt;0,STDEV(G$347, G$348, G$349, G$351, G$353)," ")/IF(G$347*G$348*G$349*G$351*G$353&gt;0,SQRT(COUNT(G$347, G$348, G$349, G$351, G$353))," "),"")</f>
        <v/>
      </c>
      <c r="AL480" s="230" t="str">
        <f aca="false">IFERROR(IF(H$347*H$348*H$349*H$351*H$353&gt;0,STDEV(H$347, H$348, H$349, H$351, H$353)," ")/IF(H$347*H$348*H$349*H$351*H$353&gt;0,SQRT(COUNT(H$347, H$348, H$349, H$351, H$353))," "),"")</f>
        <v/>
      </c>
      <c r="AM480" s="230" t="str">
        <f aca="false">IFERROR(IF(I$347*I$348*I$349*I$351*I$353&gt;0,STDEV(I$347, I$348, I$349, I$351, I$353)," ")/IF(I$347*I$348*I$349*I$351*I$353&gt;0,SQRT(COUNT(I$347, I$348, I$349, I$351, I$353))," "),"")</f>
        <v/>
      </c>
      <c r="AN480" s="230" t="str">
        <f aca="false">IFERROR(IF(J$347*J$348*J$349*J$351*J$353&gt;0,STDEV(J$347, J$348, J$349, J$351, J$353)," ")/IF(J$347*J$348*J$349*J$351*J$353&gt;0,SQRT(COUNT(J$347, J$348, J$349, J$351, J$353))," "),"")</f>
        <v/>
      </c>
      <c r="AO480" s="230" t="str">
        <f aca="false">IFERROR(IF(K$347*K$348*K$349*K$351*K$353&gt;0,STDEV(K$347, K$348, K$349, K$351, K$353)," ")/IF(K$347*K$348*K$349*K$351*K$353&gt;0,SQRT(COUNT(K$347, K$348, K$349, K$351, K$353))," "),"")</f>
        <v/>
      </c>
      <c r="AP480" s="230" t="str">
        <f aca="false">IFERROR(IF(L$347*L$348*L$349*L$351*L$353&gt;0,STDEV(L$347, L$348, L$349, L$351, L$353)," ")/IF(L$347*L$348*L$349*L$351*L$353&gt;0,SQRT(COUNT(L$347, L$348, L$349, L$351, L$353))," "),"")</f>
        <v/>
      </c>
      <c r="AQ480" s="230" t="str">
        <f aca="false">IFERROR(IF(M$347*M$348*M$349*M$351*M$353&gt;0,STDEV(M$347, M$348, M$349, M$351, M$353)," ")/IF(M$347*M$348*M$349*M$351*M$353&gt;0,SQRT(COUNT(M$347, M$348, M$349, M$351, M$353))," "),"")</f>
        <v/>
      </c>
      <c r="AR480" s="230" t="str">
        <f aca="false">IFERROR(IF(N$347*N$348*N$349*N$351*N$353&gt;0,STDEV(N$347, N$348, N$349, N$351, N$353)," ")/IF(N$347*N$348*N$349*N$351*N$353&gt;0,SQRT(COUNT(N$347, N$348, N$349, N$351, N$353))," "),"")</f>
        <v/>
      </c>
    </row>
    <row r="481" customFormat="false" ht="15.75" hidden="false" customHeight="false" outlineLevel="0" collapsed="false">
      <c r="A481" s="220" t="s">
        <v>602</v>
      </c>
      <c r="B481" s="221"/>
      <c r="C481" s="261" t="str">
        <f aca="false">IFERROR(IF(C$347*C$348*C$349*C$350*C$351*C$352&gt;0,AVERAGE(C$347:C$351,C$352),""),"")</f>
        <v/>
      </c>
      <c r="D481" s="261" t="str">
        <f aca="false">IFERROR(IF(D$347*D$348*D$349*D$350*D$351*D$352&gt;0,AVERAGE(D$347:D$351,D$352),""),"")</f>
        <v/>
      </c>
      <c r="E481" s="261" t="str">
        <f aca="false">IFERROR(IF(E$347*E$348*E$349*E$350*E$351*E$352&gt;0,AVERAGE(E$347:E$351,E$352),""),"")</f>
        <v/>
      </c>
      <c r="F481" s="261" t="str">
        <f aca="false">IFERROR(IF(F$347*F$348*F$349*F$350*F$351*F$352&gt;0,AVERAGE(F$347:F$351,F$352),""),"")</f>
        <v/>
      </c>
      <c r="G481" s="261" t="str">
        <f aca="false">IFERROR(IF(G$347*G$348*G$349*G$350*G$351*G$352&gt;0,AVERAGE(G$347:G$351,G$352),""),"")</f>
        <v/>
      </c>
      <c r="H481" s="261" t="str">
        <f aca="false">IFERROR(IF(H$347*H$348*H$349*H$350*H$351*H$352&gt;0,AVERAGE(H$347:H$351,H$352),""),"")</f>
        <v/>
      </c>
      <c r="I481" s="261" t="str">
        <f aca="false">IFERROR(IF(I$347*I$348*I$349*I$350*I$351*I$352&gt;0,AVERAGE(I$347:I$351,I$352),""),"")</f>
        <v/>
      </c>
      <c r="J481" s="261" t="str">
        <f aca="false">IFERROR(IF(J$347*J$348*J$349*J$350*J$351*J$352&gt;0,AVERAGE(J$347:J$351,J$352),""),"")</f>
        <v/>
      </c>
      <c r="K481" s="261" t="str">
        <f aca="false">IFERROR(IF(K$347*K$348*K$349*K$350*K$351*K$352&gt;0,AVERAGE(K$347:K$351,K$352),""),"")</f>
        <v/>
      </c>
      <c r="L481" s="261" t="str">
        <f aca="false">IFERROR(IF(L$347*L$348*L$349*L$350*L$351*L$352&gt;0,AVERAGE(L$347:L$351,L$352),""),"")</f>
        <v/>
      </c>
      <c r="M481" s="261" t="str">
        <f aca="false">IFERROR(IF(M$347*M$348*M$349*M$350*M$351*M$352&gt;0,AVERAGE(M$347:M$351,M$352),""),"")</f>
        <v/>
      </c>
      <c r="N481" s="261" t="str">
        <f aca="false">IFERROR(IF(N$347*N$348*N$349*N$350*N$351*N$352&gt;0,AVERAGE(N$347:N$351,N$352),""),"")</f>
        <v/>
      </c>
      <c r="O481" s="224" t="n">
        <v>6</v>
      </c>
      <c r="P481" s="224" t="n">
        <f aca="false">COMBIN(7,6)</f>
        <v>7</v>
      </c>
      <c r="Q481" s="232" t="n">
        <f aca="false">ROW(N487)-ROW(N481)+1</f>
        <v>7</v>
      </c>
      <c r="R481" s="226" t="s">
        <v>603</v>
      </c>
      <c r="S481" s="227" t="str">
        <f aca="false">IFERROR(IF(C$347*C$348*C$349*C$350*C$351*C$352&gt;0,STDEV(C$347:C$351,C$352),"")/IF(C$347*C$348*C$349*C$350*C$351*C$352&gt;0,AVERAGE(C$347:C$351,C$352),""),"")</f>
        <v/>
      </c>
      <c r="T481" s="227" t="str">
        <f aca="false">IFERROR(IF(D$347*D$348*D$349*D$350*D$351*D$352&gt;0,STDEV(D$347:D$351,D$352),"")/IF(D$347*D$348*D$349*D$350*D$351*D$352&gt;0,AVERAGE(D$347:D$351,D$352),""),"")</f>
        <v/>
      </c>
      <c r="U481" s="227" t="str">
        <f aca="false">IFERROR(IF(E$347*E$348*E$349*E$350*E$351*E$352&gt;0,STDEV(E$347:E$351,E$352),"")/IF(E$347*E$348*E$349*E$350*E$351*E$352&gt;0,AVERAGE(E$347:E$351,E$352),""),"")</f>
        <v/>
      </c>
      <c r="V481" s="227" t="str">
        <f aca="false">IFERROR(IF(F$347*F$348*F$349*F$350*F$351*F$352&gt;0,STDEV(F$347:F$351,F$352),"")/IF(F$347*F$348*F$349*F$350*F$351*F$352&gt;0,AVERAGE(F$347:F$351,F$352),""),"")</f>
        <v/>
      </c>
      <c r="W481" s="227" t="str">
        <f aca="false">IFERROR(IF(G$347*G$348*G$349*G$350*G$351*G$352&gt;0,STDEV(G$347:G$351,G$352),"")/IF(G$347*G$348*G$349*G$350*G$351*G$352&gt;0,AVERAGE(G$347:G$351,G$352),""),"")</f>
        <v/>
      </c>
      <c r="X481" s="227" t="str">
        <f aca="false">IFERROR(IF(H$347*H$348*H$349*H$350*H$351*H$352&gt;0,STDEV(H$347:H$351,H$352),"")/IF(H$347*H$348*H$349*H$350*H$351*H$352&gt;0,AVERAGE(H$347:H$351,H$352),""),"")</f>
        <v/>
      </c>
      <c r="Y481" s="227" t="str">
        <f aca="false">IFERROR(IF(I$347*I$348*I$349*I$350*I$351*I$352&gt;0,STDEV(I$347:I$351,I$352),"")/IF(I$347*I$348*I$349*I$350*I$351*I$352&gt;0,AVERAGE(I$347:I$351,I$352),""),"")</f>
        <v/>
      </c>
      <c r="Z481" s="227" t="str">
        <f aca="false">IFERROR(IF(J$347*J$348*J$349*J$350*J$351*J$352&gt;0,STDEV(J$347:J$351,J$352),"")/IF(J$347*J$348*J$349*J$350*J$351*J$352&gt;0,AVERAGE(J$347:J$351,J$352),""),"")</f>
        <v/>
      </c>
      <c r="AA481" s="227" t="str">
        <f aca="false">IFERROR(IF(K$347*K$348*K$349*K$350*K$351*K$352&gt;0,STDEV(K$347:K$351,K$352),"")/IF(K$347*K$348*K$349*K$350*K$351*K$352&gt;0,AVERAGE(K$347:K$351,K$352),""),"")</f>
        <v/>
      </c>
      <c r="AB481" s="227" t="str">
        <f aca="false">IFERROR(IF(L$347*L$348*L$349*L$350*L$351*L$352&gt;0,STDEV(L$347:L$351,L$352),"")/IF(L$347*L$348*L$349*L$350*L$351*L$352&gt;0,AVERAGE(L$347:L$351,L$352),""),"")</f>
        <v/>
      </c>
      <c r="AC481" s="227" t="str">
        <f aca="false">IFERROR(IF(M$347*M$348*M$349*M$350*M$351*M$352&gt;0,STDEV(M$347:M$351,M$352),"")/IF(M$347*M$348*M$349*M$350*M$351*M$352&gt;0,AVERAGE(M$347:M$351,M$352),""),"")</f>
        <v/>
      </c>
      <c r="AD481" s="227" t="str">
        <f aca="false">IFERROR(IF(N$347*N$348*N$349*N$350*N$351*N$352&gt;0,STDEV(N$347:N$351,N$352),"")/IF(N$347*N$348*N$349*N$350*N$351*N$352&gt;0,AVERAGE(N$347:N$351,N$352),""),"")</f>
        <v/>
      </c>
      <c r="AE481" s="233"/>
      <c r="AF481" s="229" t="s">
        <v>604</v>
      </c>
      <c r="AG481" s="230" t="str">
        <f aca="false">IFERROR(IF(C$347*C$348*C$349*C$350*C$351*C$352&gt;0,STDEV(C$347:C$351,C$352)," ")/IF(C$347*C$348*C$349*C$350*C$351*C$352&gt;0,SQRT(COUNT(C$347:C$351,C$352))," "),"")</f>
        <v/>
      </c>
      <c r="AH481" s="230" t="str">
        <f aca="false">IFERROR(IF(D$347*D$348*D$349*D$350*D$351*D$352&gt;0,STDEV(D$347:D$351,D$352)," ")/IF(D$347*D$348*D$349*D$350*D$351*D$352&gt;0,SQRT(COUNT(D$347:D$351,D$352))," "),"")</f>
        <v/>
      </c>
      <c r="AI481" s="230" t="str">
        <f aca="false">IFERROR(IF(E$347*E$348*E$349*E$350*E$351*E$352&gt;0,STDEV(E$347:E$351,E$352)," ")/IF(E$347*E$348*E$349*E$350*E$351*E$352&gt;0,SQRT(COUNT(E$347:E$351,E$352))," "),"")</f>
        <v/>
      </c>
      <c r="AJ481" s="230" t="str">
        <f aca="false">IFERROR(IF(F$347*F$348*F$349*F$350*F$351*F$352&gt;0,STDEV(F$347:F$351,F$352)," ")/IF(F$347*F$348*F$349*F$350*F$351*F$352&gt;0,SQRT(COUNT(F$347:F$351,F$352))," "),"")</f>
        <v/>
      </c>
      <c r="AK481" s="230" t="str">
        <f aca="false">IFERROR(IF(G$347*G$348*G$349*G$350*G$351*G$352&gt;0,STDEV(G$347:G$351,G$352)," ")/IF(G$347*G$348*G$349*G$350*G$351*G$352&gt;0,SQRT(COUNT(G$347:G$351,G$352))," "),"")</f>
        <v/>
      </c>
      <c r="AL481" s="230" t="str">
        <f aca="false">IFERROR(IF(H$347*H$348*H$349*H$350*H$351*H$352&gt;0,STDEV(H$347:H$351,H$352)," ")/IF(H$347*H$348*H$349*H$350*H$351*H$352&gt;0,SQRT(COUNT(H$347:H$351,H$352))," "),"")</f>
        <v/>
      </c>
      <c r="AM481" s="230" t="str">
        <f aca="false">IFERROR(IF(I$347*I$348*I$349*I$350*I$351*I$352&gt;0,STDEV(I$347:I$351,I$352)," ")/IF(I$347*I$348*I$349*I$350*I$351*I$352&gt;0,SQRT(COUNT(I$347:I$351,I$352))," "),"")</f>
        <v/>
      </c>
      <c r="AN481" s="230" t="str">
        <f aca="false">IFERROR(IF(J$347*J$348*J$349*J$350*J$351*J$352&gt;0,STDEV(J$347:J$351,J$352)," ")/IF(J$347*J$348*J$349*J$350*J$351*J$352&gt;0,SQRT(COUNT(J$347:J$351,J$352))," "),"")</f>
        <v/>
      </c>
      <c r="AO481" s="230" t="str">
        <f aca="false">IFERROR(IF(K$347*K$348*K$349*K$350*K$351*K$352&gt;0,STDEV(K$347:K$351,K$352)," ")/IF(K$347*K$348*K$349*K$350*K$351*K$352&gt;0,SQRT(COUNT(K$347:K$351,K$352))," "),"")</f>
        <v/>
      </c>
      <c r="AP481" s="230" t="str">
        <f aca="false">IFERROR(IF(L$347*L$348*L$349*L$350*L$351*L$352&gt;0,STDEV(L$347:L$351,L$352)," ")/IF(L$347*L$348*L$349*L$350*L$351*L$352&gt;0,SQRT(COUNT(L$347:L$351,L$352))," "),"")</f>
        <v/>
      </c>
      <c r="AQ481" s="230" t="str">
        <f aca="false">IFERROR(IF(M$347*M$348*M$349*M$350*M$351*M$352&gt;0,STDEV(M$347:M$351,M$352)," ")/IF(M$347*M$348*M$349*M$350*M$351*M$352&gt;0,SQRT(COUNT(M$347:M$351,M$352))," "),"")</f>
        <v/>
      </c>
      <c r="AR481" s="230" t="str">
        <f aca="false">IFERROR(IF(N$347*N$348*N$349*N$350*N$351*N$352&gt;0,STDEV(N$347:N$351,N$352)," ")/IF(N$347*N$348*N$349*N$350*N$351*N$352&gt;0,SQRT(COUNT(N$347:N$351,N$352))," "),"")</f>
        <v/>
      </c>
    </row>
    <row r="482" customFormat="false" ht="15.75" hidden="false" customHeight="false" outlineLevel="0" collapsed="false">
      <c r="A482" s="220" t="s">
        <v>605</v>
      </c>
      <c r="B482" s="221"/>
      <c r="C482" s="261" t="str">
        <f aca="false">IFERROR(IF(C$347*C$348*C$349*C$350*C$351*C$353&gt;0,AVERAGE(C$347:C$351,C$353),""),"")</f>
        <v/>
      </c>
      <c r="D482" s="261" t="str">
        <f aca="false">IFERROR(IF(D$347*D$348*D$349*D$350*D$351*D$353&gt;0,AVERAGE(D$347:D$351,D$353),""),"")</f>
        <v/>
      </c>
      <c r="E482" s="261" t="str">
        <f aca="false">IFERROR(IF(E$347*E$348*E$349*E$350*E$351*E$353&gt;0,AVERAGE(E$347:E$351,E$353),""),"")</f>
        <v/>
      </c>
      <c r="F482" s="261" t="str">
        <f aca="false">IFERROR(IF(F$347*F$348*F$349*F$350*F$351*F$353&gt;0,AVERAGE(F$347:F$351,F$353),""),"")</f>
        <v/>
      </c>
      <c r="G482" s="261" t="str">
        <f aca="false">IFERROR(IF(G$347*G$348*G$349*G$350*G$351*G$353&gt;0,AVERAGE(G$347:G$351,G$353),""),"")</f>
        <v/>
      </c>
      <c r="H482" s="261" t="str">
        <f aca="false">IFERROR(IF(H$347*H$348*H$349*H$350*H$351*H$353&gt;0,AVERAGE(H$347:H$351,H$353),""),"")</f>
        <v/>
      </c>
      <c r="I482" s="261" t="str">
        <f aca="false">IFERROR(IF(I$347*I$348*I$349*I$350*I$351*I$353&gt;0,AVERAGE(I$347:I$351,I$353),""),"")</f>
        <v/>
      </c>
      <c r="J482" s="261" t="str">
        <f aca="false">IFERROR(IF(J$347*J$348*J$349*J$350*J$351*J$353&gt;0,AVERAGE(J$347:J$351,J$353),""),"")</f>
        <v/>
      </c>
      <c r="K482" s="261" t="str">
        <f aca="false">IFERROR(IF(K$347*K$348*K$349*K$350*K$351*K$353&gt;0,AVERAGE(K$347:K$351,K$353),""),"")</f>
        <v/>
      </c>
      <c r="L482" s="261" t="str">
        <f aca="false">IFERROR(IF(L$347*L$348*L$349*L$350*L$351*L$353&gt;0,AVERAGE(L$347:L$351,L$353),""),"")</f>
        <v/>
      </c>
      <c r="M482" s="261" t="str">
        <f aca="false">IFERROR(IF(M$347*M$348*M$349*M$350*M$351*M$353&gt;0,AVERAGE(M$347:M$351,M$353),""),"")</f>
        <v/>
      </c>
      <c r="N482" s="261" t="str">
        <f aca="false">IFERROR(IF(N$347*N$348*N$349*N$350*N$351*N$353&gt;0,AVERAGE(N$347:N$351,N$353),""),"")</f>
        <v/>
      </c>
      <c r="O482" s="224"/>
      <c r="P482" s="224"/>
      <c r="Q482" s="232"/>
      <c r="R482" s="226" t="s">
        <v>606</v>
      </c>
      <c r="S482" s="227" t="str">
        <f aca="false">IFERROR(IF(C$347*C$348*C$349*C$350*C$351*C$353&gt;0,STDEV(C$347:C$351,C$353),"")/IF(C$347*C$348*C$349*C$350*C$351*C$353&gt;0,AVERAGE(C$347:C$351,C$353),""),"")</f>
        <v/>
      </c>
      <c r="T482" s="227" t="str">
        <f aca="false">IFERROR(IF(D$347*D$348*D$349*D$350*D$351*D$353&gt;0,STDEV(D$347:D$351,D$353),"")/IF(D$347*D$348*D$349*D$350*D$351*D$353&gt;0,AVERAGE(D$347:D$351,D$353),""),"")</f>
        <v/>
      </c>
      <c r="U482" s="227" t="str">
        <f aca="false">IFERROR(IF(E$347*E$348*E$349*E$350*E$351*E$353&gt;0,STDEV(E$347:E$351,E$353),"")/IF(E$347*E$348*E$349*E$350*E$351*E$353&gt;0,AVERAGE(E$347:E$351,E$353),""),"")</f>
        <v/>
      </c>
      <c r="V482" s="227" t="str">
        <f aca="false">IFERROR(IF(F$347*F$348*F$349*F$350*F$351*F$353&gt;0,STDEV(F$347:F$351,F$353),"")/IF(F$347*F$348*F$349*F$350*F$351*F$353&gt;0,AVERAGE(F$347:F$351,F$353),""),"")</f>
        <v/>
      </c>
      <c r="W482" s="227" t="str">
        <f aca="false">IFERROR(IF(G$347*G$348*G$349*G$350*G$351*G$353&gt;0,STDEV(G$347:G$351,G$353),"")/IF(G$347*G$348*G$349*G$350*G$351*G$353&gt;0,AVERAGE(G$347:G$351,G$353),""),"")</f>
        <v/>
      </c>
      <c r="X482" s="227" t="str">
        <f aca="false">IFERROR(IF(H$347*H$348*H$349*H$350*H$351*H$353&gt;0,STDEV(H$347:H$351,H$353),"")/IF(H$347*H$348*H$349*H$350*H$351*H$353&gt;0,AVERAGE(H$347:H$351,H$353),""),"")</f>
        <v/>
      </c>
      <c r="Y482" s="227" t="str">
        <f aca="false">IFERROR(IF(I$347*I$348*I$349*I$350*I$351*I$353&gt;0,STDEV(I$347:I$351,I$353),"")/IF(I$347*I$348*I$349*I$350*I$351*I$353&gt;0,AVERAGE(I$347:I$351,I$353),""),"")</f>
        <v/>
      </c>
      <c r="Z482" s="227" t="str">
        <f aca="false">IFERROR(IF(J$347*J$348*J$349*J$350*J$351*J$353&gt;0,STDEV(J$347:J$351,J$353),"")/IF(J$347*J$348*J$349*J$350*J$351*J$353&gt;0,AVERAGE(J$347:J$351,J$353),""),"")</f>
        <v/>
      </c>
      <c r="AA482" s="227" t="str">
        <f aca="false">IFERROR(IF(K$347*K$348*K$349*K$350*K$351*K$353&gt;0,STDEV(K$347:K$351,K$353),"")/IF(K$347*K$348*K$349*K$350*K$351*K$353&gt;0,AVERAGE(K$347:K$351,K$353),""),"")</f>
        <v/>
      </c>
      <c r="AB482" s="227" t="str">
        <f aca="false">IFERROR(IF(L$347*L$348*L$349*L$350*L$351*L$353&gt;0,STDEV(L$347:L$351,L$353),"")/IF(L$347*L$348*L$349*L$350*L$351*L$353&gt;0,AVERAGE(L$347:L$351,L$353),""),"")</f>
        <v/>
      </c>
      <c r="AC482" s="227" t="str">
        <f aca="false">IFERROR(IF(M$347*M$348*M$349*M$350*M$351*M$353&gt;0,STDEV(M$347:M$351,M$353),"")/IF(M$347*M$348*M$349*M$350*M$351*M$353&gt;0,AVERAGE(M$347:M$351,M$353),""),"")</f>
        <v/>
      </c>
      <c r="AD482" s="227" t="str">
        <f aca="false">IFERROR(IF(N$347*N$348*N$349*N$350*N$351*N$353&gt;0,STDEV(N$347:N$351,N$353),"")/IF(N$347*N$348*N$349*N$350*N$351*N$353&gt;0,AVERAGE(N$347:N$351,N$353),""),"")</f>
        <v/>
      </c>
      <c r="AE482" s="233"/>
      <c r="AF482" s="229" t="s">
        <v>607</v>
      </c>
      <c r="AG482" s="230" t="str">
        <f aca="false">IFERROR(IF(C$347*C$348*C$349*C$350*C$351*C$353&gt;0,STDEV(C$347:C$351,C$353)," ")/IF(C$347*C$348*C$349*C$350*C$351*C$353&gt;0,SQRT(COUNT(C$347:C$351,C$353))," "),"")</f>
        <v/>
      </c>
      <c r="AH482" s="230" t="str">
        <f aca="false">IFERROR(IF(D$347*D$348*D$349*D$350*D$351*D$353&gt;0,STDEV(D$347:D$351,D$353)," ")/IF(D$347*D$348*D$349*D$350*D$351*D$353&gt;0,SQRT(COUNT(D$347:D$351,D$353))," "),"")</f>
        <v/>
      </c>
      <c r="AI482" s="230" t="str">
        <f aca="false">IFERROR(IF(E$347*E$348*E$349*E$350*E$351*E$353&gt;0,STDEV(E$347:E$351,E$353)," ")/IF(E$347*E$348*E$349*E$350*E$351*E$353&gt;0,SQRT(COUNT(E$347:E$351,E$353))," "),"")</f>
        <v/>
      </c>
      <c r="AJ482" s="230" t="str">
        <f aca="false">IFERROR(IF(F$347*F$348*F$349*F$350*F$351*F$353&gt;0,STDEV(F$347:F$351,F$353)," ")/IF(F$347*F$348*F$349*F$350*F$351*F$353&gt;0,SQRT(COUNT(F$347:F$351,F$353))," "),"")</f>
        <v/>
      </c>
      <c r="AK482" s="230" t="str">
        <f aca="false">IFERROR(IF(G$347*G$348*G$349*G$350*G$351*G$353&gt;0,STDEV(G$347:G$351,G$353)," ")/IF(G$347*G$348*G$349*G$350*G$351*G$353&gt;0,SQRT(COUNT(G$347:G$351,G$353))," "),"")</f>
        <v/>
      </c>
      <c r="AL482" s="230" t="str">
        <f aca="false">IFERROR(IF(H$347*H$348*H$349*H$350*H$351*H$353&gt;0,STDEV(H$347:H$351,H$353)," ")/IF(H$347*H$348*H$349*H$350*H$351*H$353&gt;0,SQRT(COUNT(H$347:H$351,H$353))," "),"")</f>
        <v/>
      </c>
      <c r="AM482" s="230" t="str">
        <f aca="false">IFERROR(IF(I$347*I$348*I$349*I$350*I$351*I$353&gt;0,STDEV(I$347:I$351,I$353)," ")/IF(I$347*I$348*I$349*I$350*I$351*I$353&gt;0,SQRT(COUNT(I$347:I$351,I$353))," "),"")</f>
        <v/>
      </c>
      <c r="AN482" s="230" t="str">
        <f aca="false">IFERROR(IF(J$347*J$348*J$349*J$350*J$351*J$353&gt;0,STDEV(J$347:J$351,J$353)," ")/IF(J$347*J$348*J$349*J$350*J$351*J$353&gt;0,SQRT(COUNT(J$347:J$351,J$353))," "),"")</f>
        <v/>
      </c>
      <c r="AO482" s="230" t="str">
        <f aca="false">IFERROR(IF(K$347*K$348*K$349*K$350*K$351*K$353&gt;0,STDEV(K$347:K$351,K$353)," ")/IF(K$347*K$348*K$349*K$350*K$351*K$353&gt;0,SQRT(COUNT(K$347:K$351,K$353))," "),"")</f>
        <v/>
      </c>
      <c r="AP482" s="230" t="str">
        <f aca="false">IFERROR(IF(L$347*L$348*L$349*L$350*L$351*L$353&gt;0,STDEV(L$347:L$351,L$353)," ")/IF(L$347*L$348*L$349*L$350*L$351*L$353&gt;0,SQRT(COUNT(L$347:L$351,L$353))," "),"")</f>
        <v/>
      </c>
      <c r="AQ482" s="230" t="str">
        <f aca="false">IFERROR(IF(M$347*M$348*M$349*M$350*M$351*M$353&gt;0,STDEV(M$347:M$351,M$353)," ")/IF(M$347*M$348*M$349*M$350*M$351*M$353&gt;0,SQRT(COUNT(M$347:M$351,M$353))," "),"")</f>
        <v/>
      </c>
      <c r="AR482" s="230" t="str">
        <f aca="false">IFERROR(IF(N$347*N$348*N$349*N$350*N$351*N$353&gt;0,STDEV(N$347:N$351,N$353)," ")/IF(N$347*N$348*N$349*N$350*N$351*N$353&gt;0,SQRT(COUNT(N$347:N$351,N$353))," "),"")</f>
        <v/>
      </c>
    </row>
    <row r="483" customFormat="false" ht="15.75" hidden="false" customHeight="false" outlineLevel="0" collapsed="false">
      <c r="A483" s="220" t="s">
        <v>608</v>
      </c>
      <c r="B483" s="221"/>
      <c r="C483" s="261" t="str">
        <f aca="false">IFERROR(IF(C$347*C$348*C$349*C$350*C$352*C$353&gt;0,AVERAGE(C$347:C$350, C$353),""),"")</f>
        <v/>
      </c>
      <c r="D483" s="261" t="str">
        <f aca="false">IFERROR(IF(D$347*D$348*D$349*D$350*D$352*D$353&gt;0,AVERAGE(D$347:D$350, D$353),""),"")</f>
        <v/>
      </c>
      <c r="E483" s="261" t="str">
        <f aca="false">IFERROR(IF(E$347*E$348*E$349*E$350*E$352*E$353&gt;0,AVERAGE(E$347:E$350, E$353),""),"")</f>
        <v/>
      </c>
      <c r="F483" s="261" t="str">
        <f aca="false">IFERROR(IF(F$347*F$348*F$349*F$350*F$352*F$353&gt;0,AVERAGE(F$347:F$350, F$353),""),"")</f>
        <v/>
      </c>
      <c r="G483" s="261" t="str">
        <f aca="false">IFERROR(IF(G$347*G$348*G$349*G$350*G$352*G$353&gt;0,AVERAGE(G$347:G$350, G$353),""),"")</f>
        <v/>
      </c>
      <c r="H483" s="261" t="str">
        <f aca="false">IFERROR(IF(H$347*H$348*H$349*H$350*H$352*H$353&gt;0,AVERAGE(H$347:H$350, H$353),""),"")</f>
        <v/>
      </c>
      <c r="I483" s="261" t="str">
        <f aca="false">IFERROR(IF(I$347*I$348*I$349*I$350*I$352*I$353&gt;0,AVERAGE(I$347:I$350, I$353),""),"")</f>
        <v/>
      </c>
      <c r="J483" s="261" t="str">
        <f aca="false">IFERROR(IF(J$347*J$348*J$349*J$350*J$352*J$353&gt;0,AVERAGE(J$347:J$350, J$353),""),"")</f>
        <v/>
      </c>
      <c r="K483" s="261" t="str">
        <f aca="false">IFERROR(IF(K$347*K$348*K$349*K$350*K$352*K$353&gt;0,AVERAGE(K$347:K$350, K$353),""),"")</f>
        <v/>
      </c>
      <c r="L483" s="261" t="str">
        <f aca="false">IFERROR(IF(L$347*L$348*L$349*L$350*L$352*L$353&gt;0,AVERAGE(L$347:L$350, L$353),""),"")</f>
        <v/>
      </c>
      <c r="M483" s="261" t="str">
        <f aca="false">IFERROR(IF(M$347*M$348*M$349*M$350*M$352*M$353&gt;0,AVERAGE(M$347:M$350, M$353),""),"")</f>
        <v/>
      </c>
      <c r="N483" s="261" t="str">
        <f aca="false">IFERROR(IF(N$347*N$348*N$349*N$350*N$352*N$353&gt;0,AVERAGE(N$347:N$350, N$353),""),"")</f>
        <v/>
      </c>
      <c r="O483" s="224"/>
      <c r="P483" s="224"/>
      <c r="Q483" s="232"/>
      <c r="R483" s="226" t="s">
        <v>609</v>
      </c>
      <c r="S483" s="227" t="str">
        <f aca="false">IFERROR(IF(C$347*C$348*C$349*C$350*C$352*C$353&gt;0,STDEV(C$347:C$350, C$353),"")/IF(C$347*C$348*C$349*C$350*C$352*C$353&gt;0,AVERAGE(C$347:C$350, C$353),""),"")</f>
        <v/>
      </c>
      <c r="T483" s="227" t="str">
        <f aca="false">IFERROR(IF(D$347*D$348*D$349*D$350*D$352*D$353&gt;0,STDEV(D$347:D$350, D$353),"")/IF(D$347*D$348*D$349*D$350*D$352*D$353&gt;0,AVERAGE(D$347:D$350, D$353),""),"")</f>
        <v/>
      </c>
      <c r="U483" s="227" t="str">
        <f aca="false">IFERROR(IF(E$347*E$348*E$349*E$350*E$352*E$353&gt;0,STDEV(E$347:E$350, E$353),"")/IF(E$347*E$348*E$349*E$350*E$352*E$353&gt;0,AVERAGE(E$347:E$350, E$353),""),"")</f>
        <v/>
      </c>
      <c r="V483" s="227" t="str">
        <f aca="false">IFERROR(IF(F$347*F$348*F$349*F$350*F$352*F$353&gt;0,STDEV(F$347:F$350, F$353),"")/IF(F$347*F$348*F$349*F$350*F$352*F$353&gt;0,AVERAGE(F$347:F$350, F$353),""),"")</f>
        <v/>
      </c>
      <c r="W483" s="227" t="str">
        <f aca="false">IFERROR(IF(G$347*G$348*G$349*G$350*G$352*G$353&gt;0,STDEV(G$347:G$350, G$353),"")/IF(G$347*G$348*G$349*G$350*G$352*G$353&gt;0,AVERAGE(G$347:G$350, G$353),""),"")</f>
        <v/>
      </c>
      <c r="X483" s="227" t="str">
        <f aca="false">IFERROR(IF(H$347*H$348*H$349*H$350*H$352*H$353&gt;0,STDEV(H$347:H$350, H$353),"")/IF(H$347*H$348*H$349*H$350*H$352*H$353&gt;0,AVERAGE(H$347:H$350, H$353),""),"")</f>
        <v/>
      </c>
      <c r="Y483" s="227" t="str">
        <f aca="false">IFERROR(IF(I$347*I$348*I$349*I$350*I$352*I$353&gt;0,STDEV(I$347:I$350, I$353),"")/IF(I$347*I$348*I$349*I$350*I$352*I$353&gt;0,AVERAGE(I$347:I$350, I$353),""),"")</f>
        <v/>
      </c>
      <c r="Z483" s="227" t="str">
        <f aca="false">IFERROR(IF(J$347*J$348*J$349*J$350*J$352*J$353&gt;0,STDEV(J$347:J$350, J$353),"")/IF(J$347*J$348*J$349*J$350*J$352*J$353&gt;0,AVERAGE(J$347:J$350, J$353),""),"")</f>
        <v/>
      </c>
      <c r="AA483" s="227" t="str">
        <f aca="false">IFERROR(IF(K$347*K$348*K$349*K$350*K$352*K$353&gt;0,STDEV(K$347:K$350, K$353),"")/IF(K$347*K$348*K$349*K$350*K$352*K$353&gt;0,AVERAGE(K$347:K$350, K$353),""),"")</f>
        <v/>
      </c>
      <c r="AB483" s="227" t="str">
        <f aca="false">IFERROR(IF(L$347*L$348*L$349*L$350*L$352*L$353&gt;0,STDEV(L$347:L$350, L$353),"")/IF(L$347*L$348*L$349*L$350*L$352*L$353&gt;0,AVERAGE(L$347:L$350, L$353),""),"")</f>
        <v/>
      </c>
      <c r="AC483" s="227" t="str">
        <f aca="false">IFERROR(IF(M$347*M$348*M$349*M$350*M$352*M$353&gt;0,STDEV(M$347:M$350, M$353),"")/IF(M$347*M$348*M$349*M$350*M$352*M$353&gt;0,AVERAGE(M$347:M$350, M$353),""),"")</f>
        <v/>
      </c>
      <c r="AD483" s="227" t="str">
        <f aca="false">IFERROR(IF(N$347*N$348*N$349*N$350*N$352*N$353&gt;0,STDEV(N$347:N$350, N$353),"")/IF(N$347*N$348*N$349*N$350*N$352*N$353&gt;0,AVERAGE(N$347:N$350, N$353),""),"")</f>
        <v/>
      </c>
      <c r="AE483" s="233"/>
      <c r="AF483" s="229" t="s">
        <v>610</v>
      </c>
      <c r="AG483" s="230" t="str">
        <f aca="false">IFERROR(IF(C$347*C$348*C$349*C$350*C$352*C$353&gt;0,STDEV(C$347:C$350, C$353)," ")/IF(C$347*C$348*C$349*C$350*C$352*C$353&gt;0,SQRT(COUNT(C$347:C$350, C$353))," "),"")</f>
        <v/>
      </c>
      <c r="AH483" s="230" t="str">
        <f aca="false">IFERROR(IF(D$347*D$348*D$349*D$350*D$352*D$353&gt;0,STDEV(D$347:D$350, D$353)," ")/IF(D$347*D$348*D$349*D$350*D$352*D$353&gt;0,SQRT(COUNT(D$347:D$350, D$353))," "),"")</f>
        <v/>
      </c>
      <c r="AI483" s="230" t="str">
        <f aca="false">IFERROR(IF(E$347*E$348*E$349*E$350*E$352*E$353&gt;0,STDEV(E$347:E$350, E$353)," ")/IF(E$347*E$348*E$349*E$350*E$352*E$353&gt;0,SQRT(COUNT(E$347:E$350, E$353))," "),"")</f>
        <v/>
      </c>
      <c r="AJ483" s="230" t="str">
        <f aca="false">IFERROR(IF(F$347*F$348*F$349*F$350*F$352*F$353&gt;0,STDEV(F$347:F$350, F$353)," ")/IF(F$347*F$348*F$349*F$350*F$352*F$353&gt;0,SQRT(COUNT(F$347:F$350, F$353))," "),"")</f>
        <v/>
      </c>
      <c r="AK483" s="230" t="str">
        <f aca="false">IFERROR(IF(G$347*G$348*G$349*G$350*G$352*G$353&gt;0,STDEV(G$347:G$350, G$353)," ")/IF(G$347*G$348*G$349*G$350*G$352*G$353&gt;0,SQRT(COUNT(G$347:G$350, G$353))," "),"")</f>
        <v/>
      </c>
      <c r="AL483" s="230" t="str">
        <f aca="false">IFERROR(IF(H$347*H$348*H$349*H$350*H$352*H$353&gt;0,STDEV(H$347:H$350, H$353)," ")/IF(H$347*H$348*H$349*H$350*H$352*H$353&gt;0,SQRT(COUNT(H$347:H$350, H$353))," "),"")</f>
        <v/>
      </c>
      <c r="AM483" s="230" t="str">
        <f aca="false">IFERROR(IF(I$347*I$348*I$349*I$350*I$352*I$353&gt;0,STDEV(I$347:I$350, I$353)," ")/IF(I$347*I$348*I$349*I$350*I$352*I$353&gt;0,SQRT(COUNT(I$347:I$350, I$353))," "),"")</f>
        <v/>
      </c>
      <c r="AN483" s="230" t="str">
        <f aca="false">IFERROR(IF(J$347*J$348*J$349*J$350*J$352*J$353&gt;0,STDEV(J$347:J$350, J$353)," ")/IF(J$347*J$348*J$349*J$350*J$352*J$353&gt;0,SQRT(COUNT(J$347:J$350, J$353))," "),"")</f>
        <v/>
      </c>
      <c r="AO483" s="230" t="str">
        <f aca="false">IFERROR(IF(K$347*K$348*K$349*K$350*K$352*K$353&gt;0,STDEV(K$347:K$350, K$353)," ")/IF(K$347*K$348*K$349*K$350*K$352*K$353&gt;0,SQRT(COUNT(K$347:K$350, K$353))," "),"")</f>
        <v/>
      </c>
      <c r="AP483" s="230" t="str">
        <f aca="false">IFERROR(IF(L$347*L$348*L$349*L$350*L$352*L$353&gt;0,STDEV(L$347:L$350, L$353)," ")/IF(L$347*L$348*L$349*L$350*L$352*L$353&gt;0,SQRT(COUNT(L$347:L$350, L$353))," "),"")</f>
        <v/>
      </c>
      <c r="AQ483" s="230" t="str">
        <f aca="false">IFERROR(IF(M$347*M$348*M$349*M$350*M$352*M$353&gt;0,STDEV(M$347:M$350, M$353)," ")/IF(M$347*M$348*M$349*M$350*M$352*M$353&gt;0,SQRT(COUNT(M$347:M$350, M$353))," "),"")</f>
        <v/>
      </c>
      <c r="AR483" s="230" t="str">
        <f aca="false">IFERROR(IF(N$347*N$348*N$349*N$350*N$352*N$353&gt;0,STDEV(N$347:N$350, N$353)," ")/IF(N$347*N$348*N$349*N$350*N$352*N$353&gt;0,SQRT(COUNT(N$347:N$350, N$353))," "),"")</f>
        <v/>
      </c>
    </row>
    <row r="484" customFormat="false" ht="15.75" hidden="false" customHeight="false" outlineLevel="0" collapsed="false">
      <c r="A484" s="220" t="s">
        <v>611</v>
      </c>
      <c r="B484" s="221"/>
      <c r="C484" s="261" t="str">
        <f aca="false">IFERROR(IF(C$347*C$348*C$349*C$351*C$352*C$353&gt;0,AVERAGE(C$347:C$349,C$351:C$353),""),"")</f>
        <v/>
      </c>
      <c r="D484" s="261" t="str">
        <f aca="false">IFERROR(IF(D$347*D$348*D$349*D$351*D$352*D$353&gt;0,AVERAGE(D$347:D$349,D$351:D$353),""),"")</f>
        <v/>
      </c>
      <c r="E484" s="261" t="str">
        <f aca="false">IFERROR(IF(E$347*E$348*E$349*E$351*E$352*E$353&gt;0,AVERAGE(E$347:E$349,E$351:E$353),""),"")</f>
        <v/>
      </c>
      <c r="F484" s="261" t="str">
        <f aca="false">IFERROR(IF(F$347*F$348*F$349*F$351*F$352*F$353&gt;0,AVERAGE(F$347:F$349,F$351:F$353),""),"")</f>
        <v/>
      </c>
      <c r="G484" s="261" t="str">
        <f aca="false">IFERROR(IF(G$347*G$348*G$349*G$351*G$352*G$353&gt;0,AVERAGE(G$347:G$349,G$351:G$353),""),"")</f>
        <v/>
      </c>
      <c r="H484" s="261" t="str">
        <f aca="false">IFERROR(IF(H$347*H$348*H$349*H$351*H$352*H$353&gt;0,AVERAGE(H$347:H$349,H$351:H$353),""),"")</f>
        <v/>
      </c>
      <c r="I484" s="261" t="str">
        <f aca="false">IFERROR(IF(I$347*I$348*I$349*I$351*I$352*I$353&gt;0,AVERAGE(I$347:I$349,I$351:I$353),""),"")</f>
        <v/>
      </c>
      <c r="J484" s="261" t="str">
        <f aca="false">IFERROR(IF(J$347*J$348*J$349*J$351*J$352*J$353&gt;0,AVERAGE(J$347:J$349,J$351:J$353),""),"")</f>
        <v/>
      </c>
      <c r="K484" s="261" t="str">
        <f aca="false">IFERROR(IF(K$347*K$348*K$349*K$351*K$352*K$353&gt;0,AVERAGE(K$347:K$349,K$351:K$353),""),"")</f>
        <v/>
      </c>
      <c r="L484" s="261" t="str">
        <f aca="false">IFERROR(IF(L$347*L$348*L$349*L$351*L$352*L$353&gt;0,AVERAGE(L$347:L$349,L$351:L$353),""),"")</f>
        <v/>
      </c>
      <c r="M484" s="261" t="str">
        <f aca="false">IFERROR(IF(M$347*M$348*M$349*M$351*M$352*M$353&gt;0,AVERAGE(M$347:M$349,M$351:M$353),""),"")</f>
        <v/>
      </c>
      <c r="N484" s="261" t="str">
        <f aca="false">IFERROR(IF(N$347*N$348*N$349*N$351*N$352*N$353&gt;0,AVERAGE(N$347:N$349,N$351:N$353),""),"")</f>
        <v/>
      </c>
      <c r="O484" s="224"/>
      <c r="P484" s="224"/>
      <c r="Q484" s="232"/>
      <c r="R484" s="226" t="s">
        <v>612</v>
      </c>
      <c r="S484" s="227" t="str">
        <f aca="false">IFERROR(IF(C$347*C$348*C$349*C$351*C$352*C$353&gt;0,STDEV(C$347:C$349,C$351:C$353),"")/IF(C$347*C$348*C$349*C$351*C$352*C$353&gt;0,AVERAGE(C$347:C$349,C$351:C$353),""),"")</f>
        <v/>
      </c>
      <c r="T484" s="227" t="str">
        <f aca="false">IFERROR(IF(D$347*D$348*D$349*D$351*D$352*D$353&gt;0,STDEV(D$347:D$349,D$351:D$353),"")/IF(D$347*D$348*D$349*D$351*D$352*D$353&gt;0,AVERAGE(D$347:D$349,D$351:D$353),""),"")</f>
        <v/>
      </c>
      <c r="U484" s="227" t="str">
        <f aca="false">IFERROR(IF(E$347*E$348*E$349*E$351*E$352*E$353&gt;0,STDEV(E$347:E$349,E$351:E$353),"")/IF(E$347*E$348*E$349*E$351*E$352*E$353&gt;0,AVERAGE(E$347:E$349,E$351:E$353),""),"")</f>
        <v/>
      </c>
      <c r="V484" s="227" t="str">
        <f aca="false">IFERROR(IF(F$347*F$348*F$349*F$351*F$352*F$353&gt;0,STDEV(F$347:F$349,F$351:F$353),"")/IF(F$347*F$348*F$349*F$351*F$352*F$353&gt;0,AVERAGE(F$347:F$349,F$351:F$353),""),"")</f>
        <v/>
      </c>
      <c r="W484" s="227" t="str">
        <f aca="false">IFERROR(IF(G$347*G$348*G$349*G$351*G$352*G$353&gt;0,STDEV(G$347:G$349,G$351:G$353),"")/IF(G$347*G$348*G$349*G$351*G$352*G$353&gt;0,AVERAGE(G$347:G$349,G$351:G$353),""),"")</f>
        <v/>
      </c>
      <c r="X484" s="227" t="str">
        <f aca="false">IFERROR(IF(H$347*H$348*H$349*H$351*H$352*H$353&gt;0,STDEV(H$347:H$349,H$351:H$353),"")/IF(H$347*H$348*H$349*H$351*H$352*H$353&gt;0,AVERAGE(H$347:H$349,H$351:H$353),""),"")</f>
        <v/>
      </c>
      <c r="Y484" s="227" t="str">
        <f aca="false">IFERROR(IF(I$347*I$348*I$349*I$351*I$352*I$353&gt;0,STDEV(I$347:I$349,I$351:I$353),"")/IF(I$347*I$348*I$349*I$351*I$352*I$353&gt;0,AVERAGE(I$347:I$349,I$351:I$353),""),"")</f>
        <v/>
      </c>
      <c r="Z484" s="227" t="str">
        <f aca="false">IFERROR(IF(J$347*J$348*J$349*J$351*J$352*J$353&gt;0,STDEV(J$347:J$349,J$351:J$353),"")/IF(J$347*J$348*J$349*J$351*J$352*J$353&gt;0,AVERAGE(J$347:J$349,J$351:J$353),""),"")</f>
        <v/>
      </c>
      <c r="AA484" s="227" t="str">
        <f aca="false">IFERROR(IF(K$347*K$348*K$349*K$351*K$352*K$353&gt;0,STDEV(K$347:K$349,K$351:K$353),"")/IF(K$347*K$348*K$349*K$351*K$352*K$353&gt;0,AVERAGE(K$347:K$349,K$351:K$353),""),"")</f>
        <v/>
      </c>
      <c r="AB484" s="227" t="str">
        <f aca="false">IFERROR(IF(L$347*L$348*L$349*L$351*L$352*L$353&gt;0,STDEV(L$347:L$349,L$351:L$353),"")/IF(L$347*L$348*L$349*L$351*L$352*L$353&gt;0,AVERAGE(L$347:L$349,L$351:L$353),""),"")</f>
        <v/>
      </c>
      <c r="AC484" s="227" t="str">
        <f aca="false">IFERROR(IF(M$347*M$348*M$349*M$351*M$352*M$353&gt;0,STDEV(M$347:M$349,M$351:M$353),"")/IF(M$347*M$348*M$349*M$351*M$352*M$353&gt;0,AVERAGE(M$347:M$349,M$351:M$353),""),"")</f>
        <v/>
      </c>
      <c r="AD484" s="227" t="str">
        <f aca="false">IFERROR(IF(N$347*N$348*N$349*N$351*N$352*N$353&gt;0,STDEV(N$347:N$349,N$351:N$353),"")/IF(N$347*N$348*N$349*N$351*N$352*N$353&gt;0,AVERAGE(N$347:N$349,N$351:N$353),""),"")</f>
        <v/>
      </c>
      <c r="AE484" s="233"/>
      <c r="AF484" s="229" t="s">
        <v>613</v>
      </c>
      <c r="AG484" s="230" t="str">
        <f aca="false">IFERROR(IF(C$347*C$348*C$349*C$351*C$352*C$353&gt;0,STDEV(C$347:C$349,C$351:C$353)," ")/IF(C$347*C$348*C$349*C$351*C$352*C$353&gt;0,SQRT(COUNT(C$347:C$349,C$351:C$353))," "),"")</f>
        <v/>
      </c>
      <c r="AH484" s="230" t="str">
        <f aca="false">IFERROR(IF(D$347*D$348*D$349*D$351*D$352*D$353&gt;0,STDEV(D$347:D$349,D$351:D$353)," ")/IF(D$347*D$348*D$349*D$351*D$352*D$353&gt;0,SQRT(COUNT(D$347:D$349,D$351:D$353))," "),"")</f>
        <v/>
      </c>
      <c r="AI484" s="230" t="str">
        <f aca="false">IFERROR(IF(E$347*E$348*E$349*E$351*E$352*E$353&gt;0,STDEV(E$347:E$349,E$351:E$353)," ")/IF(E$347*E$348*E$349*E$351*E$352*E$353&gt;0,SQRT(COUNT(E$347:E$349,E$351:E$353))," "),"")</f>
        <v/>
      </c>
      <c r="AJ484" s="230" t="str">
        <f aca="false">IFERROR(IF(F$347*F$348*F$349*F$351*F$352*F$353&gt;0,STDEV(F$347:F$349,F$351:F$353)," ")/IF(F$347*F$348*F$349*F$351*F$352*F$353&gt;0,SQRT(COUNT(F$347:F$349,F$351:F$353))," "),"")</f>
        <v/>
      </c>
      <c r="AK484" s="230" t="str">
        <f aca="false">IFERROR(IF(G$347*G$348*G$349*G$351*G$352*G$353&gt;0,STDEV(G$347:G$349,G$351:G$353)," ")/IF(G$347*G$348*G$349*G$351*G$352*G$353&gt;0,SQRT(COUNT(G$347:G$349,G$351:G$353))," "),"")</f>
        <v/>
      </c>
      <c r="AL484" s="230" t="str">
        <f aca="false">IFERROR(IF(H$347*H$348*H$349*H$351*H$352*H$353&gt;0,STDEV(H$347:H$349,H$351:H$353)," ")/IF(H$347*H$348*H$349*H$351*H$352*H$353&gt;0,SQRT(COUNT(H$347:H$349,H$351:H$353))," "),"")</f>
        <v/>
      </c>
      <c r="AM484" s="230" t="str">
        <f aca="false">IFERROR(IF(I$347*I$348*I$349*I$351*I$352*I$353&gt;0,STDEV(I$347:I$349,I$351:I$353)," ")/IF(I$347*I$348*I$349*I$351*I$352*I$353&gt;0,SQRT(COUNT(I$347:I$349,I$351:I$353))," "),"")</f>
        <v/>
      </c>
      <c r="AN484" s="230" t="str">
        <f aca="false">IFERROR(IF(J$347*J$348*J$349*J$351*J$352*J$353&gt;0,STDEV(J$347:J$349,J$351:J$353)," ")/IF(J$347*J$348*J$349*J$351*J$352*J$353&gt;0,SQRT(COUNT(J$347:J$349,J$351:J$353))," "),"")</f>
        <v/>
      </c>
      <c r="AO484" s="230" t="str">
        <f aca="false">IFERROR(IF(K$347*K$348*K$349*K$351*K$352*K$353&gt;0,STDEV(K$347:K$349,K$351:K$353)," ")/IF(K$347*K$348*K$349*K$351*K$352*K$353&gt;0,SQRT(COUNT(K$347:K$349,K$351:K$353))," "),"")</f>
        <v/>
      </c>
      <c r="AP484" s="230" t="str">
        <f aca="false">IFERROR(IF(L$347*L$348*L$349*L$351*L$352*L$353&gt;0,STDEV(L$347:L$349,L$351:L$353)," ")/IF(L$347*L$348*L$349*L$351*L$352*L$353&gt;0,SQRT(COUNT(L$347:L$349,L$351:L$353))," "),"")</f>
        <v/>
      </c>
      <c r="AQ484" s="230" t="str">
        <f aca="false">IFERROR(IF(M$347*M$348*M$349*M$351*M$352*M$353&gt;0,STDEV(M$347:M$349,M$351:M$353)," ")/IF(M$347*M$348*M$349*M$351*M$352*M$353&gt;0,SQRT(COUNT(M$347:M$349,M$351:M$353))," "),"")</f>
        <v/>
      </c>
      <c r="AR484" s="230" t="str">
        <f aca="false">IFERROR(IF(N$347*N$348*N$349*N$351*N$352*N$353&gt;0,STDEV(N$347:N$349,N$351:N$353)," ")/IF(N$347*N$348*N$349*N$351*N$352*N$353&gt;0,SQRT(COUNT(N$347:N$349,N$351:N$353))," "),"")</f>
        <v/>
      </c>
    </row>
    <row r="485" customFormat="false" ht="15.75" hidden="false" customHeight="false" outlineLevel="0" collapsed="false">
      <c r="A485" s="220" t="s">
        <v>614</v>
      </c>
      <c r="B485" s="221"/>
      <c r="C485" s="261" t="str">
        <f aca="false">IFERROR(IF(C$347*C$348*C$350*C$351*C$352*C$353&gt;0,AVERAGE(C$347:C$348, C$350:C$353),""),"")</f>
        <v/>
      </c>
      <c r="D485" s="261" t="str">
        <f aca="false">IFERROR(IF(D$347*D$348*D$350*D$351*D$352*D$353&gt;0,AVERAGE(D$347:D$348, D$350:D$353),""),"")</f>
        <v/>
      </c>
      <c r="E485" s="261" t="str">
        <f aca="false">IFERROR(IF(E$347*E$348*E$350*E$351*E$352*E$353&gt;0,AVERAGE(E$347:E$348, E$350:E$353),""),"")</f>
        <v/>
      </c>
      <c r="F485" s="261" t="str">
        <f aca="false">IFERROR(IF(F$347*F$348*F$350*F$351*F$352*F$353&gt;0,AVERAGE(F$347:F$348, F$350:F$353),""),"")</f>
        <v/>
      </c>
      <c r="G485" s="261" t="str">
        <f aca="false">IFERROR(IF(G$347*G$348*G$350*G$351*G$352*G$353&gt;0,AVERAGE(G$347:G$348, G$350:G$353),""),"")</f>
        <v/>
      </c>
      <c r="H485" s="261" t="str">
        <f aca="false">IFERROR(IF(H$347*H$348*H$350*H$351*H$352*H$353&gt;0,AVERAGE(H$347:H$348, H$350:H$353),""),"")</f>
        <v/>
      </c>
      <c r="I485" s="261" t="str">
        <f aca="false">IFERROR(IF(I$347*I$348*I$350*I$351*I$352*I$353&gt;0,AVERAGE(I$347:I$348, I$350:I$353),""),"")</f>
        <v/>
      </c>
      <c r="J485" s="261" t="str">
        <f aca="false">IFERROR(IF(J$347*J$348*J$350*J$351*J$352*J$353&gt;0,AVERAGE(J$347:J$348, J$350:J$353),""),"")</f>
        <v/>
      </c>
      <c r="K485" s="261" t="str">
        <f aca="false">IFERROR(IF(K$347*K$348*K$350*K$351*K$352*K$353&gt;0,AVERAGE(K$347:K$348, K$350:K$353),""),"")</f>
        <v/>
      </c>
      <c r="L485" s="261" t="str">
        <f aca="false">IFERROR(IF(L$347*L$348*L$350*L$351*L$352*L$353&gt;0,AVERAGE(L$347:L$348, L$350:L$353),""),"")</f>
        <v/>
      </c>
      <c r="M485" s="261" t="str">
        <f aca="false">IFERROR(IF(M$347*M$348*M$350*M$351*M$352*M$353&gt;0,AVERAGE(M$347:M$348, M$350:M$353),""),"")</f>
        <v/>
      </c>
      <c r="N485" s="261" t="str">
        <f aca="false">IFERROR(IF(N$347*N$348*N$350*N$351*N$352*N$353&gt;0,AVERAGE(N$347:N$348, N$350:N$353),""),"")</f>
        <v/>
      </c>
      <c r="O485" s="224"/>
      <c r="P485" s="224"/>
      <c r="Q485" s="232"/>
      <c r="R485" s="226" t="s">
        <v>615</v>
      </c>
      <c r="S485" s="227" t="str">
        <f aca="false">IFERROR(IF(C$347*C$348*C$350*C$351*C$352*C$353&gt;0,STDEV(C$347:C$348, C$350:C$353),"")/IF(C$347*C$348*C$350*C$351*C$352*C$353&gt;0,AVERAGE(C$347:C$348, C$350:C$353),""),"")</f>
        <v/>
      </c>
      <c r="T485" s="227" t="str">
        <f aca="false">IFERROR(IF(D$347*D$348*D$350*D$351*D$352*D$353&gt;0,STDEV(D$347:D$348, D$350:D$353),"")/IF(D$347*D$348*D$350*D$351*D$352*D$353&gt;0,AVERAGE(D$347:D$348, D$350:D$353),""),"")</f>
        <v/>
      </c>
      <c r="U485" s="227" t="str">
        <f aca="false">IFERROR(IF(E$347*E$348*E$350*E$351*E$352*E$353&gt;0,STDEV(E$347:E$348, E$350:E$353),"")/IF(E$347*E$348*E$350*E$351*E$352*E$353&gt;0,AVERAGE(E$347:E$348, E$350:E$353),""),"")</f>
        <v/>
      </c>
      <c r="V485" s="227" t="str">
        <f aca="false">IFERROR(IF(F$347*F$348*F$350*F$351*F$352*F$353&gt;0,STDEV(F$347:F$348, F$350:F$353),"")/IF(F$347*F$348*F$350*F$351*F$352*F$353&gt;0,AVERAGE(F$347:F$348, F$350:F$353),""),"")</f>
        <v/>
      </c>
      <c r="W485" s="227" t="str">
        <f aca="false">IFERROR(IF(G$347*G$348*G$350*G$351*G$352*G$353&gt;0,STDEV(G$347:G$348, G$350:G$353),"")/IF(G$347*G$348*G$350*G$351*G$352*G$353&gt;0,AVERAGE(G$347:G$348, G$350:G$353),""),"")</f>
        <v/>
      </c>
      <c r="X485" s="227" t="str">
        <f aca="false">IFERROR(IF(H$347*H$348*H$350*H$351*H$352*H$353&gt;0,STDEV(H$347:H$348, H$350:H$353),"")/IF(H$347*H$348*H$350*H$351*H$352*H$353&gt;0,AVERAGE(H$347:H$348, H$350:H$353),""),"")</f>
        <v/>
      </c>
      <c r="Y485" s="227" t="str">
        <f aca="false">IFERROR(IF(I$347*I$348*I$350*I$351*I$352*I$353&gt;0,STDEV(I$347:I$348, I$350:I$353),"")/IF(I$347*I$348*I$350*I$351*I$352*I$353&gt;0,AVERAGE(I$347:I$348, I$350:I$353),""),"")</f>
        <v/>
      </c>
      <c r="Z485" s="227" t="str">
        <f aca="false">IFERROR(IF(J$347*J$348*J$350*J$351*J$352*J$353&gt;0,STDEV(J$347:J$348, J$350:J$353),"")/IF(J$347*J$348*J$350*J$351*J$352*J$353&gt;0,AVERAGE(J$347:J$348, J$350:J$353),""),"")</f>
        <v/>
      </c>
      <c r="AA485" s="227" t="str">
        <f aca="false">IFERROR(IF(K$347*K$348*K$350*K$351*K$352*K$353&gt;0,STDEV(K$347:K$348, K$350:K$353),"")/IF(K$347*K$348*K$350*K$351*K$352*K$353&gt;0,AVERAGE(K$347:K$348, K$350:K$353),""),"")</f>
        <v/>
      </c>
      <c r="AB485" s="227" t="str">
        <f aca="false">IFERROR(IF(L$347*L$348*L$350*L$351*L$352*L$353&gt;0,STDEV(L$347:L$348, L$350:L$353),"")/IF(L$347*L$348*L$350*L$351*L$352*L$353&gt;0,AVERAGE(L$347:L$348, L$350:L$353),""),"")</f>
        <v/>
      </c>
      <c r="AC485" s="227" t="str">
        <f aca="false">IFERROR(IF(M$347*M$348*M$350*M$351*M$352*M$353&gt;0,STDEV(M$347:M$348, M$350:M$353),"")/IF(M$347*M$348*M$350*M$351*M$352*M$353&gt;0,AVERAGE(M$347:M$348, M$350:M$353),""),"")</f>
        <v/>
      </c>
      <c r="AD485" s="227" t="str">
        <f aca="false">IFERROR(IF(N$347*N$348*N$350*N$351*N$352*N$353&gt;0,STDEV(N$347:N$348, N$350:N$353),"")/IF(N$347*N$348*N$350*N$351*N$352*N$353&gt;0,AVERAGE(N$347:N$348, N$350:N$353),""),"")</f>
        <v/>
      </c>
      <c r="AE485" s="233"/>
      <c r="AF485" s="229" t="s">
        <v>616</v>
      </c>
      <c r="AG485" s="230" t="str">
        <f aca="false">IFERROR(IF(C$347*C$348*C$350*C$351*C$352*C$353&gt;0,STDEV(C$347:C$348, C$350:C$353)," ")/IF(C$347*C$348*C$350*C$351*C$352*C$353&gt;0,SQRT(COUNT(C$347:C$348, C$350:C$353))," "),"")</f>
        <v/>
      </c>
      <c r="AH485" s="230" t="str">
        <f aca="false">IFERROR(IF(D$347*D$348*D$350*D$351*D$352*D$353&gt;0,STDEV(D$347:D$348, D$350:D$353)," ")/IF(D$347*D$348*D$350*D$351*D$352*D$353&gt;0,SQRT(COUNT(D$347:D$348, D$350:D$353))," "),"")</f>
        <v/>
      </c>
      <c r="AI485" s="230" t="str">
        <f aca="false">IFERROR(IF(E$347*E$348*E$350*E$351*E$352*E$353&gt;0,STDEV(E$347:E$348, E$350:E$353)," ")/IF(E$347*E$348*E$350*E$351*E$352*E$353&gt;0,SQRT(COUNT(E$347:E$348, E$350:E$353))," "),"")</f>
        <v/>
      </c>
      <c r="AJ485" s="230" t="str">
        <f aca="false">IFERROR(IF(F$347*F$348*F$350*F$351*F$352*F$353&gt;0,STDEV(F$347:F$348, F$350:F$353)," ")/IF(F$347*F$348*F$350*F$351*F$352*F$353&gt;0,SQRT(COUNT(F$347:F$348, F$350:F$353))," "),"")</f>
        <v/>
      </c>
      <c r="AK485" s="230" t="str">
        <f aca="false">IFERROR(IF(G$347*G$348*G$350*G$351*G$352*G$353&gt;0,STDEV(G$347:G$348, G$350:G$353)," ")/IF(G$347*G$348*G$350*G$351*G$352*G$353&gt;0,SQRT(COUNT(G$347:G$348, G$350:G$353))," "),"")</f>
        <v/>
      </c>
      <c r="AL485" s="230" t="str">
        <f aca="false">IFERROR(IF(H$347*H$348*H$350*H$351*H$352*H$353&gt;0,STDEV(H$347:H$348, H$350:H$353)," ")/IF(H$347*H$348*H$350*H$351*H$352*H$353&gt;0,SQRT(COUNT(H$347:H$348, H$350:H$353))," "),"")</f>
        <v/>
      </c>
      <c r="AM485" s="230" t="str">
        <f aca="false">IFERROR(IF(I$347*I$348*I$350*I$351*I$352*I$353&gt;0,STDEV(I$347:I$348, I$350:I$353)," ")/IF(I$347*I$348*I$350*I$351*I$352*I$353&gt;0,SQRT(COUNT(I$347:I$348, I$350:I$353))," "),"")</f>
        <v/>
      </c>
      <c r="AN485" s="230" t="str">
        <f aca="false">IFERROR(IF(J$347*J$348*J$350*J$351*J$352*J$353&gt;0,STDEV(J$347:J$348, J$350:J$353)," ")/IF(J$347*J$348*J$350*J$351*J$352*J$353&gt;0,SQRT(COUNT(J$347:J$348, J$350:J$353))," "),"")</f>
        <v/>
      </c>
      <c r="AO485" s="230" t="str">
        <f aca="false">IFERROR(IF(K$347*K$348*K$350*K$351*K$352*K$353&gt;0,STDEV(K$347:K$348, K$350:K$353)," ")/IF(K$347*K$348*K$350*K$351*K$352*K$353&gt;0,SQRT(COUNT(K$347:K$348, K$350:K$353))," "),"")</f>
        <v/>
      </c>
      <c r="AP485" s="230" t="str">
        <f aca="false">IFERROR(IF(L$347*L$348*L$350*L$351*L$352*L$353&gt;0,STDEV(L$347:L$348, L$350:L$353)," ")/IF(L$347*L$348*L$350*L$351*L$352*L$353&gt;0,SQRT(COUNT(L$347:L$348, L$350:L$353))," "),"")</f>
        <v/>
      </c>
      <c r="AQ485" s="230" t="str">
        <f aca="false">IFERROR(IF(M$347*M$348*M$350*M$351*M$352*M$353&gt;0,STDEV(M$347:M$348, M$350:M$353)," ")/IF(M$347*M$348*M$350*M$351*M$352*M$353&gt;0,SQRT(COUNT(M$347:M$348, M$350:M$353))," "),"")</f>
        <v/>
      </c>
      <c r="AR485" s="230" t="str">
        <f aca="false">IFERROR(IF(N$347*N$348*N$350*N$351*N$352*N$353&gt;0,STDEV(N$347:N$348, N$350:N$353)," ")/IF(N$347*N$348*N$350*N$351*N$352*N$353&gt;0,SQRT(COUNT(N$347:N$348, N$350:N$353))," "),"")</f>
        <v/>
      </c>
    </row>
    <row r="486" customFormat="false" ht="15.75" hidden="false" customHeight="false" outlineLevel="0" collapsed="false">
      <c r="A486" s="242" t="s">
        <v>617</v>
      </c>
      <c r="B486" s="243"/>
      <c r="C486" s="262" t="str">
        <f aca="false">IFERROR(IF(C$347*C$349*C$350*C$351*C$352*C$353&gt;0,AVERAGE(C$347, C$349:C$353),""),"")</f>
        <v/>
      </c>
      <c r="D486" s="262" t="str">
        <f aca="false">IFERROR(IF(D$347*D$349*D$350*D$351*D$352*D$353&gt;0,AVERAGE(D$347, D$349:D$353),""),"")</f>
        <v/>
      </c>
      <c r="E486" s="262" t="str">
        <f aca="false">IFERROR(IF(E$347*E$349*E$350*E$351*E$352*E$353&gt;0,AVERAGE(E$347, E$349:E$353),""),"")</f>
        <v/>
      </c>
      <c r="F486" s="262" t="str">
        <f aca="false">IFERROR(IF(F$347*F$349*F$350*F$351*F$352*F$353&gt;0,AVERAGE(F$347, F$349:F$353),""),"")</f>
        <v/>
      </c>
      <c r="G486" s="262" t="str">
        <f aca="false">IFERROR(IF(G$347*G$349*G$350*G$351*G$352*G$353&gt;0,AVERAGE(G$347, G$349:G$353),""),"")</f>
        <v/>
      </c>
      <c r="H486" s="262" t="str">
        <f aca="false">IFERROR(IF(H$347*H$349*H$350*H$351*H$352*H$353&gt;0,AVERAGE(H$347, H$349:H$353),""),"")</f>
        <v/>
      </c>
      <c r="I486" s="262" t="str">
        <f aca="false">IFERROR(IF(I$347*I$349*I$350*I$351*I$352*I$353&gt;0,AVERAGE(I$347, I$349:I$353),""),"")</f>
        <v/>
      </c>
      <c r="J486" s="262" t="str">
        <f aca="false">IFERROR(IF(J$347*J$349*J$350*J$351*J$352*J$353&gt;0,AVERAGE(J$347, J$349:J$353),""),"")</f>
        <v/>
      </c>
      <c r="K486" s="262" t="str">
        <f aca="false">IFERROR(IF(K$347*K$349*K$350*K$351*K$352*K$353&gt;0,AVERAGE(K$347, K$349:K$353),""),"")</f>
        <v/>
      </c>
      <c r="L486" s="262" t="str">
        <f aca="false">IFERROR(IF(L$347*L$349*L$350*L$351*L$352*L$353&gt;0,AVERAGE(L$347, L$349:L$353),""),"")</f>
        <v/>
      </c>
      <c r="M486" s="262" t="str">
        <f aca="false">IFERROR(IF(M$347*M$349*M$350*M$351*M$352*M$353&gt;0,AVERAGE(M$347, M$349:M$353),""),"")</f>
        <v/>
      </c>
      <c r="N486" s="262" t="str">
        <f aca="false">IFERROR(IF(N$347*N$349*N$350*N$351*N$352*N$353&gt;0,AVERAGE(N$347, N$349:N$353),""),"")</f>
        <v/>
      </c>
      <c r="O486" s="245"/>
      <c r="P486" s="245"/>
      <c r="Q486" s="246"/>
      <c r="R486" s="247" t="s">
        <v>618</v>
      </c>
      <c r="S486" s="248" t="str">
        <f aca="false">IFERROR(IF(C$347*C$349*C$350*C$351*C$352*C$353&gt;0,STDEV(C$347, C$349:C$353),"")/IF(C$347*C$349*C$350*C$351*C$352*C$353&gt;0,AVERAGE(C$347, C$349:C$353),""),"")</f>
        <v/>
      </c>
      <c r="T486" s="248" t="str">
        <f aca="false">IFERROR(IF(D$347*D$349*D$350*D$351*D$352*D$353&gt;0,STDEV(D$347, D$349:D$353),"")/IF(D$347*D$349*D$350*D$351*D$352*D$353&gt;0,AVERAGE(D$347, D$349:D$353),""),"")</f>
        <v/>
      </c>
      <c r="U486" s="248" t="str">
        <f aca="false">IFERROR(IF(E$347*E$349*E$350*E$351*E$352*E$353&gt;0,STDEV(E$347, E$349:E$353),"")/IF(E$347*E$349*E$350*E$351*E$352*E$353&gt;0,AVERAGE(E$347, E$349:E$353),""),"")</f>
        <v/>
      </c>
      <c r="V486" s="248" t="str">
        <f aca="false">IFERROR(IF(F$347*F$349*F$350*F$351*F$352*F$353&gt;0,STDEV(F$347, F$349:F$353),"")/IF(F$347*F$349*F$350*F$351*F$352*F$353&gt;0,AVERAGE(F$347, F$349:F$353),""),"")</f>
        <v/>
      </c>
      <c r="W486" s="248" t="str">
        <f aca="false">IFERROR(IF(G$347*G$349*G$350*G$351*G$352*G$353&gt;0,STDEV(G$347, G$349:G$353),"")/IF(G$347*G$349*G$350*G$351*G$352*G$353&gt;0,AVERAGE(G$347, G$349:G$353),""),"")</f>
        <v/>
      </c>
      <c r="X486" s="248" t="str">
        <f aca="false">IFERROR(IF(H$347*H$349*H$350*H$351*H$352*H$353&gt;0,STDEV(H$347, H$349:H$353),"")/IF(H$347*H$349*H$350*H$351*H$352*H$353&gt;0,AVERAGE(H$347, H$349:H$353),""),"")</f>
        <v/>
      </c>
      <c r="Y486" s="248" t="str">
        <f aca="false">IFERROR(IF(I$347*I$349*I$350*I$351*I$352*I$353&gt;0,STDEV(I$347, I$349:I$353),"")/IF(I$347*I$349*I$350*I$351*I$352*I$353&gt;0,AVERAGE(I$347, I$349:I$353),""),"")</f>
        <v/>
      </c>
      <c r="Z486" s="248" t="str">
        <f aca="false">IFERROR(IF(J$347*J$349*J$350*J$351*J$352*J$353&gt;0,STDEV(J$347, J$349:J$353),"")/IF(J$347*J$349*J$350*J$351*J$352*J$353&gt;0,AVERAGE(J$347, J$349:J$353),""),"")</f>
        <v/>
      </c>
      <c r="AA486" s="248" t="str">
        <f aca="false">IFERROR(IF(K$347*K$349*K$350*K$351*K$352*K$353&gt;0,STDEV(K$347, K$349:K$353),"")/IF(K$347*K$349*K$350*K$351*K$352*K$353&gt;0,AVERAGE(K$347, K$349:K$353),""),"")</f>
        <v/>
      </c>
      <c r="AB486" s="248" t="str">
        <f aca="false">IFERROR(IF(L$347*L$349*L$350*L$351*L$352*L$353&gt;0,STDEV(L$347, L$349:L$353),"")/IF(L$347*L$349*L$350*L$351*L$352*L$353&gt;0,AVERAGE(L$347, L$349:L$353),""),"")</f>
        <v/>
      </c>
      <c r="AC486" s="248" t="str">
        <f aca="false">IFERROR(IF(M$347*M$349*M$350*M$351*M$352*M$353&gt;0,STDEV(M$347, M$349:M$353),"")/IF(M$347*M$349*M$350*M$351*M$352*M$353&gt;0,AVERAGE(M$347, M$349:M$353),""),"")</f>
        <v/>
      </c>
      <c r="AD486" s="248" t="str">
        <f aca="false">IFERROR(IF(N$347*N$349*N$350*N$351*N$352*N$353&gt;0,STDEV(N$347, N$349:N$353),"")/IF(N$347*N$349*N$350*N$351*N$352*N$353&gt;0,AVERAGE(N$347, N$349:N$353),""),"")</f>
        <v/>
      </c>
      <c r="AE486" s="249"/>
      <c r="AF486" s="250" t="s">
        <v>619</v>
      </c>
      <c r="AG486" s="251" t="str">
        <f aca="false">IFERROR(IF(C$347*C$349*C$350*C$351*C$352*C$353&gt;0,STDEV(C$347, C$349:C$353)," ")/IF(C$347*C$349*C$350*C$351*C$352*C$353&gt;0,SQRT(COUNT(C$347, C$349:C$353))," "),"")</f>
        <v/>
      </c>
      <c r="AH486" s="251" t="str">
        <f aca="false">IFERROR(IF(D$347*D$349*D$350*D$351*D$352*D$353&gt;0,STDEV(D$347, D$349:D$353)," ")/IF(D$347*D$349*D$350*D$351*D$352*D$353&gt;0,SQRT(COUNT(D$347, D$349:D$353))," "),"")</f>
        <v/>
      </c>
      <c r="AI486" s="251" t="str">
        <f aca="false">IFERROR(IF(E$347*E$349*E$350*E$351*E$352*E$353&gt;0,STDEV(E$347, E$349:E$353)," ")/IF(E$347*E$349*E$350*E$351*E$352*E$353&gt;0,SQRT(COUNT(E$347, E$349:E$353))," "),"")</f>
        <v/>
      </c>
      <c r="AJ486" s="251" t="str">
        <f aca="false">IFERROR(IF(F$347*F$349*F$350*F$351*F$352*F$353&gt;0,STDEV(F$347, F$349:F$353)," ")/IF(F$347*F$349*F$350*F$351*F$352*F$353&gt;0,SQRT(COUNT(F$347, F$349:F$353))," "),"")</f>
        <v/>
      </c>
      <c r="AK486" s="251" t="str">
        <f aca="false">IFERROR(IF(G$347*G$349*G$350*G$351*G$352*G$353&gt;0,STDEV(G$347, G$349:G$353)," ")/IF(G$347*G$349*G$350*G$351*G$352*G$353&gt;0,SQRT(COUNT(G$347, G$349:G$353))," "),"")</f>
        <v/>
      </c>
      <c r="AL486" s="251" t="str">
        <f aca="false">IFERROR(IF(H$347*H$349*H$350*H$351*H$352*H$353&gt;0,STDEV(H$347, H$349:H$353)," ")/IF(H$347*H$349*H$350*H$351*H$352*H$353&gt;0,SQRT(COUNT(H$347, H$349:H$353))," "),"")</f>
        <v/>
      </c>
      <c r="AM486" s="251" t="str">
        <f aca="false">IFERROR(IF(I$347*I$349*I$350*I$351*I$352*I$353&gt;0,STDEV(I$347, I$349:I$353)," ")/IF(I$347*I$349*I$350*I$351*I$352*I$353&gt;0,SQRT(COUNT(I$347, I$349:I$353))," "),"")</f>
        <v/>
      </c>
      <c r="AN486" s="251" t="str">
        <f aca="false">IFERROR(IF(J$347*J$349*J$350*J$351*J$352*J$353&gt;0,STDEV(J$347, J$349:J$353)," ")/IF(J$347*J$349*J$350*J$351*J$352*J$353&gt;0,SQRT(COUNT(J$347, J$349:J$353))," "),"")</f>
        <v/>
      </c>
      <c r="AO486" s="251" t="str">
        <f aca="false">IFERROR(IF(K$347*K$349*K$350*K$351*K$352*K$353&gt;0,STDEV(K$347, K$349:K$353)," ")/IF(K$347*K$349*K$350*K$351*K$352*K$353&gt;0,SQRT(COUNT(K$347, K$349:K$353))," "),"")</f>
        <v/>
      </c>
      <c r="AP486" s="251" t="str">
        <f aca="false">IFERROR(IF(L$347*L$349*L$350*L$351*L$352*L$353&gt;0,STDEV(L$347, L$349:L$353)," ")/IF(L$347*L$349*L$350*L$351*L$352*L$353&gt;0,SQRT(COUNT(L$347, L$349:L$353))," "),"")</f>
        <v/>
      </c>
      <c r="AQ486" s="251" t="str">
        <f aca="false">IFERROR(IF(M$347*M$349*M$350*M$351*M$352*M$353&gt;0,STDEV(M$347, M$349:M$353)," ")/IF(M$347*M$349*M$350*M$351*M$352*M$353&gt;0,SQRT(COUNT(M$347, M$349:M$353))," "),"")</f>
        <v/>
      </c>
      <c r="AR486" s="251" t="str">
        <f aca="false">IFERROR(IF(N$347*N$349*N$350*N$351*N$352*N$353&gt;0,STDEV(N$347, N$349:N$353)," ")/IF(N$347*N$349*N$350*N$351*N$352*N$353&gt;0,SQRT(COUNT(N$347, N$349:N$353))," "),"")</f>
        <v/>
      </c>
    </row>
    <row r="487" customFormat="false" ht="15.75" hidden="false" customHeight="false" outlineLevel="0" collapsed="false">
      <c r="A487" s="220" t="s">
        <v>620</v>
      </c>
      <c r="B487" s="221"/>
      <c r="C487" s="261" t="str">
        <f aca="false">IFERROR(IF(C$348*C$349*C$350*C$351*C$352*C$353&gt;0,AVERAGE(C$348:C$353),""),"")</f>
        <v/>
      </c>
      <c r="D487" s="261" t="str">
        <f aca="false">IFERROR(IF(D$348*D$349*D$350*D$351*D$352*D$353&gt;0,AVERAGE(D$348:D$353),""),"")</f>
        <v/>
      </c>
      <c r="E487" s="261" t="str">
        <f aca="false">IFERROR(IF(E$348*E$349*E$350*E$351*E$352*E$353&gt;0,AVERAGE(E$348:E$353),""),"")</f>
        <v/>
      </c>
      <c r="F487" s="261" t="str">
        <f aca="false">IFERROR(IF(F$348*F$349*F$350*F$351*F$352*F$353&gt;0,AVERAGE(F$348:F$353),""),"")</f>
        <v/>
      </c>
      <c r="G487" s="261" t="str">
        <f aca="false">IFERROR(IF(G$348*G$349*G$350*G$351*G$352*G$353&gt;0,AVERAGE(G$348:G$353),""),"")</f>
        <v/>
      </c>
      <c r="H487" s="261" t="str">
        <f aca="false">IFERROR(IF(H$348*H$349*H$350*H$351*H$352*H$353&gt;0,AVERAGE(H$348:H$353),""),"")</f>
        <v/>
      </c>
      <c r="I487" s="261" t="str">
        <f aca="false">IFERROR(IF(I$348*I$349*I$350*I$351*I$352*I$353&gt;0,AVERAGE(I$348:I$353),""),"")</f>
        <v/>
      </c>
      <c r="J487" s="261" t="str">
        <f aca="false">IFERROR(IF(J$348*J$349*J$350*J$351*J$352*J$353&gt;0,AVERAGE(J$348:J$353),""),"")</f>
        <v/>
      </c>
      <c r="K487" s="261" t="str">
        <f aca="false">IFERROR(IF(K$348*K$349*K$350*K$351*K$352*K$353&gt;0,AVERAGE(K$348:K$353),""),"")</f>
        <v/>
      </c>
      <c r="L487" s="261" t="str">
        <f aca="false">IFERROR(IF(L$348*L$349*L$350*L$351*L$352*L$353&gt;0,AVERAGE(L$348:L$353),""),"")</f>
        <v/>
      </c>
      <c r="M487" s="261" t="str">
        <f aca="false">IFERROR(IF(M$348*M$349*M$350*M$351*M$352*M$353&gt;0,AVERAGE(M$348:M$353),""),"")</f>
        <v/>
      </c>
      <c r="N487" s="261" t="str">
        <f aca="false">IFERROR(IF(N$348*N$349*N$350*N$351*N$352*N$353&gt;0,AVERAGE(N$348:N$353),""),"")</f>
        <v/>
      </c>
      <c r="O487" s="240"/>
      <c r="P487" s="224"/>
      <c r="Q487" s="252"/>
      <c r="R487" s="226" t="s">
        <v>621</v>
      </c>
      <c r="S487" s="227" t="str">
        <f aca="false">IFERROR(IF(C$348*C$349*C$350*C$351*C$352*C$353&gt;0,STDEV(C$348:C$353),"")/IF(C$348*C$349*C$350*C$351*C$352*C$353&gt;0,AVERAGE(C$348:C$353),""),"")</f>
        <v/>
      </c>
      <c r="T487" s="227" t="str">
        <f aca="false">IFERROR(IF(D$348*D$349*D$350*D$351*D$352*D$353&gt;0,STDEV(D$348:D$353),"")/IF(D$348*D$349*D$350*D$351*D$352*D$353&gt;0,AVERAGE(D$348:D$353),""),"")</f>
        <v/>
      </c>
      <c r="U487" s="227" t="str">
        <f aca="false">IFERROR(IF(E$348*E$349*E$350*E$351*E$352*E$353&gt;0,STDEV(E$348:E$353),"")/IF(E$348*E$349*E$350*E$351*E$352*E$353&gt;0,AVERAGE(E$348:E$353),""),"")</f>
        <v/>
      </c>
      <c r="V487" s="227" t="str">
        <f aca="false">IFERROR(IF(F$348*F$349*F$350*F$351*F$352*F$353&gt;0,STDEV(F$348:F$353),"")/IF(F$348*F$349*F$350*F$351*F$352*F$353&gt;0,AVERAGE(F$348:F$353),""),"")</f>
        <v/>
      </c>
      <c r="W487" s="227" t="str">
        <f aca="false">IFERROR(IF(G$348*G$349*G$350*G$351*G$352*G$353&gt;0,STDEV(G$348:G$353),"")/IF(G$348*G$349*G$350*G$351*G$352*G$353&gt;0,AVERAGE(G$348:G$353),""),"")</f>
        <v/>
      </c>
      <c r="X487" s="227" t="str">
        <f aca="false">IFERROR(IF(H$348*H$349*H$350*H$351*H$352*H$353&gt;0,STDEV(H$348:H$353),"")/IF(H$348*H$349*H$350*H$351*H$352*H$353&gt;0,AVERAGE(H$348:H$353),""),"")</f>
        <v/>
      </c>
      <c r="Y487" s="227" t="str">
        <f aca="false">IFERROR(IF(I$348*I$349*I$350*I$351*I$352*I$353&gt;0,STDEV(I$348:I$353),"")/IF(I$348*I$349*I$350*I$351*I$352*I$353&gt;0,AVERAGE(I$348:I$353),""),"")</f>
        <v/>
      </c>
      <c r="Z487" s="227" t="str">
        <f aca="false">IFERROR(IF(J$348*J$349*J$350*J$351*J$352*J$353&gt;0,STDEV(J$348:J$353),"")/IF(J$348*J$349*J$350*J$351*J$352*J$353&gt;0,AVERAGE(J$348:J$353),""),"")</f>
        <v/>
      </c>
      <c r="AA487" s="227" t="str">
        <f aca="false">IFERROR(IF(K$348*K$349*K$350*K$351*K$352*K$353&gt;0,STDEV(K$348:K$353),"")/IF(K$348*K$349*K$350*K$351*K$352*K$353&gt;0,AVERAGE(K$348:K$353),""),"")</f>
        <v/>
      </c>
      <c r="AB487" s="227" t="str">
        <f aca="false">IFERROR(IF(L$348*L$349*L$350*L$351*L$352*L$353&gt;0,STDEV(L$348:L$353),"")/IF(L$348*L$349*L$350*L$351*L$352*L$353&gt;0,AVERAGE(L$348:L$353),""),"")</f>
        <v/>
      </c>
      <c r="AC487" s="227" t="str">
        <f aca="false">IFERROR(IF(M$348*M$349*M$350*M$351*M$352*M$353&gt;0,STDEV(M$348:M$353),"")/IF(M$348*M$349*M$350*M$351*M$352*M$353&gt;0,AVERAGE(M$348:M$353),""),"")</f>
        <v/>
      </c>
      <c r="AD487" s="227" t="str">
        <f aca="false">IFERROR(IF(N$348*N$349*N$350*N$351*N$352*N$353&gt;0,STDEV(N$348:N$353),"")/IF(N$348*N$349*N$350*N$351*N$352*N$353&gt;0,AVERAGE(N$348:N$353),""),"")</f>
        <v/>
      </c>
      <c r="AE487" s="233"/>
      <c r="AF487" s="229" t="s">
        <v>622</v>
      </c>
      <c r="AG487" s="230" t="str">
        <f aca="false">IFERROR(IF(C$348*C$349*C$350*C$351*C$352*C$353&gt;0,STDEV(C$348:C$353)," ")/IF(C$348*C$349*C$350*C$351*C$352*C$353&gt;0,SQRT(COUNT(C$348:C$353))," "),"")</f>
        <v/>
      </c>
      <c r="AH487" s="230" t="str">
        <f aca="false">IFERROR(IF(D$348*D$349*D$350*D$351*D$352*D$353&gt;0,STDEV(D$348:D$353)," ")/IF(D$348*D$349*D$350*D$351*D$352*D$353&gt;0,SQRT(COUNT(D$348:D$353))," "),"")</f>
        <v/>
      </c>
      <c r="AI487" s="230" t="str">
        <f aca="false">IFERROR(IF(E$348*E$349*E$350*E$351*E$352*E$353&gt;0,STDEV(E$348:E$353)," ")/IF(E$348*E$349*E$350*E$351*E$352*E$353&gt;0,SQRT(COUNT(E$348:E$353))," "),"")</f>
        <v/>
      </c>
      <c r="AJ487" s="230" t="str">
        <f aca="false">IFERROR(IF(F$348*F$349*F$350*F$351*F$352*F$353&gt;0,STDEV(F$348:F$353)," ")/IF(F$348*F$349*F$350*F$351*F$352*F$353&gt;0,SQRT(COUNT(F$348:F$353))," "),"")</f>
        <v/>
      </c>
      <c r="AK487" s="230" t="str">
        <f aca="false">IFERROR(IF(G$348*G$349*G$350*G$351*G$352*G$353&gt;0,STDEV(G$348:G$353)," ")/IF(G$348*G$349*G$350*G$351*G$352*G$353&gt;0,SQRT(COUNT(G$348:G$353))," "),"")</f>
        <v/>
      </c>
      <c r="AL487" s="230" t="str">
        <f aca="false">IFERROR(IF(H$348*H$349*H$350*H$351*H$352*H$353&gt;0,STDEV(H$348:H$353)," ")/IF(H$348*H$349*H$350*H$351*H$352*H$353&gt;0,SQRT(COUNT(H$348:H$353))," "),"")</f>
        <v/>
      </c>
      <c r="AM487" s="230" t="str">
        <f aca="false">IFERROR(IF(I$348*I$349*I$350*I$351*I$352*I$353&gt;0,STDEV(I$348:I$353)," ")/IF(I$348*I$349*I$350*I$351*I$352*I$353&gt;0,SQRT(COUNT(I$348:I$353))," "),"")</f>
        <v/>
      </c>
      <c r="AN487" s="230" t="str">
        <f aca="false">IFERROR(IF(J$348*J$349*J$350*J$351*J$352*J$353&gt;0,STDEV(J$348:J$353)," ")/IF(J$348*J$349*J$350*J$351*J$352*J$353&gt;0,SQRT(COUNT(J$348:J$353))," "),"")</f>
        <v/>
      </c>
      <c r="AO487" s="230" t="str">
        <f aca="false">IFERROR(IF(K$348*K$349*K$350*K$351*K$352*K$353&gt;0,STDEV(K$348:K$353)," ")/IF(K$348*K$349*K$350*K$351*K$352*K$353&gt;0,SQRT(COUNT(K$348:K$353))," "),"")</f>
        <v/>
      </c>
      <c r="AP487" s="230" t="str">
        <f aca="false">IFERROR(IF(L$348*L$349*L$350*L$351*L$352*L$353&gt;0,STDEV(L$348:L$353)," ")/IF(L$348*L$349*L$350*L$351*L$352*L$353&gt;0,SQRT(COUNT(L$348:L$353))," "),"")</f>
        <v/>
      </c>
      <c r="AQ487" s="230" t="str">
        <f aca="false">IFERROR(IF(M$348*M$349*M$350*M$351*M$352*M$353&gt;0,STDEV(M$348:M$353)," ")/IF(M$348*M$349*M$350*M$351*M$352*M$353&gt;0,SQRT(COUNT(M$348:M$353))," "),"")</f>
        <v/>
      </c>
      <c r="AR487" s="230" t="str">
        <f aca="false">IFERROR(IF(N$348*N$349*N$350*N$351*N$352*N$353&gt;0,STDEV(N$348:N$353)," ")/IF(N$348*N$349*N$350*N$351*N$352*N$353&gt;0,SQRT(COUNT(N$348:N$353))," "),"")</f>
        <v/>
      </c>
    </row>
    <row r="488" customFormat="false" ht="15.75" hidden="false" customHeight="false" outlineLevel="0" collapsed="false">
      <c r="A488" s="123" t="s">
        <v>623</v>
      </c>
      <c r="B488" s="281"/>
      <c r="C488" s="125" t="str">
        <f aca="false">IFERROR(IF(C$347*C$348*C$349*C$350*C$351*C$352*C$353&gt;0,AVERAGE(C$347:C$353),""),"")</f>
        <v/>
      </c>
      <c r="D488" s="125" t="str">
        <f aca="false">IFERROR(IF(D$347*D$348*D$349*D$350*D$351*D$352*D$353&gt;0,AVERAGE(D$347:D$353),""),"")</f>
        <v/>
      </c>
      <c r="E488" s="125" t="str">
        <f aca="false">IFERROR(IF(E$347*E$348*E$349*E$350*E$351*E$352*E$353&gt;0,AVERAGE(E$347:E$353),""),"")</f>
        <v/>
      </c>
      <c r="F488" s="125" t="str">
        <f aca="false">IFERROR(IF(F$347*F$348*F$349*F$350*F$351*F$352*F$353&gt;0,AVERAGE(F$347:F$353),""),"")</f>
        <v/>
      </c>
      <c r="G488" s="125" t="str">
        <f aca="false">IFERROR(IF(G$347*G$348*G$349*G$350*G$351*G$352*G$353&gt;0,AVERAGE(G$347:G$353),""),"")</f>
        <v/>
      </c>
      <c r="H488" s="125" t="str">
        <f aca="false">IFERROR(IF(H$347*H$348*H$349*H$350*H$351*H$352*H$353&gt;0,AVERAGE(H$347:H$353),""),"")</f>
        <v/>
      </c>
      <c r="I488" s="125" t="str">
        <f aca="false">IFERROR(IF(I$347*I$348*I$349*I$350*I$351*I$352*I$353&gt;0,AVERAGE(I$347:I$353),""),"")</f>
        <v/>
      </c>
      <c r="J488" s="125" t="str">
        <f aca="false">IFERROR(IF(J$347*J$348*J$349*J$350*J$351*J$352*J$353&gt;0,AVERAGE(J$347:J$353),""),"")</f>
        <v/>
      </c>
      <c r="K488" s="125" t="str">
        <f aca="false">IFERROR(IF(K$347*K$348*K$349*K$350*K$351*K$352*K$353&gt;0,AVERAGE(K$347:K$353),""),"")</f>
        <v/>
      </c>
      <c r="L488" s="125" t="str">
        <f aca="false">IFERROR(IF(L$347*L$348*L$349*L$350*L$351*L$352*L$353&gt;0,AVERAGE(L$347:L$353),""),"")</f>
        <v/>
      </c>
      <c r="M488" s="125" t="str">
        <f aca="false">IFERROR(IF(M$347*M$348*M$349*M$350*M$351*M$352*M$353&gt;0,AVERAGE(M$347:M$353),""),"")</f>
        <v/>
      </c>
      <c r="N488" s="125" t="str">
        <f aca="false">IFERROR(IF(N$347*N$348*N$349*N$350*N$351*N$352*N$353&gt;0,AVERAGE(N$347:N$353),""),"")</f>
        <v/>
      </c>
      <c r="O488" s="147" t="n">
        <v>7</v>
      </c>
      <c r="P488" s="282" t="n">
        <f aca="false">COMBIN(7,7)</f>
        <v>1</v>
      </c>
      <c r="Q488" s="283" t="n">
        <f aca="false">ROW(N488)-ROW(N488)+1</f>
        <v>1</v>
      </c>
      <c r="R488" s="284" t="s">
        <v>624</v>
      </c>
      <c r="S488" s="285" t="str">
        <f aca="false">IFERROR(IF(C$347*C$348*C$349*C$350*C$351*C$352*C$353&gt;0,STDEV(C$347:C$353),"")/IF(C$347*C$348*C$349*C$350*C$351*C$352*C$353&gt;0,AVERAGE(C$347:C$353),""),"")</f>
        <v/>
      </c>
      <c r="T488" s="285" t="str">
        <f aca="false">IFERROR(IF(D$347*D$348*D$349*D$350*D$351*D$352*D$353&gt;0,STDEV(D$347:D$353),"")/IF(D$347*D$348*D$349*D$350*D$351*D$352*D$353&gt;0,AVERAGE(D$347:D$353),""),"")</f>
        <v/>
      </c>
      <c r="U488" s="285" t="str">
        <f aca="false">IFERROR(IF(E$347*E$348*E$349*E$350*E$351*E$352*E$353&gt;0,STDEV(E$347:E$353),"")/IF(E$347*E$348*E$349*E$350*E$351*E$352*E$353&gt;0,AVERAGE(E$347:E$353),""),"")</f>
        <v/>
      </c>
      <c r="V488" s="285" t="str">
        <f aca="false">IFERROR(IF(F$347*F$348*F$349*F$350*F$351*F$352*F$353&gt;0,STDEV(F$347:F$353),"")/IF(F$347*F$348*F$349*F$350*F$351*F$352*F$353&gt;0,AVERAGE(F$347:F$353),""),"")</f>
        <v/>
      </c>
      <c r="W488" s="285" t="str">
        <f aca="false">IFERROR(IF(G$347*G$348*G$349*G$350*G$351*G$352*G$353&gt;0,STDEV(G$347:G$353),"")/IF(G$347*G$348*G$349*G$350*G$351*G$352*G$353&gt;0,AVERAGE(G$347:G$353),""),"")</f>
        <v/>
      </c>
      <c r="X488" s="285" t="str">
        <f aca="false">IFERROR(IF(H$347*H$348*H$349*H$350*H$351*H$352*H$353&gt;0,STDEV(H$347:H$353),"")/IF(H$347*H$348*H$349*H$350*H$351*H$352*H$353&gt;0,AVERAGE(H$347:H$353),""),"")</f>
        <v/>
      </c>
      <c r="Y488" s="285" t="str">
        <f aca="false">IFERROR(IF(I$347*I$348*I$349*I$350*I$351*I$352*I$353&gt;0,STDEV(I$347:I$353),"")/IF(I$347*I$348*I$349*I$350*I$351*I$352*I$353&gt;0,AVERAGE(I$347:I$353),""),"")</f>
        <v/>
      </c>
      <c r="Z488" s="285" t="str">
        <f aca="false">IFERROR(IF(J$347*J$348*J$349*J$350*J$351*J$352*J$353&gt;0,STDEV(J$347:J$353),"")/IF(J$347*J$348*J$349*J$350*J$351*J$352*J$353&gt;0,AVERAGE(J$347:J$353),""),"")</f>
        <v/>
      </c>
      <c r="AA488" s="285" t="str">
        <f aca="false">IFERROR(IF(K$347*K$348*K$349*K$350*K$351*K$352*K$353&gt;0,STDEV(K$347:K$353),"")/IF(K$347*K$348*K$349*K$350*K$351*K$352*K$353&gt;0,AVERAGE(K$347:K$353),""),"")</f>
        <v/>
      </c>
      <c r="AB488" s="285" t="str">
        <f aca="false">IFERROR(IF(L$347*L$348*L$349*L$350*L$351*L$352*L$353&gt;0,STDEV(L$347:L$353),"")/IF(L$347*L$348*L$349*L$350*L$351*L$352*L$353&gt;0,AVERAGE(L$347:L$353),""),"")</f>
        <v/>
      </c>
      <c r="AC488" s="285" t="str">
        <f aca="false">IFERROR(IF(M$347*M$348*M$349*M$350*M$351*M$352*M$353&gt;0,STDEV(M$347:M$353),"")/IF(M$347*M$348*M$349*M$350*M$351*M$352*M$353&gt;0,AVERAGE(M$347:M$353),""),"")</f>
        <v/>
      </c>
      <c r="AD488" s="285" t="str">
        <f aca="false">IFERROR(IF(N$347*N$348*N$349*N$350*N$351*N$352*N$353&gt;0,STDEV(N$347:N$353),"")/IF(N$347*N$348*N$349*N$350*N$351*N$352*N$353&gt;0,AVERAGE(N$347:N$353),""),"")</f>
        <v/>
      </c>
      <c r="AE488" s="157"/>
      <c r="AF488" s="286" t="s">
        <v>625</v>
      </c>
      <c r="AG488" s="287" t="str">
        <f aca="false">IFERROR(IF(C$347*C$348*C$349*C$350*C$351*C$352*C$353&gt;0,STDEV(C$347:C$353)," ")/IF(C$347*C$348*C$349*C$350*C$351*C$352*C$353&gt;0,SQRT(COUNT(C$347:C$353))," "),"")</f>
        <v/>
      </c>
      <c r="AH488" s="287" t="str">
        <f aca="false">IFERROR(IF(D$347*D$348*D$349*D$350*D$351*D$352*D$353&gt;0,STDEV(D$347:D$353)," ")/IF(D$347*D$348*D$349*D$350*D$351*D$352*D$353&gt;0,SQRT(COUNT(D$347:D$353))," "),"")</f>
        <v/>
      </c>
      <c r="AI488" s="287" t="str">
        <f aca="false">IFERROR(IF(E$347*E$348*E$349*E$350*E$351*E$352*E$353&gt;0,STDEV(E$347:E$353)," ")/IF(E$347*E$348*E$349*E$350*E$351*E$352*E$353&gt;0,SQRT(COUNT(E$347:E$353))," "),"")</f>
        <v/>
      </c>
      <c r="AJ488" s="287" t="str">
        <f aca="false">IFERROR(IF(F$347*F$348*F$349*F$350*F$351*F$352*F$353&gt;0,STDEV(F$347:F$353)," ")/IF(F$347*F$348*F$349*F$350*F$351*F$352*F$353&gt;0,SQRT(COUNT(F$347:F$353))," "),"")</f>
        <v/>
      </c>
      <c r="AK488" s="287" t="str">
        <f aca="false">IFERROR(IF(G$347*G$348*G$349*G$350*G$351*G$352*G$353&gt;0,STDEV(G$347:G$353)," ")/IF(G$347*G$348*G$349*G$350*G$351*G$352*G$353&gt;0,SQRT(COUNT(G$347:G$353))," "),"")</f>
        <v/>
      </c>
      <c r="AL488" s="287" t="str">
        <f aca="false">IFERROR(IF(H$347*H$348*H$349*H$350*H$351*H$352*H$353&gt;0,STDEV(H$347:H$353)," ")/IF(H$347*H$348*H$349*H$350*H$351*H$352*H$353&gt;0,SQRT(COUNT(H$347:H$353))," "),"")</f>
        <v/>
      </c>
      <c r="AM488" s="287" t="str">
        <f aca="false">IFERROR(IF(I$347*I$348*I$349*I$350*I$351*I$352*I$353&gt;0,STDEV(I$347:I$353)," ")/IF(I$347*I$348*I$349*I$350*I$351*I$352*I$353&gt;0,SQRT(COUNT(I$347:I$353))," "),"")</f>
        <v/>
      </c>
      <c r="AN488" s="287" t="str">
        <f aca="false">IFERROR(IF(J$347*J$348*J$349*J$350*J$351*J$352*J$353&gt;0,STDEV(J$347:J$353)," ")/IF(J$347*J$348*J$349*J$350*J$351*J$352*J$353&gt;0,SQRT(COUNT(J$347:J$353))," "),"")</f>
        <v/>
      </c>
      <c r="AO488" s="287" t="str">
        <f aca="false">IFERROR(IF(K$347*K$348*K$349*K$350*K$351*K$352*K$353&gt;0,STDEV(K$347:K$353)," ")/IF(K$347*K$348*K$349*K$350*K$351*K$352*K$353&gt;0,SQRT(COUNT(K$347:K$353))," "),"")</f>
        <v/>
      </c>
      <c r="AP488" s="287" t="str">
        <f aca="false">IFERROR(IF(L$347*L$348*L$349*L$350*L$351*L$352*L$353&gt;0,STDEV(L$347:L$353)," ")/IF(L$347*L$348*L$349*L$350*L$351*L$352*L$353&gt;0,SQRT(COUNT(L$347:L$353))," "),"")</f>
        <v/>
      </c>
      <c r="AQ488" s="287" t="str">
        <f aca="false">IFERROR(IF(M$347*M$348*M$349*M$350*M$351*M$352*M$353&gt;0,STDEV(M$347:M$353)," ")/IF(M$347*M$348*M$349*M$350*M$351*M$352*M$353&gt;0,SQRT(COUNT(M$347:M$353))," "),"")</f>
        <v/>
      </c>
      <c r="AR488" s="287" t="str">
        <f aca="false">IFERROR(IF(N$347*N$348*N$349*N$350*N$351*N$352*N$353&gt;0,STDEV(N$347:N$353)," ")/IF(N$347*N$348*N$349*N$350*N$351*N$352*N$353&gt;0,SQRT(COUNT(N$347:N$353))," "),"")</f>
        <v/>
      </c>
    </row>
    <row r="489" customFormat="false" ht="15.75" hidden="false" customHeight="false" outlineLevel="0" collapsed="false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83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157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</row>
    <row r="490" customFormat="false" ht="15.75" hidden="false" customHeight="false" outlineLevel="0" collapsed="false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83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157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</row>
    <row r="491" customFormat="false" ht="15.75" hidden="false" customHeight="false" outlineLevel="0" collapsed="false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83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157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</row>
    <row r="492" customFormat="false" ht="15.75" hidden="false" customHeight="false" outlineLevel="0" collapsed="false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83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157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</row>
    <row r="493" customFormat="false" ht="15.75" hidden="false" customHeight="false" outlineLevel="0" collapsed="false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83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157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</row>
    <row r="494" customFormat="false" ht="15.75" hidden="false" customHeight="false" outlineLevel="0" collapsed="false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83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157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</row>
    <row r="495" customFormat="false" ht="15.75" hidden="false" customHeight="false" outlineLevel="0" collapsed="false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83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157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</row>
    <row r="496" customFormat="false" ht="15.75" hidden="false" customHeight="false" outlineLevel="0" collapsed="false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83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157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</row>
    <row r="497" customFormat="false" ht="15.75" hidden="false" customHeight="false" outlineLevel="0" collapsed="false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83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157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</row>
    <row r="498" customFormat="false" ht="15.75" hidden="false" customHeight="false" outlineLevel="0" collapsed="false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83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157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</row>
    <row r="499" customFormat="false" ht="15.75" hidden="false" customHeight="false" outlineLevel="0" collapsed="false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83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157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</row>
    <row r="500" customFormat="false" ht="15.75" hidden="false" customHeight="false" outlineLevel="0" collapsed="false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83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157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</row>
    <row r="501" customFormat="false" ht="15.75" hidden="false" customHeight="false" outlineLevel="0" collapsed="false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83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157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</row>
    <row r="502" customFormat="false" ht="15.75" hidden="false" customHeight="false" outlineLevel="0" collapsed="false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83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157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</row>
    <row r="503" customFormat="false" ht="15.75" hidden="false" customHeight="false" outlineLevel="0" collapsed="false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83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157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</row>
    <row r="504" customFormat="false" ht="15.75" hidden="false" customHeight="false" outlineLevel="0" collapsed="false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83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157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</row>
    <row r="505" customFormat="false" ht="15.75" hidden="false" customHeight="false" outlineLevel="0" collapsed="false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83"/>
      <c r="R505" s="44"/>
      <c r="S505" s="44"/>
      <c r="T505" s="44"/>
      <c r="U505" s="44"/>
      <c r="V505" s="44"/>
      <c r="W505" s="44"/>
      <c r="X505" s="44"/>
      <c r="Y505" s="44"/>
      <c r="Z505" s="44"/>
      <c r="AA505" s="44"/>
      <c r="AB505" s="44"/>
      <c r="AC505" s="44"/>
      <c r="AD505" s="44"/>
      <c r="AE505" s="157"/>
      <c r="AF505" s="44"/>
      <c r="AG505" s="44"/>
      <c r="AH505" s="44"/>
      <c r="AI505" s="44"/>
      <c r="AJ505" s="44"/>
      <c r="AK505" s="44"/>
      <c r="AL505" s="44"/>
      <c r="AM505" s="44"/>
      <c r="AN505" s="44"/>
      <c r="AO505" s="44"/>
      <c r="AP505" s="44"/>
      <c r="AQ505" s="44"/>
      <c r="AR505" s="44"/>
      <c r="AS505" s="44"/>
    </row>
    <row r="506" customFormat="false" ht="15.75" hidden="false" customHeight="false" outlineLevel="0" collapsed="false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83"/>
      <c r="R506" s="44"/>
      <c r="S506" s="44"/>
      <c r="T506" s="44"/>
      <c r="U506" s="44"/>
      <c r="V506" s="44"/>
      <c r="W506" s="44"/>
      <c r="X506" s="44"/>
      <c r="Y506" s="44"/>
      <c r="Z506" s="44"/>
      <c r="AA506" s="44"/>
      <c r="AB506" s="44"/>
      <c r="AC506" s="44"/>
      <c r="AD506" s="44"/>
      <c r="AE506" s="157"/>
      <c r="AF506" s="44"/>
      <c r="AG506" s="44"/>
      <c r="AH506" s="44"/>
      <c r="AI506" s="44"/>
      <c r="AJ506" s="44"/>
      <c r="AK506" s="44"/>
      <c r="AL506" s="44"/>
      <c r="AM506" s="44"/>
      <c r="AN506" s="44"/>
      <c r="AO506" s="44"/>
      <c r="AP506" s="44"/>
      <c r="AQ506" s="44"/>
      <c r="AR506" s="44"/>
      <c r="AS506" s="44"/>
    </row>
    <row r="507" customFormat="false" ht="15.75" hidden="false" customHeight="false" outlineLevel="0" collapsed="false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83"/>
      <c r="R507" s="44"/>
      <c r="S507" s="44"/>
      <c r="T507" s="44"/>
      <c r="U507" s="44"/>
      <c r="V507" s="44"/>
      <c r="W507" s="44"/>
      <c r="X507" s="44"/>
      <c r="Y507" s="44"/>
      <c r="Z507" s="44"/>
      <c r="AA507" s="44"/>
      <c r="AB507" s="44"/>
      <c r="AC507" s="44"/>
      <c r="AD507" s="44"/>
      <c r="AE507" s="157"/>
      <c r="AF507" s="44"/>
      <c r="AG507" s="44"/>
      <c r="AH507" s="44"/>
      <c r="AI507" s="44"/>
      <c r="AJ507" s="44"/>
      <c r="AK507" s="44"/>
      <c r="AL507" s="44"/>
      <c r="AM507" s="44"/>
      <c r="AN507" s="44"/>
      <c r="AO507" s="44"/>
      <c r="AP507" s="44"/>
      <c r="AQ507" s="44"/>
      <c r="AR507" s="44"/>
      <c r="AS507" s="44"/>
    </row>
    <row r="508" customFormat="false" ht="15.75" hidden="false" customHeight="false" outlineLevel="0" collapsed="false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83"/>
      <c r="R508" s="44"/>
      <c r="S508" s="44"/>
      <c r="T508" s="44"/>
      <c r="U508" s="44"/>
      <c r="V508" s="44"/>
      <c r="W508" s="44"/>
      <c r="X508" s="44"/>
      <c r="Y508" s="44"/>
      <c r="Z508" s="44"/>
      <c r="AA508" s="44"/>
      <c r="AB508" s="44"/>
      <c r="AC508" s="44"/>
      <c r="AD508" s="44"/>
      <c r="AE508" s="157"/>
      <c r="AF508" s="44"/>
      <c r="AG508" s="44"/>
      <c r="AH508" s="44"/>
      <c r="AI508" s="44"/>
      <c r="AJ508" s="44"/>
      <c r="AK508" s="44"/>
      <c r="AL508" s="44"/>
      <c r="AM508" s="44"/>
      <c r="AN508" s="44"/>
      <c r="AO508" s="44"/>
      <c r="AP508" s="44"/>
      <c r="AQ508" s="44"/>
      <c r="AR508" s="44"/>
      <c r="AS508" s="44"/>
    </row>
    <row r="509" customFormat="false" ht="15.75" hidden="false" customHeight="false" outlineLevel="0" collapsed="false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83"/>
      <c r="R509" s="44"/>
      <c r="S509" s="44"/>
      <c r="T509" s="44"/>
      <c r="U509" s="44"/>
      <c r="V509" s="44"/>
      <c r="W509" s="44"/>
      <c r="X509" s="44"/>
      <c r="Y509" s="44"/>
      <c r="Z509" s="44"/>
      <c r="AA509" s="44"/>
      <c r="AB509" s="44"/>
      <c r="AC509" s="44"/>
      <c r="AD509" s="44"/>
      <c r="AE509" s="157"/>
      <c r="AF509" s="44"/>
      <c r="AG509" s="44"/>
      <c r="AH509" s="44"/>
      <c r="AI509" s="44"/>
      <c r="AJ509" s="44"/>
      <c r="AK509" s="44"/>
      <c r="AL509" s="44"/>
      <c r="AM509" s="44"/>
      <c r="AN509" s="44"/>
      <c r="AO509" s="44"/>
      <c r="AP509" s="44"/>
      <c r="AQ509" s="44"/>
      <c r="AR509" s="44"/>
      <c r="AS509" s="44"/>
    </row>
    <row r="510" customFormat="false" ht="15.75" hidden="false" customHeight="false" outlineLevel="0" collapsed="false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83"/>
      <c r="R510" s="44"/>
      <c r="S510" s="44"/>
      <c r="T510" s="44"/>
      <c r="U510" s="44"/>
      <c r="V510" s="44"/>
      <c r="W510" s="44"/>
      <c r="X510" s="44"/>
      <c r="Y510" s="44"/>
      <c r="Z510" s="44"/>
      <c r="AA510" s="44"/>
      <c r="AB510" s="44"/>
      <c r="AC510" s="44"/>
      <c r="AD510" s="44"/>
      <c r="AE510" s="157"/>
      <c r="AF510" s="44"/>
      <c r="AG510" s="44"/>
      <c r="AH510" s="44"/>
      <c r="AI510" s="44"/>
      <c r="AJ510" s="44"/>
      <c r="AK510" s="44"/>
      <c r="AL510" s="44"/>
      <c r="AM510" s="44"/>
      <c r="AN510" s="44"/>
      <c r="AO510" s="44"/>
      <c r="AP510" s="44"/>
      <c r="AQ510" s="44"/>
      <c r="AR510" s="44"/>
      <c r="AS510" s="44"/>
    </row>
    <row r="511" customFormat="false" ht="15.75" hidden="false" customHeight="false" outlineLevel="0" collapsed="false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83"/>
      <c r="R511" s="44"/>
      <c r="S511" s="44"/>
      <c r="T511" s="44"/>
      <c r="U511" s="44"/>
      <c r="V511" s="44"/>
      <c r="W511" s="44"/>
      <c r="X511" s="44"/>
      <c r="Y511" s="44"/>
      <c r="Z511" s="44"/>
      <c r="AA511" s="44"/>
      <c r="AB511" s="44"/>
      <c r="AC511" s="44"/>
      <c r="AD511" s="44"/>
      <c r="AE511" s="157"/>
      <c r="AF511" s="44"/>
      <c r="AG511" s="44"/>
      <c r="AH511" s="44"/>
      <c r="AI511" s="44"/>
      <c r="AJ511" s="44"/>
      <c r="AK511" s="44"/>
      <c r="AL511" s="44"/>
      <c r="AM511" s="44"/>
      <c r="AN511" s="44"/>
      <c r="AO511" s="44"/>
      <c r="AP511" s="44"/>
      <c r="AQ511" s="44"/>
      <c r="AR511" s="44"/>
      <c r="AS511" s="44"/>
    </row>
    <row r="512" customFormat="false" ht="15.75" hidden="false" customHeight="false" outlineLevel="0" collapsed="false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83"/>
      <c r="R512" s="44"/>
      <c r="S512" s="44"/>
      <c r="T512" s="44"/>
      <c r="U512" s="44"/>
      <c r="V512" s="44"/>
      <c r="W512" s="44"/>
      <c r="X512" s="44"/>
      <c r="Y512" s="44"/>
      <c r="Z512" s="44"/>
      <c r="AA512" s="44"/>
      <c r="AB512" s="44"/>
      <c r="AC512" s="44"/>
      <c r="AD512" s="44"/>
      <c r="AE512" s="157"/>
      <c r="AF512" s="44"/>
      <c r="AG512" s="44"/>
      <c r="AH512" s="44"/>
      <c r="AI512" s="44"/>
      <c r="AJ512" s="44"/>
      <c r="AK512" s="44"/>
      <c r="AL512" s="44"/>
      <c r="AM512" s="44"/>
      <c r="AN512" s="44"/>
      <c r="AO512" s="44"/>
      <c r="AP512" s="44"/>
      <c r="AQ512" s="44"/>
      <c r="AR512" s="44"/>
      <c r="AS512" s="44"/>
    </row>
    <row r="513" customFormat="false" ht="15.75" hidden="false" customHeight="false" outlineLevel="0" collapsed="false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83"/>
      <c r="R513" s="44"/>
      <c r="S513" s="44"/>
      <c r="T513" s="44"/>
      <c r="U513" s="44"/>
      <c r="V513" s="44"/>
      <c r="W513" s="44"/>
      <c r="X513" s="44"/>
      <c r="Y513" s="44"/>
      <c r="Z513" s="44"/>
      <c r="AA513" s="44"/>
      <c r="AB513" s="44"/>
      <c r="AC513" s="44"/>
      <c r="AD513" s="44"/>
      <c r="AE513" s="157"/>
      <c r="AF513" s="44"/>
      <c r="AG513" s="44"/>
      <c r="AH513" s="44"/>
      <c r="AI513" s="44"/>
      <c r="AJ513" s="44"/>
      <c r="AK513" s="44"/>
      <c r="AL513" s="44"/>
      <c r="AM513" s="44"/>
      <c r="AN513" s="44"/>
      <c r="AO513" s="44"/>
      <c r="AP513" s="44"/>
      <c r="AQ513" s="44"/>
      <c r="AR513" s="44"/>
      <c r="AS513" s="44"/>
    </row>
    <row r="514" customFormat="false" ht="15.75" hidden="false" customHeight="false" outlineLevel="0" collapsed="false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83"/>
      <c r="R514" s="44"/>
      <c r="S514" s="44"/>
      <c r="T514" s="44"/>
      <c r="U514" s="44"/>
      <c r="V514" s="44"/>
      <c r="W514" s="44"/>
      <c r="X514" s="44"/>
      <c r="Y514" s="44"/>
      <c r="Z514" s="44"/>
      <c r="AA514" s="44"/>
      <c r="AB514" s="44"/>
      <c r="AC514" s="44"/>
      <c r="AD514" s="44"/>
      <c r="AE514" s="157"/>
      <c r="AF514" s="44"/>
      <c r="AG514" s="44"/>
      <c r="AH514" s="44"/>
      <c r="AI514" s="44"/>
      <c r="AJ514" s="44"/>
      <c r="AK514" s="44"/>
      <c r="AL514" s="44"/>
      <c r="AM514" s="44"/>
      <c r="AN514" s="44"/>
      <c r="AO514" s="44"/>
      <c r="AP514" s="44"/>
      <c r="AQ514" s="44"/>
      <c r="AR514" s="44"/>
      <c r="AS514" s="44"/>
    </row>
    <row r="515" customFormat="false" ht="15.75" hidden="false" customHeight="false" outlineLevel="0" collapsed="false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83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4"/>
      <c r="AC515" s="44"/>
      <c r="AD515" s="44"/>
      <c r="AE515" s="157"/>
      <c r="AF515" s="44"/>
      <c r="AG515" s="44"/>
      <c r="AH515" s="44"/>
      <c r="AI515" s="44"/>
      <c r="AJ515" s="44"/>
      <c r="AK515" s="44"/>
      <c r="AL515" s="44"/>
      <c r="AM515" s="44"/>
      <c r="AN515" s="44"/>
      <c r="AO515" s="44"/>
      <c r="AP515" s="44"/>
      <c r="AQ515" s="44"/>
      <c r="AR515" s="44"/>
      <c r="AS515" s="44"/>
    </row>
    <row r="516" customFormat="false" ht="15.75" hidden="false" customHeight="false" outlineLevel="0" collapsed="false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83"/>
      <c r="R516" s="44"/>
      <c r="S516" s="44"/>
      <c r="T516" s="44"/>
      <c r="U516" s="44"/>
      <c r="V516" s="44"/>
      <c r="W516" s="44"/>
      <c r="X516" s="44"/>
      <c r="Y516" s="44"/>
      <c r="Z516" s="44"/>
      <c r="AA516" s="44"/>
      <c r="AB516" s="44"/>
      <c r="AC516" s="44"/>
      <c r="AD516" s="44"/>
      <c r="AE516" s="157"/>
      <c r="AF516" s="44"/>
      <c r="AG516" s="44"/>
      <c r="AH516" s="44"/>
      <c r="AI516" s="44"/>
      <c r="AJ516" s="44"/>
      <c r="AK516" s="44"/>
      <c r="AL516" s="44"/>
      <c r="AM516" s="44"/>
      <c r="AN516" s="44"/>
      <c r="AO516" s="44"/>
      <c r="AP516" s="44"/>
      <c r="AQ516" s="44"/>
      <c r="AR516" s="44"/>
      <c r="AS516" s="44"/>
    </row>
    <row r="517" customFormat="false" ht="15.75" hidden="false" customHeight="false" outlineLevel="0" collapsed="false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83"/>
      <c r="R517" s="44"/>
      <c r="S517" s="44"/>
      <c r="T517" s="44"/>
      <c r="U517" s="44"/>
      <c r="V517" s="44"/>
      <c r="W517" s="44"/>
      <c r="X517" s="44"/>
      <c r="Y517" s="44"/>
      <c r="Z517" s="44"/>
      <c r="AA517" s="44"/>
      <c r="AB517" s="44"/>
      <c r="AC517" s="44"/>
      <c r="AD517" s="44"/>
      <c r="AE517" s="157"/>
      <c r="AF517" s="44"/>
      <c r="AG517" s="44"/>
      <c r="AH517" s="44"/>
      <c r="AI517" s="44"/>
      <c r="AJ517" s="44"/>
      <c r="AK517" s="44"/>
      <c r="AL517" s="44"/>
      <c r="AM517" s="44"/>
      <c r="AN517" s="44"/>
      <c r="AO517" s="44"/>
      <c r="AP517" s="44"/>
      <c r="AQ517" s="44"/>
      <c r="AR517" s="44"/>
      <c r="AS517" s="44"/>
    </row>
    <row r="518" customFormat="false" ht="15.75" hidden="false" customHeight="false" outlineLevel="0" collapsed="false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83"/>
      <c r="R518" s="44"/>
      <c r="S518" s="44"/>
      <c r="T518" s="44"/>
      <c r="U518" s="44"/>
      <c r="V518" s="44"/>
      <c r="W518" s="44"/>
      <c r="X518" s="44"/>
      <c r="Y518" s="44"/>
      <c r="Z518" s="44"/>
      <c r="AA518" s="44"/>
      <c r="AB518" s="44"/>
      <c r="AC518" s="44"/>
      <c r="AD518" s="44"/>
      <c r="AE518" s="157"/>
      <c r="AF518" s="44"/>
      <c r="AG518" s="44"/>
      <c r="AH518" s="44"/>
      <c r="AI518" s="44"/>
      <c r="AJ518" s="44"/>
      <c r="AK518" s="44"/>
      <c r="AL518" s="44"/>
      <c r="AM518" s="44"/>
      <c r="AN518" s="44"/>
      <c r="AO518" s="44"/>
      <c r="AP518" s="44"/>
      <c r="AQ518" s="44"/>
      <c r="AR518" s="44"/>
      <c r="AS518" s="44"/>
    </row>
    <row r="519" customFormat="false" ht="15.75" hidden="false" customHeight="false" outlineLevel="0" collapsed="false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83"/>
      <c r="R519" s="44"/>
      <c r="S519" s="44"/>
      <c r="T519" s="44"/>
      <c r="U519" s="44"/>
      <c r="V519" s="44"/>
      <c r="W519" s="44"/>
      <c r="X519" s="44"/>
      <c r="Y519" s="44"/>
      <c r="Z519" s="44"/>
      <c r="AA519" s="44"/>
      <c r="AB519" s="44"/>
      <c r="AC519" s="44"/>
      <c r="AD519" s="44"/>
      <c r="AE519" s="157"/>
      <c r="AF519" s="44"/>
      <c r="AG519" s="44"/>
      <c r="AH519" s="44"/>
      <c r="AI519" s="44"/>
      <c r="AJ519" s="44"/>
      <c r="AK519" s="44"/>
      <c r="AL519" s="44"/>
      <c r="AM519" s="44"/>
      <c r="AN519" s="44"/>
      <c r="AO519" s="44"/>
      <c r="AP519" s="44"/>
      <c r="AQ519" s="44"/>
      <c r="AR519" s="44"/>
      <c r="AS519" s="44"/>
    </row>
    <row r="520" customFormat="false" ht="15.75" hidden="false" customHeight="false" outlineLevel="0" collapsed="false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83"/>
      <c r="R520" s="44"/>
      <c r="S520" s="44"/>
      <c r="T520" s="44"/>
      <c r="U520" s="44"/>
      <c r="V520" s="44"/>
      <c r="W520" s="44"/>
      <c r="X520" s="44"/>
      <c r="Y520" s="44"/>
      <c r="Z520" s="44"/>
      <c r="AA520" s="44"/>
      <c r="AB520" s="44"/>
      <c r="AC520" s="44"/>
      <c r="AD520" s="44"/>
      <c r="AE520" s="157"/>
      <c r="AF520" s="44"/>
      <c r="AG520" s="44"/>
      <c r="AH520" s="44"/>
      <c r="AI520" s="44"/>
      <c r="AJ520" s="44"/>
      <c r="AK520" s="44"/>
      <c r="AL520" s="44"/>
      <c r="AM520" s="44"/>
      <c r="AN520" s="44"/>
      <c r="AO520" s="44"/>
      <c r="AP520" s="44"/>
      <c r="AQ520" s="44"/>
      <c r="AR520" s="44"/>
      <c r="AS520" s="44"/>
    </row>
    <row r="521" customFormat="false" ht="15.75" hidden="false" customHeight="false" outlineLevel="0" collapsed="false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83"/>
      <c r="R521" s="44"/>
      <c r="S521" s="44"/>
      <c r="T521" s="44"/>
      <c r="U521" s="44"/>
      <c r="V521" s="44"/>
      <c r="W521" s="44"/>
      <c r="X521" s="44"/>
      <c r="Y521" s="44"/>
      <c r="Z521" s="44"/>
      <c r="AA521" s="44"/>
      <c r="AB521" s="44"/>
      <c r="AC521" s="44"/>
      <c r="AD521" s="44"/>
      <c r="AE521" s="157"/>
      <c r="AF521" s="44"/>
      <c r="AG521" s="44"/>
      <c r="AH521" s="44"/>
      <c r="AI521" s="44"/>
      <c r="AJ521" s="44"/>
      <c r="AK521" s="44"/>
      <c r="AL521" s="44"/>
      <c r="AM521" s="44"/>
      <c r="AN521" s="44"/>
      <c r="AO521" s="44"/>
      <c r="AP521" s="44"/>
      <c r="AQ521" s="44"/>
      <c r="AR521" s="44"/>
      <c r="AS521" s="44"/>
    </row>
    <row r="522" customFormat="false" ht="15.75" hidden="false" customHeight="false" outlineLevel="0" collapsed="false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83"/>
      <c r="R522" s="44"/>
      <c r="S522" s="44"/>
      <c r="T522" s="44"/>
      <c r="U522" s="44"/>
      <c r="V522" s="44"/>
      <c r="W522" s="44"/>
      <c r="X522" s="44"/>
      <c r="Y522" s="44"/>
      <c r="Z522" s="44"/>
      <c r="AA522" s="44"/>
      <c r="AB522" s="44"/>
      <c r="AC522" s="44"/>
      <c r="AD522" s="44"/>
      <c r="AE522" s="157"/>
      <c r="AF522" s="44"/>
      <c r="AG522" s="44"/>
      <c r="AH522" s="44"/>
      <c r="AI522" s="44"/>
      <c r="AJ522" s="44"/>
      <c r="AK522" s="44"/>
      <c r="AL522" s="44"/>
      <c r="AM522" s="44"/>
      <c r="AN522" s="44"/>
      <c r="AO522" s="44"/>
      <c r="AP522" s="44"/>
      <c r="AQ522" s="44"/>
      <c r="AR522" s="44"/>
      <c r="AS522" s="44"/>
    </row>
    <row r="523" customFormat="false" ht="15.75" hidden="false" customHeight="false" outlineLevel="0" collapsed="false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83"/>
      <c r="R523" s="44"/>
      <c r="S523" s="44"/>
      <c r="T523" s="44"/>
      <c r="U523" s="44"/>
      <c r="V523" s="44"/>
      <c r="W523" s="44"/>
      <c r="X523" s="44"/>
      <c r="Y523" s="44"/>
      <c r="Z523" s="44"/>
      <c r="AA523" s="44"/>
      <c r="AB523" s="44"/>
      <c r="AC523" s="44"/>
      <c r="AD523" s="44"/>
      <c r="AE523" s="157"/>
      <c r="AF523" s="44"/>
      <c r="AG523" s="44"/>
      <c r="AH523" s="44"/>
      <c r="AI523" s="44"/>
      <c r="AJ523" s="44"/>
      <c r="AK523" s="44"/>
      <c r="AL523" s="44"/>
      <c r="AM523" s="44"/>
      <c r="AN523" s="44"/>
      <c r="AO523" s="44"/>
      <c r="AP523" s="44"/>
      <c r="AQ523" s="44"/>
      <c r="AR523" s="44"/>
      <c r="AS523" s="44"/>
    </row>
    <row r="524" customFormat="false" ht="15.75" hidden="false" customHeight="false" outlineLevel="0" collapsed="false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83"/>
      <c r="R524" s="44"/>
      <c r="S524" s="44"/>
      <c r="T524" s="44"/>
      <c r="U524" s="44"/>
      <c r="V524" s="44"/>
      <c r="W524" s="44"/>
      <c r="X524" s="44"/>
      <c r="Y524" s="44"/>
      <c r="Z524" s="44"/>
      <c r="AA524" s="44"/>
      <c r="AB524" s="44"/>
      <c r="AC524" s="44"/>
      <c r="AD524" s="44"/>
      <c r="AE524" s="157"/>
      <c r="AF524" s="44"/>
      <c r="AG524" s="44"/>
      <c r="AH524" s="44"/>
      <c r="AI524" s="44"/>
      <c r="AJ524" s="44"/>
      <c r="AK524" s="44"/>
      <c r="AL524" s="44"/>
      <c r="AM524" s="44"/>
      <c r="AN524" s="44"/>
      <c r="AO524" s="44"/>
      <c r="AP524" s="44"/>
      <c r="AQ524" s="44"/>
      <c r="AR524" s="44"/>
      <c r="AS524" s="44"/>
    </row>
    <row r="525" customFormat="false" ht="15.75" hidden="false" customHeight="false" outlineLevel="0" collapsed="false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83"/>
      <c r="R525" s="44"/>
      <c r="S525" s="44"/>
      <c r="T525" s="44"/>
      <c r="U525" s="44"/>
      <c r="V525" s="44"/>
      <c r="W525" s="44"/>
      <c r="X525" s="44"/>
      <c r="Y525" s="44"/>
      <c r="Z525" s="44"/>
      <c r="AA525" s="44"/>
      <c r="AB525" s="44"/>
      <c r="AC525" s="44"/>
      <c r="AD525" s="44"/>
      <c r="AE525" s="157"/>
      <c r="AF525" s="44"/>
      <c r="AG525" s="44"/>
      <c r="AH525" s="44"/>
      <c r="AI525" s="44"/>
      <c r="AJ525" s="44"/>
      <c r="AK525" s="44"/>
      <c r="AL525" s="44"/>
      <c r="AM525" s="44"/>
      <c r="AN525" s="44"/>
      <c r="AO525" s="44"/>
      <c r="AP525" s="44"/>
      <c r="AQ525" s="44"/>
      <c r="AR525" s="44"/>
      <c r="AS525" s="44"/>
    </row>
    <row r="526" customFormat="false" ht="15.75" hidden="false" customHeight="false" outlineLevel="0" collapsed="false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83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157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</row>
    <row r="527" customFormat="false" ht="15.75" hidden="false" customHeight="false" outlineLevel="0" collapsed="false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83"/>
      <c r="R527" s="44"/>
      <c r="S527" s="44"/>
      <c r="T527" s="44"/>
      <c r="U527" s="44"/>
      <c r="V527" s="44"/>
      <c r="W527" s="44"/>
      <c r="X527" s="44"/>
      <c r="Y527" s="44"/>
      <c r="Z527" s="44"/>
      <c r="AA527" s="44"/>
      <c r="AB527" s="44"/>
      <c r="AC527" s="44"/>
      <c r="AD527" s="44"/>
      <c r="AE527" s="157"/>
      <c r="AF527" s="44"/>
      <c r="AG527" s="44"/>
      <c r="AH527" s="44"/>
      <c r="AI527" s="44"/>
      <c r="AJ527" s="44"/>
      <c r="AK527" s="44"/>
      <c r="AL527" s="44"/>
      <c r="AM527" s="44"/>
      <c r="AN527" s="44"/>
      <c r="AO527" s="44"/>
      <c r="AP527" s="44"/>
      <c r="AQ527" s="44"/>
      <c r="AR527" s="44"/>
      <c r="AS527" s="44"/>
    </row>
    <row r="528" customFormat="false" ht="15.75" hidden="false" customHeight="false" outlineLevel="0" collapsed="false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83"/>
      <c r="R528" s="44"/>
      <c r="S528" s="44"/>
      <c r="T528" s="44"/>
      <c r="U528" s="44"/>
      <c r="V528" s="44"/>
      <c r="W528" s="44"/>
      <c r="X528" s="44"/>
      <c r="Y528" s="44"/>
      <c r="Z528" s="44"/>
      <c r="AA528" s="44"/>
      <c r="AB528" s="44"/>
      <c r="AC528" s="44"/>
      <c r="AD528" s="44"/>
      <c r="AE528" s="157"/>
      <c r="AF528" s="44"/>
      <c r="AG528" s="44"/>
      <c r="AH528" s="44"/>
      <c r="AI528" s="44"/>
      <c r="AJ528" s="44"/>
      <c r="AK528" s="44"/>
      <c r="AL528" s="44"/>
      <c r="AM528" s="44"/>
      <c r="AN528" s="44"/>
      <c r="AO528" s="44"/>
      <c r="AP528" s="44"/>
      <c r="AQ528" s="44"/>
      <c r="AR528" s="44"/>
      <c r="AS528" s="44"/>
    </row>
    <row r="529" customFormat="false" ht="15.75" hidden="false" customHeight="false" outlineLevel="0" collapsed="false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83"/>
      <c r="R529" s="44"/>
      <c r="S529" s="44"/>
      <c r="T529" s="44"/>
      <c r="U529" s="44"/>
      <c r="V529" s="44"/>
      <c r="W529" s="44"/>
      <c r="X529" s="44"/>
      <c r="Y529" s="44"/>
      <c r="Z529" s="44"/>
      <c r="AA529" s="44"/>
      <c r="AB529" s="44"/>
      <c r="AC529" s="44"/>
      <c r="AD529" s="44"/>
      <c r="AE529" s="157"/>
      <c r="AF529" s="44"/>
      <c r="AG529" s="44"/>
      <c r="AH529" s="44"/>
      <c r="AI529" s="44"/>
      <c r="AJ529" s="44"/>
      <c r="AK529" s="44"/>
      <c r="AL529" s="44"/>
      <c r="AM529" s="44"/>
      <c r="AN529" s="44"/>
      <c r="AO529" s="44"/>
      <c r="AP529" s="44"/>
      <c r="AQ529" s="44"/>
      <c r="AR529" s="44"/>
      <c r="AS529" s="44"/>
    </row>
    <row r="530" customFormat="false" ht="15.75" hidden="false" customHeight="false" outlineLevel="0" collapsed="false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83"/>
      <c r="R530" s="44"/>
      <c r="S530" s="44"/>
      <c r="T530" s="44"/>
      <c r="U530" s="44"/>
      <c r="V530" s="44"/>
      <c r="W530" s="44"/>
      <c r="X530" s="44"/>
      <c r="Y530" s="44"/>
      <c r="Z530" s="44"/>
      <c r="AA530" s="44"/>
      <c r="AB530" s="44"/>
      <c r="AC530" s="44"/>
      <c r="AD530" s="44"/>
      <c r="AE530" s="157"/>
      <c r="AF530" s="44"/>
      <c r="AG530" s="44"/>
      <c r="AH530" s="44"/>
      <c r="AI530" s="44"/>
      <c r="AJ530" s="44"/>
      <c r="AK530" s="44"/>
      <c r="AL530" s="44"/>
      <c r="AM530" s="44"/>
      <c r="AN530" s="44"/>
      <c r="AO530" s="44"/>
      <c r="AP530" s="44"/>
      <c r="AQ530" s="44"/>
      <c r="AR530" s="44"/>
      <c r="AS530" s="44"/>
    </row>
    <row r="531" customFormat="false" ht="15.75" hidden="false" customHeight="false" outlineLevel="0" collapsed="false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83"/>
      <c r="R531" s="44"/>
      <c r="S531" s="44"/>
      <c r="T531" s="44"/>
      <c r="U531" s="44"/>
      <c r="V531" s="44"/>
      <c r="W531" s="44"/>
      <c r="X531" s="44"/>
      <c r="Y531" s="44"/>
      <c r="Z531" s="44"/>
      <c r="AA531" s="44"/>
      <c r="AB531" s="44"/>
      <c r="AC531" s="44"/>
      <c r="AD531" s="44"/>
      <c r="AE531" s="157"/>
      <c r="AF531" s="44"/>
      <c r="AG531" s="44"/>
      <c r="AH531" s="44"/>
      <c r="AI531" s="44"/>
      <c r="AJ531" s="44"/>
      <c r="AK531" s="44"/>
      <c r="AL531" s="44"/>
      <c r="AM531" s="44"/>
      <c r="AN531" s="44"/>
      <c r="AO531" s="44"/>
      <c r="AP531" s="44"/>
      <c r="AQ531" s="44"/>
      <c r="AR531" s="44"/>
      <c r="AS531" s="44"/>
    </row>
    <row r="532" customFormat="false" ht="15.75" hidden="false" customHeight="false" outlineLevel="0" collapsed="false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83"/>
      <c r="R532" s="44"/>
      <c r="S532" s="44"/>
      <c r="T532" s="44"/>
      <c r="U532" s="44"/>
      <c r="V532" s="44"/>
      <c r="W532" s="44"/>
      <c r="X532" s="44"/>
      <c r="Y532" s="44"/>
      <c r="Z532" s="44"/>
      <c r="AA532" s="44"/>
      <c r="AB532" s="44"/>
      <c r="AC532" s="44"/>
      <c r="AD532" s="44"/>
      <c r="AE532" s="157"/>
      <c r="AF532" s="44"/>
      <c r="AG532" s="44"/>
      <c r="AH532" s="44"/>
      <c r="AI532" s="44"/>
      <c r="AJ532" s="44"/>
      <c r="AK532" s="44"/>
      <c r="AL532" s="44"/>
      <c r="AM532" s="44"/>
      <c r="AN532" s="44"/>
      <c r="AO532" s="44"/>
      <c r="AP532" s="44"/>
      <c r="AQ532" s="44"/>
      <c r="AR532" s="44"/>
      <c r="AS532" s="44"/>
    </row>
    <row r="533" customFormat="false" ht="15.75" hidden="false" customHeight="false" outlineLevel="0" collapsed="false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83"/>
      <c r="R533" s="44"/>
      <c r="S533" s="44"/>
      <c r="T533" s="44"/>
      <c r="U533" s="44"/>
      <c r="V533" s="44"/>
      <c r="W533" s="44"/>
      <c r="X533" s="44"/>
      <c r="Y533" s="44"/>
      <c r="Z533" s="44"/>
      <c r="AA533" s="44"/>
      <c r="AB533" s="44"/>
      <c r="AC533" s="44"/>
      <c r="AD533" s="44"/>
      <c r="AE533" s="157"/>
      <c r="AF533" s="44"/>
      <c r="AG533" s="44"/>
      <c r="AH533" s="44"/>
      <c r="AI533" s="44"/>
      <c r="AJ533" s="44"/>
      <c r="AK533" s="44"/>
      <c r="AL533" s="44"/>
      <c r="AM533" s="44"/>
      <c r="AN533" s="44"/>
      <c r="AO533" s="44"/>
      <c r="AP533" s="44"/>
      <c r="AQ533" s="44"/>
      <c r="AR533" s="44"/>
      <c r="AS533" s="44"/>
    </row>
    <row r="534" customFormat="false" ht="15.75" hidden="false" customHeight="false" outlineLevel="0" collapsed="false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83"/>
      <c r="R534" s="44"/>
      <c r="S534" s="44"/>
      <c r="T534" s="44"/>
      <c r="U534" s="44"/>
      <c r="V534" s="44"/>
      <c r="W534" s="44"/>
      <c r="X534" s="44"/>
      <c r="Y534" s="44"/>
      <c r="Z534" s="44"/>
      <c r="AA534" s="44"/>
      <c r="AB534" s="44"/>
      <c r="AC534" s="44"/>
      <c r="AD534" s="44"/>
      <c r="AE534" s="157"/>
      <c r="AF534" s="44"/>
      <c r="AG534" s="44"/>
      <c r="AH534" s="44"/>
      <c r="AI534" s="44"/>
      <c r="AJ534" s="44"/>
      <c r="AK534" s="44"/>
      <c r="AL534" s="44"/>
      <c r="AM534" s="44"/>
      <c r="AN534" s="44"/>
      <c r="AO534" s="44"/>
      <c r="AP534" s="44"/>
      <c r="AQ534" s="44"/>
      <c r="AR534" s="44"/>
      <c r="AS534" s="44"/>
    </row>
  </sheetData>
  <sheetProtection sheet="true" objects="true" scenarios="true"/>
  <conditionalFormatting sqref="C10:N16">
    <cfRule type="expression" priority="2" aboveAverage="0" equalAverage="0" bottom="0" percent="0" rank="0" text="" dxfId="35">
      <formula>AND(C10&gt;0, C10&lt;=50)</formula>
    </cfRule>
  </conditionalFormatting>
  <conditionalFormatting sqref="C10:N16">
    <cfRule type="expression" priority="3" aboveAverage="0" equalAverage="0" bottom="0" percent="0" rank="0" text="" dxfId="36">
      <formula>AND(C10&gt;0, C10&lt;=50)</formula>
    </cfRule>
  </conditionalFormatting>
  <conditionalFormatting sqref="C171:N177">
    <cfRule type="expression" priority="4" aboveAverage="0" equalAverage="0" bottom="0" percent="0" rank="0" text="" dxfId="37">
      <formula>AND(C171&gt;0, C171&lt;=50)</formula>
    </cfRule>
  </conditionalFormatting>
  <conditionalFormatting sqref="C171:N177">
    <cfRule type="expression" priority="5" aboveAverage="0" equalAverage="0" bottom="0" percent="0" rank="0" text="" dxfId="38">
      <formula>AND(C171&gt;0, C171&lt;=50)</formula>
    </cfRule>
  </conditionalFormatting>
  <conditionalFormatting sqref="D28:D29 D31">
    <cfRule type="expression" priority="6" aboveAverage="0" equalAverage="0" bottom="0" percent="0" rank="0" text="" dxfId="39">
      <formula>"IF(D$30&gt;'Titer Calculation'!$T$6)"</formula>
    </cfRule>
  </conditionalFormatting>
  <conditionalFormatting sqref="E28:E29 E31">
    <cfRule type="expression" priority="7" aboveAverage="0" equalAverage="0" bottom="0" percent="0" rank="0" text="" dxfId="40">
      <formula>"IF(E$30&gt;'Titer Calculation'!$T$6)"</formula>
    </cfRule>
  </conditionalFormatting>
  <conditionalFormatting sqref="F28:F29 F31">
    <cfRule type="expression" priority="8" aboveAverage="0" equalAverage="0" bottom="0" percent="0" rank="0" text="" dxfId="41">
      <formula>"IF(F$30&gt;'Titer Calculation'!$T$6)"</formula>
    </cfRule>
  </conditionalFormatting>
  <conditionalFormatting sqref="G28:G29 G31">
    <cfRule type="expression" priority="9" aboveAverage="0" equalAverage="0" bottom="0" percent="0" rank="0" text="" dxfId="42">
      <formula>"IF(G$30&gt;'Titer Calculation'!$T$6)"</formula>
    </cfRule>
  </conditionalFormatting>
  <conditionalFormatting sqref="H28:H29 H31">
    <cfRule type="expression" priority="10" aboveAverage="0" equalAverage="0" bottom="0" percent="0" rank="0" text="" dxfId="43">
      <formula>"IF(H$30&gt;'Titer Calculation'!$T$6)"</formula>
    </cfRule>
  </conditionalFormatting>
  <conditionalFormatting sqref="I28:I29 I31">
    <cfRule type="expression" priority="11" aboveAverage="0" equalAverage="0" bottom="0" percent="0" rank="0" text="" dxfId="44">
      <formula>"IF(I$30&gt;'Titer Calculation'!$T$6)"</formula>
    </cfRule>
  </conditionalFormatting>
  <conditionalFormatting sqref="J28:J29 J31">
    <cfRule type="expression" priority="12" aboveAverage="0" equalAverage="0" bottom="0" percent="0" rank="0" text="" dxfId="45">
      <formula>"IF(J$30&gt;'Titer Calculation'!$T$6)"</formula>
    </cfRule>
  </conditionalFormatting>
  <conditionalFormatting sqref="K28:K29 K31">
    <cfRule type="expression" priority="13" aboveAverage="0" equalAverage="0" bottom="0" percent="0" rank="0" text="" dxfId="46">
      <formula>"IF(K$30&gt;'Titer Calculation'!$T$6)"</formula>
    </cfRule>
  </conditionalFormatting>
  <conditionalFormatting sqref="L28:L29 L31">
    <cfRule type="expression" priority="14" aboveAverage="0" equalAverage="0" bottom="0" percent="0" rank="0" text="" dxfId="47">
      <formula>"IF(L$30&gt;'Titer Calculation'!$T$6)"</formula>
    </cfRule>
  </conditionalFormatting>
  <conditionalFormatting sqref="M28:M29 M31">
    <cfRule type="expression" priority="15" aboveAverage="0" equalAverage="0" bottom="0" percent="0" rank="0" text="" dxfId="48">
      <formula>"IF(M$30&gt;'Titer Calculation'!$T$6)"</formula>
    </cfRule>
  </conditionalFormatting>
  <conditionalFormatting sqref="C30:D30">
    <cfRule type="expression" priority="16" aboveAverage="0" equalAverage="0" bottom="0" percent="0" rank="0" text="" dxfId="49">
      <formula>"IF(D$30&gt;'Titer Calculation'!$T$6)"</formula>
    </cfRule>
  </conditionalFormatting>
  <conditionalFormatting sqref="E30">
    <cfRule type="expression" priority="17" aboveAverage="0" equalAverage="0" bottom="0" percent="0" rank="0" text="" dxfId="50">
      <formula>"IF(E$30&gt;'Titer Calculation'!$T$6)"</formula>
    </cfRule>
  </conditionalFormatting>
  <conditionalFormatting sqref="F30">
    <cfRule type="expression" priority="18" aboveAverage="0" equalAverage="0" bottom="0" percent="0" rank="0" text="" dxfId="51">
      <formula>"IF(F$30&gt;'Titer Calculation'!$T$6)"</formula>
    </cfRule>
  </conditionalFormatting>
  <conditionalFormatting sqref="G30">
    <cfRule type="expression" priority="19" aboveAverage="0" equalAverage="0" bottom="0" percent="0" rank="0" text="" dxfId="52">
      <formula>"IF(G$30&gt;'Titer Calculation'!$T$6)"</formula>
    </cfRule>
  </conditionalFormatting>
  <conditionalFormatting sqref="H30">
    <cfRule type="expression" priority="20" aboveAverage="0" equalAverage="0" bottom="0" percent="0" rank="0" text="" dxfId="53">
      <formula>"IF(H$30&gt;'Titer Calculation'!$T$6)"</formula>
    </cfRule>
  </conditionalFormatting>
  <conditionalFormatting sqref="I30">
    <cfRule type="expression" priority="21" aboveAverage="0" equalAverage="0" bottom="0" percent="0" rank="0" text="" dxfId="54">
      <formula>"IF(I$30&gt;'Titer Calculation'!$T$6)"</formula>
    </cfRule>
  </conditionalFormatting>
  <conditionalFormatting sqref="J30">
    <cfRule type="expression" priority="22" aboveAverage="0" equalAverage="0" bottom="0" percent="0" rank="0" text="" dxfId="55">
      <formula>"IF(J$30&gt;'Titer Calculation'!$T$6)"</formula>
    </cfRule>
  </conditionalFormatting>
  <conditionalFormatting sqref="K30">
    <cfRule type="expression" priority="23" aboveAverage="0" equalAverage="0" bottom="0" percent="0" rank="0" text="" dxfId="56">
      <formula>"IF(K$30&gt;'Titer Calculation'!$T$6)"</formula>
    </cfRule>
  </conditionalFormatting>
  <conditionalFormatting sqref="L30">
    <cfRule type="expression" priority="24" aboveAverage="0" equalAverage="0" bottom="0" percent="0" rank="0" text="" dxfId="57">
      <formula>"IF(L$30&gt;'Titer Calculation'!$T$6)"</formula>
    </cfRule>
  </conditionalFormatting>
  <conditionalFormatting sqref="M30">
    <cfRule type="expression" priority="25" aboveAverage="0" equalAverage="0" bottom="0" percent="0" rank="0" text="" dxfId="58">
      <formula>"IF(M$30&gt;'Titer Calculation'!$T$6)"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" id="{4CB881B7-409F-4B1D-82EA-B1F710C7C275}">
            <xm:f>IF(N$31&gt;'Titer Calculation'!$T$6,)</xm:f>
            <x14:dxf>
              <fill>
                <patternFill>
                  <bgColor rgb="FFFFFF00"/>
                </patternFill>
              </fill>
            </x14:dxf>
          </x14:cfRule>
          <xm:sqref>N28:N29 N31</xm:sqref>
        </x14:conditionalFormatting>
        <x14:conditionalFormatting xmlns:xm="http://schemas.microsoft.com/office/excel/2006/main">
          <x14:cfRule type="expression" priority="27" id="{DC7B752D-A0B3-49AE-BAFE-73A470B07A61}">
            <xm:f>IF(N$31&gt;'Titer Calculation'!$T$6,)</xm:f>
            <x14:dxf>
              <fill>
                <patternFill>
                  <bgColor rgb="FFFFFF00"/>
                </patternFill>
              </fill>
            </x14:dxf>
          </x14:cfRule>
          <xm:sqref>N30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R5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27" activeCellId="0" sqref="O27"/>
    </sheetView>
  </sheetViews>
  <sheetFormatPr defaultColWidth="9.1484375" defaultRowHeight="15" zeroHeight="false" outlineLevelRow="0" outlineLevelCol="0"/>
  <cols>
    <col collapsed="false" customWidth="false" hidden="false" outlineLevel="0" max="2" min="1" style="46" width="9.14"/>
    <col collapsed="false" customWidth="true" hidden="false" outlineLevel="0" max="3" min="3" style="46" width="14.42"/>
    <col collapsed="false" customWidth="true" hidden="false" outlineLevel="0" max="4" min="4" style="46" width="14.29"/>
    <col collapsed="false" customWidth="true" hidden="false" outlineLevel="0" max="5" min="5" style="46" width="13.15"/>
    <col collapsed="false" customWidth="true" hidden="false" outlineLevel="0" max="6" min="6" style="46" width="12.86"/>
    <col collapsed="false" customWidth="true" hidden="false" outlineLevel="0" max="7" min="7" style="46" width="13.15"/>
    <col collapsed="false" customWidth="true" hidden="false" outlineLevel="0" max="8" min="8" style="46" width="12.86"/>
    <col collapsed="false" customWidth="true" hidden="false" outlineLevel="0" max="9" min="9" style="46" width="13.15"/>
    <col collapsed="false" customWidth="true" hidden="false" outlineLevel="0" max="10" min="10" style="46" width="12.86"/>
    <col collapsed="false" customWidth="true" hidden="false" outlineLevel="0" max="11" min="11" style="46" width="13.15"/>
    <col collapsed="false" customWidth="true" hidden="false" outlineLevel="0" max="13" min="12" style="46" width="12.86"/>
    <col collapsed="false" customWidth="true" hidden="false" outlineLevel="0" max="14" min="14" style="46" width="17.71"/>
    <col collapsed="false" customWidth="false" hidden="false" outlineLevel="0" max="17" min="15" style="46" width="9.14"/>
    <col collapsed="false" customWidth="true" hidden="false" outlineLevel="0" max="18" min="18" style="46" width="27"/>
    <col collapsed="false" customWidth="false" hidden="false" outlineLevel="0" max="31" min="19" style="46" width="9.14"/>
    <col collapsed="false" customWidth="true" hidden="false" outlineLevel="0" max="32" min="32" style="46" width="29.29"/>
    <col collapsed="false" customWidth="true" hidden="false" outlineLevel="0" max="33" min="33" style="46" width="11"/>
    <col collapsed="false" customWidth="true" hidden="false" outlineLevel="0" max="35" min="34" style="46" width="11.14"/>
    <col collapsed="false" customWidth="true" hidden="false" outlineLevel="0" max="36" min="36" style="46" width="11.29"/>
    <col collapsed="false" customWidth="true" hidden="false" outlineLevel="0" max="39" min="37" style="46" width="11.14"/>
    <col collapsed="false" customWidth="true" hidden="false" outlineLevel="0" max="44" min="40" style="46" width="9.57"/>
    <col collapsed="false" customWidth="false" hidden="false" outlineLevel="0" max="16384" min="45" style="46" width="9.14"/>
  </cols>
  <sheetData>
    <row r="1" customFormat="false" ht="15.75" hidden="false" customHeight="false" outlineLevel="0" collapsed="false">
      <c r="A1" s="58" t="s">
        <v>192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83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</row>
    <row r="2" customFormat="false" ht="18" hidden="false" customHeight="false" outlineLevel="0" collapsed="false">
      <c r="A2" s="59" t="s">
        <v>262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44"/>
      <c r="Q2" s="83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</row>
    <row r="3" customFormat="false" ht="18" hidden="false" customHeight="false" outlineLevel="0" collapsed="false">
      <c r="A3" s="65"/>
      <c r="B3" s="58"/>
      <c r="C3" s="145"/>
      <c r="D3" s="78"/>
      <c r="E3" s="78"/>
      <c r="F3" s="69"/>
      <c r="G3" s="69"/>
      <c r="H3" s="69"/>
      <c r="I3" s="69"/>
      <c r="J3" s="69"/>
      <c r="K3" s="69"/>
      <c r="L3" s="69"/>
      <c r="M3" s="69"/>
      <c r="N3" s="69"/>
      <c r="O3" s="69"/>
      <c r="P3" s="44"/>
      <c r="Q3" s="83"/>
      <c r="R3" s="44"/>
      <c r="S3" s="44"/>
      <c r="T3" s="44"/>
      <c r="U3" s="44"/>
      <c r="V3" s="44"/>
      <c r="W3" s="44"/>
      <c r="X3" s="44"/>
      <c r="Y3" s="146"/>
      <c r="Z3" s="147"/>
      <c r="AA3" s="75"/>
      <c r="AB3" s="75"/>
      <c r="AC3" s="75"/>
      <c r="AD3" s="75"/>
      <c r="AE3" s="76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</row>
    <row r="4" customFormat="false" ht="26.25" hidden="false" customHeight="false" outlineLevel="0" collapsed="false">
      <c r="A4" s="182"/>
      <c r="B4" s="78"/>
      <c r="C4" s="183" t="s">
        <v>263</v>
      </c>
      <c r="D4" s="78"/>
      <c r="E4" s="79"/>
      <c r="F4" s="69"/>
      <c r="G4" s="69"/>
      <c r="H4" s="69"/>
      <c r="I4" s="69"/>
      <c r="J4" s="69"/>
      <c r="K4" s="69"/>
      <c r="L4" s="69"/>
      <c r="M4" s="69"/>
      <c r="N4" s="69"/>
      <c r="O4" s="69"/>
      <c r="P4" s="44"/>
      <c r="Q4" s="83"/>
      <c r="R4" s="44"/>
      <c r="S4" s="44"/>
      <c r="T4" s="44"/>
      <c r="U4" s="44"/>
      <c r="V4" s="44"/>
      <c r="W4" s="44"/>
      <c r="X4" s="95"/>
      <c r="Y4" s="44"/>
      <c r="Z4" s="147"/>
      <c r="AA4" s="75"/>
      <c r="AB4" s="75"/>
      <c r="AC4" s="75"/>
      <c r="AD4" s="75"/>
      <c r="AE4" s="8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</row>
    <row r="5" customFormat="false" ht="15.75" hidden="false" customHeight="false" outlineLevel="0" collapsed="false">
      <c r="A5" s="44"/>
      <c r="B5" s="44"/>
      <c r="C5" s="42"/>
      <c r="D5" s="44"/>
      <c r="E5" s="42"/>
      <c r="F5" s="58"/>
      <c r="G5" s="58"/>
      <c r="H5" s="58"/>
      <c r="I5" s="58"/>
      <c r="J5" s="58"/>
      <c r="K5" s="58"/>
      <c r="L5" s="58"/>
      <c r="M5" s="58"/>
      <c r="N5" s="58"/>
      <c r="O5" s="58"/>
      <c r="P5" s="44"/>
      <c r="Q5" s="83"/>
      <c r="R5" s="44" t="s">
        <v>264</v>
      </c>
      <c r="S5" s="44"/>
      <c r="T5" s="44"/>
      <c r="U5" s="44"/>
      <c r="V5" s="44"/>
      <c r="W5" s="44"/>
      <c r="X5" s="95"/>
      <c r="Y5" s="146"/>
      <c r="Z5" s="148"/>
      <c r="AA5" s="84"/>
      <c r="AB5" s="84"/>
      <c r="AC5" s="84"/>
      <c r="AD5" s="85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</row>
    <row r="6" customFormat="false" ht="21" hidden="false" customHeight="false" outlineLevel="0" collapsed="false">
      <c r="A6" s="44"/>
      <c r="B6" s="185" t="s">
        <v>265</v>
      </c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95"/>
      <c r="P6" s="95"/>
      <c r="Q6" s="186"/>
      <c r="R6" s="44" t="s">
        <v>266</v>
      </c>
      <c r="S6" s="44"/>
      <c r="T6" s="44"/>
      <c r="U6" s="44"/>
      <c r="V6" s="44"/>
      <c r="W6" s="44"/>
      <c r="X6" s="95"/>
      <c r="Y6" s="44"/>
      <c r="Z6" s="149"/>
      <c r="AA6" s="85"/>
      <c r="AB6" s="85"/>
      <c r="AC6" s="85"/>
      <c r="AD6" s="85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</row>
    <row r="7" customFormat="false" ht="15.75" hidden="false" customHeight="false" outlineLevel="0" collapsed="false">
      <c r="A7" s="58" t="s">
        <v>267</v>
      </c>
      <c r="B7" s="42"/>
      <c r="C7" s="44"/>
      <c r="D7" s="44"/>
      <c r="E7" s="44"/>
      <c r="F7" s="44"/>
      <c r="G7" s="44"/>
      <c r="H7" s="44"/>
      <c r="I7" s="44"/>
      <c r="J7" s="44"/>
      <c r="K7" s="44"/>
      <c r="L7" s="58"/>
      <c r="M7" s="58"/>
      <c r="N7" s="58"/>
      <c r="O7" s="58"/>
      <c r="P7" s="95"/>
      <c r="Q7" s="186"/>
      <c r="R7" s="44"/>
      <c r="S7" s="44"/>
      <c r="T7" s="42"/>
      <c r="U7" s="44"/>
      <c r="V7" s="44" t="s">
        <v>268</v>
      </c>
      <c r="W7" s="44"/>
      <c r="X7" s="95"/>
      <c r="Y7" s="187"/>
      <c r="Z7" s="44" t="s">
        <v>269</v>
      </c>
      <c r="AA7" s="44"/>
      <c r="AB7" s="44"/>
      <c r="AC7" s="44"/>
      <c r="AD7" s="85"/>
      <c r="AE7" s="44" t="s">
        <v>270</v>
      </c>
      <c r="AF7" s="44"/>
      <c r="AG7" s="44"/>
      <c r="AH7" s="44"/>
      <c r="AI7" s="44"/>
      <c r="AJ7" s="44"/>
      <c r="AK7" s="44"/>
      <c r="AL7" s="44"/>
      <c r="AM7" s="44"/>
      <c r="AN7" s="44"/>
      <c r="AO7" s="42"/>
      <c r="AP7" s="44"/>
      <c r="AQ7" s="44"/>
      <c r="AR7" s="44"/>
    </row>
    <row r="8" customFormat="false" ht="15.75" hidden="false" customHeight="false" outlineLevel="0" collapsed="false">
      <c r="A8" s="116"/>
      <c r="B8" s="97"/>
      <c r="C8" s="97" t="n">
        <v>1</v>
      </c>
      <c r="D8" s="97" t="n">
        <v>2</v>
      </c>
      <c r="E8" s="97" t="n">
        <v>3</v>
      </c>
      <c r="F8" s="97" t="n">
        <v>4</v>
      </c>
      <c r="G8" s="97" t="n">
        <v>5</v>
      </c>
      <c r="H8" s="97" t="n">
        <v>6</v>
      </c>
      <c r="I8" s="97" t="n">
        <v>7</v>
      </c>
      <c r="J8" s="97" t="n">
        <v>8</v>
      </c>
      <c r="K8" s="97" t="n">
        <v>9</v>
      </c>
      <c r="L8" s="97" t="n">
        <v>10</v>
      </c>
      <c r="M8" s="98" t="n">
        <v>11</v>
      </c>
      <c r="N8" s="98" t="n">
        <v>12</v>
      </c>
      <c r="O8" s="42"/>
      <c r="P8" s="42"/>
      <c r="Q8" s="188"/>
      <c r="R8" s="42"/>
      <c r="S8" s="42"/>
      <c r="T8" s="99"/>
      <c r="U8" s="44"/>
      <c r="V8" s="44"/>
      <c r="W8" s="44" t="s">
        <v>271</v>
      </c>
      <c r="X8" s="95"/>
      <c r="Y8" s="187"/>
      <c r="Z8" s="44"/>
      <c r="AA8" s="44" t="s">
        <v>271</v>
      </c>
      <c r="AB8" s="95"/>
      <c r="AC8" s="187"/>
      <c r="AD8" s="85"/>
      <c r="AE8" s="44"/>
      <c r="AF8" s="44" t="s">
        <v>271</v>
      </c>
      <c r="AG8" s="44"/>
      <c r="AH8" s="44"/>
      <c r="AI8" s="44"/>
      <c r="AJ8" s="44"/>
      <c r="AK8" s="44"/>
      <c r="AL8" s="44"/>
      <c r="AM8" s="44"/>
      <c r="AN8" s="44"/>
      <c r="AO8" s="99"/>
      <c r="AP8" s="44"/>
      <c r="AQ8" s="44"/>
      <c r="AR8" s="44"/>
    </row>
    <row r="9" customFormat="false" ht="16.5" hidden="false" customHeight="false" outlineLevel="0" collapsed="false">
      <c r="A9" s="97" t="s">
        <v>166</v>
      </c>
      <c r="B9" s="97" t="s">
        <v>226</v>
      </c>
      <c r="C9" s="95" t="str">
        <f aca="false">'Titer Calculation'!C9</f>
        <v>pALD-eGFP</v>
      </c>
      <c r="D9" s="95" t="str">
        <f aca="false">'Titer Calculation'!D9</f>
        <v>pCTX</v>
      </c>
      <c r="E9" s="95" t="str">
        <f aca="false">'Titer Calculation'!E9</f>
        <v>pCTX</v>
      </c>
      <c r="F9" s="95" t="str">
        <f aca="false">'Titer Calculation'!F9</f>
        <v>pCTX</v>
      </c>
      <c r="G9" s="95" t="str">
        <f aca="false">'Titer Calculation'!G9</f>
        <v>pCTX</v>
      </c>
      <c r="H9" s="95" t="str">
        <f aca="false">'Titer Calculation'!H9</f>
        <v>pCTX</v>
      </c>
      <c r="I9" s="95" t="str">
        <f aca="false">'Titer Calculation'!I9</f>
        <v>pCTX</v>
      </c>
      <c r="J9" s="95" t="str">
        <f aca="false">'Titer Calculation'!J9</f>
        <v>pCTX</v>
      </c>
      <c r="K9" s="95" t="str">
        <f aca="false">'Titer Calculation'!K9</f>
        <v>pCTX</v>
      </c>
      <c r="L9" s="95" t="str">
        <f aca="false">'Titer Calculation'!L9</f>
        <v>pCTX</v>
      </c>
      <c r="M9" s="95" t="str">
        <f aca="false">'Titer Calculation'!M9</f>
        <v>pCTX</v>
      </c>
      <c r="N9" s="95" t="str">
        <f aca="false">'Titer Calculation'!N9</f>
        <v>pCTX</v>
      </c>
      <c r="O9" s="44"/>
      <c r="P9" s="95"/>
      <c r="Q9" s="191"/>
      <c r="R9" s="99"/>
      <c r="S9" s="99"/>
      <c r="T9" s="44"/>
      <c r="U9" s="44"/>
      <c r="V9" s="44" t="s">
        <v>272</v>
      </c>
      <c r="W9" s="44" t="s">
        <v>273</v>
      </c>
      <c r="X9" s="44" t="s">
        <v>274</v>
      </c>
      <c r="Y9" s="44"/>
      <c r="Z9" s="44" t="s">
        <v>272</v>
      </c>
      <c r="AA9" s="44" t="s">
        <v>273</v>
      </c>
      <c r="AB9" s="44" t="s">
        <v>274</v>
      </c>
      <c r="AC9" s="44"/>
      <c r="AD9" s="85"/>
      <c r="AE9" s="44" t="s">
        <v>272</v>
      </c>
      <c r="AF9" s="44" t="s">
        <v>273</v>
      </c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</row>
    <row r="10" customFormat="false" ht="15.75" hidden="false" customHeight="false" outlineLevel="0" collapsed="false">
      <c r="A10" s="97" t="s">
        <v>167</v>
      </c>
      <c r="B10" s="97" t="n">
        <f aca="false">'Titer Calculation'!B10</f>
        <v>5</v>
      </c>
      <c r="C10" s="102" t="str">
        <f aca="false">IFERROR(IF(AND('Titer Calculation'!C10&lt;='Titer Calculation'!$T$4,'Titer Calculation'!C10&gt;'Titer Calculation'!$T$5), 'Titer Calculation'!C10," "), "")</f>
        <v> </v>
      </c>
      <c r="D10" s="102" t="str">
        <f aca="false">IFERROR(IF(AND('Titer Calculation'!D10&lt;='Titer Calculation'!$T$4,'Titer Calculation'!D10&gt;'Titer Calculation'!$T$5), 'Titer Calculation'!D10," "), "")</f>
        <v> </v>
      </c>
      <c r="E10" s="102" t="str">
        <f aca="false">IFERROR(IF(AND('Titer Calculation'!E10&lt;='Titer Calculation'!$T$4,'Titer Calculation'!E10&gt;'Titer Calculation'!$T$5), 'Titer Calculation'!E10," "), "")</f>
        <v> </v>
      </c>
      <c r="F10" s="102" t="str">
        <f aca="false">IFERROR(IF(AND('Titer Calculation'!F10&lt;='Titer Calculation'!$T$4,'Titer Calculation'!F10&gt;'Titer Calculation'!$T$5), 'Titer Calculation'!F10," "), "")</f>
        <v> </v>
      </c>
      <c r="G10" s="102" t="str">
        <f aca="false">IFERROR(IF(AND('Titer Calculation'!G10&lt;='Titer Calculation'!$T$4,'Titer Calculation'!G10&gt;'Titer Calculation'!$T$5), 'Titer Calculation'!G10," "), "")</f>
        <v> </v>
      </c>
      <c r="H10" s="102" t="str">
        <f aca="false">IFERROR(IF(AND('Titer Calculation'!H10&lt;='Titer Calculation'!$T$4,'Titer Calculation'!H10&gt;'Titer Calculation'!$T$5), 'Titer Calculation'!H10," "), "")</f>
        <v> </v>
      </c>
      <c r="I10" s="102" t="str">
        <f aca="false">IFERROR(IF(AND('Titer Calculation'!I10&lt;='Titer Calculation'!$T$4,'Titer Calculation'!I10&gt;'Titer Calculation'!$T$5), 'Titer Calculation'!I10," "), "")</f>
        <v> </v>
      </c>
      <c r="J10" s="102" t="str">
        <f aca="false">IFERROR(IF(AND('Titer Calculation'!J10&lt;='Titer Calculation'!$T$4,'Titer Calculation'!J10&gt;'Titer Calculation'!$T$5), 'Titer Calculation'!J10," "), "")</f>
        <v> </v>
      </c>
      <c r="K10" s="102" t="str">
        <f aca="false">IFERROR(IF(AND('Titer Calculation'!K10&lt;='Titer Calculation'!$T$4,'Titer Calculation'!K10&gt;'Titer Calculation'!$T$5), 'Titer Calculation'!K10," "), "")</f>
        <v> </v>
      </c>
      <c r="L10" s="102" t="str">
        <f aca="false">IFERROR(IF(AND('Titer Calculation'!L10&lt;='Titer Calculation'!$T$4,'Titer Calculation'!L10&gt;'Titer Calculation'!$T$5), 'Titer Calculation'!L10," "), "")</f>
        <v> </v>
      </c>
      <c r="M10" s="102" t="str">
        <f aca="false">IFERROR(IF(AND('Titer Calculation'!M10&lt;='Titer Calculation'!$T$4,'Titer Calculation'!M10&gt;'Titer Calculation'!$T$5), 'Titer Calculation'!M10," "), "")</f>
        <v> </v>
      </c>
      <c r="N10" s="102" t="str">
        <f aca="false">IFERROR(IF(AND('Titer Calculation'!N10&lt;='Titer Calculation'!$T$4,'Titer Calculation'!N10&gt;'Titer Calculation'!$T$5), 'Titer Calculation'!N10," "), "")</f>
        <v> </v>
      </c>
      <c r="O10" s="44"/>
      <c r="P10" s="42"/>
      <c r="Q10" s="83"/>
      <c r="R10" s="44"/>
      <c r="S10" s="44"/>
      <c r="T10" s="44"/>
      <c r="U10" s="44"/>
      <c r="V10" s="193" t="n">
        <v>2</v>
      </c>
      <c r="W10" s="194" t="s">
        <v>275</v>
      </c>
      <c r="X10" s="195" t="n">
        <v>61</v>
      </c>
      <c r="Y10" s="44"/>
      <c r="Z10" s="193" t="n">
        <v>2</v>
      </c>
      <c r="AA10" s="194" t="s">
        <v>276</v>
      </c>
      <c r="AB10" s="288" t="n">
        <v>222</v>
      </c>
      <c r="AC10" s="44" t="n">
        <f aca="false">COMBIN(7,Z10)</f>
        <v>21</v>
      </c>
      <c r="AD10" s="85"/>
      <c r="AE10" s="193" t="n">
        <v>2</v>
      </c>
      <c r="AF10" s="289" t="n">
        <v>367</v>
      </c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</row>
    <row r="11" customFormat="false" ht="15.75" hidden="false" customHeight="false" outlineLevel="0" collapsed="false">
      <c r="A11" s="97" t="s">
        <v>168</v>
      </c>
      <c r="B11" s="97" t="n">
        <f aca="false">'Titer Calculation'!B11</f>
        <v>25</v>
      </c>
      <c r="C11" s="102" t="str">
        <f aca="false">IFERROR(IF(AND('Titer Calculation'!C11&lt;='Titer Calculation'!$T$4,'Titer Calculation'!C11&gt;'Titer Calculation'!$T$5), 'Titer Calculation'!C11," "), "")</f>
        <v> </v>
      </c>
      <c r="D11" s="102" t="str">
        <f aca="false">IFERROR(IF(AND('Titer Calculation'!D11&lt;='Titer Calculation'!$T$4,'Titer Calculation'!D11&gt;'Titer Calculation'!$T$5), 'Titer Calculation'!D11," "), "")</f>
        <v> </v>
      </c>
      <c r="E11" s="102" t="str">
        <f aca="false">IFERROR(IF(AND('Titer Calculation'!E11&lt;='Titer Calculation'!$T$4,'Titer Calculation'!E11&gt;'Titer Calculation'!$T$5), 'Titer Calculation'!E11," "), "")</f>
        <v> </v>
      </c>
      <c r="F11" s="102" t="str">
        <f aca="false">IFERROR(IF(AND('Titer Calculation'!F11&lt;='Titer Calculation'!$T$4,'Titer Calculation'!F11&gt;'Titer Calculation'!$T$5), 'Titer Calculation'!F11," "), "")</f>
        <v> </v>
      </c>
      <c r="G11" s="102" t="str">
        <f aca="false">IFERROR(IF(AND('Titer Calculation'!G11&lt;='Titer Calculation'!$T$4,'Titer Calculation'!G11&gt;'Titer Calculation'!$T$5), 'Titer Calculation'!G11," "), "")</f>
        <v> </v>
      </c>
      <c r="H11" s="102" t="str">
        <f aca="false">IFERROR(IF(AND('Titer Calculation'!H11&lt;='Titer Calculation'!$T$4,'Titer Calculation'!H11&gt;'Titer Calculation'!$T$5), 'Titer Calculation'!H11," "), "")</f>
        <v> </v>
      </c>
      <c r="I11" s="102" t="str">
        <f aca="false">IFERROR(IF(AND('Titer Calculation'!I11&lt;='Titer Calculation'!$T$4,'Titer Calculation'!I11&gt;'Titer Calculation'!$T$5), 'Titer Calculation'!I11," "), "")</f>
        <v> </v>
      </c>
      <c r="J11" s="102" t="str">
        <f aca="false">IFERROR(IF(AND('Titer Calculation'!J11&lt;='Titer Calculation'!$T$4,'Titer Calculation'!J11&gt;'Titer Calculation'!$T$5), 'Titer Calculation'!J11," "), "")</f>
        <v> </v>
      </c>
      <c r="K11" s="102" t="str">
        <f aca="false">IFERROR(IF(AND('Titer Calculation'!K11&lt;='Titer Calculation'!$T$4,'Titer Calculation'!K11&gt;'Titer Calculation'!$T$5), 'Titer Calculation'!K11," "), "")</f>
        <v> </v>
      </c>
      <c r="L11" s="102" t="str">
        <f aca="false">IFERROR(IF(AND('Titer Calculation'!L11&lt;='Titer Calculation'!$T$4,'Titer Calculation'!L11&gt;'Titer Calculation'!$T$5), 'Titer Calculation'!L11," "), "")</f>
        <v> </v>
      </c>
      <c r="M11" s="102" t="str">
        <f aca="false">IFERROR(IF(AND('Titer Calculation'!M11&lt;='Titer Calculation'!$T$4,'Titer Calculation'!M11&gt;'Titer Calculation'!$T$5), 'Titer Calculation'!M11," "), "")</f>
        <v> </v>
      </c>
      <c r="N11" s="102" t="str">
        <f aca="false">IFERROR(IF(AND('Titer Calculation'!N11&lt;='Titer Calculation'!$T$4,'Titer Calculation'!N11&gt;'Titer Calculation'!$T$5), 'Titer Calculation'!N11," "), "")</f>
        <v> </v>
      </c>
      <c r="O11" s="44"/>
      <c r="P11" s="44"/>
      <c r="Q11" s="83"/>
      <c r="R11" s="44"/>
      <c r="S11" s="44"/>
      <c r="T11" s="44"/>
      <c r="U11" s="44"/>
      <c r="V11" s="200" t="n">
        <v>3</v>
      </c>
      <c r="W11" s="146" t="n">
        <v>62</v>
      </c>
      <c r="X11" s="201" t="n">
        <v>96</v>
      </c>
      <c r="Y11" s="44"/>
      <c r="Z11" s="200" t="n">
        <v>3</v>
      </c>
      <c r="AA11" s="146" t="n">
        <v>223</v>
      </c>
      <c r="AB11" s="201" t="n">
        <v>258</v>
      </c>
      <c r="AC11" s="44" t="n">
        <f aca="false">COMBIN(7,Z11)</f>
        <v>35</v>
      </c>
      <c r="AD11" s="85"/>
      <c r="AE11" s="200" t="n">
        <v>3</v>
      </c>
      <c r="AF11" s="146" t="n">
        <v>388</v>
      </c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</row>
    <row r="12" customFormat="false" ht="15.75" hidden="false" customHeight="false" outlineLevel="0" collapsed="false">
      <c r="A12" s="97" t="s">
        <v>169</v>
      </c>
      <c r="B12" s="97" t="n">
        <f aca="false">'Titer Calculation'!B12</f>
        <v>125</v>
      </c>
      <c r="C12" s="102" t="str">
        <f aca="false">IFERROR(IF(AND('Titer Calculation'!C12&lt;='Titer Calculation'!$T$4,'Titer Calculation'!C12&gt;'Titer Calculation'!$T$5), 'Titer Calculation'!C12," "), "")</f>
        <v> </v>
      </c>
      <c r="D12" s="102" t="str">
        <f aca="false">IFERROR(IF(AND('Titer Calculation'!D12&lt;='Titer Calculation'!$T$4,'Titer Calculation'!D12&gt;'Titer Calculation'!$T$5), 'Titer Calculation'!D12," "), "")</f>
        <v> </v>
      </c>
      <c r="E12" s="102" t="str">
        <f aca="false">IFERROR(IF(AND('Titer Calculation'!E12&lt;='Titer Calculation'!$T$4,'Titer Calculation'!E12&gt;'Titer Calculation'!$T$5), 'Titer Calculation'!E12," "), "")</f>
        <v> </v>
      </c>
      <c r="F12" s="102" t="str">
        <f aca="false">IFERROR(IF(AND('Titer Calculation'!F12&lt;='Titer Calculation'!$T$4,'Titer Calculation'!F12&gt;'Titer Calculation'!$T$5), 'Titer Calculation'!F12," "), "")</f>
        <v> </v>
      </c>
      <c r="G12" s="102" t="str">
        <f aca="false">IFERROR(IF(AND('Titer Calculation'!G12&lt;='Titer Calculation'!$T$4,'Titer Calculation'!G12&gt;'Titer Calculation'!$T$5), 'Titer Calculation'!G12," "), "")</f>
        <v> </v>
      </c>
      <c r="H12" s="102" t="str">
        <f aca="false">IFERROR(IF(AND('Titer Calculation'!H12&lt;='Titer Calculation'!$T$4,'Titer Calculation'!H12&gt;'Titer Calculation'!$T$5), 'Titer Calculation'!H12," "), "")</f>
        <v> </v>
      </c>
      <c r="I12" s="102" t="str">
        <f aca="false">IFERROR(IF(AND('Titer Calculation'!I12&lt;='Titer Calculation'!$T$4,'Titer Calculation'!I12&gt;'Titer Calculation'!$T$5), 'Titer Calculation'!I12," "), "")</f>
        <v> </v>
      </c>
      <c r="J12" s="102" t="str">
        <f aca="false">IFERROR(IF(AND('Titer Calculation'!J12&lt;='Titer Calculation'!$T$4,'Titer Calculation'!J12&gt;'Titer Calculation'!$T$5), 'Titer Calculation'!J12," "), "")</f>
        <v> </v>
      </c>
      <c r="K12" s="102" t="str">
        <f aca="false">IFERROR(IF(AND('Titer Calculation'!K12&lt;='Titer Calculation'!$T$4,'Titer Calculation'!K12&gt;'Titer Calculation'!$T$5), 'Titer Calculation'!K12," "), "")</f>
        <v> </v>
      </c>
      <c r="L12" s="102" t="str">
        <f aca="false">IFERROR(IF(AND('Titer Calculation'!L12&lt;='Titer Calculation'!$T$4,'Titer Calculation'!L12&gt;'Titer Calculation'!$T$5), 'Titer Calculation'!L12," "), "")</f>
        <v> </v>
      </c>
      <c r="M12" s="102" t="str">
        <f aca="false">IFERROR(IF(AND('Titer Calculation'!M12&lt;='Titer Calculation'!$T$4,'Titer Calculation'!M12&gt;'Titer Calculation'!$T$5), 'Titer Calculation'!M12," "), "")</f>
        <v> </v>
      </c>
      <c r="N12" s="102" t="str">
        <f aca="false">IFERROR(IF(AND('Titer Calculation'!N12&lt;='Titer Calculation'!$T$4,'Titer Calculation'!N12&gt;'Titer Calculation'!$T$5), 'Titer Calculation'!N12," "), "")</f>
        <v> </v>
      </c>
      <c r="O12" s="44"/>
      <c r="P12" s="44"/>
      <c r="Q12" s="83"/>
      <c r="R12" s="44"/>
      <c r="S12" s="44"/>
      <c r="T12" s="44"/>
      <c r="U12" s="44"/>
      <c r="V12" s="200" t="n">
        <v>4</v>
      </c>
      <c r="W12" s="146" t="n">
        <v>97</v>
      </c>
      <c r="X12" s="201" t="n">
        <v>131</v>
      </c>
      <c r="Y12" s="44"/>
      <c r="Z12" s="200" t="n">
        <v>4</v>
      </c>
      <c r="AA12" s="146" t="n">
        <v>259</v>
      </c>
      <c r="AB12" s="201" t="n">
        <v>294</v>
      </c>
      <c r="AC12" s="44" t="n">
        <f aca="false">COMBIN(7,Z12)</f>
        <v>35</v>
      </c>
      <c r="AD12" s="44"/>
      <c r="AE12" s="200" t="n">
        <v>4</v>
      </c>
      <c r="AF12" s="146" t="n">
        <v>423</v>
      </c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</row>
    <row r="13" customFormat="false" ht="15.75" hidden="false" customHeight="false" outlineLevel="0" collapsed="false">
      <c r="A13" s="97" t="s">
        <v>170</v>
      </c>
      <c r="B13" s="97" t="n">
        <f aca="false">'Titer Calculation'!B13</f>
        <v>625</v>
      </c>
      <c r="C13" s="102" t="str">
        <f aca="false">IFERROR(IF(AND('Titer Calculation'!C13&lt;='Titer Calculation'!$T$4,'Titer Calculation'!C13&gt;'Titer Calculation'!$T$5), 'Titer Calculation'!C13," "), "")</f>
        <v> </v>
      </c>
      <c r="D13" s="102" t="str">
        <f aca="false">IFERROR(IF(AND('Titer Calculation'!D13&lt;='Titer Calculation'!$T$4,'Titer Calculation'!D13&gt;'Titer Calculation'!$T$5), 'Titer Calculation'!D13," "), "")</f>
        <v> </v>
      </c>
      <c r="E13" s="102" t="str">
        <f aca="false">IFERROR(IF(AND('Titer Calculation'!E13&lt;='Titer Calculation'!$T$4,'Titer Calculation'!E13&gt;'Titer Calculation'!$T$5), 'Titer Calculation'!E13," "), "")</f>
        <v> </v>
      </c>
      <c r="F13" s="102" t="str">
        <f aca="false">IFERROR(IF(AND('Titer Calculation'!F13&lt;='Titer Calculation'!$T$4,'Titer Calculation'!F13&gt;'Titer Calculation'!$T$5), 'Titer Calculation'!F13," "), "")</f>
        <v> </v>
      </c>
      <c r="G13" s="102" t="str">
        <f aca="false">IFERROR(IF(AND('Titer Calculation'!G13&lt;='Titer Calculation'!$T$4,'Titer Calculation'!G13&gt;'Titer Calculation'!$T$5), 'Titer Calculation'!G13," "), "")</f>
        <v> </v>
      </c>
      <c r="H13" s="102" t="str">
        <f aca="false">IFERROR(IF(AND('Titer Calculation'!H13&lt;='Titer Calculation'!$T$4,'Titer Calculation'!H13&gt;'Titer Calculation'!$T$5), 'Titer Calculation'!H13," "), "")</f>
        <v> </v>
      </c>
      <c r="I13" s="102" t="str">
        <f aca="false">IFERROR(IF(AND('Titer Calculation'!I13&lt;='Titer Calculation'!$T$4,'Titer Calculation'!I13&gt;'Titer Calculation'!$T$5), 'Titer Calculation'!I13," "), "")</f>
        <v> </v>
      </c>
      <c r="J13" s="102" t="str">
        <f aca="false">IFERROR(IF(AND('Titer Calculation'!J13&lt;='Titer Calculation'!$T$4,'Titer Calculation'!J13&gt;'Titer Calculation'!$T$5), 'Titer Calculation'!J13," "), "")</f>
        <v> </v>
      </c>
      <c r="K13" s="102" t="str">
        <f aca="false">IFERROR(IF(AND('Titer Calculation'!K13&lt;='Titer Calculation'!$T$4,'Titer Calculation'!K13&gt;'Titer Calculation'!$T$5), 'Titer Calculation'!K13," "), "")</f>
        <v> </v>
      </c>
      <c r="L13" s="102" t="str">
        <f aca="false">IFERROR(IF(AND('Titer Calculation'!L13&lt;='Titer Calculation'!$T$4,'Titer Calculation'!L13&gt;'Titer Calculation'!$T$5), 'Titer Calculation'!L13," "), "")</f>
        <v> </v>
      </c>
      <c r="M13" s="102" t="str">
        <f aca="false">IFERROR(IF(AND('Titer Calculation'!M13&lt;='Titer Calculation'!$T$4,'Titer Calculation'!M13&gt;'Titer Calculation'!$T$5), 'Titer Calculation'!M13," "), "")</f>
        <v> </v>
      </c>
      <c r="N13" s="102" t="str">
        <f aca="false">IFERROR(IF(AND('Titer Calculation'!N13&lt;='Titer Calculation'!$T$4,'Titer Calculation'!N13&gt;'Titer Calculation'!$T$5), 'Titer Calculation'!N13," "), "")</f>
        <v> </v>
      </c>
      <c r="O13" s="44"/>
      <c r="P13" s="44"/>
      <c r="Q13" s="83"/>
      <c r="R13" s="44"/>
      <c r="S13" s="44"/>
      <c r="T13" s="44"/>
      <c r="U13" s="44"/>
      <c r="V13" s="200" t="n">
        <v>5</v>
      </c>
      <c r="W13" s="146" t="n">
        <v>132</v>
      </c>
      <c r="X13" s="201" t="n">
        <v>152</v>
      </c>
      <c r="Y13" s="44"/>
      <c r="Z13" s="200" t="n">
        <v>5</v>
      </c>
      <c r="AA13" s="146" t="n">
        <v>295</v>
      </c>
      <c r="AB13" s="201" t="n">
        <v>316</v>
      </c>
      <c r="AC13" s="44" t="n">
        <f aca="false">COMBIN(7,Z13)</f>
        <v>21</v>
      </c>
      <c r="AD13" s="44"/>
      <c r="AE13" s="200" t="n">
        <v>5</v>
      </c>
      <c r="AF13" s="146" t="n">
        <v>458</v>
      </c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</row>
    <row r="14" customFormat="false" ht="15.75" hidden="false" customHeight="false" outlineLevel="0" collapsed="false">
      <c r="A14" s="97" t="s">
        <v>171</v>
      </c>
      <c r="B14" s="97" t="n">
        <f aca="false">'Titer Calculation'!B14</f>
        <v>3125</v>
      </c>
      <c r="C14" s="102" t="str">
        <f aca="false">IFERROR(IF(AND('Titer Calculation'!C14&lt;='Titer Calculation'!$T$4,'Titer Calculation'!C14&gt;'Titer Calculation'!$T$5), 'Titer Calculation'!C14," "), "")</f>
        <v> </v>
      </c>
      <c r="D14" s="102" t="str">
        <f aca="false">IFERROR(IF(AND('Titer Calculation'!D14&lt;='Titer Calculation'!$T$4,'Titer Calculation'!D14&gt;'Titer Calculation'!$T$5), 'Titer Calculation'!D14," "), "")</f>
        <v> </v>
      </c>
      <c r="E14" s="102" t="str">
        <f aca="false">IFERROR(IF(AND('Titer Calculation'!E14&lt;='Titer Calculation'!$T$4,'Titer Calculation'!E14&gt;'Titer Calculation'!$T$5), 'Titer Calculation'!E14," "), "")</f>
        <v> </v>
      </c>
      <c r="F14" s="102" t="str">
        <f aca="false">IFERROR(IF(AND('Titer Calculation'!F14&lt;='Titer Calculation'!$T$4,'Titer Calculation'!F14&gt;'Titer Calculation'!$T$5), 'Titer Calculation'!F14," "), "")</f>
        <v> </v>
      </c>
      <c r="G14" s="102" t="str">
        <f aca="false">IFERROR(IF(AND('Titer Calculation'!G14&lt;='Titer Calculation'!$T$4,'Titer Calculation'!G14&gt;'Titer Calculation'!$T$5), 'Titer Calculation'!G14," "), "")</f>
        <v> </v>
      </c>
      <c r="H14" s="102" t="str">
        <f aca="false">IFERROR(IF(AND('Titer Calculation'!H14&lt;='Titer Calculation'!$T$4,'Titer Calculation'!H14&gt;'Titer Calculation'!$T$5), 'Titer Calculation'!H14," "), "")</f>
        <v> </v>
      </c>
      <c r="I14" s="102" t="str">
        <f aca="false">IFERROR(IF(AND('Titer Calculation'!I14&lt;='Titer Calculation'!$T$4,'Titer Calculation'!I14&gt;'Titer Calculation'!$T$5), 'Titer Calculation'!I14," "), "")</f>
        <v> </v>
      </c>
      <c r="J14" s="102" t="str">
        <f aca="false">IFERROR(IF(AND('Titer Calculation'!J14&lt;='Titer Calculation'!$T$4,'Titer Calculation'!J14&gt;'Titer Calculation'!$T$5), 'Titer Calculation'!J14," "), "")</f>
        <v> </v>
      </c>
      <c r="K14" s="102" t="str">
        <f aca="false">IFERROR(IF(AND('Titer Calculation'!K14&lt;='Titer Calculation'!$T$4,'Titer Calculation'!K14&gt;'Titer Calculation'!$T$5), 'Titer Calculation'!K14," "), "")</f>
        <v> </v>
      </c>
      <c r="L14" s="102" t="str">
        <f aca="false">IFERROR(IF(AND('Titer Calculation'!L14&lt;='Titer Calculation'!$T$4,'Titer Calculation'!L14&gt;'Titer Calculation'!$T$5), 'Titer Calculation'!L14," "), "")</f>
        <v> </v>
      </c>
      <c r="M14" s="102" t="str">
        <f aca="false">IFERROR(IF(AND('Titer Calculation'!M14&lt;='Titer Calculation'!$T$4,'Titer Calculation'!M14&gt;'Titer Calculation'!$T$5), 'Titer Calculation'!M14," "), "")</f>
        <v> </v>
      </c>
      <c r="N14" s="102" t="str">
        <f aca="false">IFERROR(IF(AND('Titer Calculation'!N14&lt;='Titer Calculation'!$T$4,'Titer Calculation'!N14&gt;'Titer Calculation'!$T$5), 'Titer Calculation'!N14," "), "")</f>
        <v> </v>
      </c>
      <c r="O14" s="44"/>
      <c r="P14" s="44"/>
      <c r="Q14" s="83"/>
      <c r="R14" s="44"/>
      <c r="S14" s="44"/>
      <c r="T14" s="44"/>
      <c r="U14" s="44"/>
      <c r="V14" s="200" t="n">
        <v>6</v>
      </c>
      <c r="W14" s="146" t="n">
        <v>153</v>
      </c>
      <c r="X14" s="201" t="n">
        <v>159</v>
      </c>
      <c r="Y14" s="44"/>
      <c r="Z14" s="200" t="n">
        <v>6</v>
      </c>
      <c r="AA14" s="146" t="n">
        <v>317</v>
      </c>
      <c r="AB14" s="201" t="n">
        <v>324</v>
      </c>
      <c r="AC14" s="44" t="n">
        <f aca="false">COMBIN(7,Z14)</f>
        <v>7</v>
      </c>
      <c r="AD14" s="44"/>
      <c r="AE14" s="200" t="n">
        <v>6</v>
      </c>
      <c r="AF14" s="146" t="n">
        <v>479</v>
      </c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</row>
    <row r="15" customFormat="false" ht="16.5" hidden="false" customHeight="false" outlineLevel="0" collapsed="false">
      <c r="A15" s="97" t="s">
        <v>172</v>
      </c>
      <c r="B15" s="97" t="n">
        <f aca="false">'Titer Calculation'!B15</f>
        <v>15625</v>
      </c>
      <c r="C15" s="102" t="str">
        <f aca="false">IFERROR(IF(AND('Titer Calculation'!C15&lt;='Titer Calculation'!$T$4,'Titer Calculation'!C15&gt;'Titer Calculation'!$T$5), 'Titer Calculation'!C15," "), "")</f>
        <v> </v>
      </c>
      <c r="D15" s="102" t="str">
        <f aca="false">IFERROR(IF(AND('Titer Calculation'!D15&lt;='Titer Calculation'!$T$4,'Titer Calculation'!D15&gt;'Titer Calculation'!$T$5), 'Titer Calculation'!D15," "), "")</f>
        <v> </v>
      </c>
      <c r="E15" s="102" t="str">
        <f aca="false">IFERROR(IF(AND('Titer Calculation'!E15&lt;='Titer Calculation'!$T$4,'Titer Calculation'!E15&gt;'Titer Calculation'!$T$5), 'Titer Calculation'!E15," "), "")</f>
        <v> </v>
      </c>
      <c r="F15" s="102" t="str">
        <f aca="false">IFERROR(IF(AND('Titer Calculation'!F15&lt;='Titer Calculation'!$T$4,'Titer Calculation'!F15&gt;'Titer Calculation'!$T$5), 'Titer Calculation'!F15," "), "")</f>
        <v> </v>
      </c>
      <c r="G15" s="102" t="str">
        <f aca="false">IFERROR(IF(AND('Titer Calculation'!G15&lt;='Titer Calculation'!$T$4,'Titer Calculation'!G15&gt;'Titer Calculation'!$T$5), 'Titer Calculation'!G15," "), "")</f>
        <v> </v>
      </c>
      <c r="H15" s="102" t="str">
        <f aca="false">IFERROR(IF(AND('Titer Calculation'!H15&lt;='Titer Calculation'!$T$4,'Titer Calculation'!H15&gt;'Titer Calculation'!$T$5), 'Titer Calculation'!H15," "), "")</f>
        <v> </v>
      </c>
      <c r="I15" s="102" t="str">
        <f aca="false">IFERROR(IF(AND('Titer Calculation'!I15&lt;='Titer Calculation'!$T$4,'Titer Calculation'!I15&gt;'Titer Calculation'!$T$5), 'Titer Calculation'!I15," "), "")</f>
        <v> </v>
      </c>
      <c r="J15" s="102" t="str">
        <f aca="false">IFERROR(IF(AND('Titer Calculation'!J15&lt;='Titer Calculation'!$T$4,'Titer Calculation'!J15&gt;'Titer Calculation'!$T$5), 'Titer Calculation'!J15," "), "")</f>
        <v> </v>
      </c>
      <c r="K15" s="102" t="str">
        <f aca="false">IFERROR(IF(AND('Titer Calculation'!K15&lt;='Titer Calculation'!$T$4,'Titer Calculation'!K15&gt;'Titer Calculation'!$T$5), 'Titer Calculation'!K15," "), "")</f>
        <v> </v>
      </c>
      <c r="L15" s="102" t="str">
        <f aca="false">IFERROR(IF(AND('Titer Calculation'!L15&lt;='Titer Calculation'!$T$4,'Titer Calculation'!L15&gt;'Titer Calculation'!$T$5), 'Titer Calculation'!L15," "), "")</f>
        <v> </v>
      </c>
      <c r="M15" s="102" t="str">
        <f aca="false">IFERROR(IF(AND('Titer Calculation'!M15&lt;='Titer Calculation'!$T$4,'Titer Calculation'!M15&gt;'Titer Calculation'!$T$5), 'Titer Calculation'!M15," "), "")</f>
        <v> </v>
      </c>
      <c r="N15" s="102" t="str">
        <f aca="false">IFERROR(IF(AND('Titer Calculation'!N15&lt;='Titer Calculation'!$T$4,'Titer Calculation'!N15&gt;'Titer Calculation'!$T$5), 'Titer Calculation'!N15," "), "")</f>
        <v> </v>
      </c>
      <c r="O15" s="44"/>
      <c r="P15" s="44"/>
      <c r="Q15" s="83"/>
      <c r="R15" s="44"/>
      <c r="S15" s="44"/>
      <c r="T15" s="44"/>
      <c r="U15" s="44"/>
      <c r="V15" s="205" t="n">
        <v>7</v>
      </c>
      <c r="W15" s="206" t="n">
        <v>160</v>
      </c>
      <c r="X15" s="207" t="n">
        <v>160</v>
      </c>
      <c r="Y15" s="44"/>
      <c r="Z15" s="205" t="n">
        <v>7</v>
      </c>
      <c r="AA15" s="206" t="n">
        <v>325</v>
      </c>
      <c r="AB15" s="207" t="n">
        <v>325</v>
      </c>
      <c r="AC15" s="44" t="n">
        <f aca="false">COMBIN(7,Z15)</f>
        <v>1</v>
      </c>
      <c r="AD15" s="44"/>
      <c r="AE15" s="205" t="n">
        <v>7</v>
      </c>
      <c r="AF15" s="206" t="n">
        <v>486</v>
      </c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</row>
    <row r="16" customFormat="false" ht="15.75" hidden="false" customHeight="false" outlineLevel="0" collapsed="false">
      <c r="A16" s="97" t="s">
        <v>173</v>
      </c>
      <c r="B16" s="97" t="n">
        <f aca="false">'Titer Calculation'!B16</f>
        <v>78125</v>
      </c>
      <c r="C16" s="102" t="str">
        <f aca="false">IFERROR(IF(AND('Titer Calculation'!C16&lt;='Titer Calculation'!$T$4,'Titer Calculation'!C16&gt;'Titer Calculation'!$T$5), 'Titer Calculation'!C16," "), "")</f>
        <v> </v>
      </c>
      <c r="D16" s="102" t="str">
        <f aca="false">IFERROR(IF(AND('Titer Calculation'!D16&lt;='Titer Calculation'!$T$4,'Titer Calculation'!D16&gt;'Titer Calculation'!$T$5), 'Titer Calculation'!D16," "), "")</f>
        <v> </v>
      </c>
      <c r="E16" s="102" t="str">
        <f aca="false">IFERROR(IF(AND('Titer Calculation'!E16&lt;='Titer Calculation'!$T$4,'Titer Calculation'!E16&gt;'Titer Calculation'!$T$5), 'Titer Calculation'!E16," "), "")</f>
        <v> </v>
      </c>
      <c r="F16" s="102" t="str">
        <f aca="false">IFERROR(IF(AND('Titer Calculation'!F16&lt;='Titer Calculation'!$T$4,'Titer Calculation'!F16&gt;'Titer Calculation'!$T$5), 'Titer Calculation'!F16," "), "")</f>
        <v> </v>
      </c>
      <c r="G16" s="102" t="str">
        <f aca="false">IFERROR(IF(AND('Titer Calculation'!G16&lt;='Titer Calculation'!$T$4,'Titer Calculation'!G16&gt;'Titer Calculation'!$T$5), 'Titer Calculation'!G16," "), "")</f>
        <v> </v>
      </c>
      <c r="H16" s="102" t="str">
        <f aca="false">IFERROR(IF(AND('Titer Calculation'!H16&lt;='Titer Calculation'!$T$4,'Titer Calculation'!H16&gt;'Titer Calculation'!$T$5), 'Titer Calculation'!H16," "), "")</f>
        <v> </v>
      </c>
      <c r="I16" s="102" t="str">
        <f aca="false">IFERROR(IF(AND('Titer Calculation'!I16&lt;='Titer Calculation'!$T$4,'Titer Calculation'!I16&gt;'Titer Calculation'!$T$5), 'Titer Calculation'!I16," "), "")</f>
        <v> </v>
      </c>
      <c r="J16" s="102" t="str">
        <f aca="false">IFERROR(IF(AND('Titer Calculation'!J16&lt;='Titer Calculation'!$T$4,'Titer Calculation'!J16&gt;'Titer Calculation'!$T$5), 'Titer Calculation'!J16," "), "")</f>
        <v> </v>
      </c>
      <c r="K16" s="102" t="str">
        <f aca="false">IFERROR(IF(AND('Titer Calculation'!K16&lt;='Titer Calculation'!$T$4,'Titer Calculation'!K16&gt;'Titer Calculation'!$T$5), 'Titer Calculation'!K16," "), "")</f>
        <v> </v>
      </c>
      <c r="L16" s="102" t="str">
        <f aca="false">IFERROR(IF(AND('Titer Calculation'!L16&lt;='Titer Calculation'!$T$4,'Titer Calculation'!L16&gt;'Titer Calculation'!$T$5), 'Titer Calculation'!L16," "), "")</f>
        <v> </v>
      </c>
      <c r="M16" s="102" t="str">
        <f aca="false">IFERROR(IF(AND('Titer Calculation'!M16&lt;='Titer Calculation'!$T$4,'Titer Calculation'!M16&gt;'Titer Calculation'!$T$5), 'Titer Calculation'!M16," "), "")</f>
        <v> </v>
      </c>
      <c r="N16" s="102" t="str">
        <f aca="false">IFERROR(IF(AND('Titer Calculation'!N16&lt;='Titer Calculation'!$T$4,'Titer Calculation'!N16&gt;'Titer Calculation'!$T$5), 'Titer Calculation'!N16," "), "")</f>
        <v> </v>
      </c>
      <c r="O16" s="44"/>
      <c r="P16" s="44"/>
      <c r="Q16" s="83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</row>
    <row r="17" customFormat="false" ht="15.75" hidden="false" customHeight="false" outlineLevel="0" collapsed="false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83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</row>
    <row r="18" customFormat="false" ht="21" hidden="false" customHeight="false" outlineLevel="0" collapsed="false">
      <c r="A18" s="44"/>
      <c r="B18" s="34"/>
      <c r="C18" s="44"/>
      <c r="D18" s="44"/>
      <c r="E18" s="114"/>
      <c r="F18" s="114"/>
      <c r="G18" s="44"/>
      <c r="H18" s="115"/>
      <c r="I18" s="44"/>
      <c r="J18" s="58"/>
      <c r="K18" s="44"/>
      <c r="L18" s="44"/>
      <c r="M18" s="44"/>
      <c r="N18" s="44"/>
      <c r="O18" s="44"/>
      <c r="P18" s="44"/>
      <c r="Q18" s="83"/>
      <c r="R18" s="185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</row>
    <row r="19" customFormat="false" ht="15.75" hidden="false" customHeight="false" outlineLevel="0" collapsed="false">
      <c r="A19" s="42" t="s">
        <v>239</v>
      </c>
      <c r="B19" s="42"/>
      <c r="C19" s="97" t="n">
        <f aca="false">C8</f>
        <v>1</v>
      </c>
      <c r="D19" s="97" t="n">
        <f aca="false">D8</f>
        <v>2</v>
      </c>
      <c r="E19" s="97" t="n">
        <f aca="false">E8</f>
        <v>3</v>
      </c>
      <c r="F19" s="97" t="n">
        <f aca="false">F8</f>
        <v>4</v>
      </c>
      <c r="G19" s="97" t="n">
        <f aca="false">G8</f>
        <v>5</v>
      </c>
      <c r="H19" s="97" t="n">
        <f aca="false">H8</f>
        <v>6</v>
      </c>
      <c r="I19" s="97" t="n">
        <f aca="false">I8</f>
        <v>7</v>
      </c>
      <c r="J19" s="97" t="n">
        <f aca="false">J8</f>
        <v>8</v>
      </c>
      <c r="K19" s="97" t="n">
        <f aca="false">K8</f>
        <v>9</v>
      </c>
      <c r="L19" s="98" t="n">
        <f aca="false">L8</f>
        <v>10</v>
      </c>
      <c r="M19" s="98" t="n">
        <f aca="false">M8</f>
        <v>11</v>
      </c>
      <c r="N19" s="98" t="n">
        <f aca="false">N8</f>
        <v>12</v>
      </c>
      <c r="O19" s="42"/>
      <c r="P19" s="42"/>
      <c r="Q19" s="83"/>
      <c r="R19" s="44"/>
      <c r="S19" s="44"/>
      <c r="T19" s="99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99"/>
      <c r="AP19" s="44"/>
      <c r="AQ19" s="44"/>
      <c r="AR19" s="44"/>
    </row>
    <row r="20" customFormat="false" ht="15.75" hidden="false" customHeight="false" outlineLevel="0" collapsed="false">
      <c r="A20" s="116" t="s">
        <v>166</v>
      </c>
      <c r="B20" s="97" t="s">
        <v>226</v>
      </c>
      <c r="C20" s="117" t="str">
        <f aca="false">C9</f>
        <v>pALD-eGFP</v>
      </c>
      <c r="D20" s="117" t="str">
        <f aca="false">D9</f>
        <v>pCTX</v>
      </c>
      <c r="E20" s="118" t="str">
        <f aca="false">E9</f>
        <v>pCTX</v>
      </c>
      <c r="F20" s="118" t="str">
        <f aca="false">F9</f>
        <v>pCTX</v>
      </c>
      <c r="G20" s="118" t="str">
        <f aca="false">G9</f>
        <v>pCTX</v>
      </c>
      <c r="H20" s="118" t="str">
        <f aca="false">H9</f>
        <v>pCTX</v>
      </c>
      <c r="I20" s="118" t="str">
        <f aca="false">I9</f>
        <v>pCTX</v>
      </c>
      <c r="J20" s="118" t="str">
        <f aca="false">J9</f>
        <v>pCTX</v>
      </c>
      <c r="K20" s="118" t="str">
        <f aca="false">K9</f>
        <v>pCTX</v>
      </c>
      <c r="L20" s="118" t="str">
        <f aca="false">L9</f>
        <v>pCTX</v>
      </c>
      <c r="M20" s="118" t="str">
        <f aca="false">M9</f>
        <v>pCTX</v>
      </c>
      <c r="N20" s="119" t="str">
        <f aca="false">N9</f>
        <v>pCTX</v>
      </c>
      <c r="O20" s="99"/>
      <c r="P20" s="99"/>
      <c r="Q20" s="191"/>
      <c r="R20" s="99"/>
      <c r="S20" s="99"/>
      <c r="T20" s="120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120"/>
      <c r="AP20" s="44"/>
      <c r="AQ20" s="44"/>
      <c r="AR20" s="44"/>
    </row>
    <row r="21" customFormat="false" ht="15.75" hidden="false" customHeight="false" outlineLevel="0" collapsed="false">
      <c r="A21" s="97" t="s">
        <v>167</v>
      </c>
      <c r="B21" s="97" t="n">
        <f aca="false">'Titer Calculation'!B10</f>
        <v>5</v>
      </c>
      <c r="C21" s="121" t="e">
        <f aca="false">(C10/100)*10000*$B21*10</f>
        <v>#VALUE!</v>
      </c>
      <c r="D21" s="121" t="e">
        <f aca="false">(D10/100)*10000*$B21*10</f>
        <v>#VALUE!</v>
      </c>
      <c r="E21" s="121" t="e">
        <f aca="false">(E10/100)*10000*$B21*10</f>
        <v>#VALUE!</v>
      </c>
      <c r="F21" s="121" t="e">
        <f aca="false">(F10/100)*10000*$B21*10</f>
        <v>#VALUE!</v>
      </c>
      <c r="G21" s="121" t="e">
        <f aca="false">(G10/100)*10000*$B21*10</f>
        <v>#VALUE!</v>
      </c>
      <c r="H21" s="121" t="e">
        <f aca="false">(H10/100)*10000*$B21*10</f>
        <v>#VALUE!</v>
      </c>
      <c r="I21" s="121" t="e">
        <f aca="false">(I10/100)*10000*$B21*10</f>
        <v>#VALUE!</v>
      </c>
      <c r="J21" s="121" t="e">
        <f aca="false">(J10/100)*10000*$B21*10</f>
        <v>#VALUE!</v>
      </c>
      <c r="K21" s="121" t="e">
        <f aca="false">(K10/100)*10000*$B21*10</f>
        <v>#VALUE!</v>
      </c>
      <c r="L21" s="121" t="e">
        <f aca="false">(L10/100)*10000*$B21*10</f>
        <v>#VALUE!</v>
      </c>
      <c r="M21" s="121" t="e">
        <f aca="false">(M10/100)*10000*$B21*10</f>
        <v>#VALUE!</v>
      </c>
      <c r="N21" s="121" t="e">
        <f aca="false">(N10/100)*10000*$B21*10</f>
        <v>#VALUE!</v>
      </c>
      <c r="O21" s="120"/>
      <c r="P21" s="44"/>
      <c r="Q21" s="83"/>
      <c r="R21" s="120"/>
      <c r="S21" s="44"/>
      <c r="T21" s="120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120"/>
      <c r="AP21" s="44"/>
      <c r="AQ21" s="44"/>
      <c r="AR21" s="44"/>
    </row>
    <row r="22" customFormat="false" ht="15.75" hidden="false" customHeight="false" outlineLevel="0" collapsed="false">
      <c r="A22" s="97" t="s">
        <v>168</v>
      </c>
      <c r="B22" s="97" t="n">
        <f aca="false">'Titer Calculation'!B11</f>
        <v>25</v>
      </c>
      <c r="C22" s="121" t="e">
        <f aca="false">(C11/100)*10000*$B22*10</f>
        <v>#VALUE!</v>
      </c>
      <c r="D22" s="121" t="e">
        <f aca="false">(D11/100)*10000*$B22*10</f>
        <v>#VALUE!</v>
      </c>
      <c r="E22" s="121" t="e">
        <f aca="false">(E11/100)*10000*$B22*10</f>
        <v>#VALUE!</v>
      </c>
      <c r="F22" s="121" t="e">
        <f aca="false">(F11/100)*10000*$B22*10</f>
        <v>#VALUE!</v>
      </c>
      <c r="G22" s="121" t="e">
        <f aca="false">(G11/100)*10000*$B22*10</f>
        <v>#VALUE!</v>
      </c>
      <c r="H22" s="121" t="e">
        <f aca="false">(H11/100)*10000*$B22*10</f>
        <v>#VALUE!</v>
      </c>
      <c r="I22" s="121" t="e">
        <f aca="false">(I11/100)*10000*$B22*10</f>
        <v>#VALUE!</v>
      </c>
      <c r="J22" s="121" t="e">
        <f aca="false">(J11/100)*10000*$B22*10</f>
        <v>#VALUE!</v>
      </c>
      <c r="K22" s="121" t="e">
        <f aca="false">(K11/100)*10000*$B22*10</f>
        <v>#VALUE!</v>
      </c>
      <c r="L22" s="121" t="e">
        <f aca="false">(L11/100)*10000*$B22*10</f>
        <v>#VALUE!</v>
      </c>
      <c r="M22" s="121" t="e">
        <f aca="false">(M11/100)*10000*$B22*10</f>
        <v>#VALUE!</v>
      </c>
      <c r="N22" s="121" t="e">
        <f aca="false">(N11/100)*10000*$B22*10</f>
        <v>#VALUE!</v>
      </c>
      <c r="O22" s="120"/>
      <c r="P22" s="44"/>
      <c r="Q22" s="83"/>
      <c r="R22" s="120"/>
      <c r="S22" s="44"/>
      <c r="T22" s="120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120"/>
      <c r="AP22" s="44"/>
      <c r="AQ22" s="44"/>
      <c r="AR22" s="44"/>
    </row>
    <row r="23" customFormat="false" ht="15.75" hidden="false" customHeight="false" outlineLevel="0" collapsed="false">
      <c r="A23" s="97" t="s">
        <v>169</v>
      </c>
      <c r="B23" s="97" t="n">
        <f aca="false">'Titer Calculation'!B12</f>
        <v>125</v>
      </c>
      <c r="C23" s="121" t="e">
        <f aca="false">(C12/100)*10000*$B23*10</f>
        <v>#VALUE!</v>
      </c>
      <c r="D23" s="121" t="e">
        <f aca="false">(D12/100)*10000*$B23*10</f>
        <v>#VALUE!</v>
      </c>
      <c r="E23" s="121" t="e">
        <f aca="false">(E12/100)*10000*$B23*10</f>
        <v>#VALUE!</v>
      </c>
      <c r="F23" s="121" t="e">
        <f aca="false">(F12/100)*10000*$B23*10</f>
        <v>#VALUE!</v>
      </c>
      <c r="G23" s="121" t="e">
        <f aca="false">(G12/100)*10000*$B23*10</f>
        <v>#VALUE!</v>
      </c>
      <c r="H23" s="121" t="e">
        <f aca="false">(H12/100)*10000*$B23*10</f>
        <v>#VALUE!</v>
      </c>
      <c r="I23" s="121" t="e">
        <f aca="false">(I12/100)*10000*$B23*10</f>
        <v>#VALUE!</v>
      </c>
      <c r="J23" s="121" t="e">
        <f aca="false">(J12/100)*10000*$B23*10</f>
        <v>#VALUE!</v>
      </c>
      <c r="K23" s="121" t="e">
        <f aca="false">(K12/100)*10000*$B23*10</f>
        <v>#VALUE!</v>
      </c>
      <c r="L23" s="121" t="e">
        <f aca="false">(L12/100)*10000*$B23*10</f>
        <v>#VALUE!</v>
      </c>
      <c r="M23" s="121" t="e">
        <f aca="false">(M12/100)*10000*$B23*10</f>
        <v>#VALUE!</v>
      </c>
      <c r="N23" s="121" t="e">
        <f aca="false">(N12/100)*10000*$B23*10</f>
        <v>#VALUE!</v>
      </c>
      <c r="O23" s="120"/>
      <c r="P23" s="44"/>
      <c r="Q23" s="83"/>
      <c r="R23" s="120"/>
      <c r="S23" s="44"/>
      <c r="T23" s="120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120"/>
      <c r="AP23" s="44"/>
      <c r="AQ23" s="44"/>
      <c r="AR23" s="44"/>
    </row>
    <row r="24" customFormat="false" ht="15.75" hidden="false" customHeight="false" outlineLevel="0" collapsed="false">
      <c r="A24" s="97" t="s">
        <v>170</v>
      </c>
      <c r="B24" s="97" t="n">
        <f aca="false">'Titer Calculation'!B13</f>
        <v>625</v>
      </c>
      <c r="C24" s="121" t="e">
        <f aca="false">(C13/100)*10000*$B24*10</f>
        <v>#VALUE!</v>
      </c>
      <c r="D24" s="121" t="e">
        <f aca="false">(D13/100)*10000*$B24*10</f>
        <v>#VALUE!</v>
      </c>
      <c r="E24" s="121" t="e">
        <f aca="false">(E13/100)*10000*$B24*10</f>
        <v>#VALUE!</v>
      </c>
      <c r="F24" s="121" t="e">
        <f aca="false">(F13/100)*10000*$B24*10</f>
        <v>#VALUE!</v>
      </c>
      <c r="G24" s="121" t="e">
        <f aca="false">(G13/100)*10000*$B24*10</f>
        <v>#VALUE!</v>
      </c>
      <c r="H24" s="121" t="e">
        <f aca="false">(H13/100)*10000*$B24*10</f>
        <v>#VALUE!</v>
      </c>
      <c r="I24" s="121" t="e">
        <f aca="false">(I13/100)*10000*$B24*10</f>
        <v>#VALUE!</v>
      </c>
      <c r="J24" s="121" t="e">
        <f aca="false">(J13/100)*10000*$B24*10</f>
        <v>#VALUE!</v>
      </c>
      <c r="K24" s="121" t="e">
        <f aca="false">(K13/100)*10000*$B24*10</f>
        <v>#VALUE!</v>
      </c>
      <c r="L24" s="121" t="e">
        <f aca="false">(L13/100)*10000*$B24*10</f>
        <v>#VALUE!</v>
      </c>
      <c r="M24" s="121" t="e">
        <f aca="false">(M13/100)*10000*$B24*10</f>
        <v>#VALUE!</v>
      </c>
      <c r="N24" s="121" t="e">
        <f aca="false">(N13/100)*10000*$B24*10</f>
        <v>#VALUE!</v>
      </c>
      <c r="O24" s="120"/>
      <c r="P24" s="44"/>
      <c r="Q24" s="83"/>
      <c r="R24" s="44"/>
      <c r="S24" s="120"/>
      <c r="T24" s="120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120"/>
      <c r="AP24" s="44"/>
      <c r="AQ24" s="44"/>
      <c r="AR24" s="44"/>
    </row>
    <row r="25" customFormat="false" ht="15.75" hidden="false" customHeight="false" outlineLevel="0" collapsed="false">
      <c r="A25" s="97" t="s">
        <v>171</v>
      </c>
      <c r="B25" s="97" t="n">
        <f aca="false">'Titer Calculation'!B14</f>
        <v>3125</v>
      </c>
      <c r="C25" s="121" t="e">
        <f aca="false">(C14/100)*10000*$B25*10</f>
        <v>#VALUE!</v>
      </c>
      <c r="D25" s="121" t="e">
        <f aca="false">(D14/100)*10000*$B25*10</f>
        <v>#VALUE!</v>
      </c>
      <c r="E25" s="121" t="e">
        <f aca="false">(E14/100)*10000*$B25*10</f>
        <v>#VALUE!</v>
      </c>
      <c r="F25" s="121" t="e">
        <f aca="false">(F14/100)*10000*$B25*10</f>
        <v>#VALUE!</v>
      </c>
      <c r="G25" s="121" t="e">
        <f aca="false">(G14/100)*10000*$B25*10</f>
        <v>#VALUE!</v>
      </c>
      <c r="H25" s="121" t="e">
        <f aca="false">(H14/100)*10000*$B25*10</f>
        <v>#VALUE!</v>
      </c>
      <c r="I25" s="121" t="e">
        <f aca="false">(I14/100)*10000*$B25*10</f>
        <v>#VALUE!</v>
      </c>
      <c r="J25" s="121" t="e">
        <f aca="false">(J14/100)*10000*$B25*10</f>
        <v>#VALUE!</v>
      </c>
      <c r="K25" s="121" t="e">
        <f aca="false">(K14/100)*10000*$B25*10</f>
        <v>#VALUE!</v>
      </c>
      <c r="L25" s="121" t="e">
        <f aca="false">(L14/100)*10000*$B25*10</f>
        <v>#VALUE!</v>
      </c>
      <c r="M25" s="121" t="e">
        <f aca="false">(M14/100)*10000*$B25*10</f>
        <v>#VALUE!</v>
      </c>
      <c r="N25" s="121" t="e">
        <f aca="false">(N14/100)*10000*$B25*10</f>
        <v>#VALUE!</v>
      </c>
      <c r="O25" s="120"/>
      <c r="P25" s="44"/>
      <c r="Q25" s="83"/>
      <c r="R25" s="44"/>
      <c r="S25" s="44"/>
      <c r="T25" s="120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120"/>
      <c r="AP25" s="44"/>
      <c r="AQ25" s="44"/>
      <c r="AR25" s="44"/>
    </row>
    <row r="26" customFormat="false" ht="15.75" hidden="false" customHeight="false" outlineLevel="0" collapsed="false">
      <c r="A26" s="97" t="s">
        <v>172</v>
      </c>
      <c r="B26" s="97" t="n">
        <f aca="false">'Titer Calculation'!B15</f>
        <v>15625</v>
      </c>
      <c r="C26" s="121" t="e">
        <f aca="false">(C15/100)*10000*$B26*10</f>
        <v>#VALUE!</v>
      </c>
      <c r="D26" s="121" t="e">
        <f aca="false">(D15/100)*10000*$B26*10</f>
        <v>#VALUE!</v>
      </c>
      <c r="E26" s="121" t="e">
        <f aca="false">(E15/100)*10000*$B26*10</f>
        <v>#VALUE!</v>
      </c>
      <c r="F26" s="121" t="e">
        <f aca="false">(F15/100)*10000*$B26*10</f>
        <v>#VALUE!</v>
      </c>
      <c r="G26" s="121" t="e">
        <f aca="false">(G15/100)*10000*$B26*10</f>
        <v>#VALUE!</v>
      </c>
      <c r="H26" s="121" t="e">
        <f aca="false">(H15/100)*10000*$B26*10</f>
        <v>#VALUE!</v>
      </c>
      <c r="I26" s="121" t="e">
        <f aca="false">(I15/100)*10000*$B26*10</f>
        <v>#VALUE!</v>
      </c>
      <c r="J26" s="121" t="e">
        <f aca="false">(J15/100)*10000*$B26*10</f>
        <v>#VALUE!</v>
      </c>
      <c r="K26" s="121" t="e">
        <f aca="false">(K15/100)*10000*$B26*10</f>
        <v>#VALUE!</v>
      </c>
      <c r="L26" s="121" t="e">
        <f aca="false">(L15/100)*10000*$B26*10</f>
        <v>#VALUE!</v>
      </c>
      <c r="M26" s="121" t="e">
        <f aca="false">(M15/100)*10000*$B26*10</f>
        <v>#VALUE!</v>
      </c>
      <c r="N26" s="121" t="e">
        <f aca="false">(N15/100)*10000*$B26*10</f>
        <v>#VALUE!</v>
      </c>
      <c r="O26" s="120"/>
      <c r="P26" s="44"/>
      <c r="Q26" s="83"/>
      <c r="R26" s="120"/>
      <c r="S26" s="44"/>
      <c r="T26" s="120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120"/>
      <c r="AP26" s="44"/>
      <c r="AQ26" s="44"/>
      <c r="AR26" s="44"/>
    </row>
    <row r="27" customFormat="false" ht="15.75" hidden="false" customHeight="false" outlineLevel="0" collapsed="false">
      <c r="A27" s="97" t="s">
        <v>173</v>
      </c>
      <c r="B27" s="97" t="n">
        <f aca="false">'Titer Calculation'!B16</f>
        <v>78125</v>
      </c>
      <c r="C27" s="121" t="e">
        <f aca="false">(C16/100)*10000*$B27*10</f>
        <v>#VALUE!</v>
      </c>
      <c r="D27" s="121" t="e">
        <f aca="false">(D16/100)*10000*$B27*10</f>
        <v>#VALUE!</v>
      </c>
      <c r="E27" s="121" t="e">
        <f aca="false">(E16/100)*10000*$B27*10</f>
        <v>#VALUE!</v>
      </c>
      <c r="F27" s="121" t="e">
        <f aca="false">(F16/100)*10000*$B27*10</f>
        <v>#VALUE!</v>
      </c>
      <c r="G27" s="121" t="e">
        <f aca="false">(G16/100)*10000*$B27*10</f>
        <v>#VALUE!</v>
      </c>
      <c r="H27" s="121" t="e">
        <f aca="false">(H16/100)*10000*$B27*10</f>
        <v>#VALUE!</v>
      </c>
      <c r="I27" s="121" t="e">
        <f aca="false">(I16/100)*10000*$B27*10</f>
        <v>#VALUE!</v>
      </c>
      <c r="J27" s="121" t="e">
        <f aca="false">(J16/100)*10000*$B27*10</f>
        <v>#VALUE!</v>
      </c>
      <c r="K27" s="121" t="e">
        <f aca="false">(K16/100)*10000*$B27*10</f>
        <v>#VALUE!</v>
      </c>
      <c r="L27" s="121" t="e">
        <f aca="false">(L16/100)*10000*$B27*10</f>
        <v>#VALUE!</v>
      </c>
      <c r="M27" s="121" t="e">
        <f aca="false">(M16/100)*10000*$B27*10</f>
        <v>#VALUE!</v>
      </c>
      <c r="N27" s="121" t="e">
        <f aca="false">(N16/100)*10000*$B27*10</f>
        <v>#VALUE!</v>
      </c>
      <c r="O27" s="211" t="s">
        <v>272</v>
      </c>
      <c r="P27" s="44"/>
      <c r="Q27" s="83"/>
      <c r="R27" s="212"/>
      <c r="S27" s="44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75"/>
      <c r="AP27" s="44"/>
      <c r="AQ27" s="44"/>
      <c r="AR27" s="44"/>
    </row>
    <row r="28" customFormat="false" ht="15.75" hidden="false" customHeight="false" outlineLevel="0" collapsed="false">
      <c r="A28" s="213" t="s">
        <v>277</v>
      </c>
      <c r="B28" s="213"/>
      <c r="C28" s="214" t="e">
        <f aca="false" t="array" ref="C28:C28">_xlfn.IFS(AND(COUNT(C$10:C$16)&gt;=7,S$160&lt;'Titer Calculation'!$T$6),C$160,AND(COUNT(C$10:C$16)&gt;=6,MIN(S$153:S$159)&lt;'Titer Calculation'!$T$6),_xlfn.xlookup(MIN(S$153:S$159),S$153:S$159, C$153:C$159),AND(COUNT(C$10:C$16)&gt;=5,MIN(S$132:S$152)&lt;'Titer Calculation'!$T$6),_xlfn.xlookup(MIN(S$132:S$152), S$132:S$152, C$132:$C$152),AND(COUNT(C$10:C$16)&gt;=4,MIN(S$97:S$131)&lt;'Titer Calculation'!$T$6),_xlfn.xlookup(MIN(S$97:S$131), S$97:S$131, C$97:C$131),AND(COUNT(C$10:C$16)&gt;=3,MIN(S$62:S$96)&lt;'Titer Calculation'!$T$6),_xlfn.xlookup(MIN(S$62:S$96), S$62:S$96, C$62:C$96),AND(COUNT(C$10:C$16)&gt;=2,MIN(S$41:S$61)&lt;'Titer Calculation'!$T$6),_xlfn.xlookup(MIN(S$41:S$61), S$41:S$61, C$41:C$61), TRUE(), _xlfn.xlookup(MIN(S$41:S$160), S$41:S$160, C$41:C$160))</f>
        <v>#NAME?</v>
      </c>
      <c r="D28" s="214" t="e">
        <f aca="false" t="array" ref="D28:D28">_xlfn.IFS(AND(COUNT(D$10:D$16)&gt;=7,T$160&lt;'Titer Calculation'!$T$6),D$160,AND(COUNT(D$10:D$16)&gt;=6,MIN(T$153:T$159)&lt;'Titer Calculation'!$T$6),_xlfn.xlookup(MIN(T$153:T$159),T$153:T$159, D$153:D$159),AND(COUNT(D$10:D$16)&gt;=5,MIN(T$132:T$152)&lt;'Titer Calculation'!$T$6),_xlfn.xlookup(MIN(T$132:T$152), T$132:T$152, $C$132:D$152),AND(COUNT(D$10:D$16)&gt;=4,MIN(T$97:T$131)&lt;'Titer Calculation'!$T$6),_xlfn.xlookup(MIN(T$97:T$131), T$97:T$131, D$97:D$131),AND(COUNT(D$10:D$16)&gt;=3,MIN(T$62:T$96)&lt;'Titer Calculation'!$T$6),_xlfn.xlookup(MIN(T$62:T$96), T$62:T$96, D$62:D$96),AND(COUNT(D$10:D$16)&gt;=2,MIN(T$41:T$61)&lt;'Titer Calculation'!$T$6),_xlfn.xlookup(MIN(T$41:T$61), T$41:T$61, D$41:D$61), TRUE(), _xlfn.xlookup(MIN(T$41:T$160), T$41:T$160, D$41:D$160))</f>
        <v>#NAME?</v>
      </c>
      <c r="E28" s="214" t="e">
        <f aca="false" t="array" ref="E28:E28">_xlfn.IFS(AND(COUNT(E$10:E$16)&gt;=7,U$160&lt;'Titer Calculation'!$T$6),E$160,AND(COUNT(E$10:E$16)&gt;=6,MIN(U$153:U$159)&lt;'Titer Calculation'!$T$6),_xlfn.xlookup(MIN(U$153:U$159),U$153:U$159, E$153:E$159),AND(COUNT(E$10:E$16)&gt;=5,MIN(U$132:U$152)&lt;'Titer Calculation'!$T$6),_xlfn.xlookup(MIN(U$132:U$152), U$132:U$152, $C$132:E$152),AND(COUNT(E$10:E$16)&gt;=4,MIN(U$97:U$131)&lt;'Titer Calculation'!$T$6),_xlfn.xlookup(MIN(U$97:U$131), U$97:U$131, E$97:E$131),AND(COUNT(E$10:E$16)&gt;=3,MIN(U$62:U$96)&lt;'Titer Calculation'!$T$6),_xlfn.xlookup(MIN(U$62:U$96), U$62:U$96, E$62:E$96),AND(COUNT(E$10:E$16)&gt;=2,MIN(U$41:U$61)&lt;'Titer Calculation'!$T$6),_xlfn.xlookup(MIN(U$41:U$61), U$41:U$61, E$41:E$61), TRUE(), _xlfn.xlookup(MIN(U$41:U$160), U$41:U$160, E$41:E$160))</f>
        <v>#NAME?</v>
      </c>
      <c r="F28" s="214" t="e">
        <f aca="false" t="array" ref="F28:F28">_xlfn.IFS(AND(COUNT(F$10:F$16)&gt;=7,V$160&lt;'Titer Calculation'!$T$6),F$160,AND(COUNT(F$10:F$16)&gt;=6,MIN(V$153:V$159)&lt;'Titer Calculation'!$T$6),_xlfn.xlookup(MIN(V$153:V$159),V$153:V$159, F$153:F$159),AND(COUNT(F$10:F$16)&gt;=5,MIN(V$132:V$152)&lt;'Titer Calculation'!$T$6),_xlfn.xlookup(MIN(V$132:V$152), V$132:V$152, $C$132:F$152),AND(COUNT(F$10:F$16)&gt;=4,MIN(V$97:V$131)&lt;'Titer Calculation'!$T$6),_xlfn.xlookup(MIN(V$97:V$131), V$97:V$131, F$97:F$131),AND(COUNT(F$10:F$16)&gt;=3,MIN(V$62:V$96)&lt;'Titer Calculation'!$T$6),_xlfn.xlookup(MIN(V$62:V$96), V$62:V$96, F$62:F$96),AND(COUNT(F$10:F$16)&gt;=2,MIN(V$41:V$61)&lt;'Titer Calculation'!$T$6),_xlfn.xlookup(MIN(V$41:V$61), V$41:V$61, F$41:F$61), TRUE(), _xlfn.xlookup(MIN(V$41:V$160), V$41:V$160, F$41:F$160))</f>
        <v>#NAME?</v>
      </c>
      <c r="G28" s="214" t="e">
        <f aca="false" t="array" ref="G28:G28">_xlfn.IFS(AND(COUNT(G$10:G$16)&gt;=7,W$160&lt;'Titer Calculation'!$T$6),G$160,AND(COUNT(G$10:G$16)&gt;=6,MIN(W$153:W$159)&lt;'Titer Calculation'!$T$6),_xlfn.xlookup(MIN(W$153:W$159),W$153:W$159, G$153:G$159),AND(COUNT(G$10:G$16)&gt;=5,MIN(W$132:W$152)&lt;'Titer Calculation'!$T$6),_xlfn.xlookup(MIN(W$132:W$152), W$132:W$152, $C$132:G$152),AND(COUNT(G$10:G$16)&gt;=4,MIN(W$97:W$131)&lt;'Titer Calculation'!$T$6),_xlfn.xlookup(MIN(W$97:W$131), W$97:W$131, G$97:G$131),AND(COUNT(G$10:G$16)&gt;=3,MIN(W$62:W$96)&lt;'Titer Calculation'!$T$6),_xlfn.xlookup(MIN(W$62:W$96), W$62:W$96, G$62:G$96),AND(COUNT(G$10:G$16)&gt;=2,MIN(W$41:W$61)&lt;'Titer Calculation'!$T$6),_xlfn.xlookup(MIN(W$41:W$61), W$41:W$61, G$41:G$61), TRUE(), _xlfn.xlookup(MIN(W$41:W$160), W$41:W$160, G$41:G$160))</f>
        <v>#NAME?</v>
      </c>
      <c r="H28" s="214" t="e">
        <f aca="false" t="array" ref="H28:H28">_xlfn.IFS(AND(COUNT(H$10:H$16)&gt;=7,X$160&lt;'Titer Calculation'!$T$6),H$160,AND(COUNT(H$10:H$16)&gt;=6,MIN(X$153:X$159)&lt;'Titer Calculation'!$T$6),_xlfn.xlookup(MIN(X$153:X$159),X$153:X$159, H$153:H$159),AND(COUNT(H$10:H$16)&gt;=5,MIN(X$132:X$152)&lt;'Titer Calculation'!$T$6),_xlfn.xlookup(MIN(X$132:X$152), X$132:X$152, $C$132:H$152),AND(COUNT(H$10:H$16)&gt;=4,MIN(X$97:X$131)&lt;'Titer Calculation'!$T$6),_xlfn.xlookup(MIN(X$97:X$131), X$97:X$131, H$97:H$131),AND(COUNT(H$10:H$16)&gt;=3,MIN(X$62:X$96)&lt;'Titer Calculation'!$T$6),_xlfn.xlookup(MIN(X$62:X$96), X$62:X$96, H$62:H$96),AND(COUNT(H$10:H$16)&gt;=2,MIN(X$41:X$61)&lt;'Titer Calculation'!$T$6),_xlfn.xlookup(MIN(X$41:X$61), X$41:X$61, H$41:H$61), TRUE(), _xlfn.xlookup(MIN(X$41:X$160), X$41:X$160, H$41:H$160))</f>
        <v>#NAME?</v>
      </c>
      <c r="I28" s="214" t="e">
        <f aca="false" t="array" ref="I28:I28">_xlfn.IFS(AND(COUNT(I$10:I$16)&gt;=7,Y$160&lt;'Titer Calculation'!$T$6),I$160,AND(COUNT(I$10:I$16)&gt;=6,MIN(Y$153:Y$159)&lt;'Titer Calculation'!$T$6),_xlfn.xlookup(MIN(Y$153:Y$159),Y$153:Y$159, I$153:I$159),AND(COUNT(I$10:I$16)&gt;=5,MIN(Y$132:Y$152)&lt;'Titer Calculation'!$T$6),_xlfn.xlookup(MIN(Y$132:Y$152), Y$132:Y$152, $C$132:I$152),AND(COUNT(I$10:I$16)&gt;=4,MIN(Y$97:Y$131)&lt;'Titer Calculation'!$T$6),_xlfn.xlookup(MIN(Y$97:Y$131), Y$97:Y$131, I$97:I$131),AND(COUNT(I$10:I$16)&gt;=3,MIN(Y$62:Y$96)&lt;'Titer Calculation'!$T$6),_xlfn.xlookup(MIN(Y$62:Y$96), Y$62:Y$96, I$62:I$96),AND(COUNT(I$10:I$16)&gt;=2,MIN(Y$41:Y$61)&lt;'Titer Calculation'!$T$6),_xlfn.xlookup(MIN(Y$41:Y$61), Y$41:Y$61, I$41:I$61), TRUE(), _xlfn.xlookup(MIN(Y$41:Y$160), Y$41:Y$160, I$41:I$160))</f>
        <v>#NAME?</v>
      </c>
      <c r="J28" s="214" t="e">
        <f aca="false" t="array" ref="J28:J28">_xlfn.IFS(AND(COUNT(J$10:J$16)&gt;=7,Z$160&lt;'Titer Calculation'!$T$6),J$160,AND(COUNT(J$10:J$16)&gt;=6,MIN(Z$153:Z$159)&lt;'Titer Calculation'!$T$6),_xlfn.xlookup(MIN(Z$153:Z$159),Z$153:Z$159, J$153:J$159),AND(COUNT(J$10:J$16)&gt;=5,MIN(Z$132:Z$152)&lt;'Titer Calculation'!$T$6),_xlfn.xlookup(MIN(Z$132:Z$152), Z$132:Z$152, $C$132:J$152),AND(COUNT(J$10:J$16)&gt;=4,MIN(Z$97:Z$131)&lt;'Titer Calculation'!$T$6),_xlfn.xlookup(MIN(Z$97:Z$131), Z$97:Z$131, J$97:J$131),AND(COUNT(J$10:J$16)&gt;=3,MIN(Z$62:Z$96)&lt;'Titer Calculation'!$T$6),_xlfn.xlookup(MIN(Z$62:Z$96), Z$62:Z$96, J$62:J$96),AND(COUNT(J$10:J$16)&gt;=2,MIN(Z$41:Z$61)&lt;'Titer Calculation'!$T$6),_xlfn.xlookup(MIN(Z$41:Z$61), Z$41:Z$61, J$41:J$61), TRUE(), _xlfn.xlookup(MIN(Z$41:Z$160), Z$41:Z$160, J$41:J$160))</f>
        <v>#NAME?</v>
      </c>
      <c r="K28" s="214" t="e">
        <f aca="false" t="array" ref="K28:K28">_xlfn.IFS(AND(COUNT(K$10:K$16)&gt;=7,AA$160&lt;'Titer Calculation'!$T$6),K$160,AND(COUNT(K$10:K$16)&gt;=6,MIN(AA$153:AA$159)&lt;'Titer Calculation'!$T$6),_xlfn.xlookup(MIN(AA$153:AA$159),AA$153:AA$159, K$153:K$159),AND(COUNT(K$10:K$16)&gt;=5,MIN(AA$132:AA$152)&lt;'Titer Calculation'!$T$6),_xlfn.xlookup(MIN(AA$132:AA$152), AA$132:AA$152, $C$132:K$152),AND(COUNT(K$10:K$16)&gt;=4,MIN(AA$97:AA$131)&lt;'Titer Calculation'!$T$6),_xlfn.xlookup(MIN(AA$97:AA$131), AA$97:AA$131, K$97:K$131),AND(COUNT(K$10:K$16)&gt;=3,MIN(AA$62:AA$96)&lt;'Titer Calculation'!$T$6),_xlfn.xlookup(MIN(AA$62:AA$96), AA$62:AA$96, K$62:K$96),AND(COUNT(K$10:K$16)&gt;=2,MIN(AA$41:AA$61)&lt;'Titer Calculation'!$T$6),_xlfn.xlookup(MIN(AA$41:AA$61), AA$41:AA$61, K$41:K$61), TRUE(), _xlfn.xlookup(MIN(AA$41:AA$160), AA$41:AA$160, K$41:K$160))</f>
        <v>#NAME?</v>
      </c>
      <c r="L28" s="214" t="e">
        <f aca="false" t="array" ref="L28:L28">_xlfn.IFS(AND(COUNT(L$10:L$16)&gt;=7,AB$160&lt;'Titer Calculation'!$T$6),L$160,AND(COUNT(L$10:L$16)&gt;=6,MIN(AB$153:AB$159)&lt;'Titer Calculation'!$T$6),_xlfn.xlookup(MIN(AB$153:AB$159),AB$153:AB$159, L$153:L$159),AND(COUNT(L$10:L$16)&gt;=5,MIN(AB$132:AB$152)&lt;'Titer Calculation'!$T$6),_xlfn.xlookup(MIN(AB$132:AB$152), AB$132:AB$152, $C$132:L$152),AND(COUNT(L$10:L$16)&gt;=4,MIN(AB$97:AB$131)&lt;'Titer Calculation'!$T$6),_xlfn.xlookup(MIN(AB$97:AB$131), AB$97:AB$131, L$97:L$131),AND(COUNT(L$10:L$16)&gt;=3,MIN(AB$62:AB$96)&lt;'Titer Calculation'!$T$6),_xlfn.xlookup(MIN(AB$62:AB$96), AB$62:AB$96, L$62:L$96),AND(COUNT(L$10:L$16)&gt;=2,MIN(AB$41:AB$61)&lt;'Titer Calculation'!$T$6),_xlfn.xlookup(MIN(AB$41:AB$61), AB$41:AB$61, L$41:L$61), TRUE(), _xlfn.xlookup(MIN(AB$41:AB$160), AB$41:AB$160, L$41:L$160))</f>
        <v>#NAME?</v>
      </c>
      <c r="M28" s="214" t="e">
        <f aca="false" t="array" ref="M28:M28">_xlfn.IFS(AND(COUNT(M$10:M$16)&gt;=7,AC$160&lt;'Titer Calculation'!$T$6),M$160,AND(COUNT(M$10:M$16)&gt;=6,MIN(AC$153:AC$159)&lt;'Titer Calculation'!$T$6),_xlfn.xlookup(MIN(AC$153:AC$159),AC$153:AC$159, M$153:M$159),AND(COUNT(M$10:M$16)&gt;=5,MIN(AC$132:AC$152)&lt;'Titer Calculation'!$T$6),_xlfn.xlookup(MIN(AC$132:AC$152), AC$132:AC$152, $C$132:M$152),AND(COUNT(M$10:M$16)&gt;=4,MIN(AC$97:AC$131)&lt;'Titer Calculation'!$T$6),_xlfn.xlookup(MIN(AC$97:AC$131), AC$97:AC$131, M$97:M$131),AND(COUNT(M$10:M$16)&gt;=3,MIN(AC$62:AC$96)&lt;'Titer Calculation'!$T$6),_xlfn.xlookup(MIN(AC$62:AC$96), AC$62:AC$96, M$62:M$96),AND(COUNT(M$10:M$16)&gt;=2,MIN(AC$41:AC$61)&lt;'Titer Calculation'!$T$6),_xlfn.xlookup(MIN(AC$41:AC$61), AC$41:AC$61, M$41:M$61), TRUE(), _xlfn.xlookup(MIN(AC$41:AC$160), AC$41:AC$160, M$41:M$160))</f>
        <v>#NAME?</v>
      </c>
      <c r="N28" s="214" t="e">
        <f aca="false" t="array" ref="N28:N28">_xlfn.IFS(AND(COUNT(N$10:N$16)&gt;=7,AD$160&lt;'Titer Calculation'!$T$6),N$160,AND(COUNT(N$10:N$16)&gt;=6,MIN(AD$153:AD$159)&lt;'Titer Calculation'!$T$6),_xlfn.xlookup(MIN(AD$153:AD$159),AD$153:AD$159, N$153:N$159),AND(COUNT(N$10:N$16)&gt;=5,MIN(AD$132:AD$152)&lt;'Titer Calculation'!$T$6),_xlfn.xlookup(MIN(AD$132:AD$152), AD$132:AD$152, $C$132:N$152),AND(COUNT(N$10:N$16)&gt;=4,MIN(AD$97:AD$131)&lt;'Titer Calculation'!$T$6),_xlfn.xlookup(MIN(AD$97:AD$131), AD$97:AD$131, N$97:N$131),AND(COUNT(N$10:N$16)&gt;=3,MIN(AD$62:AD$96)&lt;'Titer Calculation'!$T$6),_xlfn.xlookup(MIN(AD$62:AD$96), AD$62:AD$96, N$62:N$96),AND(COUNT(N$10:N$16)&gt;=2,MIN(AD$41:AD$61)&lt;'Titer Calculation'!$T$6),_xlfn.xlookup(MIN(AD$41:AD$61), AD$41:AD$61, N$41:N$61), TRUE(), _xlfn.xlookup(MIN(AD$41:AD$160), AD$41:AD$160, N$41:N$160))</f>
        <v>#NAME?</v>
      </c>
      <c r="O28" s="211"/>
      <c r="P28" s="44"/>
      <c r="Q28" s="83"/>
      <c r="R28" s="212"/>
      <c r="S28" s="44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75"/>
      <c r="AP28" s="44"/>
      <c r="AQ28" s="44"/>
      <c r="AR28" s="44"/>
    </row>
    <row r="29" customFormat="false" ht="15.75" hidden="false" customHeight="false" outlineLevel="0" collapsed="false">
      <c r="A29" s="213" t="s">
        <v>278</v>
      </c>
      <c r="B29" s="213"/>
      <c r="C29" s="215" t="e">
        <f aca="false" t="array" ref="C29:C29">REPLACE(_xlfn.IFS(AND(COUNT(C$10:C$16)&gt;=7,S$160&lt;'Titer Calculation'!$T$6),$A$160,AND(COUNT(C$10:C$16)&gt;=6,MIN(S$153:S$159)&lt;'Titer Calculation'!$T$6),_xlfn.xlookup(MIN(S$153:S$159),S$153:S$159, $A$153:$A$159),AND(COUNT(C$10:C$16)&gt;=5,MIN(S$132:S$152)&lt;'Titer Calculation'!$T$6),_xlfn.xlookup(MIN(S$132:S$152), S$132:S$152, $A$132:$A$152),AND(COUNT(C$10:C$16)&gt;=4,MIN(S$97:S$131)&lt;'Titer Calculation'!$T$6),_xlfn.xlookup(MIN(S$97:S$131), S$97:S$131, $A$97:$A$131),AND(COUNT(C$10:C$16)&gt;=3,MIN(S$62:S$96)&lt;'Titer Calculation'!$T$6),_xlfn.xlookup(MIN(S$62:S$96), S$62:S$96, $A$62:$A$96),AND(COUNT(C$10:C$16)&gt;=2,MIN(S$41:S$61)&lt;'Titer Calculation'!$T$6),_xlfn.xlookup(MIN(S$41:S$61), S$41:S$61, $A$41:$A$61), TRUE(), _xlfn.xlookup(MIN(S$41:S$160),S$41:S$160, $A$41:$A$160)), 1, 8,)</f>
        <v>#NAME?</v>
      </c>
      <c r="D29" s="215" t="e">
        <f aca="false" t="array" ref="D29:D29">REPLACE(_xlfn.IFS(AND(COUNT(D$10:D$16)&gt;=7,T$160&lt;'Titer Calculation'!$T$6),$A$160,AND(COUNT(D$10:D$16)&gt;=6,MIN(T$153:T$159)&lt;'Titer Calculation'!$T$6),_xlfn.xlookup(MIN(T$153:T$159),T$153:T$159, $A$153:$A$159),AND(COUNT(D$10:D$16)&gt;=5,MIN(T$132:T$152)&lt;'Titer Calculation'!$T$6),_xlfn.xlookup(MIN(T$132:T$152), T$132:T$152, $A$132:$A$152),AND(COUNT(D$10:D$16)&gt;=4,MIN(T$97:T$131)&lt;'Titer Calculation'!$T$6),_xlfn.xlookup(MIN(T$97:T$131), T$97:T$131, $A$97:$A$131),AND(COUNT(D$10:D$16)&gt;=3,MIN(T$62:T$96)&lt;'Titer Calculation'!$T$6),_xlfn.xlookup(MIN(T$62:T$96), T$62:T$96, $A$62:$A$96),AND(COUNT(D$10:D$16)&gt;=2,MIN(T$41:T$61)&lt;'Titer Calculation'!$T$6),_xlfn.xlookup(MIN(T$41:T$61), T$41:T$61, $A$41:$A$61), TRUE(), _xlfn.xlookup(MIN(T$41:T$160),T$41:T$160, $A$41:$A$160)), 1, 8,)</f>
        <v>#NAME?</v>
      </c>
      <c r="E29" s="215" t="e">
        <f aca="false" t="array" ref="E29:E29">REPLACE(_xlfn.IFS(AND(COUNT(E$10:E$16)&gt;=7,U$160&lt;'Titer Calculation'!$T$6),$A$160,AND(COUNT(E$10:E$16)&gt;=6,MIN(U$153:U$159)&lt;'Titer Calculation'!$T$6),_xlfn.xlookup(MIN(U$153:U$159),U$153:U$159, $A$153:$A$159),AND(COUNT(E$10:E$16)&gt;=5,MIN(U$132:U$152)&lt;'Titer Calculation'!$T$6),_xlfn.xlookup(MIN(U$132:U$152), U$132:U$152, $A$132:$A$152),AND(COUNT(E$10:E$16)&gt;=4,MIN(U$97:U$131)&lt;'Titer Calculation'!$T$6),_xlfn.xlookup(MIN(U$97:U$131), U$97:U$131, $A$97:$A$131),AND(COUNT(E$10:E$16)&gt;=3,MIN(U$62:U$96)&lt;'Titer Calculation'!$T$6),_xlfn.xlookup(MIN(U$62:U$96), U$62:U$96, $A$62:$A$96),AND(COUNT(E$10:E$16)&gt;=2,MIN(U$41:U$61)&lt;'Titer Calculation'!$T$6),_xlfn.xlookup(MIN(U$41:U$61), U$41:U$61, $A$41:$A$61), TRUE(), _xlfn.xlookup(MIN(U$41:U$160),U$41:U$160, $A$41:$A$160)), 1, 8,)</f>
        <v>#NAME?</v>
      </c>
      <c r="F29" s="215" t="e">
        <f aca="false" t="array" ref="F29:F29">REPLACE(_xlfn.IFS(AND(COUNT(F$10:F$16)&gt;=7,V$160&lt;'Titer Calculation'!$T$6),$A$160,AND(COUNT(F$10:F$16)&gt;=6,MIN(V$153:V$159)&lt;'Titer Calculation'!$T$6),_xlfn.xlookup(MIN(V$153:V$159),V$153:V$159, $A$153:$A$159),AND(COUNT(F$10:F$16)&gt;=5,MIN(V$132:V$152)&lt;'Titer Calculation'!$T$6),_xlfn.xlookup(MIN(V$132:V$152), V$132:V$152, $A$132:$A$152),AND(COUNT(F$10:F$16)&gt;=4,MIN(V$97:V$131)&lt;'Titer Calculation'!$T$6),_xlfn.xlookup(MIN(V$97:V$131), V$97:V$131, $A$97:$A$131),AND(COUNT(F$10:F$16)&gt;=3,MIN(V$62:V$96)&lt;'Titer Calculation'!$T$6),_xlfn.xlookup(MIN(V$62:V$96), V$62:V$96, $A$62:$A$96),AND(COUNT(F$10:F$16)&gt;=2,MIN(V$41:V$61)&lt;'Titer Calculation'!$T$6),_xlfn.xlookup(MIN(V$41:V$61), V$41:V$61, $A$41:$A$61), TRUE(), _xlfn.xlookup(MIN(V$41:V$160),V$41:V$160, $A$41:$A$160)), 1, 8,)</f>
        <v>#NAME?</v>
      </c>
      <c r="G29" s="215" t="e">
        <f aca="false" t="array" ref="G29:G29">REPLACE(_xlfn.IFS(AND(COUNT(G$10:G$16)&gt;=7,W$160&lt;'Titer Calculation'!$T$6),$A$160,AND(COUNT(G$10:G$16)&gt;=6,MIN(W$153:W$159)&lt;'Titer Calculation'!$T$6),_xlfn.xlookup(MIN(W$153:W$159),W$153:W$159, $A$153:$A$159),AND(COUNT(G$10:G$16)&gt;=5,MIN(W$132:W$152)&lt;'Titer Calculation'!$T$6),_xlfn.xlookup(MIN(W$132:W$152), W$132:W$152, $A$132:$A$152),AND(COUNT(G$10:G$16)&gt;=4,MIN(W$97:W$131)&lt;'Titer Calculation'!$T$6),_xlfn.xlookup(MIN(W$97:W$131), W$97:W$131, $A$97:$A$131),AND(COUNT(G$10:G$16)&gt;=3,MIN(W$62:W$96)&lt;'Titer Calculation'!$T$6),_xlfn.xlookup(MIN(W$62:W$96), W$62:W$96, $A$62:$A$96),AND(COUNT(G$10:G$16)&gt;=2,MIN(W$41:W$61)&lt;'Titer Calculation'!$T$6),_xlfn.xlookup(MIN(W$41:W$61), W$41:W$61, $A$41:$A$61), TRUE(), _xlfn.xlookup(MIN(W$41:W$160),W$41:W$160, $A$41:$A$160)), 1, 8,)</f>
        <v>#NAME?</v>
      </c>
      <c r="H29" s="215" t="e">
        <f aca="false" t="array" ref="H29:H29">REPLACE(_xlfn.IFS(AND(COUNT(H$10:H$16)&gt;=7,X$160&lt;'Titer Calculation'!$T$6),$A$160,AND(COUNT(H$10:H$16)&gt;=6,MIN(X$153:X$159)&lt;'Titer Calculation'!$T$6),_xlfn.xlookup(MIN(X$153:X$159),X$153:X$159, $A$153:$A$159),AND(COUNT(H$10:H$16)&gt;=5,MIN(X$132:X$152)&lt;'Titer Calculation'!$T$6),_xlfn.xlookup(MIN(X$132:X$152), X$132:X$152, $A$132:$A$152),AND(COUNT(H$10:H$16)&gt;=4,MIN(X$97:X$131)&lt;'Titer Calculation'!$T$6),_xlfn.xlookup(MIN(X$97:X$131), X$97:X$131, $A$97:$A$131),AND(COUNT(H$10:H$16)&gt;=3,MIN(X$62:X$96)&lt;'Titer Calculation'!$T$6),_xlfn.xlookup(MIN(X$62:X$96), X$62:X$96, $A$62:$A$96),AND(COUNT(H$10:H$16)&gt;=2,MIN(X$41:X$61)&lt;'Titer Calculation'!$T$6),_xlfn.xlookup(MIN(X$41:X$61), X$41:X$61, $A$41:$A$61), TRUE(), _xlfn.xlookup(MIN(X$41:X$160),X$41:X$160, $A$41:$A$160)), 1, 8,)</f>
        <v>#NAME?</v>
      </c>
      <c r="I29" s="215" t="e">
        <f aca="false" t="array" ref="I29:I29">REPLACE(_xlfn.IFS(AND(COUNT(I$10:I$16)&gt;=7,Y$160&lt;'Titer Calculation'!$T$6),$A$160,AND(COUNT(I$10:I$16)&gt;=6,MIN(Y$153:Y$159)&lt;'Titer Calculation'!$T$6),_xlfn.xlookup(MIN(Y$153:Y$159),Y$153:Y$159, $A$153:$A$159),AND(COUNT(I$10:I$16)&gt;=5,MIN(Y$132:Y$152)&lt;'Titer Calculation'!$T$6),_xlfn.xlookup(MIN(Y$132:Y$152), Y$132:Y$152, $A$132:$A$152),AND(COUNT(I$10:I$16)&gt;=4,MIN(Y$97:Y$131)&lt;'Titer Calculation'!$T$6),_xlfn.xlookup(MIN(Y$97:Y$131), Y$97:Y$131, $A$97:$A$131),AND(COUNT(I$10:I$16)&gt;=3,MIN(Y$62:Y$96)&lt;'Titer Calculation'!$T$6),_xlfn.xlookup(MIN(Y$62:Y$96), Y$62:Y$96, $A$62:$A$96),AND(COUNT(I$10:I$16)&gt;=2,MIN(Y$41:Y$61)&lt;'Titer Calculation'!$T$6),_xlfn.xlookup(MIN(Y$41:Y$61), Y$41:Y$61, $A$41:$A$61), TRUE(), _xlfn.xlookup(MIN(Y$41:Y$160),Y$41:Y$160, $A$41:$A$160)), 1, 8,)</f>
        <v>#NAME?</v>
      </c>
      <c r="J29" s="215" t="e">
        <f aca="false" t="array" ref="J29:J29">REPLACE(_xlfn.IFS(AND(COUNT(J$10:J$16)&gt;=7,Z$160&lt;'Titer Calculation'!$T$6),$A$160,AND(COUNT(J$10:J$16)&gt;=6,MIN(Z$153:Z$159)&lt;'Titer Calculation'!$T$6),_xlfn.xlookup(MIN(Z$153:Z$159),Z$153:Z$159, $A$153:$A$159),AND(COUNT(J$10:J$16)&gt;=5,MIN(Z$132:Z$152)&lt;'Titer Calculation'!$T$6),_xlfn.xlookup(MIN(Z$132:Z$152), Z$132:Z$152, $A$132:$A$152),AND(COUNT(J$10:J$16)&gt;=4,MIN(Z$97:Z$131)&lt;'Titer Calculation'!$T$6),_xlfn.xlookup(MIN(Z$97:Z$131), Z$97:Z$131, $A$97:$A$131),AND(COUNT(J$10:J$16)&gt;=3,MIN(Z$62:Z$96)&lt;'Titer Calculation'!$T$6),_xlfn.xlookup(MIN(Z$62:Z$96), Z$62:Z$96, $A$62:$A$96),AND(COUNT(J$10:J$16)&gt;=2,MIN(Z$41:Z$61)&lt;'Titer Calculation'!$T$6),_xlfn.xlookup(MIN(Z$41:Z$61), Z$41:Z$61, $A$41:$A$61), TRUE(), _xlfn.xlookup(MIN(Z$41:Z$160),Z$41:Z$160, $A$41:$A$160)), 1, 8,)</f>
        <v>#NAME?</v>
      </c>
      <c r="K29" s="215" t="e">
        <f aca="false" t="array" ref="K29:K29">REPLACE(_xlfn.IFS(AND(COUNT(K$10:K$16)&gt;=7,AA$160&lt;'Titer Calculation'!$T$6),$A$160,AND(COUNT(K$10:K$16)&gt;=6,MIN(AA$153:AA$159)&lt;'Titer Calculation'!$T$6),_xlfn.xlookup(MIN(AA$153:AA$159),AA$153:AA$159, $A$153:$A$159),AND(COUNT(K$10:K$16)&gt;=5,MIN(AA$132:AA$152)&lt;'Titer Calculation'!$T$6),_xlfn.xlookup(MIN(AA$132:AA$152), AA$132:AA$152, $A$132:$A$152),AND(COUNT(K$10:K$16)&gt;=4,MIN(AA$97:AA$131)&lt;'Titer Calculation'!$T$6),_xlfn.xlookup(MIN(AA$97:AA$131), AA$97:AA$131, $A$97:$A$131),AND(COUNT(K$10:K$16)&gt;=3,MIN(AA$62:AA$96)&lt;'Titer Calculation'!$T$6),_xlfn.xlookup(MIN(AA$62:AA$96), AA$62:AA$96, $A$62:$A$96),AND(COUNT(K$10:K$16)&gt;=2,MIN(AA$41:AA$61)&lt;'Titer Calculation'!$T$6),_xlfn.xlookup(MIN(AA$41:AA$61), AA$41:AA$61, $A$41:$A$61), TRUE(), _xlfn.xlookup(MIN(AA$41:AA$160),AA$41:AA$160, $A$41:$A$160)), 1, 8,)</f>
        <v>#NAME?</v>
      </c>
      <c r="L29" s="215" t="e">
        <f aca="false" t="array" ref="L29:L29">REPLACE(_xlfn.IFS(AND(COUNT(L$10:L$16)&gt;=7,AB$160&lt;'Titer Calculation'!$T$6),$A$160,AND(COUNT(L$10:L$16)&gt;=6,MIN(AB$153:AB$159)&lt;'Titer Calculation'!$T$6),_xlfn.xlookup(MIN(AB$153:AB$159),AB$153:AB$159, $A$153:$A$159),AND(COUNT(L$10:L$16)&gt;=5,MIN(AB$132:AB$152)&lt;'Titer Calculation'!$T$6),_xlfn.xlookup(MIN(AB$132:AB$152), AB$132:AB$152, $A$132:$A$152),AND(COUNT(L$10:L$16)&gt;=4,MIN(AB$97:AB$131)&lt;'Titer Calculation'!$T$6),_xlfn.xlookup(MIN(AB$97:AB$131), AB$97:AB$131, $A$97:$A$131),AND(COUNT(L$10:L$16)&gt;=3,MIN(AB$62:AB$96)&lt;'Titer Calculation'!$T$6),_xlfn.xlookup(MIN(AB$62:AB$96), AB$62:AB$96, $A$62:$A$96),AND(COUNT(L$10:L$16)&gt;=2,MIN(AB$41:AB$61)&lt;'Titer Calculation'!$T$6),_xlfn.xlookup(MIN(AB$41:AB$61), AB$41:AB$61, $A$41:$A$61), TRUE(), _xlfn.xlookup(MIN(AB$41:AB$160),AB$41:AB$160, $A$41:$A$160)), 1, 8,)</f>
        <v>#NAME?</v>
      </c>
      <c r="M29" s="215" t="e">
        <f aca="false" t="array" ref="M29:M29">REPLACE(_xlfn.IFS(AND(COUNT(M$10:M$16)&gt;=7,AC$160&lt;'Titer Calculation'!$T$6),$A$160,AND(COUNT(M$10:M$16)&gt;=6,MIN(AC$153:AC$159)&lt;'Titer Calculation'!$T$6),_xlfn.xlookup(MIN(AC$153:AC$159),AC$153:AC$159, $A$153:$A$159),AND(COUNT(M$10:M$16)&gt;=5,MIN(AC$132:AC$152)&lt;'Titer Calculation'!$T$6),_xlfn.xlookup(MIN(AC$132:AC$152), AC$132:AC$152, $A$132:$A$152),AND(COUNT(M$10:M$16)&gt;=4,MIN(AC$97:AC$131)&lt;'Titer Calculation'!$T$6),_xlfn.xlookup(MIN(AC$97:AC$131), AC$97:AC$131, $A$97:$A$131),AND(COUNT(M$10:M$16)&gt;=3,MIN(AC$62:AC$96)&lt;'Titer Calculation'!$T$6),_xlfn.xlookup(MIN(AC$62:AC$96), AC$62:AC$96, $A$62:$A$96),AND(COUNT(M$10:M$16)&gt;=2,MIN(AC$41:AC$61)&lt;'Titer Calculation'!$T$6),_xlfn.xlookup(MIN(AC$41:AC$61), AC$41:AC$61, $A$41:$A$61), TRUE(), _xlfn.xlookup(MIN(AC$41:AC$160),AC$41:AC$160, $A$41:$A$160)), 1, 8,)</f>
        <v>#NAME?</v>
      </c>
      <c r="N29" s="215" t="e">
        <f aca="false" t="array" ref="N29:N29">REPLACE(_xlfn.IFS(AND(COUNT(N$10:N$16)&gt;=7,AD$160&lt;'Titer Calculation'!$T$6),$A$160,AND(COUNT(N$10:N$16)&gt;=6,MIN(AD$153:AD$159)&lt;'Titer Calculation'!$T$6),_xlfn.xlookup(MIN(AD$153:AD$159),AD$153:AD$159, $A$153:$A$159),AND(COUNT(N$10:N$16)&gt;=5,MIN(AD$132:AD$152)&lt;'Titer Calculation'!$T$6),_xlfn.xlookup(MIN(AD$132:AD$152), AD$132:AD$152, $A$132:$A$152),AND(COUNT(N$10:N$16)&gt;=4,MIN(AD$97:AD$131)&lt;'Titer Calculation'!$T$6),_xlfn.xlookup(MIN(AD$97:AD$131), AD$97:AD$131, $A$97:$A$131),AND(COUNT(N$10:N$16)&gt;=3,MIN(AD$62:AD$96)&lt;'Titer Calculation'!$T$6),_xlfn.xlookup(MIN(AD$62:AD$96), AD$62:AD$96, $A$62:$A$96),AND(COUNT(N$10:N$16)&gt;=2,MIN(AD$41:AD$61)&lt;'Titer Calculation'!$T$6),_xlfn.xlookup(MIN(AD$41:AD$61), AD$41:AD$61, $A$41:$A$61), TRUE(), _xlfn.xlookup(MIN(AD$41:AD$160),AD$41:AD$160, $A$41:$A$160)), 1, 8,)</f>
        <v>#NAME?</v>
      </c>
      <c r="O29" s="211"/>
      <c r="P29" s="44"/>
      <c r="Q29" s="83"/>
      <c r="R29" s="212"/>
      <c r="S29" s="44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75"/>
      <c r="AP29" s="44"/>
      <c r="AQ29" s="44"/>
      <c r="AR29" s="44"/>
    </row>
    <row r="30" customFormat="false" ht="15.75" hidden="false" customHeight="false" outlineLevel="0" collapsed="false">
      <c r="A30" s="213" t="s">
        <v>240</v>
      </c>
      <c r="B30" s="213"/>
      <c r="C30" s="214" t="e">
        <f aca="false" t="array" ref="C30:C30">_xlfn.IFS(AND(COUNT(C$10:C$16)&gt;=7,S$160&lt;'Titer Calculation'!$T$6),AG$160,AND(COUNT(C$10:C$16)&gt;=6,MIN(S$153:S$159)&lt;'Titer Calculation'!$T$6),_xlfn.xlookup(MIN(S$153:S$159),S$153:S$159,AG$153:AG$159),AND(COUNT(C$10:C$16)&gt;=5,MIN(S$132:S$152)&lt;'Titer Calculation'!$T$6),_xlfn.xlookup(MIN(S$132:S$152),S$132:S$152,AG$132:AG$152),AND(COUNT(C$10:C$16)&gt;=4,MIN(S$97:S$131)&lt;'Titer Calculation'!$T$6),_xlfn.xlookup(MIN(S$97:S$131),S$97:S$131,AG$97:AG$131),AND(COUNT(C$10:C$16)&gt;=3,MIN(S$62:S$96)&lt;'Titer Calculation'!$T$6),_xlfn.xlookup(MIN(S$62:S$96),S$62:S$96,AG$62:AG$96),AND(COUNT(C$10:C$16)&gt;=2,MIN(S$41:S$61)&lt;'Titer Calculation'!$T$6),_xlfn.xlookup(MIN(S$41:S$61),S$41:S$61,AG$41:AG$61),TRUE(),_xlfn.xlookup(MIN(S$41:S$160),S$41:S$160,AG$41:AG$160))</f>
        <v>#NAME?</v>
      </c>
      <c r="D30" s="214" t="e">
        <f aca="false" t="array" ref="D30:D30">_xlfn.IFS(AND(COUNT(D$10:D$16)&gt;=7,T$160&lt;'Titer Calculation'!$T$6),AH$160,AND(COUNT(D$10:D$16)&gt;=6,MIN(T$153:T$159)&lt;'Titer Calculation'!$T$6),_xlfn.xlookup(MIN(T$153:T$159),T$153:T$159,AH$153:AH$159),AND(COUNT(D$10:D$16)&gt;=5,MIN(T$132:T$152)&lt;'Titer Calculation'!$T$6),_xlfn.xlookup(MIN(T$132:T$152),T$132:T$152,AH$132:AH$152),AND(COUNT(D$10:D$16)&gt;=4,MIN(T$97:T$131)&lt;'Titer Calculation'!$T$6),_xlfn.xlookup(MIN(T$97:T$131),T$97:T$131,AH$97:AH$131),AND(COUNT(D$10:D$16)&gt;=3,MIN(T$62:T$96)&lt;'Titer Calculation'!$T$6),_xlfn.xlookup(MIN(T$62:T$96),T$62:T$96,AH$62:AH$96),AND(COUNT(D$10:D$16)&gt;=2,MIN(T$41:T$61)&lt;'Titer Calculation'!$T$6),_xlfn.xlookup(MIN(T$41:T$61),T$41:T$61,AH$41:AH$61),TRUE(),_xlfn.xlookup(MIN(T$41:T$160),T$41:T$160,AH$41:AH$160))</f>
        <v>#NAME?</v>
      </c>
      <c r="E30" s="214" t="e">
        <f aca="false" t="array" ref="E30:E30">_xlfn.IFS(AND(COUNT(E$10:E$16)&gt;=7,U$160&lt;'Titer Calculation'!$T$6),AI$160,AND(COUNT(E$10:E$16)&gt;=6,MIN(U$153:U$159)&lt;'Titer Calculation'!$T$6),_xlfn.xlookup(MIN(U$153:U$159),U$153:U$159,AI$153:AI$159),AND(COUNT(E$10:E$16)&gt;=5,MIN(U$132:U$152)&lt;'Titer Calculation'!$T$6),_xlfn.xlookup(MIN(U$132:U$152),U$132:U$152,AI$132:AI$152),AND(COUNT(E$10:E$16)&gt;=4,MIN(U$97:U$131)&lt;'Titer Calculation'!$T$6),_xlfn.xlookup(MIN(U$97:U$131),U$97:U$131,AI$97:AI$131),AND(COUNT(E$10:E$16)&gt;=3,MIN(U$62:U$96)&lt;'Titer Calculation'!$T$6),_xlfn.xlookup(MIN(U$62:U$96),U$62:U$96,AI$62:AI$96),AND(COUNT(E$10:E$16)&gt;=2,MIN(U$41:U$61)&lt;'Titer Calculation'!$T$6),_xlfn.xlookup(MIN(U$41:U$61),U$41:U$61,AI$41:AI$61),TRUE(),_xlfn.xlookup(MIN(U$41:U$160),U$41:U$160,AI$41:AI$160))</f>
        <v>#NAME?</v>
      </c>
      <c r="F30" s="214" t="e">
        <f aca="false" t="array" ref="F30:F30">_xlfn.IFS(AND(COUNT(F$10:F$16)&gt;=7,V$160&lt;'Titer Calculation'!$T$6),AJ$160,AND(COUNT(F$10:F$16)&gt;=6,MIN(V$153:V$159)&lt;'Titer Calculation'!$T$6),_xlfn.xlookup(MIN(V$153:V$159),V$153:V$159,AJ$153:AJ$159),AND(COUNT(F$10:F$16)&gt;=5,MIN(V$132:V$152)&lt;'Titer Calculation'!$T$6),_xlfn.xlookup(MIN(V$132:V$152),V$132:V$152,AJ$132:AJ$152),AND(COUNT(F$10:F$16)&gt;=4,MIN(V$97:V$131)&lt;'Titer Calculation'!$T$6),_xlfn.xlookup(MIN(V$97:V$131),V$97:V$131,AJ$97:AJ$131),AND(COUNT(F$10:F$16)&gt;=3,MIN(V$62:V$96)&lt;'Titer Calculation'!$T$6),_xlfn.xlookup(MIN(V$62:V$96),V$62:V$96,AJ$62:AJ$96),AND(COUNT(F$10:F$16)&gt;=2,MIN(V$41:V$61)&lt;'Titer Calculation'!$T$6),_xlfn.xlookup(MIN(V$41:V$61),V$41:V$61,AJ$41:AJ$61),TRUE(),_xlfn.xlookup(MIN(V$41:V$160),V$41:V$160,AJ$41:AJ$160))</f>
        <v>#NAME?</v>
      </c>
      <c r="G30" s="214" t="e">
        <f aca="false" t="array" ref="G30:G30">_xlfn.IFS(AND(COUNT(G$10:G$16)&gt;=7,W$160&lt;'Titer Calculation'!$T$6),AK$160,AND(COUNT(G$10:G$16)&gt;=6,MIN(W$153:W$159)&lt;'Titer Calculation'!$T$6),_xlfn.xlookup(MIN(W$153:W$159),W$153:W$159,AK$153:AK$159),AND(COUNT(G$10:G$16)&gt;=5,MIN(W$132:W$152)&lt;'Titer Calculation'!$T$6),_xlfn.xlookup(MIN(W$132:W$152),W$132:W$152,AK$132:AK$152),AND(COUNT(G$10:G$16)&gt;=4,MIN(W$97:W$131)&lt;'Titer Calculation'!$T$6),_xlfn.xlookup(MIN(W$97:W$131),W$97:W$131,AK$97:AK$131),AND(COUNT(G$10:G$16)&gt;=3,MIN(W$62:W$96)&lt;'Titer Calculation'!$T$6),_xlfn.xlookup(MIN(W$62:W$96),W$62:W$96,AK$62:AK$96),AND(COUNT(G$10:G$16)&gt;=2,MIN(W$41:W$61)&lt;'Titer Calculation'!$T$6),_xlfn.xlookup(MIN(W$41:W$61),W$41:W$61,AK$41:AK$61),TRUE(),_xlfn.xlookup(MIN(W$41:W$160),W$41:W$160,AK$41:AK$160))</f>
        <v>#NAME?</v>
      </c>
      <c r="H30" s="214" t="e">
        <f aca="false" t="array" ref="H30:H30">_xlfn.IFS(AND(COUNT(H$10:H$16)&gt;=7,X$160&lt;'Titer Calculation'!$T$6),AL$160,AND(COUNT(H$10:H$16)&gt;=6,MIN(X$153:X$159)&lt;'Titer Calculation'!$T$6),_xlfn.xlookup(MIN(X$153:X$159),X$153:X$159,AL$153:AL$159),AND(COUNT(H$10:H$16)&gt;=5,MIN(X$132:X$152)&lt;'Titer Calculation'!$T$6),_xlfn.xlookup(MIN(X$132:X$152),X$132:X$152,AL$132:AL$152),AND(COUNT(H$10:H$16)&gt;=4,MIN(X$97:X$131)&lt;'Titer Calculation'!$T$6),_xlfn.xlookup(MIN(X$97:X$131),X$97:X$131,AL$97:AL$131),AND(COUNT(H$10:H$16)&gt;=3,MIN(X$62:X$96)&lt;'Titer Calculation'!$T$6),_xlfn.xlookup(MIN(X$62:X$96),X$62:X$96,AL$62:AL$96),AND(COUNT(H$10:H$16)&gt;=2,MIN(X$41:X$61)&lt;'Titer Calculation'!$T$6),_xlfn.xlookup(MIN(X$41:X$61),X$41:X$61,AL$41:AL$61),TRUE(),_xlfn.xlookup(MIN(X$41:X$160),X$41:X$160,AL$41:AL$160))</f>
        <v>#NAME?</v>
      </c>
      <c r="I30" s="214" t="e">
        <f aca="false" t="array" ref="I30:I30">_xlfn.IFS(AND(COUNT(I$10:I$16)&gt;=7,Y$160&lt;'Titer Calculation'!$T$6),AM$160,AND(COUNT(I$10:I$16)&gt;=6,MIN(Y$153:Y$159)&lt;'Titer Calculation'!$T$6),_xlfn.xlookup(MIN(Y$153:Y$159),Y$153:Y$159,AM$153:AM$159),AND(COUNT(I$10:I$16)&gt;=5,MIN(Y$132:Y$152)&lt;'Titer Calculation'!$T$6),_xlfn.xlookup(MIN(Y$132:Y$152),Y$132:Y$152,AM$132:AM$152),AND(COUNT(I$10:I$16)&gt;=4,MIN(Y$97:Y$131)&lt;'Titer Calculation'!$T$6),_xlfn.xlookup(MIN(Y$97:Y$131),Y$97:Y$131,AM$97:AM$131),AND(COUNT(I$10:I$16)&gt;=3,MIN(Y$62:Y$96)&lt;'Titer Calculation'!$T$6),_xlfn.xlookup(MIN(Y$62:Y$96),Y$62:Y$96,AM$62:AM$96),AND(COUNT(I$10:I$16)&gt;=2,MIN(Y$41:Y$61)&lt;'Titer Calculation'!$T$6),_xlfn.xlookup(MIN(Y$41:Y$61),Y$41:Y$61,AM$41:AM$61),TRUE(),_xlfn.xlookup(MIN(Y$41:Y$160),Y$41:Y$160,AM$41:AM$160))</f>
        <v>#NAME?</v>
      </c>
      <c r="J30" s="214" t="e">
        <f aca="false" t="array" ref="J30:J30">_xlfn.IFS(AND(COUNT(J$10:J$16)&gt;=7,Z$160&lt;'Titer Calculation'!$T$6),AN$160,AND(COUNT(J$10:J$16)&gt;=6,MIN(Z$153:Z$159)&lt;'Titer Calculation'!$T$6),_xlfn.xlookup(MIN(Z$153:Z$159),Z$153:Z$159,AN$153:AN$159),AND(COUNT(J$10:J$16)&gt;=5,MIN(Z$132:Z$152)&lt;'Titer Calculation'!$T$6),_xlfn.xlookup(MIN(Z$132:Z$152),Z$132:Z$152,AN$132:AN$152),AND(COUNT(J$10:J$16)&gt;=4,MIN(Z$97:Z$131)&lt;'Titer Calculation'!$T$6),_xlfn.xlookup(MIN(Z$97:Z$131),Z$97:Z$131,AN$97:AN$131),AND(COUNT(J$10:J$16)&gt;=3,MIN(Z$62:Z$96)&lt;'Titer Calculation'!$T$6),_xlfn.xlookup(MIN(Z$62:Z$96),Z$62:Z$96,AN$62:AN$96),AND(COUNT(J$10:J$16)&gt;=2,MIN(Z$41:Z$61)&lt;'Titer Calculation'!$T$6),_xlfn.xlookup(MIN(Z$41:Z$61),Z$41:Z$61,AN$41:AN$61),TRUE(),_xlfn.xlookup(MIN(Z$41:Z$160),Z$41:Z$160,AN$41:AN$160))</f>
        <v>#NAME?</v>
      </c>
      <c r="K30" s="214" t="e">
        <f aca="false" t="array" ref="K30:K30">_xlfn.IFS(AND(COUNT(K$10:K$16)&gt;=7,AA$160&lt;'Titer Calculation'!$T$6),AO$160,AND(COUNT(K$10:K$16)&gt;=6,MIN(AA$153:AA$159)&lt;'Titer Calculation'!$T$6),_xlfn.xlookup(MIN(AA$153:AA$159),AA$153:AA$159,AO$153:AO$159),AND(COUNT(K$10:K$16)&gt;=5,MIN(AA$132:AA$152)&lt;'Titer Calculation'!$T$6),_xlfn.xlookup(MIN(AA$132:AA$152),AA$132:AA$152,AO$132:AO$152),AND(COUNT(K$10:K$16)&gt;=4,MIN(AA$97:AA$131)&lt;'Titer Calculation'!$T$6),_xlfn.xlookup(MIN(AA$97:AA$131),AA$97:AA$131,AO$97:AO$131),AND(COUNT(K$10:K$16)&gt;=3,MIN(AA$62:AA$96)&lt;'Titer Calculation'!$T$6),_xlfn.xlookup(MIN(AA$62:AA$96),AA$62:AA$96,AO$62:AO$96),AND(COUNT(K$10:K$16)&gt;=2,MIN(AA$41:AA$61)&lt;'Titer Calculation'!$T$6),_xlfn.xlookup(MIN(AA$41:AA$61),AA$41:AA$61,AO$41:AO$61),TRUE(),_xlfn.xlookup(MIN(AA$41:AA$160),AA$41:AA$160,AO$41:AO$160))</f>
        <v>#NAME?</v>
      </c>
      <c r="L30" s="214" t="e">
        <f aca="false" t="array" ref="L30:L30">_xlfn.IFS(AND(COUNT(L$10:L$16)&gt;=7,AB$160&lt;'Titer Calculation'!$T$6),AP$160,AND(COUNT(L$10:L$16)&gt;=6,MIN(AB$153:AB$159)&lt;'Titer Calculation'!$T$6),_xlfn.xlookup(MIN(AB$153:AB$159),AB$153:AB$159,AP$153:AP$159),AND(COUNT(L$10:L$16)&gt;=5,MIN(AB$132:AB$152)&lt;'Titer Calculation'!$T$6),_xlfn.xlookup(MIN(AB$132:AB$152),AB$132:AB$152,AP$132:AP$152),AND(COUNT(L$10:L$16)&gt;=4,MIN(AB$97:AB$131)&lt;'Titer Calculation'!$T$6),_xlfn.xlookup(MIN(AB$97:AB$131),AB$97:AB$131,AP$97:AP$131),AND(COUNT(L$10:L$16)&gt;=3,MIN(AB$62:AB$96)&lt;'Titer Calculation'!$T$6),_xlfn.xlookup(MIN(AB$62:AB$96),AB$62:AB$96,AP$62:AP$96),AND(COUNT(L$10:L$16)&gt;=2,MIN(AB$41:AB$61)&lt;'Titer Calculation'!$T$6),_xlfn.xlookup(MIN(AB$41:AB$61),AB$41:AB$61,AP$41:AP$61),TRUE(),_xlfn.xlookup(MIN(AB$41:AB$160),AB$41:AB$160,AP$41:AP$160))</f>
        <v>#NAME?</v>
      </c>
      <c r="M30" s="214" t="e">
        <f aca="false" t="array" ref="M30:M30">_xlfn.IFS(AND(COUNT(M$10:M$16)&gt;=7,AC$160&lt;'Titer Calculation'!$T$6),AQ$160,AND(COUNT(M$10:M$16)&gt;=6,MIN(AC$153:AC$159)&lt;'Titer Calculation'!$T$6),_xlfn.xlookup(MIN(AC$153:AC$159),AC$153:AC$159,AQ$153:AQ$159),AND(COUNT(M$10:M$16)&gt;=5,MIN(AC$132:AC$152)&lt;'Titer Calculation'!$T$6),_xlfn.xlookup(MIN(AC$132:AC$152),AC$132:AC$152,AQ$132:AQ$152),AND(COUNT(M$10:M$16)&gt;=4,MIN(AC$97:AC$131)&lt;'Titer Calculation'!$T$6),_xlfn.xlookup(MIN(AC$97:AC$131),AC$97:AC$131,AQ$97:AQ$131),AND(COUNT(M$10:M$16)&gt;=3,MIN(AC$62:AC$96)&lt;'Titer Calculation'!$T$6),_xlfn.xlookup(MIN(AC$62:AC$96),AC$62:AC$96,AQ$62:AQ$96),AND(COUNT(M$10:M$16)&gt;=2,MIN(AC$41:AC$61)&lt;'Titer Calculation'!$T$6),_xlfn.xlookup(MIN(AC$41:AC$61),AC$41:AC$61,AQ$41:AQ$61),TRUE(),_xlfn.xlookup(MIN(AC$41:AC$160),AC$41:AC$160,AQ$41:AQ$160))</f>
        <v>#NAME?</v>
      </c>
      <c r="N30" s="214" t="e">
        <f aca="false" t="array" ref="N30:N30">_xlfn.IFS(AND(COUNT(N$10:N$16)&gt;=7,AD$160&lt;'Titer Calculation'!$T$6),AR$160,AND(COUNT(N$10:N$16)&gt;=6,MIN(AD$153:AD$159)&lt;'Titer Calculation'!$T$6),_xlfn.xlookup(MIN(AD$153:AD$159),AD$153:AD$159,AR$153:AR$159),AND(COUNT(N$10:N$16)&gt;=5,MIN(AD$132:AD$152)&lt;'Titer Calculation'!$T$6),_xlfn.xlookup(MIN(AD$132:AD$152),AD$132:AD$152,AR$132:AR$152),AND(COUNT(N$10:N$16)&gt;=4,MIN(AD$97:AD$131)&lt;'Titer Calculation'!$T$6),_xlfn.xlookup(MIN(AD$97:AD$131),AD$97:AD$131,AR$97:AR$131),AND(COUNT(N$10:N$16)&gt;=3,MIN(AD$62:AD$96)&lt;'Titer Calculation'!$T$6),_xlfn.xlookup(MIN(AD$62:AD$96),AD$62:AD$96,AR$62:AR$96),AND(COUNT(N$10:N$16)&gt;=2,MIN(AD$41:AD$61)&lt;'Titer Calculation'!$T$6),_xlfn.xlookup(MIN(AD$41:AD$61),AD$41:AD$61,AR$41:AR$61),TRUE(),_xlfn.xlookup(MIN(AD$41:AD$160),AD$41:AD$160,AR$41:AR$160))</f>
        <v>#NAME?</v>
      </c>
      <c r="O30" s="211"/>
      <c r="P30" s="44"/>
      <c r="Q30" s="83"/>
      <c r="R30" s="212"/>
      <c r="S30" s="44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75"/>
      <c r="AP30" s="44"/>
      <c r="AQ30" s="44"/>
      <c r="AR30" s="44"/>
    </row>
    <row r="31" customFormat="false" ht="15.75" hidden="false" customHeight="false" outlineLevel="0" collapsed="false">
      <c r="A31" s="213" t="s">
        <v>241</v>
      </c>
      <c r="B31" s="213"/>
      <c r="C31" s="216" t="n">
        <f aca="false" t="array" ref="C31:C31">_xlfn.IFS(AND(COUNT(C$10:C$16)&gt;=7,S$160&lt;'Titer Calculation'!$T$6),S$160,AND(COUNT(C$10:C$16)&gt;=6,MIN(S$153:S$159)&lt;'Titer Calculation'!$T$6),MIN(S$153:S$159),AND(COUNT(C$10:C$16)&gt;=5,MIN(S$132:S$152)&lt;'Titer Calculation'!$T$6),MIN(S$132:S$152),AND(COUNT(C$10:C$16)&gt;=4,MIN(S$97:S$131)&lt;'Titer Calculation'!$T$6),MIN(S$97:S$131),AND(COUNT(C$10:C$16)&gt;=3,MIN(S$62:S$96)&lt;'Titer Calculation'!$T$6),MIN(S$62:S$96),AND(COUNT(C$10:C$16)&gt;=2,MIN(S$41:S$61)&lt;'Titer Calculation'!$T$6),MIN(S$41:S$61),TRUE(),MIN(S$41:S160))</f>
        <v>0</v>
      </c>
      <c r="D31" s="216" t="n">
        <f aca="false" t="array" ref="D31:D31">_xlfn.IFS(AND(COUNT(D$10:D$16)&gt;=7,T$160&lt;'Titer Calculation'!$T$6),T$160,AND(COUNT(D$10:D$16)&gt;=6,MIN(T$153:T$159)&lt;'Titer Calculation'!$T$6),MIN(T$153:T$159),AND(COUNT(D$10:D$16)&gt;=5,MIN(T$132:T$152)&lt;'Titer Calculation'!$T$6),MIN(T$132:T$152),AND(COUNT(D$10:D$16)&gt;=4,MIN(T$97:T$131)&lt;'Titer Calculation'!$T$6),MIN(T$97:T$131),AND(COUNT(D$10:D$16)&gt;=3,MIN(T$62:T$96)&lt;'Titer Calculation'!$T$6),MIN(T$62:T$96),AND(COUNT(D$10:D$16)&gt;=2,MIN(T$41:T$61)&lt;'Titer Calculation'!$T$6),MIN(T$41:T$61),TRUE(),MIN(T$41:T160))</f>
        <v>0</v>
      </c>
      <c r="E31" s="216" t="n">
        <f aca="false" t="array" ref="E31:E31">_xlfn.IFS(AND(COUNT(E$10:E$16)&gt;=7,U$160&lt;'Titer Calculation'!$T$6),U$160,AND(COUNT(E$10:E$16)&gt;=6,MIN(U$153:U$159)&lt;'Titer Calculation'!$T$6),MIN(U$153:U$159),AND(COUNT(E$10:E$16)&gt;=5,MIN(U$132:U$152)&lt;'Titer Calculation'!$T$6),MIN(U$132:U$152),AND(COUNT(E$10:E$16)&gt;=4,MIN(U$97:U$131)&lt;'Titer Calculation'!$T$6),MIN(U$97:U$131),AND(COUNT(E$10:E$16)&gt;=3,MIN(U$62:U$96)&lt;'Titer Calculation'!$T$6),MIN(U$62:U$96),AND(COUNT(E$10:E$16)&gt;=2,MIN(U$41:U$61)&lt;'Titer Calculation'!$T$6),MIN(U$41:U$61),TRUE(),MIN(U$41:U160))</f>
        <v>0</v>
      </c>
      <c r="F31" s="216" t="n">
        <f aca="false" t="array" ref="F31:F31">_xlfn.IFS(AND(COUNT(F$10:F$16)&gt;=7,V$160&lt;'Titer Calculation'!$T$6),V$160,AND(COUNT(F$10:F$16)&gt;=6,MIN(V$153:V$159)&lt;'Titer Calculation'!$T$6),MIN(V$153:V$159),AND(COUNT(F$10:F$16)&gt;=5,MIN(V$132:V$152)&lt;'Titer Calculation'!$T$6),MIN(V$132:V$152),AND(COUNT(F$10:F$16)&gt;=4,MIN(V$97:V$131)&lt;'Titer Calculation'!$T$6),MIN(V$97:V$131),AND(COUNT(F$10:F$16)&gt;=3,MIN(V$62:V$96)&lt;'Titer Calculation'!$T$6),MIN(V$62:V$96),AND(COUNT(F$10:F$16)&gt;=2,MIN(V$41:V$61)&lt;'Titer Calculation'!$T$6),MIN(V$41:V$61),TRUE(),MIN(V$41:V160))</f>
        <v>0</v>
      </c>
      <c r="G31" s="216" t="n">
        <f aca="false" t="array" ref="G31:G31">_xlfn.IFS(AND(COUNT(G$10:G$16)&gt;=7,W$160&lt;'Titer Calculation'!$T$6),W$160,AND(COUNT(G$10:G$16)&gt;=6,MIN(W$153:W$159)&lt;'Titer Calculation'!$T$6),MIN(W$153:W$159),AND(COUNT(G$10:G$16)&gt;=5,MIN(W$132:W$152)&lt;'Titer Calculation'!$T$6),MIN(W$132:W$152),AND(COUNT(G$10:G$16)&gt;=4,MIN(W$97:W$131)&lt;'Titer Calculation'!$T$6),MIN(W$97:W$131),AND(COUNT(G$10:G$16)&gt;=3,MIN(W$62:W$96)&lt;'Titer Calculation'!$T$6),MIN(W$62:W$96),AND(COUNT(G$10:G$16)&gt;=2,MIN(W$41:W$61)&lt;'Titer Calculation'!$T$6),MIN(W$41:W$61),TRUE(),MIN(W$41:W160))</f>
        <v>0</v>
      </c>
      <c r="H31" s="216" t="n">
        <f aca="false" t="array" ref="H31:H31">_xlfn.IFS(AND(COUNT(H$10:H$16)&gt;=7,X$160&lt;'Titer Calculation'!$T$6),X$160,AND(COUNT(H$10:H$16)&gt;=6,MIN(X$153:X$159)&lt;'Titer Calculation'!$T$6),MIN(X$153:X$159),AND(COUNT(H$10:H$16)&gt;=5,MIN(X$132:X$152)&lt;'Titer Calculation'!$T$6),MIN(X$132:X$152),AND(COUNT(H$10:H$16)&gt;=4,MIN(X$97:X$131)&lt;'Titer Calculation'!$T$6),MIN(X$97:X$131),AND(COUNT(H$10:H$16)&gt;=3,MIN(X$62:X$96)&lt;'Titer Calculation'!$T$6),MIN(X$62:X$96),AND(COUNT(H$10:H$16)&gt;=2,MIN(X$41:X$61)&lt;'Titer Calculation'!$T$6),MIN(X$41:X$61),TRUE(),MIN(X$41:X160))</f>
        <v>0</v>
      </c>
      <c r="I31" s="216" t="n">
        <f aca="false" t="array" ref="I31:I31">_xlfn.IFS(AND(COUNT(I$10:I$16)&gt;=7,Y$160&lt;'Titer Calculation'!$T$6),Y$160,AND(COUNT(I$10:I$16)&gt;=6,MIN(Y$153:Y$159)&lt;'Titer Calculation'!$T$6),MIN(Y$153:Y$159),AND(COUNT(I$10:I$16)&gt;=5,MIN(Y$132:Y$152)&lt;'Titer Calculation'!$T$6),MIN(Y$132:Y$152),AND(COUNT(I$10:I$16)&gt;=4,MIN(Y$97:Y$131)&lt;'Titer Calculation'!$T$6),MIN(Y$97:Y$131),AND(COUNT(I$10:I$16)&gt;=3,MIN(Y$62:Y$96)&lt;'Titer Calculation'!$T$6),MIN(Y$62:Y$96),AND(COUNT(I$10:I$16)&gt;=2,MIN(Y$41:Y$61)&lt;'Titer Calculation'!$T$6),MIN(Y$41:Y$61),TRUE(),MIN(Y$41:Y160))</f>
        <v>0</v>
      </c>
      <c r="J31" s="216" t="n">
        <f aca="false" t="array" ref="J31:J31">_xlfn.IFS(AND(COUNT(J$10:J$16)&gt;=7,Z$160&lt;'Titer Calculation'!$T$6),Z$160,AND(COUNT(J$10:J$16)&gt;=6,MIN(Z$153:Z$159)&lt;'Titer Calculation'!$T$6),MIN(Z$153:Z$159),AND(COUNT(J$10:J$16)&gt;=5,MIN(Z$132:Z$152)&lt;'Titer Calculation'!$T$6),MIN(Z$132:Z$152),AND(COUNT(J$10:J$16)&gt;=4,MIN(Z$97:Z$131)&lt;'Titer Calculation'!$T$6),MIN(Z$97:Z$131),AND(COUNT(J$10:J$16)&gt;=3,MIN(Z$62:Z$96)&lt;'Titer Calculation'!$T$6),MIN(Z$62:Z$96),AND(COUNT(J$10:J$16)&gt;=2,MIN(Z$41:Z$61)&lt;'Titer Calculation'!$T$6),MIN(Z$41:Z$61),TRUE(),MIN(Z$41:Z160))</f>
        <v>0</v>
      </c>
      <c r="K31" s="216" t="n">
        <f aca="false" t="array" ref="K31:K31">_xlfn.IFS(AND(COUNT(K$10:K$16)&gt;=7,AA$160&lt;'Titer Calculation'!$T$6),AA$160,AND(COUNT(K$10:K$16)&gt;=6,MIN(AA$153:AA$159)&lt;'Titer Calculation'!$T$6),MIN(AA$153:AA$159),AND(COUNT(K$10:K$16)&gt;=5,MIN(AA$132:AA$152)&lt;'Titer Calculation'!$T$6),MIN(AA$132:AA$152),AND(COUNT(K$10:K$16)&gt;=4,MIN(AA$97:AA$131)&lt;'Titer Calculation'!$T$6),MIN(AA$97:AA$131),AND(COUNT(K$10:K$16)&gt;=3,MIN(AA$62:AA$96)&lt;'Titer Calculation'!$T$6),MIN(AA$62:AA$96),AND(COUNT(K$10:K$16)&gt;=2,MIN(AA$41:AA$61)&lt;'Titer Calculation'!$T$6),MIN(AA$41:AA$61),TRUE(),MIN(AA$41:AA160))</f>
        <v>0</v>
      </c>
      <c r="L31" s="216" t="n">
        <f aca="false" t="array" ref="L31:L31">_xlfn.IFS(AND(COUNT(L$10:L$16)&gt;=7,AB$160&lt;'Titer Calculation'!$T$6),AB$160,AND(COUNT(L$10:L$16)&gt;=6,MIN(AB$153:AB$159)&lt;'Titer Calculation'!$T$6),MIN(AB$153:AB$159),AND(COUNT(L$10:L$16)&gt;=5,MIN(AB$132:AB$152)&lt;'Titer Calculation'!$T$6),MIN(AB$132:AB$152),AND(COUNT(L$10:L$16)&gt;=4,MIN(AB$97:AB$131)&lt;'Titer Calculation'!$T$6),MIN(AB$97:AB$131),AND(COUNT(L$10:L$16)&gt;=3,MIN(AB$62:AB$96)&lt;'Titer Calculation'!$T$6),MIN(AB$62:AB$96),AND(COUNT(L$10:L$16)&gt;=2,MIN(AB$41:AB$61)&lt;'Titer Calculation'!$T$6),MIN(AB$41:AB$61),TRUE(),MIN(AB$41:AB160))</f>
        <v>0</v>
      </c>
      <c r="M31" s="216" t="n">
        <f aca="false" t="array" ref="M31:M31">_xlfn.IFS(AND(COUNT(M$10:M$16)&gt;=7,AC$160&lt;'Titer Calculation'!$T$6),AC$160,AND(COUNT(M$10:M$16)&gt;=6,MIN(AC$153:AC$159)&lt;'Titer Calculation'!$T$6),MIN(AC$153:AC$159),AND(COUNT(M$10:M$16)&gt;=5,MIN(AC$132:AC$152)&lt;'Titer Calculation'!$T$6),MIN(AC$132:AC$152),AND(COUNT(M$10:M$16)&gt;=4,MIN(AC$97:AC$131)&lt;'Titer Calculation'!$T$6),MIN(AC$97:AC$131),AND(COUNT(M$10:M$16)&gt;=3,MIN(AC$62:AC$96)&lt;'Titer Calculation'!$T$6),MIN(AC$62:AC$96),AND(COUNT(M$10:M$16)&gt;=2,MIN(AC$41:AC$61)&lt;'Titer Calculation'!$T$6),MIN(AC$41:AC$61),TRUE(),MIN(AC$41:AC160))</f>
        <v>0</v>
      </c>
      <c r="N31" s="216" t="n">
        <f aca="false" t="array" ref="N31:N31">_xlfn.IFS(AND(COUNT(N$10:N$16)&gt;=7,AD$160&lt;'Titer Calculation'!$T$6),AD$160,AND(COUNT(N$10:N$16)&gt;=6,MIN(AD$153:AD$159)&lt;'Titer Calculation'!$T$6),MIN(AD$153:AD$159),AND(COUNT(N$10:N$16)&gt;=5,MIN(AD$132:AD$152)&lt;'Titer Calculation'!$T$6),MIN(AD$132:AD$152),AND(COUNT(N$10:N$16)&gt;=4,MIN(AD$97:AD$131)&lt;'Titer Calculation'!$T$6),MIN(AD$97:AD$131),AND(COUNT(N$10:N$16)&gt;=3,MIN(AD$62:AD$96)&lt;'Titer Calculation'!$T$6),MIN(AD$62:AD$96),AND(COUNT(N$10:N$16)&gt;=2,MIN(AD$41:AD$61)&lt;'Titer Calculation'!$T$6),MIN(AD$41:AD$61),TRUE(),MIN(AD$41:AD160))</f>
        <v>0</v>
      </c>
      <c r="O31" s="211"/>
      <c r="P31" s="44"/>
      <c r="Q31" s="83"/>
      <c r="R31" s="212"/>
      <c r="S31" s="44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75"/>
      <c r="AP31" s="44"/>
      <c r="AQ31" s="44"/>
      <c r="AR31" s="44"/>
    </row>
    <row r="32" customFormat="false" ht="15.75" hidden="false" customHeight="false" outlineLevel="0" collapsed="false">
      <c r="A32" s="42"/>
      <c r="B32" s="42"/>
      <c r="C32" s="217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211"/>
      <c r="P32" s="44"/>
      <c r="Q32" s="83"/>
      <c r="R32" s="212"/>
      <c r="S32" s="44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75"/>
      <c r="AP32" s="44"/>
      <c r="AQ32" s="44"/>
      <c r="AR32" s="44"/>
    </row>
    <row r="33" customFormat="false" ht="15.75" hidden="false" customHeight="false" outlineLevel="0" collapsed="false">
      <c r="A33" s="42"/>
      <c r="B33" s="42"/>
      <c r="C33" s="217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211"/>
      <c r="P33" s="44"/>
      <c r="Q33" s="83"/>
      <c r="R33" s="212"/>
      <c r="S33" s="44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75"/>
      <c r="AP33" s="44"/>
      <c r="AQ33" s="44"/>
      <c r="AR33" s="44"/>
    </row>
    <row r="34" customFormat="false" ht="15.75" hidden="false" customHeight="false" outlineLevel="0" collapsed="false">
      <c r="A34" s="42"/>
      <c r="B34" s="42"/>
      <c r="C34" s="217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211"/>
      <c r="P34" s="44"/>
      <c r="Q34" s="83"/>
      <c r="R34" s="212"/>
      <c r="S34" s="44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75"/>
      <c r="AP34" s="44"/>
      <c r="AQ34" s="44"/>
      <c r="AR34" s="44"/>
    </row>
    <row r="35" customFormat="false" ht="15.75" hidden="false" customHeight="false" outlineLevel="0" collapsed="false">
      <c r="A35" s="42"/>
      <c r="B35" s="42"/>
      <c r="C35" s="217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211"/>
      <c r="P35" s="44"/>
      <c r="Q35" s="83"/>
      <c r="R35" s="212"/>
      <c r="S35" s="44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75"/>
      <c r="AP35" s="44"/>
      <c r="AQ35" s="44"/>
      <c r="AR35" s="44"/>
    </row>
    <row r="36" customFormat="false" ht="15.75" hidden="false" customHeight="false" outlineLevel="0" collapsed="false">
      <c r="A36" s="42"/>
      <c r="B36" s="42"/>
      <c r="C36" s="217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211"/>
      <c r="P36" s="44"/>
      <c r="Q36" s="83"/>
      <c r="R36" s="212"/>
      <c r="S36" s="44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75"/>
      <c r="AP36" s="44"/>
      <c r="AQ36" s="44"/>
      <c r="AR36" s="44"/>
    </row>
    <row r="37" customFormat="false" ht="15.75" hidden="false" customHeight="false" outlineLevel="0" collapsed="false">
      <c r="A37" s="42"/>
      <c r="B37" s="42"/>
      <c r="C37" s="217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211"/>
      <c r="P37" s="44"/>
      <c r="Q37" s="83"/>
      <c r="R37" s="42" t="s">
        <v>279</v>
      </c>
      <c r="S37" s="44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44"/>
      <c r="AF37" s="42" t="s">
        <v>279</v>
      </c>
      <c r="AG37" s="44"/>
      <c r="AH37" s="44"/>
      <c r="AI37" s="44"/>
      <c r="AJ37" s="44"/>
      <c r="AK37" s="44"/>
      <c r="AL37" s="44"/>
      <c r="AM37" s="44"/>
      <c r="AN37" s="44"/>
      <c r="AO37" s="75"/>
      <c r="AP37" s="44"/>
      <c r="AQ37" s="44"/>
      <c r="AR37" s="44"/>
    </row>
    <row r="38" customFormat="false" ht="20.25" hidden="false" customHeight="false" outlineLevel="0" collapsed="false">
      <c r="A38" s="42"/>
      <c r="B38" s="42"/>
      <c r="C38" s="217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211"/>
      <c r="P38" s="44"/>
      <c r="Q38" s="83"/>
      <c r="R38" s="218" t="s">
        <v>214</v>
      </c>
      <c r="S38" s="44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75"/>
      <c r="AP38" s="44"/>
      <c r="AQ38" s="44"/>
      <c r="AR38" s="44"/>
    </row>
    <row r="39" customFormat="false" ht="15.75" hidden="false" customHeight="false" outlineLevel="0" collapsed="false">
      <c r="A39" s="42" t="s">
        <v>279</v>
      </c>
      <c r="B39" s="42"/>
      <c r="C39" s="21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211"/>
      <c r="P39" s="44"/>
      <c r="Q39" s="83"/>
      <c r="R39" s="120" t="s">
        <v>280</v>
      </c>
      <c r="S39" s="44"/>
      <c r="T39" s="120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 t="s">
        <v>281</v>
      </c>
      <c r="AG39" s="44"/>
      <c r="AH39" s="44"/>
      <c r="AI39" s="44"/>
      <c r="AJ39" s="44"/>
      <c r="AK39" s="44"/>
      <c r="AL39" s="44"/>
      <c r="AM39" s="44"/>
      <c r="AN39" s="44"/>
      <c r="AO39" s="75"/>
      <c r="AP39" s="44"/>
      <c r="AQ39" s="44"/>
      <c r="AR39" s="44"/>
    </row>
    <row r="40" customFormat="false" ht="15.75" hidden="false" customHeight="false" outlineLevel="0" collapsed="false">
      <c r="A40" s="42" t="s">
        <v>282</v>
      </c>
      <c r="B40" s="42"/>
      <c r="C40" s="75" t="n">
        <v>1</v>
      </c>
      <c r="D40" s="75" t="n">
        <v>2</v>
      </c>
      <c r="E40" s="75" t="n">
        <v>3</v>
      </c>
      <c r="F40" s="75" t="n">
        <v>4</v>
      </c>
      <c r="G40" s="75" t="n">
        <v>5</v>
      </c>
      <c r="H40" s="75" t="n">
        <v>6</v>
      </c>
      <c r="I40" s="75" t="n">
        <v>7</v>
      </c>
      <c r="J40" s="75" t="n">
        <v>8</v>
      </c>
      <c r="K40" s="75" t="n">
        <v>9</v>
      </c>
      <c r="L40" s="75" t="n">
        <v>10</v>
      </c>
      <c r="M40" s="75" t="n">
        <v>11</v>
      </c>
      <c r="N40" s="75" t="n">
        <v>12</v>
      </c>
      <c r="O40" s="211"/>
      <c r="P40" s="44"/>
      <c r="Q40" s="83"/>
      <c r="R40" s="212" t="s">
        <v>283</v>
      </c>
      <c r="S40" s="75" t="n">
        <v>1</v>
      </c>
      <c r="T40" s="75" t="n">
        <v>2</v>
      </c>
      <c r="U40" s="75" t="n">
        <v>3</v>
      </c>
      <c r="V40" s="75" t="n">
        <v>4</v>
      </c>
      <c r="W40" s="75" t="n">
        <v>5</v>
      </c>
      <c r="X40" s="75" t="n">
        <v>6</v>
      </c>
      <c r="Y40" s="75" t="n">
        <v>7</v>
      </c>
      <c r="Z40" s="75" t="n">
        <v>8</v>
      </c>
      <c r="AA40" s="75" t="n">
        <v>9</v>
      </c>
      <c r="AB40" s="75" t="n">
        <v>10</v>
      </c>
      <c r="AC40" s="75" t="n">
        <v>11</v>
      </c>
      <c r="AD40" s="75" t="n">
        <v>12</v>
      </c>
      <c r="AE40" s="44"/>
      <c r="AF40" s="219" t="s">
        <v>240</v>
      </c>
      <c r="AG40" s="75" t="n">
        <v>1</v>
      </c>
      <c r="AH40" s="75" t="n">
        <v>2</v>
      </c>
      <c r="AI40" s="75" t="n">
        <v>3</v>
      </c>
      <c r="AJ40" s="75" t="n">
        <v>4</v>
      </c>
      <c r="AK40" s="75" t="n">
        <v>5</v>
      </c>
      <c r="AL40" s="75" t="n">
        <v>6</v>
      </c>
      <c r="AM40" s="75" t="n">
        <v>7</v>
      </c>
      <c r="AN40" s="75" t="n">
        <v>8</v>
      </c>
      <c r="AO40" s="75" t="n">
        <v>9</v>
      </c>
      <c r="AP40" s="75" t="n">
        <v>10</v>
      </c>
      <c r="AQ40" s="75" t="n">
        <v>11</v>
      </c>
      <c r="AR40" s="75" t="n">
        <v>12</v>
      </c>
    </row>
    <row r="41" customFormat="false" ht="15.75" hidden="false" customHeight="false" outlineLevel="0" collapsed="false">
      <c r="A41" s="290" t="s">
        <v>284</v>
      </c>
      <c r="B41" s="281"/>
      <c r="C41" s="291" t="str">
        <f aca="false">IFERROR(IF(C$21*C22&gt;0,AVERAGE(C$21,C22),""),"")</f>
        <v/>
      </c>
      <c r="D41" s="291" t="str">
        <f aca="false">IFERROR(IF(D$21*D22&gt;0,AVERAGE(D$21,D22),""),"")</f>
        <v/>
      </c>
      <c r="E41" s="291" t="str">
        <f aca="false">IFERROR(IF(E$21*E22&gt;0,AVERAGE(E$21,E22),""),"")</f>
        <v/>
      </c>
      <c r="F41" s="291" t="str">
        <f aca="false">IFERROR(IF(F$21*F22&gt;0,AVERAGE(F$21,F22),""),"")</f>
        <v/>
      </c>
      <c r="G41" s="291" t="str">
        <f aca="false">IFERROR(IF(G$21*G22&gt;0,AVERAGE(G$21,G22),""),"")</f>
        <v/>
      </c>
      <c r="H41" s="291" t="str">
        <f aca="false">IFERROR(IF(H$21*H22&gt;0,AVERAGE(H$21,H22),""),"")</f>
        <v/>
      </c>
      <c r="I41" s="291" t="str">
        <f aca="false">IFERROR(IF(I$21*I22&gt;0,AVERAGE(I$21,I22),""),"")</f>
        <v/>
      </c>
      <c r="J41" s="291" t="str">
        <f aca="false">IFERROR(IF(J$21*J22&gt;0,AVERAGE(J$21,J22),""),"")</f>
        <v/>
      </c>
      <c r="K41" s="291" t="str">
        <f aca="false">IFERROR(IF(K$21*K22&gt;0,AVERAGE(K$21,K22),""),"")</f>
        <v/>
      </c>
      <c r="L41" s="291" t="str">
        <f aca="false">IFERROR(IF(L$21*L22&gt;0,AVERAGE(L$21,L22),""),"")</f>
        <v/>
      </c>
      <c r="M41" s="291" t="str">
        <f aca="false">IFERROR(IF(M$21*M22&gt;0,AVERAGE(M$21,M22),""),"")</f>
        <v/>
      </c>
      <c r="N41" s="291" t="str">
        <f aca="false">IFERROR(IF(N$21*N22&gt;0,AVERAGE(N$21,N22),""),"")</f>
        <v/>
      </c>
      <c r="O41" s="292" t="n">
        <v>2</v>
      </c>
      <c r="P41" s="282" t="n">
        <f aca="false">COMBIN(7,2)</f>
        <v>21</v>
      </c>
      <c r="Q41" s="283" t="n">
        <f aca="false">ROW(N61)-ROW(N41)+1</f>
        <v>21</v>
      </c>
      <c r="R41" s="293" t="s">
        <v>285</v>
      </c>
      <c r="S41" s="294" t="str">
        <f aca="false">IFERROR(IF(C$21*C22&gt;0,STDEV(C$21,C22),"")/IF(C$21*C22&gt;0,AVERAGE(C$21,C22),""),"")</f>
        <v/>
      </c>
      <c r="T41" s="294" t="str">
        <f aca="false">IFERROR(IF(D$21*D22&gt;0,STDEV(D$21,D22),"")/IF(D$21*D22&gt;0,AVERAGE(D$21,D22),""),"")</f>
        <v/>
      </c>
      <c r="U41" s="294" t="str">
        <f aca="false">IFERROR(IF(E$21*E22&gt;0,STDEV(E$21,E22),"")/IF(E$21*E22&gt;0,AVERAGE(E$21,E22),""),"")</f>
        <v/>
      </c>
      <c r="V41" s="294" t="str">
        <f aca="false">IFERROR(IF(F$21*F22&gt;0,STDEV(F$21,F22),"")/IF(F$21*F22&gt;0,AVERAGE(F$21,F22),""),"")</f>
        <v/>
      </c>
      <c r="W41" s="294" t="str">
        <f aca="false">IFERROR(IF(G$21*G22&gt;0,STDEV(G$21,G22),"")/IF(G$21*G22&gt;0,AVERAGE(G$21,G22),""),"")</f>
        <v/>
      </c>
      <c r="X41" s="294" t="str">
        <f aca="false">IFERROR(IF(H$21*H22&gt;0,STDEV(H$21,H22),"")/IF(H$21*H22&gt;0,AVERAGE(H$21,H22),""),"")</f>
        <v/>
      </c>
      <c r="Y41" s="294" t="str">
        <f aca="false">IFERROR(IF(I$21*I22&gt;0,STDEV(I$21,I22),"")/IF(I$21*I22&gt;0,AVERAGE(I$21,I22),""),"")</f>
        <v/>
      </c>
      <c r="Z41" s="294" t="str">
        <f aca="false">IFERROR(IF(J$21*J22&gt;0,STDEV(J$21,J22),"")/IF(J$21*J22&gt;0,AVERAGE(J$21,J22),""),"")</f>
        <v/>
      </c>
      <c r="AA41" s="294" t="str">
        <f aca="false">IFERROR(IF(K$21*K22&gt;0,STDEV(K$21,K22),"")/IF(K$21*K22&gt;0,AVERAGE(K$21,K22),""),"")</f>
        <v/>
      </c>
      <c r="AB41" s="294" t="str">
        <f aca="false">IFERROR(IF(L$21*L22&gt;0,STDEV(L$21,L22),"")/IF(L$21*L22&gt;0,AVERAGE(L$21,L22),""),"")</f>
        <v/>
      </c>
      <c r="AC41" s="294" t="str">
        <f aca="false">IFERROR(IF(M$21*M22&gt;0,STDEV(M$21,M22),"")/IF(M$21*M22&gt;0,AVERAGE(M$21,M22),""),"")</f>
        <v/>
      </c>
      <c r="AD41" s="294" t="str">
        <f aca="false">IFERROR(IF(N$21*N22&gt;0,STDEV(N$21,N22),"")/IF(N$21*N22&gt;0,AVERAGE(N$21,N22),""),"")</f>
        <v/>
      </c>
      <c r="AE41" s="120"/>
      <c r="AF41" s="266" t="s">
        <v>286</v>
      </c>
      <c r="AG41" s="287" t="str">
        <f aca="false">IFERROR(IF(C$21*C22&gt;0,STDEV(C$21,C22)," ")/IF(C$21*C22&gt;0,SQRT(COUNT(C$21,C22)),""),"")</f>
        <v/>
      </c>
      <c r="AH41" s="287" t="str">
        <f aca="false">IFERROR(IF(D$21*D22&gt;0,STDEV(D$21,D22)," ")/IF(D$21*D22&gt;0,SQRT(COUNT(D$21,D22)),""),"")</f>
        <v/>
      </c>
      <c r="AI41" s="287" t="str">
        <f aca="false">IFERROR(IF(E$21*E22&gt;0,STDEV(E$21,E22)," ")/IF(E$21*E22&gt;0,SQRT(COUNT(E$21,E22)),""),"")</f>
        <v/>
      </c>
      <c r="AJ41" s="287" t="str">
        <f aca="false">IFERROR(IF(F$21*F22&gt;0,STDEV(F$21,F22)," ")/IF(F$21*F22&gt;0,SQRT(COUNT(F$21,F22)),""),"")</f>
        <v/>
      </c>
      <c r="AK41" s="287" t="str">
        <f aca="false">IFERROR(IF(G$21*G22&gt;0,STDEV(G$21,G22)," ")/IF(G$21*G22&gt;0,SQRT(COUNT(G$21,G22)),""),"")</f>
        <v/>
      </c>
      <c r="AL41" s="287" t="str">
        <f aca="false">IFERROR(IF(H$21*H22&gt;0,STDEV(H$21,H22)," ")/IF(H$21*H22&gt;0,SQRT(COUNT(H$21,H22)),""),"")</f>
        <v/>
      </c>
      <c r="AM41" s="287" t="str">
        <f aca="false">IFERROR(IF(I$21*I22&gt;0,STDEV(I$21,I22)," ")/IF(I$21*I22&gt;0,SQRT(COUNT(I$21,I22)),""),"")</f>
        <v/>
      </c>
      <c r="AN41" s="287" t="str">
        <f aca="false">IFERROR(IF(J$21*J22&gt;0,STDEV(J$21,J22)," ")/IF(J$21*J22&gt;0,SQRT(COUNT(J$21,J22)),""),"")</f>
        <v/>
      </c>
      <c r="AO41" s="287" t="str">
        <f aca="false">IFERROR(IF(K$21*K22&gt;0,STDEV(K$21,K22)," ")/IF(K$21*K22&gt;0,SQRT(COUNT(K$21,K22)),""),"")</f>
        <v/>
      </c>
      <c r="AP41" s="287" t="str">
        <f aca="false">IFERROR(IF(L$21*L22&gt;0,STDEV(L$21,L22)," ")/IF(L$21*L22&gt;0,SQRT(COUNT(L$21,L22)),""),"")</f>
        <v/>
      </c>
      <c r="AQ41" s="287" t="str">
        <f aca="false">IFERROR(IF(M$21*M22&gt;0,STDEV(M$21,M22)," ")/IF(M$21*M22&gt;0,SQRT(COUNT(M$21,M22)),""),"")</f>
        <v/>
      </c>
      <c r="AR41" s="287" t="str">
        <f aca="false">IFERROR(IF(N$21*N22&gt;0,STDEV(N$21,N22)," ")/IF(N$21*N22&gt;0,SQRT(COUNT(N$21,N22)),""),"")</f>
        <v/>
      </c>
    </row>
    <row r="42" customFormat="false" ht="15.75" hidden="false" customHeight="false" outlineLevel="0" collapsed="false">
      <c r="A42" s="290" t="s">
        <v>287</v>
      </c>
      <c r="B42" s="281"/>
      <c r="C42" s="291" t="str">
        <f aca="false">IFERROR(IF(C$21*C23&gt;0,AVERAGE(C$21,C23),""),"")</f>
        <v/>
      </c>
      <c r="D42" s="291" t="str">
        <f aca="false">IFERROR(IF(D$21*D23&gt;0,AVERAGE(D$21,D23),""),"")</f>
        <v/>
      </c>
      <c r="E42" s="291" t="str">
        <f aca="false">IFERROR(IF(E$21*E23&gt;0,AVERAGE(E$21,E23),""),"")</f>
        <v/>
      </c>
      <c r="F42" s="291" t="str">
        <f aca="false">IFERROR(IF(F$21*F23&gt;0,AVERAGE(F$21,F23),""),"")</f>
        <v/>
      </c>
      <c r="G42" s="291" t="str">
        <f aca="false">IFERROR(IF(G$21*G23&gt;0,AVERAGE(G$21,G23),""),"")</f>
        <v/>
      </c>
      <c r="H42" s="291" t="str">
        <f aca="false">IFERROR(IF(H$21*H23&gt;0,AVERAGE(H$21,H23),""),"")</f>
        <v/>
      </c>
      <c r="I42" s="291" t="str">
        <f aca="false">IFERROR(IF(I$21*I23&gt;0,AVERAGE(I$21,I23),""),"")</f>
        <v/>
      </c>
      <c r="J42" s="291" t="str">
        <f aca="false">IFERROR(IF(J$21*J23&gt;0,AVERAGE(J$21,J23),""),"")</f>
        <v/>
      </c>
      <c r="K42" s="291" t="str">
        <f aca="false">IFERROR(IF(K$21*K23&gt;0,AVERAGE(K$21,K23),""),"")</f>
        <v/>
      </c>
      <c r="L42" s="291" t="str">
        <f aca="false">IFERROR(IF(L$21*L23&gt;0,AVERAGE(L$21,L23),""),"")</f>
        <v/>
      </c>
      <c r="M42" s="291" t="str">
        <f aca="false">IFERROR(IF(M$21*M23&gt;0,AVERAGE(M$21,M23),""),"")</f>
        <v/>
      </c>
      <c r="N42" s="291" t="str">
        <f aca="false">IFERROR(IF(N$21*N23&gt;0,AVERAGE(N$21,N23),""),"")</f>
        <v/>
      </c>
      <c r="O42" s="295"/>
      <c r="P42" s="282"/>
      <c r="Q42" s="296"/>
      <c r="R42" s="293" t="s">
        <v>288</v>
      </c>
      <c r="S42" s="294" t="str">
        <f aca="false">IFERROR(IF(C$21*C23&gt;0,STDEV(C$21,C23),"")/IF(C$21*C23&gt;0,AVERAGE(C$21,C23),""),"")</f>
        <v/>
      </c>
      <c r="T42" s="294" t="str">
        <f aca="false">IFERROR(IF(D$21*D23&gt;0,STDEV(D$21,D23),"")/IF(D$21*D23&gt;0,AVERAGE(D$21,D23),""),"")</f>
        <v/>
      </c>
      <c r="U42" s="294" t="str">
        <f aca="false">IFERROR(IF(E$21*E23&gt;0,STDEV(E$21,E23),"")/IF(E$21*E23&gt;0,AVERAGE(E$21,E23),""),"")</f>
        <v/>
      </c>
      <c r="V42" s="294" t="str">
        <f aca="false">IFERROR(IF(F$21*F23&gt;0,STDEV(F$21,F23),"")/IF(F$21*F23&gt;0,AVERAGE(F$21,F23),""),"")</f>
        <v/>
      </c>
      <c r="W42" s="294" t="str">
        <f aca="false">IFERROR(IF(G$21*G23&gt;0,STDEV(G$21,G23),"")/IF(G$21*G23&gt;0,AVERAGE(G$21,G23),""),"")</f>
        <v/>
      </c>
      <c r="X42" s="294" t="str">
        <f aca="false">IFERROR(IF(H$21*H23&gt;0,STDEV(H$21,H23),"")/IF(H$21*H23&gt;0,AVERAGE(H$21,H23),""),"")</f>
        <v/>
      </c>
      <c r="Y42" s="294" t="str">
        <f aca="false">IFERROR(IF(I$21*I23&gt;0,STDEV(I$21,I23),"")/IF(I$21*I23&gt;0,AVERAGE(I$21,I23),""),"")</f>
        <v/>
      </c>
      <c r="Z42" s="294" t="str">
        <f aca="false">IFERROR(IF(J$21*J23&gt;0,STDEV(J$21,J23),"")/IF(J$21*J23&gt;0,AVERAGE(J$21,J23),""),"")</f>
        <v/>
      </c>
      <c r="AA42" s="294" t="str">
        <f aca="false">IFERROR(IF(K$21*K23&gt;0,STDEV(K$21,K23),"")/IF(K$21*K23&gt;0,AVERAGE(K$21,K23),""),"")</f>
        <v/>
      </c>
      <c r="AB42" s="294" t="str">
        <f aca="false">IFERROR(IF(L$21*L23&gt;0,STDEV(L$21,L23),"")/IF(L$21*L23&gt;0,AVERAGE(L$21,L23),""),"")</f>
        <v/>
      </c>
      <c r="AC42" s="294" t="str">
        <f aca="false">IFERROR(IF(M$21*M23&gt;0,STDEV(M$21,M23),"")/IF(M$21*M23&gt;0,AVERAGE(M$21,M23),""),"")</f>
        <v/>
      </c>
      <c r="AD42" s="294" t="str">
        <f aca="false">IFERROR(IF(N$21*N23&gt;0,STDEV(N$21,N23),"")/IF(N$21*N23&gt;0,AVERAGE(N$21,N23),""),"")</f>
        <v/>
      </c>
      <c r="AE42" s="44"/>
      <c r="AF42" s="266" t="s">
        <v>289</v>
      </c>
      <c r="AG42" s="287" t="str">
        <f aca="false">IFERROR(IF(C$21*C22&gt;0,STDEV(C$21,C22)," ")/IF(C$21*C22&gt;0,SQRT(COUNT(C$21,C22)),""),"")</f>
        <v/>
      </c>
      <c r="AH42" s="287" t="str">
        <f aca="false">IFERROR(IF(D$21*D22&gt;0,STDEV(D$21,D22)," ")/IF(D$21*D22&gt;0,SQRT(COUNT(D$21,D22)),""),"")</f>
        <v/>
      </c>
      <c r="AI42" s="287" t="str">
        <f aca="false">IFERROR(IF(E$21*E22&gt;0,STDEV(E$21,E22)," ")/IF(E$21*E22&gt;0,SQRT(COUNT(E$21,E22)),""),"")</f>
        <v/>
      </c>
      <c r="AJ42" s="287" t="str">
        <f aca="false">IFERROR(IF(F$21*F22&gt;0,STDEV(F$21,F22)," ")/IF(F$21*F22&gt;0,SQRT(COUNT(F$21,F22)),""),"")</f>
        <v/>
      </c>
      <c r="AK42" s="287" t="str">
        <f aca="false">IFERROR(IF(G$21*G22&gt;0,STDEV(G$21,G22)," ")/IF(G$21*G22&gt;0,SQRT(COUNT(G$21,G22)),""),"")</f>
        <v/>
      </c>
      <c r="AL42" s="287" t="str">
        <f aca="false">IFERROR(IF(H$21*H22&gt;0,STDEV(H$21,H22)," ")/IF(H$21*H22&gt;0,SQRT(COUNT(H$21,H22)),""),"")</f>
        <v/>
      </c>
      <c r="AM42" s="287" t="str">
        <f aca="false">IFERROR(IF(I$21*I22&gt;0,STDEV(I$21,I22)," ")/IF(I$21*I22&gt;0,SQRT(COUNT(I$21,I22)),""),"")</f>
        <v/>
      </c>
      <c r="AN42" s="287" t="str">
        <f aca="false">IFERROR(IF(J$21*J22&gt;0,STDEV(J$21,J22)," ")/IF(J$21*J22&gt;0,SQRT(COUNT(J$21,J22)),""),"")</f>
        <v/>
      </c>
      <c r="AO42" s="287" t="str">
        <f aca="false">IFERROR(IF(K$21*K22&gt;0,STDEV(K$21,K22)," ")/IF(K$21*K22&gt;0,SQRT(COUNT(K$21,K22)),""),"")</f>
        <v/>
      </c>
      <c r="AP42" s="287" t="str">
        <f aca="false">IFERROR(IF(L$21*L22&gt;0,STDEV(L$21,L22)," ")/IF(L$21*L22&gt;0,SQRT(COUNT(L$21,L22)),""),"")</f>
        <v/>
      </c>
      <c r="AQ42" s="287" t="str">
        <f aca="false">IFERROR(IF(M$21*M22&gt;0,STDEV(M$21,M22)," ")/IF(M$21*M22&gt;0,SQRT(COUNT(M$21,M22)),""),"")</f>
        <v/>
      </c>
      <c r="AR42" s="287" t="str">
        <f aca="false">IFERROR(IF(N$21*N22&gt;0,STDEV(N$21,N22)," ")/IF(N$21*N22&gt;0,SQRT(COUNT(N$21,N22)),""),"")</f>
        <v/>
      </c>
    </row>
    <row r="43" customFormat="false" ht="15.75" hidden="false" customHeight="false" outlineLevel="0" collapsed="false">
      <c r="A43" s="290" t="s">
        <v>290</v>
      </c>
      <c r="B43" s="281"/>
      <c r="C43" s="291" t="str">
        <f aca="false">IFERROR(IF(C$21*C24&gt;0,AVERAGE(C$21,C24),""),"")</f>
        <v/>
      </c>
      <c r="D43" s="291" t="str">
        <f aca="false">IFERROR(IF(D$21*D24&gt;0,AVERAGE(D$21,D24),""),"")</f>
        <v/>
      </c>
      <c r="E43" s="291" t="str">
        <f aca="false">IFERROR(IF(E$21*E24&gt;0,AVERAGE(E$21,E24),""),"")</f>
        <v/>
      </c>
      <c r="F43" s="291" t="str">
        <f aca="false">IFERROR(IF(F$21*F24&gt;0,AVERAGE(F$21,F24),""),"")</f>
        <v/>
      </c>
      <c r="G43" s="291" t="str">
        <f aca="false">IFERROR(IF(G$21*G24&gt;0,AVERAGE(G$21,G24),""),"")</f>
        <v/>
      </c>
      <c r="H43" s="291" t="str">
        <f aca="false">IFERROR(IF(H$21*H24&gt;0,AVERAGE(H$21,H24),""),"")</f>
        <v/>
      </c>
      <c r="I43" s="291" t="str">
        <f aca="false">IFERROR(IF(I$21*I24&gt;0,AVERAGE(I$21,I24),""),"")</f>
        <v/>
      </c>
      <c r="J43" s="291" t="str">
        <f aca="false">IFERROR(IF(J$21*J24&gt;0,AVERAGE(J$21,J24),""),"")</f>
        <v/>
      </c>
      <c r="K43" s="291" t="str">
        <f aca="false">IFERROR(IF(K$21*K24&gt;0,AVERAGE(K$21,K24),""),"")</f>
        <v/>
      </c>
      <c r="L43" s="291" t="str">
        <f aca="false">IFERROR(IF(L$21*L24&gt;0,AVERAGE(L$21,L24),""),"")</f>
        <v/>
      </c>
      <c r="M43" s="291" t="str">
        <f aca="false">IFERROR(IF(M$21*M24&gt;0,AVERAGE(M$21,M24),""),"")</f>
        <v/>
      </c>
      <c r="N43" s="291" t="str">
        <f aca="false">IFERROR(IF(N$21*N24&gt;0,AVERAGE(N$21,N24),""),"")</f>
        <v/>
      </c>
      <c r="O43" s="282"/>
      <c r="P43" s="282"/>
      <c r="Q43" s="296"/>
      <c r="R43" s="293" t="s">
        <v>291</v>
      </c>
      <c r="S43" s="294" t="str">
        <f aca="false">IFERROR(IF(C$21*C24&gt;0,STDEV(C$21,C24),"")/IF(C$21*C24&gt;0,AVERAGE(C$21,C24),""),"")</f>
        <v/>
      </c>
      <c r="T43" s="294" t="str">
        <f aca="false">IFERROR(IF(D$21*D24&gt;0,STDEV(D$21,D24),"")/IF(D$21*D24&gt;0,AVERAGE(D$21,D24),""),"")</f>
        <v/>
      </c>
      <c r="U43" s="294" t="str">
        <f aca="false">IFERROR(IF(E$21*E24&gt;0,STDEV(E$21,E24),"")/IF(E$21*E24&gt;0,AVERAGE(E$21,E24),""),"")</f>
        <v/>
      </c>
      <c r="V43" s="294" t="str">
        <f aca="false">IFERROR(IF(F$21*F24&gt;0,STDEV(F$21,F24),"")/IF(F$21*F24&gt;0,AVERAGE(F$21,F24),""),"")</f>
        <v/>
      </c>
      <c r="W43" s="294" t="str">
        <f aca="false">IFERROR(IF(G$21*G24&gt;0,STDEV(G$21,G24),"")/IF(G$21*G24&gt;0,AVERAGE(G$21,G24),""),"")</f>
        <v/>
      </c>
      <c r="X43" s="294" t="str">
        <f aca="false">IFERROR(IF(H$21*H24&gt;0,STDEV(H$21,H24),"")/IF(H$21*H24&gt;0,AVERAGE(H$21,H24),""),"")</f>
        <v/>
      </c>
      <c r="Y43" s="294" t="str">
        <f aca="false">IFERROR(IF(I$21*I24&gt;0,STDEV(I$21,I24),"")/IF(I$21*I24&gt;0,AVERAGE(I$21,I24),""),"")</f>
        <v/>
      </c>
      <c r="Z43" s="294" t="str">
        <f aca="false">IFERROR(IF(J$21*J24&gt;0,STDEV(J$21,J24),"")/IF(J$21*J24&gt;0,AVERAGE(J$21,J24),""),"")</f>
        <v/>
      </c>
      <c r="AA43" s="294" t="str">
        <f aca="false">IFERROR(IF(K$21*K24&gt;0,STDEV(K$21,K24),"")/IF(K$21*K24&gt;0,AVERAGE(K$21,K24),""),"")</f>
        <v/>
      </c>
      <c r="AB43" s="294" t="str">
        <f aca="false">IFERROR(IF(L$21*L24&gt;0,STDEV(L$21,L24),"")/IF(L$21*L24&gt;0,AVERAGE(L$21,L24),""),"")</f>
        <v/>
      </c>
      <c r="AC43" s="294" t="str">
        <f aca="false">IFERROR(IF(M$21*M24&gt;0,STDEV(M$21,M24),"")/IF(M$21*M24&gt;0,AVERAGE(M$21,M24),""),"")</f>
        <v/>
      </c>
      <c r="AD43" s="294" t="str">
        <f aca="false">IFERROR(IF(N$21*N24&gt;0,STDEV(N$21,N24),"")/IF(N$21*N24&gt;0,AVERAGE(N$21,N24),""),"")</f>
        <v/>
      </c>
      <c r="AE43" s="44"/>
      <c r="AF43" s="266" t="s">
        <v>292</v>
      </c>
      <c r="AG43" s="287" t="str">
        <f aca="false">IFERROR(IF(C$21*C24&gt;0,STDEV(C$21,C24)," ")/IF(C$21*C24&gt;0,SQRT(COUNT(C$21,C24))," "),"")</f>
        <v/>
      </c>
      <c r="AH43" s="287" t="str">
        <f aca="false">IFERROR(IF(D$21*D24&gt;0,STDEV(D$21,D24)," ")/IF(D$21*D24&gt;0,SQRT(COUNT(D$21,D24))," "),"")</f>
        <v/>
      </c>
      <c r="AI43" s="287" t="str">
        <f aca="false">IFERROR(IF(E$21*E24&gt;0,STDEV(E$21,E24)," ")/IF(E$21*E24&gt;0,SQRT(COUNT(E$21,E24))," "),"")</f>
        <v/>
      </c>
      <c r="AJ43" s="287" t="str">
        <f aca="false">IFERROR(IF(F$21*F24&gt;0,STDEV(F$21,F24)," ")/IF(F$21*F24&gt;0,SQRT(COUNT(F$21,F24))," "),"")</f>
        <v/>
      </c>
      <c r="AK43" s="287" t="str">
        <f aca="false">IFERROR(IF(G$21*G24&gt;0,STDEV(G$21,G24)," ")/IF(G$21*G24&gt;0,SQRT(COUNT(G$21,G24))," "),"")</f>
        <v/>
      </c>
      <c r="AL43" s="287" t="str">
        <f aca="false">IFERROR(IF(H$21*H24&gt;0,STDEV(H$21,H24)," ")/IF(H$21*H24&gt;0,SQRT(COUNT(H$21,H24))," "),"")</f>
        <v/>
      </c>
      <c r="AM43" s="287" t="str">
        <f aca="false">IFERROR(IF(I$21*I24&gt;0,STDEV(I$21,I24)," ")/IF(I$21*I24&gt;0,SQRT(COUNT(I$21,I24))," "),"")</f>
        <v/>
      </c>
      <c r="AN43" s="287" t="str">
        <f aca="false">IFERROR(IF(J$21*J24&gt;0,STDEV(J$21,J24)," ")/IF(J$21*J24&gt;0,SQRT(COUNT(J$21,J24))," "),"")</f>
        <v/>
      </c>
      <c r="AO43" s="287" t="str">
        <f aca="false">IFERROR(IF(K$21*K24&gt;0,STDEV(K$21,K24)," ")/IF(K$21*K24&gt;0,SQRT(COUNT(K$21,K24))," "),"")</f>
        <v/>
      </c>
      <c r="AP43" s="287" t="str">
        <f aca="false">IFERROR(IF(L$21*L24&gt;0,STDEV(L$21,L24)," ")/IF(L$21*L24&gt;0,SQRT(COUNT(L$21,L24))," "),"")</f>
        <v/>
      </c>
      <c r="AQ43" s="287" t="str">
        <f aca="false">IFERROR(IF(M$21*M24&gt;0,STDEV(M$21,M24)," ")/IF(M$21*M24&gt;0,SQRT(COUNT(M$21,M24))," "),"")</f>
        <v/>
      </c>
      <c r="AR43" s="287" t="str">
        <f aca="false">IFERROR(IF(N$21*N24&gt;0,STDEV(N$21,N24)," ")/IF(N$21*N24&gt;0,SQRT(COUNT(N$21,N24))," "),"")</f>
        <v/>
      </c>
    </row>
    <row r="44" customFormat="false" ht="15.75" hidden="false" customHeight="false" outlineLevel="0" collapsed="false">
      <c r="A44" s="290" t="s">
        <v>293</v>
      </c>
      <c r="B44" s="281"/>
      <c r="C44" s="291" t="str">
        <f aca="false">IFERROR(IF(C$21*C25&gt;0,AVERAGE(C$21,C25),""),"")</f>
        <v/>
      </c>
      <c r="D44" s="291" t="str">
        <f aca="false">IFERROR(IF(D$21*D25&gt;0,AVERAGE(D$21,D25),""),"")</f>
        <v/>
      </c>
      <c r="E44" s="291" t="str">
        <f aca="false">IFERROR(IF(E$21*E25&gt;0,AVERAGE(E$21,E25),""),"")</f>
        <v/>
      </c>
      <c r="F44" s="291" t="str">
        <f aca="false">IFERROR(IF(F$21*F25&gt;0,AVERAGE(F$21,F25),""),"")</f>
        <v/>
      </c>
      <c r="G44" s="291" t="str">
        <f aca="false">IFERROR(IF(G$21*G25&gt;0,AVERAGE(G$21,G25),""),"")</f>
        <v/>
      </c>
      <c r="H44" s="291" t="str">
        <f aca="false">IFERROR(IF(H$21*H25&gt;0,AVERAGE(H$21,H25),""),"")</f>
        <v/>
      </c>
      <c r="I44" s="291" t="str">
        <f aca="false">IFERROR(IF(I$21*I25&gt;0,AVERAGE(I$21,I25),""),"")</f>
        <v/>
      </c>
      <c r="J44" s="291" t="str">
        <f aca="false">IFERROR(IF(J$21*J25&gt;0,AVERAGE(J$21,J25),""),"")</f>
        <v/>
      </c>
      <c r="K44" s="291" t="str">
        <f aca="false">IFERROR(IF(K$21*K25&gt;0,AVERAGE(K$21,K25),""),"")</f>
        <v/>
      </c>
      <c r="L44" s="291" t="str">
        <f aca="false">IFERROR(IF(L$21*L25&gt;0,AVERAGE(L$21,L25),""),"")</f>
        <v/>
      </c>
      <c r="M44" s="291" t="str">
        <f aca="false">IFERROR(IF(M$21*M25&gt;0,AVERAGE(M$21,M25),""),"")</f>
        <v/>
      </c>
      <c r="N44" s="291" t="str">
        <f aca="false">IFERROR(IF(N$21*N25&gt;0,AVERAGE(N$21,N25),""),"")</f>
        <v/>
      </c>
      <c r="O44" s="282"/>
      <c r="P44" s="282"/>
      <c r="Q44" s="296"/>
      <c r="R44" s="293" t="s">
        <v>294</v>
      </c>
      <c r="S44" s="294" t="str">
        <f aca="false">IFERROR(IF(C$21*C25&gt;0,STDEV(C$21,C25),"")/IF(C$21*C25&gt;0,AVERAGE(C$21,C25),""),"")</f>
        <v/>
      </c>
      <c r="T44" s="294" t="str">
        <f aca="false">IFERROR(IF(D$21*D25&gt;0,STDEV(D$21,D25),"")/IF(D$21*D25&gt;0,AVERAGE(D$21,D25),""),"")</f>
        <v/>
      </c>
      <c r="U44" s="294" t="str">
        <f aca="false">IFERROR(IF(E$21*E25&gt;0,STDEV(E$21,E25),"")/IF(E$21*E25&gt;0,AVERAGE(E$21,E25),""),"")</f>
        <v/>
      </c>
      <c r="V44" s="294" t="str">
        <f aca="false">IFERROR(IF(F$21*F25&gt;0,STDEV(F$21,F25),"")/IF(F$21*F25&gt;0,AVERAGE(F$21,F25),""),"")</f>
        <v/>
      </c>
      <c r="W44" s="294" t="str">
        <f aca="false">IFERROR(IF(G$21*G25&gt;0,STDEV(G$21,G25),"")/IF(G$21*G25&gt;0,AVERAGE(G$21,G25),""),"")</f>
        <v/>
      </c>
      <c r="X44" s="294" t="str">
        <f aca="false">IFERROR(IF(H$21*H25&gt;0,STDEV(H$21,H25),"")/IF(H$21*H25&gt;0,AVERAGE(H$21,H25),""),"")</f>
        <v/>
      </c>
      <c r="Y44" s="294" t="str">
        <f aca="false">IFERROR(IF(I$21*I25&gt;0,STDEV(I$21,I25),"")/IF(I$21*I25&gt;0,AVERAGE(I$21,I25),""),"")</f>
        <v/>
      </c>
      <c r="Z44" s="294" t="str">
        <f aca="false">IFERROR(IF(J$21*J25&gt;0,STDEV(J$21,J25),"")/IF(J$21*J25&gt;0,AVERAGE(J$21,J25),""),"")</f>
        <v/>
      </c>
      <c r="AA44" s="294" t="str">
        <f aca="false">IFERROR(IF(K$21*K25&gt;0,STDEV(K$21,K25),"")/IF(K$21*K25&gt;0,AVERAGE(K$21,K25),""),"")</f>
        <v/>
      </c>
      <c r="AB44" s="294" t="str">
        <f aca="false">IFERROR(IF(L$21*L25&gt;0,STDEV(L$21,L25),"")/IF(L$21*L25&gt;0,AVERAGE(L$21,L25),""),"")</f>
        <v/>
      </c>
      <c r="AC44" s="294" t="str">
        <f aca="false">IFERROR(IF(M$21*M25&gt;0,STDEV(M$21,M25),"")/IF(M$21*M25&gt;0,AVERAGE(M$21,M25),""),"")</f>
        <v/>
      </c>
      <c r="AD44" s="294" t="str">
        <f aca="false">IFERROR(IF(N$21*N25&gt;0,STDEV(N$21,N25),"")/IF(N$21*N25&gt;0,AVERAGE(N$21,N25),""),"")</f>
        <v/>
      </c>
      <c r="AE44" s="44"/>
      <c r="AF44" s="266" t="s">
        <v>295</v>
      </c>
      <c r="AG44" s="287" t="str">
        <f aca="false">IFERROR(IF(C$21*C25&gt;0,STDEV(C$21,C25)," ")/IF(C$21*C25&gt;0,SQRT(COUNT(C$21,C25))," "),"")</f>
        <v/>
      </c>
      <c r="AH44" s="287" t="str">
        <f aca="false">IFERROR(IF(D$21*D25&gt;0,STDEV(D$21,D25)," ")/IF(D$21*D25&gt;0,SQRT(COUNT(D$21,D25))," "),"")</f>
        <v/>
      </c>
      <c r="AI44" s="287" t="str">
        <f aca="false">IFERROR(IF(E$21*E25&gt;0,STDEV(E$21,E25)," ")/IF(E$21*E25&gt;0,SQRT(COUNT(E$21,E25))," "),"")</f>
        <v/>
      </c>
      <c r="AJ44" s="287" t="str">
        <f aca="false">IFERROR(IF(F$21*F25&gt;0,STDEV(F$21,F25)," ")/IF(F$21*F25&gt;0,SQRT(COUNT(F$21,F25))," "),"")</f>
        <v/>
      </c>
      <c r="AK44" s="287" t="str">
        <f aca="false">IFERROR(IF(G$21*G25&gt;0,STDEV(G$21,G25)," ")/IF(G$21*G25&gt;0,SQRT(COUNT(G$21,G25))," "),"")</f>
        <v/>
      </c>
      <c r="AL44" s="287" t="str">
        <f aca="false">IFERROR(IF(H$21*H25&gt;0,STDEV(H$21,H25)," ")/IF(H$21*H25&gt;0,SQRT(COUNT(H$21,H25))," "),"")</f>
        <v/>
      </c>
      <c r="AM44" s="287" t="str">
        <f aca="false">IFERROR(IF(I$21*I25&gt;0,STDEV(I$21,I25)," ")/IF(I$21*I25&gt;0,SQRT(COUNT(I$21,I25))," "),"")</f>
        <v/>
      </c>
      <c r="AN44" s="287" t="str">
        <f aca="false">IFERROR(IF(J$21*J25&gt;0,STDEV(J$21,J25)," ")/IF(J$21*J25&gt;0,SQRT(COUNT(J$21,J25))," "),"")</f>
        <v/>
      </c>
      <c r="AO44" s="287" t="str">
        <f aca="false">IFERROR(IF(K$21*K25&gt;0,STDEV(K$21,K25)," ")/IF(K$21*K25&gt;0,SQRT(COUNT(K$21,K25))," "),"")</f>
        <v/>
      </c>
      <c r="AP44" s="287" t="str">
        <f aca="false">IFERROR(IF(L$21*L25&gt;0,STDEV(L$21,L25)," ")/IF(L$21*L25&gt;0,SQRT(COUNT(L$21,L25))," "),"")</f>
        <v/>
      </c>
      <c r="AQ44" s="287" t="str">
        <f aca="false">IFERROR(IF(M$21*M25&gt;0,STDEV(M$21,M25)," ")/IF(M$21*M25&gt;0,SQRT(COUNT(M$21,M25))," "),"")</f>
        <v/>
      </c>
      <c r="AR44" s="287" t="str">
        <f aca="false">IFERROR(IF(N$21*N25&gt;0,STDEV(N$21,N25)," ")/IF(N$21*N25&gt;0,SQRT(COUNT(N$21,N25))," "),"")</f>
        <v/>
      </c>
    </row>
    <row r="45" customFormat="false" ht="15.75" hidden="false" customHeight="false" outlineLevel="0" collapsed="false">
      <c r="A45" s="290" t="s">
        <v>296</v>
      </c>
      <c r="B45" s="281"/>
      <c r="C45" s="291" t="str">
        <f aca="false">IFERROR(IF(C$21*C26&gt;0,AVERAGE(C$21,C26),""),"")</f>
        <v/>
      </c>
      <c r="D45" s="291" t="str">
        <f aca="false">IFERROR(IF(D$21*D26&gt;0,AVERAGE(D$21,D26),""),"")</f>
        <v/>
      </c>
      <c r="E45" s="291" t="str">
        <f aca="false">IFERROR(IF(E$21*E26&gt;0,AVERAGE(E$21,E26),""),"")</f>
        <v/>
      </c>
      <c r="F45" s="291" t="str">
        <f aca="false">IFERROR(IF(F$21*F26&gt;0,AVERAGE(F$21,F26),""),"")</f>
        <v/>
      </c>
      <c r="G45" s="291" t="str">
        <f aca="false">IFERROR(IF(G$21*G26&gt;0,AVERAGE(G$21,G26),""),"")</f>
        <v/>
      </c>
      <c r="H45" s="291" t="str">
        <f aca="false">IFERROR(IF(H$21*H26&gt;0,AVERAGE(H$21,H26),""),"")</f>
        <v/>
      </c>
      <c r="I45" s="291" t="str">
        <f aca="false">IFERROR(IF(I$21*I26&gt;0,AVERAGE(I$21,I26),""),"")</f>
        <v/>
      </c>
      <c r="J45" s="291" t="str">
        <f aca="false">IFERROR(IF(J$21*J26&gt;0,AVERAGE(J$21,J26),""),"")</f>
        <v/>
      </c>
      <c r="K45" s="291" t="str">
        <f aca="false">IFERROR(IF(K$21*K26&gt;0,AVERAGE(K$21,K26),""),"")</f>
        <v/>
      </c>
      <c r="L45" s="291" t="str">
        <f aca="false">IFERROR(IF(L$21*L26&gt;0,AVERAGE(L$21,L26),""),"")</f>
        <v/>
      </c>
      <c r="M45" s="291" t="str">
        <f aca="false">IFERROR(IF(M$21*M26&gt;0,AVERAGE(M$21,M26),""),"")</f>
        <v/>
      </c>
      <c r="N45" s="291" t="str">
        <f aca="false">IFERROR(IF(N$21*N26&gt;0,AVERAGE(N$21,N26),""),"")</f>
        <v/>
      </c>
      <c r="O45" s="282"/>
      <c r="P45" s="282"/>
      <c r="Q45" s="296"/>
      <c r="R45" s="293" t="s">
        <v>297</v>
      </c>
      <c r="S45" s="294" t="str">
        <f aca="false">IFERROR(IF(C$21*C26&gt;0,STDEV(C$21,C26),"")/IF(C$21*C26&gt;0,AVERAGE(C$21,C26),""),"")</f>
        <v/>
      </c>
      <c r="T45" s="294" t="str">
        <f aca="false">IFERROR(IF(D$21*D26&gt;0,STDEV(D$21,D26),"")/IF(D$21*D26&gt;0,AVERAGE(D$21,D26),""),"")</f>
        <v/>
      </c>
      <c r="U45" s="294" t="str">
        <f aca="false">IFERROR(IF(E$21*E26&gt;0,STDEV(E$21,E26),"")/IF(E$21*E26&gt;0,AVERAGE(E$21,E26),""),"")</f>
        <v/>
      </c>
      <c r="V45" s="294" t="str">
        <f aca="false">IFERROR(IF(F$21*F26&gt;0,STDEV(F$21,F26),"")/IF(F$21*F26&gt;0,AVERAGE(F$21,F26),""),"")</f>
        <v/>
      </c>
      <c r="W45" s="294" t="str">
        <f aca="false">IFERROR(IF(G$21*G26&gt;0,STDEV(G$21,G26),"")/IF(G$21*G26&gt;0,AVERAGE(G$21,G26),""),"")</f>
        <v/>
      </c>
      <c r="X45" s="294" t="str">
        <f aca="false">IFERROR(IF(H$21*H26&gt;0,STDEV(H$21,H26),"")/IF(H$21*H26&gt;0,AVERAGE(H$21,H26),""),"")</f>
        <v/>
      </c>
      <c r="Y45" s="294" t="str">
        <f aca="false">IFERROR(IF(I$21*I26&gt;0,STDEV(I$21,I26),"")/IF(I$21*I26&gt;0,AVERAGE(I$21,I26),""),"")</f>
        <v/>
      </c>
      <c r="Z45" s="294" t="str">
        <f aca="false">IFERROR(IF(J$21*J26&gt;0,STDEV(J$21,J26),"")/IF(J$21*J26&gt;0,AVERAGE(J$21,J26),""),"")</f>
        <v/>
      </c>
      <c r="AA45" s="294" t="str">
        <f aca="false">IFERROR(IF(K$21*K26&gt;0,STDEV(K$21,K26),"")/IF(K$21*K26&gt;0,AVERAGE(K$21,K26),""),"")</f>
        <v/>
      </c>
      <c r="AB45" s="294" t="str">
        <f aca="false">IFERROR(IF(L$21*L26&gt;0,STDEV(L$21,L26),"")/IF(L$21*L26&gt;0,AVERAGE(L$21,L26),""),"")</f>
        <v/>
      </c>
      <c r="AC45" s="294" t="str">
        <f aca="false">IFERROR(IF(M$21*M26&gt;0,STDEV(M$21,M26),"")/IF(M$21*M26&gt;0,AVERAGE(M$21,M26),""),"")</f>
        <v/>
      </c>
      <c r="AD45" s="294" t="str">
        <f aca="false">IFERROR(IF(N$21*N26&gt;0,STDEV(N$21,N26),"")/IF(N$21*N26&gt;0,AVERAGE(N$21,N26),""),"")</f>
        <v/>
      </c>
      <c r="AE45" s="44"/>
      <c r="AF45" s="266" t="s">
        <v>298</v>
      </c>
      <c r="AG45" s="287" t="str">
        <f aca="false">IFERROR(IF(C$21*C26&gt;0,STDEV(C$21,C26)," ")/IF(C$21*C26&gt;0,SQRT(COUNT(C$21,C26))," "),"")</f>
        <v/>
      </c>
      <c r="AH45" s="287" t="str">
        <f aca="false">IFERROR(IF(D$21*D26&gt;0,STDEV(D$21,D26)," ")/IF(D$21*D26&gt;0,SQRT(COUNT(D$21,D26))," "),"")</f>
        <v/>
      </c>
      <c r="AI45" s="287" t="str">
        <f aca="false">IFERROR(IF(E$21*E26&gt;0,STDEV(E$21,E26)," ")/IF(E$21*E26&gt;0,SQRT(COUNT(E$21,E26))," "),"")</f>
        <v/>
      </c>
      <c r="AJ45" s="287" t="str">
        <f aca="false">IFERROR(IF(F$21*F26&gt;0,STDEV(F$21,F26)," ")/IF(F$21*F26&gt;0,SQRT(COUNT(F$21,F26))," "),"")</f>
        <v/>
      </c>
      <c r="AK45" s="287" t="str">
        <f aca="false">IFERROR(IF(G$21*G26&gt;0,STDEV(G$21,G26)," ")/IF(G$21*G26&gt;0,SQRT(COUNT(G$21,G26))," "),"")</f>
        <v/>
      </c>
      <c r="AL45" s="287" t="str">
        <f aca="false">IFERROR(IF(H$21*H26&gt;0,STDEV(H$21,H26)," ")/IF(H$21*H26&gt;0,SQRT(COUNT(H$21,H26))," "),"")</f>
        <v/>
      </c>
      <c r="AM45" s="287" t="str">
        <f aca="false">IFERROR(IF(I$21*I26&gt;0,STDEV(I$21,I26)," ")/IF(I$21*I26&gt;0,SQRT(COUNT(I$21,I26))," "),"")</f>
        <v/>
      </c>
      <c r="AN45" s="287" t="str">
        <f aca="false">IFERROR(IF(J$21*J26&gt;0,STDEV(J$21,J26)," ")/IF(J$21*J26&gt;0,SQRT(COUNT(J$21,J26))," "),"")</f>
        <v/>
      </c>
      <c r="AO45" s="287" t="str">
        <f aca="false">IFERROR(IF(K$21*K26&gt;0,STDEV(K$21,K26)," ")/IF(K$21*K26&gt;0,SQRT(COUNT(K$21,K26))," "),"")</f>
        <v/>
      </c>
      <c r="AP45" s="287" t="str">
        <f aca="false">IFERROR(IF(L$21*L26&gt;0,STDEV(L$21,L26)," ")/IF(L$21*L26&gt;0,SQRT(COUNT(L$21,L26))," "),"")</f>
        <v/>
      </c>
      <c r="AQ45" s="287" t="str">
        <f aca="false">IFERROR(IF(M$21*M26&gt;0,STDEV(M$21,M26)," ")/IF(M$21*M26&gt;0,SQRT(COUNT(M$21,M26))," "),"")</f>
        <v/>
      </c>
      <c r="AR45" s="287" t="str">
        <f aca="false">IFERROR(IF(N$21*N26&gt;0,STDEV(N$21,N26)," ")/IF(N$21*N26&gt;0,SQRT(COUNT(N$21,N26))," "),"")</f>
        <v/>
      </c>
    </row>
    <row r="46" customFormat="false" ht="15.75" hidden="false" customHeight="false" outlineLevel="0" collapsed="false">
      <c r="A46" s="290" t="s">
        <v>299</v>
      </c>
      <c r="B46" s="281"/>
      <c r="C46" s="291" t="str">
        <f aca="false">IFERROR(IF(C$21*C27&gt;0,AVERAGE(C$21,C27),""),"")</f>
        <v/>
      </c>
      <c r="D46" s="291" t="str">
        <f aca="false">IFERROR(IF(D$21*D27&gt;0,AVERAGE(D$21,D27),""),"")</f>
        <v/>
      </c>
      <c r="E46" s="291" t="str">
        <f aca="false">IFERROR(IF(E$21*E27&gt;0,AVERAGE(E$21,E27),""),"")</f>
        <v/>
      </c>
      <c r="F46" s="291" t="str">
        <f aca="false">IFERROR(IF(F$21*F27&gt;0,AVERAGE(F$21,F27),""),"")</f>
        <v/>
      </c>
      <c r="G46" s="291" t="str">
        <f aca="false">IFERROR(IF(G$21*G27&gt;0,AVERAGE(G$21,G27),""),"")</f>
        <v/>
      </c>
      <c r="H46" s="291" t="str">
        <f aca="false">IFERROR(IF(H$21*H27&gt;0,AVERAGE(H$21,H27),""),"")</f>
        <v/>
      </c>
      <c r="I46" s="291" t="str">
        <f aca="false">IFERROR(IF(I$21*I27&gt;0,AVERAGE(I$21,I27),""),"")</f>
        <v/>
      </c>
      <c r="J46" s="291" t="str">
        <f aca="false">IFERROR(IF(J$21*J27&gt;0,AVERAGE(J$21,J27),""),"")</f>
        <v/>
      </c>
      <c r="K46" s="291" t="str">
        <f aca="false">IFERROR(IF(K$21*K27&gt;0,AVERAGE(K$21,K27),""),"")</f>
        <v/>
      </c>
      <c r="L46" s="291" t="str">
        <f aca="false">IFERROR(IF(L$21*L27&gt;0,AVERAGE(L$21,L27),""),"")</f>
        <v/>
      </c>
      <c r="M46" s="291" t="str">
        <f aca="false">IFERROR(IF(M$21*M27&gt;0,AVERAGE(M$21,M27),""),"")</f>
        <v/>
      </c>
      <c r="N46" s="291" t="str">
        <f aca="false">IFERROR(IF(N$21*N27&gt;0,AVERAGE(N$21,N27),""),"")</f>
        <v/>
      </c>
      <c r="O46" s="282"/>
      <c r="P46" s="282"/>
      <c r="Q46" s="296"/>
      <c r="R46" s="293" t="s">
        <v>300</v>
      </c>
      <c r="S46" s="294" t="str">
        <f aca="false">IFERROR(IF(C$21*C27&gt;0,STDEV(C$21,C27),"")/IF(C$21*C27&gt;0,AVERAGE(C$21,C27),""),"")</f>
        <v/>
      </c>
      <c r="T46" s="294" t="str">
        <f aca="false">IFERROR(IF(D$21*D27&gt;0,STDEV(D$21,D27),"")/IF(D$21*D27&gt;0,AVERAGE(D$21,D27),""),"")</f>
        <v/>
      </c>
      <c r="U46" s="294" t="str">
        <f aca="false">IFERROR(IF(E$21*E27&gt;0,STDEV(E$21,E27),"")/IF(E$21*E27&gt;0,AVERAGE(E$21,E27),""),"")</f>
        <v/>
      </c>
      <c r="V46" s="294" t="str">
        <f aca="false">IFERROR(IF(F$21*F27&gt;0,STDEV(F$21,F27),"")/IF(F$21*F27&gt;0,AVERAGE(F$21,F27),""),"")</f>
        <v/>
      </c>
      <c r="W46" s="294" t="str">
        <f aca="false">IFERROR(IF(G$21*G27&gt;0,STDEV(G$21,G27),"")/IF(G$21*G27&gt;0,AVERAGE(G$21,G27),""),"")</f>
        <v/>
      </c>
      <c r="X46" s="294" t="str">
        <f aca="false">IFERROR(IF(H$21*H27&gt;0,STDEV(H$21,H27),"")/IF(H$21*H27&gt;0,AVERAGE(H$21,H27),""),"")</f>
        <v/>
      </c>
      <c r="Y46" s="294" t="str">
        <f aca="false">IFERROR(IF(I$21*I27&gt;0,STDEV(I$21,I27),"")/IF(I$21*I27&gt;0,AVERAGE(I$21,I27),""),"")</f>
        <v/>
      </c>
      <c r="Z46" s="294" t="str">
        <f aca="false">IFERROR(IF(J$21*J27&gt;0,STDEV(J$21,J27),"")/IF(J$21*J27&gt;0,AVERAGE(J$21,J27),""),"")</f>
        <v/>
      </c>
      <c r="AA46" s="294" t="str">
        <f aca="false">IFERROR(IF(K$21*K27&gt;0,STDEV(K$21,K27),"")/IF(K$21*K27&gt;0,AVERAGE(K$21,K27),""),"")</f>
        <v/>
      </c>
      <c r="AB46" s="294" t="str">
        <f aca="false">IFERROR(IF(L$21*L27&gt;0,STDEV(L$21,L27),"")/IF(L$21*L27&gt;0,AVERAGE(L$21,L27),""),"")</f>
        <v/>
      </c>
      <c r="AC46" s="294" t="str">
        <f aca="false">IFERROR(IF(M$21*M27&gt;0,STDEV(M$21,M27),"")/IF(M$21*M27&gt;0,AVERAGE(M$21,M27),""),"")</f>
        <v/>
      </c>
      <c r="AD46" s="294" t="str">
        <f aca="false">IFERROR(IF(N$21*N27&gt;0,STDEV(N$21,N27),"")/IF(N$21*N27&gt;0,AVERAGE(N$21,N27),""),"")</f>
        <v/>
      </c>
      <c r="AE46" s="44"/>
      <c r="AF46" s="266" t="s">
        <v>301</v>
      </c>
      <c r="AG46" s="287" t="str">
        <f aca="false">IFERROR(IF(C$21*C27&gt;0,STDEV(C$21,C27)," ")/IF(C$21*C27&gt;0,SQRT(COUNT(C$21,C27))," "),"")</f>
        <v/>
      </c>
      <c r="AH46" s="287" t="str">
        <f aca="false">IFERROR(IF(D$21*D27&gt;0,STDEV(D$21,D27)," ")/IF(D$21*D27&gt;0,SQRT(COUNT(D$21,D27))," "),"")</f>
        <v/>
      </c>
      <c r="AI46" s="287" t="str">
        <f aca="false">IFERROR(IF(E$21*E27&gt;0,STDEV(E$21,E27)," ")/IF(E$21*E27&gt;0,SQRT(COUNT(E$21,E27))," "),"")</f>
        <v/>
      </c>
      <c r="AJ46" s="287" t="str">
        <f aca="false">IFERROR(IF(F$21*F27&gt;0,STDEV(F$21,F27)," ")/IF(F$21*F27&gt;0,SQRT(COUNT(F$21,F27))," "),"")</f>
        <v/>
      </c>
      <c r="AK46" s="287" t="str">
        <f aca="false">IFERROR(IF(G$21*G27&gt;0,STDEV(G$21,G27)," ")/IF(G$21*G27&gt;0,SQRT(COUNT(G$21,G27))," "),"")</f>
        <v/>
      </c>
      <c r="AL46" s="287" t="str">
        <f aca="false">IFERROR(IF(H$21*H27&gt;0,STDEV(H$21,H27)," ")/IF(H$21*H27&gt;0,SQRT(COUNT(H$21,H27))," "),"")</f>
        <v/>
      </c>
      <c r="AM46" s="287" t="str">
        <f aca="false">IFERROR(IF(I$21*I27&gt;0,STDEV(I$21,I27)," ")/IF(I$21*I27&gt;0,SQRT(COUNT(I$21,I27))," "),"")</f>
        <v/>
      </c>
      <c r="AN46" s="287" t="str">
        <f aca="false">IFERROR(IF(J$21*J27&gt;0,STDEV(J$21,J27)," ")/IF(J$21*J27&gt;0,SQRT(COUNT(J$21,J27))," "),"")</f>
        <v/>
      </c>
      <c r="AO46" s="287" t="str">
        <f aca="false">IFERROR(IF(K$21*K27&gt;0,STDEV(K$21,K27)," ")/IF(K$21*K27&gt;0,SQRT(COUNT(K$21,K27))," "),"")</f>
        <v/>
      </c>
      <c r="AP46" s="287" t="str">
        <f aca="false">IFERROR(IF(L$21*L27&gt;0,STDEV(L$21,L27)," ")/IF(L$21*L27&gt;0,SQRT(COUNT(L$21,L27))," "),"")</f>
        <v/>
      </c>
      <c r="AQ46" s="287" t="str">
        <f aca="false">IFERROR(IF(M$21*M27&gt;0,STDEV(M$21,M27)," ")/IF(M$21*M27&gt;0,SQRT(COUNT(M$21,M27))," "),"")</f>
        <v/>
      </c>
      <c r="AR46" s="287" t="str">
        <f aca="false">IFERROR(IF(N$21*N27&gt;0,STDEV(N$21,N27)," ")/IF(N$21*N27&gt;0,SQRT(COUNT(N$21,N27))," "),"")</f>
        <v/>
      </c>
    </row>
    <row r="47" customFormat="false" ht="15.75" hidden="false" customHeight="false" outlineLevel="0" collapsed="false">
      <c r="A47" s="290" t="s">
        <v>302</v>
      </c>
      <c r="B47" s="281"/>
      <c r="C47" s="291" t="str">
        <f aca="false">IFERROR(IF(C$22*C23&gt;0,AVERAGE(C$22,C23),""),"")</f>
        <v/>
      </c>
      <c r="D47" s="291" t="str">
        <f aca="false">IFERROR(IF(D$22*D23&gt;0,AVERAGE(D$22,D23),""),"")</f>
        <v/>
      </c>
      <c r="E47" s="291" t="str">
        <f aca="false">IFERROR(IF(E$22*E23&gt;0,AVERAGE(E$22,E23),""),"")</f>
        <v/>
      </c>
      <c r="F47" s="291" t="str">
        <f aca="false">IFERROR(IF(F$22*F23&gt;0,AVERAGE(F$22,F23),""),"")</f>
        <v/>
      </c>
      <c r="G47" s="291" t="str">
        <f aca="false">IFERROR(IF(G$22*G23&gt;0,AVERAGE(G$22,G23),""),"")</f>
        <v/>
      </c>
      <c r="H47" s="291" t="str">
        <f aca="false">IFERROR(IF(H$22*H23&gt;0,AVERAGE(H$22,H23),""),"")</f>
        <v/>
      </c>
      <c r="I47" s="291" t="str">
        <f aca="false">IFERROR(IF(I$22*I23&gt;0,AVERAGE(I$22,I23),""),"")</f>
        <v/>
      </c>
      <c r="J47" s="291" t="str">
        <f aca="false">IFERROR(IF(J$22*J23&gt;0,AVERAGE(J$22,J23),""),"")</f>
        <v/>
      </c>
      <c r="K47" s="291" t="str">
        <f aca="false">IFERROR(IF(K$22*K23&gt;0,AVERAGE(K$22,K23),""),"")</f>
        <v/>
      </c>
      <c r="L47" s="291" t="str">
        <f aca="false">IFERROR(IF(L$22*L23&gt;0,AVERAGE(L$22,L23),""),"")</f>
        <v/>
      </c>
      <c r="M47" s="291" t="str">
        <f aca="false">IFERROR(IF(M$22*M23&gt;0,AVERAGE(M$22,M23),""),"")</f>
        <v/>
      </c>
      <c r="N47" s="291" t="str">
        <f aca="false">IFERROR(IF(N$22*N23&gt;0,AVERAGE(N$22,N23),""),"")</f>
        <v/>
      </c>
      <c r="O47" s="282"/>
      <c r="P47" s="282"/>
      <c r="Q47" s="296"/>
      <c r="R47" s="293" t="s">
        <v>303</v>
      </c>
      <c r="S47" s="294" t="str">
        <f aca="false">IFERROR(IF(C$22*C23&gt;0,STDEV(C$22,C23),"")/IF(C$22*C23&gt;0,AVERAGE(C$22,C23),""),"")</f>
        <v/>
      </c>
      <c r="T47" s="294" t="str">
        <f aca="false">IFERROR(IF(D$22*D23&gt;0,STDEV(D$22,D23),"")/IF(D$22*D23&gt;0,AVERAGE(D$22,D23),""),"")</f>
        <v/>
      </c>
      <c r="U47" s="294" t="str">
        <f aca="false">IFERROR(IF(E$22*E23&gt;0,STDEV(E$22,E23),"")/IF(E$22*E23&gt;0,AVERAGE(E$22,E23),""),"")</f>
        <v/>
      </c>
      <c r="V47" s="294" t="str">
        <f aca="false">IFERROR(IF(F$22*F23&gt;0,STDEV(F$22,F23),"")/IF(F$22*F23&gt;0,AVERAGE(F$22,F23),""),"")</f>
        <v/>
      </c>
      <c r="W47" s="294" t="str">
        <f aca="false">IFERROR(IF(G$22*G23&gt;0,STDEV(G$22,G23),"")/IF(G$22*G23&gt;0,AVERAGE(G$22,G23),""),"")</f>
        <v/>
      </c>
      <c r="X47" s="294" t="str">
        <f aca="false">IFERROR(IF(H$22*H23&gt;0,STDEV(H$22,H23),"")/IF(H$22*H23&gt;0,AVERAGE(H$22,H23),""),"")</f>
        <v/>
      </c>
      <c r="Y47" s="294" t="str">
        <f aca="false">IFERROR(IF(I$22*I23&gt;0,STDEV(I$22,I23),"")/IF(I$22*I23&gt;0,AVERAGE(I$22,I23),""),"")</f>
        <v/>
      </c>
      <c r="Z47" s="294" t="str">
        <f aca="false">IFERROR(IF(J$22*J23&gt;0,STDEV(J$22,J23),"")/IF(J$22*J23&gt;0,AVERAGE(J$22,J23),""),"")</f>
        <v/>
      </c>
      <c r="AA47" s="294" t="str">
        <f aca="false">IFERROR(IF(K$22*K23&gt;0,STDEV(K$22,K23),"")/IF(K$22*K23&gt;0,AVERAGE(K$22,K23),""),"")</f>
        <v/>
      </c>
      <c r="AB47" s="294" t="str">
        <f aca="false">IFERROR(IF(L$22*L23&gt;0,STDEV(L$22,L23),"")/IF(L$22*L23&gt;0,AVERAGE(L$22,L23),""),"")</f>
        <v/>
      </c>
      <c r="AC47" s="294" t="str">
        <f aca="false">IFERROR(IF(M$22*M23&gt;0,STDEV(M$22,M23),"")/IF(M$22*M23&gt;0,AVERAGE(M$22,M23),""),"")</f>
        <v/>
      </c>
      <c r="AD47" s="294" t="str">
        <f aca="false">IFERROR(IF(N$22*N23&gt;0,STDEV(N$22,N23),"")/IF(N$22*N23&gt;0,AVERAGE(N$22,N23),""),"")</f>
        <v/>
      </c>
      <c r="AE47" s="44"/>
      <c r="AF47" s="266" t="s">
        <v>304</v>
      </c>
      <c r="AG47" s="287" t="str">
        <f aca="false">IFERROR(IF(C$22*C23&gt;0,STDEV(C$22,C23)," ")/IF(C$22*C23&gt;0,SQRT(COUNT(C$22,C23))," "),"")</f>
        <v/>
      </c>
      <c r="AH47" s="287" t="str">
        <f aca="false">IFERROR(IF(D$22*D23&gt;0,STDEV(D$22,D23)," ")/IF(D$22*D23&gt;0,SQRT(COUNT(D$22,D23))," "),"")</f>
        <v/>
      </c>
      <c r="AI47" s="287" t="str">
        <f aca="false">IFERROR(IF(E$22*E23&gt;0,STDEV(E$22,E23)," ")/IF(E$22*E23&gt;0,SQRT(COUNT(E$22,E23))," "),"")</f>
        <v/>
      </c>
      <c r="AJ47" s="287" t="str">
        <f aca="false">IFERROR(IF(F$22*F23&gt;0,STDEV(F$22,F23)," ")/IF(F$22*F23&gt;0,SQRT(COUNT(F$22,F23))," "),"")</f>
        <v/>
      </c>
      <c r="AK47" s="287" t="str">
        <f aca="false">IFERROR(IF(G$22*G23&gt;0,STDEV(G$22,G23)," ")/IF(G$22*G23&gt;0,SQRT(COUNT(G$22,G23))," "),"")</f>
        <v/>
      </c>
      <c r="AL47" s="287" t="str">
        <f aca="false">IFERROR(IF(H$22*H23&gt;0,STDEV(H$22,H23)," ")/IF(H$22*H23&gt;0,SQRT(COUNT(H$22,H23))," "),"")</f>
        <v/>
      </c>
      <c r="AM47" s="287" t="str">
        <f aca="false">IFERROR(IF(I$22*I23&gt;0,STDEV(I$22,I23)," ")/IF(I$22*I23&gt;0,SQRT(COUNT(I$22,I23))," "),"")</f>
        <v/>
      </c>
      <c r="AN47" s="287" t="str">
        <f aca="false">IFERROR(IF(J$22*J23&gt;0,STDEV(J$22,J23)," ")/IF(J$22*J23&gt;0,SQRT(COUNT(J$22,J23))," "),"")</f>
        <v/>
      </c>
      <c r="AO47" s="287" t="str">
        <f aca="false">IFERROR(IF(K$22*K23&gt;0,STDEV(K$22,K23)," ")/IF(K$22*K23&gt;0,SQRT(COUNT(K$22,K23))," "),"")</f>
        <v/>
      </c>
      <c r="AP47" s="287" t="str">
        <f aca="false">IFERROR(IF(L$22*L23&gt;0,STDEV(L$22,L23)," ")/IF(L$22*L23&gt;0,SQRT(COUNT(L$22,L23))," "),"")</f>
        <v/>
      </c>
      <c r="AQ47" s="287" t="str">
        <f aca="false">IFERROR(IF(M$22*M23&gt;0,STDEV(M$22,M23)," ")/IF(M$22*M23&gt;0,SQRT(COUNT(M$22,M23))," "),"")</f>
        <v/>
      </c>
      <c r="AR47" s="287" t="str">
        <f aca="false">IFERROR(IF(N$22*N23&gt;0,STDEV(N$22,N23)," ")/IF(N$22*N23&gt;0,SQRT(COUNT(N$22,N23))," "),"")</f>
        <v/>
      </c>
    </row>
    <row r="48" customFormat="false" ht="15.75" hidden="false" customHeight="false" outlineLevel="0" collapsed="false">
      <c r="A48" s="290" t="s">
        <v>305</v>
      </c>
      <c r="B48" s="281"/>
      <c r="C48" s="291" t="str">
        <f aca="false">IFERROR(IF(C$22*C24&gt;0,AVERAGE(C$22,C24),""),"")</f>
        <v/>
      </c>
      <c r="D48" s="291" t="str">
        <f aca="false">IFERROR(IF(D$22*D24&gt;0,AVERAGE(D$22,D24),""),"")</f>
        <v/>
      </c>
      <c r="E48" s="291" t="str">
        <f aca="false">IFERROR(IF(E$22*E24&gt;0,AVERAGE(E$22,E24),""),"")</f>
        <v/>
      </c>
      <c r="F48" s="291" t="str">
        <f aca="false">IFERROR(IF(F$22*F24&gt;0,AVERAGE(F$22,F24),""),"")</f>
        <v/>
      </c>
      <c r="G48" s="291" t="str">
        <f aca="false">IFERROR(IF(G$22*G24&gt;0,AVERAGE(G$22,G24),""),"")</f>
        <v/>
      </c>
      <c r="H48" s="291" t="str">
        <f aca="false">IFERROR(IF(H$22*H24&gt;0,AVERAGE(H$22,H24),""),"")</f>
        <v/>
      </c>
      <c r="I48" s="291" t="str">
        <f aca="false">IFERROR(IF(I$22*I24&gt;0,AVERAGE(I$22,I24),""),"")</f>
        <v/>
      </c>
      <c r="J48" s="291" t="str">
        <f aca="false">IFERROR(IF(J$22*J24&gt;0,AVERAGE(J$22,J24),""),"")</f>
        <v/>
      </c>
      <c r="K48" s="291" t="str">
        <f aca="false">IFERROR(IF(K$22*K24&gt;0,AVERAGE(K$22,K24),""),"")</f>
        <v/>
      </c>
      <c r="L48" s="291" t="str">
        <f aca="false">IFERROR(IF(L$22*L24&gt;0,AVERAGE(L$22,L24),""),"")</f>
        <v/>
      </c>
      <c r="M48" s="291" t="str">
        <f aca="false">IFERROR(IF(M$22*M24&gt;0,AVERAGE(M$22,M24),""),"")</f>
        <v/>
      </c>
      <c r="N48" s="291" t="str">
        <f aca="false">IFERROR(IF(N$22*N24&gt;0,AVERAGE(N$22,N24),""),"")</f>
        <v/>
      </c>
      <c r="O48" s="282"/>
      <c r="P48" s="282"/>
      <c r="Q48" s="296"/>
      <c r="R48" s="293" t="s">
        <v>306</v>
      </c>
      <c r="S48" s="294" t="str">
        <f aca="false">IFERROR(IF(C$22*C24&gt;0,STDEV(C$22,C24),"")/IF(C$22*C24&gt;0,AVERAGE(C$22,C24),""),"")</f>
        <v/>
      </c>
      <c r="T48" s="294" t="str">
        <f aca="false">IFERROR(IF(D$22*D24&gt;0,STDEV(D$22,D24),"")/IF(D$22*D24&gt;0,AVERAGE(D$22,D24),""),"")</f>
        <v/>
      </c>
      <c r="U48" s="294" t="str">
        <f aca="false">IFERROR(IF(E$22*E24&gt;0,STDEV(E$22,E24),"")/IF(E$22*E24&gt;0,AVERAGE(E$22,E24),""),"")</f>
        <v/>
      </c>
      <c r="V48" s="294" t="str">
        <f aca="false">IFERROR(IF(F$22*F24&gt;0,STDEV(F$22,F24),"")/IF(F$22*F24&gt;0,AVERAGE(F$22,F24),""),"")</f>
        <v/>
      </c>
      <c r="W48" s="294" t="str">
        <f aca="false">IFERROR(IF(G$22*G24&gt;0,STDEV(G$22,G24),"")/IF(G$22*G24&gt;0,AVERAGE(G$22,G24),""),"")</f>
        <v/>
      </c>
      <c r="X48" s="294" t="str">
        <f aca="false">IFERROR(IF(H$22*H24&gt;0,STDEV(H$22,H24),"")/IF(H$22*H24&gt;0,AVERAGE(H$22,H24),""),"")</f>
        <v/>
      </c>
      <c r="Y48" s="294" t="str">
        <f aca="false">IFERROR(IF(I$22*I24&gt;0,STDEV(I$22,I24),"")/IF(I$22*I24&gt;0,AVERAGE(I$22,I24),""),"")</f>
        <v/>
      </c>
      <c r="Z48" s="294" t="str">
        <f aca="false">IFERROR(IF(J$22*J24&gt;0,STDEV(J$22,J24),"")/IF(J$22*J24&gt;0,AVERAGE(J$22,J24),""),"")</f>
        <v/>
      </c>
      <c r="AA48" s="294" t="str">
        <f aca="false">IFERROR(IF(K$22*K24&gt;0,STDEV(K$22,K24),"")/IF(K$22*K24&gt;0,AVERAGE(K$22,K24),""),"")</f>
        <v/>
      </c>
      <c r="AB48" s="294" t="str">
        <f aca="false">IFERROR(IF(L$22*L24&gt;0,STDEV(L$22,L24),"")/IF(L$22*L24&gt;0,AVERAGE(L$22,L24),""),"")</f>
        <v/>
      </c>
      <c r="AC48" s="294" t="str">
        <f aca="false">IFERROR(IF(M$22*M24&gt;0,STDEV(M$22,M24),"")/IF(M$22*M24&gt;0,AVERAGE(M$22,M24),""),"")</f>
        <v/>
      </c>
      <c r="AD48" s="294" t="str">
        <f aca="false">IFERROR(IF(N$22*N24&gt;0,STDEV(N$22,N24),"")/IF(N$22*N24&gt;0,AVERAGE(N$22,N24),""),"")</f>
        <v/>
      </c>
      <c r="AE48" s="44"/>
      <c r="AF48" s="266" t="s">
        <v>307</v>
      </c>
      <c r="AG48" s="287" t="str">
        <f aca="false">IFERROR(IF(C$22*C24&gt;0,STDEV(C$22,C24)," ")/IF(C$22*C24&gt;0,SQRT(COUNT(C$22,C24))," "),"")</f>
        <v/>
      </c>
      <c r="AH48" s="287" t="str">
        <f aca="false">IFERROR(IF(D$22*D24&gt;0,STDEV(D$22,D24)," ")/IF(D$22*D24&gt;0,SQRT(COUNT(D$22,D24))," "),"")</f>
        <v/>
      </c>
      <c r="AI48" s="287" t="str">
        <f aca="false">IFERROR(IF(E$22*E24&gt;0,STDEV(E$22,E24)," ")/IF(E$22*E24&gt;0,SQRT(COUNT(E$22,E24))," "),"")</f>
        <v/>
      </c>
      <c r="AJ48" s="287" t="str">
        <f aca="false">IFERROR(IF(F$22*F24&gt;0,STDEV(F$22,F24)," ")/IF(F$22*F24&gt;0,SQRT(COUNT(F$22,F24))," "),"")</f>
        <v/>
      </c>
      <c r="AK48" s="287" t="str">
        <f aca="false">IFERROR(IF(G$22*G24&gt;0,STDEV(G$22,G24)," ")/IF(G$22*G24&gt;0,SQRT(COUNT(G$22,G24))," "),"")</f>
        <v/>
      </c>
      <c r="AL48" s="287" t="str">
        <f aca="false">IFERROR(IF(H$22*H24&gt;0,STDEV(H$22,H24)," ")/IF(H$22*H24&gt;0,SQRT(COUNT(H$22,H24))," "),"")</f>
        <v/>
      </c>
      <c r="AM48" s="287" t="str">
        <f aca="false">IFERROR(IF(I$22*I24&gt;0,STDEV(I$22,I24)," ")/IF(I$22*I24&gt;0,SQRT(COUNT(I$22,I24))," "),"")</f>
        <v/>
      </c>
      <c r="AN48" s="287" t="str">
        <f aca="false">IFERROR(IF(J$22*J24&gt;0,STDEV(J$22,J24)," ")/IF(J$22*J24&gt;0,SQRT(COUNT(J$22,J24))," "),"")</f>
        <v/>
      </c>
      <c r="AO48" s="287" t="str">
        <f aca="false">IFERROR(IF(K$22*K24&gt;0,STDEV(K$22,K24)," ")/IF(K$22*K24&gt;0,SQRT(COUNT(K$22,K24))," "),"")</f>
        <v/>
      </c>
      <c r="AP48" s="287" t="str">
        <f aca="false">IFERROR(IF(L$22*L24&gt;0,STDEV(L$22,L24)," ")/IF(L$22*L24&gt;0,SQRT(COUNT(L$22,L24))," "),"")</f>
        <v/>
      </c>
      <c r="AQ48" s="287" t="str">
        <f aca="false">IFERROR(IF(M$22*M24&gt;0,STDEV(M$22,M24)," ")/IF(M$22*M24&gt;0,SQRT(COUNT(M$22,M24))," "),"")</f>
        <v/>
      </c>
      <c r="AR48" s="287" t="str">
        <f aca="false">IFERROR(IF(N$22*N24&gt;0,STDEV(N$22,N24)," ")/IF(N$22*N24&gt;0,SQRT(COUNT(N$22,N24))," "),"")</f>
        <v/>
      </c>
    </row>
    <row r="49" customFormat="false" ht="15.75" hidden="false" customHeight="false" outlineLevel="0" collapsed="false">
      <c r="A49" s="290" t="s">
        <v>308</v>
      </c>
      <c r="B49" s="281"/>
      <c r="C49" s="291" t="str">
        <f aca="false">IFERROR(IF(C$22*C25&gt;0,AVERAGE(C$22,C25),""),"")</f>
        <v/>
      </c>
      <c r="D49" s="291" t="str">
        <f aca="false">IFERROR(IF(D$22*D25&gt;0,AVERAGE(D$22,D25),""),"")</f>
        <v/>
      </c>
      <c r="E49" s="291" t="str">
        <f aca="false">IFERROR(IF(E$22*E25&gt;0,AVERAGE(E$22,E25),""),"")</f>
        <v/>
      </c>
      <c r="F49" s="291" t="str">
        <f aca="false">IFERROR(IF(F$22*F25&gt;0,AVERAGE(F$22,F25),""),"")</f>
        <v/>
      </c>
      <c r="G49" s="291" t="str">
        <f aca="false">IFERROR(IF(G$22*G25&gt;0,AVERAGE(G$22,G25),""),"")</f>
        <v/>
      </c>
      <c r="H49" s="291" t="str">
        <f aca="false">IFERROR(IF(H$22*H25&gt;0,AVERAGE(H$22,H25),""),"")</f>
        <v/>
      </c>
      <c r="I49" s="291" t="str">
        <f aca="false">IFERROR(IF(I$22*I25&gt;0,AVERAGE(I$22,I25),""),"")</f>
        <v/>
      </c>
      <c r="J49" s="291" t="str">
        <f aca="false">IFERROR(IF(J$22*J25&gt;0,AVERAGE(J$22,J25),""),"")</f>
        <v/>
      </c>
      <c r="K49" s="291" t="str">
        <f aca="false">IFERROR(IF(K$22*K25&gt;0,AVERAGE(K$22,K25),""),"")</f>
        <v/>
      </c>
      <c r="L49" s="291" t="str">
        <f aca="false">IFERROR(IF(L$22*L25&gt;0,AVERAGE(L$22,L25),""),"")</f>
        <v/>
      </c>
      <c r="M49" s="291" t="str">
        <f aca="false">IFERROR(IF(M$22*M25&gt;0,AVERAGE(M$22,M25),""),"")</f>
        <v/>
      </c>
      <c r="N49" s="291" t="str">
        <f aca="false">IFERROR(IF(N$22*N25&gt;0,AVERAGE(N$22,N25),""),"")</f>
        <v/>
      </c>
      <c r="O49" s="282"/>
      <c r="P49" s="282"/>
      <c r="Q49" s="296"/>
      <c r="R49" s="293" t="s">
        <v>309</v>
      </c>
      <c r="S49" s="294" t="str">
        <f aca="false">IFERROR(IF(C$22*C25&gt;0,STDEV(C$22,C25),"")/IF(C$22*C25&gt;0,AVERAGE(C$22,C25),""),"")</f>
        <v/>
      </c>
      <c r="T49" s="294" t="str">
        <f aca="false">IFERROR(IF(D$22*D25&gt;0,STDEV(D$22,D25),"")/IF(D$22*D25&gt;0,AVERAGE(D$22,D25),""),"")</f>
        <v/>
      </c>
      <c r="U49" s="294" t="str">
        <f aca="false">IFERROR(IF(E$22*E25&gt;0,STDEV(E$22,E25),"")/IF(E$22*E25&gt;0,AVERAGE(E$22,E25),""),"")</f>
        <v/>
      </c>
      <c r="V49" s="294" t="str">
        <f aca="false">IFERROR(IF(F$22*F25&gt;0,STDEV(F$22,F25),"")/IF(F$22*F25&gt;0,AVERAGE(F$22,F25),""),"")</f>
        <v/>
      </c>
      <c r="W49" s="294" t="str">
        <f aca="false">IFERROR(IF(G$22*G25&gt;0,STDEV(G$22,G25),"")/IF(G$22*G25&gt;0,AVERAGE(G$22,G25),""),"")</f>
        <v/>
      </c>
      <c r="X49" s="294" t="str">
        <f aca="false">IFERROR(IF(H$22*H25&gt;0,STDEV(H$22,H25),"")/IF(H$22*H25&gt;0,AVERAGE(H$22,H25),""),"")</f>
        <v/>
      </c>
      <c r="Y49" s="294" t="str">
        <f aca="false">IFERROR(IF(I$22*I25&gt;0,STDEV(I$22,I25),"")/IF(I$22*I25&gt;0,AVERAGE(I$22,I25),""),"")</f>
        <v/>
      </c>
      <c r="Z49" s="294" t="str">
        <f aca="false">IFERROR(IF(J$22*J25&gt;0,STDEV(J$22,J25),"")/IF(J$22*J25&gt;0,AVERAGE(J$22,J25),""),"")</f>
        <v/>
      </c>
      <c r="AA49" s="294" t="str">
        <f aca="false">IFERROR(IF(K$22*K25&gt;0,STDEV(K$22,K25),"")/IF(K$22*K25&gt;0,AVERAGE(K$22,K25),""),"")</f>
        <v/>
      </c>
      <c r="AB49" s="294" t="str">
        <f aca="false">IFERROR(IF(L$22*L25&gt;0,STDEV(L$22,L25),"")/IF(L$22*L25&gt;0,AVERAGE(L$22,L25),""),"")</f>
        <v/>
      </c>
      <c r="AC49" s="294" t="str">
        <f aca="false">IFERROR(IF(M$22*M25&gt;0,STDEV(M$22,M25),"")/IF(M$22*M25&gt;0,AVERAGE(M$22,M25),""),"")</f>
        <v/>
      </c>
      <c r="AD49" s="294" t="str">
        <f aca="false">IFERROR(IF(N$22*N25&gt;0,STDEV(N$22,N25),"")/IF(N$22*N25&gt;0,AVERAGE(N$22,N25),""),"")</f>
        <v/>
      </c>
      <c r="AE49" s="44"/>
      <c r="AF49" s="266" t="s">
        <v>310</v>
      </c>
      <c r="AG49" s="287" t="str">
        <f aca="false">IFERROR(IF(C$22*C25&gt;0,STDEV(C$22,C25)," ")/IF(C$22*C25&gt;0,SQRT(COUNT(C$22,C25))," "),"")</f>
        <v/>
      </c>
      <c r="AH49" s="287" t="str">
        <f aca="false">IFERROR(IF(D$22*D25&gt;0,STDEV(D$22,D25)," ")/IF(D$22*D25&gt;0,SQRT(COUNT(D$22,D25))," "),"")</f>
        <v/>
      </c>
      <c r="AI49" s="287" t="str">
        <f aca="false">IFERROR(IF(E$22*E25&gt;0,STDEV(E$22,E25)," ")/IF(E$22*E25&gt;0,SQRT(COUNT(E$22,E25))," "),"")</f>
        <v/>
      </c>
      <c r="AJ49" s="287" t="str">
        <f aca="false">IFERROR(IF(F$22*F25&gt;0,STDEV(F$22,F25)," ")/IF(F$22*F25&gt;0,SQRT(COUNT(F$22,F25))," "),"")</f>
        <v/>
      </c>
      <c r="AK49" s="287" t="str">
        <f aca="false">IFERROR(IF(G$22*G25&gt;0,STDEV(G$22,G25)," ")/IF(G$22*G25&gt;0,SQRT(COUNT(G$22,G25))," "),"")</f>
        <v/>
      </c>
      <c r="AL49" s="287" t="str">
        <f aca="false">IFERROR(IF(H$22*H25&gt;0,STDEV(H$22,H25)," ")/IF(H$22*H25&gt;0,SQRT(COUNT(H$22,H25))," "),"")</f>
        <v/>
      </c>
      <c r="AM49" s="287" t="str">
        <f aca="false">IFERROR(IF(I$22*I25&gt;0,STDEV(I$22,I25)," ")/IF(I$22*I25&gt;0,SQRT(COUNT(I$22,I25))," "),"")</f>
        <v/>
      </c>
      <c r="AN49" s="287" t="str">
        <f aca="false">IFERROR(IF(J$22*J25&gt;0,STDEV(J$22,J25)," ")/IF(J$22*J25&gt;0,SQRT(COUNT(J$22,J25))," "),"")</f>
        <v/>
      </c>
      <c r="AO49" s="287" t="str">
        <f aca="false">IFERROR(IF(K$22*K25&gt;0,STDEV(K$22,K25)," ")/IF(K$22*K25&gt;0,SQRT(COUNT(K$22,K25))," "),"")</f>
        <v/>
      </c>
      <c r="AP49" s="287" t="str">
        <f aca="false">IFERROR(IF(L$22*L25&gt;0,STDEV(L$22,L25)," ")/IF(L$22*L25&gt;0,SQRT(COUNT(L$22,L25))," "),"")</f>
        <v/>
      </c>
      <c r="AQ49" s="287" t="str">
        <f aca="false">IFERROR(IF(M$22*M25&gt;0,STDEV(M$22,M25)," ")/IF(M$22*M25&gt;0,SQRT(COUNT(M$22,M25))," "),"")</f>
        <v/>
      </c>
      <c r="AR49" s="287" t="str">
        <f aca="false">IFERROR(IF(N$22*N25&gt;0,STDEV(N$22,N25)," ")/IF(N$22*N25&gt;0,SQRT(COUNT(N$22,N25))," "),"")</f>
        <v/>
      </c>
    </row>
    <row r="50" customFormat="false" ht="18" hidden="false" customHeight="false" outlineLevel="0" collapsed="false">
      <c r="A50" s="290" t="s">
        <v>311</v>
      </c>
      <c r="B50" s="281"/>
      <c r="C50" s="291" t="str">
        <f aca="false">IFERROR(IF(C$22*C26&gt;0,AVERAGE(C$22,C26),""),"")</f>
        <v/>
      </c>
      <c r="D50" s="291" t="str">
        <f aca="false">IFERROR(IF(D$22*D26&gt;0,AVERAGE(D$22,D26),""),"")</f>
        <v/>
      </c>
      <c r="E50" s="291" t="str">
        <f aca="false">IFERROR(IF(E$22*E26&gt;0,AVERAGE(E$22,E26),""),"")</f>
        <v/>
      </c>
      <c r="F50" s="291" t="str">
        <f aca="false">IFERROR(IF(F$22*F26&gt;0,AVERAGE(F$22,F26),""),"")</f>
        <v/>
      </c>
      <c r="G50" s="291" t="str">
        <f aca="false">IFERROR(IF(G$22*G26&gt;0,AVERAGE(G$22,G26),""),"")</f>
        <v/>
      </c>
      <c r="H50" s="291" t="str">
        <f aca="false">IFERROR(IF(H$22*H26&gt;0,AVERAGE(H$22,H26),""),"")</f>
        <v/>
      </c>
      <c r="I50" s="291" t="str">
        <f aca="false">IFERROR(IF(I$22*I26&gt;0,AVERAGE(I$22,I26),""),"")</f>
        <v/>
      </c>
      <c r="J50" s="291" t="str">
        <f aca="false">IFERROR(IF(J$22*J26&gt;0,AVERAGE(J$22,J26),""),"")</f>
        <v/>
      </c>
      <c r="K50" s="291" t="str">
        <f aca="false">IFERROR(IF(K$22*K26&gt;0,AVERAGE(K$22,K26),""),"")</f>
        <v/>
      </c>
      <c r="L50" s="291" t="str">
        <f aca="false">IFERROR(IF(L$22*L26&gt;0,AVERAGE(L$22,L26),""),"")</f>
        <v/>
      </c>
      <c r="M50" s="291" t="str">
        <f aca="false">IFERROR(IF(M$22*M26&gt;0,AVERAGE(M$22,M26),""),"")</f>
        <v/>
      </c>
      <c r="N50" s="291" t="str">
        <f aca="false">IFERROR(IF(N$22*N26&gt;0,AVERAGE(N$22,N26),""),"")</f>
        <v/>
      </c>
      <c r="O50" s="297"/>
      <c r="P50" s="282"/>
      <c r="Q50" s="296"/>
      <c r="R50" s="293" t="s">
        <v>312</v>
      </c>
      <c r="S50" s="294" t="str">
        <f aca="false">IFERROR(IF(C$22*C26&gt;0,STDEV(C$22,C26),"")/IF(C$22*C26&gt;0,AVERAGE(C$22,C26),""),"")</f>
        <v/>
      </c>
      <c r="T50" s="294" t="str">
        <f aca="false">IFERROR(IF(D$22*D26&gt;0,STDEV(D$22,D26),"")/IF(D$22*D26&gt;0,AVERAGE(D$22,D26),""),"")</f>
        <v/>
      </c>
      <c r="U50" s="294" t="str">
        <f aca="false">IFERROR(IF(E$22*E26&gt;0,STDEV(E$22,E26),"")/IF(E$22*E26&gt;0,AVERAGE(E$22,E26),""),"")</f>
        <v/>
      </c>
      <c r="V50" s="294" t="str">
        <f aca="false">IFERROR(IF(F$22*F26&gt;0,STDEV(F$22,F26),"")/IF(F$22*F26&gt;0,AVERAGE(F$22,F26),""),"")</f>
        <v/>
      </c>
      <c r="W50" s="294" t="str">
        <f aca="false">IFERROR(IF(G$22*G26&gt;0,STDEV(G$22,G26),"")/IF(G$22*G26&gt;0,AVERAGE(G$22,G26),""),"")</f>
        <v/>
      </c>
      <c r="X50" s="294" t="str">
        <f aca="false">IFERROR(IF(H$22*H26&gt;0,STDEV(H$22,H26),"")/IF(H$22*H26&gt;0,AVERAGE(H$22,H26),""),"")</f>
        <v/>
      </c>
      <c r="Y50" s="294" t="str">
        <f aca="false">IFERROR(IF(I$22*I26&gt;0,STDEV(I$22,I26),"")/IF(I$22*I26&gt;0,AVERAGE(I$22,I26),""),"")</f>
        <v/>
      </c>
      <c r="Z50" s="294" t="str">
        <f aca="false">IFERROR(IF(J$22*J26&gt;0,STDEV(J$22,J26),"")/IF(J$22*J26&gt;0,AVERAGE(J$22,J26),""),"")</f>
        <v/>
      </c>
      <c r="AA50" s="294" t="str">
        <f aca="false">IFERROR(IF(K$22*K26&gt;0,STDEV(K$22,K26),"")/IF(K$22*K26&gt;0,AVERAGE(K$22,K26),""),"")</f>
        <v/>
      </c>
      <c r="AB50" s="294" t="str">
        <f aca="false">IFERROR(IF(L$22*L26&gt;0,STDEV(L$22,L26),"")/IF(L$22*L26&gt;0,AVERAGE(L$22,L26),""),"")</f>
        <v/>
      </c>
      <c r="AC50" s="294" t="str">
        <f aca="false">IFERROR(IF(M$22*M26&gt;0,STDEV(M$22,M26),"")/IF(M$22*M26&gt;0,AVERAGE(M$22,M26),""),"")</f>
        <v/>
      </c>
      <c r="AD50" s="294" t="str">
        <f aca="false">IFERROR(IF(N$22*N26&gt;0,STDEV(N$22,N26),"")/IF(N$22*N26&gt;0,AVERAGE(N$22,N26),""),"")</f>
        <v/>
      </c>
      <c r="AE50" s="44"/>
      <c r="AF50" s="266" t="s">
        <v>313</v>
      </c>
      <c r="AG50" s="287" t="str">
        <f aca="false">IFERROR(IF(C$22*C26&gt;0,STDEV(C$22,C26)," ")/IF(C$22*C26&gt;0,SQRT(COUNT(C$22,C26))," "),"")</f>
        <v/>
      </c>
      <c r="AH50" s="287" t="str">
        <f aca="false">IFERROR(IF(D$22*D26&gt;0,STDEV(D$22,D26)," ")/IF(D$22*D26&gt;0,SQRT(COUNT(D$22,D26))," "),"")</f>
        <v/>
      </c>
      <c r="AI50" s="287" t="str">
        <f aca="false">IFERROR(IF(E$22*E26&gt;0,STDEV(E$22,E26)," ")/IF(E$22*E26&gt;0,SQRT(COUNT(E$22,E26))," "),"")</f>
        <v/>
      </c>
      <c r="AJ50" s="287" t="str">
        <f aca="false">IFERROR(IF(F$22*F26&gt;0,STDEV(F$22,F26)," ")/IF(F$22*F26&gt;0,SQRT(COUNT(F$22,F26))," "),"")</f>
        <v/>
      </c>
      <c r="AK50" s="287" t="str">
        <f aca="false">IFERROR(IF(G$22*G26&gt;0,STDEV(G$22,G26)," ")/IF(G$22*G26&gt;0,SQRT(COUNT(G$22,G26))," "),"")</f>
        <v/>
      </c>
      <c r="AL50" s="287" t="str">
        <f aca="false">IFERROR(IF(H$22*H26&gt;0,STDEV(H$22,H26)," ")/IF(H$22*H26&gt;0,SQRT(COUNT(H$22,H26))," "),"")</f>
        <v/>
      </c>
      <c r="AM50" s="287" t="str">
        <f aca="false">IFERROR(IF(I$22*I26&gt;0,STDEV(I$22,I26)," ")/IF(I$22*I26&gt;0,SQRT(COUNT(I$22,I26))," "),"")</f>
        <v/>
      </c>
      <c r="AN50" s="287" t="str">
        <f aca="false">IFERROR(IF(J$22*J26&gt;0,STDEV(J$22,J26)," ")/IF(J$22*J26&gt;0,SQRT(COUNT(J$22,J26))," "),"")</f>
        <v/>
      </c>
      <c r="AO50" s="287" t="str">
        <f aca="false">IFERROR(IF(K$22*K26&gt;0,STDEV(K$22,K26)," ")/IF(K$22*K26&gt;0,SQRT(COUNT(K$22,K26))," "),"")</f>
        <v/>
      </c>
      <c r="AP50" s="287" t="str">
        <f aca="false">IFERROR(IF(L$22*L26&gt;0,STDEV(L$22,L26)," ")/IF(L$22*L26&gt;0,SQRT(COUNT(L$22,L26))," "),"")</f>
        <v/>
      </c>
      <c r="AQ50" s="287" t="str">
        <f aca="false">IFERROR(IF(M$22*M26&gt;0,STDEV(M$22,M26)," ")/IF(M$22*M26&gt;0,SQRT(COUNT(M$22,M26))," "),"")</f>
        <v/>
      </c>
      <c r="AR50" s="287" t="str">
        <f aca="false">IFERROR(IF(N$22*N26&gt;0,STDEV(N$22,N26)," ")/IF(N$22*N26&gt;0,SQRT(COUNT(N$22,N26))," "),"")</f>
        <v/>
      </c>
    </row>
    <row r="51" customFormat="false" ht="15.75" hidden="false" customHeight="false" outlineLevel="0" collapsed="false">
      <c r="A51" s="290" t="s">
        <v>314</v>
      </c>
      <c r="B51" s="281"/>
      <c r="C51" s="291" t="str">
        <f aca="false">IFERROR(IF(C$22*C27&gt;0,AVERAGE(C$22,C27),""),"")</f>
        <v/>
      </c>
      <c r="D51" s="291" t="str">
        <f aca="false">IFERROR(IF(D$22*D27&gt;0,AVERAGE(D$22,D27),""),"")</f>
        <v/>
      </c>
      <c r="E51" s="291" t="str">
        <f aca="false">IFERROR(IF(E$22*E27&gt;0,AVERAGE(E$22,E27),""),"")</f>
        <v/>
      </c>
      <c r="F51" s="291" t="str">
        <f aca="false">IFERROR(IF(F$22*F27&gt;0,AVERAGE(F$22,F27),""),"")</f>
        <v/>
      </c>
      <c r="G51" s="291" t="str">
        <f aca="false">IFERROR(IF(G$22*G27&gt;0,AVERAGE(G$22,G27),""),"")</f>
        <v/>
      </c>
      <c r="H51" s="291" t="str">
        <f aca="false">IFERROR(IF(H$22*H27&gt;0,AVERAGE(H$22,H27),""),"")</f>
        <v/>
      </c>
      <c r="I51" s="291" t="str">
        <f aca="false">IFERROR(IF(I$22*I27&gt;0,AVERAGE(I$22,I27),""),"")</f>
        <v/>
      </c>
      <c r="J51" s="291" t="str">
        <f aca="false">IFERROR(IF(J$22*J27&gt;0,AVERAGE(J$22,J27),""),"")</f>
        <v/>
      </c>
      <c r="K51" s="291" t="str">
        <f aca="false">IFERROR(IF(K$22*K27&gt;0,AVERAGE(K$22,K27),""),"")</f>
        <v/>
      </c>
      <c r="L51" s="291" t="str">
        <f aca="false">IFERROR(IF(L$22*L27&gt;0,AVERAGE(L$22,L27),""),"")</f>
        <v/>
      </c>
      <c r="M51" s="291" t="str">
        <f aca="false">IFERROR(IF(M$22*M27&gt;0,AVERAGE(M$22,M27),""),"")</f>
        <v/>
      </c>
      <c r="N51" s="291" t="str">
        <f aca="false">IFERROR(IF(N$22*N27&gt;0,AVERAGE(N$22,N27),""),"")</f>
        <v/>
      </c>
      <c r="O51" s="42"/>
      <c r="P51" s="282"/>
      <c r="Q51" s="296"/>
      <c r="R51" s="293" t="s">
        <v>315</v>
      </c>
      <c r="S51" s="294" t="str">
        <f aca="false">IFERROR(IF(C$22*C27&gt;0,STDEV(C$22,C27),"")/IF(C$22*C27&gt;0,AVERAGE(C$22,C27),""),"")</f>
        <v/>
      </c>
      <c r="T51" s="294" t="str">
        <f aca="false">IFERROR(IF(D$22*D27&gt;0,STDEV(D$22,D27),"")/IF(D$22*D27&gt;0,AVERAGE(D$22,D27),""),"")</f>
        <v/>
      </c>
      <c r="U51" s="294" t="str">
        <f aca="false">IFERROR(IF(E$22*E27&gt;0,STDEV(E$22,E27),"")/IF(E$22*E27&gt;0,AVERAGE(E$22,E27),""),"")</f>
        <v/>
      </c>
      <c r="V51" s="294" t="str">
        <f aca="false">IFERROR(IF(F$22*F27&gt;0,STDEV(F$22,F27),"")/IF(F$22*F27&gt;0,AVERAGE(F$22,F27),""),"")</f>
        <v/>
      </c>
      <c r="W51" s="294" t="str">
        <f aca="false">IFERROR(IF(G$22*G27&gt;0,STDEV(G$22,G27),"")/IF(G$22*G27&gt;0,AVERAGE(G$22,G27),""),"")</f>
        <v/>
      </c>
      <c r="X51" s="294" t="str">
        <f aca="false">IFERROR(IF(H$22*H27&gt;0,STDEV(H$22,H27),"")/IF(H$22*H27&gt;0,AVERAGE(H$22,H27),""),"")</f>
        <v/>
      </c>
      <c r="Y51" s="294" t="str">
        <f aca="false">IFERROR(IF(I$22*I27&gt;0,STDEV(I$22,I27),"")/IF(I$22*I27&gt;0,AVERAGE(I$22,I27),""),"")</f>
        <v/>
      </c>
      <c r="Z51" s="294" t="str">
        <f aca="false">IFERROR(IF(J$22*J27&gt;0,STDEV(J$22,J27),"")/IF(J$22*J27&gt;0,AVERAGE(J$22,J27),""),"")</f>
        <v/>
      </c>
      <c r="AA51" s="294" t="str">
        <f aca="false">IFERROR(IF(K$22*K27&gt;0,STDEV(K$22,K27),"")/IF(K$22*K27&gt;0,AVERAGE(K$22,K27),""),"")</f>
        <v/>
      </c>
      <c r="AB51" s="294" t="str">
        <f aca="false">IFERROR(IF(L$22*L27&gt;0,STDEV(L$22,L27),"")/IF(L$22*L27&gt;0,AVERAGE(L$22,L27),""),"")</f>
        <v/>
      </c>
      <c r="AC51" s="294" t="str">
        <f aca="false">IFERROR(IF(M$22*M27&gt;0,STDEV(M$22,M27),"")/IF(M$22*M27&gt;0,AVERAGE(M$22,M27),""),"")</f>
        <v/>
      </c>
      <c r="AD51" s="294" t="str">
        <f aca="false">IFERROR(IF(N$22*N27&gt;0,STDEV(N$22,N27),"")/IF(N$22*N27&gt;0,AVERAGE(N$22,N27),""),"")</f>
        <v/>
      </c>
      <c r="AE51" s="44"/>
      <c r="AF51" s="266" t="s">
        <v>316</v>
      </c>
      <c r="AG51" s="287" t="str">
        <f aca="false">IFERROR(IF(C$22*C27&gt;0,STDEV(C$22,C27)," ")/IF(C$22*C27&gt;0,SQRT(COUNT(C$22,C27))," "),"")</f>
        <v/>
      </c>
      <c r="AH51" s="287" t="str">
        <f aca="false">IFERROR(IF(D$22*D27&gt;0,STDEV(D$22,D27)," ")/IF(D$22*D27&gt;0,SQRT(COUNT(D$22,D27))," "),"")</f>
        <v/>
      </c>
      <c r="AI51" s="287" t="str">
        <f aca="false">IFERROR(IF(E$22*E27&gt;0,STDEV(E$22,E27)," ")/IF(E$22*E27&gt;0,SQRT(COUNT(E$22,E27))," "),"")</f>
        <v/>
      </c>
      <c r="AJ51" s="287" t="str">
        <f aca="false">IFERROR(IF(F$22*F27&gt;0,STDEV(F$22,F27)," ")/IF(F$22*F27&gt;0,SQRT(COUNT(F$22,F27))," "),"")</f>
        <v/>
      </c>
      <c r="AK51" s="287" t="str">
        <f aca="false">IFERROR(IF(G$22*G27&gt;0,STDEV(G$22,G27)," ")/IF(G$22*G27&gt;0,SQRT(COUNT(G$22,G27))," "),"")</f>
        <v/>
      </c>
      <c r="AL51" s="287" t="str">
        <f aca="false">IFERROR(IF(H$22*H27&gt;0,STDEV(H$22,H27)," ")/IF(H$22*H27&gt;0,SQRT(COUNT(H$22,H27))," "),"")</f>
        <v/>
      </c>
      <c r="AM51" s="287" t="str">
        <f aca="false">IFERROR(IF(I$22*I27&gt;0,STDEV(I$22,I27)," ")/IF(I$22*I27&gt;0,SQRT(COUNT(I$22,I27))," "),"")</f>
        <v/>
      </c>
      <c r="AN51" s="287" t="str">
        <f aca="false">IFERROR(IF(J$22*J27&gt;0,STDEV(J$22,J27)," ")/IF(J$22*J27&gt;0,SQRT(COUNT(J$22,J27))," "),"")</f>
        <v/>
      </c>
      <c r="AO51" s="287" t="str">
        <f aca="false">IFERROR(IF(K$22*K27&gt;0,STDEV(K$22,K27)," ")/IF(K$22*K27&gt;0,SQRT(COUNT(K$22,K27))," "),"")</f>
        <v/>
      </c>
      <c r="AP51" s="287" t="str">
        <f aca="false">IFERROR(IF(L$22*L27&gt;0,STDEV(L$22,L27)," ")/IF(L$22*L27&gt;0,SQRT(COUNT(L$22,L27))," "),"")</f>
        <v/>
      </c>
      <c r="AQ51" s="287" t="str">
        <f aca="false">IFERROR(IF(M$22*M27&gt;0,STDEV(M$22,M27)," ")/IF(M$22*M27&gt;0,SQRT(COUNT(M$22,M27))," "),"")</f>
        <v/>
      </c>
      <c r="AR51" s="287" t="str">
        <f aca="false">IFERROR(IF(N$22*N27&gt;0,STDEV(N$22,N27)," ")/IF(N$22*N27&gt;0,SQRT(COUNT(N$22,N27))," "),"")</f>
        <v/>
      </c>
    </row>
    <row r="52" customFormat="false" ht="15.75" hidden="false" customHeight="false" outlineLevel="0" collapsed="false">
      <c r="A52" s="290" t="s">
        <v>317</v>
      </c>
      <c r="B52" s="281"/>
      <c r="C52" s="291" t="str">
        <f aca="false">IFERROR(IF(C$23*C24&gt;0,AVERAGE(C$23,C24),""),"")</f>
        <v/>
      </c>
      <c r="D52" s="291" t="str">
        <f aca="false">IFERROR(IF(D$23*D24&gt;0,AVERAGE(D$23,D24),""),"")</f>
        <v/>
      </c>
      <c r="E52" s="291" t="str">
        <f aca="false">IFERROR(IF(E$23*E24&gt;0,AVERAGE(E$23,E24),""),"")</f>
        <v/>
      </c>
      <c r="F52" s="291" t="str">
        <f aca="false">IFERROR(IF(F$23*F24&gt;0,AVERAGE(F$23,F24),""),"")</f>
        <v/>
      </c>
      <c r="G52" s="291" t="str">
        <f aca="false">IFERROR(IF(G$23*G24&gt;0,AVERAGE(G$23,G24),""),"")</f>
        <v/>
      </c>
      <c r="H52" s="291" t="str">
        <f aca="false">IFERROR(IF(H$23*H24&gt;0,AVERAGE(H$23,H24),""),"")</f>
        <v/>
      </c>
      <c r="I52" s="291" t="str">
        <f aca="false">IFERROR(IF(I$23*I24&gt;0,AVERAGE(I$23,I24),""),"")</f>
        <v/>
      </c>
      <c r="J52" s="291" t="str">
        <f aca="false">IFERROR(IF(J$23*J24&gt;0,AVERAGE(J$23,J24),""),"")</f>
        <v/>
      </c>
      <c r="K52" s="291" t="str">
        <f aca="false">IFERROR(IF(K$23*K24&gt;0,AVERAGE(K$23,K24),""),"")</f>
        <v/>
      </c>
      <c r="L52" s="291" t="str">
        <f aca="false">IFERROR(IF(L$23*L24&gt;0,AVERAGE(L$23,L24),""),"")</f>
        <v/>
      </c>
      <c r="M52" s="291" t="str">
        <f aca="false">IFERROR(IF(M$23*M24&gt;0,AVERAGE(M$23,M24),""),"")</f>
        <v/>
      </c>
      <c r="N52" s="291" t="str">
        <f aca="false">IFERROR(IF(N$23*N24&gt;0,AVERAGE(N$23,N24),""),"")</f>
        <v/>
      </c>
      <c r="O52" s="42"/>
      <c r="P52" s="282"/>
      <c r="Q52" s="296"/>
      <c r="R52" s="293" t="s">
        <v>318</v>
      </c>
      <c r="S52" s="294" t="str">
        <f aca="false">IFERROR(IF(C$23*C24&gt;0,STDEV(C$23,C24),"")/IF(C$23*C24&gt;0,AVERAGE(C$23,C24),""),"")</f>
        <v/>
      </c>
      <c r="T52" s="294" t="str">
        <f aca="false">IFERROR(IF(D$23*D24&gt;0,STDEV(D$23,D24),"")/IF(D$23*D24&gt;0,AVERAGE(D$23,D24),""),"")</f>
        <v/>
      </c>
      <c r="U52" s="294" t="str">
        <f aca="false">IFERROR(IF(E$23*E24&gt;0,STDEV(E$23,E24),"")/IF(E$23*E24&gt;0,AVERAGE(E$23,E24),""),"")</f>
        <v/>
      </c>
      <c r="V52" s="294" t="str">
        <f aca="false">IFERROR(IF(F$23*F24&gt;0,STDEV(F$23,F24),"")/IF(F$23*F24&gt;0,AVERAGE(F$23,F24),""),"")</f>
        <v/>
      </c>
      <c r="W52" s="294" t="str">
        <f aca="false">IFERROR(IF(G$23*G24&gt;0,STDEV(G$23,G24),"")/IF(G$23*G24&gt;0,AVERAGE(G$23,G24),""),"")</f>
        <v/>
      </c>
      <c r="X52" s="294" t="str">
        <f aca="false">IFERROR(IF(H$23*H24&gt;0,STDEV(H$23,H24),"")/IF(H$23*H24&gt;0,AVERAGE(H$23,H24),""),"")</f>
        <v/>
      </c>
      <c r="Y52" s="294" t="str">
        <f aca="false">IFERROR(IF(I$23*I24&gt;0,STDEV(I$23,I24),"")/IF(I$23*I24&gt;0,AVERAGE(I$23,I24),""),"")</f>
        <v/>
      </c>
      <c r="Z52" s="294" t="str">
        <f aca="false">IFERROR(IF(J$23*J24&gt;0,STDEV(J$23,J24),"")/IF(J$23*J24&gt;0,AVERAGE(J$23,J24),""),"")</f>
        <v/>
      </c>
      <c r="AA52" s="294" t="str">
        <f aca="false">IFERROR(IF(K$23*K24&gt;0,STDEV(K$23,K24),"")/IF(K$23*K24&gt;0,AVERAGE(K$23,K24),""),"")</f>
        <v/>
      </c>
      <c r="AB52" s="294" t="str">
        <f aca="false">IFERROR(IF(L$23*L24&gt;0,STDEV(L$23,L24),"")/IF(L$23*L24&gt;0,AVERAGE(L$23,L24),""),"")</f>
        <v/>
      </c>
      <c r="AC52" s="294" t="str">
        <f aca="false">IFERROR(IF(M$23*M24&gt;0,STDEV(M$23,M24),"")/IF(M$23*M24&gt;0,AVERAGE(M$23,M24),""),"")</f>
        <v/>
      </c>
      <c r="AD52" s="294" t="str">
        <f aca="false">IFERROR(IF(N$23*N24&gt;0,STDEV(N$23,N24),"")/IF(N$23*N24&gt;0,AVERAGE(N$23,N24),""),"")</f>
        <v/>
      </c>
      <c r="AE52" s="44"/>
      <c r="AF52" s="266" t="s">
        <v>319</v>
      </c>
      <c r="AG52" s="287" t="str">
        <f aca="false">IFERROR(IF(C$23*C24&gt;0,STDEV(C$23,C24)," ")/IF(C$23*C24&gt;0,SQRT(COUNT(C$23,C24))," "),"")</f>
        <v/>
      </c>
      <c r="AH52" s="287" t="str">
        <f aca="false">IFERROR(IF(D$23*D24&gt;0,STDEV(D$23,D24)," ")/IF(D$23*D24&gt;0,SQRT(COUNT(D$23,D24))," "),"")</f>
        <v/>
      </c>
      <c r="AI52" s="287" t="str">
        <f aca="false">IFERROR(IF(E$23*E24&gt;0,STDEV(E$23,E24)," ")/IF(E$23*E24&gt;0,SQRT(COUNT(E$23,E24))," "),"")</f>
        <v/>
      </c>
      <c r="AJ52" s="287" t="str">
        <f aca="false">IFERROR(IF(F$23*F24&gt;0,STDEV(F$23,F24)," ")/IF(F$23*F24&gt;0,SQRT(COUNT(F$23,F24))," "),"")</f>
        <v/>
      </c>
      <c r="AK52" s="287" t="str">
        <f aca="false">IFERROR(IF(G$23*G24&gt;0,STDEV(G$23,G24)," ")/IF(G$23*G24&gt;0,SQRT(COUNT(G$23,G24))," "),"")</f>
        <v/>
      </c>
      <c r="AL52" s="287" t="str">
        <f aca="false">IFERROR(IF(H$23*H24&gt;0,STDEV(H$23,H24)," ")/IF(H$23*H24&gt;0,SQRT(COUNT(H$23,H24))," "),"")</f>
        <v/>
      </c>
      <c r="AM52" s="287" t="str">
        <f aca="false">IFERROR(IF(I$23*I24&gt;0,STDEV(I$23,I24)," ")/IF(I$23*I24&gt;0,SQRT(COUNT(I$23,I24))," "),"")</f>
        <v/>
      </c>
      <c r="AN52" s="287" t="str">
        <f aca="false">IFERROR(IF(J$23*J24&gt;0,STDEV(J$23,J24)," ")/IF(J$23*J24&gt;0,SQRT(COUNT(J$23,J24))," "),"")</f>
        <v/>
      </c>
      <c r="AO52" s="287" t="str">
        <f aca="false">IFERROR(IF(K$23*K24&gt;0,STDEV(K$23,K24)," ")/IF(K$23*K24&gt;0,SQRT(COUNT(K$23,K24))," "),"")</f>
        <v/>
      </c>
      <c r="AP52" s="287" t="str">
        <f aca="false">IFERROR(IF(L$23*L24&gt;0,STDEV(L$23,L24)," ")/IF(L$23*L24&gt;0,SQRT(COUNT(L$23,L24))," "),"")</f>
        <v/>
      </c>
      <c r="AQ52" s="287" t="str">
        <f aca="false">IFERROR(IF(M$23*M24&gt;0,STDEV(M$23,M24)," ")/IF(M$23*M24&gt;0,SQRT(COUNT(M$23,M24))," "),"")</f>
        <v/>
      </c>
      <c r="AR52" s="287" t="str">
        <f aca="false">IFERROR(IF(N$23*N24&gt;0,STDEV(N$23,N24)," ")/IF(N$23*N24&gt;0,SQRT(COUNT(N$23,N24))," "),"")</f>
        <v/>
      </c>
    </row>
    <row r="53" customFormat="false" ht="15.75" hidden="false" customHeight="false" outlineLevel="0" collapsed="false">
      <c r="A53" s="290" t="s">
        <v>320</v>
      </c>
      <c r="B53" s="281"/>
      <c r="C53" s="291" t="str">
        <f aca="false">IFERROR(IF(C$23*C25&gt;0,AVERAGE(C$23,C25),""),"")</f>
        <v/>
      </c>
      <c r="D53" s="291" t="str">
        <f aca="false">IFERROR(IF(D$23*D25&gt;0,AVERAGE(D$23,D25),""),"")</f>
        <v/>
      </c>
      <c r="E53" s="291" t="str">
        <f aca="false">IFERROR(IF(E$23*E25&gt;0,AVERAGE(E$23,E25),""),"")</f>
        <v/>
      </c>
      <c r="F53" s="291" t="str">
        <f aca="false">IFERROR(IF(F$23*F25&gt;0,AVERAGE(F$23,F25),""),"")</f>
        <v/>
      </c>
      <c r="G53" s="291" t="str">
        <f aca="false">IFERROR(IF(G$23*G25&gt;0,AVERAGE(G$23,G25),""),"")</f>
        <v/>
      </c>
      <c r="H53" s="291" t="str">
        <f aca="false">IFERROR(IF(H$23*H25&gt;0,AVERAGE(H$23,H25),""),"")</f>
        <v/>
      </c>
      <c r="I53" s="291" t="str">
        <f aca="false">IFERROR(IF(I$23*I25&gt;0,AVERAGE(I$23,I25),""),"")</f>
        <v/>
      </c>
      <c r="J53" s="291" t="str">
        <f aca="false">IFERROR(IF(J$23*J25&gt;0,AVERAGE(J$23,J25),""),"")</f>
        <v/>
      </c>
      <c r="K53" s="291" t="str">
        <f aca="false">IFERROR(IF(K$23*K25&gt;0,AVERAGE(K$23,K25),""),"")</f>
        <v/>
      </c>
      <c r="L53" s="291" t="str">
        <f aca="false">IFERROR(IF(L$23*L25&gt;0,AVERAGE(L$23,L25),""),"")</f>
        <v/>
      </c>
      <c r="M53" s="291" t="str">
        <f aca="false">IFERROR(IF(M$23*M25&gt;0,AVERAGE(M$23,M25),""),"")</f>
        <v/>
      </c>
      <c r="N53" s="291" t="str">
        <f aca="false">IFERROR(IF(N$23*N25&gt;0,AVERAGE(N$23,N25),""),"")</f>
        <v/>
      </c>
      <c r="O53" s="58"/>
      <c r="P53" s="282"/>
      <c r="Q53" s="296"/>
      <c r="R53" s="293" t="s">
        <v>321</v>
      </c>
      <c r="S53" s="294" t="str">
        <f aca="false">IFERROR(IF(C$23*C25&gt;0,STDEV(C$23,C25),"")/IF(C$23*C25&gt;0,AVERAGE(C$23,C25),""),"")</f>
        <v/>
      </c>
      <c r="T53" s="294" t="str">
        <f aca="false">IFERROR(IF(D$23*D25&gt;0,STDEV(D$23,D25),"")/IF(D$23*D25&gt;0,AVERAGE(D$23,D25),""),"")</f>
        <v/>
      </c>
      <c r="U53" s="294" t="str">
        <f aca="false">IFERROR(IF(E$23*E25&gt;0,STDEV(E$23,E25),"")/IF(E$23*E25&gt;0,AVERAGE(E$23,E25),""),"")</f>
        <v/>
      </c>
      <c r="V53" s="294" t="str">
        <f aca="false">IFERROR(IF(F$23*F25&gt;0,STDEV(F$23,F25),"")/IF(F$23*F25&gt;0,AVERAGE(F$23,F25),""),"")</f>
        <v/>
      </c>
      <c r="W53" s="294" t="str">
        <f aca="false">IFERROR(IF(G$23*G25&gt;0,STDEV(G$23,G25),"")/IF(G$23*G25&gt;0,AVERAGE(G$23,G25),""),"")</f>
        <v/>
      </c>
      <c r="X53" s="294" t="str">
        <f aca="false">IFERROR(IF(H$23*H25&gt;0,STDEV(H$23,H25),"")/IF(H$23*H25&gt;0,AVERAGE(H$23,H25),""),"")</f>
        <v/>
      </c>
      <c r="Y53" s="294" t="str">
        <f aca="false">IFERROR(IF(I$23*I25&gt;0,STDEV(I$23,I25),"")/IF(I$23*I25&gt;0,AVERAGE(I$23,I25),""),"")</f>
        <v/>
      </c>
      <c r="Z53" s="294" t="str">
        <f aca="false">IFERROR(IF(J$23*J25&gt;0,STDEV(J$23,J25),"")/IF(J$23*J25&gt;0,AVERAGE(J$23,J25),""),"")</f>
        <v/>
      </c>
      <c r="AA53" s="294" t="str">
        <f aca="false">IFERROR(IF(K$23*K25&gt;0,STDEV(K$23,K25),"")/IF(K$23*K25&gt;0,AVERAGE(K$23,K25),""),"")</f>
        <v/>
      </c>
      <c r="AB53" s="294" t="str">
        <f aca="false">IFERROR(IF(L$23*L25&gt;0,STDEV(L$23,L25),"")/IF(L$23*L25&gt;0,AVERAGE(L$23,L25),""),"")</f>
        <v/>
      </c>
      <c r="AC53" s="294" t="str">
        <f aca="false">IFERROR(IF(M$23*M25&gt;0,STDEV(M$23,M25),"")/IF(M$23*M25&gt;0,AVERAGE(M$23,M25),""),"")</f>
        <v/>
      </c>
      <c r="AD53" s="294" t="str">
        <f aca="false">IFERROR(IF(N$23*N25&gt;0,STDEV(N$23,N25),"")/IF(N$23*N25&gt;0,AVERAGE(N$23,N25),""),"")</f>
        <v/>
      </c>
      <c r="AE53" s="44"/>
      <c r="AF53" s="266" t="s">
        <v>322</v>
      </c>
      <c r="AG53" s="287" t="str">
        <f aca="false">IFERROR(IF(C$23*C25&gt;0,STDEV(C$23,C25)," ")/IF(C$23*C25&gt;0,SQRT(COUNT(C$23,C25))," "),"")</f>
        <v/>
      </c>
      <c r="AH53" s="287" t="str">
        <f aca="false">IFERROR(IF(D$23*D25&gt;0,STDEV(D$23,D25)," ")/IF(D$23*D25&gt;0,SQRT(COUNT(D$23,D25))," "),"")</f>
        <v/>
      </c>
      <c r="AI53" s="287" t="str">
        <f aca="false">IFERROR(IF(E$23*E25&gt;0,STDEV(E$23,E25)," ")/IF(E$23*E25&gt;0,SQRT(COUNT(E$23,E25))," "),"")</f>
        <v/>
      </c>
      <c r="AJ53" s="287" t="str">
        <f aca="false">IFERROR(IF(F$23*F25&gt;0,STDEV(F$23,F25)," ")/IF(F$23*F25&gt;0,SQRT(COUNT(F$23,F25))," "),"")</f>
        <v/>
      </c>
      <c r="AK53" s="287" t="str">
        <f aca="false">IFERROR(IF(G$23*G25&gt;0,STDEV(G$23,G25)," ")/IF(G$23*G25&gt;0,SQRT(COUNT(G$23,G25))," "),"")</f>
        <v/>
      </c>
      <c r="AL53" s="287" t="str">
        <f aca="false">IFERROR(IF(H$23*H25&gt;0,STDEV(H$23,H25)," ")/IF(H$23*H25&gt;0,SQRT(COUNT(H$23,H25))," "),"")</f>
        <v/>
      </c>
      <c r="AM53" s="287" t="str">
        <f aca="false">IFERROR(IF(I$23*I25&gt;0,STDEV(I$23,I25)," ")/IF(I$23*I25&gt;0,SQRT(COUNT(I$23,I25))," "),"")</f>
        <v/>
      </c>
      <c r="AN53" s="287" t="str">
        <f aca="false">IFERROR(IF(J$23*J25&gt;0,STDEV(J$23,J25)," ")/IF(J$23*J25&gt;0,SQRT(COUNT(J$23,J25))," "),"")</f>
        <v/>
      </c>
      <c r="AO53" s="287" t="str">
        <f aca="false">IFERROR(IF(K$23*K25&gt;0,STDEV(K$23,K25)," ")/IF(K$23*K25&gt;0,SQRT(COUNT(K$23,K25))," "),"")</f>
        <v/>
      </c>
      <c r="AP53" s="287" t="str">
        <f aca="false">IFERROR(IF(L$23*L25&gt;0,STDEV(L$23,L25)," ")/IF(L$23*L25&gt;0,SQRT(COUNT(L$23,L25))," "),"")</f>
        <v/>
      </c>
      <c r="AQ53" s="287" t="str">
        <f aca="false">IFERROR(IF(M$23*M25&gt;0,STDEV(M$23,M25)," ")/IF(M$23*M25&gt;0,SQRT(COUNT(M$23,M25))," "),"")</f>
        <v/>
      </c>
      <c r="AR53" s="287" t="str">
        <f aca="false">IFERROR(IF(N$23*N25&gt;0,STDEV(N$23,N25)," ")/IF(N$23*N25&gt;0,SQRT(COUNT(N$23,N25))," "),"")</f>
        <v/>
      </c>
    </row>
    <row r="54" customFormat="false" ht="15.75" hidden="false" customHeight="false" outlineLevel="0" collapsed="false">
      <c r="A54" s="290" t="s">
        <v>323</v>
      </c>
      <c r="B54" s="281"/>
      <c r="C54" s="291" t="str">
        <f aca="false">IFERROR(IF(C$23*C26&gt;0,AVERAGE(C$23,C26),""),"")</f>
        <v/>
      </c>
      <c r="D54" s="291" t="str">
        <f aca="false">IFERROR(IF(D$23*D26&gt;0,AVERAGE(D$23,D26),""),"")</f>
        <v/>
      </c>
      <c r="E54" s="291" t="str">
        <f aca="false">IFERROR(IF(E$23*E26&gt;0,AVERAGE(E$23,E26),""),"")</f>
        <v/>
      </c>
      <c r="F54" s="291" t="str">
        <f aca="false">IFERROR(IF(F$23*F26&gt;0,AVERAGE(F$23,F26),""),"")</f>
        <v/>
      </c>
      <c r="G54" s="291" t="str">
        <f aca="false">IFERROR(IF(G$23*G26&gt;0,AVERAGE(G$23,G26),""),"")</f>
        <v/>
      </c>
      <c r="H54" s="291" t="str">
        <f aca="false">IFERROR(IF(H$23*H26&gt;0,AVERAGE(H$23,H26),""),"")</f>
        <v/>
      </c>
      <c r="I54" s="291" t="str">
        <f aca="false">IFERROR(IF(I$23*I26&gt;0,AVERAGE(I$23,I26),""),"")</f>
        <v/>
      </c>
      <c r="J54" s="291" t="str">
        <f aca="false">IFERROR(IF(J$23*J26&gt;0,AVERAGE(J$23,J26),""),"")</f>
        <v/>
      </c>
      <c r="K54" s="291" t="str">
        <f aca="false">IFERROR(IF(K$23*K26&gt;0,AVERAGE(K$23,K26),""),"")</f>
        <v/>
      </c>
      <c r="L54" s="291" t="str">
        <f aca="false">IFERROR(IF(L$23*L26&gt;0,AVERAGE(L$23,L26),""),"")</f>
        <v/>
      </c>
      <c r="M54" s="291" t="str">
        <f aca="false">IFERROR(IF(M$23*M26&gt;0,AVERAGE(M$23,M26),""),"")</f>
        <v/>
      </c>
      <c r="N54" s="291" t="str">
        <f aca="false">IFERROR(IF(N$23*N26&gt;0,AVERAGE(N$23,N26),""),"")</f>
        <v/>
      </c>
      <c r="O54" s="282"/>
      <c r="P54" s="282"/>
      <c r="Q54" s="296"/>
      <c r="R54" s="293" t="s">
        <v>324</v>
      </c>
      <c r="S54" s="294" t="str">
        <f aca="false">IFERROR(IF(C$23*C26&gt;0,STDEV(C$23,C26),"")/IF(C$23*C26&gt;0,AVERAGE(C$23,C26),""),"")</f>
        <v/>
      </c>
      <c r="T54" s="294" t="str">
        <f aca="false">IFERROR(IF(D$23*D26&gt;0,STDEV(D$23,D26),"")/IF(D$23*D26&gt;0,AVERAGE(D$23,D26),""),"")</f>
        <v/>
      </c>
      <c r="U54" s="294" t="str">
        <f aca="false">IFERROR(IF(E$23*E26&gt;0,STDEV(E$23,E26),"")/IF(E$23*E26&gt;0,AVERAGE(E$23,E26),""),"")</f>
        <v/>
      </c>
      <c r="V54" s="294" t="str">
        <f aca="false">IFERROR(IF(F$23*F26&gt;0,STDEV(F$23,F26),"")/IF(F$23*F26&gt;0,AVERAGE(F$23,F26),""),"")</f>
        <v/>
      </c>
      <c r="W54" s="294" t="str">
        <f aca="false">IFERROR(IF(G$23*G26&gt;0,STDEV(G$23,G26),"")/IF(G$23*G26&gt;0,AVERAGE(G$23,G26),""),"")</f>
        <v/>
      </c>
      <c r="X54" s="294" t="str">
        <f aca="false">IFERROR(IF(H$23*H26&gt;0,STDEV(H$23,H26),"")/IF(H$23*H26&gt;0,AVERAGE(H$23,H26),""),"")</f>
        <v/>
      </c>
      <c r="Y54" s="294" t="str">
        <f aca="false">IFERROR(IF(I$23*I26&gt;0,STDEV(I$23,I26),"")/IF(I$23*I26&gt;0,AVERAGE(I$23,I26),""),"")</f>
        <v/>
      </c>
      <c r="Z54" s="294" t="str">
        <f aca="false">IFERROR(IF(J$23*J26&gt;0,STDEV(J$23,J26),"")/IF(J$23*J26&gt;0,AVERAGE(J$23,J26),""),"")</f>
        <v/>
      </c>
      <c r="AA54" s="294" t="str">
        <f aca="false">IFERROR(IF(K$23*K26&gt;0,STDEV(K$23,K26),"")/IF(K$23*K26&gt;0,AVERAGE(K$23,K26),""),"")</f>
        <v/>
      </c>
      <c r="AB54" s="294" t="str">
        <f aca="false">IFERROR(IF(L$23*L26&gt;0,STDEV(L$23,L26),"")/IF(L$23*L26&gt;0,AVERAGE(L$23,L26),""),"")</f>
        <v/>
      </c>
      <c r="AC54" s="294" t="str">
        <f aca="false">IFERROR(IF(M$23*M26&gt;0,STDEV(M$23,M26),"")/IF(M$23*M26&gt;0,AVERAGE(M$23,M26),""),"")</f>
        <v/>
      </c>
      <c r="AD54" s="294" t="str">
        <f aca="false">IFERROR(IF(N$23*N26&gt;0,STDEV(N$23,N26),"")/IF(N$23*N26&gt;0,AVERAGE(N$23,N26),""),"")</f>
        <v/>
      </c>
      <c r="AE54" s="44"/>
      <c r="AF54" s="266" t="s">
        <v>325</v>
      </c>
      <c r="AG54" s="287" t="str">
        <f aca="false">IFERROR(IF(C$23*C26&gt;0,STDEV(C$23,C26)," ")/IF(C$23*C26&gt;0,SQRT(COUNT(C$23,C26))," "),"")</f>
        <v/>
      </c>
      <c r="AH54" s="287" t="str">
        <f aca="false">IFERROR(IF(D$23*D26&gt;0,STDEV(D$23,D26)," ")/IF(D$23*D26&gt;0,SQRT(COUNT(D$23,D26))," "),"")</f>
        <v/>
      </c>
      <c r="AI54" s="287" t="str">
        <f aca="false">IFERROR(IF(E$23*E26&gt;0,STDEV(E$23,E26)," ")/IF(E$23*E26&gt;0,SQRT(COUNT(E$23,E26))," "),"")</f>
        <v/>
      </c>
      <c r="AJ54" s="287" t="str">
        <f aca="false">IFERROR(IF(F$23*F26&gt;0,STDEV(F$23,F26)," ")/IF(F$23*F26&gt;0,SQRT(COUNT(F$23,F26))," "),"")</f>
        <v/>
      </c>
      <c r="AK54" s="287" t="str">
        <f aca="false">IFERROR(IF(G$23*G26&gt;0,STDEV(G$23,G26)," ")/IF(G$23*G26&gt;0,SQRT(COUNT(G$23,G26))," "),"")</f>
        <v/>
      </c>
      <c r="AL54" s="287" t="str">
        <f aca="false">IFERROR(IF(H$23*H26&gt;0,STDEV(H$23,H26)," ")/IF(H$23*H26&gt;0,SQRT(COUNT(H$23,H26))," "),"")</f>
        <v/>
      </c>
      <c r="AM54" s="287" t="str">
        <f aca="false">IFERROR(IF(I$23*I26&gt;0,STDEV(I$23,I26)," ")/IF(I$23*I26&gt;0,SQRT(COUNT(I$23,I26))," "),"")</f>
        <v/>
      </c>
      <c r="AN54" s="287" t="str">
        <f aca="false">IFERROR(IF(J$23*J26&gt;0,STDEV(J$23,J26)," ")/IF(J$23*J26&gt;0,SQRT(COUNT(J$23,J26))," "),"")</f>
        <v/>
      </c>
      <c r="AO54" s="287" t="str">
        <f aca="false">IFERROR(IF(K$23*K26&gt;0,STDEV(K$23,K26)," ")/IF(K$23*K26&gt;0,SQRT(COUNT(K$23,K26))," "),"")</f>
        <v/>
      </c>
      <c r="AP54" s="287" t="str">
        <f aca="false">IFERROR(IF(L$23*L26&gt;0,STDEV(L$23,L26)," ")/IF(L$23*L26&gt;0,SQRT(COUNT(L$23,L26))," "),"")</f>
        <v/>
      </c>
      <c r="AQ54" s="287" t="str">
        <f aca="false">IFERROR(IF(M$23*M26&gt;0,STDEV(M$23,M26)," ")/IF(M$23*M26&gt;0,SQRT(COUNT(M$23,M26))," "),"")</f>
        <v/>
      </c>
      <c r="AR54" s="287" t="str">
        <f aca="false">IFERROR(IF(N$23*N26&gt;0,STDEV(N$23,N26)," ")/IF(N$23*N26&gt;0,SQRT(COUNT(N$23,N26))," "),"")</f>
        <v/>
      </c>
    </row>
    <row r="55" customFormat="false" ht="15.75" hidden="false" customHeight="false" outlineLevel="0" collapsed="false">
      <c r="A55" s="290" t="s">
        <v>326</v>
      </c>
      <c r="B55" s="281"/>
      <c r="C55" s="291" t="str">
        <f aca="false">IFERROR(IF(C$23*C27&gt;0,AVERAGE(C$23,C27),""),"")</f>
        <v/>
      </c>
      <c r="D55" s="291" t="str">
        <f aca="false">IFERROR(IF(D$23*D27&gt;0,AVERAGE(D$23,D27),""),"")</f>
        <v/>
      </c>
      <c r="E55" s="291" t="str">
        <f aca="false">IFERROR(IF(E$23*E27&gt;0,AVERAGE(E$23,E27),""),"")</f>
        <v/>
      </c>
      <c r="F55" s="291" t="str">
        <f aca="false">IFERROR(IF(F$23*F27&gt;0,AVERAGE(F$23,F27),""),"")</f>
        <v/>
      </c>
      <c r="G55" s="291" t="str">
        <f aca="false">IFERROR(IF(G$23*G27&gt;0,AVERAGE(G$23,G27),""),"")</f>
        <v/>
      </c>
      <c r="H55" s="291" t="str">
        <f aca="false">IFERROR(IF(H$23*H27&gt;0,AVERAGE(H$23,H27),""),"")</f>
        <v/>
      </c>
      <c r="I55" s="291" t="str">
        <f aca="false">IFERROR(IF(I$23*I27&gt;0,AVERAGE(I$23,I27),""),"")</f>
        <v/>
      </c>
      <c r="J55" s="291" t="str">
        <f aca="false">IFERROR(IF(J$23*J27&gt;0,AVERAGE(J$23,J27),""),"")</f>
        <v/>
      </c>
      <c r="K55" s="291" t="str">
        <f aca="false">IFERROR(IF(K$23*K27&gt;0,AVERAGE(K$23,K27),""),"")</f>
        <v/>
      </c>
      <c r="L55" s="291" t="str">
        <f aca="false">IFERROR(IF(L$23*L27&gt;0,AVERAGE(L$23,L27),""),"")</f>
        <v/>
      </c>
      <c r="M55" s="291" t="str">
        <f aca="false">IFERROR(IF(M$23*M27&gt;0,AVERAGE(M$23,M27),""),"")</f>
        <v/>
      </c>
      <c r="N55" s="291" t="str">
        <f aca="false">IFERROR(IF(N$23*N27&gt;0,AVERAGE(N$23,N27),""),"")</f>
        <v/>
      </c>
      <c r="O55" s="58"/>
      <c r="P55" s="282"/>
      <c r="Q55" s="296"/>
      <c r="R55" s="293" t="s">
        <v>327</v>
      </c>
      <c r="S55" s="294" t="str">
        <f aca="false">IFERROR(IF(C$23*C27&gt;0,STDEV(C$23,C27),"")/IF(C$23*C27&gt;0,AVERAGE(C$23,C27),""),"")</f>
        <v/>
      </c>
      <c r="T55" s="294" t="str">
        <f aca="false">IFERROR(IF(D$23*D27&gt;0,STDEV(D$23,D27),"")/IF(D$23*D27&gt;0,AVERAGE(D$23,D27),""),"")</f>
        <v/>
      </c>
      <c r="U55" s="294" t="str">
        <f aca="false">IFERROR(IF(E$23*E27&gt;0,STDEV(E$23,E27),"")/IF(E$23*E27&gt;0,AVERAGE(E$23,E27),""),"")</f>
        <v/>
      </c>
      <c r="V55" s="294" t="str">
        <f aca="false">IFERROR(IF(F$23*F27&gt;0,STDEV(F$23,F27),"")/IF(F$23*F27&gt;0,AVERAGE(F$23,F27),""),"")</f>
        <v/>
      </c>
      <c r="W55" s="294" t="str">
        <f aca="false">IFERROR(IF(G$23*G27&gt;0,STDEV(G$23,G27),"")/IF(G$23*G27&gt;0,AVERAGE(G$23,G27),""),"")</f>
        <v/>
      </c>
      <c r="X55" s="294" t="str">
        <f aca="false">IFERROR(IF(H$23*H27&gt;0,STDEV(H$23,H27),"")/IF(H$23*H27&gt;0,AVERAGE(H$23,H27),""),"")</f>
        <v/>
      </c>
      <c r="Y55" s="294" t="str">
        <f aca="false">IFERROR(IF(I$23*I27&gt;0,STDEV(I$23,I27),"")/IF(I$23*I27&gt;0,AVERAGE(I$23,I27),""),"")</f>
        <v/>
      </c>
      <c r="Z55" s="294" t="str">
        <f aca="false">IFERROR(IF(J$23*J27&gt;0,STDEV(J$23,J27),"")/IF(J$23*J27&gt;0,AVERAGE(J$23,J27),""),"")</f>
        <v/>
      </c>
      <c r="AA55" s="294" t="str">
        <f aca="false">IFERROR(IF(K$23*K27&gt;0,STDEV(K$23,K27),"")/IF(K$23*K27&gt;0,AVERAGE(K$23,K27),""),"")</f>
        <v/>
      </c>
      <c r="AB55" s="294" t="str">
        <f aca="false">IFERROR(IF(L$23*L27&gt;0,STDEV(L$23,L27),"")/IF(L$23*L27&gt;0,AVERAGE(L$23,L27),""),"")</f>
        <v/>
      </c>
      <c r="AC55" s="294" t="str">
        <f aca="false">IFERROR(IF(M$23*M27&gt;0,STDEV(M$23,M27),"")/IF(M$23*M27&gt;0,AVERAGE(M$23,M27),""),"")</f>
        <v/>
      </c>
      <c r="AD55" s="294" t="str">
        <f aca="false">IFERROR(IF(N$23*N27&gt;0,STDEV(N$23,N27),"")/IF(N$23*N27&gt;0,AVERAGE(N$23,N27),""),"")</f>
        <v/>
      </c>
      <c r="AE55" s="44"/>
      <c r="AF55" s="266" t="s">
        <v>328</v>
      </c>
      <c r="AG55" s="287" t="str">
        <f aca="false">IFERROR(IF(C$23*C27&gt;0,STDEV(C$23,C27)," ")/IF(C$23*C27&gt;0,SQRT(COUNT(C$23,C27))," "),"")</f>
        <v/>
      </c>
      <c r="AH55" s="287" t="str">
        <f aca="false">IFERROR(IF(D$23*D27&gt;0,STDEV(D$23,D27)," ")/IF(D$23*D27&gt;0,SQRT(COUNT(D$23,D27))," "),"")</f>
        <v/>
      </c>
      <c r="AI55" s="287" t="str">
        <f aca="false">IFERROR(IF(E$23*E27&gt;0,STDEV(E$23,E27)," ")/IF(E$23*E27&gt;0,SQRT(COUNT(E$23,E27))," "),"")</f>
        <v/>
      </c>
      <c r="AJ55" s="287" t="str">
        <f aca="false">IFERROR(IF(F$23*F27&gt;0,STDEV(F$23,F27)," ")/IF(F$23*F27&gt;0,SQRT(COUNT(F$23,F27))," "),"")</f>
        <v/>
      </c>
      <c r="AK55" s="287" t="str">
        <f aca="false">IFERROR(IF(G$23*G27&gt;0,STDEV(G$23,G27)," ")/IF(G$23*G27&gt;0,SQRT(COUNT(G$23,G27))," "),"")</f>
        <v/>
      </c>
      <c r="AL55" s="287" t="str">
        <f aca="false">IFERROR(IF(H$23*H27&gt;0,STDEV(H$23,H27)," ")/IF(H$23*H27&gt;0,SQRT(COUNT(H$23,H27))," "),"")</f>
        <v/>
      </c>
      <c r="AM55" s="287" t="str">
        <f aca="false">IFERROR(IF(I$23*I27&gt;0,STDEV(I$23,I27)," ")/IF(I$23*I27&gt;0,SQRT(COUNT(I$23,I27))," "),"")</f>
        <v/>
      </c>
      <c r="AN55" s="287" t="str">
        <f aca="false">IFERROR(IF(J$23*J27&gt;0,STDEV(J$23,J27)," ")/IF(J$23*J27&gt;0,SQRT(COUNT(J$23,J27))," "),"")</f>
        <v/>
      </c>
      <c r="AO55" s="287" t="str">
        <f aca="false">IFERROR(IF(K$23*K27&gt;0,STDEV(K$23,K27)," ")/IF(K$23*K27&gt;0,SQRT(COUNT(K$23,K27))," "),"")</f>
        <v/>
      </c>
      <c r="AP55" s="287" t="str">
        <f aca="false">IFERROR(IF(L$23*L27&gt;0,STDEV(L$23,L27)," ")/IF(L$23*L27&gt;0,SQRT(COUNT(L$23,L27))," "),"")</f>
        <v/>
      </c>
      <c r="AQ55" s="287" t="str">
        <f aca="false">IFERROR(IF(M$23*M27&gt;0,STDEV(M$23,M27)," ")/IF(M$23*M27&gt;0,SQRT(COUNT(M$23,M27))," "),"")</f>
        <v/>
      </c>
      <c r="AR55" s="287" t="str">
        <f aca="false">IFERROR(IF(N$23*N27&gt;0,STDEV(N$23,N27)," ")/IF(N$23*N27&gt;0,SQRT(COUNT(N$23,N27))," "),"")</f>
        <v/>
      </c>
    </row>
    <row r="56" customFormat="false" ht="15.75" hidden="false" customHeight="false" outlineLevel="0" collapsed="false">
      <c r="A56" s="290" t="s">
        <v>329</v>
      </c>
      <c r="B56" s="281"/>
      <c r="C56" s="291" t="str">
        <f aca="false">IFERROR(IF(C$24*C25&gt;0,AVERAGE(C$24,C25),""),"")</f>
        <v/>
      </c>
      <c r="D56" s="291" t="str">
        <f aca="false">IFERROR(IF(D$24*D25&gt;0,AVERAGE(D$24,D25),""),"")</f>
        <v/>
      </c>
      <c r="E56" s="291" t="str">
        <f aca="false">IFERROR(IF(E$24*E25&gt;0,AVERAGE(E$24,E25),""),"")</f>
        <v/>
      </c>
      <c r="F56" s="291" t="str">
        <f aca="false">IFERROR(IF(F$24*F25&gt;0,AVERAGE(F$24,F25),""),"")</f>
        <v/>
      </c>
      <c r="G56" s="291" t="str">
        <f aca="false">IFERROR(IF(G$24*G25&gt;0,AVERAGE(G$24,G25),""),"")</f>
        <v/>
      </c>
      <c r="H56" s="291" t="str">
        <f aca="false">IFERROR(IF(H$24*H25&gt;0,AVERAGE(H$24,H25),""),"")</f>
        <v/>
      </c>
      <c r="I56" s="291" t="str">
        <f aca="false">IFERROR(IF(I$24*I25&gt;0,AVERAGE(I$24,I25),""),"")</f>
        <v/>
      </c>
      <c r="J56" s="291" t="str">
        <f aca="false">IFERROR(IF(J$24*J25&gt;0,AVERAGE(J$24,J25),""),"")</f>
        <v/>
      </c>
      <c r="K56" s="291" t="str">
        <f aca="false">IFERROR(IF(K$24*K25&gt;0,AVERAGE(K$24,K25),""),"")</f>
        <v/>
      </c>
      <c r="L56" s="291" t="str">
        <f aca="false">IFERROR(IF(L$24*L25&gt;0,AVERAGE(L$24,L25),""),"")</f>
        <v/>
      </c>
      <c r="M56" s="291" t="str">
        <f aca="false">IFERROR(IF(M$24*M25&gt;0,AVERAGE(M$24,M25),""),"")</f>
        <v/>
      </c>
      <c r="N56" s="291" t="str">
        <f aca="false">IFERROR(IF(N$24*N25&gt;0,AVERAGE(N$24,N25),""),"")</f>
        <v/>
      </c>
      <c r="O56" s="42"/>
      <c r="P56" s="282"/>
      <c r="Q56" s="188"/>
      <c r="R56" s="293" t="s">
        <v>330</v>
      </c>
      <c r="S56" s="294" t="str">
        <f aca="false">IFERROR(IF(C$24*C25&gt;0,STDEV(C$24,C25),"")/IF(C$24*C25&gt;0,AVERAGE(C$24,C25),""),"")</f>
        <v/>
      </c>
      <c r="T56" s="294" t="str">
        <f aca="false">IFERROR(IF(D$24*D25&gt;0,STDEV(D$24,D25),"")/IF(D$24*D25&gt;0,AVERAGE(D$24,D25),""),"")</f>
        <v/>
      </c>
      <c r="U56" s="294" t="str">
        <f aca="false">IFERROR(IF(E$24*E25&gt;0,STDEV(E$24,E25),"")/IF(E$24*E25&gt;0,AVERAGE(E$24,E25),""),"")</f>
        <v/>
      </c>
      <c r="V56" s="294" t="str">
        <f aca="false">IFERROR(IF(F$24*F25&gt;0,STDEV(F$24,F25),"")/IF(F$24*F25&gt;0,AVERAGE(F$24,F25),""),"")</f>
        <v/>
      </c>
      <c r="W56" s="294" t="str">
        <f aca="false">IFERROR(IF(G$24*G25&gt;0,STDEV(G$24,G25),"")/IF(G$24*G25&gt;0,AVERAGE(G$24,G25),""),"")</f>
        <v/>
      </c>
      <c r="X56" s="294" t="str">
        <f aca="false">IFERROR(IF(H$24*H25&gt;0,STDEV(H$24,H25),"")/IF(H$24*H25&gt;0,AVERAGE(H$24,H25),""),"")</f>
        <v/>
      </c>
      <c r="Y56" s="294" t="str">
        <f aca="false">IFERROR(IF(I$24*I25&gt;0,STDEV(I$24,I25),"")/IF(I$24*I25&gt;0,AVERAGE(I$24,I25),""),"")</f>
        <v/>
      </c>
      <c r="Z56" s="294" t="str">
        <f aca="false">IFERROR(IF(J$24*J25&gt;0,STDEV(J$24,J25),"")/IF(J$24*J25&gt;0,AVERAGE(J$24,J25),""),"")</f>
        <v/>
      </c>
      <c r="AA56" s="294" t="str">
        <f aca="false">IFERROR(IF(K$24*K25&gt;0,STDEV(K$24,K25),"")/IF(K$24*K25&gt;0,AVERAGE(K$24,K25),""),"")</f>
        <v/>
      </c>
      <c r="AB56" s="294" t="str">
        <f aca="false">IFERROR(IF(L$24*L25&gt;0,STDEV(L$24,L25),"")/IF(L$24*L25&gt;0,AVERAGE(L$24,L25),""),"")</f>
        <v/>
      </c>
      <c r="AC56" s="294" t="str">
        <f aca="false">IFERROR(IF(M$24*M25&gt;0,STDEV(M$24,M25),"")/IF(M$24*M25&gt;0,AVERAGE(M$24,M25),""),"")</f>
        <v/>
      </c>
      <c r="AD56" s="294" t="str">
        <f aca="false">IFERROR(IF(N$24*N25&gt;0,STDEV(N$24,N25),"")/IF(N$24*N25&gt;0,AVERAGE(N$24,N25),""),"")</f>
        <v/>
      </c>
      <c r="AE56" s="42"/>
      <c r="AF56" s="266" t="s">
        <v>331</v>
      </c>
      <c r="AG56" s="298" t="str">
        <f aca="false">IFERROR(IF(C$24*C25&gt;0,STDEV(C$24,C25)," ")/IF(C$24*C25&gt;0,SQRT(COUNT(C$24,C25))," "),"")</f>
        <v/>
      </c>
      <c r="AH56" s="298" t="str">
        <f aca="false">IFERROR(IF(D$24*D25&gt;0,STDEV(D$24,D25)," ")/IF(D$24*D25&gt;0,SQRT(COUNT(D$24,D25))," "),"")</f>
        <v/>
      </c>
      <c r="AI56" s="298" t="str">
        <f aca="false">IFERROR(IF(E$24*E25&gt;0,STDEV(E$24,E25)," ")/IF(E$24*E25&gt;0,SQRT(COUNT(E$24,E25))," "),"")</f>
        <v/>
      </c>
      <c r="AJ56" s="298" t="str">
        <f aca="false">IFERROR(IF(F$24*F25&gt;0,STDEV(F$24,F25)," ")/IF(F$24*F25&gt;0,SQRT(COUNT(F$24,F25))," "),"")</f>
        <v/>
      </c>
      <c r="AK56" s="298" t="str">
        <f aca="false">IFERROR(IF(G$24*G25&gt;0,STDEV(G$24,G25)," ")/IF(G$24*G25&gt;0,SQRT(COUNT(G$24,G25))," "),"")</f>
        <v/>
      </c>
      <c r="AL56" s="298" t="str">
        <f aca="false">IFERROR(IF(H$24*H25&gt;0,STDEV(H$24,H25)," ")/IF(H$24*H25&gt;0,SQRT(COUNT(H$24,H25))," "),"")</f>
        <v/>
      </c>
      <c r="AM56" s="298" t="str">
        <f aca="false">IFERROR(IF(I$24*I25&gt;0,STDEV(I$24,I25)," ")/IF(I$24*I25&gt;0,SQRT(COUNT(I$24,I25))," "),"")</f>
        <v/>
      </c>
      <c r="AN56" s="298" t="str">
        <f aca="false">IFERROR(IF(J$24*J25&gt;0,STDEV(J$24,J25)," ")/IF(J$24*J25&gt;0,SQRT(COUNT(J$24,J25))," "),"")</f>
        <v/>
      </c>
      <c r="AO56" s="298" t="str">
        <f aca="false">IFERROR(IF(K$24*K25&gt;0,STDEV(K$24,K25)," ")/IF(K$24*K25&gt;0,SQRT(COUNT(K$24,K25))," "),"")</f>
        <v/>
      </c>
      <c r="AP56" s="298" t="str">
        <f aca="false">IFERROR(IF(L$24*L25&gt;0,STDEV(L$24,L25)," ")/IF(L$24*L25&gt;0,SQRT(COUNT(L$24,L25))," "),"")</f>
        <v/>
      </c>
      <c r="AQ56" s="298" t="str">
        <f aca="false">IFERROR(IF(M$24*M25&gt;0,STDEV(M$24,M25)," ")/IF(M$24*M25&gt;0,SQRT(COUNT(M$24,M25))," "),"")</f>
        <v/>
      </c>
      <c r="AR56" s="298" t="str">
        <f aca="false">IFERROR(IF(N$24*N25&gt;0,STDEV(N$24,N25)," ")/IF(N$24*N25&gt;0,SQRT(COUNT(N$24,N25))," "),"")</f>
        <v/>
      </c>
    </row>
    <row r="57" customFormat="false" ht="15.75" hidden="false" customHeight="false" outlineLevel="0" collapsed="false">
      <c r="A57" s="290" t="s">
        <v>332</v>
      </c>
      <c r="B57" s="281"/>
      <c r="C57" s="291" t="str">
        <f aca="false">IFERROR(IF(C$24*C26&gt;0,AVERAGE(C$24,C26),""),"")</f>
        <v/>
      </c>
      <c r="D57" s="291" t="str">
        <f aca="false">IFERROR(IF(D$24*D26&gt;0,AVERAGE(D$24,D26),""),"")</f>
        <v/>
      </c>
      <c r="E57" s="291" t="str">
        <f aca="false">IFERROR(IF(E$24*E26&gt;0,AVERAGE(E$24,E26),""),"")</f>
        <v/>
      </c>
      <c r="F57" s="291" t="str">
        <f aca="false">IFERROR(IF(F$24*F26&gt;0,AVERAGE(F$24,F26),""),"")</f>
        <v/>
      </c>
      <c r="G57" s="291" t="str">
        <f aca="false">IFERROR(IF(G$24*G26&gt;0,AVERAGE(G$24,G26),""),"")</f>
        <v/>
      </c>
      <c r="H57" s="291" t="str">
        <f aca="false">IFERROR(IF(H$24*H26&gt;0,AVERAGE(H$24,H26),""),"")</f>
        <v/>
      </c>
      <c r="I57" s="291" t="str">
        <f aca="false">IFERROR(IF(I$24*I26&gt;0,AVERAGE(I$24,I26),""),"")</f>
        <v/>
      </c>
      <c r="J57" s="291" t="str">
        <f aca="false">IFERROR(IF(J$24*J26&gt;0,AVERAGE(J$24,J26),""),"")</f>
        <v/>
      </c>
      <c r="K57" s="291" t="str">
        <f aca="false">IFERROR(IF(K$24*K26&gt;0,AVERAGE(K$24,K26),""),"")</f>
        <v/>
      </c>
      <c r="L57" s="291" t="str">
        <f aca="false">IFERROR(IF(L$24*L26&gt;0,AVERAGE(L$24,L26),""),"")</f>
        <v/>
      </c>
      <c r="M57" s="291" t="str">
        <f aca="false">IFERROR(IF(M$24*M26&gt;0,AVERAGE(M$24,M26),""),"")</f>
        <v/>
      </c>
      <c r="N57" s="291" t="str">
        <f aca="false">IFERROR(IF(N$24*N26&gt;0,AVERAGE(N$24,N26),""),"")</f>
        <v/>
      </c>
      <c r="O57" s="299"/>
      <c r="P57" s="282"/>
      <c r="Q57" s="147"/>
      <c r="R57" s="293" t="s">
        <v>333</v>
      </c>
      <c r="S57" s="294" t="str">
        <f aca="false">IFERROR(IF(C$24*C26&gt;0,STDEV(C$24,C26),"")/IF(C$24*C26&gt;0,AVERAGE(C$24,C26),""),"")</f>
        <v/>
      </c>
      <c r="T57" s="294" t="str">
        <f aca="false">IFERROR(IF(D$24*D26&gt;0,STDEV(D$24,D26),"")/IF(D$24*D26&gt;0,AVERAGE(D$24,D26),""),"")</f>
        <v/>
      </c>
      <c r="U57" s="294" t="str">
        <f aca="false">IFERROR(IF(E$24*E26&gt;0,STDEV(E$24,E26),"")/IF(E$24*E26&gt;0,AVERAGE(E$24,E26),""),"")</f>
        <v/>
      </c>
      <c r="V57" s="294" t="str">
        <f aca="false">IFERROR(IF(F$24*F26&gt;0,STDEV(F$24,F26),"")/IF(F$24*F26&gt;0,AVERAGE(F$24,F26),""),"")</f>
        <v/>
      </c>
      <c r="W57" s="294" t="str">
        <f aca="false">IFERROR(IF(G$24*G26&gt;0,STDEV(G$24,G26),"")/IF(G$24*G26&gt;0,AVERAGE(G$24,G26),""),"")</f>
        <v/>
      </c>
      <c r="X57" s="294" t="str">
        <f aca="false">IFERROR(IF(H$24*H26&gt;0,STDEV(H$24,H26),"")/IF(H$24*H26&gt;0,AVERAGE(H$24,H26),""),"")</f>
        <v/>
      </c>
      <c r="Y57" s="294" t="str">
        <f aca="false">IFERROR(IF(I$24*I26&gt;0,STDEV(I$24,I26),"")/IF(I$24*I26&gt;0,AVERAGE(I$24,I26),""),"")</f>
        <v/>
      </c>
      <c r="Z57" s="294" t="str">
        <f aca="false">IFERROR(IF(J$24*J26&gt;0,STDEV(J$24,J26),"")/IF(J$24*J26&gt;0,AVERAGE(J$24,J26),""),"")</f>
        <v/>
      </c>
      <c r="AA57" s="294" t="str">
        <f aca="false">IFERROR(IF(K$24*K26&gt;0,STDEV(K$24,K26),"")/IF(K$24*K26&gt;0,AVERAGE(K$24,K26),""),"")</f>
        <v/>
      </c>
      <c r="AB57" s="294" t="str">
        <f aca="false">IFERROR(IF(L$24*L26&gt;0,STDEV(L$24,L26),"")/IF(L$24*L26&gt;0,AVERAGE(L$24,L26),""),"")</f>
        <v/>
      </c>
      <c r="AC57" s="294" t="str">
        <f aca="false">IFERROR(IF(M$24*M26&gt;0,STDEV(M$24,M26),"")/IF(M$24*M26&gt;0,AVERAGE(M$24,M26),""),"")</f>
        <v/>
      </c>
      <c r="AD57" s="294" t="str">
        <f aca="false">IFERROR(IF(N$24*N26&gt;0,STDEV(N$24,N26),"")/IF(N$24*N26&gt;0,AVERAGE(N$24,N26),""),"")</f>
        <v/>
      </c>
      <c r="AE57" s="152"/>
      <c r="AF57" s="266" t="s">
        <v>334</v>
      </c>
      <c r="AG57" s="287" t="str">
        <f aca="false">IFERROR(IF(C$24*C26&gt;0,STDEV(C$24,C26)," ")/IF(C$24*C26&gt;0,SQRT(COUNT(C$24,C26))," "),"")</f>
        <v/>
      </c>
      <c r="AH57" s="287" t="str">
        <f aca="false">IFERROR(IF(D$24*D26&gt;0,STDEV(D$24,D26)," ")/IF(D$24*D26&gt;0,SQRT(COUNT(D$24,D26))," "),"")</f>
        <v/>
      </c>
      <c r="AI57" s="287" t="str">
        <f aca="false">IFERROR(IF(E$24*E26&gt;0,STDEV(E$24,E26)," ")/IF(E$24*E26&gt;0,SQRT(COUNT(E$24,E26))," "),"")</f>
        <v/>
      </c>
      <c r="AJ57" s="287" t="str">
        <f aca="false">IFERROR(IF(F$24*F26&gt;0,STDEV(F$24,F26)," ")/IF(F$24*F26&gt;0,SQRT(COUNT(F$24,F26))," "),"")</f>
        <v/>
      </c>
      <c r="AK57" s="287" t="str">
        <f aca="false">IFERROR(IF(G$24*G26&gt;0,STDEV(G$24,G26)," ")/IF(G$24*G26&gt;0,SQRT(COUNT(G$24,G26))," "),"")</f>
        <v/>
      </c>
      <c r="AL57" s="287" t="str">
        <f aca="false">IFERROR(IF(H$24*H26&gt;0,STDEV(H$24,H26)," ")/IF(H$24*H26&gt;0,SQRT(COUNT(H$24,H26))," "),"")</f>
        <v/>
      </c>
      <c r="AM57" s="287" t="str">
        <f aca="false">IFERROR(IF(I$24*I26&gt;0,STDEV(I$24,I26)," ")/IF(I$24*I26&gt;0,SQRT(COUNT(I$24,I26))," "),"")</f>
        <v/>
      </c>
      <c r="AN57" s="287" t="str">
        <f aca="false">IFERROR(IF(J$24*J26&gt;0,STDEV(J$24,J26)," ")/IF(J$24*J26&gt;0,SQRT(COUNT(J$24,J26))," "),"")</f>
        <v/>
      </c>
      <c r="AO57" s="287" t="str">
        <f aca="false">IFERROR(IF(K$24*K26&gt;0,STDEV(K$24,K26)," ")/IF(K$24*K26&gt;0,SQRT(COUNT(K$24,K26))," "),"")</f>
        <v/>
      </c>
      <c r="AP57" s="287" t="str">
        <f aca="false">IFERROR(IF(L$24*L26&gt;0,STDEV(L$24,L26)," ")/IF(L$24*L26&gt;0,SQRT(COUNT(L$24,L26))," "),"")</f>
        <v/>
      </c>
      <c r="AQ57" s="287" t="str">
        <f aca="false">IFERROR(IF(M$24*M26&gt;0,STDEV(M$24,M26)," ")/IF(M$24*M26&gt;0,SQRT(COUNT(M$24,M26))," "),"")</f>
        <v/>
      </c>
      <c r="AR57" s="287" t="str">
        <f aca="false">IFERROR(IF(N$24*N26&gt;0,STDEV(N$24,N26)," ")/IF(N$24*N26&gt;0,SQRT(COUNT(N$24,N26))," "),"")</f>
        <v/>
      </c>
    </row>
    <row r="58" customFormat="false" ht="15.75" hidden="false" customHeight="false" outlineLevel="0" collapsed="false">
      <c r="A58" s="290" t="s">
        <v>335</v>
      </c>
      <c r="B58" s="281"/>
      <c r="C58" s="291" t="str">
        <f aca="false">IFERROR(IF(C$24*C16&gt;0,AVERAGE(C$24,C27),""),"")</f>
        <v/>
      </c>
      <c r="D58" s="291" t="str">
        <f aca="false">IFERROR(IF(D$24*D16&gt;0,AVERAGE(D$24,D27),""),"")</f>
        <v/>
      </c>
      <c r="E58" s="291" t="str">
        <f aca="false">IFERROR(IF(E$24*E16&gt;0,AVERAGE(E$24,E27),""),"")</f>
        <v/>
      </c>
      <c r="F58" s="291" t="str">
        <f aca="false">IFERROR(IF(F$24*F16&gt;0,AVERAGE(F$24,F27),""),"")</f>
        <v/>
      </c>
      <c r="G58" s="291" t="str">
        <f aca="false">IFERROR(IF(G$24*G16&gt;0,AVERAGE(G$24,G27),""),"")</f>
        <v/>
      </c>
      <c r="H58" s="291" t="str">
        <f aca="false">IFERROR(IF(H$24*H16&gt;0,AVERAGE(H$24,H27),""),"")</f>
        <v/>
      </c>
      <c r="I58" s="291" t="str">
        <f aca="false">IFERROR(IF(I$24*I16&gt;0,AVERAGE(I$24,I27),""),"")</f>
        <v/>
      </c>
      <c r="J58" s="291" t="str">
        <f aca="false">IFERROR(IF(J$24*J16&gt;0,AVERAGE(J$24,J27),""),"")</f>
        <v/>
      </c>
      <c r="K58" s="291" t="str">
        <f aca="false">IFERROR(IF(K$24*K16&gt;0,AVERAGE(K$24,K27),""),"")</f>
        <v/>
      </c>
      <c r="L58" s="291" t="str">
        <f aca="false">IFERROR(IF(L$24*L16&gt;0,AVERAGE(L$24,L27),""),"")</f>
        <v/>
      </c>
      <c r="M58" s="291" t="str">
        <f aca="false">IFERROR(IF(M$24*M16&gt;0,AVERAGE(M$24,M27),""),"")</f>
        <v/>
      </c>
      <c r="N58" s="291" t="str">
        <f aca="false">IFERROR(IF(N$24*N16&gt;0,AVERAGE(N$24,N27),""),"")</f>
        <v/>
      </c>
      <c r="O58" s="282"/>
      <c r="P58" s="282"/>
      <c r="Q58" s="296"/>
      <c r="R58" s="293" t="s">
        <v>336</v>
      </c>
      <c r="S58" s="294" t="str">
        <f aca="false">IFERROR(IF(C$24*C27&gt;0,STDEV(C$24,C27),"")/IF(C$24*C27&gt;0,AVERAGE(C$24,C27),""),"")</f>
        <v/>
      </c>
      <c r="T58" s="294" t="str">
        <f aca="false">IFERROR(IF(D$24*D27&gt;0,STDEV(D$24,D27),"")/IF(D$24*D27&gt;0,AVERAGE(D$24,D27),""),"")</f>
        <v/>
      </c>
      <c r="U58" s="294" t="str">
        <f aca="false">IFERROR(IF(E$24*E27&gt;0,STDEV(E$24,E27),"")/IF(E$24*E27&gt;0,AVERAGE(E$24,E27),""),"")</f>
        <v/>
      </c>
      <c r="V58" s="294" t="str">
        <f aca="false">IFERROR(IF(F$24*F27&gt;0,STDEV(F$24,F27),"")/IF(F$24*F27&gt;0,AVERAGE(F$24,F27),""),"")</f>
        <v/>
      </c>
      <c r="W58" s="294" t="str">
        <f aca="false">IFERROR(IF(G$24*G27&gt;0,STDEV(G$24,G27),"")/IF(G$24*G27&gt;0,AVERAGE(G$24,G27),""),"")</f>
        <v/>
      </c>
      <c r="X58" s="294" t="str">
        <f aca="false">IFERROR(IF(H$24*H27&gt;0,STDEV(H$24,H27),"")/IF(H$24*H27&gt;0,AVERAGE(H$24,H27),""),"")</f>
        <v/>
      </c>
      <c r="Y58" s="294" t="str">
        <f aca="false">IFERROR(IF(I$24*I27&gt;0,STDEV(I$24,I27),"")/IF(I$24*I27&gt;0,AVERAGE(I$24,I27),""),"")</f>
        <v/>
      </c>
      <c r="Z58" s="294" t="str">
        <f aca="false">IFERROR(IF(J$24*J27&gt;0,STDEV(J$24,J27),"")/IF(J$24*J27&gt;0,AVERAGE(J$24,J27),""),"")</f>
        <v/>
      </c>
      <c r="AA58" s="294" t="str">
        <f aca="false">IFERROR(IF(K$24*K27&gt;0,STDEV(K$24,K27),"")/IF(K$24*K27&gt;0,AVERAGE(K$24,K27),""),"")</f>
        <v/>
      </c>
      <c r="AB58" s="294" t="str">
        <f aca="false">IFERROR(IF(L$24*L27&gt;0,STDEV(L$24,L27),"")/IF(L$24*L27&gt;0,AVERAGE(L$24,L27),""),"")</f>
        <v/>
      </c>
      <c r="AC58" s="294" t="str">
        <f aca="false">IFERROR(IF(M$24*M27&gt;0,STDEV(M$24,M27),"")/IF(M$24*M27&gt;0,AVERAGE(M$24,M27),""),"")</f>
        <v/>
      </c>
      <c r="AD58" s="294" t="str">
        <f aca="false">IFERROR(IF(N$24*N27&gt;0,STDEV(N$24,N27),"")/IF(N$24*N27&gt;0,AVERAGE(N$24,N27),""),"")</f>
        <v/>
      </c>
      <c r="AE58" s="44"/>
      <c r="AF58" s="266" t="s">
        <v>337</v>
      </c>
      <c r="AG58" s="287" t="str">
        <f aca="false">IFERROR(IF(C$24*C27&gt;0,STDEV(C$24,C27)," ")/IF(C$24*C27&gt;0,SQRT(COUNT(C$24,C27))," "),"")</f>
        <v/>
      </c>
      <c r="AH58" s="287" t="str">
        <f aca="false">IFERROR(IF(D$24*D27&gt;0,STDEV(D$24,D27)," ")/IF(D$24*D27&gt;0,SQRT(COUNT(D$24,D27))," "),"")</f>
        <v/>
      </c>
      <c r="AI58" s="287" t="str">
        <f aca="false">IFERROR(IF(E$24*E27&gt;0,STDEV(E$24,E27)," ")/IF(E$24*E27&gt;0,SQRT(COUNT(E$24,E27))," "),"")</f>
        <v/>
      </c>
      <c r="AJ58" s="287" t="str">
        <f aca="false">IFERROR(IF(F$24*F27&gt;0,STDEV(F$24,F27)," ")/IF(F$24*F27&gt;0,SQRT(COUNT(F$24,F27))," "),"")</f>
        <v/>
      </c>
      <c r="AK58" s="287" t="str">
        <f aca="false">IFERROR(IF(G$24*G27&gt;0,STDEV(G$24,G27)," ")/IF(G$24*G27&gt;0,SQRT(COUNT(G$24,G27))," "),"")</f>
        <v/>
      </c>
      <c r="AL58" s="287" t="str">
        <f aca="false">IFERROR(IF(H$24*H27&gt;0,STDEV(H$24,H27)," ")/IF(H$24*H27&gt;0,SQRT(COUNT(H$24,H27))," "),"")</f>
        <v/>
      </c>
      <c r="AM58" s="287" t="str">
        <f aca="false">IFERROR(IF(I$24*I27&gt;0,STDEV(I$24,I27)," ")/IF(I$24*I27&gt;0,SQRT(COUNT(I$24,I27))," "),"")</f>
        <v/>
      </c>
      <c r="AN58" s="287" t="str">
        <f aca="false">IFERROR(IF(J$24*J27&gt;0,STDEV(J$24,J27)," ")/IF(J$24*J27&gt;0,SQRT(COUNT(J$24,J27))," "),"")</f>
        <v/>
      </c>
      <c r="AO58" s="287" t="str">
        <f aca="false">IFERROR(IF(K$24*K27&gt;0,STDEV(K$24,K27)," ")/IF(K$24*K27&gt;0,SQRT(COUNT(K$24,K27))," "),"")</f>
        <v/>
      </c>
      <c r="AP58" s="287" t="str">
        <f aca="false">IFERROR(IF(L$24*L27&gt;0,STDEV(L$24,L27)," ")/IF(L$24*L27&gt;0,SQRT(COUNT(L$24,L27))," "),"")</f>
        <v/>
      </c>
      <c r="AQ58" s="287" t="str">
        <f aca="false">IFERROR(IF(M$24*M27&gt;0,STDEV(M$24,M27)," ")/IF(M$24*M27&gt;0,SQRT(COUNT(M$24,M27))," "),"")</f>
        <v/>
      </c>
      <c r="AR58" s="287" t="str">
        <f aca="false">IFERROR(IF(N$24*N27&gt;0,STDEV(N$24,N27)," ")/IF(N$24*N27&gt;0,SQRT(COUNT(N$24,N27))," "),"")</f>
        <v/>
      </c>
    </row>
    <row r="59" customFormat="false" ht="15.75" hidden="false" customHeight="false" outlineLevel="0" collapsed="false">
      <c r="A59" s="290" t="s">
        <v>338</v>
      </c>
      <c r="B59" s="281"/>
      <c r="C59" s="291" t="str">
        <f aca="false">IFERROR(IF(C$25*C26&gt;0,AVERAGE(C$25,C26),""),"")</f>
        <v/>
      </c>
      <c r="D59" s="291" t="str">
        <f aca="false">IFERROR(IF(D$25*D26&gt;0,AVERAGE(D$25,D26),""),"")</f>
        <v/>
      </c>
      <c r="E59" s="291" t="str">
        <f aca="false">IFERROR(IF(E$25*E26&gt;0,AVERAGE(E$25,E26),""),"")</f>
        <v/>
      </c>
      <c r="F59" s="291" t="str">
        <f aca="false">IFERROR(IF(F$25*F26&gt;0,AVERAGE(F$25,F26),""),"")</f>
        <v/>
      </c>
      <c r="G59" s="291" t="str">
        <f aca="false">IFERROR(IF(G$25*G26&gt;0,AVERAGE(G$25,G26),""),"")</f>
        <v/>
      </c>
      <c r="H59" s="291" t="str">
        <f aca="false">IFERROR(IF(H$25*H26&gt;0,AVERAGE(H$25,H26),""),"")</f>
        <v/>
      </c>
      <c r="I59" s="291" t="str">
        <f aca="false">IFERROR(IF(I$25*I26&gt;0,AVERAGE(I$25,I26),""),"")</f>
        <v/>
      </c>
      <c r="J59" s="291" t="str">
        <f aca="false">IFERROR(IF(J$25*J26&gt;0,AVERAGE(J$25,J26),""),"")</f>
        <v/>
      </c>
      <c r="K59" s="291" t="str">
        <f aca="false">IFERROR(IF(K$25*K26&gt;0,AVERAGE(K$25,K26),""),"")</f>
        <v/>
      </c>
      <c r="L59" s="291" t="str">
        <f aca="false">IFERROR(IF(L$25*L26&gt;0,AVERAGE(L$25,L26),""),"")</f>
        <v/>
      </c>
      <c r="M59" s="291" t="str">
        <f aca="false">IFERROR(IF(M$25*M26&gt;0,AVERAGE(M$25,M26),""),"")</f>
        <v/>
      </c>
      <c r="N59" s="291" t="str">
        <f aca="false">IFERROR(IF(N$25*N26&gt;0,AVERAGE(N$25,N26),""),"")</f>
        <v/>
      </c>
      <c r="O59" s="282"/>
      <c r="P59" s="282"/>
      <c r="Q59" s="296"/>
      <c r="R59" s="293" t="s">
        <v>339</v>
      </c>
      <c r="S59" s="294" t="str">
        <f aca="false">IFERROR(IF(C$25*C26&gt;0,STDEV(C$25,C26),"")/IF(C$25*C26&gt;0,AVERAGE(C$25,C26),""),"")</f>
        <v/>
      </c>
      <c r="T59" s="294" t="str">
        <f aca="false">IFERROR(IF(D$25*D26&gt;0,STDEV(D$25,D26),"")/IF(D$25*D26&gt;0,AVERAGE(D$25,D26),""),"")</f>
        <v/>
      </c>
      <c r="U59" s="294" t="str">
        <f aca="false">IFERROR(IF(E$25*E26&gt;0,STDEV(E$25,E26),"")/IF(E$25*E26&gt;0,AVERAGE(E$25,E26),""),"")</f>
        <v/>
      </c>
      <c r="V59" s="294" t="str">
        <f aca="false">IFERROR(IF(F$25*F26&gt;0,STDEV(F$25,F26),"")/IF(F$25*F26&gt;0,AVERAGE(F$25,F26),""),"")</f>
        <v/>
      </c>
      <c r="W59" s="294" t="str">
        <f aca="false">IFERROR(IF(G$25*G26&gt;0,STDEV(G$25,G26),"")/IF(G$25*G26&gt;0,AVERAGE(G$25,G26),""),"")</f>
        <v/>
      </c>
      <c r="X59" s="294" t="str">
        <f aca="false">IFERROR(IF(H$25*H26&gt;0,STDEV(H$25,H26),"")/IF(H$25*H26&gt;0,AVERAGE(H$25,H26),""),"")</f>
        <v/>
      </c>
      <c r="Y59" s="294" t="str">
        <f aca="false">IFERROR(IF(I$25*I26&gt;0,STDEV(I$25,I26),"")/IF(I$25*I26&gt;0,AVERAGE(I$25,I26),""),"")</f>
        <v/>
      </c>
      <c r="Z59" s="294" t="str">
        <f aca="false">IFERROR(IF(J$25*J26&gt;0,STDEV(J$25,J26),"")/IF(J$25*J26&gt;0,AVERAGE(J$25,J26),""),"")</f>
        <v/>
      </c>
      <c r="AA59" s="294" t="str">
        <f aca="false">IFERROR(IF(K$25*K26&gt;0,STDEV(K$25,K26),"")/IF(K$25*K26&gt;0,AVERAGE(K$25,K26),""),"")</f>
        <v/>
      </c>
      <c r="AB59" s="294" t="str">
        <f aca="false">IFERROR(IF(L$25*L26&gt;0,STDEV(L$25,L26),"")/IF(L$25*L26&gt;0,AVERAGE(L$25,L26),""),"")</f>
        <v/>
      </c>
      <c r="AC59" s="294" t="str">
        <f aca="false">IFERROR(IF(M$25*M26&gt;0,STDEV(M$25,M26),"")/IF(M$25*M26&gt;0,AVERAGE(M$25,M26),""),"")</f>
        <v/>
      </c>
      <c r="AD59" s="294" t="str">
        <f aca="false">IFERROR(IF(N$25*N26&gt;0,STDEV(N$25,N26),"")/IF(N$25*N26&gt;0,AVERAGE(N$25,N26),""),"")</f>
        <v/>
      </c>
      <c r="AE59" s="44"/>
      <c r="AF59" s="266" t="s">
        <v>340</v>
      </c>
      <c r="AG59" s="287" t="str">
        <f aca="false">IFERROR(IF(C$25*C26&gt;0,STDEV(C$25,C26)," ")/IF(C$25*C26&gt;0,SQRT(COUNT(C$25,C26))," "),"")</f>
        <v/>
      </c>
      <c r="AH59" s="287" t="str">
        <f aca="false">IFERROR(IF(D$25*D26&gt;0,STDEV(D$25,D26)," ")/IF(D$25*D26&gt;0,SQRT(COUNT(D$25,D26))," "),"")</f>
        <v/>
      </c>
      <c r="AI59" s="287" t="str">
        <f aca="false">IFERROR(IF(E$25*E26&gt;0,STDEV(E$25,E26)," ")/IF(E$25*E26&gt;0,SQRT(COUNT(E$25,E26))," "),"")</f>
        <v/>
      </c>
      <c r="AJ59" s="287" t="str">
        <f aca="false">IFERROR(IF(F$25*F26&gt;0,STDEV(F$25,F26)," ")/IF(F$25*F26&gt;0,SQRT(COUNT(F$25,F26))," "),"")</f>
        <v/>
      </c>
      <c r="AK59" s="287" t="str">
        <f aca="false">IFERROR(IF(G$25*G26&gt;0,STDEV(G$25,G26)," ")/IF(G$25*G26&gt;0,SQRT(COUNT(G$25,G26))," "),"")</f>
        <v/>
      </c>
      <c r="AL59" s="287" t="str">
        <f aca="false">IFERROR(IF(H$25*H26&gt;0,STDEV(H$25,H26)," ")/IF(H$25*H26&gt;0,SQRT(COUNT(H$25,H26))," "),"")</f>
        <v/>
      </c>
      <c r="AM59" s="287" t="str">
        <f aca="false">IFERROR(IF(I$25*I26&gt;0,STDEV(I$25,I26)," ")/IF(I$25*I26&gt;0,SQRT(COUNT(I$25,I26))," "),"")</f>
        <v/>
      </c>
      <c r="AN59" s="287" t="str">
        <f aca="false">IFERROR(IF(J$25*J26&gt;0,STDEV(J$25,J26)," ")/IF(J$25*J26&gt;0,SQRT(COUNT(J$25,J26))," "),"")</f>
        <v/>
      </c>
      <c r="AO59" s="287" t="str">
        <f aca="false">IFERROR(IF(K$25*K26&gt;0,STDEV(K$25,K26)," ")/IF(K$25*K26&gt;0,SQRT(COUNT(K$25,K26))," "),"")</f>
        <v/>
      </c>
      <c r="AP59" s="287" t="str">
        <f aca="false">IFERROR(IF(L$25*L26&gt;0,STDEV(L$25,L26)," ")/IF(L$25*L26&gt;0,SQRT(COUNT(L$25,L26))," "),"")</f>
        <v/>
      </c>
      <c r="AQ59" s="287" t="str">
        <f aca="false">IFERROR(IF(M$25*M26&gt;0,STDEV(M$25,M26)," ")/IF(M$25*M26&gt;0,SQRT(COUNT(M$25,M26))," "),"")</f>
        <v/>
      </c>
      <c r="AR59" s="287" t="str">
        <f aca="false">IFERROR(IF(N$25*N26&gt;0,STDEV(N$25,N26)," ")/IF(N$25*N26&gt;0,SQRT(COUNT(N$25,N26))," "),"")</f>
        <v/>
      </c>
    </row>
    <row r="60" customFormat="false" ht="15.75" hidden="false" customHeight="false" outlineLevel="0" collapsed="false">
      <c r="A60" s="290" t="s">
        <v>341</v>
      </c>
      <c r="B60" s="281"/>
      <c r="C60" s="291" t="str">
        <f aca="false">IFERROR(IF(C$25*C27&gt;0,AVERAGE(C$25,C27),""),"")</f>
        <v/>
      </c>
      <c r="D60" s="291" t="str">
        <f aca="false">IFERROR(IF(D$25*D27&gt;0,AVERAGE(D$25,D27),""),"")</f>
        <v/>
      </c>
      <c r="E60" s="291" t="str">
        <f aca="false">IFERROR(IF(E$25*E27&gt;0,AVERAGE(E$25,E27),""),"")</f>
        <v/>
      </c>
      <c r="F60" s="291" t="str">
        <f aca="false">IFERROR(IF(F$25*F27&gt;0,AVERAGE(F$25,F27),""),"")</f>
        <v/>
      </c>
      <c r="G60" s="291" t="str">
        <f aca="false">IFERROR(IF(G$25*G27&gt;0,AVERAGE(G$25,G27),""),"")</f>
        <v/>
      </c>
      <c r="H60" s="291" t="str">
        <f aca="false">IFERROR(IF(H$25*H27&gt;0,AVERAGE(H$25,H27),""),"")</f>
        <v/>
      </c>
      <c r="I60" s="291" t="str">
        <f aca="false">IFERROR(IF(I$25*I27&gt;0,AVERAGE(I$25,I27),""),"")</f>
        <v/>
      </c>
      <c r="J60" s="291" t="str">
        <f aca="false">IFERROR(IF(J$25*J27&gt;0,AVERAGE(J$25,J27),""),"")</f>
        <v/>
      </c>
      <c r="K60" s="291" t="str">
        <f aca="false">IFERROR(IF(K$25*K27&gt;0,AVERAGE(K$25,K27),""),"")</f>
        <v/>
      </c>
      <c r="L60" s="291" t="str">
        <f aca="false">IFERROR(IF(L$25*L27&gt;0,AVERAGE(L$25,L27),""),"")</f>
        <v/>
      </c>
      <c r="M60" s="291" t="str">
        <f aca="false">IFERROR(IF(M$25*M27&gt;0,AVERAGE(M$25,M27),""),"")</f>
        <v/>
      </c>
      <c r="N60" s="291" t="str">
        <f aca="false">IFERROR(IF(N$25*N27&gt;0,AVERAGE(N$25,N27),""),"")</f>
        <v/>
      </c>
      <c r="O60" s="282"/>
      <c r="P60" s="282"/>
      <c r="Q60" s="296"/>
      <c r="R60" s="293" t="s">
        <v>342</v>
      </c>
      <c r="S60" s="294" t="str">
        <f aca="false">IFERROR(IF(C$25*C27&gt;0,STDEV(C$25,C27),"")/IF(C$25*C27&gt;0,AVERAGE(C$25,C27),""),"")</f>
        <v/>
      </c>
      <c r="T60" s="294" t="str">
        <f aca="false">IFERROR(IF(D$25*D27&gt;0,STDEV(D$25,D27),"")/IF(D$25*D27&gt;0,AVERAGE(D$25,D27),""),"")</f>
        <v/>
      </c>
      <c r="U60" s="294" t="str">
        <f aca="false">IFERROR(IF(E$25*E27&gt;0,STDEV(E$25,E27),"")/IF(E$25*E27&gt;0,AVERAGE(E$25,E27),""),"")</f>
        <v/>
      </c>
      <c r="V60" s="294" t="str">
        <f aca="false">IFERROR(IF(F$25*F27&gt;0,STDEV(F$25,F27),"")/IF(F$25*F27&gt;0,AVERAGE(F$25,F27),""),"")</f>
        <v/>
      </c>
      <c r="W60" s="294" t="str">
        <f aca="false">IFERROR(IF(G$25*G27&gt;0,STDEV(G$25,G27),"")/IF(G$25*G27&gt;0,AVERAGE(G$25,G27),""),"")</f>
        <v/>
      </c>
      <c r="X60" s="294" t="str">
        <f aca="false">IFERROR(IF(H$25*H27&gt;0,STDEV(H$25,H27),"")/IF(H$25*H27&gt;0,AVERAGE(H$25,H27),""),"")</f>
        <v/>
      </c>
      <c r="Y60" s="294" t="str">
        <f aca="false">IFERROR(IF(I$25*I27&gt;0,STDEV(I$25,I27),"")/IF(I$25*I27&gt;0,AVERAGE(I$25,I27),""),"")</f>
        <v/>
      </c>
      <c r="Z60" s="294" t="str">
        <f aca="false">IFERROR(IF(J$25*J27&gt;0,STDEV(J$25,J27),"")/IF(J$25*J27&gt;0,AVERAGE(J$25,J27),""),"")</f>
        <v/>
      </c>
      <c r="AA60" s="294" t="str">
        <f aca="false">IFERROR(IF(K$25*K27&gt;0,STDEV(K$25,K27),"")/IF(K$25*K27&gt;0,AVERAGE(K$25,K27),""),"")</f>
        <v/>
      </c>
      <c r="AB60" s="294" t="str">
        <f aca="false">IFERROR(IF(L$25*L27&gt;0,STDEV(L$25,L27),"")/IF(L$25*L27&gt;0,AVERAGE(L$25,L27),""),"")</f>
        <v/>
      </c>
      <c r="AC60" s="294" t="str">
        <f aca="false">IFERROR(IF(M$25*M27&gt;0,STDEV(M$25,M27),"")/IF(M$25*M27&gt;0,AVERAGE(M$25,M27),""),"")</f>
        <v/>
      </c>
      <c r="AD60" s="294" t="str">
        <f aca="false">IFERROR(IF(N$25*N27&gt;0,STDEV(N$25,N27),"")/IF(N$25*N27&gt;0,AVERAGE(N$25,N27),""),"")</f>
        <v/>
      </c>
      <c r="AE60" s="44"/>
      <c r="AF60" s="266" t="s">
        <v>343</v>
      </c>
      <c r="AG60" s="287" t="str">
        <f aca="false">IFERROR(IF(C$25*C27&gt;0,STDEV(C$25,C27)," ")/IF(C$25*C27&gt;0,SQRT(COUNT(C$25,C27))," "),"")</f>
        <v/>
      </c>
      <c r="AH60" s="287" t="str">
        <f aca="false">IFERROR(IF(D$25*D27&gt;0,STDEV(D$25,D27)," ")/IF(D$25*D27&gt;0,SQRT(COUNT(D$25,D27))," "),"")</f>
        <v/>
      </c>
      <c r="AI60" s="287" t="str">
        <f aca="false">IFERROR(IF(E$25*E27&gt;0,STDEV(E$25,E27)," ")/IF(E$25*E27&gt;0,SQRT(COUNT(E$25,E27))," "),"")</f>
        <v/>
      </c>
      <c r="AJ60" s="287" t="str">
        <f aca="false">IFERROR(IF(F$25*F27&gt;0,STDEV(F$25,F27)," ")/IF(F$25*F27&gt;0,SQRT(COUNT(F$25,F27))," "),"")</f>
        <v/>
      </c>
      <c r="AK60" s="287" t="str">
        <f aca="false">IFERROR(IF(G$25*G27&gt;0,STDEV(G$25,G27)," ")/IF(G$25*G27&gt;0,SQRT(COUNT(G$25,G27))," "),"")</f>
        <v/>
      </c>
      <c r="AL60" s="287" t="str">
        <f aca="false">IFERROR(IF(H$25*H27&gt;0,STDEV(H$25,H27)," ")/IF(H$25*H27&gt;0,SQRT(COUNT(H$25,H27))," "),"")</f>
        <v/>
      </c>
      <c r="AM60" s="287" t="str">
        <f aca="false">IFERROR(IF(I$25*I27&gt;0,STDEV(I$25,I27)," ")/IF(I$25*I27&gt;0,SQRT(COUNT(I$25,I27))," "),"")</f>
        <v/>
      </c>
      <c r="AN60" s="287" t="str">
        <f aca="false">IFERROR(IF(J$25*J27&gt;0,STDEV(J$25,J27)," ")/IF(J$25*J27&gt;0,SQRT(COUNT(J$25,J27))," "),"")</f>
        <v/>
      </c>
      <c r="AO60" s="287" t="str">
        <f aca="false">IFERROR(IF(K$25*K27&gt;0,STDEV(K$25,K27)," ")/IF(K$25*K27&gt;0,SQRT(COUNT(K$25,K27))," "),"")</f>
        <v/>
      </c>
      <c r="AP60" s="287" t="str">
        <f aca="false">IFERROR(IF(L$25*L27&gt;0,STDEV(L$25,L27)," ")/IF(L$25*L27&gt;0,SQRT(COUNT(L$25,L27))," "),"")</f>
        <v/>
      </c>
      <c r="AQ60" s="287" t="str">
        <f aca="false">IFERROR(IF(M$25*M27&gt;0,STDEV(M$25,M27)," ")/IF(M$25*M27&gt;0,SQRT(COUNT(M$25,M27))," "),"")</f>
        <v/>
      </c>
      <c r="AR60" s="287" t="str">
        <f aca="false">IFERROR(IF(N$25*N27&gt;0,STDEV(N$25,N27)," ")/IF(N$25*N27&gt;0,SQRT(COUNT(N$25,N27))," "),"")</f>
        <v/>
      </c>
    </row>
    <row r="61" customFormat="false" ht="15.75" hidden="false" customHeight="false" outlineLevel="0" collapsed="false">
      <c r="A61" s="242" t="s">
        <v>344</v>
      </c>
      <c r="B61" s="243"/>
      <c r="C61" s="244" t="str">
        <f aca="false">IFERROR(IF(C$26*C27&gt;0,AVERAGE(C$26,C27),""),"")</f>
        <v/>
      </c>
      <c r="D61" s="244" t="str">
        <f aca="false">IFERROR(IF(D$26*D27&gt;0,AVERAGE(D$26,D27),""),"")</f>
        <v/>
      </c>
      <c r="E61" s="244" t="str">
        <f aca="false">IFERROR(IF(E$26*E27&gt;0,AVERAGE(E$26,E27),""),"")</f>
        <v/>
      </c>
      <c r="F61" s="244" t="str">
        <f aca="false">IFERROR(IF(F$26*F27&gt;0,AVERAGE(F$26,F27),""),"")</f>
        <v/>
      </c>
      <c r="G61" s="244" t="str">
        <f aca="false">IFERROR(IF(G$26*G27&gt;0,AVERAGE(G$26,G27),""),"")</f>
        <v/>
      </c>
      <c r="H61" s="244" t="str">
        <f aca="false">IFERROR(IF(H$26*H27&gt;0,AVERAGE(H$26,H27),""),"")</f>
        <v/>
      </c>
      <c r="I61" s="244" t="str">
        <f aca="false">IFERROR(IF(I$26*I27&gt;0,AVERAGE(I$26,I27),""),"")</f>
        <v/>
      </c>
      <c r="J61" s="244" t="str">
        <f aca="false">IFERROR(IF(J$26*J27&gt;0,AVERAGE(J$26,J27),""),"")</f>
        <v/>
      </c>
      <c r="K61" s="244" t="str">
        <f aca="false">IFERROR(IF(K$26*K27&gt;0,AVERAGE(K$26,K27),""),"")</f>
        <v/>
      </c>
      <c r="L61" s="244" t="str">
        <f aca="false">IFERROR(IF(L$26*L27&gt;0,AVERAGE(L$26,L27),""),"")</f>
        <v/>
      </c>
      <c r="M61" s="244" t="str">
        <f aca="false">IFERROR(IF(M$26*M27&gt;0,AVERAGE(M$26,M27),""),"")</f>
        <v/>
      </c>
      <c r="N61" s="244" t="str">
        <f aca="false">IFERROR(IF(N$26*N27&gt;0,AVERAGE(N$26,N27),""),"")</f>
        <v/>
      </c>
      <c r="O61" s="245"/>
      <c r="P61" s="245"/>
      <c r="Q61" s="246"/>
      <c r="R61" s="247" t="s">
        <v>345</v>
      </c>
      <c r="S61" s="248" t="str">
        <f aca="false">IFERROR(IF(C$26*C27&gt;0,STDEV(C$26,C27),"")/IF(C$26*C27&gt;0,AVERAGE(C$26,C27),""),"")</f>
        <v/>
      </c>
      <c r="T61" s="248" t="str">
        <f aca="false">IFERROR(IF(D$26*D27&gt;0,STDEV(D$26,D27),"")/IF(D$26*D27&gt;0,AVERAGE(D$26,D27),""),"")</f>
        <v/>
      </c>
      <c r="U61" s="248" t="str">
        <f aca="false">IFERROR(IF(E$26*E27&gt;0,STDEV(E$26,E27),"")/IF(E$26*E27&gt;0,AVERAGE(E$26,E27),""),"")</f>
        <v/>
      </c>
      <c r="V61" s="248" t="str">
        <f aca="false">IFERROR(IF(F$26*F27&gt;0,STDEV(F$26,F27),"")/IF(F$26*F27&gt;0,AVERAGE(F$26,F27),""),"")</f>
        <v/>
      </c>
      <c r="W61" s="248" t="str">
        <f aca="false">IFERROR(IF(G$26*G27&gt;0,STDEV(G$26,G27),"")/IF(G$26*G27&gt;0,AVERAGE(G$26,G27),""),"")</f>
        <v/>
      </c>
      <c r="X61" s="248" t="str">
        <f aca="false">IFERROR(IF(H$26*H27&gt;0,STDEV(H$26,H27),"")/IF(H$26*H27&gt;0,AVERAGE(H$26,H27),""),"")</f>
        <v/>
      </c>
      <c r="Y61" s="248" t="str">
        <f aca="false">IFERROR(IF(I$26*I27&gt;0,STDEV(I$26,I27),"")/IF(I$26*I27&gt;0,AVERAGE(I$26,I27),""),"")</f>
        <v/>
      </c>
      <c r="Z61" s="248" t="str">
        <f aca="false">IFERROR(IF(J$26*J27&gt;0,STDEV(J$26,J27),"")/IF(J$26*J27&gt;0,AVERAGE(J$26,J27),""),"")</f>
        <v/>
      </c>
      <c r="AA61" s="248" t="str">
        <f aca="false">IFERROR(IF(K$26*K27&gt;0,STDEV(K$26,K27),"")/IF(K$26*K27&gt;0,AVERAGE(K$26,K27),""),"")</f>
        <v/>
      </c>
      <c r="AB61" s="248" t="str">
        <f aca="false">IFERROR(IF(L$26*L27&gt;0,STDEV(L$26,L27),"")/IF(L$26*L27&gt;0,AVERAGE(L$26,L27),""),"")</f>
        <v/>
      </c>
      <c r="AC61" s="248" t="str">
        <f aca="false">IFERROR(IF(M$26*M27&gt;0,STDEV(M$26,M27),"")/IF(M$26*M27&gt;0,AVERAGE(M$26,M27),""),"")</f>
        <v/>
      </c>
      <c r="AD61" s="248" t="str">
        <f aca="false">IFERROR(IF(N$26*N27&gt;0,STDEV(N$26,N27),"")/IF(N$26*N27&gt;0,AVERAGE(N$26,N27),""),"")</f>
        <v/>
      </c>
      <c r="AE61" s="300"/>
      <c r="AF61" s="250" t="s">
        <v>346</v>
      </c>
      <c r="AG61" s="251" t="str">
        <f aca="false">IFERROR(IF(C$26*C27&gt;0,STDEV(C$26,C27)," ")/IF(C$26*C27&gt;0,SQRT(COUNT(C$26,C27))," "),"")</f>
        <v/>
      </c>
      <c r="AH61" s="251" t="str">
        <f aca="false">IFERROR(IF(D$26*D27&gt;0,STDEV(D$26,D27)," ")/IF(D$26*D27&gt;0,SQRT(COUNT(D$26,D27))," "),"")</f>
        <v/>
      </c>
      <c r="AI61" s="251" t="str">
        <f aca="false">IFERROR(IF(E$26*E27&gt;0,STDEV(E$26,E27)," ")/IF(E$26*E27&gt;0,SQRT(COUNT(E$26,E27))," "),"")</f>
        <v/>
      </c>
      <c r="AJ61" s="251" t="str">
        <f aca="false">IFERROR(IF(F$26*F27&gt;0,STDEV(F$26,F27)," ")/IF(F$26*F27&gt;0,SQRT(COUNT(F$26,F27))," "),"")</f>
        <v/>
      </c>
      <c r="AK61" s="251" t="str">
        <f aca="false">IFERROR(IF(G$26*G27&gt;0,STDEV(G$26,G27)," ")/IF(G$26*G27&gt;0,SQRT(COUNT(G$26,G27))," "),"")</f>
        <v/>
      </c>
      <c r="AL61" s="251" t="str">
        <f aca="false">IFERROR(IF(H$26*H27&gt;0,STDEV(H$26,H27)," ")/IF(H$26*H27&gt;0,SQRT(COUNT(H$26,H27))," "),"")</f>
        <v/>
      </c>
      <c r="AM61" s="251" t="str">
        <f aca="false">IFERROR(IF(I$26*I27&gt;0,STDEV(I$26,I27)," ")/IF(I$26*I27&gt;0,SQRT(COUNT(I$26,I27))," "),"")</f>
        <v/>
      </c>
      <c r="AN61" s="251" t="str">
        <f aca="false">IFERROR(IF(J$26*J27&gt;0,STDEV(J$26,J27)," ")/IF(J$26*J27&gt;0,SQRT(COUNT(J$26,J27))," "),"")</f>
        <v/>
      </c>
      <c r="AO61" s="251" t="str">
        <f aca="false">IFERROR(IF(K$26*K27&gt;0,STDEV(K$26,K27)," ")/IF(K$26*K27&gt;0,SQRT(COUNT(K$26,K27))," "),"")</f>
        <v/>
      </c>
      <c r="AP61" s="251" t="str">
        <f aca="false">IFERROR(IF(L$26*L27&gt;0,STDEV(L$26,L27)," ")/IF(L$26*L27&gt;0,SQRT(COUNT(L$26,L27))," "),"")</f>
        <v/>
      </c>
      <c r="AQ61" s="251" t="str">
        <f aca="false">IFERROR(IF(M$26*M27&gt;0,STDEV(M$26,M27)," ")/IF(M$26*M27&gt;0,SQRT(COUNT(M$26,M27))," "),"")</f>
        <v/>
      </c>
      <c r="AR61" s="251" t="str">
        <f aca="false">IFERROR(IF(N$26*N27&gt;0,STDEV(N$26,N27)," ")/IF(N$26*N27&gt;0,SQRT(COUNT(N$26,N27))," "),"")</f>
        <v/>
      </c>
    </row>
    <row r="62" customFormat="false" ht="15.75" hidden="false" customHeight="false" outlineLevel="0" collapsed="false">
      <c r="A62" s="290" t="s">
        <v>347</v>
      </c>
      <c r="B62" s="281"/>
      <c r="C62" s="291" t="str">
        <f aca="false">IFERROR(IF(C$21*C$22*C23&gt;0,AVERAGE(C$21:C$22,C23),""),"")</f>
        <v/>
      </c>
      <c r="D62" s="291" t="str">
        <f aca="false">IFERROR(IF(D$21*D$22*D23&gt;0,AVERAGE(D$21:D$22,D23),""),"")</f>
        <v/>
      </c>
      <c r="E62" s="291" t="str">
        <f aca="false">IFERROR(IF(E$21*E$22*E23&gt;0,AVERAGE(E$21:E$22,E23),""),"")</f>
        <v/>
      </c>
      <c r="F62" s="291" t="str">
        <f aca="false">IFERROR(IF(F$21*F$22*F23&gt;0,AVERAGE(F$21:F$22,F23),""),"")</f>
        <v/>
      </c>
      <c r="G62" s="291" t="str">
        <f aca="false">IFERROR(IF(G$21*G$22*G23&gt;0,AVERAGE(G$21:G$22,G23),""),"")</f>
        <v/>
      </c>
      <c r="H62" s="291" t="str">
        <f aca="false">IFERROR(IF(H$21*H$22*H23&gt;0,AVERAGE(H$21:H$22,H23),""),"")</f>
        <v/>
      </c>
      <c r="I62" s="291" t="str">
        <f aca="false">IFERROR(IF(I$21*I$22*I23&gt;0,AVERAGE(I$21:I$22,I23),""),"")</f>
        <v/>
      </c>
      <c r="J62" s="291" t="str">
        <f aca="false">IFERROR(IF(J$21*J$22*J23&gt;0,AVERAGE(J$21:J$22,J23),""),"")</f>
        <v/>
      </c>
      <c r="K62" s="291" t="str">
        <f aca="false">IFERROR(IF(K$21*K$22*K23&gt;0,AVERAGE(K$21:K$22,K23),""),"")</f>
        <v/>
      </c>
      <c r="L62" s="291" t="str">
        <f aca="false">IFERROR(IF(L$21*L$22*L23&gt;0,AVERAGE(L$21:L$22,L23),""),"")</f>
        <v/>
      </c>
      <c r="M62" s="291" t="str">
        <f aca="false">IFERROR(IF(M$21*M$22*M23&gt;0,AVERAGE(M$21:M$22,M23),""),"")</f>
        <v/>
      </c>
      <c r="N62" s="291" t="str">
        <f aca="false">IFERROR(IF(N$21*N$22*N23&gt;0,AVERAGE(N$21:N$22,N23),""),"")</f>
        <v/>
      </c>
      <c r="O62" s="147" t="n">
        <v>3</v>
      </c>
      <c r="P62" s="282" t="n">
        <f aca="false">COMBIN(7,3)</f>
        <v>35</v>
      </c>
      <c r="Q62" s="283" t="n">
        <f aca="false">ROW(N96)-ROW(N62)+1</f>
        <v>35</v>
      </c>
      <c r="R62" s="293" t="s">
        <v>348</v>
      </c>
      <c r="S62" s="294" t="str">
        <f aca="false">IFERROR(IF(C$21*C$22*C23&gt;0,STDEV(C$21:C$22,C23),"")/IF(C$21*C$22*C23&gt;0,AVERAGE(C$21:C$22,C23),""),"")</f>
        <v/>
      </c>
      <c r="T62" s="294" t="str">
        <f aca="false">IFERROR(IF(D$21*D$22*D23&gt;0,STDEV(D$21:D$22,D23),"")/IF(D$21*D$22*D23&gt;0,AVERAGE(D$21:D$22,D23),""),"")</f>
        <v/>
      </c>
      <c r="U62" s="294" t="str">
        <f aca="false">IFERROR(IF(E$21*E$22*E23&gt;0,STDEV(E$21:E$22,E23),"")/IF(E$21*E$22*E23&gt;0,AVERAGE(E$21:E$22,E23),""),"")</f>
        <v/>
      </c>
      <c r="V62" s="294" t="str">
        <f aca="false">IFERROR(IF(F$21*F$22*F23&gt;0,STDEV(F$21:F$22,F23),"")/IF(F$21*F$22*F23&gt;0,AVERAGE(F$21:F$22,F23),""),"")</f>
        <v/>
      </c>
      <c r="W62" s="294" t="str">
        <f aca="false">IFERROR(IF(G$21*G$22*G23&gt;0,STDEV(G$21:G$22,G23),"")/IF(G$21*G$22*G23&gt;0,AVERAGE(G$21:G$22,G23),""),"")</f>
        <v/>
      </c>
      <c r="X62" s="294" t="str">
        <f aca="false">IFERROR(IF(H$21*H$22*H23&gt;0,STDEV(H$21:H$22,H23),"")/IF(H$21*H$22*H23&gt;0,AVERAGE(H$21:H$22,H23),""),"")</f>
        <v/>
      </c>
      <c r="Y62" s="294" t="str">
        <f aca="false">IFERROR(IF(I$21*I$22*I23&gt;0,STDEV(I$21:I$22,I23),"")/IF(I$21*I$22*I23&gt;0,AVERAGE(I$21:I$22,I23),""),"")</f>
        <v/>
      </c>
      <c r="Z62" s="294" t="str">
        <f aca="false">IFERROR(IF(J$21*J$22*J23&gt;0,STDEV(J$21:J$22,J23),"")/IF(J$21*J$22*J23&gt;0,AVERAGE(J$21:J$22,J23),""),"")</f>
        <v/>
      </c>
      <c r="AA62" s="294" t="str">
        <f aca="false">IFERROR(IF(K$21*K$22*K23&gt;0,STDEV(K$21:K$22,K23),"")/IF(K$21*K$22*K23&gt;0,AVERAGE(K$21:K$22,K23),""),"")</f>
        <v/>
      </c>
      <c r="AB62" s="294" t="str">
        <f aca="false">IFERROR(IF(L$21*L$22*L23&gt;0,STDEV(L$21:L$22,L23),"")/IF(L$21*L$22*L23&gt;0,AVERAGE(L$21:L$22,L23),""),"")</f>
        <v/>
      </c>
      <c r="AC62" s="294" t="str">
        <f aca="false">IFERROR(IF(M$21*M$22*M23&gt;0,STDEV(M$21:M$22,M23),"")/IF(M$21*M$22*M23&gt;0,AVERAGE(M$21:M$22,M23),""),"")</f>
        <v/>
      </c>
      <c r="AD62" s="294" t="str">
        <f aca="false">IFERROR(IF(N$21*N$22*N23&gt;0,STDEV(N$21:N$22,N23),"")/IF(N$21*N$22*N23&gt;0,AVERAGE(N$21:N$22,N23),""),"")</f>
        <v/>
      </c>
      <c r="AE62" s="44"/>
      <c r="AF62" s="266" t="s">
        <v>349</v>
      </c>
      <c r="AG62" s="287" t="str">
        <f aca="false">IFERROR(IF(C$21*C$22*C23&gt;0,STDEV(C$21:C$22,C23)," ")/IF(C$21*C$22*C23&gt;0,SQRT(COUNT(C$21:C$22,C23))," "),"")</f>
        <v/>
      </c>
      <c r="AH62" s="287" t="str">
        <f aca="false">IFERROR(IF(D$21*D$22*D23&gt;0,STDEV(D$21:D$22,D23)," ")/IF(D$21*D$22*D23&gt;0,SQRT(COUNT(D$21:D$22,D23))," "),"")</f>
        <v/>
      </c>
      <c r="AI62" s="287" t="str">
        <f aca="false">IFERROR(IF(E$21*E$22*E23&gt;0,STDEV(E$21:E$22,E23)," ")/IF(E$21*E$22*E23&gt;0,SQRT(COUNT(E$21:E$22,E23))," "),"")</f>
        <v/>
      </c>
      <c r="AJ62" s="287" t="str">
        <f aca="false">IFERROR(IF(F$21*F$22*F23&gt;0,STDEV(F$21:F$22,F23)," ")/IF(F$21*F$22*F23&gt;0,SQRT(COUNT(F$21:F$22,F23))," "),"")</f>
        <v/>
      </c>
      <c r="AK62" s="287" t="str">
        <f aca="false">IFERROR(IF(G$21*G$22*G23&gt;0,STDEV(G$21:G$22,G23)," ")/IF(G$21*G$22*G23&gt;0,SQRT(COUNT(G$21:G$22,G23))," "),"")</f>
        <v/>
      </c>
      <c r="AL62" s="287" t="str">
        <f aca="false">IFERROR(IF(H$21*H$22*H23&gt;0,STDEV(H$21:H$22,H23)," ")/IF(H$21*H$22*H23&gt;0,SQRT(COUNT(H$21:H$22,H23))," "),"")</f>
        <v/>
      </c>
      <c r="AM62" s="287" t="str">
        <f aca="false">IFERROR(IF(I$21*I$22*I23&gt;0,STDEV(I$21:I$22,I23)," ")/IF(I$21*I$22*I23&gt;0,SQRT(COUNT(I$21:I$22,I23))," "),"")</f>
        <v/>
      </c>
      <c r="AN62" s="287" t="str">
        <f aca="false">IFERROR(IF(J$21*J$22*J23&gt;0,STDEV(J$21:J$22,J23)," ")/IF(J$21*J$22*J23&gt;0,SQRT(COUNT(J$21:J$22,J23))," "),"")</f>
        <v/>
      </c>
      <c r="AO62" s="287" t="str">
        <f aca="false">IFERROR(IF(K$21*K$22*K23&gt;0,STDEV(K$21:K$22,K23)," ")/IF(K$21*K$22*K23&gt;0,SQRT(COUNT(K$21:K$22,K23))," "),"")</f>
        <v/>
      </c>
      <c r="AP62" s="287" t="str">
        <f aca="false">IFERROR(IF(L$21*L$22*L23&gt;0,STDEV(L$21:L$22,L23)," ")/IF(L$21*L$22*L23&gt;0,SQRT(COUNT(L$21:L$22,L23))," "),"")</f>
        <v/>
      </c>
      <c r="AQ62" s="287" t="str">
        <f aca="false">IFERROR(IF(M$21*M$22*M23&gt;0,STDEV(M$21:M$22,M23)," ")/IF(M$21*M$22*M23&gt;0,SQRT(COUNT(M$21:M$22,M23))," "),"")</f>
        <v/>
      </c>
      <c r="AR62" s="287" t="str">
        <f aca="false">IFERROR(IF(N$21*N$22*N23&gt;0,STDEV(N$21:N$22,N23)," ")/IF(N$21*N$22*N23&gt;0,SQRT(COUNT(N$21:N$22,N23))," "),"")</f>
        <v/>
      </c>
    </row>
    <row r="63" customFormat="false" ht="15.75" hidden="false" customHeight="false" outlineLevel="0" collapsed="false">
      <c r="A63" s="290" t="s">
        <v>350</v>
      </c>
      <c r="B63" s="281"/>
      <c r="C63" s="291" t="str">
        <f aca="false">IFERROR(IF(C$21*C$22*C24&gt;0,AVERAGE(C$21:C$22,C24),""),"")</f>
        <v/>
      </c>
      <c r="D63" s="291" t="str">
        <f aca="false">IFERROR(IF(D$21*D$22*D24&gt;0,AVERAGE(D$21:D$22,D24),""),"")</f>
        <v/>
      </c>
      <c r="E63" s="291" t="str">
        <f aca="false">IFERROR(IF(E$21*E$22*E24&gt;0,AVERAGE(E$21:E$22,E24),""),"")</f>
        <v/>
      </c>
      <c r="F63" s="291" t="str">
        <f aca="false">IFERROR(IF(F$21*F$22*F24&gt;0,AVERAGE(F$21:F$22,F24),""),"")</f>
        <v/>
      </c>
      <c r="G63" s="291" t="str">
        <f aca="false">IFERROR(IF(G$21*G$22*G24&gt;0,AVERAGE(G$21:G$22,G24),""),"")</f>
        <v/>
      </c>
      <c r="H63" s="291" t="str">
        <f aca="false">IFERROR(IF(H$21*H$22*H24&gt;0,AVERAGE(H$21:H$22,H24),""),"")</f>
        <v/>
      </c>
      <c r="I63" s="291" t="str">
        <f aca="false">IFERROR(IF(I$21*I$22*I24&gt;0,AVERAGE(I$21:I$22,I24),""),"")</f>
        <v/>
      </c>
      <c r="J63" s="291" t="str">
        <f aca="false">IFERROR(IF(J$21*J$22*J24&gt;0,AVERAGE(J$21:J$22,J24),""),"")</f>
        <v/>
      </c>
      <c r="K63" s="291" t="str">
        <f aca="false">IFERROR(IF(K$21*K$22*K24&gt;0,AVERAGE(K$21:K$22,K24),""),"")</f>
        <v/>
      </c>
      <c r="L63" s="291" t="str">
        <f aca="false">IFERROR(IF(L$21*L$22*L24&gt;0,AVERAGE(L$21:L$22,L24),""),"")</f>
        <v/>
      </c>
      <c r="M63" s="291" t="str">
        <f aca="false">IFERROR(IF(M$21*M$22*M24&gt;0,AVERAGE(M$21:M$22,M24),""),"")</f>
        <v/>
      </c>
      <c r="N63" s="291" t="str">
        <f aca="false">IFERROR(IF(N$21*N$22*N24&gt;0,AVERAGE(N$21:N$22,N24),""),"")</f>
        <v/>
      </c>
      <c r="O63" s="282"/>
      <c r="P63" s="282"/>
      <c r="Q63" s="296"/>
      <c r="R63" s="293" t="s">
        <v>351</v>
      </c>
      <c r="S63" s="294" t="str">
        <f aca="false">IFERROR(IF(C$21*C$22*C24&gt;0,STDEV(C$21:C$22,C24),"")/IF(C$21*C$22*C24&gt;0,AVERAGE(C$21:C$22,C24),""),"")</f>
        <v/>
      </c>
      <c r="T63" s="294" t="str">
        <f aca="false">IFERROR(IF(D$21*D$22*D24&gt;0,STDEV(D$21:D$22,D24),"")/IF(D$21*D$22*D24&gt;0,AVERAGE(D$21:D$22,D24),""),"")</f>
        <v/>
      </c>
      <c r="U63" s="294" t="str">
        <f aca="false">IFERROR(IF(E$21*E$22*E24&gt;0,STDEV(E$21:E$22,E24),"")/IF(E$21*E$22*E24&gt;0,AVERAGE(E$21:E$22,E24),""),"")</f>
        <v/>
      </c>
      <c r="V63" s="294" t="str">
        <f aca="false">IFERROR(IF(F$21*F$22*F24&gt;0,STDEV(F$21:F$22,F24),"")/IF(F$21*F$22*F24&gt;0,AVERAGE(F$21:F$22,F24),""),"")</f>
        <v/>
      </c>
      <c r="W63" s="294" t="str">
        <f aca="false">IFERROR(IF(G$21*G$22*G24&gt;0,STDEV(G$21:G$22,G24),"")/IF(G$21*G$22*G24&gt;0,AVERAGE(G$21:G$22,G24),""),"")</f>
        <v/>
      </c>
      <c r="X63" s="294" t="str">
        <f aca="false">IFERROR(IF(H$21*H$22*H24&gt;0,STDEV(H$21:H$22,H24),"")/IF(H$21*H$22*H24&gt;0,AVERAGE(H$21:H$22,H24),""),"")</f>
        <v/>
      </c>
      <c r="Y63" s="294" t="str">
        <f aca="false">IFERROR(IF(I$21*I$22*I24&gt;0,STDEV(I$21:I$22,I24),"")/IF(I$21*I$22*I24&gt;0,AVERAGE(I$21:I$22,I24),""),"")</f>
        <v/>
      </c>
      <c r="Z63" s="294" t="str">
        <f aca="false">IFERROR(IF(J$21*J$22*J24&gt;0,STDEV(J$21:J$22,J24),"")/IF(J$21*J$22*J24&gt;0,AVERAGE(J$21:J$22,J24),""),"")</f>
        <v/>
      </c>
      <c r="AA63" s="294" t="str">
        <f aca="false">IFERROR(IF(K$21*K$22*K24&gt;0,STDEV(K$21:K$22,K24),"")/IF(K$21*K$22*K24&gt;0,AVERAGE(K$21:K$22,K24),""),"")</f>
        <v/>
      </c>
      <c r="AB63" s="294" t="str">
        <f aca="false">IFERROR(IF(L$21*L$22*L24&gt;0,STDEV(L$21:L$22,L24),"")/IF(L$21*L$22*L24&gt;0,AVERAGE(L$21:L$22,L24),""),"")</f>
        <v/>
      </c>
      <c r="AC63" s="294" t="str">
        <f aca="false">IFERROR(IF(M$21*M$22*M24&gt;0,STDEV(M$21:M$22,M24),"")/IF(M$21*M$22*M24&gt;0,AVERAGE(M$21:M$22,M24),""),"")</f>
        <v/>
      </c>
      <c r="AD63" s="294" t="str">
        <f aca="false">IFERROR(IF(N$21*N$22*N24&gt;0,STDEV(N$21:N$22,N24),"")/IF(N$21*N$22*N24&gt;0,AVERAGE(N$21:N$22,N24),""),"")</f>
        <v/>
      </c>
      <c r="AE63" s="44"/>
      <c r="AF63" s="266" t="s">
        <v>352</v>
      </c>
      <c r="AG63" s="287" t="str">
        <f aca="false">IFERROR(IF(C$21*C$22*C24&gt;0,STDEV(C$21:C$22,C24)," ")/IF(C$21*C$22*C24&gt;0,SQRT(COUNT(C$21:C$22,C24))," "),"")</f>
        <v/>
      </c>
      <c r="AH63" s="287" t="str">
        <f aca="false">IFERROR(IF(D$21*D$22*D24&gt;0,STDEV(D$21:D$22,D24)," ")/IF(D$21*D$22*D24&gt;0,SQRT(COUNT(D$21:D$22,D24))," "),"")</f>
        <v/>
      </c>
      <c r="AI63" s="287" t="str">
        <f aca="false">IFERROR(IF(E$21*E$22*E24&gt;0,STDEV(E$21:E$22,E24)," ")/IF(E$21*E$22*E24&gt;0,SQRT(COUNT(E$21:E$22,E24))," "),"")</f>
        <v/>
      </c>
      <c r="AJ63" s="287" t="str">
        <f aca="false">IFERROR(IF(F$21*F$22*F24&gt;0,STDEV(F$21:F$22,F24)," ")/IF(F$21*F$22*F24&gt;0,SQRT(COUNT(F$21:F$22,F24))," "),"")</f>
        <v/>
      </c>
      <c r="AK63" s="287" t="str">
        <f aca="false">IFERROR(IF(G$21*G$22*G24&gt;0,STDEV(G$21:G$22,G24)," ")/IF(G$21*G$22*G24&gt;0,SQRT(COUNT(G$21:G$22,G24))," "),"")</f>
        <v/>
      </c>
      <c r="AL63" s="287" t="str">
        <f aca="false">IFERROR(IF(H$21*H$22*H24&gt;0,STDEV(H$21:H$22,H24)," ")/IF(H$21*H$22*H24&gt;0,SQRT(COUNT(H$21:H$22,H24))," "),"")</f>
        <v/>
      </c>
      <c r="AM63" s="287" t="str">
        <f aca="false">IFERROR(IF(I$21*I$22*I24&gt;0,STDEV(I$21:I$22,I24)," ")/IF(I$21*I$22*I24&gt;0,SQRT(COUNT(I$21:I$22,I24))," "),"")</f>
        <v/>
      </c>
      <c r="AN63" s="287" t="str">
        <f aca="false">IFERROR(IF(J$21*J$22*J24&gt;0,STDEV(J$21:J$22,J24)," ")/IF(J$21*J$22*J24&gt;0,SQRT(COUNT(J$21:J$22,J24))," "),"")</f>
        <v/>
      </c>
      <c r="AO63" s="287" t="str">
        <f aca="false">IFERROR(IF(K$21*K$22*K24&gt;0,STDEV(K$21:K$22,K24)," ")/IF(K$21*K$22*K24&gt;0,SQRT(COUNT(K$21:K$22,K24))," "),"")</f>
        <v/>
      </c>
      <c r="AP63" s="287" t="str">
        <f aca="false">IFERROR(IF(L$21*L$22*L24&gt;0,STDEV(L$21:L$22,L24)," ")/IF(L$21*L$22*L24&gt;0,SQRT(COUNT(L$21:L$22,L24))," "),"")</f>
        <v/>
      </c>
      <c r="AQ63" s="287" t="str">
        <f aca="false">IFERROR(IF(M$21*M$22*M24&gt;0,STDEV(M$21:M$22,M24)," ")/IF(M$21*M$22*M24&gt;0,SQRT(COUNT(M$21:M$22,M24))," "),"")</f>
        <v/>
      </c>
      <c r="AR63" s="287" t="str">
        <f aca="false">IFERROR(IF(N$21*N$22*N24&gt;0,STDEV(N$21:N$22,N24)," ")/IF(N$21*N$22*N24&gt;0,SQRT(COUNT(N$21:N$22,N24))," "),"")</f>
        <v/>
      </c>
    </row>
    <row r="64" customFormat="false" ht="15.75" hidden="false" customHeight="false" outlineLevel="0" collapsed="false">
      <c r="A64" s="290" t="s">
        <v>353</v>
      </c>
      <c r="B64" s="281"/>
      <c r="C64" s="291" t="str">
        <f aca="false">IFERROR(IF(C$21*C$22*C25&gt;0,AVERAGE(C$21:C$22,C25),""),"")</f>
        <v/>
      </c>
      <c r="D64" s="291" t="str">
        <f aca="false">IFERROR(IF(D$21*D$22*D25&gt;0,AVERAGE(D$21:D$22,D25),""),"")</f>
        <v/>
      </c>
      <c r="E64" s="291" t="str">
        <f aca="false">IFERROR(IF(E$21*E$22*E25&gt;0,AVERAGE(E$21:E$22,E25),""),"")</f>
        <v/>
      </c>
      <c r="F64" s="291" t="str">
        <f aca="false">IFERROR(IF(F$21*F$22*F25&gt;0,AVERAGE(F$21:F$22,F25),""),"")</f>
        <v/>
      </c>
      <c r="G64" s="291" t="str">
        <f aca="false">IFERROR(IF(G$21*G$22*G25&gt;0,AVERAGE(G$21:G$22,G25),""),"")</f>
        <v/>
      </c>
      <c r="H64" s="291" t="str">
        <f aca="false">IFERROR(IF(H$21*H$22*H25&gt;0,AVERAGE(H$21:H$22,H25),""),"")</f>
        <v/>
      </c>
      <c r="I64" s="291" t="str">
        <f aca="false">IFERROR(IF(I$21*I$22*I25&gt;0,AVERAGE(I$21:I$22,I25),""),"")</f>
        <v/>
      </c>
      <c r="J64" s="291" t="str">
        <f aca="false">IFERROR(IF(J$21*J$22*J25&gt;0,AVERAGE(J$21:J$22,J25),""),"")</f>
        <v/>
      </c>
      <c r="K64" s="291" t="str">
        <f aca="false">IFERROR(IF(K$21*K$22*K25&gt;0,AVERAGE(K$21:K$22,K25),""),"")</f>
        <v/>
      </c>
      <c r="L64" s="291" t="str">
        <f aca="false">IFERROR(IF(L$21*L$22*L25&gt;0,AVERAGE(L$21:L$22,L25),""),"")</f>
        <v/>
      </c>
      <c r="M64" s="291" t="str">
        <f aca="false">IFERROR(IF(M$21*M$22*M25&gt;0,AVERAGE(M$21:M$22,M25),""),"")</f>
        <v/>
      </c>
      <c r="N64" s="291" t="str">
        <f aca="false">IFERROR(IF(N$21*N$22*N25&gt;0,AVERAGE(N$21:N$22,N25),""),"")</f>
        <v/>
      </c>
      <c r="O64" s="282"/>
      <c r="P64" s="282"/>
      <c r="Q64" s="296"/>
      <c r="R64" s="293" t="s">
        <v>354</v>
      </c>
      <c r="S64" s="294" t="str">
        <f aca="false">IFERROR(IF(C$21*C$22*C25&gt;0,STDEV(C$21:C$22,C25),"")/IF(C$21*C$22*C25&gt;0,AVERAGE(C$21:C$22,C25),""),"")</f>
        <v/>
      </c>
      <c r="T64" s="294" t="str">
        <f aca="false">IFERROR(IF(D$21*D$22*D25&gt;0,STDEV(D$21:D$22,D25),"")/IF(D$21*D$22*D25&gt;0,AVERAGE(D$21:D$22,D25),""),"")</f>
        <v/>
      </c>
      <c r="U64" s="294" t="str">
        <f aca="false">IFERROR(IF(E$21*E$22*E25&gt;0,STDEV(E$21:E$22,E25),"")/IF(E$21*E$22*E25&gt;0,AVERAGE(E$21:E$22,E25),""),"")</f>
        <v/>
      </c>
      <c r="V64" s="294" t="str">
        <f aca="false">IFERROR(IF(F$21*F$22*F25&gt;0,STDEV(F$21:F$22,F25),"")/IF(F$21*F$22*F25&gt;0,AVERAGE(F$21:F$22,F25),""),"")</f>
        <v/>
      </c>
      <c r="W64" s="294" t="str">
        <f aca="false">IFERROR(IF(G$21*G$22*G25&gt;0,STDEV(G$21:G$22,G25),"")/IF(G$21*G$22*G25&gt;0,AVERAGE(G$21:G$22,G25),""),"")</f>
        <v/>
      </c>
      <c r="X64" s="294" t="str">
        <f aca="false">IFERROR(IF(H$21*H$22*H25&gt;0,STDEV(H$21:H$22,H25),"")/IF(H$21*H$22*H25&gt;0,AVERAGE(H$21:H$22,H25),""),"")</f>
        <v/>
      </c>
      <c r="Y64" s="294" t="str">
        <f aca="false">IFERROR(IF(I$21*I$22*I25&gt;0,STDEV(I$21:I$22,I25),"")/IF(I$21*I$22*I25&gt;0,AVERAGE(I$21:I$22,I25),""),"")</f>
        <v/>
      </c>
      <c r="Z64" s="294" t="str">
        <f aca="false">IFERROR(IF(J$21*J$22*J25&gt;0,STDEV(J$21:J$22,J25),"")/IF(J$21*J$22*J25&gt;0,AVERAGE(J$21:J$22,J25),""),"")</f>
        <v/>
      </c>
      <c r="AA64" s="294" t="str">
        <f aca="false">IFERROR(IF(K$21*K$22*K25&gt;0,STDEV(K$21:K$22,K25),"")/IF(K$21*K$22*K25&gt;0,AVERAGE(K$21:K$22,K25),""),"")</f>
        <v/>
      </c>
      <c r="AB64" s="294" t="str">
        <f aca="false">IFERROR(IF(L$21*L$22*L25&gt;0,STDEV(L$21:L$22,L25),"")/IF(L$21*L$22*L25&gt;0,AVERAGE(L$21:L$22,L25),""),"")</f>
        <v/>
      </c>
      <c r="AC64" s="294" t="str">
        <f aca="false">IFERROR(IF(M$21*M$22*M25&gt;0,STDEV(M$21:M$22,M25),"")/IF(M$21*M$22*M25&gt;0,AVERAGE(M$21:M$22,M25),""),"")</f>
        <v/>
      </c>
      <c r="AD64" s="294" t="str">
        <f aca="false">IFERROR(IF(N$21*N$22*N25&gt;0,STDEV(N$21:N$22,N25),"")/IF(N$21*N$22*N25&gt;0,AVERAGE(N$21:N$22,N25),""),"")</f>
        <v/>
      </c>
      <c r="AE64" s="44"/>
      <c r="AF64" s="266" t="s">
        <v>355</v>
      </c>
      <c r="AG64" s="287" t="str">
        <f aca="false">IFERROR(IF(C$21*C$22*C25&gt;0,STDEV(C$21:C$22,C25)," ")/IF(C$21*C$22*C25&gt;0,SQRT(COUNT(C$21:C$22,C25))," "),"")</f>
        <v/>
      </c>
      <c r="AH64" s="287" t="str">
        <f aca="false">IFERROR(IF(D$21*D$22*D25&gt;0,STDEV(D$21:D$22,D25)," ")/IF(D$21*D$22*D25&gt;0,SQRT(COUNT(D$21:D$22,D25))," "),"")</f>
        <v/>
      </c>
      <c r="AI64" s="287" t="str">
        <f aca="false">IFERROR(IF(E$21*E$22*E25&gt;0,STDEV(E$21:E$22,E25)," ")/IF(E$21*E$22*E25&gt;0,SQRT(COUNT(E$21:E$22,E25))," "),"")</f>
        <v/>
      </c>
      <c r="AJ64" s="287" t="str">
        <f aca="false">IFERROR(IF(F$21*F$22*F25&gt;0,STDEV(F$21:F$22,F25)," ")/IF(F$21*F$22*F25&gt;0,SQRT(COUNT(F$21:F$22,F25))," "),"")</f>
        <v/>
      </c>
      <c r="AK64" s="287" t="str">
        <f aca="false">IFERROR(IF(G$21*G$22*G25&gt;0,STDEV(G$21:G$22,G25)," ")/IF(G$21*G$22*G25&gt;0,SQRT(COUNT(G$21:G$22,G25))," "),"")</f>
        <v/>
      </c>
      <c r="AL64" s="287" t="str">
        <f aca="false">IFERROR(IF(H$21*H$22*H25&gt;0,STDEV(H$21:H$22,H25)," ")/IF(H$21*H$22*H25&gt;0,SQRT(COUNT(H$21:H$22,H25))," "),"")</f>
        <v/>
      </c>
      <c r="AM64" s="287" t="str">
        <f aca="false">IFERROR(IF(I$21*I$22*I25&gt;0,STDEV(I$21:I$22,I25)," ")/IF(I$21*I$22*I25&gt;0,SQRT(COUNT(I$21:I$22,I25))," "),"")</f>
        <v/>
      </c>
      <c r="AN64" s="287" t="str">
        <f aca="false">IFERROR(IF(J$21*J$22*J25&gt;0,STDEV(J$21:J$22,J25)," ")/IF(J$21*J$22*J25&gt;0,SQRT(COUNT(J$21:J$22,J25))," "),"")</f>
        <v/>
      </c>
      <c r="AO64" s="287" t="str">
        <f aca="false">IFERROR(IF(K$21*K$22*K25&gt;0,STDEV(K$21:K$22,K25)," ")/IF(K$21*K$22*K25&gt;0,SQRT(COUNT(K$21:K$22,K25))," "),"")</f>
        <v/>
      </c>
      <c r="AP64" s="287" t="str">
        <f aca="false">IFERROR(IF(L$21*L$22*L25&gt;0,STDEV(L$21:L$22,L25)," ")/IF(L$21*L$22*L25&gt;0,SQRT(COUNT(L$21:L$22,L25))," "),"")</f>
        <v/>
      </c>
      <c r="AQ64" s="287" t="str">
        <f aca="false">IFERROR(IF(M$21*M$22*M25&gt;0,STDEV(M$21:M$22,M25)," ")/IF(M$21*M$22*M25&gt;0,SQRT(COUNT(M$21:M$22,M25))," "),"")</f>
        <v/>
      </c>
      <c r="AR64" s="287" t="str">
        <f aca="false">IFERROR(IF(N$21*N$22*N25&gt;0,STDEV(N$21:N$22,N25)," ")/IF(N$21*N$22*N25&gt;0,SQRT(COUNT(N$21:N$22,N25))," "),"")</f>
        <v/>
      </c>
    </row>
    <row r="65" customFormat="false" ht="15.75" hidden="false" customHeight="false" outlineLevel="0" collapsed="false">
      <c r="A65" s="290" t="s">
        <v>356</v>
      </c>
      <c r="B65" s="281"/>
      <c r="C65" s="291" t="str">
        <f aca="false">IFERROR(IF(C$21*C$22*C26&gt;0,AVERAGE(C$21:C$22,C26),""),"")</f>
        <v/>
      </c>
      <c r="D65" s="291" t="str">
        <f aca="false">IFERROR(IF(D$21*D$22*D26&gt;0,AVERAGE(D$21:D$22,D26),""),"")</f>
        <v/>
      </c>
      <c r="E65" s="291" t="str">
        <f aca="false">IFERROR(IF(E$21*E$22*E26&gt;0,AVERAGE(E$21:E$22,E26),""),"")</f>
        <v/>
      </c>
      <c r="F65" s="291" t="str">
        <f aca="false">IFERROR(IF(F$21*F$22*F26&gt;0,AVERAGE(F$21:F$22,F26),""),"")</f>
        <v/>
      </c>
      <c r="G65" s="291" t="str">
        <f aca="false">IFERROR(IF(G$21*G$22*G26&gt;0,AVERAGE(G$21:G$22,G26),""),"")</f>
        <v/>
      </c>
      <c r="H65" s="291" t="str">
        <f aca="false">IFERROR(IF(H$21*H$22*H26&gt;0,AVERAGE(H$21:H$22,H26),""),"")</f>
        <v/>
      </c>
      <c r="I65" s="291" t="str">
        <f aca="false">IFERROR(IF(I$21*I$22*I26&gt;0,AVERAGE(I$21:I$22,I26),""),"")</f>
        <v/>
      </c>
      <c r="J65" s="291" t="str">
        <f aca="false">IFERROR(IF(J$21*J$22*J26&gt;0,AVERAGE(J$21:J$22,J26),""),"")</f>
        <v/>
      </c>
      <c r="K65" s="291" t="str">
        <f aca="false">IFERROR(IF(K$21*K$22*K26&gt;0,AVERAGE(K$21:K$22,K26),""),"")</f>
        <v/>
      </c>
      <c r="L65" s="291" t="str">
        <f aca="false">IFERROR(IF(L$21*L$22*L26&gt;0,AVERAGE(L$21:L$22,L26),""),"")</f>
        <v/>
      </c>
      <c r="M65" s="291" t="str">
        <f aca="false">IFERROR(IF(M$21*M$22*M26&gt;0,AVERAGE(M$21:M$22,M26),""),"")</f>
        <v/>
      </c>
      <c r="N65" s="291" t="str">
        <f aca="false">IFERROR(IF(N$21*N$22*N26&gt;0,AVERAGE(N$21:N$22,N26),""),"")</f>
        <v/>
      </c>
      <c r="O65" s="282"/>
      <c r="P65" s="282"/>
      <c r="Q65" s="296"/>
      <c r="R65" s="293" t="s">
        <v>357</v>
      </c>
      <c r="S65" s="294" t="str">
        <f aca="false">IFERROR(IF(C$21*C$22*C26&gt;0,STDEV(C$21:C$22,C26),"")/IF(C$21*C$22*C26&gt;0,AVERAGE(C$21:C$22,C26),""),"")</f>
        <v/>
      </c>
      <c r="T65" s="294" t="str">
        <f aca="false">IFERROR(IF(D$21*D$22*D26&gt;0,STDEV(D$21:D$22,D26),"")/IF(D$21*D$22*D26&gt;0,AVERAGE(D$21:D$22,D26),""),"")</f>
        <v/>
      </c>
      <c r="U65" s="294" t="str">
        <f aca="false">IFERROR(IF(E$21*E$22*E26&gt;0,STDEV(E$21:E$22,E26),"")/IF(E$21*E$22*E26&gt;0,AVERAGE(E$21:E$22,E26),""),"")</f>
        <v/>
      </c>
      <c r="V65" s="294" t="str">
        <f aca="false">IFERROR(IF(F$21*F$22*F26&gt;0,STDEV(F$21:F$22,F26),"")/IF(F$21*F$22*F26&gt;0,AVERAGE(F$21:F$22,F26),""),"")</f>
        <v/>
      </c>
      <c r="W65" s="294" t="str">
        <f aca="false">IFERROR(IF(G$21*G$22*G26&gt;0,STDEV(G$21:G$22,G26),"")/IF(G$21*G$22*G26&gt;0,AVERAGE(G$21:G$22,G26),""),"")</f>
        <v/>
      </c>
      <c r="X65" s="294" t="str">
        <f aca="false">IFERROR(IF(H$21*H$22*H26&gt;0,STDEV(H$21:H$22,H26),"")/IF(H$21*H$22*H26&gt;0,AVERAGE(H$21:H$22,H26),""),"")</f>
        <v/>
      </c>
      <c r="Y65" s="294" t="str">
        <f aca="false">IFERROR(IF(I$21*I$22*I26&gt;0,STDEV(I$21:I$22,I26),"")/IF(I$21*I$22*I26&gt;0,AVERAGE(I$21:I$22,I26),""),"")</f>
        <v/>
      </c>
      <c r="Z65" s="294" t="str">
        <f aca="false">IFERROR(IF(J$21*J$22*J26&gt;0,STDEV(J$21:J$22,J26),"")/IF(J$21*J$22*J26&gt;0,AVERAGE(J$21:J$22,J26),""),"")</f>
        <v/>
      </c>
      <c r="AA65" s="294" t="str">
        <f aca="false">IFERROR(IF(K$21*K$22*K26&gt;0,STDEV(K$21:K$22,K26),"")/IF(K$21*K$22*K26&gt;0,AVERAGE(K$21:K$22,K26),""),"")</f>
        <v/>
      </c>
      <c r="AB65" s="294" t="str">
        <f aca="false">IFERROR(IF(L$21*L$22*L26&gt;0,STDEV(L$21:L$22,L26),"")/IF(L$21*L$22*L26&gt;0,AVERAGE(L$21:L$22,L26),""),"")</f>
        <v/>
      </c>
      <c r="AC65" s="294" t="str">
        <f aca="false">IFERROR(IF(M$21*M$22*M26&gt;0,STDEV(M$21:M$22,M26),"")/IF(M$21*M$22*M26&gt;0,AVERAGE(M$21:M$22,M26),""),"")</f>
        <v/>
      </c>
      <c r="AD65" s="294" t="str">
        <f aca="false">IFERROR(IF(N$21*N$22*N26&gt;0,STDEV(N$21:N$22,N26),"")/IF(N$21*N$22*N26&gt;0,AVERAGE(N$21:N$22,N26),""),"")</f>
        <v/>
      </c>
      <c r="AE65" s="44"/>
      <c r="AF65" s="266" t="s">
        <v>358</v>
      </c>
      <c r="AG65" s="287" t="str">
        <f aca="false">IFERROR(IF(C$21*C$22*C26&gt;0,STDEV(C$21:C$22,C26)," ")/IF(C$21*C$22*C26&gt;0,SQRT(COUNT(C$21:C$22,C26))," "),"")</f>
        <v/>
      </c>
      <c r="AH65" s="287" t="str">
        <f aca="false">IFERROR(IF(D$21*D$22*D26&gt;0,STDEV(D$21:D$22,D26)," ")/IF(D$21*D$22*D26&gt;0,SQRT(COUNT(D$21:D$22,D26))," "),"")</f>
        <v/>
      </c>
      <c r="AI65" s="287" t="str">
        <f aca="false">IFERROR(IF(E$21*E$22*E26&gt;0,STDEV(E$21:E$22,E26)," ")/IF(E$21*E$22*E26&gt;0,SQRT(COUNT(E$21:E$22,E26))," "),"")</f>
        <v/>
      </c>
      <c r="AJ65" s="287" t="str">
        <f aca="false">IFERROR(IF(F$21*F$22*F26&gt;0,STDEV(F$21:F$22,F26)," ")/IF(F$21*F$22*F26&gt;0,SQRT(COUNT(F$21:F$22,F26))," "),"")</f>
        <v/>
      </c>
      <c r="AK65" s="287" t="str">
        <f aca="false">IFERROR(IF(G$21*G$22*G26&gt;0,STDEV(G$21:G$22,G26)," ")/IF(G$21*G$22*G26&gt;0,SQRT(COUNT(G$21:G$22,G26))," "),"")</f>
        <v/>
      </c>
      <c r="AL65" s="287" t="str">
        <f aca="false">IFERROR(IF(H$21*H$22*H26&gt;0,STDEV(H$21:H$22,H26)," ")/IF(H$21*H$22*H26&gt;0,SQRT(COUNT(H$21:H$22,H26))," "),"")</f>
        <v/>
      </c>
      <c r="AM65" s="287" t="str">
        <f aca="false">IFERROR(IF(I$21*I$22*I26&gt;0,STDEV(I$21:I$22,I26)," ")/IF(I$21*I$22*I26&gt;0,SQRT(COUNT(I$21:I$22,I26))," "),"")</f>
        <v/>
      </c>
      <c r="AN65" s="287" t="str">
        <f aca="false">IFERROR(IF(J$21*J$22*J26&gt;0,STDEV(J$21:J$22,J26)," ")/IF(J$21*J$22*J26&gt;0,SQRT(COUNT(J$21:J$22,J26))," "),"")</f>
        <v/>
      </c>
      <c r="AO65" s="287" t="str">
        <f aca="false">IFERROR(IF(K$21*K$22*K26&gt;0,STDEV(K$21:K$22,K26)," ")/IF(K$21*K$22*K26&gt;0,SQRT(COUNT(K$21:K$22,K26))," "),"")</f>
        <v/>
      </c>
      <c r="AP65" s="287" t="str">
        <f aca="false">IFERROR(IF(L$21*L$22*L26&gt;0,STDEV(L$21:L$22,L26)," ")/IF(L$21*L$22*L26&gt;0,SQRT(COUNT(L$21:L$22,L26))," "),"")</f>
        <v/>
      </c>
      <c r="AQ65" s="287" t="str">
        <f aca="false">IFERROR(IF(M$21*M$22*M26&gt;0,STDEV(M$21:M$22,M26)," ")/IF(M$21*M$22*M26&gt;0,SQRT(COUNT(M$21:M$22,M26))," "),"")</f>
        <v/>
      </c>
      <c r="AR65" s="287" t="str">
        <f aca="false">IFERROR(IF(N$21*N$22*N26&gt;0,STDEV(N$21:N$22,N26)," ")/IF(N$21*N$22*N26&gt;0,SQRT(COUNT(N$21:N$22,N26))," "),"")</f>
        <v/>
      </c>
    </row>
    <row r="66" customFormat="false" ht="15.75" hidden="false" customHeight="false" outlineLevel="0" collapsed="false">
      <c r="A66" s="290" t="s">
        <v>359</v>
      </c>
      <c r="B66" s="281"/>
      <c r="C66" s="291" t="str">
        <f aca="false">IFERROR(IF(C$21*C$22*C27&gt;0,AVERAGE(C$21:C$22,C27),""),"")</f>
        <v/>
      </c>
      <c r="D66" s="291" t="str">
        <f aca="false">IFERROR(IF(D$21*D$22*D27&gt;0,AVERAGE(D$21:D$22,D27),""),"")</f>
        <v/>
      </c>
      <c r="E66" s="291" t="str">
        <f aca="false">IFERROR(IF(E$21*E$22*E27&gt;0,AVERAGE(E$21:E$22,E27),""),"")</f>
        <v/>
      </c>
      <c r="F66" s="291" t="str">
        <f aca="false">IFERROR(IF(F$21*F$22*F27&gt;0,AVERAGE(F$21:F$22,F27),""),"")</f>
        <v/>
      </c>
      <c r="G66" s="291" t="str">
        <f aca="false">IFERROR(IF(G$21*G$22*G27&gt;0,AVERAGE(G$21:G$22,G27),""),"")</f>
        <v/>
      </c>
      <c r="H66" s="291" t="str">
        <f aca="false">IFERROR(IF(H$21*H$22*H27&gt;0,AVERAGE(H$21:H$22,H27),""),"")</f>
        <v/>
      </c>
      <c r="I66" s="291" t="str">
        <f aca="false">IFERROR(IF(I$21*I$22*I27&gt;0,AVERAGE(I$21:I$22,I27),""),"")</f>
        <v/>
      </c>
      <c r="J66" s="291" t="str">
        <f aca="false">IFERROR(IF(J$21*J$22*J27&gt;0,AVERAGE(J$21:J$22,J27),""),"")</f>
        <v/>
      </c>
      <c r="K66" s="291" t="str">
        <f aca="false">IFERROR(IF(K$21*K$22*K27&gt;0,AVERAGE(K$21:K$22,K27),""),"")</f>
        <v/>
      </c>
      <c r="L66" s="291" t="str">
        <f aca="false">IFERROR(IF(L$21*L$22*L27&gt;0,AVERAGE(L$21:L$22,L27),""),"")</f>
        <v/>
      </c>
      <c r="M66" s="291" t="str">
        <f aca="false">IFERROR(IF(M$21*M$22*M27&gt;0,AVERAGE(M$21:M$22,M27),""),"")</f>
        <v/>
      </c>
      <c r="N66" s="291" t="str">
        <f aca="false">IFERROR(IF(N$21*N$22*N27&gt;0,AVERAGE(N$21:N$22,N27),""),"")</f>
        <v/>
      </c>
      <c r="O66" s="282"/>
      <c r="P66" s="282"/>
      <c r="Q66" s="296"/>
      <c r="R66" s="293" t="s">
        <v>360</v>
      </c>
      <c r="S66" s="294" t="str">
        <f aca="false">IFERROR(IF(C$21*C$22*C27&gt;0,STDEV(C$21:C$22,C27),"")/IF(C$21*C$22*C27&gt;0,AVERAGE(C$21:C$22,C27),""),"")</f>
        <v/>
      </c>
      <c r="T66" s="294" t="str">
        <f aca="false">IFERROR(IF(D$21*D$22*D27&gt;0,STDEV(D$21:D$22,D27),"")/IF(D$21*D$22*D27&gt;0,AVERAGE(D$21:D$22,D27),""),"")</f>
        <v/>
      </c>
      <c r="U66" s="294" t="str">
        <f aca="false">IFERROR(IF(E$21*E$22*E27&gt;0,STDEV(E$21:E$22,E27),"")/IF(E$21*E$22*E27&gt;0,AVERAGE(E$21:E$22,E27),""),"")</f>
        <v/>
      </c>
      <c r="V66" s="294" t="str">
        <f aca="false">IFERROR(IF(F$21*F$22*F27&gt;0,STDEV(F$21:F$22,F27),"")/IF(F$21*F$22*F27&gt;0,AVERAGE(F$21:F$22,F27),""),"")</f>
        <v/>
      </c>
      <c r="W66" s="294" t="str">
        <f aca="false">IFERROR(IF(G$21*G$22*G27&gt;0,STDEV(G$21:G$22,G27),"")/IF(G$21*G$22*G27&gt;0,AVERAGE(G$21:G$22,G27),""),"")</f>
        <v/>
      </c>
      <c r="X66" s="294" t="str">
        <f aca="false">IFERROR(IF(H$21*H$22*H27&gt;0,STDEV(H$21:H$22,H27),"")/IF(H$21*H$22*H27&gt;0,AVERAGE(H$21:H$22,H27),""),"")</f>
        <v/>
      </c>
      <c r="Y66" s="294" t="str">
        <f aca="false">IFERROR(IF(I$21*I$22*I27&gt;0,STDEV(I$21:I$22,I27),"")/IF(I$21*I$22*I27&gt;0,AVERAGE(I$21:I$22,I27),""),"")</f>
        <v/>
      </c>
      <c r="Z66" s="294" t="str">
        <f aca="false">IFERROR(IF(J$21*J$22*J27&gt;0,STDEV(J$21:J$22,J27),"")/IF(J$21*J$22*J27&gt;0,AVERAGE(J$21:J$22,J27),""),"")</f>
        <v/>
      </c>
      <c r="AA66" s="294" t="str">
        <f aca="false">IFERROR(IF(K$21*K$22*K27&gt;0,STDEV(K$21:K$22,K27),"")/IF(K$21*K$22*K27&gt;0,AVERAGE(K$21:K$22,K27),""),"")</f>
        <v/>
      </c>
      <c r="AB66" s="294" t="str">
        <f aca="false">IFERROR(IF(L$21*L$22*L27&gt;0,STDEV(L$21:L$22,L27),"")/IF(L$21*L$22*L27&gt;0,AVERAGE(L$21:L$22,L27),""),"")</f>
        <v/>
      </c>
      <c r="AC66" s="294" t="str">
        <f aca="false">IFERROR(IF(M$21*M$22*M27&gt;0,STDEV(M$21:M$22,M27),"")/IF(M$21*M$22*M27&gt;0,AVERAGE(M$21:M$22,M27),""),"")</f>
        <v/>
      </c>
      <c r="AD66" s="294" t="str">
        <f aca="false">IFERROR(IF(N$21*N$22*N27&gt;0,STDEV(N$21:N$22,N27),"")/IF(N$21*N$22*N27&gt;0,AVERAGE(N$21:N$22,N27),""),"")</f>
        <v/>
      </c>
      <c r="AE66" s="44"/>
      <c r="AF66" s="266" t="s">
        <v>361</v>
      </c>
      <c r="AG66" s="287" t="str">
        <f aca="false">IFERROR(IF(C$21*C$22*C27&gt;0,STDEV(C$21:C$22,C27)," ")/IF(C$21*C$22*C27&gt;0,SQRT(COUNT(C$21:C$22,C27))," "),"")</f>
        <v/>
      </c>
      <c r="AH66" s="287" t="str">
        <f aca="false">IFERROR(IF(D$21*D$22*D27&gt;0,STDEV(D$21:D$22,D27)," ")/IF(D$21*D$22*D27&gt;0,SQRT(COUNT(D$21:D$22,D27))," "),"")</f>
        <v/>
      </c>
      <c r="AI66" s="287" t="str">
        <f aca="false">IFERROR(IF(E$21*E$22*E27&gt;0,STDEV(E$21:E$22,E27)," ")/IF(E$21*E$22*E27&gt;0,SQRT(COUNT(E$21:E$22,E27))," "),"")</f>
        <v/>
      </c>
      <c r="AJ66" s="287" t="str">
        <f aca="false">IFERROR(IF(F$21*F$22*F27&gt;0,STDEV(F$21:F$22,F27)," ")/IF(F$21*F$22*F27&gt;0,SQRT(COUNT(F$21:F$22,F27))," "),"")</f>
        <v/>
      </c>
      <c r="AK66" s="287" t="str">
        <f aca="false">IFERROR(IF(G$21*G$22*G27&gt;0,STDEV(G$21:G$22,G27)," ")/IF(G$21*G$22*G27&gt;0,SQRT(COUNT(G$21:G$22,G27))," "),"")</f>
        <v/>
      </c>
      <c r="AL66" s="287" t="str">
        <f aca="false">IFERROR(IF(H$21*H$22*H27&gt;0,STDEV(H$21:H$22,H27)," ")/IF(H$21*H$22*H27&gt;0,SQRT(COUNT(H$21:H$22,H27))," "),"")</f>
        <v/>
      </c>
      <c r="AM66" s="287" t="str">
        <f aca="false">IFERROR(IF(I$21*I$22*I27&gt;0,STDEV(I$21:I$22,I27)," ")/IF(I$21*I$22*I27&gt;0,SQRT(COUNT(I$21:I$22,I27))," "),"")</f>
        <v/>
      </c>
      <c r="AN66" s="287" t="str">
        <f aca="false">IFERROR(IF(J$21*J$22*J27&gt;0,STDEV(J$21:J$22,J27)," ")/IF(J$21*J$22*J27&gt;0,SQRT(COUNT(J$21:J$22,J27))," "),"")</f>
        <v/>
      </c>
      <c r="AO66" s="287" t="str">
        <f aca="false">IFERROR(IF(K$21*K$22*K27&gt;0,STDEV(K$21:K$22,K27)," ")/IF(K$21*K$22*K27&gt;0,SQRT(COUNT(K$21:K$22,K27))," "),"")</f>
        <v/>
      </c>
      <c r="AP66" s="287" t="str">
        <f aca="false">IFERROR(IF(L$21*L$22*L27&gt;0,STDEV(L$21:L$22,L27)," ")/IF(L$21*L$22*L27&gt;0,SQRT(COUNT(L$21:L$22,L27))," "),"")</f>
        <v/>
      </c>
      <c r="AQ66" s="287" t="str">
        <f aca="false">IFERROR(IF(M$21*M$22*M27&gt;0,STDEV(M$21:M$22,M27)," ")/IF(M$21*M$22*M27&gt;0,SQRT(COUNT(M$21:M$22,M27))," "),"")</f>
        <v/>
      </c>
      <c r="AR66" s="287" t="str">
        <f aca="false">IFERROR(IF(N$21*N$22*N27&gt;0,STDEV(N$21:N$22,N27)," ")/IF(N$21*N$22*N27&gt;0,SQRT(COUNT(N$21:N$22,N27))," "),"")</f>
        <v/>
      </c>
    </row>
    <row r="67" customFormat="false" ht="15.75" hidden="false" customHeight="false" outlineLevel="0" collapsed="false">
      <c r="A67" s="290" t="s">
        <v>253</v>
      </c>
      <c r="B67" s="281"/>
      <c r="C67" s="291" t="str">
        <f aca="false">IFERROR(IF(C$22*C$23*C24&gt;0,AVERAGE(C$22:C$23,C24),""),"")</f>
        <v/>
      </c>
      <c r="D67" s="291" t="str">
        <f aca="false">IFERROR(IF(D$22*D$23*D24&gt;0,AVERAGE(D$22:D$23,D24),""),"")</f>
        <v/>
      </c>
      <c r="E67" s="291" t="str">
        <f aca="false">IFERROR(IF(E$22*E$23*E24&gt;0,AVERAGE(E$22:E$23,E24),""),"")</f>
        <v/>
      </c>
      <c r="F67" s="291" t="str">
        <f aca="false">IFERROR(IF(F$22*F$23*F24&gt;0,AVERAGE(F$22:F$23,F24),""),"")</f>
        <v/>
      </c>
      <c r="G67" s="291" t="str">
        <f aca="false">IFERROR(IF(G$22*G$23*G24&gt;0,AVERAGE(G$22:G$23,G24),""),"")</f>
        <v/>
      </c>
      <c r="H67" s="291" t="str">
        <f aca="false">IFERROR(IF(H$22*H$23*H24&gt;0,AVERAGE(H$22:H$23,H24),""),"")</f>
        <v/>
      </c>
      <c r="I67" s="291" t="str">
        <f aca="false">IFERROR(IF(I$22*I$23*I24&gt;0,AVERAGE(I$22:I$23,I24),""),"")</f>
        <v/>
      </c>
      <c r="J67" s="291" t="str">
        <f aca="false">IFERROR(IF(J$22*J$23*J24&gt;0,AVERAGE(J$22:J$23,J24),""),"")</f>
        <v/>
      </c>
      <c r="K67" s="291" t="str">
        <f aca="false">IFERROR(IF(K$22*K$23*K24&gt;0,AVERAGE(K$22:K$23,K24),""),"")</f>
        <v/>
      </c>
      <c r="L67" s="291" t="str">
        <f aca="false">IFERROR(IF(L$22*L$23*L24&gt;0,AVERAGE(L$22:L$23,L24),""),"")</f>
        <v/>
      </c>
      <c r="M67" s="291" t="str">
        <f aca="false">IFERROR(IF(M$22*M$23*M24&gt;0,AVERAGE(M$22:M$23,M24),""),"")</f>
        <v/>
      </c>
      <c r="N67" s="291" t="str">
        <f aca="false">IFERROR(IF(N$22*N$23*N24&gt;0,AVERAGE(N$22:N$23,N24),""),"")</f>
        <v/>
      </c>
      <c r="O67" s="42"/>
      <c r="P67" s="282"/>
      <c r="Q67" s="188"/>
      <c r="R67" s="293" t="s">
        <v>362</v>
      </c>
      <c r="S67" s="294" t="str">
        <f aca="false">IFERROR(IF(C$22*C$23*C24&gt;0,STDEV(C$22:C$23,C24),"")/IF(C$22*C$23*C24&gt;0,AVERAGE(C$22:C$23,C24),""),"")</f>
        <v/>
      </c>
      <c r="T67" s="294" t="str">
        <f aca="false">IFERROR(IF(D$22*D$23*D24&gt;0,STDEV(D$22:D$23,D24),"")/IF(D$22*D$23*D24&gt;0,AVERAGE(D$22:D$23,D24),""),"")</f>
        <v/>
      </c>
      <c r="U67" s="294" t="str">
        <f aca="false">IFERROR(IF(E$22*E$23*E24&gt;0,STDEV(E$22:E$23,E24),"")/IF(E$22*E$23*E24&gt;0,AVERAGE(E$22:E$23,E24),""),"")</f>
        <v/>
      </c>
      <c r="V67" s="294" t="str">
        <f aca="false">IFERROR(IF(F$22*F$23*F24&gt;0,STDEV(F$22:F$23,F24),"")/IF(F$22*F$23*F24&gt;0,AVERAGE(F$22:F$23,F24),""),"")</f>
        <v/>
      </c>
      <c r="W67" s="294" t="str">
        <f aca="false">IFERROR(IF(G$22*G$23*G24&gt;0,STDEV(G$22:G$23,G24),"")/IF(G$22*G$23*G24&gt;0,AVERAGE(G$22:G$23,G24),""),"")</f>
        <v/>
      </c>
      <c r="X67" s="294" t="str">
        <f aca="false">IFERROR(IF(H$22*H$23*H24&gt;0,STDEV(H$22:H$23,H24),"")/IF(H$22*H$23*H24&gt;0,AVERAGE(H$22:H$23,H24),""),"")</f>
        <v/>
      </c>
      <c r="Y67" s="294" t="str">
        <f aca="false">IFERROR(IF(I$22*I$23*I24&gt;0,STDEV(I$22:I$23,I24),"")/IF(I$22*I$23*I24&gt;0,AVERAGE(I$22:I$23,I24),""),"")</f>
        <v/>
      </c>
      <c r="Z67" s="294" t="str">
        <f aca="false">IFERROR(IF(J$22*J$23*J24&gt;0,STDEV(J$22:J$23,J24),"")/IF(J$22*J$23*J24&gt;0,AVERAGE(J$22:J$23,J24),""),"")</f>
        <v/>
      </c>
      <c r="AA67" s="294" t="str">
        <f aca="false">IFERROR(IF(K$22*K$23*K24&gt;0,STDEV(K$22:K$23,K24),"")/IF(K$22*K$23*K24&gt;0,AVERAGE(K$22:K$23,K24),""),"")</f>
        <v/>
      </c>
      <c r="AB67" s="294" t="str">
        <f aca="false">IFERROR(IF(L$22*L$23*L24&gt;0,STDEV(L$22:L$23,L24),"")/IF(L$22*L$23*L24&gt;0,AVERAGE(L$22:L$23,L24),""),"")</f>
        <v/>
      </c>
      <c r="AC67" s="294" t="str">
        <f aca="false">IFERROR(IF(M$22*M$23*M24&gt;0,STDEV(M$22:M$23,M24),"")/IF(M$22*M$23*M24&gt;0,AVERAGE(M$22:M$23,M24),""),"")</f>
        <v/>
      </c>
      <c r="AD67" s="294" t="str">
        <f aca="false">IFERROR(IF(N$22*N$23*N24&gt;0,STDEV(N$22:N$23,N24),"")/IF(N$22*N$23*N24&gt;0,AVERAGE(N$22:N$23,N24),""),"")</f>
        <v/>
      </c>
      <c r="AE67" s="44"/>
      <c r="AF67" s="266" t="s">
        <v>363</v>
      </c>
      <c r="AG67" s="287" t="str">
        <f aca="false">IFERROR(IF(C$22*C$23*C24&gt;0,STDEV(C$22:C$23,C24)," ")/IF(C$22*C$23*C24&gt;0,SQRT(COUNT(C$22:C$23,C24))," "),"")</f>
        <v/>
      </c>
      <c r="AH67" s="287" t="str">
        <f aca="false">IFERROR(IF(D$22*D$23*D24&gt;0,STDEV(D$22:D$23,D24)," ")/IF(D$22*D$23*D24&gt;0,SQRT(COUNT(D$22:D$23,D24))," "),"")</f>
        <v/>
      </c>
      <c r="AI67" s="287" t="str">
        <f aca="false">IFERROR(IF(E$22*E$23*E24&gt;0,STDEV(E$22:E$23,E24)," ")/IF(E$22*E$23*E24&gt;0,SQRT(COUNT(E$22:E$23,E24))," "),"")</f>
        <v/>
      </c>
      <c r="AJ67" s="287" t="str">
        <f aca="false">IFERROR(IF(F$22*F$23*F24&gt;0,STDEV(F$22:F$23,F24)," ")/IF(F$22*F$23*F24&gt;0,SQRT(COUNT(F$22:F$23,F24))," "),"")</f>
        <v/>
      </c>
      <c r="AK67" s="287" t="str">
        <f aca="false">IFERROR(IF(G$22*G$23*G24&gt;0,STDEV(G$22:G$23,G24)," ")/IF(G$22*G$23*G24&gt;0,SQRT(COUNT(G$22:G$23,G24))," "),"")</f>
        <v/>
      </c>
      <c r="AL67" s="287" t="str">
        <f aca="false">IFERROR(IF(H$22*H$23*H24&gt;0,STDEV(H$22:H$23,H24)," ")/IF(H$22*H$23*H24&gt;0,SQRT(COUNT(H$22:H$23,H24))," "),"")</f>
        <v/>
      </c>
      <c r="AM67" s="287" t="str">
        <f aca="false">IFERROR(IF(I$22*I$23*I24&gt;0,STDEV(I$22:I$23,I24)," ")/IF(I$22*I$23*I24&gt;0,SQRT(COUNT(I$22:I$23,I24))," "),"")</f>
        <v/>
      </c>
      <c r="AN67" s="287" t="str">
        <f aca="false">IFERROR(IF(J$22*J$23*J24&gt;0,STDEV(J$22:J$23,J24)," ")/IF(J$22*J$23*J24&gt;0,SQRT(COUNT(J$22:J$23,J24))," "),"")</f>
        <v/>
      </c>
      <c r="AO67" s="287" t="str">
        <f aca="false">IFERROR(IF(K$22*K$23*K24&gt;0,STDEV(K$22:K$23,K24)," ")/IF(K$22*K$23*K24&gt;0,SQRT(COUNT(K$22:K$23,K24))," "),"")</f>
        <v/>
      </c>
      <c r="AP67" s="287" t="str">
        <f aca="false">IFERROR(IF(L$22*L$23*L24&gt;0,STDEV(L$22:L$23,L24)," ")/IF(L$22*L$23*L24&gt;0,SQRT(COUNT(L$22:L$23,L24))," "),"")</f>
        <v/>
      </c>
      <c r="AQ67" s="287" t="str">
        <f aca="false">IFERROR(IF(M$22*M$23*M24&gt;0,STDEV(M$22:M$23,M24)," ")/IF(M$22*M$23*M24&gt;0,SQRT(COUNT(M$22:M$23,M24))," "),"")</f>
        <v/>
      </c>
      <c r="AR67" s="287" t="str">
        <f aca="false">IFERROR(IF(N$22*N$23*N24&gt;0,STDEV(N$22:N$23,N24)," ")/IF(N$22*N$23*N24&gt;0,SQRT(COUNT(N$22:N$23,N24))," "),"")</f>
        <v/>
      </c>
    </row>
    <row r="68" customFormat="false" ht="15.75" hidden="false" customHeight="false" outlineLevel="0" collapsed="false">
      <c r="A68" s="290" t="s">
        <v>254</v>
      </c>
      <c r="B68" s="281"/>
      <c r="C68" s="291" t="str">
        <f aca="false">IFERROR(IF(C$22*C$23*C25&gt;0,AVERAGE(C$22:C$23,C25),""),"")</f>
        <v/>
      </c>
      <c r="D68" s="291" t="str">
        <f aca="false">IFERROR(IF(D$22*D$23*D25&gt;0,AVERAGE(D$22:D$23,D25),""),"")</f>
        <v/>
      </c>
      <c r="E68" s="291" t="str">
        <f aca="false">IFERROR(IF(E$22*E$23*E25&gt;0,AVERAGE(E$22:E$23,E25),""),"")</f>
        <v/>
      </c>
      <c r="F68" s="291" t="str">
        <f aca="false">IFERROR(IF(F$22*F$23*F25&gt;0,AVERAGE(F$22:F$23,F25),""),"")</f>
        <v/>
      </c>
      <c r="G68" s="291" t="str">
        <f aca="false">IFERROR(IF(G$22*G$23*G25&gt;0,AVERAGE(G$22:G$23,G25),""),"")</f>
        <v/>
      </c>
      <c r="H68" s="291" t="str">
        <f aca="false">IFERROR(IF(H$22*H$23*H25&gt;0,AVERAGE(H$22:H$23,H25),""),"")</f>
        <v/>
      </c>
      <c r="I68" s="291" t="str">
        <f aca="false">IFERROR(IF(I$22*I$23*I25&gt;0,AVERAGE(I$22:I$23,I25),""),"")</f>
        <v/>
      </c>
      <c r="J68" s="291" t="str">
        <f aca="false">IFERROR(IF(J$22*J$23*J25&gt;0,AVERAGE(J$22:J$23,J25),""),"")</f>
        <v/>
      </c>
      <c r="K68" s="291" t="str">
        <f aca="false">IFERROR(IF(K$22*K$23*K25&gt;0,AVERAGE(K$22:K$23,K25),""),"")</f>
        <v/>
      </c>
      <c r="L68" s="291" t="str">
        <f aca="false">IFERROR(IF(L$22*L$23*L25&gt;0,AVERAGE(L$22:L$23,L25),""),"")</f>
        <v/>
      </c>
      <c r="M68" s="291" t="str">
        <f aca="false">IFERROR(IF(M$22*M$23*M25&gt;0,AVERAGE(M$22:M$23,M25),""),"")</f>
        <v/>
      </c>
      <c r="N68" s="291" t="str">
        <f aca="false">IFERROR(IF(N$22*N$23*N25&gt;0,AVERAGE(N$22:N$23,N25),""),"")</f>
        <v/>
      </c>
      <c r="O68" s="282"/>
      <c r="P68" s="282"/>
      <c r="Q68" s="296"/>
      <c r="R68" s="293" t="s">
        <v>364</v>
      </c>
      <c r="S68" s="294" t="str">
        <f aca="false">IFERROR(IF(C$22*C$23*C25&gt;0,STDEV(C$22:C$23,C25),"")/IF(C$22*C$23*C25&gt;0,AVERAGE(C$22:C$23,C25),""),"")</f>
        <v/>
      </c>
      <c r="T68" s="294" t="str">
        <f aca="false">IFERROR(IF(D$22*D$23*D25&gt;0,STDEV(D$22:D$23,D25),"")/IF(D$22*D$23*D25&gt;0,AVERAGE(D$22:D$23,D25),""),"")</f>
        <v/>
      </c>
      <c r="U68" s="294" t="str">
        <f aca="false">IFERROR(IF(E$22*E$23*E25&gt;0,STDEV(E$22:E$23,E25),"")/IF(E$22*E$23*E25&gt;0,AVERAGE(E$22:E$23,E25),""),"")</f>
        <v/>
      </c>
      <c r="V68" s="294" t="str">
        <f aca="false">IFERROR(IF(F$22*F$23*F25&gt;0,STDEV(F$22:F$23,F25),"")/IF(F$22*F$23*F25&gt;0,AVERAGE(F$22:F$23,F25),""),"")</f>
        <v/>
      </c>
      <c r="W68" s="294" t="str">
        <f aca="false">IFERROR(IF(G$22*G$23*G25&gt;0,STDEV(G$22:G$23,G25),"")/IF(G$22*G$23*G25&gt;0,AVERAGE(G$22:G$23,G25),""),"")</f>
        <v/>
      </c>
      <c r="X68" s="294" t="str">
        <f aca="false">IFERROR(IF(H$22*H$23*H25&gt;0,STDEV(H$22:H$23,H25),"")/IF(H$22*H$23*H25&gt;0,AVERAGE(H$22:H$23,H25),""),"")</f>
        <v/>
      </c>
      <c r="Y68" s="294" t="str">
        <f aca="false">IFERROR(IF(I$22*I$23*I25&gt;0,STDEV(I$22:I$23,I25),"")/IF(I$22*I$23*I25&gt;0,AVERAGE(I$22:I$23,I25),""),"")</f>
        <v/>
      </c>
      <c r="Z68" s="294" t="str">
        <f aca="false">IFERROR(IF(J$22*J$23*J25&gt;0,STDEV(J$22:J$23,J25),"")/IF(J$22*J$23*J25&gt;0,AVERAGE(J$22:J$23,J25),""),"")</f>
        <v/>
      </c>
      <c r="AA68" s="294" t="str">
        <f aca="false">IFERROR(IF(K$22*K$23*K25&gt;0,STDEV(K$22:K$23,K25),"")/IF(K$22*K$23*K25&gt;0,AVERAGE(K$22:K$23,K25),""),"")</f>
        <v/>
      </c>
      <c r="AB68" s="294" t="str">
        <f aca="false">IFERROR(IF(L$22*L$23*L25&gt;0,STDEV(L$22:L$23,L25),"")/IF(L$22*L$23*L25&gt;0,AVERAGE(L$22:L$23,L25),""),"")</f>
        <v/>
      </c>
      <c r="AC68" s="294" t="str">
        <f aca="false">IFERROR(IF(M$22*M$23*M25&gt;0,STDEV(M$22:M$23,M25),"")/IF(M$22*M$23*M25&gt;0,AVERAGE(M$22:M$23,M25),""),"")</f>
        <v/>
      </c>
      <c r="AD68" s="294" t="str">
        <f aca="false">IFERROR(IF(N$22*N$23*N25&gt;0,STDEV(N$22:N$23,N25),"")/IF(N$22*N$23*N25&gt;0,AVERAGE(N$22:N$23,N25),""),"")</f>
        <v/>
      </c>
      <c r="AE68" s="115"/>
      <c r="AF68" s="266" t="s">
        <v>365</v>
      </c>
      <c r="AG68" s="287" t="str">
        <f aca="false">IFERROR(IF(C$22*C$23*C25&gt;0,STDEV(C$22:C$23,C25)," ")/IF(C$22*C$23*C25&gt;0,SQRT(COUNT(C$22:C$23,C25))," "),"")</f>
        <v/>
      </c>
      <c r="AH68" s="287" t="str">
        <f aca="false">IFERROR(IF(D$22*D$23*D25&gt;0,STDEV(D$22:D$23,D25)," ")/IF(D$22*D$23*D25&gt;0,SQRT(COUNT(D$22:D$23,D25))," "),"")</f>
        <v/>
      </c>
      <c r="AI68" s="287" t="str">
        <f aca="false">IFERROR(IF(E$22*E$23*E25&gt;0,STDEV(E$22:E$23,E25)," ")/IF(E$22*E$23*E25&gt;0,SQRT(COUNT(E$22:E$23,E25))," "),"")</f>
        <v/>
      </c>
      <c r="AJ68" s="287" t="str">
        <f aca="false">IFERROR(IF(F$22*F$23*F25&gt;0,STDEV(F$22:F$23,F25)," ")/IF(F$22*F$23*F25&gt;0,SQRT(COUNT(F$22:F$23,F25))," "),"")</f>
        <v/>
      </c>
      <c r="AK68" s="287" t="str">
        <f aca="false">IFERROR(IF(G$22*G$23*G25&gt;0,STDEV(G$22:G$23,G25)," ")/IF(G$22*G$23*G25&gt;0,SQRT(COUNT(G$22:G$23,G25))," "),"")</f>
        <v/>
      </c>
      <c r="AL68" s="287" t="str">
        <f aca="false">IFERROR(IF(H$22*H$23*H25&gt;0,STDEV(H$22:H$23,H25)," ")/IF(H$22*H$23*H25&gt;0,SQRT(COUNT(H$22:H$23,H25))," "),"")</f>
        <v/>
      </c>
      <c r="AM68" s="287" t="str">
        <f aca="false">IFERROR(IF(I$22*I$23*I25&gt;0,STDEV(I$22:I$23,I25)," ")/IF(I$22*I$23*I25&gt;0,SQRT(COUNT(I$22:I$23,I25))," "),"")</f>
        <v/>
      </c>
      <c r="AN68" s="287" t="str">
        <f aca="false">IFERROR(IF(J$22*J$23*J25&gt;0,STDEV(J$22:J$23,J25)," ")/IF(J$22*J$23*J25&gt;0,SQRT(COUNT(J$22:J$23,J25))," "),"")</f>
        <v/>
      </c>
      <c r="AO68" s="287" t="str">
        <f aca="false">IFERROR(IF(K$22*K$23*K25&gt;0,STDEV(K$22:K$23,K25)," ")/IF(K$22*K$23*K25&gt;0,SQRT(COUNT(K$22:K$23,K25))," "),"")</f>
        <v/>
      </c>
      <c r="AP68" s="287" t="str">
        <f aca="false">IFERROR(IF(L$22*L$23*L25&gt;0,STDEV(L$22:L$23,L25)," ")/IF(L$22*L$23*L25&gt;0,SQRT(COUNT(L$22:L$23,L25))," "),"")</f>
        <v/>
      </c>
      <c r="AQ68" s="287" t="str">
        <f aca="false">IFERROR(IF(M$22*M$23*M25&gt;0,STDEV(M$22:M$23,M25)," ")/IF(M$22*M$23*M25&gt;0,SQRT(COUNT(M$22:M$23,M25))," "),"")</f>
        <v/>
      </c>
      <c r="AR68" s="287" t="str">
        <f aca="false">IFERROR(IF(N$22*N$23*N25&gt;0,STDEV(N$22:N$23,N25)," ")/IF(N$22*N$23*N25&gt;0,SQRT(COUNT(N$22:N$23,N25))," "),"")</f>
        <v/>
      </c>
    </row>
    <row r="69" customFormat="false" ht="15.75" hidden="false" customHeight="false" outlineLevel="0" collapsed="false">
      <c r="A69" s="290" t="s">
        <v>255</v>
      </c>
      <c r="B69" s="281"/>
      <c r="C69" s="291" t="str">
        <f aca="false">IFERROR(IF(C$22*C$23*C26&gt;0,AVERAGE(C$22:C$23,C26),""),"")</f>
        <v/>
      </c>
      <c r="D69" s="291" t="str">
        <f aca="false">IFERROR(IF(D$22*D$23*D26&gt;0,AVERAGE(D$22:D$23,D26),""),"")</f>
        <v/>
      </c>
      <c r="E69" s="291" t="str">
        <f aca="false">IFERROR(IF(E$22*E$23*E26&gt;0,AVERAGE(E$22:E$23,E26),""),"")</f>
        <v/>
      </c>
      <c r="F69" s="291" t="str">
        <f aca="false">IFERROR(IF(F$22*F$23*F26&gt;0,AVERAGE(F$22:F$23,F26),""),"")</f>
        <v/>
      </c>
      <c r="G69" s="291" t="str">
        <f aca="false">IFERROR(IF(G$22*G$23*G26&gt;0,AVERAGE(G$22:G$23,G26),""),"")</f>
        <v/>
      </c>
      <c r="H69" s="291" t="str">
        <f aca="false">IFERROR(IF(H$22*H$23*H26&gt;0,AVERAGE(H$22:H$23,H26),""),"")</f>
        <v/>
      </c>
      <c r="I69" s="291" t="str">
        <f aca="false">IFERROR(IF(I$22*I$23*I26&gt;0,AVERAGE(I$22:I$23,I26),""),"")</f>
        <v/>
      </c>
      <c r="J69" s="291" t="str">
        <f aca="false">IFERROR(IF(J$22*J$23*J26&gt;0,AVERAGE(J$22:J$23,J26),""),"")</f>
        <v/>
      </c>
      <c r="K69" s="291" t="str">
        <f aca="false">IFERROR(IF(K$22*K$23*K26&gt;0,AVERAGE(K$22:K$23,K26),""),"")</f>
        <v/>
      </c>
      <c r="L69" s="291" t="str">
        <f aca="false">IFERROR(IF(L$22*L$23*L26&gt;0,AVERAGE(L$22:L$23,L26),""),"")</f>
        <v/>
      </c>
      <c r="M69" s="291" t="str">
        <f aca="false">IFERROR(IF(M$22*M$23*M26&gt;0,AVERAGE(M$22:M$23,M26),""),"")</f>
        <v/>
      </c>
      <c r="N69" s="291" t="str">
        <f aca="false">IFERROR(IF(N$22*N$23*N26&gt;0,AVERAGE(N$22:N$23,N26),""),"")</f>
        <v/>
      </c>
      <c r="O69" s="295"/>
      <c r="P69" s="282"/>
      <c r="Q69" s="296"/>
      <c r="R69" s="293" t="s">
        <v>366</v>
      </c>
      <c r="S69" s="294" t="str">
        <f aca="false">IFERROR(IF(C$22*C$23*C26&gt;0,STDEV(C$22:C$23,C26),"")/IF(C$22*C$23*C26&gt;0,AVERAGE(C$22:C$23,C26),""),"")</f>
        <v/>
      </c>
      <c r="T69" s="294" t="str">
        <f aca="false">IFERROR(IF(D$22*D$23*D26&gt;0,STDEV(D$22:D$23,D26),"")/IF(D$22*D$23*D26&gt;0,AVERAGE(D$22:D$23,D26),""),"")</f>
        <v/>
      </c>
      <c r="U69" s="294" t="str">
        <f aca="false">IFERROR(IF(E$22*E$23*E26&gt;0,STDEV(E$22:E$23,E26),"")/IF(E$22*E$23*E26&gt;0,AVERAGE(E$22:E$23,E26),""),"")</f>
        <v/>
      </c>
      <c r="V69" s="294" t="str">
        <f aca="false">IFERROR(IF(F$22*F$23*F26&gt;0,STDEV(F$22:F$23,F26),"")/IF(F$22*F$23*F26&gt;0,AVERAGE(F$22:F$23,F26),""),"")</f>
        <v/>
      </c>
      <c r="W69" s="294" t="str">
        <f aca="false">IFERROR(IF(G$22*G$23*G26&gt;0,STDEV(G$22:G$23,G26),"")/IF(G$22*G$23*G26&gt;0,AVERAGE(G$22:G$23,G26),""),"")</f>
        <v/>
      </c>
      <c r="X69" s="294" t="str">
        <f aca="false">IFERROR(IF(H$22*H$23*H26&gt;0,STDEV(H$22:H$23,H26),"")/IF(H$22*H$23*H26&gt;0,AVERAGE(H$22:H$23,H26),""),"")</f>
        <v/>
      </c>
      <c r="Y69" s="294" t="str">
        <f aca="false">IFERROR(IF(I$22*I$23*I26&gt;0,STDEV(I$22:I$23,I26),"")/IF(I$22*I$23*I26&gt;0,AVERAGE(I$22:I$23,I26),""),"")</f>
        <v/>
      </c>
      <c r="Z69" s="294" t="str">
        <f aca="false">IFERROR(IF(J$22*J$23*J26&gt;0,STDEV(J$22:J$23,J26),"")/IF(J$22*J$23*J26&gt;0,AVERAGE(J$22:J$23,J26),""),"")</f>
        <v/>
      </c>
      <c r="AA69" s="294" t="str">
        <f aca="false">IFERROR(IF(K$22*K$23*K26&gt;0,STDEV(K$22:K$23,K26),"")/IF(K$22*K$23*K26&gt;0,AVERAGE(K$22:K$23,K26),""),"")</f>
        <v/>
      </c>
      <c r="AB69" s="294" t="str">
        <f aca="false">IFERROR(IF(L$22*L$23*L26&gt;0,STDEV(L$22:L$23,L26),"")/IF(L$22*L$23*L26&gt;0,AVERAGE(L$22:L$23,L26),""),"")</f>
        <v/>
      </c>
      <c r="AC69" s="294" t="str">
        <f aca="false">IFERROR(IF(M$22*M$23*M26&gt;0,STDEV(M$22:M$23,M26),"")/IF(M$22*M$23*M26&gt;0,AVERAGE(M$22:M$23,M26),""),"")</f>
        <v/>
      </c>
      <c r="AD69" s="294" t="str">
        <f aca="false">IFERROR(IF(N$22*N$23*N26&gt;0,STDEV(N$22:N$23,N26),"")/IF(N$22*N$23*N26&gt;0,AVERAGE(N$22:N$23,N26),""),"")</f>
        <v/>
      </c>
      <c r="AE69" s="120"/>
      <c r="AF69" s="266" t="s">
        <v>367</v>
      </c>
      <c r="AG69" s="287" t="str">
        <f aca="false">IFERROR(IF(C$22*C$23*C26&gt;0,STDEV(C$22:C$23,C26)," ")/IF(C$22*C$23*C26&gt;0,SQRT(COUNT(C$22:C$23,C26))," "),"")</f>
        <v/>
      </c>
      <c r="AH69" s="287" t="str">
        <f aca="false">IFERROR(IF(D$22*D$23*D26&gt;0,STDEV(D$22:D$23,D26)," ")/IF(D$22*D$23*D26&gt;0,SQRT(COUNT(D$22:D$23,D26))," "),"")</f>
        <v/>
      </c>
      <c r="AI69" s="287" t="str">
        <f aca="false">IFERROR(IF(E$22*E$23*E26&gt;0,STDEV(E$22:E$23,E26)," ")/IF(E$22*E$23*E26&gt;0,SQRT(COUNT(E$22:E$23,E26))," "),"")</f>
        <v/>
      </c>
      <c r="AJ69" s="287" t="str">
        <f aca="false">IFERROR(IF(F$22*F$23*F26&gt;0,STDEV(F$22:F$23,F26)," ")/IF(F$22*F$23*F26&gt;0,SQRT(COUNT(F$22:F$23,F26))," "),"")</f>
        <v/>
      </c>
      <c r="AK69" s="287" t="str">
        <f aca="false">IFERROR(IF(G$22*G$23*G26&gt;0,STDEV(G$22:G$23,G26)," ")/IF(G$22*G$23*G26&gt;0,SQRT(COUNT(G$22:G$23,G26))," "),"")</f>
        <v/>
      </c>
      <c r="AL69" s="287" t="str">
        <f aca="false">IFERROR(IF(H$22*H$23*H26&gt;0,STDEV(H$22:H$23,H26)," ")/IF(H$22*H$23*H26&gt;0,SQRT(COUNT(H$22:H$23,H26))," "),"")</f>
        <v/>
      </c>
      <c r="AM69" s="287" t="str">
        <f aca="false">IFERROR(IF(I$22*I$23*I26&gt;0,STDEV(I$22:I$23,I26)," ")/IF(I$22*I$23*I26&gt;0,SQRT(COUNT(I$22:I$23,I26))," "),"")</f>
        <v/>
      </c>
      <c r="AN69" s="287" t="str">
        <f aca="false">IFERROR(IF(J$22*J$23*J26&gt;0,STDEV(J$22:J$23,J26)," ")/IF(J$22*J$23*J26&gt;0,SQRT(COUNT(J$22:J$23,J26))," "),"")</f>
        <v/>
      </c>
      <c r="AO69" s="287" t="str">
        <f aca="false">IFERROR(IF(K$22*K$23*K26&gt;0,STDEV(K$22:K$23,K26)," ")/IF(K$22*K$23*K26&gt;0,SQRT(COUNT(K$22:K$23,K26))," "),"")</f>
        <v/>
      </c>
      <c r="AP69" s="287" t="str">
        <f aca="false">IFERROR(IF(L$22*L$23*L26&gt;0,STDEV(L$22:L$23,L26)," ")/IF(L$22*L$23*L26&gt;0,SQRT(COUNT(L$22:L$23,L26))," "),"")</f>
        <v/>
      </c>
      <c r="AQ69" s="287" t="str">
        <f aca="false">IFERROR(IF(M$22*M$23*M26&gt;0,STDEV(M$22:M$23,M26)," ")/IF(M$22*M$23*M26&gt;0,SQRT(COUNT(M$22:M$23,M26))," "),"")</f>
        <v/>
      </c>
      <c r="AR69" s="287" t="str">
        <f aca="false">IFERROR(IF(N$22*N$23*N26&gt;0,STDEV(N$22:N$23,N26)," ")/IF(N$22*N$23*N26&gt;0,SQRT(COUNT(N$22:N$23,N26))," "),"")</f>
        <v/>
      </c>
    </row>
    <row r="70" customFormat="false" ht="15.75" hidden="false" customHeight="false" outlineLevel="0" collapsed="false">
      <c r="A70" s="290" t="s">
        <v>256</v>
      </c>
      <c r="B70" s="281"/>
      <c r="C70" s="291" t="str">
        <f aca="false">IFERROR(IF(C$22*C$23*C27&gt;0,AVERAGE(C$22:C$23,C27),""),"")</f>
        <v/>
      </c>
      <c r="D70" s="291" t="str">
        <f aca="false">IFERROR(IF(D$22*D$23*D27&gt;0,AVERAGE(D$22:D$23,D27),""),"")</f>
        <v/>
      </c>
      <c r="E70" s="291" t="str">
        <f aca="false">IFERROR(IF(E$22*E$23*E27&gt;0,AVERAGE(E$22:E$23,E27),""),"")</f>
        <v/>
      </c>
      <c r="F70" s="291" t="str">
        <f aca="false">IFERROR(IF(F$22*F$23*F27&gt;0,AVERAGE(F$22:F$23,F27),""),"")</f>
        <v/>
      </c>
      <c r="G70" s="291" t="str">
        <f aca="false">IFERROR(IF(G$22*G$23*G27&gt;0,AVERAGE(G$22:G$23,G27),""),"")</f>
        <v/>
      </c>
      <c r="H70" s="291" t="str">
        <f aca="false">IFERROR(IF(H$22*H$23*H27&gt;0,AVERAGE(H$22:H$23,H27),""),"")</f>
        <v/>
      </c>
      <c r="I70" s="291" t="str">
        <f aca="false">IFERROR(IF(I$22*I$23*I27&gt;0,AVERAGE(I$22:I$23,I27),""),"")</f>
        <v/>
      </c>
      <c r="J70" s="291" t="str">
        <f aca="false">IFERROR(IF(J$22*J$23*J27&gt;0,AVERAGE(J$22:J$23,J27),""),"")</f>
        <v/>
      </c>
      <c r="K70" s="291" t="str">
        <f aca="false">IFERROR(IF(K$22*K$23*K27&gt;0,AVERAGE(K$22:K$23,K27),""),"")</f>
        <v/>
      </c>
      <c r="L70" s="291" t="str">
        <f aca="false">IFERROR(IF(L$22*L$23*L27&gt;0,AVERAGE(L$22:L$23,L27),""),"")</f>
        <v/>
      </c>
      <c r="M70" s="291" t="str">
        <f aca="false">IFERROR(IF(M$22*M$23*M27&gt;0,AVERAGE(M$22:M$23,M27),""),"")</f>
        <v/>
      </c>
      <c r="N70" s="291" t="str">
        <f aca="false">IFERROR(IF(N$22*N$23*N27&gt;0,AVERAGE(N$22:N$23,N27),""),"")</f>
        <v/>
      </c>
      <c r="O70" s="295"/>
      <c r="P70" s="282"/>
      <c r="Q70" s="296"/>
      <c r="R70" s="293" t="s">
        <v>368</v>
      </c>
      <c r="S70" s="294" t="str">
        <f aca="false">IFERROR(IF(C$22*C$23*C27&gt;0,STDEV(C$22:C$23,C27),"")/IF(C$22*C$23*C27&gt;0,AVERAGE(C$22:C$23,C27),""),"")</f>
        <v/>
      </c>
      <c r="T70" s="294" t="str">
        <f aca="false">IFERROR(IF(D$22*D$23*D27&gt;0,STDEV(D$22:D$23,D27),"")/IF(D$22*D$23*D27&gt;0,AVERAGE(D$22:D$23,D27),""),"")</f>
        <v/>
      </c>
      <c r="U70" s="294" t="str">
        <f aca="false">IFERROR(IF(E$22*E$23*E27&gt;0,STDEV(E$22:E$23,E27),"")/IF(E$22*E$23*E27&gt;0,AVERAGE(E$22:E$23,E27),""),"")</f>
        <v/>
      </c>
      <c r="V70" s="294" t="str">
        <f aca="false">IFERROR(IF(F$22*F$23*F27&gt;0,STDEV(F$22:F$23,F27),"")/IF(F$22*F$23*F27&gt;0,AVERAGE(F$22:F$23,F27),""),"")</f>
        <v/>
      </c>
      <c r="W70" s="294" t="str">
        <f aca="false">IFERROR(IF(G$22*G$23*G27&gt;0,STDEV(G$22:G$23,G27),"")/IF(G$22*G$23*G27&gt;0,AVERAGE(G$22:G$23,G27),""),"")</f>
        <v/>
      </c>
      <c r="X70" s="294" t="str">
        <f aca="false">IFERROR(IF(H$22*H$23*H27&gt;0,STDEV(H$22:H$23,H27),"")/IF(H$22*H$23*H27&gt;0,AVERAGE(H$22:H$23,H27),""),"")</f>
        <v/>
      </c>
      <c r="Y70" s="294" t="str">
        <f aca="false">IFERROR(IF(I$22*I$23*I27&gt;0,STDEV(I$22:I$23,I27),"")/IF(I$22*I$23*I27&gt;0,AVERAGE(I$22:I$23,I27),""),"")</f>
        <v/>
      </c>
      <c r="Z70" s="294" t="str">
        <f aca="false">IFERROR(IF(J$22*J$23*J27&gt;0,STDEV(J$22:J$23,J27),"")/IF(J$22*J$23*J27&gt;0,AVERAGE(J$22:J$23,J27),""),"")</f>
        <v/>
      </c>
      <c r="AA70" s="294" t="str">
        <f aca="false">IFERROR(IF(K$22*K$23*K27&gt;0,STDEV(K$22:K$23,K27),"")/IF(K$22*K$23*K27&gt;0,AVERAGE(K$22:K$23,K27),""),"")</f>
        <v/>
      </c>
      <c r="AB70" s="294" t="str">
        <f aca="false">IFERROR(IF(L$22*L$23*L27&gt;0,STDEV(L$22:L$23,L27),"")/IF(L$22*L$23*L27&gt;0,AVERAGE(L$22:L$23,L27),""),"")</f>
        <v/>
      </c>
      <c r="AC70" s="294" t="str">
        <f aca="false">IFERROR(IF(M$22*M$23*M27&gt;0,STDEV(M$22:M$23,M27),"")/IF(M$22*M$23*M27&gt;0,AVERAGE(M$22:M$23,M27),""),"")</f>
        <v/>
      </c>
      <c r="AD70" s="294" t="str">
        <f aca="false">IFERROR(IF(N$22*N$23*N27&gt;0,STDEV(N$22:N$23,N27),"")/IF(N$22*N$23*N27&gt;0,AVERAGE(N$22:N$23,N27),""),"")</f>
        <v/>
      </c>
      <c r="AE70" s="120"/>
      <c r="AF70" s="266" t="s">
        <v>369</v>
      </c>
      <c r="AG70" s="287" t="str">
        <f aca="false">IFERROR(IF(C$22*C$23*C27&gt;0,STDEV(C$22:C$23,C27)," ")/IF(C$22*C$23*C27&gt;0,SQRT(COUNT(C$22:C$23,C27))," "),"")</f>
        <v/>
      </c>
      <c r="AH70" s="287" t="str">
        <f aca="false">IFERROR(IF(D$22*D$23*D27&gt;0,STDEV(D$22:D$23,D27)," ")/IF(D$22*D$23*D27&gt;0,SQRT(COUNT(D$22:D$23,D27))," "),"")</f>
        <v/>
      </c>
      <c r="AI70" s="287" t="str">
        <f aca="false">IFERROR(IF(E$22*E$23*E27&gt;0,STDEV(E$22:E$23,E27)," ")/IF(E$22*E$23*E27&gt;0,SQRT(COUNT(E$22:E$23,E27))," "),"")</f>
        <v/>
      </c>
      <c r="AJ70" s="287" t="str">
        <f aca="false">IFERROR(IF(F$22*F$23*F27&gt;0,STDEV(F$22:F$23,F27)," ")/IF(F$22*F$23*F27&gt;0,SQRT(COUNT(F$22:F$23,F27))," "),"")</f>
        <v/>
      </c>
      <c r="AK70" s="287" t="str">
        <f aca="false">IFERROR(IF(G$22*G$23*G27&gt;0,STDEV(G$22:G$23,G27)," ")/IF(G$22*G$23*G27&gt;0,SQRT(COUNT(G$22:G$23,G27))," "),"")</f>
        <v/>
      </c>
      <c r="AL70" s="287" t="str">
        <f aca="false">IFERROR(IF(H$22*H$23*H27&gt;0,STDEV(H$22:H$23,H27)," ")/IF(H$22*H$23*H27&gt;0,SQRT(COUNT(H$22:H$23,H27))," "),"")</f>
        <v/>
      </c>
      <c r="AM70" s="287" t="str">
        <f aca="false">IFERROR(IF(I$22*I$23*I27&gt;0,STDEV(I$22:I$23,I27)," ")/IF(I$22*I$23*I27&gt;0,SQRT(COUNT(I$22:I$23,I27))," "),"")</f>
        <v/>
      </c>
      <c r="AN70" s="287" t="str">
        <f aca="false">IFERROR(IF(J$22*J$23*J27&gt;0,STDEV(J$22:J$23,J27)," ")/IF(J$22*J$23*J27&gt;0,SQRT(COUNT(J$22:J$23,J27))," "),"")</f>
        <v/>
      </c>
      <c r="AO70" s="287" t="str">
        <f aca="false">IFERROR(IF(K$22*K$23*K27&gt;0,STDEV(K$22:K$23,K27)," ")/IF(K$22*K$23*K27&gt;0,SQRT(COUNT(K$22:K$23,K27))," "),"")</f>
        <v/>
      </c>
      <c r="AP70" s="287" t="str">
        <f aca="false">IFERROR(IF(L$22*L$23*L27&gt;0,STDEV(L$22:L$23,L27)," ")/IF(L$22*L$23*L27&gt;0,SQRT(COUNT(L$22:L$23,L27))," "),"")</f>
        <v/>
      </c>
      <c r="AQ70" s="287" t="str">
        <f aca="false">IFERROR(IF(M$22*M$23*M27&gt;0,STDEV(M$22:M$23,M27)," ")/IF(M$22*M$23*M27&gt;0,SQRT(COUNT(M$22:M$23,M27))," "),"")</f>
        <v/>
      </c>
      <c r="AR70" s="287" t="str">
        <f aca="false">IFERROR(IF(N$22*N$23*N27&gt;0,STDEV(N$22:N$23,N27)," ")/IF(N$22*N$23*N27&gt;0,SQRT(COUNT(N$22:N$23,N27))," "),"")</f>
        <v/>
      </c>
    </row>
    <row r="71" customFormat="false" ht="15.75" hidden="false" customHeight="false" outlineLevel="0" collapsed="false">
      <c r="A71" s="290" t="s">
        <v>257</v>
      </c>
      <c r="B71" s="281"/>
      <c r="C71" s="291" t="str">
        <f aca="false">IFERROR(IF(C$23*C$24*C21&gt;0,AVERAGE(C$23:C$24,C21),""),"")</f>
        <v/>
      </c>
      <c r="D71" s="291" t="str">
        <f aca="false">IFERROR(IF(D$23*D$24*D21&gt;0,AVERAGE(D$23:D$24,D21),""),"")</f>
        <v/>
      </c>
      <c r="E71" s="291" t="str">
        <f aca="false">IFERROR(IF(E$23*E$24*E21&gt;0,AVERAGE(E$23:E$24,E21),""),"")</f>
        <v/>
      </c>
      <c r="F71" s="291" t="str">
        <f aca="false">IFERROR(IF(F$23*F$24*F21&gt;0,AVERAGE(F$23:F$24,F21),""),"")</f>
        <v/>
      </c>
      <c r="G71" s="291" t="str">
        <f aca="false">IFERROR(IF(G$23*G$24*G21&gt;0,AVERAGE(G$23:G$24,G21),""),"")</f>
        <v/>
      </c>
      <c r="H71" s="291" t="str">
        <f aca="false">IFERROR(IF(H$23*H$24*H21&gt;0,AVERAGE(H$23:H$24,H21),""),"")</f>
        <v/>
      </c>
      <c r="I71" s="291" t="str">
        <f aca="false">IFERROR(IF(I$23*I$24*I21&gt;0,AVERAGE(I$23:I$24,I21),""),"")</f>
        <v/>
      </c>
      <c r="J71" s="291" t="str">
        <f aca="false">IFERROR(IF(J$23*J$24*J21&gt;0,AVERAGE(J$23:J$24,J21),""),"")</f>
        <v/>
      </c>
      <c r="K71" s="291" t="str">
        <f aca="false">IFERROR(IF(K$23*K$24*K21&gt;0,AVERAGE(K$23:K$24,K21),""),"")</f>
        <v/>
      </c>
      <c r="L71" s="291" t="str">
        <f aca="false">IFERROR(IF(L$23*L$24*L21&gt;0,AVERAGE(L$23:L$24,L21),""),"")</f>
        <v/>
      </c>
      <c r="M71" s="291" t="str">
        <f aca="false">IFERROR(IF(M$23*M$24*M21&gt;0,AVERAGE(M$23:M$24,M21),""),"")</f>
        <v/>
      </c>
      <c r="N71" s="291" t="str">
        <f aca="false">IFERROR(IF(N$23*N$24*N21&gt;0,AVERAGE(N$23:N$24,N21),""),"")</f>
        <v/>
      </c>
      <c r="O71" s="295"/>
      <c r="P71" s="282"/>
      <c r="Q71" s="296"/>
      <c r="R71" s="293" t="s">
        <v>370</v>
      </c>
      <c r="S71" s="294" t="str">
        <f aca="false">IFERROR(IF(C$23*C$24*C21&gt;0,STDEV(C$23:C$24,C21),"")/IF(C$23*C$24*C21&gt;0,AVERAGE(C$23:C$24,C21),""),"")</f>
        <v/>
      </c>
      <c r="T71" s="294" t="str">
        <f aca="false">IFERROR(IF(D$23*D$24*D21&gt;0,STDEV(D$23:D$24,D21),"")/IF(D$23*D$24*D21&gt;0,AVERAGE(D$23:D$24,D21),""),"")</f>
        <v/>
      </c>
      <c r="U71" s="294" t="str">
        <f aca="false">IFERROR(IF(E$23*E$24*E21&gt;0,STDEV(E$23:E$24,E21),"")/IF(E$23*E$24*E21&gt;0,AVERAGE(E$23:E$24,E21),""),"")</f>
        <v/>
      </c>
      <c r="V71" s="294" t="str">
        <f aca="false">IFERROR(IF(F$23*F$24*F21&gt;0,STDEV(F$23:F$24,F21),"")/IF(F$23*F$24*F21&gt;0,AVERAGE(F$23:F$24,F21),""),"")</f>
        <v/>
      </c>
      <c r="W71" s="294" t="str">
        <f aca="false">IFERROR(IF(G$23*G$24*G21&gt;0,STDEV(G$23:G$24,G21),"")/IF(G$23*G$24*G21&gt;0,AVERAGE(G$23:G$24,G21),""),"")</f>
        <v/>
      </c>
      <c r="X71" s="294" t="str">
        <f aca="false">IFERROR(IF(H$23*H$24*H21&gt;0,STDEV(H$23:H$24,H21),"")/IF(H$23*H$24*H21&gt;0,AVERAGE(H$23:H$24,H21),""),"")</f>
        <v/>
      </c>
      <c r="Y71" s="294" t="str">
        <f aca="false">IFERROR(IF(I$23*I$24*I21&gt;0,STDEV(I$23:I$24,I21),"")/IF(I$23*I$24*I21&gt;0,AVERAGE(I$23:I$24,I21),""),"")</f>
        <v/>
      </c>
      <c r="Z71" s="294" t="str">
        <f aca="false">IFERROR(IF(J$23*J$24*J21&gt;0,STDEV(J$23:J$24,J21),"")/IF(J$23*J$24*J21&gt;0,AVERAGE(J$23:J$24,J21),""),"")</f>
        <v/>
      </c>
      <c r="AA71" s="294" t="str">
        <f aca="false">IFERROR(IF(K$23*K$24*K21&gt;0,STDEV(K$23:K$24,K21),"")/IF(K$23*K$24*K21&gt;0,AVERAGE(K$23:K$24,K21),""),"")</f>
        <v/>
      </c>
      <c r="AB71" s="294" t="str">
        <f aca="false">IFERROR(IF(L$23*L$24*L21&gt;0,STDEV(L$23:L$24,L21),"")/IF(L$23*L$24*L21&gt;0,AVERAGE(L$23:L$24,L21),""),"")</f>
        <v/>
      </c>
      <c r="AC71" s="294" t="str">
        <f aca="false">IFERROR(IF(M$23*M$24*M21&gt;0,STDEV(M$23:M$24,M21),"")/IF(M$23*M$24*M21&gt;0,AVERAGE(M$23:M$24,M21),""),"")</f>
        <v/>
      </c>
      <c r="AD71" s="294" t="str">
        <f aca="false">IFERROR(IF(N$23*N$24*N21&gt;0,STDEV(N$23:N$24,N21),"")/IF(N$23*N$24*N21&gt;0,AVERAGE(N$23:N$24,N21),""),"")</f>
        <v/>
      </c>
      <c r="AE71" s="120"/>
      <c r="AF71" s="266" t="s">
        <v>371</v>
      </c>
      <c r="AG71" s="287" t="str">
        <f aca="false">IFERROR(IF(C$23*C$24*C21&gt;0,STDEV(C$23:C$24,C21)," ")/IF(C$23*C$24*C21&gt;0,SQRT(COUNT(C$23:C$24,C21))," "),"")</f>
        <v/>
      </c>
      <c r="AH71" s="287" t="str">
        <f aca="false">IFERROR(IF(D$23*D$24*D21&gt;0,STDEV(D$23:D$24,D21)," ")/IF(D$23*D$24*D21&gt;0,SQRT(COUNT(D$23:D$24,D21))," "),"")</f>
        <v/>
      </c>
      <c r="AI71" s="287" t="str">
        <f aca="false">IFERROR(IF(E$23*E$24*E21&gt;0,STDEV(E$23:E$24,E21)," ")/IF(E$23*E$24*E21&gt;0,SQRT(COUNT(E$23:E$24,E21))," "),"")</f>
        <v/>
      </c>
      <c r="AJ71" s="287" t="str">
        <f aca="false">IFERROR(IF(F$23*F$24*F21&gt;0,STDEV(F$23:F$24,F21)," ")/IF(F$23*F$24*F21&gt;0,SQRT(COUNT(F$23:F$24,F21))," "),"")</f>
        <v/>
      </c>
      <c r="AK71" s="287" t="str">
        <f aca="false">IFERROR(IF(G$23*G$24*G21&gt;0,STDEV(G$23:G$24,G21)," ")/IF(G$23*G$24*G21&gt;0,SQRT(COUNT(G$23:G$24,G21))," "),"")</f>
        <v/>
      </c>
      <c r="AL71" s="287" t="str">
        <f aca="false">IFERROR(IF(H$23*H$24*H21&gt;0,STDEV(H$23:H$24,H21)," ")/IF(H$23*H$24*H21&gt;0,SQRT(COUNT(H$23:H$24,H21))," "),"")</f>
        <v/>
      </c>
      <c r="AM71" s="287" t="str">
        <f aca="false">IFERROR(IF(I$23*I$24*I21&gt;0,STDEV(I$23:I$24,I21)," ")/IF(I$23*I$24*I21&gt;0,SQRT(COUNT(I$23:I$24,I21))," "),"")</f>
        <v/>
      </c>
      <c r="AN71" s="287" t="str">
        <f aca="false">IFERROR(IF(J$23*J$24*J21&gt;0,STDEV(J$23:J$24,J21)," ")/IF(J$23*J$24*J21&gt;0,SQRT(COUNT(J$23:J$24,J21))," "),"")</f>
        <v/>
      </c>
      <c r="AO71" s="287" t="str">
        <f aca="false">IFERROR(IF(K$23*K$24*K21&gt;0,STDEV(K$23:K$24,K21)," ")/IF(K$23*K$24*K21&gt;0,SQRT(COUNT(K$23:K$24,K21))," "),"")</f>
        <v/>
      </c>
      <c r="AP71" s="287" t="str">
        <f aca="false">IFERROR(IF(L$23*L$24*L21&gt;0,STDEV(L$23:L$24,L21)," ")/IF(L$23*L$24*L21&gt;0,SQRT(COUNT(L$23:L$24,L21))," "),"")</f>
        <v/>
      </c>
      <c r="AQ71" s="287" t="str">
        <f aca="false">IFERROR(IF(M$23*M$24*M21&gt;0,STDEV(M$23:M$24,M21)," ")/IF(M$23*M$24*M21&gt;0,SQRT(COUNT(M$23:M$24,M21))," "),"")</f>
        <v/>
      </c>
      <c r="AR71" s="287" t="str">
        <f aca="false">IFERROR(IF(N$23*N$24*N21&gt;0,STDEV(N$23:N$24,N21)," ")/IF(N$23*N$24*N21&gt;0,SQRT(COUNT(N$23:N$24,N21))," "),"")</f>
        <v/>
      </c>
    </row>
    <row r="72" customFormat="false" ht="15.75" hidden="false" customHeight="false" outlineLevel="0" collapsed="false">
      <c r="A72" s="290" t="s">
        <v>258</v>
      </c>
      <c r="B72" s="281"/>
      <c r="C72" s="291" t="str">
        <f aca="false">IFERROR(IF(C$23*C$24*C25&gt;0,AVERAGE(C$23:C$24,C25),""),"")</f>
        <v/>
      </c>
      <c r="D72" s="291" t="str">
        <f aca="false">IFERROR(IF(D$23*D$24*D25&gt;0,AVERAGE(D$23:D$24,D25),""),"")</f>
        <v/>
      </c>
      <c r="E72" s="291" t="str">
        <f aca="false">IFERROR(IF(E$23*E$24*E25&gt;0,AVERAGE(E$23:E$24,E25),""),"")</f>
        <v/>
      </c>
      <c r="F72" s="291" t="str">
        <f aca="false">IFERROR(IF(F$23*F$24*F25&gt;0,AVERAGE(F$23:F$24,F25),""),"")</f>
        <v/>
      </c>
      <c r="G72" s="291" t="str">
        <f aca="false">IFERROR(IF(G$23*G$24*G25&gt;0,AVERAGE(G$23:G$24,G25),""),"")</f>
        <v/>
      </c>
      <c r="H72" s="291" t="str">
        <f aca="false">IFERROR(IF(H$23*H$24*H25&gt;0,AVERAGE(H$23:H$24,H25),""),"")</f>
        <v/>
      </c>
      <c r="I72" s="291" t="str">
        <f aca="false">IFERROR(IF(I$23*I$24*I25&gt;0,AVERAGE(I$23:I$24,I25),""),"")</f>
        <v/>
      </c>
      <c r="J72" s="291" t="str">
        <f aca="false">IFERROR(IF(J$23*J$24*J25&gt;0,AVERAGE(J$23:J$24,J25),""),"")</f>
        <v/>
      </c>
      <c r="K72" s="291" t="str">
        <f aca="false">IFERROR(IF(K$23*K$24*K25&gt;0,AVERAGE(K$23:K$24,K25),""),"")</f>
        <v/>
      </c>
      <c r="L72" s="291" t="str">
        <f aca="false">IFERROR(IF(L$23*L$24*L25&gt;0,AVERAGE(L$23:L$24,L25),""),"")</f>
        <v/>
      </c>
      <c r="M72" s="291" t="str">
        <f aca="false">IFERROR(IF(M$23*M$24*M25&gt;0,AVERAGE(M$23:M$24,M25),""),"")</f>
        <v/>
      </c>
      <c r="N72" s="291" t="str">
        <f aca="false">IFERROR(IF(N$23*N$24*N25&gt;0,AVERAGE(N$23:N$24,N25),""),"")</f>
        <v/>
      </c>
      <c r="O72" s="295"/>
      <c r="P72" s="282"/>
      <c r="Q72" s="296"/>
      <c r="R72" s="293" t="s">
        <v>372</v>
      </c>
      <c r="S72" s="294" t="str">
        <f aca="false">IFERROR(IF(C$23*C$24*C25&gt;0,STDEV(C$23:C$24,C25),"")/IF(C$23*C$24*C25&gt;0,AVERAGE(C$23:C$24,C25),""),"")</f>
        <v/>
      </c>
      <c r="T72" s="294" t="str">
        <f aca="false">IFERROR(IF(D$23*D$24*D25&gt;0,STDEV(D$23:D$24,D25),"")/IF(D$23*D$24*D25&gt;0,AVERAGE(D$23:D$24,D25),""),"")</f>
        <v/>
      </c>
      <c r="U72" s="294" t="str">
        <f aca="false">IFERROR(IF(E$23*E$24*E25&gt;0,STDEV(E$23:E$24,E25),"")/IF(E$23*E$24*E25&gt;0,AVERAGE(E$23:E$24,E25),""),"")</f>
        <v/>
      </c>
      <c r="V72" s="294" t="str">
        <f aca="false">IFERROR(IF(F$23*F$24*F25&gt;0,STDEV(F$23:F$24,F25),"")/IF(F$23*F$24*F25&gt;0,AVERAGE(F$23:F$24,F25),""),"")</f>
        <v/>
      </c>
      <c r="W72" s="294" t="str">
        <f aca="false">IFERROR(IF(G$23*G$24*G25&gt;0,STDEV(G$23:G$24,G25),"")/IF(G$23*G$24*G25&gt;0,AVERAGE(G$23:G$24,G25),""),"")</f>
        <v/>
      </c>
      <c r="X72" s="294" t="str">
        <f aca="false">IFERROR(IF(H$23*H$24*H25&gt;0,STDEV(H$23:H$24,H25),"")/IF(H$23*H$24*H25&gt;0,AVERAGE(H$23:H$24,H25),""),"")</f>
        <v/>
      </c>
      <c r="Y72" s="294" t="str">
        <f aca="false">IFERROR(IF(I$23*I$24*I25&gt;0,STDEV(I$23:I$24,I25),"")/IF(I$23*I$24*I25&gt;0,AVERAGE(I$23:I$24,I25),""),"")</f>
        <v/>
      </c>
      <c r="Z72" s="294" t="str">
        <f aca="false">IFERROR(IF(J$23*J$24*J25&gt;0,STDEV(J$23:J$24,J25),"")/IF(J$23*J$24*J25&gt;0,AVERAGE(J$23:J$24,J25),""),"")</f>
        <v/>
      </c>
      <c r="AA72" s="294" t="str">
        <f aca="false">IFERROR(IF(K$23*K$24*K25&gt;0,STDEV(K$23:K$24,K25),"")/IF(K$23*K$24*K25&gt;0,AVERAGE(K$23:K$24,K25),""),"")</f>
        <v/>
      </c>
      <c r="AB72" s="294" t="str">
        <f aca="false">IFERROR(IF(L$23*L$24*L25&gt;0,STDEV(L$23:L$24,L25),"")/IF(L$23*L$24*L25&gt;0,AVERAGE(L$23:L$24,L25),""),"")</f>
        <v/>
      </c>
      <c r="AC72" s="294" t="str">
        <f aca="false">IFERROR(IF(M$23*M$24*M25&gt;0,STDEV(M$23:M$24,M25),"")/IF(M$23*M$24*M25&gt;0,AVERAGE(M$23:M$24,M25),""),"")</f>
        <v/>
      </c>
      <c r="AD72" s="294" t="str">
        <f aca="false">IFERROR(IF(N$23*N$24*N25&gt;0,STDEV(N$23:N$24,N25),"")/IF(N$23*N$24*N25&gt;0,AVERAGE(N$23:N$24,N25),""),"")</f>
        <v/>
      </c>
      <c r="AE72" s="120"/>
      <c r="AF72" s="266" t="s">
        <v>373</v>
      </c>
      <c r="AG72" s="287" t="str">
        <f aca="false">IFERROR(IF(C$23*C$24*C25&gt;0,STDEV(C$23:C$24,C25)," ")/IF(C$23*C$24*C25&gt;0,SQRT(COUNT(C$23:C$24,C25))," "),"")</f>
        <v/>
      </c>
      <c r="AH72" s="287" t="str">
        <f aca="false">IFERROR(IF(D$23*D$24*D25&gt;0,STDEV(D$23:D$24,D25)," ")/IF(D$23*D$24*D25&gt;0,SQRT(COUNT(D$23:D$24,D25))," "),"")</f>
        <v/>
      </c>
      <c r="AI72" s="287" t="str">
        <f aca="false">IFERROR(IF(E$23*E$24*E25&gt;0,STDEV(E$23:E$24,E25)," ")/IF(E$23*E$24*E25&gt;0,SQRT(COUNT(E$23:E$24,E25))," "),"")</f>
        <v/>
      </c>
      <c r="AJ72" s="287" t="str">
        <f aca="false">IFERROR(IF(F$23*F$24*F25&gt;0,STDEV(F$23:F$24,F25)," ")/IF(F$23*F$24*F25&gt;0,SQRT(COUNT(F$23:F$24,F25))," "),"")</f>
        <v/>
      </c>
      <c r="AK72" s="287" t="str">
        <f aca="false">IFERROR(IF(G$23*G$24*G25&gt;0,STDEV(G$23:G$24,G25)," ")/IF(G$23*G$24*G25&gt;0,SQRT(COUNT(G$23:G$24,G25))," "),"")</f>
        <v/>
      </c>
      <c r="AL72" s="287" t="str">
        <f aca="false">IFERROR(IF(H$23*H$24*H25&gt;0,STDEV(H$23:H$24,H25)," ")/IF(H$23*H$24*H25&gt;0,SQRT(COUNT(H$23:H$24,H25))," "),"")</f>
        <v/>
      </c>
      <c r="AM72" s="287" t="str">
        <f aca="false">IFERROR(IF(I$23*I$24*I25&gt;0,STDEV(I$23:I$24,I25)," ")/IF(I$23*I$24*I25&gt;0,SQRT(COUNT(I$23:I$24,I25))," "),"")</f>
        <v/>
      </c>
      <c r="AN72" s="287" t="str">
        <f aca="false">IFERROR(IF(J$23*J$24*J25&gt;0,STDEV(J$23:J$24,J25)," ")/IF(J$23*J$24*J25&gt;0,SQRT(COUNT(J$23:J$24,J25))," "),"")</f>
        <v/>
      </c>
      <c r="AO72" s="287" t="str">
        <f aca="false">IFERROR(IF(K$23*K$24*K25&gt;0,STDEV(K$23:K$24,K25)," ")/IF(K$23*K$24*K25&gt;0,SQRT(COUNT(K$23:K$24,K25))," "),"")</f>
        <v/>
      </c>
      <c r="AP72" s="287" t="str">
        <f aca="false">IFERROR(IF(L$23*L$24*L25&gt;0,STDEV(L$23:L$24,L25)," ")/IF(L$23*L$24*L25&gt;0,SQRT(COUNT(L$23:L$24,L25))," "),"")</f>
        <v/>
      </c>
      <c r="AQ72" s="287" t="str">
        <f aca="false">IFERROR(IF(M$23*M$24*M25&gt;0,STDEV(M$23:M$24,M25)," ")/IF(M$23*M$24*M25&gt;0,SQRT(COUNT(M$23:M$24,M25))," "),"")</f>
        <v/>
      </c>
      <c r="AR72" s="287" t="str">
        <f aca="false">IFERROR(IF(N$23*N$24*N25&gt;0,STDEV(N$23:N$24,N25)," ")/IF(N$23*N$24*N25&gt;0,SQRT(COUNT(N$23:N$24,N25))," "),"")</f>
        <v/>
      </c>
    </row>
    <row r="73" customFormat="false" ht="15.75" hidden="false" customHeight="false" outlineLevel="0" collapsed="false">
      <c r="A73" s="290" t="s">
        <v>259</v>
      </c>
      <c r="B73" s="281"/>
      <c r="C73" s="291" t="str">
        <f aca="false">IFERROR(IF(C$23*C$24*C26&gt;0,AVERAGE(C$23:C$24,C26),""),"")</f>
        <v/>
      </c>
      <c r="D73" s="291" t="str">
        <f aca="false">IFERROR(IF(D$23*D$24*D26&gt;0,AVERAGE(D$23:D$24,D26),""),"")</f>
        <v/>
      </c>
      <c r="E73" s="291" t="str">
        <f aca="false">IFERROR(IF(E$23*E$24*E26&gt;0,AVERAGE(E$23:E$24,E26),""),"")</f>
        <v/>
      </c>
      <c r="F73" s="291" t="str">
        <f aca="false">IFERROR(IF(F$23*F$24*F26&gt;0,AVERAGE(F$23:F$24,F26),""),"")</f>
        <v/>
      </c>
      <c r="G73" s="291" t="str">
        <f aca="false">IFERROR(IF(G$23*G$24*G26&gt;0,AVERAGE(G$23:G$24,G26),""),"")</f>
        <v/>
      </c>
      <c r="H73" s="291" t="str">
        <f aca="false">IFERROR(IF(H$23*H$24*H26&gt;0,AVERAGE(H$23:H$24,H26),""),"")</f>
        <v/>
      </c>
      <c r="I73" s="291" t="str">
        <f aca="false">IFERROR(IF(I$23*I$24*I26&gt;0,AVERAGE(I$23:I$24,I26),""),"")</f>
        <v/>
      </c>
      <c r="J73" s="291" t="str">
        <f aca="false">IFERROR(IF(J$23*J$24*J26&gt;0,AVERAGE(J$23:J$24,J26),""),"")</f>
        <v/>
      </c>
      <c r="K73" s="291" t="str">
        <f aca="false">IFERROR(IF(K$23*K$24*K26&gt;0,AVERAGE(K$23:K$24,K26),""),"")</f>
        <v/>
      </c>
      <c r="L73" s="291" t="str">
        <f aca="false">IFERROR(IF(L$23*L$24*L26&gt;0,AVERAGE(L$23:L$24,L26),""),"")</f>
        <v/>
      </c>
      <c r="M73" s="291" t="str">
        <f aca="false">IFERROR(IF(M$23*M$24*M26&gt;0,AVERAGE(M$23:M$24,M26),""),"")</f>
        <v/>
      </c>
      <c r="N73" s="291" t="str">
        <f aca="false">IFERROR(IF(N$23*N$24*N26&gt;0,AVERAGE(N$23:N$24,N26),""),"")</f>
        <v/>
      </c>
      <c r="O73" s="295"/>
      <c r="P73" s="282"/>
      <c r="Q73" s="296"/>
      <c r="R73" s="293" t="s">
        <v>374</v>
      </c>
      <c r="S73" s="294" t="str">
        <f aca="false">IFERROR(IF(C$23*C$24*C26&gt;0,STDEV(C$23:C$24,C26),"")/IF(C$23*C$24*C26&gt;0,AVERAGE(C$23:C$24,C26),""),"")</f>
        <v/>
      </c>
      <c r="T73" s="294" t="str">
        <f aca="false">IFERROR(IF(D$23*D$24*D26&gt;0,STDEV(D$23:D$24,D26),"")/IF(D$23*D$24*D26&gt;0,AVERAGE(D$23:D$24,D26),""),"")</f>
        <v/>
      </c>
      <c r="U73" s="294" t="str">
        <f aca="false">IFERROR(IF(E$23*E$24*E26&gt;0,STDEV(E$23:E$24,E26),"")/IF(E$23*E$24*E26&gt;0,AVERAGE(E$23:E$24,E26),""),"")</f>
        <v/>
      </c>
      <c r="V73" s="294" t="str">
        <f aca="false">IFERROR(IF(F$23*F$24*F26&gt;0,STDEV(F$23:F$24,F26),"")/IF(F$23*F$24*F26&gt;0,AVERAGE(F$23:F$24,F26),""),"")</f>
        <v/>
      </c>
      <c r="W73" s="294" t="str">
        <f aca="false">IFERROR(IF(G$23*G$24*G26&gt;0,STDEV(G$23:G$24,G26),"")/IF(G$23*G$24*G26&gt;0,AVERAGE(G$23:G$24,G26),""),"")</f>
        <v/>
      </c>
      <c r="X73" s="294" t="str">
        <f aca="false">IFERROR(IF(H$23*H$24*H26&gt;0,STDEV(H$23:H$24,H26),"")/IF(H$23*H$24*H26&gt;0,AVERAGE(H$23:H$24,H26),""),"")</f>
        <v/>
      </c>
      <c r="Y73" s="294" t="str">
        <f aca="false">IFERROR(IF(I$23*I$24*I26&gt;0,STDEV(I$23:I$24,I26),"")/IF(I$23*I$24*I26&gt;0,AVERAGE(I$23:I$24,I26),""),"")</f>
        <v/>
      </c>
      <c r="Z73" s="294" t="str">
        <f aca="false">IFERROR(IF(J$23*J$24*J26&gt;0,STDEV(J$23:J$24,J26),"")/IF(J$23*J$24*J26&gt;0,AVERAGE(J$23:J$24,J26),""),"")</f>
        <v/>
      </c>
      <c r="AA73" s="294" t="str">
        <f aca="false">IFERROR(IF(K$23*K$24*K26&gt;0,STDEV(K$23:K$24,K26),"")/IF(K$23*K$24*K26&gt;0,AVERAGE(K$23:K$24,K26),""),"")</f>
        <v/>
      </c>
      <c r="AB73" s="294" t="str">
        <f aca="false">IFERROR(IF(L$23*L$24*L26&gt;0,STDEV(L$23:L$24,L26),"")/IF(L$23*L$24*L26&gt;0,AVERAGE(L$23:L$24,L26),""),"")</f>
        <v/>
      </c>
      <c r="AC73" s="294" t="str">
        <f aca="false">IFERROR(IF(M$23*M$24*M26&gt;0,STDEV(M$23:M$24,M26),"")/IF(M$23*M$24*M26&gt;0,AVERAGE(M$23:M$24,M26),""),"")</f>
        <v/>
      </c>
      <c r="AD73" s="294" t="str">
        <f aca="false">IFERROR(IF(N$23*N$24*N26&gt;0,STDEV(N$23:N$24,N26),"")/IF(N$23*N$24*N26&gt;0,AVERAGE(N$23:N$24,N26),""),"")</f>
        <v/>
      </c>
      <c r="AE73" s="120"/>
      <c r="AF73" s="266" t="s">
        <v>375</v>
      </c>
      <c r="AG73" s="287" t="str">
        <f aca="false">IFERROR(IF(C$23*C$24*C26&gt;0,STDEV(C$23:C$24,C26)," ")/IF(C$23*C$24*C26&gt;0,SQRT(COUNT(C$23:C$24,C26))," "),"")</f>
        <v/>
      </c>
      <c r="AH73" s="287" t="str">
        <f aca="false">IFERROR(IF(D$23*D$24*D26&gt;0,STDEV(D$23:D$24,D26)," ")/IF(D$23*D$24*D26&gt;0,SQRT(COUNT(D$23:D$24,D26))," "),"")</f>
        <v/>
      </c>
      <c r="AI73" s="287" t="str">
        <f aca="false">IFERROR(IF(E$23*E$24*E26&gt;0,STDEV(E$23:E$24,E26)," ")/IF(E$23*E$24*E26&gt;0,SQRT(COUNT(E$23:E$24,E26))," "),"")</f>
        <v/>
      </c>
      <c r="AJ73" s="287" t="str">
        <f aca="false">IFERROR(IF(F$23*F$24*F26&gt;0,STDEV(F$23:F$24,F26)," ")/IF(F$23*F$24*F26&gt;0,SQRT(COUNT(F$23:F$24,F26))," "),"")</f>
        <v/>
      </c>
      <c r="AK73" s="287" t="str">
        <f aca="false">IFERROR(IF(G$23*G$24*G26&gt;0,STDEV(G$23:G$24,G26)," ")/IF(G$23*G$24*G26&gt;0,SQRT(COUNT(G$23:G$24,G26))," "),"")</f>
        <v/>
      </c>
      <c r="AL73" s="287" t="str">
        <f aca="false">IFERROR(IF(H$23*H$24*H26&gt;0,STDEV(H$23:H$24,H26)," ")/IF(H$23*H$24*H26&gt;0,SQRT(COUNT(H$23:H$24,H26))," "),"")</f>
        <v/>
      </c>
      <c r="AM73" s="287" t="str">
        <f aca="false">IFERROR(IF(I$23*I$24*I26&gt;0,STDEV(I$23:I$24,I26)," ")/IF(I$23*I$24*I26&gt;0,SQRT(COUNT(I$23:I$24,I26))," "),"")</f>
        <v/>
      </c>
      <c r="AN73" s="287" t="str">
        <f aca="false">IFERROR(IF(J$23*J$24*J26&gt;0,STDEV(J$23:J$24,J26)," ")/IF(J$23*J$24*J26&gt;0,SQRT(COUNT(J$23:J$24,J26))," "),"")</f>
        <v/>
      </c>
      <c r="AO73" s="287" t="str">
        <f aca="false">IFERROR(IF(K$23*K$24*K26&gt;0,STDEV(K$23:K$24,K26)," ")/IF(K$23*K$24*K26&gt;0,SQRT(COUNT(K$23:K$24,K26))," "),"")</f>
        <v/>
      </c>
      <c r="AP73" s="287" t="str">
        <f aca="false">IFERROR(IF(L$23*L$24*L26&gt;0,STDEV(L$23:L$24,L26)," ")/IF(L$23*L$24*L26&gt;0,SQRT(COUNT(L$23:L$24,L26))," "),"")</f>
        <v/>
      </c>
      <c r="AQ73" s="287" t="str">
        <f aca="false">IFERROR(IF(M$23*M$24*M26&gt;0,STDEV(M$23:M$24,M26)," ")/IF(M$23*M$24*M26&gt;0,SQRT(COUNT(M$23:M$24,M26))," "),"")</f>
        <v/>
      </c>
      <c r="AR73" s="287" t="str">
        <f aca="false">IFERROR(IF(N$23*N$24*N26&gt;0,STDEV(N$23:N$24,N26)," ")/IF(N$23*N$24*N26&gt;0,SQRT(COUNT(N$23:N$24,N26))," "),"")</f>
        <v/>
      </c>
    </row>
    <row r="74" customFormat="false" ht="15.75" hidden="false" customHeight="false" outlineLevel="0" collapsed="false">
      <c r="A74" s="290" t="s">
        <v>260</v>
      </c>
      <c r="B74" s="281"/>
      <c r="C74" s="291" t="str">
        <f aca="false">IFERROR(IF(C$23*C$24*C27&gt;0,AVERAGE(C$23:C$24,C27),""),"")</f>
        <v/>
      </c>
      <c r="D74" s="291" t="str">
        <f aca="false">IFERROR(IF(D$23*D$24*D27&gt;0,AVERAGE(D$23:D$24,D27),""),"")</f>
        <v/>
      </c>
      <c r="E74" s="291" t="str">
        <f aca="false">IFERROR(IF(E$23*E$24*E27&gt;0,AVERAGE(E$23:E$24,E27),""),"")</f>
        <v/>
      </c>
      <c r="F74" s="291" t="str">
        <f aca="false">IFERROR(IF(F$23*F$24*F27&gt;0,AVERAGE(F$23:F$24,F27),""),"")</f>
        <v/>
      </c>
      <c r="G74" s="291" t="str">
        <f aca="false">IFERROR(IF(G$23*G$24*G27&gt;0,AVERAGE(G$23:G$24,G27),""),"")</f>
        <v/>
      </c>
      <c r="H74" s="291" t="str">
        <f aca="false">IFERROR(IF(H$23*H$24*H27&gt;0,AVERAGE(H$23:H$24,H27),""),"")</f>
        <v/>
      </c>
      <c r="I74" s="291" t="str">
        <f aca="false">IFERROR(IF(I$23*I$24*I27&gt;0,AVERAGE(I$23:I$24,I27),""),"")</f>
        <v/>
      </c>
      <c r="J74" s="291" t="str">
        <f aca="false">IFERROR(IF(J$23*J$24*J27&gt;0,AVERAGE(J$23:J$24,J27),""),"")</f>
        <v/>
      </c>
      <c r="K74" s="291" t="str">
        <f aca="false">IFERROR(IF(K$23*K$24*K27&gt;0,AVERAGE(K$23:K$24,K27),""),"")</f>
        <v/>
      </c>
      <c r="L74" s="291" t="str">
        <f aca="false">IFERROR(IF(L$23*L$24*L27&gt;0,AVERAGE(L$23:L$24,L27),""),"")</f>
        <v/>
      </c>
      <c r="M74" s="291" t="str">
        <f aca="false">IFERROR(IF(M$23*M$24*M27&gt;0,AVERAGE(M$23:M$24,M27),""),"")</f>
        <v/>
      </c>
      <c r="N74" s="291" t="str">
        <f aca="false">IFERROR(IF(N$23*N$24*N27&gt;0,AVERAGE(N$23:N$24,N27),""),"")</f>
        <v/>
      </c>
      <c r="O74" s="295"/>
      <c r="P74" s="282"/>
      <c r="Q74" s="296"/>
      <c r="R74" s="293" t="s">
        <v>376</v>
      </c>
      <c r="S74" s="294" t="str">
        <f aca="false">IFERROR(IF(C$23*C$24*C27&gt;0,STDEV(C$23:C$24,C27),"")/IF(C$23*C$24*C27&gt;0,AVERAGE(C$23:C$24,C27),""),"")</f>
        <v/>
      </c>
      <c r="T74" s="294" t="str">
        <f aca="false">IFERROR(IF(D$23*D$24*D27&gt;0,STDEV(D$23:D$24,D27),"")/IF(D$23*D$24*D27&gt;0,AVERAGE(D$23:D$24,D27),""),"")</f>
        <v/>
      </c>
      <c r="U74" s="294" t="str">
        <f aca="false">IFERROR(IF(E$23*E$24*E27&gt;0,STDEV(E$23:E$24,E27),"")/IF(E$23*E$24*E27&gt;0,AVERAGE(E$23:E$24,E27),""),"")</f>
        <v/>
      </c>
      <c r="V74" s="294" t="str">
        <f aca="false">IFERROR(IF(F$23*F$24*F27&gt;0,STDEV(F$23:F$24,F27),"")/IF(F$23*F$24*F27&gt;0,AVERAGE(F$23:F$24,F27),""),"")</f>
        <v/>
      </c>
      <c r="W74" s="294" t="str">
        <f aca="false">IFERROR(IF(G$23*G$24*G27&gt;0,STDEV(G$23:G$24,G27),"")/IF(G$23*G$24*G27&gt;0,AVERAGE(G$23:G$24,G27),""),"")</f>
        <v/>
      </c>
      <c r="X74" s="294" t="str">
        <f aca="false">IFERROR(IF(H$23*H$24*H27&gt;0,STDEV(H$23:H$24,H27),"")/IF(H$23*H$24*H27&gt;0,AVERAGE(H$23:H$24,H27),""),"")</f>
        <v/>
      </c>
      <c r="Y74" s="294" t="str">
        <f aca="false">IFERROR(IF(I$23*I$24*I27&gt;0,STDEV(I$23:I$24,I27),"")/IF(I$23*I$24*I27&gt;0,AVERAGE(I$23:I$24,I27),""),"")</f>
        <v/>
      </c>
      <c r="Z74" s="294" t="str">
        <f aca="false">IFERROR(IF(J$23*J$24*J27&gt;0,STDEV(J$23:J$24,J27),"")/IF(J$23*J$24*J27&gt;0,AVERAGE(J$23:J$24,J27),""),"")</f>
        <v/>
      </c>
      <c r="AA74" s="294" t="str">
        <f aca="false">IFERROR(IF(K$23*K$24*K27&gt;0,STDEV(K$23:K$24,K27),"")/IF(K$23*K$24*K27&gt;0,AVERAGE(K$23:K$24,K27),""),"")</f>
        <v/>
      </c>
      <c r="AB74" s="294" t="str">
        <f aca="false">IFERROR(IF(L$23*L$24*L27&gt;0,STDEV(L$23:L$24,L27),"")/IF(L$23*L$24*L27&gt;0,AVERAGE(L$23:L$24,L27),""),"")</f>
        <v/>
      </c>
      <c r="AC74" s="294" t="str">
        <f aca="false">IFERROR(IF(M$23*M$24*M27&gt;0,STDEV(M$23:M$24,M27),"")/IF(M$23*M$24*M27&gt;0,AVERAGE(M$23:M$24,M27),""),"")</f>
        <v/>
      </c>
      <c r="AD74" s="294" t="str">
        <f aca="false">IFERROR(IF(N$23*N$24*N27&gt;0,STDEV(N$23:N$24,N27),"")/IF(N$23*N$24*N27&gt;0,AVERAGE(N$23:N$24,N27),""),"")</f>
        <v/>
      </c>
      <c r="AE74" s="120"/>
      <c r="AF74" s="266" t="s">
        <v>377</v>
      </c>
      <c r="AG74" s="287" t="str">
        <f aca="false">IFERROR(IF(C$23*C$24*C27&gt;0,STDEV(C$23:C$24,C27)," ")/IF(C$23*C$24*C27&gt;0,SQRT(COUNT(C$23:C$24,C27))," "),"")</f>
        <v/>
      </c>
      <c r="AH74" s="287" t="str">
        <f aca="false">IFERROR(IF(D$23*D$24*D27&gt;0,STDEV(D$23:D$24,D27)," ")/IF(D$23*D$24*D27&gt;0,SQRT(COUNT(D$23:D$24,D27))," "),"")</f>
        <v/>
      </c>
      <c r="AI74" s="287" t="str">
        <f aca="false">IFERROR(IF(E$23*E$24*E27&gt;0,STDEV(E$23:E$24,E27)," ")/IF(E$23*E$24*E27&gt;0,SQRT(COUNT(E$23:E$24,E27))," "),"")</f>
        <v/>
      </c>
      <c r="AJ74" s="287" t="str">
        <f aca="false">IFERROR(IF(F$23*F$24*F27&gt;0,STDEV(F$23:F$24,F27)," ")/IF(F$23*F$24*F27&gt;0,SQRT(COUNT(F$23:F$24,F27))," "),"")</f>
        <v/>
      </c>
      <c r="AK74" s="287" t="str">
        <f aca="false">IFERROR(IF(G$23*G$24*G27&gt;0,STDEV(G$23:G$24,G27)," ")/IF(G$23*G$24*G27&gt;0,SQRT(COUNT(G$23:G$24,G27))," "),"")</f>
        <v/>
      </c>
      <c r="AL74" s="287" t="str">
        <f aca="false">IFERROR(IF(H$23*H$24*H27&gt;0,STDEV(H$23:H$24,H27)," ")/IF(H$23*H$24*H27&gt;0,SQRT(COUNT(H$23:H$24,H27))," "),"")</f>
        <v/>
      </c>
      <c r="AM74" s="287" t="str">
        <f aca="false">IFERROR(IF(I$23*I$24*I27&gt;0,STDEV(I$23:I$24,I27)," ")/IF(I$23*I$24*I27&gt;0,SQRT(COUNT(I$23:I$24,I27))," "),"")</f>
        <v/>
      </c>
      <c r="AN74" s="287" t="str">
        <f aca="false">IFERROR(IF(J$23*J$24*J27&gt;0,STDEV(J$23:J$24,J27)," ")/IF(J$23*J$24*J27&gt;0,SQRT(COUNT(J$23:J$24,J27))," "),"")</f>
        <v/>
      </c>
      <c r="AO74" s="287" t="str">
        <f aca="false">IFERROR(IF(K$23*K$24*K27&gt;0,STDEV(K$23:K$24,K27)," ")/IF(K$23*K$24*K27&gt;0,SQRT(COUNT(K$23:K$24,K27))," "),"")</f>
        <v/>
      </c>
      <c r="AP74" s="287" t="str">
        <f aca="false">IFERROR(IF(L$23*L$24*L27&gt;0,STDEV(L$23:L$24,L27)," ")/IF(L$23*L$24*L27&gt;0,SQRT(COUNT(L$23:L$24,L27))," "),"")</f>
        <v/>
      </c>
      <c r="AQ74" s="287" t="str">
        <f aca="false">IFERROR(IF(M$23*M$24*M27&gt;0,STDEV(M$23:M$24,M27)," ")/IF(M$23*M$24*M27&gt;0,SQRT(COUNT(M$23:M$24,M27))," "),"")</f>
        <v/>
      </c>
      <c r="AR74" s="287" t="str">
        <f aca="false">IFERROR(IF(N$23*N$24*N27&gt;0,STDEV(N$23:N$24,N27)," ")/IF(N$23*N$24*N27&gt;0,SQRT(COUNT(N$23:N$24,N27))," "),"")</f>
        <v/>
      </c>
    </row>
    <row r="75" customFormat="false" ht="15.75" hidden="false" customHeight="false" outlineLevel="0" collapsed="false">
      <c r="A75" s="290" t="s">
        <v>261</v>
      </c>
      <c r="B75" s="281"/>
      <c r="C75" s="291" t="str">
        <f aca="false">IFERROR(IF(C$24*C$25*C21&gt;0,AVERAGE(C$24:C$25,C21),""),"")</f>
        <v/>
      </c>
      <c r="D75" s="291" t="str">
        <f aca="false">IFERROR(IF(D$24*D$25*D21&gt;0,AVERAGE(D$24:D$25,D21),""),"")</f>
        <v/>
      </c>
      <c r="E75" s="291" t="str">
        <f aca="false">IFERROR(IF(E$24*E$25*E21&gt;0,AVERAGE(E$24:E$25,E21),""),"")</f>
        <v/>
      </c>
      <c r="F75" s="291" t="str">
        <f aca="false">IFERROR(IF(F$24*F$25*F21&gt;0,AVERAGE(F$24:F$25,F21),""),"")</f>
        <v/>
      </c>
      <c r="G75" s="291" t="str">
        <f aca="false">IFERROR(IF(G$24*G$25*G21&gt;0,AVERAGE(G$24:G$25,G21),""),"")</f>
        <v/>
      </c>
      <c r="H75" s="291" t="str">
        <f aca="false">IFERROR(IF(H$24*H$25*H21&gt;0,AVERAGE(H$24:H$25,H21),""),"")</f>
        <v/>
      </c>
      <c r="I75" s="291" t="str">
        <f aca="false">IFERROR(IF(I$24*I$25*I21&gt;0,AVERAGE(I$24:I$25,I21),""),"")</f>
        <v/>
      </c>
      <c r="J75" s="291" t="str">
        <f aca="false">IFERROR(IF(J$24*J$25*J21&gt;0,AVERAGE(J$24:J$25,J21),""),"")</f>
        <v/>
      </c>
      <c r="K75" s="291" t="str">
        <f aca="false">IFERROR(IF(K$24*K$25*K21&gt;0,AVERAGE(K$24:K$25,K21),""),"")</f>
        <v/>
      </c>
      <c r="L75" s="291" t="str">
        <f aca="false">IFERROR(IF(L$24*L$25*L21&gt;0,AVERAGE(L$24:L$25,L21),""),"")</f>
        <v/>
      </c>
      <c r="M75" s="291" t="str">
        <f aca="false">IFERROR(IF(M$24*M$25*M21&gt;0,AVERAGE(M$24:M$25,M21),""),"")</f>
        <v/>
      </c>
      <c r="N75" s="291" t="str">
        <f aca="false">IFERROR(IF(N$24*N$25*N21&gt;0,AVERAGE(N$24:N$25,N21),""),"")</f>
        <v/>
      </c>
      <c r="O75" s="295"/>
      <c r="P75" s="282"/>
      <c r="Q75" s="296"/>
      <c r="R75" s="293" t="s">
        <v>378</v>
      </c>
      <c r="S75" s="294" t="str">
        <f aca="false">IFERROR(IF(C$24*C$25*C21&gt;0,STDEV(C$24:C$25,C21),"")/IF(C$24*C$25*C21&gt;0,AVERAGE(C$24:C$25,C21),""),"")</f>
        <v/>
      </c>
      <c r="T75" s="294" t="str">
        <f aca="false">IFERROR(IF(D$24*D$25*D21&gt;0,STDEV(D$24:D$25,D21),"")/IF(D$24*D$25*D21&gt;0,AVERAGE(D$24:D$25,D21),""),"")</f>
        <v/>
      </c>
      <c r="U75" s="294" t="str">
        <f aca="false">IFERROR(IF(E$24*E$25*E21&gt;0,STDEV(E$24:E$25,E21),"")/IF(E$24*E$25*E21&gt;0,AVERAGE(E$24:E$25,E21),""),"")</f>
        <v/>
      </c>
      <c r="V75" s="294" t="str">
        <f aca="false">IFERROR(IF(F$24*F$25*F21&gt;0,STDEV(F$24:F$25,F21),"")/IF(F$24*F$25*F21&gt;0,AVERAGE(F$24:F$25,F21),""),"")</f>
        <v/>
      </c>
      <c r="W75" s="294" t="str">
        <f aca="false">IFERROR(IF(G$24*G$25*G21&gt;0,STDEV(G$24:G$25,G21),"")/IF(G$24*G$25*G21&gt;0,AVERAGE(G$24:G$25,G21),""),"")</f>
        <v/>
      </c>
      <c r="X75" s="294" t="str">
        <f aca="false">IFERROR(IF(H$24*H$25*H21&gt;0,STDEV(H$24:H$25,H21),"")/IF(H$24*H$25*H21&gt;0,AVERAGE(H$24:H$25,H21),""),"")</f>
        <v/>
      </c>
      <c r="Y75" s="294" t="str">
        <f aca="false">IFERROR(IF(I$24*I$25*I21&gt;0,STDEV(I$24:I$25,I21),"")/IF(I$24*I$25*I21&gt;0,AVERAGE(I$24:I$25,I21),""),"")</f>
        <v/>
      </c>
      <c r="Z75" s="294" t="str">
        <f aca="false">IFERROR(IF(J$24*J$25*J21&gt;0,STDEV(J$24:J$25,J21),"")/IF(J$24*J$25*J21&gt;0,AVERAGE(J$24:J$25,J21),""),"")</f>
        <v/>
      </c>
      <c r="AA75" s="294" t="str">
        <f aca="false">IFERROR(IF(K$24*K$25*K21&gt;0,STDEV(K$24:K$25,K21),"")/IF(K$24*K$25*K21&gt;0,AVERAGE(K$24:K$25,K21),""),"")</f>
        <v/>
      </c>
      <c r="AB75" s="294" t="str">
        <f aca="false">IFERROR(IF(L$24*L$25*L21&gt;0,STDEV(L$24:L$25,L21),"")/IF(L$24*L$25*L21&gt;0,AVERAGE(L$24:L$25,L21),""),"")</f>
        <v/>
      </c>
      <c r="AC75" s="294" t="str">
        <f aca="false">IFERROR(IF(M$24*M$25*M21&gt;0,STDEV(M$24:M$25,M21),"")/IF(M$24*M$25*M21&gt;0,AVERAGE(M$24:M$25,M21),""),"")</f>
        <v/>
      </c>
      <c r="AD75" s="294" t="str">
        <f aca="false">IFERROR(IF(N$24*N$25*N21&gt;0,STDEV(N$24:N$25,N21),"")/IF(N$24*N$25*N21&gt;0,AVERAGE(N$24:N$25,N21),""),"")</f>
        <v/>
      </c>
      <c r="AE75" s="120"/>
      <c r="AF75" s="266" t="s">
        <v>379</v>
      </c>
      <c r="AG75" s="287" t="str">
        <f aca="false">IFERROR(IF(C$24*C$25*C21&gt;0,STDEV(C$24:C$25,C21)," ")/IF(C$24*C$25*C21&gt;0,SQRT(COUNT(C$24:C$25,C21))," "),"")</f>
        <v/>
      </c>
      <c r="AH75" s="287" t="str">
        <f aca="false">IFERROR(IF(D$24*D$25*D21&gt;0,STDEV(D$24:D$25,D21)," ")/IF(D$24*D$25*D21&gt;0,SQRT(COUNT(D$24:D$25,D21))," "),"")</f>
        <v/>
      </c>
      <c r="AI75" s="287" t="str">
        <f aca="false">IFERROR(IF(E$24*E$25*E21&gt;0,STDEV(E$24:E$25,E21)," ")/IF(E$24*E$25*E21&gt;0,SQRT(COUNT(E$24:E$25,E21))," "),"")</f>
        <v/>
      </c>
      <c r="AJ75" s="287" t="str">
        <f aca="false">IFERROR(IF(F$24*F$25*F21&gt;0,STDEV(F$24:F$25,F21)," ")/IF(F$24*F$25*F21&gt;0,SQRT(COUNT(F$24:F$25,F21))," "),"")</f>
        <v/>
      </c>
      <c r="AK75" s="287" t="str">
        <f aca="false">IFERROR(IF(G$24*G$25*G21&gt;0,STDEV(G$24:G$25,G21)," ")/IF(G$24*G$25*G21&gt;0,SQRT(COUNT(G$24:G$25,G21))," "),"")</f>
        <v/>
      </c>
      <c r="AL75" s="287" t="str">
        <f aca="false">IFERROR(IF(H$24*H$25*H21&gt;0,STDEV(H$24:H$25,H21)," ")/IF(H$24*H$25*H21&gt;0,SQRT(COUNT(H$24:H$25,H21))," "),"")</f>
        <v/>
      </c>
      <c r="AM75" s="287" t="str">
        <f aca="false">IFERROR(IF(I$24*I$25*I21&gt;0,STDEV(I$24:I$25,I21)," ")/IF(I$24*I$25*I21&gt;0,SQRT(COUNT(I$24:I$25,I21))," "),"")</f>
        <v/>
      </c>
      <c r="AN75" s="287" t="str">
        <f aca="false">IFERROR(IF(J$24*J$25*J21&gt;0,STDEV(J$24:J$25,J21)," ")/IF(J$24*J$25*J21&gt;0,SQRT(COUNT(J$24:J$25,J21))," "),"")</f>
        <v/>
      </c>
      <c r="AO75" s="287" t="str">
        <f aca="false">IFERROR(IF(K$24*K$25*K21&gt;0,STDEV(K$24:K$25,K21)," ")/IF(K$24*K$25*K21&gt;0,SQRT(COUNT(K$24:K$25,K21))," "),"")</f>
        <v/>
      </c>
      <c r="AP75" s="287" t="str">
        <f aca="false">IFERROR(IF(L$24*L$25*L21&gt;0,STDEV(L$24:L$25,L21)," ")/IF(L$24*L$25*L21&gt;0,SQRT(COUNT(L$24:L$25,L21))," "),"")</f>
        <v/>
      </c>
      <c r="AQ75" s="287" t="str">
        <f aca="false">IFERROR(IF(M$24*M$25*M21&gt;0,STDEV(M$24:M$25,M21)," ")/IF(M$24*M$25*M21&gt;0,SQRT(COUNT(M$24:M$25,M21))," "),"")</f>
        <v/>
      </c>
      <c r="AR75" s="287" t="str">
        <f aca="false">IFERROR(IF(N$24*N$25*N21&gt;0,STDEV(N$24:N$25,N21)," ")/IF(N$24*N$25*N21&gt;0,SQRT(COUNT(N$24:N$25,N21))," "),"")</f>
        <v/>
      </c>
    </row>
    <row r="76" customFormat="false" ht="15.75" hidden="false" customHeight="false" outlineLevel="0" collapsed="false">
      <c r="A76" s="290" t="s">
        <v>380</v>
      </c>
      <c r="B76" s="281"/>
      <c r="C76" s="291" t="str">
        <f aca="false">IFERROR(IF(C$24*C$25*C22&gt;0,AVERAGE(C$24:C$25,C22),""),"")</f>
        <v/>
      </c>
      <c r="D76" s="291" t="str">
        <f aca="false">IFERROR(IF(D$24*D$25*D22&gt;0,AVERAGE(D$24:D$25,D22),""),"")</f>
        <v/>
      </c>
      <c r="E76" s="291" t="str">
        <f aca="false">IFERROR(IF(E$24*E$25*E22&gt;0,AVERAGE(E$24:E$25,E22),""),"")</f>
        <v/>
      </c>
      <c r="F76" s="291" t="str">
        <f aca="false">IFERROR(IF(F$24*F$25*F22&gt;0,AVERAGE(F$24:F$25,F22),""),"")</f>
        <v/>
      </c>
      <c r="G76" s="291" t="str">
        <f aca="false">IFERROR(IF(G$24*G$25*G22&gt;0,AVERAGE(G$24:G$25,G22),""),"")</f>
        <v/>
      </c>
      <c r="H76" s="291" t="str">
        <f aca="false">IFERROR(IF(H$24*H$25*H22&gt;0,AVERAGE(H$24:H$25,H22),""),"")</f>
        <v/>
      </c>
      <c r="I76" s="291" t="str">
        <f aca="false">IFERROR(IF(I$24*I$25*I22&gt;0,AVERAGE(I$24:I$25,I22),""),"")</f>
        <v/>
      </c>
      <c r="J76" s="291" t="str">
        <f aca="false">IFERROR(IF(J$24*J$25*J22&gt;0,AVERAGE(J$24:J$25,J22),""),"")</f>
        <v/>
      </c>
      <c r="K76" s="291" t="str">
        <f aca="false">IFERROR(IF(K$24*K$25*K22&gt;0,AVERAGE(K$24:K$25,K22),""),"")</f>
        <v/>
      </c>
      <c r="L76" s="291" t="str">
        <f aca="false">IFERROR(IF(L$24*L$25*L22&gt;0,AVERAGE(L$24:L$25,L22),""),"")</f>
        <v/>
      </c>
      <c r="M76" s="291" t="str">
        <f aca="false">IFERROR(IF(M$24*M$25*M22&gt;0,AVERAGE(M$24:M$25,M22),""),"")</f>
        <v/>
      </c>
      <c r="N76" s="291" t="str">
        <f aca="false">IFERROR(IF(N$24*N$25*N22&gt;0,AVERAGE(N$24:N$25,N22),""),"")</f>
        <v/>
      </c>
      <c r="O76" s="122"/>
      <c r="P76" s="58"/>
      <c r="Q76" s="301"/>
      <c r="R76" s="293" t="s">
        <v>381</v>
      </c>
      <c r="S76" s="294" t="str">
        <f aca="false">IFERROR(IF(C$24*C$25*C22&gt;0,STDEV(C$24:C$25,C22),"")/IF(C$24*C$25*C22&gt;0,AVERAGE(C$24:C$25,C22),""),"")</f>
        <v/>
      </c>
      <c r="T76" s="294" t="str">
        <f aca="false">IFERROR(IF(D$24*D$25*D22&gt;0,STDEV(D$24:D$25,D22),"")/IF(D$24*D$25*D22&gt;0,AVERAGE(D$24:D$25,D22),""),"")</f>
        <v/>
      </c>
      <c r="U76" s="294" t="str">
        <f aca="false">IFERROR(IF(E$24*E$25*E22&gt;0,STDEV(E$24:E$25,E22),"")/IF(E$24*E$25*E22&gt;0,AVERAGE(E$24:E$25,E22),""),"")</f>
        <v/>
      </c>
      <c r="V76" s="294" t="str">
        <f aca="false">IFERROR(IF(F$24*F$25*F22&gt;0,STDEV(F$24:F$25,F22),"")/IF(F$24*F$25*F22&gt;0,AVERAGE(F$24:F$25,F22),""),"")</f>
        <v/>
      </c>
      <c r="W76" s="294" t="str">
        <f aca="false">IFERROR(IF(G$24*G$25*G22&gt;0,STDEV(G$24:G$25,G22),"")/IF(G$24*G$25*G22&gt;0,AVERAGE(G$24:G$25,G22),""),"")</f>
        <v/>
      </c>
      <c r="X76" s="294" t="str">
        <f aca="false">IFERROR(IF(H$24*H$25*H22&gt;0,STDEV(H$24:H$25,H22),"")/IF(H$24*H$25*H22&gt;0,AVERAGE(H$24:H$25,H22),""),"")</f>
        <v/>
      </c>
      <c r="Y76" s="294" t="str">
        <f aca="false">IFERROR(IF(I$24*I$25*I22&gt;0,STDEV(I$24:I$25,I22),"")/IF(I$24*I$25*I22&gt;0,AVERAGE(I$24:I$25,I22),""),"")</f>
        <v/>
      </c>
      <c r="Z76" s="294" t="str">
        <f aca="false">IFERROR(IF(J$24*J$25*J22&gt;0,STDEV(J$24:J$25,J22),"")/IF(J$24*J$25*J22&gt;0,AVERAGE(J$24:J$25,J22),""),"")</f>
        <v/>
      </c>
      <c r="AA76" s="294" t="str">
        <f aca="false">IFERROR(IF(K$24*K$25*K22&gt;0,STDEV(K$24:K$25,K22),"")/IF(K$24*K$25*K22&gt;0,AVERAGE(K$24:K$25,K22),""),"")</f>
        <v/>
      </c>
      <c r="AB76" s="294" t="str">
        <f aca="false">IFERROR(IF(L$24*L$25*L22&gt;0,STDEV(L$24:L$25,L22),"")/IF(L$24*L$25*L22&gt;0,AVERAGE(L$24:L$25,L22),""),"")</f>
        <v/>
      </c>
      <c r="AC76" s="294" t="str">
        <f aca="false">IFERROR(IF(M$24*M$25*M22&gt;0,STDEV(M$24:M$25,M22),"")/IF(M$24*M$25*M22&gt;0,AVERAGE(M$24:M$25,M22),""),"")</f>
        <v/>
      </c>
      <c r="AD76" s="294" t="str">
        <f aca="false">IFERROR(IF(N$24*N$25*N22&gt;0,STDEV(N$24:N$25,N22),"")/IF(N$24*N$25*N22&gt;0,AVERAGE(N$24:N$25,N22),""),"")</f>
        <v/>
      </c>
      <c r="AE76" s="122"/>
      <c r="AF76" s="266" t="s">
        <v>382</v>
      </c>
      <c r="AG76" s="298" t="str">
        <f aca="false">IFERROR(IF(C$24*C$25*C22&gt;0,STDEV(C$24:C$25,C22)," ")/IF(C$24*C$25*C22&gt;0,SQRT(COUNT(C$24:C$25,C22)),""),"")</f>
        <v/>
      </c>
      <c r="AH76" s="298" t="str">
        <f aca="false">IFERROR(IF(D$24*D$25*D22&gt;0,STDEV(D$24:D$25,D22)," ")/IF(D$24*D$25*D22&gt;0,SQRT(COUNT(D$24:D$25,D22)),""),"")</f>
        <v/>
      </c>
      <c r="AI76" s="298" t="str">
        <f aca="false">IFERROR(IF(E$24*E$25*E22&gt;0,STDEV(E$24:E$25,E22)," ")/IF(E$24*E$25*E22&gt;0,SQRT(COUNT(E$24:E$25,E22)),""),"")</f>
        <v/>
      </c>
      <c r="AJ76" s="298" t="str">
        <f aca="false">IFERROR(IF(F$24*F$25*F22&gt;0,STDEV(F$24:F$25,F22)," ")/IF(F$24*F$25*F22&gt;0,SQRT(COUNT(F$24:F$25,F22)),""),"")</f>
        <v/>
      </c>
      <c r="AK76" s="298" t="str">
        <f aca="false">IFERROR(IF(G$24*G$25*G22&gt;0,STDEV(G$24:G$25,G22)," ")/IF(G$24*G$25*G22&gt;0,SQRT(COUNT(G$24:G$25,G22)),""),"")</f>
        <v/>
      </c>
      <c r="AL76" s="298" t="str">
        <f aca="false">IFERROR(IF(H$24*H$25*H22&gt;0,STDEV(H$24:H$25,H22)," ")/IF(H$24*H$25*H22&gt;0,SQRT(COUNT(H$24:H$25,H22)),""),"")</f>
        <v/>
      </c>
      <c r="AM76" s="298" t="str">
        <f aca="false">IFERROR(IF(I$24*I$25*I22&gt;0,STDEV(I$24:I$25,I22)," ")/IF(I$24*I$25*I22&gt;0,SQRT(COUNT(I$24:I$25,I22)),""),"")</f>
        <v/>
      </c>
      <c r="AN76" s="298" t="str">
        <f aca="false">IFERROR(IF(J$24*J$25*J22&gt;0,STDEV(J$24:J$25,J22)," ")/IF(J$24*J$25*J22&gt;0,SQRT(COUNT(J$24:J$25,J22)),""),"")</f>
        <v/>
      </c>
      <c r="AO76" s="298" t="str">
        <f aca="false">IFERROR(IF(K$24*K$25*K22&gt;0,STDEV(K$24:K$25,K22)," ")/IF(K$24*K$25*K22&gt;0,SQRT(COUNT(K$24:K$25,K22)),""),"")</f>
        <v/>
      </c>
      <c r="AP76" s="298" t="str">
        <f aca="false">IFERROR(IF(L$24*L$25*L22&gt;0,STDEV(L$24:L$25,L22)," ")/IF(L$24*L$25*L22&gt;0,SQRT(COUNT(L$24:L$25,L22)),""),"")</f>
        <v/>
      </c>
      <c r="AQ76" s="298" t="str">
        <f aca="false">IFERROR(IF(M$24*M$25*M22&gt;0,STDEV(M$24:M$25,M22)," ")/IF(M$24*M$25*M22&gt;0,SQRT(COUNT(M$24:M$25,M22)),""),"")</f>
        <v/>
      </c>
      <c r="AR76" s="298" t="str">
        <f aca="false">IFERROR(IF(N$24*N$25*N22&gt;0,STDEV(N$24:N$25,N22)," ")/IF(N$24*N$25*N22&gt;0,SQRT(COUNT(N$24:N$25,N22)),""),"")</f>
        <v/>
      </c>
    </row>
    <row r="77" customFormat="false" ht="15.75" hidden="false" customHeight="false" outlineLevel="0" collapsed="false">
      <c r="A77" s="290" t="s">
        <v>383</v>
      </c>
      <c r="B77" s="281"/>
      <c r="C77" s="291" t="str">
        <f aca="false">IFERROR(IF(C$24*C$25*C26&gt;0,AVERAGE(C$24:C$25,C26),""),"")</f>
        <v/>
      </c>
      <c r="D77" s="291" t="str">
        <f aca="false">IFERROR(IF(D$24*D$25*D26&gt;0,AVERAGE(D$24:D$25,D26),""),"")</f>
        <v/>
      </c>
      <c r="E77" s="291" t="str">
        <f aca="false">IFERROR(IF(E$24*E$25*E26&gt;0,AVERAGE(E$24:E$25,E26),""),"")</f>
        <v/>
      </c>
      <c r="F77" s="291" t="str">
        <f aca="false">IFERROR(IF(F$24*F$25*F26&gt;0,AVERAGE(F$24:F$25,F26),""),"")</f>
        <v/>
      </c>
      <c r="G77" s="291" t="str">
        <f aca="false">IFERROR(IF(G$24*G$25*G26&gt;0,AVERAGE(G$24:G$25,G26),""),"")</f>
        <v/>
      </c>
      <c r="H77" s="291" t="str">
        <f aca="false">IFERROR(IF(H$24*H$25*H26&gt;0,AVERAGE(H$24:H$25,H26),""),"")</f>
        <v/>
      </c>
      <c r="I77" s="291" t="str">
        <f aca="false">IFERROR(IF(I$24*I$25*I26&gt;0,AVERAGE(I$24:I$25,I26),""),"")</f>
        <v/>
      </c>
      <c r="J77" s="291" t="str">
        <f aca="false">IFERROR(IF(J$24*J$25*J26&gt;0,AVERAGE(J$24:J$25,J26),""),"")</f>
        <v/>
      </c>
      <c r="K77" s="291" t="str">
        <f aca="false">IFERROR(IF(K$24*K$25*K26&gt;0,AVERAGE(K$24:K$25,K26),""),"")</f>
        <v/>
      </c>
      <c r="L77" s="291" t="str">
        <f aca="false">IFERROR(IF(L$24*L$25*L26&gt;0,AVERAGE(L$24:L$25,L26),""),"")</f>
        <v/>
      </c>
      <c r="M77" s="291" t="str">
        <f aca="false">IFERROR(IF(M$24*M$25*M26&gt;0,AVERAGE(M$24:M$25,M26),""),"")</f>
        <v/>
      </c>
      <c r="N77" s="291" t="str">
        <f aca="false">IFERROR(IF(N$24*N$25*N26&gt;0,AVERAGE(N$24:N$25,N26),""),"")</f>
        <v/>
      </c>
      <c r="O77" s="282"/>
      <c r="P77" s="282"/>
      <c r="Q77" s="296"/>
      <c r="R77" s="293" t="s">
        <v>384</v>
      </c>
      <c r="S77" s="294" t="str">
        <f aca="false">IFERROR(IF(C$24*C$25*C26&gt;0,STDEV(C$24:C$25,C26),"")/IF(C$24*C$25*C26&gt;0,AVERAGE(C$24:C$25,C26),""),"")</f>
        <v/>
      </c>
      <c r="T77" s="294" t="str">
        <f aca="false">IFERROR(IF(D$24*D$25*D26&gt;0,STDEV(D$24:D$25,D26),"")/IF(D$24*D$25*D26&gt;0,AVERAGE(D$24:D$25,D26),""),"")</f>
        <v/>
      </c>
      <c r="U77" s="294" t="str">
        <f aca="false">IFERROR(IF(E$24*E$25*E26&gt;0,STDEV(E$24:E$25,E26),"")/IF(E$24*E$25*E26&gt;0,AVERAGE(E$24:E$25,E26),""),"")</f>
        <v/>
      </c>
      <c r="V77" s="294" t="str">
        <f aca="false">IFERROR(IF(F$24*F$25*F26&gt;0,STDEV(F$24:F$25,F26),"")/IF(F$24*F$25*F26&gt;0,AVERAGE(F$24:F$25,F26),""),"")</f>
        <v/>
      </c>
      <c r="W77" s="294" t="str">
        <f aca="false">IFERROR(IF(G$24*G$25*G26&gt;0,STDEV(G$24:G$25,G26),"")/IF(G$24*G$25*G26&gt;0,AVERAGE(G$24:G$25,G26),""),"")</f>
        <v/>
      </c>
      <c r="X77" s="294" t="str">
        <f aca="false">IFERROR(IF(H$24*H$25*H26&gt;0,STDEV(H$24:H$25,H26),"")/IF(H$24*H$25*H26&gt;0,AVERAGE(H$24:H$25,H26),""),"")</f>
        <v/>
      </c>
      <c r="Y77" s="294" t="str">
        <f aca="false">IFERROR(IF(I$24*I$25*I26&gt;0,STDEV(I$24:I$25,I26),"")/IF(I$24*I$25*I26&gt;0,AVERAGE(I$24:I$25,I26),""),"")</f>
        <v/>
      </c>
      <c r="Z77" s="294" t="str">
        <f aca="false">IFERROR(IF(J$24*J$25*J26&gt;0,STDEV(J$24:J$25,J26),"")/IF(J$24*J$25*J26&gt;0,AVERAGE(J$24:J$25,J26),""),"")</f>
        <v/>
      </c>
      <c r="AA77" s="294" t="str">
        <f aca="false">IFERROR(IF(K$24*K$25*K26&gt;0,STDEV(K$24:K$25,K26),"")/IF(K$24*K$25*K26&gt;0,AVERAGE(K$24:K$25,K26),""),"")</f>
        <v/>
      </c>
      <c r="AB77" s="294" t="str">
        <f aca="false">IFERROR(IF(L$24*L$25*L26&gt;0,STDEV(L$24:L$25,L26),"")/IF(L$24*L$25*L26&gt;0,AVERAGE(L$24:L$25,L26),""),"")</f>
        <v/>
      </c>
      <c r="AC77" s="294" t="str">
        <f aca="false">IFERROR(IF(M$24*M$25*M26&gt;0,STDEV(M$24:M$25,M26),"")/IF(M$24*M$25*M26&gt;0,AVERAGE(M$24:M$25,M26),""),"")</f>
        <v/>
      </c>
      <c r="AD77" s="294" t="str">
        <f aca="false">IFERROR(IF(N$24*N$25*N26&gt;0,STDEV(N$24:N$25,N26),"")/IF(N$24*N$25*N26&gt;0,AVERAGE(N$24:N$25,N26),""),"")</f>
        <v/>
      </c>
      <c r="AE77" s="44"/>
      <c r="AF77" s="266" t="s">
        <v>385</v>
      </c>
      <c r="AG77" s="287" t="str">
        <f aca="false">IFERROR(IF(C$24*C$25*C26&gt;0,STDEV(C$24:C$25,C26)," ")/IF(C$24*C$25*C26&gt;0,SQRT(COUNT(C$24:C$25,C26))," "),"")</f>
        <v/>
      </c>
      <c r="AH77" s="287" t="str">
        <f aca="false">IFERROR(IF(D$24*D$25*D26&gt;0,STDEV(D$24:D$25,D26)," ")/IF(D$24*D$25*D26&gt;0,SQRT(COUNT(D$24:D$25,D26))," "),"")</f>
        <v/>
      </c>
      <c r="AI77" s="287" t="str">
        <f aca="false">IFERROR(IF(E$24*E$25*E26&gt;0,STDEV(E$24:E$25,E26)," ")/IF(E$24*E$25*E26&gt;0,SQRT(COUNT(E$24:E$25,E26))," "),"")</f>
        <v/>
      </c>
      <c r="AJ77" s="287" t="str">
        <f aca="false">IFERROR(IF(F$24*F$25*F26&gt;0,STDEV(F$24:F$25,F26)," ")/IF(F$24*F$25*F26&gt;0,SQRT(COUNT(F$24:F$25,F26))," "),"")</f>
        <v/>
      </c>
      <c r="AK77" s="287" t="str">
        <f aca="false">IFERROR(IF(G$24*G$25*G26&gt;0,STDEV(G$24:G$25,G26)," ")/IF(G$24*G$25*G26&gt;0,SQRT(COUNT(G$24:G$25,G26))," "),"")</f>
        <v/>
      </c>
      <c r="AL77" s="287" t="str">
        <f aca="false">IFERROR(IF(H$24*H$25*H26&gt;0,STDEV(H$24:H$25,H26)," ")/IF(H$24*H$25*H26&gt;0,SQRT(COUNT(H$24:H$25,H26))," "),"")</f>
        <v/>
      </c>
      <c r="AM77" s="287" t="str">
        <f aca="false">IFERROR(IF(I$24*I$25*I26&gt;0,STDEV(I$24:I$25,I26)," ")/IF(I$24*I$25*I26&gt;0,SQRT(COUNT(I$24:I$25,I26))," "),"")</f>
        <v/>
      </c>
      <c r="AN77" s="287" t="str">
        <f aca="false">IFERROR(IF(J$24*J$25*J26&gt;0,STDEV(J$24:J$25,J26)," ")/IF(J$24*J$25*J26&gt;0,SQRT(COUNT(J$24:J$25,J26))," "),"")</f>
        <v/>
      </c>
      <c r="AO77" s="287" t="str">
        <f aca="false">IFERROR(IF(K$24*K$25*K26&gt;0,STDEV(K$24:K$25,K26)," ")/IF(K$24*K$25*K26&gt;0,SQRT(COUNT(K$24:K$25,K26))," "),"")</f>
        <v/>
      </c>
      <c r="AP77" s="287" t="str">
        <f aca="false">IFERROR(IF(L$24*L$25*L26&gt;0,STDEV(L$24:L$25,L26)," ")/IF(L$24*L$25*L26&gt;0,SQRT(COUNT(L$24:L$25,L26))," "),"")</f>
        <v/>
      </c>
      <c r="AQ77" s="287" t="str">
        <f aca="false">IFERROR(IF(M$24*M$25*M26&gt;0,STDEV(M$24:M$25,M26)," ")/IF(M$24*M$25*M26&gt;0,SQRT(COUNT(M$24:M$25,M26))," "),"")</f>
        <v/>
      </c>
      <c r="AR77" s="287" t="str">
        <f aca="false">IFERROR(IF(N$24*N$25*N26&gt;0,STDEV(N$24:N$25,N26)," ")/IF(N$24*N$25*N26&gt;0,SQRT(COUNT(N$24:N$25,N26))," "),"")</f>
        <v/>
      </c>
    </row>
    <row r="78" customFormat="false" ht="15.75" hidden="false" customHeight="false" outlineLevel="0" collapsed="false">
      <c r="A78" s="290" t="s">
        <v>386</v>
      </c>
      <c r="B78" s="281"/>
      <c r="C78" s="291" t="str">
        <f aca="false">IFERROR(IF(C$24*C$25*C27&gt;0,AVERAGE(C$24:C$25,C27),""),"")</f>
        <v/>
      </c>
      <c r="D78" s="291" t="str">
        <f aca="false">IFERROR(IF(D$24*D$25*D27&gt;0,AVERAGE(D$24:D$25,D27),""),"")</f>
        <v/>
      </c>
      <c r="E78" s="291" t="str">
        <f aca="false">IFERROR(IF(E$24*E$25*E27&gt;0,AVERAGE(E$24:E$25,E27),""),"")</f>
        <v/>
      </c>
      <c r="F78" s="291" t="str">
        <f aca="false">IFERROR(IF(F$24*F$25*F27&gt;0,AVERAGE(F$24:F$25,F27),""),"")</f>
        <v/>
      </c>
      <c r="G78" s="291" t="str">
        <f aca="false">IFERROR(IF(G$24*G$25*G27&gt;0,AVERAGE(G$24:G$25,G27),""),"")</f>
        <v/>
      </c>
      <c r="H78" s="291" t="str">
        <f aca="false">IFERROR(IF(H$24*H$25*H27&gt;0,AVERAGE(H$24:H$25,H27),""),"")</f>
        <v/>
      </c>
      <c r="I78" s="291" t="str">
        <f aca="false">IFERROR(IF(I$24*I$25*I27&gt;0,AVERAGE(I$24:I$25,I27),""),"")</f>
        <v/>
      </c>
      <c r="J78" s="291" t="str">
        <f aca="false">IFERROR(IF(J$24*J$25*J27&gt;0,AVERAGE(J$24:J$25,J27),""),"")</f>
        <v/>
      </c>
      <c r="K78" s="291" t="str">
        <f aca="false">IFERROR(IF(K$24*K$25*K27&gt;0,AVERAGE(K$24:K$25,K27),""),"")</f>
        <v/>
      </c>
      <c r="L78" s="291" t="str">
        <f aca="false">IFERROR(IF(L$24*L$25*L27&gt;0,AVERAGE(L$24:L$25,L27),""),"")</f>
        <v/>
      </c>
      <c r="M78" s="291" t="str">
        <f aca="false">IFERROR(IF(M$24*M$25*M27&gt;0,AVERAGE(M$24:M$25,M27),""),"")</f>
        <v/>
      </c>
      <c r="N78" s="291" t="str">
        <f aca="false">IFERROR(IF(N$24*N$25*N27&gt;0,AVERAGE(N$24:N$25,N27),""),"")</f>
        <v/>
      </c>
      <c r="O78" s="282"/>
      <c r="P78" s="282"/>
      <c r="Q78" s="296"/>
      <c r="R78" s="293" t="s">
        <v>387</v>
      </c>
      <c r="S78" s="294" t="str">
        <f aca="false">IFERROR(IF(C$24*C$25*C27&gt;0,STDEV(C$24:C$25,C27),"")/IF(C$24*C$25*C27&gt;0,AVERAGE(C$24:C$25,C27),""),"")</f>
        <v/>
      </c>
      <c r="T78" s="294" t="str">
        <f aca="false">IFERROR(IF(D$24*D$25*D27&gt;0,STDEV(D$24:D$25,D27),"")/IF(D$24*D$25*D27&gt;0,AVERAGE(D$24:D$25,D27),""),"")</f>
        <v/>
      </c>
      <c r="U78" s="294" t="str">
        <f aca="false">IFERROR(IF(E$24*E$25*E27&gt;0,STDEV(E$24:E$25,E27),"")/IF(E$24*E$25*E27&gt;0,AVERAGE(E$24:E$25,E27),""),"")</f>
        <v/>
      </c>
      <c r="V78" s="294" t="str">
        <f aca="false">IFERROR(IF(F$24*F$25*F27&gt;0,STDEV(F$24:F$25,F27),"")/IF(F$24*F$25*F27&gt;0,AVERAGE(F$24:F$25,F27),""),"")</f>
        <v/>
      </c>
      <c r="W78" s="294" t="str">
        <f aca="false">IFERROR(IF(G$24*G$25*G27&gt;0,STDEV(G$24:G$25,G27),"")/IF(G$24*G$25*G27&gt;0,AVERAGE(G$24:G$25,G27),""),"")</f>
        <v/>
      </c>
      <c r="X78" s="294" t="str">
        <f aca="false">IFERROR(IF(H$24*H$25*H27&gt;0,STDEV(H$24:H$25,H27),"")/IF(H$24*H$25*H27&gt;0,AVERAGE(H$24:H$25,H27),""),"")</f>
        <v/>
      </c>
      <c r="Y78" s="294" t="str">
        <f aca="false">IFERROR(IF(I$24*I$25*I27&gt;0,STDEV(I$24:I$25,I27),"")/IF(I$24*I$25*I27&gt;0,AVERAGE(I$24:I$25,I27),""),"")</f>
        <v/>
      </c>
      <c r="Z78" s="294" t="str">
        <f aca="false">IFERROR(IF(J$24*J$25*J27&gt;0,STDEV(J$24:J$25,J27),"")/IF(J$24*J$25*J27&gt;0,AVERAGE(J$24:J$25,J27),""),"")</f>
        <v/>
      </c>
      <c r="AA78" s="294" t="str">
        <f aca="false">IFERROR(IF(K$24*K$25*K27&gt;0,STDEV(K$24:K$25,K27),"")/IF(K$24*K$25*K27&gt;0,AVERAGE(K$24:K$25,K27),""),"")</f>
        <v/>
      </c>
      <c r="AB78" s="294" t="str">
        <f aca="false">IFERROR(IF(L$24*L$25*L27&gt;0,STDEV(L$24:L$25,L27),"")/IF(L$24*L$25*L27&gt;0,AVERAGE(L$24:L$25,L27),""),"")</f>
        <v/>
      </c>
      <c r="AC78" s="294" t="str">
        <f aca="false">IFERROR(IF(M$24*M$25*M27&gt;0,STDEV(M$24:M$25,M27),"")/IF(M$24*M$25*M27&gt;0,AVERAGE(M$24:M$25,M27),""),"")</f>
        <v/>
      </c>
      <c r="AD78" s="294" t="str">
        <f aca="false">IFERROR(IF(N$24*N$25*N27&gt;0,STDEV(N$24:N$25,N27),"")/IF(N$24*N$25*N27&gt;0,AVERAGE(N$24:N$25,N27),""),"")</f>
        <v/>
      </c>
      <c r="AE78" s="44"/>
      <c r="AF78" s="266" t="s">
        <v>388</v>
      </c>
      <c r="AG78" s="287" t="str">
        <f aca="false">IFERROR(IF(C$24*C$25*C27&gt;0,STDEV(C$24:C$25,C27)," ")/IF(C$24*C$25*C27&gt;0,SQRT(COUNT(C$24:C$25,C27))," "),"")</f>
        <v/>
      </c>
      <c r="AH78" s="287" t="str">
        <f aca="false">IFERROR(IF(D$24*D$25*D27&gt;0,STDEV(D$24:D$25,D27)," ")/IF(D$24*D$25*D27&gt;0,SQRT(COUNT(D$24:D$25,D27))," "),"")</f>
        <v/>
      </c>
      <c r="AI78" s="287" t="str">
        <f aca="false">IFERROR(IF(E$24*E$25*E27&gt;0,STDEV(E$24:E$25,E27)," ")/IF(E$24*E$25*E27&gt;0,SQRT(COUNT(E$24:E$25,E27))," "),"")</f>
        <v/>
      </c>
      <c r="AJ78" s="287" t="str">
        <f aca="false">IFERROR(IF(F$24*F$25*F27&gt;0,STDEV(F$24:F$25,F27)," ")/IF(F$24*F$25*F27&gt;0,SQRT(COUNT(F$24:F$25,F27))," "),"")</f>
        <v/>
      </c>
      <c r="AK78" s="287" t="str">
        <f aca="false">IFERROR(IF(G$24*G$25*G27&gt;0,STDEV(G$24:G$25,G27)," ")/IF(G$24*G$25*G27&gt;0,SQRT(COUNT(G$24:G$25,G27))," "),"")</f>
        <v/>
      </c>
      <c r="AL78" s="287" t="str">
        <f aca="false">IFERROR(IF(H$24*H$25*H27&gt;0,STDEV(H$24:H$25,H27)," ")/IF(H$24*H$25*H27&gt;0,SQRT(COUNT(H$24:H$25,H27))," "),"")</f>
        <v/>
      </c>
      <c r="AM78" s="287" t="str">
        <f aca="false">IFERROR(IF(I$24*I$25*I27&gt;0,STDEV(I$24:I$25,I27)," ")/IF(I$24*I$25*I27&gt;0,SQRT(COUNT(I$24:I$25,I27))," "),"")</f>
        <v/>
      </c>
      <c r="AN78" s="287" t="str">
        <f aca="false">IFERROR(IF(J$24*J$25*J27&gt;0,STDEV(J$24:J$25,J27)," ")/IF(J$24*J$25*J27&gt;0,SQRT(COUNT(J$24:J$25,J27))," "),"")</f>
        <v/>
      </c>
      <c r="AO78" s="287" t="str">
        <f aca="false">IFERROR(IF(K$24*K$25*K27&gt;0,STDEV(K$24:K$25,K27)," ")/IF(K$24*K$25*K27&gt;0,SQRT(COUNT(K$24:K$25,K27))," "),"")</f>
        <v/>
      </c>
      <c r="AP78" s="287" t="str">
        <f aca="false">IFERROR(IF(L$24*L$25*L27&gt;0,STDEV(L$24:L$25,L27)," ")/IF(L$24*L$25*L27&gt;0,SQRT(COUNT(L$24:L$25,L27))," "),"")</f>
        <v/>
      </c>
      <c r="AQ78" s="287" t="str">
        <f aca="false">IFERROR(IF(M$24*M$25*M27&gt;0,STDEV(M$24:M$25,M27)," ")/IF(M$24*M$25*M27&gt;0,SQRT(COUNT(M$24:M$25,M27))," "),"")</f>
        <v/>
      </c>
      <c r="AR78" s="287" t="str">
        <f aca="false">IFERROR(IF(N$24*N$25*N27&gt;0,STDEV(N$24:N$25,N27)," ")/IF(N$24*N$25*N27&gt;0,SQRT(COUNT(N$24:N$25,N27))," "),"")</f>
        <v/>
      </c>
    </row>
    <row r="79" customFormat="false" ht="15.75" hidden="false" customHeight="false" outlineLevel="0" collapsed="false">
      <c r="A79" s="290" t="s">
        <v>389</v>
      </c>
      <c r="B79" s="281"/>
      <c r="C79" s="291" t="str">
        <f aca="false">IFERROR(IF(C$25*C$26*C21&gt;0,AVERAGE(C$25:C$26,C21),""),"")</f>
        <v/>
      </c>
      <c r="D79" s="291" t="str">
        <f aca="false">IFERROR(IF(D$25*D$26*D21&gt;0,AVERAGE(D$25:D$26,D21),""),"")</f>
        <v/>
      </c>
      <c r="E79" s="291" t="str">
        <f aca="false">IFERROR(IF(E$25*E$26*E21&gt;0,AVERAGE(E$25:E$26,E21),""),"")</f>
        <v/>
      </c>
      <c r="F79" s="291" t="str">
        <f aca="false">IFERROR(IF(F$25*F$26*F21&gt;0,AVERAGE(F$25:F$26,F21),""),"")</f>
        <v/>
      </c>
      <c r="G79" s="291" t="str">
        <f aca="false">IFERROR(IF(G$25*G$26*G21&gt;0,AVERAGE(G$25:G$26,G21),""),"")</f>
        <v/>
      </c>
      <c r="H79" s="291" t="str">
        <f aca="false">IFERROR(IF(H$25*H$26*H21&gt;0,AVERAGE(H$25:H$26,H21),""),"")</f>
        <v/>
      </c>
      <c r="I79" s="291" t="str">
        <f aca="false">IFERROR(IF(I$25*I$26*I21&gt;0,AVERAGE(I$25:I$26,I21),""),"")</f>
        <v/>
      </c>
      <c r="J79" s="291" t="str">
        <f aca="false">IFERROR(IF(J$25*J$26*J21&gt;0,AVERAGE(J$25:J$26,J21),""),"")</f>
        <v/>
      </c>
      <c r="K79" s="291" t="str">
        <f aca="false">IFERROR(IF(K$25*K$26*K21&gt;0,AVERAGE(K$25:K$26,K21),""),"")</f>
        <v/>
      </c>
      <c r="L79" s="291" t="str">
        <f aca="false">IFERROR(IF(L$25*L$26*L21&gt;0,AVERAGE(L$25:L$26,L21),""),"")</f>
        <v/>
      </c>
      <c r="M79" s="291" t="str">
        <f aca="false">IFERROR(IF(M$25*M$26*M21&gt;0,AVERAGE(M$25:M$26,M21),""),"")</f>
        <v/>
      </c>
      <c r="N79" s="291" t="str">
        <f aca="false">IFERROR(IF(N$25*N$26*N21&gt;0,AVERAGE(N$25:N$26,N21),""),"")</f>
        <v/>
      </c>
      <c r="O79" s="282"/>
      <c r="P79" s="282"/>
      <c r="Q79" s="296"/>
      <c r="R79" s="293" t="s">
        <v>390</v>
      </c>
      <c r="S79" s="294" t="str">
        <f aca="false">IFERROR(IF(C$25*C$26*C21&gt;0,STDEV(C$25:C$26,C21),"")/IF(C$25*C$26*C21&gt;0,AVERAGE(C$25:C$26,C21),""),"")</f>
        <v/>
      </c>
      <c r="T79" s="294" t="str">
        <f aca="false">IFERROR(IF(D$25*D$26*D21&gt;0,STDEV(D$25:D$26,D21),"")/IF(D$25*D$26*D21&gt;0,AVERAGE(D$25:D$26,D21),""),"")</f>
        <v/>
      </c>
      <c r="U79" s="294" t="str">
        <f aca="false">IFERROR(IF(E$25*E$26*E21&gt;0,STDEV(E$25:E$26,E21),"")/IF(E$25*E$26*E21&gt;0,AVERAGE(E$25:E$26,E21),""),"")</f>
        <v/>
      </c>
      <c r="V79" s="294" t="str">
        <f aca="false">IFERROR(IF(F$25*F$26*F21&gt;0,STDEV(F$25:F$26,F21),"")/IF(F$25*F$26*F21&gt;0,AVERAGE(F$25:F$26,F21),""),"")</f>
        <v/>
      </c>
      <c r="W79" s="294" t="str">
        <f aca="false">IFERROR(IF(G$25*G$26*G21&gt;0,STDEV(G$25:G$26,G21),"")/IF(G$25*G$26*G21&gt;0,AVERAGE(G$25:G$26,G21),""),"")</f>
        <v/>
      </c>
      <c r="X79" s="294" t="str">
        <f aca="false">IFERROR(IF(H$25*H$26*H21&gt;0,STDEV(H$25:H$26,H21),"")/IF(H$25*H$26*H21&gt;0,AVERAGE(H$25:H$26,H21),""),"")</f>
        <v/>
      </c>
      <c r="Y79" s="294" t="str">
        <f aca="false">IFERROR(IF(I$25*I$26*I21&gt;0,STDEV(I$25:I$26,I21),"")/IF(I$25*I$26*I21&gt;0,AVERAGE(I$25:I$26,I21),""),"")</f>
        <v/>
      </c>
      <c r="Z79" s="294" t="str">
        <f aca="false">IFERROR(IF(J$25*J$26*J21&gt;0,STDEV(J$25:J$26,J21),"")/IF(J$25*J$26*J21&gt;0,AVERAGE(J$25:J$26,J21),""),"")</f>
        <v/>
      </c>
      <c r="AA79" s="294" t="str">
        <f aca="false">IFERROR(IF(K$25*K$26*K21&gt;0,STDEV(K$25:K$26,K21),"")/IF(K$25*K$26*K21&gt;0,AVERAGE(K$25:K$26,K21),""),"")</f>
        <v/>
      </c>
      <c r="AB79" s="294" t="str">
        <f aca="false">IFERROR(IF(L$25*L$26*L21&gt;0,STDEV(L$25:L$26,L21),"")/IF(L$25*L$26*L21&gt;0,AVERAGE(L$25:L$26,L21),""),"")</f>
        <v/>
      </c>
      <c r="AC79" s="294" t="str">
        <f aca="false">IFERROR(IF(M$25*M$26*M21&gt;0,STDEV(M$25:M$26,M21),"")/IF(M$25*M$26*M21&gt;0,AVERAGE(M$25:M$26,M21),""),"")</f>
        <v/>
      </c>
      <c r="AD79" s="294" t="str">
        <f aca="false">IFERROR(IF(N$25*N$26*N21&gt;0,STDEV(N$25:N$26,N21),"")/IF(N$25*N$26*N21&gt;0,AVERAGE(N$25:N$26,N21),""),"")</f>
        <v/>
      </c>
      <c r="AE79" s="44"/>
      <c r="AF79" s="266" t="s">
        <v>391</v>
      </c>
      <c r="AG79" s="287" t="str">
        <f aca="false">IFERROR(IF(C$25*C$26*C21&gt;0,STDEV(C$25:C$26,C21)," ")/IF(C$25*C$26*C21&gt;0,SQRT(COUNT(C$25:C$26,C21))," "),"")</f>
        <v/>
      </c>
      <c r="AH79" s="287" t="str">
        <f aca="false">IFERROR(IF(D$25*D$26*D21&gt;0,STDEV(D$25:D$26,D21)," ")/IF(D$25*D$26*D21&gt;0,SQRT(COUNT(D$25:D$26,D21))," "),"")</f>
        <v/>
      </c>
      <c r="AI79" s="287" t="str">
        <f aca="false">IFERROR(IF(E$25*E$26*E21&gt;0,STDEV(E$25:E$26,E21)," ")/IF(E$25*E$26*E21&gt;0,SQRT(COUNT(E$25:E$26,E21))," "),"")</f>
        <v/>
      </c>
      <c r="AJ79" s="287" t="str">
        <f aca="false">IFERROR(IF(F$25*F$26*F21&gt;0,STDEV(F$25:F$26,F21)," ")/IF(F$25*F$26*F21&gt;0,SQRT(COUNT(F$25:F$26,F21))," "),"")</f>
        <v/>
      </c>
      <c r="AK79" s="287" t="str">
        <f aca="false">IFERROR(IF(G$25*G$26*G21&gt;0,STDEV(G$25:G$26,G21)," ")/IF(G$25*G$26*G21&gt;0,SQRT(COUNT(G$25:G$26,G21))," "),"")</f>
        <v/>
      </c>
      <c r="AL79" s="287" t="str">
        <f aca="false">IFERROR(IF(H$25*H$26*H21&gt;0,STDEV(H$25:H$26,H21)," ")/IF(H$25*H$26*H21&gt;0,SQRT(COUNT(H$25:H$26,H21))," "),"")</f>
        <v/>
      </c>
      <c r="AM79" s="287" t="str">
        <f aca="false">IFERROR(IF(I$25*I$26*I21&gt;0,STDEV(I$25:I$26,I21)," ")/IF(I$25*I$26*I21&gt;0,SQRT(COUNT(I$25:I$26,I21))," "),"")</f>
        <v/>
      </c>
      <c r="AN79" s="287" t="str">
        <f aca="false">IFERROR(IF(J$25*J$26*J21&gt;0,STDEV(J$25:J$26,J21)," ")/IF(J$25*J$26*J21&gt;0,SQRT(COUNT(J$25:J$26,J21))," "),"")</f>
        <v/>
      </c>
      <c r="AO79" s="287" t="str">
        <f aca="false">IFERROR(IF(K$25*K$26*K21&gt;0,STDEV(K$25:K$26,K21)," ")/IF(K$25*K$26*K21&gt;0,SQRT(COUNT(K$25:K$26,K21))," "),"")</f>
        <v/>
      </c>
      <c r="AP79" s="287" t="str">
        <f aca="false">IFERROR(IF(L$25*L$26*L21&gt;0,STDEV(L$25:L$26,L21)," ")/IF(L$25*L$26*L21&gt;0,SQRT(COUNT(L$25:L$26,L21))," "),"")</f>
        <v/>
      </c>
      <c r="AQ79" s="287" t="str">
        <f aca="false">IFERROR(IF(M$25*M$26*M21&gt;0,STDEV(M$25:M$26,M21)," ")/IF(M$25*M$26*M21&gt;0,SQRT(COUNT(M$25:M$26,M21))," "),"")</f>
        <v/>
      </c>
      <c r="AR79" s="287" t="str">
        <f aca="false">IFERROR(IF(N$25*N$26*N21&gt;0,STDEV(N$25:N$26,N21)," ")/IF(N$25*N$26*N21&gt;0,SQRT(COUNT(N$25:N$26,N21))," "),"")</f>
        <v/>
      </c>
    </row>
    <row r="80" customFormat="false" ht="15.75" hidden="false" customHeight="false" outlineLevel="0" collapsed="false">
      <c r="A80" s="290" t="s">
        <v>392</v>
      </c>
      <c r="B80" s="281"/>
      <c r="C80" s="291" t="str">
        <f aca="false">IFERROR(IF(C$25*C$26*C22&gt;0,AVERAGE(C$25:C$26,C22),""),"")</f>
        <v/>
      </c>
      <c r="D80" s="291" t="str">
        <f aca="false">IFERROR(IF(D$25*D$26*D22&gt;0,AVERAGE(D$25:D$26,D22),""),"")</f>
        <v/>
      </c>
      <c r="E80" s="291" t="str">
        <f aca="false">IFERROR(IF(E$25*E$26*E22&gt;0,AVERAGE(E$25:E$26,E22),""),"")</f>
        <v/>
      </c>
      <c r="F80" s="291" t="str">
        <f aca="false">IFERROR(IF(F$25*F$26*F22&gt;0,AVERAGE(F$25:F$26,F22),""),"")</f>
        <v/>
      </c>
      <c r="G80" s="291" t="str">
        <f aca="false">IFERROR(IF(G$25*G$26*G22&gt;0,AVERAGE(G$25:G$26,G22),""),"")</f>
        <v/>
      </c>
      <c r="H80" s="291" t="str">
        <f aca="false">IFERROR(IF(H$25*H$26*H22&gt;0,AVERAGE(H$25:H$26,H22),""),"")</f>
        <v/>
      </c>
      <c r="I80" s="291" t="str">
        <f aca="false">IFERROR(IF(I$25*I$26*I22&gt;0,AVERAGE(I$25:I$26,I22),""),"")</f>
        <v/>
      </c>
      <c r="J80" s="291" t="str">
        <f aca="false">IFERROR(IF(J$25*J$26*J22&gt;0,AVERAGE(J$25:J$26,J22),""),"")</f>
        <v/>
      </c>
      <c r="K80" s="291" t="str">
        <f aca="false">IFERROR(IF(K$25*K$26*K22&gt;0,AVERAGE(K$25:K$26,K22),""),"")</f>
        <v/>
      </c>
      <c r="L80" s="291" t="str">
        <f aca="false">IFERROR(IF(L$25*L$26*L22&gt;0,AVERAGE(L$25:L$26,L22),""),"")</f>
        <v/>
      </c>
      <c r="M80" s="291" t="str">
        <f aca="false">IFERROR(IF(M$25*M$26*M22&gt;0,AVERAGE(M$25:M$26,M22),""),"")</f>
        <v/>
      </c>
      <c r="N80" s="291" t="str">
        <f aca="false">IFERROR(IF(N$25*N$26*N22&gt;0,AVERAGE(N$25:N$26,N22),""),"")</f>
        <v/>
      </c>
      <c r="O80" s="282"/>
      <c r="P80" s="282"/>
      <c r="Q80" s="296"/>
      <c r="R80" s="293" t="s">
        <v>393</v>
      </c>
      <c r="S80" s="294" t="str">
        <f aca="false">IFERROR(IF(C$25*C$26*C22&gt;0,STDEV(C$25:C$26,C22),"")/IF(C$25*C$26*C22&gt;0,AVERAGE(C$25:C$26,C22),""),"")</f>
        <v/>
      </c>
      <c r="T80" s="294" t="str">
        <f aca="false">IFERROR(IF(D$25*D$26*D22&gt;0,STDEV(D$25:D$26,D22),"")/IF(D$25*D$26*D22&gt;0,AVERAGE(D$25:D$26,D22),""),"")</f>
        <v/>
      </c>
      <c r="U80" s="294" t="str">
        <f aca="false">IFERROR(IF(E$25*E$26*E22&gt;0,STDEV(E$25:E$26,E22),"")/IF(E$25*E$26*E22&gt;0,AVERAGE(E$25:E$26,E22),""),"")</f>
        <v/>
      </c>
      <c r="V80" s="294" t="str">
        <f aca="false">IFERROR(IF(F$25*F$26*F22&gt;0,STDEV(F$25:F$26,F22),"")/IF(F$25*F$26*F22&gt;0,AVERAGE(F$25:F$26,F22),""),"")</f>
        <v/>
      </c>
      <c r="W80" s="294" t="str">
        <f aca="false">IFERROR(IF(G$25*G$26*G22&gt;0,STDEV(G$25:G$26,G22),"")/IF(G$25*G$26*G22&gt;0,AVERAGE(G$25:G$26,G22),""),"")</f>
        <v/>
      </c>
      <c r="X80" s="294" t="str">
        <f aca="false">IFERROR(IF(H$25*H$26*H22&gt;0,STDEV(H$25:H$26,H22),"")/IF(H$25*H$26*H22&gt;0,AVERAGE(H$25:H$26,H22),""),"")</f>
        <v/>
      </c>
      <c r="Y80" s="294" t="str">
        <f aca="false">IFERROR(IF(I$25*I$26*I22&gt;0,STDEV(I$25:I$26,I22),"")/IF(I$25*I$26*I22&gt;0,AVERAGE(I$25:I$26,I22),""),"")</f>
        <v/>
      </c>
      <c r="Z80" s="294" t="str">
        <f aca="false">IFERROR(IF(J$25*J$26*J22&gt;0,STDEV(J$25:J$26,J22),"")/IF(J$25*J$26*J22&gt;0,AVERAGE(J$25:J$26,J22),""),"")</f>
        <v/>
      </c>
      <c r="AA80" s="294" t="str">
        <f aca="false">IFERROR(IF(K$25*K$26*K22&gt;0,STDEV(K$25:K$26,K22),"")/IF(K$25*K$26*K22&gt;0,AVERAGE(K$25:K$26,K22),""),"")</f>
        <v/>
      </c>
      <c r="AB80" s="294" t="str">
        <f aca="false">IFERROR(IF(L$25*L$26*L22&gt;0,STDEV(L$25:L$26,L22),"")/IF(L$25*L$26*L22&gt;0,AVERAGE(L$25:L$26,L22),""),"")</f>
        <v/>
      </c>
      <c r="AC80" s="294" t="str">
        <f aca="false">IFERROR(IF(M$25*M$26*M22&gt;0,STDEV(M$25:M$26,M22),"")/IF(M$25*M$26*M22&gt;0,AVERAGE(M$25:M$26,M22),""),"")</f>
        <v/>
      </c>
      <c r="AD80" s="294" t="str">
        <f aca="false">IFERROR(IF(N$25*N$26*N22&gt;0,STDEV(N$25:N$26,N22),"")/IF(N$25*N$26*N22&gt;0,AVERAGE(N$25:N$26,N22),""),"")</f>
        <v/>
      </c>
      <c r="AE80" s="44"/>
      <c r="AF80" s="266" t="s">
        <v>394</v>
      </c>
      <c r="AG80" s="287" t="str">
        <f aca="false">IFERROR(IF(C$25*C$26*C22&gt;0,STDEV(C$25:C$26,C22)," ")/IF(C$25*C$26*C22&gt;0,SQRT(COUNT(C$25:C$26,C22))," "),"")</f>
        <v/>
      </c>
      <c r="AH80" s="287" t="str">
        <f aca="false">IFERROR(IF(D$25*D$26*D22&gt;0,STDEV(D$25:D$26,D22)," ")/IF(D$25*D$26*D22&gt;0,SQRT(COUNT(D$25:D$26,D22))," "),"")</f>
        <v/>
      </c>
      <c r="AI80" s="287" t="str">
        <f aca="false">IFERROR(IF(E$25*E$26*E22&gt;0,STDEV(E$25:E$26,E22)," ")/IF(E$25*E$26*E22&gt;0,SQRT(COUNT(E$25:E$26,E22))," "),"")</f>
        <v/>
      </c>
      <c r="AJ80" s="287" t="str">
        <f aca="false">IFERROR(IF(F$25*F$26*F22&gt;0,STDEV(F$25:F$26,F22)," ")/IF(F$25*F$26*F22&gt;0,SQRT(COUNT(F$25:F$26,F22))," "),"")</f>
        <v/>
      </c>
      <c r="AK80" s="287" t="str">
        <f aca="false">IFERROR(IF(G$25*G$26*G22&gt;0,STDEV(G$25:G$26,G22)," ")/IF(G$25*G$26*G22&gt;0,SQRT(COUNT(G$25:G$26,G22))," "),"")</f>
        <v/>
      </c>
      <c r="AL80" s="287" t="str">
        <f aca="false">IFERROR(IF(H$25*H$26*H22&gt;0,STDEV(H$25:H$26,H22)," ")/IF(H$25*H$26*H22&gt;0,SQRT(COUNT(H$25:H$26,H22))," "),"")</f>
        <v/>
      </c>
      <c r="AM80" s="287" t="str">
        <f aca="false">IFERROR(IF(I$25*I$26*I22&gt;0,STDEV(I$25:I$26,I22)," ")/IF(I$25*I$26*I22&gt;0,SQRT(COUNT(I$25:I$26,I22))," "),"")</f>
        <v/>
      </c>
      <c r="AN80" s="287" t="str">
        <f aca="false">IFERROR(IF(J$25*J$26*J22&gt;0,STDEV(J$25:J$26,J22)," ")/IF(J$25*J$26*J22&gt;0,SQRT(COUNT(J$25:J$26,J22))," "),"")</f>
        <v/>
      </c>
      <c r="AO80" s="287" t="str">
        <f aca="false">IFERROR(IF(K$25*K$26*K22&gt;0,STDEV(K$25:K$26,K22)," ")/IF(K$25*K$26*K22&gt;0,SQRT(COUNT(K$25:K$26,K22))," "),"")</f>
        <v/>
      </c>
      <c r="AP80" s="287" t="str">
        <f aca="false">IFERROR(IF(L$25*L$26*L22&gt;0,STDEV(L$25:L$26,L22)," ")/IF(L$25*L$26*L22&gt;0,SQRT(COUNT(L$25:L$26,L22))," "),"")</f>
        <v/>
      </c>
      <c r="AQ80" s="287" t="str">
        <f aca="false">IFERROR(IF(M$25*M$26*M22&gt;0,STDEV(M$25:M$26,M22)," ")/IF(M$25*M$26*M22&gt;0,SQRT(COUNT(M$25:M$26,M22))," "),"")</f>
        <v/>
      </c>
      <c r="AR80" s="287" t="str">
        <f aca="false">IFERROR(IF(N$25*N$26*N22&gt;0,STDEV(N$25:N$26,N22)," ")/IF(N$25*N$26*N22&gt;0,SQRT(COUNT(N$25:N$26,N22))," "),"")</f>
        <v/>
      </c>
    </row>
    <row r="81" customFormat="false" ht="15.75" hidden="false" customHeight="false" outlineLevel="0" collapsed="false">
      <c r="A81" s="290" t="s">
        <v>395</v>
      </c>
      <c r="B81" s="281"/>
      <c r="C81" s="291" t="str">
        <f aca="false">IFERROR(IF(C$25*C$26*C23&gt;0,AVERAGE(C$25:C$26,C23),""),"")</f>
        <v/>
      </c>
      <c r="D81" s="291" t="str">
        <f aca="false">IFERROR(IF(D$25*D$26*D23&gt;0,AVERAGE(D$25:D$26,D23),""),"")</f>
        <v/>
      </c>
      <c r="E81" s="291" t="str">
        <f aca="false">IFERROR(IF(E$25*E$26*E23&gt;0,AVERAGE(E$25:E$26,E23),""),"")</f>
        <v/>
      </c>
      <c r="F81" s="291" t="str">
        <f aca="false">IFERROR(IF(F$25*F$26*F23&gt;0,AVERAGE(F$25:F$26,F23),""),"")</f>
        <v/>
      </c>
      <c r="G81" s="291" t="str">
        <f aca="false">IFERROR(IF(G$25*G$26*G23&gt;0,AVERAGE(G$25:G$26,G23),""),"")</f>
        <v/>
      </c>
      <c r="H81" s="291" t="str">
        <f aca="false">IFERROR(IF(H$25*H$26*H23&gt;0,AVERAGE(H$25:H$26,H23),""),"")</f>
        <v/>
      </c>
      <c r="I81" s="291" t="str">
        <f aca="false">IFERROR(IF(I$25*I$26*I23&gt;0,AVERAGE(I$25:I$26,I23),""),"")</f>
        <v/>
      </c>
      <c r="J81" s="291" t="str">
        <f aca="false">IFERROR(IF(J$25*J$26*J23&gt;0,AVERAGE(J$25:J$26,J23),""),"")</f>
        <v/>
      </c>
      <c r="K81" s="291" t="str">
        <f aca="false">IFERROR(IF(K$25*K$26*K23&gt;0,AVERAGE(K$25:K$26,K23),""),"")</f>
        <v/>
      </c>
      <c r="L81" s="291" t="str">
        <f aca="false">IFERROR(IF(L$25*L$26*L23&gt;0,AVERAGE(L$25:L$26,L23),""),"")</f>
        <v/>
      </c>
      <c r="M81" s="291" t="str">
        <f aca="false">IFERROR(IF(M$25*M$26*M23&gt;0,AVERAGE(M$25:M$26,M23),""),"")</f>
        <v/>
      </c>
      <c r="N81" s="291" t="str">
        <f aca="false">IFERROR(IF(N$25*N$26*N23&gt;0,AVERAGE(N$25:N$26,N23),""),"")</f>
        <v/>
      </c>
      <c r="O81" s="282"/>
      <c r="P81" s="282"/>
      <c r="Q81" s="296"/>
      <c r="R81" s="293" t="s">
        <v>396</v>
      </c>
      <c r="S81" s="294" t="str">
        <f aca="false">IFERROR(IF(C$25*C$26*C23&gt;0,STDEV(C$25:C$26,C23),"")/IF(C$25*C$26*C23&gt;0,AVERAGE(C$25:C$26,C23),""),"")</f>
        <v/>
      </c>
      <c r="T81" s="294" t="str">
        <f aca="false">IFERROR(IF(D$25*D$26*D23&gt;0,STDEV(D$25:D$26,D23),"")/IF(D$25*D$26*D23&gt;0,AVERAGE(D$25:D$26,D23),""),"")</f>
        <v/>
      </c>
      <c r="U81" s="294" t="str">
        <f aca="false">IFERROR(IF(E$25*E$26*E23&gt;0,STDEV(E$25:E$26,E23),"")/IF(E$25*E$26*E23&gt;0,AVERAGE(E$25:E$26,E23),""),"")</f>
        <v/>
      </c>
      <c r="V81" s="294" t="str">
        <f aca="false">IFERROR(IF(F$25*F$26*F23&gt;0,STDEV(F$25:F$26,F23),"")/IF(F$25*F$26*F23&gt;0,AVERAGE(F$25:F$26,F23),""),"")</f>
        <v/>
      </c>
      <c r="W81" s="294" t="str">
        <f aca="false">IFERROR(IF(G$25*G$26*G23&gt;0,STDEV(G$25:G$26,G23),"")/IF(G$25*G$26*G23&gt;0,AVERAGE(G$25:G$26,G23),""),"")</f>
        <v/>
      </c>
      <c r="X81" s="294" t="str">
        <f aca="false">IFERROR(IF(H$25*H$26*H23&gt;0,STDEV(H$25:H$26,H23),"")/IF(H$25*H$26*H23&gt;0,AVERAGE(H$25:H$26,H23),""),"")</f>
        <v/>
      </c>
      <c r="Y81" s="294" t="str">
        <f aca="false">IFERROR(IF(I$25*I$26*I23&gt;0,STDEV(I$25:I$26,I23),"")/IF(I$25*I$26*I23&gt;0,AVERAGE(I$25:I$26,I23),""),"")</f>
        <v/>
      </c>
      <c r="Z81" s="294" t="str">
        <f aca="false">IFERROR(IF(J$25*J$26*J23&gt;0,STDEV(J$25:J$26,J23),"")/IF(J$25*J$26*J23&gt;0,AVERAGE(J$25:J$26,J23),""),"")</f>
        <v/>
      </c>
      <c r="AA81" s="294" t="str">
        <f aca="false">IFERROR(IF(K$25*K$26*K23&gt;0,STDEV(K$25:K$26,K23),"")/IF(K$25*K$26*K23&gt;0,AVERAGE(K$25:K$26,K23),""),"")</f>
        <v/>
      </c>
      <c r="AB81" s="294" t="str">
        <f aca="false">IFERROR(IF(L$25*L$26*L23&gt;0,STDEV(L$25:L$26,L23),"")/IF(L$25*L$26*L23&gt;0,AVERAGE(L$25:L$26,L23),""),"")</f>
        <v/>
      </c>
      <c r="AC81" s="294" t="str">
        <f aca="false">IFERROR(IF(M$25*M$26*M23&gt;0,STDEV(M$25:M$26,M23),"")/IF(M$25*M$26*M23&gt;0,AVERAGE(M$25:M$26,M23),""),"")</f>
        <v/>
      </c>
      <c r="AD81" s="294" t="str">
        <f aca="false">IFERROR(IF(N$25*N$26*N23&gt;0,STDEV(N$25:N$26,N23),"")/IF(N$25*N$26*N23&gt;0,AVERAGE(N$25:N$26,N23),""),"")</f>
        <v/>
      </c>
      <c r="AE81" s="44"/>
      <c r="AF81" s="266" t="s">
        <v>397</v>
      </c>
      <c r="AG81" s="287" t="str">
        <f aca="false">IFERROR(IF(C$25*C$26*C23&gt;0,STDEV(C$25:C$26,C23)," ")/IF(C$25*C$26*C23&gt;0,SQRT(COUNT(C$25:C$26,C23))," "),"")</f>
        <v/>
      </c>
      <c r="AH81" s="287" t="str">
        <f aca="false">IFERROR(IF(D$25*D$26*D23&gt;0,STDEV(D$25:D$26,D23)," ")/IF(D$25*D$26*D23&gt;0,SQRT(COUNT(D$25:D$26,D23))," "),"")</f>
        <v/>
      </c>
      <c r="AI81" s="287" t="str">
        <f aca="false">IFERROR(IF(E$25*E$26*E23&gt;0,STDEV(E$25:E$26,E23)," ")/IF(E$25*E$26*E23&gt;0,SQRT(COUNT(E$25:E$26,E23))," "),"")</f>
        <v/>
      </c>
      <c r="AJ81" s="287" t="str">
        <f aca="false">IFERROR(IF(F$25*F$26*F23&gt;0,STDEV(F$25:F$26,F23)," ")/IF(F$25*F$26*F23&gt;0,SQRT(COUNT(F$25:F$26,F23))," "),"")</f>
        <v/>
      </c>
      <c r="AK81" s="287" t="str">
        <f aca="false">IFERROR(IF(G$25*G$26*G23&gt;0,STDEV(G$25:G$26,G23)," ")/IF(G$25*G$26*G23&gt;0,SQRT(COUNT(G$25:G$26,G23))," "),"")</f>
        <v/>
      </c>
      <c r="AL81" s="287" t="str">
        <f aca="false">IFERROR(IF(H$25*H$26*H23&gt;0,STDEV(H$25:H$26,H23)," ")/IF(H$25*H$26*H23&gt;0,SQRT(COUNT(H$25:H$26,H23))," "),"")</f>
        <v/>
      </c>
      <c r="AM81" s="287" t="str">
        <f aca="false">IFERROR(IF(I$25*I$26*I23&gt;0,STDEV(I$25:I$26,I23)," ")/IF(I$25*I$26*I23&gt;0,SQRT(COUNT(I$25:I$26,I23))," "),"")</f>
        <v/>
      </c>
      <c r="AN81" s="287" t="str">
        <f aca="false">IFERROR(IF(J$25*J$26*J23&gt;0,STDEV(J$25:J$26,J23)," ")/IF(J$25*J$26*J23&gt;0,SQRT(COUNT(J$25:J$26,J23))," "),"")</f>
        <v/>
      </c>
      <c r="AO81" s="287" t="str">
        <f aca="false">IFERROR(IF(K$25*K$26*K23&gt;0,STDEV(K$25:K$26,K23)," ")/IF(K$25*K$26*K23&gt;0,SQRT(COUNT(K$25:K$26,K23))," "),"")</f>
        <v/>
      </c>
      <c r="AP81" s="287" t="str">
        <f aca="false">IFERROR(IF(L$25*L$26*L23&gt;0,STDEV(L$25:L$26,L23)," ")/IF(L$25*L$26*L23&gt;0,SQRT(COUNT(L$25:L$26,L23))," "),"")</f>
        <v/>
      </c>
      <c r="AQ81" s="287" t="str">
        <f aca="false">IFERROR(IF(M$25*M$26*M23&gt;0,STDEV(M$25:M$26,M23)," ")/IF(M$25*M$26*M23&gt;0,SQRT(COUNT(M$25:M$26,M23))," "),"")</f>
        <v/>
      </c>
      <c r="AR81" s="287" t="str">
        <f aca="false">IFERROR(IF(N$25*N$26*N23&gt;0,STDEV(N$25:N$26,N23)," ")/IF(N$25*N$26*N23&gt;0,SQRT(COUNT(N$25:N$26,N23))," "),"")</f>
        <v/>
      </c>
    </row>
    <row r="82" customFormat="false" ht="15.75" hidden="false" customHeight="false" outlineLevel="0" collapsed="false">
      <c r="A82" s="290" t="s">
        <v>398</v>
      </c>
      <c r="B82" s="281"/>
      <c r="C82" s="291" t="str">
        <f aca="false">IFERROR(IF(C$25*C$26*C24&gt;0,AVERAGE(C$25:C$26,C24),""),"")</f>
        <v/>
      </c>
      <c r="D82" s="291" t="str">
        <f aca="false">IFERROR(IF(D$25*D$26*D24&gt;0,AVERAGE(D$25:D$26,D24),""),"")</f>
        <v/>
      </c>
      <c r="E82" s="291" t="str">
        <f aca="false">IFERROR(IF(E$25*E$26*E24&gt;0,AVERAGE(E$25:E$26,E24),""),"")</f>
        <v/>
      </c>
      <c r="F82" s="291" t="str">
        <f aca="false">IFERROR(IF(F$25*F$26*F24&gt;0,AVERAGE(F$25:F$26,F24),""),"")</f>
        <v/>
      </c>
      <c r="G82" s="291" t="str">
        <f aca="false">IFERROR(IF(G$25*G$26*G24&gt;0,AVERAGE(G$25:G$26,G24),""),"")</f>
        <v/>
      </c>
      <c r="H82" s="291" t="str">
        <f aca="false">IFERROR(IF(H$25*H$26*H24&gt;0,AVERAGE(H$25:H$26,H24),""),"")</f>
        <v/>
      </c>
      <c r="I82" s="291" t="str">
        <f aca="false">IFERROR(IF(I$25*I$26*I24&gt;0,AVERAGE(I$25:I$26,I24),""),"")</f>
        <v/>
      </c>
      <c r="J82" s="291" t="str">
        <f aca="false">IFERROR(IF(J$25*J$26*J24&gt;0,AVERAGE(J$25:J$26,J24),""),"")</f>
        <v/>
      </c>
      <c r="K82" s="291" t="str">
        <f aca="false">IFERROR(IF(K$25*K$26*K24&gt;0,AVERAGE(K$25:K$26,K24),""),"")</f>
        <v/>
      </c>
      <c r="L82" s="291" t="str">
        <f aca="false">IFERROR(IF(L$25*L$26*L24&gt;0,AVERAGE(L$25:L$26,L24),""),"")</f>
        <v/>
      </c>
      <c r="M82" s="291" t="str">
        <f aca="false">IFERROR(IF(M$25*M$26*M24&gt;0,AVERAGE(M$25:M$26,M24),""),"")</f>
        <v/>
      </c>
      <c r="N82" s="291" t="str">
        <f aca="false">IFERROR(IF(N$25*N$26*N24&gt;0,AVERAGE(N$25:N$26,N24),""),"")</f>
        <v/>
      </c>
      <c r="O82" s="282"/>
      <c r="P82" s="282"/>
      <c r="Q82" s="296"/>
      <c r="R82" s="293" t="s">
        <v>399</v>
      </c>
      <c r="S82" s="294" t="str">
        <f aca="false">IFERROR(IF(C$25*C$26*C24&gt;0,STDEV(C$25:C$26,C24),"")/IF(C$25*C$26*C24&gt;0,AVERAGE(C$25:C$26,C24),""),"")</f>
        <v/>
      </c>
      <c r="T82" s="294" t="str">
        <f aca="false">IFERROR(IF(D$25*D$26*D24&gt;0,STDEV(D$25:D$26,D24),"")/IF(D$25*D$26*D24&gt;0,AVERAGE(D$25:D$26,D24),""),"")</f>
        <v/>
      </c>
      <c r="U82" s="294" t="str">
        <f aca="false">IFERROR(IF(E$25*E$26*E24&gt;0,STDEV(E$25:E$26,E24),"")/IF(E$25*E$26*E24&gt;0,AVERAGE(E$25:E$26,E24),""),"")</f>
        <v/>
      </c>
      <c r="V82" s="294" t="str">
        <f aca="false">IFERROR(IF(F$25*F$26*F24&gt;0,STDEV(F$25:F$26,F24),"")/IF(F$25*F$26*F24&gt;0,AVERAGE(F$25:F$26,F24),""),"")</f>
        <v/>
      </c>
      <c r="W82" s="294" t="str">
        <f aca="false">IFERROR(IF(G$25*G$26*G24&gt;0,STDEV(G$25:G$26,G24),"")/IF(G$25*G$26*G24&gt;0,AVERAGE(G$25:G$26,G24),""),"")</f>
        <v/>
      </c>
      <c r="X82" s="294" t="str">
        <f aca="false">IFERROR(IF(H$25*H$26*H24&gt;0,STDEV(H$25:H$26,H24),"")/IF(H$25*H$26*H24&gt;0,AVERAGE(H$25:H$26,H24),""),"")</f>
        <v/>
      </c>
      <c r="Y82" s="294" t="str">
        <f aca="false">IFERROR(IF(I$25*I$26*I24&gt;0,STDEV(I$25:I$26,I24),"")/IF(I$25*I$26*I24&gt;0,AVERAGE(I$25:I$26,I24),""),"")</f>
        <v/>
      </c>
      <c r="Z82" s="294" t="str">
        <f aca="false">IFERROR(IF(J$25*J$26*J24&gt;0,STDEV(J$25:J$26,J24),"")/IF(J$25*J$26*J24&gt;0,AVERAGE(J$25:J$26,J24),""),"")</f>
        <v/>
      </c>
      <c r="AA82" s="294" t="str">
        <f aca="false">IFERROR(IF(K$25*K$26*K24&gt;0,STDEV(K$25:K$26,K24),"")/IF(K$25*K$26*K24&gt;0,AVERAGE(K$25:K$26,K24),""),"")</f>
        <v/>
      </c>
      <c r="AB82" s="294" t="str">
        <f aca="false">IFERROR(IF(L$25*L$26*L24&gt;0,STDEV(L$25:L$26,L24),"")/IF(L$25*L$26*L24&gt;0,AVERAGE(L$25:L$26,L24),""),"")</f>
        <v/>
      </c>
      <c r="AC82" s="294" t="str">
        <f aca="false">IFERROR(IF(M$25*M$26*M24&gt;0,STDEV(M$25:M$26,M24),"")/IF(M$25*M$26*M24&gt;0,AVERAGE(M$25:M$26,M24),""),"")</f>
        <v/>
      </c>
      <c r="AD82" s="294" t="str">
        <f aca="false">IFERROR(IF(N$25*N$26*N24&gt;0,STDEV(N$25:N$26,N24),"")/IF(N$25*N$26*N24&gt;0,AVERAGE(N$25:N$26,N24),""),"")</f>
        <v/>
      </c>
      <c r="AE82" s="44"/>
      <c r="AF82" s="266" t="s">
        <v>400</v>
      </c>
      <c r="AG82" s="287" t="str">
        <f aca="false">IFERROR(IF(C$25*C$26*C24&gt;0,STDEV(C$25:C$26,C24)," ")/IF(C$25*C$26*C24&gt;0,SQRT(COUNT(C$25:C$26,C24))," "),"")</f>
        <v/>
      </c>
      <c r="AH82" s="287" t="str">
        <f aca="false">IFERROR(IF(D$25*D$26*D24&gt;0,STDEV(D$25:D$26,D24)," ")/IF(D$25*D$26*D24&gt;0,SQRT(COUNT(D$25:D$26,D24))," "),"")</f>
        <v/>
      </c>
      <c r="AI82" s="287" t="str">
        <f aca="false">IFERROR(IF(E$25*E$26*E24&gt;0,STDEV(E$25:E$26,E24)," ")/IF(E$25*E$26*E24&gt;0,SQRT(COUNT(E$25:E$26,E24))," "),"")</f>
        <v/>
      </c>
      <c r="AJ82" s="287" t="str">
        <f aca="false">IFERROR(IF(F$25*F$26*F24&gt;0,STDEV(F$25:F$26,F24)," ")/IF(F$25*F$26*F24&gt;0,SQRT(COUNT(F$25:F$26,F24))," "),"")</f>
        <v/>
      </c>
      <c r="AK82" s="287" t="str">
        <f aca="false">IFERROR(IF(G$25*G$26*G24&gt;0,STDEV(G$25:G$26,G24)," ")/IF(G$25*G$26*G24&gt;0,SQRT(COUNT(G$25:G$26,G24))," "),"")</f>
        <v/>
      </c>
      <c r="AL82" s="287" t="str">
        <f aca="false">IFERROR(IF(H$25*H$26*H24&gt;0,STDEV(H$25:H$26,H24)," ")/IF(H$25*H$26*H24&gt;0,SQRT(COUNT(H$25:H$26,H24))," "),"")</f>
        <v/>
      </c>
      <c r="AM82" s="287" t="str">
        <f aca="false">IFERROR(IF(I$25*I$26*I24&gt;0,STDEV(I$25:I$26,I24)," ")/IF(I$25*I$26*I24&gt;0,SQRT(COUNT(I$25:I$26,I24))," "),"")</f>
        <v/>
      </c>
      <c r="AN82" s="287" t="str">
        <f aca="false">IFERROR(IF(J$25*J$26*J24&gt;0,STDEV(J$25:J$26,J24)," ")/IF(J$25*J$26*J24&gt;0,SQRT(COUNT(J$25:J$26,J24))," "),"")</f>
        <v/>
      </c>
      <c r="AO82" s="287" t="str">
        <f aca="false">IFERROR(IF(K$25*K$26*K24&gt;0,STDEV(K$25:K$26,K24)," ")/IF(K$25*K$26*K24&gt;0,SQRT(COUNT(K$25:K$26,K24))," "),"")</f>
        <v/>
      </c>
      <c r="AP82" s="287" t="str">
        <f aca="false">IFERROR(IF(L$25*L$26*L24&gt;0,STDEV(L$25:L$26,L24)," ")/IF(L$25*L$26*L24&gt;0,SQRT(COUNT(L$25:L$26,L24))," "),"")</f>
        <v/>
      </c>
      <c r="AQ82" s="287" t="str">
        <f aca="false">IFERROR(IF(M$25*M$26*M24&gt;0,STDEV(M$25:M$26,M24)," ")/IF(M$25*M$26*M24&gt;0,SQRT(COUNT(M$25:M$26,M24))," "),"")</f>
        <v/>
      </c>
      <c r="AR82" s="287" t="str">
        <f aca="false">IFERROR(IF(N$25*N$26*N24&gt;0,STDEV(N$25:N$26,N24)," ")/IF(N$25*N$26*N24&gt;0,SQRT(COUNT(N$25:N$26,N24))," "),"")</f>
        <v/>
      </c>
    </row>
    <row r="83" customFormat="false" ht="15.75" hidden="false" customHeight="false" outlineLevel="0" collapsed="false">
      <c r="A83" s="290" t="s">
        <v>401</v>
      </c>
      <c r="B83" s="281"/>
      <c r="C83" s="291" t="str">
        <f aca="false">IFERROR(IF(C$25*C$26*C27&gt;0,AVERAGE(C$25:C$26,C27),""),"")</f>
        <v/>
      </c>
      <c r="D83" s="302" t="str">
        <f aca="false">IFERROR(IF(D$25*D$26*D27&gt;0,AVERAGE(D$25:D$26,D27),""),"")</f>
        <v/>
      </c>
      <c r="E83" s="302" t="str">
        <f aca="false">IFERROR(IF(E$25*E$26*E27&gt;0,AVERAGE(E$25:E$26,E27),""),"")</f>
        <v/>
      </c>
      <c r="F83" s="302" t="str">
        <f aca="false">IFERROR(IF(F$25*F$26*F27&gt;0,AVERAGE(F$25:F$26,F27),""),"")</f>
        <v/>
      </c>
      <c r="G83" s="302" t="str">
        <f aca="false">IFERROR(IF(G$25*G$26*G27&gt;0,AVERAGE(G$25:G$26,G27),""),"")</f>
        <v/>
      </c>
      <c r="H83" s="302" t="str">
        <f aca="false">IFERROR(IF(H$25*H$26*H27&gt;0,AVERAGE(H$25:H$26,H27),""),"")</f>
        <v/>
      </c>
      <c r="I83" s="302" t="str">
        <f aca="false">IFERROR(IF(I$25*I$26*I27&gt;0,AVERAGE(I$25:I$26,I27),""),"")</f>
        <v/>
      </c>
      <c r="J83" s="302" t="str">
        <f aca="false">IFERROR(IF(J$25*J$26*J27&gt;0,AVERAGE(J$25:J$26,J27),""),"")</f>
        <v/>
      </c>
      <c r="K83" s="302" t="str">
        <f aca="false">IFERROR(IF(K$25*K$26*K27&gt;0,AVERAGE(K$25:K$26,K27),""),"")</f>
        <v/>
      </c>
      <c r="L83" s="302" t="str">
        <f aca="false">IFERROR(IF(L$25*L$26*L27&gt;0,AVERAGE(L$25:L$26,L27),""),"")</f>
        <v/>
      </c>
      <c r="M83" s="302" t="str">
        <f aca="false">IFERROR(IF(M$25*M$26*M27&gt;0,AVERAGE(M$25:M$26,M27),""),"")</f>
        <v/>
      </c>
      <c r="N83" s="302" t="str">
        <f aca="false">IFERROR(IF(N$25*N$26*N27&gt;0,AVERAGE(N$25:N$26,N27),""),"")</f>
        <v/>
      </c>
      <c r="O83" s="282"/>
      <c r="P83" s="282"/>
      <c r="Q83" s="296"/>
      <c r="R83" s="293" t="s">
        <v>402</v>
      </c>
      <c r="S83" s="294" t="str">
        <f aca="false">IFERROR(IF(C$25*C$26*C27&gt;0,STDEV(C$25:C$26,C27),"")/IF(C$25*C$26*C27&gt;0,AVERAGE(C$25:C$26,C27),""),"")</f>
        <v/>
      </c>
      <c r="T83" s="294" t="str">
        <f aca="false">IFERROR(IF(D$25*D$26*D27&gt;0,STDEV(D$25:D$26,D27),"")/IF(D$25*D$26*D27&gt;0,AVERAGE(D$25:D$26,D27),""),"")</f>
        <v/>
      </c>
      <c r="U83" s="294" t="str">
        <f aca="false">IFERROR(IF(E$25*E$26*E27&gt;0,STDEV(E$25:E$26,E27),"")/IF(E$25*E$26*E27&gt;0,AVERAGE(E$25:E$26,E27),""),"")</f>
        <v/>
      </c>
      <c r="V83" s="294" t="str">
        <f aca="false">IFERROR(IF(F$25*F$26*F27&gt;0,STDEV(F$25:F$26,F27),"")/IF(F$25*F$26*F27&gt;0,AVERAGE(F$25:F$26,F27),""),"")</f>
        <v/>
      </c>
      <c r="W83" s="294" t="str">
        <f aca="false">IFERROR(IF(G$25*G$26*G27&gt;0,STDEV(G$25:G$26,G27),"")/IF(G$25*G$26*G27&gt;0,AVERAGE(G$25:G$26,G27),""),"")</f>
        <v/>
      </c>
      <c r="X83" s="294" t="str">
        <f aca="false">IFERROR(IF(H$25*H$26*H27&gt;0,STDEV(H$25:H$26,H27),"")/IF(H$25*H$26*H27&gt;0,AVERAGE(H$25:H$26,H27),""),"")</f>
        <v/>
      </c>
      <c r="Y83" s="294" t="str">
        <f aca="false">IFERROR(IF(I$25*I$26*I27&gt;0,STDEV(I$25:I$26,I27),"")/IF(I$25*I$26*I27&gt;0,AVERAGE(I$25:I$26,I27),""),"")</f>
        <v/>
      </c>
      <c r="Z83" s="294" t="str">
        <f aca="false">IFERROR(IF(J$25*J$26*J27&gt;0,STDEV(J$25:J$26,J27),"")/IF(J$25*J$26*J27&gt;0,AVERAGE(J$25:J$26,J27),""),"")</f>
        <v/>
      </c>
      <c r="AA83" s="294" t="str">
        <f aca="false">IFERROR(IF(K$25*K$26*K27&gt;0,STDEV(K$25:K$26,K27),"")/IF(K$25*K$26*K27&gt;0,AVERAGE(K$25:K$26,K27),""),"")</f>
        <v/>
      </c>
      <c r="AB83" s="294" t="str">
        <f aca="false">IFERROR(IF(L$25*L$26*L27&gt;0,STDEV(L$25:L$26,L27),"")/IF(L$25*L$26*L27&gt;0,AVERAGE(L$25:L$26,L27),""),"")</f>
        <v/>
      </c>
      <c r="AC83" s="294" t="str">
        <f aca="false">IFERROR(IF(M$25*M$26*M27&gt;0,STDEV(M$25:M$26,M27),"")/IF(M$25*M$26*M27&gt;0,AVERAGE(M$25:M$26,M27),""),"")</f>
        <v/>
      </c>
      <c r="AD83" s="294" t="str">
        <f aca="false">IFERROR(IF(N$25*N$26*N27&gt;0,STDEV(N$25:N$26,N27),"")/IF(N$25*N$26*N27&gt;0,AVERAGE(N$25:N$26,N27),""),"")</f>
        <v/>
      </c>
      <c r="AE83" s="44"/>
      <c r="AF83" s="266" t="s">
        <v>403</v>
      </c>
      <c r="AG83" s="287" t="str">
        <f aca="false">IFERROR(IF(C$25*C$26*C27&gt;0,STDEV(C$25:C$26,C27)," ")/IF(C$25*C$26*C27&gt;0,SQRT(COUNT(C$25:C$26,C27))," "),"")</f>
        <v/>
      </c>
      <c r="AH83" s="287" t="str">
        <f aca="false">IFERROR(IF(D$25*D$26*D27&gt;0,STDEV(D$25:D$26,D27)," ")/IF(D$25*D$26*D27&gt;0,SQRT(COUNT(D$25:D$26,D27))," "),"")</f>
        <v/>
      </c>
      <c r="AI83" s="287" t="str">
        <f aca="false">IFERROR(IF(E$25*E$26*E27&gt;0,STDEV(E$25:E$26,E27)," ")/IF(E$25*E$26*E27&gt;0,SQRT(COUNT(E$25:E$26,E27))," "),"")</f>
        <v/>
      </c>
      <c r="AJ83" s="287" t="str">
        <f aca="false">IFERROR(IF(F$25*F$26*F27&gt;0,STDEV(F$25:F$26,F27)," ")/IF(F$25*F$26*F27&gt;0,SQRT(COUNT(F$25:F$26,F27))," "),"")</f>
        <v/>
      </c>
      <c r="AK83" s="287" t="str">
        <f aca="false">IFERROR(IF(G$25*G$26*G27&gt;0,STDEV(G$25:G$26,G27)," ")/IF(G$25*G$26*G27&gt;0,SQRT(COUNT(G$25:G$26,G27))," "),"")</f>
        <v/>
      </c>
      <c r="AL83" s="287" t="str">
        <f aca="false">IFERROR(IF(H$25*H$26*H27&gt;0,STDEV(H$25:H$26,H27)," ")/IF(H$25*H$26*H27&gt;0,SQRT(COUNT(H$25:H$26,H27))," "),"")</f>
        <v/>
      </c>
      <c r="AM83" s="287" t="str">
        <f aca="false">IFERROR(IF(I$25*I$26*I27&gt;0,STDEV(I$25:I$26,I27)," ")/IF(I$25*I$26*I27&gt;0,SQRT(COUNT(I$25:I$26,I27))," "),"")</f>
        <v/>
      </c>
      <c r="AN83" s="287" t="str">
        <f aca="false">IFERROR(IF(J$25*J$26*J27&gt;0,STDEV(J$25:J$26,J27)," ")/IF(J$25*J$26*J27&gt;0,SQRT(COUNT(J$25:J$26,J27))," "),"")</f>
        <v/>
      </c>
      <c r="AO83" s="287" t="str">
        <f aca="false">IFERROR(IF(K$25*K$26*K27&gt;0,STDEV(K$25:K$26,K27)," ")/IF(K$25*K$26*K27&gt;0,SQRT(COUNT(K$25:K$26,K27))," "),"")</f>
        <v/>
      </c>
      <c r="AP83" s="287" t="str">
        <f aca="false">IFERROR(IF(L$25*L$26*L27&gt;0,STDEV(L$25:L$26,L27)," ")/IF(L$25*L$26*L27&gt;0,SQRT(COUNT(L$25:L$26,L27))," "),"")</f>
        <v/>
      </c>
      <c r="AQ83" s="287" t="str">
        <f aca="false">IFERROR(IF(M$25*M$26*M27&gt;0,STDEV(M$25:M$26,M27)," ")/IF(M$25*M$26*M27&gt;0,SQRT(COUNT(M$25:M$26,M27))," "),"")</f>
        <v/>
      </c>
      <c r="AR83" s="287" t="str">
        <f aca="false">IFERROR(IF(N$25*N$26*N27&gt;0,STDEV(N$25:N$26,N27)," ")/IF(N$25*N$26*N27&gt;0,SQRT(COUNT(N$25:N$26,N27))," "),"")</f>
        <v/>
      </c>
    </row>
    <row r="84" customFormat="false" ht="15.75" hidden="false" customHeight="false" outlineLevel="0" collapsed="false">
      <c r="A84" s="290" t="s">
        <v>404</v>
      </c>
      <c r="B84" s="281"/>
      <c r="C84" s="302" t="str">
        <f aca="false">IFERROR(IF(C$26*C$27*C21&gt;0,AVERAGE(C$26:C$27,C21),""),"")</f>
        <v/>
      </c>
      <c r="D84" s="302" t="str">
        <f aca="false">IFERROR(IF(D$26*D$27*D21&gt;0,AVERAGE(D$26:D$27,D21),""),"")</f>
        <v/>
      </c>
      <c r="E84" s="302" t="str">
        <f aca="false">IFERROR(IF(E$26*E$27*E21&gt;0,AVERAGE(E$26:E$27,E21),""),"")</f>
        <v/>
      </c>
      <c r="F84" s="302" t="str">
        <f aca="false">IFERROR(IF(F$26*F$27*F21&gt;0,AVERAGE(F$26:F$27,F21),""),"")</f>
        <v/>
      </c>
      <c r="G84" s="302" t="str">
        <f aca="false">IFERROR(IF(G$26*G$27*G21&gt;0,AVERAGE(G$26:G$27,G21),""),"")</f>
        <v/>
      </c>
      <c r="H84" s="302" t="str">
        <f aca="false">IFERROR(IF(H$26*H$27*H21&gt;0,AVERAGE(H$26:H$27,H21),""),"")</f>
        <v/>
      </c>
      <c r="I84" s="302" t="str">
        <f aca="false">IFERROR(IF(I$26*I$27*I21&gt;0,AVERAGE(I$26:I$27,I21),""),"")</f>
        <v/>
      </c>
      <c r="J84" s="302" t="str">
        <f aca="false">IFERROR(IF(J$26*J$27*J21&gt;0,AVERAGE(J$26:J$27,J21),""),"")</f>
        <v/>
      </c>
      <c r="K84" s="302" t="str">
        <f aca="false">IFERROR(IF(K$26*K$27*K21&gt;0,AVERAGE(K$26:K$27,K21),""),"")</f>
        <v/>
      </c>
      <c r="L84" s="302" t="str">
        <f aca="false">IFERROR(IF(L$26*L$27*L21&gt;0,AVERAGE(L$26:L$27,L21),""),"")</f>
        <v/>
      </c>
      <c r="M84" s="302" t="str">
        <f aca="false">IFERROR(IF(M$26*M$27*M21&gt;0,AVERAGE(M$26:M$27,M21),""),"")</f>
        <v/>
      </c>
      <c r="N84" s="302" t="str">
        <f aca="false">IFERROR(IF(N$26*N$27*N21&gt;0,AVERAGE(N$26:N$27,N21),""),"")</f>
        <v/>
      </c>
      <c r="O84" s="282"/>
      <c r="P84" s="282"/>
      <c r="Q84" s="296"/>
      <c r="R84" s="293" t="s">
        <v>405</v>
      </c>
      <c r="S84" s="294" t="str">
        <f aca="false">IFERROR(IF(C$26*C$27*C21&gt;0,STDEV(C$26:C$27,C21),"")/IF(C$26*C$27*C21&gt;0,AVERAGE(C$26:C$27,C21),""),"")</f>
        <v/>
      </c>
      <c r="T84" s="294" t="str">
        <f aca="false">IFERROR(IF(D$26*D$27*D21&gt;0,STDEV(D$26:D$27,D21),"")/IF(D$26*D$27*D21&gt;0,AVERAGE(D$26:D$27,D21),""),"")</f>
        <v/>
      </c>
      <c r="U84" s="294" t="str">
        <f aca="false">IFERROR(IF(E$26*E$27*E21&gt;0,STDEV(E$26:E$27,E21),"")/IF(E$26*E$27*E21&gt;0,AVERAGE(E$26:E$27,E21),""),"")</f>
        <v/>
      </c>
      <c r="V84" s="294" t="str">
        <f aca="false">IFERROR(IF(F$26*F$27*F21&gt;0,STDEV(F$26:F$27,F21),"")/IF(F$26*F$27*F21&gt;0,AVERAGE(F$26:F$27,F21),""),"")</f>
        <v/>
      </c>
      <c r="W84" s="294" t="str">
        <f aca="false">IFERROR(IF(G$26*G$27*G21&gt;0,STDEV(G$26:G$27,G21),"")/IF(G$26*G$27*G21&gt;0,AVERAGE(G$26:G$27,G21),""),"")</f>
        <v/>
      </c>
      <c r="X84" s="294" t="str">
        <f aca="false">IFERROR(IF(H$26*H$27*H21&gt;0,STDEV(H$26:H$27,H21),"")/IF(H$26*H$27*H21&gt;0,AVERAGE(H$26:H$27,H21),""),"")</f>
        <v/>
      </c>
      <c r="Y84" s="294" t="str">
        <f aca="false">IFERROR(IF(I$26*I$27*I21&gt;0,STDEV(I$26:I$27,I21),"")/IF(I$26*I$27*I21&gt;0,AVERAGE(I$26:I$27,I21),""),"")</f>
        <v/>
      </c>
      <c r="Z84" s="294" t="str">
        <f aca="false">IFERROR(IF(J$26*J$27*J21&gt;0,STDEV(J$26:J$27,J21),"")/IF(J$26*J$27*J21&gt;0,AVERAGE(J$26:J$27,J21),""),"")</f>
        <v/>
      </c>
      <c r="AA84" s="294" t="str">
        <f aca="false">IFERROR(IF(K$26*K$27*K21&gt;0,STDEV(K$26:K$27,K21),"")/IF(K$26*K$27*K21&gt;0,AVERAGE(K$26:K$27,K21),""),"")</f>
        <v/>
      </c>
      <c r="AB84" s="294" t="str">
        <f aca="false">IFERROR(IF(L$26*L$27*L21&gt;0,STDEV(L$26:L$27,L21),"")/IF(L$26*L$27*L21&gt;0,AVERAGE(L$26:L$27,L21),""),"")</f>
        <v/>
      </c>
      <c r="AC84" s="294" t="str">
        <f aca="false">IFERROR(IF(M$26*M$27*M21&gt;0,STDEV(M$26:M$27,M21),"")/IF(M$26*M$27*M21&gt;0,AVERAGE(M$26:M$27,M21),""),"")</f>
        <v/>
      </c>
      <c r="AD84" s="294" t="str">
        <f aca="false">IFERROR(IF(N$26*N$27*N21&gt;0,STDEV(N$26:N$27,N21),"")/IF(N$26*N$27*N21&gt;0,AVERAGE(N$26:N$27,N21),""),"")</f>
        <v/>
      </c>
      <c r="AE84" s="44"/>
      <c r="AF84" s="266" t="s">
        <v>406</v>
      </c>
      <c r="AG84" s="287" t="str">
        <f aca="false">IFERROR(IF(C$26*C$27*C21&gt;0,STDEV(C$26:C$27,C21)," ")/IF(C$26*C$27*C21&gt;0,SQRT(COUNT(C$26:C$27,C21))," "),"")</f>
        <v/>
      </c>
      <c r="AH84" s="287" t="str">
        <f aca="false">IFERROR(IF(D$26*D$27*D21&gt;0,STDEV(D$26:D$27,D21)," ")/IF(D$26*D$27*D21&gt;0,SQRT(COUNT(D$26:D$27,D21))," "),"")</f>
        <v/>
      </c>
      <c r="AI84" s="287" t="str">
        <f aca="false">IFERROR(IF(E$26*E$27*E21&gt;0,STDEV(E$26:E$27,E21)," ")/IF(E$26*E$27*E21&gt;0,SQRT(COUNT(E$26:E$27,E21))," "),"")</f>
        <v/>
      </c>
      <c r="AJ84" s="287" t="str">
        <f aca="false">IFERROR(IF(F$26*F$27*F21&gt;0,STDEV(F$26:F$27,F21)," ")/IF(F$26*F$27*F21&gt;0,SQRT(COUNT(F$26:F$27,F21))," "),"")</f>
        <v/>
      </c>
      <c r="AK84" s="287" t="str">
        <f aca="false">IFERROR(IF(G$26*G$27*G21&gt;0,STDEV(G$26:G$27,G21)," ")/IF(G$26*G$27*G21&gt;0,SQRT(COUNT(G$26:G$27,G21))," "),"")</f>
        <v/>
      </c>
      <c r="AL84" s="287" t="str">
        <f aca="false">IFERROR(IF(H$26*H$27*H21&gt;0,STDEV(H$26:H$27,H21)," ")/IF(H$26*H$27*H21&gt;0,SQRT(COUNT(H$26:H$27,H21))," "),"")</f>
        <v/>
      </c>
      <c r="AM84" s="287" t="str">
        <f aca="false">IFERROR(IF(I$26*I$27*I21&gt;0,STDEV(I$26:I$27,I21)," ")/IF(I$26*I$27*I21&gt;0,SQRT(COUNT(I$26:I$27,I21))," "),"")</f>
        <v/>
      </c>
      <c r="AN84" s="287" t="str">
        <f aca="false">IFERROR(IF(J$26*J$27*J21&gt;0,STDEV(J$26:J$27,J21)," ")/IF(J$26*J$27*J21&gt;0,SQRT(COUNT(J$26:J$27,J21))," "),"")</f>
        <v/>
      </c>
      <c r="AO84" s="287" t="str">
        <f aca="false">IFERROR(IF(K$26*K$27*K21&gt;0,STDEV(K$26:K$27,K21)," ")/IF(K$26*K$27*K21&gt;0,SQRT(COUNT(K$26:K$27,K21))," "),"")</f>
        <v/>
      </c>
      <c r="AP84" s="287" t="str">
        <f aca="false">IFERROR(IF(L$26*L$27*L21&gt;0,STDEV(L$26:L$27,L21)," ")/IF(L$26*L$27*L21&gt;0,SQRT(COUNT(L$26:L$27,L21))," "),"")</f>
        <v/>
      </c>
      <c r="AQ84" s="287" t="str">
        <f aca="false">IFERROR(IF(M$26*M$27*M21&gt;0,STDEV(M$26:M$27,M21)," ")/IF(M$26*M$27*M21&gt;0,SQRT(COUNT(M$26:M$27,M21))," "),"")</f>
        <v/>
      </c>
      <c r="AR84" s="287" t="str">
        <f aca="false">IFERROR(IF(N$26*N$27*N21&gt;0,STDEV(N$26:N$27,N21)," ")/IF(N$26*N$27*N21&gt;0,SQRT(COUNT(N$26:N$27,N21))," "),"")</f>
        <v/>
      </c>
    </row>
    <row r="85" customFormat="false" ht="15.75" hidden="false" customHeight="false" outlineLevel="0" collapsed="false">
      <c r="A85" s="290" t="s">
        <v>407</v>
      </c>
      <c r="B85" s="281"/>
      <c r="C85" s="302" t="str">
        <f aca="false">IFERROR(IF(C$26*C$27*C22&gt;0,AVERAGE(C$26:C$27,C22),""),"")</f>
        <v/>
      </c>
      <c r="D85" s="302" t="str">
        <f aca="false">IFERROR(IF(D$26*D$27*D22&gt;0,AVERAGE(D$26:D$27,D22),""),"")</f>
        <v/>
      </c>
      <c r="E85" s="302" t="str">
        <f aca="false">IFERROR(IF(E$26*E$27*E22&gt;0,AVERAGE(E$26:E$27,E22),""),"")</f>
        <v/>
      </c>
      <c r="F85" s="302" t="str">
        <f aca="false">IFERROR(IF(F$26*F$27*F22&gt;0,AVERAGE(F$26:F$27,F22),""),"")</f>
        <v/>
      </c>
      <c r="G85" s="302" t="str">
        <f aca="false">IFERROR(IF(G$26*G$27*G22&gt;0,AVERAGE(G$26:G$27,G22),""),"")</f>
        <v/>
      </c>
      <c r="H85" s="302" t="str">
        <f aca="false">IFERROR(IF(H$26*H$27*H22&gt;0,AVERAGE(H$26:H$27,H22),""),"")</f>
        <v/>
      </c>
      <c r="I85" s="302" t="str">
        <f aca="false">IFERROR(IF(I$26*I$27*I22&gt;0,AVERAGE(I$26:I$27,I22),""),"")</f>
        <v/>
      </c>
      <c r="J85" s="302" t="str">
        <f aca="false">IFERROR(IF(J$26*J$27*J22&gt;0,AVERAGE(J$26:J$27,J22),""),"")</f>
        <v/>
      </c>
      <c r="K85" s="302" t="str">
        <f aca="false">IFERROR(IF(K$26*K$27*K22&gt;0,AVERAGE(K$26:K$27,K22),""),"")</f>
        <v/>
      </c>
      <c r="L85" s="302" t="str">
        <f aca="false">IFERROR(IF(L$26*L$27*L22&gt;0,AVERAGE(L$26:L$27,L22),""),"")</f>
        <v/>
      </c>
      <c r="M85" s="302" t="str">
        <f aca="false">IFERROR(IF(M$26*M$27*M22&gt;0,AVERAGE(M$26:M$27,M22),""),"")</f>
        <v/>
      </c>
      <c r="N85" s="302" t="str">
        <f aca="false">IFERROR(IF(N$26*N$27*N22&gt;0,AVERAGE(N$26:N$27,N22),""),"")</f>
        <v/>
      </c>
      <c r="O85" s="282"/>
      <c r="P85" s="282"/>
      <c r="Q85" s="296"/>
      <c r="R85" s="293" t="s">
        <v>408</v>
      </c>
      <c r="S85" s="294" t="str">
        <f aca="false">IFERROR(IF(C$26*C$27*C22&gt;0,STDEV(C$26:C$27,C22),"")/IF(C$26*C$27*C22&gt;0,AVERAGE(C$26:C$27,C22),""),"")</f>
        <v/>
      </c>
      <c r="T85" s="294" t="str">
        <f aca="false">IFERROR(IF(D$26*D$27*D22&gt;0,STDEV(D$26:D$27,D22),"")/IF(D$26*D$27*D22&gt;0,AVERAGE(D$26:D$27,D22),""),"")</f>
        <v/>
      </c>
      <c r="U85" s="294" t="str">
        <f aca="false">IFERROR(IF(E$26*E$27*E22&gt;0,STDEV(E$26:E$27,E22),"")/IF(E$26*E$27*E22&gt;0,AVERAGE(E$26:E$27,E22),""),"")</f>
        <v/>
      </c>
      <c r="V85" s="294" t="str">
        <f aca="false">IFERROR(IF(F$26*F$27*F22&gt;0,STDEV(F$26:F$27,F22),"")/IF(F$26*F$27*F22&gt;0,AVERAGE(F$26:F$27,F22),""),"")</f>
        <v/>
      </c>
      <c r="W85" s="294" t="str">
        <f aca="false">IFERROR(IF(G$26*G$27*G22&gt;0,STDEV(G$26:G$27,G22),"")/IF(G$26*G$27*G22&gt;0,AVERAGE(G$26:G$27,G22),""),"")</f>
        <v/>
      </c>
      <c r="X85" s="294" t="str">
        <f aca="false">IFERROR(IF(H$26*H$27*H22&gt;0,STDEV(H$26:H$27,H22),"")/IF(H$26*H$27*H22&gt;0,AVERAGE(H$26:H$27,H22),""),"")</f>
        <v/>
      </c>
      <c r="Y85" s="294" t="str">
        <f aca="false">IFERROR(IF(I$26*I$27*I22&gt;0,STDEV(I$26:I$27,I22),"")/IF(I$26*I$27*I22&gt;0,AVERAGE(I$26:I$27,I22),""),"")</f>
        <v/>
      </c>
      <c r="Z85" s="294" t="str">
        <f aca="false">IFERROR(IF(J$26*J$27*J22&gt;0,STDEV(J$26:J$27,J22),"")/IF(J$26*J$27*J22&gt;0,AVERAGE(J$26:J$27,J22),""),"")</f>
        <v/>
      </c>
      <c r="AA85" s="294" t="str">
        <f aca="false">IFERROR(IF(K$26*K$27*K22&gt;0,STDEV(K$26:K$27,K22),"")/IF(K$26*K$27*K22&gt;0,AVERAGE(K$26:K$27,K22),""),"")</f>
        <v/>
      </c>
      <c r="AB85" s="294" t="str">
        <f aca="false">IFERROR(IF(L$26*L$27*L22&gt;0,STDEV(L$26:L$27,L22),"")/IF(L$26*L$27*L22&gt;0,AVERAGE(L$26:L$27,L22),""),"")</f>
        <v/>
      </c>
      <c r="AC85" s="294" t="str">
        <f aca="false">IFERROR(IF(M$26*M$27*M22&gt;0,STDEV(M$26:M$27,M22),"")/IF(M$26*M$27*M22&gt;0,AVERAGE(M$26:M$27,M22),""),"")</f>
        <v/>
      </c>
      <c r="AD85" s="294" t="str">
        <f aca="false">IFERROR(IF(N$26*N$27*N22&gt;0,STDEV(N$26:N$27,N22),"")/IF(N$26*N$27*N22&gt;0,AVERAGE(N$26:N$27,N22),""),"")</f>
        <v/>
      </c>
      <c r="AE85" s="44"/>
      <c r="AF85" s="266" t="s">
        <v>409</v>
      </c>
      <c r="AG85" s="287" t="str">
        <f aca="false">IFERROR(IF(C$26*C$27*C22&gt;0,STDEV(C$26:C$27,C22)," ")/IF(C$26*C$27*C22&gt;0,SQRT(COUNT(C$26:C$27,C22))," "),"")</f>
        <v/>
      </c>
      <c r="AH85" s="287" t="str">
        <f aca="false">IFERROR(IF(D$26*D$27*D22&gt;0,STDEV(D$26:D$27,D22)," ")/IF(D$26*D$27*D22&gt;0,SQRT(COUNT(D$26:D$27,D22))," "),"")</f>
        <v/>
      </c>
      <c r="AI85" s="287" t="str">
        <f aca="false">IFERROR(IF(E$26*E$27*E22&gt;0,STDEV(E$26:E$27,E22)," ")/IF(E$26*E$27*E22&gt;0,SQRT(COUNT(E$26:E$27,E22))," "),"")</f>
        <v/>
      </c>
      <c r="AJ85" s="287" t="str">
        <f aca="false">IFERROR(IF(F$26*F$27*F22&gt;0,STDEV(F$26:F$27,F22)," ")/IF(F$26*F$27*F22&gt;0,SQRT(COUNT(F$26:F$27,F22))," "),"")</f>
        <v/>
      </c>
      <c r="AK85" s="287" t="str">
        <f aca="false">IFERROR(IF(G$26*G$27*G22&gt;0,STDEV(G$26:G$27,G22)," ")/IF(G$26*G$27*G22&gt;0,SQRT(COUNT(G$26:G$27,G22))," "),"")</f>
        <v/>
      </c>
      <c r="AL85" s="287" t="str">
        <f aca="false">IFERROR(IF(H$26*H$27*H22&gt;0,STDEV(H$26:H$27,H22)," ")/IF(H$26*H$27*H22&gt;0,SQRT(COUNT(H$26:H$27,H22))," "),"")</f>
        <v/>
      </c>
      <c r="AM85" s="287" t="str">
        <f aca="false">IFERROR(IF(I$26*I$27*I22&gt;0,STDEV(I$26:I$27,I22)," ")/IF(I$26*I$27*I22&gt;0,SQRT(COUNT(I$26:I$27,I22))," "),"")</f>
        <v/>
      </c>
      <c r="AN85" s="287" t="str">
        <f aca="false">IFERROR(IF(J$26*J$27*J22&gt;0,STDEV(J$26:J$27,J22)," ")/IF(J$26*J$27*J22&gt;0,SQRT(COUNT(J$26:J$27,J22))," "),"")</f>
        <v/>
      </c>
      <c r="AO85" s="287" t="str">
        <f aca="false">IFERROR(IF(K$26*K$27*K22&gt;0,STDEV(K$26:K$27,K22)," ")/IF(K$26*K$27*K22&gt;0,SQRT(COUNT(K$26:K$27,K22))," "),"")</f>
        <v/>
      </c>
      <c r="AP85" s="287" t="str">
        <f aca="false">IFERROR(IF(L$26*L$27*L22&gt;0,STDEV(L$26:L$27,L22)," ")/IF(L$26*L$27*L22&gt;0,SQRT(COUNT(L$26:L$27,L22))," "),"")</f>
        <v/>
      </c>
      <c r="AQ85" s="287" t="str">
        <f aca="false">IFERROR(IF(M$26*M$27*M22&gt;0,STDEV(M$26:M$27,M22)," ")/IF(M$26*M$27*M22&gt;0,SQRT(COUNT(M$26:M$27,M22))," "),"")</f>
        <v/>
      </c>
      <c r="AR85" s="287" t="str">
        <f aca="false">IFERROR(IF(N$26*N$27*N22&gt;0,STDEV(N$26:N$27,N22)," ")/IF(N$26*N$27*N22&gt;0,SQRT(COUNT(N$26:N$27,N22))," "),"")</f>
        <v/>
      </c>
    </row>
    <row r="86" customFormat="false" ht="15.75" hidden="false" customHeight="false" outlineLevel="0" collapsed="false">
      <c r="A86" s="290" t="s">
        <v>410</v>
      </c>
      <c r="B86" s="281"/>
      <c r="C86" s="302" t="str">
        <f aca="false">IFERROR(IF(C$26*C$27*C23&gt;0,AVERAGE(C$26:C$27,C23),""),"")</f>
        <v/>
      </c>
      <c r="D86" s="302" t="str">
        <f aca="false">IFERROR(IF(D$26*D$27*D23&gt;0,AVERAGE(D$26:D$27,D23),""),"")</f>
        <v/>
      </c>
      <c r="E86" s="302" t="str">
        <f aca="false">IFERROR(IF(E$26*E$27*E23&gt;0,AVERAGE(E$26:E$27,E23),""),"")</f>
        <v/>
      </c>
      <c r="F86" s="302" t="str">
        <f aca="false">IFERROR(IF(F$26*F$27*F23&gt;0,AVERAGE(F$26:F$27,F23),""),"")</f>
        <v/>
      </c>
      <c r="G86" s="302" t="str">
        <f aca="false">IFERROR(IF(G$26*G$27*G23&gt;0,AVERAGE(G$26:G$27,G23),""),"")</f>
        <v/>
      </c>
      <c r="H86" s="302" t="str">
        <f aca="false">IFERROR(IF(H$26*H$27*H23&gt;0,AVERAGE(H$26:H$27,H23),""),"")</f>
        <v/>
      </c>
      <c r="I86" s="302" t="str">
        <f aca="false">IFERROR(IF(I$26*I$27*I23&gt;0,AVERAGE(I$26:I$27,I23),""),"")</f>
        <v/>
      </c>
      <c r="J86" s="302" t="str">
        <f aca="false">IFERROR(IF(J$26*J$27*J23&gt;0,AVERAGE(J$26:J$27,J23),""),"")</f>
        <v/>
      </c>
      <c r="K86" s="302" t="str">
        <f aca="false">IFERROR(IF(K$26*K$27*K23&gt;0,AVERAGE(K$26:K$27,K23),""),"")</f>
        <v/>
      </c>
      <c r="L86" s="302" t="str">
        <f aca="false">IFERROR(IF(L$26*L$27*L23&gt;0,AVERAGE(L$26:L$27,L23),""),"")</f>
        <v/>
      </c>
      <c r="M86" s="302" t="str">
        <f aca="false">IFERROR(IF(M$26*M$27*M23&gt;0,AVERAGE(M$26:M$27,M23),""),"")</f>
        <v/>
      </c>
      <c r="N86" s="302" t="str">
        <f aca="false">IFERROR(IF(N$26*N$27*N23&gt;0,AVERAGE(N$26:N$27,N23),""),"")</f>
        <v/>
      </c>
      <c r="O86" s="282"/>
      <c r="P86" s="282"/>
      <c r="Q86" s="296"/>
      <c r="R86" s="293" t="s">
        <v>411</v>
      </c>
      <c r="S86" s="294" t="str">
        <f aca="false">IFERROR(IF(C$26*C$27*C23&gt;0,STDEV(C$26:C$27,C23),"")/IF(C$26*C$27*C23&gt;0,AVERAGE(C$26:C$27,C23),""),"")</f>
        <v/>
      </c>
      <c r="T86" s="294" t="str">
        <f aca="false">IFERROR(IF(D$26*D$27*D23&gt;0,STDEV(D$26:D$27,D23),"")/IF(D$26*D$27*D23&gt;0,AVERAGE(D$26:D$27,D23),""),"")</f>
        <v/>
      </c>
      <c r="U86" s="294" t="str">
        <f aca="false">IFERROR(IF(E$26*E$27*E23&gt;0,STDEV(E$26:E$27,E23),"")/IF(E$26*E$27*E23&gt;0,AVERAGE(E$26:E$27,E23),""),"")</f>
        <v/>
      </c>
      <c r="V86" s="294" t="str">
        <f aca="false">IFERROR(IF(F$26*F$27*F23&gt;0,STDEV(F$26:F$27,F23),"")/IF(F$26*F$27*F23&gt;0,AVERAGE(F$26:F$27,F23),""),"")</f>
        <v/>
      </c>
      <c r="W86" s="294" t="str">
        <f aca="false">IFERROR(IF(G$26*G$27*G23&gt;0,STDEV(G$26:G$27,G23),"")/IF(G$26*G$27*G23&gt;0,AVERAGE(G$26:G$27,G23),""),"")</f>
        <v/>
      </c>
      <c r="X86" s="294" t="str">
        <f aca="false">IFERROR(IF(H$26*H$27*H23&gt;0,STDEV(H$26:H$27,H23),"")/IF(H$26*H$27*H23&gt;0,AVERAGE(H$26:H$27,H23),""),"")</f>
        <v/>
      </c>
      <c r="Y86" s="294" t="str">
        <f aca="false">IFERROR(IF(I$26*I$27*I23&gt;0,STDEV(I$26:I$27,I23),"")/IF(I$26*I$27*I23&gt;0,AVERAGE(I$26:I$27,I23),""),"")</f>
        <v/>
      </c>
      <c r="Z86" s="294" t="str">
        <f aca="false">IFERROR(IF(J$26*J$27*J23&gt;0,STDEV(J$26:J$27,J23),"")/IF(J$26*J$27*J23&gt;0,AVERAGE(J$26:J$27,J23),""),"")</f>
        <v/>
      </c>
      <c r="AA86" s="294" t="str">
        <f aca="false">IFERROR(IF(K$26*K$27*K23&gt;0,STDEV(K$26:K$27,K23),"")/IF(K$26*K$27*K23&gt;0,AVERAGE(K$26:K$27,K23),""),"")</f>
        <v/>
      </c>
      <c r="AB86" s="294" t="str">
        <f aca="false">IFERROR(IF(L$26*L$27*L23&gt;0,STDEV(L$26:L$27,L23),"")/IF(L$26*L$27*L23&gt;0,AVERAGE(L$26:L$27,L23),""),"")</f>
        <v/>
      </c>
      <c r="AC86" s="294" t="str">
        <f aca="false">IFERROR(IF(M$26*M$27*M23&gt;0,STDEV(M$26:M$27,M23),"")/IF(M$26*M$27*M23&gt;0,AVERAGE(M$26:M$27,M23),""),"")</f>
        <v/>
      </c>
      <c r="AD86" s="294" t="str">
        <f aca="false">IFERROR(IF(N$26*N$27*N23&gt;0,STDEV(N$26:N$27,N23),"")/IF(N$26*N$27*N23&gt;0,AVERAGE(N$26:N$27,N23),""),"")</f>
        <v/>
      </c>
      <c r="AE86" s="44"/>
      <c r="AF86" s="266" t="s">
        <v>412</v>
      </c>
      <c r="AG86" s="287" t="str">
        <f aca="false">IFERROR(IF(C$26*C$27*C23&gt;0,STDEV(C$26:C$27,C23)," ")/IF(C$26*C$27*C23&gt;0,SQRT(COUNT(C$26:C$27,C23))," "),"")</f>
        <v/>
      </c>
      <c r="AH86" s="287" t="str">
        <f aca="false">IFERROR(IF(D$26*D$27*D23&gt;0,STDEV(D$26:D$27,D23)," ")/IF(D$26*D$27*D23&gt;0,SQRT(COUNT(D$26:D$27,D23))," "),"")</f>
        <v/>
      </c>
      <c r="AI86" s="287" t="str">
        <f aca="false">IFERROR(IF(E$26*E$27*E23&gt;0,STDEV(E$26:E$27,E23)," ")/IF(E$26*E$27*E23&gt;0,SQRT(COUNT(E$26:E$27,E23))," "),"")</f>
        <v/>
      </c>
      <c r="AJ86" s="287" t="str">
        <f aca="false">IFERROR(IF(F$26*F$27*F23&gt;0,STDEV(F$26:F$27,F23)," ")/IF(F$26*F$27*F23&gt;0,SQRT(COUNT(F$26:F$27,F23))," "),"")</f>
        <v/>
      </c>
      <c r="AK86" s="287" t="str">
        <f aca="false">IFERROR(IF(G$26*G$27*G23&gt;0,STDEV(G$26:G$27,G23)," ")/IF(G$26*G$27*G23&gt;0,SQRT(COUNT(G$26:G$27,G23))," "),"")</f>
        <v/>
      </c>
      <c r="AL86" s="287" t="str">
        <f aca="false">IFERROR(IF(H$26*H$27*H23&gt;0,STDEV(H$26:H$27,H23)," ")/IF(H$26*H$27*H23&gt;0,SQRT(COUNT(H$26:H$27,H23))," "),"")</f>
        <v/>
      </c>
      <c r="AM86" s="287" t="str">
        <f aca="false">IFERROR(IF(I$26*I$27*I23&gt;0,STDEV(I$26:I$27,I23)," ")/IF(I$26*I$27*I23&gt;0,SQRT(COUNT(I$26:I$27,I23))," "),"")</f>
        <v/>
      </c>
      <c r="AN86" s="287" t="str">
        <f aca="false">IFERROR(IF(J$26*J$27*J23&gt;0,STDEV(J$26:J$27,J23)," ")/IF(J$26*J$27*J23&gt;0,SQRT(COUNT(J$26:J$27,J23))," "),"")</f>
        <v/>
      </c>
      <c r="AO86" s="287" t="str">
        <f aca="false">IFERROR(IF(K$26*K$27*K23&gt;0,STDEV(K$26:K$27,K23)," ")/IF(K$26*K$27*K23&gt;0,SQRT(COUNT(K$26:K$27,K23))," "),"")</f>
        <v/>
      </c>
      <c r="AP86" s="287" t="str">
        <f aca="false">IFERROR(IF(L$26*L$27*L23&gt;0,STDEV(L$26:L$27,L23)," ")/IF(L$26*L$27*L23&gt;0,SQRT(COUNT(L$26:L$27,L23))," "),"")</f>
        <v/>
      </c>
      <c r="AQ86" s="287" t="str">
        <f aca="false">IFERROR(IF(M$26*M$27*M23&gt;0,STDEV(M$26:M$27,M23)," ")/IF(M$26*M$27*M23&gt;0,SQRT(COUNT(M$26:M$27,M23))," "),"")</f>
        <v/>
      </c>
      <c r="AR86" s="287" t="str">
        <f aca="false">IFERROR(IF(N$26*N$27*N23&gt;0,STDEV(N$26:N$27,N23)," ")/IF(N$26*N$27*N23&gt;0,SQRT(COUNT(N$26:N$27,N23))," "),"")</f>
        <v/>
      </c>
    </row>
    <row r="87" customFormat="false" ht="15.75" hidden="false" customHeight="false" outlineLevel="0" collapsed="false">
      <c r="A87" s="290" t="s">
        <v>413</v>
      </c>
      <c r="B87" s="281"/>
      <c r="C87" s="302" t="str">
        <f aca="false">IFERROR(IF(C$26*C$27*C24&gt;0,AVERAGE(C$26:C$27,C24),""),"")</f>
        <v/>
      </c>
      <c r="D87" s="302" t="str">
        <f aca="false">IFERROR(IF(D$26*D$27*D24&gt;0,AVERAGE(D$26:D$27,D24),""),"")</f>
        <v/>
      </c>
      <c r="E87" s="302" t="str">
        <f aca="false">IFERROR(IF(E$26*E$27*E24&gt;0,AVERAGE(E$26:E$27,E24),""),"")</f>
        <v/>
      </c>
      <c r="F87" s="302" t="str">
        <f aca="false">IFERROR(IF(F$26*F$27*F24&gt;0,AVERAGE(F$26:F$27,F24),""),"")</f>
        <v/>
      </c>
      <c r="G87" s="302" t="str">
        <f aca="false">IFERROR(IF(G$26*G$27*G24&gt;0,AVERAGE(G$26:G$27,G24),""),"")</f>
        <v/>
      </c>
      <c r="H87" s="302" t="str">
        <f aca="false">IFERROR(IF(H$26*H$27*H24&gt;0,AVERAGE(H$26:H$27,H24),""),"")</f>
        <v/>
      </c>
      <c r="I87" s="302" t="str">
        <f aca="false">IFERROR(IF(I$26*I$27*I24&gt;0,AVERAGE(I$26:I$27,I24),""),"")</f>
        <v/>
      </c>
      <c r="J87" s="302" t="str">
        <f aca="false">IFERROR(IF(J$26*J$27*J24&gt;0,AVERAGE(J$26:J$27,J24),""),"")</f>
        <v/>
      </c>
      <c r="K87" s="302" t="str">
        <f aca="false">IFERROR(IF(K$26*K$27*K24&gt;0,AVERAGE(K$26:K$27,K24),""),"")</f>
        <v/>
      </c>
      <c r="L87" s="302" t="str">
        <f aca="false">IFERROR(IF(L$26*L$27*L24&gt;0,AVERAGE(L$26:L$27,L24),""),"")</f>
        <v/>
      </c>
      <c r="M87" s="302" t="str">
        <f aca="false">IFERROR(IF(M$26*M$27*M24&gt;0,AVERAGE(M$26:M$27,M24),""),"")</f>
        <v/>
      </c>
      <c r="N87" s="302" t="str">
        <f aca="false">IFERROR(IF(N$26*N$27*N24&gt;0,AVERAGE(N$26:N$27,N24),""),"")</f>
        <v/>
      </c>
      <c r="O87" s="282"/>
      <c r="P87" s="282"/>
      <c r="Q87" s="296"/>
      <c r="R87" s="293" t="s">
        <v>414</v>
      </c>
      <c r="S87" s="294" t="str">
        <f aca="false">IFERROR(IF(C$26*C$27*C24&gt;0,STDEV(C$26:C$27,C24),"")/IF(C$26*C$27*C24&gt;0,AVERAGE(C$26:C$27,C24),""),"")</f>
        <v/>
      </c>
      <c r="T87" s="294" t="str">
        <f aca="false">IFERROR(IF(D$26*D$27*D24&gt;0,STDEV(D$26:D$27,D24),"")/IF(D$26*D$27*D24&gt;0,AVERAGE(D$26:D$27,D24),""),"")</f>
        <v/>
      </c>
      <c r="U87" s="294" t="str">
        <f aca="false">IFERROR(IF(E$26*E$27*E24&gt;0,STDEV(E$26:E$27,E24),"")/IF(E$26*E$27*E24&gt;0,AVERAGE(E$26:E$27,E24),""),"")</f>
        <v/>
      </c>
      <c r="V87" s="294" t="str">
        <f aca="false">IFERROR(IF(F$26*F$27*F24&gt;0,STDEV(F$26:F$27,F24),"")/IF(F$26*F$27*F24&gt;0,AVERAGE(F$26:F$27,F24),""),"")</f>
        <v/>
      </c>
      <c r="W87" s="294" t="str">
        <f aca="false">IFERROR(IF(G$26*G$27*G24&gt;0,STDEV(G$26:G$27,G24),"")/IF(G$26*G$27*G24&gt;0,AVERAGE(G$26:G$27,G24),""),"")</f>
        <v/>
      </c>
      <c r="X87" s="294" t="str">
        <f aca="false">IFERROR(IF(H$26*H$27*H24&gt;0,STDEV(H$26:H$27,H24),"")/IF(H$26*H$27*H24&gt;0,AVERAGE(H$26:H$27,H24),""),"")</f>
        <v/>
      </c>
      <c r="Y87" s="294" t="str">
        <f aca="false">IFERROR(IF(I$26*I$27*I24&gt;0,STDEV(I$26:I$27,I24),"")/IF(I$26*I$27*I24&gt;0,AVERAGE(I$26:I$27,I24),""),"")</f>
        <v/>
      </c>
      <c r="Z87" s="294" t="str">
        <f aca="false">IFERROR(IF(J$26*J$27*J24&gt;0,STDEV(J$26:J$27,J24),"")/IF(J$26*J$27*J24&gt;0,AVERAGE(J$26:J$27,J24),""),"")</f>
        <v/>
      </c>
      <c r="AA87" s="294" t="str">
        <f aca="false">IFERROR(IF(K$26*K$27*K24&gt;0,STDEV(K$26:K$27,K24),"")/IF(K$26*K$27*K24&gt;0,AVERAGE(K$26:K$27,K24),""),"")</f>
        <v/>
      </c>
      <c r="AB87" s="294" t="str">
        <f aca="false">IFERROR(IF(L$26*L$27*L24&gt;0,STDEV(L$26:L$27,L24),"")/IF(L$26*L$27*L24&gt;0,AVERAGE(L$26:L$27,L24),""),"")</f>
        <v/>
      </c>
      <c r="AC87" s="294" t="str">
        <f aca="false">IFERROR(IF(M$26*M$27*M24&gt;0,STDEV(M$26:M$27,M24),"")/IF(M$26*M$27*M24&gt;0,AVERAGE(M$26:M$27,M24),""),"")</f>
        <v/>
      </c>
      <c r="AD87" s="294" t="str">
        <f aca="false">IFERROR(IF(N$26*N$27*N24&gt;0,STDEV(N$26:N$27,N24),"")/IF(N$26*N$27*N24&gt;0,AVERAGE(N$26:N$27,N24),""),"")</f>
        <v/>
      </c>
      <c r="AE87" s="44"/>
      <c r="AF87" s="266" t="s">
        <v>415</v>
      </c>
      <c r="AG87" s="287" t="str">
        <f aca="false">IFERROR(IF(C$26*C$27*C24&gt;0,STDEV(C$26:C$27,C24)," ")/IF(C$26*C$27*C24&gt;0,SQRT(COUNT(C$26:C$27,C24))," "),"")</f>
        <v/>
      </c>
      <c r="AH87" s="287" t="str">
        <f aca="false">IFERROR(IF(D$26*D$27*D24&gt;0,STDEV(D$26:D$27,D24)," ")/IF(D$26*D$27*D24&gt;0,SQRT(COUNT(D$26:D$27,D24))," "),"")</f>
        <v/>
      </c>
      <c r="AI87" s="287" t="str">
        <f aca="false">IFERROR(IF(E$26*E$27*E24&gt;0,STDEV(E$26:E$27,E24)," ")/IF(E$26*E$27*E24&gt;0,SQRT(COUNT(E$26:E$27,E24))," "),"")</f>
        <v/>
      </c>
      <c r="AJ87" s="287" t="str">
        <f aca="false">IFERROR(IF(F$26*F$27*F24&gt;0,STDEV(F$26:F$27,F24)," ")/IF(F$26*F$27*F24&gt;0,SQRT(COUNT(F$26:F$27,F24))," "),"")</f>
        <v/>
      </c>
      <c r="AK87" s="287" t="str">
        <f aca="false">IFERROR(IF(G$26*G$27*G24&gt;0,STDEV(G$26:G$27,G24)," ")/IF(G$26*G$27*G24&gt;0,SQRT(COUNT(G$26:G$27,G24))," "),"")</f>
        <v/>
      </c>
      <c r="AL87" s="287" t="str">
        <f aca="false">IFERROR(IF(H$26*H$27*H24&gt;0,STDEV(H$26:H$27,H24)," ")/IF(H$26*H$27*H24&gt;0,SQRT(COUNT(H$26:H$27,H24))," "),"")</f>
        <v/>
      </c>
      <c r="AM87" s="287" t="str">
        <f aca="false">IFERROR(IF(I$26*I$27*I24&gt;0,STDEV(I$26:I$27,I24)," ")/IF(I$26*I$27*I24&gt;0,SQRT(COUNT(I$26:I$27,I24))," "),"")</f>
        <v/>
      </c>
      <c r="AN87" s="287" t="str">
        <f aca="false">IFERROR(IF(J$26*J$27*J24&gt;0,STDEV(J$26:J$27,J24)," ")/IF(J$26*J$27*J24&gt;0,SQRT(COUNT(J$26:J$27,J24))," "),"")</f>
        <v/>
      </c>
      <c r="AO87" s="287" t="str">
        <f aca="false">IFERROR(IF(K$26*K$27*K24&gt;0,STDEV(K$26:K$27,K24)," ")/IF(K$26*K$27*K24&gt;0,SQRT(COUNT(K$26:K$27,K24))," "),"")</f>
        <v/>
      </c>
      <c r="AP87" s="287" t="str">
        <f aca="false">IFERROR(IF(L$26*L$27*L24&gt;0,STDEV(L$26:L$27,L24)," ")/IF(L$26*L$27*L24&gt;0,SQRT(COUNT(L$26:L$27,L24))," "),"")</f>
        <v/>
      </c>
      <c r="AQ87" s="287" t="str">
        <f aca="false">IFERROR(IF(M$26*M$27*M24&gt;0,STDEV(M$26:M$27,M24)," ")/IF(M$26*M$27*M24&gt;0,SQRT(COUNT(M$26:M$27,M24))," "),"")</f>
        <v/>
      </c>
      <c r="AR87" s="287" t="str">
        <f aca="false">IFERROR(IF(N$26*N$27*N24&gt;0,STDEV(N$26:N$27,N24)," ")/IF(N$26*N$27*N24&gt;0,SQRT(COUNT(N$26:N$27,N24))," "),"")</f>
        <v/>
      </c>
    </row>
    <row r="88" customFormat="false" ht="15.75" hidden="false" customHeight="false" outlineLevel="0" collapsed="false">
      <c r="A88" s="290" t="s">
        <v>416</v>
      </c>
      <c r="B88" s="281"/>
      <c r="C88" s="302" t="str">
        <f aca="false">IFERROR(IF(C$21*C$23*C$25&gt;0,AVERAGE(C$21,C$23,C$25),""),"")</f>
        <v/>
      </c>
      <c r="D88" s="302" t="str">
        <f aca="false">IFERROR(IF(D$21*D$23*D$25&gt;0,AVERAGE(D$21,D$23,D$25),""),"")</f>
        <v/>
      </c>
      <c r="E88" s="302" t="str">
        <f aca="false">IFERROR(IF(E$21*E$23*E$25&gt;0,AVERAGE(E$21,E$23,E$25),""),"")</f>
        <v/>
      </c>
      <c r="F88" s="302" t="str">
        <f aca="false">IFERROR(IF(F$21*F$23*F$25&gt;0,AVERAGE(F$21,F$23,F$25),""),"")</f>
        <v/>
      </c>
      <c r="G88" s="302" t="str">
        <f aca="false">IFERROR(IF(G$21*G$23*G$25&gt;0,AVERAGE(G$21,G$23,G$25),""),"")</f>
        <v/>
      </c>
      <c r="H88" s="302" t="str">
        <f aca="false">IFERROR(IF(H$21*H$23*H$25&gt;0,AVERAGE(H$21,H$23,H$25),""),"")</f>
        <v/>
      </c>
      <c r="I88" s="302" t="str">
        <f aca="false">IFERROR(IF(I$21*I$23*I$25&gt;0,AVERAGE(I$21,I$23,I$25),""),"")</f>
        <v/>
      </c>
      <c r="J88" s="302" t="str">
        <f aca="false">IFERROR(IF(J$21*J$23*J$25&gt;0,AVERAGE(J$21,J$23,J$25),""),"")</f>
        <v/>
      </c>
      <c r="K88" s="302" t="str">
        <f aca="false">IFERROR(IF(K$21*K$23*K$25&gt;0,AVERAGE(K$21,K$23,K$25),""),"")</f>
        <v/>
      </c>
      <c r="L88" s="302" t="str">
        <f aca="false">IFERROR(IF(L$21*L$23*L$25&gt;0,AVERAGE(L$21,L$23,L$25),""),"")</f>
        <v/>
      </c>
      <c r="M88" s="302" t="str">
        <f aca="false">IFERROR(IF(M$21*M$23*M$25&gt;0,AVERAGE(M$21,M$23,M$25),""),"")</f>
        <v/>
      </c>
      <c r="N88" s="302" t="str">
        <f aca="false">IFERROR(IF(N$21*N$23*N$25&gt;0,AVERAGE(N$21,N$23,N$25),""),"")</f>
        <v/>
      </c>
      <c r="O88" s="282"/>
      <c r="P88" s="282"/>
      <c r="Q88" s="296"/>
      <c r="R88" s="293" t="s">
        <v>417</v>
      </c>
      <c r="S88" s="294" t="str">
        <f aca="false">IFERROR(IF(C$21*C$23*C$25&gt;0,STDEV(C$21,C$23,C$25),"")/IF(C$21*C$23*C$25&gt;0,AVERAGE(C$21,C$23,C$25),""),"")</f>
        <v/>
      </c>
      <c r="T88" s="294" t="str">
        <f aca="false">IFERROR(IF(D$21*D$23*D$25&gt;0,STDEV(D$21,D$23,D$25),"")/IF(D$21*D$23*D$25&gt;0,AVERAGE(D$21,D$23,D$25),""),"")</f>
        <v/>
      </c>
      <c r="U88" s="294" t="str">
        <f aca="false">IFERROR(IF(E$21*E$23*E$25&gt;0,STDEV(E$21,E$23,E$25),"")/IF(E$21*E$23*E$25&gt;0,AVERAGE(E$21,E$23,E$25),""),"")</f>
        <v/>
      </c>
      <c r="V88" s="294" t="str">
        <f aca="false">IFERROR(IF(F$21*F$23*F$25&gt;0,STDEV(F$21,F$23,F$25),"")/IF(F$21*F$23*F$25&gt;0,AVERAGE(F$21,F$23,F$25),""),"")</f>
        <v/>
      </c>
      <c r="W88" s="294" t="str">
        <f aca="false">IFERROR(IF(G$21*G$23*G$25&gt;0,STDEV(G$21,G$23,G$25),"")/IF(G$21*G$23*G$25&gt;0,AVERAGE(G$21,G$23,G$25),""),"")</f>
        <v/>
      </c>
      <c r="X88" s="294" t="str">
        <f aca="false">IFERROR(IF(H$21*H$23*H$25&gt;0,STDEV(H$21,H$23,H$25),"")/IF(H$21*H$23*H$25&gt;0,AVERAGE(H$21,H$23,H$25),""),"")</f>
        <v/>
      </c>
      <c r="Y88" s="294" t="str">
        <f aca="false">IFERROR(IF(I$21*I$23*I$25&gt;0,STDEV(I$21,I$23,I$25),"")/IF(I$21*I$23*I$25&gt;0,AVERAGE(I$21,I$23,I$25),""),"")</f>
        <v/>
      </c>
      <c r="Z88" s="294" t="str">
        <f aca="false">IFERROR(IF(J$21*J$23*J$25&gt;0,STDEV(J$21,J$23,J$25),"")/IF(J$21*J$23*J$25&gt;0,AVERAGE(J$21,J$23,J$25),""),"")</f>
        <v/>
      </c>
      <c r="AA88" s="294" t="str">
        <f aca="false">IFERROR(IF(K$21*K$23*K$25&gt;0,STDEV(K$21,K$23,K$25),"")/IF(K$21*K$23*K$25&gt;0,AVERAGE(K$21,K$23,K$25),""),"")</f>
        <v/>
      </c>
      <c r="AB88" s="294" t="str">
        <f aca="false">IFERROR(IF(L$21*L$23*L$25&gt;0,STDEV(L$21,L$23,L$25),"")/IF(L$21*L$23*L$25&gt;0,AVERAGE(L$21,L$23,L$25),""),"")</f>
        <v/>
      </c>
      <c r="AC88" s="294" t="str">
        <f aca="false">IFERROR(IF(M$21*M$23*M$25&gt;0,STDEV(M$21,M$23,M$25),"")/IF(M$21*M$23*M$25&gt;0,AVERAGE(M$21,M$23,M$25),""),"")</f>
        <v/>
      </c>
      <c r="AD88" s="294" t="str">
        <f aca="false">IFERROR(IF(N$21*N$23*N$25&gt;0,STDEV(N$21,N$23,N$25),"")/IF(N$21*N$23*N$25&gt;0,AVERAGE(N$21,N$23,N$25),""),"")</f>
        <v/>
      </c>
      <c r="AE88" s="44"/>
      <c r="AF88" s="266" t="s">
        <v>418</v>
      </c>
      <c r="AG88" s="287" t="str">
        <f aca="false">IFERROR(IF(C$21*C$23*C$25&gt;0,STDEV(C$21,C$23,C$25)," ")/IF(C$21*C$23*C$25&gt;0,SQRT(COUNT(C$21,C$23,C$25))," "),"")</f>
        <v/>
      </c>
      <c r="AH88" s="287" t="str">
        <f aca="false">IFERROR(IF(D$21*D$23*D$25&gt;0,STDEV(D$21,D$23,D$25)," ")/IF(D$21*D$23*D$25&gt;0,SQRT(COUNT(D$21,D$23,D$25))," "),"")</f>
        <v/>
      </c>
      <c r="AI88" s="287" t="str">
        <f aca="false">IFERROR(IF(E$21*E$23*E$25&gt;0,STDEV(E$21,E$23,E$25)," ")/IF(E$21*E$23*E$25&gt;0,SQRT(COUNT(E$21,E$23,E$25))," "),"")</f>
        <v/>
      </c>
      <c r="AJ88" s="287" t="str">
        <f aca="false">IFERROR(IF(F$21*F$23*F$25&gt;0,STDEV(F$21,F$23,F$25)," ")/IF(F$21*F$23*F$25&gt;0,SQRT(COUNT(F$21,F$23,F$25))," "),"")</f>
        <v/>
      </c>
      <c r="AK88" s="287" t="str">
        <f aca="false">IFERROR(IF(G$21*G$23*G$25&gt;0,STDEV(G$21,G$23,G$25)," ")/IF(G$21*G$23*G$25&gt;0,SQRT(COUNT(G$21,G$23,G$25))," "),"")</f>
        <v/>
      </c>
      <c r="AL88" s="287" t="str">
        <f aca="false">IFERROR(IF(H$21*H$23*H$25&gt;0,STDEV(H$21,H$23,H$25)," ")/IF(H$21*H$23*H$25&gt;0,SQRT(COUNT(H$21,H$23,H$25))," "),"")</f>
        <v/>
      </c>
      <c r="AM88" s="287" t="str">
        <f aca="false">IFERROR(IF(I$21*I$23*I$25&gt;0,STDEV(I$21,I$23,I$25)," ")/IF(I$21*I$23*I$25&gt;0,SQRT(COUNT(I$21,I$23,I$25))," "),"")</f>
        <v/>
      </c>
      <c r="AN88" s="287" t="str">
        <f aca="false">IFERROR(IF(J$21*J$23*J$25&gt;0,STDEV(J$21,J$23,J$25)," ")/IF(J$21*J$23*J$25&gt;0,SQRT(COUNT(J$21,J$23,J$25))," "),"")</f>
        <v/>
      </c>
      <c r="AO88" s="287" t="str">
        <f aca="false">IFERROR(IF(K$21*K$23*K$25&gt;0,STDEV(K$21,K$23,K$25)," ")/IF(K$21*K$23*K$25&gt;0,SQRT(COUNT(K$21,K$23,K$25))," "),"")</f>
        <v/>
      </c>
      <c r="AP88" s="287" t="str">
        <f aca="false">IFERROR(IF(L$21*L$23*L$25&gt;0,STDEV(L$21,L$23,L$25)," ")/IF(L$21*L$23*L$25&gt;0,SQRT(COUNT(L$21,L$23,L$25))," "),"")</f>
        <v/>
      </c>
      <c r="AQ88" s="287" t="str">
        <f aca="false">IFERROR(IF(M$21*M$23*M$25&gt;0,STDEV(M$21,M$23,M$25)," ")/IF(M$21*M$23*M$25&gt;0,SQRT(COUNT(M$21,M$23,M$25))," "),"")</f>
        <v/>
      </c>
      <c r="AR88" s="287" t="str">
        <f aca="false">IFERROR(IF(N$21*N$23*N$25&gt;0,STDEV(N$21,N$23,N$25)," ")/IF(N$21*N$23*N$25&gt;0,SQRT(COUNT(N$21,N$23,N$25))," "),"")</f>
        <v/>
      </c>
    </row>
    <row r="89" customFormat="false" ht="15.75" hidden="false" customHeight="false" outlineLevel="0" collapsed="false">
      <c r="A89" s="290" t="s">
        <v>419</v>
      </c>
      <c r="B89" s="281"/>
      <c r="C89" s="302" t="str">
        <f aca="false">IFERROR(IF(C$21*C$24*C$26&gt;0,AVERAGE(C$21,C$24,C$26),""),"")</f>
        <v/>
      </c>
      <c r="D89" s="302" t="str">
        <f aca="false">IFERROR(IF(D$21*D$24*D$26&gt;0,AVERAGE(D$21,D$24,D$26),""),"")</f>
        <v/>
      </c>
      <c r="E89" s="302" t="str">
        <f aca="false">IFERROR(IF(E$21*E$24*E$26&gt;0,AVERAGE(E$21,E$24,E$26),""),"")</f>
        <v/>
      </c>
      <c r="F89" s="302" t="str">
        <f aca="false">IFERROR(IF(F$21*F$24*F$26&gt;0,AVERAGE(F$21,F$24,F$26),""),"")</f>
        <v/>
      </c>
      <c r="G89" s="302" t="str">
        <f aca="false">IFERROR(IF(G$21*G$24*G$26&gt;0,AVERAGE(G$21,G$24,G$26),""),"")</f>
        <v/>
      </c>
      <c r="H89" s="302" t="str">
        <f aca="false">IFERROR(IF(H$21*H$24*H$26&gt;0,AVERAGE(H$21,H$24,H$26),""),"")</f>
        <v/>
      </c>
      <c r="I89" s="302" t="str">
        <f aca="false">IFERROR(IF(I$21*I$24*I$26&gt;0,AVERAGE(I$21,I$24,I$26),""),"")</f>
        <v/>
      </c>
      <c r="J89" s="302" t="str">
        <f aca="false">IFERROR(IF(J$21*J$24*J$26&gt;0,AVERAGE(J$21,J$24,J$26),""),"")</f>
        <v/>
      </c>
      <c r="K89" s="302" t="str">
        <f aca="false">IFERROR(IF(K$21*K$24*K$26&gt;0,AVERAGE(K$21,K$24,K$26),""),"")</f>
        <v/>
      </c>
      <c r="L89" s="302" t="str">
        <f aca="false">IFERROR(IF(L$21*L$24*L$26&gt;0,AVERAGE(L$21,L$24,L$26),""),"")</f>
        <v/>
      </c>
      <c r="M89" s="302" t="str">
        <f aca="false">IFERROR(IF(M$21*M$24*M$26&gt;0,AVERAGE(M$21,M$24,M$26),""),"")</f>
        <v/>
      </c>
      <c r="N89" s="302" t="str">
        <f aca="false">IFERROR(IF(N$21*N$24*N$26&gt;0,AVERAGE(N$21,N$24,N$26),""),"")</f>
        <v/>
      </c>
      <c r="O89" s="282"/>
      <c r="P89" s="282"/>
      <c r="Q89" s="296"/>
      <c r="R89" s="293" t="s">
        <v>420</v>
      </c>
      <c r="S89" s="294" t="str">
        <f aca="false">IFERROR(IF(C$21*C$24*C$26&gt;0,STDEV(C$21,C$24,C$26),"")/IF(C$21*C$24*C$26&gt;0,AVERAGE(C$21,C$24,C$26),""),"")</f>
        <v/>
      </c>
      <c r="T89" s="294" t="str">
        <f aca="false">IFERROR(IF(D$21*D$24*D$26&gt;0,STDEV(D$21,D$24,D$26),"")/IF(D$21*D$24*D$26&gt;0,AVERAGE(D$21,D$24,D$26),""),"")</f>
        <v/>
      </c>
      <c r="U89" s="294" t="str">
        <f aca="false">IFERROR(IF(E$21*E$24*E$26&gt;0,STDEV(E$21,E$24,E$26),"")/IF(E$21*E$24*E$26&gt;0,AVERAGE(E$21,E$24,E$26),""),"")</f>
        <v/>
      </c>
      <c r="V89" s="294" t="str">
        <f aca="false">IFERROR(IF(F$21*F$24*F$26&gt;0,STDEV(F$21,F$24,F$26),"")/IF(F$21*F$24*F$26&gt;0,AVERAGE(F$21,F$24,F$26),""),"")</f>
        <v/>
      </c>
      <c r="W89" s="294" t="str">
        <f aca="false">IFERROR(IF(G$21*G$24*G$26&gt;0,STDEV(G$21,G$24,G$26),"")/IF(G$21*G$24*G$26&gt;0,AVERAGE(G$21,G$24,G$26),""),"")</f>
        <v/>
      </c>
      <c r="X89" s="294" t="str">
        <f aca="false">IFERROR(IF(H$21*H$24*H$26&gt;0,STDEV(H$21,H$24,H$26),"")/IF(H$21*H$24*H$26&gt;0,AVERAGE(H$21,H$24,H$26),""),"")</f>
        <v/>
      </c>
      <c r="Y89" s="294" t="str">
        <f aca="false">IFERROR(IF(I$21*I$24*I$26&gt;0,STDEV(I$21,I$24,I$26),"")/IF(I$21*I$24*I$26&gt;0,AVERAGE(I$21,I$24,I$26),""),"")</f>
        <v/>
      </c>
      <c r="Z89" s="294" t="str">
        <f aca="false">IFERROR(IF(J$21*J$24*J$26&gt;0,STDEV(J$21,J$24,J$26),"")/IF(J$21*J$24*J$26&gt;0,AVERAGE(J$21,J$24,J$26),""),"")</f>
        <v/>
      </c>
      <c r="AA89" s="294" t="str">
        <f aca="false">IFERROR(IF(K$21*K$24*K$26&gt;0,STDEV(K$21,K$24,K$26),"")/IF(K$21*K$24*K$26&gt;0,AVERAGE(K$21,K$24,K$26),""),"")</f>
        <v/>
      </c>
      <c r="AB89" s="294" t="str">
        <f aca="false">IFERROR(IF(L$21*L$24*L$26&gt;0,STDEV(L$21,L$24,L$26),"")/IF(L$21*L$24*L$26&gt;0,AVERAGE(L$21,L$24,L$26),""),"")</f>
        <v/>
      </c>
      <c r="AC89" s="294" t="str">
        <f aca="false">IFERROR(IF(M$21*M$24*M$26&gt;0,STDEV(M$21,M$24,M$26),"")/IF(M$21*M$24*M$26&gt;0,AVERAGE(M$21,M$24,M$26),""),"")</f>
        <v/>
      </c>
      <c r="AD89" s="294" t="str">
        <f aca="false">IFERROR(IF(N$21*N$24*N$26&gt;0,STDEV(N$21,N$24,N$26),"")/IF(N$21*N$24*N$26&gt;0,AVERAGE(N$21,N$24,N$26),""),"")</f>
        <v/>
      </c>
      <c r="AE89" s="44"/>
      <c r="AF89" s="266" t="s">
        <v>421</v>
      </c>
      <c r="AG89" s="287" t="str">
        <f aca="false">IFERROR(IF(C$21*C$24*C$26&gt;0,STDEV(C$21,C$24,C$26)," ")/IF(C$21*C$24*C$26&gt;0,SQRT(COUNT(C$21,C$24,C$26))," "),"")</f>
        <v/>
      </c>
      <c r="AH89" s="287" t="str">
        <f aca="false">IFERROR(IF(D$21*D$24*D$26&gt;0,STDEV(D$21,D$24,D$26)," ")/IF(D$21*D$24*D$26&gt;0,SQRT(COUNT(D$21,D$24,D$26))," "),"")</f>
        <v/>
      </c>
      <c r="AI89" s="287" t="str">
        <f aca="false">IFERROR(IF(E$21*E$24*E$26&gt;0,STDEV(E$21,E$24,E$26)," ")/IF(E$21*E$24*E$26&gt;0,SQRT(COUNT(E$21,E$24,E$26))," "),"")</f>
        <v/>
      </c>
      <c r="AJ89" s="287" t="str">
        <f aca="false">IFERROR(IF(F$21*F$24*F$26&gt;0,STDEV(F$21,F$24,F$26)," ")/IF(F$21*F$24*F$26&gt;0,SQRT(COUNT(F$21,F$24,F$26))," "),"")</f>
        <v/>
      </c>
      <c r="AK89" s="287" t="str">
        <f aca="false">IFERROR(IF(G$21*G$24*G$26&gt;0,STDEV(G$21,G$24,G$26)," ")/IF(G$21*G$24*G$26&gt;0,SQRT(COUNT(G$21,G$24,G$26))," "),"")</f>
        <v/>
      </c>
      <c r="AL89" s="287" t="str">
        <f aca="false">IFERROR(IF(H$21*H$24*H$26&gt;0,STDEV(H$21,H$24,H$26)," ")/IF(H$21*H$24*H$26&gt;0,SQRT(COUNT(H$21,H$24,H$26))," "),"")</f>
        <v/>
      </c>
      <c r="AM89" s="287" t="str">
        <f aca="false">IFERROR(IF(I$21*I$24*I$26&gt;0,STDEV(I$21,I$24,I$26)," ")/IF(I$21*I$24*I$26&gt;0,SQRT(COUNT(I$21,I$24,I$26))," "),"")</f>
        <v/>
      </c>
      <c r="AN89" s="287" t="str">
        <f aca="false">IFERROR(IF(J$21*J$24*J$26&gt;0,STDEV(J$21,J$24,J$26)," ")/IF(J$21*J$24*J$26&gt;0,SQRT(COUNT(J$21,J$24,J$26))," "),"")</f>
        <v/>
      </c>
      <c r="AO89" s="287" t="str">
        <f aca="false">IFERROR(IF(K$21*K$24*K$26&gt;0,STDEV(K$21,K$24,K$26)," ")/IF(K$21*K$24*K$26&gt;0,SQRT(COUNT(K$21,K$24,K$26))," "),"")</f>
        <v/>
      </c>
      <c r="AP89" s="287" t="str">
        <f aca="false">IFERROR(IF(L$21*L$24*L$26&gt;0,STDEV(L$21,L$24,L$26)," ")/IF(L$21*L$24*L$26&gt;0,SQRT(COUNT(L$21,L$24,L$26))," "),"")</f>
        <v/>
      </c>
      <c r="AQ89" s="287" t="str">
        <f aca="false">IFERROR(IF(M$21*M$24*M$26&gt;0,STDEV(M$21,M$24,M$26)," ")/IF(M$21*M$24*M$26&gt;0,SQRT(COUNT(M$21,M$24,M$26))," "),"")</f>
        <v/>
      </c>
      <c r="AR89" s="287" t="str">
        <f aca="false">IFERROR(IF(N$21*N$24*N$26&gt;0,STDEV(N$21,N$24,N$26)," ")/IF(N$21*N$24*N$26&gt;0,SQRT(COUNT(N$21,N$24,N$26))," "),"")</f>
        <v/>
      </c>
    </row>
    <row r="90" customFormat="false" ht="15.75" hidden="false" customHeight="false" outlineLevel="0" collapsed="false">
      <c r="A90" s="290" t="s">
        <v>422</v>
      </c>
      <c r="B90" s="281"/>
      <c r="C90" s="302" t="str">
        <f aca="false">IFERROR(IF(C$21*C$24*C$27&gt;0,AVERAGE(C$21,C$24,C$27),""),"")</f>
        <v/>
      </c>
      <c r="D90" s="302" t="str">
        <f aca="false">IFERROR(IF(D$21*D$24*D$27&gt;0,AVERAGE(D$21,D$24,D$27),""),"")</f>
        <v/>
      </c>
      <c r="E90" s="302" t="str">
        <f aca="false">IFERROR(IF(E$21*E$24*E$27&gt;0,AVERAGE(E$21,E$24,E$27),""),"")</f>
        <v/>
      </c>
      <c r="F90" s="302" t="str">
        <f aca="false">IFERROR(IF(F$21*F$24*F$27&gt;0,AVERAGE(F$21,F$24,F$27),""),"")</f>
        <v/>
      </c>
      <c r="G90" s="302" t="str">
        <f aca="false">IFERROR(IF(G$21*G$24*G$27&gt;0,AVERAGE(G$21,G$24,G$27),""),"")</f>
        <v/>
      </c>
      <c r="H90" s="302" t="str">
        <f aca="false">IFERROR(IF(H$21*H$24*H$27&gt;0,AVERAGE(H$21,H$24,H$27),""),"")</f>
        <v/>
      </c>
      <c r="I90" s="302" t="str">
        <f aca="false">IFERROR(IF(I$21*I$24*I$27&gt;0,AVERAGE(I$21,I$24,I$27),""),"")</f>
        <v/>
      </c>
      <c r="J90" s="302" t="str">
        <f aca="false">IFERROR(IF(J$21*J$24*J$27&gt;0,AVERAGE(J$21,J$24,J$27),""),"")</f>
        <v/>
      </c>
      <c r="K90" s="302" t="str">
        <f aca="false">IFERROR(IF(K$21*K$24*K$27&gt;0,AVERAGE(K$21,K$24,K$27),""),"")</f>
        <v/>
      </c>
      <c r="L90" s="302" t="str">
        <f aca="false">IFERROR(IF(L$21*L$24*L$27&gt;0,AVERAGE(L$21,L$24,L$27),""),"")</f>
        <v/>
      </c>
      <c r="M90" s="302" t="str">
        <f aca="false">IFERROR(IF(M$21*M$24*M$27&gt;0,AVERAGE(M$21,M$24,M$27),""),"")</f>
        <v/>
      </c>
      <c r="N90" s="302" t="str">
        <f aca="false">IFERROR(IF(N$21*N$24*N$27&gt;0,AVERAGE(N$21,N$24,N$27),""),"")</f>
        <v/>
      </c>
      <c r="O90" s="282"/>
      <c r="P90" s="282"/>
      <c r="Q90" s="296"/>
      <c r="R90" s="293" t="s">
        <v>423</v>
      </c>
      <c r="S90" s="294" t="str">
        <f aca="false">IFERROR(IF(C$21*C$24*C$27&gt;0,STDEV(C$21,C$24,C$27),"")/IF(C$21*C$24*C$27&gt;0,AVERAGE(C$21,C$24,C$27),""),"")</f>
        <v/>
      </c>
      <c r="T90" s="294" t="str">
        <f aca="false">IFERROR(IF(D$21*D$24*D$27&gt;0,STDEV(D$21,D$24,D$27),"")/IF(D$21*D$24*D$27&gt;0,AVERAGE(D$21,D$24,D$27),""),"")</f>
        <v/>
      </c>
      <c r="U90" s="294" t="str">
        <f aca="false">IFERROR(IF(E$21*E$24*E$27&gt;0,STDEV(E$21,E$24,E$27),"")/IF(E$21*E$24*E$27&gt;0,AVERAGE(E$21,E$24,E$27),""),"")</f>
        <v/>
      </c>
      <c r="V90" s="294" t="str">
        <f aca="false">IFERROR(IF(F$21*F$24*F$27&gt;0,STDEV(F$21,F$24,F$27),"")/IF(F$21*F$24*F$27&gt;0,AVERAGE(F$21,F$24,F$27),""),"")</f>
        <v/>
      </c>
      <c r="W90" s="294" t="str">
        <f aca="false">IFERROR(IF(G$21*G$24*G$27&gt;0,STDEV(G$21,G$24,G$27),"")/IF(G$21*G$24*G$27&gt;0,AVERAGE(G$21,G$24,G$27),""),"")</f>
        <v/>
      </c>
      <c r="X90" s="294" t="str">
        <f aca="false">IFERROR(IF(H$21*H$24*H$27&gt;0,STDEV(H$21,H$24,H$27),"")/IF(H$21*H$24*H$27&gt;0,AVERAGE(H$21,H$24,H$27),""),"")</f>
        <v/>
      </c>
      <c r="Y90" s="294" t="str">
        <f aca="false">IFERROR(IF(I$21*I$24*I$27&gt;0,STDEV(I$21,I$24,I$27),"")/IF(I$21*I$24*I$27&gt;0,AVERAGE(I$21,I$24,I$27),""),"")</f>
        <v/>
      </c>
      <c r="Z90" s="294" t="str">
        <f aca="false">IFERROR(IF(J$21*J$24*J$27&gt;0,STDEV(J$21,J$24,J$27),"")/IF(J$21*J$24*J$27&gt;0,AVERAGE(J$21,J$24,J$27),""),"")</f>
        <v/>
      </c>
      <c r="AA90" s="294" t="str">
        <f aca="false">IFERROR(IF(K$21*K$24*K$27&gt;0,STDEV(K$21,K$24,K$27),"")/IF(K$21*K$24*K$27&gt;0,AVERAGE(K$21,K$24,K$27),""),"")</f>
        <v/>
      </c>
      <c r="AB90" s="294" t="str">
        <f aca="false">IFERROR(IF(L$21*L$24*L$27&gt;0,STDEV(L$21,L$24,L$27),"")/IF(L$21*L$24*L$27&gt;0,AVERAGE(L$21,L$24,L$27),""),"")</f>
        <v/>
      </c>
      <c r="AC90" s="294" t="str">
        <f aca="false">IFERROR(IF(M$21*M$24*M$27&gt;0,STDEV(M$21,M$24,M$27),"")/IF(M$21*M$24*M$27&gt;0,AVERAGE(M$21,M$24,M$27),""),"")</f>
        <v/>
      </c>
      <c r="AD90" s="294" t="str">
        <f aca="false">IFERROR(IF(N$21*N$24*N$27&gt;0,STDEV(N$21,N$24,N$27),"")/IF(N$21*N$24*N$27&gt;0,AVERAGE(N$21,N$24,N$27),""),"")</f>
        <v/>
      </c>
      <c r="AE90" s="44"/>
      <c r="AF90" s="266" t="s">
        <v>424</v>
      </c>
      <c r="AG90" s="287" t="str">
        <f aca="false">IFERROR(IF(C$21*C$24*C$27&gt;0,STDEV(C$21,C$24,C$27)," ")/IF(C$21*C$24*C$27&gt;0,SQRT(COUNT(C$21,C$24,C$27))," "),"")</f>
        <v/>
      </c>
      <c r="AH90" s="287" t="str">
        <f aca="false">IFERROR(IF(D$21*D$24*D$27&gt;0,STDEV(D$21,D$24,D$27)," ")/IF(D$21*D$24*D$27&gt;0,SQRT(COUNT(D$21,D$24,D$27))," "),"")</f>
        <v/>
      </c>
      <c r="AI90" s="287" t="str">
        <f aca="false">IFERROR(IF(E$21*E$24*E$27&gt;0,STDEV(E$21,E$24,E$27)," ")/IF(E$21*E$24*E$27&gt;0,SQRT(COUNT(E$21,E$24,E$27))," "),"")</f>
        <v/>
      </c>
      <c r="AJ90" s="287" t="str">
        <f aca="false">IFERROR(IF(F$21*F$24*F$27&gt;0,STDEV(F$21,F$24,F$27)," ")/IF(F$21*F$24*F$27&gt;0,SQRT(COUNT(F$21,F$24,F$27))," "),"")</f>
        <v/>
      </c>
      <c r="AK90" s="287" t="str">
        <f aca="false">IFERROR(IF(G$21*G$24*G$27&gt;0,STDEV(G$21,G$24,G$27)," ")/IF(G$21*G$24*G$27&gt;0,SQRT(COUNT(G$21,G$24,G$27))," "),"")</f>
        <v/>
      </c>
      <c r="AL90" s="287" t="str">
        <f aca="false">IFERROR(IF(H$21*H$24*H$27&gt;0,STDEV(H$21,H$24,H$27)," ")/IF(H$21*H$24*H$27&gt;0,SQRT(COUNT(H$21,H$24,H$27))," "),"")</f>
        <v/>
      </c>
      <c r="AM90" s="287" t="str">
        <f aca="false">IFERROR(IF(I$21*I$24*I$27&gt;0,STDEV(I$21,I$24,I$27)," ")/IF(I$21*I$24*I$27&gt;0,SQRT(COUNT(I$21,I$24,I$27))," "),"")</f>
        <v/>
      </c>
      <c r="AN90" s="287" t="str">
        <f aca="false">IFERROR(IF(J$21*J$24*J$27&gt;0,STDEV(J$21,J$24,J$27)," ")/IF(J$21*J$24*J$27&gt;0,SQRT(COUNT(J$21,J$24,J$27))," "),"")</f>
        <v/>
      </c>
      <c r="AO90" s="287" t="str">
        <f aca="false">IFERROR(IF(K$21*K$24*K$27&gt;0,STDEV(K$21,K$24,K$27)," ")/IF(K$21*K$24*K$27&gt;0,SQRT(COUNT(K$21,K$24,K$27))," "),"")</f>
        <v/>
      </c>
      <c r="AP90" s="287" t="str">
        <f aca="false">IFERROR(IF(L$21*L$24*L$27&gt;0,STDEV(L$21,L$24,L$27)," ")/IF(L$21*L$24*L$27&gt;0,SQRT(COUNT(L$21,L$24,L$27))," "),"")</f>
        <v/>
      </c>
      <c r="AQ90" s="287" t="str">
        <f aca="false">IFERROR(IF(M$21*M$24*M$27&gt;0,STDEV(M$21,M$24,M$27)," ")/IF(M$21*M$24*M$27&gt;0,SQRT(COUNT(M$21,M$24,M$27))," "),"")</f>
        <v/>
      </c>
      <c r="AR90" s="287" t="str">
        <f aca="false">IFERROR(IF(N$21*N$24*N$27&gt;0,STDEV(N$21,N$24,N$27)," ")/IF(N$21*N$24*N$27&gt;0,SQRT(COUNT(N$21,N$24,N$27))," "),"")</f>
        <v/>
      </c>
    </row>
    <row r="91" customFormat="false" ht="15.75" hidden="false" customHeight="false" outlineLevel="0" collapsed="false">
      <c r="A91" s="290" t="s">
        <v>425</v>
      </c>
      <c r="B91" s="281"/>
      <c r="C91" s="302" t="str">
        <f aca="false">IFERROR(IF(C$21*C$25*C$27&gt;0,AVERAGE(C$21,C$25,C$27),""),"")</f>
        <v/>
      </c>
      <c r="D91" s="302" t="str">
        <f aca="false">IFERROR(IF(D$21*D$25*D$27&gt;0,AVERAGE(D$21,D$25,D$27),""),"")</f>
        <v/>
      </c>
      <c r="E91" s="302" t="str">
        <f aca="false">IFERROR(IF(E$21*E$25*E$27&gt;0,AVERAGE(E$21,E$25,E$27),""),"")</f>
        <v/>
      </c>
      <c r="F91" s="302" t="str">
        <f aca="false">IFERROR(IF(F$21*F$25*F$27&gt;0,AVERAGE(F$21,F$25,F$27),""),"")</f>
        <v/>
      </c>
      <c r="G91" s="302" t="str">
        <f aca="false">IFERROR(IF(G$21*G$25*G$27&gt;0,AVERAGE(G$21,G$25,G$27),""),"")</f>
        <v/>
      </c>
      <c r="H91" s="302" t="str">
        <f aca="false">IFERROR(IF(H$21*H$25*H$27&gt;0,AVERAGE(H$21,H$25,H$27),""),"")</f>
        <v/>
      </c>
      <c r="I91" s="302" t="str">
        <f aca="false">IFERROR(IF(I$21*I$25*I$27&gt;0,AVERAGE(I$21,I$25,I$27),""),"")</f>
        <v/>
      </c>
      <c r="J91" s="302" t="str">
        <f aca="false">IFERROR(IF(J$21*J$25*J$27&gt;0,AVERAGE(J$21,J$25,J$27),""),"")</f>
        <v/>
      </c>
      <c r="K91" s="302" t="str">
        <f aca="false">IFERROR(IF(K$21*K$25*K$27&gt;0,AVERAGE(K$21,K$25,K$27),""),"")</f>
        <v/>
      </c>
      <c r="L91" s="302" t="str">
        <f aca="false">IFERROR(IF(L$21*L$25*L$27&gt;0,AVERAGE(L$21,L$25,L$27),""),"")</f>
        <v/>
      </c>
      <c r="M91" s="302" t="str">
        <f aca="false">IFERROR(IF(M$21*M$25*M$27&gt;0,AVERAGE(M$21,M$25,M$27),""),"")</f>
        <v/>
      </c>
      <c r="N91" s="302" t="str">
        <f aca="false">IFERROR(IF(N$21*N$25*N$27&gt;0,AVERAGE(N$21,N$25,N$27),""),"")</f>
        <v/>
      </c>
      <c r="O91" s="282"/>
      <c r="P91" s="282"/>
      <c r="Q91" s="296"/>
      <c r="R91" s="293" t="s">
        <v>426</v>
      </c>
      <c r="S91" s="294" t="str">
        <f aca="false">IFERROR(IF(C$21*C$25*C$27&gt;0,STDEV(C$21,C$25,C$27),"")/IF(C$21*C$25*C$27&gt;0,AVERAGE(C$21,C$25,C$27),""),"")</f>
        <v/>
      </c>
      <c r="T91" s="294" t="str">
        <f aca="false">IFERROR(IF(D$21*D$25*D$27&gt;0,STDEV(D$21,D$25,D$27),"")/IF(D$21*D$25*D$27&gt;0,AVERAGE(D$21,D$25,D$27),""),"")</f>
        <v/>
      </c>
      <c r="U91" s="294" t="str">
        <f aca="false">IFERROR(IF(E$21*E$25*E$27&gt;0,STDEV(E$21,E$25,E$27),"")/IF(E$21*E$25*E$27&gt;0,AVERAGE(E$21,E$25,E$27),""),"")</f>
        <v/>
      </c>
      <c r="V91" s="294" t="str">
        <f aca="false">IFERROR(IF(F$21*F$25*F$27&gt;0,STDEV(F$21,F$25,F$27),"")/IF(F$21*F$25*F$27&gt;0,AVERAGE(F$21,F$25,F$27),""),"")</f>
        <v/>
      </c>
      <c r="W91" s="294" t="str">
        <f aca="false">IFERROR(IF(G$21*G$25*G$27&gt;0,STDEV(G$21,G$25,G$27),"")/IF(G$21*G$25*G$27&gt;0,AVERAGE(G$21,G$25,G$27),""),"")</f>
        <v/>
      </c>
      <c r="X91" s="294" t="str">
        <f aca="false">IFERROR(IF(H$21*H$25*H$27&gt;0,STDEV(H$21,H$25,H$27),"")/IF(H$21*H$25*H$27&gt;0,AVERAGE(H$21,H$25,H$27),""),"")</f>
        <v/>
      </c>
      <c r="Y91" s="294" t="str">
        <f aca="false">IFERROR(IF(I$21*I$25*I$27&gt;0,STDEV(I$21,I$25,I$27),"")/IF(I$21*I$25*I$27&gt;0,AVERAGE(I$21,I$25,I$27),""),"")</f>
        <v/>
      </c>
      <c r="Z91" s="294" t="str">
        <f aca="false">IFERROR(IF(J$21*J$25*J$27&gt;0,STDEV(J$21,J$25,J$27),"")/IF(J$21*J$25*J$27&gt;0,AVERAGE(J$21,J$25,J$27),""),"")</f>
        <v/>
      </c>
      <c r="AA91" s="294" t="str">
        <f aca="false">IFERROR(IF(K$21*K$25*K$27&gt;0,STDEV(K$21,K$25,K$27),"")/IF(K$21*K$25*K$27&gt;0,AVERAGE(K$21,K$25,K$27),""),"")</f>
        <v/>
      </c>
      <c r="AB91" s="294" t="str">
        <f aca="false">IFERROR(IF(L$21*L$25*L$27&gt;0,STDEV(L$21,L$25,L$27),"")/IF(L$21*L$25*L$27&gt;0,AVERAGE(L$21,L$25,L$27),""),"")</f>
        <v/>
      </c>
      <c r="AC91" s="294" t="str">
        <f aca="false">IFERROR(IF(M$21*M$25*M$27&gt;0,STDEV(M$21,M$25,M$27),"")/IF(M$21*M$25*M$27&gt;0,AVERAGE(M$21,M$25,M$27),""),"")</f>
        <v/>
      </c>
      <c r="AD91" s="294" t="str">
        <f aca="false">IFERROR(IF(N$21*N$25*N$27&gt;0,STDEV(N$21,N$25,N$27),"")/IF(N$21*N$25*N$27&gt;0,AVERAGE(N$21,N$25,N$27),""),"")</f>
        <v/>
      </c>
      <c r="AE91" s="44"/>
      <c r="AF91" s="266" t="s">
        <v>427</v>
      </c>
      <c r="AG91" s="287" t="str">
        <f aca="false">IFERROR(IF(C$21*C$25*C$27&gt;0,STDEV(C$21,C$25,C$27)," ")/IF(C$21*C$25*C$27&gt;0,SQRT(COUNT(C$21,C$25,C$27))," "),"")</f>
        <v/>
      </c>
      <c r="AH91" s="287" t="str">
        <f aca="false">IFERROR(IF(D$21*D$25*D$27&gt;0,STDEV(D$21,D$25,D$27)," ")/IF(D$21*D$25*D$27&gt;0,SQRT(COUNT(D$21,D$25,D$27))," "),"")</f>
        <v/>
      </c>
      <c r="AI91" s="287" t="str">
        <f aca="false">IFERROR(IF(E$21*E$25*E$27&gt;0,STDEV(E$21,E$25,E$27)," ")/IF(E$21*E$25*E$27&gt;0,SQRT(COUNT(E$21,E$25,E$27))," "),"")</f>
        <v/>
      </c>
      <c r="AJ91" s="287" t="str">
        <f aca="false">IFERROR(IF(F$21*F$25*F$27&gt;0,STDEV(F$21,F$25,F$27)," ")/IF(F$21*F$25*F$27&gt;0,SQRT(COUNT(F$21,F$25,F$27))," "),"")</f>
        <v/>
      </c>
      <c r="AK91" s="287" t="str">
        <f aca="false">IFERROR(IF(G$21*G$25*G$27&gt;0,STDEV(G$21,G$25,G$27)," ")/IF(G$21*G$25*G$27&gt;0,SQRT(COUNT(G$21,G$25,G$27))," "),"")</f>
        <v/>
      </c>
      <c r="AL91" s="287" t="str">
        <f aca="false">IFERROR(IF(H$21*H$25*H$27&gt;0,STDEV(H$21,H$25,H$27)," ")/IF(H$21*H$25*H$27&gt;0,SQRT(COUNT(H$21,H$25,H$27))," "),"")</f>
        <v/>
      </c>
      <c r="AM91" s="287" t="str">
        <f aca="false">IFERROR(IF(I$21*I$25*I$27&gt;0,STDEV(I$21,I$25,I$27)," ")/IF(I$21*I$25*I$27&gt;0,SQRT(COUNT(I$21,I$25,I$27))," "),"")</f>
        <v/>
      </c>
      <c r="AN91" s="287" t="str">
        <f aca="false">IFERROR(IF(J$21*J$25*J$27&gt;0,STDEV(J$21,J$25,J$27)," ")/IF(J$21*J$25*J$27&gt;0,SQRT(COUNT(J$21,J$25,J$27))," "),"")</f>
        <v/>
      </c>
      <c r="AO91" s="287" t="str">
        <f aca="false">IFERROR(IF(K$21*K$25*K$27&gt;0,STDEV(K$21,K$25,K$27)," ")/IF(K$21*K$25*K$27&gt;0,SQRT(COUNT(K$21,K$25,K$27))," "),"")</f>
        <v/>
      </c>
      <c r="AP91" s="287" t="str">
        <f aca="false">IFERROR(IF(L$21*L$25*L$27&gt;0,STDEV(L$21,L$25,L$27)," ")/IF(L$21*L$25*L$27&gt;0,SQRT(COUNT(L$21,L$25,L$27))," "),"")</f>
        <v/>
      </c>
      <c r="AQ91" s="287" t="str">
        <f aca="false">IFERROR(IF(M$21*M$25*M$27&gt;0,STDEV(M$21,M$25,M$27)," ")/IF(M$21*M$25*M$27&gt;0,SQRT(COUNT(M$21,M$25,M$27))," "),"")</f>
        <v/>
      </c>
      <c r="AR91" s="287" t="str">
        <f aca="false">IFERROR(IF(N$21*N$25*N$27&gt;0,STDEV(N$21,N$25,N$27)," ")/IF(N$21*N$25*N$27&gt;0,SQRT(COUNT(N$21,N$25,N$27))," "),"")</f>
        <v/>
      </c>
    </row>
    <row r="92" customFormat="false" ht="15.75" hidden="false" customHeight="false" outlineLevel="0" collapsed="false">
      <c r="A92" s="290" t="s">
        <v>428</v>
      </c>
      <c r="B92" s="281"/>
      <c r="C92" s="302" t="str">
        <f aca="false">IFERROR(IF(C$22*C$24*C$25&gt;0,AVERAGE(C$22,C$24,C$25),""),"")</f>
        <v/>
      </c>
      <c r="D92" s="302" t="str">
        <f aca="false">IFERROR(IF(D$22*D$24*D$25&gt;0,AVERAGE(D$22,D$24,D$25),""),"")</f>
        <v/>
      </c>
      <c r="E92" s="302" t="str">
        <f aca="false">IFERROR(IF(E$22*E$24*E$25&gt;0,AVERAGE(E$22,E$24,E$25),""),"")</f>
        <v/>
      </c>
      <c r="F92" s="302" t="str">
        <f aca="false">IFERROR(IF(F$22*F$24*F$25&gt;0,AVERAGE(F$22,F$24,F$25),""),"")</f>
        <v/>
      </c>
      <c r="G92" s="302" t="str">
        <f aca="false">IFERROR(IF(G$22*G$24*G$25&gt;0,AVERAGE(G$22,G$24,G$25),""),"")</f>
        <v/>
      </c>
      <c r="H92" s="302" t="str">
        <f aca="false">IFERROR(IF(H$22*H$24*H$25&gt;0,AVERAGE(H$22,H$24,H$25),""),"")</f>
        <v/>
      </c>
      <c r="I92" s="302" t="str">
        <f aca="false">IFERROR(IF(I$22*I$24*I$25&gt;0,AVERAGE(I$22,I$24,I$25),""),"")</f>
        <v/>
      </c>
      <c r="J92" s="302" t="str">
        <f aca="false">IFERROR(IF(J$22*J$24*J$25&gt;0,AVERAGE(J$22,J$24,J$25),""),"")</f>
        <v/>
      </c>
      <c r="K92" s="302" t="str">
        <f aca="false">IFERROR(IF(K$22*K$24*K$25&gt;0,AVERAGE(K$22,K$24,K$25),""),"")</f>
        <v/>
      </c>
      <c r="L92" s="302" t="str">
        <f aca="false">IFERROR(IF(L$22*L$24*L$25&gt;0,AVERAGE(L$22,L$24,L$25),""),"")</f>
        <v/>
      </c>
      <c r="M92" s="302" t="str">
        <f aca="false">IFERROR(IF(M$22*M$24*M$25&gt;0,AVERAGE(M$22,M$24,M$25),""),"")</f>
        <v/>
      </c>
      <c r="N92" s="302" t="str">
        <f aca="false">IFERROR(IF(N$22*N$24*N$25&gt;0,AVERAGE(N$22,N$24,N$25),""),"")</f>
        <v/>
      </c>
      <c r="O92" s="282"/>
      <c r="P92" s="282"/>
      <c r="Q92" s="296"/>
      <c r="R92" s="293" t="s">
        <v>429</v>
      </c>
      <c r="S92" s="294" t="str">
        <f aca="false">IFERROR(IF(C$22*C$24*C$25&gt;0,STDEV(C$22,C$24,C$25),"")/IF(C$22*C$24*C$25&gt;0,AVERAGE(C$22,C$24,C$25),""),"")</f>
        <v/>
      </c>
      <c r="T92" s="294" t="str">
        <f aca="false">IFERROR(IF(D$22*D$24*D$25&gt;0,STDEV(D$22,D$24,D$25),"")/IF(D$22*D$24*D$25&gt;0,AVERAGE(D$22,D$24,D$25),""),"")</f>
        <v/>
      </c>
      <c r="U92" s="294" t="str">
        <f aca="false">IFERROR(IF(E$22*E$24*E$25&gt;0,STDEV(E$22,E$24,E$25),"")/IF(E$22*E$24*E$25&gt;0,AVERAGE(E$22,E$24,E$25),""),"")</f>
        <v/>
      </c>
      <c r="V92" s="294" t="str">
        <f aca="false">IFERROR(IF(F$22*F$24*F$25&gt;0,STDEV(F$22,F$24,F$25),"")/IF(F$22*F$24*F$25&gt;0,AVERAGE(F$22,F$24,F$25),""),"")</f>
        <v/>
      </c>
      <c r="W92" s="294" t="str">
        <f aca="false">IFERROR(IF(G$22*G$24*G$25&gt;0,STDEV(G$22,G$24,G$25),"")/IF(G$22*G$24*G$25&gt;0,AVERAGE(G$22,G$24,G$25),""),"")</f>
        <v/>
      </c>
      <c r="X92" s="294" t="str">
        <f aca="false">IFERROR(IF(H$22*H$24*H$25&gt;0,STDEV(H$22,H$24,H$25),"")/IF(H$22*H$24*H$25&gt;0,AVERAGE(H$22,H$24,H$25),""),"")</f>
        <v/>
      </c>
      <c r="Y92" s="294" t="str">
        <f aca="false">IFERROR(IF(I$22*I$24*I$25&gt;0,STDEV(I$22,I$24,I$25),"")/IF(I$22*I$24*I$25&gt;0,AVERAGE(I$22,I$24,I$25),""),"")</f>
        <v/>
      </c>
      <c r="Z92" s="294" t="str">
        <f aca="false">IFERROR(IF(J$22*J$24*J$25&gt;0,STDEV(J$22,J$24,J$25),"")/IF(J$22*J$24*J$25&gt;0,AVERAGE(J$22,J$24,J$25),""),"")</f>
        <v/>
      </c>
      <c r="AA92" s="294" t="str">
        <f aca="false">IFERROR(IF(K$22*K$24*K$25&gt;0,STDEV(K$22,K$24,K$25),"")/IF(K$22*K$24*K$25&gt;0,AVERAGE(K$22,K$24,K$25),""),"")</f>
        <v/>
      </c>
      <c r="AB92" s="294" t="str">
        <f aca="false">IFERROR(IF(L$22*L$24*L$25&gt;0,STDEV(L$22,L$24,L$25),"")/IF(L$22*L$24*L$25&gt;0,AVERAGE(L$22,L$24,L$25),""),"")</f>
        <v/>
      </c>
      <c r="AC92" s="294" t="str">
        <f aca="false">IFERROR(IF(M$22*M$24*M$25&gt;0,STDEV(M$22,M$24,M$25),"")/IF(M$22*M$24*M$25&gt;0,AVERAGE(M$22,M$24,M$25),""),"")</f>
        <v/>
      </c>
      <c r="AD92" s="294" t="str">
        <f aca="false">IFERROR(IF(N$22*N$24*N$25&gt;0,STDEV(N$22,N$24,N$25),"")/IF(N$22*N$24*N$25&gt;0,AVERAGE(N$22,N$24,N$25),""),"")</f>
        <v/>
      </c>
      <c r="AE92" s="44"/>
      <c r="AF92" s="266" t="s">
        <v>430</v>
      </c>
      <c r="AG92" s="287" t="str">
        <f aca="false">IFERROR(IF(C$22*C$24*C$25&gt;0,STDEV(C$22,C$24,C$25)," ")/IF(C$22*C$24*C$25&gt;0,SQRT(COUNT(C$22,C$24,C$25))," "),"")</f>
        <v/>
      </c>
      <c r="AH92" s="287" t="str">
        <f aca="false">IFERROR(IF(D$22*D$24*D$25&gt;0,STDEV(D$22,D$24,D$25)," ")/IF(D$22*D$24*D$25&gt;0,SQRT(COUNT(D$22,D$24,D$25))," "),"")</f>
        <v/>
      </c>
      <c r="AI92" s="287" t="str">
        <f aca="false">IFERROR(IF(E$22*E$24*E$25&gt;0,STDEV(E$22,E$24,E$25)," ")/IF(E$22*E$24*E$25&gt;0,SQRT(COUNT(E$22,E$24,E$25))," "),"")</f>
        <v/>
      </c>
      <c r="AJ92" s="287" t="str">
        <f aca="false">IFERROR(IF(F$22*F$24*F$25&gt;0,STDEV(F$22,F$24,F$25)," ")/IF(F$22*F$24*F$25&gt;0,SQRT(COUNT(F$22,F$24,F$25))," "),"")</f>
        <v/>
      </c>
      <c r="AK92" s="287" t="str">
        <f aca="false">IFERROR(IF(G$22*G$24*G$25&gt;0,STDEV(G$22,G$24,G$25)," ")/IF(G$22*G$24*G$25&gt;0,SQRT(COUNT(G$22,G$24,G$25))," "),"")</f>
        <v/>
      </c>
      <c r="AL92" s="287" t="str">
        <f aca="false">IFERROR(IF(H$22*H$24*H$25&gt;0,STDEV(H$22,H$24,H$25)," ")/IF(H$22*H$24*H$25&gt;0,SQRT(COUNT(H$22,H$24,H$25))," "),"")</f>
        <v/>
      </c>
      <c r="AM92" s="287" t="str">
        <f aca="false">IFERROR(IF(I$22*I$24*I$25&gt;0,STDEV(I$22,I$24,I$25)," ")/IF(I$22*I$24*I$25&gt;0,SQRT(COUNT(I$22,I$24,I$25))," "),"")</f>
        <v/>
      </c>
      <c r="AN92" s="287" t="str">
        <f aca="false">IFERROR(IF(J$22*J$24*J$25&gt;0,STDEV(J$22,J$24,J$25)," ")/IF(J$22*J$24*J$25&gt;0,SQRT(COUNT(J$22,J$24,J$25))," "),"")</f>
        <v/>
      </c>
      <c r="AO92" s="287" t="str">
        <f aca="false">IFERROR(IF(K$22*K$24*K$25&gt;0,STDEV(K$22,K$24,K$25)," ")/IF(K$22*K$24*K$25&gt;0,SQRT(COUNT(K$22,K$24,K$25))," "),"")</f>
        <v/>
      </c>
      <c r="AP92" s="287" t="str">
        <f aca="false">IFERROR(IF(L$22*L$24*L$25&gt;0,STDEV(L$22,L$24,L$25)," ")/IF(L$22*L$24*L$25&gt;0,SQRT(COUNT(L$22,L$24,L$25))," "),"")</f>
        <v/>
      </c>
      <c r="AQ92" s="287" t="str">
        <f aca="false">IFERROR(IF(M$22*M$24*M$25&gt;0,STDEV(M$22,M$24,M$25)," ")/IF(M$22*M$24*M$25&gt;0,SQRT(COUNT(M$22,M$24,M$25))," "),"")</f>
        <v/>
      </c>
      <c r="AR92" s="287" t="str">
        <f aca="false">IFERROR(IF(N$22*N$24*N$25&gt;0,STDEV(N$22,N$24,N$25)," ")/IF(N$22*N$24*N$25&gt;0,SQRT(COUNT(N$22,N$24,N$25))," "),"")</f>
        <v/>
      </c>
    </row>
    <row r="93" customFormat="false" ht="15.75" hidden="false" customHeight="false" outlineLevel="0" collapsed="false">
      <c r="A93" s="290" t="s">
        <v>431</v>
      </c>
      <c r="B93" s="281"/>
      <c r="C93" s="302" t="str">
        <f aca="false">IFERROR(IF(C$22*C$24*C$26&gt;0,AVERAGE(C$22,C$24,C$26),""),"")</f>
        <v/>
      </c>
      <c r="D93" s="302" t="str">
        <f aca="false">IFERROR(IF(D$22*D$24*D$26&gt;0,AVERAGE(D$22,D$24,D$26),""),"")</f>
        <v/>
      </c>
      <c r="E93" s="302" t="str">
        <f aca="false">IFERROR(IF(E$22*E$24*E$26&gt;0,AVERAGE(E$22,E$24,E$26),""),"")</f>
        <v/>
      </c>
      <c r="F93" s="302" t="str">
        <f aca="false">IFERROR(IF(F$22*F$24*F$26&gt;0,AVERAGE(F$22,F$24,F$26),""),"")</f>
        <v/>
      </c>
      <c r="G93" s="302" t="str">
        <f aca="false">IFERROR(IF(G$22*G$24*G$26&gt;0,AVERAGE(G$22,G$24,G$26),""),"")</f>
        <v/>
      </c>
      <c r="H93" s="302" t="str">
        <f aca="false">IFERROR(IF(H$22*H$24*H$26&gt;0,AVERAGE(H$22,H$24,H$26),""),"")</f>
        <v/>
      </c>
      <c r="I93" s="302" t="str">
        <f aca="false">IFERROR(IF(I$22*I$24*I$26&gt;0,AVERAGE(I$22,I$24,I$26),""),"")</f>
        <v/>
      </c>
      <c r="J93" s="302" t="str">
        <f aca="false">IFERROR(IF(J$22*J$24*J$26&gt;0,AVERAGE(J$22,J$24,J$26),""),"")</f>
        <v/>
      </c>
      <c r="K93" s="302" t="str">
        <f aca="false">IFERROR(IF(K$22*K$24*K$26&gt;0,AVERAGE(K$22,K$24,K$26),""),"")</f>
        <v/>
      </c>
      <c r="L93" s="302" t="str">
        <f aca="false">IFERROR(IF(L$22*L$24*L$26&gt;0,AVERAGE(L$22,L$24,L$26),""),"")</f>
        <v/>
      </c>
      <c r="M93" s="302" t="str">
        <f aca="false">IFERROR(IF(M$22*M$24*M$26&gt;0,AVERAGE(M$22,M$24,M$26),""),"")</f>
        <v/>
      </c>
      <c r="N93" s="302" t="str">
        <f aca="false">IFERROR(IF(N$22*N$24*N$26&gt;0,AVERAGE(N$22,N$24,N$26),""),"")</f>
        <v/>
      </c>
      <c r="O93" s="282"/>
      <c r="P93" s="282"/>
      <c r="Q93" s="296"/>
      <c r="R93" s="293" t="s">
        <v>432</v>
      </c>
      <c r="S93" s="294" t="str">
        <f aca="false">IFERROR(IF(C$22*C$24*C$26&gt;0,STDEV(C$22,C$24,C$26),"")/IF(C$22*C$24*C$26&gt;0,AVERAGE(C$22,C$24,C$26),""),"")</f>
        <v/>
      </c>
      <c r="T93" s="294" t="str">
        <f aca="false">IFERROR(IF(D$22*D$24*D$26&gt;0,STDEV(D$22,D$24,D$26),"")/IF(D$22*D$24*D$26&gt;0,AVERAGE(D$22,D$24,D$26),""),"")</f>
        <v/>
      </c>
      <c r="U93" s="294" t="str">
        <f aca="false">IFERROR(IF(E$22*E$24*E$26&gt;0,STDEV(E$22,E$24,E$26),"")/IF(E$22*E$24*E$26&gt;0,AVERAGE(E$22,E$24,E$26),""),"")</f>
        <v/>
      </c>
      <c r="V93" s="294" t="str">
        <f aca="false">IFERROR(IF(F$22*F$24*F$26&gt;0,STDEV(F$22,F$24,F$26),"")/IF(F$22*F$24*F$26&gt;0,AVERAGE(F$22,F$24,F$26),""),"")</f>
        <v/>
      </c>
      <c r="W93" s="294" t="str">
        <f aca="false">IFERROR(IF(G$22*G$24*G$26&gt;0,STDEV(G$22,G$24,G$26),"")/IF(G$22*G$24*G$26&gt;0,AVERAGE(G$22,G$24,G$26),""),"")</f>
        <v/>
      </c>
      <c r="X93" s="294" t="str">
        <f aca="false">IFERROR(IF(H$22*H$24*H$26&gt;0,STDEV(H$22,H$24,H$26),"")/IF(H$22*H$24*H$26&gt;0,AVERAGE(H$22,H$24,H$26),""),"")</f>
        <v/>
      </c>
      <c r="Y93" s="294" t="str">
        <f aca="false">IFERROR(IF(I$22*I$24*I$26&gt;0,STDEV(I$22,I$24,I$26),"")/IF(I$22*I$24*I$26&gt;0,AVERAGE(I$22,I$24,I$26),""),"")</f>
        <v/>
      </c>
      <c r="Z93" s="294" t="str">
        <f aca="false">IFERROR(IF(J$22*J$24*J$26&gt;0,STDEV(J$22,J$24,J$26),"")/IF(J$22*J$24*J$26&gt;0,AVERAGE(J$22,J$24,J$26),""),"")</f>
        <v/>
      </c>
      <c r="AA93" s="294" t="str">
        <f aca="false">IFERROR(IF(K$22*K$24*K$26&gt;0,STDEV(K$22,K$24,K$26),"")/IF(K$22*K$24*K$26&gt;0,AVERAGE(K$22,K$24,K$26),""),"")</f>
        <v/>
      </c>
      <c r="AB93" s="294" t="str">
        <f aca="false">IFERROR(IF(L$22*L$24*L$26&gt;0,STDEV(L$22,L$24,L$26),"")/IF(L$22*L$24*L$26&gt;0,AVERAGE(L$22,L$24,L$26),""),"")</f>
        <v/>
      </c>
      <c r="AC93" s="294" t="str">
        <f aca="false">IFERROR(IF(M$22*M$24*M$26&gt;0,STDEV(M$22,M$24,M$26),"")/IF(M$22*M$24*M$26&gt;0,AVERAGE(M$22,M$24,M$26),""),"")</f>
        <v/>
      </c>
      <c r="AD93" s="294" t="str">
        <f aca="false">IFERROR(IF(N$22*N$24*N$26&gt;0,STDEV(N$22,N$24,N$26),"")/IF(N$22*N$24*N$26&gt;0,AVERAGE(N$22,N$24,N$26),""),"")</f>
        <v/>
      </c>
      <c r="AE93" s="44"/>
      <c r="AF93" s="266" t="s">
        <v>433</v>
      </c>
      <c r="AG93" s="287" t="str">
        <f aca="false">IFERROR(IF(C$22*C$24*C$26&gt;0,STDEV(C$22,C$24,C$26)," ")/IF(C$22*C$24*C$26&gt;0,SQRT(COUNT(C$22,C$24,C$26))," "),"")</f>
        <v/>
      </c>
      <c r="AH93" s="287" t="str">
        <f aca="false">IFERROR(IF(D$22*D$24*D$26&gt;0,STDEV(D$22,D$24,D$26)," ")/IF(D$22*D$24*D$26&gt;0,SQRT(COUNT(D$22,D$24,D$26))," "),"")</f>
        <v/>
      </c>
      <c r="AI93" s="287" t="str">
        <f aca="false">IFERROR(IF(E$22*E$24*E$26&gt;0,STDEV(E$22,E$24,E$26)," ")/IF(E$22*E$24*E$26&gt;0,SQRT(COUNT(E$22,E$24,E$26))," "),"")</f>
        <v/>
      </c>
      <c r="AJ93" s="287" t="str">
        <f aca="false">IFERROR(IF(F$22*F$24*F$26&gt;0,STDEV(F$22,F$24,F$26)," ")/IF(F$22*F$24*F$26&gt;0,SQRT(COUNT(F$22,F$24,F$26))," "),"")</f>
        <v/>
      </c>
      <c r="AK93" s="287" t="str">
        <f aca="false">IFERROR(IF(G$22*G$24*G$26&gt;0,STDEV(G$22,G$24,G$26)," ")/IF(G$22*G$24*G$26&gt;0,SQRT(COUNT(G$22,G$24,G$26))," "),"")</f>
        <v/>
      </c>
      <c r="AL93" s="287" t="str">
        <f aca="false">IFERROR(IF(H$22*H$24*H$26&gt;0,STDEV(H$22,H$24,H$26)," ")/IF(H$22*H$24*H$26&gt;0,SQRT(COUNT(H$22,H$24,H$26))," "),"")</f>
        <v/>
      </c>
      <c r="AM93" s="287" t="str">
        <f aca="false">IFERROR(IF(I$22*I$24*I$26&gt;0,STDEV(I$22,I$24,I$26)," ")/IF(I$22*I$24*I$26&gt;0,SQRT(COUNT(I$22,I$24,I$26))," "),"")</f>
        <v/>
      </c>
      <c r="AN93" s="287" t="str">
        <f aca="false">IFERROR(IF(J$22*J$24*J$26&gt;0,STDEV(J$22,J$24,J$26)," ")/IF(J$22*J$24*J$26&gt;0,SQRT(COUNT(J$22,J$24,J$26))," "),"")</f>
        <v/>
      </c>
      <c r="AO93" s="287" t="str">
        <f aca="false">IFERROR(IF(K$22*K$24*K$26&gt;0,STDEV(K$22,K$24,K$26)," ")/IF(K$22*K$24*K$26&gt;0,SQRT(COUNT(K$22,K$24,K$26))," "),"")</f>
        <v/>
      </c>
      <c r="AP93" s="287" t="str">
        <f aca="false">IFERROR(IF(L$22*L$24*L$26&gt;0,STDEV(L$22,L$24,L$26)," ")/IF(L$22*L$24*L$26&gt;0,SQRT(COUNT(L$22,L$24,L$26))," "),"")</f>
        <v/>
      </c>
      <c r="AQ93" s="287" t="str">
        <f aca="false">IFERROR(IF(M$22*M$24*M$26&gt;0,STDEV(M$22,M$24,M$26)," ")/IF(M$22*M$24*M$26&gt;0,SQRT(COUNT(M$22,M$24,M$26))," "),"")</f>
        <v/>
      </c>
      <c r="AR93" s="287" t="str">
        <f aca="false">IFERROR(IF(N$22*N$24*N$26&gt;0,STDEV(N$22,N$24,N$26)," ")/IF(N$22*N$24*N$26&gt;0,SQRT(COUNT(N$22,N$24,N$26))," "),"")</f>
        <v/>
      </c>
    </row>
    <row r="94" customFormat="false" ht="15.75" hidden="false" customHeight="false" outlineLevel="0" collapsed="false">
      <c r="A94" s="290" t="s">
        <v>434</v>
      </c>
      <c r="B94" s="281"/>
      <c r="C94" s="302" t="str">
        <f aca="false">IFERROR(IF(C$22*C$24*C$27&gt;0,AVERAGE(C$22,C$24,C$27),""),"")</f>
        <v/>
      </c>
      <c r="D94" s="302" t="str">
        <f aca="false">IFERROR(IF(D$22*D$24*D$27&gt;0,AVERAGE(D$22,D$24,D$27),""),"")</f>
        <v/>
      </c>
      <c r="E94" s="302" t="str">
        <f aca="false">IFERROR(IF(E$22*E$24*E$27&gt;0,AVERAGE(E$22,E$24,E$27),""),"")</f>
        <v/>
      </c>
      <c r="F94" s="302" t="str">
        <f aca="false">IFERROR(IF(F$22*F$24*F$27&gt;0,AVERAGE(F$22,F$24,F$27),""),"")</f>
        <v/>
      </c>
      <c r="G94" s="302" t="str">
        <f aca="false">IFERROR(IF(G$22*G$24*G$27&gt;0,AVERAGE(G$22,G$24,G$27),""),"")</f>
        <v/>
      </c>
      <c r="H94" s="302" t="str">
        <f aca="false">IFERROR(IF(H$22*H$24*H$27&gt;0,AVERAGE(H$22,H$24,H$27),""),"")</f>
        <v/>
      </c>
      <c r="I94" s="302" t="str">
        <f aca="false">IFERROR(IF(I$22*I$24*I$27&gt;0,AVERAGE(I$22,I$24,I$27),""),"")</f>
        <v/>
      </c>
      <c r="J94" s="302" t="str">
        <f aca="false">IFERROR(IF(J$22*J$24*J$27&gt;0,AVERAGE(J$22,J$24,J$27),""),"")</f>
        <v/>
      </c>
      <c r="K94" s="302" t="str">
        <f aca="false">IFERROR(IF(K$22*K$24*K$27&gt;0,AVERAGE(K$22,K$24,K$27),""),"")</f>
        <v/>
      </c>
      <c r="L94" s="302" t="str">
        <f aca="false">IFERROR(IF(L$22*L$24*L$27&gt;0,AVERAGE(L$22,L$24,L$27),""),"")</f>
        <v/>
      </c>
      <c r="M94" s="302" t="str">
        <f aca="false">IFERROR(IF(M$22*M$24*M$27&gt;0,AVERAGE(M$22,M$24,M$27),""),"")</f>
        <v/>
      </c>
      <c r="N94" s="302" t="str">
        <f aca="false">IFERROR(IF(N$22*N$24*N$27&gt;0,AVERAGE(N$22,N$24,N$27),""),"")</f>
        <v/>
      </c>
      <c r="O94" s="282"/>
      <c r="P94" s="282"/>
      <c r="Q94" s="296"/>
      <c r="R94" s="293" t="s">
        <v>435</v>
      </c>
      <c r="S94" s="294" t="str">
        <f aca="false">IFERROR(IF(C$22*C$24*C$27&gt;0,STDEV(C$22,C$24,C$27),"")/IF(C$22*C$24*C$27&gt;0,AVERAGE(C$22,C$24,C$27),""),"")</f>
        <v/>
      </c>
      <c r="T94" s="294" t="str">
        <f aca="false">IFERROR(IF(D$22*D$24*D$27&gt;0,STDEV(D$22,D$24,D$27),"")/IF(D$22*D$24*D$27&gt;0,AVERAGE(D$22,D$24,D$27),""),"")</f>
        <v/>
      </c>
      <c r="U94" s="294" t="str">
        <f aca="false">IFERROR(IF(E$22*E$24*E$27&gt;0,STDEV(E$22,E$24,E$27),"")/IF(E$22*E$24*E$27&gt;0,AVERAGE(E$22,E$24,E$27),""),"")</f>
        <v/>
      </c>
      <c r="V94" s="294" t="str">
        <f aca="false">IFERROR(IF(F$22*F$24*F$27&gt;0,STDEV(F$22,F$24,F$27),"")/IF(F$22*F$24*F$27&gt;0,AVERAGE(F$22,F$24,F$27),""),"")</f>
        <v/>
      </c>
      <c r="W94" s="294" t="str">
        <f aca="false">IFERROR(IF(G$22*G$24*G$27&gt;0,STDEV(G$22,G$24,G$27),"")/IF(G$22*G$24*G$27&gt;0,AVERAGE(G$22,G$24,G$27),""),"")</f>
        <v/>
      </c>
      <c r="X94" s="294" t="str">
        <f aca="false">IFERROR(IF(H$22*H$24*H$27&gt;0,STDEV(H$22,H$24,H$27),"")/IF(H$22*H$24*H$27&gt;0,AVERAGE(H$22,H$24,H$27),""),"")</f>
        <v/>
      </c>
      <c r="Y94" s="294" t="str">
        <f aca="false">IFERROR(IF(I$22*I$24*I$27&gt;0,STDEV(I$22,I$24,I$27),"")/IF(I$22*I$24*I$27&gt;0,AVERAGE(I$22,I$24,I$27),""),"")</f>
        <v/>
      </c>
      <c r="Z94" s="294" t="str">
        <f aca="false">IFERROR(IF(J$22*J$24*J$27&gt;0,STDEV(J$22,J$24,J$27),"")/IF(J$22*J$24*J$27&gt;0,AVERAGE(J$22,J$24,J$27),""),"")</f>
        <v/>
      </c>
      <c r="AA94" s="294" t="str">
        <f aca="false">IFERROR(IF(K$22*K$24*K$27&gt;0,STDEV(K$22,K$24,K$27),"")/IF(K$22*K$24*K$27&gt;0,AVERAGE(K$22,K$24,K$27),""),"")</f>
        <v/>
      </c>
      <c r="AB94" s="294" t="str">
        <f aca="false">IFERROR(IF(L$22*L$24*L$27&gt;0,STDEV(L$22,L$24,L$27),"")/IF(L$22*L$24*L$27&gt;0,AVERAGE(L$22,L$24,L$27),""),"")</f>
        <v/>
      </c>
      <c r="AC94" s="294" t="str">
        <f aca="false">IFERROR(IF(M$22*M$24*M$27&gt;0,STDEV(M$22,M$24,M$27),"")/IF(M$22*M$24*M$27&gt;0,AVERAGE(M$22,M$24,M$27),""),"")</f>
        <v/>
      </c>
      <c r="AD94" s="294" t="str">
        <f aca="false">IFERROR(IF(N$22*N$24*N$27&gt;0,STDEV(N$22,N$24,N$27),"")/IF(N$22*N$24*N$27&gt;0,AVERAGE(N$22,N$24,N$27),""),"")</f>
        <v/>
      </c>
      <c r="AE94" s="44"/>
      <c r="AF94" s="266" t="s">
        <v>436</v>
      </c>
      <c r="AG94" s="287" t="str">
        <f aca="false">IFERROR(IF(C$22*C$24*C$27&gt;0,STDEV(C$22,C$24,C$27)," ")/IF(C$22*C$24*C$27&gt;0,SQRT(COUNT(C$22,C$24,C$27))," "),"")</f>
        <v/>
      </c>
      <c r="AH94" s="287" t="str">
        <f aca="false">IFERROR(IF(D$22*D$24*D$27&gt;0,STDEV(D$22,D$24,D$27)," ")/IF(D$22*D$24*D$27&gt;0,SQRT(COUNT(D$22,D$24,D$27))," "),"")</f>
        <v/>
      </c>
      <c r="AI94" s="287" t="str">
        <f aca="false">IFERROR(IF(E$22*E$24*E$27&gt;0,STDEV(E$22,E$24,E$27)," ")/IF(E$22*E$24*E$27&gt;0,SQRT(COUNT(E$22,E$24,E$27))," "),"")</f>
        <v/>
      </c>
      <c r="AJ94" s="287" t="str">
        <f aca="false">IFERROR(IF(F$22*F$24*F$27&gt;0,STDEV(F$22,F$24,F$27)," ")/IF(F$22*F$24*F$27&gt;0,SQRT(COUNT(F$22,F$24,F$27))," "),"")</f>
        <v/>
      </c>
      <c r="AK94" s="287" t="str">
        <f aca="false">IFERROR(IF(G$22*G$24*G$27&gt;0,STDEV(G$22,G$24,G$27)," ")/IF(G$22*G$24*G$27&gt;0,SQRT(COUNT(G$22,G$24,G$27))," "),"")</f>
        <v/>
      </c>
      <c r="AL94" s="287" t="str">
        <f aca="false">IFERROR(IF(H$22*H$24*H$27&gt;0,STDEV(H$22,H$24,H$27)," ")/IF(H$22*H$24*H$27&gt;0,SQRT(COUNT(H$22,H$24,H$27))," "),"")</f>
        <v/>
      </c>
      <c r="AM94" s="287" t="str">
        <f aca="false">IFERROR(IF(I$22*I$24*I$27&gt;0,STDEV(I$22,I$24,I$27)," ")/IF(I$22*I$24*I$27&gt;0,SQRT(COUNT(I$22,I$24,I$27))," "),"")</f>
        <v/>
      </c>
      <c r="AN94" s="287" t="str">
        <f aca="false">IFERROR(IF(J$22*J$24*J$27&gt;0,STDEV(J$22,J$24,J$27)," ")/IF(J$22*J$24*J$27&gt;0,SQRT(COUNT(J$22,J$24,J$27))," "),"")</f>
        <v/>
      </c>
      <c r="AO94" s="287" t="str">
        <f aca="false">IFERROR(IF(K$22*K$24*K$27&gt;0,STDEV(K$22,K$24,K$27)," ")/IF(K$22*K$24*K$27&gt;0,SQRT(COUNT(K$22,K$24,K$27))," "),"")</f>
        <v/>
      </c>
      <c r="AP94" s="287" t="str">
        <f aca="false">IFERROR(IF(L$22*L$24*L$27&gt;0,STDEV(L$22,L$24,L$27)," ")/IF(L$22*L$24*L$27&gt;0,SQRT(COUNT(L$22,L$24,L$27))," "),"")</f>
        <v/>
      </c>
      <c r="AQ94" s="287" t="str">
        <f aca="false">IFERROR(IF(M$22*M$24*M$27&gt;0,STDEV(M$22,M$24,M$27)," ")/IF(M$22*M$24*M$27&gt;0,SQRT(COUNT(M$22,M$24,M$27))," "),"")</f>
        <v/>
      </c>
      <c r="AR94" s="287" t="str">
        <f aca="false">IFERROR(IF(N$22*N$24*N$27&gt;0,STDEV(N$22,N$24,N$27)," ")/IF(N$22*N$24*N$27&gt;0,SQRT(COUNT(N$22,N$24,N$27))," "),"")</f>
        <v/>
      </c>
    </row>
    <row r="95" customFormat="false" ht="15.75" hidden="false" customHeight="false" outlineLevel="0" collapsed="false">
      <c r="A95" s="290" t="s">
        <v>437</v>
      </c>
      <c r="B95" s="281"/>
      <c r="C95" s="302" t="str">
        <f aca="false">IFERROR(IF(C$22*C$25*C$27&gt;0,AVERAGE(C$22,C$25,C$27),""),"")</f>
        <v/>
      </c>
      <c r="D95" s="302" t="str">
        <f aca="false">IFERROR(IF(D$22*D$25*D$27&gt;0,AVERAGE(D$22,D$25,D$27),""),"")</f>
        <v/>
      </c>
      <c r="E95" s="302" t="str">
        <f aca="false">IFERROR(IF(E$22*E$25*E$27&gt;0,AVERAGE(E$22,E$25,E$27),""),"")</f>
        <v/>
      </c>
      <c r="F95" s="302" t="str">
        <f aca="false">IFERROR(IF(F$22*F$25*F$27&gt;0,AVERAGE(F$22,F$25,F$27),""),"")</f>
        <v/>
      </c>
      <c r="G95" s="302" t="str">
        <f aca="false">IFERROR(IF(G$22*G$25*G$27&gt;0,AVERAGE(G$22,G$25,G$27),""),"")</f>
        <v/>
      </c>
      <c r="H95" s="302" t="str">
        <f aca="false">IFERROR(IF(H$22*H$25*H$27&gt;0,AVERAGE(H$22,H$25,H$27),""),"")</f>
        <v/>
      </c>
      <c r="I95" s="302" t="str">
        <f aca="false">IFERROR(IF(I$22*I$25*I$27&gt;0,AVERAGE(I$22,I$25,I$27),""),"")</f>
        <v/>
      </c>
      <c r="J95" s="302" t="str">
        <f aca="false">IFERROR(IF(J$22*J$25*J$27&gt;0,AVERAGE(J$22,J$25,J$27),""),"")</f>
        <v/>
      </c>
      <c r="K95" s="302" t="str">
        <f aca="false">IFERROR(IF(K$22*K$25*K$27&gt;0,AVERAGE(K$22,K$25,K$27),""),"")</f>
        <v/>
      </c>
      <c r="L95" s="302" t="str">
        <f aca="false">IFERROR(IF(L$22*L$25*L$27&gt;0,AVERAGE(L$22,L$25,L$27),""),"")</f>
        <v/>
      </c>
      <c r="M95" s="302" t="str">
        <f aca="false">IFERROR(IF(M$22*M$25*M$27&gt;0,AVERAGE(M$22,M$25,M$27),""),"")</f>
        <v/>
      </c>
      <c r="N95" s="302" t="str">
        <f aca="false">IFERROR(IF(N$22*N$25*N$27&gt;0,AVERAGE(N$22,N$25,N$27),""),"")</f>
        <v/>
      </c>
      <c r="O95" s="282"/>
      <c r="P95" s="282"/>
      <c r="Q95" s="296"/>
      <c r="R95" s="293" t="s">
        <v>438</v>
      </c>
      <c r="S95" s="294" t="str">
        <f aca="false">IFERROR(IF(C$22*C$25*C$27&gt;0,STDEV(C$22,C$25,C$27),"")/IF(C$22*C$25*C$27&gt;0,AVERAGE(C$22,C$25,C$27),""),"")</f>
        <v/>
      </c>
      <c r="T95" s="294" t="str">
        <f aca="false">IFERROR(IF(D$22*D$25*D$27&gt;0,STDEV(D$22,D$25,D$27),"")/IF(D$22*D$25*D$27&gt;0,AVERAGE(D$22,D$25,D$27),""),"")</f>
        <v/>
      </c>
      <c r="U95" s="294" t="str">
        <f aca="false">IFERROR(IF(E$22*E$25*E$27&gt;0,STDEV(E$22,E$25,E$27),"")/IF(E$22*E$25*E$27&gt;0,AVERAGE(E$22,E$25,E$27),""),"")</f>
        <v/>
      </c>
      <c r="V95" s="294" t="str">
        <f aca="false">IFERROR(IF(F$22*F$25*F$27&gt;0,STDEV(F$22,F$25,F$27),"")/IF(F$22*F$25*F$27&gt;0,AVERAGE(F$22,F$25,F$27),""),"")</f>
        <v/>
      </c>
      <c r="W95" s="294" t="str">
        <f aca="false">IFERROR(IF(G$22*G$25*G$27&gt;0,STDEV(G$22,G$25,G$27),"")/IF(G$22*G$25*G$27&gt;0,AVERAGE(G$22,G$25,G$27),""),"")</f>
        <v/>
      </c>
      <c r="X95" s="294" t="str">
        <f aca="false">IFERROR(IF(H$22*H$25*H$27&gt;0,STDEV(H$22,H$25,H$27),"")/IF(H$22*H$25*H$27&gt;0,AVERAGE(H$22,H$25,H$27),""),"")</f>
        <v/>
      </c>
      <c r="Y95" s="294" t="str">
        <f aca="false">IFERROR(IF(I$22*I$25*I$27&gt;0,STDEV(I$22,I$25,I$27),"")/IF(I$22*I$25*I$27&gt;0,AVERAGE(I$22,I$25,I$27),""),"")</f>
        <v/>
      </c>
      <c r="Z95" s="294" t="str">
        <f aca="false">IFERROR(IF(J$22*J$25*J$27&gt;0,STDEV(J$22,J$25,J$27),"")/IF(J$22*J$25*J$27&gt;0,AVERAGE(J$22,J$25,J$27),""),"")</f>
        <v/>
      </c>
      <c r="AA95" s="294" t="str">
        <f aca="false">IFERROR(IF(K$22*K$25*K$27&gt;0,STDEV(K$22,K$25,K$27),"")/IF(K$22*K$25*K$27&gt;0,AVERAGE(K$22,K$25,K$27),""),"")</f>
        <v/>
      </c>
      <c r="AB95" s="294" t="str">
        <f aca="false">IFERROR(IF(L$22*L$25*L$27&gt;0,STDEV(L$22,L$25,L$27),"")/IF(L$22*L$25*L$27&gt;0,AVERAGE(L$22,L$25,L$27),""),"")</f>
        <v/>
      </c>
      <c r="AC95" s="294" t="str">
        <f aca="false">IFERROR(IF(M$22*M$25*M$27&gt;0,STDEV(M$22,M$25,M$27),"")/IF(M$22*M$25*M$27&gt;0,AVERAGE(M$22,M$25,M$27),""),"")</f>
        <v/>
      </c>
      <c r="AD95" s="294" t="str">
        <f aca="false">IFERROR(IF(N$22*N$25*N$27&gt;0,STDEV(N$22,N$25,N$27),"")/IF(N$22*N$25*N$27&gt;0,AVERAGE(N$22,N$25,N$27),""),"")</f>
        <v/>
      </c>
      <c r="AE95" s="44"/>
      <c r="AF95" s="266" t="s">
        <v>439</v>
      </c>
      <c r="AG95" s="287" t="str">
        <f aca="false">IFERROR(IF(C$22*C$25*C$27&gt;0,STDEV(C$22,C$25,C$27)," ")/IF(C$22*C$25*C$27&gt;0,SQRT(COUNT(C$22,C$25,C$27))," "),"")</f>
        <v/>
      </c>
      <c r="AH95" s="287" t="str">
        <f aca="false">IFERROR(IF(D$22*D$25*D$27&gt;0,STDEV(D$22,D$25,D$27)," ")/IF(D$22*D$25*D$27&gt;0,SQRT(COUNT(D$22,D$25,D$27))," "),"")</f>
        <v/>
      </c>
      <c r="AI95" s="287" t="str">
        <f aca="false">IFERROR(IF(E$22*E$25*E$27&gt;0,STDEV(E$22,E$25,E$27)," ")/IF(E$22*E$25*E$27&gt;0,SQRT(COUNT(E$22,E$25,E$27))," "),"")</f>
        <v/>
      </c>
      <c r="AJ95" s="287" t="str">
        <f aca="false">IFERROR(IF(F$22*F$25*F$27&gt;0,STDEV(F$22,F$25,F$27)," ")/IF(F$22*F$25*F$27&gt;0,SQRT(COUNT(F$22,F$25,F$27))," "),"")</f>
        <v/>
      </c>
      <c r="AK95" s="287" t="str">
        <f aca="false">IFERROR(IF(G$22*G$25*G$27&gt;0,STDEV(G$22,G$25,G$27)," ")/IF(G$22*G$25*G$27&gt;0,SQRT(COUNT(G$22,G$25,G$27))," "),"")</f>
        <v/>
      </c>
      <c r="AL95" s="287" t="str">
        <f aca="false">IFERROR(IF(H$22*H$25*H$27&gt;0,STDEV(H$22,H$25,H$27)," ")/IF(H$22*H$25*H$27&gt;0,SQRT(COUNT(H$22,H$25,H$27))," "),"")</f>
        <v/>
      </c>
      <c r="AM95" s="287" t="str">
        <f aca="false">IFERROR(IF(I$22*I$25*I$27&gt;0,STDEV(I$22,I$25,I$27)," ")/IF(I$22*I$25*I$27&gt;0,SQRT(COUNT(I$22,I$25,I$27))," "),"")</f>
        <v/>
      </c>
      <c r="AN95" s="287" t="str">
        <f aca="false">IFERROR(IF(J$22*J$25*J$27&gt;0,STDEV(J$22,J$25,J$27)," ")/IF(J$22*J$25*J$27&gt;0,SQRT(COUNT(J$22,J$25,J$27))," "),"")</f>
        <v/>
      </c>
      <c r="AO95" s="287" t="str">
        <f aca="false">IFERROR(IF(K$22*K$25*K$27&gt;0,STDEV(K$22,K$25,K$27)," ")/IF(K$22*K$25*K$27&gt;0,SQRT(COUNT(K$22,K$25,K$27))," "),"")</f>
        <v/>
      </c>
      <c r="AP95" s="287" t="str">
        <f aca="false">IFERROR(IF(L$22*L$25*L$27&gt;0,STDEV(L$22,L$25,L$27)," ")/IF(L$22*L$25*L$27&gt;0,SQRT(COUNT(L$22,L$25,L$27))," "),"")</f>
        <v/>
      </c>
      <c r="AQ95" s="287" t="str">
        <f aca="false">IFERROR(IF(M$22*M$25*M$27&gt;0,STDEV(M$22,M$25,M$27)," ")/IF(M$22*M$25*M$27&gt;0,SQRT(COUNT(M$22,M$25,M$27))," "),"")</f>
        <v/>
      </c>
      <c r="AR95" s="287" t="str">
        <f aca="false">IFERROR(IF(N$22*N$25*N$27&gt;0,STDEV(N$22,N$25,N$27)," ")/IF(N$22*N$25*N$27&gt;0,SQRT(COUNT(N$22,N$25,N$27))," "),"")</f>
        <v/>
      </c>
    </row>
    <row r="96" customFormat="false" ht="15.75" hidden="false" customHeight="false" outlineLevel="0" collapsed="false">
      <c r="A96" s="242" t="s">
        <v>440</v>
      </c>
      <c r="B96" s="243"/>
      <c r="C96" s="262" t="str">
        <f aca="false">IFERROR(IF(C$23*C$25*C$27&gt;0,AVERAGE(C$23,C$25,C$27),""),"")</f>
        <v/>
      </c>
      <c r="D96" s="262" t="str">
        <f aca="false">IFERROR(IF(D$23*D$25*D$27&gt;0,AVERAGE(D$23,D$25,D$27),""),"")</f>
        <v/>
      </c>
      <c r="E96" s="262" t="str">
        <f aca="false">IFERROR(IF(E$23*E$25*E$27&gt;0,AVERAGE(E$23,E$25,E$27),""),"")</f>
        <v/>
      </c>
      <c r="F96" s="262" t="str">
        <f aca="false">IFERROR(IF(F$23*F$25*F$27&gt;0,AVERAGE(F$23,F$25,F$27),""),"")</f>
        <v/>
      </c>
      <c r="G96" s="262" t="str">
        <f aca="false">IFERROR(IF(G$23*G$25*G$27&gt;0,AVERAGE(G$23,G$25,G$27),""),"")</f>
        <v/>
      </c>
      <c r="H96" s="262" t="str">
        <f aca="false">IFERROR(IF(H$23*H$25*H$27&gt;0,AVERAGE(H$23,H$25,H$27),""),"")</f>
        <v/>
      </c>
      <c r="I96" s="262" t="str">
        <f aca="false">IFERROR(IF(I$23*I$25*I$27&gt;0,AVERAGE(I$23,I$25,I$27),""),"")</f>
        <v/>
      </c>
      <c r="J96" s="262" t="str">
        <f aca="false">IFERROR(IF(J$23*J$25*J$27&gt;0,AVERAGE(J$23,J$25,J$27),""),"")</f>
        <v/>
      </c>
      <c r="K96" s="262" t="str">
        <f aca="false">IFERROR(IF(K$23*K$25*K$27&gt;0,AVERAGE(K$23,K$25,K$27),""),"")</f>
        <v/>
      </c>
      <c r="L96" s="262" t="str">
        <f aca="false">IFERROR(IF(L$23*L$25*L$27&gt;0,AVERAGE(L$23,L$25,L$27),""),"")</f>
        <v/>
      </c>
      <c r="M96" s="262" t="str">
        <f aca="false">IFERROR(IF(M$23*M$25*M$27&gt;0,AVERAGE(M$23,M$25,M$27),""),"")</f>
        <v/>
      </c>
      <c r="N96" s="262" t="str">
        <f aca="false">IFERROR(IF(N$23*N$25*N$27&gt;0,AVERAGE(N$23,N$25,N$27),""),"")</f>
        <v/>
      </c>
      <c r="O96" s="245"/>
      <c r="P96" s="245"/>
      <c r="Q96" s="246"/>
      <c r="R96" s="247" t="s">
        <v>441</v>
      </c>
      <c r="S96" s="248" t="str">
        <f aca="false">IFERROR(IF(C$23*C$25*C$27&gt;0,STDEV(C$23,C$25,C$27),"")/IF(C$23*C$25*C$27&gt;0,AVERAGE(C$23,C$25,C$27),""),"")</f>
        <v/>
      </c>
      <c r="T96" s="248" t="str">
        <f aca="false">IFERROR(IF(D$23*D$25*D$27&gt;0,STDEV(D$23,D$25,D$27),"")/IF(D$23*D$25*D$27&gt;0,AVERAGE(D$23,D$25,D$27),""),"")</f>
        <v/>
      </c>
      <c r="U96" s="248" t="str">
        <f aca="false">IFERROR(IF(E$23*E$25*E$27&gt;0,STDEV(E$23,E$25,E$27),"")/IF(E$23*E$25*E$27&gt;0,AVERAGE(E$23,E$25,E$27),""),"")</f>
        <v/>
      </c>
      <c r="V96" s="248" t="str">
        <f aca="false">IFERROR(IF(F$23*F$25*F$27&gt;0,STDEV(F$23,F$25,F$27),"")/IF(F$23*F$25*F$27&gt;0,AVERAGE(F$23,F$25,F$27),""),"")</f>
        <v/>
      </c>
      <c r="W96" s="248" t="str">
        <f aca="false">IFERROR(IF(G$23*G$25*G$27&gt;0,STDEV(G$23,G$25,G$27),"")/IF(G$23*G$25*G$27&gt;0,AVERAGE(G$23,G$25,G$27),""),"")</f>
        <v/>
      </c>
      <c r="X96" s="248" t="str">
        <f aca="false">IFERROR(IF(H$23*H$25*H$27&gt;0,STDEV(H$23,H$25,H$27),"")/IF(H$23*H$25*H$27&gt;0,AVERAGE(H$23,H$25,H$27),""),"")</f>
        <v/>
      </c>
      <c r="Y96" s="248" t="str">
        <f aca="false">IFERROR(IF(I$23*I$25*I$27&gt;0,STDEV(I$23,I$25,I$27),"")/IF(I$23*I$25*I$27&gt;0,AVERAGE(I$23,I$25,I$27),""),"")</f>
        <v/>
      </c>
      <c r="Z96" s="248" t="str">
        <f aca="false">IFERROR(IF(J$23*J$25*J$27&gt;0,STDEV(J$23,J$25,J$27),"")/IF(J$23*J$25*J$27&gt;0,AVERAGE(J$23,J$25,J$27),""),"")</f>
        <v/>
      </c>
      <c r="AA96" s="248" t="str">
        <f aca="false">IFERROR(IF(K$23*K$25*K$27&gt;0,STDEV(K$23,K$25,K$27),"")/IF(K$23*K$25*K$27&gt;0,AVERAGE(K$23,K$25,K$27),""),"")</f>
        <v/>
      </c>
      <c r="AB96" s="248" t="str">
        <f aca="false">IFERROR(IF(L$23*L$25*L$27&gt;0,STDEV(L$23,L$25,L$27),"")/IF(L$23*L$25*L$27&gt;0,AVERAGE(L$23,L$25,L$27),""),"")</f>
        <v/>
      </c>
      <c r="AC96" s="248" t="str">
        <f aca="false">IFERROR(IF(M$23*M$25*M$27&gt;0,STDEV(M$23,M$25,M$27),"")/IF(M$23*M$25*M$27&gt;0,AVERAGE(M$23,M$25,M$27),""),"")</f>
        <v/>
      </c>
      <c r="AD96" s="248" t="str">
        <f aca="false">IFERROR(IF(N$23*N$25*N$27&gt;0,STDEV(N$23,N$25,N$27),"")/IF(N$23*N$25*N$27&gt;0,AVERAGE(N$23,N$25,N$27),""),"")</f>
        <v/>
      </c>
      <c r="AE96" s="300"/>
      <c r="AF96" s="250" t="s">
        <v>442</v>
      </c>
      <c r="AG96" s="251" t="str">
        <f aca="false">IFERROR(IF(C$23*C$25*C$27&gt;0,STDEV(C$23,C$25,C$27)," ")/IF(C$23*C$25*C$27&gt;0,SQRT(COUNT(C$23,C$25,C$27))," "),"")</f>
        <v/>
      </c>
      <c r="AH96" s="251" t="str">
        <f aca="false">IFERROR(IF(D$23*D$25*D$27&gt;0,STDEV(D$23,D$25,D$27)," ")/IF(D$23*D$25*D$27&gt;0,SQRT(COUNT(D$23,D$25,D$27))," "),"")</f>
        <v/>
      </c>
      <c r="AI96" s="251" t="str">
        <f aca="false">IFERROR(IF(E$23*E$25*E$27&gt;0,STDEV(E$23,E$25,E$27)," ")/IF(E$23*E$25*E$27&gt;0,SQRT(COUNT(E$23,E$25,E$27))," "),"")</f>
        <v/>
      </c>
      <c r="AJ96" s="251" t="str">
        <f aca="false">IFERROR(IF(F$23*F$25*F$27&gt;0,STDEV(F$23,F$25,F$27)," ")/IF(F$23*F$25*F$27&gt;0,SQRT(COUNT(F$23,F$25,F$27))," "),"")</f>
        <v/>
      </c>
      <c r="AK96" s="251" t="str">
        <f aca="false">IFERROR(IF(G$23*G$25*G$27&gt;0,STDEV(G$23,G$25,G$27)," ")/IF(G$23*G$25*G$27&gt;0,SQRT(COUNT(G$23,G$25,G$27))," "),"")</f>
        <v/>
      </c>
      <c r="AL96" s="251" t="str">
        <f aca="false">IFERROR(IF(H$23*H$25*H$27&gt;0,STDEV(H$23,H$25,H$27)," ")/IF(H$23*H$25*H$27&gt;0,SQRT(COUNT(H$23,H$25,H$27))," "),"")</f>
        <v/>
      </c>
      <c r="AM96" s="251" t="str">
        <f aca="false">IFERROR(IF(I$23*I$25*I$27&gt;0,STDEV(I$23,I$25,I$27)," ")/IF(I$23*I$25*I$27&gt;0,SQRT(COUNT(I$23,I$25,I$27))," "),"")</f>
        <v/>
      </c>
      <c r="AN96" s="251" t="str">
        <f aca="false">IFERROR(IF(J$23*J$25*J$27&gt;0,STDEV(J$23,J$25,J$27)," ")/IF(J$23*J$25*J$27&gt;0,SQRT(COUNT(J$23,J$25,J$27))," "),"")</f>
        <v/>
      </c>
      <c r="AO96" s="251" t="str">
        <f aca="false">IFERROR(IF(K$23*K$25*K$27&gt;0,STDEV(K$23,K$25,K$27)," ")/IF(K$23*K$25*K$27&gt;0,SQRT(COUNT(K$23,K$25,K$27))," "),"")</f>
        <v/>
      </c>
      <c r="AP96" s="251" t="str">
        <f aca="false">IFERROR(IF(L$23*L$25*L$27&gt;0,STDEV(L$23,L$25,L$27)," ")/IF(L$23*L$25*L$27&gt;0,SQRT(COUNT(L$23,L$25,L$27))," "),"")</f>
        <v/>
      </c>
      <c r="AQ96" s="251" t="str">
        <f aca="false">IFERROR(IF(M$23*M$25*M$27&gt;0,STDEV(M$23,M$25,M$27)," ")/IF(M$23*M$25*M$27&gt;0,SQRT(COUNT(M$23,M$25,M$27))," "),"")</f>
        <v/>
      </c>
      <c r="AR96" s="251" t="str">
        <f aca="false">IFERROR(IF(N$23*N$25*N$27&gt;0,STDEV(N$23,N$25,N$27)," ")/IF(N$23*N$25*N$27&gt;0,SQRT(COUNT(N$23,N$25,N$27))," "),"")</f>
        <v/>
      </c>
    </row>
    <row r="97" customFormat="false" ht="15.75" hidden="false" customHeight="false" outlineLevel="0" collapsed="false">
      <c r="A97" s="290" t="s">
        <v>443</v>
      </c>
      <c r="B97" s="281"/>
      <c r="C97" s="302" t="str">
        <f aca="false">IFERROR(IF(C$21*C$22*C$23*C24&gt;0,AVERAGE(C$21:C$23, C24),""),"")</f>
        <v/>
      </c>
      <c r="D97" s="302" t="str">
        <f aca="false">IFERROR(IF(D$21*D$22*D$23*D24&gt;0,AVERAGE(D$21:D$23, D24),""),"")</f>
        <v/>
      </c>
      <c r="E97" s="302" t="str">
        <f aca="false">IFERROR(IF(E$21*E$22*E$23*E24&gt;0,AVERAGE(E$21:E$23, E24),""),"")</f>
        <v/>
      </c>
      <c r="F97" s="302" t="str">
        <f aca="false">IFERROR(IF(F$21*F$22*F$23*F24&gt;0,AVERAGE(F$21:F$23, F24),""),"")</f>
        <v/>
      </c>
      <c r="G97" s="302" t="str">
        <f aca="false">IFERROR(IF(G$21*G$22*G$23*G24&gt;0,AVERAGE(G$21:G$23, G24),""),"")</f>
        <v/>
      </c>
      <c r="H97" s="302" t="str">
        <f aca="false">IFERROR(IF(H$21*H$22*H$23*H24&gt;0,AVERAGE(H$21:H$23, H24),""),"")</f>
        <v/>
      </c>
      <c r="I97" s="302" t="str">
        <f aca="false">IFERROR(IF(I$21*I$22*I$23*I24&gt;0,AVERAGE(I$21:I$23, I24),""),"")</f>
        <v/>
      </c>
      <c r="J97" s="302" t="str">
        <f aca="false">IFERROR(IF(J$21*J$22*J$23*J24&gt;0,AVERAGE(J$21:J$23, J24),""),"")</f>
        <v/>
      </c>
      <c r="K97" s="302" t="str">
        <f aca="false">IFERROR(IF(K$21*K$22*K$23*K24&gt;0,AVERAGE(K$21:K$23, K24),""),"")</f>
        <v/>
      </c>
      <c r="L97" s="302" t="str">
        <f aca="false">IFERROR(IF(L$21*L$22*L$23*L24&gt;0,AVERAGE(L$21:L$23, L24),""),"")</f>
        <v/>
      </c>
      <c r="M97" s="302" t="str">
        <f aca="false">IFERROR(IF(M$21*M$22*M$23*M24&gt;0,AVERAGE(M$21:M$23, M24),""),"")</f>
        <v/>
      </c>
      <c r="N97" s="302" t="str">
        <f aca="false">IFERROR(IF(N$21*N$22*N$23*N24&gt;0,AVERAGE(N$21:N$23, N24),""),"")</f>
        <v/>
      </c>
      <c r="O97" s="147" t="n">
        <v>4</v>
      </c>
      <c r="P97" s="282" t="n">
        <f aca="false">COMBIN(7,4)</f>
        <v>35</v>
      </c>
      <c r="Q97" s="283" t="n">
        <f aca="false">ROW(N131)-ROW(N97)+1</f>
        <v>35</v>
      </c>
      <c r="R97" s="293" t="s">
        <v>444</v>
      </c>
      <c r="S97" s="294" t="str">
        <f aca="false">IFERROR(IF(C$21*C$22*C$23*C24&gt;0,STDEV(C$21:C$23, C24),"")/IF(C$21*C$22*C$23*C24&gt;0,AVERAGE(C$21:C$23, C24),""),"")</f>
        <v/>
      </c>
      <c r="T97" s="294" t="str">
        <f aca="false">IFERROR(IF(D$21*D$22*D$23*D24&gt;0,STDEV(D$21:D$23, D24),"")/IF(D$21*D$22*D$23*D24&gt;0,AVERAGE(D$21:D$23, D24),""),"")</f>
        <v/>
      </c>
      <c r="U97" s="294" t="str">
        <f aca="false">IFERROR(IF(E$21*E$22*E$23*E24&gt;0,STDEV(E$21:E$23, E24),"")/IF(E$21*E$22*E$23*E24&gt;0,AVERAGE(E$21:E$23, E24),""),"")</f>
        <v/>
      </c>
      <c r="V97" s="294" t="str">
        <f aca="false">IFERROR(IF(F$21*F$22*F$23*F24&gt;0,STDEV(F$21:F$23, F24),"")/IF(F$21*F$22*F$23*F24&gt;0,AVERAGE(F$21:F$23, F24),""),"")</f>
        <v/>
      </c>
      <c r="W97" s="294" t="str">
        <f aca="false">IFERROR(IF(G$21*G$22*G$23*G24&gt;0,STDEV(G$21:G$23, G24),"")/IF(G$21*G$22*G$23*G24&gt;0,AVERAGE(G$21:G$23, G24),""),"")</f>
        <v/>
      </c>
      <c r="X97" s="294" t="str">
        <f aca="false">IFERROR(IF(H$21*H$22*H$23*H24&gt;0,STDEV(H$21:H$23, H24),"")/IF(H$21*H$22*H$23*H24&gt;0,AVERAGE(H$21:H$23, H24),""),"")</f>
        <v/>
      </c>
      <c r="Y97" s="294" t="str">
        <f aca="false">IFERROR(IF(I$21*I$22*I$23*I24&gt;0,STDEV(I$21:I$23, I24),"")/IF(I$21*I$22*I$23*I24&gt;0,AVERAGE(I$21:I$23, I24),""),"")</f>
        <v/>
      </c>
      <c r="Z97" s="294" t="str">
        <f aca="false">IFERROR(IF(J$21*J$22*J$23*J24&gt;0,STDEV(J$21:J$23, J24),"")/IF(J$21*J$22*J$23*J24&gt;0,AVERAGE(J$21:J$23, J24),""),"")</f>
        <v/>
      </c>
      <c r="AA97" s="294" t="str">
        <f aca="false">IFERROR(IF(K$21*K$22*K$23*K24&gt;0,STDEV(K$21:K$23, K24),"")/IF(K$21*K$22*K$23*K24&gt;0,AVERAGE(K$21:K$23, K24),""),"")</f>
        <v/>
      </c>
      <c r="AB97" s="294" t="str">
        <f aca="false">IFERROR(IF(L$21*L$22*L$23*L24&gt;0,STDEV(L$21:L$23, L24),"")/IF(L$21*L$22*L$23*L24&gt;0,AVERAGE(L$21:L$23, L24),""),"")</f>
        <v/>
      </c>
      <c r="AC97" s="294" t="str">
        <f aca="false">IFERROR(IF(M$21*M$22*M$23*M24&gt;0,STDEV(M$21:M$23, M24),"")/IF(M$21*M$22*M$23*M24&gt;0,AVERAGE(M$21:M$23, M24),""),"")</f>
        <v/>
      </c>
      <c r="AD97" s="294" t="str">
        <f aca="false">IFERROR(IF(N$21*N$22*N$23*N24&gt;0,STDEV(N$21:N$23, N24),"")/IF(N$21*N$22*N$23*N24&gt;0,AVERAGE(N$21:N$23, N24),""),"")</f>
        <v/>
      </c>
      <c r="AE97" s="44"/>
      <c r="AF97" s="266" t="s">
        <v>445</v>
      </c>
      <c r="AG97" s="287" t="str">
        <f aca="false">IFERROR(IF(C$21*C$22*C$23*C24&gt;0,STDEV(C$21:C$23, C24)," ")/IF(C$21*C$22*C$23*C24&gt;0,SQRT(COUNT(C$21:C$23, C24))," "),"")</f>
        <v/>
      </c>
      <c r="AH97" s="287" t="str">
        <f aca="false">IFERROR(IF(D$21*D$22*D$23*D24&gt;0,STDEV(D$21:D$23, D24)," ")/IF(D$21*D$22*D$23*D24&gt;0,SQRT(COUNT(D$21:D$23, D24))," "),"")</f>
        <v/>
      </c>
      <c r="AI97" s="287" t="str">
        <f aca="false">IFERROR(IF(E$21*E$22*E$23*E24&gt;0,STDEV(E$21:E$23, E24)," ")/IF(E$21*E$22*E$23*E24&gt;0,SQRT(COUNT(E$21:E$23, E24))," "),"")</f>
        <v/>
      </c>
      <c r="AJ97" s="287" t="str">
        <f aca="false">IFERROR(IF(F$21*F$22*F$23*F24&gt;0,STDEV(F$21:F$23, F24)," ")/IF(F$21*F$22*F$23*F24&gt;0,SQRT(COUNT(F$21:F$23, F24))," "),"")</f>
        <v/>
      </c>
      <c r="AK97" s="287" t="str">
        <f aca="false">IFERROR(IF(G$21*G$22*G$23*G24&gt;0,STDEV(G$21:G$23, G24)," ")/IF(G$21*G$22*G$23*G24&gt;0,SQRT(COUNT(G$21:G$23, G24))," "),"")</f>
        <v/>
      </c>
      <c r="AL97" s="287" t="str">
        <f aca="false">IFERROR(IF(H$21*H$22*H$23*H24&gt;0,STDEV(H$21:H$23, H24)," ")/IF(H$21*H$22*H$23*H24&gt;0,SQRT(COUNT(H$21:H$23, H24))," "),"")</f>
        <v/>
      </c>
      <c r="AM97" s="287" t="str">
        <f aca="false">IFERROR(IF(I$21*I$22*I$23*I24&gt;0,STDEV(I$21:I$23, I24)," ")/IF(I$21*I$22*I$23*I24&gt;0,SQRT(COUNT(I$21:I$23, I24))," "),"")</f>
        <v/>
      </c>
      <c r="AN97" s="287" t="str">
        <f aca="false">IFERROR(IF(J$21*J$22*J$23*J24&gt;0,STDEV(J$21:J$23, J24)," ")/IF(J$21*J$22*J$23*J24&gt;0,SQRT(COUNT(J$21:J$23, J24))," "),"")</f>
        <v/>
      </c>
      <c r="AO97" s="287" t="str">
        <f aca="false">IFERROR(IF(K$21*K$22*K$23*K24&gt;0,STDEV(K$21:K$23, K24)," ")/IF(K$21*K$22*K$23*K24&gt;0,SQRT(COUNT(K$21:K$23, K24))," "),"")</f>
        <v/>
      </c>
      <c r="AP97" s="287" t="str">
        <f aca="false">IFERROR(IF(L$21*L$22*L$23*L24&gt;0,STDEV(L$21:L$23, L24)," ")/IF(L$21*L$22*L$23*L24&gt;0,SQRT(COUNT(L$21:L$23, L24))," "),"")</f>
        <v/>
      </c>
      <c r="AQ97" s="287" t="str">
        <f aca="false">IFERROR(IF(M$21*M$22*M$23*M24&gt;0,STDEV(M$21:M$23, M24)," ")/IF(M$21*M$22*M$23*M24&gt;0,SQRT(COUNT(M$21:M$23, M24))," "),"")</f>
        <v/>
      </c>
      <c r="AR97" s="287" t="str">
        <f aca="false">IFERROR(IF(N$21*N$22*N$23*N24&gt;0,STDEV(N$21:N$23, N24)," ")/IF(N$21*N$22*N$23*N24&gt;0,SQRT(COUNT(N$21:N$23, N24))," "),"")</f>
        <v/>
      </c>
    </row>
    <row r="98" customFormat="false" ht="15.75" hidden="false" customHeight="false" outlineLevel="0" collapsed="false">
      <c r="A98" s="290" t="s">
        <v>446</v>
      </c>
      <c r="B98" s="281"/>
      <c r="C98" s="302" t="str">
        <f aca="false">IFERROR(IF(C$21*C$22*C$23*C25&gt;0,AVERAGE(C$21:C$23, C25),""),"")</f>
        <v/>
      </c>
      <c r="D98" s="302" t="str">
        <f aca="false">IFERROR(IF(D$21*D$22*D$23*D25&gt;0,AVERAGE(D$21:D$23, D25),""),"")</f>
        <v/>
      </c>
      <c r="E98" s="302" t="str">
        <f aca="false">IFERROR(IF(E$21*E$22*E$23*E25&gt;0,AVERAGE(E$21:E$23, E25),""),"")</f>
        <v/>
      </c>
      <c r="F98" s="302" t="str">
        <f aca="false">IFERROR(IF(F$21*F$22*F$23*F25&gt;0,AVERAGE(F$21:F$23, F25),""),"")</f>
        <v/>
      </c>
      <c r="G98" s="302" t="str">
        <f aca="false">IFERROR(IF(G$21*G$22*G$23*G25&gt;0,AVERAGE(G$21:G$23, G25),""),"")</f>
        <v/>
      </c>
      <c r="H98" s="302" t="str">
        <f aca="false">IFERROR(IF(H$21*H$22*H$23*H25&gt;0,AVERAGE(H$21:H$23, H25),""),"")</f>
        <v/>
      </c>
      <c r="I98" s="302" t="str">
        <f aca="false">IFERROR(IF(I$21*I$22*I$23*I25&gt;0,AVERAGE(I$21:I$23, I25),""),"")</f>
        <v/>
      </c>
      <c r="J98" s="302" t="str">
        <f aca="false">IFERROR(IF(J$21*J$22*J$23*J25&gt;0,AVERAGE(J$21:J$23, J25),""),"")</f>
        <v/>
      </c>
      <c r="K98" s="302" t="str">
        <f aca="false">IFERROR(IF(K$21*K$22*K$23*K25&gt;0,AVERAGE(K$21:K$23, K25),""),"")</f>
        <v/>
      </c>
      <c r="L98" s="302" t="str">
        <f aca="false">IFERROR(IF(L$21*L$22*L$23*L25&gt;0,AVERAGE(L$21:L$23, L25),""),"")</f>
        <v/>
      </c>
      <c r="M98" s="302" t="str">
        <f aca="false">IFERROR(IF(M$21*M$22*M$23*M25&gt;0,AVERAGE(M$21:M$23, M25),""),"")</f>
        <v/>
      </c>
      <c r="N98" s="302" t="str">
        <f aca="false">IFERROR(IF(N$21*N$22*N$23*N25&gt;0,AVERAGE(N$21:N$23, N25),""),"")</f>
        <v/>
      </c>
      <c r="O98" s="282"/>
      <c r="P98" s="282"/>
      <c r="Q98" s="296"/>
      <c r="R98" s="293" t="s">
        <v>447</v>
      </c>
      <c r="S98" s="294" t="str">
        <f aca="false">IFERROR(IF(C$21*C$22*C$23*C25&gt;0,STDEV(C$21:C$23, C25),"")/IF(C$21*C$22*C$23*C25&gt;0,AVERAGE(C$21:C$23, C25),""),"")</f>
        <v/>
      </c>
      <c r="T98" s="294" t="str">
        <f aca="false">IFERROR(IF(D$21*D$22*D$23*D25&gt;0,STDEV(D$21:D$23, D25),"")/IF(D$21*D$22*D$23*D25&gt;0,AVERAGE(D$21:D$23, D25),""),"")</f>
        <v/>
      </c>
      <c r="U98" s="294" t="str">
        <f aca="false">IFERROR(IF(E$21*E$22*E$23*E25&gt;0,STDEV(E$21:E$23, E25),"")/IF(E$21*E$22*E$23*E25&gt;0,AVERAGE(E$21:E$23, E25),""),"")</f>
        <v/>
      </c>
      <c r="V98" s="294" t="str">
        <f aca="false">IFERROR(IF(F$21*F$22*F$23*F25&gt;0,STDEV(F$21:F$23, F25),"")/IF(F$21*F$22*F$23*F25&gt;0,AVERAGE(F$21:F$23, F25),""),"")</f>
        <v/>
      </c>
      <c r="W98" s="294" t="str">
        <f aca="false">IFERROR(IF(G$21*G$22*G$23*G25&gt;0,STDEV(G$21:G$23, G25),"")/IF(G$21*G$22*G$23*G25&gt;0,AVERAGE(G$21:G$23, G25),""),"")</f>
        <v/>
      </c>
      <c r="X98" s="294" t="str">
        <f aca="false">IFERROR(IF(H$21*H$22*H$23*H25&gt;0,STDEV(H$21:H$23, H25),"")/IF(H$21*H$22*H$23*H25&gt;0,AVERAGE(H$21:H$23, H25),""),"")</f>
        <v/>
      </c>
      <c r="Y98" s="294" t="str">
        <f aca="false">IFERROR(IF(I$21*I$22*I$23*I25&gt;0,STDEV(I$21:I$23, I25),"")/IF(I$21*I$22*I$23*I25&gt;0,AVERAGE(I$21:I$23, I25),""),"")</f>
        <v/>
      </c>
      <c r="Z98" s="294" t="str">
        <f aca="false">IFERROR(IF(J$21*J$22*J$23*J25&gt;0,STDEV(J$21:J$23, J25),"")/IF(J$21*J$22*J$23*J25&gt;0,AVERAGE(J$21:J$23, J25),""),"")</f>
        <v/>
      </c>
      <c r="AA98" s="294" t="str">
        <f aca="false">IFERROR(IF(K$21*K$22*K$23*K25&gt;0,STDEV(K$21:K$23, K25),"")/IF(K$21*K$22*K$23*K25&gt;0,AVERAGE(K$21:K$23, K25),""),"")</f>
        <v/>
      </c>
      <c r="AB98" s="294" t="str">
        <f aca="false">IFERROR(IF(L$21*L$22*L$23*L25&gt;0,STDEV(L$21:L$23, L25),"")/IF(L$21*L$22*L$23*L25&gt;0,AVERAGE(L$21:L$23, L25),""),"")</f>
        <v/>
      </c>
      <c r="AC98" s="294" t="str">
        <f aca="false">IFERROR(IF(M$21*M$22*M$23*M25&gt;0,STDEV(M$21:M$23, M25),"")/IF(M$21*M$22*M$23*M25&gt;0,AVERAGE(M$21:M$23, M25),""),"")</f>
        <v/>
      </c>
      <c r="AD98" s="294" t="str">
        <f aca="false">IFERROR(IF(N$21*N$22*N$23*N25&gt;0,STDEV(N$21:N$23, N25),"")/IF(N$21*N$22*N$23*N25&gt;0,AVERAGE(N$21:N$23, N25),""),"")</f>
        <v/>
      </c>
      <c r="AE98" s="44"/>
      <c r="AF98" s="266" t="s">
        <v>448</v>
      </c>
      <c r="AG98" s="287" t="str">
        <f aca="false">IFERROR(IF(C$21*C$22*C$23*C25&gt;0,STDEV(C$21:C$23, C25)," ")/IF(C$21*C$22*C$23*C25&gt;0,SQRT(COUNT(C$21:C$23, C25))," "),"")</f>
        <v/>
      </c>
      <c r="AH98" s="287" t="str">
        <f aca="false">IFERROR(IF(D$21*D$22*D$23*D25&gt;0,STDEV(D$21:D$23, D25)," ")/IF(D$21*D$22*D$23*D25&gt;0,SQRT(COUNT(D$21:D$23, D25))," "),"")</f>
        <v/>
      </c>
      <c r="AI98" s="287" t="str">
        <f aca="false">IFERROR(IF(E$21*E$22*E$23*E25&gt;0,STDEV(E$21:E$23, E25)," ")/IF(E$21*E$22*E$23*E25&gt;0,SQRT(COUNT(E$21:E$23, E25))," "),"")</f>
        <v/>
      </c>
      <c r="AJ98" s="287" t="str">
        <f aca="false">IFERROR(IF(F$21*F$22*F$23*F25&gt;0,STDEV(F$21:F$23, F25)," ")/IF(F$21*F$22*F$23*F25&gt;0,SQRT(COUNT(F$21:F$23, F25))," "),"")</f>
        <v/>
      </c>
      <c r="AK98" s="287" t="str">
        <f aca="false">IFERROR(IF(G$21*G$22*G$23*G25&gt;0,STDEV(G$21:G$23, G25)," ")/IF(G$21*G$22*G$23*G25&gt;0,SQRT(COUNT(G$21:G$23, G25))," "),"")</f>
        <v/>
      </c>
      <c r="AL98" s="287" t="str">
        <f aca="false">IFERROR(IF(H$21*H$22*H$23*H25&gt;0,STDEV(H$21:H$23, H25)," ")/IF(H$21*H$22*H$23*H25&gt;0,SQRT(COUNT(H$21:H$23, H25))," "),"")</f>
        <v/>
      </c>
      <c r="AM98" s="287" t="str">
        <f aca="false">IFERROR(IF(I$21*I$22*I$23*I25&gt;0,STDEV(I$21:I$23, I25)," ")/IF(I$21*I$22*I$23*I25&gt;0,SQRT(COUNT(I$21:I$23, I25))," "),"")</f>
        <v/>
      </c>
      <c r="AN98" s="287" t="str">
        <f aca="false">IFERROR(IF(J$21*J$22*J$23*J25&gt;0,STDEV(J$21:J$23, J25)," ")/IF(J$21*J$22*J$23*J25&gt;0,SQRT(COUNT(J$21:J$23, J25))," "),"")</f>
        <v/>
      </c>
      <c r="AO98" s="287" t="str">
        <f aca="false">IFERROR(IF(K$21*K$22*K$23*K25&gt;0,STDEV(K$21:K$23, K25)," ")/IF(K$21*K$22*K$23*K25&gt;0,SQRT(COUNT(K$21:K$23, K25))," "),"")</f>
        <v/>
      </c>
      <c r="AP98" s="287" t="str">
        <f aca="false">IFERROR(IF(L$21*L$22*L$23*L25&gt;0,STDEV(L$21:L$23, L25)," ")/IF(L$21*L$22*L$23*L25&gt;0,SQRT(COUNT(L$21:L$23, L25))," "),"")</f>
        <v/>
      </c>
      <c r="AQ98" s="287" t="str">
        <f aca="false">IFERROR(IF(M$21*M$22*M$23*M25&gt;0,STDEV(M$21:M$23, M25)," ")/IF(M$21*M$22*M$23*M25&gt;0,SQRT(COUNT(M$21:M$23, M25))," "),"")</f>
        <v/>
      </c>
      <c r="AR98" s="287" t="str">
        <f aca="false">IFERROR(IF(N$21*N$22*N$23*N25&gt;0,STDEV(N$21:N$23, N25)," ")/IF(N$21*N$22*N$23*N25&gt;0,SQRT(COUNT(N$21:N$23, N25))," "),"")</f>
        <v/>
      </c>
    </row>
    <row r="99" customFormat="false" ht="15.75" hidden="false" customHeight="false" outlineLevel="0" collapsed="false">
      <c r="A99" s="290" t="s">
        <v>449</v>
      </c>
      <c r="B99" s="281"/>
      <c r="C99" s="302" t="str">
        <f aca="false">IFERROR(IF(C$21*C$22*C$23*C26&gt;0,AVERAGE(C$21:C$23, C26),""),"")</f>
        <v/>
      </c>
      <c r="D99" s="302" t="str">
        <f aca="false">IFERROR(IF(D$21*D$22*D$23*D26&gt;0,AVERAGE(D$21:D$23, D26),""),"")</f>
        <v/>
      </c>
      <c r="E99" s="302" t="str">
        <f aca="false">IFERROR(IF(E$21*E$22*E$23*E26&gt;0,AVERAGE(E$21:E$23, E26),""),"")</f>
        <v/>
      </c>
      <c r="F99" s="302" t="str">
        <f aca="false">IFERROR(IF(F$21*F$22*F$23*F26&gt;0,AVERAGE(F$21:F$23, F26),""),"")</f>
        <v/>
      </c>
      <c r="G99" s="302" t="str">
        <f aca="false">IFERROR(IF(G$21*G$22*G$23*G26&gt;0,AVERAGE(G$21:G$23, G26),""),"")</f>
        <v/>
      </c>
      <c r="H99" s="302" t="str">
        <f aca="false">IFERROR(IF(H$21*H$22*H$23*H26&gt;0,AVERAGE(H$21:H$23, H26),""),"")</f>
        <v/>
      </c>
      <c r="I99" s="302" t="str">
        <f aca="false">IFERROR(IF(I$21*I$22*I$23*I26&gt;0,AVERAGE(I$21:I$23, I26),""),"")</f>
        <v/>
      </c>
      <c r="J99" s="302" t="str">
        <f aca="false">IFERROR(IF(J$21*J$22*J$23*J26&gt;0,AVERAGE(J$21:J$23, J26),""),"")</f>
        <v/>
      </c>
      <c r="K99" s="302" t="str">
        <f aca="false">IFERROR(IF(K$21*K$22*K$23*K26&gt;0,AVERAGE(K$21:K$23, K26),""),"")</f>
        <v/>
      </c>
      <c r="L99" s="302" t="str">
        <f aca="false">IFERROR(IF(L$21*L$22*L$23*L26&gt;0,AVERAGE(L$21:L$23, L26),""),"")</f>
        <v/>
      </c>
      <c r="M99" s="302" t="str">
        <f aca="false">IFERROR(IF(M$21*M$22*M$23*M26&gt;0,AVERAGE(M$21:M$23, M26),""),"")</f>
        <v/>
      </c>
      <c r="N99" s="302" t="str">
        <f aca="false">IFERROR(IF(N$21*N$22*N$23*N26&gt;0,AVERAGE(N$21:N$23, N26),""),"")</f>
        <v/>
      </c>
      <c r="O99" s="282"/>
      <c r="P99" s="282"/>
      <c r="Q99" s="296"/>
      <c r="R99" s="293" t="s">
        <v>450</v>
      </c>
      <c r="S99" s="294" t="str">
        <f aca="false">IFERROR(IF(C$21*C$22*C$23*C26&gt;0,STDEV(C$21:C$23, C26),"")/IF(C$21*C$22*C$23*C26&gt;0,AVERAGE(C$21:C$23, C26),""),"")</f>
        <v/>
      </c>
      <c r="T99" s="294" t="str">
        <f aca="false">IFERROR(IF(D$21*D$22*D$23*D26&gt;0,STDEV(D$21:D$23, D26),"")/IF(D$21*D$22*D$23*D26&gt;0,AVERAGE(D$21:D$23, D26),""),"")</f>
        <v/>
      </c>
      <c r="U99" s="294" t="str">
        <f aca="false">IFERROR(IF(E$21*E$22*E$23*E26&gt;0,STDEV(E$21:E$23, E26),"")/IF(E$21*E$22*E$23*E26&gt;0,AVERAGE(E$21:E$23, E26),""),"")</f>
        <v/>
      </c>
      <c r="V99" s="294" t="str">
        <f aca="false">IFERROR(IF(F$21*F$22*F$23*F26&gt;0,STDEV(F$21:F$23, F26),"")/IF(F$21*F$22*F$23*F26&gt;0,AVERAGE(F$21:F$23, F26),""),"")</f>
        <v/>
      </c>
      <c r="W99" s="294" t="str">
        <f aca="false">IFERROR(IF(G$21*G$22*G$23*G26&gt;0,STDEV(G$21:G$23, G26),"")/IF(G$21*G$22*G$23*G26&gt;0,AVERAGE(G$21:G$23, G26),""),"")</f>
        <v/>
      </c>
      <c r="X99" s="294" t="str">
        <f aca="false">IFERROR(IF(H$21*H$22*H$23*H26&gt;0,STDEV(H$21:H$23, H26),"")/IF(H$21*H$22*H$23*H26&gt;0,AVERAGE(H$21:H$23, H26),""),"")</f>
        <v/>
      </c>
      <c r="Y99" s="294" t="str">
        <f aca="false">IFERROR(IF(I$21*I$22*I$23*I26&gt;0,STDEV(I$21:I$23, I26),"")/IF(I$21*I$22*I$23*I26&gt;0,AVERAGE(I$21:I$23, I26),""),"")</f>
        <v/>
      </c>
      <c r="Z99" s="294" t="str">
        <f aca="false">IFERROR(IF(J$21*J$22*J$23*J26&gt;0,STDEV(J$21:J$23, J26),"")/IF(J$21*J$22*J$23*J26&gt;0,AVERAGE(J$21:J$23, J26),""),"")</f>
        <v/>
      </c>
      <c r="AA99" s="294" t="str">
        <f aca="false">IFERROR(IF(K$21*K$22*K$23*K26&gt;0,STDEV(K$21:K$23, K26),"")/IF(K$21*K$22*K$23*K26&gt;0,AVERAGE(K$21:K$23, K26),""),"")</f>
        <v/>
      </c>
      <c r="AB99" s="294" t="str">
        <f aca="false">IFERROR(IF(L$21*L$22*L$23*L26&gt;0,STDEV(L$21:L$23, L26),"")/IF(L$21*L$22*L$23*L26&gt;0,AVERAGE(L$21:L$23, L26),""),"")</f>
        <v/>
      </c>
      <c r="AC99" s="294" t="str">
        <f aca="false">IFERROR(IF(M$21*M$22*M$23*M26&gt;0,STDEV(M$21:M$23, M26),"")/IF(M$21*M$22*M$23*M26&gt;0,AVERAGE(M$21:M$23, M26),""),"")</f>
        <v/>
      </c>
      <c r="AD99" s="294" t="str">
        <f aca="false">IFERROR(IF(N$21*N$22*N$23*N26&gt;0,STDEV(N$21:N$23, N26),"")/IF(N$21*N$22*N$23*N26&gt;0,AVERAGE(N$21:N$23, N26),""),"")</f>
        <v/>
      </c>
      <c r="AE99" s="44"/>
      <c r="AF99" s="266" t="s">
        <v>451</v>
      </c>
      <c r="AG99" s="287" t="str">
        <f aca="false">IFERROR(IF(C$21*C$22*C$23*C26&gt;0,STDEV(C$21:C$23, C26)," ")/IF(C$21*C$22*C$23*C26&gt;0,SQRT(COUNT(C$21:C$23, C26))," "),"")</f>
        <v/>
      </c>
      <c r="AH99" s="287" t="str">
        <f aca="false">IFERROR(IF(D$21*D$22*D$23*D26&gt;0,STDEV(D$21:D$23, D26)," ")/IF(D$21*D$22*D$23*D26&gt;0,SQRT(COUNT(D$21:D$23, D26))," "),"")</f>
        <v/>
      </c>
      <c r="AI99" s="287" t="str">
        <f aca="false">IFERROR(IF(E$21*E$22*E$23*E26&gt;0,STDEV(E$21:E$23, E26)," ")/IF(E$21*E$22*E$23*E26&gt;0,SQRT(COUNT(E$21:E$23, E26))," "),"")</f>
        <v/>
      </c>
      <c r="AJ99" s="287" t="str">
        <f aca="false">IFERROR(IF(F$21*F$22*F$23*F26&gt;0,STDEV(F$21:F$23, F26)," ")/IF(F$21*F$22*F$23*F26&gt;0,SQRT(COUNT(F$21:F$23, F26))," "),"")</f>
        <v/>
      </c>
      <c r="AK99" s="287" t="str">
        <f aca="false">IFERROR(IF(G$21*G$22*G$23*G26&gt;0,STDEV(G$21:G$23, G26)," ")/IF(G$21*G$22*G$23*G26&gt;0,SQRT(COUNT(G$21:G$23, G26))," "),"")</f>
        <v/>
      </c>
      <c r="AL99" s="287" t="str">
        <f aca="false">IFERROR(IF(H$21*H$22*H$23*H26&gt;0,STDEV(H$21:H$23, H26)," ")/IF(H$21*H$22*H$23*H26&gt;0,SQRT(COUNT(H$21:H$23, H26))," "),"")</f>
        <v/>
      </c>
      <c r="AM99" s="287" t="str">
        <f aca="false">IFERROR(IF(I$21*I$22*I$23*I26&gt;0,STDEV(I$21:I$23, I26)," ")/IF(I$21*I$22*I$23*I26&gt;0,SQRT(COUNT(I$21:I$23, I26))," "),"")</f>
        <v/>
      </c>
      <c r="AN99" s="287" t="str">
        <f aca="false">IFERROR(IF(J$21*J$22*J$23*J26&gt;0,STDEV(J$21:J$23, J26)," ")/IF(J$21*J$22*J$23*J26&gt;0,SQRT(COUNT(J$21:J$23, J26))," "),"")</f>
        <v/>
      </c>
      <c r="AO99" s="287" t="str">
        <f aca="false">IFERROR(IF(K$21*K$22*K$23*K26&gt;0,STDEV(K$21:K$23, K26)," ")/IF(K$21*K$22*K$23*K26&gt;0,SQRT(COUNT(K$21:K$23, K26))," "),"")</f>
        <v/>
      </c>
      <c r="AP99" s="287" t="str">
        <f aca="false">IFERROR(IF(L$21*L$22*L$23*L26&gt;0,STDEV(L$21:L$23, L26)," ")/IF(L$21*L$22*L$23*L26&gt;0,SQRT(COUNT(L$21:L$23, L26))," "),"")</f>
        <v/>
      </c>
      <c r="AQ99" s="287" t="str">
        <f aca="false">IFERROR(IF(M$21*M$22*M$23*M26&gt;0,STDEV(M$21:M$23, M26)," ")/IF(M$21*M$22*M$23*M26&gt;0,SQRT(COUNT(M$21:M$23, M26))," "),"")</f>
        <v/>
      </c>
      <c r="AR99" s="287" t="str">
        <f aca="false">IFERROR(IF(N$21*N$22*N$23*N26&gt;0,STDEV(N$21:N$23, N26)," ")/IF(N$21*N$22*N$23*N26&gt;0,SQRT(COUNT(N$21:N$23, N26))," "),"")</f>
        <v/>
      </c>
    </row>
    <row r="100" customFormat="false" ht="15.75" hidden="false" customHeight="false" outlineLevel="0" collapsed="false">
      <c r="A100" s="290" t="s">
        <v>452</v>
      </c>
      <c r="B100" s="281"/>
      <c r="C100" s="302" t="str">
        <f aca="false">IFERROR(IF(C$21*C$22*C$23*C27&gt;0,AVERAGE(C$21:C$23, C27),""),"")</f>
        <v/>
      </c>
      <c r="D100" s="302" t="str">
        <f aca="false">IFERROR(IF(D$21*D$22*D$23*D27&gt;0,AVERAGE(D$21:D$23, D27),""),"")</f>
        <v/>
      </c>
      <c r="E100" s="302" t="str">
        <f aca="false">IFERROR(IF(E$21*E$22*E$23*E27&gt;0,AVERAGE(E$21:E$23, E27),""),"")</f>
        <v/>
      </c>
      <c r="F100" s="302" t="str">
        <f aca="false">IFERROR(IF(F$21*F$22*F$23*F27&gt;0,AVERAGE(F$21:F$23, F27),""),"")</f>
        <v/>
      </c>
      <c r="G100" s="302" t="str">
        <f aca="false">IFERROR(IF(G$21*G$22*G$23*G27&gt;0,AVERAGE(G$21:G$23, G27),""),"")</f>
        <v/>
      </c>
      <c r="H100" s="302" t="str">
        <f aca="false">IFERROR(IF(H$21*H$22*H$23*H27&gt;0,AVERAGE(H$21:H$23, H27),""),"")</f>
        <v/>
      </c>
      <c r="I100" s="302" t="str">
        <f aca="false">IFERROR(IF(I$21*I$22*I$23*I27&gt;0,AVERAGE(I$21:I$23, I27),""),"")</f>
        <v/>
      </c>
      <c r="J100" s="302" t="str">
        <f aca="false">IFERROR(IF(J$21*J$22*J$23*J27&gt;0,AVERAGE(J$21:J$23, J27),""),"")</f>
        <v/>
      </c>
      <c r="K100" s="302" t="str">
        <f aca="false">IFERROR(IF(K$21*K$22*K$23*K27&gt;0,AVERAGE(K$21:K$23, K27),""),"")</f>
        <v/>
      </c>
      <c r="L100" s="302" t="str">
        <f aca="false">IFERROR(IF(L$21*L$22*L$23*L27&gt;0,AVERAGE(L$21:L$23, L27),""),"")</f>
        <v/>
      </c>
      <c r="M100" s="302" t="str">
        <f aca="false">IFERROR(IF(M$21*M$22*M$23*M27&gt;0,AVERAGE(M$21:M$23, M27),""),"")</f>
        <v/>
      </c>
      <c r="N100" s="302" t="str">
        <f aca="false">IFERROR(IF(N$21*N$22*N$23*N27&gt;0,AVERAGE(N$21:N$23, N27),""),"")</f>
        <v/>
      </c>
      <c r="O100" s="282"/>
      <c r="P100" s="282"/>
      <c r="Q100" s="296"/>
      <c r="R100" s="293" t="s">
        <v>453</v>
      </c>
      <c r="S100" s="294" t="str">
        <f aca="false">IFERROR(IF(C$21*C$22*C$23*C27&gt;0,STDEV(C$21:C$23, C27),"")/IF(C$21*C$22*C$23*C27&gt;0,AVERAGE(C$21:C$23, C27),""),"")</f>
        <v/>
      </c>
      <c r="T100" s="294" t="str">
        <f aca="false">IFERROR(IF(D$21*D$22*D$23*D27&gt;0,STDEV(D$21:D$23, D27),"")/IF(D$21*D$22*D$23*D27&gt;0,AVERAGE(D$21:D$23, D27),""),"")</f>
        <v/>
      </c>
      <c r="U100" s="294" t="str">
        <f aca="false">IFERROR(IF(E$21*E$22*E$23*E27&gt;0,STDEV(E$21:E$23, E27),"")/IF(E$21*E$22*E$23*E27&gt;0,AVERAGE(E$21:E$23, E27),""),"")</f>
        <v/>
      </c>
      <c r="V100" s="294" t="str">
        <f aca="false">IFERROR(IF(F$21*F$22*F$23*F27&gt;0,STDEV(F$21:F$23, F27),"")/IF(F$21*F$22*F$23*F27&gt;0,AVERAGE(F$21:F$23, F27),""),"")</f>
        <v/>
      </c>
      <c r="W100" s="294" t="str">
        <f aca="false">IFERROR(IF(G$21*G$22*G$23*G27&gt;0,STDEV(G$21:G$23, G27),"")/IF(G$21*G$22*G$23*G27&gt;0,AVERAGE(G$21:G$23, G27),""),"")</f>
        <v/>
      </c>
      <c r="X100" s="294" t="str">
        <f aca="false">IFERROR(IF(H$21*H$22*H$23*H27&gt;0,STDEV(H$21:H$23, H27),"")/IF(H$21*H$22*H$23*H27&gt;0,AVERAGE(H$21:H$23, H27),""),"")</f>
        <v/>
      </c>
      <c r="Y100" s="294" t="str">
        <f aca="false">IFERROR(IF(I$21*I$22*I$23*I27&gt;0,STDEV(I$21:I$23, I27),"")/IF(I$21*I$22*I$23*I27&gt;0,AVERAGE(I$21:I$23, I27),""),"")</f>
        <v/>
      </c>
      <c r="Z100" s="294" t="str">
        <f aca="false">IFERROR(IF(J$21*J$22*J$23*J27&gt;0,STDEV(J$21:J$23, J27),"")/IF(J$21*J$22*J$23*J27&gt;0,AVERAGE(J$21:J$23, J27),""),"")</f>
        <v/>
      </c>
      <c r="AA100" s="294" t="str">
        <f aca="false">IFERROR(IF(K$21*K$22*K$23*K27&gt;0,STDEV(K$21:K$23, K27),"")/IF(K$21*K$22*K$23*K27&gt;0,AVERAGE(K$21:K$23, K27),""),"")</f>
        <v/>
      </c>
      <c r="AB100" s="294" t="str">
        <f aca="false">IFERROR(IF(L$21*L$22*L$23*L27&gt;0,STDEV(L$21:L$23, L27),"")/IF(L$21*L$22*L$23*L27&gt;0,AVERAGE(L$21:L$23, L27),""),"")</f>
        <v/>
      </c>
      <c r="AC100" s="294" t="str">
        <f aca="false">IFERROR(IF(M$21*M$22*M$23*M27&gt;0,STDEV(M$21:M$23, M27),"")/IF(M$21*M$22*M$23*M27&gt;0,AVERAGE(M$21:M$23, M27),""),"")</f>
        <v/>
      </c>
      <c r="AD100" s="294" t="str">
        <f aca="false">IFERROR(IF(N$21*N$22*N$23*N27&gt;0,STDEV(N$21:N$23, N27),"")/IF(N$21*N$22*N$23*N27&gt;0,AVERAGE(N$21:N$23, N27),""),"")</f>
        <v/>
      </c>
      <c r="AE100" s="44"/>
      <c r="AF100" s="266" t="s">
        <v>454</v>
      </c>
      <c r="AG100" s="287" t="str">
        <f aca="false">IFERROR(IF(C$21*C$22*C$23*C27&gt;0,STDEV(C$21:C$23, C27)," ")/IF(C$21*C$22*C$23*C27&gt;0,SQRT(COUNT(C$21:C$23, C27))," "),"")</f>
        <v/>
      </c>
      <c r="AH100" s="287" t="str">
        <f aca="false">IFERROR(IF(D$21*D$22*D$23*D27&gt;0,STDEV(D$21:D$23, D27)," ")/IF(D$21*D$22*D$23*D27&gt;0,SQRT(COUNT(D$21:D$23, D27))," "),"")</f>
        <v/>
      </c>
      <c r="AI100" s="287" t="str">
        <f aca="false">IFERROR(IF(E$21*E$22*E$23*E27&gt;0,STDEV(E$21:E$23, E27)," ")/IF(E$21*E$22*E$23*E27&gt;0,SQRT(COUNT(E$21:E$23, E27))," "),"")</f>
        <v/>
      </c>
      <c r="AJ100" s="287" t="str">
        <f aca="false">IFERROR(IF(F$21*F$22*F$23*F27&gt;0,STDEV(F$21:F$23, F27)," ")/IF(F$21*F$22*F$23*F27&gt;0,SQRT(COUNT(F$21:F$23, F27))," "),"")</f>
        <v/>
      </c>
      <c r="AK100" s="287" t="str">
        <f aca="false">IFERROR(IF(G$21*G$22*G$23*G27&gt;0,STDEV(G$21:G$23, G27)," ")/IF(G$21*G$22*G$23*G27&gt;0,SQRT(COUNT(G$21:G$23, G27))," "),"")</f>
        <v/>
      </c>
      <c r="AL100" s="287" t="str">
        <f aca="false">IFERROR(IF(H$21*H$22*H$23*H27&gt;0,STDEV(H$21:H$23, H27)," ")/IF(H$21*H$22*H$23*H27&gt;0,SQRT(COUNT(H$21:H$23, H27))," "),"")</f>
        <v/>
      </c>
      <c r="AM100" s="287" t="str">
        <f aca="false">IFERROR(IF(I$21*I$22*I$23*I27&gt;0,STDEV(I$21:I$23, I27)," ")/IF(I$21*I$22*I$23*I27&gt;0,SQRT(COUNT(I$21:I$23, I27))," "),"")</f>
        <v/>
      </c>
      <c r="AN100" s="287" t="str">
        <f aca="false">IFERROR(IF(J$21*J$22*J$23*J27&gt;0,STDEV(J$21:J$23, J27)," ")/IF(J$21*J$22*J$23*J27&gt;0,SQRT(COUNT(J$21:J$23, J27))," "),"")</f>
        <v/>
      </c>
      <c r="AO100" s="287" t="str">
        <f aca="false">IFERROR(IF(K$21*K$22*K$23*K27&gt;0,STDEV(K$21:K$23, K27)," ")/IF(K$21*K$22*K$23*K27&gt;0,SQRT(COUNT(K$21:K$23, K27))," "),"")</f>
        <v/>
      </c>
      <c r="AP100" s="287" t="str">
        <f aca="false">IFERROR(IF(L$21*L$22*L$23*L27&gt;0,STDEV(L$21:L$23, L27)," ")/IF(L$21*L$22*L$23*L27&gt;0,SQRT(COUNT(L$21:L$23, L27))," "),"")</f>
        <v/>
      </c>
      <c r="AQ100" s="287" t="str">
        <f aca="false">IFERROR(IF(M$21*M$22*M$23*M27&gt;0,STDEV(M$21:M$23, M27)," ")/IF(M$21*M$22*M$23*M27&gt;0,SQRT(COUNT(M$21:M$23, M27))," "),"")</f>
        <v/>
      </c>
      <c r="AR100" s="287" t="str">
        <f aca="false">IFERROR(IF(N$21*N$22*N$23*N27&gt;0,STDEV(N$21:N$23, N27)," ")/IF(N$21*N$22*N$23*N27&gt;0,SQRT(COUNT(N$21:N$23, N27))," "),"")</f>
        <v/>
      </c>
    </row>
    <row r="101" customFormat="false" ht="15.75" hidden="false" customHeight="false" outlineLevel="0" collapsed="false">
      <c r="A101" s="290" t="s">
        <v>455</v>
      </c>
      <c r="B101" s="281"/>
      <c r="C101" s="302" t="str">
        <f aca="false">IFERROR(IF(C$22*C$23*C$24*C21&gt;0,AVERAGE(C$22:C$24, C21),""),"")</f>
        <v/>
      </c>
      <c r="D101" s="302" t="str">
        <f aca="false">IFERROR(IF(D$22*D$23*D$24*D21&gt;0,AVERAGE(D$22:D$24, D21),""),"")</f>
        <v/>
      </c>
      <c r="E101" s="302" t="str">
        <f aca="false">IFERROR(IF(E$22*E$23*E$24*E21&gt;0,AVERAGE(E$22:E$24, E21),""),"")</f>
        <v/>
      </c>
      <c r="F101" s="302" t="str">
        <f aca="false">IFERROR(IF(F$22*F$23*F$24*F21&gt;0,AVERAGE(F$22:F$24, F21),""),"")</f>
        <v/>
      </c>
      <c r="G101" s="302" t="str">
        <f aca="false">IFERROR(IF(G$22*G$23*G$24*G21&gt;0,AVERAGE(G$22:G$24, G21),""),"")</f>
        <v/>
      </c>
      <c r="H101" s="302" t="str">
        <f aca="false">IFERROR(IF(H$22*H$23*H$24*H21&gt;0,AVERAGE(H$22:H$24, H21),""),"")</f>
        <v/>
      </c>
      <c r="I101" s="302" t="str">
        <f aca="false">IFERROR(IF(I$22*I$23*I$24*I21&gt;0,AVERAGE(I$22:I$24, I21),""),"")</f>
        <v/>
      </c>
      <c r="J101" s="302" t="str">
        <f aca="false">IFERROR(IF(J$22*J$23*J$24*J21&gt;0,AVERAGE(J$22:J$24, J21),""),"")</f>
        <v/>
      </c>
      <c r="K101" s="302" t="str">
        <f aca="false">IFERROR(IF(K$22*K$23*K$24*K21&gt;0,AVERAGE(K$22:K$24, K21),""),"")</f>
        <v/>
      </c>
      <c r="L101" s="302" t="str">
        <f aca="false">IFERROR(IF(L$22*L$23*L$24*L21&gt;0,AVERAGE(L$22:L$24, L21),""),"")</f>
        <v/>
      </c>
      <c r="M101" s="302" t="str">
        <f aca="false">IFERROR(IF(M$22*M$23*M$24*M21&gt;0,AVERAGE(M$22:M$24, M21),""),"")</f>
        <v/>
      </c>
      <c r="N101" s="302" t="str">
        <f aca="false">IFERROR(IF(N$22*N$23*N$24*N21&gt;0,AVERAGE(N$22:N$24, N21),""),"")</f>
        <v/>
      </c>
      <c r="O101" s="282"/>
      <c r="P101" s="282"/>
      <c r="Q101" s="296"/>
      <c r="R101" s="293" t="s">
        <v>456</v>
      </c>
      <c r="S101" s="294" t="str">
        <f aca="false">IFERROR(IF(C$22*C$23*C$24*C21&gt;0,STDEV(C$22:C$24, C21),"")/IF(C$22*C$23*C$24*C21&gt;0,AVERAGE(C$22:C$24, C21),""),"")</f>
        <v/>
      </c>
      <c r="T101" s="294" t="str">
        <f aca="false">IFERROR(IF(D$22*D$23*D$24*D21&gt;0,STDEV(D$22:D$24, D21),"")/IF(D$22*D$23*D$24*D21&gt;0,AVERAGE(D$22:D$24, D21),""),"")</f>
        <v/>
      </c>
      <c r="U101" s="294" t="str">
        <f aca="false">IFERROR(IF(E$22*E$23*E$24*E21&gt;0,STDEV(E$22:E$24, E21),"")/IF(E$22*E$23*E$24*E21&gt;0,AVERAGE(E$22:E$24, E21),""),"")</f>
        <v/>
      </c>
      <c r="V101" s="294" t="str">
        <f aca="false">IFERROR(IF(F$22*F$23*F$24*F21&gt;0,STDEV(F$22:F$24, F21),"")/IF(F$22*F$23*F$24*F21&gt;0,AVERAGE(F$22:F$24, F21),""),"")</f>
        <v/>
      </c>
      <c r="W101" s="294" t="str">
        <f aca="false">IFERROR(IF(G$22*G$23*G$24*G21&gt;0,STDEV(G$22:G$24, G21),"")/IF(G$22*G$23*G$24*G21&gt;0,AVERAGE(G$22:G$24, G21),""),"")</f>
        <v/>
      </c>
      <c r="X101" s="294" t="str">
        <f aca="false">IFERROR(IF(H$22*H$23*H$24*H21&gt;0,STDEV(H$22:H$24, H21),"")/IF(H$22*H$23*H$24*H21&gt;0,AVERAGE(H$22:H$24, H21),""),"")</f>
        <v/>
      </c>
      <c r="Y101" s="294" t="str">
        <f aca="false">IFERROR(IF(I$22*I$23*I$24*I21&gt;0,STDEV(I$22:I$24, I21),"")/IF(I$22*I$23*I$24*I21&gt;0,AVERAGE(I$22:I$24, I21),""),"")</f>
        <v/>
      </c>
      <c r="Z101" s="294" t="str">
        <f aca="false">IFERROR(IF(J$22*J$23*J$24*J21&gt;0,STDEV(J$22:J$24, J21),"")/IF(J$22*J$23*J$24*J21&gt;0,AVERAGE(J$22:J$24, J21),""),"")</f>
        <v/>
      </c>
      <c r="AA101" s="294" t="str">
        <f aca="false">IFERROR(IF(K$22*K$23*K$24*K21&gt;0,STDEV(K$22:K$24, K21),"")/IF(K$22*K$23*K$24*K21&gt;0,AVERAGE(K$22:K$24, K21),""),"")</f>
        <v/>
      </c>
      <c r="AB101" s="294" t="str">
        <f aca="false">IFERROR(IF(L$22*L$23*L$24*L21&gt;0,STDEV(L$22:L$24, L21),"")/IF(L$22*L$23*L$24*L21&gt;0,AVERAGE(L$22:L$24, L21),""),"")</f>
        <v/>
      </c>
      <c r="AC101" s="294" t="str">
        <f aca="false">IFERROR(IF(M$22*M$23*M$24*M21&gt;0,STDEV(M$22:M$24, M21),"")/IF(M$22*M$23*M$24*M21&gt;0,AVERAGE(M$22:M$24, M21),""),"")</f>
        <v/>
      </c>
      <c r="AD101" s="294" t="str">
        <f aca="false">IFERROR(IF(N$22*N$23*N$24*N21&gt;0,STDEV(N$22:N$24, N21),"")/IF(N$22*N$23*N$24*N21&gt;0,AVERAGE(N$22:N$24, N21),""),"")</f>
        <v/>
      </c>
      <c r="AE101" s="44"/>
      <c r="AF101" s="266" t="s">
        <v>457</v>
      </c>
      <c r="AG101" s="287" t="str">
        <f aca="false">IFERROR(IF(C$22*C$23*C$24*C21&gt;0,STDEV(C$22:C$24, C21)," ")/IF(C$22*C$23*C$24*C21&gt;0,SQRT(COUNT(C$22:C$24, C21))," "),"")</f>
        <v/>
      </c>
      <c r="AH101" s="287" t="str">
        <f aca="false">IFERROR(IF(D$22*D$23*D$24*D21&gt;0,STDEV(D$22:D$24, D21)," ")/IF(D$22*D$23*D$24*D21&gt;0,SQRT(COUNT(D$22:D$24, D21))," "),"")</f>
        <v/>
      </c>
      <c r="AI101" s="287" t="str">
        <f aca="false">IFERROR(IF(E$22*E$23*E$24*E21&gt;0,STDEV(E$22:E$24, E21)," ")/IF(E$22*E$23*E$24*E21&gt;0,SQRT(COUNT(E$22:E$24, E21))," "),"")</f>
        <v/>
      </c>
      <c r="AJ101" s="287" t="str">
        <f aca="false">IFERROR(IF(F$22*F$23*F$24*F21&gt;0,STDEV(F$22:F$24, F21)," ")/IF(F$22*F$23*F$24*F21&gt;0,SQRT(COUNT(F$22:F$24, F21))," "),"")</f>
        <v/>
      </c>
      <c r="AK101" s="287" t="str">
        <f aca="false">IFERROR(IF(G$22*G$23*G$24*G21&gt;0,STDEV(G$22:G$24, G21)," ")/IF(G$22*G$23*G$24*G21&gt;0,SQRT(COUNT(G$22:G$24, G21))," "),"")</f>
        <v/>
      </c>
      <c r="AL101" s="287" t="str">
        <f aca="false">IFERROR(IF(H$22*H$23*H$24*H21&gt;0,STDEV(H$22:H$24, H21)," ")/IF(H$22*H$23*H$24*H21&gt;0,SQRT(COUNT(H$22:H$24, H21))," "),"")</f>
        <v/>
      </c>
      <c r="AM101" s="287" t="str">
        <f aca="false">IFERROR(IF(I$22*I$23*I$24*I21&gt;0,STDEV(I$22:I$24, I21)," ")/IF(I$22*I$23*I$24*I21&gt;0,SQRT(COUNT(I$22:I$24, I21))," "),"")</f>
        <v/>
      </c>
      <c r="AN101" s="287" t="str">
        <f aca="false">IFERROR(IF(J$22*J$23*J$24*J21&gt;0,STDEV(J$22:J$24, J21)," ")/IF(J$22*J$23*J$24*J21&gt;0,SQRT(COUNT(J$22:J$24, J21))," "),"")</f>
        <v/>
      </c>
      <c r="AO101" s="287" t="str">
        <f aca="false">IFERROR(IF(K$22*K$23*K$24*K21&gt;0,STDEV(K$22:K$24, K21)," ")/IF(K$22*K$23*K$24*K21&gt;0,SQRT(COUNT(K$22:K$24, K21))," "),"")</f>
        <v/>
      </c>
      <c r="AP101" s="287" t="str">
        <f aca="false">IFERROR(IF(L$22*L$23*L$24*L21&gt;0,STDEV(L$22:L$24, L21)," ")/IF(L$22*L$23*L$24*L21&gt;0,SQRT(COUNT(L$22:L$24, L21))," "),"")</f>
        <v/>
      </c>
      <c r="AQ101" s="287" t="str">
        <f aca="false">IFERROR(IF(M$22*M$23*M$24*M21&gt;0,STDEV(M$22:M$24, M21)," ")/IF(M$22*M$23*M$24*M21&gt;0,SQRT(COUNT(M$22:M$24, M21))," "),"")</f>
        <v/>
      </c>
      <c r="AR101" s="287" t="str">
        <f aca="false">IFERROR(IF(N$22*N$23*N$24*N21&gt;0,STDEV(N$22:N$24, N21)," ")/IF(N$22*N$23*N$24*N21&gt;0,SQRT(COUNT(N$22:N$24, N21))," "),"")</f>
        <v/>
      </c>
    </row>
    <row r="102" customFormat="false" ht="15.75" hidden="false" customHeight="false" outlineLevel="0" collapsed="false">
      <c r="A102" s="290" t="s">
        <v>458</v>
      </c>
      <c r="B102" s="281"/>
      <c r="C102" s="302" t="str">
        <f aca="false">IFERROR(IF(C$22*C$23*C$24*C25&gt;0,AVERAGE(C$22:C$24, C25),""),"")</f>
        <v/>
      </c>
      <c r="D102" s="302" t="str">
        <f aca="false">IFERROR(IF(D$22*D$23*D$24*D25&gt;0,AVERAGE(D$22:D$24, D25),""),"")</f>
        <v/>
      </c>
      <c r="E102" s="302" t="str">
        <f aca="false">IFERROR(IF(E$22*E$23*E$24*E25&gt;0,AVERAGE(E$22:E$24, E25),""),"")</f>
        <v/>
      </c>
      <c r="F102" s="302" t="str">
        <f aca="false">IFERROR(IF(F$22*F$23*F$24*F25&gt;0,AVERAGE(F$22:F$24, F25),""),"")</f>
        <v/>
      </c>
      <c r="G102" s="302" t="str">
        <f aca="false">IFERROR(IF(G$22*G$23*G$24*G25&gt;0,AVERAGE(G$22:G$24, G25),""),"")</f>
        <v/>
      </c>
      <c r="H102" s="302" t="str">
        <f aca="false">IFERROR(IF(H$22*H$23*H$24*H25&gt;0,AVERAGE(H$22:H$24, H25),""),"")</f>
        <v/>
      </c>
      <c r="I102" s="302" t="str">
        <f aca="false">IFERROR(IF(I$22*I$23*I$24*I25&gt;0,AVERAGE(I$22:I$24, I25),""),"")</f>
        <v/>
      </c>
      <c r="J102" s="302" t="str">
        <f aca="false">IFERROR(IF(J$22*J$23*J$24*J25&gt;0,AVERAGE(J$22:J$24, J25),""),"")</f>
        <v/>
      </c>
      <c r="K102" s="302" t="str">
        <f aca="false">IFERROR(IF(K$22*K$23*K$24*K25&gt;0,AVERAGE(K$22:K$24, K25),""),"")</f>
        <v/>
      </c>
      <c r="L102" s="302" t="str">
        <f aca="false">IFERROR(IF(L$22*L$23*L$24*L25&gt;0,AVERAGE(L$22:L$24, L25),""),"")</f>
        <v/>
      </c>
      <c r="M102" s="302" t="str">
        <f aca="false">IFERROR(IF(M$22*M$23*M$24*M25&gt;0,AVERAGE(M$22:M$24, M25),""),"")</f>
        <v/>
      </c>
      <c r="N102" s="302" t="str">
        <f aca="false">IFERROR(IF(N$22*N$23*N$24*N25&gt;0,AVERAGE(N$22:N$24, N25),""),"")</f>
        <v/>
      </c>
      <c r="O102" s="282"/>
      <c r="P102" s="282"/>
      <c r="Q102" s="296"/>
      <c r="R102" s="293" t="s">
        <v>459</v>
      </c>
      <c r="S102" s="294" t="str">
        <f aca="false">IFERROR(IF(C$22*C$23*C$24*C25&gt;0,STDEV(C$22:C$24, C25),"")/IF(C$22*C$23*C$24*C25&gt;0,AVERAGE(C$22:C$24, C25),""),"")</f>
        <v/>
      </c>
      <c r="T102" s="294" t="str">
        <f aca="false">IFERROR(IF(D$22*D$23*D$24*D25&gt;0,STDEV(D$22:D$24, D25),"")/IF(D$22*D$23*D$24*D25&gt;0,AVERAGE(D$22:D$24, D25),""),"")</f>
        <v/>
      </c>
      <c r="U102" s="294" t="str">
        <f aca="false">IFERROR(IF(E$22*E$23*E$24*E25&gt;0,STDEV(E$22:E$24, E25),"")/IF(E$22*E$23*E$24*E25&gt;0,AVERAGE(E$22:E$24, E25),""),"")</f>
        <v/>
      </c>
      <c r="V102" s="294" t="str">
        <f aca="false">IFERROR(IF(F$22*F$23*F$24*F25&gt;0,STDEV(F$22:F$24, F25),"")/IF(F$22*F$23*F$24*F25&gt;0,AVERAGE(F$22:F$24, F25),""),"")</f>
        <v/>
      </c>
      <c r="W102" s="294" t="str">
        <f aca="false">IFERROR(IF(G$22*G$23*G$24*G25&gt;0,STDEV(G$22:G$24, G25),"")/IF(G$22*G$23*G$24*G25&gt;0,AVERAGE(G$22:G$24, G25),""),"")</f>
        <v/>
      </c>
      <c r="X102" s="294" t="str">
        <f aca="false">IFERROR(IF(H$22*H$23*H$24*H25&gt;0,STDEV(H$22:H$24, H25),"")/IF(H$22*H$23*H$24*H25&gt;0,AVERAGE(H$22:H$24, H25),""),"")</f>
        <v/>
      </c>
      <c r="Y102" s="294" t="str">
        <f aca="false">IFERROR(IF(I$22*I$23*I$24*I25&gt;0,STDEV(I$22:I$24, I25),"")/IF(I$22*I$23*I$24*I25&gt;0,AVERAGE(I$22:I$24, I25),""),"")</f>
        <v/>
      </c>
      <c r="Z102" s="294" t="str">
        <f aca="false">IFERROR(IF(J$22*J$23*J$24*J25&gt;0,STDEV(J$22:J$24, J25),"")/IF(J$22*J$23*J$24*J25&gt;0,AVERAGE(J$22:J$24, J25),""),"")</f>
        <v/>
      </c>
      <c r="AA102" s="294" t="str">
        <f aca="false">IFERROR(IF(K$22*K$23*K$24*K25&gt;0,STDEV(K$22:K$24, K25),"")/IF(K$22*K$23*K$24*K25&gt;0,AVERAGE(K$22:K$24, K25),""),"")</f>
        <v/>
      </c>
      <c r="AB102" s="294" t="str">
        <f aca="false">IFERROR(IF(L$22*L$23*L$24*L25&gt;0,STDEV(L$22:L$24, L25),"")/IF(L$22*L$23*L$24*L25&gt;0,AVERAGE(L$22:L$24, L25),""),"")</f>
        <v/>
      </c>
      <c r="AC102" s="294" t="str">
        <f aca="false">IFERROR(IF(M$22*M$23*M$24*M25&gt;0,STDEV(M$22:M$24, M25),"")/IF(M$22*M$23*M$24*M25&gt;0,AVERAGE(M$22:M$24, M25),""),"")</f>
        <v/>
      </c>
      <c r="AD102" s="294" t="str">
        <f aca="false">IFERROR(IF(N$22*N$23*N$24*N25&gt;0,STDEV(N$22:N$24, N25),"")/IF(N$22*N$23*N$24*N25&gt;0,AVERAGE(N$22:N$24, N25),""),"")</f>
        <v/>
      </c>
      <c r="AE102" s="44"/>
      <c r="AF102" s="266" t="s">
        <v>460</v>
      </c>
      <c r="AG102" s="287" t="str">
        <f aca="false">IFERROR(IF(C$22*C$23*C$24*C25&gt;0,STDEV(C$22:C$24, C25)," ")/IF(C$22*C$23*C$24*C25&gt;0,SQRT(COUNT(C$22:C$24, C25))," "),"")</f>
        <v/>
      </c>
      <c r="AH102" s="287" t="str">
        <f aca="false">IFERROR(IF(D$22*D$23*D$24*D25&gt;0,STDEV(D$22:D$24, D25)," ")/IF(D$22*D$23*D$24*D25&gt;0,SQRT(COUNT(D$22:D$24, D25))," "),"")</f>
        <v/>
      </c>
      <c r="AI102" s="287" t="str">
        <f aca="false">IFERROR(IF(E$22*E$23*E$24*E25&gt;0,STDEV(E$22:E$24, E25)," ")/IF(E$22*E$23*E$24*E25&gt;0,SQRT(COUNT(E$22:E$24, E25))," "),"")</f>
        <v/>
      </c>
      <c r="AJ102" s="287" t="str">
        <f aca="false">IFERROR(IF(F$22*F$23*F$24*F25&gt;0,STDEV(F$22:F$24, F25)," ")/IF(F$22*F$23*F$24*F25&gt;0,SQRT(COUNT(F$22:F$24, F25))," "),"")</f>
        <v/>
      </c>
      <c r="AK102" s="287" t="str">
        <f aca="false">IFERROR(IF(G$22*G$23*G$24*G25&gt;0,STDEV(G$22:G$24, G25)," ")/IF(G$22*G$23*G$24*G25&gt;0,SQRT(COUNT(G$22:G$24, G25))," "),"")</f>
        <v/>
      </c>
      <c r="AL102" s="287" t="str">
        <f aca="false">IFERROR(IF(H$22*H$23*H$24*H25&gt;0,STDEV(H$22:H$24, H25)," ")/IF(H$22*H$23*H$24*H25&gt;0,SQRT(COUNT(H$22:H$24, H25))," "),"")</f>
        <v/>
      </c>
      <c r="AM102" s="287" t="str">
        <f aca="false">IFERROR(IF(I$22*I$23*I$24*I25&gt;0,STDEV(I$22:I$24, I25)," ")/IF(I$22*I$23*I$24*I25&gt;0,SQRT(COUNT(I$22:I$24, I25))," "),"")</f>
        <v/>
      </c>
      <c r="AN102" s="287" t="str">
        <f aca="false">IFERROR(IF(J$22*J$23*J$24*J25&gt;0,STDEV(J$22:J$24, J25)," ")/IF(J$22*J$23*J$24*J25&gt;0,SQRT(COUNT(J$22:J$24, J25))," "),"")</f>
        <v/>
      </c>
      <c r="AO102" s="287" t="str">
        <f aca="false">IFERROR(IF(K$22*K$23*K$24*K25&gt;0,STDEV(K$22:K$24, K25)," ")/IF(K$22*K$23*K$24*K25&gt;0,SQRT(COUNT(K$22:K$24, K25))," "),"")</f>
        <v/>
      </c>
      <c r="AP102" s="287" t="str">
        <f aca="false">IFERROR(IF(L$22*L$23*L$24*L25&gt;0,STDEV(L$22:L$24, L25)," ")/IF(L$22*L$23*L$24*L25&gt;0,SQRT(COUNT(L$22:L$24, L25))," "),"")</f>
        <v/>
      </c>
      <c r="AQ102" s="287" t="str">
        <f aca="false">IFERROR(IF(M$22*M$23*M$24*M25&gt;0,STDEV(M$22:M$24, M25)," ")/IF(M$22*M$23*M$24*M25&gt;0,SQRT(COUNT(M$22:M$24, M25))," "),"")</f>
        <v/>
      </c>
      <c r="AR102" s="287" t="str">
        <f aca="false">IFERROR(IF(N$22*N$23*N$24*N25&gt;0,STDEV(N$22:N$24, N25)," ")/IF(N$22*N$23*N$24*N25&gt;0,SQRT(COUNT(N$22:N$24, N25))," "),"")</f>
        <v/>
      </c>
    </row>
    <row r="103" customFormat="false" ht="15.75" hidden="false" customHeight="false" outlineLevel="0" collapsed="false">
      <c r="A103" s="290" t="s">
        <v>461</v>
      </c>
      <c r="B103" s="281"/>
      <c r="C103" s="302" t="str">
        <f aca="false">IFERROR(IF(C$22*C$23*C$24*C26&gt;0,AVERAGE(C$22:C$24, C26),""),"")</f>
        <v/>
      </c>
      <c r="D103" s="302" t="str">
        <f aca="false">IFERROR(IF(D$22*D$23*D$24*D26&gt;0,AVERAGE(D$22:D$24, D26),""),"")</f>
        <v/>
      </c>
      <c r="E103" s="302" t="str">
        <f aca="false">IFERROR(IF(E$22*E$23*E$24*E26&gt;0,AVERAGE(E$22:E$24, E26),""),"")</f>
        <v/>
      </c>
      <c r="F103" s="302" t="str">
        <f aca="false">IFERROR(IF(F$22*F$23*F$24*F26&gt;0,AVERAGE(F$22:F$24, F26),""),"")</f>
        <v/>
      </c>
      <c r="G103" s="302" t="str">
        <f aca="false">IFERROR(IF(G$22*G$23*G$24*G26&gt;0,AVERAGE(G$22:G$24, G26),""),"")</f>
        <v/>
      </c>
      <c r="H103" s="302" t="str">
        <f aca="false">IFERROR(IF(H$22*H$23*H$24*H26&gt;0,AVERAGE(H$22:H$24, H26),""),"")</f>
        <v/>
      </c>
      <c r="I103" s="302" t="str">
        <f aca="false">IFERROR(IF(I$22*I$23*I$24*I26&gt;0,AVERAGE(I$22:I$24, I26),""),"")</f>
        <v/>
      </c>
      <c r="J103" s="302" t="str">
        <f aca="false">IFERROR(IF(J$22*J$23*J$24*J26&gt;0,AVERAGE(J$22:J$24, J26),""),"")</f>
        <v/>
      </c>
      <c r="K103" s="302" t="str">
        <f aca="false">IFERROR(IF(K$22*K$23*K$24*K26&gt;0,AVERAGE(K$22:K$24, K26),""),"")</f>
        <v/>
      </c>
      <c r="L103" s="302" t="str">
        <f aca="false">IFERROR(IF(L$22*L$23*L$24*L26&gt;0,AVERAGE(L$22:L$24, L26),""),"")</f>
        <v/>
      </c>
      <c r="M103" s="302" t="str">
        <f aca="false">IFERROR(IF(M$22*M$23*M$24*M26&gt;0,AVERAGE(M$22:M$24, M26),""),"")</f>
        <v/>
      </c>
      <c r="N103" s="302" t="str">
        <f aca="false">IFERROR(IF(N$22*N$23*N$24*N26&gt;0,AVERAGE(N$22:N$24, N26),""),"")</f>
        <v/>
      </c>
      <c r="O103" s="282"/>
      <c r="P103" s="282"/>
      <c r="Q103" s="296"/>
      <c r="R103" s="293" t="s">
        <v>462</v>
      </c>
      <c r="S103" s="294" t="str">
        <f aca="false">IFERROR(IF(C$22*C$23*C$24*C26&gt;0,STDEV(C$22:C$24, C26),"")/IF(C$22*C$23*C$24*C26&gt;0,AVERAGE(C$22:C$24, C26),""),"")</f>
        <v/>
      </c>
      <c r="T103" s="294" t="str">
        <f aca="false">IFERROR(IF(D$22*D$23*D$24*D26&gt;0,STDEV(D$22:D$24, D26),"")/IF(D$22*D$23*D$24*D26&gt;0,AVERAGE(D$22:D$24, D26),""),"")</f>
        <v/>
      </c>
      <c r="U103" s="294" t="str">
        <f aca="false">IFERROR(IF(E$22*E$23*E$24*E26&gt;0,STDEV(E$22:E$24, E26),"")/IF(E$22*E$23*E$24*E26&gt;0,AVERAGE(E$22:E$24, E26),""),"")</f>
        <v/>
      </c>
      <c r="V103" s="294" t="str">
        <f aca="false">IFERROR(IF(F$22*F$23*F$24*F26&gt;0,STDEV(F$22:F$24, F26),"")/IF(F$22*F$23*F$24*F26&gt;0,AVERAGE(F$22:F$24, F26),""),"")</f>
        <v/>
      </c>
      <c r="W103" s="294" t="str">
        <f aca="false">IFERROR(IF(G$22*G$23*G$24*G26&gt;0,STDEV(G$22:G$24, G26),"")/IF(G$22*G$23*G$24*G26&gt;0,AVERAGE(G$22:G$24, G26),""),"")</f>
        <v/>
      </c>
      <c r="X103" s="294" t="str">
        <f aca="false">IFERROR(IF(H$22*H$23*H$24*H26&gt;0,STDEV(H$22:H$24, H26),"")/IF(H$22*H$23*H$24*H26&gt;0,AVERAGE(H$22:H$24, H26),""),"")</f>
        <v/>
      </c>
      <c r="Y103" s="294" t="str">
        <f aca="false">IFERROR(IF(I$22*I$23*I$24*I26&gt;0,STDEV(I$22:I$24, I26),"")/IF(I$22*I$23*I$24*I26&gt;0,AVERAGE(I$22:I$24, I26),""),"")</f>
        <v/>
      </c>
      <c r="Z103" s="294" t="str">
        <f aca="false">IFERROR(IF(J$22*J$23*J$24*J26&gt;0,STDEV(J$22:J$24, J26),"")/IF(J$22*J$23*J$24*J26&gt;0,AVERAGE(J$22:J$24, J26),""),"")</f>
        <v/>
      </c>
      <c r="AA103" s="294" t="str">
        <f aca="false">IFERROR(IF(K$22*K$23*K$24*K26&gt;0,STDEV(K$22:K$24, K26),"")/IF(K$22*K$23*K$24*K26&gt;0,AVERAGE(K$22:K$24, K26),""),"")</f>
        <v/>
      </c>
      <c r="AB103" s="294" t="str">
        <f aca="false">IFERROR(IF(L$22*L$23*L$24*L26&gt;0,STDEV(L$22:L$24, L26),"")/IF(L$22*L$23*L$24*L26&gt;0,AVERAGE(L$22:L$24, L26),""),"")</f>
        <v/>
      </c>
      <c r="AC103" s="294" t="str">
        <f aca="false">IFERROR(IF(M$22*M$23*M$24*M26&gt;0,STDEV(M$22:M$24, M26),"")/IF(M$22*M$23*M$24*M26&gt;0,AVERAGE(M$22:M$24, M26),""),"")</f>
        <v/>
      </c>
      <c r="AD103" s="294" t="str">
        <f aca="false">IFERROR(IF(N$22*N$23*N$24*N26&gt;0,STDEV(N$22:N$24, N26),"")/IF(N$22*N$23*N$24*N26&gt;0,AVERAGE(N$22:N$24, N26),""),"")</f>
        <v/>
      </c>
      <c r="AE103" s="44"/>
      <c r="AF103" s="266" t="s">
        <v>463</v>
      </c>
      <c r="AG103" s="287" t="str">
        <f aca="false">IFERROR(IF(C$22*C$23*C$24*C26&gt;0,STDEV(C$22:C$24, C26)," ")/IF(C$22*C$23*C$24*C26&gt;0,SQRT(COUNT(C$22:C$24, C26))," "),"")</f>
        <v/>
      </c>
      <c r="AH103" s="287" t="str">
        <f aca="false">IFERROR(IF(D$22*D$23*D$24*D26&gt;0,STDEV(D$22:D$24, D26)," ")/IF(D$22*D$23*D$24*D26&gt;0,SQRT(COUNT(D$22:D$24, D26))," "),"")</f>
        <v/>
      </c>
      <c r="AI103" s="287" t="str">
        <f aca="false">IFERROR(IF(E$22*E$23*E$24*E26&gt;0,STDEV(E$22:E$24, E26)," ")/IF(E$22*E$23*E$24*E26&gt;0,SQRT(COUNT(E$22:E$24, E26))," "),"")</f>
        <v/>
      </c>
      <c r="AJ103" s="287" t="str">
        <f aca="false">IFERROR(IF(F$22*F$23*F$24*F26&gt;0,STDEV(F$22:F$24, F26)," ")/IF(F$22*F$23*F$24*F26&gt;0,SQRT(COUNT(F$22:F$24, F26))," "),"")</f>
        <v/>
      </c>
      <c r="AK103" s="287" t="str">
        <f aca="false">IFERROR(IF(G$22*G$23*G$24*G26&gt;0,STDEV(G$22:G$24, G26)," ")/IF(G$22*G$23*G$24*G26&gt;0,SQRT(COUNT(G$22:G$24, G26))," "),"")</f>
        <v/>
      </c>
      <c r="AL103" s="287" t="str">
        <f aca="false">IFERROR(IF(H$22*H$23*H$24*H26&gt;0,STDEV(H$22:H$24, H26)," ")/IF(H$22*H$23*H$24*H26&gt;0,SQRT(COUNT(H$22:H$24, H26))," "),"")</f>
        <v/>
      </c>
      <c r="AM103" s="287" t="str">
        <f aca="false">IFERROR(IF(I$22*I$23*I$24*I26&gt;0,STDEV(I$22:I$24, I26)," ")/IF(I$22*I$23*I$24*I26&gt;0,SQRT(COUNT(I$22:I$24, I26))," "),"")</f>
        <v/>
      </c>
      <c r="AN103" s="287" t="str">
        <f aca="false">IFERROR(IF(J$22*J$23*J$24*J26&gt;0,STDEV(J$22:J$24, J26)," ")/IF(J$22*J$23*J$24*J26&gt;0,SQRT(COUNT(J$22:J$24, J26))," "),"")</f>
        <v/>
      </c>
      <c r="AO103" s="287" t="str">
        <f aca="false">IFERROR(IF(K$22*K$23*K$24*K26&gt;0,STDEV(K$22:K$24, K26)," ")/IF(K$22*K$23*K$24*K26&gt;0,SQRT(COUNT(K$22:K$24, K26))," "),"")</f>
        <v/>
      </c>
      <c r="AP103" s="287" t="str">
        <f aca="false">IFERROR(IF(L$22*L$23*L$24*L26&gt;0,STDEV(L$22:L$24, L26)," ")/IF(L$22*L$23*L$24*L26&gt;0,SQRT(COUNT(L$22:L$24, L26))," "),"")</f>
        <v/>
      </c>
      <c r="AQ103" s="287" t="str">
        <f aca="false">IFERROR(IF(M$22*M$23*M$24*M26&gt;0,STDEV(M$22:M$24, M26)," ")/IF(M$22*M$23*M$24*M26&gt;0,SQRT(COUNT(M$22:M$24, M26))," "),"")</f>
        <v/>
      </c>
      <c r="AR103" s="287" t="str">
        <f aca="false">IFERROR(IF(N$22*N$23*N$24*N26&gt;0,STDEV(N$22:N$24, N26)," ")/IF(N$22*N$23*N$24*N26&gt;0,SQRT(COUNT(N$22:N$24, N26))," "),"")</f>
        <v/>
      </c>
    </row>
    <row r="104" customFormat="false" ht="15.75" hidden="false" customHeight="false" outlineLevel="0" collapsed="false">
      <c r="A104" s="290" t="s">
        <v>464</v>
      </c>
      <c r="B104" s="281"/>
      <c r="C104" s="302" t="str">
        <f aca="false">IFERROR(IF(C$22*C$23*C$24*C27&gt;0,AVERAGE(C$22:C$24, C27),""),"")</f>
        <v/>
      </c>
      <c r="D104" s="302" t="str">
        <f aca="false">IFERROR(IF(D$22*D$23*D$24*D27&gt;0,AVERAGE(D$22:D$24, D27),""),"")</f>
        <v/>
      </c>
      <c r="E104" s="302" t="str">
        <f aca="false">IFERROR(IF(E$22*E$23*E$24*E27&gt;0,AVERAGE(E$22:E$24, E27),""),"")</f>
        <v/>
      </c>
      <c r="F104" s="302" t="str">
        <f aca="false">IFERROR(IF(F$22*F$23*F$24*F27&gt;0,AVERAGE(F$22:F$24, F27),""),"")</f>
        <v/>
      </c>
      <c r="G104" s="302" t="str">
        <f aca="false">IFERROR(IF(G$22*G$23*G$24*G27&gt;0,AVERAGE(G$22:G$24, G27),""),"")</f>
        <v/>
      </c>
      <c r="H104" s="302" t="str">
        <f aca="false">IFERROR(IF(H$22*H$23*H$24*H27&gt;0,AVERAGE(H$22:H$24, H27),""),"")</f>
        <v/>
      </c>
      <c r="I104" s="302" t="str">
        <f aca="false">IFERROR(IF(I$22*I$23*I$24*I27&gt;0,AVERAGE(I$22:I$24, I27),""),"")</f>
        <v/>
      </c>
      <c r="J104" s="302" t="str">
        <f aca="false">IFERROR(IF(J$22*J$23*J$24*J27&gt;0,AVERAGE(J$22:J$24, J27),""),"")</f>
        <v/>
      </c>
      <c r="K104" s="302" t="str">
        <f aca="false">IFERROR(IF(K$22*K$23*K$24*K27&gt;0,AVERAGE(K$22:K$24, K27),""),"")</f>
        <v/>
      </c>
      <c r="L104" s="302" t="str">
        <f aca="false">IFERROR(IF(L$22*L$23*L$24*L27&gt;0,AVERAGE(L$22:L$24, L27),""),"")</f>
        <v/>
      </c>
      <c r="M104" s="302" t="str">
        <f aca="false">IFERROR(IF(M$22*M$23*M$24*M27&gt;0,AVERAGE(M$22:M$24, M27),""),"")</f>
        <v/>
      </c>
      <c r="N104" s="302" t="str">
        <f aca="false">IFERROR(IF(N$22*N$23*N$24*N27&gt;0,AVERAGE(N$22:N$24, N27),""),"")</f>
        <v/>
      </c>
      <c r="O104" s="282"/>
      <c r="P104" s="282"/>
      <c r="Q104" s="296"/>
      <c r="R104" s="293" t="s">
        <v>465</v>
      </c>
      <c r="S104" s="294" t="str">
        <f aca="false">IFERROR(IF(C$22*C$23*C$24*C27&gt;0,STDEV(C$22:C$24, C27),"")/IF(C$22*C$23*C$24*C27&gt;0,AVERAGE(C$22:C$24, C27),""),"")</f>
        <v/>
      </c>
      <c r="T104" s="294" t="str">
        <f aca="false">IFERROR(IF(D$22*D$23*D$24*D27&gt;0,STDEV(D$22:D$24, D27),"")/IF(D$22*D$23*D$24*D27&gt;0,AVERAGE(D$22:D$24, D27),""),"")</f>
        <v/>
      </c>
      <c r="U104" s="294" t="str">
        <f aca="false">IFERROR(IF(E$22*E$23*E$24*E27&gt;0,STDEV(E$22:E$24, E27),"")/IF(E$22*E$23*E$24*E27&gt;0,AVERAGE(E$22:E$24, E27),""),"")</f>
        <v/>
      </c>
      <c r="V104" s="294" t="str">
        <f aca="false">IFERROR(IF(F$22*F$23*F$24*F27&gt;0,STDEV(F$22:F$24, F27),"")/IF(F$22*F$23*F$24*F27&gt;0,AVERAGE(F$22:F$24, F27),""),"")</f>
        <v/>
      </c>
      <c r="W104" s="294" t="str">
        <f aca="false">IFERROR(IF(G$22*G$23*G$24*G27&gt;0,STDEV(G$22:G$24, G27),"")/IF(G$22*G$23*G$24*G27&gt;0,AVERAGE(G$22:G$24, G27),""),"")</f>
        <v/>
      </c>
      <c r="X104" s="294" t="str">
        <f aca="false">IFERROR(IF(H$22*H$23*H$24*H27&gt;0,STDEV(H$22:H$24, H27),"")/IF(H$22*H$23*H$24*H27&gt;0,AVERAGE(H$22:H$24, H27),""),"")</f>
        <v/>
      </c>
      <c r="Y104" s="294" t="str">
        <f aca="false">IFERROR(IF(I$22*I$23*I$24*I27&gt;0,STDEV(I$22:I$24, I27),"")/IF(I$22*I$23*I$24*I27&gt;0,AVERAGE(I$22:I$24, I27),""),"")</f>
        <v/>
      </c>
      <c r="Z104" s="294" t="str">
        <f aca="false">IFERROR(IF(J$22*J$23*J$24*J27&gt;0,STDEV(J$22:J$24, J27),"")/IF(J$22*J$23*J$24*J27&gt;0,AVERAGE(J$22:J$24, J27),""),"")</f>
        <v/>
      </c>
      <c r="AA104" s="294" t="str">
        <f aca="false">IFERROR(IF(K$22*K$23*K$24*K27&gt;0,STDEV(K$22:K$24, K27),"")/IF(K$22*K$23*K$24*K27&gt;0,AVERAGE(K$22:K$24, K27),""),"")</f>
        <v/>
      </c>
      <c r="AB104" s="294" t="str">
        <f aca="false">IFERROR(IF(L$22*L$23*L$24*L27&gt;0,STDEV(L$22:L$24, L27),"")/IF(L$22*L$23*L$24*L27&gt;0,AVERAGE(L$22:L$24, L27),""),"")</f>
        <v/>
      </c>
      <c r="AC104" s="294" t="str">
        <f aca="false">IFERROR(IF(M$22*M$23*M$24*M27&gt;0,STDEV(M$22:M$24, M27),"")/IF(M$22*M$23*M$24*M27&gt;0,AVERAGE(M$22:M$24, M27),""),"")</f>
        <v/>
      </c>
      <c r="AD104" s="294" t="str">
        <f aca="false">IFERROR(IF(N$22*N$23*N$24*N27&gt;0,STDEV(N$22:N$24, N27),"")/IF(N$22*N$23*N$24*N27&gt;0,AVERAGE(N$22:N$24, N27),""),"")</f>
        <v/>
      </c>
      <c r="AE104" s="44"/>
      <c r="AF104" s="266" t="s">
        <v>466</v>
      </c>
      <c r="AG104" s="287" t="str">
        <f aca="false">IFERROR(IF(C$22*C$23*C$24*C27&gt;0,STDEV(C$22:C$24, C27)," ")/IF(C$22*C$23*C$24*C27&gt;0,SQRT(COUNT(C$22:C$24, C27))," "),"")</f>
        <v/>
      </c>
      <c r="AH104" s="287" t="str">
        <f aca="false">IFERROR(IF(D$22*D$23*D$24*D27&gt;0,STDEV(D$22:D$24, D27)," ")/IF(D$22*D$23*D$24*D27&gt;0,SQRT(COUNT(D$22:D$24, D27))," "),"")</f>
        <v/>
      </c>
      <c r="AI104" s="287" t="str">
        <f aca="false">IFERROR(IF(E$22*E$23*E$24*E27&gt;0,STDEV(E$22:E$24, E27)," ")/IF(E$22*E$23*E$24*E27&gt;0,SQRT(COUNT(E$22:E$24, E27))," "),"")</f>
        <v/>
      </c>
      <c r="AJ104" s="287" t="str">
        <f aca="false">IFERROR(IF(F$22*F$23*F$24*F27&gt;0,STDEV(F$22:F$24, F27)," ")/IF(F$22*F$23*F$24*F27&gt;0,SQRT(COUNT(F$22:F$24, F27))," "),"")</f>
        <v/>
      </c>
      <c r="AK104" s="287" t="str">
        <f aca="false">IFERROR(IF(G$22*G$23*G$24*G27&gt;0,STDEV(G$22:G$24, G27)," ")/IF(G$22*G$23*G$24*G27&gt;0,SQRT(COUNT(G$22:G$24, G27))," "),"")</f>
        <v/>
      </c>
      <c r="AL104" s="287" t="str">
        <f aca="false">IFERROR(IF(H$22*H$23*H$24*H27&gt;0,STDEV(H$22:H$24, H27)," ")/IF(H$22*H$23*H$24*H27&gt;0,SQRT(COUNT(H$22:H$24, H27))," "),"")</f>
        <v/>
      </c>
      <c r="AM104" s="287" t="str">
        <f aca="false">IFERROR(IF(I$22*I$23*I$24*I27&gt;0,STDEV(I$22:I$24, I27)," ")/IF(I$22*I$23*I$24*I27&gt;0,SQRT(COUNT(I$22:I$24, I27))," "),"")</f>
        <v/>
      </c>
      <c r="AN104" s="287" t="str">
        <f aca="false">IFERROR(IF(J$22*J$23*J$24*J27&gt;0,STDEV(J$22:J$24, J27)," ")/IF(J$22*J$23*J$24*J27&gt;0,SQRT(COUNT(J$22:J$24, J27))," "),"")</f>
        <v/>
      </c>
      <c r="AO104" s="287" t="str">
        <f aca="false">IFERROR(IF(K$22*K$23*K$24*K27&gt;0,STDEV(K$22:K$24, K27)," ")/IF(K$22*K$23*K$24*K27&gt;0,SQRT(COUNT(K$22:K$24, K27))," "),"")</f>
        <v/>
      </c>
      <c r="AP104" s="287" t="str">
        <f aca="false">IFERROR(IF(L$22*L$23*L$24*L27&gt;0,STDEV(L$22:L$24, L27)," ")/IF(L$22*L$23*L$24*L27&gt;0,SQRT(COUNT(L$22:L$24, L27))," "),"")</f>
        <v/>
      </c>
      <c r="AQ104" s="287" t="str">
        <f aca="false">IFERROR(IF(M$22*M$23*M$24*M27&gt;0,STDEV(M$22:M$24, M27)," ")/IF(M$22*M$23*M$24*M27&gt;0,SQRT(COUNT(M$22:M$24, M27))," "),"")</f>
        <v/>
      </c>
      <c r="AR104" s="287" t="str">
        <f aca="false">IFERROR(IF(N$22*N$23*N$24*N27&gt;0,STDEV(N$22:N$24, N27)," ")/IF(N$22*N$23*N$24*N27&gt;0,SQRT(COUNT(N$22:N$24, N27))," "),"")</f>
        <v/>
      </c>
    </row>
    <row r="105" customFormat="false" ht="15.75" hidden="false" customHeight="false" outlineLevel="0" collapsed="false">
      <c r="A105" s="290" t="s">
        <v>467</v>
      </c>
      <c r="B105" s="281"/>
      <c r="C105" s="302" t="str">
        <f aca="false">IFERROR(IF(C$23*C$24*C$25*C21&gt;0,AVERAGE(C$23:C$25, C21),""),"")</f>
        <v/>
      </c>
      <c r="D105" s="302" t="str">
        <f aca="false">IFERROR(IF(D$23*D$24*D$25*D21&gt;0,AVERAGE(D$23:D$25, D21),""),"")</f>
        <v/>
      </c>
      <c r="E105" s="302" t="str">
        <f aca="false">IFERROR(IF(E$23*E$24*E$25*E21&gt;0,AVERAGE(E$23:E$25, E21),""),"")</f>
        <v/>
      </c>
      <c r="F105" s="302" t="str">
        <f aca="false">IFERROR(IF(F$23*F$24*F$25*F21&gt;0,AVERAGE(F$23:F$25, F21),""),"")</f>
        <v/>
      </c>
      <c r="G105" s="302" t="str">
        <f aca="false">IFERROR(IF(G$23*G$24*G$25*G21&gt;0,AVERAGE(G$23:G$25, G21),""),"")</f>
        <v/>
      </c>
      <c r="H105" s="302" t="str">
        <f aca="false">IFERROR(IF(H$23*H$24*H$25*H21&gt;0,AVERAGE(H$23:H$25, H21),""),"")</f>
        <v/>
      </c>
      <c r="I105" s="302" t="str">
        <f aca="false">IFERROR(IF(I$23*I$24*I$25*I21&gt;0,AVERAGE(I$23:I$25, I21),""),"")</f>
        <v/>
      </c>
      <c r="J105" s="302" t="str">
        <f aca="false">IFERROR(IF(J$23*J$24*J$25*J21&gt;0,AVERAGE(J$23:J$25, J21),""),"")</f>
        <v/>
      </c>
      <c r="K105" s="302" t="str">
        <f aca="false">IFERROR(IF(K$23*K$24*K$25*K21&gt;0,AVERAGE(K$23:K$25, K21),""),"")</f>
        <v/>
      </c>
      <c r="L105" s="302" t="str">
        <f aca="false">IFERROR(IF(L$23*L$24*L$25*L21&gt;0,AVERAGE(L$23:L$25, L21),""),"")</f>
        <v/>
      </c>
      <c r="M105" s="302" t="str">
        <f aca="false">IFERROR(IF(M$23*M$24*M$25*M21&gt;0,AVERAGE(M$23:M$25, M21),""),"")</f>
        <v/>
      </c>
      <c r="N105" s="302" t="str">
        <f aca="false">IFERROR(IF(N$23*N$24*N$25*N21&gt;0,AVERAGE(N$23:N$25, N21),""),"")</f>
        <v/>
      </c>
      <c r="O105" s="282"/>
      <c r="P105" s="282"/>
      <c r="Q105" s="296"/>
      <c r="R105" s="293" t="s">
        <v>468</v>
      </c>
      <c r="S105" s="294" t="str">
        <f aca="false">IFERROR(IF(C$23*C$24*C$25*C21&gt;0,STDEV(C$23:C$25, C21),"")/IF(C$23*C$24*C$25*C21&gt;0,AVERAGE(C$23:C$25, C21),""),"")</f>
        <v/>
      </c>
      <c r="T105" s="294" t="str">
        <f aca="false">IFERROR(IF(D$23*D$24*D$25*D21&gt;0,STDEV(D$23:D$25, D21),"")/IF(D$23*D$24*D$25*D21&gt;0,AVERAGE(D$23:D$25, D21),""),"")</f>
        <v/>
      </c>
      <c r="U105" s="294" t="str">
        <f aca="false">IFERROR(IF(E$23*E$24*E$25*E21&gt;0,STDEV(E$23:E$25, E21),"")/IF(E$23*E$24*E$25*E21&gt;0,AVERAGE(E$23:E$25, E21),""),"")</f>
        <v/>
      </c>
      <c r="V105" s="294" t="str">
        <f aca="false">IFERROR(IF(F$23*F$24*F$25*F21&gt;0,STDEV(F$23:F$25, F21),"")/IF(F$23*F$24*F$25*F21&gt;0,AVERAGE(F$23:F$25, F21),""),"")</f>
        <v/>
      </c>
      <c r="W105" s="294" t="str">
        <f aca="false">IFERROR(IF(G$23*G$24*G$25*G21&gt;0,STDEV(G$23:G$25, G21),"")/IF(G$23*G$24*G$25*G21&gt;0,AVERAGE(G$23:G$25, G21),""),"")</f>
        <v/>
      </c>
      <c r="X105" s="294" t="str">
        <f aca="false">IFERROR(IF(H$23*H$24*H$25*H21&gt;0,STDEV(H$23:H$25, H21),"")/IF(H$23*H$24*H$25*H21&gt;0,AVERAGE(H$23:H$25, H21),""),"")</f>
        <v/>
      </c>
      <c r="Y105" s="294" t="str">
        <f aca="false">IFERROR(IF(I$23*I$24*I$25*I21&gt;0,STDEV(I$23:I$25, I21),"")/IF(I$23*I$24*I$25*I21&gt;0,AVERAGE(I$23:I$25, I21),""),"")</f>
        <v/>
      </c>
      <c r="Z105" s="294" t="str">
        <f aca="false">IFERROR(IF(J$23*J$24*J$25*J21&gt;0,STDEV(J$23:J$25, J21),"")/IF(J$23*J$24*J$25*J21&gt;0,AVERAGE(J$23:J$25, J21),""),"")</f>
        <v/>
      </c>
      <c r="AA105" s="294" t="str">
        <f aca="false">IFERROR(IF(K$23*K$24*K$25*K21&gt;0,STDEV(K$23:K$25, K21),"")/IF(K$23*K$24*K$25*K21&gt;0,AVERAGE(K$23:K$25, K21),""),"")</f>
        <v/>
      </c>
      <c r="AB105" s="294" t="str">
        <f aca="false">IFERROR(IF(L$23*L$24*L$25*L21&gt;0,STDEV(L$23:L$25, L21),"")/IF(L$23*L$24*L$25*L21&gt;0,AVERAGE(L$23:L$25, L21),""),"")</f>
        <v/>
      </c>
      <c r="AC105" s="294" t="str">
        <f aca="false">IFERROR(IF(M$23*M$24*M$25*M21&gt;0,STDEV(M$23:M$25, M21),"")/IF(M$23*M$24*M$25*M21&gt;0,AVERAGE(M$23:M$25, M21),""),"")</f>
        <v/>
      </c>
      <c r="AD105" s="294" t="str">
        <f aca="false">IFERROR(IF(N$23*N$24*N$25*N21&gt;0,STDEV(N$23:N$25, N21),"")/IF(N$23*N$24*N$25*N21&gt;0,AVERAGE(N$23:N$25, N21),""),"")</f>
        <v/>
      </c>
      <c r="AE105" s="44"/>
      <c r="AF105" s="266" t="s">
        <v>469</v>
      </c>
      <c r="AG105" s="287" t="str">
        <f aca="false">IFERROR(IF(C$23*C$24*C$25*C21&gt;0,STDEV(C$23:C$25, C21)," ")/IF(C$23*C$24*C$25*C21&gt;0,SQRT(COUNT(C$23:C$25, C21))," "),"")</f>
        <v/>
      </c>
      <c r="AH105" s="287" t="str">
        <f aca="false">IFERROR(IF(D$23*D$24*D$25*D21&gt;0,STDEV(D$23:D$25, D21)," ")/IF(D$23*D$24*D$25*D21&gt;0,SQRT(COUNT(D$23:D$25, D21))," "),"")</f>
        <v/>
      </c>
      <c r="AI105" s="287" t="str">
        <f aca="false">IFERROR(IF(E$23*E$24*E$25*E21&gt;0,STDEV(E$23:E$25, E21)," ")/IF(E$23*E$24*E$25*E21&gt;0,SQRT(COUNT(E$23:E$25, E21))," "),"")</f>
        <v/>
      </c>
      <c r="AJ105" s="287" t="str">
        <f aca="false">IFERROR(IF(F$23*F$24*F$25*F21&gt;0,STDEV(F$23:F$25, F21)," ")/IF(F$23*F$24*F$25*F21&gt;0,SQRT(COUNT(F$23:F$25, F21))," "),"")</f>
        <v/>
      </c>
      <c r="AK105" s="287" t="str">
        <f aca="false">IFERROR(IF(G$23*G$24*G$25*G21&gt;0,STDEV(G$23:G$25, G21)," ")/IF(G$23*G$24*G$25*G21&gt;0,SQRT(COUNT(G$23:G$25, G21))," "),"")</f>
        <v/>
      </c>
      <c r="AL105" s="287" t="str">
        <f aca="false">IFERROR(IF(H$23*H$24*H$25*H21&gt;0,STDEV(H$23:H$25, H21)," ")/IF(H$23*H$24*H$25*H21&gt;0,SQRT(COUNT(H$23:H$25, H21))," "),"")</f>
        <v/>
      </c>
      <c r="AM105" s="287" t="str">
        <f aca="false">IFERROR(IF(I$23*I$24*I$25*I21&gt;0,STDEV(I$23:I$25, I21)," ")/IF(I$23*I$24*I$25*I21&gt;0,SQRT(COUNT(I$23:I$25, I21))," "),"")</f>
        <v/>
      </c>
      <c r="AN105" s="287" t="str">
        <f aca="false">IFERROR(IF(J$23*J$24*J$25*J21&gt;0,STDEV(J$23:J$25, J21)," ")/IF(J$23*J$24*J$25*J21&gt;0,SQRT(COUNT(J$23:J$25, J21))," "),"")</f>
        <v/>
      </c>
      <c r="AO105" s="287" t="str">
        <f aca="false">IFERROR(IF(K$23*K$24*K$25*K21&gt;0,STDEV(K$23:K$25, K21)," ")/IF(K$23*K$24*K$25*K21&gt;0,SQRT(COUNT(K$23:K$25, K21))," "),"")</f>
        <v/>
      </c>
      <c r="AP105" s="287" t="str">
        <f aca="false">IFERROR(IF(L$23*L$24*L$25*L21&gt;0,STDEV(L$23:L$25, L21)," ")/IF(L$23*L$24*L$25*L21&gt;0,SQRT(COUNT(L$23:L$25, L21))," "),"")</f>
        <v/>
      </c>
      <c r="AQ105" s="287" t="str">
        <f aca="false">IFERROR(IF(M$23*M$24*M$25*M21&gt;0,STDEV(M$23:M$25, M21)," ")/IF(M$23*M$24*M$25*M21&gt;0,SQRT(COUNT(M$23:M$25, M21))," "),"")</f>
        <v/>
      </c>
      <c r="AR105" s="287" t="str">
        <f aca="false">IFERROR(IF(N$23*N$24*N$25*N21&gt;0,STDEV(N$23:N$25, N21)," ")/IF(N$23*N$24*N$25*N21&gt;0,SQRT(COUNT(N$23:N$25, N21))," "),"")</f>
        <v/>
      </c>
    </row>
    <row r="106" customFormat="false" ht="15.75" hidden="false" customHeight="false" outlineLevel="0" collapsed="false">
      <c r="A106" s="290" t="s">
        <v>470</v>
      </c>
      <c r="B106" s="281"/>
      <c r="C106" s="302" t="str">
        <f aca="false">IFERROR(IF(C$23*C$24*C$25*C22&gt;0,AVERAGE(C$23:C$25, C22),""),"")</f>
        <v/>
      </c>
      <c r="D106" s="302" t="str">
        <f aca="false">IFERROR(IF(D$23*D$24*D$25*D22&gt;0,AVERAGE(D$23:D$25, D22),""),"")</f>
        <v/>
      </c>
      <c r="E106" s="302" t="str">
        <f aca="false">IFERROR(IF(E$23*E$24*E$25*E22&gt;0,AVERAGE(E$23:E$25, E22),""),"")</f>
        <v/>
      </c>
      <c r="F106" s="302" t="str">
        <f aca="false">IFERROR(IF(F$23*F$24*F$25*F22&gt;0,AVERAGE(F$23:F$25, F22),""),"")</f>
        <v/>
      </c>
      <c r="G106" s="302" t="str">
        <f aca="false">IFERROR(IF(G$23*G$24*G$25*G22&gt;0,AVERAGE(G$23:G$25, G22),""),"")</f>
        <v/>
      </c>
      <c r="H106" s="302" t="str">
        <f aca="false">IFERROR(IF(H$23*H$24*H$25*H22&gt;0,AVERAGE(H$23:H$25, H22),""),"")</f>
        <v/>
      </c>
      <c r="I106" s="302" t="str">
        <f aca="false">IFERROR(IF(I$23*I$24*I$25*I22&gt;0,AVERAGE(I$23:I$25, I22),""),"")</f>
        <v/>
      </c>
      <c r="J106" s="302" t="str">
        <f aca="false">IFERROR(IF(J$23*J$24*J$25*J22&gt;0,AVERAGE(J$23:J$25, J22),""),"")</f>
        <v/>
      </c>
      <c r="K106" s="302" t="str">
        <f aca="false">IFERROR(IF(K$23*K$24*K$25*K22&gt;0,AVERAGE(K$23:K$25, K22),""),"")</f>
        <v/>
      </c>
      <c r="L106" s="302" t="str">
        <f aca="false">IFERROR(IF(L$23*L$24*L$25*L22&gt;0,AVERAGE(L$23:L$25, L22),""),"")</f>
        <v/>
      </c>
      <c r="M106" s="302" t="str">
        <f aca="false">IFERROR(IF(M$23*M$24*M$25*M22&gt;0,AVERAGE(M$23:M$25, M22),""),"")</f>
        <v/>
      </c>
      <c r="N106" s="302" t="str">
        <f aca="false">IFERROR(IF(N$23*N$24*N$25*N22&gt;0,AVERAGE(N$23:N$25, N22),""),"")</f>
        <v/>
      </c>
      <c r="O106" s="282"/>
      <c r="P106" s="282"/>
      <c r="Q106" s="296"/>
      <c r="R106" s="293" t="s">
        <v>471</v>
      </c>
      <c r="S106" s="294" t="str">
        <f aca="false">IFERROR(IF(C$23*C$24*C$25*C22&gt;0,STDEV(C$23:C$25, C22),"")/IF(C$23*C$24*C$25*C22&gt;0,AVERAGE(C$23:C$25, C22),""),"")</f>
        <v/>
      </c>
      <c r="T106" s="294" t="str">
        <f aca="false">IFERROR(IF(D$23*D$24*D$25*D22&gt;0,STDEV(D$23:D$25, D22),"")/IF(D$23*D$24*D$25*D22&gt;0,AVERAGE(D$23:D$25, D22),""),"")</f>
        <v/>
      </c>
      <c r="U106" s="294" t="str">
        <f aca="false">IFERROR(IF(E$23*E$24*E$25*E22&gt;0,STDEV(E$23:E$25, E22),"")/IF(E$23*E$24*E$25*E22&gt;0,AVERAGE(E$23:E$25, E22),""),"")</f>
        <v/>
      </c>
      <c r="V106" s="294" t="str">
        <f aca="false">IFERROR(IF(F$23*F$24*F$25*F22&gt;0,STDEV(F$23:F$25, F22),"")/IF(F$23*F$24*F$25*F22&gt;0,AVERAGE(F$23:F$25, F22),""),"")</f>
        <v/>
      </c>
      <c r="W106" s="294" t="str">
        <f aca="false">IFERROR(IF(G$23*G$24*G$25*G22&gt;0,STDEV(G$23:G$25, G22),"")/IF(G$23*G$24*G$25*G22&gt;0,AVERAGE(G$23:G$25, G22),""),"")</f>
        <v/>
      </c>
      <c r="X106" s="294" t="str">
        <f aca="false">IFERROR(IF(H$23*H$24*H$25*H22&gt;0,STDEV(H$23:H$25, H22),"")/IF(H$23*H$24*H$25*H22&gt;0,AVERAGE(H$23:H$25, H22),""),"")</f>
        <v/>
      </c>
      <c r="Y106" s="294" t="str">
        <f aca="false">IFERROR(IF(I$23*I$24*I$25*I22&gt;0,STDEV(I$23:I$25, I22),"")/IF(I$23*I$24*I$25*I22&gt;0,AVERAGE(I$23:I$25, I22),""),"")</f>
        <v/>
      </c>
      <c r="Z106" s="294" t="str">
        <f aca="false">IFERROR(IF(J$23*J$24*J$25*J22&gt;0,STDEV(J$23:J$25, J22),"")/IF(J$23*J$24*J$25*J22&gt;0,AVERAGE(J$23:J$25, J22),""),"")</f>
        <v/>
      </c>
      <c r="AA106" s="294" t="str">
        <f aca="false">IFERROR(IF(K$23*K$24*K$25*K22&gt;0,STDEV(K$23:K$25, K22),"")/IF(K$23*K$24*K$25*K22&gt;0,AVERAGE(K$23:K$25, K22),""),"")</f>
        <v/>
      </c>
      <c r="AB106" s="294" t="str">
        <f aca="false">IFERROR(IF(L$23*L$24*L$25*L22&gt;0,STDEV(L$23:L$25, L22),"")/IF(L$23*L$24*L$25*L22&gt;0,AVERAGE(L$23:L$25, L22),""),"")</f>
        <v/>
      </c>
      <c r="AC106" s="294" t="str">
        <f aca="false">IFERROR(IF(M$23*M$24*M$25*M22&gt;0,STDEV(M$23:M$25, M22),"")/IF(M$23*M$24*M$25*M22&gt;0,AVERAGE(M$23:M$25, M22),""),"")</f>
        <v/>
      </c>
      <c r="AD106" s="294" t="str">
        <f aca="false">IFERROR(IF(N$23*N$24*N$25*N22&gt;0,STDEV(N$23:N$25, N22),"")/IF(N$23*N$24*N$25*N22&gt;0,AVERAGE(N$23:N$25, N22),""),"")</f>
        <v/>
      </c>
      <c r="AE106" s="44"/>
      <c r="AF106" s="266" t="s">
        <v>472</v>
      </c>
      <c r="AG106" s="287" t="str">
        <f aca="false">IFERROR(IF(C$23*C$24*C$25*C22&gt;0,STDEV(C$23:C$25, C22)," ")/IF(C$23*C$24*C$25*C22&gt;0,SQRT(COUNT(C$23:C$25, C22))," "),"")</f>
        <v/>
      </c>
      <c r="AH106" s="287" t="str">
        <f aca="false">IFERROR(IF(D$23*D$24*D$25*D22&gt;0,STDEV(D$23:D$25, D22)," ")/IF(D$23*D$24*D$25*D22&gt;0,SQRT(COUNT(D$23:D$25, D22))," "),"")</f>
        <v/>
      </c>
      <c r="AI106" s="287" t="str">
        <f aca="false">IFERROR(IF(E$23*E$24*E$25*E22&gt;0,STDEV(E$23:E$25, E22)," ")/IF(E$23*E$24*E$25*E22&gt;0,SQRT(COUNT(E$23:E$25, E22))," "),"")</f>
        <v/>
      </c>
      <c r="AJ106" s="287" t="str">
        <f aca="false">IFERROR(IF(F$23*F$24*F$25*F22&gt;0,STDEV(F$23:F$25, F22)," ")/IF(F$23*F$24*F$25*F22&gt;0,SQRT(COUNT(F$23:F$25, F22))," "),"")</f>
        <v/>
      </c>
      <c r="AK106" s="287" t="str">
        <f aca="false">IFERROR(IF(G$23*G$24*G$25*G22&gt;0,STDEV(G$23:G$25, G22)," ")/IF(G$23*G$24*G$25*G22&gt;0,SQRT(COUNT(G$23:G$25, G22))," "),"")</f>
        <v/>
      </c>
      <c r="AL106" s="287" t="str">
        <f aca="false">IFERROR(IF(H$23*H$24*H$25*H22&gt;0,STDEV(H$23:H$25, H22)," ")/IF(H$23*H$24*H$25*H22&gt;0,SQRT(COUNT(H$23:H$25, H22))," "),"")</f>
        <v/>
      </c>
      <c r="AM106" s="287" t="str">
        <f aca="false">IFERROR(IF(I$23*I$24*I$25*I22&gt;0,STDEV(I$23:I$25, I22)," ")/IF(I$23*I$24*I$25*I22&gt;0,SQRT(COUNT(I$23:I$25, I22))," "),"")</f>
        <v/>
      </c>
      <c r="AN106" s="287" t="str">
        <f aca="false">IFERROR(IF(J$23*J$24*J$25*J22&gt;0,STDEV(J$23:J$25, J22)," ")/IF(J$23*J$24*J$25*J22&gt;0,SQRT(COUNT(J$23:J$25, J22))," "),"")</f>
        <v/>
      </c>
      <c r="AO106" s="287" t="str">
        <f aca="false">IFERROR(IF(K$23*K$24*K$25*K22&gt;0,STDEV(K$23:K$25, K22)," ")/IF(K$23*K$24*K$25*K22&gt;0,SQRT(COUNT(K$23:K$25, K22))," "),"")</f>
        <v/>
      </c>
      <c r="AP106" s="287" t="str">
        <f aca="false">IFERROR(IF(L$23*L$24*L$25*L22&gt;0,STDEV(L$23:L$25, L22)," ")/IF(L$23*L$24*L$25*L22&gt;0,SQRT(COUNT(L$23:L$25, L22))," "),"")</f>
        <v/>
      </c>
      <c r="AQ106" s="287" t="str">
        <f aca="false">IFERROR(IF(M$23*M$24*M$25*M22&gt;0,STDEV(M$23:M$25, M22)," ")/IF(M$23*M$24*M$25*M22&gt;0,SQRT(COUNT(M$23:M$25, M22))," "),"")</f>
        <v/>
      </c>
      <c r="AR106" s="287" t="str">
        <f aca="false">IFERROR(IF(N$23*N$24*N$25*N22&gt;0,STDEV(N$23:N$25, N22)," ")/IF(N$23*N$24*N$25*N22&gt;0,SQRT(COUNT(N$23:N$25, N22))," "),"")</f>
        <v/>
      </c>
    </row>
    <row r="107" customFormat="false" ht="15.75" hidden="false" customHeight="false" outlineLevel="0" collapsed="false">
      <c r="A107" s="290" t="s">
        <v>473</v>
      </c>
      <c r="B107" s="281"/>
      <c r="C107" s="302" t="str">
        <f aca="false">IFERROR(IF(C$23*C$24*C$25*C26&gt;0,AVERAGE(C$23:C$25, C26),""),"")</f>
        <v/>
      </c>
      <c r="D107" s="302" t="str">
        <f aca="false">IFERROR(IF(D$23*D$24*D$25*D26&gt;0,AVERAGE(D$23:D$25, D26),""),"")</f>
        <v/>
      </c>
      <c r="E107" s="302" t="str">
        <f aca="false">IFERROR(IF(E$23*E$24*E$25*E26&gt;0,AVERAGE(E$23:E$25, E26),""),"")</f>
        <v/>
      </c>
      <c r="F107" s="302" t="str">
        <f aca="false">IFERROR(IF(F$23*F$24*F$25*F26&gt;0,AVERAGE(F$23:F$25, F26),""),"")</f>
        <v/>
      </c>
      <c r="G107" s="302" t="str">
        <f aca="false">IFERROR(IF(G$23*G$24*G$25*G26&gt;0,AVERAGE(G$23:G$25, G26),""),"")</f>
        <v/>
      </c>
      <c r="H107" s="302" t="str">
        <f aca="false">IFERROR(IF(H$23*H$24*H$25*H26&gt;0,AVERAGE(H$23:H$25, H26),""),"")</f>
        <v/>
      </c>
      <c r="I107" s="302" t="str">
        <f aca="false">IFERROR(IF(I$23*I$24*I$25*I26&gt;0,AVERAGE(I$23:I$25, I26),""),"")</f>
        <v/>
      </c>
      <c r="J107" s="302" t="str">
        <f aca="false">IFERROR(IF(J$23*J$24*J$25*J26&gt;0,AVERAGE(J$23:J$25, J26),""),"")</f>
        <v/>
      </c>
      <c r="K107" s="302" t="str">
        <f aca="false">IFERROR(IF(K$23*K$24*K$25*K26&gt;0,AVERAGE(K$23:K$25, K26),""),"")</f>
        <v/>
      </c>
      <c r="L107" s="302" t="str">
        <f aca="false">IFERROR(IF(L$23*L$24*L$25*L26&gt;0,AVERAGE(L$23:L$25, L26),""),"")</f>
        <v/>
      </c>
      <c r="M107" s="302" t="str">
        <f aca="false">IFERROR(IF(M$23*M$24*M$25*M26&gt;0,AVERAGE(M$23:M$25, M26),""),"")</f>
        <v/>
      </c>
      <c r="N107" s="302" t="str">
        <f aca="false">IFERROR(IF(N$23*N$24*N$25*N26&gt;0,AVERAGE(N$23:N$25, N26),""),"")</f>
        <v/>
      </c>
      <c r="O107" s="282"/>
      <c r="P107" s="282"/>
      <c r="Q107" s="296"/>
      <c r="R107" s="293" t="s">
        <v>474</v>
      </c>
      <c r="S107" s="294" t="str">
        <f aca="false">IFERROR(IF(C$23*C$24*C$25*C26&gt;0,STDEV(C$23:C$25, C26),"")/IF(C$23*C$24*C$25*C26&gt;0,AVERAGE(C$23:C$25, C26),""),"")</f>
        <v/>
      </c>
      <c r="T107" s="294" t="str">
        <f aca="false">IFERROR(IF(D$23*D$24*D$25*D26&gt;0,STDEV(D$23:D$25, D26),"")/IF(D$23*D$24*D$25*D26&gt;0,AVERAGE(D$23:D$25, D26),""),"")</f>
        <v/>
      </c>
      <c r="U107" s="294" t="str">
        <f aca="false">IFERROR(IF(E$23*E$24*E$25*E26&gt;0,STDEV(E$23:E$25, E26),"")/IF(E$23*E$24*E$25*E26&gt;0,AVERAGE(E$23:E$25, E26),""),"")</f>
        <v/>
      </c>
      <c r="V107" s="294" t="str">
        <f aca="false">IFERROR(IF(F$23*F$24*F$25*F26&gt;0,STDEV(F$23:F$25, F26),"")/IF(F$23*F$24*F$25*F26&gt;0,AVERAGE(F$23:F$25, F26),""),"")</f>
        <v/>
      </c>
      <c r="W107" s="294" t="str">
        <f aca="false">IFERROR(IF(G$23*G$24*G$25*G26&gt;0,STDEV(G$23:G$25, G26),"")/IF(G$23*G$24*G$25*G26&gt;0,AVERAGE(G$23:G$25, G26),""),"")</f>
        <v/>
      </c>
      <c r="X107" s="294" t="str">
        <f aca="false">IFERROR(IF(H$23*H$24*H$25*H26&gt;0,STDEV(H$23:H$25, H26),"")/IF(H$23*H$24*H$25*H26&gt;0,AVERAGE(H$23:H$25, H26),""),"")</f>
        <v/>
      </c>
      <c r="Y107" s="294" t="str">
        <f aca="false">IFERROR(IF(I$23*I$24*I$25*I26&gt;0,STDEV(I$23:I$25, I26),"")/IF(I$23*I$24*I$25*I26&gt;0,AVERAGE(I$23:I$25, I26),""),"")</f>
        <v/>
      </c>
      <c r="Z107" s="294" t="str">
        <f aca="false">IFERROR(IF(J$23*J$24*J$25*J26&gt;0,STDEV(J$23:J$25, J26),"")/IF(J$23*J$24*J$25*J26&gt;0,AVERAGE(J$23:J$25, J26),""),"")</f>
        <v/>
      </c>
      <c r="AA107" s="294" t="str">
        <f aca="false">IFERROR(IF(K$23*K$24*K$25*K26&gt;0,STDEV(K$23:K$25, K26),"")/IF(K$23*K$24*K$25*K26&gt;0,AVERAGE(K$23:K$25, K26),""),"")</f>
        <v/>
      </c>
      <c r="AB107" s="294" t="str">
        <f aca="false">IFERROR(IF(L$23*L$24*L$25*L26&gt;0,STDEV(L$23:L$25, L26),"")/IF(L$23*L$24*L$25*L26&gt;0,AVERAGE(L$23:L$25, L26),""),"")</f>
        <v/>
      </c>
      <c r="AC107" s="294" t="str">
        <f aca="false">IFERROR(IF(M$23*M$24*M$25*M26&gt;0,STDEV(M$23:M$25, M26),"")/IF(M$23*M$24*M$25*M26&gt;0,AVERAGE(M$23:M$25, M26),""),"")</f>
        <v/>
      </c>
      <c r="AD107" s="294" t="str">
        <f aca="false">IFERROR(IF(N$23*N$24*N$25*N26&gt;0,STDEV(N$23:N$25, N26),"")/IF(N$23*N$24*N$25*N26&gt;0,AVERAGE(N$23:N$25, N26),""),"")</f>
        <v/>
      </c>
      <c r="AE107" s="44"/>
      <c r="AF107" s="266" t="s">
        <v>475</v>
      </c>
      <c r="AG107" s="287" t="str">
        <f aca="false">IFERROR(IF(C$23*C$24*C$25*C26&gt;0,STDEV(C$23:C$25, C26)," ")/IF(C$23*C$24*C$25*C26&gt;0,SQRT(COUNT(C$23:C$25, C26))," "),"")</f>
        <v/>
      </c>
      <c r="AH107" s="287" t="str">
        <f aca="false">IFERROR(IF(D$23*D$24*D$25*D26&gt;0,STDEV(D$23:D$25, D26)," ")/IF(D$23*D$24*D$25*D26&gt;0,SQRT(COUNT(D$23:D$25, D26))," "),"")</f>
        <v/>
      </c>
      <c r="AI107" s="287" t="str">
        <f aca="false">IFERROR(IF(E$23*E$24*E$25*E26&gt;0,STDEV(E$23:E$25, E26)," ")/IF(E$23*E$24*E$25*E26&gt;0,SQRT(COUNT(E$23:E$25, E26))," "),"")</f>
        <v/>
      </c>
      <c r="AJ107" s="287" t="str">
        <f aca="false">IFERROR(IF(F$23*F$24*F$25*F26&gt;0,STDEV(F$23:F$25, F26)," ")/IF(F$23*F$24*F$25*F26&gt;0,SQRT(COUNT(F$23:F$25, F26))," "),"")</f>
        <v/>
      </c>
      <c r="AK107" s="287" t="str">
        <f aca="false">IFERROR(IF(G$23*G$24*G$25*G26&gt;0,STDEV(G$23:G$25, G26)," ")/IF(G$23*G$24*G$25*G26&gt;0,SQRT(COUNT(G$23:G$25, G26))," "),"")</f>
        <v/>
      </c>
      <c r="AL107" s="287" t="str">
        <f aca="false">IFERROR(IF(H$23*H$24*H$25*H26&gt;0,STDEV(H$23:H$25, H26)," ")/IF(H$23*H$24*H$25*H26&gt;0,SQRT(COUNT(H$23:H$25, H26))," "),"")</f>
        <v/>
      </c>
      <c r="AM107" s="287" t="str">
        <f aca="false">IFERROR(IF(I$23*I$24*I$25*I26&gt;0,STDEV(I$23:I$25, I26)," ")/IF(I$23*I$24*I$25*I26&gt;0,SQRT(COUNT(I$23:I$25, I26))," "),"")</f>
        <v/>
      </c>
      <c r="AN107" s="287" t="str">
        <f aca="false">IFERROR(IF(J$23*J$24*J$25*J26&gt;0,STDEV(J$23:J$25, J26)," ")/IF(J$23*J$24*J$25*J26&gt;0,SQRT(COUNT(J$23:J$25, J26))," "),"")</f>
        <v/>
      </c>
      <c r="AO107" s="287" t="str">
        <f aca="false">IFERROR(IF(K$23*K$24*K$25*K26&gt;0,STDEV(K$23:K$25, K26)," ")/IF(K$23*K$24*K$25*K26&gt;0,SQRT(COUNT(K$23:K$25, K26))," "),"")</f>
        <v/>
      </c>
      <c r="AP107" s="287" t="str">
        <f aca="false">IFERROR(IF(L$23*L$24*L$25*L26&gt;0,STDEV(L$23:L$25, L26)," ")/IF(L$23*L$24*L$25*L26&gt;0,SQRT(COUNT(L$23:L$25, L26))," "),"")</f>
        <v/>
      </c>
      <c r="AQ107" s="287" t="str">
        <f aca="false">IFERROR(IF(M$23*M$24*M$25*M26&gt;0,STDEV(M$23:M$25, M26)," ")/IF(M$23*M$24*M$25*M26&gt;0,SQRT(COUNT(M$23:M$25, M26))," "),"")</f>
        <v/>
      </c>
      <c r="AR107" s="287" t="str">
        <f aca="false">IFERROR(IF(N$23*N$24*N$25*N26&gt;0,STDEV(N$23:N$25, N26)," ")/IF(N$23*N$24*N$25*N26&gt;0,SQRT(COUNT(N$23:N$25, N26))," "),"")</f>
        <v/>
      </c>
    </row>
    <row r="108" customFormat="false" ht="15.75" hidden="false" customHeight="false" outlineLevel="0" collapsed="false">
      <c r="A108" s="290" t="s">
        <v>476</v>
      </c>
      <c r="B108" s="281"/>
      <c r="C108" s="302" t="str">
        <f aca="false">IFERROR(IF(C$23*C$24*C$25*C27&gt;0,AVERAGE(C$23:C$25, C27),""),"")</f>
        <v/>
      </c>
      <c r="D108" s="302" t="str">
        <f aca="false">IFERROR(IF(D$23*D$24*D$25*D27&gt;0,AVERAGE(D$23:D$25, D27),""),"")</f>
        <v/>
      </c>
      <c r="E108" s="302" t="str">
        <f aca="false">IFERROR(IF(E$23*E$24*E$25*E27&gt;0,AVERAGE(E$23:E$25, E27),""),"")</f>
        <v/>
      </c>
      <c r="F108" s="302" t="str">
        <f aca="false">IFERROR(IF(F$23*F$24*F$25*F27&gt;0,AVERAGE(F$23:F$25, F27),""),"")</f>
        <v/>
      </c>
      <c r="G108" s="302" t="str">
        <f aca="false">IFERROR(IF(G$23*G$24*G$25*G27&gt;0,AVERAGE(G$23:G$25, G27),""),"")</f>
        <v/>
      </c>
      <c r="H108" s="302" t="str">
        <f aca="false">IFERROR(IF(H$23*H$24*H$25*H27&gt;0,AVERAGE(H$23:H$25, H27),""),"")</f>
        <v/>
      </c>
      <c r="I108" s="302" t="str">
        <f aca="false">IFERROR(IF(I$23*I$24*I$25*I27&gt;0,AVERAGE(I$23:I$25, I27),""),"")</f>
        <v/>
      </c>
      <c r="J108" s="302" t="str">
        <f aca="false">IFERROR(IF(J$23*J$24*J$25*J27&gt;0,AVERAGE(J$23:J$25, J27),""),"")</f>
        <v/>
      </c>
      <c r="K108" s="302" t="str">
        <f aca="false">IFERROR(IF(K$23*K$24*K$25*K27&gt;0,AVERAGE(K$23:K$25, K27),""),"")</f>
        <v/>
      </c>
      <c r="L108" s="302" t="str">
        <f aca="false">IFERROR(IF(L$23*L$24*L$25*L27&gt;0,AVERAGE(L$23:L$25, L27),""),"")</f>
        <v/>
      </c>
      <c r="M108" s="302" t="str">
        <f aca="false">IFERROR(IF(M$23*M$24*M$25*M27&gt;0,AVERAGE(M$23:M$25, M27),""),"")</f>
        <v/>
      </c>
      <c r="N108" s="302" t="str">
        <f aca="false">IFERROR(IF(N$23*N$24*N$25*N27&gt;0,AVERAGE(N$23:N$25, N27),""),"")</f>
        <v/>
      </c>
      <c r="O108" s="282"/>
      <c r="P108" s="282"/>
      <c r="Q108" s="296"/>
      <c r="R108" s="293" t="s">
        <v>477</v>
      </c>
      <c r="S108" s="294" t="str">
        <f aca="false">IFERROR(IF(C$23*C$24*C$25*C27&gt;0,STDEV(C$23:C$25, C27),"")/IF(C$23*C$24*C$25*C27&gt;0,AVERAGE(C$23:C$25, C27),""),"")</f>
        <v/>
      </c>
      <c r="T108" s="294" t="str">
        <f aca="false">IFERROR(IF(D$23*D$24*D$25*D27&gt;0,STDEV(D$23:D$25, D27),"")/IF(D$23*D$24*D$25*D27&gt;0,AVERAGE(D$23:D$25, D27),""),"")</f>
        <v/>
      </c>
      <c r="U108" s="294" t="str">
        <f aca="false">IFERROR(IF(E$23*E$24*E$25*E27&gt;0,STDEV(E$23:E$25, E27),"")/IF(E$23*E$24*E$25*E27&gt;0,AVERAGE(E$23:E$25, E27),""),"")</f>
        <v/>
      </c>
      <c r="V108" s="294" t="str">
        <f aca="false">IFERROR(IF(F$23*F$24*F$25*F27&gt;0,STDEV(F$23:F$25, F27),"")/IF(F$23*F$24*F$25*F27&gt;0,AVERAGE(F$23:F$25, F27),""),"")</f>
        <v/>
      </c>
      <c r="W108" s="294" t="str">
        <f aca="false">IFERROR(IF(G$23*G$24*G$25*G27&gt;0,STDEV(G$23:G$25, G27),"")/IF(G$23*G$24*G$25*G27&gt;0,AVERAGE(G$23:G$25, G27),""),"")</f>
        <v/>
      </c>
      <c r="X108" s="294" t="str">
        <f aca="false">IFERROR(IF(H$23*H$24*H$25*H27&gt;0,STDEV(H$23:H$25, H27),"")/IF(H$23*H$24*H$25*H27&gt;0,AVERAGE(H$23:H$25, H27),""),"")</f>
        <v/>
      </c>
      <c r="Y108" s="294" t="str">
        <f aca="false">IFERROR(IF(I$23*I$24*I$25*I27&gt;0,STDEV(I$23:I$25, I27),"")/IF(I$23*I$24*I$25*I27&gt;0,AVERAGE(I$23:I$25, I27),""),"")</f>
        <v/>
      </c>
      <c r="Z108" s="294" t="str">
        <f aca="false">IFERROR(IF(J$23*J$24*J$25*J27&gt;0,STDEV(J$23:J$25, J27),"")/IF(J$23*J$24*J$25*J27&gt;0,AVERAGE(J$23:J$25, J27),""),"")</f>
        <v/>
      </c>
      <c r="AA108" s="294" t="str">
        <f aca="false">IFERROR(IF(K$23*K$24*K$25*K27&gt;0,STDEV(K$23:K$25, K27),"")/IF(K$23*K$24*K$25*K27&gt;0,AVERAGE(K$23:K$25, K27),""),"")</f>
        <v/>
      </c>
      <c r="AB108" s="294" t="str">
        <f aca="false">IFERROR(IF(L$23*L$24*L$25*L27&gt;0,STDEV(L$23:L$25, L27),"")/IF(L$23*L$24*L$25*L27&gt;0,AVERAGE(L$23:L$25, L27),""),"")</f>
        <v/>
      </c>
      <c r="AC108" s="294" t="str">
        <f aca="false">IFERROR(IF(M$23*M$24*M$25*M27&gt;0,STDEV(M$23:M$25, M27),"")/IF(M$23*M$24*M$25*M27&gt;0,AVERAGE(M$23:M$25, M27),""),"")</f>
        <v/>
      </c>
      <c r="AD108" s="294" t="str">
        <f aca="false">IFERROR(IF(N$23*N$24*N$25*N27&gt;0,STDEV(N$23:N$25, N27),"")/IF(N$23*N$24*N$25*N27&gt;0,AVERAGE(N$23:N$25, N27),""),"")</f>
        <v/>
      </c>
      <c r="AE108" s="44"/>
      <c r="AF108" s="266" t="s">
        <v>478</v>
      </c>
      <c r="AG108" s="287" t="str">
        <f aca="false">IFERROR(IF(C$23*C$24*C$25*C27&gt;0,STDEV(C$23:C$25, C27)," ")/IF(C$23*C$24*C$25*C27&gt;0,SQRT(COUNT(C$23:C$25, C27))," "),"")</f>
        <v/>
      </c>
      <c r="AH108" s="287" t="str">
        <f aca="false">IFERROR(IF(D$23*D$24*D$25*D27&gt;0,STDEV(D$23:D$25, D27)," ")/IF(D$23*D$24*D$25*D27&gt;0,SQRT(COUNT(D$23:D$25, D27))," "),"")</f>
        <v/>
      </c>
      <c r="AI108" s="287" t="str">
        <f aca="false">IFERROR(IF(E$23*E$24*E$25*E27&gt;0,STDEV(E$23:E$25, E27)," ")/IF(E$23*E$24*E$25*E27&gt;0,SQRT(COUNT(E$23:E$25, E27))," "),"")</f>
        <v/>
      </c>
      <c r="AJ108" s="287" t="str">
        <f aca="false">IFERROR(IF(F$23*F$24*F$25*F27&gt;0,STDEV(F$23:F$25, F27)," ")/IF(F$23*F$24*F$25*F27&gt;0,SQRT(COUNT(F$23:F$25, F27))," "),"")</f>
        <v/>
      </c>
      <c r="AK108" s="287" t="str">
        <f aca="false">IFERROR(IF(G$23*G$24*G$25*G27&gt;0,STDEV(G$23:G$25, G27)," ")/IF(G$23*G$24*G$25*G27&gt;0,SQRT(COUNT(G$23:G$25, G27))," "),"")</f>
        <v/>
      </c>
      <c r="AL108" s="287" t="str">
        <f aca="false">IFERROR(IF(H$23*H$24*H$25*H27&gt;0,STDEV(H$23:H$25, H27)," ")/IF(H$23*H$24*H$25*H27&gt;0,SQRT(COUNT(H$23:H$25, H27))," "),"")</f>
        <v/>
      </c>
      <c r="AM108" s="287" t="str">
        <f aca="false">IFERROR(IF(I$23*I$24*I$25*I27&gt;0,STDEV(I$23:I$25, I27)," ")/IF(I$23*I$24*I$25*I27&gt;0,SQRT(COUNT(I$23:I$25, I27))," "),"")</f>
        <v/>
      </c>
      <c r="AN108" s="287" t="str">
        <f aca="false">IFERROR(IF(J$23*J$24*J$25*J27&gt;0,STDEV(J$23:J$25, J27)," ")/IF(J$23*J$24*J$25*J27&gt;0,SQRT(COUNT(J$23:J$25, J27))," "),"")</f>
        <v/>
      </c>
      <c r="AO108" s="287" t="str">
        <f aca="false">IFERROR(IF(K$23*K$24*K$25*K27&gt;0,STDEV(K$23:K$25, K27)," ")/IF(K$23*K$24*K$25*K27&gt;0,SQRT(COUNT(K$23:K$25, K27))," "),"")</f>
        <v/>
      </c>
      <c r="AP108" s="287" t="str">
        <f aca="false">IFERROR(IF(L$23*L$24*L$25*L27&gt;0,STDEV(L$23:L$25, L27)," ")/IF(L$23*L$24*L$25*L27&gt;0,SQRT(COUNT(L$23:L$25, L27))," "),"")</f>
        <v/>
      </c>
      <c r="AQ108" s="287" t="str">
        <f aca="false">IFERROR(IF(M$23*M$24*M$25*M27&gt;0,STDEV(M$23:M$25, M27)," ")/IF(M$23*M$24*M$25*M27&gt;0,SQRT(COUNT(M$23:M$25, M27))," "),"")</f>
        <v/>
      </c>
      <c r="AR108" s="287" t="str">
        <f aca="false">IFERROR(IF(N$23*N$24*N$25*N27&gt;0,STDEV(N$23:N$25, N27)," ")/IF(N$23*N$24*N$25*N27&gt;0,SQRT(COUNT(N$23:N$25, N27))," "),"")</f>
        <v/>
      </c>
    </row>
    <row r="109" customFormat="false" ht="15.75" hidden="false" customHeight="false" outlineLevel="0" collapsed="false">
      <c r="A109" s="290" t="s">
        <v>479</v>
      </c>
      <c r="B109" s="281"/>
      <c r="C109" s="302" t="str">
        <f aca="false">IFERROR(IF(C$24*C$25*C$26*C21&gt;0,AVERAGE(C$24:C$26, C21),""),"")</f>
        <v/>
      </c>
      <c r="D109" s="302" t="str">
        <f aca="false">IFERROR(IF(D$24*D$25*D$26*D21&gt;0,AVERAGE(D$24:D$26, D21),""),"")</f>
        <v/>
      </c>
      <c r="E109" s="302" t="str">
        <f aca="false">IFERROR(IF(E$24*E$25*E$26*E21&gt;0,AVERAGE(E$24:E$26, E21),""),"")</f>
        <v/>
      </c>
      <c r="F109" s="302" t="str">
        <f aca="false">IFERROR(IF(F$24*F$25*F$26*F21&gt;0,AVERAGE(F$24:F$26, F21),""),"")</f>
        <v/>
      </c>
      <c r="G109" s="302" t="str">
        <f aca="false">IFERROR(IF(G$24*G$25*G$26*G21&gt;0,AVERAGE(G$24:G$26, G21),""),"")</f>
        <v/>
      </c>
      <c r="H109" s="302" t="str">
        <f aca="false">IFERROR(IF(H$24*H$25*H$26*H21&gt;0,AVERAGE(H$24:H$26, H21),""),"")</f>
        <v/>
      </c>
      <c r="I109" s="302" t="str">
        <f aca="false">IFERROR(IF(I$24*I$25*I$26*I21&gt;0,AVERAGE(I$24:I$26, I21),""),"")</f>
        <v/>
      </c>
      <c r="J109" s="302" t="str">
        <f aca="false">IFERROR(IF(J$24*J$25*J$26*J21&gt;0,AVERAGE(J$24:J$26, J21),""),"")</f>
        <v/>
      </c>
      <c r="K109" s="302" t="str">
        <f aca="false">IFERROR(IF(K$24*K$25*K$26*K21&gt;0,AVERAGE(K$24:K$26, K21),""),"")</f>
        <v/>
      </c>
      <c r="L109" s="302" t="str">
        <f aca="false">IFERROR(IF(L$24*L$25*L$26*L21&gt;0,AVERAGE(L$24:L$26, L21),""),"")</f>
        <v/>
      </c>
      <c r="M109" s="302" t="str">
        <f aca="false">IFERROR(IF(M$24*M$25*M$26*M21&gt;0,AVERAGE(M$24:M$26, M21),""),"")</f>
        <v/>
      </c>
      <c r="N109" s="302" t="str">
        <f aca="false">IFERROR(IF(N$24*N$25*N$26*N21&gt;0,AVERAGE(N$24:N$26, N21),""),"")</f>
        <v/>
      </c>
      <c r="O109" s="282"/>
      <c r="P109" s="282"/>
      <c r="Q109" s="296"/>
      <c r="R109" s="293" t="s">
        <v>480</v>
      </c>
      <c r="S109" s="294" t="str">
        <f aca="false">IFERROR(IF(C$24*C$25*C$26*C21&gt;0,STDEV(C$24:C$26, C21),"")/IF(C$24*C$25*C$26*C21&gt;0,AVERAGE(C$24:C$26, C21),""),"")</f>
        <v/>
      </c>
      <c r="T109" s="294" t="str">
        <f aca="false">IFERROR(IF(D$24*D$25*D$26*D21&gt;0,STDEV(D$24:D$26, D21),"")/IF(D$24*D$25*D$26*D21&gt;0,AVERAGE(D$24:D$26, D21),""),"")</f>
        <v/>
      </c>
      <c r="U109" s="294" t="str">
        <f aca="false">IFERROR(IF(E$24*E$25*E$26*E21&gt;0,STDEV(E$24:E$26, E21),"")/IF(E$24*E$25*E$26*E21&gt;0,AVERAGE(E$24:E$26, E21),""),"")</f>
        <v/>
      </c>
      <c r="V109" s="294" t="str">
        <f aca="false">IFERROR(IF(F$24*F$25*F$26*F21&gt;0,STDEV(F$24:F$26, F21),"")/IF(F$24*F$25*F$26*F21&gt;0,AVERAGE(F$24:F$26, F21),""),"")</f>
        <v/>
      </c>
      <c r="W109" s="294" t="str">
        <f aca="false">IFERROR(IF(G$24*G$25*G$26*G21&gt;0,STDEV(G$24:G$26, G21),"")/IF(G$24*G$25*G$26*G21&gt;0,AVERAGE(G$24:G$26, G21),""),"")</f>
        <v/>
      </c>
      <c r="X109" s="294" t="str">
        <f aca="false">IFERROR(IF(H$24*H$25*H$26*H21&gt;0,STDEV(H$24:H$26, H21),"")/IF(H$24*H$25*H$26*H21&gt;0,AVERAGE(H$24:H$26, H21),""),"")</f>
        <v/>
      </c>
      <c r="Y109" s="294" t="str">
        <f aca="false">IFERROR(IF(I$24*I$25*I$26*I21&gt;0,STDEV(I$24:I$26, I21),"")/IF(I$24*I$25*I$26*I21&gt;0,AVERAGE(I$24:I$26, I21),""),"")</f>
        <v/>
      </c>
      <c r="Z109" s="294" t="str">
        <f aca="false">IFERROR(IF(J$24*J$25*J$26*J21&gt;0,STDEV(J$24:J$26, J21),"")/IF(J$24*J$25*J$26*J21&gt;0,AVERAGE(J$24:J$26, J21),""),"")</f>
        <v/>
      </c>
      <c r="AA109" s="294" t="str">
        <f aca="false">IFERROR(IF(K$24*K$25*K$26*K21&gt;0,STDEV(K$24:K$26, K21),"")/IF(K$24*K$25*K$26*K21&gt;0,AVERAGE(K$24:K$26, K21),""),"")</f>
        <v/>
      </c>
      <c r="AB109" s="294" t="str">
        <f aca="false">IFERROR(IF(L$24*L$25*L$26*L21&gt;0,STDEV(L$24:L$26, L21),"")/IF(L$24*L$25*L$26*L21&gt;0,AVERAGE(L$24:L$26, L21),""),"")</f>
        <v/>
      </c>
      <c r="AC109" s="294" t="str">
        <f aca="false">IFERROR(IF(M$24*M$25*M$26*M21&gt;0,STDEV(M$24:M$26, M21),"")/IF(M$24*M$25*M$26*M21&gt;0,AVERAGE(M$24:M$26, M21),""),"")</f>
        <v/>
      </c>
      <c r="AD109" s="294" t="str">
        <f aca="false">IFERROR(IF(N$24*N$25*N$26*N21&gt;0,STDEV(N$24:N$26, N21),"")/IF(N$24*N$25*N$26*N21&gt;0,AVERAGE(N$24:N$26, N21),""),"")</f>
        <v/>
      </c>
      <c r="AE109" s="44"/>
      <c r="AF109" s="266" t="s">
        <v>481</v>
      </c>
      <c r="AG109" s="287" t="str">
        <f aca="false">IFERROR(IF(C$24*C$25*C$26*C21&gt;0,STDEV(C$24:C$26, C21)," ")/IF(C$24*C$25*C$26*C21&gt;0,SQRT(COUNT(C$24:C$26, C21))," "),"")</f>
        <v/>
      </c>
      <c r="AH109" s="287" t="str">
        <f aca="false">IFERROR(IF(D$24*D$25*D$26*D21&gt;0,STDEV(D$24:D$26, D21)," ")/IF(D$24*D$25*D$26*D21&gt;0,SQRT(COUNT(D$24:D$26, D21))," "),"")</f>
        <v/>
      </c>
      <c r="AI109" s="287" t="str">
        <f aca="false">IFERROR(IF(E$24*E$25*E$26*E21&gt;0,STDEV(E$24:E$26, E21)," ")/IF(E$24*E$25*E$26*E21&gt;0,SQRT(COUNT(E$24:E$26, E21))," "),"")</f>
        <v/>
      </c>
      <c r="AJ109" s="287" t="str">
        <f aca="false">IFERROR(IF(F$24*F$25*F$26*F21&gt;0,STDEV(F$24:F$26, F21)," ")/IF(F$24*F$25*F$26*F21&gt;0,SQRT(COUNT(F$24:F$26, F21))," "),"")</f>
        <v/>
      </c>
      <c r="AK109" s="287" t="str">
        <f aca="false">IFERROR(IF(G$24*G$25*G$26*G21&gt;0,STDEV(G$24:G$26, G21)," ")/IF(G$24*G$25*G$26*G21&gt;0,SQRT(COUNT(G$24:G$26, G21))," "),"")</f>
        <v/>
      </c>
      <c r="AL109" s="287" t="str">
        <f aca="false">IFERROR(IF(H$24*H$25*H$26*H21&gt;0,STDEV(H$24:H$26, H21)," ")/IF(H$24*H$25*H$26*H21&gt;0,SQRT(COUNT(H$24:H$26, H21))," "),"")</f>
        <v/>
      </c>
      <c r="AM109" s="287" t="str">
        <f aca="false">IFERROR(IF(I$24*I$25*I$26*I21&gt;0,STDEV(I$24:I$26, I21)," ")/IF(I$24*I$25*I$26*I21&gt;0,SQRT(COUNT(I$24:I$26, I21))," "),"")</f>
        <v/>
      </c>
      <c r="AN109" s="287" t="str">
        <f aca="false">IFERROR(IF(J$24*J$25*J$26*J21&gt;0,STDEV(J$24:J$26, J21)," ")/IF(J$24*J$25*J$26*J21&gt;0,SQRT(COUNT(J$24:J$26, J21))," "),"")</f>
        <v/>
      </c>
      <c r="AO109" s="287" t="str">
        <f aca="false">IFERROR(IF(K$24*K$25*K$26*K21&gt;0,STDEV(K$24:K$26, K21)," ")/IF(K$24*K$25*K$26*K21&gt;0,SQRT(COUNT(K$24:K$26, K21))," "),"")</f>
        <v/>
      </c>
      <c r="AP109" s="287" t="str">
        <f aca="false">IFERROR(IF(L$24*L$25*L$26*L21&gt;0,STDEV(L$24:L$26, L21)," ")/IF(L$24*L$25*L$26*L21&gt;0,SQRT(COUNT(L$24:L$26, L21))," "),"")</f>
        <v/>
      </c>
      <c r="AQ109" s="287" t="str">
        <f aca="false">IFERROR(IF(M$24*M$25*M$26*M21&gt;0,STDEV(M$24:M$26, M21)," ")/IF(M$24*M$25*M$26*M21&gt;0,SQRT(COUNT(M$24:M$26, M21))," "),"")</f>
        <v/>
      </c>
      <c r="AR109" s="287" t="str">
        <f aca="false">IFERROR(IF(N$24*N$25*N$26*N21&gt;0,STDEV(N$24:N$26, N21)," ")/IF(N$24*N$25*N$26*N21&gt;0,SQRT(COUNT(N$24:N$26, N21))," "),"")</f>
        <v/>
      </c>
    </row>
    <row r="110" customFormat="false" ht="15.75" hidden="false" customHeight="false" outlineLevel="0" collapsed="false">
      <c r="A110" s="290" t="s">
        <v>482</v>
      </c>
      <c r="B110" s="281"/>
      <c r="C110" s="302" t="str">
        <f aca="false">IFERROR(IF(C$24*C$25*C$26*C22&gt;0,AVERAGE(C$24:C$26, C22),""),"")</f>
        <v/>
      </c>
      <c r="D110" s="302" t="str">
        <f aca="false">IFERROR(IF(D$24*D$25*D$26*D22&gt;0,AVERAGE(D$24:D$26, D22),""),"")</f>
        <v/>
      </c>
      <c r="E110" s="302" t="str">
        <f aca="false">IFERROR(IF(E$24*E$25*E$26*E22&gt;0,AVERAGE(E$24:E$26, E22),""),"")</f>
        <v/>
      </c>
      <c r="F110" s="302" t="str">
        <f aca="false">IFERROR(IF(F$24*F$25*F$26*F22&gt;0,AVERAGE(F$24:F$26, F22),""),"")</f>
        <v/>
      </c>
      <c r="G110" s="302" t="str">
        <f aca="false">IFERROR(IF(G$24*G$25*G$26*G22&gt;0,AVERAGE(G$24:G$26, G22),""),"")</f>
        <v/>
      </c>
      <c r="H110" s="302" t="str">
        <f aca="false">IFERROR(IF(H$24*H$25*H$26*H22&gt;0,AVERAGE(H$24:H$26, H22),""),"")</f>
        <v/>
      </c>
      <c r="I110" s="302" t="str">
        <f aca="false">IFERROR(IF(I$24*I$25*I$26*I22&gt;0,AVERAGE(I$24:I$26, I22),""),"")</f>
        <v/>
      </c>
      <c r="J110" s="302" t="str">
        <f aca="false">IFERROR(IF(J$24*J$25*J$26*J22&gt;0,AVERAGE(J$24:J$26, J22),""),"")</f>
        <v/>
      </c>
      <c r="K110" s="302" t="str">
        <f aca="false">IFERROR(IF(K$24*K$25*K$26*K22&gt;0,AVERAGE(K$24:K$26, K22),""),"")</f>
        <v/>
      </c>
      <c r="L110" s="302" t="str">
        <f aca="false">IFERROR(IF(L$24*L$25*L$26*L22&gt;0,AVERAGE(L$24:L$26, L22),""),"")</f>
        <v/>
      </c>
      <c r="M110" s="302" t="str">
        <f aca="false">IFERROR(IF(M$24*M$25*M$26*M22&gt;0,AVERAGE(M$24:M$26, M22),""),"")</f>
        <v/>
      </c>
      <c r="N110" s="302" t="str">
        <f aca="false">IFERROR(IF(N$24*N$25*N$26*N22&gt;0,AVERAGE(N$24:N$26, N22),""),"")</f>
        <v/>
      </c>
      <c r="O110" s="282"/>
      <c r="P110" s="282"/>
      <c r="Q110" s="296"/>
      <c r="R110" s="293" t="s">
        <v>483</v>
      </c>
      <c r="S110" s="294" t="str">
        <f aca="false">IFERROR(IF(C$24*C$25*C$26*C22&gt;0,STDEV(C$24:C$26, C22),"")/IF(C$24*C$25*C$26*C22&gt;0,AVERAGE(C$24:C$26, C22),""),"")</f>
        <v/>
      </c>
      <c r="T110" s="294" t="str">
        <f aca="false">IFERROR(IF(D$24*D$25*D$26*D22&gt;0,STDEV(D$24:D$26, D22),"")/IF(D$24*D$25*D$26*D22&gt;0,AVERAGE(D$24:D$26, D22),""),"")</f>
        <v/>
      </c>
      <c r="U110" s="294" t="str">
        <f aca="false">IFERROR(IF(E$24*E$25*E$26*E22&gt;0,STDEV(E$24:E$26, E22),"")/IF(E$24*E$25*E$26*E22&gt;0,AVERAGE(E$24:E$26, E22),""),"")</f>
        <v/>
      </c>
      <c r="V110" s="294" t="str">
        <f aca="false">IFERROR(IF(F$24*F$25*F$26*F22&gt;0,STDEV(F$24:F$26, F22),"")/IF(F$24*F$25*F$26*F22&gt;0,AVERAGE(F$24:F$26, F22),""),"")</f>
        <v/>
      </c>
      <c r="W110" s="294" t="str">
        <f aca="false">IFERROR(IF(G$24*G$25*G$26*G22&gt;0,STDEV(G$24:G$26, G22),"")/IF(G$24*G$25*G$26*G22&gt;0,AVERAGE(G$24:G$26, G22),""),"")</f>
        <v/>
      </c>
      <c r="X110" s="294" t="str">
        <f aca="false">IFERROR(IF(H$24*H$25*H$26*H22&gt;0,STDEV(H$24:H$26, H22),"")/IF(H$24*H$25*H$26*H22&gt;0,AVERAGE(H$24:H$26, H22),""),"")</f>
        <v/>
      </c>
      <c r="Y110" s="294" t="str">
        <f aca="false">IFERROR(IF(I$24*I$25*I$26*I22&gt;0,STDEV(I$24:I$26, I22),"")/IF(I$24*I$25*I$26*I22&gt;0,AVERAGE(I$24:I$26, I22),""),"")</f>
        <v/>
      </c>
      <c r="Z110" s="294" t="str">
        <f aca="false">IFERROR(IF(J$24*J$25*J$26*J22&gt;0,STDEV(J$24:J$26, J22),"")/IF(J$24*J$25*J$26*J22&gt;0,AVERAGE(J$24:J$26, J22),""),"")</f>
        <v/>
      </c>
      <c r="AA110" s="294" t="str">
        <f aca="false">IFERROR(IF(K$24*K$25*K$26*K22&gt;0,STDEV(K$24:K$26, K22),"")/IF(K$24*K$25*K$26*K22&gt;0,AVERAGE(K$24:K$26, K22),""),"")</f>
        <v/>
      </c>
      <c r="AB110" s="294" t="str">
        <f aca="false">IFERROR(IF(L$24*L$25*L$26*L22&gt;0,STDEV(L$24:L$26, L22),"")/IF(L$24*L$25*L$26*L22&gt;0,AVERAGE(L$24:L$26, L22),""),"")</f>
        <v/>
      </c>
      <c r="AC110" s="294" t="str">
        <f aca="false">IFERROR(IF(M$24*M$25*M$26*M22&gt;0,STDEV(M$24:M$26, M22),"")/IF(M$24*M$25*M$26*M22&gt;0,AVERAGE(M$24:M$26, M22),""),"")</f>
        <v/>
      </c>
      <c r="AD110" s="294" t="str">
        <f aca="false">IFERROR(IF(N$24*N$25*N$26*N22&gt;0,STDEV(N$24:N$26, N22),"")/IF(N$24*N$25*N$26*N22&gt;0,AVERAGE(N$24:N$26, N22),""),"")</f>
        <v/>
      </c>
      <c r="AE110" s="44"/>
      <c r="AF110" s="266" t="s">
        <v>484</v>
      </c>
      <c r="AG110" s="287" t="str">
        <f aca="false">IFERROR(IF(C$24*C$25*C$26*C22&gt;0,STDEV(C$24:C$26, C22)," ")/IF(C$24*C$25*C$26*C22&gt;0,SQRT(COUNT(C$24:C$26, C22))," "),"")</f>
        <v/>
      </c>
      <c r="AH110" s="287" t="str">
        <f aca="false">IFERROR(IF(D$24*D$25*D$26*D22&gt;0,STDEV(D$24:D$26, D22)," ")/IF(D$24*D$25*D$26*D22&gt;0,SQRT(COUNT(D$24:D$26, D22))," "),"")</f>
        <v/>
      </c>
      <c r="AI110" s="287" t="str">
        <f aca="false">IFERROR(IF(E$24*E$25*E$26*E22&gt;0,STDEV(E$24:E$26, E22)," ")/IF(E$24*E$25*E$26*E22&gt;0,SQRT(COUNT(E$24:E$26, E22))," "),"")</f>
        <v/>
      </c>
      <c r="AJ110" s="287" t="str">
        <f aca="false">IFERROR(IF(F$24*F$25*F$26*F22&gt;0,STDEV(F$24:F$26, F22)," ")/IF(F$24*F$25*F$26*F22&gt;0,SQRT(COUNT(F$24:F$26, F22))," "),"")</f>
        <v/>
      </c>
      <c r="AK110" s="287" t="str">
        <f aca="false">IFERROR(IF(G$24*G$25*G$26*G22&gt;0,STDEV(G$24:G$26, G22)," ")/IF(G$24*G$25*G$26*G22&gt;0,SQRT(COUNT(G$24:G$26, G22))," "),"")</f>
        <v/>
      </c>
      <c r="AL110" s="287" t="str">
        <f aca="false">IFERROR(IF(H$24*H$25*H$26*H22&gt;0,STDEV(H$24:H$26, H22)," ")/IF(H$24*H$25*H$26*H22&gt;0,SQRT(COUNT(H$24:H$26, H22))," "),"")</f>
        <v/>
      </c>
      <c r="AM110" s="287" t="str">
        <f aca="false">IFERROR(IF(I$24*I$25*I$26*I22&gt;0,STDEV(I$24:I$26, I22)," ")/IF(I$24*I$25*I$26*I22&gt;0,SQRT(COUNT(I$24:I$26, I22))," "),"")</f>
        <v/>
      </c>
      <c r="AN110" s="287" t="str">
        <f aca="false">IFERROR(IF(J$24*J$25*J$26*J22&gt;0,STDEV(J$24:J$26, J22)," ")/IF(J$24*J$25*J$26*J22&gt;0,SQRT(COUNT(J$24:J$26, J22))," "),"")</f>
        <v/>
      </c>
      <c r="AO110" s="287" t="str">
        <f aca="false">IFERROR(IF(K$24*K$25*K$26*K22&gt;0,STDEV(K$24:K$26, K22)," ")/IF(K$24*K$25*K$26*K22&gt;0,SQRT(COUNT(K$24:K$26, K22))," "),"")</f>
        <v/>
      </c>
      <c r="AP110" s="287" t="str">
        <f aca="false">IFERROR(IF(L$24*L$25*L$26*L22&gt;0,STDEV(L$24:L$26, L22)," ")/IF(L$24*L$25*L$26*L22&gt;0,SQRT(COUNT(L$24:L$26, L22))," "),"")</f>
        <v/>
      </c>
      <c r="AQ110" s="287" t="str">
        <f aca="false">IFERROR(IF(M$24*M$25*M$26*M22&gt;0,STDEV(M$24:M$26, M22)," ")/IF(M$24*M$25*M$26*M22&gt;0,SQRT(COUNT(M$24:M$26, M22))," "),"")</f>
        <v/>
      </c>
      <c r="AR110" s="287" t="str">
        <f aca="false">IFERROR(IF(N$24*N$25*N$26*N22&gt;0,STDEV(N$24:N$26, N22)," ")/IF(N$24*N$25*N$26*N22&gt;0,SQRT(COUNT(N$24:N$26, N22))," "),"")</f>
        <v/>
      </c>
    </row>
    <row r="111" customFormat="false" ht="15.75" hidden="false" customHeight="false" outlineLevel="0" collapsed="false">
      <c r="A111" s="290" t="s">
        <v>485</v>
      </c>
      <c r="B111" s="281"/>
      <c r="C111" s="302" t="str">
        <f aca="false">IFERROR(IF(C$24*C$25*C$26*C23&gt;0,AVERAGE(C$24:C$26, C23),""),"")</f>
        <v/>
      </c>
      <c r="D111" s="302" t="str">
        <f aca="false">IFERROR(IF(D$24*D$25*D$26*D23&gt;0,AVERAGE(D$24:D$26, D23),""),"")</f>
        <v/>
      </c>
      <c r="E111" s="302" t="str">
        <f aca="false">IFERROR(IF(E$24*E$25*E$26*E23&gt;0,AVERAGE(E$24:E$26, E23),""),"")</f>
        <v/>
      </c>
      <c r="F111" s="302" t="str">
        <f aca="false">IFERROR(IF(F$24*F$25*F$26*F23&gt;0,AVERAGE(F$24:F$26, F23),""),"")</f>
        <v/>
      </c>
      <c r="G111" s="302" t="str">
        <f aca="false">IFERROR(IF(G$24*G$25*G$26*G23&gt;0,AVERAGE(G$24:G$26, G23),""),"")</f>
        <v/>
      </c>
      <c r="H111" s="302" t="str">
        <f aca="false">IFERROR(IF(H$24*H$25*H$26*H23&gt;0,AVERAGE(H$24:H$26, H23),""),"")</f>
        <v/>
      </c>
      <c r="I111" s="302" t="str">
        <f aca="false">IFERROR(IF(I$24*I$25*I$26*I23&gt;0,AVERAGE(I$24:I$26, I23),""),"")</f>
        <v/>
      </c>
      <c r="J111" s="302" t="str">
        <f aca="false">IFERROR(IF(J$24*J$25*J$26*J23&gt;0,AVERAGE(J$24:J$26, J23),""),"")</f>
        <v/>
      </c>
      <c r="K111" s="302" t="str">
        <f aca="false">IFERROR(IF(K$24*K$25*K$26*K23&gt;0,AVERAGE(K$24:K$26, K23),""),"")</f>
        <v/>
      </c>
      <c r="L111" s="302" t="str">
        <f aca="false">IFERROR(IF(L$24*L$25*L$26*L23&gt;0,AVERAGE(L$24:L$26, L23),""),"")</f>
        <v/>
      </c>
      <c r="M111" s="302" t="str">
        <f aca="false">IFERROR(IF(M$24*M$25*M$26*M23&gt;0,AVERAGE(M$24:M$26, M23),""),"")</f>
        <v/>
      </c>
      <c r="N111" s="302" t="str">
        <f aca="false">IFERROR(IF(N$24*N$25*N$26*N23&gt;0,AVERAGE(N$24:N$26, N23),""),"")</f>
        <v/>
      </c>
      <c r="O111" s="282"/>
      <c r="P111" s="282"/>
      <c r="Q111" s="296"/>
      <c r="R111" s="293" t="s">
        <v>486</v>
      </c>
      <c r="S111" s="294" t="str">
        <f aca="false">IFERROR(IF(C$24*C$25*C$26*C23&gt;0,STDEV(C$24:C$26, C23),"")/IF(C$24*C$25*C$26*C23&gt;0,AVERAGE(C$24:C$26, C23),""),"")</f>
        <v/>
      </c>
      <c r="T111" s="294" t="str">
        <f aca="false">IFERROR(IF(D$24*D$25*D$26*D23&gt;0,STDEV(D$24:D$26, D23),"")/IF(D$24*D$25*D$26*D23&gt;0,AVERAGE(D$24:D$26, D23),""),"")</f>
        <v/>
      </c>
      <c r="U111" s="294" t="str">
        <f aca="false">IFERROR(IF(E$24*E$25*E$26*E23&gt;0,STDEV(E$24:E$26, E23),"")/IF(E$24*E$25*E$26*E23&gt;0,AVERAGE(E$24:E$26, E23),""),"")</f>
        <v/>
      </c>
      <c r="V111" s="294" t="str">
        <f aca="false">IFERROR(IF(F$24*F$25*F$26*F23&gt;0,STDEV(F$24:F$26, F23),"")/IF(F$24*F$25*F$26*F23&gt;0,AVERAGE(F$24:F$26, F23),""),"")</f>
        <v/>
      </c>
      <c r="W111" s="294" t="str">
        <f aca="false">IFERROR(IF(G$24*G$25*G$26*G23&gt;0,STDEV(G$24:G$26, G23),"")/IF(G$24*G$25*G$26*G23&gt;0,AVERAGE(G$24:G$26, G23),""),"")</f>
        <v/>
      </c>
      <c r="X111" s="294" t="str">
        <f aca="false">IFERROR(IF(H$24*H$25*H$26*H23&gt;0,STDEV(H$24:H$26, H23),"")/IF(H$24*H$25*H$26*H23&gt;0,AVERAGE(H$24:H$26, H23),""),"")</f>
        <v/>
      </c>
      <c r="Y111" s="294" t="str">
        <f aca="false">IFERROR(IF(I$24*I$25*I$26*I23&gt;0,STDEV(I$24:I$26, I23),"")/IF(I$24*I$25*I$26*I23&gt;0,AVERAGE(I$24:I$26, I23),""),"")</f>
        <v/>
      </c>
      <c r="Z111" s="294" t="str">
        <f aca="false">IFERROR(IF(J$24*J$25*J$26*J23&gt;0,STDEV(J$24:J$26, J23),"")/IF(J$24*J$25*J$26*J23&gt;0,AVERAGE(J$24:J$26, J23),""),"")</f>
        <v/>
      </c>
      <c r="AA111" s="294" t="str">
        <f aca="false">IFERROR(IF(K$24*K$25*K$26*K23&gt;0,STDEV(K$24:K$26, K23),"")/IF(K$24*K$25*K$26*K23&gt;0,AVERAGE(K$24:K$26, K23),""),"")</f>
        <v/>
      </c>
      <c r="AB111" s="294" t="str">
        <f aca="false">IFERROR(IF(L$24*L$25*L$26*L23&gt;0,STDEV(L$24:L$26, L23),"")/IF(L$24*L$25*L$26*L23&gt;0,AVERAGE(L$24:L$26, L23),""),"")</f>
        <v/>
      </c>
      <c r="AC111" s="294" t="str">
        <f aca="false">IFERROR(IF(M$24*M$25*M$26*M23&gt;0,STDEV(M$24:M$26, M23),"")/IF(M$24*M$25*M$26*M23&gt;0,AVERAGE(M$24:M$26, M23),""),"")</f>
        <v/>
      </c>
      <c r="AD111" s="294" t="str">
        <f aca="false">IFERROR(IF(N$24*N$25*N$26*N23&gt;0,STDEV(N$24:N$26, N23),"")/IF(N$24*N$25*N$26*N23&gt;0,AVERAGE(N$24:N$26, N23),""),"")</f>
        <v/>
      </c>
      <c r="AE111" s="44"/>
      <c r="AF111" s="266" t="s">
        <v>487</v>
      </c>
      <c r="AG111" s="287" t="str">
        <f aca="false">IFERROR(IF(C$24*C$25*C$26*C23&gt;0,STDEV(C$24:C$26, C23)," ")/IF(C$24*C$25*C$26*C23&gt;0,SQRT(COUNT(C$24:C$26, C23))," "),"")</f>
        <v/>
      </c>
      <c r="AH111" s="287" t="str">
        <f aca="false">IFERROR(IF(D$24*D$25*D$26*D23&gt;0,STDEV(D$24:D$26, D23)," ")/IF(D$24*D$25*D$26*D23&gt;0,SQRT(COUNT(D$24:D$26, D23))," "),"")</f>
        <v/>
      </c>
      <c r="AI111" s="287" t="str">
        <f aca="false">IFERROR(IF(E$24*E$25*E$26*E23&gt;0,STDEV(E$24:E$26, E23)," ")/IF(E$24*E$25*E$26*E23&gt;0,SQRT(COUNT(E$24:E$26, E23))," "),"")</f>
        <v/>
      </c>
      <c r="AJ111" s="287" t="str">
        <f aca="false">IFERROR(IF(F$24*F$25*F$26*F23&gt;0,STDEV(F$24:F$26, F23)," ")/IF(F$24*F$25*F$26*F23&gt;0,SQRT(COUNT(F$24:F$26, F23))," "),"")</f>
        <v/>
      </c>
      <c r="AK111" s="287" t="str">
        <f aca="false">IFERROR(IF(G$24*G$25*G$26*G23&gt;0,STDEV(G$24:G$26, G23)," ")/IF(G$24*G$25*G$26*G23&gt;0,SQRT(COUNT(G$24:G$26, G23))," "),"")</f>
        <v/>
      </c>
      <c r="AL111" s="287" t="str">
        <f aca="false">IFERROR(IF(H$24*H$25*H$26*H23&gt;0,STDEV(H$24:H$26, H23)," ")/IF(H$24*H$25*H$26*H23&gt;0,SQRT(COUNT(H$24:H$26, H23))," "),"")</f>
        <v/>
      </c>
      <c r="AM111" s="287" t="str">
        <f aca="false">IFERROR(IF(I$24*I$25*I$26*I23&gt;0,STDEV(I$24:I$26, I23)," ")/IF(I$24*I$25*I$26*I23&gt;0,SQRT(COUNT(I$24:I$26, I23))," "),"")</f>
        <v/>
      </c>
      <c r="AN111" s="287" t="str">
        <f aca="false">IFERROR(IF(J$24*J$25*J$26*J23&gt;0,STDEV(J$24:J$26, J23)," ")/IF(J$24*J$25*J$26*J23&gt;0,SQRT(COUNT(J$24:J$26, J23))," "),"")</f>
        <v/>
      </c>
      <c r="AO111" s="287" t="str">
        <f aca="false">IFERROR(IF(K$24*K$25*K$26*K23&gt;0,STDEV(K$24:K$26, K23)," ")/IF(K$24*K$25*K$26*K23&gt;0,SQRT(COUNT(K$24:K$26, K23))," "),"")</f>
        <v/>
      </c>
      <c r="AP111" s="287" t="str">
        <f aca="false">IFERROR(IF(L$24*L$25*L$26*L23&gt;0,STDEV(L$24:L$26, L23)," ")/IF(L$24*L$25*L$26*L23&gt;0,SQRT(COUNT(L$24:L$26, L23))," "),"")</f>
        <v/>
      </c>
      <c r="AQ111" s="287" t="str">
        <f aca="false">IFERROR(IF(M$24*M$25*M$26*M23&gt;0,STDEV(M$24:M$26, M23)," ")/IF(M$24*M$25*M$26*M23&gt;0,SQRT(COUNT(M$24:M$26, M23))," "),"")</f>
        <v/>
      </c>
      <c r="AR111" s="287" t="str">
        <f aca="false">IFERROR(IF(N$24*N$25*N$26*N23&gt;0,STDEV(N$24:N$26, N23)," ")/IF(N$24*N$25*N$26*N23&gt;0,SQRT(COUNT(N$24:N$26, N23))," "),"")</f>
        <v/>
      </c>
    </row>
    <row r="112" customFormat="false" ht="15.75" hidden="false" customHeight="false" outlineLevel="0" collapsed="false">
      <c r="A112" s="290" t="s">
        <v>488</v>
      </c>
      <c r="B112" s="281"/>
      <c r="C112" s="302" t="str">
        <f aca="false">IFERROR(IF(C$24*C$25*C$26*C27&gt;0,AVERAGE(C$24:C$26, C27),""),"")</f>
        <v/>
      </c>
      <c r="D112" s="302" t="str">
        <f aca="false">IFERROR(IF(D$24*D$25*D$26*D27&gt;0,AVERAGE(D$24:D$26, D27),""),"")</f>
        <v/>
      </c>
      <c r="E112" s="302" t="str">
        <f aca="false">IFERROR(IF(E$24*E$25*E$26*E27&gt;0,AVERAGE(E$24:E$26, E27),""),"")</f>
        <v/>
      </c>
      <c r="F112" s="302" t="str">
        <f aca="false">IFERROR(IF(F$24*F$25*F$26*F27&gt;0,AVERAGE(F$24:F$26, F27),""),"")</f>
        <v/>
      </c>
      <c r="G112" s="302" t="str">
        <f aca="false">IFERROR(IF(G$24*G$25*G$26*G27&gt;0,AVERAGE(G$24:G$26, G27),""),"")</f>
        <v/>
      </c>
      <c r="H112" s="302" t="str">
        <f aca="false">IFERROR(IF(H$24*H$25*H$26*H27&gt;0,AVERAGE(H$24:H$26, H27),""),"")</f>
        <v/>
      </c>
      <c r="I112" s="302" t="str">
        <f aca="false">IFERROR(IF(I$24*I$25*I$26*I27&gt;0,AVERAGE(I$24:I$26, I27),""),"")</f>
        <v/>
      </c>
      <c r="J112" s="302" t="str">
        <f aca="false">IFERROR(IF(J$24*J$25*J$26*J27&gt;0,AVERAGE(J$24:J$26, J27),""),"")</f>
        <v/>
      </c>
      <c r="K112" s="302" t="str">
        <f aca="false">IFERROR(IF(K$24*K$25*K$26*K27&gt;0,AVERAGE(K$24:K$26, K27),""),"")</f>
        <v/>
      </c>
      <c r="L112" s="302" t="str">
        <f aca="false">IFERROR(IF(L$24*L$25*L$26*L27&gt;0,AVERAGE(L$24:L$26, L27),""),"")</f>
        <v/>
      </c>
      <c r="M112" s="302" t="str">
        <f aca="false">IFERROR(IF(M$24*M$25*M$26*M27&gt;0,AVERAGE(M$24:M$26, M27),""),"")</f>
        <v/>
      </c>
      <c r="N112" s="302" t="str">
        <f aca="false">IFERROR(IF(N$24*N$25*N$26*N27&gt;0,AVERAGE(N$24:N$26, N27),""),"")</f>
        <v/>
      </c>
      <c r="O112" s="282"/>
      <c r="P112" s="282"/>
      <c r="Q112" s="296"/>
      <c r="R112" s="293" t="s">
        <v>489</v>
      </c>
      <c r="S112" s="294" t="str">
        <f aca="false">IFERROR(IF(C$24*C$25*C$26*C27&gt;0,STDEV(C$24:C$26, C27),"")/IF(C$24*C$25*C$26*C27&gt;0,AVERAGE(C$24:C$26, C27),""),"")</f>
        <v/>
      </c>
      <c r="T112" s="294" t="str">
        <f aca="false">IFERROR(IF(D$24*D$25*D$26*D27&gt;0,STDEV(D$24:D$26, D27),"")/IF(D$24*D$25*D$26*D27&gt;0,AVERAGE(D$24:D$26, D27),""),"")</f>
        <v/>
      </c>
      <c r="U112" s="294" t="str">
        <f aca="false">IFERROR(IF(E$24*E$25*E$26*E27&gt;0,STDEV(E$24:E$26, E27),"")/IF(E$24*E$25*E$26*E27&gt;0,AVERAGE(E$24:E$26, E27),""),"")</f>
        <v/>
      </c>
      <c r="V112" s="294" t="str">
        <f aca="false">IFERROR(IF(F$24*F$25*F$26*F27&gt;0,STDEV(F$24:F$26, F27),"")/IF(F$24*F$25*F$26*F27&gt;0,AVERAGE(F$24:F$26, F27),""),"")</f>
        <v/>
      </c>
      <c r="W112" s="294" t="str">
        <f aca="false">IFERROR(IF(G$24*G$25*G$26*G27&gt;0,STDEV(G$24:G$26, G27),"")/IF(G$24*G$25*G$26*G27&gt;0,AVERAGE(G$24:G$26, G27),""),"")</f>
        <v/>
      </c>
      <c r="X112" s="294" t="str">
        <f aca="false">IFERROR(IF(H$24*H$25*H$26*H27&gt;0,STDEV(H$24:H$26, H27),"")/IF(H$24*H$25*H$26*H27&gt;0,AVERAGE(H$24:H$26, H27),""),"")</f>
        <v/>
      </c>
      <c r="Y112" s="294" t="str">
        <f aca="false">IFERROR(IF(I$24*I$25*I$26*I27&gt;0,STDEV(I$24:I$26, I27),"")/IF(I$24*I$25*I$26*I27&gt;0,AVERAGE(I$24:I$26, I27),""),"")</f>
        <v/>
      </c>
      <c r="Z112" s="294" t="str">
        <f aca="false">IFERROR(IF(J$24*J$25*J$26*J27&gt;0,STDEV(J$24:J$26, J27),"")/IF(J$24*J$25*J$26*J27&gt;0,AVERAGE(J$24:J$26, J27),""),"")</f>
        <v/>
      </c>
      <c r="AA112" s="294" t="str">
        <f aca="false">IFERROR(IF(K$24*K$25*K$26*K27&gt;0,STDEV(K$24:K$26, K27),"")/IF(K$24*K$25*K$26*K27&gt;0,AVERAGE(K$24:K$26, K27),""),"")</f>
        <v/>
      </c>
      <c r="AB112" s="294" t="str">
        <f aca="false">IFERROR(IF(L$24*L$25*L$26*L27&gt;0,STDEV(L$24:L$26, L27),"")/IF(L$24*L$25*L$26*L27&gt;0,AVERAGE(L$24:L$26, L27),""),"")</f>
        <v/>
      </c>
      <c r="AC112" s="294" t="str">
        <f aca="false">IFERROR(IF(M$24*M$25*M$26*M27&gt;0,STDEV(M$24:M$26, M27),"")/IF(M$24*M$25*M$26*M27&gt;0,AVERAGE(M$24:M$26, M27),""),"")</f>
        <v/>
      </c>
      <c r="AD112" s="294" t="str">
        <f aca="false">IFERROR(IF(N$24*N$25*N$26*N27&gt;0,STDEV(N$24:N$26, N27),"")/IF(N$24*N$25*N$26*N27&gt;0,AVERAGE(N$24:N$26, N27),""),"")</f>
        <v/>
      </c>
      <c r="AE112" s="44"/>
      <c r="AF112" s="266" t="s">
        <v>490</v>
      </c>
      <c r="AG112" s="287" t="str">
        <f aca="false">IFERROR(IF(C$24*C$25*C$26*C27&gt;0,STDEV(C$24:C$26, C27)," ")/IF(C$24*C$25*C$26*C27&gt;0,SQRT(COUNT(C$24:C$26, C27))," "),"")</f>
        <v/>
      </c>
      <c r="AH112" s="287" t="str">
        <f aca="false">IFERROR(IF(D$24*D$25*D$26*D27&gt;0,STDEV(D$24:D$26, D27)," ")/IF(D$24*D$25*D$26*D27&gt;0,SQRT(COUNT(D$24:D$26, D27))," "),"")</f>
        <v/>
      </c>
      <c r="AI112" s="287" t="str">
        <f aca="false">IFERROR(IF(E$24*E$25*E$26*E27&gt;0,STDEV(E$24:E$26, E27)," ")/IF(E$24*E$25*E$26*E27&gt;0,SQRT(COUNT(E$24:E$26, E27))," "),"")</f>
        <v/>
      </c>
      <c r="AJ112" s="287" t="str">
        <f aca="false">IFERROR(IF(F$24*F$25*F$26*F27&gt;0,STDEV(F$24:F$26, F27)," ")/IF(F$24*F$25*F$26*F27&gt;0,SQRT(COUNT(F$24:F$26, F27))," "),"")</f>
        <v/>
      </c>
      <c r="AK112" s="287" t="str">
        <f aca="false">IFERROR(IF(G$24*G$25*G$26*G27&gt;0,STDEV(G$24:G$26, G27)," ")/IF(G$24*G$25*G$26*G27&gt;0,SQRT(COUNT(G$24:G$26, G27))," "),"")</f>
        <v/>
      </c>
      <c r="AL112" s="287" t="str">
        <f aca="false">IFERROR(IF(H$24*H$25*H$26*H27&gt;0,STDEV(H$24:H$26, H27)," ")/IF(H$24*H$25*H$26*H27&gt;0,SQRT(COUNT(H$24:H$26, H27))," "),"")</f>
        <v/>
      </c>
      <c r="AM112" s="287" t="str">
        <f aca="false">IFERROR(IF(I$24*I$25*I$26*I27&gt;0,STDEV(I$24:I$26, I27)," ")/IF(I$24*I$25*I$26*I27&gt;0,SQRT(COUNT(I$24:I$26, I27))," "),"")</f>
        <v/>
      </c>
      <c r="AN112" s="287" t="str">
        <f aca="false">IFERROR(IF(J$24*J$25*J$26*J27&gt;0,STDEV(J$24:J$26, J27)," ")/IF(J$24*J$25*J$26*J27&gt;0,SQRT(COUNT(J$24:J$26, J27))," "),"")</f>
        <v/>
      </c>
      <c r="AO112" s="287" t="str">
        <f aca="false">IFERROR(IF(K$24*K$25*K$26*K27&gt;0,STDEV(K$24:K$26, K27)," ")/IF(K$24*K$25*K$26*K27&gt;0,SQRT(COUNT(K$24:K$26, K27))," "),"")</f>
        <v/>
      </c>
      <c r="AP112" s="287" t="str">
        <f aca="false">IFERROR(IF(L$24*L$25*L$26*L27&gt;0,STDEV(L$24:L$26, L27)," ")/IF(L$24*L$25*L$26*L27&gt;0,SQRT(COUNT(L$24:L$26, L27))," "),"")</f>
        <v/>
      </c>
      <c r="AQ112" s="287" t="str">
        <f aca="false">IFERROR(IF(M$24*M$25*M$26*M27&gt;0,STDEV(M$24:M$26, M27)," ")/IF(M$24*M$25*M$26*M27&gt;0,SQRT(COUNT(M$24:M$26, M27))," "),"")</f>
        <v/>
      </c>
      <c r="AR112" s="287" t="str">
        <f aca="false">IFERROR(IF(N$24*N$25*N$26*N27&gt;0,STDEV(N$24:N$26, N27)," ")/IF(N$24*N$25*N$26*N27&gt;0,SQRT(COUNT(N$24:N$26, N27))," "),"")</f>
        <v/>
      </c>
    </row>
    <row r="113" customFormat="false" ht="15.75" hidden="false" customHeight="false" outlineLevel="0" collapsed="false">
      <c r="A113" s="290" t="s">
        <v>491</v>
      </c>
      <c r="B113" s="281"/>
      <c r="C113" s="302" t="str">
        <f aca="false">IFERROR(IF(C$25*C$26*C$27*C21&gt;0,AVERAGE(C$25:C$27, C21),""),"")</f>
        <v/>
      </c>
      <c r="D113" s="302" t="str">
        <f aca="false">IFERROR(IF(D$25*D$26*D$27*D21&gt;0,AVERAGE(D$25:D$27, D21),""),"")</f>
        <v/>
      </c>
      <c r="E113" s="302" t="str">
        <f aca="false">IFERROR(IF(E$25*E$26*E$27*E21&gt;0,AVERAGE(E$25:E$27, E21),""),"")</f>
        <v/>
      </c>
      <c r="F113" s="302" t="str">
        <f aca="false">IFERROR(IF(F$25*F$26*F$27*F21&gt;0,AVERAGE(F$25:F$27, F21),""),"")</f>
        <v/>
      </c>
      <c r="G113" s="302" t="str">
        <f aca="false">IFERROR(IF(G$25*G$26*G$27*G21&gt;0,AVERAGE(G$25:G$27, G21),""),"")</f>
        <v/>
      </c>
      <c r="H113" s="302" t="str">
        <f aca="false">IFERROR(IF(H$25*H$26*H$27*H21&gt;0,AVERAGE(H$25:H$27, H21),""),"")</f>
        <v/>
      </c>
      <c r="I113" s="302" t="str">
        <f aca="false">IFERROR(IF(I$25*I$26*I$27*I21&gt;0,AVERAGE(I$25:I$27, I21),""),"")</f>
        <v/>
      </c>
      <c r="J113" s="302" t="str">
        <f aca="false">IFERROR(IF(J$25*J$26*J$27*J21&gt;0,AVERAGE(J$25:J$27, J21),""),"")</f>
        <v/>
      </c>
      <c r="K113" s="302" t="str">
        <f aca="false">IFERROR(IF(K$25*K$26*K$27*K21&gt;0,AVERAGE(K$25:K$27, K21),""),"")</f>
        <v/>
      </c>
      <c r="L113" s="302" t="str">
        <f aca="false">IFERROR(IF(L$25*L$26*L$27*L21&gt;0,AVERAGE(L$25:L$27, L21),""),"")</f>
        <v/>
      </c>
      <c r="M113" s="302" t="str">
        <f aca="false">IFERROR(IF(M$25*M$26*M$27*M21&gt;0,AVERAGE(M$25:M$27, M21),""),"")</f>
        <v/>
      </c>
      <c r="N113" s="302" t="str">
        <f aca="false">IFERROR(IF(N$25*N$26*N$27*N21&gt;0,AVERAGE(N$25:N$27, N21),""),"")</f>
        <v/>
      </c>
      <c r="O113" s="282"/>
      <c r="P113" s="282"/>
      <c r="Q113" s="296"/>
      <c r="R113" s="293" t="s">
        <v>492</v>
      </c>
      <c r="S113" s="294" t="str">
        <f aca="false">IFERROR(IF(C$25*C$26*C$27*C21&gt;0,STDEV(C$25:C$27, C21),"")/IF(C$25*C$26*C$27*C21&gt;0,AVERAGE(C$25:C$27, C21),""),"")</f>
        <v/>
      </c>
      <c r="T113" s="294" t="str">
        <f aca="false">IFERROR(IF(D$25*D$26*D$27*D21&gt;0,STDEV(D$25:D$27, D21),"")/IF(D$25*D$26*D$27*D21&gt;0,AVERAGE(D$25:D$27, D21),""),"")</f>
        <v/>
      </c>
      <c r="U113" s="294" t="str">
        <f aca="false">IFERROR(IF(E$25*E$26*E$27*E21&gt;0,STDEV(E$25:E$27, E21),"")/IF(E$25*E$26*E$27*E21&gt;0,AVERAGE(E$25:E$27, E21),""),"")</f>
        <v/>
      </c>
      <c r="V113" s="294" t="str">
        <f aca="false">IFERROR(IF(F$25*F$26*F$27*F21&gt;0,STDEV(F$25:F$27, F21),"")/IF(F$25*F$26*F$27*F21&gt;0,AVERAGE(F$25:F$27, F21),""),"")</f>
        <v/>
      </c>
      <c r="W113" s="294" t="str">
        <f aca="false">IFERROR(IF(G$25*G$26*G$27*G21&gt;0,STDEV(G$25:G$27, G21),"")/IF(G$25*G$26*G$27*G21&gt;0,AVERAGE(G$25:G$27, G21),""),"")</f>
        <v/>
      </c>
      <c r="X113" s="294" t="str">
        <f aca="false">IFERROR(IF(H$25*H$26*H$27*H21&gt;0,STDEV(H$25:H$27, H21),"")/IF(H$25*H$26*H$27*H21&gt;0,AVERAGE(H$25:H$27, H21),""),"")</f>
        <v/>
      </c>
      <c r="Y113" s="294" t="str">
        <f aca="false">IFERROR(IF(I$25*I$26*I$27*I21&gt;0,STDEV(I$25:I$27, I21),"")/IF(I$25*I$26*I$27*I21&gt;0,AVERAGE(I$25:I$27, I21),""),"")</f>
        <v/>
      </c>
      <c r="Z113" s="294" t="str">
        <f aca="false">IFERROR(IF(J$25*J$26*J$27*J21&gt;0,STDEV(J$25:J$27, J21),"")/IF(J$25*J$26*J$27*J21&gt;0,AVERAGE(J$25:J$27, J21),""),"")</f>
        <v/>
      </c>
      <c r="AA113" s="294" t="str">
        <f aca="false">IFERROR(IF(K$25*K$26*K$27*K21&gt;0,STDEV(K$25:K$27, K21),"")/IF(K$25*K$26*K$27*K21&gt;0,AVERAGE(K$25:K$27, K21),""),"")</f>
        <v/>
      </c>
      <c r="AB113" s="294" t="str">
        <f aca="false">IFERROR(IF(L$25*L$26*L$27*L21&gt;0,STDEV(L$25:L$27, L21),"")/IF(L$25*L$26*L$27*L21&gt;0,AVERAGE(L$25:L$27, L21),""),"")</f>
        <v/>
      </c>
      <c r="AC113" s="294" t="str">
        <f aca="false">IFERROR(IF(M$25*M$26*M$27*M21&gt;0,STDEV(M$25:M$27, M21),"")/IF(M$25*M$26*M$27*M21&gt;0,AVERAGE(M$25:M$27, M21),""),"")</f>
        <v/>
      </c>
      <c r="AD113" s="294" t="str">
        <f aca="false">IFERROR(IF(N$25*N$26*N$27*N21&gt;0,STDEV(N$25:N$27, N21),"")/IF(N$25*N$26*N$27*N21&gt;0,AVERAGE(N$25:N$27, N21),""),"")</f>
        <v/>
      </c>
      <c r="AE113" s="44"/>
      <c r="AF113" s="266" t="s">
        <v>493</v>
      </c>
      <c r="AG113" s="287" t="str">
        <f aca="false">IFERROR(IF(C$25*C$26*C$27*C21&gt;0,STDEV(C$25:C$27, C21)," ")/IF(C$25*C$26*C$27*C21&gt;0,SQRT(COUNT(C$25:C$27, C21))," "),"")</f>
        <v/>
      </c>
      <c r="AH113" s="287" t="str">
        <f aca="false">IFERROR(IF(D$25*D$26*D$27*D21&gt;0,STDEV(D$25:D$27, D21)," ")/IF(D$25*D$26*D$27*D21&gt;0,SQRT(COUNT(D$25:D$27, D21))," "),"")</f>
        <v/>
      </c>
      <c r="AI113" s="287" t="str">
        <f aca="false">IFERROR(IF(E$25*E$26*E$27*E21&gt;0,STDEV(E$25:E$27, E21)," ")/IF(E$25*E$26*E$27*E21&gt;0,SQRT(COUNT(E$25:E$27, E21))," "),"")</f>
        <v/>
      </c>
      <c r="AJ113" s="287" t="str">
        <f aca="false">IFERROR(IF(F$25*F$26*F$27*F21&gt;0,STDEV(F$25:F$27, F21)," ")/IF(F$25*F$26*F$27*F21&gt;0,SQRT(COUNT(F$25:F$27, F21))," "),"")</f>
        <v/>
      </c>
      <c r="AK113" s="287" t="str">
        <f aca="false">IFERROR(IF(G$25*G$26*G$27*G21&gt;0,STDEV(G$25:G$27, G21)," ")/IF(G$25*G$26*G$27*G21&gt;0,SQRT(COUNT(G$25:G$27, G21))," "),"")</f>
        <v/>
      </c>
      <c r="AL113" s="287" t="str">
        <f aca="false">IFERROR(IF(H$25*H$26*H$27*H21&gt;0,STDEV(H$25:H$27, H21)," ")/IF(H$25*H$26*H$27*H21&gt;0,SQRT(COUNT(H$25:H$27, H21))," "),"")</f>
        <v/>
      </c>
      <c r="AM113" s="287" t="str">
        <f aca="false">IFERROR(IF(I$25*I$26*I$27*I21&gt;0,STDEV(I$25:I$27, I21)," ")/IF(I$25*I$26*I$27*I21&gt;0,SQRT(COUNT(I$25:I$27, I21))," "),"")</f>
        <v/>
      </c>
      <c r="AN113" s="287" t="str">
        <f aca="false">IFERROR(IF(J$25*J$26*J$27*J21&gt;0,STDEV(J$25:J$27, J21)," ")/IF(J$25*J$26*J$27*J21&gt;0,SQRT(COUNT(J$25:J$27, J21))," "),"")</f>
        <v/>
      </c>
      <c r="AO113" s="287" t="str">
        <f aca="false">IFERROR(IF(K$25*K$26*K$27*K21&gt;0,STDEV(K$25:K$27, K21)," ")/IF(K$25*K$26*K$27*K21&gt;0,SQRT(COUNT(K$25:K$27, K21))," "),"")</f>
        <v/>
      </c>
      <c r="AP113" s="287" t="str">
        <f aca="false">IFERROR(IF(L$25*L$26*L$27*L21&gt;0,STDEV(L$25:L$27, L21)," ")/IF(L$25*L$26*L$27*L21&gt;0,SQRT(COUNT(L$25:L$27, L21))," "),"")</f>
        <v/>
      </c>
      <c r="AQ113" s="287" t="str">
        <f aca="false">IFERROR(IF(M$25*M$26*M$27*M21&gt;0,STDEV(M$25:M$27, M21)," ")/IF(M$25*M$26*M$27*M21&gt;0,SQRT(COUNT(M$25:M$27, M21))," "),"")</f>
        <v/>
      </c>
      <c r="AR113" s="287" t="str">
        <f aca="false">IFERROR(IF(N$25*N$26*N$27*N21&gt;0,STDEV(N$25:N$27, N21)," ")/IF(N$25*N$26*N$27*N21&gt;0,SQRT(COUNT(N$25:N$27, N21))," "),"")</f>
        <v/>
      </c>
    </row>
    <row r="114" customFormat="false" ht="15.75" hidden="false" customHeight="false" outlineLevel="0" collapsed="false">
      <c r="A114" s="290" t="s">
        <v>494</v>
      </c>
      <c r="B114" s="281"/>
      <c r="C114" s="302" t="str">
        <f aca="false">IFERROR(IF(C$25*C$26*C$27*C22&gt;0,AVERAGE(C$25:C$27, C22),""),"")</f>
        <v/>
      </c>
      <c r="D114" s="302" t="str">
        <f aca="false">IFERROR(IF(D$25*D$26*D$27*D22&gt;0,AVERAGE(D$25:D$27, D22),""),"")</f>
        <v/>
      </c>
      <c r="E114" s="302" t="str">
        <f aca="false">IFERROR(IF(E$25*E$26*E$27*E22&gt;0,AVERAGE(E$25:E$27, E22),""),"")</f>
        <v/>
      </c>
      <c r="F114" s="302" t="str">
        <f aca="false">IFERROR(IF(F$25*F$26*F$27*F22&gt;0,AVERAGE(F$25:F$27, F22),""),"")</f>
        <v/>
      </c>
      <c r="G114" s="302" t="str">
        <f aca="false">IFERROR(IF(G$25*G$26*G$27*G22&gt;0,AVERAGE(G$25:G$27, G22),""),"")</f>
        <v/>
      </c>
      <c r="H114" s="302" t="str">
        <f aca="false">IFERROR(IF(H$25*H$26*H$27*H22&gt;0,AVERAGE(H$25:H$27, H22),""),"")</f>
        <v/>
      </c>
      <c r="I114" s="302" t="str">
        <f aca="false">IFERROR(IF(I$25*I$26*I$27*I22&gt;0,AVERAGE(I$25:I$27, I22),""),"")</f>
        <v/>
      </c>
      <c r="J114" s="302" t="str">
        <f aca="false">IFERROR(IF(J$25*J$26*J$27*J22&gt;0,AVERAGE(J$25:J$27, J22),""),"")</f>
        <v/>
      </c>
      <c r="K114" s="302" t="str">
        <f aca="false">IFERROR(IF(K$25*K$26*K$27*K22&gt;0,AVERAGE(K$25:K$27, K22),""),"")</f>
        <v/>
      </c>
      <c r="L114" s="302" t="str">
        <f aca="false">IFERROR(IF(L$25*L$26*L$27*L22&gt;0,AVERAGE(L$25:L$27, L22),""),"")</f>
        <v/>
      </c>
      <c r="M114" s="302" t="str">
        <f aca="false">IFERROR(IF(M$25*M$26*M$27*M22&gt;0,AVERAGE(M$25:M$27, M22),""),"")</f>
        <v/>
      </c>
      <c r="N114" s="302" t="str">
        <f aca="false">IFERROR(IF(N$25*N$26*N$27*N22&gt;0,AVERAGE(N$25:N$27, N22),""),"")</f>
        <v/>
      </c>
      <c r="O114" s="282"/>
      <c r="P114" s="282"/>
      <c r="Q114" s="296"/>
      <c r="R114" s="293" t="s">
        <v>495</v>
      </c>
      <c r="S114" s="294" t="str">
        <f aca="false">IFERROR(IF(C$25*C$26*C$27*C22&gt;0,STDEV(C$25:C$27, C22),"")/IF(C$25*C$26*C$27*C22&gt;0,AVERAGE(C$25:C$27, C22),""),"")</f>
        <v/>
      </c>
      <c r="T114" s="294" t="str">
        <f aca="false">IFERROR(IF(D$25*D$26*D$27*D22&gt;0,STDEV(D$25:D$27, D22),"")/IF(D$25*D$26*D$27*D22&gt;0,AVERAGE(D$25:D$27, D22),""),"")</f>
        <v/>
      </c>
      <c r="U114" s="294" t="str">
        <f aca="false">IFERROR(IF(E$25*E$26*E$27*E22&gt;0,STDEV(E$25:E$27, E22),"")/IF(E$25*E$26*E$27*E22&gt;0,AVERAGE(E$25:E$27, E22),""),"")</f>
        <v/>
      </c>
      <c r="V114" s="294" t="str">
        <f aca="false">IFERROR(IF(F$25*F$26*F$27*F22&gt;0,STDEV(F$25:F$27, F22),"")/IF(F$25*F$26*F$27*F22&gt;0,AVERAGE(F$25:F$27, F22),""),"")</f>
        <v/>
      </c>
      <c r="W114" s="294" t="str">
        <f aca="false">IFERROR(IF(G$25*G$26*G$27*G22&gt;0,STDEV(G$25:G$27, G22),"")/IF(G$25*G$26*G$27*G22&gt;0,AVERAGE(G$25:G$27, G22),""),"")</f>
        <v/>
      </c>
      <c r="X114" s="294" t="str">
        <f aca="false">IFERROR(IF(H$25*H$26*H$27*H22&gt;0,STDEV(H$25:H$27, H22),"")/IF(H$25*H$26*H$27*H22&gt;0,AVERAGE(H$25:H$27, H22),""),"")</f>
        <v/>
      </c>
      <c r="Y114" s="294" t="str">
        <f aca="false">IFERROR(IF(I$25*I$26*I$27*I22&gt;0,STDEV(I$25:I$27, I22),"")/IF(I$25*I$26*I$27*I22&gt;0,AVERAGE(I$25:I$27, I22),""),"")</f>
        <v/>
      </c>
      <c r="Z114" s="294" t="str">
        <f aca="false">IFERROR(IF(J$25*J$26*J$27*J22&gt;0,STDEV(J$25:J$27, J22),"")/IF(J$25*J$26*J$27*J22&gt;0,AVERAGE(J$25:J$27, J22),""),"")</f>
        <v/>
      </c>
      <c r="AA114" s="294" t="str">
        <f aca="false">IFERROR(IF(K$25*K$26*K$27*K22&gt;0,STDEV(K$25:K$27, K22),"")/IF(K$25*K$26*K$27*K22&gt;0,AVERAGE(K$25:K$27, K22),""),"")</f>
        <v/>
      </c>
      <c r="AB114" s="294" t="str">
        <f aca="false">IFERROR(IF(L$25*L$26*L$27*L22&gt;0,STDEV(L$25:L$27, L22),"")/IF(L$25*L$26*L$27*L22&gt;0,AVERAGE(L$25:L$27, L22),""),"")</f>
        <v/>
      </c>
      <c r="AC114" s="294" t="str">
        <f aca="false">IFERROR(IF(M$25*M$26*M$27*M22&gt;0,STDEV(M$25:M$27, M22),"")/IF(M$25*M$26*M$27*M22&gt;0,AVERAGE(M$25:M$27, M22),""),"")</f>
        <v/>
      </c>
      <c r="AD114" s="294" t="str">
        <f aca="false">IFERROR(IF(N$25*N$26*N$27*N22&gt;0,STDEV(N$25:N$27, N22),"")/IF(N$25*N$26*N$27*N22&gt;0,AVERAGE(N$25:N$27, N22),""),"")</f>
        <v/>
      </c>
      <c r="AE114" s="44"/>
      <c r="AF114" s="266" t="s">
        <v>496</v>
      </c>
      <c r="AG114" s="287" t="str">
        <f aca="false">IFERROR(IF(C$25*C$26*C$27*C22&gt;0,STDEV(C$25:C$27, C22)," ")/IF(C$25*C$26*C$27*C22&gt;0,SQRT(COUNT(C$25:C$27, C22))," "),"")</f>
        <v/>
      </c>
      <c r="AH114" s="287" t="str">
        <f aca="false">IFERROR(IF(D$25*D$26*D$27*D22&gt;0,STDEV(D$25:D$27, D22)," ")/IF(D$25*D$26*D$27*D22&gt;0,SQRT(COUNT(D$25:D$27, D22))," "),"")</f>
        <v/>
      </c>
      <c r="AI114" s="287" t="str">
        <f aca="false">IFERROR(IF(E$25*E$26*E$27*E22&gt;0,STDEV(E$25:E$27, E22)," ")/IF(E$25*E$26*E$27*E22&gt;0,SQRT(COUNT(E$25:E$27, E22))," "),"")</f>
        <v/>
      </c>
      <c r="AJ114" s="287" t="str">
        <f aca="false">IFERROR(IF(F$25*F$26*F$27*F22&gt;0,STDEV(F$25:F$27, F22)," ")/IF(F$25*F$26*F$27*F22&gt;0,SQRT(COUNT(F$25:F$27, F22))," "),"")</f>
        <v/>
      </c>
      <c r="AK114" s="287" t="str">
        <f aca="false">IFERROR(IF(G$25*G$26*G$27*G22&gt;0,STDEV(G$25:G$27, G22)," ")/IF(G$25*G$26*G$27*G22&gt;0,SQRT(COUNT(G$25:G$27, G22))," "),"")</f>
        <v/>
      </c>
      <c r="AL114" s="287" t="str">
        <f aca="false">IFERROR(IF(H$25*H$26*H$27*H22&gt;0,STDEV(H$25:H$27, H22)," ")/IF(H$25*H$26*H$27*H22&gt;0,SQRT(COUNT(H$25:H$27, H22))," "),"")</f>
        <v/>
      </c>
      <c r="AM114" s="287" t="str">
        <f aca="false">IFERROR(IF(I$25*I$26*I$27*I22&gt;0,STDEV(I$25:I$27, I22)," ")/IF(I$25*I$26*I$27*I22&gt;0,SQRT(COUNT(I$25:I$27, I22))," "),"")</f>
        <v/>
      </c>
      <c r="AN114" s="287" t="str">
        <f aca="false">IFERROR(IF(J$25*J$26*J$27*J22&gt;0,STDEV(J$25:J$27, J22)," ")/IF(J$25*J$26*J$27*J22&gt;0,SQRT(COUNT(J$25:J$27, J22))," "),"")</f>
        <v/>
      </c>
      <c r="AO114" s="287" t="str">
        <f aca="false">IFERROR(IF(K$25*K$26*K$27*K22&gt;0,STDEV(K$25:K$27, K22)," ")/IF(K$25*K$26*K$27*K22&gt;0,SQRT(COUNT(K$25:K$27, K22))," "),"")</f>
        <v/>
      </c>
      <c r="AP114" s="287" t="str">
        <f aca="false">IFERROR(IF(L$25*L$26*L$27*L22&gt;0,STDEV(L$25:L$27, L22)," ")/IF(L$25*L$26*L$27*L22&gt;0,SQRT(COUNT(L$25:L$27, L22))," "),"")</f>
        <v/>
      </c>
      <c r="AQ114" s="287" t="str">
        <f aca="false">IFERROR(IF(M$25*M$26*M$27*M22&gt;0,STDEV(M$25:M$27, M22)," ")/IF(M$25*M$26*M$27*M22&gt;0,SQRT(COUNT(M$25:M$27, M22))," "),"")</f>
        <v/>
      </c>
      <c r="AR114" s="287" t="str">
        <f aca="false">IFERROR(IF(N$25*N$26*N$27*N22&gt;0,STDEV(N$25:N$27, N22)," ")/IF(N$25*N$26*N$27*N22&gt;0,SQRT(COUNT(N$25:N$27, N22))," "),"")</f>
        <v/>
      </c>
    </row>
    <row r="115" customFormat="false" ht="15.75" hidden="false" customHeight="false" outlineLevel="0" collapsed="false">
      <c r="A115" s="290" t="s">
        <v>497</v>
      </c>
      <c r="B115" s="281"/>
      <c r="C115" s="302" t="str">
        <f aca="false">IFERROR(IF(C$25*C$26*C$27*C23&gt;0,AVERAGE(C$25:C$27, C23),""),"")</f>
        <v/>
      </c>
      <c r="D115" s="302" t="str">
        <f aca="false">IFERROR(IF(D$25*D$26*D$27*D23&gt;0,AVERAGE(D$25:D$27, D23),""),"")</f>
        <v/>
      </c>
      <c r="E115" s="302" t="str">
        <f aca="false">IFERROR(IF(E$25*E$26*E$27*E23&gt;0,AVERAGE(E$25:E$27, E23),""),"")</f>
        <v/>
      </c>
      <c r="F115" s="302" t="str">
        <f aca="false">IFERROR(IF(F$25*F$26*F$27*F23&gt;0,AVERAGE(F$25:F$27, F23),""),"")</f>
        <v/>
      </c>
      <c r="G115" s="302" t="str">
        <f aca="false">IFERROR(IF(G$25*G$26*G$27*G23&gt;0,AVERAGE(G$25:G$27, G23),""),"")</f>
        <v/>
      </c>
      <c r="H115" s="302" t="str">
        <f aca="false">IFERROR(IF(H$25*H$26*H$27*H23&gt;0,AVERAGE(H$25:H$27, H23),""),"")</f>
        <v/>
      </c>
      <c r="I115" s="302" t="str">
        <f aca="false">IFERROR(IF(I$25*I$26*I$27*I23&gt;0,AVERAGE(I$25:I$27, I23),""),"")</f>
        <v/>
      </c>
      <c r="J115" s="302" t="str">
        <f aca="false">IFERROR(IF(J$25*J$26*J$27*J23&gt;0,AVERAGE(J$25:J$27, J23),""),"")</f>
        <v/>
      </c>
      <c r="K115" s="302" t="str">
        <f aca="false">IFERROR(IF(K$25*K$26*K$27*K23&gt;0,AVERAGE(K$25:K$27, K23),""),"")</f>
        <v/>
      </c>
      <c r="L115" s="302" t="str">
        <f aca="false">IFERROR(IF(L$25*L$26*L$27*L23&gt;0,AVERAGE(L$25:L$27, L23),""),"")</f>
        <v/>
      </c>
      <c r="M115" s="302" t="str">
        <f aca="false">IFERROR(IF(M$25*M$26*M$27*M23&gt;0,AVERAGE(M$25:M$27, M23),""),"")</f>
        <v/>
      </c>
      <c r="N115" s="302" t="str">
        <f aca="false">IFERROR(IF(N$25*N$26*N$27*N23&gt;0,AVERAGE(N$25:N$27, N23),""),"")</f>
        <v/>
      </c>
      <c r="O115" s="282"/>
      <c r="P115" s="282"/>
      <c r="Q115" s="296"/>
      <c r="R115" s="293" t="s">
        <v>498</v>
      </c>
      <c r="S115" s="294" t="str">
        <f aca="false">IFERROR(IF(C$25*C$26*C$27*C23&gt;0,STDEV(C$25:C$27, C23),"")/IF(C$25*C$26*C$27*C23&gt;0,AVERAGE(C$25:C$27, C23),""),"")</f>
        <v/>
      </c>
      <c r="T115" s="294" t="str">
        <f aca="false">IFERROR(IF(D$25*D$26*D$27*D23&gt;0,STDEV(D$25:D$27, D23),"")/IF(D$25*D$26*D$27*D23&gt;0,AVERAGE(D$25:D$27, D23),""),"")</f>
        <v/>
      </c>
      <c r="U115" s="294" t="str">
        <f aca="false">IFERROR(IF(E$25*E$26*E$27*E23&gt;0,STDEV(E$25:E$27, E23),"")/IF(E$25*E$26*E$27*E23&gt;0,AVERAGE(E$25:E$27, E23),""),"")</f>
        <v/>
      </c>
      <c r="V115" s="294" t="str">
        <f aca="false">IFERROR(IF(F$25*F$26*F$27*F23&gt;0,STDEV(F$25:F$27, F23),"")/IF(F$25*F$26*F$27*F23&gt;0,AVERAGE(F$25:F$27, F23),""),"")</f>
        <v/>
      </c>
      <c r="W115" s="294" t="str">
        <f aca="false">IFERROR(IF(G$25*G$26*G$27*G23&gt;0,STDEV(G$25:G$27, G23),"")/IF(G$25*G$26*G$27*G23&gt;0,AVERAGE(G$25:G$27, G23),""),"")</f>
        <v/>
      </c>
      <c r="X115" s="294" t="str">
        <f aca="false">IFERROR(IF(H$25*H$26*H$27*H23&gt;0,STDEV(H$25:H$27, H23),"")/IF(H$25*H$26*H$27*H23&gt;0,AVERAGE(H$25:H$27, H23),""),"")</f>
        <v/>
      </c>
      <c r="Y115" s="294" t="str">
        <f aca="false">IFERROR(IF(I$25*I$26*I$27*I23&gt;0,STDEV(I$25:I$27, I23),"")/IF(I$25*I$26*I$27*I23&gt;0,AVERAGE(I$25:I$27, I23),""),"")</f>
        <v/>
      </c>
      <c r="Z115" s="294" t="str">
        <f aca="false">IFERROR(IF(J$25*J$26*J$27*J23&gt;0,STDEV(J$25:J$27, J23),"")/IF(J$25*J$26*J$27*J23&gt;0,AVERAGE(J$25:J$27, J23),""),"")</f>
        <v/>
      </c>
      <c r="AA115" s="294" t="str">
        <f aca="false">IFERROR(IF(K$25*K$26*K$27*K23&gt;0,STDEV(K$25:K$27, K23),"")/IF(K$25*K$26*K$27*K23&gt;0,AVERAGE(K$25:K$27, K23),""),"")</f>
        <v/>
      </c>
      <c r="AB115" s="294" t="str">
        <f aca="false">IFERROR(IF(L$25*L$26*L$27*L23&gt;0,STDEV(L$25:L$27, L23),"")/IF(L$25*L$26*L$27*L23&gt;0,AVERAGE(L$25:L$27, L23),""),"")</f>
        <v/>
      </c>
      <c r="AC115" s="294" t="str">
        <f aca="false">IFERROR(IF(M$25*M$26*M$27*M23&gt;0,STDEV(M$25:M$27, M23),"")/IF(M$25*M$26*M$27*M23&gt;0,AVERAGE(M$25:M$27, M23),""),"")</f>
        <v/>
      </c>
      <c r="AD115" s="294" t="str">
        <f aca="false">IFERROR(IF(N$25*N$26*N$27*N23&gt;0,STDEV(N$25:N$27, N23),"")/IF(N$25*N$26*N$27*N23&gt;0,AVERAGE(N$25:N$27, N23),""),"")</f>
        <v/>
      </c>
      <c r="AE115" s="44"/>
      <c r="AF115" s="266" t="s">
        <v>499</v>
      </c>
      <c r="AG115" s="287" t="str">
        <f aca="false">IFERROR(IF(C$25*C$26*C$27*C23&gt;0,STDEV(C$25:C$27, C23)," ")/IF(C$25*C$26*C$27*C23&gt;0,SQRT(COUNT(C$25:C$27, C23))," "),"")</f>
        <v/>
      </c>
      <c r="AH115" s="287" t="str">
        <f aca="false">IFERROR(IF(D$25*D$26*D$27*D23&gt;0,STDEV(D$25:D$27, D23)," ")/IF(D$25*D$26*D$27*D23&gt;0,SQRT(COUNT(D$25:D$27, D23))," "),"")</f>
        <v/>
      </c>
      <c r="AI115" s="287" t="str">
        <f aca="false">IFERROR(IF(E$25*E$26*E$27*E23&gt;0,STDEV(E$25:E$27, E23)," ")/IF(E$25*E$26*E$27*E23&gt;0,SQRT(COUNT(E$25:E$27, E23))," "),"")</f>
        <v/>
      </c>
      <c r="AJ115" s="287" t="str">
        <f aca="false">IFERROR(IF(F$25*F$26*F$27*F23&gt;0,STDEV(F$25:F$27, F23)," ")/IF(F$25*F$26*F$27*F23&gt;0,SQRT(COUNT(F$25:F$27, F23))," "),"")</f>
        <v/>
      </c>
      <c r="AK115" s="287" t="str">
        <f aca="false">IFERROR(IF(G$25*G$26*G$27*G23&gt;0,STDEV(G$25:G$27, G23)," ")/IF(G$25*G$26*G$27*G23&gt;0,SQRT(COUNT(G$25:G$27, G23))," "),"")</f>
        <v/>
      </c>
      <c r="AL115" s="287" t="str">
        <f aca="false">IFERROR(IF(H$25*H$26*H$27*H23&gt;0,STDEV(H$25:H$27, H23)," ")/IF(H$25*H$26*H$27*H23&gt;0,SQRT(COUNT(H$25:H$27, H23))," "),"")</f>
        <v/>
      </c>
      <c r="AM115" s="287" t="str">
        <f aca="false">IFERROR(IF(I$25*I$26*I$27*I23&gt;0,STDEV(I$25:I$27, I23)," ")/IF(I$25*I$26*I$27*I23&gt;0,SQRT(COUNT(I$25:I$27, I23))," "),"")</f>
        <v/>
      </c>
      <c r="AN115" s="287" t="str">
        <f aca="false">IFERROR(IF(J$25*J$26*J$27*J23&gt;0,STDEV(J$25:J$27, J23)," ")/IF(J$25*J$26*J$27*J23&gt;0,SQRT(COUNT(J$25:J$27, J23))," "),"")</f>
        <v/>
      </c>
      <c r="AO115" s="287" t="str">
        <f aca="false">IFERROR(IF(K$25*K$26*K$27*K23&gt;0,STDEV(K$25:K$27, K23)," ")/IF(K$25*K$26*K$27*K23&gt;0,SQRT(COUNT(K$25:K$27, K23))," "),"")</f>
        <v/>
      </c>
      <c r="AP115" s="287" t="str">
        <f aca="false">IFERROR(IF(L$25*L$26*L$27*L23&gt;0,STDEV(L$25:L$27, L23)," ")/IF(L$25*L$26*L$27*L23&gt;0,SQRT(COUNT(L$25:L$27, L23))," "),"")</f>
        <v/>
      </c>
      <c r="AQ115" s="287" t="str">
        <f aca="false">IFERROR(IF(M$25*M$26*M$27*M23&gt;0,STDEV(M$25:M$27, M23)," ")/IF(M$25*M$26*M$27*M23&gt;0,SQRT(COUNT(M$25:M$27, M23))," "),"")</f>
        <v/>
      </c>
      <c r="AR115" s="287" t="str">
        <f aca="false">IFERROR(IF(N$25*N$26*N$27*N23&gt;0,STDEV(N$25:N$27, N23)," ")/IF(N$25*N$26*N$27*N23&gt;0,SQRT(COUNT(N$25:N$27, N23))," "),"")</f>
        <v/>
      </c>
    </row>
    <row r="116" customFormat="false" ht="15.75" hidden="false" customHeight="false" outlineLevel="0" collapsed="false">
      <c r="A116" s="290" t="s">
        <v>500</v>
      </c>
      <c r="B116" s="281"/>
      <c r="C116" s="302" t="str">
        <f aca="false">IFERROR(IF(C$25*C$26*C$27*C24&gt;0,AVERAGE(C$25:C$27, C24),""),"")</f>
        <v/>
      </c>
      <c r="D116" s="302" t="str">
        <f aca="false">IFERROR(IF(D$25*D$26*D$27*D24&gt;0,AVERAGE(D$25:D$27, D24),""),"")</f>
        <v/>
      </c>
      <c r="E116" s="302" t="str">
        <f aca="false">IFERROR(IF(E$25*E$26*E$27*E24&gt;0,AVERAGE(E$25:E$27, E24),""),"")</f>
        <v/>
      </c>
      <c r="F116" s="302" t="str">
        <f aca="false">IFERROR(IF(F$25*F$26*F$27*F24&gt;0,AVERAGE(F$25:F$27, F24),""),"")</f>
        <v/>
      </c>
      <c r="G116" s="302" t="str">
        <f aca="false">IFERROR(IF(G$25*G$26*G$27*G24&gt;0,AVERAGE(G$25:G$27, G24),""),"")</f>
        <v/>
      </c>
      <c r="H116" s="302" t="str">
        <f aca="false">IFERROR(IF(H$25*H$26*H$27*H24&gt;0,AVERAGE(H$25:H$27, H24),""),"")</f>
        <v/>
      </c>
      <c r="I116" s="302" t="str">
        <f aca="false">IFERROR(IF(I$25*I$26*I$27*I24&gt;0,AVERAGE(I$25:I$27, I24),""),"")</f>
        <v/>
      </c>
      <c r="J116" s="302" t="str">
        <f aca="false">IFERROR(IF(J$25*J$26*J$27*J24&gt;0,AVERAGE(J$25:J$27, J24),""),"")</f>
        <v/>
      </c>
      <c r="K116" s="302" t="str">
        <f aca="false">IFERROR(IF(K$25*K$26*K$27*K24&gt;0,AVERAGE(K$25:K$27, K24),""),"")</f>
        <v/>
      </c>
      <c r="L116" s="302" t="str">
        <f aca="false">IFERROR(IF(L$25*L$26*L$27*L24&gt;0,AVERAGE(L$25:L$27, L24),""),"")</f>
        <v/>
      </c>
      <c r="M116" s="302" t="str">
        <f aca="false">IFERROR(IF(M$25*M$26*M$27*M24&gt;0,AVERAGE(M$25:M$27, M24),""),"")</f>
        <v/>
      </c>
      <c r="N116" s="302" t="str">
        <f aca="false">IFERROR(IF(N$25*N$26*N$27*N24&gt;0,AVERAGE(N$25:N$27, N24),""),"")</f>
        <v/>
      </c>
      <c r="O116" s="282"/>
      <c r="P116" s="282"/>
      <c r="Q116" s="296"/>
      <c r="R116" s="293" t="s">
        <v>501</v>
      </c>
      <c r="S116" s="294" t="str">
        <f aca="false">IFERROR(IF(C$25*C$26*C$27*C24&gt;0,STDEV(C$25:C$27, C24),"")/IF(C$25*C$26*C$27*C24&gt;0,AVERAGE(C$25:C$27, C24),""),"")</f>
        <v/>
      </c>
      <c r="T116" s="294" t="str">
        <f aca="false">IFERROR(IF(D$25*D$26*D$27*D24&gt;0,STDEV(D$25:D$27, D24),"")/IF(D$25*D$26*D$27*D24&gt;0,AVERAGE(D$25:D$27, D24),""),"")</f>
        <v/>
      </c>
      <c r="U116" s="294" t="str">
        <f aca="false">IFERROR(IF(E$25*E$26*E$27*E24&gt;0,STDEV(E$25:E$27, E24),"")/IF(E$25*E$26*E$27*E24&gt;0,AVERAGE(E$25:E$27, E24),""),"")</f>
        <v/>
      </c>
      <c r="V116" s="294" t="str">
        <f aca="false">IFERROR(IF(F$25*F$26*F$27*F24&gt;0,STDEV(F$25:F$27, F24),"")/IF(F$25*F$26*F$27*F24&gt;0,AVERAGE(F$25:F$27, F24),""),"")</f>
        <v/>
      </c>
      <c r="W116" s="294" t="str">
        <f aca="false">IFERROR(IF(G$25*G$26*G$27*G24&gt;0,STDEV(G$25:G$27, G24),"")/IF(G$25*G$26*G$27*G24&gt;0,AVERAGE(G$25:G$27, G24),""),"")</f>
        <v/>
      </c>
      <c r="X116" s="294" t="str">
        <f aca="false">IFERROR(IF(H$25*H$26*H$27*H24&gt;0,STDEV(H$25:H$27, H24),"")/IF(H$25*H$26*H$27*H24&gt;0,AVERAGE(H$25:H$27, H24),""),"")</f>
        <v/>
      </c>
      <c r="Y116" s="294" t="str">
        <f aca="false">IFERROR(IF(I$25*I$26*I$27*I24&gt;0,STDEV(I$25:I$27, I24),"")/IF(I$25*I$26*I$27*I24&gt;0,AVERAGE(I$25:I$27, I24),""),"")</f>
        <v/>
      </c>
      <c r="Z116" s="294" t="str">
        <f aca="false">IFERROR(IF(J$25*J$26*J$27*J24&gt;0,STDEV(J$25:J$27, J24),"")/IF(J$25*J$26*J$27*J24&gt;0,AVERAGE(J$25:J$27, J24),""),"")</f>
        <v/>
      </c>
      <c r="AA116" s="294" t="str">
        <f aca="false">IFERROR(IF(K$25*K$26*K$27*K24&gt;0,STDEV(K$25:K$27, K24),"")/IF(K$25*K$26*K$27*K24&gt;0,AVERAGE(K$25:K$27, K24),""),"")</f>
        <v/>
      </c>
      <c r="AB116" s="294" t="str">
        <f aca="false">IFERROR(IF(L$25*L$26*L$27*L24&gt;0,STDEV(L$25:L$27, L24),"")/IF(L$25*L$26*L$27*L24&gt;0,AVERAGE(L$25:L$27, L24),""),"")</f>
        <v/>
      </c>
      <c r="AC116" s="294" t="str">
        <f aca="false">IFERROR(IF(M$25*M$26*M$27*M24&gt;0,STDEV(M$25:M$27, M24),"")/IF(M$25*M$26*M$27*M24&gt;0,AVERAGE(M$25:M$27, M24),""),"")</f>
        <v/>
      </c>
      <c r="AD116" s="294" t="str">
        <f aca="false">IFERROR(IF(N$25*N$26*N$27*N24&gt;0,STDEV(N$25:N$27, N24),"")/IF(N$25*N$26*N$27*N24&gt;0,AVERAGE(N$25:N$27, N24),""),"")</f>
        <v/>
      </c>
      <c r="AE116" s="44"/>
      <c r="AF116" s="266" t="s">
        <v>502</v>
      </c>
      <c r="AG116" s="287" t="str">
        <f aca="false">IFERROR(IF(C$25*C$26*C$27*C24&gt;0,STDEV(C$25:C$27, C24)," ")/IF(C$25*C$26*C$27*C24&gt;0,SQRT(COUNT(C$25:C$27, C24))," "),"")</f>
        <v/>
      </c>
      <c r="AH116" s="287" t="str">
        <f aca="false">IFERROR(IF(D$25*D$26*D$27*D24&gt;0,STDEV(D$25:D$27, D24)," ")/IF(D$25*D$26*D$27*D24&gt;0,SQRT(COUNT(D$25:D$27, D24))," "),"")</f>
        <v/>
      </c>
      <c r="AI116" s="287" t="str">
        <f aca="false">IFERROR(IF(E$25*E$26*E$27*E24&gt;0,STDEV(E$25:E$27, E24)," ")/IF(E$25*E$26*E$27*E24&gt;0,SQRT(COUNT(E$25:E$27, E24))," "),"")</f>
        <v/>
      </c>
      <c r="AJ116" s="287" t="str">
        <f aca="false">IFERROR(IF(F$25*F$26*F$27*F24&gt;0,STDEV(F$25:F$27, F24)," ")/IF(F$25*F$26*F$27*F24&gt;0,SQRT(COUNT(F$25:F$27, F24))," "),"")</f>
        <v/>
      </c>
      <c r="AK116" s="287" t="str">
        <f aca="false">IFERROR(IF(G$25*G$26*G$27*G24&gt;0,STDEV(G$25:G$27, G24)," ")/IF(G$25*G$26*G$27*G24&gt;0,SQRT(COUNT(G$25:G$27, G24))," "),"")</f>
        <v/>
      </c>
      <c r="AL116" s="287" t="str">
        <f aca="false">IFERROR(IF(H$25*H$26*H$27*H24&gt;0,STDEV(H$25:H$27, H24)," ")/IF(H$25*H$26*H$27*H24&gt;0,SQRT(COUNT(H$25:H$27, H24))," "),"")</f>
        <v/>
      </c>
      <c r="AM116" s="287" t="str">
        <f aca="false">IFERROR(IF(I$25*I$26*I$27*I24&gt;0,STDEV(I$25:I$27, I24)," ")/IF(I$25*I$26*I$27*I24&gt;0,SQRT(COUNT(I$25:I$27, I24))," "),"")</f>
        <v/>
      </c>
      <c r="AN116" s="287" t="str">
        <f aca="false">IFERROR(IF(J$25*J$26*J$27*J24&gt;0,STDEV(J$25:J$27, J24)," ")/IF(J$25*J$26*J$27*J24&gt;0,SQRT(COUNT(J$25:J$27, J24))," "),"")</f>
        <v/>
      </c>
      <c r="AO116" s="287" t="str">
        <f aca="false">IFERROR(IF(K$25*K$26*K$27*K24&gt;0,STDEV(K$25:K$27, K24)," ")/IF(K$25*K$26*K$27*K24&gt;0,SQRT(COUNT(K$25:K$27, K24))," "),"")</f>
        <v/>
      </c>
      <c r="AP116" s="287" t="str">
        <f aca="false">IFERROR(IF(L$25*L$26*L$27*L24&gt;0,STDEV(L$25:L$27, L24)," ")/IF(L$25*L$26*L$27*L24&gt;0,SQRT(COUNT(L$25:L$27, L24))," "),"")</f>
        <v/>
      </c>
      <c r="AQ116" s="287" t="str">
        <f aca="false">IFERROR(IF(M$25*M$26*M$27*M24&gt;0,STDEV(M$25:M$27, M24)," ")/IF(M$25*M$26*M$27*M24&gt;0,SQRT(COUNT(M$25:M$27, M24))," "),"")</f>
        <v/>
      </c>
      <c r="AR116" s="287" t="str">
        <f aca="false">IFERROR(IF(N$25*N$26*N$27*N24&gt;0,STDEV(N$25:N$27, N24)," ")/IF(N$25*N$26*N$27*N24&gt;0,SQRT(COUNT(N$25:N$27, N24))," "),"")</f>
        <v/>
      </c>
    </row>
    <row r="117" customFormat="false" ht="15.75" hidden="false" customHeight="false" outlineLevel="0" collapsed="false">
      <c r="A117" s="290" t="s">
        <v>446</v>
      </c>
      <c r="B117" s="281"/>
      <c r="C117" s="302" t="str">
        <f aca="false">IFERROR(IF(C$21*C$22*C$23*C25&gt;0,AVERAGE(C$21, C$22, C$23, C$25),""),"")</f>
        <v/>
      </c>
      <c r="D117" s="302" t="str">
        <f aca="false">IFERROR(IF(D$21*D$22*D$23*D25&gt;0,AVERAGE(D$21, D$22, D$23, D$25),""),"")</f>
        <v/>
      </c>
      <c r="E117" s="302" t="str">
        <f aca="false">IFERROR(IF(E$21*E$22*E$23*E25&gt;0,AVERAGE(E$21, E$22, E$23, E$25),""),"")</f>
        <v/>
      </c>
      <c r="F117" s="302" t="str">
        <f aca="false">IFERROR(IF(F$21*F$22*F$23*F25&gt;0,AVERAGE(F$21, F$22, F$23, F$25),""),"")</f>
        <v/>
      </c>
      <c r="G117" s="302" t="str">
        <f aca="false">IFERROR(IF(G$21*G$22*G$23*G25&gt;0,AVERAGE(G$21, G$22, G$23, G$25),""),"")</f>
        <v/>
      </c>
      <c r="H117" s="302" t="str">
        <f aca="false">IFERROR(IF(H$21*H$22*H$23*H25&gt;0,AVERAGE(H$21, H$22, H$23, H$25),""),"")</f>
        <v/>
      </c>
      <c r="I117" s="302" t="str">
        <f aca="false">IFERROR(IF(I$21*I$22*I$23*I25&gt;0,AVERAGE(I$21, I$22, I$23, I$25),""),"")</f>
        <v/>
      </c>
      <c r="J117" s="302" t="str">
        <f aca="false">IFERROR(IF(J$21*J$22*J$23*J25&gt;0,AVERAGE(J$21, J$22, J$23, J$25),""),"")</f>
        <v/>
      </c>
      <c r="K117" s="302" t="str">
        <f aca="false">IFERROR(IF(K$21*K$22*K$23*K25&gt;0,AVERAGE(K$21, K$22, K$23, K$25),""),"")</f>
        <v/>
      </c>
      <c r="L117" s="302" t="str">
        <f aca="false">IFERROR(IF(L$21*L$22*L$23*L25&gt;0,AVERAGE(L$21, L$22, L$23, L$25),""),"")</f>
        <v/>
      </c>
      <c r="M117" s="302" t="str">
        <f aca="false">IFERROR(IF(M$21*M$22*M$23*M25&gt;0,AVERAGE(M$21, M$22, M$23, M$25),""),"")</f>
        <v/>
      </c>
      <c r="N117" s="302" t="str">
        <f aca="false">IFERROR(IF(N$21*N$22*N$23*N25&gt;0,AVERAGE(N$21, N$22, N$23, N$25),""),"")</f>
        <v/>
      </c>
      <c r="O117" s="282"/>
      <c r="P117" s="282"/>
      <c r="Q117" s="296"/>
      <c r="R117" s="293" t="s">
        <v>447</v>
      </c>
      <c r="S117" s="294" t="str">
        <f aca="false">IFERROR(IF(C$21*C$22*C$23*C25&gt;0,STDEV(C$21, C$22, C$23, C$25),"")/IF(C$21*C$22*C$23*C25&gt;0,AVERAGE(C$21, C$22, C$23, C$25),""),"")</f>
        <v/>
      </c>
      <c r="T117" s="294" t="str">
        <f aca="false">IFERROR(IF(D$21*D$22*D$23*D25&gt;0,STDEV(D$21, D$22, D$23, D$25),"")/IF(D$21*D$22*D$23*D25&gt;0,AVERAGE(D$21, D$22, D$23, D$25),""),"")</f>
        <v/>
      </c>
      <c r="U117" s="294" t="str">
        <f aca="false">IFERROR(IF(E$21*E$22*E$23*E25&gt;0,STDEV(E$21, E$22, E$23, E$25),"")/IF(E$21*E$22*E$23*E25&gt;0,AVERAGE(E$21, E$22, E$23, E$25),""),"")</f>
        <v/>
      </c>
      <c r="V117" s="294" t="str">
        <f aca="false">IFERROR(IF(F$21*F$22*F$23*F25&gt;0,STDEV(F$21, F$22, F$23, F$25),"")/IF(F$21*F$22*F$23*F25&gt;0,AVERAGE(F$21, F$22, F$23, F$25),""),"")</f>
        <v/>
      </c>
      <c r="W117" s="294" t="str">
        <f aca="false">IFERROR(IF(G$21*G$22*G$23*G25&gt;0,STDEV(G$21, G$22, G$23, G$25),"")/IF(G$21*G$22*G$23*G25&gt;0,AVERAGE(G$21, G$22, G$23, G$25),""),"")</f>
        <v/>
      </c>
      <c r="X117" s="294" t="str">
        <f aca="false">IFERROR(IF(H$21*H$22*H$23*H25&gt;0,STDEV(H$21, H$22, H$23, H$25),"")/IF(H$21*H$22*H$23*H25&gt;0,AVERAGE(H$21, H$22, H$23, H$25),""),"")</f>
        <v/>
      </c>
      <c r="Y117" s="294" t="str">
        <f aca="false">IFERROR(IF(I$21*I$22*I$23*I25&gt;0,STDEV(I$21, I$22, I$23, I$25),"")/IF(I$21*I$22*I$23*I25&gt;0,AVERAGE(I$21, I$22, I$23, I$25),""),"")</f>
        <v/>
      </c>
      <c r="Z117" s="294" t="str">
        <f aca="false">IFERROR(IF(J$21*J$22*J$23*J25&gt;0,STDEV(J$21, J$22, J$23, J$25),"")/IF(J$21*J$22*J$23*J25&gt;0,AVERAGE(J$21, J$22, J$23, J$25),""),"")</f>
        <v/>
      </c>
      <c r="AA117" s="294" t="str">
        <f aca="false">IFERROR(IF(K$21*K$22*K$23*K25&gt;0,STDEV(K$21, K$22, K$23, K$25),"")/IF(K$21*K$22*K$23*K25&gt;0,AVERAGE(K$21, K$22, K$23, K$25),""),"")</f>
        <v/>
      </c>
      <c r="AB117" s="294" t="str">
        <f aca="false">IFERROR(IF(L$21*L$22*L$23*L25&gt;0,STDEV(L$21, L$22, L$23, L$25),"")/IF(L$21*L$22*L$23*L25&gt;0,AVERAGE(L$21, L$22, L$23, L$25),""),"")</f>
        <v/>
      </c>
      <c r="AC117" s="294" t="str">
        <f aca="false">IFERROR(IF(M$21*M$22*M$23*M25&gt;0,STDEV(M$21, M$22, M$23, M$25),"")/IF(M$21*M$22*M$23*M25&gt;0,AVERAGE(M$21, M$22, M$23, M$25),""),"")</f>
        <v/>
      </c>
      <c r="AD117" s="294" t="str">
        <f aca="false">IFERROR(IF(N$21*N$22*N$23*N25&gt;0,STDEV(N$21, N$22, N$23, N$25),"")/IF(N$21*N$22*N$23*N25&gt;0,AVERAGE(N$21, N$22, N$23, N$25),""),"")</f>
        <v/>
      </c>
      <c r="AE117" s="44"/>
      <c r="AF117" s="266" t="s">
        <v>448</v>
      </c>
      <c r="AG117" s="287" t="str">
        <f aca="false">IFERROR(IF(C$21*C$22*C$23*C25&gt;0,STDEV(C$21, C$22, C$23, C$25)," ")/IF(C$21*C$22*C$23*C25&gt;0,SQRT(COUNT(C$21, C$22, C$23, C$25))," "),"")</f>
        <v/>
      </c>
      <c r="AH117" s="287" t="str">
        <f aca="false">IFERROR(IF(D$21*D$22*D$23*D25&gt;0,STDEV(D$21, D$22, D$23, D$25)," ")/IF(D$21*D$22*D$23*D25&gt;0,SQRT(COUNT(D$21, D$22, D$23, D$25))," "),"")</f>
        <v/>
      </c>
      <c r="AI117" s="287" t="str">
        <f aca="false">IFERROR(IF(E$21*E$22*E$23*E25&gt;0,STDEV(E$21, E$22, E$23, E$25)," ")/IF(E$21*E$22*E$23*E25&gt;0,SQRT(COUNT(E$21, E$22, E$23, E$25))," "),"")</f>
        <v/>
      </c>
      <c r="AJ117" s="287" t="str">
        <f aca="false">IFERROR(IF(F$21*F$22*F$23*F25&gt;0,STDEV(F$21, F$22, F$23, F$25)," ")/IF(F$21*F$22*F$23*F25&gt;0,SQRT(COUNT(F$21, F$22, F$23, F$25))," "),"")</f>
        <v/>
      </c>
      <c r="AK117" s="287" t="str">
        <f aca="false">IFERROR(IF(G$21*G$22*G$23*G25&gt;0,STDEV(G$21, G$22, G$23, G$25)," ")/IF(G$21*G$22*G$23*G25&gt;0,SQRT(COUNT(G$21, G$22, G$23, G$25))," "),"")</f>
        <v/>
      </c>
      <c r="AL117" s="287" t="str">
        <f aca="false">IFERROR(IF(H$21*H$22*H$23*H25&gt;0,STDEV(H$21, H$22, H$23, H$25)," ")/IF(H$21*H$22*H$23*H25&gt;0,SQRT(COUNT(H$21, H$22, H$23, H$25))," "),"")</f>
        <v/>
      </c>
      <c r="AM117" s="287" t="str">
        <f aca="false">IFERROR(IF(I$21*I$22*I$23*I25&gt;0,STDEV(I$21, I$22, I$23, I$25)," ")/IF(I$21*I$22*I$23*I25&gt;0,SQRT(COUNT(I$21, I$22, I$23, I$25))," "),"")</f>
        <v/>
      </c>
      <c r="AN117" s="287" t="str">
        <f aca="false">IFERROR(IF(J$21*J$22*J$23*J25&gt;0,STDEV(J$21, J$22, J$23, J$25)," ")/IF(J$21*J$22*J$23*J25&gt;0,SQRT(COUNT(J$21, J$22, J$23, J$25))," "),"")</f>
        <v/>
      </c>
      <c r="AO117" s="287" t="str">
        <f aca="false">IFERROR(IF(K$21*K$22*K$23*K25&gt;0,STDEV(K$21, K$22, K$23, K$25)," ")/IF(K$21*K$22*K$23*K25&gt;0,SQRT(COUNT(K$21, K$22, K$23, K$25))," "),"")</f>
        <v/>
      </c>
      <c r="AP117" s="287" t="str">
        <f aca="false">IFERROR(IF(L$21*L$22*L$23*L25&gt;0,STDEV(L$21, L$22, L$23, L$25)," ")/IF(L$21*L$22*L$23*L25&gt;0,SQRT(COUNT(L$21, L$22, L$23, L$25))," "),"")</f>
        <v/>
      </c>
      <c r="AQ117" s="287" t="str">
        <f aca="false">IFERROR(IF(M$21*M$22*M$23*M25&gt;0,STDEV(M$21, M$22, M$23, M$25)," ")/IF(M$21*M$22*M$23*M25&gt;0,SQRT(COUNT(M$21, M$22, M$23, M$25))," "),"")</f>
        <v/>
      </c>
      <c r="AR117" s="287" t="str">
        <f aca="false">IFERROR(IF(N$21*N$22*N$23*N25&gt;0,STDEV(N$21, N$22, N$23, N$25)," ")/IF(N$21*N$22*N$23*N25&gt;0,SQRT(COUNT(N$21, N$22, N$23, N$25))," "),"")</f>
        <v/>
      </c>
    </row>
    <row r="118" customFormat="false" ht="15.75" hidden="false" customHeight="false" outlineLevel="0" collapsed="false">
      <c r="A118" s="290" t="s">
        <v>449</v>
      </c>
      <c r="B118" s="281"/>
      <c r="C118" s="302" t="str">
        <f aca="false">IFERROR(IF(C$21*C$22*C$23*C26&gt;0,AVERAGE(C$21, C$22, C$23, C$26),""),"")</f>
        <v/>
      </c>
      <c r="D118" s="302" t="str">
        <f aca="false">IFERROR(IF(D$21*D$22*D$23*D26&gt;0,AVERAGE(D$21, D$22, D$23, D$26),""),"")</f>
        <v/>
      </c>
      <c r="E118" s="302" t="str">
        <f aca="false">IFERROR(IF(E$21*E$22*E$23*E26&gt;0,AVERAGE(E$21, E$22, E$23, E$26),""),"")</f>
        <v/>
      </c>
      <c r="F118" s="302" t="str">
        <f aca="false">IFERROR(IF(F$21*F$22*F$23*F26&gt;0,AVERAGE(F$21, F$22, F$23, F$26),""),"")</f>
        <v/>
      </c>
      <c r="G118" s="302" t="str">
        <f aca="false">IFERROR(IF(G$21*G$22*G$23*G26&gt;0,AVERAGE(G$21, G$22, G$23, G$26),""),"")</f>
        <v/>
      </c>
      <c r="H118" s="302" t="str">
        <f aca="false">IFERROR(IF(H$21*H$22*H$23*H26&gt;0,AVERAGE(H$21, H$22, H$23, H$26),""),"")</f>
        <v/>
      </c>
      <c r="I118" s="302" t="str">
        <f aca="false">IFERROR(IF(I$21*I$22*I$23*I26&gt;0,AVERAGE(I$21, I$22, I$23, I$26),""),"")</f>
        <v/>
      </c>
      <c r="J118" s="302" t="str">
        <f aca="false">IFERROR(IF(J$21*J$22*J$23*J26&gt;0,AVERAGE(J$21, J$22, J$23, J$26),""),"")</f>
        <v/>
      </c>
      <c r="K118" s="302" t="str">
        <f aca="false">IFERROR(IF(K$21*K$22*K$23*K26&gt;0,AVERAGE(K$21, K$22, K$23, K$26),""),"")</f>
        <v/>
      </c>
      <c r="L118" s="302" t="str">
        <f aca="false">IFERROR(IF(L$21*L$22*L$23*L26&gt;0,AVERAGE(L$21, L$22, L$23, L$26),""),"")</f>
        <v/>
      </c>
      <c r="M118" s="302" t="str">
        <f aca="false">IFERROR(IF(M$21*M$22*M$23*M26&gt;0,AVERAGE(M$21, M$22, M$23, M$26),""),"")</f>
        <v/>
      </c>
      <c r="N118" s="302" t="str">
        <f aca="false">IFERROR(IF(N$21*N$22*N$23*N26&gt;0,AVERAGE(N$21, N$22, N$23, N$26),""),"")</f>
        <v/>
      </c>
      <c r="O118" s="282"/>
      <c r="P118" s="282"/>
      <c r="Q118" s="296"/>
      <c r="R118" s="293" t="s">
        <v>450</v>
      </c>
      <c r="S118" s="294" t="str">
        <f aca="false">IFERROR(IF(C$21*C$22*C$23*C26&gt;0,STDEV(C$21, C$22, C$23, C$26),"")/IF(C$21*C$22*C$23*C26&gt;0,AVERAGE(C$21, C$22, C$23, C$26),""),"")</f>
        <v/>
      </c>
      <c r="T118" s="294" t="str">
        <f aca="false">IFERROR(IF(D$21*D$22*D$23*D26&gt;0,STDEV(D$21, D$22, D$23, D$26),"")/IF(D$21*D$22*D$23*D26&gt;0,AVERAGE(D$21, D$22, D$23, D$26),""),"")</f>
        <v/>
      </c>
      <c r="U118" s="294" t="str">
        <f aca="false">IFERROR(IF(E$21*E$22*E$23*E26&gt;0,STDEV(E$21, E$22, E$23, E$26),"")/IF(E$21*E$22*E$23*E26&gt;0,AVERAGE(E$21, E$22, E$23, E$26),""),"")</f>
        <v/>
      </c>
      <c r="V118" s="294" t="str">
        <f aca="false">IFERROR(IF(F$21*F$22*F$23*F26&gt;0,STDEV(F$21, F$22, F$23, F$26),"")/IF(F$21*F$22*F$23*F26&gt;0,AVERAGE(F$21, F$22, F$23, F$26),""),"")</f>
        <v/>
      </c>
      <c r="W118" s="294" t="str">
        <f aca="false">IFERROR(IF(G$21*G$22*G$23*G26&gt;0,STDEV(G$21, G$22, G$23, G$26),"")/IF(G$21*G$22*G$23*G26&gt;0,AVERAGE(G$21, G$22, G$23, G$26),""),"")</f>
        <v/>
      </c>
      <c r="X118" s="294" t="str">
        <f aca="false">IFERROR(IF(H$21*H$22*H$23*H26&gt;0,STDEV(H$21, H$22, H$23, H$26),"")/IF(H$21*H$22*H$23*H26&gt;0,AVERAGE(H$21, H$22, H$23, H$26),""),"")</f>
        <v/>
      </c>
      <c r="Y118" s="294" t="str">
        <f aca="false">IFERROR(IF(I$21*I$22*I$23*I26&gt;0,STDEV(I$21, I$22, I$23, I$26),"")/IF(I$21*I$22*I$23*I26&gt;0,AVERAGE(I$21, I$22, I$23, I$26),""),"")</f>
        <v/>
      </c>
      <c r="Z118" s="294" t="str">
        <f aca="false">IFERROR(IF(J$21*J$22*J$23*J26&gt;0,STDEV(J$21, J$22, J$23, J$26),"")/IF(J$21*J$22*J$23*J26&gt;0,AVERAGE(J$21, J$22, J$23, J$26),""),"")</f>
        <v/>
      </c>
      <c r="AA118" s="294" t="str">
        <f aca="false">IFERROR(IF(K$21*K$22*K$23*K26&gt;0,STDEV(K$21, K$22, K$23, K$26),"")/IF(K$21*K$22*K$23*K26&gt;0,AVERAGE(K$21, K$22, K$23, K$26),""),"")</f>
        <v/>
      </c>
      <c r="AB118" s="294" t="str">
        <f aca="false">IFERROR(IF(L$21*L$22*L$23*L26&gt;0,STDEV(L$21, L$22, L$23, L$26),"")/IF(L$21*L$22*L$23*L26&gt;0,AVERAGE(L$21, L$22, L$23, L$26),""),"")</f>
        <v/>
      </c>
      <c r="AC118" s="294" t="str">
        <f aca="false">IFERROR(IF(M$21*M$22*M$23*M26&gt;0,STDEV(M$21, M$22, M$23, M$26),"")/IF(M$21*M$22*M$23*M26&gt;0,AVERAGE(M$21, M$22, M$23, M$26),""),"")</f>
        <v/>
      </c>
      <c r="AD118" s="294" t="str">
        <f aca="false">IFERROR(IF(N$21*N$22*N$23*N26&gt;0,STDEV(N$21, N$22, N$23, N$26),"")/IF(N$21*N$22*N$23*N26&gt;0,AVERAGE(N$21, N$22, N$23, N$26),""),"")</f>
        <v/>
      </c>
      <c r="AE118" s="44"/>
      <c r="AF118" s="266" t="s">
        <v>451</v>
      </c>
      <c r="AG118" s="287" t="str">
        <f aca="false">IFERROR(IF(C$21*C$22*C$23*C26&gt;0,STDEV(C$21, C$22, C$23, C$26)," ")/IF(C$21*C$22*C$23*C26&gt;0,SQRT(COUNT(C$21, C$22, C$23, C$26))," "),"")</f>
        <v/>
      </c>
      <c r="AH118" s="287" t="str">
        <f aca="false">IFERROR(IF(D$21*D$22*D$23*D26&gt;0,STDEV(D$21, D$22, D$23, D$26)," ")/IF(D$21*D$22*D$23*D26&gt;0,SQRT(COUNT(D$21, D$22, D$23, D$26))," "),"")</f>
        <v/>
      </c>
      <c r="AI118" s="287" t="str">
        <f aca="false">IFERROR(IF(E$21*E$22*E$23*E26&gt;0,STDEV(E$21, E$22, E$23, E$26)," ")/IF(E$21*E$22*E$23*E26&gt;0,SQRT(COUNT(E$21, E$22, E$23, E$26))," "),"")</f>
        <v/>
      </c>
      <c r="AJ118" s="287" t="str">
        <f aca="false">IFERROR(IF(F$21*F$22*F$23*F26&gt;0,STDEV(F$21, F$22, F$23, F$26)," ")/IF(F$21*F$22*F$23*F26&gt;0,SQRT(COUNT(F$21, F$22, F$23, F$26))," "),"")</f>
        <v/>
      </c>
      <c r="AK118" s="287" t="str">
        <f aca="false">IFERROR(IF(G$21*G$22*G$23*G26&gt;0,STDEV(G$21, G$22, G$23, G$26)," ")/IF(G$21*G$22*G$23*G26&gt;0,SQRT(COUNT(G$21, G$22, G$23, G$26))," "),"")</f>
        <v/>
      </c>
      <c r="AL118" s="287" t="str">
        <f aca="false">IFERROR(IF(H$21*H$22*H$23*H26&gt;0,STDEV(H$21, H$22, H$23, H$26)," ")/IF(H$21*H$22*H$23*H26&gt;0,SQRT(COUNT(H$21, H$22, H$23, H$26))," "),"")</f>
        <v/>
      </c>
      <c r="AM118" s="287" t="str">
        <f aca="false">IFERROR(IF(I$21*I$22*I$23*I26&gt;0,STDEV(I$21, I$22, I$23, I$26)," ")/IF(I$21*I$22*I$23*I26&gt;0,SQRT(COUNT(I$21, I$22, I$23, I$26))," "),"")</f>
        <v/>
      </c>
      <c r="AN118" s="287" t="str">
        <f aca="false">IFERROR(IF(J$21*J$22*J$23*J26&gt;0,STDEV(J$21, J$22, J$23, J$26)," ")/IF(J$21*J$22*J$23*J26&gt;0,SQRT(COUNT(J$21, J$22, J$23, J$26))," "),"")</f>
        <v/>
      </c>
      <c r="AO118" s="287" t="str">
        <f aca="false">IFERROR(IF(K$21*K$22*K$23*K26&gt;0,STDEV(K$21, K$22, K$23, K$26)," ")/IF(K$21*K$22*K$23*K26&gt;0,SQRT(COUNT(K$21, K$22, K$23, K$26))," "),"")</f>
        <v/>
      </c>
      <c r="AP118" s="287" t="str">
        <f aca="false">IFERROR(IF(L$21*L$22*L$23*L26&gt;0,STDEV(L$21, L$22, L$23, L$26)," ")/IF(L$21*L$22*L$23*L26&gt;0,SQRT(COUNT(L$21, L$22, L$23, L$26))," "),"")</f>
        <v/>
      </c>
      <c r="AQ118" s="287" t="str">
        <f aca="false">IFERROR(IF(M$21*M$22*M$23*M26&gt;0,STDEV(M$21, M$22, M$23, M$26)," ")/IF(M$21*M$22*M$23*M26&gt;0,SQRT(COUNT(M$21, M$22, M$23, M$26))," "),"")</f>
        <v/>
      </c>
      <c r="AR118" s="287" t="str">
        <f aca="false">IFERROR(IF(N$21*N$22*N$23*N26&gt;0,STDEV(N$21, N$22, N$23, N$26)," ")/IF(N$21*N$22*N$23*N26&gt;0,SQRT(COUNT(N$21, N$22, N$23, N$26))," "),"")</f>
        <v/>
      </c>
    </row>
    <row r="119" customFormat="false" ht="15.75" hidden="false" customHeight="false" outlineLevel="0" collapsed="false">
      <c r="A119" s="290" t="s">
        <v>503</v>
      </c>
      <c r="B119" s="281"/>
      <c r="C119" s="302" t="str">
        <f aca="false">IFERROR(IF(C$21*C$22*C$24*C26&gt;0,AVERAGE(C$21, C$22, C$24, C$26),""),"")</f>
        <v/>
      </c>
      <c r="D119" s="302" t="str">
        <f aca="false">IFERROR(IF(D$21*D$22*D$24*D26&gt;0,AVERAGE(D$21, D$22, D$24, D$26),""),"")</f>
        <v/>
      </c>
      <c r="E119" s="302" t="str">
        <f aca="false">IFERROR(IF(E$21*E$22*E$24*E26&gt;0,AVERAGE(E$21, E$22, E$24, E$26),""),"")</f>
        <v/>
      </c>
      <c r="F119" s="302" t="str">
        <f aca="false">IFERROR(IF(F$21*F$22*F$24*F26&gt;0,AVERAGE(F$21, F$22, F$24, F$26),""),"")</f>
        <v/>
      </c>
      <c r="G119" s="302" t="str">
        <f aca="false">IFERROR(IF(G$21*G$22*G$24*G26&gt;0,AVERAGE(G$21, G$22, G$24, G$26),""),"")</f>
        <v/>
      </c>
      <c r="H119" s="302" t="str">
        <f aca="false">IFERROR(IF(H$21*H$22*H$24*H26&gt;0,AVERAGE(H$21, H$22, H$24, H$26),""),"")</f>
        <v/>
      </c>
      <c r="I119" s="302" t="str">
        <f aca="false">IFERROR(IF(I$21*I$22*I$24*I26&gt;0,AVERAGE(I$21, I$22, I$24, I$26),""),"")</f>
        <v/>
      </c>
      <c r="J119" s="302" t="str">
        <f aca="false">IFERROR(IF(J$21*J$22*J$24*J26&gt;0,AVERAGE(J$21, J$22, J$24, J$26),""),"")</f>
        <v/>
      </c>
      <c r="K119" s="302" t="str">
        <f aca="false">IFERROR(IF(K$21*K$22*K$24*K26&gt;0,AVERAGE(K$21, K$22, K$24, K$26),""),"")</f>
        <v/>
      </c>
      <c r="L119" s="302" t="str">
        <f aca="false">IFERROR(IF(L$21*L$22*L$24*L26&gt;0,AVERAGE(L$21, L$22, L$24, L$26),""),"")</f>
        <v/>
      </c>
      <c r="M119" s="302" t="str">
        <f aca="false">IFERROR(IF(M$21*M$22*M$24*M26&gt;0,AVERAGE(M$21, M$22, M$24, M$26),""),"")</f>
        <v/>
      </c>
      <c r="N119" s="302" t="str">
        <f aca="false">IFERROR(IF(N$21*N$22*N$24*N26&gt;0,AVERAGE(N$21, N$22, N$24, N$26),""),"")</f>
        <v/>
      </c>
      <c r="O119" s="282"/>
      <c r="P119" s="282"/>
      <c r="Q119" s="296"/>
      <c r="R119" s="293" t="s">
        <v>504</v>
      </c>
      <c r="S119" s="294" t="str">
        <f aca="false">IFERROR(IF(C$21*C$22*C$24*C26&gt;0,STDEV(C$21, C$22, C$24, C$26),"")/IF(C$21*C$22*C$24*C26&gt;0,AVERAGE(C$21, C$22, C$24, C$26),""),"")</f>
        <v/>
      </c>
      <c r="T119" s="294" t="str">
        <f aca="false">IFERROR(IF(D$21*D$22*D$24*D26&gt;0,STDEV(D$21, D$22, D$24, D$26),"")/IF(D$21*D$22*D$24*D26&gt;0,AVERAGE(D$21, D$22, D$24, D$26),""),"")</f>
        <v/>
      </c>
      <c r="U119" s="294" t="str">
        <f aca="false">IFERROR(IF(E$21*E$22*E$24*E26&gt;0,STDEV(E$21, E$22, E$24, E$26),"")/IF(E$21*E$22*E$24*E26&gt;0,AVERAGE(E$21, E$22, E$24, E$26),""),"")</f>
        <v/>
      </c>
      <c r="V119" s="294" t="str">
        <f aca="false">IFERROR(IF(F$21*F$22*F$24*F26&gt;0,STDEV(F$21, F$22, F$24, F$26),"")/IF(F$21*F$22*F$24*F26&gt;0,AVERAGE(F$21, F$22, F$24, F$26),""),"")</f>
        <v/>
      </c>
      <c r="W119" s="294" t="str">
        <f aca="false">IFERROR(IF(G$21*G$22*G$24*G26&gt;0,STDEV(G$21, G$22, G$24, G$26),"")/IF(G$21*G$22*G$24*G26&gt;0,AVERAGE(G$21, G$22, G$24, G$26),""),"")</f>
        <v/>
      </c>
      <c r="X119" s="294" t="str">
        <f aca="false">IFERROR(IF(H$21*H$22*H$24*H26&gt;0,STDEV(H$21, H$22, H$24, H$26),"")/IF(H$21*H$22*H$24*H26&gt;0,AVERAGE(H$21, H$22, H$24, H$26),""),"")</f>
        <v/>
      </c>
      <c r="Y119" s="294" t="str">
        <f aca="false">IFERROR(IF(I$21*I$22*I$24*I26&gt;0,STDEV(I$21, I$22, I$24, I$26),"")/IF(I$21*I$22*I$24*I26&gt;0,AVERAGE(I$21, I$22, I$24, I$26),""),"")</f>
        <v/>
      </c>
      <c r="Z119" s="294" t="str">
        <f aca="false">IFERROR(IF(J$21*J$22*J$24*J26&gt;0,STDEV(J$21, J$22, J$24, J$26),"")/IF(J$21*J$22*J$24*J26&gt;0,AVERAGE(J$21, J$22, J$24, J$26),""),"")</f>
        <v/>
      </c>
      <c r="AA119" s="294" t="str">
        <f aca="false">IFERROR(IF(K$21*K$22*K$24*K26&gt;0,STDEV(K$21, K$22, K$24, K$26),"")/IF(K$21*K$22*K$24*K26&gt;0,AVERAGE(K$21, K$22, K$24, K$26),""),"")</f>
        <v/>
      </c>
      <c r="AB119" s="294" t="str">
        <f aca="false">IFERROR(IF(L$21*L$22*L$24*L26&gt;0,STDEV(L$21, L$22, L$24, L$26),"")/IF(L$21*L$22*L$24*L26&gt;0,AVERAGE(L$21, L$22, L$24, L$26),""),"")</f>
        <v/>
      </c>
      <c r="AC119" s="294" t="str">
        <f aca="false">IFERROR(IF(M$21*M$22*M$24*M26&gt;0,STDEV(M$21, M$22, M$24, M$26),"")/IF(M$21*M$22*M$24*M26&gt;0,AVERAGE(M$21, M$22, M$24, M$26),""),"")</f>
        <v/>
      </c>
      <c r="AD119" s="294" t="str">
        <f aca="false">IFERROR(IF(N$21*N$22*N$24*N26&gt;0,STDEV(N$21, N$22, N$24, N$26),"")/IF(N$21*N$22*N$24*N26&gt;0,AVERAGE(N$21, N$22, N$24, N$26),""),"")</f>
        <v/>
      </c>
      <c r="AE119" s="44"/>
      <c r="AF119" s="266" t="s">
        <v>505</v>
      </c>
      <c r="AG119" s="287" t="str">
        <f aca="false">IFERROR(IF(C$21*C$22*C$24*C26&gt;0,STDEV(C$21, C$22, C$24, C$26)," ")/IF(C$21*C$22*C$24*C26&gt;0,SQRT(COUNT(C$21, C$22, C$24, C$26))," "),"")</f>
        <v/>
      </c>
      <c r="AH119" s="287" t="str">
        <f aca="false">IFERROR(IF(D$21*D$22*D$24*D26&gt;0,STDEV(D$21, D$22, D$24, D$26)," ")/IF(D$21*D$22*D$24*D26&gt;0,SQRT(COUNT(D$21, D$22, D$24, D$26))," "),"")</f>
        <v/>
      </c>
      <c r="AI119" s="287" t="str">
        <f aca="false">IFERROR(IF(E$21*E$22*E$24*E26&gt;0,STDEV(E$21, E$22, E$24, E$26)," ")/IF(E$21*E$22*E$24*E26&gt;0,SQRT(COUNT(E$21, E$22, E$24, E$26))," "),"")</f>
        <v/>
      </c>
      <c r="AJ119" s="287" t="str">
        <f aca="false">IFERROR(IF(F$21*F$22*F$24*F26&gt;0,STDEV(F$21, F$22, F$24, F$26)," ")/IF(F$21*F$22*F$24*F26&gt;0,SQRT(COUNT(F$21, F$22, F$24, F$26))," "),"")</f>
        <v/>
      </c>
      <c r="AK119" s="287" t="str">
        <f aca="false">IFERROR(IF(G$21*G$22*G$24*G26&gt;0,STDEV(G$21, G$22, G$24, G$26)," ")/IF(G$21*G$22*G$24*G26&gt;0,SQRT(COUNT(G$21, G$22, G$24, G$26))," "),"")</f>
        <v/>
      </c>
      <c r="AL119" s="287" t="str">
        <f aca="false">IFERROR(IF(H$21*H$22*H$24*H26&gt;0,STDEV(H$21, H$22, H$24, H$26)," ")/IF(H$21*H$22*H$24*H26&gt;0,SQRT(COUNT(H$21, H$22, H$24, H$26))," "),"")</f>
        <v/>
      </c>
      <c r="AM119" s="287" t="str">
        <f aca="false">IFERROR(IF(I$21*I$22*I$24*I26&gt;0,STDEV(I$21, I$22, I$24, I$26)," ")/IF(I$21*I$22*I$24*I26&gt;0,SQRT(COUNT(I$21, I$22, I$24, I$26))," "),"")</f>
        <v/>
      </c>
      <c r="AN119" s="287" t="str">
        <f aca="false">IFERROR(IF(J$21*J$22*J$24*J26&gt;0,STDEV(J$21, J$22, J$24, J$26)," ")/IF(J$21*J$22*J$24*J26&gt;0,SQRT(COUNT(J$21, J$22, J$24, J$26))," "),"")</f>
        <v/>
      </c>
      <c r="AO119" s="287" t="str">
        <f aca="false">IFERROR(IF(K$21*K$22*K$24*K26&gt;0,STDEV(K$21, K$22, K$24, K$26)," ")/IF(K$21*K$22*K$24*K26&gt;0,SQRT(COUNT(K$21, K$22, K$24, K$26))," "),"")</f>
        <v/>
      </c>
      <c r="AP119" s="287" t="str">
        <f aca="false">IFERROR(IF(L$21*L$22*L$24*L26&gt;0,STDEV(L$21, L$22, L$24, L$26)," ")/IF(L$21*L$22*L$24*L26&gt;0,SQRT(COUNT(L$21, L$22, L$24, L$26))," "),"")</f>
        <v/>
      </c>
      <c r="AQ119" s="287" t="str">
        <f aca="false">IFERROR(IF(M$21*M$22*M$24*M26&gt;0,STDEV(M$21, M$22, M$24, M$26)," ")/IF(M$21*M$22*M$24*M26&gt;0,SQRT(COUNT(M$21, M$22, M$24, M$26))," "),"")</f>
        <v/>
      </c>
      <c r="AR119" s="287" t="str">
        <f aca="false">IFERROR(IF(N$21*N$22*N$24*N26&gt;0,STDEV(N$21, N$22, N$24, N$26)," ")/IF(N$21*N$22*N$24*N26&gt;0,SQRT(COUNT(N$21, N$22, N$24, N$26))," "),"")</f>
        <v/>
      </c>
    </row>
    <row r="120" customFormat="false" ht="15.75" hidden="false" customHeight="false" outlineLevel="0" collapsed="false">
      <c r="A120" s="290" t="s">
        <v>506</v>
      </c>
      <c r="B120" s="281"/>
      <c r="C120" s="302" t="str">
        <f aca="false">IFERROR(IF(C$21*C$22*C$24*C$27&gt;0,AVERAGE(C$21, C$22, C$24, C$27),""),"")</f>
        <v/>
      </c>
      <c r="D120" s="302" t="str">
        <f aca="false">IFERROR(IF(D$21*D$22*D$24*D$27&gt;0,AVERAGE(D$21, D$22, D$24, D$27),""),"")</f>
        <v/>
      </c>
      <c r="E120" s="302" t="str">
        <f aca="false">IFERROR(IF(E$21*E$22*E$24*E$27&gt;0,AVERAGE(E$21, E$22, E$24, E$27),""),"")</f>
        <v/>
      </c>
      <c r="F120" s="302" t="str">
        <f aca="false">IFERROR(IF(F$21*F$22*F$24*F$27&gt;0,AVERAGE(F$21, F$22, F$24, F$27),""),"")</f>
        <v/>
      </c>
      <c r="G120" s="302" t="str">
        <f aca="false">IFERROR(IF(G$21*G$22*G$24*G$27&gt;0,AVERAGE(G$21, G$22, G$24, G$27),""),"")</f>
        <v/>
      </c>
      <c r="H120" s="302" t="str">
        <f aca="false">IFERROR(IF(H$21*H$22*H$24*H$27&gt;0,AVERAGE(H$21, H$22, H$24, H$27),""),"")</f>
        <v/>
      </c>
      <c r="I120" s="302" t="str">
        <f aca="false">IFERROR(IF(I$21*I$22*I$24*I$27&gt;0,AVERAGE(I$21, I$22, I$24, I$27),""),"")</f>
        <v/>
      </c>
      <c r="J120" s="302" t="str">
        <f aca="false">IFERROR(IF(J$21*J$22*J$24*J$27&gt;0,AVERAGE(J$21, J$22, J$24, J$27),""),"")</f>
        <v/>
      </c>
      <c r="K120" s="302" t="str">
        <f aca="false">IFERROR(IF(K$21*K$22*K$24*K$27&gt;0,AVERAGE(K$21, K$22, K$24, K$27),""),"")</f>
        <v/>
      </c>
      <c r="L120" s="302" t="str">
        <f aca="false">IFERROR(IF(L$21*L$22*L$24*L$27&gt;0,AVERAGE(L$21, L$22, L$24, L$27),""),"")</f>
        <v/>
      </c>
      <c r="M120" s="302" t="str">
        <f aca="false">IFERROR(IF(M$21*M$22*M$24*M$27&gt;0,AVERAGE(M$21, M$22, M$24, M$27),""),"")</f>
        <v/>
      </c>
      <c r="N120" s="302" t="str">
        <f aca="false">IFERROR(IF(N$21*N$22*N$24*N$27&gt;0,AVERAGE(N$21, N$22, N$24, N$27),""),"")</f>
        <v/>
      </c>
      <c r="O120" s="282"/>
      <c r="P120" s="282"/>
      <c r="Q120" s="296"/>
      <c r="R120" s="293" t="s">
        <v>507</v>
      </c>
      <c r="S120" s="294" t="str">
        <f aca="false">IFERROR(IF(C$21*C$22*C$24*C$27&gt;0,STDEV(C$21, C$22, C$24, C$27),"")/IF(C$21*C$22*C$24*C$27&gt;0,AVERAGE(C$21, C$22, C$24, C$27),""),"")</f>
        <v/>
      </c>
      <c r="T120" s="294" t="str">
        <f aca="false">IFERROR(IF(D$21*D$22*D$24*D$27&gt;0,STDEV(D$21, D$22, D$24, D$27),"")/IF(D$21*D$22*D$24*D$27&gt;0,AVERAGE(D$21, D$22, D$24, D$27),""),"")</f>
        <v/>
      </c>
      <c r="U120" s="294" t="str">
        <f aca="false">IFERROR(IF(E$21*E$22*E$24*E$27&gt;0,STDEV(E$21, E$22, E$24, E$27),"")/IF(E$21*E$22*E$24*E$27&gt;0,AVERAGE(E$21, E$22, E$24, E$27),""),"")</f>
        <v/>
      </c>
      <c r="V120" s="294" t="str">
        <f aca="false">IFERROR(IF(F$21*F$22*F$24*F$27&gt;0,STDEV(F$21, F$22, F$24, F$27),"")/IF(F$21*F$22*F$24*F$27&gt;0,AVERAGE(F$21, F$22, F$24, F$27),""),"")</f>
        <v/>
      </c>
      <c r="W120" s="294" t="str">
        <f aca="false">IFERROR(IF(G$21*G$22*G$24*G$27&gt;0,STDEV(G$21, G$22, G$24, G$27),"")/IF(G$21*G$22*G$24*G$27&gt;0,AVERAGE(G$21, G$22, G$24, G$27),""),"")</f>
        <v/>
      </c>
      <c r="X120" s="294" t="str">
        <f aca="false">IFERROR(IF(H$21*H$22*H$24*H$27&gt;0,STDEV(H$21, H$22, H$24, H$27),"")/IF(H$21*H$22*H$24*H$27&gt;0,AVERAGE(H$21, H$22, H$24, H$27),""),"")</f>
        <v/>
      </c>
      <c r="Y120" s="294" t="str">
        <f aca="false">IFERROR(IF(I$21*I$22*I$24*I$27&gt;0,STDEV(I$21, I$22, I$24, I$27),"")/IF(I$21*I$22*I$24*I$27&gt;0,AVERAGE(I$21, I$22, I$24, I$27),""),"")</f>
        <v/>
      </c>
      <c r="Z120" s="294" t="str">
        <f aca="false">IFERROR(IF(J$21*J$22*J$24*J$27&gt;0,STDEV(J$21, J$22, J$24, J$27),"")/IF(J$21*J$22*J$24*J$27&gt;0,AVERAGE(J$21, J$22, J$24, J$27),""),"")</f>
        <v/>
      </c>
      <c r="AA120" s="294" t="str">
        <f aca="false">IFERROR(IF(K$21*K$22*K$24*K$27&gt;0,STDEV(K$21, K$22, K$24, K$27),"")/IF(K$21*K$22*K$24*K$27&gt;0,AVERAGE(K$21, K$22, K$24, K$27),""),"")</f>
        <v/>
      </c>
      <c r="AB120" s="294" t="str">
        <f aca="false">IFERROR(IF(L$21*L$22*L$24*L$27&gt;0,STDEV(L$21, L$22, L$24, L$27),"")/IF(L$21*L$22*L$24*L$27&gt;0,AVERAGE(L$21, L$22, L$24, L$27),""),"")</f>
        <v/>
      </c>
      <c r="AC120" s="294" t="str">
        <f aca="false">IFERROR(IF(M$21*M$22*M$24*M$27&gt;0,STDEV(M$21, M$22, M$24, M$27),"")/IF(M$21*M$22*M$24*M$27&gt;0,AVERAGE(M$21, M$22, M$24, M$27),""),"")</f>
        <v/>
      </c>
      <c r="AD120" s="294" t="str">
        <f aca="false">IFERROR(IF(N$21*N$22*N$24*N$27&gt;0,STDEV(N$21, N$22, N$24, N$27),"")/IF(N$21*N$22*N$24*N$27&gt;0,AVERAGE(N$21, N$22, N$24, N$27),""),"")</f>
        <v/>
      </c>
      <c r="AE120" s="44"/>
      <c r="AF120" s="266" t="s">
        <v>508</v>
      </c>
      <c r="AG120" s="287" t="str">
        <f aca="false">IFERROR(IF(C$21*C$22*C$24*C$27&gt;0,STDEV(C$21, C$22, C$24, C$27)," ")/IF(C$21*C$22*C$24*C$27&gt;0,SQRT(COUNT(C$21, C$22, C$24, C$27))," "),"")</f>
        <v/>
      </c>
      <c r="AH120" s="287" t="str">
        <f aca="false">IFERROR(IF(D$21*D$22*D$24*D$27&gt;0,STDEV(D$21, D$22, D$24, D$27)," ")/IF(D$21*D$22*D$24*D$27&gt;0,SQRT(COUNT(D$21, D$22, D$24, D$27))," "),"")</f>
        <v/>
      </c>
      <c r="AI120" s="287" t="str">
        <f aca="false">IFERROR(IF(E$21*E$22*E$24*E$27&gt;0,STDEV(E$21, E$22, E$24, E$27)," ")/IF(E$21*E$22*E$24*E$27&gt;0,SQRT(COUNT(E$21, E$22, E$24, E$27))," "),"")</f>
        <v/>
      </c>
      <c r="AJ120" s="287" t="str">
        <f aca="false">IFERROR(IF(F$21*F$22*F$24*F$27&gt;0,STDEV(F$21, F$22, F$24, F$27)," ")/IF(F$21*F$22*F$24*F$27&gt;0,SQRT(COUNT(F$21, F$22, F$24, F$27))," "),"")</f>
        <v/>
      </c>
      <c r="AK120" s="287" t="str">
        <f aca="false">IFERROR(IF(G$21*G$22*G$24*G$27&gt;0,STDEV(G$21, G$22, G$24, G$27)," ")/IF(G$21*G$22*G$24*G$27&gt;0,SQRT(COUNT(G$21, G$22, G$24, G$27))," "),"")</f>
        <v/>
      </c>
      <c r="AL120" s="287" t="str">
        <f aca="false">IFERROR(IF(H$21*H$22*H$24*H$27&gt;0,STDEV(H$21, H$22, H$24, H$27)," ")/IF(H$21*H$22*H$24*H$27&gt;0,SQRT(COUNT(H$21, H$22, H$24, H$27))," "),"")</f>
        <v/>
      </c>
      <c r="AM120" s="287" t="str">
        <f aca="false">IFERROR(IF(I$21*I$22*I$24*I$27&gt;0,STDEV(I$21, I$22, I$24, I$27)," ")/IF(I$21*I$22*I$24*I$27&gt;0,SQRT(COUNT(I$21, I$22, I$24, I$27))," "),"")</f>
        <v/>
      </c>
      <c r="AN120" s="287" t="str">
        <f aca="false">IFERROR(IF(J$21*J$22*J$24*J$27&gt;0,STDEV(J$21, J$22, J$24, J$27)," ")/IF(J$21*J$22*J$24*J$27&gt;0,SQRT(COUNT(J$21, J$22, J$24, J$27))," "),"")</f>
        <v/>
      </c>
      <c r="AO120" s="287" t="str">
        <f aca="false">IFERROR(IF(K$21*K$22*K$24*K$27&gt;0,STDEV(K$21, K$22, K$24, K$27)," ")/IF(K$21*K$22*K$24*K$27&gt;0,SQRT(COUNT(K$21, K$22, K$24, K$27))," "),"")</f>
        <v/>
      </c>
      <c r="AP120" s="287" t="str">
        <f aca="false">IFERROR(IF(L$21*L$22*L$24*L$27&gt;0,STDEV(L$21, L$22, L$24, L$27)," ")/IF(L$21*L$22*L$24*L$27&gt;0,SQRT(COUNT(L$21, L$22, L$24, L$27))," "),"")</f>
        <v/>
      </c>
      <c r="AQ120" s="287" t="str">
        <f aca="false">IFERROR(IF(M$21*M$22*M$24*M$27&gt;0,STDEV(M$21, M$22, M$24, M$27)," ")/IF(M$21*M$22*M$24*M$27&gt;0,SQRT(COUNT(M$21, M$22, M$24, M$27))," "),"")</f>
        <v/>
      </c>
      <c r="AR120" s="287" t="str">
        <f aca="false">IFERROR(IF(N$21*N$22*N$24*N$27&gt;0,STDEV(N$21, N$22, N$24, N$27)," ")/IF(N$21*N$22*N$24*N$27&gt;0,SQRT(COUNT(N$21, N$22, N$24, N$27))," "),"")</f>
        <v/>
      </c>
    </row>
    <row r="121" customFormat="false" ht="15.75" hidden="false" customHeight="false" outlineLevel="0" collapsed="false">
      <c r="A121" s="290" t="s">
        <v>452</v>
      </c>
      <c r="B121" s="281"/>
      <c r="C121" s="302" t="str">
        <f aca="false">IFERROR(IF(C$21*C$22*C$23*C27&gt;0,AVERAGE(C$21, C$22, C$23, C$27),""),"")</f>
        <v/>
      </c>
      <c r="D121" s="302" t="str">
        <f aca="false">IFERROR(IF(D$21*D$22*D$23*D27&gt;0,AVERAGE(D$21, D$22, D$23, D$27),""),"")</f>
        <v/>
      </c>
      <c r="E121" s="302" t="str">
        <f aca="false">IFERROR(IF(E$21*E$22*E$23*E27&gt;0,AVERAGE(E$21, E$22, E$23, E$27),""),"")</f>
        <v/>
      </c>
      <c r="F121" s="302" t="str">
        <f aca="false">IFERROR(IF(F$21*F$22*F$23*F27&gt;0,AVERAGE(F$21, F$22, F$23, F$27),""),"")</f>
        <v/>
      </c>
      <c r="G121" s="302" t="str">
        <f aca="false">IFERROR(IF(G$21*G$22*G$23*G27&gt;0,AVERAGE(G$21, G$22, G$23, G$27),""),"")</f>
        <v/>
      </c>
      <c r="H121" s="302" t="str">
        <f aca="false">IFERROR(IF(H$21*H$22*H$23*H27&gt;0,AVERAGE(H$21, H$22, H$23, H$27),""),"")</f>
        <v/>
      </c>
      <c r="I121" s="302" t="str">
        <f aca="false">IFERROR(IF(I$21*I$22*I$23*I27&gt;0,AVERAGE(I$21, I$22, I$23, I$27),""),"")</f>
        <v/>
      </c>
      <c r="J121" s="302" t="str">
        <f aca="false">IFERROR(IF(J$21*J$22*J$23*J27&gt;0,AVERAGE(J$21, J$22, J$23, J$27),""),"")</f>
        <v/>
      </c>
      <c r="K121" s="302" t="str">
        <f aca="false">IFERROR(IF(K$21*K$22*K$23*K27&gt;0,AVERAGE(K$21, K$22, K$23, K$27),""),"")</f>
        <v/>
      </c>
      <c r="L121" s="302" t="str">
        <f aca="false">IFERROR(IF(L$21*L$22*L$23*L27&gt;0,AVERAGE(L$21, L$22, L$23, L$27),""),"")</f>
        <v/>
      </c>
      <c r="M121" s="302" t="str">
        <f aca="false">IFERROR(IF(M$21*M$22*M$23*M27&gt;0,AVERAGE(M$21, M$22, M$23, M$27),""),"")</f>
        <v/>
      </c>
      <c r="N121" s="302" t="str">
        <f aca="false">IFERROR(IF(N$21*N$22*N$23*N27&gt;0,AVERAGE(N$21, N$22, N$23, N$27),""),"")</f>
        <v/>
      </c>
      <c r="O121" s="282"/>
      <c r="P121" s="282"/>
      <c r="Q121" s="296"/>
      <c r="R121" s="293" t="s">
        <v>453</v>
      </c>
      <c r="S121" s="294" t="str">
        <f aca="false">IFERROR(IF(C$21*C$22*C$23*C27&gt;0,STDEV(C$21, C$22, C$23, C$27),"")/IF(C$21*C$22*C$23*C27&gt;0,AVERAGE(C$21, C$22, C$23, C$27),""),"")</f>
        <v/>
      </c>
      <c r="T121" s="294" t="str">
        <f aca="false">IFERROR(IF(D$21*D$22*D$23*D27&gt;0,STDEV(D$21, D$22, D$23, D$27),"")/IF(D$21*D$22*D$23*D27&gt;0,AVERAGE(D$21, D$22, D$23, D$27),""),"")</f>
        <v/>
      </c>
      <c r="U121" s="294" t="str">
        <f aca="false">IFERROR(IF(E$21*E$22*E$23*E27&gt;0,STDEV(E$21, E$22, E$23, E$27),"")/IF(E$21*E$22*E$23*E27&gt;0,AVERAGE(E$21, E$22, E$23, E$27),""),"")</f>
        <v/>
      </c>
      <c r="V121" s="294" t="str">
        <f aca="false">IFERROR(IF(F$21*F$22*F$23*F27&gt;0,STDEV(F$21, F$22, F$23, F$27),"")/IF(F$21*F$22*F$23*F27&gt;0,AVERAGE(F$21, F$22, F$23, F$27),""),"")</f>
        <v/>
      </c>
      <c r="W121" s="294" t="str">
        <f aca="false">IFERROR(IF(G$21*G$22*G$23*G27&gt;0,STDEV(G$21, G$22, G$23, G$27),"")/IF(G$21*G$22*G$23*G27&gt;0,AVERAGE(G$21, G$22, G$23, G$27),""),"")</f>
        <v/>
      </c>
      <c r="X121" s="294" t="str">
        <f aca="false">IFERROR(IF(H$21*H$22*H$23*H27&gt;0,STDEV(H$21, H$22, H$23, H$27),"")/IF(H$21*H$22*H$23*H27&gt;0,AVERAGE(H$21, H$22, H$23, H$27),""),"")</f>
        <v/>
      </c>
      <c r="Y121" s="294" t="str">
        <f aca="false">IFERROR(IF(I$21*I$22*I$23*I27&gt;0,STDEV(I$21, I$22, I$23, I$27),"")/IF(I$21*I$22*I$23*I27&gt;0,AVERAGE(I$21, I$22, I$23, I$27),""),"")</f>
        <v/>
      </c>
      <c r="Z121" s="294" t="str">
        <f aca="false">IFERROR(IF(J$21*J$22*J$23*J27&gt;0,STDEV(J$21, J$22, J$23, J$27),"")/IF(J$21*J$22*J$23*J27&gt;0,AVERAGE(J$21, J$22, J$23, J$27),""),"")</f>
        <v/>
      </c>
      <c r="AA121" s="294" t="str">
        <f aca="false">IFERROR(IF(K$21*K$22*K$23*K27&gt;0,STDEV(K$21, K$22, K$23, K$27),"")/IF(K$21*K$22*K$23*K27&gt;0,AVERAGE(K$21, K$22, K$23, K$27),""),"")</f>
        <v/>
      </c>
      <c r="AB121" s="294" t="str">
        <f aca="false">IFERROR(IF(L$21*L$22*L$23*L27&gt;0,STDEV(L$21, L$22, L$23, L$27),"")/IF(L$21*L$22*L$23*L27&gt;0,AVERAGE(L$21, L$22, L$23, L$27),""),"")</f>
        <v/>
      </c>
      <c r="AC121" s="294" t="str">
        <f aca="false">IFERROR(IF(M$21*M$22*M$23*M27&gt;0,STDEV(M$21, M$22, M$23, M$27),"")/IF(M$21*M$22*M$23*M27&gt;0,AVERAGE(M$21, M$22, M$23, M$27),""),"")</f>
        <v/>
      </c>
      <c r="AD121" s="294" t="str">
        <f aca="false">IFERROR(IF(N$21*N$22*N$23*N27&gt;0,STDEV(N$21, N$22, N$23, N$27),"")/IF(N$21*N$22*N$23*N27&gt;0,AVERAGE(N$21, N$22, N$23, N$27),""),"")</f>
        <v/>
      </c>
      <c r="AE121" s="44"/>
      <c r="AF121" s="266" t="s">
        <v>454</v>
      </c>
      <c r="AG121" s="287" t="str">
        <f aca="false">IFERROR(IF(C$21*C$22*C$23*C27&gt;0,STDEV(C$21, C$22, C$23, C$27)," ")/IF(C$21*C$22*C$23*C27&gt;0,SQRT(COUNT(C$21, C$22, C$23, C$27))," "),"")</f>
        <v/>
      </c>
      <c r="AH121" s="287" t="str">
        <f aca="false">IFERROR(IF(D$21*D$22*D$23*D27&gt;0,STDEV(D$21, D$22, D$23, D$27)," ")/IF(D$21*D$22*D$23*D27&gt;0,SQRT(COUNT(D$21, D$22, D$23, D$27))," "),"")</f>
        <v/>
      </c>
      <c r="AI121" s="287" t="str">
        <f aca="false">IFERROR(IF(E$21*E$22*E$23*E27&gt;0,STDEV(E$21, E$22, E$23, E$27)," ")/IF(E$21*E$22*E$23*E27&gt;0,SQRT(COUNT(E$21, E$22, E$23, E$27))," "),"")</f>
        <v/>
      </c>
      <c r="AJ121" s="287" t="str">
        <f aca="false">IFERROR(IF(F$21*F$22*F$23*F27&gt;0,STDEV(F$21, F$22, F$23, F$27)," ")/IF(F$21*F$22*F$23*F27&gt;0,SQRT(COUNT(F$21, F$22, F$23, F$27))," "),"")</f>
        <v/>
      </c>
      <c r="AK121" s="287" t="str">
        <f aca="false">IFERROR(IF(G$21*G$22*G$23*G27&gt;0,STDEV(G$21, G$22, G$23, G$27)," ")/IF(G$21*G$22*G$23*G27&gt;0,SQRT(COUNT(G$21, G$22, G$23, G$27))," "),"")</f>
        <v/>
      </c>
      <c r="AL121" s="287" t="str">
        <f aca="false">IFERROR(IF(H$21*H$22*H$23*H27&gt;0,STDEV(H$21, H$22, H$23, H$27)," ")/IF(H$21*H$22*H$23*H27&gt;0,SQRT(COUNT(H$21, H$22, H$23, H$27))," "),"")</f>
        <v/>
      </c>
      <c r="AM121" s="287" t="str">
        <f aca="false">IFERROR(IF(I$21*I$22*I$23*I27&gt;0,STDEV(I$21, I$22, I$23, I$27)," ")/IF(I$21*I$22*I$23*I27&gt;0,SQRT(COUNT(I$21, I$22, I$23, I$27))," "),"")</f>
        <v/>
      </c>
      <c r="AN121" s="287" t="str">
        <f aca="false">IFERROR(IF(J$21*J$22*J$23*J27&gt;0,STDEV(J$21, J$22, J$23, J$27)," ")/IF(J$21*J$22*J$23*J27&gt;0,SQRT(COUNT(J$21, J$22, J$23, J$27))," "),"")</f>
        <v/>
      </c>
      <c r="AO121" s="287" t="str">
        <f aca="false">IFERROR(IF(K$21*K$22*K$23*K27&gt;0,STDEV(K$21, K$22, K$23, K$27)," ")/IF(K$21*K$22*K$23*K27&gt;0,SQRT(COUNT(K$21, K$22, K$23, K$27))," "),"")</f>
        <v/>
      </c>
      <c r="AP121" s="287" t="str">
        <f aca="false">IFERROR(IF(L$21*L$22*L$23*L27&gt;0,STDEV(L$21, L$22, L$23, L$27)," ")/IF(L$21*L$22*L$23*L27&gt;0,SQRT(COUNT(L$21, L$22, L$23, L$27))," "),"")</f>
        <v/>
      </c>
      <c r="AQ121" s="287" t="str">
        <f aca="false">IFERROR(IF(M$21*M$22*M$23*M27&gt;0,STDEV(M$21, M$22, M$23, M$27)," ")/IF(M$21*M$22*M$23*M27&gt;0,SQRT(COUNT(M$21, M$22, M$23, M$27))," "),"")</f>
        <v/>
      </c>
      <c r="AR121" s="287" t="str">
        <f aca="false">IFERROR(IF(N$21*N$22*N$23*N27&gt;0,STDEV(N$21, N$22, N$23, N$27)," ")/IF(N$21*N$22*N$23*N27&gt;0,SQRT(COUNT(N$21, N$22, N$23, N$27))," "),"")</f>
        <v/>
      </c>
    </row>
    <row r="122" customFormat="false" ht="15.75" hidden="false" customHeight="false" outlineLevel="0" collapsed="false">
      <c r="A122" s="290" t="s">
        <v>509</v>
      </c>
      <c r="B122" s="281"/>
      <c r="C122" s="302" t="str">
        <f aca="false">IFERROR(IF(C$21*C$22*C$26*C$27&gt;0,AVERAGE(C$21, C$22, C$26, C$27),""),"")</f>
        <v/>
      </c>
      <c r="D122" s="302" t="str">
        <f aca="false">IFERROR(IF(D$21*D$22*D$26*D$27&gt;0,AVERAGE(D$21, D$22, D$26, D$27),""),"")</f>
        <v/>
      </c>
      <c r="E122" s="302" t="str">
        <f aca="false">IFERROR(IF(E$21*E$22*E$26*E$27&gt;0,AVERAGE(E$21, E$22, E$26, E$27),""),"")</f>
        <v/>
      </c>
      <c r="F122" s="302" t="str">
        <f aca="false">IFERROR(IF(F$21*F$22*F$26*F$27&gt;0,AVERAGE(F$21, F$22, F$26, F$27),""),"")</f>
        <v/>
      </c>
      <c r="G122" s="302" t="str">
        <f aca="false">IFERROR(IF(G$21*G$22*G$26*G$27&gt;0,AVERAGE(G$21, G$22, G$26, G$27),""),"")</f>
        <v/>
      </c>
      <c r="H122" s="302" t="str">
        <f aca="false">IFERROR(IF(H$21*H$22*H$26*H$27&gt;0,AVERAGE(H$21, H$22, H$26, H$27),""),"")</f>
        <v/>
      </c>
      <c r="I122" s="302" t="str">
        <f aca="false">IFERROR(IF(I$21*I$22*I$26*I$27&gt;0,AVERAGE(I$21, I$22, I$26, I$27),""),"")</f>
        <v/>
      </c>
      <c r="J122" s="302" t="str">
        <f aca="false">IFERROR(IF(J$21*J$22*J$26*J$27&gt;0,AVERAGE(J$21, J$22, J$26, J$27),""),"")</f>
        <v/>
      </c>
      <c r="K122" s="302" t="str">
        <f aca="false">IFERROR(IF(K$21*K$22*K$26*K$27&gt;0,AVERAGE(K$21, K$22, K$26, K$27),""),"")</f>
        <v/>
      </c>
      <c r="L122" s="302" t="str">
        <f aca="false">IFERROR(IF(L$21*L$22*L$26*L$27&gt;0,AVERAGE(L$21, L$22, L$26, L$27),""),"")</f>
        <v/>
      </c>
      <c r="M122" s="302" t="str">
        <f aca="false">IFERROR(IF(M$21*M$22*M$26*M$27&gt;0,AVERAGE(M$21, M$22, M$26, M$27),""),"")</f>
        <v/>
      </c>
      <c r="N122" s="302" t="str">
        <f aca="false">IFERROR(IF(N$21*N$22*N$26*N$27&gt;0,AVERAGE(N$21, N$22, N$26, N$27),""),"")</f>
        <v/>
      </c>
      <c r="O122" s="282"/>
      <c r="P122" s="282"/>
      <c r="Q122" s="296"/>
      <c r="R122" s="293" t="s">
        <v>510</v>
      </c>
      <c r="S122" s="294" t="str">
        <f aca="false">IFERROR(IF(C$21*C$22*C$26*C$27&gt;0,STDEV(C$21, C$22, C$26, C$27),"")/IF(C$21*C$22*C$26*C$27&gt;0,AVERAGE(C$21, C$22, C$26, C$27),""),"")</f>
        <v/>
      </c>
      <c r="T122" s="294" t="str">
        <f aca="false">IFERROR(IF(D$21*D$22*D$26*D$27&gt;0,STDEV(D$21, D$22, D$26, D$27),"")/IF(D$21*D$22*D$26*D$27&gt;0,AVERAGE(D$21, D$22, D$26, D$27),""),"")</f>
        <v/>
      </c>
      <c r="U122" s="294" t="str">
        <f aca="false">IFERROR(IF(E$21*E$22*E$26*E$27&gt;0,STDEV(E$21, E$22, E$26, E$27),"")/IF(E$21*E$22*E$26*E$27&gt;0,AVERAGE(E$21, E$22, E$26, E$27),""),"")</f>
        <v/>
      </c>
      <c r="V122" s="294" t="str">
        <f aca="false">IFERROR(IF(F$21*F$22*F$26*F$27&gt;0,STDEV(F$21, F$22, F$26, F$27),"")/IF(F$21*F$22*F$26*F$27&gt;0,AVERAGE(F$21, F$22, F$26, F$27),""),"")</f>
        <v/>
      </c>
      <c r="W122" s="294" t="str">
        <f aca="false">IFERROR(IF(G$21*G$22*G$26*G$27&gt;0,STDEV(G$21, G$22, G$26, G$27),"")/IF(G$21*G$22*G$26*G$27&gt;0,AVERAGE(G$21, G$22, G$26, G$27),""),"")</f>
        <v/>
      </c>
      <c r="X122" s="294" t="str">
        <f aca="false">IFERROR(IF(H$21*H$22*H$26*H$27&gt;0,STDEV(H$21, H$22, H$26, H$27),"")/IF(H$21*H$22*H$26*H$27&gt;0,AVERAGE(H$21, H$22, H$26, H$27),""),"")</f>
        <v/>
      </c>
      <c r="Y122" s="294" t="str">
        <f aca="false">IFERROR(IF(I$21*I$22*I$26*I$27&gt;0,STDEV(I$21, I$22, I$26, I$27),"")/IF(I$21*I$22*I$26*I$27&gt;0,AVERAGE(I$21, I$22, I$26, I$27),""),"")</f>
        <v/>
      </c>
      <c r="Z122" s="294" t="str">
        <f aca="false">IFERROR(IF(J$21*J$22*J$26*J$27&gt;0,STDEV(J$21, J$22, J$26, J$27),"")/IF(J$21*J$22*J$26*J$27&gt;0,AVERAGE(J$21, J$22, J$26, J$27),""),"")</f>
        <v/>
      </c>
      <c r="AA122" s="294" t="str">
        <f aca="false">IFERROR(IF(K$21*K$22*K$26*K$27&gt;0,STDEV(K$21, K$22, K$26, K$27),"")/IF(K$21*K$22*K$26*K$27&gt;0,AVERAGE(K$21, K$22, K$26, K$27),""),"")</f>
        <v/>
      </c>
      <c r="AB122" s="294" t="str">
        <f aca="false">IFERROR(IF(L$21*L$22*L$26*L$27&gt;0,STDEV(L$21, L$22, L$26, L$27),"")/IF(L$21*L$22*L$26*L$27&gt;0,AVERAGE(L$21, L$22, L$26, L$27),""),"")</f>
        <v/>
      </c>
      <c r="AC122" s="294" t="str">
        <f aca="false">IFERROR(IF(M$21*M$22*M$26*M$27&gt;0,STDEV(M$21, M$22, M$26, M$27),"")/IF(M$21*M$22*M$26*M$27&gt;0,AVERAGE(M$21, M$22, M$26, M$27),""),"")</f>
        <v/>
      </c>
      <c r="AD122" s="294" t="str">
        <f aca="false">IFERROR(IF(N$21*N$22*N$26*N$27&gt;0,STDEV(N$21, N$22, N$26, N$27),"")/IF(N$21*N$22*N$26*N$27&gt;0,AVERAGE(N$21, N$22, N$26, N$27),""),"")</f>
        <v/>
      </c>
      <c r="AE122" s="44"/>
      <c r="AF122" s="266" t="s">
        <v>511</v>
      </c>
      <c r="AG122" s="287" t="str">
        <f aca="false">IFERROR(IF(C$21*C$22*C$26*C$27&gt;0,STDEV(C$21, C$22, C$26, C$27)," ")/IF(C$21*C$22*C$26*C$27&gt;0,SQRT(COUNT(C$21, C$22, C$26, C$27))," "),"")</f>
        <v/>
      </c>
      <c r="AH122" s="287" t="str">
        <f aca="false">IFERROR(IF(D$21*D$22*D$26*D$27&gt;0,STDEV(D$21, D$22, D$26, D$27)," ")/IF(D$21*D$22*D$26*D$27&gt;0,SQRT(COUNT(D$21, D$22, D$26, D$27))," "),"")</f>
        <v/>
      </c>
      <c r="AI122" s="287" t="str">
        <f aca="false">IFERROR(IF(E$21*E$22*E$26*E$27&gt;0,STDEV(E$21, E$22, E$26, E$27)," ")/IF(E$21*E$22*E$26*E$27&gt;0,SQRT(COUNT(E$21, E$22, E$26, E$27))," "),"")</f>
        <v/>
      </c>
      <c r="AJ122" s="287" t="str">
        <f aca="false">IFERROR(IF(F$21*F$22*F$26*F$27&gt;0,STDEV(F$21, F$22, F$26, F$27)," ")/IF(F$21*F$22*F$26*F$27&gt;0,SQRT(COUNT(F$21, F$22, F$26, F$27))," "),"")</f>
        <v/>
      </c>
      <c r="AK122" s="287" t="str">
        <f aca="false">IFERROR(IF(G$21*G$22*G$26*G$27&gt;0,STDEV(G$21, G$22, G$26, G$27)," ")/IF(G$21*G$22*G$26*G$27&gt;0,SQRT(COUNT(G$21, G$22, G$26, G$27))," "),"")</f>
        <v/>
      </c>
      <c r="AL122" s="287" t="str">
        <f aca="false">IFERROR(IF(H$21*H$22*H$26*H$27&gt;0,STDEV(H$21, H$22, H$26, H$27)," ")/IF(H$21*H$22*H$26*H$27&gt;0,SQRT(COUNT(H$21, H$22, H$26, H$27))," "),"")</f>
        <v/>
      </c>
      <c r="AM122" s="287" t="str">
        <f aca="false">IFERROR(IF(I$21*I$22*I$26*I$27&gt;0,STDEV(I$21, I$22, I$26, I$27)," ")/IF(I$21*I$22*I$26*I$27&gt;0,SQRT(COUNT(I$21, I$22, I$26, I$27))," "),"")</f>
        <v/>
      </c>
      <c r="AN122" s="287" t="str">
        <f aca="false">IFERROR(IF(J$21*J$22*J$26*J$27&gt;0,STDEV(J$21, J$22, J$26, J$27)," ")/IF(J$21*J$22*J$26*J$27&gt;0,SQRT(COUNT(J$21, J$22, J$26, J$27))," "),"")</f>
        <v/>
      </c>
      <c r="AO122" s="287" t="str">
        <f aca="false">IFERROR(IF(K$21*K$22*K$26*K$27&gt;0,STDEV(K$21, K$22, K$26, K$27)," ")/IF(K$21*K$22*K$26*K$27&gt;0,SQRT(COUNT(K$21, K$22, K$26, K$27))," "),"")</f>
        <v/>
      </c>
      <c r="AP122" s="287" t="str">
        <f aca="false">IFERROR(IF(L$21*L$22*L$26*L$27&gt;0,STDEV(L$21, L$22, L$26, L$27)," ")/IF(L$21*L$22*L$26*L$27&gt;0,SQRT(COUNT(L$21, L$22, L$26, L$27))," "),"")</f>
        <v/>
      </c>
      <c r="AQ122" s="287" t="str">
        <f aca="false">IFERROR(IF(M$21*M$22*M$26*M$27&gt;0,STDEV(M$21, M$22, M$26, M$27)," ")/IF(M$21*M$22*M$26*M$27&gt;0,SQRT(COUNT(M$21, M$22, M$26, M$27))," "),"")</f>
        <v/>
      </c>
      <c r="AR122" s="287" t="str">
        <f aca="false">IFERROR(IF(N$21*N$22*N$26*N$27&gt;0,STDEV(N$21, N$22, N$26, N$27)," ")/IF(N$21*N$22*N$26*N$27&gt;0,SQRT(COUNT(N$21, N$22, N$26, N$27))," "),"")</f>
        <v/>
      </c>
    </row>
    <row r="123" customFormat="false" ht="15.75" hidden="false" customHeight="false" outlineLevel="0" collapsed="false">
      <c r="A123" s="290" t="s">
        <v>512</v>
      </c>
      <c r="B123" s="281"/>
      <c r="C123" s="302" t="str">
        <f aca="false">IFERROR(IF(C$21*C$23*C$26*C$27&gt;0,AVERAGE(C$21, C$23, C$26, C$27),""),"")</f>
        <v/>
      </c>
      <c r="D123" s="302" t="str">
        <f aca="false">IFERROR(IF(D$21*D$23*D$26*D$27&gt;0,AVERAGE(D$21, D$23, D$26, D$27),""),"")</f>
        <v/>
      </c>
      <c r="E123" s="302" t="str">
        <f aca="false">IFERROR(IF(E$21*E$23*E$26*E$27&gt;0,AVERAGE(E$21, E$23, E$26, E$27),""),"")</f>
        <v/>
      </c>
      <c r="F123" s="302" t="str">
        <f aca="false">IFERROR(IF(F$21*F$23*F$26*F$27&gt;0,AVERAGE(F$21, F$23, F$26, F$27),""),"")</f>
        <v/>
      </c>
      <c r="G123" s="302" t="str">
        <f aca="false">IFERROR(IF(G$21*G$23*G$26*G$27&gt;0,AVERAGE(G$21, G$23, G$26, G$27),""),"")</f>
        <v/>
      </c>
      <c r="H123" s="302" t="str">
        <f aca="false">IFERROR(IF(H$21*H$23*H$26*H$27&gt;0,AVERAGE(H$21, H$23, H$26, H$27),""),"")</f>
        <v/>
      </c>
      <c r="I123" s="302" t="str">
        <f aca="false">IFERROR(IF(I$21*I$23*I$26*I$27&gt;0,AVERAGE(I$21, I$23, I$26, I$27),""),"")</f>
        <v/>
      </c>
      <c r="J123" s="302" t="str">
        <f aca="false">IFERROR(IF(J$21*J$23*J$26*J$27&gt;0,AVERAGE(J$21, J$23, J$26, J$27),""),"")</f>
        <v/>
      </c>
      <c r="K123" s="302" t="str">
        <f aca="false">IFERROR(IF(K$21*K$23*K$26*K$27&gt;0,AVERAGE(K$21, K$23, K$26, K$27),""),"")</f>
        <v/>
      </c>
      <c r="L123" s="302" t="str">
        <f aca="false">IFERROR(IF(L$21*L$23*L$26*L$27&gt;0,AVERAGE(L$21, L$23, L$26, L$27),""),"")</f>
        <v/>
      </c>
      <c r="M123" s="302" t="str">
        <f aca="false">IFERROR(IF(M$21*M$23*M$26*M$27&gt;0,AVERAGE(M$21, M$23, M$26, M$27),""),"")</f>
        <v/>
      </c>
      <c r="N123" s="302" t="str">
        <f aca="false">IFERROR(IF(N$21*N$23*N$26*N$27&gt;0,AVERAGE(N$21, N$23, N$26, N$27),""),"")</f>
        <v/>
      </c>
      <c r="O123" s="282"/>
      <c r="P123" s="282"/>
      <c r="Q123" s="296"/>
      <c r="R123" s="293" t="s">
        <v>513</v>
      </c>
      <c r="S123" s="294" t="str">
        <f aca="false">IFERROR(IF(C$21*C$23*C$26*C$27&gt;0,STDEV(C$21, C$23, C$26, C$27),"")/IF(C$21*C$23*C$26*C$27&gt;0,AVERAGE(C$21, C$23, C$26, C$27),""),"")</f>
        <v/>
      </c>
      <c r="T123" s="294" t="str">
        <f aca="false">IFERROR(IF(D$21*D$23*D$26*D$27&gt;0,STDEV(D$21, D$23, D$26, D$27),"")/IF(D$21*D$23*D$26*D$27&gt;0,AVERAGE(D$21, D$23, D$26, D$27),""),"")</f>
        <v/>
      </c>
      <c r="U123" s="294" t="str">
        <f aca="false">IFERROR(IF(E$21*E$23*E$26*E$27&gt;0,STDEV(E$21, E$23, E$26, E$27),"")/IF(E$21*E$23*E$26*E$27&gt;0,AVERAGE(E$21, E$23, E$26, E$27),""),"")</f>
        <v/>
      </c>
      <c r="V123" s="294" t="str">
        <f aca="false">IFERROR(IF(F$21*F$23*F$26*F$27&gt;0,STDEV(F$21, F$23, F$26, F$27),"")/IF(F$21*F$23*F$26*F$27&gt;0,AVERAGE(F$21, F$23, F$26, F$27),""),"")</f>
        <v/>
      </c>
      <c r="W123" s="294" t="str">
        <f aca="false">IFERROR(IF(G$21*G$23*G$26*G$27&gt;0,STDEV(G$21, G$23, G$26, G$27),"")/IF(G$21*G$23*G$26*G$27&gt;0,AVERAGE(G$21, G$23, G$26, G$27),""),"")</f>
        <v/>
      </c>
      <c r="X123" s="294" t="str">
        <f aca="false">IFERROR(IF(H$21*H$23*H$26*H$27&gt;0,STDEV(H$21, H$23, H$26, H$27),"")/IF(H$21*H$23*H$26*H$27&gt;0,AVERAGE(H$21, H$23, H$26, H$27),""),"")</f>
        <v/>
      </c>
      <c r="Y123" s="294" t="str">
        <f aca="false">IFERROR(IF(I$21*I$23*I$26*I$27&gt;0,STDEV(I$21, I$23, I$26, I$27),"")/IF(I$21*I$23*I$26*I$27&gt;0,AVERAGE(I$21, I$23, I$26, I$27),""),"")</f>
        <v/>
      </c>
      <c r="Z123" s="294" t="str">
        <f aca="false">IFERROR(IF(J$21*J$23*J$26*J$27&gt;0,STDEV(J$21, J$23, J$26, J$27),"")/IF(J$21*J$23*J$26*J$27&gt;0,AVERAGE(J$21, J$23, J$26, J$27),""),"")</f>
        <v/>
      </c>
      <c r="AA123" s="294" t="str">
        <f aca="false">IFERROR(IF(K$21*K$23*K$26*K$27&gt;0,STDEV(K$21, K$23, K$26, K$27),"")/IF(K$21*K$23*K$26*K$27&gt;0,AVERAGE(K$21, K$23, K$26, K$27),""),"")</f>
        <v/>
      </c>
      <c r="AB123" s="294" t="str">
        <f aca="false">IFERROR(IF(L$21*L$23*L$26*L$27&gt;0,STDEV(L$21, L$23, L$26, L$27),"")/IF(L$21*L$23*L$26*L$27&gt;0,AVERAGE(L$21, L$23, L$26, L$27),""),"")</f>
        <v/>
      </c>
      <c r="AC123" s="294" t="str">
        <f aca="false">IFERROR(IF(M$21*M$23*M$26*M$27&gt;0,STDEV(M$21, M$23, M$26, M$27),"")/IF(M$21*M$23*M$26*M$27&gt;0,AVERAGE(M$21, M$23, M$26, M$27),""),"")</f>
        <v/>
      </c>
      <c r="AD123" s="294" t="str">
        <f aca="false">IFERROR(IF(N$21*N$23*N$26*N$27&gt;0,STDEV(N$21, N$23, N$26, N$27),"")/IF(N$21*N$23*N$26*N$27&gt;0,AVERAGE(N$21, N$23, N$26, N$27),""),"")</f>
        <v/>
      </c>
      <c r="AE123" s="44"/>
      <c r="AF123" s="266" t="s">
        <v>514</v>
      </c>
      <c r="AG123" s="287" t="str">
        <f aca="false">IFERROR(IF(C$21*C$23*C$26*C$27&gt;0,STDEV(C$21, C$23, C$26, C$27)," ")/IF(C$21*C$23*C$26*C$27&gt;0,SQRT(COUNT(C$21, C$23, C$26, C$27))," "),"")</f>
        <v/>
      </c>
      <c r="AH123" s="287" t="str">
        <f aca="false">IFERROR(IF(D$21*D$23*D$26*D$27&gt;0,STDEV(D$21, D$23, D$26, D$27)," ")/IF(D$21*D$23*D$26*D$27&gt;0,SQRT(COUNT(D$21, D$23, D$26, D$27))," "),"")</f>
        <v/>
      </c>
      <c r="AI123" s="287" t="str">
        <f aca="false">IFERROR(IF(E$21*E$23*E$26*E$27&gt;0,STDEV(E$21, E$23, E$26, E$27)," ")/IF(E$21*E$23*E$26*E$27&gt;0,SQRT(COUNT(E$21, E$23, E$26, E$27))," "),"")</f>
        <v/>
      </c>
      <c r="AJ123" s="287" t="str">
        <f aca="false">IFERROR(IF(F$21*F$23*F$26*F$27&gt;0,STDEV(F$21, F$23, F$26, F$27)," ")/IF(F$21*F$23*F$26*F$27&gt;0,SQRT(COUNT(F$21, F$23, F$26, F$27))," "),"")</f>
        <v/>
      </c>
      <c r="AK123" s="287" t="str">
        <f aca="false">IFERROR(IF(G$21*G$23*G$26*G$27&gt;0,STDEV(G$21, G$23, G$26, G$27)," ")/IF(G$21*G$23*G$26*G$27&gt;0,SQRT(COUNT(G$21, G$23, G$26, G$27))," "),"")</f>
        <v/>
      </c>
      <c r="AL123" s="287" t="str">
        <f aca="false">IFERROR(IF(H$21*H$23*H$26*H$27&gt;0,STDEV(H$21, H$23, H$26, H$27)," ")/IF(H$21*H$23*H$26*H$27&gt;0,SQRT(COUNT(H$21, H$23, H$26, H$27))," "),"")</f>
        <v/>
      </c>
      <c r="AM123" s="287" t="str">
        <f aca="false">IFERROR(IF(I$21*I$23*I$26*I$27&gt;0,STDEV(I$21, I$23, I$26, I$27)," ")/IF(I$21*I$23*I$26*I$27&gt;0,SQRT(COUNT(I$21, I$23, I$26, I$27))," "),"")</f>
        <v/>
      </c>
      <c r="AN123" s="287" t="str">
        <f aca="false">IFERROR(IF(J$21*J$23*J$26*J$27&gt;0,STDEV(J$21, J$23, J$26, J$27)," ")/IF(J$21*J$23*J$26*J$27&gt;0,SQRT(COUNT(J$21, J$23, J$26, J$27))," "),"")</f>
        <v/>
      </c>
      <c r="AO123" s="287" t="str">
        <f aca="false">IFERROR(IF(K$21*K$23*K$26*K$27&gt;0,STDEV(K$21, K$23, K$26, K$27)," ")/IF(K$21*K$23*K$26*K$27&gt;0,SQRT(COUNT(K$21, K$23, K$26, K$27))," "),"")</f>
        <v/>
      </c>
      <c r="AP123" s="287" t="str">
        <f aca="false">IFERROR(IF(L$21*L$23*L$26*L$27&gt;0,STDEV(L$21, L$23, L$26, L$27)," ")/IF(L$21*L$23*L$26*L$27&gt;0,SQRT(COUNT(L$21, L$23, L$26, L$27))," "),"")</f>
        <v/>
      </c>
      <c r="AQ123" s="287" t="str">
        <f aca="false">IFERROR(IF(M$21*M$23*M$26*M$27&gt;0,STDEV(M$21, M$23, M$26, M$27)," ")/IF(M$21*M$23*M$26*M$27&gt;0,SQRT(COUNT(M$21, M$23, M$26, M$27))," "),"")</f>
        <v/>
      </c>
      <c r="AR123" s="287" t="str">
        <f aca="false">IFERROR(IF(N$21*N$23*N$26*N$27&gt;0,STDEV(N$21, N$23, N$26, N$27)," ")/IF(N$21*N$23*N$26*N$27&gt;0,SQRT(COUNT(N$21, N$23, N$26, N$27))," "),"")</f>
        <v/>
      </c>
    </row>
    <row r="124" customFormat="false" ht="15.75" hidden="false" customHeight="false" outlineLevel="0" collapsed="false">
      <c r="A124" s="290" t="s">
        <v>515</v>
      </c>
      <c r="B124" s="281"/>
      <c r="C124" s="302" t="str">
        <f aca="false">IFERROR(IF(C$25*C$26*C$27*C21&gt;0,AVERAGE(C$25:C$27, C21),""),"")</f>
        <v/>
      </c>
      <c r="D124" s="302" t="str">
        <f aca="false">IFERROR(IF(D$25*D$26*D$27*D21&gt;0,AVERAGE(D$25:D$27, D21),""),"")</f>
        <v/>
      </c>
      <c r="E124" s="302" t="str">
        <f aca="false">IFERROR(IF(E$25*E$26*E$27*E21&gt;0,AVERAGE(E$25:E$27, E21),""),"")</f>
        <v/>
      </c>
      <c r="F124" s="302" t="str">
        <f aca="false">IFERROR(IF(F$25*F$26*F$27*F21&gt;0,AVERAGE(F$25:F$27, F21),""),"")</f>
        <v/>
      </c>
      <c r="G124" s="302" t="str">
        <f aca="false">IFERROR(IF(G$25*G$26*G$27*G21&gt;0,AVERAGE(G$25:G$27, G21),""),"")</f>
        <v/>
      </c>
      <c r="H124" s="302" t="str">
        <f aca="false">IFERROR(IF(H$25*H$26*H$27*H21&gt;0,AVERAGE(H$25:H$27, H21),""),"")</f>
        <v/>
      </c>
      <c r="I124" s="302" t="str">
        <f aca="false">IFERROR(IF(I$25*I$26*I$27*I21&gt;0,AVERAGE(I$25:I$27, I21),""),"")</f>
        <v/>
      </c>
      <c r="J124" s="302" t="str">
        <f aca="false">IFERROR(IF(J$25*J$26*J$27*J21&gt;0,AVERAGE(J$25:J$27, J21),""),"")</f>
        <v/>
      </c>
      <c r="K124" s="302" t="str">
        <f aca="false">IFERROR(IF(K$25*K$26*K$27*K21&gt;0,AVERAGE(K$25:K$27, K21),""),"")</f>
        <v/>
      </c>
      <c r="L124" s="302" t="str">
        <f aca="false">IFERROR(IF(L$25*L$26*L$27*L21&gt;0,AVERAGE(L$25:L$27, L21),""),"")</f>
        <v/>
      </c>
      <c r="M124" s="302" t="str">
        <f aca="false">IFERROR(IF(M$25*M$26*M$27*M21&gt;0,AVERAGE(M$25:M$27, M21),""),"")</f>
        <v/>
      </c>
      <c r="N124" s="302" t="str">
        <f aca="false">IFERROR(IF(N$25*N$26*N$27*N21&gt;0,AVERAGE(N$25:N$27, N21),""),"")</f>
        <v/>
      </c>
      <c r="O124" s="282"/>
      <c r="P124" s="282"/>
      <c r="Q124" s="296"/>
      <c r="R124" s="293" t="s">
        <v>516</v>
      </c>
      <c r="S124" s="294" t="str">
        <f aca="false">IFERROR(IF(C$25*C$26*C$27*C21&gt;0,STDEV(C$25:C$27, C21),"")/IF(C$25*C$26*C$27*C21&gt;0,AVERAGE(C$25:C$27, C21),""),"")</f>
        <v/>
      </c>
      <c r="T124" s="294" t="str">
        <f aca="false">IFERROR(IF(D$25*D$26*D$27*D21&gt;0,STDEV(D$25:D$27, D21),"")/IF(D$25*D$26*D$27*D21&gt;0,AVERAGE(D$25:D$27, D21),""),"")</f>
        <v/>
      </c>
      <c r="U124" s="294" t="str">
        <f aca="false">IFERROR(IF(E$25*E$26*E$27*E21&gt;0,STDEV(E$25:E$27, E21),"")/IF(E$25*E$26*E$27*E21&gt;0,AVERAGE(E$25:E$27, E21),""),"")</f>
        <v/>
      </c>
      <c r="V124" s="294" t="str">
        <f aca="false">IFERROR(IF(F$25*F$26*F$27*F21&gt;0,STDEV(F$25:F$27, F21),"")/IF(F$25*F$26*F$27*F21&gt;0,AVERAGE(F$25:F$27, F21),""),"")</f>
        <v/>
      </c>
      <c r="W124" s="294" t="str">
        <f aca="false">IFERROR(IF(G$25*G$26*G$27*G21&gt;0,STDEV(G$25:G$27, G21),"")/IF(G$25*G$26*G$27*G21&gt;0,AVERAGE(G$25:G$27, G21),""),"")</f>
        <v/>
      </c>
      <c r="X124" s="294" t="str">
        <f aca="false">IFERROR(IF(H$25*H$26*H$27*H21&gt;0,STDEV(H$25:H$27, H21),"")/IF(H$25*H$26*H$27*H21&gt;0,AVERAGE(H$25:H$27, H21),""),"")</f>
        <v/>
      </c>
      <c r="Y124" s="294" t="str">
        <f aca="false">IFERROR(IF(I$25*I$26*I$27*I21&gt;0,STDEV(I$25:I$27, I21),"")/IF(I$25*I$26*I$27*I21&gt;0,AVERAGE(I$25:I$27, I21),""),"")</f>
        <v/>
      </c>
      <c r="Z124" s="294" t="str">
        <f aca="false">IFERROR(IF(J$25*J$26*J$27*J21&gt;0,STDEV(J$25:J$27, J21),"")/IF(J$25*J$26*J$27*J21&gt;0,AVERAGE(J$25:J$27, J21),""),"")</f>
        <v/>
      </c>
      <c r="AA124" s="294" t="str">
        <f aca="false">IFERROR(IF(K$25*K$26*K$27*K21&gt;0,STDEV(K$25:K$27, K21),"")/IF(K$25*K$26*K$27*K21&gt;0,AVERAGE(K$25:K$27, K21),""),"")</f>
        <v/>
      </c>
      <c r="AB124" s="294" t="str">
        <f aca="false">IFERROR(IF(L$25*L$26*L$27*L21&gt;0,STDEV(L$25:L$27, L21),"")/IF(L$25*L$26*L$27*L21&gt;0,AVERAGE(L$25:L$27, L21),""),"")</f>
        <v/>
      </c>
      <c r="AC124" s="294" t="str">
        <f aca="false">IFERROR(IF(M$25*M$26*M$27*M21&gt;0,STDEV(M$25:M$27, M21),"")/IF(M$25*M$26*M$27*M21&gt;0,AVERAGE(M$25:M$27, M21),""),"")</f>
        <v/>
      </c>
      <c r="AD124" s="294" t="str">
        <f aca="false">IFERROR(IF(N$25*N$26*N$27*N21&gt;0,STDEV(N$25:N$27, N21),"")/IF(N$25*N$26*N$27*N21&gt;0,AVERAGE(N$25:N$27, N21),""),"")</f>
        <v/>
      </c>
      <c r="AE124" s="44"/>
      <c r="AF124" s="266" t="s">
        <v>517</v>
      </c>
      <c r="AG124" s="287" t="str">
        <f aca="false">IFERROR(IF(C$25*C$26*C$27*C21&gt;0,STDEV(C$25:C$27, C21)," ")/IF(C$25*C$26*C$27*C21&gt;0,SQRT(COUNT(C$25:C$27, C21))," "),"")</f>
        <v/>
      </c>
      <c r="AH124" s="287" t="str">
        <f aca="false">IFERROR(IF(D$25*D$26*D$27*D21&gt;0,STDEV(D$25:D$27, D21)," ")/IF(D$25*D$26*D$27*D21&gt;0,SQRT(COUNT(D$25:D$27, D21))," "),"")</f>
        <v/>
      </c>
      <c r="AI124" s="287" t="str">
        <f aca="false">IFERROR(IF(E$25*E$26*E$27*E21&gt;0,STDEV(E$25:E$27, E21)," ")/IF(E$25*E$26*E$27*E21&gt;0,SQRT(COUNT(E$25:E$27, E21))," "),"")</f>
        <v/>
      </c>
      <c r="AJ124" s="287" t="str">
        <f aca="false">IFERROR(IF(F$25*F$26*F$27*F21&gt;0,STDEV(F$25:F$27, F21)," ")/IF(F$25*F$26*F$27*F21&gt;0,SQRT(COUNT(F$25:F$27, F21))," "),"")</f>
        <v/>
      </c>
      <c r="AK124" s="287" t="str">
        <f aca="false">IFERROR(IF(G$25*G$26*G$27*G21&gt;0,STDEV(G$25:G$27, G21)," ")/IF(G$25*G$26*G$27*G21&gt;0,SQRT(COUNT(G$25:G$27, G21))," "),"")</f>
        <v/>
      </c>
      <c r="AL124" s="287" t="str">
        <f aca="false">IFERROR(IF(H$25*H$26*H$27*H21&gt;0,STDEV(H$25:H$27, H21)," ")/IF(H$25*H$26*H$27*H21&gt;0,SQRT(COUNT(H$25:H$27, H21))," "),"")</f>
        <v/>
      </c>
      <c r="AM124" s="287" t="str">
        <f aca="false">IFERROR(IF(I$25*I$26*I$27*I21&gt;0,STDEV(I$25:I$27, I21)," ")/IF(I$25*I$26*I$27*I21&gt;0,SQRT(COUNT(I$25:I$27, I21))," "),"")</f>
        <v/>
      </c>
      <c r="AN124" s="287" t="str">
        <f aca="false">IFERROR(IF(J$25*J$26*J$27*J21&gt;0,STDEV(J$25:J$27, J21)," ")/IF(J$25*J$26*J$27*J21&gt;0,SQRT(COUNT(J$25:J$27, J21))," "),"")</f>
        <v/>
      </c>
      <c r="AO124" s="287" t="str">
        <f aca="false">IFERROR(IF(K$25*K$26*K$27*K21&gt;0,STDEV(K$25:K$27, K21)," ")/IF(K$25*K$26*K$27*K21&gt;0,SQRT(COUNT(K$25:K$27, K21))," "),"")</f>
        <v/>
      </c>
      <c r="AP124" s="287" t="str">
        <f aca="false">IFERROR(IF(L$25*L$26*L$27*L21&gt;0,STDEV(L$25:L$27, L21)," ")/IF(L$25*L$26*L$27*L21&gt;0,SQRT(COUNT(L$25:L$27, L21))," "),"")</f>
        <v/>
      </c>
      <c r="AQ124" s="287" t="str">
        <f aca="false">IFERROR(IF(M$25*M$26*M$27*M21&gt;0,STDEV(M$25:M$27, M21)," ")/IF(M$25*M$26*M$27*M21&gt;0,SQRT(COUNT(M$25:M$27, M21))," "),"")</f>
        <v/>
      </c>
      <c r="AR124" s="287" t="str">
        <f aca="false">IFERROR(IF(N$25*N$26*N$27*N21&gt;0,STDEV(N$25:N$27, N21)," ")/IF(N$25*N$26*N$27*N21&gt;0,SQRT(COUNT(N$25:N$27, N21))," "),"")</f>
        <v/>
      </c>
    </row>
    <row r="125" customFormat="false" ht="15.75" hidden="false" customHeight="false" outlineLevel="0" collapsed="false">
      <c r="A125" s="290" t="s">
        <v>518</v>
      </c>
      <c r="B125" s="281"/>
      <c r="C125" s="302" t="str">
        <f aca="false">IFERROR(IF(C$25*C$26*C$27*C22&gt;0,AVERAGE(C$25:C$27, C22),""),"")</f>
        <v/>
      </c>
      <c r="D125" s="302" t="str">
        <f aca="false">IFERROR(IF(D$25*D$26*D$27*D22&gt;0,AVERAGE(D$25:D$27, D22),""),"")</f>
        <v/>
      </c>
      <c r="E125" s="302" t="str">
        <f aca="false">IFERROR(IF(E$25*E$26*E$27*E22&gt;0,AVERAGE(E$25:E$27, E22),""),"")</f>
        <v/>
      </c>
      <c r="F125" s="302" t="str">
        <f aca="false">IFERROR(IF(F$25*F$26*F$27*F22&gt;0,AVERAGE(F$25:F$27, F22),""),"")</f>
        <v/>
      </c>
      <c r="G125" s="302" t="str">
        <f aca="false">IFERROR(IF(G$25*G$26*G$27*G22&gt;0,AVERAGE(G$25:G$27, G22),""),"")</f>
        <v/>
      </c>
      <c r="H125" s="302" t="str">
        <f aca="false">IFERROR(IF(H$25*H$26*H$27*H22&gt;0,AVERAGE(H$25:H$27, H22),""),"")</f>
        <v/>
      </c>
      <c r="I125" s="302" t="str">
        <f aca="false">IFERROR(IF(I$25*I$26*I$27*I22&gt;0,AVERAGE(I$25:I$27, I22),""),"")</f>
        <v/>
      </c>
      <c r="J125" s="302" t="str">
        <f aca="false">IFERROR(IF(J$25*J$26*J$27*J22&gt;0,AVERAGE(J$25:J$27, J22),""),"")</f>
        <v/>
      </c>
      <c r="K125" s="302" t="str">
        <f aca="false">IFERROR(IF(K$25*K$26*K$27*K22&gt;0,AVERAGE(K$25:K$27, K22),""),"")</f>
        <v/>
      </c>
      <c r="L125" s="302" t="str">
        <f aca="false">IFERROR(IF(L$25*L$26*L$27*L22&gt;0,AVERAGE(L$25:L$27, L22),""),"")</f>
        <v/>
      </c>
      <c r="M125" s="302" t="str">
        <f aca="false">IFERROR(IF(M$25*M$26*M$27*M22&gt;0,AVERAGE(M$25:M$27, M22),""),"")</f>
        <v/>
      </c>
      <c r="N125" s="302" t="str">
        <f aca="false">IFERROR(IF(N$25*N$26*N$27*N22&gt;0,AVERAGE(N$25:N$27, N22),""),"")</f>
        <v/>
      </c>
      <c r="O125" s="282"/>
      <c r="P125" s="282"/>
      <c r="Q125" s="296"/>
      <c r="R125" s="293" t="s">
        <v>519</v>
      </c>
      <c r="S125" s="294" t="str">
        <f aca="false">IFERROR(IF(C$25*C$26*C$27*C22&gt;0,STDEV(C$25:C$27, C22),"")/IF(C$25*C$26*C$27*C22&gt;0,AVERAGE(C$25:C$27, C22),""),"")</f>
        <v/>
      </c>
      <c r="T125" s="294" t="str">
        <f aca="false">IFERROR(IF(D$25*D$26*D$27*D22&gt;0,STDEV(D$25:D$27, D22),"")/IF(D$25*D$26*D$27*D22&gt;0,AVERAGE(D$25:D$27, D22),""),"")</f>
        <v/>
      </c>
      <c r="U125" s="294" t="str">
        <f aca="false">IFERROR(IF(E$25*E$26*E$27*E22&gt;0,STDEV(E$25:E$27, E22),"")/IF(E$25*E$26*E$27*E22&gt;0,AVERAGE(E$25:E$27, E22),""),"")</f>
        <v/>
      </c>
      <c r="V125" s="294" t="str">
        <f aca="false">IFERROR(IF(F$25*F$26*F$27*F22&gt;0,STDEV(F$25:F$27, F22),"")/IF(F$25*F$26*F$27*F22&gt;0,AVERAGE(F$25:F$27, F22),""),"")</f>
        <v/>
      </c>
      <c r="W125" s="294" t="str">
        <f aca="false">IFERROR(IF(G$25*G$26*G$27*G22&gt;0,STDEV(G$25:G$27, G22),"")/IF(G$25*G$26*G$27*G22&gt;0,AVERAGE(G$25:G$27, G22),""),"")</f>
        <v/>
      </c>
      <c r="X125" s="294" t="str">
        <f aca="false">IFERROR(IF(H$25*H$26*H$27*H22&gt;0,STDEV(H$25:H$27, H22),"")/IF(H$25*H$26*H$27*H22&gt;0,AVERAGE(H$25:H$27, H22),""),"")</f>
        <v/>
      </c>
      <c r="Y125" s="294" t="str">
        <f aca="false">IFERROR(IF(I$25*I$26*I$27*I22&gt;0,STDEV(I$25:I$27, I22),"")/IF(I$25*I$26*I$27*I22&gt;0,AVERAGE(I$25:I$27, I22),""),"")</f>
        <v/>
      </c>
      <c r="Z125" s="294" t="str">
        <f aca="false">IFERROR(IF(J$25*J$26*J$27*J22&gt;0,STDEV(J$25:J$27, J22),"")/IF(J$25*J$26*J$27*J22&gt;0,AVERAGE(J$25:J$27, J22),""),"")</f>
        <v/>
      </c>
      <c r="AA125" s="294" t="str">
        <f aca="false">IFERROR(IF(K$25*K$26*K$27*K22&gt;0,STDEV(K$25:K$27, K22),"")/IF(K$25*K$26*K$27*K22&gt;0,AVERAGE(K$25:K$27, K22),""),"")</f>
        <v/>
      </c>
      <c r="AB125" s="294" t="str">
        <f aca="false">IFERROR(IF(L$25*L$26*L$27*L22&gt;0,STDEV(L$25:L$27, L22),"")/IF(L$25*L$26*L$27*L22&gt;0,AVERAGE(L$25:L$27, L22),""),"")</f>
        <v/>
      </c>
      <c r="AC125" s="294" t="str">
        <f aca="false">IFERROR(IF(M$25*M$26*M$27*M22&gt;0,STDEV(M$25:M$27, M22),"")/IF(M$25*M$26*M$27*M22&gt;0,AVERAGE(M$25:M$27, M22),""),"")</f>
        <v/>
      </c>
      <c r="AD125" s="294" t="str">
        <f aca="false">IFERROR(IF(N$25*N$26*N$27*N22&gt;0,STDEV(N$25:N$27, N22),"")/IF(N$25*N$26*N$27*N22&gt;0,AVERAGE(N$25:N$27, N22),""),"")</f>
        <v/>
      </c>
      <c r="AE125" s="44"/>
      <c r="AF125" s="266" t="s">
        <v>520</v>
      </c>
      <c r="AG125" s="287" t="str">
        <f aca="false">IFERROR(IF(C$25*C$26*C$27*C22&gt;0,STDEV(C$25:C$27, C22)," ")/IF(C$25*C$26*C$27*C22&gt;0,SQRT(COUNT(C$25:C$27, C22))," "),"")</f>
        <v/>
      </c>
      <c r="AH125" s="287" t="str">
        <f aca="false">IFERROR(IF(D$25*D$26*D$27*D22&gt;0,STDEV(D$25:D$27, D22)," ")/IF(D$25*D$26*D$27*D22&gt;0,SQRT(COUNT(D$25:D$27, D22))," "),"")</f>
        <v/>
      </c>
      <c r="AI125" s="287" t="str">
        <f aca="false">IFERROR(IF(E$25*E$26*E$27*E22&gt;0,STDEV(E$25:E$27, E22)," ")/IF(E$25*E$26*E$27*E22&gt;0,SQRT(COUNT(E$25:E$27, E22))," "),"")</f>
        <v/>
      </c>
      <c r="AJ125" s="287" t="str">
        <f aca="false">IFERROR(IF(F$25*F$26*F$27*F22&gt;0,STDEV(F$25:F$27, F22)," ")/IF(F$25*F$26*F$27*F22&gt;0,SQRT(COUNT(F$25:F$27, F22))," "),"")</f>
        <v/>
      </c>
      <c r="AK125" s="287" t="str">
        <f aca="false">IFERROR(IF(G$25*G$26*G$27*G22&gt;0,STDEV(G$25:G$27, G22)," ")/IF(G$25*G$26*G$27*G22&gt;0,SQRT(COUNT(G$25:G$27, G22))," "),"")</f>
        <v/>
      </c>
      <c r="AL125" s="287" t="str">
        <f aca="false">IFERROR(IF(H$25*H$26*H$27*H22&gt;0,STDEV(H$25:H$27, H22)," ")/IF(H$25*H$26*H$27*H22&gt;0,SQRT(COUNT(H$25:H$27, H22))," "),"")</f>
        <v/>
      </c>
      <c r="AM125" s="287" t="str">
        <f aca="false">IFERROR(IF(I$25*I$26*I$27*I22&gt;0,STDEV(I$25:I$27, I22)," ")/IF(I$25*I$26*I$27*I22&gt;0,SQRT(COUNT(I$25:I$27, I22))," "),"")</f>
        <v/>
      </c>
      <c r="AN125" s="287" t="str">
        <f aca="false">IFERROR(IF(J$25*J$26*J$27*J22&gt;0,STDEV(J$25:J$27, J22)," ")/IF(J$25*J$26*J$27*J22&gt;0,SQRT(COUNT(J$25:J$27, J22))," "),"")</f>
        <v/>
      </c>
      <c r="AO125" s="287" t="str">
        <f aca="false">IFERROR(IF(K$25*K$26*K$27*K22&gt;0,STDEV(K$25:K$27, K22)," ")/IF(K$25*K$26*K$27*K22&gt;0,SQRT(COUNT(K$25:K$27, K22))," "),"")</f>
        <v/>
      </c>
      <c r="AP125" s="287" t="str">
        <f aca="false">IFERROR(IF(L$25*L$26*L$27*L22&gt;0,STDEV(L$25:L$27, L22)," ")/IF(L$25*L$26*L$27*L22&gt;0,SQRT(COUNT(L$25:L$27, L22))," "),"")</f>
        <v/>
      </c>
      <c r="AQ125" s="287" t="str">
        <f aca="false">IFERROR(IF(M$25*M$26*M$27*M22&gt;0,STDEV(M$25:M$27, M22)," ")/IF(M$25*M$26*M$27*M22&gt;0,SQRT(COUNT(M$25:M$27, M22))," "),"")</f>
        <v/>
      </c>
      <c r="AR125" s="287" t="str">
        <f aca="false">IFERROR(IF(N$25*N$26*N$27*N22&gt;0,STDEV(N$25:N$27, N22)," ")/IF(N$25*N$26*N$27*N22&gt;0,SQRT(COUNT(N$25:N$27, N22))," "),"")</f>
        <v/>
      </c>
    </row>
    <row r="126" customFormat="false" ht="15.75" hidden="false" customHeight="false" outlineLevel="0" collapsed="false">
      <c r="A126" s="290" t="s">
        <v>521</v>
      </c>
      <c r="B126" s="281"/>
      <c r="C126" s="302" t="str">
        <f aca="false">IFERROR(IF(C$25*C$26*C$27*C23&gt;0,AVERAGE(C$25:C$27, C23),""),"")</f>
        <v/>
      </c>
      <c r="D126" s="302" t="str">
        <f aca="false">IFERROR(IF(D$25*D$26*D$27*D23&gt;0,AVERAGE(D$25:D$27, D23),""),"")</f>
        <v/>
      </c>
      <c r="E126" s="302" t="str">
        <f aca="false">IFERROR(IF(E$25*E$26*E$27*E23&gt;0,AVERAGE(E$25:E$27, E23),""),"")</f>
        <v/>
      </c>
      <c r="F126" s="302" t="str">
        <f aca="false">IFERROR(IF(F$25*F$26*F$27*F23&gt;0,AVERAGE(F$25:F$27, F23),""),"")</f>
        <v/>
      </c>
      <c r="G126" s="302" t="str">
        <f aca="false">IFERROR(IF(G$25*G$26*G$27*G23&gt;0,AVERAGE(G$25:G$27, G23),""),"")</f>
        <v/>
      </c>
      <c r="H126" s="302" t="str">
        <f aca="false">IFERROR(IF(H$25*H$26*H$27*H23&gt;0,AVERAGE(H$25:H$27, H23),""),"")</f>
        <v/>
      </c>
      <c r="I126" s="302" t="str">
        <f aca="false">IFERROR(IF(I$25*I$26*I$27*I23&gt;0,AVERAGE(I$25:I$27, I23),""),"")</f>
        <v/>
      </c>
      <c r="J126" s="302" t="str">
        <f aca="false">IFERROR(IF(J$25*J$26*J$27*J23&gt;0,AVERAGE(J$25:J$27, J23),""),"")</f>
        <v/>
      </c>
      <c r="K126" s="302" t="str">
        <f aca="false">IFERROR(IF(K$25*K$26*K$27*K23&gt;0,AVERAGE(K$25:K$27, K23),""),"")</f>
        <v/>
      </c>
      <c r="L126" s="302" t="str">
        <f aca="false">IFERROR(IF(L$25*L$26*L$27*L23&gt;0,AVERAGE(L$25:L$27, L23),""),"")</f>
        <v/>
      </c>
      <c r="M126" s="302" t="str">
        <f aca="false">IFERROR(IF(M$25*M$26*M$27*M23&gt;0,AVERAGE(M$25:M$27, M23),""),"")</f>
        <v/>
      </c>
      <c r="N126" s="302" t="str">
        <f aca="false">IFERROR(IF(N$25*N$26*N$27*N23&gt;0,AVERAGE(N$25:N$27, N23),""),"")</f>
        <v/>
      </c>
      <c r="O126" s="282"/>
      <c r="P126" s="282"/>
      <c r="Q126" s="296"/>
      <c r="R126" s="293" t="s">
        <v>522</v>
      </c>
      <c r="S126" s="294" t="str">
        <f aca="false">IFERROR(IF(C$25*C$26*C$27*C23&gt;0,STDEV(C$25:C$27, C23),"")/IF(C$25*C$26*C$27*C23&gt;0,AVERAGE(C$25:C$27, C23),""),"")</f>
        <v/>
      </c>
      <c r="T126" s="294" t="str">
        <f aca="false">IFERROR(IF(D$25*D$26*D$27*D23&gt;0,STDEV(D$25:D$27, D23),"")/IF(D$25*D$26*D$27*D23&gt;0,AVERAGE(D$25:D$27, D23),""),"")</f>
        <v/>
      </c>
      <c r="U126" s="294" t="str">
        <f aca="false">IFERROR(IF(E$25*E$26*E$27*E23&gt;0,STDEV(E$25:E$27, E23),"")/IF(E$25*E$26*E$27*E23&gt;0,AVERAGE(E$25:E$27, E23),""),"")</f>
        <v/>
      </c>
      <c r="V126" s="294" t="str">
        <f aca="false">IFERROR(IF(F$25*F$26*F$27*F23&gt;0,STDEV(F$25:F$27, F23),"")/IF(F$25*F$26*F$27*F23&gt;0,AVERAGE(F$25:F$27, F23),""),"")</f>
        <v/>
      </c>
      <c r="W126" s="294" t="str">
        <f aca="false">IFERROR(IF(G$25*G$26*G$27*G23&gt;0,STDEV(G$25:G$27, G23),"")/IF(G$25*G$26*G$27*G23&gt;0,AVERAGE(G$25:G$27, G23),""),"")</f>
        <v/>
      </c>
      <c r="X126" s="294" t="str">
        <f aca="false">IFERROR(IF(H$25*H$26*H$27*H23&gt;0,STDEV(H$25:H$27, H23),"")/IF(H$25*H$26*H$27*H23&gt;0,AVERAGE(H$25:H$27, H23),""),"")</f>
        <v/>
      </c>
      <c r="Y126" s="294" t="str">
        <f aca="false">IFERROR(IF(I$25*I$26*I$27*I23&gt;0,STDEV(I$25:I$27, I23),"")/IF(I$25*I$26*I$27*I23&gt;0,AVERAGE(I$25:I$27, I23),""),"")</f>
        <v/>
      </c>
      <c r="Z126" s="294" t="str">
        <f aca="false">IFERROR(IF(J$25*J$26*J$27*J23&gt;0,STDEV(J$25:J$27, J23),"")/IF(J$25*J$26*J$27*J23&gt;0,AVERAGE(J$25:J$27, J23),""),"")</f>
        <v/>
      </c>
      <c r="AA126" s="294" t="str">
        <f aca="false">IFERROR(IF(K$25*K$26*K$27*K23&gt;0,STDEV(K$25:K$27, K23),"")/IF(K$25*K$26*K$27*K23&gt;0,AVERAGE(K$25:K$27, K23),""),"")</f>
        <v/>
      </c>
      <c r="AB126" s="294" t="str">
        <f aca="false">IFERROR(IF(L$25*L$26*L$27*L23&gt;0,STDEV(L$25:L$27, L23),"")/IF(L$25*L$26*L$27*L23&gt;0,AVERAGE(L$25:L$27, L23),""),"")</f>
        <v/>
      </c>
      <c r="AC126" s="294" t="str">
        <f aca="false">IFERROR(IF(M$25*M$26*M$27*M23&gt;0,STDEV(M$25:M$27, M23),"")/IF(M$25*M$26*M$27*M23&gt;0,AVERAGE(M$25:M$27, M23),""),"")</f>
        <v/>
      </c>
      <c r="AD126" s="294" t="str">
        <f aca="false">IFERROR(IF(N$25*N$26*N$27*N23&gt;0,STDEV(N$25:N$27, N23),"")/IF(N$25*N$26*N$27*N23&gt;0,AVERAGE(N$25:N$27, N23),""),"")</f>
        <v/>
      </c>
      <c r="AE126" s="44"/>
      <c r="AF126" s="266" t="s">
        <v>523</v>
      </c>
      <c r="AG126" s="287" t="str">
        <f aca="false">IFERROR(IF(C$25*C$26*C$27*C23&gt;0,STDEV(C$25:C$27, C23)," ")/IF(C$25*C$26*C$27*C23&gt;0,SQRT(COUNT(C$25:C$27, C23))," "),"")</f>
        <v/>
      </c>
      <c r="AH126" s="287" t="str">
        <f aca="false">IFERROR(IF(D$25*D$26*D$27*D23&gt;0,STDEV(D$25:D$27, D23)," ")/IF(D$25*D$26*D$27*D23&gt;0,SQRT(COUNT(D$25:D$27, D23))," "),"")</f>
        <v/>
      </c>
      <c r="AI126" s="287" t="str">
        <f aca="false">IFERROR(IF(E$25*E$26*E$27*E23&gt;0,STDEV(E$25:E$27, E23)," ")/IF(E$25*E$26*E$27*E23&gt;0,SQRT(COUNT(E$25:E$27, E23))," "),"")</f>
        <v/>
      </c>
      <c r="AJ126" s="287" t="str">
        <f aca="false">IFERROR(IF(F$25*F$26*F$27*F23&gt;0,STDEV(F$25:F$27, F23)," ")/IF(F$25*F$26*F$27*F23&gt;0,SQRT(COUNT(F$25:F$27, F23))," "),"")</f>
        <v/>
      </c>
      <c r="AK126" s="287" t="str">
        <f aca="false">IFERROR(IF(G$25*G$26*G$27*G23&gt;0,STDEV(G$25:G$27, G23)," ")/IF(G$25*G$26*G$27*G23&gt;0,SQRT(COUNT(G$25:G$27, G23))," "),"")</f>
        <v/>
      </c>
      <c r="AL126" s="287" t="str">
        <f aca="false">IFERROR(IF(H$25*H$26*H$27*H23&gt;0,STDEV(H$25:H$27, H23)," ")/IF(H$25*H$26*H$27*H23&gt;0,SQRT(COUNT(H$25:H$27, H23))," "),"")</f>
        <v/>
      </c>
      <c r="AM126" s="287" t="str">
        <f aca="false">IFERROR(IF(I$25*I$26*I$27*I23&gt;0,STDEV(I$25:I$27, I23)," ")/IF(I$25*I$26*I$27*I23&gt;0,SQRT(COUNT(I$25:I$27, I23))," "),"")</f>
        <v/>
      </c>
      <c r="AN126" s="287" t="str">
        <f aca="false">IFERROR(IF(J$25*J$26*J$27*J23&gt;0,STDEV(J$25:J$27, J23)," ")/IF(J$25*J$26*J$27*J23&gt;0,SQRT(COUNT(J$25:J$27, J23))," "),"")</f>
        <v/>
      </c>
      <c r="AO126" s="287" t="str">
        <f aca="false">IFERROR(IF(K$25*K$26*K$27*K23&gt;0,STDEV(K$25:K$27, K23)," ")/IF(K$25*K$26*K$27*K23&gt;0,SQRT(COUNT(K$25:K$27, K23))," "),"")</f>
        <v/>
      </c>
      <c r="AP126" s="287" t="str">
        <f aca="false">IFERROR(IF(L$25*L$26*L$27*L23&gt;0,STDEV(L$25:L$27, L23)," ")/IF(L$25*L$26*L$27*L23&gt;0,SQRT(COUNT(L$25:L$27, L23))," "),"")</f>
        <v/>
      </c>
      <c r="AQ126" s="287" t="str">
        <f aca="false">IFERROR(IF(M$25*M$26*M$27*M23&gt;0,STDEV(M$25:M$27, M23)," ")/IF(M$25*M$26*M$27*M23&gt;0,SQRT(COUNT(M$25:M$27, M23))," "),"")</f>
        <v/>
      </c>
      <c r="AR126" s="287" t="str">
        <f aca="false">IFERROR(IF(N$25*N$26*N$27*N23&gt;0,STDEV(N$25:N$27, N23)," ")/IF(N$25*N$26*N$27*N23&gt;0,SQRT(COUNT(N$25:N$27, N23))," "),"")</f>
        <v/>
      </c>
    </row>
    <row r="127" customFormat="false" ht="15.75" hidden="false" customHeight="false" outlineLevel="0" collapsed="false">
      <c r="A127" s="290" t="s">
        <v>524</v>
      </c>
      <c r="B127" s="281"/>
      <c r="C127" s="302" t="str">
        <f aca="false">IFERROR(IF(C$21*C$23*C$25*C$26&gt;0,AVERAGE(C$21, C$23, C$25, C$26),""),"")</f>
        <v/>
      </c>
      <c r="D127" s="302" t="str">
        <f aca="false">IFERROR(IF(D$21*D$23*D$25*D$26&gt;0,AVERAGE(D$21, D$23, D$25, D$26),""),"")</f>
        <v/>
      </c>
      <c r="E127" s="302" t="str">
        <f aca="false">IFERROR(IF(E$21*E$23*E$25*E$26&gt;0,AVERAGE(E$21, E$23, E$25, E$26),""),"")</f>
        <v/>
      </c>
      <c r="F127" s="302" t="str">
        <f aca="false">IFERROR(IF(F$21*F$23*F$25*F$26&gt;0,AVERAGE(F$21, F$23, F$25, F$26),""),"")</f>
        <v/>
      </c>
      <c r="G127" s="302" t="str">
        <f aca="false">IFERROR(IF(G$21*G$23*G$25*G$26&gt;0,AVERAGE(G$21, G$23, G$25, G$26),""),"")</f>
        <v/>
      </c>
      <c r="H127" s="302" t="str">
        <f aca="false">IFERROR(IF(H$21*H$23*H$25*H$26&gt;0,AVERAGE(H$21, H$23, H$25, H$26),""),"")</f>
        <v/>
      </c>
      <c r="I127" s="302" t="str">
        <f aca="false">IFERROR(IF(I$21*I$23*I$25*I$26&gt;0,AVERAGE(I$21, I$23, I$25, I$26),""),"")</f>
        <v/>
      </c>
      <c r="J127" s="302" t="str">
        <f aca="false">IFERROR(IF(J$21*J$23*J$25*J$26&gt;0,AVERAGE(J$21, J$23, J$25, J$26),""),"")</f>
        <v/>
      </c>
      <c r="K127" s="302" t="str">
        <f aca="false">IFERROR(IF(K$21*K$23*K$25*K$26&gt;0,AVERAGE(K$21, K$23, K$25, K$26),""),"")</f>
        <v/>
      </c>
      <c r="L127" s="302" t="str">
        <f aca="false">IFERROR(IF(L$21*L$23*L$25*L$26&gt;0,AVERAGE(L$21, L$23, L$25, L$26),""),"")</f>
        <v/>
      </c>
      <c r="M127" s="302" t="str">
        <f aca="false">IFERROR(IF(M$21*M$23*M$25*M$26&gt;0,AVERAGE(M$21, M$23, M$25, M$26),""),"")</f>
        <v/>
      </c>
      <c r="N127" s="302" t="str">
        <f aca="false">IFERROR(IF(N$21*N$23*N$25*N$26&gt;0,AVERAGE(N$21, N$23, N$25, N$26),""),"")</f>
        <v/>
      </c>
      <c r="O127" s="282"/>
      <c r="P127" s="282"/>
      <c r="Q127" s="296"/>
      <c r="R127" s="293" t="s">
        <v>525</v>
      </c>
      <c r="S127" s="294" t="str">
        <f aca="false">IFERROR(IF(C$21*C$23*C$25*C$26&gt;0,STDEV(C$21, C$23, C$25, C$26),"")/IF(C$21*C$23*C$25*C$26&gt;0,AVERAGE(C$21, C$23, C$25, C$26),""),"")</f>
        <v/>
      </c>
      <c r="T127" s="294" t="str">
        <f aca="false">IFERROR(IF(D$21*D$23*D$25*D$26&gt;0,STDEV(D$21, D$23, D$25, D$26),"")/IF(D$21*D$23*D$25*D$26&gt;0,AVERAGE(D$21, D$23, D$25, D$26),""),"")</f>
        <v/>
      </c>
      <c r="U127" s="294" t="str">
        <f aca="false">IFERROR(IF(E$21*E$23*E$25*E$26&gt;0,STDEV(E$21, E$23, E$25, E$26),"")/IF(E$21*E$23*E$25*E$26&gt;0,AVERAGE(E$21, E$23, E$25, E$26),""),"")</f>
        <v/>
      </c>
      <c r="V127" s="294" t="str">
        <f aca="false">IFERROR(IF(F$21*F$23*F$25*F$26&gt;0,STDEV(F$21, F$23, F$25, F$26),"")/IF(F$21*F$23*F$25*F$26&gt;0,AVERAGE(F$21, F$23, F$25, F$26),""),"")</f>
        <v/>
      </c>
      <c r="W127" s="294" t="str">
        <f aca="false">IFERROR(IF(G$21*G$23*G$25*G$26&gt;0,STDEV(G$21, G$23, G$25, G$26),"")/IF(G$21*G$23*G$25*G$26&gt;0,AVERAGE(G$21, G$23, G$25, G$26),""),"")</f>
        <v/>
      </c>
      <c r="X127" s="294" t="str">
        <f aca="false">IFERROR(IF(H$21*H$23*H$25*H$26&gt;0,STDEV(H$21, H$23, H$25, H$26),"")/IF(H$21*H$23*H$25*H$26&gt;0,AVERAGE(H$21, H$23, H$25, H$26),""),"")</f>
        <v/>
      </c>
      <c r="Y127" s="294" t="str">
        <f aca="false">IFERROR(IF(I$21*I$23*I$25*I$26&gt;0,STDEV(I$21, I$23, I$25, I$26),"")/IF(I$21*I$23*I$25*I$26&gt;0,AVERAGE(I$21, I$23, I$25, I$26),""),"")</f>
        <v/>
      </c>
      <c r="Z127" s="294" t="str">
        <f aca="false">IFERROR(IF(J$21*J$23*J$25*J$26&gt;0,STDEV(J$21, J$23, J$25, J$26),"")/IF(J$21*J$23*J$25*J$26&gt;0,AVERAGE(J$21, J$23, J$25, J$26),""),"")</f>
        <v/>
      </c>
      <c r="AA127" s="294" t="str">
        <f aca="false">IFERROR(IF(K$21*K$23*K$25*K$26&gt;0,STDEV(K$21, K$23, K$25, K$26),"")/IF(K$21*K$23*K$25*K$26&gt;0,AVERAGE(K$21, K$23, K$25, K$26),""),"")</f>
        <v/>
      </c>
      <c r="AB127" s="294" t="str">
        <f aca="false">IFERROR(IF(L$21*L$23*L$25*L$26&gt;0,STDEV(L$21, L$23, L$25, L$26),"")/IF(L$21*L$23*L$25*L$26&gt;0,AVERAGE(L$21, L$23, L$25, L$26),""),"")</f>
        <v/>
      </c>
      <c r="AC127" s="294" t="str">
        <f aca="false">IFERROR(IF(M$21*M$23*M$25*M$26&gt;0,STDEV(M$21, M$23, M$25, M$26),"")/IF(M$21*M$23*M$25*M$26&gt;0,AVERAGE(M$21, M$23, M$25, M$26),""),"")</f>
        <v/>
      </c>
      <c r="AD127" s="294" t="str">
        <f aca="false">IFERROR(IF(N$21*N$23*N$25*N$26&gt;0,STDEV(N$21, N$23, N$25, N$26),"")/IF(N$21*N$23*N$25*N$26&gt;0,AVERAGE(N$21, N$23, N$25, N$26),""),"")</f>
        <v/>
      </c>
      <c r="AE127" s="44"/>
      <c r="AF127" s="266" t="s">
        <v>526</v>
      </c>
      <c r="AG127" s="287" t="str">
        <f aca="false">IFERROR(IF(C$21*C$23*C$25*C$26&gt;0,STDEV(C$21, C$23, C$25, C$26)," ")/IF(C$21*C$23*C$25*C$26&gt;0,SQRT(COUNT(C$21, C$23, C$25, C$26))," "),"")</f>
        <v/>
      </c>
      <c r="AH127" s="287" t="str">
        <f aca="false">IFERROR(IF(D$21*D$23*D$25*D$26&gt;0,STDEV(D$21, D$23, D$25, D$26)," ")/IF(D$21*D$23*D$25*D$26&gt;0,SQRT(COUNT(D$21, D$23, D$25, D$26))," "),"")</f>
        <v/>
      </c>
      <c r="AI127" s="287" t="str">
        <f aca="false">IFERROR(IF(E$21*E$23*E$25*E$26&gt;0,STDEV(E$21, E$23, E$25, E$26)," ")/IF(E$21*E$23*E$25*E$26&gt;0,SQRT(COUNT(E$21, E$23, E$25, E$26))," "),"")</f>
        <v/>
      </c>
      <c r="AJ127" s="287" t="str">
        <f aca="false">IFERROR(IF(F$21*F$23*F$25*F$26&gt;0,STDEV(F$21, F$23, F$25, F$26)," ")/IF(F$21*F$23*F$25*F$26&gt;0,SQRT(COUNT(F$21, F$23, F$25, F$26))," "),"")</f>
        <v/>
      </c>
      <c r="AK127" s="287" t="str">
        <f aca="false">IFERROR(IF(G$21*G$23*G$25*G$26&gt;0,STDEV(G$21, G$23, G$25, G$26)," ")/IF(G$21*G$23*G$25*G$26&gt;0,SQRT(COUNT(G$21, G$23, G$25, G$26))," "),"")</f>
        <v/>
      </c>
      <c r="AL127" s="287" t="str">
        <f aca="false">IFERROR(IF(H$21*H$23*H$25*H$26&gt;0,STDEV(H$21, H$23, H$25, H$26)," ")/IF(H$21*H$23*H$25*H$26&gt;0,SQRT(COUNT(H$21, H$23, H$25, H$26))," "),"")</f>
        <v/>
      </c>
      <c r="AM127" s="287" t="str">
        <f aca="false">IFERROR(IF(I$21*I$23*I$25*I$26&gt;0,STDEV(I$21, I$23, I$25, I$26)," ")/IF(I$21*I$23*I$25*I$26&gt;0,SQRT(COUNT(I$21, I$23, I$25, I$26))," "),"")</f>
        <v/>
      </c>
      <c r="AN127" s="287" t="str">
        <f aca="false">IFERROR(IF(J$21*J$23*J$25*J$26&gt;0,STDEV(J$21, J$23, J$25, J$26)," ")/IF(J$21*J$23*J$25*J$26&gt;0,SQRT(COUNT(J$21, J$23, J$25, J$26))," "),"")</f>
        <v/>
      </c>
      <c r="AO127" s="287" t="str">
        <f aca="false">IFERROR(IF(K$21*K$23*K$25*K$26&gt;0,STDEV(K$21, K$23, K$25, K$26)," ")/IF(K$21*K$23*K$25*K$26&gt;0,SQRT(COUNT(K$21, K$23, K$25, K$26))," "),"")</f>
        <v/>
      </c>
      <c r="AP127" s="287" t="str">
        <f aca="false">IFERROR(IF(L$21*L$23*L$25*L$26&gt;0,STDEV(L$21, L$23, L$25, L$26)," ")/IF(L$21*L$23*L$25*L$26&gt;0,SQRT(COUNT(L$21, L$23, L$25, L$26))," "),"")</f>
        <v/>
      </c>
      <c r="AQ127" s="287" t="str">
        <f aca="false">IFERROR(IF(M$21*M$23*M$25*M$26&gt;0,STDEV(M$21, M$23, M$25, M$26)," ")/IF(M$21*M$23*M$25*M$26&gt;0,SQRT(COUNT(M$21, M$23, M$25, M$26))," "),"")</f>
        <v/>
      </c>
      <c r="AR127" s="287" t="str">
        <f aca="false">IFERROR(IF(N$21*N$23*N$25*N$26&gt;0,STDEV(N$21, N$23, N$25, N$26)," ")/IF(N$21*N$23*N$25*N$26&gt;0,SQRT(COUNT(N$21, N$23, N$25, N$26))," "),"")</f>
        <v/>
      </c>
    </row>
    <row r="128" customFormat="false" ht="15.75" hidden="false" customHeight="false" outlineLevel="0" collapsed="false">
      <c r="A128" s="290" t="s">
        <v>527</v>
      </c>
      <c r="B128" s="281"/>
      <c r="C128" s="302" t="str">
        <f aca="false">IFERROR(IF(C$21*C$23*C$25*C$27&gt;0,AVERAGE(C$25:C$27, C$27),""),"")</f>
        <v/>
      </c>
      <c r="D128" s="302" t="str">
        <f aca="false">IFERROR(IF(D$21*D$23*D$25*D$27&gt;0,AVERAGE(D$25:D$27, D$27),""),"")</f>
        <v/>
      </c>
      <c r="E128" s="302" t="str">
        <f aca="false">IFERROR(IF(E$21*E$23*E$25*E$27&gt;0,AVERAGE(E$25:E$27, E$27),""),"")</f>
        <v/>
      </c>
      <c r="F128" s="302" t="str">
        <f aca="false">IFERROR(IF(F$21*F$23*F$25*F$27&gt;0,AVERAGE(F$25:F$27, F$27),""),"")</f>
        <v/>
      </c>
      <c r="G128" s="302" t="str">
        <f aca="false">IFERROR(IF(G$21*G$23*G$25*G$27&gt;0,AVERAGE(G$25:G$27, G$27),""),"")</f>
        <v/>
      </c>
      <c r="H128" s="302" t="str">
        <f aca="false">IFERROR(IF(H$21*H$23*H$25*H$27&gt;0,AVERAGE(H$25:H$27, H$27),""),"")</f>
        <v/>
      </c>
      <c r="I128" s="302" t="str">
        <f aca="false">IFERROR(IF(I$21*I$23*I$25*I$27&gt;0,AVERAGE(I$25:I$27, I$27),""),"")</f>
        <v/>
      </c>
      <c r="J128" s="302" t="str">
        <f aca="false">IFERROR(IF(J$21*J$23*J$25*J$27&gt;0,AVERAGE(J$25:J$27, J$27),""),"")</f>
        <v/>
      </c>
      <c r="K128" s="302" t="str">
        <f aca="false">IFERROR(IF(K$21*K$23*K$25*K$27&gt;0,AVERAGE(K$25:K$27, K$27),""),"")</f>
        <v/>
      </c>
      <c r="L128" s="302" t="str">
        <f aca="false">IFERROR(IF(L$21*L$23*L$25*L$27&gt;0,AVERAGE(L$25:L$27, L$27),""),"")</f>
        <v/>
      </c>
      <c r="M128" s="302" t="str">
        <f aca="false">IFERROR(IF(M$21*M$23*M$25*M$27&gt;0,AVERAGE(M$25:M$27, M$27),""),"")</f>
        <v/>
      </c>
      <c r="N128" s="302" t="str">
        <f aca="false">IFERROR(IF(N$21*N$23*N$25*N$27&gt;0,AVERAGE(N$25:N$27, N$27),""),"")</f>
        <v/>
      </c>
      <c r="O128" s="282"/>
      <c r="P128" s="282"/>
      <c r="Q128" s="296"/>
      <c r="R128" s="293" t="s">
        <v>528</v>
      </c>
      <c r="S128" s="294" t="str">
        <f aca="false">IFERROR(IF(C$21*C$23*C$25*C$27&gt;0,STDEV(C$25:C$27, C$27),"")/IF(C$21*C$23*C$25*C$27&gt;0,AVERAGE(C$25:C$27, C$27),""),"")</f>
        <v/>
      </c>
      <c r="T128" s="294" t="str">
        <f aca="false">IFERROR(IF(D$21*D$23*D$25*D$27&gt;0,STDEV(D$25:D$27, D$27),"")/IF(D$21*D$23*D$25*D$27&gt;0,AVERAGE(D$25:D$27, D$27),""),"")</f>
        <v/>
      </c>
      <c r="U128" s="294" t="str">
        <f aca="false">IFERROR(IF(E$21*E$23*E$25*E$27&gt;0,STDEV(E$25:E$27, E$27),"")/IF(E$21*E$23*E$25*E$27&gt;0,AVERAGE(E$25:E$27, E$27),""),"")</f>
        <v/>
      </c>
      <c r="V128" s="294" t="str">
        <f aca="false">IFERROR(IF(F$21*F$23*F$25*F$27&gt;0,STDEV(F$25:F$27, F$27),"")/IF(F$21*F$23*F$25*F$27&gt;0,AVERAGE(F$25:F$27, F$27),""),"")</f>
        <v/>
      </c>
      <c r="W128" s="294" t="str">
        <f aca="false">IFERROR(IF(G$21*G$23*G$25*G$27&gt;0,STDEV(G$25:G$27, G$27),"")/IF(G$21*G$23*G$25*G$27&gt;0,AVERAGE(G$25:G$27, G$27),""),"")</f>
        <v/>
      </c>
      <c r="X128" s="294" t="str">
        <f aca="false">IFERROR(IF(H$21*H$23*H$25*H$27&gt;0,STDEV(H$25:H$27, H$27),"")/IF(H$21*H$23*H$25*H$27&gt;0,AVERAGE(H$25:H$27, H$27),""),"")</f>
        <v/>
      </c>
      <c r="Y128" s="294" t="str">
        <f aca="false">IFERROR(IF(I$21*I$23*I$25*I$27&gt;0,STDEV(I$25:I$27, I$27),"")/IF(I$21*I$23*I$25*I$27&gt;0,AVERAGE(I$25:I$27, I$27),""),"")</f>
        <v/>
      </c>
      <c r="Z128" s="294" t="str">
        <f aca="false">IFERROR(IF(J$21*J$23*J$25*J$27&gt;0,STDEV(J$25:J$27, J$27),"")/IF(J$21*J$23*J$25*J$27&gt;0,AVERAGE(J$25:J$27, J$27),""),"")</f>
        <v/>
      </c>
      <c r="AA128" s="294" t="str">
        <f aca="false">IFERROR(IF(K$21*K$23*K$25*K$27&gt;0,STDEV(K$25:K$27, K$27),"")/IF(K$21*K$23*K$25*K$27&gt;0,AVERAGE(K$25:K$27, K$27),""),"")</f>
        <v/>
      </c>
      <c r="AB128" s="294" t="str">
        <f aca="false">IFERROR(IF(L$21*L$23*L$25*L$27&gt;0,STDEV(L$25:L$27, L$27),"")/IF(L$21*L$23*L$25*L$27&gt;0,AVERAGE(L$25:L$27, L$27),""),"")</f>
        <v/>
      </c>
      <c r="AC128" s="294" t="str">
        <f aca="false">IFERROR(IF(M$21*M$23*M$25*M$27&gt;0,STDEV(M$25:M$27, M$27),"")/IF(M$21*M$23*M$25*M$27&gt;0,AVERAGE(M$25:M$27, M$27),""),"")</f>
        <v/>
      </c>
      <c r="AD128" s="294" t="str">
        <f aca="false">IFERROR(IF(N$21*N$23*N$25*N$27&gt;0,STDEV(N$25:N$27, N$27),"")/IF(N$21*N$23*N$25*N$27&gt;0,AVERAGE(N$25:N$27, N$27),""),"")</f>
        <v/>
      </c>
      <c r="AE128" s="44"/>
      <c r="AF128" s="266" t="s">
        <v>529</v>
      </c>
      <c r="AG128" s="287" t="str">
        <f aca="false">IFERROR(IF(C$21*C$23*C$25*C$27&gt;0,STDEV(C$25:C$27, C$27)," ")/IF(C$21*C$23*C$25*C$27&gt;0,SQRT(COUNT(C$25:C$27, C$27))," "),"")</f>
        <v/>
      </c>
      <c r="AH128" s="287" t="str">
        <f aca="false">IFERROR(IF(D$21*D$23*D$25*D$27&gt;0,STDEV(D$25:D$27, D$27)," ")/IF(D$21*D$23*D$25*D$27&gt;0,SQRT(COUNT(D$25:D$27, D$27))," "),"")</f>
        <v/>
      </c>
      <c r="AI128" s="287" t="str">
        <f aca="false">IFERROR(IF(E$21*E$23*E$25*E$27&gt;0,STDEV(E$25:E$27, E$27)," ")/IF(E$21*E$23*E$25*E$27&gt;0,SQRT(COUNT(E$25:E$27, E$27))," "),"")</f>
        <v/>
      </c>
      <c r="AJ128" s="287" t="str">
        <f aca="false">IFERROR(IF(F$21*F$23*F$25*F$27&gt;0,STDEV(F$25:F$27, F$27)," ")/IF(F$21*F$23*F$25*F$27&gt;0,SQRT(COUNT(F$25:F$27, F$27))," "),"")</f>
        <v/>
      </c>
      <c r="AK128" s="287" t="str">
        <f aca="false">IFERROR(IF(G$21*G$23*G$25*G$27&gt;0,STDEV(G$25:G$27, G$27)," ")/IF(G$21*G$23*G$25*G$27&gt;0,SQRT(COUNT(G$25:G$27, G$27))," "),"")</f>
        <v/>
      </c>
      <c r="AL128" s="287" t="str">
        <f aca="false">IFERROR(IF(H$21*H$23*H$25*H$27&gt;0,STDEV(H$25:H$27, H$27)," ")/IF(H$21*H$23*H$25*H$27&gt;0,SQRT(COUNT(H$25:H$27, H$27))," "),"")</f>
        <v/>
      </c>
      <c r="AM128" s="287" t="str">
        <f aca="false">IFERROR(IF(I$21*I$23*I$25*I$27&gt;0,STDEV(I$25:I$27, I$27)," ")/IF(I$21*I$23*I$25*I$27&gt;0,SQRT(COUNT(I$25:I$27, I$27))," "),"")</f>
        <v/>
      </c>
      <c r="AN128" s="287" t="str">
        <f aca="false">IFERROR(IF(J$21*J$23*J$25*J$27&gt;0,STDEV(J$25:J$27, J$27)," ")/IF(J$21*J$23*J$25*J$27&gt;0,SQRT(COUNT(J$25:J$27, J$27))," "),"")</f>
        <v/>
      </c>
      <c r="AO128" s="287" t="str">
        <f aca="false">IFERROR(IF(K$21*K$23*K$25*K$27&gt;0,STDEV(K$25:K$27, K$27)," ")/IF(K$21*K$23*K$25*K$27&gt;0,SQRT(COUNT(K$25:K$27, K$27))," "),"")</f>
        <v/>
      </c>
      <c r="AP128" s="287" t="str">
        <f aca="false">IFERROR(IF(L$21*L$23*L$25*L$27&gt;0,STDEV(L$25:L$27, L$27)," ")/IF(L$21*L$23*L$25*L$27&gt;0,SQRT(COUNT(L$25:L$27, L$27))," "),"")</f>
        <v/>
      </c>
      <c r="AQ128" s="287" t="str">
        <f aca="false">IFERROR(IF(M$21*M$23*M$25*M$27&gt;0,STDEV(M$25:M$27, M$27)," ")/IF(M$21*M$23*M$25*M$27&gt;0,SQRT(COUNT(M$25:M$27, M$27))," "),"")</f>
        <v/>
      </c>
      <c r="AR128" s="287" t="str">
        <f aca="false">IFERROR(IF(N$21*N$23*N$25*N$27&gt;0,STDEV(N$25:N$27, N$27)," ")/IF(N$21*N$23*N$25*N$27&gt;0,SQRT(COUNT(N$25:N$27, N$27))," "),"")</f>
        <v/>
      </c>
    </row>
    <row r="129" customFormat="false" ht="15.75" hidden="false" customHeight="false" outlineLevel="0" collapsed="false">
      <c r="A129" s="290" t="s">
        <v>530</v>
      </c>
      <c r="B129" s="281"/>
      <c r="C129" s="302" t="str">
        <f aca="false">IFERROR(IF(C$21*C$24*C$25*C$27&gt;0,AVERAGE(C$21, C$24, C$25, C$26),""),"")</f>
        <v/>
      </c>
      <c r="D129" s="302" t="str">
        <f aca="false">IFERROR(IF(D$21*D$24*D$25*D$27&gt;0,AVERAGE(D$21, D$24, D$25, D$26),""),"")</f>
        <v/>
      </c>
      <c r="E129" s="302" t="str">
        <f aca="false">IFERROR(IF(E$21*E$24*E$25*E$27&gt;0,AVERAGE(E$21, E$24, E$25, E$26),""),"")</f>
        <v/>
      </c>
      <c r="F129" s="302" t="str">
        <f aca="false">IFERROR(IF(F$21*F$24*F$25*F$27&gt;0,AVERAGE(F$21, F$24, F$25, F$26),""),"")</f>
        <v/>
      </c>
      <c r="G129" s="302" t="str">
        <f aca="false">IFERROR(IF(G$21*G$24*G$25*G$27&gt;0,AVERAGE(G$21, G$24, G$25, G$26),""),"")</f>
        <v/>
      </c>
      <c r="H129" s="302" t="str">
        <f aca="false">IFERROR(IF(H$21*H$24*H$25*H$27&gt;0,AVERAGE(H$21, H$24, H$25, H$26),""),"")</f>
        <v/>
      </c>
      <c r="I129" s="302" t="str">
        <f aca="false">IFERROR(IF(I$21*I$24*I$25*I$27&gt;0,AVERAGE(I$21, I$24, I$25, I$26),""),"")</f>
        <v/>
      </c>
      <c r="J129" s="302" t="str">
        <f aca="false">IFERROR(IF(J$21*J$24*J$25*J$27&gt;0,AVERAGE(J$21, J$24, J$25, J$26),""),"")</f>
        <v/>
      </c>
      <c r="K129" s="302" t="str">
        <f aca="false">IFERROR(IF(K$21*K$24*K$25*K$27&gt;0,AVERAGE(K$21, K$24, K$25, K$26),""),"")</f>
        <v/>
      </c>
      <c r="L129" s="302" t="str">
        <f aca="false">IFERROR(IF(L$21*L$24*L$25*L$27&gt;0,AVERAGE(L$21, L$24, L$25, L$26),""),"")</f>
        <v/>
      </c>
      <c r="M129" s="302" t="str">
        <f aca="false">IFERROR(IF(M$21*M$24*M$25*M$27&gt;0,AVERAGE(M$21, M$24, M$25, M$26),""),"")</f>
        <v/>
      </c>
      <c r="N129" s="302" t="str">
        <f aca="false">IFERROR(IF(N$21*N$24*N$25*N$27&gt;0,AVERAGE(N$21, N$24, N$25, N$26),""),"")</f>
        <v/>
      </c>
      <c r="O129" s="282"/>
      <c r="P129" s="282"/>
      <c r="Q129" s="296"/>
      <c r="R129" s="293" t="s">
        <v>531</v>
      </c>
      <c r="S129" s="294" t="str">
        <f aca="false">IFERROR(IF(C$21*C$24*C$25*C$27&gt;0,STDEV(C$21, C$24, C$25, C$26),"")/IF(C$21*C$24*C$25*C$27&gt;0,AVERAGE(C$21, C$24, C$25, C$26),""),"")</f>
        <v/>
      </c>
      <c r="T129" s="294" t="str">
        <f aca="false">IFERROR(IF(D$21*D$24*D$25*D$27&gt;0,STDEV(D$21, D$24, D$25, D$26),"")/IF(D$21*D$24*D$25*D$27&gt;0,AVERAGE(D$21, D$24, D$25, D$26),""),"")</f>
        <v/>
      </c>
      <c r="U129" s="294" t="str">
        <f aca="false">IFERROR(IF(E$21*E$24*E$25*E$27&gt;0,STDEV(E$21, E$24, E$25, E$26),"")/IF(E$21*E$24*E$25*E$27&gt;0,AVERAGE(E$21, E$24, E$25, E$26),""),"")</f>
        <v/>
      </c>
      <c r="V129" s="294" t="str">
        <f aca="false">IFERROR(IF(F$21*F$24*F$25*F$27&gt;0,STDEV(F$21, F$24, F$25, F$26),"")/IF(F$21*F$24*F$25*F$27&gt;0,AVERAGE(F$21, F$24, F$25, F$26),""),"")</f>
        <v/>
      </c>
      <c r="W129" s="294" t="str">
        <f aca="false">IFERROR(IF(G$21*G$24*G$25*G$27&gt;0,STDEV(G$21, G$24, G$25, G$26),"")/IF(G$21*G$24*G$25*G$27&gt;0,AVERAGE(G$21, G$24, G$25, G$26),""),"")</f>
        <v/>
      </c>
      <c r="X129" s="294" t="str">
        <f aca="false">IFERROR(IF(H$21*H$24*H$25*H$27&gt;0,STDEV(H$21, H$24, H$25, H$26),"")/IF(H$21*H$24*H$25*H$27&gt;0,AVERAGE(H$21, H$24, H$25, H$26),""),"")</f>
        <v/>
      </c>
      <c r="Y129" s="294" t="str">
        <f aca="false">IFERROR(IF(I$21*I$24*I$25*I$27&gt;0,STDEV(I$21, I$24, I$25, I$26),"")/IF(I$21*I$24*I$25*I$27&gt;0,AVERAGE(I$21, I$24, I$25, I$26),""),"")</f>
        <v/>
      </c>
      <c r="Z129" s="294" t="str">
        <f aca="false">IFERROR(IF(J$21*J$24*J$25*J$27&gt;0,STDEV(J$21, J$24, J$25, J$26),"")/IF(J$21*J$24*J$25*J$27&gt;0,AVERAGE(J$21, J$24, J$25, J$26),""),"")</f>
        <v/>
      </c>
      <c r="AA129" s="294" t="str">
        <f aca="false">IFERROR(IF(K$21*K$24*K$25*K$27&gt;0,STDEV(K$21, K$24, K$25, K$26),"")/IF(K$21*K$24*K$25*K$27&gt;0,AVERAGE(K$21, K$24, K$25, K$26),""),"")</f>
        <v/>
      </c>
      <c r="AB129" s="294" t="str">
        <f aca="false">IFERROR(IF(L$21*L$24*L$25*L$27&gt;0,STDEV(L$21, L$24, L$25, L$26),"")/IF(L$21*L$24*L$25*L$27&gt;0,AVERAGE(L$21, L$24, L$25, L$26),""),"")</f>
        <v/>
      </c>
      <c r="AC129" s="294" t="str">
        <f aca="false">IFERROR(IF(M$21*M$24*M$25*M$27&gt;0,STDEV(M$21, M$24, M$25, M$26),"")/IF(M$21*M$24*M$25*M$27&gt;0,AVERAGE(M$21, M$24, M$25, M$26),""),"")</f>
        <v/>
      </c>
      <c r="AD129" s="294" t="str">
        <f aca="false">IFERROR(IF(N$21*N$24*N$25*N$27&gt;0,STDEV(N$21, N$24, N$25, N$26),"")/IF(N$21*N$24*N$25*N$27&gt;0,AVERAGE(N$21, N$24, N$25, N$26),""),"")</f>
        <v/>
      </c>
      <c r="AE129" s="44"/>
      <c r="AF129" s="266" t="s">
        <v>532</v>
      </c>
      <c r="AG129" s="287" t="str">
        <f aca="false">IFERROR(IF(C$21*C$24*C$25*C$27&gt;0,STDEV(C$21, C$24, C$25, C$26)," ")/IF(C$21*C$24*C$25*C$27&gt;0,SQRT(COUNT(C$21, C$24, C$25, C$26))," "),"")</f>
        <v/>
      </c>
      <c r="AH129" s="287" t="str">
        <f aca="false">IFERROR(IF(D$21*D$24*D$25*D$27&gt;0,STDEV(D$21, D$24, D$25, D$26)," ")/IF(D$21*D$24*D$25*D$27&gt;0,SQRT(COUNT(D$21, D$24, D$25, D$26))," "),"")</f>
        <v/>
      </c>
      <c r="AI129" s="287" t="str">
        <f aca="false">IFERROR(IF(E$21*E$24*E$25*E$27&gt;0,STDEV(E$21, E$24, E$25, E$26)," ")/IF(E$21*E$24*E$25*E$27&gt;0,SQRT(COUNT(E$21, E$24, E$25, E$26))," "),"")</f>
        <v/>
      </c>
      <c r="AJ129" s="287" t="str">
        <f aca="false">IFERROR(IF(F$21*F$24*F$25*F$27&gt;0,STDEV(F$21, F$24, F$25, F$26)," ")/IF(F$21*F$24*F$25*F$27&gt;0,SQRT(COUNT(F$21, F$24, F$25, F$26))," "),"")</f>
        <v/>
      </c>
      <c r="AK129" s="287" t="str">
        <f aca="false">IFERROR(IF(G$21*G$24*G$25*G$27&gt;0,STDEV(G$21, G$24, G$25, G$26)," ")/IF(G$21*G$24*G$25*G$27&gt;0,SQRT(COUNT(G$21, G$24, G$25, G$26))," "),"")</f>
        <v/>
      </c>
      <c r="AL129" s="287" t="str">
        <f aca="false">IFERROR(IF(H$21*H$24*H$25*H$27&gt;0,STDEV(H$21, H$24, H$25, H$26)," ")/IF(H$21*H$24*H$25*H$27&gt;0,SQRT(COUNT(H$21, H$24, H$25, H$26))," "),"")</f>
        <v/>
      </c>
      <c r="AM129" s="287" t="str">
        <f aca="false">IFERROR(IF(I$21*I$24*I$25*I$27&gt;0,STDEV(I$21, I$24, I$25, I$26)," ")/IF(I$21*I$24*I$25*I$27&gt;0,SQRT(COUNT(I$21, I$24, I$25, I$26))," "),"")</f>
        <v/>
      </c>
      <c r="AN129" s="287" t="str">
        <f aca="false">IFERROR(IF(J$21*J$24*J$25*J$27&gt;0,STDEV(J$21, J$24, J$25, J$26)," ")/IF(J$21*J$24*J$25*J$27&gt;0,SQRT(COUNT(J$21, J$24, J$25, J$26))," "),"")</f>
        <v/>
      </c>
      <c r="AO129" s="287" t="str">
        <f aca="false">IFERROR(IF(K$21*K$24*K$25*K$27&gt;0,STDEV(K$21, K$24, K$25, K$26)," ")/IF(K$21*K$24*K$25*K$27&gt;0,SQRT(COUNT(K$21, K$24, K$25, K$26))," "),"")</f>
        <v/>
      </c>
      <c r="AP129" s="287" t="str">
        <f aca="false">IFERROR(IF(L$21*L$24*L$25*L$27&gt;0,STDEV(L$21, L$24, L$25, L$26)," ")/IF(L$21*L$24*L$25*L$27&gt;0,SQRT(COUNT(L$21, L$24, L$25, L$26))," "),"")</f>
        <v/>
      </c>
      <c r="AQ129" s="287" t="str">
        <f aca="false">IFERROR(IF(M$21*M$24*M$25*M$27&gt;0,STDEV(M$21, M$24, M$25, M$26)," ")/IF(M$21*M$24*M$25*M$27&gt;0,SQRT(COUNT(M$21, M$24, M$25, M$26))," "),"")</f>
        <v/>
      </c>
      <c r="AR129" s="287" t="str">
        <f aca="false">IFERROR(IF(N$21*N$24*N$25*N$27&gt;0,STDEV(N$21, N$24, N$25, N$26)," ")/IF(N$21*N$24*N$25*N$27&gt;0,SQRT(COUNT(N$21, N$24, N$25, N$26))," "),"")</f>
        <v/>
      </c>
    </row>
    <row r="130" customFormat="false" ht="15.75" hidden="false" customHeight="false" outlineLevel="0" collapsed="false">
      <c r="A130" s="290" t="s">
        <v>533</v>
      </c>
      <c r="B130" s="281"/>
      <c r="C130" s="302" t="str">
        <f aca="false">IFERROR(IF(C$21*C$24*C$25*C$27&gt;0,AVERAGE(C$21, C$24, C$25, C$27),""),"")</f>
        <v/>
      </c>
      <c r="D130" s="302" t="str">
        <f aca="false">IFERROR(IF(D$21*D$24*D$25*D$27&gt;0,AVERAGE(D$21, D$24, D$25, D$27),""),"")</f>
        <v/>
      </c>
      <c r="E130" s="302" t="str">
        <f aca="false">IFERROR(IF(E$21*E$24*E$25*E$27&gt;0,AVERAGE(E$21, E$24, E$25, E$27),""),"")</f>
        <v/>
      </c>
      <c r="F130" s="302" t="str">
        <f aca="false">IFERROR(IF(F$21*F$24*F$25*F$27&gt;0,AVERAGE(F$21, F$24, F$25, F$27),""),"")</f>
        <v/>
      </c>
      <c r="G130" s="302" t="str">
        <f aca="false">IFERROR(IF(G$21*G$24*G$25*G$27&gt;0,AVERAGE(G$21, G$24, G$25, G$27),""),"")</f>
        <v/>
      </c>
      <c r="H130" s="302" t="str">
        <f aca="false">IFERROR(IF(H$21*H$24*H$25*H$27&gt;0,AVERAGE(H$21, H$24, H$25, H$27),""),"")</f>
        <v/>
      </c>
      <c r="I130" s="302" t="str">
        <f aca="false">IFERROR(IF(I$21*I$24*I$25*I$27&gt;0,AVERAGE(I$21, I$24, I$25, I$27),""),"")</f>
        <v/>
      </c>
      <c r="J130" s="302" t="str">
        <f aca="false">IFERROR(IF(J$21*J$24*J$25*J$27&gt;0,AVERAGE(J$21, J$24, J$25, J$27),""),"")</f>
        <v/>
      </c>
      <c r="K130" s="302" t="str">
        <f aca="false">IFERROR(IF(K$21*K$24*K$25*K$27&gt;0,AVERAGE(K$21, K$24, K$25, K$27),""),"")</f>
        <v/>
      </c>
      <c r="L130" s="302" t="str">
        <f aca="false">IFERROR(IF(L$21*L$24*L$25*L$27&gt;0,AVERAGE(L$21, L$24, L$25, L$27),""),"")</f>
        <v/>
      </c>
      <c r="M130" s="302" t="str">
        <f aca="false">IFERROR(IF(M$21*M$24*M$25*M$27&gt;0,AVERAGE(M$21, M$24, M$25, M$27),""),"")</f>
        <v/>
      </c>
      <c r="N130" s="302" t="str">
        <f aca="false">IFERROR(IF(N$21*N$24*N$25*N$27&gt;0,AVERAGE(N$21, N$24, N$25, N$27),""),"")</f>
        <v/>
      </c>
      <c r="O130" s="282"/>
      <c r="P130" s="282"/>
      <c r="Q130" s="296"/>
      <c r="R130" s="293" t="s">
        <v>534</v>
      </c>
      <c r="S130" s="294" t="str">
        <f aca="false">IFERROR(IF(C$21*C$24*C$25*C$27&gt;0,STDEV(C$21, C$24, C$25, C$27),"")/IF(C$21*C$24*C$25*C$27&gt;0,AVERAGE(C$21, C$24, C$25, C$27),""),"")</f>
        <v/>
      </c>
      <c r="T130" s="294" t="str">
        <f aca="false">IFERROR(IF(D$21*D$24*D$25*D$27&gt;0,STDEV(D$21, D$24, D$25, D$27),"")/IF(D$21*D$24*D$25*D$27&gt;0,AVERAGE(D$21, D$24, D$25, D$27),""),"")</f>
        <v/>
      </c>
      <c r="U130" s="294" t="str">
        <f aca="false">IFERROR(IF(E$21*E$24*E$25*E$27&gt;0,STDEV(E$21, E$24, E$25, E$27),"")/IF(E$21*E$24*E$25*E$27&gt;0,AVERAGE(E$21, E$24, E$25, E$27),""),"")</f>
        <v/>
      </c>
      <c r="V130" s="294" t="str">
        <f aca="false">IFERROR(IF(F$21*F$24*F$25*F$27&gt;0,STDEV(F$21, F$24, F$25, F$27),"")/IF(F$21*F$24*F$25*F$27&gt;0,AVERAGE(F$21, F$24, F$25, F$27),""),"")</f>
        <v/>
      </c>
      <c r="W130" s="294" t="str">
        <f aca="false">IFERROR(IF(G$21*G$24*G$25*G$27&gt;0,STDEV(G$21, G$24, G$25, G$27),"")/IF(G$21*G$24*G$25*G$27&gt;0,AVERAGE(G$21, G$24, G$25, G$27),""),"")</f>
        <v/>
      </c>
      <c r="X130" s="294" t="str">
        <f aca="false">IFERROR(IF(H$21*H$24*H$25*H$27&gt;0,STDEV(H$21, H$24, H$25, H$27),"")/IF(H$21*H$24*H$25*H$27&gt;0,AVERAGE(H$21, H$24, H$25, H$27),""),"")</f>
        <v/>
      </c>
      <c r="Y130" s="294" t="str">
        <f aca="false">IFERROR(IF(I$21*I$24*I$25*I$27&gt;0,STDEV(I$21, I$24, I$25, I$27),"")/IF(I$21*I$24*I$25*I$27&gt;0,AVERAGE(I$21, I$24, I$25, I$27),""),"")</f>
        <v/>
      </c>
      <c r="Z130" s="294" t="str">
        <f aca="false">IFERROR(IF(J$21*J$24*J$25*J$27&gt;0,STDEV(J$21, J$24, J$25, J$27),"")/IF(J$21*J$24*J$25*J$27&gt;0,AVERAGE(J$21, J$24, J$25, J$27),""),"")</f>
        <v/>
      </c>
      <c r="AA130" s="294" t="str">
        <f aca="false">IFERROR(IF(K$21*K$24*K$25*K$27&gt;0,STDEV(K$21, K$24, K$25, K$27),"")/IF(K$21*K$24*K$25*K$27&gt;0,AVERAGE(K$21, K$24, K$25, K$27),""),"")</f>
        <v/>
      </c>
      <c r="AB130" s="294" t="str">
        <f aca="false">IFERROR(IF(L$21*L$24*L$25*L$27&gt;0,STDEV(L$21, L$24, L$25, L$27),"")/IF(L$21*L$24*L$25*L$27&gt;0,AVERAGE(L$21, L$24, L$25, L$27),""),"")</f>
        <v/>
      </c>
      <c r="AC130" s="294" t="str">
        <f aca="false">IFERROR(IF(M$21*M$24*M$25*M$27&gt;0,STDEV(M$21, M$24, M$25, M$27),"")/IF(M$21*M$24*M$25*M$27&gt;0,AVERAGE(M$21, M$24, M$25, M$27),""),"")</f>
        <v/>
      </c>
      <c r="AD130" s="294" t="str">
        <f aca="false">IFERROR(IF(N$21*N$24*N$25*N$27&gt;0,STDEV(N$21, N$24, N$25, N$27),"")/IF(N$21*N$24*N$25*N$27&gt;0,AVERAGE(N$21, N$24, N$25, N$27),""),"")</f>
        <v/>
      </c>
      <c r="AE130" s="44"/>
      <c r="AF130" s="266" t="s">
        <v>535</v>
      </c>
      <c r="AG130" s="287" t="str">
        <f aca="false">IFERROR(IF(C$21*C$24*C$25*C$27&gt;0,STDEV(C$21, C$24, C$25, C$27)," ")/IF(C$21*C$24*C$25*C$27&gt;0,SQRT(COUNT(C$21, C$24, C$25, C$27))," "),"")</f>
        <v/>
      </c>
      <c r="AH130" s="287" t="str">
        <f aca="false">IFERROR(IF(D$21*D$24*D$25*D$27&gt;0,STDEV(D$21, D$24, D$25, D$27)," ")/IF(D$21*D$24*D$25*D$27&gt;0,SQRT(COUNT(D$21, D$24, D$25, D$27))," "),"")</f>
        <v/>
      </c>
      <c r="AI130" s="287" t="str">
        <f aca="false">IFERROR(IF(E$21*E$24*E$25*E$27&gt;0,STDEV(E$21, E$24, E$25, E$27)," ")/IF(E$21*E$24*E$25*E$27&gt;0,SQRT(COUNT(E$21, E$24, E$25, E$27))," "),"")</f>
        <v/>
      </c>
      <c r="AJ130" s="287" t="str">
        <f aca="false">IFERROR(IF(F$21*F$24*F$25*F$27&gt;0,STDEV(F$21, F$24, F$25, F$27)," ")/IF(F$21*F$24*F$25*F$27&gt;0,SQRT(COUNT(F$21, F$24, F$25, F$27))," "),"")</f>
        <v/>
      </c>
      <c r="AK130" s="287" t="str">
        <f aca="false">IFERROR(IF(G$21*G$24*G$25*G$27&gt;0,STDEV(G$21, G$24, G$25, G$27)," ")/IF(G$21*G$24*G$25*G$27&gt;0,SQRT(COUNT(G$21, G$24, G$25, G$27))," "),"")</f>
        <v/>
      </c>
      <c r="AL130" s="287" t="str">
        <f aca="false">IFERROR(IF(H$21*H$24*H$25*H$27&gt;0,STDEV(H$21, H$24, H$25, H$27)," ")/IF(H$21*H$24*H$25*H$27&gt;0,SQRT(COUNT(H$21, H$24, H$25, H$27))," "),"")</f>
        <v/>
      </c>
      <c r="AM130" s="287" t="str">
        <f aca="false">IFERROR(IF(I$21*I$24*I$25*I$27&gt;0,STDEV(I$21, I$24, I$25, I$27)," ")/IF(I$21*I$24*I$25*I$27&gt;0,SQRT(COUNT(I$21, I$24, I$25, I$27))," "),"")</f>
        <v/>
      </c>
      <c r="AN130" s="287" t="str">
        <f aca="false">IFERROR(IF(J$21*J$24*J$25*J$27&gt;0,STDEV(J$21, J$24, J$25, J$27)," ")/IF(J$21*J$24*J$25*J$27&gt;0,SQRT(COUNT(J$21, J$24, J$25, J$27))," "),"")</f>
        <v/>
      </c>
      <c r="AO130" s="287" t="str">
        <f aca="false">IFERROR(IF(K$21*K$24*K$25*K$27&gt;0,STDEV(K$21, K$24, K$25, K$27)," ")/IF(K$21*K$24*K$25*K$27&gt;0,SQRT(COUNT(K$21, K$24, K$25, K$27))," "),"")</f>
        <v/>
      </c>
      <c r="AP130" s="287" t="str">
        <f aca="false">IFERROR(IF(L$21*L$24*L$25*L$27&gt;0,STDEV(L$21, L$24, L$25, L$27)," ")/IF(L$21*L$24*L$25*L$27&gt;0,SQRT(COUNT(L$21, L$24, L$25, L$27))," "),"")</f>
        <v/>
      </c>
      <c r="AQ130" s="287" t="str">
        <f aca="false">IFERROR(IF(M$21*M$24*M$25*M$27&gt;0,STDEV(M$21, M$24, M$25, M$27)," ")/IF(M$21*M$24*M$25*M$27&gt;0,SQRT(COUNT(M$21, M$24, M$25, M$27))," "),"")</f>
        <v/>
      </c>
      <c r="AR130" s="287" t="str">
        <f aca="false">IFERROR(IF(N$21*N$24*N$25*N$27&gt;0,STDEV(N$21, N$24, N$25, N$27)," ")/IF(N$21*N$24*N$25*N$27&gt;0,SQRT(COUNT(N$21, N$24, N$25, N$27))," "),"")</f>
        <v/>
      </c>
    </row>
    <row r="131" customFormat="false" ht="15.75" hidden="false" customHeight="false" outlineLevel="0" collapsed="false">
      <c r="A131" s="242" t="s">
        <v>536</v>
      </c>
      <c r="B131" s="243"/>
      <c r="C131" s="262" t="str">
        <f aca="false">IFERROR(IF(C$21*C$22*C$25*C$27&gt;0,AVERAGE(C$21, C$22, C$25, C$27),""),"")</f>
        <v/>
      </c>
      <c r="D131" s="262" t="str">
        <f aca="false">IFERROR(IF(D$21*D$22*D$25*D$27&gt;0,AVERAGE(D$21, D$22, D$25, D$27),""),"")</f>
        <v/>
      </c>
      <c r="E131" s="262" t="str">
        <f aca="false">IFERROR(IF(E$21*E$22*E$25*E$27&gt;0,AVERAGE(E$21, E$22, E$25, E$27),""),"")</f>
        <v/>
      </c>
      <c r="F131" s="262" t="str">
        <f aca="false">IFERROR(IF(F$21*F$22*F$25*F$27&gt;0,AVERAGE(F$21, F$22, F$25, F$27),""),"")</f>
        <v/>
      </c>
      <c r="G131" s="262" t="str">
        <f aca="false">IFERROR(IF(G$21*G$22*G$25*G$27&gt;0,AVERAGE(G$21, G$22, G$25, G$27),""),"")</f>
        <v/>
      </c>
      <c r="H131" s="262" t="str">
        <f aca="false">IFERROR(IF(H$21*H$22*H$25*H$27&gt;0,AVERAGE(H$21, H$22, H$25, H$27),""),"")</f>
        <v/>
      </c>
      <c r="I131" s="262" t="str">
        <f aca="false">IFERROR(IF(I$21*I$22*I$25*I$27&gt;0,AVERAGE(I$21, I$22, I$25, I$27),""),"")</f>
        <v/>
      </c>
      <c r="J131" s="262" t="str">
        <f aca="false">IFERROR(IF(J$21*J$22*J$25*J$27&gt;0,AVERAGE(J$21, J$22, J$25, J$27),""),"")</f>
        <v/>
      </c>
      <c r="K131" s="262" t="str">
        <f aca="false">IFERROR(IF(K$21*K$22*K$25*K$27&gt;0,AVERAGE(K$21, K$22, K$25, K$27),""),"")</f>
        <v/>
      </c>
      <c r="L131" s="262" t="str">
        <f aca="false">IFERROR(IF(L$21*L$22*L$25*L$27&gt;0,AVERAGE(L$21, L$22, L$25, L$27),""),"")</f>
        <v/>
      </c>
      <c r="M131" s="262" t="str">
        <f aca="false">IFERROR(IF(M$21*M$22*M$25*M$27&gt;0,AVERAGE(M$21, M$22, M$25, M$27),""),"")</f>
        <v/>
      </c>
      <c r="N131" s="262" t="str">
        <f aca="false">IFERROR(IF(N$21*N$22*N$25*N$27&gt;0,AVERAGE(N$21, N$22, N$25, N$27),""),"")</f>
        <v/>
      </c>
      <c r="O131" s="263"/>
      <c r="P131" s="245"/>
      <c r="Q131" s="264"/>
      <c r="R131" s="247" t="s">
        <v>537</v>
      </c>
      <c r="S131" s="248" t="str">
        <f aca="false">IFERROR(IF(C$21*C$22*C$25*C$27&gt;0,STDEV(C$21, C$22, C$25, C$27),"")/IF(C$21*C$22*C$25*C$27&gt;0,AVERAGE(C$21, C$22, C$25, C$27),""),"")</f>
        <v/>
      </c>
      <c r="T131" s="248" t="str">
        <f aca="false">IFERROR(IF(D$21*D$22*D$25*D$27&gt;0,STDEV(D$21, D$22, D$25, D$27),"")/IF(D$21*D$22*D$25*D$27&gt;0,AVERAGE(D$21, D$22, D$25, D$27),""),"")</f>
        <v/>
      </c>
      <c r="U131" s="248" t="str">
        <f aca="false">IFERROR(IF(E$21*E$22*E$25*E$27&gt;0,STDEV(E$21, E$22, E$25, E$27),"")/IF(E$21*E$22*E$25*E$27&gt;0,AVERAGE(E$21, E$22, E$25, E$27),""),"")</f>
        <v/>
      </c>
      <c r="V131" s="248" t="str">
        <f aca="false">IFERROR(IF(F$21*F$22*F$25*F$27&gt;0,STDEV(F$21, F$22, F$25, F$27),"")/IF(F$21*F$22*F$25*F$27&gt;0,AVERAGE(F$21, F$22, F$25, F$27),""),"")</f>
        <v/>
      </c>
      <c r="W131" s="248" t="str">
        <f aca="false">IFERROR(IF(G$21*G$22*G$25*G$27&gt;0,STDEV(G$21, G$22, G$25, G$27),"")/IF(G$21*G$22*G$25*G$27&gt;0,AVERAGE(G$21, G$22, G$25, G$27),""),"")</f>
        <v/>
      </c>
      <c r="X131" s="248" t="str">
        <f aca="false">IFERROR(IF(H$21*H$22*H$25*H$27&gt;0,STDEV(H$21, H$22, H$25, H$27),"")/IF(H$21*H$22*H$25*H$27&gt;0,AVERAGE(H$21, H$22, H$25, H$27),""),"")</f>
        <v/>
      </c>
      <c r="Y131" s="248" t="str">
        <f aca="false">IFERROR(IF(I$21*I$22*I$25*I$27&gt;0,STDEV(I$21, I$22, I$25, I$27),"")/IF(I$21*I$22*I$25*I$27&gt;0,AVERAGE(I$21, I$22, I$25, I$27),""),"")</f>
        <v/>
      </c>
      <c r="Z131" s="248" t="str">
        <f aca="false">IFERROR(IF(J$21*J$22*J$25*J$27&gt;0,STDEV(J$21, J$22, J$25, J$27),"")/IF(J$21*J$22*J$25*J$27&gt;0,AVERAGE(J$21, J$22, J$25, J$27),""),"")</f>
        <v/>
      </c>
      <c r="AA131" s="248" t="str">
        <f aca="false">IFERROR(IF(K$21*K$22*K$25*K$27&gt;0,STDEV(K$21, K$22, K$25, K$27),"")/IF(K$21*K$22*K$25*K$27&gt;0,AVERAGE(K$21, K$22, K$25, K$27),""),"")</f>
        <v/>
      </c>
      <c r="AB131" s="248" t="str">
        <f aca="false">IFERROR(IF(L$21*L$22*L$25*L$27&gt;0,STDEV(L$21, L$22, L$25, L$27),"")/IF(L$21*L$22*L$25*L$27&gt;0,AVERAGE(L$21, L$22, L$25, L$27),""),"")</f>
        <v/>
      </c>
      <c r="AC131" s="248" t="str">
        <f aca="false">IFERROR(IF(M$21*M$22*M$25*M$27&gt;0,STDEV(M$21, M$22, M$25, M$27),"")/IF(M$21*M$22*M$25*M$27&gt;0,AVERAGE(M$21, M$22, M$25, M$27),""),"")</f>
        <v/>
      </c>
      <c r="AD131" s="248" t="str">
        <f aca="false">IFERROR(IF(N$21*N$22*N$25*N$27&gt;0,STDEV(N$21, N$22, N$25, N$27),"")/IF(N$21*N$22*N$25*N$27&gt;0,AVERAGE(N$21, N$22, N$25, N$27),""),"")</f>
        <v/>
      </c>
      <c r="AE131" s="300"/>
      <c r="AF131" s="250" t="s">
        <v>538</v>
      </c>
      <c r="AG131" s="251" t="str">
        <f aca="false">IFERROR(IF(C$21*C$22*C$25*C$27&gt;0,STDEV(C$21, C$22, C$25, C$27)," ")/IF(C$21*C$22*C$25*C$27&gt;0,SQRT(COUNT(C$21, C$22, C$25, C$27))," "),"")</f>
        <v/>
      </c>
      <c r="AH131" s="251" t="str">
        <f aca="false">IFERROR(IF(D$21*D$22*D$25*D$27&gt;0,STDEV(D$21, D$22, D$25, D$27)," ")/IF(D$21*D$22*D$25*D$27&gt;0,SQRT(COUNT(D$21, D$22, D$25, D$27))," "),"")</f>
        <v/>
      </c>
      <c r="AI131" s="251" t="str">
        <f aca="false">IFERROR(IF(E$21*E$22*E$25*E$27&gt;0,STDEV(E$21, E$22, E$25, E$27)," ")/IF(E$21*E$22*E$25*E$27&gt;0,SQRT(COUNT(E$21, E$22, E$25, E$27))," "),"")</f>
        <v/>
      </c>
      <c r="AJ131" s="251" t="str">
        <f aca="false">IFERROR(IF(F$21*F$22*F$25*F$27&gt;0,STDEV(F$21, F$22, F$25, F$27)," ")/IF(F$21*F$22*F$25*F$27&gt;0,SQRT(COUNT(F$21, F$22, F$25, F$27))," "),"")</f>
        <v/>
      </c>
      <c r="AK131" s="251" t="str">
        <f aca="false">IFERROR(IF(G$21*G$22*G$25*G$27&gt;0,STDEV(G$21, G$22, G$25, G$27)," ")/IF(G$21*G$22*G$25*G$27&gt;0,SQRT(COUNT(G$21, G$22, G$25, G$27))," "),"")</f>
        <v/>
      </c>
      <c r="AL131" s="251" t="str">
        <f aca="false">IFERROR(IF(H$21*H$22*H$25*H$27&gt;0,STDEV(H$21, H$22, H$25, H$27)," ")/IF(H$21*H$22*H$25*H$27&gt;0,SQRT(COUNT(H$21, H$22, H$25, H$27))," "),"")</f>
        <v/>
      </c>
      <c r="AM131" s="251" t="str">
        <f aca="false">IFERROR(IF(I$21*I$22*I$25*I$27&gt;0,STDEV(I$21, I$22, I$25, I$27)," ")/IF(I$21*I$22*I$25*I$27&gt;0,SQRT(COUNT(I$21, I$22, I$25, I$27))," "),"")</f>
        <v/>
      </c>
      <c r="AN131" s="251" t="str">
        <f aca="false">IFERROR(IF(J$21*J$22*J$25*J$27&gt;0,STDEV(J$21, J$22, J$25, J$27)," ")/IF(J$21*J$22*J$25*J$27&gt;0,SQRT(COUNT(J$21, J$22, J$25, J$27))," "),"")</f>
        <v/>
      </c>
      <c r="AO131" s="251" t="str">
        <f aca="false">IFERROR(IF(K$21*K$22*K$25*K$27&gt;0,STDEV(K$21, K$22, K$25, K$27)," ")/IF(K$21*K$22*K$25*K$27&gt;0,SQRT(COUNT(K$21, K$22, K$25, K$27))," "),"")</f>
        <v/>
      </c>
      <c r="AP131" s="251" t="str">
        <f aca="false">IFERROR(IF(L$21*L$22*L$25*L$27&gt;0,STDEV(L$21, L$22, L$25, L$27)," ")/IF(L$21*L$22*L$25*L$27&gt;0,SQRT(COUNT(L$21, L$22, L$25, L$27))," "),"")</f>
        <v/>
      </c>
      <c r="AQ131" s="251" t="str">
        <f aca="false">IFERROR(IF(M$21*M$22*M$25*M$27&gt;0,STDEV(M$21, M$22, M$25, M$27)," ")/IF(M$21*M$22*M$25*M$27&gt;0,SQRT(COUNT(M$21, M$22, M$25, M$27))," "),"")</f>
        <v/>
      </c>
      <c r="AR131" s="251" t="str">
        <f aca="false">IFERROR(IF(N$21*N$22*N$25*N$27&gt;0,STDEV(N$21, N$22, N$25, N$27)," ")/IF(N$21*N$22*N$25*N$27&gt;0,SQRT(COUNT(N$21, N$22, N$25, N$27))," "),"")</f>
        <v/>
      </c>
    </row>
    <row r="132" customFormat="false" ht="15.75" hidden="false" customHeight="false" outlineLevel="0" collapsed="false">
      <c r="A132" s="290" t="s">
        <v>539</v>
      </c>
      <c r="B132" s="281"/>
      <c r="C132" s="302" t="str">
        <f aca="false">IFERROR(IF(C$21*C$22*C$23*C$24*C25&gt;0,AVERAGE(C$21:C$24,C25),""),"")</f>
        <v/>
      </c>
      <c r="D132" s="302" t="str">
        <f aca="false">IFERROR(IF(D$21*D$22*D$23*D$24*D25&gt;0,AVERAGE(D$21:D$24,D25),""),"")</f>
        <v/>
      </c>
      <c r="E132" s="302" t="str">
        <f aca="false">IFERROR(IF(E$21*E$22*E$23*E$24*E25&gt;0,AVERAGE(E$21:E$24,E25),""),"")</f>
        <v/>
      </c>
      <c r="F132" s="302" t="str">
        <f aca="false">IFERROR(IF(F$21*F$22*F$23*F$24*F25&gt;0,AVERAGE(F$21:F$24,F25),""),"")</f>
        <v/>
      </c>
      <c r="G132" s="302" t="str">
        <f aca="false">IFERROR(IF(G$21*G$22*G$23*G$24*G25&gt;0,AVERAGE(G$21:G$24,G25),""),"")</f>
        <v/>
      </c>
      <c r="H132" s="302" t="str">
        <f aca="false">IFERROR(IF(H$21*H$22*H$23*H$24*H25&gt;0,AVERAGE(H$21:H$24,H25),""),"")</f>
        <v/>
      </c>
      <c r="I132" s="302" t="str">
        <f aca="false">IFERROR(IF(I$21*I$22*I$23*I$24*I25&gt;0,AVERAGE(I$21:I$24,I25),""),"")</f>
        <v/>
      </c>
      <c r="J132" s="302" t="str">
        <f aca="false">IFERROR(IF(J$21*J$22*J$23*J$24*J25&gt;0,AVERAGE(J$21:J$24,J25),""),"")</f>
        <v/>
      </c>
      <c r="K132" s="302" t="str">
        <f aca="false">IFERROR(IF(K$21*K$22*K$23*K$24*K25&gt;0,AVERAGE(K$21:K$24,K25),""),"")</f>
        <v/>
      </c>
      <c r="L132" s="302" t="str">
        <f aca="false">IFERROR(IF(L$21*L$22*L$23*L$24*L25&gt;0,AVERAGE(L$21:L$24,L25),""),"")</f>
        <v/>
      </c>
      <c r="M132" s="302" t="str">
        <f aca="false">IFERROR(IF(M$21*M$22*M$23*M$24*M25&gt;0,AVERAGE(M$21:M$24,M25),""),"")</f>
        <v/>
      </c>
      <c r="N132" s="302" t="str">
        <f aca="false">IFERROR(IF(N$21*N$22*N$23*N$24*N25&gt;0,AVERAGE(N$21:N$24,N25),""),"")</f>
        <v/>
      </c>
      <c r="O132" s="147" t="n">
        <v>5</v>
      </c>
      <c r="P132" s="282" t="n">
        <f aca="false">COMBIN(7,5)</f>
        <v>21</v>
      </c>
      <c r="Q132" s="283" t="n">
        <f aca="false">ROW(N152)-ROW(N132)+1</f>
        <v>21</v>
      </c>
      <c r="R132" s="293" t="s">
        <v>540</v>
      </c>
      <c r="S132" s="294" t="str">
        <f aca="false">IFERROR(IF(C$21*C$22*C$23*C$24*C25&gt;0,STDEV(C$21:C$24,C25),"")/IF(C$21*C$22*C$23*C$24*C25&gt;0,AVERAGE(C$21:C$24,C25),""),"")</f>
        <v/>
      </c>
      <c r="T132" s="294" t="str">
        <f aca="false">IFERROR(IF(D$21*D$22*D$23*D$24*D25&gt;0,STDEV(D$21:D$24,D25),"")/IF(D$21*D$22*D$23*D$24*D25&gt;0,AVERAGE(D$21:D$24,D25),""),"")</f>
        <v/>
      </c>
      <c r="U132" s="294" t="str">
        <f aca="false">IFERROR(IF(E$21*E$22*E$23*E$24*E25&gt;0,STDEV(E$21:E$24,E25),"")/IF(E$21*E$22*E$23*E$24*E25&gt;0,AVERAGE(E$21:E$24,E25),""),"")</f>
        <v/>
      </c>
      <c r="V132" s="294" t="str">
        <f aca="false">IFERROR(IF(F$21*F$22*F$23*F$24*F25&gt;0,STDEV(F$21:F$24,F25),"")/IF(F$21*F$22*F$23*F$24*F25&gt;0,AVERAGE(F$21:F$24,F25),""),"")</f>
        <v/>
      </c>
      <c r="W132" s="294" t="str">
        <f aca="false">IFERROR(IF(G$21*G$22*G$23*G$24*G25&gt;0,STDEV(G$21:G$24,G25),"")/IF(G$21*G$22*G$23*G$24*G25&gt;0,AVERAGE(G$21:G$24,G25),""),"")</f>
        <v/>
      </c>
      <c r="X132" s="294" t="str">
        <f aca="false">IFERROR(IF(H$21*H$22*H$23*H$24*H25&gt;0,STDEV(H$21:H$24,H25),"")/IF(H$21*H$22*H$23*H$24*H25&gt;0,AVERAGE(H$21:H$24,H25),""),"")</f>
        <v/>
      </c>
      <c r="Y132" s="294" t="str">
        <f aca="false">IFERROR(IF(I$21*I$22*I$23*I$24*I25&gt;0,STDEV(I$21:I$24,I25),"")/IF(I$21*I$22*I$23*I$24*I25&gt;0,AVERAGE(I$21:I$24,I25),""),"")</f>
        <v/>
      </c>
      <c r="Z132" s="294" t="str">
        <f aca="false">IFERROR(IF(J$21*J$22*J$23*J$24*J25&gt;0,STDEV(J$21:J$24,J25),"")/IF(J$21*J$22*J$23*J$24*J25&gt;0,AVERAGE(J$21:J$24,J25),""),"")</f>
        <v/>
      </c>
      <c r="AA132" s="294" t="str">
        <f aca="false">IFERROR(IF(K$21*K$22*K$23*K$24*K25&gt;0,STDEV(K$21:K$24,K25),"")/IF(K$21*K$22*K$23*K$24*K25&gt;0,AVERAGE(K$21:K$24,K25),""),"")</f>
        <v/>
      </c>
      <c r="AB132" s="294" t="str">
        <f aca="false">IFERROR(IF(L$21*L$22*L$23*L$24*L25&gt;0,STDEV(L$21:L$24,L25),"")/IF(L$21*L$22*L$23*L$24*L25&gt;0,AVERAGE(L$21:L$24,L25),""),"")</f>
        <v/>
      </c>
      <c r="AC132" s="294" t="str">
        <f aca="false">IFERROR(IF(M$21*M$22*M$23*M$24*M25&gt;0,STDEV(M$21:M$24,M25),"")/IF(M$21*M$22*M$23*M$24*M25&gt;0,AVERAGE(M$21:M$24,M25),""),"")</f>
        <v/>
      </c>
      <c r="AD132" s="294" t="str">
        <f aca="false">IFERROR(IF(N$21*N$22*N$23*N$24*N25&gt;0,STDEV(N$21:N$24,N25),"")/IF(N$21*N$22*N$23*N$24*N25&gt;0,AVERAGE(N$21:N$24,N25),""),"")</f>
        <v/>
      </c>
      <c r="AE132" s="44"/>
      <c r="AF132" s="266" t="s">
        <v>541</v>
      </c>
      <c r="AG132" s="287" t="str">
        <f aca="false">IFERROR(IF(C$21*C$22*C$23*C$24*C25&gt;0,STDEV(C$21:C$24,C25)," ")/IF(C$21*C$22*C$23*C$24*C25&gt;0,SQRT(COUNT(C$21:C$24,C25))," "),"")</f>
        <v/>
      </c>
      <c r="AH132" s="287" t="str">
        <f aca="false">IFERROR(IF(D$21*D$22*D$23*D$24*D25&gt;0,STDEV(D$21:D$24,D25)," ")/IF(D$21*D$22*D$23*D$24*D25&gt;0,SQRT(COUNT(D$21:D$24,D25))," "),"")</f>
        <v/>
      </c>
      <c r="AI132" s="287" t="str">
        <f aca="false">IFERROR(IF(E$21*E$22*E$23*E$24*E25&gt;0,STDEV(E$21:E$24,E25)," ")/IF(E$21*E$22*E$23*E$24*E25&gt;0,SQRT(COUNT(E$21:E$24,E25))," "),"")</f>
        <v/>
      </c>
      <c r="AJ132" s="287" t="str">
        <f aca="false">IFERROR(IF(F$21*F$22*F$23*F$24*F25&gt;0,STDEV(F$21:F$24,F25)," ")/IF(F$21*F$22*F$23*F$24*F25&gt;0,SQRT(COUNT(F$21:F$24,F25))," "),"")</f>
        <v/>
      </c>
      <c r="AK132" s="287" t="str">
        <f aca="false">IFERROR(IF(G$21*G$22*G$23*G$24*G25&gt;0,STDEV(G$21:G$24,G25)," ")/IF(G$21*G$22*G$23*G$24*G25&gt;0,SQRT(COUNT(G$21:G$24,G25))," "),"")</f>
        <v/>
      </c>
      <c r="AL132" s="287" t="str">
        <f aca="false">IFERROR(IF(H$21*H$22*H$23*H$24*H25&gt;0,STDEV(H$21:H$24,H25)," ")/IF(H$21*H$22*H$23*H$24*H25&gt;0,SQRT(COUNT(H$21:H$24,H25))," "),"")</f>
        <v/>
      </c>
      <c r="AM132" s="287" t="str">
        <f aca="false">IFERROR(IF(I$21*I$22*I$23*I$24*I25&gt;0,STDEV(I$21:I$24,I25)," ")/IF(I$21*I$22*I$23*I$24*I25&gt;0,SQRT(COUNT(I$21:I$24,I25))," "),"")</f>
        <v/>
      </c>
      <c r="AN132" s="287" t="str">
        <f aca="false">IFERROR(IF(J$21*J$22*J$23*J$24*J25&gt;0,STDEV(J$21:J$24,J25)," ")/IF(J$21*J$22*J$23*J$24*J25&gt;0,SQRT(COUNT(J$21:J$24,J25))," "),"")</f>
        <v/>
      </c>
      <c r="AO132" s="287" t="str">
        <f aca="false">IFERROR(IF(K$21*K$22*K$23*K$24*K25&gt;0,STDEV(K$21:K$24,K25)," ")/IF(K$21*K$22*K$23*K$24*K25&gt;0,SQRT(COUNT(K$21:K$24,K25))," "),"")</f>
        <v/>
      </c>
      <c r="AP132" s="287" t="str">
        <f aca="false">IFERROR(IF(L$21*L$22*L$23*L$24*L25&gt;0,STDEV(L$21:L$24,L25)," ")/IF(L$21*L$22*L$23*L$24*L25&gt;0,SQRT(COUNT(L$21:L$24,L25))," "),"")</f>
        <v/>
      </c>
      <c r="AQ132" s="287" t="str">
        <f aca="false">IFERROR(IF(M$21*M$22*M$23*M$24*M25&gt;0,STDEV(M$21:M$24,M25)," ")/IF(M$21*M$22*M$23*M$24*M25&gt;0,SQRT(COUNT(M$21:M$24,M25))," "),"")</f>
        <v/>
      </c>
      <c r="AR132" s="287" t="str">
        <f aca="false">IFERROR(IF(N$21*N$22*N$23*N$24*N25&gt;0,STDEV(N$21:N$24,N25)," ")/IF(N$21*N$22*N$23*N$24*N25&gt;0,SQRT(COUNT(N$21:N$24,N25))," "),"")</f>
        <v/>
      </c>
    </row>
    <row r="133" customFormat="false" ht="15.75" hidden="false" customHeight="false" outlineLevel="0" collapsed="false">
      <c r="A133" s="290" t="s">
        <v>542</v>
      </c>
      <c r="B133" s="281"/>
      <c r="C133" s="302" t="str">
        <f aca="false">IFERROR(IF(C$21*C$22*C$23*C$24*C26&gt;0,AVERAGE(C$21:C$24,C26),""),"")</f>
        <v/>
      </c>
      <c r="D133" s="302" t="str">
        <f aca="false">IFERROR(IF(D$21*D$22*D$23*D$24*D26&gt;0,AVERAGE(D$21:D$24,D26),""),"")</f>
        <v/>
      </c>
      <c r="E133" s="302" t="str">
        <f aca="false">IFERROR(IF(E$21*E$22*E$23*E$24*E26&gt;0,AVERAGE(E$21:E$24,E26),""),"")</f>
        <v/>
      </c>
      <c r="F133" s="302" t="str">
        <f aca="false">IFERROR(IF(F$21*F$22*F$23*F$24*F26&gt;0,AVERAGE(F$21:F$24,F26),""),"")</f>
        <v/>
      </c>
      <c r="G133" s="302" t="str">
        <f aca="false">IFERROR(IF(G$21*G$22*G$23*G$24*G26&gt;0,AVERAGE(G$21:G$24,G26),""),"")</f>
        <v/>
      </c>
      <c r="H133" s="302" t="str">
        <f aca="false">IFERROR(IF(H$21*H$22*H$23*H$24*H26&gt;0,AVERAGE(H$21:H$24,H26),""),"")</f>
        <v/>
      </c>
      <c r="I133" s="302" t="str">
        <f aca="false">IFERROR(IF(I$21*I$22*I$23*I$24*I26&gt;0,AVERAGE(I$21:I$24,I26),""),"")</f>
        <v/>
      </c>
      <c r="J133" s="302" t="str">
        <f aca="false">IFERROR(IF(J$21*J$22*J$23*J$24*J26&gt;0,AVERAGE(J$21:J$24,J26),""),"")</f>
        <v/>
      </c>
      <c r="K133" s="302" t="str">
        <f aca="false">IFERROR(IF(K$21*K$22*K$23*K$24*K26&gt;0,AVERAGE(K$21:K$24,K26),""),"")</f>
        <v/>
      </c>
      <c r="L133" s="302" t="str">
        <f aca="false">IFERROR(IF(L$21*L$22*L$23*L$24*L26&gt;0,AVERAGE(L$21:L$24,L26),""),"")</f>
        <v/>
      </c>
      <c r="M133" s="302" t="str">
        <f aca="false">IFERROR(IF(M$21*M$22*M$23*M$24*M26&gt;0,AVERAGE(M$21:M$24,M26),""),"")</f>
        <v/>
      </c>
      <c r="N133" s="302" t="str">
        <f aca="false">IFERROR(IF(N$21*N$22*N$23*N$24*N26&gt;0,AVERAGE(N$21:N$24,N26),""),"")</f>
        <v/>
      </c>
      <c r="O133" s="282"/>
      <c r="P133" s="282"/>
      <c r="Q133" s="296"/>
      <c r="R133" s="293" t="s">
        <v>543</v>
      </c>
      <c r="S133" s="294" t="str">
        <f aca="false">IFERROR(IF(C$21*C$22*C$23*C$24*C26&gt;0,STDEV(C$21:C$24,C26),"")/IF(C$21*C$22*C$23*C$24*C26&gt;0,AVERAGE(C$21:C$24,C26),""),"")</f>
        <v/>
      </c>
      <c r="T133" s="294" t="str">
        <f aca="false">IFERROR(IF(D$21*D$22*D$23*D$24*D26&gt;0,STDEV(D$21:D$24,D26),"")/IF(D$21*D$22*D$23*D$24*D26&gt;0,AVERAGE(D$21:D$24,D26),""),"")</f>
        <v/>
      </c>
      <c r="U133" s="294" t="str">
        <f aca="false">IFERROR(IF(E$21*E$22*E$23*E$24*E26&gt;0,STDEV(E$21:E$24,E26),"")/IF(E$21*E$22*E$23*E$24*E26&gt;0,AVERAGE(E$21:E$24,E26),""),"")</f>
        <v/>
      </c>
      <c r="V133" s="294" t="str">
        <f aca="false">IFERROR(IF(F$21*F$22*F$23*F$24*F26&gt;0,STDEV(F$21:F$24,F26),"")/IF(F$21*F$22*F$23*F$24*F26&gt;0,AVERAGE(F$21:F$24,F26),""),"")</f>
        <v/>
      </c>
      <c r="W133" s="294" t="str">
        <f aca="false">IFERROR(IF(G$21*G$22*G$23*G$24*G26&gt;0,STDEV(G$21:G$24,G26),"")/IF(G$21*G$22*G$23*G$24*G26&gt;0,AVERAGE(G$21:G$24,G26),""),"")</f>
        <v/>
      </c>
      <c r="X133" s="294" t="str">
        <f aca="false">IFERROR(IF(H$21*H$22*H$23*H$24*H26&gt;0,STDEV(H$21:H$24,H26),"")/IF(H$21*H$22*H$23*H$24*H26&gt;0,AVERAGE(H$21:H$24,H26),""),"")</f>
        <v/>
      </c>
      <c r="Y133" s="294" t="str">
        <f aca="false">IFERROR(IF(I$21*I$22*I$23*I$24*I26&gt;0,STDEV(I$21:I$24,I26),"")/IF(I$21*I$22*I$23*I$24*I26&gt;0,AVERAGE(I$21:I$24,I26),""),"")</f>
        <v/>
      </c>
      <c r="Z133" s="294" t="str">
        <f aca="false">IFERROR(IF(J$21*J$22*J$23*J$24*J26&gt;0,STDEV(J$21:J$24,J26),"")/IF(J$21*J$22*J$23*J$24*J26&gt;0,AVERAGE(J$21:J$24,J26),""),"")</f>
        <v/>
      </c>
      <c r="AA133" s="294" t="str">
        <f aca="false">IFERROR(IF(K$21*K$22*K$23*K$24*K26&gt;0,STDEV(K$21:K$24,K26),"")/IF(K$21*K$22*K$23*K$24*K26&gt;0,AVERAGE(K$21:K$24,K26),""),"")</f>
        <v/>
      </c>
      <c r="AB133" s="294" t="str">
        <f aca="false">IFERROR(IF(L$21*L$22*L$23*L$24*L26&gt;0,STDEV(L$21:L$24,L26),"")/IF(L$21*L$22*L$23*L$24*L26&gt;0,AVERAGE(L$21:L$24,L26),""),"")</f>
        <v/>
      </c>
      <c r="AC133" s="294" t="str">
        <f aca="false">IFERROR(IF(M$21*M$22*M$23*M$24*M26&gt;0,STDEV(M$21:M$24,M26),"")/IF(M$21*M$22*M$23*M$24*M26&gt;0,AVERAGE(M$21:M$24,M26),""),"")</f>
        <v/>
      </c>
      <c r="AD133" s="294" t="str">
        <f aca="false">IFERROR(IF(N$21*N$22*N$23*N$24*N26&gt;0,STDEV(N$21:N$24,N26),"")/IF(N$21*N$22*N$23*N$24*N26&gt;0,AVERAGE(N$21:N$24,N26),""),"")</f>
        <v/>
      </c>
      <c r="AE133" s="44"/>
      <c r="AF133" s="266" t="s">
        <v>544</v>
      </c>
      <c r="AG133" s="287" t="str">
        <f aca="false">IFERROR(IF(C$21*C$22*C$23*C$24*C26&gt;0,STDEV(C$21:C$24,C26)," ")/IF(C$21*C$22*C$23*C$24*C26&gt;0,SQRT(COUNT(C$21:C$24,C26))," "),"")</f>
        <v/>
      </c>
      <c r="AH133" s="287" t="str">
        <f aca="false">IFERROR(IF(D$21*D$22*D$23*D$24*D26&gt;0,STDEV(D$21:D$24,D26)," ")/IF(D$21*D$22*D$23*D$24*D26&gt;0,SQRT(COUNT(D$21:D$24,D26))," "),"")</f>
        <v/>
      </c>
      <c r="AI133" s="287" t="str">
        <f aca="false">IFERROR(IF(E$21*E$22*E$23*E$24*E26&gt;0,STDEV(E$21:E$24,E26)," ")/IF(E$21*E$22*E$23*E$24*E26&gt;0,SQRT(COUNT(E$21:E$24,E26))," "),"")</f>
        <v/>
      </c>
      <c r="AJ133" s="287" t="str">
        <f aca="false">IFERROR(IF(F$21*F$22*F$23*F$24*F26&gt;0,STDEV(F$21:F$24,F26)," ")/IF(F$21*F$22*F$23*F$24*F26&gt;0,SQRT(COUNT(F$21:F$24,F26))," "),"")</f>
        <v/>
      </c>
      <c r="AK133" s="287" t="str">
        <f aca="false">IFERROR(IF(G$21*G$22*G$23*G$24*G26&gt;0,STDEV(G$21:G$24,G26)," ")/IF(G$21*G$22*G$23*G$24*G26&gt;0,SQRT(COUNT(G$21:G$24,G26))," "),"")</f>
        <v/>
      </c>
      <c r="AL133" s="287" t="str">
        <f aca="false">IFERROR(IF(H$21*H$22*H$23*H$24*H26&gt;0,STDEV(H$21:H$24,H26)," ")/IF(H$21*H$22*H$23*H$24*H26&gt;0,SQRT(COUNT(H$21:H$24,H26))," "),"")</f>
        <v/>
      </c>
      <c r="AM133" s="287" t="str">
        <f aca="false">IFERROR(IF(I$21*I$22*I$23*I$24*I26&gt;0,STDEV(I$21:I$24,I26)," ")/IF(I$21*I$22*I$23*I$24*I26&gt;0,SQRT(COUNT(I$21:I$24,I26))," "),"")</f>
        <v/>
      </c>
      <c r="AN133" s="287" t="str">
        <f aca="false">IFERROR(IF(J$21*J$22*J$23*J$24*J26&gt;0,STDEV(J$21:J$24,J26)," ")/IF(J$21*J$22*J$23*J$24*J26&gt;0,SQRT(COUNT(J$21:J$24,J26))," "),"")</f>
        <v/>
      </c>
      <c r="AO133" s="287" t="str">
        <f aca="false">IFERROR(IF(K$21*K$22*K$23*K$24*K26&gt;0,STDEV(K$21:K$24,K26)," ")/IF(K$21*K$22*K$23*K$24*K26&gt;0,SQRT(COUNT(K$21:K$24,K26))," "),"")</f>
        <v/>
      </c>
      <c r="AP133" s="287" t="str">
        <f aca="false">IFERROR(IF(L$21*L$22*L$23*L$24*L26&gt;0,STDEV(L$21:L$24,L26)," ")/IF(L$21*L$22*L$23*L$24*L26&gt;0,SQRT(COUNT(L$21:L$24,L26))," "),"")</f>
        <v/>
      </c>
      <c r="AQ133" s="287" t="str">
        <f aca="false">IFERROR(IF(M$21*M$22*M$23*M$24*M26&gt;0,STDEV(M$21:M$24,M26)," ")/IF(M$21*M$22*M$23*M$24*M26&gt;0,SQRT(COUNT(M$21:M$24,M26))," "),"")</f>
        <v/>
      </c>
      <c r="AR133" s="287" t="str">
        <f aca="false">IFERROR(IF(N$21*N$22*N$23*N$24*N26&gt;0,STDEV(N$21:N$24,N26)," ")/IF(N$21*N$22*N$23*N$24*N26&gt;0,SQRT(COUNT(N$21:N$24,N26))," "),"")</f>
        <v/>
      </c>
    </row>
    <row r="134" customFormat="false" ht="15.75" hidden="false" customHeight="false" outlineLevel="0" collapsed="false">
      <c r="A134" s="290" t="s">
        <v>545</v>
      </c>
      <c r="B134" s="281"/>
      <c r="C134" s="302" t="str">
        <f aca="false">IFERROR(IF(C$21*C$22*C$23*C$24*C27&gt;0,AVERAGE(C$21:C$24,C27),""),"")</f>
        <v/>
      </c>
      <c r="D134" s="302" t="str">
        <f aca="false">IFERROR(IF(D$21*D$22*D$23*D$24*D27&gt;0,AVERAGE(D$21:D$24,D27),""),"")</f>
        <v/>
      </c>
      <c r="E134" s="302" t="str">
        <f aca="false">IFERROR(IF(E$21*E$22*E$23*E$24*E27&gt;0,AVERAGE(E$21:E$24,E27),""),"")</f>
        <v/>
      </c>
      <c r="F134" s="302" t="str">
        <f aca="false">IFERROR(IF(F$21*F$22*F$23*F$24*F27&gt;0,AVERAGE(F$21:F$24,F27),""),"")</f>
        <v/>
      </c>
      <c r="G134" s="302" t="str">
        <f aca="false">IFERROR(IF(G$21*G$22*G$23*G$24*G27&gt;0,AVERAGE(G$21:G$24,G27),""),"")</f>
        <v/>
      </c>
      <c r="H134" s="302" t="str">
        <f aca="false">IFERROR(IF(H$21*H$22*H$23*H$24*H27&gt;0,AVERAGE(H$21:H$24,H27),""),"")</f>
        <v/>
      </c>
      <c r="I134" s="302" t="str">
        <f aca="false">IFERROR(IF(I$21*I$22*I$23*I$24*I27&gt;0,AVERAGE(I$21:I$24,I27),""),"")</f>
        <v/>
      </c>
      <c r="J134" s="302" t="str">
        <f aca="false">IFERROR(IF(J$21*J$22*J$23*J$24*J27&gt;0,AVERAGE(J$21:J$24,J27),""),"")</f>
        <v/>
      </c>
      <c r="K134" s="302" t="str">
        <f aca="false">IFERROR(IF(K$21*K$22*K$23*K$24*K27&gt;0,AVERAGE(K$21:K$24,K27),""),"")</f>
        <v/>
      </c>
      <c r="L134" s="302" t="str">
        <f aca="false">IFERROR(IF(L$21*L$22*L$23*L$24*L27&gt;0,AVERAGE(L$21:L$24,L27),""),"")</f>
        <v/>
      </c>
      <c r="M134" s="302" t="str">
        <f aca="false">IFERROR(IF(M$21*M$22*M$23*M$24*M27&gt;0,AVERAGE(M$21:M$24,M27),""),"")</f>
        <v/>
      </c>
      <c r="N134" s="302" t="str">
        <f aca="false">IFERROR(IF(N$21*N$22*N$23*N$24*N27&gt;0,AVERAGE(N$21:N$24,N27),""),"")</f>
        <v/>
      </c>
      <c r="O134" s="282"/>
      <c r="P134" s="282"/>
      <c r="Q134" s="296"/>
      <c r="R134" s="293" t="s">
        <v>546</v>
      </c>
      <c r="S134" s="294" t="str">
        <f aca="false">IFERROR(IF(C$21*C$22*C$23*C$24*C27&gt;0,STDEV(C$21:C$24,C27),"")/IF(C$21*C$22*C$23*C$24*C27&gt;0,AVERAGE(C$21:C$24,C27),""),"")</f>
        <v/>
      </c>
      <c r="T134" s="294" t="str">
        <f aca="false">IFERROR(IF(D$21*D$22*D$23*D$24*D27&gt;0,STDEV(D$21:D$24,D27),"")/IF(D$21*D$22*D$23*D$24*D27&gt;0,AVERAGE(D$21:D$24,D27),""),"")</f>
        <v/>
      </c>
      <c r="U134" s="294" t="str">
        <f aca="false">IFERROR(IF(E$21*E$22*E$23*E$24*E27&gt;0,STDEV(E$21:E$24,E27),"")/IF(E$21*E$22*E$23*E$24*E27&gt;0,AVERAGE(E$21:E$24,E27),""),"")</f>
        <v/>
      </c>
      <c r="V134" s="294" t="str">
        <f aca="false">IFERROR(IF(F$21*F$22*F$23*F$24*F27&gt;0,STDEV(F$21:F$24,F27),"")/IF(F$21*F$22*F$23*F$24*F27&gt;0,AVERAGE(F$21:F$24,F27),""),"")</f>
        <v/>
      </c>
      <c r="W134" s="294" t="str">
        <f aca="false">IFERROR(IF(G$21*G$22*G$23*G$24*G27&gt;0,STDEV(G$21:G$24,G27),"")/IF(G$21*G$22*G$23*G$24*G27&gt;0,AVERAGE(G$21:G$24,G27),""),"")</f>
        <v/>
      </c>
      <c r="X134" s="294" t="str">
        <f aca="false">IFERROR(IF(H$21*H$22*H$23*H$24*H27&gt;0,STDEV(H$21:H$24,H27),"")/IF(H$21*H$22*H$23*H$24*H27&gt;0,AVERAGE(H$21:H$24,H27),""),"")</f>
        <v/>
      </c>
      <c r="Y134" s="294" t="str">
        <f aca="false">IFERROR(IF(I$21*I$22*I$23*I$24*I27&gt;0,STDEV(I$21:I$24,I27),"")/IF(I$21*I$22*I$23*I$24*I27&gt;0,AVERAGE(I$21:I$24,I27),""),"")</f>
        <v/>
      </c>
      <c r="Z134" s="294" t="str">
        <f aca="false">IFERROR(IF(J$21*J$22*J$23*J$24*J27&gt;0,STDEV(J$21:J$24,J27),"")/IF(J$21*J$22*J$23*J$24*J27&gt;0,AVERAGE(J$21:J$24,J27),""),"")</f>
        <v/>
      </c>
      <c r="AA134" s="294" t="str">
        <f aca="false">IFERROR(IF(K$21*K$22*K$23*K$24*K27&gt;0,STDEV(K$21:K$24,K27),"")/IF(K$21*K$22*K$23*K$24*K27&gt;0,AVERAGE(K$21:K$24,K27),""),"")</f>
        <v/>
      </c>
      <c r="AB134" s="294" t="str">
        <f aca="false">IFERROR(IF(L$21*L$22*L$23*L$24*L27&gt;0,STDEV(L$21:L$24,L27),"")/IF(L$21*L$22*L$23*L$24*L27&gt;0,AVERAGE(L$21:L$24,L27),""),"")</f>
        <v/>
      </c>
      <c r="AC134" s="294" t="str">
        <f aca="false">IFERROR(IF(M$21*M$22*M$23*M$24*M27&gt;0,STDEV(M$21:M$24,M27),"")/IF(M$21*M$22*M$23*M$24*M27&gt;0,AVERAGE(M$21:M$24,M27),""),"")</f>
        <v/>
      </c>
      <c r="AD134" s="294" t="str">
        <f aca="false">IFERROR(IF(N$21*N$22*N$23*N$24*N27&gt;0,STDEV(N$21:N$24,N27),"")/IF(N$21*N$22*N$23*N$24*N27&gt;0,AVERAGE(N$21:N$24,N27),""),"")</f>
        <v/>
      </c>
      <c r="AE134" s="44"/>
      <c r="AF134" s="266" t="s">
        <v>547</v>
      </c>
      <c r="AG134" s="287" t="str">
        <f aca="false">IFERROR(IF(C$21*C$22*C$23*C$24*C27&gt;0,STDEV(C$21:C$24,C27)," ")/IF(C$21*C$22*C$23*C$24*C27&gt;0,SQRT(COUNT(C$21:C$24,C27))," "),"")</f>
        <v/>
      </c>
      <c r="AH134" s="287" t="str">
        <f aca="false">IFERROR(IF(D$21*D$22*D$23*D$24*D27&gt;0,STDEV(D$21:D$24,D27)," ")/IF(D$21*D$22*D$23*D$24*D27&gt;0,SQRT(COUNT(D$21:D$24,D27))," "),"")</f>
        <v/>
      </c>
      <c r="AI134" s="287" t="str">
        <f aca="false">IFERROR(IF(E$21*E$22*E$23*E$24*E27&gt;0,STDEV(E$21:E$24,E27)," ")/IF(E$21*E$22*E$23*E$24*E27&gt;0,SQRT(COUNT(E$21:E$24,E27))," "),"")</f>
        <v/>
      </c>
      <c r="AJ134" s="287" t="str">
        <f aca="false">IFERROR(IF(F$21*F$22*F$23*F$24*F27&gt;0,STDEV(F$21:F$24,F27)," ")/IF(F$21*F$22*F$23*F$24*F27&gt;0,SQRT(COUNT(F$21:F$24,F27))," "),"")</f>
        <v/>
      </c>
      <c r="AK134" s="287" t="str">
        <f aca="false">IFERROR(IF(G$21*G$22*G$23*G$24*G27&gt;0,STDEV(G$21:G$24,G27)," ")/IF(G$21*G$22*G$23*G$24*G27&gt;0,SQRT(COUNT(G$21:G$24,G27))," "),"")</f>
        <v/>
      </c>
      <c r="AL134" s="287" t="str">
        <f aca="false">IFERROR(IF(H$21*H$22*H$23*H$24*H27&gt;0,STDEV(H$21:H$24,H27)," ")/IF(H$21*H$22*H$23*H$24*H27&gt;0,SQRT(COUNT(H$21:H$24,H27))," "),"")</f>
        <v/>
      </c>
      <c r="AM134" s="287" t="str">
        <f aca="false">IFERROR(IF(I$21*I$22*I$23*I$24*I27&gt;0,STDEV(I$21:I$24,I27)," ")/IF(I$21*I$22*I$23*I$24*I27&gt;0,SQRT(COUNT(I$21:I$24,I27))," "),"")</f>
        <v/>
      </c>
      <c r="AN134" s="287" t="str">
        <f aca="false">IFERROR(IF(J$21*J$22*J$23*J$24*J27&gt;0,STDEV(J$21:J$24,J27)," ")/IF(J$21*J$22*J$23*J$24*J27&gt;0,SQRT(COUNT(J$21:J$24,J27))," "),"")</f>
        <v/>
      </c>
      <c r="AO134" s="287" t="str">
        <f aca="false">IFERROR(IF(K$21*K$22*K$23*K$24*K27&gt;0,STDEV(K$21:K$24,K27)," ")/IF(K$21*K$22*K$23*K$24*K27&gt;0,SQRT(COUNT(K$21:K$24,K27))," "),"")</f>
        <v/>
      </c>
      <c r="AP134" s="287" t="str">
        <f aca="false">IFERROR(IF(L$21*L$22*L$23*L$24*L27&gt;0,STDEV(L$21:L$24,L27)," ")/IF(L$21*L$22*L$23*L$24*L27&gt;0,SQRT(COUNT(L$21:L$24,L27))," "),"")</f>
        <v/>
      </c>
      <c r="AQ134" s="287" t="str">
        <f aca="false">IFERROR(IF(M$21*M$22*M$23*M$24*M27&gt;0,STDEV(M$21:M$24,M27)," ")/IF(M$21*M$22*M$23*M$24*M27&gt;0,SQRT(COUNT(M$21:M$24,M27))," "),"")</f>
        <v/>
      </c>
      <c r="AR134" s="287" t="str">
        <f aca="false">IFERROR(IF(N$21*N$22*N$23*N$24*N27&gt;0,STDEV(N$21:N$24,N27)," ")/IF(N$21*N$22*N$23*N$24*N27&gt;0,SQRT(COUNT(N$21:N$24,N27))," "),"")</f>
        <v/>
      </c>
    </row>
    <row r="135" customFormat="false" ht="15.75" hidden="false" customHeight="false" outlineLevel="0" collapsed="false">
      <c r="A135" s="290" t="s">
        <v>548</v>
      </c>
      <c r="B135" s="281"/>
      <c r="C135" s="302" t="str">
        <f aca="false">IFERROR(IF(C$22*C$23*C$24*C$25*C21&gt;0,AVERAGE(C$22:C$25,C21),""),"")</f>
        <v/>
      </c>
      <c r="D135" s="302" t="str">
        <f aca="false">IFERROR(IF(D$22*D$23*D$24*D$25*D21&gt;0,AVERAGE(D$22:D$25,D21),""),"")</f>
        <v/>
      </c>
      <c r="E135" s="302" t="str">
        <f aca="false">IFERROR(IF(E$22*E$23*E$24*E$25*E21&gt;0,AVERAGE(E$22:E$25,E21),""),"")</f>
        <v/>
      </c>
      <c r="F135" s="302" t="str">
        <f aca="false">IFERROR(IF(F$22*F$23*F$24*F$25*F21&gt;0,AVERAGE(F$22:F$25,F21),""),"")</f>
        <v/>
      </c>
      <c r="G135" s="302" t="str">
        <f aca="false">IFERROR(IF(G$22*G$23*G$24*G$25*G21&gt;0,AVERAGE(G$22:G$25,G21),""),"")</f>
        <v/>
      </c>
      <c r="H135" s="302" t="str">
        <f aca="false">IFERROR(IF(H$22*H$23*H$24*H$25*H21&gt;0,AVERAGE(H$22:H$25,H21),""),"")</f>
        <v/>
      </c>
      <c r="I135" s="302" t="str">
        <f aca="false">IFERROR(IF(I$22*I$23*I$24*I$25*I21&gt;0,AVERAGE(I$22:I$25,I21),""),"")</f>
        <v/>
      </c>
      <c r="J135" s="302" t="str">
        <f aca="false">IFERROR(IF(J$22*J$23*J$24*J$25*J21&gt;0,AVERAGE(J$22:J$25,J21),""),"")</f>
        <v/>
      </c>
      <c r="K135" s="302" t="str">
        <f aca="false">IFERROR(IF(K$22*K$23*K$24*K$25*K21&gt;0,AVERAGE(K$22:K$25,K21),""),"")</f>
        <v/>
      </c>
      <c r="L135" s="302" t="str">
        <f aca="false">IFERROR(IF(L$22*L$23*L$24*L$25*L21&gt;0,AVERAGE(L$22:L$25,L21),""),"")</f>
        <v/>
      </c>
      <c r="M135" s="302" t="str">
        <f aca="false">IFERROR(IF(M$22*M$23*M$24*M$25*M21&gt;0,AVERAGE(M$22:M$25,M21),""),"")</f>
        <v/>
      </c>
      <c r="N135" s="302" t="str">
        <f aca="false">IFERROR(IF(N$22*N$23*N$24*N$25*N21&gt;0,AVERAGE(N$22:N$25,N21),""),"")</f>
        <v/>
      </c>
      <c r="O135" s="282"/>
      <c r="P135" s="282"/>
      <c r="Q135" s="296"/>
      <c r="R135" s="293" t="s">
        <v>549</v>
      </c>
      <c r="S135" s="294" t="str">
        <f aca="false">IFERROR(IF(C$22*C$23*C$24*C$25*C21&gt;0,STDEV(C$22:C$25,C21),"")/IF(C$22*C$23*C$24*C$25*C21&gt;0,AVERAGE(C$22:C$25,C21),""),"")</f>
        <v/>
      </c>
      <c r="T135" s="294" t="str">
        <f aca="false">IFERROR(IF(D$22*D$23*D$24*D$25*D21&gt;0,STDEV(D$22:D$25,D21),"")/IF(D$22*D$23*D$24*D$25*D21&gt;0,AVERAGE(D$22:D$25,D21),""),"")</f>
        <v/>
      </c>
      <c r="U135" s="294" t="str">
        <f aca="false">IFERROR(IF(E$22*E$23*E$24*E$25*E21&gt;0,STDEV(E$22:E$25,E21),"")/IF(E$22*E$23*E$24*E$25*E21&gt;0,AVERAGE(E$22:E$25,E21),""),"")</f>
        <v/>
      </c>
      <c r="V135" s="294" t="str">
        <f aca="false">IFERROR(IF(F$22*F$23*F$24*F$25*F21&gt;0,STDEV(F$22:F$25,F21),"")/IF(F$22*F$23*F$24*F$25*F21&gt;0,AVERAGE(F$22:F$25,F21),""),"")</f>
        <v/>
      </c>
      <c r="W135" s="294" t="str">
        <f aca="false">IFERROR(IF(G$22*G$23*G$24*G$25*G21&gt;0,STDEV(G$22:G$25,G21),"")/IF(G$22*G$23*G$24*G$25*G21&gt;0,AVERAGE(G$22:G$25,G21),""),"")</f>
        <v/>
      </c>
      <c r="X135" s="294" t="str">
        <f aca="false">IFERROR(IF(H$22*H$23*H$24*H$25*H21&gt;0,STDEV(H$22:H$25,H21),"")/IF(H$22*H$23*H$24*H$25*H21&gt;0,AVERAGE(H$22:H$25,H21),""),"")</f>
        <v/>
      </c>
      <c r="Y135" s="294" t="str">
        <f aca="false">IFERROR(IF(I$22*I$23*I$24*I$25*I21&gt;0,STDEV(I$22:I$25,I21),"")/IF(I$22*I$23*I$24*I$25*I21&gt;0,AVERAGE(I$22:I$25,I21),""),"")</f>
        <v/>
      </c>
      <c r="Z135" s="294" t="str">
        <f aca="false">IFERROR(IF(J$22*J$23*J$24*J$25*J21&gt;0,STDEV(J$22:J$25,J21),"")/IF(J$22*J$23*J$24*J$25*J21&gt;0,AVERAGE(J$22:J$25,J21),""),"")</f>
        <v/>
      </c>
      <c r="AA135" s="294" t="str">
        <f aca="false">IFERROR(IF(K$22*K$23*K$24*K$25*K21&gt;0,STDEV(K$22:K$25,K21),"")/IF(K$22*K$23*K$24*K$25*K21&gt;0,AVERAGE(K$22:K$25,K21),""),"")</f>
        <v/>
      </c>
      <c r="AB135" s="294" t="str">
        <f aca="false">IFERROR(IF(L$22*L$23*L$24*L$25*L21&gt;0,STDEV(L$22:L$25,L21),"")/IF(L$22*L$23*L$24*L$25*L21&gt;0,AVERAGE(L$22:L$25,L21),""),"")</f>
        <v/>
      </c>
      <c r="AC135" s="294" t="str">
        <f aca="false">IFERROR(IF(M$22*M$23*M$24*M$25*M21&gt;0,STDEV(M$22:M$25,M21),"")/IF(M$22*M$23*M$24*M$25*M21&gt;0,AVERAGE(M$22:M$25,M21),""),"")</f>
        <v/>
      </c>
      <c r="AD135" s="294" t="str">
        <f aca="false">IFERROR(IF(N$22*N$23*N$24*N$25*N21&gt;0,STDEV(N$22:N$25,N21),"")/IF(N$22*N$23*N$24*N$25*N21&gt;0,AVERAGE(N$22:N$25,N21),""),"")</f>
        <v/>
      </c>
      <c r="AE135" s="44"/>
      <c r="AF135" s="266" t="s">
        <v>550</v>
      </c>
      <c r="AG135" s="287" t="str">
        <f aca="false">IFERROR(IF(C$22*C$23*C$24*C$25*C21&gt;0,STDEV(C$22:C$25,C21)," ")/IF(C$22*C$23*C$24*C$25*C21&gt;0,SQRT(COUNT(C$22:C$25,C21))," "),"")</f>
        <v/>
      </c>
      <c r="AH135" s="287" t="str">
        <f aca="false">IFERROR(IF(D$22*D$23*D$24*D$25*D21&gt;0,STDEV(D$22:D$25,D21)," ")/IF(D$22*D$23*D$24*D$25*D21&gt;0,SQRT(COUNT(D$22:D$25,D21))," "),"")</f>
        <v/>
      </c>
      <c r="AI135" s="287" t="str">
        <f aca="false">IFERROR(IF(E$22*E$23*E$24*E$25*E21&gt;0,STDEV(E$22:E$25,E21)," ")/IF(E$22*E$23*E$24*E$25*E21&gt;0,SQRT(COUNT(E$22:E$25,E21))," "),"")</f>
        <v/>
      </c>
      <c r="AJ135" s="287" t="str">
        <f aca="false">IFERROR(IF(F$22*F$23*F$24*F$25*F21&gt;0,STDEV(F$22:F$25,F21)," ")/IF(F$22*F$23*F$24*F$25*F21&gt;0,SQRT(COUNT(F$22:F$25,F21))," "),"")</f>
        <v/>
      </c>
      <c r="AK135" s="287" t="str">
        <f aca="false">IFERROR(IF(G$22*G$23*G$24*G$25*G21&gt;0,STDEV(G$22:G$25,G21)," ")/IF(G$22*G$23*G$24*G$25*G21&gt;0,SQRT(COUNT(G$22:G$25,G21))," "),"")</f>
        <v/>
      </c>
      <c r="AL135" s="287" t="str">
        <f aca="false">IFERROR(IF(H$22*H$23*H$24*H$25*H21&gt;0,STDEV(H$22:H$25,H21)," ")/IF(H$22*H$23*H$24*H$25*H21&gt;0,SQRT(COUNT(H$22:H$25,H21))," "),"")</f>
        <v/>
      </c>
      <c r="AM135" s="287" t="str">
        <f aca="false">IFERROR(IF(I$22*I$23*I$24*I$25*I21&gt;0,STDEV(I$22:I$25,I21)," ")/IF(I$22*I$23*I$24*I$25*I21&gt;0,SQRT(COUNT(I$22:I$25,I21))," "),"")</f>
        <v/>
      </c>
      <c r="AN135" s="287" t="str">
        <f aca="false">IFERROR(IF(J$22*J$23*J$24*J$25*J21&gt;0,STDEV(J$22:J$25,J21)," ")/IF(J$22*J$23*J$24*J$25*J21&gt;0,SQRT(COUNT(J$22:J$25,J21))," "),"")</f>
        <v/>
      </c>
      <c r="AO135" s="287" t="str">
        <f aca="false">IFERROR(IF(K$22*K$23*K$24*K$25*K21&gt;0,STDEV(K$22:K$25,K21)," ")/IF(K$22*K$23*K$24*K$25*K21&gt;0,SQRT(COUNT(K$22:K$25,K21))," "),"")</f>
        <v/>
      </c>
      <c r="AP135" s="287" t="str">
        <f aca="false">IFERROR(IF(L$22*L$23*L$24*L$25*L21&gt;0,STDEV(L$22:L$25,L21)," ")/IF(L$22*L$23*L$24*L$25*L21&gt;0,SQRT(COUNT(L$22:L$25,L21))," "),"")</f>
        <v/>
      </c>
      <c r="AQ135" s="287" t="str">
        <f aca="false">IFERROR(IF(M$22*M$23*M$24*M$25*M21&gt;0,STDEV(M$22:M$25,M21)," ")/IF(M$22*M$23*M$24*M$25*M21&gt;0,SQRT(COUNT(M$22:M$25,M21))," "),"")</f>
        <v/>
      </c>
      <c r="AR135" s="287" t="str">
        <f aca="false">IFERROR(IF(N$22*N$23*N$24*N$25*N21&gt;0,STDEV(N$22:N$25,N21)," ")/IF(N$22*N$23*N$24*N$25*N21&gt;0,SQRT(COUNT(N$22:N$25,N21))," "),"")</f>
        <v/>
      </c>
    </row>
    <row r="136" customFormat="false" ht="15.75" hidden="false" customHeight="false" outlineLevel="0" collapsed="false">
      <c r="A136" s="290" t="s">
        <v>551</v>
      </c>
      <c r="B136" s="281"/>
      <c r="C136" s="302" t="str">
        <f aca="false">IFERROR(IF(C$22*C$23*C$24*C$25*C26&gt;0,AVERAGE(C$22:C$25,C26),""),"")</f>
        <v/>
      </c>
      <c r="D136" s="302" t="str">
        <f aca="false">IFERROR(IF(D$22*D$23*D$24*D$25*D26&gt;0,AVERAGE(D$22:D$25,D26),""),"")</f>
        <v/>
      </c>
      <c r="E136" s="302" t="str">
        <f aca="false">IFERROR(IF(E$22*E$23*E$24*E$25*E26&gt;0,AVERAGE(E$22:E$25,E26),""),"")</f>
        <v/>
      </c>
      <c r="F136" s="302" t="str">
        <f aca="false">IFERROR(IF(F$22*F$23*F$24*F$25*F26&gt;0,AVERAGE(F$22:F$25,F26),""),"")</f>
        <v/>
      </c>
      <c r="G136" s="302" t="str">
        <f aca="false">IFERROR(IF(G$22*G$23*G$24*G$25*G26&gt;0,AVERAGE(G$22:G$25,G26),""),"")</f>
        <v/>
      </c>
      <c r="H136" s="302" t="str">
        <f aca="false">IFERROR(IF(H$22*H$23*H$24*H$25*H26&gt;0,AVERAGE(H$22:H$25,H26),""),"")</f>
        <v/>
      </c>
      <c r="I136" s="302" t="str">
        <f aca="false">IFERROR(IF(I$22*I$23*I$24*I$25*I26&gt;0,AVERAGE(I$22:I$25,I26),""),"")</f>
        <v/>
      </c>
      <c r="J136" s="302" t="str">
        <f aca="false">IFERROR(IF(J$22*J$23*J$24*J$25*J26&gt;0,AVERAGE(J$22:J$25,J26),""),"")</f>
        <v/>
      </c>
      <c r="K136" s="302" t="str">
        <f aca="false">IFERROR(IF(K$22*K$23*K$24*K$25*K26&gt;0,AVERAGE(K$22:K$25,K26),""),"")</f>
        <v/>
      </c>
      <c r="L136" s="302" t="str">
        <f aca="false">IFERROR(IF(L$22*L$23*L$24*L$25*L26&gt;0,AVERAGE(L$22:L$25,L26),""),"")</f>
        <v/>
      </c>
      <c r="M136" s="302" t="str">
        <f aca="false">IFERROR(IF(M$22*M$23*M$24*M$25*M26&gt;0,AVERAGE(M$22:M$25,M26),""),"")</f>
        <v/>
      </c>
      <c r="N136" s="302" t="str">
        <f aca="false">IFERROR(IF(N$22*N$23*N$24*N$25*N26&gt;0,AVERAGE(N$22:N$25,N26),""),"")</f>
        <v/>
      </c>
      <c r="O136" s="282"/>
      <c r="P136" s="282"/>
      <c r="Q136" s="296"/>
      <c r="R136" s="293" t="s">
        <v>552</v>
      </c>
      <c r="S136" s="294" t="str">
        <f aca="false">IFERROR(IF(C$22*C$23*C$24*C$25*C26&gt;0,STDEV(C$22:C$25,C26),"")/IF(C$22*C$23*C$24*C$25*C26&gt;0,AVERAGE(C$22:C$25,C26),""),"")</f>
        <v/>
      </c>
      <c r="T136" s="294" t="str">
        <f aca="false">IFERROR(IF(D$22*D$23*D$24*D$25*D26&gt;0,STDEV(D$22:D$25,D26),"")/IF(D$22*D$23*D$24*D$25*D26&gt;0,AVERAGE(D$22:D$25,D26),""),"")</f>
        <v/>
      </c>
      <c r="U136" s="294" t="str">
        <f aca="false">IFERROR(IF(E$22*E$23*E$24*E$25*E26&gt;0,STDEV(E$22:E$25,E26),"")/IF(E$22*E$23*E$24*E$25*E26&gt;0,AVERAGE(E$22:E$25,E26),""),"")</f>
        <v/>
      </c>
      <c r="V136" s="294" t="str">
        <f aca="false">IFERROR(IF(F$22*F$23*F$24*F$25*F26&gt;0,STDEV(F$22:F$25,F26),"")/IF(F$22*F$23*F$24*F$25*F26&gt;0,AVERAGE(F$22:F$25,F26),""),"")</f>
        <v/>
      </c>
      <c r="W136" s="294" t="str">
        <f aca="false">IFERROR(IF(G$22*G$23*G$24*G$25*G26&gt;0,STDEV(G$22:G$25,G26),"")/IF(G$22*G$23*G$24*G$25*G26&gt;0,AVERAGE(G$22:G$25,G26),""),"")</f>
        <v/>
      </c>
      <c r="X136" s="294" t="str">
        <f aca="false">IFERROR(IF(H$22*H$23*H$24*H$25*H26&gt;0,STDEV(H$22:H$25,H26),"")/IF(H$22*H$23*H$24*H$25*H26&gt;0,AVERAGE(H$22:H$25,H26),""),"")</f>
        <v/>
      </c>
      <c r="Y136" s="294" t="str">
        <f aca="false">IFERROR(IF(I$22*I$23*I$24*I$25*I26&gt;0,STDEV(I$22:I$25,I26),"")/IF(I$22*I$23*I$24*I$25*I26&gt;0,AVERAGE(I$22:I$25,I26),""),"")</f>
        <v/>
      </c>
      <c r="Z136" s="294" t="str">
        <f aca="false">IFERROR(IF(J$22*J$23*J$24*J$25*J26&gt;0,STDEV(J$22:J$25,J26),"")/IF(J$22*J$23*J$24*J$25*J26&gt;0,AVERAGE(J$22:J$25,J26),""),"")</f>
        <v/>
      </c>
      <c r="AA136" s="294" t="str">
        <f aca="false">IFERROR(IF(K$22*K$23*K$24*K$25*K26&gt;0,STDEV(K$22:K$25,K26),"")/IF(K$22*K$23*K$24*K$25*K26&gt;0,AVERAGE(K$22:K$25,K26),""),"")</f>
        <v/>
      </c>
      <c r="AB136" s="294" t="str">
        <f aca="false">IFERROR(IF(L$22*L$23*L$24*L$25*L26&gt;0,STDEV(L$22:L$25,L26),"")/IF(L$22*L$23*L$24*L$25*L26&gt;0,AVERAGE(L$22:L$25,L26),""),"")</f>
        <v/>
      </c>
      <c r="AC136" s="294" t="str">
        <f aca="false">IFERROR(IF(M$22*M$23*M$24*M$25*M26&gt;0,STDEV(M$22:M$25,M26),"")/IF(M$22*M$23*M$24*M$25*M26&gt;0,AVERAGE(M$22:M$25,M26),""),"")</f>
        <v/>
      </c>
      <c r="AD136" s="294" t="str">
        <f aca="false">IFERROR(IF(N$22*N$23*N$24*N$25*N26&gt;0,STDEV(N$22:N$25,N26),"")/IF(N$22*N$23*N$24*N$25*N26&gt;0,AVERAGE(N$22:N$25,N26),""),"")</f>
        <v/>
      </c>
      <c r="AE136" s="44"/>
      <c r="AF136" s="266" t="s">
        <v>553</v>
      </c>
      <c r="AG136" s="287" t="str">
        <f aca="false">IFERROR(IF(C$22*C$23*C$24*C$25*C26&gt;0,STDEV(C$22:C$25,C26)," ")/IF(C$22*C$23*C$24*C$25*C26&gt;0,SQRT(COUNT(C$22:C$25,C26))," "),"")</f>
        <v/>
      </c>
      <c r="AH136" s="287" t="str">
        <f aca="false">IFERROR(IF(D$22*D$23*D$24*D$25*D26&gt;0,STDEV(D$22:D$25,D26)," ")/IF(D$22*D$23*D$24*D$25*D26&gt;0,SQRT(COUNT(D$22:D$25,D26))," "),"")</f>
        <v/>
      </c>
      <c r="AI136" s="287" t="str">
        <f aca="false">IFERROR(IF(E$22*E$23*E$24*E$25*E26&gt;0,STDEV(E$22:E$25,E26)," ")/IF(E$22*E$23*E$24*E$25*E26&gt;0,SQRT(COUNT(E$22:E$25,E26))," "),"")</f>
        <v/>
      </c>
      <c r="AJ136" s="287" t="str">
        <f aca="false">IFERROR(IF(F$22*F$23*F$24*F$25*F26&gt;0,STDEV(F$22:F$25,F26)," ")/IF(F$22*F$23*F$24*F$25*F26&gt;0,SQRT(COUNT(F$22:F$25,F26))," "),"")</f>
        <v/>
      </c>
      <c r="AK136" s="287" t="str">
        <f aca="false">IFERROR(IF(G$22*G$23*G$24*G$25*G26&gt;0,STDEV(G$22:G$25,G26)," ")/IF(G$22*G$23*G$24*G$25*G26&gt;0,SQRT(COUNT(G$22:G$25,G26))," "),"")</f>
        <v/>
      </c>
      <c r="AL136" s="287" t="str">
        <f aca="false">IFERROR(IF(H$22*H$23*H$24*H$25*H26&gt;0,STDEV(H$22:H$25,H26)," ")/IF(H$22*H$23*H$24*H$25*H26&gt;0,SQRT(COUNT(H$22:H$25,H26))," "),"")</f>
        <v/>
      </c>
      <c r="AM136" s="287" t="str">
        <f aca="false">IFERROR(IF(I$22*I$23*I$24*I$25*I26&gt;0,STDEV(I$22:I$25,I26)," ")/IF(I$22*I$23*I$24*I$25*I26&gt;0,SQRT(COUNT(I$22:I$25,I26))," "),"")</f>
        <v/>
      </c>
      <c r="AN136" s="287" t="str">
        <f aca="false">IFERROR(IF(J$22*J$23*J$24*J$25*J26&gt;0,STDEV(J$22:J$25,J26)," ")/IF(J$22*J$23*J$24*J$25*J26&gt;0,SQRT(COUNT(J$22:J$25,J26))," "),"")</f>
        <v/>
      </c>
      <c r="AO136" s="287" t="str">
        <f aca="false">IFERROR(IF(K$22*K$23*K$24*K$25*K26&gt;0,STDEV(K$22:K$25,K26)," ")/IF(K$22*K$23*K$24*K$25*K26&gt;0,SQRT(COUNT(K$22:K$25,K26))," "),"")</f>
        <v/>
      </c>
      <c r="AP136" s="287" t="str">
        <f aca="false">IFERROR(IF(L$22*L$23*L$24*L$25*L26&gt;0,STDEV(L$22:L$25,L26)," ")/IF(L$22*L$23*L$24*L$25*L26&gt;0,SQRT(COUNT(L$22:L$25,L26))," "),"")</f>
        <v/>
      </c>
      <c r="AQ136" s="287" t="str">
        <f aca="false">IFERROR(IF(M$22*M$23*M$24*M$25*M26&gt;0,STDEV(M$22:M$25,M26)," ")/IF(M$22*M$23*M$24*M$25*M26&gt;0,SQRT(COUNT(M$22:M$25,M26))," "),"")</f>
        <v/>
      </c>
      <c r="AR136" s="287" t="str">
        <f aca="false">IFERROR(IF(N$22*N$23*N$24*N$25*N26&gt;0,STDEV(N$22:N$25,N26)," ")/IF(N$22*N$23*N$24*N$25*N26&gt;0,SQRT(COUNT(N$22:N$25,N26))," "),"")</f>
        <v/>
      </c>
    </row>
    <row r="137" customFormat="false" ht="15.75" hidden="false" customHeight="false" outlineLevel="0" collapsed="false">
      <c r="A137" s="290" t="s">
        <v>554</v>
      </c>
      <c r="B137" s="281"/>
      <c r="C137" s="302" t="str">
        <f aca="false">IFERROR(IF(C$22*C$23*C$24*C$25*C27&gt;0,AVERAGE(C$22:C$25,C27),""),"")</f>
        <v/>
      </c>
      <c r="D137" s="302" t="str">
        <f aca="false">IFERROR(IF(D$22*D$23*D$24*D$25*D27&gt;0,AVERAGE(D$22:D$25,D27),""),"")</f>
        <v/>
      </c>
      <c r="E137" s="302" t="str">
        <f aca="false">IFERROR(IF(E$22*E$23*E$24*E$25*E27&gt;0,AVERAGE(E$22:E$25,E27),""),"")</f>
        <v/>
      </c>
      <c r="F137" s="302" t="str">
        <f aca="false">IFERROR(IF(F$22*F$23*F$24*F$25*F27&gt;0,AVERAGE(F$22:F$25,F27),""),"")</f>
        <v/>
      </c>
      <c r="G137" s="302" t="str">
        <f aca="false">IFERROR(IF(G$22*G$23*G$24*G$25*G27&gt;0,AVERAGE(G$22:G$25,G27),""),"")</f>
        <v/>
      </c>
      <c r="H137" s="302" t="str">
        <f aca="false">IFERROR(IF(H$22*H$23*H$24*H$25*H27&gt;0,AVERAGE(H$22:H$25,H27),""),"")</f>
        <v/>
      </c>
      <c r="I137" s="302" t="str">
        <f aca="false">IFERROR(IF(I$22*I$23*I$24*I$25*I27&gt;0,AVERAGE(I$22:I$25,I27),""),"")</f>
        <v/>
      </c>
      <c r="J137" s="302" t="str">
        <f aca="false">IFERROR(IF(J$22*J$23*J$24*J$25*J27&gt;0,AVERAGE(J$22:J$25,J27),""),"")</f>
        <v/>
      </c>
      <c r="K137" s="302" t="str">
        <f aca="false">IFERROR(IF(K$22*K$23*K$24*K$25*K27&gt;0,AVERAGE(K$22:K$25,K27),""),"")</f>
        <v/>
      </c>
      <c r="L137" s="302" t="str">
        <f aca="false">IFERROR(IF(L$22*L$23*L$24*L$25*L27&gt;0,AVERAGE(L$22:L$25,L27),""),"")</f>
        <v/>
      </c>
      <c r="M137" s="302" t="str">
        <f aca="false">IFERROR(IF(M$22*M$23*M$24*M$25*M27&gt;0,AVERAGE(M$22:M$25,M27),""),"")</f>
        <v/>
      </c>
      <c r="N137" s="302" t="str">
        <f aca="false">IFERROR(IF(N$22*N$23*N$24*N$25*N27&gt;0,AVERAGE(N$22:N$25,N27),""),"")</f>
        <v/>
      </c>
      <c r="O137" s="282"/>
      <c r="P137" s="282"/>
      <c r="Q137" s="296"/>
      <c r="R137" s="293" t="s">
        <v>555</v>
      </c>
      <c r="S137" s="294" t="str">
        <f aca="false">IFERROR(IF(C$22*C$23*C$24*C$25*C27&gt;0,STDEV(C$22:C$25,C27),"")/IF(C$22*C$23*C$24*C$25*C27&gt;0,AVERAGE(C$22:C$25,C27),""),"")</f>
        <v/>
      </c>
      <c r="T137" s="294" t="str">
        <f aca="false">IFERROR(IF(D$22*D$23*D$24*D$25*D27&gt;0,STDEV(D$22:D$25,D27),"")/IF(D$22*D$23*D$24*D$25*D27&gt;0,AVERAGE(D$22:D$25,D27),""),"")</f>
        <v/>
      </c>
      <c r="U137" s="294" t="str">
        <f aca="false">IFERROR(IF(E$22*E$23*E$24*E$25*E27&gt;0,STDEV(E$22:E$25,E27),"")/IF(E$22*E$23*E$24*E$25*E27&gt;0,AVERAGE(E$22:E$25,E27),""),"")</f>
        <v/>
      </c>
      <c r="V137" s="294" t="str">
        <f aca="false">IFERROR(IF(F$22*F$23*F$24*F$25*F27&gt;0,STDEV(F$22:F$25,F27),"")/IF(F$22*F$23*F$24*F$25*F27&gt;0,AVERAGE(F$22:F$25,F27),""),"")</f>
        <v/>
      </c>
      <c r="W137" s="294" t="str">
        <f aca="false">IFERROR(IF(G$22*G$23*G$24*G$25*G27&gt;0,STDEV(G$22:G$25,G27),"")/IF(G$22*G$23*G$24*G$25*G27&gt;0,AVERAGE(G$22:G$25,G27),""),"")</f>
        <v/>
      </c>
      <c r="X137" s="294" t="str">
        <f aca="false">IFERROR(IF(H$22*H$23*H$24*H$25*H27&gt;0,STDEV(H$22:H$25,H27),"")/IF(H$22*H$23*H$24*H$25*H27&gt;0,AVERAGE(H$22:H$25,H27),""),"")</f>
        <v/>
      </c>
      <c r="Y137" s="294" t="str">
        <f aca="false">IFERROR(IF(I$22*I$23*I$24*I$25*I27&gt;0,STDEV(I$22:I$25,I27),"")/IF(I$22*I$23*I$24*I$25*I27&gt;0,AVERAGE(I$22:I$25,I27),""),"")</f>
        <v/>
      </c>
      <c r="Z137" s="294" t="str">
        <f aca="false">IFERROR(IF(J$22*J$23*J$24*J$25*J27&gt;0,STDEV(J$22:J$25,J27),"")/IF(J$22*J$23*J$24*J$25*J27&gt;0,AVERAGE(J$22:J$25,J27),""),"")</f>
        <v/>
      </c>
      <c r="AA137" s="294" t="str">
        <f aca="false">IFERROR(IF(K$22*K$23*K$24*K$25*K27&gt;0,STDEV(K$22:K$25,K27),"")/IF(K$22*K$23*K$24*K$25*K27&gt;0,AVERAGE(K$22:K$25,K27),""),"")</f>
        <v/>
      </c>
      <c r="AB137" s="294" t="str">
        <f aca="false">IFERROR(IF(L$22*L$23*L$24*L$25*L27&gt;0,STDEV(L$22:L$25,L27),"")/IF(L$22*L$23*L$24*L$25*L27&gt;0,AVERAGE(L$22:L$25,L27),""),"")</f>
        <v/>
      </c>
      <c r="AC137" s="294" t="str">
        <f aca="false">IFERROR(IF(M$22*M$23*M$24*M$25*M27&gt;0,STDEV(M$22:M$25,M27),"")/IF(M$22*M$23*M$24*M$25*M27&gt;0,AVERAGE(M$22:M$25,M27),""),"")</f>
        <v/>
      </c>
      <c r="AD137" s="294" t="str">
        <f aca="false">IFERROR(IF(N$22*N$23*N$24*N$25*N27&gt;0,STDEV(N$22:N$25,N27),"")/IF(N$22*N$23*N$24*N$25*N27&gt;0,AVERAGE(N$22:N$25,N27),""),"")</f>
        <v/>
      </c>
      <c r="AE137" s="44"/>
      <c r="AF137" s="266" t="s">
        <v>556</v>
      </c>
      <c r="AG137" s="287" t="str">
        <f aca="false">IFERROR(IF(C$22*C$23*C$24*C$25*C27&gt;0,STDEV(C$22:C$25,C27)," ")/IF(C$22*C$23*C$24*C$25*C27&gt;0,SQRT(COUNT(C$22:C$25,C27))," "),"")</f>
        <v/>
      </c>
      <c r="AH137" s="287" t="str">
        <f aca="false">IFERROR(IF(D$22*D$23*D$24*D$25*D27&gt;0,STDEV(D$22:D$25,D27)," ")/IF(D$22*D$23*D$24*D$25*D27&gt;0,SQRT(COUNT(D$22:D$25,D27))," "),"")</f>
        <v/>
      </c>
      <c r="AI137" s="287" t="str">
        <f aca="false">IFERROR(IF(E$22*E$23*E$24*E$25*E27&gt;0,STDEV(E$22:E$25,E27)," ")/IF(E$22*E$23*E$24*E$25*E27&gt;0,SQRT(COUNT(E$22:E$25,E27))," "),"")</f>
        <v/>
      </c>
      <c r="AJ137" s="287" t="str">
        <f aca="false">IFERROR(IF(F$22*F$23*F$24*F$25*F27&gt;0,STDEV(F$22:F$25,F27)," ")/IF(F$22*F$23*F$24*F$25*F27&gt;0,SQRT(COUNT(F$22:F$25,F27))," "),"")</f>
        <v/>
      </c>
      <c r="AK137" s="287" t="str">
        <f aca="false">IFERROR(IF(G$22*G$23*G$24*G$25*G27&gt;0,STDEV(G$22:G$25,G27)," ")/IF(G$22*G$23*G$24*G$25*G27&gt;0,SQRT(COUNT(G$22:G$25,G27))," "),"")</f>
        <v/>
      </c>
      <c r="AL137" s="287" t="str">
        <f aca="false">IFERROR(IF(H$22*H$23*H$24*H$25*H27&gt;0,STDEV(H$22:H$25,H27)," ")/IF(H$22*H$23*H$24*H$25*H27&gt;0,SQRT(COUNT(H$22:H$25,H27))," "),"")</f>
        <v/>
      </c>
      <c r="AM137" s="287" t="str">
        <f aca="false">IFERROR(IF(I$22*I$23*I$24*I$25*I27&gt;0,STDEV(I$22:I$25,I27)," ")/IF(I$22*I$23*I$24*I$25*I27&gt;0,SQRT(COUNT(I$22:I$25,I27))," "),"")</f>
        <v/>
      </c>
      <c r="AN137" s="287" t="str">
        <f aca="false">IFERROR(IF(J$22*J$23*J$24*J$25*J27&gt;0,STDEV(J$22:J$25,J27)," ")/IF(J$22*J$23*J$24*J$25*J27&gt;0,SQRT(COUNT(J$22:J$25,J27))," "),"")</f>
        <v/>
      </c>
      <c r="AO137" s="287" t="str">
        <f aca="false">IFERROR(IF(K$22*K$23*K$24*K$25*K27&gt;0,STDEV(K$22:K$25,K27)," ")/IF(K$22*K$23*K$24*K$25*K27&gt;0,SQRT(COUNT(K$22:K$25,K27))," "),"")</f>
        <v/>
      </c>
      <c r="AP137" s="287" t="str">
        <f aca="false">IFERROR(IF(L$22*L$23*L$24*L$25*L27&gt;0,STDEV(L$22:L$25,L27)," ")/IF(L$22*L$23*L$24*L$25*L27&gt;0,SQRT(COUNT(L$22:L$25,L27))," "),"")</f>
        <v/>
      </c>
      <c r="AQ137" s="287" t="str">
        <f aca="false">IFERROR(IF(M$22*M$23*M$24*M$25*M27&gt;0,STDEV(M$22:M$25,M27)," ")/IF(M$22*M$23*M$24*M$25*M27&gt;0,SQRT(COUNT(M$22:M$25,M27))," "),"")</f>
        <v/>
      </c>
      <c r="AR137" s="287" t="str">
        <f aca="false">IFERROR(IF(N$22*N$23*N$24*N$25*N27&gt;0,STDEV(N$22:N$25,N27)," ")/IF(N$22*N$23*N$24*N$25*N27&gt;0,SQRT(COUNT(N$22:N$25,N27))," "),"")</f>
        <v/>
      </c>
    </row>
    <row r="138" customFormat="false" ht="15.75" hidden="false" customHeight="false" outlineLevel="0" collapsed="false">
      <c r="A138" s="290" t="s">
        <v>557</v>
      </c>
      <c r="B138" s="281"/>
      <c r="C138" s="302" t="str">
        <f aca="false">IFERROR(IF(C$23*C$24*C$25*C$26*C21&gt;0,AVERAGE(C$23:C$26,C21),""),"")</f>
        <v/>
      </c>
      <c r="D138" s="302" t="str">
        <f aca="false">IFERROR(IF(D$23*D$24*D$25*D$26*D21&gt;0,AVERAGE(D$23:D$26,D21),""),"")</f>
        <v/>
      </c>
      <c r="E138" s="302" t="str">
        <f aca="false">IFERROR(IF(E$23*E$24*E$25*E$26*E21&gt;0,AVERAGE(E$23:E$26,E21),""),"")</f>
        <v/>
      </c>
      <c r="F138" s="302" t="str">
        <f aca="false">IFERROR(IF(F$23*F$24*F$25*F$26*F21&gt;0,AVERAGE(F$23:F$26,F21),""),"")</f>
        <v/>
      </c>
      <c r="G138" s="302" t="str">
        <f aca="false">IFERROR(IF(G$23*G$24*G$25*G$26*G21&gt;0,AVERAGE(G$23:G$26,G21),""),"")</f>
        <v/>
      </c>
      <c r="H138" s="302" t="str">
        <f aca="false">IFERROR(IF(H$23*H$24*H$25*H$26*H21&gt;0,AVERAGE(H$23:H$26,H21),""),"")</f>
        <v/>
      </c>
      <c r="I138" s="302" t="str">
        <f aca="false">IFERROR(IF(I$23*I$24*I$25*I$26*I21&gt;0,AVERAGE(I$23:I$26,I21),""),"")</f>
        <v/>
      </c>
      <c r="J138" s="302" t="str">
        <f aca="false">IFERROR(IF(J$23*J$24*J$25*J$26*J21&gt;0,AVERAGE(J$23:J$26,J21),""),"")</f>
        <v/>
      </c>
      <c r="K138" s="302" t="str">
        <f aca="false">IFERROR(IF(K$23*K$24*K$25*K$26*K21&gt;0,AVERAGE(K$23:K$26,K21),""),"")</f>
        <v/>
      </c>
      <c r="L138" s="302" t="str">
        <f aca="false">IFERROR(IF(L$23*L$24*L$25*L$26*L21&gt;0,AVERAGE(L$23:L$26,L21),""),"")</f>
        <v/>
      </c>
      <c r="M138" s="302" t="str">
        <f aca="false">IFERROR(IF(M$23*M$24*M$25*M$26*M21&gt;0,AVERAGE(M$23:M$26,M21),""),"")</f>
        <v/>
      </c>
      <c r="N138" s="302" t="str">
        <f aca="false">IFERROR(IF(N$23*N$24*N$25*N$26*N21&gt;0,AVERAGE(N$23:N$26,N21),""),"")</f>
        <v/>
      </c>
      <c r="O138" s="282"/>
      <c r="P138" s="282"/>
      <c r="Q138" s="296"/>
      <c r="R138" s="293" t="s">
        <v>558</v>
      </c>
      <c r="S138" s="294" t="str">
        <f aca="false">IFERROR(IF(C$23*C$24*C$25*C$26*C21&gt;0,STDEV(C$23:C$26,C21),"")/IF(C$23*C$24*C$25*C$26*C21&gt;0,AVERAGE(C$23:C$26,C21),""),"")</f>
        <v/>
      </c>
      <c r="T138" s="294" t="str">
        <f aca="false">IFERROR(IF(D$23*D$24*D$25*D$26*D21&gt;0,STDEV(D$23:D$26,D21),"")/IF(D$23*D$24*D$25*D$26*D21&gt;0,AVERAGE(D$23:D$26,D21),""),"")</f>
        <v/>
      </c>
      <c r="U138" s="294" t="str">
        <f aca="false">IFERROR(IF(E$23*E$24*E$25*E$26*E21&gt;0,STDEV(E$23:E$26,E21),"")/IF(E$23*E$24*E$25*E$26*E21&gt;0,AVERAGE(E$23:E$26,E21),""),"")</f>
        <v/>
      </c>
      <c r="V138" s="294" t="str">
        <f aca="false">IFERROR(IF(F$23*F$24*F$25*F$26*F21&gt;0,STDEV(F$23:F$26,F21),"")/IF(F$23*F$24*F$25*F$26*F21&gt;0,AVERAGE(F$23:F$26,F21),""),"")</f>
        <v/>
      </c>
      <c r="W138" s="294" t="str">
        <f aca="false">IFERROR(IF(G$23*G$24*G$25*G$26*G21&gt;0,STDEV(G$23:G$26,G21),"")/IF(G$23*G$24*G$25*G$26*G21&gt;0,AVERAGE(G$23:G$26,G21),""),"")</f>
        <v/>
      </c>
      <c r="X138" s="294" t="str">
        <f aca="false">IFERROR(IF(H$23*H$24*H$25*H$26*H21&gt;0,STDEV(H$23:H$26,H21),"")/IF(H$23*H$24*H$25*H$26*H21&gt;0,AVERAGE(H$23:H$26,H21),""),"")</f>
        <v/>
      </c>
      <c r="Y138" s="294" t="str">
        <f aca="false">IFERROR(IF(I$23*I$24*I$25*I$26*I21&gt;0,STDEV(I$23:I$26,I21),"")/IF(I$23*I$24*I$25*I$26*I21&gt;0,AVERAGE(I$23:I$26,I21),""),"")</f>
        <v/>
      </c>
      <c r="Z138" s="294" t="str">
        <f aca="false">IFERROR(IF(J$23*J$24*J$25*J$26*J21&gt;0,STDEV(J$23:J$26,J21),"")/IF(J$23*J$24*J$25*J$26*J21&gt;0,AVERAGE(J$23:J$26,J21),""),"")</f>
        <v/>
      </c>
      <c r="AA138" s="294" t="str">
        <f aca="false">IFERROR(IF(K$23*K$24*K$25*K$26*K21&gt;0,STDEV(K$23:K$26,K21),"")/IF(K$23*K$24*K$25*K$26*K21&gt;0,AVERAGE(K$23:K$26,K21),""),"")</f>
        <v/>
      </c>
      <c r="AB138" s="294" t="str">
        <f aca="false">IFERROR(IF(L$23*L$24*L$25*L$26*L21&gt;0,STDEV(L$23:L$26,L21),"")/IF(L$23*L$24*L$25*L$26*L21&gt;0,AVERAGE(L$23:L$26,L21),""),"")</f>
        <v/>
      </c>
      <c r="AC138" s="294" t="str">
        <f aca="false">IFERROR(IF(M$23*M$24*M$25*M$26*M21&gt;0,STDEV(M$23:M$26,M21),"")/IF(M$23*M$24*M$25*M$26*M21&gt;0,AVERAGE(M$23:M$26,M21),""),"")</f>
        <v/>
      </c>
      <c r="AD138" s="294" t="str">
        <f aca="false">IFERROR(IF(N$23*N$24*N$25*N$26*N21&gt;0,STDEV(N$23:N$26,N21),"")/IF(N$23*N$24*N$25*N$26*N21&gt;0,AVERAGE(N$23:N$26,N21),""),"")</f>
        <v/>
      </c>
      <c r="AE138" s="44"/>
      <c r="AF138" s="266" t="s">
        <v>559</v>
      </c>
      <c r="AG138" s="287" t="str">
        <f aca="false">IFERROR(IF(C$23*C$24*C$25*C$26*C21&gt;0,STDEV(C$23:C$26,C21)," ")/IF(C$23*C$24*C$25*C$26*C21&gt;0,SQRT(COUNT(C$23:C$26,C21))," "),"")</f>
        <v/>
      </c>
      <c r="AH138" s="287" t="str">
        <f aca="false">IFERROR(IF(D$23*D$24*D$25*D$26*D21&gt;0,STDEV(D$23:D$26,D21)," ")/IF(D$23*D$24*D$25*D$26*D21&gt;0,SQRT(COUNT(D$23:D$26,D21))," "),"")</f>
        <v/>
      </c>
      <c r="AI138" s="287" t="str">
        <f aca="false">IFERROR(IF(E$23*E$24*E$25*E$26*E21&gt;0,STDEV(E$23:E$26,E21)," ")/IF(E$23*E$24*E$25*E$26*E21&gt;0,SQRT(COUNT(E$23:E$26,E21))," "),"")</f>
        <v/>
      </c>
      <c r="AJ138" s="287" t="str">
        <f aca="false">IFERROR(IF(F$23*F$24*F$25*F$26*F21&gt;0,STDEV(F$23:F$26,F21)," ")/IF(F$23*F$24*F$25*F$26*F21&gt;0,SQRT(COUNT(F$23:F$26,F21))," "),"")</f>
        <v/>
      </c>
      <c r="AK138" s="287" t="str">
        <f aca="false">IFERROR(IF(G$23*G$24*G$25*G$26*G21&gt;0,STDEV(G$23:G$26,G21)," ")/IF(G$23*G$24*G$25*G$26*G21&gt;0,SQRT(COUNT(G$23:G$26,G21))," "),"")</f>
        <v/>
      </c>
      <c r="AL138" s="287" t="str">
        <f aca="false">IFERROR(IF(H$23*H$24*H$25*H$26*H21&gt;0,STDEV(H$23:H$26,H21)," ")/IF(H$23*H$24*H$25*H$26*H21&gt;0,SQRT(COUNT(H$23:H$26,H21))," "),"")</f>
        <v/>
      </c>
      <c r="AM138" s="287" t="str">
        <f aca="false">IFERROR(IF(I$23*I$24*I$25*I$26*I21&gt;0,STDEV(I$23:I$26,I21)," ")/IF(I$23*I$24*I$25*I$26*I21&gt;0,SQRT(COUNT(I$23:I$26,I21))," "),"")</f>
        <v/>
      </c>
      <c r="AN138" s="287" t="str">
        <f aca="false">IFERROR(IF(J$23*J$24*J$25*J$26*J21&gt;0,STDEV(J$23:J$26,J21)," ")/IF(J$23*J$24*J$25*J$26*J21&gt;0,SQRT(COUNT(J$23:J$26,J21))," "),"")</f>
        <v/>
      </c>
      <c r="AO138" s="287" t="str">
        <f aca="false">IFERROR(IF(K$23*K$24*K$25*K$26*K21&gt;0,STDEV(K$23:K$26,K21)," ")/IF(K$23*K$24*K$25*K$26*K21&gt;0,SQRT(COUNT(K$23:K$26,K21))," "),"")</f>
        <v/>
      </c>
      <c r="AP138" s="287" t="str">
        <f aca="false">IFERROR(IF(L$23*L$24*L$25*L$26*L21&gt;0,STDEV(L$23:L$26,L21)," ")/IF(L$23*L$24*L$25*L$26*L21&gt;0,SQRT(COUNT(L$23:L$26,L21))," "),"")</f>
        <v/>
      </c>
      <c r="AQ138" s="287" t="str">
        <f aca="false">IFERROR(IF(M$23*M$24*M$25*M$26*M21&gt;0,STDEV(M$23:M$26,M21)," ")/IF(M$23*M$24*M$25*M$26*M21&gt;0,SQRT(COUNT(M$23:M$26,M21))," "),"")</f>
        <v/>
      </c>
      <c r="AR138" s="287" t="str">
        <f aca="false">IFERROR(IF(N$23*N$24*N$25*N$26*N21&gt;0,STDEV(N$23:N$26,N21)," ")/IF(N$23*N$24*N$25*N$26*N21&gt;0,SQRT(COUNT(N$23:N$26,N21))," "),"")</f>
        <v/>
      </c>
    </row>
    <row r="139" customFormat="false" ht="15.75" hidden="false" customHeight="false" outlineLevel="0" collapsed="false">
      <c r="A139" s="290" t="s">
        <v>560</v>
      </c>
      <c r="B139" s="281"/>
      <c r="C139" s="302" t="str">
        <f aca="false">IFERROR(IF(C$23*C$24*C$25*C$26*C22&gt;0,AVERAGE(C$23:C$26,C22),""),"")</f>
        <v/>
      </c>
      <c r="D139" s="302" t="str">
        <f aca="false">IFERROR(IF(D$23*D$24*D$25*D$26*D22&gt;0,AVERAGE(D$23:D$26,D22),""),"")</f>
        <v/>
      </c>
      <c r="E139" s="302" t="str">
        <f aca="false">IFERROR(IF(E$23*E$24*E$25*E$26*E22&gt;0,AVERAGE(E$23:E$26,E22),""),"")</f>
        <v/>
      </c>
      <c r="F139" s="302" t="str">
        <f aca="false">IFERROR(IF(F$23*F$24*F$25*F$26*F22&gt;0,AVERAGE(F$23:F$26,F22),""),"")</f>
        <v/>
      </c>
      <c r="G139" s="302" t="str">
        <f aca="false">IFERROR(IF(G$23*G$24*G$25*G$26*G22&gt;0,AVERAGE(G$23:G$26,G22),""),"")</f>
        <v/>
      </c>
      <c r="H139" s="302" t="str">
        <f aca="false">IFERROR(IF(H$23*H$24*H$25*H$26*H22&gt;0,AVERAGE(H$23:H$26,H22),""),"")</f>
        <v/>
      </c>
      <c r="I139" s="302" t="str">
        <f aca="false">IFERROR(IF(I$23*I$24*I$25*I$26*I22&gt;0,AVERAGE(I$23:I$26,I22),""),"")</f>
        <v/>
      </c>
      <c r="J139" s="302" t="str">
        <f aca="false">IFERROR(IF(J$23*J$24*J$25*J$26*J22&gt;0,AVERAGE(J$23:J$26,J22),""),"")</f>
        <v/>
      </c>
      <c r="K139" s="302" t="str">
        <f aca="false">IFERROR(IF(K$23*K$24*K$25*K$26*K22&gt;0,AVERAGE(K$23:K$26,K22),""),"")</f>
        <v/>
      </c>
      <c r="L139" s="302" t="str">
        <f aca="false">IFERROR(IF(L$23*L$24*L$25*L$26*L22&gt;0,AVERAGE(L$23:L$26,L22),""),"")</f>
        <v/>
      </c>
      <c r="M139" s="302" t="str">
        <f aca="false">IFERROR(IF(M$23*M$24*M$25*M$26*M22&gt;0,AVERAGE(M$23:M$26,M22),""),"")</f>
        <v/>
      </c>
      <c r="N139" s="302" t="str">
        <f aca="false">IFERROR(IF(N$23*N$24*N$25*N$26*N22&gt;0,AVERAGE(N$23:N$26,N22),""),"")</f>
        <v/>
      </c>
      <c r="O139" s="282"/>
      <c r="P139" s="282"/>
      <c r="Q139" s="296"/>
      <c r="R139" s="293" t="s">
        <v>561</v>
      </c>
      <c r="S139" s="294" t="str">
        <f aca="false">IFERROR(IF(C$23*C$24*C$25*C$26*C22&gt;0,STDEV(C$23:C$26,C22),"")/IF(C$23*C$24*C$25*C$26*C22&gt;0,AVERAGE(C$23:C$26,C22),""),"")</f>
        <v/>
      </c>
      <c r="T139" s="294" t="str">
        <f aca="false">IFERROR(IF(D$23*D$24*D$25*D$26*D22&gt;0,STDEV(D$23:D$26,D22),"")/IF(D$23*D$24*D$25*D$26*D22&gt;0,AVERAGE(D$23:D$26,D22),""),"")</f>
        <v/>
      </c>
      <c r="U139" s="294" t="str">
        <f aca="false">IFERROR(IF(E$23*E$24*E$25*E$26*E22&gt;0,STDEV(E$23:E$26,E22),"")/IF(E$23*E$24*E$25*E$26*E22&gt;0,AVERAGE(E$23:E$26,E22),""),"")</f>
        <v/>
      </c>
      <c r="V139" s="294" t="str">
        <f aca="false">IFERROR(IF(F$23*F$24*F$25*F$26*F22&gt;0,STDEV(F$23:F$26,F22),"")/IF(F$23*F$24*F$25*F$26*F22&gt;0,AVERAGE(F$23:F$26,F22),""),"")</f>
        <v/>
      </c>
      <c r="W139" s="294" t="str">
        <f aca="false">IFERROR(IF(G$23*G$24*G$25*G$26*G22&gt;0,STDEV(G$23:G$26,G22),"")/IF(G$23*G$24*G$25*G$26*G22&gt;0,AVERAGE(G$23:G$26,G22),""),"")</f>
        <v/>
      </c>
      <c r="X139" s="294" t="str">
        <f aca="false">IFERROR(IF(H$23*H$24*H$25*H$26*H22&gt;0,STDEV(H$23:H$26,H22),"")/IF(H$23*H$24*H$25*H$26*H22&gt;0,AVERAGE(H$23:H$26,H22),""),"")</f>
        <v/>
      </c>
      <c r="Y139" s="294" t="str">
        <f aca="false">IFERROR(IF(I$23*I$24*I$25*I$26*I22&gt;0,STDEV(I$23:I$26,I22),"")/IF(I$23*I$24*I$25*I$26*I22&gt;0,AVERAGE(I$23:I$26,I22),""),"")</f>
        <v/>
      </c>
      <c r="Z139" s="294" t="str">
        <f aca="false">IFERROR(IF(J$23*J$24*J$25*J$26*J22&gt;0,STDEV(J$23:J$26,J22),"")/IF(J$23*J$24*J$25*J$26*J22&gt;0,AVERAGE(J$23:J$26,J22),""),"")</f>
        <v/>
      </c>
      <c r="AA139" s="294" t="str">
        <f aca="false">IFERROR(IF(K$23*K$24*K$25*K$26*K22&gt;0,STDEV(K$23:K$26,K22),"")/IF(K$23*K$24*K$25*K$26*K22&gt;0,AVERAGE(K$23:K$26,K22),""),"")</f>
        <v/>
      </c>
      <c r="AB139" s="294" t="str">
        <f aca="false">IFERROR(IF(L$23*L$24*L$25*L$26*L22&gt;0,STDEV(L$23:L$26,L22),"")/IF(L$23*L$24*L$25*L$26*L22&gt;0,AVERAGE(L$23:L$26,L22),""),"")</f>
        <v/>
      </c>
      <c r="AC139" s="294" t="str">
        <f aca="false">IFERROR(IF(M$23*M$24*M$25*M$26*M22&gt;0,STDEV(M$23:M$26,M22),"")/IF(M$23*M$24*M$25*M$26*M22&gt;0,AVERAGE(M$23:M$26,M22),""),"")</f>
        <v/>
      </c>
      <c r="AD139" s="294" t="str">
        <f aca="false">IFERROR(IF(N$23*N$24*N$25*N$26*N22&gt;0,STDEV(N$23:N$26,N22),"")/IF(N$23*N$24*N$25*N$26*N22&gt;0,AVERAGE(N$23:N$26,N22),""),"")</f>
        <v/>
      </c>
      <c r="AE139" s="44"/>
      <c r="AF139" s="266" t="s">
        <v>562</v>
      </c>
      <c r="AG139" s="287" t="str">
        <f aca="false">IFERROR(IF(C$23*C$24*C$25*C$26*C22&gt;0,STDEV(C$23:C$26,C22)," ")/IF(C$23*C$24*C$25*C$26*C22&gt;0,SQRT(COUNT(C$23:C$26,C22))," "),"")</f>
        <v/>
      </c>
      <c r="AH139" s="287" t="str">
        <f aca="false">IFERROR(IF(D$23*D$24*D$25*D$26*D22&gt;0,STDEV(D$23:D$26,D22)," ")/IF(D$23*D$24*D$25*D$26*D22&gt;0,SQRT(COUNT(D$23:D$26,D22))," "),"")</f>
        <v/>
      </c>
      <c r="AI139" s="287" t="str">
        <f aca="false">IFERROR(IF(E$23*E$24*E$25*E$26*E22&gt;0,STDEV(E$23:E$26,E22)," ")/IF(E$23*E$24*E$25*E$26*E22&gt;0,SQRT(COUNT(E$23:E$26,E22))," "),"")</f>
        <v/>
      </c>
      <c r="AJ139" s="287" t="str">
        <f aca="false">IFERROR(IF(F$23*F$24*F$25*F$26*F22&gt;0,STDEV(F$23:F$26,F22)," ")/IF(F$23*F$24*F$25*F$26*F22&gt;0,SQRT(COUNT(F$23:F$26,F22))," "),"")</f>
        <v/>
      </c>
      <c r="AK139" s="287" t="str">
        <f aca="false">IFERROR(IF(G$23*G$24*G$25*G$26*G22&gt;0,STDEV(G$23:G$26,G22)," ")/IF(G$23*G$24*G$25*G$26*G22&gt;0,SQRT(COUNT(G$23:G$26,G22))," "),"")</f>
        <v/>
      </c>
      <c r="AL139" s="287" t="str">
        <f aca="false">IFERROR(IF(H$23*H$24*H$25*H$26*H22&gt;0,STDEV(H$23:H$26,H22)," ")/IF(H$23*H$24*H$25*H$26*H22&gt;0,SQRT(COUNT(H$23:H$26,H22))," "),"")</f>
        <v/>
      </c>
      <c r="AM139" s="287" t="str">
        <f aca="false">IFERROR(IF(I$23*I$24*I$25*I$26*I22&gt;0,STDEV(I$23:I$26,I22)," ")/IF(I$23*I$24*I$25*I$26*I22&gt;0,SQRT(COUNT(I$23:I$26,I22))," "),"")</f>
        <v/>
      </c>
      <c r="AN139" s="287" t="str">
        <f aca="false">IFERROR(IF(J$23*J$24*J$25*J$26*J22&gt;0,STDEV(J$23:J$26,J22)," ")/IF(J$23*J$24*J$25*J$26*J22&gt;0,SQRT(COUNT(J$23:J$26,J22))," "),"")</f>
        <v/>
      </c>
      <c r="AO139" s="287" t="str">
        <f aca="false">IFERROR(IF(K$23*K$24*K$25*K$26*K22&gt;0,STDEV(K$23:K$26,K22)," ")/IF(K$23*K$24*K$25*K$26*K22&gt;0,SQRT(COUNT(K$23:K$26,K22))," "),"")</f>
        <v/>
      </c>
      <c r="AP139" s="287" t="str">
        <f aca="false">IFERROR(IF(L$23*L$24*L$25*L$26*L22&gt;0,STDEV(L$23:L$26,L22)," ")/IF(L$23*L$24*L$25*L$26*L22&gt;0,SQRT(COUNT(L$23:L$26,L22))," "),"")</f>
        <v/>
      </c>
      <c r="AQ139" s="287" t="str">
        <f aca="false">IFERROR(IF(M$23*M$24*M$25*M$26*M22&gt;0,STDEV(M$23:M$26,M22)," ")/IF(M$23*M$24*M$25*M$26*M22&gt;0,SQRT(COUNT(M$23:M$26,M22))," "),"")</f>
        <v/>
      </c>
      <c r="AR139" s="287" t="str">
        <f aca="false">IFERROR(IF(N$23*N$24*N$25*N$26*N22&gt;0,STDEV(N$23:N$26,N22)," ")/IF(N$23*N$24*N$25*N$26*N22&gt;0,SQRT(COUNT(N$23:N$26,N22))," "),"")</f>
        <v/>
      </c>
    </row>
    <row r="140" customFormat="false" ht="15.75" hidden="false" customHeight="false" outlineLevel="0" collapsed="false">
      <c r="A140" s="290" t="s">
        <v>563</v>
      </c>
      <c r="B140" s="281"/>
      <c r="C140" s="302" t="str">
        <f aca="false">IFERROR(IF(C$23*C$24*C$25*C$26*C27&gt;0,AVERAGE(C$23:C$26,C27),""),"")</f>
        <v/>
      </c>
      <c r="D140" s="302" t="str">
        <f aca="false">IFERROR(IF(D$23*D$24*D$25*D$26*D27&gt;0,AVERAGE(D$23:D$26,D27),""),"")</f>
        <v/>
      </c>
      <c r="E140" s="302" t="str">
        <f aca="false">IFERROR(IF(E$23*E$24*E$25*E$26*E27&gt;0,AVERAGE(E$23:E$26,E27),""),"")</f>
        <v/>
      </c>
      <c r="F140" s="302" t="str">
        <f aca="false">IFERROR(IF(F$23*F$24*F$25*F$26*F27&gt;0,AVERAGE(F$23:F$26,F27),""),"")</f>
        <v/>
      </c>
      <c r="G140" s="302" t="str">
        <f aca="false">IFERROR(IF(G$23*G$24*G$25*G$26*G27&gt;0,AVERAGE(G$23:G$26,G27),""),"")</f>
        <v/>
      </c>
      <c r="H140" s="302" t="str">
        <f aca="false">IFERROR(IF(H$23*H$24*H$25*H$26*H27&gt;0,AVERAGE(H$23:H$26,H27),""),"")</f>
        <v/>
      </c>
      <c r="I140" s="302" t="str">
        <f aca="false">IFERROR(IF(I$23*I$24*I$25*I$26*I27&gt;0,AVERAGE(I$23:I$26,I27),""),"")</f>
        <v/>
      </c>
      <c r="J140" s="302" t="str">
        <f aca="false">IFERROR(IF(J$23*J$24*J$25*J$26*J27&gt;0,AVERAGE(J$23:J$26,J27),""),"")</f>
        <v/>
      </c>
      <c r="K140" s="302" t="str">
        <f aca="false">IFERROR(IF(K$23*K$24*K$25*K$26*K27&gt;0,AVERAGE(K$23:K$26,K27),""),"")</f>
        <v/>
      </c>
      <c r="L140" s="302" t="str">
        <f aca="false">IFERROR(IF(L$23*L$24*L$25*L$26*L27&gt;0,AVERAGE(L$23:L$26,L27),""),"")</f>
        <v/>
      </c>
      <c r="M140" s="302" t="str">
        <f aca="false">IFERROR(IF(M$23*M$24*M$25*M$26*M27&gt;0,AVERAGE(M$23:M$26,M27),""),"")</f>
        <v/>
      </c>
      <c r="N140" s="302" t="str">
        <f aca="false">IFERROR(IF(N$23*N$24*N$25*N$26*N27&gt;0,AVERAGE(N$23:N$26,N27),""),"")</f>
        <v/>
      </c>
      <c r="O140" s="282"/>
      <c r="P140" s="282"/>
      <c r="Q140" s="296"/>
      <c r="R140" s="293" t="s">
        <v>564</v>
      </c>
      <c r="S140" s="294" t="str">
        <f aca="false">IFERROR(IF(C$23*C$24*C$25*C$26*C27&gt;0,STDEV(C$23:C$26,C27),"")/IF(C$23*C$24*C$25*C$26*C27&gt;0,AVERAGE(C$23:C$26,C27),""),"")</f>
        <v/>
      </c>
      <c r="T140" s="294" t="str">
        <f aca="false">IFERROR(IF(D$23*D$24*D$25*D$26*D27&gt;0,STDEV(D$23:D$26,D27),"")/IF(D$23*D$24*D$25*D$26*D27&gt;0,AVERAGE(D$23:D$26,D27),""),"")</f>
        <v/>
      </c>
      <c r="U140" s="294" t="str">
        <f aca="false">IFERROR(IF(E$23*E$24*E$25*E$26*E27&gt;0,STDEV(E$23:E$26,E27),"")/IF(E$23*E$24*E$25*E$26*E27&gt;0,AVERAGE(E$23:E$26,E27),""),"")</f>
        <v/>
      </c>
      <c r="V140" s="294" t="str">
        <f aca="false">IFERROR(IF(F$23*F$24*F$25*F$26*F27&gt;0,STDEV(F$23:F$26,F27),"")/IF(F$23*F$24*F$25*F$26*F27&gt;0,AVERAGE(F$23:F$26,F27),""),"")</f>
        <v/>
      </c>
      <c r="W140" s="294" t="str">
        <f aca="false">IFERROR(IF(G$23*G$24*G$25*G$26*G27&gt;0,STDEV(G$23:G$26,G27),"")/IF(G$23*G$24*G$25*G$26*G27&gt;0,AVERAGE(G$23:G$26,G27),""),"")</f>
        <v/>
      </c>
      <c r="X140" s="294" t="str">
        <f aca="false">IFERROR(IF(H$23*H$24*H$25*H$26*H27&gt;0,STDEV(H$23:H$26,H27),"")/IF(H$23*H$24*H$25*H$26*H27&gt;0,AVERAGE(H$23:H$26,H27),""),"")</f>
        <v/>
      </c>
      <c r="Y140" s="294" t="str">
        <f aca="false">IFERROR(IF(I$23*I$24*I$25*I$26*I27&gt;0,STDEV(I$23:I$26,I27),"")/IF(I$23*I$24*I$25*I$26*I27&gt;0,AVERAGE(I$23:I$26,I27),""),"")</f>
        <v/>
      </c>
      <c r="Z140" s="294" t="str">
        <f aca="false">IFERROR(IF(J$23*J$24*J$25*J$26*J27&gt;0,STDEV(J$23:J$26,J27),"")/IF(J$23*J$24*J$25*J$26*J27&gt;0,AVERAGE(J$23:J$26,J27),""),"")</f>
        <v/>
      </c>
      <c r="AA140" s="294" t="str">
        <f aca="false">IFERROR(IF(K$23*K$24*K$25*K$26*K27&gt;0,STDEV(K$23:K$26,K27),"")/IF(K$23*K$24*K$25*K$26*K27&gt;0,AVERAGE(K$23:K$26,K27),""),"")</f>
        <v/>
      </c>
      <c r="AB140" s="294" t="str">
        <f aca="false">IFERROR(IF(L$23*L$24*L$25*L$26*L27&gt;0,STDEV(L$23:L$26,L27),"")/IF(L$23*L$24*L$25*L$26*L27&gt;0,AVERAGE(L$23:L$26,L27),""),"")</f>
        <v/>
      </c>
      <c r="AC140" s="294" t="str">
        <f aca="false">IFERROR(IF(M$23*M$24*M$25*M$26*M27&gt;0,STDEV(M$23:M$26,M27),"")/IF(M$23*M$24*M$25*M$26*M27&gt;0,AVERAGE(M$23:M$26,M27),""),"")</f>
        <v/>
      </c>
      <c r="AD140" s="294" t="str">
        <f aca="false">IFERROR(IF(N$23*N$24*N$25*N$26*N27&gt;0,STDEV(N$23:N$26,N27),"")/IF(N$23*N$24*N$25*N$26*N27&gt;0,AVERAGE(N$23:N$26,N27),""),"")</f>
        <v/>
      </c>
      <c r="AE140" s="44"/>
      <c r="AF140" s="266" t="s">
        <v>565</v>
      </c>
      <c r="AG140" s="287" t="str">
        <f aca="false">IFERROR(IF(C$23*C$24*C$25*C$26*C27&gt;0,STDEV(C$23:C$26,C27)," ")/IF(C$23*C$24*C$25*C$26*C27&gt;0,SQRT(COUNT(C$23:C$26,C27))," "),"")</f>
        <v/>
      </c>
      <c r="AH140" s="287" t="str">
        <f aca="false">IFERROR(IF(D$23*D$24*D$25*D$26*D27&gt;0,STDEV(D$23:D$26,D27)," ")/IF(D$23*D$24*D$25*D$26*D27&gt;0,SQRT(COUNT(D$23:D$26,D27))," "),"")</f>
        <v/>
      </c>
      <c r="AI140" s="287" t="str">
        <f aca="false">IFERROR(IF(E$23*E$24*E$25*E$26*E27&gt;0,STDEV(E$23:E$26,E27)," ")/IF(E$23*E$24*E$25*E$26*E27&gt;0,SQRT(COUNT(E$23:E$26,E27))," "),"")</f>
        <v/>
      </c>
      <c r="AJ140" s="287" t="str">
        <f aca="false">IFERROR(IF(F$23*F$24*F$25*F$26*F27&gt;0,STDEV(F$23:F$26,F27)," ")/IF(F$23*F$24*F$25*F$26*F27&gt;0,SQRT(COUNT(F$23:F$26,F27))," "),"")</f>
        <v/>
      </c>
      <c r="AK140" s="287" t="str">
        <f aca="false">IFERROR(IF(G$23*G$24*G$25*G$26*G27&gt;0,STDEV(G$23:G$26,G27)," ")/IF(G$23*G$24*G$25*G$26*G27&gt;0,SQRT(COUNT(G$23:G$26,G27))," "),"")</f>
        <v/>
      </c>
      <c r="AL140" s="287" t="str">
        <f aca="false">IFERROR(IF(H$23*H$24*H$25*H$26*H27&gt;0,STDEV(H$23:H$26,H27)," ")/IF(H$23*H$24*H$25*H$26*H27&gt;0,SQRT(COUNT(H$23:H$26,H27))," "),"")</f>
        <v/>
      </c>
      <c r="AM140" s="287" t="str">
        <f aca="false">IFERROR(IF(I$23*I$24*I$25*I$26*I27&gt;0,STDEV(I$23:I$26,I27)," ")/IF(I$23*I$24*I$25*I$26*I27&gt;0,SQRT(COUNT(I$23:I$26,I27))," "),"")</f>
        <v/>
      </c>
      <c r="AN140" s="287" t="str">
        <f aca="false">IFERROR(IF(J$23*J$24*J$25*J$26*J27&gt;0,STDEV(J$23:J$26,J27)," ")/IF(J$23*J$24*J$25*J$26*J27&gt;0,SQRT(COUNT(J$23:J$26,J27))," "),"")</f>
        <v/>
      </c>
      <c r="AO140" s="287" t="str">
        <f aca="false">IFERROR(IF(K$23*K$24*K$25*K$26*K27&gt;0,STDEV(K$23:K$26,K27)," ")/IF(K$23*K$24*K$25*K$26*K27&gt;0,SQRT(COUNT(K$23:K$26,K27))," "),"")</f>
        <v/>
      </c>
      <c r="AP140" s="287" t="str">
        <f aca="false">IFERROR(IF(L$23*L$24*L$25*L$26*L27&gt;0,STDEV(L$23:L$26,L27)," ")/IF(L$23*L$24*L$25*L$26*L27&gt;0,SQRT(COUNT(L$23:L$26,L27))," "),"")</f>
        <v/>
      </c>
      <c r="AQ140" s="287" t="str">
        <f aca="false">IFERROR(IF(M$23*M$24*M$25*M$26*M27&gt;0,STDEV(M$23:M$26,M27)," ")/IF(M$23*M$24*M$25*M$26*M27&gt;0,SQRT(COUNT(M$23:M$26,M27))," "),"")</f>
        <v/>
      </c>
      <c r="AR140" s="287" t="str">
        <f aca="false">IFERROR(IF(N$23*N$24*N$25*N$26*N27&gt;0,STDEV(N$23:N$26,N27)," ")/IF(N$23*N$24*N$25*N$26*N27&gt;0,SQRT(COUNT(N$23:N$26,N27))," "),"")</f>
        <v/>
      </c>
    </row>
    <row r="141" customFormat="false" ht="15.75" hidden="false" customHeight="false" outlineLevel="0" collapsed="false">
      <c r="A141" s="290" t="s">
        <v>566</v>
      </c>
      <c r="B141" s="281"/>
      <c r="C141" s="302" t="str">
        <f aca="false">IFERROR(IF(C$24*C$25*C$26*C$27*C21&gt;0,AVERAGE(C$24:C$27,C21),""),"")</f>
        <v/>
      </c>
      <c r="D141" s="302" t="str">
        <f aca="false">IFERROR(IF(D$24*D$25*D$26*D$27*D21&gt;0,AVERAGE(D$24:D$27,D21),""),"")</f>
        <v/>
      </c>
      <c r="E141" s="302" t="str">
        <f aca="false">IFERROR(IF(E$24*E$25*E$26*E$27*E21&gt;0,AVERAGE(E$24:E$27,E21),""),"")</f>
        <v/>
      </c>
      <c r="F141" s="302" t="str">
        <f aca="false">IFERROR(IF(F$24*F$25*F$26*F$27*F21&gt;0,AVERAGE(F$24:F$27,F21),""),"")</f>
        <v/>
      </c>
      <c r="G141" s="302" t="str">
        <f aca="false">IFERROR(IF(G$24*G$25*G$26*G$27*G21&gt;0,AVERAGE(G$24:G$27,G21),""),"")</f>
        <v/>
      </c>
      <c r="H141" s="302" t="str">
        <f aca="false">IFERROR(IF(H$24*H$25*H$26*H$27*H21&gt;0,AVERAGE(H$24:H$27,H21),""),"")</f>
        <v/>
      </c>
      <c r="I141" s="302" t="str">
        <f aca="false">IFERROR(IF(I$24*I$25*I$26*I$27*I21&gt;0,AVERAGE(I$24:I$27,I21),""),"")</f>
        <v/>
      </c>
      <c r="J141" s="302" t="str">
        <f aca="false">IFERROR(IF(J$24*J$25*J$26*J$27*J21&gt;0,AVERAGE(J$24:J$27,J21),""),"")</f>
        <v/>
      </c>
      <c r="K141" s="302" t="str">
        <f aca="false">IFERROR(IF(K$24*K$25*K$26*K$27*K21&gt;0,AVERAGE(K$24:K$27,K21),""),"")</f>
        <v/>
      </c>
      <c r="L141" s="302" t="str">
        <f aca="false">IFERROR(IF(L$24*L$25*L$26*L$27*L21&gt;0,AVERAGE(L$24:L$27,L21),""),"")</f>
        <v/>
      </c>
      <c r="M141" s="302" t="str">
        <f aca="false">IFERROR(IF(M$24*M$25*M$26*M$27*M21&gt;0,AVERAGE(M$24:M$27,M21),""),"")</f>
        <v/>
      </c>
      <c r="N141" s="302" t="str">
        <f aca="false">IFERROR(IF(N$24*N$25*N$26*N$27*N21&gt;0,AVERAGE(N$24:N$27,N21),""),"")</f>
        <v/>
      </c>
      <c r="O141" s="282"/>
      <c r="P141" s="282"/>
      <c r="Q141" s="296"/>
      <c r="R141" s="293" t="s">
        <v>567</v>
      </c>
      <c r="S141" s="294" t="str">
        <f aca="false">IFERROR(IF(C$24*C$25*C$26*C$27*C21&gt;0,STDEV(C$24:C$27,C21),"")/IF(C$24*C$25*C$26*C$27*C21&gt;0,AVERAGE(C$24:C$27,C21),""),"")</f>
        <v/>
      </c>
      <c r="T141" s="294" t="str">
        <f aca="false">IFERROR(IF(D$24*D$25*D$26*D$27*D21&gt;0,STDEV(D$24:D$27,D21),"")/IF(D$24*D$25*D$26*D$27*D21&gt;0,AVERAGE(D$24:D$27,D21),""),"")</f>
        <v/>
      </c>
      <c r="U141" s="294" t="str">
        <f aca="false">IFERROR(IF(E$24*E$25*E$26*E$27*E21&gt;0,STDEV(E$24:E$27,E21),"")/IF(E$24*E$25*E$26*E$27*E21&gt;0,AVERAGE(E$24:E$27,E21),""),"")</f>
        <v/>
      </c>
      <c r="V141" s="294" t="str">
        <f aca="false">IFERROR(IF(F$24*F$25*F$26*F$27*F21&gt;0,STDEV(F$24:F$27,F21),"")/IF(F$24*F$25*F$26*F$27*F21&gt;0,AVERAGE(F$24:F$27,F21),""),"")</f>
        <v/>
      </c>
      <c r="W141" s="294" t="str">
        <f aca="false">IFERROR(IF(G$24*G$25*G$26*G$27*G21&gt;0,STDEV(G$24:G$27,G21),"")/IF(G$24*G$25*G$26*G$27*G21&gt;0,AVERAGE(G$24:G$27,G21),""),"")</f>
        <v/>
      </c>
      <c r="X141" s="294" t="str">
        <f aca="false">IFERROR(IF(H$24*H$25*H$26*H$27*H21&gt;0,STDEV(H$24:H$27,H21),"")/IF(H$24*H$25*H$26*H$27*H21&gt;0,AVERAGE(H$24:H$27,H21),""),"")</f>
        <v/>
      </c>
      <c r="Y141" s="294" t="str">
        <f aca="false">IFERROR(IF(I$24*I$25*I$26*I$27*I21&gt;0,STDEV(I$24:I$27,I21),"")/IF(I$24*I$25*I$26*I$27*I21&gt;0,AVERAGE(I$24:I$27,I21),""),"")</f>
        <v/>
      </c>
      <c r="Z141" s="294" t="str">
        <f aca="false">IFERROR(IF(J$24*J$25*J$26*J$27*J21&gt;0,STDEV(J$24:J$27,J21),"")/IF(J$24*J$25*J$26*J$27*J21&gt;0,AVERAGE(J$24:J$27,J21),""),"")</f>
        <v/>
      </c>
      <c r="AA141" s="294" t="str">
        <f aca="false">IFERROR(IF(K$24*K$25*K$26*K$27*K21&gt;0,STDEV(K$24:K$27,K21),"")/IF(K$24*K$25*K$26*K$27*K21&gt;0,AVERAGE(K$24:K$27,K21),""),"")</f>
        <v/>
      </c>
      <c r="AB141" s="294" t="str">
        <f aca="false">IFERROR(IF(L$24*L$25*L$26*L$27*L21&gt;0,STDEV(L$24:L$27,L21),"")/IF(L$24*L$25*L$26*L$27*L21&gt;0,AVERAGE(L$24:L$27,L21),""),"")</f>
        <v/>
      </c>
      <c r="AC141" s="294" t="str">
        <f aca="false">IFERROR(IF(M$24*M$25*M$26*M$27*M21&gt;0,STDEV(M$24:M$27,M21),"")/IF(M$24*M$25*M$26*M$27*M21&gt;0,AVERAGE(M$24:M$27,M21),""),"")</f>
        <v/>
      </c>
      <c r="AD141" s="294" t="str">
        <f aca="false">IFERROR(IF(N$24*N$25*N$26*N$27*N21&gt;0,STDEV(N$24:N$27,N21),"")/IF(N$24*N$25*N$26*N$27*N21&gt;0,AVERAGE(N$24:N$27,N21),""),"")</f>
        <v/>
      </c>
      <c r="AE141" s="44"/>
      <c r="AF141" s="266" t="s">
        <v>568</v>
      </c>
      <c r="AG141" s="287" t="str">
        <f aca="false">IFERROR(IF(C$24*C$25*C$26*C$27*C21&gt;0,STDEV(C$24:C$27,C21)," ")/IF(C$24*C$25*C$26*C$27*C21&gt;0,SQRT(COUNT(C$24:C$27,C21))," "),"")</f>
        <v/>
      </c>
      <c r="AH141" s="287" t="str">
        <f aca="false">IFERROR(IF(D$24*D$25*D$26*D$27*D21&gt;0,STDEV(D$24:D$27,D21)," ")/IF(D$24*D$25*D$26*D$27*D21&gt;0,SQRT(COUNT(D$24:D$27,D21))," "),"")</f>
        <v/>
      </c>
      <c r="AI141" s="287" t="str">
        <f aca="false">IFERROR(IF(E$24*E$25*E$26*E$27*E21&gt;0,STDEV(E$24:E$27,E21)," ")/IF(E$24*E$25*E$26*E$27*E21&gt;0,SQRT(COUNT(E$24:E$27,E21))," "),"")</f>
        <v/>
      </c>
      <c r="AJ141" s="287" t="str">
        <f aca="false">IFERROR(IF(F$24*F$25*F$26*F$27*F21&gt;0,STDEV(F$24:F$27,F21)," ")/IF(F$24*F$25*F$26*F$27*F21&gt;0,SQRT(COUNT(F$24:F$27,F21))," "),"")</f>
        <v/>
      </c>
      <c r="AK141" s="287" t="str">
        <f aca="false">IFERROR(IF(G$24*G$25*G$26*G$27*G21&gt;0,STDEV(G$24:G$27,G21)," ")/IF(G$24*G$25*G$26*G$27*G21&gt;0,SQRT(COUNT(G$24:G$27,G21))," "),"")</f>
        <v/>
      </c>
      <c r="AL141" s="287" t="str">
        <f aca="false">IFERROR(IF(H$24*H$25*H$26*H$27*H21&gt;0,STDEV(H$24:H$27,H21)," ")/IF(H$24*H$25*H$26*H$27*H21&gt;0,SQRT(COUNT(H$24:H$27,H21))," "),"")</f>
        <v/>
      </c>
      <c r="AM141" s="287" t="str">
        <f aca="false">IFERROR(IF(I$24*I$25*I$26*I$27*I21&gt;0,STDEV(I$24:I$27,I21)," ")/IF(I$24*I$25*I$26*I$27*I21&gt;0,SQRT(COUNT(I$24:I$27,I21))," "),"")</f>
        <v/>
      </c>
      <c r="AN141" s="287" t="str">
        <f aca="false">IFERROR(IF(J$24*J$25*J$26*J$27*J21&gt;0,STDEV(J$24:J$27,J21)," ")/IF(J$24*J$25*J$26*J$27*J21&gt;0,SQRT(COUNT(J$24:J$27,J21))," "),"")</f>
        <v/>
      </c>
      <c r="AO141" s="287" t="str">
        <f aca="false">IFERROR(IF(K$24*K$25*K$26*K$27*K21&gt;0,STDEV(K$24:K$27,K21)," ")/IF(K$24*K$25*K$26*K$27*K21&gt;0,SQRT(COUNT(K$24:K$27,K21))," "),"")</f>
        <v/>
      </c>
      <c r="AP141" s="287" t="str">
        <f aca="false">IFERROR(IF(L$24*L$25*L$26*L$27*L21&gt;0,STDEV(L$24:L$27,L21)," ")/IF(L$24*L$25*L$26*L$27*L21&gt;0,SQRT(COUNT(L$24:L$27,L21))," "),"")</f>
        <v/>
      </c>
      <c r="AQ141" s="287" t="str">
        <f aca="false">IFERROR(IF(M$24*M$25*M$26*M$27*M21&gt;0,STDEV(M$24:M$27,M21)," ")/IF(M$24*M$25*M$26*M$27*M21&gt;0,SQRT(COUNT(M$24:M$27,M21))," "),"")</f>
        <v/>
      </c>
      <c r="AR141" s="287" t="str">
        <f aca="false">IFERROR(IF(N$24*N$25*N$26*N$27*N21&gt;0,STDEV(N$24:N$27,N21)," ")/IF(N$24*N$25*N$26*N$27*N21&gt;0,SQRT(COUNT(N$24:N$27,N21))," "),"")</f>
        <v/>
      </c>
    </row>
    <row r="142" customFormat="false" ht="15.75" hidden="false" customHeight="false" outlineLevel="0" collapsed="false">
      <c r="A142" s="290" t="s">
        <v>569</v>
      </c>
      <c r="B142" s="281"/>
      <c r="C142" s="302" t="str">
        <f aca="false">IFERROR(IF(C$24*C$25*C$26*C$27*C22&gt;0,AVERAGE(C$24:C$27,C22),""),"")</f>
        <v/>
      </c>
      <c r="D142" s="302" t="str">
        <f aca="false">IFERROR(IF(D$24*D$25*D$26*D$27*D22&gt;0,AVERAGE(D$24:D$27,D22),""),"")</f>
        <v/>
      </c>
      <c r="E142" s="302" t="str">
        <f aca="false">IFERROR(IF(E$24*E$25*E$26*E$27*E22&gt;0,AVERAGE(E$24:E$27,E22),""),"")</f>
        <v/>
      </c>
      <c r="F142" s="302" t="str">
        <f aca="false">IFERROR(IF(F$24*F$25*F$26*F$27*F22&gt;0,AVERAGE(F$24:F$27,F22),""),"")</f>
        <v/>
      </c>
      <c r="G142" s="302" t="str">
        <f aca="false">IFERROR(IF(G$24*G$25*G$26*G$27*G22&gt;0,AVERAGE(G$24:G$27,G22),""),"")</f>
        <v/>
      </c>
      <c r="H142" s="302" t="str">
        <f aca="false">IFERROR(IF(H$24*H$25*H$26*H$27*H22&gt;0,AVERAGE(H$24:H$27,H22),""),"")</f>
        <v/>
      </c>
      <c r="I142" s="302" t="str">
        <f aca="false">IFERROR(IF(I$24*I$25*I$26*I$27*I22&gt;0,AVERAGE(I$24:I$27,I22),""),"")</f>
        <v/>
      </c>
      <c r="J142" s="302" t="str">
        <f aca="false">IFERROR(IF(J$24*J$25*J$26*J$27*J22&gt;0,AVERAGE(J$24:J$27,J22),""),"")</f>
        <v/>
      </c>
      <c r="K142" s="302" t="str">
        <f aca="false">IFERROR(IF(K$24*K$25*K$26*K$27*K22&gt;0,AVERAGE(K$24:K$27,K22),""),"")</f>
        <v/>
      </c>
      <c r="L142" s="302" t="str">
        <f aca="false">IFERROR(IF(L$24*L$25*L$26*L$27*L22&gt;0,AVERAGE(L$24:L$27,L22),""),"")</f>
        <v/>
      </c>
      <c r="M142" s="302" t="str">
        <f aca="false">IFERROR(IF(M$24*M$25*M$26*M$27*M22&gt;0,AVERAGE(M$24:M$27,M22),""),"")</f>
        <v/>
      </c>
      <c r="N142" s="302" t="str">
        <f aca="false">IFERROR(IF(N$24*N$25*N$26*N$27*N22&gt;0,AVERAGE(N$24:N$27,N22),""),"")</f>
        <v/>
      </c>
      <c r="O142" s="282"/>
      <c r="P142" s="282"/>
      <c r="Q142" s="296"/>
      <c r="R142" s="293" t="s">
        <v>570</v>
      </c>
      <c r="S142" s="294" t="str">
        <f aca="false">IFERROR(IF(C$24*C$25*C$26*C$27*C22&gt;0,STDEV(C$24:C$27,C22),"")/IF(C$24*C$25*C$26*C$27*C22&gt;0,AVERAGE(C$24:C$27,C22),""),"")</f>
        <v/>
      </c>
      <c r="T142" s="294" t="str">
        <f aca="false">IFERROR(IF(D$24*D$25*D$26*D$27*D22&gt;0,STDEV(D$24:D$27,D22),"")/IF(D$24*D$25*D$26*D$27*D22&gt;0,AVERAGE(D$24:D$27,D22),""),"")</f>
        <v/>
      </c>
      <c r="U142" s="294" t="str">
        <f aca="false">IFERROR(IF(E$24*E$25*E$26*E$27*E22&gt;0,STDEV(E$24:E$27,E22),"")/IF(E$24*E$25*E$26*E$27*E22&gt;0,AVERAGE(E$24:E$27,E22),""),"")</f>
        <v/>
      </c>
      <c r="V142" s="294" t="str">
        <f aca="false">IFERROR(IF(F$24*F$25*F$26*F$27*F22&gt;0,STDEV(F$24:F$27,F22),"")/IF(F$24*F$25*F$26*F$27*F22&gt;0,AVERAGE(F$24:F$27,F22),""),"")</f>
        <v/>
      </c>
      <c r="W142" s="294" t="str">
        <f aca="false">IFERROR(IF(G$24*G$25*G$26*G$27*G22&gt;0,STDEV(G$24:G$27,G22),"")/IF(G$24*G$25*G$26*G$27*G22&gt;0,AVERAGE(G$24:G$27,G22),""),"")</f>
        <v/>
      </c>
      <c r="X142" s="294" t="str">
        <f aca="false">IFERROR(IF(H$24*H$25*H$26*H$27*H22&gt;0,STDEV(H$24:H$27,H22),"")/IF(H$24*H$25*H$26*H$27*H22&gt;0,AVERAGE(H$24:H$27,H22),""),"")</f>
        <v/>
      </c>
      <c r="Y142" s="294" t="str">
        <f aca="false">IFERROR(IF(I$24*I$25*I$26*I$27*I22&gt;0,STDEV(I$24:I$27,I22),"")/IF(I$24*I$25*I$26*I$27*I22&gt;0,AVERAGE(I$24:I$27,I22),""),"")</f>
        <v/>
      </c>
      <c r="Z142" s="294" t="str">
        <f aca="false">IFERROR(IF(J$24*J$25*J$26*J$27*J22&gt;0,STDEV(J$24:J$27,J22),"")/IF(J$24*J$25*J$26*J$27*J22&gt;0,AVERAGE(J$24:J$27,J22),""),"")</f>
        <v/>
      </c>
      <c r="AA142" s="294" t="str">
        <f aca="false">IFERROR(IF(K$24*K$25*K$26*K$27*K22&gt;0,STDEV(K$24:K$27,K22),"")/IF(K$24*K$25*K$26*K$27*K22&gt;0,AVERAGE(K$24:K$27,K22),""),"")</f>
        <v/>
      </c>
      <c r="AB142" s="294" t="str">
        <f aca="false">IFERROR(IF(L$24*L$25*L$26*L$27*L22&gt;0,STDEV(L$24:L$27,L22),"")/IF(L$24*L$25*L$26*L$27*L22&gt;0,AVERAGE(L$24:L$27,L22),""),"")</f>
        <v/>
      </c>
      <c r="AC142" s="294" t="str">
        <f aca="false">IFERROR(IF(M$24*M$25*M$26*M$27*M22&gt;0,STDEV(M$24:M$27,M22),"")/IF(M$24*M$25*M$26*M$27*M22&gt;0,AVERAGE(M$24:M$27,M22),""),"")</f>
        <v/>
      </c>
      <c r="AD142" s="294" t="str">
        <f aca="false">IFERROR(IF(N$24*N$25*N$26*N$27*N22&gt;0,STDEV(N$24:N$27,N22),"")/IF(N$24*N$25*N$26*N$27*N22&gt;0,AVERAGE(N$24:N$27,N22),""),"")</f>
        <v/>
      </c>
      <c r="AE142" s="44"/>
      <c r="AF142" s="266" t="s">
        <v>571</v>
      </c>
      <c r="AG142" s="287" t="str">
        <f aca="false">IFERROR(IF(C$24*C$25*C$26*C$27*C22&gt;0,STDEV(C$24:C$27,C22)," ")/IF(C$24*C$25*C$26*C$27*C22&gt;0,SQRT(COUNT(C$24:C$27,C22))," "),"")</f>
        <v/>
      </c>
      <c r="AH142" s="287" t="str">
        <f aca="false">IFERROR(IF(D$24*D$25*D$26*D$27*D22&gt;0,STDEV(D$24:D$27,D22)," ")/IF(D$24*D$25*D$26*D$27*D22&gt;0,SQRT(COUNT(D$24:D$27,D22))," "),"")</f>
        <v/>
      </c>
      <c r="AI142" s="287" t="str">
        <f aca="false">IFERROR(IF(E$24*E$25*E$26*E$27*E22&gt;0,STDEV(E$24:E$27,E22)," ")/IF(E$24*E$25*E$26*E$27*E22&gt;0,SQRT(COUNT(E$24:E$27,E22))," "),"")</f>
        <v/>
      </c>
      <c r="AJ142" s="287" t="str">
        <f aca="false">IFERROR(IF(F$24*F$25*F$26*F$27*F22&gt;0,STDEV(F$24:F$27,F22)," ")/IF(F$24*F$25*F$26*F$27*F22&gt;0,SQRT(COUNT(F$24:F$27,F22))," "),"")</f>
        <v/>
      </c>
      <c r="AK142" s="287" t="str">
        <f aca="false">IFERROR(IF(G$24*G$25*G$26*G$27*G22&gt;0,STDEV(G$24:G$27,G22)," ")/IF(G$24*G$25*G$26*G$27*G22&gt;0,SQRT(COUNT(G$24:G$27,G22))," "),"")</f>
        <v/>
      </c>
      <c r="AL142" s="287" t="str">
        <f aca="false">IFERROR(IF(H$24*H$25*H$26*H$27*H22&gt;0,STDEV(H$24:H$27,H22)," ")/IF(H$24*H$25*H$26*H$27*H22&gt;0,SQRT(COUNT(H$24:H$27,H22))," "),"")</f>
        <v/>
      </c>
      <c r="AM142" s="287" t="str">
        <f aca="false">IFERROR(IF(I$24*I$25*I$26*I$27*I22&gt;0,STDEV(I$24:I$27,I22)," ")/IF(I$24*I$25*I$26*I$27*I22&gt;0,SQRT(COUNT(I$24:I$27,I22))," "),"")</f>
        <v/>
      </c>
      <c r="AN142" s="287" t="str">
        <f aca="false">IFERROR(IF(J$24*J$25*J$26*J$27*J22&gt;0,STDEV(J$24:J$27,J22)," ")/IF(J$24*J$25*J$26*J$27*J22&gt;0,SQRT(COUNT(J$24:J$27,J22))," "),"")</f>
        <v/>
      </c>
      <c r="AO142" s="287" t="str">
        <f aca="false">IFERROR(IF(K$24*K$25*K$26*K$27*K22&gt;0,STDEV(K$24:K$27,K22)," ")/IF(K$24*K$25*K$26*K$27*K22&gt;0,SQRT(COUNT(K$24:K$27,K22))," "),"")</f>
        <v/>
      </c>
      <c r="AP142" s="287" t="str">
        <f aca="false">IFERROR(IF(L$24*L$25*L$26*L$27*L22&gt;0,STDEV(L$24:L$27,L22)," ")/IF(L$24*L$25*L$26*L$27*L22&gt;0,SQRT(COUNT(L$24:L$27,L22))," "),"")</f>
        <v/>
      </c>
      <c r="AQ142" s="287" t="str">
        <f aca="false">IFERROR(IF(M$24*M$25*M$26*M$27*M22&gt;0,STDEV(M$24:M$27,M22)," ")/IF(M$24*M$25*M$26*M$27*M22&gt;0,SQRT(COUNT(M$24:M$27,M22))," "),"")</f>
        <v/>
      </c>
      <c r="AR142" s="287" t="str">
        <f aca="false">IFERROR(IF(N$24*N$25*N$26*N$27*N22&gt;0,STDEV(N$24:N$27,N22)," ")/IF(N$24*N$25*N$26*N$27*N22&gt;0,SQRT(COUNT(N$24:N$27,N22))," "),"")</f>
        <v/>
      </c>
    </row>
    <row r="143" customFormat="false" ht="15.75" hidden="false" customHeight="false" outlineLevel="0" collapsed="false">
      <c r="A143" s="290" t="s">
        <v>572</v>
      </c>
      <c r="B143" s="281"/>
      <c r="C143" s="302" t="str">
        <f aca="false">IFERROR(IF(C$25*C$26*C$27*C$21*C$22&gt;0,AVERAGE(C$25:C$27, C$21, C$22),""),"")</f>
        <v/>
      </c>
      <c r="D143" s="302" t="str">
        <f aca="false">IFERROR(IF(D$25*D$26*D$27*D$21*D$22&gt;0,AVERAGE(D$25:D$27, D$21, D$22),""),"")</f>
        <v/>
      </c>
      <c r="E143" s="302" t="str">
        <f aca="false">IFERROR(IF(E$25*E$26*E$27*E$21*E$22&gt;0,AVERAGE(E$25:E$27, E$21, E$22),""),"")</f>
        <v/>
      </c>
      <c r="F143" s="302" t="str">
        <f aca="false">IFERROR(IF(F$25*F$26*F$27*F$21*F$22&gt;0,AVERAGE(F$25:F$27, F$21, F$22),""),"")</f>
        <v/>
      </c>
      <c r="G143" s="302" t="str">
        <f aca="false">IFERROR(IF(G$25*G$26*G$27*G$21*G$22&gt;0,AVERAGE(G$25:G$27, G$21, G$22),""),"")</f>
        <v/>
      </c>
      <c r="H143" s="302" t="str">
        <f aca="false">IFERROR(IF(H$25*H$26*H$27*H$21*H$22&gt;0,AVERAGE(H$25:H$27, H$21, H$22),""),"")</f>
        <v/>
      </c>
      <c r="I143" s="302" t="str">
        <f aca="false">IFERROR(IF(I$25*I$26*I$27*I$21*I$22&gt;0,AVERAGE(I$25:I$27, I$21, I$22),""),"")</f>
        <v/>
      </c>
      <c r="J143" s="302" t="str">
        <f aca="false">IFERROR(IF(J$25*J$26*J$27*J$21*J$22&gt;0,AVERAGE(J$25:J$27, J$21, J$22),""),"")</f>
        <v/>
      </c>
      <c r="K143" s="302" t="str">
        <f aca="false">IFERROR(IF(K$25*K$26*K$27*K$21*K$22&gt;0,AVERAGE(K$25:K$27, K$21, K$22),""),"")</f>
        <v/>
      </c>
      <c r="L143" s="302" t="str">
        <f aca="false">IFERROR(IF(L$25*L$26*L$27*L$21*L$22&gt;0,AVERAGE(L$25:L$27, L$21, L$22),""),"")</f>
        <v/>
      </c>
      <c r="M143" s="302" t="str">
        <f aca="false">IFERROR(IF(M$25*M$26*M$27*M$21*M$22&gt;0,AVERAGE(M$25:M$27, M$21, M$22),""),"")</f>
        <v/>
      </c>
      <c r="N143" s="302" t="str">
        <f aca="false">IFERROR(IF(N$25*N$26*N$27*N$21*N$22&gt;0,AVERAGE(N$25:N$27, N$21, N$22),""),"")</f>
        <v/>
      </c>
      <c r="O143" s="282"/>
      <c r="P143" s="282"/>
      <c r="Q143" s="296"/>
      <c r="R143" s="293" t="s">
        <v>573</v>
      </c>
      <c r="S143" s="294" t="str">
        <f aca="false">IFERROR(IF(C$25*C$26*C$27*C$21*C$22&gt;0,STDEV(C$25:C$27,, C$21, C$22),"")/IF(C$25*C$26*C$27*C$21*C$22&gt;0,AVERAGE(C$25:C$27,, C$21, C$22),""),"")</f>
        <v/>
      </c>
      <c r="T143" s="294" t="str">
        <f aca="false">IFERROR(IF(D$25*D$26*D$27*D$21*D$22&gt;0,STDEV(D$25:D$27,, D$21, D$22),"")/IF(D$25*D$26*D$27*D$21*D$22&gt;0,AVERAGE(D$25:D$27,, D$21, D$22),""),"")</f>
        <v/>
      </c>
      <c r="U143" s="294" t="str">
        <f aca="false">IFERROR(IF(E$25*E$26*E$27*E$21*E$22&gt;0,STDEV(E$25:E$27,, E$21, E$22),"")/IF(E$25*E$26*E$27*E$21*E$22&gt;0,AVERAGE(E$25:E$27,, E$21, E$22),""),"")</f>
        <v/>
      </c>
      <c r="V143" s="294" t="str">
        <f aca="false">IFERROR(IF(F$25*F$26*F$27*F$21*F$22&gt;0,STDEV(F$25:F$27,, F$21, F$22),"")/IF(F$25*F$26*F$27*F$21*F$22&gt;0,AVERAGE(F$25:F$27,, F$21, F$22),""),"")</f>
        <v/>
      </c>
      <c r="W143" s="294" t="str">
        <f aca="false">IFERROR(IF(G$25*G$26*G$27*G$21*G$22&gt;0,STDEV(G$25:G$27,, G$21, G$22),"")/IF(G$25*G$26*G$27*G$21*G$22&gt;0,AVERAGE(G$25:G$27,, G$21, G$22),""),"")</f>
        <v/>
      </c>
      <c r="X143" s="294" t="str">
        <f aca="false">IFERROR(IF(H$25*H$26*H$27*H$21*H$22&gt;0,STDEV(H$25:H$27,, H$21, H$22),"")/IF(H$25*H$26*H$27*H$21*H$22&gt;0,AVERAGE(H$25:H$27,, H$21, H$22),""),"")</f>
        <v/>
      </c>
      <c r="Y143" s="294" t="str">
        <f aca="false">IFERROR(IF(I$25*I$26*I$27*I$21*I$22&gt;0,STDEV(I$25:I$27,, I$21, I$22),"")/IF(I$25*I$26*I$27*I$21*I$22&gt;0,AVERAGE(I$25:I$27,, I$21, I$22),""),"")</f>
        <v/>
      </c>
      <c r="Z143" s="294" t="str">
        <f aca="false">IFERROR(IF(J$25*J$26*J$27*J$21*J$22&gt;0,STDEV(J$25:J$27,, J$21, J$22),"")/IF(J$25*J$26*J$27*J$21*J$22&gt;0,AVERAGE(J$25:J$27,, J$21, J$22),""),"")</f>
        <v/>
      </c>
      <c r="AA143" s="294" t="str">
        <f aca="false">IFERROR(IF(K$25*K$26*K$27*K$21*K$22&gt;0,STDEV(K$25:K$27,, K$21, K$22),"")/IF(K$25*K$26*K$27*K$21*K$22&gt;0,AVERAGE(K$25:K$27,, K$21, K$22),""),"")</f>
        <v/>
      </c>
      <c r="AB143" s="294" t="str">
        <f aca="false">IFERROR(IF(L$25*L$26*L$27*L$21*L$22&gt;0,STDEV(L$25:L$27,, L$21, L$22),"")/IF(L$25*L$26*L$27*L$21*L$22&gt;0,AVERAGE(L$25:L$27,, L$21, L$22),""),"")</f>
        <v/>
      </c>
      <c r="AC143" s="294" t="str">
        <f aca="false">IFERROR(IF(M$25*M$26*M$27*M$21*M$22&gt;0,STDEV(M$25:M$27,, M$21, M$22),"")/IF(M$25*M$26*M$27*M$21*M$22&gt;0,AVERAGE(M$25:M$27,, M$21, M$22),""),"")</f>
        <v/>
      </c>
      <c r="AD143" s="294" t="str">
        <f aca="false">IFERROR(IF(N$25*N$26*N$27*N$21*N$22&gt;0,STDEV(N$25:N$27,, N$21, N$22),"")/IF(N$25*N$26*N$27*N$21*N$22&gt;0,AVERAGE(N$25:N$27,, N$21, N$22),""),"")</f>
        <v/>
      </c>
      <c r="AE143" s="44"/>
      <c r="AF143" s="266" t="s">
        <v>574</v>
      </c>
      <c r="AG143" s="287" t="str">
        <f aca="false">IFERROR(IF(C$25*C$26*C$27*C$21*C$22&gt;0,STDEV(C$25:C$27,, C$21, C$22)," ")/IF(C$25*C$26*C$27*C$21*C$22&gt;0,SQRT(COUNT(C$25:C$27,, C$21, C$22))," "),"")</f>
        <v/>
      </c>
      <c r="AH143" s="287" t="str">
        <f aca="false">IFERROR(IF(D$25*D$26*D$27*D$21*D$22&gt;0,STDEV(D$25:D$27,, D$21, D$22)," ")/IF(D$25*D$26*D$27*D$21*D$22&gt;0,SQRT(COUNT(D$25:D$27,, D$21, D$22))," "),"")</f>
        <v/>
      </c>
      <c r="AI143" s="287" t="str">
        <f aca="false">IFERROR(IF(E$25*E$26*E$27*E$21*E$22&gt;0,STDEV(E$25:E$27,, E$21, E$22)," ")/IF(E$25*E$26*E$27*E$21*E$22&gt;0,SQRT(COUNT(E$25:E$27,, E$21, E$22))," "),"")</f>
        <v/>
      </c>
      <c r="AJ143" s="287" t="str">
        <f aca="false">IFERROR(IF(F$25*F$26*F$27*F$21*F$22&gt;0,STDEV(F$25:F$27,, F$21, F$22)," ")/IF(F$25*F$26*F$27*F$21*F$22&gt;0,SQRT(COUNT(F$25:F$27,, F$21, F$22))," "),"")</f>
        <v/>
      </c>
      <c r="AK143" s="287" t="str">
        <f aca="false">IFERROR(IF(G$25*G$26*G$27*G$21*G$22&gt;0,STDEV(G$25:G$27,, G$21, G$22)," ")/IF(G$25*G$26*G$27*G$21*G$22&gt;0,SQRT(COUNT(G$25:G$27,, G$21, G$22))," "),"")</f>
        <v/>
      </c>
      <c r="AL143" s="287" t="str">
        <f aca="false">IFERROR(IF(H$25*H$26*H$27*H$21*H$22&gt;0,STDEV(H$25:H$27,, H$21, H$22)," ")/IF(H$25*H$26*H$27*H$21*H$22&gt;0,SQRT(COUNT(H$25:H$27,, H$21, H$22))," "),"")</f>
        <v/>
      </c>
      <c r="AM143" s="287" t="str">
        <f aca="false">IFERROR(IF(I$25*I$26*I$27*I$21*I$22&gt;0,STDEV(I$25:I$27,, I$21, I$22)," ")/IF(I$25*I$26*I$27*I$21*I$22&gt;0,SQRT(COUNT(I$25:I$27,, I$21, I$22))," "),"")</f>
        <v/>
      </c>
      <c r="AN143" s="287" t="str">
        <f aca="false">IFERROR(IF(J$25*J$26*J$27*J$21*J$22&gt;0,STDEV(J$25:J$27,, J$21, J$22)," ")/IF(J$25*J$26*J$27*J$21*J$22&gt;0,SQRT(COUNT(J$25:J$27,, J$21, J$22))," "),"")</f>
        <v/>
      </c>
      <c r="AO143" s="287" t="str">
        <f aca="false">IFERROR(IF(K$25*K$26*K$27*K$21*K$22&gt;0,STDEV(K$25:K$27,, K$21, K$22)," ")/IF(K$25*K$26*K$27*K$21*K$22&gt;0,SQRT(COUNT(K$25:K$27,, K$21, K$22))," "),"")</f>
        <v/>
      </c>
      <c r="AP143" s="287" t="str">
        <f aca="false">IFERROR(IF(L$25*L$26*L$27*L$21*L$22&gt;0,STDEV(L$25:L$27,, L$21, L$22)," ")/IF(L$25*L$26*L$27*L$21*L$22&gt;0,SQRT(COUNT(L$25:L$27,, L$21, L$22))," "),"")</f>
        <v/>
      </c>
      <c r="AQ143" s="287" t="str">
        <f aca="false">IFERROR(IF(M$25*M$26*M$27*M$21*M$22&gt;0,STDEV(M$25:M$27,, M$21, M$22)," ")/IF(M$25*M$26*M$27*M$21*M$22&gt;0,SQRT(COUNT(M$25:M$27,, M$21, M$22))," "),"")</f>
        <v/>
      </c>
      <c r="AR143" s="287" t="str">
        <f aca="false">IFERROR(IF(N$25*N$26*N$27*N$21*N$22&gt;0,STDEV(N$25:N$27,, N$21, N$22)," ")/IF(N$25*N$26*N$27*N$21*N$22&gt;0,SQRT(COUNT(N$25:N$27,, N$21, N$22))," "),"")</f>
        <v/>
      </c>
    </row>
    <row r="144" customFormat="false" ht="15.75" hidden="false" customHeight="false" outlineLevel="0" collapsed="false">
      <c r="A144" s="290" t="s">
        <v>575</v>
      </c>
      <c r="B144" s="281"/>
      <c r="C144" s="302" t="str">
        <f aca="false">IFERROR(IF(C$25*C$26*C$27*C$21*C$23&gt;0,AVERAGE(C$25:C$27, C$21, C$23),""),"")</f>
        <v/>
      </c>
      <c r="D144" s="302" t="str">
        <f aca="false">IFERROR(IF(D$25*D$26*D$27*D$21*D$23&gt;0,AVERAGE(D$25:D$27, D$21, D$23),""),"")</f>
        <v/>
      </c>
      <c r="E144" s="302" t="str">
        <f aca="false">IFERROR(IF(E$25*E$26*E$27*E$21*E$23&gt;0,AVERAGE(E$25:E$27, E$21, E$23),""),"")</f>
        <v/>
      </c>
      <c r="F144" s="302" t="str">
        <f aca="false">IFERROR(IF(F$25*F$26*F$27*F$21*F$23&gt;0,AVERAGE(F$25:F$27, F$21, F$23),""),"")</f>
        <v/>
      </c>
      <c r="G144" s="302" t="str">
        <f aca="false">IFERROR(IF(G$25*G$26*G$27*G$21*G$23&gt;0,AVERAGE(G$25:G$27, G$21, G$23),""),"")</f>
        <v/>
      </c>
      <c r="H144" s="302" t="str">
        <f aca="false">IFERROR(IF(H$25*H$26*H$27*H$21*H$23&gt;0,AVERAGE(H$25:H$27, H$21, H$23),""),"")</f>
        <v/>
      </c>
      <c r="I144" s="302" t="str">
        <f aca="false">IFERROR(IF(I$25*I$26*I$27*I$21*I$23&gt;0,AVERAGE(I$25:I$27, I$21, I$23),""),"")</f>
        <v/>
      </c>
      <c r="J144" s="302" t="str">
        <f aca="false">IFERROR(IF(J$25*J$26*J$27*J$21*J$23&gt;0,AVERAGE(J$25:J$27, J$21, J$23),""),"")</f>
        <v/>
      </c>
      <c r="K144" s="302" t="str">
        <f aca="false">IFERROR(IF(K$25*K$26*K$27*K$21*K$23&gt;0,AVERAGE(K$25:K$27, K$21, K$23),""),"")</f>
        <v/>
      </c>
      <c r="L144" s="302" t="str">
        <f aca="false">IFERROR(IF(L$25*L$26*L$27*L$21*L$23&gt;0,AVERAGE(L$25:L$27, L$21, L$23),""),"")</f>
        <v/>
      </c>
      <c r="M144" s="302" t="str">
        <f aca="false">IFERROR(IF(M$25*M$26*M$27*M$21*M$23&gt;0,AVERAGE(M$25:M$27, M$21, M$23),""),"")</f>
        <v/>
      </c>
      <c r="N144" s="302" t="str">
        <f aca="false">IFERROR(IF(N$25*N$26*N$27*N$21*N$23&gt;0,AVERAGE(N$25:N$27, N$21, N$23),""),"")</f>
        <v/>
      </c>
      <c r="O144" s="282"/>
      <c r="P144" s="282"/>
      <c r="Q144" s="296"/>
      <c r="R144" s="293" t="s">
        <v>576</v>
      </c>
      <c r="S144" s="294" t="str">
        <f aca="false">IFERROR(IF(C$25*C$26*C$27*C$21*C$23&gt;0,STDEV(C$25:C$27,, C$21, C$23),"")/IF(C$25*C$26*C$27*C$21*C$23&gt;0,AVERAGE(C$25:C$27,, C$21, C$23),""),"")</f>
        <v/>
      </c>
      <c r="T144" s="294" t="str">
        <f aca="false">IFERROR(IF(D$25*D$26*D$27*D$21*D$23&gt;0,STDEV(D$25:D$27,, D$21, D$23),"")/IF(D$25*D$26*D$27*D$21*D$23&gt;0,AVERAGE(D$25:D$27,, D$21, D$23),""),"")</f>
        <v/>
      </c>
      <c r="U144" s="294" t="str">
        <f aca="false">IFERROR(IF(E$25*E$26*E$27*E$21*E$23&gt;0,STDEV(E$25:E$27,, E$21, E$23),"")/IF(E$25*E$26*E$27*E$21*E$23&gt;0,AVERAGE(E$25:E$27,, E$21, E$23),""),"")</f>
        <v/>
      </c>
      <c r="V144" s="294" t="str">
        <f aca="false">IFERROR(IF(F$25*F$26*F$27*F$21*F$23&gt;0,STDEV(F$25:F$27,, F$21, F$23),"")/IF(F$25*F$26*F$27*F$21*F$23&gt;0,AVERAGE(F$25:F$27,, F$21, F$23),""),"")</f>
        <v/>
      </c>
      <c r="W144" s="294" t="str">
        <f aca="false">IFERROR(IF(G$25*G$26*G$27*G$21*G$23&gt;0,STDEV(G$25:G$27,, G$21, G$23),"")/IF(G$25*G$26*G$27*G$21*G$23&gt;0,AVERAGE(G$25:G$27,, G$21, G$23),""),"")</f>
        <v/>
      </c>
      <c r="X144" s="294" t="str">
        <f aca="false">IFERROR(IF(H$25*H$26*H$27*H$21*H$23&gt;0,STDEV(H$25:H$27,, H$21, H$23),"")/IF(H$25*H$26*H$27*H$21*H$23&gt;0,AVERAGE(H$25:H$27,, H$21, H$23),""),"")</f>
        <v/>
      </c>
      <c r="Y144" s="294" t="str">
        <f aca="false">IFERROR(IF(I$25*I$26*I$27*I$21*I$23&gt;0,STDEV(I$25:I$27,, I$21, I$23),"")/IF(I$25*I$26*I$27*I$21*I$23&gt;0,AVERAGE(I$25:I$27,, I$21, I$23),""),"")</f>
        <v/>
      </c>
      <c r="Z144" s="294" t="str">
        <f aca="false">IFERROR(IF(J$25*J$26*J$27*J$21*J$23&gt;0,STDEV(J$25:J$27,, J$21, J$23),"")/IF(J$25*J$26*J$27*J$21*J$23&gt;0,AVERAGE(J$25:J$27,, J$21, J$23),""),"")</f>
        <v/>
      </c>
      <c r="AA144" s="294" t="str">
        <f aca="false">IFERROR(IF(K$25*K$26*K$27*K$21*K$23&gt;0,STDEV(K$25:K$27,, K$21, K$23),"")/IF(K$25*K$26*K$27*K$21*K$23&gt;0,AVERAGE(K$25:K$27,, K$21, K$23),""),"")</f>
        <v/>
      </c>
      <c r="AB144" s="294" t="str">
        <f aca="false">IFERROR(IF(L$25*L$26*L$27*L$21*L$23&gt;0,STDEV(L$25:L$27,, L$21, L$23),"")/IF(L$25*L$26*L$27*L$21*L$23&gt;0,AVERAGE(L$25:L$27,, L$21, L$23),""),"")</f>
        <v/>
      </c>
      <c r="AC144" s="294" t="str">
        <f aca="false">IFERROR(IF(M$25*M$26*M$27*M$21*M$23&gt;0,STDEV(M$25:M$27,, M$21, M$23),"")/IF(M$25*M$26*M$27*M$21*M$23&gt;0,AVERAGE(M$25:M$27,, M$21, M$23),""),"")</f>
        <v/>
      </c>
      <c r="AD144" s="294" t="str">
        <f aca="false">IFERROR(IF(N$25*N$26*N$27*N$21*N$23&gt;0,STDEV(N$25:N$27,, N$21, N$23),"")/IF(N$25*N$26*N$27*N$21*N$23&gt;0,AVERAGE(N$25:N$27,, N$21, N$23),""),"")</f>
        <v/>
      </c>
      <c r="AE144" s="44"/>
      <c r="AF144" s="266" t="s">
        <v>577</v>
      </c>
      <c r="AG144" s="287" t="str">
        <f aca="false">IFERROR(IF(C$25*C$26*C$27*C$21*C$23&gt;0,STDEV(C$25:C$27,, C$21, C$23)," ")/IF(C$25*C$26*C$27*C$21*C$23&gt;0,SQRT(COUNT(C$25:C$27,, C$21, C$23))," "),"")</f>
        <v/>
      </c>
      <c r="AH144" s="287" t="str">
        <f aca="false">IFERROR(IF(D$25*D$26*D$27*D$21*D$23&gt;0,STDEV(D$25:D$27,, D$21, D$23)," ")/IF(D$25*D$26*D$27*D$21*D$23&gt;0,SQRT(COUNT(D$25:D$27,, D$21, D$23))," "),"")</f>
        <v/>
      </c>
      <c r="AI144" s="287" t="str">
        <f aca="false">IFERROR(IF(E$25*E$26*E$27*E$21*E$23&gt;0,STDEV(E$25:E$27,, E$21, E$23)," ")/IF(E$25*E$26*E$27*E$21*E$23&gt;0,SQRT(COUNT(E$25:E$27,, E$21, E$23))," "),"")</f>
        <v/>
      </c>
      <c r="AJ144" s="287" t="str">
        <f aca="false">IFERROR(IF(F$25*F$26*F$27*F$21*F$23&gt;0,STDEV(F$25:F$27,, F$21, F$23)," ")/IF(F$25*F$26*F$27*F$21*F$23&gt;0,SQRT(COUNT(F$25:F$27,, F$21, F$23))," "),"")</f>
        <v/>
      </c>
      <c r="AK144" s="287" t="str">
        <f aca="false">IFERROR(IF(G$25*G$26*G$27*G$21*G$23&gt;0,STDEV(G$25:G$27,, G$21, G$23)," ")/IF(G$25*G$26*G$27*G$21*G$23&gt;0,SQRT(COUNT(G$25:G$27,, G$21, G$23))," "),"")</f>
        <v/>
      </c>
      <c r="AL144" s="287" t="str">
        <f aca="false">IFERROR(IF(H$25*H$26*H$27*H$21*H$23&gt;0,STDEV(H$25:H$27,, H$21, H$23)," ")/IF(H$25*H$26*H$27*H$21*H$23&gt;0,SQRT(COUNT(H$25:H$27,, H$21, H$23))," "),"")</f>
        <v/>
      </c>
      <c r="AM144" s="287" t="str">
        <f aca="false">IFERROR(IF(I$25*I$26*I$27*I$21*I$23&gt;0,STDEV(I$25:I$27,, I$21, I$23)," ")/IF(I$25*I$26*I$27*I$21*I$23&gt;0,SQRT(COUNT(I$25:I$27,, I$21, I$23))," "),"")</f>
        <v/>
      </c>
      <c r="AN144" s="287" t="str">
        <f aca="false">IFERROR(IF(J$25*J$26*J$27*J$21*J$23&gt;0,STDEV(J$25:J$27,, J$21, J$23)," ")/IF(J$25*J$26*J$27*J$21*J$23&gt;0,SQRT(COUNT(J$25:J$27,, J$21, J$23))," "),"")</f>
        <v/>
      </c>
      <c r="AO144" s="287" t="str">
        <f aca="false">IFERROR(IF(K$25*K$26*K$27*K$21*K$23&gt;0,STDEV(K$25:K$27,, K$21, K$23)," ")/IF(K$25*K$26*K$27*K$21*K$23&gt;0,SQRT(COUNT(K$25:K$27,, K$21, K$23))," "),"")</f>
        <v/>
      </c>
      <c r="AP144" s="287" t="str">
        <f aca="false">IFERROR(IF(L$25*L$26*L$27*L$21*L$23&gt;0,STDEV(L$25:L$27,, L$21, L$23)," ")/IF(L$25*L$26*L$27*L$21*L$23&gt;0,SQRT(COUNT(L$25:L$27,, L$21, L$23))," "),"")</f>
        <v/>
      </c>
      <c r="AQ144" s="287" t="str">
        <f aca="false">IFERROR(IF(M$25*M$26*M$27*M$21*M$23&gt;0,STDEV(M$25:M$27,, M$21, M$23)," ")/IF(M$25*M$26*M$27*M$21*M$23&gt;0,SQRT(COUNT(M$25:M$27,, M$21, M$23))," "),"")</f>
        <v/>
      </c>
      <c r="AR144" s="287" t="str">
        <f aca="false">IFERROR(IF(N$25*N$26*N$27*N$21*N$23&gt;0,STDEV(N$25:N$27,, N$21, N$23)," ")/IF(N$25*N$26*N$27*N$21*N$23&gt;0,SQRT(COUNT(N$25:N$27,, N$21, N$23))," "),"")</f>
        <v/>
      </c>
    </row>
    <row r="145" customFormat="false" ht="15.75" hidden="false" customHeight="false" outlineLevel="0" collapsed="false">
      <c r="A145" s="290" t="s">
        <v>578</v>
      </c>
      <c r="B145" s="281"/>
      <c r="C145" s="302" t="str">
        <f aca="false">IFERROR(IF(C$25*C$26*C$27*C$21*C$24&gt;0,AVERAGE(C$25:C$27, C$21, C$24),""),"")</f>
        <v/>
      </c>
      <c r="D145" s="302" t="str">
        <f aca="false">IFERROR(IF(D$25*D$26*D$27*D$21*D$24&gt;0,AVERAGE(D$25:D$27, D$21, D$24),""),"")</f>
        <v/>
      </c>
      <c r="E145" s="302" t="str">
        <f aca="false">IFERROR(IF(E$25*E$26*E$27*E$21*E$24&gt;0,AVERAGE(E$25:E$27, E$21, E$24),""),"")</f>
        <v/>
      </c>
      <c r="F145" s="302" t="str">
        <f aca="false">IFERROR(IF(F$25*F$26*F$27*F$21*F$24&gt;0,AVERAGE(F$25:F$27, F$21, F$24),""),"")</f>
        <v/>
      </c>
      <c r="G145" s="302" t="str">
        <f aca="false">IFERROR(IF(G$25*G$26*G$27*G$21*G$24&gt;0,AVERAGE(G$25:G$27, G$21, G$24),""),"")</f>
        <v/>
      </c>
      <c r="H145" s="302" t="str">
        <f aca="false">IFERROR(IF(H$25*H$26*H$27*H$21*H$24&gt;0,AVERAGE(H$25:H$27, H$21, H$24),""),"")</f>
        <v/>
      </c>
      <c r="I145" s="302" t="str">
        <f aca="false">IFERROR(IF(I$25*I$26*I$27*I$21*I$24&gt;0,AVERAGE(I$25:I$27, I$21, I$24),""),"")</f>
        <v/>
      </c>
      <c r="J145" s="302" t="str">
        <f aca="false">IFERROR(IF(J$25*J$26*J$27*J$21*J$24&gt;0,AVERAGE(J$25:J$27, J$21, J$24),""),"")</f>
        <v/>
      </c>
      <c r="K145" s="302" t="str">
        <f aca="false">IFERROR(IF(K$25*K$26*K$27*K$21*K$24&gt;0,AVERAGE(K$25:K$27, K$21, K$24),""),"")</f>
        <v/>
      </c>
      <c r="L145" s="302" t="str">
        <f aca="false">IFERROR(IF(L$25*L$26*L$27*L$21*L$24&gt;0,AVERAGE(L$25:L$27, L$21, L$24),""),"")</f>
        <v/>
      </c>
      <c r="M145" s="302" t="str">
        <f aca="false">IFERROR(IF(M$25*M$26*M$27*M$21*M$24&gt;0,AVERAGE(M$25:M$27, M$21, M$24),""),"")</f>
        <v/>
      </c>
      <c r="N145" s="302" t="str">
        <f aca="false">IFERROR(IF(N$25*N$26*N$27*N$21*N$24&gt;0,AVERAGE(N$25:N$27, N$21, N$24),""),"")</f>
        <v/>
      </c>
      <c r="O145" s="282"/>
      <c r="P145" s="282"/>
      <c r="Q145" s="296"/>
      <c r="R145" s="293" t="s">
        <v>579</v>
      </c>
      <c r="S145" s="294" t="str">
        <f aca="false">IFERROR(IF(C$25*C$26*C$27*C$21*C$24&gt;0,STDEV(C$25:C$27,, C$21, C$24),"")/IF(C$25*C$26*C$27*C$21*C$24&gt;0,AVERAGE(C$25:C$27,, C$21, C$24),""),"")</f>
        <v/>
      </c>
      <c r="T145" s="294" t="str">
        <f aca="false">IFERROR(IF(D$25*D$26*D$27*D$21*D$24&gt;0,STDEV(D$25:D$27,, D$21, D$24),"")/IF(D$25*D$26*D$27*D$21*D$24&gt;0,AVERAGE(D$25:D$27,, D$21, D$24),""),"")</f>
        <v/>
      </c>
      <c r="U145" s="294" t="str">
        <f aca="false">IFERROR(IF(E$25*E$26*E$27*E$21*E$24&gt;0,STDEV(E$25:E$27,, E$21, E$24),"")/IF(E$25*E$26*E$27*E$21*E$24&gt;0,AVERAGE(E$25:E$27,, E$21, E$24),""),"")</f>
        <v/>
      </c>
      <c r="V145" s="294" t="str">
        <f aca="false">IFERROR(IF(F$25*F$26*F$27*F$21*F$24&gt;0,STDEV(F$25:F$27,, F$21, F$24),"")/IF(F$25*F$26*F$27*F$21*F$24&gt;0,AVERAGE(F$25:F$27,, F$21, F$24),""),"")</f>
        <v/>
      </c>
      <c r="W145" s="294" t="str">
        <f aca="false">IFERROR(IF(G$25*G$26*G$27*G$21*G$24&gt;0,STDEV(G$25:G$27,, G$21, G$24),"")/IF(G$25*G$26*G$27*G$21*G$24&gt;0,AVERAGE(G$25:G$27,, G$21, G$24),""),"")</f>
        <v/>
      </c>
      <c r="X145" s="294" t="str">
        <f aca="false">IFERROR(IF(H$25*H$26*H$27*H$21*H$24&gt;0,STDEV(H$25:H$27,, H$21, H$24),"")/IF(H$25*H$26*H$27*H$21*H$24&gt;0,AVERAGE(H$25:H$27,, H$21, H$24),""),"")</f>
        <v/>
      </c>
      <c r="Y145" s="294" t="str">
        <f aca="false">IFERROR(IF(I$25*I$26*I$27*I$21*I$24&gt;0,STDEV(I$25:I$27,, I$21, I$24),"")/IF(I$25*I$26*I$27*I$21*I$24&gt;0,AVERAGE(I$25:I$27,, I$21, I$24),""),"")</f>
        <v/>
      </c>
      <c r="Z145" s="294" t="str">
        <f aca="false">IFERROR(IF(J$25*J$26*J$27*J$21*J$24&gt;0,STDEV(J$25:J$27,, J$21, J$24),"")/IF(J$25*J$26*J$27*J$21*J$24&gt;0,AVERAGE(J$25:J$27,, J$21, J$24),""),"")</f>
        <v/>
      </c>
      <c r="AA145" s="294" t="str">
        <f aca="false">IFERROR(IF(K$25*K$26*K$27*K$21*K$24&gt;0,STDEV(K$25:K$27,, K$21, K$24),"")/IF(K$25*K$26*K$27*K$21*K$24&gt;0,AVERAGE(K$25:K$27,, K$21, K$24),""),"")</f>
        <v/>
      </c>
      <c r="AB145" s="294" t="str">
        <f aca="false">IFERROR(IF(L$25*L$26*L$27*L$21*L$24&gt;0,STDEV(L$25:L$27,, L$21, L$24),"")/IF(L$25*L$26*L$27*L$21*L$24&gt;0,AVERAGE(L$25:L$27,, L$21, L$24),""),"")</f>
        <v/>
      </c>
      <c r="AC145" s="294" t="str">
        <f aca="false">IFERROR(IF(M$25*M$26*M$27*M$21*M$24&gt;0,STDEV(M$25:M$27,, M$21, M$24),"")/IF(M$25*M$26*M$27*M$21*M$24&gt;0,AVERAGE(M$25:M$27,, M$21, M$24),""),"")</f>
        <v/>
      </c>
      <c r="AD145" s="294" t="str">
        <f aca="false">IFERROR(IF(N$25*N$26*N$27*N$21*N$24&gt;0,STDEV(N$25:N$27,, N$21, N$24),"")/IF(N$25*N$26*N$27*N$21*N$24&gt;0,AVERAGE(N$25:N$27,, N$21, N$24),""),"")</f>
        <v/>
      </c>
      <c r="AE145" s="44"/>
      <c r="AF145" s="266" t="s">
        <v>580</v>
      </c>
      <c r="AG145" s="287" t="str">
        <f aca="false">IFERROR(IF(C$25*C$26*C$27*C$21*C$24&gt;0,STDEV(C$25:C$27,, C$21, C$24)," ")/IF(C$25*C$26*C$27*C$21*C$24&gt;0,SQRT(COUNT(C$25:C$27,, C$21, C$24))," "),"")</f>
        <v/>
      </c>
      <c r="AH145" s="287" t="str">
        <f aca="false">IFERROR(IF(D$25*D$26*D$27*D$21*D$24&gt;0,STDEV(D$25:D$27,, D$21, D$24)," ")/IF(D$25*D$26*D$27*D$21*D$24&gt;0,SQRT(COUNT(D$25:D$27,, D$21, D$24))," "),"")</f>
        <v/>
      </c>
      <c r="AI145" s="287" t="str">
        <f aca="false">IFERROR(IF(E$25*E$26*E$27*E$21*E$24&gt;0,STDEV(E$25:E$27,, E$21, E$24)," ")/IF(E$25*E$26*E$27*E$21*E$24&gt;0,SQRT(COUNT(E$25:E$27,, E$21, E$24))," "),"")</f>
        <v/>
      </c>
      <c r="AJ145" s="287" t="str">
        <f aca="false">IFERROR(IF(F$25*F$26*F$27*F$21*F$24&gt;0,STDEV(F$25:F$27,, F$21, F$24)," ")/IF(F$25*F$26*F$27*F$21*F$24&gt;0,SQRT(COUNT(F$25:F$27,, F$21, F$24))," "),"")</f>
        <v/>
      </c>
      <c r="AK145" s="287" t="str">
        <f aca="false">IFERROR(IF(G$25*G$26*G$27*G$21*G$24&gt;0,STDEV(G$25:G$27,, G$21, G$24)," ")/IF(G$25*G$26*G$27*G$21*G$24&gt;0,SQRT(COUNT(G$25:G$27,, G$21, G$24))," "),"")</f>
        <v/>
      </c>
      <c r="AL145" s="287" t="str">
        <f aca="false">IFERROR(IF(H$25*H$26*H$27*H$21*H$24&gt;0,STDEV(H$25:H$27,, H$21, H$24)," ")/IF(H$25*H$26*H$27*H$21*H$24&gt;0,SQRT(COUNT(H$25:H$27,, H$21, H$24))," "),"")</f>
        <v/>
      </c>
      <c r="AM145" s="287" t="str">
        <f aca="false">IFERROR(IF(I$25*I$26*I$27*I$21*I$24&gt;0,STDEV(I$25:I$27,, I$21, I$24)," ")/IF(I$25*I$26*I$27*I$21*I$24&gt;0,SQRT(COUNT(I$25:I$27,, I$21, I$24))," "),"")</f>
        <v/>
      </c>
      <c r="AN145" s="287" t="str">
        <f aca="false">IFERROR(IF(J$25*J$26*J$27*J$21*J$24&gt;0,STDEV(J$25:J$27,, J$21, J$24)," ")/IF(J$25*J$26*J$27*J$21*J$24&gt;0,SQRT(COUNT(J$25:J$27,, J$21, J$24))," "),"")</f>
        <v/>
      </c>
      <c r="AO145" s="287" t="str">
        <f aca="false">IFERROR(IF(K$25*K$26*K$27*K$21*K$24&gt;0,STDEV(K$25:K$27,, K$21, K$24)," ")/IF(K$25*K$26*K$27*K$21*K$24&gt;0,SQRT(COUNT(K$25:K$27,, K$21, K$24))," "),"")</f>
        <v/>
      </c>
      <c r="AP145" s="287" t="str">
        <f aca="false">IFERROR(IF(L$25*L$26*L$27*L$21*L$24&gt;0,STDEV(L$25:L$27,, L$21, L$24)," ")/IF(L$25*L$26*L$27*L$21*L$24&gt;0,SQRT(COUNT(L$25:L$27,, L$21, L$24))," "),"")</f>
        <v/>
      </c>
      <c r="AQ145" s="287" t="str">
        <f aca="false">IFERROR(IF(M$25*M$26*M$27*M$21*M$24&gt;0,STDEV(M$25:M$27,, M$21, M$24)," ")/IF(M$25*M$26*M$27*M$21*M$24&gt;0,SQRT(COUNT(M$25:M$27,, M$21, M$24))," "),"")</f>
        <v/>
      </c>
      <c r="AR145" s="287" t="str">
        <f aca="false">IFERROR(IF(N$25*N$26*N$27*N$21*N$24&gt;0,STDEV(N$25:N$27,, N$21, N$24)," ")/IF(N$25*N$26*N$27*N$21*N$24&gt;0,SQRT(COUNT(N$25:N$27,, N$21, N$24))," "),"")</f>
        <v/>
      </c>
    </row>
    <row r="146" customFormat="false" ht="15.75" hidden="false" customHeight="false" outlineLevel="0" collapsed="false">
      <c r="A146" s="290" t="s">
        <v>581</v>
      </c>
      <c r="B146" s="281"/>
      <c r="C146" s="302" t="str">
        <f aca="false">IFERROR(IF(C$25*C$26*C$27*C$22*C$23&gt;0,AVERAGE(C$25:C$27, C$22, C$23),""),"")</f>
        <v/>
      </c>
      <c r="D146" s="302" t="str">
        <f aca="false">IFERROR(IF(D$25*D$26*D$27*D$22*D$23&gt;0,AVERAGE(D$25:D$27, D$22, D$23),""),"")</f>
        <v/>
      </c>
      <c r="E146" s="302" t="str">
        <f aca="false">IFERROR(IF(E$25*E$26*E$27*E$22*E$23&gt;0,AVERAGE(E$25:E$27, E$22, E$23),""),"")</f>
        <v/>
      </c>
      <c r="F146" s="302" t="str">
        <f aca="false">IFERROR(IF(F$25*F$26*F$27*F$22*F$23&gt;0,AVERAGE(F$25:F$27, F$22, F$23),""),"")</f>
        <v/>
      </c>
      <c r="G146" s="302" t="str">
        <f aca="false">IFERROR(IF(G$25*G$26*G$27*G$22*G$23&gt;0,AVERAGE(G$25:G$27, G$22, G$23),""),"")</f>
        <v/>
      </c>
      <c r="H146" s="302" t="str">
        <f aca="false">IFERROR(IF(H$25*H$26*H$27*H$22*H$23&gt;0,AVERAGE(H$25:H$27, H$22, H$23),""),"")</f>
        <v/>
      </c>
      <c r="I146" s="302" t="str">
        <f aca="false">IFERROR(IF(I$25*I$26*I$27*I$22*I$23&gt;0,AVERAGE(I$25:I$27, I$22, I$23),""),"")</f>
        <v/>
      </c>
      <c r="J146" s="302" t="str">
        <f aca="false">IFERROR(IF(J$25*J$26*J$27*J$22*J$23&gt;0,AVERAGE(J$25:J$27, J$22, J$23),""),"")</f>
        <v/>
      </c>
      <c r="K146" s="302" t="str">
        <f aca="false">IFERROR(IF(K$25*K$26*K$27*K$22*K$23&gt;0,AVERAGE(K$25:K$27, K$22, K$23),""),"")</f>
        <v/>
      </c>
      <c r="L146" s="302" t="str">
        <f aca="false">IFERROR(IF(L$25*L$26*L$27*L$22*L$23&gt;0,AVERAGE(L$25:L$27, L$22, L$23),""),"")</f>
        <v/>
      </c>
      <c r="M146" s="302" t="str">
        <f aca="false">IFERROR(IF(M$25*M$26*M$27*M$22*M$23&gt;0,AVERAGE(M$25:M$27, M$22, M$23),""),"")</f>
        <v/>
      </c>
      <c r="N146" s="302" t="str">
        <f aca="false">IFERROR(IF(N$25*N$26*N$27*N$22*N$23&gt;0,AVERAGE(N$25:N$27, N$22, N$23),""),"")</f>
        <v/>
      </c>
      <c r="O146" s="282"/>
      <c r="P146" s="282"/>
      <c r="Q146" s="296"/>
      <c r="R146" s="293" t="s">
        <v>582</v>
      </c>
      <c r="S146" s="294" t="str">
        <f aca="false">IFERROR(IF(C$25*C$26*C$27*C$22*C$23&gt;0,STDEV(C$25:C$27,, C$22, C$23),"")/IF(C$25*C$26*C$27*C$22*C$23&gt;0,AVERAGE(C$25:C$27,, C$22, C$23),""),"")</f>
        <v/>
      </c>
      <c r="T146" s="294" t="str">
        <f aca="false">IFERROR(IF(D$25*D$26*D$27*D$22*D$23&gt;0,STDEV(D$25:D$27,, D$22, D$23),"")/IF(D$25*D$26*D$27*D$22*D$23&gt;0,AVERAGE(D$25:D$27,, D$22, D$23),""),"")</f>
        <v/>
      </c>
      <c r="U146" s="294" t="str">
        <f aca="false">IFERROR(IF(E$25*E$26*E$27*E$22*E$23&gt;0,STDEV(E$25:E$27,, E$22, E$23),"")/IF(E$25*E$26*E$27*E$22*E$23&gt;0,AVERAGE(E$25:E$27,, E$22, E$23),""),"")</f>
        <v/>
      </c>
      <c r="V146" s="294" t="str">
        <f aca="false">IFERROR(IF(F$25*F$26*F$27*F$22*F$23&gt;0,STDEV(F$25:F$27,, F$22, F$23),"")/IF(F$25*F$26*F$27*F$22*F$23&gt;0,AVERAGE(F$25:F$27,, F$22, F$23),""),"")</f>
        <v/>
      </c>
      <c r="W146" s="294" t="str">
        <f aca="false">IFERROR(IF(G$25*G$26*G$27*G$22*G$23&gt;0,STDEV(G$25:G$27,, G$22, G$23),"")/IF(G$25*G$26*G$27*G$22*G$23&gt;0,AVERAGE(G$25:G$27,, G$22, G$23),""),"")</f>
        <v/>
      </c>
      <c r="X146" s="294" t="str">
        <f aca="false">IFERROR(IF(H$25*H$26*H$27*H$22*H$23&gt;0,STDEV(H$25:H$27,, H$22, H$23),"")/IF(H$25*H$26*H$27*H$22*H$23&gt;0,AVERAGE(H$25:H$27,, H$22, H$23),""),"")</f>
        <v/>
      </c>
      <c r="Y146" s="294" t="str">
        <f aca="false">IFERROR(IF(I$25*I$26*I$27*I$22*I$23&gt;0,STDEV(I$25:I$27,, I$22, I$23),"")/IF(I$25*I$26*I$27*I$22*I$23&gt;0,AVERAGE(I$25:I$27,, I$22, I$23),""),"")</f>
        <v/>
      </c>
      <c r="Z146" s="294" t="str">
        <f aca="false">IFERROR(IF(J$25*J$26*J$27*J$22*J$23&gt;0,STDEV(J$25:J$27,, J$22, J$23),"")/IF(J$25*J$26*J$27*J$22*J$23&gt;0,AVERAGE(J$25:J$27,, J$22, J$23),""),"")</f>
        <v/>
      </c>
      <c r="AA146" s="294" t="str">
        <f aca="false">IFERROR(IF(K$25*K$26*K$27*K$22*K$23&gt;0,STDEV(K$25:K$27,, K$22, K$23),"")/IF(K$25*K$26*K$27*K$22*K$23&gt;0,AVERAGE(K$25:K$27,, K$22, K$23),""),"")</f>
        <v/>
      </c>
      <c r="AB146" s="294" t="str">
        <f aca="false">IFERROR(IF(L$25*L$26*L$27*L$22*L$23&gt;0,STDEV(L$25:L$27,, L$22, L$23),"")/IF(L$25*L$26*L$27*L$22*L$23&gt;0,AVERAGE(L$25:L$27,, L$22, L$23),""),"")</f>
        <v/>
      </c>
      <c r="AC146" s="294" t="str">
        <f aca="false">IFERROR(IF(M$25*M$26*M$27*M$22*M$23&gt;0,STDEV(M$25:M$27,, M$22, M$23),"")/IF(M$25*M$26*M$27*M$22*M$23&gt;0,AVERAGE(M$25:M$27,, M$22, M$23),""),"")</f>
        <v/>
      </c>
      <c r="AD146" s="294" t="str">
        <f aca="false">IFERROR(IF(N$25*N$26*N$27*N$22*N$23&gt;0,STDEV(N$25:N$27,, N$22, N$23),"")/IF(N$25*N$26*N$27*N$22*N$23&gt;0,AVERAGE(N$25:N$27,, N$22, N$23),""),"")</f>
        <v/>
      </c>
      <c r="AE146" s="44"/>
      <c r="AF146" s="266" t="s">
        <v>583</v>
      </c>
      <c r="AG146" s="287" t="str">
        <f aca="false">IFERROR(IF(C$25*C$26*C$27*C$22*C$23&gt;0,STDEV(C$25:C$27,, C$22, C$23)," ")/IF(C$25*C$26*C$27*C$22*C$23&gt;0,SQRT(COUNT(C$25:C$27,, C$22, C$23))," "),"")</f>
        <v/>
      </c>
      <c r="AH146" s="287" t="str">
        <f aca="false">IFERROR(IF(D$25*D$26*D$27*D$22*D$23&gt;0,STDEV(D$25:D$27,, D$22, D$23)," ")/IF(D$25*D$26*D$27*D$22*D$23&gt;0,SQRT(COUNT(D$25:D$27,, D$22, D$23))," "),"")</f>
        <v/>
      </c>
      <c r="AI146" s="287" t="str">
        <f aca="false">IFERROR(IF(E$25*E$26*E$27*E$22*E$23&gt;0,STDEV(E$25:E$27,, E$22, E$23)," ")/IF(E$25*E$26*E$27*E$22*E$23&gt;0,SQRT(COUNT(E$25:E$27,, E$22, E$23))," "),"")</f>
        <v/>
      </c>
      <c r="AJ146" s="287" t="str">
        <f aca="false">IFERROR(IF(F$25*F$26*F$27*F$22*F$23&gt;0,STDEV(F$25:F$27,, F$22, F$23)," ")/IF(F$25*F$26*F$27*F$22*F$23&gt;0,SQRT(COUNT(F$25:F$27,, F$22, F$23))," "),"")</f>
        <v/>
      </c>
      <c r="AK146" s="287" t="str">
        <f aca="false">IFERROR(IF(G$25*G$26*G$27*G$22*G$23&gt;0,STDEV(G$25:G$27,, G$22, G$23)," ")/IF(G$25*G$26*G$27*G$22*G$23&gt;0,SQRT(COUNT(G$25:G$27,, G$22, G$23))," "),"")</f>
        <v/>
      </c>
      <c r="AL146" s="287" t="str">
        <f aca="false">IFERROR(IF(H$25*H$26*H$27*H$22*H$23&gt;0,STDEV(H$25:H$27,, H$22, H$23)," ")/IF(H$25*H$26*H$27*H$22*H$23&gt;0,SQRT(COUNT(H$25:H$27,, H$22, H$23))," "),"")</f>
        <v/>
      </c>
      <c r="AM146" s="287" t="str">
        <f aca="false">IFERROR(IF(I$25*I$26*I$27*I$22*I$23&gt;0,STDEV(I$25:I$27,, I$22, I$23)," ")/IF(I$25*I$26*I$27*I$22*I$23&gt;0,SQRT(COUNT(I$25:I$27,, I$22, I$23))," "),"")</f>
        <v/>
      </c>
      <c r="AN146" s="287" t="str">
        <f aca="false">IFERROR(IF(J$25*J$26*J$27*J$22*J$23&gt;0,STDEV(J$25:J$27,, J$22, J$23)," ")/IF(J$25*J$26*J$27*J$22*J$23&gt;0,SQRT(COUNT(J$25:J$27,, J$22, J$23))," "),"")</f>
        <v/>
      </c>
      <c r="AO146" s="287" t="str">
        <f aca="false">IFERROR(IF(K$25*K$26*K$27*K$22*K$23&gt;0,STDEV(K$25:K$27,, K$22, K$23)," ")/IF(K$25*K$26*K$27*K$22*K$23&gt;0,SQRT(COUNT(K$25:K$27,, K$22, K$23))," "),"")</f>
        <v/>
      </c>
      <c r="AP146" s="287" t="str">
        <f aca="false">IFERROR(IF(L$25*L$26*L$27*L$22*L$23&gt;0,STDEV(L$25:L$27,, L$22, L$23)," ")/IF(L$25*L$26*L$27*L$22*L$23&gt;0,SQRT(COUNT(L$25:L$27,, L$22, L$23))," "),"")</f>
        <v/>
      </c>
      <c r="AQ146" s="287" t="str">
        <f aca="false">IFERROR(IF(M$25*M$26*M$27*M$22*M$23&gt;0,STDEV(M$25:M$27,, M$22, M$23)," ")/IF(M$25*M$26*M$27*M$22*M$23&gt;0,SQRT(COUNT(M$25:M$27,, M$22, M$23))," "),"")</f>
        <v/>
      </c>
      <c r="AR146" s="287" t="str">
        <f aca="false">IFERROR(IF(N$25*N$26*N$27*N$22*N$23&gt;0,STDEV(N$25:N$27,, N$22, N$23)," ")/IF(N$25*N$26*N$27*N$22*N$23&gt;0,SQRT(COUNT(N$25:N$27,, N$22, N$23))," "),"")</f>
        <v/>
      </c>
    </row>
    <row r="147" customFormat="false" ht="15.75" hidden="false" customHeight="false" outlineLevel="0" collapsed="false">
      <c r="A147" s="290" t="s">
        <v>584</v>
      </c>
      <c r="B147" s="281"/>
      <c r="C147" s="302" t="str">
        <f aca="false">IFERROR(IF(C$25*C$26*C$27*C$22*C$24&gt;0,AVERAGE(C$25:C$27, C$22, C$24),""),"")</f>
        <v/>
      </c>
      <c r="D147" s="302" t="str">
        <f aca="false">IFERROR(IF(D$25*D$26*D$27*D$22*D$24&gt;0,AVERAGE(D$25:D$27, D$22, D$24),""),"")</f>
        <v/>
      </c>
      <c r="E147" s="302" t="str">
        <f aca="false">IFERROR(IF(E$25*E$26*E$27*E$22*E$24&gt;0,AVERAGE(E$25:E$27, E$22, E$24),""),"")</f>
        <v/>
      </c>
      <c r="F147" s="302" t="str">
        <f aca="false">IFERROR(IF(F$25*F$26*F$27*F$22*F$24&gt;0,AVERAGE(F$25:F$27, F$22, F$24),""),"")</f>
        <v/>
      </c>
      <c r="G147" s="302" t="str">
        <f aca="false">IFERROR(IF(G$25*G$26*G$27*G$22*G$24&gt;0,AVERAGE(G$25:G$27, G$22, G$24),""),"")</f>
        <v/>
      </c>
      <c r="H147" s="302" t="str">
        <f aca="false">IFERROR(IF(H$25*H$26*H$27*H$22*H$24&gt;0,AVERAGE(H$25:H$27, H$22, H$24),""),"")</f>
        <v/>
      </c>
      <c r="I147" s="302" t="str">
        <f aca="false">IFERROR(IF(I$25*I$26*I$27*I$22*I$24&gt;0,AVERAGE(I$25:I$27, I$22, I$24),""),"")</f>
        <v/>
      </c>
      <c r="J147" s="302" t="str">
        <f aca="false">IFERROR(IF(J$25*J$26*J$27*J$22*J$24&gt;0,AVERAGE(J$25:J$27, J$22, J$24),""),"")</f>
        <v/>
      </c>
      <c r="K147" s="302" t="str">
        <f aca="false">IFERROR(IF(K$25*K$26*K$27*K$22*K$24&gt;0,AVERAGE(K$25:K$27, K$22, K$24),""),"")</f>
        <v/>
      </c>
      <c r="L147" s="302" t="str">
        <f aca="false">IFERROR(IF(L$25*L$26*L$27*L$22*L$24&gt;0,AVERAGE(L$25:L$27, L$22, L$24),""),"")</f>
        <v/>
      </c>
      <c r="M147" s="302" t="str">
        <f aca="false">IFERROR(IF(M$25*M$26*M$27*M$22*M$24&gt;0,AVERAGE(M$25:M$27, M$22, M$24),""),"")</f>
        <v/>
      </c>
      <c r="N147" s="302" t="str">
        <f aca="false">IFERROR(IF(N$25*N$26*N$27*N$22*N$24&gt;0,AVERAGE(N$25:N$27, N$22, N$24),""),"")</f>
        <v/>
      </c>
      <c r="O147" s="282"/>
      <c r="P147" s="282"/>
      <c r="Q147" s="296"/>
      <c r="R147" s="293" t="s">
        <v>585</v>
      </c>
      <c r="S147" s="294" t="str">
        <f aca="false">IFERROR(IF(C$25*C$26*C$27*C$22*C$24&gt;0,STDEV(C$25:C$27, C$22, C$24),"")/IF(C$25*C$26*C$27*C$22*C$24&gt;0,AVERAGE(C$25:C$27, C$22, C$24),""),"")</f>
        <v/>
      </c>
      <c r="T147" s="294" t="str">
        <f aca="false">IFERROR(IF(D$25*D$26*D$27*D$22*D$24&gt;0,STDEV(D$25:D$27, D$22, D$24),"")/IF(D$25*D$26*D$27*D$22*D$24&gt;0,AVERAGE(D$25:D$27, D$22, D$24),""),"")</f>
        <v/>
      </c>
      <c r="U147" s="294" t="str">
        <f aca="false">IFERROR(IF(E$25*E$26*E$27*E$22*E$24&gt;0,STDEV(E$25:E$27, E$22, E$24),"")/IF(E$25*E$26*E$27*E$22*E$24&gt;0,AVERAGE(E$25:E$27, E$22, E$24),""),"")</f>
        <v/>
      </c>
      <c r="V147" s="294" t="str">
        <f aca="false">IFERROR(IF(F$25*F$26*F$27*F$22*F$24&gt;0,STDEV(F$25:F$27, F$22, F$24),"")/IF(F$25*F$26*F$27*F$22*F$24&gt;0,AVERAGE(F$25:F$27, F$22, F$24),""),"")</f>
        <v/>
      </c>
      <c r="W147" s="294" t="str">
        <f aca="false">IFERROR(IF(G$25*G$26*G$27*G$22*G$24&gt;0,STDEV(G$25:G$27, G$22, G$24),"")/IF(G$25*G$26*G$27*G$22*G$24&gt;0,AVERAGE(G$25:G$27, G$22, G$24),""),"")</f>
        <v/>
      </c>
      <c r="X147" s="294" t="str">
        <f aca="false">IFERROR(IF(H$25*H$26*H$27*H$22*H$24&gt;0,STDEV(H$25:H$27, H$22, H$24),"")/IF(H$25*H$26*H$27*H$22*H$24&gt;0,AVERAGE(H$25:H$27, H$22, H$24),""),"")</f>
        <v/>
      </c>
      <c r="Y147" s="294" t="str">
        <f aca="false">IFERROR(IF(I$25*I$26*I$27*I$22*I$24&gt;0,STDEV(I$25:I$27, I$22, I$24),"")/IF(I$25*I$26*I$27*I$22*I$24&gt;0,AVERAGE(I$25:I$27, I$22, I$24),""),"")</f>
        <v/>
      </c>
      <c r="Z147" s="294" t="str">
        <f aca="false">IFERROR(IF(J$25*J$26*J$27*J$22*J$24&gt;0,STDEV(J$25:J$27, J$22, J$24),"")/IF(J$25*J$26*J$27*J$22*J$24&gt;0,AVERAGE(J$25:J$27, J$22, J$24),""),"")</f>
        <v/>
      </c>
      <c r="AA147" s="294" t="str">
        <f aca="false">IFERROR(IF(K$25*K$26*K$27*K$22*K$24&gt;0,STDEV(K$25:K$27, K$22, K$24),"")/IF(K$25*K$26*K$27*K$22*K$24&gt;0,AVERAGE(K$25:K$27, K$22, K$24),""),"")</f>
        <v/>
      </c>
      <c r="AB147" s="294" t="str">
        <f aca="false">IFERROR(IF(L$25*L$26*L$27*L$22*L$24&gt;0,STDEV(L$25:L$27, L$22, L$24),"")/IF(L$25*L$26*L$27*L$22*L$24&gt;0,AVERAGE(L$25:L$27, L$22, L$24),""),"")</f>
        <v/>
      </c>
      <c r="AC147" s="294" t="str">
        <f aca="false">IFERROR(IF(M$25*M$26*M$27*M$22*M$24&gt;0,STDEV(M$25:M$27, M$22, M$24),"")/IF(M$25*M$26*M$27*M$22*M$24&gt;0,AVERAGE(M$25:M$27, M$22, M$24),""),"")</f>
        <v/>
      </c>
      <c r="AD147" s="294" t="str">
        <f aca="false">IFERROR(IF(N$25*N$26*N$27*N$22*N$24&gt;0,STDEV(N$25:N$27, N$22, N$24),"")/IF(N$25*N$26*N$27*N$22*N$24&gt;0,AVERAGE(N$25:N$27, N$22, N$24),""),"")</f>
        <v/>
      </c>
      <c r="AE147" s="44"/>
      <c r="AF147" s="266" t="s">
        <v>586</v>
      </c>
      <c r="AG147" s="287" t="str">
        <f aca="false">IFERROR(IF(C$25*C$26*C$27*C$22*C$24&gt;0,STDEV(C$25:C$27, C$22, C$24)," ")/IF(C$25*C$26*C$27*C$22*C$24&gt;0,SQRT(COUNT(C$25:C$27, C$22, C$24))," "),"")</f>
        <v/>
      </c>
      <c r="AH147" s="287" t="str">
        <f aca="false">IFERROR(IF(D$25*D$26*D$27*D$22*D$24&gt;0,STDEV(D$25:D$27, D$22, D$24)," ")/IF(D$25*D$26*D$27*D$22*D$24&gt;0,SQRT(COUNT(D$25:D$27, D$22, D$24))," "),"")</f>
        <v/>
      </c>
      <c r="AI147" s="287" t="str">
        <f aca="false">IFERROR(IF(E$25*E$26*E$27*E$22*E$24&gt;0,STDEV(E$25:E$27, E$22, E$24)," ")/IF(E$25*E$26*E$27*E$22*E$24&gt;0,SQRT(COUNT(E$25:E$27, E$22, E$24))," "),"")</f>
        <v/>
      </c>
      <c r="AJ147" s="287" t="str">
        <f aca="false">IFERROR(IF(F$25*F$26*F$27*F$22*F$24&gt;0,STDEV(F$25:F$27, F$22, F$24)," ")/IF(F$25*F$26*F$27*F$22*F$24&gt;0,SQRT(COUNT(F$25:F$27, F$22, F$24))," "),"")</f>
        <v/>
      </c>
      <c r="AK147" s="287" t="str">
        <f aca="false">IFERROR(IF(G$25*G$26*G$27*G$22*G$24&gt;0,STDEV(G$25:G$27, G$22, G$24)," ")/IF(G$25*G$26*G$27*G$22*G$24&gt;0,SQRT(COUNT(G$25:G$27, G$22, G$24))," "),"")</f>
        <v/>
      </c>
      <c r="AL147" s="287" t="str">
        <f aca="false">IFERROR(IF(H$25*H$26*H$27*H$22*H$24&gt;0,STDEV(H$25:H$27, H$22, H$24)," ")/IF(H$25*H$26*H$27*H$22*H$24&gt;0,SQRT(COUNT(H$25:H$27, H$22, H$24))," "),"")</f>
        <v/>
      </c>
      <c r="AM147" s="287" t="str">
        <f aca="false">IFERROR(IF(I$25*I$26*I$27*I$22*I$24&gt;0,STDEV(I$25:I$27, I$22, I$24)," ")/IF(I$25*I$26*I$27*I$22*I$24&gt;0,SQRT(COUNT(I$25:I$27, I$22, I$24))," "),"")</f>
        <v/>
      </c>
      <c r="AN147" s="287" t="str">
        <f aca="false">IFERROR(IF(J$25*J$26*J$27*J$22*J$24&gt;0,STDEV(J$25:J$27, J$22, J$24)," ")/IF(J$25*J$26*J$27*J$22*J$24&gt;0,SQRT(COUNT(J$25:J$27, J$22, J$24))," "),"")</f>
        <v/>
      </c>
      <c r="AO147" s="287" t="str">
        <f aca="false">IFERROR(IF(K$25*K$26*K$27*K$22*K$24&gt;0,STDEV(K$25:K$27, K$22, K$24)," ")/IF(K$25*K$26*K$27*K$22*K$24&gt;0,SQRT(COUNT(K$25:K$27, K$22, K$24))," "),"")</f>
        <v/>
      </c>
      <c r="AP147" s="287" t="str">
        <f aca="false">IFERROR(IF(L$25*L$26*L$27*L$22*L$24&gt;0,STDEV(L$25:L$27, L$22, L$24)," ")/IF(L$25*L$26*L$27*L$22*L$24&gt;0,SQRT(COUNT(L$25:L$27, L$22, L$24))," "),"")</f>
        <v/>
      </c>
      <c r="AQ147" s="287" t="str">
        <f aca="false">IFERROR(IF(M$25*M$26*M$27*M$22*M$24&gt;0,STDEV(M$25:M$27, M$22, M$24)," ")/IF(M$25*M$26*M$27*M$22*M$24&gt;0,SQRT(COUNT(M$25:M$27, M$22, M$24))," "),"")</f>
        <v/>
      </c>
      <c r="AR147" s="287" t="str">
        <f aca="false">IFERROR(IF(N$25*N$26*N$27*N$22*N$24&gt;0,STDEV(N$25:N$27, N$22, N$24)," ")/IF(N$25*N$26*N$27*N$22*N$24&gt;0,SQRT(COUNT(N$25:N$27, N$22, N$24))," "),"")</f>
        <v/>
      </c>
    </row>
    <row r="148" customFormat="false" ht="15.75" hidden="false" customHeight="false" outlineLevel="0" collapsed="false">
      <c r="A148" s="290" t="s">
        <v>587</v>
      </c>
      <c r="B148" s="281"/>
      <c r="C148" s="302" t="str">
        <f aca="false">IFERROR(IF(C$21*C$23*C$24*C$25*C26&gt;0,AVERAGE(C$21, C$23,C$24, C$25, C$26),""),"")</f>
        <v/>
      </c>
      <c r="D148" s="302" t="str">
        <f aca="false">IFERROR(IF(D$21*D$23*D$24*D$25*D26&gt;0,AVERAGE(D$21, D$23,D$24, D$25, D$26),""),"")</f>
        <v/>
      </c>
      <c r="E148" s="302" t="str">
        <f aca="false">IFERROR(IF(E$21*E$23*E$24*E$25*E26&gt;0,AVERAGE(E$21, E$23,E$24, E$25, E$26),""),"")</f>
        <v/>
      </c>
      <c r="F148" s="302" t="str">
        <f aca="false">IFERROR(IF(F$21*F$23*F$24*F$25*F26&gt;0,AVERAGE(F$21, F$23,F$24, F$25, F$26),""),"")</f>
        <v/>
      </c>
      <c r="G148" s="302" t="str">
        <f aca="false">IFERROR(IF(G$21*G$23*G$24*G$25*G26&gt;0,AVERAGE(G$21, G$23,G$24, G$25, G$26),""),"")</f>
        <v/>
      </c>
      <c r="H148" s="302" t="str">
        <f aca="false">IFERROR(IF(H$21*H$23*H$24*H$25*H26&gt;0,AVERAGE(H$21, H$23,H$24, H$25, H$26),""),"")</f>
        <v/>
      </c>
      <c r="I148" s="302" t="str">
        <f aca="false">IFERROR(IF(I$21*I$23*I$24*I$25*I26&gt;0,AVERAGE(I$21, I$23,I$24, I$25, I$26),""),"")</f>
        <v/>
      </c>
      <c r="J148" s="302" t="str">
        <f aca="false">IFERROR(IF(J$21*J$23*J$24*J$25*J26&gt;0,AVERAGE(J$21, J$23,J$24, J$25, J$26),""),"")</f>
        <v/>
      </c>
      <c r="K148" s="302" t="str">
        <f aca="false">IFERROR(IF(K$21*K$23*K$24*K$25*K26&gt;0,AVERAGE(K$21, K$23,K$24, K$25, K$26),""),"")</f>
        <v/>
      </c>
      <c r="L148" s="302" t="str">
        <f aca="false">IFERROR(IF(L$21*L$23*L$24*L$25*L26&gt;0,AVERAGE(L$21, L$23,L$24, L$25, L$26),""),"")</f>
        <v/>
      </c>
      <c r="M148" s="302" t="str">
        <f aca="false">IFERROR(IF(M$21*M$23*M$24*M$25*M26&gt;0,AVERAGE(M$21, M$23,M$24, M$25, M$26),""),"")</f>
        <v/>
      </c>
      <c r="N148" s="302" t="str">
        <f aca="false">IFERROR(IF(N$21*N$23*N$24*N$25*N26&gt;0,AVERAGE(N$21, N$23,N$24, N$25, N$26),""),"")</f>
        <v/>
      </c>
      <c r="O148" s="282"/>
      <c r="P148" s="282"/>
      <c r="Q148" s="296"/>
      <c r="R148" s="293" t="s">
        <v>588</v>
      </c>
      <c r="S148" s="294" t="str">
        <f aca="false">IFERROR(IF(C$21*C$23*C$24*C$25*C26&gt;0,STDEV(C$21, C$23,C$24, C$25, C$26),"")/IF(C$21*C$23*C$24*C$25*C26&gt;0,AVERAGE(C$21, C$23,C$24, C$25, C$26),""),"")</f>
        <v/>
      </c>
      <c r="T148" s="294" t="str">
        <f aca="false">IFERROR(IF(D$21*D$23*D$24*D$25*D26&gt;0,STDEV(D$21, D$23,D$24, D$25, D$26),"")/IF(D$21*D$23*D$24*D$25*D26&gt;0,AVERAGE(D$21, D$23,D$24, D$25, D$26),""),"")</f>
        <v/>
      </c>
      <c r="U148" s="294" t="str">
        <f aca="false">IFERROR(IF(E$21*E$23*E$24*E$25*E26&gt;0,STDEV(E$21, E$23,E$24, E$25, E$26),"")/IF(E$21*E$23*E$24*E$25*E26&gt;0,AVERAGE(E$21, E$23,E$24, E$25, E$26),""),"")</f>
        <v/>
      </c>
      <c r="V148" s="294" t="str">
        <f aca="false">IFERROR(IF(F$21*F$23*F$24*F$25*F26&gt;0,STDEV(F$21, F$23,F$24, F$25, F$26),"")/IF(F$21*F$23*F$24*F$25*F26&gt;0,AVERAGE(F$21, F$23,F$24, F$25, F$26),""),"")</f>
        <v/>
      </c>
      <c r="W148" s="294" t="str">
        <f aca="false">IFERROR(IF(G$21*G$23*G$24*G$25*G26&gt;0,STDEV(G$21, G$23,G$24, G$25, G$26),"")/IF(G$21*G$23*G$24*G$25*G26&gt;0,AVERAGE(G$21, G$23,G$24, G$25, G$26),""),"")</f>
        <v/>
      </c>
      <c r="X148" s="294" t="str">
        <f aca="false">IFERROR(IF(H$21*H$23*H$24*H$25*H26&gt;0,STDEV(H$21, H$23,H$24, H$25, H$26),"")/IF(H$21*H$23*H$24*H$25*H26&gt;0,AVERAGE(H$21, H$23,H$24, H$25, H$26),""),"")</f>
        <v/>
      </c>
      <c r="Y148" s="294" t="str">
        <f aca="false">IFERROR(IF(I$21*I$23*I$24*I$25*I26&gt;0,STDEV(I$21, I$23,I$24, I$25, I$26),"")/IF(I$21*I$23*I$24*I$25*I26&gt;0,AVERAGE(I$21, I$23,I$24, I$25, I$26),""),"")</f>
        <v/>
      </c>
      <c r="Z148" s="294" t="str">
        <f aca="false">IFERROR(IF(J$21*J$23*J$24*J$25*J26&gt;0,STDEV(J$21, J$23,J$24, J$25, J$26),"")/IF(J$21*J$23*J$24*J$25*J26&gt;0,AVERAGE(J$21, J$23,J$24, J$25, J$26),""),"")</f>
        <v/>
      </c>
      <c r="AA148" s="294" t="str">
        <f aca="false">IFERROR(IF(K$21*K$23*K$24*K$25*K26&gt;0,STDEV(K$21, K$23,K$24, K$25, K$26),"")/IF(K$21*K$23*K$24*K$25*K26&gt;0,AVERAGE(K$21, K$23,K$24, K$25, K$26),""),"")</f>
        <v/>
      </c>
      <c r="AB148" s="294" t="str">
        <f aca="false">IFERROR(IF(L$21*L$23*L$24*L$25*L26&gt;0,STDEV(L$21, L$23,L$24, L$25, L$26),"")/IF(L$21*L$23*L$24*L$25*L26&gt;0,AVERAGE(L$21, L$23,L$24, L$25, L$26),""),"")</f>
        <v/>
      </c>
      <c r="AC148" s="294" t="str">
        <f aca="false">IFERROR(IF(M$21*M$23*M$24*M$25*M26&gt;0,STDEV(M$21, M$23,M$24, M$25, M$26),"")/IF(M$21*M$23*M$24*M$25*M26&gt;0,AVERAGE(M$21, M$23,M$24, M$25, M$26),""),"")</f>
        <v/>
      </c>
      <c r="AD148" s="294" t="str">
        <f aca="false">IFERROR(IF(N$21*N$23*N$24*N$25*N26&gt;0,STDEV(N$21, N$23,N$24, N$25, N$26),"")/IF(N$21*N$23*N$24*N$25*N26&gt;0,AVERAGE(N$21, N$23,N$24, N$25, N$26),""),"")</f>
        <v/>
      </c>
      <c r="AE148" s="44"/>
      <c r="AF148" s="266" t="s">
        <v>589</v>
      </c>
      <c r="AG148" s="287" t="str">
        <f aca="false">IFERROR(IF(C$21*C$23*C$24*C$25*C26&gt;0,STDEV(C$21, C$23,C$24, C$25, C$26)," ")/IF(C$21*C$23*C$24*C$25*C26&gt;0,SQRT(COUNT(C$21, C$23,C$24, C$25, C$26))," "),"")</f>
        <v/>
      </c>
      <c r="AH148" s="287" t="str">
        <f aca="false">IFERROR(IF(D$21*D$23*D$24*D$25*D26&gt;0,STDEV(D$21, D$23,D$24, D$25, D$26)," ")/IF(D$21*D$23*D$24*D$25*D26&gt;0,SQRT(COUNT(D$21, D$23,D$24, D$25, D$26))," "),"")</f>
        <v/>
      </c>
      <c r="AI148" s="287" t="str">
        <f aca="false">IFERROR(IF(E$21*E$23*E$24*E$25*E26&gt;0,STDEV(E$21, E$23,E$24, E$25, E$26)," ")/IF(E$21*E$23*E$24*E$25*E26&gt;0,SQRT(COUNT(E$21, E$23,E$24, E$25, E$26))," "),"")</f>
        <v/>
      </c>
      <c r="AJ148" s="287" t="str">
        <f aca="false">IFERROR(IF(F$21*F$23*F$24*F$25*F26&gt;0,STDEV(F$21, F$23,F$24, F$25, F$26)," ")/IF(F$21*F$23*F$24*F$25*F26&gt;0,SQRT(COUNT(F$21, F$23,F$24, F$25, F$26))," "),"")</f>
        <v/>
      </c>
      <c r="AK148" s="287" t="str">
        <f aca="false">IFERROR(IF(G$21*G$23*G$24*G$25*G26&gt;0,STDEV(G$21, G$23,G$24, G$25, G$26)," ")/IF(G$21*G$23*G$24*G$25*G26&gt;0,SQRT(COUNT(G$21, G$23,G$24, G$25, G$26))," "),"")</f>
        <v/>
      </c>
      <c r="AL148" s="287" t="str">
        <f aca="false">IFERROR(IF(H$21*H$23*H$24*H$25*H26&gt;0,STDEV(H$21, H$23,H$24, H$25, H$26)," ")/IF(H$21*H$23*H$24*H$25*H26&gt;0,SQRT(COUNT(H$21, H$23,H$24, H$25, H$26))," "),"")</f>
        <v/>
      </c>
      <c r="AM148" s="287" t="str">
        <f aca="false">IFERROR(IF(I$21*I$23*I$24*I$25*I26&gt;0,STDEV(I$21, I$23,I$24, I$25, I$26)," ")/IF(I$21*I$23*I$24*I$25*I26&gt;0,SQRT(COUNT(I$21, I$23,I$24, I$25, I$26))," "),"")</f>
        <v/>
      </c>
      <c r="AN148" s="287" t="str">
        <f aca="false">IFERROR(IF(J$21*J$23*J$24*J$25*J26&gt;0,STDEV(J$21, J$23,J$24, J$25, J$26)," ")/IF(J$21*J$23*J$24*J$25*J26&gt;0,SQRT(COUNT(J$21, J$23,J$24, J$25, J$26))," "),"")</f>
        <v/>
      </c>
      <c r="AO148" s="287" t="str">
        <f aca="false">IFERROR(IF(K$21*K$23*K$24*K$25*K26&gt;0,STDEV(K$21, K$23,K$24, K$25, K$26)," ")/IF(K$21*K$23*K$24*K$25*K26&gt;0,SQRT(COUNT(K$21, K$23,K$24, K$25, K$26))," "),"")</f>
        <v/>
      </c>
      <c r="AP148" s="287" t="str">
        <f aca="false">IFERROR(IF(L$21*L$23*L$24*L$25*L26&gt;0,STDEV(L$21, L$23,L$24, L$25, L$26)," ")/IF(L$21*L$23*L$24*L$25*L26&gt;0,SQRT(COUNT(L$21, L$23,L$24, L$25, L$26))," "),"")</f>
        <v/>
      </c>
      <c r="AQ148" s="287" t="str">
        <f aca="false">IFERROR(IF(M$21*M$23*M$24*M$25*M26&gt;0,STDEV(M$21, M$23,M$24, M$25, M$26)," ")/IF(M$21*M$23*M$24*M$25*M26&gt;0,SQRT(COUNT(M$21, M$23,M$24, M$25, M$26))," "),"")</f>
        <v/>
      </c>
      <c r="AR148" s="287" t="str">
        <f aca="false">IFERROR(IF(N$21*N$23*N$24*N$25*N26&gt;0,STDEV(N$21, N$23,N$24, N$25, N$26)," ")/IF(N$21*N$23*N$24*N$25*N26&gt;0,SQRT(COUNT(N$21, N$23,N$24, N$25, N$26))," "),"")</f>
        <v/>
      </c>
    </row>
    <row r="149" customFormat="false" ht="15.75" hidden="false" customHeight="false" outlineLevel="0" collapsed="false">
      <c r="A149" s="290" t="s">
        <v>590</v>
      </c>
      <c r="B149" s="281"/>
      <c r="C149" s="302" t="str">
        <f aca="false">IFERROR(IF(C$21*C$22*C$24*C$25*C26&gt;0,AVERAGE(C$21, C$22, C$24, C$25, C$26),""),"")</f>
        <v/>
      </c>
      <c r="D149" s="302" t="str">
        <f aca="false">IFERROR(IF(D$21*D$22*D$24*D$25*D26&gt;0,AVERAGE(D$21, D$22, D$24, D$25, D$26),""),"")</f>
        <v/>
      </c>
      <c r="E149" s="302" t="str">
        <f aca="false">IFERROR(IF(E$21*E$22*E$24*E$25*E26&gt;0,AVERAGE(E$21, E$22, E$24, E$25, E$26),""),"")</f>
        <v/>
      </c>
      <c r="F149" s="302" t="str">
        <f aca="false">IFERROR(IF(F$21*F$22*F$24*F$25*F26&gt;0,AVERAGE(F$21, F$22, F$24, F$25, F$26),""),"")</f>
        <v/>
      </c>
      <c r="G149" s="302" t="str">
        <f aca="false">IFERROR(IF(G$21*G$22*G$24*G$25*G26&gt;0,AVERAGE(G$21, G$22, G$24, G$25, G$26),""),"")</f>
        <v/>
      </c>
      <c r="H149" s="302" t="str">
        <f aca="false">IFERROR(IF(H$21*H$22*H$24*H$25*H26&gt;0,AVERAGE(H$21, H$22, H$24, H$25, H$26),""),"")</f>
        <v/>
      </c>
      <c r="I149" s="302" t="str">
        <f aca="false">IFERROR(IF(I$21*I$22*I$24*I$25*I26&gt;0,AVERAGE(I$21, I$22, I$24, I$25, I$26),""),"")</f>
        <v/>
      </c>
      <c r="J149" s="302" t="str">
        <f aca="false">IFERROR(IF(J$21*J$22*J$24*J$25*J26&gt;0,AVERAGE(J$21, J$22, J$24, J$25, J$26),""),"")</f>
        <v/>
      </c>
      <c r="K149" s="302" t="str">
        <f aca="false">IFERROR(IF(K$21*K$22*K$24*K$25*K26&gt;0,AVERAGE(K$21, K$22, K$24, K$25, K$26),""),"")</f>
        <v/>
      </c>
      <c r="L149" s="302" t="str">
        <f aca="false">IFERROR(IF(L$21*L$22*L$24*L$25*L26&gt;0,AVERAGE(L$21, L$22, L$24, L$25, L$26),""),"")</f>
        <v/>
      </c>
      <c r="M149" s="302" t="str">
        <f aca="false">IFERROR(IF(M$21*M$22*M$24*M$25*M26&gt;0,AVERAGE(M$21, M$22, M$24, M$25, M$26),""),"")</f>
        <v/>
      </c>
      <c r="N149" s="302" t="str">
        <f aca="false">IFERROR(IF(N$21*N$22*N$24*N$25*N26&gt;0,AVERAGE(N$21, N$22, N$24, N$25, N$26),""),"")</f>
        <v/>
      </c>
      <c r="O149" s="282"/>
      <c r="P149" s="282"/>
      <c r="Q149" s="296"/>
      <c r="R149" s="293" t="s">
        <v>591</v>
      </c>
      <c r="S149" s="294" t="str">
        <f aca="false">IFERROR(IF(C$21*C$22*C$24*C$25*C26&gt;0,STDEV(C$21, C$22, C$24, C$25, C$26),"")/IF(C$21*C$22*C$24*C$25*C26&gt;0,AVERAGE(C$21, C$22, C$24, C$25, C$26),""),"")</f>
        <v/>
      </c>
      <c r="T149" s="294" t="str">
        <f aca="false">IFERROR(IF(D$21*D$22*D$24*D$25*D26&gt;0,STDEV(D$21, D$22, D$24, D$25, D$26),"")/IF(D$21*D$22*D$24*D$25*D26&gt;0,AVERAGE(D$21, D$22, D$24, D$25, D$26),""),"")</f>
        <v/>
      </c>
      <c r="U149" s="294" t="str">
        <f aca="false">IFERROR(IF(E$21*E$22*E$24*E$25*E26&gt;0,STDEV(E$21, E$22, E$24, E$25, E$26),"")/IF(E$21*E$22*E$24*E$25*E26&gt;0,AVERAGE(E$21, E$22, E$24, E$25, E$26),""),"")</f>
        <v/>
      </c>
      <c r="V149" s="294" t="str">
        <f aca="false">IFERROR(IF(F$21*F$22*F$24*F$25*F26&gt;0,STDEV(F$21, F$22, F$24, F$25, F$26),"")/IF(F$21*F$22*F$24*F$25*F26&gt;0,AVERAGE(F$21, F$22, F$24, F$25, F$26),""),"")</f>
        <v/>
      </c>
      <c r="W149" s="294" t="str">
        <f aca="false">IFERROR(IF(G$21*G$22*G$24*G$25*G26&gt;0,STDEV(G$21, G$22, G$24, G$25, G$26),"")/IF(G$21*G$22*G$24*G$25*G26&gt;0,AVERAGE(G$21, G$22, G$24, G$25, G$26),""),"")</f>
        <v/>
      </c>
      <c r="X149" s="294" t="str">
        <f aca="false">IFERROR(IF(H$21*H$22*H$24*H$25*H26&gt;0,STDEV(H$21, H$22, H$24, H$25, H$26),"")/IF(H$21*H$22*H$24*H$25*H26&gt;0,AVERAGE(H$21, H$22, H$24, H$25, H$26),""),"")</f>
        <v/>
      </c>
      <c r="Y149" s="294" t="str">
        <f aca="false">IFERROR(IF(I$21*I$22*I$24*I$25*I26&gt;0,STDEV(I$21, I$22, I$24, I$25, I$26),"")/IF(I$21*I$22*I$24*I$25*I26&gt;0,AVERAGE(I$21, I$22, I$24, I$25, I$26),""),"")</f>
        <v/>
      </c>
      <c r="Z149" s="294" t="str">
        <f aca="false">IFERROR(IF(J$21*J$22*J$24*J$25*J26&gt;0,STDEV(J$21, J$22, J$24, J$25, J$26),"")/IF(J$21*J$22*J$24*J$25*J26&gt;0,AVERAGE(J$21, J$22, J$24, J$25, J$26),""),"")</f>
        <v/>
      </c>
      <c r="AA149" s="294" t="str">
        <f aca="false">IFERROR(IF(K$21*K$22*K$24*K$25*K26&gt;0,STDEV(K$21, K$22, K$24, K$25, K$26),"")/IF(K$21*K$22*K$24*K$25*K26&gt;0,AVERAGE(K$21, K$22, K$24, K$25, K$26),""),"")</f>
        <v/>
      </c>
      <c r="AB149" s="294" t="str">
        <f aca="false">IFERROR(IF(L$21*L$22*L$24*L$25*L26&gt;0,STDEV(L$21, L$22, L$24, L$25, L$26),"")/IF(L$21*L$22*L$24*L$25*L26&gt;0,AVERAGE(L$21, L$22, L$24, L$25, L$26),""),"")</f>
        <v/>
      </c>
      <c r="AC149" s="294" t="str">
        <f aca="false">IFERROR(IF(M$21*M$22*M$24*M$25*M26&gt;0,STDEV(M$21, M$22, M$24, M$25, M$26),"")/IF(M$21*M$22*M$24*M$25*M26&gt;0,AVERAGE(M$21, M$22, M$24, M$25, M$26),""),"")</f>
        <v/>
      </c>
      <c r="AD149" s="294" t="str">
        <f aca="false">IFERROR(IF(N$21*N$22*N$24*N$25*N26&gt;0,STDEV(N$21, N$22, N$24, N$25, N$26),"")/IF(N$21*N$22*N$24*N$25*N26&gt;0,AVERAGE(N$21, N$22, N$24, N$25, N$26),""),"")</f>
        <v/>
      </c>
      <c r="AE149" s="44"/>
      <c r="AF149" s="266" t="s">
        <v>592</v>
      </c>
      <c r="AG149" s="287" t="str">
        <f aca="false">IFERROR(IF(C$21*C$22*C$24*C$25*C26&gt;0,STDEV(C$21, C$22, C$24, C$25, C$26)," ")/IF(C$21*C$22*C$24*C$25*C26&gt;0,SQRT(COUNT(C$21, C$22, C$24, C$25, C$26))," "),"")</f>
        <v/>
      </c>
      <c r="AH149" s="287" t="str">
        <f aca="false">IFERROR(IF(D$21*D$22*D$24*D$25*D26&gt;0,STDEV(D$21, D$22, D$24, D$25, D$26)," ")/IF(D$21*D$22*D$24*D$25*D26&gt;0,SQRT(COUNT(D$21, D$22, D$24, D$25, D$26))," "),"")</f>
        <v/>
      </c>
      <c r="AI149" s="287" t="str">
        <f aca="false">IFERROR(IF(E$21*E$22*E$24*E$25*E26&gt;0,STDEV(E$21, E$22, E$24, E$25, E$26)," ")/IF(E$21*E$22*E$24*E$25*E26&gt;0,SQRT(COUNT(E$21, E$22, E$24, E$25, E$26))," "),"")</f>
        <v/>
      </c>
      <c r="AJ149" s="287" t="str">
        <f aca="false">IFERROR(IF(F$21*F$22*F$24*F$25*F26&gt;0,STDEV(F$21, F$22, F$24, F$25, F$26)," ")/IF(F$21*F$22*F$24*F$25*F26&gt;0,SQRT(COUNT(F$21, F$22, F$24, F$25, F$26))," "),"")</f>
        <v/>
      </c>
      <c r="AK149" s="287" t="str">
        <f aca="false">IFERROR(IF(G$21*G$22*G$24*G$25*G26&gt;0,STDEV(G$21, G$22, G$24, G$25, G$26)," ")/IF(G$21*G$22*G$24*G$25*G26&gt;0,SQRT(COUNT(G$21, G$22, G$24, G$25, G$26))," "),"")</f>
        <v/>
      </c>
      <c r="AL149" s="287" t="str">
        <f aca="false">IFERROR(IF(H$21*H$22*H$24*H$25*H26&gt;0,STDEV(H$21, H$22, H$24, H$25, H$26)," ")/IF(H$21*H$22*H$24*H$25*H26&gt;0,SQRT(COUNT(H$21, H$22, H$24, H$25, H$26))," "),"")</f>
        <v/>
      </c>
      <c r="AM149" s="287" t="str">
        <f aca="false">IFERROR(IF(I$21*I$22*I$24*I$25*I26&gt;0,STDEV(I$21, I$22, I$24, I$25, I$26)," ")/IF(I$21*I$22*I$24*I$25*I26&gt;0,SQRT(COUNT(I$21, I$22, I$24, I$25, I$26))," "),"")</f>
        <v/>
      </c>
      <c r="AN149" s="287" t="str">
        <f aca="false">IFERROR(IF(J$21*J$22*J$24*J$25*J26&gt;0,STDEV(J$21, J$22, J$24, J$25, J$26)," ")/IF(J$21*J$22*J$24*J$25*J26&gt;0,SQRT(COUNT(J$21, J$22, J$24, J$25, J$26))," "),"")</f>
        <v/>
      </c>
      <c r="AO149" s="287" t="str">
        <f aca="false">IFERROR(IF(K$21*K$22*K$24*K$25*K26&gt;0,STDEV(K$21, K$22, K$24, K$25, K$26)," ")/IF(K$21*K$22*K$24*K$25*K26&gt;0,SQRT(COUNT(K$21, K$22, K$24, K$25, K$26))," "),"")</f>
        <v/>
      </c>
      <c r="AP149" s="287" t="str">
        <f aca="false">IFERROR(IF(L$21*L$22*L$24*L$25*L26&gt;0,STDEV(L$21, L$22, L$24, L$25, L$26)," ")/IF(L$21*L$22*L$24*L$25*L26&gt;0,SQRT(COUNT(L$21, L$22, L$24, L$25, L$26))," "),"")</f>
        <v/>
      </c>
      <c r="AQ149" s="287" t="str">
        <f aca="false">IFERROR(IF(M$21*M$22*M$24*M$25*M26&gt;0,STDEV(M$21, M$22, M$24, M$25, M$26)," ")/IF(M$21*M$22*M$24*M$25*M26&gt;0,SQRT(COUNT(M$21, M$22, M$24, M$25, M$26))," "),"")</f>
        <v/>
      </c>
      <c r="AR149" s="287" t="str">
        <f aca="false">IFERROR(IF(N$21*N$22*N$24*N$25*N26&gt;0,STDEV(N$21, N$22, N$24, N$25, N$26)," ")/IF(N$21*N$22*N$24*N$25*N26&gt;0,SQRT(COUNT(N$21, N$22, N$24, N$25, N$26))," "),"")</f>
        <v/>
      </c>
    </row>
    <row r="150" customFormat="false" ht="15.75" hidden="false" customHeight="false" outlineLevel="0" collapsed="false">
      <c r="A150" s="290" t="s">
        <v>593</v>
      </c>
      <c r="B150" s="281"/>
      <c r="C150" s="302" t="str">
        <f aca="false">IFERROR(IF(C$21*C$22*C$23*C$25*C$26&gt;0,AVERAGE(C$21, C$22, C$23, C$25, C$26),""),"")</f>
        <v/>
      </c>
      <c r="D150" s="302" t="str">
        <f aca="false">IFERROR(IF(D$21*D$22*D$23*D$25*D$26&gt;0,AVERAGE(D$21, D$22, D$23, D$25, D$26),""),"")</f>
        <v/>
      </c>
      <c r="E150" s="302" t="str">
        <f aca="false">IFERROR(IF(E$21*E$22*E$23*E$25*E$26&gt;0,AVERAGE(E$21, E$22, E$23, E$25, E$26),""),"")</f>
        <v/>
      </c>
      <c r="F150" s="302" t="str">
        <f aca="false">IFERROR(IF(F$21*F$22*F$23*F$25*F$26&gt;0,AVERAGE(F$21, F$22, F$23, F$25, F$26),""),"")</f>
        <v/>
      </c>
      <c r="G150" s="302" t="str">
        <f aca="false">IFERROR(IF(G$21*G$22*G$23*G$25*G$26&gt;0,AVERAGE(G$21, G$22, G$23, G$25, G$26),""),"")</f>
        <v/>
      </c>
      <c r="H150" s="302" t="str">
        <f aca="false">IFERROR(IF(H$21*H$22*H$23*H$25*H$26&gt;0,AVERAGE(H$21, H$22, H$23, H$25, H$26),""),"")</f>
        <v/>
      </c>
      <c r="I150" s="302" t="str">
        <f aca="false">IFERROR(IF(I$21*I$22*I$23*I$25*I$26&gt;0,AVERAGE(I$21, I$22, I$23, I$25, I$26),""),"")</f>
        <v/>
      </c>
      <c r="J150" s="302" t="str">
        <f aca="false">IFERROR(IF(J$21*J$22*J$23*J$25*J$26&gt;0,AVERAGE(J$21, J$22, J$23, J$25, J$26),""),"")</f>
        <v/>
      </c>
      <c r="K150" s="302" t="str">
        <f aca="false">IFERROR(IF(K$21*K$22*K$23*K$25*K$26&gt;0,AVERAGE(K$21, K$22, K$23, K$25, K$26),""),"")</f>
        <v/>
      </c>
      <c r="L150" s="302" t="str">
        <f aca="false">IFERROR(IF(L$21*L$22*L$23*L$25*L$26&gt;0,AVERAGE(L$21, L$22, L$23, L$25, L$26),""),"")</f>
        <v/>
      </c>
      <c r="M150" s="302" t="str">
        <f aca="false">IFERROR(IF(M$21*M$22*M$23*M$25*M$26&gt;0,AVERAGE(M$21, M$22, M$23, M$25, M$26),""),"")</f>
        <v/>
      </c>
      <c r="N150" s="302" t="str">
        <f aca="false">IFERROR(IF(N$21*N$22*N$23*N$25*N$26&gt;0,AVERAGE(N$21, N$22, N$23, N$25, N$26),""),"")</f>
        <v/>
      </c>
      <c r="O150" s="282"/>
      <c r="P150" s="282"/>
      <c r="Q150" s="296"/>
      <c r="R150" s="293" t="s">
        <v>594</v>
      </c>
      <c r="S150" s="294" t="str">
        <f aca="false">IFERROR(IF(C$21*C$22*C$23*C$25*C$26&gt;0,STDEV(C$21, C$22, C$23, C$25, C$26),"")/IF(C$21*C$22*C$23*C$25*C$26&gt;0,AVERAGE(C$21, C$22, C$23, C$25, C$26),""),"")</f>
        <v/>
      </c>
      <c r="T150" s="294" t="str">
        <f aca="false">IFERROR(IF(D$21*D$22*D$23*D$25*D$26&gt;0,STDEV(D$21, D$22, D$23, D$25, D$26),"")/IF(D$21*D$22*D$23*D$25*D$26&gt;0,AVERAGE(D$21, D$22, D$23, D$25, D$26),""),"")</f>
        <v/>
      </c>
      <c r="U150" s="294" t="str">
        <f aca="false">IFERROR(IF(E$21*E$22*E$23*E$25*E$26&gt;0,STDEV(E$21, E$22, E$23, E$25, E$26),"")/IF(E$21*E$22*E$23*E$25*E$26&gt;0,AVERAGE(E$21, E$22, E$23, E$25, E$26),""),"")</f>
        <v/>
      </c>
      <c r="V150" s="294" t="str">
        <f aca="false">IFERROR(IF(F$21*F$22*F$23*F$25*F$26&gt;0,STDEV(F$21, F$22, F$23, F$25, F$26),"")/IF(F$21*F$22*F$23*F$25*F$26&gt;0,AVERAGE(F$21, F$22, F$23, F$25, F$26),""),"")</f>
        <v/>
      </c>
      <c r="W150" s="294" t="str">
        <f aca="false">IFERROR(IF(G$21*G$22*G$23*G$25*G$26&gt;0,STDEV(G$21, G$22, G$23, G$25, G$26),"")/IF(G$21*G$22*G$23*G$25*G$26&gt;0,AVERAGE(G$21, G$22, G$23, G$25, G$26),""),"")</f>
        <v/>
      </c>
      <c r="X150" s="294" t="str">
        <f aca="false">IFERROR(IF(H$21*H$22*H$23*H$25*H$26&gt;0,STDEV(H$21, H$22, H$23, H$25, H$26),"")/IF(H$21*H$22*H$23*H$25*H$26&gt;0,AVERAGE(H$21, H$22, H$23, H$25, H$26),""),"")</f>
        <v/>
      </c>
      <c r="Y150" s="294" t="str">
        <f aca="false">IFERROR(IF(I$21*I$22*I$23*I$25*I$26&gt;0,STDEV(I$21, I$22, I$23, I$25, I$26),"")/IF(I$21*I$22*I$23*I$25*I$26&gt;0,AVERAGE(I$21, I$22, I$23, I$25, I$26),""),"")</f>
        <v/>
      </c>
      <c r="Z150" s="294" t="str">
        <f aca="false">IFERROR(IF(J$21*J$22*J$23*J$25*J$26&gt;0,STDEV(J$21, J$22, J$23, J$25, J$26),"")/IF(J$21*J$22*J$23*J$25*J$26&gt;0,AVERAGE(J$21, J$22, J$23, J$25, J$26),""),"")</f>
        <v/>
      </c>
      <c r="AA150" s="294" t="str">
        <f aca="false">IFERROR(IF(K$21*K$22*K$23*K$25*K$26&gt;0,STDEV(K$21, K$22, K$23, K$25, K$26),"")/IF(K$21*K$22*K$23*K$25*K$26&gt;0,AVERAGE(K$21, K$22, K$23, K$25, K$26),""),"")</f>
        <v/>
      </c>
      <c r="AB150" s="294" t="str">
        <f aca="false">IFERROR(IF(L$21*L$22*L$23*L$25*L$26&gt;0,STDEV(L$21, L$22, L$23, L$25, L$26),"")/IF(L$21*L$22*L$23*L$25*L$26&gt;0,AVERAGE(L$21, L$22, L$23, L$25, L$26),""),"")</f>
        <v/>
      </c>
      <c r="AC150" s="294" t="str">
        <f aca="false">IFERROR(IF(M$21*M$22*M$23*M$25*M$26&gt;0,STDEV(M$21, M$22, M$23, M$25, M$26),"")/IF(M$21*M$22*M$23*M$25*M$26&gt;0,AVERAGE(M$21, M$22, M$23, M$25, M$26),""),"")</f>
        <v/>
      </c>
      <c r="AD150" s="294" t="str">
        <f aca="false">IFERROR(IF(N$21*N$22*N$23*N$25*N$26&gt;0,STDEV(N$21, N$22, N$23, N$25, N$26),"")/IF(N$21*N$22*N$23*N$25*N$26&gt;0,AVERAGE(N$21, N$22, N$23, N$25, N$26),""),"")</f>
        <v/>
      </c>
      <c r="AE150" s="44"/>
      <c r="AF150" s="266" t="s">
        <v>595</v>
      </c>
      <c r="AG150" s="287" t="str">
        <f aca="false">IFERROR(IF(C$21*C$22*C$23*C$25*C$26&gt;0,STDEV(C$21, C$22, C$23, C$25, C$26)," ")/IF(C$21*C$22*C$23*C$25*C$26&gt;0,SQRT(COUNT(C$21, C$22, C$23, C$25, C$26))," "),"")</f>
        <v/>
      </c>
      <c r="AH150" s="287" t="str">
        <f aca="false">IFERROR(IF(D$21*D$22*D$23*D$25*D$26&gt;0,STDEV(D$21, D$22, D$23, D$25, D$26)," ")/IF(D$21*D$22*D$23*D$25*D$26&gt;0,SQRT(COUNT(D$21, D$22, D$23, D$25, D$26))," "),"")</f>
        <v/>
      </c>
      <c r="AI150" s="287" t="str">
        <f aca="false">IFERROR(IF(E$21*E$22*E$23*E$25*E$26&gt;0,STDEV(E$21, E$22, E$23, E$25, E$26)," ")/IF(E$21*E$22*E$23*E$25*E$26&gt;0,SQRT(COUNT(E$21, E$22, E$23, E$25, E$26))," "),"")</f>
        <v/>
      </c>
      <c r="AJ150" s="287" t="str">
        <f aca="false">IFERROR(IF(F$21*F$22*F$23*F$25*F$26&gt;0,STDEV(F$21, F$22, F$23, F$25, F$26)," ")/IF(F$21*F$22*F$23*F$25*F$26&gt;0,SQRT(COUNT(F$21, F$22, F$23, F$25, F$26))," "),"")</f>
        <v/>
      </c>
      <c r="AK150" s="287" t="str">
        <f aca="false">IFERROR(IF(G$21*G$22*G$23*G$25*G$26&gt;0,STDEV(G$21, G$22, G$23, G$25, G$26)," ")/IF(G$21*G$22*G$23*G$25*G$26&gt;0,SQRT(COUNT(G$21, G$22, G$23, G$25, G$26))," "),"")</f>
        <v/>
      </c>
      <c r="AL150" s="287" t="str">
        <f aca="false">IFERROR(IF(H$21*H$22*H$23*H$25*H$26&gt;0,STDEV(H$21, H$22, H$23, H$25, H$26)," ")/IF(H$21*H$22*H$23*H$25*H$26&gt;0,SQRT(COUNT(H$21, H$22, H$23, H$25, H$26))," "),"")</f>
        <v/>
      </c>
      <c r="AM150" s="287" t="str">
        <f aca="false">IFERROR(IF(I$21*I$22*I$23*I$25*I$26&gt;0,STDEV(I$21, I$22, I$23, I$25, I$26)," ")/IF(I$21*I$22*I$23*I$25*I$26&gt;0,SQRT(COUNT(I$21, I$22, I$23, I$25, I$26))," "),"")</f>
        <v/>
      </c>
      <c r="AN150" s="287" t="str">
        <f aca="false">IFERROR(IF(J$21*J$22*J$23*J$25*J$26&gt;0,STDEV(J$21, J$22, J$23, J$25, J$26)," ")/IF(J$21*J$22*J$23*J$25*J$26&gt;0,SQRT(COUNT(J$21, J$22, J$23, J$25, J$26))," "),"")</f>
        <v/>
      </c>
      <c r="AO150" s="287" t="str">
        <f aca="false">IFERROR(IF(K$21*K$22*K$23*K$25*K$26&gt;0,STDEV(K$21, K$22, K$23, K$25, K$26)," ")/IF(K$21*K$22*K$23*K$25*K$26&gt;0,SQRT(COUNT(K$21, K$22, K$23, K$25, K$26))," "),"")</f>
        <v/>
      </c>
      <c r="AP150" s="287" t="str">
        <f aca="false">IFERROR(IF(L$21*L$22*L$23*L$25*L$26&gt;0,STDEV(L$21, L$22, L$23, L$25, L$26)," ")/IF(L$21*L$22*L$23*L$25*L$26&gt;0,SQRT(COUNT(L$21, L$22, L$23, L$25, L$26))," "),"")</f>
        <v/>
      </c>
      <c r="AQ150" s="287" t="str">
        <f aca="false">IFERROR(IF(M$21*M$22*M$23*M$25*M$26&gt;0,STDEV(M$21, M$22, M$23, M$25, M$26)," ")/IF(M$21*M$22*M$23*M$25*M$26&gt;0,SQRT(COUNT(M$21, M$22, M$23, M$25, M$26))," "),"")</f>
        <v/>
      </c>
      <c r="AR150" s="287" t="str">
        <f aca="false">IFERROR(IF(N$21*N$22*N$23*N$25*N$26&gt;0,STDEV(N$21, N$22, N$23, N$25, N$26)," ")/IF(N$21*N$22*N$23*N$25*N$26&gt;0,SQRT(COUNT(N$21, N$22, N$23, N$25, N$26))," "),"")</f>
        <v/>
      </c>
    </row>
    <row r="151" customFormat="false" ht="15.75" hidden="false" customHeight="false" outlineLevel="0" collapsed="false">
      <c r="A151" s="290" t="s">
        <v>596</v>
      </c>
      <c r="B151" s="281"/>
      <c r="C151" s="302" t="str">
        <f aca="false">IFERROR(IF(C$21*C$22*C$23*C$26*C$27&gt;0,AVERAGE(C$21, C$22, C$23, C$26, C$27),""),"")</f>
        <v/>
      </c>
      <c r="D151" s="302" t="str">
        <f aca="false">IFERROR(IF(D$21*D$22*D$23*D$26*D$27&gt;0,AVERAGE(D$21, D$22, D$23, D$26, D$27),""),"")</f>
        <v/>
      </c>
      <c r="E151" s="302" t="str">
        <f aca="false">IFERROR(IF(E$21*E$22*E$23*E$26*E$27&gt;0,AVERAGE(E$21, E$22, E$23, E$26, E$27),""),"")</f>
        <v/>
      </c>
      <c r="F151" s="302" t="str">
        <f aca="false">IFERROR(IF(F$21*F$22*F$23*F$26*F$27&gt;0,AVERAGE(F$21, F$22, F$23, F$26, F$27),""),"")</f>
        <v/>
      </c>
      <c r="G151" s="302" t="str">
        <f aca="false">IFERROR(IF(G$21*G$22*G$23*G$26*G$27&gt;0,AVERAGE(G$21, G$22, G$23, G$26, G$27),""),"")</f>
        <v/>
      </c>
      <c r="H151" s="302" t="str">
        <f aca="false">IFERROR(IF(H$21*H$22*H$23*H$26*H$27&gt;0,AVERAGE(H$21, H$22, H$23, H$26, H$27),""),"")</f>
        <v/>
      </c>
      <c r="I151" s="302" t="str">
        <f aca="false">IFERROR(IF(I$21*I$22*I$23*I$26*I$27&gt;0,AVERAGE(I$21, I$22, I$23, I$26, I$27),""),"")</f>
        <v/>
      </c>
      <c r="J151" s="302" t="str">
        <f aca="false">IFERROR(IF(J$21*J$22*J$23*J$26*J$27&gt;0,AVERAGE(J$21, J$22, J$23, J$26, J$27),""),"")</f>
        <v/>
      </c>
      <c r="K151" s="302" t="str">
        <f aca="false">IFERROR(IF(K$21*K$22*K$23*K$26*K$27&gt;0,AVERAGE(K$21, K$22, K$23, K$26, K$27),""),"")</f>
        <v/>
      </c>
      <c r="L151" s="302" t="str">
        <f aca="false">IFERROR(IF(L$21*L$22*L$23*L$26*L$27&gt;0,AVERAGE(L$21, L$22, L$23, L$26, L$27),""),"")</f>
        <v/>
      </c>
      <c r="M151" s="302" t="str">
        <f aca="false">IFERROR(IF(M$21*M$22*M$23*M$26*M$27&gt;0,AVERAGE(M$21, M$22, M$23, M$26, M$27),""),"")</f>
        <v/>
      </c>
      <c r="N151" s="302" t="str">
        <f aca="false">IFERROR(IF(N$21*N$22*N$23*N$26*N$27&gt;0,AVERAGE(N$21, N$22, N$23, N$26, N$27),""),"")</f>
        <v/>
      </c>
      <c r="O151" s="282"/>
      <c r="P151" s="282"/>
      <c r="Q151" s="296"/>
      <c r="R151" s="293" t="s">
        <v>597</v>
      </c>
      <c r="S151" s="294" t="str">
        <f aca="false">IFERROR(IF(C$21*C$22*C$23*C$26*C$27&gt;0,STDEV(C$21, C$22, C$23, C$26, C$27),"")/IF(C$21*C$22*C$23*C$26*C$27&gt;0,AVERAGE(C$21, C$22, C$23, C$26, C$27),""),"")</f>
        <v/>
      </c>
      <c r="T151" s="294" t="str">
        <f aca="false">IFERROR(IF(D$21*D$22*D$23*D$26*D$27&gt;0,STDEV(D$21, D$22, D$23, D$26, D$27),"")/IF(D$21*D$22*D$23*D$26*D$27&gt;0,AVERAGE(D$21, D$22, D$23, D$26, D$27),""),"")</f>
        <v/>
      </c>
      <c r="U151" s="294" t="str">
        <f aca="false">IFERROR(IF(E$21*E$22*E$23*E$26*E$27&gt;0,STDEV(E$21, E$22, E$23, E$26, E$27),"")/IF(E$21*E$22*E$23*E$26*E$27&gt;0,AVERAGE(E$21, E$22, E$23, E$26, E$27),""),"")</f>
        <v/>
      </c>
      <c r="V151" s="294" t="str">
        <f aca="false">IFERROR(IF(F$21*F$22*F$23*F$26*F$27&gt;0,STDEV(F$21, F$22, F$23, F$26, F$27),"")/IF(F$21*F$22*F$23*F$26*F$27&gt;0,AVERAGE(F$21, F$22, F$23, F$26, F$27),""),"")</f>
        <v/>
      </c>
      <c r="W151" s="294" t="str">
        <f aca="false">IFERROR(IF(G$21*G$22*G$23*G$26*G$27&gt;0,STDEV(G$21, G$22, G$23, G$26, G$27),"")/IF(G$21*G$22*G$23*G$26*G$27&gt;0,AVERAGE(G$21, G$22, G$23, G$26, G$27),""),"")</f>
        <v/>
      </c>
      <c r="X151" s="294" t="str">
        <f aca="false">IFERROR(IF(H$21*H$22*H$23*H$26*H$27&gt;0,STDEV(H$21, H$22, H$23, H$26, H$27),"")/IF(H$21*H$22*H$23*H$26*H$27&gt;0,AVERAGE(H$21, H$22, H$23, H$26, H$27),""),"")</f>
        <v/>
      </c>
      <c r="Y151" s="294" t="str">
        <f aca="false">IFERROR(IF(I$21*I$22*I$23*I$26*I$27&gt;0,STDEV(I$21, I$22, I$23, I$26, I$27),"")/IF(I$21*I$22*I$23*I$26*I$27&gt;0,AVERAGE(I$21, I$22, I$23, I$26, I$27),""),"")</f>
        <v/>
      </c>
      <c r="Z151" s="294" t="str">
        <f aca="false">IFERROR(IF(J$21*J$22*J$23*J$26*J$27&gt;0,STDEV(J$21, J$22, J$23, J$26, J$27),"")/IF(J$21*J$22*J$23*J$26*J$27&gt;0,AVERAGE(J$21, J$22, J$23, J$26, J$27),""),"")</f>
        <v/>
      </c>
      <c r="AA151" s="294" t="str">
        <f aca="false">IFERROR(IF(K$21*K$22*K$23*K$26*K$27&gt;0,STDEV(K$21, K$22, K$23, K$26, K$27),"")/IF(K$21*K$22*K$23*K$26*K$27&gt;0,AVERAGE(K$21, K$22, K$23, K$26, K$27),""),"")</f>
        <v/>
      </c>
      <c r="AB151" s="294" t="str">
        <f aca="false">IFERROR(IF(L$21*L$22*L$23*L$26*L$27&gt;0,STDEV(L$21, L$22, L$23, L$26, L$27),"")/IF(L$21*L$22*L$23*L$26*L$27&gt;0,AVERAGE(L$21, L$22, L$23, L$26, L$27),""),"")</f>
        <v/>
      </c>
      <c r="AC151" s="294" t="str">
        <f aca="false">IFERROR(IF(M$21*M$22*M$23*M$26*M$27&gt;0,STDEV(M$21, M$22, M$23, M$26, M$27),"")/IF(M$21*M$22*M$23*M$26*M$27&gt;0,AVERAGE(M$21, M$22, M$23, M$26, M$27),""),"")</f>
        <v/>
      </c>
      <c r="AD151" s="294" t="str">
        <f aca="false">IFERROR(IF(N$21*N$22*N$23*N$26*N$27&gt;0,STDEV(N$21, N$22, N$23, N$26, N$27),"")/IF(N$21*N$22*N$23*N$26*N$27&gt;0,AVERAGE(N$21, N$22, N$23, N$26, N$27),""),"")</f>
        <v/>
      </c>
      <c r="AE151" s="44"/>
      <c r="AF151" s="266" t="s">
        <v>598</v>
      </c>
      <c r="AG151" s="287" t="str">
        <f aca="false">IFERROR(IF(C$21*C$22*C$23*C$26*C$27&gt;0,STDEV(C$21, C$22, C$23, C$26, C$27)," ")/IF(C$21*C$22*C$23*C$26*C$27&gt;0,SQRT(COUNT(C$21, C$22, C$23, C$26, C$27))," "),"")</f>
        <v/>
      </c>
      <c r="AH151" s="287" t="str">
        <f aca="false">IFERROR(IF(D$21*D$22*D$23*D$26*D$27&gt;0,STDEV(D$21, D$22, D$23, D$26, D$27)," ")/IF(D$21*D$22*D$23*D$26*D$27&gt;0,SQRT(COUNT(D$21, D$22, D$23, D$26, D$27))," "),"")</f>
        <v/>
      </c>
      <c r="AI151" s="287" t="str">
        <f aca="false">IFERROR(IF(E$21*E$22*E$23*E$26*E$27&gt;0,STDEV(E$21, E$22, E$23, E$26, E$27)," ")/IF(E$21*E$22*E$23*E$26*E$27&gt;0,SQRT(COUNT(E$21, E$22, E$23, E$26, E$27))," "),"")</f>
        <v/>
      </c>
      <c r="AJ151" s="287" t="str">
        <f aca="false">IFERROR(IF(F$21*F$22*F$23*F$26*F$27&gt;0,STDEV(F$21, F$22, F$23, F$26, F$27)," ")/IF(F$21*F$22*F$23*F$26*F$27&gt;0,SQRT(COUNT(F$21, F$22, F$23, F$26, F$27))," "),"")</f>
        <v/>
      </c>
      <c r="AK151" s="287" t="str">
        <f aca="false">IFERROR(IF(G$21*G$22*G$23*G$26*G$27&gt;0,STDEV(G$21, G$22, G$23, G$26, G$27)," ")/IF(G$21*G$22*G$23*G$26*G$27&gt;0,SQRT(COUNT(G$21, G$22, G$23, G$26, G$27))," "),"")</f>
        <v/>
      </c>
      <c r="AL151" s="287" t="str">
        <f aca="false">IFERROR(IF(H$21*H$22*H$23*H$26*H$27&gt;0,STDEV(H$21, H$22, H$23, H$26, H$27)," ")/IF(H$21*H$22*H$23*H$26*H$27&gt;0,SQRT(COUNT(H$21, H$22, H$23, H$26, H$27))," "),"")</f>
        <v/>
      </c>
      <c r="AM151" s="287" t="str">
        <f aca="false">IFERROR(IF(I$21*I$22*I$23*I$26*I$27&gt;0,STDEV(I$21, I$22, I$23, I$26, I$27)," ")/IF(I$21*I$22*I$23*I$26*I$27&gt;0,SQRT(COUNT(I$21, I$22, I$23, I$26, I$27))," "),"")</f>
        <v/>
      </c>
      <c r="AN151" s="287" t="str">
        <f aca="false">IFERROR(IF(J$21*J$22*J$23*J$26*J$27&gt;0,STDEV(J$21, J$22, J$23, J$26, J$27)," ")/IF(J$21*J$22*J$23*J$26*J$27&gt;0,SQRT(COUNT(J$21, J$22, J$23, J$26, J$27))," "),"")</f>
        <v/>
      </c>
      <c r="AO151" s="287" t="str">
        <f aca="false">IFERROR(IF(K$21*K$22*K$23*K$26*K$27&gt;0,STDEV(K$21, K$22, K$23, K$26, K$27)," ")/IF(K$21*K$22*K$23*K$26*K$27&gt;0,SQRT(COUNT(K$21, K$22, K$23, K$26, K$27))," "),"")</f>
        <v/>
      </c>
      <c r="AP151" s="287" t="str">
        <f aca="false">IFERROR(IF(L$21*L$22*L$23*L$26*L$27&gt;0,STDEV(L$21, L$22, L$23, L$26, L$27)," ")/IF(L$21*L$22*L$23*L$26*L$27&gt;0,SQRT(COUNT(L$21, L$22, L$23, L$26, L$27))," "),"")</f>
        <v/>
      </c>
      <c r="AQ151" s="287" t="str">
        <f aca="false">IFERROR(IF(M$21*M$22*M$23*M$26*M$27&gt;0,STDEV(M$21, M$22, M$23, M$26, M$27)," ")/IF(M$21*M$22*M$23*M$26*M$27&gt;0,SQRT(COUNT(M$21, M$22, M$23, M$26, M$27))," "),"")</f>
        <v/>
      </c>
      <c r="AR151" s="287" t="str">
        <f aca="false">IFERROR(IF(N$21*N$22*N$23*N$26*N$27&gt;0,STDEV(N$21, N$22, N$23, N$26, N$27)," ")/IF(N$21*N$22*N$23*N$26*N$27&gt;0,SQRT(COUNT(N$21, N$22, N$23, N$26, N$27))," "),"")</f>
        <v/>
      </c>
    </row>
    <row r="152" customFormat="false" ht="15.75" hidden="false" customHeight="false" outlineLevel="0" collapsed="false">
      <c r="A152" s="242" t="s">
        <v>599</v>
      </c>
      <c r="B152" s="243"/>
      <c r="C152" s="262" t="str">
        <f aca="false">IFERROR(IF(C$21*C$22*C$23*C$25*C$27&gt;0,AVERAGE(C$21, C$22, C$23, C$25, C$27),""),"")</f>
        <v/>
      </c>
      <c r="D152" s="262" t="str">
        <f aca="false">IFERROR(IF(D$21*D$22*D$23*D$25*D$27&gt;0,AVERAGE(D$21, D$22, D$23, D$25, D$27),""),"")</f>
        <v/>
      </c>
      <c r="E152" s="262" t="str">
        <f aca="false">IFERROR(IF(E$21*E$22*E$23*E$25*E$27&gt;0,AVERAGE(E$21, E$22, E$23, E$25, E$27),""),"")</f>
        <v/>
      </c>
      <c r="F152" s="262" t="str">
        <f aca="false">IFERROR(IF(F$21*F$22*F$23*F$25*F$27&gt;0,AVERAGE(F$21, F$22, F$23, F$25, F$27),""),"")</f>
        <v/>
      </c>
      <c r="G152" s="262" t="str">
        <f aca="false">IFERROR(IF(G$21*G$22*G$23*G$25*G$27&gt;0,AVERAGE(G$21, G$22, G$23, G$25, G$27),""),"")</f>
        <v/>
      </c>
      <c r="H152" s="262" t="str">
        <f aca="false">IFERROR(IF(H$21*H$22*H$23*H$25*H$27&gt;0,AVERAGE(H$21, H$22, H$23, H$25, H$27),""),"")</f>
        <v/>
      </c>
      <c r="I152" s="262" t="str">
        <f aca="false">IFERROR(IF(I$21*I$22*I$23*I$25*I$27&gt;0,AVERAGE(I$21, I$22, I$23, I$25, I$27),""),"")</f>
        <v/>
      </c>
      <c r="J152" s="262" t="str">
        <f aca="false">IFERROR(IF(J$21*J$22*J$23*J$25*J$27&gt;0,AVERAGE(J$21, J$22, J$23, J$25, J$27),""),"")</f>
        <v/>
      </c>
      <c r="K152" s="262" t="str">
        <f aca="false">IFERROR(IF(K$21*K$22*K$23*K$25*K$27&gt;0,AVERAGE(K$21, K$22, K$23, K$25, K$27),""),"")</f>
        <v/>
      </c>
      <c r="L152" s="262" t="str">
        <f aca="false">IFERROR(IF(L$21*L$22*L$23*L$25*L$27&gt;0,AVERAGE(L$21, L$22, L$23, L$25, L$27),""),"")</f>
        <v/>
      </c>
      <c r="M152" s="262" t="str">
        <f aca="false">IFERROR(IF(M$21*M$22*M$23*M$25*M$27&gt;0,AVERAGE(M$21, M$22, M$23, M$25, M$27),""),"")</f>
        <v/>
      </c>
      <c r="N152" s="262" t="str">
        <f aca="false">IFERROR(IF(N$21*N$22*N$23*N$25*N$27&gt;0,AVERAGE(N$21, N$22, N$23, N$25, N$27),""),"")</f>
        <v/>
      </c>
      <c r="O152" s="245"/>
      <c r="P152" s="245"/>
      <c r="Q152" s="246"/>
      <c r="R152" s="247" t="s">
        <v>600</v>
      </c>
      <c r="S152" s="248" t="str">
        <f aca="false">IFERROR(IF(C$21*C$22*C$23*C$25*C$27&gt;0,STDEV(C$21, C$22, C$23, C$25, C$27),"")/IF(C$21*C$22*C$23*C$25*C$27&gt;0,AVERAGE(C$21, C$22, C$23, C$25, C$27),""),"")</f>
        <v/>
      </c>
      <c r="T152" s="248" t="str">
        <f aca="false">IFERROR(IF(D$21*D$22*D$23*D$25*D$27&gt;0,STDEV(D$21, D$22, D$23, D$25, D$27),"")/IF(D$21*D$22*D$23*D$25*D$27&gt;0,AVERAGE(D$21, D$22, D$23, D$25, D$27),""),"")</f>
        <v/>
      </c>
      <c r="U152" s="248" t="str">
        <f aca="false">IFERROR(IF(E$21*E$22*E$23*E$25*E$27&gt;0,STDEV(E$21, E$22, E$23, E$25, E$27),"")/IF(E$21*E$22*E$23*E$25*E$27&gt;0,AVERAGE(E$21, E$22, E$23, E$25, E$27),""),"")</f>
        <v/>
      </c>
      <c r="V152" s="248" t="str">
        <f aca="false">IFERROR(IF(F$21*F$22*F$23*F$25*F$27&gt;0,STDEV(F$21, F$22, F$23, F$25, F$27),"")/IF(F$21*F$22*F$23*F$25*F$27&gt;0,AVERAGE(F$21, F$22, F$23, F$25, F$27),""),"")</f>
        <v/>
      </c>
      <c r="W152" s="248" t="str">
        <f aca="false">IFERROR(IF(G$21*G$22*G$23*G$25*G$27&gt;0,STDEV(G$21, G$22, G$23, G$25, G$27),"")/IF(G$21*G$22*G$23*G$25*G$27&gt;0,AVERAGE(G$21, G$22, G$23, G$25, G$27),""),"")</f>
        <v/>
      </c>
      <c r="X152" s="248" t="str">
        <f aca="false">IFERROR(IF(H$21*H$22*H$23*H$25*H$27&gt;0,STDEV(H$21, H$22, H$23, H$25, H$27),"")/IF(H$21*H$22*H$23*H$25*H$27&gt;0,AVERAGE(H$21, H$22, H$23, H$25, H$27),""),"")</f>
        <v/>
      </c>
      <c r="Y152" s="248" t="str">
        <f aca="false">IFERROR(IF(I$21*I$22*I$23*I$25*I$27&gt;0,STDEV(I$21, I$22, I$23, I$25, I$27),"")/IF(I$21*I$22*I$23*I$25*I$27&gt;0,AVERAGE(I$21, I$22, I$23, I$25, I$27),""),"")</f>
        <v/>
      </c>
      <c r="Z152" s="248" t="str">
        <f aca="false">IFERROR(IF(J$21*J$22*J$23*J$25*J$27&gt;0,STDEV(J$21, J$22, J$23, J$25, J$27),"")/IF(J$21*J$22*J$23*J$25*J$27&gt;0,AVERAGE(J$21, J$22, J$23, J$25, J$27),""),"")</f>
        <v/>
      </c>
      <c r="AA152" s="248" t="str">
        <f aca="false">IFERROR(IF(K$21*K$22*K$23*K$25*K$27&gt;0,STDEV(K$21, K$22, K$23, K$25, K$27),"")/IF(K$21*K$22*K$23*K$25*K$27&gt;0,AVERAGE(K$21, K$22, K$23, K$25, K$27),""),"")</f>
        <v/>
      </c>
      <c r="AB152" s="248" t="str">
        <f aca="false">IFERROR(IF(L$21*L$22*L$23*L$25*L$27&gt;0,STDEV(L$21, L$22, L$23, L$25, L$27),"")/IF(L$21*L$22*L$23*L$25*L$27&gt;0,AVERAGE(L$21, L$22, L$23, L$25, L$27),""),"")</f>
        <v/>
      </c>
      <c r="AC152" s="248" t="str">
        <f aca="false">IFERROR(IF(M$21*M$22*M$23*M$25*M$27&gt;0,STDEV(M$21, M$22, M$23, M$25, M$27),"")/IF(M$21*M$22*M$23*M$25*M$27&gt;0,AVERAGE(M$21, M$22, M$23, M$25, M$27),""),"")</f>
        <v/>
      </c>
      <c r="AD152" s="248" t="str">
        <f aca="false">IFERROR(IF(N$21*N$22*N$23*N$25*N$27&gt;0,STDEV(N$21, N$22, N$23, N$25, N$27),"")/IF(N$21*N$22*N$23*N$25*N$27&gt;0,AVERAGE(N$21, N$22, N$23, N$25, N$27),""),"")</f>
        <v/>
      </c>
      <c r="AE152" s="300"/>
      <c r="AF152" s="250" t="s">
        <v>601</v>
      </c>
      <c r="AG152" s="251" t="str">
        <f aca="false">IFERROR(IF(C$21*C$22*C$23*C$25*C$27&gt;0,STDEV(C$21, C$22, C$23, C$25, C$27)," ")/IF(C$21*C$22*C$23*C$25*C$27&gt;0,SQRT(COUNT(C$21, C$22, C$23, C$25, C$27))," "),"")</f>
        <v/>
      </c>
      <c r="AH152" s="251" t="str">
        <f aca="false">IFERROR(IF(D$21*D$22*D$23*D$25*D$27&gt;0,STDEV(D$21, D$22, D$23, D$25, D$27)," ")/IF(D$21*D$22*D$23*D$25*D$27&gt;0,SQRT(COUNT(D$21, D$22, D$23, D$25, D$27))," "),"")</f>
        <v/>
      </c>
      <c r="AI152" s="251" t="str">
        <f aca="false">IFERROR(IF(E$21*E$22*E$23*E$25*E$27&gt;0,STDEV(E$21, E$22, E$23, E$25, E$27)," ")/IF(E$21*E$22*E$23*E$25*E$27&gt;0,SQRT(COUNT(E$21, E$22, E$23, E$25, E$27))," "),"")</f>
        <v/>
      </c>
      <c r="AJ152" s="251" t="str">
        <f aca="false">IFERROR(IF(F$21*F$22*F$23*F$25*F$27&gt;0,STDEV(F$21, F$22, F$23, F$25, F$27)," ")/IF(F$21*F$22*F$23*F$25*F$27&gt;0,SQRT(COUNT(F$21, F$22, F$23, F$25, F$27))," "),"")</f>
        <v/>
      </c>
      <c r="AK152" s="251" t="str">
        <f aca="false">IFERROR(IF(G$21*G$22*G$23*G$25*G$27&gt;0,STDEV(G$21, G$22, G$23, G$25, G$27)," ")/IF(G$21*G$22*G$23*G$25*G$27&gt;0,SQRT(COUNT(G$21, G$22, G$23, G$25, G$27))," "),"")</f>
        <v/>
      </c>
      <c r="AL152" s="251" t="str">
        <f aca="false">IFERROR(IF(H$21*H$22*H$23*H$25*H$27&gt;0,STDEV(H$21, H$22, H$23, H$25, H$27)," ")/IF(H$21*H$22*H$23*H$25*H$27&gt;0,SQRT(COUNT(H$21, H$22, H$23, H$25, H$27))," "),"")</f>
        <v/>
      </c>
      <c r="AM152" s="251" t="str">
        <f aca="false">IFERROR(IF(I$21*I$22*I$23*I$25*I$27&gt;0,STDEV(I$21, I$22, I$23, I$25, I$27)," ")/IF(I$21*I$22*I$23*I$25*I$27&gt;0,SQRT(COUNT(I$21, I$22, I$23, I$25, I$27))," "),"")</f>
        <v/>
      </c>
      <c r="AN152" s="251" t="str">
        <f aca="false">IFERROR(IF(J$21*J$22*J$23*J$25*J$27&gt;0,STDEV(J$21, J$22, J$23, J$25, J$27)," ")/IF(J$21*J$22*J$23*J$25*J$27&gt;0,SQRT(COUNT(J$21, J$22, J$23, J$25, J$27))," "),"")</f>
        <v/>
      </c>
      <c r="AO152" s="251" t="str">
        <f aca="false">IFERROR(IF(K$21*K$22*K$23*K$25*K$27&gt;0,STDEV(K$21, K$22, K$23, K$25, K$27)," ")/IF(K$21*K$22*K$23*K$25*K$27&gt;0,SQRT(COUNT(K$21, K$22, K$23, K$25, K$27))," "),"")</f>
        <v/>
      </c>
      <c r="AP152" s="251" t="str">
        <f aca="false">IFERROR(IF(L$21*L$22*L$23*L$25*L$27&gt;0,STDEV(L$21, L$22, L$23, L$25, L$27)," ")/IF(L$21*L$22*L$23*L$25*L$27&gt;0,SQRT(COUNT(L$21, L$22, L$23, L$25, L$27))," "),"")</f>
        <v/>
      </c>
      <c r="AQ152" s="251" t="str">
        <f aca="false">IFERROR(IF(M$21*M$22*M$23*M$25*M$27&gt;0,STDEV(M$21, M$22, M$23, M$25, M$27)," ")/IF(M$21*M$22*M$23*M$25*M$27&gt;0,SQRT(COUNT(M$21, M$22, M$23, M$25, M$27))," "),"")</f>
        <v/>
      </c>
      <c r="AR152" s="251" t="str">
        <f aca="false">IFERROR(IF(N$21*N$22*N$23*N$25*N$27&gt;0,STDEV(N$21, N$22, N$23, N$25, N$27)," ")/IF(N$21*N$22*N$23*N$25*N$27&gt;0,SQRT(COUNT(N$21, N$22, N$23, N$25, N$27))," "),"")</f>
        <v/>
      </c>
    </row>
    <row r="153" customFormat="false" ht="15.75" hidden="false" customHeight="false" outlineLevel="0" collapsed="false">
      <c r="A153" s="290" t="s">
        <v>602</v>
      </c>
      <c r="B153" s="281"/>
      <c r="C153" s="302" t="str">
        <f aca="false">IFERROR(IF(C$21*C$22*C$23*C$24*C$25*C$26&gt;0,AVERAGE(C$21:C$25,C$26),""),"")</f>
        <v/>
      </c>
      <c r="D153" s="302" t="str">
        <f aca="false">IFERROR(IF(D$21*D$22*D$23*D$24*D$25*D$26&gt;0,AVERAGE(D$21:D$25,D$26),""),"")</f>
        <v/>
      </c>
      <c r="E153" s="302" t="str">
        <f aca="false">IFERROR(IF(E$21*E$22*E$23*E$24*E$25*E$26&gt;0,AVERAGE(E$21:E$25,E$26),""),"")</f>
        <v/>
      </c>
      <c r="F153" s="302" t="str">
        <f aca="false">IFERROR(IF(F$21*F$22*F$23*F$24*F$25*F$26&gt;0,AVERAGE(F$21:F$25,F$26),""),"")</f>
        <v/>
      </c>
      <c r="G153" s="302" t="str">
        <f aca="false">IFERROR(IF(G$21*G$22*G$23*G$24*G$25*G$26&gt;0,AVERAGE(G$21:G$25,G$26),""),"")</f>
        <v/>
      </c>
      <c r="H153" s="302" t="str">
        <f aca="false">IFERROR(IF(H$21*H$22*H$23*H$24*H$25*H$26&gt;0,AVERAGE(H$21:H$25,H$26),""),"")</f>
        <v/>
      </c>
      <c r="I153" s="302" t="str">
        <f aca="false">IFERROR(IF(I$21*I$22*I$23*I$24*I$25*I$26&gt;0,AVERAGE(I$21:I$25,I$26),""),"")</f>
        <v/>
      </c>
      <c r="J153" s="302" t="str">
        <f aca="false">IFERROR(IF(J$21*J$22*J$23*J$24*J$25*J$26&gt;0,AVERAGE(J$21:J$25,J$26),""),"")</f>
        <v/>
      </c>
      <c r="K153" s="302" t="str">
        <f aca="false">IFERROR(IF(K$21*K$22*K$23*K$24*K$25*K$26&gt;0,AVERAGE(K$21:K$25,K$26),""),"")</f>
        <v/>
      </c>
      <c r="L153" s="302" t="str">
        <f aca="false">IFERROR(IF(L$21*L$22*L$23*L$24*L$25*L$26&gt;0,AVERAGE(L$21:L$25,L$26),""),"")</f>
        <v/>
      </c>
      <c r="M153" s="302" t="str">
        <f aca="false">IFERROR(IF(M$21*M$22*M$23*M$24*M$25*M$26&gt;0,AVERAGE(M$21:M$25,M$26),""),"")</f>
        <v/>
      </c>
      <c r="N153" s="302" t="str">
        <f aca="false">IFERROR(IF(N$21*N$22*N$23*N$24*N$25*N$26&gt;0,AVERAGE(N$21:N$25,N$26),""),"")</f>
        <v/>
      </c>
      <c r="O153" s="147" t="n">
        <v>6</v>
      </c>
      <c r="P153" s="282" t="n">
        <f aca="false">COMBIN(7,6)</f>
        <v>7</v>
      </c>
      <c r="Q153" s="283" t="n">
        <f aca="false">ROW(N159)-ROW(N153)+1</f>
        <v>7</v>
      </c>
      <c r="R153" s="293" t="s">
        <v>603</v>
      </c>
      <c r="S153" s="294" t="str">
        <f aca="false">IFERROR(IF(C$21*C$22*C$23*C$24*C$25*C$26&gt;0,STDEV(C$21:C$25,C$26),"")/IF(C$21*C$22*C$23*C$24*C$25*C$26&gt;0,AVERAGE(C$21:C$25,C$26),""),"")</f>
        <v/>
      </c>
      <c r="T153" s="294" t="str">
        <f aca="false">IFERROR(IF(D$21*D$22*D$23*D$24*D$25*D$26&gt;0,STDEV(D$21:D$25,D$26),"")/IF(D$21*D$22*D$23*D$24*D$25*D$26&gt;0,AVERAGE(D$21:D$25,D$26),""),"")</f>
        <v/>
      </c>
      <c r="U153" s="294" t="str">
        <f aca="false">IFERROR(IF(E$21*E$22*E$23*E$24*E$25*E$26&gt;0,STDEV(E$21:E$25,E$26),"")/IF(E$21*E$22*E$23*E$24*E$25*E$26&gt;0,AVERAGE(E$21:E$25,E$26),""),"")</f>
        <v/>
      </c>
      <c r="V153" s="294" t="str">
        <f aca="false">IFERROR(IF(F$21*F$22*F$23*F$24*F$25*F$26&gt;0,STDEV(F$21:F$25,F$26),"")/IF(F$21*F$22*F$23*F$24*F$25*F$26&gt;0,AVERAGE(F$21:F$25,F$26),""),"")</f>
        <v/>
      </c>
      <c r="W153" s="294" t="str">
        <f aca="false">IFERROR(IF(G$21*G$22*G$23*G$24*G$25*G$26&gt;0,STDEV(G$21:G$25,G$26),"")/IF(G$21*G$22*G$23*G$24*G$25*G$26&gt;0,AVERAGE(G$21:G$25,G$26),""),"")</f>
        <v/>
      </c>
      <c r="X153" s="294" t="str">
        <f aca="false">IFERROR(IF(H$21*H$22*H$23*H$24*H$25*H$26&gt;0,STDEV(H$21:H$25,H$26),"")/IF(H$21*H$22*H$23*H$24*H$25*H$26&gt;0,AVERAGE(H$21:H$25,H$26),""),"")</f>
        <v/>
      </c>
      <c r="Y153" s="294" t="str">
        <f aca="false">IFERROR(IF(I$21*I$22*I$23*I$24*I$25*I$26&gt;0,STDEV(I$21:I$25,I$26),"")/IF(I$21*I$22*I$23*I$24*I$25*I$26&gt;0,AVERAGE(I$21:I$25,I$26),""),"")</f>
        <v/>
      </c>
      <c r="Z153" s="294" t="str">
        <f aca="false">IFERROR(IF(J$21*J$22*J$23*J$24*J$25*J$26&gt;0,STDEV(J$21:J$25,J$26),"")/IF(J$21*J$22*J$23*J$24*J$25*J$26&gt;0,AVERAGE(J$21:J$25,J$26),""),"")</f>
        <v/>
      </c>
      <c r="AA153" s="294" t="str">
        <f aca="false">IFERROR(IF(K$21*K$22*K$23*K$24*K$25*K$26&gt;0,STDEV(K$21:K$25,K$26),"")/IF(K$21*K$22*K$23*K$24*K$25*K$26&gt;0,AVERAGE(K$21:K$25,K$26),""),"")</f>
        <v/>
      </c>
      <c r="AB153" s="294" t="str">
        <f aca="false">IFERROR(IF(L$21*L$22*L$23*L$24*L$25*L$26&gt;0,STDEV(L$21:L$25,L$26),"")/IF(L$21*L$22*L$23*L$24*L$25*L$26&gt;0,AVERAGE(L$21:L$25,L$26),""),"")</f>
        <v/>
      </c>
      <c r="AC153" s="294" t="str">
        <f aca="false">IFERROR(IF(M$21*M$22*M$23*M$24*M$25*M$26&gt;0,STDEV(M$21:M$25,M$26),"")/IF(M$21*M$22*M$23*M$24*M$25*M$26&gt;0,AVERAGE(M$21:M$25,M$26),""),"")</f>
        <v/>
      </c>
      <c r="AD153" s="294" t="str">
        <f aca="false">IFERROR(IF(N$21*N$22*N$23*N$24*N$25*N$26&gt;0,STDEV(N$21:N$25,N$26),"")/IF(N$21*N$22*N$23*N$24*N$25*N$26&gt;0,AVERAGE(N$21:N$25,N$26),""),"")</f>
        <v/>
      </c>
      <c r="AE153" s="44"/>
      <c r="AF153" s="266" t="s">
        <v>604</v>
      </c>
      <c r="AG153" s="287" t="str">
        <f aca="false">IFERROR(IF(C$21*C$22*C$23*C$24*C$25*C$26&gt;0,STDEV(C$21:C$25,C$26)," ")/IF(C$21*C$22*C$23*C$24*C$25*C$26&gt;0,SQRT(COUNT(C$21:C$25,C$26))," "),"")</f>
        <v/>
      </c>
      <c r="AH153" s="287" t="str">
        <f aca="false">IFERROR(IF(D$21*D$22*D$23*D$24*D$25*D$26&gt;0,STDEV(D$21:D$25,D$26)," ")/IF(D$21*D$22*D$23*D$24*D$25*D$26&gt;0,SQRT(COUNT(D$21:D$25,D$26))," "),"")</f>
        <v/>
      </c>
      <c r="AI153" s="287" t="str">
        <f aca="false">IFERROR(IF(E$21*E$22*E$23*E$24*E$25*E$26&gt;0,STDEV(E$21:E$25,E$26)," ")/IF(E$21*E$22*E$23*E$24*E$25*E$26&gt;0,SQRT(COUNT(E$21:E$25,E$26))," "),"")</f>
        <v/>
      </c>
      <c r="AJ153" s="287" t="str">
        <f aca="false">IFERROR(IF(F$21*F$22*F$23*F$24*F$25*F$26&gt;0,STDEV(F$21:F$25,F$26)," ")/IF(F$21*F$22*F$23*F$24*F$25*F$26&gt;0,SQRT(COUNT(F$21:F$25,F$26))," "),"")</f>
        <v/>
      </c>
      <c r="AK153" s="287" t="str">
        <f aca="false">IFERROR(IF(G$21*G$22*G$23*G$24*G$25*G$26&gt;0,STDEV(G$21:G$25,G$26)," ")/IF(G$21*G$22*G$23*G$24*G$25*G$26&gt;0,SQRT(COUNT(G$21:G$25,G$26))," "),"")</f>
        <v/>
      </c>
      <c r="AL153" s="287" t="str">
        <f aca="false">IFERROR(IF(H$21*H$22*H$23*H$24*H$25*H$26&gt;0,STDEV(H$21:H$25,H$26)," ")/IF(H$21*H$22*H$23*H$24*H$25*H$26&gt;0,SQRT(COUNT(H$21:H$25,H$26))," "),"")</f>
        <v/>
      </c>
      <c r="AM153" s="287" t="str">
        <f aca="false">IFERROR(IF(I$21*I$22*I$23*I$24*I$25*I$26&gt;0,STDEV(I$21:I$25,I$26)," ")/IF(I$21*I$22*I$23*I$24*I$25*I$26&gt;0,SQRT(COUNT(I$21:I$25,I$26))," "),"")</f>
        <v/>
      </c>
      <c r="AN153" s="287" t="str">
        <f aca="false">IFERROR(IF(J$21*J$22*J$23*J$24*J$25*J$26&gt;0,STDEV(J$21:J$25,J$26)," ")/IF(J$21*J$22*J$23*J$24*J$25*J$26&gt;0,SQRT(COUNT(J$21:J$25,J$26))," "),"")</f>
        <v/>
      </c>
      <c r="AO153" s="287" t="str">
        <f aca="false">IFERROR(IF(K$21*K$22*K$23*K$24*K$25*K$26&gt;0,STDEV(K$21:K$25,K$26)," ")/IF(K$21*K$22*K$23*K$24*K$25*K$26&gt;0,SQRT(COUNT(K$21:K$25,K$26))," "),"")</f>
        <v/>
      </c>
      <c r="AP153" s="287" t="str">
        <f aca="false">IFERROR(IF(L$21*L$22*L$23*L$24*L$25*L$26&gt;0,STDEV(L$21:L$25,L$26)," ")/IF(L$21*L$22*L$23*L$24*L$25*L$26&gt;0,SQRT(COUNT(L$21:L$25,L$26))," "),"")</f>
        <v/>
      </c>
      <c r="AQ153" s="287" t="str">
        <f aca="false">IFERROR(IF(M$21*M$22*M$23*M$24*M$25*M$26&gt;0,STDEV(M$21:M$25,M$26)," ")/IF(M$21*M$22*M$23*M$24*M$25*M$26&gt;0,SQRT(COUNT(M$21:M$25,M$26))," "),"")</f>
        <v/>
      </c>
      <c r="AR153" s="287" t="str">
        <f aca="false">IFERROR(IF(N$21*N$22*N$23*N$24*N$25*N$26&gt;0,STDEV(N$21:N$25,N$26)," ")/IF(N$21*N$22*N$23*N$24*N$25*N$26&gt;0,SQRT(COUNT(N$21:N$25,N$26))," "),"")</f>
        <v/>
      </c>
    </row>
    <row r="154" customFormat="false" ht="15.75" hidden="false" customHeight="false" outlineLevel="0" collapsed="false">
      <c r="A154" s="290" t="s">
        <v>605</v>
      </c>
      <c r="B154" s="281"/>
      <c r="C154" s="302" t="str">
        <f aca="false">IFERROR(IF(C$21*C$22*C$23*C$24*C$25*C$27&gt;0,AVERAGE(C$21:C$25,C$27),""),"")</f>
        <v/>
      </c>
      <c r="D154" s="302" t="str">
        <f aca="false">IFERROR(IF(D$21*D$22*D$23*D$24*D$25*D$27&gt;0,AVERAGE(D$21:D$25,D$27),""),"")</f>
        <v/>
      </c>
      <c r="E154" s="302" t="str">
        <f aca="false">IFERROR(IF(E$21*E$22*E$23*E$24*E$25*E$27&gt;0,AVERAGE(E$21:E$25,E$27),""),"")</f>
        <v/>
      </c>
      <c r="F154" s="302" t="str">
        <f aca="false">IFERROR(IF(F$21*F$22*F$23*F$24*F$25*F$27&gt;0,AVERAGE(F$21:F$25,F$27),""),"")</f>
        <v/>
      </c>
      <c r="G154" s="302" t="str">
        <f aca="false">IFERROR(IF(G$21*G$22*G$23*G$24*G$25*G$27&gt;0,AVERAGE(G$21:G$25,G$27),""),"")</f>
        <v/>
      </c>
      <c r="H154" s="302" t="str">
        <f aca="false">IFERROR(IF(H$21*H$22*H$23*H$24*H$25*H$27&gt;0,AVERAGE(H$21:H$25,H$27),""),"")</f>
        <v/>
      </c>
      <c r="I154" s="302" t="str">
        <f aca="false">IFERROR(IF(I$21*I$22*I$23*I$24*I$25*I$27&gt;0,AVERAGE(I$21:I$25,I$27),""),"")</f>
        <v/>
      </c>
      <c r="J154" s="302" t="str">
        <f aca="false">IFERROR(IF(J$21*J$22*J$23*J$24*J$25*J$27&gt;0,AVERAGE(J$21:J$25,J$27),""),"")</f>
        <v/>
      </c>
      <c r="K154" s="302" t="str">
        <f aca="false">IFERROR(IF(K$21*K$22*K$23*K$24*K$25*K$27&gt;0,AVERAGE(K$21:K$25,K$27),""),"")</f>
        <v/>
      </c>
      <c r="L154" s="302" t="str">
        <f aca="false">IFERROR(IF(L$21*L$22*L$23*L$24*L$25*L$27&gt;0,AVERAGE(L$21:L$25,L$27),""),"")</f>
        <v/>
      </c>
      <c r="M154" s="302" t="str">
        <f aca="false">IFERROR(IF(M$21*M$22*M$23*M$24*M$25*M$27&gt;0,AVERAGE(M$21:M$25,M$27),""),"")</f>
        <v/>
      </c>
      <c r="N154" s="302" t="str">
        <f aca="false">IFERROR(IF(N$21*N$22*N$23*N$24*N$25*N$27&gt;0,AVERAGE(N$21:N$25,N$27),""),"")</f>
        <v/>
      </c>
      <c r="O154" s="282"/>
      <c r="P154" s="282"/>
      <c r="Q154" s="296"/>
      <c r="R154" s="293" t="s">
        <v>606</v>
      </c>
      <c r="S154" s="294" t="str">
        <f aca="false">IFERROR(IF(C$21*C$22*C$23*C$24*C$25*C$27&gt;0,STDEV(C$21:C$25,C$27),"")/IF(C$21*C$22*C$23*C$24*C$25*C$27&gt;0,AVERAGE(C$21:C$25,C$27),""),"")</f>
        <v/>
      </c>
      <c r="T154" s="294" t="str">
        <f aca="false">IFERROR(IF(D$21*D$22*D$23*D$24*D$25*D$27&gt;0,STDEV(D$21:D$25,D$27),"")/IF(D$21*D$22*D$23*D$24*D$25*D$27&gt;0,AVERAGE(D$21:D$25,D$27),""),"")</f>
        <v/>
      </c>
      <c r="U154" s="294" t="str">
        <f aca="false">IFERROR(IF(E$21*E$22*E$23*E$24*E$25*E$27&gt;0,STDEV(E$21:E$25,E$27),"")/IF(E$21*E$22*E$23*E$24*E$25*E$27&gt;0,AVERAGE(E$21:E$25,E$27),""),"")</f>
        <v/>
      </c>
      <c r="V154" s="294" t="str">
        <f aca="false">IFERROR(IF(F$21*F$22*F$23*F$24*F$25*F$27&gt;0,STDEV(F$21:F$25,F$27),"")/IF(F$21*F$22*F$23*F$24*F$25*F$27&gt;0,AVERAGE(F$21:F$25,F$27),""),"")</f>
        <v/>
      </c>
      <c r="W154" s="294" t="str">
        <f aca="false">IFERROR(IF(G$21*G$22*G$23*G$24*G$25*G$27&gt;0,STDEV(G$21:G$25,G$27),"")/IF(G$21*G$22*G$23*G$24*G$25*G$27&gt;0,AVERAGE(G$21:G$25,G$27),""),"")</f>
        <v/>
      </c>
      <c r="X154" s="294" t="str">
        <f aca="false">IFERROR(IF(H$21*H$22*H$23*H$24*H$25*H$27&gt;0,STDEV(H$21:H$25,H$27),"")/IF(H$21*H$22*H$23*H$24*H$25*H$27&gt;0,AVERAGE(H$21:H$25,H$27),""),"")</f>
        <v/>
      </c>
      <c r="Y154" s="294" t="str">
        <f aca="false">IFERROR(IF(I$21*I$22*I$23*I$24*I$25*I$27&gt;0,STDEV(I$21:I$25,I$27),"")/IF(I$21*I$22*I$23*I$24*I$25*I$27&gt;0,AVERAGE(I$21:I$25,I$27),""),"")</f>
        <v/>
      </c>
      <c r="Z154" s="294" t="str">
        <f aca="false">IFERROR(IF(J$21*J$22*J$23*J$24*J$25*J$27&gt;0,STDEV(J$21:J$25,J$27),"")/IF(J$21*J$22*J$23*J$24*J$25*J$27&gt;0,AVERAGE(J$21:J$25,J$27),""),"")</f>
        <v/>
      </c>
      <c r="AA154" s="294" t="str">
        <f aca="false">IFERROR(IF(K$21*K$22*K$23*K$24*K$25*K$27&gt;0,STDEV(K$21:K$25,K$27),"")/IF(K$21*K$22*K$23*K$24*K$25*K$27&gt;0,AVERAGE(K$21:K$25,K$27),""),"")</f>
        <v/>
      </c>
      <c r="AB154" s="294" t="str">
        <f aca="false">IFERROR(IF(L$21*L$22*L$23*L$24*L$25*L$27&gt;0,STDEV(L$21:L$25,L$27),"")/IF(L$21*L$22*L$23*L$24*L$25*L$27&gt;0,AVERAGE(L$21:L$25,L$27),""),"")</f>
        <v/>
      </c>
      <c r="AC154" s="294" t="str">
        <f aca="false">IFERROR(IF(M$21*M$22*M$23*M$24*M$25*M$27&gt;0,STDEV(M$21:M$25,M$27),"")/IF(M$21*M$22*M$23*M$24*M$25*M$27&gt;0,AVERAGE(M$21:M$25,M$27),""),"")</f>
        <v/>
      </c>
      <c r="AD154" s="294" t="str">
        <f aca="false">IFERROR(IF(N$21*N$22*N$23*N$24*N$25*N$27&gt;0,STDEV(N$21:N$25,N$27),"")/IF(N$21*N$22*N$23*N$24*N$25*N$27&gt;0,AVERAGE(N$21:N$25,N$27),""),"")</f>
        <v/>
      </c>
      <c r="AE154" s="44"/>
      <c r="AF154" s="266" t="s">
        <v>607</v>
      </c>
      <c r="AG154" s="287" t="str">
        <f aca="false">IFERROR(IF(C$21*C$22*C$23*C$24*C$25*C$27&gt;0,STDEV(C$21:C$25,C$27)," ")/IF(C$21*C$22*C$23*C$24*C$25*C$27&gt;0,SQRT(COUNT(C$21:C$25,C$27))," "),"")</f>
        <v/>
      </c>
      <c r="AH154" s="287" t="str">
        <f aca="false">IFERROR(IF(D$21*D$22*D$23*D$24*D$25*D$27&gt;0,STDEV(D$21:D$25,D$27)," ")/IF(D$21*D$22*D$23*D$24*D$25*D$27&gt;0,SQRT(COUNT(D$21:D$25,D$27))," "),"")</f>
        <v/>
      </c>
      <c r="AI154" s="287" t="str">
        <f aca="false">IFERROR(IF(E$21*E$22*E$23*E$24*E$25*E$27&gt;0,STDEV(E$21:E$25,E$27)," ")/IF(E$21*E$22*E$23*E$24*E$25*E$27&gt;0,SQRT(COUNT(E$21:E$25,E$27))," "),"")</f>
        <v/>
      </c>
      <c r="AJ154" s="287" t="str">
        <f aca="false">IFERROR(IF(F$21*F$22*F$23*F$24*F$25*F$27&gt;0,STDEV(F$21:F$25,F$27)," ")/IF(F$21*F$22*F$23*F$24*F$25*F$27&gt;0,SQRT(COUNT(F$21:F$25,F$27))," "),"")</f>
        <v/>
      </c>
      <c r="AK154" s="287" t="str">
        <f aca="false">IFERROR(IF(G$21*G$22*G$23*G$24*G$25*G$27&gt;0,STDEV(G$21:G$25,G$27)," ")/IF(G$21*G$22*G$23*G$24*G$25*G$27&gt;0,SQRT(COUNT(G$21:G$25,G$27))," "),"")</f>
        <v/>
      </c>
      <c r="AL154" s="287" t="str">
        <f aca="false">IFERROR(IF(H$21*H$22*H$23*H$24*H$25*H$27&gt;0,STDEV(H$21:H$25,H$27)," ")/IF(H$21*H$22*H$23*H$24*H$25*H$27&gt;0,SQRT(COUNT(H$21:H$25,H$27))," "),"")</f>
        <v/>
      </c>
      <c r="AM154" s="287" t="str">
        <f aca="false">IFERROR(IF(I$21*I$22*I$23*I$24*I$25*I$27&gt;0,STDEV(I$21:I$25,I$27)," ")/IF(I$21*I$22*I$23*I$24*I$25*I$27&gt;0,SQRT(COUNT(I$21:I$25,I$27))," "),"")</f>
        <v/>
      </c>
      <c r="AN154" s="287" t="str">
        <f aca="false">IFERROR(IF(J$21*J$22*J$23*J$24*J$25*J$27&gt;0,STDEV(J$21:J$25,J$27)," ")/IF(J$21*J$22*J$23*J$24*J$25*J$27&gt;0,SQRT(COUNT(J$21:J$25,J$27))," "),"")</f>
        <v/>
      </c>
      <c r="AO154" s="287" t="str">
        <f aca="false">IFERROR(IF(K$21*K$22*K$23*K$24*K$25*K$27&gt;0,STDEV(K$21:K$25,K$27)," ")/IF(K$21*K$22*K$23*K$24*K$25*K$27&gt;0,SQRT(COUNT(K$21:K$25,K$27))," "),"")</f>
        <v/>
      </c>
      <c r="AP154" s="287" t="str">
        <f aca="false">IFERROR(IF(L$21*L$22*L$23*L$24*L$25*L$27&gt;0,STDEV(L$21:L$25,L$27)," ")/IF(L$21*L$22*L$23*L$24*L$25*L$27&gt;0,SQRT(COUNT(L$21:L$25,L$27))," "),"")</f>
        <v/>
      </c>
      <c r="AQ154" s="287" t="str">
        <f aca="false">IFERROR(IF(M$21*M$22*M$23*M$24*M$25*M$27&gt;0,STDEV(M$21:M$25,M$27)," ")/IF(M$21*M$22*M$23*M$24*M$25*M$27&gt;0,SQRT(COUNT(M$21:M$25,M$27))," "),"")</f>
        <v/>
      </c>
      <c r="AR154" s="287" t="str">
        <f aca="false">IFERROR(IF(N$21*N$22*N$23*N$24*N$25*N$27&gt;0,STDEV(N$21:N$25,N$27)," ")/IF(N$21*N$22*N$23*N$24*N$25*N$27&gt;0,SQRT(COUNT(N$21:N$25,N$27))," "),"")</f>
        <v/>
      </c>
    </row>
    <row r="155" customFormat="false" ht="15.75" hidden="false" customHeight="false" outlineLevel="0" collapsed="false">
      <c r="A155" s="290" t="s">
        <v>608</v>
      </c>
      <c r="B155" s="281"/>
      <c r="C155" s="302" t="str">
        <f aca="false">IFERROR(IF(C$21*C$22*C$23*C$24*C$26*C$27&gt;0,AVERAGE(C$21:C$24, C$27),""),"")</f>
        <v/>
      </c>
      <c r="D155" s="302" t="str">
        <f aca="false">IFERROR(IF(D$21*D$22*D$23*D$24*D$26*D$27&gt;0,AVERAGE(D$21:D$24, D$27),""),"")</f>
        <v/>
      </c>
      <c r="E155" s="302" t="str">
        <f aca="false">IFERROR(IF(E$21*E$22*E$23*E$24*E$26*E$27&gt;0,AVERAGE(E$21:E$24, E$27),""),"")</f>
        <v/>
      </c>
      <c r="F155" s="302" t="str">
        <f aca="false">IFERROR(IF(F$21*F$22*F$23*F$24*F$26*F$27&gt;0,AVERAGE(F$21:F$24, F$27),""),"")</f>
        <v/>
      </c>
      <c r="G155" s="302" t="str">
        <f aca="false">IFERROR(IF(G$21*G$22*G$23*G$24*G$26*G$27&gt;0,AVERAGE(G$21:G$24, G$27),""),"")</f>
        <v/>
      </c>
      <c r="H155" s="302" t="str">
        <f aca="false">IFERROR(IF(H$21*H$22*H$23*H$24*H$26*H$27&gt;0,AVERAGE(H$21:H$24, H$27),""),"")</f>
        <v/>
      </c>
      <c r="I155" s="302" t="str">
        <f aca="false">IFERROR(IF(I$21*I$22*I$23*I$24*I$26*I$27&gt;0,AVERAGE(I$21:I$24, I$27),""),"")</f>
        <v/>
      </c>
      <c r="J155" s="302" t="str">
        <f aca="false">IFERROR(IF(J$21*J$22*J$23*J$24*J$26*J$27&gt;0,AVERAGE(J$21:J$24, J$27),""),"")</f>
        <v/>
      </c>
      <c r="K155" s="302" t="str">
        <f aca="false">IFERROR(IF(K$21*K$22*K$23*K$24*K$26*K$27&gt;0,AVERAGE(K$21:K$24, K$27),""),"")</f>
        <v/>
      </c>
      <c r="L155" s="302" t="str">
        <f aca="false">IFERROR(IF(L$21*L$22*L$23*L$24*L$26*L$27&gt;0,AVERAGE(L$21:L$24, L$27),""),"")</f>
        <v/>
      </c>
      <c r="M155" s="302" t="str">
        <f aca="false">IFERROR(IF(M$21*M$22*M$23*M$24*M$26*M$27&gt;0,AVERAGE(M$21:M$24, M$27),""),"")</f>
        <v/>
      </c>
      <c r="N155" s="302" t="str">
        <f aca="false">IFERROR(IF(N$21*N$22*N$23*N$24*N$26*N$27&gt;0,AVERAGE(N$21:N$24, N$27),""),"")</f>
        <v/>
      </c>
      <c r="O155" s="282"/>
      <c r="P155" s="282"/>
      <c r="Q155" s="296"/>
      <c r="R155" s="293" t="s">
        <v>609</v>
      </c>
      <c r="S155" s="294" t="str">
        <f aca="false">IFERROR(IF(C$21*C$22*C$23*C$24*C$26*C$27&gt;0,STDEV(C$21:C$24, C$27),"")/IF(C$21*C$22*C$23*C$24*C$26*C$27&gt;0,AVERAGE(C$21:C$24, C$27),""),"")</f>
        <v/>
      </c>
      <c r="T155" s="294" t="str">
        <f aca="false">IFERROR(IF(D$21*D$22*D$23*D$24*D$26*D$27&gt;0,STDEV(D$21:D$24, D$27),"")/IF(D$21*D$22*D$23*D$24*D$26*D$27&gt;0,AVERAGE(D$21:D$24, D$27),""),"")</f>
        <v/>
      </c>
      <c r="U155" s="294" t="str">
        <f aca="false">IFERROR(IF(E$21*E$22*E$23*E$24*E$26*E$27&gt;0,STDEV(E$21:E$24, E$27),"")/IF(E$21*E$22*E$23*E$24*E$26*E$27&gt;0,AVERAGE(E$21:E$24, E$27),""),"")</f>
        <v/>
      </c>
      <c r="V155" s="294" t="str">
        <f aca="false">IFERROR(IF(F$21*F$22*F$23*F$24*F$26*F$27&gt;0,STDEV(F$21:F$24, F$27),"")/IF(F$21*F$22*F$23*F$24*F$26*F$27&gt;0,AVERAGE(F$21:F$24, F$27),""),"")</f>
        <v/>
      </c>
      <c r="W155" s="294" t="str">
        <f aca="false">IFERROR(IF(G$21*G$22*G$23*G$24*G$26*G$27&gt;0,STDEV(G$21:G$24, G$27),"")/IF(G$21*G$22*G$23*G$24*G$26*G$27&gt;0,AVERAGE(G$21:G$24, G$27),""),"")</f>
        <v/>
      </c>
      <c r="X155" s="294" t="str">
        <f aca="false">IFERROR(IF(H$21*H$22*H$23*H$24*H$26*H$27&gt;0,STDEV(H$21:H$24, H$27),"")/IF(H$21*H$22*H$23*H$24*H$26*H$27&gt;0,AVERAGE(H$21:H$24, H$27),""),"")</f>
        <v/>
      </c>
      <c r="Y155" s="294" t="str">
        <f aca="false">IFERROR(IF(I$21*I$22*I$23*I$24*I$26*I$27&gt;0,STDEV(I$21:I$24, I$27),"")/IF(I$21*I$22*I$23*I$24*I$26*I$27&gt;0,AVERAGE(I$21:I$24, I$27),""),"")</f>
        <v/>
      </c>
      <c r="Z155" s="294" t="str">
        <f aca="false">IFERROR(IF(J$21*J$22*J$23*J$24*J$26*J$27&gt;0,STDEV(J$21:J$24, J$27),"")/IF(J$21*J$22*J$23*J$24*J$26*J$27&gt;0,AVERAGE(J$21:J$24, J$27),""),"")</f>
        <v/>
      </c>
      <c r="AA155" s="294" t="str">
        <f aca="false">IFERROR(IF(K$21*K$22*K$23*K$24*K$26*K$27&gt;0,STDEV(K$21:K$24, K$27),"")/IF(K$21*K$22*K$23*K$24*K$26*K$27&gt;0,AVERAGE(K$21:K$24, K$27),""),"")</f>
        <v/>
      </c>
      <c r="AB155" s="294" t="str">
        <f aca="false">IFERROR(IF(L$21*L$22*L$23*L$24*L$26*L$27&gt;0,STDEV(L$21:L$24, L$27),"")/IF(L$21*L$22*L$23*L$24*L$26*L$27&gt;0,AVERAGE(L$21:L$24, L$27),""),"")</f>
        <v/>
      </c>
      <c r="AC155" s="294" t="str">
        <f aca="false">IFERROR(IF(M$21*M$22*M$23*M$24*M$26*M$27&gt;0,STDEV(M$21:M$24, M$27),"")/IF(M$21*M$22*M$23*M$24*M$26*M$27&gt;0,AVERAGE(M$21:M$24, M$27),""),"")</f>
        <v/>
      </c>
      <c r="AD155" s="294" t="str">
        <f aca="false">IFERROR(IF(N$21*N$22*N$23*N$24*N$26*N$27&gt;0,STDEV(N$21:N$24, N$27),"")/IF(N$21*N$22*N$23*N$24*N$26*N$27&gt;0,AVERAGE(N$21:N$24, N$27),""),"")</f>
        <v/>
      </c>
      <c r="AE155" s="44"/>
      <c r="AF155" s="266" t="s">
        <v>610</v>
      </c>
      <c r="AG155" s="287" t="str">
        <f aca="false">IFERROR(IF(C$21*C$22*C$23*C$24*C$26*C$27&gt;0,STDEV(C$21:C$24, C$27)," ")/IF(C$21*C$22*C$23*C$24*C$26*C$27&gt;0,SQRT(COUNT(C$21:C$24, C$27))," "),"")</f>
        <v/>
      </c>
      <c r="AH155" s="287" t="str">
        <f aca="false">IFERROR(IF(D$21*D$22*D$23*D$24*D$26*D$27&gt;0,STDEV(D$21:D$24, D$27)," ")/IF(D$21*D$22*D$23*D$24*D$26*D$27&gt;0,SQRT(COUNT(D$21:D$24, D$27))," "),"")</f>
        <v/>
      </c>
      <c r="AI155" s="287" t="str">
        <f aca="false">IFERROR(IF(E$21*E$22*E$23*E$24*E$26*E$27&gt;0,STDEV(E$21:E$24, E$27)," ")/IF(E$21*E$22*E$23*E$24*E$26*E$27&gt;0,SQRT(COUNT(E$21:E$24, E$27))," "),"")</f>
        <v/>
      </c>
      <c r="AJ155" s="287" t="str">
        <f aca="false">IFERROR(IF(F$21*F$22*F$23*F$24*F$26*F$27&gt;0,STDEV(F$21:F$24, F$27)," ")/IF(F$21*F$22*F$23*F$24*F$26*F$27&gt;0,SQRT(COUNT(F$21:F$24, F$27))," "),"")</f>
        <v/>
      </c>
      <c r="AK155" s="287" t="str">
        <f aca="false">IFERROR(IF(G$21*G$22*G$23*G$24*G$26*G$27&gt;0,STDEV(G$21:G$24, G$27)," ")/IF(G$21*G$22*G$23*G$24*G$26*G$27&gt;0,SQRT(COUNT(G$21:G$24, G$27))," "),"")</f>
        <v/>
      </c>
      <c r="AL155" s="287" t="str">
        <f aca="false">IFERROR(IF(H$21*H$22*H$23*H$24*H$26*H$27&gt;0,STDEV(H$21:H$24, H$27)," ")/IF(H$21*H$22*H$23*H$24*H$26*H$27&gt;0,SQRT(COUNT(H$21:H$24, H$27))," "),"")</f>
        <v/>
      </c>
      <c r="AM155" s="287" t="str">
        <f aca="false">IFERROR(IF(I$21*I$22*I$23*I$24*I$26*I$27&gt;0,STDEV(I$21:I$24, I$27)," ")/IF(I$21*I$22*I$23*I$24*I$26*I$27&gt;0,SQRT(COUNT(I$21:I$24, I$27))," "),"")</f>
        <v/>
      </c>
      <c r="AN155" s="287" t="str">
        <f aca="false">IFERROR(IF(J$21*J$22*J$23*J$24*J$26*J$27&gt;0,STDEV(J$21:J$24, J$27)," ")/IF(J$21*J$22*J$23*J$24*J$26*J$27&gt;0,SQRT(COUNT(J$21:J$24, J$27))," "),"")</f>
        <v/>
      </c>
      <c r="AO155" s="287" t="str">
        <f aca="false">IFERROR(IF(K$21*K$22*K$23*K$24*K$26*K$27&gt;0,STDEV(K$21:K$24, K$27)," ")/IF(K$21*K$22*K$23*K$24*K$26*K$27&gt;0,SQRT(COUNT(K$21:K$24, K$27))," "),"")</f>
        <v/>
      </c>
      <c r="AP155" s="287" t="str">
        <f aca="false">IFERROR(IF(L$21*L$22*L$23*L$24*L$26*L$27&gt;0,STDEV(L$21:L$24, L$27)," ")/IF(L$21*L$22*L$23*L$24*L$26*L$27&gt;0,SQRT(COUNT(L$21:L$24, L$27))," "),"")</f>
        <v/>
      </c>
      <c r="AQ155" s="287" t="str">
        <f aca="false">IFERROR(IF(M$21*M$22*M$23*M$24*M$26*M$27&gt;0,STDEV(M$21:M$24, M$27)," ")/IF(M$21*M$22*M$23*M$24*M$26*M$27&gt;0,SQRT(COUNT(M$21:M$24, M$27))," "),"")</f>
        <v/>
      </c>
      <c r="AR155" s="287" t="str">
        <f aca="false">IFERROR(IF(N$21*N$22*N$23*N$24*N$26*N$27&gt;0,STDEV(N$21:N$24, N$27)," ")/IF(N$21*N$22*N$23*N$24*N$26*N$27&gt;0,SQRT(COUNT(N$21:N$24, N$27))," "),"")</f>
        <v/>
      </c>
    </row>
    <row r="156" customFormat="false" ht="15.75" hidden="false" customHeight="false" outlineLevel="0" collapsed="false">
      <c r="A156" s="290" t="s">
        <v>611</v>
      </c>
      <c r="B156" s="281"/>
      <c r="C156" s="302" t="str">
        <f aca="false">IFERROR(IF(C$21*C$22*C$23*C$25*C$26*C$27&gt;0,AVERAGE(C$21:C$23,C$25:C$27),""),"")</f>
        <v/>
      </c>
      <c r="D156" s="302" t="str">
        <f aca="false">IFERROR(IF(D$21*D$22*D$23*D$25*D$26*D$27&gt;0,AVERAGE(D$21:D$23,D$25:D$27),""),"")</f>
        <v/>
      </c>
      <c r="E156" s="302" t="str">
        <f aca="false">IFERROR(IF(E$21*E$22*E$23*E$25*E$26*E$27&gt;0,AVERAGE(E$21:E$23,E$25:E$27),""),"")</f>
        <v/>
      </c>
      <c r="F156" s="302" t="str">
        <f aca="false">IFERROR(IF(F$21*F$22*F$23*F$25*F$26*F$27&gt;0,AVERAGE(F$21:F$23,F$25:F$27),""),"")</f>
        <v/>
      </c>
      <c r="G156" s="302" t="str">
        <f aca="false">IFERROR(IF(G$21*G$22*G$23*G$25*G$26*G$27&gt;0,AVERAGE(G$21:G$23,G$25:G$27),""),"")</f>
        <v/>
      </c>
      <c r="H156" s="302" t="str">
        <f aca="false">IFERROR(IF(H$21*H$22*H$23*H$25*H$26*H$27&gt;0,AVERAGE(H$21:H$23,H$25:H$27),""),"")</f>
        <v/>
      </c>
      <c r="I156" s="302" t="str">
        <f aca="false">IFERROR(IF(I$21*I$22*I$23*I$25*I$26*I$27&gt;0,AVERAGE(I$21:I$23,I$25:I$27),""),"")</f>
        <v/>
      </c>
      <c r="J156" s="302" t="str">
        <f aca="false">IFERROR(IF(J$21*J$22*J$23*J$25*J$26*J$27&gt;0,AVERAGE(J$21:J$23,J$25:J$27),""),"")</f>
        <v/>
      </c>
      <c r="K156" s="302" t="str">
        <f aca="false">IFERROR(IF(K$21*K$22*K$23*K$25*K$26*K$27&gt;0,AVERAGE(K$21:K$23,K$25:K$27),""),"")</f>
        <v/>
      </c>
      <c r="L156" s="302" t="str">
        <f aca="false">IFERROR(IF(L$21*L$22*L$23*L$25*L$26*L$27&gt;0,AVERAGE(L$21:L$23,L$25:L$27),""),"")</f>
        <v/>
      </c>
      <c r="M156" s="302" t="str">
        <f aca="false">IFERROR(IF(M$21*M$22*M$23*M$25*M$26*M$27&gt;0,AVERAGE(M$21:M$23,M$25:M$27),""),"")</f>
        <v/>
      </c>
      <c r="N156" s="302" t="str">
        <f aca="false">IFERROR(IF(N$21*N$22*N$23*N$25*N$26*N$27&gt;0,AVERAGE(N$21:N$23,N$25:N$27),""),"")</f>
        <v/>
      </c>
      <c r="O156" s="282"/>
      <c r="P156" s="282"/>
      <c r="Q156" s="296"/>
      <c r="R156" s="293" t="s">
        <v>612</v>
      </c>
      <c r="S156" s="294" t="str">
        <f aca="false">IFERROR(IF(C$21*C$22*C$23*C$25*C$26*C$27&gt;0,STDEV(C$21:C$23,C$25:C$27),"")/IF(C$21*C$22*C$23*C$25*C$26*C$27&gt;0,AVERAGE(C$21:C$23,C$25:C$27),""),"")</f>
        <v/>
      </c>
      <c r="T156" s="294" t="str">
        <f aca="false">IFERROR(IF(D$21*D$22*D$23*D$25*D$26*D$27&gt;0,STDEV(D$21:D$23,D$25:D$27),"")/IF(D$21*D$22*D$23*D$25*D$26*D$27&gt;0,AVERAGE(D$21:D$23,D$25:D$27),""),"")</f>
        <v/>
      </c>
      <c r="U156" s="294" t="str">
        <f aca="false">IFERROR(IF(E$21*E$22*E$23*E$25*E$26*E$27&gt;0,STDEV(E$21:E$23,E$25:E$27),"")/IF(E$21*E$22*E$23*E$25*E$26*E$27&gt;0,AVERAGE(E$21:E$23,E$25:E$27),""),"")</f>
        <v/>
      </c>
      <c r="V156" s="294" t="str">
        <f aca="false">IFERROR(IF(F$21*F$22*F$23*F$25*F$26*F$27&gt;0,STDEV(F$21:F$23,F$25:F$27),"")/IF(F$21*F$22*F$23*F$25*F$26*F$27&gt;0,AVERAGE(F$21:F$23,F$25:F$27),""),"")</f>
        <v/>
      </c>
      <c r="W156" s="294" t="str">
        <f aca="false">IFERROR(IF(G$21*G$22*G$23*G$25*G$26*G$27&gt;0,STDEV(G$21:G$23,G$25:G$27),"")/IF(G$21*G$22*G$23*G$25*G$26*G$27&gt;0,AVERAGE(G$21:G$23,G$25:G$27),""),"")</f>
        <v/>
      </c>
      <c r="X156" s="294" t="str">
        <f aca="false">IFERROR(IF(H$21*H$22*H$23*H$25*H$26*H$27&gt;0,STDEV(H$21:H$23,H$25:H$27),"")/IF(H$21*H$22*H$23*H$25*H$26*H$27&gt;0,AVERAGE(H$21:H$23,H$25:H$27),""),"")</f>
        <v/>
      </c>
      <c r="Y156" s="294" t="str">
        <f aca="false">IFERROR(IF(I$21*I$22*I$23*I$25*I$26*I$27&gt;0,STDEV(I$21:I$23,I$25:I$27),"")/IF(I$21*I$22*I$23*I$25*I$26*I$27&gt;0,AVERAGE(I$21:I$23,I$25:I$27),""),"")</f>
        <v/>
      </c>
      <c r="Z156" s="294" t="str">
        <f aca="false">IFERROR(IF(J$21*J$22*J$23*J$25*J$26*J$27&gt;0,STDEV(J$21:J$23,J$25:J$27),"")/IF(J$21*J$22*J$23*J$25*J$26*J$27&gt;0,AVERAGE(J$21:J$23,J$25:J$27),""),"")</f>
        <v/>
      </c>
      <c r="AA156" s="294" t="str">
        <f aca="false">IFERROR(IF(K$21*K$22*K$23*K$25*K$26*K$27&gt;0,STDEV(K$21:K$23,K$25:K$27),"")/IF(K$21*K$22*K$23*K$25*K$26*K$27&gt;0,AVERAGE(K$21:K$23,K$25:K$27),""),"")</f>
        <v/>
      </c>
      <c r="AB156" s="294" t="str">
        <f aca="false">IFERROR(IF(L$21*L$22*L$23*L$25*L$26*L$27&gt;0,STDEV(L$21:L$23,L$25:L$27),"")/IF(L$21*L$22*L$23*L$25*L$26*L$27&gt;0,AVERAGE(L$21:L$23,L$25:L$27),""),"")</f>
        <v/>
      </c>
      <c r="AC156" s="294" t="str">
        <f aca="false">IFERROR(IF(M$21*M$22*M$23*M$25*M$26*M$27&gt;0,STDEV(M$21:M$23,M$25:M$27),"")/IF(M$21*M$22*M$23*M$25*M$26*M$27&gt;0,AVERAGE(M$21:M$23,M$25:M$27),""),"")</f>
        <v/>
      </c>
      <c r="AD156" s="294" t="str">
        <f aca="false">IFERROR(IF(N$21*N$22*N$23*N$25*N$26*N$27&gt;0,STDEV(N$21:N$23,N$25:N$27),"")/IF(N$21*N$22*N$23*N$25*N$26*N$27&gt;0,AVERAGE(N$21:N$23,N$25:N$27),""),"")</f>
        <v/>
      </c>
      <c r="AE156" s="44"/>
      <c r="AF156" s="266" t="s">
        <v>613</v>
      </c>
      <c r="AG156" s="287" t="str">
        <f aca="false">IFERROR(IF(C$21*C$22*C$23*C$25*C$26*C$27&gt;0,STDEV(C$21:C$23,C$25:C$27)," ")/IF(C$21*C$22*C$23*C$25*C$26*C$27&gt;0,SQRT(COUNT(C$21:C$23,C$25:C$27))," "),"")</f>
        <v/>
      </c>
      <c r="AH156" s="287" t="str">
        <f aca="false">IFERROR(IF(D$21*D$22*D$23*D$25*D$26*D$27&gt;0,STDEV(D$21:D$23,D$25:D$27)," ")/IF(D$21*D$22*D$23*D$25*D$26*D$27&gt;0,SQRT(COUNT(D$21:D$23,D$25:D$27))," "),"")</f>
        <v/>
      </c>
      <c r="AI156" s="287" t="str">
        <f aca="false">IFERROR(IF(E$21*E$22*E$23*E$25*E$26*E$27&gt;0,STDEV(E$21:E$23,E$25:E$27)," ")/IF(E$21*E$22*E$23*E$25*E$26*E$27&gt;0,SQRT(COUNT(E$21:E$23,E$25:E$27))," "),"")</f>
        <v/>
      </c>
      <c r="AJ156" s="287" t="str">
        <f aca="false">IFERROR(IF(F$21*F$22*F$23*F$25*F$26*F$27&gt;0,STDEV(F$21:F$23,F$25:F$27)," ")/IF(F$21*F$22*F$23*F$25*F$26*F$27&gt;0,SQRT(COUNT(F$21:F$23,F$25:F$27))," "),"")</f>
        <v/>
      </c>
      <c r="AK156" s="287" t="str">
        <f aca="false">IFERROR(IF(G$21*G$22*G$23*G$25*G$26*G$27&gt;0,STDEV(G$21:G$23,G$25:G$27)," ")/IF(G$21*G$22*G$23*G$25*G$26*G$27&gt;0,SQRT(COUNT(G$21:G$23,G$25:G$27))," "),"")</f>
        <v/>
      </c>
      <c r="AL156" s="287" t="str">
        <f aca="false">IFERROR(IF(H$21*H$22*H$23*H$25*H$26*H$27&gt;0,STDEV(H$21:H$23,H$25:H$27)," ")/IF(H$21*H$22*H$23*H$25*H$26*H$27&gt;0,SQRT(COUNT(H$21:H$23,H$25:H$27))," "),"")</f>
        <v/>
      </c>
      <c r="AM156" s="287" t="str">
        <f aca="false">IFERROR(IF(I$21*I$22*I$23*I$25*I$26*I$27&gt;0,STDEV(I$21:I$23,I$25:I$27)," ")/IF(I$21*I$22*I$23*I$25*I$26*I$27&gt;0,SQRT(COUNT(I$21:I$23,I$25:I$27))," "),"")</f>
        <v/>
      </c>
      <c r="AN156" s="287" t="str">
        <f aca="false">IFERROR(IF(J$21*J$22*J$23*J$25*J$26*J$27&gt;0,STDEV(J$21:J$23,J$25:J$27)," ")/IF(J$21*J$22*J$23*J$25*J$26*J$27&gt;0,SQRT(COUNT(J$21:J$23,J$25:J$27))," "),"")</f>
        <v/>
      </c>
      <c r="AO156" s="287" t="str">
        <f aca="false">IFERROR(IF(K$21*K$22*K$23*K$25*K$26*K$27&gt;0,STDEV(K$21:K$23,K$25:K$27)," ")/IF(K$21*K$22*K$23*K$25*K$26*K$27&gt;0,SQRT(COUNT(K$21:K$23,K$25:K$27))," "),"")</f>
        <v/>
      </c>
      <c r="AP156" s="287" t="str">
        <f aca="false">IFERROR(IF(L$21*L$22*L$23*L$25*L$26*L$27&gt;0,STDEV(L$21:L$23,L$25:L$27)," ")/IF(L$21*L$22*L$23*L$25*L$26*L$27&gt;0,SQRT(COUNT(L$21:L$23,L$25:L$27))," "),"")</f>
        <v/>
      </c>
      <c r="AQ156" s="287" t="str">
        <f aca="false">IFERROR(IF(M$21*M$22*M$23*M$25*M$26*M$27&gt;0,STDEV(M$21:M$23,M$25:M$27)," ")/IF(M$21*M$22*M$23*M$25*M$26*M$27&gt;0,SQRT(COUNT(M$21:M$23,M$25:M$27))," "),"")</f>
        <v/>
      </c>
      <c r="AR156" s="287" t="str">
        <f aca="false">IFERROR(IF(N$21*N$22*N$23*N$25*N$26*N$27&gt;0,STDEV(N$21:N$23,N$25:N$27)," ")/IF(N$21*N$22*N$23*N$25*N$26*N$27&gt;0,SQRT(COUNT(N$21:N$23,N$25:N$27))," "),"")</f>
        <v/>
      </c>
    </row>
    <row r="157" customFormat="false" ht="15.75" hidden="false" customHeight="false" outlineLevel="0" collapsed="false">
      <c r="A157" s="290" t="s">
        <v>614</v>
      </c>
      <c r="B157" s="281"/>
      <c r="C157" s="302" t="str">
        <f aca="false">IFERROR(IF(C$21*C$22*C$24*C$25*C$26*C$27&gt;0,AVERAGE(C$21:C$22, C$24:C$27),""),"")</f>
        <v/>
      </c>
      <c r="D157" s="302" t="str">
        <f aca="false">IFERROR(IF(D$21*D$22*D$24*D$25*D$26*D$27&gt;0,AVERAGE(D$21:D$22, D$24:D$27),""),"")</f>
        <v/>
      </c>
      <c r="E157" s="302" t="str">
        <f aca="false">IFERROR(IF(E$21*E$22*E$24*E$25*E$26*E$27&gt;0,AVERAGE(E$21:E$22, E$24:E$27),""),"")</f>
        <v/>
      </c>
      <c r="F157" s="302" t="str">
        <f aca="false">IFERROR(IF(F$21*F$22*F$24*F$25*F$26*F$27&gt;0,AVERAGE(F$21:F$22, F$24:F$27),""),"")</f>
        <v/>
      </c>
      <c r="G157" s="302" t="str">
        <f aca="false">IFERROR(IF(G$21*G$22*G$24*G$25*G$26*G$27&gt;0,AVERAGE(G$21:G$22, G$24:G$27),""),"")</f>
        <v/>
      </c>
      <c r="H157" s="302" t="str">
        <f aca="false">IFERROR(IF(H$21*H$22*H$24*H$25*H$26*H$27&gt;0,AVERAGE(H$21:H$22, H$24:H$27),""),"")</f>
        <v/>
      </c>
      <c r="I157" s="302" t="str">
        <f aca="false">IFERROR(IF(I$21*I$22*I$24*I$25*I$26*I$27&gt;0,AVERAGE(I$21:I$22, I$24:I$27),""),"")</f>
        <v/>
      </c>
      <c r="J157" s="302" t="str">
        <f aca="false">IFERROR(IF(J$21*J$22*J$24*J$25*J$26*J$27&gt;0,AVERAGE(J$21:J$22, J$24:J$27),""),"")</f>
        <v/>
      </c>
      <c r="K157" s="302" t="str">
        <f aca="false">IFERROR(IF(K$21*K$22*K$24*K$25*K$26*K$27&gt;0,AVERAGE(K$21:K$22, K$24:K$27),""),"")</f>
        <v/>
      </c>
      <c r="L157" s="302" t="str">
        <f aca="false">IFERROR(IF(L$21*L$22*L$24*L$25*L$26*L$27&gt;0,AVERAGE(L$21:L$22, L$24:L$27),""),"")</f>
        <v/>
      </c>
      <c r="M157" s="302" t="str">
        <f aca="false">IFERROR(IF(M$21*M$22*M$24*M$25*M$26*M$27&gt;0,AVERAGE(M$21:M$22, M$24:M$27),""),"")</f>
        <v/>
      </c>
      <c r="N157" s="302" t="str">
        <f aca="false">IFERROR(IF(N$21*N$22*N$24*N$25*N$26*N$27&gt;0,AVERAGE(N$21:N$22, N$24:N$27),""),"")</f>
        <v/>
      </c>
      <c r="O157" s="282"/>
      <c r="P157" s="282"/>
      <c r="Q157" s="296"/>
      <c r="R157" s="293" t="s">
        <v>615</v>
      </c>
      <c r="S157" s="294" t="str">
        <f aca="false">IFERROR(IF(C$21*C$22*C$24*C$25*C$26*C$27&gt;0,STDEV(C$21:C$22, C$24:C$27),"")/IF(C$21*C$22*C$24*C$25*C$26*C$27&gt;0,AVERAGE(C$21:C$22, C$24:C$27),""),"")</f>
        <v/>
      </c>
      <c r="T157" s="294" t="str">
        <f aca="false">IFERROR(IF(D$21*D$22*D$24*D$25*D$26*D$27&gt;0,STDEV(D$21:D$22, D$24:D$27),"")/IF(D$21*D$22*D$24*D$25*D$26*D$27&gt;0,AVERAGE(D$21:D$22, D$24:D$27),""),"")</f>
        <v/>
      </c>
      <c r="U157" s="294" t="str">
        <f aca="false">IFERROR(IF(E$21*E$22*E$24*E$25*E$26*E$27&gt;0,STDEV(E$21:E$22, E$24:E$27),"")/IF(E$21*E$22*E$24*E$25*E$26*E$27&gt;0,AVERAGE(E$21:E$22, E$24:E$27),""),"")</f>
        <v/>
      </c>
      <c r="V157" s="294" t="str">
        <f aca="false">IFERROR(IF(F$21*F$22*F$24*F$25*F$26*F$27&gt;0,STDEV(F$21:F$22, F$24:F$27),"")/IF(F$21*F$22*F$24*F$25*F$26*F$27&gt;0,AVERAGE(F$21:F$22, F$24:F$27),""),"")</f>
        <v/>
      </c>
      <c r="W157" s="294" t="str">
        <f aca="false">IFERROR(IF(G$21*G$22*G$24*G$25*G$26*G$27&gt;0,STDEV(G$21:G$22, G$24:G$27),"")/IF(G$21*G$22*G$24*G$25*G$26*G$27&gt;0,AVERAGE(G$21:G$22, G$24:G$27),""),"")</f>
        <v/>
      </c>
      <c r="X157" s="294" t="str">
        <f aca="false">IFERROR(IF(H$21*H$22*H$24*H$25*H$26*H$27&gt;0,STDEV(H$21:H$22, H$24:H$27),"")/IF(H$21*H$22*H$24*H$25*H$26*H$27&gt;0,AVERAGE(H$21:H$22, H$24:H$27),""),"")</f>
        <v/>
      </c>
      <c r="Y157" s="294" t="str">
        <f aca="false">IFERROR(IF(I$21*I$22*I$24*I$25*I$26*I$27&gt;0,STDEV(I$21:I$22, I$24:I$27),"")/IF(I$21*I$22*I$24*I$25*I$26*I$27&gt;0,AVERAGE(I$21:I$22, I$24:I$27),""),"")</f>
        <v/>
      </c>
      <c r="Z157" s="294" t="str">
        <f aca="false">IFERROR(IF(J$21*J$22*J$24*J$25*J$26*J$27&gt;0,STDEV(J$21:J$22, J$24:J$27),"")/IF(J$21*J$22*J$24*J$25*J$26*J$27&gt;0,AVERAGE(J$21:J$22, J$24:J$27),""),"")</f>
        <v/>
      </c>
      <c r="AA157" s="294" t="str">
        <f aca="false">IFERROR(IF(K$21*K$22*K$24*K$25*K$26*K$27&gt;0,STDEV(K$21:K$22, K$24:K$27),"")/IF(K$21*K$22*K$24*K$25*K$26*K$27&gt;0,AVERAGE(K$21:K$22, K$24:K$27),""),"")</f>
        <v/>
      </c>
      <c r="AB157" s="294" t="str">
        <f aca="false">IFERROR(IF(L$21*L$22*L$24*L$25*L$26*L$27&gt;0,STDEV(L$21:L$22, L$24:L$27),"")/IF(L$21*L$22*L$24*L$25*L$26*L$27&gt;0,AVERAGE(L$21:L$22, L$24:L$27),""),"")</f>
        <v/>
      </c>
      <c r="AC157" s="294" t="str">
        <f aca="false">IFERROR(IF(M$21*M$22*M$24*M$25*M$26*M$27&gt;0,STDEV(M$21:M$22, M$24:M$27),"")/IF(M$21*M$22*M$24*M$25*M$26*M$27&gt;0,AVERAGE(M$21:M$22, M$24:M$27),""),"")</f>
        <v/>
      </c>
      <c r="AD157" s="294" t="str">
        <f aca="false">IFERROR(IF(N$21*N$22*N$24*N$25*N$26*N$27&gt;0,STDEV(N$21:N$22, N$24:N$27),"")/IF(N$21*N$22*N$24*N$25*N$26*N$27&gt;0,AVERAGE(N$21:N$22, N$24:N$27),""),"")</f>
        <v/>
      </c>
      <c r="AE157" s="44"/>
      <c r="AF157" s="266" t="s">
        <v>616</v>
      </c>
      <c r="AG157" s="287" t="str">
        <f aca="false">IFERROR(IF(C$21*C$22*C$24*C$25*C$26*C$27&gt;0,STDEV(C$21:C$22, C$24:C$27)," ")/IF(C$21*C$22*C$24*C$25*C$26*C$27&gt;0,SQRT(COUNT(C$21:C$22, C$24:C$27))," "),"")</f>
        <v/>
      </c>
      <c r="AH157" s="287" t="str">
        <f aca="false">IFERROR(IF(D$21*D$22*D$24*D$25*D$26*D$27&gt;0,STDEV(D$21:D$22, D$24:D$27)," ")/IF(D$21*D$22*D$24*D$25*D$26*D$27&gt;0,SQRT(COUNT(D$21:D$22, D$24:D$27))," "),"")</f>
        <v/>
      </c>
      <c r="AI157" s="287" t="str">
        <f aca="false">IFERROR(IF(E$21*E$22*E$24*E$25*E$26*E$27&gt;0,STDEV(E$21:E$22, E$24:E$27)," ")/IF(E$21*E$22*E$24*E$25*E$26*E$27&gt;0,SQRT(COUNT(E$21:E$22, E$24:E$27))," "),"")</f>
        <v/>
      </c>
      <c r="AJ157" s="287" t="str">
        <f aca="false">IFERROR(IF(F$21*F$22*F$24*F$25*F$26*F$27&gt;0,STDEV(F$21:F$22, F$24:F$27)," ")/IF(F$21*F$22*F$24*F$25*F$26*F$27&gt;0,SQRT(COUNT(F$21:F$22, F$24:F$27))," "),"")</f>
        <v/>
      </c>
      <c r="AK157" s="287" t="str">
        <f aca="false">IFERROR(IF(G$21*G$22*G$24*G$25*G$26*G$27&gt;0,STDEV(G$21:G$22, G$24:G$27)," ")/IF(G$21*G$22*G$24*G$25*G$26*G$27&gt;0,SQRT(COUNT(G$21:G$22, G$24:G$27))," "),"")</f>
        <v/>
      </c>
      <c r="AL157" s="287" t="str">
        <f aca="false">IFERROR(IF(H$21*H$22*H$24*H$25*H$26*H$27&gt;0,STDEV(H$21:H$22, H$24:H$27)," ")/IF(H$21*H$22*H$24*H$25*H$26*H$27&gt;0,SQRT(COUNT(H$21:H$22, H$24:H$27))," "),"")</f>
        <v/>
      </c>
      <c r="AM157" s="287" t="str">
        <f aca="false">IFERROR(IF(I$21*I$22*I$24*I$25*I$26*I$27&gt;0,STDEV(I$21:I$22, I$24:I$27)," ")/IF(I$21*I$22*I$24*I$25*I$26*I$27&gt;0,SQRT(COUNT(I$21:I$22, I$24:I$27))," "),"")</f>
        <v/>
      </c>
      <c r="AN157" s="287" t="str">
        <f aca="false">IFERROR(IF(J$21*J$22*J$24*J$25*J$26*J$27&gt;0,STDEV(J$21:J$22, J$24:J$27)," ")/IF(J$21*J$22*J$24*J$25*J$26*J$27&gt;0,SQRT(COUNT(J$21:J$22, J$24:J$27))," "),"")</f>
        <v/>
      </c>
      <c r="AO157" s="287" t="str">
        <f aca="false">IFERROR(IF(K$21*K$22*K$24*K$25*K$26*K$27&gt;0,STDEV(K$21:K$22, K$24:K$27)," ")/IF(K$21*K$22*K$24*K$25*K$26*K$27&gt;0,SQRT(COUNT(K$21:K$22, K$24:K$27))," "),"")</f>
        <v/>
      </c>
      <c r="AP157" s="287" t="str">
        <f aca="false">IFERROR(IF(L$21*L$22*L$24*L$25*L$26*L$27&gt;0,STDEV(L$21:L$22, L$24:L$27)," ")/IF(L$21*L$22*L$24*L$25*L$26*L$27&gt;0,SQRT(COUNT(L$21:L$22, L$24:L$27))," "),"")</f>
        <v/>
      </c>
      <c r="AQ157" s="287" t="str">
        <f aca="false">IFERROR(IF(M$21*M$22*M$24*M$25*M$26*M$27&gt;0,STDEV(M$21:M$22, M$24:M$27)," ")/IF(M$21*M$22*M$24*M$25*M$26*M$27&gt;0,SQRT(COUNT(M$21:M$22, M$24:M$27))," "),"")</f>
        <v/>
      </c>
      <c r="AR157" s="287" t="str">
        <f aca="false">IFERROR(IF(N$21*N$22*N$24*N$25*N$26*N$27&gt;0,STDEV(N$21:N$22, N$24:N$27)," ")/IF(N$21*N$22*N$24*N$25*N$26*N$27&gt;0,SQRT(COUNT(N$21:N$22, N$24:N$27))," "),"")</f>
        <v/>
      </c>
    </row>
    <row r="158" customFormat="false" ht="15.75" hidden="false" customHeight="false" outlineLevel="0" collapsed="false">
      <c r="A158" s="290" t="s">
        <v>617</v>
      </c>
      <c r="B158" s="281"/>
      <c r="C158" s="302" t="str">
        <f aca="false">IFERROR(IF(C$21*C$23*C$24*C$25*C$26*C$27&gt;0,AVERAGE(C$21, C$23:C$27),""),"")</f>
        <v/>
      </c>
      <c r="D158" s="302" t="str">
        <f aca="false">IFERROR(IF(D$21*D$23*D$24*D$25*D$26*D$27&gt;0,AVERAGE(D$21, D$23:D$27),""),"")</f>
        <v/>
      </c>
      <c r="E158" s="302" t="str">
        <f aca="false">IFERROR(IF(E$21*E$23*E$24*E$25*E$26*E$27&gt;0,AVERAGE(E$21, E$23:E$27),""),"")</f>
        <v/>
      </c>
      <c r="F158" s="302" t="str">
        <f aca="false">IFERROR(IF(F$21*F$23*F$24*F$25*F$26*F$27&gt;0,AVERAGE(F$21, F$23:F$27),""),"")</f>
        <v/>
      </c>
      <c r="G158" s="302" t="str">
        <f aca="false">IFERROR(IF(G$21*G$23*G$24*G$25*G$26*G$27&gt;0,AVERAGE(G$21, G$23:G$27),""),"")</f>
        <v/>
      </c>
      <c r="H158" s="302" t="str">
        <f aca="false">IFERROR(IF(H$21*H$23*H$24*H$25*H$26*H$27&gt;0,AVERAGE(H$21, H$23:H$27),""),"")</f>
        <v/>
      </c>
      <c r="I158" s="302" t="str">
        <f aca="false">IFERROR(IF(I$21*I$23*I$24*I$25*I$26*I$27&gt;0,AVERAGE(I$21, I$23:I$27),""),"")</f>
        <v/>
      </c>
      <c r="J158" s="302" t="str">
        <f aca="false">IFERROR(IF(J$21*J$23*J$24*J$25*J$26*J$27&gt;0,AVERAGE(J$21, J$23:J$27),""),"")</f>
        <v/>
      </c>
      <c r="K158" s="302" t="str">
        <f aca="false">IFERROR(IF(K$21*K$23*K$24*K$25*K$26*K$27&gt;0,AVERAGE(K$21, K$23:K$27),""),"")</f>
        <v/>
      </c>
      <c r="L158" s="302" t="str">
        <f aca="false">IFERROR(IF(L$21*L$23*L$24*L$25*L$26*L$27&gt;0,AVERAGE(L$21, L$23:L$27),""),"")</f>
        <v/>
      </c>
      <c r="M158" s="302" t="str">
        <f aca="false">IFERROR(IF(M$21*M$23*M$24*M$25*M$26*M$27&gt;0,AVERAGE(M$21, M$23:M$27),""),"")</f>
        <v/>
      </c>
      <c r="N158" s="302" t="str">
        <f aca="false">IFERROR(IF(N$21*N$23*N$24*N$25*N$26*N$27&gt;0,AVERAGE(N$21, N$23:N$27),""),"")</f>
        <v/>
      </c>
      <c r="O158" s="282"/>
      <c r="P158" s="282"/>
      <c r="Q158" s="296"/>
      <c r="R158" s="293" t="s">
        <v>618</v>
      </c>
      <c r="S158" s="294" t="str">
        <f aca="false">IFERROR(IF(C$21*C$23*C$24*C$25*C$26*C$27&gt;0,STDEV(C$21, C$23:C$27),"")/IF(C$21*C$23*C$24*C$25*C$26*C$27&gt;0,AVERAGE(C$21, C$23:C$27),""),"")</f>
        <v/>
      </c>
      <c r="T158" s="294" t="str">
        <f aca="false">IFERROR(IF(D$21*D$23*D$24*D$25*D$26*D$27&gt;0,STDEV(D$21, D$23:D$27),"")/IF(D$21*D$23*D$24*D$25*D$26*D$27&gt;0,AVERAGE(D$21, D$23:D$27),""),"")</f>
        <v/>
      </c>
      <c r="U158" s="294" t="str">
        <f aca="false">IFERROR(IF(E$21*E$23*E$24*E$25*E$26*E$27&gt;0,STDEV(E$21, E$23:E$27),"")/IF(E$21*E$23*E$24*E$25*E$26*E$27&gt;0,AVERAGE(E$21, E$23:E$27),""),"")</f>
        <v/>
      </c>
      <c r="V158" s="294" t="str">
        <f aca="false">IFERROR(IF(F$21*F$23*F$24*F$25*F$26*F$27&gt;0,STDEV(F$21, F$23:F$27),"")/IF(F$21*F$23*F$24*F$25*F$26*F$27&gt;0,AVERAGE(F$21, F$23:F$27),""),"")</f>
        <v/>
      </c>
      <c r="W158" s="294" t="str">
        <f aca="false">IFERROR(IF(G$21*G$23*G$24*G$25*G$26*G$27&gt;0,STDEV(G$21, G$23:G$27),"")/IF(G$21*G$23*G$24*G$25*G$26*G$27&gt;0,AVERAGE(G$21, G$23:G$27),""),"")</f>
        <v/>
      </c>
      <c r="X158" s="294" t="str">
        <f aca="false">IFERROR(IF(H$21*H$23*H$24*H$25*H$26*H$27&gt;0,STDEV(H$21, H$23:H$27),"")/IF(H$21*H$23*H$24*H$25*H$26*H$27&gt;0,AVERAGE(H$21, H$23:H$27),""),"")</f>
        <v/>
      </c>
      <c r="Y158" s="294" t="str">
        <f aca="false">IFERROR(IF(I$21*I$23*I$24*I$25*I$26*I$27&gt;0,STDEV(I$21, I$23:I$27),"")/IF(I$21*I$23*I$24*I$25*I$26*I$27&gt;0,AVERAGE(I$21, I$23:I$27),""),"")</f>
        <v/>
      </c>
      <c r="Z158" s="294" t="str">
        <f aca="false">IFERROR(IF(J$21*J$23*J$24*J$25*J$26*J$27&gt;0,STDEV(J$21, J$23:J$27),"")/IF(J$21*J$23*J$24*J$25*J$26*J$27&gt;0,AVERAGE(J$21, J$23:J$27),""),"")</f>
        <v/>
      </c>
      <c r="AA158" s="294" t="str">
        <f aca="false">IFERROR(IF(K$21*K$23*K$24*K$25*K$26*K$27&gt;0,STDEV(K$21, K$23:K$27),"")/IF(K$21*K$23*K$24*K$25*K$26*K$27&gt;0,AVERAGE(K$21, K$23:K$27),""),"")</f>
        <v/>
      </c>
      <c r="AB158" s="294" t="str">
        <f aca="false">IFERROR(IF(L$21*L$23*L$24*L$25*L$26*L$27&gt;0,STDEV(L$21, L$23:L$27),"")/IF(L$21*L$23*L$24*L$25*L$26*L$27&gt;0,AVERAGE(L$21, L$23:L$27),""),"")</f>
        <v/>
      </c>
      <c r="AC158" s="294" t="str">
        <f aca="false">IFERROR(IF(M$21*M$23*M$24*M$25*M$26*M$27&gt;0,STDEV(M$21, M$23:M$27),"")/IF(M$21*M$23*M$24*M$25*M$26*M$27&gt;0,AVERAGE(M$21, M$23:M$27),""),"")</f>
        <v/>
      </c>
      <c r="AD158" s="294" t="str">
        <f aca="false">IFERROR(IF(N$21*N$23*N$24*N$25*N$26*N$27&gt;0,STDEV(N$21, N$23:N$27),"")/IF(N$21*N$23*N$24*N$25*N$26*N$27&gt;0,AVERAGE(N$21, N$23:N$27),""),"")</f>
        <v/>
      </c>
      <c r="AE158" s="44"/>
      <c r="AF158" s="266" t="s">
        <v>619</v>
      </c>
      <c r="AG158" s="287" t="str">
        <f aca="false">IFERROR(IF(C$21*C$23*C$24*C$25*C$26*C$27&gt;0,STDEV(C$21, C$23:C$27)," ")/IF(C$21*C$23*C$24*C$25*C$26*C$27&gt;0,SQRT(COUNT(C$21, C$23:C$27))," "),"")</f>
        <v/>
      </c>
      <c r="AH158" s="287" t="str">
        <f aca="false">IFERROR(IF(D$21*D$23*D$24*D$25*D$26*D$27&gt;0,STDEV(D$21, D$23:D$27)," ")/IF(D$21*D$23*D$24*D$25*D$26*D$27&gt;0,SQRT(COUNT(D$21, D$23:D$27))," "),"")</f>
        <v/>
      </c>
      <c r="AI158" s="287" t="str">
        <f aca="false">IFERROR(IF(E$21*E$23*E$24*E$25*E$26*E$27&gt;0,STDEV(E$21, E$23:E$27)," ")/IF(E$21*E$23*E$24*E$25*E$26*E$27&gt;0,SQRT(COUNT(E$21, E$23:E$27))," "),"")</f>
        <v/>
      </c>
      <c r="AJ158" s="287" t="str">
        <f aca="false">IFERROR(IF(F$21*F$23*F$24*F$25*F$26*F$27&gt;0,STDEV(F$21, F$23:F$27)," ")/IF(F$21*F$23*F$24*F$25*F$26*F$27&gt;0,SQRT(COUNT(F$21, F$23:F$27))," "),"")</f>
        <v/>
      </c>
      <c r="AK158" s="287" t="str">
        <f aca="false">IFERROR(IF(G$21*G$23*G$24*G$25*G$26*G$27&gt;0,STDEV(G$21, G$23:G$27)," ")/IF(G$21*G$23*G$24*G$25*G$26*G$27&gt;0,SQRT(COUNT(G$21, G$23:G$27))," "),"")</f>
        <v/>
      </c>
      <c r="AL158" s="287" t="str">
        <f aca="false">IFERROR(IF(H$21*H$23*H$24*H$25*H$26*H$27&gt;0,STDEV(H$21, H$23:H$27)," ")/IF(H$21*H$23*H$24*H$25*H$26*H$27&gt;0,SQRT(COUNT(H$21, H$23:H$27))," "),"")</f>
        <v/>
      </c>
      <c r="AM158" s="287" t="str">
        <f aca="false">IFERROR(IF(I$21*I$23*I$24*I$25*I$26*I$27&gt;0,STDEV(I$21, I$23:I$27)," ")/IF(I$21*I$23*I$24*I$25*I$26*I$27&gt;0,SQRT(COUNT(I$21, I$23:I$27))," "),"")</f>
        <v/>
      </c>
      <c r="AN158" s="287" t="str">
        <f aca="false">IFERROR(IF(J$21*J$23*J$24*J$25*J$26*J$27&gt;0,STDEV(J$21, J$23:J$27)," ")/IF(J$21*J$23*J$24*J$25*J$26*J$27&gt;0,SQRT(COUNT(J$21, J$23:J$27))," "),"")</f>
        <v/>
      </c>
      <c r="AO158" s="287" t="str">
        <f aca="false">IFERROR(IF(K$21*K$23*K$24*K$25*K$26*K$27&gt;0,STDEV(K$21, K$23:K$27)," ")/IF(K$21*K$23*K$24*K$25*K$26*K$27&gt;0,SQRT(COUNT(K$21, K$23:K$27))," "),"")</f>
        <v/>
      </c>
      <c r="AP158" s="287" t="str">
        <f aca="false">IFERROR(IF(L$21*L$23*L$24*L$25*L$26*L$27&gt;0,STDEV(L$21, L$23:L$27)," ")/IF(L$21*L$23*L$24*L$25*L$26*L$27&gt;0,SQRT(COUNT(L$21, L$23:L$27))," "),"")</f>
        <v/>
      </c>
      <c r="AQ158" s="287" t="str">
        <f aca="false">IFERROR(IF(M$21*M$23*M$24*M$25*M$26*M$27&gt;0,STDEV(M$21, M$23:M$27)," ")/IF(M$21*M$23*M$24*M$25*M$26*M$27&gt;0,SQRT(COUNT(M$21, M$23:M$27))," "),"")</f>
        <v/>
      </c>
      <c r="AR158" s="287" t="str">
        <f aca="false">IFERROR(IF(N$21*N$23*N$24*N$25*N$26*N$27&gt;0,STDEV(N$21, N$23:N$27)," ")/IF(N$21*N$23*N$24*N$25*N$26*N$27&gt;0,SQRT(COUNT(N$21, N$23:N$27))," "),"")</f>
        <v/>
      </c>
    </row>
    <row r="159" customFormat="false" ht="15.75" hidden="false" customHeight="false" outlineLevel="0" collapsed="false">
      <c r="A159" s="242" t="s">
        <v>620</v>
      </c>
      <c r="B159" s="243"/>
      <c r="C159" s="262" t="str">
        <f aca="false">IFERROR(IF(C$22*C$23*C$24*C$25*C$26*C$27&gt;0,AVERAGE(C$22:C$27),""),"")</f>
        <v/>
      </c>
      <c r="D159" s="262" t="str">
        <f aca="false">IFERROR(IF(D$22*D$23*D$24*D$25*D$26*D$27&gt;0,AVERAGE(D$22:D$27),""),"")</f>
        <v/>
      </c>
      <c r="E159" s="262" t="str">
        <f aca="false">IFERROR(IF(E$22*E$23*E$24*E$25*E$26*E$27&gt;0,AVERAGE(E$22:E$27),""),"")</f>
        <v/>
      </c>
      <c r="F159" s="262" t="str">
        <f aca="false">IFERROR(IF(F$22*F$23*F$24*F$25*F$26*F$27&gt;0,AVERAGE(F$22:F$27),""),"")</f>
        <v/>
      </c>
      <c r="G159" s="262" t="str">
        <f aca="false">IFERROR(IF(G$22*G$23*G$24*G$25*G$26*G$27&gt;0,AVERAGE(G$22:G$27),""),"")</f>
        <v/>
      </c>
      <c r="H159" s="262" t="str">
        <f aca="false">IFERROR(IF(H$22*H$23*H$24*H$25*H$26*H$27&gt;0,AVERAGE(H$22:H$27),""),"")</f>
        <v/>
      </c>
      <c r="I159" s="262" t="str">
        <f aca="false">IFERROR(IF(I$22*I$23*I$24*I$25*I$26*I$27&gt;0,AVERAGE(I$22:I$27),""),"")</f>
        <v/>
      </c>
      <c r="J159" s="262" t="str">
        <f aca="false">IFERROR(IF(J$22*J$23*J$24*J$25*J$26*J$27&gt;0,AVERAGE(J$22:J$27),""),"")</f>
        <v/>
      </c>
      <c r="K159" s="262" t="str">
        <f aca="false">IFERROR(IF(K$22*K$23*K$24*K$25*K$26*K$27&gt;0,AVERAGE(K$22:K$27),""),"")</f>
        <v/>
      </c>
      <c r="L159" s="262" t="str">
        <f aca="false">IFERROR(IF(L$22*L$23*L$24*L$25*L$26*L$27&gt;0,AVERAGE(L$22:L$27),""),"")</f>
        <v/>
      </c>
      <c r="M159" s="262" t="str">
        <f aca="false">IFERROR(IF(M$22*M$23*M$24*M$25*M$26*M$27&gt;0,AVERAGE(M$22:M$27),""),"")</f>
        <v/>
      </c>
      <c r="N159" s="262" t="str">
        <f aca="false">IFERROR(IF(N$22*N$23*N$24*N$25*N$26*N$27&gt;0,AVERAGE(N$22:N$27),""),"")</f>
        <v/>
      </c>
      <c r="O159" s="245"/>
      <c r="P159" s="245"/>
      <c r="Q159" s="246"/>
      <c r="R159" s="247" t="s">
        <v>621</v>
      </c>
      <c r="S159" s="248" t="str">
        <f aca="false">IFERROR(IF(C$22*C$23*C$24*C$25*C$26*C$27&gt;0,STDEV(C$22:C$27),"")/IF(C$22*C$23*C$24*C$25*C$26*C$27&gt;0,AVERAGE(C$22:C$27),""),"")</f>
        <v/>
      </c>
      <c r="T159" s="248" t="str">
        <f aca="false">IFERROR(IF(D$22*D$23*D$24*D$25*D$26*D$27&gt;0,STDEV(D$22:D$27),"")/IF(D$22*D$23*D$24*D$25*D$26*D$27&gt;0,AVERAGE(D$22:D$27),""),"")</f>
        <v/>
      </c>
      <c r="U159" s="248" t="str">
        <f aca="false">IFERROR(IF(E$22*E$23*E$24*E$25*E$26*E$27&gt;0,STDEV(E$22:E$27),"")/IF(E$22*E$23*E$24*E$25*E$26*E$27&gt;0,AVERAGE(E$22:E$27),""),"")</f>
        <v/>
      </c>
      <c r="V159" s="248" t="str">
        <f aca="false">IFERROR(IF(F$22*F$23*F$24*F$25*F$26*F$27&gt;0,STDEV(F$22:F$27),"")/IF(F$22*F$23*F$24*F$25*F$26*F$27&gt;0,AVERAGE(F$22:F$27),""),"")</f>
        <v/>
      </c>
      <c r="W159" s="248" t="str">
        <f aca="false">IFERROR(IF(G$22*G$23*G$24*G$25*G$26*G$27&gt;0,STDEV(G$22:G$27),"")/IF(G$22*G$23*G$24*G$25*G$26*G$27&gt;0,AVERAGE(G$22:G$27),""),"")</f>
        <v/>
      </c>
      <c r="X159" s="248" t="str">
        <f aca="false">IFERROR(IF(H$22*H$23*H$24*H$25*H$26*H$27&gt;0,STDEV(H$22:H$27),"")/IF(H$22*H$23*H$24*H$25*H$26*H$27&gt;0,AVERAGE(H$22:H$27),""),"")</f>
        <v/>
      </c>
      <c r="Y159" s="248" t="str">
        <f aca="false">IFERROR(IF(I$22*I$23*I$24*I$25*I$26*I$27&gt;0,STDEV(I$22:I$27),"")/IF(I$22*I$23*I$24*I$25*I$26*I$27&gt;0,AVERAGE(I$22:I$27),""),"")</f>
        <v/>
      </c>
      <c r="Z159" s="248" t="str">
        <f aca="false">IFERROR(IF(J$22*J$23*J$24*J$25*J$26*J$27&gt;0,STDEV(J$22:J$27),"")/IF(J$22*J$23*J$24*J$25*J$26*J$27&gt;0,AVERAGE(J$22:J$27),""),"")</f>
        <v/>
      </c>
      <c r="AA159" s="248" t="str">
        <f aca="false">IFERROR(IF(K$22*K$23*K$24*K$25*K$26*K$27&gt;0,STDEV(K$22:K$27),"")/IF(K$22*K$23*K$24*K$25*K$26*K$27&gt;0,AVERAGE(K$22:K$27),""),"")</f>
        <v/>
      </c>
      <c r="AB159" s="248" t="str">
        <f aca="false">IFERROR(IF(L$22*L$23*L$24*L$25*L$26*L$27&gt;0,STDEV(L$22:L$27),"")/IF(L$22*L$23*L$24*L$25*L$26*L$27&gt;0,AVERAGE(L$22:L$27),""),"")</f>
        <v/>
      </c>
      <c r="AC159" s="248" t="str">
        <f aca="false">IFERROR(IF(M$22*M$23*M$24*M$25*M$26*M$27&gt;0,STDEV(M$22:M$27),"")/IF(M$22*M$23*M$24*M$25*M$26*M$27&gt;0,AVERAGE(M$22:M$27),""),"")</f>
        <v/>
      </c>
      <c r="AD159" s="248" t="str">
        <f aca="false">IFERROR(IF(N$22*N$23*N$24*N$25*N$26*N$27&gt;0,STDEV(N$22:N$27),"")/IF(N$22*N$23*N$24*N$25*N$26*N$27&gt;0,AVERAGE(N$22:N$27),""),"")</f>
        <v/>
      </c>
      <c r="AE159" s="300"/>
      <c r="AF159" s="250" t="s">
        <v>622</v>
      </c>
      <c r="AG159" s="251" t="str">
        <f aca="false">IFERROR(IF(C$22*C$23*C$24*C$25*C$26*C$27&gt;0,STDEV(C$22:C$27)," ")/IF(C$22*C$23*C$24*C$25*C$26*C$27&gt;0,SQRT(COUNT(C$22:C$27))," "),"")</f>
        <v/>
      </c>
      <c r="AH159" s="251" t="str">
        <f aca="false">IFERROR(IF(D$22*D$23*D$24*D$25*D$26*D$27&gt;0,STDEV(D$22:D$27)," ")/IF(D$22*D$23*D$24*D$25*D$26*D$27&gt;0,SQRT(COUNT(D$22:D$27))," "),"")</f>
        <v/>
      </c>
      <c r="AI159" s="251" t="str">
        <f aca="false">IFERROR(IF(E$22*E$23*E$24*E$25*E$26*E$27&gt;0,STDEV(E$22:E$27)," ")/IF(E$22*E$23*E$24*E$25*E$26*E$27&gt;0,SQRT(COUNT(E$22:E$27))," "),"")</f>
        <v/>
      </c>
      <c r="AJ159" s="251" t="str">
        <f aca="false">IFERROR(IF(F$22*F$23*F$24*F$25*F$26*F$27&gt;0,STDEV(F$22:F$27)," ")/IF(F$22*F$23*F$24*F$25*F$26*F$27&gt;0,SQRT(COUNT(F$22:F$27))," "),"")</f>
        <v/>
      </c>
      <c r="AK159" s="251" t="str">
        <f aca="false">IFERROR(IF(G$22*G$23*G$24*G$25*G$26*G$27&gt;0,STDEV(G$22:G$27)," ")/IF(G$22*G$23*G$24*G$25*G$26*G$27&gt;0,SQRT(COUNT(G$22:G$27))," "),"")</f>
        <v/>
      </c>
      <c r="AL159" s="251" t="str">
        <f aca="false">IFERROR(IF(H$22*H$23*H$24*H$25*H$26*H$27&gt;0,STDEV(H$22:H$27)," ")/IF(H$22*H$23*H$24*H$25*H$26*H$27&gt;0,SQRT(COUNT(H$22:H$27))," "),"")</f>
        <v/>
      </c>
      <c r="AM159" s="251" t="str">
        <f aca="false">IFERROR(IF(I$22*I$23*I$24*I$25*I$26*I$27&gt;0,STDEV(I$22:I$27)," ")/IF(I$22*I$23*I$24*I$25*I$26*I$27&gt;0,SQRT(COUNT(I$22:I$27))," "),"")</f>
        <v/>
      </c>
      <c r="AN159" s="251" t="str">
        <f aca="false">IFERROR(IF(J$22*J$23*J$24*J$25*J$26*J$27&gt;0,STDEV(J$22:J$27)," ")/IF(J$22*J$23*J$24*J$25*J$26*J$27&gt;0,SQRT(COUNT(J$22:J$27))," "),"")</f>
        <v/>
      </c>
      <c r="AO159" s="251" t="str">
        <f aca="false">IFERROR(IF(K$22*K$23*K$24*K$25*K$26*K$27&gt;0,STDEV(K$22:K$27)," ")/IF(K$22*K$23*K$24*K$25*K$26*K$27&gt;0,SQRT(COUNT(K$22:K$27))," "),"")</f>
        <v/>
      </c>
      <c r="AP159" s="251" t="str">
        <f aca="false">IFERROR(IF(L$22*L$23*L$24*L$25*L$26*L$27&gt;0,STDEV(L$22:L$27)," ")/IF(L$22*L$23*L$24*L$25*L$26*L$27&gt;0,SQRT(COUNT(L$22:L$27))," "),"")</f>
        <v/>
      </c>
      <c r="AQ159" s="251" t="str">
        <f aca="false">IFERROR(IF(M$22*M$23*M$24*M$25*M$26*M$27&gt;0,STDEV(M$22:M$27)," ")/IF(M$22*M$23*M$24*M$25*M$26*M$27&gt;0,SQRT(COUNT(M$22:M$27))," "),"")</f>
        <v/>
      </c>
      <c r="AR159" s="251" t="str">
        <f aca="false">IFERROR(IF(N$22*N$23*N$24*N$25*N$26*N$27&gt;0,STDEV(N$22:N$27)," ")/IF(N$22*N$23*N$24*N$25*N$26*N$27&gt;0,SQRT(COUNT(N$22:N$27))," "),"")</f>
        <v/>
      </c>
    </row>
    <row r="160" customFormat="false" ht="15.75" hidden="false" customHeight="false" outlineLevel="0" collapsed="false">
      <c r="A160" s="290" t="s">
        <v>623</v>
      </c>
      <c r="B160" s="281"/>
      <c r="C160" s="302" t="str">
        <f aca="false">IFERROR(IF(C$21*C$22*C$23*C$24*C$25*C$26*C$27&gt;0,AVERAGE(C$21:C$27),""),"")</f>
        <v/>
      </c>
      <c r="D160" s="302" t="str">
        <f aca="false">IFERROR(IF(D$21*D$22*D$23*D$24*D$25*D$26*D$27&gt;0,AVERAGE(D$21:D$27),""),"")</f>
        <v/>
      </c>
      <c r="E160" s="302" t="str">
        <f aca="false">IFERROR(IF(E$21*E$22*E$23*E$24*E$25*E$26*E$27&gt;0,AVERAGE(E$21:E$27),""),"")</f>
        <v/>
      </c>
      <c r="F160" s="302" t="str">
        <f aca="false">IFERROR(IF(F$21*F$22*F$23*F$24*F$25*F$26*F$27&gt;0,AVERAGE(F$21:F$27),""),"")</f>
        <v/>
      </c>
      <c r="G160" s="302" t="str">
        <f aca="false">IFERROR(IF(G$21*G$22*G$23*G$24*G$25*G$26*G$27&gt;0,AVERAGE(G$21:G$27),""),"")</f>
        <v/>
      </c>
      <c r="H160" s="302" t="str">
        <f aca="false">IFERROR(IF(H$21*H$22*H$23*H$24*H$25*H$26*H$27&gt;0,AVERAGE(H$21:H$27),""),"")</f>
        <v/>
      </c>
      <c r="I160" s="302" t="str">
        <f aca="false">IFERROR(IF(I$21*I$22*I$23*I$24*I$25*I$26*I$27&gt;0,AVERAGE(I$21:I$27),""),"")</f>
        <v/>
      </c>
      <c r="J160" s="302" t="str">
        <f aca="false">IFERROR(IF(J$21*J$22*J$23*J$24*J$25*J$26*J$27&gt;0,AVERAGE(J$21:J$27),""),"")</f>
        <v/>
      </c>
      <c r="K160" s="302" t="str">
        <f aca="false">IFERROR(IF(K$21*K$22*K$23*K$24*K$25*K$26*K$27&gt;0,AVERAGE(K$21:K$27),""),"")</f>
        <v/>
      </c>
      <c r="L160" s="302" t="str">
        <f aca="false">IFERROR(IF(L$21*L$22*L$23*L$24*L$25*L$26*L$27&gt;0,AVERAGE(L$21:L$27),""),"")</f>
        <v/>
      </c>
      <c r="M160" s="302" t="str">
        <f aca="false">IFERROR(IF(M$21*M$22*M$23*M$24*M$25*M$26*M$27&gt;0,AVERAGE(M$21:M$27),""),"")</f>
        <v/>
      </c>
      <c r="N160" s="302" t="str">
        <f aca="false">IFERROR(IF(N$21*N$22*N$23*N$24*N$25*N$26*N$27&gt;0,AVERAGE(N$21:N$27),""),"")</f>
        <v/>
      </c>
      <c r="O160" s="147" t="n">
        <v>7</v>
      </c>
      <c r="P160" s="282" t="n">
        <f aca="false">COMBIN(7,7)</f>
        <v>1</v>
      </c>
      <c r="Q160" s="283" t="n">
        <f aca="false">ROW(N160)-ROW(N160)+1</f>
        <v>1</v>
      </c>
      <c r="R160" s="293" t="s">
        <v>624</v>
      </c>
      <c r="S160" s="294" t="str">
        <f aca="false">IFERROR(IF(C$21*C$22*C$23*C$24*C$25*C$26*C$27&gt;0,STDEV(C$21:C$27),"")/IF(C$21*C$22*C$23*C$24*C$25*C$26*C$27&gt;0,AVERAGE(C$21:C$27),""),"")</f>
        <v/>
      </c>
      <c r="T160" s="294" t="str">
        <f aca="false">IFERROR(IF(D$21*D$22*D$23*D$24*D$25*D$26*D$27&gt;0,STDEV(D$21:D$27),"")/IF(D$21*D$22*D$23*D$24*D$25*D$26*D$27&gt;0,AVERAGE(D$21:D$27),""),"")</f>
        <v/>
      </c>
      <c r="U160" s="294" t="str">
        <f aca="false">IFERROR(IF(E$21*E$22*E$23*E$24*E$25*E$26*E$27&gt;0,STDEV(E$21:E$27),"")/IF(E$21*E$22*E$23*E$24*E$25*E$26*E$27&gt;0,AVERAGE(E$21:E$27),""),"")</f>
        <v/>
      </c>
      <c r="V160" s="294" t="str">
        <f aca="false">IFERROR(IF(F$21*F$22*F$23*F$24*F$25*F$26*F$27&gt;0,STDEV(F$21:F$27),"")/IF(F$21*F$22*F$23*F$24*F$25*F$26*F$27&gt;0,AVERAGE(F$21:F$27),""),"")</f>
        <v/>
      </c>
      <c r="W160" s="294" t="str">
        <f aca="false">IFERROR(IF(G$21*G$22*G$23*G$24*G$25*G$26*G$27&gt;0,STDEV(G$21:G$27),"")/IF(G$21*G$22*G$23*G$24*G$25*G$26*G$27&gt;0,AVERAGE(G$21:G$27),""),"")</f>
        <v/>
      </c>
      <c r="X160" s="294" t="str">
        <f aca="false">IFERROR(IF(H$21*H$22*H$23*H$24*H$25*H$26*H$27&gt;0,STDEV(H$21:H$27),"")/IF(H$21*H$22*H$23*H$24*H$25*H$26*H$27&gt;0,AVERAGE(H$21:H$27),""),"")</f>
        <v/>
      </c>
      <c r="Y160" s="294" t="str">
        <f aca="false">IFERROR(IF(I$21*I$22*I$23*I$24*I$25*I$26*I$27&gt;0,STDEV(I$21:I$27),"")/IF(I$21*I$22*I$23*I$24*I$25*I$26*I$27&gt;0,AVERAGE(I$21:I$27),""),"")</f>
        <v/>
      </c>
      <c r="Z160" s="294" t="str">
        <f aca="false">IFERROR(IF(J$21*J$22*J$23*J$24*J$25*J$26*J$27&gt;0,STDEV(J$21:J$27),"")/IF(J$21*J$22*J$23*J$24*J$25*J$26*J$27&gt;0,AVERAGE(J$21:J$27),""),"")</f>
        <v/>
      </c>
      <c r="AA160" s="294" t="str">
        <f aca="false">IFERROR(IF(K$21*K$22*K$23*K$24*K$25*K$26*K$27&gt;0,STDEV(K$21:K$27),"")/IF(K$21*K$22*K$23*K$24*K$25*K$26*K$27&gt;0,AVERAGE(K$21:K$27),""),"")</f>
        <v/>
      </c>
      <c r="AB160" s="294" t="str">
        <f aca="false">IFERROR(IF(L$21*L$22*L$23*L$24*L$25*L$26*L$27&gt;0,STDEV(L$21:L$27),"")/IF(L$21*L$22*L$23*L$24*L$25*L$26*L$27&gt;0,AVERAGE(L$21:L$27),""),"")</f>
        <v/>
      </c>
      <c r="AC160" s="294" t="str">
        <f aca="false">IFERROR(IF(M$21*M$22*M$23*M$24*M$25*M$26*M$27&gt;0,STDEV(M$21:M$27),"")/IF(M$21*M$22*M$23*M$24*M$25*M$26*M$27&gt;0,AVERAGE(M$21:M$27),""),"")</f>
        <v/>
      </c>
      <c r="AD160" s="294" t="str">
        <f aca="false">IFERROR(IF(N$21*N$22*N$23*N$24*N$25*N$26*N$27&gt;0,STDEV(N$21:N$27),"")/IF(N$21*N$22*N$23*N$24*N$25*N$26*N$27&gt;0,AVERAGE(N$21:N$27),""),"")</f>
        <v/>
      </c>
      <c r="AE160" s="44"/>
      <c r="AF160" s="266" t="s">
        <v>625</v>
      </c>
      <c r="AG160" s="287" t="str">
        <f aca="false">IFERROR(IF(C$21*C$22*C$23*C$24*C$25*C$26*C$27&gt;0,STDEV(C$21:C$27)," ")/IF(C$21*C$22*C$23*C$24*C$25*C$26*C$27&gt;0,SQRT(COUNT(C$21:C$27))," "),"")</f>
        <v/>
      </c>
      <c r="AH160" s="287" t="str">
        <f aca="false">IFERROR(IF(D$21*D$22*D$23*D$24*D$25*D$26*D$27&gt;0,STDEV(D$21:D$27)," ")/IF(D$21*D$22*D$23*D$24*D$25*D$26*D$27&gt;0,SQRT(COUNT(D$21:D$27))," "),"")</f>
        <v/>
      </c>
      <c r="AI160" s="287" t="str">
        <f aca="false">IFERROR(IF(E$21*E$22*E$23*E$24*E$25*E$26*E$27&gt;0,STDEV(E$21:E$27)," ")/IF(E$21*E$22*E$23*E$24*E$25*E$26*E$27&gt;0,SQRT(COUNT(E$21:E$27))," "),"")</f>
        <v/>
      </c>
      <c r="AJ160" s="287" t="str">
        <f aca="false">IFERROR(IF(F$21*F$22*F$23*F$24*F$25*F$26*F$27&gt;0,STDEV(F$21:F$27)," ")/IF(F$21*F$22*F$23*F$24*F$25*F$26*F$27&gt;0,SQRT(COUNT(F$21:F$27))," "),"")</f>
        <v/>
      </c>
      <c r="AK160" s="287" t="str">
        <f aca="false">IFERROR(IF(G$21*G$22*G$23*G$24*G$25*G$26*G$27&gt;0,STDEV(G$21:G$27)," ")/IF(G$21*G$22*G$23*G$24*G$25*G$26*G$27&gt;0,SQRT(COUNT(G$21:G$27))," "),"")</f>
        <v/>
      </c>
      <c r="AL160" s="287" t="str">
        <f aca="false">IFERROR(IF(H$21*H$22*H$23*H$24*H$25*H$26*H$27&gt;0,STDEV(H$21:H$27)," ")/IF(H$21*H$22*H$23*H$24*H$25*H$26*H$27&gt;0,SQRT(COUNT(H$21:H$27))," "),"")</f>
        <v/>
      </c>
      <c r="AM160" s="287" t="str">
        <f aca="false">IFERROR(IF(I$21*I$22*I$23*I$24*I$25*I$26*I$27&gt;0,STDEV(I$21:I$27)," ")/IF(I$21*I$22*I$23*I$24*I$25*I$26*I$27&gt;0,SQRT(COUNT(I$21:I$27))," "),"")</f>
        <v/>
      </c>
      <c r="AN160" s="287" t="str">
        <f aca="false">IFERROR(IF(J$21*J$22*J$23*J$24*J$25*J$26*J$27&gt;0,STDEV(J$21:J$27)," ")/IF(J$21*J$22*J$23*J$24*J$25*J$26*J$27&gt;0,SQRT(COUNT(J$21:J$27))," "),"")</f>
        <v/>
      </c>
      <c r="AO160" s="287" t="str">
        <f aca="false">IFERROR(IF(K$21*K$22*K$23*K$24*K$25*K$26*K$27&gt;0,STDEV(K$21:K$27)," ")/IF(K$21*K$22*K$23*K$24*K$25*K$26*K$27&gt;0,SQRT(COUNT(K$21:K$27))," "),"")</f>
        <v/>
      </c>
      <c r="AP160" s="287" t="str">
        <f aca="false">IFERROR(IF(L$21*L$22*L$23*L$24*L$25*L$26*L$27&gt;0,STDEV(L$21:L$27)," ")/IF(L$21*L$22*L$23*L$24*L$25*L$26*L$27&gt;0,SQRT(COUNT(L$21:L$27))," "),"")</f>
        <v/>
      </c>
      <c r="AQ160" s="287" t="str">
        <f aca="false">IFERROR(IF(M$21*M$22*M$23*M$24*M$25*M$26*M$27&gt;0,STDEV(M$21:M$27)," ")/IF(M$21*M$22*M$23*M$24*M$25*M$26*M$27&gt;0,SQRT(COUNT(M$21:M$27))," "),"")</f>
        <v/>
      </c>
      <c r="AR160" s="287" t="str">
        <f aca="false">IFERROR(IF(N$21*N$22*N$23*N$24*N$25*N$26*N$27&gt;0,STDEV(N$21:N$27)," ")/IF(N$21*N$22*N$23*N$24*N$25*N$26*N$27&gt;0,SQRT(COUNT(N$21:N$27))," "),"")</f>
        <v/>
      </c>
    </row>
    <row r="161" customFormat="false" ht="15.75" hidden="false" customHeight="false" outlineLevel="0" collapsed="false">
      <c r="A161" s="44"/>
      <c r="B161" s="120"/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44"/>
      <c r="O161" s="44" t="n">
        <f aca="false">SUM(P$41:P160)</f>
        <v>120</v>
      </c>
      <c r="P161" s="83" t="n">
        <f aca="false">SUM(Q$41:Q160)</f>
        <v>120</v>
      </c>
      <c r="Q161" s="44" t="n">
        <f aca="false">SUM(COMBIN(7,2), COMBIN(7,3), COMBIN(7,4), COMBIN(7,5), COMBIN(7,6), COMBIN(7,7))</f>
        <v>120</v>
      </c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</row>
    <row r="162" customFormat="false" ht="15.75" hidden="false" customHeight="false" outlineLevel="0" collapsed="false">
      <c r="A162" s="44"/>
      <c r="B162" s="120"/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44"/>
      <c r="O162" s="44"/>
      <c r="P162" s="83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</row>
    <row r="163" customFormat="false" ht="15" hidden="false" customHeight="false" outlineLevel="0" collapsed="false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</row>
    <row r="164" customFormat="false" ht="18" hidden="false" customHeight="false" outlineLevel="0" collapsed="false">
      <c r="A164" s="59" t="s">
        <v>626</v>
      </c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</row>
    <row r="165" customFormat="false" ht="15" hidden="false" customHeight="false" outlineLevel="0" collapsed="false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</row>
    <row r="166" customFormat="false" ht="15" hidden="false" customHeight="false" outlineLevel="0" collapsed="false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</row>
    <row r="167" customFormat="false" ht="21" hidden="false" customHeight="false" outlineLevel="0" collapsed="false">
      <c r="A167" s="44"/>
      <c r="B167" s="185" t="s">
        <v>265</v>
      </c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5"/>
      <c r="P167" s="95"/>
      <c r="Q167" s="186"/>
      <c r="R167" s="44" t="s">
        <v>266</v>
      </c>
      <c r="S167" s="44"/>
      <c r="T167" s="44"/>
      <c r="U167" s="44"/>
      <c r="V167" s="44"/>
      <c r="W167" s="44"/>
      <c r="X167" s="95"/>
      <c r="Y167" s="44"/>
      <c r="Z167" s="149"/>
      <c r="AA167" s="85"/>
      <c r="AB167" s="85"/>
      <c r="AC167" s="85"/>
      <c r="AD167" s="85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</row>
    <row r="168" customFormat="false" ht="15.75" hidden="false" customHeight="false" outlineLevel="0" collapsed="false">
      <c r="A168" s="58" t="s">
        <v>267</v>
      </c>
      <c r="B168" s="42"/>
      <c r="C168" s="44"/>
      <c r="D168" s="44"/>
      <c r="E168" s="44"/>
      <c r="F168" s="44"/>
      <c r="G168" s="44"/>
      <c r="H168" s="44"/>
      <c r="I168" s="44"/>
      <c r="J168" s="44"/>
      <c r="K168" s="44"/>
      <c r="L168" s="58"/>
      <c r="M168" s="58"/>
      <c r="N168" s="58"/>
      <c r="O168" s="58"/>
      <c r="P168" s="95"/>
      <c r="Q168" s="186"/>
      <c r="R168" s="44"/>
      <c r="S168" s="44"/>
      <c r="T168" s="44" t="s">
        <v>269</v>
      </c>
      <c r="U168" s="44"/>
      <c r="V168" s="44"/>
      <c r="W168" s="44"/>
      <c r="X168" s="95"/>
      <c r="Y168" s="187"/>
      <c r="Z168" s="148"/>
      <c r="AA168" s="84"/>
      <c r="AB168" s="84"/>
      <c r="AC168" s="84"/>
      <c r="AD168" s="85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2"/>
      <c r="AP168" s="44"/>
      <c r="AQ168" s="44"/>
      <c r="AR168" s="44"/>
    </row>
    <row r="169" customFormat="false" ht="15.75" hidden="false" customHeight="false" outlineLevel="0" collapsed="false">
      <c r="A169" s="116"/>
      <c r="B169" s="97"/>
      <c r="C169" s="97" t="n">
        <v>1</v>
      </c>
      <c r="D169" s="97" t="n">
        <v>2</v>
      </c>
      <c r="E169" s="97" t="n">
        <v>3</v>
      </c>
      <c r="F169" s="97" t="n">
        <v>4</v>
      </c>
      <c r="G169" s="97" t="n">
        <v>5</v>
      </c>
      <c r="H169" s="97" t="n">
        <v>6</v>
      </c>
      <c r="I169" s="97" t="n">
        <v>7</v>
      </c>
      <c r="J169" s="97" t="n">
        <v>8</v>
      </c>
      <c r="K169" s="97" t="n">
        <v>9</v>
      </c>
      <c r="L169" s="97" t="n">
        <v>10</v>
      </c>
      <c r="M169" s="98" t="n">
        <v>11</v>
      </c>
      <c r="N169" s="98" t="n">
        <v>12</v>
      </c>
      <c r="O169" s="42"/>
      <c r="P169" s="42"/>
      <c r="Q169" s="188"/>
      <c r="R169" s="42"/>
      <c r="S169" s="42"/>
      <c r="T169" s="44"/>
      <c r="U169" s="44" t="s">
        <v>271</v>
      </c>
      <c r="V169" s="95"/>
      <c r="W169" s="187"/>
      <c r="Z169" s="151"/>
      <c r="AA169" s="100"/>
      <c r="AB169" s="100"/>
      <c r="AC169" s="100"/>
      <c r="AD169" s="85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99"/>
      <c r="AP169" s="44"/>
      <c r="AQ169" s="44"/>
      <c r="AR169" s="44"/>
    </row>
    <row r="170" customFormat="false" ht="16.5" hidden="false" customHeight="false" outlineLevel="0" collapsed="false">
      <c r="A170" s="97" t="s">
        <v>166</v>
      </c>
      <c r="B170" s="97" t="s">
        <v>226</v>
      </c>
      <c r="C170" s="95" t="str">
        <f aca="false">'Titer Calculation'!C48</f>
        <v>pALD-eGFP</v>
      </c>
      <c r="D170" s="95" t="str">
        <f aca="false">'Titer Calculation'!D48</f>
        <v>pCTX</v>
      </c>
      <c r="E170" s="95" t="str">
        <f aca="false">'Titer Calculation'!E48</f>
        <v>pCTX</v>
      </c>
      <c r="F170" s="95" t="str">
        <f aca="false">'Titer Calculation'!F48</f>
        <v>pCTX</v>
      </c>
      <c r="G170" s="95" t="str">
        <f aca="false">'Titer Calculation'!G48</f>
        <v>pCTX</v>
      </c>
      <c r="H170" s="95" t="str">
        <f aca="false">'Titer Calculation'!H48</f>
        <v>pCTX</v>
      </c>
      <c r="I170" s="95" t="str">
        <f aca="false">'Titer Calculation'!I48</f>
        <v>pCTX</v>
      </c>
      <c r="J170" s="95" t="str">
        <f aca="false">'Titer Calculation'!J48</f>
        <v>pCTX</v>
      </c>
      <c r="K170" s="95" t="str">
        <f aca="false">'Titer Calculation'!K48</f>
        <v>pCTX</v>
      </c>
      <c r="L170" s="95" t="str">
        <f aca="false">'Titer Calculation'!L48</f>
        <v>pCTX</v>
      </c>
      <c r="M170" s="95" t="str">
        <f aca="false">'Titer Calculation'!M48</f>
        <v>pCTX</v>
      </c>
      <c r="N170" s="95" t="str">
        <f aca="false">'Titer Calculation'!N48</f>
        <v>pCTX</v>
      </c>
      <c r="O170" s="44"/>
      <c r="P170" s="95"/>
      <c r="Q170" s="191"/>
      <c r="R170" s="99"/>
      <c r="S170" s="99"/>
      <c r="T170" s="44" t="s">
        <v>272</v>
      </c>
      <c r="U170" s="44" t="s">
        <v>273</v>
      </c>
      <c r="V170" s="44" t="s">
        <v>274</v>
      </c>
      <c r="W170" s="44"/>
      <c r="Z170" s="148"/>
      <c r="AA170" s="84"/>
      <c r="AB170" s="84"/>
      <c r="AC170" s="84"/>
      <c r="AD170" s="85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</row>
    <row r="171" customFormat="false" ht="15.75" hidden="false" customHeight="false" outlineLevel="0" collapsed="false">
      <c r="A171" s="97" t="s">
        <v>167</v>
      </c>
      <c r="B171" s="97" t="n">
        <f aca="false">'Titer Calculation'!B49</f>
        <v>5</v>
      </c>
      <c r="C171" s="102" t="str">
        <f aca="false">IFERROR(IF(AND('Titer Calculation'!C49&lt;='Titer Calculation'!$T$4,'Titer Calculation'!C49&gt;'Titer Calculation'!$T$5), 'Titer Calculation'!C49," "), "")</f>
        <v> </v>
      </c>
      <c r="D171" s="102" t="str">
        <f aca="false">IFERROR(IF(AND('Titer Calculation'!D49&lt;='Titer Calculation'!$T$4,'Titer Calculation'!D49&gt;'Titer Calculation'!$T$5), 'Titer Calculation'!D49," "), "")</f>
        <v> </v>
      </c>
      <c r="E171" s="102" t="str">
        <f aca="false">IFERROR(IF(AND('Titer Calculation'!E49&lt;='Titer Calculation'!$T$4,'Titer Calculation'!E49&gt;'Titer Calculation'!$T$5), 'Titer Calculation'!E49," "), "")</f>
        <v> </v>
      </c>
      <c r="F171" s="102" t="str">
        <f aca="false">IFERROR(IF(AND('Titer Calculation'!F49&lt;='Titer Calculation'!$T$4,'Titer Calculation'!F49&gt;'Titer Calculation'!$T$5), 'Titer Calculation'!F49," "), "")</f>
        <v> </v>
      </c>
      <c r="G171" s="102" t="str">
        <f aca="false">IFERROR(IF(AND('Titer Calculation'!G49&lt;='Titer Calculation'!$T$4,'Titer Calculation'!G49&gt;'Titer Calculation'!$T$5), 'Titer Calculation'!G49," "), "")</f>
        <v> </v>
      </c>
      <c r="H171" s="102" t="str">
        <f aca="false">IFERROR(IF(AND('Titer Calculation'!H49&lt;='Titer Calculation'!$T$4,'Titer Calculation'!H49&gt;'Titer Calculation'!$T$5), 'Titer Calculation'!H49," "), "")</f>
        <v> </v>
      </c>
      <c r="I171" s="102" t="str">
        <f aca="false">IFERROR(IF(AND('Titer Calculation'!I49&lt;='Titer Calculation'!$T$4,'Titer Calculation'!I49&gt;'Titer Calculation'!$T$5), 'Titer Calculation'!I49," "), "")</f>
        <v> </v>
      </c>
      <c r="J171" s="102" t="str">
        <f aca="false">IFERROR(IF(AND('Titer Calculation'!J49&lt;='Titer Calculation'!$T$4,'Titer Calculation'!J49&gt;'Titer Calculation'!$T$5), 'Titer Calculation'!J49," "), "")</f>
        <v> </v>
      </c>
      <c r="K171" s="102" t="str">
        <f aca="false">IFERROR(IF(AND('Titer Calculation'!K49&lt;='Titer Calculation'!$T$4,'Titer Calculation'!K49&gt;'Titer Calculation'!$T$5), 'Titer Calculation'!K49," "), "")</f>
        <v> </v>
      </c>
      <c r="L171" s="102" t="str">
        <f aca="false">IFERROR(IF(AND('Titer Calculation'!L49&lt;='Titer Calculation'!$T$4,'Titer Calculation'!L49&gt;'Titer Calculation'!$T$5), 'Titer Calculation'!L49," "), "")</f>
        <v> </v>
      </c>
      <c r="M171" s="102" t="str">
        <f aca="false">IFERROR(IF(AND('Titer Calculation'!M49&lt;='Titer Calculation'!$T$4,'Titer Calculation'!M49&gt;'Titer Calculation'!$T$5), 'Titer Calculation'!M49," "), "")</f>
        <v> </v>
      </c>
      <c r="N171" s="102" t="str">
        <f aca="false">IFERROR(IF(AND('Titer Calculation'!N49&lt;='Titer Calculation'!$T$4,'Titer Calculation'!N49&gt;'Titer Calculation'!$T$5), 'Titer Calculation'!N49," "), "")</f>
        <v> </v>
      </c>
      <c r="O171" s="44"/>
      <c r="P171" s="266" t="s">
        <v>627</v>
      </c>
      <c r="Q171" s="267"/>
      <c r="R171" s="268"/>
      <c r="S171" s="44"/>
      <c r="T171" s="193" t="n">
        <v>2</v>
      </c>
      <c r="U171" s="194" t="s">
        <v>276</v>
      </c>
      <c r="V171" s="288" t="n">
        <v>222</v>
      </c>
      <c r="W171" s="44" t="n">
        <f aca="false">COMBIN(7,T171)</f>
        <v>21</v>
      </c>
      <c r="Z171" s="269"/>
      <c r="AA171" s="269"/>
      <c r="AB171" s="103"/>
      <c r="AC171" s="103"/>
      <c r="AD171" s="85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</row>
    <row r="172" customFormat="false" ht="15.75" hidden="false" customHeight="false" outlineLevel="0" collapsed="false">
      <c r="A172" s="97" t="s">
        <v>168</v>
      </c>
      <c r="B172" s="97" t="n">
        <f aca="false">'Titer Calculation'!B50</f>
        <v>25</v>
      </c>
      <c r="C172" s="102" t="str">
        <f aca="false">IFERROR(IF(AND('Titer Calculation'!C50&lt;='Titer Calculation'!$T$4,'Titer Calculation'!C50&gt;'Titer Calculation'!$T$5), 'Titer Calculation'!C50," "), "")</f>
        <v> </v>
      </c>
      <c r="D172" s="102" t="str">
        <f aca="false">IFERROR(IF(AND('Titer Calculation'!D50&lt;='Titer Calculation'!$T$4,'Titer Calculation'!D50&gt;'Titer Calculation'!$T$5), 'Titer Calculation'!D50," "), "")</f>
        <v> </v>
      </c>
      <c r="E172" s="102" t="str">
        <f aca="false">IFERROR(IF(AND('Titer Calculation'!E50&lt;='Titer Calculation'!$T$4,'Titer Calculation'!E50&gt;'Titer Calculation'!$T$5), 'Titer Calculation'!E50," "), "")</f>
        <v> </v>
      </c>
      <c r="F172" s="102" t="str">
        <f aca="false">IFERROR(IF(AND('Titer Calculation'!F50&lt;='Titer Calculation'!$T$4,'Titer Calculation'!F50&gt;'Titer Calculation'!$T$5), 'Titer Calculation'!F50," "), "")</f>
        <v> </v>
      </c>
      <c r="G172" s="102" t="str">
        <f aca="false">IFERROR(IF(AND('Titer Calculation'!G50&lt;='Titer Calculation'!$T$4,'Titer Calculation'!G50&gt;'Titer Calculation'!$T$5), 'Titer Calculation'!G50," "), "")</f>
        <v> </v>
      </c>
      <c r="H172" s="102" t="str">
        <f aca="false">IFERROR(IF(AND('Titer Calculation'!H50&lt;='Titer Calculation'!$T$4,'Titer Calculation'!H50&gt;'Titer Calculation'!$T$5), 'Titer Calculation'!H50," "), "")</f>
        <v> </v>
      </c>
      <c r="I172" s="102" t="str">
        <f aca="false">IFERROR(IF(AND('Titer Calculation'!I50&lt;='Titer Calculation'!$T$4,'Titer Calculation'!I50&gt;'Titer Calculation'!$T$5), 'Titer Calculation'!I50," "), "")</f>
        <v> </v>
      </c>
      <c r="J172" s="102" t="str">
        <f aca="false">IFERROR(IF(AND('Titer Calculation'!J50&lt;='Titer Calculation'!$T$4,'Titer Calculation'!J50&gt;'Titer Calculation'!$T$5), 'Titer Calculation'!J50," "), "")</f>
        <v> </v>
      </c>
      <c r="K172" s="102" t="str">
        <f aca="false">IFERROR(IF(AND('Titer Calculation'!K50&lt;='Titer Calculation'!$T$4,'Titer Calculation'!K50&gt;'Titer Calculation'!$T$5), 'Titer Calculation'!K50," "), "")</f>
        <v> </v>
      </c>
      <c r="L172" s="102" t="str">
        <f aca="false">IFERROR(IF(AND('Titer Calculation'!L50&lt;='Titer Calculation'!$T$4,'Titer Calculation'!L50&gt;'Titer Calculation'!$T$5), 'Titer Calculation'!L50," "), "")</f>
        <v> </v>
      </c>
      <c r="M172" s="102" t="str">
        <f aca="false">IFERROR(IF(AND('Titer Calculation'!M50&lt;='Titer Calculation'!$T$4,'Titer Calculation'!M50&gt;'Titer Calculation'!$T$5), 'Titer Calculation'!M50," "), "")</f>
        <v> </v>
      </c>
      <c r="N172" s="102" t="str">
        <f aca="false">IFERROR(IF(AND('Titer Calculation'!N50&lt;='Titer Calculation'!$T$4,'Titer Calculation'!N50&gt;'Titer Calculation'!$T$5), 'Titer Calculation'!N50," "), "")</f>
        <v> </v>
      </c>
      <c r="O172" s="44"/>
      <c r="P172" s="44"/>
      <c r="Q172" s="83"/>
      <c r="R172" s="44"/>
      <c r="S172" s="44"/>
      <c r="T172" s="200" t="n">
        <v>3</v>
      </c>
      <c r="U172" s="146" t="n">
        <v>223</v>
      </c>
      <c r="V172" s="201" t="n">
        <v>258</v>
      </c>
      <c r="W172" s="44" t="n">
        <f aca="false">COMBIN(7,T172)</f>
        <v>35</v>
      </c>
      <c r="Z172" s="269"/>
      <c r="AA172" s="269"/>
      <c r="AB172" s="84"/>
      <c r="AC172" s="84"/>
      <c r="AD172" s="85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</row>
    <row r="173" customFormat="false" ht="15.75" hidden="false" customHeight="false" outlineLevel="0" collapsed="false">
      <c r="A173" s="97" t="s">
        <v>169</v>
      </c>
      <c r="B173" s="97" t="n">
        <f aca="false">'Titer Calculation'!B51</f>
        <v>125</v>
      </c>
      <c r="C173" s="102" t="str">
        <f aca="false">IFERROR(IF(AND('Titer Calculation'!C51&lt;='Titer Calculation'!$T$4,'Titer Calculation'!C51&gt;'Titer Calculation'!$T$5), 'Titer Calculation'!C51," "), "")</f>
        <v> </v>
      </c>
      <c r="D173" s="102" t="str">
        <f aca="false">IFERROR(IF(AND('Titer Calculation'!D51&lt;='Titer Calculation'!$T$4,'Titer Calculation'!D51&gt;'Titer Calculation'!$T$5), 'Titer Calculation'!D51," "), "")</f>
        <v> </v>
      </c>
      <c r="E173" s="102" t="str">
        <f aca="false">IFERROR(IF(AND('Titer Calculation'!E51&lt;='Titer Calculation'!$T$4,'Titer Calculation'!E51&gt;'Titer Calculation'!$T$5), 'Titer Calculation'!E51," "), "")</f>
        <v> </v>
      </c>
      <c r="F173" s="102" t="str">
        <f aca="false">IFERROR(IF(AND('Titer Calculation'!F51&lt;='Titer Calculation'!$T$4,'Titer Calculation'!F51&gt;'Titer Calculation'!$T$5), 'Titer Calculation'!F51," "), "")</f>
        <v> </v>
      </c>
      <c r="G173" s="102" t="str">
        <f aca="false">IFERROR(IF(AND('Titer Calculation'!G51&lt;='Titer Calculation'!$T$4,'Titer Calculation'!G51&gt;'Titer Calculation'!$T$5), 'Titer Calculation'!G51," "), "")</f>
        <v> </v>
      </c>
      <c r="H173" s="102" t="str">
        <f aca="false">IFERROR(IF(AND('Titer Calculation'!H51&lt;='Titer Calculation'!$T$4,'Titer Calculation'!H51&gt;'Titer Calculation'!$T$5), 'Titer Calculation'!H51," "), "")</f>
        <v> </v>
      </c>
      <c r="I173" s="102" t="str">
        <f aca="false">IFERROR(IF(AND('Titer Calculation'!I51&lt;='Titer Calculation'!$T$4,'Titer Calculation'!I51&gt;'Titer Calculation'!$T$5), 'Titer Calculation'!I51," "), "")</f>
        <v> </v>
      </c>
      <c r="J173" s="102" t="str">
        <f aca="false">IFERROR(IF(AND('Titer Calculation'!J51&lt;='Titer Calculation'!$T$4,'Titer Calculation'!J51&gt;'Titer Calculation'!$T$5), 'Titer Calculation'!J51," "), "")</f>
        <v> </v>
      </c>
      <c r="K173" s="102" t="str">
        <f aca="false">IFERROR(IF(AND('Titer Calculation'!K51&lt;='Titer Calculation'!$T$4,'Titer Calculation'!K51&gt;'Titer Calculation'!$T$5), 'Titer Calculation'!K51," "), "")</f>
        <v> </v>
      </c>
      <c r="L173" s="102" t="str">
        <f aca="false">IFERROR(IF(AND('Titer Calculation'!L51&lt;='Titer Calculation'!$T$4,'Titer Calculation'!L51&gt;'Titer Calculation'!$T$5), 'Titer Calculation'!L51," "), "")</f>
        <v> </v>
      </c>
      <c r="M173" s="102" t="str">
        <f aca="false">IFERROR(IF(AND('Titer Calculation'!M51&lt;='Titer Calculation'!$T$4,'Titer Calculation'!M51&gt;'Titer Calculation'!$T$5), 'Titer Calculation'!M51," "), "")</f>
        <v> </v>
      </c>
      <c r="N173" s="102" t="str">
        <f aca="false">IFERROR(IF(AND('Titer Calculation'!N51&lt;='Titer Calculation'!$T$4,'Titer Calculation'!N51&gt;'Titer Calculation'!$T$5), 'Titer Calculation'!N51," "), "")</f>
        <v> </v>
      </c>
      <c r="O173" s="44"/>
      <c r="P173" s="44"/>
      <c r="Q173" s="83"/>
      <c r="R173" s="44"/>
      <c r="S173" s="44"/>
      <c r="T173" s="200" t="n">
        <v>4</v>
      </c>
      <c r="U173" s="146" t="n">
        <v>259</v>
      </c>
      <c r="V173" s="201" t="n">
        <v>294</v>
      </c>
      <c r="W173" s="44" t="n">
        <f aca="false">COMBIN(7,T173)</f>
        <v>35</v>
      </c>
      <c r="Z173" s="269"/>
      <c r="AA173" s="269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</row>
    <row r="174" customFormat="false" ht="15.75" hidden="false" customHeight="false" outlineLevel="0" collapsed="false">
      <c r="A174" s="97" t="s">
        <v>170</v>
      </c>
      <c r="B174" s="97" t="n">
        <f aca="false">'Titer Calculation'!B52</f>
        <v>625</v>
      </c>
      <c r="C174" s="102" t="str">
        <f aca="false">IFERROR(IF(AND('Titer Calculation'!C52&lt;='Titer Calculation'!$T$4,'Titer Calculation'!C52&gt;'Titer Calculation'!$T$5), 'Titer Calculation'!C52," "), "")</f>
        <v> </v>
      </c>
      <c r="D174" s="102" t="str">
        <f aca="false">IFERROR(IF(AND('Titer Calculation'!D52&lt;='Titer Calculation'!$T$4,'Titer Calculation'!D52&gt;'Titer Calculation'!$T$5), 'Titer Calculation'!D52," "), "")</f>
        <v> </v>
      </c>
      <c r="E174" s="102" t="str">
        <f aca="false">IFERROR(IF(AND('Titer Calculation'!E52&lt;='Titer Calculation'!$T$4,'Titer Calculation'!E52&gt;'Titer Calculation'!$T$5), 'Titer Calculation'!E52," "), "")</f>
        <v> </v>
      </c>
      <c r="F174" s="102" t="str">
        <f aca="false">IFERROR(IF(AND('Titer Calculation'!F52&lt;='Titer Calculation'!$T$4,'Titer Calculation'!F52&gt;'Titer Calculation'!$T$5), 'Titer Calculation'!F52," "), "")</f>
        <v> </v>
      </c>
      <c r="G174" s="102" t="str">
        <f aca="false">IFERROR(IF(AND('Titer Calculation'!G52&lt;='Titer Calculation'!$T$4,'Titer Calculation'!G52&gt;'Titer Calculation'!$T$5), 'Titer Calculation'!G52," "), "")</f>
        <v> </v>
      </c>
      <c r="H174" s="102" t="str">
        <f aca="false">IFERROR(IF(AND('Titer Calculation'!H52&lt;='Titer Calculation'!$T$4,'Titer Calculation'!H52&gt;'Titer Calculation'!$T$5), 'Titer Calculation'!H52," "), "")</f>
        <v> </v>
      </c>
      <c r="I174" s="102" t="str">
        <f aca="false">IFERROR(IF(AND('Titer Calculation'!I52&lt;='Titer Calculation'!$T$4,'Titer Calculation'!I52&gt;'Titer Calculation'!$T$5), 'Titer Calculation'!I52," "), "")</f>
        <v> </v>
      </c>
      <c r="J174" s="102" t="str">
        <f aca="false">IFERROR(IF(AND('Titer Calculation'!J52&lt;='Titer Calculation'!$T$4,'Titer Calculation'!J52&gt;'Titer Calculation'!$T$5), 'Titer Calculation'!J52," "), "")</f>
        <v> </v>
      </c>
      <c r="K174" s="102" t="str">
        <f aca="false">IFERROR(IF(AND('Titer Calculation'!K52&lt;='Titer Calculation'!$T$4,'Titer Calculation'!K52&gt;'Titer Calculation'!$T$5), 'Titer Calculation'!K52," "), "")</f>
        <v> </v>
      </c>
      <c r="L174" s="102" t="str">
        <f aca="false">IFERROR(IF(AND('Titer Calculation'!L52&lt;='Titer Calculation'!$T$4,'Titer Calculation'!L52&gt;'Titer Calculation'!$T$5), 'Titer Calculation'!L52," "), "")</f>
        <v> </v>
      </c>
      <c r="M174" s="102" t="str">
        <f aca="false">IFERROR(IF(AND('Titer Calculation'!M52&lt;='Titer Calculation'!$T$4,'Titer Calculation'!M52&gt;'Titer Calculation'!$T$5), 'Titer Calculation'!M52," "), "")</f>
        <v> </v>
      </c>
      <c r="N174" s="102" t="str">
        <f aca="false">IFERROR(IF(AND('Titer Calculation'!N52&lt;='Titer Calculation'!$T$4,'Titer Calculation'!N52&gt;'Titer Calculation'!$T$5), 'Titer Calculation'!N52," "), "")</f>
        <v> </v>
      </c>
      <c r="O174" s="44"/>
      <c r="P174" s="44"/>
      <c r="Q174" s="83"/>
      <c r="R174" s="44"/>
      <c r="S174" s="44"/>
      <c r="T174" s="200" t="n">
        <v>5</v>
      </c>
      <c r="U174" s="146" t="n">
        <v>295</v>
      </c>
      <c r="V174" s="201" t="n">
        <v>316</v>
      </c>
      <c r="W174" s="44" t="n">
        <f aca="false">COMBIN(7,T174)</f>
        <v>21</v>
      </c>
      <c r="Z174" s="269"/>
      <c r="AA174" s="269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</row>
    <row r="175" customFormat="false" ht="15.75" hidden="false" customHeight="false" outlineLevel="0" collapsed="false">
      <c r="A175" s="97" t="s">
        <v>171</v>
      </c>
      <c r="B175" s="97" t="n">
        <f aca="false">'Titer Calculation'!B53</f>
        <v>3125</v>
      </c>
      <c r="C175" s="102" t="str">
        <f aca="false">IFERROR(IF(AND('Titer Calculation'!C53&lt;='Titer Calculation'!$T$4,'Titer Calculation'!C53&gt;'Titer Calculation'!$T$5), 'Titer Calculation'!C53," "), "")</f>
        <v> </v>
      </c>
      <c r="D175" s="102" t="str">
        <f aca="false">IFERROR(IF(AND('Titer Calculation'!D53&lt;='Titer Calculation'!$T$4,'Titer Calculation'!D53&gt;'Titer Calculation'!$T$5), 'Titer Calculation'!D53," "), "")</f>
        <v> </v>
      </c>
      <c r="E175" s="102" t="str">
        <f aca="false">IFERROR(IF(AND('Titer Calculation'!E53&lt;='Titer Calculation'!$T$4,'Titer Calculation'!E53&gt;'Titer Calculation'!$T$5), 'Titer Calculation'!E53," "), "")</f>
        <v> </v>
      </c>
      <c r="F175" s="102" t="str">
        <f aca="false">IFERROR(IF(AND('Titer Calculation'!F53&lt;='Titer Calculation'!$T$4,'Titer Calculation'!F53&gt;'Titer Calculation'!$T$5), 'Titer Calculation'!F53," "), "")</f>
        <v> </v>
      </c>
      <c r="G175" s="102" t="str">
        <f aca="false">IFERROR(IF(AND('Titer Calculation'!G53&lt;='Titer Calculation'!$T$4,'Titer Calculation'!G53&gt;'Titer Calculation'!$T$5), 'Titer Calculation'!G53," "), "")</f>
        <v> </v>
      </c>
      <c r="H175" s="102" t="str">
        <f aca="false">IFERROR(IF(AND('Titer Calculation'!H53&lt;='Titer Calculation'!$T$4,'Titer Calculation'!H53&gt;'Titer Calculation'!$T$5), 'Titer Calculation'!H53," "), "")</f>
        <v> </v>
      </c>
      <c r="I175" s="102" t="str">
        <f aca="false">IFERROR(IF(AND('Titer Calculation'!I53&lt;='Titer Calculation'!$T$4,'Titer Calculation'!I53&gt;'Titer Calculation'!$T$5), 'Titer Calculation'!I53," "), "")</f>
        <v> </v>
      </c>
      <c r="J175" s="102" t="str">
        <f aca="false">IFERROR(IF(AND('Titer Calculation'!J53&lt;='Titer Calculation'!$T$4,'Titer Calculation'!J53&gt;'Titer Calculation'!$T$5), 'Titer Calculation'!J53," "), "")</f>
        <v> </v>
      </c>
      <c r="K175" s="102" t="str">
        <f aca="false">IFERROR(IF(AND('Titer Calculation'!K53&lt;='Titer Calculation'!$T$4,'Titer Calculation'!K53&gt;'Titer Calculation'!$T$5), 'Titer Calculation'!K53," "), "")</f>
        <v> </v>
      </c>
      <c r="L175" s="102" t="str">
        <f aca="false">IFERROR(IF(AND('Titer Calculation'!L53&lt;='Titer Calculation'!$T$4,'Titer Calculation'!L53&gt;'Titer Calculation'!$T$5), 'Titer Calculation'!L53," "), "")</f>
        <v> </v>
      </c>
      <c r="M175" s="102" t="str">
        <f aca="false">IFERROR(IF(AND('Titer Calculation'!M53&lt;='Titer Calculation'!$T$4,'Titer Calculation'!M53&gt;'Titer Calculation'!$T$5), 'Titer Calculation'!M53," "), "")</f>
        <v> </v>
      </c>
      <c r="N175" s="102" t="str">
        <f aca="false">IFERROR(IF(AND('Titer Calculation'!N53&lt;='Titer Calculation'!$T$4,'Titer Calculation'!N53&gt;'Titer Calculation'!$T$5), 'Titer Calculation'!N53," "), "")</f>
        <v> </v>
      </c>
      <c r="O175" s="44"/>
      <c r="P175" s="44"/>
      <c r="Q175" s="83"/>
      <c r="R175" s="44"/>
      <c r="S175" s="44"/>
      <c r="T175" s="200" t="n">
        <v>6</v>
      </c>
      <c r="U175" s="146" t="n">
        <v>317</v>
      </c>
      <c r="V175" s="201" t="n">
        <v>324</v>
      </c>
      <c r="W175" s="44" t="n">
        <f aca="false">COMBIN(7,T175)</f>
        <v>7</v>
      </c>
      <c r="Z175" s="269"/>
      <c r="AA175" s="269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</row>
    <row r="176" customFormat="false" ht="16.5" hidden="false" customHeight="false" outlineLevel="0" collapsed="false">
      <c r="A176" s="97" t="s">
        <v>172</v>
      </c>
      <c r="B176" s="97" t="n">
        <f aca="false">'Titer Calculation'!B54</f>
        <v>15625</v>
      </c>
      <c r="C176" s="102" t="str">
        <f aca="false">IFERROR(IF(AND('Titer Calculation'!C54&lt;='Titer Calculation'!$T$4,'Titer Calculation'!C54&gt;'Titer Calculation'!$T$5), 'Titer Calculation'!C54," "), "")</f>
        <v> </v>
      </c>
      <c r="D176" s="102" t="str">
        <f aca="false">IFERROR(IF(AND('Titer Calculation'!D54&lt;='Titer Calculation'!$T$4,'Titer Calculation'!D54&gt;'Titer Calculation'!$T$5), 'Titer Calculation'!D54," "), "")</f>
        <v> </v>
      </c>
      <c r="E176" s="102" t="str">
        <f aca="false">IFERROR(IF(AND('Titer Calculation'!E54&lt;='Titer Calculation'!$T$4,'Titer Calculation'!E54&gt;'Titer Calculation'!$T$5), 'Titer Calculation'!E54," "), "")</f>
        <v> </v>
      </c>
      <c r="F176" s="102" t="str">
        <f aca="false">IFERROR(IF(AND('Titer Calculation'!F54&lt;='Titer Calculation'!$T$4,'Titer Calculation'!F54&gt;'Titer Calculation'!$T$5), 'Titer Calculation'!F54," "), "")</f>
        <v> </v>
      </c>
      <c r="G176" s="102" t="str">
        <f aca="false">IFERROR(IF(AND('Titer Calculation'!G54&lt;='Titer Calculation'!$T$4,'Titer Calculation'!G54&gt;'Titer Calculation'!$T$5), 'Titer Calculation'!G54," "), "")</f>
        <v> </v>
      </c>
      <c r="H176" s="102" t="str">
        <f aca="false">IFERROR(IF(AND('Titer Calculation'!H54&lt;='Titer Calculation'!$T$4,'Titer Calculation'!H54&gt;'Titer Calculation'!$T$5), 'Titer Calculation'!H54," "), "")</f>
        <v> </v>
      </c>
      <c r="I176" s="102" t="str">
        <f aca="false">IFERROR(IF(AND('Titer Calculation'!I54&lt;='Titer Calculation'!$T$4,'Titer Calculation'!I54&gt;'Titer Calculation'!$T$5), 'Titer Calculation'!I54," "), "")</f>
        <v> </v>
      </c>
      <c r="J176" s="102" t="str">
        <f aca="false">IFERROR(IF(AND('Titer Calculation'!J54&lt;='Titer Calculation'!$T$4,'Titer Calculation'!J54&gt;'Titer Calculation'!$T$5), 'Titer Calculation'!J54," "), "")</f>
        <v> </v>
      </c>
      <c r="K176" s="102" t="str">
        <f aca="false">IFERROR(IF(AND('Titer Calculation'!K54&lt;='Titer Calculation'!$T$4,'Titer Calculation'!K54&gt;'Titer Calculation'!$T$5), 'Titer Calculation'!K54," "), "")</f>
        <v> </v>
      </c>
      <c r="L176" s="102" t="str">
        <f aca="false">IFERROR(IF(AND('Titer Calculation'!L54&lt;='Titer Calculation'!$T$4,'Titer Calculation'!L54&gt;'Titer Calculation'!$T$5), 'Titer Calculation'!L54," "), "")</f>
        <v> </v>
      </c>
      <c r="M176" s="102" t="str">
        <f aca="false">IFERROR(IF(AND('Titer Calculation'!M54&lt;='Titer Calculation'!$T$4,'Titer Calculation'!M54&gt;'Titer Calculation'!$T$5), 'Titer Calculation'!M54," "), "")</f>
        <v> </v>
      </c>
      <c r="N176" s="102" t="str">
        <f aca="false">IFERROR(IF(AND('Titer Calculation'!N54&lt;='Titer Calculation'!$T$4,'Titer Calculation'!N54&gt;'Titer Calculation'!$T$5), 'Titer Calculation'!N54," "), "")</f>
        <v> </v>
      </c>
      <c r="O176" s="44"/>
      <c r="P176" s="44"/>
      <c r="Q176" s="83"/>
      <c r="R176" s="44"/>
      <c r="S176" s="44"/>
      <c r="T176" s="205" t="n">
        <v>7</v>
      </c>
      <c r="U176" s="206" t="n">
        <v>325</v>
      </c>
      <c r="V176" s="207" t="n">
        <v>325</v>
      </c>
      <c r="W176" s="44" t="n">
        <f aca="false">COMBIN(7,T176)</f>
        <v>1</v>
      </c>
      <c r="Z176" s="269"/>
      <c r="AA176" s="269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</row>
    <row r="177" customFormat="false" ht="15.75" hidden="false" customHeight="false" outlineLevel="0" collapsed="false">
      <c r="A177" s="97" t="s">
        <v>173</v>
      </c>
      <c r="B177" s="97" t="n">
        <f aca="false">'Titer Calculation'!B55</f>
        <v>78125</v>
      </c>
      <c r="C177" s="102" t="str">
        <f aca="false">IFERROR(IF(AND('Titer Calculation'!C55&lt;='Titer Calculation'!$T$4,'Titer Calculation'!C55&gt;'Titer Calculation'!$T$5), 'Titer Calculation'!C55," "), "")</f>
        <v> </v>
      </c>
      <c r="D177" s="102" t="str">
        <f aca="false">IFERROR(IF(AND('Titer Calculation'!D55&lt;='Titer Calculation'!$T$4,'Titer Calculation'!D55&gt;'Titer Calculation'!$T$5), 'Titer Calculation'!D55," "), "")</f>
        <v> </v>
      </c>
      <c r="E177" s="102" t="str">
        <f aca="false">IFERROR(IF(AND('Titer Calculation'!E55&lt;='Titer Calculation'!$T$4,'Titer Calculation'!E55&gt;'Titer Calculation'!$T$5), 'Titer Calculation'!E55," "), "")</f>
        <v> </v>
      </c>
      <c r="F177" s="102" t="str">
        <f aca="false">IFERROR(IF(AND('Titer Calculation'!F55&lt;='Titer Calculation'!$T$4,'Titer Calculation'!F55&gt;'Titer Calculation'!$T$5), 'Titer Calculation'!F55," "), "")</f>
        <v> </v>
      </c>
      <c r="G177" s="102" t="str">
        <f aca="false">IFERROR(IF(AND('Titer Calculation'!G55&lt;='Titer Calculation'!$T$4,'Titer Calculation'!G55&gt;'Titer Calculation'!$T$5), 'Titer Calculation'!G55," "), "")</f>
        <v> </v>
      </c>
      <c r="H177" s="102" t="str">
        <f aca="false">IFERROR(IF(AND('Titer Calculation'!H55&lt;='Titer Calculation'!$T$4,'Titer Calculation'!H55&gt;'Titer Calculation'!$T$5), 'Titer Calculation'!H55," "), "")</f>
        <v> </v>
      </c>
      <c r="I177" s="102" t="str">
        <f aca="false">IFERROR(IF(AND('Titer Calculation'!I55&lt;='Titer Calculation'!$T$4,'Titer Calculation'!I55&gt;'Titer Calculation'!$T$5), 'Titer Calculation'!I55," "), "")</f>
        <v> </v>
      </c>
      <c r="J177" s="102" t="str">
        <f aca="false">IFERROR(IF(AND('Titer Calculation'!J55&lt;='Titer Calculation'!$T$4,'Titer Calculation'!J55&gt;'Titer Calculation'!$T$5), 'Titer Calculation'!J55," "), "")</f>
        <v> </v>
      </c>
      <c r="K177" s="102" t="str">
        <f aca="false">IFERROR(IF(AND('Titer Calculation'!K55&lt;='Titer Calculation'!$T$4,'Titer Calculation'!K55&gt;'Titer Calculation'!$T$5), 'Titer Calculation'!K55," "), "")</f>
        <v> </v>
      </c>
      <c r="L177" s="102" t="str">
        <f aca="false">IFERROR(IF(AND('Titer Calculation'!L55&lt;='Titer Calculation'!$T$4,'Titer Calculation'!L55&gt;'Titer Calculation'!$T$5), 'Titer Calculation'!L55," "), "")</f>
        <v> </v>
      </c>
      <c r="M177" s="102" t="str">
        <f aca="false">IFERROR(IF(AND('Titer Calculation'!M55&lt;='Titer Calculation'!$T$4,'Titer Calculation'!M55&gt;'Titer Calculation'!$T$5), 'Titer Calculation'!M55," "), "")</f>
        <v> </v>
      </c>
      <c r="N177" s="102" t="str">
        <f aca="false">IFERROR(IF(AND('Titer Calculation'!N55&lt;='Titer Calculation'!$T$4,'Titer Calculation'!N55&gt;'Titer Calculation'!$T$5), 'Titer Calculation'!N55," "), "")</f>
        <v> </v>
      </c>
      <c r="O177" s="44"/>
      <c r="P177" s="44"/>
      <c r="Q177" s="83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</row>
    <row r="178" customFormat="false" ht="15.75" hidden="false" customHeight="false" outlineLevel="0" collapsed="false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83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</row>
    <row r="179" customFormat="false" ht="21" hidden="false" customHeight="false" outlineLevel="0" collapsed="false">
      <c r="A179" s="44"/>
      <c r="B179" s="34"/>
      <c r="C179" s="44"/>
      <c r="D179" s="44"/>
      <c r="E179" s="114"/>
      <c r="F179" s="114"/>
      <c r="G179" s="44"/>
      <c r="H179" s="115"/>
      <c r="I179" s="44"/>
      <c r="J179" s="58"/>
      <c r="K179" s="44"/>
      <c r="L179" s="44"/>
      <c r="M179" s="44"/>
      <c r="N179" s="44"/>
      <c r="O179" s="44"/>
      <c r="P179" s="44"/>
      <c r="Q179" s="83"/>
      <c r="R179" s="185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</row>
    <row r="180" customFormat="false" ht="15.75" hidden="false" customHeight="false" outlineLevel="0" collapsed="false">
      <c r="A180" s="42" t="s">
        <v>239</v>
      </c>
      <c r="B180" s="42"/>
      <c r="C180" s="97" t="n">
        <f aca="false">C169</f>
        <v>1</v>
      </c>
      <c r="D180" s="97" t="n">
        <f aca="false">D169</f>
        <v>2</v>
      </c>
      <c r="E180" s="97" t="n">
        <f aca="false">E169</f>
        <v>3</v>
      </c>
      <c r="F180" s="97" t="n">
        <f aca="false">F169</f>
        <v>4</v>
      </c>
      <c r="G180" s="97" t="n">
        <f aca="false">G169</f>
        <v>5</v>
      </c>
      <c r="H180" s="97" t="n">
        <f aca="false">H169</f>
        <v>6</v>
      </c>
      <c r="I180" s="97" t="n">
        <f aca="false">I169</f>
        <v>7</v>
      </c>
      <c r="J180" s="97" t="n">
        <f aca="false">J169</f>
        <v>8</v>
      </c>
      <c r="K180" s="97" t="n">
        <f aca="false">K169</f>
        <v>9</v>
      </c>
      <c r="L180" s="98" t="n">
        <f aca="false">L169</f>
        <v>10</v>
      </c>
      <c r="M180" s="98" t="n">
        <f aca="false">M169</f>
        <v>11</v>
      </c>
      <c r="N180" s="98" t="n">
        <f aca="false">N169</f>
        <v>12</v>
      </c>
      <c r="O180" s="42"/>
      <c r="P180" s="42"/>
      <c r="Q180" s="83"/>
      <c r="R180" s="44"/>
      <c r="S180" s="44"/>
      <c r="T180" s="99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99"/>
      <c r="AP180" s="44"/>
      <c r="AQ180" s="44"/>
      <c r="AR180" s="44"/>
    </row>
    <row r="181" customFormat="false" ht="15.75" hidden="false" customHeight="false" outlineLevel="0" collapsed="false">
      <c r="A181" s="116" t="s">
        <v>166</v>
      </c>
      <c r="B181" s="97" t="s">
        <v>226</v>
      </c>
      <c r="C181" s="117" t="str">
        <f aca="false">C170</f>
        <v>pALD-eGFP</v>
      </c>
      <c r="D181" s="117" t="str">
        <f aca="false">D170</f>
        <v>pCTX</v>
      </c>
      <c r="E181" s="118" t="str">
        <f aca="false">E170</f>
        <v>pCTX</v>
      </c>
      <c r="F181" s="118" t="str">
        <f aca="false">F170</f>
        <v>pCTX</v>
      </c>
      <c r="G181" s="118" t="str">
        <f aca="false">G170</f>
        <v>pCTX</v>
      </c>
      <c r="H181" s="118" t="str">
        <f aca="false">H170</f>
        <v>pCTX</v>
      </c>
      <c r="I181" s="118" t="str">
        <f aca="false">I170</f>
        <v>pCTX</v>
      </c>
      <c r="J181" s="118" t="str">
        <f aca="false">J170</f>
        <v>pCTX</v>
      </c>
      <c r="K181" s="118" t="str">
        <f aca="false">K170</f>
        <v>pCTX</v>
      </c>
      <c r="L181" s="118" t="str">
        <f aca="false">L170</f>
        <v>pCTX</v>
      </c>
      <c r="M181" s="118" t="str">
        <f aca="false">M170</f>
        <v>pCTX</v>
      </c>
      <c r="N181" s="119" t="str">
        <f aca="false">N170</f>
        <v>pCTX</v>
      </c>
      <c r="O181" s="99"/>
      <c r="P181" s="99"/>
      <c r="Q181" s="191"/>
      <c r="R181" s="99"/>
      <c r="S181" s="99"/>
      <c r="T181" s="120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120"/>
      <c r="AP181" s="44"/>
      <c r="AQ181" s="44"/>
      <c r="AR181" s="44"/>
    </row>
    <row r="182" customFormat="false" ht="15.75" hidden="false" customHeight="false" outlineLevel="0" collapsed="false">
      <c r="A182" s="97" t="s">
        <v>167</v>
      </c>
      <c r="B182" s="97" t="n">
        <f aca="false">'Titer Calculation'!B49</f>
        <v>5</v>
      </c>
      <c r="C182" s="121" t="e">
        <f aca="false">(C171/100)*10000*$B182*10</f>
        <v>#VALUE!</v>
      </c>
      <c r="D182" s="121" t="e">
        <f aca="false">(D171/100)*10000*$B182*10</f>
        <v>#VALUE!</v>
      </c>
      <c r="E182" s="121" t="e">
        <f aca="false">(E171/100)*10000*$B182*10</f>
        <v>#VALUE!</v>
      </c>
      <c r="F182" s="121" t="e">
        <f aca="false">(F171/100)*10000*$B182*10</f>
        <v>#VALUE!</v>
      </c>
      <c r="G182" s="121" t="e">
        <f aca="false">(G171/100)*10000*$B182*10</f>
        <v>#VALUE!</v>
      </c>
      <c r="H182" s="121" t="e">
        <f aca="false">(H171/100)*10000*$B182*10</f>
        <v>#VALUE!</v>
      </c>
      <c r="I182" s="121" t="e">
        <f aca="false">(I171/100)*10000*$B182*10</f>
        <v>#VALUE!</v>
      </c>
      <c r="J182" s="121" t="e">
        <f aca="false">(J171/100)*10000*$B182*10</f>
        <v>#VALUE!</v>
      </c>
      <c r="K182" s="121" t="e">
        <f aca="false">(K171/100)*10000*$B182*10</f>
        <v>#VALUE!</v>
      </c>
      <c r="L182" s="121" t="e">
        <f aca="false">(L171/100)*10000*$B182*10</f>
        <v>#VALUE!</v>
      </c>
      <c r="M182" s="121" t="e">
        <f aca="false">(M171/100)*10000*$B182*10</f>
        <v>#VALUE!</v>
      </c>
      <c r="N182" s="121" t="e">
        <f aca="false">(N171/100)*10000*$B182*10</f>
        <v>#VALUE!</v>
      </c>
      <c r="O182" s="120"/>
      <c r="P182" s="44"/>
      <c r="Q182" s="83"/>
      <c r="R182" s="120"/>
      <c r="S182" s="44"/>
      <c r="T182" s="120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120"/>
      <c r="AP182" s="44"/>
      <c r="AQ182" s="44"/>
      <c r="AR182" s="44"/>
    </row>
    <row r="183" customFormat="false" ht="15.75" hidden="false" customHeight="false" outlineLevel="0" collapsed="false">
      <c r="A183" s="97" t="s">
        <v>168</v>
      </c>
      <c r="B183" s="97" t="n">
        <f aca="false">'Titer Calculation'!B50</f>
        <v>25</v>
      </c>
      <c r="C183" s="121" t="e">
        <f aca="false">(C172/100)*10000*$B183*10</f>
        <v>#VALUE!</v>
      </c>
      <c r="D183" s="121" t="e">
        <f aca="false">(D172/100)*10000*$B183*10</f>
        <v>#VALUE!</v>
      </c>
      <c r="E183" s="121" t="e">
        <f aca="false">(E172/100)*10000*$B183*10</f>
        <v>#VALUE!</v>
      </c>
      <c r="F183" s="121" t="e">
        <f aca="false">(F172/100)*10000*$B183*10</f>
        <v>#VALUE!</v>
      </c>
      <c r="G183" s="121" t="e">
        <f aca="false">(G172/100)*10000*$B183*10</f>
        <v>#VALUE!</v>
      </c>
      <c r="H183" s="121" t="e">
        <f aca="false">(H172/100)*10000*$B183*10</f>
        <v>#VALUE!</v>
      </c>
      <c r="I183" s="121" t="e">
        <f aca="false">(I172/100)*10000*$B183*10</f>
        <v>#VALUE!</v>
      </c>
      <c r="J183" s="121" t="e">
        <f aca="false">(J172/100)*10000*$B183*10</f>
        <v>#VALUE!</v>
      </c>
      <c r="K183" s="121" t="e">
        <f aca="false">(K172/100)*10000*$B183*10</f>
        <v>#VALUE!</v>
      </c>
      <c r="L183" s="121" t="e">
        <f aca="false">(L172/100)*10000*$B183*10</f>
        <v>#VALUE!</v>
      </c>
      <c r="M183" s="121" t="e">
        <f aca="false">(M172/100)*10000*$B183*10</f>
        <v>#VALUE!</v>
      </c>
      <c r="N183" s="121" t="e">
        <f aca="false">(N172/100)*10000*$B183*10</f>
        <v>#VALUE!</v>
      </c>
      <c r="O183" s="120"/>
      <c r="P183" s="44"/>
      <c r="Q183" s="83"/>
      <c r="R183" s="120"/>
      <c r="S183" s="44"/>
      <c r="T183" s="120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120"/>
      <c r="AP183" s="44"/>
      <c r="AQ183" s="44"/>
      <c r="AR183" s="44"/>
    </row>
    <row r="184" customFormat="false" ht="15.75" hidden="false" customHeight="false" outlineLevel="0" collapsed="false">
      <c r="A184" s="97" t="s">
        <v>169</v>
      </c>
      <c r="B184" s="97" t="n">
        <f aca="false">'Titer Calculation'!B51</f>
        <v>125</v>
      </c>
      <c r="C184" s="121" t="e">
        <f aca="false">(C173/100)*10000*$B184*10</f>
        <v>#VALUE!</v>
      </c>
      <c r="D184" s="121" t="e">
        <f aca="false">(D173/100)*10000*$B184*10</f>
        <v>#VALUE!</v>
      </c>
      <c r="E184" s="121" t="e">
        <f aca="false">(E173/100)*10000*$B184*10</f>
        <v>#VALUE!</v>
      </c>
      <c r="F184" s="121" t="e">
        <f aca="false">(F173/100)*10000*$B184*10</f>
        <v>#VALUE!</v>
      </c>
      <c r="G184" s="121" t="e">
        <f aca="false">(G173/100)*10000*$B184*10</f>
        <v>#VALUE!</v>
      </c>
      <c r="H184" s="121" t="e">
        <f aca="false">(H173/100)*10000*$B184*10</f>
        <v>#VALUE!</v>
      </c>
      <c r="I184" s="121" t="e">
        <f aca="false">(I173/100)*10000*$B184*10</f>
        <v>#VALUE!</v>
      </c>
      <c r="J184" s="121" t="e">
        <f aca="false">(J173/100)*10000*$B184*10</f>
        <v>#VALUE!</v>
      </c>
      <c r="K184" s="121" t="e">
        <f aca="false">(K173/100)*10000*$B184*10</f>
        <v>#VALUE!</v>
      </c>
      <c r="L184" s="121" t="e">
        <f aca="false">(L173/100)*10000*$B184*10</f>
        <v>#VALUE!</v>
      </c>
      <c r="M184" s="121" t="e">
        <f aca="false">(M173/100)*10000*$B184*10</f>
        <v>#VALUE!</v>
      </c>
      <c r="N184" s="121" t="e">
        <f aca="false">(N173/100)*10000*$B184*10</f>
        <v>#VALUE!</v>
      </c>
      <c r="O184" s="120"/>
      <c r="P184" s="44"/>
      <c r="Q184" s="83"/>
      <c r="R184" s="120"/>
      <c r="S184" s="44"/>
      <c r="T184" s="120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120"/>
      <c r="AP184" s="44"/>
      <c r="AQ184" s="44"/>
      <c r="AR184" s="44"/>
    </row>
    <row r="185" customFormat="false" ht="15.75" hidden="false" customHeight="false" outlineLevel="0" collapsed="false">
      <c r="A185" s="97" t="s">
        <v>170</v>
      </c>
      <c r="B185" s="97" t="n">
        <f aca="false">'Titer Calculation'!B52</f>
        <v>625</v>
      </c>
      <c r="C185" s="121" t="e">
        <f aca="false">(C174/100)*10000*$B185*10</f>
        <v>#VALUE!</v>
      </c>
      <c r="D185" s="121" t="e">
        <f aca="false">(D174/100)*10000*$B185*10</f>
        <v>#VALUE!</v>
      </c>
      <c r="E185" s="121" t="e">
        <f aca="false">(E174/100)*10000*$B185*10</f>
        <v>#VALUE!</v>
      </c>
      <c r="F185" s="121" t="e">
        <f aca="false">(F174/100)*10000*$B185*10</f>
        <v>#VALUE!</v>
      </c>
      <c r="G185" s="121" t="e">
        <f aca="false">(G174/100)*10000*$B185*10</f>
        <v>#VALUE!</v>
      </c>
      <c r="H185" s="121" t="e">
        <f aca="false">(H174/100)*10000*$B185*10</f>
        <v>#VALUE!</v>
      </c>
      <c r="I185" s="121" t="e">
        <f aca="false">(I174/100)*10000*$B185*10</f>
        <v>#VALUE!</v>
      </c>
      <c r="J185" s="121" t="e">
        <f aca="false">(J174/100)*10000*$B185*10</f>
        <v>#VALUE!</v>
      </c>
      <c r="K185" s="121" t="e">
        <f aca="false">(K174/100)*10000*$B185*10</f>
        <v>#VALUE!</v>
      </c>
      <c r="L185" s="121" t="e">
        <f aca="false">(L174/100)*10000*$B185*10</f>
        <v>#VALUE!</v>
      </c>
      <c r="M185" s="121" t="e">
        <f aca="false">(M174/100)*10000*$B185*10</f>
        <v>#VALUE!</v>
      </c>
      <c r="N185" s="121" t="e">
        <f aca="false">(N174/100)*10000*$B185*10</f>
        <v>#VALUE!</v>
      </c>
      <c r="O185" s="120"/>
      <c r="P185" s="44"/>
      <c r="Q185" s="83"/>
      <c r="R185" s="44"/>
      <c r="S185" s="120"/>
      <c r="T185" s="120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120"/>
      <c r="AP185" s="44"/>
      <c r="AQ185" s="44"/>
      <c r="AR185" s="44"/>
    </row>
    <row r="186" customFormat="false" ht="15.75" hidden="false" customHeight="false" outlineLevel="0" collapsed="false">
      <c r="A186" s="97" t="s">
        <v>171</v>
      </c>
      <c r="B186" s="97" t="n">
        <f aca="false">'Titer Calculation'!B53</f>
        <v>3125</v>
      </c>
      <c r="C186" s="121" t="e">
        <f aca="false">(C175/100)*10000*$B186*10</f>
        <v>#VALUE!</v>
      </c>
      <c r="D186" s="121" t="e">
        <f aca="false">(D175/100)*10000*$B186*10</f>
        <v>#VALUE!</v>
      </c>
      <c r="E186" s="121" t="e">
        <f aca="false">(E175/100)*10000*$B186*10</f>
        <v>#VALUE!</v>
      </c>
      <c r="F186" s="121" t="e">
        <f aca="false">(F175/100)*10000*$B186*10</f>
        <v>#VALUE!</v>
      </c>
      <c r="G186" s="121" t="e">
        <f aca="false">(G175/100)*10000*$B186*10</f>
        <v>#VALUE!</v>
      </c>
      <c r="H186" s="121" t="e">
        <f aca="false">(H175/100)*10000*$B186*10</f>
        <v>#VALUE!</v>
      </c>
      <c r="I186" s="121" t="e">
        <f aca="false">(I175/100)*10000*$B186*10</f>
        <v>#VALUE!</v>
      </c>
      <c r="J186" s="121" t="e">
        <f aca="false">(J175/100)*10000*$B186*10</f>
        <v>#VALUE!</v>
      </c>
      <c r="K186" s="121" t="e">
        <f aca="false">(K175/100)*10000*$B186*10</f>
        <v>#VALUE!</v>
      </c>
      <c r="L186" s="121" t="e">
        <f aca="false">(L175/100)*10000*$B186*10</f>
        <v>#VALUE!</v>
      </c>
      <c r="M186" s="121" t="e">
        <f aca="false">(M175/100)*10000*$B186*10</f>
        <v>#VALUE!</v>
      </c>
      <c r="N186" s="121" t="e">
        <f aca="false">(N175/100)*10000*$B186*10</f>
        <v>#VALUE!</v>
      </c>
      <c r="O186" s="120"/>
      <c r="P186" s="44"/>
      <c r="Q186" s="83"/>
      <c r="R186" s="44"/>
      <c r="S186" s="44"/>
      <c r="T186" s="120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120"/>
      <c r="AP186" s="44"/>
      <c r="AQ186" s="44"/>
      <c r="AR186" s="44"/>
    </row>
    <row r="187" customFormat="false" ht="15.75" hidden="false" customHeight="false" outlineLevel="0" collapsed="false">
      <c r="A187" s="97" t="s">
        <v>172</v>
      </c>
      <c r="B187" s="97" t="n">
        <f aca="false">'Titer Calculation'!B54</f>
        <v>15625</v>
      </c>
      <c r="C187" s="121" t="e">
        <f aca="false">(C176/100)*10000*$B187*10</f>
        <v>#VALUE!</v>
      </c>
      <c r="D187" s="121" t="e">
        <f aca="false">(D176/100)*10000*$B187*10</f>
        <v>#VALUE!</v>
      </c>
      <c r="E187" s="121" t="e">
        <f aca="false">(E176/100)*10000*$B187*10</f>
        <v>#VALUE!</v>
      </c>
      <c r="F187" s="121" t="e">
        <f aca="false">(F176/100)*10000*$B187*10</f>
        <v>#VALUE!</v>
      </c>
      <c r="G187" s="121" t="e">
        <f aca="false">(G176/100)*10000*$B187*10</f>
        <v>#VALUE!</v>
      </c>
      <c r="H187" s="121" t="e">
        <f aca="false">(H176/100)*10000*$B187*10</f>
        <v>#VALUE!</v>
      </c>
      <c r="I187" s="121" t="e">
        <f aca="false">(I176/100)*10000*$B187*10</f>
        <v>#VALUE!</v>
      </c>
      <c r="J187" s="121" t="e">
        <f aca="false">(J176/100)*10000*$B187*10</f>
        <v>#VALUE!</v>
      </c>
      <c r="K187" s="121" t="e">
        <f aca="false">(K176/100)*10000*$B187*10</f>
        <v>#VALUE!</v>
      </c>
      <c r="L187" s="121" t="e">
        <f aca="false">(L176/100)*10000*$B187*10</f>
        <v>#VALUE!</v>
      </c>
      <c r="M187" s="121" t="e">
        <f aca="false">(M176/100)*10000*$B187*10</f>
        <v>#VALUE!</v>
      </c>
      <c r="N187" s="121" t="e">
        <f aca="false">(N176/100)*10000*$B187*10</f>
        <v>#VALUE!</v>
      </c>
      <c r="O187" s="120"/>
      <c r="P187" s="44"/>
      <c r="Q187" s="83"/>
      <c r="R187" s="120"/>
      <c r="S187" s="44"/>
      <c r="T187" s="120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120"/>
      <c r="AP187" s="44"/>
      <c r="AQ187" s="44"/>
      <c r="AR187" s="44"/>
    </row>
    <row r="188" customFormat="false" ht="15.75" hidden="false" customHeight="false" outlineLevel="0" collapsed="false">
      <c r="A188" s="97" t="s">
        <v>173</v>
      </c>
      <c r="B188" s="97" t="n">
        <f aca="false">'Titer Calculation'!B55</f>
        <v>78125</v>
      </c>
      <c r="C188" s="121" t="e">
        <f aca="false">(C177/100)*10000*$B188*10</f>
        <v>#VALUE!</v>
      </c>
      <c r="D188" s="121" t="e">
        <f aca="false">(D177/100)*10000*$B188*10</f>
        <v>#VALUE!</v>
      </c>
      <c r="E188" s="121" t="e">
        <f aca="false">(E177/100)*10000*$B188*10</f>
        <v>#VALUE!</v>
      </c>
      <c r="F188" s="121" t="e">
        <f aca="false">(F177/100)*10000*$B188*10</f>
        <v>#VALUE!</v>
      </c>
      <c r="G188" s="121" t="e">
        <f aca="false">(G177/100)*10000*$B188*10</f>
        <v>#VALUE!</v>
      </c>
      <c r="H188" s="121" t="e">
        <f aca="false">(H177/100)*10000*$B188*10</f>
        <v>#VALUE!</v>
      </c>
      <c r="I188" s="121" t="e">
        <f aca="false">(I177/100)*10000*$B188*10</f>
        <v>#VALUE!</v>
      </c>
      <c r="J188" s="121" t="e">
        <f aca="false">(J177/100)*10000*$B188*10</f>
        <v>#VALUE!</v>
      </c>
      <c r="K188" s="121" t="e">
        <f aca="false">(K177/100)*10000*$B188*10</f>
        <v>#VALUE!</v>
      </c>
      <c r="L188" s="121" t="e">
        <f aca="false">(L177/100)*10000*$B188*10</f>
        <v>#VALUE!</v>
      </c>
      <c r="M188" s="121" t="e">
        <f aca="false">(M177/100)*10000*$B188*10</f>
        <v>#VALUE!</v>
      </c>
      <c r="N188" s="121" t="e">
        <f aca="false">(N177/100)*10000*$B188*10</f>
        <v>#VALUE!</v>
      </c>
      <c r="O188" s="211" t="s">
        <v>272</v>
      </c>
      <c r="P188" s="44"/>
      <c r="Q188" s="83"/>
      <c r="R188" s="212"/>
      <c r="S188" s="44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75"/>
      <c r="AP188" s="44"/>
      <c r="AQ188" s="44"/>
      <c r="AR188" s="44"/>
    </row>
    <row r="189" customFormat="false" ht="15.75" hidden="false" customHeight="false" outlineLevel="0" collapsed="false">
      <c r="A189" s="213" t="s">
        <v>277</v>
      </c>
      <c r="B189" s="213"/>
      <c r="C189" s="214" t="e">
        <f aca="false" t="array" ref="C189:C189">_xlfn.IFS(AND(COUNT(C$171:C$177)&gt;=7,S$325&lt;'Titer Calculation'!$T$6),C$325,AND(COUNT(C$171:C$177)&gt;=6,MIN(S$317:S$324)&lt;'Titer Calculation'!$T$6),_xlfn.xlookup(MIN(S$317:S$324),S$317:S$324, C$317:C$324),AND(COUNT(C$171:C$177)&gt;=5,MIN(S$293:S$316)&lt;'Titer Calculation'!$T$6),_xlfn.xlookup(MIN(S$295:S$316), S$295:S$316, C$295:$C$316),AND(COUNT(C$171:C$177)&gt;=4,MIN(S$259:S$294)&lt;'Titer Calculation'!$T$6),_xlfn.xlookup(MIN(S$259:S$294), S$259:S$294, C$259:C$294),AND(COUNT(C$171:C$177)&gt;=3,MIN(S$223:S$258)&lt;'Titer Calculation'!$T$6),_xlfn.xlookup(MIN(S$223:S$258), S$223:S$258, C$223:C$258),AND(COUNT(C$171:C$177)&gt;=2,MIN(S$202:S$222)&lt;'Titer Calculation'!$T$6),_xlfn.xlookup(MIN(S$202:S$222), S$202:S$222, C$202:C$222), TRUE(), _xlfn.xlookup(MIN(S$202:S$325), S$202:S$325, C$202:C$325))</f>
        <v>#NAME?</v>
      </c>
      <c r="D189" s="214" t="e">
        <f aca="false" t="array" ref="D189:D189">_xlfn.IFS(AND(COUNT(D$171:D$177)&gt;=7,T$325&lt;'Titer Calculation'!$T$6),D$325,AND(COUNT(D$171:D$177)&gt;=6,MIN(T$317:T$324)&lt;'Titer Calculation'!$T$6),_xlfn.xlookup(MIN(T$317:T$324),T$317:T$324, D$317:D$324),AND(COUNT(D$171:D$177)&gt;=5,MIN(T$293:T$316)&lt;'Titer Calculation'!$T$6),_xlfn.xlookup(MIN(T$295:T$316), T$295:T$316, $C$295:D$316),AND(COUNT(D$171:D$177)&gt;=4,MIN(T$259:T$294)&lt;'Titer Calculation'!$T$6),_xlfn.xlookup(MIN(T$259:T$294), T$259:T$294, D$259:D$294),AND(COUNT(D$171:D$177)&gt;=3,MIN(T$223:T$258)&lt;'Titer Calculation'!$T$6),_xlfn.xlookup(MIN(T$223:T$258), T$223:T$258, D$223:D$258),AND(COUNT(D$171:D$177)&gt;=2,MIN(T$202:T$222)&lt;'Titer Calculation'!$T$6),_xlfn.xlookup(MIN(T$202:T$222), T$202:T$222, D$202:D$222), TRUE(), _xlfn.xlookup(MIN(T$202:T$325), T$202:T$325, D$202:D$325))</f>
        <v>#NAME?</v>
      </c>
      <c r="E189" s="214" t="e">
        <f aca="false" t="array" ref="E189:E189">_xlfn.IFS(AND(COUNT(E$171:E$177)&gt;=7,U$325&lt;'Titer Calculation'!$T$6),E$325,AND(COUNT(E$171:E$177)&gt;=6,MIN(U$317:U$324)&lt;'Titer Calculation'!$T$6),_xlfn.xlookup(MIN(U$317:U$324),U$317:U$324, E$317:E$324),AND(COUNT(E$171:E$177)&gt;=5,MIN(U$293:U$316)&lt;'Titer Calculation'!$T$6),_xlfn.xlookup(MIN(U$295:U$316), U$295:U$316, $C$295:E$316),AND(COUNT(E$171:E$177)&gt;=4,MIN(U$259:U$294)&lt;'Titer Calculation'!$T$6),_xlfn.xlookup(MIN(U$259:U$294), U$259:U$294, E$259:E$294),AND(COUNT(E$171:E$177)&gt;=3,MIN(U$223:U$258)&lt;'Titer Calculation'!$T$6),_xlfn.xlookup(MIN(U$223:U$258), U$223:U$258, E$223:E$258),AND(COUNT(E$171:E$177)&gt;=2,MIN(U$202:U$222)&lt;'Titer Calculation'!$T$6),_xlfn.xlookup(MIN(U$202:U$222), U$202:U$222, E$202:E$222), TRUE(), _xlfn.xlookup(MIN(U$202:U$325), U$202:U$325, E$202:E$325))</f>
        <v>#NAME?</v>
      </c>
      <c r="F189" s="214" t="e">
        <f aca="false" t="array" ref="F189:F189">_xlfn.IFS(AND(COUNT(F$171:F$177)&gt;=7,V$325&lt;'Titer Calculation'!$T$6),F$325,AND(COUNT(F$171:F$177)&gt;=6,MIN(V$317:V$324)&lt;'Titer Calculation'!$T$6),_xlfn.xlookup(MIN(V$317:V$324),V$317:V$324, F$317:F$324),AND(COUNT(F$171:F$177)&gt;=5,MIN(V$293:V$316)&lt;'Titer Calculation'!$T$6),_xlfn.xlookup(MIN(V$295:V$316), V$295:V$316, $C$295:F$316),AND(COUNT(F$171:F$177)&gt;=4,MIN(V$259:V$294)&lt;'Titer Calculation'!$T$6),_xlfn.xlookup(MIN(V$259:V$294), V$259:V$294, F$259:F$294),AND(COUNT(F$171:F$177)&gt;=3,MIN(V$223:V$258)&lt;'Titer Calculation'!$T$6),_xlfn.xlookup(MIN(V$223:V$258), V$223:V$258, F$223:F$258),AND(COUNT(F$171:F$177)&gt;=2,MIN(V$202:V$222)&lt;'Titer Calculation'!$T$6),_xlfn.xlookup(MIN(V$202:V$222), V$202:V$222, F$202:F$222), TRUE(), _xlfn.xlookup(MIN(V$202:V$325), V$202:V$325, F$202:F$325))</f>
        <v>#NAME?</v>
      </c>
      <c r="G189" s="214" t="e">
        <f aca="false" t="array" ref="G189:G189">_xlfn.IFS(AND(COUNT(G$171:G$177)&gt;=7,W$325&lt;'Titer Calculation'!$T$6),G$325,AND(COUNT(G$171:G$177)&gt;=6,MIN(W$317:W$324)&lt;'Titer Calculation'!$T$6),_xlfn.xlookup(MIN(W$317:W$324),W$317:W$324, G$317:G$324),AND(COUNT(G$171:G$177)&gt;=5,MIN(W$293:W$316)&lt;'Titer Calculation'!$T$6),_xlfn.xlookup(MIN(W$295:W$316), W$295:W$316, $C$295:G$316),AND(COUNT(G$171:G$177)&gt;=4,MIN(W$259:W$294)&lt;'Titer Calculation'!$T$6),_xlfn.xlookup(MIN(W$259:W$294), W$259:W$294, G$259:G$294),AND(COUNT(G$171:G$177)&gt;=3,MIN(W$223:W$258)&lt;'Titer Calculation'!$T$6),_xlfn.xlookup(MIN(W$223:W$258), W$223:W$258, G$223:G$258),AND(COUNT(G$171:G$177)&gt;=2,MIN(W$202:W$222)&lt;'Titer Calculation'!$T$6),_xlfn.xlookup(MIN(W$202:W$222), W$202:W$222, G$202:G$222), TRUE(), _xlfn.xlookup(MIN(W$202:W$325), W$202:W$325, G$202:G$325))</f>
        <v>#NAME?</v>
      </c>
      <c r="H189" s="214" t="e">
        <f aca="false" t="array" ref="H189:H189">_xlfn.IFS(AND(COUNT(H$171:H$177)&gt;=7,X$325&lt;'Titer Calculation'!$T$6),H$325,AND(COUNT(H$171:H$177)&gt;=6,MIN(X$317:X$324)&lt;'Titer Calculation'!$T$6),_xlfn.xlookup(MIN(X$317:X$324),X$317:X$324, H$317:H$324),AND(COUNT(H$171:H$177)&gt;=5,MIN(X$293:X$316)&lt;'Titer Calculation'!$T$6),_xlfn.xlookup(MIN(X$295:X$316), X$295:X$316, $C$295:H$316),AND(COUNT(H$171:H$177)&gt;=4,MIN(X$259:X$294)&lt;'Titer Calculation'!$T$6),_xlfn.xlookup(MIN(X$259:X$294), X$259:X$294, H$259:H$294),AND(COUNT(H$171:H$177)&gt;=3,MIN(X$223:X$258)&lt;'Titer Calculation'!$T$6),_xlfn.xlookup(MIN(X$223:X$258), X$223:X$258, H$223:H$258),AND(COUNT(H$171:H$177)&gt;=2,MIN(X$202:X$222)&lt;'Titer Calculation'!$T$6),_xlfn.xlookup(MIN(X$202:X$222), X$202:X$222, H$202:H$222), TRUE(), _xlfn.xlookup(MIN(X$202:X$325), X$202:X$325, H$202:H$325))</f>
        <v>#NAME?</v>
      </c>
      <c r="I189" s="214" t="e">
        <f aca="false" t="array" ref="I189:I189">_xlfn.IFS(AND(COUNT(I$171:I$177)&gt;=7,Y$325&lt;'Titer Calculation'!$T$6),I$325,AND(COUNT(I$171:I$177)&gt;=6,MIN(Y$317:Y$324)&lt;'Titer Calculation'!$T$6),_xlfn.xlookup(MIN(Y$317:Y$324),Y$317:Y$324, I$317:I$324),AND(COUNT(I$171:I$177)&gt;=5,MIN(Y$293:Y$316)&lt;'Titer Calculation'!$T$6),_xlfn.xlookup(MIN(Y$295:Y$316), Y$295:Y$316, $C$295:I$316),AND(COUNT(I$171:I$177)&gt;=4,MIN(Y$259:Y$294)&lt;'Titer Calculation'!$T$6),_xlfn.xlookup(MIN(Y$259:Y$294), Y$259:Y$294, I$259:I$294),AND(COUNT(I$171:I$177)&gt;=3,MIN(Y$223:Y$258)&lt;'Titer Calculation'!$T$6),_xlfn.xlookup(MIN(Y$223:Y$258), Y$223:Y$258, I$223:I$258),AND(COUNT(I$171:I$177)&gt;=2,MIN(Y$202:Y$222)&lt;'Titer Calculation'!$T$6),_xlfn.xlookup(MIN(Y$202:Y$222), Y$202:Y$222, I$202:I$222), TRUE(), _xlfn.xlookup(MIN(Y$202:Y$325), Y$202:Y$325, I$202:I$325))</f>
        <v>#NAME?</v>
      </c>
      <c r="J189" s="214" t="e">
        <f aca="false" t="array" ref="J189:J189">_xlfn.IFS(AND(COUNT(J$171:J$177)&gt;=7,Z$325&lt;'Titer Calculation'!$T$6),J$325,AND(COUNT(J$171:J$177)&gt;=6,MIN(Z$317:Z$324)&lt;'Titer Calculation'!$T$6),_xlfn.xlookup(MIN(Z$317:Z$324),Z$317:Z$324, J$317:J$324),AND(COUNT(J$171:J$177)&gt;=5,MIN(Z$293:Z$316)&lt;'Titer Calculation'!$T$6),_xlfn.xlookup(MIN(Z$295:Z$316), Z$295:Z$316, $C$295:J$316),AND(COUNT(J$171:J$177)&gt;=4,MIN(Z$259:Z$294)&lt;'Titer Calculation'!$T$6),_xlfn.xlookup(MIN(Z$259:Z$294), Z$259:Z$294, J$259:J$294),AND(COUNT(J$171:J$177)&gt;=3,MIN(Z$223:Z$258)&lt;'Titer Calculation'!$T$6),_xlfn.xlookup(MIN(Z$223:Z$258), Z$223:Z$258, J$223:J$258),AND(COUNT(J$171:J$177)&gt;=2,MIN(Z$202:Z$222)&lt;'Titer Calculation'!$T$6),_xlfn.xlookup(MIN(Z$202:Z$222), Z$202:Z$222, J$202:J$222), TRUE(), _xlfn.xlookup(MIN(Z$202:Z$325), Z$202:Z$325, J$202:J$325))</f>
        <v>#NAME?</v>
      </c>
      <c r="K189" s="214" t="e">
        <f aca="false" t="array" ref="K189:K189">_xlfn.IFS(AND(COUNT(K$171:K$177)&gt;=7,AA$325&lt;'Titer Calculation'!$T$6),K$325,AND(COUNT(K$171:K$177)&gt;=6,MIN(AA$317:AA$324)&lt;'Titer Calculation'!$T$6),_xlfn.xlookup(MIN(AA$317:AA$324),AA$317:AA$324, K$317:K$324),AND(COUNT(K$171:K$177)&gt;=5,MIN(AA$293:AA$316)&lt;'Titer Calculation'!$T$6),_xlfn.xlookup(MIN(AA$295:AA$316), AA$295:AA$316, $C$295:K$316),AND(COUNT(K$171:K$177)&gt;=4,MIN(AA$259:AA$294)&lt;'Titer Calculation'!$T$6),_xlfn.xlookup(MIN(AA$259:AA$294), AA$259:AA$294, K$259:K$294),AND(COUNT(K$171:K$177)&gt;=3,MIN(AA$223:AA$258)&lt;'Titer Calculation'!$T$6),_xlfn.xlookup(MIN(AA$223:AA$258), AA$223:AA$258, K$223:K$258),AND(COUNT(K$171:K$177)&gt;=2,MIN(AA$202:AA$222)&lt;'Titer Calculation'!$T$6),_xlfn.xlookup(MIN(AA$202:AA$222), AA$202:AA$222, K$202:K$222), TRUE(), _xlfn.xlookup(MIN(AA$202:AA$325), AA$202:AA$325, K$202:K$325))</f>
        <v>#NAME?</v>
      </c>
      <c r="L189" s="214" t="e">
        <f aca="false" t="array" ref="L189:L189">_xlfn.IFS(AND(COUNT(L$171:L$177)&gt;=7,AB$325&lt;'Titer Calculation'!$T$6),L$325,AND(COUNT(L$171:L$177)&gt;=6,MIN(AB$317:AB$324)&lt;'Titer Calculation'!$T$6),_xlfn.xlookup(MIN(AB$317:AB$324),AB$317:AB$324, L$317:L$324),AND(COUNT(L$171:L$177)&gt;=5,MIN(AB$293:AB$316)&lt;'Titer Calculation'!$T$6),_xlfn.xlookup(MIN(AB$295:AB$316), AB$295:AB$316, $C$295:L$316),AND(COUNT(L$171:L$177)&gt;=4,MIN(AB$259:AB$294)&lt;'Titer Calculation'!$T$6),_xlfn.xlookup(MIN(AB$259:AB$294), AB$259:AB$294, L$259:L$294),AND(COUNT(L$171:L$177)&gt;=3,MIN(AB$223:AB$258)&lt;'Titer Calculation'!$T$6),_xlfn.xlookup(MIN(AB$223:AB$258), AB$223:AB$258, L$223:L$258),AND(COUNT(L$171:L$177)&gt;=2,MIN(AB$202:AB$222)&lt;'Titer Calculation'!$T$6),_xlfn.xlookup(MIN(AB$202:AB$222), AB$202:AB$222, L$202:L$222), TRUE(), _xlfn.xlookup(MIN(AB$202:AB$325), AB$202:AB$325, L$202:L$325))</f>
        <v>#NAME?</v>
      </c>
      <c r="M189" s="214" t="e">
        <f aca="false" t="array" ref="M189:M189">_xlfn.IFS(AND(COUNT(M$171:M$177)&gt;=7,AC$325&lt;'Titer Calculation'!$T$6),M$325,AND(COUNT(M$171:M$177)&gt;=6,MIN(AC$317:AC$324)&lt;'Titer Calculation'!$T$6),_xlfn.xlookup(MIN(AC$317:AC$324),AC$317:AC$324, M$317:M$324),AND(COUNT(M$171:M$177)&gt;=5,MIN(AC$293:AC$316)&lt;'Titer Calculation'!$T$6),_xlfn.xlookup(MIN(AC$295:AC$316), AC$295:AC$316, $C$295:M$316),AND(COUNT(M$171:M$177)&gt;=4,MIN(AC$259:AC$294)&lt;'Titer Calculation'!$T$6),_xlfn.xlookup(MIN(AC$259:AC$294), AC$259:AC$294, M$259:M$294),AND(COUNT(M$171:M$177)&gt;=3,MIN(AC$223:AC$258)&lt;'Titer Calculation'!$T$6),_xlfn.xlookup(MIN(AC$223:AC$258), AC$223:AC$258, M$223:M$258),AND(COUNT(M$171:M$177)&gt;=2,MIN(AC$202:AC$222)&lt;'Titer Calculation'!$T$6),_xlfn.xlookup(MIN(AC$202:AC$222), AC$202:AC$222, M$202:M$222), TRUE(), _xlfn.xlookup(MIN(AC$202:AC$325), AC$202:AC$325, M$202:M$325))</f>
        <v>#NAME?</v>
      </c>
      <c r="N189" s="214" t="e">
        <f aca="false" t="array" ref="N189:N189">_xlfn.IFS(AND(COUNT(N$171:N$177)&gt;=7,AD$325&lt;'Titer Calculation'!$T$6),N$325,AND(COUNT(N$171:N$177)&gt;=6,MIN(AD$317:AD$324)&lt;'Titer Calculation'!$T$6),_xlfn.xlookup(MIN(AD$317:AD$324),AD$317:AD$324, N$317:N$324),AND(COUNT(N$171:N$177)&gt;=5,MIN(AD$293:AD$316)&lt;'Titer Calculation'!$T$6),_xlfn.xlookup(MIN(AD$295:AD$316), AD$295:AD$316, $C$295:N$316),AND(COUNT(N$171:N$177)&gt;=4,MIN(AD$259:AD$294)&lt;'Titer Calculation'!$T$6),_xlfn.xlookup(MIN(AD$259:AD$294), AD$259:AD$294, N$259:N$294),AND(COUNT(N$171:N$177)&gt;=3,MIN(AD$223:AD$258)&lt;'Titer Calculation'!$T$6),_xlfn.xlookup(MIN(AD$223:AD$258), AD$223:AD$258, N$223:N$258),AND(COUNT(N$171:N$177)&gt;=2,MIN(AD$202:AD$222)&lt;'Titer Calculation'!$T$6),_xlfn.xlookup(MIN(AD$202:AD$222), AD$202:AD$222, N$202:N$222), TRUE(), _xlfn.xlookup(MIN(AD$202:AD$325), AD$202:AD$325, N$202:N$325))</f>
        <v>#NAME?</v>
      </c>
      <c r="O189" s="211"/>
      <c r="P189" s="44"/>
      <c r="Q189" s="83"/>
      <c r="R189" s="212"/>
      <c r="S189" s="44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75"/>
      <c r="AP189" s="44"/>
      <c r="AQ189" s="44"/>
      <c r="AR189" s="44"/>
    </row>
    <row r="190" customFormat="false" ht="15.75" hidden="false" customHeight="false" outlineLevel="0" collapsed="false">
      <c r="A190" s="213" t="s">
        <v>278</v>
      </c>
      <c r="B190" s="213"/>
      <c r="C190" s="215" t="e">
        <f aca="false" t="array" ref="C190:C190">REPLACE(_xlfn.IFS(AND(COUNT(C$171:C$177)&gt;=7,S$325&lt;'Titer Calculation'!$T$6),$A$325,AND(COUNT(C$171:C$177)&gt;=6,MIN(S$317:S$324)&lt;'Titer Calculation'!$T$6),_xlfn.xlookup(MIN(S$317:S$324),S$317:S$324, $A$317:$A$324),AND(COUNT(C$171:C$177)&gt;=5,MIN(S$295:S$316)&lt;'Titer Calculation'!$T$6),_xlfn.xlookup(MIN(S$295:S$316), S$295:S$316, $A$295:$A$316),AND(COUNT(C$171:C$177)&gt;=4,MIN(S$259:S$294)&lt;'Titer Calculation'!$T$6),_xlfn.xlookup(MIN(S$259:S$294), S$259:S$294, $A$259:$A$294),AND(COUNT(C$171:C$177)&gt;=3,MIN(S$223:S$258)&lt;'Titer Calculation'!$T$6),_xlfn.xlookup(MIN(S$223:S$258), S$223:S$258, $A$223:$A$258),AND(COUNT(C$171:C$177)&gt;=2,MIN(S$202:S$222)&lt;'Titer Calculation'!$T$6),_xlfn.xlookup(MIN(S$202:S$222), S$202:S$222, $A$202:$A$222), TRUE(), _xlfn.xlookup(MIN(S$202:S$325),S$202:S$325, $A$202:$A$325)), 1, 8,)</f>
        <v>#NAME?</v>
      </c>
      <c r="D190" s="215" t="e">
        <f aca="false" t="array" ref="D190:D190">REPLACE(_xlfn.IFS(AND(COUNT(D$171:D$177)&gt;=7,T$325&lt;'Titer Calculation'!$T$6),$A$325,AND(COUNT(D$171:D$177)&gt;=6,MIN(T$317:T$324)&lt;'Titer Calculation'!$T$6),_xlfn.xlookup(MIN(T$317:T$324),T$317:T$324, $A$317:$A$324),AND(COUNT(D$171:D$177)&gt;=5,MIN(T$295:T$316)&lt;'Titer Calculation'!$T$6),_xlfn.xlookup(MIN(T$295:T$316), T$295:T$316, $A$295:$A$316),AND(COUNT(D$171:D$177)&gt;=4,MIN(T$259:T$294)&lt;'Titer Calculation'!$T$6),_xlfn.xlookup(MIN(T$259:T$294), T$259:T$294, $A$259:$A$294),AND(COUNT(D$171:D$177)&gt;=3,MIN(T$223:T$258)&lt;'Titer Calculation'!$T$6),_xlfn.xlookup(MIN(T$223:T$258), T$223:T$258, $A$223:$A$258),AND(COUNT(D$171:D$177)&gt;=2,MIN(T$202:T$222)&lt;'Titer Calculation'!$T$6),_xlfn.xlookup(MIN(T$202:T$222), T$202:T$222, $A$202:$A$222), TRUE(), _xlfn.xlookup(MIN(T$202:T$325),T$202:T$325, $A$202:$A$325)), 1, 8,)</f>
        <v>#NAME?</v>
      </c>
      <c r="E190" s="215" t="e">
        <f aca="false" t="array" ref="E190:E190">REPLACE(_xlfn.IFS(AND(COUNT(E$171:E$177)&gt;=7,U$325&lt;'Titer Calculation'!$T$6),$A$325,AND(COUNT(E$171:E$177)&gt;=6,MIN(U$317:U$324)&lt;'Titer Calculation'!$T$6),_xlfn.xlookup(MIN(U$317:U$324),U$317:U$324, $A$317:$A$324),AND(COUNT(E$171:E$177)&gt;=5,MIN(U$295:U$316)&lt;'Titer Calculation'!$T$6),_xlfn.xlookup(MIN(U$295:U$316), U$295:U$316, $A$295:$A$316),AND(COUNT(E$171:E$177)&gt;=4,MIN(U$259:U$294)&lt;'Titer Calculation'!$T$6),_xlfn.xlookup(MIN(U$259:U$294), U$259:U$294, $A$259:$A$294),AND(COUNT(E$171:E$177)&gt;=3,MIN(U$223:U$258)&lt;'Titer Calculation'!$T$6),_xlfn.xlookup(MIN(U$223:U$258), U$223:U$258, $A$223:$A$258),AND(COUNT(E$171:E$177)&gt;=2,MIN(U$202:U$222)&lt;'Titer Calculation'!$T$6),_xlfn.xlookup(MIN(U$202:U$222), U$202:U$222, $A$202:$A$222), TRUE(), _xlfn.xlookup(MIN(U$202:U$325),U$202:U$325, $A$202:$A$325)), 1, 8,)</f>
        <v>#NAME?</v>
      </c>
      <c r="F190" s="215" t="e">
        <f aca="false" t="array" ref="F190:F190">REPLACE(_xlfn.IFS(AND(COUNT(F$171:F$177)&gt;=7,V$325&lt;'Titer Calculation'!$T$6),$A$325,AND(COUNT(F$171:F$177)&gt;=6,MIN(V$317:V$324)&lt;'Titer Calculation'!$T$6),_xlfn.xlookup(MIN(V$317:V$324),V$317:V$324, $A$317:$A$324),AND(COUNT(F$171:F$177)&gt;=5,MIN(V$295:V$316)&lt;'Titer Calculation'!$T$6),_xlfn.xlookup(MIN(V$295:V$316), V$295:V$316, $A$295:$A$316),AND(COUNT(F$171:F$177)&gt;=4,MIN(V$259:V$294)&lt;'Titer Calculation'!$T$6),_xlfn.xlookup(MIN(V$259:V$294), V$259:V$294, $A$259:$A$294),AND(COUNT(F$171:F$177)&gt;=3,MIN(V$223:V$258)&lt;'Titer Calculation'!$T$6),_xlfn.xlookup(MIN(V$223:V$258), V$223:V$258, $A$223:$A$258),AND(COUNT(F$171:F$177)&gt;=2,MIN(V$202:V$222)&lt;'Titer Calculation'!$T$6),_xlfn.xlookup(MIN(V$202:V$222), V$202:V$222, $A$202:$A$222), TRUE(), _xlfn.xlookup(MIN(V$202:V$325),V$202:V$325, $A$202:$A$325)), 1, 8,)</f>
        <v>#NAME?</v>
      </c>
      <c r="G190" s="215" t="e">
        <f aca="false" t="array" ref="G190:G190">REPLACE(_xlfn.IFS(AND(COUNT(G$171:G$177)&gt;=7,W$325&lt;'Titer Calculation'!$T$6),$A$325,AND(COUNT(G$171:G$177)&gt;=6,MIN(W$317:W$324)&lt;'Titer Calculation'!$T$6),_xlfn.xlookup(MIN(W$317:W$324),W$317:W$324, $A$317:$A$324),AND(COUNT(G$171:G$177)&gt;=5,MIN(W$295:W$316)&lt;'Titer Calculation'!$T$6),_xlfn.xlookup(MIN(W$295:W$316), W$295:W$316, $A$295:$A$316),AND(COUNT(G$171:G$177)&gt;=4,MIN(W$259:W$294)&lt;'Titer Calculation'!$T$6),_xlfn.xlookup(MIN(W$259:W$294), W$259:W$294, $A$259:$A$294),AND(COUNT(G$171:G$177)&gt;=3,MIN(W$223:W$258)&lt;'Titer Calculation'!$T$6),_xlfn.xlookup(MIN(W$223:W$258), W$223:W$258, $A$223:$A$258),AND(COUNT(G$171:G$177)&gt;=2,MIN(W$202:W$222)&lt;'Titer Calculation'!$T$6),_xlfn.xlookup(MIN(W$202:W$222), W$202:W$222, $A$202:$A$222), TRUE(), _xlfn.xlookup(MIN(W$202:W$325),W$202:W$325, $A$202:$A$325)), 1, 8,)</f>
        <v>#NAME?</v>
      </c>
      <c r="H190" s="215" t="e">
        <f aca="false" t="array" ref="H190:H190">REPLACE(_xlfn.IFS(AND(COUNT(H$171:H$177)&gt;=7,X$325&lt;'Titer Calculation'!$T$6),$A$325,AND(COUNT(H$171:H$177)&gt;=6,MIN(X$317:X$324)&lt;'Titer Calculation'!$T$6),_xlfn.xlookup(MIN(X$317:X$324),X$317:X$324, $A$317:$A$324),AND(COUNT(H$171:H$177)&gt;=5,MIN(X$295:X$316)&lt;'Titer Calculation'!$T$6),_xlfn.xlookup(MIN(X$295:X$316), X$295:X$316, $A$295:$A$316),AND(COUNT(H$171:H$177)&gt;=4,MIN(X$259:X$294)&lt;'Titer Calculation'!$T$6),_xlfn.xlookup(MIN(X$259:X$294), X$259:X$294, $A$259:$A$294),AND(COUNT(H$171:H$177)&gt;=3,MIN(X$223:X$258)&lt;'Titer Calculation'!$T$6),_xlfn.xlookup(MIN(X$223:X$258), X$223:X$258, $A$223:$A$258),AND(COUNT(H$171:H$177)&gt;=2,MIN(X$202:X$222)&lt;'Titer Calculation'!$T$6),_xlfn.xlookup(MIN(X$202:X$222), X$202:X$222, $A$202:$A$222), TRUE(), _xlfn.xlookup(MIN(X$202:X$325),X$202:X$325, $A$202:$A$325)), 1, 8,)</f>
        <v>#NAME?</v>
      </c>
      <c r="I190" s="215" t="e">
        <f aca="false" t="array" ref="I190:I190">REPLACE(_xlfn.IFS(AND(COUNT(I$171:I$177)&gt;=7,Y$325&lt;'Titer Calculation'!$T$6),$A$325,AND(COUNT(I$171:I$177)&gt;=6,MIN(Y$317:Y$324)&lt;'Titer Calculation'!$T$6),_xlfn.xlookup(MIN(Y$317:Y$324),Y$317:Y$324, $A$317:$A$324),AND(COUNT(I$171:I$177)&gt;=5,MIN(Y$295:Y$316)&lt;'Titer Calculation'!$T$6),_xlfn.xlookup(MIN(Y$295:Y$316), Y$295:Y$316, $A$295:$A$316),AND(COUNT(I$171:I$177)&gt;=4,MIN(Y$259:Y$294)&lt;'Titer Calculation'!$T$6),_xlfn.xlookup(MIN(Y$259:Y$294), Y$259:Y$294, $A$259:$A$294),AND(COUNT(I$171:I$177)&gt;=3,MIN(Y$223:Y$258)&lt;'Titer Calculation'!$T$6),_xlfn.xlookup(MIN(Y$223:Y$258), Y$223:Y$258, $A$223:$A$258),AND(COUNT(I$171:I$177)&gt;=2,MIN(Y$202:Y$222)&lt;'Titer Calculation'!$T$6),_xlfn.xlookup(MIN(Y$202:Y$222), Y$202:Y$222, $A$202:$A$222), TRUE(), _xlfn.xlookup(MIN(Y$202:Y$325),Y$202:Y$325, $A$202:$A$325)), 1, 8,)</f>
        <v>#NAME?</v>
      </c>
      <c r="J190" s="215" t="e">
        <f aca="false" t="array" ref="J190:J190">REPLACE(_xlfn.IFS(AND(COUNT(J$171:J$177)&gt;=7,Z$325&lt;'Titer Calculation'!$T$6),$A$325,AND(COUNT(J$171:J$177)&gt;=6,MIN(Z$317:Z$324)&lt;'Titer Calculation'!$T$6),_xlfn.xlookup(MIN(Z$317:Z$324),Z$317:Z$324, $A$317:$A$324),AND(COUNT(J$171:J$177)&gt;=5,MIN(Z$295:Z$316)&lt;'Titer Calculation'!$T$6),_xlfn.xlookup(MIN(Z$295:Z$316), Z$295:Z$316, $A$295:$A$316),AND(COUNT(J$171:J$177)&gt;=4,MIN(Z$259:Z$294)&lt;'Titer Calculation'!$T$6),_xlfn.xlookup(MIN(Z$259:Z$294), Z$259:Z$294, $A$259:$A$294),AND(COUNT(J$171:J$177)&gt;=3,MIN(Z$223:Z$258)&lt;'Titer Calculation'!$T$6),_xlfn.xlookup(MIN(Z$223:Z$258), Z$223:Z$258, $A$223:$A$258),AND(COUNT(J$171:J$177)&gt;=2,MIN(Z$202:Z$222)&lt;'Titer Calculation'!$T$6),_xlfn.xlookup(MIN(Z$202:Z$222), Z$202:Z$222, $A$202:$A$222), TRUE(), _xlfn.xlookup(MIN(Z$202:Z$325),Z$202:Z$325, $A$202:$A$325)), 1, 8,)</f>
        <v>#NAME?</v>
      </c>
      <c r="K190" s="215" t="e">
        <f aca="false" t="array" ref="K190:K190">REPLACE(_xlfn.IFS(AND(COUNT(K$171:K$177)&gt;=7,AA$325&lt;'Titer Calculation'!$T$6),$A$325,AND(COUNT(K$171:K$177)&gt;=6,MIN(AA$317:AA$324)&lt;'Titer Calculation'!$T$6),_xlfn.xlookup(MIN(AA$317:AA$324),AA$317:AA$324, $A$317:$A$324),AND(COUNT(K$171:K$177)&gt;=5,MIN(AA$295:AA$316)&lt;'Titer Calculation'!$T$6),_xlfn.xlookup(MIN(AA$295:AA$316), AA$295:AA$316, $A$295:$A$316),AND(COUNT(K$171:K$177)&gt;=4,MIN(AA$259:AA$294)&lt;'Titer Calculation'!$T$6),_xlfn.xlookup(MIN(AA$259:AA$294), AA$259:AA$294, $A$259:$A$294),AND(COUNT(K$171:K$177)&gt;=3,MIN(AA$223:AA$258)&lt;'Titer Calculation'!$T$6),_xlfn.xlookup(MIN(AA$223:AA$258), AA$223:AA$258, $A$223:$A$258),AND(COUNT(K$171:K$177)&gt;=2,MIN(AA$202:AA$222)&lt;'Titer Calculation'!$T$6),_xlfn.xlookup(MIN(AA$202:AA$222), AA$202:AA$222, $A$202:$A$222), TRUE(), _xlfn.xlookup(MIN(AA$202:AA$325),AA$202:AA$325, $A$202:$A$325)), 1, 8,)</f>
        <v>#NAME?</v>
      </c>
      <c r="L190" s="215" t="e">
        <f aca="false" t="array" ref="L190:L190">REPLACE(_xlfn.IFS(AND(COUNT(L$171:L$177)&gt;=7,AB$325&lt;'Titer Calculation'!$T$6),$A$325,AND(COUNT(L$171:L$177)&gt;=6,MIN(AB$317:AB$324)&lt;'Titer Calculation'!$T$6),_xlfn.xlookup(MIN(AB$317:AB$324),AB$317:AB$324, $A$317:$A$324),AND(COUNT(L$171:L$177)&gt;=5,MIN(AB$295:AB$316)&lt;'Titer Calculation'!$T$6),_xlfn.xlookup(MIN(AB$295:AB$316), AB$295:AB$316, $A$295:$A$316),AND(COUNT(L$171:L$177)&gt;=4,MIN(AB$259:AB$294)&lt;'Titer Calculation'!$T$6),_xlfn.xlookup(MIN(AB$259:AB$294), AB$259:AB$294, $A$259:$A$294),AND(COUNT(L$171:L$177)&gt;=3,MIN(AB$223:AB$258)&lt;'Titer Calculation'!$T$6),_xlfn.xlookup(MIN(AB$223:AB$258), AB$223:AB$258, $A$223:$A$258),AND(COUNT(L$171:L$177)&gt;=2,MIN(AB$202:AB$222)&lt;'Titer Calculation'!$T$6),_xlfn.xlookup(MIN(AB$202:AB$222), AB$202:AB$222, $A$202:$A$222), TRUE(), _xlfn.xlookup(MIN(AB$202:AB$325),AB$202:AB$325, $A$202:$A$325)), 1, 8,)</f>
        <v>#NAME?</v>
      </c>
      <c r="M190" s="215" t="e">
        <f aca="false" t="array" ref="M190:M190">REPLACE(_xlfn.IFS(AND(COUNT(M$171:M$177)&gt;=7,AC$325&lt;'Titer Calculation'!$T$6),$A$325,AND(COUNT(M$171:M$177)&gt;=6,MIN(AC$317:AC$324)&lt;'Titer Calculation'!$T$6),_xlfn.xlookup(MIN(AC$317:AC$324),AC$317:AC$324, $A$317:$A$324),AND(COUNT(M$171:M$177)&gt;=5,MIN(AC$295:AC$316)&lt;'Titer Calculation'!$T$6),_xlfn.xlookup(MIN(AC$295:AC$316), AC$295:AC$316, $A$295:$A$316),AND(COUNT(M$171:M$177)&gt;=4,MIN(AC$259:AC$294)&lt;'Titer Calculation'!$T$6),_xlfn.xlookup(MIN(AC$259:AC$294), AC$259:AC$294, $A$259:$A$294),AND(COUNT(M$171:M$177)&gt;=3,MIN(AC$223:AC$258)&lt;'Titer Calculation'!$T$6),_xlfn.xlookup(MIN(AC$223:AC$258), AC$223:AC$258, $A$223:$A$258),AND(COUNT(M$171:M$177)&gt;=2,MIN(AC$202:AC$222)&lt;'Titer Calculation'!$T$6),_xlfn.xlookup(MIN(AC$202:AC$222), AC$202:AC$222, $A$202:$A$222), TRUE(), _xlfn.xlookup(MIN(AC$202:AC$325),AC$202:AC$325, $A$202:$A$325)), 1, 8,)</f>
        <v>#NAME?</v>
      </c>
      <c r="N190" s="215" t="e">
        <f aca="false" t="array" ref="N190:N190">REPLACE(_xlfn.IFS(AND(COUNT(N$171:N$177)&gt;=7,AD$325&lt;'Titer Calculation'!$T$6),$A$325,AND(COUNT(N$171:N$177)&gt;=6,MIN(AD$317:AD$324)&lt;'Titer Calculation'!$T$6),_xlfn.xlookup(MIN(AD$317:AD$324),AD$317:AD$324, $A$317:$A$324),AND(COUNT(N$171:N$177)&gt;=5,MIN(AD$295:AD$316)&lt;'Titer Calculation'!$T$6),_xlfn.xlookup(MIN(AD$295:AD$316), AD$295:AD$316, $A$295:$A$316),AND(COUNT(N$171:N$177)&gt;=4,MIN(AD$259:AD$294)&lt;'Titer Calculation'!$T$6),_xlfn.xlookup(MIN(AD$259:AD$294), AD$259:AD$294, $A$259:$A$294),AND(COUNT(N$171:N$177)&gt;=3,MIN(AD$223:AD$258)&lt;'Titer Calculation'!$T$6),_xlfn.xlookup(MIN(AD$223:AD$258), AD$223:AD$258, $A$223:$A$258),AND(COUNT(N$171:N$177)&gt;=2,MIN(AD$202:AD$222)&lt;'Titer Calculation'!$T$6),_xlfn.xlookup(MIN(AD$202:AD$222), AD$202:AD$222, $A$202:$A$222), TRUE(), _xlfn.xlookup(MIN(AD$202:AD$325),AD$202:AD$325, $A$202:$A$325)), 1, 8,)</f>
        <v>#NAME?</v>
      </c>
      <c r="O190" s="211"/>
      <c r="P190" s="44"/>
      <c r="Q190" s="83"/>
      <c r="R190" s="212"/>
      <c r="S190" s="44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75"/>
      <c r="AP190" s="44"/>
      <c r="AQ190" s="44"/>
      <c r="AR190" s="44"/>
    </row>
    <row r="191" customFormat="false" ht="15.75" hidden="false" customHeight="false" outlineLevel="0" collapsed="false">
      <c r="A191" s="213" t="s">
        <v>240</v>
      </c>
      <c r="B191" s="213"/>
      <c r="C191" s="214" t="e">
        <f aca="false" t="array" ref="C191:C191">_xlfn.IFS(AND(COUNT(C$171:C$177)&gt;=7,S$325&lt;'Titer Calculation'!$T$6),AG$325,AND(COUNT(C$171:C$177)&gt;=6,MIN(S$317:S$324)&lt;'Titer Calculation'!$T$6),_xlfn.xlookup(MIN(S$317:S$324),S$317:S$324,AG$317:AG$324),AND(COUNT(C$171:C$177)&gt;=5,MIN(S$295:S$316)&lt;'Titer Calculation'!$T$6),_xlfn.xlookup(MIN(S$295:S$316),S$295:S$316,AG$295:AG$316),AND(COUNT(C$171:C$177)&gt;=4,MIN(S$259:S$294)&lt;'Titer Calculation'!$T$6),_xlfn.xlookup(MIN(S$259:S$294),S$259:S$294,AG$259:AG$294),AND(COUNT(C$171:C$177)&gt;=3,MIN(S$223:S$258)&lt;'Titer Calculation'!$T$6),_xlfn.xlookup(MIN(S$223:S$258),S$223:S$258,AG$223:AG$258),AND(COUNT(C$171:C$177)&gt;=2,MIN(S$202:S$222)&lt;'Titer Calculation'!$T$6),_xlfn.xlookup(MIN(S$202:S$222),S$202:S$222,AG$202:AG$222),TRUE(),_xlfn.xlookup(MIN(S$202:S$325),S$202:S$325,AG$202:AG$325))</f>
        <v>#NAME?</v>
      </c>
      <c r="D191" s="214" t="e">
        <f aca="false" t="array" ref="D191:D191">_xlfn.IFS(AND(COUNT(D$171:D$177)&gt;=7,T$325&lt;'Titer Calculation'!$T$6),AH$325,AND(COUNT(D$171:D$177)&gt;=6,MIN(T$317:T$324)&lt;'Titer Calculation'!$T$6),_xlfn.xlookup(MIN(T$317:T$324),T$317:T$324,AH$317:AH$324),AND(COUNT(D$171:D$177)&gt;=5,MIN(T$295:T$316)&lt;'Titer Calculation'!$T$6),_xlfn.xlookup(MIN(T$295:T$316),T$295:T$316,AH$295:AH$316),AND(COUNT(D$171:D$177)&gt;=4,MIN(T$259:T$294)&lt;'Titer Calculation'!$T$6),_xlfn.xlookup(MIN(T$259:T$294),T$259:T$294,AH$259:AH$294),AND(COUNT(D$171:D$177)&gt;=3,MIN(T$223:T$258)&lt;'Titer Calculation'!$T$6),_xlfn.xlookup(MIN(T$223:T$258),T$223:T$258,AH$223:AH$258),AND(COUNT(D$171:D$177)&gt;=2,MIN(T$202:T$222)&lt;'Titer Calculation'!$T$6),_xlfn.xlookup(MIN(T$202:T$222),T$202:T$222,AH$202:AH$222),TRUE(),_xlfn.xlookup(MIN(T$202:T$325),T$202:T$325,AH$202:AH$325))</f>
        <v>#NAME?</v>
      </c>
      <c r="E191" s="214" t="e">
        <f aca="false" t="array" ref="E191:E191">_xlfn.IFS(AND(COUNT(E$171:E$177)&gt;=7,U$325&lt;'Titer Calculation'!$T$6),AI$325,AND(COUNT(E$171:E$177)&gt;=6,MIN(U$317:U$324)&lt;'Titer Calculation'!$T$6),_xlfn.xlookup(MIN(U$317:U$324),U$317:U$324,AI$317:AI$324),AND(COUNT(E$171:E$177)&gt;=5,MIN(U$295:U$316)&lt;'Titer Calculation'!$T$6),_xlfn.xlookup(MIN(U$295:U$316),U$295:U$316,AI$295:AI$316),AND(COUNT(E$171:E$177)&gt;=4,MIN(U$259:U$294)&lt;'Titer Calculation'!$T$6),_xlfn.xlookup(MIN(U$259:U$294),U$259:U$294,AI$259:AI$294),AND(COUNT(E$171:E$177)&gt;=3,MIN(U$223:U$258)&lt;'Titer Calculation'!$T$6),_xlfn.xlookup(MIN(U$223:U$258),U$223:U$258,AI$223:AI$258),AND(COUNT(E$171:E$177)&gt;=2,MIN(U$202:U$222)&lt;'Titer Calculation'!$T$6),_xlfn.xlookup(MIN(U$202:U$222),U$202:U$222,AI$202:AI$222),TRUE(),_xlfn.xlookup(MIN(U$202:U$325),U$202:U$325,AI$202:AI$325))</f>
        <v>#NAME?</v>
      </c>
      <c r="F191" s="214" t="e">
        <f aca="false" t="array" ref="F191:F191">_xlfn.IFS(AND(COUNT(F$171:F$177)&gt;=7,V$325&lt;'Titer Calculation'!$T$6),AJ$325,AND(COUNT(F$171:F$177)&gt;=6,MIN(V$317:V$324)&lt;'Titer Calculation'!$T$6),_xlfn.xlookup(MIN(V$317:V$324),V$317:V$324,AJ$317:AJ$324),AND(COUNT(F$171:F$177)&gt;=5,MIN(V$295:V$316)&lt;'Titer Calculation'!$T$6),_xlfn.xlookup(MIN(V$295:V$316),V$295:V$316,AJ$295:AJ$316),AND(COUNT(F$171:F$177)&gt;=4,MIN(V$259:V$294)&lt;'Titer Calculation'!$T$6),_xlfn.xlookup(MIN(V$259:V$294),V$259:V$294,AJ$259:AJ$294),AND(COUNT(F$171:F$177)&gt;=3,MIN(V$223:V$258)&lt;'Titer Calculation'!$T$6),_xlfn.xlookup(MIN(V$223:V$258),V$223:V$258,AJ$223:AJ$258),AND(COUNT(F$171:F$177)&gt;=2,MIN(V$202:V$222)&lt;'Titer Calculation'!$T$6),_xlfn.xlookup(MIN(V$202:V$222),V$202:V$222,AJ$202:AJ$222),TRUE(),_xlfn.xlookup(MIN(V$202:V$325),V$202:V$325,AJ$202:AJ$325))</f>
        <v>#NAME?</v>
      </c>
      <c r="G191" s="214" t="e">
        <f aca="false" t="array" ref="G191:G191">_xlfn.IFS(AND(COUNT(G$171:G$177)&gt;=7,W$325&lt;'Titer Calculation'!$T$6),AK$325,AND(COUNT(G$171:G$177)&gt;=6,MIN(W$317:W$324)&lt;'Titer Calculation'!$T$6),_xlfn.xlookup(MIN(W$317:W$324),W$317:W$324,AK$317:AK$324),AND(COUNT(G$171:G$177)&gt;=5,MIN(W$295:W$316)&lt;'Titer Calculation'!$T$6),_xlfn.xlookup(MIN(W$295:W$316),W$295:W$316,AK$295:AK$316),AND(COUNT(G$171:G$177)&gt;=4,MIN(W$259:W$294)&lt;'Titer Calculation'!$T$6),_xlfn.xlookup(MIN(W$259:W$294),W$259:W$294,AK$259:AK$294),AND(COUNT(G$171:G$177)&gt;=3,MIN(W$223:W$258)&lt;'Titer Calculation'!$T$6),_xlfn.xlookup(MIN(W$223:W$258),W$223:W$258,AK$223:AK$258),AND(COUNT(G$171:G$177)&gt;=2,MIN(W$202:W$222)&lt;'Titer Calculation'!$T$6),_xlfn.xlookup(MIN(W$202:W$222),W$202:W$222,AK$202:AK$222),TRUE(),_xlfn.xlookup(MIN(W$202:W$325),W$202:W$325,AK$202:AK$325))</f>
        <v>#NAME?</v>
      </c>
      <c r="H191" s="214" t="e">
        <f aca="false" t="array" ref="H191:H191">_xlfn.IFS(AND(COUNT(H$171:H$177)&gt;=7,X$325&lt;'Titer Calculation'!$T$6),AL$325,AND(COUNT(H$171:H$177)&gt;=6,MIN(X$317:X$324)&lt;'Titer Calculation'!$T$6),_xlfn.xlookup(MIN(X$317:X$324),X$317:X$324,AL$317:AL$324),AND(COUNT(H$171:H$177)&gt;=5,MIN(X$295:X$316)&lt;'Titer Calculation'!$T$6),_xlfn.xlookup(MIN(X$295:X$316),X$295:X$316,AL$295:AL$316),AND(COUNT(H$171:H$177)&gt;=4,MIN(X$259:X$294)&lt;'Titer Calculation'!$T$6),_xlfn.xlookup(MIN(X$259:X$294),X$259:X$294,AL$259:AL$294),AND(COUNT(H$171:H$177)&gt;=3,MIN(X$223:X$258)&lt;'Titer Calculation'!$T$6),_xlfn.xlookup(MIN(X$223:X$258),X$223:X$258,AL$223:AL$258),AND(COUNT(H$171:H$177)&gt;=2,MIN(X$202:X$222)&lt;'Titer Calculation'!$T$6),_xlfn.xlookup(MIN(X$202:X$222),X$202:X$222,AL$202:AL$222),TRUE(),_xlfn.xlookup(MIN(X$202:X$325),X$202:X$325,AL$202:AL$325))</f>
        <v>#NAME?</v>
      </c>
      <c r="I191" s="214" t="e">
        <f aca="false" t="array" ref="I191:I191">_xlfn.IFS(AND(COUNT(I$171:I$177)&gt;=7,Y$325&lt;'Titer Calculation'!$T$6),AM$325,AND(COUNT(I$171:I$177)&gt;=6,MIN(Y$317:Y$324)&lt;'Titer Calculation'!$T$6),_xlfn.xlookup(MIN(Y$317:Y$324),Y$317:Y$324,AM$317:AM$324),AND(COUNT(I$171:I$177)&gt;=5,MIN(Y$295:Y$316)&lt;'Titer Calculation'!$T$6),_xlfn.xlookup(MIN(Y$295:Y$316),Y$295:Y$316,AM$295:AM$316),AND(COUNT(I$171:I$177)&gt;=4,MIN(Y$259:Y$294)&lt;'Titer Calculation'!$T$6),_xlfn.xlookup(MIN(Y$259:Y$294),Y$259:Y$294,AM$259:AM$294),AND(COUNT(I$171:I$177)&gt;=3,MIN(Y$223:Y$258)&lt;'Titer Calculation'!$T$6),_xlfn.xlookup(MIN(Y$223:Y$258),Y$223:Y$258,AM$223:AM$258),AND(COUNT(I$171:I$177)&gt;=2,MIN(Y$202:Y$222)&lt;'Titer Calculation'!$T$6),_xlfn.xlookup(MIN(Y$202:Y$222),Y$202:Y$222,AM$202:AM$222),TRUE(),_xlfn.xlookup(MIN(Y$202:Y$325),Y$202:Y$325,AM$202:AM$325))</f>
        <v>#NAME?</v>
      </c>
      <c r="J191" s="214" t="e">
        <f aca="false" t="array" ref="J191:J191">_xlfn.IFS(AND(COUNT(J$171:J$177)&gt;=7,Z$325&lt;'Titer Calculation'!$T$6),AN$325,AND(COUNT(J$171:J$177)&gt;=6,MIN(Z$317:Z$324)&lt;'Titer Calculation'!$T$6),_xlfn.xlookup(MIN(Z$317:Z$324),Z$317:Z$324,AN$317:AN$324),AND(COUNT(J$171:J$177)&gt;=5,MIN(Z$295:Z$316)&lt;'Titer Calculation'!$T$6),_xlfn.xlookup(MIN(Z$295:Z$316),Z$295:Z$316,AN$295:AN$316),AND(COUNT(J$171:J$177)&gt;=4,MIN(Z$259:Z$294)&lt;'Titer Calculation'!$T$6),_xlfn.xlookup(MIN(Z$259:Z$294),Z$259:Z$294,AN$259:AN$294),AND(COUNT(J$171:J$177)&gt;=3,MIN(Z$223:Z$258)&lt;'Titer Calculation'!$T$6),_xlfn.xlookup(MIN(Z$223:Z$258),Z$223:Z$258,AN$223:AN$258),AND(COUNT(J$171:J$177)&gt;=2,MIN(Z$202:Z$222)&lt;'Titer Calculation'!$T$6),_xlfn.xlookup(MIN(Z$202:Z$222),Z$202:Z$222,AN$202:AN$222),TRUE(),_xlfn.xlookup(MIN(Z$202:Z$325),Z$202:Z$325,AN$202:AN$325))</f>
        <v>#NAME?</v>
      </c>
      <c r="K191" s="214" t="e">
        <f aca="false" t="array" ref="K191:K191">_xlfn.IFS(AND(COUNT(K$171:K$177)&gt;=7,AA$325&lt;'Titer Calculation'!$T$6),AO$325,AND(COUNT(K$171:K$177)&gt;=6,MIN(AA$317:AA$324)&lt;'Titer Calculation'!$T$6),_xlfn.xlookup(MIN(AA$317:AA$324),AA$317:AA$324,AO$317:AO$324),AND(COUNT(K$171:K$177)&gt;=5,MIN(AA$295:AA$316)&lt;'Titer Calculation'!$T$6),_xlfn.xlookup(MIN(AA$295:AA$316),AA$295:AA$316,AO$295:AO$316),AND(COUNT(K$171:K$177)&gt;=4,MIN(AA$259:AA$294)&lt;'Titer Calculation'!$T$6),_xlfn.xlookup(MIN(AA$259:AA$294),AA$259:AA$294,AO$259:AO$294),AND(COUNT(K$171:K$177)&gt;=3,MIN(AA$223:AA$258)&lt;'Titer Calculation'!$T$6),_xlfn.xlookup(MIN(AA$223:AA$258),AA$223:AA$258,AO$223:AO$258),AND(COUNT(K$171:K$177)&gt;=2,MIN(AA$202:AA$222)&lt;'Titer Calculation'!$T$6),_xlfn.xlookup(MIN(AA$202:AA$222),AA$202:AA$222,AO$202:AO$222),TRUE(),_xlfn.xlookup(MIN(AA$202:AA$325),AA$202:AA$325,AO$202:AO$325))</f>
        <v>#NAME?</v>
      </c>
      <c r="L191" s="214" t="e">
        <f aca="false" t="array" ref="L191:L191">_xlfn.IFS(AND(COUNT(L$171:L$177)&gt;=7,AB$325&lt;'Titer Calculation'!$T$6),AP$325,AND(COUNT(L$171:L$177)&gt;=6,MIN(AB$317:AB$324)&lt;'Titer Calculation'!$T$6),_xlfn.xlookup(MIN(AB$317:AB$324),AB$317:AB$324,AP$317:AP$324),AND(COUNT(L$171:L$177)&gt;=5,MIN(AB$295:AB$316)&lt;'Titer Calculation'!$T$6),_xlfn.xlookup(MIN(AB$295:AB$316),AB$295:AB$316,AP$295:AP$316),AND(COUNT(L$171:L$177)&gt;=4,MIN(AB$259:AB$294)&lt;'Titer Calculation'!$T$6),_xlfn.xlookup(MIN(AB$259:AB$294),AB$259:AB$294,AP$259:AP$294),AND(COUNT(L$171:L$177)&gt;=3,MIN(AB$223:AB$258)&lt;'Titer Calculation'!$T$6),_xlfn.xlookup(MIN(AB$223:AB$258),AB$223:AB$258,AP$223:AP$258),AND(COUNT(L$171:L$177)&gt;=2,MIN(AB$202:AB$222)&lt;'Titer Calculation'!$T$6),_xlfn.xlookup(MIN(AB$202:AB$222),AB$202:AB$222,AP$202:AP$222),TRUE(),_xlfn.xlookup(MIN(AB$202:AB$325),AB$202:AB$325,AP$202:AP$325))</f>
        <v>#NAME?</v>
      </c>
      <c r="M191" s="214" t="e">
        <f aca="false" t="array" ref="M191:M191">_xlfn.IFS(AND(COUNT(M$171:M$177)&gt;=7,AC$325&lt;'Titer Calculation'!$T$6),AQ$325,AND(COUNT(M$171:M$177)&gt;=6,MIN(AC$317:AC$324)&lt;'Titer Calculation'!$T$6),_xlfn.xlookup(MIN(AC$317:AC$324),AC$317:AC$324,AQ$317:AQ$324),AND(COUNT(M$171:M$177)&gt;=5,MIN(AC$295:AC$316)&lt;'Titer Calculation'!$T$6),_xlfn.xlookup(MIN(AC$295:AC$316),AC$295:AC$316,AQ$295:AQ$316),AND(COUNT(M$171:M$177)&gt;=4,MIN(AC$259:AC$294)&lt;'Titer Calculation'!$T$6),_xlfn.xlookup(MIN(AC$259:AC$294),AC$259:AC$294,AQ$259:AQ$294),AND(COUNT(M$171:M$177)&gt;=3,MIN(AC$223:AC$258)&lt;'Titer Calculation'!$T$6),_xlfn.xlookup(MIN(AC$223:AC$258),AC$223:AC$258,AQ$223:AQ$258),AND(COUNT(M$171:M$177)&gt;=2,MIN(AC$202:AC$222)&lt;'Titer Calculation'!$T$6),_xlfn.xlookup(MIN(AC$202:AC$222),AC$202:AC$222,AQ$202:AQ$222),TRUE(),_xlfn.xlookup(MIN(AC$202:AC$325),AC$202:AC$325,AQ$202:AQ$325))</f>
        <v>#NAME?</v>
      </c>
      <c r="N191" s="214" t="e">
        <f aca="false" t="array" ref="N191:N191">_xlfn.IFS(AND(COUNT(N$171:N$177)&gt;=7,AD$325&lt;'Titer Calculation'!$T$6),AR$325,AND(COUNT(N$171:N$177)&gt;=6,MIN(AD$317:AD$324)&lt;'Titer Calculation'!$T$6),_xlfn.xlookup(MIN(AD$317:AD$324),AD$317:AD$324,AR$317:AR$324),AND(COUNT(N$171:N$177)&gt;=5,MIN(AD$295:AD$316)&lt;'Titer Calculation'!$T$6),_xlfn.xlookup(MIN(AD$295:AD$316),AD$295:AD$316,AR$295:AR$316),AND(COUNT(N$171:N$177)&gt;=4,MIN(AD$259:AD$294)&lt;'Titer Calculation'!$T$6),_xlfn.xlookup(MIN(AD$259:AD$294),AD$259:AD$294,AR$259:AR$294),AND(COUNT(N$171:N$177)&gt;=3,MIN(AD$223:AD$258)&lt;'Titer Calculation'!$T$6),_xlfn.xlookup(MIN(AD$223:AD$258),AD$223:AD$258,AR$223:AR$258),AND(COUNT(N$171:N$177)&gt;=2,MIN(AD$202:AD$222)&lt;'Titer Calculation'!$T$6),_xlfn.xlookup(MIN(AD$202:AD$222),AD$202:AD$222,AR$202:AR$222),TRUE(),_xlfn.xlookup(MIN(AD$202:AD$325),AD$202:AD$325,AR$202:AR$325))</f>
        <v>#NAME?</v>
      </c>
      <c r="O191" s="211"/>
      <c r="P191" s="44"/>
      <c r="Q191" s="83"/>
      <c r="R191" s="212"/>
      <c r="S191" s="44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75"/>
      <c r="AP191" s="44"/>
      <c r="AQ191" s="44"/>
      <c r="AR191" s="44"/>
    </row>
    <row r="192" customFormat="false" ht="15.75" hidden="false" customHeight="false" outlineLevel="0" collapsed="false">
      <c r="A192" s="213" t="s">
        <v>241</v>
      </c>
      <c r="B192" s="213"/>
      <c r="C192" s="216" t="n">
        <f aca="false" t="array" ref="C192:C192">_xlfn.IFS(AND(COUNT(C$171:C$177)&gt;=7,S$325&lt;'Titer Calculation'!$T$6),S$325,AND(COUNT(C$171:C$177)&gt;=6,MIN(S$317:S$324)&lt;'Titer Calculation'!$T$6),MIN(S$317:S$324),AND(COUNT(C$171:C$177)&gt;=5,MIN(S$295:S$316)&lt;'Titer Calculation'!$T$6),MIN(S$295:S$316),AND(COUNT(C$171:C$177)&gt;=4,MIN(S$259:S$294)&lt;'Titer Calculation'!$T$6),MIN(S$259:S$294),AND(COUNT(C$171:C$177)&gt;=3,MIN(S$223:S$258)&lt;'Titer Calculation'!$T$6),MIN(S$223:S$258),AND(COUNT(C$171:C$177)&gt;=2,MIN(S$202:S$222)&lt;'Titer Calculation'!$T$6),MIN(S$202:S$222),TRUE(),MIN(S$202:S321))</f>
        <v>0</v>
      </c>
      <c r="D192" s="216" t="n">
        <f aca="false" t="array" ref="D192:D192">_xlfn.IFS(AND(COUNT(D$171:D$177)&gt;=7,T$325&lt;'Titer Calculation'!$T$6),T$325,AND(COUNT(D$171:D$177)&gt;=6,MIN(T$317:T$324)&lt;'Titer Calculation'!$T$6),MIN(T$317:T$324),AND(COUNT(D$171:D$177)&gt;=5,MIN(T$295:T$316)&lt;'Titer Calculation'!$T$6),MIN(T$295:T$316),AND(COUNT(D$171:D$177)&gt;=4,MIN(T$259:T$294)&lt;'Titer Calculation'!$T$6),MIN(T$259:T$294),AND(COUNT(D$171:D$177)&gt;=3,MIN(T$223:T$258)&lt;'Titer Calculation'!$T$6),MIN(T$223:T$258),AND(COUNT(D$171:D$177)&gt;=2,MIN(T$202:T$222)&lt;'Titer Calculation'!$T$6),MIN(T$202:T$222),TRUE(),MIN(T$202:T321))</f>
        <v>0</v>
      </c>
      <c r="E192" s="216" t="n">
        <f aca="false" t="array" ref="E192:E192">_xlfn.IFS(AND(COUNT(E$171:E$177)&gt;=7,U$325&lt;'Titer Calculation'!$T$6),U$325,AND(COUNT(E$171:E$177)&gt;=6,MIN(U$317:U$324)&lt;'Titer Calculation'!$T$6),MIN(U$317:U$324),AND(COUNT(E$171:E$177)&gt;=5,MIN(U$295:U$316)&lt;'Titer Calculation'!$T$6),MIN(U$295:U$316),AND(COUNT(E$171:E$177)&gt;=4,MIN(U$259:U$294)&lt;'Titer Calculation'!$T$6),MIN(U$259:U$294),AND(COUNT(E$171:E$177)&gt;=3,MIN(U$223:U$258)&lt;'Titer Calculation'!$T$6),MIN(U$223:U$258),AND(COUNT(E$171:E$177)&gt;=2,MIN(U$202:U$222)&lt;'Titer Calculation'!$T$6),MIN(U$202:U$222),TRUE(),MIN(U$202:U321))</f>
        <v>0</v>
      </c>
      <c r="F192" s="216" t="n">
        <f aca="false" t="array" ref="F192:F192">_xlfn.IFS(AND(COUNT(F$171:F$177)&gt;=7,V$325&lt;'Titer Calculation'!$T$6),V$325,AND(COUNT(F$171:F$177)&gt;=6,MIN(V$317:V$324)&lt;'Titer Calculation'!$T$6),MIN(V$317:V$324),AND(COUNT(F$171:F$177)&gt;=5,MIN(V$295:V$316)&lt;'Titer Calculation'!$T$6),MIN(V$295:V$316),AND(COUNT(F$171:F$177)&gt;=4,MIN(V$259:V$294)&lt;'Titer Calculation'!$T$6),MIN(V$259:V$294),AND(COUNT(F$171:F$177)&gt;=3,MIN(V$223:V$258)&lt;'Titer Calculation'!$T$6),MIN(V$223:V$258),AND(COUNT(F$171:F$177)&gt;=2,MIN(V$202:V$222)&lt;'Titer Calculation'!$T$6),MIN(V$202:V$222),TRUE(),MIN(V$202:V321))</f>
        <v>0</v>
      </c>
      <c r="G192" s="216" t="n">
        <f aca="false" t="array" ref="G192:G192">_xlfn.IFS(AND(COUNT(G$171:G$177)&gt;=7,W$325&lt;'Titer Calculation'!$T$6),W$325,AND(COUNT(G$171:G$177)&gt;=6,MIN(W$317:W$324)&lt;'Titer Calculation'!$T$6),MIN(W$317:W$324),AND(COUNT(G$171:G$177)&gt;=5,MIN(W$295:W$316)&lt;'Titer Calculation'!$T$6),MIN(W$295:W$316),AND(COUNT(G$171:G$177)&gt;=4,MIN(W$259:W$294)&lt;'Titer Calculation'!$T$6),MIN(W$259:W$294),AND(COUNT(G$171:G$177)&gt;=3,MIN(W$223:W$258)&lt;'Titer Calculation'!$T$6),MIN(W$223:W$258),AND(COUNT(G$171:G$177)&gt;=2,MIN(W$202:W$222)&lt;'Titer Calculation'!$T$6),MIN(W$202:W$222),TRUE(),MIN(W$202:W321))</f>
        <v>0</v>
      </c>
      <c r="H192" s="216" t="n">
        <f aca="false" t="array" ref="H192:H192">_xlfn.IFS(AND(COUNT(H$171:H$177)&gt;=7,X$325&lt;'Titer Calculation'!$T$6),X$325,AND(COUNT(H$171:H$177)&gt;=6,MIN(X$317:X$324)&lt;'Titer Calculation'!$T$6),MIN(X$317:X$324),AND(COUNT(H$171:H$177)&gt;=5,MIN(X$295:X$316)&lt;'Titer Calculation'!$T$6),MIN(X$295:X$316),AND(COUNT(H$171:H$177)&gt;=4,MIN(X$259:X$294)&lt;'Titer Calculation'!$T$6),MIN(X$259:X$294),AND(COUNT(H$171:H$177)&gt;=3,MIN(X$223:X$258)&lt;'Titer Calculation'!$T$6),MIN(X$223:X$258),AND(COUNT(H$171:H$177)&gt;=2,MIN(X$202:X$222)&lt;'Titer Calculation'!$T$6),MIN(X$202:X$222),TRUE(),MIN(X$202:X321))</f>
        <v>0</v>
      </c>
      <c r="I192" s="216" t="n">
        <f aca="false" t="array" ref="I192:I192">_xlfn.IFS(AND(COUNT(I$171:I$177)&gt;=7,Y$325&lt;'Titer Calculation'!$T$6),Y$325,AND(COUNT(I$171:I$177)&gt;=6,MIN(Y$317:Y$324)&lt;'Titer Calculation'!$T$6),MIN(Y$317:Y$324),AND(COUNT(I$171:I$177)&gt;=5,MIN(Y$295:Y$316)&lt;'Titer Calculation'!$T$6),MIN(Y$295:Y$316),AND(COUNT(I$171:I$177)&gt;=4,MIN(Y$259:Y$294)&lt;'Titer Calculation'!$T$6),MIN(Y$259:Y$294),AND(COUNT(I$171:I$177)&gt;=3,MIN(Y$223:Y$258)&lt;'Titer Calculation'!$T$6),MIN(Y$223:Y$258),AND(COUNT(I$171:I$177)&gt;=2,MIN(Y$202:Y$222)&lt;'Titer Calculation'!$T$6),MIN(Y$202:Y$222),TRUE(),MIN(Y$202:Y321))</f>
        <v>0</v>
      </c>
      <c r="J192" s="216" t="n">
        <f aca="false" t="array" ref="J192:J192">_xlfn.IFS(AND(COUNT(J$171:J$177)&gt;=7,Z$325&lt;'Titer Calculation'!$T$6),Z$325,AND(COUNT(J$171:J$177)&gt;=6,MIN(Z$317:Z$324)&lt;'Titer Calculation'!$T$6),MIN(Z$317:Z$324),AND(COUNT(J$171:J$177)&gt;=5,MIN(Z$295:Z$316)&lt;'Titer Calculation'!$T$6),MIN(Z$295:Z$316),AND(COUNT(J$171:J$177)&gt;=4,MIN(Z$259:Z$294)&lt;'Titer Calculation'!$T$6),MIN(Z$259:Z$294),AND(COUNT(J$171:J$177)&gt;=3,MIN(Z$223:Z$258)&lt;'Titer Calculation'!$T$6),MIN(Z$223:Z$258),AND(COUNT(J$171:J$177)&gt;=2,MIN(Z$202:Z$222)&lt;'Titer Calculation'!$T$6),MIN(Z$202:Z$222),TRUE(),MIN(Z$202:Z321))</f>
        <v>0</v>
      </c>
      <c r="K192" s="216" t="n">
        <f aca="false" t="array" ref="K192:K192">_xlfn.IFS(AND(COUNT(K$171:K$177)&gt;=7,AA$325&lt;'Titer Calculation'!$T$6),AA$325,AND(COUNT(K$171:K$177)&gt;=6,MIN(AA$317:AA$324)&lt;'Titer Calculation'!$T$6),MIN(AA$317:AA$324),AND(COUNT(K$171:K$177)&gt;=5,MIN(AA$295:AA$316)&lt;'Titer Calculation'!$T$6),MIN(AA$295:AA$316),AND(COUNT(K$171:K$177)&gt;=4,MIN(AA$259:AA$294)&lt;'Titer Calculation'!$T$6),MIN(AA$259:AA$294),AND(COUNT(K$171:K$177)&gt;=3,MIN(AA$223:AA$258)&lt;'Titer Calculation'!$T$6),MIN(AA$223:AA$258),AND(COUNT(K$171:K$177)&gt;=2,MIN(AA$202:AA$222)&lt;'Titer Calculation'!$T$6),MIN(AA$202:AA$222),TRUE(),MIN(AA$202:AA321))</f>
        <v>0</v>
      </c>
      <c r="L192" s="216" t="n">
        <f aca="false" t="array" ref="L192:L192">_xlfn.IFS(AND(COUNT(L$171:L$177)&gt;=7,AB$325&lt;'Titer Calculation'!$T$6),AB$325,AND(COUNT(L$171:L$177)&gt;=6,MIN(AB$317:AB$324)&lt;'Titer Calculation'!$T$6),MIN(AB$317:AB$324),AND(COUNT(L$171:L$177)&gt;=5,MIN(AB$295:AB$316)&lt;'Titer Calculation'!$T$6),MIN(AB$295:AB$316),AND(COUNT(L$171:L$177)&gt;=4,MIN(AB$259:AB$294)&lt;'Titer Calculation'!$T$6),MIN(AB$259:AB$294),AND(COUNT(L$171:L$177)&gt;=3,MIN(AB$223:AB$258)&lt;'Titer Calculation'!$T$6),MIN(AB$223:AB$258),AND(COUNT(L$171:L$177)&gt;=2,MIN(AB$202:AB$222)&lt;'Titer Calculation'!$T$6),MIN(AB$202:AB$222),TRUE(),MIN(AB$202:AB321))</f>
        <v>0</v>
      </c>
      <c r="M192" s="216" t="n">
        <f aca="false" t="array" ref="M192:M192">_xlfn.IFS(AND(COUNT(M$171:M$177)&gt;=7,AC$325&lt;'Titer Calculation'!$T$6),AC$325,AND(COUNT(M$171:M$177)&gt;=6,MIN(AC$317:AC$324)&lt;'Titer Calculation'!$T$6),MIN(AC$317:AC$324),AND(COUNT(M$171:M$177)&gt;=5,MIN(AC$295:AC$316)&lt;'Titer Calculation'!$T$6),MIN(AC$295:AC$316),AND(COUNT(M$171:M$177)&gt;=4,MIN(AC$259:AC$294)&lt;'Titer Calculation'!$T$6),MIN(AC$259:AC$294),AND(COUNT(M$171:M$177)&gt;=3,MIN(AC$223:AC$258)&lt;'Titer Calculation'!$T$6),MIN(AC$223:AC$258),AND(COUNT(M$171:M$177)&gt;=2,MIN(AC$202:AC$222)&lt;'Titer Calculation'!$T$6),MIN(AC$202:AC$222),TRUE(),MIN(AC$202:AC321))</f>
        <v>0</v>
      </c>
      <c r="N192" s="216" t="n">
        <f aca="false" t="array" ref="N192:N192">_xlfn.IFS(AND(COUNT(N$171:N$177)&gt;=7,AD$325&lt;'Titer Calculation'!$T$6),AD$325,AND(COUNT(N$171:N$177)&gt;=6,MIN(AD$317:AD$324)&lt;'Titer Calculation'!$T$6),MIN(AD$317:AD$324),AND(COUNT(N$171:N$177)&gt;=5,MIN(AD$295:AD$316)&lt;'Titer Calculation'!$T$6),MIN(AD$295:AD$316),AND(COUNT(N$171:N$177)&gt;=4,MIN(AD$259:AD$294)&lt;'Titer Calculation'!$T$6),MIN(AD$259:AD$294),AND(COUNT(N$171:N$177)&gt;=3,MIN(AD$223:AD$258)&lt;'Titer Calculation'!$T$6),MIN(AD$223:AD$258),AND(COUNT(N$171:N$177)&gt;=2,MIN(AD$202:AD$222)&lt;'Titer Calculation'!$T$6),MIN(AD$202:AD$222),TRUE(),MIN(AD$202:AD321))</f>
        <v>0</v>
      </c>
      <c r="O192" s="211"/>
      <c r="P192" s="44"/>
      <c r="Q192" s="83"/>
      <c r="R192" s="212"/>
      <c r="S192" s="44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75"/>
      <c r="AP192" s="44"/>
      <c r="AQ192" s="44"/>
      <c r="AR192" s="44"/>
    </row>
    <row r="193" customFormat="false" ht="15.75" hidden="false" customHeight="false" outlineLevel="0" collapsed="false">
      <c r="A193" s="42"/>
      <c r="B193" s="42"/>
      <c r="C193" s="217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211"/>
      <c r="P193" s="44"/>
      <c r="Q193" s="83"/>
      <c r="R193" s="212"/>
      <c r="S193" s="44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75"/>
      <c r="AP193" s="44"/>
      <c r="AQ193" s="44"/>
      <c r="AR193" s="44"/>
    </row>
    <row r="194" customFormat="false" ht="15.75" hidden="false" customHeight="false" outlineLevel="0" collapsed="false">
      <c r="A194" s="42"/>
      <c r="B194" s="42"/>
      <c r="C194" s="217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211"/>
      <c r="P194" s="44"/>
      <c r="Q194" s="83"/>
      <c r="R194" s="212"/>
      <c r="S194" s="44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75"/>
      <c r="AP194" s="44"/>
      <c r="AQ194" s="44"/>
      <c r="AR194" s="44"/>
    </row>
    <row r="195" customFormat="false" ht="15.75" hidden="false" customHeight="false" outlineLevel="0" collapsed="false">
      <c r="A195" s="42"/>
      <c r="B195" s="42"/>
      <c r="C195" s="217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211"/>
      <c r="P195" s="44"/>
      <c r="Q195" s="83"/>
      <c r="R195" s="212"/>
      <c r="S195" s="44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75"/>
      <c r="AP195" s="44"/>
      <c r="AQ195" s="44"/>
      <c r="AR195" s="44"/>
    </row>
    <row r="196" customFormat="false" ht="15.75" hidden="false" customHeight="false" outlineLevel="0" collapsed="false">
      <c r="A196" s="42"/>
      <c r="B196" s="42"/>
      <c r="C196" s="217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211"/>
      <c r="P196" s="44"/>
      <c r="Q196" s="83"/>
      <c r="R196" s="212"/>
      <c r="S196" s="44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75"/>
      <c r="AP196" s="44"/>
      <c r="AQ196" s="44"/>
      <c r="AR196" s="44"/>
    </row>
    <row r="197" customFormat="false" ht="15.75" hidden="false" customHeight="false" outlineLevel="0" collapsed="false">
      <c r="A197" s="42"/>
      <c r="B197" s="42"/>
      <c r="C197" s="217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211"/>
      <c r="P197" s="44"/>
      <c r="Q197" s="83"/>
      <c r="R197" s="212"/>
      <c r="S197" s="44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75"/>
      <c r="AP197" s="44"/>
      <c r="AQ197" s="44"/>
      <c r="AR197" s="44"/>
    </row>
    <row r="198" customFormat="false" ht="15.75" hidden="false" customHeight="false" outlineLevel="0" collapsed="false">
      <c r="A198" s="42"/>
      <c r="B198" s="42"/>
      <c r="C198" s="217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211"/>
      <c r="P198" s="44"/>
      <c r="Q198" s="83"/>
      <c r="R198" s="42" t="s">
        <v>628</v>
      </c>
      <c r="S198" s="44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44"/>
      <c r="AF198" s="42" t="s">
        <v>279</v>
      </c>
      <c r="AG198" s="44"/>
      <c r="AH198" s="44"/>
      <c r="AI198" s="44"/>
      <c r="AJ198" s="44"/>
      <c r="AK198" s="44"/>
      <c r="AL198" s="44"/>
      <c r="AM198" s="44"/>
      <c r="AN198" s="44"/>
      <c r="AO198" s="75"/>
      <c r="AP198" s="44"/>
      <c r="AQ198" s="44"/>
      <c r="AR198" s="44"/>
    </row>
    <row r="199" customFormat="false" ht="20.25" hidden="false" customHeight="false" outlineLevel="0" collapsed="false">
      <c r="A199" s="42"/>
      <c r="B199" s="42"/>
      <c r="C199" s="217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211"/>
      <c r="P199" s="44"/>
      <c r="Q199" s="83"/>
      <c r="R199" s="218" t="s">
        <v>214</v>
      </c>
      <c r="S199" s="44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75"/>
      <c r="AP199" s="44"/>
      <c r="AQ199" s="44"/>
      <c r="AR199" s="44"/>
    </row>
    <row r="200" customFormat="false" ht="15.75" hidden="false" customHeight="false" outlineLevel="0" collapsed="false">
      <c r="A200" s="42" t="s">
        <v>628</v>
      </c>
      <c r="B200" s="42"/>
      <c r="C200" s="217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211"/>
      <c r="P200" s="44"/>
      <c r="Q200" s="83"/>
      <c r="R200" s="120" t="s">
        <v>280</v>
      </c>
      <c r="S200" s="44"/>
      <c r="T200" s="120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 t="s">
        <v>281</v>
      </c>
      <c r="AG200" s="44"/>
      <c r="AH200" s="44"/>
      <c r="AI200" s="44"/>
      <c r="AJ200" s="44"/>
      <c r="AK200" s="44"/>
      <c r="AL200" s="44"/>
      <c r="AM200" s="44"/>
      <c r="AN200" s="44"/>
      <c r="AO200" s="75"/>
      <c r="AP200" s="44"/>
      <c r="AQ200" s="44"/>
      <c r="AR200" s="44"/>
    </row>
    <row r="201" customFormat="false" ht="15.75" hidden="false" customHeight="false" outlineLevel="0" collapsed="false">
      <c r="A201" s="42" t="s">
        <v>282</v>
      </c>
      <c r="B201" s="42"/>
      <c r="C201" s="75" t="n">
        <v>1</v>
      </c>
      <c r="D201" s="75" t="n">
        <v>2</v>
      </c>
      <c r="E201" s="75" t="n">
        <v>3</v>
      </c>
      <c r="F201" s="75" t="n">
        <v>4</v>
      </c>
      <c r="G201" s="75" t="n">
        <v>5</v>
      </c>
      <c r="H201" s="75" t="n">
        <v>6</v>
      </c>
      <c r="I201" s="75" t="n">
        <v>7</v>
      </c>
      <c r="J201" s="75" t="n">
        <v>8</v>
      </c>
      <c r="K201" s="75" t="n">
        <v>9</v>
      </c>
      <c r="L201" s="75" t="n">
        <v>10</v>
      </c>
      <c r="M201" s="75" t="n">
        <v>11</v>
      </c>
      <c r="N201" s="75" t="n">
        <v>12</v>
      </c>
      <c r="O201" s="211"/>
      <c r="P201" s="44"/>
      <c r="Q201" s="83"/>
      <c r="R201" s="212" t="s">
        <v>283</v>
      </c>
      <c r="S201" s="75" t="n">
        <v>1</v>
      </c>
      <c r="T201" s="75" t="n">
        <v>2</v>
      </c>
      <c r="U201" s="75" t="n">
        <v>3</v>
      </c>
      <c r="V201" s="75" t="n">
        <v>4</v>
      </c>
      <c r="W201" s="75" t="n">
        <v>5</v>
      </c>
      <c r="X201" s="75" t="n">
        <v>6</v>
      </c>
      <c r="Y201" s="75" t="n">
        <v>7</v>
      </c>
      <c r="Z201" s="75" t="n">
        <v>8</v>
      </c>
      <c r="AA201" s="75" t="n">
        <v>9</v>
      </c>
      <c r="AB201" s="75" t="n">
        <v>10</v>
      </c>
      <c r="AC201" s="75" t="n">
        <v>11</v>
      </c>
      <c r="AD201" s="75" t="n">
        <v>12</v>
      </c>
      <c r="AE201" s="44"/>
      <c r="AF201" s="219" t="s">
        <v>240</v>
      </c>
      <c r="AG201" s="75" t="n">
        <v>1</v>
      </c>
      <c r="AH201" s="75" t="n">
        <v>2</v>
      </c>
      <c r="AI201" s="75" t="n">
        <v>3</v>
      </c>
      <c r="AJ201" s="75" t="n">
        <v>4</v>
      </c>
      <c r="AK201" s="75" t="n">
        <v>5</v>
      </c>
      <c r="AL201" s="75" t="n">
        <v>6</v>
      </c>
      <c r="AM201" s="75" t="n">
        <v>7</v>
      </c>
      <c r="AN201" s="75" t="n">
        <v>8</v>
      </c>
      <c r="AO201" s="75" t="n">
        <v>9</v>
      </c>
      <c r="AP201" s="75" t="n">
        <v>10</v>
      </c>
      <c r="AQ201" s="75" t="n">
        <v>11</v>
      </c>
      <c r="AR201" s="75" t="n">
        <v>12</v>
      </c>
    </row>
    <row r="202" customFormat="false" ht="15.75" hidden="false" customHeight="false" outlineLevel="0" collapsed="false">
      <c r="A202" s="290" t="s">
        <v>284</v>
      </c>
      <c r="B202" s="281"/>
      <c r="C202" s="291" t="str">
        <f aca="false">IFERROR(IF(C$182*C183&gt;0,AVERAGE(C$182,C183),""),"")</f>
        <v/>
      </c>
      <c r="D202" s="291" t="str">
        <f aca="false">IFERROR(IF(D$182*D183&gt;0,AVERAGE(D$182,D183),""),"")</f>
        <v/>
      </c>
      <c r="E202" s="291" t="str">
        <f aca="false">IFERROR(IF(E$182*E183&gt;0,AVERAGE(E$182,E183),""),"")</f>
        <v/>
      </c>
      <c r="F202" s="291" t="str">
        <f aca="false">IFERROR(IF(F$182*F183&gt;0,AVERAGE(F$182,F183),""),"")</f>
        <v/>
      </c>
      <c r="G202" s="291" t="str">
        <f aca="false">IFERROR(IF(G$182*G183&gt;0,AVERAGE(G$182,G183),""),"")</f>
        <v/>
      </c>
      <c r="H202" s="291" t="str">
        <f aca="false">IFERROR(IF(H$182*H183&gt;0,AVERAGE(H$182,H183),""),"")</f>
        <v/>
      </c>
      <c r="I202" s="291" t="str">
        <f aca="false">IFERROR(IF(I$182*I183&gt;0,AVERAGE(I$182,I183),""),"")</f>
        <v/>
      </c>
      <c r="J202" s="291" t="str">
        <f aca="false">IFERROR(IF(J$182*J183&gt;0,AVERAGE(J$182,J183),""),"")</f>
        <v/>
      </c>
      <c r="K202" s="291" t="str">
        <f aca="false">IFERROR(IF(K$182*K183&gt;0,AVERAGE(K$182,K183),""),"")</f>
        <v/>
      </c>
      <c r="L202" s="291" t="str">
        <f aca="false">IFERROR(IF(L$182*L183&gt;0,AVERAGE(L$182,L183),""),"")</f>
        <v/>
      </c>
      <c r="M202" s="291" t="str">
        <f aca="false">IFERROR(IF(M$182*M183&gt;0,AVERAGE(M$182,M183),""),"")</f>
        <v/>
      </c>
      <c r="N202" s="291" t="str">
        <f aca="false">IFERROR(IF(N$182*N183&gt;0,AVERAGE(N$182,N183),""),"")</f>
        <v/>
      </c>
      <c r="O202" s="292" t="n">
        <v>2</v>
      </c>
      <c r="P202" s="282" t="n">
        <f aca="false">COMBIN(7,2)</f>
        <v>21</v>
      </c>
      <c r="Q202" s="283" t="n">
        <f aca="false">ROW(N222)-ROW(N202)+1</f>
        <v>21</v>
      </c>
      <c r="R202" s="293" t="s">
        <v>285</v>
      </c>
      <c r="S202" s="294" t="str">
        <f aca="false">IFERROR(IF(C$182*C183&gt;0,STDEV(C$182,C183),"")/IF(C$182*C183&gt;0,AVERAGE(C$182,C183),""),"")</f>
        <v/>
      </c>
      <c r="T202" s="294" t="str">
        <f aca="false">IFERROR(IF(D$182*D183&gt;0,STDEV(D$182,D183),"")/IF(D$182*D183&gt;0,AVERAGE(D$182,D183),""),"")</f>
        <v/>
      </c>
      <c r="U202" s="294" t="str">
        <f aca="false">IFERROR(IF(E$182*E183&gt;0,STDEV(E$182,E183),"")/IF(E$182*E183&gt;0,AVERAGE(E$182,E183),""),"")</f>
        <v/>
      </c>
      <c r="V202" s="294" t="str">
        <f aca="false">IFERROR(IF(F$182*F183&gt;0,STDEV(F$182,F183),"")/IF(F$182*F183&gt;0,AVERAGE(F$182,F183),""),"")</f>
        <v/>
      </c>
      <c r="W202" s="294" t="str">
        <f aca="false">IFERROR(IF(G$182*G183&gt;0,STDEV(G$182,G183),"")/IF(G$182*G183&gt;0,AVERAGE(G$182,G183),""),"")</f>
        <v/>
      </c>
      <c r="X202" s="294" t="str">
        <f aca="false">IFERROR(IF(H$182*H183&gt;0,STDEV(H$182,H183),"")/IF(H$182*H183&gt;0,AVERAGE(H$182,H183),""),"")</f>
        <v/>
      </c>
      <c r="Y202" s="294" t="str">
        <f aca="false">IFERROR(IF(I$182*I183&gt;0,STDEV(I$182,I183),"")/IF(I$182*I183&gt;0,AVERAGE(I$182,I183),""),"")</f>
        <v/>
      </c>
      <c r="Z202" s="294" t="str">
        <f aca="false">IFERROR(IF(J$182*J183&gt;0,STDEV(J$182,J183),"")/IF(J$182*J183&gt;0,AVERAGE(J$182,J183),""),"")</f>
        <v/>
      </c>
      <c r="AA202" s="294" t="str">
        <f aca="false">IFERROR(IF(K$182*K183&gt;0,STDEV(K$182,K183),"")/IF(K$182*K183&gt;0,AVERAGE(K$182,K183),""),"")</f>
        <v/>
      </c>
      <c r="AB202" s="294" t="str">
        <f aca="false">IFERROR(IF(L$182*L183&gt;0,STDEV(L$182,L183),"")/IF(L$182*L183&gt;0,AVERAGE(L$182,L183),""),"")</f>
        <v/>
      </c>
      <c r="AC202" s="294" t="str">
        <f aca="false">IFERROR(IF(M$182*M183&gt;0,STDEV(M$182,M183),"")/IF(M$182*M183&gt;0,AVERAGE(M$182,M183),""),"")</f>
        <v/>
      </c>
      <c r="AD202" s="294" t="str">
        <f aca="false">IFERROR(IF(N$182*N183&gt;0,STDEV(N$182,N183),"")/IF(N$182*N183&gt;0,AVERAGE(N$182,N183),""),"")</f>
        <v/>
      </c>
      <c r="AE202" s="120"/>
      <c r="AF202" s="266" t="s">
        <v>286</v>
      </c>
      <c r="AG202" s="303" t="str">
        <f aca="false">IFERROR(IF(C$182*C183&gt;0,STDEV(C$182,C183)," ")/IF(C$182*C183&gt;0,SQRT(COUNT(C$182,C183)),""),"")</f>
        <v/>
      </c>
      <c r="AH202" s="303" t="str">
        <f aca="false">IFERROR(IF(D$182*D183&gt;0,STDEV(D$182,D183)," ")/IF(D$182*D183&gt;0,SQRT(COUNT(D$182,D183)),""),"")</f>
        <v/>
      </c>
      <c r="AI202" s="303" t="str">
        <f aca="false">IFERROR(IF(E$182*E183&gt;0,STDEV(E$182,E183)," ")/IF(E$182*E183&gt;0,SQRT(COUNT(E$182,E183)),""),"")</f>
        <v/>
      </c>
      <c r="AJ202" s="303" t="str">
        <f aca="false">IFERROR(IF(F$182*F183&gt;0,STDEV(F$182,F183)," ")/IF(F$182*F183&gt;0,SQRT(COUNT(F$182,F183)),""),"")</f>
        <v/>
      </c>
      <c r="AK202" s="303" t="str">
        <f aca="false">IFERROR(IF(G$182*G183&gt;0,STDEV(G$182,G183)," ")/IF(G$182*G183&gt;0,SQRT(COUNT(G$182,G183)),""),"")</f>
        <v/>
      </c>
      <c r="AL202" s="303" t="str">
        <f aca="false">IFERROR(IF(H$182*H183&gt;0,STDEV(H$182,H183)," ")/IF(H$182*H183&gt;0,SQRT(COUNT(H$182,H183)),""),"")</f>
        <v/>
      </c>
      <c r="AM202" s="303" t="str">
        <f aca="false">IFERROR(IF(I$182*I183&gt;0,STDEV(I$182,I183)," ")/IF(I$182*I183&gt;0,SQRT(COUNT(I$182,I183)),""),"")</f>
        <v/>
      </c>
      <c r="AN202" s="303" t="str">
        <f aca="false">IFERROR(IF(J$182*J183&gt;0,STDEV(J$182,J183)," ")/IF(J$182*J183&gt;0,SQRT(COUNT(J$182,J183)),""),"")</f>
        <v/>
      </c>
      <c r="AO202" s="303" t="str">
        <f aca="false">IFERROR(IF(K$182*K183&gt;0,STDEV(K$182,K183)," ")/IF(K$182*K183&gt;0,SQRT(COUNT(K$182,K183)),""),"")</f>
        <v/>
      </c>
      <c r="AP202" s="303" t="str">
        <f aca="false">IFERROR(IF(L$182*L183&gt;0,STDEV(L$182,L183)," ")/IF(L$182*L183&gt;0,SQRT(COUNT(L$182,L183)),""),"")</f>
        <v/>
      </c>
      <c r="AQ202" s="303" t="str">
        <f aca="false">IFERROR(IF(M$182*M183&gt;0,STDEV(M$182,M183)," ")/IF(M$182*M183&gt;0,SQRT(COUNT(M$182,M183)),""),"")</f>
        <v/>
      </c>
      <c r="AR202" s="303" t="str">
        <f aca="false">IFERROR(IF(N$182*N183&gt;0,STDEV(N$182,N183)," ")/IF(N$182*N183&gt;0,SQRT(COUNT(N$182,N183)),""),"")</f>
        <v/>
      </c>
    </row>
    <row r="203" customFormat="false" ht="15.75" hidden="false" customHeight="false" outlineLevel="0" collapsed="false">
      <c r="A203" s="290" t="s">
        <v>287</v>
      </c>
      <c r="B203" s="281"/>
      <c r="C203" s="291" t="str">
        <f aca="false">IFERROR(IF(C$182*C184&gt;0,AVERAGE(C$182,C184),""),"")</f>
        <v/>
      </c>
      <c r="D203" s="291" t="str">
        <f aca="false">IFERROR(IF(D$182*D184&gt;0,AVERAGE(D$182,D184),""),"")</f>
        <v/>
      </c>
      <c r="E203" s="291" t="str">
        <f aca="false">IFERROR(IF(E$182*E184&gt;0,AVERAGE(E$182,E184),""),"")</f>
        <v/>
      </c>
      <c r="F203" s="291" t="str">
        <f aca="false">IFERROR(IF(F$182*F184&gt;0,AVERAGE(F$182,F184),""),"")</f>
        <v/>
      </c>
      <c r="G203" s="291" t="str">
        <f aca="false">IFERROR(IF(G$182*G184&gt;0,AVERAGE(G$182,G184),""),"")</f>
        <v/>
      </c>
      <c r="H203" s="291" t="str">
        <f aca="false">IFERROR(IF(H$182*H184&gt;0,AVERAGE(H$182,H184),""),"")</f>
        <v/>
      </c>
      <c r="I203" s="291" t="str">
        <f aca="false">IFERROR(IF(I$182*I184&gt;0,AVERAGE(I$182,I184),""),"")</f>
        <v/>
      </c>
      <c r="J203" s="291" t="str">
        <f aca="false">IFERROR(IF(J$182*J184&gt;0,AVERAGE(J$182,J184),""),"")</f>
        <v/>
      </c>
      <c r="K203" s="291" t="str">
        <f aca="false">IFERROR(IF(K$182*K184&gt;0,AVERAGE(K$182,K184),""),"")</f>
        <v/>
      </c>
      <c r="L203" s="291" t="str">
        <f aca="false">IFERROR(IF(L$182*L184&gt;0,AVERAGE(L$182,L184),""),"")</f>
        <v/>
      </c>
      <c r="M203" s="291" t="str">
        <f aca="false">IFERROR(IF(M$182*M184&gt;0,AVERAGE(M$182,M184),""),"")</f>
        <v/>
      </c>
      <c r="N203" s="291" t="str">
        <f aca="false">IFERROR(IF(N$182*N184&gt;0,AVERAGE(N$182,N184),""),"")</f>
        <v/>
      </c>
      <c r="O203" s="295"/>
      <c r="P203" s="282"/>
      <c r="Q203" s="296"/>
      <c r="R203" s="293" t="s">
        <v>288</v>
      </c>
      <c r="S203" s="294" t="str">
        <f aca="false">IFERROR(IF(C$182*C184&gt;0,STDEV(C$182,C184),"")/IF(C$182*C184&gt;0,AVERAGE(C$182,C184),""),"")</f>
        <v/>
      </c>
      <c r="T203" s="294" t="str">
        <f aca="false">IFERROR(IF(D$182*D184&gt;0,STDEV(D$182,D184),"")/IF(D$182*D184&gt;0,AVERAGE(D$182,D184),""),"")</f>
        <v/>
      </c>
      <c r="U203" s="294" t="str">
        <f aca="false">IFERROR(IF(E$182*E184&gt;0,STDEV(E$182,E184),"")/IF(E$182*E184&gt;0,AVERAGE(E$182,E184),""),"")</f>
        <v/>
      </c>
      <c r="V203" s="294" t="str">
        <f aca="false">IFERROR(IF(F$182*F184&gt;0,STDEV(F$182,F184),"")/IF(F$182*F184&gt;0,AVERAGE(F$182,F184),""),"")</f>
        <v/>
      </c>
      <c r="W203" s="294" t="str">
        <f aca="false">IFERROR(IF(G$182*G184&gt;0,STDEV(G$182,G184),"")/IF(G$182*G184&gt;0,AVERAGE(G$182,G184),""),"")</f>
        <v/>
      </c>
      <c r="X203" s="294" t="str">
        <f aca="false">IFERROR(IF(H$182*H184&gt;0,STDEV(H$182,H184),"")/IF(H$182*H184&gt;0,AVERAGE(H$182,H184),""),"")</f>
        <v/>
      </c>
      <c r="Y203" s="294" t="str">
        <f aca="false">IFERROR(IF(I$182*I184&gt;0,STDEV(I$182,I184),"")/IF(I$182*I184&gt;0,AVERAGE(I$182,I184),""),"")</f>
        <v/>
      </c>
      <c r="Z203" s="294" t="str">
        <f aca="false">IFERROR(IF(J$182*J184&gt;0,STDEV(J$182,J184),"")/IF(J$182*J184&gt;0,AVERAGE(J$182,J184),""),"")</f>
        <v/>
      </c>
      <c r="AA203" s="294" t="str">
        <f aca="false">IFERROR(IF(K$182*K184&gt;0,STDEV(K$182,K184),"")/IF(K$182*K184&gt;0,AVERAGE(K$182,K184),""),"")</f>
        <v/>
      </c>
      <c r="AB203" s="294" t="str">
        <f aca="false">IFERROR(IF(L$182*L184&gt;0,STDEV(L$182,L184),"")/IF(L$182*L184&gt;0,AVERAGE(L$182,L184),""),"")</f>
        <v/>
      </c>
      <c r="AC203" s="294" t="str">
        <f aca="false">IFERROR(IF(M$182*M184&gt;0,STDEV(M$182,M184),"")/IF(M$182*M184&gt;0,AVERAGE(M$182,M184),""),"")</f>
        <v/>
      </c>
      <c r="AD203" s="294" t="str">
        <f aca="false">IFERROR(IF(N$182*N184&gt;0,STDEV(N$182,N184),"")/IF(N$182*N184&gt;0,AVERAGE(N$182,N184),""),"")</f>
        <v/>
      </c>
      <c r="AE203" s="44"/>
      <c r="AF203" s="266" t="s">
        <v>289</v>
      </c>
      <c r="AG203" s="303" t="str">
        <f aca="false">IFERROR(IF(C$182*C183&gt;0,STDEV(C$182,C183)," ")/IF(C$182*C183&gt;0,SQRT(COUNT(C$182,C183)),""),"")</f>
        <v/>
      </c>
      <c r="AH203" s="303" t="str">
        <f aca="false">IFERROR(IF(D$182*D183&gt;0,STDEV(D$182,D183)," ")/IF(D$182*D183&gt;0,SQRT(COUNT(D$182,D183)),""),"")</f>
        <v/>
      </c>
      <c r="AI203" s="303" t="str">
        <f aca="false">IFERROR(IF(E$182*E183&gt;0,STDEV(E$182,E183)," ")/IF(E$182*E183&gt;0,SQRT(COUNT(E$182,E183)),""),"")</f>
        <v/>
      </c>
      <c r="AJ203" s="303" t="str">
        <f aca="false">IFERROR(IF(F$182*F183&gt;0,STDEV(F$182,F183)," ")/IF(F$182*F183&gt;0,SQRT(COUNT(F$182,F183)),""),"")</f>
        <v/>
      </c>
      <c r="AK203" s="303" t="str">
        <f aca="false">IFERROR(IF(G$182*G183&gt;0,STDEV(G$182,G183)," ")/IF(G$182*G183&gt;0,SQRT(COUNT(G$182,G183)),""),"")</f>
        <v/>
      </c>
      <c r="AL203" s="303" t="str">
        <f aca="false">IFERROR(IF(H$182*H183&gt;0,STDEV(H$182,H183)," ")/IF(H$182*H183&gt;0,SQRT(COUNT(H$182,H183)),""),"")</f>
        <v/>
      </c>
      <c r="AM203" s="303" t="str">
        <f aca="false">IFERROR(IF(I$182*I183&gt;0,STDEV(I$182,I183)," ")/IF(I$182*I183&gt;0,SQRT(COUNT(I$182,I183)),""),"")</f>
        <v/>
      </c>
      <c r="AN203" s="303" t="str">
        <f aca="false">IFERROR(IF(J$182*J183&gt;0,STDEV(J$182,J183)," ")/IF(J$182*J183&gt;0,SQRT(COUNT(J$182,J183)),""),"")</f>
        <v/>
      </c>
      <c r="AO203" s="303" t="str">
        <f aca="false">IFERROR(IF(K$182*K183&gt;0,STDEV(K$182,K183)," ")/IF(K$182*K183&gt;0,SQRT(COUNT(K$182,K183)),""),"")</f>
        <v/>
      </c>
      <c r="AP203" s="303" t="str">
        <f aca="false">IFERROR(IF(L$182*L183&gt;0,STDEV(L$182,L183)," ")/IF(L$182*L183&gt;0,SQRT(COUNT(L$182,L183)),""),"")</f>
        <v/>
      </c>
      <c r="AQ203" s="303" t="str">
        <f aca="false">IFERROR(IF(M$182*M183&gt;0,STDEV(M$182,M183)," ")/IF(M$182*M183&gt;0,SQRT(COUNT(M$182,M183)),""),"")</f>
        <v/>
      </c>
      <c r="AR203" s="303" t="str">
        <f aca="false">IFERROR(IF(N$182*N183&gt;0,STDEV(N$182,N183)," ")/IF(N$182*N183&gt;0,SQRT(COUNT(N$182,N183)),""),"")</f>
        <v/>
      </c>
    </row>
    <row r="204" customFormat="false" ht="15.75" hidden="false" customHeight="false" outlineLevel="0" collapsed="false">
      <c r="A204" s="290" t="s">
        <v>290</v>
      </c>
      <c r="B204" s="281"/>
      <c r="C204" s="291" t="str">
        <f aca="false">IFERROR(IF(C$182*C185&gt;0,AVERAGE(C$182,C185),""),"")</f>
        <v/>
      </c>
      <c r="D204" s="291" t="str">
        <f aca="false">IFERROR(IF(D$182*D185&gt;0,AVERAGE(D$182,D185),""),"")</f>
        <v/>
      </c>
      <c r="E204" s="291" t="str">
        <f aca="false">IFERROR(IF(E$182*E185&gt;0,AVERAGE(E$182,E185),""),"")</f>
        <v/>
      </c>
      <c r="F204" s="291" t="str">
        <f aca="false">IFERROR(IF(F$182*F185&gt;0,AVERAGE(F$182,F185),""),"")</f>
        <v/>
      </c>
      <c r="G204" s="291" t="str">
        <f aca="false">IFERROR(IF(G$182*G185&gt;0,AVERAGE(G$182,G185),""),"")</f>
        <v/>
      </c>
      <c r="H204" s="291" t="str">
        <f aca="false">IFERROR(IF(H$182*H185&gt;0,AVERAGE(H$182,H185),""),"")</f>
        <v/>
      </c>
      <c r="I204" s="291" t="str">
        <f aca="false">IFERROR(IF(I$182*I185&gt;0,AVERAGE(I$182,I185),""),"")</f>
        <v/>
      </c>
      <c r="J204" s="291" t="str">
        <f aca="false">IFERROR(IF(J$182*J185&gt;0,AVERAGE(J$182,J185),""),"")</f>
        <v/>
      </c>
      <c r="K204" s="291" t="str">
        <f aca="false">IFERROR(IF(K$182*K185&gt;0,AVERAGE(K$182,K185),""),"")</f>
        <v/>
      </c>
      <c r="L204" s="291" t="str">
        <f aca="false">IFERROR(IF(L$182*L185&gt;0,AVERAGE(L$182,L185),""),"")</f>
        <v/>
      </c>
      <c r="M204" s="291" t="str">
        <f aca="false">IFERROR(IF(M$182*M185&gt;0,AVERAGE(M$182,M185),""),"")</f>
        <v/>
      </c>
      <c r="N204" s="291" t="str">
        <f aca="false">IFERROR(IF(N$182*N185&gt;0,AVERAGE(N$182,N185),""),"")</f>
        <v/>
      </c>
      <c r="O204" s="282"/>
      <c r="P204" s="282"/>
      <c r="Q204" s="296"/>
      <c r="R204" s="293" t="s">
        <v>291</v>
      </c>
      <c r="S204" s="294" t="str">
        <f aca="false">IFERROR(IF(C$182*C185&gt;0,STDEV(C$182,C185),"")/IF(C$182*C185&gt;0,AVERAGE(C$182,C185),""),"")</f>
        <v/>
      </c>
      <c r="T204" s="294" t="str">
        <f aca="false">IFERROR(IF(D$182*D185&gt;0,STDEV(D$182,D185),"")/IF(D$182*D185&gt;0,AVERAGE(D$182,D185),""),"")</f>
        <v/>
      </c>
      <c r="U204" s="294" t="str">
        <f aca="false">IFERROR(IF(E$182*E185&gt;0,STDEV(E$182,E185),"")/IF(E$182*E185&gt;0,AVERAGE(E$182,E185),""),"")</f>
        <v/>
      </c>
      <c r="V204" s="294" t="str">
        <f aca="false">IFERROR(IF(F$182*F185&gt;0,STDEV(F$182,F185),"")/IF(F$182*F185&gt;0,AVERAGE(F$182,F185),""),"")</f>
        <v/>
      </c>
      <c r="W204" s="294" t="str">
        <f aca="false">IFERROR(IF(G$182*G185&gt;0,STDEV(G$182,G185),"")/IF(G$182*G185&gt;0,AVERAGE(G$182,G185),""),"")</f>
        <v/>
      </c>
      <c r="X204" s="294" t="str">
        <f aca="false">IFERROR(IF(H$182*H185&gt;0,STDEV(H$182,H185),"")/IF(H$182*H185&gt;0,AVERAGE(H$182,H185),""),"")</f>
        <v/>
      </c>
      <c r="Y204" s="294" t="str">
        <f aca="false">IFERROR(IF(I$182*I185&gt;0,STDEV(I$182,I185),"")/IF(I$182*I185&gt;0,AVERAGE(I$182,I185),""),"")</f>
        <v/>
      </c>
      <c r="Z204" s="294" t="str">
        <f aca="false">IFERROR(IF(J$182*J185&gt;0,STDEV(J$182,J185),"")/IF(J$182*J185&gt;0,AVERAGE(J$182,J185),""),"")</f>
        <v/>
      </c>
      <c r="AA204" s="294" t="str">
        <f aca="false">IFERROR(IF(K$182*K185&gt;0,STDEV(K$182,K185),"")/IF(K$182*K185&gt;0,AVERAGE(K$182,K185),""),"")</f>
        <v/>
      </c>
      <c r="AB204" s="294" t="str">
        <f aca="false">IFERROR(IF(L$182*L185&gt;0,STDEV(L$182,L185),"")/IF(L$182*L185&gt;0,AVERAGE(L$182,L185),""),"")</f>
        <v/>
      </c>
      <c r="AC204" s="294" t="str">
        <f aca="false">IFERROR(IF(M$182*M185&gt;0,STDEV(M$182,M185),"")/IF(M$182*M185&gt;0,AVERAGE(M$182,M185),""),"")</f>
        <v/>
      </c>
      <c r="AD204" s="294" t="str">
        <f aca="false">IFERROR(IF(N$182*N185&gt;0,STDEV(N$182,N185),"")/IF(N$182*N185&gt;0,AVERAGE(N$182,N185),""),"")</f>
        <v/>
      </c>
      <c r="AE204" s="44"/>
      <c r="AF204" s="266" t="s">
        <v>292</v>
      </c>
      <c r="AG204" s="303" t="str">
        <f aca="false">IFERROR(IF(C$10*C13&gt;0,STDEV(C$182,C185)," ")/IF(C$182*C185&gt;0,SQRT(COUNT(C$182,C185))," "),"")</f>
        <v/>
      </c>
      <c r="AH204" s="303" t="str">
        <f aca="false">IFERROR(IF(D$10*D13&gt;0,STDEV(D$182,D185)," ")/IF(D$182*D185&gt;0,SQRT(COUNT(D$182,D185))," "),"")</f>
        <v/>
      </c>
      <c r="AI204" s="303" t="str">
        <f aca="false">IFERROR(IF(E$10*E13&gt;0,STDEV(E$182,E185)," ")/IF(E$182*E185&gt;0,SQRT(COUNT(E$182,E185))," "),"")</f>
        <v/>
      </c>
      <c r="AJ204" s="303" t="str">
        <f aca="false">IFERROR(IF(F$10*F13&gt;0,STDEV(F$182,F185)," ")/IF(F$182*F185&gt;0,SQRT(COUNT(F$182,F185))," "),"")</f>
        <v/>
      </c>
      <c r="AK204" s="303" t="str">
        <f aca="false">IFERROR(IF(G$10*G13&gt;0,STDEV(G$182,G185)," ")/IF(G$182*G185&gt;0,SQRT(COUNT(G$182,G185))," "),"")</f>
        <v/>
      </c>
      <c r="AL204" s="303" t="str">
        <f aca="false">IFERROR(IF(H$10*H13&gt;0,STDEV(H$182,H185)," ")/IF(H$182*H185&gt;0,SQRT(COUNT(H$182,H185))," "),"")</f>
        <v/>
      </c>
      <c r="AM204" s="303" t="str">
        <f aca="false">IFERROR(IF(I$10*I13&gt;0,STDEV(I$182,I185)," ")/IF(I$182*I185&gt;0,SQRT(COUNT(I$182,I185))," "),"")</f>
        <v/>
      </c>
      <c r="AN204" s="303" t="str">
        <f aca="false">IFERROR(IF(J$10*J13&gt;0,STDEV(J$182,J185)," ")/IF(J$182*J185&gt;0,SQRT(COUNT(J$182,J185))," "),"")</f>
        <v/>
      </c>
      <c r="AO204" s="303" t="str">
        <f aca="false">IFERROR(IF(K$10*K13&gt;0,STDEV(K$182,K185)," ")/IF(K$182*K185&gt;0,SQRT(COUNT(K$182,K185))," "),"")</f>
        <v/>
      </c>
      <c r="AP204" s="303" t="str">
        <f aca="false">IFERROR(IF(L$10*L13&gt;0,STDEV(L$182,L185)," ")/IF(L$182*L185&gt;0,SQRT(COUNT(L$182,L185))," "),"")</f>
        <v/>
      </c>
      <c r="AQ204" s="303" t="str">
        <f aca="false">IFERROR(IF(M$10*M13&gt;0,STDEV(M$182,M185)," ")/IF(M$182*M185&gt;0,SQRT(COUNT(M$182,M185))," "),"")</f>
        <v/>
      </c>
      <c r="AR204" s="303" t="str">
        <f aca="false">IFERROR(IF(N$10*N13&gt;0,STDEV(N$182,N185)," ")/IF(N$182*N185&gt;0,SQRT(COUNT(N$182,N185))," "),"")</f>
        <v/>
      </c>
    </row>
    <row r="205" customFormat="false" ht="15.75" hidden="false" customHeight="false" outlineLevel="0" collapsed="false">
      <c r="A205" s="290" t="s">
        <v>293</v>
      </c>
      <c r="B205" s="281"/>
      <c r="C205" s="291" t="str">
        <f aca="false">IFERROR(IF(C$182*C186&gt;0,AVERAGE(C$182,C186),""),"")</f>
        <v/>
      </c>
      <c r="D205" s="291" t="str">
        <f aca="false">IFERROR(IF(D$182*D186&gt;0,AVERAGE(D$182,D186),""),"")</f>
        <v/>
      </c>
      <c r="E205" s="291" t="str">
        <f aca="false">IFERROR(IF(E$182*E186&gt;0,AVERAGE(E$182,E186),""),"")</f>
        <v/>
      </c>
      <c r="F205" s="291" t="str">
        <f aca="false">IFERROR(IF(F$182*F186&gt;0,AVERAGE(F$182,F186),""),"")</f>
        <v/>
      </c>
      <c r="G205" s="291" t="str">
        <f aca="false">IFERROR(IF(G$182*G186&gt;0,AVERAGE(G$182,G186),""),"")</f>
        <v/>
      </c>
      <c r="H205" s="291" t="str">
        <f aca="false">IFERROR(IF(H$182*H186&gt;0,AVERAGE(H$182,H186),""),"")</f>
        <v/>
      </c>
      <c r="I205" s="291" t="str">
        <f aca="false">IFERROR(IF(I$182*I186&gt;0,AVERAGE(I$182,I186),""),"")</f>
        <v/>
      </c>
      <c r="J205" s="291" t="str">
        <f aca="false">IFERROR(IF(J$182*J186&gt;0,AVERAGE(J$182,J186),""),"")</f>
        <v/>
      </c>
      <c r="K205" s="291" t="str">
        <f aca="false">IFERROR(IF(K$182*K186&gt;0,AVERAGE(K$182,K186),""),"")</f>
        <v/>
      </c>
      <c r="L205" s="291" t="str">
        <f aca="false">IFERROR(IF(L$182*L186&gt;0,AVERAGE(L$182,L186),""),"")</f>
        <v/>
      </c>
      <c r="M205" s="291" t="str">
        <f aca="false">IFERROR(IF(M$182*M186&gt;0,AVERAGE(M$182,M186),""),"")</f>
        <v/>
      </c>
      <c r="N205" s="291" t="str">
        <f aca="false">IFERROR(IF(N$182*N186&gt;0,AVERAGE(N$182,N186),""),"")</f>
        <v/>
      </c>
      <c r="O205" s="282"/>
      <c r="P205" s="282"/>
      <c r="Q205" s="296"/>
      <c r="R205" s="293" t="s">
        <v>294</v>
      </c>
      <c r="S205" s="294" t="str">
        <f aca="false">IFERROR(IF(C$182*C186&gt;0,STDEV(C$182,C186),"")/IF(C$182*C186&gt;0,AVERAGE(C$182,C186),""),"")</f>
        <v/>
      </c>
      <c r="T205" s="294" t="str">
        <f aca="false">IFERROR(IF(D$182*D186&gt;0,STDEV(D$182,D186),"")/IF(D$182*D186&gt;0,AVERAGE(D$182,D186),""),"")</f>
        <v/>
      </c>
      <c r="U205" s="294" t="str">
        <f aca="false">IFERROR(IF(E$182*E186&gt;0,STDEV(E$182,E186),"")/IF(E$182*E186&gt;0,AVERAGE(E$182,E186),""),"")</f>
        <v/>
      </c>
      <c r="V205" s="294" t="str">
        <f aca="false">IFERROR(IF(F$182*F186&gt;0,STDEV(F$182,F186),"")/IF(F$182*F186&gt;0,AVERAGE(F$182,F186),""),"")</f>
        <v/>
      </c>
      <c r="W205" s="294" t="str">
        <f aca="false">IFERROR(IF(G$182*G186&gt;0,STDEV(G$182,G186),"")/IF(G$182*G186&gt;0,AVERAGE(G$182,G186),""),"")</f>
        <v/>
      </c>
      <c r="X205" s="294" t="str">
        <f aca="false">IFERROR(IF(H$182*H186&gt;0,STDEV(H$182,H186),"")/IF(H$182*H186&gt;0,AVERAGE(H$182,H186),""),"")</f>
        <v/>
      </c>
      <c r="Y205" s="294" t="str">
        <f aca="false">IFERROR(IF(I$182*I186&gt;0,STDEV(I$182,I186),"")/IF(I$182*I186&gt;0,AVERAGE(I$182,I186),""),"")</f>
        <v/>
      </c>
      <c r="Z205" s="294" t="str">
        <f aca="false">IFERROR(IF(J$182*J186&gt;0,STDEV(J$182,J186),"")/IF(J$182*J186&gt;0,AVERAGE(J$182,J186),""),"")</f>
        <v/>
      </c>
      <c r="AA205" s="294" t="str">
        <f aca="false">IFERROR(IF(K$182*K186&gt;0,STDEV(K$182,K186),"")/IF(K$182*K186&gt;0,AVERAGE(K$182,K186),""),"")</f>
        <v/>
      </c>
      <c r="AB205" s="294" t="str">
        <f aca="false">IFERROR(IF(L$182*L186&gt;0,STDEV(L$182,L186),"")/IF(L$182*L186&gt;0,AVERAGE(L$182,L186),""),"")</f>
        <v/>
      </c>
      <c r="AC205" s="294" t="str">
        <f aca="false">IFERROR(IF(M$182*M186&gt;0,STDEV(M$182,M186),"")/IF(M$182*M186&gt;0,AVERAGE(M$182,M186),""),"")</f>
        <v/>
      </c>
      <c r="AD205" s="294" t="str">
        <f aca="false">IFERROR(IF(N$182*N186&gt;0,STDEV(N$182,N186),"")/IF(N$182*N186&gt;0,AVERAGE(N$182,N186),""),"")</f>
        <v/>
      </c>
      <c r="AE205" s="44"/>
      <c r="AF205" s="266" t="s">
        <v>295</v>
      </c>
      <c r="AG205" s="303" t="str">
        <f aca="false">IFERROR(IF(C$182*C186&gt;0,STDEV(C$182,C186)," ")/IF(C$182*C186&gt;0,SQRT(COUNT(C$182,C186))," "),"")</f>
        <v/>
      </c>
      <c r="AH205" s="303" t="str">
        <f aca="false">IFERROR(IF(D$182*D186&gt;0,STDEV(D$182,D186)," ")/IF(D$182*D186&gt;0,SQRT(COUNT(D$182,D186))," "),"")</f>
        <v/>
      </c>
      <c r="AI205" s="303" t="str">
        <f aca="false">IFERROR(IF(E$182*E186&gt;0,STDEV(E$182,E186)," ")/IF(E$182*E186&gt;0,SQRT(COUNT(E$182,E186))," "),"")</f>
        <v/>
      </c>
      <c r="AJ205" s="303" t="str">
        <f aca="false">IFERROR(IF(F$182*F186&gt;0,STDEV(F$182,F186)," ")/IF(F$182*F186&gt;0,SQRT(COUNT(F$182,F186))," "),"")</f>
        <v/>
      </c>
      <c r="AK205" s="303" t="str">
        <f aca="false">IFERROR(IF(G$182*G186&gt;0,STDEV(G$182,G186)," ")/IF(G$182*G186&gt;0,SQRT(COUNT(G$182,G186))," "),"")</f>
        <v/>
      </c>
      <c r="AL205" s="303" t="str">
        <f aca="false">IFERROR(IF(H$182*H186&gt;0,STDEV(H$182,H186)," ")/IF(H$182*H186&gt;0,SQRT(COUNT(H$182,H186))," "),"")</f>
        <v/>
      </c>
      <c r="AM205" s="303" t="str">
        <f aca="false">IFERROR(IF(I$182*I186&gt;0,STDEV(I$182,I186)," ")/IF(I$182*I186&gt;0,SQRT(COUNT(I$182,I186))," "),"")</f>
        <v/>
      </c>
      <c r="AN205" s="303" t="str">
        <f aca="false">IFERROR(IF(J$182*J186&gt;0,STDEV(J$182,J186)," ")/IF(J$182*J186&gt;0,SQRT(COUNT(J$182,J186))," "),"")</f>
        <v/>
      </c>
      <c r="AO205" s="303" t="str">
        <f aca="false">IFERROR(IF(K$182*K186&gt;0,STDEV(K$182,K186)," ")/IF(K$182*K186&gt;0,SQRT(COUNT(K$182,K186))," "),"")</f>
        <v/>
      </c>
      <c r="AP205" s="303" t="str">
        <f aca="false">IFERROR(IF(L$182*L186&gt;0,STDEV(L$182,L186)," ")/IF(L$182*L186&gt;0,SQRT(COUNT(L$182,L186))," "),"")</f>
        <v/>
      </c>
      <c r="AQ205" s="303" t="str">
        <f aca="false">IFERROR(IF(M$182*M186&gt;0,STDEV(M$182,M186)," ")/IF(M$182*M186&gt;0,SQRT(COUNT(M$182,M186))," "),"")</f>
        <v/>
      </c>
      <c r="AR205" s="303" t="str">
        <f aca="false">IFERROR(IF(N$182*N186&gt;0,STDEV(N$182,N186)," ")/IF(N$182*N186&gt;0,SQRT(COUNT(N$182,N186))," "),"")</f>
        <v/>
      </c>
    </row>
    <row r="206" customFormat="false" ht="15.75" hidden="false" customHeight="false" outlineLevel="0" collapsed="false">
      <c r="A206" s="290" t="s">
        <v>296</v>
      </c>
      <c r="B206" s="281"/>
      <c r="C206" s="291" t="str">
        <f aca="false">IFERROR(IF(C$182*C187&gt;0,AVERAGE(C$182,C187),""),"")</f>
        <v/>
      </c>
      <c r="D206" s="291" t="str">
        <f aca="false">IFERROR(IF(D$182*D187&gt;0,AVERAGE(D$182,D187),""),"")</f>
        <v/>
      </c>
      <c r="E206" s="291" t="str">
        <f aca="false">IFERROR(IF(E$182*E187&gt;0,AVERAGE(E$182,E187),""),"")</f>
        <v/>
      </c>
      <c r="F206" s="291" t="str">
        <f aca="false">IFERROR(IF(F$182*F187&gt;0,AVERAGE(F$182,F187),""),"")</f>
        <v/>
      </c>
      <c r="G206" s="291" t="str">
        <f aca="false">IFERROR(IF(G$182*G187&gt;0,AVERAGE(G$182,G187),""),"")</f>
        <v/>
      </c>
      <c r="H206" s="291" t="str">
        <f aca="false">IFERROR(IF(H$182*H187&gt;0,AVERAGE(H$182,H187),""),"")</f>
        <v/>
      </c>
      <c r="I206" s="291" t="str">
        <f aca="false">IFERROR(IF(I$182*I187&gt;0,AVERAGE(I$182,I187),""),"")</f>
        <v/>
      </c>
      <c r="J206" s="291" t="str">
        <f aca="false">IFERROR(IF(J$182*J187&gt;0,AVERAGE(J$182,J187),""),"")</f>
        <v/>
      </c>
      <c r="K206" s="291" t="str">
        <f aca="false">IFERROR(IF(K$182*K187&gt;0,AVERAGE(K$182,K187),""),"")</f>
        <v/>
      </c>
      <c r="L206" s="291" t="str">
        <f aca="false">IFERROR(IF(L$182*L187&gt;0,AVERAGE(L$182,L187),""),"")</f>
        <v/>
      </c>
      <c r="M206" s="291" t="str">
        <f aca="false">IFERROR(IF(M$182*M187&gt;0,AVERAGE(M$182,M187),""),"")</f>
        <v/>
      </c>
      <c r="N206" s="291" t="str">
        <f aca="false">IFERROR(IF(N$182*N187&gt;0,AVERAGE(N$182,N187),""),"")</f>
        <v/>
      </c>
      <c r="O206" s="282"/>
      <c r="P206" s="282"/>
      <c r="Q206" s="296"/>
      <c r="R206" s="293" t="s">
        <v>297</v>
      </c>
      <c r="S206" s="294" t="str">
        <f aca="false">IFERROR(IF(C$182*C187&gt;0,STDEV(C$182,C187),"")/IF(C$182*C187&gt;0,AVERAGE(C$182,C187),""),"")</f>
        <v/>
      </c>
      <c r="T206" s="294" t="str">
        <f aca="false">IFERROR(IF(D$182*D187&gt;0,STDEV(D$182,D187),"")/IF(D$182*D187&gt;0,AVERAGE(D$182,D187),""),"")</f>
        <v/>
      </c>
      <c r="U206" s="294" t="str">
        <f aca="false">IFERROR(IF(E$182*E187&gt;0,STDEV(E$182,E187),"")/IF(E$182*E187&gt;0,AVERAGE(E$182,E187),""),"")</f>
        <v/>
      </c>
      <c r="V206" s="294" t="str">
        <f aca="false">IFERROR(IF(F$182*F187&gt;0,STDEV(F$182,F187),"")/IF(F$182*F187&gt;0,AVERAGE(F$182,F187),""),"")</f>
        <v/>
      </c>
      <c r="W206" s="294" t="str">
        <f aca="false">IFERROR(IF(G$182*G187&gt;0,STDEV(G$182,G187),"")/IF(G$182*G187&gt;0,AVERAGE(G$182,G187),""),"")</f>
        <v/>
      </c>
      <c r="X206" s="294" t="str">
        <f aca="false">IFERROR(IF(H$182*H187&gt;0,STDEV(H$182,H187),"")/IF(H$182*H187&gt;0,AVERAGE(H$182,H187),""),"")</f>
        <v/>
      </c>
      <c r="Y206" s="294" t="str">
        <f aca="false">IFERROR(IF(I$182*I187&gt;0,STDEV(I$182,I187),"")/IF(I$182*I187&gt;0,AVERAGE(I$182,I187),""),"")</f>
        <v/>
      </c>
      <c r="Z206" s="294" t="str">
        <f aca="false">IFERROR(IF(J$182*J187&gt;0,STDEV(J$182,J187),"")/IF(J$182*J187&gt;0,AVERAGE(J$182,J187),""),"")</f>
        <v/>
      </c>
      <c r="AA206" s="294" t="str">
        <f aca="false">IFERROR(IF(K$182*K187&gt;0,STDEV(K$182,K187),"")/IF(K$182*K187&gt;0,AVERAGE(K$182,K187),""),"")</f>
        <v/>
      </c>
      <c r="AB206" s="294" t="str">
        <f aca="false">IFERROR(IF(L$182*L187&gt;0,STDEV(L$182,L187),"")/IF(L$182*L187&gt;0,AVERAGE(L$182,L187),""),"")</f>
        <v/>
      </c>
      <c r="AC206" s="294" t="str">
        <f aca="false">IFERROR(IF(M$182*M187&gt;0,STDEV(M$182,M187),"")/IF(M$182*M187&gt;0,AVERAGE(M$182,M187),""),"")</f>
        <v/>
      </c>
      <c r="AD206" s="294" t="str">
        <f aca="false">IFERROR(IF(N$182*N187&gt;0,STDEV(N$182,N187),"")/IF(N$182*N187&gt;0,AVERAGE(N$182,N187),""),"")</f>
        <v/>
      </c>
      <c r="AE206" s="44"/>
      <c r="AF206" s="266" t="s">
        <v>298</v>
      </c>
      <c r="AG206" s="303" t="str">
        <f aca="false">IFERROR(IF(C$182*C187&gt;0,STDEV(C$182,C187)," ")/IF(C$182*C187&gt;0,SQRT(COUNT(C$182,C187))," "),"")</f>
        <v/>
      </c>
      <c r="AH206" s="303" t="str">
        <f aca="false">IFERROR(IF(D$182*D187&gt;0,STDEV(D$182,D187)," ")/IF(D$182*D187&gt;0,SQRT(COUNT(D$182,D187))," "),"")</f>
        <v/>
      </c>
      <c r="AI206" s="303" t="str">
        <f aca="false">IFERROR(IF(E$182*E187&gt;0,STDEV(E$182,E187)," ")/IF(E$182*E187&gt;0,SQRT(COUNT(E$182,E187))," "),"")</f>
        <v/>
      </c>
      <c r="AJ206" s="303" t="str">
        <f aca="false">IFERROR(IF(F$182*F187&gt;0,STDEV(F$182,F187)," ")/IF(F$182*F187&gt;0,SQRT(COUNT(F$182,F187))," "),"")</f>
        <v/>
      </c>
      <c r="AK206" s="303" t="str">
        <f aca="false">IFERROR(IF(G$182*G187&gt;0,STDEV(G$182,G187)," ")/IF(G$182*G187&gt;0,SQRT(COUNT(G$182,G187))," "),"")</f>
        <v/>
      </c>
      <c r="AL206" s="303" t="str">
        <f aca="false">IFERROR(IF(H$182*H187&gt;0,STDEV(H$182,H187)," ")/IF(H$182*H187&gt;0,SQRT(COUNT(H$182,H187))," "),"")</f>
        <v/>
      </c>
      <c r="AM206" s="303" t="str">
        <f aca="false">IFERROR(IF(I$182*I187&gt;0,STDEV(I$182,I187)," ")/IF(I$182*I187&gt;0,SQRT(COUNT(I$182,I187))," "),"")</f>
        <v/>
      </c>
      <c r="AN206" s="303" t="str">
        <f aca="false">IFERROR(IF(J$182*J187&gt;0,STDEV(J$182,J187)," ")/IF(J$182*J187&gt;0,SQRT(COUNT(J$182,J187))," "),"")</f>
        <v/>
      </c>
      <c r="AO206" s="303" t="str">
        <f aca="false">IFERROR(IF(K$182*K187&gt;0,STDEV(K$182,K187)," ")/IF(K$182*K187&gt;0,SQRT(COUNT(K$182,K187))," "),"")</f>
        <v/>
      </c>
      <c r="AP206" s="303" t="str">
        <f aca="false">IFERROR(IF(L$182*L187&gt;0,STDEV(L$182,L187)," ")/IF(L$182*L187&gt;0,SQRT(COUNT(L$182,L187))," "),"")</f>
        <v/>
      </c>
      <c r="AQ206" s="303" t="str">
        <f aca="false">IFERROR(IF(M$182*M187&gt;0,STDEV(M$182,M187)," ")/IF(M$182*M187&gt;0,SQRT(COUNT(M$182,M187))," "),"")</f>
        <v/>
      </c>
      <c r="AR206" s="303" t="str">
        <f aca="false">IFERROR(IF(N$182*N187&gt;0,STDEV(N$182,N187)," ")/IF(N$182*N187&gt;0,SQRT(COUNT(N$182,N187))," "),"")</f>
        <v/>
      </c>
    </row>
    <row r="207" customFormat="false" ht="15.75" hidden="false" customHeight="false" outlineLevel="0" collapsed="false">
      <c r="A207" s="290" t="s">
        <v>299</v>
      </c>
      <c r="B207" s="281"/>
      <c r="C207" s="291" t="str">
        <f aca="false">IFERROR(IF(C$182*C188&gt;0,AVERAGE(C$182,C188),""),"")</f>
        <v/>
      </c>
      <c r="D207" s="291" t="str">
        <f aca="false">IFERROR(IF(D$182*D188&gt;0,AVERAGE(D$182,D188),""),"")</f>
        <v/>
      </c>
      <c r="E207" s="291" t="str">
        <f aca="false">IFERROR(IF(E$182*E188&gt;0,AVERAGE(E$182,E188),""),"")</f>
        <v/>
      </c>
      <c r="F207" s="291" t="str">
        <f aca="false">IFERROR(IF(F$182*F188&gt;0,AVERAGE(F$182,F188),""),"")</f>
        <v/>
      </c>
      <c r="G207" s="291" t="str">
        <f aca="false">IFERROR(IF(G$182*G188&gt;0,AVERAGE(G$182,G188),""),"")</f>
        <v/>
      </c>
      <c r="H207" s="291" t="str">
        <f aca="false">IFERROR(IF(H$182*H188&gt;0,AVERAGE(H$182,H188),""),"")</f>
        <v/>
      </c>
      <c r="I207" s="291" t="str">
        <f aca="false">IFERROR(IF(I$182*I188&gt;0,AVERAGE(I$182,I188),""),"")</f>
        <v/>
      </c>
      <c r="J207" s="291" t="str">
        <f aca="false">IFERROR(IF(J$182*J188&gt;0,AVERAGE(J$182,J188),""),"")</f>
        <v/>
      </c>
      <c r="K207" s="291" t="str">
        <f aca="false">IFERROR(IF(K$182*K188&gt;0,AVERAGE(K$182,K188),""),"")</f>
        <v/>
      </c>
      <c r="L207" s="291" t="str">
        <f aca="false">IFERROR(IF(L$182*L188&gt;0,AVERAGE(L$182,L188),""),"")</f>
        <v/>
      </c>
      <c r="M207" s="291" t="str">
        <f aca="false">IFERROR(IF(M$182*M188&gt;0,AVERAGE(M$182,M188),""),"")</f>
        <v/>
      </c>
      <c r="N207" s="291" t="str">
        <f aca="false">IFERROR(IF(N$182*N188&gt;0,AVERAGE(N$182,N188),""),"")</f>
        <v/>
      </c>
      <c r="O207" s="282"/>
      <c r="P207" s="282"/>
      <c r="Q207" s="296"/>
      <c r="R207" s="293" t="s">
        <v>300</v>
      </c>
      <c r="S207" s="294" t="str">
        <f aca="false">IFERROR(IF(C$182*C188&gt;0,STDEV(C$182,C188),"")/IF(C$182*C188&gt;0,AVERAGE(C$182,C188),""),"")</f>
        <v/>
      </c>
      <c r="T207" s="294" t="str">
        <f aca="false">IFERROR(IF(D$182*D188&gt;0,STDEV(D$182,D188),"")/IF(D$182*D188&gt;0,AVERAGE(D$182,D188),""),"")</f>
        <v/>
      </c>
      <c r="U207" s="294" t="str">
        <f aca="false">IFERROR(IF(E$182*E188&gt;0,STDEV(E$182,E188),"")/IF(E$182*E188&gt;0,AVERAGE(E$182,E188),""),"")</f>
        <v/>
      </c>
      <c r="V207" s="294" t="str">
        <f aca="false">IFERROR(IF(F$182*F188&gt;0,STDEV(F$182,F188),"")/IF(F$182*F188&gt;0,AVERAGE(F$182,F188),""),"")</f>
        <v/>
      </c>
      <c r="W207" s="294" t="str">
        <f aca="false">IFERROR(IF(G$182*G188&gt;0,STDEV(G$182,G188),"")/IF(G$182*G188&gt;0,AVERAGE(G$182,G188),""),"")</f>
        <v/>
      </c>
      <c r="X207" s="294" t="str">
        <f aca="false">IFERROR(IF(H$182*H188&gt;0,STDEV(H$182,H188),"")/IF(H$182*H188&gt;0,AVERAGE(H$182,H188),""),"")</f>
        <v/>
      </c>
      <c r="Y207" s="294" t="str">
        <f aca="false">IFERROR(IF(I$182*I188&gt;0,STDEV(I$182,I188),"")/IF(I$182*I188&gt;0,AVERAGE(I$182,I188),""),"")</f>
        <v/>
      </c>
      <c r="Z207" s="294" t="str">
        <f aca="false">IFERROR(IF(J$182*J188&gt;0,STDEV(J$182,J188),"")/IF(J$182*J188&gt;0,AVERAGE(J$182,J188),""),"")</f>
        <v/>
      </c>
      <c r="AA207" s="294" t="str">
        <f aca="false">IFERROR(IF(K$182*K188&gt;0,STDEV(K$182,K188),"")/IF(K$182*K188&gt;0,AVERAGE(K$182,K188),""),"")</f>
        <v/>
      </c>
      <c r="AB207" s="294" t="str">
        <f aca="false">IFERROR(IF(L$182*L188&gt;0,STDEV(L$182,L188),"")/IF(L$182*L188&gt;0,AVERAGE(L$182,L188),""),"")</f>
        <v/>
      </c>
      <c r="AC207" s="294" t="str">
        <f aca="false">IFERROR(IF(M$182*M188&gt;0,STDEV(M$182,M188),"")/IF(M$182*M188&gt;0,AVERAGE(M$182,M188),""),"")</f>
        <v/>
      </c>
      <c r="AD207" s="294" t="str">
        <f aca="false">IFERROR(IF(N$182*N188&gt;0,STDEV(N$182,N188),"")/IF(N$182*N188&gt;0,AVERAGE(N$182,N188),""),"")</f>
        <v/>
      </c>
      <c r="AE207" s="44"/>
      <c r="AF207" s="266" t="s">
        <v>301</v>
      </c>
      <c r="AG207" s="303" t="str">
        <f aca="false">IFERROR(IF(C$182*C188&gt;0,STDEV(C$182,C188)," ")/IF(C$182*C188&gt;0,SQRT(COUNT(C$182,C188))," "),"")</f>
        <v/>
      </c>
      <c r="AH207" s="303" t="str">
        <f aca="false">IFERROR(IF(D$182*D188&gt;0,STDEV(D$182,D188)," ")/IF(D$182*D188&gt;0,SQRT(COUNT(D$182,D188))," "),"")</f>
        <v/>
      </c>
      <c r="AI207" s="303" t="str">
        <f aca="false">IFERROR(IF(E$182*E188&gt;0,STDEV(E$182,E188)," ")/IF(E$182*E188&gt;0,SQRT(COUNT(E$182,E188))," "),"")</f>
        <v/>
      </c>
      <c r="AJ207" s="303" t="str">
        <f aca="false">IFERROR(IF(F$182*F188&gt;0,STDEV(F$182,F188)," ")/IF(F$182*F188&gt;0,SQRT(COUNT(F$182,F188))," "),"")</f>
        <v/>
      </c>
      <c r="AK207" s="303" t="str">
        <f aca="false">IFERROR(IF(G$182*G188&gt;0,STDEV(G$182,G188)," ")/IF(G$182*G188&gt;0,SQRT(COUNT(G$182,G188))," "),"")</f>
        <v/>
      </c>
      <c r="AL207" s="303" t="str">
        <f aca="false">IFERROR(IF(H$182*H188&gt;0,STDEV(H$182,H188)," ")/IF(H$182*H188&gt;0,SQRT(COUNT(H$182,H188))," "),"")</f>
        <v/>
      </c>
      <c r="AM207" s="303" t="str">
        <f aca="false">IFERROR(IF(I$182*I188&gt;0,STDEV(I$182,I188)," ")/IF(I$182*I188&gt;0,SQRT(COUNT(I$182,I188))," "),"")</f>
        <v/>
      </c>
      <c r="AN207" s="303" t="str">
        <f aca="false">IFERROR(IF(J$182*J188&gt;0,STDEV(J$182,J188)," ")/IF(J$182*J188&gt;0,SQRT(COUNT(J$182,J188))," "),"")</f>
        <v/>
      </c>
      <c r="AO207" s="303" t="str">
        <f aca="false">IFERROR(IF(K$182*K188&gt;0,STDEV(K$182,K188)," ")/IF(K$182*K188&gt;0,SQRT(COUNT(K$182,K188))," "),"")</f>
        <v/>
      </c>
      <c r="AP207" s="303" t="str">
        <f aca="false">IFERROR(IF(L$182*L188&gt;0,STDEV(L$182,L188)," ")/IF(L$182*L188&gt;0,SQRT(COUNT(L$182,L188))," "),"")</f>
        <v/>
      </c>
      <c r="AQ207" s="303" t="str">
        <f aca="false">IFERROR(IF(M$182*M188&gt;0,STDEV(M$182,M188)," ")/IF(M$182*M188&gt;0,SQRT(COUNT(M$182,M188))," "),"")</f>
        <v/>
      </c>
      <c r="AR207" s="303" t="str">
        <f aca="false">IFERROR(IF(N$182*N188&gt;0,STDEV(N$182,N188)," ")/IF(N$182*N188&gt;0,SQRT(COUNT(N$182,N188))," "),"")</f>
        <v/>
      </c>
    </row>
    <row r="208" customFormat="false" ht="15.75" hidden="false" customHeight="false" outlineLevel="0" collapsed="false">
      <c r="A208" s="290" t="s">
        <v>302</v>
      </c>
      <c r="B208" s="281"/>
      <c r="C208" s="291" t="str">
        <f aca="false">IFERROR(IF(C$183*C184&gt;0,AVERAGE(C$183,C184),""),"")</f>
        <v/>
      </c>
      <c r="D208" s="291" t="str">
        <f aca="false">IFERROR(IF(D$183*D184&gt;0,AVERAGE(D$183,D184),""),"")</f>
        <v/>
      </c>
      <c r="E208" s="291" t="str">
        <f aca="false">IFERROR(IF(E$183*E184&gt;0,AVERAGE(E$183,E184),""),"")</f>
        <v/>
      </c>
      <c r="F208" s="291" t="str">
        <f aca="false">IFERROR(IF(F$183*F184&gt;0,AVERAGE(F$183,F184),""),"")</f>
        <v/>
      </c>
      <c r="G208" s="291" t="str">
        <f aca="false">IFERROR(IF(G$183*G184&gt;0,AVERAGE(G$183,G184),""),"")</f>
        <v/>
      </c>
      <c r="H208" s="291" t="str">
        <f aca="false">IFERROR(IF(H$183*H184&gt;0,AVERAGE(H$183,H184),""),"")</f>
        <v/>
      </c>
      <c r="I208" s="291" t="str">
        <f aca="false">IFERROR(IF(I$183*I184&gt;0,AVERAGE(I$183,I184),""),"")</f>
        <v/>
      </c>
      <c r="J208" s="291" t="str">
        <f aca="false">IFERROR(IF(J$183*J184&gt;0,AVERAGE(J$183,J184),""),"")</f>
        <v/>
      </c>
      <c r="K208" s="291" t="str">
        <f aca="false">IFERROR(IF(K$183*K184&gt;0,AVERAGE(K$183,K184),""),"")</f>
        <v/>
      </c>
      <c r="L208" s="291" t="str">
        <f aca="false">IFERROR(IF(L$183*L184&gt;0,AVERAGE(L$183,L184),""),"")</f>
        <v/>
      </c>
      <c r="M208" s="291" t="str">
        <f aca="false">IFERROR(IF(M$183*M184&gt;0,AVERAGE(M$183,M184),""),"")</f>
        <v/>
      </c>
      <c r="N208" s="291" t="str">
        <f aca="false">IFERROR(IF(N$183*N184&gt;0,AVERAGE(N$183,N184),""),"")</f>
        <v/>
      </c>
      <c r="O208" s="282"/>
      <c r="P208" s="282"/>
      <c r="Q208" s="296"/>
      <c r="R208" s="293" t="s">
        <v>303</v>
      </c>
      <c r="S208" s="294" t="str">
        <f aca="false">IFERROR(IF(C$183*C184&gt;0,STDEV(C$183,C184),"")/IF(C$183*C184&gt;0,AVERAGE(C$183,C184),""),"")</f>
        <v/>
      </c>
      <c r="T208" s="294" t="str">
        <f aca="false">IFERROR(IF(D$183*D184&gt;0,STDEV(D$183,D184),"")/IF(D$183*D184&gt;0,AVERAGE(D$183,D184),""),"")</f>
        <v/>
      </c>
      <c r="U208" s="294" t="str">
        <f aca="false">IFERROR(IF(E$183*E184&gt;0,STDEV(E$183,E184),"")/IF(E$183*E184&gt;0,AVERAGE(E$183,E184),""),"")</f>
        <v/>
      </c>
      <c r="V208" s="294" t="str">
        <f aca="false">IFERROR(IF(F$183*F184&gt;0,STDEV(F$183,F184),"")/IF(F$183*F184&gt;0,AVERAGE(F$183,F184),""),"")</f>
        <v/>
      </c>
      <c r="W208" s="294" t="str">
        <f aca="false">IFERROR(IF(G$183*G184&gt;0,STDEV(G$183,G184),"")/IF(G$183*G184&gt;0,AVERAGE(G$183,G184),""),"")</f>
        <v/>
      </c>
      <c r="X208" s="294" t="str">
        <f aca="false">IFERROR(IF(H$183*H184&gt;0,STDEV(H$183,H184),"")/IF(H$183*H184&gt;0,AVERAGE(H$183,H184),""),"")</f>
        <v/>
      </c>
      <c r="Y208" s="294" t="str">
        <f aca="false">IFERROR(IF(I$183*I184&gt;0,STDEV(I$183,I184),"")/IF(I$183*I184&gt;0,AVERAGE(I$183,I184),""),"")</f>
        <v/>
      </c>
      <c r="Z208" s="294" t="str">
        <f aca="false">IFERROR(IF(J$183*J184&gt;0,STDEV(J$183,J184),"")/IF(J$183*J184&gt;0,AVERAGE(J$183,J184),""),"")</f>
        <v/>
      </c>
      <c r="AA208" s="294" t="str">
        <f aca="false">IFERROR(IF(K$183*K184&gt;0,STDEV(K$183,K184),"")/IF(K$183*K184&gt;0,AVERAGE(K$183,K184),""),"")</f>
        <v/>
      </c>
      <c r="AB208" s="294" t="str">
        <f aca="false">IFERROR(IF(L$183*L184&gt;0,STDEV(L$183,L184),"")/IF(L$183*L184&gt;0,AVERAGE(L$183,L184),""),"")</f>
        <v/>
      </c>
      <c r="AC208" s="294" t="str">
        <f aca="false">IFERROR(IF(M$183*M184&gt;0,STDEV(M$183,M184),"")/IF(M$183*M184&gt;0,AVERAGE(M$183,M184),""),"")</f>
        <v/>
      </c>
      <c r="AD208" s="294" t="str">
        <f aca="false">IFERROR(IF(N$183*N184&gt;0,STDEV(N$183,N184),"")/IF(N$183*N184&gt;0,AVERAGE(N$183,N184),""),"")</f>
        <v/>
      </c>
      <c r="AE208" s="44"/>
      <c r="AF208" s="266" t="s">
        <v>304</v>
      </c>
      <c r="AG208" s="303" t="str">
        <f aca="false">IFERROR(IF(C$183*C184&gt;0,STDEV(C$183,C184)," ")/IF(C$183*C184&gt;0,SQRT(COUNT(C$183,C184))," "),"")</f>
        <v/>
      </c>
      <c r="AH208" s="303" t="str">
        <f aca="false">IFERROR(IF(D$183*D184&gt;0,STDEV(D$183,D184)," ")/IF(D$183*D184&gt;0,SQRT(COUNT(D$183,D184))," "),"")</f>
        <v/>
      </c>
      <c r="AI208" s="303" t="str">
        <f aca="false">IFERROR(IF(E$183*E184&gt;0,STDEV(E$183,E184)," ")/IF(E$183*E184&gt;0,SQRT(COUNT(E$183,E184))," "),"")</f>
        <v/>
      </c>
      <c r="AJ208" s="303" t="str">
        <f aca="false">IFERROR(IF(F$183*F184&gt;0,STDEV(F$183,F184)," ")/IF(F$183*F184&gt;0,SQRT(COUNT(F$183,F184))," "),"")</f>
        <v/>
      </c>
      <c r="AK208" s="303" t="str">
        <f aca="false">IFERROR(IF(G$183*G184&gt;0,STDEV(G$183,G184)," ")/IF(G$183*G184&gt;0,SQRT(COUNT(G$183,G184))," "),"")</f>
        <v/>
      </c>
      <c r="AL208" s="303" t="str">
        <f aca="false">IFERROR(IF(H$183*H184&gt;0,STDEV(H$183,H184)," ")/IF(H$183*H184&gt;0,SQRT(COUNT(H$183,H184))," "),"")</f>
        <v/>
      </c>
      <c r="AM208" s="303" t="str">
        <f aca="false">IFERROR(IF(I$183*I184&gt;0,STDEV(I$183,I184)," ")/IF(I$183*I184&gt;0,SQRT(COUNT(I$183,I184))," "),"")</f>
        <v/>
      </c>
      <c r="AN208" s="303" t="str">
        <f aca="false">IFERROR(IF(J$183*J184&gt;0,STDEV(J$183,J184)," ")/IF(J$183*J184&gt;0,SQRT(COUNT(J$183,J184))," "),"")</f>
        <v/>
      </c>
      <c r="AO208" s="303" t="str">
        <f aca="false">IFERROR(IF(K$183*K184&gt;0,STDEV(K$183,K184)," ")/IF(K$183*K184&gt;0,SQRT(COUNT(K$183,K184))," "),"")</f>
        <v/>
      </c>
      <c r="AP208" s="303" t="str">
        <f aca="false">IFERROR(IF(L$183*L184&gt;0,STDEV(L$183,L184)," ")/IF(L$183*L184&gt;0,SQRT(COUNT(L$183,L184))," "),"")</f>
        <v/>
      </c>
      <c r="AQ208" s="303" t="str">
        <f aca="false">IFERROR(IF(M$183*M184&gt;0,STDEV(M$183,M184)," ")/IF(M$183*M184&gt;0,SQRT(COUNT(M$183,M184))," "),"")</f>
        <v/>
      </c>
      <c r="AR208" s="303" t="str">
        <f aca="false">IFERROR(IF(N$183*N184&gt;0,STDEV(N$183,N184)," ")/IF(N$183*N184&gt;0,SQRT(COUNT(N$183,N184))," "),"")</f>
        <v/>
      </c>
    </row>
    <row r="209" customFormat="false" ht="15.75" hidden="false" customHeight="false" outlineLevel="0" collapsed="false">
      <c r="A209" s="290" t="s">
        <v>305</v>
      </c>
      <c r="B209" s="281"/>
      <c r="C209" s="291" t="str">
        <f aca="false">IFERROR(IF(C$183*C185&gt;0,AVERAGE(C$183,C185),""),"")</f>
        <v/>
      </c>
      <c r="D209" s="291" t="str">
        <f aca="false">IFERROR(IF(D$183*D185&gt;0,AVERAGE(D$183,D185),""),"")</f>
        <v/>
      </c>
      <c r="E209" s="291" t="str">
        <f aca="false">IFERROR(IF(E$183*E185&gt;0,AVERAGE(E$183,E185),""),"")</f>
        <v/>
      </c>
      <c r="F209" s="291" t="str">
        <f aca="false">IFERROR(IF(F$183*F185&gt;0,AVERAGE(F$183,F185),""),"")</f>
        <v/>
      </c>
      <c r="G209" s="291" t="str">
        <f aca="false">IFERROR(IF(G$183*G185&gt;0,AVERAGE(G$183,G185),""),"")</f>
        <v/>
      </c>
      <c r="H209" s="291" t="str">
        <f aca="false">IFERROR(IF(H$183*H185&gt;0,AVERAGE(H$183,H185),""),"")</f>
        <v/>
      </c>
      <c r="I209" s="291" t="str">
        <f aca="false">IFERROR(IF(I$183*I185&gt;0,AVERAGE(I$183,I185),""),"")</f>
        <v/>
      </c>
      <c r="J209" s="291" t="str">
        <f aca="false">IFERROR(IF(J$183*J185&gt;0,AVERAGE(J$183,J185),""),"")</f>
        <v/>
      </c>
      <c r="K209" s="291" t="str">
        <f aca="false">IFERROR(IF(K$183*K185&gt;0,AVERAGE(K$183,K185),""),"")</f>
        <v/>
      </c>
      <c r="L209" s="291" t="str">
        <f aca="false">IFERROR(IF(L$183*L185&gt;0,AVERAGE(L$183,L185),""),"")</f>
        <v/>
      </c>
      <c r="M209" s="291" t="str">
        <f aca="false">IFERROR(IF(M$183*M185&gt;0,AVERAGE(M$183,M185),""),"")</f>
        <v/>
      </c>
      <c r="N209" s="291" t="str">
        <f aca="false">IFERROR(IF(N$183*N185&gt;0,AVERAGE(N$183,N185),""),"")</f>
        <v/>
      </c>
      <c r="O209" s="282"/>
      <c r="P209" s="282"/>
      <c r="Q209" s="296"/>
      <c r="R209" s="293" t="s">
        <v>306</v>
      </c>
      <c r="S209" s="294" t="str">
        <f aca="false">IFERROR(IF(C$183*C185&gt;0,STDEV(C$183,C185),"")/IF(C$183*C185&gt;0,AVERAGE(C$183,C185),""),"")</f>
        <v/>
      </c>
      <c r="T209" s="294" t="str">
        <f aca="false">IFERROR(IF(D$183*D185&gt;0,STDEV(D$183,D185),"")/IF(D$183*D185&gt;0,AVERAGE(D$183,D185),""),"")</f>
        <v/>
      </c>
      <c r="U209" s="294" t="str">
        <f aca="false">IFERROR(IF(E$183*E185&gt;0,STDEV(E$183,E185),"")/IF(E$183*E185&gt;0,AVERAGE(E$183,E185),""),"")</f>
        <v/>
      </c>
      <c r="V209" s="294" t="str">
        <f aca="false">IFERROR(IF(F$183*F185&gt;0,STDEV(F$183,F185),"")/IF(F$183*F185&gt;0,AVERAGE(F$183,F185),""),"")</f>
        <v/>
      </c>
      <c r="W209" s="294" t="str">
        <f aca="false">IFERROR(IF(G$183*G185&gt;0,STDEV(G$183,G185),"")/IF(G$183*G185&gt;0,AVERAGE(G$183,G185),""),"")</f>
        <v/>
      </c>
      <c r="X209" s="294" t="str">
        <f aca="false">IFERROR(IF(H$183*H185&gt;0,STDEV(H$183,H185),"")/IF(H$183*H185&gt;0,AVERAGE(H$183,H185),""),"")</f>
        <v/>
      </c>
      <c r="Y209" s="294" t="str">
        <f aca="false">IFERROR(IF(I$183*I185&gt;0,STDEV(I$183,I185),"")/IF(I$183*I185&gt;0,AVERAGE(I$183,I185),""),"")</f>
        <v/>
      </c>
      <c r="Z209" s="294" t="str">
        <f aca="false">IFERROR(IF(J$183*J185&gt;0,STDEV(J$183,J185),"")/IF(J$183*J185&gt;0,AVERAGE(J$183,J185),""),"")</f>
        <v/>
      </c>
      <c r="AA209" s="294" t="str">
        <f aca="false">IFERROR(IF(K$183*K185&gt;0,STDEV(K$183,K185),"")/IF(K$183*K185&gt;0,AVERAGE(K$183,K185),""),"")</f>
        <v/>
      </c>
      <c r="AB209" s="294" t="str">
        <f aca="false">IFERROR(IF(L$183*L185&gt;0,STDEV(L$183,L185),"")/IF(L$183*L185&gt;0,AVERAGE(L$183,L185),""),"")</f>
        <v/>
      </c>
      <c r="AC209" s="294" t="str">
        <f aca="false">IFERROR(IF(M$183*M185&gt;0,STDEV(M$183,M185),"")/IF(M$183*M185&gt;0,AVERAGE(M$183,M185),""),"")</f>
        <v/>
      </c>
      <c r="AD209" s="294" t="str">
        <f aca="false">IFERROR(IF(N$183*N185&gt;0,STDEV(N$183,N185),"")/IF(N$183*N185&gt;0,AVERAGE(N$183,N185),""),"")</f>
        <v/>
      </c>
      <c r="AE209" s="44"/>
      <c r="AF209" s="266" t="s">
        <v>307</v>
      </c>
      <c r="AG209" s="303" t="str">
        <f aca="false">IFERROR(IF(C$183*C185&gt;0,STDEV(C$183,C185)," ")/IF(C$183*C185&gt;0,SQRT(COUNT(C$183,C185))," "),"")</f>
        <v/>
      </c>
      <c r="AH209" s="303" t="str">
        <f aca="false">IFERROR(IF(D$183*D185&gt;0,STDEV(D$183,D185)," ")/IF(D$183*D185&gt;0,SQRT(COUNT(D$183,D185))," "),"")</f>
        <v/>
      </c>
      <c r="AI209" s="303" t="str">
        <f aca="false">IFERROR(IF(E$183*E185&gt;0,STDEV(E$183,E185)," ")/IF(E$183*E185&gt;0,SQRT(COUNT(E$183,E185))," "),"")</f>
        <v/>
      </c>
      <c r="AJ209" s="303" t="str">
        <f aca="false">IFERROR(IF(F$183*F185&gt;0,STDEV(F$183,F185)," ")/IF(F$183*F185&gt;0,SQRT(COUNT(F$183,F185))," "),"")</f>
        <v/>
      </c>
      <c r="AK209" s="303" t="str">
        <f aca="false">IFERROR(IF(G$183*G185&gt;0,STDEV(G$183,G185)," ")/IF(G$183*G185&gt;0,SQRT(COUNT(G$183,G185))," "),"")</f>
        <v/>
      </c>
      <c r="AL209" s="303" t="str">
        <f aca="false">IFERROR(IF(H$183*H185&gt;0,STDEV(H$183,H185)," ")/IF(H$183*H185&gt;0,SQRT(COUNT(H$183,H185))," "),"")</f>
        <v/>
      </c>
      <c r="AM209" s="303" t="str">
        <f aca="false">IFERROR(IF(I$183*I185&gt;0,STDEV(I$183,I185)," ")/IF(I$183*I185&gt;0,SQRT(COUNT(I$183,I185))," "),"")</f>
        <v/>
      </c>
      <c r="AN209" s="303" t="str">
        <f aca="false">IFERROR(IF(J$183*J185&gt;0,STDEV(J$183,J185)," ")/IF(J$183*J185&gt;0,SQRT(COUNT(J$183,J185))," "),"")</f>
        <v/>
      </c>
      <c r="AO209" s="303" t="str">
        <f aca="false">IFERROR(IF(K$183*K185&gt;0,STDEV(K$183,K185)," ")/IF(K$183*K185&gt;0,SQRT(COUNT(K$183,K185))," "),"")</f>
        <v/>
      </c>
      <c r="AP209" s="303" t="str">
        <f aca="false">IFERROR(IF(L$183*L185&gt;0,STDEV(L$183,L185)," ")/IF(L$183*L185&gt;0,SQRT(COUNT(L$183,L185))," "),"")</f>
        <v/>
      </c>
      <c r="AQ209" s="303" t="str">
        <f aca="false">IFERROR(IF(M$183*M185&gt;0,STDEV(M$183,M185)," ")/IF(M$183*M185&gt;0,SQRT(COUNT(M$183,M185))," "),"")</f>
        <v/>
      </c>
      <c r="AR209" s="303" t="str">
        <f aca="false">IFERROR(IF(N$183*N185&gt;0,STDEV(N$183,N185)," ")/IF(N$183*N185&gt;0,SQRT(COUNT(N$183,N185))," "),"")</f>
        <v/>
      </c>
    </row>
    <row r="210" customFormat="false" ht="15.75" hidden="false" customHeight="false" outlineLevel="0" collapsed="false">
      <c r="A210" s="290" t="s">
        <v>308</v>
      </c>
      <c r="B210" s="281"/>
      <c r="C210" s="291" t="str">
        <f aca="false">IFERROR(IF(C$183*C186&gt;0,AVERAGE(C$183,C186),""),"")</f>
        <v/>
      </c>
      <c r="D210" s="291" t="str">
        <f aca="false">IFERROR(IF(D$183*D186&gt;0,AVERAGE(D$183,D186),""),"")</f>
        <v/>
      </c>
      <c r="E210" s="291" t="str">
        <f aca="false">IFERROR(IF(E$183*E186&gt;0,AVERAGE(E$183,E186),""),"")</f>
        <v/>
      </c>
      <c r="F210" s="291" t="str">
        <f aca="false">IFERROR(IF(F$183*F186&gt;0,AVERAGE(F$183,F186),""),"")</f>
        <v/>
      </c>
      <c r="G210" s="291" t="str">
        <f aca="false">IFERROR(IF(G$183*G186&gt;0,AVERAGE(G$183,G186),""),"")</f>
        <v/>
      </c>
      <c r="H210" s="291" t="str">
        <f aca="false">IFERROR(IF(H$183*H186&gt;0,AVERAGE(H$183,H186),""),"")</f>
        <v/>
      </c>
      <c r="I210" s="291" t="str">
        <f aca="false">IFERROR(IF(I$183*I186&gt;0,AVERAGE(I$183,I186),""),"")</f>
        <v/>
      </c>
      <c r="J210" s="291" t="str">
        <f aca="false">IFERROR(IF(J$183*J186&gt;0,AVERAGE(J$183,J186),""),"")</f>
        <v/>
      </c>
      <c r="K210" s="291" t="str">
        <f aca="false">IFERROR(IF(K$183*K186&gt;0,AVERAGE(K$183,K186),""),"")</f>
        <v/>
      </c>
      <c r="L210" s="291" t="str">
        <f aca="false">IFERROR(IF(L$183*L186&gt;0,AVERAGE(L$183,L186),""),"")</f>
        <v/>
      </c>
      <c r="M210" s="291" t="str">
        <f aca="false">IFERROR(IF(M$183*M186&gt;0,AVERAGE(M$183,M186),""),"")</f>
        <v/>
      </c>
      <c r="N210" s="291" t="str">
        <f aca="false">IFERROR(IF(N$183*N186&gt;0,AVERAGE(N$183,N186),""),"")</f>
        <v/>
      </c>
      <c r="O210" s="282"/>
      <c r="P210" s="282"/>
      <c r="Q210" s="296"/>
      <c r="R210" s="293" t="s">
        <v>309</v>
      </c>
      <c r="S210" s="294" t="str">
        <f aca="false">IFERROR(IF(C$183*C186&gt;0,STDEV(C$183,C186),"")/IF(C$183*C186&gt;0,AVERAGE(C$183,C186),""),"")</f>
        <v/>
      </c>
      <c r="T210" s="294" t="str">
        <f aca="false">IFERROR(IF(D$183*D186&gt;0,STDEV(D$183,D186),"")/IF(D$183*D186&gt;0,AVERAGE(D$183,D186),""),"")</f>
        <v/>
      </c>
      <c r="U210" s="294" t="str">
        <f aca="false">IFERROR(IF(E$183*E186&gt;0,STDEV(E$183,E186),"")/IF(E$183*E186&gt;0,AVERAGE(E$183,E186),""),"")</f>
        <v/>
      </c>
      <c r="V210" s="294" t="str">
        <f aca="false">IFERROR(IF(F$183*F186&gt;0,STDEV(F$183,F186),"")/IF(F$183*F186&gt;0,AVERAGE(F$183,F186),""),"")</f>
        <v/>
      </c>
      <c r="W210" s="294" t="str">
        <f aca="false">IFERROR(IF(G$183*G186&gt;0,STDEV(G$183,G186),"")/IF(G$183*G186&gt;0,AVERAGE(G$183,G186),""),"")</f>
        <v/>
      </c>
      <c r="X210" s="294" t="str">
        <f aca="false">IFERROR(IF(H$183*H186&gt;0,STDEV(H$183,H186),"")/IF(H$183*H186&gt;0,AVERAGE(H$183,H186),""),"")</f>
        <v/>
      </c>
      <c r="Y210" s="294" t="str">
        <f aca="false">IFERROR(IF(I$183*I186&gt;0,STDEV(I$183,I186),"")/IF(I$183*I186&gt;0,AVERAGE(I$183,I186),""),"")</f>
        <v/>
      </c>
      <c r="Z210" s="294" t="str">
        <f aca="false">IFERROR(IF(J$183*J186&gt;0,STDEV(J$183,J186),"")/IF(J$183*J186&gt;0,AVERAGE(J$183,J186),""),"")</f>
        <v/>
      </c>
      <c r="AA210" s="294" t="str">
        <f aca="false">IFERROR(IF(K$183*K186&gt;0,STDEV(K$183,K186),"")/IF(K$183*K186&gt;0,AVERAGE(K$183,K186),""),"")</f>
        <v/>
      </c>
      <c r="AB210" s="294" t="str">
        <f aca="false">IFERROR(IF(L$183*L186&gt;0,STDEV(L$183,L186),"")/IF(L$183*L186&gt;0,AVERAGE(L$183,L186),""),"")</f>
        <v/>
      </c>
      <c r="AC210" s="294" t="str">
        <f aca="false">IFERROR(IF(M$183*M186&gt;0,STDEV(M$183,M186),"")/IF(M$183*M186&gt;0,AVERAGE(M$183,M186),""),"")</f>
        <v/>
      </c>
      <c r="AD210" s="294" t="str">
        <f aca="false">IFERROR(IF(N$183*N186&gt;0,STDEV(N$183,N186),"")/IF(N$183*N186&gt;0,AVERAGE(N$183,N186),""),"")</f>
        <v/>
      </c>
      <c r="AE210" s="44"/>
      <c r="AF210" s="266" t="s">
        <v>310</v>
      </c>
      <c r="AG210" s="303" t="str">
        <f aca="false">IFERROR(IF(C$183*C186&gt;0,STDEV(C$183,C186)," ")/IF(C$183*C186&gt;0,SQRT(COUNT(C$183,C186))," "),"")</f>
        <v/>
      </c>
      <c r="AH210" s="303" t="str">
        <f aca="false">IFERROR(IF(D$183*D186&gt;0,STDEV(D$183,D186)," ")/IF(D$183*D186&gt;0,SQRT(COUNT(D$183,D186))," "),"")</f>
        <v/>
      </c>
      <c r="AI210" s="303" t="str">
        <f aca="false">IFERROR(IF(E$183*E186&gt;0,STDEV(E$183,E186)," ")/IF(E$183*E186&gt;0,SQRT(COUNT(E$183,E186))," "),"")</f>
        <v/>
      </c>
      <c r="AJ210" s="303" t="str">
        <f aca="false">IFERROR(IF(F$183*F186&gt;0,STDEV(F$183,F186)," ")/IF(F$183*F186&gt;0,SQRT(COUNT(F$183,F186))," "),"")</f>
        <v/>
      </c>
      <c r="AK210" s="303" t="str">
        <f aca="false">IFERROR(IF(G$183*G186&gt;0,STDEV(G$183,G186)," ")/IF(G$183*G186&gt;0,SQRT(COUNT(G$183,G186))," "),"")</f>
        <v/>
      </c>
      <c r="AL210" s="303" t="str">
        <f aca="false">IFERROR(IF(H$183*H186&gt;0,STDEV(H$183,H186)," ")/IF(H$183*H186&gt;0,SQRT(COUNT(H$183,H186))," "),"")</f>
        <v/>
      </c>
      <c r="AM210" s="303" t="str">
        <f aca="false">IFERROR(IF(I$183*I186&gt;0,STDEV(I$183,I186)," ")/IF(I$183*I186&gt;0,SQRT(COUNT(I$183,I186))," "),"")</f>
        <v/>
      </c>
      <c r="AN210" s="303" t="str">
        <f aca="false">IFERROR(IF(J$183*J186&gt;0,STDEV(J$183,J186)," ")/IF(J$183*J186&gt;0,SQRT(COUNT(J$183,J186))," "),"")</f>
        <v/>
      </c>
      <c r="AO210" s="303" t="str">
        <f aca="false">IFERROR(IF(K$183*K186&gt;0,STDEV(K$183,K186)," ")/IF(K$183*K186&gt;0,SQRT(COUNT(K$183,K186))," "),"")</f>
        <v/>
      </c>
      <c r="AP210" s="303" t="str">
        <f aca="false">IFERROR(IF(L$183*L186&gt;0,STDEV(L$183,L186)," ")/IF(L$183*L186&gt;0,SQRT(COUNT(L$183,L186))," "),"")</f>
        <v/>
      </c>
      <c r="AQ210" s="303" t="str">
        <f aca="false">IFERROR(IF(M$183*M186&gt;0,STDEV(M$183,M186)," ")/IF(M$183*M186&gt;0,SQRT(COUNT(M$183,M186))," "),"")</f>
        <v/>
      </c>
      <c r="AR210" s="303" t="str">
        <f aca="false">IFERROR(IF(N$183*N186&gt;0,STDEV(N$183,N186)," ")/IF(N$183*N186&gt;0,SQRT(COUNT(N$183,N186))," "),"")</f>
        <v/>
      </c>
    </row>
    <row r="211" customFormat="false" ht="18" hidden="false" customHeight="false" outlineLevel="0" collapsed="false">
      <c r="A211" s="290" t="s">
        <v>311</v>
      </c>
      <c r="B211" s="281"/>
      <c r="C211" s="291" t="str">
        <f aca="false">IFERROR(IF(C$183*C187&gt;0,AVERAGE(C$183,C187),""),"")</f>
        <v/>
      </c>
      <c r="D211" s="291" t="str">
        <f aca="false">IFERROR(IF(D$183*D187&gt;0,AVERAGE(D$183,D187),""),"")</f>
        <v/>
      </c>
      <c r="E211" s="291" t="str">
        <f aca="false">IFERROR(IF(E$183*E187&gt;0,AVERAGE(E$183,E187),""),"")</f>
        <v/>
      </c>
      <c r="F211" s="291" t="str">
        <f aca="false">IFERROR(IF(F$183*F187&gt;0,AVERAGE(F$183,F187),""),"")</f>
        <v/>
      </c>
      <c r="G211" s="291" t="str">
        <f aca="false">IFERROR(IF(G$183*G187&gt;0,AVERAGE(G$183,G187),""),"")</f>
        <v/>
      </c>
      <c r="H211" s="291" t="str">
        <f aca="false">IFERROR(IF(H$183*H187&gt;0,AVERAGE(H$183,H187),""),"")</f>
        <v/>
      </c>
      <c r="I211" s="291" t="str">
        <f aca="false">IFERROR(IF(I$183*I187&gt;0,AVERAGE(I$183,I187),""),"")</f>
        <v/>
      </c>
      <c r="J211" s="291" t="str">
        <f aca="false">IFERROR(IF(J$183*J187&gt;0,AVERAGE(J$183,J187),""),"")</f>
        <v/>
      </c>
      <c r="K211" s="291" t="str">
        <f aca="false">IFERROR(IF(K$183*K187&gt;0,AVERAGE(K$183,K187),""),"")</f>
        <v/>
      </c>
      <c r="L211" s="291" t="str">
        <f aca="false">IFERROR(IF(L$183*L187&gt;0,AVERAGE(L$183,L187),""),"")</f>
        <v/>
      </c>
      <c r="M211" s="291" t="str">
        <f aca="false">IFERROR(IF(M$183*M187&gt;0,AVERAGE(M$183,M187),""),"")</f>
        <v/>
      </c>
      <c r="N211" s="291" t="str">
        <f aca="false">IFERROR(IF(N$183*N187&gt;0,AVERAGE(N$183,N187),""),"")</f>
        <v/>
      </c>
      <c r="O211" s="297"/>
      <c r="P211" s="282"/>
      <c r="Q211" s="296"/>
      <c r="R211" s="293" t="s">
        <v>312</v>
      </c>
      <c r="S211" s="294" t="str">
        <f aca="false">IFERROR(IF(C$183*C187&gt;0,STDEV(C$183,C187),"")/IF(C$183*C187&gt;0,AVERAGE(C$183,C187),""),"")</f>
        <v/>
      </c>
      <c r="T211" s="294" t="str">
        <f aca="false">IFERROR(IF(D$183*D187&gt;0,STDEV(D$183,D187),"")/IF(D$183*D187&gt;0,AVERAGE(D$183,D187),""),"")</f>
        <v/>
      </c>
      <c r="U211" s="294" t="str">
        <f aca="false">IFERROR(IF(E$183*E187&gt;0,STDEV(E$183,E187),"")/IF(E$183*E187&gt;0,AVERAGE(E$183,E187),""),"")</f>
        <v/>
      </c>
      <c r="V211" s="294" t="str">
        <f aca="false">IFERROR(IF(F$183*F187&gt;0,STDEV(F$183,F187),"")/IF(F$183*F187&gt;0,AVERAGE(F$183,F187),""),"")</f>
        <v/>
      </c>
      <c r="W211" s="294" t="str">
        <f aca="false">IFERROR(IF(G$183*G187&gt;0,STDEV(G$183,G187),"")/IF(G$183*G187&gt;0,AVERAGE(G$183,G187),""),"")</f>
        <v/>
      </c>
      <c r="X211" s="294" t="str">
        <f aca="false">IFERROR(IF(H$183*H187&gt;0,STDEV(H$183,H187),"")/IF(H$183*H187&gt;0,AVERAGE(H$183,H187),""),"")</f>
        <v/>
      </c>
      <c r="Y211" s="294" t="str">
        <f aca="false">IFERROR(IF(I$183*I187&gt;0,STDEV(I$183,I187),"")/IF(I$183*I187&gt;0,AVERAGE(I$183,I187),""),"")</f>
        <v/>
      </c>
      <c r="Z211" s="294" t="str">
        <f aca="false">IFERROR(IF(J$183*J187&gt;0,STDEV(J$183,J187),"")/IF(J$183*J187&gt;0,AVERAGE(J$183,J187),""),"")</f>
        <v/>
      </c>
      <c r="AA211" s="294" t="str">
        <f aca="false">IFERROR(IF(K$183*K187&gt;0,STDEV(K$183,K187),"")/IF(K$183*K187&gt;0,AVERAGE(K$183,K187),""),"")</f>
        <v/>
      </c>
      <c r="AB211" s="294" t="str">
        <f aca="false">IFERROR(IF(L$183*L187&gt;0,STDEV(L$183,L187),"")/IF(L$183*L187&gt;0,AVERAGE(L$183,L187),""),"")</f>
        <v/>
      </c>
      <c r="AC211" s="294" t="str">
        <f aca="false">IFERROR(IF(M$183*M187&gt;0,STDEV(M$183,M187),"")/IF(M$183*M187&gt;0,AVERAGE(M$183,M187),""),"")</f>
        <v/>
      </c>
      <c r="AD211" s="294" t="str">
        <f aca="false">IFERROR(IF(N$183*N187&gt;0,STDEV(N$183,N187),"")/IF(N$183*N187&gt;0,AVERAGE(N$183,N187),""),"")</f>
        <v/>
      </c>
      <c r="AE211" s="44"/>
      <c r="AF211" s="266" t="s">
        <v>313</v>
      </c>
      <c r="AG211" s="303" t="str">
        <f aca="false">IFERROR(IF(C$183*C187&gt;0,STDEV(C$183,C187)," ")/IF(C$183*C187&gt;0,SQRT(COUNT(C$183,C187))," "),"")</f>
        <v/>
      </c>
      <c r="AH211" s="303" t="str">
        <f aca="false">IFERROR(IF(D$183*D187&gt;0,STDEV(D$183,D187)," ")/IF(D$183*D187&gt;0,SQRT(COUNT(D$183,D187))," "),"")</f>
        <v/>
      </c>
      <c r="AI211" s="303" t="str">
        <f aca="false">IFERROR(IF(E$183*E187&gt;0,STDEV(E$183,E187)," ")/IF(E$183*E187&gt;0,SQRT(COUNT(E$183,E187))," "),"")</f>
        <v/>
      </c>
      <c r="AJ211" s="303" t="str">
        <f aca="false">IFERROR(IF(F$183*F187&gt;0,STDEV(F$183,F187)," ")/IF(F$183*F187&gt;0,SQRT(COUNT(F$183,F187))," "),"")</f>
        <v/>
      </c>
      <c r="AK211" s="303" t="str">
        <f aca="false">IFERROR(IF(G$183*G187&gt;0,STDEV(G$183,G187)," ")/IF(G$183*G187&gt;0,SQRT(COUNT(G$183,G187))," "),"")</f>
        <v/>
      </c>
      <c r="AL211" s="303" t="str">
        <f aca="false">IFERROR(IF(H$183*H187&gt;0,STDEV(H$183,H187)," ")/IF(H$183*H187&gt;0,SQRT(COUNT(H$183,H187))," "),"")</f>
        <v/>
      </c>
      <c r="AM211" s="303" t="str">
        <f aca="false">IFERROR(IF(I$183*I187&gt;0,STDEV(I$183,I187)," ")/IF(I$183*I187&gt;0,SQRT(COUNT(I$183,I187))," "),"")</f>
        <v/>
      </c>
      <c r="AN211" s="303" t="str">
        <f aca="false">IFERROR(IF(J$183*J187&gt;0,STDEV(J$183,J187)," ")/IF(J$183*J187&gt;0,SQRT(COUNT(J$183,J187))," "),"")</f>
        <v/>
      </c>
      <c r="AO211" s="303" t="str">
        <f aca="false">IFERROR(IF(K$183*K187&gt;0,STDEV(K$183,K187)," ")/IF(K$183*K187&gt;0,SQRT(COUNT(K$183,K187))," "),"")</f>
        <v/>
      </c>
      <c r="AP211" s="303" t="str">
        <f aca="false">IFERROR(IF(L$183*L187&gt;0,STDEV(L$183,L187)," ")/IF(L$183*L187&gt;0,SQRT(COUNT(L$183,L187))," "),"")</f>
        <v/>
      </c>
      <c r="AQ211" s="303" t="str">
        <f aca="false">IFERROR(IF(M$183*M187&gt;0,STDEV(M$183,M187)," ")/IF(M$183*M187&gt;0,SQRT(COUNT(M$183,M187))," "),"")</f>
        <v/>
      </c>
      <c r="AR211" s="303" t="str">
        <f aca="false">IFERROR(IF(N$183*N187&gt;0,STDEV(N$183,N187)," ")/IF(N$183*N187&gt;0,SQRT(COUNT(N$183,N187))," "),"")</f>
        <v/>
      </c>
    </row>
    <row r="212" customFormat="false" ht="15.75" hidden="false" customHeight="false" outlineLevel="0" collapsed="false">
      <c r="A212" s="290" t="s">
        <v>314</v>
      </c>
      <c r="B212" s="281"/>
      <c r="C212" s="291" t="str">
        <f aca="false">IFERROR(IF(C$183*C188&gt;0,AVERAGE(C$183,C188),""),"")</f>
        <v/>
      </c>
      <c r="D212" s="291" t="str">
        <f aca="false">IFERROR(IF(D$183*D188&gt;0,AVERAGE(D$183,D188),""),"")</f>
        <v/>
      </c>
      <c r="E212" s="291" t="str">
        <f aca="false">IFERROR(IF(E$183*E188&gt;0,AVERAGE(E$183,E188),""),"")</f>
        <v/>
      </c>
      <c r="F212" s="291" t="str">
        <f aca="false">IFERROR(IF(F$183*F188&gt;0,AVERAGE(F$183,F188),""),"")</f>
        <v/>
      </c>
      <c r="G212" s="291" t="str">
        <f aca="false">IFERROR(IF(G$183*G188&gt;0,AVERAGE(G$183,G188),""),"")</f>
        <v/>
      </c>
      <c r="H212" s="291" t="str">
        <f aca="false">IFERROR(IF(H$183*H188&gt;0,AVERAGE(H$183,H188),""),"")</f>
        <v/>
      </c>
      <c r="I212" s="291" t="str">
        <f aca="false">IFERROR(IF(I$183*I188&gt;0,AVERAGE(I$183,I188),""),"")</f>
        <v/>
      </c>
      <c r="J212" s="291" t="str">
        <f aca="false">IFERROR(IF(J$183*J188&gt;0,AVERAGE(J$183,J188),""),"")</f>
        <v/>
      </c>
      <c r="K212" s="291" t="str">
        <f aca="false">IFERROR(IF(K$183*K188&gt;0,AVERAGE(K$183,K188),""),"")</f>
        <v/>
      </c>
      <c r="L212" s="291" t="str">
        <f aca="false">IFERROR(IF(L$183*L188&gt;0,AVERAGE(L$183,L188),""),"")</f>
        <v/>
      </c>
      <c r="M212" s="291" t="str">
        <f aca="false">IFERROR(IF(M$183*M188&gt;0,AVERAGE(M$183,M188),""),"")</f>
        <v/>
      </c>
      <c r="N212" s="291" t="str">
        <f aca="false">IFERROR(IF(N$183*N188&gt;0,AVERAGE(N$183,N188),""),"")</f>
        <v/>
      </c>
      <c r="O212" s="42"/>
      <c r="P212" s="282"/>
      <c r="Q212" s="296"/>
      <c r="R212" s="293" t="s">
        <v>315</v>
      </c>
      <c r="S212" s="294" t="str">
        <f aca="false">IFERROR(IF(C$183*C188&gt;0,STDEV(C$183,C188),"")/IF(C$183*C188&gt;0,AVERAGE(C$183,C188),""),"")</f>
        <v/>
      </c>
      <c r="T212" s="294" t="str">
        <f aca="false">IFERROR(IF(D$183*D188&gt;0,STDEV(D$183,D188),"")/IF(D$183*D188&gt;0,AVERAGE(D$183,D188),""),"")</f>
        <v/>
      </c>
      <c r="U212" s="294" t="str">
        <f aca="false">IFERROR(IF(E$183*E188&gt;0,STDEV(E$183,E188),"")/IF(E$183*E188&gt;0,AVERAGE(E$183,E188),""),"")</f>
        <v/>
      </c>
      <c r="V212" s="294" t="str">
        <f aca="false">IFERROR(IF(F$183*F188&gt;0,STDEV(F$183,F188),"")/IF(F$183*F188&gt;0,AVERAGE(F$183,F188),""),"")</f>
        <v/>
      </c>
      <c r="W212" s="294" t="str">
        <f aca="false">IFERROR(IF(G$183*G188&gt;0,STDEV(G$183,G188),"")/IF(G$183*G188&gt;0,AVERAGE(G$183,G188),""),"")</f>
        <v/>
      </c>
      <c r="X212" s="294" t="str">
        <f aca="false">IFERROR(IF(H$183*H188&gt;0,STDEV(H$183,H188),"")/IF(H$183*H188&gt;0,AVERAGE(H$183,H188),""),"")</f>
        <v/>
      </c>
      <c r="Y212" s="294" t="str">
        <f aca="false">IFERROR(IF(I$183*I188&gt;0,STDEV(I$183,I188),"")/IF(I$183*I188&gt;0,AVERAGE(I$183,I188),""),"")</f>
        <v/>
      </c>
      <c r="Z212" s="294" t="str">
        <f aca="false">IFERROR(IF(J$183*J188&gt;0,STDEV(J$183,J188),"")/IF(J$183*J188&gt;0,AVERAGE(J$183,J188),""),"")</f>
        <v/>
      </c>
      <c r="AA212" s="294" t="str">
        <f aca="false">IFERROR(IF(K$183*K188&gt;0,STDEV(K$183,K188),"")/IF(K$183*K188&gt;0,AVERAGE(K$183,K188),""),"")</f>
        <v/>
      </c>
      <c r="AB212" s="294" t="str">
        <f aca="false">IFERROR(IF(L$183*L188&gt;0,STDEV(L$183,L188),"")/IF(L$183*L188&gt;0,AVERAGE(L$183,L188),""),"")</f>
        <v/>
      </c>
      <c r="AC212" s="294" t="str">
        <f aca="false">IFERROR(IF(M$183*M188&gt;0,STDEV(M$183,M188),"")/IF(M$183*M188&gt;0,AVERAGE(M$183,M188),""),"")</f>
        <v/>
      </c>
      <c r="AD212" s="294" t="str">
        <f aca="false">IFERROR(IF(N$183*N188&gt;0,STDEV(N$183,N188),"")/IF(N$183*N188&gt;0,AVERAGE(N$183,N188),""),"")</f>
        <v/>
      </c>
      <c r="AE212" s="44"/>
      <c r="AF212" s="266" t="s">
        <v>316</v>
      </c>
      <c r="AG212" s="303" t="str">
        <f aca="false">IFERROR(IF(C$183*C188&gt;0,STDEV(C$183,C188)," ")/IF(C$183*C188&gt;0,SQRT(COUNT(C$183,C188))," "),"")</f>
        <v/>
      </c>
      <c r="AH212" s="303" t="str">
        <f aca="false">IFERROR(IF(D$183*D188&gt;0,STDEV(D$183,D188)," ")/IF(D$183*D188&gt;0,SQRT(COUNT(D$183,D188))," "),"")</f>
        <v/>
      </c>
      <c r="AI212" s="303" t="str">
        <f aca="false">IFERROR(IF(E$183*E188&gt;0,STDEV(E$183,E188)," ")/IF(E$183*E188&gt;0,SQRT(COUNT(E$183,E188))," "),"")</f>
        <v/>
      </c>
      <c r="AJ212" s="303" t="str">
        <f aca="false">IFERROR(IF(F$183*F188&gt;0,STDEV(F$183,F188)," ")/IF(F$183*F188&gt;0,SQRT(COUNT(F$183,F188))," "),"")</f>
        <v/>
      </c>
      <c r="AK212" s="303" t="str">
        <f aca="false">IFERROR(IF(G$183*G188&gt;0,STDEV(G$183,G188)," ")/IF(G$183*G188&gt;0,SQRT(COUNT(G$183,G188))," "),"")</f>
        <v/>
      </c>
      <c r="AL212" s="303" t="str">
        <f aca="false">IFERROR(IF(H$183*H188&gt;0,STDEV(H$183,H188)," ")/IF(H$183*H188&gt;0,SQRT(COUNT(H$183,H188))," "),"")</f>
        <v/>
      </c>
      <c r="AM212" s="303" t="str">
        <f aca="false">IFERROR(IF(I$183*I188&gt;0,STDEV(I$183,I188)," ")/IF(I$183*I188&gt;0,SQRT(COUNT(I$183,I188))," "),"")</f>
        <v/>
      </c>
      <c r="AN212" s="303" t="str">
        <f aca="false">IFERROR(IF(J$183*J188&gt;0,STDEV(J$183,J188)," ")/IF(J$183*J188&gt;0,SQRT(COUNT(J$183,J188))," "),"")</f>
        <v/>
      </c>
      <c r="AO212" s="303" t="str">
        <f aca="false">IFERROR(IF(K$183*K188&gt;0,STDEV(K$183,K188)," ")/IF(K$183*K188&gt;0,SQRT(COUNT(K$183,K188))," "),"")</f>
        <v/>
      </c>
      <c r="AP212" s="303" t="str">
        <f aca="false">IFERROR(IF(L$183*L188&gt;0,STDEV(L$183,L188)," ")/IF(L$183*L188&gt;0,SQRT(COUNT(L$183,L188))," "),"")</f>
        <v/>
      </c>
      <c r="AQ212" s="303" t="str">
        <f aca="false">IFERROR(IF(M$183*M188&gt;0,STDEV(M$183,M188)," ")/IF(M$183*M188&gt;0,SQRT(COUNT(M$183,M188))," "),"")</f>
        <v/>
      </c>
      <c r="AR212" s="303" t="str">
        <f aca="false">IFERROR(IF(N$183*N188&gt;0,STDEV(N$183,N188)," ")/IF(N$183*N188&gt;0,SQRT(COUNT(N$183,N188))," "),"")</f>
        <v/>
      </c>
    </row>
    <row r="213" customFormat="false" ht="15.75" hidden="false" customHeight="false" outlineLevel="0" collapsed="false">
      <c r="A213" s="290" t="s">
        <v>317</v>
      </c>
      <c r="B213" s="281"/>
      <c r="C213" s="291" t="str">
        <f aca="false">IFERROR(IF(C$184*C185&gt;0,AVERAGE(C$184,C185),""),"")</f>
        <v/>
      </c>
      <c r="D213" s="291" t="str">
        <f aca="false">IFERROR(IF(D$184*D185&gt;0,AVERAGE(D$184,D185),""),"")</f>
        <v/>
      </c>
      <c r="E213" s="291" t="str">
        <f aca="false">IFERROR(IF(E$184*E185&gt;0,AVERAGE(E$184,E185),""),"")</f>
        <v/>
      </c>
      <c r="F213" s="291" t="str">
        <f aca="false">IFERROR(IF(F$184*F185&gt;0,AVERAGE(F$184,F185),""),"")</f>
        <v/>
      </c>
      <c r="G213" s="291" t="str">
        <f aca="false">IFERROR(IF(G$184*G185&gt;0,AVERAGE(G$184,G185),""),"")</f>
        <v/>
      </c>
      <c r="H213" s="291" t="str">
        <f aca="false">IFERROR(IF(H$184*H185&gt;0,AVERAGE(H$184,H185),""),"")</f>
        <v/>
      </c>
      <c r="I213" s="291" t="str">
        <f aca="false">IFERROR(IF(I$184*I185&gt;0,AVERAGE(I$184,I185),""),"")</f>
        <v/>
      </c>
      <c r="J213" s="291" t="str">
        <f aca="false">IFERROR(IF(J$184*J185&gt;0,AVERAGE(J$184,J185),""),"")</f>
        <v/>
      </c>
      <c r="K213" s="291" t="str">
        <f aca="false">IFERROR(IF(K$184*K185&gt;0,AVERAGE(K$184,K185),""),"")</f>
        <v/>
      </c>
      <c r="L213" s="291" t="str">
        <f aca="false">IFERROR(IF(L$184*L185&gt;0,AVERAGE(L$184,L185),""),"")</f>
        <v/>
      </c>
      <c r="M213" s="291" t="str">
        <f aca="false">IFERROR(IF(M$184*M185&gt;0,AVERAGE(M$184,M185),""),"")</f>
        <v/>
      </c>
      <c r="N213" s="291" t="str">
        <f aca="false">IFERROR(IF(N$184*N185&gt;0,AVERAGE(N$184,N185),""),"")</f>
        <v/>
      </c>
      <c r="O213" s="42"/>
      <c r="P213" s="282"/>
      <c r="Q213" s="296"/>
      <c r="R213" s="293" t="s">
        <v>318</v>
      </c>
      <c r="S213" s="294" t="str">
        <f aca="false">IFERROR(IF(C$184*C185&gt;0,STDEV(C$184,C185),"")/IF(C$184*C185&gt;0,AVERAGE(C$184,C185),""),"")</f>
        <v/>
      </c>
      <c r="T213" s="294" t="str">
        <f aca="false">IFERROR(IF(D$184*D185&gt;0,STDEV(D$184,D185),"")/IF(D$184*D185&gt;0,AVERAGE(D$184,D185),""),"")</f>
        <v/>
      </c>
      <c r="U213" s="294" t="str">
        <f aca="false">IFERROR(IF(E$184*E185&gt;0,STDEV(E$184,E185),"")/IF(E$184*E185&gt;0,AVERAGE(E$184,E185),""),"")</f>
        <v/>
      </c>
      <c r="V213" s="294" t="str">
        <f aca="false">IFERROR(IF(F$184*F185&gt;0,STDEV(F$184,F185),"")/IF(F$184*F185&gt;0,AVERAGE(F$184,F185),""),"")</f>
        <v/>
      </c>
      <c r="W213" s="294" t="str">
        <f aca="false">IFERROR(IF(G$184*G185&gt;0,STDEV(G$184,G185),"")/IF(G$184*G185&gt;0,AVERAGE(G$184,G185),""),"")</f>
        <v/>
      </c>
      <c r="X213" s="294" t="str">
        <f aca="false">IFERROR(IF(H$184*H185&gt;0,STDEV(H$184,H185),"")/IF(H$184*H185&gt;0,AVERAGE(H$184,H185),""),"")</f>
        <v/>
      </c>
      <c r="Y213" s="294" t="str">
        <f aca="false">IFERROR(IF(I$184*I185&gt;0,STDEV(I$184,I185),"")/IF(I$184*I185&gt;0,AVERAGE(I$184,I185),""),"")</f>
        <v/>
      </c>
      <c r="Z213" s="294" t="str">
        <f aca="false">IFERROR(IF(J$184*J185&gt;0,STDEV(J$184,J185),"")/IF(J$184*J185&gt;0,AVERAGE(J$184,J185),""),"")</f>
        <v/>
      </c>
      <c r="AA213" s="294" t="str">
        <f aca="false">IFERROR(IF(K$184*K185&gt;0,STDEV(K$184,K185),"")/IF(K$184*K185&gt;0,AVERAGE(K$184,K185),""),"")</f>
        <v/>
      </c>
      <c r="AB213" s="294" t="str">
        <f aca="false">IFERROR(IF(L$184*L185&gt;0,STDEV(L$184,L185),"")/IF(L$184*L185&gt;0,AVERAGE(L$184,L185),""),"")</f>
        <v/>
      </c>
      <c r="AC213" s="294" t="str">
        <f aca="false">IFERROR(IF(M$184*M185&gt;0,STDEV(M$184,M185),"")/IF(M$184*M185&gt;0,AVERAGE(M$184,M185),""),"")</f>
        <v/>
      </c>
      <c r="AD213" s="294" t="str">
        <f aca="false">IFERROR(IF(N$184*N185&gt;0,STDEV(N$184,N185),"")/IF(N$184*N185&gt;0,AVERAGE(N$184,N185),""),"")</f>
        <v/>
      </c>
      <c r="AE213" s="44"/>
      <c r="AF213" s="266" t="s">
        <v>319</v>
      </c>
      <c r="AG213" s="303" t="str">
        <f aca="false">IFERROR(IF(C$184*C185&gt;0,STDEV(C$184,C185)," ")/IF(C$184*C185&gt;0,SQRT(COUNT(C$184,C185))," "),"")</f>
        <v/>
      </c>
      <c r="AH213" s="303" t="str">
        <f aca="false">IFERROR(IF(D$184*D185&gt;0,STDEV(D$184,D185)," ")/IF(D$184*D185&gt;0,SQRT(COUNT(D$184,D185))," "),"")</f>
        <v/>
      </c>
      <c r="AI213" s="303" t="str">
        <f aca="false">IFERROR(IF(E$184*E185&gt;0,STDEV(E$184,E185)," ")/IF(E$184*E185&gt;0,SQRT(COUNT(E$184,E185))," "),"")</f>
        <v/>
      </c>
      <c r="AJ213" s="303" t="str">
        <f aca="false">IFERROR(IF(F$184*F185&gt;0,STDEV(F$184,F185)," ")/IF(F$184*F185&gt;0,SQRT(COUNT(F$184,F185))," "),"")</f>
        <v/>
      </c>
      <c r="AK213" s="303" t="str">
        <f aca="false">IFERROR(IF(G$184*G185&gt;0,STDEV(G$184,G185)," ")/IF(G$184*G185&gt;0,SQRT(COUNT(G$184,G185))," "),"")</f>
        <v/>
      </c>
      <c r="AL213" s="303" t="str">
        <f aca="false">IFERROR(IF(H$184*H185&gt;0,STDEV(H$184,H185)," ")/IF(H$184*H185&gt;0,SQRT(COUNT(H$184,H185))," "),"")</f>
        <v/>
      </c>
      <c r="AM213" s="303" t="str">
        <f aca="false">IFERROR(IF(I$184*I185&gt;0,STDEV(I$184,I185)," ")/IF(I$184*I185&gt;0,SQRT(COUNT(I$184,I185))," "),"")</f>
        <v/>
      </c>
      <c r="AN213" s="303" t="str">
        <f aca="false">IFERROR(IF(J$184*J185&gt;0,STDEV(J$184,J185)," ")/IF(J$184*J185&gt;0,SQRT(COUNT(J$184,J185))," "),"")</f>
        <v/>
      </c>
      <c r="AO213" s="303" t="str">
        <f aca="false">IFERROR(IF(K$184*K185&gt;0,STDEV(K$184,K185)," ")/IF(K$184*K185&gt;0,SQRT(COUNT(K$184,K185))," "),"")</f>
        <v/>
      </c>
      <c r="AP213" s="303" t="str">
        <f aca="false">IFERROR(IF(L$184*L185&gt;0,STDEV(L$184,L185)," ")/IF(L$184*L185&gt;0,SQRT(COUNT(L$184,L185))," "),"")</f>
        <v/>
      </c>
      <c r="AQ213" s="303" t="str">
        <f aca="false">IFERROR(IF(M$184*M185&gt;0,STDEV(M$184,M185)," ")/IF(M$184*M185&gt;0,SQRT(COUNT(M$184,M185))," "),"")</f>
        <v/>
      </c>
      <c r="AR213" s="303" t="str">
        <f aca="false">IFERROR(IF(N$184*N185&gt;0,STDEV(N$184,N185)," ")/IF(N$184*N185&gt;0,SQRT(COUNT(N$184,N185))," "),"")</f>
        <v/>
      </c>
    </row>
    <row r="214" customFormat="false" ht="15.75" hidden="false" customHeight="false" outlineLevel="0" collapsed="false">
      <c r="A214" s="290" t="s">
        <v>320</v>
      </c>
      <c r="B214" s="281"/>
      <c r="C214" s="291" t="str">
        <f aca="false">IFERROR(IF(C$184*C186&gt;0,AVERAGE(C$184,C186),""),"")</f>
        <v/>
      </c>
      <c r="D214" s="291" t="str">
        <f aca="false">IFERROR(IF(D$184*D186&gt;0,AVERAGE(D$184,D186),""),"")</f>
        <v/>
      </c>
      <c r="E214" s="291" t="str">
        <f aca="false">IFERROR(IF(E$184*E186&gt;0,AVERAGE(E$184,E186),""),"")</f>
        <v/>
      </c>
      <c r="F214" s="291" t="str">
        <f aca="false">IFERROR(IF(F$184*F186&gt;0,AVERAGE(F$184,F186),""),"")</f>
        <v/>
      </c>
      <c r="G214" s="291" t="str">
        <f aca="false">IFERROR(IF(G$184*G186&gt;0,AVERAGE(G$184,G186),""),"")</f>
        <v/>
      </c>
      <c r="H214" s="291" t="str">
        <f aca="false">IFERROR(IF(H$184*H186&gt;0,AVERAGE(H$184,H186),""),"")</f>
        <v/>
      </c>
      <c r="I214" s="291" t="str">
        <f aca="false">IFERROR(IF(I$184*I186&gt;0,AVERAGE(I$184,I186),""),"")</f>
        <v/>
      </c>
      <c r="J214" s="291" t="str">
        <f aca="false">IFERROR(IF(J$184*J186&gt;0,AVERAGE(J$184,J186),""),"")</f>
        <v/>
      </c>
      <c r="K214" s="291" t="str">
        <f aca="false">IFERROR(IF(K$184*K186&gt;0,AVERAGE(K$184,K186),""),"")</f>
        <v/>
      </c>
      <c r="L214" s="291" t="str">
        <f aca="false">IFERROR(IF(L$184*L186&gt;0,AVERAGE(L$184,L186),""),"")</f>
        <v/>
      </c>
      <c r="M214" s="291" t="str">
        <f aca="false">IFERROR(IF(M$184*M186&gt;0,AVERAGE(M$184,M186),""),"")</f>
        <v/>
      </c>
      <c r="N214" s="291" t="str">
        <f aca="false">IFERROR(IF(N$184*N186&gt;0,AVERAGE(N$184,N186),""),"")</f>
        <v/>
      </c>
      <c r="O214" s="58"/>
      <c r="P214" s="282"/>
      <c r="Q214" s="296"/>
      <c r="R214" s="293" t="s">
        <v>321</v>
      </c>
      <c r="S214" s="294" t="str">
        <f aca="false">IFERROR(IF(C$184*C186&gt;0,STDEV(C$184,C186),"")/IF(C$184*C186&gt;0,AVERAGE(C$184,C186),""),"")</f>
        <v/>
      </c>
      <c r="T214" s="294" t="str">
        <f aca="false">IFERROR(IF(D$184*D186&gt;0,STDEV(D$184,D186),"")/IF(D$184*D186&gt;0,AVERAGE(D$184,D186),""),"")</f>
        <v/>
      </c>
      <c r="U214" s="294" t="str">
        <f aca="false">IFERROR(IF(E$184*E186&gt;0,STDEV(E$184,E186),"")/IF(E$184*E186&gt;0,AVERAGE(E$184,E186),""),"")</f>
        <v/>
      </c>
      <c r="V214" s="294" t="str">
        <f aca="false">IFERROR(IF(F$184*F186&gt;0,STDEV(F$184,F186),"")/IF(F$184*F186&gt;0,AVERAGE(F$184,F186),""),"")</f>
        <v/>
      </c>
      <c r="W214" s="294" t="str">
        <f aca="false">IFERROR(IF(G$184*G186&gt;0,STDEV(G$184,G186),"")/IF(G$184*G186&gt;0,AVERAGE(G$184,G186),""),"")</f>
        <v/>
      </c>
      <c r="X214" s="294" t="str">
        <f aca="false">IFERROR(IF(H$184*H186&gt;0,STDEV(H$184,H186),"")/IF(H$184*H186&gt;0,AVERAGE(H$184,H186),""),"")</f>
        <v/>
      </c>
      <c r="Y214" s="294" t="str">
        <f aca="false">IFERROR(IF(I$184*I186&gt;0,STDEV(I$184,I186),"")/IF(I$184*I186&gt;0,AVERAGE(I$184,I186),""),"")</f>
        <v/>
      </c>
      <c r="Z214" s="294" t="str">
        <f aca="false">IFERROR(IF(J$184*J186&gt;0,STDEV(J$184,J186),"")/IF(J$184*J186&gt;0,AVERAGE(J$184,J186),""),"")</f>
        <v/>
      </c>
      <c r="AA214" s="294" t="str">
        <f aca="false">IFERROR(IF(K$184*K186&gt;0,STDEV(K$184,K186),"")/IF(K$184*K186&gt;0,AVERAGE(K$184,K186),""),"")</f>
        <v/>
      </c>
      <c r="AB214" s="294" t="str">
        <f aca="false">IFERROR(IF(L$184*L186&gt;0,STDEV(L$184,L186),"")/IF(L$184*L186&gt;0,AVERAGE(L$184,L186),""),"")</f>
        <v/>
      </c>
      <c r="AC214" s="294" t="str">
        <f aca="false">IFERROR(IF(M$184*M186&gt;0,STDEV(M$184,M186),"")/IF(M$184*M186&gt;0,AVERAGE(M$184,M186),""),"")</f>
        <v/>
      </c>
      <c r="AD214" s="294" t="str">
        <f aca="false">IFERROR(IF(N$184*N186&gt;0,STDEV(N$184,N186),"")/IF(N$184*N186&gt;0,AVERAGE(N$184,N186),""),"")</f>
        <v/>
      </c>
      <c r="AE214" s="44"/>
      <c r="AF214" s="266" t="s">
        <v>322</v>
      </c>
      <c r="AG214" s="303" t="str">
        <f aca="false">IFERROR(IF(C$184*C186&gt;0,STDEV(C$184,C186)," ")/IF(C$184*C186&gt;0,SQRT(COUNT(C$184,C186))," "),"")</f>
        <v/>
      </c>
      <c r="AH214" s="303" t="str">
        <f aca="false">IFERROR(IF(D$184*D186&gt;0,STDEV(D$184,D186)," ")/IF(D$184*D186&gt;0,SQRT(COUNT(D$184,D186))," "),"")</f>
        <v/>
      </c>
      <c r="AI214" s="303" t="str">
        <f aca="false">IFERROR(IF(E$184*E186&gt;0,STDEV(E$184,E186)," ")/IF(E$184*E186&gt;0,SQRT(COUNT(E$184,E186))," "),"")</f>
        <v/>
      </c>
      <c r="AJ214" s="303" t="str">
        <f aca="false">IFERROR(IF(F$184*F186&gt;0,STDEV(F$184,F186)," ")/IF(F$184*F186&gt;0,SQRT(COUNT(F$184,F186))," "),"")</f>
        <v/>
      </c>
      <c r="AK214" s="303" t="str">
        <f aca="false">IFERROR(IF(G$184*G186&gt;0,STDEV(G$184,G186)," ")/IF(G$184*G186&gt;0,SQRT(COUNT(G$184,G186))," "),"")</f>
        <v/>
      </c>
      <c r="AL214" s="303" t="str">
        <f aca="false">IFERROR(IF(H$184*H186&gt;0,STDEV(H$184,H186)," ")/IF(H$184*H186&gt;0,SQRT(COUNT(H$184,H186))," "),"")</f>
        <v/>
      </c>
      <c r="AM214" s="303" t="str">
        <f aca="false">IFERROR(IF(I$184*I186&gt;0,STDEV(I$184,I186)," ")/IF(I$184*I186&gt;0,SQRT(COUNT(I$184,I186))," "),"")</f>
        <v/>
      </c>
      <c r="AN214" s="303" t="str">
        <f aca="false">IFERROR(IF(J$184*J186&gt;0,STDEV(J$184,J186)," ")/IF(J$184*J186&gt;0,SQRT(COUNT(J$184,J186))," "),"")</f>
        <v/>
      </c>
      <c r="AO214" s="303" t="str">
        <f aca="false">IFERROR(IF(K$184*K186&gt;0,STDEV(K$184,K186)," ")/IF(K$184*K186&gt;0,SQRT(COUNT(K$184,K186))," "),"")</f>
        <v/>
      </c>
      <c r="AP214" s="303" t="str">
        <f aca="false">IFERROR(IF(L$184*L186&gt;0,STDEV(L$184,L186)," ")/IF(L$184*L186&gt;0,SQRT(COUNT(L$184,L186))," "),"")</f>
        <v/>
      </c>
      <c r="AQ214" s="303" t="str">
        <f aca="false">IFERROR(IF(M$184*M186&gt;0,STDEV(M$184,M186)," ")/IF(M$184*M186&gt;0,SQRT(COUNT(M$184,M186))," "),"")</f>
        <v/>
      </c>
      <c r="AR214" s="303" t="str">
        <f aca="false">IFERROR(IF(N$184*N186&gt;0,STDEV(N$184,N186)," ")/IF(N$184*N186&gt;0,SQRT(COUNT(N$184,N186))," "),"")</f>
        <v/>
      </c>
    </row>
    <row r="215" customFormat="false" ht="15.75" hidden="false" customHeight="false" outlineLevel="0" collapsed="false">
      <c r="A215" s="290" t="s">
        <v>323</v>
      </c>
      <c r="B215" s="281"/>
      <c r="C215" s="291" t="str">
        <f aca="false">IFERROR(IF(C$184*C187&gt;0,AVERAGE(C$184,C187),""),"")</f>
        <v/>
      </c>
      <c r="D215" s="291" t="str">
        <f aca="false">IFERROR(IF(D$184*D187&gt;0,AVERAGE(D$184,D187),""),"")</f>
        <v/>
      </c>
      <c r="E215" s="291" t="str">
        <f aca="false">IFERROR(IF(E$184*E187&gt;0,AVERAGE(E$184,E187),""),"")</f>
        <v/>
      </c>
      <c r="F215" s="291" t="str">
        <f aca="false">IFERROR(IF(F$184*F187&gt;0,AVERAGE(F$184,F187),""),"")</f>
        <v/>
      </c>
      <c r="G215" s="291" t="str">
        <f aca="false">IFERROR(IF(G$184*G187&gt;0,AVERAGE(G$184,G187),""),"")</f>
        <v/>
      </c>
      <c r="H215" s="291" t="str">
        <f aca="false">IFERROR(IF(H$184*H187&gt;0,AVERAGE(H$184,H187),""),"")</f>
        <v/>
      </c>
      <c r="I215" s="291" t="str">
        <f aca="false">IFERROR(IF(I$184*I187&gt;0,AVERAGE(I$184,I187),""),"")</f>
        <v/>
      </c>
      <c r="J215" s="291" t="str">
        <f aca="false">IFERROR(IF(J$184*J187&gt;0,AVERAGE(J$184,J187),""),"")</f>
        <v/>
      </c>
      <c r="K215" s="291" t="str">
        <f aca="false">IFERROR(IF(K$184*K187&gt;0,AVERAGE(K$184,K187),""),"")</f>
        <v/>
      </c>
      <c r="L215" s="291" t="str">
        <f aca="false">IFERROR(IF(L$184*L187&gt;0,AVERAGE(L$184,L187),""),"")</f>
        <v/>
      </c>
      <c r="M215" s="291" t="str">
        <f aca="false">IFERROR(IF(M$184*M187&gt;0,AVERAGE(M$184,M187),""),"")</f>
        <v/>
      </c>
      <c r="N215" s="291" t="str">
        <f aca="false">IFERROR(IF(N$184*N187&gt;0,AVERAGE(N$184,N187),""),"")</f>
        <v/>
      </c>
      <c r="O215" s="282"/>
      <c r="P215" s="282"/>
      <c r="Q215" s="296"/>
      <c r="R215" s="293" t="s">
        <v>324</v>
      </c>
      <c r="S215" s="294" t="str">
        <f aca="false">IFERROR(IF(C$184*C187&gt;0,STDEV(C$184,C187),"")/IF(C$184*C187&gt;0,AVERAGE(C$184,C187),""),"")</f>
        <v/>
      </c>
      <c r="T215" s="294" t="str">
        <f aca="false">IFERROR(IF(D$184*D187&gt;0,STDEV(D$184,D187),"")/IF(D$184*D187&gt;0,AVERAGE(D$184,D187),""),"")</f>
        <v/>
      </c>
      <c r="U215" s="294" t="str">
        <f aca="false">IFERROR(IF(E$184*E187&gt;0,STDEV(E$184,E187),"")/IF(E$184*E187&gt;0,AVERAGE(E$184,E187),""),"")</f>
        <v/>
      </c>
      <c r="V215" s="294" t="str">
        <f aca="false">IFERROR(IF(F$184*F187&gt;0,STDEV(F$184,F187),"")/IF(F$184*F187&gt;0,AVERAGE(F$184,F187),""),"")</f>
        <v/>
      </c>
      <c r="W215" s="294" t="str">
        <f aca="false">IFERROR(IF(G$184*G187&gt;0,STDEV(G$184,G187),"")/IF(G$184*G187&gt;0,AVERAGE(G$184,G187),""),"")</f>
        <v/>
      </c>
      <c r="X215" s="294" t="str">
        <f aca="false">IFERROR(IF(H$184*H187&gt;0,STDEV(H$184,H187),"")/IF(H$184*H187&gt;0,AVERAGE(H$184,H187),""),"")</f>
        <v/>
      </c>
      <c r="Y215" s="294" t="str">
        <f aca="false">IFERROR(IF(I$184*I187&gt;0,STDEV(I$184,I187),"")/IF(I$184*I187&gt;0,AVERAGE(I$184,I187),""),"")</f>
        <v/>
      </c>
      <c r="Z215" s="294" t="str">
        <f aca="false">IFERROR(IF(J$184*J187&gt;0,STDEV(J$184,J187),"")/IF(J$184*J187&gt;0,AVERAGE(J$184,J187),""),"")</f>
        <v/>
      </c>
      <c r="AA215" s="294" t="str">
        <f aca="false">IFERROR(IF(K$184*K187&gt;0,STDEV(K$184,K187),"")/IF(K$184*K187&gt;0,AVERAGE(K$184,K187),""),"")</f>
        <v/>
      </c>
      <c r="AB215" s="294" t="str">
        <f aca="false">IFERROR(IF(L$184*L187&gt;0,STDEV(L$184,L187),"")/IF(L$184*L187&gt;0,AVERAGE(L$184,L187),""),"")</f>
        <v/>
      </c>
      <c r="AC215" s="294" t="str">
        <f aca="false">IFERROR(IF(M$184*M187&gt;0,STDEV(M$184,M187),"")/IF(M$184*M187&gt;0,AVERAGE(M$184,M187),""),"")</f>
        <v/>
      </c>
      <c r="AD215" s="294" t="str">
        <f aca="false">IFERROR(IF(N$184*N187&gt;0,STDEV(N$184,N187),"")/IF(N$184*N187&gt;0,AVERAGE(N$184,N187),""),"")</f>
        <v/>
      </c>
      <c r="AE215" s="44"/>
      <c r="AF215" s="266" t="s">
        <v>325</v>
      </c>
      <c r="AG215" s="303" t="str">
        <f aca="false">IFERROR(IF(C$184*C187&gt;0,STDEV(C$184,C187)," ")/IF(C$184*C187&gt;0,SQRT(COUNT(C$184,C187))," "),"")</f>
        <v/>
      </c>
      <c r="AH215" s="303" t="str">
        <f aca="false">IFERROR(IF(D$184*D187&gt;0,STDEV(D$184,D187)," ")/IF(D$184*D187&gt;0,SQRT(COUNT(D$184,D187))," "),"")</f>
        <v/>
      </c>
      <c r="AI215" s="303" t="str">
        <f aca="false">IFERROR(IF(E$184*E187&gt;0,STDEV(E$184,E187)," ")/IF(E$184*E187&gt;0,SQRT(COUNT(E$184,E187))," "),"")</f>
        <v/>
      </c>
      <c r="AJ215" s="303" t="str">
        <f aca="false">IFERROR(IF(F$184*F187&gt;0,STDEV(F$184,F187)," ")/IF(F$184*F187&gt;0,SQRT(COUNT(F$184,F187))," "),"")</f>
        <v/>
      </c>
      <c r="AK215" s="303" t="str">
        <f aca="false">IFERROR(IF(G$184*G187&gt;0,STDEV(G$184,G187)," ")/IF(G$184*G187&gt;0,SQRT(COUNT(G$184,G187))," "),"")</f>
        <v/>
      </c>
      <c r="AL215" s="303" t="str">
        <f aca="false">IFERROR(IF(H$184*H187&gt;0,STDEV(H$184,H187)," ")/IF(H$184*H187&gt;0,SQRT(COUNT(H$184,H187))," "),"")</f>
        <v/>
      </c>
      <c r="AM215" s="303" t="str">
        <f aca="false">IFERROR(IF(I$184*I187&gt;0,STDEV(I$184,I187)," ")/IF(I$184*I187&gt;0,SQRT(COUNT(I$184,I187))," "),"")</f>
        <v/>
      </c>
      <c r="AN215" s="303" t="str">
        <f aca="false">IFERROR(IF(J$184*J187&gt;0,STDEV(J$184,J187)," ")/IF(J$184*J187&gt;0,SQRT(COUNT(J$184,J187))," "),"")</f>
        <v/>
      </c>
      <c r="AO215" s="303" t="str">
        <f aca="false">IFERROR(IF(K$184*K187&gt;0,STDEV(K$184,K187)," ")/IF(K$184*K187&gt;0,SQRT(COUNT(K$184,K187))," "),"")</f>
        <v/>
      </c>
      <c r="AP215" s="303" t="str">
        <f aca="false">IFERROR(IF(L$184*L187&gt;0,STDEV(L$184,L187)," ")/IF(L$184*L187&gt;0,SQRT(COUNT(L$184,L187))," "),"")</f>
        <v/>
      </c>
      <c r="AQ215" s="303" t="str">
        <f aca="false">IFERROR(IF(M$184*M187&gt;0,STDEV(M$184,M187)," ")/IF(M$184*M187&gt;0,SQRT(COUNT(M$184,M187))," "),"")</f>
        <v/>
      </c>
      <c r="AR215" s="303" t="str">
        <f aca="false">IFERROR(IF(N$184*N187&gt;0,STDEV(N$184,N187)," ")/IF(N$184*N187&gt;0,SQRT(COUNT(N$184,N187))," "),"")</f>
        <v/>
      </c>
    </row>
    <row r="216" customFormat="false" ht="15.75" hidden="false" customHeight="false" outlineLevel="0" collapsed="false">
      <c r="A216" s="290" t="s">
        <v>326</v>
      </c>
      <c r="B216" s="281"/>
      <c r="C216" s="291" t="str">
        <f aca="false">IFERROR(IF(C$184*C188&gt;0,AVERAGE(C$184,C188),""),"")</f>
        <v/>
      </c>
      <c r="D216" s="291" t="str">
        <f aca="false">IFERROR(IF(D$184*D188&gt;0,AVERAGE(D$184,D188),""),"")</f>
        <v/>
      </c>
      <c r="E216" s="291" t="str">
        <f aca="false">IFERROR(IF(E$184*E188&gt;0,AVERAGE(E$184,E188),""),"")</f>
        <v/>
      </c>
      <c r="F216" s="291" t="str">
        <f aca="false">IFERROR(IF(F$184*F188&gt;0,AVERAGE(F$184,F188),""),"")</f>
        <v/>
      </c>
      <c r="G216" s="291" t="str">
        <f aca="false">IFERROR(IF(G$184*G188&gt;0,AVERAGE(G$184,G188),""),"")</f>
        <v/>
      </c>
      <c r="H216" s="291" t="str">
        <f aca="false">IFERROR(IF(H$184*H188&gt;0,AVERAGE(H$184,H188),""),"")</f>
        <v/>
      </c>
      <c r="I216" s="291" t="str">
        <f aca="false">IFERROR(IF(I$184*I188&gt;0,AVERAGE(I$184,I188),""),"")</f>
        <v/>
      </c>
      <c r="J216" s="291" t="str">
        <f aca="false">IFERROR(IF(J$184*J188&gt;0,AVERAGE(J$184,J188),""),"")</f>
        <v/>
      </c>
      <c r="K216" s="291" t="str">
        <f aca="false">IFERROR(IF(K$184*K188&gt;0,AVERAGE(K$184,K188),""),"")</f>
        <v/>
      </c>
      <c r="L216" s="291" t="str">
        <f aca="false">IFERROR(IF(L$184*L188&gt;0,AVERAGE(L$184,L188),""),"")</f>
        <v/>
      </c>
      <c r="M216" s="291" t="str">
        <f aca="false">IFERROR(IF(M$184*M188&gt;0,AVERAGE(M$184,M188),""),"")</f>
        <v/>
      </c>
      <c r="N216" s="291" t="str">
        <f aca="false">IFERROR(IF(N$184*N188&gt;0,AVERAGE(N$184,N188),""),"")</f>
        <v/>
      </c>
      <c r="O216" s="58"/>
      <c r="P216" s="282"/>
      <c r="Q216" s="296"/>
      <c r="R216" s="293" t="s">
        <v>327</v>
      </c>
      <c r="S216" s="294" t="str">
        <f aca="false">IFERROR(IF(C$184*C188&gt;0,STDEV(C$184,C188),"")/IF(C$184*C188&gt;0,AVERAGE(C$184,C188),""),"")</f>
        <v/>
      </c>
      <c r="T216" s="294" t="str">
        <f aca="false">IFERROR(IF(D$184*D188&gt;0,STDEV(D$184,D188),"")/IF(D$184*D188&gt;0,AVERAGE(D$184,D188),""),"")</f>
        <v/>
      </c>
      <c r="U216" s="294" t="str">
        <f aca="false">IFERROR(IF(E$184*E188&gt;0,STDEV(E$184,E188),"")/IF(E$184*E188&gt;0,AVERAGE(E$184,E188),""),"")</f>
        <v/>
      </c>
      <c r="V216" s="294" t="str">
        <f aca="false">IFERROR(IF(F$184*F188&gt;0,STDEV(F$184,F188),"")/IF(F$184*F188&gt;0,AVERAGE(F$184,F188),""),"")</f>
        <v/>
      </c>
      <c r="W216" s="294" t="str">
        <f aca="false">IFERROR(IF(G$184*G188&gt;0,STDEV(G$184,G188),"")/IF(G$184*G188&gt;0,AVERAGE(G$184,G188),""),"")</f>
        <v/>
      </c>
      <c r="X216" s="294" t="str">
        <f aca="false">IFERROR(IF(H$184*H188&gt;0,STDEV(H$184,H188),"")/IF(H$184*H188&gt;0,AVERAGE(H$184,H188),""),"")</f>
        <v/>
      </c>
      <c r="Y216" s="294" t="str">
        <f aca="false">IFERROR(IF(I$184*I188&gt;0,STDEV(I$184,I188),"")/IF(I$184*I188&gt;0,AVERAGE(I$184,I188),""),"")</f>
        <v/>
      </c>
      <c r="Z216" s="294" t="str">
        <f aca="false">IFERROR(IF(J$184*J188&gt;0,STDEV(J$184,J188),"")/IF(J$184*J188&gt;0,AVERAGE(J$184,J188),""),"")</f>
        <v/>
      </c>
      <c r="AA216" s="294" t="str">
        <f aca="false">IFERROR(IF(K$184*K188&gt;0,STDEV(K$184,K188),"")/IF(K$184*K188&gt;0,AVERAGE(K$184,K188),""),"")</f>
        <v/>
      </c>
      <c r="AB216" s="294" t="str">
        <f aca="false">IFERROR(IF(L$184*L188&gt;0,STDEV(L$184,L188),"")/IF(L$184*L188&gt;0,AVERAGE(L$184,L188),""),"")</f>
        <v/>
      </c>
      <c r="AC216" s="294" t="str">
        <f aca="false">IFERROR(IF(M$184*M188&gt;0,STDEV(M$184,M188),"")/IF(M$184*M188&gt;0,AVERAGE(M$184,M188),""),"")</f>
        <v/>
      </c>
      <c r="AD216" s="294" t="str">
        <f aca="false">IFERROR(IF(N$184*N188&gt;0,STDEV(N$184,N188),"")/IF(N$184*N188&gt;0,AVERAGE(N$184,N188),""),"")</f>
        <v/>
      </c>
      <c r="AE216" s="44"/>
      <c r="AF216" s="266" t="s">
        <v>328</v>
      </c>
      <c r="AG216" s="303" t="str">
        <f aca="false">IFERROR(IF(C$184*C188&gt;0,STDEV(C$184,C188)," ")/IF(C$184*C188&gt;0,SQRT(COUNT(C$184,C188))," "),"")</f>
        <v/>
      </c>
      <c r="AH216" s="303" t="str">
        <f aca="false">IFERROR(IF(D$184*D188&gt;0,STDEV(D$184,D188)," ")/IF(D$184*D188&gt;0,SQRT(COUNT(D$184,D188))," "),"")</f>
        <v/>
      </c>
      <c r="AI216" s="303" t="str">
        <f aca="false">IFERROR(IF(E$184*E188&gt;0,STDEV(E$184,E188)," ")/IF(E$184*E188&gt;0,SQRT(COUNT(E$184,E188))," "),"")</f>
        <v/>
      </c>
      <c r="AJ216" s="303" t="str">
        <f aca="false">IFERROR(IF(F$184*F188&gt;0,STDEV(F$184,F188)," ")/IF(F$184*F188&gt;0,SQRT(COUNT(F$184,F188))," "),"")</f>
        <v/>
      </c>
      <c r="AK216" s="303" t="str">
        <f aca="false">IFERROR(IF(G$184*G188&gt;0,STDEV(G$184,G188)," ")/IF(G$184*G188&gt;0,SQRT(COUNT(G$184,G188))," "),"")</f>
        <v/>
      </c>
      <c r="AL216" s="303" t="str">
        <f aca="false">IFERROR(IF(H$184*H188&gt;0,STDEV(H$184,H188)," ")/IF(H$184*H188&gt;0,SQRT(COUNT(H$184,H188))," "),"")</f>
        <v/>
      </c>
      <c r="AM216" s="303" t="str">
        <f aca="false">IFERROR(IF(I$184*I188&gt;0,STDEV(I$184,I188)," ")/IF(I$184*I188&gt;0,SQRT(COUNT(I$184,I188))," "),"")</f>
        <v/>
      </c>
      <c r="AN216" s="303" t="str">
        <f aca="false">IFERROR(IF(J$184*J188&gt;0,STDEV(J$184,J188)," ")/IF(J$184*J188&gt;0,SQRT(COUNT(J$184,J188))," "),"")</f>
        <v/>
      </c>
      <c r="AO216" s="303" t="str">
        <f aca="false">IFERROR(IF(K$184*K188&gt;0,STDEV(K$184,K188)," ")/IF(K$184*K188&gt;0,SQRT(COUNT(K$184,K188))," "),"")</f>
        <v/>
      </c>
      <c r="AP216" s="303" t="str">
        <f aca="false">IFERROR(IF(L$184*L188&gt;0,STDEV(L$184,L188)," ")/IF(L$184*L188&gt;0,SQRT(COUNT(L$184,L188))," "),"")</f>
        <v/>
      </c>
      <c r="AQ216" s="303" t="str">
        <f aca="false">IFERROR(IF(M$184*M188&gt;0,STDEV(M$184,M188)," ")/IF(M$184*M188&gt;0,SQRT(COUNT(M$184,M188))," "),"")</f>
        <v/>
      </c>
      <c r="AR216" s="303" t="str">
        <f aca="false">IFERROR(IF(N$184*N188&gt;0,STDEV(N$184,N188)," ")/IF(N$184*N188&gt;0,SQRT(COUNT(N$184,N188))," "),"")</f>
        <v/>
      </c>
    </row>
    <row r="217" customFormat="false" ht="15.75" hidden="false" customHeight="false" outlineLevel="0" collapsed="false">
      <c r="A217" s="290" t="s">
        <v>329</v>
      </c>
      <c r="B217" s="281"/>
      <c r="C217" s="291" t="str">
        <f aca="false">IFERROR(IF(C$185*C186&gt;0,AVERAGE(C$185,C186),""),"")</f>
        <v/>
      </c>
      <c r="D217" s="291" t="str">
        <f aca="false">IFERROR(IF(D$185*D186&gt;0,AVERAGE(D$185,D186),""),"")</f>
        <v/>
      </c>
      <c r="E217" s="291" t="str">
        <f aca="false">IFERROR(IF(E$185*E186&gt;0,AVERAGE(E$185,E186),""),"")</f>
        <v/>
      </c>
      <c r="F217" s="291" t="str">
        <f aca="false">IFERROR(IF(F$185*F186&gt;0,AVERAGE(F$185,F186),""),"")</f>
        <v/>
      </c>
      <c r="G217" s="291" t="str">
        <f aca="false">IFERROR(IF(G$185*G186&gt;0,AVERAGE(G$185,G186),""),"")</f>
        <v/>
      </c>
      <c r="H217" s="291" t="str">
        <f aca="false">IFERROR(IF(H$185*H186&gt;0,AVERAGE(H$185,H186),""),"")</f>
        <v/>
      </c>
      <c r="I217" s="291" t="str">
        <f aca="false">IFERROR(IF(I$185*I186&gt;0,AVERAGE(I$185,I186),""),"")</f>
        <v/>
      </c>
      <c r="J217" s="291" t="str">
        <f aca="false">IFERROR(IF(J$185*J186&gt;0,AVERAGE(J$185,J186),""),"")</f>
        <v/>
      </c>
      <c r="K217" s="291" t="str">
        <f aca="false">IFERROR(IF(K$185*K186&gt;0,AVERAGE(K$185,K186),""),"")</f>
        <v/>
      </c>
      <c r="L217" s="291" t="str">
        <f aca="false">IFERROR(IF(L$185*L186&gt;0,AVERAGE(L$185,L186),""),"")</f>
        <v/>
      </c>
      <c r="M217" s="291" t="str">
        <f aca="false">IFERROR(IF(M$185*M186&gt;0,AVERAGE(M$185,M186),""),"")</f>
        <v/>
      </c>
      <c r="N217" s="291" t="str">
        <f aca="false">IFERROR(IF(N$185*N186&gt;0,AVERAGE(N$185,N186),""),"")</f>
        <v/>
      </c>
      <c r="O217" s="42"/>
      <c r="P217" s="282"/>
      <c r="Q217" s="188"/>
      <c r="R217" s="293" t="s">
        <v>330</v>
      </c>
      <c r="S217" s="294" t="str">
        <f aca="false">IFERROR(IF(C$185*C186&gt;0,STDEV(C$185,C186),"")/IF(C$185*C186&gt;0,AVERAGE(C$185,C186),""),"")</f>
        <v/>
      </c>
      <c r="T217" s="294" t="str">
        <f aca="false">IFERROR(IF(D$185*D186&gt;0,STDEV(D$185,D186),"")/IF(D$185*D186&gt;0,AVERAGE(D$185,D186),""),"")</f>
        <v/>
      </c>
      <c r="U217" s="294" t="str">
        <f aca="false">IFERROR(IF(E$185*E186&gt;0,STDEV(E$185,E186),"")/IF(E$185*E186&gt;0,AVERAGE(E$185,E186),""),"")</f>
        <v/>
      </c>
      <c r="V217" s="294" t="str">
        <f aca="false">IFERROR(IF(F$185*F186&gt;0,STDEV(F$185,F186),"")/IF(F$185*F186&gt;0,AVERAGE(F$185,F186),""),"")</f>
        <v/>
      </c>
      <c r="W217" s="294" t="str">
        <f aca="false">IFERROR(IF(G$185*G186&gt;0,STDEV(G$185,G186),"")/IF(G$185*G186&gt;0,AVERAGE(G$185,G186),""),"")</f>
        <v/>
      </c>
      <c r="X217" s="294" t="str">
        <f aca="false">IFERROR(IF(H$185*H186&gt;0,STDEV(H$185,H186),"")/IF(H$185*H186&gt;0,AVERAGE(H$185,H186),""),"")</f>
        <v/>
      </c>
      <c r="Y217" s="294" t="str">
        <f aca="false">IFERROR(IF(I$185*I186&gt;0,STDEV(I$185,I186),"")/IF(I$185*I186&gt;0,AVERAGE(I$185,I186),""),"")</f>
        <v/>
      </c>
      <c r="Z217" s="294" t="str">
        <f aca="false">IFERROR(IF(J$185*J186&gt;0,STDEV(J$185,J186),"")/IF(J$185*J186&gt;0,AVERAGE(J$185,J186),""),"")</f>
        <v/>
      </c>
      <c r="AA217" s="294" t="str">
        <f aca="false">IFERROR(IF(K$185*K186&gt;0,STDEV(K$185,K186),"")/IF(K$185*K186&gt;0,AVERAGE(K$185,K186),""),"")</f>
        <v/>
      </c>
      <c r="AB217" s="294" t="str">
        <f aca="false">IFERROR(IF(L$185*L186&gt;0,STDEV(L$185,L186),"")/IF(L$185*L186&gt;0,AVERAGE(L$185,L186),""),"")</f>
        <v/>
      </c>
      <c r="AC217" s="294" t="str">
        <f aca="false">IFERROR(IF(M$185*M186&gt;0,STDEV(M$185,M186),"")/IF(M$185*M186&gt;0,AVERAGE(M$185,M186),""),"")</f>
        <v/>
      </c>
      <c r="AD217" s="294" t="str">
        <f aca="false">IFERROR(IF(N$185*N186&gt;0,STDEV(N$185,N186),"")/IF(N$185*N186&gt;0,AVERAGE(N$185,N186),""),"")</f>
        <v/>
      </c>
      <c r="AE217" s="42"/>
      <c r="AF217" s="266" t="s">
        <v>331</v>
      </c>
      <c r="AG217" s="304" t="str">
        <f aca="false">IFERROR(IF(C$185*C186&gt;0,STDEV(C$185,C186)," ")/IF(C$185*C186&gt;0,SQRT(COUNT(C$185,C186))," "),"")</f>
        <v/>
      </c>
      <c r="AH217" s="304" t="str">
        <f aca="false">IFERROR(IF(D$185*D186&gt;0,STDEV(D$185,D186)," ")/IF(D$185*D186&gt;0,SQRT(COUNT(D$185,D186))," "),"")</f>
        <v/>
      </c>
      <c r="AI217" s="304" t="str">
        <f aca="false">IFERROR(IF(E$185*E186&gt;0,STDEV(E$185,E186)," ")/IF(E$185*E186&gt;0,SQRT(COUNT(E$185,E186))," "),"")</f>
        <v/>
      </c>
      <c r="AJ217" s="304" t="str">
        <f aca="false">IFERROR(IF(F$185*F186&gt;0,STDEV(F$185,F186)," ")/IF(F$185*F186&gt;0,SQRT(COUNT(F$185,F186))," "),"")</f>
        <v/>
      </c>
      <c r="AK217" s="304" t="str">
        <f aca="false">IFERROR(IF(G$185*G186&gt;0,STDEV(G$185,G186)," ")/IF(G$185*G186&gt;0,SQRT(COUNT(G$185,G186))," "),"")</f>
        <v/>
      </c>
      <c r="AL217" s="304" t="str">
        <f aca="false">IFERROR(IF(H$185*H186&gt;0,STDEV(H$185,H186)," ")/IF(H$185*H186&gt;0,SQRT(COUNT(H$185,H186))," "),"")</f>
        <v/>
      </c>
      <c r="AM217" s="304" t="str">
        <f aca="false">IFERROR(IF(I$185*I186&gt;0,STDEV(I$185,I186)," ")/IF(I$185*I186&gt;0,SQRT(COUNT(I$185,I186))," "),"")</f>
        <v/>
      </c>
      <c r="AN217" s="304" t="str">
        <f aca="false">IFERROR(IF(J$185*J186&gt;0,STDEV(J$185,J186)," ")/IF(J$185*J186&gt;0,SQRT(COUNT(J$185,J186))," "),"")</f>
        <v/>
      </c>
      <c r="AO217" s="304" t="str">
        <f aca="false">IFERROR(IF(K$185*K186&gt;0,STDEV(K$185,K186)," ")/IF(K$185*K186&gt;0,SQRT(COUNT(K$185,K186))," "),"")</f>
        <v/>
      </c>
      <c r="AP217" s="304" t="str">
        <f aca="false">IFERROR(IF(L$185*L186&gt;0,STDEV(L$185,L186)," ")/IF(L$185*L186&gt;0,SQRT(COUNT(L$185,L186))," "),"")</f>
        <v/>
      </c>
      <c r="AQ217" s="304" t="str">
        <f aca="false">IFERROR(IF(M$185*M186&gt;0,STDEV(M$185,M186)," ")/IF(M$185*M186&gt;0,SQRT(COUNT(M$185,M186))," "),"")</f>
        <v/>
      </c>
      <c r="AR217" s="304" t="str">
        <f aca="false">IFERROR(IF(N$185*N186&gt;0,STDEV(N$185,N186)," ")/IF(N$185*N186&gt;0,SQRT(COUNT(N$185,N186))," "),"")</f>
        <v/>
      </c>
    </row>
    <row r="218" customFormat="false" ht="15.75" hidden="false" customHeight="false" outlineLevel="0" collapsed="false">
      <c r="A218" s="290" t="s">
        <v>332</v>
      </c>
      <c r="B218" s="281"/>
      <c r="C218" s="291" t="str">
        <f aca="false">IFERROR(IF(C$185*C187&gt;0,AVERAGE(C$185,C187),""),"")</f>
        <v/>
      </c>
      <c r="D218" s="291" t="str">
        <f aca="false">IFERROR(IF(D$185*D187&gt;0,AVERAGE(D$185,D187),""),"")</f>
        <v/>
      </c>
      <c r="E218" s="291" t="str">
        <f aca="false">IFERROR(IF(E$185*E187&gt;0,AVERAGE(E$185,E187),""),"")</f>
        <v/>
      </c>
      <c r="F218" s="291" t="str">
        <f aca="false">IFERROR(IF(F$185*F187&gt;0,AVERAGE(F$185,F187),""),"")</f>
        <v/>
      </c>
      <c r="G218" s="291" t="str">
        <f aca="false">IFERROR(IF(G$185*G187&gt;0,AVERAGE(G$185,G187),""),"")</f>
        <v/>
      </c>
      <c r="H218" s="291" t="str">
        <f aca="false">IFERROR(IF(H$185*H187&gt;0,AVERAGE(H$185,H187),""),"")</f>
        <v/>
      </c>
      <c r="I218" s="291" t="str">
        <f aca="false">IFERROR(IF(I$185*I187&gt;0,AVERAGE(I$185,I187),""),"")</f>
        <v/>
      </c>
      <c r="J218" s="291" t="str">
        <f aca="false">IFERROR(IF(J$185*J187&gt;0,AVERAGE(J$185,J187),""),"")</f>
        <v/>
      </c>
      <c r="K218" s="291" t="str">
        <f aca="false">IFERROR(IF(K$185*K187&gt;0,AVERAGE(K$185,K187),""),"")</f>
        <v/>
      </c>
      <c r="L218" s="291" t="str">
        <f aca="false">IFERROR(IF(L$185*L187&gt;0,AVERAGE(L$185,L187),""),"")</f>
        <v/>
      </c>
      <c r="M218" s="291" t="str">
        <f aca="false">IFERROR(IF(M$185*M187&gt;0,AVERAGE(M$185,M187),""),"")</f>
        <v/>
      </c>
      <c r="N218" s="291" t="str">
        <f aca="false">IFERROR(IF(N$185*N187&gt;0,AVERAGE(N$185,N187),""),"")</f>
        <v/>
      </c>
      <c r="O218" s="299"/>
      <c r="P218" s="282"/>
      <c r="Q218" s="147"/>
      <c r="R218" s="293" t="s">
        <v>333</v>
      </c>
      <c r="S218" s="294" t="str">
        <f aca="false">IFERROR(IF(C$185*C187&gt;0,STDEV(C$185,C187),"")/IF(C$185*C187&gt;0,AVERAGE(C$185,C187),""),"")</f>
        <v/>
      </c>
      <c r="T218" s="294" t="str">
        <f aca="false">IFERROR(IF(D$185*D187&gt;0,STDEV(D$185,D187),"")/IF(D$185*D187&gt;0,AVERAGE(D$185,D187),""),"")</f>
        <v/>
      </c>
      <c r="U218" s="294" t="str">
        <f aca="false">IFERROR(IF(E$185*E187&gt;0,STDEV(E$185,E187),"")/IF(E$185*E187&gt;0,AVERAGE(E$185,E187),""),"")</f>
        <v/>
      </c>
      <c r="V218" s="294" t="str">
        <f aca="false">IFERROR(IF(F$185*F187&gt;0,STDEV(F$185,F187),"")/IF(F$185*F187&gt;0,AVERAGE(F$185,F187),""),"")</f>
        <v/>
      </c>
      <c r="W218" s="294" t="str">
        <f aca="false">IFERROR(IF(G$185*G187&gt;0,STDEV(G$185,G187),"")/IF(G$185*G187&gt;0,AVERAGE(G$185,G187),""),"")</f>
        <v/>
      </c>
      <c r="X218" s="294" t="str">
        <f aca="false">IFERROR(IF(H$185*H187&gt;0,STDEV(H$185,H187),"")/IF(H$185*H187&gt;0,AVERAGE(H$185,H187),""),"")</f>
        <v/>
      </c>
      <c r="Y218" s="294" t="str">
        <f aca="false">IFERROR(IF(I$185*I187&gt;0,STDEV(I$185,I187),"")/IF(I$185*I187&gt;0,AVERAGE(I$185,I187),""),"")</f>
        <v/>
      </c>
      <c r="Z218" s="294" t="str">
        <f aca="false">IFERROR(IF(J$185*J187&gt;0,STDEV(J$185,J187),"")/IF(J$185*J187&gt;0,AVERAGE(J$185,J187),""),"")</f>
        <v/>
      </c>
      <c r="AA218" s="294" t="str">
        <f aca="false">IFERROR(IF(K$185*K187&gt;0,STDEV(K$185,K187),"")/IF(K$185*K187&gt;0,AVERAGE(K$185,K187),""),"")</f>
        <v/>
      </c>
      <c r="AB218" s="294" t="str">
        <f aca="false">IFERROR(IF(L$185*L187&gt;0,STDEV(L$185,L187),"")/IF(L$185*L187&gt;0,AVERAGE(L$185,L187),""),"")</f>
        <v/>
      </c>
      <c r="AC218" s="294" t="str">
        <f aca="false">IFERROR(IF(M$185*M187&gt;0,STDEV(M$185,M187),"")/IF(M$185*M187&gt;0,AVERAGE(M$185,M187),""),"")</f>
        <v/>
      </c>
      <c r="AD218" s="294" t="str">
        <f aca="false">IFERROR(IF(N$185*N187&gt;0,STDEV(N$185,N187),"")/IF(N$185*N187&gt;0,AVERAGE(N$185,N187),""),"")</f>
        <v/>
      </c>
      <c r="AE218" s="152"/>
      <c r="AF218" s="266" t="s">
        <v>334</v>
      </c>
      <c r="AG218" s="303" t="str">
        <f aca="false">IFERROR(IF(C$185*C187&gt;0,STDEV(C$185,C187)," ")/IF(C$185*C187&gt;0,SQRT(COUNT(C$185,C187))," "),"")</f>
        <v/>
      </c>
      <c r="AH218" s="303" t="str">
        <f aca="false">IFERROR(IF(D$185*D187&gt;0,STDEV(D$185,D187)," ")/IF(D$185*D187&gt;0,SQRT(COUNT(D$185,D187))," "),"")</f>
        <v/>
      </c>
      <c r="AI218" s="303" t="str">
        <f aca="false">IFERROR(IF(E$185*E187&gt;0,STDEV(E$185,E187)," ")/IF(E$185*E187&gt;0,SQRT(COUNT(E$185,E187))," "),"")</f>
        <v/>
      </c>
      <c r="AJ218" s="303" t="str">
        <f aca="false">IFERROR(IF(F$185*F187&gt;0,STDEV(F$185,F187)," ")/IF(F$185*F187&gt;0,SQRT(COUNT(F$185,F187))," "),"")</f>
        <v/>
      </c>
      <c r="AK218" s="303" t="str">
        <f aca="false">IFERROR(IF(G$185*G187&gt;0,STDEV(G$185,G187)," ")/IF(G$185*G187&gt;0,SQRT(COUNT(G$185,G187))," "),"")</f>
        <v/>
      </c>
      <c r="AL218" s="303" t="str">
        <f aca="false">IFERROR(IF(H$185*H187&gt;0,STDEV(H$185,H187)," ")/IF(H$185*H187&gt;0,SQRT(COUNT(H$185,H187))," "),"")</f>
        <v/>
      </c>
      <c r="AM218" s="303" t="str">
        <f aca="false">IFERROR(IF(I$185*I187&gt;0,STDEV(I$185,I187)," ")/IF(I$185*I187&gt;0,SQRT(COUNT(I$185,I187))," "),"")</f>
        <v/>
      </c>
      <c r="AN218" s="303" t="str">
        <f aca="false">IFERROR(IF(J$185*J187&gt;0,STDEV(J$185,J187)," ")/IF(J$185*J187&gt;0,SQRT(COUNT(J$185,J187))," "),"")</f>
        <v/>
      </c>
      <c r="AO218" s="303" t="str">
        <f aca="false">IFERROR(IF(K$185*K187&gt;0,STDEV(K$185,K187)," ")/IF(K$185*K187&gt;0,SQRT(COUNT(K$185,K187))," "),"")</f>
        <v/>
      </c>
      <c r="AP218" s="303" t="str">
        <f aca="false">IFERROR(IF(L$185*L187&gt;0,STDEV(L$185,L187)," ")/IF(L$185*L187&gt;0,SQRT(COUNT(L$185,L187))," "),"")</f>
        <v/>
      </c>
      <c r="AQ218" s="303" t="str">
        <f aca="false">IFERROR(IF(M$185*M187&gt;0,STDEV(M$185,M187)," ")/IF(M$185*M187&gt;0,SQRT(COUNT(M$185,M187))," "),"")</f>
        <v/>
      </c>
      <c r="AR218" s="303" t="str">
        <f aca="false">IFERROR(IF(N$185*N187&gt;0,STDEV(N$185,N187)," ")/IF(N$185*N187&gt;0,SQRT(COUNT(N$185,N187))," "),"")</f>
        <v/>
      </c>
    </row>
    <row r="219" customFormat="false" ht="15.75" hidden="false" customHeight="false" outlineLevel="0" collapsed="false">
      <c r="A219" s="290" t="s">
        <v>335</v>
      </c>
      <c r="B219" s="281"/>
      <c r="C219" s="291" t="str">
        <f aca="false">IFERROR(IF(C$185*C188&gt;0,AVERAGE(C$185,C188),""),"")</f>
        <v/>
      </c>
      <c r="D219" s="291" t="str">
        <f aca="false">IFERROR(IF(D$185*D188&gt;0,AVERAGE(D$185,D188),""),"")</f>
        <v/>
      </c>
      <c r="E219" s="291" t="str">
        <f aca="false">IFERROR(IF(E$185*E188&gt;0,AVERAGE(E$185,E188),""),"")</f>
        <v/>
      </c>
      <c r="F219" s="291" t="str">
        <f aca="false">IFERROR(IF(F$185*F188&gt;0,AVERAGE(F$185,F188),""),"")</f>
        <v/>
      </c>
      <c r="G219" s="291" t="str">
        <f aca="false">IFERROR(IF(G$185*G188&gt;0,AVERAGE(G$185,G188),""),"")</f>
        <v/>
      </c>
      <c r="H219" s="291" t="str">
        <f aca="false">IFERROR(IF(H$185*H188&gt;0,AVERAGE(H$185,H188),""),"")</f>
        <v/>
      </c>
      <c r="I219" s="291" t="str">
        <f aca="false">IFERROR(IF(I$185*I188&gt;0,AVERAGE(I$185,I188),""),"")</f>
        <v/>
      </c>
      <c r="J219" s="291" t="str">
        <f aca="false">IFERROR(IF(J$185*J188&gt;0,AVERAGE(J$185,J188),""),"")</f>
        <v/>
      </c>
      <c r="K219" s="291" t="str">
        <f aca="false">IFERROR(IF(K$185*K188&gt;0,AVERAGE(K$185,K188),""),"")</f>
        <v/>
      </c>
      <c r="L219" s="291" t="str">
        <f aca="false">IFERROR(IF(L$185*L188&gt;0,AVERAGE(L$185,L188),""),"")</f>
        <v/>
      </c>
      <c r="M219" s="291" t="str">
        <f aca="false">IFERROR(IF(M$185*M188&gt;0,AVERAGE(M$185,M188),""),"")</f>
        <v/>
      </c>
      <c r="N219" s="291" t="str">
        <f aca="false">IFERROR(IF(N$185*N188&gt;0,AVERAGE(N$185,N188),""),"")</f>
        <v/>
      </c>
      <c r="O219" s="282"/>
      <c r="P219" s="282"/>
      <c r="Q219" s="296"/>
      <c r="R219" s="293" t="s">
        <v>336</v>
      </c>
      <c r="S219" s="294" t="str">
        <f aca="false">IFERROR(IF(C$185*C188&gt;0,STDEV(C$185,C188),"")/IF(C$185*C188&gt;0,AVERAGE(C$185,C188),""),"")</f>
        <v/>
      </c>
      <c r="T219" s="294" t="str">
        <f aca="false">IFERROR(IF(D$185*D188&gt;0,STDEV(D$185,D188),"")/IF(D$185*D188&gt;0,AVERAGE(D$185,D188),""),"")</f>
        <v/>
      </c>
      <c r="U219" s="294" t="str">
        <f aca="false">IFERROR(IF(E$185*E188&gt;0,STDEV(E$185,E188),"")/IF(E$185*E188&gt;0,AVERAGE(E$185,E188),""),"")</f>
        <v/>
      </c>
      <c r="V219" s="294" t="str">
        <f aca="false">IFERROR(IF(F$185*F188&gt;0,STDEV(F$185,F188),"")/IF(F$185*F188&gt;0,AVERAGE(F$185,F188),""),"")</f>
        <v/>
      </c>
      <c r="W219" s="294" t="str">
        <f aca="false">IFERROR(IF(G$185*G188&gt;0,STDEV(G$185,G188),"")/IF(G$185*G188&gt;0,AVERAGE(G$185,G188),""),"")</f>
        <v/>
      </c>
      <c r="X219" s="294" t="str">
        <f aca="false">IFERROR(IF(H$185*H188&gt;0,STDEV(H$185,H188),"")/IF(H$185*H188&gt;0,AVERAGE(H$185,H188),""),"")</f>
        <v/>
      </c>
      <c r="Y219" s="294" t="str">
        <f aca="false">IFERROR(IF(I$185*I188&gt;0,STDEV(I$185,I188),"")/IF(I$185*I188&gt;0,AVERAGE(I$185,I188),""),"")</f>
        <v/>
      </c>
      <c r="Z219" s="294" t="str">
        <f aca="false">IFERROR(IF(J$185*J188&gt;0,STDEV(J$185,J188),"")/IF(J$185*J188&gt;0,AVERAGE(J$185,J188),""),"")</f>
        <v/>
      </c>
      <c r="AA219" s="294" t="str">
        <f aca="false">IFERROR(IF(K$185*K188&gt;0,STDEV(K$185,K188),"")/IF(K$185*K188&gt;0,AVERAGE(K$185,K188),""),"")</f>
        <v/>
      </c>
      <c r="AB219" s="294" t="str">
        <f aca="false">IFERROR(IF(L$185*L188&gt;0,STDEV(L$185,L188),"")/IF(L$185*L188&gt;0,AVERAGE(L$185,L188),""),"")</f>
        <v/>
      </c>
      <c r="AC219" s="294" t="str">
        <f aca="false">IFERROR(IF(M$185*M188&gt;0,STDEV(M$185,M188),"")/IF(M$185*M188&gt;0,AVERAGE(M$185,M188),""),"")</f>
        <v/>
      </c>
      <c r="AD219" s="294" t="str">
        <f aca="false">IFERROR(IF(N$185*N188&gt;0,STDEV(N$185,N188),"")/IF(N$185*N188&gt;0,AVERAGE(N$185,N188),""),"")</f>
        <v/>
      </c>
      <c r="AE219" s="44"/>
      <c r="AF219" s="266" t="s">
        <v>337</v>
      </c>
      <c r="AG219" s="303" t="str">
        <f aca="false">IFERROR(IF(C$185*C188&gt;0,STDEV(C$185,C188)," ")/IF(C$185*C188&gt;0,SQRT(COUNT(C$185,C188))," "),"")</f>
        <v/>
      </c>
      <c r="AH219" s="303" t="str">
        <f aca="false">IFERROR(IF(D$185*D188&gt;0,STDEV(D$185,D188)," ")/IF(D$185*D188&gt;0,SQRT(COUNT(D$185,D188))," "),"")</f>
        <v/>
      </c>
      <c r="AI219" s="303" t="str">
        <f aca="false">IFERROR(IF(E$185*E188&gt;0,STDEV(E$185,E188)," ")/IF(E$185*E188&gt;0,SQRT(COUNT(E$185,E188))," "),"")</f>
        <v/>
      </c>
      <c r="AJ219" s="303" t="str">
        <f aca="false">IFERROR(IF(F$185*F188&gt;0,STDEV(F$185,F188)," ")/IF(F$185*F188&gt;0,SQRT(COUNT(F$185,F188))," "),"")</f>
        <v/>
      </c>
      <c r="AK219" s="303" t="str">
        <f aca="false">IFERROR(IF(G$185*G188&gt;0,STDEV(G$185,G188)," ")/IF(G$185*G188&gt;0,SQRT(COUNT(G$185,G188))," "),"")</f>
        <v/>
      </c>
      <c r="AL219" s="303" t="str">
        <f aca="false">IFERROR(IF(H$185*H188&gt;0,STDEV(H$185,H188)," ")/IF(H$185*H188&gt;0,SQRT(COUNT(H$185,H188))," "),"")</f>
        <v/>
      </c>
      <c r="AM219" s="303" t="str">
        <f aca="false">IFERROR(IF(I$185*I188&gt;0,STDEV(I$185,I188)," ")/IF(I$185*I188&gt;0,SQRT(COUNT(I$185,I188))," "),"")</f>
        <v/>
      </c>
      <c r="AN219" s="303" t="str">
        <f aca="false">IFERROR(IF(J$185*J188&gt;0,STDEV(J$185,J188)," ")/IF(J$185*J188&gt;0,SQRT(COUNT(J$185,J188))," "),"")</f>
        <v/>
      </c>
      <c r="AO219" s="303" t="str">
        <f aca="false">IFERROR(IF(K$185*K188&gt;0,STDEV(K$185,K188)," ")/IF(K$185*K188&gt;0,SQRT(COUNT(K$185,K188))," "),"")</f>
        <v/>
      </c>
      <c r="AP219" s="303" t="str">
        <f aca="false">IFERROR(IF(L$185*L188&gt;0,STDEV(L$185,L188)," ")/IF(L$185*L188&gt;0,SQRT(COUNT(L$185,L188))," "),"")</f>
        <v/>
      </c>
      <c r="AQ219" s="303" t="str">
        <f aca="false">IFERROR(IF(M$185*M188&gt;0,STDEV(M$185,M188)," ")/IF(M$185*M188&gt;0,SQRT(COUNT(M$185,M188))," "),"")</f>
        <v/>
      </c>
      <c r="AR219" s="303" t="str">
        <f aca="false">IFERROR(IF(N$185*N188&gt;0,STDEV(N$185,N188)," ")/IF(N$185*N188&gt;0,SQRT(COUNT(N$185,N188))," "),"")</f>
        <v/>
      </c>
    </row>
    <row r="220" customFormat="false" ht="15.75" hidden="false" customHeight="false" outlineLevel="0" collapsed="false">
      <c r="A220" s="290" t="s">
        <v>338</v>
      </c>
      <c r="B220" s="281"/>
      <c r="C220" s="291" t="str">
        <f aca="false">IFERROR(IF(C$186*C187&gt;0,AVERAGE(C$186,C187),""),"")</f>
        <v/>
      </c>
      <c r="D220" s="291" t="str">
        <f aca="false">IFERROR(IF(D$186*D187&gt;0,AVERAGE(D$186,D187),""),"")</f>
        <v/>
      </c>
      <c r="E220" s="291" t="str">
        <f aca="false">IFERROR(IF(E$186*E187&gt;0,AVERAGE(E$186,E187),""),"")</f>
        <v/>
      </c>
      <c r="F220" s="291" t="str">
        <f aca="false">IFERROR(IF(F$186*F187&gt;0,AVERAGE(F$186,F187),""),"")</f>
        <v/>
      </c>
      <c r="G220" s="291" t="str">
        <f aca="false">IFERROR(IF(G$186*G187&gt;0,AVERAGE(G$186,G187),""),"")</f>
        <v/>
      </c>
      <c r="H220" s="291" t="str">
        <f aca="false">IFERROR(IF(H$186*H187&gt;0,AVERAGE(H$186,H187),""),"")</f>
        <v/>
      </c>
      <c r="I220" s="291" t="str">
        <f aca="false">IFERROR(IF(I$186*I187&gt;0,AVERAGE(I$186,I187),""),"")</f>
        <v/>
      </c>
      <c r="J220" s="291" t="str">
        <f aca="false">IFERROR(IF(J$186*J187&gt;0,AVERAGE(J$186,J187),""),"")</f>
        <v/>
      </c>
      <c r="K220" s="291" t="str">
        <f aca="false">IFERROR(IF(K$186*K187&gt;0,AVERAGE(K$186,K187),""),"")</f>
        <v/>
      </c>
      <c r="L220" s="291" t="str">
        <f aca="false">IFERROR(IF(L$186*L187&gt;0,AVERAGE(L$186,L187),""),"")</f>
        <v/>
      </c>
      <c r="M220" s="291" t="str">
        <f aca="false">IFERROR(IF(M$186*M187&gt;0,AVERAGE(M$186,M187),""),"")</f>
        <v/>
      </c>
      <c r="N220" s="291" t="str">
        <f aca="false">IFERROR(IF(N$186*N187&gt;0,AVERAGE(N$186,N187),""),"")</f>
        <v/>
      </c>
      <c r="O220" s="282"/>
      <c r="P220" s="282"/>
      <c r="Q220" s="296"/>
      <c r="R220" s="293" t="s">
        <v>339</v>
      </c>
      <c r="S220" s="294" t="str">
        <f aca="false">IFERROR(IF(C$186*C187&gt;0,STDEV(C$186,C187),"")/IF(C$186*C187&gt;0,AVERAGE(C$186,C187),""),"")</f>
        <v/>
      </c>
      <c r="T220" s="294" t="str">
        <f aca="false">IFERROR(IF(D$186*D187&gt;0,STDEV(D$186,D187),"")/IF(D$186*D187&gt;0,AVERAGE(D$186,D187),""),"")</f>
        <v/>
      </c>
      <c r="U220" s="294" t="str">
        <f aca="false">IFERROR(IF(E$186*E187&gt;0,STDEV(E$186,E187),"")/IF(E$186*E187&gt;0,AVERAGE(E$186,E187),""),"")</f>
        <v/>
      </c>
      <c r="V220" s="294" t="str">
        <f aca="false">IFERROR(IF(F$186*F187&gt;0,STDEV(F$186,F187),"")/IF(F$186*F187&gt;0,AVERAGE(F$186,F187),""),"")</f>
        <v/>
      </c>
      <c r="W220" s="294" t="str">
        <f aca="false">IFERROR(IF(G$186*G187&gt;0,STDEV(G$186,G187),"")/IF(G$186*G187&gt;0,AVERAGE(G$186,G187),""),"")</f>
        <v/>
      </c>
      <c r="X220" s="294" t="str">
        <f aca="false">IFERROR(IF(H$186*H187&gt;0,STDEV(H$186,H187),"")/IF(H$186*H187&gt;0,AVERAGE(H$186,H187),""),"")</f>
        <v/>
      </c>
      <c r="Y220" s="294" t="str">
        <f aca="false">IFERROR(IF(I$186*I187&gt;0,STDEV(I$186,I187),"")/IF(I$186*I187&gt;0,AVERAGE(I$186,I187),""),"")</f>
        <v/>
      </c>
      <c r="Z220" s="294" t="str">
        <f aca="false">IFERROR(IF(J$186*J187&gt;0,STDEV(J$186,J187),"")/IF(J$186*J187&gt;0,AVERAGE(J$186,J187),""),"")</f>
        <v/>
      </c>
      <c r="AA220" s="294" t="str">
        <f aca="false">IFERROR(IF(K$186*K187&gt;0,STDEV(K$186,K187),"")/IF(K$186*K187&gt;0,AVERAGE(K$186,K187),""),"")</f>
        <v/>
      </c>
      <c r="AB220" s="294" t="str">
        <f aca="false">IFERROR(IF(L$186*L187&gt;0,STDEV(L$186,L187),"")/IF(L$186*L187&gt;0,AVERAGE(L$186,L187),""),"")</f>
        <v/>
      </c>
      <c r="AC220" s="294" t="str">
        <f aca="false">IFERROR(IF(M$186*M187&gt;0,STDEV(M$186,M187),"")/IF(M$186*M187&gt;0,AVERAGE(M$186,M187),""),"")</f>
        <v/>
      </c>
      <c r="AD220" s="294" t="str">
        <f aca="false">IFERROR(IF(N$186*N187&gt;0,STDEV(N$186,N187),"")/IF(N$186*N187&gt;0,AVERAGE(N$186,N187),""),"")</f>
        <v/>
      </c>
      <c r="AE220" s="44"/>
      <c r="AF220" s="266" t="s">
        <v>340</v>
      </c>
      <c r="AG220" s="303" t="str">
        <f aca="false">IFERROR(IF(C$186*C187&gt;0,STDEV(C$186,C187)," ")/IF(C$186*C187&gt;0,SQRT(COUNT(C$186,C187))," "),"")</f>
        <v/>
      </c>
      <c r="AH220" s="303" t="str">
        <f aca="false">IFERROR(IF(D$186*D187&gt;0,STDEV(D$186,D187)," ")/IF(D$186*D187&gt;0,SQRT(COUNT(D$186,D187))," "),"")</f>
        <v/>
      </c>
      <c r="AI220" s="303" t="str">
        <f aca="false">IFERROR(IF(E$186*E187&gt;0,STDEV(E$186,E187)," ")/IF(E$186*E187&gt;0,SQRT(COUNT(E$186,E187))," "),"")</f>
        <v/>
      </c>
      <c r="AJ220" s="303" t="str">
        <f aca="false">IFERROR(IF(F$186*F187&gt;0,STDEV(F$186,F187)," ")/IF(F$186*F187&gt;0,SQRT(COUNT(F$186,F187))," "),"")</f>
        <v/>
      </c>
      <c r="AK220" s="303" t="str">
        <f aca="false">IFERROR(IF(G$186*G187&gt;0,STDEV(G$186,G187)," ")/IF(G$186*G187&gt;0,SQRT(COUNT(G$186,G187))," "),"")</f>
        <v/>
      </c>
      <c r="AL220" s="303" t="str">
        <f aca="false">IFERROR(IF(H$186*H187&gt;0,STDEV(H$186,H187)," ")/IF(H$186*H187&gt;0,SQRT(COUNT(H$186,H187))," "),"")</f>
        <v/>
      </c>
      <c r="AM220" s="303" t="str">
        <f aca="false">IFERROR(IF(I$186*I187&gt;0,STDEV(I$186,I187)," ")/IF(I$186*I187&gt;0,SQRT(COUNT(I$186,I187))," "),"")</f>
        <v/>
      </c>
      <c r="AN220" s="303" t="str">
        <f aca="false">IFERROR(IF(J$186*J187&gt;0,STDEV(J$186,J187)," ")/IF(J$186*J187&gt;0,SQRT(COUNT(J$186,J187))," "),"")</f>
        <v/>
      </c>
      <c r="AO220" s="303" t="str">
        <f aca="false">IFERROR(IF(K$186*K187&gt;0,STDEV(K$186,K187)," ")/IF(K$186*K187&gt;0,SQRT(COUNT(K$186,K187))," "),"")</f>
        <v/>
      </c>
      <c r="AP220" s="303" t="str">
        <f aca="false">IFERROR(IF(L$186*L187&gt;0,STDEV(L$186,L187)," ")/IF(L$186*L187&gt;0,SQRT(COUNT(L$186,L187))," "),"")</f>
        <v/>
      </c>
      <c r="AQ220" s="303" t="str">
        <f aca="false">IFERROR(IF(M$186*M187&gt;0,STDEV(M$186,M187)," ")/IF(M$186*M187&gt;0,SQRT(COUNT(M$186,M187))," "),"")</f>
        <v/>
      </c>
      <c r="AR220" s="303" t="str">
        <f aca="false">IFERROR(IF(N$186*N187&gt;0,STDEV(N$186,N187)," ")/IF(N$186*N187&gt;0,SQRT(COUNT(N$186,N187))," "),"")</f>
        <v/>
      </c>
    </row>
    <row r="221" customFormat="false" ht="15.75" hidden="false" customHeight="false" outlineLevel="0" collapsed="false">
      <c r="A221" s="290" t="s">
        <v>341</v>
      </c>
      <c r="B221" s="281"/>
      <c r="C221" s="291" t="str">
        <f aca="false">IFERROR(IF(C$186*C188&gt;0,AVERAGE(C$186,C188),""),"")</f>
        <v/>
      </c>
      <c r="D221" s="291" t="str">
        <f aca="false">IFERROR(IF(D$186*D188&gt;0,AVERAGE(D$186,D188),""),"")</f>
        <v/>
      </c>
      <c r="E221" s="291" t="str">
        <f aca="false">IFERROR(IF(E$186*E188&gt;0,AVERAGE(E$186,E188),""),"")</f>
        <v/>
      </c>
      <c r="F221" s="291" t="str">
        <f aca="false">IFERROR(IF(F$186*F188&gt;0,AVERAGE(F$186,F188),""),"")</f>
        <v/>
      </c>
      <c r="G221" s="291" t="str">
        <f aca="false">IFERROR(IF(G$186*G188&gt;0,AVERAGE(G$186,G188),""),"")</f>
        <v/>
      </c>
      <c r="H221" s="291" t="str">
        <f aca="false">IFERROR(IF(H$186*H188&gt;0,AVERAGE(H$186,H188),""),"")</f>
        <v/>
      </c>
      <c r="I221" s="291" t="str">
        <f aca="false">IFERROR(IF(I$186*I188&gt;0,AVERAGE(I$186,I188),""),"")</f>
        <v/>
      </c>
      <c r="J221" s="291" t="str">
        <f aca="false">IFERROR(IF(J$186*J188&gt;0,AVERAGE(J$186,J188),""),"")</f>
        <v/>
      </c>
      <c r="K221" s="291" t="str">
        <f aca="false">IFERROR(IF(K$186*K188&gt;0,AVERAGE(K$186,K188),""),"")</f>
        <v/>
      </c>
      <c r="L221" s="291" t="str">
        <f aca="false">IFERROR(IF(L$186*L188&gt;0,AVERAGE(L$186,L188),""),"")</f>
        <v/>
      </c>
      <c r="M221" s="291" t="str">
        <f aca="false">IFERROR(IF(M$186*M188&gt;0,AVERAGE(M$186,M188),""),"")</f>
        <v/>
      </c>
      <c r="N221" s="291" t="str">
        <f aca="false">IFERROR(IF(N$186*N188&gt;0,AVERAGE(N$186,N188),""),"")</f>
        <v/>
      </c>
      <c r="O221" s="282"/>
      <c r="P221" s="282"/>
      <c r="Q221" s="296"/>
      <c r="R221" s="293" t="s">
        <v>342</v>
      </c>
      <c r="S221" s="294" t="str">
        <f aca="false">IFERROR(IF(C$186*C188&gt;0,STDEV(C$186,C188),"")/IF(C$186*C188&gt;0,AVERAGE(C$186,C188),""),"")</f>
        <v/>
      </c>
      <c r="T221" s="294" t="str">
        <f aca="false">IFERROR(IF(D$186*D188&gt;0,STDEV(D$186,D188),"")/IF(D$186*D188&gt;0,AVERAGE(D$186,D188),""),"")</f>
        <v/>
      </c>
      <c r="U221" s="294" t="str">
        <f aca="false">IFERROR(IF(E$186*E188&gt;0,STDEV(E$186,E188),"")/IF(E$186*E188&gt;0,AVERAGE(E$186,E188),""),"")</f>
        <v/>
      </c>
      <c r="V221" s="294" t="str">
        <f aca="false">IFERROR(IF(F$186*F188&gt;0,STDEV(F$186,F188),"")/IF(F$186*F188&gt;0,AVERAGE(F$186,F188),""),"")</f>
        <v/>
      </c>
      <c r="W221" s="294" t="str">
        <f aca="false">IFERROR(IF(G$186*G188&gt;0,STDEV(G$186,G188),"")/IF(G$186*G188&gt;0,AVERAGE(G$186,G188),""),"")</f>
        <v/>
      </c>
      <c r="X221" s="294" t="str">
        <f aca="false">IFERROR(IF(H$186*H188&gt;0,STDEV(H$186,H188),"")/IF(H$186*H188&gt;0,AVERAGE(H$186,H188),""),"")</f>
        <v/>
      </c>
      <c r="Y221" s="294" t="str">
        <f aca="false">IFERROR(IF(I$186*I188&gt;0,STDEV(I$186,I188),"")/IF(I$186*I188&gt;0,AVERAGE(I$186,I188),""),"")</f>
        <v/>
      </c>
      <c r="Z221" s="294" t="str">
        <f aca="false">IFERROR(IF(J$186*J188&gt;0,STDEV(J$186,J188),"")/IF(J$186*J188&gt;0,AVERAGE(J$186,J188),""),"")</f>
        <v/>
      </c>
      <c r="AA221" s="294" t="str">
        <f aca="false">IFERROR(IF(K$186*K188&gt;0,STDEV(K$186,K188),"")/IF(K$186*K188&gt;0,AVERAGE(K$186,K188),""),"")</f>
        <v/>
      </c>
      <c r="AB221" s="294" t="str">
        <f aca="false">IFERROR(IF(L$186*L188&gt;0,STDEV(L$186,L188),"")/IF(L$186*L188&gt;0,AVERAGE(L$186,L188),""),"")</f>
        <v/>
      </c>
      <c r="AC221" s="294" t="str">
        <f aca="false">IFERROR(IF(M$186*M188&gt;0,STDEV(M$186,M188),"")/IF(M$186*M188&gt;0,AVERAGE(M$186,M188),""),"")</f>
        <v/>
      </c>
      <c r="AD221" s="294" t="str">
        <f aca="false">IFERROR(IF(N$186*N188&gt;0,STDEV(N$186,N188),"")/IF(N$186*N188&gt;0,AVERAGE(N$186,N188),""),"")</f>
        <v/>
      </c>
      <c r="AE221" s="44"/>
      <c r="AF221" s="266" t="s">
        <v>343</v>
      </c>
      <c r="AG221" s="303" t="str">
        <f aca="false">IFERROR(IF(C$186*C188&gt;0,STDEV(C$186,C188)," ")/IF(C$186*C188&gt;0,SQRT(COUNT(C$186,C188))," "),"")</f>
        <v/>
      </c>
      <c r="AH221" s="303" t="str">
        <f aca="false">IFERROR(IF(D$186*D188&gt;0,STDEV(D$186,D188)," ")/IF(D$186*D188&gt;0,SQRT(COUNT(D$186,D188))," "),"")</f>
        <v/>
      </c>
      <c r="AI221" s="303" t="str">
        <f aca="false">IFERROR(IF(E$186*E188&gt;0,STDEV(E$186,E188)," ")/IF(E$186*E188&gt;0,SQRT(COUNT(E$186,E188))," "),"")</f>
        <v/>
      </c>
      <c r="AJ221" s="303" t="str">
        <f aca="false">IFERROR(IF(F$186*F188&gt;0,STDEV(F$186,F188)," ")/IF(F$186*F188&gt;0,SQRT(COUNT(F$186,F188))," "),"")</f>
        <v/>
      </c>
      <c r="AK221" s="303" t="str">
        <f aca="false">IFERROR(IF(G$186*G188&gt;0,STDEV(G$186,G188)," ")/IF(G$186*G188&gt;0,SQRT(COUNT(G$186,G188))," "),"")</f>
        <v/>
      </c>
      <c r="AL221" s="303" t="str">
        <f aca="false">IFERROR(IF(H$186*H188&gt;0,STDEV(H$186,H188)," ")/IF(H$186*H188&gt;0,SQRT(COUNT(H$186,H188))," "),"")</f>
        <v/>
      </c>
      <c r="AM221" s="303" t="str">
        <f aca="false">IFERROR(IF(I$186*I188&gt;0,STDEV(I$186,I188)," ")/IF(I$186*I188&gt;0,SQRT(COUNT(I$186,I188))," "),"")</f>
        <v/>
      </c>
      <c r="AN221" s="303" t="str">
        <f aca="false">IFERROR(IF(J$186*J188&gt;0,STDEV(J$186,J188)," ")/IF(J$186*J188&gt;0,SQRT(COUNT(J$186,J188))," "),"")</f>
        <v/>
      </c>
      <c r="AO221" s="303" t="str">
        <f aca="false">IFERROR(IF(K$186*K188&gt;0,STDEV(K$186,K188)," ")/IF(K$186*K188&gt;0,SQRT(COUNT(K$186,K188))," "),"")</f>
        <v/>
      </c>
      <c r="AP221" s="303" t="str">
        <f aca="false">IFERROR(IF(L$186*L188&gt;0,STDEV(L$186,L188)," ")/IF(L$186*L188&gt;0,SQRT(COUNT(L$186,L188))," "),"")</f>
        <v/>
      </c>
      <c r="AQ221" s="303" t="str">
        <f aca="false">IFERROR(IF(M$186*M188&gt;0,STDEV(M$186,M188)," ")/IF(M$186*M188&gt;0,SQRT(COUNT(M$186,M188))," "),"")</f>
        <v/>
      </c>
      <c r="AR221" s="303" t="str">
        <f aca="false">IFERROR(IF(N$186*N188&gt;0,STDEV(N$186,N188)," ")/IF(N$186*N188&gt;0,SQRT(COUNT(N$186,N188))," "),"")</f>
        <v/>
      </c>
    </row>
    <row r="222" customFormat="false" ht="15.75" hidden="false" customHeight="false" outlineLevel="0" collapsed="false">
      <c r="A222" s="242" t="s">
        <v>344</v>
      </c>
      <c r="B222" s="243"/>
      <c r="C222" s="244" t="str">
        <f aca="false">IFERROR(IF(C$187*C188&gt;0,AVERAGE(C$187,C188),""),"")</f>
        <v/>
      </c>
      <c r="D222" s="244" t="str">
        <f aca="false">IFERROR(IF(D$187*D188&gt;0,AVERAGE(D$187,D188),""),"")</f>
        <v/>
      </c>
      <c r="E222" s="244" t="str">
        <f aca="false">IFERROR(IF(E$187*E188&gt;0,AVERAGE(E$187,E188),""),"")</f>
        <v/>
      </c>
      <c r="F222" s="244" t="str">
        <f aca="false">IFERROR(IF(F$187*F188&gt;0,AVERAGE(F$187,F188),""),"")</f>
        <v/>
      </c>
      <c r="G222" s="244" t="str">
        <f aca="false">IFERROR(IF(G$187*G188&gt;0,AVERAGE(G$187,G188),""),"")</f>
        <v/>
      </c>
      <c r="H222" s="244" t="str">
        <f aca="false">IFERROR(IF(H$187*H188&gt;0,AVERAGE(H$187,H188),""),"")</f>
        <v/>
      </c>
      <c r="I222" s="244" t="str">
        <f aca="false">IFERROR(IF(I$187*I188&gt;0,AVERAGE(I$187,I188),""),"")</f>
        <v/>
      </c>
      <c r="J222" s="244" t="str">
        <f aca="false">IFERROR(IF(J$187*J188&gt;0,AVERAGE(J$187,J188),""),"")</f>
        <v/>
      </c>
      <c r="K222" s="244" t="str">
        <f aca="false">IFERROR(IF(K$187*K188&gt;0,AVERAGE(K$187,K188),""),"")</f>
        <v/>
      </c>
      <c r="L222" s="244" t="str">
        <f aca="false">IFERROR(IF(L$187*L188&gt;0,AVERAGE(L$187,L188),""),"")</f>
        <v/>
      </c>
      <c r="M222" s="244" t="str">
        <f aca="false">IFERROR(IF(M$187*M188&gt;0,AVERAGE(M$187,M188),""),"")</f>
        <v/>
      </c>
      <c r="N222" s="244" t="str">
        <f aca="false">IFERROR(IF(N$187*N188&gt;0,AVERAGE(N$187,N188),""),"")</f>
        <v/>
      </c>
      <c r="O222" s="245"/>
      <c r="P222" s="245"/>
      <c r="Q222" s="246"/>
      <c r="R222" s="247" t="s">
        <v>345</v>
      </c>
      <c r="S222" s="248" t="str">
        <f aca="false">IFERROR(IF(C$187*C188&gt;0,STDEV(C$187,C188),"")/IF(C$187*C188&gt;0,AVERAGE(C$187,C188),""),"")</f>
        <v/>
      </c>
      <c r="T222" s="248" t="str">
        <f aca="false">IFERROR(IF(D$187*D188&gt;0,STDEV(D$187,D188),"")/IF(D$187*D188&gt;0,AVERAGE(D$187,D188),""),"")</f>
        <v/>
      </c>
      <c r="U222" s="248" t="str">
        <f aca="false">IFERROR(IF(E$187*E188&gt;0,STDEV(E$187,E188),"")/IF(E$187*E188&gt;0,AVERAGE(E$187,E188),""),"")</f>
        <v/>
      </c>
      <c r="V222" s="248" t="str">
        <f aca="false">IFERROR(IF(F$187*F188&gt;0,STDEV(F$187,F188),"")/IF(F$187*F188&gt;0,AVERAGE(F$187,F188),""),"")</f>
        <v/>
      </c>
      <c r="W222" s="248" t="str">
        <f aca="false">IFERROR(IF(G$187*G188&gt;0,STDEV(G$187,G188),"")/IF(G$187*G188&gt;0,AVERAGE(G$187,G188),""),"")</f>
        <v/>
      </c>
      <c r="X222" s="248" t="str">
        <f aca="false">IFERROR(IF(H$187*H188&gt;0,STDEV(H$187,H188),"")/IF(H$187*H188&gt;0,AVERAGE(H$187,H188),""),"")</f>
        <v/>
      </c>
      <c r="Y222" s="248" t="str">
        <f aca="false">IFERROR(IF(I$187*I188&gt;0,STDEV(I$187,I188),"")/IF(I$187*I188&gt;0,AVERAGE(I$187,I188),""),"")</f>
        <v/>
      </c>
      <c r="Z222" s="248" t="str">
        <f aca="false">IFERROR(IF(J$187*J188&gt;0,STDEV(J$187,J188),"")/IF(J$187*J188&gt;0,AVERAGE(J$187,J188),""),"")</f>
        <v/>
      </c>
      <c r="AA222" s="248" t="str">
        <f aca="false">IFERROR(IF(K$187*K188&gt;0,STDEV(K$187,K188),"")/IF(K$187*K188&gt;0,AVERAGE(K$187,K188),""),"")</f>
        <v/>
      </c>
      <c r="AB222" s="248" t="str">
        <f aca="false">IFERROR(IF(L$187*L188&gt;0,STDEV(L$187,L188),"")/IF(L$187*L188&gt;0,AVERAGE(L$187,L188),""),"")</f>
        <v/>
      </c>
      <c r="AC222" s="248" t="str">
        <f aca="false">IFERROR(IF(M$187*M188&gt;0,STDEV(M$187,M188),"")/IF(M$187*M188&gt;0,AVERAGE(M$187,M188),""),"")</f>
        <v/>
      </c>
      <c r="AD222" s="248" t="str">
        <f aca="false">IFERROR(IF(N$187*N188&gt;0,STDEV(N$187,N188),"")/IF(N$187*N188&gt;0,AVERAGE(N$187,N188),""),"")</f>
        <v/>
      </c>
      <c r="AE222" s="300"/>
      <c r="AF222" s="250" t="s">
        <v>346</v>
      </c>
      <c r="AG222" s="272" t="str">
        <f aca="false">IFERROR(IF(C$187*C188&gt;0,STDEV(C$187,C188)," ")/IF(C$187*C188&gt;0,SQRT(COUNT(C$187,C188))," "),"")</f>
        <v/>
      </c>
      <c r="AH222" s="272" t="str">
        <f aca="false">IFERROR(IF(D$187*D188&gt;0,STDEV(D$187,D188)," ")/IF(D$187*D188&gt;0,SQRT(COUNT(D$187,D188))," "),"")</f>
        <v/>
      </c>
      <c r="AI222" s="272" t="str">
        <f aca="false">IFERROR(IF(E$187*E188&gt;0,STDEV(E$187,E188)," ")/IF(E$187*E188&gt;0,SQRT(COUNT(E$187,E188))," "),"")</f>
        <v/>
      </c>
      <c r="AJ222" s="272" t="str">
        <f aca="false">IFERROR(IF(F$187*F188&gt;0,STDEV(F$187,F188)," ")/IF(F$187*F188&gt;0,SQRT(COUNT(F$187,F188))," "),"")</f>
        <v/>
      </c>
      <c r="AK222" s="272" t="str">
        <f aca="false">IFERROR(IF(G$187*G188&gt;0,STDEV(G$187,G188)," ")/IF(G$187*G188&gt;0,SQRT(COUNT(G$187,G188))," "),"")</f>
        <v/>
      </c>
      <c r="AL222" s="272" t="str">
        <f aca="false">IFERROR(IF(H$187*H188&gt;0,STDEV(H$187,H188)," ")/IF(H$187*H188&gt;0,SQRT(COUNT(H$187,H188))," "),"")</f>
        <v/>
      </c>
      <c r="AM222" s="272" t="str">
        <f aca="false">IFERROR(IF(I$187*I188&gt;0,STDEV(I$187,I188)," ")/IF(I$187*I188&gt;0,SQRT(COUNT(I$187,I188))," "),"")</f>
        <v/>
      </c>
      <c r="AN222" s="272" t="str">
        <f aca="false">IFERROR(IF(J$187*J188&gt;0,STDEV(J$187,J188)," ")/IF(J$187*J188&gt;0,SQRT(COUNT(J$187,J188))," "),"")</f>
        <v/>
      </c>
      <c r="AO222" s="272" t="str">
        <f aca="false">IFERROR(IF(K$187*K188&gt;0,STDEV(K$187,K188)," ")/IF(K$187*K188&gt;0,SQRT(COUNT(K$187,K188))," "),"")</f>
        <v/>
      </c>
      <c r="AP222" s="272" t="str">
        <f aca="false">IFERROR(IF(L$187*L188&gt;0,STDEV(L$187,L188)," ")/IF(L$187*L188&gt;0,SQRT(COUNT(L$187,L188))," "),"")</f>
        <v/>
      </c>
      <c r="AQ222" s="272" t="str">
        <f aca="false">IFERROR(IF(M$187*M188&gt;0,STDEV(M$187,M188)," ")/IF(M$187*M188&gt;0,SQRT(COUNT(M$187,M188))," "),"")</f>
        <v/>
      </c>
      <c r="AR222" s="272" t="str">
        <f aca="false">IFERROR(IF(N$187*N188&gt;0,STDEV(N$187,N188)," ")/IF(N$187*N188&gt;0,SQRT(COUNT(N$187,N188))," "),"")</f>
        <v/>
      </c>
    </row>
    <row r="223" customFormat="false" ht="15.75" hidden="false" customHeight="false" outlineLevel="0" collapsed="false">
      <c r="A223" s="290" t="s">
        <v>347</v>
      </c>
      <c r="B223" s="281"/>
      <c r="C223" s="291" t="str">
        <f aca="false">IFERROR(IF(C$182*C$183*C184&gt;0,AVERAGE(C$182:C$183,C184),""),"")</f>
        <v/>
      </c>
      <c r="D223" s="291" t="str">
        <f aca="false">IFERROR(IF(D$182*D$183*D184&gt;0,AVERAGE(D$182:D$183,D184),""),"")</f>
        <v/>
      </c>
      <c r="E223" s="291" t="str">
        <f aca="false">IFERROR(IF(E$182*E$183*E184&gt;0,AVERAGE(E$182:E$183,E184),""),"")</f>
        <v/>
      </c>
      <c r="F223" s="291" t="str">
        <f aca="false">IFERROR(IF(F$182*F$183*F184&gt;0,AVERAGE(F$182:F$183,F184),""),"")</f>
        <v/>
      </c>
      <c r="G223" s="291" t="str">
        <f aca="false">IFERROR(IF(G$182*G$183*G184&gt;0,AVERAGE(G$182:G$183,G184),""),"")</f>
        <v/>
      </c>
      <c r="H223" s="291" t="str">
        <f aca="false">IFERROR(IF(H$182*H$183*H184&gt;0,AVERAGE(H$182:H$183,H184),""),"")</f>
        <v/>
      </c>
      <c r="I223" s="291" t="str">
        <f aca="false">IFERROR(IF(I$182*I$183*I184&gt;0,AVERAGE(I$182:I$183,I184),""),"")</f>
        <v/>
      </c>
      <c r="J223" s="291" t="str">
        <f aca="false">IFERROR(IF(J$182*J$183*J184&gt;0,AVERAGE(J$182:J$183,J184),""),"")</f>
        <v/>
      </c>
      <c r="K223" s="291" t="str">
        <f aca="false">IFERROR(IF(K$182*K$183*K184&gt;0,AVERAGE(K$182:K$183,K184),""),"")</f>
        <v/>
      </c>
      <c r="L223" s="291" t="str">
        <f aca="false">IFERROR(IF(L$182*L$183*L184&gt;0,AVERAGE(L$182:L$183,L184),""),"")</f>
        <v/>
      </c>
      <c r="M223" s="291" t="str">
        <f aca="false">IFERROR(IF(M$182*M$183*M184&gt;0,AVERAGE(M$182:M$183,M184),""),"")</f>
        <v/>
      </c>
      <c r="N223" s="291" t="str">
        <f aca="false">IFERROR(IF(N$182*N$183*N184&gt;0,AVERAGE(N$182:N$183,N184),""),"")</f>
        <v/>
      </c>
      <c r="O223" s="147" t="n">
        <v>3</v>
      </c>
      <c r="P223" s="282" t="n">
        <f aca="false">COMBIN(7,3)</f>
        <v>35</v>
      </c>
      <c r="Q223" s="283" t="n">
        <f aca="false">ROW(N257)-ROW(N223)+1</f>
        <v>35</v>
      </c>
      <c r="R223" s="293" t="s">
        <v>348</v>
      </c>
      <c r="S223" s="294" t="str">
        <f aca="false">IFERROR(IF(C$182*C$183*C184&gt;0,STDEV(C$182:C$183,C184),"")/IF(C$182*C$183*C184&gt;0,AVERAGE(C$182:C$183,C184),""),"")</f>
        <v/>
      </c>
      <c r="T223" s="294" t="str">
        <f aca="false">IFERROR(IF(D$182*D$183*D184&gt;0,STDEV(D$182:D$183,D184),"")/IF(D$182*D$183*D184&gt;0,AVERAGE(D$182:D$183,D184),""),"")</f>
        <v/>
      </c>
      <c r="U223" s="294" t="str">
        <f aca="false">IFERROR(IF(E$182*E$183*E184&gt;0,STDEV(E$182:E$183,E184),"")/IF(E$182*E$183*E184&gt;0,AVERAGE(E$182:E$183,E184),""),"")</f>
        <v/>
      </c>
      <c r="V223" s="294" t="str">
        <f aca="false">IFERROR(IF(F$182*F$183*F184&gt;0,STDEV(F$182:F$183,F184),"")/IF(F$182*F$183*F184&gt;0,AVERAGE(F$182:F$183,F184),""),"")</f>
        <v/>
      </c>
      <c r="W223" s="294" t="str">
        <f aca="false">IFERROR(IF(G$182*G$183*G184&gt;0,STDEV(G$182:G$183,G184),"")/IF(G$182*G$183*G184&gt;0,AVERAGE(G$182:G$183,G184),""),"")</f>
        <v/>
      </c>
      <c r="X223" s="294" t="str">
        <f aca="false">IFERROR(IF(H$182*H$183*H184&gt;0,STDEV(H$182:H$183,H184),"")/IF(H$182*H$183*H184&gt;0,AVERAGE(H$182:H$183,H184),""),"")</f>
        <v/>
      </c>
      <c r="Y223" s="294" t="str">
        <f aca="false">IFERROR(IF(I$182*I$183*I184&gt;0,STDEV(I$182:I$183,I184),"")/IF(I$182*I$183*I184&gt;0,AVERAGE(I$182:I$183,I184),""),"")</f>
        <v/>
      </c>
      <c r="Z223" s="294" t="str">
        <f aca="false">IFERROR(IF(J$182*J$183*J184&gt;0,STDEV(J$182:J$183,J184),"")/IF(J$182*J$183*J184&gt;0,AVERAGE(J$182:J$183,J184),""),"")</f>
        <v/>
      </c>
      <c r="AA223" s="294" t="str">
        <f aca="false">IFERROR(IF(K$182*K$183*K184&gt;0,STDEV(K$182:K$183,K184),"")/IF(K$182*K$183*K184&gt;0,AVERAGE(K$182:K$183,K184),""),"")</f>
        <v/>
      </c>
      <c r="AB223" s="294" t="str">
        <f aca="false">IFERROR(IF(L$182*L$183*L184&gt;0,STDEV(L$182:L$183,L184),"")/IF(L$182*L$183*L184&gt;0,AVERAGE(L$182:L$183,L184),""),"")</f>
        <v/>
      </c>
      <c r="AC223" s="294" t="str">
        <f aca="false">IFERROR(IF(M$182*M$183*M184&gt;0,STDEV(M$182:M$183,M184),"")/IF(M$182*M$183*M184&gt;0,AVERAGE(M$182:M$183,M184),""),"")</f>
        <v/>
      </c>
      <c r="AD223" s="294" t="str">
        <f aca="false">IFERROR(IF(N$182*N$183*N184&gt;0,STDEV(N$182:N$183,N184),"")/IF(N$182*N$183*N184&gt;0,AVERAGE(N$182:N$183,N184),""),"")</f>
        <v/>
      </c>
      <c r="AE223" s="44"/>
      <c r="AF223" s="266" t="s">
        <v>349</v>
      </c>
      <c r="AG223" s="303" t="str">
        <f aca="false">IFERROR(IF(C$182*C$183*C184&gt;0,STDEV(C$182:C$183,C184)," ")/IF(C$182*C$183*C184&gt;0,SQRT(COUNT(C$182:C$183,C184))," "),"")</f>
        <v/>
      </c>
      <c r="AH223" s="303" t="str">
        <f aca="false">IFERROR(IF(D$182*D$183*D184&gt;0,STDEV(D$182:D$183,D184)," ")/IF(D$182*D$183*D184&gt;0,SQRT(COUNT(D$182:D$183,D184))," "),"")</f>
        <v/>
      </c>
      <c r="AI223" s="303" t="str">
        <f aca="false">IFERROR(IF(E$182*E$183*E184&gt;0,STDEV(E$182:E$183,E184)," ")/IF(E$182*E$183*E184&gt;0,SQRT(COUNT(E$182:E$183,E184))," "),"")</f>
        <v/>
      </c>
      <c r="AJ223" s="303" t="str">
        <f aca="false">IFERROR(IF(F$182*F$183*F184&gt;0,STDEV(F$182:F$183,F184)," ")/IF(F$182*F$183*F184&gt;0,SQRT(COUNT(F$182:F$183,F184))," "),"")</f>
        <v/>
      </c>
      <c r="AK223" s="303" t="str">
        <f aca="false">IFERROR(IF(G$182*G$183*G184&gt;0,STDEV(G$182:G$183,G184)," ")/IF(G$182*G$183*G184&gt;0,SQRT(COUNT(G$182:G$183,G184))," "),"")</f>
        <v/>
      </c>
      <c r="AL223" s="303" t="str">
        <f aca="false">IFERROR(IF(H$182*H$183*H184&gt;0,STDEV(H$182:H$183,H184)," ")/IF(H$182*H$183*H184&gt;0,SQRT(COUNT(H$182:H$183,H184))," "),"")</f>
        <v/>
      </c>
      <c r="AM223" s="303" t="str">
        <f aca="false">IFERROR(IF(I$182*I$183*I184&gt;0,STDEV(I$182:I$183,I184)," ")/IF(I$182*I$183*I184&gt;0,SQRT(COUNT(I$182:I$183,I184))," "),"")</f>
        <v/>
      </c>
      <c r="AN223" s="303" t="str">
        <f aca="false">IFERROR(IF(J$182*J$183*J184&gt;0,STDEV(J$182:J$183,J184)," ")/IF(J$182*J$183*J184&gt;0,SQRT(COUNT(J$182:J$183,J184))," "),"")</f>
        <v/>
      </c>
      <c r="AO223" s="303" t="str">
        <f aca="false">IFERROR(IF(K$182*K$183*K184&gt;0,STDEV(K$182:K$183,K184)," ")/IF(K$182*K$183*K184&gt;0,SQRT(COUNT(K$182:K$183,K184))," "),"")</f>
        <v/>
      </c>
      <c r="AP223" s="303" t="str">
        <f aca="false">IFERROR(IF(L$182*L$183*L184&gt;0,STDEV(L$182:L$183,L184)," ")/IF(L$182*L$183*L184&gt;0,SQRT(COUNT(L$182:L$183,L184))," "),"")</f>
        <v/>
      </c>
      <c r="AQ223" s="303" t="str">
        <f aca="false">IFERROR(IF(M$182*M$183*M184&gt;0,STDEV(M$182:M$183,M184)," ")/IF(M$182*M$183*M184&gt;0,SQRT(COUNT(M$182:M$183,M184))," "),"")</f>
        <v/>
      </c>
      <c r="AR223" s="303" t="str">
        <f aca="false">IFERROR(IF(N$182*N$183*N184&gt;0,STDEV(N$182:N$183,N184)," ")/IF(N$182*N$183*N184&gt;0,SQRT(COUNT(N$182:N$183,N184))," "),"")</f>
        <v/>
      </c>
    </row>
    <row r="224" customFormat="false" ht="15.75" hidden="false" customHeight="false" outlineLevel="0" collapsed="false">
      <c r="A224" s="290" t="s">
        <v>350</v>
      </c>
      <c r="B224" s="281"/>
      <c r="C224" s="291" t="str">
        <f aca="false">IFERROR(IF(C$182*C$183*C185&gt;0,AVERAGE(C$182:C$183,C185),""),"")</f>
        <v/>
      </c>
      <c r="D224" s="291" t="str">
        <f aca="false">IFERROR(IF(D$182*D$183*D185&gt;0,AVERAGE(D$182:D$183,D185),""),"")</f>
        <v/>
      </c>
      <c r="E224" s="291" t="str">
        <f aca="false">IFERROR(IF(E$182*E$183*E185&gt;0,AVERAGE(E$182:E$183,E185),""),"")</f>
        <v/>
      </c>
      <c r="F224" s="291" t="str">
        <f aca="false">IFERROR(IF(F$182*F$183*F185&gt;0,AVERAGE(F$182:F$183,F185),""),"")</f>
        <v/>
      </c>
      <c r="G224" s="291" t="str">
        <f aca="false">IFERROR(IF(G$182*G$183*G185&gt;0,AVERAGE(G$182:G$183,G185),""),"")</f>
        <v/>
      </c>
      <c r="H224" s="291" t="str">
        <f aca="false">IFERROR(IF(H$182*H$183*H185&gt;0,AVERAGE(H$182:H$183,H185),""),"")</f>
        <v/>
      </c>
      <c r="I224" s="291" t="str">
        <f aca="false">IFERROR(IF(I$182*I$183*I185&gt;0,AVERAGE(I$182:I$183,I185),""),"")</f>
        <v/>
      </c>
      <c r="J224" s="291" t="str">
        <f aca="false">IFERROR(IF(J$182*J$183*J185&gt;0,AVERAGE(J$182:J$183,J185),""),"")</f>
        <v/>
      </c>
      <c r="K224" s="291" t="str">
        <f aca="false">IFERROR(IF(K$182*K$183*K185&gt;0,AVERAGE(K$182:K$183,K185),""),"")</f>
        <v/>
      </c>
      <c r="L224" s="291" t="str">
        <f aca="false">IFERROR(IF(L$182*L$183*L185&gt;0,AVERAGE(L$182:L$183,L185),""),"")</f>
        <v/>
      </c>
      <c r="M224" s="291" t="str">
        <f aca="false">IFERROR(IF(M$182*M$183*M185&gt;0,AVERAGE(M$182:M$183,M185),""),"")</f>
        <v/>
      </c>
      <c r="N224" s="291" t="str">
        <f aca="false">IFERROR(IF(N$182*N$183*N185&gt;0,AVERAGE(N$182:N$183,N185),""),"")</f>
        <v/>
      </c>
      <c r="O224" s="282"/>
      <c r="P224" s="282"/>
      <c r="Q224" s="296"/>
      <c r="R224" s="293" t="s">
        <v>351</v>
      </c>
      <c r="S224" s="294" t="str">
        <f aca="false">IFERROR(IF(C$182*C$183*C185&gt;0,STDEV(C$182:C$183,C185),"")/IF(C$182*C$183*C185&gt;0,AVERAGE(C$182:C$183,C185),""),"")</f>
        <v/>
      </c>
      <c r="T224" s="294" t="str">
        <f aca="false">IFERROR(IF(D$182*D$183*D185&gt;0,STDEV(D$182:D$183,D185),"")/IF(D$182*D$183*D185&gt;0,AVERAGE(D$182:D$183,D185),""),"")</f>
        <v/>
      </c>
      <c r="U224" s="294" t="str">
        <f aca="false">IFERROR(IF(E$182*E$183*E185&gt;0,STDEV(E$182:E$183,E185),"")/IF(E$182*E$183*E185&gt;0,AVERAGE(E$182:E$183,E185),""),"")</f>
        <v/>
      </c>
      <c r="V224" s="294" t="str">
        <f aca="false">IFERROR(IF(F$182*F$183*F185&gt;0,STDEV(F$182:F$183,F185),"")/IF(F$182*F$183*F185&gt;0,AVERAGE(F$182:F$183,F185),""),"")</f>
        <v/>
      </c>
      <c r="W224" s="294" t="str">
        <f aca="false">IFERROR(IF(G$182*G$183*G185&gt;0,STDEV(G$182:G$183,G185),"")/IF(G$182*G$183*G185&gt;0,AVERAGE(G$182:G$183,G185),""),"")</f>
        <v/>
      </c>
      <c r="X224" s="294" t="str">
        <f aca="false">IFERROR(IF(H$182*H$183*H185&gt;0,STDEV(H$182:H$183,H185),"")/IF(H$182*H$183*H185&gt;0,AVERAGE(H$182:H$183,H185),""),"")</f>
        <v/>
      </c>
      <c r="Y224" s="294" t="str">
        <f aca="false">IFERROR(IF(I$182*I$183*I185&gt;0,STDEV(I$182:I$183,I185),"")/IF(I$182*I$183*I185&gt;0,AVERAGE(I$182:I$183,I185),""),"")</f>
        <v/>
      </c>
      <c r="Z224" s="294" t="str">
        <f aca="false">IFERROR(IF(J$182*J$183*J185&gt;0,STDEV(J$182:J$183,J185),"")/IF(J$182*J$183*J185&gt;0,AVERAGE(J$182:J$183,J185),""),"")</f>
        <v/>
      </c>
      <c r="AA224" s="294" t="str">
        <f aca="false">IFERROR(IF(K$182*K$183*K185&gt;0,STDEV(K$182:K$183,K185),"")/IF(K$182*K$183*K185&gt;0,AVERAGE(K$182:K$183,K185),""),"")</f>
        <v/>
      </c>
      <c r="AB224" s="294" t="str">
        <f aca="false">IFERROR(IF(L$182*L$183*L185&gt;0,STDEV(L$182:L$183,L185),"")/IF(L$182*L$183*L185&gt;0,AVERAGE(L$182:L$183,L185),""),"")</f>
        <v/>
      </c>
      <c r="AC224" s="294" t="str">
        <f aca="false">IFERROR(IF(M$182*M$183*M185&gt;0,STDEV(M$182:M$183,M185),"")/IF(M$182*M$183*M185&gt;0,AVERAGE(M$182:M$183,M185),""),"")</f>
        <v/>
      </c>
      <c r="AD224" s="294" t="str">
        <f aca="false">IFERROR(IF(N$182*N$183*N185&gt;0,STDEV(N$182:N$183,N185),"")/IF(N$182*N$183*N185&gt;0,AVERAGE(N$182:N$183,N185),""),"")</f>
        <v/>
      </c>
      <c r="AE224" s="44"/>
      <c r="AF224" s="266" t="s">
        <v>352</v>
      </c>
      <c r="AG224" s="303" t="str">
        <f aca="false">IFERROR(IF(C$182*C$183*C185&gt;0,STDEV(C$182:C$183,C185)," ")/IF(C$182*C$183*C185&gt;0,SQRT(COUNT(C$182:C$183,C185))," "),"")</f>
        <v/>
      </c>
      <c r="AH224" s="303" t="str">
        <f aca="false">IFERROR(IF(D$182*D$183*D185&gt;0,STDEV(D$182:D$183,D185)," ")/IF(D$182*D$183*D185&gt;0,SQRT(COUNT(D$182:D$183,D185))," "),"")</f>
        <v/>
      </c>
      <c r="AI224" s="303" t="str">
        <f aca="false">IFERROR(IF(E$182*E$183*E185&gt;0,STDEV(E$182:E$183,E185)," ")/IF(E$182*E$183*E185&gt;0,SQRT(COUNT(E$182:E$183,E185))," "),"")</f>
        <v/>
      </c>
      <c r="AJ224" s="303" t="str">
        <f aca="false">IFERROR(IF(F$182*F$183*F185&gt;0,STDEV(F$182:F$183,F185)," ")/IF(F$182*F$183*F185&gt;0,SQRT(COUNT(F$182:F$183,F185))," "),"")</f>
        <v/>
      </c>
      <c r="AK224" s="303" t="str">
        <f aca="false">IFERROR(IF(G$182*G$183*G185&gt;0,STDEV(G$182:G$183,G185)," ")/IF(G$182*G$183*G185&gt;0,SQRT(COUNT(G$182:G$183,G185))," "),"")</f>
        <v/>
      </c>
      <c r="AL224" s="303" t="str">
        <f aca="false">IFERROR(IF(H$182*H$183*H185&gt;0,STDEV(H$182:H$183,H185)," ")/IF(H$182*H$183*H185&gt;0,SQRT(COUNT(H$182:H$183,H185))," "),"")</f>
        <v/>
      </c>
      <c r="AM224" s="303" t="str">
        <f aca="false">IFERROR(IF(I$182*I$183*I185&gt;0,STDEV(I$182:I$183,I185)," ")/IF(I$182*I$183*I185&gt;0,SQRT(COUNT(I$182:I$183,I185))," "),"")</f>
        <v/>
      </c>
      <c r="AN224" s="303" t="str">
        <f aca="false">IFERROR(IF(J$182*J$183*J185&gt;0,STDEV(J$182:J$183,J185)," ")/IF(J$182*J$183*J185&gt;0,SQRT(COUNT(J$182:J$183,J185))," "),"")</f>
        <v/>
      </c>
      <c r="AO224" s="303" t="str">
        <f aca="false">IFERROR(IF(K$182*K$183*K185&gt;0,STDEV(K$182:K$183,K185)," ")/IF(K$182*K$183*K185&gt;0,SQRT(COUNT(K$182:K$183,K185))," "),"")</f>
        <v/>
      </c>
      <c r="AP224" s="303" t="str">
        <f aca="false">IFERROR(IF(L$182*L$183*L185&gt;0,STDEV(L$182:L$183,L185)," ")/IF(L$182*L$183*L185&gt;0,SQRT(COUNT(L$182:L$183,L185))," "),"")</f>
        <v/>
      </c>
      <c r="AQ224" s="303" t="str">
        <f aca="false">IFERROR(IF(M$182*M$183*M185&gt;0,STDEV(M$182:M$183,M185)," ")/IF(M$182*M$183*M185&gt;0,SQRT(COUNT(M$182:M$183,M185))," "),"")</f>
        <v/>
      </c>
      <c r="AR224" s="303" t="str">
        <f aca="false">IFERROR(IF(N$182*N$183*N185&gt;0,STDEV(N$182:N$183,N185)," ")/IF(N$182*N$183*N185&gt;0,SQRT(COUNT(N$182:N$183,N185))," "),"")</f>
        <v/>
      </c>
    </row>
    <row r="225" customFormat="false" ht="15.75" hidden="false" customHeight="false" outlineLevel="0" collapsed="false">
      <c r="A225" s="290" t="s">
        <v>353</v>
      </c>
      <c r="B225" s="281"/>
      <c r="C225" s="291" t="str">
        <f aca="false">IFERROR(IF(C$182*C$183*C186&gt;0,AVERAGE(C$182:C$183,C186),""),"")</f>
        <v/>
      </c>
      <c r="D225" s="291" t="str">
        <f aca="false">IFERROR(IF(D$182*D$183*D186&gt;0,AVERAGE(D$182:D$183,D186),""),"")</f>
        <v/>
      </c>
      <c r="E225" s="291" t="str">
        <f aca="false">IFERROR(IF(E$182*E$183*E186&gt;0,AVERAGE(E$182:E$183,E186),""),"")</f>
        <v/>
      </c>
      <c r="F225" s="291" t="str">
        <f aca="false">IFERROR(IF(F$182*F$183*F186&gt;0,AVERAGE(F$182:F$183,F186),""),"")</f>
        <v/>
      </c>
      <c r="G225" s="291" t="str">
        <f aca="false">IFERROR(IF(G$182*G$183*G186&gt;0,AVERAGE(G$182:G$183,G186),""),"")</f>
        <v/>
      </c>
      <c r="H225" s="291" t="str">
        <f aca="false">IFERROR(IF(H$182*H$183*H186&gt;0,AVERAGE(H$182:H$183,H186),""),"")</f>
        <v/>
      </c>
      <c r="I225" s="291" t="str">
        <f aca="false">IFERROR(IF(I$182*I$183*I186&gt;0,AVERAGE(I$182:I$183,I186),""),"")</f>
        <v/>
      </c>
      <c r="J225" s="291" t="str">
        <f aca="false">IFERROR(IF(J$182*J$183*J186&gt;0,AVERAGE(J$182:J$183,J186),""),"")</f>
        <v/>
      </c>
      <c r="K225" s="291" t="str">
        <f aca="false">IFERROR(IF(K$182*K$183*K186&gt;0,AVERAGE(K$182:K$183,K186),""),"")</f>
        <v/>
      </c>
      <c r="L225" s="291" t="str">
        <f aca="false">IFERROR(IF(L$182*L$183*L186&gt;0,AVERAGE(L$182:L$183,L186),""),"")</f>
        <v/>
      </c>
      <c r="M225" s="291" t="str">
        <f aca="false">IFERROR(IF(M$182*M$183*M186&gt;0,AVERAGE(M$182:M$183,M186),""),"")</f>
        <v/>
      </c>
      <c r="N225" s="291" t="str">
        <f aca="false">IFERROR(IF(N$182*N$183*N186&gt;0,AVERAGE(N$182:N$183,N186),""),"")</f>
        <v/>
      </c>
      <c r="O225" s="282"/>
      <c r="P225" s="282"/>
      <c r="Q225" s="296"/>
      <c r="R225" s="293" t="s">
        <v>354</v>
      </c>
      <c r="S225" s="294" t="str">
        <f aca="false">IFERROR(IF(C$182*C$183*C186&gt;0,STDEV(C$182:C$183,C186),"")/IF(C$182*C$183*C186&gt;0,AVERAGE(C$182:C$183,C186),""),"")</f>
        <v/>
      </c>
      <c r="T225" s="294" t="str">
        <f aca="false">IFERROR(IF(D$182*D$183*D186&gt;0,STDEV(D$182:D$183,D186),"")/IF(D$182*D$183*D186&gt;0,AVERAGE(D$182:D$183,D186),""),"")</f>
        <v/>
      </c>
      <c r="U225" s="294" t="str">
        <f aca="false">IFERROR(IF(E$182*E$183*E186&gt;0,STDEV(E$182:E$183,E186),"")/IF(E$182*E$183*E186&gt;0,AVERAGE(E$182:E$183,E186),""),"")</f>
        <v/>
      </c>
      <c r="V225" s="294" t="str">
        <f aca="false">IFERROR(IF(F$182*F$183*F186&gt;0,STDEV(F$182:F$183,F186),"")/IF(F$182*F$183*F186&gt;0,AVERAGE(F$182:F$183,F186),""),"")</f>
        <v/>
      </c>
      <c r="W225" s="294" t="str">
        <f aca="false">IFERROR(IF(G$182*G$183*G186&gt;0,STDEV(G$182:G$183,G186),"")/IF(G$182*G$183*G186&gt;0,AVERAGE(G$182:G$183,G186),""),"")</f>
        <v/>
      </c>
      <c r="X225" s="294" t="str">
        <f aca="false">IFERROR(IF(H$182*H$183*H186&gt;0,STDEV(H$182:H$183,H186),"")/IF(H$182*H$183*H186&gt;0,AVERAGE(H$182:H$183,H186),""),"")</f>
        <v/>
      </c>
      <c r="Y225" s="294" t="str">
        <f aca="false">IFERROR(IF(I$182*I$183*I186&gt;0,STDEV(I$182:I$183,I186),"")/IF(I$182*I$183*I186&gt;0,AVERAGE(I$182:I$183,I186),""),"")</f>
        <v/>
      </c>
      <c r="Z225" s="294" t="str">
        <f aca="false">IFERROR(IF(J$182*J$183*J186&gt;0,STDEV(J$182:J$183,J186),"")/IF(J$182*J$183*J186&gt;0,AVERAGE(J$182:J$183,J186),""),"")</f>
        <v/>
      </c>
      <c r="AA225" s="294" t="str">
        <f aca="false">IFERROR(IF(K$182*K$183*K186&gt;0,STDEV(K$182:K$183,K186),"")/IF(K$182*K$183*K186&gt;0,AVERAGE(K$182:K$183,K186),""),"")</f>
        <v/>
      </c>
      <c r="AB225" s="294" t="str">
        <f aca="false">IFERROR(IF(L$182*L$183*L186&gt;0,STDEV(L$182:L$183,L186),"")/IF(L$182*L$183*L186&gt;0,AVERAGE(L$182:L$183,L186),""),"")</f>
        <v/>
      </c>
      <c r="AC225" s="294" t="str">
        <f aca="false">IFERROR(IF(M$182*M$183*M186&gt;0,STDEV(M$182:M$183,M186),"")/IF(M$182*M$183*M186&gt;0,AVERAGE(M$182:M$183,M186),""),"")</f>
        <v/>
      </c>
      <c r="AD225" s="294" t="str">
        <f aca="false">IFERROR(IF(N$182*N$183*N186&gt;0,STDEV(N$182:N$183,N186),"")/IF(N$182*N$183*N186&gt;0,AVERAGE(N$182:N$183,N186),""),"")</f>
        <v/>
      </c>
      <c r="AE225" s="44"/>
      <c r="AF225" s="266" t="s">
        <v>355</v>
      </c>
      <c r="AG225" s="303" t="str">
        <f aca="false">IFERROR(IF(C$182*C$183*C186&gt;0,STDEV(C$182:C$183,C186)," ")/IF(C$182*C$183*C186&gt;0,SQRT(COUNT(C$182:C$183,C186))," "),"")</f>
        <v/>
      </c>
      <c r="AH225" s="303" t="str">
        <f aca="false">IFERROR(IF(D$182*D$183*D186&gt;0,STDEV(D$182:D$183,D186)," ")/IF(D$182*D$183*D186&gt;0,SQRT(COUNT(D$182:D$183,D186))," "),"")</f>
        <v/>
      </c>
      <c r="AI225" s="303" t="str">
        <f aca="false">IFERROR(IF(E$182*E$183*E186&gt;0,STDEV(E$182:E$183,E186)," ")/IF(E$182*E$183*E186&gt;0,SQRT(COUNT(E$182:E$183,E186))," "),"")</f>
        <v/>
      </c>
      <c r="AJ225" s="303" t="str">
        <f aca="false">IFERROR(IF(F$182*F$183*F186&gt;0,STDEV(F$182:F$183,F186)," ")/IF(F$182*F$183*F186&gt;0,SQRT(COUNT(F$182:F$183,F186))," "),"")</f>
        <v/>
      </c>
      <c r="AK225" s="303" t="str">
        <f aca="false">IFERROR(IF(G$182*G$183*G186&gt;0,STDEV(G$182:G$183,G186)," ")/IF(G$182*G$183*G186&gt;0,SQRT(COUNT(G$182:G$183,G186))," "),"")</f>
        <v/>
      </c>
      <c r="AL225" s="303" t="str">
        <f aca="false">IFERROR(IF(H$182*H$183*H186&gt;0,STDEV(H$182:H$183,H186)," ")/IF(H$182*H$183*H186&gt;0,SQRT(COUNT(H$182:H$183,H186))," "),"")</f>
        <v/>
      </c>
      <c r="AM225" s="303" t="str">
        <f aca="false">IFERROR(IF(I$182*I$183*I186&gt;0,STDEV(I$182:I$183,I186)," ")/IF(I$182*I$183*I186&gt;0,SQRT(COUNT(I$182:I$183,I186))," "),"")</f>
        <v/>
      </c>
      <c r="AN225" s="303" t="str">
        <f aca="false">IFERROR(IF(J$182*J$183*J186&gt;0,STDEV(J$182:J$183,J186)," ")/IF(J$182*J$183*J186&gt;0,SQRT(COUNT(J$182:J$183,J186))," "),"")</f>
        <v/>
      </c>
      <c r="AO225" s="303" t="str">
        <f aca="false">IFERROR(IF(K$182*K$183*K186&gt;0,STDEV(K$182:K$183,K186)," ")/IF(K$182*K$183*K186&gt;0,SQRT(COUNT(K$182:K$183,K186))," "),"")</f>
        <v/>
      </c>
      <c r="AP225" s="303" t="str">
        <f aca="false">IFERROR(IF(L$182*L$183*L186&gt;0,STDEV(L$182:L$183,L186)," ")/IF(L$182*L$183*L186&gt;0,SQRT(COUNT(L$182:L$183,L186))," "),"")</f>
        <v/>
      </c>
      <c r="AQ225" s="303" t="str">
        <f aca="false">IFERROR(IF(M$182*M$183*M186&gt;0,STDEV(M$182:M$183,M186)," ")/IF(M$182*M$183*M186&gt;0,SQRT(COUNT(M$182:M$183,M186))," "),"")</f>
        <v/>
      </c>
      <c r="AR225" s="303" t="str">
        <f aca="false">IFERROR(IF(N$182*N$183*N186&gt;0,STDEV(N$182:N$183,N186)," ")/IF(N$182*N$183*N186&gt;0,SQRT(COUNT(N$182:N$183,N186))," "),"")</f>
        <v/>
      </c>
    </row>
    <row r="226" customFormat="false" ht="15.75" hidden="false" customHeight="false" outlineLevel="0" collapsed="false">
      <c r="A226" s="290" t="s">
        <v>356</v>
      </c>
      <c r="B226" s="281"/>
      <c r="C226" s="291" t="str">
        <f aca="false">IFERROR(IF(C$182*C$183*C187&gt;0,AVERAGE(C$182:C$183,C187),""),"")</f>
        <v/>
      </c>
      <c r="D226" s="291" t="str">
        <f aca="false">IFERROR(IF(D$182*D$183*D187&gt;0,AVERAGE(D$182:D$183,D187),""),"")</f>
        <v/>
      </c>
      <c r="E226" s="291" t="str">
        <f aca="false">IFERROR(IF(E$182*E$183*E187&gt;0,AVERAGE(E$182:E$183,E187),""),"")</f>
        <v/>
      </c>
      <c r="F226" s="291" t="str">
        <f aca="false">IFERROR(IF(F$182*F$183*F187&gt;0,AVERAGE(F$182:F$183,F187),""),"")</f>
        <v/>
      </c>
      <c r="G226" s="291" t="str">
        <f aca="false">IFERROR(IF(G$182*G$183*G187&gt;0,AVERAGE(G$182:G$183,G187),""),"")</f>
        <v/>
      </c>
      <c r="H226" s="291" t="str">
        <f aca="false">IFERROR(IF(H$182*H$183*H187&gt;0,AVERAGE(H$182:H$183,H187),""),"")</f>
        <v/>
      </c>
      <c r="I226" s="291" t="str">
        <f aca="false">IFERROR(IF(I$182*I$183*I187&gt;0,AVERAGE(I$182:I$183,I187),""),"")</f>
        <v/>
      </c>
      <c r="J226" s="291" t="str">
        <f aca="false">IFERROR(IF(J$182*J$183*J187&gt;0,AVERAGE(J$182:J$183,J187),""),"")</f>
        <v/>
      </c>
      <c r="K226" s="291" t="str">
        <f aca="false">IFERROR(IF(K$182*K$183*K187&gt;0,AVERAGE(K$182:K$183,K187),""),"")</f>
        <v/>
      </c>
      <c r="L226" s="291" t="str">
        <f aca="false">IFERROR(IF(L$182*L$183*L187&gt;0,AVERAGE(L$182:L$183,L187),""),"")</f>
        <v/>
      </c>
      <c r="M226" s="291" t="str">
        <f aca="false">IFERROR(IF(M$182*M$183*M187&gt;0,AVERAGE(M$182:M$183,M187),""),"")</f>
        <v/>
      </c>
      <c r="N226" s="291" t="str">
        <f aca="false">IFERROR(IF(N$182*N$183*N187&gt;0,AVERAGE(N$182:N$183,N187),""),"")</f>
        <v/>
      </c>
      <c r="O226" s="282"/>
      <c r="P226" s="282"/>
      <c r="Q226" s="296"/>
      <c r="R226" s="293" t="s">
        <v>357</v>
      </c>
      <c r="S226" s="294" t="str">
        <f aca="false">IFERROR(IF(C$182*C$183*C187&gt;0,STDEV(C$182:C$183,C187),"")/IF(C$182*C$183*C187&gt;0,AVERAGE(C$182:C$183,C187),""),"")</f>
        <v/>
      </c>
      <c r="T226" s="294" t="str">
        <f aca="false">IFERROR(IF(D$182*D$183*D187&gt;0,STDEV(D$182:D$183,D187),"")/IF(D$182*D$183*D187&gt;0,AVERAGE(D$182:D$183,D187),""),"")</f>
        <v/>
      </c>
      <c r="U226" s="294" t="str">
        <f aca="false">IFERROR(IF(E$182*E$183*E187&gt;0,STDEV(E$182:E$183,E187),"")/IF(E$182*E$183*E187&gt;0,AVERAGE(E$182:E$183,E187),""),"")</f>
        <v/>
      </c>
      <c r="V226" s="294" t="str">
        <f aca="false">IFERROR(IF(F$182*F$183*F187&gt;0,STDEV(F$182:F$183,F187),"")/IF(F$182*F$183*F187&gt;0,AVERAGE(F$182:F$183,F187),""),"")</f>
        <v/>
      </c>
      <c r="W226" s="294" t="str">
        <f aca="false">IFERROR(IF(G$182*G$183*G187&gt;0,STDEV(G$182:G$183,G187),"")/IF(G$182*G$183*G187&gt;0,AVERAGE(G$182:G$183,G187),""),"")</f>
        <v/>
      </c>
      <c r="X226" s="294" t="str">
        <f aca="false">IFERROR(IF(H$182*H$183*H187&gt;0,STDEV(H$182:H$183,H187),"")/IF(H$182*H$183*H187&gt;0,AVERAGE(H$182:H$183,H187),""),"")</f>
        <v/>
      </c>
      <c r="Y226" s="294" t="str">
        <f aca="false">IFERROR(IF(I$182*I$183*I187&gt;0,STDEV(I$182:I$183,I187),"")/IF(I$182*I$183*I187&gt;0,AVERAGE(I$182:I$183,I187),""),"")</f>
        <v/>
      </c>
      <c r="Z226" s="294" t="str">
        <f aca="false">IFERROR(IF(J$182*J$183*J187&gt;0,STDEV(J$182:J$183,J187),"")/IF(J$182*J$183*J187&gt;0,AVERAGE(J$182:J$183,J187),""),"")</f>
        <v/>
      </c>
      <c r="AA226" s="294" t="str">
        <f aca="false">IFERROR(IF(K$182*K$183*K187&gt;0,STDEV(K$182:K$183,K187),"")/IF(K$182*K$183*K187&gt;0,AVERAGE(K$182:K$183,K187),""),"")</f>
        <v/>
      </c>
      <c r="AB226" s="294" t="str">
        <f aca="false">IFERROR(IF(L$182*L$183*L187&gt;0,STDEV(L$182:L$183,L187),"")/IF(L$182*L$183*L187&gt;0,AVERAGE(L$182:L$183,L187),""),"")</f>
        <v/>
      </c>
      <c r="AC226" s="294" t="str">
        <f aca="false">IFERROR(IF(M$182*M$183*M187&gt;0,STDEV(M$182:M$183,M187),"")/IF(M$182*M$183*M187&gt;0,AVERAGE(M$182:M$183,M187),""),"")</f>
        <v/>
      </c>
      <c r="AD226" s="294" t="str">
        <f aca="false">IFERROR(IF(N$182*N$183*N187&gt;0,STDEV(N$182:N$183,N187),"")/IF(N$182*N$183*N187&gt;0,AVERAGE(N$182:N$183,N187),""),"")</f>
        <v/>
      </c>
      <c r="AE226" s="44"/>
      <c r="AF226" s="266" t="s">
        <v>358</v>
      </c>
      <c r="AG226" s="303" t="str">
        <f aca="false">IFERROR(IF(C$182*C$183*C187&gt;0,STDEV(C$182:C$183,C187)," ")/IF(C$182*C$183*C187&gt;0,SQRT(COUNT(C$182:C$183,C187))," "),"")</f>
        <v/>
      </c>
      <c r="AH226" s="303" t="str">
        <f aca="false">IFERROR(IF(D$182*D$183*D187&gt;0,STDEV(D$182:D$183,D187)," ")/IF(D$182*D$183*D187&gt;0,SQRT(COUNT(D$182:D$183,D187))," "),"")</f>
        <v/>
      </c>
      <c r="AI226" s="303" t="str">
        <f aca="false">IFERROR(IF(E$182*E$183*E187&gt;0,STDEV(E$182:E$183,E187)," ")/IF(E$182*E$183*E187&gt;0,SQRT(COUNT(E$182:E$183,E187))," "),"")</f>
        <v/>
      </c>
      <c r="AJ226" s="303" t="str">
        <f aca="false">IFERROR(IF(F$182*F$183*F187&gt;0,STDEV(F$182:F$183,F187)," ")/IF(F$182*F$183*F187&gt;0,SQRT(COUNT(F$182:F$183,F187))," "),"")</f>
        <v/>
      </c>
      <c r="AK226" s="303" t="str">
        <f aca="false">IFERROR(IF(G$182*G$183*G187&gt;0,STDEV(G$182:G$183,G187)," ")/IF(G$182*G$183*G187&gt;0,SQRT(COUNT(G$182:G$183,G187))," "),"")</f>
        <v/>
      </c>
      <c r="AL226" s="303" t="str">
        <f aca="false">IFERROR(IF(H$182*H$183*H187&gt;0,STDEV(H$182:H$183,H187)," ")/IF(H$182*H$183*H187&gt;0,SQRT(COUNT(H$182:H$183,H187))," "),"")</f>
        <v/>
      </c>
      <c r="AM226" s="303" t="str">
        <f aca="false">IFERROR(IF(I$182*I$183*I187&gt;0,STDEV(I$182:I$183,I187)," ")/IF(I$182*I$183*I187&gt;0,SQRT(COUNT(I$182:I$183,I187))," "),"")</f>
        <v/>
      </c>
      <c r="AN226" s="303" t="str">
        <f aca="false">IFERROR(IF(J$182*J$183*J187&gt;0,STDEV(J$182:J$183,J187)," ")/IF(J$182*J$183*J187&gt;0,SQRT(COUNT(J$182:J$183,J187))," "),"")</f>
        <v/>
      </c>
      <c r="AO226" s="303" t="str">
        <f aca="false">IFERROR(IF(K$182*K$183*K187&gt;0,STDEV(K$182:K$183,K187)," ")/IF(K$182*K$183*K187&gt;0,SQRT(COUNT(K$182:K$183,K187))," "),"")</f>
        <v/>
      </c>
      <c r="AP226" s="303" t="str">
        <f aca="false">IFERROR(IF(L$182*L$183*L187&gt;0,STDEV(L$182:L$183,L187)," ")/IF(L$182*L$183*L187&gt;0,SQRT(COUNT(L$182:L$183,L187))," "),"")</f>
        <v/>
      </c>
      <c r="AQ226" s="303" t="str">
        <f aca="false">IFERROR(IF(M$182*M$183*M187&gt;0,STDEV(M$182:M$183,M187)," ")/IF(M$182*M$183*M187&gt;0,SQRT(COUNT(M$182:M$183,M187))," "),"")</f>
        <v/>
      </c>
      <c r="AR226" s="303" t="str">
        <f aca="false">IFERROR(IF(N$182*N$183*N187&gt;0,STDEV(N$182:N$183,N187)," ")/IF(N$182*N$183*N187&gt;0,SQRT(COUNT(N$182:N$183,N187))," "),"")</f>
        <v/>
      </c>
    </row>
    <row r="227" customFormat="false" ht="15.75" hidden="false" customHeight="false" outlineLevel="0" collapsed="false">
      <c r="A227" s="290" t="s">
        <v>359</v>
      </c>
      <c r="B227" s="281"/>
      <c r="C227" s="291" t="str">
        <f aca="false">IFERROR(IF(C$182*C$183*C188&gt;0,AVERAGE(C$182:C$183,C188),""),"")</f>
        <v/>
      </c>
      <c r="D227" s="291" t="str">
        <f aca="false">IFERROR(IF(D$182*D$183*D188&gt;0,AVERAGE(D$182:D$183,D188),""),"")</f>
        <v/>
      </c>
      <c r="E227" s="291" t="str">
        <f aca="false">IFERROR(IF(E$182*E$183*E188&gt;0,AVERAGE(E$182:E$183,E188),""),"")</f>
        <v/>
      </c>
      <c r="F227" s="291" t="str">
        <f aca="false">IFERROR(IF(F$182*F$183*F188&gt;0,AVERAGE(F$182:F$183,F188),""),"")</f>
        <v/>
      </c>
      <c r="G227" s="291" t="str">
        <f aca="false">IFERROR(IF(G$182*G$183*G188&gt;0,AVERAGE(G$182:G$183,G188),""),"")</f>
        <v/>
      </c>
      <c r="H227" s="291" t="str">
        <f aca="false">IFERROR(IF(H$182*H$183*H188&gt;0,AVERAGE(H$182:H$183,H188),""),"")</f>
        <v/>
      </c>
      <c r="I227" s="291" t="str">
        <f aca="false">IFERROR(IF(I$182*I$183*I188&gt;0,AVERAGE(I$182:I$183,I188),""),"")</f>
        <v/>
      </c>
      <c r="J227" s="291" t="str">
        <f aca="false">IFERROR(IF(J$182*J$183*J188&gt;0,AVERAGE(J$182:J$183,J188),""),"")</f>
        <v/>
      </c>
      <c r="K227" s="291" t="str">
        <f aca="false">IFERROR(IF(K$182*K$183*K188&gt;0,AVERAGE(K$182:K$183,K188),""),"")</f>
        <v/>
      </c>
      <c r="L227" s="291" t="str">
        <f aca="false">IFERROR(IF(L$182*L$183*L188&gt;0,AVERAGE(L$182:L$183,L188),""),"")</f>
        <v/>
      </c>
      <c r="M227" s="291" t="str">
        <f aca="false">IFERROR(IF(M$182*M$183*M188&gt;0,AVERAGE(M$182:M$183,M188),""),"")</f>
        <v/>
      </c>
      <c r="N227" s="291" t="str">
        <f aca="false">IFERROR(IF(N$182*N$183*N188&gt;0,AVERAGE(N$182:N$183,N188),""),"")</f>
        <v/>
      </c>
      <c r="O227" s="282"/>
      <c r="P227" s="282"/>
      <c r="Q227" s="296"/>
      <c r="R227" s="293" t="s">
        <v>360</v>
      </c>
      <c r="S227" s="294" t="str">
        <f aca="false">IFERROR(IF(C$182*C$183*C188&gt;0,STDEV(C$182:C$183,C188),"")/IF(C$182*C$183*C188&gt;0,AVERAGE(C$182:C$183,C188),""),"")</f>
        <v/>
      </c>
      <c r="T227" s="294" t="str">
        <f aca="false">IFERROR(IF(D$182*D$183*D188&gt;0,STDEV(D$182:D$183,D188),"")/IF(D$182*D$183*D188&gt;0,AVERAGE(D$182:D$183,D188),""),"")</f>
        <v/>
      </c>
      <c r="U227" s="294" t="str">
        <f aca="false">IFERROR(IF(E$182*E$183*E188&gt;0,STDEV(E$182:E$183,E188),"")/IF(E$182*E$183*E188&gt;0,AVERAGE(E$182:E$183,E188),""),"")</f>
        <v/>
      </c>
      <c r="V227" s="294" t="str">
        <f aca="false">IFERROR(IF(F$182*F$183*F188&gt;0,STDEV(F$182:F$183,F188),"")/IF(F$182*F$183*F188&gt;0,AVERAGE(F$182:F$183,F188),""),"")</f>
        <v/>
      </c>
      <c r="W227" s="294" t="str">
        <f aca="false">IFERROR(IF(G$182*G$183*G188&gt;0,STDEV(G$182:G$183,G188),"")/IF(G$182*G$183*G188&gt;0,AVERAGE(G$182:G$183,G188),""),"")</f>
        <v/>
      </c>
      <c r="X227" s="294" t="str">
        <f aca="false">IFERROR(IF(H$182*H$183*H188&gt;0,STDEV(H$182:H$183,H188),"")/IF(H$182*H$183*H188&gt;0,AVERAGE(H$182:H$183,H188),""),"")</f>
        <v/>
      </c>
      <c r="Y227" s="294" t="str">
        <f aca="false">IFERROR(IF(I$182*I$183*I188&gt;0,STDEV(I$182:I$183,I188),"")/IF(I$182*I$183*I188&gt;0,AVERAGE(I$182:I$183,I188),""),"")</f>
        <v/>
      </c>
      <c r="Z227" s="294" t="str">
        <f aca="false">IFERROR(IF(J$182*J$183*J188&gt;0,STDEV(J$182:J$183,J188),"")/IF(J$182*J$183*J188&gt;0,AVERAGE(J$182:J$183,J188),""),"")</f>
        <v/>
      </c>
      <c r="AA227" s="294" t="str">
        <f aca="false">IFERROR(IF(K$182*K$183*K188&gt;0,STDEV(K$182:K$183,K188),"")/IF(K$182*K$183*K188&gt;0,AVERAGE(K$182:K$183,K188),""),"")</f>
        <v/>
      </c>
      <c r="AB227" s="294" t="str">
        <f aca="false">IFERROR(IF(L$182*L$183*L188&gt;0,STDEV(L$182:L$183,L188),"")/IF(L$182*L$183*L188&gt;0,AVERAGE(L$182:L$183,L188),""),"")</f>
        <v/>
      </c>
      <c r="AC227" s="294" t="str">
        <f aca="false">IFERROR(IF(M$182*M$183*M188&gt;0,STDEV(M$182:M$183,M188),"")/IF(M$182*M$183*M188&gt;0,AVERAGE(M$182:M$183,M188),""),"")</f>
        <v/>
      </c>
      <c r="AD227" s="294" t="str">
        <f aca="false">IFERROR(IF(N$182*N$183*N188&gt;0,STDEV(N$182:N$183,N188),"")/IF(N$182*N$183*N188&gt;0,AVERAGE(N$182:N$183,N188),""),"")</f>
        <v/>
      </c>
      <c r="AE227" s="44"/>
      <c r="AF227" s="266" t="s">
        <v>361</v>
      </c>
      <c r="AG227" s="303" t="str">
        <f aca="false">IFERROR(IF(C$182*C$183*C188&gt;0,STDEV(C$182:C$183,C188)," ")/IF(C$182*C$183*C188&gt;0,SQRT(COUNT(C$182:C$183,C188))," "),"")</f>
        <v/>
      </c>
      <c r="AH227" s="303" t="str">
        <f aca="false">IFERROR(IF(D$182*D$183*D188&gt;0,STDEV(D$182:D$183,D188)," ")/IF(D$182*D$183*D188&gt;0,SQRT(COUNT(D$182:D$183,D188))," "),"")</f>
        <v/>
      </c>
      <c r="AI227" s="303" t="str">
        <f aca="false">IFERROR(IF(E$182*E$183*E188&gt;0,STDEV(E$182:E$183,E188)," ")/IF(E$182*E$183*E188&gt;0,SQRT(COUNT(E$182:E$183,E188))," "),"")</f>
        <v/>
      </c>
      <c r="AJ227" s="303" t="str">
        <f aca="false">IFERROR(IF(F$182*F$183*F188&gt;0,STDEV(F$182:F$183,F188)," ")/IF(F$182*F$183*F188&gt;0,SQRT(COUNT(F$182:F$183,F188))," "),"")</f>
        <v/>
      </c>
      <c r="AK227" s="303" t="str">
        <f aca="false">IFERROR(IF(G$182*G$183*G188&gt;0,STDEV(G$182:G$183,G188)," ")/IF(G$182*G$183*G188&gt;0,SQRT(COUNT(G$182:G$183,G188))," "),"")</f>
        <v/>
      </c>
      <c r="AL227" s="303" t="str">
        <f aca="false">IFERROR(IF(H$182*H$183*H188&gt;0,STDEV(H$182:H$183,H188)," ")/IF(H$182*H$183*H188&gt;0,SQRT(COUNT(H$182:H$183,H188))," "),"")</f>
        <v/>
      </c>
      <c r="AM227" s="303" t="str">
        <f aca="false">IFERROR(IF(I$182*I$183*I188&gt;0,STDEV(I$182:I$183,I188)," ")/IF(I$182*I$183*I188&gt;0,SQRT(COUNT(I$182:I$183,I188))," "),"")</f>
        <v/>
      </c>
      <c r="AN227" s="303" t="str">
        <f aca="false">IFERROR(IF(J$182*J$183*J188&gt;0,STDEV(J$182:J$183,J188)," ")/IF(J$182*J$183*J188&gt;0,SQRT(COUNT(J$182:J$183,J188))," "),"")</f>
        <v/>
      </c>
      <c r="AO227" s="303" t="str">
        <f aca="false">IFERROR(IF(K$182*K$183*K188&gt;0,STDEV(K$182:K$183,K188)," ")/IF(K$182*K$183*K188&gt;0,SQRT(COUNT(K$182:K$183,K188))," "),"")</f>
        <v/>
      </c>
      <c r="AP227" s="303" t="str">
        <f aca="false">IFERROR(IF(L$182*L$183*L188&gt;0,STDEV(L$182:L$183,L188)," ")/IF(L$182*L$183*L188&gt;0,SQRT(COUNT(L$182:L$183,L188))," "),"")</f>
        <v/>
      </c>
      <c r="AQ227" s="303" t="str">
        <f aca="false">IFERROR(IF(M$182*M$183*M188&gt;0,STDEV(M$182:M$183,M188)," ")/IF(M$182*M$183*M188&gt;0,SQRT(COUNT(M$182:M$183,M188))," "),"")</f>
        <v/>
      </c>
      <c r="AR227" s="303" t="str">
        <f aca="false">IFERROR(IF(N$182*N$183*N188&gt;0,STDEV(N$182:N$183,N188)," ")/IF(N$182*N$183*N188&gt;0,SQRT(COUNT(N$182:N$183,N188))," "),"")</f>
        <v/>
      </c>
    </row>
    <row r="228" customFormat="false" ht="15.75" hidden="false" customHeight="false" outlineLevel="0" collapsed="false">
      <c r="A228" s="290" t="s">
        <v>253</v>
      </c>
      <c r="B228" s="281"/>
      <c r="C228" s="291" t="str">
        <f aca="false">IFERROR(IF(C$183*C$184*C185&gt;0,AVERAGE(C$183:C$184,C185),""),"")</f>
        <v/>
      </c>
      <c r="D228" s="291" t="str">
        <f aca="false">IFERROR(IF(D$183*D$184*D185&gt;0,AVERAGE(D$183:D$184,D185),""),"")</f>
        <v/>
      </c>
      <c r="E228" s="291" t="str">
        <f aca="false">IFERROR(IF(E$183*E$184*E185&gt;0,AVERAGE(E$183:E$184,E185),""),"")</f>
        <v/>
      </c>
      <c r="F228" s="291" t="str">
        <f aca="false">IFERROR(IF(F$183*F$184*F185&gt;0,AVERAGE(F$183:F$184,F185),""),"")</f>
        <v/>
      </c>
      <c r="G228" s="291" t="str">
        <f aca="false">IFERROR(IF(G$183*G$184*G185&gt;0,AVERAGE(G$183:G$184,G185),""),"")</f>
        <v/>
      </c>
      <c r="H228" s="291" t="str">
        <f aca="false">IFERROR(IF(H$183*H$184*H185&gt;0,AVERAGE(H$183:H$184,H185),""),"")</f>
        <v/>
      </c>
      <c r="I228" s="291" t="str">
        <f aca="false">IFERROR(IF(I$183*I$184*I185&gt;0,AVERAGE(I$183:I$184,I185),""),"")</f>
        <v/>
      </c>
      <c r="J228" s="291" t="str">
        <f aca="false">IFERROR(IF(J$183*J$184*J185&gt;0,AVERAGE(J$183:J$184,J185),""),"")</f>
        <v/>
      </c>
      <c r="K228" s="291" t="str">
        <f aca="false">IFERROR(IF(K$183*K$184*K185&gt;0,AVERAGE(K$183:K$184,K185),""),"")</f>
        <v/>
      </c>
      <c r="L228" s="291" t="str">
        <f aca="false">IFERROR(IF(L$183*L$184*L185&gt;0,AVERAGE(L$183:L$184,L185),""),"")</f>
        <v/>
      </c>
      <c r="M228" s="291" t="str">
        <f aca="false">IFERROR(IF(M$183*M$184*M185&gt;0,AVERAGE(M$183:M$184,M185),""),"")</f>
        <v/>
      </c>
      <c r="N228" s="291" t="str">
        <f aca="false">IFERROR(IF(N$183*N$184*N185&gt;0,AVERAGE(N$183:N$184,N185),""),"")</f>
        <v/>
      </c>
      <c r="O228" s="42"/>
      <c r="P228" s="282"/>
      <c r="Q228" s="188"/>
      <c r="R228" s="293" t="s">
        <v>362</v>
      </c>
      <c r="S228" s="294" t="str">
        <f aca="false">IFERROR(IF(C$183*C$184*C185&gt;0,STDEV(C$183:C$184,C185),"")/IF(C$183*C$184*C185&gt;0,AVERAGE(C$183:C$184,C185),""),"")</f>
        <v/>
      </c>
      <c r="T228" s="294" t="str">
        <f aca="false">IFERROR(IF(D$183*D$184*D185&gt;0,STDEV(D$183:D$184,D185),"")/IF(D$183*D$184*D185&gt;0,AVERAGE(D$183:D$184,D185),""),"")</f>
        <v/>
      </c>
      <c r="U228" s="294" t="str">
        <f aca="false">IFERROR(IF(E$183*E$184*E185&gt;0,STDEV(E$183:E$184,E185),"")/IF(E$183*E$184*E185&gt;0,AVERAGE(E$183:E$184,E185),""),"")</f>
        <v/>
      </c>
      <c r="V228" s="294" t="str">
        <f aca="false">IFERROR(IF(F$183*F$184*F185&gt;0,STDEV(F$183:F$184,F185),"")/IF(F$183*F$184*F185&gt;0,AVERAGE(F$183:F$184,F185),""),"")</f>
        <v/>
      </c>
      <c r="W228" s="294" t="str">
        <f aca="false">IFERROR(IF(G$183*G$184*G185&gt;0,STDEV(G$183:G$184,G185),"")/IF(G$183*G$184*G185&gt;0,AVERAGE(G$183:G$184,G185),""),"")</f>
        <v/>
      </c>
      <c r="X228" s="294" t="str">
        <f aca="false">IFERROR(IF(H$183*H$184*H185&gt;0,STDEV(H$183:H$184,H185),"")/IF(H$183*H$184*H185&gt;0,AVERAGE(H$183:H$184,H185),""),"")</f>
        <v/>
      </c>
      <c r="Y228" s="294" t="str">
        <f aca="false">IFERROR(IF(I$183*I$184*I185&gt;0,STDEV(I$183:I$184,I185),"")/IF(I$183*I$184*I185&gt;0,AVERAGE(I$183:I$184,I185),""),"")</f>
        <v/>
      </c>
      <c r="Z228" s="294" t="str">
        <f aca="false">IFERROR(IF(J$183*J$184*J185&gt;0,STDEV(J$183:J$184,J185),"")/IF(J$183*J$184*J185&gt;0,AVERAGE(J$183:J$184,J185),""),"")</f>
        <v/>
      </c>
      <c r="AA228" s="294" t="str">
        <f aca="false">IFERROR(IF(K$183*K$184*K185&gt;0,STDEV(K$183:K$184,K185),"")/IF(K$183*K$184*K185&gt;0,AVERAGE(K$183:K$184,K185),""),"")</f>
        <v/>
      </c>
      <c r="AB228" s="294" t="str">
        <f aca="false">IFERROR(IF(L$183*L$184*L185&gt;0,STDEV(L$183:L$184,L185),"")/IF(L$183*L$184*L185&gt;0,AVERAGE(L$183:L$184,L185),""),"")</f>
        <v/>
      </c>
      <c r="AC228" s="294" t="str">
        <f aca="false">IFERROR(IF(M$183*M$184*M185&gt;0,STDEV(M$183:M$184,M185),"")/IF(M$183*M$184*M185&gt;0,AVERAGE(M$183:M$184,M185),""),"")</f>
        <v/>
      </c>
      <c r="AD228" s="294" t="str">
        <f aca="false">IFERROR(IF(N$183*N$184*N185&gt;0,STDEV(N$183:N$184,N185),"")/IF(N$183*N$184*N185&gt;0,AVERAGE(N$183:N$184,N185),""),"")</f>
        <v/>
      </c>
      <c r="AE228" s="44"/>
      <c r="AF228" s="266" t="s">
        <v>363</v>
      </c>
      <c r="AG228" s="303" t="str">
        <f aca="false">IFERROR(IF(C$183*C$184*C185&gt;0,STDEV(C$183:C$184,C185)," ")/IF(C$183*C$184*C185&gt;0,SQRT(COUNT(C$183:C$184,C185))," "),"")</f>
        <v/>
      </c>
      <c r="AH228" s="303" t="str">
        <f aca="false">IFERROR(IF(D$183*D$184*D185&gt;0,STDEV(D$183:D$184,D185)," ")/IF(D$183*D$184*D185&gt;0,SQRT(COUNT(D$183:D$184,D185))," "),"")</f>
        <v/>
      </c>
      <c r="AI228" s="303" t="str">
        <f aca="false">IFERROR(IF(E$183*E$184*E185&gt;0,STDEV(E$183:E$184,E185)," ")/IF(E$183*E$184*E185&gt;0,SQRT(COUNT(E$183:E$184,E185))," "),"")</f>
        <v/>
      </c>
      <c r="AJ228" s="303" t="str">
        <f aca="false">IFERROR(IF(F$183*F$184*F185&gt;0,STDEV(F$183:F$184,F185)," ")/IF(F$183*F$184*F185&gt;0,SQRT(COUNT(F$183:F$184,F185))," "),"")</f>
        <v/>
      </c>
      <c r="AK228" s="303" t="str">
        <f aca="false">IFERROR(IF(G$183*G$184*G185&gt;0,STDEV(G$183:G$184,G185)," ")/IF(G$183*G$184*G185&gt;0,SQRT(COUNT(G$183:G$184,G185))," "),"")</f>
        <v/>
      </c>
      <c r="AL228" s="303" t="str">
        <f aca="false">IFERROR(IF(H$183*H$184*H185&gt;0,STDEV(H$183:H$184,H185)," ")/IF(H$183*H$184*H185&gt;0,SQRT(COUNT(H$183:H$184,H185))," "),"")</f>
        <v/>
      </c>
      <c r="AM228" s="303" t="str">
        <f aca="false">IFERROR(IF(I$183*I$184*I185&gt;0,STDEV(I$183:I$184,I185)," ")/IF(I$183*I$184*I185&gt;0,SQRT(COUNT(I$183:I$184,I185))," "),"")</f>
        <v/>
      </c>
      <c r="AN228" s="303" t="str">
        <f aca="false">IFERROR(IF(J$183*J$184*J185&gt;0,STDEV(J$183:J$184,J185)," ")/IF(J$183*J$184*J185&gt;0,SQRT(COUNT(J$183:J$184,J185))," "),"")</f>
        <v/>
      </c>
      <c r="AO228" s="303" t="str">
        <f aca="false">IFERROR(IF(K$183*K$184*K185&gt;0,STDEV(K$183:K$184,K185)," ")/IF(K$183*K$184*K185&gt;0,SQRT(COUNT(K$183:K$184,K185))," "),"")</f>
        <v/>
      </c>
      <c r="AP228" s="303" t="str">
        <f aca="false">IFERROR(IF(L$183*L$184*L185&gt;0,STDEV(L$183:L$184,L185)," ")/IF(L$183*L$184*L185&gt;0,SQRT(COUNT(L$183:L$184,L185))," "),"")</f>
        <v/>
      </c>
      <c r="AQ228" s="303" t="str">
        <f aca="false">IFERROR(IF(M$183*M$184*M185&gt;0,STDEV(M$183:M$184,M185)," ")/IF(M$183*M$184*M185&gt;0,SQRT(COUNT(M$183:M$184,M185))," "),"")</f>
        <v/>
      </c>
      <c r="AR228" s="303" t="str">
        <f aca="false">IFERROR(IF(N$183*N$184*N185&gt;0,STDEV(N$183:N$184,N185)," ")/IF(N$183*N$184*N185&gt;0,SQRT(COUNT(N$183:N$184,N185))," "),"")</f>
        <v/>
      </c>
    </row>
    <row r="229" customFormat="false" ht="15.75" hidden="false" customHeight="false" outlineLevel="0" collapsed="false">
      <c r="A229" s="290" t="s">
        <v>254</v>
      </c>
      <c r="B229" s="281"/>
      <c r="C229" s="291" t="str">
        <f aca="false">IFERROR(IF(C$183*C$184*C186&gt;0,AVERAGE(C$183:C$184,C186),""),"")</f>
        <v/>
      </c>
      <c r="D229" s="291" t="str">
        <f aca="false">IFERROR(IF(D$183*D$184*D186&gt;0,AVERAGE(D$183:D$184,D186),""),"")</f>
        <v/>
      </c>
      <c r="E229" s="291" t="str">
        <f aca="false">IFERROR(IF(E$183*E$184*E186&gt;0,AVERAGE(E$183:E$184,E186),""),"")</f>
        <v/>
      </c>
      <c r="F229" s="291" t="str">
        <f aca="false">IFERROR(IF(F$183*F$184*F186&gt;0,AVERAGE(F$183:F$184,F186),""),"")</f>
        <v/>
      </c>
      <c r="G229" s="291" t="str">
        <f aca="false">IFERROR(IF(G$183*G$184*G186&gt;0,AVERAGE(G$183:G$184,G186),""),"")</f>
        <v/>
      </c>
      <c r="H229" s="291" t="str">
        <f aca="false">IFERROR(IF(H$183*H$184*H186&gt;0,AVERAGE(H$183:H$184,H186),""),"")</f>
        <v/>
      </c>
      <c r="I229" s="291" t="str">
        <f aca="false">IFERROR(IF(I$183*I$184*I186&gt;0,AVERAGE(I$183:I$184,I186),""),"")</f>
        <v/>
      </c>
      <c r="J229" s="291" t="str">
        <f aca="false">IFERROR(IF(J$183*J$184*J186&gt;0,AVERAGE(J$183:J$184,J186),""),"")</f>
        <v/>
      </c>
      <c r="K229" s="291" t="str">
        <f aca="false">IFERROR(IF(K$183*K$184*K186&gt;0,AVERAGE(K$183:K$184,K186),""),"")</f>
        <v/>
      </c>
      <c r="L229" s="291" t="str">
        <f aca="false">IFERROR(IF(L$183*L$184*L186&gt;0,AVERAGE(L$183:L$184,L186),""),"")</f>
        <v/>
      </c>
      <c r="M229" s="291" t="str">
        <f aca="false">IFERROR(IF(M$183*M$184*M186&gt;0,AVERAGE(M$183:M$184,M186),""),"")</f>
        <v/>
      </c>
      <c r="N229" s="291" t="str">
        <f aca="false">IFERROR(IF(N$183*N$184*N186&gt;0,AVERAGE(N$183:N$184,N186),""),"")</f>
        <v/>
      </c>
      <c r="O229" s="282"/>
      <c r="P229" s="282"/>
      <c r="Q229" s="296"/>
      <c r="R229" s="293" t="s">
        <v>364</v>
      </c>
      <c r="S229" s="294" t="str">
        <f aca="false">IFERROR(IF(C$183*C$184*C186&gt;0,STDEV(C$183:C$184,C186),"")/IF(C$183*C$184*C186&gt;0,AVERAGE(C$183:C$184,C186),""),"")</f>
        <v/>
      </c>
      <c r="T229" s="294" t="str">
        <f aca="false">IFERROR(IF(D$183*D$184*D186&gt;0,STDEV(D$183:D$184,D186),"")/IF(D$183*D$184*D186&gt;0,AVERAGE(D$183:D$184,D186),""),"")</f>
        <v/>
      </c>
      <c r="U229" s="294" t="str">
        <f aca="false">IFERROR(IF(E$183*E$184*E186&gt;0,STDEV(E$183:E$184,E186),"")/IF(E$183*E$184*E186&gt;0,AVERAGE(E$183:E$184,E186),""),"")</f>
        <v/>
      </c>
      <c r="V229" s="294" t="str">
        <f aca="false">IFERROR(IF(F$183*F$184*F186&gt;0,STDEV(F$183:F$184,F186),"")/IF(F$183*F$184*F186&gt;0,AVERAGE(F$183:F$184,F186),""),"")</f>
        <v/>
      </c>
      <c r="W229" s="294" t="str">
        <f aca="false">IFERROR(IF(G$183*G$184*G186&gt;0,STDEV(G$183:G$184,G186),"")/IF(G$183*G$184*G186&gt;0,AVERAGE(G$183:G$184,G186),""),"")</f>
        <v/>
      </c>
      <c r="X229" s="294" t="str">
        <f aca="false">IFERROR(IF(H$183*H$184*H186&gt;0,STDEV(H$183:H$184,H186),"")/IF(H$183*H$184*H186&gt;0,AVERAGE(H$183:H$184,H186),""),"")</f>
        <v/>
      </c>
      <c r="Y229" s="294" t="str">
        <f aca="false">IFERROR(IF(I$183*I$184*I186&gt;0,STDEV(I$183:I$184,I186),"")/IF(I$183*I$184*I186&gt;0,AVERAGE(I$183:I$184,I186),""),"")</f>
        <v/>
      </c>
      <c r="Z229" s="294" t="str">
        <f aca="false">IFERROR(IF(J$183*J$184*J186&gt;0,STDEV(J$183:J$184,J186),"")/IF(J$183*J$184*J186&gt;0,AVERAGE(J$183:J$184,J186),""),"")</f>
        <v/>
      </c>
      <c r="AA229" s="294" t="str">
        <f aca="false">IFERROR(IF(K$183*K$184*K186&gt;0,STDEV(K$183:K$184,K186),"")/IF(K$183*K$184*K186&gt;0,AVERAGE(K$183:K$184,K186),""),"")</f>
        <v/>
      </c>
      <c r="AB229" s="294" t="str">
        <f aca="false">IFERROR(IF(L$183*L$184*L186&gt;0,STDEV(L$183:L$184,L186),"")/IF(L$183*L$184*L186&gt;0,AVERAGE(L$183:L$184,L186),""),"")</f>
        <v/>
      </c>
      <c r="AC229" s="294" t="str">
        <f aca="false">IFERROR(IF(M$183*M$184*M186&gt;0,STDEV(M$183:M$184,M186),"")/IF(M$183*M$184*M186&gt;0,AVERAGE(M$183:M$184,M186),""),"")</f>
        <v/>
      </c>
      <c r="AD229" s="294" t="str">
        <f aca="false">IFERROR(IF(N$183*N$184*N186&gt;0,STDEV(N$183:N$184,N186),"")/IF(N$183*N$184*N186&gt;0,AVERAGE(N$183:N$184,N186),""),"")</f>
        <v/>
      </c>
      <c r="AE229" s="115"/>
      <c r="AF229" s="266" t="s">
        <v>365</v>
      </c>
      <c r="AG229" s="303" t="str">
        <f aca="false">IFERROR(IF(C$183*C$184*C186&gt;0,STDEV(C$183:C$184,C186)," ")/IF(C$183*C$184*C186&gt;0,SQRT(COUNT(C$183:C$184,C186))," "),"")</f>
        <v/>
      </c>
      <c r="AH229" s="303" t="str">
        <f aca="false">IFERROR(IF(D$183*D$184*D186&gt;0,STDEV(D$183:D$184,D186)," ")/IF(D$183*D$184*D186&gt;0,SQRT(COUNT(D$183:D$184,D186))," "),"")</f>
        <v/>
      </c>
      <c r="AI229" s="303" t="str">
        <f aca="false">IFERROR(IF(E$183*E$184*E186&gt;0,STDEV(E$183:E$184,E186)," ")/IF(E$183*E$184*E186&gt;0,SQRT(COUNT(E$183:E$184,E186))," "),"")</f>
        <v/>
      </c>
      <c r="AJ229" s="303" t="str">
        <f aca="false">IFERROR(IF(F$183*F$184*F186&gt;0,STDEV(F$183:F$184,F186)," ")/IF(F$183*F$184*F186&gt;0,SQRT(COUNT(F$183:F$184,F186))," "),"")</f>
        <v/>
      </c>
      <c r="AK229" s="303" t="str">
        <f aca="false">IFERROR(IF(G$183*G$184*G186&gt;0,STDEV(G$183:G$184,G186)," ")/IF(G$183*G$184*G186&gt;0,SQRT(COUNT(G$183:G$184,G186))," "),"")</f>
        <v/>
      </c>
      <c r="AL229" s="303" t="str">
        <f aca="false">IFERROR(IF(H$183*H$184*H186&gt;0,STDEV(H$183:H$184,H186)," ")/IF(H$183*H$184*H186&gt;0,SQRT(COUNT(H$183:H$184,H186))," "),"")</f>
        <v/>
      </c>
      <c r="AM229" s="303" t="str">
        <f aca="false">IFERROR(IF(I$183*I$184*I186&gt;0,STDEV(I$183:I$184,I186)," ")/IF(I$183*I$184*I186&gt;0,SQRT(COUNT(I$183:I$184,I186))," "),"")</f>
        <v/>
      </c>
      <c r="AN229" s="303" t="str">
        <f aca="false">IFERROR(IF(J$183*J$184*J186&gt;0,STDEV(J$183:J$184,J186)," ")/IF(J$183*J$184*J186&gt;0,SQRT(COUNT(J$183:J$184,J186))," "),"")</f>
        <v/>
      </c>
      <c r="AO229" s="303" t="str">
        <f aca="false">IFERROR(IF(K$183*K$184*K186&gt;0,STDEV(K$183:K$184,K186)," ")/IF(K$183*K$184*K186&gt;0,SQRT(COUNT(K$183:K$184,K186))," "),"")</f>
        <v/>
      </c>
      <c r="AP229" s="303" t="str">
        <f aca="false">IFERROR(IF(L$183*L$184*L186&gt;0,STDEV(L$183:L$184,L186)," ")/IF(L$183*L$184*L186&gt;0,SQRT(COUNT(L$183:L$184,L186))," "),"")</f>
        <v/>
      </c>
      <c r="AQ229" s="303" t="str">
        <f aca="false">IFERROR(IF(M$183*M$184*M186&gt;0,STDEV(M$183:M$184,M186)," ")/IF(M$183*M$184*M186&gt;0,SQRT(COUNT(M$183:M$184,M186))," "),"")</f>
        <v/>
      </c>
      <c r="AR229" s="303" t="str">
        <f aca="false">IFERROR(IF(N$183*N$184*N186&gt;0,STDEV(N$183:N$184,N186)," ")/IF(N$183*N$184*N186&gt;0,SQRT(COUNT(N$183:N$184,N186))," "),"")</f>
        <v/>
      </c>
    </row>
    <row r="230" customFormat="false" ht="15.75" hidden="false" customHeight="false" outlineLevel="0" collapsed="false">
      <c r="A230" s="290" t="s">
        <v>255</v>
      </c>
      <c r="B230" s="281"/>
      <c r="C230" s="291" t="str">
        <f aca="false">IFERROR(IF(C$183*C$184*C187&gt;0,AVERAGE(C$183:C$184,C187),""),"")</f>
        <v/>
      </c>
      <c r="D230" s="291" t="str">
        <f aca="false">IFERROR(IF(D$183*D$184*D187&gt;0,AVERAGE(D$183:D$184,D187),""),"")</f>
        <v/>
      </c>
      <c r="E230" s="291" t="str">
        <f aca="false">IFERROR(IF(E$183*E$184*E187&gt;0,AVERAGE(E$183:E$184,E187),""),"")</f>
        <v/>
      </c>
      <c r="F230" s="291" t="str">
        <f aca="false">IFERROR(IF(F$183*F$184*F187&gt;0,AVERAGE(F$183:F$184,F187),""),"")</f>
        <v/>
      </c>
      <c r="G230" s="291" t="str">
        <f aca="false">IFERROR(IF(G$183*G$184*G187&gt;0,AVERAGE(G$183:G$184,G187),""),"")</f>
        <v/>
      </c>
      <c r="H230" s="291" t="str">
        <f aca="false">IFERROR(IF(H$183*H$184*H187&gt;0,AVERAGE(H$183:H$184,H187),""),"")</f>
        <v/>
      </c>
      <c r="I230" s="291" t="str">
        <f aca="false">IFERROR(IF(I$183*I$184*I187&gt;0,AVERAGE(I$183:I$184,I187),""),"")</f>
        <v/>
      </c>
      <c r="J230" s="291" t="str">
        <f aca="false">IFERROR(IF(J$183*J$184*J187&gt;0,AVERAGE(J$183:J$184,J187),""),"")</f>
        <v/>
      </c>
      <c r="K230" s="291" t="str">
        <f aca="false">IFERROR(IF(K$183*K$184*K187&gt;0,AVERAGE(K$183:K$184,K187),""),"")</f>
        <v/>
      </c>
      <c r="L230" s="291" t="str">
        <f aca="false">IFERROR(IF(L$183*L$184*L187&gt;0,AVERAGE(L$183:L$184,L187),""),"")</f>
        <v/>
      </c>
      <c r="M230" s="291" t="str">
        <f aca="false">IFERROR(IF(M$183*M$184*M187&gt;0,AVERAGE(M$183:M$184,M187),""),"")</f>
        <v/>
      </c>
      <c r="N230" s="291" t="str">
        <f aca="false">IFERROR(IF(N$183*N$184*N187&gt;0,AVERAGE(N$183:N$184,N187),""),"")</f>
        <v/>
      </c>
      <c r="O230" s="295"/>
      <c r="P230" s="282"/>
      <c r="Q230" s="296"/>
      <c r="R230" s="293" t="s">
        <v>366</v>
      </c>
      <c r="S230" s="294" t="str">
        <f aca="false">IFERROR(IF(C$183*C$184*C187&gt;0,STDEV(C$183:C$184,C187),"")/IF(C$183*C$184*C187&gt;0,AVERAGE(C$183:C$184,C187),""),"")</f>
        <v/>
      </c>
      <c r="T230" s="294" t="str">
        <f aca="false">IFERROR(IF(D$183*D$184*D187&gt;0,STDEV(D$183:D$184,D187),"")/IF(D$183*D$184*D187&gt;0,AVERAGE(D$183:D$184,D187),""),"")</f>
        <v/>
      </c>
      <c r="U230" s="294" t="str">
        <f aca="false">IFERROR(IF(E$183*E$184*E187&gt;0,STDEV(E$183:E$184,E187),"")/IF(E$183*E$184*E187&gt;0,AVERAGE(E$183:E$184,E187),""),"")</f>
        <v/>
      </c>
      <c r="V230" s="294" t="str">
        <f aca="false">IFERROR(IF(F$183*F$184*F187&gt;0,STDEV(F$183:F$184,F187),"")/IF(F$183*F$184*F187&gt;0,AVERAGE(F$183:F$184,F187),""),"")</f>
        <v/>
      </c>
      <c r="W230" s="294" t="str">
        <f aca="false">IFERROR(IF(G$183*G$184*G187&gt;0,STDEV(G$183:G$184,G187),"")/IF(G$183*G$184*G187&gt;0,AVERAGE(G$183:G$184,G187),""),"")</f>
        <v/>
      </c>
      <c r="X230" s="294" t="str">
        <f aca="false">IFERROR(IF(H$183*H$184*H187&gt;0,STDEV(H$183:H$184,H187),"")/IF(H$183*H$184*H187&gt;0,AVERAGE(H$183:H$184,H187),""),"")</f>
        <v/>
      </c>
      <c r="Y230" s="294" t="str">
        <f aca="false">IFERROR(IF(I$183*I$184*I187&gt;0,STDEV(I$183:I$184,I187),"")/IF(I$183*I$184*I187&gt;0,AVERAGE(I$183:I$184,I187),""),"")</f>
        <v/>
      </c>
      <c r="Z230" s="294" t="str">
        <f aca="false">IFERROR(IF(J$183*J$184*J187&gt;0,STDEV(J$183:J$184,J187),"")/IF(J$183*J$184*J187&gt;0,AVERAGE(J$183:J$184,J187),""),"")</f>
        <v/>
      </c>
      <c r="AA230" s="294" t="str">
        <f aca="false">IFERROR(IF(K$183*K$184*K187&gt;0,STDEV(K$183:K$184,K187),"")/IF(K$183*K$184*K187&gt;0,AVERAGE(K$183:K$184,K187),""),"")</f>
        <v/>
      </c>
      <c r="AB230" s="294" t="str">
        <f aca="false">IFERROR(IF(L$183*L$184*L187&gt;0,STDEV(L$183:L$184,L187),"")/IF(L$183*L$184*L187&gt;0,AVERAGE(L$183:L$184,L187),""),"")</f>
        <v/>
      </c>
      <c r="AC230" s="294" t="str">
        <f aca="false">IFERROR(IF(M$183*M$184*M187&gt;0,STDEV(M$183:M$184,M187),"")/IF(M$183*M$184*M187&gt;0,AVERAGE(M$183:M$184,M187),""),"")</f>
        <v/>
      </c>
      <c r="AD230" s="294" t="str">
        <f aca="false">IFERROR(IF(N$183*N$184*N187&gt;0,STDEV(N$183:N$184,N187),"")/IF(N$183*N$184*N187&gt;0,AVERAGE(N$183:N$184,N187),""),"")</f>
        <v/>
      </c>
      <c r="AE230" s="120"/>
      <c r="AF230" s="266" t="s">
        <v>367</v>
      </c>
      <c r="AG230" s="303" t="str">
        <f aca="false">IFERROR(IF(C$183*C$184*C187&gt;0,STDEV(C$183:C$184,C187)," ")/IF(C$183*C$184*C187&gt;0,SQRT(COUNT(C$183:C$184,C187))," "),"")</f>
        <v/>
      </c>
      <c r="AH230" s="303" t="str">
        <f aca="false">IFERROR(IF(D$183*D$184*D187&gt;0,STDEV(D$183:D$184,D187)," ")/IF(D$183*D$184*D187&gt;0,SQRT(COUNT(D$183:D$184,D187))," "),"")</f>
        <v/>
      </c>
      <c r="AI230" s="303" t="str">
        <f aca="false">IFERROR(IF(E$183*E$184*E187&gt;0,STDEV(E$183:E$184,E187)," ")/IF(E$183*E$184*E187&gt;0,SQRT(COUNT(E$183:E$184,E187))," "),"")</f>
        <v/>
      </c>
      <c r="AJ230" s="303" t="str">
        <f aca="false">IFERROR(IF(F$183*F$184*F187&gt;0,STDEV(F$183:F$184,F187)," ")/IF(F$183*F$184*F187&gt;0,SQRT(COUNT(F$183:F$184,F187))," "),"")</f>
        <v/>
      </c>
      <c r="AK230" s="303" t="str">
        <f aca="false">IFERROR(IF(G$183*G$184*G187&gt;0,STDEV(G$183:G$184,G187)," ")/IF(G$183*G$184*G187&gt;0,SQRT(COUNT(G$183:G$184,G187))," "),"")</f>
        <v/>
      </c>
      <c r="AL230" s="303" t="str">
        <f aca="false">IFERROR(IF(H$183*H$184*H187&gt;0,STDEV(H$183:H$184,H187)," ")/IF(H$183*H$184*H187&gt;0,SQRT(COUNT(H$183:H$184,H187))," "),"")</f>
        <v/>
      </c>
      <c r="AM230" s="303" t="str">
        <f aca="false">IFERROR(IF(I$183*I$184*I187&gt;0,STDEV(I$183:I$184,I187)," ")/IF(I$183*I$184*I187&gt;0,SQRT(COUNT(I$183:I$184,I187))," "),"")</f>
        <v/>
      </c>
      <c r="AN230" s="303" t="str">
        <f aca="false">IFERROR(IF(J$183*J$184*J187&gt;0,STDEV(J$183:J$184,J187)," ")/IF(J$183*J$184*J187&gt;0,SQRT(COUNT(J$183:J$184,J187))," "),"")</f>
        <v/>
      </c>
      <c r="AO230" s="303" t="str">
        <f aca="false">IFERROR(IF(K$183*K$184*K187&gt;0,STDEV(K$183:K$184,K187)," ")/IF(K$183*K$184*K187&gt;0,SQRT(COUNT(K$183:K$184,K187))," "),"")</f>
        <v/>
      </c>
      <c r="AP230" s="303" t="str">
        <f aca="false">IFERROR(IF(L$183*L$184*L187&gt;0,STDEV(L$183:L$184,L187)," ")/IF(L$183*L$184*L187&gt;0,SQRT(COUNT(L$183:L$184,L187))," "),"")</f>
        <v/>
      </c>
      <c r="AQ230" s="303" t="str">
        <f aca="false">IFERROR(IF(M$183*M$184*M187&gt;0,STDEV(M$183:M$184,M187)," ")/IF(M$183*M$184*M187&gt;0,SQRT(COUNT(M$183:M$184,M187))," "),"")</f>
        <v/>
      </c>
      <c r="AR230" s="303" t="str">
        <f aca="false">IFERROR(IF(N$183*N$184*N187&gt;0,STDEV(N$183:N$184,N187)," ")/IF(N$183*N$184*N187&gt;0,SQRT(COUNT(N$183:N$184,N187))," "),"")</f>
        <v/>
      </c>
    </row>
    <row r="231" customFormat="false" ht="15.75" hidden="false" customHeight="false" outlineLevel="0" collapsed="false">
      <c r="A231" s="290" t="s">
        <v>256</v>
      </c>
      <c r="B231" s="281"/>
      <c r="C231" s="291" t="str">
        <f aca="false">IFERROR(IF(C$183*C$184*C188&gt;0,AVERAGE(C$183:C$184,C188),""),"")</f>
        <v/>
      </c>
      <c r="D231" s="291" t="str">
        <f aca="false">IFERROR(IF(D$183*D$184*D188&gt;0,AVERAGE(D$183:D$184,D188),""),"")</f>
        <v/>
      </c>
      <c r="E231" s="291" t="str">
        <f aca="false">IFERROR(IF(E$183*E$184*E188&gt;0,AVERAGE(E$183:E$184,E188),""),"")</f>
        <v/>
      </c>
      <c r="F231" s="291" t="str">
        <f aca="false">IFERROR(IF(F$183*F$184*F188&gt;0,AVERAGE(F$183:F$184,F188),""),"")</f>
        <v/>
      </c>
      <c r="G231" s="291" t="str">
        <f aca="false">IFERROR(IF(G$183*G$184*G188&gt;0,AVERAGE(G$183:G$184,G188),""),"")</f>
        <v/>
      </c>
      <c r="H231" s="291" t="str">
        <f aca="false">IFERROR(IF(H$183*H$184*H188&gt;0,AVERAGE(H$183:H$184,H188),""),"")</f>
        <v/>
      </c>
      <c r="I231" s="291" t="str">
        <f aca="false">IFERROR(IF(I$183*I$184*I188&gt;0,AVERAGE(I$183:I$184,I188),""),"")</f>
        <v/>
      </c>
      <c r="J231" s="291" t="str">
        <f aca="false">IFERROR(IF(J$183*J$184*J188&gt;0,AVERAGE(J$183:J$184,J188),""),"")</f>
        <v/>
      </c>
      <c r="K231" s="291" t="str">
        <f aca="false">IFERROR(IF(K$183*K$184*K188&gt;0,AVERAGE(K$183:K$184,K188),""),"")</f>
        <v/>
      </c>
      <c r="L231" s="291" t="str">
        <f aca="false">IFERROR(IF(L$183*L$184*L188&gt;0,AVERAGE(L$183:L$184,L188),""),"")</f>
        <v/>
      </c>
      <c r="M231" s="291" t="str">
        <f aca="false">IFERROR(IF(M$183*M$184*M188&gt;0,AVERAGE(M$183:M$184,M188),""),"")</f>
        <v/>
      </c>
      <c r="N231" s="291" t="str">
        <f aca="false">IFERROR(IF(N$183*N$184*N188&gt;0,AVERAGE(N$183:N$184,N188),""),"")</f>
        <v/>
      </c>
      <c r="O231" s="295"/>
      <c r="P231" s="282"/>
      <c r="Q231" s="296"/>
      <c r="R231" s="293" t="s">
        <v>368</v>
      </c>
      <c r="S231" s="294" t="str">
        <f aca="false">IFERROR(IF(C$183*C$184*C188&gt;0,STDEV(C$183:C$184,C188),"")/IF(C$183*C$184*C188&gt;0,AVERAGE(C$183:C$184,C188),""),"")</f>
        <v/>
      </c>
      <c r="T231" s="294" t="str">
        <f aca="false">IFERROR(IF(D$183*D$184*D188&gt;0,STDEV(D$183:D$184,D188),"")/IF(D$183*D$184*D188&gt;0,AVERAGE(D$183:D$184,D188),""),"")</f>
        <v/>
      </c>
      <c r="U231" s="294" t="str">
        <f aca="false">IFERROR(IF(E$183*E$184*E188&gt;0,STDEV(E$183:E$184,E188),"")/IF(E$183*E$184*E188&gt;0,AVERAGE(E$183:E$184,E188),""),"")</f>
        <v/>
      </c>
      <c r="V231" s="294" t="str">
        <f aca="false">IFERROR(IF(F$183*F$184*F188&gt;0,STDEV(F$183:F$184,F188),"")/IF(F$183*F$184*F188&gt;0,AVERAGE(F$183:F$184,F188),""),"")</f>
        <v/>
      </c>
      <c r="W231" s="294" t="str">
        <f aca="false">IFERROR(IF(G$183*G$184*G188&gt;0,STDEV(G$183:G$184,G188),"")/IF(G$183*G$184*G188&gt;0,AVERAGE(G$183:G$184,G188),""),"")</f>
        <v/>
      </c>
      <c r="X231" s="294" t="str">
        <f aca="false">IFERROR(IF(H$183*H$184*H188&gt;0,STDEV(H$183:H$184,H188),"")/IF(H$183*H$184*H188&gt;0,AVERAGE(H$183:H$184,H188),""),"")</f>
        <v/>
      </c>
      <c r="Y231" s="294" t="str">
        <f aca="false">IFERROR(IF(I$183*I$184*I188&gt;0,STDEV(I$183:I$184,I188),"")/IF(I$183*I$184*I188&gt;0,AVERAGE(I$183:I$184,I188),""),"")</f>
        <v/>
      </c>
      <c r="Z231" s="294" t="str">
        <f aca="false">IFERROR(IF(J$183*J$184*J188&gt;0,STDEV(J$183:J$184,J188),"")/IF(J$183*J$184*J188&gt;0,AVERAGE(J$183:J$184,J188),""),"")</f>
        <v/>
      </c>
      <c r="AA231" s="294" t="str">
        <f aca="false">IFERROR(IF(K$183*K$184*K188&gt;0,STDEV(K$183:K$184,K188),"")/IF(K$183*K$184*K188&gt;0,AVERAGE(K$183:K$184,K188),""),"")</f>
        <v/>
      </c>
      <c r="AB231" s="294" t="str">
        <f aca="false">IFERROR(IF(L$183*L$184*L188&gt;0,STDEV(L$183:L$184,L188),"")/IF(L$183*L$184*L188&gt;0,AVERAGE(L$183:L$184,L188),""),"")</f>
        <v/>
      </c>
      <c r="AC231" s="294" t="str">
        <f aca="false">IFERROR(IF(M$183*M$184*M188&gt;0,STDEV(M$183:M$184,M188),"")/IF(M$183*M$184*M188&gt;0,AVERAGE(M$183:M$184,M188),""),"")</f>
        <v/>
      </c>
      <c r="AD231" s="294" t="str">
        <f aca="false">IFERROR(IF(N$183*N$184*N188&gt;0,STDEV(N$183:N$184,N188),"")/IF(N$183*N$184*N188&gt;0,AVERAGE(N$183:N$184,N188),""),"")</f>
        <v/>
      </c>
      <c r="AE231" s="120"/>
      <c r="AF231" s="266" t="s">
        <v>369</v>
      </c>
      <c r="AG231" s="303" t="str">
        <f aca="false">IFERROR(IF(C$183*C$184*C188&gt;0,STDEV(C$183:C$184,C188)," ")/IF(C$183*C$184*C188&gt;0,SQRT(COUNT(C$183:C$184,C188))," "),"")</f>
        <v/>
      </c>
      <c r="AH231" s="303" t="str">
        <f aca="false">IFERROR(IF(D$183*D$184*D188&gt;0,STDEV(D$183:D$184,D188)," ")/IF(D$183*D$184*D188&gt;0,SQRT(COUNT(D$183:D$184,D188))," "),"")</f>
        <v/>
      </c>
      <c r="AI231" s="303" t="str">
        <f aca="false">IFERROR(IF(E$183*E$184*E188&gt;0,STDEV(E$183:E$184,E188)," ")/IF(E$183*E$184*E188&gt;0,SQRT(COUNT(E$183:E$184,E188))," "),"")</f>
        <v/>
      </c>
      <c r="AJ231" s="303" t="str">
        <f aca="false">IFERROR(IF(F$183*F$184*F188&gt;0,STDEV(F$183:F$184,F188)," ")/IF(F$183*F$184*F188&gt;0,SQRT(COUNT(F$183:F$184,F188))," "),"")</f>
        <v/>
      </c>
      <c r="AK231" s="303" t="str">
        <f aca="false">IFERROR(IF(G$183*G$184*G188&gt;0,STDEV(G$183:G$184,G188)," ")/IF(G$183*G$184*G188&gt;0,SQRT(COUNT(G$183:G$184,G188))," "),"")</f>
        <v/>
      </c>
      <c r="AL231" s="303" t="str">
        <f aca="false">IFERROR(IF(H$183*H$184*H188&gt;0,STDEV(H$183:H$184,H188)," ")/IF(H$183*H$184*H188&gt;0,SQRT(COUNT(H$183:H$184,H188))," "),"")</f>
        <v/>
      </c>
      <c r="AM231" s="303" t="str">
        <f aca="false">IFERROR(IF(I$183*I$184*I188&gt;0,STDEV(I$183:I$184,I188)," ")/IF(I$183*I$184*I188&gt;0,SQRT(COUNT(I$183:I$184,I188))," "),"")</f>
        <v/>
      </c>
      <c r="AN231" s="303" t="str">
        <f aca="false">IFERROR(IF(J$183*J$184*J188&gt;0,STDEV(J$183:J$184,J188)," ")/IF(J$183*J$184*J188&gt;0,SQRT(COUNT(J$183:J$184,J188))," "),"")</f>
        <v/>
      </c>
      <c r="AO231" s="303" t="str">
        <f aca="false">IFERROR(IF(K$183*K$184*K188&gt;0,STDEV(K$183:K$184,K188)," ")/IF(K$183*K$184*K188&gt;0,SQRT(COUNT(K$183:K$184,K188))," "),"")</f>
        <v/>
      </c>
      <c r="AP231" s="303" t="str">
        <f aca="false">IFERROR(IF(L$183*L$184*L188&gt;0,STDEV(L$183:L$184,L188)," ")/IF(L$183*L$184*L188&gt;0,SQRT(COUNT(L$183:L$184,L188))," "),"")</f>
        <v/>
      </c>
      <c r="AQ231" s="303" t="str">
        <f aca="false">IFERROR(IF(M$183*M$184*M188&gt;0,STDEV(M$183:M$184,M188)," ")/IF(M$183*M$184*M188&gt;0,SQRT(COUNT(M$183:M$184,M188))," "),"")</f>
        <v/>
      </c>
      <c r="AR231" s="303" t="str">
        <f aca="false">IFERROR(IF(N$183*N$184*N188&gt;0,STDEV(N$183:N$184,N188)," ")/IF(N$183*N$184*N188&gt;0,SQRT(COUNT(N$183:N$184,N188))," "),"")</f>
        <v/>
      </c>
    </row>
    <row r="232" customFormat="false" ht="15.75" hidden="false" customHeight="false" outlineLevel="0" collapsed="false">
      <c r="A232" s="290" t="s">
        <v>257</v>
      </c>
      <c r="B232" s="281"/>
      <c r="C232" s="291" t="str">
        <f aca="false">IFERROR(IF(C$184*C$185*C182&gt;0,AVERAGE(C$184:C$185,C182),""),"")</f>
        <v/>
      </c>
      <c r="D232" s="291" t="str">
        <f aca="false">IFERROR(IF(D$184*D$185*D182&gt;0,AVERAGE(D$184:D$185,D182),""),"")</f>
        <v/>
      </c>
      <c r="E232" s="291" t="str">
        <f aca="false">IFERROR(IF(E$184*E$185*E182&gt;0,AVERAGE(E$184:E$185,E182),""),"")</f>
        <v/>
      </c>
      <c r="F232" s="291" t="str">
        <f aca="false">IFERROR(IF(F$184*F$185*F182&gt;0,AVERAGE(F$184:F$185,F182),""),"")</f>
        <v/>
      </c>
      <c r="G232" s="291" t="str">
        <f aca="false">IFERROR(IF(G$184*G$185*G182&gt;0,AVERAGE(G$184:G$185,G182),""),"")</f>
        <v/>
      </c>
      <c r="H232" s="291" t="str">
        <f aca="false">IFERROR(IF(H$184*H$185*H182&gt;0,AVERAGE(H$184:H$185,H182),""),"")</f>
        <v/>
      </c>
      <c r="I232" s="291" t="str">
        <f aca="false">IFERROR(IF(I$184*I$185*I182&gt;0,AVERAGE(I$184:I$185,I182),""),"")</f>
        <v/>
      </c>
      <c r="J232" s="291" t="str">
        <f aca="false">IFERROR(IF(J$184*J$185*J182&gt;0,AVERAGE(J$184:J$185,J182),""),"")</f>
        <v/>
      </c>
      <c r="K232" s="291" t="str">
        <f aca="false">IFERROR(IF(K$184*K$185*K182&gt;0,AVERAGE(K$184:K$185,K182),""),"")</f>
        <v/>
      </c>
      <c r="L232" s="291" t="str">
        <f aca="false">IFERROR(IF(L$184*L$185*L182&gt;0,AVERAGE(L$184:L$185,L182),""),"")</f>
        <v/>
      </c>
      <c r="M232" s="291" t="str">
        <f aca="false">IFERROR(IF(M$184*M$185*M182&gt;0,AVERAGE(M$184:M$185,M182),""),"")</f>
        <v/>
      </c>
      <c r="N232" s="291" t="str">
        <f aca="false">IFERROR(IF(N$184*N$185*N182&gt;0,AVERAGE(N$184:N$185,N182),""),"")</f>
        <v/>
      </c>
      <c r="O232" s="295"/>
      <c r="P232" s="282"/>
      <c r="Q232" s="296"/>
      <c r="R232" s="293" t="s">
        <v>370</v>
      </c>
      <c r="S232" s="294" t="str">
        <f aca="false">IFERROR(IF(C$184*C$185*C182&gt;0,STDEV(C$184:C$185,C182),"")/IF(C$184*C$185*C182&gt;0,AVERAGE(C$184:C$185,C182),""),"")</f>
        <v/>
      </c>
      <c r="T232" s="294" t="str">
        <f aca="false">IFERROR(IF(D$184*D$185*D182&gt;0,STDEV(D$184:D$185,D182),"")/IF(D$184*D$185*D182&gt;0,AVERAGE(D$184:D$185,D182),""),"")</f>
        <v/>
      </c>
      <c r="U232" s="294" t="str">
        <f aca="false">IFERROR(IF(E$184*E$185*E182&gt;0,STDEV(E$184:E$185,E182),"")/IF(E$184*E$185*E182&gt;0,AVERAGE(E$184:E$185,E182),""),"")</f>
        <v/>
      </c>
      <c r="V232" s="294" t="str">
        <f aca="false">IFERROR(IF(F$184*F$185*F182&gt;0,STDEV(F$184:F$185,F182),"")/IF(F$184*F$185*F182&gt;0,AVERAGE(F$184:F$185,F182),""),"")</f>
        <v/>
      </c>
      <c r="W232" s="294" t="str">
        <f aca="false">IFERROR(IF(G$184*G$185*G182&gt;0,STDEV(G$184:G$185,G182),"")/IF(G$184*G$185*G182&gt;0,AVERAGE(G$184:G$185,G182),""),"")</f>
        <v/>
      </c>
      <c r="X232" s="294" t="str">
        <f aca="false">IFERROR(IF(H$184*H$185*H182&gt;0,STDEV(H$184:H$185,H182),"")/IF(H$184*H$185*H182&gt;0,AVERAGE(H$184:H$185,H182),""),"")</f>
        <v/>
      </c>
      <c r="Y232" s="294" t="str">
        <f aca="false">IFERROR(IF(I$184*I$185*I182&gt;0,STDEV(I$184:I$185,I182),"")/IF(I$184*I$185*I182&gt;0,AVERAGE(I$184:I$185,I182),""),"")</f>
        <v/>
      </c>
      <c r="Z232" s="294" t="str">
        <f aca="false">IFERROR(IF(J$184*J$185*J182&gt;0,STDEV(J$184:J$185,J182),"")/IF(J$184*J$185*J182&gt;0,AVERAGE(J$184:J$185,J182),""),"")</f>
        <v/>
      </c>
      <c r="AA232" s="294" t="str">
        <f aca="false">IFERROR(IF(K$184*K$185*K182&gt;0,STDEV(K$184:K$185,K182),"")/IF(K$184*K$185*K182&gt;0,AVERAGE(K$184:K$185,K182),""),"")</f>
        <v/>
      </c>
      <c r="AB232" s="294" t="str">
        <f aca="false">IFERROR(IF(L$184*L$185*L182&gt;0,STDEV(L$184:L$185,L182),"")/IF(L$184*L$185*L182&gt;0,AVERAGE(L$184:L$185,L182),""),"")</f>
        <v/>
      </c>
      <c r="AC232" s="294" t="str">
        <f aca="false">IFERROR(IF(M$184*M$185*M182&gt;0,STDEV(M$184:M$185,M182),"")/IF(M$184*M$185*M182&gt;0,AVERAGE(M$184:M$185,M182),""),"")</f>
        <v/>
      </c>
      <c r="AD232" s="294" t="str">
        <f aca="false">IFERROR(IF(N$184*N$185*N182&gt;0,STDEV(N$184:N$185,N182),"")/IF(N$184*N$185*N182&gt;0,AVERAGE(N$184:N$185,N182),""),"")</f>
        <v/>
      </c>
      <c r="AE232" s="120"/>
      <c r="AF232" s="266" t="s">
        <v>371</v>
      </c>
      <c r="AG232" s="303" t="str">
        <f aca="false">IFERROR(IF(C$184*C$185*C182&gt;0,STDEV(C$184:C$185,C182)," ")/IF(C$184*C$185*C182&gt;0,SQRT(COUNT(C$184:C$185,C182))," "),"")</f>
        <v/>
      </c>
      <c r="AH232" s="303" t="str">
        <f aca="false">IFERROR(IF(D$184*D$185*D182&gt;0,STDEV(D$184:D$185,D182)," ")/IF(D$184*D$185*D182&gt;0,SQRT(COUNT(D$184:D$185,D182))," "),"")</f>
        <v/>
      </c>
      <c r="AI232" s="303" t="str">
        <f aca="false">IFERROR(IF(E$184*E$185*E182&gt;0,STDEV(E$184:E$185,E182)," ")/IF(E$184*E$185*E182&gt;0,SQRT(COUNT(E$184:E$185,E182))," "),"")</f>
        <v/>
      </c>
      <c r="AJ232" s="303" t="str">
        <f aca="false">IFERROR(IF(F$184*F$185*F182&gt;0,STDEV(F$184:F$185,F182)," ")/IF(F$184*F$185*F182&gt;0,SQRT(COUNT(F$184:F$185,F182))," "),"")</f>
        <v/>
      </c>
      <c r="AK232" s="303" t="str">
        <f aca="false">IFERROR(IF(G$184*G$185*G182&gt;0,STDEV(G$184:G$185,G182)," ")/IF(G$184*G$185*G182&gt;0,SQRT(COUNT(G$184:G$185,G182))," "),"")</f>
        <v/>
      </c>
      <c r="AL232" s="303" t="str">
        <f aca="false">IFERROR(IF(H$184*H$185*H182&gt;0,STDEV(H$184:H$185,H182)," ")/IF(H$184*H$185*H182&gt;0,SQRT(COUNT(H$184:H$185,H182))," "),"")</f>
        <v/>
      </c>
      <c r="AM232" s="303" t="str">
        <f aca="false">IFERROR(IF(I$184*I$185*I182&gt;0,STDEV(I$184:I$185,I182)," ")/IF(I$184*I$185*I182&gt;0,SQRT(COUNT(I$184:I$185,I182))," "),"")</f>
        <v/>
      </c>
      <c r="AN232" s="303" t="str">
        <f aca="false">IFERROR(IF(J$184*J$185*J182&gt;0,STDEV(J$184:J$185,J182)," ")/IF(J$184*J$185*J182&gt;0,SQRT(COUNT(J$184:J$185,J182))," "),"")</f>
        <v/>
      </c>
      <c r="AO232" s="303" t="str">
        <f aca="false">IFERROR(IF(K$184*K$185*K182&gt;0,STDEV(K$184:K$185,K182)," ")/IF(K$184*K$185*K182&gt;0,SQRT(COUNT(K$184:K$185,K182))," "),"")</f>
        <v/>
      </c>
      <c r="AP232" s="303" t="str">
        <f aca="false">IFERROR(IF(L$184*L$185*L182&gt;0,STDEV(L$184:L$185,L182)," ")/IF(L$184*L$185*L182&gt;0,SQRT(COUNT(L$184:L$185,L182))," "),"")</f>
        <v/>
      </c>
      <c r="AQ232" s="303" t="str">
        <f aca="false">IFERROR(IF(M$184*M$185*M182&gt;0,STDEV(M$184:M$185,M182)," ")/IF(M$184*M$185*M182&gt;0,SQRT(COUNT(M$184:M$185,M182))," "),"")</f>
        <v/>
      </c>
      <c r="AR232" s="303" t="str">
        <f aca="false">IFERROR(IF(N$184*N$185*N182&gt;0,STDEV(N$184:N$185,N182)," ")/IF(N$184*N$185*N182&gt;0,SQRT(COUNT(N$184:N$185,N182))," "),"")</f>
        <v/>
      </c>
    </row>
    <row r="233" customFormat="false" ht="15.75" hidden="false" customHeight="false" outlineLevel="0" collapsed="false">
      <c r="A233" s="290" t="s">
        <v>258</v>
      </c>
      <c r="B233" s="281"/>
      <c r="C233" s="291" t="str">
        <f aca="false">IFERROR(IF(C$184*C$185*C186&gt;0,AVERAGE(C$184:C$185,C186),""),"")</f>
        <v/>
      </c>
      <c r="D233" s="291" t="str">
        <f aca="false">IFERROR(IF(D$184*D$185*D186&gt;0,AVERAGE(D$184:D$185,D186),""),"")</f>
        <v/>
      </c>
      <c r="E233" s="291" t="str">
        <f aca="false">IFERROR(IF(E$184*E$185*E186&gt;0,AVERAGE(E$184:E$185,E186),""),"")</f>
        <v/>
      </c>
      <c r="F233" s="291" t="str">
        <f aca="false">IFERROR(IF(F$184*F$185*F186&gt;0,AVERAGE(F$184:F$185,F186),""),"")</f>
        <v/>
      </c>
      <c r="G233" s="291" t="str">
        <f aca="false">IFERROR(IF(G$184*G$185*G186&gt;0,AVERAGE(G$184:G$185,G186),""),"")</f>
        <v/>
      </c>
      <c r="H233" s="291" t="str">
        <f aca="false">IFERROR(IF(H$184*H$185*H186&gt;0,AVERAGE(H$184:H$185,H186),""),"")</f>
        <v/>
      </c>
      <c r="I233" s="291" t="str">
        <f aca="false">IFERROR(IF(I$184*I$185*I186&gt;0,AVERAGE(I$184:I$185,I186),""),"")</f>
        <v/>
      </c>
      <c r="J233" s="291" t="str">
        <f aca="false">IFERROR(IF(J$184*J$185*J186&gt;0,AVERAGE(J$184:J$185,J186),""),"")</f>
        <v/>
      </c>
      <c r="K233" s="291" t="str">
        <f aca="false">IFERROR(IF(K$184*K$185*K186&gt;0,AVERAGE(K$184:K$185,K186),""),"")</f>
        <v/>
      </c>
      <c r="L233" s="291" t="str">
        <f aca="false">IFERROR(IF(L$184*L$185*L186&gt;0,AVERAGE(L$184:L$185,L186),""),"")</f>
        <v/>
      </c>
      <c r="M233" s="291" t="str">
        <f aca="false">IFERROR(IF(M$184*M$185*M186&gt;0,AVERAGE(M$184:M$185,M186),""),"")</f>
        <v/>
      </c>
      <c r="N233" s="291" t="str">
        <f aca="false">IFERROR(IF(N$184*N$185*N186&gt;0,AVERAGE(N$184:N$185,N186),""),"")</f>
        <v/>
      </c>
      <c r="O233" s="295"/>
      <c r="P233" s="282"/>
      <c r="Q233" s="296"/>
      <c r="R233" s="293" t="s">
        <v>372</v>
      </c>
      <c r="S233" s="294" t="str">
        <f aca="false">IFERROR(IF(C$184*C$185*C186&gt;0,STDEV(C$184:C$185,C186),"")/IF(C$184*C$185*C186&gt;0,AVERAGE(C$184:C$185,C186),""),"")</f>
        <v/>
      </c>
      <c r="T233" s="294" t="str">
        <f aca="false">IFERROR(IF(D$184*D$185*D186&gt;0,STDEV(D$184:D$185,D186),"")/IF(D$184*D$185*D186&gt;0,AVERAGE(D$184:D$185,D186),""),"")</f>
        <v/>
      </c>
      <c r="U233" s="294" t="str">
        <f aca="false">IFERROR(IF(E$184*E$185*E186&gt;0,STDEV(E$184:E$185,E186),"")/IF(E$184*E$185*E186&gt;0,AVERAGE(E$184:E$185,E186),""),"")</f>
        <v/>
      </c>
      <c r="V233" s="294" t="str">
        <f aca="false">IFERROR(IF(F$184*F$185*F186&gt;0,STDEV(F$184:F$185,F186),"")/IF(F$184*F$185*F186&gt;0,AVERAGE(F$184:F$185,F186),""),"")</f>
        <v/>
      </c>
      <c r="W233" s="294" t="str">
        <f aca="false">IFERROR(IF(G$184*G$185*G186&gt;0,STDEV(G$184:G$185,G186),"")/IF(G$184*G$185*G186&gt;0,AVERAGE(G$184:G$185,G186),""),"")</f>
        <v/>
      </c>
      <c r="X233" s="294" t="str">
        <f aca="false">IFERROR(IF(H$184*H$185*H186&gt;0,STDEV(H$184:H$185,H186),"")/IF(H$184*H$185*H186&gt;0,AVERAGE(H$184:H$185,H186),""),"")</f>
        <v/>
      </c>
      <c r="Y233" s="294" t="str">
        <f aca="false">IFERROR(IF(I$184*I$185*I186&gt;0,STDEV(I$184:I$185,I186),"")/IF(I$184*I$185*I186&gt;0,AVERAGE(I$184:I$185,I186),""),"")</f>
        <v/>
      </c>
      <c r="Z233" s="294" t="str">
        <f aca="false">IFERROR(IF(J$184*J$185*J186&gt;0,STDEV(J$184:J$185,J186),"")/IF(J$184*J$185*J186&gt;0,AVERAGE(J$184:J$185,J186),""),"")</f>
        <v/>
      </c>
      <c r="AA233" s="294" t="str">
        <f aca="false">IFERROR(IF(K$184*K$185*K186&gt;0,STDEV(K$184:K$185,K186),"")/IF(K$184*K$185*K186&gt;0,AVERAGE(K$184:K$185,K186),""),"")</f>
        <v/>
      </c>
      <c r="AB233" s="294" t="str">
        <f aca="false">IFERROR(IF(L$184*L$185*L186&gt;0,STDEV(L$184:L$185,L186),"")/IF(L$184*L$185*L186&gt;0,AVERAGE(L$184:L$185,L186),""),"")</f>
        <v/>
      </c>
      <c r="AC233" s="294" t="str">
        <f aca="false">IFERROR(IF(M$184*M$185*M186&gt;0,STDEV(M$184:M$185,M186),"")/IF(M$184*M$185*M186&gt;0,AVERAGE(M$184:M$185,M186),""),"")</f>
        <v/>
      </c>
      <c r="AD233" s="294" t="str">
        <f aca="false">IFERROR(IF(N$184*N$185*N186&gt;0,STDEV(N$184:N$185,N186),"")/IF(N$184*N$185*N186&gt;0,AVERAGE(N$184:N$185,N186),""),"")</f>
        <v/>
      </c>
      <c r="AE233" s="120"/>
      <c r="AF233" s="266" t="s">
        <v>373</v>
      </c>
      <c r="AG233" s="303" t="str">
        <f aca="false">IFERROR(IF(C$184*C$185*C186&gt;0,STDEV(C$184:C$185,C186)," ")/IF(C$184*C$185*C186&gt;0,SQRT(COUNT(C$184:C$185,C186))," "),"")</f>
        <v/>
      </c>
      <c r="AH233" s="303" t="str">
        <f aca="false">IFERROR(IF(D$184*D$185*D186&gt;0,STDEV(D$184:D$185,D186)," ")/IF(D$184*D$185*D186&gt;0,SQRT(COUNT(D$184:D$185,D186))," "),"")</f>
        <v/>
      </c>
      <c r="AI233" s="303" t="str">
        <f aca="false">IFERROR(IF(E$184*E$185*E186&gt;0,STDEV(E$184:E$185,E186)," ")/IF(E$184*E$185*E186&gt;0,SQRT(COUNT(E$184:E$185,E186))," "),"")</f>
        <v/>
      </c>
      <c r="AJ233" s="303" t="str">
        <f aca="false">IFERROR(IF(F$184*F$185*F186&gt;0,STDEV(F$184:F$185,F186)," ")/IF(F$184*F$185*F186&gt;0,SQRT(COUNT(F$184:F$185,F186))," "),"")</f>
        <v/>
      </c>
      <c r="AK233" s="303" t="str">
        <f aca="false">IFERROR(IF(G$184*G$185*G186&gt;0,STDEV(G$184:G$185,G186)," ")/IF(G$184*G$185*G186&gt;0,SQRT(COUNT(G$184:G$185,G186))," "),"")</f>
        <v/>
      </c>
      <c r="AL233" s="303" t="str">
        <f aca="false">IFERROR(IF(H$184*H$185*H186&gt;0,STDEV(H$184:H$185,H186)," ")/IF(H$184*H$185*H186&gt;0,SQRT(COUNT(H$184:H$185,H186))," "),"")</f>
        <v/>
      </c>
      <c r="AM233" s="303" t="str">
        <f aca="false">IFERROR(IF(I$184*I$185*I186&gt;0,STDEV(I$184:I$185,I186)," ")/IF(I$184*I$185*I186&gt;0,SQRT(COUNT(I$184:I$185,I186))," "),"")</f>
        <v/>
      </c>
      <c r="AN233" s="303" t="str">
        <f aca="false">IFERROR(IF(J$184*J$185*J186&gt;0,STDEV(J$184:J$185,J186)," ")/IF(J$184*J$185*J186&gt;0,SQRT(COUNT(J$184:J$185,J186))," "),"")</f>
        <v/>
      </c>
      <c r="AO233" s="303" t="str">
        <f aca="false">IFERROR(IF(K$184*K$185*K186&gt;0,STDEV(K$184:K$185,K186)," ")/IF(K$184*K$185*K186&gt;0,SQRT(COUNT(K$184:K$185,K186))," "),"")</f>
        <v/>
      </c>
      <c r="AP233" s="303" t="str">
        <f aca="false">IFERROR(IF(L$184*L$185*L186&gt;0,STDEV(L$184:L$185,L186)," ")/IF(L$184*L$185*L186&gt;0,SQRT(COUNT(L$184:L$185,L186))," "),"")</f>
        <v/>
      </c>
      <c r="AQ233" s="303" t="str">
        <f aca="false">IFERROR(IF(M$184*M$185*M186&gt;0,STDEV(M$184:M$185,M186)," ")/IF(M$184*M$185*M186&gt;0,SQRT(COUNT(M$184:M$185,M186))," "),"")</f>
        <v/>
      </c>
      <c r="AR233" s="303" t="str">
        <f aca="false">IFERROR(IF(N$184*N$185*N186&gt;0,STDEV(N$184:N$185,N186)," ")/IF(N$184*N$185*N186&gt;0,SQRT(COUNT(N$184:N$185,N186))," "),"")</f>
        <v/>
      </c>
    </row>
    <row r="234" customFormat="false" ht="15.75" hidden="false" customHeight="false" outlineLevel="0" collapsed="false">
      <c r="A234" s="290" t="s">
        <v>259</v>
      </c>
      <c r="B234" s="281"/>
      <c r="C234" s="291" t="str">
        <f aca="false">IFERROR(IF(C$184*C$185*C187&gt;0,AVERAGE(C$184:C$185,C187),""),"")</f>
        <v/>
      </c>
      <c r="D234" s="291" t="str">
        <f aca="false">IFERROR(IF(D$184*D$185*D187&gt;0,AVERAGE(D$184:D$185,D187),""),"")</f>
        <v/>
      </c>
      <c r="E234" s="291" t="str">
        <f aca="false">IFERROR(IF(E$184*E$185*E187&gt;0,AVERAGE(E$184:E$185,E187),""),"")</f>
        <v/>
      </c>
      <c r="F234" s="291" t="str">
        <f aca="false">IFERROR(IF(F$184*F$185*F187&gt;0,AVERAGE(F$184:F$185,F187),""),"")</f>
        <v/>
      </c>
      <c r="G234" s="291" t="str">
        <f aca="false">IFERROR(IF(G$184*G$185*G187&gt;0,AVERAGE(G$184:G$185,G187),""),"")</f>
        <v/>
      </c>
      <c r="H234" s="291" t="str">
        <f aca="false">IFERROR(IF(H$184*H$185*H187&gt;0,AVERAGE(H$184:H$185,H187),""),"")</f>
        <v/>
      </c>
      <c r="I234" s="291" t="str">
        <f aca="false">IFERROR(IF(I$184*I$185*I187&gt;0,AVERAGE(I$184:I$185,I187),""),"")</f>
        <v/>
      </c>
      <c r="J234" s="291" t="str">
        <f aca="false">IFERROR(IF(J$184*J$185*J187&gt;0,AVERAGE(J$184:J$185,J187),""),"")</f>
        <v/>
      </c>
      <c r="K234" s="291" t="str">
        <f aca="false">IFERROR(IF(K$184*K$185*K187&gt;0,AVERAGE(K$184:K$185,K187),""),"")</f>
        <v/>
      </c>
      <c r="L234" s="291" t="str">
        <f aca="false">IFERROR(IF(L$184*L$185*L187&gt;0,AVERAGE(L$184:L$185,L187),""),"")</f>
        <v/>
      </c>
      <c r="M234" s="291" t="str">
        <f aca="false">IFERROR(IF(M$184*M$185*M187&gt;0,AVERAGE(M$184:M$185,M187),""),"")</f>
        <v/>
      </c>
      <c r="N234" s="291" t="str">
        <f aca="false">IFERROR(IF(N$184*N$185*N187&gt;0,AVERAGE(N$184:N$185,N187),""),"")</f>
        <v/>
      </c>
      <c r="O234" s="295"/>
      <c r="P234" s="282"/>
      <c r="Q234" s="296"/>
      <c r="R234" s="293" t="s">
        <v>374</v>
      </c>
      <c r="S234" s="294" t="str">
        <f aca="false">IFERROR(IF(C$184*C$185*C187&gt;0,STDEV(C$184:C$185,C187),"")/IF(C$184*C$185*C187&gt;0,AVERAGE(C$184:C$185,C187),""),"")</f>
        <v/>
      </c>
      <c r="T234" s="294" t="str">
        <f aca="false">IFERROR(IF(D$184*D$185*D187&gt;0,STDEV(D$184:D$185,D187),"")/IF(D$184*D$185*D187&gt;0,AVERAGE(D$184:D$185,D187),""),"")</f>
        <v/>
      </c>
      <c r="U234" s="294" t="str">
        <f aca="false">IFERROR(IF(E$184*E$185*E187&gt;0,STDEV(E$184:E$185,E187),"")/IF(E$184*E$185*E187&gt;0,AVERAGE(E$184:E$185,E187),""),"")</f>
        <v/>
      </c>
      <c r="V234" s="294" t="str">
        <f aca="false">IFERROR(IF(F$184*F$185*F187&gt;0,STDEV(F$184:F$185,F187),"")/IF(F$184*F$185*F187&gt;0,AVERAGE(F$184:F$185,F187),""),"")</f>
        <v/>
      </c>
      <c r="W234" s="294" t="str">
        <f aca="false">IFERROR(IF(G$184*G$185*G187&gt;0,STDEV(G$184:G$185,G187),"")/IF(G$184*G$185*G187&gt;0,AVERAGE(G$184:G$185,G187),""),"")</f>
        <v/>
      </c>
      <c r="X234" s="294" t="str">
        <f aca="false">IFERROR(IF(H$184*H$185*H187&gt;0,STDEV(H$184:H$185,H187),"")/IF(H$184*H$185*H187&gt;0,AVERAGE(H$184:H$185,H187),""),"")</f>
        <v/>
      </c>
      <c r="Y234" s="294" t="str">
        <f aca="false">IFERROR(IF(I$184*I$185*I187&gt;0,STDEV(I$184:I$185,I187),"")/IF(I$184*I$185*I187&gt;0,AVERAGE(I$184:I$185,I187),""),"")</f>
        <v/>
      </c>
      <c r="Z234" s="294" t="str">
        <f aca="false">IFERROR(IF(J$184*J$185*J187&gt;0,STDEV(J$184:J$185,J187),"")/IF(J$184*J$185*J187&gt;0,AVERAGE(J$184:J$185,J187),""),"")</f>
        <v/>
      </c>
      <c r="AA234" s="294" t="str">
        <f aca="false">IFERROR(IF(K$184*K$185*K187&gt;0,STDEV(K$184:K$185,K187),"")/IF(K$184*K$185*K187&gt;0,AVERAGE(K$184:K$185,K187),""),"")</f>
        <v/>
      </c>
      <c r="AB234" s="294" t="str">
        <f aca="false">IFERROR(IF(L$184*L$185*L187&gt;0,STDEV(L$184:L$185,L187),"")/IF(L$184*L$185*L187&gt;0,AVERAGE(L$184:L$185,L187),""),"")</f>
        <v/>
      </c>
      <c r="AC234" s="294" t="str">
        <f aca="false">IFERROR(IF(M$184*M$185*M187&gt;0,STDEV(M$184:M$185,M187),"")/IF(M$184*M$185*M187&gt;0,AVERAGE(M$184:M$185,M187),""),"")</f>
        <v/>
      </c>
      <c r="AD234" s="294" t="str">
        <f aca="false">IFERROR(IF(N$184*N$185*N187&gt;0,STDEV(N$184:N$185,N187),"")/IF(N$184*N$185*N187&gt;0,AVERAGE(N$184:N$185,N187),""),"")</f>
        <v/>
      </c>
      <c r="AE234" s="120"/>
      <c r="AF234" s="266" t="s">
        <v>375</v>
      </c>
      <c r="AG234" s="303" t="str">
        <f aca="false">IFERROR(IF(C$184*C$185*C187&gt;0,STDEV(C$184:C$185,C187)," ")/IF(C$184*C$185*C187&gt;0,SQRT(COUNT(C$184:C$185,C187))," "),"")</f>
        <v/>
      </c>
      <c r="AH234" s="303" t="str">
        <f aca="false">IFERROR(IF(D$184*D$185*D187&gt;0,STDEV(D$184:D$185,D187)," ")/IF(D$184*D$185*D187&gt;0,SQRT(COUNT(D$184:D$185,D187))," "),"")</f>
        <v/>
      </c>
      <c r="AI234" s="303" t="str">
        <f aca="false">IFERROR(IF(E$184*E$185*E187&gt;0,STDEV(E$184:E$185,E187)," ")/IF(E$184*E$185*E187&gt;0,SQRT(COUNT(E$184:E$185,E187))," "),"")</f>
        <v/>
      </c>
      <c r="AJ234" s="303" t="str">
        <f aca="false">IFERROR(IF(F$184*F$185*F187&gt;0,STDEV(F$184:F$185,F187)," ")/IF(F$184*F$185*F187&gt;0,SQRT(COUNT(F$184:F$185,F187))," "),"")</f>
        <v/>
      </c>
      <c r="AK234" s="303" t="str">
        <f aca="false">IFERROR(IF(G$184*G$185*G187&gt;0,STDEV(G$184:G$185,G187)," ")/IF(G$184*G$185*G187&gt;0,SQRT(COUNT(G$184:G$185,G187))," "),"")</f>
        <v/>
      </c>
      <c r="AL234" s="303" t="str">
        <f aca="false">IFERROR(IF(H$184*H$185*H187&gt;0,STDEV(H$184:H$185,H187)," ")/IF(H$184*H$185*H187&gt;0,SQRT(COUNT(H$184:H$185,H187))," "),"")</f>
        <v/>
      </c>
      <c r="AM234" s="303" t="str">
        <f aca="false">IFERROR(IF(I$184*I$185*I187&gt;0,STDEV(I$184:I$185,I187)," ")/IF(I$184*I$185*I187&gt;0,SQRT(COUNT(I$184:I$185,I187))," "),"")</f>
        <v/>
      </c>
      <c r="AN234" s="303" t="str">
        <f aca="false">IFERROR(IF(J$184*J$185*J187&gt;0,STDEV(J$184:J$185,J187)," ")/IF(J$184*J$185*J187&gt;0,SQRT(COUNT(J$184:J$185,J187))," "),"")</f>
        <v/>
      </c>
      <c r="AO234" s="303" t="str">
        <f aca="false">IFERROR(IF(K$184*K$185*K187&gt;0,STDEV(K$184:K$185,K187)," ")/IF(K$184*K$185*K187&gt;0,SQRT(COUNT(K$184:K$185,K187))," "),"")</f>
        <v/>
      </c>
      <c r="AP234" s="303" t="str">
        <f aca="false">IFERROR(IF(L$184*L$185*L187&gt;0,STDEV(L$184:L$185,L187)," ")/IF(L$184*L$185*L187&gt;0,SQRT(COUNT(L$184:L$185,L187))," "),"")</f>
        <v/>
      </c>
      <c r="AQ234" s="303" t="str">
        <f aca="false">IFERROR(IF(M$184*M$185*M187&gt;0,STDEV(M$184:M$185,M187)," ")/IF(M$184*M$185*M187&gt;0,SQRT(COUNT(M$184:M$185,M187))," "),"")</f>
        <v/>
      </c>
      <c r="AR234" s="303" t="str">
        <f aca="false">IFERROR(IF(N$184*N$185*N187&gt;0,STDEV(N$184:N$185,N187)," ")/IF(N$184*N$185*N187&gt;0,SQRT(COUNT(N$184:N$185,N187))," "),"")</f>
        <v/>
      </c>
    </row>
    <row r="235" customFormat="false" ht="15.75" hidden="false" customHeight="false" outlineLevel="0" collapsed="false">
      <c r="A235" s="290" t="s">
        <v>260</v>
      </c>
      <c r="B235" s="281"/>
      <c r="C235" s="291" t="str">
        <f aca="false">IFERROR(IF(C$184*C$185*C188&gt;0,AVERAGE(C$184:C$185,C188),""),"")</f>
        <v/>
      </c>
      <c r="D235" s="291" t="str">
        <f aca="false">IFERROR(IF(D$184*D$185*D188&gt;0,AVERAGE(D$184:D$185,D188),""),"")</f>
        <v/>
      </c>
      <c r="E235" s="291" t="str">
        <f aca="false">IFERROR(IF(E$184*E$185*E188&gt;0,AVERAGE(E$184:E$185,E188),""),"")</f>
        <v/>
      </c>
      <c r="F235" s="291" t="str">
        <f aca="false">IFERROR(IF(F$184*F$185*F188&gt;0,AVERAGE(F$184:F$185,F188),""),"")</f>
        <v/>
      </c>
      <c r="G235" s="291" t="str">
        <f aca="false">IFERROR(IF(G$184*G$185*G188&gt;0,AVERAGE(G$184:G$185,G188),""),"")</f>
        <v/>
      </c>
      <c r="H235" s="291" t="str">
        <f aca="false">IFERROR(IF(H$184*H$185*H188&gt;0,AVERAGE(H$184:H$185,H188),""),"")</f>
        <v/>
      </c>
      <c r="I235" s="291" t="str">
        <f aca="false">IFERROR(IF(I$184*I$185*I188&gt;0,AVERAGE(I$184:I$185,I188),""),"")</f>
        <v/>
      </c>
      <c r="J235" s="291" t="str">
        <f aca="false">IFERROR(IF(J$184*J$185*J188&gt;0,AVERAGE(J$184:J$185,J188),""),"")</f>
        <v/>
      </c>
      <c r="K235" s="291" t="str">
        <f aca="false">IFERROR(IF(K$184*K$185*K188&gt;0,AVERAGE(K$184:K$185,K188),""),"")</f>
        <v/>
      </c>
      <c r="L235" s="291" t="str">
        <f aca="false">IFERROR(IF(L$184*L$185*L188&gt;0,AVERAGE(L$184:L$185,L188),""),"")</f>
        <v/>
      </c>
      <c r="M235" s="291" t="str">
        <f aca="false">IFERROR(IF(M$184*M$185*M188&gt;0,AVERAGE(M$184:M$185,M188),""),"")</f>
        <v/>
      </c>
      <c r="N235" s="291" t="str">
        <f aca="false">IFERROR(IF(N$184*N$185*N188&gt;0,AVERAGE(N$184:N$185,N188),""),"")</f>
        <v/>
      </c>
      <c r="O235" s="295"/>
      <c r="P235" s="282"/>
      <c r="Q235" s="296"/>
      <c r="R235" s="293" t="s">
        <v>376</v>
      </c>
      <c r="S235" s="294" t="str">
        <f aca="false">IFERROR(IF(C$184*C$185*C188&gt;0,STDEV(C$184:C$185,C188),"")/IF(C$184*C$185*C188&gt;0,AVERAGE(C$184:C$185,C188),""),"")</f>
        <v/>
      </c>
      <c r="T235" s="294" t="str">
        <f aca="false">IFERROR(IF(D$184*D$185*D188&gt;0,STDEV(D$184:D$185,D188),"")/IF(D$184*D$185*D188&gt;0,AVERAGE(D$184:D$185,D188),""),"")</f>
        <v/>
      </c>
      <c r="U235" s="294" t="str">
        <f aca="false">IFERROR(IF(E$184*E$185*E188&gt;0,STDEV(E$184:E$185,E188),"")/IF(E$184*E$185*E188&gt;0,AVERAGE(E$184:E$185,E188),""),"")</f>
        <v/>
      </c>
      <c r="V235" s="294" t="str">
        <f aca="false">IFERROR(IF(F$184*F$185*F188&gt;0,STDEV(F$184:F$185,F188),"")/IF(F$184*F$185*F188&gt;0,AVERAGE(F$184:F$185,F188),""),"")</f>
        <v/>
      </c>
      <c r="W235" s="294" t="str">
        <f aca="false">IFERROR(IF(G$184*G$185*G188&gt;0,STDEV(G$184:G$185,G188),"")/IF(G$184*G$185*G188&gt;0,AVERAGE(G$184:G$185,G188),""),"")</f>
        <v/>
      </c>
      <c r="X235" s="294" t="str">
        <f aca="false">IFERROR(IF(H$184*H$185*H188&gt;0,STDEV(H$184:H$185,H188),"")/IF(H$184*H$185*H188&gt;0,AVERAGE(H$184:H$185,H188),""),"")</f>
        <v/>
      </c>
      <c r="Y235" s="294" t="str">
        <f aca="false">IFERROR(IF(I$184*I$185*I188&gt;0,STDEV(I$184:I$185,I188),"")/IF(I$184*I$185*I188&gt;0,AVERAGE(I$184:I$185,I188),""),"")</f>
        <v/>
      </c>
      <c r="Z235" s="294" t="str">
        <f aca="false">IFERROR(IF(J$184*J$185*J188&gt;0,STDEV(J$184:J$185,J188),"")/IF(J$184*J$185*J188&gt;0,AVERAGE(J$184:J$185,J188),""),"")</f>
        <v/>
      </c>
      <c r="AA235" s="294" t="str">
        <f aca="false">IFERROR(IF(K$184*K$185*K188&gt;0,STDEV(K$184:K$185,K188),"")/IF(K$184*K$185*K188&gt;0,AVERAGE(K$184:K$185,K188),""),"")</f>
        <v/>
      </c>
      <c r="AB235" s="294" t="str">
        <f aca="false">IFERROR(IF(L$184*L$185*L188&gt;0,STDEV(L$184:L$185,L188),"")/IF(L$184*L$185*L188&gt;0,AVERAGE(L$184:L$185,L188),""),"")</f>
        <v/>
      </c>
      <c r="AC235" s="294" t="str">
        <f aca="false">IFERROR(IF(M$184*M$185*M188&gt;0,STDEV(M$184:M$185,M188),"")/IF(M$184*M$185*M188&gt;0,AVERAGE(M$184:M$185,M188),""),"")</f>
        <v/>
      </c>
      <c r="AD235" s="294" t="str">
        <f aca="false">IFERROR(IF(N$184*N$185*N188&gt;0,STDEV(N$184:N$185,N188),"")/IF(N$184*N$185*N188&gt;0,AVERAGE(N$184:N$185,N188),""),"")</f>
        <v/>
      </c>
      <c r="AE235" s="120"/>
      <c r="AF235" s="266" t="s">
        <v>377</v>
      </c>
      <c r="AG235" s="303" t="str">
        <f aca="false">IFERROR(IF(C$184*C$185*C188&gt;0,STDEV(C$184:C$185,C188)," ")/IF(C$184*C$185*C188&gt;0,SQRT(COUNT(C$184:C$185,C188))," "),"")</f>
        <v/>
      </c>
      <c r="AH235" s="303" t="str">
        <f aca="false">IFERROR(IF(D$184*D$185*D188&gt;0,STDEV(D$184:D$185,D188)," ")/IF(D$184*D$185*D188&gt;0,SQRT(COUNT(D$184:D$185,D188))," "),"")</f>
        <v/>
      </c>
      <c r="AI235" s="303" t="str">
        <f aca="false">IFERROR(IF(E$184*E$185*E188&gt;0,STDEV(E$184:E$185,E188)," ")/IF(E$184*E$185*E188&gt;0,SQRT(COUNT(E$184:E$185,E188))," "),"")</f>
        <v/>
      </c>
      <c r="AJ235" s="303" t="str">
        <f aca="false">IFERROR(IF(F$184*F$185*F188&gt;0,STDEV(F$184:F$185,F188)," ")/IF(F$184*F$185*F188&gt;0,SQRT(COUNT(F$184:F$185,F188))," "),"")</f>
        <v/>
      </c>
      <c r="AK235" s="303" t="str">
        <f aca="false">IFERROR(IF(G$184*G$185*G188&gt;0,STDEV(G$184:G$185,G188)," ")/IF(G$184*G$185*G188&gt;0,SQRT(COUNT(G$184:G$185,G188))," "),"")</f>
        <v/>
      </c>
      <c r="AL235" s="303" t="str">
        <f aca="false">IFERROR(IF(H$184*H$185*H188&gt;0,STDEV(H$184:H$185,H188)," ")/IF(H$184*H$185*H188&gt;0,SQRT(COUNT(H$184:H$185,H188))," "),"")</f>
        <v/>
      </c>
      <c r="AM235" s="303" t="str">
        <f aca="false">IFERROR(IF(I$184*I$185*I188&gt;0,STDEV(I$184:I$185,I188)," ")/IF(I$184*I$185*I188&gt;0,SQRT(COUNT(I$184:I$185,I188))," "),"")</f>
        <v/>
      </c>
      <c r="AN235" s="303" t="str">
        <f aca="false">IFERROR(IF(J$184*J$185*J188&gt;0,STDEV(J$184:J$185,J188)," ")/IF(J$184*J$185*J188&gt;0,SQRT(COUNT(J$184:J$185,J188))," "),"")</f>
        <v/>
      </c>
      <c r="AO235" s="303" t="str">
        <f aca="false">IFERROR(IF(K$184*K$185*K188&gt;0,STDEV(K$184:K$185,K188)," ")/IF(K$184*K$185*K188&gt;0,SQRT(COUNT(K$184:K$185,K188))," "),"")</f>
        <v/>
      </c>
      <c r="AP235" s="303" t="str">
        <f aca="false">IFERROR(IF(L$184*L$185*L188&gt;0,STDEV(L$184:L$185,L188)," ")/IF(L$184*L$185*L188&gt;0,SQRT(COUNT(L$184:L$185,L188))," "),"")</f>
        <v/>
      </c>
      <c r="AQ235" s="303" t="str">
        <f aca="false">IFERROR(IF(M$184*M$185*M188&gt;0,STDEV(M$184:M$185,M188)," ")/IF(M$184*M$185*M188&gt;0,SQRT(COUNT(M$184:M$185,M188))," "),"")</f>
        <v/>
      </c>
      <c r="AR235" s="303" t="str">
        <f aca="false">IFERROR(IF(N$184*N$185*N188&gt;0,STDEV(N$184:N$185,N188)," ")/IF(N$184*N$185*N188&gt;0,SQRT(COUNT(N$184:N$185,N188))," "),"")</f>
        <v/>
      </c>
    </row>
    <row r="236" customFormat="false" ht="15.75" hidden="false" customHeight="false" outlineLevel="0" collapsed="false">
      <c r="A236" s="290" t="s">
        <v>261</v>
      </c>
      <c r="B236" s="281"/>
      <c r="C236" s="291" t="str">
        <f aca="false">IFERROR(IF(C$185*C$186*C182&gt;0,AVERAGE(C$185:C$186,C182),""),"")</f>
        <v/>
      </c>
      <c r="D236" s="291" t="str">
        <f aca="false">IFERROR(IF(D$185*D$186*D182&gt;0,AVERAGE(D$185:D$186,D182),""),"")</f>
        <v/>
      </c>
      <c r="E236" s="291" t="str">
        <f aca="false">IFERROR(IF(E$185*E$186*E182&gt;0,AVERAGE(E$185:E$186,E182),""),"")</f>
        <v/>
      </c>
      <c r="F236" s="291" t="str">
        <f aca="false">IFERROR(IF(F$185*F$186*F182&gt;0,AVERAGE(F$185:F$186,F182),""),"")</f>
        <v/>
      </c>
      <c r="G236" s="291" t="str">
        <f aca="false">IFERROR(IF(G$185*G$186*G182&gt;0,AVERAGE(G$185:G$186,G182),""),"")</f>
        <v/>
      </c>
      <c r="H236" s="291" t="str">
        <f aca="false">IFERROR(IF(H$185*H$186*H182&gt;0,AVERAGE(H$185:H$186,H182),""),"")</f>
        <v/>
      </c>
      <c r="I236" s="291" t="str">
        <f aca="false">IFERROR(IF(I$185*I$186*I182&gt;0,AVERAGE(I$185:I$186,I182),""),"")</f>
        <v/>
      </c>
      <c r="J236" s="291" t="str">
        <f aca="false">IFERROR(IF(J$185*J$186*J182&gt;0,AVERAGE(J$185:J$186,J182),""),"")</f>
        <v/>
      </c>
      <c r="K236" s="291" t="str">
        <f aca="false">IFERROR(IF(K$185*K$186*K182&gt;0,AVERAGE(K$185:K$186,K182),""),"")</f>
        <v/>
      </c>
      <c r="L236" s="291" t="str">
        <f aca="false">IFERROR(IF(L$185*L$186*L182&gt;0,AVERAGE(L$185:L$186,L182),""),"")</f>
        <v/>
      </c>
      <c r="M236" s="291" t="str">
        <f aca="false">IFERROR(IF(M$185*M$186*M182&gt;0,AVERAGE(M$185:M$186,M182),""),"")</f>
        <v/>
      </c>
      <c r="N236" s="291" t="str">
        <f aca="false">IFERROR(IF(N$185*N$186*N182&gt;0,AVERAGE(N$185:N$186,N182),""),"")</f>
        <v/>
      </c>
      <c r="O236" s="295"/>
      <c r="P236" s="282"/>
      <c r="Q236" s="296"/>
      <c r="R236" s="293" t="s">
        <v>378</v>
      </c>
      <c r="S236" s="294" t="str">
        <f aca="false">IFERROR(IF(C$185*C$186*C182&gt;0,STDEV(C$185:C$186,C182),"")/IF(C$185*C$186*C182&gt;0,AVERAGE(C$185:C$186,C182),""),"")</f>
        <v/>
      </c>
      <c r="T236" s="294" t="str">
        <f aca="false">IFERROR(IF(D$185*D$186*D182&gt;0,STDEV(D$185:D$186,D182),"")/IF(D$185*D$186*D182&gt;0,AVERAGE(D$185:D$186,D182),""),"")</f>
        <v/>
      </c>
      <c r="U236" s="294" t="str">
        <f aca="false">IFERROR(IF(E$185*E$186*E182&gt;0,STDEV(E$185:E$186,E182),"")/IF(E$185*E$186*E182&gt;0,AVERAGE(E$185:E$186,E182),""),"")</f>
        <v/>
      </c>
      <c r="V236" s="294" t="str">
        <f aca="false">IFERROR(IF(F$185*F$186*F182&gt;0,STDEV(F$185:F$186,F182),"")/IF(F$185*F$186*F182&gt;0,AVERAGE(F$185:F$186,F182),""),"")</f>
        <v/>
      </c>
      <c r="W236" s="294" t="str">
        <f aca="false">IFERROR(IF(G$185*G$186*G182&gt;0,STDEV(G$185:G$186,G182),"")/IF(G$185*G$186*G182&gt;0,AVERAGE(G$185:G$186,G182),""),"")</f>
        <v/>
      </c>
      <c r="X236" s="294" t="str">
        <f aca="false">IFERROR(IF(H$185*H$186*H182&gt;0,STDEV(H$185:H$186,H182),"")/IF(H$185*H$186*H182&gt;0,AVERAGE(H$185:H$186,H182),""),"")</f>
        <v/>
      </c>
      <c r="Y236" s="294" t="str">
        <f aca="false">IFERROR(IF(I$185*I$186*I182&gt;0,STDEV(I$185:I$186,I182),"")/IF(I$185*I$186*I182&gt;0,AVERAGE(I$185:I$186,I182),""),"")</f>
        <v/>
      </c>
      <c r="Z236" s="294" t="str">
        <f aca="false">IFERROR(IF(J$185*J$186*J182&gt;0,STDEV(J$185:J$186,J182),"")/IF(J$185*J$186*J182&gt;0,AVERAGE(J$185:J$186,J182),""),"")</f>
        <v/>
      </c>
      <c r="AA236" s="294" t="str">
        <f aca="false">IFERROR(IF(K$185*K$186*K182&gt;0,STDEV(K$185:K$186,K182),"")/IF(K$185*K$186*K182&gt;0,AVERAGE(K$185:K$186,K182),""),"")</f>
        <v/>
      </c>
      <c r="AB236" s="294" t="str">
        <f aca="false">IFERROR(IF(L$185*L$186*L182&gt;0,STDEV(L$185:L$186,L182),"")/IF(L$185*L$186*L182&gt;0,AVERAGE(L$185:L$186,L182),""),"")</f>
        <v/>
      </c>
      <c r="AC236" s="294" t="str">
        <f aca="false">IFERROR(IF(M$185*M$186*M182&gt;0,STDEV(M$185:M$186,M182),"")/IF(M$185*M$186*M182&gt;0,AVERAGE(M$185:M$186,M182),""),"")</f>
        <v/>
      </c>
      <c r="AD236" s="294" t="str">
        <f aca="false">IFERROR(IF(N$185*N$186*N182&gt;0,STDEV(N$185:N$186,N182),"")/IF(N$185*N$186*N182&gt;0,AVERAGE(N$185:N$186,N182),""),"")</f>
        <v/>
      </c>
      <c r="AE236" s="120"/>
      <c r="AF236" s="266" t="s">
        <v>379</v>
      </c>
      <c r="AG236" s="303" t="str">
        <f aca="false">IFERROR(IF(C$185*C$186*C182&gt;0,STDEV(C$185:C$186,C182)," ")/IF(C$185*C$186*C182&gt;0,SQRT(COUNT(C$185:C$186,C182))," "),"")</f>
        <v/>
      </c>
      <c r="AH236" s="303" t="str">
        <f aca="false">IFERROR(IF(D$185*D$186*D182&gt;0,STDEV(D$185:D$186,D182)," ")/IF(D$185*D$186*D182&gt;0,SQRT(COUNT(D$185:D$186,D182))," "),"")</f>
        <v/>
      </c>
      <c r="AI236" s="303" t="str">
        <f aca="false">IFERROR(IF(E$185*E$186*E182&gt;0,STDEV(E$185:E$186,E182)," ")/IF(E$185*E$186*E182&gt;0,SQRT(COUNT(E$185:E$186,E182))," "),"")</f>
        <v/>
      </c>
      <c r="AJ236" s="303" t="str">
        <f aca="false">IFERROR(IF(F$185*F$186*F182&gt;0,STDEV(F$185:F$186,F182)," ")/IF(F$185*F$186*F182&gt;0,SQRT(COUNT(F$185:F$186,F182))," "),"")</f>
        <v/>
      </c>
      <c r="AK236" s="303" t="str">
        <f aca="false">IFERROR(IF(G$185*G$186*G182&gt;0,STDEV(G$185:G$186,G182)," ")/IF(G$185*G$186*G182&gt;0,SQRT(COUNT(G$185:G$186,G182))," "),"")</f>
        <v/>
      </c>
      <c r="AL236" s="303" t="str">
        <f aca="false">IFERROR(IF(H$185*H$186*H182&gt;0,STDEV(H$185:H$186,H182)," ")/IF(H$185*H$186*H182&gt;0,SQRT(COUNT(H$185:H$186,H182))," "),"")</f>
        <v/>
      </c>
      <c r="AM236" s="303" t="str">
        <f aca="false">IFERROR(IF(I$185*I$186*I182&gt;0,STDEV(I$185:I$186,I182)," ")/IF(I$185*I$186*I182&gt;0,SQRT(COUNT(I$185:I$186,I182))," "),"")</f>
        <v/>
      </c>
      <c r="AN236" s="303" t="str">
        <f aca="false">IFERROR(IF(J$185*J$186*J182&gt;0,STDEV(J$185:J$186,J182)," ")/IF(J$185*J$186*J182&gt;0,SQRT(COUNT(J$185:J$186,J182))," "),"")</f>
        <v/>
      </c>
      <c r="AO236" s="303" t="str">
        <f aca="false">IFERROR(IF(K$185*K$186*K182&gt;0,STDEV(K$185:K$186,K182)," ")/IF(K$185*K$186*K182&gt;0,SQRT(COUNT(K$185:K$186,K182))," "),"")</f>
        <v/>
      </c>
      <c r="AP236" s="303" t="str">
        <f aca="false">IFERROR(IF(L$185*L$186*L182&gt;0,STDEV(L$185:L$186,L182)," ")/IF(L$185*L$186*L182&gt;0,SQRT(COUNT(L$185:L$186,L182))," "),"")</f>
        <v/>
      </c>
      <c r="AQ236" s="303" t="str">
        <f aca="false">IFERROR(IF(M$185*M$186*M182&gt;0,STDEV(M$185:M$186,M182)," ")/IF(M$185*M$186*M182&gt;0,SQRT(COUNT(M$185:M$186,M182))," "),"")</f>
        <v/>
      </c>
      <c r="AR236" s="303" t="str">
        <f aca="false">IFERROR(IF(N$185*N$186*N182&gt;0,STDEV(N$185:N$186,N182)," ")/IF(N$185*N$186*N182&gt;0,SQRT(COUNT(N$185:N$186,N182))," "),"")</f>
        <v/>
      </c>
    </row>
    <row r="237" customFormat="false" ht="15.75" hidden="false" customHeight="false" outlineLevel="0" collapsed="false">
      <c r="A237" s="290" t="s">
        <v>380</v>
      </c>
      <c r="B237" s="281"/>
      <c r="C237" s="291" t="str">
        <f aca="false">IFERROR(IF(C$185*C$186*C183&gt;0,AVERAGE(C$185:C$186,C183),""),"")</f>
        <v/>
      </c>
      <c r="D237" s="291" t="str">
        <f aca="false">IFERROR(IF(D$185*D$186*D183&gt;0,AVERAGE(D$185:D$186,D183),""),"")</f>
        <v/>
      </c>
      <c r="E237" s="291" t="str">
        <f aca="false">IFERROR(IF(E$185*E$186*E183&gt;0,AVERAGE(E$185:E$186,E183),""),"")</f>
        <v/>
      </c>
      <c r="F237" s="291" t="str">
        <f aca="false">IFERROR(IF(F$185*F$186*F183&gt;0,AVERAGE(F$185:F$186,F183),""),"")</f>
        <v/>
      </c>
      <c r="G237" s="291" t="str">
        <f aca="false">IFERROR(IF(G$185*G$186*G183&gt;0,AVERAGE(G$185:G$186,G183),""),"")</f>
        <v/>
      </c>
      <c r="H237" s="291" t="str">
        <f aca="false">IFERROR(IF(H$185*H$186*H183&gt;0,AVERAGE(H$185:H$186,H183),""),"")</f>
        <v/>
      </c>
      <c r="I237" s="291" t="str">
        <f aca="false">IFERROR(IF(I$185*I$186*I183&gt;0,AVERAGE(I$185:I$186,I183),""),"")</f>
        <v/>
      </c>
      <c r="J237" s="291" t="str">
        <f aca="false">IFERROR(IF(J$185*J$186*J183&gt;0,AVERAGE(J$185:J$186,J183),""),"")</f>
        <v/>
      </c>
      <c r="K237" s="291" t="str">
        <f aca="false">IFERROR(IF(K$185*K$186*K183&gt;0,AVERAGE(K$185:K$186,K183),""),"")</f>
        <v/>
      </c>
      <c r="L237" s="291" t="str">
        <f aca="false">IFERROR(IF(L$185*L$186*L183&gt;0,AVERAGE(L$185:L$186,L183),""),"")</f>
        <v/>
      </c>
      <c r="M237" s="291" t="str">
        <f aca="false">IFERROR(IF(M$185*M$186*M183&gt;0,AVERAGE(M$185:M$186,M183),""),"")</f>
        <v/>
      </c>
      <c r="N237" s="291" t="str">
        <f aca="false">IFERROR(IF(N$185*N$186*N183&gt;0,AVERAGE(N$185:N$186,N183),""),"")</f>
        <v/>
      </c>
      <c r="O237" s="122"/>
      <c r="P237" s="58"/>
      <c r="Q237" s="301"/>
      <c r="R237" s="293" t="s">
        <v>381</v>
      </c>
      <c r="S237" s="294" t="str">
        <f aca="false">IFERROR(IF(C$185*C$186*C183&gt;0,STDEV(C$185:C$186,C183),"")/IF(C$185*C$186*C183&gt;0,AVERAGE(C$185:C$186,C183),""),"")</f>
        <v/>
      </c>
      <c r="T237" s="294" t="str">
        <f aca="false">IFERROR(IF(D$185*D$186*D183&gt;0,STDEV(D$185:D$186,D183),"")/IF(D$185*D$186*D183&gt;0,AVERAGE(D$185:D$186,D183),""),"")</f>
        <v/>
      </c>
      <c r="U237" s="294" t="str">
        <f aca="false">IFERROR(IF(E$185*E$186*E183&gt;0,STDEV(E$185:E$186,E183),"")/IF(E$185*E$186*E183&gt;0,AVERAGE(E$185:E$186,E183),""),"")</f>
        <v/>
      </c>
      <c r="V237" s="294" t="str">
        <f aca="false">IFERROR(IF(F$185*F$186*F183&gt;0,STDEV(F$185:F$186,F183),"")/IF(F$185*F$186*F183&gt;0,AVERAGE(F$185:F$186,F183),""),"")</f>
        <v/>
      </c>
      <c r="W237" s="294" t="str">
        <f aca="false">IFERROR(IF(G$185*G$186*G183&gt;0,STDEV(G$185:G$186,G183),"")/IF(G$185*G$186*G183&gt;0,AVERAGE(G$185:G$186,G183),""),"")</f>
        <v/>
      </c>
      <c r="X237" s="294" t="str">
        <f aca="false">IFERROR(IF(H$185*H$186*H183&gt;0,STDEV(H$185:H$186,H183),"")/IF(H$185*H$186*H183&gt;0,AVERAGE(H$185:H$186,H183),""),"")</f>
        <v/>
      </c>
      <c r="Y237" s="294" t="str">
        <f aca="false">IFERROR(IF(I$185*I$186*I183&gt;0,STDEV(I$185:I$186,I183),"")/IF(I$185*I$186*I183&gt;0,AVERAGE(I$185:I$186,I183),""),"")</f>
        <v/>
      </c>
      <c r="Z237" s="294" t="str">
        <f aca="false">IFERROR(IF(J$185*J$186*J183&gt;0,STDEV(J$185:J$186,J183),"")/IF(J$185*J$186*J183&gt;0,AVERAGE(J$185:J$186,J183),""),"")</f>
        <v/>
      </c>
      <c r="AA237" s="294" t="str">
        <f aca="false">IFERROR(IF(K$185*K$186*K183&gt;0,STDEV(K$185:K$186,K183),"")/IF(K$185*K$186*K183&gt;0,AVERAGE(K$185:K$186,K183),""),"")</f>
        <v/>
      </c>
      <c r="AB237" s="294" t="str">
        <f aca="false">IFERROR(IF(L$185*L$186*L183&gt;0,STDEV(L$185:L$186,L183),"")/IF(L$185*L$186*L183&gt;0,AVERAGE(L$185:L$186,L183),""),"")</f>
        <v/>
      </c>
      <c r="AC237" s="294" t="str">
        <f aca="false">IFERROR(IF(M$185*M$186*M183&gt;0,STDEV(M$185:M$186,M183),"")/IF(M$185*M$186*M183&gt;0,AVERAGE(M$185:M$186,M183),""),"")</f>
        <v/>
      </c>
      <c r="AD237" s="294" t="str">
        <f aca="false">IFERROR(IF(N$185*N$186*N183&gt;0,STDEV(N$185:N$186,N183),"")/IF(N$185*N$186*N183&gt;0,AVERAGE(N$185:N$186,N183),""),"")</f>
        <v/>
      </c>
      <c r="AE237" s="122"/>
      <c r="AF237" s="266" t="s">
        <v>382</v>
      </c>
      <c r="AG237" s="304" t="str">
        <f aca="false">IFERROR(IF(C$185*C$186*C183&gt;0,STDEV(C$185:C$186,C183)," ")/IF(C$185*C$186*C183&gt;0,SQRT(COUNT(C$185:C$186,C183)),""),"")</f>
        <v/>
      </c>
      <c r="AH237" s="304" t="str">
        <f aca="false">IFERROR(IF(D$185*D$186*D183&gt;0,STDEV(D$185:D$186,D183)," ")/IF(D$185*D$186*D183&gt;0,SQRT(COUNT(D$185:D$186,D183)),""),"")</f>
        <v/>
      </c>
      <c r="AI237" s="304" t="str">
        <f aca="false">IFERROR(IF(E$185*E$186*E183&gt;0,STDEV(E$185:E$186,E183)," ")/IF(E$185*E$186*E183&gt;0,SQRT(COUNT(E$185:E$186,E183)),""),"")</f>
        <v/>
      </c>
      <c r="AJ237" s="304" t="str">
        <f aca="false">IFERROR(IF(F$185*F$186*F183&gt;0,STDEV(F$185:F$186,F183)," ")/IF(F$185*F$186*F183&gt;0,SQRT(COUNT(F$185:F$186,F183)),""),"")</f>
        <v/>
      </c>
      <c r="AK237" s="304" t="str">
        <f aca="false">IFERROR(IF(G$185*G$186*G183&gt;0,STDEV(G$185:G$186,G183)," ")/IF(G$185*G$186*G183&gt;0,SQRT(COUNT(G$185:G$186,G183)),""),"")</f>
        <v/>
      </c>
      <c r="AL237" s="304" t="str">
        <f aca="false">IFERROR(IF(H$185*H$186*H183&gt;0,STDEV(H$185:H$186,H183)," ")/IF(H$185*H$186*H183&gt;0,SQRT(COUNT(H$185:H$186,H183)),""),"")</f>
        <v/>
      </c>
      <c r="AM237" s="304" t="str">
        <f aca="false">IFERROR(IF(I$185*I$186*I183&gt;0,STDEV(I$185:I$186,I183)," ")/IF(I$185*I$186*I183&gt;0,SQRT(COUNT(I$185:I$186,I183)),""),"")</f>
        <v/>
      </c>
      <c r="AN237" s="304" t="str">
        <f aca="false">IFERROR(IF(J$185*J$186*J183&gt;0,STDEV(J$185:J$186,J183)," ")/IF(J$185*J$186*J183&gt;0,SQRT(COUNT(J$185:J$186,J183)),""),"")</f>
        <v/>
      </c>
      <c r="AO237" s="304" t="str">
        <f aca="false">IFERROR(IF(K$185*K$186*K183&gt;0,STDEV(K$185:K$186,K183)," ")/IF(K$185*K$186*K183&gt;0,SQRT(COUNT(K$185:K$186,K183)),""),"")</f>
        <v/>
      </c>
      <c r="AP237" s="304" t="str">
        <f aca="false">IFERROR(IF(L$185*L$186*L183&gt;0,STDEV(L$185:L$186,L183)," ")/IF(L$185*L$186*L183&gt;0,SQRT(COUNT(L$185:L$186,L183)),""),"")</f>
        <v/>
      </c>
      <c r="AQ237" s="304" t="str">
        <f aca="false">IFERROR(IF(M$185*M$186*M183&gt;0,STDEV(M$185:M$186,M183)," ")/IF(M$185*M$186*M183&gt;0,SQRT(COUNT(M$185:M$186,M183)),""),"")</f>
        <v/>
      </c>
      <c r="AR237" s="304" t="str">
        <f aca="false">IFERROR(IF(N$185*N$186*N183&gt;0,STDEV(N$185:N$186,N183)," ")/IF(N$185*N$186*N183&gt;0,SQRT(COUNT(N$185:N$186,N183)),""),"")</f>
        <v/>
      </c>
    </row>
    <row r="238" customFormat="false" ht="15.75" hidden="false" customHeight="false" outlineLevel="0" collapsed="false">
      <c r="A238" s="290" t="s">
        <v>383</v>
      </c>
      <c r="B238" s="281"/>
      <c r="C238" s="291" t="str">
        <f aca="false">IFERROR(IF(C$185*C$186*C187&gt;0,AVERAGE(C$185:C$186,C187),""),"")</f>
        <v/>
      </c>
      <c r="D238" s="291" t="str">
        <f aca="false">IFERROR(IF(D$185*D$186*D187&gt;0,AVERAGE(D$185:D$186,D187),""),"")</f>
        <v/>
      </c>
      <c r="E238" s="291" t="str">
        <f aca="false">IFERROR(IF(E$185*E$186*E187&gt;0,AVERAGE(E$185:E$186,E187),""),"")</f>
        <v/>
      </c>
      <c r="F238" s="291" t="str">
        <f aca="false">IFERROR(IF(F$185*F$186*F187&gt;0,AVERAGE(F$185:F$186,F187),""),"")</f>
        <v/>
      </c>
      <c r="G238" s="291" t="str">
        <f aca="false">IFERROR(IF(G$185*G$186*G187&gt;0,AVERAGE(G$185:G$186,G187),""),"")</f>
        <v/>
      </c>
      <c r="H238" s="291" t="str">
        <f aca="false">IFERROR(IF(H$185*H$186*H187&gt;0,AVERAGE(H$185:H$186,H187),""),"")</f>
        <v/>
      </c>
      <c r="I238" s="291" t="str">
        <f aca="false">IFERROR(IF(I$185*I$186*I187&gt;0,AVERAGE(I$185:I$186,I187),""),"")</f>
        <v/>
      </c>
      <c r="J238" s="291" t="str">
        <f aca="false">IFERROR(IF(J$185*J$186*J187&gt;0,AVERAGE(J$185:J$186,J187),""),"")</f>
        <v/>
      </c>
      <c r="K238" s="291" t="str">
        <f aca="false">IFERROR(IF(K$185*K$186*K187&gt;0,AVERAGE(K$185:K$186,K187),""),"")</f>
        <v/>
      </c>
      <c r="L238" s="291" t="str">
        <f aca="false">IFERROR(IF(L$185*L$186*L187&gt;0,AVERAGE(L$185:L$186,L187),""),"")</f>
        <v/>
      </c>
      <c r="M238" s="291" t="str">
        <f aca="false">IFERROR(IF(M$185*M$186*M187&gt;0,AVERAGE(M$185:M$186,M187),""),"")</f>
        <v/>
      </c>
      <c r="N238" s="291" t="str">
        <f aca="false">IFERROR(IF(N$185*N$186*N187&gt;0,AVERAGE(N$185:N$186,N187),""),"")</f>
        <v/>
      </c>
      <c r="O238" s="282"/>
      <c r="P238" s="282"/>
      <c r="Q238" s="296"/>
      <c r="R238" s="293" t="s">
        <v>384</v>
      </c>
      <c r="S238" s="294" t="str">
        <f aca="false">IFERROR(IF(C$185*C$186*C187&gt;0,STDEV(C$185:C$186,C187),"")/IF(C$185*C$186*C187&gt;0,AVERAGE(C$185:C$186,C187),""),"")</f>
        <v/>
      </c>
      <c r="T238" s="294" t="str">
        <f aca="false">IFERROR(IF(D$185*D$186*D187&gt;0,STDEV(D$185:D$186,D187),"")/IF(D$185*D$186*D187&gt;0,AVERAGE(D$185:D$186,D187),""),"")</f>
        <v/>
      </c>
      <c r="U238" s="294" t="str">
        <f aca="false">IFERROR(IF(E$185*E$186*E187&gt;0,STDEV(E$185:E$186,E187),"")/IF(E$185*E$186*E187&gt;0,AVERAGE(E$185:E$186,E187),""),"")</f>
        <v/>
      </c>
      <c r="V238" s="294" t="str">
        <f aca="false">IFERROR(IF(F$185*F$186*F187&gt;0,STDEV(F$185:F$186,F187),"")/IF(F$185*F$186*F187&gt;0,AVERAGE(F$185:F$186,F187),""),"")</f>
        <v/>
      </c>
      <c r="W238" s="294" t="str">
        <f aca="false">IFERROR(IF(G$185*G$186*G187&gt;0,STDEV(G$185:G$186,G187),"")/IF(G$185*G$186*G187&gt;0,AVERAGE(G$185:G$186,G187),""),"")</f>
        <v/>
      </c>
      <c r="X238" s="294" t="str">
        <f aca="false">IFERROR(IF(H$185*H$186*H187&gt;0,STDEV(H$185:H$186,H187),"")/IF(H$185*H$186*H187&gt;0,AVERAGE(H$185:H$186,H187),""),"")</f>
        <v/>
      </c>
      <c r="Y238" s="294" t="str">
        <f aca="false">IFERROR(IF(I$185*I$186*I187&gt;0,STDEV(I$185:I$186,I187),"")/IF(I$185*I$186*I187&gt;0,AVERAGE(I$185:I$186,I187),""),"")</f>
        <v/>
      </c>
      <c r="Z238" s="294" t="str">
        <f aca="false">IFERROR(IF(J$185*J$186*J187&gt;0,STDEV(J$185:J$186,J187),"")/IF(J$185*J$186*J187&gt;0,AVERAGE(J$185:J$186,J187),""),"")</f>
        <v/>
      </c>
      <c r="AA238" s="294" t="str">
        <f aca="false">IFERROR(IF(K$185*K$186*K187&gt;0,STDEV(K$185:K$186,K187),"")/IF(K$185*K$186*K187&gt;0,AVERAGE(K$185:K$186,K187),""),"")</f>
        <v/>
      </c>
      <c r="AB238" s="294" t="str">
        <f aca="false">IFERROR(IF(L$185*L$186*L187&gt;0,STDEV(L$185:L$186,L187),"")/IF(L$185*L$186*L187&gt;0,AVERAGE(L$185:L$186,L187),""),"")</f>
        <v/>
      </c>
      <c r="AC238" s="294" t="str">
        <f aca="false">IFERROR(IF(M$185*M$186*M187&gt;0,STDEV(M$185:M$186,M187),"")/IF(M$185*M$186*M187&gt;0,AVERAGE(M$185:M$186,M187),""),"")</f>
        <v/>
      </c>
      <c r="AD238" s="294" t="str">
        <f aca="false">IFERROR(IF(N$185*N$186*N187&gt;0,STDEV(N$185:N$186,N187),"")/IF(N$185*N$186*N187&gt;0,AVERAGE(N$185:N$186,N187),""),"")</f>
        <v/>
      </c>
      <c r="AE238" s="44"/>
      <c r="AF238" s="266" t="s">
        <v>385</v>
      </c>
      <c r="AG238" s="303" t="str">
        <f aca="false">IFERROR(IF(C$185*C$186*C187&gt;0,STDEV(C$185:C$186,C187)," ")/IF(C$185*C$186*C187&gt;0,SQRT(COUNT(C$185:C$186,C187))," "),"")</f>
        <v/>
      </c>
      <c r="AH238" s="303" t="str">
        <f aca="false">IFERROR(IF(D$185*D$186*D187&gt;0,STDEV(D$185:D$186,D187)," ")/IF(D$185*D$186*D187&gt;0,SQRT(COUNT(D$185:D$186,D187))," "),"")</f>
        <v/>
      </c>
      <c r="AI238" s="303" t="str">
        <f aca="false">IFERROR(IF(E$185*E$186*E187&gt;0,STDEV(E$185:E$186,E187)," ")/IF(E$185*E$186*E187&gt;0,SQRT(COUNT(E$185:E$186,E187))," "),"")</f>
        <v/>
      </c>
      <c r="AJ238" s="303" t="str">
        <f aca="false">IFERROR(IF(F$185*F$186*F187&gt;0,STDEV(F$185:F$186,F187)," ")/IF(F$185*F$186*F187&gt;0,SQRT(COUNT(F$185:F$186,F187))," "),"")</f>
        <v/>
      </c>
      <c r="AK238" s="303" t="str">
        <f aca="false">IFERROR(IF(G$185*G$186*G187&gt;0,STDEV(G$185:G$186,G187)," ")/IF(G$185*G$186*G187&gt;0,SQRT(COUNT(G$185:G$186,G187))," "),"")</f>
        <v/>
      </c>
      <c r="AL238" s="303" t="str">
        <f aca="false">IFERROR(IF(H$185*H$186*H187&gt;0,STDEV(H$185:H$186,H187)," ")/IF(H$185*H$186*H187&gt;0,SQRT(COUNT(H$185:H$186,H187))," "),"")</f>
        <v/>
      </c>
      <c r="AM238" s="303" t="str">
        <f aca="false">IFERROR(IF(I$185*I$186*I187&gt;0,STDEV(I$185:I$186,I187)," ")/IF(I$185*I$186*I187&gt;0,SQRT(COUNT(I$185:I$186,I187))," "),"")</f>
        <v/>
      </c>
      <c r="AN238" s="303" t="str">
        <f aca="false">IFERROR(IF(J$185*J$186*J187&gt;0,STDEV(J$185:J$186,J187)," ")/IF(J$185*J$186*J187&gt;0,SQRT(COUNT(J$185:J$186,J187))," "),"")</f>
        <v/>
      </c>
      <c r="AO238" s="303" t="str">
        <f aca="false">IFERROR(IF(K$185*K$186*K187&gt;0,STDEV(K$185:K$186,K187)," ")/IF(K$185*K$186*K187&gt;0,SQRT(COUNT(K$185:K$186,K187))," "),"")</f>
        <v/>
      </c>
      <c r="AP238" s="303" t="str">
        <f aca="false">IFERROR(IF(L$185*L$186*L187&gt;0,STDEV(L$185:L$186,L187)," ")/IF(L$185*L$186*L187&gt;0,SQRT(COUNT(L$185:L$186,L187))," "),"")</f>
        <v/>
      </c>
      <c r="AQ238" s="303" t="str">
        <f aca="false">IFERROR(IF(M$185*M$186*M187&gt;0,STDEV(M$185:M$186,M187)," ")/IF(M$185*M$186*M187&gt;0,SQRT(COUNT(M$185:M$186,M187))," "),"")</f>
        <v/>
      </c>
      <c r="AR238" s="303" t="str">
        <f aca="false">IFERROR(IF(N$185*N$186*N187&gt;0,STDEV(N$185:N$186,N187)," ")/IF(N$185*N$186*N187&gt;0,SQRT(COUNT(N$185:N$186,N187))," "),"")</f>
        <v/>
      </c>
    </row>
    <row r="239" customFormat="false" ht="15.75" hidden="false" customHeight="false" outlineLevel="0" collapsed="false">
      <c r="A239" s="290" t="s">
        <v>386</v>
      </c>
      <c r="B239" s="281"/>
      <c r="C239" s="291" t="str">
        <f aca="false">IFERROR(IF(C$185*C$186*C188&gt;0,AVERAGE(C$185:C$186,C188),""),"")</f>
        <v/>
      </c>
      <c r="D239" s="291" t="str">
        <f aca="false">IFERROR(IF(D$185*D$186*D188&gt;0,AVERAGE(D$185:D$186,D188),""),"")</f>
        <v/>
      </c>
      <c r="E239" s="291" t="str">
        <f aca="false">IFERROR(IF(E$185*E$186*E188&gt;0,AVERAGE(E$185:E$186,E188),""),"")</f>
        <v/>
      </c>
      <c r="F239" s="291" t="str">
        <f aca="false">IFERROR(IF(F$185*F$186*F188&gt;0,AVERAGE(F$185:F$186,F188),""),"")</f>
        <v/>
      </c>
      <c r="G239" s="291" t="str">
        <f aca="false">IFERROR(IF(G$185*G$186*G188&gt;0,AVERAGE(G$185:G$186,G188),""),"")</f>
        <v/>
      </c>
      <c r="H239" s="291" t="str">
        <f aca="false">IFERROR(IF(H$185*H$186*H188&gt;0,AVERAGE(H$185:H$186,H188),""),"")</f>
        <v/>
      </c>
      <c r="I239" s="291" t="str">
        <f aca="false">IFERROR(IF(I$185*I$186*I188&gt;0,AVERAGE(I$185:I$186,I188),""),"")</f>
        <v/>
      </c>
      <c r="J239" s="291" t="str">
        <f aca="false">IFERROR(IF(J$185*J$186*J188&gt;0,AVERAGE(J$185:J$186,J188),""),"")</f>
        <v/>
      </c>
      <c r="K239" s="291" t="str">
        <f aca="false">IFERROR(IF(K$185*K$186*K188&gt;0,AVERAGE(K$185:K$186,K188),""),"")</f>
        <v/>
      </c>
      <c r="L239" s="291" t="str">
        <f aca="false">IFERROR(IF(L$185*L$186*L188&gt;0,AVERAGE(L$185:L$186,L188),""),"")</f>
        <v/>
      </c>
      <c r="M239" s="291" t="str">
        <f aca="false">IFERROR(IF(M$185*M$186*M188&gt;0,AVERAGE(M$185:M$186,M188),""),"")</f>
        <v/>
      </c>
      <c r="N239" s="291" t="str">
        <f aca="false">IFERROR(IF(N$185*N$186*N188&gt;0,AVERAGE(N$185:N$186,N188),""),"")</f>
        <v/>
      </c>
      <c r="O239" s="282"/>
      <c r="P239" s="282"/>
      <c r="Q239" s="296"/>
      <c r="R239" s="293" t="s">
        <v>387</v>
      </c>
      <c r="S239" s="294" t="str">
        <f aca="false">IFERROR(IF(C$185*C$186*C188&gt;0,STDEV(C$185:C$186,C188),"")/IF(C$185*C$186*C188&gt;0,AVERAGE(C$185:C$186,C188),""),"")</f>
        <v/>
      </c>
      <c r="T239" s="294" t="str">
        <f aca="false">IFERROR(IF(D$185*D$186*D188&gt;0,STDEV(D$185:D$186,D188),"")/IF(D$185*D$186*D188&gt;0,AVERAGE(D$185:D$186,D188),""),"")</f>
        <v/>
      </c>
      <c r="U239" s="294" t="str">
        <f aca="false">IFERROR(IF(E$185*E$186*E188&gt;0,STDEV(E$185:E$186,E188),"")/IF(E$185*E$186*E188&gt;0,AVERAGE(E$185:E$186,E188),""),"")</f>
        <v/>
      </c>
      <c r="V239" s="294" t="str">
        <f aca="false">IFERROR(IF(F$185*F$186*F188&gt;0,STDEV(F$185:F$186,F188),"")/IF(F$185*F$186*F188&gt;0,AVERAGE(F$185:F$186,F188),""),"")</f>
        <v/>
      </c>
      <c r="W239" s="294" t="str">
        <f aca="false">IFERROR(IF(G$185*G$186*G188&gt;0,STDEV(G$185:G$186,G188),"")/IF(G$185*G$186*G188&gt;0,AVERAGE(G$185:G$186,G188),""),"")</f>
        <v/>
      </c>
      <c r="X239" s="294" t="str">
        <f aca="false">IFERROR(IF(H$185*H$186*H188&gt;0,STDEV(H$185:H$186,H188),"")/IF(H$185*H$186*H188&gt;0,AVERAGE(H$185:H$186,H188),""),"")</f>
        <v/>
      </c>
      <c r="Y239" s="294" t="str">
        <f aca="false">IFERROR(IF(I$185*I$186*I188&gt;0,STDEV(I$185:I$186,I188),"")/IF(I$185*I$186*I188&gt;0,AVERAGE(I$185:I$186,I188),""),"")</f>
        <v/>
      </c>
      <c r="Z239" s="294" t="str">
        <f aca="false">IFERROR(IF(J$185*J$186*J188&gt;0,STDEV(J$185:J$186,J188),"")/IF(J$185*J$186*J188&gt;0,AVERAGE(J$185:J$186,J188),""),"")</f>
        <v/>
      </c>
      <c r="AA239" s="294" t="str">
        <f aca="false">IFERROR(IF(K$185*K$186*K188&gt;0,STDEV(K$185:K$186,K188),"")/IF(K$185*K$186*K188&gt;0,AVERAGE(K$185:K$186,K188),""),"")</f>
        <v/>
      </c>
      <c r="AB239" s="294" t="str">
        <f aca="false">IFERROR(IF(L$185*L$186*L188&gt;0,STDEV(L$185:L$186,L188),"")/IF(L$185*L$186*L188&gt;0,AVERAGE(L$185:L$186,L188),""),"")</f>
        <v/>
      </c>
      <c r="AC239" s="294" t="str">
        <f aca="false">IFERROR(IF(M$185*M$186*M188&gt;0,STDEV(M$185:M$186,M188),"")/IF(M$185*M$186*M188&gt;0,AVERAGE(M$185:M$186,M188),""),"")</f>
        <v/>
      </c>
      <c r="AD239" s="294" t="str">
        <f aca="false">IFERROR(IF(N$185*N$186*N188&gt;0,STDEV(N$185:N$186,N188),"")/IF(N$185*N$186*N188&gt;0,AVERAGE(N$185:N$186,N188),""),"")</f>
        <v/>
      </c>
      <c r="AE239" s="44"/>
      <c r="AF239" s="266" t="s">
        <v>388</v>
      </c>
      <c r="AG239" s="303" t="str">
        <f aca="false">IFERROR(IF(C$185*C$186*C188&gt;0,STDEV(C$185:C$186,C188)," ")/IF(C$185*C$186*C188&gt;0,SQRT(COUNT(C$185:C$186,C188))," "),"")</f>
        <v/>
      </c>
      <c r="AH239" s="303" t="str">
        <f aca="false">IFERROR(IF(D$185*D$186*D188&gt;0,STDEV(D$185:D$186,D188)," ")/IF(D$185*D$186*D188&gt;0,SQRT(COUNT(D$185:D$186,D188))," "),"")</f>
        <v/>
      </c>
      <c r="AI239" s="303" t="str">
        <f aca="false">IFERROR(IF(E$185*E$186*E188&gt;0,STDEV(E$185:E$186,E188)," ")/IF(E$185*E$186*E188&gt;0,SQRT(COUNT(E$185:E$186,E188))," "),"")</f>
        <v/>
      </c>
      <c r="AJ239" s="303" t="str">
        <f aca="false">IFERROR(IF(F$185*F$186*F188&gt;0,STDEV(F$185:F$186,F188)," ")/IF(F$185*F$186*F188&gt;0,SQRT(COUNT(F$185:F$186,F188))," "),"")</f>
        <v/>
      </c>
      <c r="AK239" s="303" t="str">
        <f aca="false">IFERROR(IF(G$185*G$186*G188&gt;0,STDEV(G$185:G$186,G188)," ")/IF(G$185*G$186*G188&gt;0,SQRT(COUNT(G$185:G$186,G188))," "),"")</f>
        <v/>
      </c>
      <c r="AL239" s="303" t="str">
        <f aca="false">IFERROR(IF(H$185*H$186*H188&gt;0,STDEV(H$185:H$186,H188)," ")/IF(H$185*H$186*H188&gt;0,SQRT(COUNT(H$185:H$186,H188))," "),"")</f>
        <v/>
      </c>
      <c r="AM239" s="303" t="str">
        <f aca="false">IFERROR(IF(I$185*I$186*I188&gt;0,STDEV(I$185:I$186,I188)," ")/IF(I$185*I$186*I188&gt;0,SQRT(COUNT(I$185:I$186,I188))," "),"")</f>
        <v/>
      </c>
      <c r="AN239" s="303" t="str">
        <f aca="false">IFERROR(IF(J$185*J$186*J188&gt;0,STDEV(J$185:J$186,J188)," ")/IF(J$185*J$186*J188&gt;0,SQRT(COUNT(J$185:J$186,J188))," "),"")</f>
        <v/>
      </c>
      <c r="AO239" s="303" t="str">
        <f aca="false">IFERROR(IF(K$185*K$186*K188&gt;0,STDEV(K$185:K$186,K188)," ")/IF(K$185*K$186*K188&gt;0,SQRT(COUNT(K$185:K$186,K188))," "),"")</f>
        <v/>
      </c>
      <c r="AP239" s="303" t="str">
        <f aca="false">IFERROR(IF(L$185*L$186*L188&gt;0,STDEV(L$185:L$186,L188)," ")/IF(L$185*L$186*L188&gt;0,SQRT(COUNT(L$185:L$186,L188))," "),"")</f>
        <v/>
      </c>
      <c r="AQ239" s="303" t="str">
        <f aca="false">IFERROR(IF(M$185*M$186*M188&gt;0,STDEV(M$185:M$186,M188)," ")/IF(M$185*M$186*M188&gt;0,SQRT(COUNT(M$185:M$186,M188))," "),"")</f>
        <v/>
      </c>
      <c r="AR239" s="303" t="str">
        <f aca="false">IFERROR(IF(N$185*N$186*N188&gt;0,STDEV(N$185:N$186,N188)," ")/IF(N$185*N$186*N188&gt;0,SQRT(COUNT(N$185:N$186,N188))," "),"")</f>
        <v/>
      </c>
    </row>
    <row r="240" customFormat="false" ht="15.75" hidden="false" customHeight="false" outlineLevel="0" collapsed="false">
      <c r="A240" s="290" t="s">
        <v>389</v>
      </c>
      <c r="B240" s="281"/>
      <c r="C240" s="291" t="str">
        <f aca="false">IFERROR(IF(C$186*C$187*C182&gt;0,AVERAGE(C$186:C$187,C182),""),"")</f>
        <v/>
      </c>
      <c r="D240" s="291" t="str">
        <f aca="false">IFERROR(IF(D$186*D$187*D182&gt;0,AVERAGE(D$186:D$187,D182),""),"")</f>
        <v/>
      </c>
      <c r="E240" s="291" t="str">
        <f aca="false">IFERROR(IF(E$186*E$187*E182&gt;0,AVERAGE(E$186:E$187,E182),""),"")</f>
        <v/>
      </c>
      <c r="F240" s="291" t="str">
        <f aca="false">IFERROR(IF(F$186*F$187*F182&gt;0,AVERAGE(F$186:F$187,F182),""),"")</f>
        <v/>
      </c>
      <c r="G240" s="291" t="str">
        <f aca="false">IFERROR(IF(G$186*G$187*G182&gt;0,AVERAGE(G$186:G$187,G182),""),"")</f>
        <v/>
      </c>
      <c r="H240" s="291" t="str">
        <f aca="false">IFERROR(IF(H$186*H$187*H182&gt;0,AVERAGE(H$186:H$187,H182),""),"")</f>
        <v/>
      </c>
      <c r="I240" s="291" t="str">
        <f aca="false">IFERROR(IF(I$186*I$187*I182&gt;0,AVERAGE(I$186:I$187,I182),""),"")</f>
        <v/>
      </c>
      <c r="J240" s="291" t="str">
        <f aca="false">IFERROR(IF(J$186*J$187*J182&gt;0,AVERAGE(J$186:J$187,J182),""),"")</f>
        <v/>
      </c>
      <c r="K240" s="291" t="str">
        <f aca="false">IFERROR(IF(K$186*K$187*K182&gt;0,AVERAGE(K$186:K$187,K182),""),"")</f>
        <v/>
      </c>
      <c r="L240" s="291" t="str">
        <f aca="false">IFERROR(IF(L$186*L$187*L182&gt;0,AVERAGE(L$186:L$187,L182),""),"")</f>
        <v/>
      </c>
      <c r="M240" s="291" t="str">
        <f aca="false">IFERROR(IF(M$186*M$187*M182&gt;0,AVERAGE(M$186:M$187,M182),""),"")</f>
        <v/>
      </c>
      <c r="N240" s="291" t="str">
        <f aca="false">IFERROR(IF(N$186*N$187*N182&gt;0,AVERAGE(N$186:N$187,N182),""),"")</f>
        <v/>
      </c>
      <c r="O240" s="282"/>
      <c r="P240" s="282"/>
      <c r="Q240" s="296"/>
      <c r="R240" s="293" t="s">
        <v>390</v>
      </c>
      <c r="S240" s="294" t="str">
        <f aca="false">IFERROR(IF(C$186*C$187*C182&gt;0,STDEV(C$186:C$187,C182),"")/IF(C$186*C$187*C182&gt;0,AVERAGE(C$186:C$187,C182),""),"")</f>
        <v/>
      </c>
      <c r="T240" s="294" t="str">
        <f aca="false">IFERROR(IF(D$186*D$187*D182&gt;0,STDEV(D$186:D$187,D182),"")/IF(D$186*D$187*D182&gt;0,AVERAGE(D$186:D$187,D182),""),"")</f>
        <v/>
      </c>
      <c r="U240" s="294" t="str">
        <f aca="false">IFERROR(IF(E$186*E$187*E182&gt;0,STDEV(E$186:E$187,E182),"")/IF(E$186*E$187*E182&gt;0,AVERAGE(E$186:E$187,E182),""),"")</f>
        <v/>
      </c>
      <c r="V240" s="294" t="str">
        <f aca="false">IFERROR(IF(F$186*F$187*F182&gt;0,STDEV(F$186:F$187,F182),"")/IF(F$186*F$187*F182&gt;0,AVERAGE(F$186:F$187,F182),""),"")</f>
        <v/>
      </c>
      <c r="W240" s="294" t="str">
        <f aca="false">IFERROR(IF(G$186*G$187*G182&gt;0,STDEV(G$186:G$187,G182),"")/IF(G$186*G$187*G182&gt;0,AVERAGE(G$186:G$187,G182),""),"")</f>
        <v/>
      </c>
      <c r="X240" s="294" t="str">
        <f aca="false">IFERROR(IF(H$186*H$187*H182&gt;0,STDEV(H$186:H$187,H182),"")/IF(H$186*H$187*H182&gt;0,AVERAGE(H$186:H$187,H182),""),"")</f>
        <v/>
      </c>
      <c r="Y240" s="294" t="str">
        <f aca="false">IFERROR(IF(I$186*I$187*I182&gt;0,STDEV(I$186:I$187,I182),"")/IF(I$186*I$187*I182&gt;0,AVERAGE(I$186:I$187,I182),""),"")</f>
        <v/>
      </c>
      <c r="Z240" s="294" t="str">
        <f aca="false">IFERROR(IF(J$186*J$187*J182&gt;0,STDEV(J$186:J$187,J182),"")/IF(J$186*J$187*J182&gt;0,AVERAGE(J$186:J$187,J182),""),"")</f>
        <v/>
      </c>
      <c r="AA240" s="294" t="str">
        <f aca="false">IFERROR(IF(K$186*K$187*K182&gt;0,STDEV(K$186:K$187,K182),"")/IF(K$186*K$187*K182&gt;0,AVERAGE(K$186:K$187,K182),""),"")</f>
        <v/>
      </c>
      <c r="AB240" s="294" t="str">
        <f aca="false">IFERROR(IF(L$186*L$187*L182&gt;0,STDEV(L$186:L$187,L182),"")/IF(L$186*L$187*L182&gt;0,AVERAGE(L$186:L$187,L182),""),"")</f>
        <v/>
      </c>
      <c r="AC240" s="294" t="str">
        <f aca="false">IFERROR(IF(M$186*M$187*M182&gt;0,STDEV(M$186:M$187,M182),"")/IF(M$186*M$187*M182&gt;0,AVERAGE(M$186:M$187,M182),""),"")</f>
        <v/>
      </c>
      <c r="AD240" s="294" t="str">
        <f aca="false">IFERROR(IF(N$186*N$187*N182&gt;0,STDEV(N$186:N$187,N182),"")/IF(N$186*N$187*N182&gt;0,AVERAGE(N$186:N$187,N182),""),"")</f>
        <v/>
      </c>
      <c r="AE240" s="44"/>
      <c r="AF240" s="266" t="s">
        <v>391</v>
      </c>
      <c r="AG240" s="303" t="str">
        <f aca="false">IFERROR(IF(C$186*C$187*C182&gt;0,STDEV(C$186:C$187,C182)," ")/IF(C$186*C$187*C182&gt;0,SQRT(COUNT(C$186:C$187,C182))," "),"")</f>
        <v/>
      </c>
      <c r="AH240" s="303" t="str">
        <f aca="false">IFERROR(IF(D$186*D$187*D182&gt;0,STDEV(D$186:D$187,D182)," ")/IF(D$186*D$187*D182&gt;0,SQRT(COUNT(D$186:D$187,D182))," "),"")</f>
        <v/>
      </c>
      <c r="AI240" s="303" t="str">
        <f aca="false">IFERROR(IF(E$186*E$187*E182&gt;0,STDEV(E$186:E$187,E182)," ")/IF(E$186*E$187*E182&gt;0,SQRT(COUNT(E$186:E$187,E182))," "),"")</f>
        <v/>
      </c>
      <c r="AJ240" s="303" t="str">
        <f aca="false">IFERROR(IF(F$186*F$187*F182&gt;0,STDEV(F$186:F$187,F182)," ")/IF(F$186*F$187*F182&gt;0,SQRT(COUNT(F$186:F$187,F182))," "),"")</f>
        <v/>
      </c>
      <c r="AK240" s="303" t="str">
        <f aca="false">IFERROR(IF(G$186*G$187*G182&gt;0,STDEV(G$186:G$187,G182)," ")/IF(G$186*G$187*G182&gt;0,SQRT(COUNT(G$186:G$187,G182))," "),"")</f>
        <v/>
      </c>
      <c r="AL240" s="303" t="str">
        <f aca="false">IFERROR(IF(H$186*H$187*H182&gt;0,STDEV(H$186:H$187,H182)," ")/IF(H$186*H$187*H182&gt;0,SQRT(COUNT(H$186:H$187,H182))," "),"")</f>
        <v/>
      </c>
      <c r="AM240" s="303" t="str">
        <f aca="false">IFERROR(IF(I$186*I$187*I182&gt;0,STDEV(I$186:I$187,I182)," ")/IF(I$186*I$187*I182&gt;0,SQRT(COUNT(I$186:I$187,I182))," "),"")</f>
        <v/>
      </c>
      <c r="AN240" s="303" t="str">
        <f aca="false">IFERROR(IF(J$186*J$187*J182&gt;0,STDEV(J$186:J$187,J182)," ")/IF(J$186*J$187*J182&gt;0,SQRT(COUNT(J$186:J$187,J182))," "),"")</f>
        <v/>
      </c>
      <c r="AO240" s="303" t="str">
        <f aca="false">IFERROR(IF(K$186*K$187*K182&gt;0,STDEV(K$186:K$187,K182)," ")/IF(K$186*K$187*K182&gt;0,SQRT(COUNT(K$186:K$187,K182))," "),"")</f>
        <v/>
      </c>
      <c r="AP240" s="303" t="str">
        <f aca="false">IFERROR(IF(L$186*L$187*L182&gt;0,STDEV(L$186:L$187,L182)," ")/IF(L$186*L$187*L182&gt;0,SQRT(COUNT(L$186:L$187,L182))," "),"")</f>
        <v/>
      </c>
      <c r="AQ240" s="303" t="str">
        <f aca="false">IFERROR(IF(M$186*M$187*M182&gt;0,STDEV(M$186:M$187,M182)," ")/IF(M$186*M$187*M182&gt;0,SQRT(COUNT(M$186:M$187,M182))," "),"")</f>
        <v/>
      </c>
      <c r="AR240" s="303" t="str">
        <f aca="false">IFERROR(IF(N$186*N$187*N182&gt;0,STDEV(N$186:N$187,N182)," ")/IF(N$186*N$187*N182&gt;0,SQRT(COUNT(N$186:N$187,N182))," "),"")</f>
        <v/>
      </c>
    </row>
    <row r="241" customFormat="false" ht="15.75" hidden="false" customHeight="false" outlineLevel="0" collapsed="false">
      <c r="A241" s="290" t="s">
        <v>392</v>
      </c>
      <c r="B241" s="281"/>
      <c r="C241" s="291" t="str">
        <f aca="false">IFERROR(IF(C$186*C$187*C183&gt;0,AVERAGE(C$186:C$187,C183),""),"")</f>
        <v/>
      </c>
      <c r="D241" s="291" t="str">
        <f aca="false">IFERROR(IF(D$186*D$187*D183&gt;0,AVERAGE(D$186:D$187,D183),""),"")</f>
        <v/>
      </c>
      <c r="E241" s="291" t="str">
        <f aca="false">IFERROR(IF(E$186*E$187*E183&gt;0,AVERAGE(E$186:E$187,E183),""),"")</f>
        <v/>
      </c>
      <c r="F241" s="291" t="str">
        <f aca="false">IFERROR(IF(F$186*F$187*F183&gt;0,AVERAGE(F$186:F$187,F183),""),"")</f>
        <v/>
      </c>
      <c r="G241" s="291" t="str">
        <f aca="false">IFERROR(IF(G$186*G$187*G183&gt;0,AVERAGE(G$186:G$187,G183),""),"")</f>
        <v/>
      </c>
      <c r="H241" s="291" t="str">
        <f aca="false">IFERROR(IF(H$186*H$187*H183&gt;0,AVERAGE(H$186:H$187,H183),""),"")</f>
        <v/>
      </c>
      <c r="I241" s="291" t="str">
        <f aca="false">IFERROR(IF(I$186*I$187*I183&gt;0,AVERAGE(I$186:I$187,I183),""),"")</f>
        <v/>
      </c>
      <c r="J241" s="291" t="str">
        <f aca="false">IFERROR(IF(J$186*J$187*J183&gt;0,AVERAGE(J$186:J$187,J183),""),"")</f>
        <v/>
      </c>
      <c r="K241" s="291" t="str">
        <f aca="false">IFERROR(IF(K$186*K$187*K183&gt;0,AVERAGE(K$186:K$187,K183),""),"")</f>
        <v/>
      </c>
      <c r="L241" s="291" t="str">
        <f aca="false">IFERROR(IF(L$186*L$187*L183&gt;0,AVERAGE(L$186:L$187,L183),""),"")</f>
        <v/>
      </c>
      <c r="M241" s="291" t="str">
        <f aca="false">IFERROR(IF(M$186*M$187*M183&gt;0,AVERAGE(M$186:M$187,M183),""),"")</f>
        <v/>
      </c>
      <c r="N241" s="291" t="str">
        <f aca="false">IFERROR(IF(N$186*N$187*N183&gt;0,AVERAGE(N$186:N$187,N183),""),"")</f>
        <v/>
      </c>
      <c r="O241" s="282"/>
      <c r="P241" s="282"/>
      <c r="Q241" s="296"/>
      <c r="R241" s="293" t="s">
        <v>393</v>
      </c>
      <c r="S241" s="294" t="str">
        <f aca="false">IFERROR(IF(C$186*C$187*C183&gt;0,STDEV(C$186:C$187,C183),"")/IF(C$186*C$187*C183&gt;0,AVERAGE(C$186:C$187,C183),""),"")</f>
        <v/>
      </c>
      <c r="T241" s="294" t="str">
        <f aca="false">IFERROR(IF(D$186*D$187*D183&gt;0,STDEV(D$186:D$187,D183),"")/IF(D$186*D$187*D183&gt;0,AVERAGE(D$186:D$187,D183),""),"")</f>
        <v/>
      </c>
      <c r="U241" s="294" t="str">
        <f aca="false">IFERROR(IF(E$186*E$187*E183&gt;0,STDEV(E$186:E$187,E183),"")/IF(E$186*E$187*E183&gt;0,AVERAGE(E$186:E$187,E183),""),"")</f>
        <v/>
      </c>
      <c r="V241" s="294" t="str">
        <f aca="false">IFERROR(IF(F$186*F$187*F183&gt;0,STDEV(F$186:F$187,F183),"")/IF(F$186*F$187*F183&gt;0,AVERAGE(F$186:F$187,F183),""),"")</f>
        <v/>
      </c>
      <c r="W241" s="294" t="str">
        <f aca="false">IFERROR(IF(G$186*G$187*G183&gt;0,STDEV(G$186:G$187,G183),"")/IF(G$186*G$187*G183&gt;0,AVERAGE(G$186:G$187,G183),""),"")</f>
        <v/>
      </c>
      <c r="X241" s="294" t="str">
        <f aca="false">IFERROR(IF(H$186*H$187*H183&gt;0,STDEV(H$186:H$187,H183),"")/IF(H$186*H$187*H183&gt;0,AVERAGE(H$186:H$187,H183),""),"")</f>
        <v/>
      </c>
      <c r="Y241" s="294" t="str">
        <f aca="false">IFERROR(IF(I$186*I$187*I183&gt;0,STDEV(I$186:I$187,I183),"")/IF(I$186*I$187*I183&gt;0,AVERAGE(I$186:I$187,I183),""),"")</f>
        <v/>
      </c>
      <c r="Z241" s="294" t="str">
        <f aca="false">IFERROR(IF(J$186*J$187*J183&gt;0,STDEV(J$186:J$187,J183),"")/IF(J$186*J$187*J183&gt;0,AVERAGE(J$186:J$187,J183),""),"")</f>
        <v/>
      </c>
      <c r="AA241" s="294" t="str">
        <f aca="false">IFERROR(IF(K$186*K$187*K183&gt;0,STDEV(K$186:K$187,K183),"")/IF(K$186*K$187*K183&gt;0,AVERAGE(K$186:K$187,K183),""),"")</f>
        <v/>
      </c>
      <c r="AB241" s="294" t="str">
        <f aca="false">IFERROR(IF(L$186*L$187*L183&gt;0,STDEV(L$186:L$187,L183),"")/IF(L$186*L$187*L183&gt;0,AVERAGE(L$186:L$187,L183),""),"")</f>
        <v/>
      </c>
      <c r="AC241" s="294" t="str">
        <f aca="false">IFERROR(IF(M$186*M$187*M183&gt;0,STDEV(M$186:M$187,M183),"")/IF(M$186*M$187*M183&gt;0,AVERAGE(M$186:M$187,M183),""),"")</f>
        <v/>
      </c>
      <c r="AD241" s="294" t="str">
        <f aca="false">IFERROR(IF(N$186*N$187*N183&gt;0,STDEV(N$186:N$187,N183),"")/IF(N$186*N$187*N183&gt;0,AVERAGE(N$186:N$187,N183),""),"")</f>
        <v/>
      </c>
      <c r="AE241" s="44"/>
      <c r="AF241" s="266" t="s">
        <v>394</v>
      </c>
      <c r="AG241" s="303" t="str">
        <f aca="false">IFERROR(IF(C$186*C$187*C183&gt;0,STDEV(C$186:C$187,C183)," ")/IF(C$186*C$187*C183&gt;0,SQRT(COUNT(C$186:C$187,C183))," "),"")</f>
        <v/>
      </c>
      <c r="AH241" s="303" t="str">
        <f aca="false">IFERROR(IF(D$186*D$187*D183&gt;0,STDEV(D$186:D$187,D183)," ")/IF(D$186*D$187*D183&gt;0,SQRT(COUNT(D$186:D$187,D183))," "),"")</f>
        <v/>
      </c>
      <c r="AI241" s="303" t="str">
        <f aca="false">IFERROR(IF(E$186*E$187*E183&gt;0,STDEV(E$186:E$187,E183)," ")/IF(E$186*E$187*E183&gt;0,SQRT(COUNT(E$186:E$187,E183))," "),"")</f>
        <v/>
      </c>
      <c r="AJ241" s="303" t="str">
        <f aca="false">IFERROR(IF(F$186*F$187*F183&gt;0,STDEV(F$186:F$187,F183)," ")/IF(F$186*F$187*F183&gt;0,SQRT(COUNT(F$186:F$187,F183))," "),"")</f>
        <v/>
      </c>
      <c r="AK241" s="303" t="str">
        <f aca="false">IFERROR(IF(G$186*G$187*G183&gt;0,STDEV(G$186:G$187,G183)," ")/IF(G$186*G$187*G183&gt;0,SQRT(COUNT(G$186:G$187,G183))," "),"")</f>
        <v/>
      </c>
      <c r="AL241" s="303" t="str">
        <f aca="false">IFERROR(IF(H$186*H$187*H183&gt;0,STDEV(H$186:H$187,H183)," ")/IF(H$186*H$187*H183&gt;0,SQRT(COUNT(H$186:H$187,H183))," "),"")</f>
        <v/>
      </c>
      <c r="AM241" s="303" t="str">
        <f aca="false">IFERROR(IF(I$186*I$187*I183&gt;0,STDEV(I$186:I$187,I183)," ")/IF(I$186*I$187*I183&gt;0,SQRT(COUNT(I$186:I$187,I183))," "),"")</f>
        <v/>
      </c>
      <c r="AN241" s="303" t="str">
        <f aca="false">IFERROR(IF(J$186*J$187*J183&gt;0,STDEV(J$186:J$187,J183)," ")/IF(J$186*J$187*J183&gt;0,SQRT(COUNT(J$186:J$187,J183))," "),"")</f>
        <v/>
      </c>
      <c r="AO241" s="303" t="str">
        <f aca="false">IFERROR(IF(K$186*K$187*K183&gt;0,STDEV(K$186:K$187,K183)," ")/IF(K$186*K$187*K183&gt;0,SQRT(COUNT(K$186:K$187,K183))," "),"")</f>
        <v/>
      </c>
      <c r="AP241" s="303" t="str">
        <f aca="false">IFERROR(IF(L$186*L$187*L183&gt;0,STDEV(L$186:L$187,L183)," ")/IF(L$186*L$187*L183&gt;0,SQRT(COUNT(L$186:L$187,L183))," "),"")</f>
        <v/>
      </c>
      <c r="AQ241" s="303" t="str">
        <f aca="false">IFERROR(IF(M$186*M$187*M183&gt;0,STDEV(M$186:M$187,M183)," ")/IF(M$186*M$187*M183&gt;0,SQRT(COUNT(M$186:M$187,M183))," "),"")</f>
        <v/>
      </c>
      <c r="AR241" s="303" t="str">
        <f aca="false">IFERROR(IF(N$186*N$187*N183&gt;0,STDEV(N$186:N$187,N183)," ")/IF(N$186*N$187*N183&gt;0,SQRT(COUNT(N$186:N$187,N183))," "),"")</f>
        <v/>
      </c>
    </row>
    <row r="242" customFormat="false" ht="15.75" hidden="false" customHeight="false" outlineLevel="0" collapsed="false">
      <c r="A242" s="290" t="s">
        <v>395</v>
      </c>
      <c r="B242" s="281"/>
      <c r="C242" s="291" t="str">
        <f aca="false">IFERROR(IF(C$186*C$187*C184&gt;0,AVERAGE(C$186:C$187,C184),""),"")</f>
        <v/>
      </c>
      <c r="D242" s="291" t="str">
        <f aca="false">IFERROR(IF(D$186*D$187*D184&gt;0,AVERAGE(D$186:D$187,D184),""),"")</f>
        <v/>
      </c>
      <c r="E242" s="291" t="str">
        <f aca="false">IFERROR(IF(E$186*E$187*E184&gt;0,AVERAGE(E$186:E$187,E184),""),"")</f>
        <v/>
      </c>
      <c r="F242" s="291" t="str">
        <f aca="false">IFERROR(IF(F$186*F$187*F184&gt;0,AVERAGE(F$186:F$187,F184),""),"")</f>
        <v/>
      </c>
      <c r="G242" s="291" t="str">
        <f aca="false">IFERROR(IF(G$186*G$187*G184&gt;0,AVERAGE(G$186:G$187,G184),""),"")</f>
        <v/>
      </c>
      <c r="H242" s="291" t="str">
        <f aca="false">IFERROR(IF(H$186*H$187*H184&gt;0,AVERAGE(H$186:H$187,H184),""),"")</f>
        <v/>
      </c>
      <c r="I242" s="291" t="str">
        <f aca="false">IFERROR(IF(I$186*I$187*I184&gt;0,AVERAGE(I$186:I$187,I184),""),"")</f>
        <v/>
      </c>
      <c r="J242" s="291" t="str">
        <f aca="false">IFERROR(IF(J$186*J$187*J184&gt;0,AVERAGE(J$186:J$187,J184),""),"")</f>
        <v/>
      </c>
      <c r="K242" s="291" t="str">
        <f aca="false">IFERROR(IF(K$186*K$187*K184&gt;0,AVERAGE(K$186:K$187,K184),""),"")</f>
        <v/>
      </c>
      <c r="L242" s="291" t="str">
        <f aca="false">IFERROR(IF(L$186*L$187*L184&gt;0,AVERAGE(L$186:L$187,L184),""),"")</f>
        <v/>
      </c>
      <c r="M242" s="291" t="str">
        <f aca="false">IFERROR(IF(M$186*M$187*M184&gt;0,AVERAGE(M$186:M$187,M184),""),"")</f>
        <v/>
      </c>
      <c r="N242" s="291" t="str">
        <f aca="false">IFERROR(IF(N$186*N$187*N184&gt;0,AVERAGE(N$186:N$187,N184),""),"")</f>
        <v/>
      </c>
      <c r="O242" s="282"/>
      <c r="P242" s="282"/>
      <c r="Q242" s="296"/>
      <c r="R242" s="293" t="s">
        <v>396</v>
      </c>
      <c r="S242" s="294" t="str">
        <f aca="false">IFERROR(IF(C$186*C$187*C184&gt;0,STDEV(C$186:C$187,C184),"")/IF(C$186*C$187*C184&gt;0,AVERAGE(C$186:C$187,C184),""),"")</f>
        <v/>
      </c>
      <c r="T242" s="294" t="str">
        <f aca="false">IFERROR(IF(D$186*D$187*D184&gt;0,STDEV(D$186:D$187,D184),"")/IF(D$186*D$187*D184&gt;0,AVERAGE(D$186:D$187,D184),""),"")</f>
        <v/>
      </c>
      <c r="U242" s="294" t="str">
        <f aca="false">IFERROR(IF(E$186*E$187*E184&gt;0,STDEV(E$186:E$187,E184),"")/IF(E$186*E$187*E184&gt;0,AVERAGE(E$186:E$187,E184),""),"")</f>
        <v/>
      </c>
      <c r="V242" s="294" t="str">
        <f aca="false">IFERROR(IF(F$186*F$187*F184&gt;0,STDEV(F$186:F$187,F184),"")/IF(F$186*F$187*F184&gt;0,AVERAGE(F$186:F$187,F184),""),"")</f>
        <v/>
      </c>
      <c r="W242" s="294" t="str">
        <f aca="false">IFERROR(IF(G$186*G$187*G184&gt;0,STDEV(G$186:G$187,G184),"")/IF(G$186*G$187*G184&gt;0,AVERAGE(G$186:G$187,G184),""),"")</f>
        <v/>
      </c>
      <c r="X242" s="294" t="str">
        <f aca="false">IFERROR(IF(H$186*H$187*H184&gt;0,STDEV(H$186:H$187,H184),"")/IF(H$186*H$187*H184&gt;0,AVERAGE(H$186:H$187,H184),""),"")</f>
        <v/>
      </c>
      <c r="Y242" s="294" t="str">
        <f aca="false">IFERROR(IF(I$186*I$187*I184&gt;0,STDEV(I$186:I$187,I184),"")/IF(I$186*I$187*I184&gt;0,AVERAGE(I$186:I$187,I184),""),"")</f>
        <v/>
      </c>
      <c r="Z242" s="294" t="str">
        <f aca="false">IFERROR(IF(J$186*J$187*J184&gt;0,STDEV(J$186:J$187,J184),"")/IF(J$186*J$187*J184&gt;0,AVERAGE(J$186:J$187,J184),""),"")</f>
        <v/>
      </c>
      <c r="AA242" s="294" t="str">
        <f aca="false">IFERROR(IF(K$186*K$187*K184&gt;0,STDEV(K$186:K$187,K184),"")/IF(K$186*K$187*K184&gt;0,AVERAGE(K$186:K$187,K184),""),"")</f>
        <v/>
      </c>
      <c r="AB242" s="294" t="str">
        <f aca="false">IFERROR(IF(L$186*L$187*L184&gt;0,STDEV(L$186:L$187,L184),"")/IF(L$186*L$187*L184&gt;0,AVERAGE(L$186:L$187,L184),""),"")</f>
        <v/>
      </c>
      <c r="AC242" s="294" t="str">
        <f aca="false">IFERROR(IF(M$186*M$187*M184&gt;0,STDEV(M$186:M$187,M184),"")/IF(M$186*M$187*M184&gt;0,AVERAGE(M$186:M$187,M184),""),"")</f>
        <v/>
      </c>
      <c r="AD242" s="294" t="str">
        <f aca="false">IFERROR(IF(N$186*N$187*N184&gt;0,STDEV(N$186:N$187,N184),"")/IF(N$186*N$187*N184&gt;0,AVERAGE(N$186:N$187,N184),""),"")</f>
        <v/>
      </c>
      <c r="AE242" s="44"/>
      <c r="AF242" s="266" t="s">
        <v>397</v>
      </c>
      <c r="AG242" s="303" t="str">
        <f aca="false">IFERROR(IF(C$186*C$187*C184&gt;0,STDEV(C$186:C$187,C184)," ")/IF(C$186*C$187*C184&gt;0,SQRT(COUNT(C$186:C$187,C184))," "),"")</f>
        <v/>
      </c>
      <c r="AH242" s="303" t="str">
        <f aca="false">IFERROR(IF(D$186*D$187*D184&gt;0,STDEV(D$186:D$187,D184)," ")/IF(D$186*D$187*D184&gt;0,SQRT(COUNT(D$186:D$187,D184))," "),"")</f>
        <v/>
      </c>
      <c r="AI242" s="303" t="str">
        <f aca="false">IFERROR(IF(E$186*E$187*E184&gt;0,STDEV(E$186:E$187,E184)," ")/IF(E$186*E$187*E184&gt;0,SQRT(COUNT(E$186:E$187,E184))," "),"")</f>
        <v/>
      </c>
      <c r="AJ242" s="303" t="str">
        <f aca="false">IFERROR(IF(F$186*F$187*F184&gt;0,STDEV(F$186:F$187,F184)," ")/IF(F$186*F$187*F184&gt;0,SQRT(COUNT(F$186:F$187,F184))," "),"")</f>
        <v/>
      </c>
      <c r="AK242" s="303" t="str">
        <f aca="false">IFERROR(IF(G$186*G$187*G184&gt;0,STDEV(G$186:G$187,G184)," ")/IF(G$186*G$187*G184&gt;0,SQRT(COUNT(G$186:G$187,G184))," "),"")</f>
        <v/>
      </c>
      <c r="AL242" s="303" t="str">
        <f aca="false">IFERROR(IF(H$186*H$187*H184&gt;0,STDEV(H$186:H$187,H184)," ")/IF(H$186*H$187*H184&gt;0,SQRT(COUNT(H$186:H$187,H184))," "),"")</f>
        <v/>
      </c>
      <c r="AM242" s="303" t="str">
        <f aca="false">IFERROR(IF(I$186*I$187*I184&gt;0,STDEV(I$186:I$187,I184)," ")/IF(I$186*I$187*I184&gt;0,SQRT(COUNT(I$186:I$187,I184))," "),"")</f>
        <v/>
      </c>
      <c r="AN242" s="303" t="str">
        <f aca="false">IFERROR(IF(J$186*J$187*J184&gt;0,STDEV(J$186:J$187,J184)," ")/IF(J$186*J$187*J184&gt;0,SQRT(COUNT(J$186:J$187,J184))," "),"")</f>
        <v/>
      </c>
      <c r="AO242" s="303" t="str">
        <f aca="false">IFERROR(IF(K$186*K$187*K184&gt;0,STDEV(K$186:K$187,K184)," ")/IF(K$186*K$187*K184&gt;0,SQRT(COUNT(K$186:K$187,K184))," "),"")</f>
        <v/>
      </c>
      <c r="AP242" s="303" t="str">
        <f aca="false">IFERROR(IF(L$186*L$187*L184&gt;0,STDEV(L$186:L$187,L184)," ")/IF(L$186*L$187*L184&gt;0,SQRT(COUNT(L$186:L$187,L184))," "),"")</f>
        <v/>
      </c>
      <c r="AQ242" s="303" t="str">
        <f aca="false">IFERROR(IF(M$186*M$187*M184&gt;0,STDEV(M$186:M$187,M184)," ")/IF(M$186*M$187*M184&gt;0,SQRT(COUNT(M$186:M$187,M184))," "),"")</f>
        <v/>
      </c>
      <c r="AR242" s="303" t="str">
        <f aca="false">IFERROR(IF(N$186*N$187*N184&gt;0,STDEV(N$186:N$187,N184)," ")/IF(N$186*N$187*N184&gt;0,SQRT(COUNT(N$186:N$187,N184))," "),"")</f>
        <v/>
      </c>
    </row>
    <row r="243" customFormat="false" ht="15.75" hidden="false" customHeight="false" outlineLevel="0" collapsed="false">
      <c r="A243" s="290" t="s">
        <v>401</v>
      </c>
      <c r="B243" s="281"/>
      <c r="C243" s="291" t="str">
        <f aca="false">IFERROR(IF(C$186*C$187*C188&gt;0,AVERAGE(C$186:C$187,C188),""),"")</f>
        <v/>
      </c>
      <c r="D243" s="291" t="str">
        <f aca="false">IFERROR(IF(D$186*D$187*D188&gt;0,AVERAGE(D$186:D$187,D188),""),"")</f>
        <v/>
      </c>
      <c r="E243" s="291" t="str">
        <f aca="false">IFERROR(IF(E$186*E$187*E188&gt;0,AVERAGE(E$186:E$187,E188),""),"")</f>
        <v/>
      </c>
      <c r="F243" s="291" t="str">
        <f aca="false">IFERROR(IF(F$186*F$187*F188&gt;0,AVERAGE(F$186:F$187,F188),""),"")</f>
        <v/>
      </c>
      <c r="G243" s="291" t="str">
        <f aca="false">IFERROR(IF(G$186*G$187*G188&gt;0,AVERAGE(G$186:G$187,G188),""),"")</f>
        <v/>
      </c>
      <c r="H243" s="291" t="str">
        <f aca="false">IFERROR(IF(H$186*H$187*H188&gt;0,AVERAGE(H$186:H$187,H188),""),"")</f>
        <v/>
      </c>
      <c r="I243" s="291" t="str">
        <f aca="false">IFERROR(IF(I$186*I$187*I188&gt;0,AVERAGE(I$186:I$187,I188),""),"")</f>
        <v/>
      </c>
      <c r="J243" s="291" t="str">
        <f aca="false">IFERROR(IF(J$186*J$187*J188&gt;0,AVERAGE(J$186:J$187,J188),""),"")</f>
        <v/>
      </c>
      <c r="K243" s="291" t="str">
        <f aca="false">IFERROR(IF(K$186*K$187*K188&gt;0,AVERAGE(K$186:K$187,K188),""),"")</f>
        <v/>
      </c>
      <c r="L243" s="291" t="str">
        <f aca="false">IFERROR(IF(L$186*L$187*L188&gt;0,AVERAGE(L$186:L$187,L188),""),"")</f>
        <v/>
      </c>
      <c r="M243" s="291" t="str">
        <f aca="false">IFERROR(IF(M$186*M$187*M188&gt;0,AVERAGE(M$186:M$187,M188),""),"")</f>
        <v/>
      </c>
      <c r="N243" s="291" t="str">
        <f aca="false">IFERROR(IF(N$186*N$187*N188&gt;0,AVERAGE(N$186:N$187,N188),""),"")</f>
        <v/>
      </c>
      <c r="O243" s="282"/>
      <c r="P243" s="282"/>
      <c r="Q243" s="296"/>
      <c r="R243" s="293" t="s">
        <v>402</v>
      </c>
      <c r="S243" s="294" t="str">
        <f aca="false">IFERROR(IF(C$186*C$187*C188&gt;0,STDEV(C$186:C$187,C188),"")/IF(C$186*C$187*C188&gt;0,AVERAGE(C$186:C$187,C188),""),"")</f>
        <v/>
      </c>
      <c r="T243" s="294" t="str">
        <f aca="false">IFERROR(IF(D$186*D$187*D188&gt;0,STDEV(D$186:D$187,D188),"")/IF(D$186*D$187*D188&gt;0,AVERAGE(D$186:D$187,D188),""),"")</f>
        <v/>
      </c>
      <c r="U243" s="294" t="str">
        <f aca="false">IFERROR(IF(E$186*E$187*E188&gt;0,STDEV(E$186:E$187,E188),"")/IF(E$186*E$187*E188&gt;0,AVERAGE(E$186:E$187,E188),""),"")</f>
        <v/>
      </c>
      <c r="V243" s="294" t="str">
        <f aca="false">IFERROR(IF(F$186*F$187*F188&gt;0,STDEV(F$186:F$187,F188),"")/IF(F$186*F$187*F188&gt;0,AVERAGE(F$186:F$187,F188),""),"")</f>
        <v/>
      </c>
      <c r="W243" s="294" t="str">
        <f aca="false">IFERROR(IF(G$186*G$187*G188&gt;0,STDEV(G$186:G$187,G188),"")/IF(G$186*G$187*G188&gt;0,AVERAGE(G$186:G$187,G188),""),"")</f>
        <v/>
      </c>
      <c r="X243" s="294" t="str">
        <f aca="false">IFERROR(IF(H$186*H$187*H188&gt;0,STDEV(H$186:H$187,H188),"")/IF(H$186*H$187*H188&gt;0,AVERAGE(H$186:H$187,H188),""),"")</f>
        <v/>
      </c>
      <c r="Y243" s="294" t="str">
        <f aca="false">IFERROR(IF(I$186*I$187*I188&gt;0,STDEV(I$186:I$187,I188),"")/IF(I$186*I$187*I188&gt;0,AVERAGE(I$186:I$187,I188),""),"")</f>
        <v/>
      </c>
      <c r="Z243" s="294" t="str">
        <f aca="false">IFERROR(IF(J$186*J$187*J188&gt;0,STDEV(J$186:J$187,J188),"")/IF(J$186*J$187*J188&gt;0,AVERAGE(J$186:J$187,J188),""),"")</f>
        <v/>
      </c>
      <c r="AA243" s="294" t="str">
        <f aca="false">IFERROR(IF(K$186*K$187*K188&gt;0,STDEV(K$186:K$187,K188),"")/IF(K$186*K$187*K188&gt;0,AVERAGE(K$186:K$187,K188),""),"")</f>
        <v/>
      </c>
      <c r="AB243" s="294" t="str">
        <f aca="false">IFERROR(IF(L$186*L$187*L188&gt;0,STDEV(L$186:L$187,L188),"")/IF(L$186*L$187*L188&gt;0,AVERAGE(L$186:L$187,L188),""),"")</f>
        <v/>
      </c>
      <c r="AC243" s="294" t="str">
        <f aca="false">IFERROR(IF(M$186*M$187*M188&gt;0,STDEV(M$186:M$187,M188),"")/IF(M$186*M$187*M188&gt;0,AVERAGE(M$186:M$187,M188),""),"")</f>
        <v/>
      </c>
      <c r="AD243" s="294" t="str">
        <f aca="false">IFERROR(IF(N$186*N$187*N188&gt;0,STDEV(N$186:N$187,N188),"")/IF(N$186*N$187*N188&gt;0,AVERAGE(N$186:N$187,N188),""),"")</f>
        <v/>
      </c>
      <c r="AE243" s="44"/>
      <c r="AF243" s="266" t="s">
        <v>403</v>
      </c>
      <c r="AG243" s="303" t="str">
        <f aca="false">IFERROR(IF(C$186*C$187*C188&gt;0,STDEV(C$186:C$187,C188)," ")/IF(C$186*C$187*C188&gt;0,SQRT(COUNT(C$186:C$187,C188))," "),"")</f>
        <v/>
      </c>
      <c r="AH243" s="303" t="str">
        <f aca="false">IFERROR(IF(D$186*D$187*D188&gt;0,STDEV(D$186:D$187,D188)," ")/IF(D$186*D$187*D188&gt;0,SQRT(COUNT(D$186:D$187,D188))," "),"")</f>
        <v/>
      </c>
      <c r="AI243" s="303" t="str">
        <f aca="false">IFERROR(IF(E$186*E$187*E188&gt;0,STDEV(E$186:E$187,E188)," ")/IF(E$186*E$187*E188&gt;0,SQRT(COUNT(E$186:E$187,E188))," "),"")</f>
        <v/>
      </c>
      <c r="AJ243" s="303" t="str">
        <f aca="false">IFERROR(IF(F$186*F$187*F188&gt;0,STDEV(F$186:F$187,F188)," ")/IF(F$186*F$187*F188&gt;0,SQRT(COUNT(F$186:F$187,F188))," "),"")</f>
        <v/>
      </c>
      <c r="AK243" s="303" t="str">
        <f aca="false">IFERROR(IF(G$186*G$187*G188&gt;0,STDEV(G$186:G$187,G188)," ")/IF(G$186*G$187*G188&gt;0,SQRT(COUNT(G$186:G$187,G188))," "),"")</f>
        <v/>
      </c>
      <c r="AL243" s="303" t="str">
        <f aca="false">IFERROR(IF(H$186*H$187*H188&gt;0,STDEV(H$186:H$187,H188)," ")/IF(H$186*H$187*H188&gt;0,SQRT(COUNT(H$186:H$187,H188))," "),"")</f>
        <v/>
      </c>
      <c r="AM243" s="303" t="str">
        <f aca="false">IFERROR(IF(I$186*I$187*I188&gt;0,STDEV(I$186:I$187,I188)," ")/IF(I$186*I$187*I188&gt;0,SQRT(COUNT(I$186:I$187,I188))," "),"")</f>
        <v/>
      </c>
      <c r="AN243" s="303" t="str">
        <f aca="false">IFERROR(IF(J$186*J$187*J188&gt;0,STDEV(J$186:J$187,J188)," ")/IF(J$186*J$187*J188&gt;0,SQRT(COUNT(J$186:J$187,J188))," "),"")</f>
        <v/>
      </c>
      <c r="AO243" s="303" t="str">
        <f aca="false">IFERROR(IF(K$186*K$187*K188&gt;0,STDEV(K$186:K$187,K188)," ")/IF(K$186*K$187*K188&gt;0,SQRT(COUNT(K$186:K$187,K188))," "),"")</f>
        <v/>
      </c>
      <c r="AP243" s="303" t="str">
        <f aca="false">IFERROR(IF(L$186*L$187*L188&gt;0,STDEV(L$186:L$187,L188)," ")/IF(L$186*L$187*L188&gt;0,SQRT(COUNT(L$186:L$187,L188))," "),"")</f>
        <v/>
      </c>
      <c r="AQ243" s="303" t="str">
        <f aca="false">IFERROR(IF(M$186*M$187*M188&gt;0,STDEV(M$186:M$187,M188)," ")/IF(M$186*M$187*M188&gt;0,SQRT(COUNT(M$186:M$187,M188))," "),"")</f>
        <v/>
      </c>
      <c r="AR243" s="303" t="str">
        <f aca="false">IFERROR(IF(N$186*N$187*N188&gt;0,STDEV(N$186:N$187,N188)," ")/IF(N$186*N$187*N188&gt;0,SQRT(COUNT(N$186:N$187,N188))," "),"")</f>
        <v/>
      </c>
    </row>
    <row r="244" customFormat="false" ht="15.75" hidden="false" customHeight="false" outlineLevel="0" collapsed="false">
      <c r="A244" s="290" t="s">
        <v>404</v>
      </c>
      <c r="B244" s="281"/>
      <c r="C244" s="302" t="str">
        <f aca="false">IFERROR(IF(C$187*C$188*C182&gt;0,AVERAGE(C$187:C$188,C182),""),"")</f>
        <v/>
      </c>
      <c r="D244" s="302" t="str">
        <f aca="false">IFERROR(IF(D$187*D$188*D182&gt;0,AVERAGE(D$187:D$188,D182),""),"")</f>
        <v/>
      </c>
      <c r="E244" s="302" t="str">
        <f aca="false">IFERROR(IF(E$187*E$188*E182&gt;0,AVERAGE(E$187:E$188,E182),""),"")</f>
        <v/>
      </c>
      <c r="F244" s="302" t="str">
        <f aca="false">IFERROR(IF(F$187*F$188*F182&gt;0,AVERAGE(F$187:F$188,F182),""),"")</f>
        <v/>
      </c>
      <c r="G244" s="302" t="str">
        <f aca="false">IFERROR(IF(G$187*G$188*G182&gt;0,AVERAGE(G$187:G$188,G182),""),"")</f>
        <v/>
      </c>
      <c r="H244" s="302" t="str">
        <f aca="false">IFERROR(IF(H$187*H$188*H182&gt;0,AVERAGE(H$187:H$188,H182),""),"")</f>
        <v/>
      </c>
      <c r="I244" s="302" t="str">
        <f aca="false">IFERROR(IF(I$187*I$188*I182&gt;0,AVERAGE(I$187:I$188,I182),""),"")</f>
        <v/>
      </c>
      <c r="J244" s="302" t="str">
        <f aca="false">IFERROR(IF(J$187*J$188*J182&gt;0,AVERAGE(J$187:J$188,J182),""),"")</f>
        <v/>
      </c>
      <c r="K244" s="302" t="str">
        <f aca="false">IFERROR(IF(K$187*K$188*K182&gt;0,AVERAGE(K$187:K$188,K182),""),"")</f>
        <v/>
      </c>
      <c r="L244" s="302" t="str">
        <f aca="false">IFERROR(IF(L$187*L$188*L182&gt;0,AVERAGE(L$187:L$188,L182),""),"")</f>
        <v/>
      </c>
      <c r="M244" s="302" t="str">
        <f aca="false">IFERROR(IF(M$187*M$188*M182&gt;0,AVERAGE(M$187:M$188,M182),""),"")</f>
        <v/>
      </c>
      <c r="N244" s="302" t="str">
        <f aca="false">IFERROR(IF(N$187*N$188*N182&gt;0,AVERAGE(N$187:N$188,N182),""),"")</f>
        <v/>
      </c>
      <c r="O244" s="282"/>
      <c r="P244" s="282"/>
      <c r="Q244" s="296"/>
      <c r="R244" s="293" t="s">
        <v>405</v>
      </c>
      <c r="S244" s="294" t="str">
        <f aca="false">IFERROR(IF(C$187*C$188*C182&gt;0,STDEV(C$187:C$188,C182),"")/IF(C$187*C$188*C182&gt;0,AVERAGE(C$187:C$188,C182),""),"")</f>
        <v/>
      </c>
      <c r="T244" s="294" t="str">
        <f aca="false">IFERROR(IF(D$187*D$188*D182&gt;0,STDEV(D$187:D$188,D182),"")/IF(D$187*D$188*D182&gt;0,AVERAGE(D$187:D$188,D182),""),"")</f>
        <v/>
      </c>
      <c r="U244" s="294" t="str">
        <f aca="false">IFERROR(IF(E$187*E$188*E182&gt;0,STDEV(E$187:E$188,E182),"")/IF(E$187*E$188*E182&gt;0,AVERAGE(E$187:E$188,E182),""),"")</f>
        <v/>
      </c>
      <c r="V244" s="294" t="str">
        <f aca="false">IFERROR(IF(F$187*F$188*F182&gt;0,STDEV(F$187:F$188,F182),"")/IF(F$187*F$188*F182&gt;0,AVERAGE(F$187:F$188,F182),""),"")</f>
        <v/>
      </c>
      <c r="W244" s="294" t="str">
        <f aca="false">IFERROR(IF(G$187*G$188*G182&gt;0,STDEV(G$187:G$188,G182),"")/IF(G$187*G$188*G182&gt;0,AVERAGE(G$187:G$188,G182),""),"")</f>
        <v/>
      </c>
      <c r="X244" s="294" t="str">
        <f aca="false">IFERROR(IF(H$187*H$188*H182&gt;0,STDEV(H$187:H$188,H182),"")/IF(H$187*H$188*H182&gt;0,AVERAGE(H$187:H$188,H182),""),"")</f>
        <v/>
      </c>
      <c r="Y244" s="294" t="str">
        <f aca="false">IFERROR(IF(I$187*I$188*I182&gt;0,STDEV(I$187:I$188,I182),"")/IF(I$187*I$188*I182&gt;0,AVERAGE(I$187:I$188,I182),""),"")</f>
        <v/>
      </c>
      <c r="Z244" s="294" t="str">
        <f aca="false">IFERROR(IF(J$187*J$188*J182&gt;0,STDEV(J$187:J$188,J182),"")/IF(J$187*J$188*J182&gt;0,AVERAGE(J$187:J$188,J182),""),"")</f>
        <v/>
      </c>
      <c r="AA244" s="294" t="str">
        <f aca="false">IFERROR(IF(K$187*K$188*K182&gt;0,STDEV(K$187:K$188,K182),"")/IF(K$187*K$188*K182&gt;0,AVERAGE(K$187:K$188,K182),""),"")</f>
        <v/>
      </c>
      <c r="AB244" s="294" t="str">
        <f aca="false">IFERROR(IF(L$187*L$188*L182&gt;0,STDEV(L$187:L$188,L182),"")/IF(L$187*L$188*L182&gt;0,AVERAGE(L$187:L$188,L182),""),"")</f>
        <v/>
      </c>
      <c r="AC244" s="294" t="str">
        <f aca="false">IFERROR(IF(M$187*M$188*M182&gt;0,STDEV(M$187:M$188,M182),"")/IF(M$187*M$188*M182&gt;0,AVERAGE(M$187:M$188,M182),""),"")</f>
        <v/>
      </c>
      <c r="AD244" s="294" t="str">
        <f aca="false">IFERROR(IF(N$187*N$188*N182&gt;0,STDEV(N$187:N$188,N182),"")/IF(N$187*N$188*N182&gt;0,AVERAGE(N$187:N$188,N182),""),"")</f>
        <v/>
      </c>
      <c r="AE244" s="44"/>
      <c r="AF244" s="266" t="s">
        <v>406</v>
      </c>
      <c r="AG244" s="303" t="str">
        <f aca="false">IFERROR(IF(C$187*C$188*C182&gt;0,STDEV(C$187:C$188,C182)," ")/IF(C$187*C$188*C182&gt;0,SQRT(COUNT(C$187:C$188,C182))," "),"")</f>
        <v/>
      </c>
      <c r="AH244" s="303" t="str">
        <f aca="false">IFERROR(IF(D$187*D$188*D182&gt;0,STDEV(D$187:D$188,D182)," ")/IF(D$187*D$188*D182&gt;0,SQRT(COUNT(D$187:D$188,D182))," "),"")</f>
        <v/>
      </c>
      <c r="AI244" s="303" t="str">
        <f aca="false">IFERROR(IF(E$187*E$188*E182&gt;0,STDEV(E$187:E$188,E182)," ")/IF(E$187*E$188*E182&gt;0,SQRT(COUNT(E$187:E$188,E182))," "),"")</f>
        <v/>
      </c>
      <c r="AJ244" s="303" t="str">
        <f aca="false">IFERROR(IF(F$187*F$188*F182&gt;0,STDEV(F$187:F$188,F182)," ")/IF(F$187*F$188*F182&gt;0,SQRT(COUNT(F$187:F$188,F182))," "),"")</f>
        <v/>
      </c>
      <c r="AK244" s="303" t="str">
        <f aca="false">IFERROR(IF(G$187*G$188*G182&gt;0,STDEV(G$187:G$188,G182)," ")/IF(G$187*G$188*G182&gt;0,SQRT(COUNT(G$187:G$188,G182))," "),"")</f>
        <v/>
      </c>
      <c r="AL244" s="303" t="str">
        <f aca="false">IFERROR(IF(H$187*H$188*H182&gt;0,STDEV(H$187:H$188,H182)," ")/IF(H$187*H$188*H182&gt;0,SQRT(COUNT(H$187:H$188,H182))," "),"")</f>
        <v/>
      </c>
      <c r="AM244" s="303" t="str">
        <f aca="false">IFERROR(IF(I$187*I$188*I182&gt;0,STDEV(I$187:I$188,I182)," ")/IF(I$187*I$188*I182&gt;0,SQRT(COUNT(I$187:I$188,I182))," "),"")</f>
        <v/>
      </c>
      <c r="AN244" s="303" t="str">
        <f aca="false">IFERROR(IF(J$187*J$188*J182&gt;0,STDEV(J$187:J$188,J182)," ")/IF(J$187*J$188*J182&gt;0,SQRT(COUNT(J$187:J$188,J182))," "),"")</f>
        <v/>
      </c>
      <c r="AO244" s="303" t="str">
        <f aca="false">IFERROR(IF(K$187*K$188*K182&gt;0,STDEV(K$187:K$188,K182)," ")/IF(K$187*K$188*K182&gt;0,SQRT(COUNT(K$187:K$188,K182))," "),"")</f>
        <v/>
      </c>
      <c r="AP244" s="303" t="str">
        <f aca="false">IFERROR(IF(L$187*L$188*L182&gt;0,STDEV(L$187:L$188,L182)," ")/IF(L$187*L$188*L182&gt;0,SQRT(COUNT(L$187:L$188,L182))," "),"")</f>
        <v/>
      </c>
      <c r="AQ244" s="303" t="str">
        <f aca="false">IFERROR(IF(M$187*M$188*M182&gt;0,STDEV(M$187:M$188,M182)," ")/IF(M$187*M$188*M182&gt;0,SQRT(COUNT(M$187:M$188,M182))," "),"")</f>
        <v/>
      </c>
      <c r="AR244" s="303" t="str">
        <f aca="false">IFERROR(IF(N$187*N$188*N182&gt;0,STDEV(N$187:N$188,N182)," ")/IF(N$187*N$188*N182&gt;0,SQRT(COUNT(N$187:N$188,N182))," "),"")</f>
        <v/>
      </c>
    </row>
    <row r="245" customFormat="false" ht="15.75" hidden="false" customHeight="false" outlineLevel="0" collapsed="false">
      <c r="A245" s="290" t="s">
        <v>407</v>
      </c>
      <c r="B245" s="281"/>
      <c r="C245" s="302" t="str">
        <f aca="false">IFERROR(IF(C$187*C$188*C183&gt;0,AVERAGE(C$187:C$188,C183),""),"")</f>
        <v/>
      </c>
      <c r="D245" s="302" t="str">
        <f aca="false">IFERROR(IF(D$187*D$188*D183&gt;0,AVERAGE(D$187:D$188,D183),""),"")</f>
        <v/>
      </c>
      <c r="E245" s="302" t="str">
        <f aca="false">IFERROR(IF(E$187*E$188*E183&gt;0,AVERAGE(E$187:E$188,E183),""),"")</f>
        <v/>
      </c>
      <c r="F245" s="302" t="str">
        <f aca="false">IFERROR(IF(F$187*F$188*F183&gt;0,AVERAGE(F$187:F$188,F183),""),"")</f>
        <v/>
      </c>
      <c r="G245" s="302" t="str">
        <f aca="false">IFERROR(IF(G$187*G$188*G183&gt;0,AVERAGE(G$187:G$188,G183),""),"")</f>
        <v/>
      </c>
      <c r="H245" s="302" t="str">
        <f aca="false">IFERROR(IF(H$187*H$188*H183&gt;0,AVERAGE(H$187:H$188,H183),""),"")</f>
        <v/>
      </c>
      <c r="I245" s="302" t="str">
        <f aca="false">IFERROR(IF(I$187*I$188*I183&gt;0,AVERAGE(I$187:I$188,I183),""),"")</f>
        <v/>
      </c>
      <c r="J245" s="302" t="str">
        <f aca="false">IFERROR(IF(J$187*J$188*J183&gt;0,AVERAGE(J$187:J$188,J183),""),"")</f>
        <v/>
      </c>
      <c r="K245" s="302" t="str">
        <f aca="false">IFERROR(IF(K$187*K$188*K183&gt;0,AVERAGE(K$187:K$188,K183),""),"")</f>
        <v/>
      </c>
      <c r="L245" s="302" t="str">
        <f aca="false">IFERROR(IF(L$187*L$188*L183&gt;0,AVERAGE(L$187:L$188,L183),""),"")</f>
        <v/>
      </c>
      <c r="M245" s="302" t="str">
        <f aca="false">IFERROR(IF(M$187*M$188*M183&gt;0,AVERAGE(M$187:M$188,M183),""),"")</f>
        <v/>
      </c>
      <c r="N245" s="302" t="str">
        <f aca="false">IFERROR(IF(N$187*N$188*N183&gt;0,AVERAGE(N$187:N$188,N183),""),"")</f>
        <v/>
      </c>
      <c r="O245" s="282"/>
      <c r="P245" s="282"/>
      <c r="Q245" s="296"/>
      <c r="R245" s="293" t="s">
        <v>408</v>
      </c>
      <c r="S245" s="294" t="str">
        <f aca="false">IFERROR(IF(C$187*C$188*C183&gt;0,STDEV(C$187:C$188,C183),"")/IF(C$187*C$188*C183&gt;0,AVERAGE(C$187:C$188,C183),""),"")</f>
        <v/>
      </c>
      <c r="T245" s="294" t="str">
        <f aca="false">IFERROR(IF(D$187*D$188*D183&gt;0,STDEV(D$187:D$188,D183),"")/IF(D$187*D$188*D183&gt;0,AVERAGE(D$187:D$188,D183),""),"")</f>
        <v/>
      </c>
      <c r="U245" s="294" t="str">
        <f aca="false">IFERROR(IF(E$187*E$188*E183&gt;0,STDEV(E$187:E$188,E183),"")/IF(E$187*E$188*E183&gt;0,AVERAGE(E$187:E$188,E183),""),"")</f>
        <v/>
      </c>
      <c r="V245" s="294" t="str">
        <f aca="false">IFERROR(IF(F$187*F$188*F183&gt;0,STDEV(F$187:F$188,F183),"")/IF(F$187*F$188*F183&gt;0,AVERAGE(F$187:F$188,F183),""),"")</f>
        <v/>
      </c>
      <c r="W245" s="294" t="str">
        <f aca="false">IFERROR(IF(G$187*G$188*G183&gt;0,STDEV(G$187:G$188,G183),"")/IF(G$187*G$188*G183&gt;0,AVERAGE(G$187:G$188,G183),""),"")</f>
        <v/>
      </c>
      <c r="X245" s="294" t="str">
        <f aca="false">IFERROR(IF(H$187*H$188*H183&gt;0,STDEV(H$187:H$188,H183),"")/IF(H$187*H$188*H183&gt;0,AVERAGE(H$187:H$188,H183),""),"")</f>
        <v/>
      </c>
      <c r="Y245" s="294" t="str">
        <f aca="false">IFERROR(IF(I$187*I$188*I183&gt;0,STDEV(I$187:I$188,I183),"")/IF(I$187*I$188*I183&gt;0,AVERAGE(I$187:I$188,I183),""),"")</f>
        <v/>
      </c>
      <c r="Z245" s="294" t="str">
        <f aca="false">IFERROR(IF(J$187*J$188*J183&gt;0,STDEV(J$187:J$188,J183),"")/IF(J$187*J$188*J183&gt;0,AVERAGE(J$187:J$188,J183),""),"")</f>
        <v/>
      </c>
      <c r="AA245" s="294" t="str">
        <f aca="false">IFERROR(IF(K$187*K$188*K183&gt;0,STDEV(K$187:K$188,K183),"")/IF(K$187*K$188*K183&gt;0,AVERAGE(K$187:K$188,K183),""),"")</f>
        <v/>
      </c>
      <c r="AB245" s="294" t="str">
        <f aca="false">IFERROR(IF(L$187*L$188*L183&gt;0,STDEV(L$187:L$188,L183),"")/IF(L$187*L$188*L183&gt;0,AVERAGE(L$187:L$188,L183),""),"")</f>
        <v/>
      </c>
      <c r="AC245" s="294" t="str">
        <f aca="false">IFERROR(IF(M$187*M$188*M183&gt;0,STDEV(M$187:M$188,M183),"")/IF(M$187*M$188*M183&gt;0,AVERAGE(M$187:M$188,M183),""),"")</f>
        <v/>
      </c>
      <c r="AD245" s="294" t="str">
        <f aca="false">IFERROR(IF(N$187*N$188*N183&gt;0,STDEV(N$187:N$188,N183),"")/IF(N$187*N$188*N183&gt;0,AVERAGE(N$187:N$188,N183),""),"")</f>
        <v/>
      </c>
      <c r="AE245" s="44"/>
      <c r="AF245" s="266" t="s">
        <v>409</v>
      </c>
      <c r="AG245" s="303" t="str">
        <f aca="false">IFERROR(IF(C$187*C$188*C183&gt;0,STDEV(C$187:C$188,C183)," ")/IF(C$187*C$188*C183&gt;0,SQRT(COUNT(C$187:C$188,C183))," "),"")</f>
        <v/>
      </c>
      <c r="AH245" s="303" t="str">
        <f aca="false">IFERROR(IF(D$187*D$188*D183&gt;0,STDEV(D$187:D$188,D183)," ")/IF(D$187*D$188*D183&gt;0,SQRT(COUNT(D$187:D$188,D183))," "),"")</f>
        <v/>
      </c>
      <c r="AI245" s="303" t="str">
        <f aca="false">IFERROR(IF(E$187*E$188*E183&gt;0,STDEV(E$187:E$188,E183)," ")/IF(E$187*E$188*E183&gt;0,SQRT(COUNT(E$187:E$188,E183))," "),"")</f>
        <v/>
      </c>
      <c r="AJ245" s="303" t="str">
        <f aca="false">IFERROR(IF(F$187*F$188*F183&gt;0,STDEV(F$187:F$188,F183)," ")/IF(F$187*F$188*F183&gt;0,SQRT(COUNT(F$187:F$188,F183))," "),"")</f>
        <v/>
      </c>
      <c r="AK245" s="303" t="str">
        <f aca="false">IFERROR(IF(G$187*G$188*G183&gt;0,STDEV(G$187:G$188,G183)," ")/IF(G$187*G$188*G183&gt;0,SQRT(COUNT(G$187:G$188,G183))," "),"")</f>
        <v/>
      </c>
      <c r="AL245" s="303" t="str">
        <f aca="false">IFERROR(IF(H$187*H$188*H183&gt;0,STDEV(H$187:H$188,H183)," ")/IF(H$187*H$188*H183&gt;0,SQRT(COUNT(H$187:H$188,H183))," "),"")</f>
        <v/>
      </c>
      <c r="AM245" s="303" t="str">
        <f aca="false">IFERROR(IF(I$187*I$188*I183&gt;0,STDEV(I$187:I$188,I183)," ")/IF(I$187*I$188*I183&gt;0,SQRT(COUNT(I$187:I$188,I183))," "),"")</f>
        <v/>
      </c>
      <c r="AN245" s="303" t="str">
        <f aca="false">IFERROR(IF(J$187*J$188*J183&gt;0,STDEV(J$187:J$188,J183)," ")/IF(J$187*J$188*J183&gt;0,SQRT(COUNT(J$187:J$188,J183))," "),"")</f>
        <v/>
      </c>
      <c r="AO245" s="303" t="str">
        <f aca="false">IFERROR(IF(K$187*K$188*K183&gt;0,STDEV(K$187:K$188,K183)," ")/IF(K$187*K$188*K183&gt;0,SQRT(COUNT(K$187:K$188,K183))," "),"")</f>
        <v/>
      </c>
      <c r="AP245" s="303" t="str">
        <f aca="false">IFERROR(IF(L$187*L$188*L183&gt;0,STDEV(L$187:L$188,L183)," ")/IF(L$187*L$188*L183&gt;0,SQRT(COUNT(L$187:L$188,L183))," "),"")</f>
        <v/>
      </c>
      <c r="AQ245" s="303" t="str">
        <f aca="false">IFERROR(IF(M$187*M$188*M183&gt;0,STDEV(M$187:M$188,M183)," ")/IF(M$187*M$188*M183&gt;0,SQRT(COUNT(M$187:M$188,M183))," "),"")</f>
        <v/>
      </c>
      <c r="AR245" s="303" t="str">
        <f aca="false">IFERROR(IF(N$187*N$188*N183&gt;0,STDEV(N$187:N$188,N183)," ")/IF(N$187*N$188*N183&gt;0,SQRT(COUNT(N$187:N$188,N183))," "),"")</f>
        <v/>
      </c>
    </row>
    <row r="246" customFormat="false" ht="15.75" hidden="false" customHeight="false" outlineLevel="0" collapsed="false">
      <c r="A246" s="290" t="s">
        <v>410</v>
      </c>
      <c r="B246" s="281"/>
      <c r="C246" s="302" t="str">
        <f aca="false">IFERROR(IF(C$187*C$188*C184&gt;0,AVERAGE(C$187:C$188,C184),""),"")</f>
        <v/>
      </c>
      <c r="D246" s="302" t="str">
        <f aca="false">IFERROR(IF(D$187*D$188*D184&gt;0,AVERAGE(D$187:D$188,D184),""),"")</f>
        <v/>
      </c>
      <c r="E246" s="302" t="str">
        <f aca="false">IFERROR(IF(E$187*E$188*E184&gt;0,AVERAGE(E$187:E$188,E184),""),"")</f>
        <v/>
      </c>
      <c r="F246" s="302" t="str">
        <f aca="false">IFERROR(IF(F$187*F$188*F184&gt;0,AVERAGE(F$187:F$188,F184),""),"")</f>
        <v/>
      </c>
      <c r="G246" s="302" t="str">
        <f aca="false">IFERROR(IF(G$187*G$188*G184&gt;0,AVERAGE(G$187:G$188,G184),""),"")</f>
        <v/>
      </c>
      <c r="H246" s="302" t="str">
        <f aca="false">IFERROR(IF(H$187*H$188*H184&gt;0,AVERAGE(H$187:H$188,H184),""),"")</f>
        <v/>
      </c>
      <c r="I246" s="302" t="str">
        <f aca="false">IFERROR(IF(I$187*I$188*I184&gt;0,AVERAGE(I$187:I$188,I184),""),"")</f>
        <v/>
      </c>
      <c r="J246" s="302" t="str">
        <f aca="false">IFERROR(IF(J$187*J$188*J184&gt;0,AVERAGE(J$187:J$188,J184),""),"")</f>
        <v/>
      </c>
      <c r="K246" s="302" t="str">
        <f aca="false">IFERROR(IF(K$187*K$188*K184&gt;0,AVERAGE(K$187:K$188,K184),""),"")</f>
        <v/>
      </c>
      <c r="L246" s="302" t="str">
        <f aca="false">IFERROR(IF(L$187*L$188*L184&gt;0,AVERAGE(L$187:L$188,L184),""),"")</f>
        <v/>
      </c>
      <c r="M246" s="302" t="str">
        <f aca="false">IFERROR(IF(M$187*M$188*M184&gt;0,AVERAGE(M$187:M$188,M184),""),"")</f>
        <v/>
      </c>
      <c r="N246" s="302" t="str">
        <f aca="false">IFERROR(IF(N$187*N$188*N184&gt;0,AVERAGE(N$187:N$188,N184),""),"")</f>
        <v/>
      </c>
      <c r="O246" s="282"/>
      <c r="P246" s="282"/>
      <c r="Q246" s="296"/>
      <c r="R246" s="293" t="s">
        <v>411</v>
      </c>
      <c r="S246" s="294" t="str">
        <f aca="false">IFERROR(IF(C$187*C$188*C184&gt;0,STDEV(C$187:C$188,C184),"")/IF(C$187*C$188*C184&gt;0,AVERAGE(C$187:C$188,C184),""),"")</f>
        <v/>
      </c>
      <c r="T246" s="294" t="str">
        <f aca="false">IFERROR(IF(D$187*D$188*D184&gt;0,STDEV(D$187:D$188,D184),"")/IF(D$187*D$188*D184&gt;0,AVERAGE(D$187:D$188,D184),""),"")</f>
        <v/>
      </c>
      <c r="U246" s="294" t="str">
        <f aca="false">IFERROR(IF(E$187*E$188*E184&gt;0,STDEV(E$187:E$188,E184),"")/IF(E$187*E$188*E184&gt;0,AVERAGE(E$187:E$188,E184),""),"")</f>
        <v/>
      </c>
      <c r="V246" s="294" t="str">
        <f aca="false">IFERROR(IF(F$187*F$188*F184&gt;0,STDEV(F$187:F$188,F184),"")/IF(F$187*F$188*F184&gt;0,AVERAGE(F$187:F$188,F184),""),"")</f>
        <v/>
      </c>
      <c r="W246" s="294" t="str">
        <f aca="false">IFERROR(IF(G$187*G$188*G184&gt;0,STDEV(G$187:G$188,G184),"")/IF(G$187*G$188*G184&gt;0,AVERAGE(G$187:G$188,G184),""),"")</f>
        <v/>
      </c>
      <c r="X246" s="294" t="str">
        <f aca="false">IFERROR(IF(H$187*H$188*H184&gt;0,STDEV(H$187:H$188,H184),"")/IF(H$187*H$188*H184&gt;0,AVERAGE(H$187:H$188,H184),""),"")</f>
        <v/>
      </c>
      <c r="Y246" s="294" t="str">
        <f aca="false">IFERROR(IF(I$187*I$188*I184&gt;0,STDEV(I$187:I$188,I184),"")/IF(I$187*I$188*I184&gt;0,AVERAGE(I$187:I$188,I184),""),"")</f>
        <v/>
      </c>
      <c r="Z246" s="294" t="str">
        <f aca="false">IFERROR(IF(J$187*J$188*J184&gt;0,STDEV(J$187:J$188,J184),"")/IF(J$187*J$188*J184&gt;0,AVERAGE(J$187:J$188,J184),""),"")</f>
        <v/>
      </c>
      <c r="AA246" s="294" t="str">
        <f aca="false">IFERROR(IF(K$187*K$188*K184&gt;0,STDEV(K$187:K$188,K184),"")/IF(K$187*K$188*K184&gt;0,AVERAGE(K$187:K$188,K184),""),"")</f>
        <v/>
      </c>
      <c r="AB246" s="294" t="str">
        <f aca="false">IFERROR(IF(L$187*L$188*L184&gt;0,STDEV(L$187:L$188,L184),"")/IF(L$187*L$188*L184&gt;0,AVERAGE(L$187:L$188,L184),""),"")</f>
        <v/>
      </c>
      <c r="AC246" s="294" t="str">
        <f aca="false">IFERROR(IF(M$187*M$188*M184&gt;0,STDEV(M$187:M$188,M184),"")/IF(M$187*M$188*M184&gt;0,AVERAGE(M$187:M$188,M184),""),"")</f>
        <v/>
      </c>
      <c r="AD246" s="294" t="str">
        <f aca="false">IFERROR(IF(N$187*N$188*N184&gt;0,STDEV(N$187:N$188,N184),"")/IF(N$187*N$188*N184&gt;0,AVERAGE(N$187:N$188,N184),""),"")</f>
        <v/>
      </c>
      <c r="AE246" s="44"/>
      <c r="AF246" s="266" t="s">
        <v>412</v>
      </c>
      <c r="AG246" s="303" t="str">
        <f aca="false">IFERROR(IF(C$187*C$188*C184&gt;0,STDEV(C$187:C$188,C184)," ")/IF(C$187*C$188*C184&gt;0,SQRT(COUNT(C$187:C$188,C184))," "),"")</f>
        <v/>
      </c>
      <c r="AH246" s="303" t="str">
        <f aca="false">IFERROR(IF(D$187*D$188*D184&gt;0,STDEV(D$187:D$188,D184)," ")/IF(D$187*D$188*D184&gt;0,SQRT(COUNT(D$187:D$188,D184))," "),"")</f>
        <v/>
      </c>
      <c r="AI246" s="303" t="str">
        <f aca="false">IFERROR(IF(E$187*E$188*E184&gt;0,STDEV(E$187:E$188,E184)," ")/IF(E$187*E$188*E184&gt;0,SQRT(COUNT(E$187:E$188,E184))," "),"")</f>
        <v/>
      </c>
      <c r="AJ246" s="303" t="str">
        <f aca="false">IFERROR(IF(F$187*F$188*F184&gt;0,STDEV(F$187:F$188,F184)," ")/IF(F$187*F$188*F184&gt;0,SQRT(COUNT(F$187:F$188,F184))," "),"")</f>
        <v/>
      </c>
      <c r="AK246" s="303" t="str">
        <f aca="false">IFERROR(IF(G$187*G$188*G184&gt;0,STDEV(G$187:G$188,G184)," ")/IF(G$187*G$188*G184&gt;0,SQRT(COUNT(G$187:G$188,G184))," "),"")</f>
        <v/>
      </c>
      <c r="AL246" s="303" t="str">
        <f aca="false">IFERROR(IF(H$187*H$188*H184&gt;0,STDEV(H$187:H$188,H184)," ")/IF(H$187*H$188*H184&gt;0,SQRT(COUNT(H$187:H$188,H184))," "),"")</f>
        <v/>
      </c>
      <c r="AM246" s="303" t="str">
        <f aca="false">IFERROR(IF(I$187*I$188*I184&gt;0,STDEV(I$187:I$188,I184)," ")/IF(I$187*I$188*I184&gt;0,SQRT(COUNT(I$187:I$188,I184))," "),"")</f>
        <v/>
      </c>
      <c r="AN246" s="303" t="str">
        <f aca="false">IFERROR(IF(J$187*J$188*J184&gt;0,STDEV(J$187:J$188,J184)," ")/IF(J$187*J$188*J184&gt;0,SQRT(COUNT(J$187:J$188,J184))," "),"")</f>
        <v/>
      </c>
      <c r="AO246" s="303" t="str">
        <f aca="false">IFERROR(IF(K$187*K$188*K184&gt;0,STDEV(K$187:K$188,K184)," ")/IF(K$187*K$188*K184&gt;0,SQRT(COUNT(K$187:K$188,K184))," "),"")</f>
        <v/>
      </c>
      <c r="AP246" s="303" t="str">
        <f aca="false">IFERROR(IF(L$187*L$188*L184&gt;0,STDEV(L$187:L$188,L184)," ")/IF(L$187*L$188*L184&gt;0,SQRT(COUNT(L$187:L$188,L184))," "),"")</f>
        <v/>
      </c>
      <c r="AQ246" s="303" t="str">
        <f aca="false">IFERROR(IF(M$187*M$188*M184&gt;0,STDEV(M$187:M$188,M184)," ")/IF(M$187*M$188*M184&gt;0,SQRT(COUNT(M$187:M$188,M184))," "),"")</f>
        <v/>
      </c>
      <c r="AR246" s="303" t="str">
        <f aca="false">IFERROR(IF(N$187*N$188*N184&gt;0,STDEV(N$187:N$188,N184)," ")/IF(N$187*N$188*N184&gt;0,SQRT(COUNT(N$187:N$188,N184))," "),"")</f>
        <v/>
      </c>
    </row>
    <row r="247" customFormat="false" ht="15.75" hidden="false" customHeight="false" outlineLevel="0" collapsed="false">
      <c r="A247" s="290" t="s">
        <v>413</v>
      </c>
      <c r="B247" s="281"/>
      <c r="C247" s="302" t="str">
        <f aca="false">IFERROR(IF(C$187*C$188*C185&gt;0,AVERAGE(C$187:C$188,C185),""),"")</f>
        <v/>
      </c>
      <c r="D247" s="302" t="str">
        <f aca="false">IFERROR(IF(D$187*D$188*D185&gt;0,AVERAGE(D$187:D$188,D185),""),"")</f>
        <v/>
      </c>
      <c r="E247" s="302" t="str">
        <f aca="false">IFERROR(IF(E$187*E$188*E185&gt;0,AVERAGE(E$187:E$188,E185),""),"")</f>
        <v/>
      </c>
      <c r="F247" s="302" t="str">
        <f aca="false">IFERROR(IF(F$187*F$188*F185&gt;0,AVERAGE(F$187:F$188,F185),""),"")</f>
        <v/>
      </c>
      <c r="G247" s="302" t="str">
        <f aca="false">IFERROR(IF(G$187*G$188*G185&gt;0,AVERAGE(G$187:G$188,G185),""),"")</f>
        <v/>
      </c>
      <c r="H247" s="302" t="str">
        <f aca="false">IFERROR(IF(H$187*H$188*H185&gt;0,AVERAGE(H$187:H$188,H185),""),"")</f>
        <v/>
      </c>
      <c r="I247" s="302" t="str">
        <f aca="false">IFERROR(IF(I$187*I$188*I185&gt;0,AVERAGE(I$187:I$188,I185),""),"")</f>
        <v/>
      </c>
      <c r="J247" s="302" t="str">
        <f aca="false">IFERROR(IF(J$187*J$188*J185&gt;0,AVERAGE(J$187:J$188,J185),""),"")</f>
        <v/>
      </c>
      <c r="K247" s="302" t="str">
        <f aca="false">IFERROR(IF(K$187*K$188*K185&gt;0,AVERAGE(K$187:K$188,K185),""),"")</f>
        <v/>
      </c>
      <c r="L247" s="302" t="str">
        <f aca="false">IFERROR(IF(L$187*L$188*L185&gt;0,AVERAGE(L$187:L$188,L185),""),"")</f>
        <v/>
      </c>
      <c r="M247" s="302" t="str">
        <f aca="false">IFERROR(IF(M$187*M$188*M185&gt;0,AVERAGE(M$187:M$188,M185),""),"")</f>
        <v/>
      </c>
      <c r="N247" s="302" t="str">
        <f aca="false">IFERROR(IF(N$187*N$188*N185&gt;0,AVERAGE(N$187:N$188,N185),""),"")</f>
        <v/>
      </c>
      <c r="O247" s="282"/>
      <c r="P247" s="282"/>
      <c r="Q247" s="296"/>
      <c r="R247" s="293" t="s">
        <v>414</v>
      </c>
      <c r="S247" s="294" t="str">
        <f aca="false">IFERROR(IF(C$187*C$188*C185&gt;0,STDEV(C$187:C$188,C185),"")/IF(C$187*C$188*C185&gt;0,AVERAGE(C$187:C$188,C185),""),"")</f>
        <v/>
      </c>
      <c r="T247" s="294" t="str">
        <f aca="false">IFERROR(IF(D$187*D$188*D185&gt;0,STDEV(D$187:D$188,D185),"")/IF(D$187*D$188*D185&gt;0,AVERAGE(D$187:D$188,D185),""),"")</f>
        <v/>
      </c>
      <c r="U247" s="294" t="str">
        <f aca="false">IFERROR(IF(E$187*E$188*E185&gt;0,STDEV(E$187:E$188,E185),"")/IF(E$187*E$188*E185&gt;0,AVERAGE(E$187:E$188,E185),""),"")</f>
        <v/>
      </c>
      <c r="V247" s="294" t="str">
        <f aca="false">IFERROR(IF(F$187*F$188*F185&gt;0,STDEV(F$187:F$188,F185),"")/IF(F$187*F$188*F185&gt;0,AVERAGE(F$187:F$188,F185),""),"")</f>
        <v/>
      </c>
      <c r="W247" s="294" t="str">
        <f aca="false">IFERROR(IF(G$187*G$188*G185&gt;0,STDEV(G$187:G$188,G185),"")/IF(G$187*G$188*G185&gt;0,AVERAGE(G$187:G$188,G185),""),"")</f>
        <v/>
      </c>
      <c r="X247" s="294" t="str">
        <f aca="false">IFERROR(IF(H$187*H$188*H185&gt;0,STDEV(H$187:H$188,H185),"")/IF(H$187*H$188*H185&gt;0,AVERAGE(H$187:H$188,H185),""),"")</f>
        <v/>
      </c>
      <c r="Y247" s="294" t="str">
        <f aca="false">IFERROR(IF(I$187*I$188*I185&gt;0,STDEV(I$187:I$188,I185),"")/IF(I$187*I$188*I185&gt;0,AVERAGE(I$187:I$188,I185),""),"")</f>
        <v/>
      </c>
      <c r="Z247" s="294" t="str">
        <f aca="false">IFERROR(IF(J$187*J$188*J185&gt;0,STDEV(J$187:J$188,J185),"")/IF(J$187*J$188*J185&gt;0,AVERAGE(J$187:J$188,J185),""),"")</f>
        <v/>
      </c>
      <c r="AA247" s="294" t="str">
        <f aca="false">IFERROR(IF(K$187*K$188*K185&gt;0,STDEV(K$187:K$188,K185),"")/IF(K$187*K$188*K185&gt;0,AVERAGE(K$187:K$188,K185),""),"")</f>
        <v/>
      </c>
      <c r="AB247" s="294" t="str">
        <f aca="false">IFERROR(IF(L$187*L$188*L185&gt;0,STDEV(L$187:L$188,L185),"")/IF(L$187*L$188*L185&gt;0,AVERAGE(L$187:L$188,L185),""),"")</f>
        <v/>
      </c>
      <c r="AC247" s="294" t="str">
        <f aca="false">IFERROR(IF(M$187*M$188*M185&gt;0,STDEV(M$187:M$188,M185),"")/IF(M$187*M$188*M185&gt;0,AVERAGE(M$187:M$188,M185),""),"")</f>
        <v/>
      </c>
      <c r="AD247" s="294" t="str">
        <f aca="false">IFERROR(IF(N$187*N$188*N185&gt;0,STDEV(N$187:N$188,N185),"")/IF(N$187*N$188*N185&gt;0,AVERAGE(N$187:N$188,N185),""),"")</f>
        <v/>
      </c>
      <c r="AE247" s="44"/>
      <c r="AF247" s="266" t="s">
        <v>415</v>
      </c>
      <c r="AG247" s="303" t="str">
        <f aca="false">IFERROR(IF(C$187*C$188*C185&gt;0,STDEV(C$187:C$188,C185)," ")/IF(C$187*C$188*C185&gt;0,SQRT(COUNT(C$187:C$188,C185))," "),"")</f>
        <v/>
      </c>
      <c r="AH247" s="303" t="str">
        <f aca="false">IFERROR(IF(D$187*D$188*D185&gt;0,STDEV(D$187:D$188,D185)," ")/IF(D$187*D$188*D185&gt;0,SQRT(COUNT(D$187:D$188,D185))," "),"")</f>
        <v/>
      </c>
      <c r="AI247" s="303" t="str">
        <f aca="false">IFERROR(IF(E$187*E$188*E185&gt;0,STDEV(E$187:E$188,E185)," ")/IF(E$187*E$188*E185&gt;0,SQRT(COUNT(E$187:E$188,E185))," "),"")</f>
        <v/>
      </c>
      <c r="AJ247" s="303" t="str">
        <f aca="false">IFERROR(IF(F$187*F$188*F185&gt;0,STDEV(F$187:F$188,F185)," ")/IF(F$187*F$188*F185&gt;0,SQRT(COUNT(F$187:F$188,F185))," "),"")</f>
        <v/>
      </c>
      <c r="AK247" s="303" t="str">
        <f aca="false">IFERROR(IF(G$187*G$188*G185&gt;0,STDEV(G$187:G$188,G185)," ")/IF(G$187*G$188*G185&gt;0,SQRT(COUNT(G$187:G$188,G185))," "),"")</f>
        <v/>
      </c>
      <c r="AL247" s="303" t="str">
        <f aca="false">IFERROR(IF(H$187*H$188*H185&gt;0,STDEV(H$187:H$188,H185)," ")/IF(H$187*H$188*H185&gt;0,SQRT(COUNT(H$187:H$188,H185))," "),"")</f>
        <v/>
      </c>
      <c r="AM247" s="303" t="str">
        <f aca="false">IFERROR(IF(I$187*I$188*I185&gt;0,STDEV(I$187:I$188,I185)," ")/IF(I$187*I$188*I185&gt;0,SQRT(COUNT(I$187:I$188,I185))," "),"")</f>
        <v/>
      </c>
      <c r="AN247" s="303" t="str">
        <f aca="false">IFERROR(IF(J$187*J$188*J185&gt;0,STDEV(J$187:J$188,J185)," ")/IF(J$187*J$188*J185&gt;0,SQRT(COUNT(J$187:J$188,J185))," "),"")</f>
        <v/>
      </c>
      <c r="AO247" s="303" t="str">
        <f aca="false">IFERROR(IF(K$187*K$188*K185&gt;0,STDEV(K$187:K$188,K185)," ")/IF(K$187*K$188*K185&gt;0,SQRT(COUNT(K$187:K$188,K185))," "),"")</f>
        <v/>
      </c>
      <c r="AP247" s="303" t="str">
        <f aca="false">IFERROR(IF(L$187*L$188*L185&gt;0,STDEV(L$187:L$188,L185)," ")/IF(L$187*L$188*L185&gt;0,SQRT(COUNT(L$187:L$188,L185))," "),"")</f>
        <v/>
      </c>
      <c r="AQ247" s="303" t="str">
        <f aca="false">IFERROR(IF(M$187*M$188*M185&gt;0,STDEV(M$187:M$188,M185)," ")/IF(M$187*M$188*M185&gt;0,SQRT(COUNT(M$187:M$188,M185))," "),"")</f>
        <v/>
      </c>
      <c r="AR247" s="303" t="str">
        <f aca="false">IFERROR(IF(N$187*N$188*N185&gt;0,STDEV(N$187:N$188,N185)," ")/IF(N$187*N$188*N185&gt;0,SQRT(COUNT(N$187:N$188,N185))," "),"")</f>
        <v/>
      </c>
    </row>
    <row r="248" customFormat="false" ht="15.75" hidden="false" customHeight="false" outlineLevel="0" collapsed="false">
      <c r="A248" s="290" t="s">
        <v>629</v>
      </c>
      <c r="B248" s="281"/>
      <c r="C248" s="302" t="str">
        <f aca="false">IFERROR(IF(C$187*C$188*C186&gt;0,AVERAGE(C$187:C$188,C186),""),"")</f>
        <v/>
      </c>
      <c r="D248" s="302" t="str">
        <f aca="false">IFERROR(IF(D$187*D$188*D186&gt;0,AVERAGE(D$187:D$188,D186),""),"")</f>
        <v/>
      </c>
      <c r="E248" s="302" t="str">
        <f aca="false">IFERROR(IF(E$187*E$188*E186&gt;0,AVERAGE(E$187:E$188,E186),""),"")</f>
        <v/>
      </c>
      <c r="F248" s="302" t="str">
        <f aca="false">IFERROR(IF(F$187*F$188*F186&gt;0,AVERAGE(F$187:F$188,F186),""),"")</f>
        <v/>
      </c>
      <c r="G248" s="302" t="str">
        <f aca="false">IFERROR(IF(G$187*G$188*G186&gt;0,AVERAGE(G$187:G$188,G186),""),"")</f>
        <v/>
      </c>
      <c r="H248" s="302" t="str">
        <f aca="false">IFERROR(IF(H$187*H$188*H186&gt;0,AVERAGE(H$187:H$188,H186),""),"")</f>
        <v/>
      </c>
      <c r="I248" s="302" t="str">
        <f aca="false">IFERROR(IF(I$187*I$188*I186&gt;0,AVERAGE(I$187:I$188,I186),""),"")</f>
        <v/>
      </c>
      <c r="J248" s="302" t="str">
        <f aca="false">IFERROR(IF(J$187*J$188*J186&gt;0,AVERAGE(J$187:J$188,J186),""),"")</f>
        <v/>
      </c>
      <c r="K248" s="302" t="str">
        <f aca="false">IFERROR(IF(K$187*K$188*K186&gt;0,AVERAGE(K$187:K$188,K186),""),"")</f>
        <v/>
      </c>
      <c r="L248" s="302" t="str">
        <f aca="false">IFERROR(IF(L$187*L$188*L186&gt;0,AVERAGE(L$187:L$188,L186),""),"")</f>
        <v/>
      </c>
      <c r="M248" s="302" t="str">
        <f aca="false">IFERROR(IF(M$187*M$188*M186&gt;0,AVERAGE(M$187:M$188,M186),""),"")</f>
        <v/>
      </c>
      <c r="N248" s="302" t="str">
        <f aca="false">IFERROR(IF(N$187*N$188*N186&gt;0,AVERAGE(N$187:N$188,N186),""),"")</f>
        <v/>
      </c>
      <c r="O248" s="282"/>
      <c r="P248" s="282"/>
      <c r="Q248" s="296"/>
      <c r="R248" s="293" t="s">
        <v>630</v>
      </c>
      <c r="S248" s="294" t="str">
        <f aca="false">IFERROR(IF(C$187*C$188*C186&gt;0,STDEV(C$187:C$188,C186),"")/IF(C$187*C$188*C186&gt;0,AVERAGE(C$187:C$188,C186),""),"")</f>
        <v/>
      </c>
      <c r="T248" s="294" t="str">
        <f aca="false">IFERROR(IF(D$187*D$188*D186&gt;0,STDEV(D$187:D$188,D186),"")/IF(D$187*D$188*D186&gt;0,AVERAGE(D$187:D$188,D186),""),"")</f>
        <v/>
      </c>
      <c r="U248" s="294" t="str">
        <f aca="false">IFERROR(IF(E$187*E$188*E186&gt;0,STDEV(E$187:E$188,E186),"")/IF(E$187*E$188*E186&gt;0,AVERAGE(E$187:E$188,E186),""),"")</f>
        <v/>
      </c>
      <c r="V248" s="294" t="str">
        <f aca="false">IFERROR(IF(F$187*F$188*F186&gt;0,STDEV(F$187:F$188,F186),"")/IF(F$187*F$188*F186&gt;0,AVERAGE(F$187:F$188,F186),""),"")</f>
        <v/>
      </c>
      <c r="W248" s="294" t="str">
        <f aca="false">IFERROR(IF(G$187*G$188*G186&gt;0,STDEV(G$187:G$188,G186),"")/IF(G$187*G$188*G186&gt;0,AVERAGE(G$187:G$188,G186),""),"")</f>
        <v/>
      </c>
      <c r="X248" s="294" t="str">
        <f aca="false">IFERROR(IF(H$187*H$188*H186&gt;0,STDEV(H$187:H$188,H186),"")/IF(H$187*H$188*H186&gt;0,AVERAGE(H$187:H$188,H186),""),"")</f>
        <v/>
      </c>
      <c r="Y248" s="294" t="str">
        <f aca="false">IFERROR(IF(I$187*I$188*I186&gt;0,STDEV(I$187:I$188,I186),"")/IF(I$187*I$188*I186&gt;0,AVERAGE(I$187:I$188,I186),""),"")</f>
        <v/>
      </c>
      <c r="Z248" s="294" t="str">
        <f aca="false">IFERROR(IF(J$187*J$188*J186&gt;0,STDEV(J$187:J$188,J186),"")/IF(J$187*J$188*J186&gt;0,AVERAGE(J$187:J$188,J186),""),"")</f>
        <v/>
      </c>
      <c r="AA248" s="294" t="str">
        <f aca="false">IFERROR(IF(K$187*K$188*K186&gt;0,STDEV(K$187:K$188,K186),"")/IF(K$187*K$188*K186&gt;0,AVERAGE(K$187:K$188,K186),""),"")</f>
        <v/>
      </c>
      <c r="AB248" s="294" t="str">
        <f aca="false">IFERROR(IF(L$187*L$188*L186&gt;0,STDEV(L$187:L$188,L186),"")/IF(L$187*L$188*L186&gt;0,AVERAGE(L$187:L$188,L186),""),"")</f>
        <v/>
      </c>
      <c r="AC248" s="294" t="str">
        <f aca="false">IFERROR(IF(M$187*M$188*M186&gt;0,STDEV(M$187:M$188,M186),"")/IF(M$187*M$188*M186&gt;0,AVERAGE(M$187:M$188,M186),""),"")</f>
        <v/>
      </c>
      <c r="AD248" s="294" t="str">
        <f aca="false">IFERROR(IF(N$187*N$188*N186&gt;0,STDEV(N$187:N$188,N186),"")/IF(N$187*N$188*N186&gt;0,AVERAGE(N$187:N$188,N186),""),"")</f>
        <v/>
      </c>
      <c r="AE248" s="44"/>
      <c r="AF248" s="266" t="s">
        <v>631</v>
      </c>
      <c r="AG248" s="303" t="str">
        <f aca="false">IFERROR(IF(C$187*C$188*C186&gt;0,STDEV(C$187:C$188,C186)," ")/IF(C$187*C$188*C186&gt;0,SQRT(COUNT(C$187:C$188,C186))," "),"")</f>
        <v/>
      </c>
      <c r="AH248" s="303" t="str">
        <f aca="false">IFERROR(IF(D$187*D$188*D186&gt;0,STDEV(D$187:D$188,D186)," ")/IF(D$187*D$188*D186&gt;0,SQRT(COUNT(D$187:D$188,D186))," "),"")</f>
        <v/>
      </c>
      <c r="AI248" s="303" t="str">
        <f aca="false">IFERROR(IF(E$187*E$188*E186&gt;0,STDEV(E$187:E$188,E186)," ")/IF(E$187*E$188*E186&gt;0,SQRT(COUNT(E$187:E$188,E186))," "),"")</f>
        <v/>
      </c>
      <c r="AJ248" s="303" t="str">
        <f aca="false">IFERROR(IF(F$187*F$188*F186&gt;0,STDEV(F$187:F$188,F186)," ")/IF(F$187*F$188*F186&gt;0,SQRT(COUNT(F$187:F$188,F186))," "),"")</f>
        <v/>
      </c>
      <c r="AK248" s="303" t="str">
        <f aca="false">IFERROR(IF(G$187*G$188*G186&gt;0,STDEV(G$187:G$188,G186)," ")/IF(G$187*G$188*G186&gt;0,SQRT(COUNT(G$187:G$188,G186))," "),"")</f>
        <v/>
      </c>
      <c r="AL248" s="303" t="str">
        <f aca="false">IFERROR(IF(H$187*H$188*H186&gt;0,STDEV(H$187:H$188,H186)," ")/IF(H$187*H$188*H186&gt;0,SQRT(COUNT(H$187:H$188,H186))," "),"")</f>
        <v/>
      </c>
      <c r="AM248" s="303" t="str">
        <f aca="false">IFERROR(IF(I$187*I$188*I186&gt;0,STDEV(I$187:I$188,I186)," ")/IF(I$187*I$188*I186&gt;0,SQRT(COUNT(I$187:I$188,I186))," "),"")</f>
        <v/>
      </c>
      <c r="AN248" s="303" t="str">
        <f aca="false">IFERROR(IF(J$187*J$188*J186&gt;0,STDEV(J$187:J$188,J186)," ")/IF(J$187*J$188*J186&gt;0,SQRT(COUNT(J$187:J$188,J186))," "),"")</f>
        <v/>
      </c>
      <c r="AO248" s="303" t="str">
        <f aca="false">IFERROR(IF(K$187*K$188*K186&gt;0,STDEV(K$187:K$188,K186)," ")/IF(K$187*K$188*K186&gt;0,SQRT(COUNT(K$187:K$188,K186))," "),"")</f>
        <v/>
      </c>
      <c r="AP248" s="303" t="str">
        <f aca="false">IFERROR(IF(L$187*L$188*L186&gt;0,STDEV(L$187:L$188,L186)," ")/IF(L$187*L$188*L186&gt;0,SQRT(COUNT(L$187:L$188,L186))," "),"")</f>
        <v/>
      </c>
      <c r="AQ248" s="303" t="str">
        <f aca="false">IFERROR(IF(M$187*M$188*M186&gt;0,STDEV(M$187:M$188,M186)," ")/IF(M$187*M$188*M186&gt;0,SQRT(COUNT(M$187:M$188,M186))," "),"")</f>
        <v/>
      </c>
      <c r="AR248" s="303" t="str">
        <f aca="false">IFERROR(IF(N$187*N$188*N186&gt;0,STDEV(N$187:N$188,N186)," ")/IF(N$187*N$188*N186&gt;0,SQRT(COUNT(N$187:N$188,N186))," "),"")</f>
        <v/>
      </c>
    </row>
    <row r="249" customFormat="false" ht="15.75" hidden="false" customHeight="false" outlineLevel="0" collapsed="false">
      <c r="A249" s="290" t="s">
        <v>416</v>
      </c>
      <c r="B249" s="281"/>
      <c r="C249" s="302" t="str">
        <f aca="false">IFERROR(IF(C$182*C$184*C$186&gt;0,AVERAGE(C$182,C$184,C$186),""),"")</f>
        <v/>
      </c>
      <c r="D249" s="302" t="str">
        <f aca="false">IFERROR(IF(D$182*D$184*D$186&gt;0,AVERAGE(D$182,D$184,D$186),""),"")</f>
        <v/>
      </c>
      <c r="E249" s="302" t="str">
        <f aca="false">IFERROR(IF(E$182*E$184*E$186&gt;0,AVERAGE(E$182,E$184,E$186),""),"")</f>
        <v/>
      </c>
      <c r="F249" s="302" t="str">
        <f aca="false">IFERROR(IF(F$182*F$184*F$186&gt;0,AVERAGE(F$182,F$184,F$186),""),"")</f>
        <v/>
      </c>
      <c r="G249" s="302" t="str">
        <f aca="false">IFERROR(IF(G$182*G$184*G$186&gt;0,AVERAGE(G$182,G$184,G$186),""),"")</f>
        <v/>
      </c>
      <c r="H249" s="302" t="str">
        <f aca="false">IFERROR(IF(H$182*H$184*H$186&gt;0,AVERAGE(H$182,H$184,H$186),""),"")</f>
        <v/>
      </c>
      <c r="I249" s="302" t="str">
        <f aca="false">IFERROR(IF(I$182*I$184*I$186&gt;0,AVERAGE(I$182,I$184,I$186),""),"")</f>
        <v/>
      </c>
      <c r="J249" s="302" t="str">
        <f aca="false">IFERROR(IF(J$182*J$184*J$186&gt;0,AVERAGE(J$182,J$184,J$186),""),"")</f>
        <v/>
      </c>
      <c r="K249" s="302" t="str">
        <f aca="false">IFERROR(IF(K$182*K$184*K$186&gt;0,AVERAGE(K$182,K$184,K$186),""),"")</f>
        <v/>
      </c>
      <c r="L249" s="302" t="str">
        <f aca="false">IFERROR(IF(L$182*L$184*L$186&gt;0,AVERAGE(L$182,L$184,L$186),""),"")</f>
        <v/>
      </c>
      <c r="M249" s="302" t="str">
        <f aca="false">IFERROR(IF(M$182*M$184*M$186&gt;0,AVERAGE(M$182,M$184,M$186),""),"")</f>
        <v/>
      </c>
      <c r="N249" s="302" t="str">
        <f aca="false">IFERROR(IF(N$182*N$184*N$186&gt;0,AVERAGE(N$182,N$184,N$186),""),"")</f>
        <v/>
      </c>
      <c r="O249" s="282"/>
      <c r="P249" s="282"/>
      <c r="Q249" s="296"/>
      <c r="R249" s="293" t="s">
        <v>417</v>
      </c>
      <c r="S249" s="294" t="str">
        <f aca="false">IFERROR(IF(C$182*C$184*C$186&gt;0,STDEV(C$182,C$184,C$186),"")/IF(C$182*C$184*C$186&gt;0,AVERAGE(C$182,C$184,C$186),""),"")</f>
        <v/>
      </c>
      <c r="T249" s="294" t="str">
        <f aca="false">IFERROR(IF(D$182*D$184*D$186&gt;0,STDEV(D$182,D$184,D$186),"")/IF(D$182*D$184*D$186&gt;0,AVERAGE(D$182,D$184,D$186),""),"")</f>
        <v/>
      </c>
      <c r="U249" s="294" t="str">
        <f aca="false">IFERROR(IF(E$182*E$184*E$186&gt;0,STDEV(E$182,E$184,E$186),"")/IF(E$182*E$184*E$186&gt;0,AVERAGE(E$182,E$184,E$186),""),"")</f>
        <v/>
      </c>
      <c r="V249" s="294" t="str">
        <f aca="false">IFERROR(IF(F$182*F$184*F$186&gt;0,STDEV(F$182,F$184,F$186),"")/IF(F$182*F$184*F$186&gt;0,AVERAGE(F$182,F$184,F$186),""),"")</f>
        <v/>
      </c>
      <c r="W249" s="294" t="str">
        <f aca="false">IFERROR(IF(G$182*G$184*G$186&gt;0,STDEV(G$182,G$184,G$186),"")/IF(G$182*G$184*G$186&gt;0,AVERAGE(G$182,G$184,G$186),""),"")</f>
        <v/>
      </c>
      <c r="X249" s="294" t="str">
        <f aca="false">IFERROR(IF(H$182*H$184*H$186&gt;0,STDEV(H$182,H$184,H$186),"")/IF(H$182*H$184*H$186&gt;0,AVERAGE(H$182,H$184,H$186),""),"")</f>
        <v/>
      </c>
      <c r="Y249" s="294" t="str">
        <f aca="false">IFERROR(IF(I$182*I$184*I$186&gt;0,STDEV(I$182,I$184,I$186),"")/IF(I$182*I$184*I$186&gt;0,AVERAGE(I$182,I$184,I$186),""),"")</f>
        <v/>
      </c>
      <c r="Z249" s="294" t="str">
        <f aca="false">IFERROR(IF(J$182*J$184*J$186&gt;0,STDEV(J$182,J$184,J$186),"")/IF(J$182*J$184*J$186&gt;0,AVERAGE(J$182,J$184,J$186),""),"")</f>
        <v/>
      </c>
      <c r="AA249" s="294" t="str">
        <f aca="false">IFERROR(IF(K$182*K$184*K$186&gt;0,STDEV(K$182,K$184,K$186),"")/IF(K$182*K$184*K$186&gt;0,AVERAGE(K$182,K$184,K$186),""),"")</f>
        <v/>
      </c>
      <c r="AB249" s="294" t="str">
        <f aca="false">IFERROR(IF(L$182*L$184*L$186&gt;0,STDEV(L$182,L$184,L$186),"")/IF(L$182*L$184*L$186&gt;0,AVERAGE(L$182,L$184,L$186),""),"")</f>
        <v/>
      </c>
      <c r="AC249" s="294" t="str">
        <f aca="false">IFERROR(IF(M$182*M$184*M$186&gt;0,STDEV(M$182,M$184,M$186),"")/IF(M$182*M$184*M$186&gt;0,AVERAGE(M$182,M$184,M$186),""),"")</f>
        <v/>
      </c>
      <c r="AD249" s="294" t="str">
        <f aca="false">IFERROR(IF(N$182*N$184*N$186&gt;0,STDEV(N$182,N$184,N$186),"")/IF(N$182*N$184*N$186&gt;0,AVERAGE(N$182,N$184,N$186),""),"")</f>
        <v/>
      </c>
      <c r="AE249" s="44"/>
      <c r="AF249" s="266" t="s">
        <v>418</v>
      </c>
      <c r="AG249" s="303" t="str">
        <f aca="false">IFERROR(IF(C$182*C$184*C$186&gt;0,STDEV(C$182,C$184,C$186)," ")/IF(C$182*C$184*C$186&gt;0,SQRT(COUNT(C$182,C$184,C$186))," "),"")</f>
        <v/>
      </c>
      <c r="AH249" s="303" t="str">
        <f aca="false">IFERROR(IF(D$182*D$184*D$186&gt;0,STDEV(D$182,D$184,D$186)," ")/IF(D$182*D$184*D$186&gt;0,SQRT(COUNT(D$182,D$184,D$186))," "),"")</f>
        <v/>
      </c>
      <c r="AI249" s="303" t="str">
        <f aca="false">IFERROR(IF(E$182*E$184*E$186&gt;0,STDEV(E$182,E$184,E$186)," ")/IF(E$182*E$184*E$186&gt;0,SQRT(COUNT(E$182,E$184,E$186))," "),"")</f>
        <v/>
      </c>
      <c r="AJ249" s="303" t="str">
        <f aca="false">IFERROR(IF(F$182*F$184*F$186&gt;0,STDEV(F$182,F$184,F$186)," ")/IF(F$182*F$184*F$186&gt;0,SQRT(COUNT(F$182,F$184,F$186))," "),"")</f>
        <v/>
      </c>
      <c r="AK249" s="303" t="str">
        <f aca="false">IFERROR(IF(G$182*G$184*G$186&gt;0,STDEV(G$182,G$184,G$186)," ")/IF(G$182*G$184*G$186&gt;0,SQRT(COUNT(G$182,G$184,G$186))," "),"")</f>
        <v/>
      </c>
      <c r="AL249" s="303" t="str">
        <f aca="false">IFERROR(IF(H$182*H$184*H$186&gt;0,STDEV(H$182,H$184,H$186)," ")/IF(H$182*H$184*H$186&gt;0,SQRT(COUNT(H$182,H$184,H$186))," "),"")</f>
        <v/>
      </c>
      <c r="AM249" s="303" t="str">
        <f aca="false">IFERROR(IF(I$182*I$184*I$186&gt;0,STDEV(I$182,I$184,I$186)," ")/IF(I$182*I$184*I$186&gt;0,SQRT(COUNT(I$182,I$184,I$186))," "),"")</f>
        <v/>
      </c>
      <c r="AN249" s="303" t="str">
        <f aca="false">IFERROR(IF(J$182*J$184*J$186&gt;0,STDEV(J$182,J$184,J$186)," ")/IF(J$182*J$184*J$186&gt;0,SQRT(COUNT(J$182,J$184,J$186))," "),"")</f>
        <v/>
      </c>
      <c r="AO249" s="303" t="str">
        <f aca="false">IFERROR(IF(K$182*K$184*K$186&gt;0,STDEV(K$182,K$184,K$186)," ")/IF(K$182*K$184*K$186&gt;0,SQRT(COUNT(K$182,K$184,K$186))," "),"")</f>
        <v/>
      </c>
      <c r="AP249" s="303" t="str">
        <f aca="false">IFERROR(IF(L$182*L$184*L$186&gt;0,STDEV(L$182,L$184,L$186)," ")/IF(L$182*L$184*L$186&gt;0,SQRT(COUNT(L$182,L$184,L$186))," "),"")</f>
        <v/>
      </c>
      <c r="AQ249" s="303" t="str">
        <f aca="false">IFERROR(IF(M$182*M$184*M$186&gt;0,STDEV(M$182,M$184,M$186)," ")/IF(M$182*M$184*M$186&gt;0,SQRT(COUNT(M$182,M$184,M$186))," "),"")</f>
        <v/>
      </c>
      <c r="AR249" s="303" t="str">
        <f aca="false">IFERROR(IF(N$182*N$184*N$186&gt;0,STDEV(N$182,N$184,N$186)," ")/IF(N$182*N$184*N$186&gt;0,SQRT(COUNT(N$182,N$184,N$186))," "),"")</f>
        <v/>
      </c>
    </row>
    <row r="250" customFormat="false" ht="15.75" hidden="false" customHeight="false" outlineLevel="0" collapsed="false">
      <c r="A250" s="290" t="s">
        <v>419</v>
      </c>
      <c r="B250" s="281"/>
      <c r="C250" s="302" t="str">
        <f aca="false">IFERROR(IF(C$182*C$185*C$187&gt;0,AVERAGE(C$182,C$185,C$187),""),"")</f>
        <v/>
      </c>
      <c r="D250" s="302" t="str">
        <f aca="false">IFERROR(IF(D$182*D$185*D$187&gt;0,AVERAGE(D$182,D$185,D$187),""),"")</f>
        <v/>
      </c>
      <c r="E250" s="302" t="str">
        <f aca="false">IFERROR(IF(E$182*E$185*E$187&gt;0,AVERAGE(E$182,E$185,E$187),""),"")</f>
        <v/>
      </c>
      <c r="F250" s="302" t="str">
        <f aca="false">IFERROR(IF(F$182*F$185*F$187&gt;0,AVERAGE(F$182,F$185,F$187),""),"")</f>
        <v/>
      </c>
      <c r="G250" s="302" t="str">
        <f aca="false">IFERROR(IF(G$182*G$185*G$187&gt;0,AVERAGE(G$182,G$185,G$187),""),"")</f>
        <v/>
      </c>
      <c r="H250" s="302" t="str">
        <f aca="false">IFERROR(IF(H$182*H$185*H$187&gt;0,AVERAGE(H$182,H$185,H$187),""),"")</f>
        <v/>
      </c>
      <c r="I250" s="302" t="str">
        <f aca="false">IFERROR(IF(I$182*I$185*I$187&gt;0,AVERAGE(I$182,I$185,I$187),""),"")</f>
        <v/>
      </c>
      <c r="J250" s="302" t="str">
        <f aca="false">IFERROR(IF(J$182*J$185*J$187&gt;0,AVERAGE(J$182,J$185,J$187),""),"")</f>
        <v/>
      </c>
      <c r="K250" s="302" t="str">
        <f aca="false">IFERROR(IF(K$182*K$185*K$187&gt;0,AVERAGE(K$182,K$185,K$187),""),"")</f>
        <v/>
      </c>
      <c r="L250" s="302" t="str">
        <f aca="false">IFERROR(IF(L$182*L$185*L$187&gt;0,AVERAGE(L$182,L$185,L$187),""),"")</f>
        <v/>
      </c>
      <c r="M250" s="302" t="str">
        <f aca="false">IFERROR(IF(M$182*M$185*M$187&gt;0,AVERAGE(M$182,M$185,M$187),""),"")</f>
        <v/>
      </c>
      <c r="N250" s="302" t="str">
        <f aca="false">IFERROR(IF(N$182*N$185*N$187&gt;0,AVERAGE(N$182,N$185,N$187),""),"")</f>
        <v/>
      </c>
      <c r="O250" s="282"/>
      <c r="P250" s="282"/>
      <c r="Q250" s="296"/>
      <c r="R250" s="293" t="s">
        <v>420</v>
      </c>
      <c r="S250" s="294" t="str">
        <f aca="false">IFERROR(IF(C$182*C$185*C$187&gt;0,STDEV(C$182,C$185,C$187),"")/IF(C$182*C$185*C$187&gt;0,AVERAGE(C$182,C$185,C$187),""),"")</f>
        <v/>
      </c>
      <c r="T250" s="294" t="str">
        <f aca="false">IFERROR(IF(D$182*D$185*D$187&gt;0,STDEV(D$182,D$185,D$187),"")/IF(D$182*D$185*D$187&gt;0,AVERAGE(D$182,D$185,D$187),""),"")</f>
        <v/>
      </c>
      <c r="U250" s="294" t="str">
        <f aca="false">IFERROR(IF(E$182*E$185*E$187&gt;0,STDEV(E$182,E$185,E$187),"")/IF(E$182*E$185*E$187&gt;0,AVERAGE(E$182,E$185,E$187),""),"")</f>
        <v/>
      </c>
      <c r="V250" s="294" t="str">
        <f aca="false">IFERROR(IF(F$182*F$185*F$187&gt;0,STDEV(F$182,F$185,F$187),"")/IF(F$182*F$185*F$187&gt;0,AVERAGE(F$182,F$185,F$187),""),"")</f>
        <v/>
      </c>
      <c r="W250" s="294" t="str">
        <f aca="false">IFERROR(IF(G$182*G$185*G$187&gt;0,STDEV(G$182,G$185,G$187),"")/IF(G$182*G$185*G$187&gt;0,AVERAGE(G$182,G$185,G$187),""),"")</f>
        <v/>
      </c>
      <c r="X250" s="294" t="str">
        <f aca="false">IFERROR(IF(H$182*H$185*H$187&gt;0,STDEV(H$182,H$185,H$187),"")/IF(H$182*H$185*H$187&gt;0,AVERAGE(H$182,H$185,H$187),""),"")</f>
        <v/>
      </c>
      <c r="Y250" s="294" t="str">
        <f aca="false">IFERROR(IF(I$182*I$185*I$187&gt;0,STDEV(I$182,I$185,I$187),"")/IF(I$182*I$185*I$187&gt;0,AVERAGE(I$182,I$185,I$187),""),"")</f>
        <v/>
      </c>
      <c r="Z250" s="294" t="str">
        <f aca="false">IFERROR(IF(J$182*J$185*J$187&gt;0,STDEV(J$182,J$185,J$187),"")/IF(J$182*J$185*J$187&gt;0,AVERAGE(J$182,J$185,J$187),""),"")</f>
        <v/>
      </c>
      <c r="AA250" s="294" t="str">
        <f aca="false">IFERROR(IF(K$182*K$185*K$187&gt;0,STDEV(K$182,K$185,K$187),"")/IF(K$182*K$185*K$187&gt;0,AVERAGE(K$182,K$185,K$187),""),"")</f>
        <v/>
      </c>
      <c r="AB250" s="294" t="str">
        <f aca="false">IFERROR(IF(L$182*L$185*L$187&gt;0,STDEV(L$182,L$185,L$187),"")/IF(L$182*L$185*L$187&gt;0,AVERAGE(L$182,L$185,L$187),""),"")</f>
        <v/>
      </c>
      <c r="AC250" s="294" t="str">
        <f aca="false">IFERROR(IF(M$182*M$185*M$187&gt;0,STDEV(M$182,M$185,M$187),"")/IF(M$182*M$185*M$187&gt;0,AVERAGE(M$182,M$185,M$187),""),"")</f>
        <v/>
      </c>
      <c r="AD250" s="294" t="str">
        <f aca="false">IFERROR(IF(N$182*N$185*N$187&gt;0,STDEV(N$182,N$185,N$187),"")/IF(N$182*N$185*N$187&gt;0,AVERAGE(N$182,N$185,N$187),""),"")</f>
        <v/>
      </c>
      <c r="AE250" s="44"/>
      <c r="AF250" s="266" t="s">
        <v>421</v>
      </c>
      <c r="AG250" s="303" t="str">
        <f aca="false">IFERROR(IF(C$182*C$185*C$187&gt;0,STDEV(C$182,C$185,C$187)," ")/IF(C$182*C$185*C$187&gt;0,SQRT(COUNT(C$182,C$185,C$187))," "),"")</f>
        <v/>
      </c>
      <c r="AH250" s="303" t="str">
        <f aca="false">IFERROR(IF(D$182*D$185*D$187&gt;0,STDEV(D$182,D$185,D$187)," ")/IF(D$182*D$185*D$187&gt;0,SQRT(COUNT(D$182,D$185,D$187))," "),"")</f>
        <v/>
      </c>
      <c r="AI250" s="303" t="str">
        <f aca="false">IFERROR(IF(E$182*E$185*E$187&gt;0,STDEV(E$182,E$185,E$187)," ")/IF(E$182*E$185*E$187&gt;0,SQRT(COUNT(E$182,E$185,E$187))," "),"")</f>
        <v/>
      </c>
      <c r="AJ250" s="303" t="str">
        <f aca="false">IFERROR(IF(F$182*F$185*F$187&gt;0,STDEV(F$182,F$185,F$187)," ")/IF(F$182*F$185*F$187&gt;0,SQRT(COUNT(F$182,F$185,F$187))," "),"")</f>
        <v/>
      </c>
      <c r="AK250" s="303" t="str">
        <f aca="false">IFERROR(IF(G$182*G$185*G$187&gt;0,STDEV(G$182,G$185,G$187)," ")/IF(G$182*G$185*G$187&gt;0,SQRT(COUNT(G$182,G$185,G$187))," "),"")</f>
        <v/>
      </c>
      <c r="AL250" s="303" t="str">
        <f aca="false">IFERROR(IF(H$182*H$185*H$187&gt;0,STDEV(H$182,H$185,H$187)," ")/IF(H$182*H$185*H$187&gt;0,SQRT(COUNT(H$182,H$185,H$187))," "),"")</f>
        <v/>
      </c>
      <c r="AM250" s="303" t="str">
        <f aca="false">IFERROR(IF(I$182*I$185*I$187&gt;0,STDEV(I$182,I$185,I$187)," ")/IF(I$182*I$185*I$187&gt;0,SQRT(COUNT(I$182,I$185,I$187))," "),"")</f>
        <v/>
      </c>
      <c r="AN250" s="303" t="str">
        <f aca="false">IFERROR(IF(J$182*J$185*J$187&gt;0,STDEV(J$182,J$185,J$187)," ")/IF(J$182*J$185*J$187&gt;0,SQRT(COUNT(J$182,J$185,J$187))," "),"")</f>
        <v/>
      </c>
      <c r="AO250" s="303" t="str">
        <f aca="false">IFERROR(IF(K$182*K$185*K$187&gt;0,STDEV(K$182,K$185,K$187)," ")/IF(K$182*K$185*K$187&gt;0,SQRT(COUNT(K$182,K$185,K$187))," "),"")</f>
        <v/>
      </c>
      <c r="AP250" s="303" t="str">
        <f aca="false">IFERROR(IF(L$182*L$185*L$187&gt;0,STDEV(L$182,L$185,L$187)," ")/IF(L$182*L$185*L$187&gt;0,SQRT(COUNT(L$182,L$185,L$187))," "),"")</f>
        <v/>
      </c>
      <c r="AQ250" s="303" t="str">
        <f aca="false">IFERROR(IF(M$182*M$185*M$187&gt;0,STDEV(M$182,M$185,M$187)," ")/IF(M$182*M$185*M$187&gt;0,SQRT(COUNT(M$182,M$185,M$187))," "),"")</f>
        <v/>
      </c>
      <c r="AR250" s="303" t="str">
        <f aca="false">IFERROR(IF(N$182*N$185*N$187&gt;0,STDEV(N$182,N$185,N$187)," ")/IF(N$182*N$185*N$187&gt;0,SQRT(COUNT(N$182,N$185,N$187))," "),"")</f>
        <v/>
      </c>
    </row>
    <row r="251" customFormat="false" ht="15.75" hidden="false" customHeight="false" outlineLevel="0" collapsed="false">
      <c r="A251" s="290" t="s">
        <v>422</v>
      </c>
      <c r="B251" s="281"/>
      <c r="C251" s="302" t="str">
        <f aca="false">IFERROR(IF(C$182*C$185*C$188&gt;0,AVERAGE(C$182,C$185,C$188),""),"")</f>
        <v/>
      </c>
      <c r="D251" s="302" t="str">
        <f aca="false">IFERROR(IF(D$182*D$185*D$188&gt;0,AVERAGE(D$182,D$185,D$188),""),"")</f>
        <v/>
      </c>
      <c r="E251" s="302" t="str">
        <f aca="false">IFERROR(IF(E$182*E$185*E$188&gt;0,AVERAGE(E$182,E$185,E$188),""),"")</f>
        <v/>
      </c>
      <c r="F251" s="302" t="str">
        <f aca="false">IFERROR(IF(F$182*F$185*F$188&gt;0,AVERAGE(F$182,F$185,F$188),""),"")</f>
        <v/>
      </c>
      <c r="G251" s="302" t="str">
        <f aca="false">IFERROR(IF(G$182*G$185*G$188&gt;0,AVERAGE(G$182,G$185,G$188),""),"")</f>
        <v/>
      </c>
      <c r="H251" s="302" t="str">
        <f aca="false">IFERROR(IF(H$182*H$185*H$188&gt;0,AVERAGE(H$182,H$185,H$188),""),"")</f>
        <v/>
      </c>
      <c r="I251" s="302" t="str">
        <f aca="false">IFERROR(IF(I$182*I$185*I$188&gt;0,AVERAGE(I$182,I$185,I$188),""),"")</f>
        <v/>
      </c>
      <c r="J251" s="302" t="str">
        <f aca="false">IFERROR(IF(J$182*J$185*J$188&gt;0,AVERAGE(J$182,J$185,J$188),""),"")</f>
        <v/>
      </c>
      <c r="K251" s="302" t="str">
        <f aca="false">IFERROR(IF(K$182*K$185*K$188&gt;0,AVERAGE(K$182,K$185,K$188),""),"")</f>
        <v/>
      </c>
      <c r="L251" s="302" t="str">
        <f aca="false">IFERROR(IF(L$182*L$185*L$188&gt;0,AVERAGE(L$182,L$185,L$188),""),"")</f>
        <v/>
      </c>
      <c r="M251" s="302" t="str">
        <f aca="false">IFERROR(IF(M$182*M$185*M$188&gt;0,AVERAGE(M$182,M$185,M$188),""),"")</f>
        <v/>
      </c>
      <c r="N251" s="302" t="str">
        <f aca="false">IFERROR(IF(N$182*N$185*N$188&gt;0,AVERAGE(N$182,N$185,N$188),""),"")</f>
        <v/>
      </c>
      <c r="O251" s="282"/>
      <c r="P251" s="282"/>
      <c r="Q251" s="296"/>
      <c r="R251" s="293" t="s">
        <v>423</v>
      </c>
      <c r="S251" s="294" t="str">
        <f aca="false">IFERROR(IF(C$182*C$185*C$188&gt;0,STDEV(C$182,C$185,C$188),"")/IF(C$182*C$185*C$188&gt;0,AVERAGE(C$182,C$185,C$188),""),"")</f>
        <v/>
      </c>
      <c r="T251" s="294" t="str">
        <f aca="false">IFERROR(IF(D$182*D$185*D$188&gt;0,STDEV(D$182,D$185,D$188),"")/IF(D$182*D$185*D$188&gt;0,AVERAGE(D$182,D$185,D$188),""),"")</f>
        <v/>
      </c>
      <c r="U251" s="294" t="str">
        <f aca="false">IFERROR(IF(E$182*E$185*E$188&gt;0,STDEV(E$182,E$185,E$188),"")/IF(E$182*E$185*E$188&gt;0,AVERAGE(E$182,E$185,E$188),""),"")</f>
        <v/>
      </c>
      <c r="V251" s="294" t="str">
        <f aca="false">IFERROR(IF(F$182*F$185*F$188&gt;0,STDEV(F$182,F$185,F$188),"")/IF(F$182*F$185*F$188&gt;0,AVERAGE(F$182,F$185,F$188),""),"")</f>
        <v/>
      </c>
      <c r="W251" s="294" t="str">
        <f aca="false">IFERROR(IF(G$182*G$185*G$188&gt;0,STDEV(G$182,G$185,G$188),"")/IF(G$182*G$185*G$188&gt;0,AVERAGE(G$182,G$185,G$188),""),"")</f>
        <v/>
      </c>
      <c r="X251" s="294" t="str">
        <f aca="false">IFERROR(IF(H$182*H$185*H$188&gt;0,STDEV(H$182,H$185,H$188),"")/IF(H$182*H$185*H$188&gt;0,AVERAGE(H$182,H$185,H$188),""),"")</f>
        <v/>
      </c>
      <c r="Y251" s="294" t="str">
        <f aca="false">IFERROR(IF(I$182*I$185*I$188&gt;0,STDEV(I$182,I$185,I$188),"")/IF(I$182*I$185*I$188&gt;0,AVERAGE(I$182,I$185,I$188),""),"")</f>
        <v/>
      </c>
      <c r="Z251" s="294" t="str">
        <f aca="false">IFERROR(IF(J$182*J$185*J$188&gt;0,STDEV(J$182,J$185,J$188),"")/IF(J$182*J$185*J$188&gt;0,AVERAGE(J$182,J$185,J$188),""),"")</f>
        <v/>
      </c>
      <c r="AA251" s="294" t="str">
        <f aca="false">IFERROR(IF(K$182*K$185*K$188&gt;0,STDEV(K$182,K$185,K$188),"")/IF(K$182*K$185*K$188&gt;0,AVERAGE(K$182,K$185,K$188),""),"")</f>
        <v/>
      </c>
      <c r="AB251" s="294" t="str">
        <f aca="false">IFERROR(IF(L$182*L$185*L$188&gt;0,STDEV(L$182,L$185,L$188),"")/IF(L$182*L$185*L$188&gt;0,AVERAGE(L$182,L$185,L$188),""),"")</f>
        <v/>
      </c>
      <c r="AC251" s="294" t="str">
        <f aca="false">IFERROR(IF(M$182*M$185*M$188&gt;0,STDEV(M$182,M$185,M$188),"")/IF(M$182*M$185*M$188&gt;0,AVERAGE(M$182,M$185,M$188),""),"")</f>
        <v/>
      </c>
      <c r="AD251" s="294" t="str">
        <f aca="false">IFERROR(IF(N$182*N$185*N$188&gt;0,STDEV(N$182,N$185,N$188),"")/IF(N$182*N$185*N$188&gt;0,AVERAGE(N$182,N$185,N$188),""),"")</f>
        <v/>
      </c>
      <c r="AE251" s="44"/>
      <c r="AF251" s="266" t="s">
        <v>424</v>
      </c>
      <c r="AG251" s="303" t="str">
        <f aca="false">IFERROR(IF(C$182*C$185*C$188&gt;0,STDEV(C$182,C$185,C$188)," ")/IF(C$182*C$185*C$188&gt;0,SQRT(COUNT(C$182,C$185,C$188))," "),"")</f>
        <v/>
      </c>
      <c r="AH251" s="303" t="str">
        <f aca="false">IFERROR(IF(D$182*D$185*D$188&gt;0,STDEV(D$182,D$185,D$188)," ")/IF(D$182*D$185*D$188&gt;0,SQRT(COUNT(D$182,D$185,D$188))," "),"")</f>
        <v/>
      </c>
      <c r="AI251" s="303" t="str">
        <f aca="false">IFERROR(IF(E$182*E$185*E$188&gt;0,STDEV(E$182,E$185,E$188)," ")/IF(E$182*E$185*E$188&gt;0,SQRT(COUNT(E$182,E$185,E$188))," "),"")</f>
        <v/>
      </c>
      <c r="AJ251" s="303" t="str">
        <f aca="false">IFERROR(IF(F$182*F$185*F$188&gt;0,STDEV(F$182,F$185,F$188)," ")/IF(F$182*F$185*F$188&gt;0,SQRT(COUNT(F$182,F$185,F$188))," "),"")</f>
        <v/>
      </c>
      <c r="AK251" s="303" t="str">
        <f aca="false">IFERROR(IF(G$182*G$185*G$188&gt;0,STDEV(G$182,G$185,G$188)," ")/IF(G$182*G$185*G$188&gt;0,SQRT(COUNT(G$182,G$185,G$188))," "),"")</f>
        <v/>
      </c>
      <c r="AL251" s="303" t="str">
        <f aca="false">IFERROR(IF(H$182*H$185*H$188&gt;0,STDEV(H$182,H$185,H$188)," ")/IF(H$182*H$185*H$188&gt;0,SQRT(COUNT(H$182,H$185,H$188))," "),"")</f>
        <v/>
      </c>
      <c r="AM251" s="303" t="str">
        <f aca="false">IFERROR(IF(I$182*I$185*I$188&gt;0,STDEV(I$182,I$185,I$188)," ")/IF(I$182*I$185*I$188&gt;0,SQRT(COUNT(I$182,I$185,I$188))," "),"")</f>
        <v/>
      </c>
      <c r="AN251" s="303" t="str">
        <f aca="false">IFERROR(IF(J$182*J$185*J$188&gt;0,STDEV(J$182,J$185,J$188)," ")/IF(J$182*J$185*J$188&gt;0,SQRT(COUNT(J$182,J$185,J$188))," "),"")</f>
        <v/>
      </c>
      <c r="AO251" s="303" t="str">
        <f aca="false">IFERROR(IF(K$182*K$185*K$188&gt;0,STDEV(K$182,K$185,K$188)," ")/IF(K$182*K$185*K$188&gt;0,SQRT(COUNT(K$182,K$185,K$188))," "),"")</f>
        <v/>
      </c>
      <c r="AP251" s="303" t="str">
        <f aca="false">IFERROR(IF(L$182*L$185*L$188&gt;0,STDEV(L$182,L$185,L$188)," ")/IF(L$182*L$185*L$188&gt;0,SQRT(COUNT(L$182,L$185,L$188))," "),"")</f>
        <v/>
      </c>
      <c r="AQ251" s="303" t="str">
        <f aca="false">IFERROR(IF(M$182*M$185*M$188&gt;0,STDEV(M$182,M$185,M$188)," ")/IF(M$182*M$185*M$188&gt;0,SQRT(COUNT(M$182,M$185,M$188))," "),"")</f>
        <v/>
      </c>
      <c r="AR251" s="303" t="str">
        <f aca="false">IFERROR(IF(N$182*N$185*N$188&gt;0,STDEV(N$182,N$185,N$188)," ")/IF(N$182*N$185*N$188&gt;0,SQRT(COUNT(N$182,N$185,N$188))," "),"")</f>
        <v/>
      </c>
    </row>
    <row r="252" customFormat="false" ht="15.75" hidden="false" customHeight="false" outlineLevel="0" collapsed="false">
      <c r="A252" s="290" t="s">
        <v>425</v>
      </c>
      <c r="B252" s="281"/>
      <c r="C252" s="302" t="str">
        <f aca="false">IFERROR(IF(C$182*C$186*C$188&gt;0,AVERAGE(C$182,C$186,C$188),""),"")</f>
        <v/>
      </c>
      <c r="D252" s="302" t="str">
        <f aca="false">IFERROR(IF(D$182*D$186*D$188&gt;0,AVERAGE(D$182,D$186,D$188),""),"")</f>
        <v/>
      </c>
      <c r="E252" s="302" t="str">
        <f aca="false">IFERROR(IF(E$182*E$186*E$188&gt;0,AVERAGE(E$182,E$186,E$188),""),"")</f>
        <v/>
      </c>
      <c r="F252" s="302" t="str">
        <f aca="false">IFERROR(IF(F$182*F$186*F$188&gt;0,AVERAGE(F$182,F$186,F$188),""),"")</f>
        <v/>
      </c>
      <c r="G252" s="302" t="str">
        <f aca="false">IFERROR(IF(G$182*G$186*G$188&gt;0,AVERAGE(G$182,G$186,G$188),""),"")</f>
        <v/>
      </c>
      <c r="H252" s="302" t="str">
        <f aca="false">IFERROR(IF(H$182*H$186*H$188&gt;0,AVERAGE(H$182,H$186,H$188),""),"")</f>
        <v/>
      </c>
      <c r="I252" s="302" t="str">
        <f aca="false">IFERROR(IF(I$182*I$186*I$188&gt;0,AVERAGE(I$182,I$186,I$188),""),"")</f>
        <v/>
      </c>
      <c r="J252" s="302" t="str">
        <f aca="false">IFERROR(IF(J$182*J$186*J$188&gt;0,AVERAGE(J$182,J$186,J$188),""),"")</f>
        <v/>
      </c>
      <c r="K252" s="302" t="str">
        <f aca="false">IFERROR(IF(K$182*K$186*K$188&gt;0,AVERAGE(K$182,K$186,K$188),""),"")</f>
        <v/>
      </c>
      <c r="L252" s="302" t="str">
        <f aca="false">IFERROR(IF(L$182*L$186*L$188&gt;0,AVERAGE(L$182,L$186,L$188),""),"")</f>
        <v/>
      </c>
      <c r="M252" s="302" t="str">
        <f aca="false">IFERROR(IF(M$182*M$186*M$188&gt;0,AVERAGE(M$182,M$186,M$188),""),"")</f>
        <v/>
      </c>
      <c r="N252" s="302" t="str">
        <f aca="false">IFERROR(IF(N$182*N$186*N$188&gt;0,AVERAGE(N$182,N$186,N$188),""),"")</f>
        <v/>
      </c>
      <c r="O252" s="282"/>
      <c r="P252" s="282"/>
      <c r="Q252" s="296"/>
      <c r="R252" s="293" t="s">
        <v>426</v>
      </c>
      <c r="S252" s="294" t="str">
        <f aca="false">IFERROR(IF(C$182*C$186*C$188&gt;0,STDEV(C$182,C$186,C$188),"")/IF(C$182*C$186*C$188&gt;0,AVERAGE(C$182,C$186,C$188),""),"")</f>
        <v/>
      </c>
      <c r="T252" s="294" t="str">
        <f aca="false">IFERROR(IF(D$182*D$186*D$188&gt;0,STDEV(D$182,D$186,D$188),"")/IF(D$182*D$186*D$188&gt;0,AVERAGE(D$182,D$186,D$188),""),"")</f>
        <v/>
      </c>
      <c r="U252" s="294" t="str">
        <f aca="false">IFERROR(IF(E$182*E$186*E$188&gt;0,STDEV(E$182,E$186,E$188),"")/IF(E$182*E$186*E$188&gt;0,AVERAGE(E$182,E$186,E$188),""),"")</f>
        <v/>
      </c>
      <c r="V252" s="294" t="str">
        <f aca="false">IFERROR(IF(F$182*F$186*F$188&gt;0,STDEV(F$182,F$186,F$188),"")/IF(F$182*F$186*F$188&gt;0,AVERAGE(F$182,F$186,F$188),""),"")</f>
        <v/>
      </c>
      <c r="W252" s="294" t="str">
        <f aca="false">IFERROR(IF(G$182*G$186*G$188&gt;0,STDEV(G$182,G$186,G$188),"")/IF(G$182*G$186*G$188&gt;0,AVERAGE(G$182,G$186,G$188),""),"")</f>
        <v/>
      </c>
      <c r="X252" s="294" t="str">
        <f aca="false">IFERROR(IF(H$182*H$186*H$188&gt;0,STDEV(H$182,H$186,H$188),"")/IF(H$182*H$186*H$188&gt;0,AVERAGE(H$182,H$186,H$188),""),"")</f>
        <v/>
      </c>
      <c r="Y252" s="294" t="str">
        <f aca="false">IFERROR(IF(I$182*I$186*I$188&gt;0,STDEV(I$182,I$186,I$188),"")/IF(I$182*I$186*I$188&gt;0,AVERAGE(I$182,I$186,I$188),""),"")</f>
        <v/>
      </c>
      <c r="Z252" s="294" t="str">
        <f aca="false">IFERROR(IF(J$182*J$186*J$188&gt;0,STDEV(J$182,J$186,J$188),"")/IF(J$182*J$186*J$188&gt;0,AVERAGE(J$182,J$186,J$188),""),"")</f>
        <v/>
      </c>
      <c r="AA252" s="294" t="str">
        <f aca="false">IFERROR(IF(K$182*K$186*K$188&gt;0,STDEV(K$182,K$186,K$188),"")/IF(K$182*K$186*K$188&gt;0,AVERAGE(K$182,K$186,K$188),""),"")</f>
        <v/>
      </c>
      <c r="AB252" s="294" t="str">
        <f aca="false">IFERROR(IF(L$182*L$186*L$188&gt;0,STDEV(L$182,L$186,L$188),"")/IF(L$182*L$186*L$188&gt;0,AVERAGE(L$182,L$186,L$188),""),"")</f>
        <v/>
      </c>
      <c r="AC252" s="294" t="str">
        <f aca="false">IFERROR(IF(M$182*M$186*M$188&gt;0,STDEV(M$182,M$186,M$188),"")/IF(M$182*M$186*M$188&gt;0,AVERAGE(M$182,M$186,M$188),""),"")</f>
        <v/>
      </c>
      <c r="AD252" s="294" t="str">
        <f aca="false">IFERROR(IF(N$182*N$186*N$188&gt;0,STDEV(N$182,N$186,N$188),"")/IF(N$182*N$186*N$188&gt;0,AVERAGE(N$182,N$186,N$188),""),"")</f>
        <v/>
      </c>
      <c r="AE252" s="44"/>
      <c r="AF252" s="266" t="s">
        <v>427</v>
      </c>
      <c r="AG252" s="303" t="str">
        <f aca="false">IFERROR(IF(C$182*C$186*C$188&gt;0,STDEV(C$182,C$186,C$188)," ")/IF(C$182*C$186*C$188&gt;0,SQRT(COUNT(C$182,C$186,C$188))," "),"")</f>
        <v/>
      </c>
      <c r="AH252" s="303" t="str">
        <f aca="false">IFERROR(IF(D$182*D$186*D$188&gt;0,STDEV(D$182,D$186,D$188)," ")/IF(D$182*D$186*D$188&gt;0,SQRT(COUNT(D$182,D$186,D$188))," "),"")</f>
        <v/>
      </c>
      <c r="AI252" s="303" t="str">
        <f aca="false">IFERROR(IF(E$182*E$186*E$188&gt;0,STDEV(E$182,E$186,E$188)," ")/IF(E$182*E$186*E$188&gt;0,SQRT(COUNT(E$182,E$186,E$188))," "),"")</f>
        <v/>
      </c>
      <c r="AJ252" s="303" t="str">
        <f aca="false">IFERROR(IF(F$182*F$186*F$188&gt;0,STDEV(F$182,F$186,F$188)," ")/IF(F$182*F$186*F$188&gt;0,SQRT(COUNT(F$182,F$186,F$188))," "),"")</f>
        <v/>
      </c>
      <c r="AK252" s="303" t="str">
        <f aca="false">IFERROR(IF(G$182*G$186*G$188&gt;0,STDEV(G$182,G$186,G$188)," ")/IF(G$182*G$186*G$188&gt;0,SQRT(COUNT(G$182,G$186,G$188))," "),"")</f>
        <v/>
      </c>
      <c r="AL252" s="303" t="str">
        <f aca="false">IFERROR(IF(H$182*H$186*H$188&gt;0,STDEV(H$182,H$186,H$188)," ")/IF(H$182*H$186*H$188&gt;0,SQRT(COUNT(H$182,H$186,H$188))," "),"")</f>
        <v/>
      </c>
      <c r="AM252" s="303" t="str">
        <f aca="false">IFERROR(IF(I$182*I$186*I$188&gt;0,STDEV(I$182,I$186,I$188)," ")/IF(I$182*I$186*I$188&gt;0,SQRT(COUNT(I$182,I$186,I$188))," "),"")</f>
        <v/>
      </c>
      <c r="AN252" s="303" t="str">
        <f aca="false">IFERROR(IF(J$182*J$186*J$188&gt;0,STDEV(J$182,J$186,J$188)," ")/IF(J$182*J$186*J$188&gt;0,SQRT(COUNT(J$182,J$186,J$188))," "),"")</f>
        <v/>
      </c>
      <c r="AO252" s="303" t="str">
        <f aca="false">IFERROR(IF(K$182*K$186*K$188&gt;0,STDEV(K$182,K$186,K$188)," ")/IF(K$182*K$186*K$188&gt;0,SQRT(COUNT(K$182,K$186,K$188))," "),"")</f>
        <v/>
      </c>
      <c r="AP252" s="303" t="str">
        <f aca="false">IFERROR(IF(L$182*L$186*L$188&gt;0,STDEV(L$182,L$186,L$188)," ")/IF(L$182*L$186*L$188&gt;0,SQRT(COUNT(L$182,L$186,L$188))," "),"")</f>
        <v/>
      </c>
      <c r="AQ252" s="303" t="str">
        <f aca="false">IFERROR(IF(M$182*M$186*M$188&gt;0,STDEV(M$182,M$186,M$188)," ")/IF(M$182*M$186*M$188&gt;0,SQRT(COUNT(M$182,M$186,M$188))," "),"")</f>
        <v/>
      </c>
      <c r="AR252" s="303" t="str">
        <f aca="false">IFERROR(IF(N$182*N$186*N$188&gt;0,STDEV(N$182,N$186,N$188)," ")/IF(N$182*N$186*N$188&gt;0,SQRT(COUNT(N$182,N$186,N$188))," "),"")</f>
        <v/>
      </c>
    </row>
    <row r="253" customFormat="false" ht="15.75" hidden="false" customHeight="false" outlineLevel="0" collapsed="false">
      <c r="A253" s="290" t="s">
        <v>428</v>
      </c>
      <c r="B253" s="281"/>
      <c r="C253" s="302" t="str">
        <f aca="false">IFERROR(IF(C$183*C$185*C$186&gt;0,AVERAGE(C$183,C$185,C$186),""),"")</f>
        <v/>
      </c>
      <c r="D253" s="302" t="str">
        <f aca="false">IFERROR(IF(D$183*D$185*D$186&gt;0,AVERAGE(D$183,D$185,D$186),""),"")</f>
        <v/>
      </c>
      <c r="E253" s="302" t="str">
        <f aca="false">IFERROR(IF(E$183*E$185*E$186&gt;0,AVERAGE(E$183,E$185,E$186),""),"")</f>
        <v/>
      </c>
      <c r="F253" s="302" t="str">
        <f aca="false">IFERROR(IF(F$183*F$185*F$186&gt;0,AVERAGE(F$183,F$185,F$186),""),"")</f>
        <v/>
      </c>
      <c r="G253" s="302" t="str">
        <f aca="false">IFERROR(IF(G$183*G$185*G$186&gt;0,AVERAGE(G$183,G$185,G$186),""),"")</f>
        <v/>
      </c>
      <c r="H253" s="302" t="str">
        <f aca="false">IFERROR(IF(H$183*H$185*H$186&gt;0,AVERAGE(H$183,H$185,H$186),""),"")</f>
        <v/>
      </c>
      <c r="I253" s="302" t="str">
        <f aca="false">IFERROR(IF(I$183*I$185*I$186&gt;0,AVERAGE(I$183,I$185,I$186),""),"")</f>
        <v/>
      </c>
      <c r="J253" s="302" t="str">
        <f aca="false">IFERROR(IF(J$183*J$185*J$186&gt;0,AVERAGE(J$183,J$185,J$186),""),"")</f>
        <v/>
      </c>
      <c r="K253" s="302" t="str">
        <f aca="false">IFERROR(IF(K$183*K$185*K$186&gt;0,AVERAGE(K$183,K$185,K$186),""),"")</f>
        <v/>
      </c>
      <c r="L253" s="302" t="str">
        <f aca="false">IFERROR(IF(L$183*L$185*L$186&gt;0,AVERAGE(L$183,L$185,L$186),""),"")</f>
        <v/>
      </c>
      <c r="M253" s="302" t="str">
        <f aca="false">IFERROR(IF(M$183*M$185*M$186&gt;0,AVERAGE(M$183,M$185,M$186),""),"")</f>
        <v/>
      </c>
      <c r="N253" s="302" t="str">
        <f aca="false">IFERROR(IF(N$183*N$185*N$186&gt;0,AVERAGE(N$183,N$185,N$186),""),"")</f>
        <v/>
      </c>
      <c r="O253" s="282"/>
      <c r="P253" s="282"/>
      <c r="Q253" s="296"/>
      <c r="R253" s="293" t="s">
        <v>429</v>
      </c>
      <c r="S253" s="294" t="str">
        <f aca="false">IFERROR(IF(C$183*C$185*C$186&gt;0,STDEV(C$183,C$185,C$186),"")/IF(C$183*C$185*C$186&gt;0,AVERAGE(C$183,C$185,C$186),""),"")</f>
        <v/>
      </c>
      <c r="T253" s="294" t="str">
        <f aca="false">IFERROR(IF(D$183*D$185*D$186&gt;0,STDEV(D$183,D$185,D$186),"")/IF(D$183*D$185*D$186&gt;0,AVERAGE(D$183,D$185,D$186),""),"")</f>
        <v/>
      </c>
      <c r="U253" s="294" t="str">
        <f aca="false">IFERROR(IF(E$183*E$185*E$186&gt;0,STDEV(E$183,E$185,E$186),"")/IF(E$183*E$185*E$186&gt;0,AVERAGE(E$183,E$185,E$186),""),"")</f>
        <v/>
      </c>
      <c r="V253" s="294" t="str">
        <f aca="false">IFERROR(IF(F$183*F$185*F$186&gt;0,STDEV(F$183,F$185,F$186),"")/IF(F$183*F$185*F$186&gt;0,AVERAGE(F$183,F$185,F$186),""),"")</f>
        <v/>
      </c>
      <c r="W253" s="294" t="str">
        <f aca="false">IFERROR(IF(G$183*G$185*G$186&gt;0,STDEV(G$183,G$185,G$186),"")/IF(G$183*G$185*G$186&gt;0,AVERAGE(G$183,G$185,G$186),""),"")</f>
        <v/>
      </c>
      <c r="X253" s="294" t="str">
        <f aca="false">IFERROR(IF(H$183*H$185*H$186&gt;0,STDEV(H$183,H$185,H$186),"")/IF(H$183*H$185*H$186&gt;0,AVERAGE(H$183,H$185,H$186),""),"")</f>
        <v/>
      </c>
      <c r="Y253" s="294" t="str">
        <f aca="false">IFERROR(IF(I$183*I$185*I$186&gt;0,STDEV(I$183,I$185,I$186),"")/IF(I$183*I$185*I$186&gt;0,AVERAGE(I$183,I$185,I$186),""),"")</f>
        <v/>
      </c>
      <c r="Z253" s="294" t="str">
        <f aca="false">IFERROR(IF(J$183*J$185*J$186&gt;0,STDEV(J$183,J$185,J$186),"")/IF(J$183*J$185*J$186&gt;0,AVERAGE(J$183,J$185,J$186),""),"")</f>
        <v/>
      </c>
      <c r="AA253" s="294" t="str">
        <f aca="false">IFERROR(IF(K$183*K$185*K$186&gt;0,STDEV(K$183,K$185,K$186),"")/IF(K$183*K$185*K$186&gt;0,AVERAGE(K$183,K$185,K$186),""),"")</f>
        <v/>
      </c>
      <c r="AB253" s="294" t="str">
        <f aca="false">IFERROR(IF(L$183*L$185*L$186&gt;0,STDEV(L$183,L$185,L$186),"")/IF(L$183*L$185*L$186&gt;0,AVERAGE(L$183,L$185,L$186),""),"")</f>
        <v/>
      </c>
      <c r="AC253" s="294" t="str">
        <f aca="false">IFERROR(IF(M$183*M$185*M$186&gt;0,STDEV(M$183,M$185,M$186),"")/IF(M$183*M$185*M$186&gt;0,AVERAGE(M$183,M$185,M$186),""),"")</f>
        <v/>
      </c>
      <c r="AD253" s="294" t="str">
        <f aca="false">IFERROR(IF(N$183*N$185*N$186&gt;0,STDEV(N$183,N$185,N$186),"")/IF(N$183*N$185*N$186&gt;0,AVERAGE(N$183,N$185,N$186),""),"")</f>
        <v/>
      </c>
      <c r="AE253" s="44"/>
      <c r="AF253" s="266" t="s">
        <v>430</v>
      </c>
      <c r="AG253" s="303" t="str">
        <f aca="false">IFERROR(IF(C$183*C$185*C$186&gt;0,STDEV(C$183,C$185,C$186)," ")/IF(C$183*C$185*C$186&gt;0,SQRT(COUNT(C$183,C$185,C$186))," "),"")</f>
        <v/>
      </c>
      <c r="AH253" s="303" t="str">
        <f aca="false">IFERROR(IF(D$183*D$185*D$186&gt;0,STDEV(D$183,D$185,D$186)," ")/IF(D$183*D$185*D$186&gt;0,SQRT(COUNT(D$183,D$185,D$186))," "),"")</f>
        <v/>
      </c>
      <c r="AI253" s="303" t="str">
        <f aca="false">IFERROR(IF(E$183*E$185*E$186&gt;0,STDEV(E$183,E$185,E$186)," ")/IF(E$183*E$185*E$186&gt;0,SQRT(COUNT(E$183,E$185,E$186))," "),"")</f>
        <v/>
      </c>
      <c r="AJ253" s="303" t="str">
        <f aca="false">IFERROR(IF(F$183*F$185*F$186&gt;0,STDEV(F$183,F$185,F$186)," ")/IF(F$183*F$185*F$186&gt;0,SQRT(COUNT(F$183,F$185,F$186))," "),"")</f>
        <v/>
      </c>
      <c r="AK253" s="303" t="str">
        <f aca="false">IFERROR(IF(G$183*G$185*G$186&gt;0,STDEV(G$183,G$185,G$186)," ")/IF(G$183*G$185*G$186&gt;0,SQRT(COUNT(G$183,G$185,G$186))," "),"")</f>
        <v/>
      </c>
      <c r="AL253" s="303" t="str">
        <f aca="false">IFERROR(IF(H$183*H$185*H$186&gt;0,STDEV(H$183,H$185,H$186)," ")/IF(H$183*H$185*H$186&gt;0,SQRT(COUNT(H$183,H$185,H$186))," "),"")</f>
        <v/>
      </c>
      <c r="AM253" s="303" t="str">
        <f aca="false">IFERROR(IF(I$183*I$185*I$186&gt;0,STDEV(I$183,I$185,I$186)," ")/IF(I$183*I$185*I$186&gt;0,SQRT(COUNT(I$183,I$185,I$186))," "),"")</f>
        <v/>
      </c>
      <c r="AN253" s="303" t="str">
        <f aca="false">IFERROR(IF(J$183*J$185*J$186&gt;0,STDEV(J$183,J$185,J$186)," ")/IF(J$183*J$185*J$186&gt;0,SQRT(COUNT(J$183,J$185,J$186))," "),"")</f>
        <v/>
      </c>
      <c r="AO253" s="303" t="str">
        <f aca="false">IFERROR(IF(K$183*K$185*K$186&gt;0,STDEV(K$183,K$185,K$186)," ")/IF(K$183*K$185*K$186&gt;0,SQRT(COUNT(K$183,K$185,K$186))," "),"")</f>
        <v/>
      </c>
      <c r="AP253" s="303" t="str">
        <f aca="false">IFERROR(IF(L$183*L$185*L$186&gt;0,STDEV(L$183,L$185,L$186)," ")/IF(L$183*L$185*L$186&gt;0,SQRT(COUNT(L$183,L$185,L$186))," "),"")</f>
        <v/>
      </c>
      <c r="AQ253" s="303" t="str">
        <f aca="false">IFERROR(IF(M$183*M$185*M$186&gt;0,STDEV(M$183,M$185,M$186)," ")/IF(M$183*M$185*M$186&gt;0,SQRT(COUNT(M$183,M$185,M$186))," "),"")</f>
        <v/>
      </c>
      <c r="AR253" s="303" t="str">
        <f aca="false">IFERROR(IF(N$183*N$185*N$186&gt;0,STDEV(N$183,N$185,N$186)," ")/IF(N$183*N$185*N$186&gt;0,SQRT(COUNT(N$183,N$185,N$186))," "),"")</f>
        <v/>
      </c>
    </row>
    <row r="254" customFormat="false" ht="15.75" hidden="false" customHeight="false" outlineLevel="0" collapsed="false">
      <c r="A254" s="290" t="s">
        <v>431</v>
      </c>
      <c r="B254" s="281"/>
      <c r="C254" s="302" t="str">
        <f aca="false">IFERROR(IF(C$183*C$185*C$187&gt;0,AVERAGE(C$183,C$185,C$187),""),"")</f>
        <v/>
      </c>
      <c r="D254" s="302" t="str">
        <f aca="false">IFERROR(IF(D$183*D$185*D$187&gt;0,AVERAGE(D$183,D$185,D$187),""),"")</f>
        <v/>
      </c>
      <c r="E254" s="302" t="str">
        <f aca="false">IFERROR(IF(E$183*E$185*E$187&gt;0,AVERAGE(E$183,E$185,E$187),""),"")</f>
        <v/>
      </c>
      <c r="F254" s="302" t="str">
        <f aca="false">IFERROR(IF(F$183*F$185*F$187&gt;0,AVERAGE(F$183,F$185,F$187),""),"")</f>
        <v/>
      </c>
      <c r="G254" s="302" t="str">
        <f aca="false">IFERROR(IF(G$183*G$185*G$187&gt;0,AVERAGE(G$183,G$185,G$187),""),"")</f>
        <v/>
      </c>
      <c r="H254" s="302" t="str">
        <f aca="false">IFERROR(IF(H$183*H$185*H$187&gt;0,AVERAGE(H$183,H$185,H$187),""),"")</f>
        <v/>
      </c>
      <c r="I254" s="302" t="str">
        <f aca="false">IFERROR(IF(I$183*I$185*I$187&gt;0,AVERAGE(I$183,I$185,I$187),""),"")</f>
        <v/>
      </c>
      <c r="J254" s="302" t="str">
        <f aca="false">IFERROR(IF(J$183*J$185*J$187&gt;0,AVERAGE(J$183,J$185,J$187),""),"")</f>
        <v/>
      </c>
      <c r="K254" s="302" t="str">
        <f aca="false">IFERROR(IF(K$183*K$185*K$187&gt;0,AVERAGE(K$183,K$185,K$187),""),"")</f>
        <v/>
      </c>
      <c r="L254" s="302" t="str">
        <f aca="false">IFERROR(IF(L$183*L$185*L$187&gt;0,AVERAGE(L$183,L$185,L$187),""),"")</f>
        <v/>
      </c>
      <c r="M254" s="302" t="str">
        <f aca="false">IFERROR(IF(M$183*M$185*M$187&gt;0,AVERAGE(M$183,M$185,M$187),""),"")</f>
        <v/>
      </c>
      <c r="N254" s="302" t="str">
        <f aca="false">IFERROR(IF(N$183*N$185*N$187&gt;0,AVERAGE(N$183,N$185,N$187),""),"")</f>
        <v/>
      </c>
      <c r="O254" s="282"/>
      <c r="P254" s="282"/>
      <c r="Q254" s="296"/>
      <c r="R254" s="293" t="s">
        <v>432</v>
      </c>
      <c r="S254" s="294" t="str">
        <f aca="false">IFERROR(IF(C$183*C$185*C$187&gt;0,STDEV(C$183,C$185,C$187),"")/IF(C$183*C$185*C$187&gt;0,AVERAGE(C$183,C$185,C$187),""),"")</f>
        <v/>
      </c>
      <c r="T254" s="294" t="str">
        <f aca="false">IFERROR(IF(D$183*D$185*D$187&gt;0,STDEV(D$183,D$185,D$187),"")/IF(D$183*D$185*D$187&gt;0,AVERAGE(D$183,D$185,D$187),""),"")</f>
        <v/>
      </c>
      <c r="U254" s="294" t="str">
        <f aca="false">IFERROR(IF(E$183*E$185*E$187&gt;0,STDEV(E$183,E$185,E$187),"")/IF(E$183*E$185*E$187&gt;0,AVERAGE(E$183,E$185,E$187),""),"")</f>
        <v/>
      </c>
      <c r="V254" s="294" t="str">
        <f aca="false">IFERROR(IF(F$183*F$185*F$187&gt;0,STDEV(F$183,F$185,F$187),"")/IF(F$183*F$185*F$187&gt;0,AVERAGE(F$183,F$185,F$187),""),"")</f>
        <v/>
      </c>
      <c r="W254" s="294" t="str">
        <f aca="false">IFERROR(IF(G$183*G$185*G$187&gt;0,STDEV(G$183,G$185,G$187),"")/IF(G$183*G$185*G$187&gt;0,AVERAGE(G$183,G$185,G$187),""),"")</f>
        <v/>
      </c>
      <c r="X254" s="294" t="str">
        <f aca="false">IFERROR(IF(H$183*H$185*H$187&gt;0,STDEV(H$183,H$185,H$187),"")/IF(H$183*H$185*H$187&gt;0,AVERAGE(H$183,H$185,H$187),""),"")</f>
        <v/>
      </c>
      <c r="Y254" s="294" t="str">
        <f aca="false">IFERROR(IF(I$183*I$185*I$187&gt;0,STDEV(I$183,I$185,I$187),"")/IF(I$183*I$185*I$187&gt;0,AVERAGE(I$183,I$185,I$187),""),"")</f>
        <v/>
      </c>
      <c r="Z254" s="294" t="str">
        <f aca="false">IFERROR(IF(J$183*J$185*J$187&gt;0,STDEV(J$183,J$185,J$187),"")/IF(J$183*J$185*J$187&gt;0,AVERAGE(J$183,J$185,J$187),""),"")</f>
        <v/>
      </c>
      <c r="AA254" s="294" t="str">
        <f aca="false">IFERROR(IF(K$183*K$185*K$187&gt;0,STDEV(K$183,K$185,K$187),"")/IF(K$183*K$185*K$187&gt;0,AVERAGE(K$183,K$185,K$187),""),"")</f>
        <v/>
      </c>
      <c r="AB254" s="294" t="str">
        <f aca="false">IFERROR(IF(L$183*L$185*L$187&gt;0,STDEV(L$183,L$185,L$187),"")/IF(L$183*L$185*L$187&gt;0,AVERAGE(L$183,L$185,L$187),""),"")</f>
        <v/>
      </c>
      <c r="AC254" s="294" t="str">
        <f aca="false">IFERROR(IF(M$183*M$185*M$187&gt;0,STDEV(M$183,M$185,M$187),"")/IF(M$183*M$185*M$187&gt;0,AVERAGE(M$183,M$185,M$187),""),"")</f>
        <v/>
      </c>
      <c r="AD254" s="294" t="str">
        <f aca="false">IFERROR(IF(N$183*N$185*N$187&gt;0,STDEV(N$183,N$185,N$187),"")/IF(N$183*N$185*N$187&gt;0,AVERAGE(N$183,N$185,N$187),""),"")</f>
        <v/>
      </c>
      <c r="AE254" s="44"/>
      <c r="AF254" s="266" t="s">
        <v>433</v>
      </c>
      <c r="AG254" s="303" t="str">
        <f aca="false">IFERROR(IF(C$183*C$185*C$187&gt;0,STDEV(C$183,C$185,C$187)," ")/IF(C$183*C$185*C$187&gt;0,SQRT(COUNT(C$183,C$185,C$187))," "),"")</f>
        <v/>
      </c>
      <c r="AH254" s="303" t="str">
        <f aca="false">IFERROR(IF(D$183*D$185*D$187&gt;0,STDEV(D$183,D$185,D$187)," ")/IF(D$183*D$185*D$187&gt;0,SQRT(COUNT(D$183,D$185,D$187))," "),"")</f>
        <v/>
      </c>
      <c r="AI254" s="303" t="str">
        <f aca="false">IFERROR(IF(E$183*E$185*E$187&gt;0,STDEV(E$183,E$185,E$187)," ")/IF(E$183*E$185*E$187&gt;0,SQRT(COUNT(E$183,E$185,E$187))," "),"")</f>
        <v/>
      </c>
      <c r="AJ254" s="303" t="str">
        <f aca="false">IFERROR(IF(F$183*F$185*F$187&gt;0,STDEV(F$183,F$185,F$187)," ")/IF(F$183*F$185*F$187&gt;0,SQRT(COUNT(F$183,F$185,F$187))," "),"")</f>
        <v/>
      </c>
      <c r="AK254" s="303" t="str">
        <f aca="false">IFERROR(IF(G$183*G$185*G$187&gt;0,STDEV(G$183,G$185,G$187)," ")/IF(G$183*G$185*G$187&gt;0,SQRT(COUNT(G$183,G$185,G$187))," "),"")</f>
        <v/>
      </c>
      <c r="AL254" s="303" t="str">
        <f aca="false">IFERROR(IF(H$183*H$185*H$187&gt;0,STDEV(H$183,H$185,H$187)," ")/IF(H$183*H$185*H$187&gt;0,SQRT(COUNT(H$183,H$185,H$187))," "),"")</f>
        <v/>
      </c>
      <c r="AM254" s="303" t="str">
        <f aca="false">IFERROR(IF(I$183*I$185*I$187&gt;0,STDEV(I$183,I$185,I$187)," ")/IF(I$183*I$185*I$187&gt;0,SQRT(COUNT(I$183,I$185,I$187))," "),"")</f>
        <v/>
      </c>
      <c r="AN254" s="303" t="str">
        <f aca="false">IFERROR(IF(J$183*J$185*J$187&gt;0,STDEV(J$183,J$185,J$187)," ")/IF(J$183*J$185*J$187&gt;0,SQRT(COUNT(J$183,J$185,J$187))," "),"")</f>
        <v/>
      </c>
      <c r="AO254" s="303" t="str">
        <f aca="false">IFERROR(IF(K$183*K$185*K$187&gt;0,STDEV(K$183,K$185,K$187)," ")/IF(K$183*K$185*K$187&gt;0,SQRT(COUNT(K$183,K$185,K$187))," "),"")</f>
        <v/>
      </c>
      <c r="AP254" s="303" t="str">
        <f aca="false">IFERROR(IF(L$183*L$185*L$187&gt;0,STDEV(L$183,L$185,L$187)," ")/IF(L$183*L$185*L$187&gt;0,SQRT(COUNT(L$183,L$185,L$187))," "),"")</f>
        <v/>
      </c>
      <c r="AQ254" s="303" t="str">
        <f aca="false">IFERROR(IF(M$183*M$185*M$187&gt;0,STDEV(M$183,M$185,M$187)," ")/IF(M$183*M$185*M$187&gt;0,SQRT(COUNT(M$183,M$185,M$187))," "),"")</f>
        <v/>
      </c>
      <c r="AR254" s="303" t="str">
        <f aca="false">IFERROR(IF(N$183*N$185*N$187&gt;0,STDEV(N$183,N$185,N$187)," ")/IF(N$183*N$185*N$187&gt;0,SQRT(COUNT(N$183,N$185,N$187))," "),"")</f>
        <v/>
      </c>
    </row>
    <row r="255" customFormat="false" ht="15.75" hidden="false" customHeight="false" outlineLevel="0" collapsed="false">
      <c r="A255" s="290" t="s">
        <v>434</v>
      </c>
      <c r="B255" s="281"/>
      <c r="C255" s="302" t="str">
        <f aca="false">IFERROR(IF(C$183*C$185*C$188&gt;0,AVERAGE(C$183,C$185,C$188),""),"")</f>
        <v/>
      </c>
      <c r="D255" s="302" t="str">
        <f aca="false">IFERROR(IF(D$183*D$185*D$188&gt;0,AVERAGE(D$183,D$185,D$188),""),"")</f>
        <v/>
      </c>
      <c r="E255" s="302" t="str">
        <f aca="false">IFERROR(IF(E$183*E$185*E$188&gt;0,AVERAGE(E$183,E$185,E$188),""),"")</f>
        <v/>
      </c>
      <c r="F255" s="302" t="str">
        <f aca="false">IFERROR(IF(F$183*F$185*F$188&gt;0,AVERAGE(F$183,F$185,F$188),""),"")</f>
        <v/>
      </c>
      <c r="G255" s="302" t="str">
        <f aca="false">IFERROR(IF(G$183*G$185*G$188&gt;0,AVERAGE(G$183,G$185,G$188),""),"")</f>
        <v/>
      </c>
      <c r="H255" s="302" t="str">
        <f aca="false">IFERROR(IF(H$183*H$185*H$188&gt;0,AVERAGE(H$183,H$185,H$188),""),"")</f>
        <v/>
      </c>
      <c r="I255" s="302" t="str">
        <f aca="false">IFERROR(IF(I$183*I$185*I$188&gt;0,AVERAGE(I$183,I$185,I$188),""),"")</f>
        <v/>
      </c>
      <c r="J255" s="302" t="str">
        <f aca="false">IFERROR(IF(J$183*J$185*J$188&gt;0,AVERAGE(J$183,J$185,J$188),""),"")</f>
        <v/>
      </c>
      <c r="K255" s="302" t="str">
        <f aca="false">IFERROR(IF(K$183*K$185*K$188&gt;0,AVERAGE(K$183,K$185,K$188),""),"")</f>
        <v/>
      </c>
      <c r="L255" s="302" t="str">
        <f aca="false">IFERROR(IF(L$183*L$185*L$188&gt;0,AVERAGE(L$183,L$185,L$188),""),"")</f>
        <v/>
      </c>
      <c r="M255" s="302" t="str">
        <f aca="false">IFERROR(IF(M$183*M$185*M$188&gt;0,AVERAGE(M$183,M$185,M$188),""),"")</f>
        <v/>
      </c>
      <c r="N255" s="302" t="str">
        <f aca="false">IFERROR(IF(N$183*N$185*N$188&gt;0,AVERAGE(N$183,N$185,N$188),""),"")</f>
        <v/>
      </c>
      <c r="O255" s="282"/>
      <c r="P255" s="282"/>
      <c r="Q255" s="296"/>
      <c r="R255" s="293" t="s">
        <v>435</v>
      </c>
      <c r="S255" s="294" t="str">
        <f aca="false">IFERROR(IF(C$183*C$185*C$188&gt;0,STDEV(C$183,C$185,C$188),"")/IF(C$183*C$185*C$188&gt;0,AVERAGE(C$183,C$185,C$188),""),"")</f>
        <v/>
      </c>
      <c r="T255" s="294" t="str">
        <f aca="false">IFERROR(IF(D$183*D$185*D$188&gt;0,STDEV(D$183,D$185,D$188),"")/IF(D$183*D$185*D$188&gt;0,AVERAGE(D$183,D$185,D$188),""),"")</f>
        <v/>
      </c>
      <c r="U255" s="294" t="str">
        <f aca="false">IFERROR(IF(E$183*E$185*E$188&gt;0,STDEV(E$183,E$185,E$188),"")/IF(E$183*E$185*E$188&gt;0,AVERAGE(E$183,E$185,E$188),""),"")</f>
        <v/>
      </c>
      <c r="V255" s="294" t="str">
        <f aca="false">IFERROR(IF(F$183*F$185*F$188&gt;0,STDEV(F$183,F$185,F$188),"")/IF(F$183*F$185*F$188&gt;0,AVERAGE(F$183,F$185,F$188),""),"")</f>
        <v/>
      </c>
      <c r="W255" s="294" t="str">
        <f aca="false">IFERROR(IF(G$183*G$185*G$188&gt;0,STDEV(G$183,G$185,G$188),"")/IF(G$183*G$185*G$188&gt;0,AVERAGE(G$183,G$185,G$188),""),"")</f>
        <v/>
      </c>
      <c r="X255" s="294" t="str">
        <f aca="false">IFERROR(IF(H$183*H$185*H$188&gt;0,STDEV(H$183,H$185,H$188),"")/IF(H$183*H$185*H$188&gt;0,AVERAGE(H$183,H$185,H$188),""),"")</f>
        <v/>
      </c>
      <c r="Y255" s="294" t="str">
        <f aca="false">IFERROR(IF(I$183*I$185*I$188&gt;0,STDEV(I$183,I$185,I$188),"")/IF(I$183*I$185*I$188&gt;0,AVERAGE(I$183,I$185,I$188),""),"")</f>
        <v/>
      </c>
      <c r="Z255" s="294" t="str">
        <f aca="false">IFERROR(IF(J$183*J$185*J$188&gt;0,STDEV(J$183,J$185,J$188),"")/IF(J$183*J$185*J$188&gt;0,AVERAGE(J$183,J$185,J$188),""),"")</f>
        <v/>
      </c>
      <c r="AA255" s="294" t="str">
        <f aca="false">IFERROR(IF(K$183*K$185*K$188&gt;0,STDEV(K$183,K$185,K$188),"")/IF(K$183*K$185*K$188&gt;0,AVERAGE(K$183,K$185,K$188),""),"")</f>
        <v/>
      </c>
      <c r="AB255" s="294" t="str">
        <f aca="false">IFERROR(IF(L$183*L$185*L$188&gt;0,STDEV(L$183,L$185,L$188),"")/IF(L$183*L$185*L$188&gt;0,AVERAGE(L$183,L$185,L$188),""),"")</f>
        <v/>
      </c>
      <c r="AC255" s="294" t="str">
        <f aca="false">IFERROR(IF(M$183*M$185*M$188&gt;0,STDEV(M$183,M$185,M$188),"")/IF(M$183*M$185*M$188&gt;0,AVERAGE(M$183,M$185,M$188),""),"")</f>
        <v/>
      </c>
      <c r="AD255" s="294" t="str">
        <f aca="false">IFERROR(IF(N$183*N$185*N$188&gt;0,STDEV(N$183,N$185,N$188),"")/IF(N$183*N$185*N$188&gt;0,AVERAGE(N$183,N$185,N$188),""),"")</f>
        <v/>
      </c>
      <c r="AE255" s="44"/>
      <c r="AF255" s="266" t="s">
        <v>436</v>
      </c>
      <c r="AG255" s="303" t="str">
        <f aca="false">IFERROR(IF(C$183*C$185*C$188&gt;0,STDEV(C$183,C$185,C$188)," ")/IF(C$183*C$185*C$188&gt;0,SQRT(COUNT(C$183,C$185,C$188))," "),"")</f>
        <v/>
      </c>
      <c r="AH255" s="303" t="str">
        <f aca="false">IFERROR(IF(D$183*D$185*D$188&gt;0,STDEV(D$183,D$185,D$188)," ")/IF(D$183*D$185*D$188&gt;0,SQRT(COUNT(D$183,D$185,D$188))," "),"")</f>
        <v/>
      </c>
      <c r="AI255" s="303" t="str">
        <f aca="false">IFERROR(IF(E$183*E$185*E$188&gt;0,STDEV(E$183,E$185,E$188)," ")/IF(E$183*E$185*E$188&gt;0,SQRT(COUNT(E$183,E$185,E$188))," "),"")</f>
        <v/>
      </c>
      <c r="AJ255" s="303" t="str">
        <f aca="false">IFERROR(IF(F$183*F$185*F$188&gt;0,STDEV(F$183,F$185,F$188)," ")/IF(F$183*F$185*F$188&gt;0,SQRT(COUNT(F$183,F$185,F$188))," "),"")</f>
        <v/>
      </c>
      <c r="AK255" s="303" t="str">
        <f aca="false">IFERROR(IF(G$183*G$185*G$188&gt;0,STDEV(G$183,G$185,G$188)," ")/IF(G$183*G$185*G$188&gt;0,SQRT(COUNT(G$183,G$185,G$188))," "),"")</f>
        <v/>
      </c>
      <c r="AL255" s="303" t="str">
        <f aca="false">IFERROR(IF(H$183*H$185*H$188&gt;0,STDEV(H$183,H$185,H$188)," ")/IF(H$183*H$185*H$188&gt;0,SQRT(COUNT(H$183,H$185,H$188))," "),"")</f>
        <v/>
      </c>
      <c r="AM255" s="303" t="str">
        <f aca="false">IFERROR(IF(I$183*I$185*I$188&gt;0,STDEV(I$183,I$185,I$188)," ")/IF(I$183*I$185*I$188&gt;0,SQRT(COUNT(I$183,I$185,I$188))," "),"")</f>
        <v/>
      </c>
      <c r="AN255" s="303" t="str">
        <f aca="false">IFERROR(IF(J$183*J$185*J$188&gt;0,STDEV(J$183,J$185,J$188)," ")/IF(J$183*J$185*J$188&gt;0,SQRT(COUNT(J$183,J$185,J$188))," "),"")</f>
        <v/>
      </c>
      <c r="AO255" s="303" t="str">
        <f aca="false">IFERROR(IF(K$183*K$185*K$188&gt;0,STDEV(K$183,K$185,K$188)," ")/IF(K$183*K$185*K$188&gt;0,SQRT(COUNT(K$183,K$185,K$188))," "),"")</f>
        <v/>
      </c>
      <c r="AP255" s="303" t="str">
        <f aca="false">IFERROR(IF(L$183*L$185*L$188&gt;0,STDEV(L$183,L$185,L$188)," ")/IF(L$183*L$185*L$188&gt;0,SQRT(COUNT(L$183,L$185,L$188))," "),"")</f>
        <v/>
      </c>
      <c r="AQ255" s="303" t="str">
        <f aca="false">IFERROR(IF(M$183*M$185*M$188&gt;0,STDEV(M$183,M$185,M$188)," ")/IF(M$183*M$185*M$188&gt;0,SQRT(COUNT(M$183,M$185,M$188))," "),"")</f>
        <v/>
      </c>
      <c r="AR255" s="303" t="str">
        <f aca="false">IFERROR(IF(N$183*N$185*N$188&gt;0,STDEV(N$183,N$185,N$188)," ")/IF(N$183*N$185*N$188&gt;0,SQRT(COUNT(N$183,N$185,N$188))," "),"")</f>
        <v/>
      </c>
    </row>
    <row r="256" customFormat="false" ht="15.75" hidden="false" customHeight="false" outlineLevel="0" collapsed="false">
      <c r="A256" s="290" t="s">
        <v>437</v>
      </c>
      <c r="B256" s="281"/>
      <c r="C256" s="302" t="str">
        <f aca="false">IFERROR(IF(C$183*C$186*C$188&gt;0,AVERAGE(C$183,C$186,C$188),""),"")</f>
        <v/>
      </c>
      <c r="D256" s="302" t="str">
        <f aca="false">IFERROR(IF(D$183*D$186*D$188&gt;0,AVERAGE(D$183,D$186,D$188),""),"")</f>
        <v/>
      </c>
      <c r="E256" s="302" t="str">
        <f aca="false">IFERROR(IF(E$183*E$186*E$188&gt;0,AVERAGE(E$183,E$186,E$188),""),"")</f>
        <v/>
      </c>
      <c r="F256" s="302" t="str">
        <f aca="false">IFERROR(IF(F$183*F$186*F$188&gt;0,AVERAGE(F$183,F$186,F$188),""),"")</f>
        <v/>
      </c>
      <c r="G256" s="302" t="str">
        <f aca="false">IFERROR(IF(G$183*G$186*G$188&gt;0,AVERAGE(G$183,G$186,G$188),""),"")</f>
        <v/>
      </c>
      <c r="H256" s="302" t="str">
        <f aca="false">IFERROR(IF(H$183*H$186*H$188&gt;0,AVERAGE(H$183,H$186,H$188),""),"")</f>
        <v/>
      </c>
      <c r="I256" s="302" t="str">
        <f aca="false">IFERROR(IF(I$183*I$186*I$188&gt;0,AVERAGE(I$183,I$186,I$188),""),"")</f>
        <v/>
      </c>
      <c r="J256" s="302" t="str">
        <f aca="false">IFERROR(IF(J$183*J$186*J$188&gt;0,AVERAGE(J$183,J$186,J$188),""),"")</f>
        <v/>
      </c>
      <c r="K256" s="302" t="str">
        <f aca="false">IFERROR(IF(K$183*K$186*K$188&gt;0,AVERAGE(K$183,K$186,K$188),""),"")</f>
        <v/>
      </c>
      <c r="L256" s="302" t="str">
        <f aca="false">IFERROR(IF(L$183*L$186*L$188&gt;0,AVERAGE(L$183,L$186,L$188),""),"")</f>
        <v/>
      </c>
      <c r="M256" s="302" t="str">
        <f aca="false">IFERROR(IF(M$183*M$186*M$188&gt;0,AVERAGE(M$183,M$186,M$188),""),"")</f>
        <v/>
      </c>
      <c r="N256" s="302" t="str">
        <f aca="false">IFERROR(IF(N$183*N$186*N$188&gt;0,AVERAGE(N$183,N$186,N$188),""),"")</f>
        <v/>
      </c>
      <c r="O256" s="282"/>
      <c r="P256" s="282"/>
      <c r="Q256" s="296"/>
      <c r="R256" s="293" t="s">
        <v>438</v>
      </c>
      <c r="S256" s="294" t="str">
        <f aca="false">IFERROR(IF(C$183*C$186*C$188&gt;0,STDEV(C$183,C$186,C$188),"")/IF(C$183*C$186*C$188&gt;0,AVERAGE(C$183,C$186,C$188),""),"")</f>
        <v/>
      </c>
      <c r="T256" s="294" t="str">
        <f aca="false">IFERROR(IF(D$183*D$186*D$188&gt;0,STDEV(D$183,D$186,D$188),"")/IF(D$183*D$186*D$188&gt;0,AVERAGE(D$183,D$186,D$188),""),"")</f>
        <v/>
      </c>
      <c r="U256" s="294" t="str">
        <f aca="false">IFERROR(IF(E$183*E$186*E$188&gt;0,STDEV(E$183,E$186,E$188),"")/IF(E$183*E$186*E$188&gt;0,AVERAGE(E$183,E$186,E$188),""),"")</f>
        <v/>
      </c>
      <c r="V256" s="294" t="str">
        <f aca="false">IFERROR(IF(F$183*F$186*F$188&gt;0,STDEV(F$183,F$186,F$188),"")/IF(F$183*F$186*F$188&gt;0,AVERAGE(F$183,F$186,F$188),""),"")</f>
        <v/>
      </c>
      <c r="W256" s="294" t="str">
        <f aca="false">IFERROR(IF(G$183*G$186*G$188&gt;0,STDEV(G$183,G$186,G$188),"")/IF(G$183*G$186*G$188&gt;0,AVERAGE(G$183,G$186,G$188),""),"")</f>
        <v/>
      </c>
      <c r="X256" s="294" t="str">
        <f aca="false">IFERROR(IF(H$183*H$186*H$188&gt;0,STDEV(H$183,H$186,H$188),"")/IF(H$183*H$186*H$188&gt;0,AVERAGE(H$183,H$186,H$188),""),"")</f>
        <v/>
      </c>
      <c r="Y256" s="294" t="str">
        <f aca="false">IFERROR(IF(I$183*I$186*I$188&gt;0,STDEV(I$183,I$186,I$188),"")/IF(I$183*I$186*I$188&gt;0,AVERAGE(I$183,I$186,I$188),""),"")</f>
        <v/>
      </c>
      <c r="Z256" s="294" t="str">
        <f aca="false">IFERROR(IF(J$183*J$186*J$188&gt;0,STDEV(J$183,J$186,J$188),"")/IF(J$183*J$186*J$188&gt;0,AVERAGE(J$183,J$186,J$188),""),"")</f>
        <v/>
      </c>
      <c r="AA256" s="294" t="str">
        <f aca="false">IFERROR(IF(K$183*K$186*K$188&gt;0,STDEV(K$183,K$186,K$188),"")/IF(K$183*K$186*K$188&gt;0,AVERAGE(K$183,K$186,K$188),""),"")</f>
        <v/>
      </c>
      <c r="AB256" s="294" t="str">
        <f aca="false">IFERROR(IF(L$183*L$186*L$188&gt;0,STDEV(L$183,L$186,L$188),"")/IF(L$183*L$186*L$188&gt;0,AVERAGE(L$183,L$186,L$188),""),"")</f>
        <v/>
      </c>
      <c r="AC256" s="294" t="str">
        <f aca="false">IFERROR(IF(M$183*M$186*M$188&gt;0,STDEV(M$183,M$186,M$188),"")/IF(M$183*M$186*M$188&gt;0,AVERAGE(M$183,M$186,M$188),""),"")</f>
        <v/>
      </c>
      <c r="AD256" s="294" t="str">
        <f aca="false">IFERROR(IF(N$183*N$186*N$188&gt;0,STDEV(N$183,N$186,N$188),"")/IF(N$183*N$186*N$188&gt;0,AVERAGE(N$183,N$186,N$188),""),"")</f>
        <v/>
      </c>
      <c r="AE256" s="44"/>
      <c r="AF256" s="266" t="s">
        <v>439</v>
      </c>
      <c r="AG256" s="303" t="str">
        <f aca="false">IFERROR(IF(C$183*C$186*C$188&gt;0,STDEV(C$183,C$186,C$188)," ")/IF(C$183*C$186*C$188&gt;0,SQRT(COUNT(C$183,C$186,C$188))," "),"")</f>
        <v/>
      </c>
      <c r="AH256" s="303" t="str">
        <f aca="false">IFERROR(IF(D$183*D$186*D$188&gt;0,STDEV(D$183,D$186,D$188)," ")/IF(D$183*D$186*D$188&gt;0,SQRT(COUNT(D$183,D$186,D$188))," "),"")</f>
        <v/>
      </c>
      <c r="AI256" s="303" t="str">
        <f aca="false">IFERROR(IF(E$183*E$186*E$188&gt;0,STDEV(E$183,E$186,E$188)," ")/IF(E$183*E$186*E$188&gt;0,SQRT(COUNT(E$183,E$186,E$188))," "),"")</f>
        <v/>
      </c>
      <c r="AJ256" s="303" t="str">
        <f aca="false">IFERROR(IF(F$183*F$186*F$188&gt;0,STDEV(F$183,F$186,F$188)," ")/IF(F$183*F$186*F$188&gt;0,SQRT(COUNT(F$183,F$186,F$188))," "),"")</f>
        <v/>
      </c>
      <c r="AK256" s="303" t="str">
        <f aca="false">IFERROR(IF(G$183*G$186*G$188&gt;0,STDEV(G$183,G$186,G$188)," ")/IF(G$183*G$186*G$188&gt;0,SQRT(COUNT(G$183,G$186,G$188))," "),"")</f>
        <v/>
      </c>
      <c r="AL256" s="303" t="str">
        <f aca="false">IFERROR(IF(H$183*H$186*H$188&gt;0,STDEV(H$183,H$186,H$188)," ")/IF(H$183*H$186*H$188&gt;0,SQRT(COUNT(H$183,H$186,H$188))," "),"")</f>
        <v/>
      </c>
      <c r="AM256" s="303" t="str">
        <f aca="false">IFERROR(IF(I$183*I$186*I$188&gt;0,STDEV(I$183,I$186,I$188)," ")/IF(I$183*I$186*I$188&gt;0,SQRT(COUNT(I$183,I$186,I$188))," "),"")</f>
        <v/>
      </c>
      <c r="AN256" s="303" t="str">
        <f aca="false">IFERROR(IF(J$183*J$186*J$188&gt;0,STDEV(J$183,J$186,J$188)," ")/IF(J$183*J$186*J$188&gt;0,SQRT(COUNT(J$183,J$186,J$188))," "),"")</f>
        <v/>
      </c>
      <c r="AO256" s="303" t="str">
        <f aca="false">IFERROR(IF(K$183*K$186*K$188&gt;0,STDEV(K$183,K$186,K$188)," ")/IF(K$183*K$186*K$188&gt;0,SQRT(COUNT(K$183,K$186,K$188))," "),"")</f>
        <v/>
      </c>
      <c r="AP256" s="303" t="str">
        <f aca="false">IFERROR(IF(L$183*L$186*L$188&gt;0,STDEV(L$183,L$186,L$188)," ")/IF(L$183*L$186*L$188&gt;0,SQRT(COUNT(L$183,L$186,L$188))," "),"")</f>
        <v/>
      </c>
      <c r="AQ256" s="303" t="str">
        <f aca="false">IFERROR(IF(M$183*M$186*M$188&gt;0,STDEV(M$183,M$186,M$188)," ")/IF(M$183*M$186*M$188&gt;0,SQRT(COUNT(M$183,M$186,M$188))," "),"")</f>
        <v/>
      </c>
      <c r="AR256" s="303" t="str">
        <f aca="false">IFERROR(IF(N$183*N$186*N$188&gt;0,STDEV(N$183,N$186,N$188)," ")/IF(N$183*N$186*N$188&gt;0,SQRT(COUNT(N$183,N$186,N$188))," "),"")</f>
        <v/>
      </c>
    </row>
    <row r="257" customFormat="false" ht="15.75" hidden="false" customHeight="false" outlineLevel="0" collapsed="false">
      <c r="A257" s="242" t="s">
        <v>440</v>
      </c>
      <c r="B257" s="243"/>
      <c r="C257" s="262" t="str">
        <f aca="false">IFERROR(IF(C$184*C$186*C$188&gt;0,AVERAGE(C$184,C$186,C$188),""),"")</f>
        <v/>
      </c>
      <c r="D257" s="262" t="str">
        <f aca="false">IFERROR(IF(D$184*D$186*D$188&gt;0,AVERAGE(D$184,D$186,D$188),""),"")</f>
        <v/>
      </c>
      <c r="E257" s="262" t="str">
        <f aca="false">IFERROR(IF(E$184*E$186*E$188&gt;0,AVERAGE(E$184,E$186,E$188),""),"")</f>
        <v/>
      </c>
      <c r="F257" s="262" t="str">
        <f aca="false">IFERROR(IF(F$184*F$186*F$188&gt;0,AVERAGE(F$184,F$186,F$188),""),"")</f>
        <v/>
      </c>
      <c r="G257" s="262" t="str">
        <f aca="false">IFERROR(IF(G$184*G$186*G$188&gt;0,AVERAGE(G$184,G$186,G$188),""),"")</f>
        <v/>
      </c>
      <c r="H257" s="262" t="str">
        <f aca="false">IFERROR(IF(H$184*H$186*H$188&gt;0,AVERAGE(H$184,H$186,H$188),""),"")</f>
        <v/>
      </c>
      <c r="I257" s="262" t="str">
        <f aca="false">IFERROR(IF(I$184*I$186*I$188&gt;0,AVERAGE(I$184,I$186,I$188),""),"")</f>
        <v/>
      </c>
      <c r="J257" s="262" t="str">
        <f aca="false">IFERROR(IF(J$184*J$186*J$188&gt;0,AVERAGE(J$184,J$186,J$188),""),"")</f>
        <v/>
      </c>
      <c r="K257" s="262" t="str">
        <f aca="false">IFERROR(IF(K$184*K$186*K$188&gt;0,AVERAGE(K$184,K$186,K$188),""),"")</f>
        <v/>
      </c>
      <c r="L257" s="262" t="str">
        <f aca="false">IFERROR(IF(L$184*L$186*L$188&gt;0,AVERAGE(L$184,L$186,L$188),""),"")</f>
        <v/>
      </c>
      <c r="M257" s="262" t="str">
        <f aca="false">IFERROR(IF(M$184*M$186*M$188&gt;0,AVERAGE(M$184,M$186,M$188),""),"")</f>
        <v/>
      </c>
      <c r="N257" s="262" t="str">
        <f aca="false">IFERROR(IF(N$184*N$186*N$188&gt;0,AVERAGE(N$184,N$186,N$188),""),"")</f>
        <v/>
      </c>
      <c r="O257" s="245"/>
      <c r="P257" s="245"/>
      <c r="Q257" s="246"/>
      <c r="R257" s="247" t="s">
        <v>441</v>
      </c>
      <c r="S257" s="248" t="str">
        <f aca="false">IFERROR(IF(C$184*C$186*C$188&gt;0,STDEV(C$184,C$186,C$188),"")/IF(C$184*C$186*C$188&gt;0,AVERAGE(C$184,C$186,C$188),""),"")</f>
        <v/>
      </c>
      <c r="T257" s="248" t="str">
        <f aca="false">IFERROR(IF(D$184*D$186*D$188&gt;0,STDEV(D$184,D$186,D$188),"")/IF(D$184*D$186*D$188&gt;0,AVERAGE(D$184,D$186,D$188),""),"")</f>
        <v/>
      </c>
      <c r="U257" s="248" t="str">
        <f aca="false">IFERROR(IF(E$184*E$186*E$188&gt;0,STDEV(E$184,E$186,E$188),"")/IF(E$184*E$186*E$188&gt;0,AVERAGE(E$184,E$186,E$188),""),"")</f>
        <v/>
      </c>
      <c r="V257" s="248" t="str">
        <f aca="false">IFERROR(IF(F$184*F$186*F$188&gt;0,STDEV(F$184,F$186,F$188),"")/IF(F$184*F$186*F$188&gt;0,AVERAGE(F$184,F$186,F$188),""),"")</f>
        <v/>
      </c>
      <c r="W257" s="248" t="str">
        <f aca="false">IFERROR(IF(G$184*G$186*G$188&gt;0,STDEV(G$184,G$186,G$188),"")/IF(G$184*G$186*G$188&gt;0,AVERAGE(G$184,G$186,G$188),""),"")</f>
        <v/>
      </c>
      <c r="X257" s="248" t="str">
        <f aca="false">IFERROR(IF(H$184*H$186*H$188&gt;0,STDEV(H$184,H$186,H$188),"")/IF(H$184*H$186*H$188&gt;0,AVERAGE(H$184,H$186,H$188),""),"")</f>
        <v/>
      </c>
      <c r="Y257" s="248" t="str">
        <f aca="false">IFERROR(IF(I$184*I$186*I$188&gt;0,STDEV(I$184,I$186,I$188),"")/IF(I$184*I$186*I$188&gt;0,AVERAGE(I$184,I$186,I$188),""),"")</f>
        <v/>
      </c>
      <c r="Z257" s="248" t="str">
        <f aca="false">IFERROR(IF(J$184*J$186*J$188&gt;0,STDEV(J$184,J$186,J$188),"")/IF(J$184*J$186*J$188&gt;0,AVERAGE(J$184,J$186,J$188),""),"")</f>
        <v/>
      </c>
      <c r="AA257" s="248" t="str">
        <f aca="false">IFERROR(IF(K$184*K$186*K$188&gt;0,STDEV(K$184,K$186,K$188),"")/IF(K$184*K$186*K$188&gt;0,AVERAGE(K$184,K$186,K$188),""),"")</f>
        <v/>
      </c>
      <c r="AB257" s="248" t="str">
        <f aca="false">IFERROR(IF(L$184*L$186*L$188&gt;0,STDEV(L$184,L$186,L$188),"")/IF(L$184*L$186*L$188&gt;0,AVERAGE(L$184,L$186,L$188),""),"")</f>
        <v/>
      </c>
      <c r="AC257" s="248" t="str">
        <f aca="false">IFERROR(IF(M$184*M$186*M$188&gt;0,STDEV(M$184,M$186,M$188),"")/IF(M$184*M$186*M$188&gt;0,AVERAGE(M$184,M$186,M$188),""),"")</f>
        <v/>
      </c>
      <c r="AD257" s="248" t="str">
        <f aca="false">IFERROR(IF(N$184*N$186*N$188&gt;0,STDEV(N$184,N$186,N$188),"")/IF(N$184*N$186*N$188&gt;0,AVERAGE(N$184,N$186,N$188),""),"")</f>
        <v/>
      </c>
      <c r="AE257" s="300"/>
      <c r="AF257" s="250" t="s">
        <v>442</v>
      </c>
      <c r="AG257" s="272" t="str">
        <f aca="false">IFERROR(IF(C$184*C$186*C$188&gt;0,STDEV(C$184,C$186,C$188)," ")/IF(C$184*C$186*C$188&gt;0,SQRT(COUNT(C$184,C$186,C$188))," "),"")</f>
        <v/>
      </c>
      <c r="AH257" s="272" t="str">
        <f aca="false">IFERROR(IF(D$184*D$186*D$188&gt;0,STDEV(D$184,D$186,D$188)," ")/IF(D$184*D$186*D$188&gt;0,SQRT(COUNT(D$184,D$186,D$188))," "),"")</f>
        <v/>
      </c>
      <c r="AI257" s="272" t="str">
        <f aca="false">IFERROR(IF(E$184*E$186*E$188&gt;0,STDEV(E$184,E$186,E$188)," ")/IF(E$184*E$186*E$188&gt;0,SQRT(COUNT(E$184,E$186,E$188))," "),"")</f>
        <v/>
      </c>
      <c r="AJ257" s="272" t="str">
        <f aca="false">IFERROR(IF(F$184*F$186*F$188&gt;0,STDEV(F$184,F$186,F$188)," ")/IF(F$184*F$186*F$188&gt;0,SQRT(COUNT(F$184,F$186,F$188))," "),"")</f>
        <v/>
      </c>
      <c r="AK257" s="272" t="str">
        <f aca="false">IFERROR(IF(G$184*G$186*G$188&gt;0,STDEV(G$184,G$186,G$188)," ")/IF(G$184*G$186*G$188&gt;0,SQRT(COUNT(G$184,G$186,G$188))," "),"")</f>
        <v/>
      </c>
      <c r="AL257" s="272" t="str">
        <f aca="false">IFERROR(IF(H$184*H$186*H$188&gt;0,STDEV(H$184,H$186,H$188)," ")/IF(H$184*H$186*H$188&gt;0,SQRT(COUNT(H$184,H$186,H$188))," "),"")</f>
        <v/>
      </c>
      <c r="AM257" s="272" t="str">
        <f aca="false">IFERROR(IF(I$184*I$186*I$188&gt;0,STDEV(I$184,I$186,I$188)," ")/IF(I$184*I$186*I$188&gt;0,SQRT(COUNT(I$184,I$186,I$188))," "),"")</f>
        <v/>
      </c>
      <c r="AN257" s="272" t="str">
        <f aca="false">IFERROR(IF(J$184*J$186*J$188&gt;0,STDEV(J$184,J$186,J$188)," ")/IF(J$184*J$186*J$188&gt;0,SQRT(COUNT(J$184,J$186,J$188))," "),"")</f>
        <v/>
      </c>
      <c r="AO257" s="272" t="str">
        <f aca="false">IFERROR(IF(K$184*K$186*K$188&gt;0,STDEV(K$184,K$186,K$188)," ")/IF(K$184*K$186*K$188&gt;0,SQRT(COUNT(K$184,K$186,K$188))," "),"")</f>
        <v/>
      </c>
      <c r="AP257" s="272" t="str">
        <f aca="false">IFERROR(IF(L$184*L$186*L$188&gt;0,STDEV(L$184,L$186,L$188)," ")/IF(L$184*L$186*L$188&gt;0,SQRT(COUNT(L$184,L$186,L$188))," "),"")</f>
        <v/>
      </c>
      <c r="AQ257" s="272" t="str">
        <f aca="false">IFERROR(IF(M$184*M$186*M$188&gt;0,STDEV(M$184,M$186,M$188)," ")/IF(M$184*M$186*M$188&gt;0,SQRT(COUNT(M$184,M$186,M$188))," "),"")</f>
        <v/>
      </c>
      <c r="AR257" s="272" t="str">
        <f aca="false">IFERROR(IF(N$184*N$186*N$188&gt;0,STDEV(N$184,N$186,N$188)," ")/IF(N$184*N$186*N$188&gt;0,SQRT(COUNT(N$184,N$186,N$188))," "),"")</f>
        <v/>
      </c>
    </row>
    <row r="258" customFormat="false" ht="15.75" hidden="false" customHeight="false" outlineLevel="0" collapsed="false">
      <c r="A258" s="290" t="s">
        <v>443</v>
      </c>
      <c r="B258" s="281"/>
      <c r="C258" s="302" t="str">
        <f aca="false">IFERROR(IF(C$182*C$183*C$184*C185&gt;0,AVERAGE(C$182:C$184, C185),""),"")</f>
        <v/>
      </c>
      <c r="D258" s="302" t="str">
        <f aca="false">IFERROR(IF(D$182*D$183*D$184*D185&gt;0,AVERAGE(D$182:D$184, D185),""),"")</f>
        <v/>
      </c>
      <c r="E258" s="302" t="str">
        <f aca="false">IFERROR(IF(E$182*E$183*E$184*E185&gt;0,AVERAGE(E$182:E$184, E185),""),"")</f>
        <v/>
      </c>
      <c r="F258" s="302" t="str">
        <f aca="false">IFERROR(IF(F$182*F$183*F$184*F185&gt;0,AVERAGE(F$182:F$184, F185),""),"")</f>
        <v/>
      </c>
      <c r="G258" s="302" t="str">
        <f aca="false">IFERROR(IF(G$182*G$183*G$184*G185&gt;0,AVERAGE(G$182:G$184, G185),""),"")</f>
        <v/>
      </c>
      <c r="H258" s="302" t="str">
        <f aca="false">IFERROR(IF(H$182*H$183*H$184*H185&gt;0,AVERAGE(H$182:H$184, H185),""),"")</f>
        <v/>
      </c>
      <c r="I258" s="302" t="str">
        <f aca="false">IFERROR(IF(I$182*I$183*I$184*I185&gt;0,AVERAGE(I$182:I$184, I185),""),"")</f>
        <v/>
      </c>
      <c r="J258" s="302" t="str">
        <f aca="false">IFERROR(IF(J$182*J$183*J$184*J185&gt;0,AVERAGE(J$182:J$184, J185),""),"")</f>
        <v/>
      </c>
      <c r="K258" s="302" t="str">
        <f aca="false">IFERROR(IF(K$182*K$183*K$184*K185&gt;0,AVERAGE(K$182:K$184, K185),""),"")</f>
        <v/>
      </c>
      <c r="L258" s="302" t="str">
        <f aca="false">IFERROR(IF(L$182*L$183*L$184*L185&gt;0,AVERAGE(L$182:L$184, L185),""),"")</f>
        <v/>
      </c>
      <c r="M258" s="302" t="str">
        <f aca="false">IFERROR(IF(M$182*M$183*M$184*M185&gt;0,AVERAGE(M$182:M$184, M185),""),"")</f>
        <v/>
      </c>
      <c r="N258" s="302" t="str">
        <f aca="false">IFERROR(IF(N$182*N$183*N$184*N185&gt;0,AVERAGE(N$182:N$184, N185),""),"")</f>
        <v/>
      </c>
      <c r="O258" s="147" t="n">
        <v>4</v>
      </c>
      <c r="P258" s="282" t="n">
        <f aca="false">COMBIN(7,4)</f>
        <v>35</v>
      </c>
      <c r="Q258" s="283" t="n">
        <f aca="false">ROW(N292)-ROW(N258)+1</f>
        <v>35</v>
      </c>
      <c r="R258" s="293" t="s">
        <v>444</v>
      </c>
      <c r="S258" s="294" t="str">
        <f aca="false">IFERROR(IF(C$182*C$183*C$184*C185&gt;0,STDEV(C$182:C$184, C185),"")/IF(C$182*C$183*C$184*C185&gt;0,AVERAGE(C$182:C$184, C185),""),"")</f>
        <v/>
      </c>
      <c r="T258" s="294" t="str">
        <f aca="false">IFERROR(IF(D$182*D$183*D$184*D185&gt;0,STDEV(D$182:D$184, D185),"")/IF(D$182*D$183*D$184*D185&gt;0,AVERAGE(D$182:D$184, D185),""),"")</f>
        <v/>
      </c>
      <c r="U258" s="294" t="str">
        <f aca="false">IFERROR(IF(E$182*E$183*E$184*E185&gt;0,STDEV(E$182:E$184, E185),"")/IF(E$182*E$183*E$184*E185&gt;0,AVERAGE(E$182:E$184, E185),""),"")</f>
        <v/>
      </c>
      <c r="V258" s="294" t="str">
        <f aca="false">IFERROR(IF(F$182*F$183*F$184*F185&gt;0,STDEV(F$182:F$184, F185),"")/IF(F$182*F$183*F$184*F185&gt;0,AVERAGE(F$182:F$184, F185),""),"")</f>
        <v/>
      </c>
      <c r="W258" s="294" t="str">
        <f aca="false">IFERROR(IF(G$182*G$183*G$184*G185&gt;0,STDEV(G$182:G$184, G185),"")/IF(G$182*G$183*G$184*G185&gt;0,AVERAGE(G$182:G$184, G185),""),"")</f>
        <v/>
      </c>
      <c r="X258" s="294" t="str">
        <f aca="false">IFERROR(IF(H$182*H$183*H$184*H185&gt;0,STDEV(H$182:H$184, H185),"")/IF(H$182*H$183*H$184*H185&gt;0,AVERAGE(H$182:H$184, H185),""),"")</f>
        <v/>
      </c>
      <c r="Y258" s="294" t="str">
        <f aca="false">IFERROR(IF(I$182*I$183*I$184*I185&gt;0,STDEV(I$182:I$184, I185),"")/IF(I$182*I$183*I$184*I185&gt;0,AVERAGE(I$182:I$184, I185),""),"")</f>
        <v/>
      </c>
      <c r="Z258" s="294" t="str">
        <f aca="false">IFERROR(IF(J$182*J$183*J$184*J185&gt;0,STDEV(J$182:J$184, J185),"")/IF(J$182*J$183*J$184*J185&gt;0,AVERAGE(J$182:J$184, J185),""),"")</f>
        <v/>
      </c>
      <c r="AA258" s="294" t="str">
        <f aca="false">IFERROR(IF(K$182*K$183*K$184*K185&gt;0,STDEV(K$182:K$184, K185),"")/IF(K$182*K$183*K$184*K185&gt;0,AVERAGE(K$182:K$184, K185),""),"")</f>
        <v/>
      </c>
      <c r="AB258" s="294" t="str">
        <f aca="false">IFERROR(IF(L$182*L$183*L$184*L185&gt;0,STDEV(L$182:L$184, L185),"")/IF(L$182*L$183*L$184*L185&gt;0,AVERAGE(L$182:L$184, L185),""),"")</f>
        <v/>
      </c>
      <c r="AC258" s="294" t="str">
        <f aca="false">IFERROR(IF(M$182*M$183*M$184*M185&gt;0,STDEV(M$182:M$184, M185),"")/IF(M$182*M$183*M$184*M185&gt;0,AVERAGE(M$182:M$184, M185),""),"")</f>
        <v/>
      </c>
      <c r="AD258" s="294" t="str">
        <f aca="false">IFERROR(IF(N$182*N$183*N$184*N185&gt;0,STDEV(N$182:N$184, N185),"")/IF(N$182*N$183*N$184*N185&gt;0,AVERAGE(N$182:N$184, N185),""),"")</f>
        <v/>
      </c>
      <c r="AE258" s="44"/>
      <c r="AF258" s="266" t="s">
        <v>445</v>
      </c>
      <c r="AG258" s="303" t="str">
        <f aca="false">IFERROR(IF(C$182*C$183*C$184*C185&gt;0,STDEV(C$182:C$184, C185)," ")/IF(C$182*C$183*C$184*C185&gt;0,SQRT(COUNT(C$182:C$184, C185))," "),"")</f>
        <v/>
      </c>
      <c r="AH258" s="303" t="str">
        <f aca="false">IFERROR(IF(D$182*D$183*D$184*D185&gt;0,STDEV(D$182:D$184, D185)," ")/IF(D$182*D$183*D$184*D185&gt;0,SQRT(COUNT(D$182:D$184, D185))," "),"")</f>
        <v/>
      </c>
      <c r="AI258" s="303" t="str">
        <f aca="false">IFERROR(IF(E$182*E$183*E$184*E185&gt;0,STDEV(E$182:E$184, E185)," ")/IF(E$182*E$183*E$184*E185&gt;0,SQRT(COUNT(E$182:E$184, E185))," "),"")</f>
        <v/>
      </c>
      <c r="AJ258" s="303" t="str">
        <f aca="false">IFERROR(IF(F$182*F$183*F$184*F185&gt;0,STDEV(F$182:F$184, F185)," ")/IF(F$182*F$183*F$184*F185&gt;0,SQRT(COUNT(F$182:F$184, F185))," "),"")</f>
        <v/>
      </c>
      <c r="AK258" s="303" t="str">
        <f aca="false">IFERROR(IF(G$182*G$183*G$184*G185&gt;0,STDEV(G$182:G$184, G185)," ")/IF(G$182*G$183*G$184*G185&gt;0,SQRT(COUNT(G$182:G$184, G185))," "),"")</f>
        <v/>
      </c>
      <c r="AL258" s="303" t="str">
        <f aca="false">IFERROR(IF(H$182*H$183*H$184*H185&gt;0,STDEV(H$182:H$184, H185)," ")/IF(H$182*H$183*H$184*H185&gt;0,SQRT(COUNT(H$182:H$184, H185))," "),"")</f>
        <v/>
      </c>
      <c r="AM258" s="303" t="str">
        <f aca="false">IFERROR(IF(I$182*I$183*I$184*I185&gt;0,STDEV(I$182:I$184, I185)," ")/IF(I$182*I$183*I$184*I185&gt;0,SQRT(COUNT(I$182:I$184, I185))," "),"")</f>
        <v/>
      </c>
      <c r="AN258" s="303" t="str">
        <f aca="false">IFERROR(IF(J$182*J$183*J$184*J185&gt;0,STDEV(J$182:J$184, J185)," ")/IF(J$182*J$183*J$184*J185&gt;0,SQRT(COUNT(J$182:J$184, J185))," "),"")</f>
        <v/>
      </c>
      <c r="AO258" s="303" t="str">
        <f aca="false">IFERROR(IF(K$182*K$183*K$184*K185&gt;0,STDEV(K$182:K$184, K185)," ")/IF(K$182*K$183*K$184*K185&gt;0,SQRT(COUNT(K$182:K$184, K185))," "),"")</f>
        <v/>
      </c>
      <c r="AP258" s="303" t="str">
        <f aca="false">IFERROR(IF(L$182*L$183*L$184*L185&gt;0,STDEV(L$182:L$184, L185)," ")/IF(L$182*L$183*L$184*L185&gt;0,SQRT(COUNT(L$182:L$184, L185))," "),"")</f>
        <v/>
      </c>
      <c r="AQ258" s="303" t="str">
        <f aca="false">IFERROR(IF(M$182*M$183*M$184*M185&gt;0,STDEV(M$182:M$184, M185)," ")/IF(M$182*M$183*M$184*M185&gt;0,SQRT(COUNT(M$182:M$184, M185))," "),"")</f>
        <v/>
      </c>
      <c r="AR258" s="303" t="str">
        <f aca="false">IFERROR(IF(N$182*N$183*N$184*N185&gt;0,STDEV(N$182:N$184, N185)," ")/IF(N$182*N$183*N$184*N185&gt;0,SQRT(COUNT(N$182:N$184, N185))," "),"")</f>
        <v/>
      </c>
    </row>
    <row r="259" customFormat="false" ht="15.75" hidden="false" customHeight="false" outlineLevel="0" collapsed="false">
      <c r="A259" s="290" t="s">
        <v>446</v>
      </c>
      <c r="B259" s="281"/>
      <c r="C259" s="302" t="str">
        <f aca="false">IFERROR(IF(C$182*C$183*C$184*C186&gt;0,AVERAGE(C$182:C$184, C186),""),"")</f>
        <v/>
      </c>
      <c r="D259" s="302" t="str">
        <f aca="false">IFERROR(IF(D$182*D$183*D$184*D186&gt;0,AVERAGE(D$182:D$184, D186),""),"")</f>
        <v/>
      </c>
      <c r="E259" s="302" t="str">
        <f aca="false">IFERROR(IF(E$182*E$183*E$184*E186&gt;0,AVERAGE(E$182:E$184, E186),""),"")</f>
        <v/>
      </c>
      <c r="F259" s="302" t="str">
        <f aca="false">IFERROR(IF(F$182*F$183*F$184*F186&gt;0,AVERAGE(F$182:F$184, F186),""),"")</f>
        <v/>
      </c>
      <c r="G259" s="302" t="str">
        <f aca="false">IFERROR(IF(G$182*G$183*G$184*G186&gt;0,AVERAGE(G$182:G$184, G186),""),"")</f>
        <v/>
      </c>
      <c r="H259" s="302" t="str">
        <f aca="false">IFERROR(IF(H$182*H$183*H$184*H186&gt;0,AVERAGE(H$182:H$184, H186),""),"")</f>
        <v/>
      </c>
      <c r="I259" s="302" t="str">
        <f aca="false">IFERROR(IF(I$182*I$183*I$184*I186&gt;0,AVERAGE(I$182:I$184, I186),""),"")</f>
        <v/>
      </c>
      <c r="J259" s="302" t="str">
        <f aca="false">IFERROR(IF(J$182*J$183*J$184*J186&gt;0,AVERAGE(J$182:J$184, J186),""),"")</f>
        <v/>
      </c>
      <c r="K259" s="302" t="str">
        <f aca="false">IFERROR(IF(K$182*K$183*K$184*K186&gt;0,AVERAGE(K$182:K$184, K186),""),"")</f>
        <v/>
      </c>
      <c r="L259" s="302" t="str">
        <f aca="false">IFERROR(IF(L$182*L$183*L$184*L186&gt;0,AVERAGE(L$182:L$184, L186),""),"")</f>
        <v/>
      </c>
      <c r="M259" s="302" t="str">
        <f aca="false">IFERROR(IF(M$182*M$183*M$184*M186&gt;0,AVERAGE(M$182:M$184, M186),""),"")</f>
        <v/>
      </c>
      <c r="N259" s="302" t="str">
        <f aca="false">IFERROR(IF(N$182*N$183*N$184*N186&gt;0,AVERAGE(N$182:N$184, N186),""),"")</f>
        <v/>
      </c>
      <c r="O259" s="282"/>
      <c r="P259" s="282"/>
      <c r="Q259" s="296"/>
      <c r="R259" s="293" t="s">
        <v>447</v>
      </c>
      <c r="S259" s="294" t="str">
        <f aca="false">IFERROR(IF(C$182*C$183*C$184*C186&gt;0,STDEV(C$182:C$184, C186),"")/IF(C$182*C$183*C$184*C186&gt;0,AVERAGE(C$182:C$184, C186),""),"")</f>
        <v/>
      </c>
      <c r="T259" s="294" t="str">
        <f aca="false">IFERROR(IF(D$182*D$183*D$184*D186&gt;0,STDEV(D$182:D$184, D186),"")/IF(D$182*D$183*D$184*D186&gt;0,AVERAGE(D$182:D$184, D186),""),"")</f>
        <v/>
      </c>
      <c r="U259" s="294" t="str">
        <f aca="false">IFERROR(IF(E$182*E$183*E$184*E186&gt;0,STDEV(E$182:E$184, E186),"")/IF(E$182*E$183*E$184*E186&gt;0,AVERAGE(E$182:E$184, E186),""),"")</f>
        <v/>
      </c>
      <c r="V259" s="294" t="str">
        <f aca="false">IFERROR(IF(F$182*F$183*F$184*F186&gt;0,STDEV(F$182:F$184, F186),"")/IF(F$182*F$183*F$184*F186&gt;0,AVERAGE(F$182:F$184, F186),""),"")</f>
        <v/>
      </c>
      <c r="W259" s="294" t="str">
        <f aca="false">IFERROR(IF(G$182*G$183*G$184*G186&gt;0,STDEV(G$182:G$184, G186),"")/IF(G$182*G$183*G$184*G186&gt;0,AVERAGE(G$182:G$184, G186),""),"")</f>
        <v/>
      </c>
      <c r="X259" s="294" t="str">
        <f aca="false">IFERROR(IF(H$182*H$183*H$184*H186&gt;0,STDEV(H$182:H$184, H186),"")/IF(H$182*H$183*H$184*H186&gt;0,AVERAGE(H$182:H$184, H186),""),"")</f>
        <v/>
      </c>
      <c r="Y259" s="294" t="str">
        <f aca="false">IFERROR(IF(I$182*I$183*I$184*I186&gt;0,STDEV(I$182:I$184, I186),"")/IF(I$182*I$183*I$184*I186&gt;0,AVERAGE(I$182:I$184, I186),""),"")</f>
        <v/>
      </c>
      <c r="Z259" s="294" t="str">
        <f aca="false">IFERROR(IF(J$182*J$183*J$184*J186&gt;0,STDEV(J$182:J$184, J186),"")/IF(J$182*J$183*J$184*J186&gt;0,AVERAGE(J$182:J$184, J186),""),"")</f>
        <v/>
      </c>
      <c r="AA259" s="294" t="str">
        <f aca="false">IFERROR(IF(K$182*K$183*K$184*K186&gt;0,STDEV(K$182:K$184, K186),"")/IF(K$182*K$183*K$184*K186&gt;0,AVERAGE(K$182:K$184, K186),""),"")</f>
        <v/>
      </c>
      <c r="AB259" s="294" t="str">
        <f aca="false">IFERROR(IF(L$182*L$183*L$184*L186&gt;0,STDEV(L$182:L$184, L186),"")/IF(L$182*L$183*L$184*L186&gt;0,AVERAGE(L$182:L$184, L186),""),"")</f>
        <v/>
      </c>
      <c r="AC259" s="294" t="str">
        <f aca="false">IFERROR(IF(M$182*M$183*M$184*M186&gt;0,STDEV(M$182:M$184, M186),"")/IF(M$182*M$183*M$184*M186&gt;0,AVERAGE(M$182:M$184, M186),""),"")</f>
        <v/>
      </c>
      <c r="AD259" s="294" t="str">
        <f aca="false">IFERROR(IF(N$182*N$183*N$184*N186&gt;0,STDEV(N$182:N$184, N186),"")/IF(N$182*N$183*N$184*N186&gt;0,AVERAGE(N$182:N$184, N186),""),"")</f>
        <v/>
      </c>
      <c r="AE259" s="44"/>
      <c r="AF259" s="266" t="s">
        <v>448</v>
      </c>
      <c r="AG259" s="303" t="str">
        <f aca="false">IFERROR(IF(C$182*C$183*C$184*C186&gt;0,STDEV(C$182:C$184, C186)," ")/IF(C$182*C$183*C$184*C186&gt;0,SQRT(COUNT(C$182:C$184, C186))," "),"")</f>
        <v/>
      </c>
      <c r="AH259" s="303" t="str">
        <f aca="false">IFERROR(IF(D$182*D$183*D$184*D186&gt;0,STDEV(D$182:D$184, D186)," ")/IF(D$182*D$183*D$184*D186&gt;0,SQRT(COUNT(D$182:D$184, D186))," "),"")</f>
        <v/>
      </c>
      <c r="AI259" s="303" t="str">
        <f aca="false">IFERROR(IF(E$182*E$183*E$184*E186&gt;0,STDEV(E$182:E$184, E186)," ")/IF(E$182*E$183*E$184*E186&gt;0,SQRT(COUNT(E$182:E$184, E186))," "),"")</f>
        <v/>
      </c>
      <c r="AJ259" s="303" t="str">
        <f aca="false">IFERROR(IF(F$182*F$183*F$184*F186&gt;0,STDEV(F$182:F$184, F186)," ")/IF(F$182*F$183*F$184*F186&gt;0,SQRT(COUNT(F$182:F$184, F186))," "),"")</f>
        <v/>
      </c>
      <c r="AK259" s="303" t="str">
        <f aca="false">IFERROR(IF(G$182*G$183*G$184*G186&gt;0,STDEV(G$182:G$184, G186)," ")/IF(G$182*G$183*G$184*G186&gt;0,SQRT(COUNT(G$182:G$184, G186))," "),"")</f>
        <v/>
      </c>
      <c r="AL259" s="303" t="str">
        <f aca="false">IFERROR(IF(H$182*H$183*H$184*H186&gt;0,STDEV(H$182:H$184, H186)," ")/IF(H$182*H$183*H$184*H186&gt;0,SQRT(COUNT(H$182:H$184, H186))," "),"")</f>
        <v/>
      </c>
      <c r="AM259" s="303" t="str">
        <f aca="false">IFERROR(IF(I$182*I$183*I$184*I186&gt;0,STDEV(I$182:I$184, I186)," ")/IF(I$182*I$183*I$184*I186&gt;0,SQRT(COUNT(I$182:I$184, I186))," "),"")</f>
        <v/>
      </c>
      <c r="AN259" s="303" t="str">
        <f aca="false">IFERROR(IF(J$182*J$183*J$184*J186&gt;0,STDEV(J$182:J$184, J186)," ")/IF(J$182*J$183*J$184*J186&gt;0,SQRT(COUNT(J$182:J$184, J186))," "),"")</f>
        <v/>
      </c>
      <c r="AO259" s="303" t="str">
        <f aca="false">IFERROR(IF(K$182*K$183*K$184*K186&gt;0,STDEV(K$182:K$184, K186)," ")/IF(K$182*K$183*K$184*K186&gt;0,SQRT(COUNT(K$182:K$184, K186))," "),"")</f>
        <v/>
      </c>
      <c r="AP259" s="303" t="str">
        <f aca="false">IFERROR(IF(L$182*L$183*L$184*L186&gt;0,STDEV(L$182:L$184, L186)," ")/IF(L$182*L$183*L$184*L186&gt;0,SQRT(COUNT(L$182:L$184, L186))," "),"")</f>
        <v/>
      </c>
      <c r="AQ259" s="303" t="str">
        <f aca="false">IFERROR(IF(M$182*M$183*M$184*M186&gt;0,STDEV(M$182:M$184, M186)," ")/IF(M$182*M$183*M$184*M186&gt;0,SQRT(COUNT(M$182:M$184, M186))," "),"")</f>
        <v/>
      </c>
      <c r="AR259" s="303" t="str">
        <f aca="false">IFERROR(IF(N$182*N$183*N$184*N186&gt;0,STDEV(N$182:N$184, N186)," ")/IF(N$182*N$183*N$184*N186&gt;0,SQRT(COUNT(N$182:N$184, N186))," "),"")</f>
        <v/>
      </c>
    </row>
    <row r="260" customFormat="false" ht="15.75" hidden="false" customHeight="false" outlineLevel="0" collapsed="false">
      <c r="A260" s="290" t="s">
        <v>449</v>
      </c>
      <c r="B260" s="281"/>
      <c r="C260" s="302" t="str">
        <f aca="false">IFERROR(IF(C$182*C$183*C$184*C187&gt;0,AVERAGE(C$182:C$184, C187),""),"")</f>
        <v/>
      </c>
      <c r="D260" s="302" t="str">
        <f aca="false">IFERROR(IF(D$182*D$183*D$184*D187&gt;0,AVERAGE(D$182:D$184, D187),""),"")</f>
        <v/>
      </c>
      <c r="E260" s="302" t="str">
        <f aca="false">IFERROR(IF(E$182*E$183*E$184*E187&gt;0,AVERAGE(E$182:E$184, E187),""),"")</f>
        <v/>
      </c>
      <c r="F260" s="302" t="str">
        <f aca="false">IFERROR(IF(F$182*F$183*F$184*F187&gt;0,AVERAGE(F$182:F$184, F187),""),"")</f>
        <v/>
      </c>
      <c r="G260" s="302" t="str">
        <f aca="false">IFERROR(IF(G$182*G$183*G$184*G187&gt;0,AVERAGE(G$182:G$184, G187),""),"")</f>
        <v/>
      </c>
      <c r="H260" s="302" t="str">
        <f aca="false">IFERROR(IF(H$182*H$183*H$184*H187&gt;0,AVERAGE(H$182:H$184, H187),""),"")</f>
        <v/>
      </c>
      <c r="I260" s="302" t="str">
        <f aca="false">IFERROR(IF(I$182*I$183*I$184*I187&gt;0,AVERAGE(I$182:I$184, I187),""),"")</f>
        <v/>
      </c>
      <c r="J260" s="302" t="str">
        <f aca="false">IFERROR(IF(J$182*J$183*J$184*J187&gt;0,AVERAGE(J$182:J$184, J187),""),"")</f>
        <v/>
      </c>
      <c r="K260" s="302" t="str">
        <f aca="false">IFERROR(IF(K$182*K$183*K$184*K187&gt;0,AVERAGE(K$182:K$184, K187),""),"")</f>
        <v/>
      </c>
      <c r="L260" s="302" t="str">
        <f aca="false">IFERROR(IF(L$182*L$183*L$184*L187&gt;0,AVERAGE(L$182:L$184, L187),""),"")</f>
        <v/>
      </c>
      <c r="M260" s="302" t="str">
        <f aca="false">IFERROR(IF(M$182*M$183*M$184*M187&gt;0,AVERAGE(M$182:M$184, M187),""),"")</f>
        <v/>
      </c>
      <c r="N260" s="302" t="str">
        <f aca="false">IFERROR(IF(N$182*N$183*N$184*N187&gt;0,AVERAGE(N$182:N$184, N187),""),"")</f>
        <v/>
      </c>
      <c r="O260" s="282"/>
      <c r="P260" s="282"/>
      <c r="Q260" s="296"/>
      <c r="R260" s="293" t="s">
        <v>450</v>
      </c>
      <c r="S260" s="294" t="str">
        <f aca="false">IFERROR(IF(C$182*C$183*C$184*C187&gt;0,STDEV(C$182:C$184, C187),"")/IF(C$182*C$183*C$184*C187&gt;0,AVERAGE(C$182:C$184, C187),""),"")</f>
        <v/>
      </c>
      <c r="T260" s="294" t="str">
        <f aca="false">IFERROR(IF(D$182*D$183*D$184*D187&gt;0,STDEV(D$182:D$184, D187),"")/IF(D$182*D$183*D$184*D187&gt;0,AVERAGE(D$182:D$184, D187),""),"")</f>
        <v/>
      </c>
      <c r="U260" s="294" t="str">
        <f aca="false">IFERROR(IF(E$182*E$183*E$184*E187&gt;0,STDEV(E$182:E$184, E187),"")/IF(E$182*E$183*E$184*E187&gt;0,AVERAGE(E$182:E$184, E187),""),"")</f>
        <v/>
      </c>
      <c r="V260" s="294" t="str">
        <f aca="false">IFERROR(IF(F$182*F$183*F$184*F187&gt;0,STDEV(F$182:F$184, F187),"")/IF(F$182*F$183*F$184*F187&gt;0,AVERAGE(F$182:F$184, F187),""),"")</f>
        <v/>
      </c>
      <c r="W260" s="294" t="str">
        <f aca="false">IFERROR(IF(G$182*G$183*G$184*G187&gt;0,STDEV(G$182:G$184, G187),"")/IF(G$182*G$183*G$184*G187&gt;0,AVERAGE(G$182:G$184, G187),""),"")</f>
        <v/>
      </c>
      <c r="X260" s="294" t="str">
        <f aca="false">IFERROR(IF(H$182*H$183*H$184*H187&gt;0,STDEV(H$182:H$184, H187),"")/IF(H$182*H$183*H$184*H187&gt;0,AVERAGE(H$182:H$184, H187),""),"")</f>
        <v/>
      </c>
      <c r="Y260" s="294" t="str">
        <f aca="false">IFERROR(IF(I$182*I$183*I$184*I187&gt;0,STDEV(I$182:I$184, I187),"")/IF(I$182*I$183*I$184*I187&gt;0,AVERAGE(I$182:I$184, I187),""),"")</f>
        <v/>
      </c>
      <c r="Z260" s="294" t="str">
        <f aca="false">IFERROR(IF(J$182*J$183*J$184*J187&gt;0,STDEV(J$182:J$184, J187),"")/IF(J$182*J$183*J$184*J187&gt;0,AVERAGE(J$182:J$184, J187),""),"")</f>
        <v/>
      </c>
      <c r="AA260" s="294" t="str">
        <f aca="false">IFERROR(IF(K$182*K$183*K$184*K187&gt;0,STDEV(K$182:K$184, K187),"")/IF(K$182*K$183*K$184*K187&gt;0,AVERAGE(K$182:K$184, K187),""),"")</f>
        <v/>
      </c>
      <c r="AB260" s="294" t="str">
        <f aca="false">IFERROR(IF(L$182*L$183*L$184*L187&gt;0,STDEV(L$182:L$184, L187),"")/IF(L$182*L$183*L$184*L187&gt;0,AVERAGE(L$182:L$184, L187),""),"")</f>
        <v/>
      </c>
      <c r="AC260" s="294" t="str">
        <f aca="false">IFERROR(IF(M$182*M$183*M$184*M187&gt;0,STDEV(M$182:M$184, M187),"")/IF(M$182*M$183*M$184*M187&gt;0,AVERAGE(M$182:M$184, M187),""),"")</f>
        <v/>
      </c>
      <c r="AD260" s="294" t="str">
        <f aca="false">IFERROR(IF(N$182*N$183*N$184*N187&gt;0,STDEV(N$182:N$184, N187),"")/IF(N$182*N$183*N$184*N187&gt;0,AVERAGE(N$182:N$184, N187),""),"")</f>
        <v/>
      </c>
      <c r="AE260" s="44"/>
      <c r="AF260" s="266" t="s">
        <v>451</v>
      </c>
      <c r="AG260" s="303" t="str">
        <f aca="false">IFERROR(IF(C$182*C$183*C$184*C187&gt;0,STDEV(C$182:C$184, C187)," ")/IF(C$182*C$183*C$184*C187&gt;0,SQRT(COUNT(C$182:C$184, C187))," "),"")</f>
        <v/>
      </c>
      <c r="AH260" s="303" t="str">
        <f aca="false">IFERROR(IF(D$182*D$183*D$184*D187&gt;0,STDEV(D$182:D$184, D187)," ")/IF(D$182*D$183*D$184*D187&gt;0,SQRT(COUNT(D$182:D$184, D187))," "),"")</f>
        <v/>
      </c>
      <c r="AI260" s="303" t="str">
        <f aca="false">IFERROR(IF(E$182*E$183*E$184*E187&gt;0,STDEV(E$182:E$184, E187)," ")/IF(E$182*E$183*E$184*E187&gt;0,SQRT(COUNT(E$182:E$184, E187))," "),"")</f>
        <v/>
      </c>
      <c r="AJ260" s="303" t="str">
        <f aca="false">IFERROR(IF(F$182*F$183*F$184*F187&gt;0,STDEV(F$182:F$184, F187)," ")/IF(F$182*F$183*F$184*F187&gt;0,SQRT(COUNT(F$182:F$184, F187))," "),"")</f>
        <v/>
      </c>
      <c r="AK260" s="303" t="str">
        <f aca="false">IFERROR(IF(G$182*G$183*G$184*G187&gt;0,STDEV(G$182:G$184, G187)," ")/IF(G$182*G$183*G$184*G187&gt;0,SQRT(COUNT(G$182:G$184, G187))," "),"")</f>
        <v/>
      </c>
      <c r="AL260" s="303" t="str">
        <f aca="false">IFERROR(IF(H$182*H$183*H$184*H187&gt;0,STDEV(H$182:H$184, H187)," ")/IF(H$182*H$183*H$184*H187&gt;0,SQRT(COUNT(H$182:H$184, H187))," "),"")</f>
        <v/>
      </c>
      <c r="AM260" s="303" t="str">
        <f aca="false">IFERROR(IF(I$182*I$183*I$184*I187&gt;0,STDEV(I$182:I$184, I187)," ")/IF(I$182*I$183*I$184*I187&gt;0,SQRT(COUNT(I$182:I$184, I187))," "),"")</f>
        <v/>
      </c>
      <c r="AN260" s="303" t="str">
        <f aca="false">IFERROR(IF(J$182*J$183*J$184*J187&gt;0,STDEV(J$182:J$184, J187)," ")/IF(J$182*J$183*J$184*J187&gt;0,SQRT(COUNT(J$182:J$184, J187))," "),"")</f>
        <v/>
      </c>
      <c r="AO260" s="303" t="str">
        <f aca="false">IFERROR(IF(K$182*K$183*K$184*K187&gt;0,STDEV(K$182:K$184, K187)," ")/IF(K$182*K$183*K$184*K187&gt;0,SQRT(COUNT(K$182:K$184, K187))," "),"")</f>
        <v/>
      </c>
      <c r="AP260" s="303" t="str">
        <f aca="false">IFERROR(IF(L$182*L$183*L$184*L187&gt;0,STDEV(L$182:L$184, L187)," ")/IF(L$182*L$183*L$184*L187&gt;0,SQRT(COUNT(L$182:L$184, L187))," "),"")</f>
        <v/>
      </c>
      <c r="AQ260" s="303" t="str">
        <f aca="false">IFERROR(IF(M$182*M$183*M$184*M187&gt;0,STDEV(M$182:M$184, M187)," ")/IF(M$182*M$183*M$184*M187&gt;0,SQRT(COUNT(M$182:M$184, M187))," "),"")</f>
        <v/>
      </c>
      <c r="AR260" s="303" t="str">
        <f aca="false">IFERROR(IF(N$182*N$183*N$184*N187&gt;0,STDEV(N$182:N$184, N187)," ")/IF(N$182*N$183*N$184*N187&gt;0,SQRT(COUNT(N$182:N$184, N187))," "),"")</f>
        <v/>
      </c>
    </row>
    <row r="261" customFormat="false" ht="15.75" hidden="false" customHeight="false" outlineLevel="0" collapsed="false">
      <c r="A261" s="290" t="s">
        <v>452</v>
      </c>
      <c r="B261" s="281"/>
      <c r="C261" s="302" t="str">
        <f aca="false">IFERROR(IF(C$182*C$183*C$184*C188&gt;0,AVERAGE(C$182:C$184, C188),""),"")</f>
        <v/>
      </c>
      <c r="D261" s="302" t="str">
        <f aca="false">IFERROR(IF(D$182*D$183*D$184*D188&gt;0,AVERAGE(D$182:D$184, D188),""),"")</f>
        <v/>
      </c>
      <c r="E261" s="302" t="str">
        <f aca="false">IFERROR(IF(E$182*E$183*E$184*E188&gt;0,AVERAGE(E$182:E$184, E188),""),"")</f>
        <v/>
      </c>
      <c r="F261" s="302" t="str">
        <f aca="false">IFERROR(IF(F$182*F$183*F$184*F188&gt;0,AVERAGE(F$182:F$184, F188),""),"")</f>
        <v/>
      </c>
      <c r="G261" s="302" t="str">
        <f aca="false">IFERROR(IF(G$182*G$183*G$184*G188&gt;0,AVERAGE(G$182:G$184, G188),""),"")</f>
        <v/>
      </c>
      <c r="H261" s="302" t="str">
        <f aca="false">IFERROR(IF(H$182*H$183*H$184*H188&gt;0,AVERAGE(H$182:H$184, H188),""),"")</f>
        <v/>
      </c>
      <c r="I261" s="302" t="str">
        <f aca="false">IFERROR(IF(I$182*I$183*I$184*I188&gt;0,AVERAGE(I$182:I$184, I188),""),"")</f>
        <v/>
      </c>
      <c r="J261" s="302" t="str">
        <f aca="false">IFERROR(IF(J$182*J$183*J$184*J188&gt;0,AVERAGE(J$182:J$184, J188),""),"")</f>
        <v/>
      </c>
      <c r="K261" s="302" t="str">
        <f aca="false">IFERROR(IF(K$182*K$183*K$184*K188&gt;0,AVERAGE(K$182:K$184, K188),""),"")</f>
        <v/>
      </c>
      <c r="L261" s="302" t="str">
        <f aca="false">IFERROR(IF(L$182*L$183*L$184*L188&gt;0,AVERAGE(L$182:L$184, L188),""),"")</f>
        <v/>
      </c>
      <c r="M261" s="302" t="str">
        <f aca="false">IFERROR(IF(M$182*M$183*M$184*M188&gt;0,AVERAGE(M$182:M$184, M188),""),"")</f>
        <v/>
      </c>
      <c r="N261" s="302" t="str">
        <f aca="false">IFERROR(IF(N$182*N$183*N$184*N188&gt;0,AVERAGE(N$182:N$184, N188),""),"")</f>
        <v/>
      </c>
      <c r="O261" s="282"/>
      <c r="P261" s="282"/>
      <c r="Q261" s="296"/>
      <c r="R261" s="293" t="s">
        <v>453</v>
      </c>
      <c r="S261" s="294" t="str">
        <f aca="false">IFERROR(IF(C$182*C$183*C$184*C188&gt;0,STDEV(C$182:C$184, C188),"")/IF(C$182*C$183*C$184*C188&gt;0,AVERAGE(C$182:C$184, C188),""),"")</f>
        <v/>
      </c>
      <c r="T261" s="294" t="str">
        <f aca="false">IFERROR(IF(D$182*D$183*D$184*D188&gt;0,STDEV(D$182:D$184, D188),"")/IF(D$182*D$183*D$184*D188&gt;0,AVERAGE(D$182:D$184, D188),""),"")</f>
        <v/>
      </c>
      <c r="U261" s="294" t="str">
        <f aca="false">IFERROR(IF(E$182*E$183*E$184*E188&gt;0,STDEV(E$182:E$184, E188),"")/IF(E$182*E$183*E$184*E188&gt;0,AVERAGE(E$182:E$184, E188),""),"")</f>
        <v/>
      </c>
      <c r="V261" s="294" t="str">
        <f aca="false">IFERROR(IF(F$182*F$183*F$184*F188&gt;0,STDEV(F$182:F$184, F188),"")/IF(F$182*F$183*F$184*F188&gt;0,AVERAGE(F$182:F$184, F188),""),"")</f>
        <v/>
      </c>
      <c r="W261" s="294" t="str">
        <f aca="false">IFERROR(IF(G$182*G$183*G$184*G188&gt;0,STDEV(G$182:G$184, G188),"")/IF(G$182*G$183*G$184*G188&gt;0,AVERAGE(G$182:G$184, G188),""),"")</f>
        <v/>
      </c>
      <c r="X261" s="294" t="str">
        <f aca="false">IFERROR(IF(H$182*H$183*H$184*H188&gt;0,STDEV(H$182:H$184, H188),"")/IF(H$182*H$183*H$184*H188&gt;0,AVERAGE(H$182:H$184, H188),""),"")</f>
        <v/>
      </c>
      <c r="Y261" s="294" t="str">
        <f aca="false">IFERROR(IF(I$182*I$183*I$184*I188&gt;0,STDEV(I$182:I$184, I188),"")/IF(I$182*I$183*I$184*I188&gt;0,AVERAGE(I$182:I$184, I188),""),"")</f>
        <v/>
      </c>
      <c r="Z261" s="294" t="str">
        <f aca="false">IFERROR(IF(J$182*J$183*J$184*J188&gt;0,STDEV(J$182:J$184, J188),"")/IF(J$182*J$183*J$184*J188&gt;0,AVERAGE(J$182:J$184, J188),""),"")</f>
        <v/>
      </c>
      <c r="AA261" s="294" t="str">
        <f aca="false">IFERROR(IF(K$182*K$183*K$184*K188&gt;0,STDEV(K$182:K$184, K188),"")/IF(K$182*K$183*K$184*K188&gt;0,AVERAGE(K$182:K$184, K188),""),"")</f>
        <v/>
      </c>
      <c r="AB261" s="294" t="str">
        <f aca="false">IFERROR(IF(L$182*L$183*L$184*L188&gt;0,STDEV(L$182:L$184, L188),"")/IF(L$182*L$183*L$184*L188&gt;0,AVERAGE(L$182:L$184, L188),""),"")</f>
        <v/>
      </c>
      <c r="AC261" s="294" t="str">
        <f aca="false">IFERROR(IF(M$182*M$183*M$184*M188&gt;0,STDEV(M$182:M$184, M188),"")/IF(M$182*M$183*M$184*M188&gt;0,AVERAGE(M$182:M$184, M188),""),"")</f>
        <v/>
      </c>
      <c r="AD261" s="294" t="str">
        <f aca="false">IFERROR(IF(N$182*N$183*N$184*N188&gt;0,STDEV(N$182:N$184, N188),"")/IF(N$182*N$183*N$184*N188&gt;0,AVERAGE(N$182:N$184, N188),""),"")</f>
        <v/>
      </c>
      <c r="AE261" s="44"/>
      <c r="AF261" s="266" t="s">
        <v>454</v>
      </c>
      <c r="AG261" s="303" t="str">
        <f aca="false">IFERROR(IF(C$182*C$183*C$184*C188&gt;0,STDEV(C$182:C$184, C188)," ")/IF(C$182*C$183*C$184*C188&gt;0,SQRT(COUNT(C$182:C$184, C188))," "),"")</f>
        <v/>
      </c>
      <c r="AH261" s="303" t="str">
        <f aca="false">IFERROR(IF(D$182*D$183*D$184*D188&gt;0,STDEV(D$182:D$184, D188)," ")/IF(D$182*D$183*D$184*D188&gt;0,SQRT(COUNT(D$182:D$184, D188))," "),"")</f>
        <v/>
      </c>
      <c r="AI261" s="303" t="str">
        <f aca="false">IFERROR(IF(E$182*E$183*E$184*E188&gt;0,STDEV(E$182:E$184, E188)," ")/IF(E$182*E$183*E$184*E188&gt;0,SQRT(COUNT(E$182:E$184, E188))," "),"")</f>
        <v/>
      </c>
      <c r="AJ261" s="303" t="str">
        <f aca="false">IFERROR(IF(F$182*F$183*F$184*F188&gt;0,STDEV(F$182:F$184, F188)," ")/IF(F$182*F$183*F$184*F188&gt;0,SQRT(COUNT(F$182:F$184, F188))," "),"")</f>
        <v/>
      </c>
      <c r="AK261" s="303" t="str">
        <f aca="false">IFERROR(IF(G$182*G$183*G$184*G188&gt;0,STDEV(G$182:G$184, G188)," ")/IF(G$182*G$183*G$184*G188&gt;0,SQRT(COUNT(G$182:G$184, G188))," "),"")</f>
        <v/>
      </c>
      <c r="AL261" s="303" t="str">
        <f aca="false">IFERROR(IF(H$182*H$183*H$184*H188&gt;0,STDEV(H$182:H$184, H188)," ")/IF(H$182*H$183*H$184*H188&gt;0,SQRT(COUNT(H$182:H$184, H188))," "),"")</f>
        <v/>
      </c>
      <c r="AM261" s="303" t="str">
        <f aca="false">IFERROR(IF(I$182*I$183*I$184*I188&gt;0,STDEV(I$182:I$184, I188)," ")/IF(I$182*I$183*I$184*I188&gt;0,SQRT(COUNT(I$182:I$184, I188))," "),"")</f>
        <v/>
      </c>
      <c r="AN261" s="303" t="str">
        <f aca="false">IFERROR(IF(J$182*J$183*J$184*J188&gt;0,STDEV(J$182:J$184, J188)," ")/IF(J$182*J$183*J$184*J188&gt;0,SQRT(COUNT(J$182:J$184, J188))," "),"")</f>
        <v/>
      </c>
      <c r="AO261" s="303" t="str">
        <f aca="false">IFERROR(IF(K$182*K$183*K$184*K188&gt;0,STDEV(K$182:K$184, K188)," ")/IF(K$182*K$183*K$184*K188&gt;0,SQRT(COUNT(K$182:K$184, K188))," "),"")</f>
        <v/>
      </c>
      <c r="AP261" s="303" t="str">
        <f aca="false">IFERROR(IF(L$182*L$183*L$184*L188&gt;0,STDEV(L$182:L$184, L188)," ")/IF(L$182*L$183*L$184*L188&gt;0,SQRT(COUNT(L$182:L$184, L188))," "),"")</f>
        <v/>
      </c>
      <c r="AQ261" s="303" t="str">
        <f aca="false">IFERROR(IF(M$182*M$183*M$184*M188&gt;0,STDEV(M$182:M$184, M188)," ")/IF(M$182*M$183*M$184*M188&gt;0,SQRT(COUNT(M$182:M$184, M188))," "),"")</f>
        <v/>
      </c>
      <c r="AR261" s="303" t="str">
        <f aca="false">IFERROR(IF(N$182*N$183*N$184*N188&gt;0,STDEV(N$182:N$184, N188)," ")/IF(N$182*N$183*N$184*N188&gt;0,SQRT(COUNT(N$182:N$184, N188))," "),"")</f>
        <v/>
      </c>
    </row>
    <row r="262" customFormat="false" ht="15.75" hidden="false" customHeight="false" outlineLevel="0" collapsed="false">
      <c r="A262" s="290" t="s">
        <v>455</v>
      </c>
      <c r="B262" s="281"/>
      <c r="C262" s="302" t="str">
        <f aca="false">IFERROR(IF(C$183*C$184*C$185*C182&gt;0,AVERAGE(C$183:C$185, C182),""),"")</f>
        <v/>
      </c>
      <c r="D262" s="302" t="str">
        <f aca="false">IFERROR(IF(D$183*D$184*D$185*D182&gt;0,AVERAGE(D$183:D$185, D182),""),"")</f>
        <v/>
      </c>
      <c r="E262" s="302" t="str">
        <f aca="false">IFERROR(IF(E$183*E$184*E$185*E182&gt;0,AVERAGE(E$183:E$185, E182),""),"")</f>
        <v/>
      </c>
      <c r="F262" s="302" t="str">
        <f aca="false">IFERROR(IF(F$183*F$184*F$185*F182&gt;0,AVERAGE(F$183:F$185, F182),""),"")</f>
        <v/>
      </c>
      <c r="G262" s="302" t="str">
        <f aca="false">IFERROR(IF(G$183*G$184*G$185*G182&gt;0,AVERAGE(G$183:G$185, G182),""),"")</f>
        <v/>
      </c>
      <c r="H262" s="302" t="str">
        <f aca="false">IFERROR(IF(H$183*H$184*H$185*H182&gt;0,AVERAGE(H$183:H$185, H182),""),"")</f>
        <v/>
      </c>
      <c r="I262" s="302" t="str">
        <f aca="false">IFERROR(IF(I$183*I$184*I$185*I182&gt;0,AVERAGE(I$183:I$185, I182),""),"")</f>
        <v/>
      </c>
      <c r="J262" s="302" t="str">
        <f aca="false">IFERROR(IF(J$183*J$184*J$185*J182&gt;0,AVERAGE(J$183:J$185, J182),""),"")</f>
        <v/>
      </c>
      <c r="K262" s="302" t="str">
        <f aca="false">IFERROR(IF(K$183*K$184*K$185*K182&gt;0,AVERAGE(K$183:K$185, K182),""),"")</f>
        <v/>
      </c>
      <c r="L262" s="302" t="str">
        <f aca="false">IFERROR(IF(L$183*L$184*L$185*L182&gt;0,AVERAGE(L$183:L$185, L182),""),"")</f>
        <v/>
      </c>
      <c r="M262" s="302" t="str">
        <f aca="false">IFERROR(IF(M$183*M$184*M$185*M182&gt;0,AVERAGE(M$183:M$185, M182),""),"")</f>
        <v/>
      </c>
      <c r="N262" s="302" t="str">
        <f aca="false">IFERROR(IF(N$183*N$184*N$185*N182&gt;0,AVERAGE(N$183:N$185, N182),""),"")</f>
        <v/>
      </c>
      <c r="O262" s="282"/>
      <c r="P262" s="282"/>
      <c r="Q262" s="296"/>
      <c r="R262" s="293" t="s">
        <v>456</v>
      </c>
      <c r="S262" s="294" t="str">
        <f aca="false">IFERROR(IF(C$183*C$184*C$185*C182&gt;0,STDEV(C$183:C$185, C182),"")/IF(C$183*C$184*C$185*C182&gt;0,AVERAGE(C$183:C$185, C182),""),"")</f>
        <v/>
      </c>
      <c r="T262" s="294" t="str">
        <f aca="false">IFERROR(IF(D$183*D$184*D$185*D182&gt;0,STDEV(D$183:D$185, D182),"")/IF(D$183*D$184*D$185*D182&gt;0,AVERAGE(D$183:D$185, D182),""),"")</f>
        <v/>
      </c>
      <c r="U262" s="294" t="str">
        <f aca="false">IFERROR(IF(E$183*E$184*E$185*E182&gt;0,STDEV(E$183:E$185, E182),"")/IF(E$183*E$184*E$185*E182&gt;0,AVERAGE(E$183:E$185, E182),""),"")</f>
        <v/>
      </c>
      <c r="V262" s="294" t="str">
        <f aca="false">IFERROR(IF(F$183*F$184*F$185*F182&gt;0,STDEV(F$183:F$185, F182),"")/IF(F$183*F$184*F$185*F182&gt;0,AVERAGE(F$183:F$185, F182),""),"")</f>
        <v/>
      </c>
      <c r="W262" s="294" t="str">
        <f aca="false">IFERROR(IF(G$183*G$184*G$185*G182&gt;0,STDEV(G$183:G$185, G182),"")/IF(G$183*G$184*G$185*G182&gt;0,AVERAGE(G$183:G$185, G182),""),"")</f>
        <v/>
      </c>
      <c r="X262" s="294" t="str">
        <f aca="false">IFERROR(IF(H$183*H$184*H$185*H182&gt;0,STDEV(H$183:H$185, H182),"")/IF(H$183*H$184*H$185*H182&gt;0,AVERAGE(H$183:H$185, H182),""),"")</f>
        <v/>
      </c>
      <c r="Y262" s="294" t="str">
        <f aca="false">IFERROR(IF(I$183*I$184*I$185*I182&gt;0,STDEV(I$183:I$185, I182),"")/IF(I$183*I$184*I$185*I182&gt;0,AVERAGE(I$183:I$185, I182),""),"")</f>
        <v/>
      </c>
      <c r="Z262" s="294" t="str">
        <f aca="false">IFERROR(IF(J$183*J$184*J$185*J182&gt;0,STDEV(J$183:J$185, J182),"")/IF(J$183*J$184*J$185*J182&gt;0,AVERAGE(J$183:J$185, J182),""),"")</f>
        <v/>
      </c>
      <c r="AA262" s="294" t="str">
        <f aca="false">IFERROR(IF(K$183*K$184*K$185*K182&gt;0,STDEV(K$183:K$185, K182),"")/IF(K$183*K$184*K$185*K182&gt;0,AVERAGE(K$183:K$185, K182),""),"")</f>
        <v/>
      </c>
      <c r="AB262" s="294" t="str">
        <f aca="false">IFERROR(IF(L$183*L$184*L$185*L182&gt;0,STDEV(L$183:L$185, L182),"")/IF(L$183*L$184*L$185*L182&gt;0,AVERAGE(L$183:L$185, L182),""),"")</f>
        <v/>
      </c>
      <c r="AC262" s="294" t="str">
        <f aca="false">IFERROR(IF(M$183*M$184*M$185*M182&gt;0,STDEV(M$183:M$185, M182),"")/IF(M$183*M$184*M$185*M182&gt;0,AVERAGE(M$183:M$185, M182),""),"")</f>
        <v/>
      </c>
      <c r="AD262" s="294" t="str">
        <f aca="false">IFERROR(IF(N$183*N$184*N$185*N182&gt;0,STDEV(N$183:N$185, N182),"")/IF(N$183*N$184*N$185*N182&gt;0,AVERAGE(N$183:N$185, N182),""),"")</f>
        <v/>
      </c>
      <c r="AE262" s="44"/>
      <c r="AF262" s="266" t="s">
        <v>457</v>
      </c>
      <c r="AG262" s="303" t="str">
        <f aca="false">IFERROR(IF(C$183*C$184*C$185*C182&gt;0,STDEV(C$183:C$185, C182)," ")/IF(C$183*C$184*C$185*C182&gt;0,SQRT(COUNT(C$183:C$185, C182))," "),"")</f>
        <v/>
      </c>
      <c r="AH262" s="303" t="str">
        <f aca="false">IFERROR(IF(D$183*D$184*D$185*D182&gt;0,STDEV(D$183:D$185, D182)," ")/IF(D$183*D$184*D$185*D182&gt;0,SQRT(COUNT(D$183:D$185, D182))," "),"")</f>
        <v/>
      </c>
      <c r="AI262" s="303" t="str">
        <f aca="false">IFERROR(IF(E$183*E$184*E$185*E182&gt;0,STDEV(E$183:E$185, E182)," ")/IF(E$183*E$184*E$185*E182&gt;0,SQRT(COUNT(E$183:E$185, E182))," "),"")</f>
        <v/>
      </c>
      <c r="AJ262" s="303" t="str">
        <f aca="false">IFERROR(IF(F$183*F$184*F$185*F182&gt;0,STDEV(F$183:F$185, F182)," ")/IF(F$183*F$184*F$185*F182&gt;0,SQRT(COUNT(F$183:F$185, F182))," "),"")</f>
        <v/>
      </c>
      <c r="AK262" s="303" t="str">
        <f aca="false">IFERROR(IF(G$183*G$184*G$185*G182&gt;0,STDEV(G$183:G$185, G182)," ")/IF(G$183*G$184*G$185*G182&gt;0,SQRT(COUNT(G$183:G$185, G182))," "),"")</f>
        <v/>
      </c>
      <c r="AL262" s="303" t="str">
        <f aca="false">IFERROR(IF(H$183*H$184*H$185*H182&gt;0,STDEV(H$183:H$185, H182)," ")/IF(H$183*H$184*H$185*H182&gt;0,SQRT(COUNT(H$183:H$185, H182))," "),"")</f>
        <v/>
      </c>
      <c r="AM262" s="303" t="str">
        <f aca="false">IFERROR(IF(I$183*I$184*I$185*I182&gt;0,STDEV(I$183:I$185, I182)," ")/IF(I$183*I$184*I$185*I182&gt;0,SQRT(COUNT(I$183:I$185, I182))," "),"")</f>
        <v/>
      </c>
      <c r="AN262" s="303" t="str">
        <f aca="false">IFERROR(IF(J$183*J$184*J$185*J182&gt;0,STDEV(J$183:J$185, J182)," ")/IF(J$183*J$184*J$185*J182&gt;0,SQRT(COUNT(J$183:J$185, J182))," "),"")</f>
        <v/>
      </c>
      <c r="AO262" s="303" t="str">
        <f aca="false">IFERROR(IF(K$183*K$184*K$185*K182&gt;0,STDEV(K$183:K$185, K182)," ")/IF(K$183*K$184*K$185*K182&gt;0,SQRT(COUNT(K$183:K$185, K182))," "),"")</f>
        <v/>
      </c>
      <c r="AP262" s="303" t="str">
        <f aca="false">IFERROR(IF(L$183*L$184*L$185*L182&gt;0,STDEV(L$183:L$185, L182)," ")/IF(L$183*L$184*L$185*L182&gt;0,SQRT(COUNT(L$183:L$185, L182))," "),"")</f>
        <v/>
      </c>
      <c r="AQ262" s="303" t="str">
        <f aca="false">IFERROR(IF(M$183*M$184*M$185*M182&gt;0,STDEV(M$183:M$185, M182)," ")/IF(M$183*M$184*M$185*M182&gt;0,SQRT(COUNT(M$183:M$185, M182))," "),"")</f>
        <v/>
      </c>
      <c r="AR262" s="303" t="str">
        <f aca="false">IFERROR(IF(N$183*N$184*N$185*N182&gt;0,STDEV(N$183:N$185, N182)," ")/IF(N$183*N$184*N$185*N182&gt;0,SQRT(COUNT(N$183:N$185, N182))," "),"")</f>
        <v/>
      </c>
    </row>
    <row r="263" customFormat="false" ht="15.75" hidden="false" customHeight="false" outlineLevel="0" collapsed="false">
      <c r="A263" s="290" t="s">
        <v>458</v>
      </c>
      <c r="B263" s="281"/>
      <c r="C263" s="302" t="str">
        <f aca="false">IFERROR(IF(C$183*C$184*C$185*C186&gt;0,AVERAGE(C$183:C$185, C186),""),"")</f>
        <v/>
      </c>
      <c r="D263" s="302" t="str">
        <f aca="false">IFERROR(IF(D$183*D$184*D$185*D186&gt;0,AVERAGE(D$183:D$185, D186),""),"")</f>
        <v/>
      </c>
      <c r="E263" s="302" t="str">
        <f aca="false">IFERROR(IF(E$183*E$184*E$185*E186&gt;0,AVERAGE(E$183:E$185, E186),""),"")</f>
        <v/>
      </c>
      <c r="F263" s="302" t="str">
        <f aca="false">IFERROR(IF(F$183*F$184*F$185*F186&gt;0,AVERAGE(F$183:F$185, F186),""),"")</f>
        <v/>
      </c>
      <c r="G263" s="302" t="str">
        <f aca="false">IFERROR(IF(G$183*G$184*G$185*G186&gt;0,AVERAGE(G$183:G$185, G186),""),"")</f>
        <v/>
      </c>
      <c r="H263" s="302" t="str">
        <f aca="false">IFERROR(IF(H$183*H$184*H$185*H186&gt;0,AVERAGE(H$183:H$185, H186),""),"")</f>
        <v/>
      </c>
      <c r="I263" s="302" t="str">
        <f aca="false">IFERROR(IF(I$183*I$184*I$185*I186&gt;0,AVERAGE(I$183:I$185, I186),""),"")</f>
        <v/>
      </c>
      <c r="J263" s="302" t="str">
        <f aca="false">IFERROR(IF(J$183*J$184*J$185*J186&gt;0,AVERAGE(J$183:J$185, J186),""),"")</f>
        <v/>
      </c>
      <c r="K263" s="302" t="str">
        <f aca="false">IFERROR(IF(K$183*K$184*K$185*K186&gt;0,AVERAGE(K$183:K$185, K186),""),"")</f>
        <v/>
      </c>
      <c r="L263" s="302" t="str">
        <f aca="false">IFERROR(IF(L$183*L$184*L$185*L186&gt;0,AVERAGE(L$183:L$185, L186),""),"")</f>
        <v/>
      </c>
      <c r="M263" s="302" t="str">
        <f aca="false">IFERROR(IF(M$183*M$184*M$185*M186&gt;0,AVERAGE(M$183:M$185, M186),""),"")</f>
        <v/>
      </c>
      <c r="N263" s="302" t="str">
        <f aca="false">IFERROR(IF(N$183*N$184*N$185*N186&gt;0,AVERAGE(N$183:N$185, N186),""),"")</f>
        <v/>
      </c>
      <c r="O263" s="282"/>
      <c r="P263" s="282"/>
      <c r="Q263" s="296"/>
      <c r="R263" s="293" t="s">
        <v>459</v>
      </c>
      <c r="S263" s="294" t="str">
        <f aca="false">IFERROR(IF(C$183*C$184*C$185*C186&gt;0,STDEV(C$183:C$185, C186),"")/IF(C$183*C$184*C$185*C186&gt;0,AVERAGE(C$183:C$185, C186),""),"")</f>
        <v/>
      </c>
      <c r="T263" s="294" t="str">
        <f aca="false">IFERROR(IF(D$183*D$184*D$185*D186&gt;0,STDEV(D$183:D$185, D186),"")/IF(D$183*D$184*D$185*D186&gt;0,AVERAGE(D$183:D$185, D186),""),"")</f>
        <v/>
      </c>
      <c r="U263" s="294" t="str">
        <f aca="false">IFERROR(IF(E$183*E$184*E$185*E186&gt;0,STDEV(E$183:E$185, E186),"")/IF(E$183*E$184*E$185*E186&gt;0,AVERAGE(E$183:E$185, E186),""),"")</f>
        <v/>
      </c>
      <c r="V263" s="294" t="str">
        <f aca="false">IFERROR(IF(F$183*F$184*F$185*F186&gt;0,STDEV(F$183:F$185, F186),"")/IF(F$183*F$184*F$185*F186&gt;0,AVERAGE(F$183:F$185, F186),""),"")</f>
        <v/>
      </c>
      <c r="W263" s="294" t="str">
        <f aca="false">IFERROR(IF(G$183*G$184*G$185*G186&gt;0,STDEV(G$183:G$185, G186),"")/IF(G$183*G$184*G$185*G186&gt;0,AVERAGE(G$183:G$185, G186),""),"")</f>
        <v/>
      </c>
      <c r="X263" s="294" t="str">
        <f aca="false">IFERROR(IF(H$183*H$184*H$185*H186&gt;0,STDEV(H$183:H$185, H186),"")/IF(H$183*H$184*H$185*H186&gt;0,AVERAGE(H$183:H$185, H186),""),"")</f>
        <v/>
      </c>
      <c r="Y263" s="294" t="str">
        <f aca="false">IFERROR(IF(I$183*I$184*I$185*I186&gt;0,STDEV(I$183:I$185, I186),"")/IF(I$183*I$184*I$185*I186&gt;0,AVERAGE(I$183:I$185, I186),""),"")</f>
        <v/>
      </c>
      <c r="Z263" s="294" t="str">
        <f aca="false">IFERROR(IF(J$183*J$184*J$185*J186&gt;0,STDEV(J$183:J$185, J186),"")/IF(J$183*J$184*J$185*J186&gt;0,AVERAGE(J$183:J$185, J186),""),"")</f>
        <v/>
      </c>
      <c r="AA263" s="294" t="str">
        <f aca="false">IFERROR(IF(K$183*K$184*K$185*K186&gt;0,STDEV(K$183:K$185, K186),"")/IF(K$183*K$184*K$185*K186&gt;0,AVERAGE(K$183:K$185, K186),""),"")</f>
        <v/>
      </c>
      <c r="AB263" s="294" t="str">
        <f aca="false">IFERROR(IF(L$183*L$184*L$185*L186&gt;0,STDEV(L$183:L$185, L186),"")/IF(L$183*L$184*L$185*L186&gt;0,AVERAGE(L$183:L$185, L186),""),"")</f>
        <v/>
      </c>
      <c r="AC263" s="294" t="str">
        <f aca="false">IFERROR(IF(M$183*M$184*M$185*M186&gt;0,STDEV(M$183:M$185, M186),"")/IF(M$183*M$184*M$185*M186&gt;0,AVERAGE(M$183:M$185, M186),""),"")</f>
        <v/>
      </c>
      <c r="AD263" s="294" t="str">
        <f aca="false">IFERROR(IF(N$183*N$184*N$185*N186&gt;0,STDEV(N$183:N$185, N186),"")/IF(N$183*N$184*N$185*N186&gt;0,AVERAGE(N$183:N$185, N186),""),"")</f>
        <v/>
      </c>
      <c r="AE263" s="44"/>
      <c r="AF263" s="266" t="s">
        <v>460</v>
      </c>
      <c r="AG263" s="303" t="str">
        <f aca="false">IFERROR(IF(C$183*C$184*C$185*C186&gt;0,STDEV(C$183:C$185, C186)," ")/IF(C$183*C$184*C$185*C186&gt;0,SQRT(COUNT(C$183:C$185, C186))," "),"")</f>
        <v/>
      </c>
      <c r="AH263" s="303" t="str">
        <f aca="false">IFERROR(IF(D$183*D$184*D$185*D186&gt;0,STDEV(D$183:D$185, D186)," ")/IF(D$183*D$184*D$185*D186&gt;0,SQRT(COUNT(D$183:D$185, D186))," "),"")</f>
        <v/>
      </c>
      <c r="AI263" s="303" t="str">
        <f aca="false">IFERROR(IF(E$183*E$184*E$185*E186&gt;0,STDEV(E$183:E$185, E186)," ")/IF(E$183*E$184*E$185*E186&gt;0,SQRT(COUNT(E$183:E$185, E186))," "),"")</f>
        <v/>
      </c>
      <c r="AJ263" s="303" t="str">
        <f aca="false">IFERROR(IF(F$183*F$184*F$185*F186&gt;0,STDEV(F$183:F$185, F186)," ")/IF(F$183*F$184*F$185*F186&gt;0,SQRT(COUNT(F$183:F$185, F186))," "),"")</f>
        <v/>
      </c>
      <c r="AK263" s="303" t="str">
        <f aca="false">IFERROR(IF(G$183*G$184*G$185*G186&gt;0,STDEV(G$183:G$185, G186)," ")/IF(G$183*G$184*G$185*G186&gt;0,SQRT(COUNT(G$183:G$185, G186))," "),"")</f>
        <v/>
      </c>
      <c r="AL263" s="303" t="str">
        <f aca="false">IFERROR(IF(H$183*H$184*H$185*H186&gt;0,STDEV(H$183:H$185, H186)," ")/IF(H$183*H$184*H$185*H186&gt;0,SQRT(COUNT(H$183:H$185, H186))," "),"")</f>
        <v/>
      </c>
      <c r="AM263" s="303" t="str">
        <f aca="false">IFERROR(IF(I$183*I$184*I$185*I186&gt;0,STDEV(I$183:I$185, I186)," ")/IF(I$183*I$184*I$185*I186&gt;0,SQRT(COUNT(I$183:I$185, I186))," "),"")</f>
        <v/>
      </c>
      <c r="AN263" s="303" t="str">
        <f aca="false">IFERROR(IF(J$183*J$184*J$185*J186&gt;0,STDEV(J$183:J$185, J186)," ")/IF(J$183*J$184*J$185*J186&gt;0,SQRT(COUNT(J$183:J$185, J186))," "),"")</f>
        <v/>
      </c>
      <c r="AO263" s="303" t="str">
        <f aca="false">IFERROR(IF(K$183*K$184*K$185*K186&gt;0,STDEV(K$183:K$185, K186)," ")/IF(K$183*K$184*K$185*K186&gt;0,SQRT(COUNT(K$183:K$185, K186))," "),"")</f>
        <v/>
      </c>
      <c r="AP263" s="303" t="str">
        <f aca="false">IFERROR(IF(L$183*L$184*L$185*L186&gt;0,STDEV(L$183:L$185, L186)," ")/IF(L$183*L$184*L$185*L186&gt;0,SQRT(COUNT(L$183:L$185, L186))," "),"")</f>
        <v/>
      </c>
      <c r="AQ263" s="303" t="str">
        <f aca="false">IFERROR(IF(M$183*M$184*M$185*M186&gt;0,STDEV(M$183:M$185, M186)," ")/IF(M$183*M$184*M$185*M186&gt;0,SQRT(COUNT(M$183:M$185, M186))," "),"")</f>
        <v/>
      </c>
      <c r="AR263" s="303" t="str">
        <f aca="false">IFERROR(IF(N$183*N$184*N$185*N186&gt;0,STDEV(N$183:N$185, N186)," ")/IF(N$183*N$184*N$185*N186&gt;0,SQRT(COUNT(N$183:N$185, N186))," "),"")</f>
        <v/>
      </c>
    </row>
    <row r="264" customFormat="false" ht="15.75" hidden="false" customHeight="false" outlineLevel="0" collapsed="false">
      <c r="A264" s="290" t="s">
        <v>461</v>
      </c>
      <c r="B264" s="281"/>
      <c r="C264" s="302" t="str">
        <f aca="false">IFERROR(IF(C$183*C$184*C$185*C187&gt;0,AVERAGE(C$183:C$185, C187),""),"")</f>
        <v/>
      </c>
      <c r="D264" s="302" t="str">
        <f aca="false">IFERROR(IF(D$183*D$184*D$185*D187&gt;0,AVERAGE(D$183:D$185, D187),""),"")</f>
        <v/>
      </c>
      <c r="E264" s="302" t="str">
        <f aca="false">IFERROR(IF(E$183*E$184*E$185*E187&gt;0,AVERAGE(E$183:E$185, E187),""),"")</f>
        <v/>
      </c>
      <c r="F264" s="302" t="str">
        <f aca="false">IFERROR(IF(F$183*F$184*F$185*F187&gt;0,AVERAGE(F$183:F$185, F187),""),"")</f>
        <v/>
      </c>
      <c r="G264" s="302" t="str">
        <f aca="false">IFERROR(IF(G$183*G$184*G$185*G187&gt;0,AVERAGE(G$183:G$185, G187),""),"")</f>
        <v/>
      </c>
      <c r="H264" s="302" t="str">
        <f aca="false">IFERROR(IF(H$183*H$184*H$185*H187&gt;0,AVERAGE(H$183:H$185, H187),""),"")</f>
        <v/>
      </c>
      <c r="I264" s="302" t="str">
        <f aca="false">IFERROR(IF(I$183*I$184*I$185*I187&gt;0,AVERAGE(I$183:I$185, I187),""),"")</f>
        <v/>
      </c>
      <c r="J264" s="302" t="str">
        <f aca="false">IFERROR(IF(J$183*J$184*J$185*J187&gt;0,AVERAGE(J$183:J$185, J187),""),"")</f>
        <v/>
      </c>
      <c r="K264" s="302" t="str">
        <f aca="false">IFERROR(IF(K$183*K$184*K$185*K187&gt;0,AVERAGE(K$183:K$185, K187),""),"")</f>
        <v/>
      </c>
      <c r="L264" s="302" t="str">
        <f aca="false">IFERROR(IF(L$183*L$184*L$185*L187&gt;0,AVERAGE(L$183:L$185, L187),""),"")</f>
        <v/>
      </c>
      <c r="M264" s="302" t="str">
        <f aca="false">IFERROR(IF(M$183*M$184*M$185*M187&gt;0,AVERAGE(M$183:M$185, M187),""),"")</f>
        <v/>
      </c>
      <c r="N264" s="302" t="str">
        <f aca="false">IFERROR(IF(N$183*N$184*N$185*N187&gt;0,AVERAGE(N$183:N$185, N187),""),"")</f>
        <v/>
      </c>
      <c r="O264" s="282"/>
      <c r="P264" s="282"/>
      <c r="Q264" s="296"/>
      <c r="R264" s="293" t="s">
        <v>462</v>
      </c>
      <c r="S264" s="294" t="str">
        <f aca="false">IFERROR(IF(C$183*C$184*C$185*C187&gt;0,STDEV(C$183:C$185, C187),"")/IF(C$183*C$184*C$185*C187&gt;0,AVERAGE(C$183:C$185, C187),""),"")</f>
        <v/>
      </c>
      <c r="T264" s="294" t="str">
        <f aca="false">IFERROR(IF(D$183*D$184*D$185*D187&gt;0,STDEV(D$183:D$185, D187),"")/IF(D$183*D$184*D$185*D187&gt;0,AVERAGE(D$183:D$185, D187),""),"")</f>
        <v/>
      </c>
      <c r="U264" s="294" t="str">
        <f aca="false">IFERROR(IF(E$183*E$184*E$185*E187&gt;0,STDEV(E$183:E$185, E187),"")/IF(E$183*E$184*E$185*E187&gt;0,AVERAGE(E$183:E$185, E187),""),"")</f>
        <v/>
      </c>
      <c r="V264" s="294" t="str">
        <f aca="false">IFERROR(IF(F$183*F$184*F$185*F187&gt;0,STDEV(F$183:F$185, F187),"")/IF(F$183*F$184*F$185*F187&gt;0,AVERAGE(F$183:F$185, F187),""),"")</f>
        <v/>
      </c>
      <c r="W264" s="294" t="str">
        <f aca="false">IFERROR(IF(G$183*G$184*G$185*G187&gt;0,STDEV(G$183:G$185, G187),"")/IF(G$183*G$184*G$185*G187&gt;0,AVERAGE(G$183:G$185, G187),""),"")</f>
        <v/>
      </c>
      <c r="X264" s="294" t="str">
        <f aca="false">IFERROR(IF(H$183*H$184*H$185*H187&gt;0,STDEV(H$183:H$185, H187),"")/IF(H$183*H$184*H$185*H187&gt;0,AVERAGE(H$183:H$185, H187),""),"")</f>
        <v/>
      </c>
      <c r="Y264" s="294" t="str">
        <f aca="false">IFERROR(IF(I$183*I$184*I$185*I187&gt;0,STDEV(I$183:I$185, I187),"")/IF(I$183*I$184*I$185*I187&gt;0,AVERAGE(I$183:I$185, I187),""),"")</f>
        <v/>
      </c>
      <c r="Z264" s="294" t="str">
        <f aca="false">IFERROR(IF(J$183*J$184*J$185*J187&gt;0,STDEV(J$183:J$185, J187),"")/IF(J$183*J$184*J$185*J187&gt;0,AVERAGE(J$183:J$185, J187),""),"")</f>
        <v/>
      </c>
      <c r="AA264" s="294" t="str">
        <f aca="false">IFERROR(IF(K$183*K$184*K$185*K187&gt;0,STDEV(K$183:K$185, K187),"")/IF(K$183*K$184*K$185*K187&gt;0,AVERAGE(K$183:K$185, K187),""),"")</f>
        <v/>
      </c>
      <c r="AB264" s="294" t="str">
        <f aca="false">IFERROR(IF(L$183*L$184*L$185*L187&gt;0,STDEV(L$183:L$185, L187),"")/IF(L$183*L$184*L$185*L187&gt;0,AVERAGE(L$183:L$185, L187),""),"")</f>
        <v/>
      </c>
      <c r="AC264" s="294" t="str">
        <f aca="false">IFERROR(IF(M$183*M$184*M$185*M187&gt;0,STDEV(M$183:M$185, M187),"")/IF(M$183*M$184*M$185*M187&gt;0,AVERAGE(M$183:M$185, M187),""),"")</f>
        <v/>
      </c>
      <c r="AD264" s="294" t="str">
        <f aca="false">IFERROR(IF(N$183*N$184*N$185*N187&gt;0,STDEV(N$183:N$185, N187),"")/IF(N$183*N$184*N$185*N187&gt;0,AVERAGE(N$183:N$185, N187),""),"")</f>
        <v/>
      </c>
      <c r="AE264" s="44"/>
      <c r="AF264" s="266" t="s">
        <v>463</v>
      </c>
      <c r="AG264" s="303" t="str">
        <f aca="false">IFERROR(IF(C$183*C$184*C$185*C187&gt;0,STDEV(C$183:C$185, C187)," ")/IF(C$183*C$184*C$185*C187&gt;0,SQRT(COUNT(C$183:C$185, C187))," "),"")</f>
        <v/>
      </c>
      <c r="AH264" s="303" t="str">
        <f aca="false">IFERROR(IF(D$183*D$184*D$185*D187&gt;0,STDEV(D$183:D$185, D187)," ")/IF(D$183*D$184*D$185*D187&gt;0,SQRT(COUNT(D$183:D$185, D187))," "),"")</f>
        <v/>
      </c>
      <c r="AI264" s="303" t="str">
        <f aca="false">IFERROR(IF(E$183*E$184*E$185*E187&gt;0,STDEV(E$183:E$185, E187)," ")/IF(E$183*E$184*E$185*E187&gt;0,SQRT(COUNT(E$183:E$185, E187))," "),"")</f>
        <v/>
      </c>
      <c r="AJ264" s="303" t="str">
        <f aca="false">IFERROR(IF(F$183*F$184*F$185*F187&gt;0,STDEV(F$183:F$185, F187)," ")/IF(F$183*F$184*F$185*F187&gt;0,SQRT(COUNT(F$183:F$185, F187))," "),"")</f>
        <v/>
      </c>
      <c r="AK264" s="303" t="str">
        <f aca="false">IFERROR(IF(G$183*G$184*G$185*G187&gt;0,STDEV(G$183:G$185, G187)," ")/IF(G$183*G$184*G$185*G187&gt;0,SQRT(COUNT(G$183:G$185, G187))," "),"")</f>
        <v/>
      </c>
      <c r="AL264" s="303" t="str">
        <f aca="false">IFERROR(IF(H$183*H$184*H$185*H187&gt;0,STDEV(H$183:H$185, H187)," ")/IF(H$183*H$184*H$185*H187&gt;0,SQRT(COUNT(H$183:H$185, H187))," "),"")</f>
        <v/>
      </c>
      <c r="AM264" s="303" t="str">
        <f aca="false">IFERROR(IF(I$183*I$184*I$185*I187&gt;0,STDEV(I$183:I$185, I187)," ")/IF(I$183*I$184*I$185*I187&gt;0,SQRT(COUNT(I$183:I$185, I187))," "),"")</f>
        <v/>
      </c>
      <c r="AN264" s="303" t="str">
        <f aca="false">IFERROR(IF(J$183*J$184*J$185*J187&gt;0,STDEV(J$183:J$185, J187)," ")/IF(J$183*J$184*J$185*J187&gt;0,SQRT(COUNT(J$183:J$185, J187))," "),"")</f>
        <v/>
      </c>
      <c r="AO264" s="303" t="str">
        <f aca="false">IFERROR(IF(K$183*K$184*K$185*K187&gt;0,STDEV(K$183:K$185, K187)," ")/IF(K$183*K$184*K$185*K187&gt;0,SQRT(COUNT(K$183:K$185, K187))," "),"")</f>
        <v/>
      </c>
      <c r="AP264" s="303" t="str">
        <f aca="false">IFERROR(IF(L$183*L$184*L$185*L187&gt;0,STDEV(L$183:L$185, L187)," ")/IF(L$183*L$184*L$185*L187&gt;0,SQRT(COUNT(L$183:L$185, L187))," "),"")</f>
        <v/>
      </c>
      <c r="AQ264" s="303" t="str">
        <f aca="false">IFERROR(IF(M$183*M$184*M$185*M187&gt;0,STDEV(M$183:M$185, M187)," ")/IF(M$183*M$184*M$185*M187&gt;0,SQRT(COUNT(M$183:M$185, M187))," "),"")</f>
        <v/>
      </c>
      <c r="AR264" s="303" t="str">
        <f aca="false">IFERROR(IF(N$183*N$184*N$185*N187&gt;0,STDEV(N$183:N$185, N187)," ")/IF(N$183*N$184*N$185*N187&gt;0,SQRT(COUNT(N$183:N$185, N187))," "),"")</f>
        <v/>
      </c>
    </row>
    <row r="265" customFormat="false" ht="15.75" hidden="false" customHeight="false" outlineLevel="0" collapsed="false">
      <c r="A265" s="290" t="s">
        <v>464</v>
      </c>
      <c r="B265" s="281"/>
      <c r="C265" s="302" t="str">
        <f aca="false">IFERROR(IF(C$183*C$184*C$185*C188&gt;0,AVERAGE(C$183:C$185, C188),""),"")</f>
        <v/>
      </c>
      <c r="D265" s="302" t="str">
        <f aca="false">IFERROR(IF(D$183*D$184*D$185*D188&gt;0,AVERAGE(D$183:D$185, D188),""),"")</f>
        <v/>
      </c>
      <c r="E265" s="302" t="str">
        <f aca="false">IFERROR(IF(E$183*E$184*E$185*E188&gt;0,AVERAGE(E$183:E$185, E188),""),"")</f>
        <v/>
      </c>
      <c r="F265" s="302" t="str">
        <f aca="false">IFERROR(IF(F$183*F$184*F$185*F188&gt;0,AVERAGE(F$183:F$185, F188),""),"")</f>
        <v/>
      </c>
      <c r="G265" s="302" t="str">
        <f aca="false">IFERROR(IF(G$183*G$184*G$185*G188&gt;0,AVERAGE(G$183:G$185, G188),""),"")</f>
        <v/>
      </c>
      <c r="H265" s="302" t="str">
        <f aca="false">IFERROR(IF(H$183*H$184*H$185*H188&gt;0,AVERAGE(H$183:H$185, H188),""),"")</f>
        <v/>
      </c>
      <c r="I265" s="302" t="str">
        <f aca="false">IFERROR(IF(I$183*I$184*I$185*I188&gt;0,AVERAGE(I$183:I$185, I188),""),"")</f>
        <v/>
      </c>
      <c r="J265" s="302" t="str">
        <f aca="false">IFERROR(IF(J$183*J$184*J$185*J188&gt;0,AVERAGE(J$183:J$185, J188),""),"")</f>
        <v/>
      </c>
      <c r="K265" s="302" t="str">
        <f aca="false">IFERROR(IF(K$183*K$184*K$185*K188&gt;0,AVERAGE(K$183:K$185, K188),""),"")</f>
        <v/>
      </c>
      <c r="L265" s="302" t="str">
        <f aca="false">IFERROR(IF(L$183*L$184*L$185*L188&gt;0,AVERAGE(L$183:L$185, L188),""),"")</f>
        <v/>
      </c>
      <c r="M265" s="302" t="str">
        <f aca="false">IFERROR(IF(M$183*M$184*M$185*M188&gt;0,AVERAGE(M$183:M$185, M188),""),"")</f>
        <v/>
      </c>
      <c r="N265" s="302" t="str">
        <f aca="false">IFERROR(IF(N$183*N$184*N$185*N188&gt;0,AVERAGE(N$183:N$185, N188),""),"")</f>
        <v/>
      </c>
      <c r="O265" s="282"/>
      <c r="P265" s="282"/>
      <c r="Q265" s="296"/>
      <c r="R265" s="293" t="s">
        <v>465</v>
      </c>
      <c r="S265" s="294" t="str">
        <f aca="false">IFERROR(IF(C$183*C$184*C$185*C188&gt;0,STDEV(C$183:C$185, C188),"")/IF(C$183*C$184*C$185*C188&gt;0,AVERAGE(C$183:C$185, C188),""),"")</f>
        <v/>
      </c>
      <c r="T265" s="294" t="str">
        <f aca="false">IFERROR(IF(D$183*D$184*D$185*D188&gt;0,STDEV(D$183:D$185, D188),"")/IF(D$183*D$184*D$185*D188&gt;0,AVERAGE(D$183:D$185, D188),""),"")</f>
        <v/>
      </c>
      <c r="U265" s="294" t="str">
        <f aca="false">IFERROR(IF(E$183*E$184*E$185*E188&gt;0,STDEV(E$183:E$185, E188),"")/IF(E$183*E$184*E$185*E188&gt;0,AVERAGE(E$183:E$185, E188),""),"")</f>
        <v/>
      </c>
      <c r="V265" s="294" t="str">
        <f aca="false">IFERROR(IF(F$183*F$184*F$185*F188&gt;0,STDEV(F$183:F$185, F188),"")/IF(F$183*F$184*F$185*F188&gt;0,AVERAGE(F$183:F$185, F188),""),"")</f>
        <v/>
      </c>
      <c r="W265" s="294" t="str">
        <f aca="false">IFERROR(IF(G$183*G$184*G$185*G188&gt;0,STDEV(G$183:G$185, G188),"")/IF(G$183*G$184*G$185*G188&gt;0,AVERAGE(G$183:G$185, G188),""),"")</f>
        <v/>
      </c>
      <c r="X265" s="294" t="str">
        <f aca="false">IFERROR(IF(H$183*H$184*H$185*H188&gt;0,STDEV(H$183:H$185, H188),"")/IF(H$183*H$184*H$185*H188&gt;0,AVERAGE(H$183:H$185, H188),""),"")</f>
        <v/>
      </c>
      <c r="Y265" s="294" t="str">
        <f aca="false">IFERROR(IF(I$183*I$184*I$185*I188&gt;0,STDEV(I$183:I$185, I188),"")/IF(I$183*I$184*I$185*I188&gt;0,AVERAGE(I$183:I$185, I188),""),"")</f>
        <v/>
      </c>
      <c r="Z265" s="294" t="str">
        <f aca="false">IFERROR(IF(J$183*J$184*J$185*J188&gt;0,STDEV(J$183:J$185, J188),"")/IF(J$183*J$184*J$185*J188&gt;0,AVERAGE(J$183:J$185, J188),""),"")</f>
        <v/>
      </c>
      <c r="AA265" s="294" t="str">
        <f aca="false">IFERROR(IF(K$183*K$184*K$185*K188&gt;0,STDEV(K$183:K$185, K188),"")/IF(K$183*K$184*K$185*K188&gt;0,AVERAGE(K$183:K$185, K188),""),"")</f>
        <v/>
      </c>
      <c r="AB265" s="294" t="str">
        <f aca="false">IFERROR(IF(L$183*L$184*L$185*L188&gt;0,STDEV(L$183:L$185, L188),"")/IF(L$183*L$184*L$185*L188&gt;0,AVERAGE(L$183:L$185, L188),""),"")</f>
        <v/>
      </c>
      <c r="AC265" s="294" t="str">
        <f aca="false">IFERROR(IF(M$183*M$184*M$185*M188&gt;0,STDEV(M$183:M$185, M188),"")/IF(M$183*M$184*M$185*M188&gt;0,AVERAGE(M$183:M$185, M188),""),"")</f>
        <v/>
      </c>
      <c r="AD265" s="294" t="str">
        <f aca="false">IFERROR(IF(N$183*N$184*N$185*N188&gt;0,STDEV(N$183:N$185, N188),"")/IF(N$183*N$184*N$185*N188&gt;0,AVERAGE(N$183:N$185, N188),""),"")</f>
        <v/>
      </c>
      <c r="AE265" s="44"/>
      <c r="AF265" s="266" t="s">
        <v>466</v>
      </c>
      <c r="AG265" s="303" t="str">
        <f aca="false">IFERROR(IF(C$183*C$184*C$185*C188&gt;0,STDEV(C$183:C$185, C188)," ")/IF(C$183*C$184*C$185*C188&gt;0,SQRT(COUNT(C$183:C$185, C188))," "),"")</f>
        <v/>
      </c>
      <c r="AH265" s="303" t="str">
        <f aca="false">IFERROR(IF(D$183*D$184*D$185*D188&gt;0,STDEV(D$183:D$185, D188)," ")/IF(D$183*D$184*D$185*D188&gt;0,SQRT(COUNT(D$183:D$185, D188))," "),"")</f>
        <v/>
      </c>
      <c r="AI265" s="303" t="str">
        <f aca="false">IFERROR(IF(E$183*E$184*E$185*E188&gt;0,STDEV(E$183:E$185, E188)," ")/IF(E$183*E$184*E$185*E188&gt;0,SQRT(COUNT(E$183:E$185, E188))," "),"")</f>
        <v/>
      </c>
      <c r="AJ265" s="303" t="str">
        <f aca="false">IFERROR(IF(F$183*F$184*F$185*F188&gt;0,STDEV(F$183:F$185, F188)," ")/IF(F$183*F$184*F$185*F188&gt;0,SQRT(COUNT(F$183:F$185, F188))," "),"")</f>
        <v/>
      </c>
      <c r="AK265" s="303" t="str">
        <f aca="false">IFERROR(IF(G$183*G$184*G$185*G188&gt;0,STDEV(G$183:G$185, G188)," ")/IF(G$183*G$184*G$185*G188&gt;0,SQRT(COUNT(G$183:G$185, G188))," "),"")</f>
        <v/>
      </c>
      <c r="AL265" s="303" t="str">
        <f aca="false">IFERROR(IF(H$183*H$184*H$185*H188&gt;0,STDEV(H$183:H$185, H188)," ")/IF(H$183*H$184*H$185*H188&gt;0,SQRT(COUNT(H$183:H$185, H188))," "),"")</f>
        <v/>
      </c>
      <c r="AM265" s="303" t="str">
        <f aca="false">IFERROR(IF(I$183*I$184*I$185*I188&gt;0,STDEV(I$183:I$185, I188)," ")/IF(I$183*I$184*I$185*I188&gt;0,SQRT(COUNT(I$183:I$185, I188))," "),"")</f>
        <v/>
      </c>
      <c r="AN265" s="303" t="str">
        <f aca="false">IFERROR(IF(J$183*J$184*J$185*J188&gt;0,STDEV(J$183:J$185, J188)," ")/IF(J$183*J$184*J$185*J188&gt;0,SQRT(COUNT(J$183:J$185, J188))," "),"")</f>
        <v/>
      </c>
      <c r="AO265" s="303" t="str">
        <f aca="false">IFERROR(IF(K$183*K$184*K$185*K188&gt;0,STDEV(K$183:K$185, K188)," ")/IF(K$183*K$184*K$185*K188&gt;0,SQRT(COUNT(K$183:K$185, K188))," "),"")</f>
        <v/>
      </c>
      <c r="AP265" s="303" t="str">
        <f aca="false">IFERROR(IF(L$183*L$184*L$185*L188&gt;0,STDEV(L$183:L$185, L188)," ")/IF(L$183*L$184*L$185*L188&gt;0,SQRT(COUNT(L$183:L$185, L188))," "),"")</f>
        <v/>
      </c>
      <c r="AQ265" s="303" t="str">
        <f aca="false">IFERROR(IF(M$183*M$184*M$185*M188&gt;0,STDEV(M$183:M$185, M188)," ")/IF(M$183*M$184*M$185*M188&gt;0,SQRT(COUNT(M$183:M$185, M188))," "),"")</f>
        <v/>
      </c>
      <c r="AR265" s="303" t="str">
        <f aca="false">IFERROR(IF(N$183*N$184*N$185*N188&gt;0,STDEV(N$183:N$185, N188)," ")/IF(N$183*N$184*N$185*N188&gt;0,SQRT(COUNT(N$183:N$185, N188))," "),"")</f>
        <v/>
      </c>
    </row>
    <row r="266" customFormat="false" ht="15.75" hidden="false" customHeight="false" outlineLevel="0" collapsed="false">
      <c r="A266" s="290" t="s">
        <v>467</v>
      </c>
      <c r="B266" s="281"/>
      <c r="C266" s="302" t="str">
        <f aca="false">IFERROR(IF(C$184*C$185*C$186*C182&gt;0,AVERAGE(C$184:C$186, C182),""),"")</f>
        <v/>
      </c>
      <c r="D266" s="302" t="str">
        <f aca="false">IFERROR(IF(D$184*D$185*D$186*D182&gt;0,AVERAGE(D$184:D$186, D182),""),"")</f>
        <v/>
      </c>
      <c r="E266" s="302" t="str">
        <f aca="false">IFERROR(IF(E$184*E$185*E$186*E182&gt;0,AVERAGE(E$184:E$186, E182),""),"")</f>
        <v/>
      </c>
      <c r="F266" s="302" t="str">
        <f aca="false">IFERROR(IF(F$184*F$185*F$186*F182&gt;0,AVERAGE(F$184:F$186, F182),""),"")</f>
        <v/>
      </c>
      <c r="G266" s="302" t="str">
        <f aca="false">IFERROR(IF(G$184*G$185*G$186*G182&gt;0,AVERAGE(G$184:G$186, G182),""),"")</f>
        <v/>
      </c>
      <c r="H266" s="302" t="str">
        <f aca="false">IFERROR(IF(H$184*H$185*H$186*H182&gt;0,AVERAGE(H$184:H$186, H182),""),"")</f>
        <v/>
      </c>
      <c r="I266" s="302" t="str">
        <f aca="false">IFERROR(IF(I$184*I$185*I$186*I182&gt;0,AVERAGE(I$184:I$186, I182),""),"")</f>
        <v/>
      </c>
      <c r="J266" s="302" t="str">
        <f aca="false">IFERROR(IF(J$184*J$185*J$186*J182&gt;0,AVERAGE(J$184:J$186, J182),""),"")</f>
        <v/>
      </c>
      <c r="K266" s="302" t="str">
        <f aca="false">IFERROR(IF(K$184*K$185*K$186*K182&gt;0,AVERAGE(K$184:K$186, K182),""),"")</f>
        <v/>
      </c>
      <c r="L266" s="302" t="str">
        <f aca="false">IFERROR(IF(L$184*L$185*L$186*L182&gt;0,AVERAGE(L$184:L$186, L182),""),"")</f>
        <v/>
      </c>
      <c r="M266" s="302" t="str">
        <f aca="false">IFERROR(IF(M$184*M$185*M$186*M182&gt;0,AVERAGE(M$184:M$186, M182),""),"")</f>
        <v/>
      </c>
      <c r="N266" s="302" t="str">
        <f aca="false">IFERROR(IF(N$184*N$185*N$186*N182&gt;0,AVERAGE(N$184:N$186, N182),""),"")</f>
        <v/>
      </c>
      <c r="O266" s="282"/>
      <c r="P266" s="282"/>
      <c r="Q266" s="296"/>
      <c r="R266" s="293" t="s">
        <v>468</v>
      </c>
      <c r="S266" s="294" t="str">
        <f aca="false">IFERROR(IF(C$184*C$185*C$186*C182&gt;0,STDEV(C$184:C$186, C182),"")/IF(C$184*C$185*C$186*C182&gt;0,AVERAGE(C$184:C$186, C182),""),"")</f>
        <v/>
      </c>
      <c r="T266" s="294" t="str">
        <f aca="false">IFERROR(IF(D$184*D$185*D$186*D182&gt;0,STDEV(D$184:D$186, D182),"")/IF(D$184*D$185*D$186*D182&gt;0,AVERAGE(D$184:D$186, D182),""),"")</f>
        <v/>
      </c>
      <c r="U266" s="294" t="str">
        <f aca="false">IFERROR(IF(E$184*E$185*E$186*E182&gt;0,STDEV(E$184:E$186, E182),"")/IF(E$184*E$185*E$186*E182&gt;0,AVERAGE(E$184:E$186, E182),""),"")</f>
        <v/>
      </c>
      <c r="V266" s="294" t="str">
        <f aca="false">IFERROR(IF(F$184*F$185*F$186*F182&gt;0,STDEV(F$184:F$186, F182),"")/IF(F$184*F$185*F$186*F182&gt;0,AVERAGE(F$184:F$186, F182),""),"")</f>
        <v/>
      </c>
      <c r="W266" s="294" t="str">
        <f aca="false">IFERROR(IF(G$184*G$185*G$186*G182&gt;0,STDEV(G$184:G$186, G182),"")/IF(G$184*G$185*G$186*G182&gt;0,AVERAGE(G$184:G$186, G182),""),"")</f>
        <v/>
      </c>
      <c r="X266" s="294" t="str">
        <f aca="false">IFERROR(IF(H$184*H$185*H$186*H182&gt;0,STDEV(H$184:H$186, H182),"")/IF(H$184*H$185*H$186*H182&gt;0,AVERAGE(H$184:H$186, H182),""),"")</f>
        <v/>
      </c>
      <c r="Y266" s="294" t="str">
        <f aca="false">IFERROR(IF(I$184*I$185*I$186*I182&gt;0,STDEV(I$184:I$186, I182),"")/IF(I$184*I$185*I$186*I182&gt;0,AVERAGE(I$184:I$186, I182),""),"")</f>
        <v/>
      </c>
      <c r="Z266" s="294" t="str">
        <f aca="false">IFERROR(IF(J$184*J$185*J$186*J182&gt;0,STDEV(J$184:J$186, J182),"")/IF(J$184*J$185*J$186*J182&gt;0,AVERAGE(J$184:J$186, J182),""),"")</f>
        <v/>
      </c>
      <c r="AA266" s="294" t="str">
        <f aca="false">IFERROR(IF(K$184*K$185*K$186*K182&gt;0,STDEV(K$184:K$186, K182),"")/IF(K$184*K$185*K$186*K182&gt;0,AVERAGE(K$184:K$186, K182),""),"")</f>
        <v/>
      </c>
      <c r="AB266" s="294" t="str">
        <f aca="false">IFERROR(IF(L$184*L$185*L$186*L182&gt;0,STDEV(L$184:L$186, L182),"")/IF(L$184*L$185*L$186*L182&gt;0,AVERAGE(L$184:L$186, L182),""),"")</f>
        <v/>
      </c>
      <c r="AC266" s="294" t="str">
        <f aca="false">IFERROR(IF(M$184*M$185*M$186*M182&gt;0,STDEV(M$184:M$186, M182),"")/IF(M$184*M$185*M$186*M182&gt;0,AVERAGE(M$184:M$186, M182),""),"")</f>
        <v/>
      </c>
      <c r="AD266" s="294" t="str">
        <f aca="false">IFERROR(IF(N$184*N$185*N$186*N182&gt;0,STDEV(N$184:N$186, N182),"")/IF(N$184*N$185*N$186*N182&gt;0,AVERAGE(N$184:N$186, N182),""),"")</f>
        <v/>
      </c>
      <c r="AE266" s="44"/>
      <c r="AF266" s="266" t="s">
        <v>469</v>
      </c>
      <c r="AG266" s="303" t="str">
        <f aca="false">IFERROR(IF(C$184*C$185*C$186*C182&gt;0,STDEV(C$184:C$186, C182)," ")/IF(C$184*C$185*C$186*C182&gt;0,SQRT(COUNT(C$184:C$186, C182))," "),"")</f>
        <v/>
      </c>
      <c r="AH266" s="303" t="str">
        <f aca="false">IFERROR(IF(D$184*D$185*D$186*D182&gt;0,STDEV(D$184:D$186, D182)," ")/IF(D$184*D$185*D$186*D182&gt;0,SQRT(COUNT(D$184:D$186, D182))," "),"")</f>
        <v/>
      </c>
      <c r="AI266" s="303" t="str">
        <f aca="false">IFERROR(IF(E$184*E$185*E$186*E182&gt;0,STDEV(E$184:E$186, E182)," ")/IF(E$184*E$185*E$186*E182&gt;0,SQRT(COUNT(E$184:E$186, E182))," "),"")</f>
        <v/>
      </c>
      <c r="AJ266" s="303" t="str">
        <f aca="false">IFERROR(IF(F$184*F$185*F$186*F182&gt;0,STDEV(F$184:F$186, F182)," ")/IF(F$184*F$185*F$186*F182&gt;0,SQRT(COUNT(F$184:F$186, F182))," "),"")</f>
        <v/>
      </c>
      <c r="AK266" s="303" t="str">
        <f aca="false">IFERROR(IF(G$184*G$185*G$186*G182&gt;0,STDEV(G$184:G$186, G182)," ")/IF(G$184*G$185*G$186*G182&gt;0,SQRT(COUNT(G$184:G$186, G182))," "),"")</f>
        <v/>
      </c>
      <c r="AL266" s="303" t="str">
        <f aca="false">IFERROR(IF(H$184*H$185*H$186*H182&gt;0,STDEV(H$184:H$186, H182)," ")/IF(H$184*H$185*H$186*H182&gt;0,SQRT(COUNT(H$184:H$186, H182))," "),"")</f>
        <v/>
      </c>
      <c r="AM266" s="303" t="str">
        <f aca="false">IFERROR(IF(I$184*I$185*I$186*I182&gt;0,STDEV(I$184:I$186, I182)," ")/IF(I$184*I$185*I$186*I182&gt;0,SQRT(COUNT(I$184:I$186, I182))," "),"")</f>
        <v/>
      </c>
      <c r="AN266" s="303" t="str">
        <f aca="false">IFERROR(IF(J$184*J$185*J$186*J182&gt;0,STDEV(J$184:J$186, J182)," ")/IF(J$184*J$185*J$186*J182&gt;0,SQRT(COUNT(J$184:J$186, J182))," "),"")</f>
        <v/>
      </c>
      <c r="AO266" s="303" t="str">
        <f aca="false">IFERROR(IF(K$184*K$185*K$186*K182&gt;0,STDEV(K$184:K$186, K182)," ")/IF(K$184*K$185*K$186*K182&gt;0,SQRT(COUNT(K$184:K$186, K182))," "),"")</f>
        <v/>
      </c>
      <c r="AP266" s="303" t="str">
        <f aca="false">IFERROR(IF(L$184*L$185*L$186*L182&gt;0,STDEV(L$184:L$186, L182)," ")/IF(L$184*L$185*L$186*L182&gt;0,SQRT(COUNT(L$184:L$186, L182))," "),"")</f>
        <v/>
      </c>
      <c r="AQ266" s="303" t="str">
        <f aca="false">IFERROR(IF(M$184*M$185*M$186*M182&gt;0,STDEV(M$184:M$186, M182)," ")/IF(M$184*M$185*M$186*M182&gt;0,SQRT(COUNT(M$184:M$186, M182))," "),"")</f>
        <v/>
      </c>
      <c r="AR266" s="303" t="str">
        <f aca="false">IFERROR(IF(N$184*N$185*N$186*N182&gt;0,STDEV(N$184:N$186, N182)," ")/IF(N$184*N$185*N$186*N182&gt;0,SQRT(COUNT(N$184:N$186, N182))," "),"")</f>
        <v/>
      </c>
    </row>
    <row r="267" customFormat="false" ht="15.75" hidden="false" customHeight="false" outlineLevel="0" collapsed="false">
      <c r="A267" s="290" t="s">
        <v>470</v>
      </c>
      <c r="B267" s="281"/>
      <c r="C267" s="302" t="str">
        <f aca="false">IFERROR(IF(C$184*C$185*C$186*C183&gt;0,AVERAGE(C$184:C$186, C183),""),"")</f>
        <v/>
      </c>
      <c r="D267" s="302" t="str">
        <f aca="false">IFERROR(IF(D$184*D$185*D$186*D183&gt;0,AVERAGE(D$184:D$186, D183),""),"")</f>
        <v/>
      </c>
      <c r="E267" s="302" t="str">
        <f aca="false">IFERROR(IF(E$184*E$185*E$186*E183&gt;0,AVERAGE(E$184:E$186, E183),""),"")</f>
        <v/>
      </c>
      <c r="F267" s="302" t="str">
        <f aca="false">IFERROR(IF(F$184*F$185*F$186*F183&gt;0,AVERAGE(F$184:F$186, F183),""),"")</f>
        <v/>
      </c>
      <c r="G267" s="302" t="str">
        <f aca="false">IFERROR(IF(G$184*G$185*G$186*G183&gt;0,AVERAGE(G$184:G$186, G183),""),"")</f>
        <v/>
      </c>
      <c r="H267" s="302" t="str">
        <f aca="false">IFERROR(IF(H$184*H$185*H$186*H183&gt;0,AVERAGE(H$184:H$186, H183),""),"")</f>
        <v/>
      </c>
      <c r="I267" s="302" t="str">
        <f aca="false">IFERROR(IF(I$184*I$185*I$186*I183&gt;0,AVERAGE(I$184:I$186, I183),""),"")</f>
        <v/>
      </c>
      <c r="J267" s="302" t="str">
        <f aca="false">IFERROR(IF(J$184*J$185*J$186*J183&gt;0,AVERAGE(J$184:J$186, J183),""),"")</f>
        <v/>
      </c>
      <c r="K267" s="302" t="str">
        <f aca="false">IFERROR(IF(K$184*K$185*K$186*K183&gt;0,AVERAGE(K$184:K$186, K183),""),"")</f>
        <v/>
      </c>
      <c r="L267" s="302" t="str">
        <f aca="false">IFERROR(IF(L$184*L$185*L$186*L183&gt;0,AVERAGE(L$184:L$186, L183),""),"")</f>
        <v/>
      </c>
      <c r="M267" s="302" t="str">
        <f aca="false">IFERROR(IF(M$184*M$185*M$186*M183&gt;0,AVERAGE(M$184:M$186, M183),""),"")</f>
        <v/>
      </c>
      <c r="N267" s="302" t="str">
        <f aca="false">IFERROR(IF(N$184*N$185*N$186*N183&gt;0,AVERAGE(N$184:N$186, N183),""),"")</f>
        <v/>
      </c>
      <c r="O267" s="282"/>
      <c r="P267" s="282"/>
      <c r="Q267" s="296"/>
      <c r="R267" s="293" t="s">
        <v>471</v>
      </c>
      <c r="S267" s="294" t="str">
        <f aca="false">IFERROR(IF(C$184*C$185*C$186*C183&gt;0,STDEV(C$184:C$186, C183),"")/IF(C$184*C$185*C$186*C183&gt;0,AVERAGE(C$184:C$186, C183),""),"")</f>
        <v/>
      </c>
      <c r="T267" s="294" t="str">
        <f aca="false">IFERROR(IF(D$184*D$185*D$186*D183&gt;0,STDEV(D$184:D$186, D183),"")/IF(D$184*D$185*D$186*D183&gt;0,AVERAGE(D$184:D$186, D183),""),"")</f>
        <v/>
      </c>
      <c r="U267" s="294" t="str">
        <f aca="false">IFERROR(IF(E$184*E$185*E$186*E183&gt;0,STDEV(E$184:E$186, E183),"")/IF(E$184*E$185*E$186*E183&gt;0,AVERAGE(E$184:E$186, E183),""),"")</f>
        <v/>
      </c>
      <c r="V267" s="294" t="str">
        <f aca="false">IFERROR(IF(F$184*F$185*F$186*F183&gt;0,STDEV(F$184:F$186, F183),"")/IF(F$184*F$185*F$186*F183&gt;0,AVERAGE(F$184:F$186, F183),""),"")</f>
        <v/>
      </c>
      <c r="W267" s="294" t="str">
        <f aca="false">IFERROR(IF(G$184*G$185*G$186*G183&gt;0,STDEV(G$184:G$186, G183),"")/IF(G$184*G$185*G$186*G183&gt;0,AVERAGE(G$184:G$186, G183),""),"")</f>
        <v/>
      </c>
      <c r="X267" s="294" t="str">
        <f aca="false">IFERROR(IF(H$184*H$185*H$186*H183&gt;0,STDEV(H$184:H$186, H183),"")/IF(H$184*H$185*H$186*H183&gt;0,AVERAGE(H$184:H$186, H183),""),"")</f>
        <v/>
      </c>
      <c r="Y267" s="294" t="str">
        <f aca="false">IFERROR(IF(I$184*I$185*I$186*I183&gt;0,STDEV(I$184:I$186, I183),"")/IF(I$184*I$185*I$186*I183&gt;0,AVERAGE(I$184:I$186, I183),""),"")</f>
        <v/>
      </c>
      <c r="Z267" s="294" t="str">
        <f aca="false">IFERROR(IF(J$184*J$185*J$186*J183&gt;0,STDEV(J$184:J$186, J183),"")/IF(J$184*J$185*J$186*J183&gt;0,AVERAGE(J$184:J$186, J183),""),"")</f>
        <v/>
      </c>
      <c r="AA267" s="294" t="str">
        <f aca="false">IFERROR(IF(K$184*K$185*K$186*K183&gt;0,STDEV(K$184:K$186, K183),"")/IF(K$184*K$185*K$186*K183&gt;0,AVERAGE(K$184:K$186, K183),""),"")</f>
        <v/>
      </c>
      <c r="AB267" s="294" t="str">
        <f aca="false">IFERROR(IF(L$184*L$185*L$186*L183&gt;0,STDEV(L$184:L$186, L183),"")/IF(L$184*L$185*L$186*L183&gt;0,AVERAGE(L$184:L$186, L183),""),"")</f>
        <v/>
      </c>
      <c r="AC267" s="294" t="str">
        <f aca="false">IFERROR(IF(M$184*M$185*M$186*M183&gt;0,STDEV(M$184:M$186, M183),"")/IF(M$184*M$185*M$186*M183&gt;0,AVERAGE(M$184:M$186, M183),""),"")</f>
        <v/>
      </c>
      <c r="AD267" s="294" t="str">
        <f aca="false">IFERROR(IF(N$184*N$185*N$186*N183&gt;0,STDEV(N$184:N$186, N183),"")/IF(N$184*N$185*N$186*N183&gt;0,AVERAGE(N$184:N$186, N183),""),"")</f>
        <v/>
      </c>
      <c r="AE267" s="44"/>
      <c r="AF267" s="266" t="s">
        <v>472</v>
      </c>
      <c r="AG267" s="303" t="str">
        <f aca="false">IFERROR(IF(C$184*C$185*C$186*C183&gt;0,STDEV(C$184:C$186, C183)," ")/IF(C$184*C$185*C$186*C183&gt;0,SQRT(COUNT(C$184:C$186, C183))," "),"")</f>
        <v/>
      </c>
      <c r="AH267" s="303" t="str">
        <f aca="false">IFERROR(IF(D$184*D$185*D$186*D183&gt;0,STDEV(D$184:D$186, D183)," ")/IF(D$184*D$185*D$186*D183&gt;0,SQRT(COUNT(D$184:D$186, D183))," "),"")</f>
        <v/>
      </c>
      <c r="AI267" s="303" t="str">
        <f aca="false">IFERROR(IF(E$184*E$185*E$186*E183&gt;0,STDEV(E$184:E$186, E183)," ")/IF(E$184*E$185*E$186*E183&gt;0,SQRT(COUNT(E$184:E$186, E183))," "),"")</f>
        <v/>
      </c>
      <c r="AJ267" s="303" t="str">
        <f aca="false">IFERROR(IF(F$184*F$185*F$186*F183&gt;0,STDEV(F$184:F$186, F183)," ")/IF(F$184*F$185*F$186*F183&gt;0,SQRT(COUNT(F$184:F$186, F183))," "),"")</f>
        <v/>
      </c>
      <c r="AK267" s="303" t="str">
        <f aca="false">IFERROR(IF(G$184*G$185*G$186*G183&gt;0,STDEV(G$184:G$186, G183)," ")/IF(G$184*G$185*G$186*G183&gt;0,SQRT(COUNT(G$184:G$186, G183))," "),"")</f>
        <v/>
      </c>
      <c r="AL267" s="303" t="str">
        <f aca="false">IFERROR(IF(H$184*H$185*H$186*H183&gt;0,STDEV(H$184:H$186, H183)," ")/IF(H$184*H$185*H$186*H183&gt;0,SQRT(COUNT(H$184:H$186, H183))," "),"")</f>
        <v/>
      </c>
      <c r="AM267" s="303" t="str">
        <f aca="false">IFERROR(IF(I$184*I$185*I$186*I183&gt;0,STDEV(I$184:I$186, I183)," ")/IF(I$184*I$185*I$186*I183&gt;0,SQRT(COUNT(I$184:I$186, I183))," "),"")</f>
        <v/>
      </c>
      <c r="AN267" s="303" t="str">
        <f aca="false">IFERROR(IF(J$184*J$185*J$186*J183&gt;0,STDEV(J$184:J$186, J183)," ")/IF(J$184*J$185*J$186*J183&gt;0,SQRT(COUNT(J$184:J$186, J183))," "),"")</f>
        <v/>
      </c>
      <c r="AO267" s="303" t="str">
        <f aca="false">IFERROR(IF(K$184*K$185*K$186*K183&gt;0,STDEV(K$184:K$186, K183)," ")/IF(K$184*K$185*K$186*K183&gt;0,SQRT(COUNT(K$184:K$186, K183))," "),"")</f>
        <v/>
      </c>
      <c r="AP267" s="303" t="str">
        <f aca="false">IFERROR(IF(L$184*L$185*L$186*L183&gt;0,STDEV(L$184:L$186, L183)," ")/IF(L$184*L$185*L$186*L183&gt;0,SQRT(COUNT(L$184:L$186, L183))," "),"")</f>
        <v/>
      </c>
      <c r="AQ267" s="303" t="str">
        <f aca="false">IFERROR(IF(M$184*M$185*M$186*M183&gt;0,STDEV(M$184:M$186, M183)," ")/IF(M$184*M$185*M$186*M183&gt;0,SQRT(COUNT(M$184:M$186, M183))," "),"")</f>
        <v/>
      </c>
      <c r="AR267" s="303" t="str">
        <f aca="false">IFERROR(IF(N$184*N$185*N$186*N183&gt;0,STDEV(N$184:N$186, N183)," ")/IF(N$184*N$185*N$186*N183&gt;0,SQRT(COUNT(N$184:N$186, N183))," "),"")</f>
        <v/>
      </c>
    </row>
    <row r="268" customFormat="false" ht="15.75" hidden="false" customHeight="false" outlineLevel="0" collapsed="false">
      <c r="A268" s="290" t="s">
        <v>473</v>
      </c>
      <c r="B268" s="281"/>
      <c r="C268" s="302" t="str">
        <f aca="false">IFERROR(IF(C$184*C$185*C$186*C187&gt;0,AVERAGE(C$184:C$186, C187),""),"")</f>
        <v/>
      </c>
      <c r="D268" s="302" t="str">
        <f aca="false">IFERROR(IF(D$184*D$185*D$186*D187&gt;0,AVERAGE(D$184:D$186, D187),""),"")</f>
        <v/>
      </c>
      <c r="E268" s="302" t="str">
        <f aca="false">IFERROR(IF(E$184*E$185*E$186*E187&gt;0,AVERAGE(E$184:E$186, E187),""),"")</f>
        <v/>
      </c>
      <c r="F268" s="302" t="str">
        <f aca="false">IFERROR(IF(F$184*F$185*F$186*F187&gt;0,AVERAGE(F$184:F$186, F187),""),"")</f>
        <v/>
      </c>
      <c r="G268" s="302" t="str">
        <f aca="false">IFERROR(IF(G$184*G$185*G$186*G187&gt;0,AVERAGE(G$184:G$186, G187),""),"")</f>
        <v/>
      </c>
      <c r="H268" s="302" t="str">
        <f aca="false">IFERROR(IF(H$184*H$185*H$186*H187&gt;0,AVERAGE(H$184:H$186, H187),""),"")</f>
        <v/>
      </c>
      <c r="I268" s="302" t="str">
        <f aca="false">IFERROR(IF(I$184*I$185*I$186*I187&gt;0,AVERAGE(I$184:I$186, I187),""),"")</f>
        <v/>
      </c>
      <c r="J268" s="302" t="str">
        <f aca="false">IFERROR(IF(J$184*J$185*J$186*J187&gt;0,AVERAGE(J$184:J$186, J187),""),"")</f>
        <v/>
      </c>
      <c r="K268" s="302" t="str">
        <f aca="false">IFERROR(IF(K$184*K$185*K$186*K187&gt;0,AVERAGE(K$184:K$186, K187),""),"")</f>
        <v/>
      </c>
      <c r="L268" s="302" t="str">
        <f aca="false">IFERROR(IF(L$184*L$185*L$186*L187&gt;0,AVERAGE(L$184:L$186, L187),""),"")</f>
        <v/>
      </c>
      <c r="M268" s="302" t="str">
        <f aca="false">IFERROR(IF(M$184*M$185*M$186*M187&gt;0,AVERAGE(M$184:M$186, M187),""),"")</f>
        <v/>
      </c>
      <c r="N268" s="302" t="str">
        <f aca="false">IFERROR(IF(N$184*N$185*N$186*N187&gt;0,AVERAGE(N$184:N$186, N187),""),"")</f>
        <v/>
      </c>
      <c r="O268" s="282"/>
      <c r="P268" s="282"/>
      <c r="Q268" s="296"/>
      <c r="R268" s="293" t="s">
        <v>474</v>
      </c>
      <c r="S268" s="294" t="str">
        <f aca="false">IFERROR(IF(C$184*C$185*C$186*C187&gt;0,STDEV(C$184:C$186, C187),"")/IF(C$184*C$185*C$186*C187&gt;0,AVERAGE(C$184:C$186, C187),""),"")</f>
        <v/>
      </c>
      <c r="T268" s="294" t="str">
        <f aca="false">IFERROR(IF(D$184*D$185*D$186*D187&gt;0,STDEV(D$184:D$186, D187),"")/IF(D$184*D$185*D$186*D187&gt;0,AVERAGE(D$184:D$186, D187),""),"")</f>
        <v/>
      </c>
      <c r="U268" s="294" t="str">
        <f aca="false">IFERROR(IF(E$184*E$185*E$186*E187&gt;0,STDEV(E$184:E$186, E187),"")/IF(E$184*E$185*E$186*E187&gt;0,AVERAGE(E$184:E$186, E187),""),"")</f>
        <v/>
      </c>
      <c r="V268" s="294" t="str">
        <f aca="false">IFERROR(IF(F$184*F$185*F$186*F187&gt;0,STDEV(F$184:F$186, F187),"")/IF(F$184*F$185*F$186*F187&gt;0,AVERAGE(F$184:F$186, F187),""),"")</f>
        <v/>
      </c>
      <c r="W268" s="294" t="str">
        <f aca="false">IFERROR(IF(G$184*G$185*G$186*G187&gt;0,STDEV(G$184:G$186, G187),"")/IF(G$184*G$185*G$186*G187&gt;0,AVERAGE(G$184:G$186, G187),""),"")</f>
        <v/>
      </c>
      <c r="X268" s="294" t="str">
        <f aca="false">IFERROR(IF(H$184*H$185*H$186*H187&gt;0,STDEV(H$184:H$186, H187),"")/IF(H$184*H$185*H$186*H187&gt;0,AVERAGE(H$184:H$186, H187),""),"")</f>
        <v/>
      </c>
      <c r="Y268" s="294" t="str">
        <f aca="false">IFERROR(IF(I$184*I$185*I$186*I187&gt;0,STDEV(I$184:I$186, I187),"")/IF(I$184*I$185*I$186*I187&gt;0,AVERAGE(I$184:I$186, I187),""),"")</f>
        <v/>
      </c>
      <c r="Z268" s="294" t="str">
        <f aca="false">IFERROR(IF(J$184*J$185*J$186*J187&gt;0,STDEV(J$184:J$186, J187),"")/IF(J$184*J$185*J$186*J187&gt;0,AVERAGE(J$184:J$186, J187),""),"")</f>
        <v/>
      </c>
      <c r="AA268" s="294" t="str">
        <f aca="false">IFERROR(IF(K$184*K$185*K$186*K187&gt;0,STDEV(K$184:K$186, K187),"")/IF(K$184*K$185*K$186*K187&gt;0,AVERAGE(K$184:K$186, K187),""),"")</f>
        <v/>
      </c>
      <c r="AB268" s="294" t="str">
        <f aca="false">IFERROR(IF(L$184*L$185*L$186*L187&gt;0,STDEV(L$184:L$186, L187),"")/IF(L$184*L$185*L$186*L187&gt;0,AVERAGE(L$184:L$186, L187),""),"")</f>
        <v/>
      </c>
      <c r="AC268" s="294" t="str">
        <f aca="false">IFERROR(IF(M$184*M$185*M$186*M187&gt;0,STDEV(M$184:M$186, M187),"")/IF(M$184*M$185*M$186*M187&gt;0,AVERAGE(M$184:M$186, M187),""),"")</f>
        <v/>
      </c>
      <c r="AD268" s="294" t="str">
        <f aca="false">IFERROR(IF(N$184*N$185*N$186*N187&gt;0,STDEV(N$184:N$186, N187),"")/IF(N$184*N$185*N$186*N187&gt;0,AVERAGE(N$184:N$186, N187),""),"")</f>
        <v/>
      </c>
      <c r="AE268" s="44"/>
      <c r="AF268" s="266" t="s">
        <v>475</v>
      </c>
      <c r="AG268" s="303" t="str">
        <f aca="false">IFERROR(IF(C$184*C$185*C$186*C187&gt;0,STDEV(C$184:C$186, C187)," ")/IF(C$184*C$185*C$186*C187&gt;0,SQRT(COUNT(C$184:C$186, C187))," "),"")</f>
        <v/>
      </c>
      <c r="AH268" s="303" t="str">
        <f aca="false">IFERROR(IF(D$184*D$185*D$186*D187&gt;0,STDEV(D$184:D$186, D187)," ")/IF(D$184*D$185*D$186*D187&gt;0,SQRT(COUNT(D$184:D$186, D187))," "),"")</f>
        <v/>
      </c>
      <c r="AI268" s="303" t="str">
        <f aca="false">IFERROR(IF(E$184*E$185*E$186*E187&gt;0,STDEV(E$184:E$186, E187)," ")/IF(E$184*E$185*E$186*E187&gt;0,SQRT(COUNT(E$184:E$186, E187))," "),"")</f>
        <v/>
      </c>
      <c r="AJ268" s="303" t="str">
        <f aca="false">IFERROR(IF(F$184*F$185*F$186*F187&gt;0,STDEV(F$184:F$186, F187)," ")/IF(F$184*F$185*F$186*F187&gt;0,SQRT(COUNT(F$184:F$186, F187))," "),"")</f>
        <v/>
      </c>
      <c r="AK268" s="303" t="str">
        <f aca="false">IFERROR(IF(G$184*G$185*G$186*G187&gt;0,STDEV(G$184:G$186, G187)," ")/IF(G$184*G$185*G$186*G187&gt;0,SQRT(COUNT(G$184:G$186, G187))," "),"")</f>
        <v/>
      </c>
      <c r="AL268" s="303" t="str">
        <f aca="false">IFERROR(IF(H$184*H$185*H$186*H187&gt;0,STDEV(H$184:H$186, H187)," ")/IF(H$184*H$185*H$186*H187&gt;0,SQRT(COUNT(H$184:H$186, H187))," "),"")</f>
        <v/>
      </c>
      <c r="AM268" s="303" t="str">
        <f aca="false">IFERROR(IF(I$184*I$185*I$186*I187&gt;0,STDEV(I$184:I$186, I187)," ")/IF(I$184*I$185*I$186*I187&gt;0,SQRT(COUNT(I$184:I$186, I187))," "),"")</f>
        <v/>
      </c>
      <c r="AN268" s="303" t="str">
        <f aca="false">IFERROR(IF(J$184*J$185*J$186*J187&gt;0,STDEV(J$184:J$186, J187)," ")/IF(J$184*J$185*J$186*J187&gt;0,SQRT(COUNT(J$184:J$186, J187))," "),"")</f>
        <v/>
      </c>
      <c r="AO268" s="303" t="str">
        <f aca="false">IFERROR(IF(K$184*K$185*K$186*K187&gt;0,STDEV(K$184:K$186, K187)," ")/IF(K$184*K$185*K$186*K187&gt;0,SQRT(COUNT(K$184:K$186, K187))," "),"")</f>
        <v/>
      </c>
      <c r="AP268" s="303" t="str">
        <f aca="false">IFERROR(IF(L$184*L$185*L$186*L187&gt;0,STDEV(L$184:L$186, L187)," ")/IF(L$184*L$185*L$186*L187&gt;0,SQRT(COUNT(L$184:L$186, L187))," "),"")</f>
        <v/>
      </c>
      <c r="AQ268" s="303" t="str">
        <f aca="false">IFERROR(IF(M$184*M$185*M$186*M187&gt;0,STDEV(M$184:M$186, M187)," ")/IF(M$184*M$185*M$186*M187&gt;0,SQRT(COUNT(M$184:M$186, M187))," "),"")</f>
        <v/>
      </c>
      <c r="AR268" s="303" t="str">
        <f aca="false">IFERROR(IF(N$184*N$185*N$186*N187&gt;0,STDEV(N$184:N$186, N187)," ")/IF(N$184*N$185*N$186*N187&gt;0,SQRT(COUNT(N$184:N$186, N187))," "),"")</f>
        <v/>
      </c>
    </row>
    <row r="269" customFormat="false" ht="15.75" hidden="false" customHeight="false" outlineLevel="0" collapsed="false">
      <c r="A269" s="290" t="s">
        <v>476</v>
      </c>
      <c r="B269" s="281"/>
      <c r="C269" s="302" t="str">
        <f aca="false">IFERROR(IF(C$184*C$185*C$186*C188&gt;0,AVERAGE(C$184:C$186, C188),""),"")</f>
        <v/>
      </c>
      <c r="D269" s="302" t="str">
        <f aca="false">IFERROR(IF(D$184*D$185*D$186*D188&gt;0,AVERAGE(D$184:D$186, D188),""),"")</f>
        <v/>
      </c>
      <c r="E269" s="302" t="str">
        <f aca="false">IFERROR(IF(E$184*E$185*E$186*E188&gt;0,AVERAGE(E$184:E$186, E188),""),"")</f>
        <v/>
      </c>
      <c r="F269" s="302" t="str">
        <f aca="false">IFERROR(IF(F$184*F$185*F$186*F188&gt;0,AVERAGE(F$184:F$186, F188),""),"")</f>
        <v/>
      </c>
      <c r="G269" s="302" t="str">
        <f aca="false">IFERROR(IF(G$184*G$185*G$186*G188&gt;0,AVERAGE(G$184:G$186, G188),""),"")</f>
        <v/>
      </c>
      <c r="H269" s="302" t="str">
        <f aca="false">IFERROR(IF(H$184*H$185*H$186*H188&gt;0,AVERAGE(H$184:H$186, H188),""),"")</f>
        <v/>
      </c>
      <c r="I269" s="302" t="str">
        <f aca="false">IFERROR(IF(I$184*I$185*I$186*I188&gt;0,AVERAGE(I$184:I$186, I188),""),"")</f>
        <v/>
      </c>
      <c r="J269" s="302" t="str">
        <f aca="false">IFERROR(IF(J$184*J$185*J$186*J188&gt;0,AVERAGE(J$184:J$186, J188),""),"")</f>
        <v/>
      </c>
      <c r="K269" s="302" t="str">
        <f aca="false">IFERROR(IF(K$184*K$185*K$186*K188&gt;0,AVERAGE(K$184:K$186, K188),""),"")</f>
        <v/>
      </c>
      <c r="L269" s="302" t="str">
        <f aca="false">IFERROR(IF(L$184*L$185*L$186*L188&gt;0,AVERAGE(L$184:L$186, L188),""),"")</f>
        <v/>
      </c>
      <c r="M269" s="302" t="str">
        <f aca="false">IFERROR(IF(M$184*M$185*M$186*M188&gt;0,AVERAGE(M$184:M$186, M188),""),"")</f>
        <v/>
      </c>
      <c r="N269" s="302" t="str">
        <f aca="false">IFERROR(IF(N$184*N$185*N$186*N188&gt;0,AVERAGE(N$184:N$186, N188),""),"")</f>
        <v/>
      </c>
      <c r="O269" s="282"/>
      <c r="P269" s="282"/>
      <c r="Q269" s="296"/>
      <c r="R269" s="293" t="s">
        <v>477</v>
      </c>
      <c r="S269" s="294" t="str">
        <f aca="false">IFERROR(IF(C$184*C$185*C$186*C188&gt;0,STDEV(C$184:C$186, C188),"")/IF(C$184*C$185*C$186*C188&gt;0,AVERAGE(C$184:C$186, C188),""),"")</f>
        <v/>
      </c>
      <c r="T269" s="294" t="str">
        <f aca="false">IFERROR(IF(D$184*D$185*D$186*D188&gt;0,STDEV(D$184:D$186, D188),"")/IF(D$184*D$185*D$186*D188&gt;0,AVERAGE(D$184:D$186, D188),""),"")</f>
        <v/>
      </c>
      <c r="U269" s="294" t="str">
        <f aca="false">IFERROR(IF(E$184*E$185*E$186*E188&gt;0,STDEV(E$184:E$186, E188),"")/IF(E$184*E$185*E$186*E188&gt;0,AVERAGE(E$184:E$186, E188),""),"")</f>
        <v/>
      </c>
      <c r="V269" s="294" t="str">
        <f aca="false">IFERROR(IF(F$184*F$185*F$186*F188&gt;0,STDEV(F$184:F$186, F188),"")/IF(F$184*F$185*F$186*F188&gt;0,AVERAGE(F$184:F$186, F188),""),"")</f>
        <v/>
      </c>
      <c r="W269" s="294" t="str">
        <f aca="false">IFERROR(IF(G$184*G$185*G$186*G188&gt;0,STDEV(G$184:G$186, G188),"")/IF(G$184*G$185*G$186*G188&gt;0,AVERAGE(G$184:G$186, G188),""),"")</f>
        <v/>
      </c>
      <c r="X269" s="294" t="str">
        <f aca="false">IFERROR(IF(H$184*H$185*H$186*H188&gt;0,STDEV(H$184:H$186, H188),"")/IF(H$184*H$185*H$186*H188&gt;0,AVERAGE(H$184:H$186, H188),""),"")</f>
        <v/>
      </c>
      <c r="Y269" s="294" t="str">
        <f aca="false">IFERROR(IF(I$184*I$185*I$186*I188&gt;0,STDEV(I$184:I$186, I188),"")/IF(I$184*I$185*I$186*I188&gt;0,AVERAGE(I$184:I$186, I188),""),"")</f>
        <v/>
      </c>
      <c r="Z269" s="294" t="str">
        <f aca="false">IFERROR(IF(J$184*J$185*J$186*J188&gt;0,STDEV(J$184:J$186, J188),"")/IF(J$184*J$185*J$186*J188&gt;0,AVERAGE(J$184:J$186, J188),""),"")</f>
        <v/>
      </c>
      <c r="AA269" s="294" t="str">
        <f aca="false">IFERROR(IF(K$184*K$185*K$186*K188&gt;0,STDEV(K$184:K$186, K188),"")/IF(K$184*K$185*K$186*K188&gt;0,AVERAGE(K$184:K$186, K188),""),"")</f>
        <v/>
      </c>
      <c r="AB269" s="294" t="str">
        <f aca="false">IFERROR(IF(L$184*L$185*L$186*L188&gt;0,STDEV(L$184:L$186, L188),"")/IF(L$184*L$185*L$186*L188&gt;0,AVERAGE(L$184:L$186, L188),""),"")</f>
        <v/>
      </c>
      <c r="AC269" s="294" t="str">
        <f aca="false">IFERROR(IF(M$184*M$185*M$186*M188&gt;0,STDEV(M$184:M$186, M188),"")/IF(M$184*M$185*M$186*M188&gt;0,AVERAGE(M$184:M$186, M188),""),"")</f>
        <v/>
      </c>
      <c r="AD269" s="294" t="str">
        <f aca="false">IFERROR(IF(N$184*N$185*N$186*N188&gt;0,STDEV(N$184:N$186, N188),"")/IF(N$184*N$185*N$186*N188&gt;0,AVERAGE(N$184:N$186, N188),""),"")</f>
        <v/>
      </c>
      <c r="AE269" s="44"/>
      <c r="AF269" s="266" t="s">
        <v>478</v>
      </c>
      <c r="AG269" s="303" t="str">
        <f aca="false">IFERROR(IF(C$184*C$185*C$186*C188&gt;0,STDEV(C$184:C$186, C188)," ")/IF(C$184*C$185*C$186*C188&gt;0,SQRT(COUNT(C$184:C$186, C188))," "),"")</f>
        <v/>
      </c>
      <c r="AH269" s="303" t="str">
        <f aca="false">IFERROR(IF(D$184*D$185*D$186*D188&gt;0,STDEV(D$184:D$186, D188)," ")/IF(D$184*D$185*D$186*D188&gt;0,SQRT(COUNT(D$184:D$186, D188))," "),"")</f>
        <v/>
      </c>
      <c r="AI269" s="303" t="str">
        <f aca="false">IFERROR(IF(E$184*E$185*E$186*E188&gt;0,STDEV(E$184:E$186, E188)," ")/IF(E$184*E$185*E$186*E188&gt;0,SQRT(COUNT(E$184:E$186, E188))," "),"")</f>
        <v/>
      </c>
      <c r="AJ269" s="303" t="str">
        <f aca="false">IFERROR(IF(F$184*F$185*F$186*F188&gt;0,STDEV(F$184:F$186, F188)," ")/IF(F$184*F$185*F$186*F188&gt;0,SQRT(COUNT(F$184:F$186, F188))," "),"")</f>
        <v/>
      </c>
      <c r="AK269" s="303" t="str">
        <f aca="false">IFERROR(IF(G$184*G$185*G$186*G188&gt;0,STDEV(G$184:G$186, G188)," ")/IF(G$184*G$185*G$186*G188&gt;0,SQRT(COUNT(G$184:G$186, G188))," "),"")</f>
        <v/>
      </c>
      <c r="AL269" s="303" t="str">
        <f aca="false">IFERROR(IF(H$184*H$185*H$186*H188&gt;0,STDEV(H$184:H$186, H188)," ")/IF(H$184*H$185*H$186*H188&gt;0,SQRT(COUNT(H$184:H$186, H188))," "),"")</f>
        <v/>
      </c>
      <c r="AM269" s="303" t="str">
        <f aca="false">IFERROR(IF(I$184*I$185*I$186*I188&gt;0,STDEV(I$184:I$186, I188)," ")/IF(I$184*I$185*I$186*I188&gt;0,SQRT(COUNT(I$184:I$186, I188))," "),"")</f>
        <v/>
      </c>
      <c r="AN269" s="303" t="str">
        <f aca="false">IFERROR(IF(J$184*J$185*J$186*J188&gt;0,STDEV(J$184:J$186, J188)," ")/IF(J$184*J$185*J$186*J188&gt;0,SQRT(COUNT(J$184:J$186, J188))," "),"")</f>
        <v/>
      </c>
      <c r="AO269" s="303" t="str">
        <f aca="false">IFERROR(IF(K$184*K$185*K$186*K188&gt;0,STDEV(K$184:K$186, K188)," ")/IF(K$184*K$185*K$186*K188&gt;0,SQRT(COUNT(K$184:K$186, K188))," "),"")</f>
        <v/>
      </c>
      <c r="AP269" s="303" t="str">
        <f aca="false">IFERROR(IF(L$184*L$185*L$186*L188&gt;0,STDEV(L$184:L$186, L188)," ")/IF(L$184*L$185*L$186*L188&gt;0,SQRT(COUNT(L$184:L$186, L188))," "),"")</f>
        <v/>
      </c>
      <c r="AQ269" s="303" t="str">
        <f aca="false">IFERROR(IF(M$184*M$185*M$186*M188&gt;0,STDEV(M$184:M$186, M188)," ")/IF(M$184*M$185*M$186*M188&gt;0,SQRT(COUNT(M$184:M$186, M188))," "),"")</f>
        <v/>
      </c>
      <c r="AR269" s="303" t="str">
        <f aca="false">IFERROR(IF(N$184*N$185*N$186*N188&gt;0,STDEV(N$184:N$186, N188)," ")/IF(N$184*N$185*N$186*N188&gt;0,SQRT(COUNT(N$184:N$186, N188))," "),"")</f>
        <v/>
      </c>
    </row>
    <row r="270" customFormat="false" ht="15.75" hidden="false" customHeight="false" outlineLevel="0" collapsed="false">
      <c r="A270" s="290" t="s">
        <v>479</v>
      </c>
      <c r="B270" s="281"/>
      <c r="C270" s="302" t="str">
        <f aca="false">IFERROR(IF(C$185*C$186*C$187*C182&gt;0,AVERAGE(C$185:C$187, C182),""),"")</f>
        <v/>
      </c>
      <c r="D270" s="302" t="str">
        <f aca="false">IFERROR(IF(D$185*D$186*D$187*D182&gt;0,AVERAGE(D$185:D$187, D182),""),"")</f>
        <v/>
      </c>
      <c r="E270" s="302" t="str">
        <f aca="false">IFERROR(IF(E$185*E$186*E$187*E182&gt;0,AVERAGE(E$185:E$187, E182),""),"")</f>
        <v/>
      </c>
      <c r="F270" s="302" t="str">
        <f aca="false">IFERROR(IF(F$185*F$186*F$187*F182&gt;0,AVERAGE(F$185:F$187, F182),""),"")</f>
        <v/>
      </c>
      <c r="G270" s="302" t="str">
        <f aca="false">IFERROR(IF(G$185*G$186*G$187*G182&gt;0,AVERAGE(G$185:G$187, G182),""),"")</f>
        <v/>
      </c>
      <c r="H270" s="302" t="str">
        <f aca="false">IFERROR(IF(H$185*H$186*H$187*H182&gt;0,AVERAGE(H$185:H$187, H182),""),"")</f>
        <v/>
      </c>
      <c r="I270" s="302" t="str">
        <f aca="false">IFERROR(IF(I$185*I$186*I$187*I182&gt;0,AVERAGE(I$185:I$187, I182),""),"")</f>
        <v/>
      </c>
      <c r="J270" s="302" t="str">
        <f aca="false">IFERROR(IF(J$185*J$186*J$187*J182&gt;0,AVERAGE(J$185:J$187, J182),""),"")</f>
        <v/>
      </c>
      <c r="K270" s="302" t="str">
        <f aca="false">IFERROR(IF(K$185*K$186*K$187*K182&gt;0,AVERAGE(K$185:K$187, K182),""),"")</f>
        <v/>
      </c>
      <c r="L270" s="302" t="str">
        <f aca="false">IFERROR(IF(L$185*L$186*L$187*L182&gt;0,AVERAGE(L$185:L$187, L182),""),"")</f>
        <v/>
      </c>
      <c r="M270" s="302" t="str">
        <f aca="false">IFERROR(IF(M$185*M$186*M$187*M182&gt;0,AVERAGE(M$185:M$187, M182),""),"")</f>
        <v/>
      </c>
      <c r="N270" s="302" t="str">
        <f aca="false">IFERROR(IF(N$185*N$186*N$187*N182&gt;0,AVERAGE(N$185:N$187, N182),""),"")</f>
        <v/>
      </c>
      <c r="O270" s="282"/>
      <c r="P270" s="282"/>
      <c r="Q270" s="296"/>
      <c r="R270" s="293" t="s">
        <v>480</v>
      </c>
      <c r="S270" s="294" t="str">
        <f aca="false">IFERROR(IF(C$185*C$186*C$187*C182&gt;0,STDEV(C$185:C$187, C182),"")/IF(C$185*C$186*C$187*C182&gt;0,AVERAGE(C$185:C$187, C182),""),"")</f>
        <v/>
      </c>
      <c r="T270" s="294" t="str">
        <f aca="false">IFERROR(IF(D$185*D$186*D$187*D182&gt;0,STDEV(D$185:D$187, D182),"")/IF(D$185*D$186*D$187*D182&gt;0,AVERAGE(D$185:D$187, D182),""),"")</f>
        <v/>
      </c>
      <c r="U270" s="294" t="str">
        <f aca="false">IFERROR(IF(E$185*E$186*E$187*E182&gt;0,STDEV(E$185:E$187, E182),"")/IF(E$185*E$186*E$187*E182&gt;0,AVERAGE(E$185:E$187, E182),""),"")</f>
        <v/>
      </c>
      <c r="V270" s="294" t="str">
        <f aca="false">IFERROR(IF(F$185*F$186*F$187*F182&gt;0,STDEV(F$185:F$187, F182),"")/IF(F$185*F$186*F$187*F182&gt;0,AVERAGE(F$185:F$187, F182),""),"")</f>
        <v/>
      </c>
      <c r="W270" s="294" t="str">
        <f aca="false">IFERROR(IF(G$185*G$186*G$187*G182&gt;0,STDEV(G$185:G$187, G182),"")/IF(G$185*G$186*G$187*G182&gt;0,AVERAGE(G$185:G$187, G182),""),"")</f>
        <v/>
      </c>
      <c r="X270" s="294" t="str">
        <f aca="false">IFERROR(IF(H$185*H$186*H$187*H182&gt;0,STDEV(H$185:H$187, H182),"")/IF(H$185*H$186*H$187*H182&gt;0,AVERAGE(H$185:H$187, H182),""),"")</f>
        <v/>
      </c>
      <c r="Y270" s="294" t="str">
        <f aca="false">IFERROR(IF(I$185*I$186*I$187*I182&gt;0,STDEV(I$185:I$187, I182),"")/IF(I$185*I$186*I$187*I182&gt;0,AVERAGE(I$185:I$187, I182),""),"")</f>
        <v/>
      </c>
      <c r="Z270" s="294" t="str">
        <f aca="false">IFERROR(IF(J$185*J$186*J$187*J182&gt;0,STDEV(J$185:J$187, J182),"")/IF(J$185*J$186*J$187*J182&gt;0,AVERAGE(J$185:J$187, J182),""),"")</f>
        <v/>
      </c>
      <c r="AA270" s="294" t="str">
        <f aca="false">IFERROR(IF(K$185*K$186*K$187*K182&gt;0,STDEV(K$185:K$187, K182),"")/IF(K$185*K$186*K$187*K182&gt;0,AVERAGE(K$185:K$187, K182),""),"")</f>
        <v/>
      </c>
      <c r="AB270" s="294" t="str">
        <f aca="false">IFERROR(IF(L$185*L$186*L$187*L182&gt;0,STDEV(L$185:L$187, L182),"")/IF(L$185*L$186*L$187*L182&gt;0,AVERAGE(L$185:L$187, L182),""),"")</f>
        <v/>
      </c>
      <c r="AC270" s="294" t="str">
        <f aca="false">IFERROR(IF(M$185*M$186*M$187*M182&gt;0,STDEV(M$185:M$187, M182),"")/IF(M$185*M$186*M$187*M182&gt;0,AVERAGE(M$185:M$187, M182),""),"")</f>
        <v/>
      </c>
      <c r="AD270" s="294" t="str">
        <f aca="false">IFERROR(IF(N$185*N$186*N$187*N182&gt;0,STDEV(N$185:N$187, N182),"")/IF(N$185*N$186*N$187*N182&gt;0,AVERAGE(N$185:N$187, N182),""),"")</f>
        <v/>
      </c>
      <c r="AE270" s="44"/>
      <c r="AF270" s="266" t="s">
        <v>481</v>
      </c>
      <c r="AG270" s="303" t="str">
        <f aca="false">IFERROR(IF(C$185*C$186*C$187*C182&gt;0,STDEV(C$185:C$187, C182)," ")/IF(C$185*C$186*C$187*C182&gt;0,SQRT(COUNT(C$185:C$187, C182))," "),"")</f>
        <v/>
      </c>
      <c r="AH270" s="303" t="str">
        <f aca="false">IFERROR(IF(D$185*D$186*D$187*D182&gt;0,STDEV(D$185:D$187, D182)," ")/IF(D$185*D$186*D$187*D182&gt;0,SQRT(COUNT(D$185:D$187, D182))," "),"")</f>
        <v/>
      </c>
      <c r="AI270" s="303" t="str">
        <f aca="false">IFERROR(IF(E$185*E$186*E$187*E182&gt;0,STDEV(E$185:E$187, E182)," ")/IF(E$185*E$186*E$187*E182&gt;0,SQRT(COUNT(E$185:E$187, E182))," "),"")</f>
        <v/>
      </c>
      <c r="AJ270" s="303" t="str">
        <f aca="false">IFERROR(IF(F$185*F$186*F$187*F182&gt;0,STDEV(F$185:F$187, F182)," ")/IF(F$185*F$186*F$187*F182&gt;0,SQRT(COUNT(F$185:F$187, F182))," "),"")</f>
        <v/>
      </c>
      <c r="AK270" s="303" t="str">
        <f aca="false">IFERROR(IF(G$185*G$186*G$187*G182&gt;0,STDEV(G$185:G$187, G182)," ")/IF(G$185*G$186*G$187*G182&gt;0,SQRT(COUNT(G$185:G$187, G182))," "),"")</f>
        <v/>
      </c>
      <c r="AL270" s="303" t="str">
        <f aca="false">IFERROR(IF(H$185*H$186*H$187*H182&gt;0,STDEV(H$185:H$187, H182)," ")/IF(H$185*H$186*H$187*H182&gt;0,SQRT(COUNT(H$185:H$187, H182))," "),"")</f>
        <v/>
      </c>
      <c r="AM270" s="303" t="str">
        <f aca="false">IFERROR(IF(I$185*I$186*I$187*I182&gt;0,STDEV(I$185:I$187, I182)," ")/IF(I$185*I$186*I$187*I182&gt;0,SQRT(COUNT(I$185:I$187, I182))," "),"")</f>
        <v/>
      </c>
      <c r="AN270" s="303" t="str">
        <f aca="false">IFERROR(IF(J$185*J$186*J$187*J182&gt;0,STDEV(J$185:J$187, J182)," ")/IF(J$185*J$186*J$187*J182&gt;0,SQRT(COUNT(J$185:J$187, J182))," "),"")</f>
        <v/>
      </c>
      <c r="AO270" s="303" t="str">
        <f aca="false">IFERROR(IF(K$185*K$186*K$187*K182&gt;0,STDEV(K$185:K$187, K182)," ")/IF(K$185*K$186*K$187*K182&gt;0,SQRT(COUNT(K$185:K$187, K182))," "),"")</f>
        <v/>
      </c>
      <c r="AP270" s="303" t="str">
        <f aca="false">IFERROR(IF(L$185*L$186*L$187*L182&gt;0,STDEV(L$185:L$187, L182)," ")/IF(L$185*L$186*L$187*L182&gt;0,SQRT(COUNT(L$185:L$187, L182))," "),"")</f>
        <v/>
      </c>
      <c r="AQ270" s="303" t="str">
        <f aca="false">IFERROR(IF(M$185*M$186*M$187*M182&gt;0,STDEV(M$185:M$187, M182)," ")/IF(M$185*M$186*M$187*M182&gt;0,SQRT(COUNT(M$185:M$187, M182))," "),"")</f>
        <v/>
      </c>
      <c r="AR270" s="303" t="str">
        <f aca="false">IFERROR(IF(N$185*N$186*N$187*N182&gt;0,STDEV(N$185:N$187, N182)," ")/IF(N$185*N$186*N$187*N182&gt;0,SQRT(COUNT(N$185:N$187, N182))," "),"")</f>
        <v/>
      </c>
    </row>
    <row r="271" customFormat="false" ht="15.75" hidden="false" customHeight="false" outlineLevel="0" collapsed="false">
      <c r="A271" s="290" t="s">
        <v>482</v>
      </c>
      <c r="B271" s="281"/>
      <c r="C271" s="302" t="str">
        <f aca="false">IFERROR(IF(C$185*C$186*C$187*C183&gt;0,AVERAGE(C$185:C$187, C183),""),"")</f>
        <v/>
      </c>
      <c r="D271" s="302" t="str">
        <f aca="false">IFERROR(IF(D$185*D$186*D$187*D183&gt;0,AVERAGE(D$185:D$187, D183),""),"")</f>
        <v/>
      </c>
      <c r="E271" s="302" t="str">
        <f aca="false">IFERROR(IF(E$185*E$186*E$187*E183&gt;0,AVERAGE(E$185:E$187, E183),""),"")</f>
        <v/>
      </c>
      <c r="F271" s="302" t="str">
        <f aca="false">IFERROR(IF(F$185*F$186*F$187*F183&gt;0,AVERAGE(F$185:F$187, F183),""),"")</f>
        <v/>
      </c>
      <c r="G271" s="302" t="str">
        <f aca="false">IFERROR(IF(G$185*G$186*G$187*G183&gt;0,AVERAGE(G$185:G$187, G183),""),"")</f>
        <v/>
      </c>
      <c r="H271" s="302" t="str">
        <f aca="false">IFERROR(IF(H$185*H$186*H$187*H183&gt;0,AVERAGE(H$185:H$187, H183),""),"")</f>
        <v/>
      </c>
      <c r="I271" s="302" t="str">
        <f aca="false">IFERROR(IF(I$185*I$186*I$187*I183&gt;0,AVERAGE(I$185:I$187, I183),""),"")</f>
        <v/>
      </c>
      <c r="J271" s="302" t="str">
        <f aca="false">IFERROR(IF(J$185*J$186*J$187*J183&gt;0,AVERAGE(J$185:J$187, J183),""),"")</f>
        <v/>
      </c>
      <c r="K271" s="302" t="str">
        <f aca="false">IFERROR(IF(K$185*K$186*K$187*K183&gt;0,AVERAGE(K$185:K$187, K183),""),"")</f>
        <v/>
      </c>
      <c r="L271" s="302" t="str">
        <f aca="false">IFERROR(IF(L$185*L$186*L$187*L183&gt;0,AVERAGE(L$185:L$187, L183),""),"")</f>
        <v/>
      </c>
      <c r="M271" s="302" t="str">
        <f aca="false">IFERROR(IF(M$185*M$186*M$187*M183&gt;0,AVERAGE(M$185:M$187, M183),""),"")</f>
        <v/>
      </c>
      <c r="N271" s="302" t="str">
        <f aca="false">IFERROR(IF(N$185*N$186*N$187*N183&gt;0,AVERAGE(N$185:N$187, N183),""),"")</f>
        <v/>
      </c>
      <c r="O271" s="282"/>
      <c r="P271" s="282"/>
      <c r="Q271" s="296"/>
      <c r="R271" s="293" t="s">
        <v>483</v>
      </c>
      <c r="S271" s="294" t="str">
        <f aca="false">IFERROR(IF(C$185*C$186*C$187*C183&gt;0,STDEV(C$185:C$187, C183),"")/IF(C$185*C$186*C$187*C183&gt;0,AVERAGE(C$185:C$187, C183),""),"")</f>
        <v/>
      </c>
      <c r="T271" s="294" t="str">
        <f aca="false">IFERROR(IF(D$185*D$186*D$187*D183&gt;0,STDEV(D$185:D$187, D183),"")/IF(D$185*D$186*D$187*D183&gt;0,AVERAGE(D$185:D$187, D183),""),"")</f>
        <v/>
      </c>
      <c r="U271" s="294" t="str">
        <f aca="false">IFERROR(IF(E$185*E$186*E$187*E183&gt;0,STDEV(E$185:E$187, E183),"")/IF(E$185*E$186*E$187*E183&gt;0,AVERAGE(E$185:E$187, E183),""),"")</f>
        <v/>
      </c>
      <c r="V271" s="294" t="str">
        <f aca="false">IFERROR(IF(F$185*F$186*F$187*F183&gt;0,STDEV(F$185:F$187, F183),"")/IF(F$185*F$186*F$187*F183&gt;0,AVERAGE(F$185:F$187, F183),""),"")</f>
        <v/>
      </c>
      <c r="W271" s="294" t="str">
        <f aca="false">IFERROR(IF(G$185*G$186*G$187*G183&gt;0,STDEV(G$185:G$187, G183),"")/IF(G$185*G$186*G$187*G183&gt;0,AVERAGE(G$185:G$187, G183),""),"")</f>
        <v/>
      </c>
      <c r="X271" s="294" t="str">
        <f aca="false">IFERROR(IF(H$185*H$186*H$187*H183&gt;0,STDEV(H$185:H$187, H183),"")/IF(H$185*H$186*H$187*H183&gt;0,AVERAGE(H$185:H$187, H183),""),"")</f>
        <v/>
      </c>
      <c r="Y271" s="294" t="str">
        <f aca="false">IFERROR(IF(I$185*I$186*I$187*I183&gt;0,STDEV(I$185:I$187, I183),"")/IF(I$185*I$186*I$187*I183&gt;0,AVERAGE(I$185:I$187, I183),""),"")</f>
        <v/>
      </c>
      <c r="Z271" s="294" t="str">
        <f aca="false">IFERROR(IF(J$185*J$186*J$187*J183&gt;0,STDEV(J$185:J$187, J183),"")/IF(J$185*J$186*J$187*J183&gt;0,AVERAGE(J$185:J$187, J183),""),"")</f>
        <v/>
      </c>
      <c r="AA271" s="294" t="str">
        <f aca="false">IFERROR(IF(K$185*K$186*K$187*K183&gt;0,STDEV(K$185:K$187, K183),"")/IF(K$185*K$186*K$187*K183&gt;0,AVERAGE(K$185:K$187, K183),""),"")</f>
        <v/>
      </c>
      <c r="AB271" s="294" t="str">
        <f aca="false">IFERROR(IF(L$185*L$186*L$187*L183&gt;0,STDEV(L$185:L$187, L183),"")/IF(L$185*L$186*L$187*L183&gt;0,AVERAGE(L$185:L$187, L183),""),"")</f>
        <v/>
      </c>
      <c r="AC271" s="294" t="str">
        <f aca="false">IFERROR(IF(M$185*M$186*M$187*M183&gt;0,STDEV(M$185:M$187, M183),"")/IF(M$185*M$186*M$187*M183&gt;0,AVERAGE(M$185:M$187, M183),""),"")</f>
        <v/>
      </c>
      <c r="AD271" s="294" t="str">
        <f aca="false">IFERROR(IF(N$185*N$186*N$187*N183&gt;0,STDEV(N$185:N$187, N183),"")/IF(N$185*N$186*N$187*N183&gt;0,AVERAGE(N$185:N$187, N183),""),"")</f>
        <v/>
      </c>
      <c r="AE271" s="44"/>
      <c r="AF271" s="266" t="s">
        <v>484</v>
      </c>
      <c r="AG271" s="303" t="str">
        <f aca="false">IFERROR(IF(C$185*C$186*C$187*C183&gt;0,STDEV(C$185:C$187, C183)," ")/IF(C$185*C$186*C$187*C183&gt;0,SQRT(COUNT(C$185:C$187, C183))," "),"")</f>
        <v/>
      </c>
      <c r="AH271" s="303" t="str">
        <f aca="false">IFERROR(IF(D$185*D$186*D$187*D183&gt;0,STDEV(D$185:D$187, D183)," ")/IF(D$185*D$186*D$187*D183&gt;0,SQRT(COUNT(D$185:D$187, D183))," "),"")</f>
        <v/>
      </c>
      <c r="AI271" s="303" t="str">
        <f aca="false">IFERROR(IF(E$185*E$186*E$187*E183&gt;0,STDEV(E$185:E$187, E183)," ")/IF(E$185*E$186*E$187*E183&gt;0,SQRT(COUNT(E$185:E$187, E183))," "),"")</f>
        <v/>
      </c>
      <c r="AJ271" s="303" t="str">
        <f aca="false">IFERROR(IF(F$185*F$186*F$187*F183&gt;0,STDEV(F$185:F$187, F183)," ")/IF(F$185*F$186*F$187*F183&gt;0,SQRT(COUNT(F$185:F$187, F183))," "),"")</f>
        <v/>
      </c>
      <c r="AK271" s="303" t="str">
        <f aca="false">IFERROR(IF(G$185*G$186*G$187*G183&gt;0,STDEV(G$185:G$187, G183)," ")/IF(G$185*G$186*G$187*G183&gt;0,SQRT(COUNT(G$185:G$187, G183))," "),"")</f>
        <v/>
      </c>
      <c r="AL271" s="303" t="str">
        <f aca="false">IFERROR(IF(H$185*H$186*H$187*H183&gt;0,STDEV(H$185:H$187, H183)," ")/IF(H$185*H$186*H$187*H183&gt;0,SQRT(COUNT(H$185:H$187, H183))," "),"")</f>
        <v/>
      </c>
      <c r="AM271" s="303" t="str">
        <f aca="false">IFERROR(IF(I$185*I$186*I$187*I183&gt;0,STDEV(I$185:I$187, I183)," ")/IF(I$185*I$186*I$187*I183&gt;0,SQRT(COUNT(I$185:I$187, I183))," "),"")</f>
        <v/>
      </c>
      <c r="AN271" s="303" t="str">
        <f aca="false">IFERROR(IF(J$185*J$186*J$187*J183&gt;0,STDEV(J$185:J$187, J183)," ")/IF(J$185*J$186*J$187*J183&gt;0,SQRT(COUNT(J$185:J$187, J183))," "),"")</f>
        <v/>
      </c>
      <c r="AO271" s="303" t="str">
        <f aca="false">IFERROR(IF(K$185*K$186*K$187*K183&gt;0,STDEV(K$185:K$187, K183)," ")/IF(K$185*K$186*K$187*K183&gt;0,SQRT(COUNT(K$185:K$187, K183))," "),"")</f>
        <v/>
      </c>
      <c r="AP271" s="303" t="str">
        <f aca="false">IFERROR(IF(L$185*L$186*L$187*L183&gt;0,STDEV(L$185:L$187, L183)," ")/IF(L$185*L$186*L$187*L183&gt;0,SQRT(COUNT(L$185:L$187, L183))," "),"")</f>
        <v/>
      </c>
      <c r="AQ271" s="303" t="str">
        <f aca="false">IFERROR(IF(M$185*M$186*M$187*M183&gt;0,STDEV(M$185:M$187, M183)," ")/IF(M$185*M$186*M$187*M183&gt;0,SQRT(COUNT(M$185:M$187, M183))," "),"")</f>
        <v/>
      </c>
      <c r="AR271" s="303" t="str">
        <f aca="false">IFERROR(IF(N$185*N$186*N$187*N183&gt;0,STDEV(N$185:N$187, N183)," ")/IF(N$185*N$186*N$187*N183&gt;0,SQRT(COUNT(N$185:N$187, N183))," "),"")</f>
        <v/>
      </c>
    </row>
    <row r="272" customFormat="false" ht="15.75" hidden="false" customHeight="false" outlineLevel="0" collapsed="false">
      <c r="A272" s="290" t="s">
        <v>485</v>
      </c>
      <c r="B272" s="281"/>
      <c r="C272" s="302" t="str">
        <f aca="false">IFERROR(IF(C$185*C$186*C$187*C184&gt;0,AVERAGE(C$185:C$187, C184),""),"")</f>
        <v/>
      </c>
      <c r="D272" s="302" t="str">
        <f aca="false">IFERROR(IF(D$185*D$186*D$187*D184&gt;0,AVERAGE(D$185:D$187, D184),""),"")</f>
        <v/>
      </c>
      <c r="E272" s="302" t="str">
        <f aca="false">IFERROR(IF(E$185*E$186*E$187*E184&gt;0,AVERAGE(E$185:E$187, E184),""),"")</f>
        <v/>
      </c>
      <c r="F272" s="302" t="str">
        <f aca="false">IFERROR(IF(F$185*F$186*F$187*F184&gt;0,AVERAGE(F$185:F$187, F184),""),"")</f>
        <v/>
      </c>
      <c r="G272" s="302" t="str">
        <f aca="false">IFERROR(IF(G$185*G$186*G$187*G184&gt;0,AVERAGE(G$185:G$187, G184),""),"")</f>
        <v/>
      </c>
      <c r="H272" s="302" t="str">
        <f aca="false">IFERROR(IF(H$185*H$186*H$187*H184&gt;0,AVERAGE(H$185:H$187, H184),""),"")</f>
        <v/>
      </c>
      <c r="I272" s="302" t="str">
        <f aca="false">IFERROR(IF(I$185*I$186*I$187*I184&gt;0,AVERAGE(I$185:I$187, I184),""),"")</f>
        <v/>
      </c>
      <c r="J272" s="302" t="str">
        <f aca="false">IFERROR(IF(J$185*J$186*J$187*J184&gt;0,AVERAGE(J$185:J$187, J184),""),"")</f>
        <v/>
      </c>
      <c r="K272" s="302" t="str">
        <f aca="false">IFERROR(IF(K$185*K$186*K$187*K184&gt;0,AVERAGE(K$185:K$187, K184),""),"")</f>
        <v/>
      </c>
      <c r="L272" s="302" t="str">
        <f aca="false">IFERROR(IF(L$185*L$186*L$187*L184&gt;0,AVERAGE(L$185:L$187, L184),""),"")</f>
        <v/>
      </c>
      <c r="M272" s="302" t="str">
        <f aca="false">IFERROR(IF(M$185*M$186*M$187*M184&gt;0,AVERAGE(M$185:M$187, M184),""),"")</f>
        <v/>
      </c>
      <c r="N272" s="302" t="str">
        <f aca="false">IFERROR(IF(N$185*N$186*N$187*N184&gt;0,AVERAGE(N$185:N$187, N184),""),"")</f>
        <v/>
      </c>
      <c r="O272" s="282"/>
      <c r="P272" s="282"/>
      <c r="Q272" s="296"/>
      <c r="R272" s="293" t="s">
        <v>486</v>
      </c>
      <c r="S272" s="294" t="str">
        <f aca="false">IFERROR(IF(C$185*C$186*C$187*C184&gt;0,STDEV(C$185:C$187, C184),"")/IF(C$185*C$186*C$187*C184&gt;0,AVERAGE(C$185:C$187, C184),""),"")</f>
        <v/>
      </c>
      <c r="T272" s="294" t="str">
        <f aca="false">IFERROR(IF(D$185*D$186*D$187*D184&gt;0,STDEV(D$185:D$187, D184),"")/IF(D$185*D$186*D$187*D184&gt;0,AVERAGE(D$185:D$187, D184),""),"")</f>
        <v/>
      </c>
      <c r="U272" s="294" t="str">
        <f aca="false">IFERROR(IF(E$185*E$186*E$187*E184&gt;0,STDEV(E$185:E$187, E184),"")/IF(E$185*E$186*E$187*E184&gt;0,AVERAGE(E$185:E$187, E184),""),"")</f>
        <v/>
      </c>
      <c r="V272" s="294" t="str">
        <f aca="false">IFERROR(IF(F$185*F$186*F$187*F184&gt;0,STDEV(F$185:F$187, F184),"")/IF(F$185*F$186*F$187*F184&gt;0,AVERAGE(F$185:F$187, F184),""),"")</f>
        <v/>
      </c>
      <c r="W272" s="294" t="str">
        <f aca="false">IFERROR(IF(G$185*G$186*G$187*G184&gt;0,STDEV(G$185:G$187, G184),"")/IF(G$185*G$186*G$187*G184&gt;0,AVERAGE(G$185:G$187, G184),""),"")</f>
        <v/>
      </c>
      <c r="X272" s="294" t="str">
        <f aca="false">IFERROR(IF(H$185*H$186*H$187*H184&gt;0,STDEV(H$185:H$187, H184),"")/IF(H$185*H$186*H$187*H184&gt;0,AVERAGE(H$185:H$187, H184),""),"")</f>
        <v/>
      </c>
      <c r="Y272" s="294" t="str">
        <f aca="false">IFERROR(IF(I$185*I$186*I$187*I184&gt;0,STDEV(I$185:I$187, I184),"")/IF(I$185*I$186*I$187*I184&gt;0,AVERAGE(I$185:I$187, I184),""),"")</f>
        <v/>
      </c>
      <c r="Z272" s="294" t="str">
        <f aca="false">IFERROR(IF(J$185*J$186*J$187*J184&gt;0,STDEV(J$185:J$187, J184),"")/IF(J$185*J$186*J$187*J184&gt;0,AVERAGE(J$185:J$187, J184),""),"")</f>
        <v/>
      </c>
      <c r="AA272" s="294" t="str">
        <f aca="false">IFERROR(IF(K$185*K$186*K$187*K184&gt;0,STDEV(K$185:K$187, K184),"")/IF(K$185*K$186*K$187*K184&gt;0,AVERAGE(K$185:K$187, K184),""),"")</f>
        <v/>
      </c>
      <c r="AB272" s="294" t="str">
        <f aca="false">IFERROR(IF(L$185*L$186*L$187*L184&gt;0,STDEV(L$185:L$187, L184),"")/IF(L$185*L$186*L$187*L184&gt;0,AVERAGE(L$185:L$187, L184),""),"")</f>
        <v/>
      </c>
      <c r="AC272" s="294" t="str">
        <f aca="false">IFERROR(IF(M$185*M$186*M$187*M184&gt;0,STDEV(M$185:M$187, M184),"")/IF(M$185*M$186*M$187*M184&gt;0,AVERAGE(M$185:M$187, M184),""),"")</f>
        <v/>
      </c>
      <c r="AD272" s="294" t="str">
        <f aca="false">IFERROR(IF(N$185*N$186*N$187*N184&gt;0,STDEV(N$185:N$187, N184),"")/IF(N$185*N$186*N$187*N184&gt;0,AVERAGE(N$185:N$187, N184),""),"")</f>
        <v/>
      </c>
      <c r="AE272" s="44"/>
      <c r="AF272" s="266" t="s">
        <v>487</v>
      </c>
      <c r="AG272" s="303" t="str">
        <f aca="false">IFERROR(IF(C$185*C$186*C$187*C184&gt;0,STDEV(C$185:C$187, C184)," ")/IF(C$185*C$186*C$187*C184&gt;0,SQRT(COUNT(C$185:C$187, C184))," "),"")</f>
        <v/>
      </c>
      <c r="AH272" s="303" t="str">
        <f aca="false">IFERROR(IF(D$185*D$186*D$187*D184&gt;0,STDEV(D$185:D$187, D184)," ")/IF(D$185*D$186*D$187*D184&gt;0,SQRT(COUNT(D$185:D$187, D184))," "),"")</f>
        <v/>
      </c>
      <c r="AI272" s="303" t="str">
        <f aca="false">IFERROR(IF(E$185*E$186*E$187*E184&gt;0,STDEV(E$185:E$187, E184)," ")/IF(E$185*E$186*E$187*E184&gt;0,SQRT(COUNT(E$185:E$187, E184))," "),"")</f>
        <v/>
      </c>
      <c r="AJ272" s="303" t="str">
        <f aca="false">IFERROR(IF(F$185*F$186*F$187*F184&gt;0,STDEV(F$185:F$187, F184)," ")/IF(F$185*F$186*F$187*F184&gt;0,SQRT(COUNT(F$185:F$187, F184))," "),"")</f>
        <v/>
      </c>
      <c r="AK272" s="303" t="str">
        <f aca="false">IFERROR(IF(G$185*G$186*G$187*G184&gt;0,STDEV(G$185:G$187, G184)," ")/IF(G$185*G$186*G$187*G184&gt;0,SQRT(COUNT(G$185:G$187, G184))," "),"")</f>
        <v/>
      </c>
      <c r="AL272" s="303" t="str">
        <f aca="false">IFERROR(IF(H$185*H$186*H$187*H184&gt;0,STDEV(H$185:H$187, H184)," ")/IF(H$185*H$186*H$187*H184&gt;0,SQRT(COUNT(H$185:H$187, H184))," "),"")</f>
        <v/>
      </c>
      <c r="AM272" s="303" t="str">
        <f aca="false">IFERROR(IF(I$185*I$186*I$187*I184&gt;0,STDEV(I$185:I$187, I184)," ")/IF(I$185*I$186*I$187*I184&gt;0,SQRT(COUNT(I$185:I$187, I184))," "),"")</f>
        <v/>
      </c>
      <c r="AN272" s="303" t="str">
        <f aca="false">IFERROR(IF(J$185*J$186*J$187*J184&gt;0,STDEV(J$185:J$187, J184)," ")/IF(J$185*J$186*J$187*J184&gt;0,SQRT(COUNT(J$185:J$187, J184))," "),"")</f>
        <v/>
      </c>
      <c r="AO272" s="303" t="str">
        <f aca="false">IFERROR(IF(K$185*K$186*K$187*K184&gt;0,STDEV(K$185:K$187, K184)," ")/IF(K$185*K$186*K$187*K184&gt;0,SQRT(COUNT(K$185:K$187, K184))," "),"")</f>
        <v/>
      </c>
      <c r="AP272" s="303" t="str">
        <f aca="false">IFERROR(IF(L$185*L$186*L$187*L184&gt;0,STDEV(L$185:L$187, L184)," ")/IF(L$185*L$186*L$187*L184&gt;0,SQRT(COUNT(L$185:L$187, L184))," "),"")</f>
        <v/>
      </c>
      <c r="AQ272" s="303" t="str">
        <f aca="false">IFERROR(IF(M$185*M$186*M$187*M184&gt;0,STDEV(M$185:M$187, M184)," ")/IF(M$185*M$186*M$187*M184&gt;0,SQRT(COUNT(M$185:M$187, M184))," "),"")</f>
        <v/>
      </c>
      <c r="AR272" s="303" t="str">
        <f aca="false">IFERROR(IF(N$185*N$186*N$187*N184&gt;0,STDEV(N$185:N$187, N184)," ")/IF(N$185*N$186*N$187*N184&gt;0,SQRT(COUNT(N$185:N$187, N184))," "),"")</f>
        <v/>
      </c>
    </row>
    <row r="273" customFormat="false" ht="15.75" hidden="false" customHeight="false" outlineLevel="0" collapsed="false">
      <c r="A273" s="290" t="s">
        <v>488</v>
      </c>
      <c r="B273" s="281"/>
      <c r="C273" s="302" t="str">
        <f aca="false">IFERROR(IF(C$185*C$186*C$187*C188&gt;0,AVERAGE(C$185:C$187, C188),""),"")</f>
        <v/>
      </c>
      <c r="D273" s="302" t="str">
        <f aca="false">IFERROR(IF(D$185*D$186*D$187*D188&gt;0,AVERAGE(D$185:D$187, D188),""),"")</f>
        <v/>
      </c>
      <c r="E273" s="302" t="str">
        <f aca="false">IFERROR(IF(E$185*E$186*E$187*E188&gt;0,AVERAGE(E$185:E$187, E188),""),"")</f>
        <v/>
      </c>
      <c r="F273" s="302" t="str">
        <f aca="false">IFERROR(IF(F$185*F$186*F$187*F188&gt;0,AVERAGE(F$185:F$187, F188),""),"")</f>
        <v/>
      </c>
      <c r="G273" s="302" t="str">
        <f aca="false">IFERROR(IF(G$185*G$186*G$187*G188&gt;0,AVERAGE(G$185:G$187, G188),""),"")</f>
        <v/>
      </c>
      <c r="H273" s="302" t="str">
        <f aca="false">IFERROR(IF(H$185*H$186*H$187*H188&gt;0,AVERAGE(H$185:H$187, H188),""),"")</f>
        <v/>
      </c>
      <c r="I273" s="302" t="str">
        <f aca="false">IFERROR(IF(I$185*I$186*I$187*I188&gt;0,AVERAGE(I$185:I$187, I188),""),"")</f>
        <v/>
      </c>
      <c r="J273" s="302" t="str">
        <f aca="false">IFERROR(IF(J$185*J$186*J$187*J188&gt;0,AVERAGE(J$185:J$187, J188),""),"")</f>
        <v/>
      </c>
      <c r="K273" s="302" t="str">
        <f aca="false">IFERROR(IF(K$185*K$186*K$187*K188&gt;0,AVERAGE(K$185:K$187, K188),""),"")</f>
        <v/>
      </c>
      <c r="L273" s="302" t="str">
        <f aca="false">IFERROR(IF(L$185*L$186*L$187*L188&gt;0,AVERAGE(L$185:L$187, L188),""),"")</f>
        <v/>
      </c>
      <c r="M273" s="302" t="str">
        <f aca="false">IFERROR(IF(M$185*M$186*M$187*M188&gt;0,AVERAGE(M$185:M$187, M188),""),"")</f>
        <v/>
      </c>
      <c r="N273" s="302" t="str">
        <f aca="false">IFERROR(IF(N$185*N$186*N$187*N188&gt;0,AVERAGE(N$185:N$187, N188),""),"")</f>
        <v/>
      </c>
      <c r="O273" s="282"/>
      <c r="P273" s="282"/>
      <c r="Q273" s="296"/>
      <c r="R273" s="293" t="s">
        <v>489</v>
      </c>
      <c r="S273" s="294" t="str">
        <f aca="false">IFERROR(IF(C$185*C$186*C$187*C188&gt;0,STDEV(C$185:C$187, C188),"")/IF(C$185*C$186*C$187*C188&gt;0,AVERAGE(C$185:C$187, C188),""),"")</f>
        <v/>
      </c>
      <c r="T273" s="294" t="str">
        <f aca="false">IFERROR(IF(D$185*D$186*D$187*D188&gt;0,STDEV(D$185:D$187, D188),"")/IF(D$185*D$186*D$187*D188&gt;0,AVERAGE(D$185:D$187, D188),""),"")</f>
        <v/>
      </c>
      <c r="U273" s="294" t="str">
        <f aca="false">IFERROR(IF(E$185*E$186*E$187*E188&gt;0,STDEV(E$185:E$187, E188),"")/IF(E$185*E$186*E$187*E188&gt;0,AVERAGE(E$185:E$187, E188),""),"")</f>
        <v/>
      </c>
      <c r="V273" s="294" t="str">
        <f aca="false">IFERROR(IF(F$185*F$186*F$187*F188&gt;0,STDEV(F$185:F$187, F188),"")/IF(F$185*F$186*F$187*F188&gt;0,AVERAGE(F$185:F$187, F188),""),"")</f>
        <v/>
      </c>
      <c r="W273" s="294" t="str">
        <f aca="false">IFERROR(IF(G$185*G$186*G$187*G188&gt;0,STDEV(G$185:G$187, G188),"")/IF(G$185*G$186*G$187*G188&gt;0,AVERAGE(G$185:G$187, G188),""),"")</f>
        <v/>
      </c>
      <c r="X273" s="294" t="str">
        <f aca="false">IFERROR(IF(H$185*H$186*H$187*H188&gt;0,STDEV(H$185:H$187, H188),"")/IF(H$185*H$186*H$187*H188&gt;0,AVERAGE(H$185:H$187, H188),""),"")</f>
        <v/>
      </c>
      <c r="Y273" s="294" t="str">
        <f aca="false">IFERROR(IF(I$185*I$186*I$187*I188&gt;0,STDEV(I$185:I$187, I188),"")/IF(I$185*I$186*I$187*I188&gt;0,AVERAGE(I$185:I$187, I188),""),"")</f>
        <v/>
      </c>
      <c r="Z273" s="294" t="str">
        <f aca="false">IFERROR(IF(J$185*J$186*J$187*J188&gt;0,STDEV(J$185:J$187, J188),"")/IF(J$185*J$186*J$187*J188&gt;0,AVERAGE(J$185:J$187, J188),""),"")</f>
        <v/>
      </c>
      <c r="AA273" s="294" t="str">
        <f aca="false">IFERROR(IF(K$185*K$186*K$187*K188&gt;0,STDEV(K$185:K$187, K188),"")/IF(K$185*K$186*K$187*K188&gt;0,AVERAGE(K$185:K$187, K188),""),"")</f>
        <v/>
      </c>
      <c r="AB273" s="294" t="str">
        <f aca="false">IFERROR(IF(L$185*L$186*L$187*L188&gt;0,STDEV(L$185:L$187, L188),"")/IF(L$185*L$186*L$187*L188&gt;0,AVERAGE(L$185:L$187, L188),""),"")</f>
        <v/>
      </c>
      <c r="AC273" s="294" t="str">
        <f aca="false">IFERROR(IF(M$185*M$186*M$187*M188&gt;0,STDEV(M$185:M$187, M188),"")/IF(M$185*M$186*M$187*M188&gt;0,AVERAGE(M$185:M$187, M188),""),"")</f>
        <v/>
      </c>
      <c r="AD273" s="294" t="str">
        <f aca="false">IFERROR(IF(N$185*N$186*N$187*N188&gt;0,STDEV(N$185:N$187, N188),"")/IF(N$185*N$186*N$187*N188&gt;0,AVERAGE(N$185:N$187, N188),""),"")</f>
        <v/>
      </c>
      <c r="AE273" s="44"/>
      <c r="AF273" s="266" t="s">
        <v>490</v>
      </c>
      <c r="AG273" s="303" t="str">
        <f aca="false">IFERROR(IF(C$185*C$186*C$187*C188&gt;0,STDEV(C$185:C$187, C188)," ")/IF(C$185*C$186*C$187*C188&gt;0,SQRT(COUNT(C$185:C$187, C188))," "),"")</f>
        <v/>
      </c>
      <c r="AH273" s="303" t="str">
        <f aca="false">IFERROR(IF(D$185*D$186*D$187*D188&gt;0,STDEV(D$185:D$187, D188)," ")/IF(D$185*D$186*D$187*D188&gt;0,SQRT(COUNT(D$185:D$187, D188))," "),"")</f>
        <v/>
      </c>
      <c r="AI273" s="303" t="str">
        <f aca="false">IFERROR(IF(E$185*E$186*E$187*E188&gt;0,STDEV(E$185:E$187, E188)," ")/IF(E$185*E$186*E$187*E188&gt;0,SQRT(COUNT(E$185:E$187, E188))," "),"")</f>
        <v/>
      </c>
      <c r="AJ273" s="303" t="str">
        <f aca="false">IFERROR(IF(F$185*F$186*F$187*F188&gt;0,STDEV(F$185:F$187, F188)," ")/IF(F$185*F$186*F$187*F188&gt;0,SQRT(COUNT(F$185:F$187, F188))," "),"")</f>
        <v/>
      </c>
      <c r="AK273" s="303" t="str">
        <f aca="false">IFERROR(IF(G$185*G$186*G$187*G188&gt;0,STDEV(G$185:G$187, G188)," ")/IF(G$185*G$186*G$187*G188&gt;0,SQRT(COUNT(G$185:G$187, G188))," "),"")</f>
        <v/>
      </c>
      <c r="AL273" s="303" t="str">
        <f aca="false">IFERROR(IF(H$185*H$186*H$187*H188&gt;0,STDEV(H$185:H$187, H188)," ")/IF(H$185*H$186*H$187*H188&gt;0,SQRT(COUNT(H$185:H$187, H188))," "),"")</f>
        <v/>
      </c>
      <c r="AM273" s="303" t="str">
        <f aca="false">IFERROR(IF(I$185*I$186*I$187*I188&gt;0,STDEV(I$185:I$187, I188)," ")/IF(I$185*I$186*I$187*I188&gt;0,SQRT(COUNT(I$185:I$187, I188))," "),"")</f>
        <v/>
      </c>
      <c r="AN273" s="303" t="str">
        <f aca="false">IFERROR(IF(J$185*J$186*J$187*J188&gt;0,STDEV(J$185:J$187, J188)," ")/IF(J$185*J$186*J$187*J188&gt;0,SQRT(COUNT(J$185:J$187, J188))," "),"")</f>
        <v/>
      </c>
      <c r="AO273" s="303" t="str">
        <f aca="false">IFERROR(IF(K$185*K$186*K$187*K188&gt;0,STDEV(K$185:K$187, K188)," ")/IF(K$185*K$186*K$187*K188&gt;0,SQRT(COUNT(K$185:K$187, K188))," "),"")</f>
        <v/>
      </c>
      <c r="AP273" s="303" t="str">
        <f aca="false">IFERROR(IF(L$185*L$186*L$187*L188&gt;0,STDEV(L$185:L$187, L188)," ")/IF(L$185*L$186*L$187*L188&gt;0,SQRT(COUNT(L$185:L$187, L188))," "),"")</f>
        <v/>
      </c>
      <c r="AQ273" s="303" t="str">
        <f aca="false">IFERROR(IF(M$185*M$186*M$187*M188&gt;0,STDEV(M$185:M$187, M188)," ")/IF(M$185*M$186*M$187*M188&gt;0,SQRT(COUNT(M$185:M$187, M188))," "),"")</f>
        <v/>
      </c>
      <c r="AR273" s="303" t="str">
        <f aca="false">IFERROR(IF(N$185*N$186*N$187*N188&gt;0,STDEV(N$185:N$187, N188)," ")/IF(N$185*N$186*N$187*N188&gt;0,SQRT(COUNT(N$185:N$187, N188))," "),"")</f>
        <v/>
      </c>
    </row>
    <row r="274" customFormat="false" ht="15.75" hidden="false" customHeight="false" outlineLevel="0" collapsed="false">
      <c r="A274" s="290" t="s">
        <v>491</v>
      </c>
      <c r="B274" s="281"/>
      <c r="C274" s="302" t="str">
        <f aca="false">IFERROR(IF(C$186*C$187*C$188*C182&gt;0,AVERAGE(C$186:C$188, C182),""),"")</f>
        <v/>
      </c>
      <c r="D274" s="302" t="str">
        <f aca="false">IFERROR(IF(D$186*D$187*D$188*D182&gt;0,AVERAGE(D$186:D$188, D182),""),"")</f>
        <v/>
      </c>
      <c r="E274" s="302" t="str">
        <f aca="false">IFERROR(IF(E$186*E$187*E$188*E182&gt;0,AVERAGE(E$186:E$188, E182),""),"")</f>
        <v/>
      </c>
      <c r="F274" s="302" t="str">
        <f aca="false">IFERROR(IF(F$186*F$187*F$188*F182&gt;0,AVERAGE(F$186:F$188, F182),""),"")</f>
        <v/>
      </c>
      <c r="G274" s="302" t="str">
        <f aca="false">IFERROR(IF(G$186*G$187*G$188*G182&gt;0,AVERAGE(G$186:G$188, G182),""),"")</f>
        <v/>
      </c>
      <c r="H274" s="302" t="str">
        <f aca="false">IFERROR(IF(H$186*H$187*H$188*H182&gt;0,AVERAGE(H$186:H$188, H182),""),"")</f>
        <v/>
      </c>
      <c r="I274" s="302" t="str">
        <f aca="false">IFERROR(IF(I$186*I$187*I$188*I182&gt;0,AVERAGE(I$186:I$188, I182),""),"")</f>
        <v/>
      </c>
      <c r="J274" s="302" t="str">
        <f aca="false">IFERROR(IF(J$186*J$187*J$188*J182&gt;0,AVERAGE(J$186:J$188, J182),""),"")</f>
        <v/>
      </c>
      <c r="K274" s="302" t="str">
        <f aca="false">IFERROR(IF(K$186*K$187*K$188*K182&gt;0,AVERAGE(K$186:K$188, K182),""),"")</f>
        <v/>
      </c>
      <c r="L274" s="302" t="str">
        <f aca="false">IFERROR(IF(L$186*L$187*L$188*L182&gt;0,AVERAGE(L$186:L$188, L182),""),"")</f>
        <v/>
      </c>
      <c r="M274" s="302" t="str">
        <f aca="false">IFERROR(IF(M$186*M$187*M$188*M182&gt;0,AVERAGE(M$186:M$188, M182),""),"")</f>
        <v/>
      </c>
      <c r="N274" s="302" t="str">
        <f aca="false">IFERROR(IF(N$186*N$187*N$188*N182&gt;0,AVERAGE(N$186:N$188, N182),""),"")</f>
        <v/>
      </c>
      <c r="O274" s="282"/>
      <c r="P274" s="282"/>
      <c r="Q274" s="296"/>
      <c r="R274" s="293" t="s">
        <v>492</v>
      </c>
      <c r="S274" s="294" t="str">
        <f aca="false">IFERROR(IF(C$186*C$187*C$188*C182&gt;0,STDEV(C$186:C$188, C182),"")/IF(C$186*C$187*C$188*C182&gt;0,AVERAGE(C$186:C$188, C182),""),"")</f>
        <v/>
      </c>
      <c r="T274" s="294" t="str">
        <f aca="false">IFERROR(IF(D$186*D$187*D$188*D182&gt;0,STDEV(D$186:D$188, D182),"")/IF(D$186*D$187*D$188*D182&gt;0,AVERAGE(D$186:D$188, D182),""),"")</f>
        <v/>
      </c>
      <c r="U274" s="294" t="str">
        <f aca="false">IFERROR(IF(E$186*E$187*E$188*E182&gt;0,STDEV(E$186:E$188, E182),"")/IF(E$186*E$187*E$188*E182&gt;0,AVERAGE(E$186:E$188, E182),""),"")</f>
        <v/>
      </c>
      <c r="V274" s="294" t="str">
        <f aca="false">IFERROR(IF(F$186*F$187*F$188*F182&gt;0,STDEV(F$186:F$188, F182),"")/IF(F$186*F$187*F$188*F182&gt;0,AVERAGE(F$186:F$188, F182),""),"")</f>
        <v/>
      </c>
      <c r="W274" s="294" t="str">
        <f aca="false">IFERROR(IF(G$186*G$187*G$188*G182&gt;0,STDEV(G$186:G$188, G182),"")/IF(G$186*G$187*G$188*G182&gt;0,AVERAGE(G$186:G$188, G182),""),"")</f>
        <v/>
      </c>
      <c r="X274" s="294" t="str">
        <f aca="false">IFERROR(IF(H$186*H$187*H$188*H182&gt;0,STDEV(H$186:H$188, H182),"")/IF(H$186*H$187*H$188*H182&gt;0,AVERAGE(H$186:H$188, H182),""),"")</f>
        <v/>
      </c>
      <c r="Y274" s="294" t="str">
        <f aca="false">IFERROR(IF(I$186*I$187*I$188*I182&gt;0,STDEV(I$186:I$188, I182),"")/IF(I$186*I$187*I$188*I182&gt;0,AVERAGE(I$186:I$188, I182),""),"")</f>
        <v/>
      </c>
      <c r="Z274" s="294" t="str">
        <f aca="false">IFERROR(IF(J$186*J$187*J$188*J182&gt;0,STDEV(J$186:J$188, J182),"")/IF(J$186*J$187*J$188*J182&gt;0,AVERAGE(J$186:J$188, J182),""),"")</f>
        <v/>
      </c>
      <c r="AA274" s="294" t="str">
        <f aca="false">IFERROR(IF(K$186*K$187*K$188*K182&gt;0,STDEV(K$186:K$188, K182),"")/IF(K$186*K$187*K$188*K182&gt;0,AVERAGE(K$186:K$188, K182),""),"")</f>
        <v/>
      </c>
      <c r="AB274" s="294" t="str">
        <f aca="false">IFERROR(IF(L$186*L$187*L$188*L182&gt;0,STDEV(L$186:L$188, L182),"")/IF(L$186*L$187*L$188*L182&gt;0,AVERAGE(L$186:L$188, L182),""),"")</f>
        <v/>
      </c>
      <c r="AC274" s="294" t="str">
        <f aca="false">IFERROR(IF(M$186*M$187*M$188*M182&gt;0,STDEV(M$186:M$188, M182),"")/IF(M$186*M$187*M$188*M182&gt;0,AVERAGE(M$186:M$188, M182),""),"")</f>
        <v/>
      </c>
      <c r="AD274" s="294" t="str">
        <f aca="false">IFERROR(IF(N$186*N$187*N$188*N182&gt;0,STDEV(N$186:N$188, N182),"")/IF(N$186*N$187*N$188*N182&gt;0,AVERAGE(N$186:N$188, N182),""),"")</f>
        <v/>
      </c>
      <c r="AE274" s="44"/>
      <c r="AF274" s="266" t="s">
        <v>493</v>
      </c>
      <c r="AG274" s="303" t="str">
        <f aca="false">IFERROR(IF(C$186*C$187*C$188*C182&gt;0,STDEV(C$186:C$188, C182)," ")/IF(C$186*C$187*C$188*C182&gt;0,SQRT(COUNT(C$186:C$188, C182))," "),"")</f>
        <v/>
      </c>
      <c r="AH274" s="303" t="str">
        <f aca="false">IFERROR(IF(D$186*D$187*D$188*D182&gt;0,STDEV(D$186:D$188, D182)," ")/IF(D$186*D$187*D$188*D182&gt;0,SQRT(COUNT(D$186:D$188, D182))," "),"")</f>
        <v/>
      </c>
      <c r="AI274" s="303" t="str">
        <f aca="false">IFERROR(IF(E$186*E$187*E$188*E182&gt;0,STDEV(E$186:E$188, E182)," ")/IF(E$186*E$187*E$188*E182&gt;0,SQRT(COUNT(E$186:E$188, E182))," "),"")</f>
        <v/>
      </c>
      <c r="AJ274" s="303" t="str">
        <f aca="false">IFERROR(IF(F$186*F$187*F$188*F182&gt;0,STDEV(F$186:F$188, F182)," ")/IF(F$186*F$187*F$188*F182&gt;0,SQRT(COUNT(F$186:F$188, F182))," "),"")</f>
        <v/>
      </c>
      <c r="AK274" s="303" t="str">
        <f aca="false">IFERROR(IF(G$186*G$187*G$188*G182&gt;0,STDEV(G$186:G$188, G182)," ")/IF(G$186*G$187*G$188*G182&gt;0,SQRT(COUNT(G$186:G$188, G182))," "),"")</f>
        <v/>
      </c>
      <c r="AL274" s="303" t="str">
        <f aca="false">IFERROR(IF(H$186*H$187*H$188*H182&gt;0,STDEV(H$186:H$188, H182)," ")/IF(H$186*H$187*H$188*H182&gt;0,SQRT(COUNT(H$186:H$188, H182))," "),"")</f>
        <v/>
      </c>
      <c r="AM274" s="303" t="str">
        <f aca="false">IFERROR(IF(I$186*I$187*I$188*I182&gt;0,STDEV(I$186:I$188, I182)," ")/IF(I$186*I$187*I$188*I182&gt;0,SQRT(COUNT(I$186:I$188, I182))," "),"")</f>
        <v/>
      </c>
      <c r="AN274" s="303" t="str">
        <f aca="false">IFERROR(IF(J$186*J$187*J$188*J182&gt;0,STDEV(J$186:J$188, J182)," ")/IF(J$186*J$187*J$188*J182&gt;0,SQRT(COUNT(J$186:J$188, J182))," "),"")</f>
        <v/>
      </c>
      <c r="AO274" s="303" t="str">
        <f aca="false">IFERROR(IF(K$186*K$187*K$188*K182&gt;0,STDEV(K$186:K$188, K182)," ")/IF(K$186*K$187*K$188*K182&gt;0,SQRT(COUNT(K$186:K$188, K182))," "),"")</f>
        <v/>
      </c>
      <c r="AP274" s="303" t="str">
        <f aca="false">IFERROR(IF(L$186*L$187*L$188*L182&gt;0,STDEV(L$186:L$188, L182)," ")/IF(L$186*L$187*L$188*L182&gt;0,SQRT(COUNT(L$186:L$188, L182))," "),"")</f>
        <v/>
      </c>
      <c r="AQ274" s="303" t="str">
        <f aca="false">IFERROR(IF(M$186*M$187*M$188*M182&gt;0,STDEV(M$186:M$188, M182)," ")/IF(M$186*M$187*M$188*M182&gt;0,SQRT(COUNT(M$186:M$188, M182))," "),"")</f>
        <v/>
      </c>
      <c r="AR274" s="303" t="str">
        <f aca="false">IFERROR(IF(N$186*N$187*N$188*N182&gt;0,STDEV(N$186:N$188, N182)," ")/IF(N$186*N$187*N$188*N182&gt;0,SQRT(COUNT(N$186:N$188, N182))," "),"")</f>
        <v/>
      </c>
    </row>
    <row r="275" customFormat="false" ht="15.75" hidden="false" customHeight="false" outlineLevel="0" collapsed="false">
      <c r="A275" s="290" t="s">
        <v>494</v>
      </c>
      <c r="B275" s="281"/>
      <c r="C275" s="302" t="str">
        <f aca="false">IFERROR(IF(C$186*C$187*C$188*C183&gt;0,AVERAGE(C$186:C$188, C183),""),"")</f>
        <v/>
      </c>
      <c r="D275" s="302" t="str">
        <f aca="false">IFERROR(IF(D$186*D$187*D$188*D183&gt;0,AVERAGE(D$186:D$188, D183),""),"")</f>
        <v/>
      </c>
      <c r="E275" s="302" t="str">
        <f aca="false">IFERROR(IF(E$186*E$187*E$188*E183&gt;0,AVERAGE(E$186:E$188, E183),""),"")</f>
        <v/>
      </c>
      <c r="F275" s="302" t="str">
        <f aca="false">IFERROR(IF(F$186*F$187*F$188*F183&gt;0,AVERAGE(F$186:F$188, F183),""),"")</f>
        <v/>
      </c>
      <c r="G275" s="302" t="str">
        <f aca="false">IFERROR(IF(G$186*G$187*G$188*G183&gt;0,AVERAGE(G$186:G$188, G183),""),"")</f>
        <v/>
      </c>
      <c r="H275" s="302" t="str">
        <f aca="false">IFERROR(IF(H$186*H$187*H$188*H183&gt;0,AVERAGE(H$186:H$188, H183),""),"")</f>
        <v/>
      </c>
      <c r="I275" s="302" t="str">
        <f aca="false">IFERROR(IF(I$186*I$187*I$188*I183&gt;0,AVERAGE(I$186:I$188, I183),""),"")</f>
        <v/>
      </c>
      <c r="J275" s="302" t="str">
        <f aca="false">IFERROR(IF(J$186*J$187*J$188*J183&gt;0,AVERAGE(J$186:J$188, J183),""),"")</f>
        <v/>
      </c>
      <c r="K275" s="302" t="str">
        <f aca="false">IFERROR(IF(K$186*K$187*K$188*K183&gt;0,AVERAGE(K$186:K$188, K183),""),"")</f>
        <v/>
      </c>
      <c r="L275" s="302" t="str">
        <f aca="false">IFERROR(IF(L$186*L$187*L$188*L183&gt;0,AVERAGE(L$186:L$188, L183),""),"")</f>
        <v/>
      </c>
      <c r="M275" s="302" t="str">
        <f aca="false">IFERROR(IF(M$186*M$187*M$188*M183&gt;0,AVERAGE(M$186:M$188, M183),""),"")</f>
        <v/>
      </c>
      <c r="N275" s="302" t="str">
        <f aca="false">IFERROR(IF(N$186*N$187*N$188*N183&gt;0,AVERAGE(N$186:N$188, N183),""),"")</f>
        <v/>
      </c>
      <c r="O275" s="282"/>
      <c r="P275" s="282"/>
      <c r="Q275" s="296"/>
      <c r="R275" s="293" t="s">
        <v>495</v>
      </c>
      <c r="S275" s="294" t="str">
        <f aca="false">IFERROR(IF(C$186*C$187*C$188*C183&gt;0,STDEV(C$186:C$188, C183),"")/IF(C$186*C$187*C$188*C183&gt;0,AVERAGE(C$186:C$188, C183),""),"")</f>
        <v/>
      </c>
      <c r="T275" s="294" t="str">
        <f aca="false">IFERROR(IF(D$186*D$187*D$188*D183&gt;0,STDEV(D$186:D$188, D183),"")/IF(D$186*D$187*D$188*D183&gt;0,AVERAGE(D$186:D$188, D183),""),"")</f>
        <v/>
      </c>
      <c r="U275" s="294" t="str">
        <f aca="false">IFERROR(IF(E$186*E$187*E$188*E183&gt;0,STDEV(E$186:E$188, E183),"")/IF(E$186*E$187*E$188*E183&gt;0,AVERAGE(E$186:E$188, E183),""),"")</f>
        <v/>
      </c>
      <c r="V275" s="294" t="str">
        <f aca="false">IFERROR(IF(F$186*F$187*F$188*F183&gt;0,STDEV(F$186:F$188, F183),"")/IF(F$186*F$187*F$188*F183&gt;0,AVERAGE(F$186:F$188, F183),""),"")</f>
        <v/>
      </c>
      <c r="W275" s="294" t="str">
        <f aca="false">IFERROR(IF(G$186*G$187*G$188*G183&gt;0,STDEV(G$186:G$188, G183),"")/IF(G$186*G$187*G$188*G183&gt;0,AVERAGE(G$186:G$188, G183),""),"")</f>
        <v/>
      </c>
      <c r="X275" s="294" t="str">
        <f aca="false">IFERROR(IF(H$186*H$187*H$188*H183&gt;0,STDEV(H$186:H$188, H183),"")/IF(H$186*H$187*H$188*H183&gt;0,AVERAGE(H$186:H$188, H183),""),"")</f>
        <v/>
      </c>
      <c r="Y275" s="294" t="str">
        <f aca="false">IFERROR(IF(I$186*I$187*I$188*I183&gt;0,STDEV(I$186:I$188, I183),"")/IF(I$186*I$187*I$188*I183&gt;0,AVERAGE(I$186:I$188, I183),""),"")</f>
        <v/>
      </c>
      <c r="Z275" s="294" t="str">
        <f aca="false">IFERROR(IF(J$186*J$187*J$188*J183&gt;0,STDEV(J$186:J$188, J183),"")/IF(J$186*J$187*J$188*J183&gt;0,AVERAGE(J$186:J$188, J183),""),"")</f>
        <v/>
      </c>
      <c r="AA275" s="294" t="str">
        <f aca="false">IFERROR(IF(K$186*K$187*K$188*K183&gt;0,STDEV(K$186:K$188, K183),"")/IF(K$186*K$187*K$188*K183&gt;0,AVERAGE(K$186:K$188, K183),""),"")</f>
        <v/>
      </c>
      <c r="AB275" s="294" t="str">
        <f aca="false">IFERROR(IF(L$186*L$187*L$188*L183&gt;0,STDEV(L$186:L$188, L183),"")/IF(L$186*L$187*L$188*L183&gt;0,AVERAGE(L$186:L$188, L183),""),"")</f>
        <v/>
      </c>
      <c r="AC275" s="294" t="str">
        <f aca="false">IFERROR(IF(M$186*M$187*M$188*M183&gt;0,STDEV(M$186:M$188, M183),"")/IF(M$186*M$187*M$188*M183&gt;0,AVERAGE(M$186:M$188, M183),""),"")</f>
        <v/>
      </c>
      <c r="AD275" s="294" t="str">
        <f aca="false">IFERROR(IF(N$186*N$187*N$188*N183&gt;0,STDEV(N$186:N$188, N183),"")/IF(N$186*N$187*N$188*N183&gt;0,AVERAGE(N$186:N$188, N183),""),"")</f>
        <v/>
      </c>
      <c r="AE275" s="44"/>
      <c r="AF275" s="266" t="s">
        <v>496</v>
      </c>
      <c r="AG275" s="303" t="str">
        <f aca="false">IFERROR(IF(C$186*C$187*C$188*C183&gt;0,STDEV(C$186:C$188, C183)," ")/IF(C$186*C$187*C$188*C183&gt;0,SQRT(COUNT(C$186:C$188, C183))," "),"")</f>
        <v/>
      </c>
      <c r="AH275" s="303" t="str">
        <f aca="false">IFERROR(IF(D$186*D$187*D$188*D183&gt;0,STDEV(D$186:D$188, D183)," ")/IF(D$186*D$187*D$188*D183&gt;0,SQRT(COUNT(D$186:D$188, D183))," "),"")</f>
        <v/>
      </c>
      <c r="AI275" s="303" t="str">
        <f aca="false">IFERROR(IF(E$186*E$187*E$188*E183&gt;0,STDEV(E$186:E$188, E183)," ")/IF(E$186*E$187*E$188*E183&gt;0,SQRT(COUNT(E$186:E$188, E183))," "),"")</f>
        <v/>
      </c>
      <c r="AJ275" s="303" t="str">
        <f aca="false">IFERROR(IF(F$186*F$187*F$188*F183&gt;0,STDEV(F$186:F$188, F183)," ")/IF(F$186*F$187*F$188*F183&gt;0,SQRT(COUNT(F$186:F$188, F183))," "),"")</f>
        <v/>
      </c>
      <c r="AK275" s="303" t="str">
        <f aca="false">IFERROR(IF(G$186*G$187*G$188*G183&gt;0,STDEV(G$186:G$188, G183)," ")/IF(G$186*G$187*G$188*G183&gt;0,SQRT(COUNT(G$186:G$188, G183))," "),"")</f>
        <v/>
      </c>
      <c r="AL275" s="303" t="str">
        <f aca="false">IFERROR(IF(H$186*H$187*H$188*H183&gt;0,STDEV(H$186:H$188, H183)," ")/IF(H$186*H$187*H$188*H183&gt;0,SQRT(COUNT(H$186:H$188, H183))," "),"")</f>
        <v/>
      </c>
      <c r="AM275" s="303" t="str">
        <f aca="false">IFERROR(IF(I$186*I$187*I$188*I183&gt;0,STDEV(I$186:I$188, I183)," ")/IF(I$186*I$187*I$188*I183&gt;0,SQRT(COUNT(I$186:I$188, I183))," "),"")</f>
        <v/>
      </c>
      <c r="AN275" s="303" t="str">
        <f aca="false">IFERROR(IF(J$186*J$187*J$188*J183&gt;0,STDEV(J$186:J$188, J183)," ")/IF(J$186*J$187*J$188*J183&gt;0,SQRT(COUNT(J$186:J$188, J183))," "),"")</f>
        <v/>
      </c>
      <c r="AO275" s="303" t="str">
        <f aca="false">IFERROR(IF(K$186*K$187*K$188*K183&gt;0,STDEV(K$186:K$188, K183)," ")/IF(K$186*K$187*K$188*K183&gt;0,SQRT(COUNT(K$186:K$188, K183))," "),"")</f>
        <v/>
      </c>
      <c r="AP275" s="303" t="str">
        <f aca="false">IFERROR(IF(L$186*L$187*L$188*L183&gt;0,STDEV(L$186:L$188, L183)," ")/IF(L$186*L$187*L$188*L183&gt;0,SQRT(COUNT(L$186:L$188, L183))," "),"")</f>
        <v/>
      </c>
      <c r="AQ275" s="303" t="str">
        <f aca="false">IFERROR(IF(M$186*M$187*M$188*M183&gt;0,STDEV(M$186:M$188, M183)," ")/IF(M$186*M$187*M$188*M183&gt;0,SQRT(COUNT(M$186:M$188, M183))," "),"")</f>
        <v/>
      </c>
      <c r="AR275" s="303" t="str">
        <f aca="false">IFERROR(IF(N$186*N$187*N$188*N183&gt;0,STDEV(N$186:N$188, N183)," ")/IF(N$186*N$187*N$188*N183&gt;0,SQRT(COUNT(N$186:N$188, N183))," "),"")</f>
        <v/>
      </c>
    </row>
    <row r="276" customFormat="false" ht="15.75" hidden="false" customHeight="false" outlineLevel="0" collapsed="false">
      <c r="A276" s="290" t="s">
        <v>497</v>
      </c>
      <c r="B276" s="281"/>
      <c r="C276" s="302" t="str">
        <f aca="false">IFERROR(IF(C$186*C$187*C$188*C184&gt;0,AVERAGE(C$186:C$188, C184),""),"")</f>
        <v/>
      </c>
      <c r="D276" s="302" t="str">
        <f aca="false">IFERROR(IF(D$186*D$187*D$188*D184&gt;0,AVERAGE(D$186:D$188, D184),""),"")</f>
        <v/>
      </c>
      <c r="E276" s="302" t="str">
        <f aca="false">IFERROR(IF(E$186*E$187*E$188*E184&gt;0,AVERAGE(E$186:E$188, E184),""),"")</f>
        <v/>
      </c>
      <c r="F276" s="302" t="str">
        <f aca="false">IFERROR(IF(F$186*F$187*F$188*F184&gt;0,AVERAGE(F$186:F$188, F184),""),"")</f>
        <v/>
      </c>
      <c r="G276" s="302" t="str">
        <f aca="false">IFERROR(IF(G$186*G$187*G$188*G184&gt;0,AVERAGE(G$186:G$188, G184),""),"")</f>
        <v/>
      </c>
      <c r="H276" s="302" t="str">
        <f aca="false">IFERROR(IF(H$186*H$187*H$188*H184&gt;0,AVERAGE(H$186:H$188, H184),""),"")</f>
        <v/>
      </c>
      <c r="I276" s="302" t="str">
        <f aca="false">IFERROR(IF(I$186*I$187*I$188*I184&gt;0,AVERAGE(I$186:I$188, I184),""),"")</f>
        <v/>
      </c>
      <c r="J276" s="302" t="str">
        <f aca="false">IFERROR(IF(J$186*J$187*J$188*J184&gt;0,AVERAGE(J$186:J$188, J184),""),"")</f>
        <v/>
      </c>
      <c r="K276" s="302" t="str">
        <f aca="false">IFERROR(IF(K$186*K$187*K$188*K184&gt;0,AVERAGE(K$186:K$188, K184),""),"")</f>
        <v/>
      </c>
      <c r="L276" s="302" t="str">
        <f aca="false">IFERROR(IF(L$186*L$187*L$188*L184&gt;0,AVERAGE(L$186:L$188, L184),""),"")</f>
        <v/>
      </c>
      <c r="M276" s="302" t="str">
        <f aca="false">IFERROR(IF(M$186*M$187*M$188*M184&gt;0,AVERAGE(M$186:M$188, M184),""),"")</f>
        <v/>
      </c>
      <c r="N276" s="302" t="str">
        <f aca="false">IFERROR(IF(N$186*N$187*N$188*N184&gt;0,AVERAGE(N$186:N$188, N184),""),"")</f>
        <v/>
      </c>
      <c r="O276" s="282"/>
      <c r="P276" s="282"/>
      <c r="Q276" s="296"/>
      <c r="R276" s="293" t="s">
        <v>498</v>
      </c>
      <c r="S276" s="294" t="str">
        <f aca="false">IFERROR(IF(C$186*C$187*C$188*C184&gt;0,STDEV(C$186:C$188, C184),"")/IF(C$186*C$187*C$188*C184&gt;0,AVERAGE(C$186:C$188, C184),""),"")</f>
        <v/>
      </c>
      <c r="T276" s="294" t="str">
        <f aca="false">IFERROR(IF(D$186*D$187*D$188*D184&gt;0,STDEV(D$186:D$188, D184),"")/IF(D$186*D$187*D$188*D184&gt;0,AVERAGE(D$186:D$188, D184),""),"")</f>
        <v/>
      </c>
      <c r="U276" s="294" t="str">
        <f aca="false">IFERROR(IF(E$186*E$187*E$188*E184&gt;0,STDEV(E$186:E$188, E184),"")/IF(E$186*E$187*E$188*E184&gt;0,AVERAGE(E$186:E$188, E184),""),"")</f>
        <v/>
      </c>
      <c r="V276" s="294" t="str">
        <f aca="false">IFERROR(IF(F$186*F$187*F$188*F184&gt;0,STDEV(F$186:F$188, F184),"")/IF(F$186*F$187*F$188*F184&gt;0,AVERAGE(F$186:F$188, F184),""),"")</f>
        <v/>
      </c>
      <c r="W276" s="294" t="str">
        <f aca="false">IFERROR(IF(G$186*G$187*G$188*G184&gt;0,STDEV(G$186:G$188, G184),"")/IF(G$186*G$187*G$188*G184&gt;0,AVERAGE(G$186:G$188, G184),""),"")</f>
        <v/>
      </c>
      <c r="X276" s="294" t="str">
        <f aca="false">IFERROR(IF(H$186*H$187*H$188*H184&gt;0,STDEV(H$186:H$188, H184),"")/IF(H$186*H$187*H$188*H184&gt;0,AVERAGE(H$186:H$188, H184),""),"")</f>
        <v/>
      </c>
      <c r="Y276" s="294" t="str">
        <f aca="false">IFERROR(IF(I$186*I$187*I$188*I184&gt;0,STDEV(I$186:I$188, I184),"")/IF(I$186*I$187*I$188*I184&gt;0,AVERAGE(I$186:I$188, I184),""),"")</f>
        <v/>
      </c>
      <c r="Z276" s="294" t="str">
        <f aca="false">IFERROR(IF(J$186*J$187*J$188*J184&gt;0,STDEV(J$186:J$188, J184),"")/IF(J$186*J$187*J$188*J184&gt;0,AVERAGE(J$186:J$188, J184),""),"")</f>
        <v/>
      </c>
      <c r="AA276" s="294" t="str">
        <f aca="false">IFERROR(IF(K$186*K$187*K$188*K184&gt;0,STDEV(K$186:K$188, K184),"")/IF(K$186*K$187*K$188*K184&gt;0,AVERAGE(K$186:K$188, K184),""),"")</f>
        <v/>
      </c>
      <c r="AB276" s="294" t="str">
        <f aca="false">IFERROR(IF(L$186*L$187*L$188*L184&gt;0,STDEV(L$186:L$188, L184),"")/IF(L$186*L$187*L$188*L184&gt;0,AVERAGE(L$186:L$188, L184),""),"")</f>
        <v/>
      </c>
      <c r="AC276" s="294" t="str">
        <f aca="false">IFERROR(IF(M$186*M$187*M$188*M184&gt;0,STDEV(M$186:M$188, M184),"")/IF(M$186*M$187*M$188*M184&gt;0,AVERAGE(M$186:M$188, M184),""),"")</f>
        <v/>
      </c>
      <c r="AD276" s="294" t="str">
        <f aca="false">IFERROR(IF(N$186*N$187*N$188*N184&gt;0,STDEV(N$186:N$188, N184),"")/IF(N$186*N$187*N$188*N184&gt;0,AVERAGE(N$186:N$188, N184),""),"")</f>
        <v/>
      </c>
      <c r="AE276" s="44"/>
      <c r="AF276" s="266" t="s">
        <v>499</v>
      </c>
      <c r="AG276" s="303" t="str">
        <f aca="false">IFERROR(IF(C$186*C$187*C$188*C184&gt;0,STDEV(C$186:C$188, C184)," ")/IF(C$186*C$187*C$188*C184&gt;0,SQRT(COUNT(C$186:C$188, C184))," "),"")</f>
        <v/>
      </c>
      <c r="AH276" s="303" t="str">
        <f aca="false">IFERROR(IF(D$186*D$187*D$188*D184&gt;0,STDEV(D$186:D$188, D184)," ")/IF(D$186*D$187*D$188*D184&gt;0,SQRT(COUNT(D$186:D$188, D184))," "),"")</f>
        <v/>
      </c>
      <c r="AI276" s="303" t="str">
        <f aca="false">IFERROR(IF(E$186*E$187*E$188*E184&gt;0,STDEV(E$186:E$188, E184)," ")/IF(E$186*E$187*E$188*E184&gt;0,SQRT(COUNT(E$186:E$188, E184))," "),"")</f>
        <v/>
      </c>
      <c r="AJ276" s="303" t="str">
        <f aca="false">IFERROR(IF(F$186*F$187*F$188*F184&gt;0,STDEV(F$186:F$188, F184)," ")/IF(F$186*F$187*F$188*F184&gt;0,SQRT(COUNT(F$186:F$188, F184))," "),"")</f>
        <v/>
      </c>
      <c r="AK276" s="303" t="str">
        <f aca="false">IFERROR(IF(G$186*G$187*G$188*G184&gt;0,STDEV(G$186:G$188, G184)," ")/IF(G$186*G$187*G$188*G184&gt;0,SQRT(COUNT(G$186:G$188, G184))," "),"")</f>
        <v/>
      </c>
      <c r="AL276" s="303" t="str">
        <f aca="false">IFERROR(IF(H$186*H$187*H$188*H184&gt;0,STDEV(H$186:H$188, H184)," ")/IF(H$186*H$187*H$188*H184&gt;0,SQRT(COUNT(H$186:H$188, H184))," "),"")</f>
        <v/>
      </c>
      <c r="AM276" s="303" t="str">
        <f aca="false">IFERROR(IF(I$186*I$187*I$188*I184&gt;0,STDEV(I$186:I$188, I184)," ")/IF(I$186*I$187*I$188*I184&gt;0,SQRT(COUNT(I$186:I$188, I184))," "),"")</f>
        <v/>
      </c>
      <c r="AN276" s="303" t="str">
        <f aca="false">IFERROR(IF(J$186*J$187*J$188*J184&gt;0,STDEV(J$186:J$188, J184)," ")/IF(J$186*J$187*J$188*J184&gt;0,SQRT(COUNT(J$186:J$188, J184))," "),"")</f>
        <v/>
      </c>
      <c r="AO276" s="303" t="str">
        <f aca="false">IFERROR(IF(K$186*K$187*K$188*K184&gt;0,STDEV(K$186:K$188, K184)," ")/IF(K$186*K$187*K$188*K184&gt;0,SQRT(COUNT(K$186:K$188, K184))," "),"")</f>
        <v/>
      </c>
      <c r="AP276" s="303" t="str">
        <f aca="false">IFERROR(IF(L$186*L$187*L$188*L184&gt;0,STDEV(L$186:L$188, L184)," ")/IF(L$186*L$187*L$188*L184&gt;0,SQRT(COUNT(L$186:L$188, L184))," "),"")</f>
        <v/>
      </c>
      <c r="AQ276" s="303" t="str">
        <f aca="false">IFERROR(IF(M$186*M$187*M$188*M184&gt;0,STDEV(M$186:M$188, M184)," ")/IF(M$186*M$187*M$188*M184&gt;0,SQRT(COUNT(M$186:M$188, M184))," "),"")</f>
        <v/>
      </c>
      <c r="AR276" s="303" t="str">
        <f aca="false">IFERROR(IF(N$186*N$187*N$188*N184&gt;0,STDEV(N$186:N$188, N184)," ")/IF(N$186*N$187*N$188*N184&gt;0,SQRT(COUNT(N$186:N$188, N184))," "),"")</f>
        <v/>
      </c>
    </row>
    <row r="277" customFormat="false" ht="15.75" hidden="false" customHeight="false" outlineLevel="0" collapsed="false">
      <c r="A277" s="290" t="s">
        <v>500</v>
      </c>
      <c r="B277" s="281"/>
      <c r="C277" s="302" t="str">
        <f aca="false">IFERROR(IF(C$186*C$187*C$188*C185&gt;0,AVERAGE(C$186:C$188, C185),""),"")</f>
        <v/>
      </c>
      <c r="D277" s="302" t="str">
        <f aca="false">IFERROR(IF(D$186*D$187*D$188*D185&gt;0,AVERAGE(D$186:D$188, D185),""),"")</f>
        <v/>
      </c>
      <c r="E277" s="302" t="str">
        <f aca="false">IFERROR(IF(E$186*E$187*E$188*E185&gt;0,AVERAGE(E$186:E$188, E185),""),"")</f>
        <v/>
      </c>
      <c r="F277" s="302" t="str">
        <f aca="false">IFERROR(IF(F$186*F$187*F$188*F185&gt;0,AVERAGE(F$186:F$188, F185),""),"")</f>
        <v/>
      </c>
      <c r="G277" s="302" t="str">
        <f aca="false">IFERROR(IF(G$186*G$187*G$188*G185&gt;0,AVERAGE(G$186:G$188, G185),""),"")</f>
        <v/>
      </c>
      <c r="H277" s="302" t="str">
        <f aca="false">IFERROR(IF(H$186*H$187*H$188*H185&gt;0,AVERAGE(H$186:H$188, H185),""),"")</f>
        <v/>
      </c>
      <c r="I277" s="302" t="str">
        <f aca="false">IFERROR(IF(I$186*I$187*I$188*I185&gt;0,AVERAGE(I$186:I$188, I185),""),"")</f>
        <v/>
      </c>
      <c r="J277" s="302" t="str">
        <f aca="false">IFERROR(IF(J$186*J$187*J$188*J185&gt;0,AVERAGE(J$186:J$188, J185),""),"")</f>
        <v/>
      </c>
      <c r="K277" s="302" t="str">
        <f aca="false">IFERROR(IF(K$186*K$187*K$188*K185&gt;0,AVERAGE(K$186:K$188, K185),""),"")</f>
        <v/>
      </c>
      <c r="L277" s="302" t="str">
        <f aca="false">IFERROR(IF(L$186*L$187*L$188*L185&gt;0,AVERAGE(L$186:L$188, L185),""),"")</f>
        <v/>
      </c>
      <c r="M277" s="302" t="str">
        <f aca="false">IFERROR(IF(M$186*M$187*M$188*M185&gt;0,AVERAGE(M$186:M$188, M185),""),"")</f>
        <v/>
      </c>
      <c r="N277" s="302" t="str">
        <f aca="false">IFERROR(IF(N$186*N$187*N$188*N185&gt;0,AVERAGE(N$186:N$188, N185),""),"")</f>
        <v/>
      </c>
      <c r="O277" s="282"/>
      <c r="P277" s="282"/>
      <c r="Q277" s="296"/>
      <c r="R277" s="293" t="s">
        <v>501</v>
      </c>
      <c r="S277" s="294" t="str">
        <f aca="false">IFERROR(IF(C$186*C$187*C$188*C185&gt;0,STDEV(C$186:C$188, C185),"")/IF(C$186*C$187*C$188*C185&gt;0,AVERAGE(C$186:C$188, C185),""),"")</f>
        <v/>
      </c>
      <c r="T277" s="294" t="str">
        <f aca="false">IFERROR(IF(D$186*D$187*D$188*D185&gt;0,STDEV(D$186:D$188, D185),"")/IF(D$186*D$187*D$188*D185&gt;0,AVERAGE(D$186:D$188, D185),""),"")</f>
        <v/>
      </c>
      <c r="U277" s="294" t="str">
        <f aca="false">IFERROR(IF(E$186*E$187*E$188*E185&gt;0,STDEV(E$186:E$188, E185),"")/IF(E$186*E$187*E$188*E185&gt;0,AVERAGE(E$186:E$188, E185),""),"")</f>
        <v/>
      </c>
      <c r="V277" s="294" t="str">
        <f aca="false">IFERROR(IF(F$186*F$187*F$188*F185&gt;0,STDEV(F$186:F$188, F185),"")/IF(F$186*F$187*F$188*F185&gt;0,AVERAGE(F$186:F$188, F185),""),"")</f>
        <v/>
      </c>
      <c r="W277" s="294" t="str">
        <f aca="false">IFERROR(IF(G$186*G$187*G$188*G185&gt;0,STDEV(G$186:G$188, G185),"")/IF(G$186*G$187*G$188*G185&gt;0,AVERAGE(G$186:G$188, G185),""),"")</f>
        <v/>
      </c>
      <c r="X277" s="294" t="str">
        <f aca="false">IFERROR(IF(H$186*H$187*H$188*H185&gt;0,STDEV(H$186:H$188, H185),"")/IF(H$186*H$187*H$188*H185&gt;0,AVERAGE(H$186:H$188, H185),""),"")</f>
        <v/>
      </c>
      <c r="Y277" s="294" t="str">
        <f aca="false">IFERROR(IF(I$186*I$187*I$188*I185&gt;0,STDEV(I$186:I$188, I185),"")/IF(I$186*I$187*I$188*I185&gt;0,AVERAGE(I$186:I$188, I185),""),"")</f>
        <v/>
      </c>
      <c r="Z277" s="294" t="str">
        <f aca="false">IFERROR(IF(J$186*J$187*J$188*J185&gt;0,STDEV(J$186:J$188, J185),"")/IF(J$186*J$187*J$188*J185&gt;0,AVERAGE(J$186:J$188, J185),""),"")</f>
        <v/>
      </c>
      <c r="AA277" s="294" t="str">
        <f aca="false">IFERROR(IF(K$186*K$187*K$188*K185&gt;0,STDEV(K$186:K$188, K185),"")/IF(K$186*K$187*K$188*K185&gt;0,AVERAGE(K$186:K$188, K185),""),"")</f>
        <v/>
      </c>
      <c r="AB277" s="294" t="str">
        <f aca="false">IFERROR(IF(L$186*L$187*L$188*L185&gt;0,STDEV(L$186:L$188, L185),"")/IF(L$186*L$187*L$188*L185&gt;0,AVERAGE(L$186:L$188, L185),""),"")</f>
        <v/>
      </c>
      <c r="AC277" s="294" t="str">
        <f aca="false">IFERROR(IF(M$186*M$187*M$188*M185&gt;0,STDEV(M$186:M$188, M185),"")/IF(M$186*M$187*M$188*M185&gt;0,AVERAGE(M$186:M$188, M185),""),"")</f>
        <v/>
      </c>
      <c r="AD277" s="294" t="str">
        <f aca="false">IFERROR(IF(N$186*N$187*N$188*N185&gt;0,STDEV(N$186:N$188, N185),"")/IF(N$186*N$187*N$188*N185&gt;0,AVERAGE(N$186:N$188, N185),""),"")</f>
        <v/>
      </c>
      <c r="AE277" s="44"/>
      <c r="AF277" s="266" t="s">
        <v>502</v>
      </c>
      <c r="AG277" s="303" t="str">
        <f aca="false">IFERROR(IF(C$186*C$187*C$188*C185&gt;0,STDEV(C$186:C$188, C185)," ")/IF(C$186*C$187*C$188*C185&gt;0,SQRT(COUNT(C$186:C$188, C185))," "),"")</f>
        <v/>
      </c>
      <c r="AH277" s="303" t="str">
        <f aca="false">IFERROR(IF(D$186*D$187*D$188*D185&gt;0,STDEV(D$186:D$188, D185)," ")/IF(D$186*D$187*D$188*D185&gt;0,SQRT(COUNT(D$186:D$188, D185))," "),"")</f>
        <v/>
      </c>
      <c r="AI277" s="303" t="str">
        <f aca="false">IFERROR(IF(E$186*E$187*E$188*E185&gt;0,STDEV(E$186:E$188, E185)," ")/IF(E$186*E$187*E$188*E185&gt;0,SQRT(COUNT(E$186:E$188, E185))," "),"")</f>
        <v/>
      </c>
      <c r="AJ277" s="303" t="str">
        <f aca="false">IFERROR(IF(F$186*F$187*F$188*F185&gt;0,STDEV(F$186:F$188, F185)," ")/IF(F$186*F$187*F$188*F185&gt;0,SQRT(COUNT(F$186:F$188, F185))," "),"")</f>
        <v/>
      </c>
      <c r="AK277" s="303" t="str">
        <f aca="false">IFERROR(IF(G$186*G$187*G$188*G185&gt;0,STDEV(G$186:G$188, G185)," ")/IF(G$186*G$187*G$188*G185&gt;0,SQRT(COUNT(G$186:G$188, G185))," "),"")</f>
        <v/>
      </c>
      <c r="AL277" s="303" t="str">
        <f aca="false">IFERROR(IF(H$186*H$187*H$188*H185&gt;0,STDEV(H$186:H$188, H185)," ")/IF(H$186*H$187*H$188*H185&gt;0,SQRT(COUNT(H$186:H$188, H185))," "),"")</f>
        <v/>
      </c>
      <c r="AM277" s="303" t="str">
        <f aca="false">IFERROR(IF(I$186*I$187*I$188*I185&gt;0,STDEV(I$186:I$188, I185)," ")/IF(I$186*I$187*I$188*I185&gt;0,SQRT(COUNT(I$186:I$188, I185))," "),"")</f>
        <v/>
      </c>
      <c r="AN277" s="303" t="str">
        <f aca="false">IFERROR(IF(J$186*J$187*J$188*J185&gt;0,STDEV(J$186:J$188, J185)," ")/IF(J$186*J$187*J$188*J185&gt;0,SQRT(COUNT(J$186:J$188, J185))," "),"")</f>
        <v/>
      </c>
      <c r="AO277" s="303" t="str">
        <f aca="false">IFERROR(IF(K$186*K$187*K$188*K185&gt;0,STDEV(K$186:K$188, K185)," ")/IF(K$186*K$187*K$188*K185&gt;0,SQRT(COUNT(K$186:K$188, K185))," "),"")</f>
        <v/>
      </c>
      <c r="AP277" s="303" t="str">
        <f aca="false">IFERROR(IF(L$186*L$187*L$188*L185&gt;0,STDEV(L$186:L$188, L185)," ")/IF(L$186*L$187*L$188*L185&gt;0,SQRT(COUNT(L$186:L$188, L185))," "),"")</f>
        <v/>
      </c>
      <c r="AQ277" s="303" t="str">
        <f aca="false">IFERROR(IF(M$186*M$187*M$188*M185&gt;0,STDEV(M$186:M$188, M185)," ")/IF(M$186*M$187*M$188*M185&gt;0,SQRT(COUNT(M$186:M$188, M185))," "),"")</f>
        <v/>
      </c>
      <c r="AR277" s="303" t="str">
        <f aca="false">IFERROR(IF(N$186*N$187*N$188*N185&gt;0,STDEV(N$186:N$188, N185)," ")/IF(N$186*N$187*N$188*N185&gt;0,SQRT(COUNT(N$186:N$188, N185))," "),"")</f>
        <v/>
      </c>
    </row>
    <row r="278" customFormat="false" ht="15.75" hidden="false" customHeight="false" outlineLevel="0" collapsed="false">
      <c r="A278" s="290" t="s">
        <v>446</v>
      </c>
      <c r="B278" s="281"/>
      <c r="C278" s="302" t="str">
        <f aca="false">IFERROR(IF(C$182*C$183*C$184*C186&gt;0,AVERAGE(C$182, C$183, C$184, C$186),""),"")</f>
        <v/>
      </c>
      <c r="D278" s="302" t="str">
        <f aca="false">IFERROR(IF(D$182*D$183*D$184*D186&gt;0,AVERAGE(D$182, D$183, D$184, D$186),""),"")</f>
        <v/>
      </c>
      <c r="E278" s="302" t="str">
        <f aca="false">IFERROR(IF(E$182*E$183*E$184*E186&gt;0,AVERAGE(E$182, E$183, E$184, E$186),""),"")</f>
        <v/>
      </c>
      <c r="F278" s="302" t="str">
        <f aca="false">IFERROR(IF(F$182*F$183*F$184*F186&gt;0,AVERAGE(F$182, F$183, F$184, F$186),""),"")</f>
        <v/>
      </c>
      <c r="G278" s="302" t="str">
        <f aca="false">IFERROR(IF(G$182*G$183*G$184*G186&gt;0,AVERAGE(G$182, G$183, G$184, G$186),""),"")</f>
        <v/>
      </c>
      <c r="H278" s="302" t="str">
        <f aca="false">IFERROR(IF(H$182*H$183*H$184*H186&gt;0,AVERAGE(H$182, H$183, H$184, H$186),""),"")</f>
        <v/>
      </c>
      <c r="I278" s="302" t="str">
        <f aca="false">IFERROR(IF(I$182*I$183*I$184*I186&gt;0,AVERAGE(I$182, I$183, I$184, I$186),""),"")</f>
        <v/>
      </c>
      <c r="J278" s="302" t="str">
        <f aca="false">IFERROR(IF(J$182*J$183*J$184*J186&gt;0,AVERAGE(J$182, J$183, J$184, J$186),""),"")</f>
        <v/>
      </c>
      <c r="K278" s="302" t="str">
        <f aca="false">IFERROR(IF(K$182*K$183*K$184*K186&gt;0,AVERAGE(K$182, K$183, K$184, K$186),""),"")</f>
        <v/>
      </c>
      <c r="L278" s="302" t="str">
        <f aca="false">IFERROR(IF(L$182*L$183*L$184*L186&gt;0,AVERAGE(L$182, L$183, L$184, L$186),""),"")</f>
        <v/>
      </c>
      <c r="M278" s="302" t="str">
        <f aca="false">IFERROR(IF(M$182*M$183*M$184*M186&gt;0,AVERAGE(M$182, M$183, M$184, M$186),""),"")</f>
        <v/>
      </c>
      <c r="N278" s="302" t="str">
        <f aca="false">IFERROR(IF(N$182*N$183*N$184*N186&gt;0,AVERAGE(N$182, N$183, N$184, N$186),""),"")</f>
        <v/>
      </c>
      <c r="O278" s="282"/>
      <c r="P278" s="282"/>
      <c r="Q278" s="296"/>
      <c r="R278" s="293" t="s">
        <v>447</v>
      </c>
      <c r="S278" s="294" t="str">
        <f aca="false">IFERROR(IF(C$182*C$183*C$184*C186&gt;0,STDEV(C$182, C$183, C$184, C$186),"")/IF(C$182*C$183*C$184*C186&gt;0,AVERAGE(C$182, C$183, C$184, C$186),""),"")</f>
        <v/>
      </c>
      <c r="T278" s="294" t="str">
        <f aca="false">IFERROR(IF(D$182*D$183*D$184*D186&gt;0,STDEV(D$182, D$183, D$184, D$186),"")/IF(D$182*D$183*D$184*D186&gt;0,AVERAGE(D$182, D$183, D$184, D$186),""),"")</f>
        <v/>
      </c>
      <c r="U278" s="294" t="str">
        <f aca="false">IFERROR(IF(E$182*E$183*E$184*E186&gt;0,STDEV(E$182, E$183, E$184, E$186),"")/IF(E$182*E$183*E$184*E186&gt;0,AVERAGE(E$182, E$183, E$184, E$186),""),"")</f>
        <v/>
      </c>
      <c r="V278" s="294" t="str">
        <f aca="false">IFERROR(IF(F$182*F$183*F$184*F186&gt;0,STDEV(F$182, F$183, F$184, F$186),"")/IF(F$182*F$183*F$184*F186&gt;0,AVERAGE(F$182, F$183, F$184, F$186),""),"")</f>
        <v/>
      </c>
      <c r="W278" s="294" t="str">
        <f aca="false">IFERROR(IF(G$182*G$183*G$184*G186&gt;0,STDEV(G$182, G$183, G$184, G$186),"")/IF(G$182*G$183*G$184*G186&gt;0,AVERAGE(G$182, G$183, G$184, G$186),""),"")</f>
        <v/>
      </c>
      <c r="X278" s="294" t="str">
        <f aca="false">IFERROR(IF(H$182*H$183*H$184*H186&gt;0,STDEV(H$182, H$183, H$184, H$186),"")/IF(H$182*H$183*H$184*H186&gt;0,AVERAGE(H$182, H$183, H$184, H$186),""),"")</f>
        <v/>
      </c>
      <c r="Y278" s="294" t="str">
        <f aca="false">IFERROR(IF(I$182*I$183*I$184*I186&gt;0,STDEV(I$182, I$183, I$184, I$186),"")/IF(I$182*I$183*I$184*I186&gt;0,AVERAGE(I$182, I$183, I$184, I$186),""),"")</f>
        <v/>
      </c>
      <c r="Z278" s="294" t="str">
        <f aca="false">IFERROR(IF(J$182*J$183*J$184*J186&gt;0,STDEV(J$182, J$183, J$184, J$186),"")/IF(J$182*J$183*J$184*J186&gt;0,AVERAGE(J$182, J$183, J$184, J$186),""),"")</f>
        <v/>
      </c>
      <c r="AA278" s="294" t="str">
        <f aca="false">IFERROR(IF(K$182*K$183*K$184*K186&gt;0,STDEV(K$182, K$183, K$184, K$186),"")/IF(K$182*K$183*K$184*K186&gt;0,AVERAGE(K$182, K$183, K$184, K$186),""),"")</f>
        <v/>
      </c>
      <c r="AB278" s="294" t="str">
        <f aca="false">IFERROR(IF(L$182*L$183*L$184*L186&gt;0,STDEV(L$182, L$183, L$184, L$186),"")/IF(L$182*L$183*L$184*L186&gt;0,AVERAGE(L$182, L$183, L$184, L$186),""),"")</f>
        <v/>
      </c>
      <c r="AC278" s="294" t="str">
        <f aca="false">IFERROR(IF(M$182*M$183*M$184*M186&gt;0,STDEV(M$182, M$183, M$184, M$186),"")/IF(M$182*M$183*M$184*M186&gt;0,AVERAGE(M$182, M$183, M$184, M$186),""),"")</f>
        <v/>
      </c>
      <c r="AD278" s="294" t="str">
        <f aca="false">IFERROR(IF(N$182*N$183*N$184*N186&gt;0,STDEV(N$182, N$183, N$184, N$186),"")/IF(N$182*N$183*N$184*N186&gt;0,AVERAGE(N$182, N$183, N$184, N$186),""),"")</f>
        <v/>
      </c>
      <c r="AE278" s="44"/>
      <c r="AF278" s="266" t="s">
        <v>448</v>
      </c>
      <c r="AG278" s="303" t="str">
        <f aca="false">IFERROR(IF(C$182*C$183*C$184*C186&gt;0,STDEV(C$182, C$183, C$184, C$186)," ")/IF(C$182*C$183*C$184*C186&gt;0,SQRT(COUNT(C$182, C$183, C$184, C$186))," "),"")</f>
        <v/>
      </c>
      <c r="AH278" s="303" t="str">
        <f aca="false">IFERROR(IF(D$182*D$183*D$184*D186&gt;0,STDEV(D$182, D$183, D$184, D$186)," ")/IF(D$182*D$183*D$184*D186&gt;0,SQRT(COUNT(D$182, D$183, D$184, D$186))," "),"")</f>
        <v/>
      </c>
      <c r="AI278" s="303" t="str">
        <f aca="false">IFERROR(IF(E$182*E$183*E$184*E186&gt;0,STDEV(E$182, E$183, E$184, E$186)," ")/IF(E$182*E$183*E$184*E186&gt;0,SQRT(COUNT(E$182, E$183, E$184, E$186))," "),"")</f>
        <v/>
      </c>
      <c r="AJ278" s="303" t="str">
        <f aca="false">IFERROR(IF(F$182*F$183*F$184*F186&gt;0,STDEV(F$182, F$183, F$184, F$186)," ")/IF(F$182*F$183*F$184*F186&gt;0,SQRT(COUNT(F$182, F$183, F$184, F$186))," "),"")</f>
        <v/>
      </c>
      <c r="AK278" s="303" t="str">
        <f aca="false">IFERROR(IF(G$182*G$183*G$184*G186&gt;0,STDEV(G$182, G$183, G$184, G$186)," ")/IF(G$182*G$183*G$184*G186&gt;0,SQRT(COUNT(G$182, G$183, G$184, G$186))," "),"")</f>
        <v/>
      </c>
      <c r="AL278" s="303" t="str">
        <f aca="false">IFERROR(IF(H$182*H$183*H$184*H186&gt;0,STDEV(H$182, H$183, H$184, H$186)," ")/IF(H$182*H$183*H$184*H186&gt;0,SQRT(COUNT(H$182, H$183, H$184, H$186))," "),"")</f>
        <v/>
      </c>
      <c r="AM278" s="303" t="str">
        <f aca="false">IFERROR(IF(I$182*I$183*I$184*I186&gt;0,STDEV(I$182, I$183, I$184, I$186)," ")/IF(I$182*I$183*I$184*I186&gt;0,SQRT(COUNT(I$182, I$183, I$184, I$186))," "),"")</f>
        <v/>
      </c>
      <c r="AN278" s="303" t="str">
        <f aca="false">IFERROR(IF(J$182*J$183*J$184*J186&gt;0,STDEV(J$182, J$183, J$184, J$186)," ")/IF(J$182*J$183*J$184*J186&gt;0,SQRT(COUNT(J$182, J$183, J$184, J$186))," "),"")</f>
        <v/>
      </c>
      <c r="AO278" s="303" t="str">
        <f aca="false">IFERROR(IF(K$182*K$183*K$184*K186&gt;0,STDEV(K$182, K$183, K$184, K$186)," ")/IF(K$182*K$183*K$184*K186&gt;0,SQRT(COUNT(K$182, K$183, K$184, K$186))," "),"")</f>
        <v/>
      </c>
      <c r="AP278" s="303" t="str">
        <f aca="false">IFERROR(IF(L$182*L$183*L$184*L186&gt;0,STDEV(L$182, L$183, L$184, L$186)," ")/IF(L$182*L$183*L$184*L186&gt;0,SQRT(COUNT(L$182, L$183, L$184, L$186))," "),"")</f>
        <v/>
      </c>
      <c r="AQ278" s="303" t="str">
        <f aca="false">IFERROR(IF(M$182*M$183*M$184*M186&gt;0,STDEV(M$182, M$183, M$184, M$186)," ")/IF(M$182*M$183*M$184*M186&gt;0,SQRT(COUNT(M$182, M$183, M$184, M$186))," "),"")</f>
        <v/>
      </c>
      <c r="AR278" s="303" t="str">
        <f aca="false">IFERROR(IF(N$182*N$183*N$184*N186&gt;0,STDEV(N$182, N$183, N$184, N$186)," ")/IF(N$182*N$183*N$184*N186&gt;0,SQRT(COUNT(N$182, N$183, N$184, N$186))," "),"")</f>
        <v/>
      </c>
    </row>
    <row r="279" customFormat="false" ht="15.75" hidden="false" customHeight="false" outlineLevel="0" collapsed="false">
      <c r="A279" s="290" t="s">
        <v>449</v>
      </c>
      <c r="B279" s="281"/>
      <c r="C279" s="302" t="str">
        <f aca="false">IFERROR(IF(C$182*C$183*C$184*C187&gt;0,AVERAGE(C$182, C$183, C$184, C$187),""),"")</f>
        <v/>
      </c>
      <c r="D279" s="302" t="str">
        <f aca="false">IFERROR(IF(D$182*D$183*D$184*D187&gt;0,AVERAGE(D$182, D$183, D$184, D$187),""),"")</f>
        <v/>
      </c>
      <c r="E279" s="302" t="str">
        <f aca="false">IFERROR(IF(E$182*E$183*E$184*E187&gt;0,AVERAGE(E$182, E$183, E$184, E$187),""),"")</f>
        <v/>
      </c>
      <c r="F279" s="302" t="str">
        <f aca="false">IFERROR(IF(F$182*F$183*F$184*F187&gt;0,AVERAGE(F$182, F$183, F$184, F$187),""),"")</f>
        <v/>
      </c>
      <c r="G279" s="302" t="str">
        <f aca="false">IFERROR(IF(G$182*G$183*G$184*G187&gt;0,AVERAGE(G$182, G$183, G$184, G$187),""),"")</f>
        <v/>
      </c>
      <c r="H279" s="302" t="str">
        <f aca="false">IFERROR(IF(H$182*H$183*H$184*H187&gt;0,AVERAGE(H$182, H$183, H$184, H$187),""),"")</f>
        <v/>
      </c>
      <c r="I279" s="302" t="str">
        <f aca="false">IFERROR(IF(I$182*I$183*I$184*I187&gt;0,AVERAGE(I$182, I$183, I$184, I$187),""),"")</f>
        <v/>
      </c>
      <c r="J279" s="302" t="str">
        <f aca="false">IFERROR(IF(J$182*J$183*J$184*J187&gt;0,AVERAGE(J$182, J$183, J$184, J$187),""),"")</f>
        <v/>
      </c>
      <c r="K279" s="302" t="str">
        <f aca="false">IFERROR(IF(K$182*K$183*K$184*K187&gt;0,AVERAGE(K$182, K$183, K$184, K$187),""),"")</f>
        <v/>
      </c>
      <c r="L279" s="302" t="str">
        <f aca="false">IFERROR(IF(L$182*L$183*L$184*L187&gt;0,AVERAGE(L$182, L$183, L$184, L$187),""),"")</f>
        <v/>
      </c>
      <c r="M279" s="302" t="str">
        <f aca="false">IFERROR(IF(M$182*M$183*M$184*M187&gt;0,AVERAGE(M$182, M$183, M$184, M$187),""),"")</f>
        <v/>
      </c>
      <c r="N279" s="302" t="str">
        <f aca="false">IFERROR(IF(N$182*N$183*N$184*N187&gt;0,AVERAGE(N$182, N$183, N$184, N$187),""),"")</f>
        <v/>
      </c>
      <c r="O279" s="282"/>
      <c r="P279" s="282"/>
      <c r="Q279" s="296"/>
      <c r="R279" s="293" t="s">
        <v>450</v>
      </c>
      <c r="S279" s="294" t="str">
        <f aca="false">IFERROR(IF(C$182*C$183*C$184*C187&gt;0,STDEV(C$182, C$183, C$184, C$187),"")/IF(C$182*C$183*C$184*C187&gt;0,AVERAGE(C$182, C$183, C$184, C$187),""),"")</f>
        <v/>
      </c>
      <c r="T279" s="294" t="str">
        <f aca="false">IFERROR(IF(D$182*D$183*D$184*D187&gt;0,STDEV(D$182, D$183, D$184, D$187),"")/IF(D$182*D$183*D$184*D187&gt;0,AVERAGE(D$182, D$183, D$184, D$187),""),"")</f>
        <v/>
      </c>
      <c r="U279" s="294" t="str">
        <f aca="false">IFERROR(IF(E$182*E$183*E$184*E187&gt;0,STDEV(E$182, E$183, E$184, E$187),"")/IF(E$182*E$183*E$184*E187&gt;0,AVERAGE(E$182, E$183, E$184, E$187),""),"")</f>
        <v/>
      </c>
      <c r="V279" s="294" t="str">
        <f aca="false">IFERROR(IF(F$182*F$183*F$184*F187&gt;0,STDEV(F$182, F$183, F$184, F$187),"")/IF(F$182*F$183*F$184*F187&gt;0,AVERAGE(F$182, F$183, F$184, F$187),""),"")</f>
        <v/>
      </c>
      <c r="W279" s="294" t="str">
        <f aca="false">IFERROR(IF(G$182*G$183*G$184*G187&gt;0,STDEV(G$182, G$183, G$184, G$187),"")/IF(G$182*G$183*G$184*G187&gt;0,AVERAGE(G$182, G$183, G$184, G$187),""),"")</f>
        <v/>
      </c>
      <c r="X279" s="294" t="str">
        <f aca="false">IFERROR(IF(H$182*H$183*H$184*H187&gt;0,STDEV(H$182, H$183, H$184, H$187),"")/IF(H$182*H$183*H$184*H187&gt;0,AVERAGE(H$182, H$183, H$184, H$187),""),"")</f>
        <v/>
      </c>
      <c r="Y279" s="294" t="str">
        <f aca="false">IFERROR(IF(I$182*I$183*I$184*I187&gt;0,STDEV(I$182, I$183, I$184, I$187),"")/IF(I$182*I$183*I$184*I187&gt;0,AVERAGE(I$182, I$183, I$184, I$187),""),"")</f>
        <v/>
      </c>
      <c r="Z279" s="294" t="str">
        <f aca="false">IFERROR(IF(J$182*J$183*J$184*J187&gt;0,STDEV(J$182, J$183, J$184, J$187),"")/IF(J$182*J$183*J$184*J187&gt;0,AVERAGE(J$182, J$183, J$184, J$187),""),"")</f>
        <v/>
      </c>
      <c r="AA279" s="294" t="str">
        <f aca="false">IFERROR(IF(K$182*K$183*K$184*K187&gt;0,STDEV(K$182, K$183, K$184, K$187),"")/IF(K$182*K$183*K$184*K187&gt;0,AVERAGE(K$182, K$183, K$184, K$187),""),"")</f>
        <v/>
      </c>
      <c r="AB279" s="294" t="str">
        <f aca="false">IFERROR(IF(L$182*L$183*L$184*L187&gt;0,STDEV(L$182, L$183, L$184, L$187),"")/IF(L$182*L$183*L$184*L187&gt;0,AVERAGE(L$182, L$183, L$184, L$187),""),"")</f>
        <v/>
      </c>
      <c r="AC279" s="294" t="str">
        <f aca="false">IFERROR(IF(M$182*M$183*M$184*M187&gt;0,STDEV(M$182, M$183, M$184, M$187),"")/IF(M$182*M$183*M$184*M187&gt;0,AVERAGE(M$182, M$183, M$184, M$187),""),"")</f>
        <v/>
      </c>
      <c r="AD279" s="294" t="str">
        <f aca="false">IFERROR(IF(N$182*N$183*N$184*N187&gt;0,STDEV(N$182, N$183, N$184, N$187),"")/IF(N$182*N$183*N$184*N187&gt;0,AVERAGE(N$182, N$183, N$184, N$187),""),"")</f>
        <v/>
      </c>
      <c r="AE279" s="44"/>
      <c r="AF279" s="266" t="s">
        <v>451</v>
      </c>
      <c r="AG279" s="303" t="str">
        <f aca="false">IFERROR(IF(C$182*C$183*C$184*C187&gt;0,STDEV(C$182, C$183, C$184, C$187)," ")/IF(C$182*C$183*C$184*C187&gt;0,SQRT(COUNT(C$182, C$183, C$184, C$187))," "),"")</f>
        <v/>
      </c>
      <c r="AH279" s="303" t="str">
        <f aca="false">IFERROR(IF(D$182*D$183*D$184*D187&gt;0,STDEV(D$182, D$183, D$184, D$187)," ")/IF(D$182*D$183*D$184*D187&gt;0,SQRT(COUNT(D$182, D$183, D$184, D$187))," "),"")</f>
        <v/>
      </c>
      <c r="AI279" s="303" t="str">
        <f aca="false">IFERROR(IF(E$182*E$183*E$184*E187&gt;0,STDEV(E$182, E$183, E$184, E$187)," ")/IF(E$182*E$183*E$184*E187&gt;0,SQRT(COUNT(E$182, E$183, E$184, E$187))," "),"")</f>
        <v/>
      </c>
      <c r="AJ279" s="303" t="str">
        <f aca="false">IFERROR(IF(F$182*F$183*F$184*F187&gt;0,STDEV(F$182, F$183, F$184, F$187)," ")/IF(F$182*F$183*F$184*F187&gt;0,SQRT(COUNT(F$182, F$183, F$184, F$187))," "),"")</f>
        <v/>
      </c>
      <c r="AK279" s="303" t="str">
        <f aca="false">IFERROR(IF(G$182*G$183*G$184*G187&gt;0,STDEV(G$182, G$183, G$184, G$187)," ")/IF(G$182*G$183*G$184*G187&gt;0,SQRT(COUNT(G$182, G$183, G$184, G$187))," "),"")</f>
        <v/>
      </c>
      <c r="AL279" s="303" t="str">
        <f aca="false">IFERROR(IF(H$182*H$183*H$184*H187&gt;0,STDEV(H$182, H$183, H$184, H$187)," ")/IF(H$182*H$183*H$184*H187&gt;0,SQRT(COUNT(H$182, H$183, H$184, H$187))," "),"")</f>
        <v/>
      </c>
      <c r="AM279" s="303" t="str">
        <f aca="false">IFERROR(IF(I$182*I$183*I$184*I187&gt;0,STDEV(I$182, I$183, I$184, I$187)," ")/IF(I$182*I$183*I$184*I187&gt;0,SQRT(COUNT(I$182, I$183, I$184, I$187))," "),"")</f>
        <v/>
      </c>
      <c r="AN279" s="303" t="str">
        <f aca="false">IFERROR(IF(J$182*J$183*J$184*J187&gt;0,STDEV(J$182, J$183, J$184, J$187)," ")/IF(J$182*J$183*J$184*J187&gt;0,SQRT(COUNT(J$182, J$183, J$184, J$187))," "),"")</f>
        <v/>
      </c>
      <c r="AO279" s="303" t="str">
        <f aca="false">IFERROR(IF(K$182*K$183*K$184*K187&gt;0,STDEV(K$182, K$183, K$184, K$187)," ")/IF(K$182*K$183*K$184*K187&gt;0,SQRT(COUNT(K$182, K$183, K$184, K$187))," "),"")</f>
        <v/>
      </c>
      <c r="AP279" s="303" t="str">
        <f aca="false">IFERROR(IF(L$182*L$183*L$184*L187&gt;0,STDEV(L$182, L$183, L$184, L$187)," ")/IF(L$182*L$183*L$184*L187&gt;0,SQRT(COUNT(L$182, L$183, L$184, L$187))," "),"")</f>
        <v/>
      </c>
      <c r="AQ279" s="303" t="str">
        <f aca="false">IFERROR(IF(M$182*M$183*M$184*M187&gt;0,STDEV(M$182, M$183, M$184, M$187)," ")/IF(M$182*M$183*M$184*M187&gt;0,SQRT(COUNT(M$182, M$183, M$184, M$187))," "),"")</f>
        <v/>
      </c>
      <c r="AR279" s="303" t="str">
        <f aca="false">IFERROR(IF(N$182*N$183*N$184*N187&gt;0,STDEV(N$182, N$183, N$184, N$187)," ")/IF(N$182*N$183*N$184*N187&gt;0,SQRT(COUNT(N$182, N$183, N$184, N$187))," "),"")</f>
        <v/>
      </c>
    </row>
    <row r="280" customFormat="false" ht="15.75" hidden="false" customHeight="false" outlineLevel="0" collapsed="false">
      <c r="A280" s="290" t="s">
        <v>503</v>
      </c>
      <c r="B280" s="281"/>
      <c r="C280" s="302" t="str">
        <f aca="false">IFERROR(IF(C$182*C$183*C$185*C187&gt;0,AVERAGE(C$182, C$183, C$185, C$187),""),"")</f>
        <v/>
      </c>
      <c r="D280" s="302" t="str">
        <f aca="false">IFERROR(IF(D$182*D$183*D$185*D187&gt;0,AVERAGE(D$182, D$183, D$185, D$187),""),"")</f>
        <v/>
      </c>
      <c r="E280" s="302" t="str">
        <f aca="false">IFERROR(IF(E$182*E$183*E$185*E187&gt;0,AVERAGE(E$182, E$183, E$185, E$187),""),"")</f>
        <v/>
      </c>
      <c r="F280" s="302" t="str">
        <f aca="false">IFERROR(IF(F$182*F$183*F$185*F187&gt;0,AVERAGE(F$182, F$183, F$185, F$187),""),"")</f>
        <v/>
      </c>
      <c r="G280" s="302" t="str">
        <f aca="false">IFERROR(IF(G$182*G$183*G$185*G187&gt;0,AVERAGE(G$182, G$183, G$185, G$187),""),"")</f>
        <v/>
      </c>
      <c r="H280" s="302" t="str">
        <f aca="false">IFERROR(IF(H$182*H$183*H$185*H187&gt;0,AVERAGE(H$182, H$183, H$185, H$187),""),"")</f>
        <v/>
      </c>
      <c r="I280" s="302" t="str">
        <f aca="false">IFERROR(IF(I$182*I$183*I$185*I187&gt;0,AVERAGE(I$182, I$183, I$185, I$187),""),"")</f>
        <v/>
      </c>
      <c r="J280" s="302" t="str">
        <f aca="false">IFERROR(IF(J$182*J$183*J$185*J187&gt;0,AVERAGE(J$182, J$183, J$185, J$187),""),"")</f>
        <v/>
      </c>
      <c r="K280" s="302" t="str">
        <f aca="false">IFERROR(IF(K$182*K$183*K$185*K187&gt;0,AVERAGE(K$182, K$183, K$185, K$187),""),"")</f>
        <v/>
      </c>
      <c r="L280" s="302" t="str">
        <f aca="false">IFERROR(IF(L$182*L$183*L$185*L187&gt;0,AVERAGE(L$182, L$183, L$185, L$187),""),"")</f>
        <v/>
      </c>
      <c r="M280" s="302" t="str">
        <f aca="false">IFERROR(IF(M$182*M$183*M$185*M187&gt;0,AVERAGE(M$182, M$183, M$185, M$187),""),"")</f>
        <v/>
      </c>
      <c r="N280" s="302" t="str">
        <f aca="false">IFERROR(IF(N$182*N$183*N$185*N187&gt;0,AVERAGE(N$182, N$183, N$185, N$187),""),"")</f>
        <v/>
      </c>
      <c r="O280" s="282"/>
      <c r="P280" s="282"/>
      <c r="Q280" s="296"/>
      <c r="R280" s="293" t="s">
        <v>504</v>
      </c>
      <c r="S280" s="294" t="str">
        <f aca="false">IFERROR(IF(C$182*C$183*C$185*C187&gt;0,STDEV(C$182, C$183, C$185, C$187),"")/IF(C$182*C$183*C$185*C187&gt;0,AVERAGE(C$182, C$183, C$185, C$187),""),"")</f>
        <v/>
      </c>
      <c r="T280" s="294" t="str">
        <f aca="false">IFERROR(IF(D$182*D$183*D$185*D187&gt;0,STDEV(D$182, D$183, D$185, D$187),"")/IF(D$182*D$183*D$185*D187&gt;0,AVERAGE(D$182, D$183, D$185, D$187),""),"")</f>
        <v/>
      </c>
      <c r="U280" s="294" t="str">
        <f aca="false">IFERROR(IF(E$182*E$183*E$185*E187&gt;0,STDEV(E$182, E$183, E$185, E$187),"")/IF(E$182*E$183*E$185*E187&gt;0,AVERAGE(E$182, E$183, E$185, E$187),""),"")</f>
        <v/>
      </c>
      <c r="V280" s="294" t="str">
        <f aca="false">IFERROR(IF(F$182*F$183*F$185*F187&gt;0,STDEV(F$182, F$183, F$185, F$187),"")/IF(F$182*F$183*F$185*F187&gt;0,AVERAGE(F$182, F$183, F$185, F$187),""),"")</f>
        <v/>
      </c>
      <c r="W280" s="294" t="str">
        <f aca="false">IFERROR(IF(G$182*G$183*G$185*G187&gt;0,STDEV(G$182, G$183, G$185, G$187),"")/IF(G$182*G$183*G$185*G187&gt;0,AVERAGE(G$182, G$183, G$185, G$187),""),"")</f>
        <v/>
      </c>
      <c r="X280" s="294" t="str">
        <f aca="false">IFERROR(IF(H$182*H$183*H$185*H187&gt;0,STDEV(H$182, H$183, H$185, H$187),"")/IF(H$182*H$183*H$185*H187&gt;0,AVERAGE(H$182, H$183, H$185, H$187),""),"")</f>
        <v/>
      </c>
      <c r="Y280" s="294" t="str">
        <f aca="false">IFERROR(IF(I$182*I$183*I$185*I187&gt;0,STDEV(I$182, I$183, I$185, I$187),"")/IF(I$182*I$183*I$185*I187&gt;0,AVERAGE(I$182, I$183, I$185, I$187),""),"")</f>
        <v/>
      </c>
      <c r="Z280" s="294" t="str">
        <f aca="false">IFERROR(IF(J$182*J$183*J$185*J187&gt;0,STDEV(J$182, J$183, J$185, J$187),"")/IF(J$182*J$183*J$185*J187&gt;0,AVERAGE(J$182, J$183, J$185, J$187),""),"")</f>
        <v/>
      </c>
      <c r="AA280" s="294" t="str">
        <f aca="false">IFERROR(IF(K$182*K$183*K$185*K187&gt;0,STDEV(K$182, K$183, K$185, K$187),"")/IF(K$182*K$183*K$185*K187&gt;0,AVERAGE(K$182, K$183, K$185, K$187),""),"")</f>
        <v/>
      </c>
      <c r="AB280" s="294" t="str">
        <f aca="false">IFERROR(IF(L$182*L$183*L$185*L187&gt;0,STDEV(L$182, L$183, L$185, L$187),"")/IF(L$182*L$183*L$185*L187&gt;0,AVERAGE(L$182, L$183, L$185, L$187),""),"")</f>
        <v/>
      </c>
      <c r="AC280" s="294" t="str">
        <f aca="false">IFERROR(IF(M$182*M$183*M$185*M187&gt;0,STDEV(M$182, M$183, M$185, M$187),"")/IF(M$182*M$183*M$185*M187&gt;0,AVERAGE(M$182, M$183, M$185, M$187),""),"")</f>
        <v/>
      </c>
      <c r="AD280" s="294" t="str">
        <f aca="false">IFERROR(IF(N$182*N$183*N$185*N187&gt;0,STDEV(N$182, N$183, N$185, N$187),"")/IF(N$182*N$183*N$185*N187&gt;0,AVERAGE(N$182, N$183, N$185, N$187),""),"")</f>
        <v/>
      </c>
      <c r="AE280" s="44"/>
      <c r="AF280" s="266" t="s">
        <v>505</v>
      </c>
      <c r="AG280" s="303" t="str">
        <f aca="false">IFERROR(IF(C$182*C$183*C$185*C187&gt;0,STDEV(C$182, C$183, C$185, C$187)," ")/IF(C$182*C$183*C$185*C187&gt;0,SQRT(COUNT(C$182, C$183, C$185, C$187))," "),"")</f>
        <v/>
      </c>
      <c r="AH280" s="303" t="str">
        <f aca="false">IFERROR(IF(D$182*D$183*D$185*D187&gt;0,STDEV(D$182, D$183, D$185, D$187)," ")/IF(D$182*D$183*D$185*D187&gt;0,SQRT(COUNT(D$182, D$183, D$185, D$187))," "),"")</f>
        <v/>
      </c>
      <c r="AI280" s="303" t="str">
        <f aca="false">IFERROR(IF(E$182*E$183*E$185*E187&gt;0,STDEV(E$182, E$183, E$185, E$187)," ")/IF(E$182*E$183*E$185*E187&gt;0,SQRT(COUNT(E$182, E$183, E$185, E$187))," "),"")</f>
        <v/>
      </c>
      <c r="AJ280" s="303" t="str">
        <f aca="false">IFERROR(IF(F$182*F$183*F$185*F187&gt;0,STDEV(F$182, F$183, F$185, F$187)," ")/IF(F$182*F$183*F$185*F187&gt;0,SQRT(COUNT(F$182, F$183, F$185, F$187))," "),"")</f>
        <v/>
      </c>
      <c r="AK280" s="303" t="str">
        <f aca="false">IFERROR(IF(G$182*G$183*G$185*G187&gt;0,STDEV(G$182, G$183, G$185, G$187)," ")/IF(G$182*G$183*G$185*G187&gt;0,SQRT(COUNT(G$182, G$183, G$185, G$187))," "),"")</f>
        <v/>
      </c>
      <c r="AL280" s="303" t="str">
        <f aca="false">IFERROR(IF(H$182*H$183*H$185*H187&gt;0,STDEV(H$182, H$183, H$185, H$187)," ")/IF(H$182*H$183*H$185*H187&gt;0,SQRT(COUNT(H$182, H$183, H$185, H$187))," "),"")</f>
        <v/>
      </c>
      <c r="AM280" s="303" t="str">
        <f aca="false">IFERROR(IF(I$182*I$183*I$185*I187&gt;0,STDEV(I$182, I$183, I$185, I$187)," ")/IF(I$182*I$183*I$185*I187&gt;0,SQRT(COUNT(I$182, I$183, I$185, I$187))," "),"")</f>
        <v/>
      </c>
      <c r="AN280" s="303" t="str">
        <f aca="false">IFERROR(IF(J$182*J$183*J$185*J187&gt;0,STDEV(J$182, J$183, J$185, J$187)," ")/IF(J$182*J$183*J$185*J187&gt;0,SQRT(COUNT(J$182, J$183, J$185, J$187))," "),"")</f>
        <v/>
      </c>
      <c r="AO280" s="303" t="str">
        <f aca="false">IFERROR(IF(K$182*K$183*K$185*K187&gt;0,STDEV(K$182, K$183, K$185, K$187)," ")/IF(K$182*K$183*K$185*K187&gt;0,SQRT(COUNT(K$182, K$183, K$185, K$187))," "),"")</f>
        <v/>
      </c>
      <c r="AP280" s="303" t="str">
        <f aca="false">IFERROR(IF(L$182*L$183*L$185*L187&gt;0,STDEV(L$182, L$183, L$185, L$187)," ")/IF(L$182*L$183*L$185*L187&gt;0,SQRT(COUNT(L$182, L$183, L$185, L$187))," "),"")</f>
        <v/>
      </c>
      <c r="AQ280" s="303" t="str">
        <f aca="false">IFERROR(IF(M$182*M$183*M$185*M187&gt;0,STDEV(M$182, M$183, M$185, M$187)," ")/IF(M$182*M$183*M$185*M187&gt;0,SQRT(COUNT(M$182, M$183, M$185, M$187))," "),"")</f>
        <v/>
      </c>
      <c r="AR280" s="303" t="str">
        <f aca="false">IFERROR(IF(N$182*N$183*N$185*N187&gt;0,STDEV(N$182, N$183, N$185, N$187)," ")/IF(N$182*N$183*N$185*N187&gt;0,SQRT(COUNT(N$182, N$183, N$185, N$187))," "),"")</f>
        <v/>
      </c>
    </row>
    <row r="281" customFormat="false" ht="15.75" hidden="false" customHeight="false" outlineLevel="0" collapsed="false">
      <c r="A281" s="290" t="s">
        <v>506</v>
      </c>
      <c r="B281" s="281"/>
      <c r="C281" s="302" t="str">
        <f aca="false">IFERROR(IF(C$182*C$183*C$185*C$188&gt;0,AVERAGE(C$182, C$183, C$185, C$188),""),"")</f>
        <v/>
      </c>
      <c r="D281" s="302" t="str">
        <f aca="false">IFERROR(IF(D$182*D$183*D$185*D$188&gt;0,AVERAGE(D$182, D$183, D$185, D$188),""),"")</f>
        <v/>
      </c>
      <c r="E281" s="302" t="str">
        <f aca="false">IFERROR(IF(E$182*E$183*E$185*E$188&gt;0,AVERAGE(E$182, E$183, E$185, E$188),""),"")</f>
        <v/>
      </c>
      <c r="F281" s="302" t="str">
        <f aca="false">IFERROR(IF(F$182*F$183*F$185*F$188&gt;0,AVERAGE(F$182, F$183, F$185, F$188),""),"")</f>
        <v/>
      </c>
      <c r="G281" s="302" t="str">
        <f aca="false">IFERROR(IF(G$182*G$183*G$185*G$188&gt;0,AVERAGE(G$182, G$183, G$185, G$188),""),"")</f>
        <v/>
      </c>
      <c r="H281" s="302" t="str">
        <f aca="false">IFERROR(IF(H$182*H$183*H$185*H$188&gt;0,AVERAGE(H$182, H$183, H$185, H$188),""),"")</f>
        <v/>
      </c>
      <c r="I281" s="302" t="str">
        <f aca="false">IFERROR(IF(I$182*I$183*I$185*I$188&gt;0,AVERAGE(I$182, I$183, I$185, I$188),""),"")</f>
        <v/>
      </c>
      <c r="J281" s="302" t="str">
        <f aca="false">IFERROR(IF(J$182*J$183*J$185*J$188&gt;0,AVERAGE(J$182, J$183, J$185, J$188),""),"")</f>
        <v/>
      </c>
      <c r="K281" s="302" t="str">
        <f aca="false">IFERROR(IF(K$182*K$183*K$185*K$188&gt;0,AVERAGE(K$182, K$183, K$185, K$188),""),"")</f>
        <v/>
      </c>
      <c r="L281" s="302" t="str">
        <f aca="false">IFERROR(IF(L$182*L$183*L$185*L$188&gt;0,AVERAGE(L$182, L$183, L$185, L$188),""),"")</f>
        <v/>
      </c>
      <c r="M281" s="302" t="str">
        <f aca="false">IFERROR(IF(M$182*M$183*M$185*M$188&gt;0,AVERAGE(M$182, M$183, M$185, M$188),""),"")</f>
        <v/>
      </c>
      <c r="N281" s="302" t="str">
        <f aca="false">IFERROR(IF(N$182*N$183*N$185*N$188&gt;0,AVERAGE(N$182, N$183, N$185, N$188),""),"")</f>
        <v/>
      </c>
      <c r="O281" s="282"/>
      <c r="P281" s="282"/>
      <c r="Q281" s="296"/>
      <c r="R281" s="293" t="s">
        <v>507</v>
      </c>
      <c r="S281" s="294" t="str">
        <f aca="false">IFERROR(IF(C$182*C$183*C$185*C$188&gt;0,STDEV(C$182, C$183, C$185, C$188),"")/IF(C$182*C$183*C$185*C$188&gt;0,AVERAGE(C$182, C$183, C$185, C$188),""),"")</f>
        <v/>
      </c>
      <c r="T281" s="294" t="str">
        <f aca="false">IFERROR(IF(D$182*D$183*D$185*D$188&gt;0,STDEV(D$182, D$183, D$185, D$188),"")/IF(D$182*D$183*D$185*D$188&gt;0,AVERAGE(D$182, D$183, D$185, D$188),""),"")</f>
        <v/>
      </c>
      <c r="U281" s="294" t="str">
        <f aca="false">IFERROR(IF(E$182*E$183*E$185*E$188&gt;0,STDEV(E$182, E$183, E$185, E$188),"")/IF(E$182*E$183*E$185*E$188&gt;0,AVERAGE(E$182, E$183, E$185, E$188),""),"")</f>
        <v/>
      </c>
      <c r="V281" s="294" t="str">
        <f aca="false">IFERROR(IF(F$182*F$183*F$185*F$188&gt;0,STDEV(F$182, F$183, F$185, F$188),"")/IF(F$182*F$183*F$185*F$188&gt;0,AVERAGE(F$182, F$183, F$185, F$188),""),"")</f>
        <v/>
      </c>
      <c r="W281" s="294" t="str">
        <f aca="false">IFERROR(IF(G$182*G$183*G$185*G$188&gt;0,STDEV(G$182, G$183, G$185, G$188),"")/IF(G$182*G$183*G$185*G$188&gt;0,AVERAGE(G$182, G$183, G$185, G$188),""),"")</f>
        <v/>
      </c>
      <c r="X281" s="294" t="str">
        <f aca="false">IFERROR(IF(H$182*H$183*H$185*H$188&gt;0,STDEV(H$182, H$183, H$185, H$188),"")/IF(H$182*H$183*H$185*H$188&gt;0,AVERAGE(H$182, H$183, H$185, H$188),""),"")</f>
        <v/>
      </c>
      <c r="Y281" s="294" t="str">
        <f aca="false">IFERROR(IF(I$182*I$183*I$185*I$188&gt;0,STDEV(I$182, I$183, I$185, I$188),"")/IF(I$182*I$183*I$185*I$188&gt;0,AVERAGE(I$182, I$183, I$185, I$188),""),"")</f>
        <v/>
      </c>
      <c r="Z281" s="294" t="str">
        <f aca="false">IFERROR(IF(J$182*J$183*J$185*J$188&gt;0,STDEV(J$182, J$183, J$185, J$188),"")/IF(J$182*J$183*J$185*J$188&gt;0,AVERAGE(J$182, J$183, J$185, J$188),""),"")</f>
        <v/>
      </c>
      <c r="AA281" s="294" t="str">
        <f aca="false">IFERROR(IF(K$182*K$183*K$185*K$188&gt;0,STDEV(K$182, K$183, K$185, K$188),"")/IF(K$182*K$183*K$185*K$188&gt;0,AVERAGE(K$182, K$183, K$185, K$188),""),"")</f>
        <v/>
      </c>
      <c r="AB281" s="294" t="str">
        <f aca="false">IFERROR(IF(L$182*L$183*L$185*L$188&gt;0,STDEV(L$182, L$183, L$185, L$188),"")/IF(L$182*L$183*L$185*L$188&gt;0,AVERAGE(L$182, L$183, L$185, L$188),""),"")</f>
        <v/>
      </c>
      <c r="AC281" s="294" t="str">
        <f aca="false">IFERROR(IF(M$182*M$183*M$185*M$188&gt;0,STDEV(M$182, M$183, M$185, M$188),"")/IF(M$182*M$183*M$185*M$188&gt;0,AVERAGE(M$182, M$183, M$185, M$188),""),"")</f>
        <v/>
      </c>
      <c r="AD281" s="294" t="str">
        <f aca="false">IFERROR(IF(N$182*N$183*N$185*N$188&gt;0,STDEV(N$182, N$183, N$185, N$188),"")/IF(N$182*N$183*N$185*N$188&gt;0,AVERAGE(N$182, N$183, N$185, N$188),""),"")</f>
        <v/>
      </c>
      <c r="AE281" s="44"/>
      <c r="AF281" s="266" t="s">
        <v>508</v>
      </c>
      <c r="AG281" s="303" t="str">
        <f aca="false">IFERROR(IF(C$182*C$183*C$185*C$188&gt;0,STDEV(C$182, C$183, C$185, C$188)," ")/IF(C$182*C$183*C$185*C$188&gt;0,SQRT(COUNT(C$182, C$183, C$185, C$188))," "),"")</f>
        <v/>
      </c>
      <c r="AH281" s="303" t="str">
        <f aca="false">IFERROR(IF(D$182*D$183*D$185*D$188&gt;0,STDEV(D$182, D$183, D$185, D$188)," ")/IF(D$182*D$183*D$185*D$188&gt;0,SQRT(COUNT(D$182, D$183, D$185, D$188))," "),"")</f>
        <v/>
      </c>
      <c r="AI281" s="303" t="str">
        <f aca="false">IFERROR(IF(E$182*E$183*E$185*E$188&gt;0,STDEV(E$182, E$183, E$185, E$188)," ")/IF(E$182*E$183*E$185*E$188&gt;0,SQRT(COUNT(E$182, E$183, E$185, E$188))," "),"")</f>
        <v/>
      </c>
      <c r="AJ281" s="303" t="str">
        <f aca="false">IFERROR(IF(F$182*F$183*F$185*F$188&gt;0,STDEV(F$182, F$183, F$185, F$188)," ")/IF(F$182*F$183*F$185*F$188&gt;0,SQRT(COUNT(F$182, F$183, F$185, F$188))," "),"")</f>
        <v/>
      </c>
      <c r="AK281" s="303" t="str">
        <f aca="false">IFERROR(IF(G$182*G$183*G$185*G$188&gt;0,STDEV(G$182, G$183, G$185, G$188)," ")/IF(G$182*G$183*G$185*G$188&gt;0,SQRT(COUNT(G$182, G$183, G$185, G$188))," "),"")</f>
        <v/>
      </c>
      <c r="AL281" s="303" t="str">
        <f aca="false">IFERROR(IF(H$182*H$183*H$185*H$188&gt;0,STDEV(H$182, H$183, H$185, H$188)," ")/IF(H$182*H$183*H$185*H$188&gt;0,SQRT(COUNT(H$182, H$183, H$185, H$188))," "),"")</f>
        <v/>
      </c>
      <c r="AM281" s="303" t="str">
        <f aca="false">IFERROR(IF(I$182*I$183*I$185*I$188&gt;0,STDEV(I$182, I$183, I$185, I$188)," ")/IF(I$182*I$183*I$185*I$188&gt;0,SQRT(COUNT(I$182, I$183, I$185, I$188))," "),"")</f>
        <v/>
      </c>
      <c r="AN281" s="303" t="str">
        <f aca="false">IFERROR(IF(J$182*J$183*J$185*J$188&gt;0,STDEV(J$182, J$183, J$185, J$188)," ")/IF(J$182*J$183*J$185*J$188&gt;0,SQRT(COUNT(J$182, J$183, J$185, J$188))," "),"")</f>
        <v/>
      </c>
      <c r="AO281" s="303" t="str">
        <f aca="false">IFERROR(IF(K$182*K$183*K$185*K$188&gt;0,STDEV(K$182, K$183, K$185, K$188)," ")/IF(K$182*K$183*K$185*K$188&gt;0,SQRT(COUNT(K$182, K$183, K$185, K$188))," "),"")</f>
        <v/>
      </c>
      <c r="AP281" s="303" t="str">
        <f aca="false">IFERROR(IF(L$182*L$183*L$185*L$188&gt;0,STDEV(L$182, L$183, L$185, L$188)," ")/IF(L$182*L$183*L$185*L$188&gt;0,SQRT(COUNT(L$182, L$183, L$185, L$188))," "),"")</f>
        <v/>
      </c>
      <c r="AQ281" s="303" t="str">
        <f aca="false">IFERROR(IF(M$182*M$183*M$185*M$188&gt;0,STDEV(M$182, M$183, M$185, M$188)," ")/IF(M$182*M$183*M$185*M$188&gt;0,SQRT(COUNT(M$182, M$183, M$185, M$188))," "),"")</f>
        <v/>
      </c>
      <c r="AR281" s="303" t="str">
        <f aca="false">IFERROR(IF(N$182*N$183*N$185*N$188&gt;0,STDEV(N$182, N$183, N$185, N$188)," ")/IF(N$182*N$183*N$185*N$188&gt;0,SQRT(COUNT(N$182, N$183, N$185, N$188))," "),"")</f>
        <v/>
      </c>
    </row>
    <row r="282" customFormat="false" ht="15.75" hidden="false" customHeight="false" outlineLevel="0" collapsed="false">
      <c r="A282" s="290" t="s">
        <v>452</v>
      </c>
      <c r="B282" s="281"/>
      <c r="C282" s="302" t="str">
        <f aca="false">IFERROR(IF(C$182*C$183*C$184*C188&gt;0,AVERAGE(C$182, C$183, C$184, C$188),""),"")</f>
        <v/>
      </c>
      <c r="D282" s="302" t="str">
        <f aca="false">IFERROR(IF(D$182*D$183*D$184*D188&gt;0,AVERAGE(D$182, D$183, D$184, D$188),""),"")</f>
        <v/>
      </c>
      <c r="E282" s="302" t="str">
        <f aca="false">IFERROR(IF(E$182*E$183*E$184*E188&gt;0,AVERAGE(E$182, E$183, E$184, E$188),""),"")</f>
        <v/>
      </c>
      <c r="F282" s="302" t="str">
        <f aca="false">IFERROR(IF(F$182*F$183*F$184*F188&gt;0,AVERAGE(F$182, F$183, F$184, F$188),""),"")</f>
        <v/>
      </c>
      <c r="G282" s="302" t="str">
        <f aca="false">IFERROR(IF(G$182*G$183*G$184*G188&gt;0,AVERAGE(G$182, G$183, G$184, G$188),""),"")</f>
        <v/>
      </c>
      <c r="H282" s="302" t="str">
        <f aca="false">IFERROR(IF(H$182*H$183*H$184*H188&gt;0,AVERAGE(H$182, H$183, H$184, H$188),""),"")</f>
        <v/>
      </c>
      <c r="I282" s="302" t="str">
        <f aca="false">IFERROR(IF(I$182*I$183*I$184*I188&gt;0,AVERAGE(I$182, I$183, I$184, I$188),""),"")</f>
        <v/>
      </c>
      <c r="J282" s="302" t="str">
        <f aca="false">IFERROR(IF(J$182*J$183*J$184*J188&gt;0,AVERAGE(J$182, J$183, J$184, J$188),""),"")</f>
        <v/>
      </c>
      <c r="K282" s="302" t="str">
        <f aca="false">IFERROR(IF(K$182*K$183*K$184*K188&gt;0,AVERAGE(K$182, K$183, K$184, K$188),""),"")</f>
        <v/>
      </c>
      <c r="L282" s="302" t="str">
        <f aca="false">IFERROR(IF(L$182*L$183*L$184*L188&gt;0,AVERAGE(L$182, L$183, L$184, L$188),""),"")</f>
        <v/>
      </c>
      <c r="M282" s="302" t="str">
        <f aca="false">IFERROR(IF(M$182*M$183*M$184*M188&gt;0,AVERAGE(M$182, M$183, M$184, M$188),""),"")</f>
        <v/>
      </c>
      <c r="N282" s="302" t="str">
        <f aca="false">IFERROR(IF(N$182*N$183*N$184*N188&gt;0,AVERAGE(N$182, N$183, N$184, N$188),""),"")</f>
        <v/>
      </c>
      <c r="O282" s="282"/>
      <c r="P282" s="282"/>
      <c r="Q282" s="296"/>
      <c r="R282" s="293" t="s">
        <v>453</v>
      </c>
      <c r="S282" s="294" t="str">
        <f aca="false">IFERROR(IF(C$182*C$183*C$184*C188&gt;0,STDEV(C$182, C$183, C$184, C$188),"")/IF(C$182*C$183*C$184*C188&gt;0,AVERAGE(C$182, C$183, C$184, C$188),""),"")</f>
        <v/>
      </c>
      <c r="T282" s="294" t="str">
        <f aca="false">IFERROR(IF(D$182*D$183*D$184*D188&gt;0,STDEV(D$182, D$183, D$184, D$188),"")/IF(D$182*D$183*D$184*D188&gt;0,AVERAGE(D$182, D$183, D$184, D$188),""),"")</f>
        <v/>
      </c>
      <c r="U282" s="294" t="str">
        <f aca="false">IFERROR(IF(E$182*E$183*E$184*E188&gt;0,STDEV(E$182, E$183, E$184, E$188),"")/IF(E$182*E$183*E$184*E188&gt;0,AVERAGE(E$182, E$183, E$184, E$188),""),"")</f>
        <v/>
      </c>
      <c r="V282" s="294" t="str">
        <f aca="false">IFERROR(IF(F$182*F$183*F$184*F188&gt;0,STDEV(F$182, F$183, F$184, F$188),"")/IF(F$182*F$183*F$184*F188&gt;0,AVERAGE(F$182, F$183, F$184, F$188),""),"")</f>
        <v/>
      </c>
      <c r="W282" s="294" t="str">
        <f aca="false">IFERROR(IF(G$182*G$183*G$184*G188&gt;0,STDEV(G$182, G$183, G$184, G$188),"")/IF(G$182*G$183*G$184*G188&gt;0,AVERAGE(G$182, G$183, G$184, G$188),""),"")</f>
        <v/>
      </c>
      <c r="X282" s="294" t="str">
        <f aca="false">IFERROR(IF(H$182*H$183*H$184*H188&gt;0,STDEV(H$182, H$183, H$184, H$188),"")/IF(H$182*H$183*H$184*H188&gt;0,AVERAGE(H$182, H$183, H$184, H$188),""),"")</f>
        <v/>
      </c>
      <c r="Y282" s="294" t="str">
        <f aca="false">IFERROR(IF(I$182*I$183*I$184*I188&gt;0,STDEV(I$182, I$183, I$184, I$188),"")/IF(I$182*I$183*I$184*I188&gt;0,AVERAGE(I$182, I$183, I$184, I$188),""),"")</f>
        <v/>
      </c>
      <c r="Z282" s="294" t="str">
        <f aca="false">IFERROR(IF(J$182*J$183*J$184*J188&gt;0,STDEV(J$182, J$183, J$184, J$188),"")/IF(J$182*J$183*J$184*J188&gt;0,AVERAGE(J$182, J$183, J$184, J$188),""),"")</f>
        <v/>
      </c>
      <c r="AA282" s="294" t="str">
        <f aca="false">IFERROR(IF(K$182*K$183*K$184*K188&gt;0,STDEV(K$182, K$183, K$184, K$188),"")/IF(K$182*K$183*K$184*K188&gt;0,AVERAGE(K$182, K$183, K$184, K$188),""),"")</f>
        <v/>
      </c>
      <c r="AB282" s="294" t="str">
        <f aca="false">IFERROR(IF(L$182*L$183*L$184*L188&gt;0,STDEV(L$182, L$183, L$184, L$188),"")/IF(L$182*L$183*L$184*L188&gt;0,AVERAGE(L$182, L$183, L$184, L$188),""),"")</f>
        <v/>
      </c>
      <c r="AC282" s="294" t="str">
        <f aca="false">IFERROR(IF(M$182*M$183*M$184*M188&gt;0,STDEV(M$182, M$183, M$184, M$188),"")/IF(M$182*M$183*M$184*M188&gt;0,AVERAGE(M$182, M$183, M$184, M$188),""),"")</f>
        <v/>
      </c>
      <c r="AD282" s="294" t="str">
        <f aca="false">IFERROR(IF(N$182*N$183*N$184*N188&gt;0,STDEV(N$182, N$183, N$184, N$188),"")/IF(N$182*N$183*N$184*N188&gt;0,AVERAGE(N$182, N$183, N$184, N$188),""),"")</f>
        <v/>
      </c>
      <c r="AE282" s="44"/>
      <c r="AF282" s="266" t="s">
        <v>454</v>
      </c>
      <c r="AG282" s="303" t="str">
        <f aca="false">IFERROR(IF(C$182*C$183*C$184*C188&gt;0,STDEV(C$182, C$183, C$184, C$188)," ")/IF(C$182*C$183*C$184*C188&gt;0,SQRT(COUNT(C$182, C$183, C$184, C$188))," "),"")</f>
        <v/>
      </c>
      <c r="AH282" s="303" t="str">
        <f aca="false">IFERROR(IF(D$182*D$183*D$184*D188&gt;0,STDEV(D$182, D$183, D$184, D$188)," ")/IF(D$182*D$183*D$184*D188&gt;0,SQRT(COUNT(D$182, D$183, D$184, D$188))," "),"")</f>
        <v/>
      </c>
      <c r="AI282" s="303" t="str">
        <f aca="false">IFERROR(IF(E$182*E$183*E$184*E188&gt;0,STDEV(E$182, E$183, E$184, E$188)," ")/IF(E$182*E$183*E$184*E188&gt;0,SQRT(COUNT(E$182, E$183, E$184, E$188))," "),"")</f>
        <v/>
      </c>
      <c r="AJ282" s="303" t="str">
        <f aca="false">IFERROR(IF(F$182*F$183*F$184*F188&gt;0,STDEV(F$182, F$183, F$184, F$188)," ")/IF(F$182*F$183*F$184*F188&gt;0,SQRT(COUNT(F$182, F$183, F$184, F$188))," "),"")</f>
        <v/>
      </c>
      <c r="AK282" s="303" t="str">
        <f aca="false">IFERROR(IF(G$182*G$183*G$184*G188&gt;0,STDEV(G$182, G$183, G$184, G$188)," ")/IF(G$182*G$183*G$184*G188&gt;0,SQRT(COUNT(G$182, G$183, G$184, G$188))," "),"")</f>
        <v/>
      </c>
      <c r="AL282" s="303" t="str">
        <f aca="false">IFERROR(IF(H$182*H$183*H$184*H188&gt;0,STDEV(H$182, H$183, H$184, H$188)," ")/IF(H$182*H$183*H$184*H188&gt;0,SQRT(COUNT(H$182, H$183, H$184, H$188))," "),"")</f>
        <v/>
      </c>
      <c r="AM282" s="303" t="str">
        <f aca="false">IFERROR(IF(I$182*I$183*I$184*I188&gt;0,STDEV(I$182, I$183, I$184, I$188)," ")/IF(I$182*I$183*I$184*I188&gt;0,SQRT(COUNT(I$182, I$183, I$184, I$188))," "),"")</f>
        <v/>
      </c>
      <c r="AN282" s="303" t="str">
        <f aca="false">IFERROR(IF(J$182*J$183*J$184*J188&gt;0,STDEV(J$182, J$183, J$184, J$188)," ")/IF(J$182*J$183*J$184*J188&gt;0,SQRT(COUNT(J$182, J$183, J$184, J$188))," "),"")</f>
        <v/>
      </c>
      <c r="AO282" s="303" t="str">
        <f aca="false">IFERROR(IF(K$182*K$183*K$184*K188&gt;0,STDEV(K$182, K$183, K$184, K$188)," ")/IF(K$182*K$183*K$184*K188&gt;0,SQRT(COUNT(K$182, K$183, K$184, K$188))," "),"")</f>
        <v/>
      </c>
      <c r="AP282" s="303" t="str">
        <f aca="false">IFERROR(IF(L$182*L$183*L$184*L188&gt;0,STDEV(L$182, L$183, L$184, L$188)," ")/IF(L$182*L$183*L$184*L188&gt;0,SQRT(COUNT(L$182, L$183, L$184, L$188))," "),"")</f>
        <v/>
      </c>
      <c r="AQ282" s="303" t="str">
        <f aca="false">IFERROR(IF(M$182*M$183*M$184*M188&gt;0,STDEV(M$182, M$183, M$184, M$188)," ")/IF(M$182*M$183*M$184*M188&gt;0,SQRT(COUNT(M$182, M$183, M$184, M$188))," "),"")</f>
        <v/>
      </c>
      <c r="AR282" s="303" t="str">
        <f aca="false">IFERROR(IF(N$182*N$183*N$184*N188&gt;0,STDEV(N$182, N$183, N$184, N$188)," ")/IF(N$182*N$183*N$184*N188&gt;0,SQRT(COUNT(N$182, N$183, N$184, N$188))," "),"")</f>
        <v/>
      </c>
    </row>
    <row r="283" customFormat="false" ht="15.75" hidden="false" customHeight="false" outlineLevel="0" collapsed="false">
      <c r="A283" s="290" t="s">
        <v>509</v>
      </c>
      <c r="B283" s="281"/>
      <c r="C283" s="302" t="str">
        <f aca="false">IFERROR(IF(C$182*C$183*C$187*C$188&gt;0,AVERAGE(C$182, C$183, C$187, C$188),""),"")</f>
        <v/>
      </c>
      <c r="D283" s="302" t="str">
        <f aca="false">IFERROR(IF(D$182*D$183*D$187*D$188&gt;0,AVERAGE(D$182, D$183, D$187, D$188),""),"")</f>
        <v/>
      </c>
      <c r="E283" s="302" t="str">
        <f aca="false">IFERROR(IF(E$182*E$183*E$187*E$188&gt;0,AVERAGE(E$182, E$183, E$187, E$188),""),"")</f>
        <v/>
      </c>
      <c r="F283" s="302" t="str">
        <f aca="false">IFERROR(IF(F$182*F$183*F$187*F$188&gt;0,AVERAGE(F$182, F$183, F$187, F$188),""),"")</f>
        <v/>
      </c>
      <c r="G283" s="302" t="str">
        <f aca="false">IFERROR(IF(G$182*G$183*G$187*G$188&gt;0,AVERAGE(G$182, G$183, G$187, G$188),""),"")</f>
        <v/>
      </c>
      <c r="H283" s="302" t="str">
        <f aca="false">IFERROR(IF(H$182*H$183*H$187*H$188&gt;0,AVERAGE(H$182, H$183, H$187, H$188),""),"")</f>
        <v/>
      </c>
      <c r="I283" s="302" t="str">
        <f aca="false">IFERROR(IF(I$182*I$183*I$187*I$188&gt;0,AVERAGE(I$182, I$183, I$187, I$188),""),"")</f>
        <v/>
      </c>
      <c r="J283" s="302" t="str">
        <f aca="false">IFERROR(IF(J$182*J$183*J$187*J$188&gt;0,AVERAGE(J$182, J$183, J$187, J$188),""),"")</f>
        <v/>
      </c>
      <c r="K283" s="302" t="str">
        <f aca="false">IFERROR(IF(K$182*K$183*K$187*K$188&gt;0,AVERAGE(K$182, K$183, K$187, K$188),""),"")</f>
        <v/>
      </c>
      <c r="L283" s="302" t="str">
        <f aca="false">IFERROR(IF(L$182*L$183*L$187*L$188&gt;0,AVERAGE(L$182, L$183, L$187, L$188),""),"")</f>
        <v/>
      </c>
      <c r="M283" s="302" t="str">
        <f aca="false">IFERROR(IF(M$182*M$183*M$187*M$188&gt;0,AVERAGE(M$182, M$183, M$187, M$188),""),"")</f>
        <v/>
      </c>
      <c r="N283" s="302" t="str">
        <f aca="false">IFERROR(IF(N$182*N$183*N$187*N$188&gt;0,AVERAGE(N$182, N$183, N$187, N$188),""),"")</f>
        <v/>
      </c>
      <c r="O283" s="282"/>
      <c r="P283" s="282"/>
      <c r="Q283" s="296"/>
      <c r="R283" s="293" t="s">
        <v>510</v>
      </c>
      <c r="S283" s="294" t="str">
        <f aca="false">IFERROR(IF(C$182*C$183*C$187*C$188&gt;0,STDEV(C$182, C$183, C$187, C$188),"")/IF(C$182*C$183*C$187*C$188&gt;0,AVERAGE(C$182, C$183, C$187, C$188),""),"")</f>
        <v/>
      </c>
      <c r="T283" s="294" t="str">
        <f aca="false">IFERROR(IF(D$182*D$183*D$187*D$188&gt;0,STDEV(D$182, D$183, D$187, D$188),"")/IF(D$182*D$183*D$187*D$188&gt;0,AVERAGE(D$182, D$183, D$187, D$188),""),"")</f>
        <v/>
      </c>
      <c r="U283" s="294" t="str">
        <f aca="false">IFERROR(IF(E$182*E$183*E$187*E$188&gt;0,STDEV(E$182, E$183, E$187, E$188),"")/IF(E$182*E$183*E$187*E$188&gt;0,AVERAGE(E$182, E$183, E$187, E$188),""),"")</f>
        <v/>
      </c>
      <c r="V283" s="294" t="str">
        <f aca="false">IFERROR(IF(F$182*F$183*F$187*F$188&gt;0,STDEV(F$182, F$183, F$187, F$188),"")/IF(F$182*F$183*F$187*F$188&gt;0,AVERAGE(F$182, F$183, F$187, F$188),""),"")</f>
        <v/>
      </c>
      <c r="W283" s="294" t="str">
        <f aca="false">IFERROR(IF(G$182*G$183*G$187*G$188&gt;0,STDEV(G$182, G$183, G$187, G$188),"")/IF(G$182*G$183*G$187*G$188&gt;0,AVERAGE(G$182, G$183, G$187, G$188),""),"")</f>
        <v/>
      </c>
      <c r="X283" s="294" t="str">
        <f aca="false">IFERROR(IF(H$182*H$183*H$187*H$188&gt;0,STDEV(H$182, H$183, H$187, H$188),"")/IF(H$182*H$183*H$187*H$188&gt;0,AVERAGE(H$182, H$183, H$187, H$188),""),"")</f>
        <v/>
      </c>
      <c r="Y283" s="294" t="str">
        <f aca="false">IFERROR(IF(I$182*I$183*I$187*I$188&gt;0,STDEV(I$182, I$183, I$187, I$188),"")/IF(I$182*I$183*I$187*I$188&gt;0,AVERAGE(I$182, I$183, I$187, I$188),""),"")</f>
        <v/>
      </c>
      <c r="Z283" s="294" t="str">
        <f aca="false">IFERROR(IF(J$182*J$183*J$187*J$188&gt;0,STDEV(J$182, J$183, J$187, J$188),"")/IF(J$182*J$183*J$187*J$188&gt;0,AVERAGE(J$182, J$183, J$187, J$188),""),"")</f>
        <v/>
      </c>
      <c r="AA283" s="294" t="str">
        <f aca="false">IFERROR(IF(K$182*K$183*K$187*K$188&gt;0,STDEV(K$182, K$183, K$187, K$188),"")/IF(K$182*K$183*K$187*K$188&gt;0,AVERAGE(K$182, K$183, K$187, K$188),""),"")</f>
        <v/>
      </c>
      <c r="AB283" s="294" t="str">
        <f aca="false">IFERROR(IF(L$182*L$183*L$187*L$188&gt;0,STDEV(L$182, L$183, L$187, L$188),"")/IF(L$182*L$183*L$187*L$188&gt;0,AVERAGE(L$182, L$183, L$187, L$188),""),"")</f>
        <v/>
      </c>
      <c r="AC283" s="294" t="str">
        <f aca="false">IFERROR(IF(M$182*M$183*M$187*M$188&gt;0,STDEV(M$182, M$183, M$187, M$188),"")/IF(M$182*M$183*M$187*M$188&gt;0,AVERAGE(M$182, M$183, M$187, M$188),""),"")</f>
        <v/>
      </c>
      <c r="AD283" s="294" t="str">
        <f aca="false">IFERROR(IF(N$182*N$183*N$187*N$188&gt;0,STDEV(N$182, N$183, N$187, N$188),"")/IF(N$182*N$183*N$187*N$188&gt;0,AVERAGE(N$182, N$183, N$187, N$188),""),"")</f>
        <v/>
      </c>
      <c r="AE283" s="44"/>
      <c r="AF283" s="266" t="s">
        <v>511</v>
      </c>
      <c r="AG283" s="303" t="str">
        <f aca="false">IFERROR(IF(C$182*C$183*C$187*C$188&gt;0,STDEV(C$182, C$183, C$187, C$188)," ")/IF(C$182*C$183*C$187*C$188&gt;0,SQRT(COUNT(C$182, C$183, C$187, C$188))," "),"")</f>
        <v/>
      </c>
      <c r="AH283" s="303" t="str">
        <f aca="false">IFERROR(IF(D$182*D$183*D$187*D$188&gt;0,STDEV(D$182, D$183, D$187, D$188)," ")/IF(D$182*D$183*D$187*D$188&gt;0,SQRT(COUNT(D$182, D$183, D$187, D$188))," "),"")</f>
        <v/>
      </c>
      <c r="AI283" s="303" t="str">
        <f aca="false">IFERROR(IF(E$182*E$183*E$187*E$188&gt;0,STDEV(E$182, E$183, E$187, E$188)," ")/IF(E$182*E$183*E$187*E$188&gt;0,SQRT(COUNT(E$182, E$183, E$187, E$188))," "),"")</f>
        <v/>
      </c>
      <c r="AJ283" s="303" t="str">
        <f aca="false">IFERROR(IF(F$182*F$183*F$187*F$188&gt;0,STDEV(F$182, F$183, F$187, F$188)," ")/IF(F$182*F$183*F$187*F$188&gt;0,SQRT(COUNT(F$182, F$183, F$187, F$188))," "),"")</f>
        <v/>
      </c>
      <c r="AK283" s="303" t="str">
        <f aca="false">IFERROR(IF(G$182*G$183*G$187*G$188&gt;0,STDEV(G$182, G$183, G$187, G$188)," ")/IF(G$182*G$183*G$187*G$188&gt;0,SQRT(COUNT(G$182, G$183, G$187, G$188))," "),"")</f>
        <v/>
      </c>
      <c r="AL283" s="303" t="str">
        <f aca="false">IFERROR(IF(H$182*H$183*H$187*H$188&gt;0,STDEV(H$182, H$183, H$187, H$188)," ")/IF(H$182*H$183*H$187*H$188&gt;0,SQRT(COUNT(H$182, H$183, H$187, H$188))," "),"")</f>
        <v/>
      </c>
      <c r="AM283" s="303" t="str">
        <f aca="false">IFERROR(IF(I$182*I$183*I$187*I$188&gt;0,STDEV(I$182, I$183, I$187, I$188)," ")/IF(I$182*I$183*I$187*I$188&gt;0,SQRT(COUNT(I$182, I$183, I$187, I$188))," "),"")</f>
        <v/>
      </c>
      <c r="AN283" s="303" t="str">
        <f aca="false">IFERROR(IF(J$182*J$183*J$187*J$188&gt;0,STDEV(J$182, J$183, J$187, J$188)," ")/IF(J$182*J$183*J$187*J$188&gt;0,SQRT(COUNT(J$182, J$183, J$187, J$188))," "),"")</f>
        <v/>
      </c>
      <c r="AO283" s="303" t="str">
        <f aca="false">IFERROR(IF(K$182*K$183*K$187*K$188&gt;0,STDEV(K$182, K$183, K$187, K$188)," ")/IF(K$182*K$183*K$187*K$188&gt;0,SQRT(COUNT(K$182, K$183, K$187, K$188))," "),"")</f>
        <v/>
      </c>
      <c r="AP283" s="303" t="str">
        <f aca="false">IFERROR(IF(L$182*L$183*L$187*L$188&gt;0,STDEV(L$182, L$183, L$187, L$188)," ")/IF(L$182*L$183*L$187*L$188&gt;0,SQRT(COUNT(L$182, L$183, L$187, L$188))," "),"")</f>
        <v/>
      </c>
      <c r="AQ283" s="303" t="str">
        <f aca="false">IFERROR(IF(M$182*M$183*M$187*M$188&gt;0,STDEV(M$182, M$183, M$187, M$188)," ")/IF(M$182*M$183*M$187*M$188&gt;0,SQRT(COUNT(M$182, M$183, M$187, M$188))," "),"")</f>
        <v/>
      </c>
      <c r="AR283" s="303" t="str">
        <f aca="false">IFERROR(IF(N$182*N$183*N$187*N$188&gt;0,STDEV(N$182, N$183, N$187, N$188)," ")/IF(N$182*N$183*N$187*N$188&gt;0,SQRT(COUNT(N$182, N$183, N$187, N$188))," "),"")</f>
        <v/>
      </c>
    </row>
    <row r="284" customFormat="false" ht="15.75" hidden="false" customHeight="false" outlineLevel="0" collapsed="false">
      <c r="A284" s="290" t="s">
        <v>512</v>
      </c>
      <c r="B284" s="281"/>
      <c r="C284" s="302" t="str">
        <f aca="false">IFERROR(IF(C$182*C$184*C$187*C$188&gt;0,AVERAGE(C$182, C$184, C$187, C$188),""),"")</f>
        <v/>
      </c>
      <c r="D284" s="302" t="str">
        <f aca="false">IFERROR(IF(D$182*D$184*D$187*D$188&gt;0,AVERAGE(D$182, D$184, D$187, D$188),""),"")</f>
        <v/>
      </c>
      <c r="E284" s="302" t="str">
        <f aca="false">IFERROR(IF(E$182*E$184*E$187*E$188&gt;0,AVERAGE(E$182, E$184, E$187, E$188),""),"")</f>
        <v/>
      </c>
      <c r="F284" s="302" t="str">
        <f aca="false">IFERROR(IF(F$182*F$184*F$187*F$188&gt;0,AVERAGE(F$182, F$184, F$187, F$188),""),"")</f>
        <v/>
      </c>
      <c r="G284" s="302" t="str">
        <f aca="false">IFERROR(IF(G$182*G$184*G$187*G$188&gt;0,AVERAGE(G$182, G$184, G$187, G$188),""),"")</f>
        <v/>
      </c>
      <c r="H284" s="302" t="str">
        <f aca="false">IFERROR(IF(H$182*H$184*H$187*H$188&gt;0,AVERAGE(H$182, H$184, H$187, H$188),""),"")</f>
        <v/>
      </c>
      <c r="I284" s="302" t="str">
        <f aca="false">IFERROR(IF(I$182*I$184*I$187*I$188&gt;0,AVERAGE(I$182, I$184, I$187, I$188),""),"")</f>
        <v/>
      </c>
      <c r="J284" s="302" t="str">
        <f aca="false">IFERROR(IF(J$182*J$184*J$187*J$188&gt;0,AVERAGE(J$182, J$184, J$187, J$188),""),"")</f>
        <v/>
      </c>
      <c r="K284" s="302" t="str">
        <f aca="false">IFERROR(IF(K$182*K$184*K$187*K$188&gt;0,AVERAGE(K$182, K$184, K$187, K$188),""),"")</f>
        <v/>
      </c>
      <c r="L284" s="302" t="str">
        <f aca="false">IFERROR(IF(L$182*L$184*L$187*L$188&gt;0,AVERAGE(L$182, L$184, L$187, L$188),""),"")</f>
        <v/>
      </c>
      <c r="M284" s="302" t="str">
        <f aca="false">IFERROR(IF(M$182*M$184*M$187*M$188&gt;0,AVERAGE(M$182, M$184, M$187, M$188),""),"")</f>
        <v/>
      </c>
      <c r="N284" s="302" t="str">
        <f aca="false">IFERROR(IF(N$182*N$184*N$187*N$188&gt;0,AVERAGE(N$182, N$184, N$187, N$188),""),"")</f>
        <v/>
      </c>
      <c r="O284" s="282"/>
      <c r="P284" s="282"/>
      <c r="Q284" s="296"/>
      <c r="R284" s="293" t="s">
        <v>513</v>
      </c>
      <c r="S284" s="294" t="str">
        <f aca="false">IFERROR(IF(C$182*C$184*C$187*C$188&gt;0,STDEV(C$182, C$184, C$187, C$188),"")/IF(C$182*C$184*C$187*C$188&gt;0,AVERAGE(C$182, C$184, C$187, C$188),""),"")</f>
        <v/>
      </c>
      <c r="T284" s="294" t="str">
        <f aca="false">IFERROR(IF(D$182*D$184*D$187*D$188&gt;0,STDEV(D$182, D$184, D$187, D$188),"")/IF(D$182*D$184*D$187*D$188&gt;0,AVERAGE(D$182, D$184, D$187, D$188),""),"")</f>
        <v/>
      </c>
      <c r="U284" s="294" t="str">
        <f aca="false">IFERROR(IF(E$182*E$184*E$187*E$188&gt;0,STDEV(E$182, E$184, E$187, E$188),"")/IF(E$182*E$184*E$187*E$188&gt;0,AVERAGE(E$182, E$184, E$187, E$188),""),"")</f>
        <v/>
      </c>
      <c r="V284" s="294" t="str">
        <f aca="false">IFERROR(IF(F$182*F$184*F$187*F$188&gt;0,STDEV(F$182, F$184, F$187, F$188),"")/IF(F$182*F$184*F$187*F$188&gt;0,AVERAGE(F$182, F$184, F$187, F$188),""),"")</f>
        <v/>
      </c>
      <c r="W284" s="294" t="str">
        <f aca="false">IFERROR(IF(G$182*G$184*G$187*G$188&gt;0,STDEV(G$182, G$184, G$187, G$188),"")/IF(G$182*G$184*G$187*G$188&gt;0,AVERAGE(G$182, G$184, G$187, G$188),""),"")</f>
        <v/>
      </c>
      <c r="X284" s="294" t="str">
        <f aca="false">IFERROR(IF(H$182*H$184*H$187*H$188&gt;0,STDEV(H$182, H$184, H$187, H$188),"")/IF(H$182*H$184*H$187*H$188&gt;0,AVERAGE(H$182, H$184, H$187, H$188),""),"")</f>
        <v/>
      </c>
      <c r="Y284" s="294" t="str">
        <f aca="false">IFERROR(IF(I$182*I$184*I$187*I$188&gt;0,STDEV(I$182, I$184, I$187, I$188),"")/IF(I$182*I$184*I$187*I$188&gt;0,AVERAGE(I$182, I$184, I$187, I$188),""),"")</f>
        <v/>
      </c>
      <c r="Z284" s="294" t="str">
        <f aca="false">IFERROR(IF(J$182*J$184*J$187*J$188&gt;0,STDEV(J$182, J$184, J$187, J$188),"")/IF(J$182*J$184*J$187*J$188&gt;0,AVERAGE(J$182, J$184, J$187, J$188),""),"")</f>
        <v/>
      </c>
      <c r="AA284" s="294" t="str">
        <f aca="false">IFERROR(IF(K$182*K$184*K$187*K$188&gt;0,STDEV(K$182, K$184, K$187, K$188),"")/IF(K$182*K$184*K$187*K$188&gt;0,AVERAGE(K$182, K$184, K$187, K$188),""),"")</f>
        <v/>
      </c>
      <c r="AB284" s="294" t="str">
        <f aca="false">IFERROR(IF(L$182*L$184*L$187*L$188&gt;0,STDEV(L$182, L$184, L$187, L$188),"")/IF(L$182*L$184*L$187*L$188&gt;0,AVERAGE(L$182, L$184, L$187, L$188),""),"")</f>
        <v/>
      </c>
      <c r="AC284" s="294" t="str">
        <f aca="false">IFERROR(IF(M$182*M$184*M$187*M$188&gt;0,STDEV(M$182, M$184, M$187, M$188),"")/IF(M$182*M$184*M$187*M$188&gt;0,AVERAGE(M$182, M$184, M$187, M$188),""),"")</f>
        <v/>
      </c>
      <c r="AD284" s="294" t="str">
        <f aca="false">IFERROR(IF(N$182*N$184*N$187*N$188&gt;0,STDEV(N$182, N$184, N$187, N$188),"")/IF(N$182*N$184*N$187*N$188&gt;0,AVERAGE(N$182, N$184, N$187, N$188),""),"")</f>
        <v/>
      </c>
      <c r="AE284" s="44"/>
      <c r="AF284" s="266" t="s">
        <v>514</v>
      </c>
      <c r="AG284" s="303" t="str">
        <f aca="false">IFERROR(IF(C$182*C$184*C$187*C$188&gt;0,STDEV(C$182, C$184, C$187, C$188)," ")/IF(C$182*C$184*C$187*C$188&gt;0,SQRT(COUNT(C$182, C$184, C$187, C$188))," "),"")</f>
        <v/>
      </c>
      <c r="AH284" s="303" t="str">
        <f aca="false">IFERROR(IF(D$182*D$184*D$187*D$188&gt;0,STDEV(D$182, D$184, D$187, D$188)," ")/IF(D$182*D$184*D$187*D$188&gt;0,SQRT(COUNT(D$182, D$184, D$187, D$188))," "),"")</f>
        <v/>
      </c>
      <c r="AI284" s="303" t="str">
        <f aca="false">IFERROR(IF(E$182*E$184*E$187*E$188&gt;0,STDEV(E$182, E$184, E$187, E$188)," ")/IF(E$182*E$184*E$187*E$188&gt;0,SQRT(COUNT(E$182, E$184, E$187, E$188))," "),"")</f>
        <v/>
      </c>
      <c r="AJ284" s="303" t="str">
        <f aca="false">IFERROR(IF(F$182*F$184*F$187*F$188&gt;0,STDEV(F$182, F$184, F$187, F$188)," ")/IF(F$182*F$184*F$187*F$188&gt;0,SQRT(COUNT(F$182, F$184, F$187, F$188))," "),"")</f>
        <v/>
      </c>
      <c r="AK284" s="303" t="str">
        <f aca="false">IFERROR(IF(G$182*G$184*G$187*G$188&gt;0,STDEV(G$182, G$184, G$187, G$188)," ")/IF(G$182*G$184*G$187*G$188&gt;0,SQRT(COUNT(G$182, G$184, G$187, G$188))," "),"")</f>
        <v/>
      </c>
      <c r="AL284" s="303" t="str">
        <f aca="false">IFERROR(IF(H$182*H$184*H$187*H$188&gt;0,STDEV(H$182, H$184, H$187, H$188)," ")/IF(H$182*H$184*H$187*H$188&gt;0,SQRT(COUNT(H$182, H$184, H$187, H$188))," "),"")</f>
        <v/>
      </c>
      <c r="AM284" s="303" t="str">
        <f aca="false">IFERROR(IF(I$182*I$184*I$187*I$188&gt;0,STDEV(I$182, I$184, I$187, I$188)," ")/IF(I$182*I$184*I$187*I$188&gt;0,SQRT(COUNT(I$182, I$184, I$187, I$188))," "),"")</f>
        <v/>
      </c>
      <c r="AN284" s="303" t="str">
        <f aca="false">IFERROR(IF(J$182*J$184*J$187*J$188&gt;0,STDEV(J$182, J$184, J$187, J$188)," ")/IF(J$182*J$184*J$187*J$188&gt;0,SQRT(COUNT(J$182, J$184, J$187, J$188))," "),"")</f>
        <v/>
      </c>
      <c r="AO284" s="303" t="str">
        <f aca="false">IFERROR(IF(K$182*K$184*K$187*K$188&gt;0,STDEV(K$182, K$184, K$187, K$188)," ")/IF(K$182*K$184*K$187*K$188&gt;0,SQRT(COUNT(K$182, K$184, K$187, K$188))," "),"")</f>
        <v/>
      </c>
      <c r="AP284" s="303" t="str">
        <f aca="false">IFERROR(IF(L$182*L$184*L$187*L$188&gt;0,STDEV(L$182, L$184, L$187, L$188)," ")/IF(L$182*L$184*L$187*L$188&gt;0,SQRT(COUNT(L$182, L$184, L$187, L$188))," "),"")</f>
        <v/>
      </c>
      <c r="AQ284" s="303" t="str">
        <f aca="false">IFERROR(IF(M$182*M$184*M$187*M$188&gt;0,STDEV(M$182, M$184, M$187, M$188)," ")/IF(M$182*M$184*M$187*M$188&gt;0,SQRT(COUNT(M$182, M$184, M$187, M$188))," "),"")</f>
        <v/>
      </c>
      <c r="AR284" s="303" t="str">
        <f aca="false">IFERROR(IF(N$182*N$184*N$187*N$188&gt;0,STDEV(N$182, N$184, N$187, N$188)," ")/IF(N$182*N$184*N$187*N$188&gt;0,SQRT(COUNT(N$182, N$184, N$187, N$188))," "),"")</f>
        <v/>
      </c>
    </row>
    <row r="285" customFormat="false" ht="15.75" hidden="false" customHeight="false" outlineLevel="0" collapsed="false">
      <c r="A285" s="290" t="s">
        <v>515</v>
      </c>
      <c r="B285" s="281"/>
      <c r="C285" s="302" t="str">
        <f aca="false">IFERROR(IF(C$186*C$187*C$188*C182&gt;0,AVERAGE(C$186:C$188, C182),""),"")</f>
        <v/>
      </c>
      <c r="D285" s="302" t="str">
        <f aca="false">IFERROR(IF(D$186*D$187*D$188*D182&gt;0,AVERAGE(D$186:D$188, D182),""),"")</f>
        <v/>
      </c>
      <c r="E285" s="302" t="str">
        <f aca="false">IFERROR(IF(E$186*E$187*E$188*E182&gt;0,AVERAGE(E$186:E$188, E182),""),"")</f>
        <v/>
      </c>
      <c r="F285" s="302" t="str">
        <f aca="false">IFERROR(IF(F$186*F$187*F$188*F182&gt;0,AVERAGE(F$186:F$188, F182),""),"")</f>
        <v/>
      </c>
      <c r="G285" s="302" t="str">
        <f aca="false">IFERROR(IF(G$186*G$187*G$188*G182&gt;0,AVERAGE(G$186:G$188, G182),""),"")</f>
        <v/>
      </c>
      <c r="H285" s="302" t="str">
        <f aca="false">IFERROR(IF(H$186*H$187*H$188*H182&gt;0,AVERAGE(H$186:H$188, H182),""),"")</f>
        <v/>
      </c>
      <c r="I285" s="302" t="str">
        <f aca="false">IFERROR(IF(I$186*I$187*I$188*I182&gt;0,AVERAGE(I$186:I$188, I182),""),"")</f>
        <v/>
      </c>
      <c r="J285" s="302" t="str">
        <f aca="false">IFERROR(IF(J$186*J$187*J$188*J182&gt;0,AVERAGE(J$186:J$188, J182),""),"")</f>
        <v/>
      </c>
      <c r="K285" s="302" t="str">
        <f aca="false">IFERROR(IF(K$186*K$187*K$188*K182&gt;0,AVERAGE(K$186:K$188, K182),""),"")</f>
        <v/>
      </c>
      <c r="L285" s="302" t="str">
        <f aca="false">IFERROR(IF(L$186*L$187*L$188*L182&gt;0,AVERAGE(L$186:L$188, L182),""),"")</f>
        <v/>
      </c>
      <c r="M285" s="302" t="str">
        <f aca="false">IFERROR(IF(M$186*M$187*M$188*M182&gt;0,AVERAGE(M$186:M$188, M182),""),"")</f>
        <v/>
      </c>
      <c r="N285" s="302" t="str">
        <f aca="false">IFERROR(IF(N$186*N$187*N$188*N182&gt;0,AVERAGE(N$186:N$188, N182),""),"")</f>
        <v/>
      </c>
      <c r="O285" s="282"/>
      <c r="P285" s="282"/>
      <c r="Q285" s="296"/>
      <c r="R285" s="293" t="s">
        <v>516</v>
      </c>
      <c r="S285" s="294" t="str">
        <f aca="false">IFERROR(IF(C$186*C$187*C$188*C182&gt;0,STDEV(C$186:C$188, C182),"")/IF(C$186*C$187*C$188*C182&gt;0,AVERAGE(C$186:C$188, C182),""),"")</f>
        <v/>
      </c>
      <c r="T285" s="294" t="str">
        <f aca="false">IFERROR(IF(D$186*D$187*D$188*D182&gt;0,STDEV(D$186:D$188, D182),"")/IF(D$186*D$187*D$188*D182&gt;0,AVERAGE(D$186:D$188, D182),""),"")</f>
        <v/>
      </c>
      <c r="U285" s="294" t="str">
        <f aca="false">IFERROR(IF(E$186*E$187*E$188*E182&gt;0,STDEV(E$186:E$188, E182),"")/IF(E$186*E$187*E$188*E182&gt;0,AVERAGE(E$186:E$188, E182),""),"")</f>
        <v/>
      </c>
      <c r="V285" s="294" t="str">
        <f aca="false">IFERROR(IF(F$186*F$187*F$188*F182&gt;0,STDEV(F$186:F$188, F182),"")/IF(F$186*F$187*F$188*F182&gt;0,AVERAGE(F$186:F$188, F182),""),"")</f>
        <v/>
      </c>
      <c r="W285" s="294" t="str">
        <f aca="false">IFERROR(IF(G$186*G$187*G$188*G182&gt;0,STDEV(G$186:G$188, G182),"")/IF(G$186*G$187*G$188*G182&gt;0,AVERAGE(G$186:G$188, G182),""),"")</f>
        <v/>
      </c>
      <c r="X285" s="294" t="str">
        <f aca="false">IFERROR(IF(H$186*H$187*H$188*H182&gt;0,STDEV(H$186:H$188, H182),"")/IF(H$186*H$187*H$188*H182&gt;0,AVERAGE(H$186:H$188, H182),""),"")</f>
        <v/>
      </c>
      <c r="Y285" s="294" t="str">
        <f aca="false">IFERROR(IF(I$186*I$187*I$188*I182&gt;0,STDEV(I$186:I$188, I182),"")/IF(I$186*I$187*I$188*I182&gt;0,AVERAGE(I$186:I$188, I182),""),"")</f>
        <v/>
      </c>
      <c r="Z285" s="294" t="str">
        <f aca="false">IFERROR(IF(J$186*J$187*J$188*J182&gt;0,STDEV(J$186:J$188, J182),"")/IF(J$186*J$187*J$188*J182&gt;0,AVERAGE(J$186:J$188, J182),""),"")</f>
        <v/>
      </c>
      <c r="AA285" s="294" t="str">
        <f aca="false">IFERROR(IF(K$186*K$187*K$188*K182&gt;0,STDEV(K$186:K$188, K182),"")/IF(K$186*K$187*K$188*K182&gt;0,AVERAGE(K$186:K$188, K182),""),"")</f>
        <v/>
      </c>
      <c r="AB285" s="294" t="str">
        <f aca="false">IFERROR(IF(L$186*L$187*L$188*L182&gt;0,STDEV(L$186:L$188, L182),"")/IF(L$186*L$187*L$188*L182&gt;0,AVERAGE(L$186:L$188, L182),""),"")</f>
        <v/>
      </c>
      <c r="AC285" s="294" t="str">
        <f aca="false">IFERROR(IF(M$186*M$187*M$188*M182&gt;0,STDEV(M$186:M$188, M182),"")/IF(M$186*M$187*M$188*M182&gt;0,AVERAGE(M$186:M$188, M182),""),"")</f>
        <v/>
      </c>
      <c r="AD285" s="294" t="str">
        <f aca="false">IFERROR(IF(N$186*N$187*N$188*N182&gt;0,STDEV(N$186:N$188, N182),"")/IF(N$186*N$187*N$188*N182&gt;0,AVERAGE(N$186:N$188, N182),""),"")</f>
        <v/>
      </c>
      <c r="AE285" s="44"/>
      <c r="AF285" s="266" t="s">
        <v>517</v>
      </c>
      <c r="AG285" s="303" t="str">
        <f aca="false">IFERROR(IF(C$186*C$187*C$188*C182&gt;0,STDEV(C$186:C$188, C182)," ")/IF(C$186*C$187*C$188*C182&gt;0,SQRT(COUNT(C$186:C$188, C182))," "),"")</f>
        <v/>
      </c>
      <c r="AH285" s="303" t="str">
        <f aca="false">IFERROR(IF(D$186*D$187*D$188*D182&gt;0,STDEV(D$186:D$188, D182)," ")/IF(D$186*D$187*D$188*D182&gt;0,SQRT(COUNT(D$186:D$188, D182))," "),"")</f>
        <v/>
      </c>
      <c r="AI285" s="303" t="str">
        <f aca="false">IFERROR(IF(E$186*E$187*E$188*E182&gt;0,STDEV(E$186:E$188, E182)," ")/IF(E$186*E$187*E$188*E182&gt;0,SQRT(COUNT(E$186:E$188, E182))," "),"")</f>
        <v/>
      </c>
      <c r="AJ285" s="303" t="str">
        <f aca="false">IFERROR(IF(F$186*F$187*F$188*F182&gt;0,STDEV(F$186:F$188, F182)," ")/IF(F$186*F$187*F$188*F182&gt;0,SQRT(COUNT(F$186:F$188, F182))," "),"")</f>
        <v/>
      </c>
      <c r="AK285" s="303" t="str">
        <f aca="false">IFERROR(IF(G$186*G$187*G$188*G182&gt;0,STDEV(G$186:G$188, G182)," ")/IF(G$186*G$187*G$188*G182&gt;0,SQRT(COUNT(G$186:G$188, G182))," "),"")</f>
        <v/>
      </c>
      <c r="AL285" s="303" t="str">
        <f aca="false">IFERROR(IF(H$186*H$187*H$188*H182&gt;0,STDEV(H$186:H$188, H182)," ")/IF(H$186*H$187*H$188*H182&gt;0,SQRT(COUNT(H$186:H$188, H182))," "),"")</f>
        <v/>
      </c>
      <c r="AM285" s="303" t="str">
        <f aca="false">IFERROR(IF(I$186*I$187*I$188*I182&gt;0,STDEV(I$186:I$188, I182)," ")/IF(I$186*I$187*I$188*I182&gt;0,SQRT(COUNT(I$186:I$188, I182))," "),"")</f>
        <v/>
      </c>
      <c r="AN285" s="303" t="str">
        <f aca="false">IFERROR(IF(J$186*J$187*J$188*J182&gt;0,STDEV(J$186:J$188, J182)," ")/IF(J$186*J$187*J$188*J182&gt;0,SQRT(COUNT(J$186:J$188, J182))," "),"")</f>
        <v/>
      </c>
      <c r="AO285" s="303" t="str">
        <f aca="false">IFERROR(IF(K$186*K$187*K$188*K182&gt;0,STDEV(K$186:K$188, K182)," ")/IF(K$186*K$187*K$188*K182&gt;0,SQRT(COUNT(K$186:K$188, K182))," "),"")</f>
        <v/>
      </c>
      <c r="AP285" s="303" t="str">
        <f aca="false">IFERROR(IF(L$186*L$187*L$188*L182&gt;0,STDEV(L$186:L$188, L182)," ")/IF(L$186*L$187*L$188*L182&gt;0,SQRT(COUNT(L$186:L$188, L182))," "),"")</f>
        <v/>
      </c>
      <c r="AQ285" s="303" t="str">
        <f aca="false">IFERROR(IF(M$186*M$187*M$188*M182&gt;0,STDEV(M$186:M$188, M182)," ")/IF(M$186*M$187*M$188*M182&gt;0,SQRT(COUNT(M$186:M$188, M182))," "),"")</f>
        <v/>
      </c>
      <c r="AR285" s="303" t="str">
        <f aca="false">IFERROR(IF(N$186*N$187*N$188*N182&gt;0,STDEV(N$186:N$188, N182)," ")/IF(N$186*N$187*N$188*N182&gt;0,SQRT(COUNT(N$186:N$188, N182))," "),"")</f>
        <v/>
      </c>
    </row>
    <row r="286" customFormat="false" ht="15.75" hidden="false" customHeight="false" outlineLevel="0" collapsed="false">
      <c r="A286" s="290" t="s">
        <v>518</v>
      </c>
      <c r="B286" s="281"/>
      <c r="C286" s="302" t="str">
        <f aca="false">IFERROR(IF(C$186*C$187*C$188*C183&gt;0,AVERAGE(C$186:C$188, C183),""),"")</f>
        <v/>
      </c>
      <c r="D286" s="302" t="str">
        <f aca="false">IFERROR(IF(D$186*D$187*D$188*D183&gt;0,AVERAGE(D$186:D$188, D183),""),"")</f>
        <v/>
      </c>
      <c r="E286" s="302" t="str">
        <f aca="false">IFERROR(IF(E$186*E$187*E$188*E183&gt;0,AVERAGE(E$186:E$188, E183),""),"")</f>
        <v/>
      </c>
      <c r="F286" s="302" t="str">
        <f aca="false">IFERROR(IF(F$186*F$187*F$188*F183&gt;0,AVERAGE(F$186:F$188, F183),""),"")</f>
        <v/>
      </c>
      <c r="G286" s="302" t="str">
        <f aca="false">IFERROR(IF(G$186*G$187*G$188*G183&gt;0,AVERAGE(G$186:G$188, G183),""),"")</f>
        <v/>
      </c>
      <c r="H286" s="302" t="str">
        <f aca="false">IFERROR(IF(H$186*H$187*H$188*H183&gt;0,AVERAGE(H$186:H$188, H183),""),"")</f>
        <v/>
      </c>
      <c r="I286" s="302" t="str">
        <f aca="false">IFERROR(IF(I$186*I$187*I$188*I183&gt;0,AVERAGE(I$186:I$188, I183),""),"")</f>
        <v/>
      </c>
      <c r="J286" s="302" t="str">
        <f aca="false">IFERROR(IF(J$186*J$187*J$188*J183&gt;0,AVERAGE(J$186:J$188, J183),""),"")</f>
        <v/>
      </c>
      <c r="K286" s="302" t="str">
        <f aca="false">IFERROR(IF(K$186*K$187*K$188*K183&gt;0,AVERAGE(K$186:K$188, K183),""),"")</f>
        <v/>
      </c>
      <c r="L286" s="302" t="str">
        <f aca="false">IFERROR(IF(L$186*L$187*L$188*L183&gt;0,AVERAGE(L$186:L$188, L183),""),"")</f>
        <v/>
      </c>
      <c r="M286" s="302" t="str">
        <f aca="false">IFERROR(IF(M$186*M$187*M$188*M183&gt;0,AVERAGE(M$186:M$188, M183),""),"")</f>
        <v/>
      </c>
      <c r="N286" s="302" t="str">
        <f aca="false">IFERROR(IF(N$186*N$187*N$188*N183&gt;0,AVERAGE(N$186:N$188, N183),""),"")</f>
        <v/>
      </c>
      <c r="O286" s="282"/>
      <c r="P286" s="282"/>
      <c r="Q286" s="296"/>
      <c r="R286" s="293" t="s">
        <v>519</v>
      </c>
      <c r="S286" s="294" t="str">
        <f aca="false">IFERROR(IF(C$186*C$187*C$188*C183&gt;0,STDEV(C$186:C$188, C183),"")/IF(C$186*C$187*C$188*C183&gt;0,AVERAGE(C$186:C$188, C183),""),"")</f>
        <v/>
      </c>
      <c r="T286" s="294" t="str">
        <f aca="false">IFERROR(IF(D$186*D$187*D$188*D183&gt;0,STDEV(D$186:D$188, D183),"")/IF(D$186*D$187*D$188*D183&gt;0,AVERAGE(D$186:D$188, D183),""),"")</f>
        <v/>
      </c>
      <c r="U286" s="294" t="str">
        <f aca="false">IFERROR(IF(E$186*E$187*E$188*E183&gt;0,STDEV(E$186:E$188, E183),"")/IF(E$186*E$187*E$188*E183&gt;0,AVERAGE(E$186:E$188, E183),""),"")</f>
        <v/>
      </c>
      <c r="V286" s="294" t="str">
        <f aca="false">IFERROR(IF(F$186*F$187*F$188*F183&gt;0,STDEV(F$186:F$188, F183),"")/IF(F$186*F$187*F$188*F183&gt;0,AVERAGE(F$186:F$188, F183),""),"")</f>
        <v/>
      </c>
      <c r="W286" s="294" t="str">
        <f aca="false">IFERROR(IF(G$186*G$187*G$188*G183&gt;0,STDEV(G$186:G$188, G183),"")/IF(G$186*G$187*G$188*G183&gt;0,AVERAGE(G$186:G$188, G183),""),"")</f>
        <v/>
      </c>
      <c r="X286" s="294" t="str">
        <f aca="false">IFERROR(IF(H$186*H$187*H$188*H183&gt;0,STDEV(H$186:H$188, H183),"")/IF(H$186*H$187*H$188*H183&gt;0,AVERAGE(H$186:H$188, H183),""),"")</f>
        <v/>
      </c>
      <c r="Y286" s="294" t="str">
        <f aca="false">IFERROR(IF(I$186*I$187*I$188*I183&gt;0,STDEV(I$186:I$188, I183),"")/IF(I$186*I$187*I$188*I183&gt;0,AVERAGE(I$186:I$188, I183),""),"")</f>
        <v/>
      </c>
      <c r="Z286" s="294" t="str">
        <f aca="false">IFERROR(IF(J$186*J$187*J$188*J183&gt;0,STDEV(J$186:J$188, J183),"")/IF(J$186*J$187*J$188*J183&gt;0,AVERAGE(J$186:J$188, J183),""),"")</f>
        <v/>
      </c>
      <c r="AA286" s="294" t="str">
        <f aca="false">IFERROR(IF(K$186*K$187*K$188*K183&gt;0,STDEV(K$186:K$188, K183),"")/IF(K$186*K$187*K$188*K183&gt;0,AVERAGE(K$186:K$188, K183),""),"")</f>
        <v/>
      </c>
      <c r="AB286" s="294" t="str">
        <f aca="false">IFERROR(IF(L$186*L$187*L$188*L183&gt;0,STDEV(L$186:L$188, L183),"")/IF(L$186*L$187*L$188*L183&gt;0,AVERAGE(L$186:L$188, L183),""),"")</f>
        <v/>
      </c>
      <c r="AC286" s="294" t="str">
        <f aca="false">IFERROR(IF(M$186*M$187*M$188*M183&gt;0,STDEV(M$186:M$188, M183),"")/IF(M$186*M$187*M$188*M183&gt;0,AVERAGE(M$186:M$188, M183),""),"")</f>
        <v/>
      </c>
      <c r="AD286" s="294" t="str">
        <f aca="false">IFERROR(IF(N$186*N$187*N$188*N183&gt;0,STDEV(N$186:N$188, N183),"")/IF(N$186*N$187*N$188*N183&gt;0,AVERAGE(N$186:N$188, N183),""),"")</f>
        <v/>
      </c>
      <c r="AE286" s="44"/>
      <c r="AF286" s="266" t="s">
        <v>520</v>
      </c>
      <c r="AG286" s="303" t="str">
        <f aca="false">IFERROR(IF(C$186*C$187*C$188*C183&gt;0,STDEV(C$186:C$188, C183)," ")/IF(C$186*C$187*C$188*C183&gt;0,SQRT(COUNT(C$186:C$188, C183))," "),"")</f>
        <v/>
      </c>
      <c r="AH286" s="303" t="str">
        <f aca="false">IFERROR(IF(D$186*D$187*D$188*D183&gt;0,STDEV(D$186:D$188, D183)," ")/IF(D$186*D$187*D$188*D183&gt;0,SQRT(COUNT(D$186:D$188, D183))," "),"")</f>
        <v/>
      </c>
      <c r="AI286" s="303" t="str">
        <f aca="false">IFERROR(IF(E$186*E$187*E$188*E183&gt;0,STDEV(E$186:E$188, E183)," ")/IF(E$186*E$187*E$188*E183&gt;0,SQRT(COUNT(E$186:E$188, E183))," "),"")</f>
        <v/>
      </c>
      <c r="AJ286" s="303" t="str">
        <f aca="false">IFERROR(IF(F$186*F$187*F$188*F183&gt;0,STDEV(F$186:F$188, F183)," ")/IF(F$186*F$187*F$188*F183&gt;0,SQRT(COUNT(F$186:F$188, F183))," "),"")</f>
        <v/>
      </c>
      <c r="AK286" s="303" t="str">
        <f aca="false">IFERROR(IF(G$186*G$187*G$188*G183&gt;0,STDEV(G$186:G$188, G183)," ")/IF(G$186*G$187*G$188*G183&gt;0,SQRT(COUNT(G$186:G$188, G183))," "),"")</f>
        <v/>
      </c>
      <c r="AL286" s="303" t="str">
        <f aca="false">IFERROR(IF(H$186*H$187*H$188*H183&gt;0,STDEV(H$186:H$188, H183)," ")/IF(H$186*H$187*H$188*H183&gt;0,SQRT(COUNT(H$186:H$188, H183))," "),"")</f>
        <v/>
      </c>
      <c r="AM286" s="303" t="str">
        <f aca="false">IFERROR(IF(I$186*I$187*I$188*I183&gt;0,STDEV(I$186:I$188, I183)," ")/IF(I$186*I$187*I$188*I183&gt;0,SQRT(COUNT(I$186:I$188, I183))," "),"")</f>
        <v/>
      </c>
      <c r="AN286" s="303" t="str">
        <f aca="false">IFERROR(IF(J$186*J$187*J$188*J183&gt;0,STDEV(J$186:J$188, J183)," ")/IF(J$186*J$187*J$188*J183&gt;0,SQRT(COUNT(J$186:J$188, J183))," "),"")</f>
        <v/>
      </c>
      <c r="AO286" s="303" t="str">
        <f aca="false">IFERROR(IF(K$186*K$187*K$188*K183&gt;0,STDEV(K$186:K$188, K183)," ")/IF(K$186*K$187*K$188*K183&gt;0,SQRT(COUNT(K$186:K$188, K183))," "),"")</f>
        <v/>
      </c>
      <c r="AP286" s="303" t="str">
        <f aca="false">IFERROR(IF(L$186*L$187*L$188*L183&gt;0,STDEV(L$186:L$188, L183)," ")/IF(L$186*L$187*L$188*L183&gt;0,SQRT(COUNT(L$186:L$188, L183))," "),"")</f>
        <v/>
      </c>
      <c r="AQ286" s="303" t="str">
        <f aca="false">IFERROR(IF(M$186*M$187*M$188*M183&gt;0,STDEV(M$186:M$188, M183)," ")/IF(M$186*M$187*M$188*M183&gt;0,SQRT(COUNT(M$186:M$188, M183))," "),"")</f>
        <v/>
      </c>
      <c r="AR286" s="303" t="str">
        <f aca="false">IFERROR(IF(N$186*N$187*N$188*N183&gt;0,STDEV(N$186:N$188, N183)," ")/IF(N$186*N$187*N$188*N183&gt;0,SQRT(COUNT(N$186:N$188, N183))," "),"")</f>
        <v/>
      </c>
    </row>
    <row r="287" customFormat="false" ht="15.75" hidden="false" customHeight="false" outlineLevel="0" collapsed="false">
      <c r="A287" s="290" t="s">
        <v>521</v>
      </c>
      <c r="B287" s="281"/>
      <c r="C287" s="302" t="str">
        <f aca="false">IFERROR(IF(C$186*C$187*C$188*C184&gt;0,AVERAGE(C$186:C$188, C184),""),"")</f>
        <v/>
      </c>
      <c r="D287" s="302" t="str">
        <f aca="false">IFERROR(IF(D$186*D$187*D$188*D184&gt;0,AVERAGE(D$186:D$188, D184),""),"")</f>
        <v/>
      </c>
      <c r="E287" s="302" t="str">
        <f aca="false">IFERROR(IF(E$186*E$187*E$188*E184&gt;0,AVERAGE(E$186:E$188, E184),""),"")</f>
        <v/>
      </c>
      <c r="F287" s="302" t="str">
        <f aca="false">IFERROR(IF(F$186*F$187*F$188*F184&gt;0,AVERAGE(F$186:F$188, F184),""),"")</f>
        <v/>
      </c>
      <c r="G287" s="302" t="str">
        <f aca="false">IFERROR(IF(G$186*G$187*G$188*G184&gt;0,AVERAGE(G$186:G$188, G184),""),"")</f>
        <v/>
      </c>
      <c r="H287" s="302" t="str">
        <f aca="false">IFERROR(IF(H$186*H$187*H$188*H184&gt;0,AVERAGE(H$186:H$188, H184),""),"")</f>
        <v/>
      </c>
      <c r="I287" s="302" t="str">
        <f aca="false">IFERROR(IF(I$186*I$187*I$188*I184&gt;0,AVERAGE(I$186:I$188, I184),""),"")</f>
        <v/>
      </c>
      <c r="J287" s="302" t="str">
        <f aca="false">IFERROR(IF(J$186*J$187*J$188*J184&gt;0,AVERAGE(J$186:J$188, J184),""),"")</f>
        <v/>
      </c>
      <c r="K287" s="302" t="str">
        <f aca="false">IFERROR(IF(K$186*K$187*K$188*K184&gt;0,AVERAGE(K$186:K$188, K184),""),"")</f>
        <v/>
      </c>
      <c r="L287" s="302" t="str">
        <f aca="false">IFERROR(IF(L$186*L$187*L$188*L184&gt;0,AVERAGE(L$186:L$188, L184),""),"")</f>
        <v/>
      </c>
      <c r="M287" s="302" t="str">
        <f aca="false">IFERROR(IF(M$186*M$187*M$188*M184&gt;0,AVERAGE(M$186:M$188, M184),""),"")</f>
        <v/>
      </c>
      <c r="N287" s="302" t="str">
        <f aca="false">IFERROR(IF(N$186*N$187*N$188*N184&gt;0,AVERAGE(N$186:N$188, N184),""),"")</f>
        <v/>
      </c>
      <c r="O287" s="282"/>
      <c r="P287" s="282"/>
      <c r="Q287" s="296"/>
      <c r="R287" s="293" t="s">
        <v>522</v>
      </c>
      <c r="S287" s="294" t="str">
        <f aca="false">IFERROR(IF(C$186*C$187*C$188*C184&gt;0,STDEV(C$186:C$188, C184),"")/IF(C$186*C$187*C$188*C184&gt;0,AVERAGE(C$186:C$188, C184),""),"")</f>
        <v/>
      </c>
      <c r="T287" s="294" t="str">
        <f aca="false">IFERROR(IF(D$186*D$187*D$188*D184&gt;0,STDEV(D$186:D$188, D184),"")/IF(D$186*D$187*D$188*D184&gt;0,AVERAGE(D$186:D$188, D184),""),"")</f>
        <v/>
      </c>
      <c r="U287" s="294" t="str">
        <f aca="false">IFERROR(IF(E$186*E$187*E$188*E184&gt;0,STDEV(E$186:E$188, E184),"")/IF(E$186*E$187*E$188*E184&gt;0,AVERAGE(E$186:E$188, E184),""),"")</f>
        <v/>
      </c>
      <c r="V287" s="294" t="str">
        <f aca="false">IFERROR(IF(F$186*F$187*F$188*F184&gt;0,STDEV(F$186:F$188, F184),"")/IF(F$186*F$187*F$188*F184&gt;0,AVERAGE(F$186:F$188, F184),""),"")</f>
        <v/>
      </c>
      <c r="W287" s="294" t="str">
        <f aca="false">IFERROR(IF(G$186*G$187*G$188*G184&gt;0,STDEV(G$186:G$188, G184),"")/IF(G$186*G$187*G$188*G184&gt;0,AVERAGE(G$186:G$188, G184),""),"")</f>
        <v/>
      </c>
      <c r="X287" s="294" t="str">
        <f aca="false">IFERROR(IF(H$186*H$187*H$188*H184&gt;0,STDEV(H$186:H$188, H184),"")/IF(H$186*H$187*H$188*H184&gt;0,AVERAGE(H$186:H$188, H184),""),"")</f>
        <v/>
      </c>
      <c r="Y287" s="294" t="str">
        <f aca="false">IFERROR(IF(I$186*I$187*I$188*I184&gt;0,STDEV(I$186:I$188, I184),"")/IF(I$186*I$187*I$188*I184&gt;0,AVERAGE(I$186:I$188, I184),""),"")</f>
        <v/>
      </c>
      <c r="Z287" s="294" t="str">
        <f aca="false">IFERROR(IF(J$186*J$187*J$188*J184&gt;0,STDEV(J$186:J$188, J184),"")/IF(J$186*J$187*J$188*J184&gt;0,AVERAGE(J$186:J$188, J184),""),"")</f>
        <v/>
      </c>
      <c r="AA287" s="294" t="str">
        <f aca="false">IFERROR(IF(K$186*K$187*K$188*K184&gt;0,STDEV(K$186:K$188, K184),"")/IF(K$186*K$187*K$188*K184&gt;0,AVERAGE(K$186:K$188, K184),""),"")</f>
        <v/>
      </c>
      <c r="AB287" s="294" t="str">
        <f aca="false">IFERROR(IF(L$186*L$187*L$188*L184&gt;0,STDEV(L$186:L$188, L184),"")/IF(L$186*L$187*L$188*L184&gt;0,AVERAGE(L$186:L$188, L184),""),"")</f>
        <v/>
      </c>
      <c r="AC287" s="294" t="str">
        <f aca="false">IFERROR(IF(M$186*M$187*M$188*M184&gt;0,STDEV(M$186:M$188, M184),"")/IF(M$186*M$187*M$188*M184&gt;0,AVERAGE(M$186:M$188, M184),""),"")</f>
        <v/>
      </c>
      <c r="AD287" s="294" t="str">
        <f aca="false">IFERROR(IF(N$186*N$187*N$188*N184&gt;0,STDEV(N$186:N$188, N184),"")/IF(N$186*N$187*N$188*N184&gt;0,AVERAGE(N$186:N$188, N184),""),"")</f>
        <v/>
      </c>
      <c r="AE287" s="44"/>
      <c r="AF287" s="266" t="s">
        <v>523</v>
      </c>
      <c r="AG287" s="303" t="str">
        <f aca="false">IFERROR(IF(C$186*C$187*C$188*C184&gt;0,STDEV(C$186:C$188, C184)," ")/IF(C$186*C$187*C$188*C184&gt;0,SQRT(COUNT(C$186:C$188, C184))," "),"")</f>
        <v/>
      </c>
      <c r="AH287" s="303" t="str">
        <f aca="false">IFERROR(IF(D$186*D$187*D$188*D184&gt;0,STDEV(D$186:D$188, D184)," ")/IF(D$186*D$187*D$188*D184&gt;0,SQRT(COUNT(D$186:D$188, D184))," "),"")</f>
        <v/>
      </c>
      <c r="AI287" s="303" t="str">
        <f aca="false">IFERROR(IF(E$186*E$187*E$188*E184&gt;0,STDEV(E$186:E$188, E184)," ")/IF(E$186*E$187*E$188*E184&gt;0,SQRT(COUNT(E$186:E$188, E184))," "),"")</f>
        <v/>
      </c>
      <c r="AJ287" s="303" t="str">
        <f aca="false">IFERROR(IF(F$186*F$187*F$188*F184&gt;0,STDEV(F$186:F$188, F184)," ")/IF(F$186*F$187*F$188*F184&gt;0,SQRT(COUNT(F$186:F$188, F184))," "),"")</f>
        <v/>
      </c>
      <c r="AK287" s="303" t="str">
        <f aca="false">IFERROR(IF(G$186*G$187*G$188*G184&gt;0,STDEV(G$186:G$188, G184)," ")/IF(G$186*G$187*G$188*G184&gt;0,SQRT(COUNT(G$186:G$188, G184))," "),"")</f>
        <v/>
      </c>
      <c r="AL287" s="303" t="str">
        <f aca="false">IFERROR(IF(H$186*H$187*H$188*H184&gt;0,STDEV(H$186:H$188, H184)," ")/IF(H$186*H$187*H$188*H184&gt;0,SQRT(COUNT(H$186:H$188, H184))," "),"")</f>
        <v/>
      </c>
      <c r="AM287" s="303" t="str">
        <f aca="false">IFERROR(IF(I$186*I$187*I$188*I184&gt;0,STDEV(I$186:I$188, I184)," ")/IF(I$186*I$187*I$188*I184&gt;0,SQRT(COUNT(I$186:I$188, I184))," "),"")</f>
        <v/>
      </c>
      <c r="AN287" s="303" t="str">
        <f aca="false">IFERROR(IF(J$186*J$187*J$188*J184&gt;0,STDEV(J$186:J$188, J184)," ")/IF(J$186*J$187*J$188*J184&gt;0,SQRT(COUNT(J$186:J$188, J184))," "),"")</f>
        <v/>
      </c>
      <c r="AO287" s="303" t="str">
        <f aca="false">IFERROR(IF(K$186*K$187*K$188*K184&gt;0,STDEV(K$186:K$188, K184)," ")/IF(K$186*K$187*K$188*K184&gt;0,SQRT(COUNT(K$186:K$188, K184))," "),"")</f>
        <v/>
      </c>
      <c r="AP287" s="303" t="str">
        <f aca="false">IFERROR(IF(L$186*L$187*L$188*L184&gt;0,STDEV(L$186:L$188, L184)," ")/IF(L$186*L$187*L$188*L184&gt;0,SQRT(COUNT(L$186:L$188, L184))," "),"")</f>
        <v/>
      </c>
      <c r="AQ287" s="303" t="str">
        <f aca="false">IFERROR(IF(M$186*M$187*M$188*M184&gt;0,STDEV(M$186:M$188, M184)," ")/IF(M$186*M$187*M$188*M184&gt;0,SQRT(COUNT(M$186:M$188, M184))," "),"")</f>
        <v/>
      </c>
      <c r="AR287" s="303" t="str">
        <f aca="false">IFERROR(IF(N$186*N$187*N$188*N184&gt;0,STDEV(N$186:N$188, N184)," ")/IF(N$186*N$187*N$188*N184&gt;0,SQRT(COUNT(N$186:N$188, N184))," "),"")</f>
        <v/>
      </c>
    </row>
    <row r="288" customFormat="false" ht="15.75" hidden="false" customHeight="false" outlineLevel="0" collapsed="false">
      <c r="A288" s="290" t="s">
        <v>632</v>
      </c>
      <c r="B288" s="281"/>
      <c r="C288" s="302" t="str">
        <f aca="false">IFERROR(IF(C$182*C$184*C$186*C$187&gt;0,AVERAGE(C$182, C$184, C$186, C$187),""),"")</f>
        <v/>
      </c>
      <c r="D288" s="302" t="str">
        <f aca="false">IFERROR(IF(D$182*D$184*D$186*D$187&gt;0,AVERAGE(D$182, D$184, D$186, D$187),""),"")</f>
        <v/>
      </c>
      <c r="E288" s="302" t="str">
        <f aca="false">IFERROR(IF(E$182*E$184*E$186*E$187&gt;0,AVERAGE(E$182, E$184, E$186, E$187),""),"")</f>
        <v/>
      </c>
      <c r="F288" s="302" t="str">
        <f aca="false">IFERROR(IF(F$182*F$184*F$186*F$187&gt;0,AVERAGE(F$182, F$184, F$186, F$187),""),"")</f>
        <v/>
      </c>
      <c r="G288" s="302" t="str">
        <f aca="false">IFERROR(IF(G$182*G$184*G$186*G$187&gt;0,AVERAGE(G$182, G$184, G$186, G$187),""),"")</f>
        <v/>
      </c>
      <c r="H288" s="302" t="str">
        <f aca="false">IFERROR(IF(H$182*H$184*H$186*H$187&gt;0,AVERAGE(H$182, H$184, H$186, H$187),""),"")</f>
        <v/>
      </c>
      <c r="I288" s="302" t="str">
        <f aca="false">IFERROR(IF(I$182*I$184*I$186*I$187&gt;0,AVERAGE(I$182, I$184, I$186, I$187),""),"")</f>
        <v/>
      </c>
      <c r="J288" s="302" t="str">
        <f aca="false">IFERROR(IF(J$182*J$184*J$186*J$187&gt;0,AVERAGE(J$182, J$184, J$186, J$187),""),"")</f>
        <v/>
      </c>
      <c r="K288" s="302" t="str">
        <f aca="false">IFERROR(IF(K$182*K$184*K$186*K$187&gt;0,AVERAGE(K$182, K$184, K$186, K$187),""),"")</f>
        <v/>
      </c>
      <c r="L288" s="302" t="str">
        <f aca="false">IFERROR(IF(L$182*L$184*L$186*L$187&gt;0,AVERAGE(L$182, L$184, L$186, L$187),""),"")</f>
        <v/>
      </c>
      <c r="M288" s="302" t="str">
        <f aca="false">IFERROR(IF(M$182*M$184*M$186*M$187&gt;0,AVERAGE(M$182, M$184, M$186, M$187),""),"")</f>
        <v/>
      </c>
      <c r="N288" s="302" t="str">
        <f aca="false">IFERROR(IF(N$182*N$184*N$186*N$187&gt;0,AVERAGE(N$182, N$184, N$186, N$187),""),"")</f>
        <v/>
      </c>
      <c r="O288" s="282"/>
      <c r="P288" s="282"/>
      <c r="Q288" s="296"/>
      <c r="R288" s="293" t="s">
        <v>525</v>
      </c>
      <c r="S288" s="294" t="str">
        <f aca="false">IFERROR(IF(C$182*C$184*C$186*C$187&gt;0,STDEV(C$182, C$184, C$186, C$187),"")/IF(C$182*C$184*C$186*C$187&gt;0,AVERAGE(C$182, C$184, C$186, C$187),""),"")</f>
        <v/>
      </c>
      <c r="T288" s="294" t="str">
        <f aca="false">IFERROR(IF(D$182*D$184*D$186*D$187&gt;0,STDEV(D$182, D$184, D$186, D$187),"")/IF(D$182*D$184*D$186*D$187&gt;0,AVERAGE(D$182, D$184, D$186, D$187),""),"")</f>
        <v/>
      </c>
      <c r="U288" s="294" t="str">
        <f aca="false">IFERROR(IF(E$182*E$184*E$186*E$187&gt;0,STDEV(E$182, E$184, E$186, E$187),"")/IF(E$182*E$184*E$186*E$187&gt;0,AVERAGE(E$182, E$184, E$186, E$187),""),"")</f>
        <v/>
      </c>
      <c r="V288" s="294" t="str">
        <f aca="false">IFERROR(IF(F$182*F$184*F$186*F$187&gt;0,STDEV(F$182, F$184, F$186, F$187),"")/IF(F$182*F$184*F$186*F$187&gt;0,AVERAGE(F$182, F$184, F$186, F$187),""),"")</f>
        <v/>
      </c>
      <c r="W288" s="294" t="str">
        <f aca="false">IFERROR(IF(G$182*G$184*G$186*G$187&gt;0,STDEV(G$182, G$184, G$186, G$187),"")/IF(G$182*G$184*G$186*G$187&gt;0,AVERAGE(G$182, G$184, G$186, G$187),""),"")</f>
        <v/>
      </c>
      <c r="X288" s="294" t="str">
        <f aca="false">IFERROR(IF(H$182*H$184*H$186*H$187&gt;0,STDEV(H$182, H$184, H$186, H$187),"")/IF(H$182*H$184*H$186*H$187&gt;0,AVERAGE(H$182, H$184, H$186, H$187),""),"")</f>
        <v/>
      </c>
      <c r="Y288" s="294" t="str">
        <f aca="false">IFERROR(IF(I$182*I$184*I$186*I$187&gt;0,STDEV(I$182, I$184, I$186, I$187),"")/IF(I$182*I$184*I$186*I$187&gt;0,AVERAGE(I$182, I$184, I$186, I$187),""),"")</f>
        <v/>
      </c>
      <c r="Z288" s="294" t="str">
        <f aca="false">IFERROR(IF(J$182*J$184*J$186*J$187&gt;0,STDEV(J$182, J$184, J$186, J$187),"")/IF(J$182*J$184*J$186*J$187&gt;0,AVERAGE(J$182, J$184, J$186, J$187),""),"")</f>
        <v/>
      </c>
      <c r="AA288" s="294" t="str">
        <f aca="false">IFERROR(IF(K$182*K$184*K$186*K$187&gt;0,STDEV(K$182, K$184, K$186, K$187),"")/IF(K$182*K$184*K$186*K$187&gt;0,AVERAGE(K$182, K$184, K$186, K$187),""),"")</f>
        <v/>
      </c>
      <c r="AB288" s="294" t="str">
        <f aca="false">IFERROR(IF(L$182*L$184*L$186*L$187&gt;0,STDEV(L$182, L$184, L$186, L$187),"")/IF(L$182*L$184*L$186*L$187&gt;0,AVERAGE(L$182, L$184, L$186, L$187),""),"")</f>
        <v/>
      </c>
      <c r="AC288" s="294" t="str">
        <f aca="false">IFERROR(IF(M$182*M$184*M$186*M$187&gt;0,STDEV(M$182, M$184, M$186, M$187),"")/IF(M$182*M$184*M$186*M$187&gt;0,AVERAGE(M$182, M$184, M$186, M$187),""),"")</f>
        <v/>
      </c>
      <c r="AD288" s="294" t="str">
        <f aca="false">IFERROR(IF(N$182*N$184*N$186*N$187&gt;0,STDEV(N$182, N$184, N$186, N$187),"")/IF(N$182*N$184*N$186*N$187&gt;0,AVERAGE(N$182, N$184, N$186, N$187),""),"")</f>
        <v/>
      </c>
      <c r="AE288" s="44"/>
      <c r="AF288" s="266" t="s">
        <v>526</v>
      </c>
      <c r="AG288" s="303" t="str">
        <f aca="false">IFERROR(IF(C$182*C$184*C$186*C$187&gt;0,STDEV(C$182, C$184, C$186, C$187)," ")/IF(C$182*C$184*C$186*C$187&gt;0,SQRT(COUNT(C$182, C$184, C$186, C$187))," "),"")</f>
        <v/>
      </c>
      <c r="AH288" s="303" t="str">
        <f aca="false">IFERROR(IF(D$182*D$184*D$186*D$187&gt;0,STDEV(D$182, D$184, D$186, D$187)," ")/IF(D$182*D$184*D$186*D$187&gt;0,SQRT(COUNT(D$182, D$184, D$186, D$187))," "),"")</f>
        <v/>
      </c>
      <c r="AI288" s="303" t="str">
        <f aca="false">IFERROR(IF(E$182*E$184*E$186*E$187&gt;0,STDEV(E$182, E$184, E$186, E$187)," ")/IF(E$182*E$184*E$186*E$187&gt;0,SQRT(COUNT(E$182, E$184, E$186, E$187))," "),"")</f>
        <v/>
      </c>
      <c r="AJ288" s="303" t="str">
        <f aca="false">IFERROR(IF(F$182*F$184*F$186*F$187&gt;0,STDEV(F$182, F$184, F$186, F$187)," ")/IF(F$182*F$184*F$186*F$187&gt;0,SQRT(COUNT(F$182, F$184, F$186, F$187))," "),"")</f>
        <v/>
      </c>
      <c r="AK288" s="303" t="str">
        <f aca="false">IFERROR(IF(G$182*G$184*G$186*G$187&gt;0,STDEV(G$182, G$184, G$186, G$187)," ")/IF(G$182*G$184*G$186*G$187&gt;0,SQRT(COUNT(G$182, G$184, G$186, G$187))," "),"")</f>
        <v/>
      </c>
      <c r="AL288" s="303" t="str">
        <f aca="false">IFERROR(IF(H$182*H$184*H$186*H$187&gt;0,STDEV(H$182, H$184, H$186, H$187)," ")/IF(H$182*H$184*H$186*H$187&gt;0,SQRT(COUNT(H$182, H$184, H$186, H$187))," "),"")</f>
        <v/>
      </c>
      <c r="AM288" s="303" t="str">
        <f aca="false">IFERROR(IF(I$182*I$184*I$186*I$187&gt;0,STDEV(I$182, I$184, I$186, I$187)," ")/IF(I$182*I$184*I$186*I$187&gt;0,SQRT(COUNT(I$182, I$184, I$186, I$187))," "),"")</f>
        <v/>
      </c>
      <c r="AN288" s="303" t="str">
        <f aca="false">IFERROR(IF(J$182*J$184*J$186*J$187&gt;0,STDEV(J$182, J$184, J$186, J$187)," ")/IF(J$182*J$184*J$186*J$187&gt;0,SQRT(COUNT(J$182, J$184, J$186, J$187))," "),"")</f>
        <v/>
      </c>
      <c r="AO288" s="303" t="str">
        <f aca="false">IFERROR(IF(K$182*K$184*K$186*K$187&gt;0,STDEV(K$182, K$184, K$186, K$187)," ")/IF(K$182*K$184*K$186*K$187&gt;0,SQRT(COUNT(K$182, K$184, K$186, K$187))," "),"")</f>
        <v/>
      </c>
      <c r="AP288" s="303" t="str">
        <f aca="false">IFERROR(IF(L$182*L$184*L$186*L$187&gt;0,STDEV(L$182, L$184, L$186, L$187)," ")/IF(L$182*L$184*L$186*L$187&gt;0,SQRT(COUNT(L$182, L$184, L$186, L$187))," "),"")</f>
        <v/>
      </c>
      <c r="AQ288" s="303" t="str">
        <f aca="false">IFERROR(IF(M$182*M$184*M$186*M$187&gt;0,STDEV(M$182, M$184, M$186, M$187)," ")/IF(M$182*M$184*M$186*M$187&gt;0,SQRT(COUNT(M$182, M$184, M$186, M$187))," "),"")</f>
        <v/>
      </c>
      <c r="AR288" s="303" t="str">
        <f aca="false">IFERROR(IF(N$182*N$184*N$186*N$187&gt;0,STDEV(N$182, N$184, N$186, N$187)," ")/IF(N$182*N$184*N$186*N$187&gt;0,SQRT(COUNT(N$182, N$184, N$186, N$187))," "),"")</f>
        <v/>
      </c>
    </row>
    <row r="289" customFormat="false" ht="15.75" hidden="false" customHeight="false" outlineLevel="0" collapsed="false">
      <c r="A289" s="290" t="s">
        <v>633</v>
      </c>
      <c r="B289" s="281"/>
      <c r="C289" s="302" t="str">
        <f aca="false">IFERROR(IF(C$182*C$184*C$186*C$188&gt;0,AVERAGE(C$186:C$188, C$188),""),"")</f>
        <v/>
      </c>
      <c r="D289" s="302" t="str">
        <f aca="false">IFERROR(IF(D$182*D$184*D$186*D$188&gt;0,AVERAGE(D$186:D$188, D$188),""),"")</f>
        <v/>
      </c>
      <c r="E289" s="302" t="str">
        <f aca="false">IFERROR(IF(E$182*E$184*E$186*E$188&gt;0,AVERAGE(E$186:E$188, E$188),""),"")</f>
        <v/>
      </c>
      <c r="F289" s="302" t="str">
        <f aca="false">IFERROR(IF(F$182*F$184*F$186*F$188&gt;0,AVERAGE(F$186:F$188, F$188),""),"")</f>
        <v/>
      </c>
      <c r="G289" s="302" t="str">
        <f aca="false">IFERROR(IF(G$182*G$184*G$186*G$188&gt;0,AVERAGE(G$186:G$188, G$188),""),"")</f>
        <v/>
      </c>
      <c r="H289" s="302" t="str">
        <f aca="false">IFERROR(IF(H$182*H$184*H$186*H$188&gt;0,AVERAGE(H$186:H$188, H$188),""),"")</f>
        <v/>
      </c>
      <c r="I289" s="302" t="str">
        <f aca="false">IFERROR(IF(I$182*I$184*I$186*I$188&gt;0,AVERAGE(I$186:I$188, I$188),""),"")</f>
        <v/>
      </c>
      <c r="J289" s="302" t="str">
        <f aca="false">IFERROR(IF(J$182*J$184*J$186*J$188&gt;0,AVERAGE(J$186:J$188, J$188),""),"")</f>
        <v/>
      </c>
      <c r="K289" s="302" t="str">
        <f aca="false">IFERROR(IF(K$182*K$184*K$186*K$188&gt;0,AVERAGE(K$186:K$188, K$188),""),"")</f>
        <v/>
      </c>
      <c r="L289" s="302" t="str">
        <f aca="false">IFERROR(IF(L$182*L$184*L$186*L$188&gt;0,AVERAGE(L$186:L$188, L$188),""),"")</f>
        <v/>
      </c>
      <c r="M289" s="302" t="str">
        <f aca="false">IFERROR(IF(M$182*M$184*M$186*M$188&gt;0,AVERAGE(M$186:M$188, M$188),""),"")</f>
        <v/>
      </c>
      <c r="N289" s="302" t="str">
        <f aca="false">IFERROR(IF(N$182*N$184*N$186*N$188&gt;0,AVERAGE(N$186:N$188, N$188),""),"")</f>
        <v/>
      </c>
      <c r="O289" s="282"/>
      <c r="P289" s="282"/>
      <c r="Q289" s="296"/>
      <c r="R289" s="293" t="s">
        <v>528</v>
      </c>
      <c r="S289" s="294" t="str">
        <f aca="false">IFERROR(IF(C$182*C$184*C$186*C$188&gt;0,STDEV(C$186:C$188, C$188),"")/IF(C$182*C$184*C$186*C$188&gt;0,AVERAGE(C$186:C$188, C$188),""),"")</f>
        <v/>
      </c>
      <c r="T289" s="294" t="str">
        <f aca="false">IFERROR(IF(D$182*D$184*D$186*D$188&gt;0,STDEV(D$186:D$188, D$188),"")/IF(D$182*D$184*D$186*D$188&gt;0,AVERAGE(D$186:D$188, D$188),""),"")</f>
        <v/>
      </c>
      <c r="U289" s="294" t="str">
        <f aca="false">IFERROR(IF(E$182*E$184*E$186*E$188&gt;0,STDEV(E$186:E$188, E$188),"")/IF(E$182*E$184*E$186*E$188&gt;0,AVERAGE(E$186:E$188, E$188),""),"")</f>
        <v/>
      </c>
      <c r="V289" s="294" t="str">
        <f aca="false">IFERROR(IF(F$182*F$184*F$186*F$188&gt;0,STDEV(F$186:F$188, F$188),"")/IF(F$182*F$184*F$186*F$188&gt;0,AVERAGE(F$186:F$188, F$188),""),"")</f>
        <v/>
      </c>
      <c r="W289" s="294" t="str">
        <f aca="false">IFERROR(IF(G$182*G$184*G$186*G$188&gt;0,STDEV(G$186:G$188, G$188),"")/IF(G$182*G$184*G$186*G$188&gt;0,AVERAGE(G$186:G$188, G$188),""),"")</f>
        <v/>
      </c>
      <c r="X289" s="294" t="str">
        <f aca="false">IFERROR(IF(H$182*H$184*H$186*H$188&gt;0,STDEV(H$186:H$188, H$188),"")/IF(H$182*H$184*H$186*H$188&gt;0,AVERAGE(H$186:H$188, H$188),""),"")</f>
        <v/>
      </c>
      <c r="Y289" s="294" t="str">
        <f aca="false">IFERROR(IF(I$182*I$184*I$186*I$188&gt;0,STDEV(I$186:I$188, I$188),"")/IF(I$182*I$184*I$186*I$188&gt;0,AVERAGE(I$186:I$188, I$188),""),"")</f>
        <v/>
      </c>
      <c r="Z289" s="294" t="str">
        <f aca="false">IFERROR(IF(J$182*J$184*J$186*J$188&gt;0,STDEV(J$186:J$188, J$188),"")/IF(J$182*J$184*J$186*J$188&gt;0,AVERAGE(J$186:J$188, J$188),""),"")</f>
        <v/>
      </c>
      <c r="AA289" s="294" t="str">
        <f aca="false">IFERROR(IF(K$182*K$184*K$186*K$188&gt;0,STDEV(K$186:K$188, K$188),"")/IF(K$182*K$184*K$186*K$188&gt;0,AVERAGE(K$186:K$188, K$188),""),"")</f>
        <v/>
      </c>
      <c r="AB289" s="294" t="str">
        <f aca="false">IFERROR(IF(L$182*L$184*L$186*L$188&gt;0,STDEV(L$186:L$188, L$188),"")/IF(L$182*L$184*L$186*L$188&gt;0,AVERAGE(L$186:L$188, L$188),""),"")</f>
        <v/>
      </c>
      <c r="AC289" s="294" t="str">
        <f aca="false">IFERROR(IF(M$182*M$184*M$186*M$188&gt;0,STDEV(M$186:M$188, M$188),"")/IF(M$182*M$184*M$186*M$188&gt;0,AVERAGE(M$186:M$188, M$188),""),"")</f>
        <v/>
      </c>
      <c r="AD289" s="294" t="str">
        <f aca="false">IFERROR(IF(N$182*N$184*N$186*N$188&gt;0,STDEV(N$186:N$188, N$188),"")/IF(N$182*N$184*N$186*N$188&gt;0,AVERAGE(N$186:N$188, N$188),""),"")</f>
        <v/>
      </c>
      <c r="AE289" s="44"/>
      <c r="AF289" s="266" t="s">
        <v>529</v>
      </c>
      <c r="AG289" s="303" t="str">
        <f aca="false">IFERROR(IF(C$182*C$184*C$186*C$188&gt;0,STDEV(C$186:C$188, C$188)," ")/IF(C$182*C$184*C$186*C$188&gt;0,SQRT(COUNT(C$186:C$188, C$188))," "),"")</f>
        <v/>
      </c>
      <c r="AH289" s="303" t="str">
        <f aca="false">IFERROR(IF(D$182*D$184*D$186*D$188&gt;0,STDEV(D$186:D$188, D$188)," ")/IF(D$182*D$184*D$186*D$188&gt;0,SQRT(COUNT(D$186:D$188, D$188))," "),"")</f>
        <v/>
      </c>
      <c r="AI289" s="303" t="str">
        <f aca="false">IFERROR(IF(E$182*E$184*E$186*E$188&gt;0,STDEV(E$186:E$188, E$188)," ")/IF(E$182*E$184*E$186*E$188&gt;0,SQRT(COUNT(E$186:E$188, E$188))," "),"")</f>
        <v/>
      </c>
      <c r="AJ289" s="303" t="str">
        <f aca="false">IFERROR(IF(F$182*F$184*F$186*F$188&gt;0,STDEV(F$186:F$188, F$188)," ")/IF(F$182*F$184*F$186*F$188&gt;0,SQRT(COUNT(F$186:F$188, F$188))," "),"")</f>
        <v/>
      </c>
      <c r="AK289" s="303" t="str">
        <f aca="false">IFERROR(IF(G$182*G$184*G$186*G$188&gt;0,STDEV(G$186:G$188, G$188)," ")/IF(G$182*G$184*G$186*G$188&gt;0,SQRT(COUNT(G$186:G$188, G$188))," "),"")</f>
        <v/>
      </c>
      <c r="AL289" s="303" t="str">
        <f aca="false">IFERROR(IF(H$182*H$184*H$186*H$188&gt;0,STDEV(H$186:H$188, H$188)," ")/IF(H$182*H$184*H$186*H$188&gt;0,SQRT(COUNT(H$186:H$188, H$188))," "),"")</f>
        <v/>
      </c>
      <c r="AM289" s="303" t="str">
        <f aca="false">IFERROR(IF(I$182*I$184*I$186*I$188&gt;0,STDEV(I$186:I$188, I$188)," ")/IF(I$182*I$184*I$186*I$188&gt;0,SQRT(COUNT(I$186:I$188, I$188))," "),"")</f>
        <v/>
      </c>
      <c r="AN289" s="303" t="str">
        <f aca="false">IFERROR(IF(J$182*J$184*J$186*J$188&gt;0,STDEV(J$186:J$188, J$188)," ")/IF(J$182*J$184*J$186*J$188&gt;0,SQRT(COUNT(J$186:J$188, J$188))," "),"")</f>
        <v/>
      </c>
      <c r="AO289" s="303" t="str">
        <f aca="false">IFERROR(IF(K$182*K$184*K$186*K$188&gt;0,STDEV(K$186:K$188, K$188)," ")/IF(K$182*K$184*K$186*K$188&gt;0,SQRT(COUNT(K$186:K$188, K$188))," "),"")</f>
        <v/>
      </c>
      <c r="AP289" s="303" t="str">
        <f aca="false">IFERROR(IF(L$182*L$184*L$186*L$188&gt;0,STDEV(L$186:L$188, L$188)," ")/IF(L$182*L$184*L$186*L$188&gt;0,SQRT(COUNT(L$186:L$188, L$188))," "),"")</f>
        <v/>
      </c>
      <c r="AQ289" s="303" t="str">
        <f aca="false">IFERROR(IF(M$182*M$184*M$186*M$188&gt;0,STDEV(M$186:M$188, M$188)," ")/IF(M$182*M$184*M$186*M$188&gt;0,SQRT(COUNT(M$186:M$188, M$188))," "),"")</f>
        <v/>
      </c>
      <c r="AR289" s="303" t="str">
        <f aca="false">IFERROR(IF(N$182*N$184*N$186*N$188&gt;0,STDEV(N$186:N$188, N$188)," ")/IF(N$182*N$184*N$186*N$188&gt;0,SQRT(COUNT(N$186:N$188, N$188))," "),"")</f>
        <v/>
      </c>
    </row>
    <row r="290" customFormat="false" ht="15.75" hidden="false" customHeight="false" outlineLevel="0" collapsed="false">
      <c r="A290" s="290" t="s">
        <v>530</v>
      </c>
      <c r="B290" s="281"/>
      <c r="C290" s="302" t="str">
        <f aca="false">IFERROR(IF(C$182*C$185*C$186*C$188&gt;0,AVERAGE(C$182, C$185, C$186, C$187),""),"")</f>
        <v/>
      </c>
      <c r="D290" s="302" t="str">
        <f aca="false">IFERROR(IF(D$182*D$185*D$186*D$188&gt;0,AVERAGE(D$182, D$185, D$186, D$187),""),"")</f>
        <v/>
      </c>
      <c r="E290" s="302" t="str">
        <f aca="false">IFERROR(IF(E$182*E$185*E$186*E$188&gt;0,AVERAGE(E$182, E$185, E$186, E$187),""),"")</f>
        <v/>
      </c>
      <c r="F290" s="302" t="str">
        <f aca="false">IFERROR(IF(F$182*F$185*F$186*F$188&gt;0,AVERAGE(F$182, F$185, F$186, F$187),""),"")</f>
        <v/>
      </c>
      <c r="G290" s="302" t="str">
        <f aca="false">IFERROR(IF(G$182*G$185*G$186*G$188&gt;0,AVERAGE(G$182, G$185, G$186, G$187),""),"")</f>
        <v/>
      </c>
      <c r="H290" s="302" t="str">
        <f aca="false">IFERROR(IF(H$182*H$185*H$186*H$188&gt;0,AVERAGE(H$182, H$185, H$186, H$187),""),"")</f>
        <v/>
      </c>
      <c r="I290" s="302" t="str">
        <f aca="false">IFERROR(IF(I$182*I$185*I$186*I$188&gt;0,AVERAGE(I$182, I$185, I$186, I$187),""),"")</f>
        <v/>
      </c>
      <c r="J290" s="302" t="str">
        <f aca="false">IFERROR(IF(J$182*J$185*J$186*J$188&gt;0,AVERAGE(J$182, J$185, J$186, J$187),""),"")</f>
        <v/>
      </c>
      <c r="K290" s="302" t="str">
        <f aca="false">IFERROR(IF(K$182*K$185*K$186*K$188&gt;0,AVERAGE(K$182, K$185, K$186, K$187),""),"")</f>
        <v/>
      </c>
      <c r="L290" s="302" t="str">
        <f aca="false">IFERROR(IF(L$182*L$185*L$186*L$188&gt;0,AVERAGE(L$182, L$185, L$186, L$187),""),"")</f>
        <v/>
      </c>
      <c r="M290" s="302" t="str">
        <f aca="false">IFERROR(IF(M$182*M$185*M$186*M$188&gt;0,AVERAGE(M$182, M$185, M$186, M$187),""),"")</f>
        <v/>
      </c>
      <c r="N290" s="302" t="str">
        <f aca="false">IFERROR(IF(N$182*N$185*N$186*N$188&gt;0,AVERAGE(N$182, N$185, N$186, N$187),""),"")</f>
        <v/>
      </c>
      <c r="O290" s="282"/>
      <c r="P290" s="282"/>
      <c r="Q290" s="296"/>
      <c r="R290" s="293" t="s">
        <v>531</v>
      </c>
      <c r="S290" s="294" t="str">
        <f aca="false">IFERROR(IF(C$182*C$185*C$186*C$188&gt;0,STDEV(C$182, C$185, C$186, C$187),"")/IF(C$182*C$185*C$186*C$188&gt;0,AVERAGE(C$182, C$185, C$186, C$187),""),"")</f>
        <v/>
      </c>
      <c r="T290" s="294" t="str">
        <f aca="false">IFERROR(IF(D$182*D$185*D$186*D$188&gt;0,STDEV(D$182, D$185, D$186, D$187),"")/IF(D$182*D$185*D$186*D$188&gt;0,AVERAGE(D$182, D$185, D$186, D$187),""),"")</f>
        <v/>
      </c>
      <c r="U290" s="294" t="str">
        <f aca="false">IFERROR(IF(E$182*E$185*E$186*E$188&gt;0,STDEV(E$182, E$185, E$186, E$187),"")/IF(E$182*E$185*E$186*E$188&gt;0,AVERAGE(E$182, E$185, E$186, E$187),""),"")</f>
        <v/>
      </c>
      <c r="V290" s="294" t="str">
        <f aca="false">IFERROR(IF(F$182*F$185*F$186*F$188&gt;0,STDEV(F$182, F$185, F$186, F$187),"")/IF(F$182*F$185*F$186*F$188&gt;0,AVERAGE(F$182, F$185, F$186, F$187),""),"")</f>
        <v/>
      </c>
      <c r="W290" s="294" t="str">
        <f aca="false">IFERROR(IF(G$182*G$185*G$186*G$188&gt;0,STDEV(G$182, G$185, G$186, G$187),"")/IF(G$182*G$185*G$186*G$188&gt;0,AVERAGE(G$182, G$185, G$186, G$187),""),"")</f>
        <v/>
      </c>
      <c r="X290" s="294" t="str">
        <f aca="false">IFERROR(IF(H$182*H$185*H$186*H$188&gt;0,STDEV(H$182, H$185, H$186, H$187),"")/IF(H$182*H$185*H$186*H$188&gt;0,AVERAGE(H$182, H$185, H$186, H$187),""),"")</f>
        <v/>
      </c>
      <c r="Y290" s="294" t="str">
        <f aca="false">IFERROR(IF(I$182*I$185*I$186*I$188&gt;0,STDEV(I$182, I$185, I$186, I$187),"")/IF(I$182*I$185*I$186*I$188&gt;0,AVERAGE(I$182, I$185, I$186, I$187),""),"")</f>
        <v/>
      </c>
      <c r="Z290" s="294" t="str">
        <f aca="false">IFERROR(IF(J$182*J$185*J$186*J$188&gt;0,STDEV(J$182, J$185, J$186, J$187),"")/IF(J$182*J$185*J$186*J$188&gt;0,AVERAGE(J$182, J$185, J$186, J$187),""),"")</f>
        <v/>
      </c>
      <c r="AA290" s="294" t="str">
        <f aca="false">IFERROR(IF(K$182*K$185*K$186*K$188&gt;0,STDEV(K$182, K$185, K$186, K$187),"")/IF(K$182*K$185*K$186*K$188&gt;0,AVERAGE(K$182, K$185, K$186, K$187),""),"")</f>
        <v/>
      </c>
      <c r="AB290" s="294" t="str">
        <f aca="false">IFERROR(IF(L$182*L$185*L$186*L$188&gt;0,STDEV(L$182, L$185, L$186, L$187),"")/IF(L$182*L$185*L$186*L$188&gt;0,AVERAGE(L$182, L$185, L$186, L$187),""),"")</f>
        <v/>
      </c>
      <c r="AC290" s="294" t="str">
        <f aca="false">IFERROR(IF(M$182*M$185*M$186*M$188&gt;0,STDEV(M$182, M$185, M$186, M$187),"")/IF(M$182*M$185*M$186*M$188&gt;0,AVERAGE(M$182, M$185, M$186, M$187),""),"")</f>
        <v/>
      </c>
      <c r="AD290" s="294" t="str">
        <f aca="false">IFERROR(IF(N$182*N$185*N$186*N$188&gt;0,STDEV(N$182, N$185, N$186, N$187),"")/IF(N$182*N$185*N$186*N$188&gt;0,AVERAGE(N$182, N$185, N$186, N$187),""),"")</f>
        <v/>
      </c>
      <c r="AE290" s="44"/>
      <c r="AF290" s="266" t="s">
        <v>532</v>
      </c>
      <c r="AG290" s="303" t="str">
        <f aca="false">IFERROR(IF(C$182*C$185*C$186*C$188&gt;0,STDEV(C$182, C$185, C$186, C$187)," ")/IF(C$182*C$185*C$186*C$188&gt;0,SQRT(COUNT(C$182, C$185, C$186, C$187))," "),"")</f>
        <v/>
      </c>
      <c r="AH290" s="303" t="str">
        <f aca="false">IFERROR(IF(D$182*D$185*D$186*D$188&gt;0,STDEV(D$182, D$185, D$186, D$187)," ")/IF(D$182*D$185*D$186*D$188&gt;0,SQRT(COUNT(D$182, D$185, D$186, D$187))," "),"")</f>
        <v/>
      </c>
      <c r="AI290" s="303" t="str">
        <f aca="false">IFERROR(IF(E$182*E$185*E$186*E$188&gt;0,STDEV(E$182, E$185, E$186, E$187)," ")/IF(E$182*E$185*E$186*E$188&gt;0,SQRT(COUNT(E$182, E$185, E$186, E$187))," "),"")</f>
        <v/>
      </c>
      <c r="AJ290" s="303" t="str">
        <f aca="false">IFERROR(IF(F$182*F$185*F$186*F$188&gt;0,STDEV(F$182, F$185, F$186, F$187)," ")/IF(F$182*F$185*F$186*F$188&gt;0,SQRT(COUNT(F$182, F$185, F$186, F$187))," "),"")</f>
        <v/>
      </c>
      <c r="AK290" s="303" t="str">
        <f aca="false">IFERROR(IF(G$182*G$185*G$186*G$188&gt;0,STDEV(G$182, G$185, G$186, G$187)," ")/IF(G$182*G$185*G$186*G$188&gt;0,SQRT(COUNT(G$182, G$185, G$186, G$187))," "),"")</f>
        <v/>
      </c>
      <c r="AL290" s="303" t="str">
        <f aca="false">IFERROR(IF(H$182*H$185*H$186*H$188&gt;0,STDEV(H$182, H$185, H$186, H$187)," ")/IF(H$182*H$185*H$186*H$188&gt;0,SQRT(COUNT(H$182, H$185, H$186, H$187))," "),"")</f>
        <v/>
      </c>
      <c r="AM290" s="303" t="str">
        <f aca="false">IFERROR(IF(I$182*I$185*I$186*I$188&gt;0,STDEV(I$182, I$185, I$186, I$187)," ")/IF(I$182*I$185*I$186*I$188&gt;0,SQRT(COUNT(I$182, I$185, I$186, I$187))," "),"")</f>
        <v/>
      </c>
      <c r="AN290" s="303" t="str">
        <f aca="false">IFERROR(IF(J$182*J$185*J$186*J$188&gt;0,STDEV(J$182, J$185, J$186, J$187)," ")/IF(J$182*J$185*J$186*J$188&gt;0,SQRT(COUNT(J$182, J$185, J$186, J$187))," "),"")</f>
        <v/>
      </c>
      <c r="AO290" s="303" t="str">
        <f aca="false">IFERROR(IF(K$182*K$185*K$186*K$188&gt;0,STDEV(K$182, K$185, K$186, K$187)," ")/IF(K$182*K$185*K$186*K$188&gt;0,SQRT(COUNT(K$182, K$185, K$186, K$187))," "),"")</f>
        <v/>
      </c>
      <c r="AP290" s="303" t="str">
        <f aca="false">IFERROR(IF(L$182*L$185*L$186*L$188&gt;0,STDEV(L$182, L$185, L$186, L$187)," ")/IF(L$182*L$185*L$186*L$188&gt;0,SQRT(COUNT(L$182, L$185, L$186, L$187))," "),"")</f>
        <v/>
      </c>
      <c r="AQ290" s="303" t="str">
        <f aca="false">IFERROR(IF(M$182*M$185*M$186*M$188&gt;0,STDEV(M$182, M$185, M$186, M$187)," ")/IF(M$182*M$185*M$186*M$188&gt;0,SQRT(COUNT(M$182, M$185, M$186, M$187))," "),"")</f>
        <v/>
      </c>
      <c r="AR290" s="303" t="str">
        <f aca="false">IFERROR(IF(N$182*N$185*N$186*N$188&gt;0,STDEV(N$182, N$185, N$186, N$187)," ")/IF(N$182*N$185*N$186*N$188&gt;0,SQRT(COUNT(N$182, N$185, N$186, N$187))," "),"")</f>
        <v/>
      </c>
    </row>
    <row r="291" customFormat="false" ht="15.75" hidden="false" customHeight="false" outlineLevel="0" collapsed="false">
      <c r="A291" s="290" t="s">
        <v>533</v>
      </c>
      <c r="B291" s="281"/>
      <c r="C291" s="302" t="str">
        <f aca="false">IFERROR(IF(C$182*C$185*C$186*C$188&gt;0,AVERAGE(C$182, C$185, C$186, C$188),""),"")</f>
        <v/>
      </c>
      <c r="D291" s="302" t="str">
        <f aca="false">IFERROR(IF(D$182*D$185*D$186*D$188&gt;0,AVERAGE(D$182, D$185, D$186, D$188),""),"")</f>
        <v/>
      </c>
      <c r="E291" s="302" t="str">
        <f aca="false">IFERROR(IF(E$182*E$185*E$186*E$188&gt;0,AVERAGE(E$182, E$185, E$186, E$188),""),"")</f>
        <v/>
      </c>
      <c r="F291" s="302" t="str">
        <f aca="false">IFERROR(IF(F$182*F$185*F$186*F$188&gt;0,AVERAGE(F$182, F$185, F$186, F$188),""),"")</f>
        <v/>
      </c>
      <c r="G291" s="302" t="str">
        <f aca="false">IFERROR(IF(G$182*G$185*G$186*G$188&gt;0,AVERAGE(G$182, G$185, G$186, G$188),""),"")</f>
        <v/>
      </c>
      <c r="H291" s="302" t="str">
        <f aca="false">IFERROR(IF(H$182*H$185*H$186*H$188&gt;0,AVERAGE(H$182, H$185, H$186, H$188),""),"")</f>
        <v/>
      </c>
      <c r="I291" s="302" t="str">
        <f aca="false">IFERROR(IF(I$182*I$185*I$186*I$188&gt;0,AVERAGE(I$182, I$185, I$186, I$188),""),"")</f>
        <v/>
      </c>
      <c r="J291" s="302" t="str">
        <f aca="false">IFERROR(IF(J$182*J$185*J$186*J$188&gt;0,AVERAGE(J$182, J$185, J$186, J$188),""),"")</f>
        <v/>
      </c>
      <c r="K291" s="302" t="str">
        <f aca="false">IFERROR(IF(K$182*K$185*K$186*K$188&gt;0,AVERAGE(K$182, K$185, K$186, K$188),""),"")</f>
        <v/>
      </c>
      <c r="L291" s="302" t="str">
        <f aca="false">IFERROR(IF(L$182*L$185*L$186*L$188&gt;0,AVERAGE(L$182, L$185, L$186, L$188),""),"")</f>
        <v/>
      </c>
      <c r="M291" s="302" t="str">
        <f aca="false">IFERROR(IF(M$182*M$185*M$186*M$188&gt;0,AVERAGE(M$182, M$185, M$186, M$188),""),"")</f>
        <v/>
      </c>
      <c r="N291" s="302" t="str">
        <f aca="false">IFERROR(IF(N$182*N$185*N$186*N$188&gt;0,AVERAGE(N$182, N$185, N$186, N$188),""),"")</f>
        <v/>
      </c>
      <c r="O291" s="282"/>
      <c r="P291" s="282"/>
      <c r="Q291" s="296"/>
      <c r="R291" s="293" t="s">
        <v>534</v>
      </c>
      <c r="S291" s="294" t="str">
        <f aca="false">IFERROR(IF(C$182*C$185*C$186*C$188&gt;0,STDEV(C$182, C$185, C$186, C$188),"")/IF(C$182*C$185*C$186*C$188&gt;0,AVERAGE(C$182, C$185, C$186, C$188),""),"")</f>
        <v/>
      </c>
      <c r="T291" s="294" t="str">
        <f aca="false">IFERROR(IF(D$182*D$185*D$186*D$188&gt;0,STDEV(D$182, D$185, D$186, D$188),"")/IF(D$182*D$185*D$186*D$188&gt;0,AVERAGE(D$182, D$185, D$186, D$188),""),"")</f>
        <v/>
      </c>
      <c r="U291" s="294" t="str">
        <f aca="false">IFERROR(IF(E$182*E$185*E$186*E$188&gt;0,STDEV(E$182, E$185, E$186, E$188),"")/IF(E$182*E$185*E$186*E$188&gt;0,AVERAGE(E$182, E$185, E$186, E$188),""),"")</f>
        <v/>
      </c>
      <c r="V291" s="294" t="str">
        <f aca="false">IFERROR(IF(F$182*F$185*F$186*F$188&gt;0,STDEV(F$182, F$185, F$186, F$188),"")/IF(F$182*F$185*F$186*F$188&gt;0,AVERAGE(F$182, F$185, F$186, F$188),""),"")</f>
        <v/>
      </c>
      <c r="W291" s="294" t="str">
        <f aca="false">IFERROR(IF(G$182*G$185*G$186*G$188&gt;0,STDEV(G$182, G$185, G$186, G$188),"")/IF(G$182*G$185*G$186*G$188&gt;0,AVERAGE(G$182, G$185, G$186, G$188),""),"")</f>
        <v/>
      </c>
      <c r="X291" s="294" t="str">
        <f aca="false">IFERROR(IF(H$182*H$185*H$186*H$188&gt;0,STDEV(H$182, H$185, H$186, H$188),"")/IF(H$182*H$185*H$186*H$188&gt;0,AVERAGE(H$182, H$185, H$186, H$188),""),"")</f>
        <v/>
      </c>
      <c r="Y291" s="294" t="str">
        <f aca="false">IFERROR(IF(I$182*I$185*I$186*I$188&gt;0,STDEV(I$182, I$185, I$186, I$188),"")/IF(I$182*I$185*I$186*I$188&gt;0,AVERAGE(I$182, I$185, I$186, I$188),""),"")</f>
        <v/>
      </c>
      <c r="Z291" s="294" t="str">
        <f aca="false">IFERROR(IF(J$182*J$185*J$186*J$188&gt;0,STDEV(J$182, J$185, J$186, J$188),"")/IF(J$182*J$185*J$186*J$188&gt;0,AVERAGE(J$182, J$185, J$186, J$188),""),"")</f>
        <v/>
      </c>
      <c r="AA291" s="294" t="str">
        <f aca="false">IFERROR(IF(K$182*K$185*K$186*K$188&gt;0,STDEV(K$182, K$185, K$186, K$188),"")/IF(K$182*K$185*K$186*K$188&gt;0,AVERAGE(K$182, K$185, K$186, K$188),""),"")</f>
        <v/>
      </c>
      <c r="AB291" s="294" t="str">
        <f aca="false">IFERROR(IF(L$182*L$185*L$186*L$188&gt;0,STDEV(L$182, L$185, L$186, L$188),"")/IF(L$182*L$185*L$186*L$188&gt;0,AVERAGE(L$182, L$185, L$186, L$188),""),"")</f>
        <v/>
      </c>
      <c r="AC291" s="294" t="str">
        <f aca="false">IFERROR(IF(M$182*M$185*M$186*M$188&gt;0,STDEV(M$182, M$185, M$186, M$188),"")/IF(M$182*M$185*M$186*M$188&gt;0,AVERAGE(M$182, M$185, M$186, M$188),""),"")</f>
        <v/>
      </c>
      <c r="AD291" s="294" t="str">
        <f aca="false">IFERROR(IF(N$182*N$185*N$186*N$188&gt;0,STDEV(N$182, N$185, N$186, N$188),"")/IF(N$182*N$185*N$186*N$188&gt;0,AVERAGE(N$182, N$185, N$186, N$188),""),"")</f>
        <v/>
      </c>
      <c r="AE291" s="44"/>
      <c r="AF291" s="266" t="s">
        <v>535</v>
      </c>
      <c r="AG291" s="303" t="str">
        <f aca="false">IFERROR(IF(C$182*C$185*C$186*C$188&gt;0,STDEV(C$182, C$185, C$186, C$188)," ")/IF(C$182*C$185*C$186*C$188&gt;0,SQRT(COUNT(C$182, C$185, C$186, C$188))," "),"")</f>
        <v/>
      </c>
      <c r="AH291" s="303" t="str">
        <f aca="false">IFERROR(IF(D$182*D$185*D$186*D$188&gt;0,STDEV(D$182, D$185, D$186, D$188)," ")/IF(D$182*D$185*D$186*D$188&gt;0,SQRT(COUNT(D$182, D$185, D$186, D$188))," "),"")</f>
        <v/>
      </c>
      <c r="AI291" s="303" t="str">
        <f aca="false">IFERROR(IF(E$182*E$185*E$186*E$188&gt;0,STDEV(E$182, E$185, E$186, E$188)," ")/IF(E$182*E$185*E$186*E$188&gt;0,SQRT(COUNT(E$182, E$185, E$186, E$188))," "),"")</f>
        <v/>
      </c>
      <c r="AJ291" s="303" t="str">
        <f aca="false">IFERROR(IF(F$182*F$185*F$186*F$188&gt;0,STDEV(F$182, F$185, F$186, F$188)," ")/IF(F$182*F$185*F$186*F$188&gt;0,SQRT(COUNT(F$182, F$185, F$186, F$188))," "),"")</f>
        <v/>
      </c>
      <c r="AK291" s="303" t="str">
        <f aca="false">IFERROR(IF(G$182*G$185*G$186*G$188&gt;0,STDEV(G$182, G$185, G$186, G$188)," ")/IF(G$182*G$185*G$186*G$188&gt;0,SQRT(COUNT(G$182, G$185, G$186, G$188))," "),"")</f>
        <v/>
      </c>
      <c r="AL291" s="303" t="str">
        <f aca="false">IFERROR(IF(H$182*H$185*H$186*H$188&gt;0,STDEV(H$182, H$185, H$186, H$188)," ")/IF(H$182*H$185*H$186*H$188&gt;0,SQRT(COUNT(H$182, H$185, H$186, H$188))," "),"")</f>
        <v/>
      </c>
      <c r="AM291" s="303" t="str">
        <f aca="false">IFERROR(IF(I$182*I$185*I$186*I$188&gt;0,STDEV(I$182, I$185, I$186, I$188)," ")/IF(I$182*I$185*I$186*I$188&gt;0,SQRT(COUNT(I$182, I$185, I$186, I$188))," "),"")</f>
        <v/>
      </c>
      <c r="AN291" s="303" t="str">
        <f aca="false">IFERROR(IF(J$182*J$185*J$186*J$188&gt;0,STDEV(J$182, J$185, J$186, J$188)," ")/IF(J$182*J$185*J$186*J$188&gt;0,SQRT(COUNT(J$182, J$185, J$186, J$188))," "),"")</f>
        <v/>
      </c>
      <c r="AO291" s="303" t="str">
        <f aca="false">IFERROR(IF(K$182*K$185*K$186*K$188&gt;0,STDEV(K$182, K$185, K$186, K$188)," ")/IF(K$182*K$185*K$186*K$188&gt;0,SQRT(COUNT(K$182, K$185, K$186, K$188))," "),"")</f>
        <v/>
      </c>
      <c r="AP291" s="303" t="str">
        <f aca="false">IFERROR(IF(L$182*L$185*L$186*L$188&gt;0,STDEV(L$182, L$185, L$186, L$188)," ")/IF(L$182*L$185*L$186*L$188&gt;0,SQRT(COUNT(L$182, L$185, L$186, L$188))," "),"")</f>
        <v/>
      </c>
      <c r="AQ291" s="303" t="str">
        <f aca="false">IFERROR(IF(M$182*M$185*M$186*M$188&gt;0,STDEV(M$182, M$185, M$186, M$188)," ")/IF(M$182*M$185*M$186*M$188&gt;0,SQRT(COUNT(M$182, M$185, M$186, M$188))," "),"")</f>
        <v/>
      </c>
      <c r="AR291" s="303" t="str">
        <f aca="false">IFERROR(IF(N$182*N$185*N$186*N$188&gt;0,STDEV(N$182, N$185, N$186, N$188)," ")/IF(N$182*N$185*N$186*N$188&gt;0,SQRT(COUNT(N$182, N$185, N$186, N$188))," "),"")</f>
        <v/>
      </c>
    </row>
    <row r="292" customFormat="false" ht="15.75" hidden="false" customHeight="false" outlineLevel="0" collapsed="false">
      <c r="A292" s="242" t="s">
        <v>536</v>
      </c>
      <c r="B292" s="243"/>
      <c r="C292" s="262" t="str">
        <f aca="false">IFERROR(IF(C$182*C$183*C$186*C$188&gt;0,AVERAGE(C$182, C$183, C$186, C$188),""),"")</f>
        <v/>
      </c>
      <c r="D292" s="262" t="str">
        <f aca="false">IFERROR(IF(D$182*D$183*D$186*D$188&gt;0,AVERAGE(D$182, D$183, D$186, D$188),""),"")</f>
        <v/>
      </c>
      <c r="E292" s="262" t="str">
        <f aca="false">IFERROR(IF(E$182*E$183*E$186*E$188&gt;0,AVERAGE(E$182, E$183, E$186, E$188),""),"")</f>
        <v/>
      </c>
      <c r="F292" s="262" t="str">
        <f aca="false">IFERROR(IF(F$182*F$183*F$186*F$188&gt;0,AVERAGE(F$182, F$183, F$186, F$188),""),"")</f>
        <v/>
      </c>
      <c r="G292" s="262" t="str">
        <f aca="false">IFERROR(IF(G$182*G$183*G$186*G$188&gt;0,AVERAGE(G$182, G$183, G$186, G$188),""),"")</f>
        <v/>
      </c>
      <c r="H292" s="262" t="str">
        <f aca="false">IFERROR(IF(H$182*H$183*H$186*H$188&gt;0,AVERAGE(H$182, H$183, H$186, H$188),""),"")</f>
        <v/>
      </c>
      <c r="I292" s="262" t="str">
        <f aca="false">IFERROR(IF(I$182*I$183*I$186*I$188&gt;0,AVERAGE(I$182, I$183, I$186, I$188),""),"")</f>
        <v/>
      </c>
      <c r="J292" s="262" t="str">
        <f aca="false">IFERROR(IF(J$182*J$183*J$186*J$188&gt;0,AVERAGE(J$182, J$183, J$186, J$188),""),"")</f>
        <v/>
      </c>
      <c r="K292" s="262" t="str">
        <f aca="false">IFERROR(IF(K$182*K$183*K$186*K$188&gt;0,AVERAGE(K$182, K$183, K$186, K$188),""),"")</f>
        <v/>
      </c>
      <c r="L292" s="262" t="str">
        <f aca="false">IFERROR(IF(L$182*L$183*L$186*L$188&gt;0,AVERAGE(L$182, L$183, L$186, L$188),""),"")</f>
        <v/>
      </c>
      <c r="M292" s="262" t="str">
        <f aca="false">IFERROR(IF(M$182*M$183*M$186*M$188&gt;0,AVERAGE(M$182, M$183, M$186, M$188),""),"")</f>
        <v/>
      </c>
      <c r="N292" s="262" t="str">
        <f aca="false">IFERROR(IF(N$182*N$183*N$186*N$188&gt;0,AVERAGE(N$182, N$183, N$186, N$188),""),"")</f>
        <v/>
      </c>
      <c r="O292" s="263"/>
      <c r="P292" s="245"/>
      <c r="Q292" s="264"/>
      <c r="R292" s="247" t="s">
        <v>537</v>
      </c>
      <c r="S292" s="248" t="str">
        <f aca="false">IFERROR(IF(C$182*C$183*C$186*C$188&gt;0,STDEV(C$182, C$183, C$186, C$188),"")/IF(C$182*C$183*C$186*C$188&gt;0,AVERAGE(C$182, C$183, C$186, C$188),""),"")</f>
        <v/>
      </c>
      <c r="T292" s="248" t="str">
        <f aca="false">IFERROR(IF(D$182*D$183*D$186*D$188&gt;0,STDEV(D$182, D$183, D$186, D$188),"")/IF(D$182*D$183*D$186*D$188&gt;0,AVERAGE(D$182, D$183, D$186, D$188),""),"")</f>
        <v/>
      </c>
      <c r="U292" s="248" t="str">
        <f aca="false">IFERROR(IF(E$182*E$183*E$186*E$188&gt;0,STDEV(E$182, E$183, E$186, E$188),"")/IF(E$182*E$183*E$186*E$188&gt;0,AVERAGE(E$182, E$183, E$186, E$188),""),"")</f>
        <v/>
      </c>
      <c r="V292" s="248" t="str">
        <f aca="false">IFERROR(IF(F$182*F$183*F$186*F$188&gt;0,STDEV(F$182, F$183, F$186, F$188),"")/IF(F$182*F$183*F$186*F$188&gt;0,AVERAGE(F$182, F$183, F$186, F$188),""),"")</f>
        <v/>
      </c>
      <c r="W292" s="248" t="str">
        <f aca="false">IFERROR(IF(G$182*G$183*G$186*G$188&gt;0,STDEV(G$182, G$183, G$186, G$188),"")/IF(G$182*G$183*G$186*G$188&gt;0,AVERAGE(G$182, G$183, G$186, G$188),""),"")</f>
        <v/>
      </c>
      <c r="X292" s="248" t="str">
        <f aca="false">IFERROR(IF(H$182*H$183*H$186*H$188&gt;0,STDEV(H$182, H$183, H$186, H$188),"")/IF(H$182*H$183*H$186*H$188&gt;0,AVERAGE(H$182, H$183, H$186, H$188),""),"")</f>
        <v/>
      </c>
      <c r="Y292" s="248" t="str">
        <f aca="false">IFERROR(IF(I$182*I$183*I$186*I$188&gt;0,STDEV(I$182, I$183, I$186, I$188),"")/IF(I$182*I$183*I$186*I$188&gt;0,AVERAGE(I$182, I$183, I$186, I$188),""),"")</f>
        <v/>
      </c>
      <c r="Z292" s="248" t="str">
        <f aca="false">IFERROR(IF(J$182*J$183*J$186*J$188&gt;0,STDEV(J$182, J$183, J$186, J$188),"")/IF(J$182*J$183*J$186*J$188&gt;0,AVERAGE(J$182, J$183, J$186, J$188),""),"")</f>
        <v/>
      </c>
      <c r="AA292" s="248" t="str">
        <f aca="false">IFERROR(IF(K$182*K$183*K$186*K$188&gt;0,STDEV(K$182, K$183, K$186, K$188),"")/IF(K$182*K$183*K$186*K$188&gt;0,AVERAGE(K$182, K$183, K$186, K$188),""),"")</f>
        <v/>
      </c>
      <c r="AB292" s="248" t="str">
        <f aca="false">IFERROR(IF(L$182*L$183*L$186*L$188&gt;0,STDEV(L$182, L$183, L$186, L$188),"")/IF(L$182*L$183*L$186*L$188&gt;0,AVERAGE(L$182, L$183, L$186, L$188),""),"")</f>
        <v/>
      </c>
      <c r="AC292" s="248" t="str">
        <f aca="false">IFERROR(IF(M$182*M$183*M$186*M$188&gt;0,STDEV(M$182, M$183, M$186, M$188),"")/IF(M$182*M$183*M$186*M$188&gt;0,AVERAGE(M$182, M$183, M$186, M$188),""),"")</f>
        <v/>
      </c>
      <c r="AD292" s="248" t="str">
        <f aca="false">IFERROR(IF(N$182*N$183*N$186*N$188&gt;0,STDEV(N$182, N$183, N$186, N$188),"")/IF(N$182*N$183*N$186*N$188&gt;0,AVERAGE(N$182, N$183, N$186, N$188),""),"")</f>
        <v/>
      </c>
      <c r="AE292" s="300"/>
      <c r="AF292" s="250" t="s">
        <v>538</v>
      </c>
      <c r="AG292" s="272" t="str">
        <f aca="false">IFERROR(IF(C$182*C$183*C$186*C$188&gt;0,STDEV(C$182, C$183, C$186, C$188)," ")/IF(C$182*C$183*C$186*C$188&gt;0,SQRT(COUNT(C$182, C$183, C$186, C$188))," "),"")</f>
        <v/>
      </c>
      <c r="AH292" s="272" t="str">
        <f aca="false">IFERROR(IF(D$182*D$183*D$186*D$188&gt;0,STDEV(D$182, D$183, D$186, D$188)," ")/IF(D$182*D$183*D$186*D$188&gt;0,SQRT(COUNT(D$182, D$183, D$186, D$188))," "),"")</f>
        <v/>
      </c>
      <c r="AI292" s="272" t="str">
        <f aca="false">IFERROR(IF(E$182*E$183*E$186*E$188&gt;0,STDEV(E$182, E$183, E$186, E$188)," ")/IF(E$182*E$183*E$186*E$188&gt;0,SQRT(COUNT(E$182, E$183, E$186, E$188))," "),"")</f>
        <v/>
      </c>
      <c r="AJ292" s="272" t="str">
        <f aca="false">IFERROR(IF(F$182*F$183*F$186*F$188&gt;0,STDEV(F$182, F$183, F$186, F$188)," ")/IF(F$182*F$183*F$186*F$188&gt;0,SQRT(COUNT(F$182, F$183, F$186, F$188))," "),"")</f>
        <v/>
      </c>
      <c r="AK292" s="272" t="str">
        <f aca="false">IFERROR(IF(G$182*G$183*G$186*G$188&gt;0,STDEV(G$182, G$183, G$186, G$188)," ")/IF(G$182*G$183*G$186*G$188&gt;0,SQRT(COUNT(G$182, G$183, G$186, G$188))," "),"")</f>
        <v/>
      </c>
      <c r="AL292" s="272" t="str">
        <f aca="false">IFERROR(IF(H$182*H$183*H$186*H$188&gt;0,STDEV(H$182, H$183, H$186, H$188)," ")/IF(H$182*H$183*H$186*H$188&gt;0,SQRT(COUNT(H$182, H$183, H$186, H$188))," "),"")</f>
        <v/>
      </c>
      <c r="AM292" s="272" t="str">
        <f aca="false">IFERROR(IF(I$182*I$183*I$186*I$188&gt;0,STDEV(I$182, I$183, I$186, I$188)," ")/IF(I$182*I$183*I$186*I$188&gt;0,SQRT(COUNT(I$182, I$183, I$186, I$188))," "),"")</f>
        <v/>
      </c>
      <c r="AN292" s="272" t="str">
        <f aca="false">IFERROR(IF(J$182*J$183*J$186*J$188&gt;0,STDEV(J$182, J$183, J$186, J$188)," ")/IF(J$182*J$183*J$186*J$188&gt;0,SQRT(COUNT(J$182, J$183, J$186, J$188))," "),"")</f>
        <v/>
      </c>
      <c r="AO292" s="272" t="str">
        <f aca="false">IFERROR(IF(K$182*K$183*K$186*K$188&gt;0,STDEV(K$182, K$183, K$186, K$188)," ")/IF(K$182*K$183*K$186*K$188&gt;0,SQRT(COUNT(K$182, K$183, K$186, K$188))," "),"")</f>
        <v/>
      </c>
      <c r="AP292" s="272" t="str">
        <f aca="false">IFERROR(IF(L$182*L$183*L$186*L$188&gt;0,STDEV(L$182, L$183, L$186, L$188)," ")/IF(L$182*L$183*L$186*L$188&gt;0,SQRT(COUNT(L$182, L$183, L$186, L$188))," "),"")</f>
        <v/>
      </c>
      <c r="AQ292" s="272" t="str">
        <f aca="false">IFERROR(IF(M$182*M$183*M$186*M$188&gt;0,STDEV(M$182, M$183, M$186, M$188)," ")/IF(M$182*M$183*M$186*M$188&gt;0,SQRT(COUNT(M$182, M$183, M$186, M$188))," "),"")</f>
        <v/>
      </c>
      <c r="AR292" s="272" t="str">
        <f aca="false">IFERROR(IF(N$182*N$183*N$186*N$188&gt;0,STDEV(N$182, N$183, N$186, N$188)," ")/IF(N$182*N$183*N$186*N$188&gt;0,SQRT(COUNT(N$182, N$183, N$186, N$188))," "),"")</f>
        <v/>
      </c>
    </row>
    <row r="293" customFormat="false" ht="15.75" hidden="false" customHeight="false" outlineLevel="0" collapsed="false">
      <c r="A293" s="290" t="s">
        <v>539</v>
      </c>
      <c r="B293" s="281"/>
      <c r="C293" s="302" t="str">
        <f aca="false">IFERROR(IF(C$182*C$183*C$184*C$185*C186&gt;0,AVERAGE(C$182:C$185,C186),""),"")</f>
        <v/>
      </c>
      <c r="D293" s="302" t="str">
        <f aca="false">IFERROR(IF(D$182*D$183*D$184*D$185*D186&gt;0,AVERAGE(D$182:D$185,D186),""),"")</f>
        <v/>
      </c>
      <c r="E293" s="302" t="str">
        <f aca="false">IFERROR(IF(E$182*E$183*E$184*E$185*E186&gt;0,AVERAGE(E$182:E$185,E186),""),"")</f>
        <v/>
      </c>
      <c r="F293" s="302" t="str">
        <f aca="false">IFERROR(IF(F$182*F$183*F$184*F$185*F186&gt;0,AVERAGE(F$182:F$185,F186),""),"")</f>
        <v/>
      </c>
      <c r="G293" s="302" t="str">
        <f aca="false">IFERROR(IF(G$182*G$183*G$184*G$185*G186&gt;0,AVERAGE(G$182:G$185,G186),""),"")</f>
        <v/>
      </c>
      <c r="H293" s="302" t="str">
        <f aca="false">IFERROR(IF(H$182*H$183*H$184*H$185*H186&gt;0,AVERAGE(H$182:H$185,H186),""),"")</f>
        <v/>
      </c>
      <c r="I293" s="302" t="str">
        <f aca="false">IFERROR(IF(I$182*I$183*I$184*I$185*I186&gt;0,AVERAGE(I$182:I$185,I186),""),"")</f>
        <v/>
      </c>
      <c r="J293" s="302" t="str">
        <f aca="false">IFERROR(IF(J$182*J$183*J$184*J$185*J186&gt;0,AVERAGE(J$182:J$185,J186),""),"")</f>
        <v/>
      </c>
      <c r="K293" s="302" t="str">
        <f aca="false">IFERROR(IF(K$182*K$183*K$184*K$185*K186&gt;0,AVERAGE(K$182:K$185,K186),""),"")</f>
        <v/>
      </c>
      <c r="L293" s="302" t="str">
        <f aca="false">IFERROR(IF(L$182*L$183*L$184*L$185*L186&gt;0,AVERAGE(L$182:L$185,L186),""),"")</f>
        <v/>
      </c>
      <c r="M293" s="302" t="str">
        <f aca="false">IFERROR(IF(M$182*M$183*M$184*M$185*M186&gt;0,AVERAGE(M$182:M$185,M186),""),"")</f>
        <v/>
      </c>
      <c r="N293" s="302" t="str">
        <f aca="false">IFERROR(IF(N$182*N$183*N$184*N$185*N186&gt;0,AVERAGE(N$182:N$185,N186),""),"")</f>
        <v/>
      </c>
      <c r="O293" s="147" t="n">
        <v>5</v>
      </c>
      <c r="P293" s="282" t="n">
        <f aca="false">COMBIN(7,5)</f>
        <v>21</v>
      </c>
      <c r="Q293" s="283" t="n">
        <f aca="false">ROW(N313)-ROW(N293)+1</f>
        <v>21</v>
      </c>
      <c r="R293" s="293" t="s">
        <v>540</v>
      </c>
      <c r="S293" s="294" t="str">
        <f aca="false">IFERROR(IF(C$182*C$183*C$184*C$185*C186&gt;0,STDEV(C$182:C$185,C186),"")/IF(C$182*C$183*C$184*C$185*C186&gt;0,AVERAGE(C$182:C$185,C186),""),"")</f>
        <v/>
      </c>
      <c r="T293" s="294" t="str">
        <f aca="false">IFERROR(IF(D$182*D$183*D$184*D$185*D186&gt;0,STDEV(D$182:D$185,D186),"")/IF(D$182*D$183*D$184*D$185*D186&gt;0,AVERAGE(D$182:D$185,D186),""),"")</f>
        <v/>
      </c>
      <c r="U293" s="294" t="str">
        <f aca="false">IFERROR(IF(E$182*E$183*E$184*E$185*E186&gt;0,STDEV(E$182:E$185,E186),"")/IF(E$182*E$183*E$184*E$185*E186&gt;0,AVERAGE(E$182:E$185,E186),""),"")</f>
        <v/>
      </c>
      <c r="V293" s="294" t="str">
        <f aca="false">IFERROR(IF(F$182*F$183*F$184*F$185*F186&gt;0,STDEV(F$182:F$185,F186),"")/IF(F$182*F$183*F$184*F$185*F186&gt;0,AVERAGE(F$182:F$185,F186),""),"")</f>
        <v/>
      </c>
      <c r="W293" s="294" t="str">
        <f aca="false">IFERROR(IF(G$182*G$183*G$184*G$185*G186&gt;0,STDEV(G$182:G$185,G186),"")/IF(G$182*G$183*G$184*G$185*G186&gt;0,AVERAGE(G$182:G$185,G186),""),"")</f>
        <v/>
      </c>
      <c r="X293" s="294" t="str">
        <f aca="false">IFERROR(IF(H$182*H$183*H$184*H$185*H186&gt;0,STDEV(H$182:H$185,H186),"")/IF(H$182*H$183*H$184*H$185*H186&gt;0,AVERAGE(H$182:H$185,H186),""),"")</f>
        <v/>
      </c>
      <c r="Y293" s="294" t="str">
        <f aca="false">IFERROR(IF(I$182*I$183*I$184*I$185*I186&gt;0,STDEV(I$182:I$185,I186),"")/IF(I$182*I$183*I$184*I$185*I186&gt;0,AVERAGE(I$182:I$185,I186),""),"")</f>
        <v/>
      </c>
      <c r="Z293" s="294" t="str">
        <f aca="false">IFERROR(IF(J$182*J$183*J$184*J$185*J186&gt;0,STDEV(J$182:J$185,J186),"")/IF(J$182*J$183*J$184*J$185*J186&gt;0,AVERAGE(J$182:J$185,J186),""),"")</f>
        <v/>
      </c>
      <c r="AA293" s="294" t="str">
        <f aca="false">IFERROR(IF(K$182*K$183*K$184*K$185*K186&gt;0,STDEV(K$182:K$185,K186),"")/IF(K$182*K$183*K$184*K$185*K186&gt;0,AVERAGE(K$182:K$185,K186),""),"")</f>
        <v/>
      </c>
      <c r="AB293" s="294" t="str">
        <f aca="false">IFERROR(IF(L$182*L$183*L$184*L$185*L186&gt;0,STDEV(L$182:L$185,L186),"")/IF(L$182*L$183*L$184*L$185*L186&gt;0,AVERAGE(L$182:L$185,L186),""),"")</f>
        <v/>
      </c>
      <c r="AC293" s="294" t="str">
        <f aca="false">IFERROR(IF(M$182*M$183*M$184*M$185*M186&gt;0,STDEV(M$182:M$185,M186),"")/IF(M$182*M$183*M$184*M$185*M186&gt;0,AVERAGE(M$182:M$185,M186),""),"")</f>
        <v/>
      </c>
      <c r="AD293" s="294" t="str">
        <f aca="false">IFERROR(IF(N$182*N$183*N$184*N$185*N186&gt;0,STDEV(N$182:N$185,N186),"")/IF(N$182*N$183*N$184*N$185*N186&gt;0,AVERAGE(N$182:N$185,N186),""),"")</f>
        <v/>
      </c>
      <c r="AE293" s="44"/>
      <c r="AF293" s="266" t="s">
        <v>541</v>
      </c>
      <c r="AG293" s="303" t="str">
        <f aca="false">IFERROR(IF(C$182*C$183*C$184*C$185*C186&gt;0,STDEV(C$182:C$185,C186)," ")/IF(C$182*C$183*C$184*C$185*C186&gt;0,SQRT(COUNT(C$182:C$185,C186))," "),"")</f>
        <v/>
      </c>
      <c r="AH293" s="303" t="str">
        <f aca="false">IFERROR(IF(D$182*D$183*D$184*D$185*D186&gt;0,STDEV(D$182:D$185,D186)," ")/IF(D$182*D$183*D$184*D$185*D186&gt;0,SQRT(COUNT(D$182:D$185,D186))," "),"")</f>
        <v/>
      </c>
      <c r="AI293" s="303" t="str">
        <f aca="false">IFERROR(IF(E$182*E$183*E$184*E$185*E186&gt;0,STDEV(E$182:E$185,E186)," ")/IF(E$182*E$183*E$184*E$185*E186&gt;0,SQRT(COUNT(E$182:E$185,E186))," "),"")</f>
        <v/>
      </c>
      <c r="AJ293" s="303" t="str">
        <f aca="false">IFERROR(IF(F$182*F$183*F$184*F$185*F186&gt;0,STDEV(F$182:F$185,F186)," ")/IF(F$182*F$183*F$184*F$185*F186&gt;0,SQRT(COUNT(F$182:F$185,F186))," "),"")</f>
        <v/>
      </c>
      <c r="AK293" s="303" t="str">
        <f aca="false">IFERROR(IF(G$182*G$183*G$184*G$185*G186&gt;0,STDEV(G$182:G$185,G186)," ")/IF(G$182*G$183*G$184*G$185*G186&gt;0,SQRT(COUNT(G$182:G$185,G186))," "),"")</f>
        <v/>
      </c>
      <c r="AL293" s="303" t="str">
        <f aca="false">IFERROR(IF(H$182*H$183*H$184*H$185*H186&gt;0,STDEV(H$182:H$185,H186)," ")/IF(H$182*H$183*H$184*H$185*H186&gt;0,SQRT(COUNT(H$182:H$185,H186))," "),"")</f>
        <v/>
      </c>
      <c r="AM293" s="303" t="str">
        <f aca="false">IFERROR(IF(I$182*I$183*I$184*I$185*I186&gt;0,STDEV(I$182:I$185,I186)," ")/IF(I$182*I$183*I$184*I$185*I186&gt;0,SQRT(COUNT(I$182:I$185,I186))," "),"")</f>
        <v/>
      </c>
      <c r="AN293" s="303" t="str">
        <f aca="false">IFERROR(IF(J$182*J$183*J$184*J$185*J186&gt;0,STDEV(J$182:J$185,J186)," ")/IF(J$182*J$183*J$184*J$185*J186&gt;0,SQRT(COUNT(J$182:J$185,J186))," "),"")</f>
        <v/>
      </c>
      <c r="AO293" s="303" t="str">
        <f aca="false">IFERROR(IF(K$182*K$183*K$184*K$185*K186&gt;0,STDEV(K$182:K$185,K186)," ")/IF(K$182*K$183*K$184*K$185*K186&gt;0,SQRT(COUNT(K$182:K$185,K186))," "),"")</f>
        <v/>
      </c>
      <c r="AP293" s="303" t="str">
        <f aca="false">IFERROR(IF(L$182*L$183*L$184*L$185*L186&gt;0,STDEV(L$182:L$185,L186)," ")/IF(L$182*L$183*L$184*L$185*L186&gt;0,SQRT(COUNT(L$182:L$185,L186))," "),"")</f>
        <v/>
      </c>
      <c r="AQ293" s="303" t="str">
        <f aca="false">IFERROR(IF(M$182*M$183*M$184*M$185*M186&gt;0,STDEV(M$182:M$185,M186)," ")/IF(M$182*M$183*M$184*M$185*M186&gt;0,SQRT(COUNT(M$182:M$185,M186))," "),"")</f>
        <v/>
      </c>
      <c r="AR293" s="303" t="str">
        <f aca="false">IFERROR(IF(N$182*N$183*N$184*N$185*N186&gt;0,STDEV(N$182:N$185,N186)," ")/IF(N$182*N$183*N$184*N$185*N186&gt;0,SQRT(COUNT(N$182:N$185,N186))," "),"")</f>
        <v/>
      </c>
    </row>
    <row r="294" customFormat="false" ht="15.75" hidden="false" customHeight="false" outlineLevel="0" collapsed="false">
      <c r="A294" s="290" t="s">
        <v>542</v>
      </c>
      <c r="B294" s="281"/>
      <c r="C294" s="302" t="str">
        <f aca="false">IFERROR(IF(C$182*C$183*C$184*C$185*C187&gt;0,AVERAGE(C$182:C$185,C187),""),"")</f>
        <v/>
      </c>
      <c r="D294" s="302" t="str">
        <f aca="false">IFERROR(IF(D$182*D$183*D$184*D$185*D187&gt;0,AVERAGE(D$182:D$185,D187),""),"")</f>
        <v/>
      </c>
      <c r="E294" s="302" t="str">
        <f aca="false">IFERROR(IF(E$182*E$183*E$184*E$185*E187&gt;0,AVERAGE(E$182:E$185,E187),""),"")</f>
        <v/>
      </c>
      <c r="F294" s="302" t="str">
        <f aca="false">IFERROR(IF(F$182*F$183*F$184*F$185*F187&gt;0,AVERAGE(F$182:F$185,F187),""),"")</f>
        <v/>
      </c>
      <c r="G294" s="302" t="str">
        <f aca="false">IFERROR(IF(G$182*G$183*G$184*G$185*G187&gt;0,AVERAGE(G$182:G$185,G187),""),"")</f>
        <v/>
      </c>
      <c r="H294" s="302" t="str">
        <f aca="false">IFERROR(IF(H$182*H$183*H$184*H$185*H187&gt;0,AVERAGE(H$182:H$185,H187),""),"")</f>
        <v/>
      </c>
      <c r="I294" s="302" t="str">
        <f aca="false">IFERROR(IF(I$182*I$183*I$184*I$185*I187&gt;0,AVERAGE(I$182:I$185,I187),""),"")</f>
        <v/>
      </c>
      <c r="J294" s="302" t="str">
        <f aca="false">IFERROR(IF(J$182*J$183*J$184*J$185*J187&gt;0,AVERAGE(J$182:J$185,J187),""),"")</f>
        <v/>
      </c>
      <c r="K294" s="302" t="str">
        <f aca="false">IFERROR(IF(K$182*K$183*K$184*K$185*K187&gt;0,AVERAGE(K$182:K$185,K187),""),"")</f>
        <v/>
      </c>
      <c r="L294" s="302" t="str">
        <f aca="false">IFERROR(IF(L$182*L$183*L$184*L$185*L187&gt;0,AVERAGE(L$182:L$185,L187),""),"")</f>
        <v/>
      </c>
      <c r="M294" s="302" t="str">
        <f aca="false">IFERROR(IF(M$182*M$183*M$184*M$185*M187&gt;0,AVERAGE(M$182:M$185,M187),""),"")</f>
        <v/>
      </c>
      <c r="N294" s="302" t="str">
        <f aca="false">IFERROR(IF(N$182*N$183*N$184*N$185*N187&gt;0,AVERAGE(N$182:N$185,N187),""),"")</f>
        <v/>
      </c>
      <c r="O294" s="282"/>
      <c r="P294" s="282"/>
      <c r="Q294" s="296"/>
      <c r="R294" s="293" t="s">
        <v>543</v>
      </c>
      <c r="S294" s="294" t="str">
        <f aca="false">IFERROR(IF(C$182*C$183*C$184*C$185*C187&gt;0,STDEV(C$182:C$185,C187),"")/IF(C$182*C$183*C$184*C$185*C187&gt;0,AVERAGE(C$182:C$185,C187),""),"")</f>
        <v/>
      </c>
      <c r="T294" s="294" t="str">
        <f aca="false">IFERROR(IF(D$182*D$183*D$184*D$185*D187&gt;0,STDEV(D$182:D$185,D187),"")/IF(D$182*D$183*D$184*D$185*D187&gt;0,AVERAGE(D$182:D$185,D187),""),"")</f>
        <v/>
      </c>
      <c r="U294" s="294" t="str">
        <f aca="false">IFERROR(IF(E$182*E$183*E$184*E$185*E187&gt;0,STDEV(E$182:E$185,E187),"")/IF(E$182*E$183*E$184*E$185*E187&gt;0,AVERAGE(E$182:E$185,E187),""),"")</f>
        <v/>
      </c>
      <c r="V294" s="294" t="str">
        <f aca="false">IFERROR(IF(F$182*F$183*F$184*F$185*F187&gt;0,STDEV(F$182:F$185,F187),"")/IF(F$182*F$183*F$184*F$185*F187&gt;0,AVERAGE(F$182:F$185,F187),""),"")</f>
        <v/>
      </c>
      <c r="W294" s="294" t="str">
        <f aca="false">IFERROR(IF(G$182*G$183*G$184*G$185*G187&gt;0,STDEV(G$182:G$185,G187),"")/IF(G$182*G$183*G$184*G$185*G187&gt;0,AVERAGE(G$182:G$185,G187),""),"")</f>
        <v/>
      </c>
      <c r="X294" s="294" t="str">
        <f aca="false">IFERROR(IF(H$182*H$183*H$184*H$185*H187&gt;0,STDEV(H$182:H$185,H187),"")/IF(H$182*H$183*H$184*H$185*H187&gt;0,AVERAGE(H$182:H$185,H187),""),"")</f>
        <v/>
      </c>
      <c r="Y294" s="294" t="str">
        <f aca="false">IFERROR(IF(I$182*I$183*I$184*I$185*I187&gt;0,STDEV(I$182:I$185,I187),"")/IF(I$182*I$183*I$184*I$185*I187&gt;0,AVERAGE(I$182:I$185,I187),""),"")</f>
        <v/>
      </c>
      <c r="Z294" s="294" t="str">
        <f aca="false">IFERROR(IF(J$182*J$183*J$184*J$185*J187&gt;0,STDEV(J$182:J$185,J187),"")/IF(J$182*J$183*J$184*J$185*J187&gt;0,AVERAGE(J$182:J$185,J187),""),"")</f>
        <v/>
      </c>
      <c r="AA294" s="294" t="str">
        <f aca="false">IFERROR(IF(K$182*K$183*K$184*K$185*K187&gt;0,STDEV(K$182:K$185,K187),"")/IF(K$182*K$183*K$184*K$185*K187&gt;0,AVERAGE(K$182:K$185,K187),""),"")</f>
        <v/>
      </c>
      <c r="AB294" s="294" t="str">
        <f aca="false">IFERROR(IF(L$182*L$183*L$184*L$185*L187&gt;0,STDEV(L$182:L$185,L187),"")/IF(L$182*L$183*L$184*L$185*L187&gt;0,AVERAGE(L$182:L$185,L187),""),"")</f>
        <v/>
      </c>
      <c r="AC294" s="294" t="str">
        <f aca="false">IFERROR(IF(M$182*M$183*M$184*M$185*M187&gt;0,STDEV(M$182:M$185,M187),"")/IF(M$182*M$183*M$184*M$185*M187&gt;0,AVERAGE(M$182:M$185,M187),""),"")</f>
        <v/>
      </c>
      <c r="AD294" s="294" t="str">
        <f aca="false">IFERROR(IF(N$182*N$183*N$184*N$185*N187&gt;0,STDEV(N$182:N$185,N187),"")/IF(N$182*N$183*N$184*N$185*N187&gt;0,AVERAGE(N$182:N$185,N187),""),"")</f>
        <v/>
      </c>
      <c r="AE294" s="44"/>
      <c r="AF294" s="266" t="s">
        <v>544</v>
      </c>
      <c r="AG294" s="303" t="str">
        <f aca="false">IFERROR(IF(C$182*C$183*C$184*C$185*C187&gt;0,STDEV(C$182:C$185,C187)," ")/IF(C$182*C$183*C$184*C$185*C187&gt;0,SQRT(COUNT(C$182:C$185,C187))," "),"")</f>
        <v/>
      </c>
      <c r="AH294" s="303" t="str">
        <f aca="false">IFERROR(IF(D$182*D$183*D$184*D$185*D187&gt;0,STDEV(D$182:D$185,D187)," ")/IF(D$182*D$183*D$184*D$185*D187&gt;0,SQRT(COUNT(D$182:D$185,D187))," "),"")</f>
        <v/>
      </c>
      <c r="AI294" s="303" t="str">
        <f aca="false">IFERROR(IF(E$182*E$183*E$184*E$185*E187&gt;0,STDEV(E$182:E$185,E187)," ")/IF(E$182*E$183*E$184*E$185*E187&gt;0,SQRT(COUNT(E$182:E$185,E187))," "),"")</f>
        <v/>
      </c>
      <c r="AJ294" s="303" t="str">
        <f aca="false">IFERROR(IF(F$182*F$183*F$184*F$185*F187&gt;0,STDEV(F$182:F$185,F187)," ")/IF(F$182*F$183*F$184*F$185*F187&gt;0,SQRT(COUNT(F$182:F$185,F187))," "),"")</f>
        <v/>
      </c>
      <c r="AK294" s="303" t="str">
        <f aca="false">IFERROR(IF(G$182*G$183*G$184*G$185*G187&gt;0,STDEV(G$182:G$185,G187)," ")/IF(G$182*G$183*G$184*G$185*G187&gt;0,SQRT(COUNT(G$182:G$185,G187))," "),"")</f>
        <v/>
      </c>
      <c r="AL294" s="303" t="str">
        <f aca="false">IFERROR(IF(H$182*H$183*H$184*H$185*H187&gt;0,STDEV(H$182:H$185,H187)," ")/IF(H$182*H$183*H$184*H$185*H187&gt;0,SQRT(COUNT(H$182:H$185,H187))," "),"")</f>
        <v/>
      </c>
      <c r="AM294" s="303" t="str">
        <f aca="false">IFERROR(IF(I$182*I$183*I$184*I$185*I187&gt;0,STDEV(I$182:I$185,I187)," ")/IF(I$182*I$183*I$184*I$185*I187&gt;0,SQRT(COUNT(I$182:I$185,I187))," "),"")</f>
        <v/>
      </c>
      <c r="AN294" s="303" t="str">
        <f aca="false">IFERROR(IF(J$182*J$183*J$184*J$185*J187&gt;0,STDEV(J$182:J$185,J187)," ")/IF(J$182*J$183*J$184*J$185*J187&gt;0,SQRT(COUNT(J$182:J$185,J187))," "),"")</f>
        <v/>
      </c>
      <c r="AO294" s="303" t="str">
        <f aca="false">IFERROR(IF(K$182*K$183*K$184*K$185*K187&gt;0,STDEV(K$182:K$185,K187)," ")/IF(K$182*K$183*K$184*K$185*K187&gt;0,SQRT(COUNT(K$182:K$185,K187))," "),"")</f>
        <v/>
      </c>
      <c r="AP294" s="303" t="str">
        <f aca="false">IFERROR(IF(L$182*L$183*L$184*L$185*L187&gt;0,STDEV(L$182:L$185,L187)," ")/IF(L$182*L$183*L$184*L$185*L187&gt;0,SQRT(COUNT(L$182:L$185,L187))," "),"")</f>
        <v/>
      </c>
      <c r="AQ294" s="303" t="str">
        <f aca="false">IFERROR(IF(M$182*M$183*M$184*M$185*M187&gt;0,STDEV(M$182:M$185,M187)," ")/IF(M$182*M$183*M$184*M$185*M187&gt;0,SQRT(COUNT(M$182:M$185,M187))," "),"")</f>
        <v/>
      </c>
      <c r="AR294" s="303" t="str">
        <f aca="false">IFERROR(IF(N$182*N$183*N$184*N$185*N187&gt;0,STDEV(N$182:N$185,N187)," ")/IF(N$182*N$183*N$184*N$185*N187&gt;0,SQRT(COUNT(N$182:N$185,N187))," "),"")</f>
        <v/>
      </c>
    </row>
    <row r="295" customFormat="false" ht="15.75" hidden="false" customHeight="false" outlineLevel="0" collapsed="false">
      <c r="A295" s="290" t="s">
        <v>545</v>
      </c>
      <c r="B295" s="281"/>
      <c r="C295" s="302" t="str">
        <f aca="false">IFERROR(IF(C$182*C$183*C$184*C$185*C188&gt;0,AVERAGE(C$182:C$185,C188),""),"")</f>
        <v/>
      </c>
      <c r="D295" s="302" t="str">
        <f aca="false">IFERROR(IF(D$182*D$183*D$184*D$185*D188&gt;0,AVERAGE(D$182:D$185,D188),""),"")</f>
        <v/>
      </c>
      <c r="E295" s="302" t="str">
        <f aca="false">IFERROR(IF(E$182*E$183*E$184*E$185*E188&gt;0,AVERAGE(E$182:E$185,E188),""),"")</f>
        <v/>
      </c>
      <c r="F295" s="302" t="str">
        <f aca="false">IFERROR(IF(F$182*F$183*F$184*F$185*F188&gt;0,AVERAGE(F$182:F$185,F188),""),"")</f>
        <v/>
      </c>
      <c r="G295" s="302" t="str">
        <f aca="false">IFERROR(IF(G$182*G$183*G$184*G$185*G188&gt;0,AVERAGE(G$182:G$185,G188),""),"")</f>
        <v/>
      </c>
      <c r="H295" s="302" t="str">
        <f aca="false">IFERROR(IF(H$182*H$183*H$184*H$185*H188&gt;0,AVERAGE(H$182:H$185,H188),""),"")</f>
        <v/>
      </c>
      <c r="I295" s="302" t="str">
        <f aca="false">IFERROR(IF(I$182*I$183*I$184*I$185*I188&gt;0,AVERAGE(I$182:I$185,I188),""),"")</f>
        <v/>
      </c>
      <c r="J295" s="302" t="str">
        <f aca="false">IFERROR(IF(J$182*J$183*J$184*J$185*J188&gt;0,AVERAGE(J$182:J$185,J188),""),"")</f>
        <v/>
      </c>
      <c r="K295" s="302" t="str">
        <f aca="false">IFERROR(IF(K$182*K$183*K$184*K$185*K188&gt;0,AVERAGE(K$182:K$185,K188),""),"")</f>
        <v/>
      </c>
      <c r="L295" s="302" t="str">
        <f aca="false">IFERROR(IF(L$182*L$183*L$184*L$185*L188&gt;0,AVERAGE(L$182:L$185,L188),""),"")</f>
        <v/>
      </c>
      <c r="M295" s="302" t="str">
        <f aca="false">IFERROR(IF(M$182*M$183*M$184*M$185*M188&gt;0,AVERAGE(M$182:M$185,M188),""),"")</f>
        <v/>
      </c>
      <c r="N295" s="302" t="str">
        <f aca="false">IFERROR(IF(N$182*N$183*N$184*N$185*N188&gt;0,AVERAGE(N$182:N$185,N188),""),"")</f>
        <v/>
      </c>
      <c r="O295" s="282"/>
      <c r="P295" s="282"/>
      <c r="Q295" s="296"/>
      <c r="R295" s="293" t="s">
        <v>546</v>
      </c>
      <c r="S295" s="294" t="str">
        <f aca="false">IFERROR(IF(C$182*C$183*C$184*C$185*C188&gt;0,STDEV(C$182:C$185,C188),"")/IF(C$182*C$183*C$184*C$185*C188&gt;0,AVERAGE(C$182:C$185,C188),""),"")</f>
        <v/>
      </c>
      <c r="T295" s="294" t="str">
        <f aca="false">IFERROR(IF(D$182*D$183*D$184*D$185*D188&gt;0,STDEV(D$182:D$185,D188),"")/IF(D$182*D$183*D$184*D$185*D188&gt;0,AVERAGE(D$182:D$185,D188),""),"")</f>
        <v/>
      </c>
      <c r="U295" s="294" t="str">
        <f aca="false">IFERROR(IF(E$182*E$183*E$184*E$185*E188&gt;0,STDEV(E$182:E$185,E188),"")/IF(E$182*E$183*E$184*E$185*E188&gt;0,AVERAGE(E$182:E$185,E188),""),"")</f>
        <v/>
      </c>
      <c r="V295" s="294" t="str">
        <f aca="false">IFERROR(IF(F$182*F$183*F$184*F$185*F188&gt;0,STDEV(F$182:F$185,F188),"")/IF(F$182*F$183*F$184*F$185*F188&gt;0,AVERAGE(F$182:F$185,F188),""),"")</f>
        <v/>
      </c>
      <c r="W295" s="294" t="str">
        <f aca="false">IFERROR(IF(G$182*G$183*G$184*G$185*G188&gt;0,STDEV(G$182:G$185,G188),"")/IF(G$182*G$183*G$184*G$185*G188&gt;0,AVERAGE(G$182:G$185,G188),""),"")</f>
        <v/>
      </c>
      <c r="X295" s="294" t="str">
        <f aca="false">IFERROR(IF(H$182*H$183*H$184*H$185*H188&gt;0,STDEV(H$182:H$185,H188),"")/IF(H$182*H$183*H$184*H$185*H188&gt;0,AVERAGE(H$182:H$185,H188),""),"")</f>
        <v/>
      </c>
      <c r="Y295" s="294" t="str">
        <f aca="false">IFERROR(IF(I$182*I$183*I$184*I$185*I188&gt;0,STDEV(I$182:I$185,I188),"")/IF(I$182*I$183*I$184*I$185*I188&gt;0,AVERAGE(I$182:I$185,I188),""),"")</f>
        <v/>
      </c>
      <c r="Z295" s="294" t="str">
        <f aca="false">IFERROR(IF(J$182*J$183*J$184*J$185*J188&gt;0,STDEV(J$182:J$185,J188),"")/IF(J$182*J$183*J$184*J$185*J188&gt;0,AVERAGE(J$182:J$185,J188),""),"")</f>
        <v/>
      </c>
      <c r="AA295" s="294" t="str">
        <f aca="false">IFERROR(IF(K$182*K$183*K$184*K$185*K188&gt;0,STDEV(K$182:K$185,K188),"")/IF(K$182*K$183*K$184*K$185*K188&gt;0,AVERAGE(K$182:K$185,K188),""),"")</f>
        <v/>
      </c>
      <c r="AB295" s="294" t="str">
        <f aca="false">IFERROR(IF(L$182*L$183*L$184*L$185*L188&gt;0,STDEV(L$182:L$185,L188),"")/IF(L$182*L$183*L$184*L$185*L188&gt;0,AVERAGE(L$182:L$185,L188),""),"")</f>
        <v/>
      </c>
      <c r="AC295" s="294" t="str">
        <f aca="false">IFERROR(IF(M$182*M$183*M$184*M$185*M188&gt;0,STDEV(M$182:M$185,M188),"")/IF(M$182*M$183*M$184*M$185*M188&gt;0,AVERAGE(M$182:M$185,M188),""),"")</f>
        <v/>
      </c>
      <c r="AD295" s="294" t="str">
        <f aca="false">IFERROR(IF(N$182*N$183*N$184*N$185*N188&gt;0,STDEV(N$182:N$185,N188),"")/IF(N$182*N$183*N$184*N$185*N188&gt;0,AVERAGE(N$182:N$185,N188),""),"")</f>
        <v/>
      </c>
      <c r="AE295" s="44"/>
      <c r="AF295" s="266" t="s">
        <v>547</v>
      </c>
      <c r="AG295" s="303" t="str">
        <f aca="false">IFERROR(IF(C$182*C$183*C$184*C$185*C188&gt;0,STDEV(C$182:C$185,C188)," ")/IF(C$182*C$183*C$184*C$185*C188&gt;0,SQRT(COUNT(C$182:C$185,C188))," "),"")</f>
        <v/>
      </c>
      <c r="AH295" s="303" t="str">
        <f aca="false">IFERROR(IF(D$182*D$183*D$184*D$185*D188&gt;0,STDEV(D$182:D$185,D188)," ")/IF(D$182*D$183*D$184*D$185*D188&gt;0,SQRT(COUNT(D$182:D$185,D188))," "),"")</f>
        <v/>
      </c>
      <c r="AI295" s="303" t="str">
        <f aca="false">IFERROR(IF(E$182*E$183*E$184*E$185*E188&gt;0,STDEV(E$182:E$185,E188)," ")/IF(E$182*E$183*E$184*E$185*E188&gt;0,SQRT(COUNT(E$182:E$185,E188))," "),"")</f>
        <v/>
      </c>
      <c r="AJ295" s="303" t="str">
        <f aca="false">IFERROR(IF(F$182*F$183*F$184*F$185*F188&gt;0,STDEV(F$182:F$185,F188)," ")/IF(F$182*F$183*F$184*F$185*F188&gt;0,SQRT(COUNT(F$182:F$185,F188))," "),"")</f>
        <v/>
      </c>
      <c r="AK295" s="303" t="str">
        <f aca="false">IFERROR(IF(G$182*G$183*G$184*G$185*G188&gt;0,STDEV(G$182:G$185,G188)," ")/IF(G$182*G$183*G$184*G$185*G188&gt;0,SQRT(COUNT(G$182:G$185,G188))," "),"")</f>
        <v/>
      </c>
      <c r="AL295" s="303" t="str">
        <f aca="false">IFERROR(IF(H$182*H$183*H$184*H$185*H188&gt;0,STDEV(H$182:H$185,H188)," ")/IF(H$182*H$183*H$184*H$185*H188&gt;0,SQRT(COUNT(H$182:H$185,H188))," "),"")</f>
        <v/>
      </c>
      <c r="AM295" s="303" t="str">
        <f aca="false">IFERROR(IF(I$182*I$183*I$184*I$185*I188&gt;0,STDEV(I$182:I$185,I188)," ")/IF(I$182*I$183*I$184*I$185*I188&gt;0,SQRT(COUNT(I$182:I$185,I188))," "),"")</f>
        <v/>
      </c>
      <c r="AN295" s="303" t="str">
        <f aca="false">IFERROR(IF(J$182*J$183*J$184*J$185*J188&gt;0,STDEV(J$182:J$185,J188)," ")/IF(J$182*J$183*J$184*J$185*J188&gt;0,SQRT(COUNT(J$182:J$185,J188))," "),"")</f>
        <v/>
      </c>
      <c r="AO295" s="303" t="str">
        <f aca="false">IFERROR(IF(K$182*K$183*K$184*K$185*K188&gt;0,STDEV(K$182:K$185,K188)," ")/IF(K$182*K$183*K$184*K$185*K188&gt;0,SQRT(COUNT(K$182:K$185,K188))," "),"")</f>
        <v/>
      </c>
      <c r="AP295" s="303" t="str">
        <f aca="false">IFERROR(IF(L$182*L$183*L$184*L$185*L188&gt;0,STDEV(L$182:L$185,L188)," ")/IF(L$182*L$183*L$184*L$185*L188&gt;0,SQRT(COUNT(L$182:L$185,L188))," "),"")</f>
        <v/>
      </c>
      <c r="AQ295" s="303" t="str">
        <f aca="false">IFERROR(IF(M$182*M$183*M$184*M$185*M188&gt;0,STDEV(M$182:M$185,M188)," ")/IF(M$182*M$183*M$184*M$185*M188&gt;0,SQRT(COUNT(M$182:M$185,M188))," "),"")</f>
        <v/>
      </c>
      <c r="AR295" s="303" t="str">
        <f aca="false">IFERROR(IF(N$182*N$183*N$184*N$185*N188&gt;0,STDEV(N$182:N$185,N188)," ")/IF(N$182*N$183*N$184*N$185*N188&gt;0,SQRT(COUNT(N$182:N$185,N188))," "),"")</f>
        <v/>
      </c>
    </row>
    <row r="296" customFormat="false" ht="15.75" hidden="false" customHeight="false" outlineLevel="0" collapsed="false">
      <c r="A296" s="290" t="s">
        <v>548</v>
      </c>
      <c r="B296" s="281"/>
      <c r="C296" s="302" t="str">
        <f aca="false">IFERROR(IF(C$183*C$184*C$185*C$186*C182&gt;0,AVERAGE(C$183:C$186,C182),""),"")</f>
        <v/>
      </c>
      <c r="D296" s="302" t="str">
        <f aca="false">IFERROR(IF(D$183*D$184*D$185*D$186*D182&gt;0,AVERAGE(D$183:D$186,D182),""),"")</f>
        <v/>
      </c>
      <c r="E296" s="302" t="str">
        <f aca="false">IFERROR(IF(E$183*E$184*E$185*E$186*E182&gt;0,AVERAGE(E$183:E$186,E182),""),"")</f>
        <v/>
      </c>
      <c r="F296" s="302" t="str">
        <f aca="false">IFERROR(IF(F$183*F$184*F$185*F$186*F182&gt;0,AVERAGE(F$183:F$186,F182),""),"")</f>
        <v/>
      </c>
      <c r="G296" s="302" t="str">
        <f aca="false">IFERROR(IF(G$183*G$184*G$185*G$186*G182&gt;0,AVERAGE(G$183:G$186,G182),""),"")</f>
        <v/>
      </c>
      <c r="H296" s="302" t="str">
        <f aca="false">IFERROR(IF(H$183*H$184*H$185*H$186*H182&gt;0,AVERAGE(H$183:H$186,H182),""),"")</f>
        <v/>
      </c>
      <c r="I296" s="302" t="str">
        <f aca="false">IFERROR(IF(I$183*I$184*I$185*I$186*I182&gt;0,AVERAGE(I$183:I$186,I182),""),"")</f>
        <v/>
      </c>
      <c r="J296" s="302" t="str">
        <f aca="false">IFERROR(IF(J$183*J$184*J$185*J$186*J182&gt;0,AVERAGE(J$183:J$186,J182),""),"")</f>
        <v/>
      </c>
      <c r="K296" s="302" t="str">
        <f aca="false">IFERROR(IF(K$183*K$184*K$185*K$186*K182&gt;0,AVERAGE(K$183:K$186,K182),""),"")</f>
        <v/>
      </c>
      <c r="L296" s="302" t="str">
        <f aca="false">IFERROR(IF(L$183*L$184*L$185*L$186*L182&gt;0,AVERAGE(L$183:L$186,L182),""),"")</f>
        <v/>
      </c>
      <c r="M296" s="302" t="str">
        <f aca="false">IFERROR(IF(M$183*M$184*M$185*M$186*M182&gt;0,AVERAGE(M$183:M$186,M182),""),"")</f>
        <v/>
      </c>
      <c r="N296" s="302" t="str">
        <f aca="false">IFERROR(IF(N$183*N$184*N$185*N$186*N182&gt;0,AVERAGE(N$183:N$186,N182),""),"")</f>
        <v/>
      </c>
      <c r="O296" s="282"/>
      <c r="P296" s="282"/>
      <c r="Q296" s="296"/>
      <c r="R296" s="293" t="s">
        <v>549</v>
      </c>
      <c r="S296" s="294" t="str">
        <f aca="false">IFERROR(IF(C$183*C$184*C$185*C$186*C182&gt;0,STDEV(C$183:C$186,C182),"")/IF(C$183*C$184*C$185*C$186*C182&gt;0,AVERAGE(C$183:C$186,C182),""),"")</f>
        <v/>
      </c>
      <c r="T296" s="294" t="str">
        <f aca="false">IFERROR(IF(D$183*D$184*D$185*D$186*D182&gt;0,STDEV(D$183:D$186,D182),"")/IF(D$183*D$184*D$185*D$186*D182&gt;0,AVERAGE(D$183:D$186,D182),""),"")</f>
        <v/>
      </c>
      <c r="U296" s="294" t="str">
        <f aca="false">IFERROR(IF(E$183*E$184*E$185*E$186*E182&gt;0,STDEV(E$183:E$186,E182),"")/IF(E$183*E$184*E$185*E$186*E182&gt;0,AVERAGE(E$183:E$186,E182),""),"")</f>
        <v/>
      </c>
      <c r="V296" s="294" t="str">
        <f aca="false">IFERROR(IF(F$183*F$184*F$185*F$186*F182&gt;0,STDEV(F$183:F$186,F182),"")/IF(F$183*F$184*F$185*F$186*F182&gt;0,AVERAGE(F$183:F$186,F182),""),"")</f>
        <v/>
      </c>
      <c r="W296" s="294" t="str">
        <f aca="false">IFERROR(IF(G$183*G$184*G$185*G$186*G182&gt;0,STDEV(G$183:G$186,G182),"")/IF(G$183*G$184*G$185*G$186*G182&gt;0,AVERAGE(G$183:G$186,G182),""),"")</f>
        <v/>
      </c>
      <c r="X296" s="294" t="str">
        <f aca="false">IFERROR(IF(H$183*H$184*H$185*H$186*H182&gt;0,STDEV(H$183:H$186,H182),"")/IF(H$183*H$184*H$185*H$186*H182&gt;0,AVERAGE(H$183:H$186,H182),""),"")</f>
        <v/>
      </c>
      <c r="Y296" s="294" t="str">
        <f aca="false">IFERROR(IF(I$183*I$184*I$185*I$186*I182&gt;0,STDEV(I$183:I$186,I182),"")/IF(I$183*I$184*I$185*I$186*I182&gt;0,AVERAGE(I$183:I$186,I182),""),"")</f>
        <v/>
      </c>
      <c r="Z296" s="294" t="str">
        <f aca="false">IFERROR(IF(J$183*J$184*J$185*J$186*J182&gt;0,STDEV(J$183:J$186,J182),"")/IF(J$183*J$184*J$185*J$186*J182&gt;0,AVERAGE(J$183:J$186,J182),""),"")</f>
        <v/>
      </c>
      <c r="AA296" s="294" t="str">
        <f aca="false">IFERROR(IF(K$183*K$184*K$185*K$186*K182&gt;0,STDEV(K$183:K$186,K182),"")/IF(K$183*K$184*K$185*K$186*K182&gt;0,AVERAGE(K$183:K$186,K182),""),"")</f>
        <v/>
      </c>
      <c r="AB296" s="294" t="str">
        <f aca="false">IFERROR(IF(L$183*L$184*L$185*L$186*L182&gt;0,STDEV(L$183:L$186,L182),"")/IF(L$183*L$184*L$185*L$186*L182&gt;0,AVERAGE(L$183:L$186,L182),""),"")</f>
        <v/>
      </c>
      <c r="AC296" s="294" t="str">
        <f aca="false">IFERROR(IF(M$183*M$184*M$185*M$186*M182&gt;0,STDEV(M$183:M$186,M182),"")/IF(M$183*M$184*M$185*M$186*M182&gt;0,AVERAGE(M$183:M$186,M182),""),"")</f>
        <v/>
      </c>
      <c r="AD296" s="294" t="str">
        <f aca="false">IFERROR(IF(N$183*N$184*N$185*N$186*N182&gt;0,STDEV(N$183:N$186,N182),"")/IF(N$183*N$184*N$185*N$186*N182&gt;0,AVERAGE(N$183:N$186,N182),""),"")</f>
        <v/>
      </c>
      <c r="AE296" s="44"/>
      <c r="AF296" s="266" t="s">
        <v>550</v>
      </c>
      <c r="AG296" s="303" t="str">
        <f aca="false">IFERROR(IF(C$183*C$184*C$185*C$186*C182&gt;0,STDEV(C$183:C$186,C182)," ")/IF(C$183*C$184*C$185*C$186*C182&gt;0,SQRT(COUNT(C$183:C$186,C182))," "),"")</f>
        <v/>
      </c>
      <c r="AH296" s="303" t="str">
        <f aca="false">IFERROR(IF(D$183*D$184*D$185*D$186*D182&gt;0,STDEV(D$183:D$186,D182)," ")/IF(D$183*D$184*D$185*D$186*D182&gt;0,SQRT(COUNT(D$183:D$186,D182))," "),"")</f>
        <v/>
      </c>
      <c r="AI296" s="303" t="str">
        <f aca="false">IFERROR(IF(E$183*E$184*E$185*E$186*E182&gt;0,STDEV(E$183:E$186,E182)," ")/IF(E$183*E$184*E$185*E$186*E182&gt;0,SQRT(COUNT(E$183:E$186,E182))," "),"")</f>
        <v/>
      </c>
      <c r="AJ296" s="303" t="str">
        <f aca="false">IFERROR(IF(F$183*F$184*F$185*F$186*F182&gt;0,STDEV(F$183:F$186,F182)," ")/IF(F$183*F$184*F$185*F$186*F182&gt;0,SQRT(COUNT(F$183:F$186,F182))," "),"")</f>
        <v/>
      </c>
      <c r="AK296" s="303" t="str">
        <f aca="false">IFERROR(IF(G$183*G$184*G$185*G$186*G182&gt;0,STDEV(G$183:G$186,G182)," ")/IF(G$183*G$184*G$185*G$186*G182&gt;0,SQRT(COUNT(G$183:G$186,G182))," "),"")</f>
        <v/>
      </c>
      <c r="AL296" s="303" t="str">
        <f aca="false">IFERROR(IF(H$183*H$184*H$185*H$186*H182&gt;0,STDEV(H$183:H$186,H182)," ")/IF(H$183*H$184*H$185*H$186*H182&gt;0,SQRT(COUNT(H$183:H$186,H182))," "),"")</f>
        <v/>
      </c>
      <c r="AM296" s="303" t="str">
        <f aca="false">IFERROR(IF(I$183*I$184*I$185*I$186*I182&gt;0,STDEV(I$183:I$186,I182)," ")/IF(I$183*I$184*I$185*I$186*I182&gt;0,SQRT(COUNT(I$183:I$186,I182))," "),"")</f>
        <v/>
      </c>
      <c r="AN296" s="303" t="str">
        <f aca="false">IFERROR(IF(J$183*J$184*J$185*J$186*J182&gt;0,STDEV(J$183:J$186,J182)," ")/IF(J$183*J$184*J$185*J$186*J182&gt;0,SQRT(COUNT(J$183:J$186,J182))," "),"")</f>
        <v/>
      </c>
      <c r="AO296" s="303" t="str">
        <f aca="false">IFERROR(IF(K$183*K$184*K$185*K$186*K182&gt;0,STDEV(K$183:K$186,K182)," ")/IF(K$183*K$184*K$185*K$186*K182&gt;0,SQRT(COUNT(K$183:K$186,K182))," "),"")</f>
        <v/>
      </c>
      <c r="AP296" s="303" t="str">
        <f aca="false">IFERROR(IF(L$183*L$184*L$185*L$186*L182&gt;0,STDEV(L$183:L$186,L182)," ")/IF(L$183*L$184*L$185*L$186*L182&gt;0,SQRT(COUNT(L$183:L$186,L182))," "),"")</f>
        <v/>
      </c>
      <c r="AQ296" s="303" t="str">
        <f aca="false">IFERROR(IF(M$183*M$184*M$185*M$186*M182&gt;0,STDEV(M$183:M$186,M182)," ")/IF(M$183*M$184*M$185*M$186*M182&gt;0,SQRT(COUNT(M$183:M$186,M182))," "),"")</f>
        <v/>
      </c>
      <c r="AR296" s="303" t="str">
        <f aca="false">IFERROR(IF(N$183*N$184*N$185*N$186*N182&gt;0,STDEV(N$183:N$186,N182)," ")/IF(N$183*N$184*N$185*N$186*N182&gt;0,SQRT(COUNT(N$183:N$186,N182))," "),"")</f>
        <v/>
      </c>
    </row>
    <row r="297" customFormat="false" ht="15.75" hidden="false" customHeight="false" outlineLevel="0" collapsed="false">
      <c r="A297" s="290" t="s">
        <v>551</v>
      </c>
      <c r="B297" s="281"/>
      <c r="C297" s="302" t="str">
        <f aca="false">IFERROR(IF(C$183*C$184*C$185*C$186*C187&gt;0,AVERAGE(C$183:C$186,C187),""),"")</f>
        <v/>
      </c>
      <c r="D297" s="302" t="str">
        <f aca="false">IFERROR(IF(D$183*D$184*D$185*D$186*D187&gt;0,AVERAGE(D$183:D$186,D187),""),"")</f>
        <v/>
      </c>
      <c r="E297" s="302" t="str">
        <f aca="false">IFERROR(IF(E$183*E$184*E$185*E$186*E187&gt;0,AVERAGE(E$183:E$186,E187),""),"")</f>
        <v/>
      </c>
      <c r="F297" s="302" t="str">
        <f aca="false">IFERROR(IF(F$183*F$184*F$185*F$186*F187&gt;0,AVERAGE(F$183:F$186,F187),""),"")</f>
        <v/>
      </c>
      <c r="G297" s="302" t="str">
        <f aca="false">IFERROR(IF(G$183*G$184*G$185*G$186*G187&gt;0,AVERAGE(G$183:G$186,G187),""),"")</f>
        <v/>
      </c>
      <c r="H297" s="302" t="str">
        <f aca="false">IFERROR(IF(H$183*H$184*H$185*H$186*H187&gt;0,AVERAGE(H$183:H$186,H187),""),"")</f>
        <v/>
      </c>
      <c r="I297" s="302" t="str">
        <f aca="false">IFERROR(IF(I$183*I$184*I$185*I$186*I187&gt;0,AVERAGE(I$183:I$186,I187),""),"")</f>
        <v/>
      </c>
      <c r="J297" s="302" t="str">
        <f aca="false">IFERROR(IF(J$183*J$184*J$185*J$186*J187&gt;0,AVERAGE(J$183:J$186,J187),""),"")</f>
        <v/>
      </c>
      <c r="K297" s="302" t="str">
        <f aca="false">IFERROR(IF(K$183*K$184*K$185*K$186*K187&gt;0,AVERAGE(K$183:K$186,K187),""),"")</f>
        <v/>
      </c>
      <c r="L297" s="302" t="str">
        <f aca="false">IFERROR(IF(L$183*L$184*L$185*L$186*L187&gt;0,AVERAGE(L$183:L$186,L187),""),"")</f>
        <v/>
      </c>
      <c r="M297" s="302" t="str">
        <f aca="false">IFERROR(IF(M$183*M$184*M$185*M$186*M187&gt;0,AVERAGE(M$183:M$186,M187),""),"")</f>
        <v/>
      </c>
      <c r="N297" s="302" t="str">
        <f aca="false">IFERROR(IF(N$183*N$184*N$185*N$186*N187&gt;0,AVERAGE(N$183:N$186,N187),""),"")</f>
        <v/>
      </c>
      <c r="O297" s="282"/>
      <c r="P297" s="282"/>
      <c r="Q297" s="296"/>
      <c r="R297" s="293" t="s">
        <v>552</v>
      </c>
      <c r="S297" s="294" t="str">
        <f aca="false">IFERROR(IF(C$183*C$184*C$185*C$186*C187&gt;0,STDEV(C$183:C$186,C187),"")/IF(C$183*C$184*C$185*C$186*C187&gt;0,AVERAGE(C$183:C$186,C187),""),"")</f>
        <v/>
      </c>
      <c r="T297" s="294" t="str">
        <f aca="false">IFERROR(IF(D$183*D$184*D$185*D$186*D187&gt;0,STDEV(D$183:D$186,D187),"")/IF(D$183*D$184*D$185*D$186*D187&gt;0,AVERAGE(D$183:D$186,D187),""),"")</f>
        <v/>
      </c>
      <c r="U297" s="294" t="str">
        <f aca="false">IFERROR(IF(E$183*E$184*E$185*E$186*E187&gt;0,STDEV(E$183:E$186,E187),"")/IF(E$183*E$184*E$185*E$186*E187&gt;0,AVERAGE(E$183:E$186,E187),""),"")</f>
        <v/>
      </c>
      <c r="V297" s="294" t="str">
        <f aca="false">IFERROR(IF(F$183*F$184*F$185*F$186*F187&gt;0,STDEV(F$183:F$186,F187),"")/IF(F$183*F$184*F$185*F$186*F187&gt;0,AVERAGE(F$183:F$186,F187),""),"")</f>
        <v/>
      </c>
      <c r="W297" s="294" t="str">
        <f aca="false">IFERROR(IF(G$183*G$184*G$185*G$186*G187&gt;0,STDEV(G$183:G$186,G187),"")/IF(G$183*G$184*G$185*G$186*G187&gt;0,AVERAGE(G$183:G$186,G187),""),"")</f>
        <v/>
      </c>
      <c r="X297" s="294" t="str">
        <f aca="false">IFERROR(IF(H$183*H$184*H$185*H$186*H187&gt;0,STDEV(H$183:H$186,H187),"")/IF(H$183*H$184*H$185*H$186*H187&gt;0,AVERAGE(H$183:H$186,H187),""),"")</f>
        <v/>
      </c>
      <c r="Y297" s="294" t="str">
        <f aca="false">IFERROR(IF(I$183*I$184*I$185*I$186*I187&gt;0,STDEV(I$183:I$186,I187),"")/IF(I$183*I$184*I$185*I$186*I187&gt;0,AVERAGE(I$183:I$186,I187),""),"")</f>
        <v/>
      </c>
      <c r="Z297" s="294" t="str">
        <f aca="false">IFERROR(IF(J$183*J$184*J$185*J$186*J187&gt;0,STDEV(J$183:J$186,J187),"")/IF(J$183*J$184*J$185*J$186*J187&gt;0,AVERAGE(J$183:J$186,J187),""),"")</f>
        <v/>
      </c>
      <c r="AA297" s="294" t="str">
        <f aca="false">IFERROR(IF(K$183*K$184*K$185*K$186*K187&gt;0,STDEV(K$183:K$186,K187),"")/IF(K$183*K$184*K$185*K$186*K187&gt;0,AVERAGE(K$183:K$186,K187),""),"")</f>
        <v/>
      </c>
      <c r="AB297" s="294" t="str">
        <f aca="false">IFERROR(IF(L$183*L$184*L$185*L$186*L187&gt;0,STDEV(L$183:L$186,L187),"")/IF(L$183*L$184*L$185*L$186*L187&gt;0,AVERAGE(L$183:L$186,L187),""),"")</f>
        <v/>
      </c>
      <c r="AC297" s="294" t="str">
        <f aca="false">IFERROR(IF(M$183*M$184*M$185*M$186*M187&gt;0,STDEV(M$183:M$186,M187),"")/IF(M$183*M$184*M$185*M$186*M187&gt;0,AVERAGE(M$183:M$186,M187),""),"")</f>
        <v/>
      </c>
      <c r="AD297" s="294" t="str">
        <f aca="false">IFERROR(IF(N$183*N$184*N$185*N$186*N187&gt;0,STDEV(N$183:N$186,N187),"")/IF(N$183*N$184*N$185*N$186*N187&gt;0,AVERAGE(N$183:N$186,N187),""),"")</f>
        <v/>
      </c>
      <c r="AE297" s="44"/>
      <c r="AF297" s="266" t="s">
        <v>553</v>
      </c>
      <c r="AG297" s="303" t="str">
        <f aca="false">IFERROR(IF(C$183*C$184*C$185*C$186*C187&gt;0,STDEV(C$183:C$186,C187)," ")/IF(C$183*C$184*C$185*C$186*C187&gt;0,SQRT(COUNT(C$183:C$186,C187))," "),"")</f>
        <v/>
      </c>
      <c r="AH297" s="303" t="str">
        <f aca="false">IFERROR(IF(D$183*D$184*D$185*D$186*D187&gt;0,STDEV(D$183:D$186,D187)," ")/IF(D$183*D$184*D$185*D$186*D187&gt;0,SQRT(COUNT(D$183:D$186,D187))," "),"")</f>
        <v/>
      </c>
      <c r="AI297" s="303" t="str">
        <f aca="false">IFERROR(IF(E$183*E$184*E$185*E$186*E187&gt;0,STDEV(E$183:E$186,E187)," ")/IF(E$183*E$184*E$185*E$186*E187&gt;0,SQRT(COUNT(E$183:E$186,E187))," "),"")</f>
        <v/>
      </c>
      <c r="AJ297" s="303" t="str">
        <f aca="false">IFERROR(IF(F$183*F$184*F$185*F$186*F187&gt;0,STDEV(F$183:F$186,F187)," ")/IF(F$183*F$184*F$185*F$186*F187&gt;0,SQRT(COUNT(F$183:F$186,F187))," "),"")</f>
        <v/>
      </c>
      <c r="AK297" s="303" t="str">
        <f aca="false">IFERROR(IF(G$183*G$184*G$185*G$186*G187&gt;0,STDEV(G$183:G$186,G187)," ")/IF(G$183*G$184*G$185*G$186*G187&gt;0,SQRT(COUNT(G$183:G$186,G187))," "),"")</f>
        <v/>
      </c>
      <c r="AL297" s="303" t="str">
        <f aca="false">IFERROR(IF(H$183*H$184*H$185*H$186*H187&gt;0,STDEV(H$183:H$186,H187)," ")/IF(H$183*H$184*H$185*H$186*H187&gt;0,SQRT(COUNT(H$183:H$186,H187))," "),"")</f>
        <v/>
      </c>
      <c r="AM297" s="303" t="str">
        <f aca="false">IFERROR(IF(I$183*I$184*I$185*I$186*I187&gt;0,STDEV(I$183:I$186,I187)," ")/IF(I$183*I$184*I$185*I$186*I187&gt;0,SQRT(COUNT(I$183:I$186,I187))," "),"")</f>
        <v/>
      </c>
      <c r="AN297" s="303" t="str">
        <f aca="false">IFERROR(IF(J$183*J$184*J$185*J$186*J187&gt;0,STDEV(J$183:J$186,J187)," ")/IF(J$183*J$184*J$185*J$186*J187&gt;0,SQRT(COUNT(J$183:J$186,J187))," "),"")</f>
        <v/>
      </c>
      <c r="AO297" s="303" t="str">
        <f aca="false">IFERROR(IF(K$183*K$184*K$185*K$186*K187&gt;0,STDEV(K$183:K$186,K187)," ")/IF(K$183*K$184*K$185*K$186*K187&gt;0,SQRT(COUNT(K$183:K$186,K187))," "),"")</f>
        <v/>
      </c>
      <c r="AP297" s="303" t="str">
        <f aca="false">IFERROR(IF(L$183*L$184*L$185*L$186*L187&gt;0,STDEV(L$183:L$186,L187)," ")/IF(L$183*L$184*L$185*L$186*L187&gt;0,SQRT(COUNT(L$183:L$186,L187))," "),"")</f>
        <v/>
      </c>
      <c r="AQ297" s="303" t="str">
        <f aca="false">IFERROR(IF(M$183*M$184*M$185*M$186*M187&gt;0,STDEV(M$183:M$186,M187)," ")/IF(M$183*M$184*M$185*M$186*M187&gt;0,SQRT(COUNT(M$183:M$186,M187))," "),"")</f>
        <v/>
      </c>
      <c r="AR297" s="303" t="str">
        <f aca="false">IFERROR(IF(N$183*N$184*N$185*N$186*N187&gt;0,STDEV(N$183:N$186,N187)," ")/IF(N$183*N$184*N$185*N$186*N187&gt;0,SQRT(COUNT(N$183:N$186,N187))," "),"")</f>
        <v/>
      </c>
    </row>
    <row r="298" customFormat="false" ht="15.75" hidden="false" customHeight="false" outlineLevel="0" collapsed="false">
      <c r="A298" s="290" t="s">
        <v>554</v>
      </c>
      <c r="B298" s="281"/>
      <c r="C298" s="302" t="str">
        <f aca="false">IFERROR(IF(C$183*C$184*C$185*C$186*C188&gt;0,AVERAGE(C$183:C$186,C188),""),"")</f>
        <v/>
      </c>
      <c r="D298" s="302" t="str">
        <f aca="false">IFERROR(IF(D$183*D$184*D$185*D$186*D188&gt;0,AVERAGE(D$183:D$186,D188),""),"")</f>
        <v/>
      </c>
      <c r="E298" s="302" t="str">
        <f aca="false">IFERROR(IF(E$183*E$184*E$185*E$186*E188&gt;0,AVERAGE(E$183:E$186,E188),""),"")</f>
        <v/>
      </c>
      <c r="F298" s="302" t="str">
        <f aca="false">IFERROR(IF(F$183*F$184*F$185*F$186*F188&gt;0,AVERAGE(F$183:F$186,F188),""),"")</f>
        <v/>
      </c>
      <c r="G298" s="302" t="str">
        <f aca="false">IFERROR(IF(G$183*G$184*G$185*G$186*G188&gt;0,AVERAGE(G$183:G$186,G188),""),"")</f>
        <v/>
      </c>
      <c r="H298" s="302" t="str">
        <f aca="false">IFERROR(IF(H$183*H$184*H$185*H$186*H188&gt;0,AVERAGE(H$183:H$186,H188),""),"")</f>
        <v/>
      </c>
      <c r="I298" s="302" t="str">
        <f aca="false">IFERROR(IF(I$183*I$184*I$185*I$186*I188&gt;0,AVERAGE(I$183:I$186,I188),""),"")</f>
        <v/>
      </c>
      <c r="J298" s="302" t="str">
        <f aca="false">IFERROR(IF(J$183*J$184*J$185*J$186*J188&gt;0,AVERAGE(J$183:J$186,J188),""),"")</f>
        <v/>
      </c>
      <c r="K298" s="302" t="str">
        <f aca="false">IFERROR(IF(K$183*K$184*K$185*K$186*K188&gt;0,AVERAGE(K$183:K$186,K188),""),"")</f>
        <v/>
      </c>
      <c r="L298" s="302" t="str">
        <f aca="false">IFERROR(IF(L$183*L$184*L$185*L$186*L188&gt;0,AVERAGE(L$183:L$186,L188),""),"")</f>
        <v/>
      </c>
      <c r="M298" s="302" t="str">
        <f aca="false">IFERROR(IF(M$183*M$184*M$185*M$186*M188&gt;0,AVERAGE(M$183:M$186,M188),""),"")</f>
        <v/>
      </c>
      <c r="N298" s="302" t="str">
        <f aca="false">IFERROR(IF(N$183*N$184*N$185*N$186*N188&gt;0,AVERAGE(N$183:N$186,N188),""),"")</f>
        <v/>
      </c>
      <c r="O298" s="282"/>
      <c r="P298" s="282"/>
      <c r="Q298" s="296"/>
      <c r="R298" s="293" t="s">
        <v>555</v>
      </c>
      <c r="S298" s="294" t="str">
        <f aca="false">IFERROR(IF(C$183*C$184*C$185*C$186*C188&gt;0,STDEV(C$183:C$186,C188),"")/IF(C$183*C$184*C$185*C$186*C188&gt;0,AVERAGE(C$183:C$186,C188),""),"")</f>
        <v/>
      </c>
      <c r="T298" s="294" t="str">
        <f aca="false">IFERROR(IF(D$183*D$184*D$185*D$186*D188&gt;0,STDEV(D$183:D$186,D188),"")/IF(D$183*D$184*D$185*D$186*D188&gt;0,AVERAGE(D$183:D$186,D188),""),"")</f>
        <v/>
      </c>
      <c r="U298" s="294" t="str">
        <f aca="false">IFERROR(IF(E$183*E$184*E$185*E$186*E188&gt;0,STDEV(E$183:E$186,E188),"")/IF(E$183*E$184*E$185*E$186*E188&gt;0,AVERAGE(E$183:E$186,E188),""),"")</f>
        <v/>
      </c>
      <c r="V298" s="294" t="str">
        <f aca="false">IFERROR(IF(F$183*F$184*F$185*F$186*F188&gt;0,STDEV(F$183:F$186,F188),"")/IF(F$183*F$184*F$185*F$186*F188&gt;0,AVERAGE(F$183:F$186,F188),""),"")</f>
        <v/>
      </c>
      <c r="W298" s="294" t="str">
        <f aca="false">IFERROR(IF(G$183*G$184*G$185*G$186*G188&gt;0,STDEV(G$183:G$186,G188),"")/IF(G$183*G$184*G$185*G$186*G188&gt;0,AVERAGE(G$183:G$186,G188),""),"")</f>
        <v/>
      </c>
      <c r="X298" s="294" t="str">
        <f aca="false">IFERROR(IF(H$183*H$184*H$185*H$186*H188&gt;0,STDEV(H$183:H$186,H188),"")/IF(H$183*H$184*H$185*H$186*H188&gt;0,AVERAGE(H$183:H$186,H188),""),"")</f>
        <v/>
      </c>
      <c r="Y298" s="294" t="str">
        <f aca="false">IFERROR(IF(I$183*I$184*I$185*I$186*I188&gt;0,STDEV(I$183:I$186,I188),"")/IF(I$183*I$184*I$185*I$186*I188&gt;0,AVERAGE(I$183:I$186,I188),""),"")</f>
        <v/>
      </c>
      <c r="Z298" s="294" t="str">
        <f aca="false">IFERROR(IF(J$183*J$184*J$185*J$186*J188&gt;0,STDEV(J$183:J$186,J188),"")/IF(J$183*J$184*J$185*J$186*J188&gt;0,AVERAGE(J$183:J$186,J188),""),"")</f>
        <v/>
      </c>
      <c r="AA298" s="294" t="str">
        <f aca="false">IFERROR(IF(K$183*K$184*K$185*K$186*K188&gt;0,STDEV(K$183:K$186,K188),"")/IF(K$183*K$184*K$185*K$186*K188&gt;0,AVERAGE(K$183:K$186,K188),""),"")</f>
        <v/>
      </c>
      <c r="AB298" s="294" t="str">
        <f aca="false">IFERROR(IF(L$183*L$184*L$185*L$186*L188&gt;0,STDEV(L$183:L$186,L188),"")/IF(L$183*L$184*L$185*L$186*L188&gt;0,AVERAGE(L$183:L$186,L188),""),"")</f>
        <v/>
      </c>
      <c r="AC298" s="294" t="str">
        <f aca="false">IFERROR(IF(M$183*M$184*M$185*M$186*M188&gt;0,STDEV(M$183:M$186,M188),"")/IF(M$183*M$184*M$185*M$186*M188&gt;0,AVERAGE(M$183:M$186,M188),""),"")</f>
        <v/>
      </c>
      <c r="AD298" s="294" t="str">
        <f aca="false">IFERROR(IF(N$183*N$184*N$185*N$186*N188&gt;0,STDEV(N$183:N$186,N188),"")/IF(N$183*N$184*N$185*N$186*N188&gt;0,AVERAGE(N$183:N$186,N188),""),"")</f>
        <v/>
      </c>
      <c r="AE298" s="44"/>
      <c r="AF298" s="266" t="s">
        <v>556</v>
      </c>
      <c r="AG298" s="303" t="str">
        <f aca="false">IFERROR(IF(C$183*C$184*C$185*C$186*C188&gt;0,STDEV(C$183:C$186,C188)," ")/IF(C$183*C$184*C$185*C$186*C188&gt;0,SQRT(COUNT(C$183:C$186,C188))," "),"")</f>
        <v/>
      </c>
      <c r="AH298" s="303" t="str">
        <f aca="false">IFERROR(IF(D$183*D$184*D$185*D$186*D188&gt;0,STDEV(D$183:D$186,D188)," ")/IF(D$183*D$184*D$185*D$186*D188&gt;0,SQRT(COUNT(D$183:D$186,D188))," "),"")</f>
        <v/>
      </c>
      <c r="AI298" s="303" t="str">
        <f aca="false">IFERROR(IF(E$183*E$184*E$185*E$186*E188&gt;0,STDEV(E$183:E$186,E188)," ")/IF(E$183*E$184*E$185*E$186*E188&gt;0,SQRT(COUNT(E$183:E$186,E188))," "),"")</f>
        <v/>
      </c>
      <c r="AJ298" s="303" t="str">
        <f aca="false">IFERROR(IF(F$183*F$184*F$185*F$186*F188&gt;0,STDEV(F$183:F$186,F188)," ")/IF(F$183*F$184*F$185*F$186*F188&gt;0,SQRT(COUNT(F$183:F$186,F188))," "),"")</f>
        <v/>
      </c>
      <c r="AK298" s="303" t="str">
        <f aca="false">IFERROR(IF(G$183*G$184*G$185*G$186*G188&gt;0,STDEV(G$183:G$186,G188)," ")/IF(G$183*G$184*G$185*G$186*G188&gt;0,SQRT(COUNT(G$183:G$186,G188))," "),"")</f>
        <v/>
      </c>
      <c r="AL298" s="303" t="str">
        <f aca="false">IFERROR(IF(H$183*H$184*H$185*H$186*H188&gt;0,STDEV(H$183:H$186,H188)," ")/IF(H$183*H$184*H$185*H$186*H188&gt;0,SQRT(COUNT(H$183:H$186,H188))," "),"")</f>
        <v/>
      </c>
      <c r="AM298" s="303" t="str">
        <f aca="false">IFERROR(IF(I$183*I$184*I$185*I$186*I188&gt;0,STDEV(I$183:I$186,I188)," ")/IF(I$183*I$184*I$185*I$186*I188&gt;0,SQRT(COUNT(I$183:I$186,I188))," "),"")</f>
        <v/>
      </c>
      <c r="AN298" s="303" t="str">
        <f aca="false">IFERROR(IF(J$183*J$184*J$185*J$186*J188&gt;0,STDEV(J$183:J$186,J188)," ")/IF(J$183*J$184*J$185*J$186*J188&gt;0,SQRT(COUNT(J$183:J$186,J188))," "),"")</f>
        <v/>
      </c>
      <c r="AO298" s="303" t="str">
        <f aca="false">IFERROR(IF(K$183*K$184*K$185*K$186*K188&gt;0,STDEV(K$183:K$186,K188)," ")/IF(K$183*K$184*K$185*K$186*K188&gt;0,SQRT(COUNT(K$183:K$186,K188))," "),"")</f>
        <v/>
      </c>
      <c r="AP298" s="303" t="str">
        <f aca="false">IFERROR(IF(L$183*L$184*L$185*L$186*L188&gt;0,STDEV(L$183:L$186,L188)," ")/IF(L$183*L$184*L$185*L$186*L188&gt;0,SQRT(COUNT(L$183:L$186,L188))," "),"")</f>
        <v/>
      </c>
      <c r="AQ298" s="303" t="str">
        <f aca="false">IFERROR(IF(M$183*M$184*M$185*M$186*M188&gt;0,STDEV(M$183:M$186,M188)," ")/IF(M$183*M$184*M$185*M$186*M188&gt;0,SQRT(COUNT(M$183:M$186,M188))," "),"")</f>
        <v/>
      </c>
      <c r="AR298" s="303" t="str">
        <f aca="false">IFERROR(IF(N$183*N$184*N$185*N$186*N188&gt;0,STDEV(N$183:N$186,N188)," ")/IF(N$183*N$184*N$185*N$186*N188&gt;0,SQRT(COUNT(N$183:N$186,N188))," "),"")</f>
        <v/>
      </c>
    </row>
    <row r="299" customFormat="false" ht="15.75" hidden="false" customHeight="false" outlineLevel="0" collapsed="false">
      <c r="A299" s="290" t="s">
        <v>557</v>
      </c>
      <c r="B299" s="281"/>
      <c r="C299" s="302" t="str">
        <f aca="false">IFERROR(IF(C$184*C$185*C$186*C$187*C182&gt;0,AVERAGE(C$184:C$187,C182),""),"")</f>
        <v/>
      </c>
      <c r="D299" s="302" t="str">
        <f aca="false">IFERROR(IF(D$184*D$185*D$186*D$187*D182&gt;0,AVERAGE(D$184:D$187,D182),""),"")</f>
        <v/>
      </c>
      <c r="E299" s="302" t="str">
        <f aca="false">IFERROR(IF(E$184*E$185*E$186*E$187*E182&gt;0,AVERAGE(E$184:E$187,E182),""),"")</f>
        <v/>
      </c>
      <c r="F299" s="302" t="str">
        <f aca="false">IFERROR(IF(F$184*F$185*F$186*F$187*F182&gt;0,AVERAGE(F$184:F$187,F182),""),"")</f>
        <v/>
      </c>
      <c r="G299" s="302" t="str">
        <f aca="false">IFERROR(IF(G$184*G$185*G$186*G$187*G182&gt;0,AVERAGE(G$184:G$187,G182),""),"")</f>
        <v/>
      </c>
      <c r="H299" s="302" t="str">
        <f aca="false">IFERROR(IF(H$184*H$185*H$186*H$187*H182&gt;0,AVERAGE(H$184:H$187,H182),""),"")</f>
        <v/>
      </c>
      <c r="I299" s="302" t="str">
        <f aca="false">IFERROR(IF(I$184*I$185*I$186*I$187*I182&gt;0,AVERAGE(I$184:I$187,I182),""),"")</f>
        <v/>
      </c>
      <c r="J299" s="302" t="str">
        <f aca="false">IFERROR(IF(J$184*J$185*J$186*J$187*J182&gt;0,AVERAGE(J$184:J$187,J182),""),"")</f>
        <v/>
      </c>
      <c r="K299" s="302" t="str">
        <f aca="false">IFERROR(IF(K$184*K$185*K$186*K$187*K182&gt;0,AVERAGE(K$184:K$187,K182),""),"")</f>
        <v/>
      </c>
      <c r="L299" s="302" t="str">
        <f aca="false">IFERROR(IF(L$184*L$185*L$186*L$187*L182&gt;0,AVERAGE(L$184:L$187,L182),""),"")</f>
        <v/>
      </c>
      <c r="M299" s="302" t="str">
        <f aca="false">IFERROR(IF(M$184*M$185*M$186*M$187*M182&gt;0,AVERAGE(M$184:M$187,M182),""),"")</f>
        <v/>
      </c>
      <c r="N299" s="302" t="str">
        <f aca="false">IFERROR(IF(N$184*N$185*N$186*N$187*N182&gt;0,AVERAGE(N$184:N$187,N182),""),"")</f>
        <v/>
      </c>
      <c r="O299" s="282"/>
      <c r="P299" s="282"/>
      <c r="Q299" s="296"/>
      <c r="R299" s="293" t="s">
        <v>558</v>
      </c>
      <c r="S299" s="294" t="str">
        <f aca="false">IFERROR(IF(C$184*C$185*C$186*C$187*C182&gt;0,STDEV(C$184:C$187,C182),"")/IF(C$184*C$185*C$186*C$187*C182&gt;0,AVERAGE(C$184:C$187,C182),""),"")</f>
        <v/>
      </c>
      <c r="T299" s="294" t="str">
        <f aca="false">IFERROR(IF(D$184*D$185*D$186*D$187*D182&gt;0,STDEV(D$184:D$187,D182),"")/IF(D$184*D$185*D$186*D$187*D182&gt;0,AVERAGE(D$184:D$187,D182),""),"")</f>
        <v/>
      </c>
      <c r="U299" s="294" t="str">
        <f aca="false">IFERROR(IF(E$184*E$185*E$186*E$187*E182&gt;0,STDEV(E$184:E$187,E182),"")/IF(E$184*E$185*E$186*E$187*E182&gt;0,AVERAGE(E$184:E$187,E182),""),"")</f>
        <v/>
      </c>
      <c r="V299" s="294" t="str">
        <f aca="false">IFERROR(IF(F$184*F$185*F$186*F$187*F182&gt;0,STDEV(F$184:F$187,F182),"")/IF(F$184*F$185*F$186*F$187*F182&gt;0,AVERAGE(F$184:F$187,F182),""),"")</f>
        <v/>
      </c>
      <c r="W299" s="294" t="str">
        <f aca="false">IFERROR(IF(G$184*G$185*G$186*G$187*G182&gt;0,STDEV(G$184:G$187,G182),"")/IF(G$184*G$185*G$186*G$187*G182&gt;0,AVERAGE(G$184:G$187,G182),""),"")</f>
        <v/>
      </c>
      <c r="X299" s="294" t="str">
        <f aca="false">IFERROR(IF(H$184*H$185*H$186*H$187*H182&gt;0,STDEV(H$184:H$187,H182),"")/IF(H$184*H$185*H$186*H$187*H182&gt;0,AVERAGE(H$184:H$187,H182),""),"")</f>
        <v/>
      </c>
      <c r="Y299" s="294" t="str">
        <f aca="false">IFERROR(IF(I$184*I$185*I$186*I$187*I182&gt;0,STDEV(I$184:I$187,I182),"")/IF(I$184*I$185*I$186*I$187*I182&gt;0,AVERAGE(I$184:I$187,I182),""),"")</f>
        <v/>
      </c>
      <c r="Z299" s="294" t="str">
        <f aca="false">IFERROR(IF(J$184*J$185*J$186*J$187*J182&gt;0,STDEV(J$184:J$187,J182),"")/IF(J$184*J$185*J$186*J$187*J182&gt;0,AVERAGE(J$184:J$187,J182),""),"")</f>
        <v/>
      </c>
      <c r="AA299" s="294" t="str">
        <f aca="false">IFERROR(IF(K$184*K$185*K$186*K$187*K182&gt;0,STDEV(K$184:K$187,K182),"")/IF(K$184*K$185*K$186*K$187*K182&gt;0,AVERAGE(K$184:K$187,K182),""),"")</f>
        <v/>
      </c>
      <c r="AB299" s="294" t="str">
        <f aca="false">IFERROR(IF(L$184*L$185*L$186*L$187*L182&gt;0,STDEV(L$184:L$187,L182),"")/IF(L$184*L$185*L$186*L$187*L182&gt;0,AVERAGE(L$184:L$187,L182),""),"")</f>
        <v/>
      </c>
      <c r="AC299" s="294" t="str">
        <f aca="false">IFERROR(IF(M$184*M$185*M$186*M$187*M182&gt;0,STDEV(M$184:M$187,M182),"")/IF(M$184*M$185*M$186*M$187*M182&gt;0,AVERAGE(M$184:M$187,M182),""),"")</f>
        <v/>
      </c>
      <c r="AD299" s="294" t="str">
        <f aca="false">IFERROR(IF(N$184*N$185*N$186*N$187*N182&gt;0,STDEV(N$184:N$187,N182),"")/IF(N$184*N$185*N$186*N$187*N182&gt;0,AVERAGE(N$184:N$187,N182),""),"")</f>
        <v/>
      </c>
      <c r="AE299" s="44"/>
      <c r="AF299" s="266" t="s">
        <v>559</v>
      </c>
      <c r="AG299" s="303" t="str">
        <f aca="false">IFERROR(IF(C$184*C$185*C$186*C$187*C182&gt;0,STDEV(C$184:C$187,C182)," ")/IF(C$184*C$185*C$186*C$187*C182&gt;0,SQRT(COUNT(C$184:C$187,C182))," "),"")</f>
        <v/>
      </c>
      <c r="AH299" s="303" t="str">
        <f aca="false">IFERROR(IF(D$184*D$185*D$186*D$187*D182&gt;0,STDEV(D$184:D$187,D182)," ")/IF(D$184*D$185*D$186*D$187*D182&gt;0,SQRT(COUNT(D$184:D$187,D182))," "),"")</f>
        <v/>
      </c>
      <c r="AI299" s="303" t="str">
        <f aca="false">IFERROR(IF(E$184*E$185*E$186*E$187*E182&gt;0,STDEV(E$184:E$187,E182)," ")/IF(E$184*E$185*E$186*E$187*E182&gt;0,SQRT(COUNT(E$184:E$187,E182))," "),"")</f>
        <v/>
      </c>
      <c r="AJ299" s="303" t="str">
        <f aca="false">IFERROR(IF(F$184*F$185*F$186*F$187*F182&gt;0,STDEV(F$184:F$187,F182)," ")/IF(F$184*F$185*F$186*F$187*F182&gt;0,SQRT(COUNT(F$184:F$187,F182))," "),"")</f>
        <v/>
      </c>
      <c r="AK299" s="303" t="str">
        <f aca="false">IFERROR(IF(G$184*G$185*G$186*G$187*G182&gt;0,STDEV(G$184:G$187,G182)," ")/IF(G$184*G$185*G$186*G$187*G182&gt;0,SQRT(COUNT(G$184:G$187,G182))," "),"")</f>
        <v/>
      </c>
      <c r="AL299" s="303" t="str">
        <f aca="false">IFERROR(IF(H$184*H$185*H$186*H$187*H182&gt;0,STDEV(H$184:H$187,H182)," ")/IF(H$184*H$185*H$186*H$187*H182&gt;0,SQRT(COUNT(H$184:H$187,H182))," "),"")</f>
        <v/>
      </c>
      <c r="AM299" s="303" t="str">
        <f aca="false">IFERROR(IF(I$184*I$185*I$186*I$187*I182&gt;0,STDEV(I$184:I$187,I182)," ")/IF(I$184*I$185*I$186*I$187*I182&gt;0,SQRT(COUNT(I$184:I$187,I182))," "),"")</f>
        <v/>
      </c>
      <c r="AN299" s="303" t="str">
        <f aca="false">IFERROR(IF(J$184*J$185*J$186*J$187*J182&gt;0,STDEV(J$184:J$187,J182)," ")/IF(J$184*J$185*J$186*J$187*J182&gt;0,SQRT(COUNT(J$184:J$187,J182))," "),"")</f>
        <v/>
      </c>
      <c r="AO299" s="303" t="str">
        <f aca="false">IFERROR(IF(K$184*K$185*K$186*K$187*K182&gt;0,STDEV(K$184:K$187,K182)," ")/IF(K$184*K$185*K$186*K$187*K182&gt;0,SQRT(COUNT(K$184:K$187,K182))," "),"")</f>
        <v/>
      </c>
      <c r="AP299" s="303" t="str">
        <f aca="false">IFERROR(IF(L$184*L$185*L$186*L$187*L182&gt;0,STDEV(L$184:L$187,L182)," ")/IF(L$184*L$185*L$186*L$187*L182&gt;0,SQRT(COUNT(L$184:L$187,L182))," "),"")</f>
        <v/>
      </c>
      <c r="AQ299" s="303" t="str">
        <f aca="false">IFERROR(IF(M$184*M$185*M$186*M$187*M182&gt;0,STDEV(M$184:M$187,M182)," ")/IF(M$184*M$185*M$186*M$187*M182&gt;0,SQRT(COUNT(M$184:M$187,M182))," "),"")</f>
        <v/>
      </c>
      <c r="AR299" s="303" t="str">
        <f aca="false">IFERROR(IF(N$184*N$185*N$186*N$187*N182&gt;0,STDEV(N$184:N$187,N182)," ")/IF(N$184*N$185*N$186*N$187*N182&gt;0,SQRT(COUNT(N$184:N$187,N182))," "),"")</f>
        <v/>
      </c>
    </row>
    <row r="300" customFormat="false" ht="15.75" hidden="false" customHeight="false" outlineLevel="0" collapsed="false">
      <c r="A300" s="290" t="s">
        <v>560</v>
      </c>
      <c r="B300" s="281"/>
      <c r="C300" s="302" t="str">
        <f aca="false">IFERROR(IF(C$184*C$185*C$186*C$187*C183&gt;0,AVERAGE(C$184:C$187,C183),""),"")</f>
        <v/>
      </c>
      <c r="D300" s="302" t="str">
        <f aca="false">IFERROR(IF(D$184*D$185*D$186*D$187*D183&gt;0,AVERAGE(D$184:D$187,D183),""),"")</f>
        <v/>
      </c>
      <c r="E300" s="302" t="str">
        <f aca="false">IFERROR(IF(E$184*E$185*E$186*E$187*E183&gt;0,AVERAGE(E$184:E$187,E183),""),"")</f>
        <v/>
      </c>
      <c r="F300" s="302" t="str">
        <f aca="false">IFERROR(IF(F$184*F$185*F$186*F$187*F183&gt;0,AVERAGE(F$184:F$187,F183),""),"")</f>
        <v/>
      </c>
      <c r="G300" s="302" t="str">
        <f aca="false">IFERROR(IF(G$184*G$185*G$186*G$187*G183&gt;0,AVERAGE(G$184:G$187,G183),""),"")</f>
        <v/>
      </c>
      <c r="H300" s="302" t="str">
        <f aca="false">IFERROR(IF(H$184*H$185*H$186*H$187*H183&gt;0,AVERAGE(H$184:H$187,H183),""),"")</f>
        <v/>
      </c>
      <c r="I300" s="302" t="str">
        <f aca="false">IFERROR(IF(I$184*I$185*I$186*I$187*I183&gt;0,AVERAGE(I$184:I$187,I183),""),"")</f>
        <v/>
      </c>
      <c r="J300" s="302" t="str">
        <f aca="false">IFERROR(IF(J$184*J$185*J$186*J$187*J183&gt;0,AVERAGE(J$184:J$187,J183),""),"")</f>
        <v/>
      </c>
      <c r="K300" s="302" t="str">
        <f aca="false">IFERROR(IF(K$184*K$185*K$186*K$187*K183&gt;0,AVERAGE(K$184:K$187,K183),""),"")</f>
        <v/>
      </c>
      <c r="L300" s="302" t="str">
        <f aca="false">IFERROR(IF(L$184*L$185*L$186*L$187*L183&gt;0,AVERAGE(L$184:L$187,L183),""),"")</f>
        <v/>
      </c>
      <c r="M300" s="302" t="str">
        <f aca="false">IFERROR(IF(M$184*M$185*M$186*M$187*M183&gt;0,AVERAGE(M$184:M$187,M183),""),"")</f>
        <v/>
      </c>
      <c r="N300" s="302" t="str">
        <f aca="false">IFERROR(IF(N$184*N$185*N$186*N$187*N183&gt;0,AVERAGE(N$184:N$187,N183),""),"")</f>
        <v/>
      </c>
      <c r="O300" s="282"/>
      <c r="P300" s="282"/>
      <c r="Q300" s="296"/>
      <c r="R300" s="293" t="s">
        <v>561</v>
      </c>
      <c r="S300" s="294" t="str">
        <f aca="false">IFERROR(IF(C$184*C$185*C$186*C$187*C183&gt;0,STDEV(C$184:C$187,C183),"")/IF(C$184*C$185*C$186*C$187*C183&gt;0,AVERAGE(C$184:C$187,C183),""),"")</f>
        <v/>
      </c>
      <c r="T300" s="294" t="str">
        <f aca="false">IFERROR(IF(D$184*D$185*D$186*D$187*D183&gt;0,STDEV(D$184:D$187,D183),"")/IF(D$184*D$185*D$186*D$187*D183&gt;0,AVERAGE(D$184:D$187,D183),""),"")</f>
        <v/>
      </c>
      <c r="U300" s="294" t="str">
        <f aca="false">IFERROR(IF(E$184*E$185*E$186*E$187*E183&gt;0,STDEV(E$184:E$187,E183),"")/IF(E$184*E$185*E$186*E$187*E183&gt;0,AVERAGE(E$184:E$187,E183),""),"")</f>
        <v/>
      </c>
      <c r="V300" s="294" t="str">
        <f aca="false">IFERROR(IF(F$184*F$185*F$186*F$187*F183&gt;0,STDEV(F$184:F$187,F183),"")/IF(F$184*F$185*F$186*F$187*F183&gt;0,AVERAGE(F$184:F$187,F183),""),"")</f>
        <v/>
      </c>
      <c r="W300" s="294" t="str">
        <f aca="false">IFERROR(IF(G$184*G$185*G$186*G$187*G183&gt;0,STDEV(G$184:G$187,G183),"")/IF(G$184*G$185*G$186*G$187*G183&gt;0,AVERAGE(G$184:G$187,G183),""),"")</f>
        <v/>
      </c>
      <c r="X300" s="294" t="str">
        <f aca="false">IFERROR(IF(H$184*H$185*H$186*H$187*H183&gt;0,STDEV(H$184:H$187,H183),"")/IF(H$184*H$185*H$186*H$187*H183&gt;0,AVERAGE(H$184:H$187,H183),""),"")</f>
        <v/>
      </c>
      <c r="Y300" s="294" t="str">
        <f aca="false">IFERROR(IF(I$184*I$185*I$186*I$187*I183&gt;0,STDEV(I$184:I$187,I183),"")/IF(I$184*I$185*I$186*I$187*I183&gt;0,AVERAGE(I$184:I$187,I183),""),"")</f>
        <v/>
      </c>
      <c r="Z300" s="294" t="str">
        <f aca="false">IFERROR(IF(J$184*J$185*J$186*J$187*J183&gt;0,STDEV(J$184:J$187,J183),"")/IF(J$184*J$185*J$186*J$187*J183&gt;0,AVERAGE(J$184:J$187,J183),""),"")</f>
        <v/>
      </c>
      <c r="AA300" s="294" t="str">
        <f aca="false">IFERROR(IF(K$184*K$185*K$186*K$187*K183&gt;0,STDEV(K$184:K$187,K183),"")/IF(K$184*K$185*K$186*K$187*K183&gt;0,AVERAGE(K$184:K$187,K183),""),"")</f>
        <v/>
      </c>
      <c r="AB300" s="294" t="str">
        <f aca="false">IFERROR(IF(L$184*L$185*L$186*L$187*L183&gt;0,STDEV(L$184:L$187,L183),"")/IF(L$184*L$185*L$186*L$187*L183&gt;0,AVERAGE(L$184:L$187,L183),""),"")</f>
        <v/>
      </c>
      <c r="AC300" s="294" t="str">
        <f aca="false">IFERROR(IF(M$184*M$185*M$186*M$187*M183&gt;0,STDEV(M$184:M$187,M183),"")/IF(M$184*M$185*M$186*M$187*M183&gt;0,AVERAGE(M$184:M$187,M183),""),"")</f>
        <v/>
      </c>
      <c r="AD300" s="294" t="str">
        <f aca="false">IFERROR(IF(N$184*N$185*N$186*N$187*N183&gt;0,STDEV(N$184:N$187,N183),"")/IF(N$184*N$185*N$186*N$187*N183&gt;0,AVERAGE(N$184:N$187,N183),""),"")</f>
        <v/>
      </c>
      <c r="AE300" s="44"/>
      <c r="AF300" s="266" t="s">
        <v>562</v>
      </c>
      <c r="AG300" s="303" t="str">
        <f aca="false">IFERROR(IF(C$184*C$185*C$186*C$187*C183&gt;0,STDEV(C$184:C$187,C183)," ")/IF(C$184*C$185*C$186*C$187*C183&gt;0,SQRT(COUNT(C$184:C$187,C183))," "),"")</f>
        <v/>
      </c>
      <c r="AH300" s="303" t="str">
        <f aca="false">IFERROR(IF(D$184*D$185*D$186*D$187*D183&gt;0,STDEV(D$184:D$187,D183)," ")/IF(D$184*D$185*D$186*D$187*D183&gt;0,SQRT(COUNT(D$184:D$187,D183))," "),"")</f>
        <v/>
      </c>
      <c r="AI300" s="303" t="str">
        <f aca="false">IFERROR(IF(E$184*E$185*E$186*E$187*E183&gt;0,STDEV(E$184:E$187,E183)," ")/IF(E$184*E$185*E$186*E$187*E183&gt;0,SQRT(COUNT(E$184:E$187,E183))," "),"")</f>
        <v/>
      </c>
      <c r="AJ300" s="303" t="str">
        <f aca="false">IFERROR(IF(F$184*F$185*F$186*F$187*F183&gt;0,STDEV(F$184:F$187,F183)," ")/IF(F$184*F$185*F$186*F$187*F183&gt;0,SQRT(COUNT(F$184:F$187,F183))," "),"")</f>
        <v/>
      </c>
      <c r="AK300" s="303" t="str">
        <f aca="false">IFERROR(IF(G$184*G$185*G$186*G$187*G183&gt;0,STDEV(G$184:G$187,G183)," ")/IF(G$184*G$185*G$186*G$187*G183&gt;0,SQRT(COUNT(G$184:G$187,G183))," "),"")</f>
        <v/>
      </c>
      <c r="AL300" s="303" t="str">
        <f aca="false">IFERROR(IF(H$184*H$185*H$186*H$187*H183&gt;0,STDEV(H$184:H$187,H183)," ")/IF(H$184*H$185*H$186*H$187*H183&gt;0,SQRT(COUNT(H$184:H$187,H183))," "),"")</f>
        <v/>
      </c>
      <c r="AM300" s="303" t="str">
        <f aca="false">IFERROR(IF(I$184*I$185*I$186*I$187*I183&gt;0,STDEV(I$184:I$187,I183)," ")/IF(I$184*I$185*I$186*I$187*I183&gt;0,SQRT(COUNT(I$184:I$187,I183))," "),"")</f>
        <v/>
      </c>
      <c r="AN300" s="303" t="str">
        <f aca="false">IFERROR(IF(J$184*J$185*J$186*J$187*J183&gt;0,STDEV(J$184:J$187,J183)," ")/IF(J$184*J$185*J$186*J$187*J183&gt;0,SQRT(COUNT(J$184:J$187,J183))," "),"")</f>
        <v/>
      </c>
      <c r="AO300" s="303" t="str">
        <f aca="false">IFERROR(IF(K$184*K$185*K$186*K$187*K183&gt;0,STDEV(K$184:K$187,K183)," ")/IF(K$184*K$185*K$186*K$187*K183&gt;0,SQRT(COUNT(K$184:K$187,K183))," "),"")</f>
        <v/>
      </c>
      <c r="AP300" s="303" t="str">
        <f aca="false">IFERROR(IF(L$184*L$185*L$186*L$187*L183&gt;0,STDEV(L$184:L$187,L183)," ")/IF(L$184*L$185*L$186*L$187*L183&gt;0,SQRT(COUNT(L$184:L$187,L183))," "),"")</f>
        <v/>
      </c>
      <c r="AQ300" s="303" t="str">
        <f aca="false">IFERROR(IF(M$184*M$185*M$186*M$187*M183&gt;0,STDEV(M$184:M$187,M183)," ")/IF(M$184*M$185*M$186*M$187*M183&gt;0,SQRT(COUNT(M$184:M$187,M183))," "),"")</f>
        <v/>
      </c>
      <c r="AR300" s="303" t="str">
        <f aca="false">IFERROR(IF(N$184*N$185*N$186*N$187*N183&gt;0,STDEV(N$184:N$187,N183)," ")/IF(N$184*N$185*N$186*N$187*N183&gt;0,SQRT(COUNT(N$184:N$187,N183))," "),"")</f>
        <v/>
      </c>
    </row>
    <row r="301" customFormat="false" ht="15.75" hidden="false" customHeight="false" outlineLevel="0" collapsed="false">
      <c r="A301" s="290" t="s">
        <v>563</v>
      </c>
      <c r="B301" s="281"/>
      <c r="C301" s="302" t="str">
        <f aca="false">IFERROR(IF(C$184*C$185*C$186*C$187*C188&gt;0,AVERAGE(C$184:C$187,C188),""),"")</f>
        <v/>
      </c>
      <c r="D301" s="302" t="str">
        <f aca="false">IFERROR(IF(D$184*D$185*D$186*D$187*D188&gt;0,AVERAGE(D$184:D$187,D188),""),"")</f>
        <v/>
      </c>
      <c r="E301" s="302" t="str">
        <f aca="false">IFERROR(IF(E$184*E$185*E$186*E$187*E188&gt;0,AVERAGE(E$184:E$187,E188),""),"")</f>
        <v/>
      </c>
      <c r="F301" s="302" t="str">
        <f aca="false">IFERROR(IF(F$184*F$185*F$186*F$187*F188&gt;0,AVERAGE(F$184:F$187,F188),""),"")</f>
        <v/>
      </c>
      <c r="G301" s="302" t="str">
        <f aca="false">IFERROR(IF(G$184*G$185*G$186*G$187*G188&gt;0,AVERAGE(G$184:G$187,G188),""),"")</f>
        <v/>
      </c>
      <c r="H301" s="302" t="str">
        <f aca="false">IFERROR(IF(H$184*H$185*H$186*H$187*H188&gt;0,AVERAGE(H$184:H$187,H188),""),"")</f>
        <v/>
      </c>
      <c r="I301" s="302" t="str">
        <f aca="false">IFERROR(IF(I$184*I$185*I$186*I$187*I188&gt;0,AVERAGE(I$184:I$187,I188),""),"")</f>
        <v/>
      </c>
      <c r="J301" s="302" t="str">
        <f aca="false">IFERROR(IF(J$184*J$185*J$186*J$187*J188&gt;0,AVERAGE(J$184:J$187,J188),""),"")</f>
        <v/>
      </c>
      <c r="K301" s="302" t="str">
        <f aca="false">IFERROR(IF(K$184*K$185*K$186*K$187*K188&gt;0,AVERAGE(K$184:K$187,K188),""),"")</f>
        <v/>
      </c>
      <c r="L301" s="302" t="str">
        <f aca="false">IFERROR(IF(L$184*L$185*L$186*L$187*L188&gt;0,AVERAGE(L$184:L$187,L188),""),"")</f>
        <v/>
      </c>
      <c r="M301" s="302" t="str">
        <f aca="false">IFERROR(IF(M$184*M$185*M$186*M$187*M188&gt;0,AVERAGE(M$184:M$187,M188),""),"")</f>
        <v/>
      </c>
      <c r="N301" s="302" t="str">
        <f aca="false">IFERROR(IF(N$184*N$185*N$186*N$187*N188&gt;0,AVERAGE(N$184:N$187,N188),""),"")</f>
        <v/>
      </c>
      <c r="O301" s="282"/>
      <c r="P301" s="282"/>
      <c r="Q301" s="296"/>
      <c r="R301" s="293" t="s">
        <v>564</v>
      </c>
      <c r="S301" s="294" t="str">
        <f aca="false">IFERROR(IF(C$184*C$185*C$186*C$187*C188&gt;0,STDEV(C$184:C$187,C188),"")/IF(C$184*C$185*C$186*C$187*C188&gt;0,AVERAGE(C$184:C$187,C188),""),"")</f>
        <v/>
      </c>
      <c r="T301" s="294" t="str">
        <f aca="false">IFERROR(IF(D$184*D$185*D$186*D$187*D188&gt;0,STDEV(D$184:D$187,D188),"")/IF(D$184*D$185*D$186*D$187*D188&gt;0,AVERAGE(D$184:D$187,D188),""),"")</f>
        <v/>
      </c>
      <c r="U301" s="294" t="str">
        <f aca="false">IFERROR(IF(E$184*E$185*E$186*E$187*E188&gt;0,STDEV(E$184:E$187,E188),"")/IF(E$184*E$185*E$186*E$187*E188&gt;0,AVERAGE(E$184:E$187,E188),""),"")</f>
        <v/>
      </c>
      <c r="V301" s="294" t="str">
        <f aca="false">IFERROR(IF(F$184*F$185*F$186*F$187*F188&gt;0,STDEV(F$184:F$187,F188),"")/IF(F$184*F$185*F$186*F$187*F188&gt;0,AVERAGE(F$184:F$187,F188),""),"")</f>
        <v/>
      </c>
      <c r="W301" s="294" t="str">
        <f aca="false">IFERROR(IF(G$184*G$185*G$186*G$187*G188&gt;0,STDEV(G$184:G$187,G188),"")/IF(G$184*G$185*G$186*G$187*G188&gt;0,AVERAGE(G$184:G$187,G188),""),"")</f>
        <v/>
      </c>
      <c r="X301" s="294" t="str">
        <f aca="false">IFERROR(IF(H$184*H$185*H$186*H$187*H188&gt;0,STDEV(H$184:H$187,H188),"")/IF(H$184*H$185*H$186*H$187*H188&gt;0,AVERAGE(H$184:H$187,H188),""),"")</f>
        <v/>
      </c>
      <c r="Y301" s="294" t="str">
        <f aca="false">IFERROR(IF(I$184*I$185*I$186*I$187*I188&gt;0,STDEV(I$184:I$187,I188),"")/IF(I$184*I$185*I$186*I$187*I188&gt;0,AVERAGE(I$184:I$187,I188),""),"")</f>
        <v/>
      </c>
      <c r="Z301" s="294" t="str">
        <f aca="false">IFERROR(IF(J$184*J$185*J$186*J$187*J188&gt;0,STDEV(J$184:J$187,J188),"")/IF(J$184*J$185*J$186*J$187*J188&gt;0,AVERAGE(J$184:J$187,J188),""),"")</f>
        <v/>
      </c>
      <c r="AA301" s="294" t="str">
        <f aca="false">IFERROR(IF(K$184*K$185*K$186*K$187*K188&gt;0,STDEV(K$184:K$187,K188),"")/IF(K$184*K$185*K$186*K$187*K188&gt;0,AVERAGE(K$184:K$187,K188),""),"")</f>
        <v/>
      </c>
      <c r="AB301" s="294" t="str">
        <f aca="false">IFERROR(IF(L$184*L$185*L$186*L$187*L188&gt;0,STDEV(L$184:L$187,L188),"")/IF(L$184*L$185*L$186*L$187*L188&gt;0,AVERAGE(L$184:L$187,L188),""),"")</f>
        <v/>
      </c>
      <c r="AC301" s="294" t="str">
        <f aca="false">IFERROR(IF(M$184*M$185*M$186*M$187*M188&gt;0,STDEV(M$184:M$187,M188),"")/IF(M$184*M$185*M$186*M$187*M188&gt;0,AVERAGE(M$184:M$187,M188),""),"")</f>
        <v/>
      </c>
      <c r="AD301" s="294" t="str">
        <f aca="false">IFERROR(IF(N$184*N$185*N$186*N$187*N188&gt;0,STDEV(N$184:N$187,N188),"")/IF(N$184*N$185*N$186*N$187*N188&gt;0,AVERAGE(N$184:N$187,N188),""),"")</f>
        <v/>
      </c>
      <c r="AE301" s="44"/>
      <c r="AF301" s="266" t="s">
        <v>565</v>
      </c>
      <c r="AG301" s="303" t="str">
        <f aca="false">IFERROR(IF(C$184*C$185*C$186*C$187*C188&gt;0,STDEV(C$184:C$187,C188)," ")/IF(C$184*C$185*C$186*C$187*C188&gt;0,SQRT(COUNT(C$184:C$187,C188))," "),"")</f>
        <v/>
      </c>
      <c r="AH301" s="303" t="str">
        <f aca="false">IFERROR(IF(D$184*D$185*D$186*D$187*D188&gt;0,STDEV(D$184:D$187,D188)," ")/IF(D$184*D$185*D$186*D$187*D188&gt;0,SQRT(COUNT(D$184:D$187,D188))," "),"")</f>
        <v/>
      </c>
      <c r="AI301" s="303" t="str">
        <f aca="false">IFERROR(IF(E$184*E$185*E$186*E$187*E188&gt;0,STDEV(E$184:E$187,E188)," ")/IF(E$184*E$185*E$186*E$187*E188&gt;0,SQRT(COUNT(E$184:E$187,E188))," "),"")</f>
        <v/>
      </c>
      <c r="AJ301" s="303" t="str">
        <f aca="false">IFERROR(IF(F$184*F$185*F$186*F$187*F188&gt;0,STDEV(F$184:F$187,F188)," ")/IF(F$184*F$185*F$186*F$187*F188&gt;0,SQRT(COUNT(F$184:F$187,F188))," "),"")</f>
        <v/>
      </c>
      <c r="AK301" s="303" t="str">
        <f aca="false">IFERROR(IF(G$184*G$185*G$186*G$187*G188&gt;0,STDEV(G$184:G$187,G188)," ")/IF(G$184*G$185*G$186*G$187*G188&gt;0,SQRT(COUNT(G$184:G$187,G188))," "),"")</f>
        <v/>
      </c>
      <c r="AL301" s="303" t="str">
        <f aca="false">IFERROR(IF(H$184*H$185*H$186*H$187*H188&gt;0,STDEV(H$184:H$187,H188)," ")/IF(H$184*H$185*H$186*H$187*H188&gt;0,SQRT(COUNT(H$184:H$187,H188))," "),"")</f>
        <v/>
      </c>
      <c r="AM301" s="303" t="str">
        <f aca="false">IFERROR(IF(I$184*I$185*I$186*I$187*I188&gt;0,STDEV(I$184:I$187,I188)," ")/IF(I$184*I$185*I$186*I$187*I188&gt;0,SQRT(COUNT(I$184:I$187,I188))," "),"")</f>
        <v/>
      </c>
      <c r="AN301" s="303" t="str">
        <f aca="false">IFERROR(IF(J$184*J$185*J$186*J$187*J188&gt;0,STDEV(J$184:J$187,J188)," ")/IF(J$184*J$185*J$186*J$187*J188&gt;0,SQRT(COUNT(J$184:J$187,J188))," "),"")</f>
        <v/>
      </c>
      <c r="AO301" s="303" t="str">
        <f aca="false">IFERROR(IF(K$184*K$185*K$186*K$187*K188&gt;0,STDEV(K$184:K$187,K188)," ")/IF(K$184*K$185*K$186*K$187*K188&gt;0,SQRT(COUNT(K$184:K$187,K188))," "),"")</f>
        <v/>
      </c>
      <c r="AP301" s="303" t="str">
        <f aca="false">IFERROR(IF(L$184*L$185*L$186*L$187*L188&gt;0,STDEV(L$184:L$187,L188)," ")/IF(L$184*L$185*L$186*L$187*L188&gt;0,SQRT(COUNT(L$184:L$187,L188))," "),"")</f>
        <v/>
      </c>
      <c r="AQ301" s="303" t="str">
        <f aca="false">IFERROR(IF(M$184*M$185*M$186*M$187*M188&gt;0,STDEV(M$184:M$187,M188)," ")/IF(M$184*M$185*M$186*M$187*M188&gt;0,SQRT(COUNT(M$184:M$187,M188))," "),"")</f>
        <v/>
      </c>
      <c r="AR301" s="303" t="str">
        <f aca="false">IFERROR(IF(N$184*N$185*N$186*N$187*N188&gt;0,STDEV(N$184:N$187,N188)," ")/IF(N$184*N$185*N$186*N$187*N188&gt;0,SQRT(COUNT(N$184:N$187,N188))," "),"")</f>
        <v/>
      </c>
    </row>
    <row r="302" customFormat="false" ht="15.75" hidden="false" customHeight="false" outlineLevel="0" collapsed="false">
      <c r="A302" s="290" t="s">
        <v>566</v>
      </c>
      <c r="B302" s="281"/>
      <c r="C302" s="302" t="str">
        <f aca="false">IFERROR(IF(C$185*C$186*C$187*C$188*C182&gt;0,AVERAGE(C$185:C$188,C182),""),"")</f>
        <v/>
      </c>
      <c r="D302" s="302" t="str">
        <f aca="false">IFERROR(IF(D$185*D$186*D$187*D$188*D182&gt;0,AVERAGE(D$185:D$188,D182),""),"")</f>
        <v/>
      </c>
      <c r="E302" s="302" t="str">
        <f aca="false">IFERROR(IF(E$185*E$186*E$187*E$188*E182&gt;0,AVERAGE(E$185:E$188,E182),""),"")</f>
        <v/>
      </c>
      <c r="F302" s="302" t="str">
        <f aca="false">IFERROR(IF(F$185*F$186*F$187*F$188*F182&gt;0,AVERAGE(F$185:F$188,F182),""),"")</f>
        <v/>
      </c>
      <c r="G302" s="302" t="str">
        <f aca="false">IFERROR(IF(G$185*G$186*G$187*G$188*G182&gt;0,AVERAGE(G$185:G$188,G182),""),"")</f>
        <v/>
      </c>
      <c r="H302" s="302" t="str">
        <f aca="false">IFERROR(IF(H$185*H$186*H$187*H$188*H182&gt;0,AVERAGE(H$185:H$188,H182),""),"")</f>
        <v/>
      </c>
      <c r="I302" s="302" t="str">
        <f aca="false">IFERROR(IF(I$185*I$186*I$187*I$188*I182&gt;0,AVERAGE(I$185:I$188,I182),""),"")</f>
        <v/>
      </c>
      <c r="J302" s="302" t="str">
        <f aca="false">IFERROR(IF(J$185*J$186*J$187*J$188*J182&gt;0,AVERAGE(J$185:J$188,J182),""),"")</f>
        <v/>
      </c>
      <c r="K302" s="302" t="str">
        <f aca="false">IFERROR(IF(K$185*K$186*K$187*K$188*K182&gt;0,AVERAGE(K$185:K$188,K182),""),"")</f>
        <v/>
      </c>
      <c r="L302" s="302" t="str">
        <f aca="false">IFERROR(IF(L$185*L$186*L$187*L$188*L182&gt;0,AVERAGE(L$185:L$188,L182),""),"")</f>
        <v/>
      </c>
      <c r="M302" s="302" t="str">
        <f aca="false">IFERROR(IF(M$185*M$186*M$187*M$188*M182&gt;0,AVERAGE(M$185:M$188,M182),""),"")</f>
        <v/>
      </c>
      <c r="N302" s="302" t="str">
        <f aca="false">IFERROR(IF(N$185*N$186*N$187*N$188*N182&gt;0,AVERAGE(N$185:N$188,N182),""),"")</f>
        <v/>
      </c>
      <c r="O302" s="282"/>
      <c r="P302" s="282"/>
      <c r="Q302" s="296"/>
      <c r="R302" s="293" t="s">
        <v>567</v>
      </c>
      <c r="S302" s="294" t="str">
        <f aca="false">IFERROR(IF(C$185*C$186*C$187*C$188*C182&gt;0,STDEV(C$185:C$188,C182),"")/IF(C$185*C$186*C$187*C$188*C182&gt;0,AVERAGE(C$185:C$188,C182),""),"")</f>
        <v/>
      </c>
      <c r="T302" s="294" t="str">
        <f aca="false">IFERROR(IF(D$185*D$186*D$187*D$188*D182&gt;0,STDEV(D$185:D$188,D182),"")/IF(D$185*D$186*D$187*D$188*D182&gt;0,AVERAGE(D$185:D$188,D182),""),"")</f>
        <v/>
      </c>
      <c r="U302" s="294" t="str">
        <f aca="false">IFERROR(IF(E$185*E$186*E$187*E$188*E182&gt;0,STDEV(E$185:E$188,E182),"")/IF(E$185*E$186*E$187*E$188*E182&gt;0,AVERAGE(E$185:E$188,E182),""),"")</f>
        <v/>
      </c>
      <c r="V302" s="294" t="str">
        <f aca="false">IFERROR(IF(F$185*F$186*F$187*F$188*F182&gt;0,STDEV(F$185:F$188,F182),"")/IF(F$185*F$186*F$187*F$188*F182&gt;0,AVERAGE(F$185:F$188,F182),""),"")</f>
        <v/>
      </c>
      <c r="W302" s="294" t="str">
        <f aca="false">IFERROR(IF(G$185*G$186*G$187*G$188*G182&gt;0,STDEV(G$185:G$188,G182),"")/IF(G$185*G$186*G$187*G$188*G182&gt;0,AVERAGE(G$185:G$188,G182),""),"")</f>
        <v/>
      </c>
      <c r="X302" s="294" t="str">
        <f aca="false">IFERROR(IF(H$185*H$186*H$187*H$188*H182&gt;0,STDEV(H$185:H$188,H182),"")/IF(H$185*H$186*H$187*H$188*H182&gt;0,AVERAGE(H$185:H$188,H182),""),"")</f>
        <v/>
      </c>
      <c r="Y302" s="294" t="str">
        <f aca="false">IFERROR(IF(I$185*I$186*I$187*I$188*I182&gt;0,STDEV(I$185:I$188,I182),"")/IF(I$185*I$186*I$187*I$188*I182&gt;0,AVERAGE(I$185:I$188,I182),""),"")</f>
        <v/>
      </c>
      <c r="Z302" s="294" t="str">
        <f aca="false">IFERROR(IF(J$185*J$186*J$187*J$188*J182&gt;0,STDEV(J$185:J$188,J182),"")/IF(J$185*J$186*J$187*J$188*J182&gt;0,AVERAGE(J$185:J$188,J182),""),"")</f>
        <v/>
      </c>
      <c r="AA302" s="294" t="str">
        <f aca="false">IFERROR(IF(K$185*K$186*K$187*K$188*K182&gt;0,STDEV(K$185:K$188,K182),"")/IF(K$185*K$186*K$187*K$188*K182&gt;0,AVERAGE(K$185:K$188,K182),""),"")</f>
        <v/>
      </c>
      <c r="AB302" s="294" t="str">
        <f aca="false">IFERROR(IF(L$185*L$186*L$187*L$188*L182&gt;0,STDEV(L$185:L$188,L182),"")/IF(L$185*L$186*L$187*L$188*L182&gt;0,AVERAGE(L$185:L$188,L182),""),"")</f>
        <v/>
      </c>
      <c r="AC302" s="294" t="str">
        <f aca="false">IFERROR(IF(M$185*M$186*M$187*M$188*M182&gt;0,STDEV(M$185:M$188,M182),"")/IF(M$185*M$186*M$187*M$188*M182&gt;0,AVERAGE(M$185:M$188,M182),""),"")</f>
        <v/>
      </c>
      <c r="AD302" s="294" t="str">
        <f aca="false">IFERROR(IF(N$185*N$186*N$187*N$188*N182&gt;0,STDEV(N$185:N$188,N182),"")/IF(N$185*N$186*N$187*N$188*N182&gt;0,AVERAGE(N$185:N$188,N182),""),"")</f>
        <v/>
      </c>
      <c r="AE302" s="44"/>
      <c r="AF302" s="266" t="s">
        <v>568</v>
      </c>
      <c r="AG302" s="303" t="str">
        <f aca="false">IFERROR(IF(C$185*C$186*C$187*C$188*C182&gt;0,STDEV(C$185:C$188,C182)," ")/IF(C$185*C$186*C$187*C$188*C182&gt;0,SQRT(COUNT(C$185:C$188,C182))," "),"")</f>
        <v/>
      </c>
      <c r="AH302" s="303" t="str">
        <f aca="false">IFERROR(IF(D$185*D$186*D$187*D$188*D182&gt;0,STDEV(D$185:D$188,D182)," ")/IF(D$185*D$186*D$187*D$188*D182&gt;0,SQRT(COUNT(D$185:D$188,D182))," "),"")</f>
        <v/>
      </c>
      <c r="AI302" s="303" t="str">
        <f aca="false">IFERROR(IF(E$185*E$186*E$187*E$188*E182&gt;0,STDEV(E$185:E$188,E182)," ")/IF(E$185*E$186*E$187*E$188*E182&gt;0,SQRT(COUNT(E$185:E$188,E182))," "),"")</f>
        <v/>
      </c>
      <c r="AJ302" s="303" t="str">
        <f aca="false">IFERROR(IF(F$185*F$186*F$187*F$188*F182&gt;0,STDEV(F$185:F$188,F182)," ")/IF(F$185*F$186*F$187*F$188*F182&gt;0,SQRT(COUNT(F$185:F$188,F182))," "),"")</f>
        <v/>
      </c>
      <c r="AK302" s="303" t="str">
        <f aca="false">IFERROR(IF(G$185*G$186*G$187*G$188*G182&gt;0,STDEV(G$185:G$188,G182)," ")/IF(G$185*G$186*G$187*G$188*G182&gt;0,SQRT(COUNT(G$185:G$188,G182))," "),"")</f>
        <v/>
      </c>
      <c r="AL302" s="303" t="str">
        <f aca="false">IFERROR(IF(H$185*H$186*H$187*H$188*H182&gt;0,STDEV(H$185:H$188,H182)," ")/IF(H$185*H$186*H$187*H$188*H182&gt;0,SQRT(COUNT(H$185:H$188,H182))," "),"")</f>
        <v/>
      </c>
      <c r="AM302" s="303" t="str">
        <f aca="false">IFERROR(IF(I$185*I$186*I$187*I$188*I182&gt;0,STDEV(I$185:I$188,I182)," ")/IF(I$185*I$186*I$187*I$188*I182&gt;0,SQRT(COUNT(I$185:I$188,I182))," "),"")</f>
        <v/>
      </c>
      <c r="AN302" s="303" t="str">
        <f aca="false">IFERROR(IF(J$185*J$186*J$187*J$188*J182&gt;0,STDEV(J$185:J$188,J182)," ")/IF(J$185*J$186*J$187*J$188*J182&gt;0,SQRT(COUNT(J$185:J$188,J182))," "),"")</f>
        <v/>
      </c>
      <c r="AO302" s="303" t="str">
        <f aca="false">IFERROR(IF(K$185*K$186*K$187*K$188*K182&gt;0,STDEV(K$185:K$188,K182)," ")/IF(K$185*K$186*K$187*K$188*K182&gt;0,SQRT(COUNT(K$185:K$188,K182))," "),"")</f>
        <v/>
      </c>
      <c r="AP302" s="303" t="str">
        <f aca="false">IFERROR(IF(L$185*L$186*L$187*L$188*L182&gt;0,STDEV(L$185:L$188,L182)," ")/IF(L$185*L$186*L$187*L$188*L182&gt;0,SQRT(COUNT(L$185:L$188,L182))," "),"")</f>
        <v/>
      </c>
      <c r="AQ302" s="303" t="str">
        <f aca="false">IFERROR(IF(M$185*M$186*M$187*M$188*M182&gt;0,STDEV(M$185:M$188,M182)," ")/IF(M$185*M$186*M$187*M$188*M182&gt;0,SQRT(COUNT(M$185:M$188,M182))," "),"")</f>
        <v/>
      </c>
      <c r="AR302" s="303" t="str">
        <f aca="false">IFERROR(IF(N$185*N$186*N$187*N$188*N182&gt;0,STDEV(N$185:N$188,N182)," ")/IF(N$185*N$186*N$187*N$188*N182&gt;0,SQRT(COUNT(N$185:N$188,N182))," "),"")</f>
        <v/>
      </c>
    </row>
    <row r="303" customFormat="false" ht="15.75" hidden="false" customHeight="false" outlineLevel="0" collapsed="false">
      <c r="A303" s="290" t="s">
        <v>569</v>
      </c>
      <c r="B303" s="281"/>
      <c r="C303" s="302" t="str">
        <f aca="false">IFERROR(IF(C$185*C$186*C$187*C$188*C183&gt;0,AVERAGE(C$185:C$188,C183),""),"")</f>
        <v/>
      </c>
      <c r="D303" s="302" t="str">
        <f aca="false">IFERROR(IF(D$185*D$186*D$187*D$188*D183&gt;0,AVERAGE(D$185:D$188,D183),""),"")</f>
        <v/>
      </c>
      <c r="E303" s="302" t="str">
        <f aca="false">IFERROR(IF(E$185*E$186*E$187*E$188*E183&gt;0,AVERAGE(E$185:E$188,E183),""),"")</f>
        <v/>
      </c>
      <c r="F303" s="302" t="str">
        <f aca="false">IFERROR(IF(F$185*F$186*F$187*F$188*F183&gt;0,AVERAGE(F$185:F$188,F183),""),"")</f>
        <v/>
      </c>
      <c r="G303" s="302" t="str">
        <f aca="false">IFERROR(IF(G$185*G$186*G$187*G$188*G183&gt;0,AVERAGE(G$185:G$188,G183),""),"")</f>
        <v/>
      </c>
      <c r="H303" s="302" t="str">
        <f aca="false">IFERROR(IF(H$185*H$186*H$187*H$188*H183&gt;0,AVERAGE(H$185:H$188,H183),""),"")</f>
        <v/>
      </c>
      <c r="I303" s="302" t="str">
        <f aca="false">IFERROR(IF(I$185*I$186*I$187*I$188*I183&gt;0,AVERAGE(I$185:I$188,I183),""),"")</f>
        <v/>
      </c>
      <c r="J303" s="302" t="str">
        <f aca="false">IFERROR(IF(J$185*J$186*J$187*J$188*J183&gt;0,AVERAGE(J$185:J$188,J183),""),"")</f>
        <v/>
      </c>
      <c r="K303" s="302" t="str">
        <f aca="false">IFERROR(IF(K$185*K$186*K$187*K$188*K183&gt;0,AVERAGE(K$185:K$188,K183),""),"")</f>
        <v/>
      </c>
      <c r="L303" s="302" t="str">
        <f aca="false">IFERROR(IF(L$185*L$186*L$187*L$188*L183&gt;0,AVERAGE(L$185:L$188,L183),""),"")</f>
        <v/>
      </c>
      <c r="M303" s="302" t="str">
        <f aca="false">IFERROR(IF(M$185*M$186*M$187*M$188*M183&gt;0,AVERAGE(M$185:M$188,M183),""),"")</f>
        <v/>
      </c>
      <c r="N303" s="302" t="str">
        <f aca="false">IFERROR(IF(N$185*N$186*N$187*N$188*N183&gt;0,AVERAGE(N$185:N$188,N183),""),"")</f>
        <v/>
      </c>
      <c r="O303" s="282"/>
      <c r="P303" s="282"/>
      <c r="Q303" s="296"/>
      <c r="R303" s="293" t="s">
        <v>570</v>
      </c>
      <c r="S303" s="294" t="str">
        <f aca="false">IFERROR(IF(C$185*C$186*C$187*C$188*C183&gt;0,STDEV(C$185:C$188,C183),"")/IF(C$185*C$186*C$187*C$188*C183&gt;0,AVERAGE(C$185:C$188,C183),""),"")</f>
        <v/>
      </c>
      <c r="T303" s="294" t="str">
        <f aca="false">IFERROR(IF(D$185*D$186*D$187*D$188*D183&gt;0,STDEV(D$185:D$188,D183),"")/IF(D$185*D$186*D$187*D$188*D183&gt;0,AVERAGE(D$185:D$188,D183),""),"")</f>
        <v/>
      </c>
      <c r="U303" s="294" t="str">
        <f aca="false">IFERROR(IF(E$185*E$186*E$187*E$188*E183&gt;0,STDEV(E$185:E$188,E183),"")/IF(E$185*E$186*E$187*E$188*E183&gt;0,AVERAGE(E$185:E$188,E183),""),"")</f>
        <v/>
      </c>
      <c r="V303" s="294" t="str">
        <f aca="false">IFERROR(IF(F$185*F$186*F$187*F$188*F183&gt;0,STDEV(F$185:F$188,F183),"")/IF(F$185*F$186*F$187*F$188*F183&gt;0,AVERAGE(F$185:F$188,F183),""),"")</f>
        <v/>
      </c>
      <c r="W303" s="294" t="str">
        <f aca="false">IFERROR(IF(G$185*G$186*G$187*G$188*G183&gt;0,STDEV(G$185:G$188,G183),"")/IF(G$185*G$186*G$187*G$188*G183&gt;0,AVERAGE(G$185:G$188,G183),""),"")</f>
        <v/>
      </c>
      <c r="X303" s="294" t="str">
        <f aca="false">IFERROR(IF(H$185*H$186*H$187*H$188*H183&gt;0,STDEV(H$185:H$188,H183),"")/IF(H$185*H$186*H$187*H$188*H183&gt;0,AVERAGE(H$185:H$188,H183),""),"")</f>
        <v/>
      </c>
      <c r="Y303" s="294" t="str">
        <f aca="false">IFERROR(IF(I$185*I$186*I$187*I$188*I183&gt;0,STDEV(I$185:I$188,I183),"")/IF(I$185*I$186*I$187*I$188*I183&gt;0,AVERAGE(I$185:I$188,I183),""),"")</f>
        <v/>
      </c>
      <c r="Z303" s="294" t="str">
        <f aca="false">IFERROR(IF(J$185*J$186*J$187*J$188*J183&gt;0,STDEV(J$185:J$188,J183),"")/IF(J$185*J$186*J$187*J$188*J183&gt;0,AVERAGE(J$185:J$188,J183),""),"")</f>
        <v/>
      </c>
      <c r="AA303" s="294" t="str">
        <f aca="false">IFERROR(IF(K$185*K$186*K$187*K$188*K183&gt;0,STDEV(K$185:K$188,K183),"")/IF(K$185*K$186*K$187*K$188*K183&gt;0,AVERAGE(K$185:K$188,K183),""),"")</f>
        <v/>
      </c>
      <c r="AB303" s="294" t="str">
        <f aca="false">IFERROR(IF(L$185*L$186*L$187*L$188*L183&gt;0,STDEV(L$185:L$188,L183),"")/IF(L$185*L$186*L$187*L$188*L183&gt;0,AVERAGE(L$185:L$188,L183),""),"")</f>
        <v/>
      </c>
      <c r="AC303" s="294" t="str">
        <f aca="false">IFERROR(IF(M$185*M$186*M$187*M$188*M183&gt;0,STDEV(M$185:M$188,M183),"")/IF(M$185*M$186*M$187*M$188*M183&gt;0,AVERAGE(M$185:M$188,M183),""),"")</f>
        <v/>
      </c>
      <c r="AD303" s="294" t="str">
        <f aca="false">IFERROR(IF(N$185*N$186*N$187*N$188*N183&gt;0,STDEV(N$185:N$188,N183),"")/IF(N$185*N$186*N$187*N$188*N183&gt;0,AVERAGE(N$185:N$188,N183),""),"")</f>
        <v/>
      </c>
      <c r="AE303" s="44"/>
      <c r="AF303" s="266" t="s">
        <v>571</v>
      </c>
      <c r="AG303" s="303" t="str">
        <f aca="false">IFERROR(IF(C$185*C$186*C$187*C$188*C183&gt;0,STDEV(C$185:C$188,C183)," ")/IF(C$185*C$186*C$187*C$188*C183&gt;0,SQRT(COUNT(C$185:C$188,C183))," "),"")</f>
        <v/>
      </c>
      <c r="AH303" s="303" t="str">
        <f aca="false">IFERROR(IF(D$185*D$186*D$187*D$188*D183&gt;0,STDEV(D$185:D$188,D183)," ")/IF(D$185*D$186*D$187*D$188*D183&gt;0,SQRT(COUNT(D$185:D$188,D183))," "),"")</f>
        <v/>
      </c>
      <c r="AI303" s="303" t="str">
        <f aca="false">IFERROR(IF(E$185*E$186*E$187*E$188*E183&gt;0,STDEV(E$185:E$188,E183)," ")/IF(E$185*E$186*E$187*E$188*E183&gt;0,SQRT(COUNT(E$185:E$188,E183))," "),"")</f>
        <v/>
      </c>
      <c r="AJ303" s="303" t="str">
        <f aca="false">IFERROR(IF(F$185*F$186*F$187*F$188*F183&gt;0,STDEV(F$185:F$188,F183)," ")/IF(F$185*F$186*F$187*F$188*F183&gt;0,SQRT(COUNT(F$185:F$188,F183))," "),"")</f>
        <v/>
      </c>
      <c r="AK303" s="303" t="str">
        <f aca="false">IFERROR(IF(G$185*G$186*G$187*G$188*G183&gt;0,STDEV(G$185:G$188,G183)," ")/IF(G$185*G$186*G$187*G$188*G183&gt;0,SQRT(COUNT(G$185:G$188,G183))," "),"")</f>
        <v/>
      </c>
      <c r="AL303" s="303" t="str">
        <f aca="false">IFERROR(IF(H$185*H$186*H$187*H$188*H183&gt;0,STDEV(H$185:H$188,H183)," ")/IF(H$185*H$186*H$187*H$188*H183&gt;0,SQRT(COUNT(H$185:H$188,H183))," "),"")</f>
        <v/>
      </c>
      <c r="AM303" s="303" t="str">
        <f aca="false">IFERROR(IF(I$185*I$186*I$187*I$188*I183&gt;0,STDEV(I$185:I$188,I183)," ")/IF(I$185*I$186*I$187*I$188*I183&gt;0,SQRT(COUNT(I$185:I$188,I183))," "),"")</f>
        <v/>
      </c>
      <c r="AN303" s="303" t="str">
        <f aca="false">IFERROR(IF(J$185*J$186*J$187*J$188*J183&gt;0,STDEV(J$185:J$188,J183)," ")/IF(J$185*J$186*J$187*J$188*J183&gt;0,SQRT(COUNT(J$185:J$188,J183))," "),"")</f>
        <v/>
      </c>
      <c r="AO303" s="303" t="str">
        <f aca="false">IFERROR(IF(K$185*K$186*K$187*K$188*K183&gt;0,STDEV(K$185:K$188,K183)," ")/IF(K$185*K$186*K$187*K$188*K183&gt;0,SQRT(COUNT(K$185:K$188,K183))," "),"")</f>
        <v/>
      </c>
      <c r="AP303" s="303" t="str">
        <f aca="false">IFERROR(IF(L$185*L$186*L$187*L$188*L183&gt;0,STDEV(L$185:L$188,L183)," ")/IF(L$185*L$186*L$187*L$188*L183&gt;0,SQRT(COUNT(L$185:L$188,L183))," "),"")</f>
        <v/>
      </c>
      <c r="AQ303" s="303" t="str">
        <f aca="false">IFERROR(IF(M$185*M$186*M$187*M$188*M183&gt;0,STDEV(M$185:M$188,M183)," ")/IF(M$185*M$186*M$187*M$188*M183&gt;0,SQRT(COUNT(M$185:M$188,M183))," "),"")</f>
        <v/>
      </c>
      <c r="AR303" s="303" t="str">
        <f aca="false">IFERROR(IF(N$185*N$186*N$187*N$188*N183&gt;0,STDEV(N$185:N$188,N183)," ")/IF(N$185*N$186*N$187*N$188*N183&gt;0,SQRT(COUNT(N$185:N$188,N183))," "),"")</f>
        <v/>
      </c>
    </row>
    <row r="304" customFormat="false" ht="15.75" hidden="false" customHeight="false" outlineLevel="0" collapsed="false">
      <c r="A304" s="290" t="s">
        <v>572</v>
      </c>
      <c r="B304" s="281"/>
      <c r="C304" s="302" t="str">
        <f aca="false">IFERROR(IF(C$186*C$187*C$188*C$182*C$183&gt;0,AVERAGE(C$186:C$188, C$182, C$183),""),"")</f>
        <v/>
      </c>
      <c r="D304" s="302" t="str">
        <f aca="false">IFERROR(IF(D$186*D$187*D$188*D$182*D$183&gt;0,AVERAGE(D$186:D$188, D$182, D$183),""),"")</f>
        <v/>
      </c>
      <c r="E304" s="302" t="str">
        <f aca="false">IFERROR(IF(E$186*E$187*E$188*E$182*E$183&gt;0,AVERAGE(E$186:E$188, E$182, E$183),""),"")</f>
        <v/>
      </c>
      <c r="F304" s="302" t="str">
        <f aca="false">IFERROR(IF(F$186*F$187*F$188*F$182*F$183&gt;0,AVERAGE(F$186:F$188, F$182, F$183),""),"")</f>
        <v/>
      </c>
      <c r="G304" s="302" t="str">
        <f aca="false">IFERROR(IF(G$186*G$187*G$188*G$182*G$183&gt;0,AVERAGE(G$186:G$188, G$182, G$183),""),"")</f>
        <v/>
      </c>
      <c r="H304" s="302" t="str">
        <f aca="false">IFERROR(IF(H$186*H$187*H$188*H$182*H$183&gt;0,AVERAGE(H$186:H$188, H$182, H$183),""),"")</f>
        <v/>
      </c>
      <c r="I304" s="302" t="str">
        <f aca="false">IFERROR(IF(I$186*I$187*I$188*I$182*I$183&gt;0,AVERAGE(I$186:I$188, I$182, I$183),""),"")</f>
        <v/>
      </c>
      <c r="J304" s="302" t="str">
        <f aca="false">IFERROR(IF(J$186*J$187*J$188*J$182*J$183&gt;0,AVERAGE(J$186:J$188, J$182, J$183),""),"")</f>
        <v/>
      </c>
      <c r="K304" s="302" t="str">
        <f aca="false">IFERROR(IF(K$186*K$187*K$188*K$182*K$183&gt;0,AVERAGE(K$186:K$188, K$182, K$183),""),"")</f>
        <v/>
      </c>
      <c r="L304" s="302" t="str">
        <f aca="false">IFERROR(IF(L$186*L$187*L$188*L$182*L$183&gt;0,AVERAGE(L$186:L$188, L$182, L$183),""),"")</f>
        <v/>
      </c>
      <c r="M304" s="302" t="str">
        <f aca="false">IFERROR(IF(M$186*M$187*M$188*M$182*M$183&gt;0,AVERAGE(M$186:M$188, M$182, M$183),""),"")</f>
        <v/>
      </c>
      <c r="N304" s="302" t="str">
        <f aca="false">IFERROR(IF(N$186*N$187*N$188*N$182*N$183&gt;0,AVERAGE(N$186:N$188, N$182, N$183),""),"")</f>
        <v/>
      </c>
      <c r="O304" s="282"/>
      <c r="P304" s="282"/>
      <c r="Q304" s="296"/>
      <c r="R304" s="293" t="s">
        <v>573</v>
      </c>
      <c r="S304" s="294" t="str">
        <f aca="false">IFERROR(IF(C$186*C$187*C$188*C$182*C$183&gt;0,STDEV(C$186:C$188,, C$182, C$183),"")/IF(C$186*C$187*C$188*C$182*C$183&gt;0,AVERAGE(C$186:C$188,, C$182, C$183),""),"")</f>
        <v/>
      </c>
      <c r="T304" s="294" t="str">
        <f aca="false">IFERROR(IF(D$186*D$187*D$188*D$182*D$183&gt;0,STDEV(D$186:D$188,, D$182, D$183),"")/IF(D$186*D$187*D$188*D$182*D$183&gt;0,AVERAGE(D$186:D$188,, D$182, D$183),""),"")</f>
        <v/>
      </c>
      <c r="U304" s="294" t="str">
        <f aca="false">IFERROR(IF(E$186*E$187*E$188*E$182*E$183&gt;0,STDEV(E$186:E$188,, E$182, E$183),"")/IF(E$186*E$187*E$188*E$182*E$183&gt;0,AVERAGE(E$186:E$188,, E$182, E$183),""),"")</f>
        <v/>
      </c>
      <c r="V304" s="294" t="str">
        <f aca="false">IFERROR(IF(F$186*F$187*F$188*F$182*F$183&gt;0,STDEV(F$186:F$188,, F$182, F$183),"")/IF(F$186*F$187*F$188*F$182*F$183&gt;0,AVERAGE(F$186:F$188,, F$182, F$183),""),"")</f>
        <v/>
      </c>
      <c r="W304" s="294" t="str">
        <f aca="false">IFERROR(IF(G$186*G$187*G$188*G$182*G$183&gt;0,STDEV(G$186:G$188,, G$182, G$183),"")/IF(G$186*G$187*G$188*G$182*G$183&gt;0,AVERAGE(G$186:G$188,, G$182, G$183),""),"")</f>
        <v/>
      </c>
      <c r="X304" s="294" t="str">
        <f aca="false">IFERROR(IF(H$186*H$187*H$188*H$182*H$183&gt;0,STDEV(H$186:H$188,, H$182, H$183),"")/IF(H$186*H$187*H$188*H$182*H$183&gt;0,AVERAGE(H$186:H$188,, H$182, H$183),""),"")</f>
        <v/>
      </c>
      <c r="Y304" s="294" t="str">
        <f aca="false">IFERROR(IF(I$186*I$187*I$188*I$182*I$183&gt;0,STDEV(I$186:I$188,, I$182, I$183),"")/IF(I$186*I$187*I$188*I$182*I$183&gt;0,AVERAGE(I$186:I$188,, I$182, I$183),""),"")</f>
        <v/>
      </c>
      <c r="Z304" s="294" t="str">
        <f aca="false">IFERROR(IF(J$186*J$187*J$188*J$182*J$183&gt;0,STDEV(J$186:J$188,, J$182, J$183),"")/IF(J$186*J$187*J$188*J$182*J$183&gt;0,AVERAGE(J$186:J$188,, J$182, J$183),""),"")</f>
        <v/>
      </c>
      <c r="AA304" s="294" t="str">
        <f aca="false">IFERROR(IF(K$186*K$187*K$188*K$182*K$183&gt;0,STDEV(K$186:K$188,, K$182, K$183),"")/IF(K$186*K$187*K$188*K$182*K$183&gt;0,AVERAGE(K$186:K$188,, K$182, K$183),""),"")</f>
        <v/>
      </c>
      <c r="AB304" s="294" t="str">
        <f aca="false">IFERROR(IF(L$186*L$187*L$188*L$182*L$183&gt;0,STDEV(L$186:L$188,, L$182, L$183),"")/IF(L$186*L$187*L$188*L$182*L$183&gt;0,AVERAGE(L$186:L$188,, L$182, L$183),""),"")</f>
        <v/>
      </c>
      <c r="AC304" s="294" t="str">
        <f aca="false">IFERROR(IF(M$186*M$187*M$188*M$182*M$183&gt;0,STDEV(M$186:M$188,, M$182, M$183),"")/IF(M$186*M$187*M$188*M$182*M$183&gt;0,AVERAGE(M$186:M$188,, M$182, M$183),""),"")</f>
        <v/>
      </c>
      <c r="AD304" s="294" t="str">
        <f aca="false">IFERROR(IF(N$186*N$187*N$188*N$182*N$183&gt;0,STDEV(N$186:N$188,, N$182, N$183),"")/IF(N$186*N$187*N$188*N$182*N$183&gt;0,AVERAGE(N$186:N$188,, N$182, N$183),""),"")</f>
        <v/>
      </c>
      <c r="AE304" s="44"/>
      <c r="AF304" s="266" t="s">
        <v>574</v>
      </c>
      <c r="AG304" s="303" t="str">
        <f aca="false">IFERROR(IF(C$186*C$187*C$188*C$182*C$183&gt;0,STDEV(C$186:C$188,, C$182, C$183)," ")/IF(C$186*C$187*C$188*C$182*C$183&gt;0,SQRT(COUNT(C$186:C$188,, C$182, C$183))," "),"")</f>
        <v/>
      </c>
      <c r="AH304" s="303" t="str">
        <f aca="false">IFERROR(IF(D$186*D$187*D$188*D$182*D$183&gt;0,STDEV(D$186:D$188,, D$182, D$183)," ")/IF(D$186*D$187*D$188*D$182*D$183&gt;0,SQRT(COUNT(D$186:D$188,, D$182, D$183))," "),"")</f>
        <v/>
      </c>
      <c r="AI304" s="303" t="str">
        <f aca="false">IFERROR(IF(E$186*E$187*E$188*E$182*E$183&gt;0,STDEV(E$186:E$188,, E$182, E$183)," ")/IF(E$186*E$187*E$188*E$182*E$183&gt;0,SQRT(COUNT(E$186:E$188,, E$182, E$183))," "),"")</f>
        <v/>
      </c>
      <c r="AJ304" s="303" t="str">
        <f aca="false">IFERROR(IF(F$186*F$187*F$188*F$182*F$183&gt;0,STDEV(F$186:F$188,, F$182, F$183)," ")/IF(F$186*F$187*F$188*F$182*F$183&gt;0,SQRT(COUNT(F$186:F$188,, F$182, F$183))," "),"")</f>
        <v/>
      </c>
      <c r="AK304" s="303" t="str">
        <f aca="false">IFERROR(IF(G$186*G$187*G$188*G$182*G$183&gt;0,STDEV(G$186:G$188,, G$182, G$183)," ")/IF(G$186*G$187*G$188*G$182*G$183&gt;0,SQRT(COUNT(G$186:G$188,, G$182, G$183))," "),"")</f>
        <v/>
      </c>
      <c r="AL304" s="303" t="str">
        <f aca="false">IFERROR(IF(H$186*H$187*H$188*H$182*H$183&gt;0,STDEV(H$186:H$188,, H$182, H$183)," ")/IF(H$186*H$187*H$188*H$182*H$183&gt;0,SQRT(COUNT(H$186:H$188,, H$182, H$183))," "),"")</f>
        <v/>
      </c>
      <c r="AM304" s="303" t="str">
        <f aca="false">IFERROR(IF(I$186*I$187*I$188*I$182*I$183&gt;0,STDEV(I$186:I$188,, I$182, I$183)," ")/IF(I$186*I$187*I$188*I$182*I$183&gt;0,SQRT(COUNT(I$186:I$188,, I$182, I$183))," "),"")</f>
        <v/>
      </c>
      <c r="AN304" s="303" t="str">
        <f aca="false">IFERROR(IF(J$186*J$187*J$188*J$182*J$183&gt;0,STDEV(J$186:J$188,, J$182, J$183)," ")/IF(J$186*J$187*J$188*J$182*J$183&gt;0,SQRT(COUNT(J$186:J$188,, J$182, J$183))," "),"")</f>
        <v/>
      </c>
      <c r="AO304" s="303" t="str">
        <f aca="false">IFERROR(IF(K$186*K$187*K$188*K$182*K$183&gt;0,STDEV(K$186:K$188,, K$182, K$183)," ")/IF(K$186*K$187*K$188*K$182*K$183&gt;0,SQRT(COUNT(K$186:K$188,, K$182, K$183))," "),"")</f>
        <v/>
      </c>
      <c r="AP304" s="303" t="str">
        <f aca="false">IFERROR(IF(L$186*L$187*L$188*L$182*L$183&gt;0,STDEV(L$186:L$188,, L$182, L$183)," ")/IF(L$186*L$187*L$188*L$182*L$183&gt;0,SQRT(COUNT(L$186:L$188,, L$182, L$183))," "),"")</f>
        <v/>
      </c>
      <c r="AQ304" s="303" t="str">
        <f aca="false">IFERROR(IF(M$186*M$187*M$188*M$182*M$183&gt;0,STDEV(M$186:M$188,, M$182, M$183)," ")/IF(M$186*M$187*M$188*M$182*M$183&gt;0,SQRT(COUNT(M$186:M$188,, M$182, M$183))," "),"")</f>
        <v/>
      </c>
      <c r="AR304" s="303" t="str">
        <f aca="false">IFERROR(IF(N$186*N$187*N$188*N$182*N$183&gt;0,STDEV(N$186:N$188,, N$182, N$183)," ")/IF(N$186*N$187*N$188*N$182*N$183&gt;0,SQRT(COUNT(N$186:N$188,, N$182, N$183))," "),"")</f>
        <v/>
      </c>
    </row>
    <row r="305" customFormat="false" ht="15.75" hidden="false" customHeight="false" outlineLevel="0" collapsed="false">
      <c r="A305" s="290" t="s">
        <v>575</v>
      </c>
      <c r="B305" s="281"/>
      <c r="C305" s="302" t="str">
        <f aca="false">IFERROR(IF(C$186*C$187*C$188*C$182*C$184&gt;0,AVERAGE(C$186:C$188, C$182, C$184),""),"")</f>
        <v/>
      </c>
      <c r="D305" s="302" t="str">
        <f aca="false">IFERROR(IF(D$186*D$187*D$188*D$182*D$184&gt;0,AVERAGE(D$186:D$188, D$182, D$184),""),"")</f>
        <v/>
      </c>
      <c r="E305" s="302" t="str">
        <f aca="false">IFERROR(IF(E$186*E$187*E$188*E$182*E$184&gt;0,AVERAGE(E$186:E$188, E$182, E$184),""),"")</f>
        <v/>
      </c>
      <c r="F305" s="302" t="str">
        <f aca="false">IFERROR(IF(F$186*F$187*F$188*F$182*F$184&gt;0,AVERAGE(F$186:F$188, F$182, F$184),""),"")</f>
        <v/>
      </c>
      <c r="G305" s="302" t="str">
        <f aca="false">IFERROR(IF(G$186*G$187*G$188*G$182*G$184&gt;0,AVERAGE(G$186:G$188, G$182, G$184),""),"")</f>
        <v/>
      </c>
      <c r="H305" s="302" t="str">
        <f aca="false">IFERROR(IF(H$186*H$187*H$188*H$182*H$184&gt;0,AVERAGE(H$186:H$188, H$182, H$184),""),"")</f>
        <v/>
      </c>
      <c r="I305" s="302" t="str">
        <f aca="false">IFERROR(IF(I$186*I$187*I$188*I$182*I$184&gt;0,AVERAGE(I$186:I$188, I$182, I$184),""),"")</f>
        <v/>
      </c>
      <c r="J305" s="302" t="str">
        <f aca="false">IFERROR(IF(J$186*J$187*J$188*J$182*J$184&gt;0,AVERAGE(J$186:J$188, J$182, J$184),""),"")</f>
        <v/>
      </c>
      <c r="K305" s="302" t="str">
        <f aca="false">IFERROR(IF(K$186*K$187*K$188*K$182*K$184&gt;0,AVERAGE(K$186:K$188, K$182, K$184),""),"")</f>
        <v/>
      </c>
      <c r="L305" s="302" t="str">
        <f aca="false">IFERROR(IF(L$186*L$187*L$188*L$182*L$184&gt;0,AVERAGE(L$186:L$188, L$182, L$184),""),"")</f>
        <v/>
      </c>
      <c r="M305" s="302" t="str">
        <f aca="false">IFERROR(IF(M$186*M$187*M$188*M$182*M$184&gt;0,AVERAGE(M$186:M$188, M$182, M$184),""),"")</f>
        <v/>
      </c>
      <c r="N305" s="302" t="str">
        <f aca="false">IFERROR(IF(N$186*N$187*N$188*N$182*N$184&gt;0,AVERAGE(N$186:N$188, N$182, N$184),""),"")</f>
        <v/>
      </c>
      <c r="O305" s="282"/>
      <c r="P305" s="282"/>
      <c r="Q305" s="296"/>
      <c r="R305" s="293" t="s">
        <v>576</v>
      </c>
      <c r="S305" s="294" t="str">
        <f aca="false">IFERROR(IF(C$186*C$187*C$188*C$182*C$184&gt;0,STDEV(C$186:C$188,, C$182, C$184),"")/IF(C$186*C$187*C$188*C$182*C$184&gt;0,AVERAGE(C$186:C$188,, C$182, C$184),""),"")</f>
        <v/>
      </c>
      <c r="T305" s="294" t="str">
        <f aca="false">IFERROR(IF(D$186*D$187*D$188*D$182*D$184&gt;0,STDEV(D$186:D$188,, D$182, D$184),"")/IF(D$186*D$187*D$188*D$182*D$184&gt;0,AVERAGE(D$186:D$188,, D$182, D$184),""),"")</f>
        <v/>
      </c>
      <c r="U305" s="294" t="str">
        <f aca="false">IFERROR(IF(E$186*E$187*E$188*E$182*E$184&gt;0,STDEV(E$186:E$188,, E$182, E$184),"")/IF(E$186*E$187*E$188*E$182*E$184&gt;0,AVERAGE(E$186:E$188,, E$182, E$184),""),"")</f>
        <v/>
      </c>
      <c r="V305" s="294" t="str">
        <f aca="false">IFERROR(IF(F$186*F$187*F$188*F$182*F$184&gt;0,STDEV(F$186:F$188,, F$182, F$184),"")/IF(F$186*F$187*F$188*F$182*F$184&gt;0,AVERAGE(F$186:F$188,, F$182, F$184),""),"")</f>
        <v/>
      </c>
      <c r="W305" s="294" t="str">
        <f aca="false">IFERROR(IF(G$186*G$187*G$188*G$182*G$184&gt;0,STDEV(G$186:G$188,, G$182, G$184),"")/IF(G$186*G$187*G$188*G$182*G$184&gt;0,AVERAGE(G$186:G$188,, G$182, G$184),""),"")</f>
        <v/>
      </c>
      <c r="X305" s="294" t="str">
        <f aca="false">IFERROR(IF(H$186*H$187*H$188*H$182*H$184&gt;0,STDEV(H$186:H$188,, H$182, H$184),"")/IF(H$186*H$187*H$188*H$182*H$184&gt;0,AVERAGE(H$186:H$188,, H$182, H$184),""),"")</f>
        <v/>
      </c>
      <c r="Y305" s="294" t="str">
        <f aca="false">IFERROR(IF(I$186*I$187*I$188*I$182*I$184&gt;0,STDEV(I$186:I$188,, I$182, I$184),"")/IF(I$186*I$187*I$188*I$182*I$184&gt;0,AVERAGE(I$186:I$188,, I$182, I$184),""),"")</f>
        <v/>
      </c>
      <c r="Z305" s="294" t="str">
        <f aca="false">IFERROR(IF(J$186*J$187*J$188*J$182*J$184&gt;0,STDEV(J$186:J$188,, J$182, J$184),"")/IF(J$186*J$187*J$188*J$182*J$184&gt;0,AVERAGE(J$186:J$188,, J$182, J$184),""),"")</f>
        <v/>
      </c>
      <c r="AA305" s="294" t="str">
        <f aca="false">IFERROR(IF(K$186*K$187*K$188*K$182*K$184&gt;0,STDEV(K$186:K$188,, K$182, K$184),"")/IF(K$186*K$187*K$188*K$182*K$184&gt;0,AVERAGE(K$186:K$188,, K$182, K$184),""),"")</f>
        <v/>
      </c>
      <c r="AB305" s="294" t="str">
        <f aca="false">IFERROR(IF(L$186*L$187*L$188*L$182*L$184&gt;0,STDEV(L$186:L$188,, L$182, L$184),"")/IF(L$186*L$187*L$188*L$182*L$184&gt;0,AVERAGE(L$186:L$188,, L$182, L$184),""),"")</f>
        <v/>
      </c>
      <c r="AC305" s="294" t="str">
        <f aca="false">IFERROR(IF(M$186*M$187*M$188*M$182*M$184&gt;0,STDEV(M$186:M$188,, M$182, M$184),"")/IF(M$186*M$187*M$188*M$182*M$184&gt;0,AVERAGE(M$186:M$188,, M$182, M$184),""),"")</f>
        <v/>
      </c>
      <c r="AD305" s="294" t="str">
        <f aca="false">IFERROR(IF(N$186*N$187*N$188*N$182*N$184&gt;0,STDEV(N$186:N$188,, N$182, N$184),"")/IF(N$186*N$187*N$188*N$182*N$184&gt;0,AVERAGE(N$186:N$188,, N$182, N$184),""),"")</f>
        <v/>
      </c>
      <c r="AE305" s="44"/>
      <c r="AF305" s="266" t="s">
        <v>577</v>
      </c>
      <c r="AG305" s="303" t="str">
        <f aca="false">IFERROR(IF(C$186*C$187*C$188*C$182*C$184&gt;0,STDEV(C$186:C$188,, C$182, C$184)," ")/IF(C$186*C$187*C$188*C$182*C$184&gt;0,SQRT(COUNT(C$186:C$188,, C$182, C$184))," "),"")</f>
        <v/>
      </c>
      <c r="AH305" s="303" t="str">
        <f aca="false">IFERROR(IF(D$186*D$187*D$188*D$182*D$184&gt;0,STDEV(D$186:D$188,, D$182, D$184)," ")/IF(D$186*D$187*D$188*D$182*D$184&gt;0,SQRT(COUNT(D$186:D$188,, D$182, D$184))," "),"")</f>
        <v/>
      </c>
      <c r="AI305" s="303" t="str">
        <f aca="false">IFERROR(IF(E$186*E$187*E$188*E$182*E$184&gt;0,STDEV(E$186:E$188,, E$182, E$184)," ")/IF(E$186*E$187*E$188*E$182*E$184&gt;0,SQRT(COUNT(E$186:E$188,, E$182, E$184))," "),"")</f>
        <v/>
      </c>
      <c r="AJ305" s="303" t="str">
        <f aca="false">IFERROR(IF(F$186*F$187*F$188*F$182*F$184&gt;0,STDEV(F$186:F$188,, F$182, F$184)," ")/IF(F$186*F$187*F$188*F$182*F$184&gt;0,SQRT(COUNT(F$186:F$188,, F$182, F$184))," "),"")</f>
        <v/>
      </c>
      <c r="AK305" s="303" t="str">
        <f aca="false">IFERROR(IF(G$186*G$187*G$188*G$182*G$184&gt;0,STDEV(G$186:G$188,, G$182, G$184)," ")/IF(G$186*G$187*G$188*G$182*G$184&gt;0,SQRT(COUNT(G$186:G$188,, G$182, G$184))," "),"")</f>
        <v/>
      </c>
      <c r="AL305" s="303" t="str">
        <f aca="false">IFERROR(IF(H$186*H$187*H$188*H$182*H$184&gt;0,STDEV(H$186:H$188,, H$182, H$184)," ")/IF(H$186*H$187*H$188*H$182*H$184&gt;0,SQRT(COUNT(H$186:H$188,, H$182, H$184))," "),"")</f>
        <v/>
      </c>
      <c r="AM305" s="303" t="str">
        <f aca="false">IFERROR(IF(I$186*I$187*I$188*I$182*I$184&gt;0,STDEV(I$186:I$188,, I$182, I$184)," ")/IF(I$186*I$187*I$188*I$182*I$184&gt;0,SQRT(COUNT(I$186:I$188,, I$182, I$184))," "),"")</f>
        <v/>
      </c>
      <c r="AN305" s="303" t="str">
        <f aca="false">IFERROR(IF(J$186*J$187*J$188*J$182*J$184&gt;0,STDEV(J$186:J$188,, J$182, J$184)," ")/IF(J$186*J$187*J$188*J$182*J$184&gt;0,SQRT(COUNT(J$186:J$188,, J$182, J$184))," "),"")</f>
        <v/>
      </c>
      <c r="AO305" s="303" t="str">
        <f aca="false">IFERROR(IF(K$186*K$187*K$188*K$182*K$184&gt;0,STDEV(K$186:K$188,, K$182, K$184)," ")/IF(K$186*K$187*K$188*K$182*K$184&gt;0,SQRT(COUNT(K$186:K$188,, K$182, K$184))," "),"")</f>
        <v/>
      </c>
      <c r="AP305" s="303" t="str">
        <f aca="false">IFERROR(IF(L$186*L$187*L$188*L$182*L$184&gt;0,STDEV(L$186:L$188,, L$182, L$184)," ")/IF(L$186*L$187*L$188*L$182*L$184&gt;0,SQRT(COUNT(L$186:L$188,, L$182, L$184))," "),"")</f>
        <v/>
      </c>
      <c r="AQ305" s="303" t="str">
        <f aca="false">IFERROR(IF(M$186*M$187*M$188*M$182*M$184&gt;0,STDEV(M$186:M$188,, M$182, M$184)," ")/IF(M$186*M$187*M$188*M$182*M$184&gt;0,SQRT(COUNT(M$186:M$188,, M$182, M$184))," "),"")</f>
        <v/>
      </c>
      <c r="AR305" s="303" t="str">
        <f aca="false">IFERROR(IF(N$186*N$187*N$188*N$182*N$184&gt;0,STDEV(N$186:N$188,, N$182, N$184)," ")/IF(N$186*N$187*N$188*N$182*N$184&gt;0,SQRT(COUNT(N$186:N$188,, N$182, N$184))," "),"")</f>
        <v/>
      </c>
    </row>
    <row r="306" customFormat="false" ht="15.75" hidden="false" customHeight="false" outlineLevel="0" collapsed="false">
      <c r="A306" s="290" t="s">
        <v>578</v>
      </c>
      <c r="B306" s="281"/>
      <c r="C306" s="302" t="str">
        <f aca="false">IFERROR(IF(C$186*C$187*C$188*C$182*C$185&gt;0,AVERAGE(C$186:C$188, C$182, C$185),""),"")</f>
        <v/>
      </c>
      <c r="D306" s="302" t="str">
        <f aca="false">IFERROR(IF(D$186*D$187*D$188*D$182*D$185&gt;0,AVERAGE(D$186:D$188, D$182, D$185),""),"")</f>
        <v/>
      </c>
      <c r="E306" s="302" t="str">
        <f aca="false">IFERROR(IF(E$186*E$187*E$188*E$182*E$185&gt;0,AVERAGE(E$186:E$188, E$182, E$185),""),"")</f>
        <v/>
      </c>
      <c r="F306" s="302" t="str">
        <f aca="false">IFERROR(IF(F$186*F$187*F$188*F$182*F$185&gt;0,AVERAGE(F$186:F$188, F$182, F$185),""),"")</f>
        <v/>
      </c>
      <c r="G306" s="302" t="str">
        <f aca="false">IFERROR(IF(G$186*G$187*G$188*G$182*G$185&gt;0,AVERAGE(G$186:G$188, G$182, G$185),""),"")</f>
        <v/>
      </c>
      <c r="H306" s="302" t="str">
        <f aca="false">IFERROR(IF(H$186*H$187*H$188*H$182*H$185&gt;0,AVERAGE(H$186:H$188, H$182, H$185),""),"")</f>
        <v/>
      </c>
      <c r="I306" s="302" t="str">
        <f aca="false">IFERROR(IF(I$186*I$187*I$188*I$182*I$185&gt;0,AVERAGE(I$186:I$188, I$182, I$185),""),"")</f>
        <v/>
      </c>
      <c r="J306" s="302" t="str">
        <f aca="false">IFERROR(IF(J$186*J$187*J$188*J$182*J$185&gt;0,AVERAGE(J$186:J$188, J$182, J$185),""),"")</f>
        <v/>
      </c>
      <c r="K306" s="302" t="str">
        <f aca="false">IFERROR(IF(K$186*K$187*K$188*K$182*K$185&gt;0,AVERAGE(K$186:K$188, K$182, K$185),""),"")</f>
        <v/>
      </c>
      <c r="L306" s="302" t="str">
        <f aca="false">IFERROR(IF(L$186*L$187*L$188*L$182*L$185&gt;0,AVERAGE(L$186:L$188, L$182, L$185),""),"")</f>
        <v/>
      </c>
      <c r="M306" s="302" t="str">
        <f aca="false">IFERROR(IF(M$186*M$187*M$188*M$182*M$185&gt;0,AVERAGE(M$186:M$188, M$182, M$185),""),"")</f>
        <v/>
      </c>
      <c r="N306" s="302" t="str">
        <f aca="false">IFERROR(IF(N$186*N$187*N$188*N$182*N$185&gt;0,AVERAGE(N$186:N$188, N$182, N$185),""),"")</f>
        <v/>
      </c>
      <c r="O306" s="282"/>
      <c r="P306" s="282"/>
      <c r="Q306" s="296"/>
      <c r="R306" s="293" t="s">
        <v>579</v>
      </c>
      <c r="S306" s="294" t="str">
        <f aca="false">IFERROR(IF(C$186*C$187*C$188*C$182*C$185&gt;0,STDEV(C$186:C$188,, C$182, C$185),"")/IF(C$186*C$187*C$188*C$182*C$185&gt;0,AVERAGE(C$186:C$188,, C$182, C$185),""),"")</f>
        <v/>
      </c>
      <c r="T306" s="294" t="str">
        <f aca="false">IFERROR(IF(D$186*D$187*D$188*D$182*D$185&gt;0,STDEV(D$186:D$188,, D$182, D$185),"")/IF(D$186*D$187*D$188*D$182*D$185&gt;0,AVERAGE(D$186:D$188,, D$182, D$185),""),"")</f>
        <v/>
      </c>
      <c r="U306" s="294" t="str">
        <f aca="false">IFERROR(IF(E$186*E$187*E$188*E$182*E$185&gt;0,STDEV(E$186:E$188,, E$182, E$185),"")/IF(E$186*E$187*E$188*E$182*E$185&gt;0,AVERAGE(E$186:E$188,, E$182, E$185),""),"")</f>
        <v/>
      </c>
      <c r="V306" s="294" t="str">
        <f aca="false">IFERROR(IF(F$186*F$187*F$188*F$182*F$185&gt;0,STDEV(F$186:F$188,, F$182, F$185),"")/IF(F$186*F$187*F$188*F$182*F$185&gt;0,AVERAGE(F$186:F$188,, F$182, F$185),""),"")</f>
        <v/>
      </c>
      <c r="W306" s="294" t="str">
        <f aca="false">IFERROR(IF(G$186*G$187*G$188*G$182*G$185&gt;0,STDEV(G$186:G$188,, G$182, G$185),"")/IF(G$186*G$187*G$188*G$182*G$185&gt;0,AVERAGE(G$186:G$188,, G$182, G$185),""),"")</f>
        <v/>
      </c>
      <c r="X306" s="294" t="str">
        <f aca="false">IFERROR(IF(H$186*H$187*H$188*H$182*H$185&gt;0,STDEV(H$186:H$188,, H$182, H$185),"")/IF(H$186*H$187*H$188*H$182*H$185&gt;0,AVERAGE(H$186:H$188,, H$182, H$185),""),"")</f>
        <v/>
      </c>
      <c r="Y306" s="294" t="str">
        <f aca="false">IFERROR(IF(I$186*I$187*I$188*I$182*I$185&gt;0,STDEV(I$186:I$188,, I$182, I$185),"")/IF(I$186*I$187*I$188*I$182*I$185&gt;0,AVERAGE(I$186:I$188,, I$182, I$185),""),"")</f>
        <v/>
      </c>
      <c r="Z306" s="294" t="str">
        <f aca="false">IFERROR(IF(J$186*J$187*J$188*J$182*J$185&gt;0,STDEV(J$186:J$188,, J$182, J$185),"")/IF(J$186*J$187*J$188*J$182*J$185&gt;0,AVERAGE(J$186:J$188,, J$182, J$185),""),"")</f>
        <v/>
      </c>
      <c r="AA306" s="294" t="str">
        <f aca="false">IFERROR(IF(K$186*K$187*K$188*K$182*K$185&gt;0,STDEV(K$186:K$188,, K$182, K$185),"")/IF(K$186*K$187*K$188*K$182*K$185&gt;0,AVERAGE(K$186:K$188,, K$182, K$185),""),"")</f>
        <v/>
      </c>
      <c r="AB306" s="294" t="str">
        <f aca="false">IFERROR(IF(L$186*L$187*L$188*L$182*L$185&gt;0,STDEV(L$186:L$188,, L$182, L$185),"")/IF(L$186*L$187*L$188*L$182*L$185&gt;0,AVERAGE(L$186:L$188,, L$182, L$185),""),"")</f>
        <v/>
      </c>
      <c r="AC306" s="294" t="str">
        <f aca="false">IFERROR(IF(M$186*M$187*M$188*M$182*M$185&gt;0,STDEV(M$186:M$188,, M$182, M$185),"")/IF(M$186*M$187*M$188*M$182*M$185&gt;0,AVERAGE(M$186:M$188,, M$182, M$185),""),"")</f>
        <v/>
      </c>
      <c r="AD306" s="294" t="str">
        <f aca="false">IFERROR(IF(N$186*N$187*N$188*N$182*N$185&gt;0,STDEV(N$186:N$188,, N$182, N$185),"")/IF(N$186*N$187*N$188*N$182*N$185&gt;0,AVERAGE(N$186:N$188,, N$182, N$185),""),"")</f>
        <v/>
      </c>
      <c r="AE306" s="44"/>
      <c r="AF306" s="266" t="s">
        <v>580</v>
      </c>
      <c r="AG306" s="303" t="str">
        <f aca="false">IFERROR(IF(C$186*C$187*C$188*C$182*C$185&gt;0,STDEV(C$186:C$188,, C$182, C$185)," ")/IF(C$186*C$187*C$188*C$182*C$185&gt;0,SQRT(COUNT(C$186:C$188,, C$182, C$185))," "),"")</f>
        <v/>
      </c>
      <c r="AH306" s="303" t="str">
        <f aca="false">IFERROR(IF(D$186*D$187*D$188*D$182*D$185&gt;0,STDEV(D$186:D$188,, D$182, D$185)," ")/IF(D$186*D$187*D$188*D$182*D$185&gt;0,SQRT(COUNT(D$186:D$188,, D$182, D$185))," "),"")</f>
        <v/>
      </c>
      <c r="AI306" s="303" t="str">
        <f aca="false">IFERROR(IF(E$186*E$187*E$188*E$182*E$185&gt;0,STDEV(E$186:E$188,, E$182, E$185)," ")/IF(E$186*E$187*E$188*E$182*E$185&gt;0,SQRT(COUNT(E$186:E$188,, E$182, E$185))," "),"")</f>
        <v/>
      </c>
      <c r="AJ306" s="303" t="str">
        <f aca="false">IFERROR(IF(F$186*F$187*F$188*F$182*F$185&gt;0,STDEV(F$186:F$188,, F$182, F$185)," ")/IF(F$186*F$187*F$188*F$182*F$185&gt;0,SQRT(COUNT(F$186:F$188,, F$182, F$185))," "),"")</f>
        <v/>
      </c>
      <c r="AK306" s="303" t="str">
        <f aca="false">IFERROR(IF(G$186*G$187*G$188*G$182*G$185&gt;0,STDEV(G$186:G$188,, G$182, G$185)," ")/IF(G$186*G$187*G$188*G$182*G$185&gt;0,SQRT(COUNT(G$186:G$188,, G$182, G$185))," "),"")</f>
        <v/>
      </c>
      <c r="AL306" s="303" t="str">
        <f aca="false">IFERROR(IF(H$186*H$187*H$188*H$182*H$185&gt;0,STDEV(H$186:H$188,, H$182, H$185)," ")/IF(H$186*H$187*H$188*H$182*H$185&gt;0,SQRT(COUNT(H$186:H$188,, H$182, H$185))," "),"")</f>
        <v/>
      </c>
      <c r="AM306" s="303" t="str">
        <f aca="false">IFERROR(IF(I$186*I$187*I$188*I$182*I$185&gt;0,STDEV(I$186:I$188,, I$182, I$185)," ")/IF(I$186*I$187*I$188*I$182*I$185&gt;0,SQRT(COUNT(I$186:I$188,, I$182, I$185))," "),"")</f>
        <v/>
      </c>
      <c r="AN306" s="303" t="str">
        <f aca="false">IFERROR(IF(J$186*J$187*J$188*J$182*J$185&gt;0,STDEV(J$186:J$188,, J$182, J$185)," ")/IF(J$186*J$187*J$188*J$182*J$185&gt;0,SQRT(COUNT(J$186:J$188,, J$182, J$185))," "),"")</f>
        <v/>
      </c>
      <c r="AO306" s="303" t="str">
        <f aca="false">IFERROR(IF(K$186*K$187*K$188*K$182*K$185&gt;0,STDEV(K$186:K$188,, K$182, K$185)," ")/IF(K$186*K$187*K$188*K$182*K$185&gt;0,SQRT(COUNT(K$186:K$188,, K$182, K$185))," "),"")</f>
        <v/>
      </c>
      <c r="AP306" s="303" t="str">
        <f aca="false">IFERROR(IF(L$186*L$187*L$188*L$182*L$185&gt;0,STDEV(L$186:L$188,, L$182, L$185)," ")/IF(L$186*L$187*L$188*L$182*L$185&gt;0,SQRT(COUNT(L$186:L$188,, L$182, L$185))," "),"")</f>
        <v/>
      </c>
      <c r="AQ306" s="303" t="str">
        <f aca="false">IFERROR(IF(M$186*M$187*M$188*M$182*M$185&gt;0,STDEV(M$186:M$188,, M$182, M$185)," ")/IF(M$186*M$187*M$188*M$182*M$185&gt;0,SQRT(COUNT(M$186:M$188,, M$182, M$185))," "),"")</f>
        <v/>
      </c>
      <c r="AR306" s="303" t="str">
        <f aca="false">IFERROR(IF(N$186*N$187*N$188*N$182*N$185&gt;0,STDEV(N$186:N$188,, N$182, N$185)," ")/IF(N$186*N$187*N$188*N$182*N$185&gt;0,SQRT(COUNT(N$186:N$188,, N$182, N$185))," "),"")</f>
        <v/>
      </c>
    </row>
    <row r="307" customFormat="false" ht="15.75" hidden="false" customHeight="false" outlineLevel="0" collapsed="false">
      <c r="A307" s="290" t="s">
        <v>581</v>
      </c>
      <c r="B307" s="281"/>
      <c r="C307" s="302" t="str">
        <f aca="false">IFERROR(IF(C$186*C$187*C$188*C$183*C$184&gt;0,AVERAGE(C$186:C$188, C$183, C$184),""),"")</f>
        <v/>
      </c>
      <c r="D307" s="302" t="str">
        <f aca="false">IFERROR(IF(D$186*D$187*D$188*D$183*D$184&gt;0,AVERAGE(D$186:D$188, D$183, D$184),""),"")</f>
        <v/>
      </c>
      <c r="E307" s="302" t="str">
        <f aca="false">IFERROR(IF(E$186*E$187*E$188*E$183*E$184&gt;0,AVERAGE(E$186:E$188, E$183, E$184),""),"")</f>
        <v/>
      </c>
      <c r="F307" s="302" t="str">
        <f aca="false">IFERROR(IF(F$186*F$187*F$188*F$183*F$184&gt;0,AVERAGE(F$186:F$188, F$183, F$184),""),"")</f>
        <v/>
      </c>
      <c r="G307" s="302" t="str">
        <f aca="false">IFERROR(IF(G$186*G$187*G$188*G$183*G$184&gt;0,AVERAGE(G$186:G$188, G$183, G$184),""),"")</f>
        <v/>
      </c>
      <c r="H307" s="302" t="str">
        <f aca="false">IFERROR(IF(H$186*H$187*H$188*H$183*H$184&gt;0,AVERAGE(H$186:H$188, H$183, H$184),""),"")</f>
        <v/>
      </c>
      <c r="I307" s="302" t="str">
        <f aca="false">IFERROR(IF(I$186*I$187*I$188*I$183*I$184&gt;0,AVERAGE(I$186:I$188, I$183, I$184),""),"")</f>
        <v/>
      </c>
      <c r="J307" s="302" t="str">
        <f aca="false">IFERROR(IF(J$186*J$187*J$188*J$183*J$184&gt;0,AVERAGE(J$186:J$188, J$183, J$184),""),"")</f>
        <v/>
      </c>
      <c r="K307" s="302" t="str">
        <f aca="false">IFERROR(IF(K$186*K$187*K$188*K$183*K$184&gt;0,AVERAGE(K$186:K$188, K$183, K$184),""),"")</f>
        <v/>
      </c>
      <c r="L307" s="302" t="str">
        <f aca="false">IFERROR(IF(L$186*L$187*L$188*L$183*L$184&gt;0,AVERAGE(L$186:L$188, L$183, L$184),""),"")</f>
        <v/>
      </c>
      <c r="M307" s="302" t="str">
        <f aca="false">IFERROR(IF(M$186*M$187*M$188*M$183*M$184&gt;0,AVERAGE(M$186:M$188, M$183, M$184),""),"")</f>
        <v/>
      </c>
      <c r="N307" s="302" t="str">
        <f aca="false">IFERROR(IF(N$186*N$187*N$188*N$183*N$184&gt;0,AVERAGE(N$186:N$188, N$183, N$184),""),"")</f>
        <v/>
      </c>
      <c r="O307" s="282"/>
      <c r="P307" s="282"/>
      <c r="Q307" s="296"/>
      <c r="R307" s="293" t="s">
        <v>582</v>
      </c>
      <c r="S307" s="294" t="str">
        <f aca="false">IFERROR(IF(C$186*C$187*C$188*C$183*C$184&gt;0,STDEV(C$186:C$188,, C$183, C$184),"")/IF(C$186*C$187*C$188*C$183*C$184&gt;0,AVERAGE(C$186:C$188,, C$183, C$184),""),"")</f>
        <v/>
      </c>
      <c r="T307" s="294" t="str">
        <f aca="false">IFERROR(IF(D$186*D$187*D$188*D$183*D$184&gt;0,STDEV(D$186:D$188,, D$183, D$184),"")/IF(D$186*D$187*D$188*D$183*D$184&gt;0,AVERAGE(D$186:D$188,, D$183, D$184),""),"")</f>
        <v/>
      </c>
      <c r="U307" s="294" t="str">
        <f aca="false">IFERROR(IF(E$186*E$187*E$188*E$183*E$184&gt;0,STDEV(E$186:E$188,, E$183, E$184),"")/IF(E$186*E$187*E$188*E$183*E$184&gt;0,AVERAGE(E$186:E$188,, E$183, E$184),""),"")</f>
        <v/>
      </c>
      <c r="V307" s="294" t="str">
        <f aca="false">IFERROR(IF(F$186*F$187*F$188*F$183*F$184&gt;0,STDEV(F$186:F$188,, F$183, F$184),"")/IF(F$186*F$187*F$188*F$183*F$184&gt;0,AVERAGE(F$186:F$188,, F$183, F$184),""),"")</f>
        <v/>
      </c>
      <c r="W307" s="294" t="str">
        <f aca="false">IFERROR(IF(G$186*G$187*G$188*G$183*G$184&gt;0,STDEV(G$186:G$188,, G$183, G$184),"")/IF(G$186*G$187*G$188*G$183*G$184&gt;0,AVERAGE(G$186:G$188,, G$183, G$184),""),"")</f>
        <v/>
      </c>
      <c r="X307" s="294" t="str">
        <f aca="false">IFERROR(IF(H$186*H$187*H$188*H$183*H$184&gt;0,STDEV(H$186:H$188,, H$183, H$184),"")/IF(H$186*H$187*H$188*H$183*H$184&gt;0,AVERAGE(H$186:H$188,, H$183, H$184),""),"")</f>
        <v/>
      </c>
      <c r="Y307" s="294" t="str">
        <f aca="false">IFERROR(IF(I$186*I$187*I$188*I$183*I$184&gt;0,STDEV(I$186:I$188,, I$183, I$184),"")/IF(I$186*I$187*I$188*I$183*I$184&gt;0,AVERAGE(I$186:I$188,, I$183, I$184),""),"")</f>
        <v/>
      </c>
      <c r="Z307" s="294" t="str">
        <f aca="false">IFERROR(IF(J$186*J$187*J$188*J$183*J$184&gt;0,STDEV(J$186:J$188,, J$183, J$184),"")/IF(J$186*J$187*J$188*J$183*J$184&gt;0,AVERAGE(J$186:J$188,, J$183, J$184),""),"")</f>
        <v/>
      </c>
      <c r="AA307" s="294" t="str">
        <f aca="false">IFERROR(IF(K$186*K$187*K$188*K$183*K$184&gt;0,STDEV(K$186:K$188,, K$183, K$184),"")/IF(K$186*K$187*K$188*K$183*K$184&gt;0,AVERAGE(K$186:K$188,, K$183, K$184),""),"")</f>
        <v/>
      </c>
      <c r="AB307" s="294" t="str">
        <f aca="false">IFERROR(IF(L$186*L$187*L$188*L$183*L$184&gt;0,STDEV(L$186:L$188,, L$183, L$184),"")/IF(L$186*L$187*L$188*L$183*L$184&gt;0,AVERAGE(L$186:L$188,, L$183, L$184),""),"")</f>
        <v/>
      </c>
      <c r="AC307" s="294" t="str">
        <f aca="false">IFERROR(IF(M$186*M$187*M$188*M$183*M$184&gt;0,STDEV(M$186:M$188,, M$183, M$184),"")/IF(M$186*M$187*M$188*M$183*M$184&gt;0,AVERAGE(M$186:M$188,, M$183, M$184),""),"")</f>
        <v/>
      </c>
      <c r="AD307" s="294" t="str">
        <f aca="false">IFERROR(IF(N$186*N$187*N$188*N$183*N$184&gt;0,STDEV(N$186:N$188,, N$183, N$184),"")/IF(N$186*N$187*N$188*N$183*N$184&gt;0,AVERAGE(N$186:N$188,, N$183, N$184),""),"")</f>
        <v/>
      </c>
      <c r="AE307" s="44"/>
      <c r="AF307" s="266" t="s">
        <v>583</v>
      </c>
      <c r="AG307" s="303" t="str">
        <f aca="false">IFERROR(IF(C$186*C$187*C$188*C$183*C$184&gt;0,STDEV(C$186:C$188,, C$183, C$184)," ")/IF(C$186*C$187*C$188*C$183*C$184&gt;0,SQRT(COUNT(C$186:C$188,, C$183, C$184))," "),"")</f>
        <v/>
      </c>
      <c r="AH307" s="303" t="str">
        <f aca="false">IFERROR(IF(D$186*D$187*D$188*D$183*D$184&gt;0,STDEV(D$186:D$188,, D$183, D$184)," ")/IF(D$186*D$187*D$188*D$183*D$184&gt;0,SQRT(COUNT(D$186:D$188,, D$183, D$184))," "),"")</f>
        <v/>
      </c>
      <c r="AI307" s="303" t="str">
        <f aca="false">IFERROR(IF(E$186*E$187*E$188*E$183*E$184&gt;0,STDEV(E$186:E$188,, E$183, E$184)," ")/IF(E$186*E$187*E$188*E$183*E$184&gt;0,SQRT(COUNT(E$186:E$188,, E$183, E$184))," "),"")</f>
        <v/>
      </c>
      <c r="AJ307" s="303" t="str">
        <f aca="false">IFERROR(IF(F$186*F$187*F$188*F$183*F$184&gt;0,STDEV(F$186:F$188,, F$183, F$184)," ")/IF(F$186*F$187*F$188*F$183*F$184&gt;0,SQRT(COUNT(F$186:F$188,, F$183, F$184))," "),"")</f>
        <v/>
      </c>
      <c r="AK307" s="303" t="str">
        <f aca="false">IFERROR(IF(G$186*G$187*G$188*G$183*G$184&gt;0,STDEV(G$186:G$188,, G$183, G$184)," ")/IF(G$186*G$187*G$188*G$183*G$184&gt;0,SQRT(COUNT(G$186:G$188,, G$183, G$184))," "),"")</f>
        <v/>
      </c>
      <c r="AL307" s="303" t="str">
        <f aca="false">IFERROR(IF(H$186*H$187*H$188*H$183*H$184&gt;0,STDEV(H$186:H$188,, H$183, H$184)," ")/IF(H$186*H$187*H$188*H$183*H$184&gt;0,SQRT(COUNT(H$186:H$188,, H$183, H$184))," "),"")</f>
        <v/>
      </c>
      <c r="AM307" s="303" t="str">
        <f aca="false">IFERROR(IF(I$186*I$187*I$188*I$183*I$184&gt;0,STDEV(I$186:I$188,, I$183, I$184)," ")/IF(I$186*I$187*I$188*I$183*I$184&gt;0,SQRT(COUNT(I$186:I$188,, I$183, I$184))," "),"")</f>
        <v/>
      </c>
      <c r="AN307" s="303" t="str">
        <f aca="false">IFERROR(IF(J$186*J$187*J$188*J$183*J$184&gt;0,STDEV(J$186:J$188,, J$183, J$184)," ")/IF(J$186*J$187*J$188*J$183*J$184&gt;0,SQRT(COUNT(J$186:J$188,, J$183, J$184))," "),"")</f>
        <v/>
      </c>
      <c r="AO307" s="303" t="str">
        <f aca="false">IFERROR(IF(K$186*K$187*K$188*K$183*K$184&gt;0,STDEV(K$186:K$188,, K$183, K$184)," ")/IF(K$186*K$187*K$188*K$183*K$184&gt;0,SQRT(COUNT(K$186:K$188,, K$183, K$184))," "),"")</f>
        <v/>
      </c>
      <c r="AP307" s="303" t="str">
        <f aca="false">IFERROR(IF(L$186*L$187*L$188*L$183*L$184&gt;0,STDEV(L$186:L$188,, L$183, L$184)," ")/IF(L$186*L$187*L$188*L$183*L$184&gt;0,SQRT(COUNT(L$186:L$188,, L$183, L$184))," "),"")</f>
        <v/>
      </c>
      <c r="AQ307" s="303" t="str">
        <f aca="false">IFERROR(IF(M$186*M$187*M$188*M$183*M$184&gt;0,STDEV(M$186:M$188,, M$183, M$184)," ")/IF(M$186*M$187*M$188*M$183*M$184&gt;0,SQRT(COUNT(M$186:M$188,, M$183, M$184))," "),"")</f>
        <v/>
      </c>
      <c r="AR307" s="303" t="str">
        <f aca="false">IFERROR(IF(N$186*N$187*N$188*N$183*N$184&gt;0,STDEV(N$186:N$188,, N$183, N$184)," ")/IF(N$186*N$187*N$188*N$183*N$184&gt;0,SQRT(COUNT(N$186:N$188,, N$183, N$184))," "),"")</f>
        <v/>
      </c>
    </row>
    <row r="308" customFormat="false" ht="15.75" hidden="false" customHeight="false" outlineLevel="0" collapsed="false">
      <c r="A308" s="290" t="s">
        <v>584</v>
      </c>
      <c r="B308" s="281"/>
      <c r="C308" s="302" t="str">
        <f aca="false">IFERROR(IF(C$186*C$187*C$188*C$183*C$185&gt;0,AVERAGE(C$186:C$188, C$183, C$185),""),"")</f>
        <v/>
      </c>
      <c r="D308" s="302" t="str">
        <f aca="false">IFERROR(IF(D$186*D$187*D$188*D$183*D$185&gt;0,AVERAGE(D$186:D$188, D$183, D$185),""),"")</f>
        <v/>
      </c>
      <c r="E308" s="302" t="str">
        <f aca="false">IFERROR(IF(E$186*E$187*E$188*E$183*E$185&gt;0,AVERAGE(E$186:E$188, E$183, E$185),""),"")</f>
        <v/>
      </c>
      <c r="F308" s="302" t="str">
        <f aca="false">IFERROR(IF(F$186*F$187*F$188*F$183*F$185&gt;0,AVERAGE(F$186:F$188, F$183, F$185),""),"")</f>
        <v/>
      </c>
      <c r="G308" s="302" t="str">
        <f aca="false">IFERROR(IF(G$186*G$187*G$188*G$183*G$185&gt;0,AVERAGE(G$186:G$188, G$183, G$185),""),"")</f>
        <v/>
      </c>
      <c r="H308" s="302" t="str">
        <f aca="false">IFERROR(IF(H$186*H$187*H$188*H$183*H$185&gt;0,AVERAGE(H$186:H$188, H$183, H$185),""),"")</f>
        <v/>
      </c>
      <c r="I308" s="302" t="str">
        <f aca="false">IFERROR(IF(I$186*I$187*I$188*I$183*I$185&gt;0,AVERAGE(I$186:I$188, I$183, I$185),""),"")</f>
        <v/>
      </c>
      <c r="J308" s="302" t="str">
        <f aca="false">IFERROR(IF(J$186*J$187*J$188*J$183*J$185&gt;0,AVERAGE(J$186:J$188, J$183, J$185),""),"")</f>
        <v/>
      </c>
      <c r="K308" s="302" t="str">
        <f aca="false">IFERROR(IF(K$186*K$187*K$188*K$183*K$185&gt;0,AVERAGE(K$186:K$188, K$183, K$185),""),"")</f>
        <v/>
      </c>
      <c r="L308" s="302" t="str">
        <f aca="false">IFERROR(IF(L$186*L$187*L$188*L$183*L$185&gt;0,AVERAGE(L$186:L$188, L$183, L$185),""),"")</f>
        <v/>
      </c>
      <c r="M308" s="302" t="str">
        <f aca="false">IFERROR(IF(M$186*M$187*M$188*M$183*M$185&gt;0,AVERAGE(M$186:M$188, M$183, M$185),""),"")</f>
        <v/>
      </c>
      <c r="N308" s="302" t="str">
        <f aca="false">IFERROR(IF(N$186*N$187*N$188*N$183*N$185&gt;0,AVERAGE(N$186:N$188, N$183, N$185),""),"")</f>
        <v/>
      </c>
      <c r="O308" s="282"/>
      <c r="P308" s="282"/>
      <c r="Q308" s="296"/>
      <c r="R308" s="293" t="s">
        <v>585</v>
      </c>
      <c r="S308" s="294" t="str">
        <f aca="false">IFERROR(IF(C$186*C$187*C$188*C$183*C$185&gt;0,STDEV(C$186:C$188, C$183, C$185),"")/IF(C$186*C$187*C$188*C$183*C$185&gt;0,AVERAGE(C$186:C$188, C$183, C$185),""),"")</f>
        <v/>
      </c>
      <c r="T308" s="294" t="str">
        <f aca="false">IFERROR(IF(D$186*D$187*D$188*D$183*D$185&gt;0,STDEV(D$186:D$188, D$183, D$185),"")/IF(D$186*D$187*D$188*D$183*D$185&gt;0,AVERAGE(D$186:D$188, D$183, D$185),""),"")</f>
        <v/>
      </c>
      <c r="U308" s="294" t="str">
        <f aca="false">IFERROR(IF(E$186*E$187*E$188*E$183*E$185&gt;0,STDEV(E$186:E$188, E$183, E$185),"")/IF(E$186*E$187*E$188*E$183*E$185&gt;0,AVERAGE(E$186:E$188, E$183, E$185),""),"")</f>
        <v/>
      </c>
      <c r="V308" s="294" t="str">
        <f aca="false">IFERROR(IF(F$186*F$187*F$188*F$183*F$185&gt;0,STDEV(F$186:F$188, F$183, F$185),"")/IF(F$186*F$187*F$188*F$183*F$185&gt;0,AVERAGE(F$186:F$188, F$183, F$185),""),"")</f>
        <v/>
      </c>
      <c r="W308" s="294" t="str">
        <f aca="false">IFERROR(IF(G$186*G$187*G$188*G$183*G$185&gt;0,STDEV(G$186:G$188, G$183, G$185),"")/IF(G$186*G$187*G$188*G$183*G$185&gt;0,AVERAGE(G$186:G$188, G$183, G$185),""),"")</f>
        <v/>
      </c>
      <c r="X308" s="294" t="str">
        <f aca="false">IFERROR(IF(H$186*H$187*H$188*H$183*H$185&gt;0,STDEV(H$186:H$188, H$183, H$185),"")/IF(H$186*H$187*H$188*H$183*H$185&gt;0,AVERAGE(H$186:H$188, H$183, H$185),""),"")</f>
        <v/>
      </c>
      <c r="Y308" s="294" t="str">
        <f aca="false">IFERROR(IF(I$186*I$187*I$188*I$183*I$185&gt;0,STDEV(I$186:I$188, I$183, I$185),"")/IF(I$186*I$187*I$188*I$183*I$185&gt;0,AVERAGE(I$186:I$188, I$183, I$185),""),"")</f>
        <v/>
      </c>
      <c r="Z308" s="294" t="str">
        <f aca="false">IFERROR(IF(J$186*J$187*J$188*J$183*J$185&gt;0,STDEV(J$186:J$188, J$183, J$185),"")/IF(J$186*J$187*J$188*J$183*J$185&gt;0,AVERAGE(J$186:J$188, J$183, J$185),""),"")</f>
        <v/>
      </c>
      <c r="AA308" s="294" t="str">
        <f aca="false">IFERROR(IF(K$186*K$187*K$188*K$183*K$185&gt;0,STDEV(K$186:K$188, K$183, K$185),"")/IF(K$186*K$187*K$188*K$183*K$185&gt;0,AVERAGE(K$186:K$188, K$183, K$185),""),"")</f>
        <v/>
      </c>
      <c r="AB308" s="294" t="str">
        <f aca="false">IFERROR(IF(L$186*L$187*L$188*L$183*L$185&gt;0,STDEV(L$186:L$188, L$183, L$185),"")/IF(L$186*L$187*L$188*L$183*L$185&gt;0,AVERAGE(L$186:L$188, L$183, L$185),""),"")</f>
        <v/>
      </c>
      <c r="AC308" s="294" t="str">
        <f aca="false">IFERROR(IF(M$186*M$187*M$188*M$183*M$185&gt;0,STDEV(M$186:M$188, M$183, M$185),"")/IF(M$186*M$187*M$188*M$183*M$185&gt;0,AVERAGE(M$186:M$188, M$183, M$185),""),"")</f>
        <v/>
      </c>
      <c r="AD308" s="294" t="str">
        <f aca="false">IFERROR(IF(N$186*N$187*N$188*N$183*N$185&gt;0,STDEV(N$186:N$188, N$183, N$185),"")/IF(N$186*N$187*N$188*N$183*N$185&gt;0,AVERAGE(N$186:N$188, N$183, N$185),""),"")</f>
        <v/>
      </c>
      <c r="AE308" s="44"/>
      <c r="AF308" s="266" t="s">
        <v>586</v>
      </c>
      <c r="AG308" s="303" t="str">
        <f aca="false">IFERROR(IF(C$186*C$187*C$188*C$183*C$185&gt;0,STDEV(C$186:C$188, C$183, C$185)," ")/IF(C$186*C$187*C$188*C$183*C$185&gt;0,SQRT(COUNT(C$186:C$188, C$183, C$185))," "),"")</f>
        <v/>
      </c>
      <c r="AH308" s="303" t="str">
        <f aca="false">IFERROR(IF(D$186*D$187*D$188*D$183*D$185&gt;0,STDEV(D$186:D$188, D$183, D$185)," ")/IF(D$186*D$187*D$188*D$183*D$185&gt;0,SQRT(COUNT(D$186:D$188, D$183, D$185))," "),"")</f>
        <v/>
      </c>
      <c r="AI308" s="303" t="str">
        <f aca="false">IFERROR(IF(E$186*E$187*E$188*E$183*E$185&gt;0,STDEV(E$186:E$188, E$183, E$185)," ")/IF(E$186*E$187*E$188*E$183*E$185&gt;0,SQRT(COUNT(E$186:E$188, E$183, E$185))," "),"")</f>
        <v/>
      </c>
      <c r="AJ308" s="303" t="str">
        <f aca="false">IFERROR(IF(F$186*F$187*F$188*F$183*F$185&gt;0,STDEV(F$186:F$188, F$183, F$185)," ")/IF(F$186*F$187*F$188*F$183*F$185&gt;0,SQRT(COUNT(F$186:F$188, F$183, F$185))," "),"")</f>
        <v/>
      </c>
      <c r="AK308" s="303" t="str">
        <f aca="false">IFERROR(IF(G$186*G$187*G$188*G$183*G$185&gt;0,STDEV(G$186:G$188, G$183, G$185)," ")/IF(G$186*G$187*G$188*G$183*G$185&gt;0,SQRT(COUNT(G$186:G$188, G$183, G$185))," "),"")</f>
        <v/>
      </c>
      <c r="AL308" s="303" t="str">
        <f aca="false">IFERROR(IF(H$186*H$187*H$188*H$183*H$185&gt;0,STDEV(H$186:H$188, H$183, H$185)," ")/IF(H$186*H$187*H$188*H$183*H$185&gt;0,SQRT(COUNT(H$186:H$188, H$183, H$185))," "),"")</f>
        <v/>
      </c>
      <c r="AM308" s="303" t="str">
        <f aca="false">IFERROR(IF(I$186*I$187*I$188*I$183*I$185&gt;0,STDEV(I$186:I$188, I$183, I$185)," ")/IF(I$186*I$187*I$188*I$183*I$185&gt;0,SQRT(COUNT(I$186:I$188, I$183, I$185))," "),"")</f>
        <v/>
      </c>
      <c r="AN308" s="303" t="str">
        <f aca="false">IFERROR(IF(J$186*J$187*J$188*J$183*J$185&gt;0,STDEV(J$186:J$188, J$183, J$185)," ")/IF(J$186*J$187*J$188*J$183*J$185&gt;0,SQRT(COUNT(J$186:J$188, J$183, J$185))," "),"")</f>
        <v/>
      </c>
      <c r="AO308" s="303" t="str">
        <f aca="false">IFERROR(IF(K$186*K$187*K$188*K$183*K$185&gt;0,STDEV(K$186:K$188, K$183, K$185)," ")/IF(K$186*K$187*K$188*K$183*K$185&gt;0,SQRT(COUNT(K$186:K$188, K$183, K$185))," "),"")</f>
        <v/>
      </c>
      <c r="AP308" s="303" t="str">
        <f aca="false">IFERROR(IF(L$186*L$187*L$188*L$183*L$185&gt;0,STDEV(L$186:L$188, L$183, L$185)," ")/IF(L$186*L$187*L$188*L$183*L$185&gt;0,SQRT(COUNT(L$186:L$188, L$183, L$185))," "),"")</f>
        <v/>
      </c>
      <c r="AQ308" s="303" t="str">
        <f aca="false">IFERROR(IF(M$186*M$187*M$188*M$183*M$185&gt;0,STDEV(M$186:M$188, M$183, M$185)," ")/IF(M$186*M$187*M$188*M$183*M$185&gt;0,SQRT(COUNT(M$186:M$188, M$183, M$185))," "),"")</f>
        <v/>
      </c>
      <c r="AR308" s="303" t="str">
        <f aca="false">IFERROR(IF(N$186*N$187*N$188*N$183*N$185&gt;0,STDEV(N$186:N$188, N$183, N$185)," ")/IF(N$186*N$187*N$188*N$183*N$185&gt;0,SQRT(COUNT(N$186:N$188, N$183, N$185))," "),"")</f>
        <v/>
      </c>
    </row>
    <row r="309" customFormat="false" ht="15.75" hidden="false" customHeight="false" outlineLevel="0" collapsed="false">
      <c r="A309" s="290" t="s">
        <v>587</v>
      </c>
      <c r="B309" s="281"/>
      <c r="C309" s="302" t="str">
        <f aca="false">IFERROR(IF(C$182*C$184*C$185*C$186*C187&gt;0,AVERAGE(C$182, C$184,C$185, C$186, C$187),""),"")</f>
        <v/>
      </c>
      <c r="D309" s="302" t="str">
        <f aca="false">IFERROR(IF(D$182*D$184*D$185*D$186*D187&gt;0,AVERAGE(D$182, D$184,D$185, D$186, D$187),""),"")</f>
        <v/>
      </c>
      <c r="E309" s="302" t="str">
        <f aca="false">IFERROR(IF(E$182*E$184*E$185*E$186*E187&gt;0,AVERAGE(E$182, E$184,E$185, E$186, E$187),""),"")</f>
        <v/>
      </c>
      <c r="F309" s="302" t="str">
        <f aca="false">IFERROR(IF(F$182*F$184*F$185*F$186*F187&gt;0,AVERAGE(F$182, F$184,F$185, F$186, F$187),""),"")</f>
        <v/>
      </c>
      <c r="G309" s="302" t="str">
        <f aca="false">IFERROR(IF(G$182*G$184*G$185*G$186*G187&gt;0,AVERAGE(G$182, G$184,G$185, G$186, G$187),""),"")</f>
        <v/>
      </c>
      <c r="H309" s="302" t="str">
        <f aca="false">IFERROR(IF(H$182*H$184*H$185*H$186*H187&gt;0,AVERAGE(H$182, H$184,H$185, H$186, H$187),""),"")</f>
        <v/>
      </c>
      <c r="I309" s="302" t="str">
        <f aca="false">IFERROR(IF(I$182*I$184*I$185*I$186*I187&gt;0,AVERAGE(I$182, I$184,I$185, I$186, I$187),""),"")</f>
        <v/>
      </c>
      <c r="J309" s="302" t="str">
        <f aca="false">IFERROR(IF(J$182*J$184*J$185*J$186*J187&gt;0,AVERAGE(J$182, J$184,J$185, J$186, J$187),""),"")</f>
        <v/>
      </c>
      <c r="K309" s="302" t="str">
        <f aca="false">IFERROR(IF(K$182*K$184*K$185*K$186*K187&gt;0,AVERAGE(K$182, K$184,K$185, K$186, K$187),""),"")</f>
        <v/>
      </c>
      <c r="L309" s="302" t="str">
        <f aca="false">IFERROR(IF(L$182*L$184*L$185*L$186*L187&gt;0,AVERAGE(L$182, L$184,L$185, L$186, L$187),""),"")</f>
        <v/>
      </c>
      <c r="M309" s="302" t="str">
        <f aca="false">IFERROR(IF(M$182*M$184*M$185*M$186*M187&gt;0,AVERAGE(M$182, M$184,M$185, M$186, M$187),""),"")</f>
        <v/>
      </c>
      <c r="N309" s="302" t="str">
        <f aca="false">IFERROR(IF(N$182*N$184*N$185*N$186*N187&gt;0,AVERAGE(N$182, N$184,N$185, N$186, N$187),""),"")</f>
        <v/>
      </c>
      <c r="O309" s="282"/>
      <c r="P309" s="282"/>
      <c r="Q309" s="296"/>
      <c r="R309" s="293" t="s">
        <v>588</v>
      </c>
      <c r="S309" s="294" t="str">
        <f aca="false">IFERROR(IF(C$182*C$184*C$185*C$186*C187&gt;0,STDEV(C$182, C$184,C$185, C$186, C$187),"")/IF(C$182*C$184*C$185*C$186*C187&gt;0,AVERAGE(C$182, C$184,C$185, C$186, C$187),""),"")</f>
        <v/>
      </c>
      <c r="T309" s="294" t="str">
        <f aca="false">IFERROR(IF(D$182*D$184*D$185*D$186*D187&gt;0,STDEV(D$182, D$184,D$185, D$186, D$187),"")/IF(D$182*D$184*D$185*D$186*D187&gt;0,AVERAGE(D$182, D$184,D$185, D$186, D$187),""),"")</f>
        <v/>
      </c>
      <c r="U309" s="294" t="str">
        <f aca="false">IFERROR(IF(E$182*E$184*E$185*E$186*E187&gt;0,STDEV(E$182, E$184,E$185, E$186, E$187),"")/IF(E$182*E$184*E$185*E$186*E187&gt;0,AVERAGE(E$182, E$184,E$185, E$186, E$187),""),"")</f>
        <v/>
      </c>
      <c r="V309" s="294" t="str">
        <f aca="false">IFERROR(IF(F$182*F$184*F$185*F$186*F187&gt;0,STDEV(F$182, F$184,F$185, F$186, F$187),"")/IF(F$182*F$184*F$185*F$186*F187&gt;0,AVERAGE(F$182, F$184,F$185, F$186, F$187),""),"")</f>
        <v/>
      </c>
      <c r="W309" s="294" t="str">
        <f aca="false">IFERROR(IF(G$182*G$184*G$185*G$186*G187&gt;0,STDEV(G$182, G$184,G$185, G$186, G$187),"")/IF(G$182*G$184*G$185*G$186*G187&gt;0,AVERAGE(G$182, G$184,G$185, G$186, G$187),""),"")</f>
        <v/>
      </c>
      <c r="X309" s="294" t="str">
        <f aca="false">IFERROR(IF(H$182*H$184*H$185*H$186*H187&gt;0,STDEV(H$182, H$184,H$185, H$186, H$187),"")/IF(H$182*H$184*H$185*H$186*H187&gt;0,AVERAGE(H$182, H$184,H$185, H$186, H$187),""),"")</f>
        <v/>
      </c>
      <c r="Y309" s="294" t="str">
        <f aca="false">IFERROR(IF(I$182*I$184*I$185*I$186*I187&gt;0,STDEV(I$182, I$184,I$185, I$186, I$187),"")/IF(I$182*I$184*I$185*I$186*I187&gt;0,AVERAGE(I$182, I$184,I$185, I$186, I$187),""),"")</f>
        <v/>
      </c>
      <c r="Z309" s="294" t="str">
        <f aca="false">IFERROR(IF(J$182*J$184*J$185*J$186*J187&gt;0,STDEV(J$182, J$184,J$185, J$186, J$187),"")/IF(J$182*J$184*J$185*J$186*J187&gt;0,AVERAGE(J$182, J$184,J$185, J$186, J$187),""),"")</f>
        <v/>
      </c>
      <c r="AA309" s="294" t="str">
        <f aca="false">IFERROR(IF(K$182*K$184*K$185*K$186*K187&gt;0,STDEV(K$182, K$184,K$185, K$186, K$187),"")/IF(K$182*K$184*K$185*K$186*K187&gt;0,AVERAGE(K$182, K$184,K$185, K$186, K$187),""),"")</f>
        <v/>
      </c>
      <c r="AB309" s="294" t="str">
        <f aca="false">IFERROR(IF(L$182*L$184*L$185*L$186*L187&gt;0,STDEV(L$182, L$184,L$185, L$186, L$187),"")/IF(L$182*L$184*L$185*L$186*L187&gt;0,AVERAGE(L$182, L$184,L$185, L$186, L$187),""),"")</f>
        <v/>
      </c>
      <c r="AC309" s="294" t="str">
        <f aca="false">IFERROR(IF(M$182*M$184*M$185*M$186*M187&gt;0,STDEV(M$182, M$184,M$185, M$186, M$187),"")/IF(M$182*M$184*M$185*M$186*M187&gt;0,AVERAGE(M$182, M$184,M$185, M$186, M$187),""),"")</f>
        <v/>
      </c>
      <c r="AD309" s="294" t="str">
        <f aca="false">IFERROR(IF(N$182*N$184*N$185*N$186*N187&gt;0,STDEV(N$182, N$184,N$185, N$186, N$187),"")/IF(N$182*N$184*N$185*N$186*N187&gt;0,AVERAGE(N$182, N$184,N$185, N$186, N$187),""),"")</f>
        <v/>
      </c>
      <c r="AE309" s="44"/>
      <c r="AF309" s="266" t="s">
        <v>589</v>
      </c>
      <c r="AG309" s="303" t="str">
        <f aca="false">IFERROR(IF(C$182*C$184*C$185*C$186*C187&gt;0,STDEV(C$182, C$184,C$185, C$186, C$187)," ")/IF(C$182*C$184*C$185*C$186*C187&gt;0,SQRT(COUNT(C$182, C$184,C$185, C$186, C$187))," "),"")</f>
        <v/>
      </c>
      <c r="AH309" s="303" t="str">
        <f aca="false">IFERROR(IF(D$182*D$184*D$185*D$186*D187&gt;0,STDEV(D$182, D$184,D$185, D$186, D$187)," ")/IF(D$182*D$184*D$185*D$186*D187&gt;0,SQRT(COUNT(D$182, D$184,D$185, D$186, D$187))," "),"")</f>
        <v/>
      </c>
      <c r="AI309" s="303" t="str">
        <f aca="false">IFERROR(IF(E$182*E$184*E$185*E$186*E187&gt;0,STDEV(E$182, E$184,E$185, E$186, E$187)," ")/IF(E$182*E$184*E$185*E$186*E187&gt;0,SQRT(COUNT(E$182, E$184,E$185, E$186, E$187))," "),"")</f>
        <v/>
      </c>
      <c r="AJ309" s="303" t="str">
        <f aca="false">IFERROR(IF(F$182*F$184*F$185*F$186*F187&gt;0,STDEV(F$182, F$184,F$185, F$186, F$187)," ")/IF(F$182*F$184*F$185*F$186*F187&gt;0,SQRT(COUNT(F$182, F$184,F$185, F$186, F$187))," "),"")</f>
        <v/>
      </c>
      <c r="AK309" s="303" t="str">
        <f aca="false">IFERROR(IF(G$182*G$184*G$185*G$186*G187&gt;0,STDEV(G$182, G$184,G$185, G$186, G$187)," ")/IF(G$182*G$184*G$185*G$186*G187&gt;0,SQRT(COUNT(G$182, G$184,G$185, G$186, G$187))," "),"")</f>
        <v/>
      </c>
      <c r="AL309" s="303" t="str">
        <f aca="false">IFERROR(IF(H$182*H$184*H$185*H$186*H187&gt;0,STDEV(H$182, H$184,H$185, H$186, H$187)," ")/IF(H$182*H$184*H$185*H$186*H187&gt;0,SQRT(COUNT(H$182, H$184,H$185, H$186, H$187))," "),"")</f>
        <v/>
      </c>
      <c r="AM309" s="303" t="str">
        <f aca="false">IFERROR(IF(I$182*I$184*I$185*I$186*I187&gt;0,STDEV(I$182, I$184,I$185, I$186, I$187)," ")/IF(I$182*I$184*I$185*I$186*I187&gt;0,SQRT(COUNT(I$182, I$184,I$185, I$186, I$187))," "),"")</f>
        <v/>
      </c>
      <c r="AN309" s="303" t="str">
        <f aca="false">IFERROR(IF(J$182*J$184*J$185*J$186*J187&gt;0,STDEV(J$182, J$184,J$185, J$186, J$187)," ")/IF(J$182*J$184*J$185*J$186*J187&gt;0,SQRT(COUNT(J$182, J$184,J$185, J$186, J$187))," "),"")</f>
        <v/>
      </c>
      <c r="AO309" s="303" t="str">
        <f aca="false">IFERROR(IF(K$182*K$184*K$185*K$186*K187&gt;0,STDEV(K$182, K$184,K$185, K$186, K$187)," ")/IF(K$182*K$184*K$185*K$186*K187&gt;0,SQRT(COUNT(K$182, K$184,K$185, K$186, K$187))," "),"")</f>
        <v/>
      </c>
      <c r="AP309" s="303" t="str">
        <f aca="false">IFERROR(IF(L$182*L$184*L$185*L$186*L187&gt;0,STDEV(L$182, L$184,L$185, L$186, L$187)," ")/IF(L$182*L$184*L$185*L$186*L187&gt;0,SQRT(COUNT(L$182, L$184,L$185, L$186, L$187))," "),"")</f>
        <v/>
      </c>
      <c r="AQ309" s="303" t="str">
        <f aca="false">IFERROR(IF(M$182*M$184*M$185*M$186*M187&gt;0,STDEV(M$182, M$184,M$185, M$186, M$187)," ")/IF(M$182*M$184*M$185*M$186*M187&gt;0,SQRT(COUNT(M$182, M$184,M$185, M$186, M$187))," "),"")</f>
        <v/>
      </c>
      <c r="AR309" s="303" t="str">
        <f aca="false">IFERROR(IF(N$182*N$184*N$185*N$186*N187&gt;0,STDEV(N$182, N$184,N$185, N$186, N$187)," ")/IF(N$182*N$184*N$185*N$186*N187&gt;0,SQRT(COUNT(N$182, N$184,N$185, N$186, N$187))," "),"")</f>
        <v/>
      </c>
    </row>
    <row r="310" customFormat="false" ht="15.75" hidden="false" customHeight="false" outlineLevel="0" collapsed="false">
      <c r="A310" s="290" t="s">
        <v>590</v>
      </c>
      <c r="B310" s="281"/>
      <c r="C310" s="302" t="str">
        <f aca="false">IFERROR(IF(C$182*C$183*C$185*C$186*C187&gt;0,AVERAGE(C$182, C$183, C$185, C$186, C$187),""),"")</f>
        <v/>
      </c>
      <c r="D310" s="302" t="str">
        <f aca="false">IFERROR(IF(D$182*D$183*D$185*D$186*D187&gt;0,AVERAGE(D$182, D$183, D$185, D$186, D$187),""),"")</f>
        <v/>
      </c>
      <c r="E310" s="302" t="str">
        <f aca="false">IFERROR(IF(E$182*E$183*E$185*E$186*E187&gt;0,AVERAGE(E$182, E$183, E$185, E$186, E$187),""),"")</f>
        <v/>
      </c>
      <c r="F310" s="302" t="str">
        <f aca="false">IFERROR(IF(F$182*F$183*F$185*F$186*F187&gt;0,AVERAGE(F$182, F$183, F$185, F$186, F$187),""),"")</f>
        <v/>
      </c>
      <c r="G310" s="302" t="str">
        <f aca="false">IFERROR(IF(G$182*G$183*G$185*G$186*G187&gt;0,AVERAGE(G$182, G$183, G$185, G$186, G$187),""),"")</f>
        <v/>
      </c>
      <c r="H310" s="302" t="str">
        <f aca="false">IFERROR(IF(H$182*H$183*H$185*H$186*H187&gt;0,AVERAGE(H$182, H$183, H$185, H$186, H$187),""),"")</f>
        <v/>
      </c>
      <c r="I310" s="302" t="str">
        <f aca="false">IFERROR(IF(I$182*I$183*I$185*I$186*I187&gt;0,AVERAGE(I$182, I$183, I$185, I$186, I$187),""),"")</f>
        <v/>
      </c>
      <c r="J310" s="302" t="str">
        <f aca="false">IFERROR(IF(J$182*J$183*J$185*J$186*J187&gt;0,AVERAGE(J$182, J$183, J$185, J$186, J$187),""),"")</f>
        <v/>
      </c>
      <c r="K310" s="302" t="str">
        <f aca="false">IFERROR(IF(K$182*K$183*K$185*K$186*K187&gt;0,AVERAGE(K$182, K$183, K$185, K$186, K$187),""),"")</f>
        <v/>
      </c>
      <c r="L310" s="302" t="str">
        <f aca="false">IFERROR(IF(L$182*L$183*L$185*L$186*L187&gt;0,AVERAGE(L$182, L$183, L$185, L$186, L$187),""),"")</f>
        <v/>
      </c>
      <c r="M310" s="302" t="str">
        <f aca="false">IFERROR(IF(M$182*M$183*M$185*M$186*M187&gt;0,AVERAGE(M$182, M$183, M$185, M$186, M$187),""),"")</f>
        <v/>
      </c>
      <c r="N310" s="302" t="str">
        <f aca="false">IFERROR(IF(N$182*N$183*N$185*N$186*N187&gt;0,AVERAGE(N$182, N$183, N$185, N$186, N$187),""),"")</f>
        <v/>
      </c>
      <c r="O310" s="282"/>
      <c r="P310" s="282"/>
      <c r="Q310" s="296"/>
      <c r="R310" s="293" t="s">
        <v>591</v>
      </c>
      <c r="S310" s="294" t="str">
        <f aca="false">IFERROR(IF(C$182*C$183*C$185*C$186*C187&gt;0,STDEV(C$182, C$183, C$185, C$186, C$187),"")/IF(C$182*C$183*C$185*C$186*C187&gt;0,AVERAGE(C$182, C$183, C$185, C$186, C$187),""),"")</f>
        <v/>
      </c>
      <c r="T310" s="294" t="str">
        <f aca="false">IFERROR(IF(D$182*D$183*D$185*D$186*D187&gt;0,STDEV(D$182, D$183, D$185, D$186, D$187),"")/IF(D$182*D$183*D$185*D$186*D187&gt;0,AVERAGE(D$182, D$183, D$185, D$186, D$187),""),"")</f>
        <v/>
      </c>
      <c r="U310" s="294" t="str">
        <f aca="false">IFERROR(IF(E$182*E$183*E$185*E$186*E187&gt;0,STDEV(E$182, E$183, E$185, E$186, E$187),"")/IF(E$182*E$183*E$185*E$186*E187&gt;0,AVERAGE(E$182, E$183, E$185, E$186, E$187),""),"")</f>
        <v/>
      </c>
      <c r="V310" s="294" t="str">
        <f aca="false">IFERROR(IF(F$182*F$183*F$185*F$186*F187&gt;0,STDEV(F$182, F$183, F$185, F$186, F$187),"")/IF(F$182*F$183*F$185*F$186*F187&gt;0,AVERAGE(F$182, F$183, F$185, F$186, F$187),""),"")</f>
        <v/>
      </c>
      <c r="W310" s="294" t="str">
        <f aca="false">IFERROR(IF(G$182*G$183*G$185*G$186*G187&gt;0,STDEV(G$182, G$183, G$185, G$186, G$187),"")/IF(G$182*G$183*G$185*G$186*G187&gt;0,AVERAGE(G$182, G$183, G$185, G$186, G$187),""),"")</f>
        <v/>
      </c>
      <c r="X310" s="294" t="str">
        <f aca="false">IFERROR(IF(H$182*H$183*H$185*H$186*H187&gt;0,STDEV(H$182, H$183, H$185, H$186, H$187),"")/IF(H$182*H$183*H$185*H$186*H187&gt;0,AVERAGE(H$182, H$183, H$185, H$186, H$187),""),"")</f>
        <v/>
      </c>
      <c r="Y310" s="294" t="str">
        <f aca="false">IFERROR(IF(I$182*I$183*I$185*I$186*I187&gt;0,STDEV(I$182, I$183, I$185, I$186, I$187),"")/IF(I$182*I$183*I$185*I$186*I187&gt;0,AVERAGE(I$182, I$183, I$185, I$186, I$187),""),"")</f>
        <v/>
      </c>
      <c r="Z310" s="294" t="str">
        <f aca="false">IFERROR(IF(J$182*J$183*J$185*J$186*J187&gt;0,STDEV(J$182, J$183, J$185, J$186, J$187),"")/IF(J$182*J$183*J$185*J$186*J187&gt;0,AVERAGE(J$182, J$183, J$185, J$186, J$187),""),"")</f>
        <v/>
      </c>
      <c r="AA310" s="294" t="str">
        <f aca="false">IFERROR(IF(K$182*K$183*K$185*K$186*K187&gt;0,STDEV(K$182, K$183, K$185, K$186, K$187),"")/IF(K$182*K$183*K$185*K$186*K187&gt;0,AVERAGE(K$182, K$183, K$185, K$186, K$187),""),"")</f>
        <v/>
      </c>
      <c r="AB310" s="294" t="str">
        <f aca="false">IFERROR(IF(L$182*L$183*L$185*L$186*L187&gt;0,STDEV(L$182, L$183, L$185, L$186, L$187),"")/IF(L$182*L$183*L$185*L$186*L187&gt;0,AVERAGE(L$182, L$183, L$185, L$186, L$187),""),"")</f>
        <v/>
      </c>
      <c r="AC310" s="294" t="str">
        <f aca="false">IFERROR(IF(M$182*M$183*M$185*M$186*M187&gt;0,STDEV(M$182, M$183, M$185, M$186, M$187),"")/IF(M$182*M$183*M$185*M$186*M187&gt;0,AVERAGE(M$182, M$183, M$185, M$186, M$187),""),"")</f>
        <v/>
      </c>
      <c r="AD310" s="294" t="str">
        <f aca="false">IFERROR(IF(N$182*N$183*N$185*N$186*N187&gt;0,STDEV(N$182, N$183, N$185, N$186, N$187),"")/IF(N$182*N$183*N$185*N$186*N187&gt;0,AVERAGE(N$182, N$183, N$185, N$186, N$187),""),"")</f>
        <v/>
      </c>
      <c r="AE310" s="44"/>
      <c r="AF310" s="266" t="s">
        <v>592</v>
      </c>
      <c r="AG310" s="303" t="str">
        <f aca="false">IFERROR(IF(C$182*C$183*C$185*C$186*C187&gt;0,STDEV(C$182, C$183, C$185, C$186, C$187)," ")/IF(C$182*C$183*C$185*C$186*C187&gt;0,SQRT(COUNT(C$182, C$183, C$185, C$186, C$187))," "),"")</f>
        <v/>
      </c>
      <c r="AH310" s="303" t="str">
        <f aca="false">IFERROR(IF(D$182*D$183*D$185*D$186*D187&gt;0,STDEV(D$182, D$183, D$185, D$186, D$187)," ")/IF(D$182*D$183*D$185*D$186*D187&gt;0,SQRT(COUNT(D$182, D$183, D$185, D$186, D$187))," "),"")</f>
        <v/>
      </c>
      <c r="AI310" s="303" t="str">
        <f aca="false">IFERROR(IF(E$182*E$183*E$185*E$186*E187&gt;0,STDEV(E$182, E$183, E$185, E$186, E$187)," ")/IF(E$182*E$183*E$185*E$186*E187&gt;0,SQRT(COUNT(E$182, E$183, E$185, E$186, E$187))," "),"")</f>
        <v/>
      </c>
      <c r="AJ310" s="303" t="str">
        <f aca="false">IFERROR(IF(F$182*F$183*F$185*F$186*F187&gt;0,STDEV(F$182, F$183, F$185, F$186, F$187)," ")/IF(F$182*F$183*F$185*F$186*F187&gt;0,SQRT(COUNT(F$182, F$183, F$185, F$186, F$187))," "),"")</f>
        <v/>
      </c>
      <c r="AK310" s="303" t="str">
        <f aca="false">IFERROR(IF(G$182*G$183*G$185*G$186*G187&gt;0,STDEV(G$182, G$183, G$185, G$186, G$187)," ")/IF(G$182*G$183*G$185*G$186*G187&gt;0,SQRT(COUNT(G$182, G$183, G$185, G$186, G$187))," "),"")</f>
        <v/>
      </c>
      <c r="AL310" s="303" t="str">
        <f aca="false">IFERROR(IF(H$182*H$183*H$185*H$186*H187&gt;0,STDEV(H$182, H$183, H$185, H$186, H$187)," ")/IF(H$182*H$183*H$185*H$186*H187&gt;0,SQRT(COUNT(H$182, H$183, H$185, H$186, H$187))," "),"")</f>
        <v/>
      </c>
      <c r="AM310" s="303" t="str">
        <f aca="false">IFERROR(IF(I$182*I$183*I$185*I$186*I187&gt;0,STDEV(I$182, I$183, I$185, I$186, I$187)," ")/IF(I$182*I$183*I$185*I$186*I187&gt;0,SQRT(COUNT(I$182, I$183, I$185, I$186, I$187))," "),"")</f>
        <v/>
      </c>
      <c r="AN310" s="303" t="str">
        <f aca="false">IFERROR(IF(J$182*J$183*J$185*J$186*J187&gt;0,STDEV(J$182, J$183, J$185, J$186, J$187)," ")/IF(J$182*J$183*J$185*J$186*J187&gt;0,SQRT(COUNT(J$182, J$183, J$185, J$186, J$187))," "),"")</f>
        <v/>
      </c>
      <c r="AO310" s="303" t="str">
        <f aca="false">IFERROR(IF(K$182*K$183*K$185*K$186*K187&gt;0,STDEV(K$182, K$183, K$185, K$186, K$187)," ")/IF(K$182*K$183*K$185*K$186*K187&gt;0,SQRT(COUNT(K$182, K$183, K$185, K$186, K$187))," "),"")</f>
        <v/>
      </c>
      <c r="AP310" s="303" t="str">
        <f aca="false">IFERROR(IF(L$182*L$183*L$185*L$186*L187&gt;0,STDEV(L$182, L$183, L$185, L$186, L$187)," ")/IF(L$182*L$183*L$185*L$186*L187&gt;0,SQRT(COUNT(L$182, L$183, L$185, L$186, L$187))," "),"")</f>
        <v/>
      </c>
      <c r="AQ310" s="303" t="str">
        <f aca="false">IFERROR(IF(M$182*M$183*M$185*M$186*M187&gt;0,STDEV(M$182, M$183, M$185, M$186, M$187)," ")/IF(M$182*M$183*M$185*M$186*M187&gt;0,SQRT(COUNT(M$182, M$183, M$185, M$186, M$187))," "),"")</f>
        <v/>
      </c>
      <c r="AR310" s="303" t="str">
        <f aca="false">IFERROR(IF(N$182*N$183*N$185*N$186*N187&gt;0,STDEV(N$182, N$183, N$185, N$186, N$187)," ")/IF(N$182*N$183*N$185*N$186*N187&gt;0,SQRT(COUNT(N$182, N$183, N$185, N$186, N$187))," "),"")</f>
        <v/>
      </c>
    </row>
    <row r="311" customFormat="false" ht="15.75" hidden="false" customHeight="false" outlineLevel="0" collapsed="false">
      <c r="A311" s="290" t="s">
        <v>593</v>
      </c>
      <c r="B311" s="281"/>
      <c r="C311" s="302" t="str">
        <f aca="false">IFERROR(IF(C$182*C$183*C$184*C$186*C$187&gt;0,AVERAGE(C$182, C$183, C$184, C$186, C$187),""),"")</f>
        <v/>
      </c>
      <c r="D311" s="302" t="str">
        <f aca="false">IFERROR(IF(D$182*D$183*D$184*D$186*D$187&gt;0,AVERAGE(D$182, D$183, D$184, D$186, D$187),""),"")</f>
        <v/>
      </c>
      <c r="E311" s="302" t="str">
        <f aca="false">IFERROR(IF(E$182*E$183*E$184*E$186*E$187&gt;0,AVERAGE(E$182, E$183, E$184, E$186, E$187),""),"")</f>
        <v/>
      </c>
      <c r="F311" s="302" t="str">
        <f aca="false">IFERROR(IF(F$182*F$183*F$184*F$186*F$187&gt;0,AVERAGE(F$182, F$183, F$184, F$186, F$187),""),"")</f>
        <v/>
      </c>
      <c r="G311" s="302" t="str">
        <f aca="false">IFERROR(IF(G$182*G$183*G$184*G$186*G$187&gt;0,AVERAGE(G$182, G$183, G$184, G$186, G$187),""),"")</f>
        <v/>
      </c>
      <c r="H311" s="302" t="str">
        <f aca="false">IFERROR(IF(H$182*H$183*H$184*H$186*H$187&gt;0,AVERAGE(H$182, H$183, H$184, H$186, H$187),""),"")</f>
        <v/>
      </c>
      <c r="I311" s="302" t="str">
        <f aca="false">IFERROR(IF(I$182*I$183*I$184*I$186*I$187&gt;0,AVERAGE(I$182, I$183, I$184, I$186, I$187),""),"")</f>
        <v/>
      </c>
      <c r="J311" s="302" t="str">
        <f aca="false">IFERROR(IF(J$182*J$183*J$184*J$186*J$187&gt;0,AVERAGE(J$182, J$183, J$184, J$186, J$187),""),"")</f>
        <v/>
      </c>
      <c r="K311" s="302" t="str">
        <f aca="false">IFERROR(IF(K$182*K$183*K$184*K$186*K$187&gt;0,AVERAGE(K$182, K$183, K$184, K$186, K$187),""),"")</f>
        <v/>
      </c>
      <c r="L311" s="302" t="str">
        <f aca="false">IFERROR(IF(L$182*L$183*L$184*L$186*L$187&gt;0,AVERAGE(L$182, L$183, L$184, L$186, L$187),""),"")</f>
        <v/>
      </c>
      <c r="M311" s="302" t="str">
        <f aca="false">IFERROR(IF(M$182*M$183*M$184*M$186*M$187&gt;0,AVERAGE(M$182, M$183, M$184, M$186, M$187),""),"")</f>
        <v/>
      </c>
      <c r="N311" s="302" t="str">
        <f aca="false">IFERROR(IF(N$182*N$183*N$184*N$186*N$187&gt;0,AVERAGE(N$182, N$183, N$184, N$186, N$187),""),"")</f>
        <v/>
      </c>
      <c r="O311" s="282"/>
      <c r="P311" s="282"/>
      <c r="Q311" s="296"/>
      <c r="R311" s="293" t="s">
        <v>594</v>
      </c>
      <c r="S311" s="294" t="str">
        <f aca="false">IFERROR(IF(C$182*C$183*C$184*C$186*C$187&gt;0,STDEV(C$182, C$183, C$184, C$186, C$187),"")/IF(C$182*C$183*C$184*C$186*C$187&gt;0,AVERAGE(C$182, C$183, C$184, C$186, C$187),""),"")</f>
        <v/>
      </c>
      <c r="T311" s="294" t="str">
        <f aca="false">IFERROR(IF(D$182*D$183*D$184*D$186*D$187&gt;0,STDEV(D$182, D$183, D$184, D$186, D$187),"")/IF(D$182*D$183*D$184*D$186*D$187&gt;0,AVERAGE(D$182, D$183, D$184, D$186, D$187),""),"")</f>
        <v/>
      </c>
      <c r="U311" s="294" t="str">
        <f aca="false">IFERROR(IF(E$182*E$183*E$184*E$186*E$187&gt;0,STDEV(E$182, E$183, E$184, E$186, E$187),"")/IF(E$182*E$183*E$184*E$186*E$187&gt;0,AVERAGE(E$182, E$183, E$184, E$186, E$187),""),"")</f>
        <v/>
      </c>
      <c r="V311" s="294" t="str">
        <f aca="false">IFERROR(IF(F$182*F$183*F$184*F$186*F$187&gt;0,STDEV(F$182, F$183, F$184, F$186, F$187),"")/IF(F$182*F$183*F$184*F$186*F$187&gt;0,AVERAGE(F$182, F$183, F$184, F$186, F$187),""),"")</f>
        <v/>
      </c>
      <c r="W311" s="294" t="str">
        <f aca="false">IFERROR(IF(G$182*G$183*G$184*G$186*G$187&gt;0,STDEV(G$182, G$183, G$184, G$186, G$187),"")/IF(G$182*G$183*G$184*G$186*G$187&gt;0,AVERAGE(G$182, G$183, G$184, G$186, G$187),""),"")</f>
        <v/>
      </c>
      <c r="X311" s="294" t="str">
        <f aca="false">IFERROR(IF(H$182*H$183*H$184*H$186*H$187&gt;0,STDEV(H$182, H$183, H$184, H$186, H$187),"")/IF(H$182*H$183*H$184*H$186*H$187&gt;0,AVERAGE(H$182, H$183, H$184, H$186, H$187),""),"")</f>
        <v/>
      </c>
      <c r="Y311" s="294" t="str">
        <f aca="false">IFERROR(IF(I$182*I$183*I$184*I$186*I$187&gt;0,STDEV(I$182, I$183, I$184, I$186, I$187),"")/IF(I$182*I$183*I$184*I$186*I$187&gt;0,AVERAGE(I$182, I$183, I$184, I$186, I$187),""),"")</f>
        <v/>
      </c>
      <c r="Z311" s="294" t="str">
        <f aca="false">IFERROR(IF(J$182*J$183*J$184*J$186*J$187&gt;0,STDEV(J$182, J$183, J$184, J$186, J$187),"")/IF(J$182*J$183*J$184*J$186*J$187&gt;0,AVERAGE(J$182, J$183, J$184, J$186, J$187),""),"")</f>
        <v/>
      </c>
      <c r="AA311" s="294" t="str">
        <f aca="false">IFERROR(IF(K$182*K$183*K$184*K$186*K$187&gt;0,STDEV(K$182, K$183, K$184, K$186, K$187),"")/IF(K$182*K$183*K$184*K$186*K$187&gt;0,AVERAGE(K$182, K$183, K$184, K$186, K$187),""),"")</f>
        <v/>
      </c>
      <c r="AB311" s="294" t="str">
        <f aca="false">IFERROR(IF(L$182*L$183*L$184*L$186*L$187&gt;0,STDEV(L$182, L$183, L$184, L$186, L$187),"")/IF(L$182*L$183*L$184*L$186*L$187&gt;0,AVERAGE(L$182, L$183, L$184, L$186, L$187),""),"")</f>
        <v/>
      </c>
      <c r="AC311" s="294" t="str">
        <f aca="false">IFERROR(IF(M$182*M$183*M$184*M$186*M$187&gt;0,STDEV(M$182, M$183, M$184, M$186, M$187),"")/IF(M$182*M$183*M$184*M$186*M$187&gt;0,AVERAGE(M$182, M$183, M$184, M$186, M$187),""),"")</f>
        <v/>
      </c>
      <c r="AD311" s="294" t="str">
        <f aca="false">IFERROR(IF(N$182*N$183*N$184*N$186*N$187&gt;0,STDEV(N$182, N$183, N$184, N$186, N$187),"")/IF(N$182*N$183*N$184*N$186*N$187&gt;0,AVERAGE(N$182, N$183, N$184, N$186, N$187),""),"")</f>
        <v/>
      </c>
      <c r="AE311" s="44"/>
      <c r="AF311" s="266" t="s">
        <v>595</v>
      </c>
      <c r="AG311" s="303" t="str">
        <f aca="false">IFERROR(IF(C$182*C$183*C$184*C$186*C$187&gt;0,STDEV(C$182, C$183, C$184, C$186, C$187)," ")/IF(C$182*C$183*C$184*C$186*C$187&gt;0,SQRT(COUNT(C$182, C$183, C$184, C$186, C$187))," "),"")</f>
        <v/>
      </c>
      <c r="AH311" s="303" t="str">
        <f aca="false">IFERROR(IF(D$182*D$183*D$184*D$186*D$187&gt;0,STDEV(D$182, D$183, D$184, D$186, D$187)," ")/IF(D$182*D$183*D$184*D$186*D$187&gt;0,SQRT(COUNT(D$182, D$183, D$184, D$186, D$187))," "),"")</f>
        <v/>
      </c>
      <c r="AI311" s="303" t="str">
        <f aca="false">IFERROR(IF(E$182*E$183*E$184*E$186*E$187&gt;0,STDEV(E$182, E$183, E$184, E$186, E$187)," ")/IF(E$182*E$183*E$184*E$186*E$187&gt;0,SQRT(COUNT(E$182, E$183, E$184, E$186, E$187))," "),"")</f>
        <v/>
      </c>
      <c r="AJ311" s="303" t="str">
        <f aca="false">IFERROR(IF(F$182*F$183*F$184*F$186*F$187&gt;0,STDEV(F$182, F$183, F$184, F$186, F$187)," ")/IF(F$182*F$183*F$184*F$186*F$187&gt;0,SQRT(COUNT(F$182, F$183, F$184, F$186, F$187))," "),"")</f>
        <v/>
      </c>
      <c r="AK311" s="303" t="str">
        <f aca="false">IFERROR(IF(G$182*G$183*G$184*G$186*G$187&gt;0,STDEV(G$182, G$183, G$184, G$186, G$187)," ")/IF(G$182*G$183*G$184*G$186*G$187&gt;0,SQRT(COUNT(G$182, G$183, G$184, G$186, G$187))," "),"")</f>
        <v/>
      </c>
      <c r="AL311" s="303" t="str">
        <f aca="false">IFERROR(IF(H$182*H$183*H$184*H$186*H$187&gt;0,STDEV(H$182, H$183, H$184, H$186, H$187)," ")/IF(H$182*H$183*H$184*H$186*H$187&gt;0,SQRT(COUNT(H$182, H$183, H$184, H$186, H$187))," "),"")</f>
        <v/>
      </c>
      <c r="AM311" s="303" t="str">
        <f aca="false">IFERROR(IF(I$182*I$183*I$184*I$186*I$187&gt;0,STDEV(I$182, I$183, I$184, I$186, I$187)," ")/IF(I$182*I$183*I$184*I$186*I$187&gt;0,SQRT(COUNT(I$182, I$183, I$184, I$186, I$187))," "),"")</f>
        <v/>
      </c>
      <c r="AN311" s="303" t="str">
        <f aca="false">IFERROR(IF(J$182*J$183*J$184*J$186*J$187&gt;0,STDEV(J$182, J$183, J$184, J$186, J$187)," ")/IF(J$182*J$183*J$184*J$186*J$187&gt;0,SQRT(COUNT(J$182, J$183, J$184, J$186, J$187))," "),"")</f>
        <v/>
      </c>
      <c r="AO311" s="303" t="str">
        <f aca="false">IFERROR(IF(K$182*K$183*K$184*K$186*K$187&gt;0,STDEV(K$182, K$183, K$184, K$186, K$187)," ")/IF(K$182*K$183*K$184*K$186*K$187&gt;0,SQRT(COUNT(K$182, K$183, K$184, K$186, K$187))," "),"")</f>
        <v/>
      </c>
      <c r="AP311" s="303" t="str">
        <f aca="false">IFERROR(IF(L$182*L$183*L$184*L$186*L$187&gt;0,STDEV(L$182, L$183, L$184, L$186, L$187)," ")/IF(L$182*L$183*L$184*L$186*L$187&gt;0,SQRT(COUNT(L$182, L$183, L$184, L$186, L$187))," "),"")</f>
        <v/>
      </c>
      <c r="AQ311" s="303" t="str">
        <f aca="false">IFERROR(IF(M$182*M$183*M$184*M$186*M$187&gt;0,STDEV(M$182, M$183, M$184, M$186, M$187)," ")/IF(M$182*M$183*M$184*M$186*M$187&gt;0,SQRT(COUNT(M$182, M$183, M$184, M$186, M$187))," "),"")</f>
        <v/>
      </c>
      <c r="AR311" s="303" t="str">
        <f aca="false">IFERROR(IF(N$182*N$183*N$184*N$186*N$187&gt;0,STDEV(N$182, N$183, N$184, N$186, N$187)," ")/IF(N$182*N$183*N$184*N$186*N$187&gt;0,SQRT(COUNT(N$182, N$183, N$184, N$186, N$187))," "),"")</f>
        <v/>
      </c>
    </row>
    <row r="312" customFormat="false" ht="15.75" hidden="false" customHeight="false" outlineLevel="0" collapsed="false">
      <c r="A312" s="290" t="s">
        <v>596</v>
      </c>
      <c r="B312" s="281"/>
      <c r="C312" s="302" t="str">
        <f aca="false">IFERROR(IF(C$182*C$183*C$184*C$187*C$188&gt;0,AVERAGE(C$182, C$183, C$184, C$187, C$188),""),"")</f>
        <v/>
      </c>
      <c r="D312" s="302" t="str">
        <f aca="false">IFERROR(IF(D$182*D$183*D$184*D$187*D$188&gt;0,AVERAGE(D$182, D$183, D$184, D$187, D$188),""),"")</f>
        <v/>
      </c>
      <c r="E312" s="302" t="str">
        <f aca="false">IFERROR(IF(E$182*E$183*E$184*E$187*E$188&gt;0,AVERAGE(E$182, E$183, E$184, E$187, E$188),""),"")</f>
        <v/>
      </c>
      <c r="F312" s="302" t="str">
        <f aca="false">IFERROR(IF(F$182*F$183*F$184*F$187*F$188&gt;0,AVERAGE(F$182, F$183, F$184, F$187, F$188),""),"")</f>
        <v/>
      </c>
      <c r="G312" s="302" t="str">
        <f aca="false">IFERROR(IF(G$182*G$183*G$184*G$187*G$188&gt;0,AVERAGE(G$182, G$183, G$184, G$187, G$188),""),"")</f>
        <v/>
      </c>
      <c r="H312" s="302" t="str">
        <f aca="false">IFERROR(IF(H$182*H$183*H$184*H$187*H$188&gt;0,AVERAGE(H$182, H$183, H$184, H$187, H$188),""),"")</f>
        <v/>
      </c>
      <c r="I312" s="302" t="str">
        <f aca="false">IFERROR(IF(I$182*I$183*I$184*I$187*I$188&gt;0,AVERAGE(I$182, I$183, I$184, I$187, I$188),""),"")</f>
        <v/>
      </c>
      <c r="J312" s="302" t="str">
        <f aca="false">IFERROR(IF(J$182*J$183*J$184*J$187*J$188&gt;0,AVERAGE(J$182, J$183, J$184, J$187, J$188),""),"")</f>
        <v/>
      </c>
      <c r="K312" s="302" t="str">
        <f aca="false">IFERROR(IF(K$182*K$183*K$184*K$187*K$188&gt;0,AVERAGE(K$182, K$183, K$184, K$187, K$188),""),"")</f>
        <v/>
      </c>
      <c r="L312" s="302" t="str">
        <f aca="false">IFERROR(IF(L$182*L$183*L$184*L$187*L$188&gt;0,AVERAGE(L$182, L$183, L$184, L$187, L$188),""),"")</f>
        <v/>
      </c>
      <c r="M312" s="302" t="str">
        <f aca="false">IFERROR(IF(M$182*M$183*M$184*M$187*M$188&gt;0,AVERAGE(M$182, M$183, M$184, M$187, M$188),""),"")</f>
        <v/>
      </c>
      <c r="N312" s="302" t="str">
        <f aca="false">IFERROR(IF(N$182*N$183*N$184*N$187*N$188&gt;0,AVERAGE(N$182, N$183, N$184, N$187, N$188),""),"")</f>
        <v/>
      </c>
      <c r="O312" s="282"/>
      <c r="P312" s="282"/>
      <c r="Q312" s="296"/>
      <c r="R312" s="293" t="s">
        <v>597</v>
      </c>
      <c r="S312" s="294" t="str">
        <f aca="false">IFERROR(IF(C$182*C$183*C$184*C$187*C$188&gt;0,STDEV(C$182, C$183, C$184, C$187, C$188),"")/IF(C$182*C$183*C$184*C$187*C$188&gt;0,AVERAGE(C$182, C$183, C$184, C$187, C$188),""),"")</f>
        <v/>
      </c>
      <c r="T312" s="294" t="str">
        <f aca="false">IFERROR(IF(D$182*D$183*D$184*D$187*D$188&gt;0,STDEV(D$182, D$183, D$184, D$187, D$188),"")/IF(D$182*D$183*D$184*D$187*D$188&gt;0,AVERAGE(D$182, D$183, D$184, D$187, D$188),""),"")</f>
        <v/>
      </c>
      <c r="U312" s="294" t="str">
        <f aca="false">IFERROR(IF(E$182*E$183*E$184*E$187*E$188&gt;0,STDEV(E$182, E$183, E$184, E$187, E$188),"")/IF(E$182*E$183*E$184*E$187*E$188&gt;0,AVERAGE(E$182, E$183, E$184, E$187, E$188),""),"")</f>
        <v/>
      </c>
      <c r="V312" s="294" t="str">
        <f aca="false">IFERROR(IF(F$182*F$183*F$184*F$187*F$188&gt;0,STDEV(F$182, F$183, F$184, F$187, F$188),"")/IF(F$182*F$183*F$184*F$187*F$188&gt;0,AVERAGE(F$182, F$183, F$184, F$187, F$188),""),"")</f>
        <v/>
      </c>
      <c r="W312" s="294" t="str">
        <f aca="false">IFERROR(IF(G$182*G$183*G$184*G$187*G$188&gt;0,STDEV(G$182, G$183, G$184, G$187, G$188),"")/IF(G$182*G$183*G$184*G$187*G$188&gt;0,AVERAGE(G$182, G$183, G$184, G$187, G$188),""),"")</f>
        <v/>
      </c>
      <c r="X312" s="294" t="str">
        <f aca="false">IFERROR(IF(H$182*H$183*H$184*H$187*H$188&gt;0,STDEV(H$182, H$183, H$184, H$187, H$188),"")/IF(H$182*H$183*H$184*H$187*H$188&gt;0,AVERAGE(H$182, H$183, H$184, H$187, H$188),""),"")</f>
        <v/>
      </c>
      <c r="Y312" s="294" t="str">
        <f aca="false">IFERROR(IF(I$182*I$183*I$184*I$187*I$188&gt;0,STDEV(I$182, I$183, I$184, I$187, I$188),"")/IF(I$182*I$183*I$184*I$187*I$188&gt;0,AVERAGE(I$182, I$183, I$184, I$187, I$188),""),"")</f>
        <v/>
      </c>
      <c r="Z312" s="294" t="str">
        <f aca="false">IFERROR(IF(J$182*J$183*J$184*J$187*J$188&gt;0,STDEV(J$182, J$183, J$184, J$187, J$188),"")/IF(J$182*J$183*J$184*J$187*J$188&gt;0,AVERAGE(J$182, J$183, J$184, J$187, J$188),""),"")</f>
        <v/>
      </c>
      <c r="AA312" s="294" t="str">
        <f aca="false">IFERROR(IF(K$182*K$183*K$184*K$187*K$188&gt;0,STDEV(K$182, K$183, K$184, K$187, K$188),"")/IF(K$182*K$183*K$184*K$187*K$188&gt;0,AVERAGE(K$182, K$183, K$184, K$187, K$188),""),"")</f>
        <v/>
      </c>
      <c r="AB312" s="294" t="str">
        <f aca="false">IFERROR(IF(L$182*L$183*L$184*L$187*L$188&gt;0,STDEV(L$182, L$183, L$184, L$187, L$188),"")/IF(L$182*L$183*L$184*L$187*L$188&gt;0,AVERAGE(L$182, L$183, L$184, L$187, L$188),""),"")</f>
        <v/>
      </c>
      <c r="AC312" s="294" t="str">
        <f aca="false">IFERROR(IF(M$182*M$183*M$184*M$187*M$188&gt;0,STDEV(M$182, M$183, M$184, M$187, M$188),"")/IF(M$182*M$183*M$184*M$187*M$188&gt;0,AVERAGE(M$182, M$183, M$184, M$187, M$188),""),"")</f>
        <v/>
      </c>
      <c r="AD312" s="294" t="str">
        <f aca="false">IFERROR(IF(N$182*N$183*N$184*N$187*N$188&gt;0,STDEV(N$182, N$183, N$184, N$187, N$188),"")/IF(N$182*N$183*N$184*N$187*N$188&gt;0,AVERAGE(N$182, N$183, N$184, N$187, N$188),""),"")</f>
        <v/>
      </c>
      <c r="AE312" s="44"/>
      <c r="AF312" s="266" t="s">
        <v>598</v>
      </c>
      <c r="AG312" s="303" t="str">
        <f aca="false">IFERROR(IF(C$182*C$183*C$184*C$187*C$188&gt;0,STDEV(C$182, C$183, C$184, C$187, C$188)," ")/IF(C$182*C$183*C$184*C$187*C$188&gt;0,SQRT(COUNT(C$182, C$183, C$184, C$187, C$188))," "),"")</f>
        <v/>
      </c>
      <c r="AH312" s="303" t="str">
        <f aca="false">IFERROR(IF(D$182*D$183*D$184*D$187*D$188&gt;0,STDEV(D$182, D$183, D$184, D$187, D$188)," ")/IF(D$182*D$183*D$184*D$187*D$188&gt;0,SQRT(COUNT(D$182, D$183, D$184, D$187, D$188))," "),"")</f>
        <v/>
      </c>
      <c r="AI312" s="303" t="str">
        <f aca="false">IFERROR(IF(E$182*E$183*E$184*E$187*E$188&gt;0,STDEV(E$182, E$183, E$184, E$187, E$188)," ")/IF(E$182*E$183*E$184*E$187*E$188&gt;0,SQRT(COUNT(E$182, E$183, E$184, E$187, E$188))," "),"")</f>
        <v/>
      </c>
      <c r="AJ312" s="303" t="str">
        <f aca="false">IFERROR(IF(F$182*F$183*F$184*F$187*F$188&gt;0,STDEV(F$182, F$183, F$184, F$187, F$188)," ")/IF(F$182*F$183*F$184*F$187*F$188&gt;0,SQRT(COUNT(F$182, F$183, F$184, F$187, F$188))," "),"")</f>
        <v/>
      </c>
      <c r="AK312" s="303" t="str">
        <f aca="false">IFERROR(IF(G$182*G$183*G$184*G$187*G$188&gt;0,STDEV(G$182, G$183, G$184, G$187, G$188)," ")/IF(G$182*G$183*G$184*G$187*G$188&gt;0,SQRT(COUNT(G$182, G$183, G$184, G$187, G$188))," "),"")</f>
        <v/>
      </c>
      <c r="AL312" s="303" t="str">
        <f aca="false">IFERROR(IF(H$182*H$183*H$184*H$187*H$188&gt;0,STDEV(H$182, H$183, H$184, H$187, H$188)," ")/IF(H$182*H$183*H$184*H$187*H$188&gt;0,SQRT(COUNT(H$182, H$183, H$184, H$187, H$188))," "),"")</f>
        <v/>
      </c>
      <c r="AM312" s="303" t="str">
        <f aca="false">IFERROR(IF(I$182*I$183*I$184*I$187*I$188&gt;0,STDEV(I$182, I$183, I$184, I$187, I$188)," ")/IF(I$182*I$183*I$184*I$187*I$188&gt;0,SQRT(COUNT(I$182, I$183, I$184, I$187, I$188))," "),"")</f>
        <v/>
      </c>
      <c r="AN312" s="303" t="str">
        <f aca="false">IFERROR(IF(J$182*J$183*J$184*J$187*J$188&gt;0,STDEV(J$182, J$183, J$184, J$187, J$188)," ")/IF(J$182*J$183*J$184*J$187*J$188&gt;0,SQRT(COUNT(J$182, J$183, J$184, J$187, J$188))," "),"")</f>
        <v/>
      </c>
      <c r="AO312" s="303" t="str">
        <f aca="false">IFERROR(IF(K$182*K$183*K$184*K$187*K$188&gt;0,STDEV(K$182, K$183, K$184, K$187, K$188)," ")/IF(K$182*K$183*K$184*K$187*K$188&gt;0,SQRT(COUNT(K$182, K$183, K$184, K$187, K$188))," "),"")</f>
        <v/>
      </c>
      <c r="AP312" s="303" t="str">
        <f aca="false">IFERROR(IF(L$182*L$183*L$184*L$187*L$188&gt;0,STDEV(L$182, L$183, L$184, L$187, L$188)," ")/IF(L$182*L$183*L$184*L$187*L$188&gt;0,SQRT(COUNT(L$182, L$183, L$184, L$187, L$188))," "),"")</f>
        <v/>
      </c>
      <c r="AQ312" s="303" t="str">
        <f aca="false">IFERROR(IF(M$182*M$183*M$184*M$187*M$188&gt;0,STDEV(M$182, M$183, M$184, M$187, M$188)," ")/IF(M$182*M$183*M$184*M$187*M$188&gt;0,SQRT(COUNT(M$182, M$183, M$184, M$187, M$188))," "),"")</f>
        <v/>
      </c>
      <c r="AR312" s="303" t="str">
        <f aca="false">IFERROR(IF(N$182*N$183*N$184*N$187*N$188&gt;0,STDEV(N$182, N$183, N$184, N$187, N$188)," ")/IF(N$182*N$183*N$184*N$187*N$188&gt;0,SQRT(COUNT(N$182, N$183, N$184, N$187, N$188))," "),"")</f>
        <v/>
      </c>
    </row>
    <row r="313" customFormat="false" ht="15.75" hidden="false" customHeight="false" outlineLevel="0" collapsed="false">
      <c r="A313" s="242" t="s">
        <v>599</v>
      </c>
      <c r="B313" s="243"/>
      <c r="C313" s="262" t="str">
        <f aca="false">IFERROR(IF(C$182*C$183*C$184*C$186*C$188&gt;0,AVERAGE(C$182, C$183, C$184, C$186, C$188),""),"")</f>
        <v/>
      </c>
      <c r="D313" s="262" t="str">
        <f aca="false">IFERROR(IF(D$182*D$183*D$184*D$186*D$188&gt;0,AVERAGE(D$182, D$183, D$184, D$186, D$188),""),"")</f>
        <v/>
      </c>
      <c r="E313" s="262" t="str">
        <f aca="false">IFERROR(IF(E$182*E$183*E$184*E$186*E$188&gt;0,AVERAGE(E$182, E$183, E$184, E$186, E$188),""),"")</f>
        <v/>
      </c>
      <c r="F313" s="262" t="str">
        <f aca="false">IFERROR(IF(F$182*F$183*F$184*F$186*F$188&gt;0,AVERAGE(F$182, F$183, F$184, F$186, F$188),""),"")</f>
        <v/>
      </c>
      <c r="G313" s="262" t="str">
        <f aca="false">IFERROR(IF(G$182*G$183*G$184*G$186*G$188&gt;0,AVERAGE(G$182, G$183, G$184, G$186, G$188),""),"")</f>
        <v/>
      </c>
      <c r="H313" s="262" t="str">
        <f aca="false">IFERROR(IF(H$182*H$183*H$184*H$186*H$188&gt;0,AVERAGE(H$182, H$183, H$184, H$186, H$188),""),"")</f>
        <v/>
      </c>
      <c r="I313" s="262" t="str">
        <f aca="false">IFERROR(IF(I$182*I$183*I$184*I$186*I$188&gt;0,AVERAGE(I$182, I$183, I$184, I$186, I$188),""),"")</f>
        <v/>
      </c>
      <c r="J313" s="262" t="str">
        <f aca="false">IFERROR(IF(J$182*J$183*J$184*J$186*J$188&gt;0,AVERAGE(J$182, J$183, J$184, J$186, J$188),""),"")</f>
        <v/>
      </c>
      <c r="K313" s="262" t="str">
        <f aca="false">IFERROR(IF(K$182*K$183*K$184*K$186*K$188&gt;0,AVERAGE(K$182, K$183, K$184, K$186, K$188),""),"")</f>
        <v/>
      </c>
      <c r="L313" s="262" t="str">
        <f aca="false">IFERROR(IF(L$182*L$183*L$184*L$186*L$188&gt;0,AVERAGE(L$182, L$183, L$184, L$186, L$188),""),"")</f>
        <v/>
      </c>
      <c r="M313" s="262" t="str">
        <f aca="false">IFERROR(IF(M$182*M$183*M$184*M$186*M$188&gt;0,AVERAGE(M$182, M$183, M$184, M$186, M$188),""),"")</f>
        <v/>
      </c>
      <c r="N313" s="262" t="str">
        <f aca="false">IFERROR(IF(N$182*N$183*N$184*N$186*N$188&gt;0,AVERAGE(N$182, N$183, N$184, N$186, N$188),""),"")</f>
        <v/>
      </c>
      <c r="O313" s="245"/>
      <c r="P313" s="245"/>
      <c r="Q313" s="246"/>
      <c r="R313" s="247" t="s">
        <v>600</v>
      </c>
      <c r="S313" s="248" t="str">
        <f aca="false">IFERROR(IF(C$182*C$183*C$184*C$186*C$188&gt;0,STDEV(C$182, C$183, C$184, C$186, C$188),"")/IF(C$182*C$183*C$184*C$186*C$188&gt;0,AVERAGE(C$182, C$183, C$184, C$186, C$188),""),"")</f>
        <v/>
      </c>
      <c r="T313" s="248" t="str">
        <f aca="false">IFERROR(IF(D$182*D$183*D$184*D$186*D$188&gt;0,STDEV(D$182, D$183, D$184, D$186, D$188),"")/IF(D$182*D$183*D$184*D$186*D$188&gt;0,AVERAGE(D$182, D$183, D$184, D$186, D$188),""),"")</f>
        <v/>
      </c>
      <c r="U313" s="248" t="str">
        <f aca="false">IFERROR(IF(E$182*E$183*E$184*E$186*E$188&gt;0,STDEV(E$182, E$183, E$184, E$186, E$188),"")/IF(E$182*E$183*E$184*E$186*E$188&gt;0,AVERAGE(E$182, E$183, E$184, E$186, E$188),""),"")</f>
        <v/>
      </c>
      <c r="V313" s="248" t="str">
        <f aca="false">IFERROR(IF(F$182*F$183*F$184*F$186*F$188&gt;0,STDEV(F$182, F$183, F$184, F$186, F$188),"")/IF(F$182*F$183*F$184*F$186*F$188&gt;0,AVERAGE(F$182, F$183, F$184, F$186, F$188),""),"")</f>
        <v/>
      </c>
      <c r="W313" s="248" t="str">
        <f aca="false">IFERROR(IF(G$182*G$183*G$184*G$186*G$188&gt;0,STDEV(G$182, G$183, G$184, G$186, G$188),"")/IF(G$182*G$183*G$184*G$186*G$188&gt;0,AVERAGE(G$182, G$183, G$184, G$186, G$188),""),"")</f>
        <v/>
      </c>
      <c r="X313" s="248" t="str">
        <f aca="false">IFERROR(IF(H$182*H$183*H$184*H$186*H$188&gt;0,STDEV(H$182, H$183, H$184, H$186, H$188),"")/IF(H$182*H$183*H$184*H$186*H$188&gt;0,AVERAGE(H$182, H$183, H$184, H$186, H$188),""),"")</f>
        <v/>
      </c>
      <c r="Y313" s="248" t="str">
        <f aca="false">IFERROR(IF(I$182*I$183*I$184*I$186*I$188&gt;0,STDEV(I$182, I$183, I$184, I$186, I$188),"")/IF(I$182*I$183*I$184*I$186*I$188&gt;0,AVERAGE(I$182, I$183, I$184, I$186, I$188),""),"")</f>
        <v/>
      </c>
      <c r="Z313" s="248" t="str">
        <f aca="false">IFERROR(IF(J$182*J$183*J$184*J$186*J$188&gt;0,STDEV(J$182, J$183, J$184, J$186, J$188),"")/IF(J$182*J$183*J$184*J$186*J$188&gt;0,AVERAGE(J$182, J$183, J$184, J$186, J$188),""),"")</f>
        <v/>
      </c>
      <c r="AA313" s="248" t="str">
        <f aca="false">IFERROR(IF(K$182*K$183*K$184*K$186*K$188&gt;0,STDEV(K$182, K$183, K$184, K$186, K$188),"")/IF(K$182*K$183*K$184*K$186*K$188&gt;0,AVERAGE(K$182, K$183, K$184, K$186, K$188),""),"")</f>
        <v/>
      </c>
      <c r="AB313" s="248" t="str">
        <f aca="false">IFERROR(IF(L$182*L$183*L$184*L$186*L$188&gt;0,STDEV(L$182, L$183, L$184, L$186, L$188),"")/IF(L$182*L$183*L$184*L$186*L$188&gt;0,AVERAGE(L$182, L$183, L$184, L$186, L$188),""),"")</f>
        <v/>
      </c>
      <c r="AC313" s="248" t="str">
        <f aca="false">IFERROR(IF(M$182*M$183*M$184*M$186*M$188&gt;0,STDEV(M$182, M$183, M$184, M$186, M$188),"")/IF(M$182*M$183*M$184*M$186*M$188&gt;0,AVERAGE(M$182, M$183, M$184, M$186, M$188),""),"")</f>
        <v/>
      </c>
      <c r="AD313" s="248" t="str">
        <f aca="false">IFERROR(IF(N$182*N$183*N$184*N$186*N$188&gt;0,STDEV(N$182, N$183, N$184, N$186, N$188),"")/IF(N$182*N$183*N$184*N$186*N$188&gt;0,AVERAGE(N$182, N$183, N$184, N$186, N$188),""),"")</f>
        <v/>
      </c>
      <c r="AE313" s="300"/>
      <c r="AF313" s="250" t="s">
        <v>601</v>
      </c>
      <c r="AG313" s="272" t="str">
        <f aca="false">IFERROR(IF(C$182*C$183*C$184*C$186*C$188&gt;0,STDEV(C$182, C$183, C$184, C$186, C$188)," ")/IF(C$182*C$183*C$184*C$186*C$188&gt;0,SQRT(COUNT(C$182, C$183, C$184, C$186, C$188))," "),"")</f>
        <v/>
      </c>
      <c r="AH313" s="272" t="str">
        <f aca="false">IFERROR(IF(D$182*D$183*D$184*D$186*D$188&gt;0,STDEV(D$182, D$183, D$184, D$186, D$188)," ")/IF(D$182*D$183*D$184*D$186*D$188&gt;0,SQRT(COUNT(D$182, D$183, D$184, D$186, D$188))," "),"")</f>
        <v/>
      </c>
      <c r="AI313" s="272" t="str">
        <f aca="false">IFERROR(IF(E$182*E$183*E$184*E$186*E$188&gt;0,STDEV(E$182, E$183, E$184, E$186, E$188)," ")/IF(E$182*E$183*E$184*E$186*E$188&gt;0,SQRT(COUNT(E$182, E$183, E$184, E$186, E$188))," "),"")</f>
        <v/>
      </c>
      <c r="AJ313" s="272" t="str">
        <f aca="false">IFERROR(IF(F$182*F$183*F$184*F$186*F$188&gt;0,STDEV(F$182, F$183, F$184, F$186, F$188)," ")/IF(F$182*F$183*F$184*F$186*F$188&gt;0,SQRT(COUNT(F$182, F$183, F$184, F$186, F$188))," "),"")</f>
        <v/>
      </c>
      <c r="AK313" s="272" t="str">
        <f aca="false">IFERROR(IF(G$182*G$183*G$184*G$186*G$188&gt;0,STDEV(G$182, G$183, G$184, G$186, G$188)," ")/IF(G$182*G$183*G$184*G$186*G$188&gt;0,SQRT(COUNT(G$182, G$183, G$184, G$186, G$188))," "),"")</f>
        <v/>
      </c>
      <c r="AL313" s="272" t="str">
        <f aca="false">IFERROR(IF(H$182*H$183*H$184*H$186*H$188&gt;0,STDEV(H$182, H$183, H$184, H$186, H$188)," ")/IF(H$182*H$183*H$184*H$186*H$188&gt;0,SQRT(COUNT(H$182, H$183, H$184, H$186, H$188))," "),"")</f>
        <v/>
      </c>
      <c r="AM313" s="272" t="str">
        <f aca="false">IFERROR(IF(I$182*I$183*I$184*I$186*I$188&gt;0,STDEV(I$182, I$183, I$184, I$186, I$188)," ")/IF(I$182*I$183*I$184*I$186*I$188&gt;0,SQRT(COUNT(I$182, I$183, I$184, I$186, I$188))," "),"")</f>
        <v/>
      </c>
      <c r="AN313" s="272" t="str">
        <f aca="false">IFERROR(IF(J$182*J$183*J$184*J$186*J$188&gt;0,STDEV(J$182, J$183, J$184, J$186, J$188)," ")/IF(J$182*J$183*J$184*J$186*J$188&gt;0,SQRT(COUNT(J$182, J$183, J$184, J$186, J$188))," "),"")</f>
        <v/>
      </c>
      <c r="AO313" s="272" t="str">
        <f aca="false">IFERROR(IF(K$182*K$183*K$184*K$186*K$188&gt;0,STDEV(K$182, K$183, K$184, K$186, K$188)," ")/IF(K$182*K$183*K$184*K$186*K$188&gt;0,SQRT(COUNT(K$182, K$183, K$184, K$186, K$188))," "),"")</f>
        <v/>
      </c>
      <c r="AP313" s="272" t="str">
        <f aca="false">IFERROR(IF(L$182*L$183*L$184*L$186*L$188&gt;0,STDEV(L$182, L$183, L$184, L$186, L$188)," ")/IF(L$182*L$183*L$184*L$186*L$188&gt;0,SQRT(COUNT(L$182, L$183, L$184, L$186, L$188))," "),"")</f>
        <v/>
      </c>
      <c r="AQ313" s="272" t="str">
        <f aca="false">IFERROR(IF(M$182*M$183*M$184*M$186*M$188&gt;0,STDEV(M$182, M$183, M$184, M$186, M$188)," ")/IF(M$182*M$183*M$184*M$186*M$188&gt;0,SQRT(COUNT(M$182, M$183, M$184, M$186, M$188))," "),"")</f>
        <v/>
      </c>
      <c r="AR313" s="272" t="str">
        <f aca="false">IFERROR(IF(N$182*N$183*N$184*N$186*N$188&gt;0,STDEV(N$182, N$183, N$184, N$186, N$188)," ")/IF(N$182*N$183*N$184*N$186*N$188&gt;0,SQRT(COUNT(N$182, N$183, N$184, N$186, N$188))," "),"")</f>
        <v/>
      </c>
    </row>
    <row r="314" customFormat="false" ht="15.75" hidden="false" customHeight="false" outlineLevel="0" collapsed="false">
      <c r="A314" s="290" t="s">
        <v>602</v>
      </c>
      <c r="B314" s="281"/>
      <c r="C314" s="302" t="str">
        <f aca="false">IFERROR(IF(C$182*C$183*C$184*C$185*C$186*C$187&gt;0,AVERAGE(C$182:C$186,C$187),""),"")</f>
        <v/>
      </c>
      <c r="D314" s="302" t="str">
        <f aca="false">IFERROR(IF(D$182*D$183*D$184*D$185*D$186*D$187&gt;0,AVERAGE(D$182:D$186,D$187),""),"")</f>
        <v/>
      </c>
      <c r="E314" s="302" t="str">
        <f aca="false">IFERROR(IF(E$182*E$183*E$184*E$185*E$186*E$187&gt;0,AVERAGE(E$182:E$186,E$187),""),"")</f>
        <v/>
      </c>
      <c r="F314" s="302" t="str">
        <f aca="false">IFERROR(IF(F$182*F$183*F$184*F$185*F$186*F$187&gt;0,AVERAGE(F$182:F$186,F$187),""),"")</f>
        <v/>
      </c>
      <c r="G314" s="302" t="str">
        <f aca="false">IFERROR(IF(G$182*G$183*G$184*G$185*G$186*G$187&gt;0,AVERAGE(G$182:G$186,G$187),""),"")</f>
        <v/>
      </c>
      <c r="H314" s="302" t="str">
        <f aca="false">IFERROR(IF(H$182*H$183*H$184*H$185*H$186*H$187&gt;0,AVERAGE(H$182:H$186,H$187),""),"")</f>
        <v/>
      </c>
      <c r="I314" s="302" t="str">
        <f aca="false">IFERROR(IF(I$182*I$183*I$184*I$185*I$186*I$187&gt;0,AVERAGE(I$182:I$186,I$187),""),"")</f>
        <v/>
      </c>
      <c r="J314" s="302" t="str">
        <f aca="false">IFERROR(IF(J$182*J$183*J$184*J$185*J$186*J$187&gt;0,AVERAGE(J$182:J$186,J$187),""),"")</f>
        <v/>
      </c>
      <c r="K314" s="302" t="str">
        <f aca="false">IFERROR(IF(K$182*K$183*K$184*K$185*K$186*K$187&gt;0,AVERAGE(K$182:K$186,K$187),""),"")</f>
        <v/>
      </c>
      <c r="L314" s="302" t="str">
        <f aca="false">IFERROR(IF(L$182*L$183*L$184*L$185*L$186*L$187&gt;0,AVERAGE(L$182:L$186,L$187),""),"")</f>
        <v/>
      </c>
      <c r="M314" s="302" t="str">
        <f aca="false">IFERROR(IF(M$182*M$183*M$184*M$185*M$186*M$187&gt;0,AVERAGE(M$182:M$186,M$187),""),"")</f>
        <v/>
      </c>
      <c r="N314" s="302" t="str">
        <f aca="false">IFERROR(IF(N$182*N$183*N$184*N$185*N$186*N$187&gt;0,AVERAGE(N$182:N$186,N$187),""),"")</f>
        <v/>
      </c>
      <c r="O314" s="147" t="n">
        <v>6</v>
      </c>
      <c r="P314" s="282" t="n">
        <f aca="false">COMBIN(7,6)</f>
        <v>7</v>
      </c>
      <c r="Q314" s="283" t="n">
        <f aca="false">ROW(N320)-ROW(N314)+1</f>
        <v>7</v>
      </c>
      <c r="R314" s="293" t="s">
        <v>603</v>
      </c>
      <c r="S314" s="294" t="str">
        <f aca="false">IFERROR(IF(C$182*C$183*C$184*C$185*C$186*C$187&gt;0,STDEV(C$182:C$186,C$187),"")/IF(C$182*C$183*C$184*C$185*C$186*C$187&gt;0,AVERAGE(C$182:C$186,C$187),""),"")</f>
        <v/>
      </c>
      <c r="T314" s="294" t="str">
        <f aca="false">IFERROR(IF(D$182*D$183*D$184*D$185*D$186*D$187&gt;0,STDEV(D$182:D$186,D$187),"")/IF(D$182*D$183*D$184*D$185*D$186*D$187&gt;0,AVERAGE(D$182:D$186,D$187),""),"")</f>
        <v/>
      </c>
      <c r="U314" s="294" t="str">
        <f aca="false">IFERROR(IF(E$182*E$183*E$184*E$185*E$186*E$187&gt;0,STDEV(E$182:E$186,E$187),"")/IF(E$182*E$183*E$184*E$185*E$186*E$187&gt;0,AVERAGE(E$182:E$186,E$187),""),"")</f>
        <v/>
      </c>
      <c r="V314" s="294" t="str">
        <f aca="false">IFERROR(IF(F$182*F$183*F$184*F$185*F$186*F$187&gt;0,STDEV(F$182:F$186,F$187),"")/IF(F$182*F$183*F$184*F$185*F$186*F$187&gt;0,AVERAGE(F$182:F$186,F$187),""),"")</f>
        <v/>
      </c>
      <c r="W314" s="294" t="str">
        <f aca="false">IFERROR(IF(G$182*G$183*G$184*G$185*G$186*G$187&gt;0,STDEV(G$182:G$186,G$187),"")/IF(G$182*G$183*G$184*G$185*G$186*G$187&gt;0,AVERAGE(G$182:G$186,G$187),""),"")</f>
        <v/>
      </c>
      <c r="X314" s="294" t="str">
        <f aca="false">IFERROR(IF(H$182*H$183*H$184*H$185*H$186*H$187&gt;0,STDEV(H$182:H$186,H$187),"")/IF(H$182*H$183*H$184*H$185*H$186*H$187&gt;0,AVERAGE(H$182:H$186,H$187),""),"")</f>
        <v/>
      </c>
      <c r="Y314" s="294" t="str">
        <f aca="false">IFERROR(IF(I$182*I$183*I$184*I$185*I$186*I$187&gt;0,STDEV(I$182:I$186,I$187),"")/IF(I$182*I$183*I$184*I$185*I$186*I$187&gt;0,AVERAGE(I$182:I$186,I$187),""),"")</f>
        <v/>
      </c>
      <c r="Z314" s="294" t="str">
        <f aca="false">IFERROR(IF(J$182*J$183*J$184*J$185*J$186*J$187&gt;0,STDEV(J$182:J$186,J$187),"")/IF(J$182*J$183*J$184*J$185*J$186*J$187&gt;0,AVERAGE(J$182:J$186,J$187),""),"")</f>
        <v/>
      </c>
      <c r="AA314" s="294" t="str">
        <f aca="false">IFERROR(IF(K$182*K$183*K$184*K$185*K$186*K$187&gt;0,STDEV(K$182:K$186,K$187),"")/IF(K$182*K$183*K$184*K$185*K$186*K$187&gt;0,AVERAGE(K$182:K$186,K$187),""),"")</f>
        <v/>
      </c>
      <c r="AB314" s="294" t="str">
        <f aca="false">IFERROR(IF(L$182*L$183*L$184*L$185*L$186*L$187&gt;0,STDEV(L$182:L$186,L$187),"")/IF(L$182*L$183*L$184*L$185*L$186*L$187&gt;0,AVERAGE(L$182:L$186,L$187),""),"")</f>
        <v/>
      </c>
      <c r="AC314" s="294" t="str">
        <f aca="false">IFERROR(IF(M$182*M$183*M$184*M$185*M$186*M$187&gt;0,STDEV(M$182:M$186,M$187),"")/IF(M$182*M$183*M$184*M$185*M$186*M$187&gt;0,AVERAGE(M$182:M$186,M$187),""),"")</f>
        <v/>
      </c>
      <c r="AD314" s="294" t="str">
        <f aca="false">IFERROR(IF(N$182*N$183*N$184*N$185*N$186*N$187&gt;0,STDEV(N$182:N$186,N$187),"")/IF(N$182*N$183*N$184*N$185*N$186*N$187&gt;0,AVERAGE(N$182:N$186,N$187),""),"")</f>
        <v/>
      </c>
      <c r="AE314" s="44"/>
      <c r="AF314" s="266" t="s">
        <v>604</v>
      </c>
      <c r="AG314" s="303" t="str">
        <f aca="false">IFERROR(IF(C$182*C$183*C$184*C$185*C$186*C$187&gt;0,STDEV(C$182:C$186,C$187)," ")/IF(C$182*C$183*C$184*C$185*C$186*C$187&gt;0,SQRT(COUNT(C$182:C$186,C$187))," "),"")</f>
        <v/>
      </c>
      <c r="AH314" s="303" t="str">
        <f aca="false">IFERROR(IF(D$182*D$183*D$184*D$185*D$186*D$187&gt;0,STDEV(D$182:D$186,D$187)," ")/IF(D$182*D$183*D$184*D$185*D$186*D$187&gt;0,SQRT(COUNT(D$182:D$186,D$187))," "),"")</f>
        <v/>
      </c>
      <c r="AI314" s="303" t="str">
        <f aca="false">IFERROR(IF(E$182*E$183*E$184*E$185*E$186*E$187&gt;0,STDEV(E$182:E$186,E$187)," ")/IF(E$182*E$183*E$184*E$185*E$186*E$187&gt;0,SQRT(COUNT(E$182:E$186,E$187))," "),"")</f>
        <v/>
      </c>
      <c r="AJ314" s="303" t="str">
        <f aca="false">IFERROR(IF(F$182*F$183*F$184*F$185*F$186*F$187&gt;0,STDEV(F$182:F$186,F$187)," ")/IF(F$182*F$183*F$184*F$185*F$186*F$187&gt;0,SQRT(COUNT(F$182:F$186,F$187))," "),"")</f>
        <v/>
      </c>
      <c r="AK314" s="303" t="str">
        <f aca="false">IFERROR(IF(G$182*G$183*G$184*G$185*G$186*G$187&gt;0,STDEV(G$182:G$186,G$187)," ")/IF(G$182*G$183*G$184*G$185*G$186*G$187&gt;0,SQRT(COUNT(G$182:G$186,G$187))," "),"")</f>
        <v/>
      </c>
      <c r="AL314" s="303" t="str">
        <f aca="false">IFERROR(IF(H$182*H$183*H$184*H$185*H$186*H$187&gt;0,STDEV(H$182:H$186,H$187)," ")/IF(H$182*H$183*H$184*H$185*H$186*H$187&gt;0,SQRT(COUNT(H$182:H$186,H$187))," "),"")</f>
        <v/>
      </c>
      <c r="AM314" s="303" t="str">
        <f aca="false">IFERROR(IF(I$182*I$183*I$184*I$185*I$186*I$187&gt;0,STDEV(I$182:I$186,I$187)," ")/IF(I$182*I$183*I$184*I$185*I$186*I$187&gt;0,SQRT(COUNT(I$182:I$186,I$187))," "),"")</f>
        <v/>
      </c>
      <c r="AN314" s="303" t="str">
        <f aca="false">IFERROR(IF(J$182*J$183*J$184*J$185*J$186*J$187&gt;0,STDEV(J$182:J$186,J$187)," ")/IF(J$182*J$183*J$184*J$185*J$186*J$187&gt;0,SQRT(COUNT(J$182:J$186,J$187))," "),"")</f>
        <v/>
      </c>
      <c r="AO314" s="303" t="str">
        <f aca="false">IFERROR(IF(K$182*K$183*K$184*K$185*K$186*K$187&gt;0,STDEV(K$182:K$186,K$187)," ")/IF(K$182*K$183*K$184*K$185*K$186*K$187&gt;0,SQRT(COUNT(K$182:K$186,K$187))," "),"")</f>
        <v/>
      </c>
      <c r="AP314" s="303" t="str">
        <f aca="false">IFERROR(IF(L$182*L$183*L$184*L$185*L$186*L$187&gt;0,STDEV(L$182:L$186,L$187)," ")/IF(L$182*L$183*L$184*L$185*L$186*L$187&gt;0,SQRT(COUNT(L$182:L$186,L$187))," "),"")</f>
        <v/>
      </c>
      <c r="AQ314" s="303" t="str">
        <f aca="false">IFERROR(IF(M$182*M$183*M$184*M$185*M$186*M$187&gt;0,STDEV(M$182:M$186,M$187)," ")/IF(M$182*M$183*M$184*M$185*M$186*M$187&gt;0,SQRT(COUNT(M$182:M$186,M$187))," "),"")</f>
        <v/>
      </c>
      <c r="AR314" s="303" t="str">
        <f aca="false">IFERROR(IF(N$182*N$183*N$184*N$185*N$186*N$187&gt;0,STDEV(N$182:N$186,N$187)," ")/IF(N$182*N$183*N$184*N$185*N$186*N$187&gt;0,SQRT(COUNT(N$182:N$186,N$187))," "),"")</f>
        <v/>
      </c>
    </row>
    <row r="315" customFormat="false" ht="15.75" hidden="false" customHeight="false" outlineLevel="0" collapsed="false">
      <c r="A315" s="290" t="s">
        <v>605</v>
      </c>
      <c r="B315" s="281"/>
      <c r="C315" s="302" t="str">
        <f aca="false">IFERROR(IF(C$182*C$183*C$184*C$185*C$186*C$188&gt;0,AVERAGE(C$182:C$186,C$188),""),"")</f>
        <v/>
      </c>
      <c r="D315" s="302" t="str">
        <f aca="false">IFERROR(IF(D$182*D$183*D$184*D$185*D$186*D$188&gt;0,AVERAGE(D$182:D$186,D$188),""),"")</f>
        <v/>
      </c>
      <c r="E315" s="302" t="str">
        <f aca="false">IFERROR(IF(E$182*E$183*E$184*E$185*E$186*E$188&gt;0,AVERAGE(E$182:E$186,E$188),""),"")</f>
        <v/>
      </c>
      <c r="F315" s="302" t="str">
        <f aca="false">IFERROR(IF(F$182*F$183*F$184*F$185*F$186*F$188&gt;0,AVERAGE(F$182:F$186,F$188),""),"")</f>
        <v/>
      </c>
      <c r="G315" s="302" t="str">
        <f aca="false">IFERROR(IF(G$182*G$183*G$184*G$185*G$186*G$188&gt;0,AVERAGE(G$182:G$186,G$188),""),"")</f>
        <v/>
      </c>
      <c r="H315" s="302" t="str">
        <f aca="false">IFERROR(IF(H$182*H$183*H$184*H$185*H$186*H$188&gt;0,AVERAGE(H$182:H$186,H$188),""),"")</f>
        <v/>
      </c>
      <c r="I315" s="302" t="str">
        <f aca="false">IFERROR(IF(I$182*I$183*I$184*I$185*I$186*I$188&gt;0,AVERAGE(I$182:I$186,I$188),""),"")</f>
        <v/>
      </c>
      <c r="J315" s="302" t="str">
        <f aca="false">IFERROR(IF(J$182*J$183*J$184*J$185*J$186*J$188&gt;0,AVERAGE(J$182:J$186,J$188),""),"")</f>
        <v/>
      </c>
      <c r="K315" s="302" t="str">
        <f aca="false">IFERROR(IF(K$182*K$183*K$184*K$185*K$186*K$188&gt;0,AVERAGE(K$182:K$186,K$188),""),"")</f>
        <v/>
      </c>
      <c r="L315" s="302" t="str">
        <f aca="false">IFERROR(IF(L$182*L$183*L$184*L$185*L$186*L$188&gt;0,AVERAGE(L$182:L$186,L$188),""),"")</f>
        <v/>
      </c>
      <c r="M315" s="302" t="str">
        <f aca="false">IFERROR(IF(M$182*M$183*M$184*M$185*M$186*M$188&gt;0,AVERAGE(M$182:M$186,M$188),""),"")</f>
        <v/>
      </c>
      <c r="N315" s="302" t="str">
        <f aca="false">IFERROR(IF(N$182*N$183*N$184*N$185*N$186*N$188&gt;0,AVERAGE(N$182:N$186,N$188),""),"")</f>
        <v/>
      </c>
      <c r="O315" s="282"/>
      <c r="P315" s="282"/>
      <c r="Q315" s="296"/>
      <c r="R315" s="293" t="s">
        <v>606</v>
      </c>
      <c r="S315" s="294" t="str">
        <f aca="false">IFERROR(IF(C$182*C$183*C$184*C$185*C$186*C$188&gt;0,STDEV(C$182:C$186,C$188),"")/IF(C$182*C$183*C$184*C$185*C$186*C$188&gt;0,AVERAGE(C$182:C$186,C$188),""),"")</f>
        <v/>
      </c>
      <c r="T315" s="294" t="str">
        <f aca="false">IFERROR(IF(D$182*D$183*D$184*D$185*D$186*D$188&gt;0,STDEV(D$182:D$186,D$188),"")/IF(D$182*D$183*D$184*D$185*D$186*D$188&gt;0,AVERAGE(D$182:D$186,D$188),""),"")</f>
        <v/>
      </c>
      <c r="U315" s="294" t="str">
        <f aca="false">IFERROR(IF(E$182*E$183*E$184*E$185*E$186*E$188&gt;0,STDEV(E$182:E$186,E$188),"")/IF(E$182*E$183*E$184*E$185*E$186*E$188&gt;0,AVERAGE(E$182:E$186,E$188),""),"")</f>
        <v/>
      </c>
      <c r="V315" s="294" t="str">
        <f aca="false">IFERROR(IF(F$182*F$183*F$184*F$185*F$186*F$188&gt;0,STDEV(F$182:F$186,F$188),"")/IF(F$182*F$183*F$184*F$185*F$186*F$188&gt;0,AVERAGE(F$182:F$186,F$188),""),"")</f>
        <v/>
      </c>
      <c r="W315" s="294" t="str">
        <f aca="false">IFERROR(IF(G$182*G$183*G$184*G$185*G$186*G$188&gt;0,STDEV(G$182:G$186,G$188),"")/IF(G$182*G$183*G$184*G$185*G$186*G$188&gt;0,AVERAGE(G$182:G$186,G$188),""),"")</f>
        <v/>
      </c>
      <c r="X315" s="294" t="str">
        <f aca="false">IFERROR(IF(H$182*H$183*H$184*H$185*H$186*H$188&gt;0,STDEV(H$182:H$186,H$188),"")/IF(H$182*H$183*H$184*H$185*H$186*H$188&gt;0,AVERAGE(H$182:H$186,H$188),""),"")</f>
        <v/>
      </c>
      <c r="Y315" s="294" t="str">
        <f aca="false">IFERROR(IF(I$182*I$183*I$184*I$185*I$186*I$188&gt;0,STDEV(I$182:I$186,I$188),"")/IF(I$182*I$183*I$184*I$185*I$186*I$188&gt;0,AVERAGE(I$182:I$186,I$188),""),"")</f>
        <v/>
      </c>
      <c r="Z315" s="294" t="str">
        <f aca="false">IFERROR(IF(J$182*J$183*J$184*J$185*J$186*J$188&gt;0,STDEV(J$182:J$186,J$188),"")/IF(J$182*J$183*J$184*J$185*J$186*J$188&gt;0,AVERAGE(J$182:J$186,J$188),""),"")</f>
        <v/>
      </c>
      <c r="AA315" s="294" t="str">
        <f aca="false">IFERROR(IF(K$182*K$183*K$184*K$185*K$186*K$188&gt;0,STDEV(K$182:K$186,K$188),"")/IF(K$182*K$183*K$184*K$185*K$186*K$188&gt;0,AVERAGE(K$182:K$186,K$188),""),"")</f>
        <v/>
      </c>
      <c r="AB315" s="294" t="str">
        <f aca="false">IFERROR(IF(L$182*L$183*L$184*L$185*L$186*L$188&gt;0,STDEV(L$182:L$186,L$188),"")/IF(L$182*L$183*L$184*L$185*L$186*L$188&gt;0,AVERAGE(L$182:L$186,L$188),""),"")</f>
        <v/>
      </c>
      <c r="AC315" s="294" t="str">
        <f aca="false">IFERROR(IF(M$182*M$183*M$184*M$185*M$186*M$188&gt;0,STDEV(M$182:M$186,M$188),"")/IF(M$182*M$183*M$184*M$185*M$186*M$188&gt;0,AVERAGE(M$182:M$186,M$188),""),"")</f>
        <v/>
      </c>
      <c r="AD315" s="294" t="str">
        <f aca="false">IFERROR(IF(N$182*N$183*N$184*N$185*N$186*N$188&gt;0,STDEV(N$182:N$186,N$188),"")/IF(N$182*N$183*N$184*N$185*N$186*N$188&gt;0,AVERAGE(N$182:N$186,N$188),""),"")</f>
        <v/>
      </c>
      <c r="AE315" s="44"/>
      <c r="AF315" s="266" t="s">
        <v>607</v>
      </c>
      <c r="AG315" s="303" t="str">
        <f aca="false">IFERROR(IF(C$182*C$183*C$184*C$185*C$186*C$188&gt;0,STDEV(C$182:C$186,C$188)," ")/IF(C$182*C$183*C$184*C$185*C$186*C$188&gt;0,SQRT(COUNT(C$182:C$186,C$188))," "),"")</f>
        <v/>
      </c>
      <c r="AH315" s="303" t="str">
        <f aca="false">IFERROR(IF(D$182*D$183*D$184*D$185*D$186*D$188&gt;0,STDEV(D$182:D$186,D$188)," ")/IF(D$182*D$183*D$184*D$185*D$186*D$188&gt;0,SQRT(COUNT(D$182:D$186,D$188))," "),"")</f>
        <v/>
      </c>
      <c r="AI315" s="303" t="str">
        <f aca="false">IFERROR(IF(E$182*E$183*E$184*E$185*E$186*E$188&gt;0,STDEV(E$182:E$186,E$188)," ")/IF(E$182*E$183*E$184*E$185*E$186*E$188&gt;0,SQRT(COUNT(E$182:E$186,E$188))," "),"")</f>
        <v/>
      </c>
      <c r="AJ315" s="303" t="str">
        <f aca="false">IFERROR(IF(F$182*F$183*F$184*F$185*F$186*F$188&gt;0,STDEV(F$182:F$186,F$188)," ")/IF(F$182*F$183*F$184*F$185*F$186*F$188&gt;0,SQRT(COUNT(F$182:F$186,F$188))," "),"")</f>
        <v/>
      </c>
      <c r="AK315" s="303" t="str">
        <f aca="false">IFERROR(IF(G$182*G$183*G$184*G$185*G$186*G$188&gt;0,STDEV(G$182:G$186,G$188)," ")/IF(G$182*G$183*G$184*G$185*G$186*G$188&gt;0,SQRT(COUNT(G$182:G$186,G$188))," "),"")</f>
        <v/>
      </c>
      <c r="AL315" s="303" t="str">
        <f aca="false">IFERROR(IF(H$182*H$183*H$184*H$185*H$186*H$188&gt;0,STDEV(H$182:H$186,H$188)," ")/IF(H$182*H$183*H$184*H$185*H$186*H$188&gt;0,SQRT(COUNT(H$182:H$186,H$188))," "),"")</f>
        <v/>
      </c>
      <c r="AM315" s="303" t="str">
        <f aca="false">IFERROR(IF(I$182*I$183*I$184*I$185*I$186*I$188&gt;0,STDEV(I$182:I$186,I$188)," ")/IF(I$182*I$183*I$184*I$185*I$186*I$188&gt;0,SQRT(COUNT(I$182:I$186,I$188))," "),"")</f>
        <v/>
      </c>
      <c r="AN315" s="303" t="str">
        <f aca="false">IFERROR(IF(J$182*J$183*J$184*J$185*J$186*J$188&gt;0,STDEV(J$182:J$186,J$188)," ")/IF(J$182*J$183*J$184*J$185*J$186*J$188&gt;0,SQRT(COUNT(J$182:J$186,J$188))," "),"")</f>
        <v/>
      </c>
      <c r="AO315" s="303" t="str">
        <f aca="false">IFERROR(IF(K$182*K$183*K$184*K$185*K$186*K$188&gt;0,STDEV(K$182:K$186,K$188)," ")/IF(K$182*K$183*K$184*K$185*K$186*K$188&gt;0,SQRT(COUNT(K$182:K$186,K$188))," "),"")</f>
        <v/>
      </c>
      <c r="AP315" s="303" t="str">
        <f aca="false">IFERROR(IF(L$182*L$183*L$184*L$185*L$186*L$188&gt;0,STDEV(L$182:L$186,L$188)," ")/IF(L$182*L$183*L$184*L$185*L$186*L$188&gt;0,SQRT(COUNT(L$182:L$186,L$188))," "),"")</f>
        <v/>
      </c>
      <c r="AQ315" s="303" t="str">
        <f aca="false">IFERROR(IF(M$182*M$183*M$184*M$185*M$186*M$188&gt;0,STDEV(M$182:M$186,M$188)," ")/IF(M$182*M$183*M$184*M$185*M$186*M$188&gt;0,SQRT(COUNT(M$182:M$186,M$188))," "),"")</f>
        <v/>
      </c>
      <c r="AR315" s="303" t="str">
        <f aca="false">IFERROR(IF(N$182*N$183*N$184*N$185*N$186*N$188&gt;0,STDEV(N$182:N$186,N$188)," ")/IF(N$182*N$183*N$184*N$185*N$186*N$188&gt;0,SQRT(COUNT(N$182:N$186,N$188))," "),"")</f>
        <v/>
      </c>
    </row>
    <row r="316" customFormat="false" ht="15.75" hidden="false" customHeight="false" outlineLevel="0" collapsed="false">
      <c r="A316" s="290" t="s">
        <v>608</v>
      </c>
      <c r="B316" s="281"/>
      <c r="C316" s="302" t="str">
        <f aca="false">IFERROR(IF(C$182*C$183*C$184*C$185*C$187*C$188&gt;0,AVERAGE(C$182:C$185, C$188),""),"")</f>
        <v/>
      </c>
      <c r="D316" s="302" t="str">
        <f aca="false">IFERROR(IF(D$182*D$183*D$184*D$185*D$187*D$188&gt;0,AVERAGE(D$182:D$185, D$188),""),"")</f>
        <v/>
      </c>
      <c r="E316" s="302" t="str">
        <f aca="false">IFERROR(IF(E$182*E$183*E$184*E$185*E$187*E$188&gt;0,AVERAGE(E$182:E$185, E$188),""),"")</f>
        <v/>
      </c>
      <c r="F316" s="302" t="str">
        <f aca="false">IFERROR(IF(F$182*F$183*F$184*F$185*F$187*F$188&gt;0,AVERAGE(F$182:F$185, F$188),""),"")</f>
        <v/>
      </c>
      <c r="G316" s="302" t="str">
        <f aca="false">IFERROR(IF(G$182*G$183*G$184*G$185*G$187*G$188&gt;0,AVERAGE(G$182:G$185, G$188),""),"")</f>
        <v/>
      </c>
      <c r="H316" s="302" t="str">
        <f aca="false">IFERROR(IF(H$182*H$183*H$184*H$185*H$187*H$188&gt;0,AVERAGE(H$182:H$185, H$188),""),"")</f>
        <v/>
      </c>
      <c r="I316" s="302" t="str">
        <f aca="false">IFERROR(IF(I$182*I$183*I$184*I$185*I$187*I$188&gt;0,AVERAGE(I$182:I$185, I$188),""),"")</f>
        <v/>
      </c>
      <c r="J316" s="302" t="str">
        <f aca="false">IFERROR(IF(J$182*J$183*J$184*J$185*J$187*J$188&gt;0,AVERAGE(J$182:J$185, J$188),""),"")</f>
        <v/>
      </c>
      <c r="K316" s="302" t="str">
        <f aca="false">IFERROR(IF(K$182*K$183*K$184*K$185*K$187*K$188&gt;0,AVERAGE(K$182:K$185, K$188),""),"")</f>
        <v/>
      </c>
      <c r="L316" s="302" t="str">
        <f aca="false">IFERROR(IF(L$182*L$183*L$184*L$185*L$187*L$188&gt;0,AVERAGE(L$182:L$185, L$188),""),"")</f>
        <v/>
      </c>
      <c r="M316" s="302" t="str">
        <f aca="false">IFERROR(IF(M$182*M$183*M$184*M$185*M$187*M$188&gt;0,AVERAGE(M$182:M$185, M$188),""),"")</f>
        <v/>
      </c>
      <c r="N316" s="302" t="str">
        <f aca="false">IFERROR(IF(N$182*N$183*N$184*N$185*N$187*N$188&gt;0,AVERAGE(N$182:N$185, N$188),""),"")</f>
        <v/>
      </c>
      <c r="O316" s="282"/>
      <c r="P316" s="282"/>
      <c r="Q316" s="296"/>
      <c r="R316" s="293" t="s">
        <v>609</v>
      </c>
      <c r="S316" s="294" t="str">
        <f aca="false">IFERROR(IF(C$182*C$183*C$184*C$185*C$187*C$188&gt;0,STDEV(C$182:C$185, C$188),"")/IF(C$182*C$183*C$184*C$185*C$187*C$188&gt;0,AVERAGE(C$182:C$185, C$188),""),"")</f>
        <v/>
      </c>
      <c r="T316" s="294" t="str">
        <f aca="false">IFERROR(IF(D$182*D$183*D$184*D$185*D$187*D$188&gt;0,STDEV(D$182:D$185, D$188),"")/IF(D$182*D$183*D$184*D$185*D$187*D$188&gt;0,AVERAGE(D$182:D$185, D$188),""),"")</f>
        <v/>
      </c>
      <c r="U316" s="294" t="str">
        <f aca="false">IFERROR(IF(E$182*E$183*E$184*E$185*E$187*E$188&gt;0,STDEV(E$182:E$185, E$188),"")/IF(E$182*E$183*E$184*E$185*E$187*E$188&gt;0,AVERAGE(E$182:E$185, E$188),""),"")</f>
        <v/>
      </c>
      <c r="V316" s="294" t="str">
        <f aca="false">IFERROR(IF(F$182*F$183*F$184*F$185*F$187*F$188&gt;0,STDEV(F$182:F$185, F$188),"")/IF(F$182*F$183*F$184*F$185*F$187*F$188&gt;0,AVERAGE(F$182:F$185, F$188),""),"")</f>
        <v/>
      </c>
      <c r="W316" s="294" t="str">
        <f aca="false">IFERROR(IF(G$182*G$183*G$184*G$185*G$187*G$188&gt;0,STDEV(G$182:G$185, G$188),"")/IF(G$182*G$183*G$184*G$185*G$187*G$188&gt;0,AVERAGE(G$182:G$185, G$188),""),"")</f>
        <v/>
      </c>
      <c r="X316" s="294" t="str">
        <f aca="false">IFERROR(IF(H$182*H$183*H$184*H$185*H$187*H$188&gt;0,STDEV(H$182:H$185, H$188),"")/IF(H$182*H$183*H$184*H$185*H$187*H$188&gt;0,AVERAGE(H$182:H$185, H$188),""),"")</f>
        <v/>
      </c>
      <c r="Y316" s="294" t="str">
        <f aca="false">IFERROR(IF(I$182*I$183*I$184*I$185*I$187*I$188&gt;0,STDEV(I$182:I$185, I$188),"")/IF(I$182*I$183*I$184*I$185*I$187*I$188&gt;0,AVERAGE(I$182:I$185, I$188),""),"")</f>
        <v/>
      </c>
      <c r="Z316" s="294" t="str">
        <f aca="false">IFERROR(IF(J$182*J$183*J$184*J$185*J$187*J$188&gt;0,STDEV(J$182:J$185, J$188),"")/IF(J$182*J$183*J$184*J$185*J$187*J$188&gt;0,AVERAGE(J$182:J$185, J$188),""),"")</f>
        <v/>
      </c>
      <c r="AA316" s="294" t="str">
        <f aca="false">IFERROR(IF(K$182*K$183*K$184*K$185*K$187*K$188&gt;0,STDEV(K$182:K$185, K$188),"")/IF(K$182*K$183*K$184*K$185*K$187*K$188&gt;0,AVERAGE(K$182:K$185, K$188),""),"")</f>
        <v/>
      </c>
      <c r="AB316" s="294" t="str">
        <f aca="false">IFERROR(IF(L$182*L$183*L$184*L$185*L$187*L$188&gt;0,STDEV(L$182:L$185, L$188),"")/IF(L$182*L$183*L$184*L$185*L$187*L$188&gt;0,AVERAGE(L$182:L$185, L$188),""),"")</f>
        <v/>
      </c>
      <c r="AC316" s="294" t="str">
        <f aca="false">IFERROR(IF(M$182*M$183*M$184*M$185*M$187*M$188&gt;0,STDEV(M$182:M$185, M$188),"")/IF(M$182*M$183*M$184*M$185*M$187*M$188&gt;0,AVERAGE(M$182:M$185, M$188),""),"")</f>
        <v/>
      </c>
      <c r="AD316" s="294" t="str">
        <f aca="false">IFERROR(IF(N$182*N$183*N$184*N$185*N$187*N$188&gt;0,STDEV(N$182:N$185, N$188),"")/IF(N$182*N$183*N$184*N$185*N$187*N$188&gt;0,AVERAGE(N$182:N$185, N$188),""),"")</f>
        <v/>
      </c>
      <c r="AE316" s="44"/>
      <c r="AF316" s="266" t="s">
        <v>610</v>
      </c>
      <c r="AG316" s="303" t="str">
        <f aca="false">IFERROR(IF(C$182*C$183*C$184*C$185*C$187*C$188&gt;0,STDEV(C$182:C$185, C$188)," ")/IF(C$182*C$183*C$184*C$185*C$187*C$188&gt;0,SQRT(COUNT(C$182:C$185, C$188))," "),"")</f>
        <v/>
      </c>
      <c r="AH316" s="303" t="str">
        <f aca="false">IFERROR(IF(D$182*D$183*D$184*D$185*D$187*D$188&gt;0,STDEV(D$182:D$185, D$188)," ")/IF(D$182*D$183*D$184*D$185*D$187*D$188&gt;0,SQRT(COUNT(D$182:D$185, D$188))," "),"")</f>
        <v/>
      </c>
      <c r="AI316" s="303" t="str">
        <f aca="false">IFERROR(IF(E$182*E$183*E$184*E$185*E$187*E$188&gt;0,STDEV(E$182:E$185, E$188)," ")/IF(E$182*E$183*E$184*E$185*E$187*E$188&gt;0,SQRT(COUNT(E$182:E$185, E$188))," "),"")</f>
        <v/>
      </c>
      <c r="AJ316" s="303" t="str">
        <f aca="false">IFERROR(IF(F$182*F$183*F$184*F$185*F$187*F$188&gt;0,STDEV(F$182:F$185, F$188)," ")/IF(F$182*F$183*F$184*F$185*F$187*F$188&gt;0,SQRT(COUNT(F$182:F$185, F$188))," "),"")</f>
        <v/>
      </c>
      <c r="AK316" s="303" t="str">
        <f aca="false">IFERROR(IF(G$182*G$183*G$184*G$185*G$187*G$188&gt;0,STDEV(G$182:G$185, G$188)," ")/IF(G$182*G$183*G$184*G$185*G$187*G$188&gt;0,SQRT(COUNT(G$182:G$185, G$188))," "),"")</f>
        <v/>
      </c>
      <c r="AL316" s="303" t="str">
        <f aca="false">IFERROR(IF(H$182*H$183*H$184*H$185*H$187*H$188&gt;0,STDEV(H$182:H$185, H$188)," ")/IF(H$182*H$183*H$184*H$185*H$187*H$188&gt;0,SQRT(COUNT(H$182:H$185, H$188))," "),"")</f>
        <v/>
      </c>
      <c r="AM316" s="303" t="str">
        <f aca="false">IFERROR(IF(I$182*I$183*I$184*I$185*I$187*I$188&gt;0,STDEV(I$182:I$185, I$188)," ")/IF(I$182*I$183*I$184*I$185*I$187*I$188&gt;0,SQRT(COUNT(I$182:I$185, I$188))," "),"")</f>
        <v/>
      </c>
      <c r="AN316" s="303" t="str">
        <f aca="false">IFERROR(IF(J$182*J$183*J$184*J$185*J$187*J$188&gt;0,STDEV(J$182:J$185, J$188)," ")/IF(J$182*J$183*J$184*J$185*J$187*J$188&gt;0,SQRT(COUNT(J$182:J$185, J$188))," "),"")</f>
        <v/>
      </c>
      <c r="AO316" s="303" t="str">
        <f aca="false">IFERROR(IF(K$182*K$183*K$184*K$185*K$187*K$188&gt;0,STDEV(K$182:K$185, K$188)," ")/IF(K$182*K$183*K$184*K$185*K$187*K$188&gt;0,SQRT(COUNT(K$182:K$185, K$188))," "),"")</f>
        <v/>
      </c>
      <c r="AP316" s="303" t="str">
        <f aca="false">IFERROR(IF(L$182*L$183*L$184*L$185*L$187*L$188&gt;0,STDEV(L$182:L$185, L$188)," ")/IF(L$182*L$183*L$184*L$185*L$187*L$188&gt;0,SQRT(COUNT(L$182:L$185, L$188))," "),"")</f>
        <v/>
      </c>
      <c r="AQ316" s="303" t="str">
        <f aca="false">IFERROR(IF(M$182*M$183*M$184*M$185*M$187*M$188&gt;0,STDEV(M$182:M$185, M$188)," ")/IF(M$182*M$183*M$184*M$185*M$187*M$188&gt;0,SQRT(COUNT(M$182:M$185, M$188))," "),"")</f>
        <v/>
      </c>
      <c r="AR316" s="303" t="str">
        <f aca="false">IFERROR(IF(N$182*N$183*N$184*N$185*N$187*N$188&gt;0,STDEV(N$182:N$185, N$188)," ")/IF(N$182*N$183*N$184*N$185*N$187*N$188&gt;0,SQRT(COUNT(N$182:N$185, N$188))," "),"")</f>
        <v/>
      </c>
    </row>
    <row r="317" customFormat="false" ht="15.75" hidden="false" customHeight="false" outlineLevel="0" collapsed="false">
      <c r="A317" s="290" t="s">
        <v>611</v>
      </c>
      <c r="B317" s="281"/>
      <c r="C317" s="302" t="str">
        <f aca="false">IFERROR(IF(C$182*C$183*C$184*C$186*C$187*C$188&gt;0,AVERAGE(C$182:C$184,C$186:C$188),""),"")</f>
        <v/>
      </c>
      <c r="D317" s="302" t="str">
        <f aca="false">IFERROR(IF(D$182*D$183*D$184*D$186*D$187*D$188&gt;0,AVERAGE(D$182:D$184,D$186:D$188),""),"")</f>
        <v/>
      </c>
      <c r="E317" s="302" t="str">
        <f aca="false">IFERROR(IF(E$182*E$183*E$184*E$186*E$187*E$188&gt;0,AVERAGE(E$182:E$184,E$186:E$188),""),"")</f>
        <v/>
      </c>
      <c r="F317" s="302" t="str">
        <f aca="false">IFERROR(IF(F$182*F$183*F$184*F$186*F$187*F$188&gt;0,AVERAGE(F$182:F$184,F$186:F$188),""),"")</f>
        <v/>
      </c>
      <c r="G317" s="302" t="str">
        <f aca="false">IFERROR(IF(G$182*G$183*G$184*G$186*G$187*G$188&gt;0,AVERAGE(G$182:G$184,G$186:G$188),""),"")</f>
        <v/>
      </c>
      <c r="H317" s="302" t="str">
        <f aca="false">IFERROR(IF(H$182*H$183*H$184*H$186*H$187*H$188&gt;0,AVERAGE(H$182:H$184,H$186:H$188),""),"")</f>
        <v/>
      </c>
      <c r="I317" s="302" t="str">
        <f aca="false">IFERROR(IF(I$182*I$183*I$184*I$186*I$187*I$188&gt;0,AVERAGE(I$182:I$184,I$186:I$188),""),"")</f>
        <v/>
      </c>
      <c r="J317" s="302" t="str">
        <f aca="false">IFERROR(IF(J$182*J$183*J$184*J$186*J$187*J$188&gt;0,AVERAGE(J$182:J$184,J$186:J$188),""),"")</f>
        <v/>
      </c>
      <c r="K317" s="302" t="str">
        <f aca="false">IFERROR(IF(K$182*K$183*K$184*K$186*K$187*K$188&gt;0,AVERAGE(K$182:K$184,K$186:K$188),""),"")</f>
        <v/>
      </c>
      <c r="L317" s="302" t="str">
        <f aca="false">IFERROR(IF(L$182*L$183*L$184*L$186*L$187*L$188&gt;0,AVERAGE(L$182:L$184,L$186:L$188),""),"")</f>
        <v/>
      </c>
      <c r="M317" s="302" t="str">
        <f aca="false">IFERROR(IF(M$182*M$183*M$184*M$186*M$187*M$188&gt;0,AVERAGE(M$182:M$184,M$186:M$188),""),"")</f>
        <v/>
      </c>
      <c r="N317" s="302" t="str">
        <f aca="false">IFERROR(IF(N$182*N$183*N$184*N$186*N$187*N$188&gt;0,AVERAGE(N$182:N$184,N$186:N$188),""),"")</f>
        <v/>
      </c>
      <c r="O317" s="282"/>
      <c r="P317" s="282"/>
      <c r="Q317" s="296"/>
      <c r="R317" s="293" t="s">
        <v>612</v>
      </c>
      <c r="S317" s="294" t="str">
        <f aca="false">IFERROR(IF(C$182*C$183*C$184*C$186*C$187*C$188&gt;0,STDEV(C$182:C$184,C$186:C$188),"")/IF(C$182*C$183*C$184*C$186*C$187*C$188&gt;0,AVERAGE(C$182:C$184,C$186:C$188),""),"")</f>
        <v/>
      </c>
      <c r="T317" s="294" t="str">
        <f aca="false">IFERROR(IF(D$182*D$183*D$184*D$186*D$187*D$188&gt;0,STDEV(D$182:D$184,D$186:D$188),"")/IF(D$182*D$183*D$184*D$186*D$187*D$188&gt;0,AVERAGE(D$182:D$184,D$186:D$188),""),"")</f>
        <v/>
      </c>
      <c r="U317" s="294" t="str">
        <f aca="false">IFERROR(IF(E$182*E$183*E$184*E$186*E$187*E$188&gt;0,STDEV(E$182:E$184,E$186:E$188),"")/IF(E$182*E$183*E$184*E$186*E$187*E$188&gt;0,AVERAGE(E$182:E$184,E$186:E$188),""),"")</f>
        <v/>
      </c>
      <c r="V317" s="294" t="str">
        <f aca="false">IFERROR(IF(F$182*F$183*F$184*F$186*F$187*F$188&gt;0,STDEV(F$182:F$184,F$186:F$188),"")/IF(F$182*F$183*F$184*F$186*F$187*F$188&gt;0,AVERAGE(F$182:F$184,F$186:F$188),""),"")</f>
        <v/>
      </c>
      <c r="W317" s="294" t="str">
        <f aca="false">IFERROR(IF(G$182*G$183*G$184*G$186*G$187*G$188&gt;0,STDEV(G$182:G$184,G$186:G$188),"")/IF(G$182*G$183*G$184*G$186*G$187*G$188&gt;0,AVERAGE(G$182:G$184,G$186:G$188),""),"")</f>
        <v/>
      </c>
      <c r="X317" s="294" t="str">
        <f aca="false">IFERROR(IF(H$182*H$183*H$184*H$186*H$187*H$188&gt;0,STDEV(H$182:H$184,H$186:H$188),"")/IF(H$182*H$183*H$184*H$186*H$187*H$188&gt;0,AVERAGE(H$182:H$184,H$186:H$188),""),"")</f>
        <v/>
      </c>
      <c r="Y317" s="294" t="str">
        <f aca="false">IFERROR(IF(I$182*I$183*I$184*I$186*I$187*I$188&gt;0,STDEV(I$182:I$184,I$186:I$188),"")/IF(I$182*I$183*I$184*I$186*I$187*I$188&gt;0,AVERAGE(I$182:I$184,I$186:I$188),""),"")</f>
        <v/>
      </c>
      <c r="Z317" s="294" t="str">
        <f aca="false">IFERROR(IF(J$182*J$183*J$184*J$186*J$187*J$188&gt;0,STDEV(J$182:J$184,J$186:J$188),"")/IF(J$182*J$183*J$184*J$186*J$187*J$188&gt;0,AVERAGE(J$182:J$184,J$186:J$188),""),"")</f>
        <v/>
      </c>
      <c r="AA317" s="294" t="str">
        <f aca="false">IFERROR(IF(K$182*K$183*K$184*K$186*K$187*K$188&gt;0,STDEV(K$182:K$184,K$186:K$188),"")/IF(K$182*K$183*K$184*K$186*K$187*K$188&gt;0,AVERAGE(K$182:K$184,K$186:K$188),""),"")</f>
        <v/>
      </c>
      <c r="AB317" s="294" t="str">
        <f aca="false">IFERROR(IF(L$182*L$183*L$184*L$186*L$187*L$188&gt;0,STDEV(L$182:L$184,L$186:L$188),"")/IF(L$182*L$183*L$184*L$186*L$187*L$188&gt;0,AVERAGE(L$182:L$184,L$186:L$188),""),"")</f>
        <v/>
      </c>
      <c r="AC317" s="294" t="str">
        <f aca="false">IFERROR(IF(M$182*M$183*M$184*M$186*M$187*M$188&gt;0,STDEV(M$182:M$184,M$186:M$188),"")/IF(M$182*M$183*M$184*M$186*M$187*M$188&gt;0,AVERAGE(M$182:M$184,M$186:M$188),""),"")</f>
        <v/>
      </c>
      <c r="AD317" s="294" t="str">
        <f aca="false">IFERROR(IF(N$182*N$183*N$184*N$186*N$187*N$188&gt;0,STDEV(N$182:N$184,N$186:N$188),"")/IF(N$182*N$183*N$184*N$186*N$187*N$188&gt;0,AVERAGE(N$182:N$184,N$186:N$188),""),"")</f>
        <v/>
      </c>
      <c r="AE317" s="44"/>
      <c r="AF317" s="266" t="s">
        <v>613</v>
      </c>
      <c r="AG317" s="303" t="str">
        <f aca="false">IFERROR(IF(C$182*C$183*C$184*C$186*C$187*C$188&gt;0,STDEV(C$182:C$184,C$186:C$188)," ")/IF(C$182*C$183*C$184*C$186*C$187*C$188&gt;0,SQRT(COUNT(C$182:C$184,C$186:C$188))," "),"")</f>
        <v/>
      </c>
      <c r="AH317" s="303" t="str">
        <f aca="false">IFERROR(IF(D$182*D$183*D$184*D$186*D$187*D$188&gt;0,STDEV(D$182:D$184,D$186:D$188)," ")/IF(D$182*D$183*D$184*D$186*D$187*D$188&gt;0,SQRT(COUNT(D$182:D$184,D$186:D$188))," "),"")</f>
        <v/>
      </c>
      <c r="AI317" s="303" t="str">
        <f aca="false">IFERROR(IF(E$182*E$183*E$184*E$186*E$187*E$188&gt;0,STDEV(E$182:E$184,E$186:E$188)," ")/IF(E$182*E$183*E$184*E$186*E$187*E$188&gt;0,SQRT(COUNT(E$182:E$184,E$186:E$188))," "),"")</f>
        <v/>
      </c>
      <c r="AJ317" s="303" t="str">
        <f aca="false">IFERROR(IF(F$182*F$183*F$184*F$186*F$187*F$188&gt;0,STDEV(F$182:F$184,F$186:F$188)," ")/IF(F$182*F$183*F$184*F$186*F$187*F$188&gt;0,SQRT(COUNT(F$182:F$184,F$186:F$188))," "),"")</f>
        <v/>
      </c>
      <c r="AK317" s="303" t="str">
        <f aca="false">IFERROR(IF(G$182*G$183*G$184*G$186*G$187*G$188&gt;0,STDEV(G$182:G$184,G$186:G$188)," ")/IF(G$182*G$183*G$184*G$186*G$187*G$188&gt;0,SQRT(COUNT(G$182:G$184,G$186:G$188))," "),"")</f>
        <v/>
      </c>
      <c r="AL317" s="303" t="str">
        <f aca="false">IFERROR(IF(H$182*H$183*H$184*H$186*H$187*H$188&gt;0,STDEV(H$182:H$184,H$186:H$188)," ")/IF(H$182*H$183*H$184*H$186*H$187*H$188&gt;0,SQRT(COUNT(H$182:H$184,H$186:H$188))," "),"")</f>
        <v/>
      </c>
      <c r="AM317" s="303" t="str">
        <f aca="false">IFERROR(IF(I$182*I$183*I$184*I$186*I$187*I$188&gt;0,STDEV(I$182:I$184,I$186:I$188)," ")/IF(I$182*I$183*I$184*I$186*I$187*I$188&gt;0,SQRT(COUNT(I$182:I$184,I$186:I$188))," "),"")</f>
        <v/>
      </c>
      <c r="AN317" s="303" t="str">
        <f aca="false">IFERROR(IF(J$182*J$183*J$184*J$186*J$187*J$188&gt;0,STDEV(J$182:J$184,J$186:J$188)," ")/IF(J$182*J$183*J$184*J$186*J$187*J$188&gt;0,SQRT(COUNT(J$182:J$184,J$186:J$188))," "),"")</f>
        <v/>
      </c>
      <c r="AO317" s="303" t="str">
        <f aca="false">IFERROR(IF(K$182*K$183*K$184*K$186*K$187*K$188&gt;0,STDEV(K$182:K$184,K$186:K$188)," ")/IF(K$182*K$183*K$184*K$186*K$187*K$188&gt;0,SQRT(COUNT(K$182:K$184,K$186:K$188))," "),"")</f>
        <v/>
      </c>
      <c r="AP317" s="303" t="str">
        <f aca="false">IFERROR(IF(L$182*L$183*L$184*L$186*L$187*L$188&gt;0,STDEV(L$182:L$184,L$186:L$188)," ")/IF(L$182*L$183*L$184*L$186*L$187*L$188&gt;0,SQRT(COUNT(L$182:L$184,L$186:L$188))," "),"")</f>
        <v/>
      </c>
      <c r="AQ317" s="303" t="str">
        <f aca="false">IFERROR(IF(M$182*M$183*M$184*M$186*M$187*M$188&gt;0,STDEV(M$182:M$184,M$186:M$188)," ")/IF(M$182*M$183*M$184*M$186*M$187*M$188&gt;0,SQRT(COUNT(M$182:M$184,M$186:M$188))," "),"")</f>
        <v/>
      </c>
      <c r="AR317" s="303" t="str">
        <f aca="false">IFERROR(IF(N$182*N$183*N$184*N$186*N$187*N$188&gt;0,STDEV(N$182:N$184,N$186:N$188)," ")/IF(N$182*N$183*N$184*N$186*N$187*N$188&gt;0,SQRT(COUNT(N$182:N$184,N$186:N$188))," "),"")</f>
        <v/>
      </c>
    </row>
    <row r="318" customFormat="false" ht="15.75" hidden="false" customHeight="false" outlineLevel="0" collapsed="false">
      <c r="A318" s="290" t="s">
        <v>614</v>
      </c>
      <c r="B318" s="281"/>
      <c r="C318" s="302" t="str">
        <f aca="false">IFERROR(IF(C$182*C$183*C$185*C$186*C$187*C$188&gt;0,AVERAGE(C$182:C$183, C$185:C$188),""),"")</f>
        <v/>
      </c>
      <c r="D318" s="302" t="str">
        <f aca="false">IFERROR(IF(D$182*D$183*D$185*D$186*D$187*D$188&gt;0,AVERAGE(D$182:D$183, D$185:D$188),""),"")</f>
        <v/>
      </c>
      <c r="E318" s="302" t="str">
        <f aca="false">IFERROR(IF(E$182*E$183*E$185*E$186*E$187*E$188&gt;0,AVERAGE(E$182:E$183, E$185:E$188),""),"")</f>
        <v/>
      </c>
      <c r="F318" s="302" t="str">
        <f aca="false">IFERROR(IF(F$182*F$183*F$185*F$186*F$187*F$188&gt;0,AVERAGE(F$182:F$183, F$185:F$188),""),"")</f>
        <v/>
      </c>
      <c r="G318" s="302" t="str">
        <f aca="false">IFERROR(IF(G$182*G$183*G$185*G$186*G$187*G$188&gt;0,AVERAGE(G$182:G$183, G$185:G$188),""),"")</f>
        <v/>
      </c>
      <c r="H318" s="302" t="str">
        <f aca="false">IFERROR(IF(H$182*H$183*H$185*H$186*H$187*H$188&gt;0,AVERAGE(H$182:H$183, H$185:H$188),""),"")</f>
        <v/>
      </c>
      <c r="I318" s="302" t="str">
        <f aca="false">IFERROR(IF(I$182*I$183*I$185*I$186*I$187*I$188&gt;0,AVERAGE(I$182:I$183, I$185:I$188),""),"")</f>
        <v/>
      </c>
      <c r="J318" s="302" t="str">
        <f aca="false">IFERROR(IF(J$182*J$183*J$185*J$186*J$187*J$188&gt;0,AVERAGE(J$182:J$183, J$185:J$188),""),"")</f>
        <v/>
      </c>
      <c r="K318" s="302" t="str">
        <f aca="false">IFERROR(IF(K$182*K$183*K$185*K$186*K$187*K$188&gt;0,AVERAGE(K$182:K$183, K$185:K$188),""),"")</f>
        <v/>
      </c>
      <c r="L318" s="302" t="str">
        <f aca="false">IFERROR(IF(L$182*L$183*L$185*L$186*L$187*L$188&gt;0,AVERAGE(L$182:L$183, L$185:L$188),""),"")</f>
        <v/>
      </c>
      <c r="M318" s="302" t="str">
        <f aca="false">IFERROR(IF(M$182*M$183*M$185*M$186*M$187*M$188&gt;0,AVERAGE(M$182:M$183, M$185:M$188),""),"")</f>
        <v/>
      </c>
      <c r="N318" s="302" t="str">
        <f aca="false">IFERROR(IF(N$182*N$183*N$185*N$186*N$187*N$188&gt;0,AVERAGE(N$182:N$183, N$185:N$188),""),"")</f>
        <v/>
      </c>
      <c r="O318" s="282"/>
      <c r="P318" s="282"/>
      <c r="Q318" s="296"/>
      <c r="R318" s="293" t="s">
        <v>615</v>
      </c>
      <c r="S318" s="294" t="str">
        <f aca="false">IFERROR(IF(C$182*C$183*C$185*C$186*C$187*C$188&gt;0,STDEV(C$182:C$183, C$185:C$188),"")/IF(C$182*C$183*C$185*C$186*C$187*C$188&gt;0,AVERAGE(C$182:C$183, C$185:C$188),""),"")</f>
        <v/>
      </c>
      <c r="T318" s="294" t="str">
        <f aca="false">IFERROR(IF(D$182*D$183*D$185*D$186*D$187*D$188&gt;0,STDEV(D$182:D$183, D$185:D$188),"")/IF(D$182*D$183*D$185*D$186*D$187*D$188&gt;0,AVERAGE(D$182:D$183, D$185:D$188),""),"")</f>
        <v/>
      </c>
      <c r="U318" s="294" t="str">
        <f aca="false">IFERROR(IF(E$182*E$183*E$185*E$186*E$187*E$188&gt;0,STDEV(E$182:E$183, E$185:E$188),"")/IF(E$182*E$183*E$185*E$186*E$187*E$188&gt;0,AVERAGE(E$182:E$183, E$185:E$188),""),"")</f>
        <v/>
      </c>
      <c r="V318" s="294" t="str">
        <f aca="false">IFERROR(IF(F$182*F$183*F$185*F$186*F$187*F$188&gt;0,STDEV(F$182:F$183, F$185:F$188),"")/IF(F$182*F$183*F$185*F$186*F$187*F$188&gt;0,AVERAGE(F$182:F$183, F$185:F$188),""),"")</f>
        <v/>
      </c>
      <c r="W318" s="294" t="str">
        <f aca="false">IFERROR(IF(G$182*G$183*G$185*G$186*G$187*G$188&gt;0,STDEV(G$182:G$183, G$185:G$188),"")/IF(G$182*G$183*G$185*G$186*G$187*G$188&gt;0,AVERAGE(G$182:G$183, G$185:G$188),""),"")</f>
        <v/>
      </c>
      <c r="X318" s="294" t="str">
        <f aca="false">IFERROR(IF(H$182*H$183*H$185*H$186*H$187*H$188&gt;0,STDEV(H$182:H$183, H$185:H$188),"")/IF(H$182*H$183*H$185*H$186*H$187*H$188&gt;0,AVERAGE(H$182:H$183, H$185:H$188),""),"")</f>
        <v/>
      </c>
      <c r="Y318" s="294" t="str">
        <f aca="false">IFERROR(IF(I$182*I$183*I$185*I$186*I$187*I$188&gt;0,STDEV(I$182:I$183, I$185:I$188),"")/IF(I$182*I$183*I$185*I$186*I$187*I$188&gt;0,AVERAGE(I$182:I$183, I$185:I$188),""),"")</f>
        <v/>
      </c>
      <c r="Z318" s="294" t="str">
        <f aca="false">IFERROR(IF(J$182*J$183*J$185*J$186*J$187*J$188&gt;0,STDEV(J$182:J$183, J$185:J$188),"")/IF(J$182*J$183*J$185*J$186*J$187*J$188&gt;0,AVERAGE(J$182:J$183, J$185:J$188),""),"")</f>
        <v/>
      </c>
      <c r="AA318" s="294" t="str">
        <f aca="false">IFERROR(IF(K$182*K$183*K$185*K$186*K$187*K$188&gt;0,STDEV(K$182:K$183, K$185:K$188),"")/IF(K$182*K$183*K$185*K$186*K$187*K$188&gt;0,AVERAGE(K$182:K$183, K$185:K$188),""),"")</f>
        <v/>
      </c>
      <c r="AB318" s="294" t="str">
        <f aca="false">IFERROR(IF(L$182*L$183*L$185*L$186*L$187*L$188&gt;0,STDEV(L$182:L$183, L$185:L$188),"")/IF(L$182*L$183*L$185*L$186*L$187*L$188&gt;0,AVERAGE(L$182:L$183, L$185:L$188),""),"")</f>
        <v/>
      </c>
      <c r="AC318" s="294" t="str">
        <f aca="false">IFERROR(IF(M$182*M$183*M$185*M$186*M$187*M$188&gt;0,STDEV(M$182:M$183, M$185:M$188),"")/IF(M$182*M$183*M$185*M$186*M$187*M$188&gt;0,AVERAGE(M$182:M$183, M$185:M$188),""),"")</f>
        <v/>
      </c>
      <c r="AD318" s="294" t="str">
        <f aca="false">IFERROR(IF(N$182*N$183*N$185*N$186*N$187*N$188&gt;0,STDEV(N$182:N$183, N$185:N$188),"")/IF(N$182*N$183*N$185*N$186*N$187*N$188&gt;0,AVERAGE(N$182:N$183, N$185:N$188),""),"")</f>
        <v/>
      </c>
      <c r="AE318" s="44"/>
      <c r="AF318" s="266" t="s">
        <v>616</v>
      </c>
      <c r="AG318" s="303" t="str">
        <f aca="false">IFERROR(IF(C$182*C$183*C$185*C$186*C$187*C$188&gt;0,STDEV(C$182:C$183, C$185:C$188)," ")/IF(C$182*C$183*C$185*C$186*C$187*C$188&gt;0,SQRT(COUNT(C$182:C$183, C$185:C$188))," "),"")</f>
        <v/>
      </c>
      <c r="AH318" s="303" t="str">
        <f aca="false">IFERROR(IF(D$182*D$183*D$185*D$186*D$187*D$188&gt;0,STDEV(D$182:D$183, D$185:D$188)," ")/IF(D$182*D$183*D$185*D$186*D$187*D$188&gt;0,SQRT(COUNT(D$182:D$183, D$185:D$188))," "),"")</f>
        <v/>
      </c>
      <c r="AI318" s="303" t="str">
        <f aca="false">IFERROR(IF(E$182*E$183*E$185*E$186*E$187*E$188&gt;0,STDEV(E$182:E$183, E$185:E$188)," ")/IF(E$182*E$183*E$185*E$186*E$187*E$188&gt;0,SQRT(COUNT(E$182:E$183, E$185:E$188))," "),"")</f>
        <v/>
      </c>
      <c r="AJ318" s="303" t="str">
        <f aca="false">IFERROR(IF(F$182*F$183*F$185*F$186*F$187*F$188&gt;0,STDEV(F$182:F$183, F$185:F$188)," ")/IF(F$182*F$183*F$185*F$186*F$187*F$188&gt;0,SQRT(COUNT(F$182:F$183, F$185:F$188))," "),"")</f>
        <v/>
      </c>
      <c r="AK318" s="303" t="str">
        <f aca="false">IFERROR(IF(G$182*G$183*G$185*G$186*G$187*G$188&gt;0,STDEV(G$182:G$183, G$185:G$188)," ")/IF(G$182*G$183*G$185*G$186*G$187*G$188&gt;0,SQRT(COUNT(G$182:G$183, G$185:G$188))," "),"")</f>
        <v/>
      </c>
      <c r="AL318" s="303" t="str">
        <f aca="false">IFERROR(IF(H$182*H$183*H$185*H$186*H$187*H$188&gt;0,STDEV(H$182:H$183, H$185:H$188)," ")/IF(H$182*H$183*H$185*H$186*H$187*H$188&gt;0,SQRT(COUNT(H$182:H$183, H$185:H$188))," "),"")</f>
        <v/>
      </c>
      <c r="AM318" s="303" t="str">
        <f aca="false">IFERROR(IF(I$182*I$183*I$185*I$186*I$187*I$188&gt;0,STDEV(I$182:I$183, I$185:I$188)," ")/IF(I$182*I$183*I$185*I$186*I$187*I$188&gt;0,SQRT(COUNT(I$182:I$183, I$185:I$188))," "),"")</f>
        <v/>
      </c>
      <c r="AN318" s="303" t="str">
        <f aca="false">IFERROR(IF(J$182*J$183*J$185*J$186*J$187*J$188&gt;0,STDEV(J$182:J$183, J$185:J$188)," ")/IF(J$182*J$183*J$185*J$186*J$187*J$188&gt;0,SQRT(COUNT(J$182:J$183, J$185:J$188))," "),"")</f>
        <v/>
      </c>
      <c r="AO318" s="303" t="str">
        <f aca="false">IFERROR(IF(K$182*K$183*K$185*K$186*K$187*K$188&gt;0,STDEV(K$182:K$183, K$185:K$188)," ")/IF(K$182*K$183*K$185*K$186*K$187*K$188&gt;0,SQRT(COUNT(K$182:K$183, K$185:K$188))," "),"")</f>
        <v/>
      </c>
      <c r="AP318" s="303" t="str">
        <f aca="false">IFERROR(IF(L$182*L$183*L$185*L$186*L$187*L$188&gt;0,STDEV(L$182:L$183, L$185:L$188)," ")/IF(L$182*L$183*L$185*L$186*L$187*L$188&gt;0,SQRT(COUNT(L$182:L$183, L$185:L$188))," "),"")</f>
        <v/>
      </c>
      <c r="AQ318" s="303" t="str">
        <f aca="false">IFERROR(IF(M$182*M$183*M$185*M$186*M$187*M$188&gt;0,STDEV(M$182:M$183, M$185:M$188)," ")/IF(M$182*M$183*M$185*M$186*M$187*M$188&gt;0,SQRT(COUNT(M$182:M$183, M$185:M$188))," "),"")</f>
        <v/>
      </c>
      <c r="AR318" s="303" t="str">
        <f aca="false">IFERROR(IF(N$182*N$183*N$185*N$186*N$187*N$188&gt;0,STDEV(N$182:N$183, N$185:N$188)," ")/IF(N$182*N$183*N$185*N$186*N$187*N$188&gt;0,SQRT(COUNT(N$182:N$183, N$185:N$188))," "),"")</f>
        <v/>
      </c>
    </row>
    <row r="319" customFormat="false" ht="15.75" hidden="false" customHeight="false" outlineLevel="0" collapsed="false">
      <c r="A319" s="290" t="s">
        <v>617</v>
      </c>
      <c r="B319" s="281"/>
      <c r="C319" s="302" t="str">
        <f aca="false">IFERROR(IF(C$182*C$184*C$185*C$186*C$187*C$188&gt;0,AVERAGE(C$182, C$184:C$188),""),"")</f>
        <v/>
      </c>
      <c r="D319" s="302" t="str">
        <f aca="false">IFERROR(IF(D$182*D$184*D$185*D$186*D$187*D$188&gt;0,AVERAGE(D$182, D$184:D$188),""),"")</f>
        <v/>
      </c>
      <c r="E319" s="302" t="str">
        <f aca="false">IFERROR(IF(E$182*E$184*E$185*E$186*E$187*E$188&gt;0,AVERAGE(E$182, E$184:E$188),""),"")</f>
        <v/>
      </c>
      <c r="F319" s="302" t="str">
        <f aca="false">IFERROR(IF(F$182*F$184*F$185*F$186*F$187*F$188&gt;0,AVERAGE(F$182, F$184:F$188),""),"")</f>
        <v/>
      </c>
      <c r="G319" s="302" t="str">
        <f aca="false">IFERROR(IF(G$182*G$184*G$185*G$186*G$187*G$188&gt;0,AVERAGE(G$182, G$184:G$188),""),"")</f>
        <v/>
      </c>
      <c r="H319" s="302" t="str">
        <f aca="false">IFERROR(IF(H$182*H$184*H$185*H$186*H$187*H$188&gt;0,AVERAGE(H$182, H$184:H$188),""),"")</f>
        <v/>
      </c>
      <c r="I319" s="302" t="str">
        <f aca="false">IFERROR(IF(I$182*I$184*I$185*I$186*I$187*I$188&gt;0,AVERAGE(I$182, I$184:I$188),""),"")</f>
        <v/>
      </c>
      <c r="J319" s="302" t="str">
        <f aca="false">IFERROR(IF(J$182*J$184*J$185*J$186*J$187*J$188&gt;0,AVERAGE(J$182, J$184:J$188),""),"")</f>
        <v/>
      </c>
      <c r="K319" s="302" t="str">
        <f aca="false">IFERROR(IF(K$182*K$184*K$185*K$186*K$187*K$188&gt;0,AVERAGE(K$182, K$184:K$188),""),"")</f>
        <v/>
      </c>
      <c r="L319" s="302" t="str">
        <f aca="false">IFERROR(IF(L$182*L$184*L$185*L$186*L$187*L$188&gt;0,AVERAGE(L$182, L$184:L$188),""),"")</f>
        <v/>
      </c>
      <c r="M319" s="302" t="str">
        <f aca="false">IFERROR(IF(M$182*M$184*M$185*M$186*M$187*M$188&gt;0,AVERAGE(M$182, M$184:M$188),""),"")</f>
        <v/>
      </c>
      <c r="N319" s="302" t="str">
        <f aca="false">IFERROR(IF(N$182*N$184*N$185*N$186*N$187*N$188&gt;0,AVERAGE(N$182, N$184:N$188),""),"")</f>
        <v/>
      </c>
      <c r="O319" s="282"/>
      <c r="P319" s="282"/>
      <c r="Q319" s="296"/>
      <c r="R319" s="293" t="s">
        <v>618</v>
      </c>
      <c r="S319" s="294" t="str">
        <f aca="false">IFERROR(IF(C$182*C$184*C$185*C$186*C$187*C$188&gt;0,STDEV(C$182, C$184:C$188),"")/IF(C$182*C$184*C$185*C$186*C$187*C$188&gt;0,AVERAGE(C$182, C$184:C$188),""),"")</f>
        <v/>
      </c>
      <c r="T319" s="294" t="str">
        <f aca="false">IFERROR(IF(D$182*D$184*D$185*D$186*D$187*D$188&gt;0,STDEV(D$182, D$184:D$188),"")/IF(D$182*D$184*D$185*D$186*D$187*D$188&gt;0,AVERAGE(D$182, D$184:D$188),""),"")</f>
        <v/>
      </c>
      <c r="U319" s="294" t="str">
        <f aca="false">IFERROR(IF(E$182*E$184*E$185*E$186*E$187*E$188&gt;0,STDEV(E$182, E$184:E$188),"")/IF(E$182*E$184*E$185*E$186*E$187*E$188&gt;0,AVERAGE(E$182, E$184:E$188),""),"")</f>
        <v/>
      </c>
      <c r="V319" s="294" t="str">
        <f aca="false">IFERROR(IF(F$182*F$184*F$185*F$186*F$187*F$188&gt;0,STDEV(F$182, F$184:F$188),"")/IF(F$182*F$184*F$185*F$186*F$187*F$188&gt;0,AVERAGE(F$182, F$184:F$188),""),"")</f>
        <v/>
      </c>
      <c r="W319" s="294" t="str">
        <f aca="false">IFERROR(IF(G$182*G$184*G$185*G$186*G$187*G$188&gt;0,STDEV(G$182, G$184:G$188),"")/IF(G$182*G$184*G$185*G$186*G$187*G$188&gt;0,AVERAGE(G$182, G$184:G$188),""),"")</f>
        <v/>
      </c>
      <c r="X319" s="294" t="str">
        <f aca="false">IFERROR(IF(H$182*H$184*H$185*H$186*H$187*H$188&gt;0,STDEV(H$182, H$184:H$188),"")/IF(H$182*H$184*H$185*H$186*H$187*H$188&gt;0,AVERAGE(H$182, H$184:H$188),""),"")</f>
        <v/>
      </c>
      <c r="Y319" s="294" t="str">
        <f aca="false">IFERROR(IF(I$182*I$184*I$185*I$186*I$187*I$188&gt;0,STDEV(I$182, I$184:I$188),"")/IF(I$182*I$184*I$185*I$186*I$187*I$188&gt;0,AVERAGE(I$182, I$184:I$188),""),"")</f>
        <v/>
      </c>
      <c r="Z319" s="294" t="str">
        <f aca="false">IFERROR(IF(J$182*J$184*J$185*J$186*J$187*J$188&gt;0,STDEV(J$182, J$184:J$188),"")/IF(J$182*J$184*J$185*J$186*J$187*J$188&gt;0,AVERAGE(J$182, J$184:J$188),""),"")</f>
        <v/>
      </c>
      <c r="AA319" s="294" t="str">
        <f aca="false">IFERROR(IF(K$182*K$184*K$185*K$186*K$187*K$188&gt;0,STDEV(K$182, K$184:K$188),"")/IF(K$182*K$184*K$185*K$186*K$187*K$188&gt;0,AVERAGE(K$182, K$184:K$188),""),"")</f>
        <v/>
      </c>
      <c r="AB319" s="294" t="str">
        <f aca="false">IFERROR(IF(L$182*L$184*L$185*L$186*L$187*L$188&gt;0,STDEV(L$182, L$184:L$188),"")/IF(L$182*L$184*L$185*L$186*L$187*L$188&gt;0,AVERAGE(L$182, L$184:L$188),""),"")</f>
        <v/>
      </c>
      <c r="AC319" s="294" t="str">
        <f aca="false">IFERROR(IF(M$182*M$184*M$185*M$186*M$187*M$188&gt;0,STDEV(M$182, M$184:M$188),"")/IF(M$182*M$184*M$185*M$186*M$187*M$188&gt;0,AVERAGE(M$182, M$184:M$188),""),"")</f>
        <v/>
      </c>
      <c r="AD319" s="294" t="str">
        <f aca="false">IFERROR(IF(N$182*N$184*N$185*N$186*N$187*N$188&gt;0,STDEV(N$182, N$184:N$188),"")/IF(N$182*N$184*N$185*N$186*N$187*N$188&gt;0,AVERAGE(N$182, N$184:N$188),""),"")</f>
        <v/>
      </c>
      <c r="AE319" s="44"/>
      <c r="AF319" s="266" t="s">
        <v>619</v>
      </c>
      <c r="AG319" s="303" t="str">
        <f aca="false">IFERROR(IF(C$182*C$184*C$185*C$186*C$187*C$188&gt;0,STDEV(C$182, C$184:C$188)," ")/IF(C$182*C$184*C$185*C$186*C$187*C$188&gt;0,SQRT(COUNT(C$182, C$184:C$188))," "),"")</f>
        <v/>
      </c>
      <c r="AH319" s="303" t="str">
        <f aca="false">IFERROR(IF(D$182*D$184*D$185*D$186*D$187*D$188&gt;0,STDEV(D$182, D$184:D$188)," ")/IF(D$182*D$184*D$185*D$186*D$187*D$188&gt;0,SQRT(COUNT(D$182, D$184:D$188))," "),"")</f>
        <v/>
      </c>
      <c r="AI319" s="303" t="str">
        <f aca="false">IFERROR(IF(E$182*E$184*E$185*E$186*E$187*E$188&gt;0,STDEV(E$182, E$184:E$188)," ")/IF(E$182*E$184*E$185*E$186*E$187*E$188&gt;0,SQRT(COUNT(E$182, E$184:E$188))," "),"")</f>
        <v/>
      </c>
      <c r="AJ319" s="303" t="str">
        <f aca="false">IFERROR(IF(F$182*F$184*F$185*F$186*F$187*F$188&gt;0,STDEV(F$182, F$184:F$188)," ")/IF(F$182*F$184*F$185*F$186*F$187*F$188&gt;0,SQRT(COUNT(F$182, F$184:F$188))," "),"")</f>
        <v/>
      </c>
      <c r="AK319" s="303" t="str">
        <f aca="false">IFERROR(IF(G$182*G$184*G$185*G$186*G$187*G$188&gt;0,STDEV(G$182, G$184:G$188)," ")/IF(G$182*G$184*G$185*G$186*G$187*G$188&gt;0,SQRT(COUNT(G$182, G$184:G$188))," "),"")</f>
        <v/>
      </c>
      <c r="AL319" s="303" t="str">
        <f aca="false">IFERROR(IF(H$182*H$184*H$185*H$186*H$187*H$188&gt;0,STDEV(H$182, H$184:H$188)," ")/IF(H$182*H$184*H$185*H$186*H$187*H$188&gt;0,SQRT(COUNT(H$182, H$184:H$188))," "),"")</f>
        <v/>
      </c>
      <c r="AM319" s="303" t="str">
        <f aca="false">IFERROR(IF(I$182*I$184*I$185*I$186*I$187*I$188&gt;0,STDEV(I$182, I$184:I$188)," ")/IF(I$182*I$184*I$185*I$186*I$187*I$188&gt;0,SQRT(COUNT(I$182, I$184:I$188))," "),"")</f>
        <v/>
      </c>
      <c r="AN319" s="303" t="str">
        <f aca="false">IFERROR(IF(J$182*J$184*J$185*J$186*J$187*J$188&gt;0,STDEV(J$182, J$184:J$188)," ")/IF(J$182*J$184*J$185*J$186*J$187*J$188&gt;0,SQRT(COUNT(J$182, J$184:J$188))," "),"")</f>
        <v/>
      </c>
      <c r="AO319" s="303" t="str">
        <f aca="false">IFERROR(IF(K$182*K$184*K$185*K$186*K$187*K$188&gt;0,STDEV(K$182, K$184:K$188)," ")/IF(K$182*K$184*K$185*K$186*K$187*K$188&gt;0,SQRT(COUNT(K$182, K$184:K$188))," "),"")</f>
        <v/>
      </c>
      <c r="AP319" s="303" t="str">
        <f aca="false">IFERROR(IF(L$182*L$184*L$185*L$186*L$187*L$188&gt;0,STDEV(L$182, L$184:L$188)," ")/IF(L$182*L$184*L$185*L$186*L$187*L$188&gt;0,SQRT(COUNT(L$182, L$184:L$188))," "),"")</f>
        <v/>
      </c>
      <c r="AQ319" s="303" t="str">
        <f aca="false">IFERROR(IF(M$182*M$184*M$185*M$186*M$187*M$188&gt;0,STDEV(M$182, M$184:M$188)," ")/IF(M$182*M$184*M$185*M$186*M$187*M$188&gt;0,SQRT(COUNT(M$182, M$184:M$188))," "),"")</f>
        <v/>
      </c>
      <c r="AR319" s="303" t="str">
        <f aca="false">IFERROR(IF(N$182*N$184*N$185*N$186*N$187*N$188&gt;0,STDEV(N$182, N$184:N$188)," ")/IF(N$182*N$184*N$185*N$186*N$187*N$188&gt;0,SQRT(COUNT(N$182, N$184:N$188))," "),"")</f>
        <v/>
      </c>
    </row>
    <row r="320" customFormat="false" ht="15.75" hidden="false" customHeight="false" outlineLevel="0" collapsed="false">
      <c r="A320" s="242" t="s">
        <v>620</v>
      </c>
      <c r="B320" s="243"/>
      <c r="C320" s="262" t="str">
        <f aca="false">IFERROR(IF(C$183*C$184*C$185*C$186*C$187*C$188&gt;0,AVERAGE(C$183:C$188),""),"")</f>
        <v/>
      </c>
      <c r="D320" s="262" t="str">
        <f aca="false">IFERROR(IF(D$183*D$184*D$185*D$186*D$187*D$188&gt;0,AVERAGE(D$183:D$188),""),"")</f>
        <v/>
      </c>
      <c r="E320" s="262" t="str">
        <f aca="false">IFERROR(IF(E$183*E$184*E$185*E$186*E$187*E$188&gt;0,AVERAGE(E$183:E$188),""),"")</f>
        <v/>
      </c>
      <c r="F320" s="262" t="str">
        <f aca="false">IFERROR(IF(F$183*F$184*F$185*F$186*F$187*F$188&gt;0,AVERAGE(F$183:F$188),""),"")</f>
        <v/>
      </c>
      <c r="G320" s="262" t="str">
        <f aca="false">IFERROR(IF(G$183*G$184*G$185*G$186*G$187*G$188&gt;0,AVERAGE(G$183:G$188),""),"")</f>
        <v/>
      </c>
      <c r="H320" s="262" t="str">
        <f aca="false">IFERROR(IF(H$183*H$184*H$185*H$186*H$187*H$188&gt;0,AVERAGE(H$183:H$188),""),"")</f>
        <v/>
      </c>
      <c r="I320" s="262" t="str">
        <f aca="false">IFERROR(IF(I$183*I$184*I$185*I$186*I$187*I$188&gt;0,AVERAGE(I$183:I$188),""),"")</f>
        <v/>
      </c>
      <c r="J320" s="262" t="str">
        <f aca="false">IFERROR(IF(J$183*J$184*J$185*J$186*J$187*J$188&gt;0,AVERAGE(J$183:J$188),""),"")</f>
        <v/>
      </c>
      <c r="K320" s="262" t="str">
        <f aca="false">IFERROR(IF(K$183*K$184*K$185*K$186*K$187*K$188&gt;0,AVERAGE(K$183:K$188),""),"")</f>
        <v/>
      </c>
      <c r="L320" s="262" t="str">
        <f aca="false">IFERROR(IF(L$183*L$184*L$185*L$186*L$187*L$188&gt;0,AVERAGE(L$183:L$188),""),"")</f>
        <v/>
      </c>
      <c r="M320" s="262" t="str">
        <f aca="false">IFERROR(IF(M$183*M$184*M$185*M$186*M$187*M$188&gt;0,AVERAGE(M$183:M$188),""),"")</f>
        <v/>
      </c>
      <c r="N320" s="262" t="str">
        <f aca="false">IFERROR(IF(N$183*N$184*N$185*N$186*N$187*N$188&gt;0,AVERAGE(N$183:N$188),""),"")</f>
        <v/>
      </c>
      <c r="O320" s="245"/>
      <c r="P320" s="245"/>
      <c r="Q320" s="246"/>
      <c r="R320" s="247" t="s">
        <v>621</v>
      </c>
      <c r="S320" s="248" t="str">
        <f aca="false">IFERROR(IF(C$183*C$184*C$185*C$186*C$187*C$188&gt;0,STDEV(C$183:C$188),"")/IF(C$183*C$184*C$185*C$186*C$187*C$188&gt;0,AVERAGE(C$183:C$188),""),"")</f>
        <v/>
      </c>
      <c r="T320" s="248" t="str">
        <f aca="false">IFERROR(IF(D$183*D$184*D$185*D$186*D$187*D$188&gt;0,STDEV(D$183:D$188),"")/IF(D$183*D$184*D$185*D$186*D$187*D$188&gt;0,AVERAGE(D$183:D$188),""),"")</f>
        <v/>
      </c>
      <c r="U320" s="248" t="str">
        <f aca="false">IFERROR(IF(E$183*E$184*E$185*E$186*E$187*E$188&gt;0,STDEV(E$183:E$188),"")/IF(E$183*E$184*E$185*E$186*E$187*E$188&gt;0,AVERAGE(E$183:E$188),""),"")</f>
        <v/>
      </c>
      <c r="V320" s="248" t="str">
        <f aca="false">IFERROR(IF(F$183*F$184*F$185*F$186*F$187*F$188&gt;0,STDEV(F$183:F$188),"")/IF(F$183*F$184*F$185*F$186*F$187*F$188&gt;0,AVERAGE(F$183:F$188),""),"")</f>
        <v/>
      </c>
      <c r="W320" s="248" t="str">
        <f aca="false">IFERROR(IF(G$183*G$184*G$185*G$186*G$187*G$188&gt;0,STDEV(G$183:G$188),"")/IF(G$183*G$184*G$185*G$186*G$187*G$188&gt;0,AVERAGE(G$183:G$188),""),"")</f>
        <v/>
      </c>
      <c r="X320" s="248" t="str">
        <f aca="false">IFERROR(IF(H$183*H$184*H$185*H$186*H$187*H$188&gt;0,STDEV(H$183:H$188),"")/IF(H$183*H$184*H$185*H$186*H$187*H$188&gt;0,AVERAGE(H$183:H$188),""),"")</f>
        <v/>
      </c>
      <c r="Y320" s="248" t="str">
        <f aca="false">IFERROR(IF(I$183*I$184*I$185*I$186*I$187*I$188&gt;0,STDEV(I$183:I$188),"")/IF(I$183*I$184*I$185*I$186*I$187*I$188&gt;0,AVERAGE(I$183:I$188),""),"")</f>
        <v/>
      </c>
      <c r="Z320" s="248" t="str">
        <f aca="false">IFERROR(IF(J$183*J$184*J$185*J$186*J$187*J$188&gt;0,STDEV(J$183:J$188),"")/IF(J$183*J$184*J$185*J$186*J$187*J$188&gt;0,AVERAGE(J$183:J$188),""),"")</f>
        <v/>
      </c>
      <c r="AA320" s="248" t="str">
        <f aca="false">IFERROR(IF(K$183*K$184*K$185*K$186*K$187*K$188&gt;0,STDEV(K$183:K$188),"")/IF(K$183*K$184*K$185*K$186*K$187*K$188&gt;0,AVERAGE(K$183:K$188),""),"")</f>
        <v/>
      </c>
      <c r="AB320" s="248" t="str">
        <f aca="false">IFERROR(IF(L$183*L$184*L$185*L$186*L$187*L$188&gt;0,STDEV(L$183:L$188),"")/IF(L$183*L$184*L$185*L$186*L$187*L$188&gt;0,AVERAGE(L$183:L$188),""),"")</f>
        <v/>
      </c>
      <c r="AC320" s="248" t="str">
        <f aca="false">IFERROR(IF(M$183*M$184*M$185*M$186*M$187*M$188&gt;0,STDEV(M$183:M$188),"")/IF(M$183*M$184*M$185*M$186*M$187*M$188&gt;0,AVERAGE(M$183:M$188),""),"")</f>
        <v/>
      </c>
      <c r="AD320" s="248" t="str">
        <f aca="false">IFERROR(IF(N$183*N$184*N$185*N$186*N$187*N$188&gt;0,STDEV(N$183:N$188),"")/IF(N$183*N$184*N$185*N$186*N$187*N$188&gt;0,AVERAGE(N$183:N$188),""),"")</f>
        <v/>
      </c>
      <c r="AE320" s="300"/>
      <c r="AF320" s="250" t="s">
        <v>622</v>
      </c>
      <c r="AG320" s="272" t="str">
        <f aca="false">IFERROR(IF(C$183*C$184*C$185*C$186*C$187*C$188&gt;0,STDEV(C$183:C$188)," ")/IF(C$183*C$184*C$185*C$186*C$187*C$188&gt;0,SQRT(COUNT(C$183:C$188))," "),"")</f>
        <v/>
      </c>
      <c r="AH320" s="272" t="str">
        <f aca="false">IFERROR(IF(D$183*D$184*D$185*D$186*D$187*D$188&gt;0,STDEV(D$183:D$188)," ")/IF(D$183*D$184*D$185*D$186*D$187*D$188&gt;0,SQRT(COUNT(D$183:D$188))," "),"")</f>
        <v/>
      </c>
      <c r="AI320" s="272" t="str">
        <f aca="false">IFERROR(IF(E$183*E$184*E$185*E$186*E$187*E$188&gt;0,STDEV(E$183:E$188)," ")/IF(E$183*E$184*E$185*E$186*E$187*E$188&gt;0,SQRT(COUNT(E$183:E$188))," "),"")</f>
        <v/>
      </c>
      <c r="AJ320" s="272" t="str">
        <f aca="false">IFERROR(IF(F$183*F$184*F$185*F$186*F$187*F$188&gt;0,STDEV(F$183:F$188)," ")/IF(F$183*F$184*F$185*F$186*F$187*F$188&gt;0,SQRT(COUNT(F$183:F$188))," "),"")</f>
        <v/>
      </c>
      <c r="AK320" s="272" t="str">
        <f aca="false">IFERROR(IF(G$183*G$184*G$185*G$186*G$187*G$188&gt;0,STDEV(G$183:G$188)," ")/IF(G$183*G$184*G$185*G$186*G$187*G$188&gt;0,SQRT(COUNT(G$183:G$188))," "),"")</f>
        <v/>
      </c>
      <c r="AL320" s="272" t="str">
        <f aca="false">IFERROR(IF(H$183*H$184*H$185*H$186*H$187*H$188&gt;0,STDEV(H$183:H$188)," ")/IF(H$183*H$184*H$185*H$186*H$187*H$188&gt;0,SQRT(COUNT(H$183:H$188))," "),"")</f>
        <v/>
      </c>
      <c r="AM320" s="272" t="str">
        <f aca="false">IFERROR(IF(I$183*I$184*I$185*I$186*I$187*I$188&gt;0,STDEV(I$183:I$188)," ")/IF(I$183*I$184*I$185*I$186*I$187*I$188&gt;0,SQRT(COUNT(I$183:I$188))," "),"")</f>
        <v/>
      </c>
      <c r="AN320" s="272" t="str">
        <f aca="false">IFERROR(IF(J$183*J$184*J$185*J$186*J$187*J$188&gt;0,STDEV(J$183:J$188)," ")/IF(J$183*J$184*J$185*J$186*J$187*J$188&gt;0,SQRT(COUNT(J$183:J$188))," "),"")</f>
        <v/>
      </c>
      <c r="AO320" s="272" t="str">
        <f aca="false">IFERROR(IF(K$183*K$184*K$185*K$186*K$187*K$188&gt;0,STDEV(K$183:K$188)," ")/IF(K$183*K$184*K$185*K$186*K$187*K$188&gt;0,SQRT(COUNT(K$183:K$188))," "),"")</f>
        <v/>
      </c>
      <c r="AP320" s="272" t="str">
        <f aca="false">IFERROR(IF(L$183*L$184*L$185*L$186*L$187*L$188&gt;0,STDEV(L$183:L$188)," ")/IF(L$183*L$184*L$185*L$186*L$187*L$188&gt;0,SQRT(COUNT(L$183:L$188))," "),"")</f>
        <v/>
      </c>
      <c r="AQ320" s="272" t="str">
        <f aca="false">IFERROR(IF(M$183*M$184*M$185*M$186*M$187*M$188&gt;0,STDEV(M$183:M$188)," ")/IF(M$183*M$184*M$185*M$186*M$187*M$188&gt;0,SQRT(COUNT(M$183:M$188))," "),"")</f>
        <v/>
      </c>
      <c r="AR320" s="272" t="str">
        <f aca="false">IFERROR(IF(N$183*N$184*N$185*N$186*N$187*N$188&gt;0,STDEV(N$183:N$188)," ")/IF(N$183*N$184*N$185*N$186*N$187*N$188&gt;0,SQRT(COUNT(N$183:N$188))," "),"")</f>
        <v/>
      </c>
    </row>
    <row r="321" customFormat="false" ht="15.75" hidden="false" customHeight="false" outlineLevel="0" collapsed="false">
      <c r="A321" s="290" t="s">
        <v>623</v>
      </c>
      <c r="B321" s="281"/>
      <c r="C321" s="302" t="str">
        <f aca="false">IFERROR(IF(C$182*C$183*C$184*C$185*C$186*C$187*C$188&gt;0,AVERAGE(C$182:C$188),""),"")</f>
        <v/>
      </c>
      <c r="D321" s="302" t="str">
        <f aca="false">IFERROR(IF(D$182*D$183*D$184*D$185*D$186*D$187*D$188&gt;0,AVERAGE(D$182:D$188),""),"")</f>
        <v/>
      </c>
      <c r="E321" s="302" t="str">
        <f aca="false">IFERROR(IF(E$182*E$183*E$184*E$185*E$186*E$187*E$188&gt;0,AVERAGE(E$182:E$188),""),"")</f>
        <v/>
      </c>
      <c r="F321" s="302" t="str">
        <f aca="false">IFERROR(IF(F$182*F$183*F$184*F$185*F$186*F$187*F$188&gt;0,AVERAGE(F$182:F$188),""),"")</f>
        <v/>
      </c>
      <c r="G321" s="302" t="str">
        <f aca="false">IFERROR(IF(G$182*G$183*G$184*G$185*G$186*G$187*G$188&gt;0,AVERAGE(G$182:G$188),""),"")</f>
        <v/>
      </c>
      <c r="H321" s="302" t="str">
        <f aca="false">IFERROR(IF(H$182*H$183*H$184*H$185*H$186*H$187*H$188&gt;0,AVERAGE(H$182:H$188),""),"")</f>
        <v/>
      </c>
      <c r="I321" s="302" t="str">
        <f aca="false">IFERROR(IF(I$182*I$183*I$184*I$185*I$186*I$187*I$188&gt;0,AVERAGE(I$182:I$188),""),"")</f>
        <v/>
      </c>
      <c r="J321" s="302" t="str">
        <f aca="false">IFERROR(IF(J$182*J$183*J$184*J$185*J$186*J$187*J$188&gt;0,AVERAGE(J$182:J$188),""),"")</f>
        <v/>
      </c>
      <c r="K321" s="302" t="str">
        <f aca="false">IFERROR(IF(K$182*K$183*K$184*K$185*K$186*K$187*K$188&gt;0,AVERAGE(K$182:K$188),""),"")</f>
        <v/>
      </c>
      <c r="L321" s="302" t="str">
        <f aca="false">IFERROR(IF(L$182*L$183*L$184*L$185*L$186*L$187*L$188&gt;0,AVERAGE(L$182:L$188),""),"")</f>
        <v/>
      </c>
      <c r="M321" s="302" t="str">
        <f aca="false">IFERROR(IF(M$182*M$183*M$184*M$185*M$186*M$187*M$188&gt;0,AVERAGE(M$182:M$188),""),"")</f>
        <v/>
      </c>
      <c r="N321" s="302" t="str">
        <f aca="false">IFERROR(IF(N$182*N$183*N$184*N$185*N$186*N$187*N$188&gt;0,AVERAGE(N$182:N$188),""),"")</f>
        <v/>
      </c>
      <c r="O321" s="147" t="n">
        <v>7</v>
      </c>
      <c r="P321" s="282" t="n">
        <f aca="false">COMBIN(7,7)</f>
        <v>1</v>
      </c>
      <c r="Q321" s="283" t="n">
        <f aca="false">ROW(N321)-ROW(N321)+1</f>
        <v>1</v>
      </c>
      <c r="R321" s="293" t="s">
        <v>624</v>
      </c>
      <c r="S321" s="294" t="str">
        <f aca="false">IFERROR(IF(C$182*C$183*C$184*C$185*C$186*C$187*C$188&gt;0,STDEV(C$182:C$188),"")/IF(C$182*C$183*C$184*C$185*C$186*C$187*C$188&gt;0,AVERAGE(C$182:C$188),""),"")</f>
        <v/>
      </c>
      <c r="T321" s="294" t="str">
        <f aca="false">IFERROR(IF(D$182*D$183*D$184*D$185*D$186*D$187*D$188&gt;0,STDEV(D$182:D$188),"")/IF(D$182*D$183*D$184*D$185*D$186*D$187*D$188&gt;0,AVERAGE(D$182:D$188),""),"")</f>
        <v/>
      </c>
      <c r="U321" s="294" t="str">
        <f aca="false">IFERROR(IF(E$182*E$183*E$184*E$185*E$186*E$187*E$188&gt;0,STDEV(E$182:E$188),"")/IF(E$182*E$183*E$184*E$185*E$186*E$187*E$188&gt;0,AVERAGE(E$182:E$188),""),"")</f>
        <v/>
      </c>
      <c r="V321" s="294" t="str">
        <f aca="false">IFERROR(IF(F$182*F$183*F$184*F$185*F$186*F$187*F$188&gt;0,STDEV(F$182:F$188),"")/IF(F$182*F$183*F$184*F$185*F$186*F$187*F$188&gt;0,AVERAGE(F$182:F$188),""),"")</f>
        <v/>
      </c>
      <c r="W321" s="294" t="str">
        <f aca="false">IFERROR(IF(G$182*G$183*G$184*G$185*G$186*G$187*G$188&gt;0,STDEV(G$182:G$188),"")/IF(G$182*G$183*G$184*G$185*G$186*G$187*G$188&gt;0,AVERAGE(G$182:G$188),""),"")</f>
        <v/>
      </c>
      <c r="X321" s="294" t="str">
        <f aca="false">IFERROR(IF(H$182*H$183*H$184*H$185*H$186*H$187*H$188&gt;0,STDEV(H$182:H$188),"")/IF(H$182*H$183*H$184*H$185*H$186*H$187*H$188&gt;0,AVERAGE(H$182:H$188),""),"")</f>
        <v/>
      </c>
      <c r="Y321" s="294" t="str">
        <f aca="false">IFERROR(IF(I$182*I$183*I$184*I$185*I$186*I$187*I$188&gt;0,STDEV(I$182:I$188),"")/IF(I$182*I$183*I$184*I$185*I$186*I$187*I$188&gt;0,AVERAGE(I$182:I$188),""),"")</f>
        <v/>
      </c>
      <c r="Z321" s="294" t="str">
        <f aca="false">IFERROR(IF(J$182*J$183*J$184*J$185*J$186*J$187*J$188&gt;0,STDEV(J$182:J$188),"")/IF(J$182*J$183*J$184*J$185*J$186*J$187*J$188&gt;0,AVERAGE(J$182:J$188),""),"")</f>
        <v/>
      </c>
      <c r="AA321" s="294" t="str">
        <f aca="false">IFERROR(IF(K$182*K$183*K$184*K$185*K$186*K$187*K$188&gt;0,STDEV(K$182:K$188),"")/IF(K$182*K$183*K$184*K$185*K$186*K$187*K$188&gt;0,AVERAGE(K$182:K$188),""),"")</f>
        <v/>
      </c>
      <c r="AB321" s="294" t="str">
        <f aca="false">IFERROR(IF(L$182*L$183*L$184*L$185*L$186*L$187*L$188&gt;0,STDEV(L$182:L$188),"")/IF(L$182*L$183*L$184*L$185*L$186*L$187*L$188&gt;0,AVERAGE(L$182:L$188),""),"")</f>
        <v/>
      </c>
      <c r="AC321" s="294" t="str">
        <f aca="false">IFERROR(IF(M$182*M$183*M$184*M$185*M$186*M$187*M$188&gt;0,STDEV(M$182:M$188),"")/IF(M$182*M$183*M$184*M$185*M$186*M$187*M$188&gt;0,AVERAGE(M$182:M$188),""),"")</f>
        <v/>
      </c>
      <c r="AD321" s="294" t="str">
        <f aca="false">IFERROR(IF(N$182*N$183*N$184*N$185*N$186*N$187*N$188&gt;0,STDEV(N$182:N$188),"")/IF(N$182*N$183*N$184*N$185*N$186*N$187*N$188&gt;0,AVERAGE(N$182:N$188),""),"")</f>
        <v/>
      </c>
      <c r="AE321" s="44"/>
      <c r="AF321" s="266" t="s">
        <v>625</v>
      </c>
      <c r="AG321" s="303" t="str">
        <f aca="false">IFERROR(IF(C$182*C$183*C$184*C$185*C$186*C$187*C$188&gt;0,STDEV(C$182:C$188)," ")/IF(C$182*C$183*C$184*C$185*C$186*C$187*C$188&gt;0,SQRT(COUNT(C$182:C$188))," "),"")</f>
        <v/>
      </c>
      <c r="AH321" s="303" t="str">
        <f aca="false">IFERROR(IF(D$182*D$183*D$184*D$185*D$186*D$187*D$188&gt;0,STDEV(D$182:D$188)," ")/IF(D$182*D$183*D$184*D$185*D$186*D$187*D$188&gt;0,SQRT(COUNT(D$182:D$188))," "),"")</f>
        <v/>
      </c>
      <c r="AI321" s="303" t="str">
        <f aca="false">IFERROR(IF(E$182*E$183*E$184*E$185*E$186*E$187*E$188&gt;0,STDEV(E$182:E$188)," ")/IF(E$182*E$183*E$184*E$185*E$186*E$187*E$188&gt;0,SQRT(COUNT(E$182:E$188))," "),"")</f>
        <v/>
      </c>
      <c r="AJ321" s="303" t="str">
        <f aca="false">IFERROR(IF(F$182*F$183*F$184*F$185*F$186*F$187*F$188&gt;0,STDEV(F$182:F$188)," ")/IF(F$182*F$183*F$184*F$185*F$186*F$187*F$188&gt;0,SQRT(COUNT(F$182:F$188))," "),"")</f>
        <v/>
      </c>
      <c r="AK321" s="303" t="str">
        <f aca="false">IFERROR(IF(G$182*G$183*G$184*G$185*G$186*G$187*G$188&gt;0,STDEV(G$182:G$188)," ")/IF(G$182*G$183*G$184*G$185*G$186*G$187*G$188&gt;0,SQRT(COUNT(G$182:G$188))," "),"")</f>
        <v/>
      </c>
      <c r="AL321" s="303" t="str">
        <f aca="false">IFERROR(IF(H$182*H$183*H$184*H$185*H$186*H$187*H$188&gt;0,STDEV(H$182:H$188)," ")/IF(H$182*H$183*H$184*H$185*H$186*H$187*H$188&gt;0,SQRT(COUNT(H$182:H$188))," "),"")</f>
        <v/>
      </c>
      <c r="AM321" s="303" t="str">
        <f aca="false">IFERROR(IF(I$182*I$183*I$184*I$185*I$186*I$187*I$188&gt;0,STDEV(I$182:I$188)," ")/IF(I$182*I$183*I$184*I$185*I$186*I$187*I$188&gt;0,SQRT(COUNT(I$182:I$188))," "),"")</f>
        <v/>
      </c>
      <c r="AN321" s="303" t="str">
        <f aca="false">IFERROR(IF(J$182*J$183*J$184*J$185*J$186*J$187*J$188&gt;0,STDEV(J$182:J$188)," ")/IF(J$182*J$183*J$184*J$185*J$186*J$187*J$188&gt;0,SQRT(COUNT(J$182:J$188))," "),"")</f>
        <v/>
      </c>
      <c r="AO321" s="303" t="str">
        <f aca="false">IFERROR(IF(K$182*K$183*K$184*K$185*K$186*K$187*K$188&gt;0,STDEV(K$182:K$188)," ")/IF(K$182*K$183*K$184*K$185*K$186*K$187*K$188&gt;0,SQRT(COUNT(K$182:K$188))," "),"")</f>
        <v/>
      </c>
      <c r="AP321" s="303" t="str">
        <f aca="false">IFERROR(IF(L$182*L$183*L$184*L$185*L$186*L$187*L$188&gt;0,STDEV(L$182:L$188)," ")/IF(L$182*L$183*L$184*L$185*L$186*L$187*L$188&gt;0,SQRT(COUNT(L$182:L$188))," "),"")</f>
        <v/>
      </c>
      <c r="AQ321" s="303" t="str">
        <f aca="false">IFERROR(IF(M$182*M$183*M$184*M$185*M$186*M$187*M$188&gt;0,STDEV(M$182:M$188)," ")/IF(M$182*M$183*M$184*M$185*M$186*M$187*M$188&gt;0,SQRT(COUNT(M$182:M$188))," "),"")</f>
        <v/>
      </c>
      <c r="AR321" s="303" t="str">
        <f aca="false">IFERROR(IF(N$182*N$183*N$184*N$185*N$186*N$187*N$188&gt;0,STDEV(N$182:N$188)," ")/IF(N$182*N$183*N$184*N$185*N$186*N$187*N$188&gt;0,SQRT(COUNT(N$182:N$188))," "),"")</f>
        <v/>
      </c>
    </row>
    <row r="322" customFormat="false" ht="15" hidden="false" customHeight="false" outlineLevel="0" collapsed="false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 t="n">
        <f aca="false">SUM(P202:P321)</f>
        <v>120</v>
      </c>
      <c r="Q322" s="34" t="n">
        <f aca="false">SUM(Q202:Q321)</f>
        <v>120</v>
      </c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</row>
    <row r="323" customFormat="false" ht="15" hidden="false" customHeight="false" outlineLevel="0" collapsed="false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</row>
    <row r="324" customFormat="false" ht="15" hidden="false" customHeight="false" outlineLevel="0" collapsed="false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</row>
    <row r="325" customFormat="false" ht="15" hidden="false" customHeight="false" outlineLevel="0" collapsed="false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</row>
    <row r="326" customFormat="false" ht="15" hidden="false" customHeight="false" outlineLevel="0" collapsed="false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</row>
    <row r="327" customFormat="false" ht="15" hidden="false" customHeight="false" outlineLevel="0" collapsed="false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</row>
    <row r="328" customFormat="false" ht="15" hidden="false" customHeight="false" outlineLevel="0" collapsed="false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</row>
    <row r="329" customFormat="false" ht="23.25" hidden="false" customHeight="false" outlineLevel="0" collapsed="false">
      <c r="A329" s="163" t="s">
        <v>248</v>
      </c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</row>
    <row r="330" customFormat="false" ht="15" hidden="false" customHeight="false" outlineLevel="0" collapsed="false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</row>
    <row r="331" customFormat="false" ht="15" hidden="false" customHeight="false" outlineLevel="0" collapsed="false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</row>
    <row r="332" customFormat="false" ht="21" hidden="false" customHeight="false" outlineLevel="0" collapsed="false">
      <c r="A332" s="44"/>
      <c r="B332" s="185" t="s">
        <v>265</v>
      </c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95"/>
      <c r="P332" s="95"/>
      <c r="Q332" s="186"/>
      <c r="R332" s="44" t="s">
        <v>266</v>
      </c>
      <c r="S332" s="44"/>
      <c r="T332" s="44"/>
      <c r="U332" s="44"/>
      <c r="V332" s="44"/>
      <c r="W332" s="44"/>
      <c r="X332" s="95"/>
      <c r="Y332" s="44"/>
      <c r="Z332" s="149"/>
      <c r="AA332" s="85"/>
      <c r="AB332" s="85"/>
      <c r="AC332" s="85"/>
      <c r="AD332" s="85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</row>
    <row r="333" customFormat="false" ht="15.75" hidden="false" customHeight="false" outlineLevel="0" collapsed="false">
      <c r="A333" s="42" t="s">
        <v>634</v>
      </c>
      <c r="B333" s="42"/>
      <c r="C333" s="44"/>
      <c r="D333" s="44"/>
      <c r="E333" s="44"/>
      <c r="F333" s="44"/>
      <c r="G333" s="44"/>
      <c r="H333" s="44"/>
      <c r="I333" s="44"/>
      <c r="J333" s="44"/>
      <c r="K333" s="44"/>
      <c r="L333" s="58"/>
      <c r="M333" s="58"/>
      <c r="N333" s="58"/>
      <c r="O333" s="58"/>
      <c r="P333" s="95"/>
      <c r="Q333" s="186"/>
      <c r="R333" s="44"/>
      <c r="S333" s="44"/>
      <c r="T333" s="42"/>
      <c r="U333" s="44"/>
      <c r="V333" s="44" t="s">
        <v>270</v>
      </c>
      <c r="W333" s="44"/>
      <c r="X333" s="95"/>
      <c r="Y333" s="187"/>
      <c r="Z333" s="148"/>
      <c r="AA333" s="84"/>
      <c r="AB333" s="84"/>
      <c r="AC333" s="84"/>
      <c r="AD333" s="85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2"/>
      <c r="AP333" s="44"/>
      <c r="AQ333" s="44"/>
      <c r="AR333" s="44"/>
    </row>
    <row r="334" customFormat="false" ht="15.75" hidden="false" customHeight="false" outlineLevel="0" collapsed="false">
      <c r="A334" s="44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188"/>
      <c r="R334" s="42"/>
      <c r="S334" s="42"/>
      <c r="T334" s="99"/>
      <c r="U334" s="44"/>
      <c r="V334" s="44"/>
      <c r="W334" s="44" t="s">
        <v>271</v>
      </c>
      <c r="X334" s="95"/>
      <c r="Y334" s="187"/>
      <c r="Z334" s="305"/>
      <c r="AA334" s="100"/>
      <c r="AB334" s="100"/>
      <c r="AC334" s="100"/>
      <c r="AD334" s="85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99"/>
      <c r="AP334" s="44"/>
      <c r="AQ334" s="44"/>
      <c r="AR334" s="44"/>
    </row>
    <row r="335" customFormat="false" ht="16.5" hidden="false" customHeight="false" outlineLevel="0" collapsed="false">
      <c r="A335" s="42" t="s">
        <v>166</v>
      </c>
      <c r="B335" s="42" t="s">
        <v>226</v>
      </c>
      <c r="C335" s="95" t="n">
        <f aca="false">'Titer Calculation'!C171</f>
        <v>1</v>
      </c>
      <c r="D335" s="95" t="n">
        <f aca="false">'Titer Calculation'!D171</f>
        <v>2</v>
      </c>
      <c r="E335" s="95" t="n">
        <f aca="false">'Titer Calculation'!E171</f>
        <v>3</v>
      </c>
      <c r="F335" s="95" t="n">
        <f aca="false">'Titer Calculation'!F171</f>
        <v>4</v>
      </c>
      <c r="G335" s="95" t="n">
        <f aca="false">'Titer Calculation'!G171</f>
        <v>5</v>
      </c>
      <c r="H335" s="95" t="n">
        <f aca="false">'Titer Calculation'!H171</f>
        <v>6</v>
      </c>
      <c r="I335" s="95" t="n">
        <f aca="false">'Titer Calculation'!I171</f>
        <v>7</v>
      </c>
      <c r="J335" s="95" t="n">
        <f aca="false">'Titer Calculation'!J171</f>
        <v>8</v>
      </c>
      <c r="K335" s="95" t="n">
        <f aca="false">'Titer Calculation'!K171</f>
        <v>9</v>
      </c>
      <c r="L335" s="95" t="n">
        <f aca="false">'Titer Calculation'!L171</f>
        <v>10</v>
      </c>
      <c r="M335" s="95" t="n">
        <f aca="false">'Titer Calculation'!M171</f>
        <v>11</v>
      </c>
      <c r="N335" s="95" t="n">
        <f aca="false">'Titer Calculation'!N171</f>
        <v>12</v>
      </c>
      <c r="O335" s="44"/>
      <c r="P335" s="95"/>
      <c r="Q335" s="191"/>
      <c r="R335" s="99"/>
      <c r="S335" s="99"/>
      <c r="T335" s="44"/>
      <c r="U335" s="44"/>
      <c r="V335" s="44" t="s">
        <v>272</v>
      </c>
      <c r="W335" s="44" t="s">
        <v>273</v>
      </c>
      <c r="X335" s="44" t="s">
        <v>274</v>
      </c>
      <c r="Y335" s="44"/>
      <c r="Z335" s="296"/>
      <c r="AA335" s="83"/>
      <c r="AB335" s="84"/>
      <c r="AC335" s="84"/>
      <c r="AD335" s="85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</row>
    <row r="336" customFormat="false" ht="15.75" hidden="false" customHeight="false" outlineLevel="0" collapsed="false">
      <c r="A336" s="97" t="s">
        <v>167</v>
      </c>
      <c r="B336" s="97" t="n">
        <f aca="false">'Titer Calculation'!B173</f>
        <v>5</v>
      </c>
      <c r="C336" s="116" t="str">
        <f aca="false">IFERROR(IF(AND('Titer Calculation'!C173&lt;='Titer Calculation'!$T$10,'Titer Calculation'!C173&gt;'Titer Calculation'!$T$11), 'Titer Calculation'!C173," "), "")</f>
        <v/>
      </c>
      <c r="D336" s="116" t="str">
        <f aca="false">IFERROR(IF(AND('Titer Calculation'!D173&lt;='Titer Calculation'!$T$10,'Titer Calculation'!D173&gt;'Titer Calculation'!$T$11), 'Titer Calculation'!D173," "), "")</f>
        <v/>
      </c>
      <c r="E336" s="116" t="str">
        <f aca="false">IFERROR(IF(AND('Titer Calculation'!E173&lt;='Titer Calculation'!$T$10,'Titer Calculation'!E173&gt;'Titer Calculation'!$T$11), 'Titer Calculation'!E173," "), "")</f>
        <v/>
      </c>
      <c r="F336" s="116" t="str">
        <f aca="false">IFERROR(IF(AND('Titer Calculation'!F173&lt;='Titer Calculation'!$T$10,'Titer Calculation'!F173&gt;'Titer Calculation'!$T$11), 'Titer Calculation'!F173," "), "")</f>
        <v/>
      </c>
      <c r="G336" s="116" t="str">
        <f aca="false">IFERROR(IF(AND('Titer Calculation'!G173&lt;='Titer Calculation'!$T$10,'Titer Calculation'!G173&gt;'Titer Calculation'!$T$11), 'Titer Calculation'!G173," "), "")</f>
        <v/>
      </c>
      <c r="H336" s="116" t="str">
        <f aca="false">IFERROR(IF(AND('Titer Calculation'!H173&lt;='Titer Calculation'!$T$10,'Titer Calculation'!H173&gt;'Titer Calculation'!$T$11), 'Titer Calculation'!H173," "), "")</f>
        <v/>
      </c>
      <c r="I336" s="116" t="str">
        <f aca="false">IFERROR(IF(AND('Titer Calculation'!I173&lt;='Titer Calculation'!$T$10,'Titer Calculation'!I173&gt;'Titer Calculation'!$T$11), 'Titer Calculation'!I173," "), "")</f>
        <v/>
      </c>
      <c r="J336" s="116" t="str">
        <f aca="false">IFERROR(IF(AND('Titer Calculation'!J173&lt;='Titer Calculation'!$T$10,'Titer Calculation'!J173&gt;'Titer Calculation'!$T$11), 'Titer Calculation'!J173," "), "")</f>
        <v/>
      </c>
      <c r="K336" s="116" t="str">
        <f aca="false">IFERROR(IF(AND('Titer Calculation'!K173&lt;='Titer Calculation'!$T$10,'Titer Calculation'!K173&gt;'Titer Calculation'!$T$11), 'Titer Calculation'!K173," "), "")</f>
        <v/>
      </c>
      <c r="L336" s="116" t="str">
        <f aca="false">IFERROR(IF(AND('Titer Calculation'!L173&lt;='Titer Calculation'!$T$10,'Titer Calculation'!L173&gt;'Titer Calculation'!$T$11), 'Titer Calculation'!L173," "), "")</f>
        <v/>
      </c>
      <c r="M336" s="116" t="str">
        <f aca="false">IFERROR(IF(AND('Titer Calculation'!M173&lt;='Titer Calculation'!$T$10,'Titer Calculation'!M173&gt;'Titer Calculation'!$T$11), 'Titer Calculation'!M173," "), "")</f>
        <v/>
      </c>
      <c r="N336" s="116" t="str">
        <f aca="false">IFERROR(IF(AND('Titer Calculation'!N173&lt;='Titer Calculation'!$T$10,'Titer Calculation'!N173&gt;'Titer Calculation'!$T$11), 'Titer Calculation'!N173," "), "")</f>
        <v/>
      </c>
      <c r="O336" s="44"/>
      <c r="T336" s="44"/>
      <c r="U336" s="44"/>
      <c r="V336" s="193" t="n">
        <v>2</v>
      </c>
      <c r="W336" s="289" t="n">
        <v>367</v>
      </c>
      <c r="X336" s="195" t="n">
        <v>387</v>
      </c>
      <c r="Y336" s="44"/>
      <c r="Z336" s="44"/>
      <c r="AA336" s="147"/>
      <c r="AB336" s="103"/>
      <c r="AC336" s="103"/>
      <c r="AD336" s="85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</row>
    <row r="337" customFormat="false" ht="15.75" hidden="false" customHeight="false" outlineLevel="0" collapsed="false">
      <c r="A337" s="97" t="s">
        <v>168</v>
      </c>
      <c r="B337" s="97" t="n">
        <f aca="false">'Titer Calculation'!B174</f>
        <v>25</v>
      </c>
      <c r="C337" s="116" t="str">
        <f aca="false">IFERROR(IF(AND('Titer Calculation'!C174&lt;='Titer Calculation'!$T$4,'Titer Calculation'!C174&gt;'Titer Calculation'!$T$5), 'Titer Calculation'!C174," "), "")</f>
        <v/>
      </c>
      <c r="D337" s="116" t="str">
        <f aca="false">IFERROR(IF(AND('Titer Calculation'!D174&lt;='Titer Calculation'!$T$4,'Titer Calculation'!D174&gt;'Titer Calculation'!$T$5), 'Titer Calculation'!D174," "), "")</f>
        <v/>
      </c>
      <c r="E337" s="116" t="str">
        <f aca="false">IFERROR(IF(AND('Titer Calculation'!E174&lt;='Titer Calculation'!$T$4,'Titer Calculation'!E174&gt;'Titer Calculation'!$T$5), 'Titer Calculation'!E174," "), "")</f>
        <v/>
      </c>
      <c r="F337" s="116" t="str">
        <f aca="false">IFERROR(IF(AND('Titer Calculation'!F174&lt;='Titer Calculation'!$T$4,'Titer Calculation'!F174&gt;'Titer Calculation'!$T$5), 'Titer Calculation'!F174," "), "")</f>
        <v/>
      </c>
      <c r="G337" s="116" t="str">
        <f aca="false">IFERROR(IF(AND('Titer Calculation'!G174&lt;='Titer Calculation'!$T$4,'Titer Calculation'!G174&gt;'Titer Calculation'!$T$5), 'Titer Calculation'!G174," "), "")</f>
        <v/>
      </c>
      <c r="H337" s="116" t="str">
        <f aca="false">IFERROR(IF(AND('Titer Calculation'!H174&lt;='Titer Calculation'!$T$4,'Titer Calculation'!H174&gt;'Titer Calculation'!$T$5), 'Titer Calculation'!H174," "), "")</f>
        <v/>
      </c>
      <c r="I337" s="116" t="str">
        <f aca="false">IFERROR(IF(AND('Titer Calculation'!I174&lt;='Titer Calculation'!$T$4,'Titer Calculation'!I174&gt;'Titer Calculation'!$T$5), 'Titer Calculation'!I174," "), "")</f>
        <v/>
      </c>
      <c r="J337" s="116" t="str">
        <f aca="false">IFERROR(IF(AND('Titer Calculation'!J174&lt;='Titer Calculation'!$T$4,'Titer Calculation'!J174&gt;'Titer Calculation'!$T$5), 'Titer Calculation'!J174," "), "")</f>
        <v/>
      </c>
      <c r="K337" s="116" t="str">
        <f aca="false">IFERROR(IF(AND('Titer Calculation'!K174&lt;='Titer Calculation'!$T$4,'Titer Calculation'!K174&gt;'Titer Calculation'!$T$5), 'Titer Calculation'!K174," "), "")</f>
        <v/>
      </c>
      <c r="L337" s="116" t="str">
        <f aca="false">IFERROR(IF(AND('Titer Calculation'!L174&lt;='Titer Calculation'!$T$4,'Titer Calculation'!L174&gt;'Titer Calculation'!$T$5), 'Titer Calculation'!L174," "), "")</f>
        <v/>
      </c>
      <c r="M337" s="116" t="str">
        <f aca="false">IFERROR(IF(AND('Titer Calculation'!M174&lt;='Titer Calculation'!$T$4,'Titer Calculation'!M174&gt;'Titer Calculation'!$T$5), 'Titer Calculation'!M174," "), "")</f>
        <v/>
      </c>
      <c r="N337" s="116" t="str">
        <f aca="false">IFERROR(IF(AND('Titer Calculation'!N174&lt;='Titer Calculation'!$T$4,'Titer Calculation'!N174&gt;'Titer Calculation'!$T$5), 'Titer Calculation'!N174," "), "")</f>
        <v/>
      </c>
      <c r="O337" s="44"/>
      <c r="P337" s="44"/>
      <c r="Q337" s="83"/>
      <c r="R337" s="44"/>
      <c r="S337" s="44"/>
      <c r="T337" s="44"/>
      <c r="U337" s="44"/>
      <c r="V337" s="200" t="n">
        <v>3</v>
      </c>
      <c r="W337" s="146" t="n">
        <v>388</v>
      </c>
      <c r="X337" s="201" t="n">
        <v>422</v>
      </c>
      <c r="Y337" s="44"/>
      <c r="Z337" s="44"/>
      <c r="AA337" s="147"/>
      <c r="AB337" s="84"/>
      <c r="AC337" s="84"/>
      <c r="AD337" s="85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</row>
    <row r="338" customFormat="false" ht="15.75" hidden="false" customHeight="false" outlineLevel="0" collapsed="false">
      <c r="A338" s="97" t="s">
        <v>169</v>
      </c>
      <c r="B338" s="97" t="n">
        <f aca="false">'Titer Calculation'!B175</f>
        <v>125</v>
      </c>
      <c r="C338" s="116" t="str">
        <f aca="false">IFERROR(IF(AND('Titer Calculation'!C175&lt;='Titer Calculation'!$T$4,'Titer Calculation'!C175&gt;'Titer Calculation'!$T$5), 'Titer Calculation'!C175," "), "")</f>
        <v/>
      </c>
      <c r="D338" s="116" t="str">
        <f aca="false">IFERROR(IF(AND('Titer Calculation'!D175&lt;='Titer Calculation'!$T$4,'Titer Calculation'!D175&gt;'Titer Calculation'!$T$5), 'Titer Calculation'!D175," "), "")</f>
        <v/>
      </c>
      <c r="E338" s="116" t="str">
        <f aca="false">IFERROR(IF(AND('Titer Calculation'!E175&lt;='Titer Calculation'!$T$4,'Titer Calculation'!E175&gt;'Titer Calculation'!$T$5), 'Titer Calculation'!E175," "), "")</f>
        <v/>
      </c>
      <c r="F338" s="116" t="str">
        <f aca="false">IFERROR(IF(AND('Titer Calculation'!F175&lt;='Titer Calculation'!$T$4,'Titer Calculation'!F175&gt;'Titer Calculation'!$T$5), 'Titer Calculation'!F175," "), "")</f>
        <v/>
      </c>
      <c r="G338" s="116" t="str">
        <f aca="false">IFERROR(IF(AND('Titer Calculation'!G175&lt;='Titer Calculation'!$T$4,'Titer Calculation'!G175&gt;'Titer Calculation'!$T$5), 'Titer Calculation'!G175," "), "")</f>
        <v/>
      </c>
      <c r="H338" s="116" t="str">
        <f aca="false">IFERROR(IF(AND('Titer Calculation'!H175&lt;='Titer Calculation'!$T$4,'Titer Calculation'!H175&gt;'Titer Calculation'!$T$5), 'Titer Calculation'!H175," "), "")</f>
        <v/>
      </c>
      <c r="I338" s="116" t="str">
        <f aca="false">IFERROR(IF(AND('Titer Calculation'!I175&lt;='Titer Calculation'!$T$4,'Titer Calculation'!I175&gt;'Titer Calculation'!$T$5), 'Titer Calculation'!I175," "), "")</f>
        <v/>
      </c>
      <c r="J338" s="116" t="str">
        <f aca="false">IFERROR(IF(AND('Titer Calculation'!J175&lt;='Titer Calculation'!$T$4,'Titer Calculation'!J175&gt;'Titer Calculation'!$T$5), 'Titer Calculation'!J175," "), "")</f>
        <v/>
      </c>
      <c r="K338" s="116" t="str">
        <f aca="false">IFERROR(IF(AND('Titer Calculation'!K175&lt;='Titer Calculation'!$T$4,'Titer Calculation'!K175&gt;'Titer Calculation'!$T$5), 'Titer Calculation'!K175," "), "")</f>
        <v/>
      </c>
      <c r="L338" s="116" t="str">
        <f aca="false">IFERROR(IF(AND('Titer Calculation'!L175&lt;='Titer Calculation'!$T$4,'Titer Calculation'!L175&gt;'Titer Calculation'!$T$5), 'Titer Calculation'!L175," "), "")</f>
        <v/>
      </c>
      <c r="M338" s="116" t="str">
        <f aca="false">IFERROR(IF(AND('Titer Calculation'!M175&lt;='Titer Calculation'!$T$4,'Titer Calculation'!M175&gt;'Titer Calculation'!$T$5), 'Titer Calculation'!M175," "), "")</f>
        <v/>
      </c>
      <c r="N338" s="116" t="str">
        <f aca="false">IFERROR(IF(AND('Titer Calculation'!N175&lt;='Titer Calculation'!$T$4,'Titer Calculation'!N175&gt;'Titer Calculation'!$T$5), 'Titer Calculation'!N175," "), "")</f>
        <v/>
      </c>
      <c r="O338" s="44"/>
      <c r="P338" s="44"/>
      <c r="Q338" s="83"/>
      <c r="R338" s="44"/>
      <c r="S338" s="44"/>
      <c r="T338" s="44"/>
      <c r="U338" s="44"/>
      <c r="V338" s="200" t="n">
        <v>4</v>
      </c>
      <c r="W338" s="146" t="n">
        <v>423</v>
      </c>
      <c r="X338" s="201" t="n">
        <v>457</v>
      </c>
      <c r="Y338" s="44"/>
      <c r="Z338" s="44"/>
      <c r="AA338" s="147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</row>
    <row r="339" customFormat="false" ht="15.75" hidden="false" customHeight="false" outlineLevel="0" collapsed="false">
      <c r="A339" s="97" t="s">
        <v>170</v>
      </c>
      <c r="B339" s="97" t="n">
        <f aca="false">'Titer Calculation'!B176</f>
        <v>625</v>
      </c>
      <c r="C339" s="116" t="str">
        <f aca="false">IFERROR(IF(AND('Titer Calculation'!C176&lt;='Titer Calculation'!$T$4,'Titer Calculation'!C176&gt;'Titer Calculation'!$T$5), 'Titer Calculation'!C176," "), "")</f>
        <v/>
      </c>
      <c r="D339" s="116" t="str">
        <f aca="false">IFERROR(IF(AND('Titer Calculation'!D176&lt;='Titer Calculation'!$T$4,'Titer Calculation'!D176&gt;'Titer Calculation'!$T$5), 'Titer Calculation'!D176," "), "")</f>
        <v/>
      </c>
      <c r="E339" s="116" t="str">
        <f aca="false">IFERROR(IF(AND('Titer Calculation'!E176&lt;='Titer Calculation'!$T$4,'Titer Calculation'!E176&gt;'Titer Calculation'!$T$5), 'Titer Calculation'!E176," "), "")</f>
        <v/>
      </c>
      <c r="F339" s="116" t="str">
        <f aca="false">IFERROR(IF(AND('Titer Calculation'!F176&lt;='Titer Calculation'!$T$4,'Titer Calculation'!F176&gt;'Titer Calculation'!$T$5), 'Titer Calculation'!F176," "), "")</f>
        <v/>
      </c>
      <c r="G339" s="116" t="str">
        <f aca="false">IFERROR(IF(AND('Titer Calculation'!G176&lt;='Titer Calculation'!$T$4,'Titer Calculation'!G176&gt;'Titer Calculation'!$T$5), 'Titer Calculation'!G176," "), "")</f>
        <v/>
      </c>
      <c r="H339" s="116" t="str">
        <f aca="false">IFERROR(IF(AND('Titer Calculation'!H176&lt;='Titer Calculation'!$T$4,'Titer Calculation'!H176&gt;'Titer Calculation'!$T$5), 'Titer Calculation'!H176," "), "")</f>
        <v/>
      </c>
      <c r="I339" s="116" t="str">
        <f aca="false">IFERROR(IF(AND('Titer Calculation'!I176&lt;='Titer Calculation'!$T$4,'Titer Calculation'!I176&gt;'Titer Calculation'!$T$5), 'Titer Calculation'!I176," "), "")</f>
        <v/>
      </c>
      <c r="J339" s="116" t="str">
        <f aca="false">IFERROR(IF(AND('Titer Calculation'!J176&lt;='Titer Calculation'!$T$4,'Titer Calculation'!J176&gt;'Titer Calculation'!$T$5), 'Titer Calculation'!J176," "), "")</f>
        <v/>
      </c>
      <c r="K339" s="116" t="str">
        <f aca="false">IFERROR(IF(AND('Titer Calculation'!K176&lt;='Titer Calculation'!$T$4,'Titer Calculation'!K176&gt;'Titer Calculation'!$T$5), 'Titer Calculation'!K176," "), "")</f>
        <v/>
      </c>
      <c r="L339" s="116" t="str">
        <f aca="false">IFERROR(IF(AND('Titer Calculation'!L176&lt;='Titer Calculation'!$T$4,'Titer Calculation'!L176&gt;'Titer Calculation'!$T$5), 'Titer Calculation'!L176," "), "")</f>
        <v/>
      </c>
      <c r="M339" s="116" t="str">
        <f aca="false">IFERROR(IF(AND('Titer Calculation'!M176&lt;='Titer Calculation'!$T$4,'Titer Calculation'!M176&gt;'Titer Calculation'!$T$5), 'Titer Calculation'!M176," "), "")</f>
        <v/>
      </c>
      <c r="N339" s="116" t="str">
        <f aca="false">IFERROR(IF(AND('Titer Calculation'!N176&lt;='Titer Calculation'!$T$4,'Titer Calculation'!N176&gt;'Titer Calculation'!$T$5), 'Titer Calculation'!N176," "), "")</f>
        <v/>
      </c>
      <c r="O339" s="44"/>
      <c r="P339" s="44"/>
      <c r="Q339" s="83"/>
      <c r="R339" s="44"/>
      <c r="S339" s="44"/>
      <c r="T339" s="44"/>
      <c r="U339" s="44"/>
      <c r="V339" s="200" t="n">
        <v>5</v>
      </c>
      <c r="W339" s="146" t="n">
        <v>458</v>
      </c>
      <c r="X339" s="201" t="n">
        <v>478</v>
      </c>
      <c r="Y339" s="44"/>
      <c r="Z339" s="44"/>
      <c r="AA339" s="147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</row>
    <row r="340" customFormat="false" ht="15.75" hidden="false" customHeight="false" outlineLevel="0" collapsed="false">
      <c r="A340" s="97" t="s">
        <v>171</v>
      </c>
      <c r="B340" s="97" t="n">
        <f aca="false">'Titer Calculation'!B177</f>
        <v>3125</v>
      </c>
      <c r="C340" s="116" t="str">
        <f aca="false">IFERROR(IF(AND('Titer Calculation'!C177&lt;='Titer Calculation'!$T$4,'Titer Calculation'!C177&gt;'Titer Calculation'!$T$5), 'Titer Calculation'!C177," "), "")</f>
        <v/>
      </c>
      <c r="D340" s="116" t="str">
        <f aca="false">IFERROR(IF(AND('Titer Calculation'!D177&lt;='Titer Calculation'!$T$4,'Titer Calculation'!D177&gt;'Titer Calculation'!$T$5), 'Titer Calculation'!D177," "), "")</f>
        <v/>
      </c>
      <c r="E340" s="116" t="str">
        <f aca="false">IFERROR(IF(AND('Titer Calculation'!E177&lt;='Titer Calculation'!$T$4,'Titer Calculation'!E177&gt;'Titer Calculation'!$T$5), 'Titer Calculation'!E177," "), "")</f>
        <v/>
      </c>
      <c r="F340" s="116" t="str">
        <f aca="false">IFERROR(IF(AND('Titer Calculation'!F177&lt;='Titer Calculation'!$T$4,'Titer Calculation'!F177&gt;'Titer Calculation'!$T$5), 'Titer Calculation'!F177," "), "")</f>
        <v/>
      </c>
      <c r="G340" s="116" t="str">
        <f aca="false">IFERROR(IF(AND('Titer Calculation'!G177&lt;='Titer Calculation'!$T$4,'Titer Calculation'!G177&gt;'Titer Calculation'!$T$5), 'Titer Calculation'!G177," "), "")</f>
        <v/>
      </c>
      <c r="H340" s="116" t="str">
        <f aca="false">IFERROR(IF(AND('Titer Calculation'!H177&lt;='Titer Calculation'!$T$4,'Titer Calculation'!H177&gt;'Titer Calculation'!$T$5), 'Titer Calculation'!H177," "), "")</f>
        <v/>
      </c>
      <c r="I340" s="116" t="str">
        <f aca="false">IFERROR(IF(AND('Titer Calculation'!I177&lt;='Titer Calculation'!$T$4,'Titer Calculation'!I177&gt;'Titer Calculation'!$T$5), 'Titer Calculation'!I177," "), "")</f>
        <v/>
      </c>
      <c r="J340" s="116" t="str">
        <f aca="false">IFERROR(IF(AND('Titer Calculation'!J177&lt;='Titer Calculation'!$T$4,'Titer Calculation'!J177&gt;'Titer Calculation'!$T$5), 'Titer Calculation'!J177," "), "")</f>
        <v/>
      </c>
      <c r="K340" s="116" t="str">
        <f aca="false">IFERROR(IF(AND('Titer Calculation'!K177&lt;='Titer Calculation'!$T$4,'Titer Calculation'!K177&gt;'Titer Calculation'!$T$5), 'Titer Calculation'!K177," "), "")</f>
        <v/>
      </c>
      <c r="L340" s="116" t="str">
        <f aca="false">IFERROR(IF(AND('Titer Calculation'!L177&lt;='Titer Calculation'!$T$4,'Titer Calculation'!L177&gt;'Titer Calculation'!$T$5), 'Titer Calculation'!L177," "), "")</f>
        <v/>
      </c>
      <c r="M340" s="116" t="str">
        <f aca="false">IFERROR(IF(AND('Titer Calculation'!M177&lt;='Titer Calculation'!$T$4,'Titer Calculation'!M177&gt;'Titer Calculation'!$T$5), 'Titer Calculation'!M177," "), "")</f>
        <v/>
      </c>
      <c r="N340" s="116" t="str">
        <f aca="false">IFERROR(IF(AND('Titer Calculation'!N177&lt;='Titer Calculation'!$T$4,'Titer Calculation'!N177&gt;'Titer Calculation'!$T$5), 'Titer Calculation'!N177," "), "")</f>
        <v/>
      </c>
      <c r="O340" s="44"/>
      <c r="P340" s="44"/>
      <c r="Q340" s="83"/>
      <c r="R340" s="44"/>
      <c r="S340" s="44"/>
      <c r="T340" s="44"/>
      <c r="U340" s="44"/>
      <c r="V340" s="200" t="n">
        <v>6</v>
      </c>
      <c r="W340" s="146" t="n">
        <v>479</v>
      </c>
      <c r="X340" s="201" t="n">
        <v>485</v>
      </c>
      <c r="Y340" s="44"/>
      <c r="Z340" s="44"/>
      <c r="AA340" s="147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</row>
    <row r="341" customFormat="false" ht="16.5" hidden="false" customHeight="false" outlineLevel="0" collapsed="false">
      <c r="A341" s="97" t="s">
        <v>172</v>
      </c>
      <c r="B341" s="97" t="n">
        <f aca="false">'Titer Calculation'!B178</f>
        <v>15625</v>
      </c>
      <c r="C341" s="116" t="str">
        <f aca="false">IFERROR(IF(AND('Titer Calculation'!C178&lt;='Titer Calculation'!$T$4,'Titer Calculation'!C178&gt;'Titer Calculation'!$T$5), 'Titer Calculation'!C178," "), "")</f>
        <v/>
      </c>
      <c r="D341" s="116" t="str">
        <f aca="false">IFERROR(IF(AND('Titer Calculation'!D178&lt;='Titer Calculation'!$T$4,'Titer Calculation'!D178&gt;'Titer Calculation'!$T$5), 'Titer Calculation'!D178," "), "")</f>
        <v/>
      </c>
      <c r="E341" s="116" t="str">
        <f aca="false">IFERROR(IF(AND('Titer Calculation'!E178&lt;='Titer Calculation'!$T$4,'Titer Calculation'!E178&gt;'Titer Calculation'!$T$5), 'Titer Calculation'!E178," "), "")</f>
        <v/>
      </c>
      <c r="F341" s="116" t="str">
        <f aca="false">IFERROR(IF(AND('Titer Calculation'!F178&lt;='Titer Calculation'!$T$4,'Titer Calculation'!F178&gt;'Titer Calculation'!$T$5), 'Titer Calculation'!F178," "), "")</f>
        <v/>
      </c>
      <c r="G341" s="116" t="str">
        <f aca="false">IFERROR(IF(AND('Titer Calculation'!G178&lt;='Titer Calculation'!$T$4,'Titer Calculation'!G178&gt;'Titer Calculation'!$T$5), 'Titer Calculation'!G178," "), "")</f>
        <v/>
      </c>
      <c r="H341" s="116" t="str">
        <f aca="false">IFERROR(IF(AND('Titer Calculation'!H178&lt;='Titer Calculation'!$T$4,'Titer Calculation'!H178&gt;'Titer Calculation'!$T$5), 'Titer Calculation'!H178," "), "")</f>
        <v/>
      </c>
      <c r="I341" s="116" t="str">
        <f aca="false">IFERROR(IF(AND('Titer Calculation'!I178&lt;='Titer Calculation'!$T$4,'Titer Calculation'!I178&gt;'Titer Calculation'!$T$5), 'Titer Calculation'!I178," "), "")</f>
        <v/>
      </c>
      <c r="J341" s="116" t="str">
        <f aca="false">IFERROR(IF(AND('Titer Calculation'!J178&lt;='Titer Calculation'!$T$4,'Titer Calculation'!J178&gt;'Titer Calculation'!$T$5), 'Titer Calculation'!J178," "), "")</f>
        <v/>
      </c>
      <c r="K341" s="116" t="str">
        <f aca="false">IFERROR(IF(AND('Titer Calculation'!K178&lt;='Titer Calculation'!$T$4,'Titer Calculation'!K178&gt;'Titer Calculation'!$T$5), 'Titer Calculation'!K178," "), "")</f>
        <v/>
      </c>
      <c r="L341" s="116" t="str">
        <f aca="false">IFERROR(IF(AND('Titer Calculation'!L178&lt;='Titer Calculation'!$T$4,'Titer Calculation'!L178&gt;'Titer Calculation'!$T$5), 'Titer Calculation'!L178," "), "")</f>
        <v/>
      </c>
      <c r="M341" s="116" t="str">
        <f aca="false">IFERROR(IF(AND('Titer Calculation'!M178&lt;='Titer Calculation'!$T$4,'Titer Calculation'!M178&gt;'Titer Calculation'!$T$5), 'Titer Calculation'!M178," "), "")</f>
        <v/>
      </c>
      <c r="N341" s="116" t="str">
        <f aca="false">IFERROR(IF(AND('Titer Calculation'!N178&lt;='Titer Calculation'!$T$4,'Titer Calculation'!N178&gt;'Titer Calculation'!$T$5), 'Titer Calculation'!N178," "), "")</f>
        <v/>
      </c>
      <c r="O341" s="44"/>
      <c r="P341" s="44"/>
      <c r="Q341" s="83"/>
      <c r="R341" s="44"/>
      <c r="S341" s="44"/>
      <c r="T341" s="44"/>
      <c r="U341" s="44"/>
      <c r="V341" s="205" t="n">
        <v>7</v>
      </c>
      <c r="W341" s="206" t="n">
        <v>486</v>
      </c>
      <c r="X341" s="207" t="n">
        <v>486</v>
      </c>
      <c r="Y341" s="44"/>
      <c r="Z341" s="44"/>
      <c r="AA341" s="147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</row>
    <row r="342" customFormat="false" ht="15.75" hidden="false" customHeight="false" outlineLevel="0" collapsed="false">
      <c r="A342" s="97" t="s">
        <v>173</v>
      </c>
      <c r="B342" s="97" t="n">
        <f aca="false">'Titer Calculation'!B179</f>
        <v>78125</v>
      </c>
      <c r="C342" s="116" t="str">
        <f aca="false">IFERROR(IF(AND('Titer Calculation'!C179&lt;='Titer Calculation'!$T$4,'Titer Calculation'!C179&gt;'Titer Calculation'!$T$5), 'Titer Calculation'!C179," "), "")</f>
        <v/>
      </c>
      <c r="D342" s="116" t="str">
        <f aca="false">IFERROR(IF(AND('Titer Calculation'!D179&lt;='Titer Calculation'!$T$4,'Titer Calculation'!D179&gt;'Titer Calculation'!$T$5), 'Titer Calculation'!D179," "), "")</f>
        <v/>
      </c>
      <c r="E342" s="116" t="str">
        <f aca="false">IFERROR(IF(AND('Titer Calculation'!E179&lt;='Titer Calculation'!$T$4,'Titer Calculation'!E179&gt;'Titer Calculation'!$T$5), 'Titer Calculation'!E179," "), "")</f>
        <v/>
      </c>
      <c r="F342" s="116" t="str">
        <f aca="false">IFERROR(IF(AND('Titer Calculation'!F179&lt;='Titer Calculation'!$T$4,'Titer Calculation'!F179&gt;'Titer Calculation'!$T$5), 'Titer Calculation'!F179," "), "")</f>
        <v/>
      </c>
      <c r="G342" s="116" t="str">
        <f aca="false">IFERROR(IF(AND('Titer Calculation'!G179&lt;='Titer Calculation'!$T$4,'Titer Calculation'!G179&gt;'Titer Calculation'!$T$5), 'Titer Calculation'!G179," "), "")</f>
        <v/>
      </c>
      <c r="H342" s="116" t="str">
        <f aca="false">IFERROR(IF(AND('Titer Calculation'!H179&lt;='Titer Calculation'!$T$4,'Titer Calculation'!H179&gt;'Titer Calculation'!$T$5), 'Titer Calculation'!H179," "), "")</f>
        <v/>
      </c>
      <c r="I342" s="116" t="str">
        <f aca="false">IFERROR(IF(AND('Titer Calculation'!I179&lt;='Titer Calculation'!$T$4,'Titer Calculation'!I179&gt;'Titer Calculation'!$T$5), 'Titer Calculation'!I179," "), "")</f>
        <v/>
      </c>
      <c r="J342" s="116" t="str">
        <f aca="false">IFERROR(IF(AND('Titer Calculation'!J179&lt;='Titer Calculation'!$T$4,'Titer Calculation'!J179&gt;'Titer Calculation'!$T$5), 'Titer Calculation'!J179," "), "")</f>
        <v/>
      </c>
      <c r="K342" s="116" t="str">
        <f aca="false">IFERROR(IF(AND('Titer Calculation'!K179&lt;='Titer Calculation'!$T$4,'Titer Calculation'!K179&gt;'Titer Calculation'!$T$5), 'Titer Calculation'!K179," "), "")</f>
        <v/>
      </c>
      <c r="L342" s="116" t="str">
        <f aca="false">IFERROR(IF(AND('Titer Calculation'!L179&lt;='Titer Calculation'!$T$4,'Titer Calculation'!L179&gt;'Titer Calculation'!$T$5), 'Titer Calculation'!L179," "), "")</f>
        <v/>
      </c>
      <c r="M342" s="116" t="str">
        <f aca="false">IFERROR(IF(AND('Titer Calculation'!M179&lt;='Titer Calculation'!$T$4,'Titer Calculation'!M179&gt;'Titer Calculation'!$T$5), 'Titer Calculation'!M179," "), "")</f>
        <v/>
      </c>
      <c r="N342" s="116" t="str">
        <f aca="false">IFERROR(IF(AND('Titer Calculation'!N179&lt;='Titer Calculation'!$T$4,'Titer Calculation'!N179&gt;'Titer Calculation'!$T$5), 'Titer Calculation'!N179," "), "")</f>
        <v/>
      </c>
      <c r="O342" s="44"/>
      <c r="P342" s="44"/>
      <c r="Q342" s="83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</row>
    <row r="343" customFormat="false" ht="15.75" hidden="false" customHeight="false" outlineLevel="0" collapsed="false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83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</row>
    <row r="344" customFormat="false" ht="21" hidden="false" customHeight="false" outlineLevel="0" collapsed="false">
      <c r="A344" s="44"/>
      <c r="B344" s="34"/>
      <c r="C344" s="44"/>
      <c r="D344" s="44"/>
      <c r="E344" s="114"/>
      <c r="F344" s="114"/>
      <c r="G344" s="44"/>
      <c r="H344" s="115"/>
      <c r="I344" s="44"/>
      <c r="J344" s="58"/>
      <c r="K344" s="44"/>
      <c r="L344" s="44"/>
      <c r="M344" s="44"/>
      <c r="N344" s="44"/>
      <c r="O344" s="44"/>
      <c r="P344" s="44"/>
      <c r="Q344" s="83"/>
      <c r="R344" s="185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</row>
    <row r="345" customFormat="false" ht="15.75" hidden="false" customHeight="false" outlineLevel="0" collapsed="false">
      <c r="A345" s="42" t="s">
        <v>239</v>
      </c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83"/>
      <c r="R345" s="44"/>
      <c r="S345" s="44"/>
      <c r="T345" s="99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99"/>
      <c r="AP345" s="44"/>
      <c r="AQ345" s="44"/>
      <c r="AR345" s="44"/>
    </row>
    <row r="346" customFormat="false" ht="15.75" hidden="false" customHeight="false" outlineLevel="0" collapsed="false">
      <c r="A346" s="44" t="s">
        <v>166</v>
      </c>
      <c r="B346" s="42" t="s">
        <v>226</v>
      </c>
      <c r="C346" s="95" t="n">
        <f aca="false">C335</f>
        <v>1</v>
      </c>
      <c r="D346" s="95" t="n">
        <f aca="false">D335</f>
        <v>2</v>
      </c>
      <c r="E346" s="299" t="n">
        <f aca="false">E335</f>
        <v>3</v>
      </c>
      <c r="F346" s="299" t="n">
        <f aca="false">F335</f>
        <v>4</v>
      </c>
      <c r="G346" s="299" t="n">
        <f aca="false">G335</f>
        <v>5</v>
      </c>
      <c r="H346" s="299" t="n">
        <f aca="false">H335</f>
        <v>6</v>
      </c>
      <c r="I346" s="299" t="n">
        <f aca="false">I335</f>
        <v>7</v>
      </c>
      <c r="J346" s="299" t="n">
        <f aca="false">J335</f>
        <v>8</v>
      </c>
      <c r="K346" s="299" t="n">
        <f aca="false">K335</f>
        <v>9</v>
      </c>
      <c r="L346" s="299" t="n">
        <f aca="false">L335</f>
        <v>10</v>
      </c>
      <c r="M346" s="299" t="n">
        <f aca="false">M335</f>
        <v>11</v>
      </c>
      <c r="N346" s="299" t="n">
        <f aca="false">N335</f>
        <v>12</v>
      </c>
      <c r="O346" s="99"/>
      <c r="P346" s="99"/>
      <c r="Q346" s="191"/>
      <c r="R346" s="99"/>
      <c r="S346" s="99"/>
      <c r="T346" s="120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120"/>
      <c r="AP346" s="44"/>
      <c r="AQ346" s="44"/>
      <c r="AR346" s="44"/>
    </row>
    <row r="347" customFormat="false" ht="15.75" hidden="false" customHeight="false" outlineLevel="0" collapsed="false">
      <c r="A347" s="97" t="s">
        <v>167</v>
      </c>
      <c r="B347" s="97" t="n">
        <f aca="false">'Titer Calculation'!B173</f>
        <v>5</v>
      </c>
      <c r="C347" s="280" t="e">
        <f aca="false">10000*C336*$B336*10</f>
        <v>#VALUE!</v>
      </c>
      <c r="D347" s="280" t="e">
        <f aca="false">10000*D336*$B336*10</f>
        <v>#VALUE!</v>
      </c>
      <c r="E347" s="280" t="e">
        <f aca="false">10000*E336*$B336*10</f>
        <v>#VALUE!</v>
      </c>
      <c r="F347" s="280" t="e">
        <f aca="false">10000*F336*$B336*10</f>
        <v>#VALUE!</v>
      </c>
      <c r="G347" s="280" t="e">
        <f aca="false">10000*G336*$B336*10</f>
        <v>#VALUE!</v>
      </c>
      <c r="H347" s="280" t="e">
        <f aca="false">10000*H336*$B336*10</f>
        <v>#VALUE!</v>
      </c>
      <c r="I347" s="280" t="e">
        <f aca="false">10000*I336*$B336*10</f>
        <v>#VALUE!</v>
      </c>
      <c r="J347" s="280" t="e">
        <f aca="false">10000*J336*$B336*10</f>
        <v>#VALUE!</v>
      </c>
      <c r="K347" s="280" t="e">
        <f aca="false">10000*K336*$B336*10</f>
        <v>#VALUE!</v>
      </c>
      <c r="L347" s="280" t="e">
        <f aca="false">10000*L336*$B336*10</f>
        <v>#VALUE!</v>
      </c>
      <c r="M347" s="280" t="e">
        <f aca="false">10000*M336*$B336*10</f>
        <v>#VALUE!</v>
      </c>
      <c r="N347" s="280" t="e">
        <f aca="false">10000*N336*$B336*10</f>
        <v>#VALUE!</v>
      </c>
      <c r="O347" s="120"/>
      <c r="P347" s="44"/>
      <c r="Q347" s="83"/>
      <c r="R347" s="120"/>
      <c r="S347" s="44"/>
      <c r="T347" s="120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120"/>
      <c r="AP347" s="44"/>
      <c r="AQ347" s="44"/>
      <c r="AR347" s="44"/>
    </row>
    <row r="348" customFormat="false" ht="15.75" hidden="false" customHeight="false" outlineLevel="0" collapsed="false">
      <c r="A348" s="97" t="s">
        <v>168</v>
      </c>
      <c r="B348" s="97" t="n">
        <f aca="false">'Titer Calculation'!B174</f>
        <v>25</v>
      </c>
      <c r="C348" s="280" t="e">
        <f aca="false">10000*C337*$B337*10</f>
        <v>#VALUE!</v>
      </c>
      <c r="D348" s="280" t="e">
        <f aca="false">10000*D337*$B337*10</f>
        <v>#VALUE!</v>
      </c>
      <c r="E348" s="280" t="e">
        <f aca="false">10000*E337*$B337*10</f>
        <v>#VALUE!</v>
      </c>
      <c r="F348" s="280" t="e">
        <f aca="false">10000*F337*$B337*10</f>
        <v>#VALUE!</v>
      </c>
      <c r="G348" s="280" t="e">
        <f aca="false">10000*G337*$B337*10</f>
        <v>#VALUE!</v>
      </c>
      <c r="H348" s="280" t="e">
        <f aca="false">10000*H337*$B337*10</f>
        <v>#VALUE!</v>
      </c>
      <c r="I348" s="280" t="e">
        <f aca="false">10000*I337*$B337*10</f>
        <v>#VALUE!</v>
      </c>
      <c r="J348" s="280" t="e">
        <f aca="false">10000*J337*$B337*10</f>
        <v>#VALUE!</v>
      </c>
      <c r="K348" s="280" t="e">
        <f aca="false">10000*K337*$B337*10</f>
        <v>#VALUE!</v>
      </c>
      <c r="L348" s="280" t="e">
        <f aca="false">10000*L337*$B337*10</f>
        <v>#VALUE!</v>
      </c>
      <c r="M348" s="280" t="e">
        <f aca="false">10000*M337*$B337*10</f>
        <v>#VALUE!</v>
      </c>
      <c r="N348" s="280" t="e">
        <f aca="false">10000*N337*$B337*10</f>
        <v>#VALUE!</v>
      </c>
      <c r="O348" s="120"/>
      <c r="P348" s="44"/>
      <c r="Q348" s="83"/>
      <c r="R348" s="120"/>
      <c r="S348" s="44"/>
      <c r="T348" s="120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120"/>
      <c r="AP348" s="44"/>
      <c r="AQ348" s="44"/>
      <c r="AR348" s="44"/>
    </row>
    <row r="349" customFormat="false" ht="15.75" hidden="false" customHeight="false" outlineLevel="0" collapsed="false">
      <c r="A349" s="97" t="s">
        <v>169</v>
      </c>
      <c r="B349" s="97" t="n">
        <f aca="false">'Titer Calculation'!B175</f>
        <v>125</v>
      </c>
      <c r="C349" s="280" t="e">
        <f aca="false">10000*C338*$B338*10</f>
        <v>#VALUE!</v>
      </c>
      <c r="D349" s="280" t="e">
        <f aca="false">10000*D338*$B338*10</f>
        <v>#VALUE!</v>
      </c>
      <c r="E349" s="280" t="e">
        <f aca="false">10000*E338*$B338*10</f>
        <v>#VALUE!</v>
      </c>
      <c r="F349" s="280" t="e">
        <f aca="false">10000*F338*$B338*10</f>
        <v>#VALUE!</v>
      </c>
      <c r="G349" s="280" t="e">
        <f aca="false">10000*G338*$B338*10</f>
        <v>#VALUE!</v>
      </c>
      <c r="H349" s="280" t="e">
        <f aca="false">10000*H338*$B338*10</f>
        <v>#VALUE!</v>
      </c>
      <c r="I349" s="280" t="e">
        <f aca="false">10000*I338*$B338*10</f>
        <v>#VALUE!</v>
      </c>
      <c r="J349" s="280" t="e">
        <f aca="false">10000*J338*$B338*10</f>
        <v>#VALUE!</v>
      </c>
      <c r="K349" s="280" t="e">
        <f aca="false">10000*K338*$B338*10</f>
        <v>#VALUE!</v>
      </c>
      <c r="L349" s="280" t="e">
        <f aca="false">10000*L338*$B338*10</f>
        <v>#VALUE!</v>
      </c>
      <c r="M349" s="280" t="e">
        <f aca="false">10000*M338*$B338*10</f>
        <v>#VALUE!</v>
      </c>
      <c r="N349" s="280" t="e">
        <f aca="false">10000*N338*$B338*10</f>
        <v>#VALUE!</v>
      </c>
      <c r="O349" s="120"/>
      <c r="P349" s="44"/>
      <c r="Q349" s="83"/>
      <c r="R349" s="120"/>
      <c r="S349" s="44"/>
      <c r="T349" s="120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120"/>
      <c r="AP349" s="44"/>
      <c r="AQ349" s="44"/>
      <c r="AR349" s="44"/>
    </row>
    <row r="350" customFormat="false" ht="15.75" hidden="false" customHeight="false" outlineLevel="0" collapsed="false">
      <c r="A350" s="97" t="s">
        <v>170</v>
      </c>
      <c r="B350" s="97" t="n">
        <f aca="false">'Titer Calculation'!B176</f>
        <v>625</v>
      </c>
      <c r="C350" s="280" t="e">
        <f aca="false">10000*C339*$B339*10</f>
        <v>#VALUE!</v>
      </c>
      <c r="D350" s="280" t="e">
        <f aca="false">10000*D339*$B339*10</f>
        <v>#VALUE!</v>
      </c>
      <c r="E350" s="280" t="e">
        <f aca="false">10000*E339*$B339*10</f>
        <v>#VALUE!</v>
      </c>
      <c r="F350" s="280" t="e">
        <f aca="false">10000*F339*$B339*10</f>
        <v>#VALUE!</v>
      </c>
      <c r="G350" s="280" t="e">
        <f aca="false">10000*G339*$B339*10</f>
        <v>#VALUE!</v>
      </c>
      <c r="H350" s="280" t="e">
        <f aca="false">10000*H339*$B339*10</f>
        <v>#VALUE!</v>
      </c>
      <c r="I350" s="280" t="e">
        <f aca="false">10000*I339*$B339*10</f>
        <v>#VALUE!</v>
      </c>
      <c r="J350" s="280" t="e">
        <f aca="false">10000*J339*$B339*10</f>
        <v>#VALUE!</v>
      </c>
      <c r="K350" s="280" t="e">
        <f aca="false">10000*K339*$B339*10</f>
        <v>#VALUE!</v>
      </c>
      <c r="L350" s="280" t="e">
        <f aca="false">10000*L339*$B339*10</f>
        <v>#VALUE!</v>
      </c>
      <c r="M350" s="280" t="e">
        <f aca="false">10000*M339*$B339*10</f>
        <v>#VALUE!</v>
      </c>
      <c r="N350" s="280" t="e">
        <f aca="false">10000*N339*$B339*10</f>
        <v>#VALUE!</v>
      </c>
      <c r="O350" s="120"/>
      <c r="P350" s="44"/>
      <c r="Q350" s="83"/>
      <c r="R350" s="44"/>
      <c r="S350" s="120"/>
      <c r="T350" s="120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120"/>
      <c r="AP350" s="44"/>
      <c r="AQ350" s="44"/>
      <c r="AR350" s="44"/>
    </row>
    <row r="351" customFormat="false" ht="15.75" hidden="false" customHeight="false" outlineLevel="0" collapsed="false">
      <c r="A351" s="97" t="s">
        <v>171</v>
      </c>
      <c r="B351" s="97" t="n">
        <f aca="false">'Titer Calculation'!B177</f>
        <v>3125</v>
      </c>
      <c r="C351" s="280" t="e">
        <f aca="false">10000*C340*$B340*10</f>
        <v>#VALUE!</v>
      </c>
      <c r="D351" s="280" t="e">
        <f aca="false">10000*D340*$B340*10</f>
        <v>#VALUE!</v>
      </c>
      <c r="E351" s="280" t="e">
        <f aca="false">10000*E340*$B340*10</f>
        <v>#VALUE!</v>
      </c>
      <c r="F351" s="280" t="e">
        <f aca="false">10000*F340*$B340*10</f>
        <v>#VALUE!</v>
      </c>
      <c r="G351" s="280" t="e">
        <f aca="false">10000*G340*$B340*10</f>
        <v>#VALUE!</v>
      </c>
      <c r="H351" s="280" t="e">
        <f aca="false">10000*H340*$B340*10</f>
        <v>#VALUE!</v>
      </c>
      <c r="I351" s="280" t="e">
        <f aca="false">10000*I340*$B340*10</f>
        <v>#VALUE!</v>
      </c>
      <c r="J351" s="280" t="e">
        <f aca="false">10000*J340*$B340*10</f>
        <v>#VALUE!</v>
      </c>
      <c r="K351" s="280" t="e">
        <f aca="false">10000*K340*$B340*10</f>
        <v>#VALUE!</v>
      </c>
      <c r="L351" s="280" t="e">
        <f aca="false">10000*L340*$B340*10</f>
        <v>#VALUE!</v>
      </c>
      <c r="M351" s="280" t="e">
        <f aca="false">10000*M340*$B340*10</f>
        <v>#VALUE!</v>
      </c>
      <c r="N351" s="280" t="e">
        <f aca="false">10000*N340*$B340*10</f>
        <v>#VALUE!</v>
      </c>
      <c r="O351" s="120"/>
      <c r="P351" s="44"/>
      <c r="Q351" s="83"/>
      <c r="R351" s="44"/>
      <c r="S351" s="44"/>
      <c r="T351" s="120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120"/>
      <c r="AP351" s="44"/>
      <c r="AQ351" s="44"/>
      <c r="AR351" s="44"/>
    </row>
    <row r="352" customFormat="false" ht="15.75" hidden="false" customHeight="false" outlineLevel="0" collapsed="false">
      <c r="A352" s="97" t="s">
        <v>172</v>
      </c>
      <c r="B352" s="97" t="n">
        <f aca="false">'Titer Calculation'!B178</f>
        <v>15625</v>
      </c>
      <c r="C352" s="280" t="e">
        <f aca="false">10000*C341*$B341*10</f>
        <v>#VALUE!</v>
      </c>
      <c r="D352" s="280" t="e">
        <f aca="false">10000*D341*$B341*10</f>
        <v>#VALUE!</v>
      </c>
      <c r="E352" s="280" t="e">
        <f aca="false">10000*E341*$B341*10</f>
        <v>#VALUE!</v>
      </c>
      <c r="F352" s="280" t="e">
        <f aca="false">10000*F341*$B341*10</f>
        <v>#VALUE!</v>
      </c>
      <c r="G352" s="280" t="e">
        <f aca="false">10000*G341*$B341*10</f>
        <v>#VALUE!</v>
      </c>
      <c r="H352" s="280" t="e">
        <f aca="false">10000*H341*$B341*10</f>
        <v>#VALUE!</v>
      </c>
      <c r="I352" s="280" t="e">
        <f aca="false">10000*I341*$B341*10</f>
        <v>#VALUE!</v>
      </c>
      <c r="J352" s="280" t="e">
        <f aca="false">10000*J341*$B341*10</f>
        <v>#VALUE!</v>
      </c>
      <c r="K352" s="280" t="e">
        <f aca="false">10000*K341*$B341*10</f>
        <v>#VALUE!</v>
      </c>
      <c r="L352" s="280" t="e">
        <f aca="false">10000*L341*$B341*10</f>
        <v>#VALUE!</v>
      </c>
      <c r="M352" s="280" t="e">
        <f aca="false">10000*M341*$B341*10</f>
        <v>#VALUE!</v>
      </c>
      <c r="N352" s="280" t="e">
        <f aca="false">10000*N341*$B341*10</f>
        <v>#VALUE!</v>
      </c>
      <c r="O352" s="120"/>
      <c r="P352" s="44"/>
      <c r="Q352" s="83"/>
      <c r="R352" s="120"/>
      <c r="S352" s="44"/>
      <c r="T352" s="120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120"/>
      <c r="AP352" s="44"/>
      <c r="AQ352" s="44"/>
      <c r="AR352" s="44"/>
    </row>
    <row r="353" customFormat="false" ht="15.75" hidden="false" customHeight="false" outlineLevel="0" collapsed="false">
      <c r="A353" s="97" t="s">
        <v>173</v>
      </c>
      <c r="B353" s="97" t="n">
        <f aca="false">'Titer Calculation'!B179</f>
        <v>78125</v>
      </c>
      <c r="C353" s="280" t="e">
        <f aca="false">10000*C342*$B342*10</f>
        <v>#VALUE!</v>
      </c>
      <c r="D353" s="280" t="e">
        <f aca="false">10000*D342*$B342*10</f>
        <v>#VALUE!</v>
      </c>
      <c r="E353" s="280" t="e">
        <f aca="false">10000*E342*$B342*10</f>
        <v>#VALUE!</v>
      </c>
      <c r="F353" s="280" t="e">
        <f aca="false">10000*F342*$B342*10</f>
        <v>#VALUE!</v>
      </c>
      <c r="G353" s="280" t="e">
        <f aca="false">10000*G342*$B342*10</f>
        <v>#VALUE!</v>
      </c>
      <c r="H353" s="280" t="e">
        <f aca="false">10000*H342*$B342*10</f>
        <v>#VALUE!</v>
      </c>
      <c r="I353" s="280" t="e">
        <f aca="false">10000*I342*$B342*10</f>
        <v>#VALUE!</v>
      </c>
      <c r="J353" s="280" t="e">
        <f aca="false">10000*J342*$B342*10</f>
        <v>#VALUE!</v>
      </c>
      <c r="K353" s="280" t="e">
        <f aca="false">10000*K342*$B342*10</f>
        <v>#VALUE!</v>
      </c>
      <c r="L353" s="280" t="e">
        <f aca="false">10000*L342*$B342*10</f>
        <v>#VALUE!</v>
      </c>
      <c r="M353" s="280" t="e">
        <f aca="false">10000*M342*$B342*10</f>
        <v>#VALUE!</v>
      </c>
      <c r="N353" s="280" t="e">
        <f aca="false">10000*N342*$B342*10</f>
        <v>#VALUE!</v>
      </c>
      <c r="O353" s="211" t="s">
        <v>272</v>
      </c>
      <c r="P353" s="44"/>
      <c r="Q353" s="83"/>
      <c r="R353" s="212"/>
      <c r="S353" s="44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75"/>
      <c r="AP353" s="44"/>
      <c r="AQ353" s="44"/>
      <c r="AR353" s="44"/>
    </row>
    <row r="354" customFormat="false" ht="15.75" hidden="false" customHeight="false" outlineLevel="0" collapsed="false">
      <c r="A354" s="42"/>
      <c r="B354" s="42"/>
      <c r="C354" s="217"/>
      <c r="D354" s="217"/>
      <c r="E354" s="217"/>
      <c r="F354" s="217"/>
      <c r="G354" s="217"/>
      <c r="H354" s="217"/>
      <c r="I354" s="217"/>
      <c r="J354" s="217"/>
      <c r="K354" s="217"/>
      <c r="L354" s="217"/>
      <c r="M354" s="217"/>
      <c r="N354" s="217"/>
      <c r="O354" s="211"/>
      <c r="P354" s="44"/>
      <c r="Q354" s="83"/>
      <c r="R354" s="212"/>
      <c r="S354" s="44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75"/>
      <c r="AP354" s="44"/>
      <c r="AQ354" s="44"/>
      <c r="AR354" s="44"/>
    </row>
    <row r="355" customFormat="false" ht="15.75" hidden="false" customHeight="false" outlineLevel="0" collapsed="false">
      <c r="A355" s="213" t="s">
        <v>277</v>
      </c>
      <c r="B355" s="213"/>
      <c r="C355" s="214" t="e">
        <f aca="false" t="array" ref="C355:C355">_xlfn.IFS(AND(COUNT(C$336:C$342)&gt;=7,S$487&lt;'Titer Calculation'!$T$12),C$487,AND(COUNT(C$336:C$342)&gt;=6,MIN(S$480:S$486)&lt;'Titer Calculation'!$T$12),_xlfn.xlookup(MIN(S$480:S$486),S$480:S$486, C$480:C$486),AND(COUNT(C$336:C$342)&gt;=5,MIN(S$459:S$479)&lt;'Titer Calculation'!$T$12),_xlfn.xlookup(MIN(S$459:S$479), S$459:S$479, C$459:$C$479),AND(COUNT(C$336:C$342)&gt;=4,MIN(S$424:S$458)&lt;'Titer Calculation'!$T$12),_xlfn.xlookup(MIN(S$424:S$458), S$424:S$458, C$424:C$458),AND(COUNT(C$336:C$342)&gt;=3,MIN(S$389:S$423)&lt;'Titer Calculation'!$T$12),_xlfn.xlookup(MIN(S$389:S$423), S$389:S$423, C$389:C$423),AND(COUNT(C$336:C$342)&gt;=2,MIN(S$368:S$388)&lt;'Titer Calculation'!$T$12),_xlfn.xlookup(MIN(S$368:S$388), S$368:S$388, C$368:C$388), TRUE(), _xlfn.xlookup(MIN(S$368:S$487), S$368:S$487, C$368:C$487))</f>
        <v>#NAME?</v>
      </c>
      <c r="D355" s="214" t="e">
        <f aca="false" t="array" ref="D355:D355">_xlfn.IFS(AND(COUNT(D$336:D$342)&gt;=7,T$487&lt;'Titer Calculation'!$T$12),D$487,AND(COUNT(D$336:D$342)&gt;=6,MIN(T$480:T$486)&lt;'Titer Calculation'!$T$12),_xlfn.xlookup(MIN(T$480:T$486),T$480:T$486, D$480:D$486),AND(COUNT(D$336:D$342)&gt;=5,MIN(T$459:T$479)&lt;'Titer Calculation'!$T$12),_xlfn.xlookup(MIN(T$459:T$479), T$459:T$479, $C$459:D$479),AND(COUNT(D$336:D$342)&gt;=4,MIN(T$424:T$458)&lt;'Titer Calculation'!$T$12),_xlfn.xlookup(MIN(T$424:T$458), T$424:T$458, D$424:D$458),AND(COUNT(D$336:D$342)&gt;=3,MIN(T$389:T$423)&lt;'Titer Calculation'!$T$12),_xlfn.xlookup(MIN(T$389:T$423), T$389:T$423, D$389:D$423),AND(COUNT(D$336:D$342)&gt;=2,MIN(T$368:T$388)&lt;'Titer Calculation'!$T$12),_xlfn.xlookup(MIN(T$368:T$388), T$368:T$388, D$368:D$388), TRUE(), _xlfn.xlookup(MIN(T$368:T$487), T$368:T$487, D$368:D$487))</f>
        <v>#NAME?</v>
      </c>
      <c r="E355" s="214" t="e">
        <f aca="false" t="array" ref="E355:E355">_xlfn.IFS(AND(COUNT(E$336:E$342)&gt;=7,U$487&lt;'Titer Calculation'!$T$12),E$487,AND(COUNT(E$336:E$342)&gt;=6,MIN(U$480:U$486)&lt;'Titer Calculation'!$T$12),_xlfn.xlookup(MIN(U$480:U$486),U$480:U$486, E$480:E$486),AND(COUNT(E$336:E$342)&gt;=5,MIN(U$459:U$479)&lt;'Titer Calculation'!$T$12),_xlfn.xlookup(MIN(U$459:U$479), U$459:U$479, $C$459:E$479),AND(COUNT(E$336:E$342)&gt;=4,MIN(U$424:U$458)&lt;'Titer Calculation'!$T$12),_xlfn.xlookup(MIN(U$424:U$458), U$424:U$458, E$424:E$458),AND(COUNT(E$336:E$342)&gt;=3,MIN(U$389:U$423)&lt;'Titer Calculation'!$T$12),_xlfn.xlookup(MIN(U$389:U$423), U$389:U$423, E$389:E$423),AND(COUNT(E$336:E$342)&gt;=2,MIN(U$368:U$388)&lt;'Titer Calculation'!$T$12),_xlfn.xlookup(MIN(U$368:U$388), U$368:U$388, E$368:E$388), TRUE(), _xlfn.xlookup(MIN(U$368:U$487), U$368:U$487, E$368:E$487))</f>
        <v>#NAME?</v>
      </c>
      <c r="F355" s="214" t="e">
        <f aca="false" t="array" ref="F355:F355">_xlfn.IFS(AND(COUNT(F$336:F$342)&gt;=7,V$487&lt;'Titer Calculation'!$T$12),F$487,AND(COUNT(F$336:F$342)&gt;=6,MIN(V$480:V$486)&lt;'Titer Calculation'!$T$12),_xlfn.xlookup(MIN(V$480:V$486),V$480:V$486, F$480:F$486),AND(COUNT(F$336:F$342)&gt;=5,MIN(V$459:V$479)&lt;'Titer Calculation'!$T$12),_xlfn.xlookup(MIN(V$459:V$479), V$459:V$479, $C$459:F$479),AND(COUNT(F$336:F$342)&gt;=4,MIN(V$424:V$458)&lt;'Titer Calculation'!$T$12),_xlfn.xlookup(MIN(V$424:V$458), V$424:V$458, F$424:F$458),AND(COUNT(F$336:F$342)&gt;=3,MIN(V$389:V$423)&lt;'Titer Calculation'!$T$12),_xlfn.xlookup(MIN(V$389:V$423), V$389:V$423, F$389:F$423),AND(COUNT(F$336:F$342)&gt;=2,MIN(V$368:V$388)&lt;'Titer Calculation'!$T$12),_xlfn.xlookup(MIN(V$368:V$388), V$368:V$388, F$368:F$388), TRUE(), _xlfn.xlookup(MIN(V$368:V$487), V$368:V$487, F$368:F$487))</f>
        <v>#NAME?</v>
      </c>
      <c r="G355" s="214" t="e">
        <f aca="false" t="array" ref="G355:G355">_xlfn.IFS(AND(COUNT(G$336:G$342)&gt;=7,W$487&lt;'Titer Calculation'!$T$12),G$487,AND(COUNT(G$336:G$342)&gt;=6,MIN(W$480:W$486)&lt;'Titer Calculation'!$T$12),_xlfn.xlookup(MIN(W$480:W$486),W$480:W$486, G$480:G$486),AND(COUNT(G$336:G$342)&gt;=5,MIN(W$459:W$479)&lt;'Titer Calculation'!$T$12),_xlfn.xlookup(MIN(W$459:W$479), W$459:W$479, $C$459:G$479),AND(COUNT(G$336:G$342)&gt;=4,MIN(W$424:W$458)&lt;'Titer Calculation'!$T$12),_xlfn.xlookup(MIN(W$424:W$458), W$424:W$458, G$424:G$458),AND(COUNT(G$336:G$342)&gt;=3,MIN(W$389:W$423)&lt;'Titer Calculation'!$T$12),_xlfn.xlookup(MIN(W$389:W$423), W$389:W$423, G$389:G$423),AND(COUNT(G$336:G$342)&gt;=2,MIN(W$368:W$388)&lt;'Titer Calculation'!$T$12),_xlfn.xlookup(MIN(W$368:W$388), W$368:W$388, G$368:G$388), TRUE(), _xlfn.xlookup(MIN(W$368:W$487), W$368:W$487, G$368:G$487))</f>
        <v>#NAME?</v>
      </c>
      <c r="H355" s="214" t="e">
        <f aca="false" t="array" ref="H355:H355">_xlfn.IFS(AND(COUNT(H$336:H$342)&gt;=7,X$487&lt;'Titer Calculation'!$T$12),H$487,AND(COUNT(H$336:H$342)&gt;=6,MIN(X$480:X$486)&lt;'Titer Calculation'!$T$12),_xlfn.xlookup(MIN(X$480:X$486),X$480:X$486, H$480:H$486),AND(COUNT(H$336:H$342)&gt;=5,MIN(X$459:X$479)&lt;'Titer Calculation'!$T$12),_xlfn.xlookup(MIN(X$459:X$479), X$459:X$479, $C$459:H$479),AND(COUNT(H$336:H$342)&gt;=4,MIN(X$424:X$458)&lt;'Titer Calculation'!$T$12),_xlfn.xlookup(MIN(X$424:X$458), X$424:X$458, H$424:H$458),AND(COUNT(H$336:H$342)&gt;=3,MIN(X$389:X$423)&lt;'Titer Calculation'!$T$12),_xlfn.xlookup(MIN(X$389:X$423), X$389:X$423, H$389:H$423),AND(COUNT(H$336:H$342)&gt;=2,MIN(X$368:X$388)&lt;'Titer Calculation'!$T$12),_xlfn.xlookup(MIN(X$368:X$388), X$368:X$388, H$368:H$388), TRUE(), _xlfn.xlookup(MIN(X$368:X$487), X$368:X$487, H$368:H$487))</f>
        <v>#NAME?</v>
      </c>
      <c r="I355" s="214" t="e">
        <f aca="false" t="array" ref="I355:I355">_xlfn.IFS(AND(COUNT(I$336:I$342)&gt;=7,Y$487&lt;'Titer Calculation'!$T$12),I$487,AND(COUNT(I$336:I$342)&gt;=6,MIN(Y$480:Y$486)&lt;'Titer Calculation'!$T$12),_xlfn.xlookup(MIN(Y$480:Y$486),Y$480:Y$486, I$480:I$486),AND(COUNT(I$336:I$342)&gt;=5,MIN(Y$459:Y$479)&lt;'Titer Calculation'!$T$12),_xlfn.xlookup(MIN(Y$459:Y$479), Y$459:Y$479, $C$459:I$479),AND(COUNT(I$336:I$342)&gt;=4,MIN(Y$424:Y$458)&lt;'Titer Calculation'!$T$12),_xlfn.xlookup(MIN(Y$424:Y$458), Y$424:Y$458, I$424:I$458),AND(COUNT(I$336:I$342)&gt;=3,MIN(Y$389:Y$423)&lt;'Titer Calculation'!$T$12),_xlfn.xlookup(MIN(Y$389:Y$423), Y$389:Y$423, I$389:I$423),AND(COUNT(I$336:I$342)&gt;=2,MIN(Y$368:Y$388)&lt;'Titer Calculation'!$T$12),_xlfn.xlookup(MIN(Y$368:Y$388), Y$368:Y$388, I$368:I$388), TRUE(), _xlfn.xlookup(MIN(Y$368:Y$487), Y$368:Y$487, I$368:I$487))</f>
        <v>#NAME?</v>
      </c>
      <c r="J355" s="214" t="e">
        <f aca="false" t="array" ref="J355:J355">_xlfn.IFS(AND(COUNT(J$336:J$342)&gt;=7,Z$487&lt;'Titer Calculation'!$T$12),J$487,AND(COUNT(J$336:J$342)&gt;=6,MIN(Z$480:Z$486)&lt;'Titer Calculation'!$T$12),_xlfn.xlookup(MIN(Z$480:Z$486),Z$480:Z$486, J$480:J$486),AND(COUNT(J$336:J$342)&gt;=5,MIN(Z$459:Z$479)&lt;'Titer Calculation'!$T$12),_xlfn.xlookup(MIN(Z$459:Z$479), Z$459:Z$479, $C$459:J$479),AND(COUNT(J$336:J$342)&gt;=4,MIN(Z$424:Z$458)&lt;'Titer Calculation'!$T$12),_xlfn.xlookup(MIN(Z$424:Z$458), Z$424:Z$458, J$424:J$458),AND(COUNT(J$336:J$342)&gt;=3,MIN(Z$389:Z$423)&lt;'Titer Calculation'!$T$12),_xlfn.xlookup(MIN(Z$389:Z$423), Z$389:Z$423, J$389:J$423),AND(COUNT(J$336:J$342)&gt;=2,MIN(Z$368:Z$388)&lt;'Titer Calculation'!$T$12),_xlfn.xlookup(MIN(Z$368:Z$388), Z$368:Z$388, J$368:J$388), TRUE(), _xlfn.xlookup(MIN(Z$368:Z$487), Z$368:Z$487, J$368:J$487))</f>
        <v>#NAME?</v>
      </c>
      <c r="K355" s="214" t="e">
        <f aca="false" t="array" ref="K355:K355">_xlfn.IFS(AND(COUNT(K$336:K$342)&gt;=7,AA$487&lt;'Titer Calculation'!$T$12),K$487,AND(COUNT(K$336:K$342)&gt;=6,MIN(AA$480:AA$486)&lt;'Titer Calculation'!$T$12),_xlfn.xlookup(MIN(AA$480:AA$486),AA$480:AA$486, K$480:K$486),AND(COUNT(K$336:K$342)&gt;=5,MIN(AA$459:AA$479)&lt;'Titer Calculation'!$T$12),_xlfn.xlookup(MIN(AA$459:AA$479), AA$459:AA$479, $C$459:K$479),AND(COUNT(K$336:K$342)&gt;=4,MIN(AA$424:AA$458)&lt;'Titer Calculation'!$T$12),_xlfn.xlookup(MIN(AA$424:AA$458), AA$424:AA$458, K$424:K$458),AND(COUNT(K$336:K$342)&gt;=3,MIN(AA$389:AA$423)&lt;'Titer Calculation'!$T$12),_xlfn.xlookup(MIN(AA$389:AA$423), AA$389:AA$423, K$389:K$423),AND(COUNT(K$336:K$342)&gt;=2,MIN(AA$368:AA$388)&lt;'Titer Calculation'!$T$12),_xlfn.xlookup(MIN(AA$368:AA$388), AA$368:AA$388, K$368:K$388), TRUE(), _xlfn.xlookup(MIN(AA$368:AA$487), AA$368:AA$487, K$368:K$487))</f>
        <v>#NAME?</v>
      </c>
      <c r="L355" s="214" t="e">
        <f aca="false" t="array" ref="L355:L355">_xlfn.IFS(AND(COUNT(L$336:L$342)&gt;=7,AB$487&lt;'Titer Calculation'!$T$12),L$487,AND(COUNT(L$336:L$342)&gt;=6,MIN(AB$480:AB$486)&lt;'Titer Calculation'!$T$12),_xlfn.xlookup(MIN(AB$480:AB$486),AB$480:AB$486, L$480:L$486),AND(COUNT(L$336:L$342)&gt;=5,MIN(AB$459:AB$479)&lt;'Titer Calculation'!$T$12),_xlfn.xlookup(MIN(AB$459:AB$479), AB$459:AB$479, $C$459:L$479),AND(COUNT(L$336:L$342)&gt;=4,MIN(AB$424:AB$458)&lt;'Titer Calculation'!$T$12),_xlfn.xlookup(MIN(AB$424:AB$458), AB$424:AB$458, L$424:L$458),AND(COUNT(L$336:L$342)&gt;=3,MIN(AB$389:AB$423)&lt;'Titer Calculation'!$T$12),_xlfn.xlookup(MIN(AB$389:AB$423), AB$389:AB$423, L$389:L$423),AND(COUNT(L$336:L$342)&gt;=2,MIN(AB$368:AB$388)&lt;'Titer Calculation'!$T$12),_xlfn.xlookup(MIN(AB$368:AB$388), AB$368:AB$388, L$368:L$388), TRUE(), _xlfn.xlookup(MIN(AB$368:AB$487), AB$368:AB$487, L$368:L$487))</f>
        <v>#NAME?</v>
      </c>
      <c r="M355" s="214" t="e">
        <f aca="false" t="array" ref="M355:M355">_xlfn.IFS(AND(COUNT(M$336:M$342)&gt;=7,AC$487&lt;'Titer Calculation'!$T$12),M$487,AND(COUNT(M$336:M$342)&gt;=6,MIN(AC$480:AC$486)&lt;'Titer Calculation'!$T$12),_xlfn.xlookup(MIN(AC$480:AC$486),AC$480:AC$486, M$480:M$486),AND(COUNT(M$336:M$342)&gt;=5,MIN(AC$459:AC$479)&lt;'Titer Calculation'!$T$12),_xlfn.xlookup(MIN(AC$459:AC$479), AC$459:AC$479, $C$459:M$479),AND(COUNT(M$336:M$342)&gt;=4,MIN(AC$424:AC$458)&lt;'Titer Calculation'!$T$12),_xlfn.xlookup(MIN(AC$424:AC$458), AC$424:AC$458, M$424:M$458),AND(COUNT(M$336:M$342)&gt;=3,MIN(AC$389:AC$423)&lt;'Titer Calculation'!$T$12),_xlfn.xlookup(MIN(AC$389:AC$423), AC$389:AC$423, M$389:M$423),AND(COUNT(M$336:M$342)&gt;=2,MIN(AC$368:AC$388)&lt;'Titer Calculation'!$T$12),_xlfn.xlookup(MIN(AC$368:AC$388), AC$368:AC$388, M$368:M$388), TRUE(), _xlfn.xlookup(MIN(AC$368:AC$487), AC$368:AC$487, M$368:M$487))</f>
        <v>#NAME?</v>
      </c>
      <c r="N355" s="214" t="e">
        <f aca="false" t="array" ref="N355:N355">_xlfn.IFS(AND(COUNT(N$336:N$342)&gt;=7,AD$487&lt;'Titer Calculation'!$T$12),N$487,AND(COUNT(N$336:N$342)&gt;=6,MIN(AD$480:AD$486)&lt;'Titer Calculation'!$T$12),_xlfn.xlookup(MIN(AD$480:AD$486),AD$480:AD$486, N$480:N$486),AND(COUNT(N$336:N$342)&gt;=5,MIN(AD$459:AD$479)&lt;'Titer Calculation'!$T$12),_xlfn.xlookup(MIN(AD$459:AD$479), AD$459:AD$479, $C$459:N$479),AND(COUNT(N$336:N$342)&gt;=4,MIN(AD$424:AD$458)&lt;'Titer Calculation'!$T$12),_xlfn.xlookup(MIN(AD$424:AD$458), AD$424:AD$458, N$424:N$458),AND(COUNT(N$336:N$342)&gt;=3,MIN(AD$389:AD$423)&lt;'Titer Calculation'!$T$12),_xlfn.xlookup(MIN(AD$389:AD$423), AD$389:AD$423, N$389:N$423),AND(COUNT(N$336:N$342)&gt;=2,MIN(AD$368:AD$388)&lt;'Titer Calculation'!$T$12),_xlfn.xlookup(MIN(AD$368:AD$388), AD$368:AD$388, N$368:N$388), TRUE(), _xlfn.xlookup(MIN(AD$368:AD$487), AD$368:AD$487, N$368:N$487))</f>
        <v>#NAME?</v>
      </c>
      <c r="O355" s="211"/>
      <c r="P355" s="44"/>
      <c r="Q355" s="83"/>
      <c r="R355" s="212"/>
      <c r="S355" s="44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75"/>
      <c r="AP355" s="44"/>
      <c r="AQ355" s="44"/>
      <c r="AR355" s="44"/>
    </row>
    <row r="356" customFormat="false" ht="15.75" hidden="false" customHeight="false" outlineLevel="0" collapsed="false">
      <c r="A356" s="213" t="s">
        <v>278</v>
      </c>
      <c r="B356" s="213"/>
      <c r="C356" s="215" t="e">
        <f aca="false" t="array" ref="C356:C356">REPLACE(_xlfn.IFS(AND(COUNT(C$336:C$342)&gt;=7,S$487&lt;'Titer Calculation'!$T$12),$A$487,AND(COUNT(C$336:C$342)&gt;=6,MIN(S$480:S$486)&lt;'Titer Calculation'!$T$12),_xlfn.xlookup(MIN(S$480:S$486),S$480:S$486, $A$480:$A$486),AND(COUNT(C$336:C$342)&gt;=5,MIN(S$459:S$479)&lt;'Titer Calculation'!$T$12),_xlfn.xlookup(MIN(S$459:S$479), S$459:S$479, $A$459:$A$479),AND(COUNT(C$336:C$342)&gt;=4,MIN(S$424:S$458)&lt;'Titer Calculation'!$T$12),_xlfn.xlookup(MIN(S$424:S$458), S$424:S$458, $A$424:$A$458),AND(COUNT(C$336:C$342)&gt;=3,MIN(S$389:S$423)&lt;'Titer Calculation'!$T$12),_xlfn.xlookup(MIN(S$389:S$423), S$389:S$423, $A$389:$A$423),AND(COUNT(C$336:C$342)&gt;=2,MIN(S$368:S$388)&lt;'Titer Calculation'!$T$12),_xlfn.xlookup(MIN(S$368:S$388), S$368:S$388, $A$368:$A$388), TRUE(), _xlfn.xlookup(MIN(S$368:S$487),S$368:S$487, $A$368:$A$487)), 1, 8,)</f>
        <v>#NAME?</v>
      </c>
      <c r="D356" s="215" t="e">
        <f aca="false" t="array" ref="D356:D356">REPLACE(_xlfn.IFS(AND(COUNT(D$336:D$342)&gt;=7,T$487&lt;'Titer Calculation'!$T$12),$A$487,AND(COUNT(D$336:D$342)&gt;=6,MIN(T$480:T$486)&lt;'Titer Calculation'!$T$12),_xlfn.xlookup(MIN(T$480:T$486),T$480:T$486, $A$480:$A$486),AND(COUNT(D$336:D$342)&gt;=5,MIN(T$459:T$479)&lt;'Titer Calculation'!$T$12),_xlfn.xlookup(MIN(T$459:T$479), T$459:T$479, $A$459:$A$479),AND(COUNT(D$336:D$342)&gt;=4,MIN(T$424:T$458)&lt;'Titer Calculation'!$T$12),_xlfn.xlookup(MIN(T$424:T$458), T$424:T$458, $A$424:$A$458),AND(COUNT(D$336:D$342)&gt;=3,MIN(T$389:T$423)&lt;'Titer Calculation'!$T$12),_xlfn.xlookup(MIN(T$389:T$423), T$389:T$423, $A$389:$A$423),AND(COUNT(D$336:D$342)&gt;=2,MIN(T$368:T$388)&lt;'Titer Calculation'!$T$12),_xlfn.xlookup(MIN(T$368:T$388), T$368:T$388, $A$368:$A$388), TRUE(), _xlfn.xlookup(MIN(T$368:T$487),T$368:T$487, $A$368:$A$487)), 1, 8,)</f>
        <v>#NAME?</v>
      </c>
      <c r="E356" s="215" t="e">
        <f aca="false" t="array" ref="E356:E356">REPLACE(_xlfn.IFS(AND(COUNT(E$336:E$342)&gt;=7,U$487&lt;'Titer Calculation'!$T$12),$A$487,AND(COUNT(E$336:E$342)&gt;=6,MIN(U$480:U$486)&lt;'Titer Calculation'!$T$12),_xlfn.xlookup(MIN(U$480:U$486),U$480:U$486, $A$480:$A$486),AND(COUNT(E$336:E$342)&gt;=5,MIN(U$459:U$479)&lt;'Titer Calculation'!$T$12),_xlfn.xlookup(MIN(U$459:U$479), U$459:U$479, $A$459:$A$479),AND(COUNT(E$336:E$342)&gt;=4,MIN(U$424:U$458)&lt;'Titer Calculation'!$T$12),_xlfn.xlookup(MIN(U$424:U$458), U$424:U$458, $A$424:$A$458),AND(COUNT(E$336:E$342)&gt;=3,MIN(U$389:U$423)&lt;'Titer Calculation'!$T$12),_xlfn.xlookup(MIN(U$389:U$423), U$389:U$423, $A$389:$A$423),AND(COUNT(E$336:E$342)&gt;=2,MIN(U$368:U$388)&lt;'Titer Calculation'!$T$12),_xlfn.xlookup(MIN(U$368:U$388), U$368:U$388, $A$368:$A$388), TRUE(), _xlfn.xlookup(MIN(U$368:U$487),U$368:U$487, $A$368:$A$487)), 1, 8,)</f>
        <v>#NAME?</v>
      </c>
      <c r="F356" s="215" t="e">
        <f aca="false" t="array" ref="F356:F356">REPLACE(_xlfn.IFS(AND(COUNT(F$336:F$342)&gt;=7,V$487&lt;'Titer Calculation'!$T$12),$A$487,AND(COUNT(F$336:F$342)&gt;=6,MIN(V$480:V$486)&lt;'Titer Calculation'!$T$12),_xlfn.xlookup(MIN(V$480:V$486),V$480:V$486, $A$480:$A$486),AND(COUNT(F$336:F$342)&gt;=5,MIN(V$459:V$479)&lt;'Titer Calculation'!$T$12),_xlfn.xlookup(MIN(V$459:V$479), V$459:V$479, $A$459:$A$479),AND(COUNT(F$336:F$342)&gt;=4,MIN(V$424:V$458)&lt;'Titer Calculation'!$T$12),_xlfn.xlookup(MIN(V$424:V$458), V$424:V$458, $A$424:$A$458),AND(COUNT(F$336:F$342)&gt;=3,MIN(V$389:V$423)&lt;'Titer Calculation'!$T$12),_xlfn.xlookup(MIN(V$389:V$423), V$389:V$423, $A$389:$A$423),AND(COUNT(F$336:F$342)&gt;=2,MIN(V$368:V$388)&lt;'Titer Calculation'!$T$12),_xlfn.xlookup(MIN(V$368:V$388), V$368:V$388, $A$368:$A$388), TRUE(), _xlfn.xlookup(MIN(V$368:V$487),V$368:V$487, $A$368:$A$487)), 1, 8,)</f>
        <v>#NAME?</v>
      </c>
      <c r="G356" s="215" t="e">
        <f aca="false" t="array" ref="G356:G356">REPLACE(_xlfn.IFS(AND(COUNT(G$336:G$342)&gt;=7,W$487&lt;'Titer Calculation'!$T$12),$A$487,AND(COUNT(G$336:G$342)&gt;=6,MIN(W$480:W$486)&lt;'Titer Calculation'!$T$12),_xlfn.xlookup(MIN(W$480:W$486),W$480:W$486, $A$480:$A$486),AND(COUNT(G$336:G$342)&gt;=5,MIN(W$459:W$479)&lt;'Titer Calculation'!$T$12),_xlfn.xlookup(MIN(W$459:W$479), W$459:W$479, $A$459:$A$479),AND(COUNT(G$336:G$342)&gt;=4,MIN(W$424:W$458)&lt;'Titer Calculation'!$T$12),_xlfn.xlookup(MIN(W$424:W$458), W$424:W$458, $A$424:$A$458),AND(COUNT(G$336:G$342)&gt;=3,MIN(W$389:W$423)&lt;'Titer Calculation'!$T$12),_xlfn.xlookup(MIN(W$389:W$423), W$389:W$423, $A$389:$A$423),AND(COUNT(G$336:G$342)&gt;=2,MIN(W$368:W$388)&lt;'Titer Calculation'!$T$12),_xlfn.xlookup(MIN(W$368:W$388), W$368:W$388, $A$368:$A$388), TRUE(), _xlfn.xlookup(MIN(W$368:W$487),W$368:W$487, $A$368:$A$487)), 1, 8,)</f>
        <v>#NAME?</v>
      </c>
      <c r="H356" s="215" t="e">
        <f aca="false" t="array" ref="H356:H356">REPLACE(_xlfn.IFS(AND(COUNT(H$336:H$342)&gt;=7,X$487&lt;'Titer Calculation'!$T$12),$A$487,AND(COUNT(H$336:H$342)&gt;=6,MIN(X$480:X$486)&lt;'Titer Calculation'!$T$12),_xlfn.xlookup(MIN(X$480:X$486),X$480:X$486, $A$480:$A$486),AND(COUNT(H$336:H$342)&gt;=5,MIN(X$459:X$479)&lt;'Titer Calculation'!$T$12),_xlfn.xlookup(MIN(X$459:X$479), X$459:X$479, $A$459:$A$479),AND(COUNT(H$336:H$342)&gt;=4,MIN(X$424:X$458)&lt;'Titer Calculation'!$T$12),_xlfn.xlookup(MIN(X$424:X$458), X$424:X$458, $A$424:$A$458),AND(COUNT(H$336:H$342)&gt;=3,MIN(X$389:X$423)&lt;'Titer Calculation'!$T$12),_xlfn.xlookup(MIN(X$389:X$423), X$389:X$423, $A$389:$A$423),AND(COUNT(H$336:H$342)&gt;=2,MIN(X$368:X$388)&lt;'Titer Calculation'!$T$12),_xlfn.xlookup(MIN(X$368:X$388), X$368:X$388, $A$368:$A$388), TRUE(), _xlfn.xlookup(MIN(X$368:X$487),X$368:X$487, $A$368:$A$487)), 1, 8,)</f>
        <v>#NAME?</v>
      </c>
      <c r="I356" s="215" t="e">
        <f aca="false" t="array" ref="I356:I356">REPLACE(_xlfn.IFS(AND(COUNT(I$336:I$342)&gt;=7,Y$487&lt;'Titer Calculation'!$T$12),$A$487,AND(COUNT(I$336:I$342)&gt;=6,MIN(Y$480:Y$486)&lt;'Titer Calculation'!$T$12),_xlfn.xlookup(MIN(Y$480:Y$486),Y$480:Y$486, $A$480:$A$486),AND(COUNT(I$336:I$342)&gt;=5,MIN(Y$459:Y$479)&lt;'Titer Calculation'!$T$12),_xlfn.xlookup(MIN(Y$459:Y$479), Y$459:Y$479, $A$459:$A$479),AND(COUNT(I$336:I$342)&gt;=4,MIN(Y$424:Y$458)&lt;'Titer Calculation'!$T$12),_xlfn.xlookup(MIN(Y$424:Y$458), Y$424:Y$458, $A$424:$A$458),AND(COUNT(I$336:I$342)&gt;=3,MIN(Y$389:Y$423)&lt;'Titer Calculation'!$T$12),_xlfn.xlookup(MIN(Y$389:Y$423), Y$389:Y$423, $A$389:$A$423),AND(COUNT(I$336:I$342)&gt;=2,MIN(Y$368:Y$388)&lt;'Titer Calculation'!$T$12),_xlfn.xlookup(MIN(Y$368:Y$388), Y$368:Y$388, $A$368:$A$388), TRUE(), _xlfn.xlookup(MIN(Y$368:Y$487),Y$368:Y$487, $A$368:$A$487)), 1, 8,)</f>
        <v>#NAME?</v>
      </c>
      <c r="J356" s="215" t="e">
        <f aca="false" t="array" ref="J356:J356">REPLACE(_xlfn.IFS(AND(COUNT(J$336:J$342)&gt;=7,Z$487&lt;'Titer Calculation'!$T$12),$A$487,AND(COUNT(J$336:J$342)&gt;=6,MIN(Z$480:Z$486)&lt;'Titer Calculation'!$T$12),_xlfn.xlookup(MIN(Z$480:Z$486),Z$480:Z$486, $A$480:$A$486),AND(COUNT(J$336:J$342)&gt;=5,MIN(Z$459:Z$479)&lt;'Titer Calculation'!$T$12),_xlfn.xlookup(MIN(Z$459:Z$479), Z$459:Z$479, $A$459:$A$479),AND(COUNT(J$336:J$342)&gt;=4,MIN(Z$424:Z$458)&lt;'Titer Calculation'!$T$12),_xlfn.xlookup(MIN(Z$424:Z$458), Z$424:Z$458, $A$424:$A$458),AND(COUNT(J$336:J$342)&gt;=3,MIN(Z$389:Z$423)&lt;'Titer Calculation'!$T$12),_xlfn.xlookup(MIN(Z$389:Z$423), Z$389:Z$423, $A$389:$A$423),AND(COUNT(J$336:J$342)&gt;=2,MIN(Z$368:Z$388)&lt;'Titer Calculation'!$T$12),_xlfn.xlookup(MIN(Z$368:Z$388), Z$368:Z$388, $A$368:$A$388), TRUE(), _xlfn.xlookup(MIN(Z$368:Z$487),Z$368:Z$487, $A$368:$A$487)), 1, 8,)</f>
        <v>#NAME?</v>
      </c>
      <c r="K356" s="215" t="e">
        <f aca="false" t="array" ref="K356:K356">REPLACE(_xlfn.IFS(AND(COUNT(K$336:K$342)&gt;=7,AA$487&lt;'Titer Calculation'!$T$12),$A$487,AND(COUNT(K$336:K$342)&gt;=6,MIN(AA$480:AA$486)&lt;'Titer Calculation'!$T$12),_xlfn.xlookup(MIN(AA$480:AA$486),AA$480:AA$486, $A$480:$A$486),AND(COUNT(K$336:K$342)&gt;=5,MIN(AA$459:AA$479)&lt;'Titer Calculation'!$T$12),_xlfn.xlookup(MIN(AA$459:AA$479), AA$459:AA$479, $A$459:$A$479),AND(COUNT(K$336:K$342)&gt;=4,MIN(AA$424:AA$458)&lt;'Titer Calculation'!$T$12),_xlfn.xlookup(MIN(AA$424:AA$458), AA$424:AA$458, $A$424:$A$458),AND(COUNT(K$336:K$342)&gt;=3,MIN(AA$389:AA$423)&lt;'Titer Calculation'!$T$12),_xlfn.xlookup(MIN(AA$389:AA$423), AA$389:AA$423, $A$389:$A$423),AND(COUNT(K$336:K$342)&gt;=2,MIN(AA$368:AA$388)&lt;'Titer Calculation'!$T$12),_xlfn.xlookup(MIN(AA$368:AA$388), AA$368:AA$388, $A$368:$A$388), TRUE(), _xlfn.xlookup(MIN(AA$368:AA$487),AA$368:AA$487, $A$368:$A$487)), 1, 8,)</f>
        <v>#NAME?</v>
      </c>
      <c r="L356" s="215" t="e">
        <f aca="false" t="array" ref="L356:L356">REPLACE(_xlfn.IFS(AND(COUNT(L$336:L$342)&gt;=7,AB$487&lt;'Titer Calculation'!$T$12),$A$487,AND(COUNT(L$336:L$342)&gt;=6,MIN(AB$480:AB$486)&lt;'Titer Calculation'!$T$12),_xlfn.xlookup(MIN(AB$480:AB$486),AB$480:AB$486, $A$480:$A$486),AND(COUNT(L$336:L$342)&gt;=5,MIN(AB$459:AB$479)&lt;'Titer Calculation'!$T$12),_xlfn.xlookup(MIN(AB$459:AB$479), AB$459:AB$479, $A$459:$A$479),AND(COUNT(L$336:L$342)&gt;=4,MIN(AB$424:AB$458)&lt;'Titer Calculation'!$T$12),_xlfn.xlookup(MIN(AB$424:AB$458), AB$424:AB$458, $A$424:$A$458),AND(COUNT(L$336:L$342)&gt;=3,MIN(AB$389:AB$423)&lt;'Titer Calculation'!$T$12),_xlfn.xlookup(MIN(AB$389:AB$423), AB$389:AB$423, $A$389:$A$423),AND(COUNT(L$336:L$342)&gt;=2,MIN(AB$368:AB$388)&lt;'Titer Calculation'!$T$12),_xlfn.xlookup(MIN(AB$368:AB$388), AB$368:AB$388, $A$368:$A$388), TRUE(), _xlfn.xlookup(MIN(AB$368:AB$487),AB$368:AB$487, $A$368:$A$487)), 1, 8,)</f>
        <v>#NAME?</v>
      </c>
      <c r="M356" s="215" t="e">
        <f aca="false" t="array" ref="M356:M356">REPLACE(_xlfn.IFS(AND(COUNT(M$336:M$342)&gt;=7,AC$487&lt;'Titer Calculation'!$T$12),$A$487,AND(COUNT(M$336:M$342)&gt;=6,MIN(AC$480:AC$486)&lt;'Titer Calculation'!$T$12),_xlfn.xlookup(MIN(AC$480:AC$486),AC$480:AC$486, $A$480:$A$486),AND(COUNT(M$336:M$342)&gt;=5,MIN(AC$459:AC$479)&lt;'Titer Calculation'!$T$12),_xlfn.xlookup(MIN(AC$459:AC$479), AC$459:AC$479, $A$459:$A$479),AND(COUNT(M$336:M$342)&gt;=4,MIN(AC$424:AC$458)&lt;'Titer Calculation'!$T$12),_xlfn.xlookup(MIN(AC$424:AC$458), AC$424:AC$458, $A$424:$A$458),AND(COUNT(M$336:M$342)&gt;=3,MIN(AC$389:AC$423)&lt;'Titer Calculation'!$T$12),_xlfn.xlookup(MIN(AC$389:AC$423), AC$389:AC$423, $A$389:$A$423),AND(COUNT(M$336:M$342)&gt;=2,MIN(AC$368:AC$388)&lt;'Titer Calculation'!$T$12),_xlfn.xlookup(MIN(AC$368:AC$388), AC$368:AC$388, $A$368:$A$388), TRUE(), _xlfn.xlookup(MIN(AC$368:AC$487),AC$368:AC$487, $A$368:$A$487)), 1, 8,)</f>
        <v>#NAME?</v>
      </c>
      <c r="N356" s="215" t="e">
        <f aca="false" t="array" ref="N356:N356">REPLACE(_xlfn.IFS(AND(COUNT(N$336:N$342)&gt;=7,AD$487&lt;'Titer Calculation'!$T$12),$A$487,AND(COUNT(N$336:N$342)&gt;=6,MIN(AD$480:AD$486)&lt;'Titer Calculation'!$T$12),_xlfn.xlookup(MIN(AD$480:AD$486),AD$480:AD$486, $A$480:$A$486),AND(COUNT(N$336:N$342)&gt;=5,MIN(AD$459:AD$479)&lt;'Titer Calculation'!$T$12),_xlfn.xlookup(MIN(AD$459:AD$479), AD$459:AD$479, $A$459:$A$479),AND(COUNT(N$336:N$342)&gt;=4,MIN(AD$424:AD$458)&lt;'Titer Calculation'!$T$12),_xlfn.xlookup(MIN(AD$424:AD$458), AD$424:AD$458, $A$424:$A$458),AND(COUNT(N$336:N$342)&gt;=3,MIN(AD$389:AD$423)&lt;'Titer Calculation'!$T$12),_xlfn.xlookup(MIN(AD$389:AD$423), AD$389:AD$423, $A$389:$A$423),AND(COUNT(N$336:N$342)&gt;=2,MIN(AD$368:AD$388)&lt;'Titer Calculation'!$T$12),_xlfn.xlookup(MIN(AD$368:AD$388), AD$368:AD$388, $A$368:$A$388), TRUE(), _xlfn.xlookup(MIN(AD$368:AD$487),AD$368:AD$487, $A$368:$A$487)), 1, 8,)</f>
        <v>#NAME?</v>
      </c>
      <c r="O356" s="211"/>
      <c r="P356" s="44"/>
      <c r="Q356" s="83"/>
      <c r="R356" s="212"/>
      <c r="S356" s="44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75"/>
      <c r="AP356" s="44"/>
      <c r="AQ356" s="44"/>
      <c r="AR356" s="44"/>
    </row>
    <row r="357" customFormat="false" ht="15.75" hidden="false" customHeight="false" outlineLevel="0" collapsed="false">
      <c r="A357" s="213" t="s">
        <v>240</v>
      </c>
      <c r="B357" s="213"/>
      <c r="C357" s="214" t="e">
        <f aca="false" t="array" ref="C357:C357">_xlfn.IFS(AND(COUNT(C$336:C$342)&gt;=7,S$487&lt;'Titer Calculation'!$T$12),AG$487,AND(COUNT(C$336:C$342)&gt;=6,MIN(S$480:S$486)&lt;'Titer Calculation'!$T$12),_xlfn.xlookup(MIN(S$480:S$486),S$480:S$486,AG$480:AG$486),AND(COUNT(C$336:C$342)&gt;=5,MIN(S$459:S$479)&lt;'Titer Calculation'!$T$12),_xlfn.xlookup(MIN(S$459:S$479),S$459:S$479,AG$459:AG$479),AND(COUNT(C$336:C$342)&gt;=4,MIN(S$424:S$458)&lt;'Titer Calculation'!$T$12),_xlfn.xlookup(MIN(S$424:S$458),S$424:S$458,AG$424:AG$458),AND(COUNT(C$336:C$342)&gt;=3,MIN(S$389:S$423)&lt;'Titer Calculation'!$T$12),_xlfn.xlookup(MIN(S$389:S$423),S$389:S$423,AG$389:AG$423),AND(COUNT(C$336:C$342)&gt;=2,MIN(S$368:S$388)&lt;'Titer Calculation'!$T$12),_xlfn.xlookup(MIN(S$368:S$388),S$368:S$388,AG$368:AG$388),TRUE(),_xlfn.xlookup(MIN(S$368:S$487),S$368:S$487,AG$368:AG$487))</f>
        <v>#NAME?</v>
      </c>
      <c r="D357" s="214" t="e">
        <f aca="false" t="array" ref="D357:D357">_xlfn.IFS(AND(COUNT(D$336:D$342)&gt;=7,T$487&lt;'Titer Calculation'!$T$12),AH$487,AND(COUNT(D$336:D$342)&gt;=6,MIN(T$480:T$486)&lt;'Titer Calculation'!$T$12),_xlfn.xlookup(MIN(T$480:T$486),T$480:T$486,AH$480:AH$486),AND(COUNT(D$336:D$342)&gt;=5,MIN(T$459:T$479)&lt;'Titer Calculation'!$T$12),_xlfn.xlookup(MIN(T$459:T$479),T$459:T$479,AH$459:AH$479),AND(COUNT(D$336:D$342)&gt;=4,MIN(T$424:T$458)&lt;'Titer Calculation'!$T$12),_xlfn.xlookup(MIN(T$424:T$458),T$424:T$458,AH$424:AH$458),AND(COUNT(D$336:D$342)&gt;=3,MIN(T$389:T$423)&lt;'Titer Calculation'!$T$12),_xlfn.xlookup(MIN(T$389:T$423),T$389:T$423,AH$389:AH$423),AND(COUNT(D$336:D$342)&gt;=2,MIN(T$368:T$388)&lt;'Titer Calculation'!$T$12),_xlfn.xlookup(MIN(T$368:T$388),T$368:T$388,AH$368:AH$388),TRUE(),_xlfn.xlookup(MIN(T$368:T$487),T$368:T$487,AH$368:AH$487))</f>
        <v>#NAME?</v>
      </c>
      <c r="E357" s="214" t="e">
        <f aca="false" t="array" ref="E357:E357">_xlfn.IFS(AND(COUNT(E$336:E$342)&gt;=7,U$487&lt;'Titer Calculation'!$T$12),AI$487,AND(COUNT(E$336:E$342)&gt;=6,MIN(U$480:U$486)&lt;'Titer Calculation'!$T$12),_xlfn.xlookup(MIN(U$480:U$486),U$480:U$486,AI$480:AI$486),AND(COUNT(E$336:E$342)&gt;=5,MIN(U$459:U$479)&lt;'Titer Calculation'!$T$12),_xlfn.xlookup(MIN(U$459:U$479),U$459:U$479,AI$459:AI$479),AND(COUNT(E$336:E$342)&gt;=4,MIN(U$424:U$458)&lt;'Titer Calculation'!$T$12),_xlfn.xlookup(MIN(U$424:U$458),U$424:U$458,AI$424:AI$458),AND(COUNT(E$336:E$342)&gt;=3,MIN(U$389:U$423)&lt;'Titer Calculation'!$T$12),_xlfn.xlookup(MIN(U$389:U$423),U$389:U$423,AI$389:AI$423),AND(COUNT(E$336:E$342)&gt;=2,MIN(U$368:U$388)&lt;'Titer Calculation'!$T$12),_xlfn.xlookup(MIN(U$368:U$388),U$368:U$388,AI$368:AI$388),TRUE(),_xlfn.xlookup(MIN(U$368:U$487),U$368:U$487,AI$368:AI$487))</f>
        <v>#NAME?</v>
      </c>
      <c r="F357" s="214" t="e">
        <f aca="false" t="array" ref="F357:F357">_xlfn.IFS(AND(COUNT(F$336:F$342)&gt;=7,V$487&lt;'Titer Calculation'!$T$12),AJ$487,AND(COUNT(F$336:F$342)&gt;=6,MIN(V$480:V$486)&lt;'Titer Calculation'!$T$12),_xlfn.xlookup(MIN(V$480:V$486),V$480:V$486,AJ$480:AJ$486),AND(COUNT(F$336:F$342)&gt;=5,MIN(V$459:V$479)&lt;'Titer Calculation'!$T$12),_xlfn.xlookup(MIN(V$459:V$479),V$459:V$479,AJ$459:AJ$479),AND(COUNT(F$336:F$342)&gt;=4,MIN(V$424:V$458)&lt;'Titer Calculation'!$T$12),_xlfn.xlookup(MIN(V$424:V$458),V$424:V$458,AJ$424:AJ$458),AND(COUNT(F$336:F$342)&gt;=3,MIN(V$389:V$423)&lt;'Titer Calculation'!$T$12),_xlfn.xlookup(MIN(V$389:V$423),V$389:V$423,AJ$389:AJ$423),AND(COUNT(F$336:F$342)&gt;=2,MIN(V$368:V$388)&lt;'Titer Calculation'!$T$12),_xlfn.xlookup(MIN(V$368:V$388),V$368:V$388,AJ$368:AJ$388),TRUE(),_xlfn.xlookup(MIN(V$368:V$487),V$368:V$487,AJ$368:AJ$487))</f>
        <v>#NAME?</v>
      </c>
      <c r="G357" s="214" t="e">
        <f aca="false" t="array" ref="G357:G357">_xlfn.IFS(AND(COUNT(G$336:G$342)&gt;=7,W$487&lt;'Titer Calculation'!$T$12),AK$487,AND(COUNT(G$336:G$342)&gt;=6,MIN(W$480:W$486)&lt;'Titer Calculation'!$T$12),_xlfn.xlookup(MIN(W$480:W$486),W$480:W$486,AK$480:AK$486),AND(COUNT(G$336:G$342)&gt;=5,MIN(W$459:W$479)&lt;'Titer Calculation'!$T$12),_xlfn.xlookup(MIN(W$459:W$479),W$459:W$479,AK$459:AK$479),AND(COUNT(G$336:G$342)&gt;=4,MIN(W$424:W$458)&lt;'Titer Calculation'!$T$12),_xlfn.xlookup(MIN(W$424:W$458),W$424:W$458,AK$424:AK$458),AND(COUNT(G$336:G$342)&gt;=3,MIN(W$389:W$423)&lt;'Titer Calculation'!$T$12),_xlfn.xlookup(MIN(W$389:W$423),W$389:W$423,AK$389:AK$423),AND(COUNT(G$336:G$342)&gt;=2,MIN(W$368:W$388)&lt;'Titer Calculation'!$T$12),_xlfn.xlookup(MIN(W$368:W$388),W$368:W$388,AK$368:AK$388),TRUE(),_xlfn.xlookup(MIN(W$368:W$487),W$368:W$487,AK$368:AK$487))</f>
        <v>#NAME?</v>
      </c>
      <c r="H357" s="214" t="e">
        <f aca="false" t="array" ref="H357:H357">_xlfn.IFS(AND(COUNT(H$336:H$342)&gt;=7,X$487&lt;'Titer Calculation'!$T$12),AL$487,AND(COUNT(H$336:H$342)&gt;=6,MIN(X$480:X$486)&lt;'Titer Calculation'!$T$12),_xlfn.xlookup(MIN(X$480:X$486),X$480:X$486,AL$480:AL$486),AND(COUNT(H$336:H$342)&gt;=5,MIN(X$459:X$479)&lt;'Titer Calculation'!$T$12),_xlfn.xlookup(MIN(X$459:X$479),X$459:X$479,AL$459:AL$479),AND(COUNT(H$336:H$342)&gt;=4,MIN(X$424:X$458)&lt;'Titer Calculation'!$T$12),_xlfn.xlookup(MIN(X$424:X$458),X$424:X$458,AL$424:AL$458),AND(COUNT(H$336:H$342)&gt;=3,MIN(X$389:X$423)&lt;'Titer Calculation'!$T$12),_xlfn.xlookup(MIN(X$389:X$423),X$389:X$423,AL$389:AL$423),AND(COUNT(H$336:H$342)&gt;=2,MIN(X$368:X$388)&lt;'Titer Calculation'!$T$12),_xlfn.xlookup(MIN(X$368:X$388),X$368:X$388,AL$368:AL$388),TRUE(),_xlfn.xlookup(MIN(X$368:X$487),X$368:X$487,AL$368:AL$487))</f>
        <v>#NAME?</v>
      </c>
      <c r="I357" s="214" t="e">
        <f aca="false" t="array" ref="I357:I357">_xlfn.IFS(AND(COUNT(I$336:I$342)&gt;=7,Y$487&lt;'Titer Calculation'!$T$12),AM$487,AND(COUNT(I$336:I$342)&gt;=6,MIN(Y$480:Y$486)&lt;'Titer Calculation'!$T$12),_xlfn.xlookup(MIN(Y$480:Y$486),Y$480:Y$486,AM$480:AM$486),AND(COUNT(I$336:I$342)&gt;=5,MIN(Y$459:Y$479)&lt;'Titer Calculation'!$T$12),_xlfn.xlookup(MIN(Y$459:Y$479),Y$459:Y$479,AM$459:AM$479),AND(COUNT(I$336:I$342)&gt;=4,MIN(Y$424:Y$458)&lt;'Titer Calculation'!$T$12),_xlfn.xlookup(MIN(Y$424:Y$458),Y$424:Y$458,AM$424:AM$458),AND(COUNT(I$336:I$342)&gt;=3,MIN(Y$389:Y$423)&lt;'Titer Calculation'!$T$12),_xlfn.xlookup(MIN(Y$389:Y$423),Y$389:Y$423,AM$389:AM$423),AND(COUNT(I$336:I$342)&gt;=2,MIN(Y$368:Y$388)&lt;'Titer Calculation'!$T$12),_xlfn.xlookup(MIN(Y$368:Y$388),Y$368:Y$388,AM$368:AM$388),TRUE(),_xlfn.xlookup(MIN(Y$368:Y$487),Y$368:Y$487,AM$368:AM$487))</f>
        <v>#NAME?</v>
      </c>
      <c r="J357" s="214" t="e">
        <f aca="false" t="array" ref="J357:J357">_xlfn.IFS(AND(COUNT(J$336:J$342)&gt;=7,Z$487&lt;'Titer Calculation'!$T$12),AN$487,AND(COUNT(J$336:J$342)&gt;=6,MIN(Z$480:Z$486)&lt;'Titer Calculation'!$T$12),_xlfn.xlookup(MIN(Z$480:Z$486),Z$480:Z$486,AN$480:AN$486),AND(COUNT(J$336:J$342)&gt;=5,MIN(Z$459:Z$479)&lt;'Titer Calculation'!$T$12),_xlfn.xlookup(MIN(Z$459:Z$479),Z$459:Z$479,AN$459:AN$479),AND(COUNT(J$336:J$342)&gt;=4,MIN(Z$424:Z$458)&lt;'Titer Calculation'!$T$12),_xlfn.xlookup(MIN(Z$424:Z$458),Z$424:Z$458,AN$424:AN$458),AND(COUNT(J$336:J$342)&gt;=3,MIN(Z$389:Z$423)&lt;'Titer Calculation'!$T$12),_xlfn.xlookup(MIN(Z$389:Z$423),Z$389:Z$423,AN$389:AN$423),AND(COUNT(J$336:J$342)&gt;=2,MIN(Z$368:Z$388)&lt;'Titer Calculation'!$T$12),_xlfn.xlookup(MIN(Z$368:Z$388),Z$368:Z$388,AN$368:AN$388),TRUE(),_xlfn.xlookup(MIN(Z$368:Z$487),Z$368:Z$487,AN$368:AN$487))</f>
        <v>#NAME?</v>
      </c>
      <c r="K357" s="214" t="e">
        <f aca="false" t="array" ref="K357:K357">_xlfn.IFS(AND(COUNT(K$336:K$342)&gt;=7,AA$487&lt;'Titer Calculation'!$T$12),AO$487,AND(COUNT(K$336:K$342)&gt;=6,MIN(AA$480:AA$486)&lt;'Titer Calculation'!$T$12),_xlfn.xlookup(MIN(AA$480:AA$486),AA$480:AA$486,AO$480:AO$486),AND(COUNT(K$336:K$342)&gt;=5,MIN(AA$459:AA$479)&lt;'Titer Calculation'!$T$12),_xlfn.xlookup(MIN(AA$459:AA$479),AA$459:AA$479,AO$459:AO$479),AND(COUNT(K$336:K$342)&gt;=4,MIN(AA$424:AA$458)&lt;'Titer Calculation'!$T$12),_xlfn.xlookup(MIN(AA$424:AA$458),AA$424:AA$458,AO$424:AO$458),AND(COUNT(K$336:K$342)&gt;=3,MIN(AA$389:AA$423)&lt;'Titer Calculation'!$T$12),_xlfn.xlookup(MIN(AA$389:AA$423),AA$389:AA$423,AO$389:AO$423),AND(COUNT(K$336:K$342)&gt;=2,MIN(AA$368:AA$388)&lt;'Titer Calculation'!$T$12),_xlfn.xlookup(MIN(AA$368:AA$388),AA$368:AA$388,AO$368:AO$388),TRUE(),_xlfn.xlookup(MIN(AA$368:AA$487),AA$368:AA$487,AO$368:AO$487))</f>
        <v>#NAME?</v>
      </c>
      <c r="L357" s="214" t="e">
        <f aca="false" t="array" ref="L357:L357">_xlfn.IFS(AND(COUNT(L$336:L$342)&gt;=7,AB$487&lt;'Titer Calculation'!$T$12),AP$487,AND(COUNT(L$336:L$342)&gt;=6,MIN(AB$480:AB$486)&lt;'Titer Calculation'!$T$12),_xlfn.xlookup(MIN(AB$480:AB$486),AB$480:AB$486,AP$480:AP$486),AND(COUNT(L$336:L$342)&gt;=5,MIN(AB$459:AB$479)&lt;'Titer Calculation'!$T$12),_xlfn.xlookup(MIN(AB$459:AB$479),AB$459:AB$479,AP$459:AP$479),AND(COUNT(L$336:L$342)&gt;=4,MIN(AB$424:AB$458)&lt;'Titer Calculation'!$T$12),_xlfn.xlookup(MIN(AB$424:AB$458),AB$424:AB$458,AP$424:AP$458),AND(COUNT(L$336:L$342)&gt;=3,MIN(AB$389:AB$423)&lt;'Titer Calculation'!$T$12),_xlfn.xlookup(MIN(AB$389:AB$423),AB$389:AB$423,AP$389:AP$423),AND(COUNT(L$336:L$342)&gt;=2,MIN(AB$368:AB$388)&lt;'Titer Calculation'!$T$12),_xlfn.xlookup(MIN(AB$368:AB$388),AB$368:AB$388,AP$368:AP$388),TRUE(),_xlfn.xlookup(MIN(AB$368:AB$487),AB$368:AB$487,AP$368:AP$487))</f>
        <v>#NAME?</v>
      </c>
      <c r="M357" s="214" t="e">
        <f aca="false" t="array" ref="M357:M357">_xlfn.IFS(AND(COUNT(M$336:M$342)&gt;=7,AC$487&lt;'Titer Calculation'!$T$12),AQ$487,AND(COUNT(M$336:M$342)&gt;=6,MIN(AC$480:AC$486)&lt;'Titer Calculation'!$T$12),_xlfn.xlookup(MIN(AC$480:AC$486),AC$480:AC$486,AQ$480:AQ$486),AND(COUNT(M$336:M$342)&gt;=5,MIN(AC$459:AC$479)&lt;'Titer Calculation'!$T$12),_xlfn.xlookup(MIN(AC$459:AC$479),AC$459:AC$479,AQ$459:AQ$479),AND(COUNT(M$336:M$342)&gt;=4,MIN(AC$424:AC$458)&lt;'Titer Calculation'!$T$12),_xlfn.xlookup(MIN(AC$424:AC$458),AC$424:AC$458,AQ$424:AQ$458),AND(COUNT(M$336:M$342)&gt;=3,MIN(AC$389:AC$423)&lt;'Titer Calculation'!$T$12),_xlfn.xlookup(MIN(AC$389:AC$423),AC$389:AC$423,AQ$389:AQ$423),AND(COUNT(M$336:M$342)&gt;=2,MIN(AC$368:AC$388)&lt;'Titer Calculation'!$T$12),_xlfn.xlookup(MIN(AC$368:AC$388),AC$368:AC$388,AQ$368:AQ$388),TRUE(),_xlfn.xlookup(MIN(AC$368:AC$487),AC$368:AC$487,AQ$368:AQ$487))</f>
        <v>#NAME?</v>
      </c>
      <c r="N357" s="214" t="e">
        <f aca="false" t="array" ref="N357:N357">_xlfn.IFS(AND(COUNT(N$336:N$342)&gt;=7,AD$487&lt;'Titer Calculation'!$T$12),AR$487,AND(COUNT(N$336:N$342)&gt;=6,MIN(AD$480:AD$486)&lt;'Titer Calculation'!$T$12),_xlfn.xlookup(MIN(AD$480:AD$486),AD$480:AD$486,AR$480:AR$486),AND(COUNT(N$336:N$342)&gt;=5,MIN(AD$459:AD$479)&lt;'Titer Calculation'!$T$12),_xlfn.xlookup(MIN(AD$459:AD$479),AD$459:AD$479,AR$459:AR$479),AND(COUNT(N$336:N$342)&gt;=4,MIN(AD$424:AD$458)&lt;'Titer Calculation'!$T$12),_xlfn.xlookup(MIN(AD$424:AD$458),AD$424:AD$458,AR$424:AR$458),AND(COUNT(N$336:N$342)&gt;=3,MIN(AD$389:AD$423)&lt;'Titer Calculation'!$T$12),_xlfn.xlookup(MIN(AD$389:AD$423),AD$389:AD$423,AR$389:AR$423),AND(COUNT(N$336:N$342)&gt;=2,MIN(AD$368:AD$388)&lt;'Titer Calculation'!$T$12),_xlfn.xlookup(MIN(AD$368:AD$388),AD$368:AD$388,AR$368:AR$388),TRUE(),_xlfn.xlookup(MIN(AD$368:AD$487),AD$368:AD$487,AR$368:AR$487))</f>
        <v>#NAME?</v>
      </c>
      <c r="O357" s="211"/>
      <c r="P357" s="44"/>
      <c r="Q357" s="83"/>
      <c r="R357" s="212"/>
      <c r="S357" s="44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75"/>
      <c r="AP357" s="44"/>
      <c r="AQ357" s="44"/>
      <c r="AR357" s="44"/>
    </row>
    <row r="358" customFormat="false" ht="15.75" hidden="false" customHeight="false" outlineLevel="0" collapsed="false">
      <c r="A358" s="213" t="s">
        <v>241</v>
      </c>
      <c r="B358" s="213"/>
      <c r="C358" s="216" t="n">
        <f aca="false" t="array" ref="C358:C358">_xlfn.IFS(AND(COUNT(C$336:C$342)&gt;=7,S$487&lt;'Titer Calculation'!$T$12),S$487,AND(COUNT(C$336:C$342)&gt;=6,MIN(S$480:S$486)&lt;'Titer Calculation'!$T$12),MIN(S$480:S$486),AND(COUNT(C$336:C$342)&gt;=5,MIN(S$459:S$479)&lt;'Titer Calculation'!$T$12),MIN(S$459:S$479),AND(COUNT(C$336:C$342)&gt;=4,MIN(S$424:S$458)&lt;'Titer Calculation'!$T$12),MIN(S$424:S$458),AND(COUNT(C$336:C$342)&gt;=3,MIN(S$389:S$423)&lt;'Titer Calculation'!$T$12),MIN(S$389:S$423),AND(COUNT(C$336:C$342)&gt;=2,MIN(S$368:S$388)&lt;'Titer Calculation'!$T$12),MIN(S$368:S$388),TRUE(),MIN(S$368:S485))</f>
        <v>0</v>
      </c>
      <c r="D358" s="216" t="n">
        <f aca="false" t="array" ref="D358:D358">_xlfn.IFS(AND(COUNT(D$336:D$342)&gt;=7,T$487&lt;'Titer Calculation'!$T$12),T$487,AND(COUNT(D$336:D$342)&gt;=6,MIN(T$480:T$486)&lt;'Titer Calculation'!$T$12),MIN(T$480:T$486),AND(COUNT(D$336:D$342)&gt;=5,MIN(T$459:T$479)&lt;'Titer Calculation'!$T$12),MIN(T$459:T$479),AND(COUNT(D$336:D$342)&gt;=4,MIN(T$424:T$458)&lt;'Titer Calculation'!$T$12),MIN(T$424:T$458),AND(COUNT(D$336:D$342)&gt;=3,MIN(T$389:T$423)&lt;'Titer Calculation'!$T$12),MIN(T$389:T$423),AND(COUNT(D$336:D$342)&gt;=2,MIN(T$368:T$388)&lt;'Titer Calculation'!$T$12),MIN(T$368:T$388),TRUE(),MIN(T$368:T485))</f>
        <v>0</v>
      </c>
      <c r="E358" s="216" t="n">
        <f aca="false" t="array" ref="E358:E358">_xlfn.IFS(AND(COUNT(E$336:E$342)&gt;=7,U$487&lt;'Titer Calculation'!$T$12),U$487,AND(COUNT(E$336:E$342)&gt;=6,MIN(U$480:U$486)&lt;'Titer Calculation'!$T$12),MIN(U$480:U$486),AND(COUNT(E$336:E$342)&gt;=5,MIN(U$459:U$479)&lt;'Titer Calculation'!$T$12),MIN(U$459:U$479),AND(COUNT(E$336:E$342)&gt;=4,MIN(U$424:U$458)&lt;'Titer Calculation'!$T$12),MIN(U$424:U$458),AND(COUNT(E$336:E$342)&gt;=3,MIN(U$389:U$423)&lt;'Titer Calculation'!$T$12),MIN(U$389:U$423),AND(COUNT(E$336:E$342)&gt;=2,MIN(U$368:U$388)&lt;'Titer Calculation'!$T$12),MIN(U$368:U$388),TRUE(),MIN(U$368:U485))</f>
        <v>0</v>
      </c>
      <c r="F358" s="216" t="n">
        <f aca="false" t="array" ref="F358:F358">_xlfn.IFS(AND(COUNT(F$336:F$342)&gt;=7,V$487&lt;'Titer Calculation'!$T$12),V$487,AND(COUNT(F$336:F$342)&gt;=6,MIN(V$480:V$486)&lt;'Titer Calculation'!$T$12),MIN(V$480:V$486),AND(COUNT(F$336:F$342)&gt;=5,MIN(V$459:V$479)&lt;'Titer Calculation'!$T$12),MIN(V$459:V$479),AND(COUNT(F$336:F$342)&gt;=4,MIN(V$424:V$458)&lt;'Titer Calculation'!$T$12),MIN(V$424:V$458),AND(COUNT(F$336:F$342)&gt;=3,MIN(V$389:V$423)&lt;'Titer Calculation'!$T$12),MIN(V$389:V$423),AND(COUNT(F$336:F$342)&gt;=2,MIN(V$368:V$388)&lt;'Titer Calculation'!$T$12),MIN(V$368:V$388),TRUE(),MIN(V$368:V485))</f>
        <v>0</v>
      </c>
      <c r="G358" s="216" t="n">
        <f aca="false" t="array" ref="G358:G358">_xlfn.IFS(AND(COUNT(G$336:G$342)&gt;=7,W$487&lt;'Titer Calculation'!$T$12),W$487,AND(COUNT(G$336:G$342)&gt;=6,MIN(W$480:W$486)&lt;'Titer Calculation'!$T$12),MIN(W$480:W$486),AND(COUNT(G$336:G$342)&gt;=5,MIN(W$459:W$479)&lt;'Titer Calculation'!$T$12),MIN(W$459:W$479),AND(COUNT(G$336:G$342)&gt;=4,MIN(W$424:W$458)&lt;'Titer Calculation'!$T$12),MIN(W$424:W$458),AND(COUNT(G$336:G$342)&gt;=3,MIN(W$389:W$423)&lt;'Titer Calculation'!$T$12),MIN(W$389:W$423),AND(COUNT(G$336:G$342)&gt;=2,MIN(W$368:W$388)&lt;'Titer Calculation'!$T$12),MIN(W$368:W$388),TRUE(),MIN(W$368:W485))</f>
        <v>0</v>
      </c>
      <c r="H358" s="216" t="n">
        <f aca="false" t="array" ref="H358:H358">_xlfn.IFS(AND(COUNT(H$336:H$342)&gt;=7,X$487&lt;'Titer Calculation'!$T$12),X$487,AND(COUNT(H$336:H$342)&gt;=6,MIN(X$480:X$486)&lt;'Titer Calculation'!$T$12),MIN(X$480:X$486),AND(COUNT(H$336:H$342)&gt;=5,MIN(X$459:X$479)&lt;'Titer Calculation'!$T$12),MIN(X$459:X$479),AND(COUNT(H$336:H$342)&gt;=4,MIN(X$424:X$458)&lt;'Titer Calculation'!$T$12),MIN(X$424:X$458),AND(COUNT(H$336:H$342)&gt;=3,MIN(X$389:X$423)&lt;'Titer Calculation'!$T$12),MIN(X$389:X$423),AND(COUNT(H$336:H$342)&gt;=2,MIN(X$368:X$388)&lt;'Titer Calculation'!$T$12),MIN(X$368:X$388),TRUE(),MIN(X$368:X485))</f>
        <v>0</v>
      </c>
      <c r="I358" s="216" t="n">
        <f aca="false" t="array" ref="I358:I358">_xlfn.IFS(AND(COUNT(I$336:I$342)&gt;=7,Y$487&lt;'Titer Calculation'!$T$12),Y$487,AND(COUNT(I$336:I$342)&gt;=6,MIN(Y$480:Y$486)&lt;'Titer Calculation'!$T$12),MIN(Y$480:Y$486),AND(COUNT(I$336:I$342)&gt;=5,MIN(Y$459:Y$479)&lt;'Titer Calculation'!$T$12),MIN(Y$459:Y$479),AND(COUNT(I$336:I$342)&gt;=4,MIN(Y$424:Y$458)&lt;'Titer Calculation'!$T$12),MIN(Y$424:Y$458),AND(COUNT(I$336:I$342)&gt;=3,MIN(Y$389:Y$423)&lt;'Titer Calculation'!$T$12),MIN(Y$389:Y$423),AND(COUNT(I$336:I$342)&gt;=2,MIN(Y$368:Y$388)&lt;'Titer Calculation'!$T$12),MIN(Y$368:Y$388),TRUE(),MIN(Y$368:Y485))</f>
        <v>0</v>
      </c>
      <c r="J358" s="216" t="n">
        <f aca="false" t="array" ref="J358:J358">_xlfn.IFS(AND(COUNT(J$336:J$342)&gt;=7,Z$487&lt;'Titer Calculation'!$T$12),Z$487,AND(COUNT(J$336:J$342)&gt;=6,MIN(Z$480:Z$486)&lt;'Titer Calculation'!$T$12),MIN(Z$480:Z$486),AND(COUNT(J$336:J$342)&gt;=5,MIN(Z$459:Z$479)&lt;'Titer Calculation'!$T$12),MIN(Z$459:Z$479),AND(COUNT(J$336:J$342)&gt;=4,MIN(Z$424:Z$458)&lt;'Titer Calculation'!$T$12),MIN(Z$424:Z$458),AND(COUNT(J$336:J$342)&gt;=3,MIN(Z$389:Z$423)&lt;'Titer Calculation'!$T$12),MIN(Z$389:Z$423),AND(COUNT(J$336:J$342)&gt;=2,MIN(Z$368:Z$388)&lt;'Titer Calculation'!$T$12),MIN(Z$368:Z$388),TRUE(),MIN(Z$368:Z485))</f>
        <v>0</v>
      </c>
      <c r="K358" s="216" t="n">
        <f aca="false" t="array" ref="K358:K358">_xlfn.IFS(AND(COUNT(K$336:K$342)&gt;=7,AA$487&lt;'Titer Calculation'!$T$12),AA$487,AND(COUNT(K$336:K$342)&gt;=6,MIN(AA$480:AA$486)&lt;'Titer Calculation'!$T$12),MIN(AA$480:AA$486),AND(COUNT(K$336:K$342)&gt;=5,MIN(AA$459:AA$479)&lt;'Titer Calculation'!$T$12),MIN(AA$459:AA$479),AND(COUNT(K$336:K$342)&gt;=4,MIN(AA$424:AA$458)&lt;'Titer Calculation'!$T$12),MIN(AA$424:AA$458),AND(COUNT(K$336:K$342)&gt;=3,MIN(AA$389:AA$423)&lt;'Titer Calculation'!$T$12),MIN(AA$389:AA$423),AND(COUNT(K$336:K$342)&gt;=2,MIN(AA$368:AA$388)&lt;'Titer Calculation'!$T$12),MIN(AA$368:AA$388),TRUE(),MIN(AA$368:AA485))</f>
        <v>0</v>
      </c>
      <c r="L358" s="216" t="n">
        <f aca="false" t="array" ref="L358:L358">_xlfn.IFS(AND(COUNT(L$336:L$342)&gt;=7,AB$487&lt;'Titer Calculation'!$T$12),AB$487,AND(COUNT(L$336:L$342)&gt;=6,MIN(AB$480:AB$486)&lt;'Titer Calculation'!$T$12),MIN(AB$480:AB$486),AND(COUNT(L$336:L$342)&gt;=5,MIN(AB$459:AB$479)&lt;'Titer Calculation'!$T$12),MIN(AB$459:AB$479),AND(COUNT(L$336:L$342)&gt;=4,MIN(AB$424:AB$458)&lt;'Titer Calculation'!$T$12),MIN(AB$424:AB$458),AND(COUNT(L$336:L$342)&gt;=3,MIN(AB$389:AB$423)&lt;'Titer Calculation'!$T$12),MIN(AB$389:AB$423),AND(COUNT(L$336:L$342)&gt;=2,MIN(AB$368:AB$388)&lt;'Titer Calculation'!$T$12),MIN(AB$368:AB$388),TRUE(),MIN(AB$368:AB485))</f>
        <v>0</v>
      </c>
      <c r="M358" s="216" t="n">
        <f aca="false" t="array" ref="M358:M358">_xlfn.IFS(AND(COUNT(M$336:M$342)&gt;=7,AC$487&lt;'Titer Calculation'!$T$12),AC$487,AND(COUNT(M$336:M$342)&gt;=6,MIN(AC$480:AC$486)&lt;'Titer Calculation'!$T$12),MIN(AC$480:AC$486),AND(COUNT(M$336:M$342)&gt;=5,MIN(AC$459:AC$479)&lt;'Titer Calculation'!$T$12),MIN(AC$459:AC$479),AND(COUNT(M$336:M$342)&gt;=4,MIN(AC$424:AC$458)&lt;'Titer Calculation'!$T$12),MIN(AC$424:AC$458),AND(COUNT(M$336:M$342)&gt;=3,MIN(AC$389:AC$423)&lt;'Titer Calculation'!$T$12),MIN(AC$389:AC$423),AND(COUNT(M$336:M$342)&gt;=2,MIN(AC$368:AC$388)&lt;'Titer Calculation'!$T$12),MIN(AC$368:AC$388),TRUE(),MIN(AC$368:AC485))</f>
        <v>0</v>
      </c>
      <c r="N358" s="216" t="n">
        <f aca="false" t="array" ref="N358:N358">_xlfn.IFS(AND(COUNT(N$336:N$342)&gt;=7,AD$487&lt;'Titer Calculation'!$T$12),AD$487,AND(COUNT(N$336:N$342)&gt;=6,MIN(AD$480:AD$486)&lt;'Titer Calculation'!$T$12),MIN(AD$480:AD$486),AND(COUNT(N$336:N$342)&gt;=5,MIN(AD$459:AD$479)&lt;'Titer Calculation'!$T$12),MIN(AD$459:AD$479),AND(COUNT(N$336:N$342)&gt;=4,MIN(AD$424:AD$458)&lt;'Titer Calculation'!$T$12),MIN(AD$424:AD$458),AND(COUNT(N$336:N$342)&gt;=3,MIN(AD$389:AD$423)&lt;'Titer Calculation'!$T$12),MIN(AD$389:AD$423),AND(COUNT(N$336:N$342)&gt;=2,MIN(AD$368:AD$388)&lt;'Titer Calculation'!$T$12),MIN(AD$368:AD$388),TRUE(),MIN(AD$368:AD485))</f>
        <v>0</v>
      </c>
      <c r="O358" s="211"/>
      <c r="P358" s="44"/>
      <c r="Q358" s="83"/>
      <c r="R358" s="212"/>
      <c r="S358" s="44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75"/>
      <c r="AP358" s="44"/>
      <c r="AQ358" s="44"/>
      <c r="AR358" s="44"/>
    </row>
    <row r="359" customFormat="false" ht="15.75" hidden="false" customHeight="false" outlineLevel="0" collapsed="false">
      <c r="A359" s="42"/>
      <c r="B359" s="42"/>
      <c r="C359" s="217"/>
      <c r="D359" s="128"/>
      <c r="E359" s="128"/>
      <c r="F359" s="128"/>
      <c r="G359" s="128"/>
      <c r="H359" s="128"/>
      <c r="I359" s="128"/>
      <c r="J359" s="128"/>
      <c r="K359" s="128"/>
      <c r="L359" s="128"/>
      <c r="M359" s="128"/>
      <c r="N359" s="128"/>
      <c r="O359" s="211"/>
      <c r="P359" s="44"/>
      <c r="Q359" s="83"/>
      <c r="R359" s="212"/>
      <c r="S359" s="44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75"/>
      <c r="AP359" s="44"/>
      <c r="AQ359" s="44"/>
      <c r="AR359" s="44"/>
    </row>
    <row r="360" customFormat="false" ht="15.75" hidden="false" customHeight="false" outlineLevel="0" collapsed="false">
      <c r="A360" s="42"/>
      <c r="B360" s="42"/>
      <c r="C360" s="217"/>
      <c r="D360" s="128"/>
      <c r="E360" s="128"/>
      <c r="F360" s="128"/>
      <c r="G360" s="128"/>
      <c r="H360" s="128"/>
      <c r="I360" s="128"/>
      <c r="J360" s="128"/>
      <c r="K360" s="128"/>
      <c r="L360" s="128"/>
      <c r="M360" s="128"/>
      <c r="N360" s="128"/>
      <c r="O360" s="211"/>
      <c r="P360" s="44"/>
      <c r="Q360" s="83"/>
      <c r="R360" s="212"/>
      <c r="S360" s="44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75"/>
      <c r="AP360" s="44"/>
      <c r="AQ360" s="44"/>
      <c r="AR360" s="44"/>
    </row>
    <row r="361" customFormat="false" ht="15.75" hidden="false" customHeight="false" outlineLevel="0" collapsed="false">
      <c r="A361" s="42"/>
      <c r="B361" s="42"/>
      <c r="C361" s="217"/>
      <c r="D361" s="128"/>
      <c r="E361" s="128"/>
      <c r="F361" s="128"/>
      <c r="G361" s="128"/>
      <c r="H361" s="128"/>
      <c r="I361" s="128"/>
      <c r="J361" s="128"/>
      <c r="K361" s="128"/>
      <c r="L361" s="128"/>
      <c r="M361" s="128"/>
      <c r="N361" s="128"/>
      <c r="O361" s="211"/>
      <c r="P361" s="44"/>
      <c r="Q361" s="83"/>
      <c r="R361" s="212"/>
      <c r="S361" s="44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75"/>
      <c r="AP361" s="44"/>
      <c r="AQ361" s="44"/>
      <c r="AR361" s="44"/>
    </row>
    <row r="362" customFormat="false" ht="15.75" hidden="false" customHeight="false" outlineLevel="0" collapsed="false">
      <c r="A362" s="42"/>
      <c r="B362" s="42"/>
      <c r="C362" s="217"/>
      <c r="D362" s="128"/>
      <c r="E362" s="128"/>
      <c r="F362" s="128"/>
      <c r="G362" s="128"/>
      <c r="H362" s="128"/>
      <c r="I362" s="128"/>
      <c r="J362" s="128"/>
      <c r="K362" s="128"/>
      <c r="L362" s="128"/>
      <c r="M362" s="128"/>
      <c r="N362" s="128"/>
      <c r="O362" s="211"/>
      <c r="P362" s="44"/>
      <c r="Q362" s="83"/>
      <c r="R362" s="212"/>
      <c r="S362" s="44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75"/>
      <c r="AP362" s="44"/>
      <c r="AQ362" s="44"/>
      <c r="AR362" s="44"/>
    </row>
    <row r="363" customFormat="false" ht="15.75" hidden="false" customHeight="false" outlineLevel="0" collapsed="false">
      <c r="A363" s="42"/>
      <c r="B363" s="42"/>
      <c r="C363" s="217"/>
      <c r="D363" s="128"/>
      <c r="E363" s="128"/>
      <c r="F363" s="128"/>
      <c r="G363" s="128"/>
      <c r="H363" s="128"/>
      <c r="I363" s="128"/>
      <c r="J363" s="128"/>
      <c r="K363" s="128"/>
      <c r="L363" s="128"/>
      <c r="M363" s="128"/>
      <c r="N363" s="128"/>
      <c r="O363" s="211"/>
      <c r="P363" s="44"/>
      <c r="Q363" s="83"/>
      <c r="R363" s="212"/>
      <c r="S363" s="44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75"/>
      <c r="AP363" s="44"/>
      <c r="AQ363" s="44"/>
      <c r="AR363" s="44"/>
    </row>
    <row r="364" customFormat="false" ht="15.75" hidden="false" customHeight="false" outlineLevel="0" collapsed="false">
      <c r="A364" s="42"/>
      <c r="B364" s="42"/>
      <c r="C364" s="217"/>
      <c r="D364" s="128"/>
      <c r="E364" s="128"/>
      <c r="F364" s="128"/>
      <c r="G364" s="128"/>
      <c r="H364" s="128"/>
      <c r="I364" s="128"/>
      <c r="J364" s="128"/>
      <c r="K364" s="128"/>
      <c r="L364" s="128"/>
      <c r="M364" s="128"/>
      <c r="N364" s="128"/>
      <c r="O364" s="211"/>
      <c r="P364" s="44"/>
      <c r="Q364" s="83"/>
      <c r="R364" s="42" t="s">
        <v>628</v>
      </c>
      <c r="S364" s="44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44"/>
      <c r="AF364" s="42" t="s">
        <v>279</v>
      </c>
      <c r="AG364" s="44"/>
      <c r="AH364" s="44"/>
      <c r="AI364" s="44"/>
      <c r="AJ364" s="44"/>
      <c r="AK364" s="44"/>
      <c r="AL364" s="44"/>
      <c r="AM364" s="44"/>
      <c r="AN364" s="44"/>
      <c r="AO364" s="75"/>
      <c r="AP364" s="44"/>
      <c r="AQ364" s="44"/>
      <c r="AR364" s="44"/>
    </row>
    <row r="365" customFormat="false" ht="20.25" hidden="false" customHeight="false" outlineLevel="0" collapsed="false">
      <c r="A365" s="42"/>
      <c r="B365" s="42"/>
      <c r="C365" s="217"/>
      <c r="D365" s="128"/>
      <c r="E365" s="128"/>
      <c r="F365" s="128"/>
      <c r="G365" s="128"/>
      <c r="H365" s="128"/>
      <c r="I365" s="128"/>
      <c r="J365" s="128"/>
      <c r="K365" s="128"/>
      <c r="L365" s="128"/>
      <c r="M365" s="128"/>
      <c r="N365" s="128"/>
      <c r="O365" s="211"/>
      <c r="P365" s="44"/>
      <c r="Q365" s="83"/>
      <c r="R365" s="218" t="s">
        <v>214</v>
      </c>
      <c r="S365" s="44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75"/>
      <c r="AP365" s="44"/>
      <c r="AQ365" s="44"/>
      <c r="AR365" s="44"/>
    </row>
    <row r="366" customFormat="false" ht="15.75" hidden="false" customHeight="false" outlineLevel="0" collapsed="false">
      <c r="A366" s="42" t="s">
        <v>628</v>
      </c>
      <c r="B366" s="42"/>
      <c r="C366" s="217"/>
      <c r="D366" s="128"/>
      <c r="E366" s="128"/>
      <c r="F366" s="128"/>
      <c r="G366" s="128"/>
      <c r="H366" s="128"/>
      <c r="I366" s="128"/>
      <c r="J366" s="128"/>
      <c r="K366" s="128"/>
      <c r="L366" s="128"/>
      <c r="M366" s="128"/>
      <c r="N366" s="128"/>
      <c r="O366" s="211"/>
      <c r="P366" s="44"/>
      <c r="Q366" s="83"/>
      <c r="R366" s="120" t="s">
        <v>280</v>
      </c>
      <c r="S366" s="44"/>
      <c r="T366" s="120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 t="s">
        <v>281</v>
      </c>
      <c r="AG366" s="44"/>
      <c r="AH366" s="44"/>
      <c r="AI366" s="44"/>
      <c r="AJ366" s="44"/>
      <c r="AK366" s="44"/>
      <c r="AL366" s="44"/>
      <c r="AM366" s="44"/>
      <c r="AN366" s="44"/>
      <c r="AO366" s="75"/>
      <c r="AP366" s="44"/>
      <c r="AQ366" s="44"/>
      <c r="AR366" s="44"/>
    </row>
    <row r="367" customFormat="false" ht="15.75" hidden="false" customHeight="false" outlineLevel="0" collapsed="false">
      <c r="A367" s="42" t="s">
        <v>282</v>
      </c>
      <c r="B367" s="42"/>
      <c r="C367" s="75" t="n">
        <v>1</v>
      </c>
      <c r="D367" s="75" t="n">
        <v>2</v>
      </c>
      <c r="E367" s="75" t="n">
        <v>3</v>
      </c>
      <c r="F367" s="75" t="n">
        <v>4</v>
      </c>
      <c r="G367" s="75" t="n">
        <v>5</v>
      </c>
      <c r="H367" s="75" t="n">
        <v>6</v>
      </c>
      <c r="I367" s="75" t="n">
        <v>7</v>
      </c>
      <c r="J367" s="75" t="n">
        <v>8</v>
      </c>
      <c r="K367" s="75" t="n">
        <v>9</v>
      </c>
      <c r="L367" s="75" t="n">
        <v>10</v>
      </c>
      <c r="M367" s="75" t="n">
        <v>11</v>
      </c>
      <c r="N367" s="75" t="n">
        <v>12</v>
      </c>
      <c r="O367" s="211"/>
      <c r="P367" s="44"/>
      <c r="Q367" s="83"/>
      <c r="R367" s="212" t="s">
        <v>283</v>
      </c>
      <c r="S367" s="75" t="n">
        <v>1</v>
      </c>
      <c r="T367" s="75" t="n">
        <v>2</v>
      </c>
      <c r="U367" s="75" t="n">
        <v>3</v>
      </c>
      <c r="V367" s="75" t="n">
        <v>4</v>
      </c>
      <c r="W367" s="75" t="n">
        <v>5</v>
      </c>
      <c r="X367" s="75" t="n">
        <v>6</v>
      </c>
      <c r="Y367" s="75" t="n">
        <v>7</v>
      </c>
      <c r="Z367" s="75" t="n">
        <v>8</v>
      </c>
      <c r="AA367" s="75" t="n">
        <v>9</v>
      </c>
      <c r="AB367" s="75" t="n">
        <v>10</v>
      </c>
      <c r="AC367" s="75" t="n">
        <v>11</v>
      </c>
      <c r="AD367" s="75" t="n">
        <v>12</v>
      </c>
      <c r="AE367" s="44"/>
      <c r="AF367" s="219" t="s">
        <v>240</v>
      </c>
      <c r="AG367" s="75" t="n">
        <v>1</v>
      </c>
      <c r="AH367" s="75" t="n">
        <v>2</v>
      </c>
      <c r="AI367" s="75" t="n">
        <v>3</v>
      </c>
      <c r="AJ367" s="75" t="n">
        <v>4</v>
      </c>
      <c r="AK367" s="75" t="n">
        <v>5</v>
      </c>
      <c r="AL367" s="75" t="n">
        <v>6</v>
      </c>
      <c r="AM367" s="75" t="n">
        <v>7</v>
      </c>
      <c r="AN367" s="75" t="n">
        <v>8</v>
      </c>
      <c r="AO367" s="75" t="n">
        <v>9</v>
      </c>
      <c r="AP367" s="75" t="n">
        <v>10</v>
      </c>
      <c r="AQ367" s="75" t="n">
        <v>11</v>
      </c>
      <c r="AR367" s="75" t="n">
        <v>12</v>
      </c>
    </row>
    <row r="368" customFormat="false" ht="15.75" hidden="false" customHeight="false" outlineLevel="0" collapsed="false">
      <c r="A368" s="290" t="s">
        <v>284</v>
      </c>
      <c r="B368" s="281"/>
      <c r="C368" s="291" t="str">
        <f aca="false">IFERROR(IF(C$347*C348&gt;0,AVERAGE(C$347,C348),""),"")</f>
        <v/>
      </c>
      <c r="D368" s="291" t="str">
        <f aca="false">IFERROR(IF(D$347*D348&gt;0,AVERAGE(D$347,D348),""),"")</f>
        <v/>
      </c>
      <c r="E368" s="291" t="str">
        <f aca="false">IFERROR(IF(E$347*E348&gt;0,AVERAGE(E$347,E348),""),"")</f>
        <v/>
      </c>
      <c r="F368" s="291" t="str">
        <f aca="false">IFERROR(IF(F$347*F348&gt;0,AVERAGE(F$347,F348),""),"")</f>
        <v/>
      </c>
      <c r="G368" s="291" t="str">
        <f aca="false">IFERROR(IF(G$347*G348&gt;0,AVERAGE(G$347,G348),""),"")</f>
        <v/>
      </c>
      <c r="H368" s="291" t="str">
        <f aca="false">IFERROR(IF(H$347*H348&gt;0,AVERAGE(H$347,H348),""),"")</f>
        <v/>
      </c>
      <c r="I368" s="291" t="str">
        <f aca="false">IFERROR(IF(I$347*I348&gt;0,AVERAGE(I$347,I348),""),"")</f>
        <v/>
      </c>
      <c r="J368" s="291" t="str">
        <f aca="false">IFERROR(IF(J$347*J348&gt;0,AVERAGE(J$347,J348),""),"")</f>
        <v/>
      </c>
      <c r="K368" s="291" t="str">
        <f aca="false">IFERROR(IF(K$347*K348&gt;0,AVERAGE(K$347,K348),""),"")</f>
        <v/>
      </c>
      <c r="L368" s="291" t="str">
        <f aca="false">IFERROR(IF(L$347*L348&gt;0,AVERAGE(L$347,L348),""),"")</f>
        <v/>
      </c>
      <c r="M368" s="291" t="str">
        <f aca="false">IFERROR(IF(M$347*M348&gt;0,AVERAGE(M$347,M348),""),"")</f>
        <v/>
      </c>
      <c r="N368" s="291" t="str">
        <f aca="false">IFERROR(IF(N$347*N348&gt;0,AVERAGE(N$347,N348),""),"")</f>
        <v/>
      </c>
      <c r="O368" s="292" t="n">
        <v>2</v>
      </c>
      <c r="P368" s="282" t="n">
        <f aca="false">COMBIN(7,2)</f>
        <v>21</v>
      </c>
      <c r="Q368" s="283" t="n">
        <f aca="false">ROW(N388)-ROW(N368)+1</f>
        <v>21</v>
      </c>
      <c r="R368" s="293" t="s">
        <v>285</v>
      </c>
      <c r="S368" s="294" t="str">
        <f aca="false">IFERROR(IF(C$347*C348&gt;0,STDEV(C$347,C348),"")/IF(C$347*C348&gt;0,AVERAGE(C$347,C348),""),"")</f>
        <v/>
      </c>
      <c r="T368" s="294" t="str">
        <f aca="false">IFERROR(IF(D$347*D348&gt;0,STDEV(D$347,D348),"")/IF(D$347*D348&gt;0,AVERAGE(D$347,D348),""),"")</f>
        <v/>
      </c>
      <c r="U368" s="294" t="str">
        <f aca="false">IFERROR(IF(E$347*E348&gt;0,STDEV(E$347,E348),"")/IF(E$347*E348&gt;0,AVERAGE(E$347,E348),""),"")</f>
        <v/>
      </c>
      <c r="V368" s="294" t="str">
        <f aca="false">IFERROR(IF(F$347*F348&gt;0,STDEV(F$347,F348),"")/IF(F$347*F348&gt;0,AVERAGE(F$347,F348),""),"")</f>
        <v/>
      </c>
      <c r="W368" s="294" t="str">
        <f aca="false">IFERROR(IF(G$347*G348&gt;0,STDEV(G$347,G348),"")/IF(G$347*G348&gt;0,AVERAGE(G$347,G348),""),"")</f>
        <v/>
      </c>
      <c r="X368" s="294" t="str">
        <f aca="false">IFERROR(IF(H$347*H348&gt;0,STDEV(H$347,H348),"")/IF(H$347*H348&gt;0,AVERAGE(H$347,H348),""),"")</f>
        <v/>
      </c>
      <c r="Y368" s="294" t="str">
        <f aca="false">IFERROR(IF(I$347*I348&gt;0,STDEV(I$347,I348),"")/IF(I$347*I348&gt;0,AVERAGE(I$347,I348),""),"")</f>
        <v/>
      </c>
      <c r="Z368" s="294" t="str">
        <f aca="false">IFERROR(IF(J$347*J348&gt;0,STDEV(J$347,J348),"")/IF(J$347*J348&gt;0,AVERAGE(J$347,J348),""),"")</f>
        <v/>
      </c>
      <c r="AA368" s="294" t="str">
        <f aca="false">IFERROR(IF(K$347*K348&gt;0,STDEV(K$347,K348),"")/IF(K$347*K348&gt;0,AVERAGE(K$347,K348),""),"")</f>
        <v/>
      </c>
      <c r="AB368" s="294" t="str">
        <f aca="false">IFERROR(IF(L$347*L348&gt;0,STDEV(L$347,L348),"")/IF(L$347*L348&gt;0,AVERAGE(L$347,L348),""),"")</f>
        <v/>
      </c>
      <c r="AC368" s="294" t="str">
        <f aca="false">IFERROR(IF(M$347*M348&gt;0,STDEV(M$347,M348),"")/IF(M$347*M348&gt;0,AVERAGE(M$347,M348),""),"")</f>
        <v/>
      </c>
      <c r="AD368" s="294" t="str">
        <f aca="false">IFERROR(IF(N$347*N348&gt;0,STDEV(N$347,N348),"")/IF(N$347*N348&gt;0,AVERAGE(N$347,N348),""),"")</f>
        <v/>
      </c>
      <c r="AE368" s="120"/>
      <c r="AF368" s="266" t="s">
        <v>286</v>
      </c>
      <c r="AG368" s="287" t="str">
        <f aca="false">IFERROR(IF(C$347*C348&gt;0,STDEV(C$347,C348)," ")/IF(C$347*C348&gt;0,SQRT(COUNT(C$347,C348)),""),"")</f>
        <v/>
      </c>
      <c r="AH368" s="287" t="str">
        <f aca="false">IFERROR(IF(D$347*D348&gt;0,STDEV(D$347,D348)," ")/IF(D$347*D348&gt;0,SQRT(COUNT(D$347,D348)),""),"")</f>
        <v/>
      </c>
      <c r="AI368" s="287" t="str">
        <f aca="false">IFERROR(IF(E$347*E348&gt;0,STDEV(E$347,E348)," ")/IF(E$347*E348&gt;0,SQRT(COUNT(E$347,E348)),""),"")</f>
        <v/>
      </c>
      <c r="AJ368" s="287" t="str">
        <f aca="false">IFERROR(IF(F$347*F348&gt;0,STDEV(F$347,F348)," ")/IF(F$347*F348&gt;0,SQRT(COUNT(F$347,F348)),""),"")</f>
        <v/>
      </c>
      <c r="AK368" s="287" t="str">
        <f aca="false">IFERROR(IF(G$347*G348&gt;0,STDEV(G$347,G348)," ")/IF(G$347*G348&gt;0,SQRT(COUNT(G$347,G348)),""),"")</f>
        <v/>
      </c>
      <c r="AL368" s="287" t="str">
        <f aca="false">IFERROR(IF(H$347*H348&gt;0,STDEV(H$347,H348)," ")/IF(H$347*H348&gt;0,SQRT(COUNT(H$347,H348)),""),"")</f>
        <v/>
      </c>
      <c r="AM368" s="287" t="str">
        <f aca="false">IFERROR(IF(I$347*I348&gt;0,STDEV(I$347,I348)," ")/IF(I$347*I348&gt;0,SQRT(COUNT(I$347,I348)),""),"")</f>
        <v/>
      </c>
      <c r="AN368" s="287" t="str">
        <f aca="false">IFERROR(IF(J$347*J348&gt;0,STDEV(J$347,J348)," ")/IF(J$347*J348&gt;0,SQRT(COUNT(J$347,J348)),""),"")</f>
        <v/>
      </c>
      <c r="AO368" s="287" t="str">
        <f aca="false">IFERROR(IF(K$347*K348&gt;0,STDEV(K$347,K348)," ")/IF(K$347*K348&gt;0,SQRT(COUNT(K$347,K348)),""),"")</f>
        <v/>
      </c>
      <c r="AP368" s="287" t="str">
        <f aca="false">IFERROR(IF(L$347*L348&gt;0,STDEV(L$347,L348)," ")/IF(L$347*L348&gt;0,SQRT(COUNT(L$347,L348)),""),"")</f>
        <v/>
      </c>
      <c r="AQ368" s="287" t="str">
        <f aca="false">IFERROR(IF(M$347*M348&gt;0,STDEV(M$347,M348)," ")/IF(M$347*M348&gt;0,SQRT(COUNT(M$347,M348)),""),"")</f>
        <v/>
      </c>
      <c r="AR368" s="287" t="str">
        <f aca="false">IFERROR(IF(N$347*N348&gt;0,STDEV(N$347,N348)," ")/IF(N$347*N348&gt;0,SQRT(COUNT(N$347,N348)),""),"")</f>
        <v/>
      </c>
    </row>
    <row r="369" customFormat="false" ht="15.75" hidden="false" customHeight="false" outlineLevel="0" collapsed="false">
      <c r="A369" s="290" t="s">
        <v>287</v>
      </c>
      <c r="B369" s="281"/>
      <c r="C369" s="291" t="str">
        <f aca="false">IFERROR(IF(C$347*C349&gt;0,AVERAGE(C$347,C349),""),"")</f>
        <v/>
      </c>
      <c r="D369" s="291" t="str">
        <f aca="false">IFERROR(IF(D$347*D349&gt;0,AVERAGE(D$347,D349),""),"")</f>
        <v/>
      </c>
      <c r="E369" s="291" t="str">
        <f aca="false">IFERROR(IF(E$347*E349&gt;0,AVERAGE(E$347,E349),""),"")</f>
        <v/>
      </c>
      <c r="F369" s="291" t="str">
        <f aca="false">IFERROR(IF(F$347*F349&gt;0,AVERAGE(F$347,F349),""),"")</f>
        <v/>
      </c>
      <c r="G369" s="291" t="str">
        <f aca="false">IFERROR(IF(G$347*G349&gt;0,AVERAGE(G$347,G349),""),"")</f>
        <v/>
      </c>
      <c r="H369" s="291" t="str">
        <f aca="false">IFERROR(IF(H$347*H349&gt;0,AVERAGE(H$347,H349),""),"")</f>
        <v/>
      </c>
      <c r="I369" s="291" t="str">
        <f aca="false">IFERROR(IF(I$347*I349&gt;0,AVERAGE(I$347,I349),""),"")</f>
        <v/>
      </c>
      <c r="J369" s="291" t="str">
        <f aca="false">IFERROR(IF(J$347*J349&gt;0,AVERAGE(J$347,J349),""),"")</f>
        <v/>
      </c>
      <c r="K369" s="291" t="str">
        <f aca="false">IFERROR(IF(K$347*K349&gt;0,AVERAGE(K$347,K349),""),"")</f>
        <v/>
      </c>
      <c r="L369" s="291" t="str">
        <f aca="false">IFERROR(IF(L$347*L349&gt;0,AVERAGE(L$347,L349),""),"")</f>
        <v/>
      </c>
      <c r="M369" s="291" t="str">
        <f aca="false">IFERROR(IF(M$347*M349&gt;0,AVERAGE(M$347,M349),""),"")</f>
        <v/>
      </c>
      <c r="N369" s="291" t="str">
        <f aca="false">IFERROR(IF(N$347*N349&gt;0,AVERAGE(N$347,N349),""),"")</f>
        <v/>
      </c>
      <c r="O369" s="295"/>
      <c r="P369" s="282"/>
      <c r="Q369" s="296"/>
      <c r="R369" s="293" t="s">
        <v>288</v>
      </c>
      <c r="S369" s="294" t="str">
        <f aca="false">IFERROR(IF(C$347*C349&gt;0,STDEV(C$347,C349),"")/IF(C$347*C349&gt;0,AVERAGE(C$347,C349),""),"")</f>
        <v/>
      </c>
      <c r="T369" s="294" t="str">
        <f aca="false">IFERROR(IF(D$347*D349&gt;0,STDEV(D$347,D349),"")/IF(D$347*D349&gt;0,AVERAGE(D$347,D349),""),"")</f>
        <v/>
      </c>
      <c r="U369" s="294" t="str">
        <f aca="false">IFERROR(IF(E$347*E349&gt;0,STDEV(E$347,E349),"")/IF(E$347*E349&gt;0,AVERAGE(E$347,E349),""),"")</f>
        <v/>
      </c>
      <c r="V369" s="294" t="str">
        <f aca="false">IFERROR(IF(F$347*F349&gt;0,STDEV(F$347,F349),"")/IF(F$347*F349&gt;0,AVERAGE(F$347,F349),""),"")</f>
        <v/>
      </c>
      <c r="W369" s="294" t="str">
        <f aca="false">IFERROR(IF(G$347*G349&gt;0,STDEV(G$347,G349),"")/IF(G$347*G349&gt;0,AVERAGE(G$347,G349),""),"")</f>
        <v/>
      </c>
      <c r="X369" s="294" t="str">
        <f aca="false">IFERROR(IF(H$347*H349&gt;0,STDEV(H$347,H349),"")/IF(H$347*H349&gt;0,AVERAGE(H$347,H349),""),"")</f>
        <v/>
      </c>
      <c r="Y369" s="294" t="str">
        <f aca="false">IFERROR(IF(I$347*I349&gt;0,STDEV(I$347,I349),"")/IF(I$347*I349&gt;0,AVERAGE(I$347,I349),""),"")</f>
        <v/>
      </c>
      <c r="Z369" s="294" t="str">
        <f aca="false">IFERROR(IF(J$347*J349&gt;0,STDEV(J$347,J349),"")/IF(J$347*J349&gt;0,AVERAGE(J$347,J349),""),"")</f>
        <v/>
      </c>
      <c r="AA369" s="294" t="str">
        <f aca="false">IFERROR(IF(K$347*K349&gt;0,STDEV(K$347,K349),"")/IF(K$347*K349&gt;0,AVERAGE(K$347,K349),""),"")</f>
        <v/>
      </c>
      <c r="AB369" s="294" t="str">
        <f aca="false">IFERROR(IF(L$347*L349&gt;0,STDEV(L$347,L349),"")/IF(L$347*L349&gt;0,AVERAGE(L$347,L349),""),"")</f>
        <v/>
      </c>
      <c r="AC369" s="294" t="str">
        <f aca="false">IFERROR(IF(M$347*M349&gt;0,STDEV(M$347,M349),"")/IF(M$347*M349&gt;0,AVERAGE(M$347,M349),""),"")</f>
        <v/>
      </c>
      <c r="AD369" s="294" t="str">
        <f aca="false">IFERROR(IF(N$347*N349&gt;0,STDEV(N$347,N349),"")/IF(N$347*N349&gt;0,AVERAGE(N$347,N349),""),"")</f>
        <v/>
      </c>
      <c r="AE369" s="44"/>
      <c r="AF369" s="266" t="s">
        <v>289</v>
      </c>
      <c r="AG369" s="287" t="str">
        <f aca="false">IFERROR(IF(C$347*C348&gt;0,STDEV(C$347,C348)," ")/IF(C$347*C348&gt;0,SQRT(COUNT(C$347,C348)),""),"")</f>
        <v/>
      </c>
      <c r="AH369" s="287" t="str">
        <f aca="false">IFERROR(IF(D$347*D348&gt;0,STDEV(D$347,D348)," ")/IF(D$347*D348&gt;0,SQRT(COUNT(D$347,D348)),""),"")</f>
        <v/>
      </c>
      <c r="AI369" s="287" t="str">
        <f aca="false">IFERROR(IF(E$347*E348&gt;0,STDEV(E$347,E348)," ")/IF(E$347*E348&gt;0,SQRT(COUNT(E$347,E348)),""),"")</f>
        <v/>
      </c>
      <c r="AJ369" s="287" t="str">
        <f aca="false">IFERROR(IF(F$347*F348&gt;0,STDEV(F$347,F348)," ")/IF(F$347*F348&gt;0,SQRT(COUNT(F$347,F348)),""),"")</f>
        <v/>
      </c>
      <c r="AK369" s="287" t="str">
        <f aca="false">IFERROR(IF(G$347*G348&gt;0,STDEV(G$347,G348)," ")/IF(G$347*G348&gt;0,SQRT(COUNT(G$347,G348)),""),"")</f>
        <v/>
      </c>
      <c r="AL369" s="287" t="str">
        <f aca="false">IFERROR(IF(H$347*H348&gt;0,STDEV(H$347,H348)," ")/IF(H$347*H348&gt;0,SQRT(COUNT(H$347,H348)),""),"")</f>
        <v/>
      </c>
      <c r="AM369" s="287" t="str">
        <f aca="false">IFERROR(IF(I$347*I348&gt;0,STDEV(I$347,I348)," ")/IF(I$347*I348&gt;0,SQRT(COUNT(I$347,I348)),""),"")</f>
        <v/>
      </c>
      <c r="AN369" s="287" t="str">
        <f aca="false">IFERROR(IF(J$347*J348&gt;0,STDEV(J$347,J348)," ")/IF(J$347*J348&gt;0,SQRT(COUNT(J$347,J348)),""),"")</f>
        <v/>
      </c>
      <c r="AO369" s="287" t="str">
        <f aca="false">IFERROR(IF(K$347*K348&gt;0,STDEV(K$347,K348)," ")/IF(K$347*K348&gt;0,SQRT(COUNT(K$347,K348)),""),"")</f>
        <v/>
      </c>
      <c r="AP369" s="287" t="str">
        <f aca="false">IFERROR(IF(L$347*L348&gt;0,STDEV(L$347,L348)," ")/IF(L$347*L348&gt;0,SQRT(COUNT(L$347,L348)),""),"")</f>
        <v/>
      </c>
      <c r="AQ369" s="287" t="str">
        <f aca="false">IFERROR(IF(M$347*M348&gt;0,STDEV(M$347,M348)," ")/IF(M$347*M348&gt;0,SQRT(COUNT(M$347,M348)),""),"")</f>
        <v/>
      </c>
      <c r="AR369" s="287" t="str">
        <f aca="false">IFERROR(IF(N$347*N348&gt;0,STDEV(N$347,N348)," ")/IF(N$347*N348&gt;0,SQRT(COUNT(N$347,N348)),""),"")</f>
        <v/>
      </c>
    </row>
    <row r="370" customFormat="false" ht="15.75" hidden="false" customHeight="false" outlineLevel="0" collapsed="false">
      <c r="A370" s="290" t="s">
        <v>290</v>
      </c>
      <c r="B370" s="281"/>
      <c r="C370" s="291" t="str">
        <f aca="false">IFERROR(IF(C$347*C350&gt;0,AVERAGE(C$347,C350),""),"")</f>
        <v/>
      </c>
      <c r="D370" s="291" t="str">
        <f aca="false">IFERROR(IF(D$347*D350&gt;0,AVERAGE(D$347,D350),""),"")</f>
        <v/>
      </c>
      <c r="E370" s="291" t="str">
        <f aca="false">IFERROR(IF(E$347*E350&gt;0,AVERAGE(E$347,E350),""),"")</f>
        <v/>
      </c>
      <c r="F370" s="291" t="str">
        <f aca="false">IFERROR(IF(F$347*F350&gt;0,AVERAGE(F$347,F350),""),"")</f>
        <v/>
      </c>
      <c r="G370" s="291" t="str">
        <f aca="false">IFERROR(IF(G$347*G350&gt;0,AVERAGE(G$347,G350),""),"")</f>
        <v/>
      </c>
      <c r="H370" s="291" t="str">
        <f aca="false">IFERROR(IF(H$347*H350&gt;0,AVERAGE(H$347,H350),""),"")</f>
        <v/>
      </c>
      <c r="I370" s="291" t="str">
        <f aca="false">IFERROR(IF(I$347*I350&gt;0,AVERAGE(I$347,I350),""),"")</f>
        <v/>
      </c>
      <c r="J370" s="291" t="str">
        <f aca="false">IFERROR(IF(J$347*J350&gt;0,AVERAGE(J$347,J350),""),"")</f>
        <v/>
      </c>
      <c r="K370" s="291" t="str">
        <f aca="false">IFERROR(IF(K$347*K350&gt;0,AVERAGE(K$347,K350),""),"")</f>
        <v/>
      </c>
      <c r="L370" s="291" t="str">
        <f aca="false">IFERROR(IF(L$347*L350&gt;0,AVERAGE(L$347,L350),""),"")</f>
        <v/>
      </c>
      <c r="M370" s="291" t="str">
        <f aca="false">IFERROR(IF(M$347*M350&gt;0,AVERAGE(M$347,M350),""),"")</f>
        <v/>
      </c>
      <c r="N370" s="291" t="str">
        <f aca="false">IFERROR(IF(N$347*N350&gt;0,AVERAGE(N$347,N350),""),"")</f>
        <v/>
      </c>
      <c r="O370" s="282"/>
      <c r="P370" s="282"/>
      <c r="Q370" s="296"/>
      <c r="R370" s="293" t="s">
        <v>291</v>
      </c>
      <c r="S370" s="294" t="str">
        <f aca="false">IFERROR(IF(C$347*C350&gt;0,STDEV(C$347,C350),"")/IF(C$347*C350&gt;0,AVERAGE(C$347,C350),""),"")</f>
        <v/>
      </c>
      <c r="T370" s="294" t="str">
        <f aca="false">IFERROR(IF(D$347*D350&gt;0,STDEV(D$347,D350),"")/IF(D$347*D350&gt;0,AVERAGE(D$347,D350),""),"")</f>
        <v/>
      </c>
      <c r="U370" s="294" t="str">
        <f aca="false">IFERROR(IF(E$347*E350&gt;0,STDEV(E$347,E350),"")/IF(E$347*E350&gt;0,AVERAGE(E$347,E350),""),"")</f>
        <v/>
      </c>
      <c r="V370" s="294" t="str">
        <f aca="false">IFERROR(IF(F$347*F350&gt;0,STDEV(F$347,F350),"")/IF(F$347*F350&gt;0,AVERAGE(F$347,F350),""),"")</f>
        <v/>
      </c>
      <c r="W370" s="294" t="str">
        <f aca="false">IFERROR(IF(G$347*G350&gt;0,STDEV(G$347,G350),"")/IF(G$347*G350&gt;0,AVERAGE(G$347,G350),""),"")</f>
        <v/>
      </c>
      <c r="X370" s="294" t="str">
        <f aca="false">IFERROR(IF(H$347*H350&gt;0,STDEV(H$347,H350),"")/IF(H$347*H350&gt;0,AVERAGE(H$347,H350),""),"")</f>
        <v/>
      </c>
      <c r="Y370" s="294" t="str">
        <f aca="false">IFERROR(IF(I$347*I350&gt;0,STDEV(I$347,I350),"")/IF(I$347*I350&gt;0,AVERAGE(I$347,I350),""),"")</f>
        <v/>
      </c>
      <c r="Z370" s="294" t="str">
        <f aca="false">IFERROR(IF(J$347*J350&gt;0,STDEV(J$347,J350),"")/IF(J$347*J350&gt;0,AVERAGE(J$347,J350),""),"")</f>
        <v/>
      </c>
      <c r="AA370" s="294" t="str">
        <f aca="false">IFERROR(IF(K$347*K350&gt;0,STDEV(K$347,K350),"")/IF(K$347*K350&gt;0,AVERAGE(K$347,K350),""),"")</f>
        <v/>
      </c>
      <c r="AB370" s="294" t="str">
        <f aca="false">IFERROR(IF(L$347*L350&gt;0,STDEV(L$347,L350),"")/IF(L$347*L350&gt;0,AVERAGE(L$347,L350),""),"")</f>
        <v/>
      </c>
      <c r="AC370" s="294" t="str">
        <f aca="false">IFERROR(IF(M$347*M350&gt;0,STDEV(M$347,M350),"")/IF(M$347*M350&gt;0,AVERAGE(M$347,M350),""),"")</f>
        <v/>
      </c>
      <c r="AD370" s="294" t="str">
        <f aca="false">IFERROR(IF(N$347*N350&gt;0,STDEV(N$347,N350),"")/IF(N$347*N350&gt;0,AVERAGE(N$347,N350),""),"")</f>
        <v/>
      </c>
      <c r="AE370" s="44"/>
      <c r="AF370" s="266" t="s">
        <v>292</v>
      </c>
      <c r="AG370" s="287" t="str">
        <f aca="false">IFERROR(IF(C$10*C178&gt;0,STDEV(C$347,C350)," ")/IF(C$347*C350&gt;0,SQRT(COUNT(C$347,C350))," "),"")</f>
        <v/>
      </c>
      <c r="AH370" s="287" t="str">
        <f aca="false">IFERROR(IF(D$10*D178&gt;0,STDEV(D$347,D350)," ")/IF(D$347*D350&gt;0,SQRT(COUNT(D$347,D350))," "),"")</f>
        <v/>
      </c>
      <c r="AI370" s="287" t="str">
        <f aca="false">IFERROR(IF(E$10*E178&gt;0,STDEV(E$347,E350)," ")/IF(E$347*E350&gt;0,SQRT(COUNT(E$347,E350))," "),"")</f>
        <v/>
      </c>
      <c r="AJ370" s="287" t="str">
        <f aca="false">IFERROR(IF(F$10*F178&gt;0,STDEV(F$347,F350)," ")/IF(F$347*F350&gt;0,SQRT(COUNT(F$347,F350))," "),"")</f>
        <v/>
      </c>
      <c r="AK370" s="287" t="str">
        <f aca="false">IFERROR(IF(G$10*G178&gt;0,STDEV(G$347,G350)," ")/IF(G$347*G350&gt;0,SQRT(COUNT(G$347,G350))," "),"")</f>
        <v/>
      </c>
      <c r="AL370" s="287" t="str">
        <f aca="false">IFERROR(IF(H$10*H178&gt;0,STDEV(H$347,H350)," ")/IF(H$347*H350&gt;0,SQRT(COUNT(H$347,H350))," "),"")</f>
        <v/>
      </c>
      <c r="AM370" s="287" t="str">
        <f aca="false">IFERROR(IF(I$10*I178&gt;0,STDEV(I$347,I350)," ")/IF(I$347*I350&gt;0,SQRT(COUNT(I$347,I350))," "),"")</f>
        <v/>
      </c>
      <c r="AN370" s="287" t="str">
        <f aca="false">IFERROR(IF(J$10*J178&gt;0,STDEV(J$347,J350)," ")/IF(J$347*J350&gt;0,SQRT(COUNT(J$347,J350))," "),"")</f>
        <v/>
      </c>
      <c r="AO370" s="287" t="str">
        <f aca="false">IFERROR(IF(K$10*K178&gt;0,STDEV(K$347,K350)," ")/IF(K$347*K350&gt;0,SQRT(COUNT(K$347,K350))," "),"")</f>
        <v/>
      </c>
      <c r="AP370" s="287" t="str">
        <f aca="false">IFERROR(IF(L$10*L178&gt;0,STDEV(L$347,L350)," ")/IF(L$347*L350&gt;0,SQRT(COUNT(L$347,L350))," "),"")</f>
        <v/>
      </c>
      <c r="AQ370" s="287" t="str">
        <f aca="false">IFERROR(IF(M$10*M178&gt;0,STDEV(M$347,M350)," ")/IF(M$347*M350&gt;0,SQRT(COUNT(M$347,M350))," "),"")</f>
        <v/>
      </c>
      <c r="AR370" s="287" t="str">
        <f aca="false">IFERROR(IF(N$10*N178&gt;0,STDEV(N$347,N350)," ")/IF(N$347*N350&gt;0,SQRT(COUNT(N$347,N350))," "),"")</f>
        <v/>
      </c>
    </row>
    <row r="371" customFormat="false" ht="15.75" hidden="false" customHeight="false" outlineLevel="0" collapsed="false">
      <c r="A371" s="290" t="s">
        <v>293</v>
      </c>
      <c r="B371" s="281"/>
      <c r="C371" s="291" t="str">
        <f aca="false">IFERROR(IF(C$347*C351&gt;0,AVERAGE(C$347,C351),""),"")</f>
        <v/>
      </c>
      <c r="D371" s="291" t="str">
        <f aca="false">IFERROR(IF(D$347*D351&gt;0,AVERAGE(D$347,D351),""),"")</f>
        <v/>
      </c>
      <c r="E371" s="291" t="str">
        <f aca="false">IFERROR(IF(E$347*E351&gt;0,AVERAGE(E$347,E351),""),"")</f>
        <v/>
      </c>
      <c r="F371" s="291" t="str">
        <f aca="false">IFERROR(IF(F$347*F351&gt;0,AVERAGE(F$347,F351),""),"")</f>
        <v/>
      </c>
      <c r="G371" s="291" t="str">
        <f aca="false">IFERROR(IF(G$347*G351&gt;0,AVERAGE(G$347,G351),""),"")</f>
        <v/>
      </c>
      <c r="H371" s="291" t="str">
        <f aca="false">IFERROR(IF(H$347*H351&gt;0,AVERAGE(H$347,H351),""),"")</f>
        <v/>
      </c>
      <c r="I371" s="291" t="str">
        <f aca="false">IFERROR(IF(I$347*I351&gt;0,AVERAGE(I$347,I351),""),"")</f>
        <v/>
      </c>
      <c r="J371" s="291" t="str">
        <f aca="false">IFERROR(IF(J$347*J351&gt;0,AVERAGE(J$347,J351),""),"")</f>
        <v/>
      </c>
      <c r="K371" s="291" t="str">
        <f aca="false">IFERROR(IF(K$347*K351&gt;0,AVERAGE(K$347,K351),""),"")</f>
        <v/>
      </c>
      <c r="L371" s="291" t="str">
        <f aca="false">IFERROR(IF(L$347*L351&gt;0,AVERAGE(L$347,L351),""),"")</f>
        <v/>
      </c>
      <c r="M371" s="291" t="str">
        <f aca="false">IFERROR(IF(M$347*M351&gt;0,AVERAGE(M$347,M351),""),"")</f>
        <v/>
      </c>
      <c r="N371" s="291" t="str">
        <f aca="false">IFERROR(IF(N$347*N351&gt;0,AVERAGE(N$347,N351),""),"")</f>
        <v/>
      </c>
      <c r="O371" s="282"/>
      <c r="P371" s="282"/>
      <c r="Q371" s="296"/>
      <c r="R371" s="293" t="s">
        <v>294</v>
      </c>
      <c r="S371" s="294" t="str">
        <f aca="false">IFERROR(IF(C$347*C351&gt;0,STDEV(C$347,C351),"")/IF(C$347*C351&gt;0,AVERAGE(C$347,C351),""),"")</f>
        <v/>
      </c>
      <c r="T371" s="294" t="str">
        <f aca="false">IFERROR(IF(D$347*D351&gt;0,STDEV(D$347,D351),"")/IF(D$347*D351&gt;0,AVERAGE(D$347,D351),""),"")</f>
        <v/>
      </c>
      <c r="U371" s="294" t="str">
        <f aca="false">IFERROR(IF(E$347*E351&gt;0,STDEV(E$347,E351),"")/IF(E$347*E351&gt;0,AVERAGE(E$347,E351),""),"")</f>
        <v/>
      </c>
      <c r="V371" s="294" t="str">
        <f aca="false">IFERROR(IF(F$347*F351&gt;0,STDEV(F$347,F351),"")/IF(F$347*F351&gt;0,AVERAGE(F$347,F351),""),"")</f>
        <v/>
      </c>
      <c r="W371" s="294" t="str">
        <f aca="false">IFERROR(IF(G$347*G351&gt;0,STDEV(G$347,G351),"")/IF(G$347*G351&gt;0,AVERAGE(G$347,G351),""),"")</f>
        <v/>
      </c>
      <c r="X371" s="294" t="str">
        <f aca="false">IFERROR(IF(H$347*H351&gt;0,STDEV(H$347,H351),"")/IF(H$347*H351&gt;0,AVERAGE(H$347,H351),""),"")</f>
        <v/>
      </c>
      <c r="Y371" s="294" t="str">
        <f aca="false">IFERROR(IF(I$347*I351&gt;0,STDEV(I$347,I351),"")/IF(I$347*I351&gt;0,AVERAGE(I$347,I351),""),"")</f>
        <v/>
      </c>
      <c r="Z371" s="294" t="str">
        <f aca="false">IFERROR(IF(J$347*J351&gt;0,STDEV(J$347,J351),"")/IF(J$347*J351&gt;0,AVERAGE(J$347,J351),""),"")</f>
        <v/>
      </c>
      <c r="AA371" s="294" t="str">
        <f aca="false">IFERROR(IF(K$347*K351&gt;0,STDEV(K$347,K351),"")/IF(K$347*K351&gt;0,AVERAGE(K$347,K351),""),"")</f>
        <v/>
      </c>
      <c r="AB371" s="294" t="str">
        <f aca="false">IFERROR(IF(L$347*L351&gt;0,STDEV(L$347,L351),"")/IF(L$347*L351&gt;0,AVERAGE(L$347,L351),""),"")</f>
        <v/>
      </c>
      <c r="AC371" s="294" t="str">
        <f aca="false">IFERROR(IF(M$347*M351&gt;0,STDEV(M$347,M351),"")/IF(M$347*M351&gt;0,AVERAGE(M$347,M351),""),"")</f>
        <v/>
      </c>
      <c r="AD371" s="294" t="str">
        <f aca="false">IFERROR(IF(N$347*N351&gt;0,STDEV(N$347,N351),"")/IF(N$347*N351&gt;0,AVERAGE(N$347,N351),""),"")</f>
        <v/>
      </c>
      <c r="AE371" s="44"/>
      <c r="AF371" s="266" t="s">
        <v>295</v>
      </c>
      <c r="AG371" s="287" t="str">
        <f aca="false">IFERROR(IF(C$347*C351&gt;0,STDEV(C$347,C351)," ")/IF(C$347*C351&gt;0,SQRT(COUNT(C$347,C351))," "),"")</f>
        <v/>
      </c>
      <c r="AH371" s="287" t="str">
        <f aca="false">IFERROR(IF(D$347*D351&gt;0,STDEV(D$347,D351)," ")/IF(D$347*D351&gt;0,SQRT(COUNT(D$347,D351))," "),"")</f>
        <v/>
      </c>
      <c r="AI371" s="287" t="str">
        <f aca="false">IFERROR(IF(E$347*E351&gt;0,STDEV(E$347,E351)," ")/IF(E$347*E351&gt;0,SQRT(COUNT(E$347,E351))," "),"")</f>
        <v/>
      </c>
      <c r="AJ371" s="287" t="str">
        <f aca="false">IFERROR(IF(F$347*F351&gt;0,STDEV(F$347,F351)," ")/IF(F$347*F351&gt;0,SQRT(COUNT(F$347,F351))," "),"")</f>
        <v/>
      </c>
      <c r="AK371" s="287" t="str">
        <f aca="false">IFERROR(IF(G$347*G351&gt;0,STDEV(G$347,G351)," ")/IF(G$347*G351&gt;0,SQRT(COUNT(G$347,G351))," "),"")</f>
        <v/>
      </c>
      <c r="AL371" s="287" t="str">
        <f aca="false">IFERROR(IF(H$347*H351&gt;0,STDEV(H$347,H351)," ")/IF(H$347*H351&gt;0,SQRT(COUNT(H$347,H351))," "),"")</f>
        <v/>
      </c>
      <c r="AM371" s="287" t="str">
        <f aca="false">IFERROR(IF(I$347*I351&gt;0,STDEV(I$347,I351)," ")/IF(I$347*I351&gt;0,SQRT(COUNT(I$347,I351))," "),"")</f>
        <v/>
      </c>
      <c r="AN371" s="287" t="str">
        <f aca="false">IFERROR(IF(J$347*J351&gt;0,STDEV(J$347,J351)," ")/IF(J$347*J351&gt;0,SQRT(COUNT(J$347,J351))," "),"")</f>
        <v/>
      </c>
      <c r="AO371" s="287" t="str">
        <f aca="false">IFERROR(IF(K$347*K351&gt;0,STDEV(K$347,K351)," ")/IF(K$347*K351&gt;0,SQRT(COUNT(K$347,K351))," "),"")</f>
        <v/>
      </c>
      <c r="AP371" s="287" t="str">
        <f aca="false">IFERROR(IF(L$347*L351&gt;0,STDEV(L$347,L351)," ")/IF(L$347*L351&gt;0,SQRT(COUNT(L$347,L351))," "),"")</f>
        <v/>
      </c>
      <c r="AQ371" s="287" t="str">
        <f aca="false">IFERROR(IF(M$347*M351&gt;0,STDEV(M$347,M351)," ")/IF(M$347*M351&gt;0,SQRT(COUNT(M$347,M351))," "),"")</f>
        <v/>
      </c>
      <c r="AR371" s="287" t="str">
        <f aca="false">IFERROR(IF(N$347*N351&gt;0,STDEV(N$347,N351)," ")/IF(N$347*N351&gt;0,SQRT(COUNT(N$347,N351))," "),"")</f>
        <v/>
      </c>
    </row>
    <row r="372" customFormat="false" ht="15.75" hidden="false" customHeight="false" outlineLevel="0" collapsed="false">
      <c r="A372" s="290" t="s">
        <v>296</v>
      </c>
      <c r="B372" s="281"/>
      <c r="C372" s="291" t="str">
        <f aca="false">IFERROR(IF(C$347*C352&gt;0,AVERAGE(C$347,C352),""),"")</f>
        <v/>
      </c>
      <c r="D372" s="291" t="str">
        <f aca="false">IFERROR(IF(D$347*D352&gt;0,AVERAGE(D$347,D352),""),"")</f>
        <v/>
      </c>
      <c r="E372" s="291" t="str">
        <f aca="false">IFERROR(IF(E$347*E352&gt;0,AVERAGE(E$347,E352),""),"")</f>
        <v/>
      </c>
      <c r="F372" s="291" t="str">
        <f aca="false">IFERROR(IF(F$347*F352&gt;0,AVERAGE(F$347,F352),""),"")</f>
        <v/>
      </c>
      <c r="G372" s="291" t="str">
        <f aca="false">IFERROR(IF(G$347*G352&gt;0,AVERAGE(G$347,G352),""),"")</f>
        <v/>
      </c>
      <c r="H372" s="291" t="str">
        <f aca="false">IFERROR(IF(H$347*H352&gt;0,AVERAGE(H$347,H352),""),"")</f>
        <v/>
      </c>
      <c r="I372" s="291" t="str">
        <f aca="false">IFERROR(IF(I$347*I352&gt;0,AVERAGE(I$347,I352),""),"")</f>
        <v/>
      </c>
      <c r="J372" s="291" t="str">
        <f aca="false">IFERROR(IF(J$347*J352&gt;0,AVERAGE(J$347,J352),""),"")</f>
        <v/>
      </c>
      <c r="K372" s="291" t="str">
        <f aca="false">IFERROR(IF(K$347*K352&gt;0,AVERAGE(K$347,K352),""),"")</f>
        <v/>
      </c>
      <c r="L372" s="291" t="str">
        <f aca="false">IFERROR(IF(L$347*L352&gt;0,AVERAGE(L$347,L352),""),"")</f>
        <v/>
      </c>
      <c r="M372" s="291" t="str">
        <f aca="false">IFERROR(IF(M$347*M352&gt;0,AVERAGE(M$347,M352),""),"")</f>
        <v/>
      </c>
      <c r="N372" s="291" t="str">
        <f aca="false">IFERROR(IF(N$347*N352&gt;0,AVERAGE(N$347,N352),""),"")</f>
        <v/>
      </c>
      <c r="O372" s="282"/>
      <c r="P372" s="282"/>
      <c r="Q372" s="296"/>
      <c r="R372" s="293" t="s">
        <v>297</v>
      </c>
      <c r="S372" s="294" t="str">
        <f aca="false">IFERROR(IF(C$347*C352&gt;0,STDEV(C$347,C352),"")/IF(C$347*C352&gt;0,AVERAGE(C$347,C352),""),"")</f>
        <v/>
      </c>
      <c r="T372" s="294" t="str">
        <f aca="false">IFERROR(IF(D$347*D352&gt;0,STDEV(D$347,D352),"")/IF(D$347*D352&gt;0,AVERAGE(D$347,D352),""),"")</f>
        <v/>
      </c>
      <c r="U372" s="294" t="str">
        <f aca="false">IFERROR(IF(E$347*E352&gt;0,STDEV(E$347,E352),"")/IF(E$347*E352&gt;0,AVERAGE(E$347,E352),""),"")</f>
        <v/>
      </c>
      <c r="V372" s="294" t="str">
        <f aca="false">IFERROR(IF(F$347*F352&gt;0,STDEV(F$347,F352),"")/IF(F$347*F352&gt;0,AVERAGE(F$347,F352),""),"")</f>
        <v/>
      </c>
      <c r="W372" s="294" t="str">
        <f aca="false">IFERROR(IF(G$347*G352&gt;0,STDEV(G$347,G352),"")/IF(G$347*G352&gt;0,AVERAGE(G$347,G352),""),"")</f>
        <v/>
      </c>
      <c r="X372" s="294" t="str">
        <f aca="false">IFERROR(IF(H$347*H352&gt;0,STDEV(H$347,H352),"")/IF(H$347*H352&gt;0,AVERAGE(H$347,H352),""),"")</f>
        <v/>
      </c>
      <c r="Y372" s="294" t="str">
        <f aca="false">IFERROR(IF(I$347*I352&gt;0,STDEV(I$347,I352),"")/IF(I$347*I352&gt;0,AVERAGE(I$347,I352),""),"")</f>
        <v/>
      </c>
      <c r="Z372" s="294" t="str">
        <f aca="false">IFERROR(IF(J$347*J352&gt;0,STDEV(J$347,J352),"")/IF(J$347*J352&gt;0,AVERAGE(J$347,J352),""),"")</f>
        <v/>
      </c>
      <c r="AA372" s="294" t="str">
        <f aca="false">IFERROR(IF(K$347*K352&gt;0,STDEV(K$347,K352),"")/IF(K$347*K352&gt;0,AVERAGE(K$347,K352),""),"")</f>
        <v/>
      </c>
      <c r="AB372" s="294" t="str">
        <f aca="false">IFERROR(IF(L$347*L352&gt;0,STDEV(L$347,L352),"")/IF(L$347*L352&gt;0,AVERAGE(L$347,L352),""),"")</f>
        <v/>
      </c>
      <c r="AC372" s="294" t="str">
        <f aca="false">IFERROR(IF(M$347*M352&gt;0,STDEV(M$347,M352),"")/IF(M$347*M352&gt;0,AVERAGE(M$347,M352),""),"")</f>
        <v/>
      </c>
      <c r="AD372" s="294" t="str">
        <f aca="false">IFERROR(IF(N$347*N352&gt;0,STDEV(N$347,N352),"")/IF(N$347*N352&gt;0,AVERAGE(N$347,N352),""),"")</f>
        <v/>
      </c>
      <c r="AE372" s="44"/>
      <c r="AF372" s="266" t="s">
        <v>298</v>
      </c>
      <c r="AG372" s="287" t="str">
        <f aca="false">IFERROR(IF(C$347*C352&gt;0,STDEV(C$347,C352)," ")/IF(C$347*C352&gt;0,SQRT(COUNT(C$347,C352))," "),"")</f>
        <v/>
      </c>
      <c r="AH372" s="287" t="str">
        <f aca="false">IFERROR(IF(D$347*D352&gt;0,STDEV(D$347,D352)," ")/IF(D$347*D352&gt;0,SQRT(COUNT(D$347,D352))," "),"")</f>
        <v/>
      </c>
      <c r="AI372" s="287" t="str">
        <f aca="false">IFERROR(IF(E$347*E352&gt;0,STDEV(E$347,E352)," ")/IF(E$347*E352&gt;0,SQRT(COUNT(E$347,E352))," "),"")</f>
        <v/>
      </c>
      <c r="AJ372" s="287" t="str">
        <f aca="false">IFERROR(IF(F$347*F352&gt;0,STDEV(F$347,F352)," ")/IF(F$347*F352&gt;0,SQRT(COUNT(F$347,F352))," "),"")</f>
        <v/>
      </c>
      <c r="AK372" s="287" t="str">
        <f aca="false">IFERROR(IF(G$347*G352&gt;0,STDEV(G$347,G352)," ")/IF(G$347*G352&gt;0,SQRT(COUNT(G$347,G352))," "),"")</f>
        <v/>
      </c>
      <c r="AL372" s="287" t="str">
        <f aca="false">IFERROR(IF(H$347*H352&gt;0,STDEV(H$347,H352)," ")/IF(H$347*H352&gt;0,SQRT(COUNT(H$347,H352))," "),"")</f>
        <v/>
      </c>
      <c r="AM372" s="287" t="str">
        <f aca="false">IFERROR(IF(I$347*I352&gt;0,STDEV(I$347,I352)," ")/IF(I$347*I352&gt;0,SQRT(COUNT(I$347,I352))," "),"")</f>
        <v/>
      </c>
      <c r="AN372" s="287" t="str">
        <f aca="false">IFERROR(IF(J$347*J352&gt;0,STDEV(J$347,J352)," ")/IF(J$347*J352&gt;0,SQRT(COUNT(J$347,J352))," "),"")</f>
        <v/>
      </c>
      <c r="AO372" s="287" t="str">
        <f aca="false">IFERROR(IF(K$347*K352&gt;0,STDEV(K$347,K352)," ")/IF(K$347*K352&gt;0,SQRT(COUNT(K$347,K352))," "),"")</f>
        <v/>
      </c>
      <c r="AP372" s="287" t="str">
        <f aca="false">IFERROR(IF(L$347*L352&gt;0,STDEV(L$347,L352)," ")/IF(L$347*L352&gt;0,SQRT(COUNT(L$347,L352))," "),"")</f>
        <v/>
      </c>
      <c r="AQ372" s="287" t="str">
        <f aca="false">IFERROR(IF(M$347*M352&gt;0,STDEV(M$347,M352)," ")/IF(M$347*M352&gt;0,SQRT(COUNT(M$347,M352))," "),"")</f>
        <v/>
      </c>
      <c r="AR372" s="287" t="str">
        <f aca="false">IFERROR(IF(N$347*N352&gt;0,STDEV(N$347,N352)," ")/IF(N$347*N352&gt;0,SQRT(COUNT(N$347,N352))," "),"")</f>
        <v/>
      </c>
    </row>
    <row r="373" customFormat="false" ht="15.75" hidden="false" customHeight="false" outlineLevel="0" collapsed="false">
      <c r="A373" s="290" t="s">
        <v>299</v>
      </c>
      <c r="B373" s="281"/>
      <c r="C373" s="291" t="str">
        <f aca="false">IFERROR(IF(C$347*C353&gt;0,AVERAGE(C$347,C353),""),"")</f>
        <v/>
      </c>
      <c r="D373" s="291" t="str">
        <f aca="false">IFERROR(IF(D$347*D353&gt;0,AVERAGE(D$347,D353),""),"")</f>
        <v/>
      </c>
      <c r="E373" s="291" t="str">
        <f aca="false">IFERROR(IF(E$347*E353&gt;0,AVERAGE(E$347,E353),""),"")</f>
        <v/>
      </c>
      <c r="F373" s="291" t="str">
        <f aca="false">IFERROR(IF(F$347*F353&gt;0,AVERAGE(F$347,F353),""),"")</f>
        <v/>
      </c>
      <c r="G373" s="291" t="str">
        <f aca="false">IFERROR(IF(G$347*G353&gt;0,AVERAGE(G$347,G353),""),"")</f>
        <v/>
      </c>
      <c r="H373" s="291" t="str">
        <f aca="false">IFERROR(IF(H$347*H353&gt;0,AVERAGE(H$347,H353),""),"")</f>
        <v/>
      </c>
      <c r="I373" s="291" t="str">
        <f aca="false">IFERROR(IF(I$347*I353&gt;0,AVERAGE(I$347,I353),""),"")</f>
        <v/>
      </c>
      <c r="J373" s="291" t="str">
        <f aca="false">IFERROR(IF(J$347*J353&gt;0,AVERAGE(J$347,J353),""),"")</f>
        <v/>
      </c>
      <c r="K373" s="291" t="str">
        <f aca="false">IFERROR(IF(K$347*K353&gt;0,AVERAGE(K$347,K353),""),"")</f>
        <v/>
      </c>
      <c r="L373" s="291" t="str">
        <f aca="false">IFERROR(IF(L$347*L353&gt;0,AVERAGE(L$347,L353),""),"")</f>
        <v/>
      </c>
      <c r="M373" s="291" t="str">
        <f aca="false">IFERROR(IF(M$347*M353&gt;0,AVERAGE(M$347,M353),""),"")</f>
        <v/>
      </c>
      <c r="N373" s="291" t="str">
        <f aca="false">IFERROR(IF(N$347*N353&gt;0,AVERAGE(N$347,N353),""),"")</f>
        <v/>
      </c>
      <c r="O373" s="282"/>
      <c r="P373" s="282"/>
      <c r="Q373" s="296"/>
      <c r="R373" s="293" t="s">
        <v>300</v>
      </c>
      <c r="S373" s="294" t="str">
        <f aca="false">IFERROR(IF(C$347*C353&gt;0,STDEV(C$347,C353),"")/IF(C$347*C353&gt;0,AVERAGE(C$347,C353),""),"")</f>
        <v/>
      </c>
      <c r="T373" s="294" t="str">
        <f aca="false">IFERROR(IF(D$347*D353&gt;0,STDEV(D$347,D353),"")/IF(D$347*D353&gt;0,AVERAGE(D$347,D353),""),"")</f>
        <v/>
      </c>
      <c r="U373" s="294" t="str">
        <f aca="false">IFERROR(IF(E$347*E353&gt;0,STDEV(E$347,E353),"")/IF(E$347*E353&gt;0,AVERAGE(E$347,E353),""),"")</f>
        <v/>
      </c>
      <c r="V373" s="294" t="str">
        <f aca="false">IFERROR(IF(F$347*F353&gt;0,STDEV(F$347,F353),"")/IF(F$347*F353&gt;0,AVERAGE(F$347,F353),""),"")</f>
        <v/>
      </c>
      <c r="W373" s="294" t="str">
        <f aca="false">IFERROR(IF(G$347*G353&gt;0,STDEV(G$347,G353),"")/IF(G$347*G353&gt;0,AVERAGE(G$347,G353),""),"")</f>
        <v/>
      </c>
      <c r="X373" s="294" t="str">
        <f aca="false">IFERROR(IF(H$347*H353&gt;0,STDEV(H$347,H353),"")/IF(H$347*H353&gt;0,AVERAGE(H$347,H353),""),"")</f>
        <v/>
      </c>
      <c r="Y373" s="294" t="str">
        <f aca="false">IFERROR(IF(I$347*I353&gt;0,STDEV(I$347,I353),"")/IF(I$347*I353&gt;0,AVERAGE(I$347,I353),""),"")</f>
        <v/>
      </c>
      <c r="Z373" s="294" t="str">
        <f aca="false">IFERROR(IF(J$347*J353&gt;0,STDEV(J$347,J353),"")/IF(J$347*J353&gt;0,AVERAGE(J$347,J353),""),"")</f>
        <v/>
      </c>
      <c r="AA373" s="294" t="str">
        <f aca="false">IFERROR(IF(K$347*K353&gt;0,STDEV(K$347,K353),"")/IF(K$347*K353&gt;0,AVERAGE(K$347,K353),""),"")</f>
        <v/>
      </c>
      <c r="AB373" s="294" t="str">
        <f aca="false">IFERROR(IF(L$347*L353&gt;0,STDEV(L$347,L353),"")/IF(L$347*L353&gt;0,AVERAGE(L$347,L353),""),"")</f>
        <v/>
      </c>
      <c r="AC373" s="294" t="str">
        <f aca="false">IFERROR(IF(M$347*M353&gt;0,STDEV(M$347,M353),"")/IF(M$347*M353&gt;0,AVERAGE(M$347,M353),""),"")</f>
        <v/>
      </c>
      <c r="AD373" s="294" t="str">
        <f aca="false">IFERROR(IF(N$347*N353&gt;0,STDEV(N$347,N353),"")/IF(N$347*N353&gt;0,AVERAGE(N$347,N353),""),"")</f>
        <v/>
      </c>
      <c r="AE373" s="44"/>
      <c r="AF373" s="266" t="s">
        <v>301</v>
      </c>
      <c r="AG373" s="287" t="str">
        <f aca="false">IFERROR(IF(C$347*C353&gt;0,STDEV(C$347,C353)," ")/IF(C$347*C353&gt;0,SQRT(COUNT(C$347,C353))," "),"")</f>
        <v/>
      </c>
      <c r="AH373" s="287" t="str">
        <f aca="false">IFERROR(IF(D$347*D353&gt;0,STDEV(D$347,D353)," ")/IF(D$347*D353&gt;0,SQRT(COUNT(D$347,D353))," "),"")</f>
        <v/>
      </c>
      <c r="AI373" s="287" t="str">
        <f aca="false">IFERROR(IF(E$347*E353&gt;0,STDEV(E$347,E353)," ")/IF(E$347*E353&gt;0,SQRT(COUNT(E$347,E353))," "),"")</f>
        <v/>
      </c>
      <c r="AJ373" s="287" t="str">
        <f aca="false">IFERROR(IF(F$347*F353&gt;0,STDEV(F$347,F353)," ")/IF(F$347*F353&gt;0,SQRT(COUNT(F$347,F353))," "),"")</f>
        <v/>
      </c>
      <c r="AK373" s="287" t="str">
        <f aca="false">IFERROR(IF(G$347*G353&gt;0,STDEV(G$347,G353)," ")/IF(G$347*G353&gt;0,SQRT(COUNT(G$347,G353))," "),"")</f>
        <v/>
      </c>
      <c r="AL373" s="287" t="str">
        <f aca="false">IFERROR(IF(H$347*H353&gt;0,STDEV(H$347,H353)," ")/IF(H$347*H353&gt;0,SQRT(COUNT(H$347,H353))," "),"")</f>
        <v/>
      </c>
      <c r="AM373" s="287" t="str">
        <f aca="false">IFERROR(IF(I$347*I353&gt;0,STDEV(I$347,I353)," ")/IF(I$347*I353&gt;0,SQRT(COUNT(I$347,I353))," "),"")</f>
        <v/>
      </c>
      <c r="AN373" s="287" t="str">
        <f aca="false">IFERROR(IF(J$347*J353&gt;0,STDEV(J$347,J353)," ")/IF(J$347*J353&gt;0,SQRT(COUNT(J$347,J353))," "),"")</f>
        <v/>
      </c>
      <c r="AO373" s="287" t="str">
        <f aca="false">IFERROR(IF(K$347*K353&gt;0,STDEV(K$347,K353)," ")/IF(K$347*K353&gt;0,SQRT(COUNT(K$347,K353))," "),"")</f>
        <v/>
      </c>
      <c r="AP373" s="287" t="str">
        <f aca="false">IFERROR(IF(L$347*L353&gt;0,STDEV(L$347,L353)," ")/IF(L$347*L353&gt;0,SQRT(COUNT(L$347,L353))," "),"")</f>
        <v/>
      </c>
      <c r="AQ373" s="287" t="str">
        <f aca="false">IFERROR(IF(M$347*M353&gt;0,STDEV(M$347,M353)," ")/IF(M$347*M353&gt;0,SQRT(COUNT(M$347,M353))," "),"")</f>
        <v/>
      </c>
      <c r="AR373" s="287" t="str">
        <f aca="false">IFERROR(IF(N$347*N353&gt;0,STDEV(N$347,N353)," ")/IF(N$347*N353&gt;0,SQRT(COUNT(N$347,N353))," "),"")</f>
        <v/>
      </c>
    </row>
    <row r="374" customFormat="false" ht="15.75" hidden="false" customHeight="false" outlineLevel="0" collapsed="false">
      <c r="A374" s="290" t="s">
        <v>302</v>
      </c>
      <c r="B374" s="281"/>
      <c r="C374" s="291" t="str">
        <f aca="false">IFERROR(IF(C$348*C349&gt;0,AVERAGE(C$348,C349),""),"")</f>
        <v/>
      </c>
      <c r="D374" s="291" t="str">
        <f aca="false">IFERROR(IF(D$348*D349&gt;0,AVERAGE(D$348,D349),""),"")</f>
        <v/>
      </c>
      <c r="E374" s="291" t="str">
        <f aca="false">IFERROR(IF(E$348*E349&gt;0,AVERAGE(E$348,E349),""),"")</f>
        <v/>
      </c>
      <c r="F374" s="291" t="str">
        <f aca="false">IFERROR(IF(F$348*F349&gt;0,AVERAGE(F$348,F349),""),"")</f>
        <v/>
      </c>
      <c r="G374" s="291" t="str">
        <f aca="false">IFERROR(IF(G$348*G349&gt;0,AVERAGE(G$348,G349),""),"")</f>
        <v/>
      </c>
      <c r="H374" s="291" t="str">
        <f aca="false">IFERROR(IF(H$348*H349&gt;0,AVERAGE(H$348,H349),""),"")</f>
        <v/>
      </c>
      <c r="I374" s="291" t="str">
        <f aca="false">IFERROR(IF(I$348*I349&gt;0,AVERAGE(I$348,I349),""),"")</f>
        <v/>
      </c>
      <c r="J374" s="291" t="str">
        <f aca="false">IFERROR(IF(J$348*J349&gt;0,AVERAGE(J$348,J349),""),"")</f>
        <v/>
      </c>
      <c r="K374" s="291" t="str">
        <f aca="false">IFERROR(IF(K$348*K349&gt;0,AVERAGE(K$348,K349),""),"")</f>
        <v/>
      </c>
      <c r="L374" s="291" t="str">
        <f aca="false">IFERROR(IF(L$348*L349&gt;0,AVERAGE(L$348,L349),""),"")</f>
        <v/>
      </c>
      <c r="M374" s="291" t="str">
        <f aca="false">IFERROR(IF(M$348*M349&gt;0,AVERAGE(M$348,M349),""),"")</f>
        <v/>
      </c>
      <c r="N374" s="291" t="str">
        <f aca="false">IFERROR(IF(N$348*N349&gt;0,AVERAGE(N$348,N349),""),"")</f>
        <v/>
      </c>
      <c r="O374" s="282"/>
      <c r="P374" s="282"/>
      <c r="Q374" s="296"/>
      <c r="R374" s="293" t="s">
        <v>303</v>
      </c>
      <c r="S374" s="294" t="str">
        <f aca="false">IFERROR(IF(C$348*C349&gt;0,STDEV(C$348,C349),"")/IF(C$348*C349&gt;0,AVERAGE(C$348,C349),""),"")</f>
        <v/>
      </c>
      <c r="T374" s="294" t="str">
        <f aca="false">IFERROR(IF(D$348*D349&gt;0,STDEV(D$348,D349),"")/IF(D$348*D349&gt;0,AVERAGE(D$348,D349),""),"")</f>
        <v/>
      </c>
      <c r="U374" s="294" t="str">
        <f aca="false">IFERROR(IF(E$348*E349&gt;0,STDEV(E$348,E349),"")/IF(E$348*E349&gt;0,AVERAGE(E$348,E349),""),"")</f>
        <v/>
      </c>
      <c r="V374" s="294" t="str">
        <f aca="false">IFERROR(IF(F$348*F349&gt;0,STDEV(F$348,F349),"")/IF(F$348*F349&gt;0,AVERAGE(F$348,F349),""),"")</f>
        <v/>
      </c>
      <c r="W374" s="294" t="str">
        <f aca="false">IFERROR(IF(G$348*G349&gt;0,STDEV(G$348,G349),"")/IF(G$348*G349&gt;0,AVERAGE(G$348,G349),""),"")</f>
        <v/>
      </c>
      <c r="X374" s="294" t="str">
        <f aca="false">IFERROR(IF(H$348*H349&gt;0,STDEV(H$348,H349),"")/IF(H$348*H349&gt;0,AVERAGE(H$348,H349),""),"")</f>
        <v/>
      </c>
      <c r="Y374" s="294" t="str">
        <f aca="false">IFERROR(IF(I$348*I349&gt;0,STDEV(I$348,I349),"")/IF(I$348*I349&gt;0,AVERAGE(I$348,I349),""),"")</f>
        <v/>
      </c>
      <c r="Z374" s="294" t="str">
        <f aca="false">IFERROR(IF(J$348*J349&gt;0,STDEV(J$348,J349),"")/IF(J$348*J349&gt;0,AVERAGE(J$348,J349),""),"")</f>
        <v/>
      </c>
      <c r="AA374" s="294" t="str">
        <f aca="false">IFERROR(IF(K$348*K349&gt;0,STDEV(K$348,K349),"")/IF(K$348*K349&gt;0,AVERAGE(K$348,K349),""),"")</f>
        <v/>
      </c>
      <c r="AB374" s="294" t="str">
        <f aca="false">IFERROR(IF(L$348*L349&gt;0,STDEV(L$348,L349),"")/IF(L$348*L349&gt;0,AVERAGE(L$348,L349),""),"")</f>
        <v/>
      </c>
      <c r="AC374" s="294" t="str">
        <f aca="false">IFERROR(IF(M$348*M349&gt;0,STDEV(M$348,M349),"")/IF(M$348*M349&gt;0,AVERAGE(M$348,M349),""),"")</f>
        <v/>
      </c>
      <c r="AD374" s="294" t="str">
        <f aca="false">IFERROR(IF(N$348*N349&gt;0,STDEV(N$348,N349),"")/IF(N$348*N349&gt;0,AVERAGE(N$348,N349),""),"")</f>
        <v/>
      </c>
      <c r="AE374" s="44"/>
      <c r="AF374" s="266" t="s">
        <v>304</v>
      </c>
      <c r="AG374" s="287" t="str">
        <f aca="false">IFERROR(IF(C$348*C349&gt;0,STDEV(C$348,C349)," ")/IF(C$348*C349&gt;0,SQRT(COUNT(C$348,C349))," "),"")</f>
        <v/>
      </c>
      <c r="AH374" s="287" t="str">
        <f aca="false">IFERROR(IF(D$348*D349&gt;0,STDEV(D$348,D349)," ")/IF(D$348*D349&gt;0,SQRT(COUNT(D$348,D349))," "),"")</f>
        <v/>
      </c>
      <c r="AI374" s="287" t="str">
        <f aca="false">IFERROR(IF(E$348*E349&gt;0,STDEV(E$348,E349)," ")/IF(E$348*E349&gt;0,SQRT(COUNT(E$348,E349))," "),"")</f>
        <v/>
      </c>
      <c r="AJ374" s="287" t="str">
        <f aca="false">IFERROR(IF(F$348*F349&gt;0,STDEV(F$348,F349)," ")/IF(F$348*F349&gt;0,SQRT(COUNT(F$348,F349))," "),"")</f>
        <v/>
      </c>
      <c r="AK374" s="287" t="str">
        <f aca="false">IFERROR(IF(G$348*G349&gt;0,STDEV(G$348,G349)," ")/IF(G$348*G349&gt;0,SQRT(COUNT(G$348,G349))," "),"")</f>
        <v/>
      </c>
      <c r="AL374" s="287" t="str">
        <f aca="false">IFERROR(IF(H$348*H349&gt;0,STDEV(H$348,H349)," ")/IF(H$348*H349&gt;0,SQRT(COUNT(H$348,H349))," "),"")</f>
        <v/>
      </c>
      <c r="AM374" s="287" t="str">
        <f aca="false">IFERROR(IF(I$348*I349&gt;0,STDEV(I$348,I349)," ")/IF(I$348*I349&gt;0,SQRT(COUNT(I$348,I349))," "),"")</f>
        <v/>
      </c>
      <c r="AN374" s="287" t="str">
        <f aca="false">IFERROR(IF(J$348*J349&gt;0,STDEV(J$348,J349)," ")/IF(J$348*J349&gt;0,SQRT(COUNT(J$348,J349))," "),"")</f>
        <v/>
      </c>
      <c r="AO374" s="287" t="str">
        <f aca="false">IFERROR(IF(K$348*K349&gt;0,STDEV(K$348,K349)," ")/IF(K$348*K349&gt;0,SQRT(COUNT(K$348,K349))," "),"")</f>
        <v/>
      </c>
      <c r="AP374" s="287" t="str">
        <f aca="false">IFERROR(IF(L$348*L349&gt;0,STDEV(L$348,L349)," ")/IF(L$348*L349&gt;0,SQRT(COUNT(L$348,L349))," "),"")</f>
        <v/>
      </c>
      <c r="AQ374" s="287" t="str">
        <f aca="false">IFERROR(IF(M$348*M349&gt;0,STDEV(M$348,M349)," ")/IF(M$348*M349&gt;0,SQRT(COUNT(M$348,M349))," "),"")</f>
        <v/>
      </c>
      <c r="AR374" s="287" t="str">
        <f aca="false">IFERROR(IF(N$348*N349&gt;0,STDEV(N$348,N349)," ")/IF(N$348*N349&gt;0,SQRT(COUNT(N$348,N349))," "),"")</f>
        <v/>
      </c>
    </row>
    <row r="375" customFormat="false" ht="15.75" hidden="false" customHeight="false" outlineLevel="0" collapsed="false">
      <c r="A375" s="290" t="s">
        <v>305</v>
      </c>
      <c r="B375" s="281"/>
      <c r="C375" s="291" t="str">
        <f aca="false">IFERROR(IF(C$348*C350&gt;0,AVERAGE(C$348,C350),""),"")</f>
        <v/>
      </c>
      <c r="D375" s="291" t="str">
        <f aca="false">IFERROR(IF(D$348*D350&gt;0,AVERAGE(D$348,D350),""),"")</f>
        <v/>
      </c>
      <c r="E375" s="291" t="str">
        <f aca="false">IFERROR(IF(E$348*E350&gt;0,AVERAGE(E$348,E350),""),"")</f>
        <v/>
      </c>
      <c r="F375" s="291" t="str">
        <f aca="false">IFERROR(IF(F$348*F350&gt;0,AVERAGE(F$348,F350),""),"")</f>
        <v/>
      </c>
      <c r="G375" s="291" t="str">
        <f aca="false">IFERROR(IF(G$348*G350&gt;0,AVERAGE(G$348,G350),""),"")</f>
        <v/>
      </c>
      <c r="H375" s="291" t="str">
        <f aca="false">IFERROR(IF(H$348*H350&gt;0,AVERAGE(H$348,H350),""),"")</f>
        <v/>
      </c>
      <c r="I375" s="291" t="str">
        <f aca="false">IFERROR(IF(I$348*I350&gt;0,AVERAGE(I$348,I350),""),"")</f>
        <v/>
      </c>
      <c r="J375" s="291" t="str">
        <f aca="false">IFERROR(IF(J$348*J350&gt;0,AVERAGE(J$348,J350),""),"")</f>
        <v/>
      </c>
      <c r="K375" s="291" t="str">
        <f aca="false">IFERROR(IF(K$348*K350&gt;0,AVERAGE(K$348,K350),""),"")</f>
        <v/>
      </c>
      <c r="L375" s="291" t="str">
        <f aca="false">IFERROR(IF(L$348*L350&gt;0,AVERAGE(L$348,L350),""),"")</f>
        <v/>
      </c>
      <c r="M375" s="291" t="str">
        <f aca="false">IFERROR(IF(M$348*M350&gt;0,AVERAGE(M$348,M350),""),"")</f>
        <v/>
      </c>
      <c r="N375" s="291" t="str">
        <f aca="false">IFERROR(IF(N$348*N350&gt;0,AVERAGE(N$348,N350),""),"")</f>
        <v/>
      </c>
      <c r="O375" s="282"/>
      <c r="P375" s="282"/>
      <c r="Q375" s="296"/>
      <c r="R375" s="293" t="s">
        <v>306</v>
      </c>
      <c r="S375" s="294" t="str">
        <f aca="false">IFERROR(IF(C$348*C350&gt;0,STDEV(C$348,C350),"")/IF(C$348*C350&gt;0,AVERAGE(C$348,C350),""),"")</f>
        <v/>
      </c>
      <c r="T375" s="294" t="str">
        <f aca="false">IFERROR(IF(D$348*D350&gt;0,STDEV(D$348,D350),"")/IF(D$348*D350&gt;0,AVERAGE(D$348,D350),""),"")</f>
        <v/>
      </c>
      <c r="U375" s="294" t="str">
        <f aca="false">IFERROR(IF(E$348*E350&gt;0,STDEV(E$348,E350),"")/IF(E$348*E350&gt;0,AVERAGE(E$348,E350),""),"")</f>
        <v/>
      </c>
      <c r="V375" s="294" t="str">
        <f aca="false">IFERROR(IF(F$348*F350&gt;0,STDEV(F$348,F350),"")/IF(F$348*F350&gt;0,AVERAGE(F$348,F350),""),"")</f>
        <v/>
      </c>
      <c r="W375" s="294" t="str">
        <f aca="false">IFERROR(IF(G$348*G350&gt;0,STDEV(G$348,G350),"")/IF(G$348*G350&gt;0,AVERAGE(G$348,G350),""),"")</f>
        <v/>
      </c>
      <c r="X375" s="294" t="str">
        <f aca="false">IFERROR(IF(H$348*H350&gt;0,STDEV(H$348,H350),"")/IF(H$348*H350&gt;0,AVERAGE(H$348,H350),""),"")</f>
        <v/>
      </c>
      <c r="Y375" s="294" t="str">
        <f aca="false">IFERROR(IF(I$348*I350&gt;0,STDEV(I$348,I350),"")/IF(I$348*I350&gt;0,AVERAGE(I$348,I350),""),"")</f>
        <v/>
      </c>
      <c r="Z375" s="294" t="str">
        <f aca="false">IFERROR(IF(J$348*J350&gt;0,STDEV(J$348,J350),"")/IF(J$348*J350&gt;0,AVERAGE(J$348,J350),""),"")</f>
        <v/>
      </c>
      <c r="AA375" s="294" t="str">
        <f aca="false">IFERROR(IF(K$348*K350&gt;0,STDEV(K$348,K350),"")/IF(K$348*K350&gt;0,AVERAGE(K$348,K350),""),"")</f>
        <v/>
      </c>
      <c r="AB375" s="294" t="str">
        <f aca="false">IFERROR(IF(L$348*L350&gt;0,STDEV(L$348,L350),"")/IF(L$348*L350&gt;0,AVERAGE(L$348,L350),""),"")</f>
        <v/>
      </c>
      <c r="AC375" s="294" t="str">
        <f aca="false">IFERROR(IF(M$348*M350&gt;0,STDEV(M$348,M350),"")/IF(M$348*M350&gt;0,AVERAGE(M$348,M350),""),"")</f>
        <v/>
      </c>
      <c r="AD375" s="294" t="str">
        <f aca="false">IFERROR(IF(N$348*N350&gt;0,STDEV(N$348,N350),"")/IF(N$348*N350&gt;0,AVERAGE(N$348,N350),""),"")</f>
        <v/>
      </c>
      <c r="AE375" s="44"/>
      <c r="AF375" s="266" t="s">
        <v>307</v>
      </c>
      <c r="AG375" s="287" t="str">
        <f aca="false">IFERROR(IF(C$348*C350&gt;0,STDEV(C$348,C350)," ")/IF(C$348*C350&gt;0,SQRT(COUNT(C$348,C350))," "),"")</f>
        <v/>
      </c>
      <c r="AH375" s="287" t="str">
        <f aca="false">IFERROR(IF(D$348*D350&gt;0,STDEV(D$348,D350)," ")/IF(D$348*D350&gt;0,SQRT(COUNT(D$348,D350))," "),"")</f>
        <v/>
      </c>
      <c r="AI375" s="287" t="str">
        <f aca="false">IFERROR(IF(E$348*E350&gt;0,STDEV(E$348,E350)," ")/IF(E$348*E350&gt;0,SQRT(COUNT(E$348,E350))," "),"")</f>
        <v/>
      </c>
      <c r="AJ375" s="287" t="str">
        <f aca="false">IFERROR(IF(F$348*F350&gt;0,STDEV(F$348,F350)," ")/IF(F$348*F350&gt;0,SQRT(COUNT(F$348,F350))," "),"")</f>
        <v/>
      </c>
      <c r="AK375" s="287" t="str">
        <f aca="false">IFERROR(IF(G$348*G350&gt;0,STDEV(G$348,G350)," ")/IF(G$348*G350&gt;0,SQRT(COUNT(G$348,G350))," "),"")</f>
        <v/>
      </c>
      <c r="AL375" s="287" t="str">
        <f aca="false">IFERROR(IF(H$348*H350&gt;0,STDEV(H$348,H350)," ")/IF(H$348*H350&gt;0,SQRT(COUNT(H$348,H350))," "),"")</f>
        <v/>
      </c>
      <c r="AM375" s="287" t="str">
        <f aca="false">IFERROR(IF(I$348*I350&gt;0,STDEV(I$348,I350)," ")/IF(I$348*I350&gt;0,SQRT(COUNT(I$348,I350))," "),"")</f>
        <v/>
      </c>
      <c r="AN375" s="287" t="str">
        <f aca="false">IFERROR(IF(J$348*J350&gt;0,STDEV(J$348,J350)," ")/IF(J$348*J350&gt;0,SQRT(COUNT(J$348,J350))," "),"")</f>
        <v/>
      </c>
      <c r="AO375" s="287" t="str">
        <f aca="false">IFERROR(IF(K$348*K350&gt;0,STDEV(K$348,K350)," ")/IF(K$348*K350&gt;0,SQRT(COUNT(K$348,K350))," "),"")</f>
        <v/>
      </c>
      <c r="AP375" s="287" t="str">
        <f aca="false">IFERROR(IF(L$348*L350&gt;0,STDEV(L$348,L350)," ")/IF(L$348*L350&gt;0,SQRT(COUNT(L$348,L350))," "),"")</f>
        <v/>
      </c>
      <c r="AQ375" s="287" t="str">
        <f aca="false">IFERROR(IF(M$348*M350&gt;0,STDEV(M$348,M350)," ")/IF(M$348*M350&gt;0,SQRT(COUNT(M$348,M350))," "),"")</f>
        <v/>
      </c>
      <c r="AR375" s="287" t="str">
        <f aca="false">IFERROR(IF(N$348*N350&gt;0,STDEV(N$348,N350)," ")/IF(N$348*N350&gt;0,SQRT(COUNT(N$348,N350))," "),"")</f>
        <v/>
      </c>
    </row>
    <row r="376" customFormat="false" ht="15.75" hidden="false" customHeight="false" outlineLevel="0" collapsed="false">
      <c r="A376" s="290" t="s">
        <v>308</v>
      </c>
      <c r="B376" s="281"/>
      <c r="C376" s="291" t="str">
        <f aca="false">IFERROR(IF(C$348*C351&gt;0,AVERAGE(C$348,C351),""),"")</f>
        <v/>
      </c>
      <c r="D376" s="291" t="str">
        <f aca="false">IFERROR(IF(D$348*D351&gt;0,AVERAGE(D$348,D351),""),"")</f>
        <v/>
      </c>
      <c r="E376" s="291" t="str">
        <f aca="false">IFERROR(IF(E$348*E351&gt;0,AVERAGE(E$348,E351),""),"")</f>
        <v/>
      </c>
      <c r="F376" s="291" t="str">
        <f aca="false">IFERROR(IF(F$348*F351&gt;0,AVERAGE(F$348,F351),""),"")</f>
        <v/>
      </c>
      <c r="G376" s="291" t="str">
        <f aca="false">IFERROR(IF(G$348*G351&gt;0,AVERAGE(G$348,G351),""),"")</f>
        <v/>
      </c>
      <c r="H376" s="291" t="str">
        <f aca="false">IFERROR(IF(H$348*H351&gt;0,AVERAGE(H$348,H351),""),"")</f>
        <v/>
      </c>
      <c r="I376" s="291" t="str">
        <f aca="false">IFERROR(IF(I$348*I351&gt;0,AVERAGE(I$348,I351),""),"")</f>
        <v/>
      </c>
      <c r="J376" s="291" t="str">
        <f aca="false">IFERROR(IF(J$348*J351&gt;0,AVERAGE(J$348,J351),""),"")</f>
        <v/>
      </c>
      <c r="K376" s="291" t="str">
        <f aca="false">IFERROR(IF(K$348*K351&gt;0,AVERAGE(K$348,K351),""),"")</f>
        <v/>
      </c>
      <c r="L376" s="291" t="str">
        <f aca="false">IFERROR(IF(L$348*L351&gt;0,AVERAGE(L$348,L351),""),"")</f>
        <v/>
      </c>
      <c r="M376" s="291" t="str">
        <f aca="false">IFERROR(IF(M$348*M351&gt;0,AVERAGE(M$348,M351),""),"")</f>
        <v/>
      </c>
      <c r="N376" s="291" t="str">
        <f aca="false">IFERROR(IF(N$348*N351&gt;0,AVERAGE(N$348,N351),""),"")</f>
        <v/>
      </c>
      <c r="O376" s="282"/>
      <c r="P376" s="282"/>
      <c r="Q376" s="296"/>
      <c r="R376" s="293" t="s">
        <v>309</v>
      </c>
      <c r="S376" s="294" t="str">
        <f aca="false">IFERROR(IF(C$348*C351&gt;0,STDEV(C$348,C351),"")/IF(C$348*C351&gt;0,AVERAGE(C$348,C351),""),"")</f>
        <v/>
      </c>
      <c r="T376" s="294" t="str">
        <f aca="false">IFERROR(IF(D$348*D351&gt;0,STDEV(D$348,D351),"")/IF(D$348*D351&gt;0,AVERAGE(D$348,D351),""),"")</f>
        <v/>
      </c>
      <c r="U376" s="294" t="str">
        <f aca="false">IFERROR(IF(E$348*E351&gt;0,STDEV(E$348,E351),"")/IF(E$348*E351&gt;0,AVERAGE(E$348,E351),""),"")</f>
        <v/>
      </c>
      <c r="V376" s="294" t="str">
        <f aca="false">IFERROR(IF(F$348*F351&gt;0,STDEV(F$348,F351),"")/IF(F$348*F351&gt;0,AVERAGE(F$348,F351),""),"")</f>
        <v/>
      </c>
      <c r="W376" s="294" t="str">
        <f aca="false">IFERROR(IF(G$348*G351&gt;0,STDEV(G$348,G351),"")/IF(G$348*G351&gt;0,AVERAGE(G$348,G351),""),"")</f>
        <v/>
      </c>
      <c r="X376" s="294" t="str">
        <f aca="false">IFERROR(IF(H$348*H351&gt;0,STDEV(H$348,H351),"")/IF(H$348*H351&gt;0,AVERAGE(H$348,H351),""),"")</f>
        <v/>
      </c>
      <c r="Y376" s="294" t="str">
        <f aca="false">IFERROR(IF(I$348*I351&gt;0,STDEV(I$348,I351),"")/IF(I$348*I351&gt;0,AVERAGE(I$348,I351),""),"")</f>
        <v/>
      </c>
      <c r="Z376" s="294" t="str">
        <f aca="false">IFERROR(IF(J$348*J351&gt;0,STDEV(J$348,J351),"")/IF(J$348*J351&gt;0,AVERAGE(J$348,J351),""),"")</f>
        <v/>
      </c>
      <c r="AA376" s="294" t="str">
        <f aca="false">IFERROR(IF(K$348*K351&gt;0,STDEV(K$348,K351),"")/IF(K$348*K351&gt;0,AVERAGE(K$348,K351),""),"")</f>
        <v/>
      </c>
      <c r="AB376" s="294" t="str">
        <f aca="false">IFERROR(IF(L$348*L351&gt;0,STDEV(L$348,L351),"")/IF(L$348*L351&gt;0,AVERAGE(L$348,L351),""),"")</f>
        <v/>
      </c>
      <c r="AC376" s="294" t="str">
        <f aca="false">IFERROR(IF(M$348*M351&gt;0,STDEV(M$348,M351),"")/IF(M$348*M351&gt;0,AVERAGE(M$348,M351),""),"")</f>
        <v/>
      </c>
      <c r="AD376" s="294" t="str">
        <f aca="false">IFERROR(IF(N$348*N351&gt;0,STDEV(N$348,N351),"")/IF(N$348*N351&gt;0,AVERAGE(N$348,N351),""),"")</f>
        <v/>
      </c>
      <c r="AE376" s="44"/>
      <c r="AF376" s="266" t="s">
        <v>310</v>
      </c>
      <c r="AG376" s="287" t="str">
        <f aca="false">IFERROR(IF(C$348*C351&gt;0,STDEV(C$348,C351)," ")/IF(C$348*C351&gt;0,SQRT(COUNT(C$348,C351))," "),"")</f>
        <v/>
      </c>
      <c r="AH376" s="287" t="str">
        <f aca="false">IFERROR(IF(D$348*D351&gt;0,STDEV(D$348,D351)," ")/IF(D$348*D351&gt;0,SQRT(COUNT(D$348,D351))," "),"")</f>
        <v/>
      </c>
      <c r="AI376" s="287" t="str">
        <f aca="false">IFERROR(IF(E$348*E351&gt;0,STDEV(E$348,E351)," ")/IF(E$348*E351&gt;0,SQRT(COUNT(E$348,E351))," "),"")</f>
        <v/>
      </c>
      <c r="AJ376" s="287" t="str">
        <f aca="false">IFERROR(IF(F$348*F351&gt;0,STDEV(F$348,F351)," ")/IF(F$348*F351&gt;0,SQRT(COUNT(F$348,F351))," "),"")</f>
        <v/>
      </c>
      <c r="AK376" s="287" t="str">
        <f aca="false">IFERROR(IF(G$348*G351&gt;0,STDEV(G$348,G351)," ")/IF(G$348*G351&gt;0,SQRT(COUNT(G$348,G351))," "),"")</f>
        <v/>
      </c>
      <c r="AL376" s="287" t="str">
        <f aca="false">IFERROR(IF(H$348*H351&gt;0,STDEV(H$348,H351)," ")/IF(H$348*H351&gt;0,SQRT(COUNT(H$348,H351))," "),"")</f>
        <v/>
      </c>
      <c r="AM376" s="287" t="str">
        <f aca="false">IFERROR(IF(I$348*I351&gt;0,STDEV(I$348,I351)," ")/IF(I$348*I351&gt;0,SQRT(COUNT(I$348,I351))," "),"")</f>
        <v/>
      </c>
      <c r="AN376" s="287" t="str">
        <f aca="false">IFERROR(IF(J$348*J351&gt;0,STDEV(J$348,J351)," ")/IF(J$348*J351&gt;0,SQRT(COUNT(J$348,J351))," "),"")</f>
        <v/>
      </c>
      <c r="AO376" s="287" t="str">
        <f aca="false">IFERROR(IF(K$348*K351&gt;0,STDEV(K$348,K351)," ")/IF(K$348*K351&gt;0,SQRT(COUNT(K$348,K351))," "),"")</f>
        <v/>
      </c>
      <c r="AP376" s="287" t="str">
        <f aca="false">IFERROR(IF(L$348*L351&gt;0,STDEV(L$348,L351)," ")/IF(L$348*L351&gt;0,SQRT(COUNT(L$348,L351))," "),"")</f>
        <v/>
      </c>
      <c r="AQ376" s="287" t="str">
        <f aca="false">IFERROR(IF(M$348*M351&gt;0,STDEV(M$348,M351)," ")/IF(M$348*M351&gt;0,SQRT(COUNT(M$348,M351))," "),"")</f>
        <v/>
      </c>
      <c r="AR376" s="287" t="str">
        <f aca="false">IFERROR(IF(N$348*N351&gt;0,STDEV(N$348,N351)," ")/IF(N$348*N351&gt;0,SQRT(COUNT(N$348,N351))," "),"")</f>
        <v/>
      </c>
    </row>
    <row r="377" customFormat="false" ht="18" hidden="false" customHeight="false" outlineLevel="0" collapsed="false">
      <c r="A377" s="290" t="s">
        <v>311</v>
      </c>
      <c r="B377" s="281"/>
      <c r="C377" s="291" t="str">
        <f aca="false">IFERROR(IF(C$348*C352&gt;0,AVERAGE(C$348,C352),""),"")</f>
        <v/>
      </c>
      <c r="D377" s="291" t="str">
        <f aca="false">IFERROR(IF(D$348*D352&gt;0,AVERAGE(D$348,D352),""),"")</f>
        <v/>
      </c>
      <c r="E377" s="291" t="str">
        <f aca="false">IFERROR(IF(E$348*E352&gt;0,AVERAGE(E$348,E352),""),"")</f>
        <v/>
      </c>
      <c r="F377" s="291" t="str">
        <f aca="false">IFERROR(IF(F$348*F352&gt;0,AVERAGE(F$348,F352),""),"")</f>
        <v/>
      </c>
      <c r="G377" s="291" t="str">
        <f aca="false">IFERROR(IF(G$348*G352&gt;0,AVERAGE(G$348,G352),""),"")</f>
        <v/>
      </c>
      <c r="H377" s="291" t="str">
        <f aca="false">IFERROR(IF(H$348*H352&gt;0,AVERAGE(H$348,H352),""),"")</f>
        <v/>
      </c>
      <c r="I377" s="291" t="str">
        <f aca="false">IFERROR(IF(I$348*I352&gt;0,AVERAGE(I$348,I352),""),"")</f>
        <v/>
      </c>
      <c r="J377" s="291" t="str">
        <f aca="false">IFERROR(IF(J$348*J352&gt;0,AVERAGE(J$348,J352),""),"")</f>
        <v/>
      </c>
      <c r="K377" s="291" t="str">
        <f aca="false">IFERROR(IF(K$348*K352&gt;0,AVERAGE(K$348,K352),""),"")</f>
        <v/>
      </c>
      <c r="L377" s="291" t="str">
        <f aca="false">IFERROR(IF(L$348*L352&gt;0,AVERAGE(L$348,L352),""),"")</f>
        <v/>
      </c>
      <c r="M377" s="291" t="str">
        <f aca="false">IFERROR(IF(M$348*M352&gt;0,AVERAGE(M$348,M352),""),"")</f>
        <v/>
      </c>
      <c r="N377" s="291" t="str">
        <f aca="false">IFERROR(IF(N$348*N352&gt;0,AVERAGE(N$348,N352),""),"")</f>
        <v/>
      </c>
      <c r="O377" s="297"/>
      <c r="P377" s="282"/>
      <c r="Q377" s="296"/>
      <c r="R377" s="293" t="s">
        <v>312</v>
      </c>
      <c r="S377" s="294" t="str">
        <f aca="false">IFERROR(IF(C$348*C352&gt;0,STDEV(C$348,C352),"")/IF(C$348*C352&gt;0,AVERAGE(C$348,C352),""),"")</f>
        <v/>
      </c>
      <c r="T377" s="294" t="str">
        <f aca="false">IFERROR(IF(D$348*D352&gt;0,STDEV(D$348,D352),"")/IF(D$348*D352&gt;0,AVERAGE(D$348,D352),""),"")</f>
        <v/>
      </c>
      <c r="U377" s="294" t="str">
        <f aca="false">IFERROR(IF(E$348*E352&gt;0,STDEV(E$348,E352),"")/IF(E$348*E352&gt;0,AVERAGE(E$348,E352),""),"")</f>
        <v/>
      </c>
      <c r="V377" s="294" t="str">
        <f aca="false">IFERROR(IF(F$348*F352&gt;0,STDEV(F$348,F352),"")/IF(F$348*F352&gt;0,AVERAGE(F$348,F352),""),"")</f>
        <v/>
      </c>
      <c r="W377" s="294" t="str">
        <f aca="false">IFERROR(IF(G$348*G352&gt;0,STDEV(G$348,G352),"")/IF(G$348*G352&gt;0,AVERAGE(G$348,G352),""),"")</f>
        <v/>
      </c>
      <c r="X377" s="294" t="str">
        <f aca="false">IFERROR(IF(H$348*H352&gt;0,STDEV(H$348,H352),"")/IF(H$348*H352&gt;0,AVERAGE(H$348,H352),""),"")</f>
        <v/>
      </c>
      <c r="Y377" s="294" t="str">
        <f aca="false">IFERROR(IF(I$348*I352&gt;0,STDEV(I$348,I352),"")/IF(I$348*I352&gt;0,AVERAGE(I$348,I352),""),"")</f>
        <v/>
      </c>
      <c r="Z377" s="294" t="str">
        <f aca="false">IFERROR(IF(J$348*J352&gt;0,STDEV(J$348,J352),"")/IF(J$348*J352&gt;0,AVERAGE(J$348,J352),""),"")</f>
        <v/>
      </c>
      <c r="AA377" s="294" t="str">
        <f aca="false">IFERROR(IF(K$348*K352&gt;0,STDEV(K$348,K352),"")/IF(K$348*K352&gt;0,AVERAGE(K$348,K352),""),"")</f>
        <v/>
      </c>
      <c r="AB377" s="294" t="str">
        <f aca="false">IFERROR(IF(L$348*L352&gt;0,STDEV(L$348,L352),"")/IF(L$348*L352&gt;0,AVERAGE(L$348,L352),""),"")</f>
        <v/>
      </c>
      <c r="AC377" s="294" t="str">
        <f aca="false">IFERROR(IF(M$348*M352&gt;0,STDEV(M$348,M352),"")/IF(M$348*M352&gt;0,AVERAGE(M$348,M352),""),"")</f>
        <v/>
      </c>
      <c r="AD377" s="294" t="str">
        <f aca="false">IFERROR(IF(N$348*N352&gt;0,STDEV(N$348,N352),"")/IF(N$348*N352&gt;0,AVERAGE(N$348,N352),""),"")</f>
        <v/>
      </c>
      <c r="AE377" s="44"/>
      <c r="AF377" s="266" t="s">
        <v>313</v>
      </c>
      <c r="AG377" s="287" t="str">
        <f aca="false">IFERROR(IF(C$348*C352&gt;0,STDEV(C$348,C352)," ")/IF(C$348*C352&gt;0,SQRT(COUNT(C$348,C352))," "),"")</f>
        <v/>
      </c>
      <c r="AH377" s="287" t="str">
        <f aca="false">IFERROR(IF(D$348*D352&gt;0,STDEV(D$348,D352)," ")/IF(D$348*D352&gt;0,SQRT(COUNT(D$348,D352))," "),"")</f>
        <v/>
      </c>
      <c r="AI377" s="287" t="str">
        <f aca="false">IFERROR(IF(E$348*E352&gt;0,STDEV(E$348,E352)," ")/IF(E$348*E352&gt;0,SQRT(COUNT(E$348,E352))," "),"")</f>
        <v/>
      </c>
      <c r="AJ377" s="287" t="str">
        <f aca="false">IFERROR(IF(F$348*F352&gt;0,STDEV(F$348,F352)," ")/IF(F$348*F352&gt;0,SQRT(COUNT(F$348,F352))," "),"")</f>
        <v/>
      </c>
      <c r="AK377" s="287" t="str">
        <f aca="false">IFERROR(IF(G$348*G352&gt;0,STDEV(G$348,G352)," ")/IF(G$348*G352&gt;0,SQRT(COUNT(G$348,G352))," "),"")</f>
        <v/>
      </c>
      <c r="AL377" s="287" t="str">
        <f aca="false">IFERROR(IF(H$348*H352&gt;0,STDEV(H$348,H352)," ")/IF(H$348*H352&gt;0,SQRT(COUNT(H$348,H352))," "),"")</f>
        <v/>
      </c>
      <c r="AM377" s="287" t="str">
        <f aca="false">IFERROR(IF(I$348*I352&gt;0,STDEV(I$348,I352)," ")/IF(I$348*I352&gt;0,SQRT(COUNT(I$348,I352))," "),"")</f>
        <v/>
      </c>
      <c r="AN377" s="287" t="str">
        <f aca="false">IFERROR(IF(J$348*J352&gt;0,STDEV(J$348,J352)," ")/IF(J$348*J352&gt;0,SQRT(COUNT(J$348,J352))," "),"")</f>
        <v/>
      </c>
      <c r="AO377" s="287" t="str">
        <f aca="false">IFERROR(IF(K$348*K352&gt;0,STDEV(K$348,K352)," ")/IF(K$348*K352&gt;0,SQRT(COUNT(K$348,K352))," "),"")</f>
        <v/>
      </c>
      <c r="AP377" s="287" t="str">
        <f aca="false">IFERROR(IF(L$348*L352&gt;0,STDEV(L$348,L352)," ")/IF(L$348*L352&gt;0,SQRT(COUNT(L$348,L352))," "),"")</f>
        <v/>
      </c>
      <c r="AQ377" s="287" t="str">
        <f aca="false">IFERROR(IF(M$348*M352&gt;0,STDEV(M$348,M352)," ")/IF(M$348*M352&gt;0,SQRT(COUNT(M$348,M352))," "),"")</f>
        <v/>
      </c>
      <c r="AR377" s="287" t="str">
        <f aca="false">IFERROR(IF(N$348*N352&gt;0,STDEV(N$348,N352)," ")/IF(N$348*N352&gt;0,SQRT(COUNT(N$348,N352))," "),"")</f>
        <v/>
      </c>
    </row>
    <row r="378" customFormat="false" ht="15.75" hidden="false" customHeight="false" outlineLevel="0" collapsed="false">
      <c r="A378" s="290" t="s">
        <v>314</v>
      </c>
      <c r="B378" s="281"/>
      <c r="C378" s="291" t="str">
        <f aca="false">IFERROR(IF(C$348*C353&gt;0,AVERAGE(C$348,C353),""),"")</f>
        <v/>
      </c>
      <c r="D378" s="291" t="str">
        <f aca="false">IFERROR(IF(D$348*D353&gt;0,AVERAGE(D$348,D353),""),"")</f>
        <v/>
      </c>
      <c r="E378" s="291" t="str">
        <f aca="false">IFERROR(IF(E$348*E353&gt;0,AVERAGE(E$348,E353),""),"")</f>
        <v/>
      </c>
      <c r="F378" s="291" t="str">
        <f aca="false">IFERROR(IF(F$348*F353&gt;0,AVERAGE(F$348,F353),""),"")</f>
        <v/>
      </c>
      <c r="G378" s="291" t="str">
        <f aca="false">IFERROR(IF(G$348*G353&gt;0,AVERAGE(G$348,G353),""),"")</f>
        <v/>
      </c>
      <c r="H378" s="291" t="str">
        <f aca="false">IFERROR(IF(H$348*H353&gt;0,AVERAGE(H$348,H353),""),"")</f>
        <v/>
      </c>
      <c r="I378" s="291" t="str">
        <f aca="false">IFERROR(IF(I$348*I353&gt;0,AVERAGE(I$348,I353),""),"")</f>
        <v/>
      </c>
      <c r="J378" s="291" t="str">
        <f aca="false">IFERROR(IF(J$348*J353&gt;0,AVERAGE(J$348,J353),""),"")</f>
        <v/>
      </c>
      <c r="K378" s="291" t="str">
        <f aca="false">IFERROR(IF(K$348*K353&gt;0,AVERAGE(K$348,K353),""),"")</f>
        <v/>
      </c>
      <c r="L378" s="291" t="str">
        <f aca="false">IFERROR(IF(L$348*L353&gt;0,AVERAGE(L$348,L353),""),"")</f>
        <v/>
      </c>
      <c r="M378" s="291" t="str">
        <f aca="false">IFERROR(IF(M$348*M353&gt;0,AVERAGE(M$348,M353),""),"")</f>
        <v/>
      </c>
      <c r="N378" s="291" t="str">
        <f aca="false">IFERROR(IF(N$348*N353&gt;0,AVERAGE(N$348,N353),""),"")</f>
        <v/>
      </c>
      <c r="O378" s="42"/>
      <c r="P378" s="282"/>
      <c r="Q378" s="296"/>
      <c r="R378" s="293" t="s">
        <v>315</v>
      </c>
      <c r="S378" s="294" t="str">
        <f aca="false">IFERROR(IF(C$348*C353&gt;0,STDEV(C$348,C353),"")/IF(C$348*C353&gt;0,AVERAGE(C$348,C353),""),"")</f>
        <v/>
      </c>
      <c r="T378" s="294" t="str">
        <f aca="false">IFERROR(IF(D$348*D353&gt;0,STDEV(D$348,D353),"")/IF(D$348*D353&gt;0,AVERAGE(D$348,D353),""),"")</f>
        <v/>
      </c>
      <c r="U378" s="294" t="str">
        <f aca="false">IFERROR(IF(E$348*E353&gt;0,STDEV(E$348,E353),"")/IF(E$348*E353&gt;0,AVERAGE(E$348,E353),""),"")</f>
        <v/>
      </c>
      <c r="V378" s="294" t="str">
        <f aca="false">IFERROR(IF(F$348*F353&gt;0,STDEV(F$348,F353),"")/IF(F$348*F353&gt;0,AVERAGE(F$348,F353),""),"")</f>
        <v/>
      </c>
      <c r="W378" s="294" t="str">
        <f aca="false">IFERROR(IF(G$348*G353&gt;0,STDEV(G$348,G353),"")/IF(G$348*G353&gt;0,AVERAGE(G$348,G353),""),"")</f>
        <v/>
      </c>
      <c r="X378" s="294" t="str">
        <f aca="false">IFERROR(IF(H$348*H353&gt;0,STDEV(H$348,H353),"")/IF(H$348*H353&gt;0,AVERAGE(H$348,H353),""),"")</f>
        <v/>
      </c>
      <c r="Y378" s="294" t="str">
        <f aca="false">IFERROR(IF(I$348*I353&gt;0,STDEV(I$348,I353),"")/IF(I$348*I353&gt;0,AVERAGE(I$348,I353),""),"")</f>
        <v/>
      </c>
      <c r="Z378" s="294" t="str">
        <f aca="false">IFERROR(IF(J$348*J353&gt;0,STDEV(J$348,J353),"")/IF(J$348*J353&gt;0,AVERAGE(J$348,J353),""),"")</f>
        <v/>
      </c>
      <c r="AA378" s="294" t="str">
        <f aca="false">IFERROR(IF(K$348*K353&gt;0,STDEV(K$348,K353),"")/IF(K$348*K353&gt;0,AVERAGE(K$348,K353),""),"")</f>
        <v/>
      </c>
      <c r="AB378" s="294" t="str">
        <f aca="false">IFERROR(IF(L$348*L353&gt;0,STDEV(L$348,L353),"")/IF(L$348*L353&gt;0,AVERAGE(L$348,L353),""),"")</f>
        <v/>
      </c>
      <c r="AC378" s="294" t="str">
        <f aca="false">IFERROR(IF(M$348*M353&gt;0,STDEV(M$348,M353),"")/IF(M$348*M353&gt;0,AVERAGE(M$348,M353),""),"")</f>
        <v/>
      </c>
      <c r="AD378" s="294" t="str">
        <f aca="false">IFERROR(IF(N$348*N353&gt;0,STDEV(N$348,N353),"")/IF(N$348*N353&gt;0,AVERAGE(N$348,N353),""),"")</f>
        <v/>
      </c>
      <c r="AE378" s="44"/>
      <c r="AF378" s="266" t="s">
        <v>316</v>
      </c>
      <c r="AG378" s="287" t="str">
        <f aca="false">IFERROR(IF(C$348*C353&gt;0,STDEV(C$348,C353)," ")/IF(C$348*C353&gt;0,SQRT(COUNT(C$348,C353))," "),"")</f>
        <v/>
      </c>
      <c r="AH378" s="287" t="str">
        <f aca="false">IFERROR(IF(D$348*D353&gt;0,STDEV(D$348,D353)," ")/IF(D$348*D353&gt;0,SQRT(COUNT(D$348,D353))," "),"")</f>
        <v/>
      </c>
      <c r="AI378" s="287" t="str">
        <f aca="false">IFERROR(IF(E$348*E353&gt;0,STDEV(E$348,E353)," ")/IF(E$348*E353&gt;0,SQRT(COUNT(E$348,E353))," "),"")</f>
        <v/>
      </c>
      <c r="AJ378" s="287" t="str">
        <f aca="false">IFERROR(IF(F$348*F353&gt;0,STDEV(F$348,F353)," ")/IF(F$348*F353&gt;0,SQRT(COUNT(F$348,F353))," "),"")</f>
        <v/>
      </c>
      <c r="AK378" s="287" t="str">
        <f aca="false">IFERROR(IF(G$348*G353&gt;0,STDEV(G$348,G353)," ")/IF(G$348*G353&gt;0,SQRT(COUNT(G$348,G353))," "),"")</f>
        <v/>
      </c>
      <c r="AL378" s="287" t="str">
        <f aca="false">IFERROR(IF(H$348*H353&gt;0,STDEV(H$348,H353)," ")/IF(H$348*H353&gt;0,SQRT(COUNT(H$348,H353))," "),"")</f>
        <v/>
      </c>
      <c r="AM378" s="287" t="str">
        <f aca="false">IFERROR(IF(I$348*I353&gt;0,STDEV(I$348,I353)," ")/IF(I$348*I353&gt;0,SQRT(COUNT(I$348,I353))," "),"")</f>
        <v/>
      </c>
      <c r="AN378" s="287" t="str">
        <f aca="false">IFERROR(IF(J$348*J353&gt;0,STDEV(J$348,J353)," ")/IF(J$348*J353&gt;0,SQRT(COUNT(J$348,J353))," "),"")</f>
        <v/>
      </c>
      <c r="AO378" s="287" t="str">
        <f aca="false">IFERROR(IF(K$348*K353&gt;0,STDEV(K$348,K353)," ")/IF(K$348*K353&gt;0,SQRT(COUNT(K$348,K353))," "),"")</f>
        <v/>
      </c>
      <c r="AP378" s="287" t="str">
        <f aca="false">IFERROR(IF(L$348*L353&gt;0,STDEV(L$348,L353)," ")/IF(L$348*L353&gt;0,SQRT(COUNT(L$348,L353))," "),"")</f>
        <v/>
      </c>
      <c r="AQ378" s="287" t="str">
        <f aca="false">IFERROR(IF(M$348*M353&gt;0,STDEV(M$348,M353)," ")/IF(M$348*M353&gt;0,SQRT(COUNT(M$348,M353))," "),"")</f>
        <v/>
      </c>
      <c r="AR378" s="287" t="str">
        <f aca="false">IFERROR(IF(N$348*N353&gt;0,STDEV(N$348,N353)," ")/IF(N$348*N353&gt;0,SQRT(COUNT(N$348,N353))," "),"")</f>
        <v/>
      </c>
    </row>
    <row r="379" customFormat="false" ht="15.75" hidden="false" customHeight="false" outlineLevel="0" collapsed="false">
      <c r="A379" s="290" t="s">
        <v>317</v>
      </c>
      <c r="B379" s="281"/>
      <c r="C379" s="291" t="str">
        <f aca="false">IFERROR(IF(C$349*C350&gt;0,AVERAGE(C$349,C350),""),"")</f>
        <v/>
      </c>
      <c r="D379" s="291" t="str">
        <f aca="false">IFERROR(IF(D$349*D350&gt;0,AVERAGE(D$349,D350),""),"")</f>
        <v/>
      </c>
      <c r="E379" s="291" t="str">
        <f aca="false">IFERROR(IF(E$349*E350&gt;0,AVERAGE(E$349,E350),""),"")</f>
        <v/>
      </c>
      <c r="F379" s="291" t="str">
        <f aca="false">IFERROR(IF(F$349*F350&gt;0,AVERAGE(F$349,F350),""),"")</f>
        <v/>
      </c>
      <c r="G379" s="291" t="str">
        <f aca="false">IFERROR(IF(G$349*G350&gt;0,AVERAGE(G$349,G350),""),"")</f>
        <v/>
      </c>
      <c r="H379" s="291" t="str">
        <f aca="false">IFERROR(IF(H$349*H350&gt;0,AVERAGE(H$349,H350),""),"")</f>
        <v/>
      </c>
      <c r="I379" s="291" t="str">
        <f aca="false">IFERROR(IF(I$349*I350&gt;0,AVERAGE(I$349,I350),""),"")</f>
        <v/>
      </c>
      <c r="J379" s="291" t="str">
        <f aca="false">IFERROR(IF(J$349*J350&gt;0,AVERAGE(J$349,J350),""),"")</f>
        <v/>
      </c>
      <c r="K379" s="291" t="str">
        <f aca="false">IFERROR(IF(K$349*K350&gt;0,AVERAGE(K$349,K350),""),"")</f>
        <v/>
      </c>
      <c r="L379" s="291" t="str">
        <f aca="false">IFERROR(IF(L$349*L350&gt;0,AVERAGE(L$349,L350),""),"")</f>
        <v/>
      </c>
      <c r="M379" s="291" t="str">
        <f aca="false">IFERROR(IF(M$349*M350&gt;0,AVERAGE(M$349,M350),""),"")</f>
        <v/>
      </c>
      <c r="N379" s="291" t="str">
        <f aca="false">IFERROR(IF(N$349*N350&gt;0,AVERAGE(N$349,N350),""),"")</f>
        <v/>
      </c>
      <c r="O379" s="42"/>
      <c r="P379" s="282"/>
      <c r="Q379" s="296"/>
      <c r="R379" s="293" t="s">
        <v>318</v>
      </c>
      <c r="S379" s="294" t="str">
        <f aca="false">IFERROR(IF(C$349*C350&gt;0,STDEV(C$349,C350),"")/IF(C$349*C350&gt;0,AVERAGE(C$349,C350),""),"")</f>
        <v/>
      </c>
      <c r="T379" s="294" t="str">
        <f aca="false">IFERROR(IF(D$349*D350&gt;0,STDEV(D$349,D350),"")/IF(D$349*D350&gt;0,AVERAGE(D$349,D350),""),"")</f>
        <v/>
      </c>
      <c r="U379" s="294" t="str">
        <f aca="false">IFERROR(IF(E$349*E350&gt;0,STDEV(E$349,E350),"")/IF(E$349*E350&gt;0,AVERAGE(E$349,E350),""),"")</f>
        <v/>
      </c>
      <c r="V379" s="294" t="str">
        <f aca="false">IFERROR(IF(F$349*F350&gt;0,STDEV(F$349,F350),"")/IF(F$349*F350&gt;0,AVERAGE(F$349,F350),""),"")</f>
        <v/>
      </c>
      <c r="W379" s="294" t="str">
        <f aca="false">IFERROR(IF(G$349*G350&gt;0,STDEV(G$349,G350),"")/IF(G$349*G350&gt;0,AVERAGE(G$349,G350),""),"")</f>
        <v/>
      </c>
      <c r="X379" s="294" t="str">
        <f aca="false">IFERROR(IF(H$349*H350&gt;0,STDEV(H$349,H350),"")/IF(H$349*H350&gt;0,AVERAGE(H$349,H350),""),"")</f>
        <v/>
      </c>
      <c r="Y379" s="294" t="str">
        <f aca="false">IFERROR(IF(I$349*I350&gt;0,STDEV(I$349,I350),"")/IF(I$349*I350&gt;0,AVERAGE(I$349,I350),""),"")</f>
        <v/>
      </c>
      <c r="Z379" s="294" t="str">
        <f aca="false">IFERROR(IF(J$349*J350&gt;0,STDEV(J$349,J350),"")/IF(J$349*J350&gt;0,AVERAGE(J$349,J350),""),"")</f>
        <v/>
      </c>
      <c r="AA379" s="294" t="str">
        <f aca="false">IFERROR(IF(K$349*K350&gt;0,STDEV(K$349,K350),"")/IF(K$349*K350&gt;0,AVERAGE(K$349,K350),""),"")</f>
        <v/>
      </c>
      <c r="AB379" s="294" t="str">
        <f aca="false">IFERROR(IF(L$349*L350&gt;0,STDEV(L$349,L350),"")/IF(L$349*L350&gt;0,AVERAGE(L$349,L350),""),"")</f>
        <v/>
      </c>
      <c r="AC379" s="294" t="str">
        <f aca="false">IFERROR(IF(M$349*M350&gt;0,STDEV(M$349,M350),"")/IF(M$349*M350&gt;0,AVERAGE(M$349,M350),""),"")</f>
        <v/>
      </c>
      <c r="AD379" s="294" t="str">
        <f aca="false">IFERROR(IF(N$349*N350&gt;0,STDEV(N$349,N350),"")/IF(N$349*N350&gt;0,AVERAGE(N$349,N350),""),"")</f>
        <v/>
      </c>
      <c r="AE379" s="44"/>
      <c r="AF379" s="266" t="s">
        <v>319</v>
      </c>
      <c r="AG379" s="287" t="str">
        <f aca="false">IFERROR(IF(C$349*C350&gt;0,STDEV(C$349,C350)," ")/IF(C$349*C350&gt;0,SQRT(COUNT(C$349,C350))," "),"")</f>
        <v/>
      </c>
      <c r="AH379" s="287" t="str">
        <f aca="false">IFERROR(IF(D$349*D350&gt;0,STDEV(D$349,D350)," ")/IF(D$349*D350&gt;0,SQRT(COUNT(D$349,D350))," "),"")</f>
        <v/>
      </c>
      <c r="AI379" s="287" t="str">
        <f aca="false">IFERROR(IF(E$349*E350&gt;0,STDEV(E$349,E350)," ")/IF(E$349*E350&gt;0,SQRT(COUNT(E$349,E350))," "),"")</f>
        <v/>
      </c>
      <c r="AJ379" s="287" t="str">
        <f aca="false">IFERROR(IF(F$349*F350&gt;0,STDEV(F$349,F350)," ")/IF(F$349*F350&gt;0,SQRT(COUNT(F$349,F350))," "),"")</f>
        <v/>
      </c>
      <c r="AK379" s="287" t="str">
        <f aca="false">IFERROR(IF(G$349*G350&gt;0,STDEV(G$349,G350)," ")/IF(G$349*G350&gt;0,SQRT(COUNT(G$349,G350))," "),"")</f>
        <v/>
      </c>
      <c r="AL379" s="287" t="str">
        <f aca="false">IFERROR(IF(H$349*H350&gt;0,STDEV(H$349,H350)," ")/IF(H$349*H350&gt;0,SQRT(COUNT(H$349,H350))," "),"")</f>
        <v/>
      </c>
      <c r="AM379" s="287" t="str">
        <f aca="false">IFERROR(IF(I$349*I350&gt;0,STDEV(I$349,I350)," ")/IF(I$349*I350&gt;0,SQRT(COUNT(I$349,I350))," "),"")</f>
        <v/>
      </c>
      <c r="AN379" s="287" t="str">
        <f aca="false">IFERROR(IF(J$349*J350&gt;0,STDEV(J$349,J350)," ")/IF(J$349*J350&gt;0,SQRT(COUNT(J$349,J350))," "),"")</f>
        <v/>
      </c>
      <c r="AO379" s="287" t="str">
        <f aca="false">IFERROR(IF(K$349*K350&gt;0,STDEV(K$349,K350)," ")/IF(K$349*K350&gt;0,SQRT(COUNT(K$349,K350))," "),"")</f>
        <v/>
      </c>
      <c r="AP379" s="287" t="str">
        <f aca="false">IFERROR(IF(L$349*L350&gt;0,STDEV(L$349,L350)," ")/IF(L$349*L350&gt;0,SQRT(COUNT(L$349,L350))," "),"")</f>
        <v/>
      </c>
      <c r="AQ379" s="287" t="str">
        <f aca="false">IFERROR(IF(M$349*M350&gt;0,STDEV(M$349,M350)," ")/IF(M$349*M350&gt;0,SQRT(COUNT(M$349,M350))," "),"")</f>
        <v/>
      </c>
      <c r="AR379" s="287" t="str">
        <f aca="false">IFERROR(IF(N$349*N350&gt;0,STDEV(N$349,N350)," ")/IF(N$349*N350&gt;0,SQRT(COUNT(N$349,N350))," "),"")</f>
        <v/>
      </c>
    </row>
    <row r="380" customFormat="false" ht="15.75" hidden="false" customHeight="false" outlineLevel="0" collapsed="false">
      <c r="A380" s="290" t="s">
        <v>320</v>
      </c>
      <c r="B380" s="281"/>
      <c r="C380" s="291" t="str">
        <f aca="false">IFERROR(IF(C$349*C351&gt;0,AVERAGE(C$349,C351),""),"")</f>
        <v/>
      </c>
      <c r="D380" s="291" t="str">
        <f aca="false">IFERROR(IF(D$349*D351&gt;0,AVERAGE(D$349,D351),""),"")</f>
        <v/>
      </c>
      <c r="E380" s="291" t="str">
        <f aca="false">IFERROR(IF(E$349*E351&gt;0,AVERAGE(E$349,E351),""),"")</f>
        <v/>
      </c>
      <c r="F380" s="291" t="str">
        <f aca="false">IFERROR(IF(F$349*F351&gt;0,AVERAGE(F$349,F351),""),"")</f>
        <v/>
      </c>
      <c r="G380" s="291" t="str">
        <f aca="false">IFERROR(IF(G$349*G351&gt;0,AVERAGE(G$349,G351),""),"")</f>
        <v/>
      </c>
      <c r="H380" s="291" t="str">
        <f aca="false">IFERROR(IF(H$349*H351&gt;0,AVERAGE(H$349,H351),""),"")</f>
        <v/>
      </c>
      <c r="I380" s="291" t="str">
        <f aca="false">IFERROR(IF(I$349*I351&gt;0,AVERAGE(I$349,I351),""),"")</f>
        <v/>
      </c>
      <c r="J380" s="291" t="str">
        <f aca="false">IFERROR(IF(J$349*J351&gt;0,AVERAGE(J$349,J351),""),"")</f>
        <v/>
      </c>
      <c r="K380" s="291" t="str">
        <f aca="false">IFERROR(IF(K$349*K351&gt;0,AVERAGE(K$349,K351),""),"")</f>
        <v/>
      </c>
      <c r="L380" s="291" t="str">
        <f aca="false">IFERROR(IF(L$349*L351&gt;0,AVERAGE(L$349,L351),""),"")</f>
        <v/>
      </c>
      <c r="M380" s="291" t="str">
        <f aca="false">IFERROR(IF(M$349*M351&gt;0,AVERAGE(M$349,M351),""),"")</f>
        <v/>
      </c>
      <c r="N380" s="291" t="str">
        <f aca="false">IFERROR(IF(N$349*N351&gt;0,AVERAGE(N$349,N351),""),"")</f>
        <v/>
      </c>
      <c r="O380" s="58"/>
      <c r="P380" s="282"/>
      <c r="Q380" s="296"/>
      <c r="R380" s="293" t="s">
        <v>321</v>
      </c>
      <c r="S380" s="294" t="str">
        <f aca="false">IFERROR(IF(C$349*C351&gt;0,STDEV(C$349,C351),"")/IF(C$349*C351&gt;0,AVERAGE(C$349,C351),""),"")</f>
        <v/>
      </c>
      <c r="T380" s="294" t="str">
        <f aca="false">IFERROR(IF(D$349*D351&gt;0,STDEV(D$349,D351),"")/IF(D$349*D351&gt;0,AVERAGE(D$349,D351),""),"")</f>
        <v/>
      </c>
      <c r="U380" s="294" t="str">
        <f aca="false">IFERROR(IF(E$349*E351&gt;0,STDEV(E$349,E351),"")/IF(E$349*E351&gt;0,AVERAGE(E$349,E351),""),"")</f>
        <v/>
      </c>
      <c r="V380" s="294" t="str">
        <f aca="false">IFERROR(IF(F$349*F351&gt;0,STDEV(F$349,F351),"")/IF(F$349*F351&gt;0,AVERAGE(F$349,F351),""),"")</f>
        <v/>
      </c>
      <c r="W380" s="294" t="str">
        <f aca="false">IFERROR(IF(G$349*G351&gt;0,STDEV(G$349,G351),"")/IF(G$349*G351&gt;0,AVERAGE(G$349,G351),""),"")</f>
        <v/>
      </c>
      <c r="X380" s="294" t="str">
        <f aca="false">IFERROR(IF(H$349*H351&gt;0,STDEV(H$349,H351),"")/IF(H$349*H351&gt;0,AVERAGE(H$349,H351),""),"")</f>
        <v/>
      </c>
      <c r="Y380" s="294" t="str">
        <f aca="false">IFERROR(IF(I$349*I351&gt;0,STDEV(I$349,I351),"")/IF(I$349*I351&gt;0,AVERAGE(I$349,I351),""),"")</f>
        <v/>
      </c>
      <c r="Z380" s="294" t="str">
        <f aca="false">IFERROR(IF(J$349*J351&gt;0,STDEV(J$349,J351),"")/IF(J$349*J351&gt;0,AVERAGE(J$349,J351),""),"")</f>
        <v/>
      </c>
      <c r="AA380" s="294" t="str">
        <f aca="false">IFERROR(IF(K$349*K351&gt;0,STDEV(K$349,K351),"")/IF(K$349*K351&gt;0,AVERAGE(K$349,K351),""),"")</f>
        <v/>
      </c>
      <c r="AB380" s="294" t="str">
        <f aca="false">IFERROR(IF(L$349*L351&gt;0,STDEV(L$349,L351),"")/IF(L$349*L351&gt;0,AVERAGE(L$349,L351),""),"")</f>
        <v/>
      </c>
      <c r="AC380" s="294" t="str">
        <f aca="false">IFERROR(IF(M$349*M351&gt;0,STDEV(M$349,M351),"")/IF(M$349*M351&gt;0,AVERAGE(M$349,M351),""),"")</f>
        <v/>
      </c>
      <c r="AD380" s="294" t="str">
        <f aca="false">IFERROR(IF(N$349*N351&gt;0,STDEV(N$349,N351),"")/IF(N$349*N351&gt;0,AVERAGE(N$349,N351),""),"")</f>
        <v/>
      </c>
      <c r="AE380" s="44"/>
      <c r="AF380" s="266" t="s">
        <v>322</v>
      </c>
      <c r="AG380" s="287" t="str">
        <f aca="false">IFERROR(IF(C$349*C351&gt;0,STDEV(C$349,C351)," ")/IF(C$349*C351&gt;0,SQRT(COUNT(C$349,C351))," "),"")</f>
        <v/>
      </c>
      <c r="AH380" s="287" t="str">
        <f aca="false">IFERROR(IF(D$349*D351&gt;0,STDEV(D$349,D351)," ")/IF(D$349*D351&gt;0,SQRT(COUNT(D$349,D351))," "),"")</f>
        <v/>
      </c>
      <c r="AI380" s="287" t="str">
        <f aca="false">IFERROR(IF(E$349*E351&gt;0,STDEV(E$349,E351)," ")/IF(E$349*E351&gt;0,SQRT(COUNT(E$349,E351))," "),"")</f>
        <v/>
      </c>
      <c r="AJ380" s="287" t="str">
        <f aca="false">IFERROR(IF(F$349*F351&gt;0,STDEV(F$349,F351)," ")/IF(F$349*F351&gt;0,SQRT(COUNT(F$349,F351))," "),"")</f>
        <v/>
      </c>
      <c r="AK380" s="287" t="str">
        <f aca="false">IFERROR(IF(G$349*G351&gt;0,STDEV(G$349,G351)," ")/IF(G$349*G351&gt;0,SQRT(COUNT(G$349,G351))," "),"")</f>
        <v/>
      </c>
      <c r="AL380" s="287" t="str">
        <f aca="false">IFERROR(IF(H$349*H351&gt;0,STDEV(H$349,H351)," ")/IF(H$349*H351&gt;0,SQRT(COUNT(H$349,H351))," "),"")</f>
        <v/>
      </c>
      <c r="AM380" s="287" t="str">
        <f aca="false">IFERROR(IF(I$349*I351&gt;0,STDEV(I$349,I351)," ")/IF(I$349*I351&gt;0,SQRT(COUNT(I$349,I351))," "),"")</f>
        <v/>
      </c>
      <c r="AN380" s="287" t="str">
        <f aca="false">IFERROR(IF(J$349*J351&gt;0,STDEV(J$349,J351)," ")/IF(J$349*J351&gt;0,SQRT(COUNT(J$349,J351))," "),"")</f>
        <v/>
      </c>
      <c r="AO380" s="287" t="str">
        <f aca="false">IFERROR(IF(K$349*K351&gt;0,STDEV(K$349,K351)," ")/IF(K$349*K351&gt;0,SQRT(COUNT(K$349,K351))," "),"")</f>
        <v/>
      </c>
      <c r="AP380" s="287" t="str">
        <f aca="false">IFERROR(IF(L$349*L351&gt;0,STDEV(L$349,L351)," ")/IF(L$349*L351&gt;0,SQRT(COUNT(L$349,L351))," "),"")</f>
        <v/>
      </c>
      <c r="AQ380" s="287" t="str">
        <f aca="false">IFERROR(IF(M$349*M351&gt;0,STDEV(M$349,M351)," ")/IF(M$349*M351&gt;0,SQRT(COUNT(M$349,M351))," "),"")</f>
        <v/>
      </c>
      <c r="AR380" s="287" t="str">
        <f aca="false">IFERROR(IF(N$349*N351&gt;0,STDEV(N$349,N351)," ")/IF(N$349*N351&gt;0,SQRT(COUNT(N$349,N351))," "),"")</f>
        <v/>
      </c>
    </row>
    <row r="381" customFormat="false" ht="15.75" hidden="false" customHeight="false" outlineLevel="0" collapsed="false">
      <c r="A381" s="290" t="s">
        <v>323</v>
      </c>
      <c r="B381" s="281"/>
      <c r="C381" s="291" t="str">
        <f aca="false">IFERROR(IF(C$349*C352&gt;0,AVERAGE(C$349,C352),""),"")</f>
        <v/>
      </c>
      <c r="D381" s="291" t="str">
        <f aca="false">IFERROR(IF(D$349*D352&gt;0,AVERAGE(D$349,D352),""),"")</f>
        <v/>
      </c>
      <c r="E381" s="291" t="str">
        <f aca="false">IFERROR(IF(E$349*E352&gt;0,AVERAGE(E$349,E352),""),"")</f>
        <v/>
      </c>
      <c r="F381" s="291" t="str">
        <f aca="false">IFERROR(IF(F$349*F352&gt;0,AVERAGE(F$349,F352),""),"")</f>
        <v/>
      </c>
      <c r="G381" s="291" t="str">
        <f aca="false">IFERROR(IF(G$349*G352&gt;0,AVERAGE(G$349,G352),""),"")</f>
        <v/>
      </c>
      <c r="H381" s="291" t="str">
        <f aca="false">IFERROR(IF(H$349*H352&gt;0,AVERAGE(H$349,H352),""),"")</f>
        <v/>
      </c>
      <c r="I381" s="291" t="str">
        <f aca="false">IFERROR(IF(I$349*I352&gt;0,AVERAGE(I$349,I352),""),"")</f>
        <v/>
      </c>
      <c r="J381" s="291" t="str">
        <f aca="false">IFERROR(IF(J$349*J352&gt;0,AVERAGE(J$349,J352),""),"")</f>
        <v/>
      </c>
      <c r="K381" s="291" t="str">
        <f aca="false">IFERROR(IF(K$349*K352&gt;0,AVERAGE(K$349,K352),""),"")</f>
        <v/>
      </c>
      <c r="L381" s="291" t="str">
        <f aca="false">IFERROR(IF(L$349*L352&gt;0,AVERAGE(L$349,L352),""),"")</f>
        <v/>
      </c>
      <c r="M381" s="291" t="str">
        <f aca="false">IFERROR(IF(M$349*M352&gt;0,AVERAGE(M$349,M352),""),"")</f>
        <v/>
      </c>
      <c r="N381" s="291" t="str">
        <f aca="false">IFERROR(IF(N$349*N352&gt;0,AVERAGE(N$349,N352),""),"")</f>
        <v/>
      </c>
      <c r="O381" s="282"/>
      <c r="P381" s="282"/>
      <c r="Q381" s="296"/>
      <c r="R381" s="293" t="s">
        <v>324</v>
      </c>
      <c r="S381" s="294" t="str">
        <f aca="false">IFERROR(IF(C$349*C352&gt;0,STDEV(C$349,C352),"")/IF(C$349*C352&gt;0,AVERAGE(C$349,C352),""),"")</f>
        <v/>
      </c>
      <c r="T381" s="294" t="str">
        <f aca="false">IFERROR(IF(D$349*D352&gt;0,STDEV(D$349,D352),"")/IF(D$349*D352&gt;0,AVERAGE(D$349,D352),""),"")</f>
        <v/>
      </c>
      <c r="U381" s="294" t="str">
        <f aca="false">IFERROR(IF(E$349*E352&gt;0,STDEV(E$349,E352),"")/IF(E$349*E352&gt;0,AVERAGE(E$349,E352),""),"")</f>
        <v/>
      </c>
      <c r="V381" s="294" t="str">
        <f aca="false">IFERROR(IF(F$349*F352&gt;0,STDEV(F$349,F352),"")/IF(F$349*F352&gt;0,AVERAGE(F$349,F352),""),"")</f>
        <v/>
      </c>
      <c r="W381" s="294" t="str">
        <f aca="false">IFERROR(IF(G$349*G352&gt;0,STDEV(G$349,G352),"")/IF(G$349*G352&gt;0,AVERAGE(G$349,G352),""),"")</f>
        <v/>
      </c>
      <c r="X381" s="294" t="str">
        <f aca="false">IFERROR(IF(H$349*H352&gt;0,STDEV(H$349,H352),"")/IF(H$349*H352&gt;0,AVERAGE(H$349,H352),""),"")</f>
        <v/>
      </c>
      <c r="Y381" s="294" t="str">
        <f aca="false">IFERROR(IF(I$349*I352&gt;0,STDEV(I$349,I352),"")/IF(I$349*I352&gt;0,AVERAGE(I$349,I352),""),"")</f>
        <v/>
      </c>
      <c r="Z381" s="294" t="str">
        <f aca="false">IFERROR(IF(J$349*J352&gt;0,STDEV(J$349,J352),"")/IF(J$349*J352&gt;0,AVERAGE(J$349,J352),""),"")</f>
        <v/>
      </c>
      <c r="AA381" s="294" t="str">
        <f aca="false">IFERROR(IF(K$349*K352&gt;0,STDEV(K$349,K352),"")/IF(K$349*K352&gt;0,AVERAGE(K$349,K352),""),"")</f>
        <v/>
      </c>
      <c r="AB381" s="294" t="str">
        <f aca="false">IFERROR(IF(L$349*L352&gt;0,STDEV(L$349,L352),"")/IF(L$349*L352&gt;0,AVERAGE(L$349,L352),""),"")</f>
        <v/>
      </c>
      <c r="AC381" s="294" t="str">
        <f aca="false">IFERROR(IF(M$349*M352&gt;0,STDEV(M$349,M352),"")/IF(M$349*M352&gt;0,AVERAGE(M$349,M352),""),"")</f>
        <v/>
      </c>
      <c r="AD381" s="294" t="str">
        <f aca="false">IFERROR(IF(N$349*N352&gt;0,STDEV(N$349,N352),"")/IF(N$349*N352&gt;0,AVERAGE(N$349,N352),""),"")</f>
        <v/>
      </c>
      <c r="AE381" s="44"/>
      <c r="AF381" s="266" t="s">
        <v>325</v>
      </c>
      <c r="AG381" s="287" t="str">
        <f aca="false">IFERROR(IF(C$349*C352&gt;0,STDEV(C$349,C352)," ")/IF(C$349*C352&gt;0,SQRT(COUNT(C$349,C352))," "),"")</f>
        <v/>
      </c>
      <c r="AH381" s="287" t="str">
        <f aca="false">IFERROR(IF(D$349*D352&gt;0,STDEV(D$349,D352)," ")/IF(D$349*D352&gt;0,SQRT(COUNT(D$349,D352))," "),"")</f>
        <v/>
      </c>
      <c r="AI381" s="287" t="str">
        <f aca="false">IFERROR(IF(E$349*E352&gt;0,STDEV(E$349,E352)," ")/IF(E$349*E352&gt;0,SQRT(COUNT(E$349,E352))," "),"")</f>
        <v/>
      </c>
      <c r="AJ381" s="287" t="str">
        <f aca="false">IFERROR(IF(F$349*F352&gt;0,STDEV(F$349,F352)," ")/IF(F$349*F352&gt;0,SQRT(COUNT(F$349,F352))," "),"")</f>
        <v/>
      </c>
      <c r="AK381" s="287" t="str">
        <f aca="false">IFERROR(IF(G$349*G352&gt;0,STDEV(G$349,G352)," ")/IF(G$349*G352&gt;0,SQRT(COUNT(G$349,G352))," "),"")</f>
        <v/>
      </c>
      <c r="AL381" s="287" t="str">
        <f aca="false">IFERROR(IF(H$349*H352&gt;0,STDEV(H$349,H352)," ")/IF(H$349*H352&gt;0,SQRT(COUNT(H$349,H352))," "),"")</f>
        <v/>
      </c>
      <c r="AM381" s="287" t="str">
        <f aca="false">IFERROR(IF(I$349*I352&gt;0,STDEV(I$349,I352)," ")/IF(I$349*I352&gt;0,SQRT(COUNT(I$349,I352))," "),"")</f>
        <v/>
      </c>
      <c r="AN381" s="287" t="str">
        <f aca="false">IFERROR(IF(J$349*J352&gt;0,STDEV(J$349,J352)," ")/IF(J$349*J352&gt;0,SQRT(COUNT(J$349,J352))," "),"")</f>
        <v/>
      </c>
      <c r="AO381" s="287" t="str">
        <f aca="false">IFERROR(IF(K$349*K352&gt;0,STDEV(K$349,K352)," ")/IF(K$349*K352&gt;0,SQRT(COUNT(K$349,K352))," "),"")</f>
        <v/>
      </c>
      <c r="AP381" s="287" t="str">
        <f aca="false">IFERROR(IF(L$349*L352&gt;0,STDEV(L$349,L352)," ")/IF(L$349*L352&gt;0,SQRT(COUNT(L$349,L352))," "),"")</f>
        <v/>
      </c>
      <c r="AQ381" s="287" t="str">
        <f aca="false">IFERROR(IF(M$349*M352&gt;0,STDEV(M$349,M352)," ")/IF(M$349*M352&gt;0,SQRT(COUNT(M$349,M352))," "),"")</f>
        <v/>
      </c>
      <c r="AR381" s="287" t="str">
        <f aca="false">IFERROR(IF(N$349*N352&gt;0,STDEV(N$349,N352)," ")/IF(N$349*N352&gt;0,SQRT(COUNT(N$349,N352))," "),"")</f>
        <v/>
      </c>
    </row>
    <row r="382" customFormat="false" ht="15.75" hidden="false" customHeight="false" outlineLevel="0" collapsed="false">
      <c r="A382" s="290" t="s">
        <v>326</v>
      </c>
      <c r="B382" s="281"/>
      <c r="C382" s="291" t="str">
        <f aca="false">IFERROR(IF(C$349*C353&gt;0,AVERAGE(C$349,C353),""),"")</f>
        <v/>
      </c>
      <c r="D382" s="291" t="str">
        <f aca="false">IFERROR(IF(D$349*D353&gt;0,AVERAGE(D$349,D353),""),"")</f>
        <v/>
      </c>
      <c r="E382" s="291" t="str">
        <f aca="false">IFERROR(IF(E$349*E353&gt;0,AVERAGE(E$349,E353),""),"")</f>
        <v/>
      </c>
      <c r="F382" s="291" t="str">
        <f aca="false">IFERROR(IF(F$349*F353&gt;0,AVERAGE(F$349,F353),""),"")</f>
        <v/>
      </c>
      <c r="G382" s="291" t="str">
        <f aca="false">IFERROR(IF(G$349*G353&gt;0,AVERAGE(G$349,G353),""),"")</f>
        <v/>
      </c>
      <c r="H382" s="291" t="str">
        <f aca="false">IFERROR(IF(H$349*H353&gt;0,AVERAGE(H$349,H353),""),"")</f>
        <v/>
      </c>
      <c r="I382" s="291" t="str">
        <f aca="false">IFERROR(IF(I$349*I353&gt;0,AVERAGE(I$349,I353),""),"")</f>
        <v/>
      </c>
      <c r="J382" s="291" t="str">
        <f aca="false">IFERROR(IF(J$349*J353&gt;0,AVERAGE(J$349,J353),""),"")</f>
        <v/>
      </c>
      <c r="K382" s="291" t="str">
        <f aca="false">IFERROR(IF(K$349*K353&gt;0,AVERAGE(K$349,K353),""),"")</f>
        <v/>
      </c>
      <c r="L382" s="291" t="str">
        <f aca="false">IFERROR(IF(L$349*L353&gt;0,AVERAGE(L$349,L353),""),"")</f>
        <v/>
      </c>
      <c r="M382" s="291" t="str">
        <f aca="false">IFERROR(IF(M$349*M353&gt;0,AVERAGE(M$349,M353),""),"")</f>
        <v/>
      </c>
      <c r="N382" s="291" t="str">
        <f aca="false">IFERROR(IF(N$349*N353&gt;0,AVERAGE(N$349,N353),""),"")</f>
        <v/>
      </c>
      <c r="O382" s="58"/>
      <c r="P382" s="282"/>
      <c r="Q382" s="296"/>
      <c r="R382" s="293" t="s">
        <v>327</v>
      </c>
      <c r="S382" s="294" t="str">
        <f aca="false">IFERROR(IF(C$349*C353&gt;0,STDEV(C$349,C353),"")/IF(C$349*C353&gt;0,AVERAGE(C$349,C353),""),"")</f>
        <v/>
      </c>
      <c r="T382" s="294" t="str">
        <f aca="false">IFERROR(IF(D$349*D353&gt;0,STDEV(D$349,D353),"")/IF(D$349*D353&gt;0,AVERAGE(D$349,D353),""),"")</f>
        <v/>
      </c>
      <c r="U382" s="294" t="str">
        <f aca="false">IFERROR(IF(E$349*E353&gt;0,STDEV(E$349,E353),"")/IF(E$349*E353&gt;0,AVERAGE(E$349,E353),""),"")</f>
        <v/>
      </c>
      <c r="V382" s="294" t="str">
        <f aca="false">IFERROR(IF(F$349*F353&gt;0,STDEV(F$349,F353),"")/IF(F$349*F353&gt;0,AVERAGE(F$349,F353),""),"")</f>
        <v/>
      </c>
      <c r="W382" s="294" t="str">
        <f aca="false">IFERROR(IF(G$349*G353&gt;0,STDEV(G$349,G353),"")/IF(G$349*G353&gt;0,AVERAGE(G$349,G353),""),"")</f>
        <v/>
      </c>
      <c r="X382" s="294" t="str">
        <f aca="false">IFERROR(IF(H$349*H353&gt;0,STDEV(H$349,H353),"")/IF(H$349*H353&gt;0,AVERAGE(H$349,H353),""),"")</f>
        <v/>
      </c>
      <c r="Y382" s="294" t="str">
        <f aca="false">IFERROR(IF(I$349*I353&gt;0,STDEV(I$349,I353),"")/IF(I$349*I353&gt;0,AVERAGE(I$349,I353),""),"")</f>
        <v/>
      </c>
      <c r="Z382" s="294" t="str">
        <f aca="false">IFERROR(IF(J$349*J353&gt;0,STDEV(J$349,J353),"")/IF(J$349*J353&gt;0,AVERAGE(J$349,J353),""),"")</f>
        <v/>
      </c>
      <c r="AA382" s="294" t="str">
        <f aca="false">IFERROR(IF(K$349*K353&gt;0,STDEV(K$349,K353),"")/IF(K$349*K353&gt;0,AVERAGE(K$349,K353),""),"")</f>
        <v/>
      </c>
      <c r="AB382" s="294" t="str">
        <f aca="false">IFERROR(IF(L$349*L353&gt;0,STDEV(L$349,L353),"")/IF(L$349*L353&gt;0,AVERAGE(L$349,L353),""),"")</f>
        <v/>
      </c>
      <c r="AC382" s="294" t="str">
        <f aca="false">IFERROR(IF(M$349*M353&gt;0,STDEV(M$349,M353),"")/IF(M$349*M353&gt;0,AVERAGE(M$349,M353),""),"")</f>
        <v/>
      </c>
      <c r="AD382" s="294" t="str">
        <f aca="false">IFERROR(IF(N$349*N353&gt;0,STDEV(N$349,N353),"")/IF(N$349*N353&gt;0,AVERAGE(N$349,N353),""),"")</f>
        <v/>
      </c>
      <c r="AE382" s="44"/>
      <c r="AF382" s="266" t="s">
        <v>328</v>
      </c>
      <c r="AG382" s="287" t="str">
        <f aca="false">IFERROR(IF(C$349*C353&gt;0,STDEV(C$349,C353)," ")/IF(C$349*C353&gt;0,SQRT(COUNT(C$349,C353))," "),"")</f>
        <v/>
      </c>
      <c r="AH382" s="287" t="str">
        <f aca="false">IFERROR(IF(D$349*D353&gt;0,STDEV(D$349,D353)," ")/IF(D$349*D353&gt;0,SQRT(COUNT(D$349,D353))," "),"")</f>
        <v/>
      </c>
      <c r="AI382" s="287" t="str">
        <f aca="false">IFERROR(IF(E$349*E353&gt;0,STDEV(E$349,E353)," ")/IF(E$349*E353&gt;0,SQRT(COUNT(E$349,E353))," "),"")</f>
        <v/>
      </c>
      <c r="AJ382" s="287" t="str">
        <f aca="false">IFERROR(IF(F$349*F353&gt;0,STDEV(F$349,F353)," ")/IF(F$349*F353&gt;0,SQRT(COUNT(F$349,F353))," "),"")</f>
        <v/>
      </c>
      <c r="AK382" s="287" t="str">
        <f aca="false">IFERROR(IF(G$349*G353&gt;0,STDEV(G$349,G353)," ")/IF(G$349*G353&gt;0,SQRT(COUNT(G$349,G353))," "),"")</f>
        <v/>
      </c>
      <c r="AL382" s="287" t="str">
        <f aca="false">IFERROR(IF(H$349*H353&gt;0,STDEV(H$349,H353)," ")/IF(H$349*H353&gt;0,SQRT(COUNT(H$349,H353))," "),"")</f>
        <v/>
      </c>
      <c r="AM382" s="287" t="str">
        <f aca="false">IFERROR(IF(I$349*I353&gt;0,STDEV(I$349,I353)," ")/IF(I$349*I353&gt;0,SQRT(COUNT(I$349,I353))," "),"")</f>
        <v/>
      </c>
      <c r="AN382" s="287" t="str">
        <f aca="false">IFERROR(IF(J$349*J353&gt;0,STDEV(J$349,J353)," ")/IF(J$349*J353&gt;0,SQRT(COUNT(J$349,J353))," "),"")</f>
        <v/>
      </c>
      <c r="AO382" s="287" t="str">
        <f aca="false">IFERROR(IF(K$349*K353&gt;0,STDEV(K$349,K353)," ")/IF(K$349*K353&gt;0,SQRT(COUNT(K$349,K353))," "),"")</f>
        <v/>
      </c>
      <c r="AP382" s="287" t="str">
        <f aca="false">IFERROR(IF(L$349*L353&gt;0,STDEV(L$349,L353)," ")/IF(L$349*L353&gt;0,SQRT(COUNT(L$349,L353))," "),"")</f>
        <v/>
      </c>
      <c r="AQ382" s="287" t="str">
        <f aca="false">IFERROR(IF(M$349*M353&gt;0,STDEV(M$349,M353)," ")/IF(M$349*M353&gt;0,SQRT(COUNT(M$349,M353))," "),"")</f>
        <v/>
      </c>
      <c r="AR382" s="287" t="str">
        <f aca="false">IFERROR(IF(N$349*N353&gt;0,STDEV(N$349,N353)," ")/IF(N$349*N353&gt;0,SQRT(COUNT(N$349,N353))," "),"")</f>
        <v/>
      </c>
    </row>
    <row r="383" customFormat="false" ht="15.75" hidden="false" customHeight="false" outlineLevel="0" collapsed="false">
      <c r="A383" s="290" t="s">
        <v>329</v>
      </c>
      <c r="B383" s="281"/>
      <c r="C383" s="291" t="str">
        <f aca="false">IFERROR(IF(C$350*C351&gt;0,AVERAGE(C$350,C351),""),"")</f>
        <v/>
      </c>
      <c r="D383" s="291" t="str">
        <f aca="false">IFERROR(IF(D$350*D351&gt;0,AVERAGE(D$350,D351),""),"")</f>
        <v/>
      </c>
      <c r="E383" s="291" t="str">
        <f aca="false">IFERROR(IF(E$350*E351&gt;0,AVERAGE(E$350,E351),""),"")</f>
        <v/>
      </c>
      <c r="F383" s="291" t="str">
        <f aca="false">IFERROR(IF(F$350*F351&gt;0,AVERAGE(F$350,F351),""),"")</f>
        <v/>
      </c>
      <c r="G383" s="291" t="str">
        <f aca="false">IFERROR(IF(G$350*G351&gt;0,AVERAGE(G$350,G351),""),"")</f>
        <v/>
      </c>
      <c r="H383" s="291" t="str">
        <f aca="false">IFERROR(IF(H$350*H351&gt;0,AVERAGE(H$350,H351),""),"")</f>
        <v/>
      </c>
      <c r="I383" s="291" t="str">
        <f aca="false">IFERROR(IF(I$350*I351&gt;0,AVERAGE(I$350,I351),""),"")</f>
        <v/>
      </c>
      <c r="J383" s="291" t="str">
        <f aca="false">IFERROR(IF(J$350*J351&gt;0,AVERAGE(J$350,J351),""),"")</f>
        <v/>
      </c>
      <c r="K383" s="291" t="str">
        <f aca="false">IFERROR(IF(K$350*K351&gt;0,AVERAGE(K$350,K351),""),"")</f>
        <v/>
      </c>
      <c r="L383" s="291" t="str">
        <f aca="false">IFERROR(IF(L$350*L351&gt;0,AVERAGE(L$350,L351),""),"")</f>
        <v/>
      </c>
      <c r="M383" s="291" t="str">
        <f aca="false">IFERROR(IF(M$350*M351&gt;0,AVERAGE(M$350,M351),""),"")</f>
        <v/>
      </c>
      <c r="N383" s="291" t="str">
        <f aca="false">IFERROR(IF(N$350*N351&gt;0,AVERAGE(N$350,N351),""),"")</f>
        <v/>
      </c>
      <c r="O383" s="42"/>
      <c r="P383" s="282"/>
      <c r="Q383" s="188"/>
      <c r="R383" s="293" t="s">
        <v>330</v>
      </c>
      <c r="S383" s="294" t="str">
        <f aca="false">IFERROR(IF(C$350*C351&gt;0,STDEV(C$350,C351),"")/IF(C$350*C351&gt;0,AVERAGE(C$350,C351),""),"")</f>
        <v/>
      </c>
      <c r="T383" s="294" t="str">
        <f aca="false">IFERROR(IF(D$350*D351&gt;0,STDEV(D$350,D351),"")/IF(D$350*D351&gt;0,AVERAGE(D$350,D351),""),"")</f>
        <v/>
      </c>
      <c r="U383" s="294" t="str">
        <f aca="false">IFERROR(IF(E$350*E351&gt;0,STDEV(E$350,E351),"")/IF(E$350*E351&gt;0,AVERAGE(E$350,E351),""),"")</f>
        <v/>
      </c>
      <c r="V383" s="294" t="str">
        <f aca="false">IFERROR(IF(F$350*F351&gt;0,STDEV(F$350,F351),"")/IF(F$350*F351&gt;0,AVERAGE(F$350,F351),""),"")</f>
        <v/>
      </c>
      <c r="W383" s="294" t="str">
        <f aca="false">IFERROR(IF(G$350*G351&gt;0,STDEV(G$350,G351),"")/IF(G$350*G351&gt;0,AVERAGE(G$350,G351),""),"")</f>
        <v/>
      </c>
      <c r="X383" s="294" t="str">
        <f aca="false">IFERROR(IF(H$350*H351&gt;0,STDEV(H$350,H351),"")/IF(H$350*H351&gt;0,AVERAGE(H$350,H351),""),"")</f>
        <v/>
      </c>
      <c r="Y383" s="294" t="str">
        <f aca="false">IFERROR(IF(I$350*I351&gt;0,STDEV(I$350,I351),"")/IF(I$350*I351&gt;0,AVERAGE(I$350,I351),""),"")</f>
        <v/>
      </c>
      <c r="Z383" s="294" t="str">
        <f aca="false">IFERROR(IF(J$350*J351&gt;0,STDEV(J$350,J351),"")/IF(J$350*J351&gt;0,AVERAGE(J$350,J351),""),"")</f>
        <v/>
      </c>
      <c r="AA383" s="294" t="str">
        <f aca="false">IFERROR(IF(K$350*K351&gt;0,STDEV(K$350,K351),"")/IF(K$350*K351&gt;0,AVERAGE(K$350,K351),""),"")</f>
        <v/>
      </c>
      <c r="AB383" s="294" t="str">
        <f aca="false">IFERROR(IF(L$350*L351&gt;0,STDEV(L$350,L351),"")/IF(L$350*L351&gt;0,AVERAGE(L$350,L351),""),"")</f>
        <v/>
      </c>
      <c r="AC383" s="294" t="str">
        <f aca="false">IFERROR(IF(M$350*M351&gt;0,STDEV(M$350,M351),"")/IF(M$350*M351&gt;0,AVERAGE(M$350,M351),""),"")</f>
        <v/>
      </c>
      <c r="AD383" s="294" t="str">
        <f aca="false">IFERROR(IF(N$350*N351&gt;0,STDEV(N$350,N351),"")/IF(N$350*N351&gt;0,AVERAGE(N$350,N351),""),"")</f>
        <v/>
      </c>
      <c r="AE383" s="42"/>
      <c r="AF383" s="266" t="s">
        <v>331</v>
      </c>
      <c r="AG383" s="287" t="str">
        <f aca="false">IFERROR(IF(C$350*C351&gt;0,STDEV(C$350,C351)," ")/IF(C$350*C351&gt;0,SQRT(COUNT(C$350,C351))," "),"")</f>
        <v/>
      </c>
      <c r="AH383" s="287" t="str">
        <f aca="false">IFERROR(IF(D$350*D351&gt;0,STDEV(D$350,D351)," ")/IF(D$350*D351&gt;0,SQRT(COUNT(D$350,D351))," "),"")</f>
        <v/>
      </c>
      <c r="AI383" s="287" t="str">
        <f aca="false">IFERROR(IF(E$350*E351&gt;0,STDEV(E$350,E351)," ")/IF(E$350*E351&gt;0,SQRT(COUNT(E$350,E351))," "),"")</f>
        <v/>
      </c>
      <c r="AJ383" s="287" t="str">
        <f aca="false">IFERROR(IF(F$350*F351&gt;0,STDEV(F$350,F351)," ")/IF(F$350*F351&gt;0,SQRT(COUNT(F$350,F351))," "),"")</f>
        <v/>
      </c>
      <c r="AK383" s="287" t="str">
        <f aca="false">IFERROR(IF(G$350*G351&gt;0,STDEV(G$350,G351)," ")/IF(G$350*G351&gt;0,SQRT(COUNT(G$350,G351))," "),"")</f>
        <v/>
      </c>
      <c r="AL383" s="287" t="str">
        <f aca="false">IFERROR(IF(H$350*H351&gt;0,STDEV(H$350,H351)," ")/IF(H$350*H351&gt;0,SQRT(COUNT(H$350,H351))," "),"")</f>
        <v/>
      </c>
      <c r="AM383" s="287" t="str">
        <f aca="false">IFERROR(IF(I$350*I351&gt;0,STDEV(I$350,I351)," ")/IF(I$350*I351&gt;0,SQRT(COUNT(I$350,I351))," "),"")</f>
        <v/>
      </c>
      <c r="AN383" s="287" t="str">
        <f aca="false">IFERROR(IF(J$350*J351&gt;0,STDEV(J$350,J351)," ")/IF(J$350*J351&gt;0,SQRT(COUNT(J$350,J351))," "),"")</f>
        <v/>
      </c>
      <c r="AO383" s="287" t="str">
        <f aca="false">IFERROR(IF(K$350*K351&gt;0,STDEV(K$350,K351)," ")/IF(K$350*K351&gt;0,SQRT(COUNT(K$350,K351))," "),"")</f>
        <v/>
      </c>
      <c r="AP383" s="287" t="str">
        <f aca="false">IFERROR(IF(L$350*L351&gt;0,STDEV(L$350,L351)," ")/IF(L$350*L351&gt;0,SQRT(COUNT(L$350,L351))," "),"")</f>
        <v/>
      </c>
      <c r="AQ383" s="287" t="str">
        <f aca="false">IFERROR(IF(M$350*M351&gt;0,STDEV(M$350,M351)," ")/IF(M$350*M351&gt;0,SQRT(COUNT(M$350,M351))," "),"")</f>
        <v/>
      </c>
      <c r="AR383" s="287" t="str">
        <f aca="false">IFERROR(IF(N$350*N351&gt;0,STDEV(N$350,N351)," ")/IF(N$350*N351&gt;0,SQRT(COUNT(N$350,N351))," "),"")</f>
        <v/>
      </c>
    </row>
    <row r="384" customFormat="false" ht="15.75" hidden="false" customHeight="false" outlineLevel="0" collapsed="false">
      <c r="A384" s="290" t="s">
        <v>332</v>
      </c>
      <c r="B384" s="281"/>
      <c r="C384" s="291" t="str">
        <f aca="false">IFERROR(IF(C$350*C352&gt;0,AVERAGE(C$350,C352),""),"")</f>
        <v/>
      </c>
      <c r="D384" s="291" t="str">
        <f aca="false">IFERROR(IF(D$350*D352&gt;0,AVERAGE(D$350,D352),""),"")</f>
        <v/>
      </c>
      <c r="E384" s="291" t="str">
        <f aca="false">IFERROR(IF(E$350*E352&gt;0,AVERAGE(E$350,E352),""),"")</f>
        <v/>
      </c>
      <c r="F384" s="291" t="str">
        <f aca="false">IFERROR(IF(F$350*F352&gt;0,AVERAGE(F$350,F352),""),"")</f>
        <v/>
      </c>
      <c r="G384" s="291" t="str">
        <f aca="false">IFERROR(IF(G$350*G352&gt;0,AVERAGE(G$350,G352),""),"")</f>
        <v/>
      </c>
      <c r="H384" s="291" t="str">
        <f aca="false">IFERROR(IF(H$350*H352&gt;0,AVERAGE(H$350,H352),""),"")</f>
        <v/>
      </c>
      <c r="I384" s="291" t="str">
        <f aca="false">IFERROR(IF(I$350*I352&gt;0,AVERAGE(I$350,I352),""),"")</f>
        <v/>
      </c>
      <c r="J384" s="291" t="str">
        <f aca="false">IFERROR(IF(J$350*J352&gt;0,AVERAGE(J$350,J352),""),"")</f>
        <v/>
      </c>
      <c r="K384" s="291" t="str">
        <f aca="false">IFERROR(IF(K$350*K352&gt;0,AVERAGE(K$350,K352),""),"")</f>
        <v/>
      </c>
      <c r="L384" s="291" t="str">
        <f aca="false">IFERROR(IF(L$350*L352&gt;0,AVERAGE(L$350,L352),""),"")</f>
        <v/>
      </c>
      <c r="M384" s="291" t="str">
        <f aca="false">IFERROR(IF(M$350*M352&gt;0,AVERAGE(M$350,M352),""),"")</f>
        <v/>
      </c>
      <c r="N384" s="291" t="str">
        <f aca="false">IFERROR(IF(N$350*N352&gt;0,AVERAGE(N$350,N352),""),"")</f>
        <v/>
      </c>
      <c r="O384" s="299"/>
      <c r="P384" s="282"/>
      <c r="Q384" s="147"/>
      <c r="R384" s="293" t="s">
        <v>333</v>
      </c>
      <c r="S384" s="294" t="str">
        <f aca="false">IFERROR(IF(C$350*C352&gt;0,STDEV(C$350,C352),"")/IF(C$350*C352&gt;0,AVERAGE(C$350,C352),""),"")</f>
        <v/>
      </c>
      <c r="T384" s="294" t="str">
        <f aca="false">IFERROR(IF(D$350*D352&gt;0,STDEV(D$350,D352),"")/IF(D$350*D352&gt;0,AVERAGE(D$350,D352),""),"")</f>
        <v/>
      </c>
      <c r="U384" s="294" t="str">
        <f aca="false">IFERROR(IF(E$350*E352&gt;0,STDEV(E$350,E352),"")/IF(E$350*E352&gt;0,AVERAGE(E$350,E352),""),"")</f>
        <v/>
      </c>
      <c r="V384" s="294" t="str">
        <f aca="false">IFERROR(IF(F$350*F352&gt;0,STDEV(F$350,F352),"")/IF(F$350*F352&gt;0,AVERAGE(F$350,F352),""),"")</f>
        <v/>
      </c>
      <c r="W384" s="294" t="str">
        <f aca="false">IFERROR(IF(G$350*G352&gt;0,STDEV(G$350,G352),"")/IF(G$350*G352&gt;0,AVERAGE(G$350,G352),""),"")</f>
        <v/>
      </c>
      <c r="X384" s="294" t="str">
        <f aca="false">IFERROR(IF(H$350*H352&gt;0,STDEV(H$350,H352),"")/IF(H$350*H352&gt;0,AVERAGE(H$350,H352),""),"")</f>
        <v/>
      </c>
      <c r="Y384" s="294" t="str">
        <f aca="false">IFERROR(IF(I$350*I352&gt;0,STDEV(I$350,I352),"")/IF(I$350*I352&gt;0,AVERAGE(I$350,I352),""),"")</f>
        <v/>
      </c>
      <c r="Z384" s="294" t="str">
        <f aca="false">IFERROR(IF(J$350*J352&gt;0,STDEV(J$350,J352),"")/IF(J$350*J352&gt;0,AVERAGE(J$350,J352),""),"")</f>
        <v/>
      </c>
      <c r="AA384" s="294" t="str">
        <f aca="false">IFERROR(IF(K$350*K352&gt;0,STDEV(K$350,K352),"")/IF(K$350*K352&gt;0,AVERAGE(K$350,K352),""),"")</f>
        <v/>
      </c>
      <c r="AB384" s="294" t="str">
        <f aca="false">IFERROR(IF(L$350*L352&gt;0,STDEV(L$350,L352),"")/IF(L$350*L352&gt;0,AVERAGE(L$350,L352),""),"")</f>
        <v/>
      </c>
      <c r="AC384" s="294" t="str">
        <f aca="false">IFERROR(IF(M$350*M352&gt;0,STDEV(M$350,M352),"")/IF(M$350*M352&gt;0,AVERAGE(M$350,M352),""),"")</f>
        <v/>
      </c>
      <c r="AD384" s="294" t="str">
        <f aca="false">IFERROR(IF(N$350*N352&gt;0,STDEV(N$350,N352),"")/IF(N$350*N352&gt;0,AVERAGE(N$350,N352),""),"")</f>
        <v/>
      </c>
      <c r="AE384" s="152"/>
      <c r="AF384" s="266" t="s">
        <v>334</v>
      </c>
      <c r="AG384" s="287" t="str">
        <f aca="false">IFERROR(IF(C$350*C352&gt;0,STDEV(C$350,C352)," ")/IF(C$350*C352&gt;0,SQRT(COUNT(C$350,C352))," "),"")</f>
        <v/>
      </c>
      <c r="AH384" s="287" t="str">
        <f aca="false">IFERROR(IF(D$350*D352&gt;0,STDEV(D$350,D352)," ")/IF(D$350*D352&gt;0,SQRT(COUNT(D$350,D352))," "),"")</f>
        <v/>
      </c>
      <c r="AI384" s="287" t="str">
        <f aca="false">IFERROR(IF(E$350*E352&gt;0,STDEV(E$350,E352)," ")/IF(E$350*E352&gt;0,SQRT(COUNT(E$350,E352))," "),"")</f>
        <v/>
      </c>
      <c r="AJ384" s="287" t="str">
        <f aca="false">IFERROR(IF(F$350*F352&gt;0,STDEV(F$350,F352)," ")/IF(F$350*F352&gt;0,SQRT(COUNT(F$350,F352))," "),"")</f>
        <v/>
      </c>
      <c r="AK384" s="287" t="str">
        <f aca="false">IFERROR(IF(G$350*G352&gt;0,STDEV(G$350,G352)," ")/IF(G$350*G352&gt;0,SQRT(COUNT(G$350,G352))," "),"")</f>
        <v/>
      </c>
      <c r="AL384" s="287" t="str">
        <f aca="false">IFERROR(IF(H$350*H352&gt;0,STDEV(H$350,H352)," ")/IF(H$350*H352&gt;0,SQRT(COUNT(H$350,H352))," "),"")</f>
        <v/>
      </c>
      <c r="AM384" s="287" t="str">
        <f aca="false">IFERROR(IF(I$350*I352&gt;0,STDEV(I$350,I352)," ")/IF(I$350*I352&gt;0,SQRT(COUNT(I$350,I352))," "),"")</f>
        <v/>
      </c>
      <c r="AN384" s="287" t="str">
        <f aca="false">IFERROR(IF(J$350*J352&gt;0,STDEV(J$350,J352)," ")/IF(J$350*J352&gt;0,SQRT(COUNT(J$350,J352))," "),"")</f>
        <v/>
      </c>
      <c r="AO384" s="287" t="str">
        <f aca="false">IFERROR(IF(K$350*K352&gt;0,STDEV(K$350,K352)," ")/IF(K$350*K352&gt;0,SQRT(COUNT(K$350,K352))," "),"")</f>
        <v/>
      </c>
      <c r="AP384" s="287" t="str">
        <f aca="false">IFERROR(IF(L$350*L352&gt;0,STDEV(L$350,L352)," ")/IF(L$350*L352&gt;0,SQRT(COUNT(L$350,L352))," "),"")</f>
        <v/>
      </c>
      <c r="AQ384" s="287" t="str">
        <f aca="false">IFERROR(IF(M$350*M352&gt;0,STDEV(M$350,M352)," ")/IF(M$350*M352&gt;0,SQRT(COUNT(M$350,M352))," "),"")</f>
        <v/>
      </c>
      <c r="AR384" s="287" t="str">
        <f aca="false">IFERROR(IF(N$350*N352&gt;0,STDEV(N$350,N352)," ")/IF(N$350*N352&gt;0,SQRT(COUNT(N$350,N352))," "),"")</f>
        <v/>
      </c>
    </row>
    <row r="385" customFormat="false" ht="15.75" hidden="false" customHeight="false" outlineLevel="0" collapsed="false">
      <c r="A385" s="290" t="s">
        <v>335</v>
      </c>
      <c r="B385" s="281"/>
      <c r="C385" s="291" t="str">
        <f aca="false">IFERROR(IF(C$350*C353&gt;0,AVERAGE(C$350,C353),""),"")</f>
        <v/>
      </c>
      <c r="D385" s="291" t="str">
        <f aca="false">IFERROR(IF(D$350*D353&gt;0,AVERAGE(D$350,D353),""),"")</f>
        <v/>
      </c>
      <c r="E385" s="291" t="str">
        <f aca="false">IFERROR(IF(E$350*E353&gt;0,AVERAGE(E$350,E353),""),"")</f>
        <v/>
      </c>
      <c r="F385" s="291" t="str">
        <f aca="false">IFERROR(IF(F$350*F353&gt;0,AVERAGE(F$350,F353),""),"")</f>
        <v/>
      </c>
      <c r="G385" s="291" t="str">
        <f aca="false">IFERROR(IF(G$350*G353&gt;0,AVERAGE(G$350,G353),""),"")</f>
        <v/>
      </c>
      <c r="H385" s="291" t="str">
        <f aca="false">IFERROR(IF(H$350*H353&gt;0,AVERAGE(H$350,H353),""),"")</f>
        <v/>
      </c>
      <c r="I385" s="291" t="str">
        <f aca="false">IFERROR(IF(I$350*I353&gt;0,AVERAGE(I$350,I353),""),"")</f>
        <v/>
      </c>
      <c r="J385" s="291" t="str">
        <f aca="false">IFERROR(IF(J$350*J353&gt;0,AVERAGE(J$350,J353),""),"")</f>
        <v/>
      </c>
      <c r="K385" s="291" t="str">
        <f aca="false">IFERROR(IF(K$350*K353&gt;0,AVERAGE(K$350,K353),""),"")</f>
        <v/>
      </c>
      <c r="L385" s="291" t="str">
        <f aca="false">IFERROR(IF(L$350*L353&gt;0,AVERAGE(L$350,L353),""),"")</f>
        <v/>
      </c>
      <c r="M385" s="291" t="str">
        <f aca="false">IFERROR(IF(M$350*M353&gt;0,AVERAGE(M$350,M353),""),"")</f>
        <v/>
      </c>
      <c r="N385" s="291" t="str">
        <f aca="false">IFERROR(IF(N$350*N353&gt;0,AVERAGE(N$350,N353),""),"")</f>
        <v/>
      </c>
      <c r="O385" s="282"/>
      <c r="P385" s="282"/>
      <c r="Q385" s="296"/>
      <c r="R385" s="293" t="s">
        <v>336</v>
      </c>
      <c r="S385" s="294" t="str">
        <f aca="false">IFERROR(IF(C$350*C353&gt;0,STDEV(C$350,C353),"")/IF(C$350*C353&gt;0,AVERAGE(C$350,C353),""),"")</f>
        <v/>
      </c>
      <c r="T385" s="294" t="str">
        <f aca="false">IFERROR(IF(D$350*D353&gt;0,STDEV(D$350,D353),"")/IF(D$350*D353&gt;0,AVERAGE(D$350,D353),""),"")</f>
        <v/>
      </c>
      <c r="U385" s="294" t="str">
        <f aca="false">IFERROR(IF(E$350*E353&gt;0,STDEV(E$350,E353),"")/IF(E$350*E353&gt;0,AVERAGE(E$350,E353),""),"")</f>
        <v/>
      </c>
      <c r="V385" s="294" t="str">
        <f aca="false">IFERROR(IF(F$350*F353&gt;0,STDEV(F$350,F353),"")/IF(F$350*F353&gt;0,AVERAGE(F$350,F353),""),"")</f>
        <v/>
      </c>
      <c r="W385" s="294" t="str">
        <f aca="false">IFERROR(IF(G$350*G353&gt;0,STDEV(G$350,G353),"")/IF(G$350*G353&gt;0,AVERAGE(G$350,G353),""),"")</f>
        <v/>
      </c>
      <c r="X385" s="294" t="str">
        <f aca="false">IFERROR(IF(H$350*H353&gt;0,STDEV(H$350,H353),"")/IF(H$350*H353&gt;0,AVERAGE(H$350,H353),""),"")</f>
        <v/>
      </c>
      <c r="Y385" s="294" t="str">
        <f aca="false">IFERROR(IF(I$350*I353&gt;0,STDEV(I$350,I353),"")/IF(I$350*I353&gt;0,AVERAGE(I$350,I353),""),"")</f>
        <v/>
      </c>
      <c r="Z385" s="294" t="str">
        <f aca="false">IFERROR(IF(J$350*J353&gt;0,STDEV(J$350,J353),"")/IF(J$350*J353&gt;0,AVERAGE(J$350,J353),""),"")</f>
        <v/>
      </c>
      <c r="AA385" s="294" t="str">
        <f aca="false">IFERROR(IF(K$350*K353&gt;0,STDEV(K$350,K353),"")/IF(K$350*K353&gt;0,AVERAGE(K$350,K353),""),"")</f>
        <v/>
      </c>
      <c r="AB385" s="294" t="str">
        <f aca="false">IFERROR(IF(L$350*L353&gt;0,STDEV(L$350,L353),"")/IF(L$350*L353&gt;0,AVERAGE(L$350,L353),""),"")</f>
        <v/>
      </c>
      <c r="AC385" s="294" t="str">
        <f aca="false">IFERROR(IF(M$350*M353&gt;0,STDEV(M$350,M353),"")/IF(M$350*M353&gt;0,AVERAGE(M$350,M353),""),"")</f>
        <v/>
      </c>
      <c r="AD385" s="294" t="str">
        <f aca="false">IFERROR(IF(N$350*N353&gt;0,STDEV(N$350,N353),"")/IF(N$350*N353&gt;0,AVERAGE(N$350,N353),""),"")</f>
        <v/>
      </c>
      <c r="AE385" s="44"/>
      <c r="AF385" s="266" t="s">
        <v>337</v>
      </c>
      <c r="AG385" s="287" t="str">
        <f aca="false">IFERROR(IF(C$350*C353&gt;0,STDEV(C$350,C353)," ")/IF(C$350*C353&gt;0,SQRT(COUNT(C$350,C353))," "),"")</f>
        <v/>
      </c>
      <c r="AH385" s="287" t="str">
        <f aca="false">IFERROR(IF(D$350*D353&gt;0,STDEV(D$350,D353)," ")/IF(D$350*D353&gt;0,SQRT(COUNT(D$350,D353))," "),"")</f>
        <v/>
      </c>
      <c r="AI385" s="287" t="str">
        <f aca="false">IFERROR(IF(E$350*E353&gt;0,STDEV(E$350,E353)," ")/IF(E$350*E353&gt;0,SQRT(COUNT(E$350,E353))," "),"")</f>
        <v/>
      </c>
      <c r="AJ385" s="287" t="str">
        <f aca="false">IFERROR(IF(F$350*F353&gt;0,STDEV(F$350,F353)," ")/IF(F$350*F353&gt;0,SQRT(COUNT(F$350,F353))," "),"")</f>
        <v/>
      </c>
      <c r="AK385" s="287" t="str">
        <f aca="false">IFERROR(IF(G$350*G353&gt;0,STDEV(G$350,G353)," ")/IF(G$350*G353&gt;0,SQRT(COUNT(G$350,G353))," "),"")</f>
        <v/>
      </c>
      <c r="AL385" s="287" t="str">
        <f aca="false">IFERROR(IF(H$350*H353&gt;0,STDEV(H$350,H353)," ")/IF(H$350*H353&gt;0,SQRT(COUNT(H$350,H353))," "),"")</f>
        <v/>
      </c>
      <c r="AM385" s="287" t="str">
        <f aca="false">IFERROR(IF(I$350*I353&gt;0,STDEV(I$350,I353)," ")/IF(I$350*I353&gt;0,SQRT(COUNT(I$350,I353))," "),"")</f>
        <v/>
      </c>
      <c r="AN385" s="287" t="str">
        <f aca="false">IFERROR(IF(J$350*J353&gt;0,STDEV(J$350,J353)," ")/IF(J$350*J353&gt;0,SQRT(COUNT(J$350,J353))," "),"")</f>
        <v/>
      </c>
      <c r="AO385" s="287" t="str">
        <f aca="false">IFERROR(IF(K$350*K353&gt;0,STDEV(K$350,K353)," ")/IF(K$350*K353&gt;0,SQRT(COUNT(K$350,K353))," "),"")</f>
        <v/>
      </c>
      <c r="AP385" s="287" t="str">
        <f aca="false">IFERROR(IF(L$350*L353&gt;0,STDEV(L$350,L353)," ")/IF(L$350*L353&gt;0,SQRT(COUNT(L$350,L353))," "),"")</f>
        <v/>
      </c>
      <c r="AQ385" s="287" t="str">
        <f aca="false">IFERROR(IF(M$350*M353&gt;0,STDEV(M$350,M353)," ")/IF(M$350*M353&gt;0,SQRT(COUNT(M$350,M353))," "),"")</f>
        <v/>
      </c>
      <c r="AR385" s="287" t="str">
        <f aca="false">IFERROR(IF(N$350*N353&gt;0,STDEV(N$350,N353)," ")/IF(N$350*N353&gt;0,SQRT(COUNT(N$350,N353))," "),"")</f>
        <v/>
      </c>
    </row>
    <row r="386" customFormat="false" ht="15.75" hidden="false" customHeight="false" outlineLevel="0" collapsed="false">
      <c r="A386" s="290" t="s">
        <v>338</v>
      </c>
      <c r="B386" s="281"/>
      <c r="C386" s="291" t="str">
        <f aca="false">IFERROR(IF(C$351*C352&gt;0,AVERAGE(C$351,C352),""),"")</f>
        <v/>
      </c>
      <c r="D386" s="291" t="str">
        <f aca="false">IFERROR(IF(D$351*D352&gt;0,AVERAGE(D$351,D352),""),"")</f>
        <v/>
      </c>
      <c r="E386" s="291" t="str">
        <f aca="false">IFERROR(IF(E$351*E352&gt;0,AVERAGE(E$351,E352),""),"")</f>
        <v/>
      </c>
      <c r="F386" s="291" t="str">
        <f aca="false">IFERROR(IF(F$351*F352&gt;0,AVERAGE(F$351,F352),""),"")</f>
        <v/>
      </c>
      <c r="G386" s="291" t="str">
        <f aca="false">IFERROR(IF(G$351*G352&gt;0,AVERAGE(G$351,G352),""),"")</f>
        <v/>
      </c>
      <c r="H386" s="291" t="str">
        <f aca="false">IFERROR(IF(H$351*H352&gt;0,AVERAGE(H$351,H352),""),"")</f>
        <v/>
      </c>
      <c r="I386" s="291" t="str">
        <f aca="false">IFERROR(IF(I$351*I352&gt;0,AVERAGE(I$351,I352),""),"")</f>
        <v/>
      </c>
      <c r="J386" s="291" t="str">
        <f aca="false">IFERROR(IF(J$351*J352&gt;0,AVERAGE(J$351,J352),""),"")</f>
        <v/>
      </c>
      <c r="K386" s="291" t="str">
        <f aca="false">IFERROR(IF(K$351*K352&gt;0,AVERAGE(K$351,K352),""),"")</f>
        <v/>
      </c>
      <c r="L386" s="291" t="str">
        <f aca="false">IFERROR(IF(L$351*L352&gt;0,AVERAGE(L$351,L352),""),"")</f>
        <v/>
      </c>
      <c r="M386" s="291" t="str">
        <f aca="false">IFERROR(IF(M$351*M352&gt;0,AVERAGE(M$351,M352),""),"")</f>
        <v/>
      </c>
      <c r="N386" s="291" t="str">
        <f aca="false">IFERROR(IF(N$351*N352&gt;0,AVERAGE(N$351,N352),""),"")</f>
        <v/>
      </c>
      <c r="O386" s="282"/>
      <c r="P386" s="282"/>
      <c r="Q386" s="296"/>
      <c r="R386" s="293" t="s">
        <v>339</v>
      </c>
      <c r="S386" s="294" t="str">
        <f aca="false">IFERROR(IF(C$351*C352&gt;0,STDEV(C$351,C352),"")/IF(C$351*C352&gt;0,AVERAGE(C$351,C352),""),"")</f>
        <v/>
      </c>
      <c r="T386" s="294" t="str">
        <f aca="false">IFERROR(IF(D$351*D352&gt;0,STDEV(D$351,D352),"")/IF(D$351*D352&gt;0,AVERAGE(D$351,D352),""),"")</f>
        <v/>
      </c>
      <c r="U386" s="294" t="str">
        <f aca="false">IFERROR(IF(E$351*E352&gt;0,STDEV(E$351,E352),"")/IF(E$351*E352&gt;0,AVERAGE(E$351,E352),""),"")</f>
        <v/>
      </c>
      <c r="V386" s="294" t="str">
        <f aca="false">IFERROR(IF(F$351*F352&gt;0,STDEV(F$351,F352),"")/IF(F$351*F352&gt;0,AVERAGE(F$351,F352),""),"")</f>
        <v/>
      </c>
      <c r="W386" s="294" t="str">
        <f aca="false">IFERROR(IF(G$351*G352&gt;0,STDEV(G$351,G352),"")/IF(G$351*G352&gt;0,AVERAGE(G$351,G352),""),"")</f>
        <v/>
      </c>
      <c r="X386" s="294" t="str">
        <f aca="false">IFERROR(IF(H$351*H352&gt;0,STDEV(H$351,H352),"")/IF(H$351*H352&gt;0,AVERAGE(H$351,H352),""),"")</f>
        <v/>
      </c>
      <c r="Y386" s="294" t="str">
        <f aca="false">IFERROR(IF(I$351*I352&gt;0,STDEV(I$351,I352),"")/IF(I$351*I352&gt;0,AVERAGE(I$351,I352),""),"")</f>
        <v/>
      </c>
      <c r="Z386" s="294" t="str">
        <f aca="false">IFERROR(IF(J$351*J352&gt;0,STDEV(J$351,J352),"")/IF(J$351*J352&gt;0,AVERAGE(J$351,J352),""),"")</f>
        <v/>
      </c>
      <c r="AA386" s="294" t="str">
        <f aca="false">IFERROR(IF(K$351*K352&gt;0,STDEV(K$351,K352),"")/IF(K$351*K352&gt;0,AVERAGE(K$351,K352),""),"")</f>
        <v/>
      </c>
      <c r="AB386" s="294" t="str">
        <f aca="false">IFERROR(IF(L$351*L352&gt;0,STDEV(L$351,L352),"")/IF(L$351*L352&gt;0,AVERAGE(L$351,L352),""),"")</f>
        <v/>
      </c>
      <c r="AC386" s="294" t="str">
        <f aca="false">IFERROR(IF(M$351*M352&gt;0,STDEV(M$351,M352),"")/IF(M$351*M352&gt;0,AVERAGE(M$351,M352),""),"")</f>
        <v/>
      </c>
      <c r="AD386" s="294" t="str">
        <f aca="false">IFERROR(IF(N$351*N352&gt;0,STDEV(N$351,N352),"")/IF(N$351*N352&gt;0,AVERAGE(N$351,N352),""),"")</f>
        <v/>
      </c>
      <c r="AE386" s="44"/>
      <c r="AF386" s="266" t="s">
        <v>340</v>
      </c>
      <c r="AG386" s="287" t="str">
        <f aca="false">IFERROR(IF(C$351*C352&gt;0,STDEV(C$351,C352)," ")/IF(C$351*C352&gt;0,SQRT(COUNT(C$351,C352))," "),"")</f>
        <v/>
      </c>
      <c r="AH386" s="287" t="str">
        <f aca="false">IFERROR(IF(D$351*D352&gt;0,STDEV(D$351,D352)," ")/IF(D$351*D352&gt;0,SQRT(COUNT(D$351,D352))," "),"")</f>
        <v/>
      </c>
      <c r="AI386" s="287" t="str">
        <f aca="false">IFERROR(IF(E$351*E352&gt;0,STDEV(E$351,E352)," ")/IF(E$351*E352&gt;0,SQRT(COUNT(E$351,E352))," "),"")</f>
        <v/>
      </c>
      <c r="AJ386" s="287" t="str">
        <f aca="false">IFERROR(IF(F$351*F352&gt;0,STDEV(F$351,F352)," ")/IF(F$351*F352&gt;0,SQRT(COUNT(F$351,F352))," "),"")</f>
        <v/>
      </c>
      <c r="AK386" s="287" t="str">
        <f aca="false">IFERROR(IF(G$351*G352&gt;0,STDEV(G$351,G352)," ")/IF(G$351*G352&gt;0,SQRT(COUNT(G$351,G352))," "),"")</f>
        <v/>
      </c>
      <c r="AL386" s="287" t="str">
        <f aca="false">IFERROR(IF(H$351*H352&gt;0,STDEV(H$351,H352)," ")/IF(H$351*H352&gt;0,SQRT(COUNT(H$351,H352))," "),"")</f>
        <v/>
      </c>
      <c r="AM386" s="287" t="str">
        <f aca="false">IFERROR(IF(I$351*I352&gt;0,STDEV(I$351,I352)," ")/IF(I$351*I352&gt;0,SQRT(COUNT(I$351,I352))," "),"")</f>
        <v/>
      </c>
      <c r="AN386" s="287" t="str">
        <f aca="false">IFERROR(IF(J$351*J352&gt;0,STDEV(J$351,J352)," ")/IF(J$351*J352&gt;0,SQRT(COUNT(J$351,J352))," "),"")</f>
        <v/>
      </c>
      <c r="AO386" s="287" t="str">
        <f aca="false">IFERROR(IF(K$351*K352&gt;0,STDEV(K$351,K352)," ")/IF(K$351*K352&gt;0,SQRT(COUNT(K$351,K352))," "),"")</f>
        <v/>
      </c>
      <c r="AP386" s="287" t="str">
        <f aca="false">IFERROR(IF(L$351*L352&gt;0,STDEV(L$351,L352)," ")/IF(L$351*L352&gt;0,SQRT(COUNT(L$351,L352))," "),"")</f>
        <v/>
      </c>
      <c r="AQ386" s="287" t="str">
        <f aca="false">IFERROR(IF(M$351*M352&gt;0,STDEV(M$351,M352)," ")/IF(M$351*M352&gt;0,SQRT(COUNT(M$351,M352))," "),"")</f>
        <v/>
      </c>
      <c r="AR386" s="287" t="str">
        <f aca="false">IFERROR(IF(N$351*N352&gt;0,STDEV(N$351,N352)," ")/IF(N$351*N352&gt;0,SQRT(COUNT(N$351,N352))," "),"")</f>
        <v/>
      </c>
    </row>
    <row r="387" customFormat="false" ht="15.75" hidden="false" customHeight="false" outlineLevel="0" collapsed="false">
      <c r="A387" s="290" t="s">
        <v>341</v>
      </c>
      <c r="B387" s="281"/>
      <c r="C387" s="291" t="str">
        <f aca="false">IFERROR(IF(C$351*C353&gt;0,AVERAGE(C$351,C353),""),"")</f>
        <v/>
      </c>
      <c r="D387" s="291" t="str">
        <f aca="false">IFERROR(IF(D$351*D353&gt;0,AVERAGE(D$351,D353),""),"")</f>
        <v/>
      </c>
      <c r="E387" s="291" t="str">
        <f aca="false">IFERROR(IF(E$351*E353&gt;0,AVERAGE(E$351,E353),""),"")</f>
        <v/>
      </c>
      <c r="F387" s="291" t="str">
        <f aca="false">IFERROR(IF(F$351*F353&gt;0,AVERAGE(F$351,F353),""),"")</f>
        <v/>
      </c>
      <c r="G387" s="291" t="str">
        <f aca="false">IFERROR(IF(G$351*G353&gt;0,AVERAGE(G$351,G353),""),"")</f>
        <v/>
      </c>
      <c r="H387" s="291" t="str">
        <f aca="false">IFERROR(IF(H$351*H353&gt;0,AVERAGE(H$351,H353),""),"")</f>
        <v/>
      </c>
      <c r="I387" s="291" t="str">
        <f aca="false">IFERROR(IF(I$351*I353&gt;0,AVERAGE(I$351,I353),""),"")</f>
        <v/>
      </c>
      <c r="J387" s="291" t="str">
        <f aca="false">IFERROR(IF(J$351*J353&gt;0,AVERAGE(J$351,J353),""),"")</f>
        <v/>
      </c>
      <c r="K387" s="291" t="str">
        <f aca="false">IFERROR(IF(K$351*K353&gt;0,AVERAGE(K$351,K353),""),"")</f>
        <v/>
      </c>
      <c r="L387" s="291" t="str">
        <f aca="false">IFERROR(IF(L$351*L353&gt;0,AVERAGE(L$351,L353),""),"")</f>
        <v/>
      </c>
      <c r="M387" s="291" t="str">
        <f aca="false">IFERROR(IF(M$351*M353&gt;0,AVERAGE(M$351,M353),""),"")</f>
        <v/>
      </c>
      <c r="N387" s="291" t="str">
        <f aca="false">IFERROR(IF(N$351*N353&gt;0,AVERAGE(N$351,N353),""),"")</f>
        <v/>
      </c>
      <c r="O387" s="282"/>
      <c r="P387" s="282"/>
      <c r="Q387" s="296"/>
      <c r="R387" s="293" t="s">
        <v>342</v>
      </c>
      <c r="S387" s="294" t="str">
        <f aca="false">IFERROR(IF(C$351*C353&gt;0,STDEV(C$351,C353),"")/IF(C$351*C353&gt;0,AVERAGE(C$351,C353),""),"")</f>
        <v/>
      </c>
      <c r="T387" s="294" t="str">
        <f aca="false">IFERROR(IF(D$351*D353&gt;0,STDEV(D$351,D353),"")/IF(D$351*D353&gt;0,AVERAGE(D$351,D353),""),"")</f>
        <v/>
      </c>
      <c r="U387" s="294" t="str">
        <f aca="false">IFERROR(IF(E$351*E353&gt;0,STDEV(E$351,E353),"")/IF(E$351*E353&gt;0,AVERAGE(E$351,E353),""),"")</f>
        <v/>
      </c>
      <c r="V387" s="294" t="str">
        <f aca="false">IFERROR(IF(F$351*F353&gt;0,STDEV(F$351,F353),"")/IF(F$351*F353&gt;0,AVERAGE(F$351,F353),""),"")</f>
        <v/>
      </c>
      <c r="W387" s="294" t="str">
        <f aca="false">IFERROR(IF(G$351*G353&gt;0,STDEV(G$351,G353),"")/IF(G$351*G353&gt;0,AVERAGE(G$351,G353),""),"")</f>
        <v/>
      </c>
      <c r="X387" s="294" t="str">
        <f aca="false">IFERROR(IF(H$351*H353&gt;0,STDEV(H$351,H353),"")/IF(H$351*H353&gt;0,AVERAGE(H$351,H353),""),"")</f>
        <v/>
      </c>
      <c r="Y387" s="294" t="str">
        <f aca="false">IFERROR(IF(I$351*I353&gt;0,STDEV(I$351,I353),"")/IF(I$351*I353&gt;0,AVERAGE(I$351,I353),""),"")</f>
        <v/>
      </c>
      <c r="Z387" s="294" t="str">
        <f aca="false">IFERROR(IF(J$351*J353&gt;0,STDEV(J$351,J353),"")/IF(J$351*J353&gt;0,AVERAGE(J$351,J353),""),"")</f>
        <v/>
      </c>
      <c r="AA387" s="294" t="str">
        <f aca="false">IFERROR(IF(K$351*K353&gt;0,STDEV(K$351,K353),"")/IF(K$351*K353&gt;0,AVERAGE(K$351,K353),""),"")</f>
        <v/>
      </c>
      <c r="AB387" s="294" t="str">
        <f aca="false">IFERROR(IF(L$351*L353&gt;0,STDEV(L$351,L353),"")/IF(L$351*L353&gt;0,AVERAGE(L$351,L353),""),"")</f>
        <v/>
      </c>
      <c r="AC387" s="294" t="str">
        <f aca="false">IFERROR(IF(M$351*M353&gt;0,STDEV(M$351,M353),"")/IF(M$351*M353&gt;0,AVERAGE(M$351,M353),""),"")</f>
        <v/>
      </c>
      <c r="AD387" s="294" t="str">
        <f aca="false">IFERROR(IF(N$351*N353&gt;0,STDEV(N$351,N353),"")/IF(N$351*N353&gt;0,AVERAGE(N$351,N353),""),"")</f>
        <v/>
      </c>
      <c r="AE387" s="44"/>
      <c r="AF387" s="266" t="s">
        <v>343</v>
      </c>
      <c r="AG387" s="287" t="str">
        <f aca="false">IFERROR(IF(C$351*C353&gt;0,STDEV(C$351,C353)," ")/IF(C$351*C353&gt;0,SQRT(COUNT(C$351,C353))," "),"")</f>
        <v/>
      </c>
      <c r="AH387" s="287" t="str">
        <f aca="false">IFERROR(IF(D$351*D353&gt;0,STDEV(D$351,D353)," ")/IF(D$351*D353&gt;0,SQRT(COUNT(D$351,D353))," "),"")</f>
        <v/>
      </c>
      <c r="AI387" s="287" t="str">
        <f aca="false">IFERROR(IF(E$351*E353&gt;0,STDEV(E$351,E353)," ")/IF(E$351*E353&gt;0,SQRT(COUNT(E$351,E353))," "),"")</f>
        <v/>
      </c>
      <c r="AJ387" s="287" t="str">
        <f aca="false">IFERROR(IF(F$351*F353&gt;0,STDEV(F$351,F353)," ")/IF(F$351*F353&gt;0,SQRT(COUNT(F$351,F353))," "),"")</f>
        <v/>
      </c>
      <c r="AK387" s="287" t="str">
        <f aca="false">IFERROR(IF(G$351*G353&gt;0,STDEV(G$351,G353)," ")/IF(G$351*G353&gt;0,SQRT(COUNT(G$351,G353))," "),"")</f>
        <v/>
      </c>
      <c r="AL387" s="287" t="str">
        <f aca="false">IFERROR(IF(H$351*H353&gt;0,STDEV(H$351,H353)," ")/IF(H$351*H353&gt;0,SQRT(COUNT(H$351,H353))," "),"")</f>
        <v/>
      </c>
      <c r="AM387" s="287" t="str">
        <f aca="false">IFERROR(IF(I$351*I353&gt;0,STDEV(I$351,I353)," ")/IF(I$351*I353&gt;0,SQRT(COUNT(I$351,I353))," "),"")</f>
        <v/>
      </c>
      <c r="AN387" s="287" t="str">
        <f aca="false">IFERROR(IF(J$351*J353&gt;0,STDEV(J$351,J353)," ")/IF(J$351*J353&gt;0,SQRT(COUNT(J$351,J353))," "),"")</f>
        <v/>
      </c>
      <c r="AO387" s="287" t="str">
        <f aca="false">IFERROR(IF(K$351*K353&gt;0,STDEV(K$351,K353)," ")/IF(K$351*K353&gt;0,SQRT(COUNT(K$351,K353))," "),"")</f>
        <v/>
      </c>
      <c r="AP387" s="287" t="str">
        <f aca="false">IFERROR(IF(L$351*L353&gt;0,STDEV(L$351,L353)," ")/IF(L$351*L353&gt;0,SQRT(COUNT(L$351,L353))," "),"")</f>
        <v/>
      </c>
      <c r="AQ387" s="287" t="str">
        <f aca="false">IFERROR(IF(M$351*M353&gt;0,STDEV(M$351,M353)," ")/IF(M$351*M353&gt;0,SQRT(COUNT(M$351,M353))," "),"")</f>
        <v/>
      </c>
      <c r="AR387" s="287" t="str">
        <f aca="false">IFERROR(IF(N$351*N353&gt;0,STDEV(N$351,N353)," ")/IF(N$351*N353&gt;0,SQRT(COUNT(N$351,N353))," "),"")</f>
        <v/>
      </c>
    </row>
    <row r="388" customFormat="false" ht="15.75" hidden="false" customHeight="false" outlineLevel="0" collapsed="false">
      <c r="A388" s="242" t="s">
        <v>344</v>
      </c>
      <c r="B388" s="243"/>
      <c r="C388" s="244" t="str">
        <f aca="false">IFERROR(IF(C$352*C353&gt;0,AVERAGE(C$352,C353),""),"")</f>
        <v/>
      </c>
      <c r="D388" s="244" t="str">
        <f aca="false">IFERROR(IF(D$352*D353&gt;0,AVERAGE(D$352,D353),""),"")</f>
        <v/>
      </c>
      <c r="E388" s="244" t="str">
        <f aca="false">IFERROR(IF(E$352*E353&gt;0,AVERAGE(E$352,E353),""),"")</f>
        <v/>
      </c>
      <c r="F388" s="244" t="str">
        <f aca="false">IFERROR(IF(F$352*F353&gt;0,AVERAGE(F$352,F353),""),"")</f>
        <v/>
      </c>
      <c r="G388" s="244" t="str">
        <f aca="false">IFERROR(IF(G$352*G353&gt;0,AVERAGE(G$352,G353),""),"")</f>
        <v/>
      </c>
      <c r="H388" s="244" t="str">
        <f aca="false">IFERROR(IF(H$352*H353&gt;0,AVERAGE(H$352,H353),""),"")</f>
        <v/>
      </c>
      <c r="I388" s="244" t="str">
        <f aca="false">IFERROR(IF(I$352*I353&gt;0,AVERAGE(I$352,I353),""),"")</f>
        <v/>
      </c>
      <c r="J388" s="244" t="str">
        <f aca="false">IFERROR(IF(J$352*J353&gt;0,AVERAGE(J$352,J353),""),"")</f>
        <v/>
      </c>
      <c r="K388" s="244" t="str">
        <f aca="false">IFERROR(IF(K$352*K353&gt;0,AVERAGE(K$352,K353),""),"")</f>
        <v/>
      </c>
      <c r="L388" s="244" t="str">
        <f aca="false">IFERROR(IF(L$352*L353&gt;0,AVERAGE(L$352,L353),""),"")</f>
        <v/>
      </c>
      <c r="M388" s="244" t="str">
        <f aca="false">IFERROR(IF(M$352*M353&gt;0,AVERAGE(M$352,M353),""),"")</f>
        <v/>
      </c>
      <c r="N388" s="244" t="str">
        <f aca="false">IFERROR(IF(N$352*N353&gt;0,AVERAGE(N$352,N353),""),"")</f>
        <v/>
      </c>
      <c r="O388" s="245"/>
      <c r="P388" s="245"/>
      <c r="Q388" s="246"/>
      <c r="R388" s="247" t="s">
        <v>345</v>
      </c>
      <c r="S388" s="248" t="str">
        <f aca="false">IFERROR(IF(C$352*C353&gt;0,STDEV(C$352,C353),"")/IF(C$352*C353&gt;0,AVERAGE(C$352,C353),""),"")</f>
        <v/>
      </c>
      <c r="T388" s="248" t="str">
        <f aca="false">IFERROR(IF(D$352*D353&gt;0,STDEV(D$352,D353),"")/IF(D$352*D353&gt;0,AVERAGE(D$352,D353),""),"")</f>
        <v/>
      </c>
      <c r="U388" s="248" t="str">
        <f aca="false">IFERROR(IF(E$352*E353&gt;0,STDEV(E$352,E353),"")/IF(E$352*E353&gt;0,AVERAGE(E$352,E353),""),"")</f>
        <v/>
      </c>
      <c r="V388" s="248" t="str">
        <f aca="false">IFERROR(IF(F$352*F353&gt;0,STDEV(F$352,F353),"")/IF(F$352*F353&gt;0,AVERAGE(F$352,F353),""),"")</f>
        <v/>
      </c>
      <c r="W388" s="248" t="str">
        <f aca="false">IFERROR(IF(G$352*G353&gt;0,STDEV(G$352,G353),"")/IF(G$352*G353&gt;0,AVERAGE(G$352,G353),""),"")</f>
        <v/>
      </c>
      <c r="X388" s="248" t="str">
        <f aca="false">IFERROR(IF(H$352*H353&gt;0,STDEV(H$352,H353),"")/IF(H$352*H353&gt;0,AVERAGE(H$352,H353),""),"")</f>
        <v/>
      </c>
      <c r="Y388" s="248" t="str">
        <f aca="false">IFERROR(IF(I$352*I353&gt;0,STDEV(I$352,I353),"")/IF(I$352*I353&gt;0,AVERAGE(I$352,I353),""),"")</f>
        <v/>
      </c>
      <c r="Z388" s="248" t="str">
        <f aca="false">IFERROR(IF(J$352*J353&gt;0,STDEV(J$352,J353),"")/IF(J$352*J353&gt;0,AVERAGE(J$352,J353),""),"")</f>
        <v/>
      </c>
      <c r="AA388" s="248" t="str">
        <f aca="false">IFERROR(IF(K$352*K353&gt;0,STDEV(K$352,K353),"")/IF(K$352*K353&gt;0,AVERAGE(K$352,K353),""),"")</f>
        <v/>
      </c>
      <c r="AB388" s="248" t="str">
        <f aca="false">IFERROR(IF(L$352*L353&gt;0,STDEV(L$352,L353),"")/IF(L$352*L353&gt;0,AVERAGE(L$352,L353),""),"")</f>
        <v/>
      </c>
      <c r="AC388" s="248" t="str">
        <f aca="false">IFERROR(IF(M$352*M353&gt;0,STDEV(M$352,M353),"")/IF(M$352*M353&gt;0,AVERAGE(M$352,M353),""),"")</f>
        <v/>
      </c>
      <c r="AD388" s="248" t="str">
        <f aca="false">IFERROR(IF(N$352*N353&gt;0,STDEV(N$352,N353),"")/IF(N$352*N353&gt;0,AVERAGE(N$352,N353),""),"")</f>
        <v/>
      </c>
      <c r="AE388" s="300"/>
      <c r="AF388" s="250" t="s">
        <v>346</v>
      </c>
      <c r="AG388" s="251" t="str">
        <f aca="false">IFERROR(IF(C$352*C353&gt;0,STDEV(C$352,C353)," ")/IF(C$352*C353&gt;0,SQRT(COUNT(C$352,C353))," "),"")</f>
        <v/>
      </c>
      <c r="AH388" s="251" t="str">
        <f aca="false">IFERROR(IF(D$352*D353&gt;0,STDEV(D$352,D353)," ")/IF(D$352*D353&gt;0,SQRT(COUNT(D$352,D353))," "),"")</f>
        <v/>
      </c>
      <c r="AI388" s="251" t="str">
        <f aca="false">IFERROR(IF(E$352*E353&gt;0,STDEV(E$352,E353)," ")/IF(E$352*E353&gt;0,SQRT(COUNT(E$352,E353))," "),"")</f>
        <v/>
      </c>
      <c r="AJ388" s="251" t="str">
        <f aca="false">IFERROR(IF(F$352*F353&gt;0,STDEV(F$352,F353)," ")/IF(F$352*F353&gt;0,SQRT(COUNT(F$352,F353))," "),"")</f>
        <v/>
      </c>
      <c r="AK388" s="251" t="str">
        <f aca="false">IFERROR(IF(G$352*G353&gt;0,STDEV(G$352,G353)," ")/IF(G$352*G353&gt;0,SQRT(COUNT(G$352,G353))," "),"")</f>
        <v/>
      </c>
      <c r="AL388" s="251" t="str">
        <f aca="false">IFERROR(IF(H$352*H353&gt;0,STDEV(H$352,H353)," ")/IF(H$352*H353&gt;0,SQRT(COUNT(H$352,H353))," "),"")</f>
        <v/>
      </c>
      <c r="AM388" s="251" t="str">
        <f aca="false">IFERROR(IF(I$352*I353&gt;0,STDEV(I$352,I353)," ")/IF(I$352*I353&gt;0,SQRT(COUNT(I$352,I353))," "),"")</f>
        <v/>
      </c>
      <c r="AN388" s="251" t="str">
        <f aca="false">IFERROR(IF(J$352*J353&gt;0,STDEV(J$352,J353)," ")/IF(J$352*J353&gt;0,SQRT(COUNT(J$352,J353))," "),"")</f>
        <v/>
      </c>
      <c r="AO388" s="251" t="str">
        <f aca="false">IFERROR(IF(K$352*K353&gt;0,STDEV(K$352,K353)," ")/IF(K$352*K353&gt;0,SQRT(COUNT(K$352,K353))," "),"")</f>
        <v/>
      </c>
      <c r="AP388" s="251" t="str">
        <f aca="false">IFERROR(IF(L$352*L353&gt;0,STDEV(L$352,L353)," ")/IF(L$352*L353&gt;0,SQRT(COUNT(L$352,L353))," "),"")</f>
        <v/>
      </c>
      <c r="AQ388" s="251" t="str">
        <f aca="false">IFERROR(IF(M$352*M353&gt;0,STDEV(M$352,M353)," ")/IF(M$352*M353&gt;0,SQRT(COUNT(M$352,M353))," "),"")</f>
        <v/>
      </c>
      <c r="AR388" s="251" t="str">
        <f aca="false">IFERROR(IF(N$352*N353&gt;0,STDEV(N$352,N353)," ")/IF(N$352*N353&gt;0,SQRT(COUNT(N$352,N353))," "),"")</f>
        <v/>
      </c>
    </row>
    <row r="389" customFormat="false" ht="15.75" hidden="false" customHeight="false" outlineLevel="0" collapsed="false">
      <c r="A389" s="290" t="s">
        <v>347</v>
      </c>
      <c r="B389" s="281"/>
      <c r="C389" s="291" t="str">
        <f aca="false">IFERROR(IF(C$347*C$348*C349&gt;0,AVERAGE(C$347:C$348,C349),""),"")</f>
        <v/>
      </c>
      <c r="D389" s="291" t="str">
        <f aca="false">IFERROR(IF(D$347*D$348*D349&gt;0,AVERAGE(D$347:D$348,D349),""),"")</f>
        <v/>
      </c>
      <c r="E389" s="291" t="str">
        <f aca="false">IFERROR(IF(E$347*E$348*E349&gt;0,AVERAGE(E$347:E$348,E349),""),"")</f>
        <v/>
      </c>
      <c r="F389" s="291" t="str">
        <f aca="false">IFERROR(IF(F$347*F$348*F349&gt;0,AVERAGE(F$347:F$348,F349),""),"")</f>
        <v/>
      </c>
      <c r="G389" s="291" t="str">
        <f aca="false">IFERROR(IF(G$347*G$348*G349&gt;0,AVERAGE(G$347:G$348,G349),""),"")</f>
        <v/>
      </c>
      <c r="H389" s="291" t="str">
        <f aca="false">IFERROR(IF(H$347*H$348*H349&gt;0,AVERAGE(H$347:H$348,H349),""),"")</f>
        <v/>
      </c>
      <c r="I389" s="291" t="str">
        <f aca="false">IFERROR(IF(I$347*I$348*I349&gt;0,AVERAGE(I$347:I$348,I349),""),"")</f>
        <v/>
      </c>
      <c r="J389" s="291" t="str">
        <f aca="false">IFERROR(IF(J$347*J$348*J349&gt;0,AVERAGE(J$347:J$348,J349),""),"")</f>
        <v/>
      </c>
      <c r="K389" s="291" t="str">
        <f aca="false">IFERROR(IF(K$347*K$348*K349&gt;0,AVERAGE(K$347:K$348,K349),""),"")</f>
        <v/>
      </c>
      <c r="L389" s="291" t="str">
        <f aca="false">IFERROR(IF(L$347*L$348*L349&gt;0,AVERAGE(L$347:L$348,L349),""),"")</f>
        <v/>
      </c>
      <c r="M389" s="291" t="str">
        <f aca="false">IFERROR(IF(M$347*M$348*M349&gt;0,AVERAGE(M$347:M$348,M349),""),"")</f>
        <v/>
      </c>
      <c r="N389" s="291" t="str">
        <f aca="false">IFERROR(IF(N$347*N$348*N349&gt;0,AVERAGE(N$347:N$348,N349),""),"")</f>
        <v/>
      </c>
      <c r="O389" s="147" t="n">
        <v>3</v>
      </c>
      <c r="P389" s="282" t="n">
        <f aca="false">COMBIN(7,3)</f>
        <v>35</v>
      </c>
      <c r="Q389" s="283" t="n">
        <f aca="false">ROW(N424)-ROW(N389)+1</f>
        <v>36</v>
      </c>
      <c r="R389" s="293" t="s">
        <v>348</v>
      </c>
      <c r="S389" s="294" t="str">
        <f aca="false">IFERROR(IF(C$347*C$348*C349&gt;0,STDEV(C$347:C$348,C349),"")/IF(C$347*C$348*C349&gt;0,AVERAGE(C$347:C$348,C349),""),"")</f>
        <v/>
      </c>
      <c r="T389" s="294" t="str">
        <f aca="false">IFERROR(IF(D$347*D$348*D349&gt;0,STDEV(D$347:D$348,D349),"")/IF(D$347*D$348*D349&gt;0,AVERAGE(D$347:D$348,D349),""),"")</f>
        <v/>
      </c>
      <c r="U389" s="294" t="str">
        <f aca="false">IFERROR(IF(E$347*E$348*E349&gt;0,STDEV(E$347:E$348,E349),"")/IF(E$347*E$348*E349&gt;0,AVERAGE(E$347:E$348,E349),""),"")</f>
        <v/>
      </c>
      <c r="V389" s="294" t="str">
        <f aca="false">IFERROR(IF(F$347*F$348*F349&gt;0,STDEV(F$347:F$348,F349),"")/IF(F$347*F$348*F349&gt;0,AVERAGE(F$347:F$348,F349),""),"")</f>
        <v/>
      </c>
      <c r="W389" s="294" t="str">
        <f aca="false">IFERROR(IF(G$347*G$348*G349&gt;0,STDEV(G$347:G$348,G349),"")/IF(G$347*G$348*G349&gt;0,AVERAGE(G$347:G$348,G349),""),"")</f>
        <v/>
      </c>
      <c r="X389" s="294" t="str">
        <f aca="false">IFERROR(IF(H$347*H$348*H349&gt;0,STDEV(H$347:H$348,H349),"")/IF(H$347*H$348*H349&gt;0,AVERAGE(H$347:H$348,H349),""),"")</f>
        <v/>
      </c>
      <c r="Y389" s="294" t="str">
        <f aca="false">IFERROR(IF(I$347*I$348*I349&gt;0,STDEV(I$347:I$348,I349),"")/IF(I$347*I$348*I349&gt;0,AVERAGE(I$347:I$348,I349),""),"")</f>
        <v/>
      </c>
      <c r="Z389" s="294" t="str">
        <f aca="false">IFERROR(IF(J$347*J$348*J349&gt;0,STDEV(J$347:J$348,J349),"")/IF(J$347*J$348*J349&gt;0,AVERAGE(J$347:J$348,J349),""),"")</f>
        <v/>
      </c>
      <c r="AA389" s="294" t="str">
        <f aca="false">IFERROR(IF(K$347*K$348*K349&gt;0,STDEV(K$347:K$348,K349),"")/IF(K$347*K$348*K349&gt;0,AVERAGE(K$347:K$348,K349),""),"")</f>
        <v/>
      </c>
      <c r="AB389" s="294" t="str">
        <f aca="false">IFERROR(IF(L$347*L$348*L349&gt;0,STDEV(L$347:L$348,L349),"")/IF(L$347*L$348*L349&gt;0,AVERAGE(L$347:L$348,L349),""),"")</f>
        <v/>
      </c>
      <c r="AC389" s="294" t="str">
        <f aca="false">IFERROR(IF(M$347*M$348*M349&gt;0,STDEV(M$347:M$348,M349),"")/IF(M$347*M$348*M349&gt;0,AVERAGE(M$347:M$348,M349),""),"")</f>
        <v/>
      </c>
      <c r="AD389" s="294" t="str">
        <f aca="false">IFERROR(IF(N$347*N$348*N349&gt;0,STDEV(N$347:N$348,N349),"")/IF(N$347*N$348*N349&gt;0,AVERAGE(N$347:N$348,N349),""),"")</f>
        <v/>
      </c>
      <c r="AE389" s="44"/>
      <c r="AF389" s="266" t="s">
        <v>349</v>
      </c>
      <c r="AG389" s="287" t="str">
        <f aca="false">IFERROR(IF(C$347*C$348*C349&gt;0,STDEV(C$347:C$348,C349)," ")/IF(C$347*C$348*C349&gt;0,SQRT(COUNT(C$347:C$348,C349))," "),"")</f>
        <v/>
      </c>
      <c r="AH389" s="287" t="str">
        <f aca="false">IFERROR(IF(D$347*D$348*D349&gt;0,STDEV(D$347:D$348,D349)," ")/IF(D$347*D$348*D349&gt;0,SQRT(COUNT(D$347:D$348,D349))," "),"")</f>
        <v/>
      </c>
      <c r="AI389" s="287" t="str">
        <f aca="false">IFERROR(IF(E$347*E$348*E349&gt;0,STDEV(E$347:E$348,E349)," ")/IF(E$347*E$348*E349&gt;0,SQRT(COUNT(E$347:E$348,E349))," "),"")</f>
        <v/>
      </c>
      <c r="AJ389" s="287" t="str">
        <f aca="false">IFERROR(IF(F$347*F$348*F349&gt;0,STDEV(F$347:F$348,F349)," ")/IF(F$347*F$348*F349&gt;0,SQRT(COUNT(F$347:F$348,F349))," "),"")</f>
        <v/>
      </c>
      <c r="AK389" s="287" t="str">
        <f aca="false">IFERROR(IF(G$347*G$348*G349&gt;0,STDEV(G$347:G$348,G349)," ")/IF(G$347*G$348*G349&gt;0,SQRT(COUNT(G$347:G$348,G349))," "),"")</f>
        <v/>
      </c>
      <c r="AL389" s="287" t="str">
        <f aca="false">IFERROR(IF(H$347*H$348*H349&gt;0,STDEV(H$347:H$348,H349)," ")/IF(H$347*H$348*H349&gt;0,SQRT(COUNT(H$347:H$348,H349))," "),"")</f>
        <v/>
      </c>
      <c r="AM389" s="287" t="str">
        <f aca="false">IFERROR(IF(I$347*I$348*I349&gt;0,STDEV(I$347:I$348,I349)," ")/IF(I$347*I$348*I349&gt;0,SQRT(COUNT(I$347:I$348,I349))," "),"")</f>
        <v/>
      </c>
      <c r="AN389" s="287" t="str">
        <f aca="false">IFERROR(IF(J$347*J$348*J349&gt;0,STDEV(J$347:J$348,J349)," ")/IF(J$347*J$348*J349&gt;0,SQRT(COUNT(J$347:J$348,J349))," "),"")</f>
        <v/>
      </c>
      <c r="AO389" s="287" t="str">
        <f aca="false">IFERROR(IF(K$347*K$348*K349&gt;0,STDEV(K$347:K$348,K349)," ")/IF(K$347*K$348*K349&gt;0,SQRT(COUNT(K$347:K$348,K349))," "),"")</f>
        <v/>
      </c>
      <c r="AP389" s="287" t="str">
        <f aca="false">IFERROR(IF(L$347*L$348*L349&gt;0,STDEV(L$347:L$348,L349)," ")/IF(L$347*L$348*L349&gt;0,SQRT(COUNT(L$347:L$348,L349))," "),"")</f>
        <v/>
      </c>
      <c r="AQ389" s="287" t="str">
        <f aca="false">IFERROR(IF(M$347*M$348*M349&gt;0,STDEV(M$347:M$348,M349)," ")/IF(M$347*M$348*M349&gt;0,SQRT(COUNT(M$347:M$348,M349))," "),"")</f>
        <v/>
      </c>
      <c r="AR389" s="287" t="str">
        <f aca="false">IFERROR(IF(N$347*N$348*N349&gt;0,STDEV(N$347:N$348,N349)," ")/IF(N$347*N$348*N349&gt;0,SQRT(COUNT(N$347:N$348,N349))," "),"")</f>
        <v/>
      </c>
    </row>
    <row r="390" customFormat="false" ht="15.75" hidden="false" customHeight="false" outlineLevel="0" collapsed="false">
      <c r="A390" s="290" t="s">
        <v>350</v>
      </c>
      <c r="B390" s="281"/>
      <c r="C390" s="291" t="str">
        <f aca="false">IFERROR(IF(C$347*C$348*C350&gt;0,AVERAGE(C$347:C$348,C350),""),"")</f>
        <v/>
      </c>
      <c r="D390" s="291" t="str">
        <f aca="false">IFERROR(IF(D$347*D$348*D350&gt;0,AVERAGE(D$347:D$348,D350),""),"")</f>
        <v/>
      </c>
      <c r="E390" s="291" t="str">
        <f aca="false">IFERROR(IF(E$347*E$348*E350&gt;0,AVERAGE(E$347:E$348,E350),""),"")</f>
        <v/>
      </c>
      <c r="F390" s="291" t="str">
        <f aca="false">IFERROR(IF(F$347*F$348*F350&gt;0,AVERAGE(F$347:F$348,F350),""),"")</f>
        <v/>
      </c>
      <c r="G390" s="291" t="str">
        <f aca="false">IFERROR(IF(G$347*G$348*G350&gt;0,AVERAGE(G$347:G$348,G350),""),"")</f>
        <v/>
      </c>
      <c r="H390" s="291" t="str">
        <f aca="false">IFERROR(IF(H$347*H$348*H350&gt;0,AVERAGE(H$347:H$348,H350),""),"")</f>
        <v/>
      </c>
      <c r="I390" s="291" t="str">
        <f aca="false">IFERROR(IF(I$347*I$348*I350&gt;0,AVERAGE(I$347:I$348,I350),""),"")</f>
        <v/>
      </c>
      <c r="J390" s="291" t="str">
        <f aca="false">IFERROR(IF(J$347*J$348*J350&gt;0,AVERAGE(J$347:J$348,J350),""),"")</f>
        <v/>
      </c>
      <c r="K390" s="291" t="str">
        <f aca="false">IFERROR(IF(K$347*K$348*K350&gt;0,AVERAGE(K$347:K$348,K350),""),"")</f>
        <v/>
      </c>
      <c r="L390" s="291" t="str">
        <f aca="false">IFERROR(IF(L$347*L$348*L350&gt;0,AVERAGE(L$347:L$348,L350),""),"")</f>
        <v/>
      </c>
      <c r="M390" s="291" t="str">
        <f aca="false">IFERROR(IF(M$347*M$348*M350&gt;0,AVERAGE(M$347:M$348,M350),""),"")</f>
        <v/>
      </c>
      <c r="N390" s="291" t="str">
        <f aca="false">IFERROR(IF(N$347*N$348*N350&gt;0,AVERAGE(N$347:N$348,N350),""),"")</f>
        <v/>
      </c>
      <c r="O390" s="282"/>
      <c r="P390" s="282"/>
      <c r="Q390" s="296"/>
      <c r="R390" s="293" t="s">
        <v>351</v>
      </c>
      <c r="S390" s="294" t="str">
        <f aca="false">IFERROR(IF(C$347*C$348*C350&gt;0,STDEV(C$347:C$348,C350),"")/IF(C$347*C$348*C350&gt;0,AVERAGE(C$347:C$348,C350),""),"")</f>
        <v/>
      </c>
      <c r="T390" s="294" t="str">
        <f aca="false">IFERROR(IF(D$347*D$348*D350&gt;0,STDEV(D$347:D$348,D350),"")/IF(D$347*D$348*D350&gt;0,AVERAGE(D$347:D$348,D350),""),"")</f>
        <v/>
      </c>
      <c r="U390" s="294" t="str">
        <f aca="false">IFERROR(IF(E$347*E$348*E350&gt;0,STDEV(E$347:E$348,E350),"")/IF(E$347*E$348*E350&gt;0,AVERAGE(E$347:E$348,E350),""),"")</f>
        <v/>
      </c>
      <c r="V390" s="294" t="str">
        <f aca="false">IFERROR(IF(F$347*F$348*F350&gt;0,STDEV(F$347:F$348,F350),"")/IF(F$347*F$348*F350&gt;0,AVERAGE(F$347:F$348,F350),""),"")</f>
        <v/>
      </c>
      <c r="W390" s="294" t="str">
        <f aca="false">IFERROR(IF(G$347*G$348*G350&gt;0,STDEV(G$347:G$348,G350),"")/IF(G$347*G$348*G350&gt;0,AVERAGE(G$347:G$348,G350),""),"")</f>
        <v/>
      </c>
      <c r="X390" s="294" t="str">
        <f aca="false">IFERROR(IF(H$347*H$348*H350&gt;0,STDEV(H$347:H$348,H350),"")/IF(H$347*H$348*H350&gt;0,AVERAGE(H$347:H$348,H350),""),"")</f>
        <v/>
      </c>
      <c r="Y390" s="294" t="str">
        <f aca="false">IFERROR(IF(I$347*I$348*I350&gt;0,STDEV(I$347:I$348,I350),"")/IF(I$347*I$348*I350&gt;0,AVERAGE(I$347:I$348,I350),""),"")</f>
        <v/>
      </c>
      <c r="Z390" s="294" t="str">
        <f aca="false">IFERROR(IF(J$347*J$348*J350&gt;0,STDEV(J$347:J$348,J350),"")/IF(J$347*J$348*J350&gt;0,AVERAGE(J$347:J$348,J350),""),"")</f>
        <v/>
      </c>
      <c r="AA390" s="294" t="str">
        <f aca="false">IFERROR(IF(K$347*K$348*K350&gt;0,STDEV(K$347:K$348,K350),"")/IF(K$347*K$348*K350&gt;0,AVERAGE(K$347:K$348,K350),""),"")</f>
        <v/>
      </c>
      <c r="AB390" s="294" t="str">
        <f aca="false">IFERROR(IF(L$347*L$348*L350&gt;0,STDEV(L$347:L$348,L350),"")/IF(L$347*L$348*L350&gt;0,AVERAGE(L$347:L$348,L350),""),"")</f>
        <v/>
      </c>
      <c r="AC390" s="294" t="str">
        <f aca="false">IFERROR(IF(M$347*M$348*M350&gt;0,STDEV(M$347:M$348,M350),"")/IF(M$347*M$348*M350&gt;0,AVERAGE(M$347:M$348,M350),""),"")</f>
        <v/>
      </c>
      <c r="AD390" s="294" t="str">
        <f aca="false">IFERROR(IF(N$347*N$348*N350&gt;0,STDEV(N$347:N$348,N350),"")/IF(N$347*N$348*N350&gt;0,AVERAGE(N$347:N$348,N350),""),"")</f>
        <v/>
      </c>
      <c r="AE390" s="44"/>
      <c r="AF390" s="266" t="s">
        <v>352</v>
      </c>
      <c r="AG390" s="287" t="str">
        <f aca="false">IFERROR(IF(C$347*C$348*C350&gt;0,STDEV(C$347:C$348,C350)," ")/IF(C$347*C$348*C350&gt;0,SQRT(COUNT(C$347:C$348,C350))," "),"")</f>
        <v/>
      </c>
      <c r="AH390" s="287" t="str">
        <f aca="false">IFERROR(IF(D$347*D$348*D350&gt;0,STDEV(D$347:D$348,D350)," ")/IF(D$347*D$348*D350&gt;0,SQRT(COUNT(D$347:D$348,D350))," "),"")</f>
        <v/>
      </c>
      <c r="AI390" s="287" t="str">
        <f aca="false">IFERROR(IF(E$347*E$348*E350&gt;0,STDEV(E$347:E$348,E350)," ")/IF(E$347*E$348*E350&gt;0,SQRT(COUNT(E$347:E$348,E350))," "),"")</f>
        <v/>
      </c>
      <c r="AJ390" s="287" t="str">
        <f aca="false">IFERROR(IF(F$347*F$348*F350&gt;0,STDEV(F$347:F$348,F350)," ")/IF(F$347*F$348*F350&gt;0,SQRT(COUNT(F$347:F$348,F350))," "),"")</f>
        <v/>
      </c>
      <c r="AK390" s="287" t="str">
        <f aca="false">IFERROR(IF(G$347*G$348*G350&gt;0,STDEV(G$347:G$348,G350)," ")/IF(G$347*G$348*G350&gt;0,SQRT(COUNT(G$347:G$348,G350))," "),"")</f>
        <v/>
      </c>
      <c r="AL390" s="287" t="str">
        <f aca="false">IFERROR(IF(H$347*H$348*H350&gt;0,STDEV(H$347:H$348,H350)," ")/IF(H$347*H$348*H350&gt;0,SQRT(COUNT(H$347:H$348,H350))," "),"")</f>
        <v/>
      </c>
      <c r="AM390" s="287" t="str">
        <f aca="false">IFERROR(IF(I$347*I$348*I350&gt;0,STDEV(I$347:I$348,I350)," ")/IF(I$347*I$348*I350&gt;0,SQRT(COUNT(I$347:I$348,I350))," "),"")</f>
        <v/>
      </c>
      <c r="AN390" s="287" t="str">
        <f aca="false">IFERROR(IF(J$347*J$348*J350&gt;0,STDEV(J$347:J$348,J350)," ")/IF(J$347*J$348*J350&gt;0,SQRT(COUNT(J$347:J$348,J350))," "),"")</f>
        <v/>
      </c>
      <c r="AO390" s="287" t="str">
        <f aca="false">IFERROR(IF(K$347*K$348*K350&gt;0,STDEV(K$347:K$348,K350)," ")/IF(K$347*K$348*K350&gt;0,SQRT(COUNT(K$347:K$348,K350))," "),"")</f>
        <v/>
      </c>
      <c r="AP390" s="287" t="str">
        <f aca="false">IFERROR(IF(L$347*L$348*L350&gt;0,STDEV(L$347:L$348,L350)," ")/IF(L$347*L$348*L350&gt;0,SQRT(COUNT(L$347:L$348,L350))," "),"")</f>
        <v/>
      </c>
      <c r="AQ390" s="287" t="str">
        <f aca="false">IFERROR(IF(M$347*M$348*M350&gt;0,STDEV(M$347:M$348,M350)," ")/IF(M$347*M$348*M350&gt;0,SQRT(COUNT(M$347:M$348,M350))," "),"")</f>
        <v/>
      </c>
      <c r="AR390" s="287" t="str">
        <f aca="false">IFERROR(IF(N$347*N$348*N350&gt;0,STDEV(N$347:N$348,N350)," ")/IF(N$347*N$348*N350&gt;0,SQRT(COUNT(N$347:N$348,N350))," "),"")</f>
        <v/>
      </c>
    </row>
    <row r="391" customFormat="false" ht="15.75" hidden="false" customHeight="false" outlineLevel="0" collapsed="false">
      <c r="A391" s="290" t="s">
        <v>353</v>
      </c>
      <c r="B391" s="281"/>
      <c r="C391" s="291" t="str">
        <f aca="false">IFERROR(IF(C$347*C$348*C351&gt;0,AVERAGE(C$347:C$348,C351),""),"")</f>
        <v/>
      </c>
      <c r="D391" s="291" t="str">
        <f aca="false">IFERROR(IF(D$347*D$348*D351&gt;0,AVERAGE(D$347:D$348,D351),""),"")</f>
        <v/>
      </c>
      <c r="E391" s="291" t="str">
        <f aca="false">IFERROR(IF(E$347*E$348*E351&gt;0,AVERAGE(E$347:E$348,E351),""),"")</f>
        <v/>
      </c>
      <c r="F391" s="291" t="str">
        <f aca="false">IFERROR(IF(F$347*F$348*F351&gt;0,AVERAGE(F$347:F$348,F351),""),"")</f>
        <v/>
      </c>
      <c r="G391" s="291" t="str">
        <f aca="false">IFERROR(IF(G$347*G$348*G351&gt;0,AVERAGE(G$347:G$348,G351),""),"")</f>
        <v/>
      </c>
      <c r="H391" s="291" t="str">
        <f aca="false">IFERROR(IF(H$347*H$348*H351&gt;0,AVERAGE(H$347:H$348,H351),""),"")</f>
        <v/>
      </c>
      <c r="I391" s="291" t="str">
        <f aca="false">IFERROR(IF(I$347*I$348*I351&gt;0,AVERAGE(I$347:I$348,I351),""),"")</f>
        <v/>
      </c>
      <c r="J391" s="291" t="str">
        <f aca="false">IFERROR(IF(J$347*J$348*J351&gt;0,AVERAGE(J$347:J$348,J351),""),"")</f>
        <v/>
      </c>
      <c r="K391" s="291" t="str">
        <f aca="false">IFERROR(IF(K$347*K$348*K351&gt;0,AVERAGE(K$347:K$348,K351),""),"")</f>
        <v/>
      </c>
      <c r="L391" s="291" t="str">
        <f aca="false">IFERROR(IF(L$347*L$348*L351&gt;0,AVERAGE(L$347:L$348,L351),""),"")</f>
        <v/>
      </c>
      <c r="M391" s="291" t="str">
        <f aca="false">IFERROR(IF(M$347*M$348*M351&gt;0,AVERAGE(M$347:M$348,M351),""),"")</f>
        <v/>
      </c>
      <c r="N391" s="291" t="str">
        <f aca="false">IFERROR(IF(N$347*N$348*N351&gt;0,AVERAGE(N$347:N$348,N351),""),"")</f>
        <v/>
      </c>
      <c r="O391" s="282"/>
      <c r="P391" s="282"/>
      <c r="Q391" s="296"/>
      <c r="R391" s="293" t="s">
        <v>354</v>
      </c>
      <c r="S391" s="294" t="str">
        <f aca="false">IFERROR(IF(C$347*C$348*C351&gt;0,STDEV(C$347:C$348,C351),"")/IF(C$347*C$348*C351&gt;0,AVERAGE(C$347:C$348,C351),""),"")</f>
        <v/>
      </c>
      <c r="T391" s="294" t="str">
        <f aca="false">IFERROR(IF(D$347*D$348*D351&gt;0,STDEV(D$347:D$348,D351),"")/IF(D$347*D$348*D351&gt;0,AVERAGE(D$347:D$348,D351),""),"")</f>
        <v/>
      </c>
      <c r="U391" s="294" t="str">
        <f aca="false">IFERROR(IF(E$347*E$348*E351&gt;0,STDEV(E$347:E$348,E351),"")/IF(E$347*E$348*E351&gt;0,AVERAGE(E$347:E$348,E351),""),"")</f>
        <v/>
      </c>
      <c r="V391" s="294" t="str">
        <f aca="false">IFERROR(IF(F$347*F$348*F351&gt;0,STDEV(F$347:F$348,F351),"")/IF(F$347*F$348*F351&gt;0,AVERAGE(F$347:F$348,F351),""),"")</f>
        <v/>
      </c>
      <c r="W391" s="294" t="str">
        <f aca="false">IFERROR(IF(G$347*G$348*G351&gt;0,STDEV(G$347:G$348,G351),"")/IF(G$347*G$348*G351&gt;0,AVERAGE(G$347:G$348,G351),""),"")</f>
        <v/>
      </c>
      <c r="X391" s="294" t="str">
        <f aca="false">IFERROR(IF(H$347*H$348*H351&gt;0,STDEV(H$347:H$348,H351),"")/IF(H$347*H$348*H351&gt;0,AVERAGE(H$347:H$348,H351),""),"")</f>
        <v/>
      </c>
      <c r="Y391" s="294" t="str">
        <f aca="false">IFERROR(IF(I$347*I$348*I351&gt;0,STDEV(I$347:I$348,I351),"")/IF(I$347*I$348*I351&gt;0,AVERAGE(I$347:I$348,I351),""),"")</f>
        <v/>
      </c>
      <c r="Z391" s="294" t="str">
        <f aca="false">IFERROR(IF(J$347*J$348*J351&gt;0,STDEV(J$347:J$348,J351),"")/IF(J$347*J$348*J351&gt;0,AVERAGE(J$347:J$348,J351),""),"")</f>
        <v/>
      </c>
      <c r="AA391" s="294" t="str">
        <f aca="false">IFERROR(IF(K$347*K$348*K351&gt;0,STDEV(K$347:K$348,K351),"")/IF(K$347*K$348*K351&gt;0,AVERAGE(K$347:K$348,K351),""),"")</f>
        <v/>
      </c>
      <c r="AB391" s="294" t="str">
        <f aca="false">IFERROR(IF(L$347*L$348*L351&gt;0,STDEV(L$347:L$348,L351),"")/IF(L$347*L$348*L351&gt;0,AVERAGE(L$347:L$348,L351),""),"")</f>
        <v/>
      </c>
      <c r="AC391" s="294" t="str">
        <f aca="false">IFERROR(IF(M$347*M$348*M351&gt;0,STDEV(M$347:M$348,M351),"")/IF(M$347*M$348*M351&gt;0,AVERAGE(M$347:M$348,M351),""),"")</f>
        <v/>
      </c>
      <c r="AD391" s="294" t="str">
        <f aca="false">IFERROR(IF(N$347*N$348*N351&gt;0,STDEV(N$347:N$348,N351),"")/IF(N$347*N$348*N351&gt;0,AVERAGE(N$347:N$348,N351),""),"")</f>
        <v/>
      </c>
      <c r="AE391" s="44"/>
      <c r="AF391" s="266" t="s">
        <v>355</v>
      </c>
      <c r="AG391" s="287" t="str">
        <f aca="false">IFERROR(IF(C$347*C$348*C351&gt;0,STDEV(C$347:C$348,C351)," ")/IF(C$347*C$348*C351&gt;0,SQRT(COUNT(C$347:C$348,C351))," "),"")</f>
        <v/>
      </c>
      <c r="AH391" s="287" t="str">
        <f aca="false">IFERROR(IF(D$347*D$348*D351&gt;0,STDEV(D$347:D$348,D351)," ")/IF(D$347*D$348*D351&gt;0,SQRT(COUNT(D$347:D$348,D351))," "),"")</f>
        <v/>
      </c>
      <c r="AI391" s="287" t="str">
        <f aca="false">IFERROR(IF(E$347*E$348*E351&gt;0,STDEV(E$347:E$348,E351)," ")/IF(E$347*E$348*E351&gt;0,SQRT(COUNT(E$347:E$348,E351))," "),"")</f>
        <v/>
      </c>
      <c r="AJ391" s="287" t="str">
        <f aca="false">IFERROR(IF(F$347*F$348*F351&gt;0,STDEV(F$347:F$348,F351)," ")/IF(F$347*F$348*F351&gt;0,SQRT(COUNT(F$347:F$348,F351))," "),"")</f>
        <v/>
      </c>
      <c r="AK391" s="287" t="str">
        <f aca="false">IFERROR(IF(G$347*G$348*G351&gt;0,STDEV(G$347:G$348,G351)," ")/IF(G$347*G$348*G351&gt;0,SQRT(COUNT(G$347:G$348,G351))," "),"")</f>
        <v/>
      </c>
      <c r="AL391" s="287" t="str">
        <f aca="false">IFERROR(IF(H$347*H$348*H351&gt;0,STDEV(H$347:H$348,H351)," ")/IF(H$347*H$348*H351&gt;0,SQRT(COUNT(H$347:H$348,H351))," "),"")</f>
        <v/>
      </c>
      <c r="AM391" s="287" t="str">
        <f aca="false">IFERROR(IF(I$347*I$348*I351&gt;0,STDEV(I$347:I$348,I351)," ")/IF(I$347*I$348*I351&gt;0,SQRT(COUNT(I$347:I$348,I351))," "),"")</f>
        <v/>
      </c>
      <c r="AN391" s="287" t="str">
        <f aca="false">IFERROR(IF(J$347*J$348*J351&gt;0,STDEV(J$347:J$348,J351)," ")/IF(J$347*J$348*J351&gt;0,SQRT(COUNT(J$347:J$348,J351))," "),"")</f>
        <v/>
      </c>
      <c r="AO391" s="287" t="str">
        <f aca="false">IFERROR(IF(K$347*K$348*K351&gt;0,STDEV(K$347:K$348,K351)," ")/IF(K$347*K$348*K351&gt;0,SQRT(COUNT(K$347:K$348,K351))," "),"")</f>
        <v/>
      </c>
      <c r="AP391" s="287" t="str">
        <f aca="false">IFERROR(IF(L$347*L$348*L351&gt;0,STDEV(L$347:L$348,L351)," ")/IF(L$347*L$348*L351&gt;0,SQRT(COUNT(L$347:L$348,L351))," "),"")</f>
        <v/>
      </c>
      <c r="AQ391" s="287" t="str">
        <f aca="false">IFERROR(IF(M$347*M$348*M351&gt;0,STDEV(M$347:M$348,M351)," ")/IF(M$347*M$348*M351&gt;0,SQRT(COUNT(M$347:M$348,M351))," "),"")</f>
        <v/>
      </c>
      <c r="AR391" s="287" t="str">
        <f aca="false">IFERROR(IF(N$347*N$348*N351&gt;0,STDEV(N$347:N$348,N351)," ")/IF(N$347*N$348*N351&gt;0,SQRT(COUNT(N$347:N$348,N351))," "),"")</f>
        <v/>
      </c>
    </row>
    <row r="392" customFormat="false" ht="15.75" hidden="false" customHeight="false" outlineLevel="0" collapsed="false">
      <c r="A392" s="290" t="s">
        <v>356</v>
      </c>
      <c r="B392" s="281"/>
      <c r="C392" s="291" t="str">
        <f aca="false">IFERROR(IF(C$347*C$348*C352&gt;0,AVERAGE(C$347:C$348,C352),""),"")</f>
        <v/>
      </c>
      <c r="D392" s="291" t="str">
        <f aca="false">IFERROR(IF(D$347*D$348*D352&gt;0,AVERAGE(D$347:D$348,D352),""),"")</f>
        <v/>
      </c>
      <c r="E392" s="291" t="str">
        <f aca="false">IFERROR(IF(E$347*E$348*E352&gt;0,AVERAGE(E$347:E$348,E352),""),"")</f>
        <v/>
      </c>
      <c r="F392" s="291" t="str">
        <f aca="false">IFERROR(IF(F$347*F$348*F352&gt;0,AVERAGE(F$347:F$348,F352),""),"")</f>
        <v/>
      </c>
      <c r="G392" s="291" t="str">
        <f aca="false">IFERROR(IF(G$347*G$348*G352&gt;0,AVERAGE(G$347:G$348,G352),""),"")</f>
        <v/>
      </c>
      <c r="H392" s="291" t="str">
        <f aca="false">IFERROR(IF(H$347*H$348*H352&gt;0,AVERAGE(H$347:H$348,H352),""),"")</f>
        <v/>
      </c>
      <c r="I392" s="291" t="str">
        <f aca="false">IFERROR(IF(I$347*I$348*I352&gt;0,AVERAGE(I$347:I$348,I352),""),"")</f>
        <v/>
      </c>
      <c r="J392" s="291" t="str">
        <f aca="false">IFERROR(IF(J$347*J$348*J352&gt;0,AVERAGE(J$347:J$348,J352),""),"")</f>
        <v/>
      </c>
      <c r="K392" s="291" t="str">
        <f aca="false">IFERROR(IF(K$347*K$348*K352&gt;0,AVERAGE(K$347:K$348,K352),""),"")</f>
        <v/>
      </c>
      <c r="L392" s="291" t="str">
        <f aca="false">IFERROR(IF(L$347*L$348*L352&gt;0,AVERAGE(L$347:L$348,L352),""),"")</f>
        <v/>
      </c>
      <c r="M392" s="291" t="str">
        <f aca="false">IFERROR(IF(M$347*M$348*M352&gt;0,AVERAGE(M$347:M$348,M352),""),"")</f>
        <v/>
      </c>
      <c r="N392" s="291" t="str">
        <f aca="false">IFERROR(IF(N$347*N$348*N352&gt;0,AVERAGE(N$347:N$348,N352),""),"")</f>
        <v/>
      </c>
      <c r="O392" s="282"/>
      <c r="P392" s="282"/>
      <c r="Q392" s="296"/>
      <c r="R392" s="293" t="s">
        <v>357</v>
      </c>
      <c r="S392" s="294" t="str">
        <f aca="false">IFERROR(IF(C$347*C$348*C352&gt;0,STDEV(C$347:C$348,C352),"")/IF(C$347*C$348*C352&gt;0,AVERAGE(C$347:C$348,C352),""),"")</f>
        <v/>
      </c>
      <c r="T392" s="294" t="str">
        <f aca="false">IFERROR(IF(D$347*D$348*D352&gt;0,STDEV(D$347:D$348,D352),"")/IF(D$347*D$348*D352&gt;0,AVERAGE(D$347:D$348,D352),""),"")</f>
        <v/>
      </c>
      <c r="U392" s="294" t="str">
        <f aca="false">IFERROR(IF(E$347*E$348*E352&gt;0,STDEV(E$347:E$348,E352),"")/IF(E$347*E$348*E352&gt;0,AVERAGE(E$347:E$348,E352),""),"")</f>
        <v/>
      </c>
      <c r="V392" s="294" t="str">
        <f aca="false">IFERROR(IF(F$347*F$348*F352&gt;0,STDEV(F$347:F$348,F352),"")/IF(F$347*F$348*F352&gt;0,AVERAGE(F$347:F$348,F352),""),"")</f>
        <v/>
      </c>
      <c r="W392" s="294" t="str">
        <f aca="false">IFERROR(IF(G$347*G$348*G352&gt;0,STDEV(G$347:G$348,G352),"")/IF(G$347*G$348*G352&gt;0,AVERAGE(G$347:G$348,G352),""),"")</f>
        <v/>
      </c>
      <c r="X392" s="294" t="str">
        <f aca="false">IFERROR(IF(H$347*H$348*H352&gt;0,STDEV(H$347:H$348,H352),"")/IF(H$347*H$348*H352&gt;0,AVERAGE(H$347:H$348,H352),""),"")</f>
        <v/>
      </c>
      <c r="Y392" s="294" t="str">
        <f aca="false">IFERROR(IF(I$347*I$348*I352&gt;0,STDEV(I$347:I$348,I352),"")/IF(I$347*I$348*I352&gt;0,AVERAGE(I$347:I$348,I352),""),"")</f>
        <v/>
      </c>
      <c r="Z392" s="294" t="str">
        <f aca="false">IFERROR(IF(J$347*J$348*J352&gt;0,STDEV(J$347:J$348,J352),"")/IF(J$347*J$348*J352&gt;0,AVERAGE(J$347:J$348,J352),""),"")</f>
        <v/>
      </c>
      <c r="AA392" s="294" t="str">
        <f aca="false">IFERROR(IF(K$347*K$348*K352&gt;0,STDEV(K$347:K$348,K352),"")/IF(K$347*K$348*K352&gt;0,AVERAGE(K$347:K$348,K352),""),"")</f>
        <v/>
      </c>
      <c r="AB392" s="294" t="str">
        <f aca="false">IFERROR(IF(L$347*L$348*L352&gt;0,STDEV(L$347:L$348,L352),"")/IF(L$347*L$348*L352&gt;0,AVERAGE(L$347:L$348,L352),""),"")</f>
        <v/>
      </c>
      <c r="AC392" s="294" t="str">
        <f aca="false">IFERROR(IF(M$347*M$348*M352&gt;0,STDEV(M$347:M$348,M352),"")/IF(M$347*M$348*M352&gt;0,AVERAGE(M$347:M$348,M352),""),"")</f>
        <v/>
      </c>
      <c r="AD392" s="294" t="str">
        <f aca="false">IFERROR(IF(N$347*N$348*N352&gt;0,STDEV(N$347:N$348,N352),"")/IF(N$347*N$348*N352&gt;0,AVERAGE(N$347:N$348,N352),""),"")</f>
        <v/>
      </c>
      <c r="AE392" s="44"/>
      <c r="AF392" s="266" t="s">
        <v>358</v>
      </c>
      <c r="AG392" s="287" t="str">
        <f aca="false">IFERROR(IF(C$347*C$348*C352&gt;0,STDEV(C$347:C$348,C352)," ")/IF(C$347*C$348*C352&gt;0,SQRT(COUNT(C$347:C$348,C352))," "),"")</f>
        <v/>
      </c>
      <c r="AH392" s="287" t="str">
        <f aca="false">IFERROR(IF(D$347*D$348*D352&gt;0,STDEV(D$347:D$348,D352)," ")/IF(D$347*D$348*D352&gt;0,SQRT(COUNT(D$347:D$348,D352))," "),"")</f>
        <v/>
      </c>
      <c r="AI392" s="287" t="str">
        <f aca="false">IFERROR(IF(E$347*E$348*E352&gt;0,STDEV(E$347:E$348,E352)," ")/IF(E$347*E$348*E352&gt;0,SQRT(COUNT(E$347:E$348,E352))," "),"")</f>
        <v/>
      </c>
      <c r="AJ392" s="287" t="str">
        <f aca="false">IFERROR(IF(F$347*F$348*F352&gt;0,STDEV(F$347:F$348,F352)," ")/IF(F$347*F$348*F352&gt;0,SQRT(COUNT(F$347:F$348,F352))," "),"")</f>
        <v/>
      </c>
      <c r="AK392" s="287" t="str">
        <f aca="false">IFERROR(IF(G$347*G$348*G352&gt;0,STDEV(G$347:G$348,G352)," ")/IF(G$347*G$348*G352&gt;0,SQRT(COUNT(G$347:G$348,G352))," "),"")</f>
        <v/>
      </c>
      <c r="AL392" s="287" t="str">
        <f aca="false">IFERROR(IF(H$347*H$348*H352&gt;0,STDEV(H$347:H$348,H352)," ")/IF(H$347*H$348*H352&gt;0,SQRT(COUNT(H$347:H$348,H352))," "),"")</f>
        <v/>
      </c>
      <c r="AM392" s="287" t="str">
        <f aca="false">IFERROR(IF(I$347*I$348*I352&gt;0,STDEV(I$347:I$348,I352)," ")/IF(I$347*I$348*I352&gt;0,SQRT(COUNT(I$347:I$348,I352))," "),"")</f>
        <v/>
      </c>
      <c r="AN392" s="287" t="str">
        <f aca="false">IFERROR(IF(J$347*J$348*J352&gt;0,STDEV(J$347:J$348,J352)," ")/IF(J$347*J$348*J352&gt;0,SQRT(COUNT(J$347:J$348,J352))," "),"")</f>
        <v/>
      </c>
      <c r="AO392" s="287" t="str">
        <f aca="false">IFERROR(IF(K$347*K$348*K352&gt;0,STDEV(K$347:K$348,K352)," ")/IF(K$347*K$348*K352&gt;0,SQRT(COUNT(K$347:K$348,K352))," "),"")</f>
        <v/>
      </c>
      <c r="AP392" s="287" t="str">
        <f aca="false">IFERROR(IF(L$347*L$348*L352&gt;0,STDEV(L$347:L$348,L352)," ")/IF(L$347*L$348*L352&gt;0,SQRT(COUNT(L$347:L$348,L352))," "),"")</f>
        <v/>
      </c>
      <c r="AQ392" s="287" t="str">
        <f aca="false">IFERROR(IF(M$347*M$348*M352&gt;0,STDEV(M$347:M$348,M352)," ")/IF(M$347*M$348*M352&gt;0,SQRT(COUNT(M$347:M$348,M352))," "),"")</f>
        <v/>
      </c>
      <c r="AR392" s="287" t="str">
        <f aca="false">IFERROR(IF(N$347*N$348*N352&gt;0,STDEV(N$347:N$348,N352)," ")/IF(N$347*N$348*N352&gt;0,SQRT(COUNT(N$347:N$348,N352))," "),"")</f>
        <v/>
      </c>
    </row>
    <row r="393" customFormat="false" ht="15.75" hidden="false" customHeight="false" outlineLevel="0" collapsed="false">
      <c r="A393" s="290" t="s">
        <v>359</v>
      </c>
      <c r="B393" s="281"/>
      <c r="C393" s="291" t="str">
        <f aca="false">IFERROR(IF(C$347*C$348*C353&gt;0,AVERAGE(C$347:C$348,C353),""),"")</f>
        <v/>
      </c>
      <c r="D393" s="291" t="str">
        <f aca="false">IFERROR(IF(D$347*D$348*D353&gt;0,AVERAGE(D$347:D$348,D353),""),"")</f>
        <v/>
      </c>
      <c r="E393" s="291" t="str">
        <f aca="false">IFERROR(IF(E$347*E$348*E353&gt;0,AVERAGE(E$347:E$348,E353),""),"")</f>
        <v/>
      </c>
      <c r="F393" s="291" t="str">
        <f aca="false">IFERROR(IF(F$347*F$348*F353&gt;0,AVERAGE(F$347:F$348,F353),""),"")</f>
        <v/>
      </c>
      <c r="G393" s="291" t="str">
        <f aca="false">IFERROR(IF(G$347*G$348*G353&gt;0,AVERAGE(G$347:G$348,G353),""),"")</f>
        <v/>
      </c>
      <c r="H393" s="291" t="str">
        <f aca="false">IFERROR(IF(H$347*H$348*H353&gt;0,AVERAGE(H$347:H$348,H353),""),"")</f>
        <v/>
      </c>
      <c r="I393" s="291" t="str">
        <f aca="false">IFERROR(IF(I$347*I$348*I353&gt;0,AVERAGE(I$347:I$348,I353),""),"")</f>
        <v/>
      </c>
      <c r="J393" s="291" t="str">
        <f aca="false">IFERROR(IF(J$347*J$348*J353&gt;0,AVERAGE(J$347:J$348,J353),""),"")</f>
        <v/>
      </c>
      <c r="K393" s="291" t="str">
        <f aca="false">IFERROR(IF(K$347*K$348*K353&gt;0,AVERAGE(K$347:K$348,K353),""),"")</f>
        <v/>
      </c>
      <c r="L393" s="291" t="str">
        <f aca="false">IFERROR(IF(L$347*L$348*L353&gt;0,AVERAGE(L$347:L$348,L353),""),"")</f>
        <v/>
      </c>
      <c r="M393" s="291" t="str">
        <f aca="false">IFERROR(IF(M$347*M$348*M353&gt;0,AVERAGE(M$347:M$348,M353),""),"")</f>
        <v/>
      </c>
      <c r="N393" s="291" t="str">
        <f aca="false">IFERROR(IF(N$347*N$348*N353&gt;0,AVERAGE(N$347:N$348,N353),""),"")</f>
        <v/>
      </c>
      <c r="O393" s="282"/>
      <c r="P393" s="282"/>
      <c r="Q393" s="296"/>
      <c r="R393" s="293" t="s">
        <v>360</v>
      </c>
      <c r="S393" s="294" t="str">
        <f aca="false">IFERROR(IF(C$347*C$348*C353&gt;0,STDEV(C$347:C$348,C353),"")/IF(C$347*C$348*C353&gt;0,AVERAGE(C$347:C$348,C353),""),"")</f>
        <v/>
      </c>
      <c r="T393" s="294" t="str">
        <f aca="false">IFERROR(IF(D$347*D$348*D353&gt;0,STDEV(D$347:D$348,D353),"")/IF(D$347*D$348*D353&gt;0,AVERAGE(D$347:D$348,D353),""),"")</f>
        <v/>
      </c>
      <c r="U393" s="294" t="str">
        <f aca="false">IFERROR(IF(E$347*E$348*E353&gt;0,STDEV(E$347:E$348,E353),"")/IF(E$347*E$348*E353&gt;0,AVERAGE(E$347:E$348,E353),""),"")</f>
        <v/>
      </c>
      <c r="V393" s="294" t="str">
        <f aca="false">IFERROR(IF(F$347*F$348*F353&gt;0,STDEV(F$347:F$348,F353),"")/IF(F$347*F$348*F353&gt;0,AVERAGE(F$347:F$348,F353),""),"")</f>
        <v/>
      </c>
      <c r="W393" s="294" t="str">
        <f aca="false">IFERROR(IF(G$347*G$348*G353&gt;0,STDEV(G$347:G$348,G353),"")/IF(G$347*G$348*G353&gt;0,AVERAGE(G$347:G$348,G353),""),"")</f>
        <v/>
      </c>
      <c r="X393" s="294" t="str">
        <f aca="false">IFERROR(IF(H$347*H$348*H353&gt;0,STDEV(H$347:H$348,H353),"")/IF(H$347*H$348*H353&gt;0,AVERAGE(H$347:H$348,H353),""),"")</f>
        <v/>
      </c>
      <c r="Y393" s="294" t="str">
        <f aca="false">IFERROR(IF(I$347*I$348*I353&gt;0,STDEV(I$347:I$348,I353),"")/IF(I$347*I$348*I353&gt;0,AVERAGE(I$347:I$348,I353),""),"")</f>
        <v/>
      </c>
      <c r="Z393" s="294" t="str">
        <f aca="false">IFERROR(IF(J$347*J$348*J353&gt;0,STDEV(J$347:J$348,J353),"")/IF(J$347*J$348*J353&gt;0,AVERAGE(J$347:J$348,J353),""),"")</f>
        <v/>
      </c>
      <c r="AA393" s="294" t="str">
        <f aca="false">IFERROR(IF(K$347*K$348*K353&gt;0,STDEV(K$347:K$348,K353),"")/IF(K$347*K$348*K353&gt;0,AVERAGE(K$347:K$348,K353),""),"")</f>
        <v/>
      </c>
      <c r="AB393" s="294" t="str">
        <f aca="false">IFERROR(IF(L$347*L$348*L353&gt;0,STDEV(L$347:L$348,L353),"")/IF(L$347*L$348*L353&gt;0,AVERAGE(L$347:L$348,L353),""),"")</f>
        <v/>
      </c>
      <c r="AC393" s="294" t="str">
        <f aca="false">IFERROR(IF(M$347*M$348*M353&gt;0,STDEV(M$347:M$348,M353),"")/IF(M$347*M$348*M353&gt;0,AVERAGE(M$347:M$348,M353),""),"")</f>
        <v/>
      </c>
      <c r="AD393" s="294" t="str">
        <f aca="false">IFERROR(IF(N$347*N$348*N353&gt;0,STDEV(N$347:N$348,N353),"")/IF(N$347*N$348*N353&gt;0,AVERAGE(N$347:N$348,N353),""),"")</f>
        <v/>
      </c>
      <c r="AE393" s="44"/>
      <c r="AF393" s="266" t="s">
        <v>361</v>
      </c>
      <c r="AG393" s="287" t="str">
        <f aca="false">IFERROR(IF(C$347*C$348*C353&gt;0,STDEV(C$347:C$348,C353)," ")/IF(C$347*C$348*C353&gt;0,SQRT(COUNT(C$347:C$348,C353))," "),"")</f>
        <v/>
      </c>
      <c r="AH393" s="287" t="str">
        <f aca="false">IFERROR(IF(D$347*D$348*D353&gt;0,STDEV(D$347:D$348,D353)," ")/IF(D$347*D$348*D353&gt;0,SQRT(COUNT(D$347:D$348,D353))," "),"")</f>
        <v/>
      </c>
      <c r="AI393" s="287" t="str">
        <f aca="false">IFERROR(IF(E$347*E$348*E353&gt;0,STDEV(E$347:E$348,E353)," ")/IF(E$347*E$348*E353&gt;0,SQRT(COUNT(E$347:E$348,E353))," "),"")</f>
        <v/>
      </c>
      <c r="AJ393" s="287" t="str">
        <f aca="false">IFERROR(IF(F$347*F$348*F353&gt;0,STDEV(F$347:F$348,F353)," ")/IF(F$347*F$348*F353&gt;0,SQRT(COUNT(F$347:F$348,F353))," "),"")</f>
        <v/>
      </c>
      <c r="AK393" s="287" t="str">
        <f aca="false">IFERROR(IF(G$347*G$348*G353&gt;0,STDEV(G$347:G$348,G353)," ")/IF(G$347*G$348*G353&gt;0,SQRT(COUNT(G$347:G$348,G353))," "),"")</f>
        <v/>
      </c>
      <c r="AL393" s="287" t="str">
        <f aca="false">IFERROR(IF(H$347*H$348*H353&gt;0,STDEV(H$347:H$348,H353)," ")/IF(H$347*H$348*H353&gt;0,SQRT(COUNT(H$347:H$348,H353))," "),"")</f>
        <v/>
      </c>
      <c r="AM393" s="287" t="str">
        <f aca="false">IFERROR(IF(I$347*I$348*I353&gt;0,STDEV(I$347:I$348,I353)," ")/IF(I$347*I$348*I353&gt;0,SQRT(COUNT(I$347:I$348,I353))," "),"")</f>
        <v/>
      </c>
      <c r="AN393" s="287" t="str">
        <f aca="false">IFERROR(IF(J$347*J$348*J353&gt;0,STDEV(J$347:J$348,J353)," ")/IF(J$347*J$348*J353&gt;0,SQRT(COUNT(J$347:J$348,J353))," "),"")</f>
        <v/>
      </c>
      <c r="AO393" s="287" t="str">
        <f aca="false">IFERROR(IF(K$347*K$348*K353&gt;0,STDEV(K$347:K$348,K353)," ")/IF(K$347*K$348*K353&gt;0,SQRT(COUNT(K$347:K$348,K353))," "),"")</f>
        <v/>
      </c>
      <c r="AP393" s="287" t="str">
        <f aca="false">IFERROR(IF(L$347*L$348*L353&gt;0,STDEV(L$347:L$348,L353)," ")/IF(L$347*L$348*L353&gt;0,SQRT(COUNT(L$347:L$348,L353))," "),"")</f>
        <v/>
      </c>
      <c r="AQ393" s="287" t="str">
        <f aca="false">IFERROR(IF(M$347*M$348*M353&gt;0,STDEV(M$347:M$348,M353)," ")/IF(M$347*M$348*M353&gt;0,SQRT(COUNT(M$347:M$348,M353))," "),"")</f>
        <v/>
      </c>
      <c r="AR393" s="287" t="str">
        <f aca="false">IFERROR(IF(N$347*N$348*N353&gt;0,STDEV(N$347:N$348,N353)," ")/IF(N$347*N$348*N353&gt;0,SQRT(COUNT(N$347:N$348,N353))," "),"")</f>
        <v/>
      </c>
    </row>
    <row r="394" customFormat="false" ht="15.75" hidden="false" customHeight="false" outlineLevel="0" collapsed="false">
      <c r="A394" s="290" t="s">
        <v>253</v>
      </c>
      <c r="B394" s="281"/>
      <c r="C394" s="291" t="str">
        <f aca="false">IFERROR(IF(C$348*C$349*C350&gt;0,AVERAGE(C$348:C$349,C350),""),"")</f>
        <v/>
      </c>
      <c r="D394" s="291" t="str">
        <f aca="false">IFERROR(IF(D$348*D$349*D350&gt;0,AVERAGE(D$348:D$349,D350),""),"")</f>
        <v/>
      </c>
      <c r="E394" s="291" t="str">
        <f aca="false">IFERROR(IF(E$348*E$349*E350&gt;0,AVERAGE(E$348:E$349,E350),""),"")</f>
        <v/>
      </c>
      <c r="F394" s="291" t="str">
        <f aca="false">IFERROR(IF(F$348*F$349*F350&gt;0,AVERAGE(F$348:F$349,F350),""),"")</f>
        <v/>
      </c>
      <c r="G394" s="291" t="str">
        <f aca="false">IFERROR(IF(G$348*G$349*G350&gt;0,AVERAGE(G$348:G$349,G350),""),"")</f>
        <v/>
      </c>
      <c r="H394" s="291" t="str">
        <f aca="false">IFERROR(IF(H$348*H$349*H350&gt;0,AVERAGE(H$348:H$349,H350),""),"")</f>
        <v/>
      </c>
      <c r="I394" s="291" t="str">
        <f aca="false">IFERROR(IF(I$348*I$349*I350&gt;0,AVERAGE(I$348:I$349,I350),""),"")</f>
        <v/>
      </c>
      <c r="J394" s="291" t="str">
        <f aca="false">IFERROR(IF(J$348*J$349*J350&gt;0,AVERAGE(J$348:J$349,J350),""),"")</f>
        <v/>
      </c>
      <c r="K394" s="291" t="str">
        <f aca="false">IFERROR(IF(K$348*K$349*K350&gt;0,AVERAGE(K$348:K$349,K350),""),"")</f>
        <v/>
      </c>
      <c r="L394" s="291" t="str">
        <f aca="false">IFERROR(IF(L$348*L$349*L350&gt;0,AVERAGE(L$348:L$349,L350),""),"")</f>
        <v/>
      </c>
      <c r="M394" s="291" t="str">
        <f aca="false">IFERROR(IF(M$348*M$349*M350&gt;0,AVERAGE(M$348:M$349,M350),""),"")</f>
        <v/>
      </c>
      <c r="N394" s="291" t="str">
        <f aca="false">IFERROR(IF(N$348*N$349*N350&gt;0,AVERAGE(N$348:N$349,N350),""),"")</f>
        <v/>
      </c>
      <c r="O394" s="42"/>
      <c r="P394" s="282"/>
      <c r="Q394" s="188"/>
      <c r="R394" s="293" t="s">
        <v>362</v>
      </c>
      <c r="S394" s="294" t="str">
        <f aca="false">IFERROR(IF(C$348*C$349*C350&gt;0,STDEV(C$348:C$349,C350),"")/IF(C$348*C$349*C350&gt;0,AVERAGE(C$348:C$349,C350),""),"")</f>
        <v/>
      </c>
      <c r="T394" s="294" t="str">
        <f aca="false">IFERROR(IF(D$348*D$349*D350&gt;0,STDEV(D$348:D$349,D350),"")/IF(D$348*D$349*D350&gt;0,AVERAGE(D$348:D$349,D350),""),"")</f>
        <v/>
      </c>
      <c r="U394" s="294" t="str">
        <f aca="false">IFERROR(IF(E$348*E$349*E350&gt;0,STDEV(E$348:E$349,E350),"")/IF(E$348*E$349*E350&gt;0,AVERAGE(E$348:E$349,E350),""),"")</f>
        <v/>
      </c>
      <c r="V394" s="294" t="str">
        <f aca="false">IFERROR(IF(F$348*F$349*F350&gt;0,STDEV(F$348:F$349,F350),"")/IF(F$348*F$349*F350&gt;0,AVERAGE(F$348:F$349,F350),""),"")</f>
        <v/>
      </c>
      <c r="W394" s="294" t="str">
        <f aca="false">IFERROR(IF(G$348*G$349*G350&gt;0,STDEV(G$348:G$349,G350),"")/IF(G$348*G$349*G350&gt;0,AVERAGE(G$348:G$349,G350),""),"")</f>
        <v/>
      </c>
      <c r="X394" s="294" t="str">
        <f aca="false">IFERROR(IF(H$348*H$349*H350&gt;0,STDEV(H$348:H$349,H350),"")/IF(H$348*H$349*H350&gt;0,AVERAGE(H$348:H$349,H350),""),"")</f>
        <v/>
      </c>
      <c r="Y394" s="294" t="str">
        <f aca="false">IFERROR(IF(I$348*I$349*I350&gt;0,STDEV(I$348:I$349,I350),"")/IF(I$348*I$349*I350&gt;0,AVERAGE(I$348:I$349,I350),""),"")</f>
        <v/>
      </c>
      <c r="Z394" s="294" t="str">
        <f aca="false">IFERROR(IF(J$348*J$349*J350&gt;0,STDEV(J$348:J$349,J350),"")/IF(J$348*J$349*J350&gt;0,AVERAGE(J$348:J$349,J350),""),"")</f>
        <v/>
      </c>
      <c r="AA394" s="294" t="str">
        <f aca="false">IFERROR(IF(K$348*K$349*K350&gt;0,STDEV(K$348:K$349,K350),"")/IF(K$348*K$349*K350&gt;0,AVERAGE(K$348:K$349,K350),""),"")</f>
        <v/>
      </c>
      <c r="AB394" s="294" t="str">
        <f aca="false">IFERROR(IF(L$348*L$349*L350&gt;0,STDEV(L$348:L$349,L350),"")/IF(L$348*L$349*L350&gt;0,AVERAGE(L$348:L$349,L350),""),"")</f>
        <v/>
      </c>
      <c r="AC394" s="294" t="str">
        <f aca="false">IFERROR(IF(M$348*M$349*M350&gt;0,STDEV(M$348:M$349,M350),"")/IF(M$348*M$349*M350&gt;0,AVERAGE(M$348:M$349,M350),""),"")</f>
        <v/>
      </c>
      <c r="AD394" s="294" t="str">
        <f aca="false">IFERROR(IF(N$348*N$349*N350&gt;0,STDEV(N$348:N$349,N350),"")/IF(N$348*N$349*N350&gt;0,AVERAGE(N$348:N$349,N350),""),"")</f>
        <v/>
      </c>
      <c r="AE394" s="44"/>
      <c r="AF394" s="266" t="s">
        <v>363</v>
      </c>
      <c r="AG394" s="287" t="str">
        <f aca="false">IFERROR(IF(C$348*C$349*C350&gt;0,STDEV(C$348:C$349,C350)," ")/IF(C$348*C$349*C350&gt;0,SQRT(COUNT(C$348:C$349,C350))," "),"")</f>
        <v/>
      </c>
      <c r="AH394" s="287" t="str">
        <f aca="false">IFERROR(IF(D$348*D$349*D350&gt;0,STDEV(D$348:D$349,D350)," ")/IF(D$348*D$349*D350&gt;0,SQRT(COUNT(D$348:D$349,D350))," "),"")</f>
        <v/>
      </c>
      <c r="AI394" s="287" t="str">
        <f aca="false">IFERROR(IF(E$348*E$349*E350&gt;0,STDEV(E$348:E$349,E350)," ")/IF(E$348*E$349*E350&gt;0,SQRT(COUNT(E$348:E$349,E350))," "),"")</f>
        <v/>
      </c>
      <c r="AJ394" s="287" t="str">
        <f aca="false">IFERROR(IF(F$348*F$349*F350&gt;0,STDEV(F$348:F$349,F350)," ")/IF(F$348*F$349*F350&gt;0,SQRT(COUNT(F$348:F$349,F350))," "),"")</f>
        <v/>
      </c>
      <c r="AK394" s="287" t="str">
        <f aca="false">IFERROR(IF(G$348*G$349*G350&gt;0,STDEV(G$348:G$349,G350)," ")/IF(G$348*G$349*G350&gt;0,SQRT(COUNT(G$348:G$349,G350))," "),"")</f>
        <v/>
      </c>
      <c r="AL394" s="287" t="str">
        <f aca="false">IFERROR(IF(H$348*H$349*H350&gt;0,STDEV(H$348:H$349,H350)," ")/IF(H$348*H$349*H350&gt;0,SQRT(COUNT(H$348:H$349,H350))," "),"")</f>
        <v/>
      </c>
      <c r="AM394" s="287" t="str">
        <f aca="false">IFERROR(IF(I$348*I$349*I350&gt;0,STDEV(I$348:I$349,I350)," ")/IF(I$348*I$349*I350&gt;0,SQRT(COUNT(I$348:I$349,I350))," "),"")</f>
        <v/>
      </c>
      <c r="AN394" s="287" t="str">
        <f aca="false">IFERROR(IF(J$348*J$349*J350&gt;0,STDEV(J$348:J$349,J350)," ")/IF(J$348*J$349*J350&gt;0,SQRT(COUNT(J$348:J$349,J350))," "),"")</f>
        <v/>
      </c>
      <c r="AO394" s="287" t="str">
        <f aca="false">IFERROR(IF(K$348*K$349*K350&gt;0,STDEV(K$348:K$349,K350)," ")/IF(K$348*K$349*K350&gt;0,SQRT(COUNT(K$348:K$349,K350))," "),"")</f>
        <v/>
      </c>
      <c r="AP394" s="287" t="str">
        <f aca="false">IFERROR(IF(L$348*L$349*L350&gt;0,STDEV(L$348:L$349,L350)," ")/IF(L$348*L$349*L350&gt;0,SQRT(COUNT(L$348:L$349,L350))," "),"")</f>
        <v/>
      </c>
      <c r="AQ394" s="287" t="str">
        <f aca="false">IFERROR(IF(M$348*M$349*M350&gt;0,STDEV(M$348:M$349,M350)," ")/IF(M$348*M$349*M350&gt;0,SQRT(COUNT(M$348:M$349,M350))," "),"")</f>
        <v/>
      </c>
      <c r="AR394" s="287" t="str">
        <f aca="false">IFERROR(IF(N$348*N$349*N350&gt;0,STDEV(N$348:N$349,N350)," ")/IF(N$348*N$349*N350&gt;0,SQRT(COUNT(N$348:N$349,N350))," "),"")</f>
        <v/>
      </c>
    </row>
    <row r="395" customFormat="false" ht="15.75" hidden="false" customHeight="false" outlineLevel="0" collapsed="false">
      <c r="A395" s="290" t="s">
        <v>254</v>
      </c>
      <c r="B395" s="281"/>
      <c r="C395" s="291" t="str">
        <f aca="false">IFERROR(IF(C$348*C$349*C351&gt;0,AVERAGE(C$348:C$349,C351),""),"")</f>
        <v/>
      </c>
      <c r="D395" s="291" t="str">
        <f aca="false">IFERROR(IF(D$348*D$349*D351&gt;0,AVERAGE(D$348:D$349,D351),""),"")</f>
        <v/>
      </c>
      <c r="E395" s="291" t="str">
        <f aca="false">IFERROR(IF(E$348*E$349*E351&gt;0,AVERAGE(E$348:E$349,E351),""),"")</f>
        <v/>
      </c>
      <c r="F395" s="291" t="str">
        <f aca="false">IFERROR(IF(F$348*F$349*F351&gt;0,AVERAGE(F$348:F$349,F351),""),"")</f>
        <v/>
      </c>
      <c r="G395" s="291" t="str">
        <f aca="false">IFERROR(IF(G$348*G$349*G351&gt;0,AVERAGE(G$348:G$349,G351),""),"")</f>
        <v/>
      </c>
      <c r="H395" s="291" t="str">
        <f aca="false">IFERROR(IF(H$348*H$349*H351&gt;0,AVERAGE(H$348:H$349,H351),""),"")</f>
        <v/>
      </c>
      <c r="I395" s="291" t="str">
        <f aca="false">IFERROR(IF(I$348*I$349*I351&gt;0,AVERAGE(I$348:I$349,I351),""),"")</f>
        <v/>
      </c>
      <c r="J395" s="291" t="str">
        <f aca="false">IFERROR(IF(J$348*J$349*J351&gt;0,AVERAGE(J$348:J$349,J351),""),"")</f>
        <v/>
      </c>
      <c r="K395" s="291" t="str">
        <f aca="false">IFERROR(IF(K$348*K$349*K351&gt;0,AVERAGE(K$348:K$349,K351),""),"")</f>
        <v/>
      </c>
      <c r="L395" s="291" t="str">
        <f aca="false">IFERROR(IF(L$348*L$349*L351&gt;0,AVERAGE(L$348:L$349,L351),""),"")</f>
        <v/>
      </c>
      <c r="M395" s="291" t="str">
        <f aca="false">IFERROR(IF(M$348*M$349*M351&gt;0,AVERAGE(M$348:M$349,M351),""),"")</f>
        <v/>
      </c>
      <c r="N395" s="291" t="str">
        <f aca="false">IFERROR(IF(N$348*N$349*N351&gt;0,AVERAGE(N$348:N$349,N351),""),"")</f>
        <v/>
      </c>
      <c r="O395" s="282"/>
      <c r="P395" s="282"/>
      <c r="Q395" s="296"/>
      <c r="R395" s="293" t="s">
        <v>364</v>
      </c>
      <c r="S395" s="294" t="str">
        <f aca="false">IFERROR(IF(C$348*C$349*C351&gt;0,STDEV(C$348:C$349,C351),"")/IF(C$348*C$349*C351&gt;0,AVERAGE(C$348:C$349,C351),""),"")</f>
        <v/>
      </c>
      <c r="T395" s="294" t="str">
        <f aca="false">IFERROR(IF(D$348*D$349*D351&gt;0,STDEV(D$348:D$349,D351),"")/IF(D$348*D$349*D351&gt;0,AVERAGE(D$348:D$349,D351),""),"")</f>
        <v/>
      </c>
      <c r="U395" s="294" t="str">
        <f aca="false">IFERROR(IF(E$348*E$349*E351&gt;0,STDEV(E$348:E$349,E351),"")/IF(E$348*E$349*E351&gt;0,AVERAGE(E$348:E$349,E351),""),"")</f>
        <v/>
      </c>
      <c r="V395" s="294" t="str">
        <f aca="false">IFERROR(IF(F$348*F$349*F351&gt;0,STDEV(F$348:F$349,F351),"")/IF(F$348*F$349*F351&gt;0,AVERAGE(F$348:F$349,F351),""),"")</f>
        <v/>
      </c>
      <c r="W395" s="294" t="str">
        <f aca="false">IFERROR(IF(G$348*G$349*G351&gt;0,STDEV(G$348:G$349,G351),"")/IF(G$348*G$349*G351&gt;0,AVERAGE(G$348:G$349,G351),""),"")</f>
        <v/>
      </c>
      <c r="X395" s="294" t="str">
        <f aca="false">IFERROR(IF(H$348*H$349*H351&gt;0,STDEV(H$348:H$349,H351),"")/IF(H$348*H$349*H351&gt;0,AVERAGE(H$348:H$349,H351),""),"")</f>
        <v/>
      </c>
      <c r="Y395" s="294" t="str">
        <f aca="false">IFERROR(IF(I$348*I$349*I351&gt;0,STDEV(I$348:I$349,I351),"")/IF(I$348*I$349*I351&gt;0,AVERAGE(I$348:I$349,I351),""),"")</f>
        <v/>
      </c>
      <c r="Z395" s="294" t="str">
        <f aca="false">IFERROR(IF(J$348*J$349*J351&gt;0,STDEV(J$348:J$349,J351),"")/IF(J$348*J$349*J351&gt;0,AVERAGE(J$348:J$349,J351),""),"")</f>
        <v/>
      </c>
      <c r="AA395" s="294" t="str">
        <f aca="false">IFERROR(IF(K$348*K$349*K351&gt;0,STDEV(K$348:K$349,K351),"")/IF(K$348*K$349*K351&gt;0,AVERAGE(K$348:K$349,K351),""),"")</f>
        <v/>
      </c>
      <c r="AB395" s="294" t="str">
        <f aca="false">IFERROR(IF(L$348*L$349*L351&gt;0,STDEV(L$348:L$349,L351),"")/IF(L$348*L$349*L351&gt;0,AVERAGE(L$348:L$349,L351),""),"")</f>
        <v/>
      </c>
      <c r="AC395" s="294" t="str">
        <f aca="false">IFERROR(IF(M$348*M$349*M351&gt;0,STDEV(M$348:M$349,M351),"")/IF(M$348*M$349*M351&gt;0,AVERAGE(M$348:M$349,M351),""),"")</f>
        <v/>
      </c>
      <c r="AD395" s="294" t="str">
        <f aca="false">IFERROR(IF(N$348*N$349*N351&gt;0,STDEV(N$348:N$349,N351),"")/IF(N$348*N$349*N351&gt;0,AVERAGE(N$348:N$349,N351),""),"")</f>
        <v/>
      </c>
      <c r="AE395" s="115"/>
      <c r="AF395" s="266" t="s">
        <v>365</v>
      </c>
      <c r="AG395" s="287" t="str">
        <f aca="false">IFERROR(IF(C$348*C$349*C351&gt;0,STDEV(C$348:C$349,C351)," ")/IF(C$348*C$349*C351&gt;0,SQRT(COUNT(C$348:C$349,C351))," "),"")</f>
        <v/>
      </c>
      <c r="AH395" s="287" t="str">
        <f aca="false">IFERROR(IF(D$348*D$349*D351&gt;0,STDEV(D$348:D$349,D351)," ")/IF(D$348*D$349*D351&gt;0,SQRT(COUNT(D$348:D$349,D351))," "),"")</f>
        <v/>
      </c>
      <c r="AI395" s="287" t="str">
        <f aca="false">IFERROR(IF(E$348*E$349*E351&gt;0,STDEV(E$348:E$349,E351)," ")/IF(E$348*E$349*E351&gt;0,SQRT(COUNT(E$348:E$349,E351))," "),"")</f>
        <v/>
      </c>
      <c r="AJ395" s="287" t="str">
        <f aca="false">IFERROR(IF(F$348*F$349*F351&gt;0,STDEV(F$348:F$349,F351)," ")/IF(F$348*F$349*F351&gt;0,SQRT(COUNT(F$348:F$349,F351))," "),"")</f>
        <v/>
      </c>
      <c r="AK395" s="287" t="str">
        <f aca="false">IFERROR(IF(G$348*G$349*G351&gt;0,STDEV(G$348:G$349,G351)," ")/IF(G$348*G$349*G351&gt;0,SQRT(COUNT(G$348:G$349,G351))," "),"")</f>
        <v/>
      </c>
      <c r="AL395" s="287" t="str">
        <f aca="false">IFERROR(IF(H$348*H$349*H351&gt;0,STDEV(H$348:H$349,H351)," ")/IF(H$348*H$349*H351&gt;0,SQRT(COUNT(H$348:H$349,H351))," "),"")</f>
        <v/>
      </c>
      <c r="AM395" s="287" t="str">
        <f aca="false">IFERROR(IF(I$348*I$349*I351&gt;0,STDEV(I$348:I$349,I351)," ")/IF(I$348*I$349*I351&gt;0,SQRT(COUNT(I$348:I$349,I351))," "),"")</f>
        <v/>
      </c>
      <c r="AN395" s="287" t="str">
        <f aca="false">IFERROR(IF(J$348*J$349*J351&gt;0,STDEV(J$348:J$349,J351)," ")/IF(J$348*J$349*J351&gt;0,SQRT(COUNT(J$348:J$349,J351))," "),"")</f>
        <v/>
      </c>
      <c r="AO395" s="287" t="str">
        <f aca="false">IFERROR(IF(K$348*K$349*K351&gt;0,STDEV(K$348:K$349,K351)," ")/IF(K$348*K$349*K351&gt;0,SQRT(COUNT(K$348:K$349,K351))," "),"")</f>
        <v/>
      </c>
      <c r="AP395" s="287" t="str">
        <f aca="false">IFERROR(IF(L$348*L$349*L351&gt;0,STDEV(L$348:L$349,L351)," ")/IF(L$348*L$349*L351&gt;0,SQRT(COUNT(L$348:L$349,L351))," "),"")</f>
        <v/>
      </c>
      <c r="AQ395" s="287" t="str">
        <f aca="false">IFERROR(IF(M$348*M$349*M351&gt;0,STDEV(M$348:M$349,M351)," ")/IF(M$348*M$349*M351&gt;0,SQRT(COUNT(M$348:M$349,M351))," "),"")</f>
        <v/>
      </c>
      <c r="AR395" s="287" t="str">
        <f aca="false">IFERROR(IF(N$348*N$349*N351&gt;0,STDEV(N$348:N$349,N351)," ")/IF(N$348*N$349*N351&gt;0,SQRT(COUNT(N$348:N$349,N351))," "),"")</f>
        <v/>
      </c>
    </row>
    <row r="396" customFormat="false" ht="15.75" hidden="false" customHeight="false" outlineLevel="0" collapsed="false">
      <c r="A396" s="290" t="s">
        <v>255</v>
      </c>
      <c r="B396" s="281"/>
      <c r="C396" s="291" t="str">
        <f aca="false">IFERROR(IF(C$348*C$349*C352&gt;0,AVERAGE(C$348:C$349,C352),""),"")</f>
        <v/>
      </c>
      <c r="D396" s="291" t="str">
        <f aca="false">IFERROR(IF(D$348*D$349*D352&gt;0,AVERAGE(D$348:D$349,D352),""),"")</f>
        <v/>
      </c>
      <c r="E396" s="291" t="str">
        <f aca="false">IFERROR(IF(E$348*E$349*E352&gt;0,AVERAGE(E$348:E$349,E352),""),"")</f>
        <v/>
      </c>
      <c r="F396" s="291" t="str">
        <f aca="false">IFERROR(IF(F$348*F$349*F352&gt;0,AVERAGE(F$348:F$349,F352),""),"")</f>
        <v/>
      </c>
      <c r="G396" s="291" t="str">
        <f aca="false">IFERROR(IF(G$348*G$349*G352&gt;0,AVERAGE(G$348:G$349,G352),""),"")</f>
        <v/>
      </c>
      <c r="H396" s="291" t="str">
        <f aca="false">IFERROR(IF(H$348*H$349*H352&gt;0,AVERAGE(H$348:H$349,H352),""),"")</f>
        <v/>
      </c>
      <c r="I396" s="291" t="str">
        <f aca="false">IFERROR(IF(I$348*I$349*I352&gt;0,AVERAGE(I$348:I$349,I352),""),"")</f>
        <v/>
      </c>
      <c r="J396" s="291" t="str">
        <f aca="false">IFERROR(IF(J$348*J$349*J352&gt;0,AVERAGE(J$348:J$349,J352),""),"")</f>
        <v/>
      </c>
      <c r="K396" s="291" t="str">
        <f aca="false">IFERROR(IF(K$348*K$349*K352&gt;0,AVERAGE(K$348:K$349,K352),""),"")</f>
        <v/>
      </c>
      <c r="L396" s="291" t="str">
        <f aca="false">IFERROR(IF(L$348*L$349*L352&gt;0,AVERAGE(L$348:L$349,L352),""),"")</f>
        <v/>
      </c>
      <c r="M396" s="291" t="str">
        <f aca="false">IFERROR(IF(M$348*M$349*M352&gt;0,AVERAGE(M$348:M$349,M352),""),"")</f>
        <v/>
      </c>
      <c r="N396" s="291" t="str">
        <f aca="false">IFERROR(IF(N$348*N$349*N352&gt;0,AVERAGE(N$348:N$349,N352),""),"")</f>
        <v/>
      </c>
      <c r="O396" s="295"/>
      <c r="P396" s="282"/>
      <c r="Q396" s="296"/>
      <c r="R396" s="293" t="s">
        <v>366</v>
      </c>
      <c r="S396" s="294" t="str">
        <f aca="false">IFERROR(IF(C$348*C$349*C352&gt;0,STDEV(C$348:C$349,C352),"")/IF(C$348*C$349*C352&gt;0,AVERAGE(C$348:C$349,C352),""),"")</f>
        <v/>
      </c>
      <c r="T396" s="294" t="str">
        <f aca="false">IFERROR(IF(D$348*D$349*D352&gt;0,STDEV(D$348:D$349,D352),"")/IF(D$348*D$349*D352&gt;0,AVERAGE(D$348:D$349,D352),""),"")</f>
        <v/>
      </c>
      <c r="U396" s="294" t="str">
        <f aca="false">IFERROR(IF(E$348*E$349*E352&gt;0,STDEV(E$348:E$349,E352),"")/IF(E$348*E$349*E352&gt;0,AVERAGE(E$348:E$349,E352),""),"")</f>
        <v/>
      </c>
      <c r="V396" s="294" t="str">
        <f aca="false">IFERROR(IF(F$348*F$349*F352&gt;0,STDEV(F$348:F$349,F352),"")/IF(F$348*F$349*F352&gt;0,AVERAGE(F$348:F$349,F352),""),"")</f>
        <v/>
      </c>
      <c r="W396" s="294" t="str">
        <f aca="false">IFERROR(IF(G$348*G$349*G352&gt;0,STDEV(G$348:G$349,G352),"")/IF(G$348*G$349*G352&gt;0,AVERAGE(G$348:G$349,G352),""),"")</f>
        <v/>
      </c>
      <c r="X396" s="294" t="str">
        <f aca="false">IFERROR(IF(H$348*H$349*H352&gt;0,STDEV(H$348:H$349,H352),"")/IF(H$348*H$349*H352&gt;0,AVERAGE(H$348:H$349,H352),""),"")</f>
        <v/>
      </c>
      <c r="Y396" s="294" t="str">
        <f aca="false">IFERROR(IF(I$348*I$349*I352&gt;0,STDEV(I$348:I$349,I352),"")/IF(I$348*I$349*I352&gt;0,AVERAGE(I$348:I$349,I352),""),"")</f>
        <v/>
      </c>
      <c r="Z396" s="294" t="str">
        <f aca="false">IFERROR(IF(J$348*J$349*J352&gt;0,STDEV(J$348:J$349,J352),"")/IF(J$348*J$349*J352&gt;0,AVERAGE(J$348:J$349,J352),""),"")</f>
        <v/>
      </c>
      <c r="AA396" s="294" t="str">
        <f aca="false">IFERROR(IF(K$348*K$349*K352&gt;0,STDEV(K$348:K$349,K352),"")/IF(K$348*K$349*K352&gt;0,AVERAGE(K$348:K$349,K352),""),"")</f>
        <v/>
      </c>
      <c r="AB396" s="294" t="str">
        <f aca="false">IFERROR(IF(L$348*L$349*L352&gt;0,STDEV(L$348:L$349,L352),"")/IF(L$348*L$349*L352&gt;0,AVERAGE(L$348:L$349,L352),""),"")</f>
        <v/>
      </c>
      <c r="AC396" s="294" t="str">
        <f aca="false">IFERROR(IF(M$348*M$349*M352&gt;0,STDEV(M$348:M$349,M352),"")/IF(M$348*M$349*M352&gt;0,AVERAGE(M$348:M$349,M352),""),"")</f>
        <v/>
      </c>
      <c r="AD396" s="294" t="str">
        <f aca="false">IFERROR(IF(N$348*N$349*N352&gt;0,STDEV(N$348:N$349,N352),"")/IF(N$348*N$349*N352&gt;0,AVERAGE(N$348:N$349,N352),""),"")</f>
        <v/>
      </c>
      <c r="AE396" s="120"/>
      <c r="AF396" s="266" t="s">
        <v>367</v>
      </c>
      <c r="AG396" s="287" t="str">
        <f aca="false">IFERROR(IF(C$348*C$349*C352&gt;0,STDEV(C$348:C$349,C352)," ")/IF(C$348*C$349*C352&gt;0,SQRT(COUNT(C$348:C$349,C352))," "),"")</f>
        <v/>
      </c>
      <c r="AH396" s="287" t="str">
        <f aca="false">IFERROR(IF(D$348*D$349*D352&gt;0,STDEV(D$348:D$349,D352)," ")/IF(D$348*D$349*D352&gt;0,SQRT(COUNT(D$348:D$349,D352))," "),"")</f>
        <v/>
      </c>
      <c r="AI396" s="287" t="str">
        <f aca="false">IFERROR(IF(E$348*E$349*E352&gt;0,STDEV(E$348:E$349,E352)," ")/IF(E$348*E$349*E352&gt;0,SQRT(COUNT(E$348:E$349,E352))," "),"")</f>
        <v/>
      </c>
      <c r="AJ396" s="287" t="str">
        <f aca="false">IFERROR(IF(F$348*F$349*F352&gt;0,STDEV(F$348:F$349,F352)," ")/IF(F$348*F$349*F352&gt;0,SQRT(COUNT(F$348:F$349,F352))," "),"")</f>
        <v/>
      </c>
      <c r="AK396" s="287" t="str">
        <f aca="false">IFERROR(IF(G$348*G$349*G352&gt;0,STDEV(G$348:G$349,G352)," ")/IF(G$348*G$349*G352&gt;0,SQRT(COUNT(G$348:G$349,G352))," "),"")</f>
        <v/>
      </c>
      <c r="AL396" s="287" t="str">
        <f aca="false">IFERROR(IF(H$348*H$349*H352&gt;0,STDEV(H$348:H$349,H352)," ")/IF(H$348*H$349*H352&gt;0,SQRT(COUNT(H$348:H$349,H352))," "),"")</f>
        <v/>
      </c>
      <c r="AM396" s="287" t="str">
        <f aca="false">IFERROR(IF(I$348*I$349*I352&gt;0,STDEV(I$348:I$349,I352)," ")/IF(I$348*I$349*I352&gt;0,SQRT(COUNT(I$348:I$349,I352))," "),"")</f>
        <v/>
      </c>
      <c r="AN396" s="287" t="str">
        <f aca="false">IFERROR(IF(J$348*J$349*J352&gt;0,STDEV(J$348:J$349,J352)," ")/IF(J$348*J$349*J352&gt;0,SQRT(COUNT(J$348:J$349,J352))," "),"")</f>
        <v/>
      </c>
      <c r="AO396" s="287" t="str">
        <f aca="false">IFERROR(IF(K$348*K$349*K352&gt;0,STDEV(K$348:K$349,K352)," ")/IF(K$348*K$349*K352&gt;0,SQRT(COUNT(K$348:K$349,K352))," "),"")</f>
        <v/>
      </c>
      <c r="AP396" s="287" t="str">
        <f aca="false">IFERROR(IF(L$348*L$349*L352&gt;0,STDEV(L$348:L$349,L352)," ")/IF(L$348*L$349*L352&gt;0,SQRT(COUNT(L$348:L$349,L352))," "),"")</f>
        <v/>
      </c>
      <c r="AQ396" s="287" t="str">
        <f aca="false">IFERROR(IF(M$348*M$349*M352&gt;0,STDEV(M$348:M$349,M352)," ")/IF(M$348*M$349*M352&gt;0,SQRT(COUNT(M$348:M$349,M352))," "),"")</f>
        <v/>
      </c>
      <c r="AR396" s="287" t="str">
        <f aca="false">IFERROR(IF(N$348*N$349*N352&gt;0,STDEV(N$348:N$349,N352)," ")/IF(N$348*N$349*N352&gt;0,SQRT(COUNT(N$348:N$349,N352))," "),"")</f>
        <v/>
      </c>
    </row>
    <row r="397" customFormat="false" ht="15.75" hidden="false" customHeight="false" outlineLevel="0" collapsed="false">
      <c r="A397" s="290" t="s">
        <v>256</v>
      </c>
      <c r="B397" s="281"/>
      <c r="C397" s="291" t="str">
        <f aca="false">IFERROR(IF(C$348*C$349*C353&gt;0,AVERAGE(C$348:C$349,C353),""),"")</f>
        <v/>
      </c>
      <c r="D397" s="291" t="str">
        <f aca="false">IFERROR(IF(D$348*D$349*D353&gt;0,AVERAGE(D$348:D$349,D353),""),"")</f>
        <v/>
      </c>
      <c r="E397" s="291" t="str">
        <f aca="false">IFERROR(IF(E$348*E$349*E353&gt;0,AVERAGE(E$348:E$349,E353),""),"")</f>
        <v/>
      </c>
      <c r="F397" s="291" t="str">
        <f aca="false">IFERROR(IF(F$348*F$349*F353&gt;0,AVERAGE(F$348:F$349,F353),""),"")</f>
        <v/>
      </c>
      <c r="G397" s="291" t="str">
        <f aca="false">IFERROR(IF(G$348*G$349*G353&gt;0,AVERAGE(G$348:G$349,G353),""),"")</f>
        <v/>
      </c>
      <c r="H397" s="291" t="str">
        <f aca="false">IFERROR(IF(H$348*H$349*H353&gt;0,AVERAGE(H$348:H$349,H353),""),"")</f>
        <v/>
      </c>
      <c r="I397" s="291" t="str">
        <f aca="false">IFERROR(IF(I$348*I$349*I353&gt;0,AVERAGE(I$348:I$349,I353),""),"")</f>
        <v/>
      </c>
      <c r="J397" s="291" t="str">
        <f aca="false">IFERROR(IF(J$348*J$349*J353&gt;0,AVERAGE(J$348:J$349,J353),""),"")</f>
        <v/>
      </c>
      <c r="K397" s="291" t="str">
        <f aca="false">IFERROR(IF(K$348*K$349*K353&gt;0,AVERAGE(K$348:K$349,K353),""),"")</f>
        <v/>
      </c>
      <c r="L397" s="291" t="str">
        <f aca="false">IFERROR(IF(L$348*L$349*L353&gt;0,AVERAGE(L$348:L$349,L353),""),"")</f>
        <v/>
      </c>
      <c r="M397" s="291" t="str">
        <f aca="false">IFERROR(IF(M$348*M$349*M353&gt;0,AVERAGE(M$348:M$349,M353),""),"")</f>
        <v/>
      </c>
      <c r="N397" s="291" t="str">
        <f aca="false">IFERROR(IF(N$348*N$349*N353&gt;0,AVERAGE(N$348:N$349,N353),""),"")</f>
        <v/>
      </c>
      <c r="O397" s="295"/>
      <c r="P397" s="282"/>
      <c r="Q397" s="296"/>
      <c r="R397" s="293" t="s">
        <v>368</v>
      </c>
      <c r="S397" s="294" t="str">
        <f aca="false">IFERROR(IF(C$348*C$349*C353&gt;0,STDEV(C$348:C$349,C353),"")/IF(C$348*C$349*C353&gt;0,AVERAGE(C$348:C$349,C353),""),"")</f>
        <v/>
      </c>
      <c r="T397" s="294" t="str">
        <f aca="false">IFERROR(IF(D$348*D$349*D353&gt;0,STDEV(D$348:D$349,D353),"")/IF(D$348*D$349*D353&gt;0,AVERAGE(D$348:D$349,D353),""),"")</f>
        <v/>
      </c>
      <c r="U397" s="294" t="str">
        <f aca="false">IFERROR(IF(E$348*E$349*E353&gt;0,STDEV(E$348:E$349,E353),"")/IF(E$348*E$349*E353&gt;0,AVERAGE(E$348:E$349,E353),""),"")</f>
        <v/>
      </c>
      <c r="V397" s="294" t="str">
        <f aca="false">IFERROR(IF(F$348*F$349*F353&gt;0,STDEV(F$348:F$349,F353),"")/IF(F$348*F$349*F353&gt;0,AVERAGE(F$348:F$349,F353),""),"")</f>
        <v/>
      </c>
      <c r="W397" s="294" t="str">
        <f aca="false">IFERROR(IF(G$348*G$349*G353&gt;0,STDEV(G$348:G$349,G353),"")/IF(G$348*G$349*G353&gt;0,AVERAGE(G$348:G$349,G353),""),"")</f>
        <v/>
      </c>
      <c r="X397" s="294" t="str">
        <f aca="false">IFERROR(IF(H$348*H$349*H353&gt;0,STDEV(H$348:H$349,H353),"")/IF(H$348*H$349*H353&gt;0,AVERAGE(H$348:H$349,H353),""),"")</f>
        <v/>
      </c>
      <c r="Y397" s="294" t="str">
        <f aca="false">IFERROR(IF(I$348*I$349*I353&gt;0,STDEV(I$348:I$349,I353),"")/IF(I$348*I$349*I353&gt;0,AVERAGE(I$348:I$349,I353),""),"")</f>
        <v/>
      </c>
      <c r="Z397" s="294" t="str">
        <f aca="false">IFERROR(IF(J$348*J$349*J353&gt;0,STDEV(J$348:J$349,J353),"")/IF(J$348*J$349*J353&gt;0,AVERAGE(J$348:J$349,J353),""),"")</f>
        <v/>
      </c>
      <c r="AA397" s="294" t="str">
        <f aca="false">IFERROR(IF(K$348*K$349*K353&gt;0,STDEV(K$348:K$349,K353),"")/IF(K$348*K$349*K353&gt;0,AVERAGE(K$348:K$349,K353),""),"")</f>
        <v/>
      </c>
      <c r="AB397" s="294" t="str">
        <f aca="false">IFERROR(IF(L$348*L$349*L353&gt;0,STDEV(L$348:L$349,L353),"")/IF(L$348*L$349*L353&gt;0,AVERAGE(L$348:L$349,L353),""),"")</f>
        <v/>
      </c>
      <c r="AC397" s="294" t="str">
        <f aca="false">IFERROR(IF(M$348*M$349*M353&gt;0,STDEV(M$348:M$349,M353),"")/IF(M$348*M$349*M353&gt;0,AVERAGE(M$348:M$349,M353),""),"")</f>
        <v/>
      </c>
      <c r="AD397" s="294" t="str">
        <f aca="false">IFERROR(IF(N$348*N$349*N353&gt;0,STDEV(N$348:N$349,N353),"")/IF(N$348*N$349*N353&gt;0,AVERAGE(N$348:N$349,N353),""),"")</f>
        <v/>
      </c>
      <c r="AE397" s="120"/>
      <c r="AF397" s="266" t="s">
        <v>369</v>
      </c>
      <c r="AG397" s="287" t="str">
        <f aca="false">IFERROR(IF(C$348*C$349*C353&gt;0,STDEV(C$348:C$349,C353)," ")/IF(C$348*C$349*C353&gt;0,SQRT(COUNT(C$348:C$349,C353))," "),"")</f>
        <v/>
      </c>
      <c r="AH397" s="287" t="str">
        <f aca="false">IFERROR(IF(D$348*D$349*D353&gt;0,STDEV(D$348:D$349,D353)," ")/IF(D$348*D$349*D353&gt;0,SQRT(COUNT(D$348:D$349,D353))," "),"")</f>
        <v/>
      </c>
      <c r="AI397" s="287" t="str">
        <f aca="false">IFERROR(IF(E$348*E$349*E353&gt;0,STDEV(E$348:E$349,E353)," ")/IF(E$348*E$349*E353&gt;0,SQRT(COUNT(E$348:E$349,E353))," "),"")</f>
        <v/>
      </c>
      <c r="AJ397" s="287" t="str">
        <f aca="false">IFERROR(IF(F$348*F$349*F353&gt;0,STDEV(F$348:F$349,F353)," ")/IF(F$348*F$349*F353&gt;0,SQRT(COUNT(F$348:F$349,F353))," "),"")</f>
        <v/>
      </c>
      <c r="AK397" s="287" t="str">
        <f aca="false">IFERROR(IF(G$348*G$349*G353&gt;0,STDEV(G$348:G$349,G353)," ")/IF(G$348*G$349*G353&gt;0,SQRT(COUNT(G$348:G$349,G353))," "),"")</f>
        <v/>
      </c>
      <c r="AL397" s="287" t="str">
        <f aca="false">IFERROR(IF(H$348*H$349*H353&gt;0,STDEV(H$348:H$349,H353)," ")/IF(H$348*H$349*H353&gt;0,SQRT(COUNT(H$348:H$349,H353))," "),"")</f>
        <v/>
      </c>
      <c r="AM397" s="287" t="str">
        <f aca="false">IFERROR(IF(I$348*I$349*I353&gt;0,STDEV(I$348:I$349,I353)," ")/IF(I$348*I$349*I353&gt;0,SQRT(COUNT(I$348:I$349,I353))," "),"")</f>
        <v/>
      </c>
      <c r="AN397" s="287" t="str">
        <f aca="false">IFERROR(IF(J$348*J$349*J353&gt;0,STDEV(J$348:J$349,J353)," ")/IF(J$348*J$349*J353&gt;0,SQRT(COUNT(J$348:J$349,J353))," "),"")</f>
        <v/>
      </c>
      <c r="AO397" s="287" t="str">
        <f aca="false">IFERROR(IF(K$348*K$349*K353&gt;0,STDEV(K$348:K$349,K353)," ")/IF(K$348*K$349*K353&gt;0,SQRT(COUNT(K$348:K$349,K353))," "),"")</f>
        <v/>
      </c>
      <c r="AP397" s="287" t="str">
        <f aca="false">IFERROR(IF(L$348*L$349*L353&gt;0,STDEV(L$348:L$349,L353)," ")/IF(L$348*L$349*L353&gt;0,SQRT(COUNT(L$348:L$349,L353))," "),"")</f>
        <v/>
      </c>
      <c r="AQ397" s="287" t="str">
        <f aca="false">IFERROR(IF(M$348*M$349*M353&gt;0,STDEV(M$348:M$349,M353)," ")/IF(M$348*M$349*M353&gt;0,SQRT(COUNT(M$348:M$349,M353))," "),"")</f>
        <v/>
      </c>
      <c r="AR397" s="287" t="str">
        <f aca="false">IFERROR(IF(N$348*N$349*N353&gt;0,STDEV(N$348:N$349,N353)," ")/IF(N$348*N$349*N353&gt;0,SQRT(COUNT(N$348:N$349,N353))," "),"")</f>
        <v/>
      </c>
    </row>
    <row r="398" customFormat="false" ht="15.75" hidden="false" customHeight="false" outlineLevel="0" collapsed="false">
      <c r="A398" s="290" t="s">
        <v>257</v>
      </c>
      <c r="B398" s="281"/>
      <c r="C398" s="291" t="str">
        <f aca="false">IFERROR(IF(C$349*C$350*C347&gt;0,AVERAGE(C$349:C$350,C347),""),"")</f>
        <v/>
      </c>
      <c r="D398" s="291" t="str">
        <f aca="false">IFERROR(IF(D$349*D$350*D347&gt;0,AVERAGE(D$349:D$350,D347),""),"")</f>
        <v/>
      </c>
      <c r="E398" s="291" t="str">
        <f aca="false">IFERROR(IF(E$349*E$350*E347&gt;0,AVERAGE(E$349:E$350,E347),""),"")</f>
        <v/>
      </c>
      <c r="F398" s="291" t="str">
        <f aca="false">IFERROR(IF(F$349*F$350*F347&gt;0,AVERAGE(F$349:F$350,F347),""),"")</f>
        <v/>
      </c>
      <c r="G398" s="291" t="str">
        <f aca="false">IFERROR(IF(G$349*G$350*G347&gt;0,AVERAGE(G$349:G$350,G347),""),"")</f>
        <v/>
      </c>
      <c r="H398" s="291" t="str">
        <f aca="false">IFERROR(IF(H$349*H$350*H347&gt;0,AVERAGE(H$349:H$350,H347),""),"")</f>
        <v/>
      </c>
      <c r="I398" s="291" t="str">
        <f aca="false">IFERROR(IF(I$349*I$350*I347&gt;0,AVERAGE(I$349:I$350,I347),""),"")</f>
        <v/>
      </c>
      <c r="J398" s="291" t="str">
        <f aca="false">IFERROR(IF(J$349*J$350*J347&gt;0,AVERAGE(J$349:J$350,J347),""),"")</f>
        <v/>
      </c>
      <c r="K398" s="291" t="str">
        <f aca="false">IFERROR(IF(K$349*K$350*K347&gt;0,AVERAGE(K$349:K$350,K347),""),"")</f>
        <v/>
      </c>
      <c r="L398" s="291" t="str">
        <f aca="false">IFERROR(IF(L$349*L$350*L347&gt;0,AVERAGE(L$349:L$350,L347),""),"")</f>
        <v/>
      </c>
      <c r="M398" s="291" t="str">
        <f aca="false">IFERROR(IF(M$349*M$350*M347&gt;0,AVERAGE(M$349:M$350,M347),""),"")</f>
        <v/>
      </c>
      <c r="N398" s="291" t="str">
        <f aca="false">IFERROR(IF(N$349*N$350*N347&gt;0,AVERAGE(N$349:N$350,N347),""),"")</f>
        <v/>
      </c>
      <c r="O398" s="295"/>
      <c r="P398" s="282"/>
      <c r="Q398" s="296"/>
      <c r="R398" s="293" t="s">
        <v>370</v>
      </c>
      <c r="S398" s="294" t="str">
        <f aca="false">IFERROR(IF(C$349*C$350*C347&gt;0,STDEV(C$349:C$350,C347),"")/IF(C$349*C$350*C347&gt;0,AVERAGE(C$349:C$350,C347),""),"")</f>
        <v/>
      </c>
      <c r="T398" s="294" t="str">
        <f aca="false">IFERROR(IF(D$349*D$350*D347&gt;0,STDEV(D$349:D$350,D347),"")/IF(D$349*D$350*D347&gt;0,AVERAGE(D$349:D$350,D347),""),"")</f>
        <v/>
      </c>
      <c r="U398" s="294" t="str">
        <f aca="false">IFERROR(IF(E$349*E$350*E347&gt;0,STDEV(E$349:E$350,E347),"")/IF(E$349*E$350*E347&gt;0,AVERAGE(E$349:E$350,E347),""),"")</f>
        <v/>
      </c>
      <c r="V398" s="294" t="str">
        <f aca="false">IFERROR(IF(F$349*F$350*F347&gt;0,STDEV(F$349:F$350,F347),"")/IF(F$349*F$350*F347&gt;0,AVERAGE(F$349:F$350,F347),""),"")</f>
        <v/>
      </c>
      <c r="W398" s="294" t="str">
        <f aca="false">IFERROR(IF(G$349*G$350*G347&gt;0,STDEV(G$349:G$350,G347),"")/IF(G$349*G$350*G347&gt;0,AVERAGE(G$349:G$350,G347),""),"")</f>
        <v/>
      </c>
      <c r="X398" s="294" t="str">
        <f aca="false">IFERROR(IF(H$349*H$350*H347&gt;0,STDEV(H$349:H$350,H347),"")/IF(H$349*H$350*H347&gt;0,AVERAGE(H$349:H$350,H347),""),"")</f>
        <v/>
      </c>
      <c r="Y398" s="294" t="str">
        <f aca="false">IFERROR(IF(I$349*I$350*I347&gt;0,STDEV(I$349:I$350,I347),"")/IF(I$349*I$350*I347&gt;0,AVERAGE(I$349:I$350,I347),""),"")</f>
        <v/>
      </c>
      <c r="Z398" s="294" t="str">
        <f aca="false">IFERROR(IF(J$349*J$350*J347&gt;0,STDEV(J$349:J$350,J347),"")/IF(J$349*J$350*J347&gt;0,AVERAGE(J$349:J$350,J347),""),"")</f>
        <v/>
      </c>
      <c r="AA398" s="294" t="str">
        <f aca="false">IFERROR(IF(K$349*K$350*K347&gt;0,STDEV(K$349:K$350,K347),"")/IF(K$349*K$350*K347&gt;0,AVERAGE(K$349:K$350,K347),""),"")</f>
        <v/>
      </c>
      <c r="AB398" s="294" t="str">
        <f aca="false">IFERROR(IF(L$349*L$350*L347&gt;0,STDEV(L$349:L$350,L347),"")/IF(L$349*L$350*L347&gt;0,AVERAGE(L$349:L$350,L347),""),"")</f>
        <v/>
      </c>
      <c r="AC398" s="294" t="str">
        <f aca="false">IFERROR(IF(M$349*M$350*M347&gt;0,STDEV(M$349:M$350,M347),"")/IF(M$349*M$350*M347&gt;0,AVERAGE(M$349:M$350,M347),""),"")</f>
        <v/>
      </c>
      <c r="AD398" s="294" t="str">
        <f aca="false">IFERROR(IF(N$349*N$350*N347&gt;0,STDEV(N$349:N$350,N347),"")/IF(N$349*N$350*N347&gt;0,AVERAGE(N$349:N$350,N347),""),"")</f>
        <v/>
      </c>
      <c r="AE398" s="120"/>
      <c r="AF398" s="266" t="s">
        <v>371</v>
      </c>
      <c r="AG398" s="287" t="str">
        <f aca="false">IFERROR(IF(C$349*C$350*C347&gt;0,STDEV(C$349:C$350,C347)," ")/IF(C$349*C$350*C347&gt;0,SQRT(COUNT(C$349:C$350,C347))," "),"")</f>
        <v/>
      </c>
      <c r="AH398" s="287" t="str">
        <f aca="false">IFERROR(IF(D$349*D$350*D347&gt;0,STDEV(D$349:D$350,D347)," ")/IF(D$349*D$350*D347&gt;0,SQRT(COUNT(D$349:D$350,D347))," "),"")</f>
        <v/>
      </c>
      <c r="AI398" s="287" t="str">
        <f aca="false">IFERROR(IF(E$349*E$350*E347&gt;0,STDEV(E$349:E$350,E347)," ")/IF(E$349*E$350*E347&gt;0,SQRT(COUNT(E$349:E$350,E347))," "),"")</f>
        <v/>
      </c>
      <c r="AJ398" s="287" t="str">
        <f aca="false">IFERROR(IF(F$349*F$350*F347&gt;0,STDEV(F$349:F$350,F347)," ")/IF(F$349*F$350*F347&gt;0,SQRT(COUNT(F$349:F$350,F347))," "),"")</f>
        <v/>
      </c>
      <c r="AK398" s="287" t="str">
        <f aca="false">IFERROR(IF(G$349*G$350*G347&gt;0,STDEV(G$349:G$350,G347)," ")/IF(G$349*G$350*G347&gt;0,SQRT(COUNT(G$349:G$350,G347))," "),"")</f>
        <v/>
      </c>
      <c r="AL398" s="287" t="str">
        <f aca="false">IFERROR(IF(H$349*H$350*H347&gt;0,STDEV(H$349:H$350,H347)," ")/IF(H$349*H$350*H347&gt;0,SQRT(COUNT(H$349:H$350,H347))," "),"")</f>
        <v/>
      </c>
      <c r="AM398" s="287" t="str">
        <f aca="false">IFERROR(IF(I$349*I$350*I347&gt;0,STDEV(I$349:I$350,I347)," ")/IF(I$349*I$350*I347&gt;0,SQRT(COUNT(I$349:I$350,I347))," "),"")</f>
        <v/>
      </c>
      <c r="AN398" s="287" t="str">
        <f aca="false">IFERROR(IF(J$349*J$350*J347&gt;0,STDEV(J$349:J$350,J347)," ")/IF(J$349*J$350*J347&gt;0,SQRT(COUNT(J$349:J$350,J347))," "),"")</f>
        <v/>
      </c>
      <c r="AO398" s="287" t="str">
        <f aca="false">IFERROR(IF(K$349*K$350*K347&gt;0,STDEV(K$349:K$350,K347)," ")/IF(K$349*K$350*K347&gt;0,SQRT(COUNT(K$349:K$350,K347))," "),"")</f>
        <v/>
      </c>
      <c r="AP398" s="287" t="str">
        <f aca="false">IFERROR(IF(L$349*L$350*L347&gt;0,STDEV(L$349:L$350,L347)," ")/IF(L$349*L$350*L347&gt;0,SQRT(COUNT(L$349:L$350,L347))," "),"")</f>
        <v/>
      </c>
      <c r="AQ398" s="287" t="str">
        <f aca="false">IFERROR(IF(M$349*M$350*M347&gt;0,STDEV(M$349:M$350,M347)," ")/IF(M$349*M$350*M347&gt;0,SQRT(COUNT(M$349:M$350,M347))," "),"")</f>
        <v/>
      </c>
      <c r="AR398" s="287" t="str">
        <f aca="false">IFERROR(IF(N$349*N$350*N347&gt;0,STDEV(N$349:N$350,N347)," ")/IF(N$349*N$350*N347&gt;0,SQRT(COUNT(N$349:N$350,N347))," "),"")</f>
        <v/>
      </c>
    </row>
    <row r="399" customFormat="false" ht="15.75" hidden="false" customHeight="false" outlineLevel="0" collapsed="false">
      <c r="A399" s="290" t="s">
        <v>258</v>
      </c>
      <c r="B399" s="281"/>
      <c r="C399" s="291" t="str">
        <f aca="false">IFERROR(IF(C$349*C$350*C351&gt;0,AVERAGE(C$349:C$350,C351),""),"")</f>
        <v/>
      </c>
      <c r="D399" s="291" t="str">
        <f aca="false">IFERROR(IF(D$349*D$350*D351&gt;0,AVERAGE(D$349:D$350,D351),""),"")</f>
        <v/>
      </c>
      <c r="E399" s="291" t="str">
        <f aca="false">IFERROR(IF(E$349*E$350*E351&gt;0,AVERAGE(E$349:E$350,E351),""),"")</f>
        <v/>
      </c>
      <c r="F399" s="291" t="str">
        <f aca="false">IFERROR(IF(F$349*F$350*F351&gt;0,AVERAGE(F$349:F$350,F351),""),"")</f>
        <v/>
      </c>
      <c r="G399" s="291" t="str">
        <f aca="false">IFERROR(IF(G$349*G$350*G351&gt;0,AVERAGE(G$349:G$350,G351),""),"")</f>
        <v/>
      </c>
      <c r="H399" s="291" t="str">
        <f aca="false">IFERROR(IF(H$349*H$350*H351&gt;0,AVERAGE(H$349:H$350,H351),""),"")</f>
        <v/>
      </c>
      <c r="I399" s="291" t="str">
        <f aca="false">IFERROR(IF(I$349*I$350*I351&gt;0,AVERAGE(I$349:I$350,I351),""),"")</f>
        <v/>
      </c>
      <c r="J399" s="291" t="str">
        <f aca="false">IFERROR(IF(J$349*J$350*J351&gt;0,AVERAGE(J$349:J$350,J351),""),"")</f>
        <v/>
      </c>
      <c r="K399" s="291" t="str">
        <f aca="false">IFERROR(IF(K$349*K$350*K351&gt;0,AVERAGE(K$349:K$350,K351),""),"")</f>
        <v/>
      </c>
      <c r="L399" s="291" t="str">
        <f aca="false">IFERROR(IF(L$349*L$350*L351&gt;0,AVERAGE(L$349:L$350,L351),""),"")</f>
        <v/>
      </c>
      <c r="M399" s="291" t="str">
        <f aca="false">IFERROR(IF(M$349*M$350*M351&gt;0,AVERAGE(M$349:M$350,M351),""),"")</f>
        <v/>
      </c>
      <c r="N399" s="291" t="str">
        <f aca="false">IFERROR(IF(N$349*N$350*N351&gt;0,AVERAGE(N$349:N$350,N351),""),"")</f>
        <v/>
      </c>
      <c r="O399" s="295"/>
      <c r="P399" s="282"/>
      <c r="Q399" s="296"/>
      <c r="R399" s="293" t="s">
        <v>372</v>
      </c>
      <c r="S399" s="294" t="str">
        <f aca="false">IFERROR(IF(C$349*C$350*C351&gt;0,STDEV(C$349:C$350,C351),"")/IF(C$349*C$350*C351&gt;0,AVERAGE(C$349:C$350,C351),""),"")</f>
        <v/>
      </c>
      <c r="T399" s="294" t="str">
        <f aca="false">IFERROR(IF(D$349*D$350*D351&gt;0,STDEV(D$349:D$350,D351),"")/IF(D$349*D$350*D351&gt;0,AVERAGE(D$349:D$350,D351),""),"")</f>
        <v/>
      </c>
      <c r="U399" s="294" t="str">
        <f aca="false">IFERROR(IF(E$349*E$350*E351&gt;0,STDEV(E$349:E$350,E351),"")/IF(E$349*E$350*E351&gt;0,AVERAGE(E$349:E$350,E351),""),"")</f>
        <v/>
      </c>
      <c r="V399" s="294" t="str">
        <f aca="false">IFERROR(IF(F$349*F$350*F351&gt;0,STDEV(F$349:F$350,F351),"")/IF(F$349*F$350*F351&gt;0,AVERAGE(F$349:F$350,F351),""),"")</f>
        <v/>
      </c>
      <c r="W399" s="294" t="str">
        <f aca="false">IFERROR(IF(G$349*G$350*G351&gt;0,STDEV(G$349:G$350,G351),"")/IF(G$349*G$350*G351&gt;0,AVERAGE(G$349:G$350,G351),""),"")</f>
        <v/>
      </c>
      <c r="X399" s="294" t="str">
        <f aca="false">IFERROR(IF(H$349*H$350*H351&gt;0,STDEV(H$349:H$350,H351),"")/IF(H$349*H$350*H351&gt;0,AVERAGE(H$349:H$350,H351),""),"")</f>
        <v/>
      </c>
      <c r="Y399" s="294" t="str">
        <f aca="false">IFERROR(IF(I$349*I$350*I351&gt;0,STDEV(I$349:I$350,I351),"")/IF(I$349*I$350*I351&gt;0,AVERAGE(I$349:I$350,I351),""),"")</f>
        <v/>
      </c>
      <c r="Z399" s="294" t="str">
        <f aca="false">IFERROR(IF(J$349*J$350*J351&gt;0,STDEV(J$349:J$350,J351),"")/IF(J$349*J$350*J351&gt;0,AVERAGE(J$349:J$350,J351),""),"")</f>
        <v/>
      </c>
      <c r="AA399" s="294" t="str">
        <f aca="false">IFERROR(IF(K$349*K$350*K351&gt;0,STDEV(K$349:K$350,K351),"")/IF(K$349*K$350*K351&gt;0,AVERAGE(K$349:K$350,K351),""),"")</f>
        <v/>
      </c>
      <c r="AB399" s="294" t="str">
        <f aca="false">IFERROR(IF(L$349*L$350*L351&gt;0,STDEV(L$349:L$350,L351),"")/IF(L$349*L$350*L351&gt;0,AVERAGE(L$349:L$350,L351),""),"")</f>
        <v/>
      </c>
      <c r="AC399" s="294" t="str">
        <f aca="false">IFERROR(IF(M$349*M$350*M351&gt;0,STDEV(M$349:M$350,M351),"")/IF(M$349*M$350*M351&gt;0,AVERAGE(M$349:M$350,M351),""),"")</f>
        <v/>
      </c>
      <c r="AD399" s="294" t="str">
        <f aca="false">IFERROR(IF(N$349*N$350*N351&gt;0,STDEV(N$349:N$350,N351),"")/IF(N$349*N$350*N351&gt;0,AVERAGE(N$349:N$350,N351),""),"")</f>
        <v/>
      </c>
      <c r="AE399" s="120"/>
      <c r="AF399" s="266" t="s">
        <v>373</v>
      </c>
      <c r="AG399" s="287" t="str">
        <f aca="false">IFERROR(IF(C$349*C$350*C351&gt;0,STDEV(C$349:C$350,C351)," ")/IF(C$349*C$350*C351&gt;0,SQRT(COUNT(C$349:C$350,C351))," "),"")</f>
        <v/>
      </c>
      <c r="AH399" s="287" t="str">
        <f aca="false">IFERROR(IF(D$349*D$350*D351&gt;0,STDEV(D$349:D$350,D351)," ")/IF(D$349*D$350*D351&gt;0,SQRT(COUNT(D$349:D$350,D351))," "),"")</f>
        <v/>
      </c>
      <c r="AI399" s="287" t="str">
        <f aca="false">IFERROR(IF(E$349*E$350*E351&gt;0,STDEV(E$349:E$350,E351)," ")/IF(E$349*E$350*E351&gt;0,SQRT(COUNT(E$349:E$350,E351))," "),"")</f>
        <v/>
      </c>
      <c r="AJ399" s="287" t="str">
        <f aca="false">IFERROR(IF(F$349*F$350*F351&gt;0,STDEV(F$349:F$350,F351)," ")/IF(F$349*F$350*F351&gt;0,SQRT(COUNT(F$349:F$350,F351))," "),"")</f>
        <v/>
      </c>
      <c r="AK399" s="287" t="str">
        <f aca="false">IFERROR(IF(G$349*G$350*G351&gt;0,STDEV(G$349:G$350,G351)," ")/IF(G$349*G$350*G351&gt;0,SQRT(COUNT(G$349:G$350,G351))," "),"")</f>
        <v/>
      </c>
      <c r="AL399" s="287" t="str">
        <f aca="false">IFERROR(IF(H$349*H$350*H351&gt;0,STDEV(H$349:H$350,H351)," ")/IF(H$349*H$350*H351&gt;0,SQRT(COUNT(H$349:H$350,H351))," "),"")</f>
        <v/>
      </c>
      <c r="AM399" s="287" t="str">
        <f aca="false">IFERROR(IF(I$349*I$350*I351&gt;0,STDEV(I$349:I$350,I351)," ")/IF(I$349*I$350*I351&gt;0,SQRT(COUNT(I$349:I$350,I351))," "),"")</f>
        <v/>
      </c>
      <c r="AN399" s="287" t="str">
        <f aca="false">IFERROR(IF(J$349*J$350*J351&gt;0,STDEV(J$349:J$350,J351)," ")/IF(J$349*J$350*J351&gt;0,SQRT(COUNT(J$349:J$350,J351))," "),"")</f>
        <v/>
      </c>
      <c r="AO399" s="287" t="str">
        <f aca="false">IFERROR(IF(K$349*K$350*K351&gt;0,STDEV(K$349:K$350,K351)," ")/IF(K$349*K$350*K351&gt;0,SQRT(COUNT(K$349:K$350,K351))," "),"")</f>
        <v/>
      </c>
      <c r="AP399" s="287" t="str">
        <f aca="false">IFERROR(IF(L$349*L$350*L351&gt;0,STDEV(L$349:L$350,L351)," ")/IF(L$349*L$350*L351&gt;0,SQRT(COUNT(L$349:L$350,L351))," "),"")</f>
        <v/>
      </c>
      <c r="AQ399" s="287" t="str">
        <f aca="false">IFERROR(IF(M$349*M$350*M351&gt;0,STDEV(M$349:M$350,M351)," ")/IF(M$349*M$350*M351&gt;0,SQRT(COUNT(M$349:M$350,M351))," "),"")</f>
        <v/>
      </c>
      <c r="AR399" s="287" t="str">
        <f aca="false">IFERROR(IF(N$349*N$350*N351&gt;0,STDEV(N$349:N$350,N351)," ")/IF(N$349*N$350*N351&gt;0,SQRT(COUNT(N$349:N$350,N351))," "),"")</f>
        <v/>
      </c>
    </row>
    <row r="400" customFormat="false" ht="15.75" hidden="false" customHeight="false" outlineLevel="0" collapsed="false">
      <c r="A400" s="290" t="s">
        <v>259</v>
      </c>
      <c r="B400" s="281"/>
      <c r="C400" s="291" t="str">
        <f aca="false">IFERROR(IF(C$349*C$350*C352&gt;0,AVERAGE(C$349:C$350,C352),""),"")</f>
        <v/>
      </c>
      <c r="D400" s="291" t="str">
        <f aca="false">IFERROR(IF(D$349*D$350*D352&gt;0,AVERAGE(D$349:D$350,D352),""),"")</f>
        <v/>
      </c>
      <c r="E400" s="291" t="str">
        <f aca="false">IFERROR(IF(E$349*E$350*E352&gt;0,AVERAGE(E$349:E$350,E352),""),"")</f>
        <v/>
      </c>
      <c r="F400" s="291" t="str">
        <f aca="false">IFERROR(IF(F$349*F$350*F352&gt;0,AVERAGE(F$349:F$350,F352),""),"")</f>
        <v/>
      </c>
      <c r="G400" s="291" t="str">
        <f aca="false">IFERROR(IF(G$349*G$350*G352&gt;0,AVERAGE(G$349:G$350,G352),""),"")</f>
        <v/>
      </c>
      <c r="H400" s="291" t="str">
        <f aca="false">IFERROR(IF(H$349*H$350*H352&gt;0,AVERAGE(H$349:H$350,H352),""),"")</f>
        <v/>
      </c>
      <c r="I400" s="291" t="str">
        <f aca="false">IFERROR(IF(I$349*I$350*I352&gt;0,AVERAGE(I$349:I$350,I352),""),"")</f>
        <v/>
      </c>
      <c r="J400" s="291" t="str">
        <f aca="false">IFERROR(IF(J$349*J$350*J352&gt;0,AVERAGE(J$349:J$350,J352),""),"")</f>
        <v/>
      </c>
      <c r="K400" s="291" t="str">
        <f aca="false">IFERROR(IF(K$349*K$350*K352&gt;0,AVERAGE(K$349:K$350,K352),""),"")</f>
        <v/>
      </c>
      <c r="L400" s="291" t="str">
        <f aca="false">IFERROR(IF(L$349*L$350*L352&gt;0,AVERAGE(L$349:L$350,L352),""),"")</f>
        <v/>
      </c>
      <c r="M400" s="291" t="str">
        <f aca="false">IFERROR(IF(M$349*M$350*M352&gt;0,AVERAGE(M$349:M$350,M352),""),"")</f>
        <v/>
      </c>
      <c r="N400" s="291" t="str">
        <f aca="false">IFERROR(IF(N$349*N$350*N352&gt;0,AVERAGE(N$349:N$350,N352),""),"")</f>
        <v/>
      </c>
      <c r="O400" s="295"/>
      <c r="P400" s="282"/>
      <c r="Q400" s="296"/>
      <c r="R400" s="293" t="s">
        <v>374</v>
      </c>
      <c r="S400" s="294" t="str">
        <f aca="false">IFERROR(IF(C$349*C$350*C352&gt;0,STDEV(C$349:C$350,C352),"")/IF(C$349*C$350*C352&gt;0,AVERAGE(C$349:C$350,C352),""),"")</f>
        <v/>
      </c>
      <c r="T400" s="294" t="str">
        <f aca="false">IFERROR(IF(D$349*D$350*D352&gt;0,STDEV(D$349:D$350,D352),"")/IF(D$349*D$350*D352&gt;0,AVERAGE(D$349:D$350,D352),""),"")</f>
        <v/>
      </c>
      <c r="U400" s="294" t="str">
        <f aca="false">IFERROR(IF(E$349*E$350*E352&gt;0,STDEV(E$349:E$350,E352),"")/IF(E$349*E$350*E352&gt;0,AVERAGE(E$349:E$350,E352),""),"")</f>
        <v/>
      </c>
      <c r="V400" s="294" t="str">
        <f aca="false">IFERROR(IF(F$349*F$350*F352&gt;0,STDEV(F$349:F$350,F352),"")/IF(F$349*F$350*F352&gt;0,AVERAGE(F$349:F$350,F352),""),"")</f>
        <v/>
      </c>
      <c r="W400" s="294" t="str">
        <f aca="false">IFERROR(IF(G$349*G$350*G352&gt;0,STDEV(G$349:G$350,G352),"")/IF(G$349*G$350*G352&gt;0,AVERAGE(G$349:G$350,G352),""),"")</f>
        <v/>
      </c>
      <c r="X400" s="294" t="str">
        <f aca="false">IFERROR(IF(H$349*H$350*H352&gt;0,STDEV(H$349:H$350,H352),"")/IF(H$349*H$350*H352&gt;0,AVERAGE(H$349:H$350,H352),""),"")</f>
        <v/>
      </c>
      <c r="Y400" s="294" t="str">
        <f aca="false">IFERROR(IF(I$349*I$350*I352&gt;0,STDEV(I$349:I$350,I352),"")/IF(I$349*I$350*I352&gt;0,AVERAGE(I$349:I$350,I352),""),"")</f>
        <v/>
      </c>
      <c r="Z400" s="294" t="str">
        <f aca="false">IFERROR(IF(J$349*J$350*J352&gt;0,STDEV(J$349:J$350,J352),"")/IF(J$349*J$350*J352&gt;0,AVERAGE(J$349:J$350,J352),""),"")</f>
        <v/>
      </c>
      <c r="AA400" s="294" t="str">
        <f aca="false">IFERROR(IF(K$349*K$350*K352&gt;0,STDEV(K$349:K$350,K352),"")/IF(K$349*K$350*K352&gt;0,AVERAGE(K$349:K$350,K352),""),"")</f>
        <v/>
      </c>
      <c r="AB400" s="294" t="str">
        <f aca="false">IFERROR(IF(L$349*L$350*L352&gt;0,STDEV(L$349:L$350,L352),"")/IF(L$349*L$350*L352&gt;0,AVERAGE(L$349:L$350,L352),""),"")</f>
        <v/>
      </c>
      <c r="AC400" s="294" t="str">
        <f aca="false">IFERROR(IF(M$349*M$350*M352&gt;0,STDEV(M$349:M$350,M352),"")/IF(M$349*M$350*M352&gt;0,AVERAGE(M$349:M$350,M352),""),"")</f>
        <v/>
      </c>
      <c r="AD400" s="294" t="str">
        <f aca="false">IFERROR(IF(N$349*N$350*N352&gt;0,STDEV(N$349:N$350,N352),"")/IF(N$349*N$350*N352&gt;0,AVERAGE(N$349:N$350,N352),""),"")</f>
        <v/>
      </c>
      <c r="AE400" s="120"/>
      <c r="AF400" s="266" t="s">
        <v>375</v>
      </c>
      <c r="AG400" s="287" t="str">
        <f aca="false">IFERROR(IF(C$349*C$350*C352&gt;0,STDEV(C$349:C$350,C352)," ")/IF(C$349*C$350*C352&gt;0,SQRT(COUNT(C$349:C$350,C352))," "),"")</f>
        <v/>
      </c>
      <c r="AH400" s="287" t="str">
        <f aca="false">IFERROR(IF(D$349*D$350*D352&gt;0,STDEV(D$349:D$350,D352)," ")/IF(D$349*D$350*D352&gt;0,SQRT(COUNT(D$349:D$350,D352))," "),"")</f>
        <v/>
      </c>
      <c r="AI400" s="287" t="str">
        <f aca="false">IFERROR(IF(E$349*E$350*E352&gt;0,STDEV(E$349:E$350,E352)," ")/IF(E$349*E$350*E352&gt;0,SQRT(COUNT(E$349:E$350,E352))," "),"")</f>
        <v/>
      </c>
      <c r="AJ400" s="287" t="str">
        <f aca="false">IFERROR(IF(F$349*F$350*F352&gt;0,STDEV(F$349:F$350,F352)," ")/IF(F$349*F$350*F352&gt;0,SQRT(COUNT(F$349:F$350,F352))," "),"")</f>
        <v/>
      </c>
      <c r="AK400" s="287" t="str">
        <f aca="false">IFERROR(IF(G$349*G$350*G352&gt;0,STDEV(G$349:G$350,G352)," ")/IF(G$349*G$350*G352&gt;0,SQRT(COUNT(G$349:G$350,G352))," "),"")</f>
        <v/>
      </c>
      <c r="AL400" s="287" t="str">
        <f aca="false">IFERROR(IF(H$349*H$350*H352&gt;0,STDEV(H$349:H$350,H352)," ")/IF(H$349*H$350*H352&gt;0,SQRT(COUNT(H$349:H$350,H352))," "),"")</f>
        <v/>
      </c>
      <c r="AM400" s="287" t="str">
        <f aca="false">IFERROR(IF(I$349*I$350*I352&gt;0,STDEV(I$349:I$350,I352)," ")/IF(I$349*I$350*I352&gt;0,SQRT(COUNT(I$349:I$350,I352))," "),"")</f>
        <v/>
      </c>
      <c r="AN400" s="287" t="str">
        <f aca="false">IFERROR(IF(J$349*J$350*J352&gt;0,STDEV(J$349:J$350,J352)," ")/IF(J$349*J$350*J352&gt;0,SQRT(COUNT(J$349:J$350,J352))," "),"")</f>
        <v/>
      </c>
      <c r="AO400" s="287" t="str">
        <f aca="false">IFERROR(IF(K$349*K$350*K352&gt;0,STDEV(K$349:K$350,K352)," ")/IF(K$349*K$350*K352&gt;0,SQRT(COUNT(K$349:K$350,K352))," "),"")</f>
        <v/>
      </c>
      <c r="AP400" s="287" t="str">
        <f aca="false">IFERROR(IF(L$349*L$350*L352&gt;0,STDEV(L$349:L$350,L352)," ")/IF(L$349*L$350*L352&gt;0,SQRT(COUNT(L$349:L$350,L352))," "),"")</f>
        <v/>
      </c>
      <c r="AQ400" s="287" t="str">
        <f aca="false">IFERROR(IF(M$349*M$350*M352&gt;0,STDEV(M$349:M$350,M352)," ")/IF(M$349*M$350*M352&gt;0,SQRT(COUNT(M$349:M$350,M352))," "),"")</f>
        <v/>
      </c>
      <c r="AR400" s="287" t="str">
        <f aca="false">IFERROR(IF(N$349*N$350*N352&gt;0,STDEV(N$349:N$350,N352)," ")/IF(N$349*N$350*N352&gt;0,SQRT(COUNT(N$349:N$350,N352))," "),"")</f>
        <v/>
      </c>
    </row>
    <row r="401" customFormat="false" ht="15.75" hidden="false" customHeight="false" outlineLevel="0" collapsed="false">
      <c r="A401" s="290" t="s">
        <v>260</v>
      </c>
      <c r="B401" s="281"/>
      <c r="C401" s="291" t="str">
        <f aca="false">IFERROR(IF(C$349*C$350*C353&gt;0,AVERAGE(C$349:C$350,C353),""),"")</f>
        <v/>
      </c>
      <c r="D401" s="291" t="str">
        <f aca="false">IFERROR(IF(D$349*D$350*D353&gt;0,AVERAGE(D$349:D$350,D353),""),"")</f>
        <v/>
      </c>
      <c r="E401" s="291" t="str">
        <f aca="false">IFERROR(IF(E$349*E$350*E353&gt;0,AVERAGE(E$349:E$350,E353),""),"")</f>
        <v/>
      </c>
      <c r="F401" s="291" t="str">
        <f aca="false">IFERROR(IF(F$349*F$350*F353&gt;0,AVERAGE(F$349:F$350,F353),""),"")</f>
        <v/>
      </c>
      <c r="G401" s="291" t="str">
        <f aca="false">IFERROR(IF(G$349*G$350*G353&gt;0,AVERAGE(G$349:G$350,G353),""),"")</f>
        <v/>
      </c>
      <c r="H401" s="291" t="str">
        <f aca="false">IFERROR(IF(H$349*H$350*H353&gt;0,AVERAGE(H$349:H$350,H353),""),"")</f>
        <v/>
      </c>
      <c r="I401" s="291" t="str">
        <f aca="false">IFERROR(IF(I$349*I$350*I353&gt;0,AVERAGE(I$349:I$350,I353),""),"")</f>
        <v/>
      </c>
      <c r="J401" s="291" t="str">
        <f aca="false">IFERROR(IF(J$349*J$350*J353&gt;0,AVERAGE(J$349:J$350,J353),""),"")</f>
        <v/>
      </c>
      <c r="K401" s="291" t="str">
        <f aca="false">IFERROR(IF(K$349*K$350*K353&gt;0,AVERAGE(K$349:K$350,K353),""),"")</f>
        <v/>
      </c>
      <c r="L401" s="291" t="str">
        <f aca="false">IFERROR(IF(L$349*L$350*L353&gt;0,AVERAGE(L$349:L$350,L353),""),"")</f>
        <v/>
      </c>
      <c r="M401" s="291" t="str">
        <f aca="false">IFERROR(IF(M$349*M$350*M353&gt;0,AVERAGE(M$349:M$350,M353),""),"")</f>
        <v/>
      </c>
      <c r="N401" s="291" t="str">
        <f aca="false">IFERROR(IF(N$349*N$350*N353&gt;0,AVERAGE(N$349:N$350,N353),""),"")</f>
        <v/>
      </c>
      <c r="O401" s="295"/>
      <c r="P401" s="282"/>
      <c r="Q401" s="296"/>
      <c r="R401" s="293" t="s">
        <v>376</v>
      </c>
      <c r="S401" s="294" t="str">
        <f aca="false">IFERROR(IF(C$349*C$350*C353&gt;0,STDEV(C$349:C$350,C353),"")/IF(C$349*C$350*C353&gt;0,AVERAGE(C$349:C$350,C353),""),"")</f>
        <v/>
      </c>
      <c r="T401" s="294" t="str">
        <f aca="false">IFERROR(IF(D$349*D$350*D353&gt;0,STDEV(D$349:D$350,D353),"")/IF(D$349*D$350*D353&gt;0,AVERAGE(D$349:D$350,D353),""),"")</f>
        <v/>
      </c>
      <c r="U401" s="294" t="str">
        <f aca="false">IFERROR(IF(E$349*E$350*E353&gt;0,STDEV(E$349:E$350,E353),"")/IF(E$349*E$350*E353&gt;0,AVERAGE(E$349:E$350,E353),""),"")</f>
        <v/>
      </c>
      <c r="V401" s="294" t="str">
        <f aca="false">IFERROR(IF(F$349*F$350*F353&gt;0,STDEV(F$349:F$350,F353),"")/IF(F$349*F$350*F353&gt;0,AVERAGE(F$349:F$350,F353),""),"")</f>
        <v/>
      </c>
      <c r="W401" s="294" t="str">
        <f aca="false">IFERROR(IF(G$349*G$350*G353&gt;0,STDEV(G$349:G$350,G353),"")/IF(G$349*G$350*G353&gt;0,AVERAGE(G$349:G$350,G353),""),"")</f>
        <v/>
      </c>
      <c r="X401" s="294" t="str">
        <f aca="false">IFERROR(IF(H$349*H$350*H353&gt;0,STDEV(H$349:H$350,H353),"")/IF(H$349*H$350*H353&gt;0,AVERAGE(H$349:H$350,H353),""),"")</f>
        <v/>
      </c>
      <c r="Y401" s="294" t="str">
        <f aca="false">IFERROR(IF(I$349*I$350*I353&gt;0,STDEV(I$349:I$350,I353),"")/IF(I$349*I$350*I353&gt;0,AVERAGE(I$349:I$350,I353),""),"")</f>
        <v/>
      </c>
      <c r="Z401" s="294" t="str">
        <f aca="false">IFERROR(IF(J$349*J$350*J353&gt;0,STDEV(J$349:J$350,J353),"")/IF(J$349*J$350*J353&gt;0,AVERAGE(J$349:J$350,J353),""),"")</f>
        <v/>
      </c>
      <c r="AA401" s="294" t="str">
        <f aca="false">IFERROR(IF(K$349*K$350*K353&gt;0,STDEV(K$349:K$350,K353),"")/IF(K$349*K$350*K353&gt;0,AVERAGE(K$349:K$350,K353),""),"")</f>
        <v/>
      </c>
      <c r="AB401" s="294" t="str">
        <f aca="false">IFERROR(IF(L$349*L$350*L353&gt;0,STDEV(L$349:L$350,L353),"")/IF(L$349*L$350*L353&gt;0,AVERAGE(L$349:L$350,L353),""),"")</f>
        <v/>
      </c>
      <c r="AC401" s="294" t="str">
        <f aca="false">IFERROR(IF(M$349*M$350*M353&gt;0,STDEV(M$349:M$350,M353),"")/IF(M$349*M$350*M353&gt;0,AVERAGE(M$349:M$350,M353),""),"")</f>
        <v/>
      </c>
      <c r="AD401" s="294" t="str">
        <f aca="false">IFERROR(IF(N$349*N$350*N353&gt;0,STDEV(N$349:N$350,N353),"")/IF(N$349*N$350*N353&gt;0,AVERAGE(N$349:N$350,N353),""),"")</f>
        <v/>
      </c>
      <c r="AE401" s="120"/>
      <c r="AF401" s="266" t="s">
        <v>377</v>
      </c>
      <c r="AG401" s="287" t="str">
        <f aca="false">IFERROR(IF(C$349*C$350*C353&gt;0,STDEV(C$349:C$350,C353)," ")/IF(C$349*C$350*C353&gt;0,SQRT(COUNT(C$349:C$350,C353))," "),"")</f>
        <v/>
      </c>
      <c r="AH401" s="287" t="str">
        <f aca="false">IFERROR(IF(D$349*D$350*D353&gt;0,STDEV(D$349:D$350,D353)," ")/IF(D$349*D$350*D353&gt;0,SQRT(COUNT(D$349:D$350,D353))," "),"")</f>
        <v/>
      </c>
      <c r="AI401" s="287" t="str">
        <f aca="false">IFERROR(IF(E$349*E$350*E353&gt;0,STDEV(E$349:E$350,E353)," ")/IF(E$349*E$350*E353&gt;0,SQRT(COUNT(E$349:E$350,E353))," "),"")</f>
        <v/>
      </c>
      <c r="AJ401" s="287" t="str">
        <f aca="false">IFERROR(IF(F$349*F$350*F353&gt;0,STDEV(F$349:F$350,F353)," ")/IF(F$349*F$350*F353&gt;0,SQRT(COUNT(F$349:F$350,F353))," "),"")</f>
        <v/>
      </c>
      <c r="AK401" s="287" t="str">
        <f aca="false">IFERROR(IF(G$349*G$350*G353&gt;0,STDEV(G$349:G$350,G353)," ")/IF(G$349*G$350*G353&gt;0,SQRT(COUNT(G$349:G$350,G353))," "),"")</f>
        <v/>
      </c>
      <c r="AL401" s="287" t="str">
        <f aca="false">IFERROR(IF(H$349*H$350*H353&gt;0,STDEV(H$349:H$350,H353)," ")/IF(H$349*H$350*H353&gt;0,SQRT(COUNT(H$349:H$350,H353))," "),"")</f>
        <v/>
      </c>
      <c r="AM401" s="287" t="str">
        <f aca="false">IFERROR(IF(I$349*I$350*I353&gt;0,STDEV(I$349:I$350,I353)," ")/IF(I$349*I$350*I353&gt;0,SQRT(COUNT(I$349:I$350,I353))," "),"")</f>
        <v/>
      </c>
      <c r="AN401" s="287" t="str">
        <f aca="false">IFERROR(IF(J$349*J$350*J353&gt;0,STDEV(J$349:J$350,J353)," ")/IF(J$349*J$350*J353&gt;0,SQRT(COUNT(J$349:J$350,J353))," "),"")</f>
        <v/>
      </c>
      <c r="AO401" s="287" t="str">
        <f aca="false">IFERROR(IF(K$349*K$350*K353&gt;0,STDEV(K$349:K$350,K353)," ")/IF(K$349*K$350*K353&gt;0,SQRT(COUNT(K$349:K$350,K353))," "),"")</f>
        <v/>
      </c>
      <c r="AP401" s="287" t="str">
        <f aca="false">IFERROR(IF(L$349*L$350*L353&gt;0,STDEV(L$349:L$350,L353)," ")/IF(L$349*L$350*L353&gt;0,SQRT(COUNT(L$349:L$350,L353))," "),"")</f>
        <v/>
      </c>
      <c r="AQ401" s="287" t="str">
        <f aca="false">IFERROR(IF(M$349*M$350*M353&gt;0,STDEV(M$349:M$350,M353)," ")/IF(M$349*M$350*M353&gt;0,SQRT(COUNT(M$349:M$350,M353))," "),"")</f>
        <v/>
      </c>
      <c r="AR401" s="287" t="str">
        <f aca="false">IFERROR(IF(N$349*N$350*N353&gt;0,STDEV(N$349:N$350,N353)," ")/IF(N$349*N$350*N353&gt;0,SQRT(COUNT(N$349:N$350,N353))," "),"")</f>
        <v/>
      </c>
    </row>
    <row r="402" customFormat="false" ht="15.75" hidden="false" customHeight="false" outlineLevel="0" collapsed="false">
      <c r="A402" s="290" t="s">
        <v>261</v>
      </c>
      <c r="B402" s="281"/>
      <c r="C402" s="291" t="str">
        <f aca="false">IFERROR(IF(C$350*C$351*C347&gt;0,AVERAGE(C$350:C$351,C347),""),"")</f>
        <v/>
      </c>
      <c r="D402" s="291" t="str">
        <f aca="false">IFERROR(IF(D$350*D$351*D347&gt;0,AVERAGE(D$350:D$351,D347),""),"")</f>
        <v/>
      </c>
      <c r="E402" s="291" t="str">
        <f aca="false">IFERROR(IF(E$350*E$351*E347&gt;0,AVERAGE(E$350:E$351,E347),""),"")</f>
        <v/>
      </c>
      <c r="F402" s="291" t="str">
        <f aca="false">IFERROR(IF(F$350*F$351*F347&gt;0,AVERAGE(F$350:F$351,F347),""),"")</f>
        <v/>
      </c>
      <c r="G402" s="291" t="str">
        <f aca="false">IFERROR(IF(G$350*G$351*G347&gt;0,AVERAGE(G$350:G$351,G347),""),"")</f>
        <v/>
      </c>
      <c r="H402" s="291" t="str">
        <f aca="false">IFERROR(IF(H$350*H$351*H347&gt;0,AVERAGE(H$350:H$351,H347),""),"")</f>
        <v/>
      </c>
      <c r="I402" s="291" t="str">
        <f aca="false">IFERROR(IF(I$350*I$351*I347&gt;0,AVERAGE(I$350:I$351,I347),""),"")</f>
        <v/>
      </c>
      <c r="J402" s="291" t="str">
        <f aca="false">IFERROR(IF(J$350*J$351*J347&gt;0,AVERAGE(J$350:J$351,J347),""),"")</f>
        <v/>
      </c>
      <c r="K402" s="291" t="str">
        <f aca="false">IFERROR(IF(K$350*K$351*K347&gt;0,AVERAGE(K$350:K$351,K347),""),"")</f>
        <v/>
      </c>
      <c r="L402" s="291" t="str">
        <f aca="false">IFERROR(IF(L$350*L$351*L347&gt;0,AVERAGE(L$350:L$351,L347),""),"")</f>
        <v/>
      </c>
      <c r="M402" s="291" t="str">
        <f aca="false">IFERROR(IF(M$350*M$351*M347&gt;0,AVERAGE(M$350:M$351,M347),""),"")</f>
        <v/>
      </c>
      <c r="N402" s="291" t="str">
        <f aca="false">IFERROR(IF(N$350*N$351*N347&gt;0,AVERAGE(N$350:N$351,N347),""),"")</f>
        <v/>
      </c>
      <c r="O402" s="295"/>
      <c r="P402" s="282"/>
      <c r="Q402" s="296"/>
      <c r="R402" s="293" t="s">
        <v>378</v>
      </c>
      <c r="S402" s="294" t="str">
        <f aca="false">IFERROR(IF(C$350*C$351*C347&gt;0,STDEV(C$350:C$351,C347),"")/IF(C$350*C$351*C347&gt;0,AVERAGE(C$350:C$351,C347),""),"")</f>
        <v/>
      </c>
      <c r="T402" s="294" t="str">
        <f aca="false">IFERROR(IF(D$350*D$351*D347&gt;0,STDEV(D$350:D$351,D347),"")/IF(D$350*D$351*D347&gt;0,AVERAGE(D$350:D$351,D347),""),"")</f>
        <v/>
      </c>
      <c r="U402" s="294" t="str">
        <f aca="false">IFERROR(IF(E$350*E$351*E347&gt;0,STDEV(E$350:E$351,E347),"")/IF(E$350*E$351*E347&gt;0,AVERAGE(E$350:E$351,E347),""),"")</f>
        <v/>
      </c>
      <c r="V402" s="294" t="str">
        <f aca="false">IFERROR(IF(F$350*F$351*F347&gt;0,STDEV(F$350:F$351,F347),"")/IF(F$350*F$351*F347&gt;0,AVERAGE(F$350:F$351,F347),""),"")</f>
        <v/>
      </c>
      <c r="W402" s="294" t="str">
        <f aca="false">IFERROR(IF(G$350*G$351*G347&gt;0,STDEV(G$350:G$351,G347),"")/IF(G$350*G$351*G347&gt;0,AVERAGE(G$350:G$351,G347),""),"")</f>
        <v/>
      </c>
      <c r="X402" s="294" t="str">
        <f aca="false">IFERROR(IF(H$350*H$351*H347&gt;0,STDEV(H$350:H$351,H347),"")/IF(H$350*H$351*H347&gt;0,AVERAGE(H$350:H$351,H347),""),"")</f>
        <v/>
      </c>
      <c r="Y402" s="294" t="str">
        <f aca="false">IFERROR(IF(I$350*I$351*I347&gt;0,STDEV(I$350:I$351,I347),"")/IF(I$350*I$351*I347&gt;0,AVERAGE(I$350:I$351,I347),""),"")</f>
        <v/>
      </c>
      <c r="Z402" s="294" t="str">
        <f aca="false">IFERROR(IF(J$350*J$351*J347&gt;0,STDEV(J$350:J$351,J347),"")/IF(J$350*J$351*J347&gt;0,AVERAGE(J$350:J$351,J347),""),"")</f>
        <v/>
      </c>
      <c r="AA402" s="294" t="str">
        <f aca="false">IFERROR(IF(K$350*K$351*K347&gt;0,STDEV(K$350:K$351,K347),"")/IF(K$350*K$351*K347&gt;0,AVERAGE(K$350:K$351,K347),""),"")</f>
        <v/>
      </c>
      <c r="AB402" s="294" t="str">
        <f aca="false">IFERROR(IF(L$350*L$351*L347&gt;0,STDEV(L$350:L$351,L347),"")/IF(L$350*L$351*L347&gt;0,AVERAGE(L$350:L$351,L347),""),"")</f>
        <v/>
      </c>
      <c r="AC402" s="294" t="str">
        <f aca="false">IFERROR(IF(M$350*M$351*M347&gt;0,STDEV(M$350:M$351,M347),"")/IF(M$350*M$351*M347&gt;0,AVERAGE(M$350:M$351,M347),""),"")</f>
        <v/>
      </c>
      <c r="AD402" s="294" t="str">
        <f aca="false">IFERROR(IF(N$350*N$351*N347&gt;0,STDEV(N$350:N$351,N347),"")/IF(N$350*N$351*N347&gt;0,AVERAGE(N$350:N$351,N347),""),"")</f>
        <v/>
      </c>
      <c r="AE402" s="120"/>
      <c r="AF402" s="266" t="s">
        <v>379</v>
      </c>
      <c r="AG402" s="287" t="str">
        <f aca="false">IFERROR(IF(C$350*C$351*C347&gt;0,STDEV(C$350:C$351,C347)," ")/IF(C$350*C$351*C347&gt;0,SQRT(COUNT(C$350:C$351,C347))," "),"")</f>
        <v/>
      </c>
      <c r="AH402" s="287" t="str">
        <f aca="false">IFERROR(IF(D$350*D$351*D347&gt;0,STDEV(D$350:D$351,D347)," ")/IF(D$350*D$351*D347&gt;0,SQRT(COUNT(D$350:D$351,D347))," "),"")</f>
        <v/>
      </c>
      <c r="AI402" s="287" t="str">
        <f aca="false">IFERROR(IF(E$350*E$351*E347&gt;0,STDEV(E$350:E$351,E347)," ")/IF(E$350*E$351*E347&gt;0,SQRT(COUNT(E$350:E$351,E347))," "),"")</f>
        <v/>
      </c>
      <c r="AJ402" s="287" t="str">
        <f aca="false">IFERROR(IF(F$350*F$351*F347&gt;0,STDEV(F$350:F$351,F347)," ")/IF(F$350*F$351*F347&gt;0,SQRT(COUNT(F$350:F$351,F347))," "),"")</f>
        <v/>
      </c>
      <c r="AK402" s="287" t="str">
        <f aca="false">IFERROR(IF(G$350*G$351*G347&gt;0,STDEV(G$350:G$351,G347)," ")/IF(G$350*G$351*G347&gt;0,SQRT(COUNT(G$350:G$351,G347))," "),"")</f>
        <v/>
      </c>
      <c r="AL402" s="287" t="str">
        <f aca="false">IFERROR(IF(H$350*H$351*H347&gt;0,STDEV(H$350:H$351,H347)," ")/IF(H$350*H$351*H347&gt;0,SQRT(COUNT(H$350:H$351,H347))," "),"")</f>
        <v/>
      </c>
      <c r="AM402" s="287" t="str">
        <f aca="false">IFERROR(IF(I$350*I$351*I347&gt;0,STDEV(I$350:I$351,I347)," ")/IF(I$350*I$351*I347&gt;0,SQRT(COUNT(I$350:I$351,I347))," "),"")</f>
        <v/>
      </c>
      <c r="AN402" s="287" t="str">
        <f aca="false">IFERROR(IF(J$350*J$351*J347&gt;0,STDEV(J$350:J$351,J347)," ")/IF(J$350*J$351*J347&gt;0,SQRT(COUNT(J$350:J$351,J347))," "),"")</f>
        <v/>
      </c>
      <c r="AO402" s="287" t="str">
        <f aca="false">IFERROR(IF(K$350*K$351*K347&gt;0,STDEV(K$350:K$351,K347)," ")/IF(K$350*K$351*K347&gt;0,SQRT(COUNT(K$350:K$351,K347))," "),"")</f>
        <v/>
      </c>
      <c r="AP402" s="287" t="str">
        <f aca="false">IFERROR(IF(L$350*L$351*L347&gt;0,STDEV(L$350:L$351,L347)," ")/IF(L$350*L$351*L347&gt;0,SQRT(COUNT(L$350:L$351,L347))," "),"")</f>
        <v/>
      </c>
      <c r="AQ402" s="287" t="str">
        <f aca="false">IFERROR(IF(M$350*M$351*M347&gt;0,STDEV(M$350:M$351,M347)," ")/IF(M$350*M$351*M347&gt;0,SQRT(COUNT(M$350:M$351,M347))," "),"")</f>
        <v/>
      </c>
      <c r="AR402" s="287" t="str">
        <f aca="false">IFERROR(IF(N$350*N$351*N347&gt;0,STDEV(N$350:N$351,N347)," ")/IF(N$350*N$351*N347&gt;0,SQRT(COUNT(N$350:N$351,N347))," "),"")</f>
        <v/>
      </c>
    </row>
    <row r="403" customFormat="false" ht="15.75" hidden="false" customHeight="false" outlineLevel="0" collapsed="false">
      <c r="A403" s="290" t="s">
        <v>380</v>
      </c>
      <c r="B403" s="281"/>
      <c r="C403" s="291" t="str">
        <f aca="false">IFERROR(IF(C$350*C$351*C348&gt;0,AVERAGE(C$350:C$351,C348),""),"")</f>
        <v/>
      </c>
      <c r="D403" s="291" t="str">
        <f aca="false">IFERROR(IF(D$350*D$351*D348&gt;0,AVERAGE(D$350:D$351,D348),""),"")</f>
        <v/>
      </c>
      <c r="E403" s="291" t="str">
        <f aca="false">IFERROR(IF(E$350*E$351*E348&gt;0,AVERAGE(E$350:E$351,E348),""),"")</f>
        <v/>
      </c>
      <c r="F403" s="291" t="str">
        <f aca="false">IFERROR(IF(F$350*F$351*F348&gt;0,AVERAGE(F$350:F$351,F348),""),"")</f>
        <v/>
      </c>
      <c r="G403" s="291" t="str">
        <f aca="false">IFERROR(IF(G$350*G$351*G348&gt;0,AVERAGE(G$350:G$351,G348),""),"")</f>
        <v/>
      </c>
      <c r="H403" s="291" t="str">
        <f aca="false">IFERROR(IF(H$350*H$351*H348&gt;0,AVERAGE(H$350:H$351,H348),""),"")</f>
        <v/>
      </c>
      <c r="I403" s="291" t="str">
        <f aca="false">IFERROR(IF(I$350*I$351*I348&gt;0,AVERAGE(I$350:I$351,I348),""),"")</f>
        <v/>
      </c>
      <c r="J403" s="291" t="str">
        <f aca="false">IFERROR(IF(J$350*J$351*J348&gt;0,AVERAGE(J$350:J$351,J348),""),"")</f>
        <v/>
      </c>
      <c r="K403" s="291" t="str">
        <f aca="false">IFERROR(IF(K$350*K$351*K348&gt;0,AVERAGE(K$350:K$351,K348),""),"")</f>
        <v/>
      </c>
      <c r="L403" s="291" t="str">
        <f aca="false">IFERROR(IF(L$350*L$351*L348&gt;0,AVERAGE(L$350:L$351,L348),""),"")</f>
        <v/>
      </c>
      <c r="M403" s="291" t="str">
        <f aca="false">IFERROR(IF(M$350*M$351*M348&gt;0,AVERAGE(M$350:M$351,M348),""),"")</f>
        <v/>
      </c>
      <c r="N403" s="291" t="str">
        <f aca="false">IFERROR(IF(N$350*N$351*N348&gt;0,AVERAGE(N$350:N$351,N348),""),"")</f>
        <v/>
      </c>
      <c r="O403" s="122"/>
      <c r="P403" s="58"/>
      <c r="Q403" s="301"/>
      <c r="R403" s="293" t="s">
        <v>381</v>
      </c>
      <c r="S403" s="294" t="str">
        <f aca="false">IFERROR(IF(C$350*C$351*C348&gt;0,STDEV(C$350:C$351,C348),"")/IF(C$350*C$351*C348&gt;0,AVERAGE(C$350:C$351,C348),""),"")</f>
        <v/>
      </c>
      <c r="T403" s="294" t="str">
        <f aca="false">IFERROR(IF(D$350*D$351*D348&gt;0,STDEV(D$350:D$351,D348),"")/IF(D$350*D$351*D348&gt;0,AVERAGE(D$350:D$351,D348),""),"")</f>
        <v/>
      </c>
      <c r="U403" s="294" t="str">
        <f aca="false">IFERROR(IF(E$350*E$351*E348&gt;0,STDEV(E$350:E$351,E348),"")/IF(E$350*E$351*E348&gt;0,AVERAGE(E$350:E$351,E348),""),"")</f>
        <v/>
      </c>
      <c r="V403" s="294" t="str">
        <f aca="false">IFERROR(IF(F$350*F$351*F348&gt;0,STDEV(F$350:F$351,F348),"")/IF(F$350*F$351*F348&gt;0,AVERAGE(F$350:F$351,F348),""),"")</f>
        <v/>
      </c>
      <c r="W403" s="294" t="str">
        <f aca="false">IFERROR(IF(G$350*G$351*G348&gt;0,STDEV(G$350:G$351,G348),"")/IF(G$350*G$351*G348&gt;0,AVERAGE(G$350:G$351,G348),""),"")</f>
        <v/>
      </c>
      <c r="X403" s="294" t="str">
        <f aca="false">IFERROR(IF(H$350*H$351*H348&gt;0,STDEV(H$350:H$351,H348),"")/IF(H$350*H$351*H348&gt;0,AVERAGE(H$350:H$351,H348),""),"")</f>
        <v/>
      </c>
      <c r="Y403" s="294" t="str">
        <f aca="false">IFERROR(IF(I$350*I$351*I348&gt;0,STDEV(I$350:I$351,I348),"")/IF(I$350*I$351*I348&gt;0,AVERAGE(I$350:I$351,I348),""),"")</f>
        <v/>
      </c>
      <c r="Z403" s="294" t="str">
        <f aca="false">IFERROR(IF(J$350*J$351*J348&gt;0,STDEV(J$350:J$351,J348),"")/IF(J$350*J$351*J348&gt;0,AVERAGE(J$350:J$351,J348),""),"")</f>
        <v/>
      </c>
      <c r="AA403" s="294" t="str">
        <f aca="false">IFERROR(IF(K$350*K$351*K348&gt;0,STDEV(K$350:K$351,K348),"")/IF(K$350*K$351*K348&gt;0,AVERAGE(K$350:K$351,K348),""),"")</f>
        <v/>
      </c>
      <c r="AB403" s="294" t="str">
        <f aca="false">IFERROR(IF(L$350*L$351*L348&gt;0,STDEV(L$350:L$351,L348),"")/IF(L$350*L$351*L348&gt;0,AVERAGE(L$350:L$351,L348),""),"")</f>
        <v/>
      </c>
      <c r="AC403" s="294" t="str">
        <f aca="false">IFERROR(IF(M$350*M$351*M348&gt;0,STDEV(M$350:M$351,M348),"")/IF(M$350*M$351*M348&gt;0,AVERAGE(M$350:M$351,M348),""),"")</f>
        <v/>
      </c>
      <c r="AD403" s="294" t="str">
        <f aca="false">IFERROR(IF(N$350*N$351*N348&gt;0,STDEV(N$350:N$351,N348),"")/IF(N$350*N$351*N348&gt;0,AVERAGE(N$350:N$351,N348),""),"")</f>
        <v/>
      </c>
      <c r="AE403" s="122"/>
      <c r="AF403" s="266" t="s">
        <v>382</v>
      </c>
      <c r="AG403" s="287" t="str">
        <f aca="false">IFERROR(IF(C$350*C$351*C348&gt;0,STDEV(C$350:C$351,C348)," ")/IF(C$350*C$351*C348&gt;0,SQRT(COUNT(C$350:C$351,C348)),""),"")</f>
        <v/>
      </c>
      <c r="AH403" s="287" t="str">
        <f aca="false">IFERROR(IF(D$350*D$351*D348&gt;0,STDEV(D$350:D$351,D348)," ")/IF(D$350*D$351*D348&gt;0,SQRT(COUNT(D$350:D$351,D348)),""),"")</f>
        <v/>
      </c>
      <c r="AI403" s="287" t="str">
        <f aca="false">IFERROR(IF(E$350*E$351*E348&gt;0,STDEV(E$350:E$351,E348)," ")/IF(E$350*E$351*E348&gt;0,SQRT(COUNT(E$350:E$351,E348)),""),"")</f>
        <v/>
      </c>
      <c r="AJ403" s="287" t="str">
        <f aca="false">IFERROR(IF(F$350*F$351*F348&gt;0,STDEV(F$350:F$351,F348)," ")/IF(F$350*F$351*F348&gt;0,SQRT(COUNT(F$350:F$351,F348)),""),"")</f>
        <v/>
      </c>
      <c r="AK403" s="287" t="str">
        <f aca="false">IFERROR(IF(G$350*G$351*G348&gt;0,STDEV(G$350:G$351,G348)," ")/IF(G$350*G$351*G348&gt;0,SQRT(COUNT(G$350:G$351,G348)),""),"")</f>
        <v/>
      </c>
      <c r="AL403" s="287" t="str">
        <f aca="false">IFERROR(IF(H$350*H$351*H348&gt;0,STDEV(H$350:H$351,H348)," ")/IF(H$350*H$351*H348&gt;0,SQRT(COUNT(H$350:H$351,H348)),""),"")</f>
        <v/>
      </c>
      <c r="AM403" s="287" t="str">
        <f aca="false">IFERROR(IF(I$350*I$351*I348&gt;0,STDEV(I$350:I$351,I348)," ")/IF(I$350*I$351*I348&gt;0,SQRT(COUNT(I$350:I$351,I348)),""),"")</f>
        <v/>
      </c>
      <c r="AN403" s="287" t="str">
        <f aca="false">IFERROR(IF(J$350*J$351*J348&gt;0,STDEV(J$350:J$351,J348)," ")/IF(J$350*J$351*J348&gt;0,SQRT(COUNT(J$350:J$351,J348)),""),"")</f>
        <v/>
      </c>
      <c r="AO403" s="287" t="str">
        <f aca="false">IFERROR(IF(K$350*K$351*K348&gt;0,STDEV(K$350:K$351,K348)," ")/IF(K$350*K$351*K348&gt;0,SQRT(COUNT(K$350:K$351,K348)),""),"")</f>
        <v/>
      </c>
      <c r="AP403" s="287" t="str">
        <f aca="false">IFERROR(IF(L$350*L$351*L348&gt;0,STDEV(L$350:L$351,L348)," ")/IF(L$350*L$351*L348&gt;0,SQRT(COUNT(L$350:L$351,L348)),""),"")</f>
        <v/>
      </c>
      <c r="AQ403" s="287" t="str">
        <f aca="false">IFERROR(IF(M$350*M$351*M348&gt;0,STDEV(M$350:M$351,M348)," ")/IF(M$350*M$351*M348&gt;0,SQRT(COUNT(M$350:M$351,M348)),""),"")</f>
        <v/>
      </c>
      <c r="AR403" s="287" t="str">
        <f aca="false">IFERROR(IF(N$350*N$351*N348&gt;0,STDEV(N$350:N$351,N348)," ")/IF(N$350*N$351*N348&gt;0,SQRT(COUNT(N$350:N$351,N348)),""),"")</f>
        <v/>
      </c>
    </row>
    <row r="404" customFormat="false" ht="15.75" hidden="false" customHeight="false" outlineLevel="0" collapsed="false">
      <c r="A404" s="290" t="s">
        <v>383</v>
      </c>
      <c r="B404" s="281"/>
      <c r="C404" s="291" t="str">
        <f aca="false">IFERROR(IF(C$350*C$351*C352&gt;0,AVERAGE(C$350:C$351,C352),""),"")</f>
        <v/>
      </c>
      <c r="D404" s="291" t="str">
        <f aca="false">IFERROR(IF(D$350*D$351*D352&gt;0,AVERAGE(D$350:D$351,D352),""),"")</f>
        <v/>
      </c>
      <c r="E404" s="291" t="str">
        <f aca="false">IFERROR(IF(E$350*E$351*E352&gt;0,AVERAGE(E$350:E$351,E352),""),"")</f>
        <v/>
      </c>
      <c r="F404" s="291" t="str">
        <f aca="false">IFERROR(IF(F$350*F$351*F352&gt;0,AVERAGE(F$350:F$351,F352),""),"")</f>
        <v/>
      </c>
      <c r="G404" s="291" t="str">
        <f aca="false">IFERROR(IF(G$350*G$351*G352&gt;0,AVERAGE(G$350:G$351,G352),""),"")</f>
        <v/>
      </c>
      <c r="H404" s="291" t="str">
        <f aca="false">IFERROR(IF(H$350*H$351*H352&gt;0,AVERAGE(H$350:H$351,H352),""),"")</f>
        <v/>
      </c>
      <c r="I404" s="291" t="str">
        <f aca="false">IFERROR(IF(I$350*I$351*I352&gt;0,AVERAGE(I$350:I$351,I352),""),"")</f>
        <v/>
      </c>
      <c r="J404" s="291" t="str">
        <f aca="false">IFERROR(IF(J$350*J$351*J352&gt;0,AVERAGE(J$350:J$351,J352),""),"")</f>
        <v/>
      </c>
      <c r="K404" s="291" t="str">
        <f aca="false">IFERROR(IF(K$350*K$351*K352&gt;0,AVERAGE(K$350:K$351,K352),""),"")</f>
        <v/>
      </c>
      <c r="L404" s="291" t="str">
        <f aca="false">IFERROR(IF(L$350*L$351*L352&gt;0,AVERAGE(L$350:L$351,L352),""),"")</f>
        <v/>
      </c>
      <c r="M404" s="291" t="str">
        <f aca="false">IFERROR(IF(M$350*M$351*M352&gt;0,AVERAGE(M$350:M$351,M352),""),"")</f>
        <v/>
      </c>
      <c r="N404" s="291" t="str">
        <f aca="false">IFERROR(IF(N$350*N$351*N352&gt;0,AVERAGE(N$350:N$351,N352),""),"")</f>
        <v/>
      </c>
      <c r="O404" s="282"/>
      <c r="P404" s="282"/>
      <c r="Q404" s="296"/>
      <c r="R404" s="293" t="s">
        <v>384</v>
      </c>
      <c r="S404" s="294" t="str">
        <f aca="false">IFERROR(IF(C$350*C$351*C352&gt;0,STDEV(C$350:C$351,C352),"")/IF(C$350*C$351*C352&gt;0,AVERAGE(C$350:C$351,C352),""),"")</f>
        <v/>
      </c>
      <c r="T404" s="294" t="str">
        <f aca="false">IFERROR(IF(D$350*D$351*D352&gt;0,STDEV(D$350:D$351,D352),"")/IF(D$350*D$351*D352&gt;0,AVERAGE(D$350:D$351,D352),""),"")</f>
        <v/>
      </c>
      <c r="U404" s="294" t="str">
        <f aca="false">IFERROR(IF(E$350*E$351*E352&gt;0,STDEV(E$350:E$351,E352),"")/IF(E$350*E$351*E352&gt;0,AVERAGE(E$350:E$351,E352),""),"")</f>
        <v/>
      </c>
      <c r="V404" s="294" t="str">
        <f aca="false">IFERROR(IF(F$350*F$351*F352&gt;0,STDEV(F$350:F$351,F352),"")/IF(F$350*F$351*F352&gt;0,AVERAGE(F$350:F$351,F352),""),"")</f>
        <v/>
      </c>
      <c r="W404" s="294" t="str">
        <f aca="false">IFERROR(IF(G$350*G$351*G352&gt;0,STDEV(G$350:G$351,G352),"")/IF(G$350*G$351*G352&gt;0,AVERAGE(G$350:G$351,G352),""),"")</f>
        <v/>
      </c>
      <c r="X404" s="294" t="str">
        <f aca="false">IFERROR(IF(H$350*H$351*H352&gt;0,STDEV(H$350:H$351,H352),"")/IF(H$350*H$351*H352&gt;0,AVERAGE(H$350:H$351,H352),""),"")</f>
        <v/>
      </c>
      <c r="Y404" s="294" t="str">
        <f aca="false">IFERROR(IF(I$350*I$351*I352&gt;0,STDEV(I$350:I$351,I352),"")/IF(I$350*I$351*I352&gt;0,AVERAGE(I$350:I$351,I352),""),"")</f>
        <v/>
      </c>
      <c r="Z404" s="294" t="str">
        <f aca="false">IFERROR(IF(J$350*J$351*J352&gt;0,STDEV(J$350:J$351,J352),"")/IF(J$350*J$351*J352&gt;0,AVERAGE(J$350:J$351,J352),""),"")</f>
        <v/>
      </c>
      <c r="AA404" s="294" t="str">
        <f aca="false">IFERROR(IF(K$350*K$351*K352&gt;0,STDEV(K$350:K$351,K352),"")/IF(K$350*K$351*K352&gt;0,AVERAGE(K$350:K$351,K352),""),"")</f>
        <v/>
      </c>
      <c r="AB404" s="294" t="str">
        <f aca="false">IFERROR(IF(L$350*L$351*L352&gt;0,STDEV(L$350:L$351,L352),"")/IF(L$350*L$351*L352&gt;0,AVERAGE(L$350:L$351,L352),""),"")</f>
        <v/>
      </c>
      <c r="AC404" s="294" t="str">
        <f aca="false">IFERROR(IF(M$350*M$351*M352&gt;0,STDEV(M$350:M$351,M352),"")/IF(M$350*M$351*M352&gt;0,AVERAGE(M$350:M$351,M352),""),"")</f>
        <v/>
      </c>
      <c r="AD404" s="294" t="str">
        <f aca="false">IFERROR(IF(N$350*N$351*N352&gt;0,STDEV(N$350:N$351,N352),"")/IF(N$350*N$351*N352&gt;0,AVERAGE(N$350:N$351,N352),""),"")</f>
        <v/>
      </c>
      <c r="AE404" s="44"/>
      <c r="AF404" s="266" t="s">
        <v>385</v>
      </c>
      <c r="AG404" s="287" t="str">
        <f aca="false">IFERROR(IF(C$350*C$351*C352&gt;0,STDEV(C$350:C$351,C352)," ")/IF(C$350*C$351*C352&gt;0,SQRT(COUNT(C$350:C$351,C352))," "),"")</f>
        <v/>
      </c>
      <c r="AH404" s="287" t="str">
        <f aca="false">IFERROR(IF(D$350*D$351*D352&gt;0,STDEV(D$350:D$351,D352)," ")/IF(D$350*D$351*D352&gt;0,SQRT(COUNT(D$350:D$351,D352))," "),"")</f>
        <v/>
      </c>
      <c r="AI404" s="287" t="str">
        <f aca="false">IFERROR(IF(E$350*E$351*E352&gt;0,STDEV(E$350:E$351,E352)," ")/IF(E$350*E$351*E352&gt;0,SQRT(COUNT(E$350:E$351,E352))," "),"")</f>
        <v/>
      </c>
      <c r="AJ404" s="287" t="str">
        <f aca="false">IFERROR(IF(F$350*F$351*F352&gt;0,STDEV(F$350:F$351,F352)," ")/IF(F$350*F$351*F352&gt;0,SQRT(COUNT(F$350:F$351,F352))," "),"")</f>
        <v/>
      </c>
      <c r="AK404" s="287" t="str">
        <f aca="false">IFERROR(IF(G$350*G$351*G352&gt;0,STDEV(G$350:G$351,G352)," ")/IF(G$350*G$351*G352&gt;0,SQRT(COUNT(G$350:G$351,G352))," "),"")</f>
        <v/>
      </c>
      <c r="AL404" s="287" t="str">
        <f aca="false">IFERROR(IF(H$350*H$351*H352&gt;0,STDEV(H$350:H$351,H352)," ")/IF(H$350*H$351*H352&gt;0,SQRT(COUNT(H$350:H$351,H352))," "),"")</f>
        <v/>
      </c>
      <c r="AM404" s="287" t="str">
        <f aca="false">IFERROR(IF(I$350*I$351*I352&gt;0,STDEV(I$350:I$351,I352)," ")/IF(I$350*I$351*I352&gt;0,SQRT(COUNT(I$350:I$351,I352))," "),"")</f>
        <v/>
      </c>
      <c r="AN404" s="287" t="str">
        <f aca="false">IFERROR(IF(J$350*J$351*J352&gt;0,STDEV(J$350:J$351,J352)," ")/IF(J$350*J$351*J352&gt;0,SQRT(COUNT(J$350:J$351,J352))," "),"")</f>
        <v/>
      </c>
      <c r="AO404" s="287" t="str">
        <f aca="false">IFERROR(IF(K$350*K$351*K352&gt;0,STDEV(K$350:K$351,K352)," ")/IF(K$350*K$351*K352&gt;0,SQRT(COUNT(K$350:K$351,K352))," "),"")</f>
        <v/>
      </c>
      <c r="AP404" s="287" t="str">
        <f aca="false">IFERROR(IF(L$350*L$351*L352&gt;0,STDEV(L$350:L$351,L352)," ")/IF(L$350*L$351*L352&gt;0,SQRT(COUNT(L$350:L$351,L352))," "),"")</f>
        <v/>
      </c>
      <c r="AQ404" s="287" t="str">
        <f aca="false">IFERROR(IF(M$350*M$351*M352&gt;0,STDEV(M$350:M$351,M352)," ")/IF(M$350*M$351*M352&gt;0,SQRT(COUNT(M$350:M$351,M352))," "),"")</f>
        <v/>
      </c>
      <c r="AR404" s="287" t="str">
        <f aca="false">IFERROR(IF(N$350*N$351*N352&gt;0,STDEV(N$350:N$351,N352)," ")/IF(N$350*N$351*N352&gt;0,SQRT(COUNT(N$350:N$351,N352))," "),"")</f>
        <v/>
      </c>
    </row>
    <row r="405" customFormat="false" ht="15.75" hidden="false" customHeight="false" outlineLevel="0" collapsed="false">
      <c r="A405" s="290" t="s">
        <v>386</v>
      </c>
      <c r="B405" s="281"/>
      <c r="C405" s="291" t="str">
        <f aca="false">IFERROR(IF(C$350*C$351*C353&gt;0,AVERAGE(C$350:C$351,C353),""),"")</f>
        <v/>
      </c>
      <c r="D405" s="291" t="str">
        <f aca="false">IFERROR(IF(D$350*D$351*D353&gt;0,AVERAGE(D$350:D$351,D353),""),"")</f>
        <v/>
      </c>
      <c r="E405" s="291" t="str">
        <f aca="false">IFERROR(IF(E$350*E$351*E353&gt;0,AVERAGE(E$350:E$351,E353),""),"")</f>
        <v/>
      </c>
      <c r="F405" s="291" t="str">
        <f aca="false">IFERROR(IF(F$350*F$351*F353&gt;0,AVERAGE(F$350:F$351,F353),""),"")</f>
        <v/>
      </c>
      <c r="G405" s="291" t="str">
        <f aca="false">IFERROR(IF(G$350*G$351*G353&gt;0,AVERAGE(G$350:G$351,G353),""),"")</f>
        <v/>
      </c>
      <c r="H405" s="291" t="str">
        <f aca="false">IFERROR(IF(H$350*H$351*H353&gt;0,AVERAGE(H$350:H$351,H353),""),"")</f>
        <v/>
      </c>
      <c r="I405" s="291" t="str">
        <f aca="false">IFERROR(IF(I$350*I$351*I353&gt;0,AVERAGE(I$350:I$351,I353),""),"")</f>
        <v/>
      </c>
      <c r="J405" s="291" t="str">
        <f aca="false">IFERROR(IF(J$350*J$351*J353&gt;0,AVERAGE(J$350:J$351,J353),""),"")</f>
        <v/>
      </c>
      <c r="K405" s="291" t="str">
        <f aca="false">IFERROR(IF(K$350*K$351*K353&gt;0,AVERAGE(K$350:K$351,K353),""),"")</f>
        <v/>
      </c>
      <c r="L405" s="291" t="str">
        <f aca="false">IFERROR(IF(L$350*L$351*L353&gt;0,AVERAGE(L$350:L$351,L353),""),"")</f>
        <v/>
      </c>
      <c r="M405" s="291" t="str">
        <f aca="false">IFERROR(IF(M$350*M$351*M353&gt;0,AVERAGE(M$350:M$351,M353),""),"")</f>
        <v/>
      </c>
      <c r="N405" s="291" t="str">
        <f aca="false">IFERROR(IF(N$350*N$351*N353&gt;0,AVERAGE(N$350:N$351,N353),""),"")</f>
        <v/>
      </c>
      <c r="O405" s="282"/>
      <c r="P405" s="282"/>
      <c r="Q405" s="296"/>
      <c r="R405" s="293" t="s">
        <v>387</v>
      </c>
      <c r="S405" s="294" t="str">
        <f aca="false">IFERROR(IF(C$350*C$351*C353&gt;0,STDEV(C$350:C$351,C353),"")/IF(C$350*C$351*C353&gt;0,AVERAGE(C$350:C$351,C353),""),"")</f>
        <v/>
      </c>
      <c r="T405" s="294" t="str">
        <f aca="false">IFERROR(IF(D$350*D$351*D353&gt;0,STDEV(D$350:D$351,D353),"")/IF(D$350*D$351*D353&gt;0,AVERAGE(D$350:D$351,D353),""),"")</f>
        <v/>
      </c>
      <c r="U405" s="294" t="str">
        <f aca="false">IFERROR(IF(E$350*E$351*E353&gt;0,STDEV(E$350:E$351,E353),"")/IF(E$350*E$351*E353&gt;0,AVERAGE(E$350:E$351,E353),""),"")</f>
        <v/>
      </c>
      <c r="V405" s="294" t="str">
        <f aca="false">IFERROR(IF(F$350*F$351*F353&gt;0,STDEV(F$350:F$351,F353),"")/IF(F$350*F$351*F353&gt;0,AVERAGE(F$350:F$351,F353),""),"")</f>
        <v/>
      </c>
      <c r="W405" s="294" t="str">
        <f aca="false">IFERROR(IF(G$350*G$351*G353&gt;0,STDEV(G$350:G$351,G353),"")/IF(G$350*G$351*G353&gt;0,AVERAGE(G$350:G$351,G353),""),"")</f>
        <v/>
      </c>
      <c r="X405" s="294" t="str">
        <f aca="false">IFERROR(IF(H$350*H$351*H353&gt;0,STDEV(H$350:H$351,H353),"")/IF(H$350*H$351*H353&gt;0,AVERAGE(H$350:H$351,H353),""),"")</f>
        <v/>
      </c>
      <c r="Y405" s="294" t="str">
        <f aca="false">IFERROR(IF(I$350*I$351*I353&gt;0,STDEV(I$350:I$351,I353),"")/IF(I$350*I$351*I353&gt;0,AVERAGE(I$350:I$351,I353),""),"")</f>
        <v/>
      </c>
      <c r="Z405" s="294" t="str">
        <f aca="false">IFERROR(IF(J$350*J$351*J353&gt;0,STDEV(J$350:J$351,J353),"")/IF(J$350*J$351*J353&gt;0,AVERAGE(J$350:J$351,J353),""),"")</f>
        <v/>
      </c>
      <c r="AA405" s="294" t="str">
        <f aca="false">IFERROR(IF(K$350*K$351*K353&gt;0,STDEV(K$350:K$351,K353),"")/IF(K$350*K$351*K353&gt;0,AVERAGE(K$350:K$351,K353),""),"")</f>
        <v/>
      </c>
      <c r="AB405" s="294" t="str">
        <f aca="false">IFERROR(IF(L$350*L$351*L353&gt;0,STDEV(L$350:L$351,L353),"")/IF(L$350*L$351*L353&gt;0,AVERAGE(L$350:L$351,L353),""),"")</f>
        <v/>
      </c>
      <c r="AC405" s="294" t="str">
        <f aca="false">IFERROR(IF(M$350*M$351*M353&gt;0,STDEV(M$350:M$351,M353),"")/IF(M$350*M$351*M353&gt;0,AVERAGE(M$350:M$351,M353),""),"")</f>
        <v/>
      </c>
      <c r="AD405" s="294" t="str">
        <f aca="false">IFERROR(IF(N$350*N$351*N353&gt;0,STDEV(N$350:N$351,N353),"")/IF(N$350*N$351*N353&gt;0,AVERAGE(N$350:N$351,N353),""),"")</f>
        <v/>
      </c>
      <c r="AE405" s="44"/>
      <c r="AF405" s="266" t="s">
        <v>388</v>
      </c>
      <c r="AG405" s="287" t="str">
        <f aca="false">IFERROR(IF(C$350*C$351*C353&gt;0,STDEV(C$350:C$351,C353)," ")/IF(C$350*C$351*C353&gt;0,SQRT(COUNT(C$350:C$351,C353))," "),"")</f>
        <v/>
      </c>
      <c r="AH405" s="287" t="str">
        <f aca="false">IFERROR(IF(D$350*D$351*D353&gt;0,STDEV(D$350:D$351,D353)," ")/IF(D$350*D$351*D353&gt;0,SQRT(COUNT(D$350:D$351,D353))," "),"")</f>
        <v/>
      </c>
      <c r="AI405" s="287" t="str">
        <f aca="false">IFERROR(IF(E$350*E$351*E353&gt;0,STDEV(E$350:E$351,E353)," ")/IF(E$350*E$351*E353&gt;0,SQRT(COUNT(E$350:E$351,E353))," "),"")</f>
        <v/>
      </c>
      <c r="AJ405" s="287" t="str">
        <f aca="false">IFERROR(IF(F$350*F$351*F353&gt;0,STDEV(F$350:F$351,F353)," ")/IF(F$350*F$351*F353&gt;0,SQRT(COUNT(F$350:F$351,F353))," "),"")</f>
        <v/>
      </c>
      <c r="AK405" s="287" t="str">
        <f aca="false">IFERROR(IF(G$350*G$351*G353&gt;0,STDEV(G$350:G$351,G353)," ")/IF(G$350*G$351*G353&gt;0,SQRT(COUNT(G$350:G$351,G353))," "),"")</f>
        <v/>
      </c>
      <c r="AL405" s="287" t="str">
        <f aca="false">IFERROR(IF(H$350*H$351*H353&gt;0,STDEV(H$350:H$351,H353)," ")/IF(H$350*H$351*H353&gt;0,SQRT(COUNT(H$350:H$351,H353))," "),"")</f>
        <v/>
      </c>
      <c r="AM405" s="287" t="str">
        <f aca="false">IFERROR(IF(I$350*I$351*I353&gt;0,STDEV(I$350:I$351,I353)," ")/IF(I$350*I$351*I353&gt;0,SQRT(COUNT(I$350:I$351,I353))," "),"")</f>
        <v/>
      </c>
      <c r="AN405" s="287" t="str">
        <f aca="false">IFERROR(IF(J$350*J$351*J353&gt;0,STDEV(J$350:J$351,J353)," ")/IF(J$350*J$351*J353&gt;0,SQRT(COUNT(J$350:J$351,J353))," "),"")</f>
        <v/>
      </c>
      <c r="AO405" s="287" t="str">
        <f aca="false">IFERROR(IF(K$350*K$351*K353&gt;0,STDEV(K$350:K$351,K353)," ")/IF(K$350*K$351*K353&gt;0,SQRT(COUNT(K$350:K$351,K353))," "),"")</f>
        <v/>
      </c>
      <c r="AP405" s="287" t="str">
        <f aca="false">IFERROR(IF(L$350*L$351*L353&gt;0,STDEV(L$350:L$351,L353)," ")/IF(L$350*L$351*L353&gt;0,SQRT(COUNT(L$350:L$351,L353))," "),"")</f>
        <v/>
      </c>
      <c r="AQ405" s="287" t="str">
        <f aca="false">IFERROR(IF(M$350*M$351*M353&gt;0,STDEV(M$350:M$351,M353)," ")/IF(M$350*M$351*M353&gt;0,SQRT(COUNT(M$350:M$351,M353))," "),"")</f>
        <v/>
      </c>
      <c r="AR405" s="287" t="str">
        <f aca="false">IFERROR(IF(N$350*N$351*N353&gt;0,STDEV(N$350:N$351,N353)," ")/IF(N$350*N$351*N353&gt;0,SQRT(COUNT(N$350:N$351,N353))," "),"")</f>
        <v/>
      </c>
    </row>
    <row r="406" customFormat="false" ht="15.75" hidden="false" customHeight="false" outlineLevel="0" collapsed="false">
      <c r="A406" s="290" t="s">
        <v>389</v>
      </c>
      <c r="B406" s="281"/>
      <c r="C406" s="291" t="str">
        <f aca="false">IFERROR(IF(C$351*C$352*C347&gt;0,AVERAGE(C$351:C$352,C347),""),"")</f>
        <v/>
      </c>
      <c r="D406" s="291" t="str">
        <f aca="false">IFERROR(IF(D$351*D$352*D347&gt;0,AVERAGE(D$351:D$352,D347),""),"")</f>
        <v/>
      </c>
      <c r="E406" s="291" t="str">
        <f aca="false">IFERROR(IF(E$351*E$352*E347&gt;0,AVERAGE(E$351:E$352,E347),""),"")</f>
        <v/>
      </c>
      <c r="F406" s="291" t="str">
        <f aca="false">IFERROR(IF(F$351*F$352*F347&gt;0,AVERAGE(F$351:F$352,F347),""),"")</f>
        <v/>
      </c>
      <c r="G406" s="291" t="str">
        <f aca="false">IFERROR(IF(G$351*G$352*G347&gt;0,AVERAGE(G$351:G$352,G347),""),"")</f>
        <v/>
      </c>
      <c r="H406" s="291" t="str">
        <f aca="false">IFERROR(IF(H$351*H$352*H347&gt;0,AVERAGE(H$351:H$352,H347),""),"")</f>
        <v/>
      </c>
      <c r="I406" s="291" t="str">
        <f aca="false">IFERROR(IF(I$351*I$352*I347&gt;0,AVERAGE(I$351:I$352,I347),""),"")</f>
        <v/>
      </c>
      <c r="J406" s="291" t="str">
        <f aca="false">IFERROR(IF(J$351*J$352*J347&gt;0,AVERAGE(J$351:J$352,J347),""),"")</f>
        <v/>
      </c>
      <c r="K406" s="291" t="str">
        <f aca="false">IFERROR(IF(K$351*K$352*K347&gt;0,AVERAGE(K$351:K$352,K347),""),"")</f>
        <v/>
      </c>
      <c r="L406" s="291" t="str">
        <f aca="false">IFERROR(IF(L$351*L$352*L347&gt;0,AVERAGE(L$351:L$352,L347),""),"")</f>
        <v/>
      </c>
      <c r="M406" s="291" t="str">
        <f aca="false">IFERROR(IF(M$351*M$352*M347&gt;0,AVERAGE(M$351:M$352,M347),""),"")</f>
        <v/>
      </c>
      <c r="N406" s="291" t="str">
        <f aca="false">IFERROR(IF(N$351*N$352*N347&gt;0,AVERAGE(N$351:N$352,N347),""),"")</f>
        <v/>
      </c>
      <c r="O406" s="282"/>
      <c r="P406" s="282"/>
      <c r="Q406" s="296"/>
      <c r="R406" s="293" t="s">
        <v>390</v>
      </c>
      <c r="S406" s="294" t="str">
        <f aca="false">IFERROR(IF(C$351*C$352*C347&gt;0,STDEV(C$351:C$352,C347),"")/IF(C$351*C$352*C347&gt;0,AVERAGE(C$351:C$352,C347),""),"")</f>
        <v/>
      </c>
      <c r="T406" s="294" t="str">
        <f aca="false">IFERROR(IF(D$351*D$352*D347&gt;0,STDEV(D$351:D$352,D347),"")/IF(D$351*D$352*D347&gt;0,AVERAGE(D$351:D$352,D347),""),"")</f>
        <v/>
      </c>
      <c r="U406" s="294" t="str">
        <f aca="false">IFERROR(IF(E$351*E$352*E347&gt;0,STDEV(E$351:E$352,E347),"")/IF(E$351*E$352*E347&gt;0,AVERAGE(E$351:E$352,E347),""),"")</f>
        <v/>
      </c>
      <c r="V406" s="294" t="str">
        <f aca="false">IFERROR(IF(F$351*F$352*F347&gt;0,STDEV(F$351:F$352,F347),"")/IF(F$351*F$352*F347&gt;0,AVERAGE(F$351:F$352,F347),""),"")</f>
        <v/>
      </c>
      <c r="W406" s="294" t="str">
        <f aca="false">IFERROR(IF(G$351*G$352*G347&gt;0,STDEV(G$351:G$352,G347),"")/IF(G$351*G$352*G347&gt;0,AVERAGE(G$351:G$352,G347),""),"")</f>
        <v/>
      </c>
      <c r="X406" s="294" t="str">
        <f aca="false">IFERROR(IF(H$351*H$352*H347&gt;0,STDEV(H$351:H$352,H347),"")/IF(H$351*H$352*H347&gt;0,AVERAGE(H$351:H$352,H347),""),"")</f>
        <v/>
      </c>
      <c r="Y406" s="294" t="str">
        <f aca="false">IFERROR(IF(I$351*I$352*I347&gt;0,STDEV(I$351:I$352,I347),"")/IF(I$351*I$352*I347&gt;0,AVERAGE(I$351:I$352,I347),""),"")</f>
        <v/>
      </c>
      <c r="Z406" s="294" t="str">
        <f aca="false">IFERROR(IF(J$351*J$352*J347&gt;0,STDEV(J$351:J$352,J347),"")/IF(J$351*J$352*J347&gt;0,AVERAGE(J$351:J$352,J347),""),"")</f>
        <v/>
      </c>
      <c r="AA406" s="294" t="str">
        <f aca="false">IFERROR(IF(K$351*K$352*K347&gt;0,STDEV(K$351:K$352,K347),"")/IF(K$351*K$352*K347&gt;0,AVERAGE(K$351:K$352,K347),""),"")</f>
        <v/>
      </c>
      <c r="AB406" s="294" t="str">
        <f aca="false">IFERROR(IF(L$351*L$352*L347&gt;0,STDEV(L$351:L$352,L347),"")/IF(L$351*L$352*L347&gt;0,AVERAGE(L$351:L$352,L347),""),"")</f>
        <v/>
      </c>
      <c r="AC406" s="294" t="str">
        <f aca="false">IFERROR(IF(M$351*M$352*M347&gt;0,STDEV(M$351:M$352,M347),"")/IF(M$351*M$352*M347&gt;0,AVERAGE(M$351:M$352,M347),""),"")</f>
        <v/>
      </c>
      <c r="AD406" s="294" t="str">
        <f aca="false">IFERROR(IF(N$351*N$352*N347&gt;0,STDEV(N$351:N$352,N347),"")/IF(N$351*N$352*N347&gt;0,AVERAGE(N$351:N$352,N347),""),"")</f>
        <v/>
      </c>
      <c r="AE406" s="44"/>
      <c r="AF406" s="266" t="s">
        <v>391</v>
      </c>
      <c r="AG406" s="287" t="str">
        <f aca="false">IFERROR(IF(C$351*C$352*C347&gt;0,STDEV(C$351:C$352,C347)," ")/IF(C$351*C$352*C347&gt;0,SQRT(COUNT(C$351:C$352,C347))," "),"")</f>
        <v/>
      </c>
      <c r="AH406" s="287" t="str">
        <f aca="false">IFERROR(IF(D$351*D$352*D347&gt;0,STDEV(D$351:D$352,D347)," ")/IF(D$351*D$352*D347&gt;0,SQRT(COUNT(D$351:D$352,D347))," "),"")</f>
        <v/>
      </c>
      <c r="AI406" s="287" t="str">
        <f aca="false">IFERROR(IF(E$351*E$352*E347&gt;0,STDEV(E$351:E$352,E347)," ")/IF(E$351*E$352*E347&gt;0,SQRT(COUNT(E$351:E$352,E347))," "),"")</f>
        <v/>
      </c>
      <c r="AJ406" s="287" t="str">
        <f aca="false">IFERROR(IF(F$351*F$352*F347&gt;0,STDEV(F$351:F$352,F347)," ")/IF(F$351*F$352*F347&gt;0,SQRT(COUNT(F$351:F$352,F347))," "),"")</f>
        <v/>
      </c>
      <c r="AK406" s="287" t="str">
        <f aca="false">IFERROR(IF(G$351*G$352*G347&gt;0,STDEV(G$351:G$352,G347)," ")/IF(G$351*G$352*G347&gt;0,SQRT(COUNT(G$351:G$352,G347))," "),"")</f>
        <v/>
      </c>
      <c r="AL406" s="287" t="str">
        <f aca="false">IFERROR(IF(H$351*H$352*H347&gt;0,STDEV(H$351:H$352,H347)," ")/IF(H$351*H$352*H347&gt;0,SQRT(COUNT(H$351:H$352,H347))," "),"")</f>
        <v/>
      </c>
      <c r="AM406" s="287" t="str">
        <f aca="false">IFERROR(IF(I$351*I$352*I347&gt;0,STDEV(I$351:I$352,I347)," ")/IF(I$351*I$352*I347&gt;0,SQRT(COUNT(I$351:I$352,I347))," "),"")</f>
        <v/>
      </c>
      <c r="AN406" s="287" t="str">
        <f aca="false">IFERROR(IF(J$351*J$352*J347&gt;0,STDEV(J$351:J$352,J347)," ")/IF(J$351*J$352*J347&gt;0,SQRT(COUNT(J$351:J$352,J347))," "),"")</f>
        <v/>
      </c>
      <c r="AO406" s="287" t="str">
        <f aca="false">IFERROR(IF(K$351*K$352*K347&gt;0,STDEV(K$351:K$352,K347)," ")/IF(K$351*K$352*K347&gt;0,SQRT(COUNT(K$351:K$352,K347))," "),"")</f>
        <v/>
      </c>
      <c r="AP406" s="287" t="str">
        <f aca="false">IFERROR(IF(L$351*L$352*L347&gt;0,STDEV(L$351:L$352,L347)," ")/IF(L$351*L$352*L347&gt;0,SQRT(COUNT(L$351:L$352,L347))," "),"")</f>
        <v/>
      </c>
      <c r="AQ406" s="287" t="str">
        <f aca="false">IFERROR(IF(M$351*M$352*M347&gt;0,STDEV(M$351:M$352,M347)," ")/IF(M$351*M$352*M347&gt;0,SQRT(COUNT(M$351:M$352,M347))," "),"")</f>
        <v/>
      </c>
      <c r="AR406" s="287" t="str">
        <f aca="false">IFERROR(IF(N$351*N$352*N347&gt;0,STDEV(N$351:N$352,N347)," ")/IF(N$351*N$352*N347&gt;0,SQRT(COUNT(N$351:N$352,N347))," "),"")</f>
        <v/>
      </c>
    </row>
    <row r="407" customFormat="false" ht="15.75" hidden="false" customHeight="false" outlineLevel="0" collapsed="false">
      <c r="A407" s="290" t="s">
        <v>392</v>
      </c>
      <c r="B407" s="281"/>
      <c r="C407" s="291" t="str">
        <f aca="false">IFERROR(IF(C$351*C$352*C348&gt;0,AVERAGE(C$351:C$352,C348),""),"")</f>
        <v/>
      </c>
      <c r="D407" s="291" t="str">
        <f aca="false">IFERROR(IF(D$351*D$352*D348&gt;0,AVERAGE(D$351:D$352,D348),""),"")</f>
        <v/>
      </c>
      <c r="E407" s="291" t="str">
        <f aca="false">IFERROR(IF(E$351*E$352*E348&gt;0,AVERAGE(E$351:E$352,E348),""),"")</f>
        <v/>
      </c>
      <c r="F407" s="291" t="str">
        <f aca="false">IFERROR(IF(F$351*F$352*F348&gt;0,AVERAGE(F$351:F$352,F348),""),"")</f>
        <v/>
      </c>
      <c r="G407" s="291" t="str">
        <f aca="false">IFERROR(IF(G$351*G$352*G348&gt;0,AVERAGE(G$351:G$352,G348),""),"")</f>
        <v/>
      </c>
      <c r="H407" s="291" t="str">
        <f aca="false">IFERROR(IF(H$351*H$352*H348&gt;0,AVERAGE(H$351:H$352,H348),""),"")</f>
        <v/>
      </c>
      <c r="I407" s="291" t="str">
        <f aca="false">IFERROR(IF(I$351*I$352*I348&gt;0,AVERAGE(I$351:I$352,I348),""),"")</f>
        <v/>
      </c>
      <c r="J407" s="291" t="str">
        <f aca="false">IFERROR(IF(J$351*J$352*J348&gt;0,AVERAGE(J$351:J$352,J348),""),"")</f>
        <v/>
      </c>
      <c r="K407" s="291" t="str">
        <f aca="false">IFERROR(IF(K$351*K$352*K348&gt;0,AVERAGE(K$351:K$352,K348),""),"")</f>
        <v/>
      </c>
      <c r="L407" s="291" t="str">
        <f aca="false">IFERROR(IF(L$351*L$352*L348&gt;0,AVERAGE(L$351:L$352,L348),""),"")</f>
        <v/>
      </c>
      <c r="M407" s="291" t="str">
        <f aca="false">IFERROR(IF(M$351*M$352*M348&gt;0,AVERAGE(M$351:M$352,M348),""),"")</f>
        <v/>
      </c>
      <c r="N407" s="291" t="str">
        <f aca="false">IFERROR(IF(N$351*N$352*N348&gt;0,AVERAGE(N$351:N$352,N348),""),"")</f>
        <v/>
      </c>
      <c r="O407" s="282"/>
      <c r="P407" s="282"/>
      <c r="Q407" s="296"/>
      <c r="R407" s="293" t="s">
        <v>393</v>
      </c>
      <c r="S407" s="294" t="str">
        <f aca="false">IFERROR(IF(C$351*C$352*C348&gt;0,STDEV(C$351:C$352,C348),"")/IF(C$351*C$352*C348&gt;0,AVERAGE(C$351:C$352,C348),""),"")</f>
        <v/>
      </c>
      <c r="T407" s="294" t="str">
        <f aca="false">IFERROR(IF(D$351*D$352*D348&gt;0,STDEV(D$351:D$352,D348),"")/IF(D$351*D$352*D348&gt;0,AVERAGE(D$351:D$352,D348),""),"")</f>
        <v/>
      </c>
      <c r="U407" s="294" t="str">
        <f aca="false">IFERROR(IF(E$351*E$352*E348&gt;0,STDEV(E$351:E$352,E348),"")/IF(E$351*E$352*E348&gt;0,AVERAGE(E$351:E$352,E348),""),"")</f>
        <v/>
      </c>
      <c r="V407" s="294" t="str">
        <f aca="false">IFERROR(IF(F$351*F$352*F348&gt;0,STDEV(F$351:F$352,F348),"")/IF(F$351*F$352*F348&gt;0,AVERAGE(F$351:F$352,F348),""),"")</f>
        <v/>
      </c>
      <c r="W407" s="294" t="str">
        <f aca="false">IFERROR(IF(G$351*G$352*G348&gt;0,STDEV(G$351:G$352,G348),"")/IF(G$351*G$352*G348&gt;0,AVERAGE(G$351:G$352,G348),""),"")</f>
        <v/>
      </c>
      <c r="X407" s="294" t="str">
        <f aca="false">IFERROR(IF(H$351*H$352*H348&gt;0,STDEV(H$351:H$352,H348),"")/IF(H$351*H$352*H348&gt;0,AVERAGE(H$351:H$352,H348),""),"")</f>
        <v/>
      </c>
      <c r="Y407" s="294" t="str">
        <f aca="false">IFERROR(IF(I$351*I$352*I348&gt;0,STDEV(I$351:I$352,I348),"")/IF(I$351*I$352*I348&gt;0,AVERAGE(I$351:I$352,I348),""),"")</f>
        <v/>
      </c>
      <c r="Z407" s="294" t="str">
        <f aca="false">IFERROR(IF(J$351*J$352*J348&gt;0,STDEV(J$351:J$352,J348),"")/IF(J$351*J$352*J348&gt;0,AVERAGE(J$351:J$352,J348),""),"")</f>
        <v/>
      </c>
      <c r="AA407" s="294" t="str">
        <f aca="false">IFERROR(IF(K$351*K$352*K348&gt;0,STDEV(K$351:K$352,K348),"")/IF(K$351*K$352*K348&gt;0,AVERAGE(K$351:K$352,K348),""),"")</f>
        <v/>
      </c>
      <c r="AB407" s="294" t="str">
        <f aca="false">IFERROR(IF(L$351*L$352*L348&gt;0,STDEV(L$351:L$352,L348),"")/IF(L$351*L$352*L348&gt;0,AVERAGE(L$351:L$352,L348),""),"")</f>
        <v/>
      </c>
      <c r="AC407" s="294" t="str">
        <f aca="false">IFERROR(IF(M$351*M$352*M348&gt;0,STDEV(M$351:M$352,M348),"")/IF(M$351*M$352*M348&gt;0,AVERAGE(M$351:M$352,M348),""),"")</f>
        <v/>
      </c>
      <c r="AD407" s="294" t="str">
        <f aca="false">IFERROR(IF(N$351*N$352*N348&gt;0,STDEV(N$351:N$352,N348),"")/IF(N$351*N$352*N348&gt;0,AVERAGE(N$351:N$352,N348),""),"")</f>
        <v/>
      </c>
      <c r="AE407" s="44"/>
      <c r="AF407" s="266" t="s">
        <v>394</v>
      </c>
      <c r="AG407" s="287" t="str">
        <f aca="false">IFERROR(IF(C$351*C$352*C348&gt;0,STDEV(C$351:C$352,C348)," ")/IF(C$351*C$352*C348&gt;0,SQRT(COUNT(C$351:C$352,C348))," "),"")</f>
        <v/>
      </c>
      <c r="AH407" s="287" t="str">
        <f aca="false">IFERROR(IF(D$351*D$352*D348&gt;0,STDEV(D$351:D$352,D348)," ")/IF(D$351*D$352*D348&gt;0,SQRT(COUNT(D$351:D$352,D348))," "),"")</f>
        <v/>
      </c>
      <c r="AI407" s="287" t="str">
        <f aca="false">IFERROR(IF(E$351*E$352*E348&gt;0,STDEV(E$351:E$352,E348)," ")/IF(E$351*E$352*E348&gt;0,SQRT(COUNT(E$351:E$352,E348))," "),"")</f>
        <v/>
      </c>
      <c r="AJ407" s="287" t="str">
        <f aca="false">IFERROR(IF(F$351*F$352*F348&gt;0,STDEV(F$351:F$352,F348)," ")/IF(F$351*F$352*F348&gt;0,SQRT(COUNT(F$351:F$352,F348))," "),"")</f>
        <v/>
      </c>
      <c r="AK407" s="287" t="str">
        <f aca="false">IFERROR(IF(G$351*G$352*G348&gt;0,STDEV(G$351:G$352,G348)," ")/IF(G$351*G$352*G348&gt;0,SQRT(COUNT(G$351:G$352,G348))," "),"")</f>
        <v/>
      </c>
      <c r="AL407" s="287" t="str">
        <f aca="false">IFERROR(IF(H$351*H$352*H348&gt;0,STDEV(H$351:H$352,H348)," ")/IF(H$351*H$352*H348&gt;0,SQRT(COUNT(H$351:H$352,H348))," "),"")</f>
        <v/>
      </c>
      <c r="AM407" s="287" t="str">
        <f aca="false">IFERROR(IF(I$351*I$352*I348&gt;0,STDEV(I$351:I$352,I348)," ")/IF(I$351*I$352*I348&gt;0,SQRT(COUNT(I$351:I$352,I348))," "),"")</f>
        <v/>
      </c>
      <c r="AN407" s="287" t="str">
        <f aca="false">IFERROR(IF(J$351*J$352*J348&gt;0,STDEV(J$351:J$352,J348)," ")/IF(J$351*J$352*J348&gt;0,SQRT(COUNT(J$351:J$352,J348))," "),"")</f>
        <v/>
      </c>
      <c r="AO407" s="287" t="str">
        <f aca="false">IFERROR(IF(K$351*K$352*K348&gt;0,STDEV(K$351:K$352,K348)," ")/IF(K$351*K$352*K348&gt;0,SQRT(COUNT(K$351:K$352,K348))," "),"")</f>
        <v/>
      </c>
      <c r="AP407" s="287" t="str">
        <f aca="false">IFERROR(IF(L$351*L$352*L348&gt;0,STDEV(L$351:L$352,L348)," ")/IF(L$351*L$352*L348&gt;0,SQRT(COUNT(L$351:L$352,L348))," "),"")</f>
        <v/>
      </c>
      <c r="AQ407" s="287" t="str">
        <f aca="false">IFERROR(IF(M$351*M$352*M348&gt;0,STDEV(M$351:M$352,M348)," ")/IF(M$351*M$352*M348&gt;0,SQRT(COUNT(M$351:M$352,M348))," "),"")</f>
        <v/>
      </c>
      <c r="AR407" s="287" t="str">
        <f aca="false">IFERROR(IF(N$351*N$352*N348&gt;0,STDEV(N$351:N$352,N348)," ")/IF(N$351*N$352*N348&gt;0,SQRT(COUNT(N$351:N$352,N348))," "),"")</f>
        <v/>
      </c>
    </row>
    <row r="408" customFormat="false" ht="15.75" hidden="false" customHeight="false" outlineLevel="0" collapsed="false">
      <c r="A408" s="290" t="s">
        <v>395</v>
      </c>
      <c r="B408" s="281"/>
      <c r="C408" s="291" t="str">
        <f aca="false">IFERROR(IF(C$351*C$352*C349&gt;0,AVERAGE(C$351:C$352,C349),""),"")</f>
        <v/>
      </c>
      <c r="D408" s="291" t="str">
        <f aca="false">IFERROR(IF(D$351*D$352*D349&gt;0,AVERAGE(D$351:D$352,D349),""),"")</f>
        <v/>
      </c>
      <c r="E408" s="291" t="str">
        <f aca="false">IFERROR(IF(E$351*E$352*E349&gt;0,AVERAGE(E$351:E$352,E349),""),"")</f>
        <v/>
      </c>
      <c r="F408" s="291" t="str">
        <f aca="false">IFERROR(IF(F$351*F$352*F349&gt;0,AVERAGE(F$351:F$352,F349),""),"")</f>
        <v/>
      </c>
      <c r="G408" s="291" t="str">
        <f aca="false">IFERROR(IF(G$351*G$352*G349&gt;0,AVERAGE(G$351:G$352,G349),""),"")</f>
        <v/>
      </c>
      <c r="H408" s="291" t="str">
        <f aca="false">IFERROR(IF(H$351*H$352*H349&gt;0,AVERAGE(H$351:H$352,H349),""),"")</f>
        <v/>
      </c>
      <c r="I408" s="291" t="str">
        <f aca="false">IFERROR(IF(I$351*I$352*I349&gt;0,AVERAGE(I$351:I$352,I349),""),"")</f>
        <v/>
      </c>
      <c r="J408" s="291" t="str">
        <f aca="false">IFERROR(IF(J$351*J$352*J349&gt;0,AVERAGE(J$351:J$352,J349),""),"")</f>
        <v/>
      </c>
      <c r="K408" s="291" t="str">
        <f aca="false">IFERROR(IF(K$351*K$352*K349&gt;0,AVERAGE(K$351:K$352,K349),""),"")</f>
        <v/>
      </c>
      <c r="L408" s="291" t="str">
        <f aca="false">IFERROR(IF(L$351*L$352*L349&gt;0,AVERAGE(L$351:L$352,L349),""),"")</f>
        <v/>
      </c>
      <c r="M408" s="291" t="str">
        <f aca="false">IFERROR(IF(M$351*M$352*M349&gt;0,AVERAGE(M$351:M$352,M349),""),"")</f>
        <v/>
      </c>
      <c r="N408" s="291" t="str">
        <f aca="false">IFERROR(IF(N$351*N$352*N349&gt;0,AVERAGE(N$351:N$352,N349),""),"")</f>
        <v/>
      </c>
      <c r="O408" s="282"/>
      <c r="P408" s="282"/>
      <c r="Q408" s="296"/>
      <c r="R408" s="293" t="s">
        <v>396</v>
      </c>
      <c r="S408" s="294" t="str">
        <f aca="false">IFERROR(IF(C$351*C$352*C349&gt;0,STDEV(C$351:C$352,C349),"")/IF(C$351*C$352*C349&gt;0,AVERAGE(C$351:C$352,C349),""),"")</f>
        <v/>
      </c>
      <c r="T408" s="294" t="str">
        <f aca="false">IFERROR(IF(D$351*D$352*D349&gt;0,STDEV(D$351:D$352,D349),"")/IF(D$351*D$352*D349&gt;0,AVERAGE(D$351:D$352,D349),""),"")</f>
        <v/>
      </c>
      <c r="U408" s="294" t="str">
        <f aca="false">IFERROR(IF(E$351*E$352*E349&gt;0,STDEV(E$351:E$352,E349),"")/IF(E$351*E$352*E349&gt;0,AVERAGE(E$351:E$352,E349),""),"")</f>
        <v/>
      </c>
      <c r="V408" s="294" t="str">
        <f aca="false">IFERROR(IF(F$351*F$352*F349&gt;0,STDEV(F$351:F$352,F349),"")/IF(F$351*F$352*F349&gt;0,AVERAGE(F$351:F$352,F349),""),"")</f>
        <v/>
      </c>
      <c r="W408" s="294" t="str">
        <f aca="false">IFERROR(IF(G$351*G$352*G349&gt;0,STDEV(G$351:G$352,G349),"")/IF(G$351*G$352*G349&gt;0,AVERAGE(G$351:G$352,G349),""),"")</f>
        <v/>
      </c>
      <c r="X408" s="294" t="str">
        <f aca="false">IFERROR(IF(H$351*H$352*H349&gt;0,STDEV(H$351:H$352,H349),"")/IF(H$351*H$352*H349&gt;0,AVERAGE(H$351:H$352,H349),""),"")</f>
        <v/>
      </c>
      <c r="Y408" s="294" t="str">
        <f aca="false">IFERROR(IF(I$351*I$352*I349&gt;0,STDEV(I$351:I$352,I349),"")/IF(I$351*I$352*I349&gt;0,AVERAGE(I$351:I$352,I349),""),"")</f>
        <v/>
      </c>
      <c r="Z408" s="294" t="str">
        <f aca="false">IFERROR(IF(J$351*J$352*J349&gt;0,STDEV(J$351:J$352,J349),"")/IF(J$351*J$352*J349&gt;0,AVERAGE(J$351:J$352,J349),""),"")</f>
        <v/>
      </c>
      <c r="AA408" s="294" t="str">
        <f aca="false">IFERROR(IF(K$351*K$352*K349&gt;0,STDEV(K$351:K$352,K349),"")/IF(K$351*K$352*K349&gt;0,AVERAGE(K$351:K$352,K349),""),"")</f>
        <v/>
      </c>
      <c r="AB408" s="294" t="str">
        <f aca="false">IFERROR(IF(L$351*L$352*L349&gt;0,STDEV(L$351:L$352,L349),"")/IF(L$351*L$352*L349&gt;0,AVERAGE(L$351:L$352,L349),""),"")</f>
        <v/>
      </c>
      <c r="AC408" s="294" t="str">
        <f aca="false">IFERROR(IF(M$351*M$352*M349&gt;0,STDEV(M$351:M$352,M349),"")/IF(M$351*M$352*M349&gt;0,AVERAGE(M$351:M$352,M349),""),"")</f>
        <v/>
      </c>
      <c r="AD408" s="294" t="str">
        <f aca="false">IFERROR(IF(N$351*N$352*N349&gt;0,STDEV(N$351:N$352,N349),"")/IF(N$351*N$352*N349&gt;0,AVERAGE(N$351:N$352,N349),""),"")</f>
        <v/>
      </c>
      <c r="AE408" s="44"/>
      <c r="AF408" s="266" t="s">
        <v>397</v>
      </c>
      <c r="AG408" s="287" t="str">
        <f aca="false">IFERROR(IF(C$351*C$352*C349&gt;0,STDEV(C$351:C$352,C349)," ")/IF(C$351*C$352*C349&gt;0,SQRT(COUNT(C$351:C$352,C349))," "),"")</f>
        <v/>
      </c>
      <c r="AH408" s="287" t="str">
        <f aca="false">IFERROR(IF(D$351*D$352*D349&gt;0,STDEV(D$351:D$352,D349)," ")/IF(D$351*D$352*D349&gt;0,SQRT(COUNT(D$351:D$352,D349))," "),"")</f>
        <v/>
      </c>
      <c r="AI408" s="287" t="str">
        <f aca="false">IFERROR(IF(E$351*E$352*E349&gt;0,STDEV(E$351:E$352,E349)," ")/IF(E$351*E$352*E349&gt;0,SQRT(COUNT(E$351:E$352,E349))," "),"")</f>
        <v/>
      </c>
      <c r="AJ408" s="287" t="str">
        <f aca="false">IFERROR(IF(F$351*F$352*F349&gt;0,STDEV(F$351:F$352,F349)," ")/IF(F$351*F$352*F349&gt;0,SQRT(COUNT(F$351:F$352,F349))," "),"")</f>
        <v/>
      </c>
      <c r="AK408" s="287" t="str">
        <f aca="false">IFERROR(IF(G$351*G$352*G349&gt;0,STDEV(G$351:G$352,G349)," ")/IF(G$351*G$352*G349&gt;0,SQRT(COUNT(G$351:G$352,G349))," "),"")</f>
        <v/>
      </c>
      <c r="AL408" s="287" t="str">
        <f aca="false">IFERROR(IF(H$351*H$352*H349&gt;0,STDEV(H$351:H$352,H349)," ")/IF(H$351*H$352*H349&gt;0,SQRT(COUNT(H$351:H$352,H349))," "),"")</f>
        <v/>
      </c>
      <c r="AM408" s="287" t="str">
        <f aca="false">IFERROR(IF(I$351*I$352*I349&gt;0,STDEV(I$351:I$352,I349)," ")/IF(I$351*I$352*I349&gt;0,SQRT(COUNT(I$351:I$352,I349))," "),"")</f>
        <v/>
      </c>
      <c r="AN408" s="287" t="str">
        <f aca="false">IFERROR(IF(J$351*J$352*J349&gt;0,STDEV(J$351:J$352,J349)," ")/IF(J$351*J$352*J349&gt;0,SQRT(COUNT(J$351:J$352,J349))," "),"")</f>
        <v/>
      </c>
      <c r="AO408" s="287" t="str">
        <f aca="false">IFERROR(IF(K$351*K$352*K349&gt;0,STDEV(K$351:K$352,K349)," ")/IF(K$351*K$352*K349&gt;0,SQRT(COUNT(K$351:K$352,K349))," "),"")</f>
        <v/>
      </c>
      <c r="AP408" s="287" t="str">
        <f aca="false">IFERROR(IF(L$351*L$352*L349&gt;0,STDEV(L$351:L$352,L349)," ")/IF(L$351*L$352*L349&gt;0,SQRT(COUNT(L$351:L$352,L349))," "),"")</f>
        <v/>
      </c>
      <c r="AQ408" s="287" t="str">
        <f aca="false">IFERROR(IF(M$351*M$352*M349&gt;0,STDEV(M$351:M$352,M349)," ")/IF(M$351*M$352*M349&gt;0,SQRT(COUNT(M$351:M$352,M349))," "),"")</f>
        <v/>
      </c>
      <c r="AR408" s="287" t="str">
        <f aca="false">IFERROR(IF(N$351*N$352*N349&gt;0,STDEV(N$351:N$352,N349)," ")/IF(N$351*N$352*N349&gt;0,SQRT(COUNT(N$351:N$352,N349))," "),"")</f>
        <v/>
      </c>
    </row>
    <row r="409" customFormat="false" ht="15.75" hidden="false" customHeight="false" outlineLevel="0" collapsed="false">
      <c r="A409" s="290" t="s">
        <v>398</v>
      </c>
      <c r="B409" s="281"/>
      <c r="C409" s="291" t="str">
        <f aca="false">IFERROR(IF(C$351*C$352*C350&gt;0,AVERAGE(C$351:C$352,C350),""),"")</f>
        <v/>
      </c>
      <c r="D409" s="291" t="str">
        <f aca="false">IFERROR(IF(D$351*D$352*D350&gt;0,AVERAGE(D$351:D$352,D350),""),"")</f>
        <v/>
      </c>
      <c r="E409" s="291" t="str">
        <f aca="false">IFERROR(IF(E$351*E$352*E350&gt;0,AVERAGE(E$351:E$352,E350),""),"")</f>
        <v/>
      </c>
      <c r="F409" s="291" t="str">
        <f aca="false">IFERROR(IF(F$351*F$352*F350&gt;0,AVERAGE(F$351:F$352,F350),""),"")</f>
        <v/>
      </c>
      <c r="G409" s="291" t="str">
        <f aca="false">IFERROR(IF(G$351*G$352*G350&gt;0,AVERAGE(G$351:G$352,G350),""),"")</f>
        <v/>
      </c>
      <c r="H409" s="291" t="str">
        <f aca="false">IFERROR(IF(H$351*H$352*H350&gt;0,AVERAGE(H$351:H$352,H350),""),"")</f>
        <v/>
      </c>
      <c r="I409" s="291" t="str">
        <f aca="false">IFERROR(IF(I$351*I$352*I350&gt;0,AVERAGE(I$351:I$352,I350),""),"")</f>
        <v/>
      </c>
      <c r="J409" s="291" t="str">
        <f aca="false">IFERROR(IF(J$351*J$352*J350&gt;0,AVERAGE(J$351:J$352,J350),""),"")</f>
        <v/>
      </c>
      <c r="K409" s="291" t="str">
        <f aca="false">IFERROR(IF(K$351*K$352*K350&gt;0,AVERAGE(K$351:K$352,K350),""),"")</f>
        <v/>
      </c>
      <c r="L409" s="291" t="str">
        <f aca="false">IFERROR(IF(L$351*L$352*L350&gt;0,AVERAGE(L$351:L$352,L350),""),"")</f>
        <v/>
      </c>
      <c r="M409" s="291" t="str">
        <f aca="false">IFERROR(IF(M$351*M$352*M350&gt;0,AVERAGE(M$351:M$352,M350),""),"")</f>
        <v/>
      </c>
      <c r="N409" s="291" t="str">
        <f aca="false">IFERROR(IF(N$351*N$352*N350&gt;0,AVERAGE(N$351:N$352,N350),""),"")</f>
        <v/>
      </c>
      <c r="O409" s="282"/>
      <c r="P409" s="282"/>
      <c r="Q409" s="296"/>
      <c r="R409" s="293" t="s">
        <v>399</v>
      </c>
      <c r="S409" s="294" t="str">
        <f aca="false">IFERROR(IF(C$351*C$352*C350&gt;0,STDEV(C$351:C$352,C350),"")/IF(C$351*C$352*C350&gt;0,AVERAGE(C$351:C$352,C350),""),"")</f>
        <v/>
      </c>
      <c r="T409" s="294" t="str">
        <f aca="false">IFERROR(IF(D$351*D$352*D350&gt;0,STDEV(D$351:D$352,D350),"")/IF(D$351*D$352*D350&gt;0,AVERAGE(D$351:D$352,D350),""),"")</f>
        <v/>
      </c>
      <c r="U409" s="294" t="str">
        <f aca="false">IFERROR(IF(E$351*E$352*E350&gt;0,STDEV(E$351:E$352,E350),"")/IF(E$351*E$352*E350&gt;0,AVERAGE(E$351:E$352,E350),""),"")</f>
        <v/>
      </c>
      <c r="V409" s="294" t="str">
        <f aca="false">IFERROR(IF(F$351*F$352*F350&gt;0,STDEV(F$351:F$352,F350),"")/IF(F$351*F$352*F350&gt;0,AVERAGE(F$351:F$352,F350),""),"")</f>
        <v/>
      </c>
      <c r="W409" s="294" t="str">
        <f aca="false">IFERROR(IF(G$351*G$352*G350&gt;0,STDEV(G$351:G$352,G350),"")/IF(G$351*G$352*G350&gt;0,AVERAGE(G$351:G$352,G350),""),"")</f>
        <v/>
      </c>
      <c r="X409" s="294" t="str">
        <f aca="false">IFERROR(IF(H$351*H$352*H350&gt;0,STDEV(H$351:H$352,H350),"")/IF(H$351*H$352*H350&gt;0,AVERAGE(H$351:H$352,H350),""),"")</f>
        <v/>
      </c>
      <c r="Y409" s="294" t="str">
        <f aca="false">IFERROR(IF(I$351*I$352*I350&gt;0,STDEV(I$351:I$352,I350),"")/IF(I$351*I$352*I350&gt;0,AVERAGE(I$351:I$352,I350),""),"")</f>
        <v/>
      </c>
      <c r="Z409" s="294" t="str">
        <f aca="false">IFERROR(IF(J$351*J$352*J350&gt;0,STDEV(J$351:J$352,J350),"")/IF(J$351*J$352*J350&gt;0,AVERAGE(J$351:J$352,J350),""),"")</f>
        <v/>
      </c>
      <c r="AA409" s="294" t="str">
        <f aca="false">IFERROR(IF(K$351*K$352*K350&gt;0,STDEV(K$351:K$352,K350),"")/IF(K$351*K$352*K350&gt;0,AVERAGE(K$351:K$352,K350),""),"")</f>
        <v/>
      </c>
      <c r="AB409" s="294" t="str">
        <f aca="false">IFERROR(IF(L$351*L$352*L350&gt;0,STDEV(L$351:L$352,L350),"")/IF(L$351*L$352*L350&gt;0,AVERAGE(L$351:L$352,L350),""),"")</f>
        <v/>
      </c>
      <c r="AC409" s="294" t="str">
        <f aca="false">IFERROR(IF(M$351*M$352*M350&gt;0,STDEV(M$351:M$352,M350),"")/IF(M$351*M$352*M350&gt;0,AVERAGE(M$351:M$352,M350),""),"")</f>
        <v/>
      </c>
      <c r="AD409" s="294" t="str">
        <f aca="false">IFERROR(IF(N$351*N$352*N350&gt;0,STDEV(N$351:N$352,N350),"")/IF(N$351*N$352*N350&gt;0,AVERAGE(N$351:N$352,N350),""),"")</f>
        <v/>
      </c>
      <c r="AE409" s="44"/>
      <c r="AF409" s="266" t="s">
        <v>400</v>
      </c>
      <c r="AG409" s="287" t="str">
        <f aca="false">IFERROR(IF(C$351*C$352*C350&gt;0,STDEV(C$351:C$352,C350)," ")/IF(C$351*C$352*C350&gt;0,SQRT(COUNT(C$351:C$352,C350))," "),"")</f>
        <v/>
      </c>
      <c r="AH409" s="287" t="str">
        <f aca="false">IFERROR(IF(D$351*D$352*D350&gt;0,STDEV(D$351:D$352,D350)," ")/IF(D$351*D$352*D350&gt;0,SQRT(COUNT(D$351:D$352,D350))," "),"")</f>
        <v/>
      </c>
      <c r="AI409" s="287" t="str">
        <f aca="false">IFERROR(IF(E$351*E$352*E350&gt;0,STDEV(E$351:E$352,E350)," ")/IF(E$351*E$352*E350&gt;0,SQRT(COUNT(E$351:E$352,E350))," "),"")</f>
        <v/>
      </c>
      <c r="AJ409" s="287" t="str">
        <f aca="false">IFERROR(IF(F$351*F$352*F350&gt;0,STDEV(F$351:F$352,F350)," ")/IF(F$351*F$352*F350&gt;0,SQRT(COUNT(F$351:F$352,F350))," "),"")</f>
        <v/>
      </c>
      <c r="AK409" s="287" t="str">
        <f aca="false">IFERROR(IF(G$351*G$352*G350&gt;0,STDEV(G$351:G$352,G350)," ")/IF(G$351*G$352*G350&gt;0,SQRT(COUNT(G$351:G$352,G350))," "),"")</f>
        <v/>
      </c>
      <c r="AL409" s="287" t="str">
        <f aca="false">IFERROR(IF(H$351*H$352*H350&gt;0,STDEV(H$351:H$352,H350)," ")/IF(H$351*H$352*H350&gt;0,SQRT(COUNT(H$351:H$352,H350))," "),"")</f>
        <v/>
      </c>
      <c r="AM409" s="287" t="str">
        <f aca="false">IFERROR(IF(I$351*I$352*I350&gt;0,STDEV(I$351:I$352,I350)," ")/IF(I$351*I$352*I350&gt;0,SQRT(COUNT(I$351:I$352,I350))," "),"")</f>
        <v/>
      </c>
      <c r="AN409" s="287" t="str">
        <f aca="false">IFERROR(IF(J$351*J$352*J350&gt;0,STDEV(J$351:J$352,J350)," ")/IF(J$351*J$352*J350&gt;0,SQRT(COUNT(J$351:J$352,J350))," "),"")</f>
        <v/>
      </c>
      <c r="AO409" s="287" t="str">
        <f aca="false">IFERROR(IF(K$351*K$352*K350&gt;0,STDEV(K$351:K$352,K350)," ")/IF(K$351*K$352*K350&gt;0,SQRT(COUNT(K$351:K$352,K350))," "),"")</f>
        <v/>
      </c>
      <c r="AP409" s="287" t="str">
        <f aca="false">IFERROR(IF(L$351*L$352*L350&gt;0,STDEV(L$351:L$352,L350)," ")/IF(L$351*L$352*L350&gt;0,SQRT(COUNT(L$351:L$352,L350))," "),"")</f>
        <v/>
      </c>
      <c r="AQ409" s="287" t="str">
        <f aca="false">IFERROR(IF(M$351*M$352*M350&gt;0,STDEV(M$351:M$352,M350)," ")/IF(M$351*M$352*M350&gt;0,SQRT(COUNT(M$351:M$352,M350))," "),"")</f>
        <v/>
      </c>
      <c r="AR409" s="287" t="str">
        <f aca="false">IFERROR(IF(N$351*N$352*N350&gt;0,STDEV(N$351:N$352,N350)," ")/IF(N$351*N$352*N350&gt;0,SQRT(COUNT(N$351:N$352,N350))," "),"")</f>
        <v/>
      </c>
    </row>
    <row r="410" customFormat="false" ht="15.75" hidden="false" customHeight="false" outlineLevel="0" collapsed="false">
      <c r="A410" s="290" t="s">
        <v>401</v>
      </c>
      <c r="B410" s="281"/>
      <c r="C410" s="302" t="str">
        <f aca="false">IFERROR(IF(C$351*C$352*C353&gt;0,AVERAGE(C$351:C$352,C353),""),"")</f>
        <v/>
      </c>
      <c r="D410" s="302" t="str">
        <f aca="false">IFERROR(IF(D$351*D$352*D353&gt;0,AVERAGE(D$351:D$352,D353),""),"")</f>
        <v/>
      </c>
      <c r="E410" s="302" t="str">
        <f aca="false">IFERROR(IF(E$351*E$352*E353&gt;0,AVERAGE(E$351:E$352,E353),""),"")</f>
        <v/>
      </c>
      <c r="F410" s="302" t="str">
        <f aca="false">IFERROR(IF(F$351*F$352*F353&gt;0,AVERAGE(F$351:F$352,F353),""),"")</f>
        <v/>
      </c>
      <c r="G410" s="302" t="str">
        <f aca="false">IFERROR(IF(G$351*G$352*G353&gt;0,AVERAGE(G$351:G$352,G353),""),"")</f>
        <v/>
      </c>
      <c r="H410" s="302" t="str">
        <f aca="false">IFERROR(IF(H$351*H$352*H353&gt;0,AVERAGE(H$351:H$352,H353),""),"")</f>
        <v/>
      </c>
      <c r="I410" s="302" t="str">
        <f aca="false">IFERROR(IF(I$351*I$352*I353&gt;0,AVERAGE(I$351:I$352,I353),""),"")</f>
        <v/>
      </c>
      <c r="J410" s="302" t="str">
        <f aca="false">IFERROR(IF(J$351*J$352*J353&gt;0,AVERAGE(J$351:J$352,J353),""),"")</f>
        <v/>
      </c>
      <c r="K410" s="302" t="str">
        <f aca="false">IFERROR(IF(K$351*K$352*K353&gt;0,AVERAGE(K$351:K$352,K353),""),"")</f>
        <v/>
      </c>
      <c r="L410" s="302" t="str">
        <f aca="false">IFERROR(IF(L$351*L$352*L353&gt;0,AVERAGE(L$351:L$352,L353),""),"")</f>
        <v/>
      </c>
      <c r="M410" s="302" t="str">
        <f aca="false">IFERROR(IF(M$351*M$352*M353&gt;0,AVERAGE(M$351:M$352,M353),""),"")</f>
        <v/>
      </c>
      <c r="N410" s="302" t="str">
        <f aca="false">IFERROR(IF(N$351*N$352*N353&gt;0,AVERAGE(N$351:N$352,N353),""),"")</f>
        <v/>
      </c>
      <c r="O410" s="282"/>
      <c r="P410" s="282"/>
      <c r="Q410" s="296"/>
      <c r="R410" s="293" t="s">
        <v>402</v>
      </c>
      <c r="S410" s="294" t="str">
        <f aca="false">IFERROR(IF(C$351*C$352*C353&gt;0,STDEV(C$351:C$352,C353),"")/IF(C$351*C$352*C353&gt;0,AVERAGE(C$351:C$352,C353),""),"")</f>
        <v/>
      </c>
      <c r="T410" s="294" t="str">
        <f aca="false">IFERROR(IF(D$351*D$352*D353&gt;0,STDEV(D$351:D$352,D353),"")/IF(D$351*D$352*D353&gt;0,AVERAGE(D$351:D$352,D353),""),"")</f>
        <v/>
      </c>
      <c r="U410" s="294" t="str">
        <f aca="false">IFERROR(IF(E$351*E$352*E353&gt;0,STDEV(E$351:E$352,E353),"")/IF(E$351*E$352*E353&gt;0,AVERAGE(E$351:E$352,E353),""),"")</f>
        <v/>
      </c>
      <c r="V410" s="294" t="str">
        <f aca="false">IFERROR(IF(F$351*F$352*F353&gt;0,STDEV(F$351:F$352,F353),"")/IF(F$351*F$352*F353&gt;0,AVERAGE(F$351:F$352,F353),""),"")</f>
        <v/>
      </c>
      <c r="W410" s="294" t="str">
        <f aca="false">IFERROR(IF(G$351*G$352*G353&gt;0,STDEV(G$351:G$352,G353),"")/IF(G$351*G$352*G353&gt;0,AVERAGE(G$351:G$352,G353),""),"")</f>
        <v/>
      </c>
      <c r="X410" s="294" t="str">
        <f aca="false">IFERROR(IF(H$351*H$352*H353&gt;0,STDEV(H$351:H$352,H353),"")/IF(H$351*H$352*H353&gt;0,AVERAGE(H$351:H$352,H353),""),"")</f>
        <v/>
      </c>
      <c r="Y410" s="294" t="str">
        <f aca="false">IFERROR(IF(I$351*I$352*I353&gt;0,STDEV(I$351:I$352,I353),"")/IF(I$351*I$352*I353&gt;0,AVERAGE(I$351:I$352,I353),""),"")</f>
        <v/>
      </c>
      <c r="Z410" s="294" t="str">
        <f aca="false">IFERROR(IF(J$351*J$352*J353&gt;0,STDEV(J$351:J$352,J353),"")/IF(J$351*J$352*J353&gt;0,AVERAGE(J$351:J$352,J353),""),"")</f>
        <v/>
      </c>
      <c r="AA410" s="294" t="str">
        <f aca="false">IFERROR(IF(K$351*K$352*K353&gt;0,STDEV(K$351:K$352,K353),"")/IF(K$351*K$352*K353&gt;0,AVERAGE(K$351:K$352,K353),""),"")</f>
        <v/>
      </c>
      <c r="AB410" s="294" t="str">
        <f aca="false">IFERROR(IF(L$351*L$352*L353&gt;0,STDEV(L$351:L$352,L353),"")/IF(L$351*L$352*L353&gt;0,AVERAGE(L$351:L$352,L353),""),"")</f>
        <v/>
      </c>
      <c r="AC410" s="294" t="str">
        <f aca="false">IFERROR(IF(M$351*M$352*M353&gt;0,STDEV(M$351:M$352,M353),"")/IF(M$351*M$352*M353&gt;0,AVERAGE(M$351:M$352,M353),""),"")</f>
        <v/>
      </c>
      <c r="AD410" s="294" t="str">
        <f aca="false">IFERROR(IF(N$351*N$352*N353&gt;0,STDEV(N$351:N$352,N353),"")/IF(N$351*N$352*N353&gt;0,AVERAGE(N$351:N$352,N353),""),"")</f>
        <v/>
      </c>
      <c r="AE410" s="44"/>
      <c r="AF410" s="266" t="s">
        <v>403</v>
      </c>
      <c r="AG410" s="287" t="str">
        <f aca="false">IFERROR(IF(C$351*C$352*C353&gt;0,STDEV(C$351:C$352,C353)," ")/IF(C$351*C$352*C353&gt;0,SQRT(COUNT(C$351:C$352,C353))," "),"")</f>
        <v/>
      </c>
      <c r="AH410" s="287" t="str">
        <f aca="false">IFERROR(IF(D$351*D$352*D353&gt;0,STDEV(D$351:D$352,D353)," ")/IF(D$351*D$352*D353&gt;0,SQRT(COUNT(D$351:D$352,D353))," "),"")</f>
        <v/>
      </c>
      <c r="AI410" s="287" t="str">
        <f aca="false">IFERROR(IF(E$351*E$352*E353&gt;0,STDEV(E$351:E$352,E353)," ")/IF(E$351*E$352*E353&gt;0,SQRT(COUNT(E$351:E$352,E353))," "),"")</f>
        <v/>
      </c>
      <c r="AJ410" s="287" t="str">
        <f aca="false">IFERROR(IF(F$351*F$352*F353&gt;0,STDEV(F$351:F$352,F353)," ")/IF(F$351*F$352*F353&gt;0,SQRT(COUNT(F$351:F$352,F353))," "),"")</f>
        <v/>
      </c>
      <c r="AK410" s="287" t="str">
        <f aca="false">IFERROR(IF(G$351*G$352*G353&gt;0,STDEV(G$351:G$352,G353)," ")/IF(G$351*G$352*G353&gt;0,SQRT(COUNT(G$351:G$352,G353))," "),"")</f>
        <v/>
      </c>
      <c r="AL410" s="287" t="str">
        <f aca="false">IFERROR(IF(H$351*H$352*H353&gt;0,STDEV(H$351:H$352,H353)," ")/IF(H$351*H$352*H353&gt;0,SQRT(COUNT(H$351:H$352,H353))," "),"")</f>
        <v/>
      </c>
      <c r="AM410" s="287" t="str">
        <f aca="false">IFERROR(IF(I$351*I$352*I353&gt;0,STDEV(I$351:I$352,I353)," ")/IF(I$351*I$352*I353&gt;0,SQRT(COUNT(I$351:I$352,I353))," "),"")</f>
        <v/>
      </c>
      <c r="AN410" s="287" t="str">
        <f aca="false">IFERROR(IF(J$351*J$352*J353&gt;0,STDEV(J$351:J$352,J353)," ")/IF(J$351*J$352*J353&gt;0,SQRT(COUNT(J$351:J$352,J353))," "),"")</f>
        <v/>
      </c>
      <c r="AO410" s="287" t="str">
        <f aca="false">IFERROR(IF(K$351*K$352*K353&gt;0,STDEV(K$351:K$352,K353)," ")/IF(K$351*K$352*K353&gt;0,SQRT(COUNT(K$351:K$352,K353))," "),"")</f>
        <v/>
      </c>
      <c r="AP410" s="287" t="str">
        <f aca="false">IFERROR(IF(L$351*L$352*L353&gt;0,STDEV(L$351:L$352,L353)," ")/IF(L$351*L$352*L353&gt;0,SQRT(COUNT(L$351:L$352,L353))," "),"")</f>
        <v/>
      </c>
      <c r="AQ410" s="287" t="str">
        <f aca="false">IFERROR(IF(M$351*M$352*M353&gt;0,STDEV(M$351:M$352,M353)," ")/IF(M$351*M$352*M353&gt;0,SQRT(COUNT(M$351:M$352,M353))," "),"")</f>
        <v/>
      </c>
      <c r="AR410" s="287" t="str">
        <f aca="false">IFERROR(IF(N$351*N$352*N353&gt;0,STDEV(N$351:N$352,N353)," ")/IF(N$351*N$352*N353&gt;0,SQRT(COUNT(N$351:N$352,N353))," "),"")</f>
        <v/>
      </c>
    </row>
    <row r="411" customFormat="false" ht="15.75" hidden="false" customHeight="false" outlineLevel="0" collapsed="false">
      <c r="A411" s="290" t="s">
        <v>404</v>
      </c>
      <c r="B411" s="281"/>
      <c r="C411" s="302" t="str">
        <f aca="false">IFERROR(IF(C$352*C$353*C347&gt;0,AVERAGE(C$352:C$353,C347),""),"")</f>
        <v/>
      </c>
      <c r="D411" s="302" t="str">
        <f aca="false">IFERROR(IF(D$352*D$353*D347&gt;0,AVERAGE(D$352:D$353,D347),""),"")</f>
        <v/>
      </c>
      <c r="E411" s="302" t="str">
        <f aca="false">IFERROR(IF(E$352*E$353*E347&gt;0,AVERAGE(E$352:E$353,E347),""),"")</f>
        <v/>
      </c>
      <c r="F411" s="302" t="str">
        <f aca="false">IFERROR(IF(F$352*F$353*F347&gt;0,AVERAGE(F$352:F$353,F347),""),"")</f>
        <v/>
      </c>
      <c r="G411" s="302" t="str">
        <f aca="false">IFERROR(IF(G$352*G$353*G347&gt;0,AVERAGE(G$352:G$353,G347),""),"")</f>
        <v/>
      </c>
      <c r="H411" s="302" t="str">
        <f aca="false">IFERROR(IF(H$352*H$353*H347&gt;0,AVERAGE(H$352:H$353,H347),""),"")</f>
        <v/>
      </c>
      <c r="I411" s="302" t="str">
        <f aca="false">IFERROR(IF(I$352*I$353*I347&gt;0,AVERAGE(I$352:I$353,I347),""),"")</f>
        <v/>
      </c>
      <c r="J411" s="302" t="str">
        <f aca="false">IFERROR(IF(J$352*J$353*J347&gt;0,AVERAGE(J$352:J$353,J347),""),"")</f>
        <v/>
      </c>
      <c r="K411" s="302" t="str">
        <f aca="false">IFERROR(IF(K$352*K$353*K347&gt;0,AVERAGE(K$352:K$353,K347),""),"")</f>
        <v/>
      </c>
      <c r="L411" s="302" t="str">
        <f aca="false">IFERROR(IF(L$352*L$353*L347&gt;0,AVERAGE(L$352:L$353,L347),""),"")</f>
        <v/>
      </c>
      <c r="M411" s="302" t="str">
        <f aca="false">IFERROR(IF(M$352*M$353*M347&gt;0,AVERAGE(M$352:M$353,M347),""),"")</f>
        <v/>
      </c>
      <c r="N411" s="302" t="str">
        <f aca="false">IFERROR(IF(N$352*N$353*N347&gt;0,AVERAGE(N$352:N$353,N347),""),"")</f>
        <v/>
      </c>
      <c r="O411" s="282"/>
      <c r="P411" s="282"/>
      <c r="Q411" s="296"/>
      <c r="R411" s="293" t="s">
        <v>405</v>
      </c>
      <c r="S411" s="294" t="str">
        <f aca="false">IFERROR(IF(C$352*C$353*C347&gt;0,STDEV(C$352:C$353,C347),"")/IF(C$352*C$353*C347&gt;0,AVERAGE(C$352:C$353,C347),""),"")</f>
        <v/>
      </c>
      <c r="T411" s="294" t="str">
        <f aca="false">IFERROR(IF(D$352*D$353*D347&gt;0,STDEV(D$352:D$353,D347),"")/IF(D$352*D$353*D347&gt;0,AVERAGE(D$352:D$353,D347),""),"")</f>
        <v/>
      </c>
      <c r="U411" s="294" t="str">
        <f aca="false">IFERROR(IF(E$352*E$353*E347&gt;0,STDEV(E$352:E$353,E347),"")/IF(E$352*E$353*E347&gt;0,AVERAGE(E$352:E$353,E347),""),"")</f>
        <v/>
      </c>
      <c r="V411" s="294" t="str">
        <f aca="false">IFERROR(IF(F$352*F$353*F347&gt;0,STDEV(F$352:F$353,F347),"")/IF(F$352*F$353*F347&gt;0,AVERAGE(F$352:F$353,F347),""),"")</f>
        <v/>
      </c>
      <c r="W411" s="294" t="str">
        <f aca="false">IFERROR(IF(G$352*G$353*G347&gt;0,STDEV(G$352:G$353,G347),"")/IF(G$352*G$353*G347&gt;0,AVERAGE(G$352:G$353,G347),""),"")</f>
        <v/>
      </c>
      <c r="X411" s="294" t="str">
        <f aca="false">IFERROR(IF(H$352*H$353*H347&gt;0,STDEV(H$352:H$353,H347),"")/IF(H$352*H$353*H347&gt;0,AVERAGE(H$352:H$353,H347),""),"")</f>
        <v/>
      </c>
      <c r="Y411" s="294" t="str">
        <f aca="false">IFERROR(IF(I$352*I$353*I347&gt;0,STDEV(I$352:I$353,I347),"")/IF(I$352*I$353*I347&gt;0,AVERAGE(I$352:I$353,I347),""),"")</f>
        <v/>
      </c>
      <c r="Z411" s="294" t="str">
        <f aca="false">IFERROR(IF(J$352*J$353*J347&gt;0,STDEV(J$352:J$353,J347),"")/IF(J$352*J$353*J347&gt;0,AVERAGE(J$352:J$353,J347),""),"")</f>
        <v/>
      </c>
      <c r="AA411" s="294" t="str">
        <f aca="false">IFERROR(IF(K$352*K$353*K347&gt;0,STDEV(K$352:K$353,K347),"")/IF(K$352*K$353*K347&gt;0,AVERAGE(K$352:K$353,K347),""),"")</f>
        <v/>
      </c>
      <c r="AB411" s="294" t="str">
        <f aca="false">IFERROR(IF(L$352*L$353*L347&gt;0,STDEV(L$352:L$353,L347),"")/IF(L$352*L$353*L347&gt;0,AVERAGE(L$352:L$353,L347),""),"")</f>
        <v/>
      </c>
      <c r="AC411" s="294" t="str">
        <f aca="false">IFERROR(IF(M$352*M$353*M347&gt;0,STDEV(M$352:M$353,M347),"")/IF(M$352*M$353*M347&gt;0,AVERAGE(M$352:M$353,M347),""),"")</f>
        <v/>
      </c>
      <c r="AD411" s="294" t="str">
        <f aca="false">IFERROR(IF(N$352*N$353*N347&gt;0,STDEV(N$352:N$353,N347),"")/IF(N$352*N$353*N347&gt;0,AVERAGE(N$352:N$353,N347),""),"")</f>
        <v/>
      </c>
      <c r="AE411" s="44"/>
      <c r="AF411" s="266" t="s">
        <v>406</v>
      </c>
      <c r="AG411" s="287" t="str">
        <f aca="false">IFERROR(IF(C$352*C$353*C347&gt;0,STDEV(C$352:C$353,C347)," ")/IF(C$352*C$353*C347&gt;0,SQRT(COUNT(C$352:C$353,C347))," "),"")</f>
        <v/>
      </c>
      <c r="AH411" s="287" t="str">
        <f aca="false">IFERROR(IF(D$352*D$353*D347&gt;0,STDEV(D$352:D$353,D347)," ")/IF(D$352*D$353*D347&gt;0,SQRT(COUNT(D$352:D$353,D347))," "),"")</f>
        <v/>
      </c>
      <c r="AI411" s="287" t="str">
        <f aca="false">IFERROR(IF(E$352*E$353*E347&gt;0,STDEV(E$352:E$353,E347)," ")/IF(E$352*E$353*E347&gt;0,SQRT(COUNT(E$352:E$353,E347))," "),"")</f>
        <v/>
      </c>
      <c r="AJ411" s="287" t="str">
        <f aca="false">IFERROR(IF(F$352*F$353*F347&gt;0,STDEV(F$352:F$353,F347)," ")/IF(F$352*F$353*F347&gt;0,SQRT(COUNT(F$352:F$353,F347))," "),"")</f>
        <v/>
      </c>
      <c r="AK411" s="287" t="str">
        <f aca="false">IFERROR(IF(G$352*G$353*G347&gt;0,STDEV(G$352:G$353,G347)," ")/IF(G$352*G$353*G347&gt;0,SQRT(COUNT(G$352:G$353,G347))," "),"")</f>
        <v/>
      </c>
      <c r="AL411" s="287" t="str">
        <f aca="false">IFERROR(IF(H$352*H$353*H347&gt;0,STDEV(H$352:H$353,H347)," ")/IF(H$352*H$353*H347&gt;0,SQRT(COUNT(H$352:H$353,H347))," "),"")</f>
        <v/>
      </c>
      <c r="AM411" s="287" t="str">
        <f aca="false">IFERROR(IF(I$352*I$353*I347&gt;0,STDEV(I$352:I$353,I347)," ")/IF(I$352*I$353*I347&gt;0,SQRT(COUNT(I$352:I$353,I347))," "),"")</f>
        <v/>
      </c>
      <c r="AN411" s="287" t="str">
        <f aca="false">IFERROR(IF(J$352*J$353*J347&gt;0,STDEV(J$352:J$353,J347)," ")/IF(J$352*J$353*J347&gt;0,SQRT(COUNT(J$352:J$353,J347))," "),"")</f>
        <v/>
      </c>
      <c r="AO411" s="287" t="str">
        <f aca="false">IFERROR(IF(K$352*K$353*K347&gt;0,STDEV(K$352:K$353,K347)," ")/IF(K$352*K$353*K347&gt;0,SQRT(COUNT(K$352:K$353,K347))," "),"")</f>
        <v/>
      </c>
      <c r="AP411" s="287" t="str">
        <f aca="false">IFERROR(IF(L$352*L$353*L347&gt;0,STDEV(L$352:L$353,L347)," ")/IF(L$352*L$353*L347&gt;0,SQRT(COUNT(L$352:L$353,L347))," "),"")</f>
        <v/>
      </c>
      <c r="AQ411" s="287" t="str">
        <f aca="false">IFERROR(IF(M$352*M$353*M347&gt;0,STDEV(M$352:M$353,M347)," ")/IF(M$352*M$353*M347&gt;0,SQRT(COUNT(M$352:M$353,M347))," "),"")</f>
        <v/>
      </c>
      <c r="AR411" s="287" t="str">
        <f aca="false">IFERROR(IF(N$352*N$353*N347&gt;0,STDEV(N$352:N$353,N347)," ")/IF(N$352*N$353*N347&gt;0,SQRT(COUNT(N$352:N$353,N347))," "),"")</f>
        <v/>
      </c>
    </row>
    <row r="412" customFormat="false" ht="15.75" hidden="false" customHeight="false" outlineLevel="0" collapsed="false">
      <c r="A412" s="290" t="s">
        <v>407</v>
      </c>
      <c r="B412" s="281"/>
      <c r="C412" s="302" t="str">
        <f aca="false">IFERROR(IF(C$352*C$353*C348&gt;0,AVERAGE(C$352:C$353,C348),""),"")</f>
        <v/>
      </c>
      <c r="D412" s="302" t="str">
        <f aca="false">IFERROR(IF(D$352*D$353*D348&gt;0,AVERAGE(D$352:D$353,D348),""),"")</f>
        <v/>
      </c>
      <c r="E412" s="302" t="str">
        <f aca="false">IFERROR(IF(E$352*E$353*E348&gt;0,AVERAGE(E$352:E$353,E348),""),"")</f>
        <v/>
      </c>
      <c r="F412" s="302" t="str">
        <f aca="false">IFERROR(IF(F$352*F$353*F348&gt;0,AVERAGE(F$352:F$353,F348),""),"")</f>
        <v/>
      </c>
      <c r="G412" s="302" t="str">
        <f aca="false">IFERROR(IF(G$352*G$353*G348&gt;0,AVERAGE(G$352:G$353,G348),""),"")</f>
        <v/>
      </c>
      <c r="H412" s="302" t="str">
        <f aca="false">IFERROR(IF(H$352*H$353*H348&gt;0,AVERAGE(H$352:H$353,H348),""),"")</f>
        <v/>
      </c>
      <c r="I412" s="302" t="str">
        <f aca="false">IFERROR(IF(I$352*I$353*I348&gt;0,AVERAGE(I$352:I$353,I348),""),"")</f>
        <v/>
      </c>
      <c r="J412" s="302" t="str">
        <f aca="false">IFERROR(IF(J$352*J$353*J348&gt;0,AVERAGE(J$352:J$353,J348),""),"")</f>
        <v/>
      </c>
      <c r="K412" s="302" t="str">
        <f aca="false">IFERROR(IF(K$352*K$353*K348&gt;0,AVERAGE(K$352:K$353,K348),""),"")</f>
        <v/>
      </c>
      <c r="L412" s="302" t="str">
        <f aca="false">IFERROR(IF(L$352*L$353*L348&gt;0,AVERAGE(L$352:L$353,L348),""),"")</f>
        <v/>
      </c>
      <c r="M412" s="302" t="str">
        <f aca="false">IFERROR(IF(M$352*M$353*M348&gt;0,AVERAGE(M$352:M$353,M348),""),"")</f>
        <v/>
      </c>
      <c r="N412" s="302" t="str">
        <f aca="false">IFERROR(IF(N$352*N$353*N348&gt;0,AVERAGE(N$352:N$353,N348),""),"")</f>
        <v/>
      </c>
      <c r="O412" s="282"/>
      <c r="P412" s="282"/>
      <c r="Q412" s="296"/>
      <c r="R412" s="293" t="s">
        <v>408</v>
      </c>
      <c r="S412" s="294" t="str">
        <f aca="false">IFERROR(IF(C$352*C$353*C348&gt;0,STDEV(C$352:C$353,C348),"")/IF(C$352*C$353*C348&gt;0,AVERAGE(C$352:C$353,C348),""),"")</f>
        <v/>
      </c>
      <c r="T412" s="294" t="str">
        <f aca="false">IFERROR(IF(D$352*D$353*D348&gt;0,STDEV(D$352:D$353,D348),"")/IF(D$352*D$353*D348&gt;0,AVERAGE(D$352:D$353,D348),""),"")</f>
        <v/>
      </c>
      <c r="U412" s="294" t="str">
        <f aca="false">IFERROR(IF(E$352*E$353*E348&gt;0,STDEV(E$352:E$353,E348),"")/IF(E$352*E$353*E348&gt;0,AVERAGE(E$352:E$353,E348),""),"")</f>
        <v/>
      </c>
      <c r="V412" s="294" t="str">
        <f aca="false">IFERROR(IF(F$352*F$353*F348&gt;0,STDEV(F$352:F$353,F348),"")/IF(F$352*F$353*F348&gt;0,AVERAGE(F$352:F$353,F348),""),"")</f>
        <v/>
      </c>
      <c r="W412" s="294" t="str">
        <f aca="false">IFERROR(IF(G$352*G$353*G348&gt;0,STDEV(G$352:G$353,G348),"")/IF(G$352*G$353*G348&gt;0,AVERAGE(G$352:G$353,G348),""),"")</f>
        <v/>
      </c>
      <c r="X412" s="294" t="str">
        <f aca="false">IFERROR(IF(H$352*H$353*H348&gt;0,STDEV(H$352:H$353,H348),"")/IF(H$352*H$353*H348&gt;0,AVERAGE(H$352:H$353,H348),""),"")</f>
        <v/>
      </c>
      <c r="Y412" s="294" t="str">
        <f aca="false">IFERROR(IF(I$352*I$353*I348&gt;0,STDEV(I$352:I$353,I348),"")/IF(I$352*I$353*I348&gt;0,AVERAGE(I$352:I$353,I348),""),"")</f>
        <v/>
      </c>
      <c r="Z412" s="294" t="str">
        <f aca="false">IFERROR(IF(J$352*J$353*J348&gt;0,STDEV(J$352:J$353,J348),"")/IF(J$352*J$353*J348&gt;0,AVERAGE(J$352:J$353,J348),""),"")</f>
        <v/>
      </c>
      <c r="AA412" s="294" t="str">
        <f aca="false">IFERROR(IF(K$352*K$353*K348&gt;0,STDEV(K$352:K$353,K348),"")/IF(K$352*K$353*K348&gt;0,AVERAGE(K$352:K$353,K348),""),"")</f>
        <v/>
      </c>
      <c r="AB412" s="294" t="str">
        <f aca="false">IFERROR(IF(L$352*L$353*L348&gt;0,STDEV(L$352:L$353,L348),"")/IF(L$352*L$353*L348&gt;0,AVERAGE(L$352:L$353,L348),""),"")</f>
        <v/>
      </c>
      <c r="AC412" s="294" t="str">
        <f aca="false">IFERROR(IF(M$352*M$353*M348&gt;0,STDEV(M$352:M$353,M348),"")/IF(M$352*M$353*M348&gt;0,AVERAGE(M$352:M$353,M348),""),"")</f>
        <v/>
      </c>
      <c r="AD412" s="294" t="str">
        <f aca="false">IFERROR(IF(N$352*N$353*N348&gt;0,STDEV(N$352:N$353,N348),"")/IF(N$352*N$353*N348&gt;0,AVERAGE(N$352:N$353,N348),""),"")</f>
        <v/>
      </c>
      <c r="AE412" s="44"/>
      <c r="AF412" s="266" t="s">
        <v>409</v>
      </c>
      <c r="AG412" s="287" t="str">
        <f aca="false">IFERROR(IF(C$352*C$353*C348&gt;0,STDEV(C$352:C$353,C348)," ")/IF(C$352*C$353*C348&gt;0,SQRT(COUNT(C$352:C$353,C348))," "),"")</f>
        <v/>
      </c>
      <c r="AH412" s="287" t="str">
        <f aca="false">IFERROR(IF(D$352*D$353*D348&gt;0,STDEV(D$352:D$353,D348)," ")/IF(D$352*D$353*D348&gt;0,SQRT(COUNT(D$352:D$353,D348))," "),"")</f>
        <v/>
      </c>
      <c r="AI412" s="287" t="str">
        <f aca="false">IFERROR(IF(E$352*E$353*E348&gt;0,STDEV(E$352:E$353,E348)," ")/IF(E$352*E$353*E348&gt;0,SQRT(COUNT(E$352:E$353,E348))," "),"")</f>
        <v/>
      </c>
      <c r="AJ412" s="287" t="str">
        <f aca="false">IFERROR(IF(F$352*F$353*F348&gt;0,STDEV(F$352:F$353,F348)," ")/IF(F$352*F$353*F348&gt;0,SQRT(COUNT(F$352:F$353,F348))," "),"")</f>
        <v/>
      </c>
      <c r="AK412" s="287" t="str">
        <f aca="false">IFERROR(IF(G$352*G$353*G348&gt;0,STDEV(G$352:G$353,G348)," ")/IF(G$352*G$353*G348&gt;0,SQRT(COUNT(G$352:G$353,G348))," "),"")</f>
        <v/>
      </c>
      <c r="AL412" s="287" t="str">
        <f aca="false">IFERROR(IF(H$352*H$353*H348&gt;0,STDEV(H$352:H$353,H348)," ")/IF(H$352*H$353*H348&gt;0,SQRT(COUNT(H$352:H$353,H348))," "),"")</f>
        <v/>
      </c>
      <c r="AM412" s="287" t="str">
        <f aca="false">IFERROR(IF(I$352*I$353*I348&gt;0,STDEV(I$352:I$353,I348)," ")/IF(I$352*I$353*I348&gt;0,SQRT(COUNT(I$352:I$353,I348))," "),"")</f>
        <v/>
      </c>
      <c r="AN412" s="287" t="str">
        <f aca="false">IFERROR(IF(J$352*J$353*J348&gt;0,STDEV(J$352:J$353,J348)," ")/IF(J$352*J$353*J348&gt;0,SQRT(COUNT(J$352:J$353,J348))," "),"")</f>
        <v/>
      </c>
      <c r="AO412" s="287" t="str">
        <f aca="false">IFERROR(IF(K$352*K$353*K348&gt;0,STDEV(K$352:K$353,K348)," ")/IF(K$352*K$353*K348&gt;0,SQRT(COUNT(K$352:K$353,K348))," "),"")</f>
        <v/>
      </c>
      <c r="AP412" s="287" t="str">
        <f aca="false">IFERROR(IF(L$352*L$353*L348&gt;0,STDEV(L$352:L$353,L348)," ")/IF(L$352*L$353*L348&gt;0,SQRT(COUNT(L$352:L$353,L348))," "),"")</f>
        <v/>
      </c>
      <c r="AQ412" s="287" t="str">
        <f aca="false">IFERROR(IF(M$352*M$353*M348&gt;0,STDEV(M$352:M$353,M348)," ")/IF(M$352*M$353*M348&gt;0,SQRT(COUNT(M$352:M$353,M348))," "),"")</f>
        <v/>
      </c>
      <c r="AR412" s="287" t="str">
        <f aca="false">IFERROR(IF(N$352*N$353*N348&gt;0,STDEV(N$352:N$353,N348)," ")/IF(N$352*N$353*N348&gt;0,SQRT(COUNT(N$352:N$353,N348))," "),"")</f>
        <v/>
      </c>
    </row>
    <row r="413" customFormat="false" ht="15.75" hidden="false" customHeight="false" outlineLevel="0" collapsed="false">
      <c r="A413" s="290" t="s">
        <v>410</v>
      </c>
      <c r="B413" s="281"/>
      <c r="C413" s="302" t="str">
        <f aca="false">IFERROR(IF(C$352*C$353*C349&gt;0,AVERAGE(C$352:C$353,C349),""),"")</f>
        <v/>
      </c>
      <c r="D413" s="302" t="str">
        <f aca="false">IFERROR(IF(D$352*D$353*D349&gt;0,AVERAGE(D$352:D$353,D349),""),"")</f>
        <v/>
      </c>
      <c r="E413" s="302" t="str">
        <f aca="false">IFERROR(IF(E$352*E$353*E349&gt;0,AVERAGE(E$352:E$353,E349),""),"")</f>
        <v/>
      </c>
      <c r="F413" s="302" t="str">
        <f aca="false">IFERROR(IF(F$352*F$353*F349&gt;0,AVERAGE(F$352:F$353,F349),""),"")</f>
        <v/>
      </c>
      <c r="G413" s="302" t="str">
        <f aca="false">IFERROR(IF(G$352*G$353*G349&gt;0,AVERAGE(G$352:G$353,G349),""),"")</f>
        <v/>
      </c>
      <c r="H413" s="302" t="str">
        <f aca="false">IFERROR(IF(H$352*H$353*H349&gt;0,AVERAGE(H$352:H$353,H349),""),"")</f>
        <v/>
      </c>
      <c r="I413" s="302" t="str">
        <f aca="false">IFERROR(IF(I$352*I$353*I349&gt;0,AVERAGE(I$352:I$353,I349),""),"")</f>
        <v/>
      </c>
      <c r="J413" s="302" t="str">
        <f aca="false">IFERROR(IF(J$352*J$353*J349&gt;0,AVERAGE(J$352:J$353,J349),""),"")</f>
        <v/>
      </c>
      <c r="K413" s="302" t="str">
        <f aca="false">IFERROR(IF(K$352*K$353*K349&gt;0,AVERAGE(K$352:K$353,K349),""),"")</f>
        <v/>
      </c>
      <c r="L413" s="302" t="str">
        <f aca="false">IFERROR(IF(L$352*L$353*L349&gt;0,AVERAGE(L$352:L$353,L349),""),"")</f>
        <v/>
      </c>
      <c r="M413" s="302" t="str">
        <f aca="false">IFERROR(IF(M$352*M$353*M349&gt;0,AVERAGE(M$352:M$353,M349),""),"")</f>
        <v/>
      </c>
      <c r="N413" s="302" t="str">
        <f aca="false">IFERROR(IF(N$352*N$353*N349&gt;0,AVERAGE(N$352:N$353,N349),""),"")</f>
        <v/>
      </c>
      <c r="O413" s="282"/>
      <c r="P413" s="282"/>
      <c r="Q413" s="296"/>
      <c r="R413" s="293" t="s">
        <v>411</v>
      </c>
      <c r="S413" s="294" t="str">
        <f aca="false">IFERROR(IF(C$352*C$353*C349&gt;0,STDEV(C$352:C$353,C349),"")/IF(C$352*C$353*C349&gt;0,AVERAGE(C$352:C$353,C349),""),"")</f>
        <v/>
      </c>
      <c r="T413" s="294" t="str">
        <f aca="false">IFERROR(IF(D$352*D$353*D349&gt;0,STDEV(D$352:D$353,D349),"")/IF(D$352*D$353*D349&gt;0,AVERAGE(D$352:D$353,D349),""),"")</f>
        <v/>
      </c>
      <c r="U413" s="294" t="str">
        <f aca="false">IFERROR(IF(E$352*E$353*E349&gt;0,STDEV(E$352:E$353,E349),"")/IF(E$352*E$353*E349&gt;0,AVERAGE(E$352:E$353,E349),""),"")</f>
        <v/>
      </c>
      <c r="V413" s="294" t="str">
        <f aca="false">IFERROR(IF(F$352*F$353*F349&gt;0,STDEV(F$352:F$353,F349),"")/IF(F$352*F$353*F349&gt;0,AVERAGE(F$352:F$353,F349),""),"")</f>
        <v/>
      </c>
      <c r="W413" s="294" t="str">
        <f aca="false">IFERROR(IF(G$352*G$353*G349&gt;0,STDEV(G$352:G$353,G349),"")/IF(G$352*G$353*G349&gt;0,AVERAGE(G$352:G$353,G349),""),"")</f>
        <v/>
      </c>
      <c r="X413" s="294" t="str">
        <f aca="false">IFERROR(IF(H$352*H$353*H349&gt;0,STDEV(H$352:H$353,H349),"")/IF(H$352*H$353*H349&gt;0,AVERAGE(H$352:H$353,H349),""),"")</f>
        <v/>
      </c>
      <c r="Y413" s="294" t="str">
        <f aca="false">IFERROR(IF(I$352*I$353*I349&gt;0,STDEV(I$352:I$353,I349),"")/IF(I$352*I$353*I349&gt;0,AVERAGE(I$352:I$353,I349),""),"")</f>
        <v/>
      </c>
      <c r="Z413" s="294" t="str">
        <f aca="false">IFERROR(IF(J$352*J$353*J349&gt;0,STDEV(J$352:J$353,J349),"")/IF(J$352*J$353*J349&gt;0,AVERAGE(J$352:J$353,J349),""),"")</f>
        <v/>
      </c>
      <c r="AA413" s="294" t="str">
        <f aca="false">IFERROR(IF(K$352*K$353*K349&gt;0,STDEV(K$352:K$353,K349),"")/IF(K$352*K$353*K349&gt;0,AVERAGE(K$352:K$353,K349),""),"")</f>
        <v/>
      </c>
      <c r="AB413" s="294" t="str">
        <f aca="false">IFERROR(IF(L$352*L$353*L349&gt;0,STDEV(L$352:L$353,L349),"")/IF(L$352*L$353*L349&gt;0,AVERAGE(L$352:L$353,L349),""),"")</f>
        <v/>
      </c>
      <c r="AC413" s="294" t="str">
        <f aca="false">IFERROR(IF(M$352*M$353*M349&gt;0,STDEV(M$352:M$353,M349),"")/IF(M$352*M$353*M349&gt;0,AVERAGE(M$352:M$353,M349),""),"")</f>
        <v/>
      </c>
      <c r="AD413" s="294" t="str">
        <f aca="false">IFERROR(IF(N$352*N$353*N349&gt;0,STDEV(N$352:N$353,N349),"")/IF(N$352*N$353*N349&gt;0,AVERAGE(N$352:N$353,N349),""),"")</f>
        <v/>
      </c>
      <c r="AE413" s="44"/>
      <c r="AF413" s="266" t="s">
        <v>412</v>
      </c>
      <c r="AG413" s="287" t="str">
        <f aca="false">IFERROR(IF(C$352*C$353*C349&gt;0,STDEV(C$352:C$353,C349)," ")/IF(C$352*C$353*C349&gt;0,SQRT(COUNT(C$352:C$353,C349))," "),"")</f>
        <v/>
      </c>
      <c r="AH413" s="287" t="str">
        <f aca="false">IFERROR(IF(D$352*D$353*D349&gt;0,STDEV(D$352:D$353,D349)," ")/IF(D$352*D$353*D349&gt;0,SQRT(COUNT(D$352:D$353,D349))," "),"")</f>
        <v/>
      </c>
      <c r="AI413" s="287" t="str">
        <f aca="false">IFERROR(IF(E$352*E$353*E349&gt;0,STDEV(E$352:E$353,E349)," ")/IF(E$352*E$353*E349&gt;0,SQRT(COUNT(E$352:E$353,E349))," "),"")</f>
        <v/>
      </c>
      <c r="AJ413" s="287" t="str">
        <f aca="false">IFERROR(IF(F$352*F$353*F349&gt;0,STDEV(F$352:F$353,F349)," ")/IF(F$352*F$353*F349&gt;0,SQRT(COUNT(F$352:F$353,F349))," "),"")</f>
        <v/>
      </c>
      <c r="AK413" s="287" t="str">
        <f aca="false">IFERROR(IF(G$352*G$353*G349&gt;0,STDEV(G$352:G$353,G349)," ")/IF(G$352*G$353*G349&gt;0,SQRT(COUNT(G$352:G$353,G349))," "),"")</f>
        <v/>
      </c>
      <c r="AL413" s="287" t="str">
        <f aca="false">IFERROR(IF(H$352*H$353*H349&gt;0,STDEV(H$352:H$353,H349)," ")/IF(H$352*H$353*H349&gt;0,SQRT(COUNT(H$352:H$353,H349))," "),"")</f>
        <v/>
      </c>
      <c r="AM413" s="287" t="str">
        <f aca="false">IFERROR(IF(I$352*I$353*I349&gt;0,STDEV(I$352:I$353,I349)," ")/IF(I$352*I$353*I349&gt;0,SQRT(COUNT(I$352:I$353,I349))," "),"")</f>
        <v/>
      </c>
      <c r="AN413" s="287" t="str">
        <f aca="false">IFERROR(IF(J$352*J$353*J349&gt;0,STDEV(J$352:J$353,J349)," ")/IF(J$352*J$353*J349&gt;0,SQRT(COUNT(J$352:J$353,J349))," "),"")</f>
        <v/>
      </c>
      <c r="AO413" s="287" t="str">
        <f aca="false">IFERROR(IF(K$352*K$353*K349&gt;0,STDEV(K$352:K$353,K349)," ")/IF(K$352*K$353*K349&gt;0,SQRT(COUNT(K$352:K$353,K349))," "),"")</f>
        <v/>
      </c>
      <c r="AP413" s="287" t="str">
        <f aca="false">IFERROR(IF(L$352*L$353*L349&gt;0,STDEV(L$352:L$353,L349)," ")/IF(L$352*L$353*L349&gt;0,SQRT(COUNT(L$352:L$353,L349))," "),"")</f>
        <v/>
      </c>
      <c r="AQ413" s="287" t="str">
        <f aca="false">IFERROR(IF(M$352*M$353*M349&gt;0,STDEV(M$352:M$353,M349)," ")/IF(M$352*M$353*M349&gt;0,SQRT(COUNT(M$352:M$353,M349))," "),"")</f>
        <v/>
      </c>
      <c r="AR413" s="287" t="str">
        <f aca="false">IFERROR(IF(N$352*N$353*N349&gt;0,STDEV(N$352:N$353,N349)," ")/IF(N$352*N$353*N349&gt;0,SQRT(COUNT(N$352:N$353,N349))," "),"")</f>
        <v/>
      </c>
    </row>
    <row r="414" customFormat="false" ht="15.75" hidden="false" customHeight="false" outlineLevel="0" collapsed="false">
      <c r="A414" s="290" t="s">
        <v>413</v>
      </c>
      <c r="B414" s="281"/>
      <c r="C414" s="302" t="str">
        <f aca="false">IFERROR(IF(C$352*C$353*C350&gt;0,AVERAGE(C$352:C$353,C350),""),"")</f>
        <v/>
      </c>
      <c r="D414" s="302" t="str">
        <f aca="false">IFERROR(IF(D$352*D$353*D350&gt;0,AVERAGE(D$352:D$353,D350),""),"")</f>
        <v/>
      </c>
      <c r="E414" s="302" t="str">
        <f aca="false">IFERROR(IF(E$352*E$353*E350&gt;0,AVERAGE(E$352:E$353,E350),""),"")</f>
        <v/>
      </c>
      <c r="F414" s="302" t="str">
        <f aca="false">IFERROR(IF(F$352*F$353*F350&gt;0,AVERAGE(F$352:F$353,F350),""),"")</f>
        <v/>
      </c>
      <c r="G414" s="302" t="str">
        <f aca="false">IFERROR(IF(G$352*G$353*G350&gt;0,AVERAGE(G$352:G$353,G350),""),"")</f>
        <v/>
      </c>
      <c r="H414" s="302" t="str">
        <f aca="false">IFERROR(IF(H$352*H$353*H350&gt;0,AVERAGE(H$352:H$353,H350),""),"")</f>
        <v/>
      </c>
      <c r="I414" s="302" t="str">
        <f aca="false">IFERROR(IF(I$352*I$353*I350&gt;0,AVERAGE(I$352:I$353,I350),""),"")</f>
        <v/>
      </c>
      <c r="J414" s="302" t="str">
        <f aca="false">IFERROR(IF(J$352*J$353*J350&gt;0,AVERAGE(J$352:J$353,J350),""),"")</f>
        <v/>
      </c>
      <c r="K414" s="302" t="str">
        <f aca="false">IFERROR(IF(K$352*K$353*K350&gt;0,AVERAGE(K$352:K$353,K350),""),"")</f>
        <v/>
      </c>
      <c r="L414" s="302" t="str">
        <f aca="false">IFERROR(IF(L$352*L$353*L350&gt;0,AVERAGE(L$352:L$353,L350),""),"")</f>
        <v/>
      </c>
      <c r="M414" s="302" t="str">
        <f aca="false">IFERROR(IF(M$352*M$353*M350&gt;0,AVERAGE(M$352:M$353,M350),""),"")</f>
        <v/>
      </c>
      <c r="N414" s="302" t="str">
        <f aca="false">IFERROR(IF(N$352*N$353*N350&gt;0,AVERAGE(N$352:N$353,N350),""),"")</f>
        <v/>
      </c>
      <c r="O414" s="282"/>
      <c r="P414" s="282"/>
      <c r="Q414" s="296"/>
      <c r="R414" s="293" t="s">
        <v>414</v>
      </c>
      <c r="S414" s="294" t="str">
        <f aca="false">IFERROR(IF(C$352*C$353*C350&gt;0,STDEV(C$352:C$353,C350),"")/IF(C$352*C$353*C350&gt;0,AVERAGE(C$352:C$353,C350),""),"")</f>
        <v/>
      </c>
      <c r="T414" s="294" t="str">
        <f aca="false">IFERROR(IF(D$352*D$353*D350&gt;0,STDEV(D$352:D$353,D350),"")/IF(D$352*D$353*D350&gt;0,AVERAGE(D$352:D$353,D350),""),"")</f>
        <v/>
      </c>
      <c r="U414" s="294" t="str">
        <f aca="false">IFERROR(IF(E$352*E$353*E350&gt;0,STDEV(E$352:E$353,E350),"")/IF(E$352*E$353*E350&gt;0,AVERAGE(E$352:E$353,E350),""),"")</f>
        <v/>
      </c>
      <c r="V414" s="294" t="str">
        <f aca="false">IFERROR(IF(F$352*F$353*F350&gt;0,STDEV(F$352:F$353,F350),"")/IF(F$352*F$353*F350&gt;0,AVERAGE(F$352:F$353,F350),""),"")</f>
        <v/>
      </c>
      <c r="W414" s="294" t="str">
        <f aca="false">IFERROR(IF(G$352*G$353*G350&gt;0,STDEV(G$352:G$353,G350),"")/IF(G$352*G$353*G350&gt;0,AVERAGE(G$352:G$353,G350),""),"")</f>
        <v/>
      </c>
      <c r="X414" s="294" t="str">
        <f aca="false">IFERROR(IF(H$352*H$353*H350&gt;0,STDEV(H$352:H$353,H350),"")/IF(H$352*H$353*H350&gt;0,AVERAGE(H$352:H$353,H350),""),"")</f>
        <v/>
      </c>
      <c r="Y414" s="294" t="str">
        <f aca="false">IFERROR(IF(I$352*I$353*I350&gt;0,STDEV(I$352:I$353,I350),"")/IF(I$352*I$353*I350&gt;0,AVERAGE(I$352:I$353,I350),""),"")</f>
        <v/>
      </c>
      <c r="Z414" s="294" t="str">
        <f aca="false">IFERROR(IF(J$352*J$353*J350&gt;0,STDEV(J$352:J$353,J350),"")/IF(J$352*J$353*J350&gt;0,AVERAGE(J$352:J$353,J350),""),"")</f>
        <v/>
      </c>
      <c r="AA414" s="294" t="str">
        <f aca="false">IFERROR(IF(K$352*K$353*K350&gt;0,STDEV(K$352:K$353,K350),"")/IF(K$352*K$353*K350&gt;0,AVERAGE(K$352:K$353,K350),""),"")</f>
        <v/>
      </c>
      <c r="AB414" s="294" t="str">
        <f aca="false">IFERROR(IF(L$352*L$353*L350&gt;0,STDEV(L$352:L$353,L350),"")/IF(L$352*L$353*L350&gt;0,AVERAGE(L$352:L$353,L350),""),"")</f>
        <v/>
      </c>
      <c r="AC414" s="294" t="str">
        <f aca="false">IFERROR(IF(M$352*M$353*M350&gt;0,STDEV(M$352:M$353,M350),"")/IF(M$352*M$353*M350&gt;0,AVERAGE(M$352:M$353,M350),""),"")</f>
        <v/>
      </c>
      <c r="AD414" s="294" t="str">
        <f aca="false">IFERROR(IF(N$352*N$353*N350&gt;0,STDEV(N$352:N$353,N350),"")/IF(N$352*N$353*N350&gt;0,AVERAGE(N$352:N$353,N350),""),"")</f>
        <v/>
      </c>
      <c r="AE414" s="44"/>
      <c r="AF414" s="266" t="s">
        <v>415</v>
      </c>
      <c r="AG414" s="287" t="str">
        <f aca="false">IFERROR(IF(C$352*C$353*C350&gt;0,STDEV(C$352:C$353,C350)," ")/IF(C$352*C$353*C350&gt;0,SQRT(COUNT(C$352:C$353,C350))," "),"")</f>
        <v/>
      </c>
      <c r="AH414" s="287" t="str">
        <f aca="false">IFERROR(IF(D$352*D$353*D350&gt;0,STDEV(D$352:D$353,D350)," ")/IF(D$352*D$353*D350&gt;0,SQRT(COUNT(D$352:D$353,D350))," "),"")</f>
        <v/>
      </c>
      <c r="AI414" s="287" t="str">
        <f aca="false">IFERROR(IF(E$352*E$353*E350&gt;0,STDEV(E$352:E$353,E350)," ")/IF(E$352*E$353*E350&gt;0,SQRT(COUNT(E$352:E$353,E350))," "),"")</f>
        <v/>
      </c>
      <c r="AJ414" s="287" t="str">
        <f aca="false">IFERROR(IF(F$352*F$353*F350&gt;0,STDEV(F$352:F$353,F350)," ")/IF(F$352*F$353*F350&gt;0,SQRT(COUNT(F$352:F$353,F350))," "),"")</f>
        <v/>
      </c>
      <c r="AK414" s="287" t="str">
        <f aca="false">IFERROR(IF(G$352*G$353*G350&gt;0,STDEV(G$352:G$353,G350)," ")/IF(G$352*G$353*G350&gt;0,SQRT(COUNT(G$352:G$353,G350))," "),"")</f>
        <v/>
      </c>
      <c r="AL414" s="287" t="str">
        <f aca="false">IFERROR(IF(H$352*H$353*H350&gt;0,STDEV(H$352:H$353,H350)," ")/IF(H$352*H$353*H350&gt;0,SQRT(COUNT(H$352:H$353,H350))," "),"")</f>
        <v/>
      </c>
      <c r="AM414" s="287" t="str">
        <f aca="false">IFERROR(IF(I$352*I$353*I350&gt;0,STDEV(I$352:I$353,I350)," ")/IF(I$352*I$353*I350&gt;0,SQRT(COUNT(I$352:I$353,I350))," "),"")</f>
        <v/>
      </c>
      <c r="AN414" s="287" t="str">
        <f aca="false">IFERROR(IF(J$352*J$353*J350&gt;0,STDEV(J$352:J$353,J350)," ")/IF(J$352*J$353*J350&gt;0,SQRT(COUNT(J$352:J$353,J350))," "),"")</f>
        <v/>
      </c>
      <c r="AO414" s="287" t="str">
        <f aca="false">IFERROR(IF(K$352*K$353*K350&gt;0,STDEV(K$352:K$353,K350)," ")/IF(K$352*K$353*K350&gt;0,SQRT(COUNT(K$352:K$353,K350))," "),"")</f>
        <v/>
      </c>
      <c r="AP414" s="287" t="str">
        <f aca="false">IFERROR(IF(L$352*L$353*L350&gt;0,STDEV(L$352:L$353,L350)," ")/IF(L$352*L$353*L350&gt;0,SQRT(COUNT(L$352:L$353,L350))," "),"")</f>
        <v/>
      </c>
      <c r="AQ414" s="287" t="str">
        <f aca="false">IFERROR(IF(M$352*M$353*M350&gt;0,STDEV(M$352:M$353,M350)," ")/IF(M$352*M$353*M350&gt;0,SQRT(COUNT(M$352:M$353,M350))," "),"")</f>
        <v/>
      </c>
      <c r="AR414" s="287" t="str">
        <f aca="false">IFERROR(IF(N$352*N$353*N350&gt;0,STDEV(N$352:N$353,N350)," ")/IF(N$352*N$353*N350&gt;0,SQRT(COUNT(N$352:N$353,N350))," "),"")</f>
        <v/>
      </c>
    </row>
    <row r="415" customFormat="false" ht="15.75" hidden="false" customHeight="false" outlineLevel="0" collapsed="false">
      <c r="A415" s="290" t="s">
        <v>629</v>
      </c>
      <c r="B415" s="281"/>
      <c r="C415" s="302" t="str">
        <f aca="false">IFERROR(IF(C$352*C$353*C351&gt;0,AVERAGE(C$352:C$353,C351),""),"")</f>
        <v/>
      </c>
      <c r="D415" s="302" t="str">
        <f aca="false">IFERROR(IF(D$352*D$353*D351&gt;0,AVERAGE(D$352:D$353,D351),""),"")</f>
        <v/>
      </c>
      <c r="E415" s="302" t="str">
        <f aca="false">IFERROR(IF(E$352*E$353*E351&gt;0,AVERAGE(E$352:E$353,E351),""),"")</f>
        <v/>
      </c>
      <c r="F415" s="302" t="str">
        <f aca="false">IFERROR(IF(F$352*F$353*F351&gt;0,AVERAGE(F$352:F$353,F351),""),"")</f>
        <v/>
      </c>
      <c r="G415" s="302" t="str">
        <f aca="false">IFERROR(IF(G$352*G$353*G351&gt;0,AVERAGE(G$352:G$353,G351),""),"")</f>
        <v/>
      </c>
      <c r="H415" s="302" t="str">
        <f aca="false">IFERROR(IF(H$352*H$353*H351&gt;0,AVERAGE(H$352:H$353,H351),""),"")</f>
        <v/>
      </c>
      <c r="I415" s="302" t="str">
        <f aca="false">IFERROR(IF(I$352*I$353*I351&gt;0,AVERAGE(I$352:I$353,I351),""),"")</f>
        <v/>
      </c>
      <c r="J415" s="302" t="str">
        <f aca="false">IFERROR(IF(J$352*J$353*J351&gt;0,AVERAGE(J$352:J$353,J351),""),"")</f>
        <v/>
      </c>
      <c r="K415" s="302" t="str">
        <f aca="false">IFERROR(IF(K$352*K$353*K351&gt;0,AVERAGE(K$352:K$353,K351),""),"")</f>
        <v/>
      </c>
      <c r="L415" s="302" t="str">
        <f aca="false">IFERROR(IF(L$352*L$353*L351&gt;0,AVERAGE(L$352:L$353,L351),""),"")</f>
        <v/>
      </c>
      <c r="M415" s="302" t="str">
        <f aca="false">IFERROR(IF(M$352*M$353*M351&gt;0,AVERAGE(M$352:M$353,M351),""),"")</f>
        <v/>
      </c>
      <c r="N415" s="302" t="str">
        <f aca="false">IFERROR(IF(N$352*N$353*N351&gt;0,AVERAGE(N$352:N$353,N351),""),"")</f>
        <v/>
      </c>
      <c r="O415" s="282"/>
      <c r="P415" s="282"/>
      <c r="Q415" s="296"/>
      <c r="R415" s="293" t="s">
        <v>630</v>
      </c>
      <c r="S415" s="294" t="str">
        <f aca="false">IFERROR(IF(C$352*C$353*C351&gt;0,STDEV(C$352:C$353,C351),"")/IF(C$352*C$353*C351&gt;0,AVERAGE(C$352:C$353,C351),""),"")</f>
        <v/>
      </c>
      <c r="T415" s="294" t="str">
        <f aca="false">IFERROR(IF(D$352*D$353*D351&gt;0,STDEV(D$352:D$353,D351),"")/IF(D$352*D$353*D351&gt;0,AVERAGE(D$352:D$353,D351),""),"")</f>
        <v/>
      </c>
      <c r="U415" s="294" t="str">
        <f aca="false">IFERROR(IF(E$352*E$353*E351&gt;0,STDEV(E$352:E$353,E351),"")/IF(E$352*E$353*E351&gt;0,AVERAGE(E$352:E$353,E351),""),"")</f>
        <v/>
      </c>
      <c r="V415" s="294" t="str">
        <f aca="false">IFERROR(IF(F$352*F$353*F351&gt;0,STDEV(F$352:F$353,F351),"")/IF(F$352*F$353*F351&gt;0,AVERAGE(F$352:F$353,F351),""),"")</f>
        <v/>
      </c>
      <c r="W415" s="294" t="str">
        <f aca="false">IFERROR(IF(G$352*G$353*G351&gt;0,STDEV(G$352:G$353,G351),"")/IF(G$352*G$353*G351&gt;0,AVERAGE(G$352:G$353,G351),""),"")</f>
        <v/>
      </c>
      <c r="X415" s="294" t="str">
        <f aca="false">IFERROR(IF(H$352*H$353*H351&gt;0,STDEV(H$352:H$353,H351),"")/IF(H$352*H$353*H351&gt;0,AVERAGE(H$352:H$353,H351),""),"")</f>
        <v/>
      </c>
      <c r="Y415" s="294" t="str">
        <f aca="false">IFERROR(IF(I$352*I$353*I351&gt;0,STDEV(I$352:I$353,I351),"")/IF(I$352*I$353*I351&gt;0,AVERAGE(I$352:I$353,I351),""),"")</f>
        <v/>
      </c>
      <c r="Z415" s="294" t="str">
        <f aca="false">IFERROR(IF(J$352*J$353*J351&gt;0,STDEV(J$352:J$353,J351),"")/IF(J$352*J$353*J351&gt;0,AVERAGE(J$352:J$353,J351),""),"")</f>
        <v/>
      </c>
      <c r="AA415" s="294" t="str">
        <f aca="false">IFERROR(IF(K$352*K$353*K351&gt;0,STDEV(K$352:K$353,K351),"")/IF(K$352*K$353*K351&gt;0,AVERAGE(K$352:K$353,K351),""),"")</f>
        <v/>
      </c>
      <c r="AB415" s="294" t="str">
        <f aca="false">IFERROR(IF(L$352*L$353*L351&gt;0,STDEV(L$352:L$353,L351),"")/IF(L$352*L$353*L351&gt;0,AVERAGE(L$352:L$353,L351),""),"")</f>
        <v/>
      </c>
      <c r="AC415" s="294" t="str">
        <f aca="false">IFERROR(IF(M$352*M$353*M351&gt;0,STDEV(M$352:M$353,M351),"")/IF(M$352*M$353*M351&gt;0,AVERAGE(M$352:M$353,M351),""),"")</f>
        <v/>
      </c>
      <c r="AD415" s="294" t="str">
        <f aca="false">IFERROR(IF(N$352*N$353*N351&gt;0,STDEV(N$352:N$353,N351),"")/IF(N$352*N$353*N351&gt;0,AVERAGE(N$352:N$353,N351),""),"")</f>
        <v/>
      </c>
      <c r="AE415" s="44"/>
      <c r="AF415" s="266" t="s">
        <v>631</v>
      </c>
      <c r="AG415" s="287" t="str">
        <f aca="false">IFERROR(IF(C$352*C$353*C351&gt;0,STDEV(C$352:C$353,C351)," ")/IF(C$352*C$353*C351&gt;0,SQRT(COUNT(C$352:C$353,C351))," "),"")</f>
        <v/>
      </c>
      <c r="AH415" s="287" t="str">
        <f aca="false">IFERROR(IF(D$352*D$353*D351&gt;0,STDEV(D$352:D$353,D351)," ")/IF(D$352*D$353*D351&gt;0,SQRT(COUNT(D$352:D$353,D351))," "),"")</f>
        <v/>
      </c>
      <c r="AI415" s="287" t="str">
        <f aca="false">IFERROR(IF(E$352*E$353*E351&gt;0,STDEV(E$352:E$353,E351)," ")/IF(E$352*E$353*E351&gt;0,SQRT(COUNT(E$352:E$353,E351))," "),"")</f>
        <v/>
      </c>
      <c r="AJ415" s="287" t="str">
        <f aca="false">IFERROR(IF(F$352*F$353*F351&gt;0,STDEV(F$352:F$353,F351)," ")/IF(F$352*F$353*F351&gt;0,SQRT(COUNT(F$352:F$353,F351))," "),"")</f>
        <v/>
      </c>
      <c r="AK415" s="287" t="str">
        <f aca="false">IFERROR(IF(G$352*G$353*G351&gt;0,STDEV(G$352:G$353,G351)," ")/IF(G$352*G$353*G351&gt;0,SQRT(COUNT(G$352:G$353,G351))," "),"")</f>
        <v/>
      </c>
      <c r="AL415" s="287" t="str">
        <f aca="false">IFERROR(IF(H$352*H$353*H351&gt;0,STDEV(H$352:H$353,H351)," ")/IF(H$352*H$353*H351&gt;0,SQRT(COUNT(H$352:H$353,H351))," "),"")</f>
        <v/>
      </c>
      <c r="AM415" s="287" t="str">
        <f aca="false">IFERROR(IF(I$352*I$353*I351&gt;0,STDEV(I$352:I$353,I351)," ")/IF(I$352*I$353*I351&gt;0,SQRT(COUNT(I$352:I$353,I351))," "),"")</f>
        <v/>
      </c>
      <c r="AN415" s="287" t="str">
        <f aca="false">IFERROR(IF(J$352*J$353*J351&gt;0,STDEV(J$352:J$353,J351)," ")/IF(J$352*J$353*J351&gt;0,SQRT(COUNT(J$352:J$353,J351))," "),"")</f>
        <v/>
      </c>
      <c r="AO415" s="287" t="str">
        <f aca="false">IFERROR(IF(K$352*K$353*K351&gt;0,STDEV(K$352:K$353,K351)," ")/IF(K$352*K$353*K351&gt;0,SQRT(COUNT(K$352:K$353,K351))," "),"")</f>
        <v/>
      </c>
      <c r="AP415" s="287" t="str">
        <f aca="false">IFERROR(IF(L$352*L$353*L351&gt;0,STDEV(L$352:L$353,L351)," ")/IF(L$352*L$353*L351&gt;0,SQRT(COUNT(L$352:L$353,L351))," "),"")</f>
        <v/>
      </c>
      <c r="AQ415" s="287" t="str">
        <f aca="false">IFERROR(IF(M$352*M$353*M351&gt;0,STDEV(M$352:M$353,M351)," ")/IF(M$352*M$353*M351&gt;0,SQRT(COUNT(M$352:M$353,M351))," "),"")</f>
        <v/>
      </c>
      <c r="AR415" s="287" t="str">
        <f aca="false">IFERROR(IF(N$352*N$353*N351&gt;0,STDEV(N$352:N$353,N351)," ")/IF(N$352*N$353*N351&gt;0,SQRT(COUNT(N$352:N$353,N351))," "),"")</f>
        <v/>
      </c>
    </row>
    <row r="416" customFormat="false" ht="15.75" hidden="false" customHeight="false" outlineLevel="0" collapsed="false">
      <c r="A416" s="290" t="s">
        <v>416</v>
      </c>
      <c r="B416" s="281"/>
      <c r="C416" s="302" t="str">
        <f aca="false">IFERROR(IF(C$347*C$349*C$351&gt;0,AVERAGE(C$347,C$349,C$351),""),"")</f>
        <v/>
      </c>
      <c r="D416" s="302" t="str">
        <f aca="false">IFERROR(IF(D$347*D$349*D$351&gt;0,AVERAGE(D$347,D$349,D$351),""),"")</f>
        <v/>
      </c>
      <c r="E416" s="302" t="str">
        <f aca="false">IFERROR(IF(E$347*E$349*E$351&gt;0,AVERAGE(E$347,E$349,E$351),""),"")</f>
        <v/>
      </c>
      <c r="F416" s="302" t="str">
        <f aca="false">IFERROR(IF(F$347*F$349*F$351&gt;0,AVERAGE(F$347,F$349,F$351),""),"")</f>
        <v/>
      </c>
      <c r="G416" s="302" t="str">
        <f aca="false">IFERROR(IF(G$347*G$349*G$351&gt;0,AVERAGE(G$347,G$349,G$351),""),"")</f>
        <v/>
      </c>
      <c r="H416" s="302" t="str">
        <f aca="false">IFERROR(IF(H$347*H$349*H$351&gt;0,AVERAGE(H$347,H$349,H$351),""),"")</f>
        <v/>
      </c>
      <c r="I416" s="302" t="str">
        <f aca="false">IFERROR(IF(I$347*I$349*I$351&gt;0,AVERAGE(I$347,I$349,I$351),""),"")</f>
        <v/>
      </c>
      <c r="J416" s="302" t="str">
        <f aca="false">IFERROR(IF(J$347*J$349*J$351&gt;0,AVERAGE(J$347,J$349,J$351),""),"")</f>
        <v/>
      </c>
      <c r="K416" s="302" t="str">
        <f aca="false">IFERROR(IF(K$347*K$349*K$351&gt;0,AVERAGE(K$347,K$349,K$351),""),"")</f>
        <v/>
      </c>
      <c r="L416" s="302" t="str">
        <f aca="false">IFERROR(IF(L$347*L$349*L$351&gt;0,AVERAGE(L$347,L$349,L$351),""),"")</f>
        <v/>
      </c>
      <c r="M416" s="302" t="str">
        <f aca="false">IFERROR(IF(M$347*M$349*M$351&gt;0,AVERAGE(M$347,M$349,M$351),""),"")</f>
        <v/>
      </c>
      <c r="N416" s="302" t="str">
        <f aca="false">IFERROR(IF(N$347*N$349*N$351&gt;0,AVERAGE(N$347,N$349,N$351),""),"")</f>
        <v/>
      </c>
      <c r="O416" s="282"/>
      <c r="P416" s="282"/>
      <c r="Q416" s="296"/>
      <c r="R416" s="293" t="s">
        <v>417</v>
      </c>
      <c r="S416" s="294" t="str">
        <f aca="false">IFERROR(IF(C$347*C$349*C$351&gt;0,STDEV(C$347,C$349,C$351),"")/IF(C$347*C$349*C$351&gt;0,AVERAGE(C$347,C$349,C$351),""),"")</f>
        <v/>
      </c>
      <c r="T416" s="294" t="str">
        <f aca="false">IFERROR(IF(D$347*D$349*D$351&gt;0,STDEV(D$347,D$349,D$351),"")/IF(D$347*D$349*D$351&gt;0,AVERAGE(D$347,D$349,D$351),""),"")</f>
        <v/>
      </c>
      <c r="U416" s="294" t="str">
        <f aca="false">IFERROR(IF(E$347*E$349*E$351&gt;0,STDEV(E$347,E$349,E$351),"")/IF(E$347*E$349*E$351&gt;0,AVERAGE(E$347,E$349,E$351),""),"")</f>
        <v/>
      </c>
      <c r="V416" s="294" t="str">
        <f aca="false">IFERROR(IF(F$347*F$349*F$351&gt;0,STDEV(F$347,F$349,F$351),"")/IF(F$347*F$349*F$351&gt;0,AVERAGE(F$347,F$349,F$351),""),"")</f>
        <v/>
      </c>
      <c r="W416" s="294" t="str">
        <f aca="false">IFERROR(IF(G$347*G$349*G$351&gt;0,STDEV(G$347,G$349,G$351),"")/IF(G$347*G$349*G$351&gt;0,AVERAGE(G$347,G$349,G$351),""),"")</f>
        <v/>
      </c>
      <c r="X416" s="294" t="str">
        <f aca="false">IFERROR(IF(H$347*H$349*H$351&gt;0,STDEV(H$347,H$349,H$351),"")/IF(H$347*H$349*H$351&gt;0,AVERAGE(H$347,H$349,H$351),""),"")</f>
        <v/>
      </c>
      <c r="Y416" s="294" t="str">
        <f aca="false">IFERROR(IF(I$347*I$349*I$351&gt;0,STDEV(I$347,I$349,I$351),"")/IF(I$347*I$349*I$351&gt;0,AVERAGE(I$347,I$349,I$351),""),"")</f>
        <v/>
      </c>
      <c r="Z416" s="294" t="str">
        <f aca="false">IFERROR(IF(J$347*J$349*J$351&gt;0,STDEV(J$347,J$349,J$351),"")/IF(J$347*J$349*J$351&gt;0,AVERAGE(J$347,J$349,J$351),""),"")</f>
        <v/>
      </c>
      <c r="AA416" s="294" t="str">
        <f aca="false">IFERROR(IF(K$347*K$349*K$351&gt;0,STDEV(K$347,K$349,K$351),"")/IF(K$347*K$349*K$351&gt;0,AVERAGE(K$347,K$349,K$351),""),"")</f>
        <v/>
      </c>
      <c r="AB416" s="294" t="str">
        <f aca="false">IFERROR(IF(L$347*L$349*L$351&gt;0,STDEV(L$347,L$349,L$351),"")/IF(L$347*L$349*L$351&gt;0,AVERAGE(L$347,L$349,L$351),""),"")</f>
        <v/>
      </c>
      <c r="AC416" s="294" t="str">
        <f aca="false">IFERROR(IF(M$347*M$349*M$351&gt;0,STDEV(M$347,M$349,M$351),"")/IF(M$347*M$349*M$351&gt;0,AVERAGE(M$347,M$349,M$351),""),"")</f>
        <v/>
      </c>
      <c r="AD416" s="294" t="str">
        <f aca="false">IFERROR(IF(N$347*N$349*N$351&gt;0,STDEV(N$347,N$349,N$351),"")/IF(N$347*N$349*N$351&gt;0,AVERAGE(N$347,N$349,N$351),""),"")</f>
        <v/>
      </c>
      <c r="AE416" s="44"/>
      <c r="AF416" s="266" t="s">
        <v>418</v>
      </c>
      <c r="AG416" s="287" t="str">
        <f aca="false">IFERROR(IF(C$347*C$349*C$351&gt;0,STDEV(C$347,C$349,C$351)," ")/IF(C$347*C$349*C$351&gt;0,SQRT(COUNT(C$347,C$349,C$351))," "),"")</f>
        <v/>
      </c>
      <c r="AH416" s="287" t="str">
        <f aca="false">IFERROR(IF(D$347*D$349*D$351&gt;0,STDEV(D$347,D$349,D$351)," ")/IF(D$347*D$349*D$351&gt;0,SQRT(COUNT(D$347,D$349,D$351))," "),"")</f>
        <v/>
      </c>
      <c r="AI416" s="287" t="str">
        <f aca="false">IFERROR(IF(E$347*E$349*E$351&gt;0,STDEV(E$347,E$349,E$351)," ")/IF(E$347*E$349*E$351&gt;0,SQRT(COUNT(E$347,E$349,E$351))," "),"")</f>
        <v/>
      </c>
      <c r="AJ416" s="287" t="str">
        <f aca="false">IFERROR(IF(F$347*F$349*F$351&gt;0,STDEV(F$347,F$349,F$351)," ")/IF(F$347*F$349*F$351&gt;0,SQRT(COUNT(F$347,F$349,F$351))," "),"")</f>
        <v/>
      </c>
      <c r="AK416" s="287" t="str">
        <f aca="false">IFERROR(IF(G$347*G$349*G$351&gt;0,STDEV(G$347,G$349,G$351)," ")/IF(G$347*G$349*G$351&gt;0,SQRT(COUNT(G$347,G$349,G$351))," "),"")</f>
        <v/>
      </c>
      <c r="AL416" s="287" t="str">
        <f aca="false">IFERROR(IF(H$347*H$349*H$351&gt;0,STDEV(H$347,H$349,H$351)," ")/IF(H$347*H$349*H$351&gt;0,SQRT(COUNT(H$347,H$349,H$351))," "),"")</f>
        <v/>
      </c>
      <c r="AM416" s="287" t="str">
        <f aca="false">IFERROR(IF(I$347*I$349*I$351&gt;0,STDEV(I$347,I$349,I$351)," ")/IF(I$347*I$349*I$351&gt;0,SQRT(COUNT(I$347,I$349,I$351))," "),"")</f>
        <v/>
      </c>
      <c r="AN416" s="287" t="str">
        <f aca="false">IFERROR(IF(J$347*J$349*J$351&gt;0,STDEV(J$347,J$349,J$351)," ")/IF(J$347*J$349*J$351&gt;0,SQRT(COUNT(J$347,J$349,J$351))," "),"")</f>
        <v/>
      </c>
      <c r="AO416" s="287" t="str">
        <f aca="false">IFERROR(IF(K$347*K$349*K$351&gt;0,STDEV(K$347,K$349,K$351)," ")/IF(K$347*K$349*K$351&gt;0,SQRT(COUNT(K$347,K$349,K$351))," "),"")</f>
        <v/>
      </c>
      <c r="AP416" s="287" t="str">
        <f aca="false">IFERROR(IF(L$347*L$349*L$351&gt;0,STDEV(L$347,L$349,L$351)," ")/IF(L$347*L$349*L$351&gt;0,SQRT(COUNT(L$347,L$349,L$351))," "),"")</f>
        <v/>
      </c>
      <c r="AQ416" s="287" t="str">
        <f aca="false">IFERROR(IF(M$347*M$349*M$351&gt;0,STDEV(M$347,M$349,M$351)," ")/IF(M$347*M$349*M$351&gt;0,SQRT(COUNT(M$347,M$349,M$351))," "),"")</f>
        <v/>
      </c>
      <c r="AR416" s="287" t="str">
        <f aca="false">IFERROR(IF(N$347*N$349*N$351&gt;0,STDEV(N$347,N$349,N$351)," ")/IF(N$347*N$349*N$351&gt;0,SQRT(COUNT(N$347,N$349,N$351))," "),"")</f>
        <v/>
      </c>
    </row>
    <row r="417" customFormat="false" ht="15.75" hidden="false" customHeight="false" outlineLevel="0" collapsed="false">
      <c r="A417" s="290" t="s">
        <v>419</v>
      </c>
      <c r="B417" s="281"/>
      <c r="C417" s="302" t="str">
        <f aca="false">IFERROR(IF(C$347*C$350*C$352&gt;0,AVERAGE(C$347,C$350,C$352),""),"")</f>
        <v/>
      </c>
      <c r="D417" s="302" t="str">
        <f aca="false">IFERROR(IF(D$347*D$350*D$352&gt;0,AVERAGE(D$347,D$350,D$352),""),"")</f>
        <v/>
      </c>
      <c r="E417" s="302" t="str">
        <f aca="false">IFERROR(IF(E$347*E$350*E$352&gt;0,AVERAGE(E$347,E$350,E$352),""),"")</f>
        <v/>
      </c>
      <c r="F417" s="302" t="str">
        <f aca="false">IFERROR(IF(F$347*F$350*F$352&gt;0,AVERAGE(F$347,F$350,F$352),""),"")</f>
        <v/>
      </c>
      <c r="G417" s="302" t="str">
        <f aca="false">IFERROR(IF(G$347*G$350*G$352&gt;0,AVERAGE(G$347,G$350,G$352),""),"")</f>
        <v/>
      </c>
      <c r="H417" s="302" t="str">
        <f aca="false">IFERROR(IF(H$347*H$350*H$352&gt;0,AVERAGE(H$347,H$350,H$352),""),"")</f>
        <v/>
      </c>
      <c r="I417" s="302" t="str">
        <f aca="false">IFERROR(IF(I$347*I$350*I$352&gt;0,AVERAGE(I$347,I$350,I$352),""),"")</f>
        <v/>
      </c>
      <c r="J417" s="302" t="str">
        <f aca="false">IFERROR(IF(J$347*J$350*J$352&gt;0,AVERAGE(J$347,J$350,J$352),""),"")</f>
        <v/>
      </c>
      <c r="K417" s="302" t="str">
        <f aca="false">IFERROR(IF(K$347*K$350*K$352&gt;0,AVERAGE(K$347,K$350,K$352),""),"")</f>
        <v/>
      </c>
      <c r="L417" s="302" t="str">
        <f aca="false">IFERROR(IF(L$347*L$350*L$352&gt;0,AVERAGE(L$347,L$350,L$352),""),"")</f>
        <v/>
      </c>
      <c r="M417" s="302" t="str">
        <f aca="false">IFERROR(IF(M$347*M$350*M$352&gt;0,AVERAGE(M$347,M$350,M$352),""),"")</f>
        <v/>
      </c>
      <c r="N417" s="302" t="str">
        <f aca="false">IFERROR(IF(N$347*N$350*N$352&gt;0,AVERAGE(N$347,N$350,N$352),""),"")</f>
        <v/>
      </c>
      <c r="O417" s="282"/>
      <c r="P417" s="282"/>
      <c r="Q417" s="296"/>
      <c r="R417" s="293" t="s">
        <v>420</v>
      </c>
      <c r="S417" s="294" t="str">
        <f aca="false">IFERROR(IF(C$347*C$350*C$352&gt;0,STDEV(C$347,C$350,C$352),"")/IF(C$347*C$350*C$352&gt;0,AVERAGE(C$347,C$350,C$352),""),"")</f>
        <v/>
      </c>
      <c r="T417" s="294" t="str">
        <f aca="false">IFERROR(IF(D$347*D$350*D$352&gt;0,STDEV(D$347,D$350,D$352),"")/IF(D$347*D$350*D$352&gt;0,AVERAGE(D$347,D$350,D$352),""),"")</f>
        <v/>
      </c>
      <c r="U417" s="294" t="str">
        <f aca="false">IFERROR(IF(E$347*E$350*E$352&gt;0,STDEV(E$347,E$350,E$352),"")/IF(E$347*E$350*E$352&gt;0,AVERAGE(E$347,E$350,E$352),""),"")</f>
        <v/>
      </c>
      <c r="V417" s="294" t="str">
        <f aca="false">IFERROR(IF(F$347*F$350*F$352&gt;0,STDEV(F$347,F$350,F$352),"")/IF(F$347*F$350*F$352&gt;0,AVERAGE(F$347,F$350,F$352),""),"")</f>
        <v/>
      </c>
      <c r="W417" s="294" t="str">
        <f aca="false">IFERROR(IF(G$347*G$350*G$352&gt;0,STDEV(G$347,G$350,G$352),"")/IF(G$347*G$350*G$352&gt;0,AVERAGE(G$347,G$350,G$352),""),"")</f>
        <v/>
      </c>
      <c r="X417" s="294" t="str">
        <f aca="false">IFERROR(IF(H$347*H$350*H$352&gt;0,STDEV(H$347,H$350,H$352),"")/IF(H$347*H$350*H$352&gt;0,AVERAGE(H$347,H$350,H$352),""),"")</f>
        <v/>
      </c>
      <c r="Y417" s="294" t="str">
        <f aca="false">IFERROR(IF(I$347*I$350*I$352&gt;0,STDEV(I$347,I$350,I$352),"")/IF(I$347*I$350*I$352&gt;0,AVERAGE(I$347,I$350,I$352),""),"")</f>
        <v/>
      </c>
      <c r="Z417" s="294" t="str">
        <f aca="false">IFERROR(IF(J$347*J$350*J$352&gt;0,STDEV(J$347,J$350,J$352),"")/IF(J$347*J$350*J$352&gt;0,AVERAGE(J$347,J$350,J$352),""),"")</f>
        <v/>
      </c>
      <c r="AA417" s="294" t="str">
        <f aca="false">IFERROR(IF(K$347*K$350*K$352&gt;0,STDEV(K$347,K$350,K$352),"")/IF(K$347*K$350*K$352&gt;0,AVERAGE(K$347,K$350,K$352),""),"")</f>
        <v/>
      </c>
      <c r="AB417" s="294" t="str">
        <f aca="false">IFERROR(IF(L$347*L$350*L$352&gt;0,STDEV(L$347,L$350,L$352),"")/IF(L$347*L$350*L$352&gt;0,AVERAGE(L$347,L$350,L$352),""),"")</f>
        <v/>
      </c>
      <c r="AC417" s="294" t="str">
        <f aca="false">IFERROR(IF(M$347*M$350*M$352&gt;0,STDEV(M$347,M$350,M$352),"")/IF(M$347*M$350*M$352&gt;0,AVERAGE(M$347,M$350,M$352),""),"")</f>
        <v/>
      </c>
      <c r="AD417" s="294" t="str">
        <f aca="false">IFERROR(IF(N$347*N$350*N$352&gt;0,STDEV(N$347,N$350,N$352),"")/IF(N$347*N$350*N$352&gt;0,AVERAGE(N$347,N$350,N$352),""),"")</f>
        <v/>
      </c>
      <c r="AE417" s="44"/>
      <c r="AF417" s="266" t="s">
        <v>421</v>
      </c>
      <c r="AG417" s="287" t="str">
        <f aca="false">IFERROR(IF(C$347*C$350*C$352&gt;0,STDEV(C$347,C$350,C$352)," ")/IF(C$347*C$350*C$352&gt;0,SQRT(COUNT(C$347,C$350,C$352))," "),"")</f>
        <v/>
      </c>
      <c r="AH417" s="287" t="str">
        <f aca="false">IFERROR(IF(D$347*D$350*D$352&gt;0,STDEV(D$347,D$350,D$352)," ")/IF(D$347*D$350*D$352&gt;0,SQRT(COUNT(D$347,D$350,D$352))," "),"")</f>
        <v/>
      </c>
      <c r="AI417" s="287" t="str">
        <f aca="false">IFERROR(IF(E$347*E$350*E$352&gt;0,STDEV(E$347,E$350,E$352)," ")/IF(E$347*E$350*E$352&gt;0,SQRT(COUNT(E$347,E$350,E$352))," "),"")</f>
        <v/>
      </c>
      <c r="AJ417" s="287" t="str">
        <f aca="false">IFERROR(IF(F$347*F$350*F$352&gt;0,STDEV(F$347,F$350,F$352)," ")/IF(F$347*F$350*F$352&gt;0,SQRT(COUNT(F$347,F$350,F$352))," "),"")</f>
        <v/>
      </c>
      <c r="AK417" s="287" t="str">
        <f aca="false">IFERROR(IF(G$347*G$350*G$352&gt;0,STDEV(G$347,G$350,G$352)," ")/IF(G$347*G$350*G$352&gt;0,SQRT(COUNT(G$347,G$350,G$352))," "),"")</f>
        <v/>
      </c>
      <c r="AL417" s="287" t="str">
        <f aca="false">IFERROR(IF(H$347*H$350*H$352&gt;0,STDEV(H$347,H$350,H$352)," ")/IF(H$347*H$350*H$352&gt;0,SQRT(COUNT(H$347,H$350,H$352))," "),"")</f>
        <v/>
      </c>
      <c r="AM417" s="287" t="str">
        <f aca="false">IFERROR(IF(I$347*I$350*I$352&gt;0,STDEV(I$347,I$350,I$352)," ")/IF(I$347*I$350*I$352&gt;0,SQRT(COUNT(I$347,I$350,I$352))," "),"")</f>
        <v/>
      </c>
      <c r="AN417" s="287" t="str">
        <f aca="false">IFERROR(IF(J$347*J$350*J$352&gt;0,STDEV(J$347,J$350,J$352)," ")/IF(J$347*J$350*J$352&gt;0,SQRT(COUNT(J$347,J$350,J$352))," "),"")</f>
        <v/>
      </c>
      <c r="AO417" s="287" t="str">
        <f aca="false">IFERROR(IF(K$347*K$350*K$352&gt;0,STDEV(K$347,K$350,K$352)," ")/IF(K$347*K$350*K$352&gt;0,SQRT(COUNT(K$347,K$350,K$352))," "),"")</f>
        <v/>
      </c>
      <c r="AP417" s="287" t="str">
        <f aca="false">IFERROR(IF(L$347*L$350*L$352&gt;0,STDEV(L$347,L$350,L$352)," ")/IF(L$347*L$350*L$352&gt;0,SQRT(COUNT(L$347,L$350,L$352))," "),"")</f>
        <v/>
      </c>
      <c r="AQ417" s="287" t="str">
        <f aca="false">IFERROR(IF(M$347*M$350*M$352&gt;0,STDEV(M$347,M$350,M$352)," ")/IF(M$347*M$350*M$352&gt;0,SQRT(COUNT(M$347,M$350,M$352))," "),"")</f>
        <v/>
      </c>
      <c r="AR417" s="287" t="str">
        <f aca="false">IFERROR(IF(N$347*N$350*N$352&gt;0,STDEV(N$347,N$350,N$352)," ")/IF(N$347*N$350*N$352&gt;0,SQRT(COUNT(N$347,N$350,N$352))," "),"")</f>
        <v/>
      </c>
    </row>
    <row r="418" customFormat="false" ht="15.75" hidden="false" customHeight="false" outlineLevel="0" collapsed="false">
      <c r="A418" s="290" t="s">
        <v>422</v>
      </c>
      <c r="B418" s="281"/>
      <c r="C418" s="302" t="str">
        <f aca="false">IFERROR(IF(C$347*C$350*C$353&gt;0,AVERAGE(C$347,C$350,C$353),""),"")</f>
        <v/>
      </c>
      <c r="D418" s="302" t="str">
        <f aca="false">IFERROR(IF(D$347*D$350*D$353&gt;0,AVERAGE(D$347,D$350,D$353),""),"")</f>
        <v/>
      </c>
      <c r="E418" s="302" t="str">
        <f aca="false">IFERROR(IF(E$347*E$350*E$353&gt;0,AVERAGE(E$347,E$350,E$353),""),"")</f>
        <v/>
      </c>
      <c r="F418" s="302" t="str">
        <f aca="false">IFERROR(IF(F$347*F$350*F$353&gt;0,AVERAGE(F$347,F$350,F$353),""),"")</f>
        <v/>
      </c>
      <c r="G418" s="302" t="str">
        <f aca="false">IFERROR(IF(G$347*G$350*G$353&gt;0,AVERAGE(G$347,G$350,G$353),""),"")</f>
        <v/>
      </c>
      <c r="H418" s="302" t="str">
        <f aca="false">IFERROR(IF(H$347*H$350*H$353&gt;0,AVERAGE(H$347,H$350,H$353),""),"")</f>
        <v/>
      </c>
      <c r="I418" s="302" t="str">
        <f aca="false">IFERROR(IF(I$347*I$350*I$353&gt;0,AVERAGE(I$347,I$350,I$353),""),"")</f>
        <v/>
      </c>
      <c r="J418" s="302" t="str">
        <f aca="false">IFERROR(IF(J$347*J$350*J$353&gt;0,AVERAGE(J$347,J$350,J$353),""),"")</f>
        <v/>
      </c>
      <c r="K418" s="302" t="str">
        <f aca="false">IFERROR(IF(K$347*K$350*K$353&gt;0,AVERAGE(K$347,K$350,K$353),""),"")</f>
        <v/>
      </c>
      <c r="L418" s="302" t="str">
        <f aca="false">IFERROR(IF(L$347*L$350*L$353&gt;0,AVERAGE(L$347,L$350,L$353),""),"")</f>
        <v/>
      </c>
      <c r="M418" s="302" t="str">
        <f aca="false">IFERROR(IF(M$347*M$350*M$353&gt;0,AVERAGE(M$347,M$350,M$353),""),"")</f>
        <v/>
      </c>
      <c r="N418" s="302" t="str">
        <f aca="false">IFERROR(IF(N$347*N$350*N$353&gt;0,AVERAGE(N$347,N$350,N$353),""),"")</f>
        <v/>
      </c>
      <c r="O418" s="282"/>
      <c r="P418" s="282"/>
      <c r="Q418" s="296"/>
      <c r="R418" s="293" t="s">
        <v>423</v>
      </c>
      <c r="S418" s="294" t="str">
        <f aca="false">IFERROR(IF(C$347*C$350*C$353&gt;0,STDEV(C$347,C$350,C$353),"")/IF(C$347*C$350*C$353&gt;0,AVERAGE(C$347,C$350,C$353),""),"")</f>
        <v/>
      </c>
      <c r="T418" s="294" t="str">
        <f aca="false">IFERROR(IF(D$347*D$350*D$353&gt;0,STDEV(D$347,D$350,D$353),"")/IF(D$347*D$350*D$353&gt;0,AVERAGE(D$347,D$350,D$353),""),"")</f>
        <v/>
      </c>
      <c r="U418" s="294" t="str">
        <f aca="false">IFERROR(IF(E$347*E$350*E$353&gt;0,STDEV(E$347,E$350,E$353),"")/IF(E$347*E$350*E$353&gt;0,AVERAGE(E$347,E$350,E$353),""),"")</f>
        <v/>
      </c>
      <c r="V418" s="294" t="str">
        <f aca="false">IFERROR(IF(F$347*F$350*F$353&gt;0,STDEV(F$347,F$350,F$353),"")/IF(F$347*F$350*F$353&gt;0,AVERAGE(F$347,F$350,F$353),""),"")</f>
        <v/>
      </c>
      <c r="W418" s="294" t="str">
        <f aca="false">IFERROR(IF(G$347*G$350*G$353&gt;0,STDEV(G$347,G$350,G$353),"")/IF(G$347*G$350*G$353&gt;0,AVERAGE(G$347,G$350,G$353),""),"")</f>
        <v/>
      </c>
      <c r="X418" s="294" t="str">
        <f aca="false">IFERROR(IF(H$347*H$350*H$353&gt;0,STDEV(H$347,H$350,H$353),"")/IF(H$347*H$350*H$353&gt;0,AVERAGE(H$347,H$350,H$353),""),"")</f>
        <v/>
      </c>
      <c r="Y418" s="294" t="str">
        <f aca="false">IFERROR(IF(I$347*I$350*I$353&gt;0,STDEV(I$347,I$350,I$353),"")/IF(I$347*I$350*I$353&gt;0,AVERAGE(I$347,I$350,I$353),""),"")</f>
        <v/>
      </c>
      <c r="Z418" s="294" t="str">
        <f aca="false">IFERROR(IF(J$347*J$350*J$353&gt;0,STDEV(J$347,J$350,J$353),"")/IF(J$347*J$350*J$353&gt;0,AVERAGE(J$347,J$350,J$353),""),"")</f>
        <v/>
      </c>
      <c r="AA418" s="294" t="str">
        <f aca="false">IFERROR(IF(K$347*K$350*K$353&gt;0,STDEV(K$347,K$350,K$353),"")/IF(K$347*K$350*K$353&gt;0,AVERAGE(K$347,K$350,K$353),""),"")</f>
        <v/>
      </c>
      <c r="AB418" s="294" t="str">
        <f aca="false">IFERROR(IF(L$347*L$350*L$353&gt;0,STDEV(L$347,L$350,L$353),"")/IF(L$347*L$350*L$353&gt;0,AVERAGE(L$347,L$350,L$353),""),"")</f>
        <v/>
      </c>
      <c r="AC418" s="294" t="str">
        <f aca="false">IFERROR(IF(M$347*M$350*M$353&gt;0,STDEV(M$347,M$350,M$353),"")/IF(M$347*M$350*M$353&gt;0,AVERAGE(M$347,M$350,M$353),""),"")</f>
        <v/>
      </c>
      <c r="AD418" s="294" t="str">
        <f aca="false">IFERROR(IF(N$347*N$350*N$353&gt;0,STDEV(N$347,N$350,N$353),"")/IF(N$347*N$350*N$353&gt;0,AVERAGE(N$347,N$350,N$353),""),"")</f>
        <v/>
      </c>
      <c r="AE418" s="44"/>
      <c r="AF418" s="266" t="s">
        <v>424</v>
      </c>
      <c r="AG418" s="287" t="str">
        <f aca="false">IFERROR(IF(C$347*C$350*C$353&gt;0,STDEV(C$347,C$350,C$353)," ")/IF(C$347*C$350*C$353&gt;0,SQRT(COUNT(C$347,C$350,C$353))," "),"")</f>
        <v/>
      </c>
      <c r="AH418" s="287" t="str">
        <f aca="false">IFERROR(IF(D$347*D$350*D$353&gt;0,STDEV(D$347,D$350,D$353)," ")/IF(D$347*D$350*D$353&gt;0,SQRT(COUNT(D$347,D$350,D$353))," "),"")</f>
        <v/>
      </c>
      <c r="AI418" s="287" t="str">
        <f aca="false">IFERROR(IF(E$347*E$350*E$353&gt;0,STDEV(E$347,E$350,E$353)," ")/IF(E$347*E$350*E$353&gt;0,SQRT(COUNT(E$347,E$350,E$353))," "),"")</f>
        <v/>
      </c>
      <c r="AJ418" s="287" t="str">
        <f aca="false">IFERROR(IF(F$347*F$350*F$353&gt;0,STDEV(F$347,F$350,F$353)," ")/IF(F$347*F$350*F$353&gt;0,SQRT(COUNT(F$347,F$350,F$353))," "),"")</f>
        <v/>
      </c>
      <c r="AK418" s="287" t="str">
        <f aca="false">IFERROR(IF(G$347*G$350*G$353&gt;0,STDEV(G$347,G$350,G$353)," ")/IF(G$347*G$350*G$353&gt;0,SQRT(COUNT(G$347,G$350,G$353))," "),"")</f>
        <v/>
      </c>
      <c r="AL418" s="287" t="str">
        <f aca="false">IFERROR(IF(H$347*H$350*H$353&gt;0,STDEV(H$347,H$350,H$353)," ")/IF(H$347*H$350*H$353&gt;0,SQRT(COUNT(H$347,H$350,H$353))," "),"")</f>
        <v/>
      </c>
      <c r="AM418" s="287" t="str">
        <f aca="false">IFERROR(IF(I$347*I$350*I$353&gt;0,STDEV(I$347,I$350,I$353)," ")/IF(I$347*I$350*I$353&gt;0,SQRT(COUNT(I$347,I$350,I$353))," "),"")</f>
        <v/>
      </c>
      <c r="AN418" s="287" t="str">
        <f aca="false">IFERROR(IF(J$347*J$350*J$353&gt;0,STDEV(J$347,J$350,J$353)," ")/IF(J$347*J$350*J$353&gt;0,SQRT(COUNT(J$347,J$350,J$353))," "),"")</f>
        <v/>
      </c>
      <c r="AO418" s="287" t="str">
        <f aca="false">IFERROR(IF(K$347*K$350*K$353&gt;0,STDEV(K$347,K$350,K$353)," ")/IF(K$347*K$350*K$353&gt;0,SQRT(COUNT(K$347,K$350,K$353))," "),"")</f>
        <v/>
      </c>
      <c r="AP418" s="287" t="str">
        <f aca="false">IFERROR(IF(L$347*L$350*L$353&gt;0,STDEV(L$347,L$350,L$353)," ")/IF(L$347*L$350*L$353&gt;0,SQRT(COUNT(L$347,L$350,L$353))," "),"")</f>
        <v/>
      </c>
      <c r="AQ418" s="287" t="str">
        <f aca="false">IFERROR(IF(M$347*M$350*M$353&gt;0,STDEV(M$347,M$350,M$353)," ")/IF(M$347*M$350*M$353&gt;0,SQRT(COUNT(M$347,M$350,M$353))," "),"")</f>
        <v/>
      </c>
      <c r="AR418" s="287" t="str">
        <f aca="false">IFERROR(IF(N$347*N$350*N$353&gt;0,STDEV(N$347,N$350,N$353)," ")/IF(N$347*N$350*N$353&gt;0,SQRT(COUNT(N$347,N$350,N$353))," "),"")</f>
        <v/>
      </c>
    </row>
    <row r="419" customFormat="false" ht="15.75" hidden="false" customHeight="false" outlineLevel="0" collapsed="false">
      <c r="A419" s="290" t="s">
        <v>425</v>
      </c>
      <c r="B419" s="281"/>
      <c r="C419" s="302" t="str">
        <f aca="false">IFERROR(IF(C$347*C$351*C$353&gt;0,AVERAGE(C$347,C$351,C$353),""),"")</f>
        <v/>
      </c>
      <c r="D419" s="302" t="str">
        <f aca="false">IFERROR(IF(D$347*D$351*D$353&gt;0,AVERAGE(D$347,D$351,D$353),""),"")</f>
        <v/>
      </c>
      <c r="E419" s="302" t="str">
        <f aca="false">IFERROR(IF(E$347*E$351*E$353&gt;0,AVERAGE(E$347,E$351,E$353),""),"")</f>
        <v/>
      </c>
      <c r="F419" s="302" t="str">
        <f aca="false">IFERROR(IF(F$347*F$351*F$353&gt;0,AVERAGE(F$347,F$351,F$353),""),"")</f>
        <v/>
      </c>
      <c r="G419" s="302" t="str">
        <f aca="false">IFERROR(IF(G$347*G$351*G$353&gt;0,AVERAGE(G$347,G$351,G$353),""),"")</f>
        <v/>
      </c>
      <c r="H419" s="302" t="str">
        <f aca="false">IFERROR(IF(H$347*H$351*H$353&gt;0,AVERAGE(H$347,H$351,H$353),""),"")</f>
        <v/>
      </c>
      <c r="I419" s="302" t="str">
        <f aca="false">IFERROR(IF(I$347*I$351*I$353&gt;0,AVERAGE(I$347,I$351,I$353),""),"")</f>
        <v/>
      </c>
      <c r="J419" s="302" t="str">
        <f aca="false">IFERROR(IF(J$347*J$351*J$353&gt;0,AVERAGE(J$347,J$351,J$353),""),"")</f>
        <v/>
      </c>
      <c r="K419" s="302" t="str">
        <f aca="false">IFERROR(IF(K$347*K$351*K$353&gt;0,AVERAGE(K$347,K$351,K$353),""),"")</f>
        <v/>
      </c>
      <c r="L419" s="302" t="str">
        <f aca="false">IFERROR(IF(L$347*L$351*L$353&gt;0,AVERAGE(L$347,L$351,L$353),""),"")</f>
        <v/>
      </c>
      <c r="M419" s="302" t="str">
        <f aca="false">IFERROR(IF(M$347*M$351*M$353&gt;0,AVERAGE(M$347,M$351,M$353),""),"")</f>
        <v/>
      </c>
      <c r="N419" s="302" t="str">
        <f aca="false">IFERROR(IF(N$347*N$351*N$353&gt;0,AVERAGE(N$347,N$351,N$353),""),"")</f>
        <v/>
      </c>
      <c r="O419" s="282"/>
      <c r="P419" s="282"/>
      <c r="Q419" s="296"/>
      <c r="R419" s="293" t="s">
        <v>426</v>
      </c>
      <c r="S419" s="294" t="str">
        <f aca="false">IFERROR(IF(C$347*C$351*C$353&gt;0,STDEV(C$347,C$351,C$353),"")/IF(C$347*C$351*C$353&gt;0,AVERAGE(C$347,C$351,C$353),""),"")</f>
        <v/>
      </c>
      <c r="T419" s="294" t="str">
        <f aca="false">IFERROR(IF(D$347*D$351*D$353&gt;0,STDEV(D$347,D$351,D$353),"")/IF(D$347*D$351*D$353&gt;0,AVERAGE(D$347,D$351,D$353),""),"")</f>
        <v/>
      </c>
      <c r="U419" s="294" t="str">
        <f aca="false">IFERROR(IF(E$347*E$351*E$353&gt;0,STDEV(E$347,E$351,E$353),"")/IF(E$347*E$351*E$353&gt;0,AVERAGE(E$347,E$351,E$353),""),"")</f>
        <v/>
      </c>
      <c r="V419" s="294" t="str">
        <f aca="false">IFERROR(IF(F$347*F$351*F$353&gt;0,STDEV(F$347,F$351,F$353),"")/IF(F$347*F$351*F$353&gt;0,AVERAGE(F$347,F$351,F$353),""),"")</f>
        <v/>
      </c>
      <c r="W419" s="294" t="str">
        <f aca="false">IFERROR(IF(G$347*G$351*G$353&gt;0,STDEV(G$347,G$351,G$353),"")/IF(G$347*G$351*G$353&gt;0,AVERAGE(G$347,G$351,G$353),""),"")</f>
        <v/>
      </c>
      <c r="X419" s="294" t="str">
        <f aca="false">IFERROR(IF(H$347*H$351*H$353&gt;0,STDEV(H$347,H$351,H$353),"")/IF(H$347*H$351*H$353&gt;0,AVERAGE(H$347,H$351,H$353),""),"")</f>
        <v/>
      </c>
      <c r="Y419" s="294" t="str">
        <f aca="false">IFERROR(IF(I$347*I$351*I$353&gt;0,STDEV(I$347,I$351,I$353),"")/IF(I$347*I$351*I$353&gt;0,AVERAGE(I$347,I$351,I$353),""),"")</f>
        <v/>
      </c>
      <c r="Z419" s="294" t="str">
        <f aca="false">IFERROR(IF(J$347*J$351*J$353&gt;0,STDEV(J$347,J$351,J$353),"")/IF(J$347*J$351*J$353&gt;0,AVERAGE(J$347,J$351,J$353),""),"")</f>
        <v/>
      </c>
      <c r="AA419" s="294" t="str">
        <f aca="false">IFERROR(IF(K$347*K$351*K$353&gt;0,STDEV(K$347,K$351,K$353),"")/IF(K$347*K$351*K$353&gt;0,AVERAGE(K$347,K$351,K$353),""),"")</f>
        <v/>
      </c>
      <c r="AB419" s="294" t="str">
        <f aca="false">IFERROR(IF(L$347*L$351*L$353&gt;0,STDEV(L$347,L$351,L$353),"")/IF(L$347*L$351*L$353&gt;0,AVERAGE(L$347,L$351,L$353),""),"")</f>
        <v/>
      </c>
      <c r="AC419" s="294" t="str">
        <f aca="false">IFERROR(IF(M$347*M$351*M$353&gt;0,STDEV(M$347,M$351,M$353),"")/IF(M$347*M$351*M$353&gt;0,AVERAGE(M$347,M$351,M$353),""),"")</f>
        <v/>
      </c>
      <c r="AD419" s="294" t="str">
        <f aca="false">IFERROR(IF(N$347*N$351*N$353&gt;0,STDEV(N$347,N$351,N$353),"")/IF(N$347*N$351*N$353&gt;0,AVERAGE(N$347,N$351,N$353),""),"")</f>
        <v/>
      </c>
      <c r="AE419" s="44"/>
      <c r="AF419" s="266" t="s">
        <v>427</v>
      </c>
      <c r="AG419" s="287" t="str">
        <f aca="false">IFERROR(IF(C$347*C$351*C$353&gt;0,STDEV(C$347,C$351,C$353)," ")/IF(C$347*C$351*C$353&gt;0,SQRT(COUNT(C$347,C$351,C$353))," "),"")</f>
        <v/>
      </c>
      <c r="AH419" s="287" t="str">
        <f aca="false">IFERROR(IF(D$347*D$351*D$353&gt;0,STDEV(D$347,D$351,D$353)," ")/IF(D$347*D$351*D$353&gt;0,SQRT(COUNT(D$347,D$351,D$353))," "),"")</f>
        <v/>
      </c>
      <c r="AI419" s="287" t="str">
        <f aca="false">IFERROR(IF(E$347*E$351*E$353&gt;0,STDEV(E$347,E$351,E$353)," ")/IF(E$347*E$351*E$353&gt;0,SQRT(COUNT(E$347,E$351,E$353))," "),"")</f>
        <v/>
      </c>
      <c r="AJ419" s="287" t="str">
        <f aca="false">IFERROR(IF(F$347*F$351*F$353&gt;0,STDEV(F$347,F$351,F$353)," ")/IF(F$347*F$351*F$353&gt;0,SQRT(COUNT(F$347,F$351,F$353))," "),"")</f>
        <v/>
      </c>
      <c r="AK419" s="287" t="str">
        <f aca="false">IFERROR(IF(G$347*G$351*G$353&gt;0,STDEV(G$347,G$351,G$353)," ")/IF(G$347*G$351*G$353&gt;0,SQRT(COUNT(G$347,G$351,G$353))," "),"")</f>
        <v/>
      </c>
      <c r="AL419" s="287" t="str">
        <f aca="false">IFERROR(IF(H$347*H$351*H$353&gt;0,STDEV(H$347,H$351,H$353)," ")/IF(H$347*H$351*H$353&gt;0,SQRT(COUNT(H$347,H$351,H$353))," "),"")</f>
        <v/>
      </c>
      <c r="AM419" s="287" t="str">
        <f aca="false">IFERROR(IF(I$347*I$351*I$353&gt;0,STDEV(I$347,I$351,I$353)," ")/IF(I$347*I$351*I$353&gt;0,SQRT(COUNT(I$347,I$351,I$353))," "),"")</f>
        <v/>
      </c>
      <c r="AN419" s="287" t="str">
        <f aca="false">IFERROR(IF(J$347*J$351*J$353&gt;0,STDEV(J$347,J$351,J$353)," ")/IF(J$347*J$351*J$353&gt;0,SQRT(COUNT(J$347,J$351,J$353))," "),"")</f>
        <v/>
      </c>
      <c r="AO419" s="287" t="str">
        <f aca="false">IFERROR(IF(K$347*K$351*K$353&gt;0,STDEV(K$347,K$351,K$353)," ")/IF(K$347*K$351*K$353&gt;0,SQRT(COUNT(K$347,K$351,K$353))," "),"")</f>
        <v/>
      </c>
      <c r="AP419" s="287" t="str">
        <f aca="false">IFERROR(IF(L$347*L$351*L$353&gt;0,STDEV(L$347,L$351,L$353)," ")/IF(L$347*L$351*L$353&gt;0,SQRT(COUNT(L$347,L$351,L$353))," "),"")</f>
        <v/>
      </c>
      <c r="AQ419" s="287" t="str">
        <f aca="false">IFERROR(IF(M$347*M$351*M$353&gt;0,STDEV(M$347,M$351,M$353)," ")/IF(M$347*M$351*M$353&gt;0,SQRT(COUNT(M$347,M$351,M$353))," "),"")</f>
        <v/>
      </c>
      <c r="AR419" s="287" t="str">
        <f aca="false">IFERROR(IF(N$347*N$351*N$353&gt;0,STDEV(N$347,N$351,N$353)," ")/IF(N$347*N$351*N$353&gt;0,SQRT(COUNT(N$347,N$351,N$353))," "),"")</f>
        <v/>
      </c>
    </row>
    <row r="420" customFormat="false" ht="15.75" hidden="false" customHeight="false" outlineLevel="0" collapsed="false">
      <c r="A420" s="290" t="s">
        <v>428</v>
      </c>
      <c r="B420" s="281"/>
      <c r="C420" s="302" t="str">
        <f aca="false">IFERROR(IF(C$348*C$350*C$351&gt;0,AVERAGE(C$348,C$350,C$351),""),"")</f>
        <v/>
      </c>
      <c r="D420" s="302" t="str">
        <f aca="false">IFERROR(IF(D$348*D$350*D$351&gt;0,AVERAGE(D$348,D$350,D$351),""),"")</f>
        <v/>
      </c>
      <c r="E420" s="302" t="str">
        <f aca="false">IFERROR(IF(E$348*E$350*E$351&gt;0,AVERAGE(E$348,E$350,E$351),""),"")</f>
        <v/>
      </c>
      <c r="F420" s="302" t="str">
        <f aca="false">IFERROR(IF(F$348*F$350*F$351&gt;0,AVERAGE(F$348,F$350,F$351),""),"")</f>
        <v/>
      </c>
      <c r="G420" s="302" t="str">
        <f aca="false">IFERROR(IF(G$348*G$350*G$351&gt;0,AVERAGE(G$348,G$350,G$351),""),"")</f>
        <v/>
      </c>
      <c r="H420" s="302" t="str">
        <f aca="false">IFERROR(IF(H$348*H$350*H$351&gt;0,AVERAGE(H$348,H$350,H$351),""),"")</f>
        <v/>
      </c>
      <c r="I420" s="302" t="str">
        <f aca="false">IFERROR(IF(I$348*I$350*I$351&gt;0,AVERAGE(I$348,I$350,I$351),""),"")</f>
        <v/>
      </c>
      <c r="J420" s="302" t="str">
        <f aca="false">IFERROR(IF(J$348*J$350*J$351&gt;0,AVERAGE(J$348,J$350,J$351),""),"")</f>
        <v/>
      </c>
      <c r="K420" s="302" t="str">
        <f aca="false">IFERROR(IF(K$348*K$350*K$351&gt;0,AVERAGE(K$348,K$350,K$351),""),"")</f>
        <v/>
      </c>
      <c r="L420" s="302" t="str">
        <f aca="false">IFERROR(IF(L$348*L$350*L$351&gt;0,AVERAGE(L$348,L$350,L$351),""),"")</f>
        <v/>
      </c>
      <c r="M420" s="302" t="str">
        <f aca="false">IFERROR(IF(M$348*M$350*M$351&gt;0,AVERAGE(M$348,M$350,M$351),""),"")</f>
        <v/>
      </c>
      <c r="N420" s="302" t="str">
        <f aca="false">IFERROR(IF(N$348*N$350*N$351&gt;0,AVERAGE(N$348,N$350,N$351),""),"")</f>
        <v/>
      </c>
      <c r="O420" s="282"/>
      <c r="P420" s="282"/>
      <c r="Q420" s="296"/>
      <c r="R420" s="293" t="s">
        <v>429</v>
      </c>
      <c r="S420" s="294" t="str">
        <f aca="false">IFERROR(IF(C$348*C$350*C$351&gt;0,STDEV(C$348,C$350,C$351),"")/IF(C$348*C$350*C$351&gt;0,AVERAGE(C$348,C$350,C$351),""),"")</f>
        <v/>
      </c>
      <c r="T420" s="294" t="str">
        <f aca="false">IFERROR(IF(D$348*D$350*D$351&gt;0,STDEV(D$348,D$350,D$351),"")/IF(D$348*D$350*D$351&gt;0,AVERAGE(D$348,D$350,D$351),""),"")</f>
        <v/>
      </c>
      <c r="U420" s="294" t="str">
        <f aca="false">IFERROR(IF(E$348*E$350*E$351&gt;0,STDEV(E$348,E$350,E$351),"")/IF(E$348*E$350*E$351&gt;0,AVERAGE(E$348,E$350,E$351),""),"")</f>
        <v/>
      </c>
      <c r="V420" s="294" t="str">
        <f aca="false">IFERROR(IF(F$348*F$350*F$351&gt;0,STDEV(F$348,F$350,F$351),"")/IF(F$348*F$350*F$351&gt;0,AVERAGE(F$348,F$350,F$351),""),"")</f>
        <v/>
      </c>
      <c r="W420" s="294" t="str">
        <f aca="false">IFERROR(IF(G$348*G$350*G$351&gt;0,STDEV(G$348,G$350,G$351),"")/IF(G$348*G$350*G$351&gt;0,AVERAGE(G$348,G$350,G$351),""),"")</f>
        <v/>
      </c>
      <c r="X420" s="294" t="str">
        <f aca="false">IFERROR(IF(H$348*H$350*H$351&gt;0,STDEV(H$348,H$350,H$351),"")/IF(H$348*H$350*H$351&gt;0,AVERAGE(H$348,H$350,H$351),""),"")</f>
        <v/>
      </c>
      <c r="Y420" s="294" t="str">
        <f aca="false">IFERROR(IF(I$348*I$350*I$351&gt;0,STDEV(I$348,I$350,I$351),"")/IF(I$348*I$350*I$351&gt;0,AVERAGE(I$348,I$350,I$351),""),"")</f>
        <v/>
      </c>
      <c r="Z420" s="294" t="str">
        <f aca="false">IFERROR(IF(J$348*J$350*J$351&gt;0,STDEV(J$348,J$350,J$351),"")/IF(J$348*J$350*J$351&gt;0,AVERAGE(J$348,J$350,J$351),""),"")</f>
        <v/>
      </c>
      <c r="AA420" s="294" t="str">
        <f aca="false">IFERROR(IF(K$348*K$350*K$351&gt;0,STDEV(K$348,K$350,K$351),"")/IF(K$348*K$350*K$351&gt;0,AVERAGE(K$348,K$350,K$351),""),"")</f>
        <v/>
      </c>
      <c r="AB420" s="294" t="str">
        <f aca="false">IFERROR(IF(L$348*L$350*L$351&gt;0,STDEV(L$348,L$350,L$351),"")/IF(L$348*L$350*L$351&gt;0,AVERAGE(L$348,L$350,L$351),""),"")</f>
        <v/>
      </c>
      <c r="AC420" s="294" t="str">
        <f aca="false">IFERROR(IF(M$348*M$350*M$351&gt;0,STDEV(M$348,M$350,M$351),"")/IF(M$348*M$350*M$351&gt;0,AVERAGE(M$348,M$350,M$351),""),"")</f>
        <v/>
      </c>
      <c r="AD420" s="294" t="str">
        <f aca="false">IFERROR(IF(N$348*N$350*N$351&gt;0,STDEV(N$348,N$350,N$351),"")/IF(N$348*N$350*N$351&gt;0,AVERAGE(N$348,N$350,N$351),""),"")</f>
        <v/>
      </c>
      <c r="AE420" s="44"/>
      <c r="AF420" s="266" t="s">
        <v>430</v>
      </c>
      <c r="AG420" s="287" t="str">
        <f aca="false">IFERROR(IF(C$348*C$350*C$351&gt;0,STDEV(C$348,C$350,C$351)," ")/IF(C$348*C$350*C$351&gt;0,SQRT(COUNT(C$348,C$350,C$351))," "),"")</f>
        <v/>
      </c>
      <c r="AH420" s="287" t="str">
        <f aca="false">IFERROR(IF(D$348*D$350*D$351&gt;0,STDEV(D$348,D$350,D$351)," ")/IF(D$348*D$350*D$351&gt;0,SQRT(COUNT(D$348,D$350,D$351))," "),"")</f>
        <v/>
      </c>
      <c r="AI420" s="287" t="str">
        <f aca="false">IFERROR(IF(E$348*E$350*E$351&gt;0,STDEV(E$348,E$350,E$351)," ")/IF(E$348*E$350*E$351&gt;0,SQRT(COUNT(E$348,E$350,E$351))," "),"")</f>
        <v/>
      </c>
      <c r="AJ420" s="287" t="str">
        <f aca="false">IFERROR(IF(F$348*F$350*F$351&gt;0,STDEV(F$348,F$350,F$351)," ")/IF(F$348*F$350*F$351&gt;0,SQRT(COUNT(F$348,F$350,F$351))," "),"")</f>
        <v/>
      </c>
      <c r="AK420" s="287" t="str">
        <f aca="false">IFERROR(IF(G$348*G$350*G$351&gt;0,STDEV(G$348,G$350,G$351)," ")/IF(G$348*G$350*G$351&gt;0,SQRT(COUNT(G$348,G$350,G$351))," "),"")</f>
        <v/>
      </c>
      <c r="AL420" s="287" t="str">
        <f aca="false">IFERROR(IF(H$348*H$350*H$351&gt;0,STDEV(H$348,H$350,H$351)," ")/IF(H$348*H$350*H$351&gt;0,SQRT(COUNT(H$348,H$350,H$351))," "),"")</f>
        <v/>
      </c>
      <c r="AM420" s="287" t="str">
        <f aca="false">IFERROR(IF(I$348*I$350*I$351&gt;0,STDEV(I$348,I$350,I$351)," ")/IF(I$348*I$350*I$351&gt;0,SQRT(COUNT(I$348,I$350,I$351))," "),"")</f>
        <v/>
      </c>
      <c r="AN420" s="287" t="str">
        <f aca="false">IFERROR(IF(J$348*J$350*J$351&gt;0,STDEV(J$348,J$350,J$351)," ")/IF(J$348*J$350*J$351&gt;0,SQRT(COUNT(J$348,J$350,J$351))," "),"")</f>
        <v/>
      </c>
      <c r="AO420" s="287" t="str">
        <f aca="false">IFERROR(IF(K$348*K$350*K$351&gt;0,STDEV(K$348,K$350,K$351)," ")/IF(K$348*K$350*K$351&gt;0,SQRT(COUNT(K$348,K$350,K$351))," "),"")</f>
        <v/>
      </c>
      <c r="AP420" s="287" t="str">
        <f aca="false">IFERROR(IF(L$348*L$350*L$351&gt;0,STDEV(L$348,L$350,L$351)," ")/IF(L$348*L$350*L$351&gt;0,SQRT(COUNT(L$348,L$350,L$351))," "),"")</f>
        <v/>
      </c>
      <c r="AQ420" s="287" t="str">
        <f aca="false">IFERROR(IF(M$348*M$350*M$351&gt;0,STDEV(M$348,M$350,M$351)," ")/IF(M$348*M$350*M$351&gt;0,SQRT(COUNT(M$348,M$350,M$351))," "),"")</f>
        <v/>
      </c>
      <c r="AR420" s="287" t="str">
        <f aca="false">IFERROR(IF(N$348*N$350*N$351&gt;0,STDEV(N$348,N$350,N$351)," ")/IF(N$348*N$350*N$351&gt;0,SQRT(COUNT(N$348,N$350,N$351))," "),"")</f>
        <v/>
      </c>
    </row>
    <row r="421" customFormat="false" ht="15.75" hidden="false" customHeight="false" outlineLevel="0" collapsed="false">
      <c r="A421" s="290" t="s">
        <v>431</v>
      </c>
      <c r="B421" s="281"/>
      <c r="C421" s="302" t="str">
        <f aca="false">IFERROR(IF(C$348*C$350*C$352&gt;0,AVERAGE(C$348,C$350,C$352),""),"")</f>
        <v/>
      </c>
      <c r="D421" s="302" t="str">
        <f aca="false">IFERROR(IF(D$348*D$350*D$352&gt;0,AVERAGE(D$348,D$350,D$352),""),"")</f>
        <v/>
      </c>
      <c r="E421" s="302" t="str">
        <f aca="false">IFERROR(IF(E$348*E$350*E$352&gt;0,AVERAGE(E$348,E$350,E$352),""),"")</f>
        <v/>
      </c>
      <c r="F421" s="302" t="str">
        <f aca="false">IFERROR(IF(F$348*F$350*F$352&gt;0,AVERAGE(F$348,F$350,F$352),""),"")</f>
        <v/>
      </c>
      <c r="G421" s="302" t="str">
        <f aca="false">IFERROR(IF(G$348*G$350*G$352&gt;0,AVERAGE(G$348,G$350,G$352),""),"")</f>
        <v/>
      </c>
      <c r="H421" s="302" t="str">
        <f aca="false">IFERROR(IF(H$348*H$350*H$352&gt;0,AVERAGE(H$348,H$350,H$352),""),"")</f>
        <v/>
      </c>
      <c r="I421" s="302" t="str">
        <f aca="false">IFERROR(IF(I$348*I$350*I$352&gt;0,AVERAGE(I$348,I$350,I$352),""),"")</f>
        <v/>
      </c>
      <c r="J421" s="302" t="str">
        <f aca="false">IFERROR(IF(J$348*J$350*J$352&gt;0,AVERAGE(J$348,J$350,J$352),""),"")</f>
        <v/>
      </c>
      <c r="K421" s="302" t="str">
        <f aca="false">IFERROR(IF(K$348*K$350*K$352&gt;0,AVERAGE(K$348,K$350,K$352),""),"")</f>
        <v/>
      </c>
      <c r="L421" s="302" t="str">
        <f aca="false">IFERROR(IF(L$348*L$350*L$352&gt;0,AVERAGE(L$348,L$350,L$352),""),"")</f>
        <v/>
      </c>
      <c r="M421" s="302" t="str">
        <f aca="false">IFERROR(IF(M$348*M$350*M$352&gt;0,AVERAGE(M$348,M$350,M$352),""),"")</f>
        <v/>
      </c>
      <c r="N421" s="302" t="str">
        <f aca="false">IFERROR(IF(N$348*N$350*N$352&gt;0,AVERAGE(N$348,N$350,N$352),""),"")</f>
        <v/>
      </c>
      <c r="O421" s="282"/>
      <c r="P421" s="282"/>
      <c r="Q421" s="296"/>
      <c r="R421" s="293" t="s">
        <v>432</v>
      </c>
      <c r="S421" s="294" t="str">
        <f aca="false">IFERROR(IF(C$348*C$350*C$352&gt;0,STDEV(C$348,C$350,C$352),"")/IF(C$348*C$350*C$352&gt;0,AVERAGE(C$348,C$350,C$352),""),"")</f>
        <v/>
      </c>
      <c r="T421" s="294" t="str">
        <f aca="false">IFERROR(IF(D$348*D$350*D$352&gt;0,STDEV(D$348,D$350,D$352),"")/IF(D$348*D$350*D$352&gt;0,AVERAGE(D$348,D$350,D$352),""),"")</f>
        <v/>
      </c>
      <c r="U421" s="294" t="str">
        <f aca="false">IFERROR(IF(E$348*E$350*E$352&gt;0,STDEV(E$348,E$350,E$352),"")/IF(E$348*E$350*E$352&gt;0,AVERAGE(E$348,E$350,E$352),""),"")</f>
        <v/>
      </c>
      <c r="V421" s="294" t="str">
        <f aca="false">IFERROR(IF(F$348*F$350*F$352&gt;0,STDEV(F$348,F$350,F$352),"")/IF(F$348*F$350*F$352&gt;0,AVERAGE(F$348,F$350,F$352),""),"")</f>
        <v/>
      </c>
      <c r="W421" s="294" t="str">
        <f aca="false">IFERROR(IF(G$348*G$350*G$352&gt;0,STDEV(G$348,G$350,G$352),"")/IF(G$348*G$350*G$352&gt;0,AVERAGE(G$348,G$350,G$352),""),"")</f>
        <v/>
      </c>
      <c r="X421" s="294" t="str">
        <f aca="false">IFERROR(IF(H$348*H$350*H$352&gt;0,STDEV(H$348,H$350,H$352),"")/IF(H$348*H$350*H$352&gt;0,AVERAGE(H$348,H$350,H$352),""),"")</f>
        <v/>
      </c>
      <c r="Y421" s="294" t="str">
        <f aca="false">IFERROR(IF(I$348*I$350*I$352&gt;0,STDEV(I$348,I$350,I$352),"")/IF(I$348*I$350*I$352&gt;0,AVERAGE(I$348,I$350,I$352),""),"")</f>
        <v/>
      </c>
      <c r="Z421" s="294" t="str">
        <f aca="false">IFERROR(IF(J$348*J$350*J$352&gt;0,STDEV(J$348,J$350,J$352),"")/IF(J$348*J$350*J$352&gt;0,AVERAGE(J$348,J$350,J$352),""),"")</f>
        <v/>
      </c>
      <c r="AA421" s="294" t="str">
        <f aca="false">IFERROR(IF(K$348*K$350*K$352&gt;0,STDEV(K$348,K$350,K$352),"")/IF(K$348*K$350*K$352&gt;0,AVERAGE(K$348,K$350,K$352),""),"")</f>
        <v/>
      </c>
      <c r="AB421" s="294" t="str">
        <f aca="false">IFERROR(IF(L$348*L$350*L$352&gt;0,STDEV(L$348,L$350,L$352),"")/IF(L$348*L$350*L$352&gt;0,AVERAGE(L$348,L$350,L$352),""),"")</f>
        <v/>
      </c>
      <c r="AC421" s="294" t="str">
        <f aca="false">IFERROR(IF(M$348*M$350*M$352&gt;0,STDEV(M$348,M$350,M$352),"")/IF(M$348*M$350*M$352&gt;0,AVERAGE(M$348,M$350,M$352),""),"")</f>
        <v/>
      </c>
      <c r="AD421" s="294" t="str">
        <f aca="false">IFERROR(IF(N$348*N$350*N$352&gt;0,STDEV(N$348,N$350,N$352),"")/IF(N$348*N$350*N$352&gt;0,AVERAGE(N$348,N$350,N$352),""),"")</f>
        <v/>
      </c>
      <c r="AE421" s="44"/>
      <c r="AF421" s="266" t="s">
        <v>433</v>
      </c>
      <c r="AG421" s="287" t="str">
        <f aca="false">IFERROR(IF(C$348*C$350*C$352&gt;0,STDEV(C$348,C$350,C$352)," ")/IF(C$348*C$350*C$352&gt;0,SQRT(COUNT(C$348,C$350,C$352))," "),"")</f>
        <v/>
      </c>
      <c r="AH421" s="287" t="str">
        <f aca="false">IFERROR(IF(D$348*D$350*D$352&gt;0,STDEV(D$348,D$350,D$352)," ")/IF(D$348*D$350*D$352&gt;0,SQRT(COUNT(D$348,D$350,D$352))," "),"")</f>
        <v/>
      </c>
      <c r="AI421" s="287" t="str">
        <f aca="false">IFERROR(IF(E$348*E$350*E$352&gt;0,STDEV(E$348,E$350,E$352)," ")/IF(E$348*E$350*E$352&gt;0,SQRT(COUNT(E$348,E$350,E$352))," "),"")</f>
        <v/>
      </c>
      <c r="AJ421" s="287" t="str">
        <f aca="false">IFERROR(IF(F$348*F$350*F$352&gt;0,STDEV(F$348,F$350,F$352)," ")/IF(F$348*F$350*F$352&gt;0,SQRT(COUNT(F$348,F$350,F$352))," "),"")</f>
        <v/>
      </c>
      <c r="AK421" s="287" t="str">
        <f aca="false">IFERROR(IF(G$348*G$350*G$352&gt;0,STDEV(G$348,G$350,G$352)," ")/IF(G$348*G$350*G$352&gt;0,SQRT(COUNT(G$348,G$350,G$352))," "),"")</f>
        <v/>
      </c>
      <c r="AL421" s="287" t="str">
        <f aca="false">IFERROR(IF(H$348*H$350*H$352&gt;0,STDEV(H$348,H$350,H$352)," ")/IF(H$348*H$350*H$352&gt;0,SQRT(COUNT(H$348,H$350,H$352))," "),"")</f>
        <v/>
      </c>
      <c r="AM421" s="287" t="str">
        <f aca="false">IFERROR(IF(I$348*I$350*I$352&gt;0,STDEV(I$348,I$350,I$352)," ")/IF(I$348*I$350*I$352&gt;0,SQRT(COUNT(I$348,I$350,I$352))," "),"")</f>
        <v/>
      </c>
      <c r="AN421" s="287" t="str">
        <f aca="false">IFERROR(IF(J$348*J$350*J$352&gt;0,STDEV(J$348,J$350,J$352)," ")/IF(J$348*J$350*J$352&gt;0,SQRT(COUNT(J$348,J$350,J$352))," "),"")</f>
        <v/>
      </c>
      <c r="AO421" s="287" t="str">
        <f aca="false">IFERROR(IF(K$348*K$350*K$352&gt;0,STDEV(K$348,K$350,K$352)," ")/IF(K$348*K$350*K$352&gt;0,SQRT(COUNT(K$348,K$350,K$352))," "),"")</f>
        <v/>
      </c>
      <c r="AP421" s="287" t="str">
        <f aca="false">IFERROR(IF(L$348*L$350*L$352&gt;0,STDEV(L$348,L$350,L$352)," ")/IF(L$348*L$350*L$352&gt;0,SQRT(COUNT(L$348,L$350,L$352))," "),"")</f>
        <v/>
      </c>
      <c r="AQ421" s="287" t="str">
        <f aca="false">IFERROR(IF(M$348*M$350*M$352&gt;0,STDEV(M$348,M$350,M$352)," ")/IF(M$348*M$350*M$352&gt;0,SQRT(COUNT(M$348,M$350,M$352))," "),"")</f>
        <v/>
      </c>
      <c r="AR421" s="287" t="str">
        <f aca="false">IFERROR(IF(N$348*N$350*N$352&gt;0,STDEV(N$348,N$350,N$352)," ")/IF(N$348*N$350*N$352&gt;0,SQRT(COUNT(N$348,N$350,N$352))," "),"")</f>
        <v/>
      </c>
    </row>
    <row r="422" customFormat="false" ht="15.75" hidden="false" customHeight="false" outlineLevel="0" collapsed="false">
      <c r="A422" s="290" t="s">
        <v>434</v>
      </c>
      <c r="B422" s="281"/>
      <c r="C422" s="302" t="str">
        <f aca="false">IFERROR(IF(C$348*C$350*C$353&gt;0,AVERAGE(C$348,C$350,C$353),""),"")</f>
        <v/>
      </c>
      <c r="D422" s="302" t="str">
        <f aca="false">IFERROR(IF(D$348*D$350*D$353&gt;0,AVERAGE(D$348,D$350,D$353),""),"")</f>
        <v/>
      </c>
      <c r="E422" s="302" t="str">
        <f aca="false">IFERROR(IF(E$348*E$350*E$353&gt;0,AVERAGE(E$348,E$350,E$353),""),"")</f>
        <v/>
      </c>
      <c r="F422" s="302" t="str">
        <f aca="false">IFERROR(IF(F$348*F$350*F$353&gt;0,AVERAGE(F$348,F$350,F$353),""),"")</f>
        <v/>
      </c>
      <c r="G422" s="302" t="str">
        <f aca="false">IFERROR(IF(G$348*G$350*G$353&gt;0,AVERAGE(G$348,G$350,G$353),""),"")</f>
        <v/>
      </c>
      <c r="H422" s="302" t="str">
        <f aca="false">IFERROR(IF(H$348*H$350*H$353&gt;0,AVERAGE(H$348,H$350,H$353),""),"")</f>
        <v/>
      </c>
      <c r="I422" s="302" t="str">
        <f aca="false">IFERROR(IF(I$348*I$350*I$353&gt;0,AVERAGE(I$348,I$350,I$353),""),"")</f>
        <v/>
      </c>
      <c r="J422" s="302" t="str">
        <f aca="false">IFERROR(IF(J$348*J$350*J$353&gt;0,AVERAGE(J$348,J$350,J$353),""),"")</f>
        <v/>
      </c>
      <c r="K422" s="302" t="str">
        <f aca="false">IFERROR(IF(K$348*K$350*K$353&gt;0,AVERAGE(K$348,K$350,K$353),""),"")</f>
        <v/>
      </c>
      <c r="L422" s="302" t="str">
        <f aca="false">IFERROR(IF(L$348*L$350*L$353&gt;0,AVERAGE(L$348,L$350,L$353),""),"")</f>
        <v/>
      </c>
      <c r="M422" s="302" t="str">
        <f aca="false">IFERROR(IF(M$348*M$350*M$353&gt;0,AVERAGE(M$348,M$350,M$353),""),"")</f>
        <v/>
      </c>
      <c r="N422" s="302" t="str">
        <f aca="false">IFERROR(IF(N$348*N$350*N$353&gt;0,AVERAGE(N$348,N$350,N$353),""),"")</f>
        <v/>
      </c>
      <c r="O422" s="282"/>
      <c r="P422" s="282"/>
      <c r="Q422" s="296"/>
      <c r="R422" s="293" t="s">
        <v>435</v>
      </c>
      <c r="S422" s="294" t="str">
        <f aca="false">IFERROR(IF(C$348*C$350*C$353&gt;0,STDEV(C$348,C$350,C$353),"")/IF(C$348*C$350*C$352&gt;0,AVERAGE(C$348,C$350,C$353),""),"")</f>
        <v/>
      </c>
      <c r="T422" s="294" t="str">
        <f aca="false">IFERROR(IF(D$348*D$350*D$353&gt;0,STDEV(D$348,D$350,D$353),"")/IF(D$348*D$350*D$352&gt;0,AVERAGE(D$348,D$350,D$353),""),"")</f>
        <v/>
      </c>
      <c r="U422" s="294" t="str">
        <f aca="false">IFERROR(IF(E$348*E$350*E$353&gt;0,STDEV(E$348,E$350,E$353),"")/IF(E$348*E$350*E$352&gt;0,AVERAGE(E$348,E$350,E$353),""),"")</f>
        <v/>
      </c>
      <c r="V422" s="294" t="str">
        <f aca="false">IFERROR(IF(F$348*F$350*F$353&gt;0,STDEV(F$348,F$350,F$353),"")/IF(F$348*F$350*F$352&gt;0,AVERAGE(F$348,F$350,F$353),""),"")</f>
        <v/>
      </c>
      <c r="W422" s="294" t="str">
        <f aca="false">IFERROR(IF(G$348*G$350*G$353&gt;0,STDEV(G$348,G$350,G$353),"")/IF(G$348*G$350*G$352&gt;0,AVERAGE(G$348,G$350,G$353),""),"")</f>
        <v/>
      </c>
      <c r="X422" s="294" t="str">
        <f aca="false">IFERROR(IF(H$348*H$350*H$353&gt;0,STDEV(H$348,H$350,H$353),"")/IF(H$348*H$350*H$352&gt;0,AVERAGE(H$348,H$350,H$353),""),"")</f>
        <v/>
      </c>
      <c r="Y422" s="294" t="str">
        <f aca="false">IFERROR(IF(I$348*I$350*I$353&gt;0,STDEV(I$348,I$350,I$353),"")/IF(I$348*I$350*I$352&gt;0,AVERAGE(I$348,I$350,I$353),""),"")</f>
        <v/>
      </c>
      <c r="Z422" s="294" t="str">
        <f aca="false">IFERROR(IF(J$348*J$350*J$353&gt;0,STDEV(J$348,J$350,J$353),"")/IF(J$348*J$350*J$352&gt;0,AVERAGE(J$348,J$350,J$353),""),"")</f>
        <v/>
      </c>
      <c r="AA422" s="294" t="str">
        <f aca="false">IFERROR(IF(K$348*K$350*K$353&gt;0,STDEV(K$348,K$350,K$353),"")/IF(K$348*K$350*K$352&gt;0,AVERAGE(K$348,K$350,K$353),""),"")</f>
        <v/>
      </c>
      <c r="AB422" s="294" t="str">
        <f aca="false">IFERROR(IF(L$348*L$350*L$353&gt;0,STDEV(L$348,L$350,L$353),"")/IF(L$348*L$350*L$352&gt;0,AVERAGE(L$348,L$350,L$353),""),"")</f>
        <v/>
      </c>
      <c r="AC422" s="294" t="str">
        <f aca="false">IFERROR(IF(M$348*M$350*M$353&gt;0,STDEV(M$348,M$350,M$353),"")/IF(M$348*M$350*M$352&gt;0,AVERAGE(M$348,M$350,M$353),""),"")</f>
        <v/>
      </c>
      <c r="AD422" s="294" t="str">
        <f aca="false">IFERROR(IF(N$348*N$350*N$353&gt;0,STDEV(N$348,N$350,N$353),"")/IF(N$348*N$350*N$352&gt;0,AVERAGE(N$348,N$350,N$353),""),"")</f>
        <v/>
      </c>
      <c r="AE422" s="44"/>
      <c r="AF422" s="266" t="s">
        <v>436</v>
      </c>
      <c r="AG422" s="287" t="str">
        <f aca="false">IFERROR(IF(C$348*C$350*C$353&gt;0,STDEV(C$348,C$350,C$353)," ")/IF(C$348*C$350*C$353&gt;0,SQRT(COUNT(C$348,C$350,C$353))," "),"")</f>
        <v/>
      </c>
      <c r="AH422" s="287" t="str">
        <f aca="false">IFERROR(IF(D$348*D$350*D$353&gt;0,STDEV(D$348,D$350,D$353)," ")/IF(D$348*D$350*D$353&gt;0,SQRT(COUNT(D$348,D$350,D$353))," "),"")</f>
        <v/>
      </c>
      <c r="AI422" s="287" t="str">
        <f aca="false">IFERROR(IF(E$348*E$350*E$353&gt;0,STDEV(E$348,E$350,E$353)," ")/IF(E$348*E$350*E$353&gt;0,SQRT(COUNT(E$348,E$350,E$353))," "),"")</f>
        <v/>
      </c>
      <c r="AJ422" s="287" t="str">
        <f aca="false">IFERROR(IF(F$348*F$350*F$353&gt;0,STDEV(F$348,F$350,F$353)," ")/IF(F$348*F$350*F$353&gt;0,SQRT(COUNT(F$348,F$350,F$353))," "),"")</f>
        <v/>
      </c>
      <c r="AK422" s="287" t="str">
        <f aca="false">IFERROR(IF(G$348*G$350*G$353&gt;0,STDEV(G$348,G$350,G$353)," ")/IF(G$348*G$350*G$353&gt;0,SQRT(COUNT(G$348,G$350,G$353))," "),"")</f>
        <v/>
      </c>
      <c r="AL422" s="287" t="str">
        <f aca="false">IFERROR(IF(H$348*H$350*H$353&gt;0,STDEV(H$348,H$350,H$353)," ")/IF(H$348*H$350*H$353&gt;0,SQRT(COUNT(H$348,H$350,H$353))," "),"")</f>
        <v/>
      </c>
      <c r="AM422" s="287" t="str">
        <f aca="false">IFERROR(IF(I$348*I$350*I$353&gt;0,STDEV(I$348,I$350,I$353)," ")/IF(I$348*I$350*I$353&gt;0,SQRT(COUNT(I$348,I$350,I$353))," "),"")</f>
        <v/>
      </c>
      <c r="AN422" s="287" t="str">
        <f aca="false">IFERROR(IF(J$348*J$350*J$353&gt;0,STDEV(J$348,J$350,J$353)," ")/IF(J$348*J$350*J$353&gt;0,SQRT(COUNT(J$348,J$350,J$353))," "),"")</f>
        <v/>
      </c>
      <c r="AO422" s="287" t="str">
        <f aca="false">IFERROR(IF(K$348*K$350*K$353&gt;0,STDEV(K$348,K$350,K$353)," ")/IF(K$348*K$350*K$353&gt;0,SQRT(COUNT(K$348,K$350,K$353))," "),"")</f>
        <v/>
      </c>
      <c r="AP422" s="287" t="str">
        <f aca="false">IFERROR(IF(L$348*L$350*L$353&gt;0,STDEV(L$348,L$350,L$353)," ")/IF(L$348*L$350*L$353&gt;0,SQRT(COUNT(L$348,L$350,L$353))," "),"")</f>
        <v/>
      </c>
      <c r="AQ422" s="287" t="str">
        <f aca="false">IFERROR(IF(M$348*M$350*M$353&gt;0,STDEV(M$348,M$350,M$353)," ")/IF(M$348*M$350*M$353&gt;0,SQRT(COUNT(M$348,M$350,M$353))," "),"")</f>
        <v/>
      </c>
      <c r="AR422" s="287" t="str">
        <f aca="false">IFERROR(IF(N$348*N$350*N$353&gt;0,STDEV(N$348,N$350,N$353)," ")/IF(N$348*N$350*N$353&gt;0,SQRT(COUNT(N$348,N$350,N$353))," "),"")</f>
        <v/>
      </c>
    </row>
    <row r="423" customFormat="false" ht="15.75" hidden="false" customHeight="false" outlineLevel="0" collapsed="false">
      <c r="A423" s="242" t="s">
        <v>437</v>
      </c>
      <c r="B423" s="243"/>
      <c r="C423" s="262" t="str">
        <f aca="false">IFERROR(IF(C$348*C$351*C$353&gt;0,AVERAGE(C$348,C$351,C$353),""),"")</f>
        <v/>
      </c>
      <c r="D423" s="262" t="str">
        <f aca="false">IFERROR(IF(D$348*D$351*D$353&gt;0,AVERAGE(D$348,D$351,D$353),""),"")</f>
        <v/>
      </c>
      <c r="E423" s="262" t="str">
        <f aca="false">IFERROR(IF(E$348*E$351*E$353&gt;0,AVERAGE(E$348,E$351,E$353),""),"")</f>
        <v/>
      </c>
      <c r="F423" s="262" t="str">
        <f aca="false">IFERROR(IF(F$348*F$351*F$353&gt;0,AVERAGE(F$348,F$351,F$353),""),"")</f>
        <v/>
      </c>
      <c r="G423" s="262" t="str">
        <f aca="false">IFERROR(IF(G$348*G$351*G$353&gt;0,AVERAGE(G$348,G$351,G$353),""),"")</f>
        <v/>
      </c>
      <c r="H423" s="262" t="str">
        <f aca="false">IFERROR(IF(H$348*H$351*H$353&gt;0,AVERAGE(H$348,H$351,H$353),""),"")</f>
        <v/>
      </c>
      <c r="I423" s="262" t="str">
        <f aca="false">IFERROR(IF(I$348*I$351*I$353&gt;0,AVERAGE(I$348,I$351,I$353),""),"")</f>
        <v/>
      </c>
      <c r="J423" s="262" t="str">
        <f aca="false">IFERROR(IF(J$348*J$351*J$353&gt;0,AVERAGE(J$348,J$351,J$353),""),"")</f>
        <v/>
      </c>
      <c r="K423" s="262" t="str">
        <f aca="false">IFERROR(IF(K$348*K$351*K$353&gt;0,AVERAGE(K$348,K$351,K$353),""),"")</f>
        <v/>
      </c>
      <c r="L423" s="262" t="str">
        <f aca="false">IFERROR(IF(L$348*L$351*L$353&gt;0,AVERAGE(L$348,L$351,L$353),""),"")</f>
        <v/>
      </c>
      <c r="M423" s="262" t="str">
        <f aca="false">IFERROR(IF(M$348*M$351*M$353&gt;0,AVERAGE(M$348,M$351,M$353),""),"")</f>
        <v/>
      </c>
      <c r="N423" s="262" t="str">
        <f aca="false">IFERROR(IF(N$348*N$351*N$353&gt;0,AVERAGE(N$348,N$351,N$353),""),"")</f>
        <v/>
      </c>
      <c r="O423" s="245"/>
      <c r="P423" s="245"/>
      <c r="Q423" s="246"/>
      <c r="R423" s="247" t="s">
        <v>438</v>
      </c>
      <c r="S423" s="248" t="str">
        <f aca="false">IFERROR(IF(C$348*C$351*C$353&gt;0,STDEV(C$348,C$351,C$353),"")/IF(C$348*C$351*C$353&gt;0,AVERAGE(C$348,C$351,C$353),""),"")</f>
        <v/>
      </c>
      <c r="T423" s="248" t="str">
        <f aca="false">IFERROR(IF(D$348*D$351*D$353&gt;0,STDEV(D$348,D$351,D$353),"")/IF(D$348*D$351*D$353&gt;0,AVERAGE(D$348,D$351,D$353),""),"")</f>
        <v/>
      </c>
      <c r="U423" s="248" t="str">
        <f aca="false">IFERROR(IF(E$348*E$351*E$353&gt;0,STDEV(E$348,E$351,E$353),"")/IF(E$348*E$351*E$353&gt;0,AVERAGE(E$348,E$351,E$353),""),"")</f>
        <v/>
      </c>
      <c r="V423" s="248" t="str">
        <f aca="false">IFERROR(IF(F$348*F$351*F$353&gt;0,STDEV(F$348,F$351,F$353),"")/IF(F$348*F$351*F$353&gt;0,AVERAGE(F$348,F$351,F$353),""),"")</f>
        <v/>
      </c>
      <c r="W423" s="248" t="str">
        <f aca="false">IFERROR(IF(G$348*G$351*G$353&gt;0,STDEV(G$348,G$351,G$353),"")/IF(G$348*G$351*G$353&gt;0,AVERAGE(G$348,G$351,G$353),""),"")</f>
        <v/>
      </c>
      <c r="X423" s="248" t="str">
        <f aca="false">IFERROR(IF(H$348*H$351*H$353&gt;0,STDEV(H$348,H$351,H$353),"")/IF(H$348*H$351*H$353&gt;0,AVERAGE(H$348,H$351,H$353),""),"")</f>
        <v/>
      </c>
      <c r="Y423" s="248" t="str">
        <f aca="false">IFERROR(IF(I$348*I$351*I$353&gt;0,STDEV(I$348,I$351,I$353),"")/IF(I$348*I$351*I$353&gt;0,AVERAGE(I$348,I$351,I$353),""),"")</f>
        <v/>
      </c>
      <c r="Z423" s="248" t="str">
        <f aca="false">IFERROR(IF(J$348*J$351*J$353&gt;0,STDEV(J$348,J$351,J$353),"")/IF(J$348*J$351*J$353&gt;0,AVERAGE(J$348,J$351,J$353),""),"")</f>
        <v/>
      </c>
      <c r="AA423" s="248" t="str">
        <f aca="false">IFERROR(IF(K$348*K$351*K$353&gt;0,STDEV(K$348,K$351,K$353),"")/IF(K$348*K$351*K$353&gt;0,AVERAGE(K$348,K$351,K$353),""),"")</f>
        <v/>
      </c>
      <c r="AB423" s="248" t="str">
        <f aca="false">IFERROR(IF(L$348*L$351*L$353&gt;0,STDEV(L$348,L$351,L$353),"")/IF(L$348*L$351*L$353&gt;0,AVERAGE(L$348,L$351,L$353),""),"")</f>
        <v/>
      </c>
      <c r="AC423" s="248" t="str">
        <f aca="false">IFERROR(IF(M$348*M$351*M$353&gt;0,STDEV(M$348,M$351,M$353),"")/IF(M$348*M$351*M$353&gt;0,AVERAGE(M$348,M$351,M$353),""),"")</f>
        <v/>
      </c>
      <c r="AD423" s="248" t="str">
        <f aca="false">IFERROR(IF(N$348*N$351*N$353&gt;0,STDEV(N$348,N$351,N$353),"")/IF(N$348*N$351*N$353&gt;0,AVERAGE(N$348,N$351,N$353),""),"")</f>
        <v/>
      </c>
      <c r="AE423" s="300"/>
      <c r="AF423" s="250" t="s">
        <v>439</v>
      </c>
      <c r="AG423" s="251" t="str">
        <f aca="false">IFERROR(IF(C$348*C$351*C$353&gt;0,STDEV(C$348,C$351,C$353)," ")/IF(C$348*C$351*C$353&gt;0,SQRT(COUNT(C$348,C$351,C$353))," "),"")</f>
        <v/>
      </c>
      <c r="AH423" s="251" t="str">
        <f aca="false">IFERROR(IF(D$348*D$351*D$353&gt;0,STDEV(D$348,D$351,D$353)," ")/IF(D$348*D$351*D$353&gt;0,SQRT(COUNT(D$348,D$351,D$353))," "),"")</f>
        <v/>
      </c>
      <c r="AI423" s="251" t="str">
        <f aca="false">IFERROR(IF(E$348*E$351*E$353&gt;0,STDEV(E$348,E$351,E$353)," ")/IF(E$348*E$351*E$353&gt;0,SQRT(COUNT(E$348,E$351,E$353))," "),"")</f>
        <v/>
      </c>
      <c r="AJ423" s="251" t="str">
        <f aca="false">IFERROR(IF(F$348*F$351*F$353&gt;0,STDEV(F$348,F$351,F$353)," ")/IF(F$348*F$351*F$353&gt;0,SQRT(COUNT(F$348,F$351,F$353))," "),"")</f>
        <v/>
      </c>
      <c r="AK423" s="251" t="str">
        <f aca="false">IFERROR(IF(G$348*G$351*G$353&gt;0,STDEV(G$348,G$351,G$353)," ")/IF(G$348*G$351*G$353&gt;0,SQRT(COUNT(G$348,G$351,G$353))," "),"")</f>
        <v/>
      </c>
      <c r="AL423" s="251" t="str">
        <f aca="false">IFERROR(IF(H$348*H$351*H$353&gt;0,STDEV(H$348,H$351,H$353)," ")/IF(H$348*H$351*H$353&gt;0,SQRT(COUNT(H$348,H$351,H$353))," "),"")</f>
        <v/>
      </c>
      <c r="AM423" s="251" t="str">
        <f aca="false">IFERROR(IF(I$348*I$351*I$353&gt;0,STDEV(I$348,I$351,I$353)," ")/IF(I$348*I$351*I$353&gt;0,SQRT(COUNT(I$348,I$351,I$353))," "),"")</f>
        <v/>
      </c>
      <c r="AN423" s="251" t="str">
        <f aca="false">IFERROR(IF(J$348*J$351*J$353&gt;0,STDEV(J$348,J$351,J$353)," ")/IF(J$348*J$351*J$353&gt;0,SQRT(COUNT(J$348,J$351,J$353))," "),"")</f>
        <v/>
      </c>
      <c r="AO423" s="251" t="str">
        <f aca="false">IFERROR(IF(K$348*K$351*K$353&gt;0,STDEV(K$348,K$351,K$353)," ")/IF(K$348*K$351*K$353&gt;0,SQRT(COUNT(K$348,K$351,K$353))," "),"")</f>
        <v/>
      </c>
      <c r="AP423" s="251" t="str">
        <f aca="false">IFERROR(IF(L$348*L$351*L$353&gt;0,STDEV(L$348,L$351,L$353)," ")/IF(L$348*L$351*L$353&gt;0,SQRT(COUNT(L$348,L$351,L$353))," "),"")</f>
        <v/>
      </c>
      <c r="AQ423" s="251" t="str">
        <f aca="false">IFERROR(IF(M$348*M$351*M$353&gt;0,STDEV(M$348,M$351,M$353)," ")/IF(M$348*M$351*M$353&gt;0,SQRT(COUNT(M$348,M$351,M$353))," "),"")</f>
        <v/>
      </c>
      <c r="AR423" s="251" t="str">
        <f aca="false">IFERROR(IF(N$348*N$351*N$353&gt;0,STDEV(N$348,N$351,N$353)," ")/IF(N$348*N$351*N$353&gt;0,SQRT(COUNT(N$348,N$351,N$353))," "),"")</f>
        <v/>
      </c>
    </row>
    <row r="424" customFormat="false" ht="15.75" hidden="false" customHeight="false" outlineLevel="0" collapsed="false">
      <c r="A424" s="290" t="s">
        <v>440</v>
      </c>
      <c r="B424" s="281"/>
      <c r="C424" s="302" t="str">
        <f aca="false">IFERROR(IF(C$349*C$351*C$353&gt;0,AVERAGE(C$349,C$351,C$353),""),"")</f>
        <v/>
      </c>
      <c r="D424" s="302" t="str">
        <f aca="false">IFERROR(IF(D$349*D$351*D$353&gt;0,AVERAGE(D$349,D$351,D$353),""),"")</f>
        <v/>
      </c>
      <c r="E424" s="302" t="str">
        <f aca="false">IFERROR(IF(E$349*E$351*E$353&gt;0,AVERAGE(E$349,E$351,E$353),""),"")</f>
        <v/>
      </c>
      <c r="F424" s="302" t="str">
        <f aca="false">IFERROR(IF(F$349*F$351*F$353&gt;0,AVERAGE(F$349,F$351,F$353),""),"")</f>
        <v/>
      </c>
      <c r="G424" s="302" t="str">
        <f aca="false">IFERROR(IF(G$349*G$351*G$353&gt;0,AVERAGE(G$349,G$351,G$353),""),"")</f>
        <v/>
      </c>
      <c r="H424" s="302" t="str">
        <f aca="false">IFERROR(IF(H$349*H$351*H$353&gt;0,AVERAGE(H$349,H$351,H$353),""),"")</f>
        <v/>
      </c>
      <c r="I424" s="302" t="str">
        <f aca="false">IFERROR(IF(I$349*I$351*I$353&gt;0,AVERAGE(I$349,I$351,I$353),""),"")</f>
        <v/>
      </c>
      <c r="J424" s="302" t="str">
        <f aca="false">IFERROR(IF(J$349*J$351*J$353&gt;0,AVERAGE(J$349,J$351,J$353),""),"")</f>
        <v/>
      </c>
      <c r="K424" s="302" t="str">
        <f aca="false">IFERROR(IF(K$349*K$351*K$353&gt;0,AVERAGE(K$349,K$351,K$353),""),"")</f>
        <v/>
      </c>
      <c r="L424" s="302" t="str">
        <f aca="false">IFERROR(IF(L$349*L$351*L$353&gt;0,AVERAGE(L$349,L$351,L$353),""),"")</f>
        <v/>
      </c>
      <c r="M424" s="302" t="str">
        <f aca="false">IFERROR(IF(M$349*M$351*M$353&gt;0,AVERAGE(M$349,M$351,M$353),""),"")</f>
        <v/>
      </c>
      <c r="N424" s="302" t="str">
        <f aca="false">IFERROR(IF(N$349*N$351*N$353&gt;0,AVERAGE(N$349,N$351,N$353),""),"")</f>
        <v/>
      </c>
      <c r="O424" s="147"/>
      <c r="P424" s="282"/>
      <c r="Q424" s="283"/>
      <c r="R424" s="293" t="s">
        <v>441</v>
      </c>
      <c r="S424" s="294" t="str">
        <f aca="false">IFERROR(IF(C$349*C$351*C$353&gt;0,STDEV(C$349,C$351,C$353),"")/IF(C$349*C$351*C$353&gt;0,AVERAGE(C$349,C$351,C$353),""),"")</f>
        <v/>
      </c>
      <c r="T424" s="294" t="str">
        <f aca="false">IFERROR(IF(D$349*D$351*D$353&gt;0,STDEV(D$349,D$351,D$353),"")/IF(D$349*D$351*D$353&gt;0,AVERAGE(D$349,D$351,D$353),""),"")</f>
        <v/>
      </c>
      <c r="U424" s="294" t="str">
        <f aca="false">IFERROR(IF(E$349*E$351*E$353&gt;0,STDEV(E$349,E$351,E$353),"")/IF(E$349*E$351*E$353&gt;0,AVERAGE(E$349,E$351,E$353),""),"")</f>
        <v/>
      </c>
      <c r="V424" s="294" t="str">
        <f aca="false">IFERROR(IF(F$349*F$351*F$353&gt;0,STDEV(F$349,F$351,F$353),"")/IF(F$349*F$351*F$353&gt;0,AVERAGE(F$349,F$351,F$353),""),"")</f>
        <v/>
      </c>
      <c r="W424" s="294" t="str">
        <f aca="false">IFERROR(IF(G$349*G$351*G$353&gt;0,STDEV(G$349,G$351,G$353),"")/IF(G$349*G$351*G$353&gt;0,AVERAGE(G$349,G$351,G$353),""),"")</f>
        <v/>
      </c>
      <c r="X424" s="294" t="str">
        <f aca="false">IFERROR(IF(H$349*H$351*H$353&gt;0,STDEV(H$349,H$351,H$353),"")/IF(H$349*H$351*H$353&gt;0,AVERAGE(H$349,H$351,H$353),""),"")</f>
        <v/>
      </c>
      <c r="Y424" s="294" t="str">
        <f aca="false">IFERROR(IF(I$349*I$351*I$353&gt;0,STDEV(I$349,I$351,I$353),"")/IF(I$349*I$351*I$353&gt;0,AVERAGE(I$349,I$351,I$353),""),"")</f>
        <v/>
      </c>
      <c r="Z424" s="294" t="str">
        <f aca="false">IFERROR(IF(J$349*J$351*J$353&gt;0,STDEV(J$349,J$351,J$353),"")/IF(J$349*J$351*J$353&gt;0,AVERAGE(J$349,J$351,J$353),""),"")</f>
        <v/>
      </c>
      <c r="AA424" s="294" t="str">
        <f aca="false">IFERROR(IF(K$349*K$351*K$353&gt;0,STDEV(K$349,K$351,K$353),"")/IF(K$349*K$351*K$353&gt;0,AVERAGE(K$349,K$351,K$353),""),"")</f>
        <v/>
      </c>
      <c r="AB424" s="294" t="str">
        <f aca="false">IFERROR(IF(L$349*L$351*L$353&gt;0,STDEV(L$349,L$351,L$353),"")/IF(L$349*L$351*L$353&gt;0,AVERAGE(L$349,L$351,L$353),""),"")</f>
        <v/>
      </c>
      <c r="AC424" s="294" t="str">
        <f aca="false">IFERROR(IF(M$349*M$351*M$353&gt;0,STDEV(M$349,M$351,M$353),"")/IF(M$349*M$351*M$353&gt;0,AVERAGE(M$349,M$351,M$353),""),"")</f>
        <v/>
      </c>
      <c r="AD424" s="294" t="str">
        <f aca="false">IFERROR(IF(N$349*N$351*N$353&gt;0,STDEV(N$349,N$351,N$353),"")/IF(N$349*N$351*N$353&gt;0,AVERAGE(N$349,N$351,N$353),""),"")</f>
        <v/>
      </c>
      <c r="AE424" s="44"/>
      <c r="AF424" s="266" t="s">
        <v>442</v>
      </c>
      <c r="AG424" s="287" t="str">
        <f aca="false">IFERROR(IF(C$349*C$351*C$353&gt;0,STDEV(C$349,C$351,C$353)," ")/IF(C$349*C$351*C$353&gt;0,SQRT(COUNT(C$349,C$351,C$353))," "),"")</f>
        <v/>
      </c>
      <c r="AH424" s="287" t="str">
        <f aca="false">IFERROR(IF(D$349*D$351*D$353&gt;0,STDEV(D$349,D$351,D$353)," ")/IF(D$349*D$351*D$353&gt;0,SQRT(COUNT(D$349,D$351,D$353))," "),"")</f>
        <v/>
      </c>
      <c r="AI424" s="287" t="str">
        <f aca="false">IFERROR(IF(E$349*E$351*E$353&gt;0,STDEV(E$349,E$351,E$353)," ")/IF(E$349*E$351*E$353&gt;0,SQRT(COUNT(E$349,E$351,E$353))," "),"")</f>
        <v/>
      </c>
      <c r="AJ424" s="287" t="str">
        <f aca="false">IFERROR(IF(F$349*F$351*F$353&gt;0,STDEV(F$349,F$351,F$353)," ")/IF(F$349*F$351*F$353&gt;0,SQRT(COUNT(F$349,F$351,F$353))," "),"")</f>
        <v/>
      </c>
      <c r="AK424" s="287" t="str">
        <f aca="false">IFERROR(IF(G$349*G$351*G$353&gt;0,STDEV(G$349,G$351,G$353)," ")/IF(G$349*G$351*G$353&gt;0,SQRT(COUNT(G$349,G$351,G$353))," "),"")</f>
        <v/>
      </c>
      <c r="AL424" s="287" t="str">
        <f aca="false">IFERROR(IF(H$349*H$351*H$353&gt;0,STDEV(H$349,H$351,H$353)," ")/IF(H$349*H$351*H$353&gt;0,SQRT(COUNT(H$349,H$351,H$353))," "),"")</f>
        <v/>
      </c>
      <c r="AM424" s="287" t="str">
        <f aca="false">IFERROR(IF(I$349*I$351*I$353&gt;0,STDEV(I$349,I$351,I$353)," ")/IF(I$349*I$351*I$353&gt;0,SQRT(COUNT(I$349,I$351,I$353))," "),"")</f>
        <v/>
      </c>
      <c r="AN424" s="287" t="str">
        <f aca="false">IFERROR(IF(J$349*J$351*J$353&gt;0,STDEV(J$349,J$351,J$353)," ")/IF(J$349*J$351*J$353&gt;0,SQRT(COUNT(J$349,J$351,J$353))," "),"")</f>
        <v/>
      </c>
      <c r="AO424" s="287" t="str">
        <f aca="false">IFERROR(IF(K$349*K$351*K$353&gt;0,STDEV(K$349,K$351,K$353)," ")/IF(K$349*K$351*K$353&gt;0,SQRT(COUNT(K$349,K$351,K$353))," "),"")</f>
        <v/>
      </c>
      <c r="AP424" s="287" t="str">
        <f aca="false">IFERROR(IF(L$349*L$351*L$353&gt;0,STDEV(L$349,L$351,L$353)," ")/IF(L$349*L$351*L$353&gt;0,SQRT(COUNT(L$349,L$351,L$353))," "),"")</f>
        <v/>
      </c>
      <c r="AQ424" s="287" t="str">
        <f aca="false">IFERROR(IF(M$349*M$351*M$353&gt;0,STDEV(M$349,M$351,M$353)," ")/IF(M$349*M$351*M$353&gt;0,SQRT(COUNT(M$349,M$351,M$353))," "),"")</f>
        <v/>
      </c>
      <c r="AR424" s="287" t="str">
        <f aca="false">IFERROR(IF(N$349*N$351*N$353&gt;0,STDEV(N$349,N$351,N$353)," ")/IF(N$349*N$351*N$353&gt;0,SQRT(COUNT(N$349,N$351,N$353))," "),"")</f>
        <v/>
      </c>
    </row>
    <row r="425" customFormat="false" ht="15.75" hidden="false" customHeight="false" outlineLevel="0" collapsed="false">
      <c r="A425" s="290" t="s">
        <v>443</v>
      </c>
      <c r="B425" s="281"/>
      <c r="C425" s="302" t="str">
        <f aca="false">IFERROR(IF(C$347*C$348*C$349*C350&gt;0,AVERAGE(C$347:C$349, C350),""),"")</f>
        <v/>
      </c>
      <c r="D425" s="302" t="str">
        <f aca="false">IFERROR(IF(D$347*D$348*D$349*D350&gt;0,AVERAGE(D$347:D$349, D350),""),"")</f>
        <v/>
      </c>
      <c r="E425" s="302" t="str">
        <f aca="false">IFERROR(IF(E$347*E$348*E$349*E350&gt;0,AVERAGE(E$347:E$349, E350),""),"")</f>
        <v/>
      </c>
      <c r="F425" s="302" t="str">
        <f aca="false">IFERROR(IF(F$347*F$348*F$349*F350&gt;0,AVERAGE(F$347:F$349, F350),""),"")</f>
        <v/>
      </c>
      <c r="G425" s="302" t="str">
        <f aca="false">IFERROR(IF(G$347*G$348*G$349*G350&gt;0,AVERAGE(G$347:G$349, G350),""),"")</f>
        <v/>
      </c>
      <c r="H425" s="302" t="str">
        <f aca="false">IFERROR(IF(H$347*H$348*H$349*H350&gt;0,AVERAGE(H$347:H$349, H350),""),"")</f>
        <v/>
      </c>
      <c r="I425" s="302" t="str">
        <f aca="false">IFERROR(IF(I$347*I$348*I$349*I350&gt;0,AVERAGE(I$347:I$349, I350),""),"")</f>
        <v/>
      </c>
      <c r="J425" s="302" t="str">
        <f aca="false">IFERROR(IF(J$347*J$348*J$349*J350&gt;0,AVERAGE(J$347:J$349, J350),""),"")</f>
        <v/>
      </c>
      <c r="K425" s="302" t="str">
        <f aca="false">IFERROR(IF(K$347*K$348*K$349*K350&gt;0,AVERAGE(K$347:K$349, K350),""),"")</f>
        <v/>
      </c>
      <c r="L425" s="302" t="str">
        <f aca="false">IFERROR(IF(L$347*L$348*L$349*L350&gt;0,AVERAGE(L$347:L$349, L350),""),"")</f>
        <v/>
      </c>
      <c r="M425" s="302" t="str">
        <f aca="false">IFERROR(IF(M$347*M$348*M$349*M350&gt;0,AVERAGE(M$347:M$349, M350),""),"")</f>
        <v/>
      </c>
      <c r="N425" s="302" t="str">
        <f aca="false">IFERROR(IF(N$347*N$348*N$349*N350&gt;0,AVERAGE(N$347:N$349, N350),""),"")</f>
        <v/>
      </c>
      <c r="O425" s="282" t="n">
        <v>4</v>
      </c>
      <c r="P425" s="282" t="n">
        <f aca="false">COMBIN(7,4)</f>
        <v>35</v>
      </c>
      <c r="Q425" s="296" t="n">
        <f aca="false">ROW(N459)-ROW(N425)+1</f>
        <v>35</v>
      </c>
      <c r="R425" s="293" t="s">
        <v>444</v>
      </c>
      <c r="S425" s="294" t="str">
        <f aca="false">IFERROR(IF(C$347*C$348*C$349*C350&gt;0,STDEV(C$347:C$349, C350),"")/IF(C$347*C$348*C$349*C350&gt;0,AVERAGE(C$347:C$349, C350),""),"")</f>
        <v/>
      </c>
      <c r="T425" s="294" t="str">
        <f aca="false">IFERROR(IF(D$347*D$348*D$349*D350&gt;0,STDEV(D$347:D$349, D350),"")/IF(D$347*D$348*D$349*D350&gt;0,AVERAGE(D$347:D$349, D350),""),"")</f>
        <v/>
      </c>
      <c r="U425" s="294" t="str">
        <f aca="false">IFERROR(IF(E$347*E$348*E$349*E350&gt;0,STDEV(E$347:E$349, E350),"")/IF(E$347*E$348*E$349*E350&gt;0,AVERAGE(E$347:E$349, E350),""),"")</f>
        <v/>
      </c>
      <c r="V425" s="294" t="str">
        <f aca="false">IFERROR(IF(F$347*F$348*F$349*F350&gt;0,STDEV(F$347:F$349, F350),"")/IF(F$347*F$348*F$349*F350&gt;0,AVERAGE(F$347:F$349, F350),""),"")</f>
        <v/>
      </c>
      <c r="W425" s="294" t="str">
        <f aca="false">IFERROR(IF(G$347*G$348*G$349*G350&gt;0,STDEV(G$347:G$349, G350),"")/IF(G$347*G$348*G$349*G350&gt;0,AVERAGE(G$347:G$349, G350),""),"")</f>
        <v/>
      </c>
      <c r="X425" s="294" t="str">
        <f aca="false">IFERROR(IF(H$347*H$348*H$349*H350&gt;0,STDEV(H$347:H$349, H350),"")/IF(H$347*H$348*H$349*H350&gt;0,AVERAGE(H$347:H$349, H350),""),"")</f>
        <v/>
      </c>
      <c r="Y425" s="294" t="str">
        <f aca="false">IFERROR(IF(I$347*I$348*I$349*I350&gt;0,STDEV(I$347:I$349, I350),"")/IF(I$347*I$348*I$349*I350&gt;0,AVERAGE(I$347:I$349, I350),""),"")</f>
        <v/>
      </c>
      <c r="Z425" s="294" t="str">
        <f aca="false">IFERROR(IF(J$347*J$348*J$349*J350&gt;0,STDEV(J$347:J$349, J350),"")/IF(J$347*J$348*J$349*J350&gt;0,AVERAGE(J$347:J$349, J350),""),"")</f>
        <v/>
      </c>
      <c r="AA425" s="294" t="str">
        <f aca="false">IFERROR(IF(K$347*K$348*K$349*K350&gt;0,STDEV(K$347:K$349, K350),"")/IF(K$347*K$348*K$349*K350&gt;0,AVERAGE(K$347:K$349, K350),""),"")</f>
        <v/>
      </c>
      <c r="AB425" s="294" t="str">
        <f aca="false">IFERROR(IF(L$347*L$348*L$349*L350&gt;0,STDEV(L$347:L$349, L350),"")/IF(L$347*L$348*L$349*L350&gt;0,AVERAGE(L$347:L$349, L350),""),"")</f>
        <v/>
      </c>
      <c r="AC425" s="294" t="str">
        <f aca="false">IFERROR(IF(M$347*M$348*M$349*M350&gt;0,STDEV(M$347:M$349, M350),"")/IF(M$347*M$348*M$349*M350&gt;0,AVERAGE(M$347:M$349, M350),""),"")</f>
        <v/>
      </c>
      <c r="AD425" s="294" t="str">
        <f aca="false">IFERROR(IF(N$347*N$348*N$349*N350&gt;0,STDEV(N$347:N$349, N350),"")/IF(N$347*N$348*N$349*N350&gt;0,AVERAGE(N$347:N$349, N350),""),"")</f>
        <v/>
      </c>
      <c r="AE425" s="44"/>
      <c r="AF425" s="266" t="s">
        <v>445</v>
      </c>
      <c r="AG425" s="287" t="str">
        <f aca="false">IFERROR(IF(C$347*C$348*C$349*C350&gt;0,STDEV(C$347:C$349, C350)," ")/IF(C$347*C$348*C$349*C350&gt;0,SQRT(COUNT(C$347:C$349, C350))," "),"")</f>
        <v/>
      </c>
      <c r="AH425" s="287" t="str">
        <f aca="false">IFERROR(IF(D$347*D$348*D$349*D350&gt;0,STDEV(D$347:D$349, D350)," ")/IF(D$347*D$348*D$349*D350&gt;0,SQRT(COUNT(D$347:D$349, D350))," "),"")</f>
        <v/>
      </c>
      <c r="AI425" s="287" t="str">
        <f aca="false">IFERROR(IF(E$347*E$348*E$349*E350&gt;0,STDEV(E$347:E$349, E350)," ")/IF(E$347*E$348*E$349*E350&gt;0,SQRT(COUNT(E$347:E$349, E350))," "),"")</f>
        <v/>
      </c>
      <c r="AJ425" s="287" t="str">
        <f aca="false">IFERROR(IF(F$347*F$348*F$349*F350&gt;0,STDEV(F$347:F$349, F350)," ")/IF(F$347*F$348*F$349*F350&gt;0,SQRT(COUNT(F$347:F$349, F350))," "),"")</f>
        <v/>
      </c>
      <c r="AK425" s="287" t="str">
        <f aca="false">IFERROR(IF(G$347*G$348*G$349*G350&gt;0,STDEV(G$347:G$349, G350)," ")/IF(G$347*G$348*G$349*G350&gt;0,SQRT(COUNT(G$347:G$349, G350))," "),"")</f>
        <v/>
      </c>
      <c r="AL425" s="287" t="str">
        <f aca="false">IFERROR(IF(H$347*H$348*H$349*H350&gt;0,STDEV(H$347:H$349, H350)," ")/IF(H$347*H$348*H$349*H350&gt;0,SQRT(COUNT(H$347:H$349, H350))," "),"")</f>
        <v/>
      </c>
      <c r="AM425" s="287" t="str">
        <f aca="false">IFERROR(IF(I$347*I$348*I$349*I350&gt;0,STDEV(I$347:I$349, I350)," ")/IF(I$347*I$348*I$349*I350&gt;0,SQRT(COUNT(I$347:I$349, I350))," "),"")</f>
        <v/>
      </c>
      <c r="AN425" s="287" t="str">
        <f aca="false">IFERROR(IF(J$347*J$348*J$349*J350&gt;0,STDEV(J$347:J$349, J350)," ")/IF(J$347*J$348*J$349*J350&gt;0,SQRT(COUNT(J$347:J$349, J350))," "),"")</f>
        <v/>
      </c>
      <c r="AO425" s="287" t="str">
        <f aca="false">IFERROR(IF(K$347*K$348*K$349*K350&gt;0,STDEV(K$347:K$349, K350)," ")/IF(K$347*K$348*K$349*K350&gt;0,SQRT(COUNT(K$347:K$349, K350))," "),"")</f>
        <v/>
      </c>
      <c r="AP425" s="287" t="str">
        <f aca="false">IFERROR(IF(L$347*L$348*L$349*L350&gt;0,STDEV(L$347:L$349, L350)," ")/IF(L$347*L$348*L$349*L350&gt;0,SQRT(COUNT(L$347:L$349, L350))," "),"")</f>
        <v/>
      </c>
      <c r="AQ425" s="287" t="str">
        <f aca="false">IFERROR(IF(M$347*M$348*M$349*M350&gt;0,STDEV(M$347:M$349, M350)," ")/IF(M$347*M$348*M$349*M350&gt;0,SQRT(COUNT(M$347:M$349, M350))," "),"")</f>
        <v/>
      </c>
      <c r="AR425" s="287" t="str">
        <f aca="false">IFERROR(IF(N$347*N$348*N$349*N350&gt;0,STDEV(N$347:N$349, N350)," ")/IF(N$347*N$348*N$349*N350&gt;0,SQRT(COUNT(N$347:N$349, N350))," "),"")</f>
        <v/>
      </c>
    </row>
    <row r="426" customFormat="false" ht="15.75" hidden="false" customHeight="false" outlineLevel="0" collapsed="false">
      <c r="A426" s="290" t="s">
        <v>446</v>
      </c>
      <c r="B426" s="281"/>
      <c r="C426" s="302" t="str">
        <f aca="false">IFERROR(IF(C$347*C$348*C$349*C351&gt;0,AVERAGE(C$347:C$349, C351),""),"")</f>
        <v/>
      </c>
      <c r="D426" s="302" t="str">
        <f aca="false">IFERROR(IF(D$347*D$348*D$349*D351&gt;0,AVERAGE(D$347:D$349, D351),""),"")</f>
        <v/>
      </c>
      <c r="E426" s="302" t="str">
        <f aca="false">IFERROR(IF(E$347*E$348*E$349*E351&gt;0,AVERAGE(E$347:E$349, E351),""),"")</f>
        <v/>
      </c>
      <c r="F426" s="302" t="str">
        <f aca="false">IFERROR(IF(F$347*F$348*F$349*F351&gt;0,AVERAGE(F$347:F$349, F351),""),"")</f>
        <v/>
      </c>
      <c r="G426" s="302" t="str">
        <f aca="false">IFERROR(IF(G$347*G$348*G$349*G351&gt;0,AVERAGE(G$347:G$349, G351),""),"")</f>
        <v/>
      </c>
      <c r="H426" s="302" t="str">
        <f aca="false">IFERROR(IF(H$347*H$348*H$349*H351&gt;0,AVERAGE(H$347:H$349, H351),""),"")</f>
        <v/>
      </c>
      <c r="I426" s="302" t="str">
        <f aca="false">IFERROR(IF(I$347*I$348*I$349*I351&gt;0,AVERAGE(I$347:I$349, I351),""),"")</f>
        <v/>
      </c>
      <c r="J426" s="302" t="str">
        <f aca="false">IFERROR(IF(J$347*J$348*J$349*J351&gt;0,AVERAGE(J$347:J$349, J351),""),"")</f>
        <v/>
      </c>
      <c r="K426" s="302" t="str">
        <f aca="false">IFERROR(IF(K$347*K$348*K$349*K351&gt;0,AVERAGE(K$347:K$349, K351),""),"")</f>
        <v/>
      </c>
      <c r="L426" s="302" t="str">
        <f aca="false">IFERROR(IF(L$347*L$348*L$349*L351&gt;0,AVERAGE(L$347:L$349, L351),""),"")</f>
        <v/>
      </c>
      <c r="M426" s="302" t="str">
        <f aca="false">IFERROR(IF(M$347*M$348*M$349*M351&gt;0,AVERAGE(M$347:M$349, M351),""),"")</f>
        <v/>
      </c>
      <c r="N426" s="302" t="str">
        <f aca="false">IFERROR(IF(N$347*N$348*N$349*N351&gt;0,AVERAGE(N$347:N$349, N351),""),"")</f>
        <v/>
      </c>
      <c r="O426" s="282"/>
      <c r="P426" s="282"/>
      <c r="Q426" s="296"/>
      <c r="R426" s="293" t="s">
        <v>447</v>
      </c>
      <c r="S426" s="294" t="str">
        <f aca="false">IFERROR(IF(C$347*C$348*C$349*C351&gt;0,STDEV(C$347:C$349, C351),"")/IF(C$347*C$348*C$349*C351&gt;0,AVERAGE(C$347:C$349, C351),""),"")</f>
        <v/>
      </c>
      <c r="T426" s="294" t="str">
        <f aca="false">IFERROR(IF(D$347*D$348*D$349*D351&gt;0,STDEV(D$347:D$349, D351),"")/IF(D$347*D$348*D$349*D351&gt;0,AVERAGE(D$347:D$349, D351),""),"")</f>
        <v/>
      </c>
      <c r="U426" s="294" t="str">
        <f aca="false">IFERROR(IF(E$347*E$348*E$349*E351&gt;0,STDEV(E$347:E$349, E351),"")/IF(E$347*E$348*E$349*E351&gt;0,AVERAGE(E$347:E$349, E351),""),"")</f>
        <v/>
      </c>
      <c r="V426" s="294" t="str">
        <f aca="false">IFERROR(IF(F$347*F$348*F$349*F351&gt;0,STDEV(F$347:F$349, F351),"")/IF(F$347*F$348*F$349*F351&gt;0,AVERAGE(F$347:F$349, F351),""),"")</f>
        <v/>
      </c>
      <c r="W426" s="294" t="str">
        <f aca="false">IFERROR(IF(G$347*G$348*G$349*G351&gt;0,STDEV(G$347:G$349, G351),"")/IF(G$347*G$348*G$349*G351&gt;0,AVERAGE(G$347:G$349, G351),""),"")</f>
        <v/>
      </c>
      <c r="X426" s="294" t="str">
        <f aca="false">IFERROR(IF(H$347*H$348*H$349*H351&gt;0,STDEV(H$347:H$349, H351),"")/IF(H$347*H$348*H$349*H351&gt;0,AVERAGE(H$347:H$349, H351),""),"")</f>
        <v/>
      </c>
      <c r="Y426" s="294" t="str">
        <f aca="false">IFERROR(IF(I$347*I$348*I$349*I351&gt;0,STDEV(I$347:I$349, I351),"")/IF(I$347*I$348*I$349*I351&gt;0,AVERAGE(I$347:I$349, I351),""),"")</f>
        <v/>
      </c>
      <c r="Z426" s="294" t="str">
        <f aca="false">IFERROR(IF(J$347*J$348*J$349*J351&gt;0,STDEV(J$347:J$349, J351),"")/IF(J$347*J$348*J$349*J351&gt;0,AVERAGE(J$347:J$349, J351),""),"")</f>
        <v/>
      </c>
      <c r="AA426" s="294" t="str">
        <f aca="false">IFERROR(IF(K$347*K$348*K$349*K351&gt;0,STDEV(K$347:K$349, K351),"")/IF(K$347*K$348*K$349*K351&gt;0,AVERAGE(K$347:K$349, K351),""),"")</f>
        <v/>
      </c>
      <c r="AB426" s="294" t="str">
        <f aca="false">IFERROR(IF(L$347*L$348*L$349*L351&gt;0,STDEV(L$347:L$349, L351),"")/IF(L$347*L$348*L$349*L351&gt;0,AVERAGE(L$347:L$349, L351),""),"")</f>
        <v/>
      </c>
      <c r="AC426" s="294" t="str">
        <f aca="false">IFERROR(IF(M$347*M$348*M$349*M351&gt;0,STDEV(M$347:M$349, M351),"")/IF(M$347*M$348*M$349*M351&gt;0,AVERAGE(M$347:M$349, M351),""),"")</f>
        <v/>
      </c>
      <c r="AD426" s="294" t="str">
        <f aca="false">IFERROR(IF(N$347*N$348*N$349*N351&gt;0,STDEV(N$347:N$349, N351),"")/IF(N$347*N$348*N$349*N351&gt;0,AVERAGE(N$347:N$349, N351),""),"")</f>
        <v/>
      </c>
      <c r="AE426" s="44"/>
      <c r="AF426" s="266" t="s">
        <v>448</v>
      </c>
      <c r="AG426" s="287" t="str">
        <f aca="false">IFERROR(IF(C$347*C$348*C$349*C351&gt;0,STDEV(C$347:C$349, C351)," ")/IF(C$347*C$348*C$349*C351&gt;0,SQRT(COUNT(C$347:C$349, C351))," "),"")</f>
        <v/>
      </c>
      <c r="AH426" s="287" t="str">
        <f aca="false">IFERROR(IF(D$347*D$348*D$349*D351&gt;0,STDEV(D$347:D$349, D351)," ")/IF(D$347*D$348*D$349*D351&gt;0,SQRT(COUNT(D$347:D$349, D351))," "),"")</f>
        <v/>
      </c>
      <c r="AI426" s="287" t="str">
        <f aca="false">IFERROR(IF(E$347*E$348*E$349*E351&gt;0,STDEV(E$347:E$349, E351)," ")/IF(E$347*E$348*E$349*E351&gt;0,SQRT(COUNT(E$347:E$349, E351))," "),"")</f>
        <v/>
      </c>
      <c r="AJ426" s="287" t="str">
        <f aca="false">IFERROR(IF(F$347*F$348*F$349*F351&gt;0,STDEV(F$347:F$349, F351)," ")/IF(F$347*F$348*F$349*F351&gt;0,SQRT(COUNT(F$347:F$349, F351))," "),"")</f>
        <v/>
      </c>
      <c r="AK426" s="287" t="str">
        <f aca="false">IFERROR(IF(G$347*G$348*G$349*G351&gt;0,STDEV(G$347:G$349, G351)," ")/IF(G$347*G$348*G$349*G351&gt;0,SQRT(COUNT(G$347:G$349, G351))," "),"")</f>
        <v/>
      </c>
      <c r="AL426" s="287" t="str">
        <f aca="false">IFERROR(IF(H$347*H$348*H$349*H351&gt;0,STDEV(H$347:H$349, H351)," ")/IF(H$347*H$348*H$349*H351&gt;0,SQRT(COUNT(H$347:H$349, H351))," "),"")</f>
        <v/>
      </c>
      <c r="AM426" s="287" t="str">
        <f aca="false">IFERROR(IF(I$347*I$348*I$349*I351&gt;0,STDEV(I$347:I$349, I351)," ")/IF(I$347*I$348*I$349*I351&gt;0,SQRT(COUNT(I$347:I$349, I351))," "),"")</f>
        <v/>
      </c>
      <c r="AN426" s="287" t="str">
        <f aca="false">IFERROR(IF(J$347*J$348*J$349*J351&gt;0,STDEV(J$347:J$349, J351)," ")/IF(J$347*J$348*J$349*J351&gt;0,SQRT(COUNT(J$347:J$349, J351))," "),"")</f>
        <v/>
      </c>
      <c r="AO426" s="287" t="str">
        <f aca="false">IFERROR(IF(K$347*K$348*K$349*K351&gt;0,STDEV(K$347:K$349, K351)," ")/IF(K$347*K$348*K$349*K351&gt;0,SQRT(COUNT(K$347:K$349, K351))," "),"")</f>
        <v/>
      </c>
      <c r="AP426" s="287" t="str">
        <f aca="false">IFERROR(IF(L$347*L$348*L$349*L351&gt;0,STDEV(L$347:L$349, L351)," ")/IF(L$347*L$348*L$349*L351&gt;0,SQRT(COUNT(L$347:L$349, L351))," "),"")</f>
        <v/>
      </c>
      <c r="AQ426" s="287" t="str">
        <f aca="false">IFERROR(IF(M$347*M$348*M$349*M351&gt;0,STDEV(M$347:M$349, M351)," ")/IF(M$347*M$348*M$349*M351&gt;0,SQRT(COUNT(M$347:M$349, M351))," "),"")</f>
        <v/>
      </c>
      <c r="AR426" s="287" t="str">
        <f aca="false">IFERROR(IF(N$347*N$348*N$349*N351&gt;0,STDEV(N$347:N$349, N351)," ")/IF(N$347*N$348*N$349*N351&gt;0,SQRT(COUNT(N$347:N$349, N351))," "),"")</f>
        <v/>
      </c>
    </row>
    <row r="427" customFormat="false" ht="15.75" hidden="false" customHeight="false" outlineLevel="0" collapsed="false">
      <c r="A427" s="290" t="s">
        <v>449</v>
      </c>
      <c r="B427" s="281"/>
      <c r="C427" s="302" t="str">
        <f aca="false">IFERROR(IF(C$347*C$348*C$349*C352&gt;0,AVERAGE(C$347:C$349, C352),""),"")</f>
        <v/>
      </c>
      <c r="D427" s="302" t="str">
        <f aca="false">IFERROR(IF(D$347*D$348*D$349*D352&gt;0,AVERAGE(D$347:D$349, D352),""),"")</f>
        <v/>
      </c>
      <c r="E427" s="302" t="str">
        <f aca="false">IFERROR(IF(E$347*E$348*E$349*E352&gt;0,AVERAGE(E$347:E$349, E352),""),"")</f>
        <v/>
      </c>
      <c r="F427" s="302" t="str">
        <f aca="false">IFERROR(IF(F$347*F$348*F$349*F352&gt;0,AVERAGE(F$347:F$349, F352),""),"")</f>
        <v/>
      </c>
      <c r="G427" s="302" t="str">
        <f aca="false">IFERROR(IF(G$347*G$348*G$349*G352&gt;0,AVERAGE(G$347:G$349, G352),""),"")</f>
        <v/>
      </c>
      <c r="H427" s="302" t="str">
        <f aca="false">IFERROR(IF(H$347*H$348*H$349*H352&gt;0,AVERAGE(H$347:H$349, H352),""),"")</f>
        <v/>
      </c>
      <c r="I427" s="302" t="str">
        <f aca="false">IFERROR(IF(I$347*I$348*I$349*I352&gt;0,AVERAGE(I$347:I$349, I352),""),"")</f>
        <v/>
      </c>
      <c r="J427" s="302" t="str">
        <f aca="false">IFERROR(IF(J$347*J$348*J$349*J352&gt;0,AVERAGE(J$347:J$349, J352),""),"")</f>
        <v/>
      </c>
      <c r="K427" s="302" t="str">
        <f aca="false">IFERROR(IF(K$347*K$348*K$349*K352&gt;0,AVERAGE(K$347:K$349, K352),""),"")</f>
        <v/>
      </c>
      <c r="L427" s="302" t="str">
        <f aca="false">IFERROR(IF(L$347*L$348*L$349*L352&gt;0,AVERAGE(L$347:L$349, L352),""),"")</f>
        <v/>
      </c>
      <c r="M427" s="302" t="str">
        <f aca="false">IFERROR(IF(M$347*M$348*M$349*M352&gt;0,AVERAGE(M$347:M$349, M352),""),"")</f>
        <v/>
      </c>
      <c r="N427" s="302" t="str">
        <f aca="false">IFERROR(IF(N$347*N$348*N$349*N352&gt;0,AVERAGE(N$347:N$349, N352),""),"")</f>
        <v/>
      </c>
      <c r="O427" s="282"/>
      <c r="P427" s="282"/>
      <c r="Q427" s="296"/>
      <c r="R427" s="293" t="s">
        <v>450</v>
      </c>
      <c r="S427" s="294" t="str">
        <f aca="false">IFERROR(IF(C$347*C$348*C$349*C352&gt;0,STDEV(C$347:C$349, C352),"")/IF(C$347*C$348*C$349*C352&gt;0,AVERAGE(C$347:C$349, C352),""),"")</f>
        <v/>
      </c>
      <c r="T427" s="294" t="str">
        <f aca="false">IFERROR(IF(D$347*D$348*D$349*D352&gt;0,STDEV(D$347:D$349, D352),"")/IF(D$347*D$348*D$349*D352&gt;0,AVERAGE(D$347:D$349, D352),""),"")</f>
        <v/>
      </c>
      <c r="U427" s="294" t="str">
        <f aca="false">IFERROR(IF(E$347*E$348*E$349*E352&gt;0,STDEV(E$347:E$349, E352),"")/IF(E$347*E$348*E$349*E352&gt;0,AVERAGE(E$347:E$349, E352),""),"")</f>
        <v/>
      </c>
      <c r="V427" s="294" t="str">
        <f aca="false">IFERROR(IF(F$347*F$348*F$349*F352&gt;0,STDEV(F$347:F$349, F352),"")/IF(F$347*F$348*F$349*F352&gt;0,AVERAGE(F$347:F$349, F352),""),"")</f>
        <v/>
      </c>
      <c r="W427" s="294" t="str">
        <f aca="false">IFERROR(IF(G$347*G$348*G$349*G352&gt;0,STDEV(G$347:G$349, G352),"")/IF(G$347*G$348*G$349*G352&gt;0,AVERAGE(G$347:G$349, G352),""),"")</f>
        <v/>
      </c>
      <c r="X427" s="294" t="str">
        <f aca="false">IFERROR(IF(H$347*H$348*H$349*H352&gt;0,STDEV(H$347:H$349, H352),"")/IF(H$347*H$348*H$349*H352&gt;0,AVERAGE(H$347:H$349, H352),""),"")</f>
        <v/>
      </c>
      <c r="Y427" s="294" t="str">
        <f aca="false">IFERROR(IF(I$347*I$348*I$349*I352&gt;0,STDEV(I$347:I$349, I352),"")/IF(I$347*I$348*I$349*I352&gt;0,AVERAGE(I$347:I$349, I352),""),"")</f>
        <v/>
      </c>
      <c r="Z427" s="294" t="str">
        <f aca="false">IFERROR(IF(J$347*J$348*J$349*J352&gt;0,STDEV(J$347:J$349, J352),"")/IF(J$347*J$348*J$349*J352&gt;0,AVERAGE(J$347:J$349, J352),""),"")</f>
        <v/>
      </c>
      <c r="AA427" s="294" t="str">
        <f aca="false">IFERROR(IF(K$347*K$348*K$349*K352&gt;0,STDEV(K$347:K$349, K352),"")/IF(K$347*K$348*K$349*K352&gt;0,AVERAGE(K$347:K$349, K352),""),"")</f>
        <v/>
      </c>
      <c r="AB427" s="294" t="str">
        <f aca="false">IFERROR(IF(L$347*L$348*L$349*L352&gt;0,STDEV(L$347:L$349, L352),"")/IF(L$347*L$348*L$349*L352&gt;0,AVERAGE(L$347:L$349, L352),""),"")</f>
        <v/>
      </c>
      <c r="AC427" s="294" t="str">
        <f aca="false">IFERROR(IF(M$347*M$348*M$349*M352&gt;0,STDEV(M$347:M$349, M352),"")/IF(M$347*M$348*M$349*M352&gt;0,AVERAGE(M$347:M$349, M352),""),"")</f>
        <v/>
      </c>
      <c r="AD427" s="294" t="str">
        <f aca="false">IFERROR(IF(N$347*N$348*N$349*N352&gt;0,STDEV(N$347:N$349, N352),"")/IF(N$347*N$348*N$349*N352&gt;0,AVERAGE(N$347:N$349, N352),""),"")</f>
        <v/>
      </c>
      <c r="AE427" s="44"/>
      <c r="AF427" s="266" t="s">
        <v>451</v>
      </c>
      <c r="AG427" s="287" t="str">
        <f aca="false">IFERROR(IF(C$347*C$348*C$349*C352&gt;0,STDEV(C$347:C$349, C352)," ")/IF(C$347*C$348*C$349*C352&gt;0,SQRT(COUNT(C$347:C$349, C352))," "),"")</f>
        <v/>
      </c>
      <c r="AH427" s="287" t="str">
        <f aca="false">IFERROR(IF(D$347*D$348*D$349*D352&gt;0,STDEV(D$347:D$349, D352)," ")/IF(D$347*D$348*D$349*D352&gt;0,SQRT(COUNT(D$347:D$349, D352))," "),"")</f>
        <v/>
      </c>
      <c r="AI427" s="287" t="str">
        <f aca="false">IFERROR(IF(E$347*E$348*E$349*E352&gt;0,STDEV(E$347:E$349, E352)," ")/IF(E$347*E$348*E$349*E352&gt;0,SQRT(COUNT(E$347:E$349, E352))," "),"")</f>
        <v/>
      </c>
      <c r="AJ427" s="287" t="str">
        <f aca="false">IFERROR(IF(F$347*F$348*F$349*F352&gt;0,STDEV(F$347:F$349, F352)," ")/IF(F$347*F$348*F$349*F352&gt;0,SQRT(COUNT(F$347:F$349, F352))," "),"")</f>
        <v/>
      </c>
      <c r="AK427" s="287" t="str">
        <f aca="false">IFERROR(IF(G$347*G$348*G$349*G352&gt;0,STDEV(G$347:G$349, G352)," ")/IF(G$347*G$348*G$349*G352&gt;0,SQRT(COUNT(G$347:G$349, G352))," "),"")</f>
        <v/>
      </c>
      <c r="AL427" s="287" t="str">
        <f aca="false">IFERROR(IF(H$347*H$348*H$349*H352&gt;0,STDEV(H$347:H$349, H352)," ")/IF(H$347*H$348*H$349*H352&gt;0,SQRT(COUNT(H$347:H$349, H352))," "),"")</f>
        <v/>
      </c>
      <c r="AM427" s="287" t="str">
        <f aca="false">IFERROR(IF(I$347*I$348*I$349*I352&gt;0,STDEV(I$347:I$349, I352)," ")/IF(I$347*I$348*I$349*I352&gt;0,SQRT(COUNT(I$347:I$349, I352))," "),"")</f>
        <v/>
      </c>
      <c r="AN427" s="287" t="str">
        <f aca="false">IFERROR(IF(J$347*J$348*J$349*J352&gt;0,STDEV(J$347:J$349, J352)," ")/IF(J$347*J$348*J$349*J352&gt;0,SQRT(COUNT(J$347:J$349, J352))," "),"")</f>
        <v/>
      </c>
      <c r="AO427" s="287" t="str">
        <f aca="false">IFERROR(IF(K$347*K$348*K$349*K352&gt;0,STDEV(K$347:K$349, K352)," ")/IF(K$347*K$348*K$349*K352&gt;0,SQRT(COUNT(K$347:K$349, K352))," "),"")</f>
        <v/>
      </c>
      <c r="AP427" s="287" t="str">
        <f aca="false">IFERROR(IF(L$347*L$348*L$349*L352&gt;0,STDEV(L$347:L$349, L352)," ")/IF(L$347*L$348*L$349*L352&gt;0,SQRT(COUNT(L$347:L$349, L352))," "),"")</f>
        <v/>
      </c>
      <c r="AQ427" s="287" t="str">
        <f aca="false">IFERROR(IF(M$347*M$348*M$349*M352&gt;0,STDEV(M$347:M$349, M352)," ")/IF(M$347*M$348*M$349*M352&gt;0,SQRT(COUNT(M$347:M$349, M352))," "),"")</f>
        <v/>
      </c>
      <c r="AR427" s="287" t="str">
        <f aca="false">IFERROR(IF(N$347*N$348*N$349*N352&gt;0,STDEV(N$347:N$349, N352)," ")/IF(N$347*N$348*N$349*N352&gt;0,SQRT(COUNT(N$347:N$349, N352))," "),"")</f>
        <v/>
      </c>
    </row>
    <row r="428" customFormat="false" ht="15.75" hidden="false" customHeight="false" outlineLevel="0" collapsed="false">
      <c r="A428" s="290" t="s">
        <v>452</v>
      </c>
      <c r="B428" s="281"/>
      <c r="C428" s="302" t="str">
        <f aca="false">IFERROR(IF(C$347*C$348*C$349*C353&gt;0,AVERAGE(C$347:C$349, C353),""),"")</f>
        <v/>
      </c>
      <c r="D428" s="302" t="str">
        <f aca="false">IFERROR(IF(D$347*D$348*D$349*D353&gt;0,AVERAGE(D$347:D$349, D353),""),"")</f>
        <v/>
      </c>
      <c r="E428" s="302" t="str">
        <f aca="false">IFERROR(IF(E$347*E$348*E$349*E353&gt;0,AVERAGE(E$347:E$349, E353),""),"")</f>
        <v/>
      </c>
      <c r="F428" s="302" t="str">
        <f aca="false">IFERROR(IF(F$347*F$348*F$349*F353&gt;0,AVERAGE(F$347:F$349, F353),""),"")</f>
        <v/>
      </c>
      <c r="G428" s="302" t="str">
        <f aca="false">IFERROR(IF(G$347*G$348*G$349*G353&gt;0,AVERAGE(G$347:G$349, G353),""),"")</f>
        <v/>
      </c>
      <c r="H428" s="302" t="str">
        <f aca="false">IFERROR(IF(H$347*H$348*H$349*H353&gt;0,AVERAGE(H$347:H$349, H353),""),"")</f>
        <v/>
      </c>
      <c r="I428" s="302" t="str">
        <f aca="false">IFERROR(IF(I$347*I$348*I$349*I353&gt;0,AVERAGE(I$347:I$349, I353),""),"")</f>
        <v/>
      </c>
      <c r="J428" s="302" t="str">
        <f aca="false">IFERROR(IF(J$347*J$348*J$349*J353&gt;0,AVERAGE(J$347:J$349, J353),""),"")</f>
        <v/>
      </c>
      <c r="K428" s="302" t="str">
        <f aca="false">IFERROR(IF(K$347*K$348*K$349*K353&gt;0,AVERAGE(K$347:K$349, K353),""),"")</f>
        <v/>
      </c>
      <c r="L428" s="302" t="str">
        <f aca="false">IFERROR(IF(L$347*L$348*L$349*L353&gt;0,AVERAGE(L$347:L$349, L353),""),"")</f>
        <v/>
      </c>
      <c r="M428" s="302" t="str">
        <f aca="false">IFERROR(IF(M$347*M$348*M$349*M353&gt;0,AVERAGE(M$347:M$349, M353),""),"")</f>
        <v/>
      </c>
      <c r="N428" s="302" t="str">
        <f aca="false">IFERROR(IF(N$347*N$348*N$349*N353&gt;0,AVERAGE(N$347:N$349, N353),""),"")</f>
        <v/>
      </c>
      <c r="O428" s="282"/>
      <c r="P428" s="282"/>
      <c r="Q428" s="296"/>
      <c r="R428" s="293" t="s">
        <v>453</v>
      </c>
      <c r="S428" s="294" t="str">
        <f aca="false">IFERROR(IF(C$347*C$348*C$349*C353&gt;0,STDEV(C$347:C$349, C353),"")/IF(C$347*C$348*C$349*C353&gt;0,AVERAGE(C$347:C$349, C353),""),"")</f>
        <v/>
      </c>
      <c r="T428" s="294" t="str">
        <f aca="false">IFERROR(IF(D$347*D$348*D$349*D353&gt;0,STDEV(D$347:D$349, D353),"")/IF(D$347*D$348*D$349*D353&gt;0,AVERAGE(D$347:D$349, D353),""),"")</f>
        <v/>
      </c>
      <c r="U428" s="294" t="str">
        <f aca="false">IFERROR(IF(E$347*E$348*E$349*E353&gt;0,STDEV(E$347:E$349, E353),"")/IF(E$347*E$348*E$349*E353&gt;0,AVERAGE(E$347:E$349, E353),""),"")</f>
        <v/>
      </c>
      <c r="V428" s="294" t="str">
        <f aca="false">IFERROR(IF(F$347*F$348*F$349*F353&gt;0,STDEV(F$347:F$349, F353),"")/IF(F$347*F$348*F$349*F353&gt;0,AVERAGE(F$347:F$349, F353),""),"")</f>
        <v/>
      </c>
      <c r="W428" s="294" t="str">
        <f aca="false">IFERROR(IF(G$347*G$348*G$349*G353&gt;0,STDEV(G$347:G$349, G353),"")/IF(G$347*G$348*G$349*G353&gt;0,AVERAGE(G$347:G$349, G353),""),"")</f>
        <v/>
      </c>
      <c r="X428" s="294" t="str">
        <f aca="false">IFERROR(IF(H$347*H$348*H$349*H353&gt;0,STDEV(H$347:H$349, H353),"")/IF(H$347*H$348*H$349*H353&gt;0,AVERAGE(H$347:H$349, H353),""),"")</f>
        <v/>
      </c>
      <c r="Y428" s="294" t="str">
        <f aca="false">IFERROR(IF(I$347*I$348*I$349*I353&gt;0,STDEV(I$347:I$349, I353),"")/IF(I$347*I$348*I$349*I353&gt;0,AVERAGE(I$347:I$349, I353),""),"")</f>
        <v/>
      </c>
      <c r="Z428" s="294" t="str">
        <f aca="false">IFERROR(IF(J$347*J$348*J$349*J353&gt;0,STDEV(J$347:J$349, J353),"")/IF(J$347*J$348*J$349*J353&gt;0,AVERAGE(J$347:J$349, J353),""),"")</f>
        <v/>
      </c>
      <c r="AA428" s="294" t="str">
        <f aca="false">IFERROR(IF(K$347*K$348*K$349*K353&gt;0,STDEV(K$347:K$349, K353),"")/IF(K$347*K$348*K$349*K353&gt;0,AVERAGE(K$347:K$349, K353),""),"")</f>
        <v/>
      </c>
      <c r="AB428" s="294" t="str">
        <f aca="false">IFERROR(IF(L$347*L$348*L$349*L353&gt;0,STDEV(L$347:L$349, L353),"")/IF(L$347*L$348*L$349*L353&gt;0,AVERAGE(L$347:L$349, L353),""),"")</f>
        <v/>
      </c>
      <c r="AC428" s="294" t="str">
        <f aca="false">IFERROR(IF(M$347*M$348*M$349*M353&gt;0,STDEV(M$347:M$349, M353),"")/IF(M$347*M$348*M$349*M353&gt;0,AVERAGE(M$347:M$349, M353),""),"")</f>
        <v/>
      </c>
      <c r="AD428" s="294" t="str">
        <f aca="false">IFERROR(IF(N$347*N$348*N$349*N353&gt;0,STDEV(N$347:N$349, N353),"")/IF(N$347*N$348*N$349*N353&gt;0,AVERAGE(N$347:N$349, N353),""),"")</f>
        <v/>
      </c>
      <c r="AE428" s="44"/>
      <c r="AF428" s="266" t="s">
        <v>454</v>
      </c>
      <c r="AG428" s="287" t="str">
        <f aca="false">IFERROR(IF(C$347*C$348*C$349*C353&gt;0,STDEV(C$347:C$349, C353)," ")/IF(C$347*C$348*C$349*C353&gt;0,SQRT(COUNT(C$347:C$349, C353))," "),"")</f>
        <v/>
      </c>
      <c r="AH428" s="287" t="str">
        <f aca="false">IFERROR(IF(D$347*D$348*D$349*D353&gt;0,STDEV(D$347:D$349, D353)," ")/IF(D$347*D$348*D$349*D353&gt;0,SQRT(COUNT(D$347:D$349, D353))," "),"")</f>
        <v/>
      </c>
      <c r="AI428" s="287" t="str">
        <f aca="false">IFERROR(IF(E$347*E$348*E$349*E353&gt;0,STDEV(E$347:E$349, E353)," ")/IF(E$347*E$348*E$349*E353&gt;0,SQRT(COUNT(E$347:E$349, E353))," "),"")</f>
        <v/>
      </c>
      <c r="AJ428" s="287" t="str">
        <f aca="false">IFERROR(IF(F$347*F$348*F$349*F353&gt;0,STDEV(F$347:F$349, F353)," ")/IF(F$347*F$348*F$349*F353&gt;0,SQRT(COUNT(F$347:F$349, F353))," "),"")</f>
        <v/>
      </c>
      <c r="AK428" s="287" t="str">
        <f aca="false">IFERROR(IF(G$347*G$348*G$349*G353&gt;0,STDEV(G$347:G$349, G353)," ")/IF(G$347*G$348*G$349*G353&gt;0,SQRT(COUNT(G$347:G$349, G353))," "),"")</f>
        <v/>
      </c>
      <c r="AL428" s="287" t="str">
        <f aca="false">IFERROR(IF(H$347*H$348*H$349*H353&gt;0,STDEV(H$347:H$349, H353)," ")/IF(H$347*H$348*H$349*H353&gt;0,SQRT(COUNT(H$347:H$349, H353))," "),"")</f>
        <v/>
      </c>
      <c r="AM428" s="287" t="str">
        <f aca="false">IFERROR(IF(I$347*I$348*I$349*I353&gt;0,STDEV(I$347:I$349, I353)," ")/IF(I$347*I$348*I$349*I353&gt;0,SQRT(COUNT(I$347:I$349, I353))," "),"")</f>
        <v/>
      </c>
      <c r="AN428" s="287" t="str">
        <f aca="false">IFERROR(IF(J$347*J$348*J$349*J353&gt;0,STDEV(J$347:J$349, J353)," ")/IF(J$347*J$348*J$349*J353&gt;0,SQRT(COUNT(J$347:J$349, J353))," "),"")</f>
        <v/>
      </c>
      <c r="AO428" s="287" t="str">
        <f aca="false">IFERROR(IF(K$347*K$348*K$349*K353&gt;0,STDEV(K$347:K$349, K353)," ")/IF(K$347*K$348*K$349*K353&gt;0,SQRT(COUNT(K$347:K$349, K353))," "),"")</f>
        <v/>
      </c>
      <c r="AP428" s="287" t="str">
        <f aca="false">IFERROR(IF(L$347*L$348*L$349*L353&gt;0,STDEV(L$347:L$349, L353)," ")/IF(L$347*L$348*L$349*L353&gt;0,SQRT(COUNT(L$347:L$349, L353))," "),"")</f>
        <v/>
      </c>
      <c r="AQ428" s="287" t="str">
        <f aca="false">IFERROR(IF(M$347*M$348*M$349*M353&gt;0,STDEV(M$347:M$349, M353)," ")/IF(M$347*M$348*M$349*M353&gt;0,SQRT(COUNT(M$347:M$349, M353))," "),"")</f>
        <v/>
      </c>
      <c r="AR428" s="287" t="str">
        <f aca="false">IFERROR(IF(N$347*N$348*N$349*N353&gt;0,STDEV(N$347:N$349, N353)," ")/IF(N$347*N$348*N$349*N353&gt;0,SQRT(COUNT(N$347:N$349, N353))," "),"")</f>
        <v/>
      </c>
    </row>
    <row r="429" customFormat="false" ht="15.75" hidden="false" customHeight="false" outlineLevel="0" collapsed="false">
      <c r="A429" s="290" t="s">
        <v>455</v>
      </c>
      <c r="B429" s="281"/>
      <c r="C429" s="302" t="str">
        <f aca="false">IFERROR(IF(C$348*C$349*C$350*C347&gt;0,AVERAGE(C$348:C$350, C347),""),"")</f>
        <v/>
      </c>
      <c r="D429" s="302" t="str">
        <f aca="false">IFERROR(IF(D$348*D$349*D$350*D347&gt;0,AVERAGE(D$348:D$350, D347),""),"")</f>
        <v/>
      </c>
      <c r="E429" s="302" t="str">
        <f aca="false">IFERROR(IF(E$348*E$349*E$350*E347&gt;0,AVERAGE(E$348:E$350, E347),""),"")</f>
        <v/>
      </c>
      <c r="F429" s="302" t="str">
        <f aca="false">IFERROR(IF(F$348*F$349*F$350*F347&gt;0,AVERAGE(F$348:F$350, F347),""),"")</f>
        <v/>
      </c>
      <c r="G429" s="302" t="str">
        <f aca="false">IFERROR(IF(G$348*G$349*G$350*G347&gt;0,AVERAGE(G$348:G$350, G347),""),"")</f>
        <v/>
      </c>
      <c r="H429" s="302" t="str">
        <f aca="false">IFERROR(IF(H$348*H$349*H$350*H347&gt;0,AVERAGE(H$348:H$350, H347),""),"")</f>
        <v/>
      </c>
      <c r="I429" s="302" t="str">
        <f aca="false">IFERROR(IF(I$348*I$349*I$350*I347&gt;0,AVERAGE(I$348:I$350, I347),""),"")</f>
        <v/>
      </c>
      <c r="J429" s="302" t="str">
        <f aca="false">IFERROR(IF(J$348*J$349*J$350*J347&gt;0,AVERAGE(J$348:J$350, J347),""),"")</f>
        <v/>
      </c>
      <c r="K429" s="302" t="str">
        <f aca="false">IFERROR(IF(K$348*K$349*K$350*K347&gt;0,AVERAGE(K$348:K$350, K347),""),"")</f>
        <v/>
      </c>
      <c r="L429" s="302" t="str">
        <f aca="false">IFERROR(IF(L$348*L$349*L$350*L347&gt;0,AVERAGE(L$348:L$350, L347),""),"")</f>
        <v/>
      </c>
      <c r="M429" s="302" t="str">
        <f aca="false">IFERROR(IF(M$348*M$349*M$350*M347&gt;0,AVERAGE(M$348:M$350, M347),""),"")</f>
        <v/>
      </c>
      <c r="N429" s="302" t="str">
        <f aca="false">IFERROR(IF(N$348*N$349*N$350*N347&gt;0,AVERAGE(N$348:N$350, N347),""),"")</f>
        <v/>
      </c>
      <c r="O429" s="282"/>
      <c r="P429" s="282"/>
      <c r="Q429" s="296"/>
      <c r="R429" s="293" t="s">
        <v>456</v>
      </c>
      <c r="S429" s="294" t="str">
        <f aca="false">IFERROR(IF(C$348*C$349*C$350*C347&gt;0,STDEV(C$348:C$350, C347),"")/IF(C$348*C$349*C$350*C347&gt;0,AVERAGE(C$348:C$350, C347),""),"")</f>
        <v/>
      </c>
      <c r="T429" s="294" t="str">
        <f aca="false">IFERROR(IF(D$348*D$349*D$350*D347&gt;0,STDEV(D$348:D$350, D347),"")/IF(D$348*D$349*D$350*D347&gt;0,AVERAGE(D$348:D$350, D347),""),"")</f>
        <v/>
      </c>
      <c r="U429" s="294" t="str">
        <f aca="false">IFERROR(IF(E$348*E$349*E$350*E347&gt;0,STDEV(E$348:E$350, E347),"")/IF(E$348*E$349*E$350*E347&gt;0,AVERAGE(E$348:E$350, E347),""),"")</f>
        <v/>
      </c>
      <c r="V429" s="294" t="str">
        <f aca="false">IFERROR(IF(F$348*F$349*F$350*F347&gt;0,STDEV(F$348:F$350, F347),"")/IF(F$348*F$349*F$350*F347&gt;0,AVERAGE(F$348:F$350, F347),""),"")</f>
        <v/>
      </c>
      <c r="W429" s="294" t="str">
        <f aca="false">IFERROR(IF(G$348*G$349*G$350*G347&gt;0,STDEV(G$348:G$350, G347),"")/IF(G$348*G$349*G$350*G347&gt;0,AVERAGE(G$348:G$350, G347),""),"")</f>
        <v/>
      </c>
      <c r="X429" s="294" t="str">
        <f aca="false">IFERROR(IF(H$348*H$349*H$350*H347&gt;0,STDEV(H$348:H$350, H347),"")/IF(H$348*H$349*H$350*H347&gt;0,AVERAGE(H$348:H$350, H347),""),"")</f>
        <v/>
      </c>
      <c r="Y429" s="294" t="str">
        <f aca="false">IFERROR(IF(I$348*I$349*I$350*I347&gt;0,STDEV(I$348:I$350, I347),"")/IF(I$348*I$349*I$350*I347&gt;0,AVERAGE(I$348:I$350, I347),""),"")</f>
        <v/>
      </c>
      <c r="Z429" s="294" t="str">
        <f aca="false">IFERROR(IF(J$348*J$349*J$350*J347&gt;0,STDEV(J$348:J$350, J347),"")/IF(J$348*J$349*J$350*J347&gt;0,AVERAGE(J$348:J$350, J347),""),"")</f>
        <v/>
      </c>
      <c r="AA429" s="294" t="str">
        <f aca="false">IFERROR(IF(K$348*K$349*K$350*K347&gt;0,STDEV(K$348:K$350, K347),"")/IF(K$348*K$349*K$350*K347&gt;0,AVERAGE(K$348:K$350, K347),""),"")</f>
        <v/>
      </c>
      <c r="AB429" s="294" t="str">
        <f aca="false">IFERROR(IF(L$348*L$349*L$350*L347&gt;0,STDEV(L$348:L$350, L347),"")/IF(L$348*L$349*L$350*L347&gt;0,AVERAGE(L$348:L$350, L347),""),"")</f>
        <v/>
      </c>
      <c r="AC429" s="294" t="str">
        <f aca="false">IFERROR(IF(M$348*M$349*M$350*M347&gt;0,STDEV(M$348:M$350, M347),"")/IF(M$348*M$349*M$350*M347&gt;0,AVERAGE(M$348:M$350, M347),""),"")</f>
        <v/>
      </c>
      <c r="AD429" s="294" t="str">
        <f aca="false">IFERROR(IF(N$348*N$349*N$350*N347&gt;0,STDEV(N$348:N$350, N347),"")/IF(N$348*N$349*N$350*N347&gt;0,AVERAGE(N$348:N$350, N347),""),"")</f>
        <v/>
      </c>
      <c r="AE429" s="44"/>
      <c r="AF429" s="266" t="s">
        <v>457</v>
      </c>
      <c r="AG429" s="287" t="str">
        <f aca="false">IFERROR(IF(C$348*C$349*C$350*C347&gt;0,STDEV(C$348:C$350, C347)," ")/IF(C$348*C$349*C$350*C347&gt;0,SQRT(COUNT(C$348:C$350, C347))," "),"")</f>
        <v/>
      </c>
      <c r="AH429" s="287" t="str">
        <f aca="false">IFERROR(IF(D$348*D$349*D$350*D347&gt;0,STDEV(D$348:D$350, D347)," ")/IF(D$348*D$349*D$350*D347&gt;0,SQRT(COUNT(D$348:D$350, D347))," "),"")</f>
        <v/>
      </c>
      <c r="AI429" s="287" t="str">
        <f aca="false">IFERROR(IF(E$348*E$349*E$350*E347&gt;0,STDEV(E$348:E$350, E347)," ")/IF(E$348*E$349*E$350*E347&gt;0,SQRT(COUNT(E$348:E$350, E347))," "),"")</f>
        <v/>
      </c>
      <c r="AJ429" s="287" t="str">
        <f aca="false">IFERROR(IF(F$348*F$349*F$350*F347&gt;0,STDEV(F$348:F$350, F347)," ")/IF(F$348*F$349*F$350*F347&gt;0,SQRT(COUNT(F$348:F$350, F347))," "),"")</f>
        <v/>
      </c>
      <c r="AK429" s="287" t="str">
        <f aca="false">IFERROR(IF(G$348*G$349*G$350*G347&gt;0,STDEV(G$348:G$350, G347)," ")/IF(G$348*G$349*G$350*G347&gt;0,SQRT(COUNT(G$348:G$350, G347))," "),"")</f>
        <v/>
      </c>
      <c r="AL429" s="287" t="str">
        <f aca="false">IFERROR(IF(H$348*H$349*H$350*H347&gt;0,STDEV(H$348:H$350, H347)," ")/IF(H$348*H$349*H$350*H347&gt;0,SQRT(COUNT(H$348:H$350, H347))," "),"")</f>
        <v/>
      </c>
      <c r="AM429" s="287" t="str">
        <f aca="false">IFERROR(IF(I$348*I$349*I$350*I347&gt;0,STDEV(I$348:I$350, I347)," ")/IF(I$348*I$349*I$350*I347&gt;0,SQRT(COUNT(I$348:I$350, I347))," "),"")</f>
        <v/>
      </c>
      <c r="AN429" s="287" t="str">
        <f aca="false">IFERROR(IF(J$348*J$349*J$350*J347&gt;0,STDEV(J$348:J$350, J347)," ")/IF(J$348*J$349*J$350*J347&gt;0,SQRT(COUNT(J$348:J$350, J347))," "),"")</f>
        <v/>
      </c>
      <c r="AO429" s="287" t="str">
        <f aca="false">IFERROR(IF(K$348*K$349*K$350*K347&gt;0,STDEV(K$348:K$350, K347)," ")/IF(K$348*K$349*K$350*K347&gt;0,SQRT(COUNT(K$348:K$350, K347))," "),"")</f>
        <v/>
      </c>
      <c r="AP429" s="287" t="str">
        <f aca="false">IFERROR(IF(L$348*L$349*L$350*L347&gt;0,STDEV(L$348:L$350, L347)," ")/IF(L$348*L$349*L$350*L347&gt;0,SQRT(COUNT(L$348:L$350, L347))," "),"")</f>
        <v/>
      </c>
      <c r="AQ429" s="287" t="str">
        <f aca="false">IFERROR(IF(M$348*M$349*M$350*M347&gt;0,STDEV(M$348:M$350, M347)," ")/IF(M$348*M$349*M$350*M347&gt;0,SQRT(COUNT(M$348:M$350, M347))," "),"")</f>
        <v/>
      </c>
      <c r="AR429" s="287" t="str">
        <f aca="false">IFERROR(IF(N$348*N$349*N$350*N347&gt;0,STDEV(N$348:N$350, N347)," ")/IF(N$348*N$349*N$350*N347&gt;0,SQRT(COUNT(N$348:N$350, N347))," "),"")</f>
        <v/>
      </c>
    </row>
    <row r="430" customFormat="false" ht="15.75" hidden="false" customHeight="false" outlineLevel="0" collapsed="false">
      <c r="A430" s="290" t="s">
        <v>458</v>
      </c>
      <c r="B430" s="281"/>
      <c r="C430" s="302" t="str">
        <f aca="false">IFERROR(IF(C$348*C$349*C$350*C351&gt;0,AVERAGE(C$348:C$350, C351),""),"")</f>
        <v/>
      </c>
      <c r="D430" s="302" t="str">
        <f aca="false">IFERROR(IF(D$348*D$349*D$350*D351&gt;0,AVERAGE(D$348:D$350, D351),""),"")</f>
        <v/>
      </c>
      <c r="E430" s="302" t="str">
        <f aca="false">IFERROR(IF(E$348*E$349*E$350*E351&gt;0,AVERAGE(E$348:E$350, E351),""),"")</f>
        <v/>
      </c>
      <c r="F430" s="302" t="str">
        <f aca="false">IFERROR(IF(F$348*F$349*F$350*F351&gt;0,AVERAGE(F$348:F$350, F351),""),"")</f>
        <v/>
      </c>
      <c r="G430" s="302" t="str">
        <f aca="false">IFERROR(IF(G$348*G$349*G$350*G351&gt;0,AVERAGE(G$348:G$350, G351),""),"")</f>
        <v/>
      </c>
      <c r="H430" s="302" t="str">
        <f aca="false">IFERROR(IF(H$348*H$349*H$350*H351&gt;0,AVERAGE(H$348:H$350, H351),""),"")</f>
        <v/>
      </c>
      <c r="I430" s="302" t="str">
        <f aca="false">IFERROR(IF(I$348*I$349*I$350*I351&gt;0,AVERAGE(I$348:I$350, I351),""),"")</f>
        <v/>
      </c>
      <c r="J430" s="302" t="str">
        <f aca="false">IFERROR(IF(J$348*J$349*J$350*J351&gt;0,AVERAGE(J$348:J$350, J351),""),"")</f>
        <v/>
      </c>
      <c r="K430" s="302" t="str">
        <f aca="false">IFERROR(IF(K$348*K$349*K$350*K351&gt;0,AVERAGE(K$348:K$350, K351),""),"")</f>
        <v/>
      </c>
      <c r="L430" s="302" t="str">
        <f aca="false">IFERROR(IF(L$348*L$349*L$350*L351&gt;0,AVERAGE(L$348:L$350, L351),""),"")</f>
        <v/>
      </c>
      <c r="M430" s="302" t="str">
        <f aca="false">IFERROR(IF(M$348*M$349*M$350*M351&gt;0,AVERAGE(M$348:M$350, M351),""),"")</f>
        <v/>
      </c>
      <c r="N430" s="302" t="str">
        <f aca="false">IFERROR(IF(N$348*N$349*N$350*N351&gt;0,AVERAGE(N$348:N$350, N351),""),"")</f>
        <v/>
      </c>
      <c r="O430" s="282"/>
      <c r="P430" s="282"/>
      <c r="Q430" s="296"/>
      <c r="R430" s="293" t="s">
        <v>459</v>
      </c>
      <c r="S430" s="294" t="str">
        <f aca="false">IFERROR(IF(C$348*C$349*C$350*C351&gt;0,STDEV(C$348:C$350, C351),"")/IF(C$348*C$349*C$350*C351&gt;0,AVERAGE(C$348:C$350, C351),""),"")</f>
        <v/>
      </c>
      <c r="T430" s="294" t="str">
        <f aca="false">IFERROR(IF(D$348*D$349*D$350*D351&gt;0,STDEV(D$348:D$350, D351),"")/IF(D$348*D$349*D$350*D351&gt;0,AVERAGE(D$348:D$350, D351),""),"")</f>
        <v/>
      </c>
      <c r="U430" s="294" t="str">
        <f aca="false">IFERROR(IF(E$348*E$349*E$350*E351&gt;0,STDEV(E$348:E$350, E351),"")/IF(E$348*E$349*E$350*E351&gt;0,AVERAGE(E$348:E$350, E351),""),"")</f>
        <v/>
      </c>
      <c r="V430" s="294" t="str">
        <f aca="false">IFERROR(IF(F$348*F$349*F$350*F351&gt;0,STDEV(F$348:F$350, F351),"")/IF(F$348*F$349*F$350*F351&gt;0,AVERAGE(F$348:F$350, F351),""),"")</f>
        <v/>
      </c>
      <c r="W430" s="294" t="str">
        <f aca="false">IFERROR(IF(G$348*G$349*G$350*G351&gt;0,STDEV(G$348:G$350, G351),"")/IF(G$348*G$349*G$350*G351&gt;0,AVERAGE(G$348:G$350, G351),""),"")</f>
        <v/>
      </c>
      <c r="X430" s="294" t="str">
        <f aca="false">IFERROR(IF(H$348*H$349*H$350*H351&gt;0,STDEV(H$348:H$350, H351),"")/IF(H$348*H$349*H$350*H351&gt;0,AVERAGE(H$348:H$350, H351),""),"")</f>
        <v/>
      </c>
      <c r="Y430" s="294" t="str">
        <f aca="false">IFERROR(IF(I$348*I$349*I$350*I351&gt;0,STDEV(I$348:I$350, I351),"")/IF(I$348*I$349*I$350*I351&gt;0,AVERAGE(I$348:I$350, I351),""),"")</f>
        <v/>
      </c>
      <c r="Z430" s="294" t="str">
        <f aca="false">IFERROR(IF(J$348*J$349*J$350*J351&gt;0,STDEV(J$348:J$350, J351),"")/IF(J$348*J$349*J$350*J351&gt;0,AVERAGE(J$348:J$350, J351),""),"")</f>
        <v/>
      </c>
      <c r="AA430" s="294" t="str">
        <f aca="false">IFERROR(IF(K$348*K$349*K$350*K351&gt;0,STDEV(K$348:K$350, K351),"")/IF(K$348*K$349*K$350*K351&gt;0,AVERAGE(K$348:K$350, K351),""),"")</f>
        <v/>
      </c>
      <c r="AB430" s="294" t="str">
        <f aca="false">IFERROR(IF(L$348*L$349*L$350*L351&gt;0,STDEV(L$348:L$350, L351),"")/IF(L$348*L$349*L$350*L351&gt;0,AVERAGE(L$348:L$350, L351),""),"")</f>
        <v/>
      </c>
      <c r="AC430" s="294" t="str">
        <f aca="false">IFERROR(IF(M$348*M$349*M$350*M351&gt;0,STDEV(M$348:M$350, M351),"")/IF(M$348*M$349*M$350*M351&gt;0,AVERAGE(M$348:M$350, M351),""),"")</f>
        <v/>
      </c>
      <c r="AD430" s="294" t="str">
        <f aca="false">IFERROR(IF(N$348*N$349*N$350*N351&gt;0,STDEV(N$348:N$350, N351),"")/IF(N$348*N$349*N$350*N351&gt;0,AVERAGE(N$348:N$350, N351),""),"")</f>
        <v/>
      </c>
      <c r="AE430" s="44"/>
      <c r="AF430" s="266" t="s">
        <v>460</v>
      </c>
      <c r="AG430" s="287" t="str">
        <f aca="false">IFERROR(IF(C$348*C$349*C$350*C351&gt;0,STDEV(C$348:C$350, C351)," ")/IF(C$348*C$349*C$350*C351&gt;0,SQRT(COUNT(C$348:C$350, C351))," "),"")</f>
        <v/>
      </c>
      <c r="AH430" s="287" t="str">
        <f aca="false">IFERROR(IF(D$348*D$349*D$350*D351&gt;0,STDEV(D$348:D$350, D351)," ")/IF(D$348*D$349*D$350*D351&gt;0,SQRT(COUNT(D$348:D$350, D351))," "),"")</f>
        <v/>
      </c>
      <c r="AI430" s="287" t="str">
        <f aca="false">IFERROR(IF(E$348*E$349*E$350*E351&gt;0,STDEV(E$348:E$350, E351)," ")/IF(E$348*E$349*E$350*E351&gt;0,SQRT(COUNT(E$348:E$350, E351))," "),"")</f>
        <v/>
      </c>
      <c r="AJ430" s="287" t="str">
        <f aca="false">IFERROR(IF(F$348*F$349*F$350*F351&gt;0,STDEV(F$348:F$350, F351)," ")/IF(F$348*F$349*F$350*F351&gt;0,SQRT(COUNT(F$348:F$350, F351))," "),"")</f>
        <v/>
      </c>
      <c r="AK430" s="287" t="str">
        <f aca="false">IFERROR(IF(G$348*G$349*G$350*G351&gt;0,STDEV(G$348:G$350, G351)," ")/IF(G$348*G$349*G$350*G351&gt;0,SQRT(COUNT(G$348:G$350, G351))," "),"")</f>
        <v/>
      </c>
      <c r="AL430" s="287" t="str">
        <f aca="false">IFERROR(IF(H$348*H$349*H$350*H351&gt;0,STDEV(H$348:H$350, H351)," ")/IF(H$348*H$349*H$350*H351&gt;0,SQRT(COUNT(H$348:H$350, H351))," "),"")</f>
        <v/>
      </c>
      <c r="AM430" s="287" t="str">
        <f aca="false">IFERROR(IF(I$348*I$349*I$350*I351&gt;0,STDEV(I$348:I$350, I351)," ")/IF(I$348*I$349*I$350*I351&gt;0,SQRT(COUNT(I$348:I$350, I351))," "),"")</f>
        <v/>
      </c>
      <c r="AN430" s="287" t="str">
        <f aca="false">IFERROR(IF(J$348*J$349*J$350*J351&gt;0,STDEV(J$348:J$350, J351)," ")/IF(J$348*J$349*J$350*J351&gt;0,SQRT(COUNT(J$348:J$350, J351))," "),"")</f>
        <v/>
      </c>
      <c r="AO430" s="287" t="str">
        <f aca="false">IFERROR(IF(K$348*K$349*K$350*K351&gt;0,STDEV(K$348:K$350, K351)," ")/IF(K$348*K$349*K$350*K351&gt;0,SQRT(COUNT(K$348:K$350, K351))," "),"")</f>
        <v/>
      </c>
      <c r="AP430" s="287" t="str">
        <f aca="false">IFERROR(IF(L$348*L$349*L$350*L351&gt;0,STDEV(L$348:L$350, L351)," ")/IF(L$348*L$349*L$350*L351&gt;0,SQRT(COUNT(L$348:L$350, L351))," "),"")</f>
        <v/>
      </c>
      <c r="AQ430" s="287" t="str">
        <f aca="false">IFERROR(IF(M$348*M$349*M$350*M351&gt;0,STDEV(M$348:M$350, M351)," ")/IF(M$348*M$349*M$350*M351&gt;0,SQRT(COUNT(M$348:M$350, M351))," "),"")</f>
        <v/>
      </c>
      <c r="AR430" s="287" t="str">
        <f aca="false">IFERROR(IF(N$348*N$349*N$350*N351&gt;0,STDEV(N$348:N$350, N351)," ")/IF(N$348*N$349*N$350*N351&gt;0,SQRT(COUNT(N$348:N$350, N351))," "),"")</f>
        <v/>
      </c>
    </row>
    <row r="431" customFormat="false" ht="15.75" hidden="false" customHeight="false" outlineLevel="0" collapsed="false">
      <c r="A431" s="290" t="s">
        <v>461</v>
      </c>
      <c r="B431" s="281"/>
      <c r="C431" s="302" t="str">
        <f aca="false">IFERROR(IF(C$348*C$349*C$350*C352&gt;0,AVERAGE(C$348:C$350, C352),""),"")</f>
        <v/>
      </c>
      <c r="D431" s="302" t="str">
        <f aca="false">IFERROR(IF(D$348*D$349*D$350*D352&gt;0,AVERAGE(D$348:D$350, D352),""),"")</f>
        <v/>
      </c>
      <c r="E431" s="302" t="str">
        <f aca="false">IFERROR(IF(E$348*E$349*E$350*E352&gt;0,AVERAGE(E$348:E$350, E352),""),"")</f>
        <v/>
      </c>
      <c r="F431" s="302" t="str">
        <f aca="false">IFERROR(IF(F$348*F$349*F$350*F352&gt;0,AVERAGE(F$348:F$350, F352),""),"")</f>
        <v/>
      </c>
      <c r="G431" s="302" t="str">
        <f aca="false">IFERROR(IF(G$348*G$349*G$350*G352&gt;0,AVERAGE(G$348:G$350, G352),""),"")</f>
        <v/>
      </c>
      <c r="H431" s="302" t="str">
        <f aca="false">IFERROR(IF(H$348*H$349*H$350*H352&gt;0,AVERAGE(H$348:H$350, H352),""),"")</f>
        <v/>
      </c>
      <c r="I431" s="302" t="str">
        <f aca="false">IFERROR(IF(I$348*I$349*I$350*I352&gt;0,AVERAGE(I$348:I$350, I352),""),"")</f>
        <v/>
      </c>
      <c r="J431" s="302" t="str">
        <f aca="false">IFERROR(IF(J$348*J$349*J$350*J352&gt;0,AVERAGE(J$348:J$350, J352),""),"")</f>
        <v/>
      </c>
      <c r="K431" s="302" t="str">
        <f aca="false">IFERROR(IF(K$348*K$349*K$350*K352&gt;0,AVERAGE(K$348:K$350, K352),""),"")</f>
        <v/>
      </c>
      <c r="L431" s="302" t="str">
        <f aca="false">IFERROR(IF(L$348*L$349*L$350*L352&gt;0,AVERAGE(L$348:L$350, L352),""),"")</f>
        <v/>
      </c>
      <c r="M431" s="302" t="str">
        <f aca="false">IFERROR(IF(M$348*M$349*M$350*M352&gt;0,AVERAGE(M$348:M$350, M352),""),"")</f>
        <v/>
      </c>
      <c r="N431" s="302" t="str">
        <f aca="false">IFERROR(IF(N$348*N$349*N$350*N352&gt;0,AVERAGE(N$348:N$350, N352),""),"")</f>
        <v/>
      </c>
      <c r="O431" s="282"/>
      <c r="P431" s="282"/>
      <c r="Q431" s="296"/>
      <c r="R431" s="293" t="s">
        <v>462</v>
      </c>
      <c r="S431" s="294" t="str">
        <f aca="false">IFERROR(IF(C$348*C$349*C$350*C352&gt;0,STDEV(C$348:C$350, C352),"")/IF(C$348*C$349*C$350*C352&gt;0,AVERAGE(C$348:C$350, C352),""),"")</f>
        <v/>
      </c>
      <c r="T431" s="294" t="str">
        <f aca="false">IFERROR(IF(D$348*D$349*D$350*D352&gt;0,STDEV(D$348:D$350, D352),"")/IF(D$348*D$349*D$350*D352&gt;0,AVERAGE(D$348:D$350, D352),""),"")</f>
        <v/>
      </c>
      <c r="U431" s="294" t="str">
        <f aca="false">IFERROR(IF(E$348*E$349*E$350*E352&gt;0,STDEV(E$348:E$350, E352),"")/IF(E$348*E$349*E$350*E352&gt;0,AVERAGE(E$348:E$350, E352),""),"")</f>
        <v/>
      </c>
      <c r="V431" s="294" t="str">
        <f aca="false">IFERROR(IF(F$348*F$349*F$350*F352&gt;0,STDEV(F$348:F$350, F352),"")/IF(F$348*F$349*F$350*F352&gt;0,AVERAGE(F$348:F$350, F352),""),"")</f>
        <v/>
      </c>
      <c r="W431" s="294" t="str">
        <f aca="false">IFERROR(IF(G$348*G$349*G$350*G352&gt;0,STDEV(G$348:G$350, G352),"")/IF(G$348*G$349*G$350*G352&gt;0,AVERAGE(G$348:G$350, G352),""),"")</f>
        <v/>
      </c>
      <c r="X431" s="294" t="str">
        <f aca="false">IFERROR(IF(H$348*H$349*H$350*H352&gt;0,STDEV(H$348:H$350, H352),"")/IF(H$348*H$349*H$350*H352&gt;0,AVERAGE(H$348:H$350, H352),""),"")</f>
        <v/>
      </c>
      <c r="Y431" s="294" t="str">
        <f aca="false">IFERROR(IF(I$348*I$349*I$350*I352&gt;0,STDEV(I$348:I$350, I352),"")/IF(I$348*I$349*I$350*I352&gt;0,AVERAGE(I$348:I$350, I352),""),"")</f>
        <v/>
      </c>
      <c r="Z431" s="294" t="str">
        <f aca="false">IFERROR(IF(J$348*J$349*J$350*J352&gt;0,STDEV(J$348:J$350, J352),"")/IF(J$348*J$349*J$350*J352&gt;0,AVERAGE(J$348:J$350, J352),""),"")</f>
        <v/>
      </c>
      <c r="AA431" s="294" t="str">
        <f aca="false">IFERROR(IF(K$348*K$349*K$350*K352&gt;0,STDEV(K$348:K$350, K352),"")/IF(K$348*K$349*K$350*K352&gt;0,AVERAGE(K$348:K$350, K352),""),"")</f>
        <v/>
      </c>
      <c r="AB431" s="294" t="str">
        <f aca="false">IFERROR(IF(L$348*L$349*L$350*L352&gt;0,STDEV(L$348:L$350, L352),"")/IF(L$348*L$349*L$350*L352&gt;0,AVERAGE(L$348:L$350, L352),""),"")</f>
        <v/>
      </c>
      <c r="AC431" s="294" t="str">
        <f aca="false">IFERROR(IF(M$348*M$349*M$350*M352&gt;0,STDEV(M$348:M$350, M352),"")/IF(M$348*M$349*M$350*M352&gt;0,AVERAGE(M$348:M$350, M352),""),"")</f>
        <v/>
      </c>
      <c r="AD431" s="294" t="str">
        <f aca="false">IFERROR(IF(N$348*N$349*N$350*N352&gt;0,STDEV(N$348:N$350, N352),"")/IF(N$348*N$349*N$350*N352&gt;0,AVERAGE(N$348:N$350, N352),""),"")</f>
        <v/>
      </c>
      <c r="AE431" s="44"/>
      <c r="AF431" s="266" t="s">
        <v>463</v>
      </c>
      <c r="AG431" s="287" t="str">
        <f aca="false">IFERROR(IF(C$348*C$349*C$350*C352&gt;0,STDEV(C$348:C$350, C352)," ")/IF(C$348*C$349*C$350*C352&gt;0,SQRT(COUNT(C$348:C$350, C352))," "),"")</f>
        <v/>
      </c>
      <c r="AH431" s="287" t="str">
        <f aca="false">IFERROR(IF(D$348*D$349*D$350*D352&gt;0,STDEV(D$348:D$350, D352)," ")/IF(D$348*D$349*D$350*D352&gt;0,SQRT(COUNT(D$348:D$350, D352))," "),"")</f>
        <v/>
      </c>
      <c r="AI431" s="287" t="str">
        <f aca="false">IFERROR(IF(E$348*E$349*E$350*E352&gt;0,STDEV(E$348:E$350, E352)," ")/IF(E$348*E$349*E$350*E352&gt;0,SQRT(COUNT(E$348:E$350, E352))," "),"")</f>
        <v/>
      </c>
      <c r="AJ431" s="287" t="str">
        <f aca="false">IFERROR(IF(F$348*F$349*F$350*F352&gt;0,STDEV(F$348:F$350, F352)," ")/IF(F$348*F$349*F$350*F352&gt;0,SQRT(COUNT(F$348:F$350, F352))," "),"")</f>
        <v/>
      </c>
      <c r="AK431" s="287" t="str">
        <f aca="false">IFERROR(IF(G$348*G$349*G$350*G352&gt;0,STDEV(G$348:G$350, G352)," ")/IF(G$348*G$349*G$350*G352&gt;0,SQRT(COUNT(G$348:G$350, G352))," "),"")</f>
        <v/>
      </c>
      <c r="AL431" s="287" t="str">
        <f aca="false">IFERROR(IF(H$348*H$349*H$350*H352&gt;0,STDEV(H$348:H$350, H352)," ")/IF(H$348*H$349*H$350*H352&gt;0,SQRT(COUNT(H$348:H$350, H352))," "),"")</f>
        <v/>
      </c>
      <c r="AM431" s="287" t="str">
        <f aca="false">IFERROR(IF(I$348*I$349*I$350*I352&gt;0,STDEV(I$348:I$350, I352)," ")/IF(I$348*I$349*I$350*I352&gt;0,SQRT(COUNT(I$348:I$350, I352))," "),"")</f>
        <v/>
      </c>
      <c r="AN431" s="287" t="str">
        <f aca="false">IFERROR(IF(J$348*J$349*J$350*J352&gt;0,STDEV(J$348:J$350, J352)," ")/IF(J$348*J$349*J$350*J352&gt;0,SQRT(COUNT(J$348:J$350, J352))," "),"")</f>
        <v/>
      </c>
      <c r="AO431" s="287" t="str">
        <f aca="false">IFERROR(IF(K$348*K$349*K$350*K352&gt;0,STDEV(K$348:K$350, K352)," ")/IF(K$348*K$349*K$350*K352&gt;0,SQRT(COUNT(K$348:K$350, K352))," "),"")</f>
        <v/>
      </c>
      <c r="AP431" s="287" t="str">
        <f aca="false">IFERROR(IF(L$348*L$349*L$350*L352&gt;0,STDEV(L$348:L$350, L352)," ")/IF(L$348*L$349*L$350*L352&gt;0,SQRT(COUNT(L$348:L$350, L352))," "),"")</f>
        <v/>
      </c>
      <c r="AQ431" s="287" t="str">
        <f aca="false">IFERROR(IF(M$348*M$349*M$350*M352&gt;0,STDEV(M$348:M$350, M352)," ")/IF(M$348*M$349*M$350*M352&gt;0,SQRT(COUNT(M$348:M$350, M352))," "),"")</f>
        <v/>
      </c>
      <c r="AR431" s="287" t="str">
        <f aca="false">IFERROR(IF(N$348*N$349*N$350*N352&gt;0,STDEV(N$348:N$350, N352)," ")/IF(N$348*N$349*N$350*N352&gt;0,SQRT(COUNT(N$348:N$350, N352))," "),"")</f>
        <v/>
      </c>
    </row>
    <row r="432" customFormat="false" ht="15.75" hidden="false" customHeight="false" outlineLevel="0" collapsed="false">
      <c r="A432" s="290" t="s">
        <v>464</v>
      </c>
      <c r="B432" s="281"/>
      <c r="C432" s="302" t="str">
        <f aca="false">IFERROR(IF(C$348*C$349*C$350*C353&gt;0,AVERAGE(C$348:C$350, C353),""),"")</f>
        <v/>
      </c>
      <c r="D432" s="302" t="str">
        <f aca="false">IFERROR(IF(D$348*D$349*D$350*D353&gt;0,AVERAGE(D$348:D$350, D353),""),"")</f>
        <v/>
      </c>
      <c r="E432" s="302" t="str">
        <f aca="false">IFERROR(IF(E$348*E$349*E$350*E353&gt;0,AVERAGE(E$348:E$350, E353),""),"")</f>
        <v/>
      </c>
      <c r="F432" s="302" t="str">
        <f aca="false">IFERROR(IF(F$348*F$349*F$350*F353&gt;0,AVERAGE(F$348:F$350, F353),""),"")</f>
        <v/>
      </c>
      <c r="G432" s="302" t="str">
        <f aca="false">IFERROR(IF(G$348*G$349*G$350*G353&gt;0,AVERAGE(G$348:G$350, G353),""),"")</f>
        <v/>
      </c>
      <c r="H432" s="302" t="str">
        <f aca="false">IFERROR(IF(H$348*H$349*H$350*H353&gt;0,AVERAGE(H$348:H$350, H353),""),"")</f>
        <v/>
      </c>
      <c r="I432" s="302" t="str">
        <f aca="false">IFERROR(IF(I$348*I$349*I$350*I353&gt;0,AVERAGE(I$348:I$350, I353),""),"")</f>
        <v/>
      </c>
      <c r="J432" s="302" t="str">
        <f aca="false">IFERROR(IF(J$348*J$349*J$350*J353&gt;0,AVERAGE(J$348:J$350, J353),""),"")</f>
        <v/>
      </c>
      <c r="K432" s="302" t="str">
        <f aca="false">IFERROR(IF(K$348*K$349*K$350*K353&gt;0,AVERAGE(K$348:K$350, K353),""),"")</f>
        <v/>
      </c>
      <c r="L432" s="302" t="str">
        <f aca="false">IFERROR(IF(L$348*L$349*L$350*L353&gt;0,AVERAGE(L$348:L$350, L353),""),"")</f>
        <v/>
      </c>
      <c r="M432" s="302" t="str">
        <f aca="false">IFERROR(IF(M$348*M$349*M$350*M353&gt;0,AVERAGE(M$348:M$350, M353),""),"")</f>
        <v/>
      </c>
      <c r="N432" s="302" t="str">
        <f aca="false">IFERROR(IF(N$348*N$349*N$350*N353&gt;0,AVERAGE(N$348:N$350, N353),""),"")</f>
        <v/>
      </c>
      <c r="O432" s="282"/>
      <c r="P432" s="282"/>
      <c r="Q432" s="296"/>
      <c r="R432" s="293" t="s">
        <v>465</v>
      </c>
      <c r="S432" s="294" t="str">
        <f aca="false">IFERROR(IF(C$348*C$349*C$350*C353&gt;0,STDEV(C$348:C$350, C353),"")/IF(C$348*C$349*C$350*C353&gt;0,AVERAGE(C$348:C$350, C353),""),"")</f>
        <v/>
      </c>
      <c r="T432" s="294" t="str">
        <f aca="false">IFERROR(IF(D$348*D$349*D$350*D353&gt;0,STDEV(D$348:D$350, D353),"")/IF(D$348*D$349*D$350*D353&gt;0,AVERAGE(D$348:D$350, D353),""),"")</f>
        <v/>
      </c>
      <c r="U432" s="294" t="str">
        <f aca="false">IFERROR(IF(E$348*E$349*E$350*E353&gt;0,STDEV(E$348:E$350, E353),"")/IF(E$348*E$349*E$350*E353&gt;0,AVERAGE(E$348:E$350, E353),""),"")</f>
        <v/>
      </c>
      <c r="V432" s="294" t="str">
        <f aca="false">IFERROR(IF(F$348*F$349*F$350*F353&gt;0,STDEV(F$348:F$350, F353),"")/IF(F$348*F$349*F$350*F353&gt;0,AVERAGE(F$348:F$350, F353),""),"")</f>
        <v/>
      </c>
      <c r="W432" s="294" t="str">
        <f aca="false">IFERROR(IF(G$348*G$349*G$350*G353&gt;0,STDEV(G$348:G$350, G353),"")/IF(G$348*G$349*G$350*G353&gt;0,AVERAGE(G$348:G$350, G353),""),"")</f>
        <v/>
      </c>
      <c r="X432" s="294" t="str">
        <f aca="false">IFERROR(IF(H$348*H$349*H$350*H353&gt;0,STDEV(H$348:H$350, H353),"")/IF(H$348*H$349*H$350*H353&gt;0,AVERAGE(H$348:H$350, H353),""),"")</f>
        <v/>
      </c>
      <c r="Y432" s="294" t="str">
        <f aca="false">IFERROR(IF(I$348*I$349*I$350*I353&gt;0,STDEV(I$348:I$350, I353),"")/IF(I$348*I$349*I$350*I353&gt;0,AVERAGE(I$348:I$350, I353),""),"")</f>
        <v/>
      </c>
      <c r="Z432" s="294" t="str">
        <f aca="false">IFERROR(IF(J$348*J$349*J$350*J353&gt;0,STDEV(J$348:J$350, J353),"")/IF(J$348*J$349*J$350*J353&gt;0,AVERAGE(J$348:J$350, J353),""),"")</f>
        <v/>
      </c>
      <c r="AA432" s="294" t="str">
        <f aca="false">IFERROR(IF(K$348*K$349*K$350*K353&gt;0,STDEV(K$348:K$350, K353),"")/IF(K$348*K$349*K$350*K353&gt;0,AVERAGE(K$348:K$350, K353),""),"")</f>
        <v/>
      </c>
      <c r="AB432" s="294" t="str">
        <f aca="false">IFERROR(IF(L$348*L$349*L$350*L353&gt;0,STDEV(L$348:L$350, L353),"")/IF(L$348*L$349*L$350*L353&gt;0,AVERAGE(L$348:L$350, L353),""),"")</f>
        <v/>
      </c>
      <c r="AC432" s="294" t="str">
        <f aca="false">IFERROR(IF(M$348*M$349*M$350*M353&gt;0,STDEV(M$348:M$350, M353),"")/IF(M$348*M$349*M$350*M353&gt;0,AVERAGE(M$348:M$350, M353),""),"")</f>
        <v/>
      </c>
      <c r="AD432" s="294" t="str">
        <f aca="false">IFERROR(IF(N$348*N$349*N$350*N353&gt;0,STDEV(N$348:N$350, N353),"")/IF(N$348*N$349*N$350*N353&gt;0,AVERAGE(N$348:N$350, N353),""),"")</f>
        <v/>
      </c>
      <c r="AE432" s="44"/>
      <c r="AF432" s="266" t="s">
        <v>466</v>
      </c>
      <c r="AG432" s="287" t="str">
        <f aca="false">IFERROR(IF(C$348*C$349*C$350*C353&gt;0,STDEV(C$348:C$350, C353)," ")/IF(C$348*C$349*C$350*C353&gt;0,SQRT(COUNT(C$348:C$350, C353))," "),"")</f>
        <v/>
      </c>
      <c r="AH432" s="287" t="str">
        <f aca="false">IFERROR(IF(D$348*D$349*D$350*D353&gt;0,STDEV(D$348:D$350, D353)," ")/IF(D$348*D$349*D$350*D353&gt;0,SQRT(COUNT(D$348:D$350, D353))," "),"")</f>
        <v/>
      </c>
      <c r="AI432" s="287" t="str">
        <f aca="false">IFERROR(IF(E$348*E$349*E$350*E353&gt;0,STDEV(E$348:E$350, E353)," ")/IF(E$348*E$349*E$350*E353&gt;0,SQRT(COUNT(E$348:E$350, E353))," "),"")</f>
        <v/>
      </c>
      <c r="AJ432" s="287" t="str">
        <f aca="false">IFERROR(IF(F$348*F$349*F$350*F353&gt;0,STDEV(F$348:F$350, F353)," ")/IF(F$348*F$349*F$350*F353&gt;0,SQRT(COUNT(F$348:F$350, F353))," "),"")</f>
        <v/>
      </c>
      <c r="AK432" s="287" t="str">
        <f aca="false">IFERROR(IF(G$348*G$349*G$350*G353&gt;0,STDEV(G$348:G$350, G353)," ")/IF(G$348*G$349*G$350*G353&gt;0,SQRT(COUNT(G$348:G$350, G353))," "),"")</f>
        <v/>
      </c>
      <c r="AL432" s="287" t="str">
        <f aca="false">IFERROR(IF(H$348*H$349*H$350*H353&gt;0,STDEV(H$348:H$350, H353)," ")/IF(H$348*H$349*H$350*H353&gt;0,SQRT(COUNT(H$348:H$350, H353))," "),"")</f>
        <v/>
      </c>
      <c r="AM432" s="287" t="str">
        <f aca="false">IFERROR(IF(I$348*I$349*I$350*I353&gt;0,STDEV(I$348:I$350, I353)," ")/IF(I$348*I$349*I$350*I353&gt;0,SQRT(COUNT(I$348:I$350, I353))," "),"")</f>
        <v/>
      </c>
      <c r="AN432" s="287" t="str">
        <f aca="false">IFERROR(IF(J$348*J$349*J$350*J353&gt;0,STDEV(J$348:J$350, J353)," ")/IF(J$348*J$349*J$350*J353&gt;0,SQRT(COUNT(J$348:J$350, J353))," "),"")</f>
        <v/>
      </c>
      <c r="AO432" s="287" t="str">
        <f aca="false">IFERROR(IF(K$348*K$349*K$350*K353&gt;0,STDEV(K$348:K$350, K353)," ")/IF(K$348*K$349*K$350*K353&gt;0,SQRT(COUNT(K$348:K$350, K353))," "),"")</f>
        <v/>
      </c>
      <c r="AP432" s="287" t="str">
        <f aca="false">IFERROR(IF(L$348*L$349*L$350*L353&gt;0,STDEV(L$348:L$350, L353)," ")/IF(L$348*L$349*L$350*L353&gt;0,SQRT(COUNT(L$348:L$350, L353))," "),"")</f>
        <v/>
      </c>
      <c r="AQ432" s="287" t="str">
        <f aca="false">IFERROR(IF(M$348*M$349*M$350*M353&gt;0,STDEV(M$348:M$350, M353)," ")/IF(M$348*M$349*M$350*M353&gt;0,SQRT(COUNT(M$348:M$350, M353))," "),"")</f>
        <v/>
      </c>
      <c r="AR432" s="287" t="str">
        <f aca="false">IFERROR(IF(N$348*N$349*N$350*N353&gt;0,STDEV(N$348:N$350, N353)," ")/IF(N$348*N$349*N$350*N353&gt;0,SQRT(COUNT(N$348:N$350, N353))," "),"")</f>
        <v/>
      </c>
    </row>
    <row r="433" customFormat="false" ht="15.75" hidden="false" customHeight="false" outlineLevel="0" collapsed="false">
      <c r="A433" s="290" t="s">
        <v>467</v>
      </c>
      <c r="B433" s="281"/>
      <c r="C433" s="302" t="str">
        <f aca="false">IFERROR(IF(C$349*C$350*C$351*C347&gt;0,AVERAGE(C$349:C$351, C347),""),"")</f>
        <v/>
      </c>
      <c r="D433" s="302" t="str">
        <f aca="false">IFERROR(IF(D$349*D$350*D$351*D347&gt;0,AVERAGE(D$349:D$351, D347),""),"")</f>
        <v/>
      </c>
      <c r="E433" s="302" t="str">
        <f aca="false">IFERROR(IF(E$349*E$350*E$351*E347&gt;0,AVERAGE(E$349:E$351, E347),""),"")</f>
        <v/>
      </c>
      <c r="F433" s="302" t="str">
        <f aca="false">IFERROR(IF(F$349*F$350*F$351*F347&gt;0,AVERAGE(F$349:F$351, F347),""),"")</f>
        <v/>
      </c>
      <c r="G433" s="302" t="str">
        <f aca="false">IFERROR(IF(G$349*G$350*G$351*G347&gt;0,AVERAGE(G$349:G$351, G347),""),"")</f>
        <v/>
      </c>
      <c r="H433" s="302" t="str">
        <f aca="false">IFERROR(IF(H$349*H$350*H$351*H347&gt;0,AVERAGE(H$349:H$351, H347),""),"")</f>
        <v/>
      </c>
      <c r="I433" s="302" t="str">
        <f aca="false">IFERROR(IF(I$349*I$350*I$351*I347&gt;0,AVERAGE(I$349:I$351, I347),""),"")</f>
        <v/>
      </c>
      <c r="J433" s="302" t="str">
        <f aca="false">IFERROR(IF(J$349*J$350*J$351*J347&gt;0,AVERAGE(J$349:J$351, J347),""),"")</f>
        <v/>
      </c>
      <c r="K433" s="302" t="str">
        <f aca="false">IFERROR(IF(K$349*K$350*K$351*K347&gt;0,AVERAGE(K$349:K$351, K347),""),"")</f>
        <v/>
      </c>
      <c r="L433" s="302" t="str">
        <f aca="false">IFERROR(IF(L$349*L$350*L$351*L347&gt;0,AVERAGE(L$349:L$351, L347),""),"")</f>
        <v/>
      </c>
      <c r="M433" s="302" t="str">
        <f aca="false">IFERROR(IF(M$349*M$350*M$351*M347&gt;0,AVERAGE(M$349:M$351, M347),""),"")</f>
        <v/>
      </c>
      <c r="N433" s="302" t="str">
        <f aca="false">IFERROR(IF(N$349*N$350*N$351*N347&gt;0,AVERAGE(N$349:N$351, N347),""),"")</f>
        <v/>
      </c>
      <c r="O433" s="282"/>
      <c r="P433" s="282"/>
      <c r="Q433" s="296"/>
      <c r="R433" s="293" t="s">
        <v>468</v>
      </c>
      <c r="S433" s="294" t="str">
        <f aca="false">IFERROR(IF(C$349*C$350*C$351*C347&gt;0,STDEV(C$349:C$351, C347),"")/IF(C$349*C$350*C$351*C347&gt;0,AVERAGE(C$349:C$351, C347),""),"")</f>
        <v/>
      </c>
      <c r="T433" s="294" t="str">
        <f aca="false">IFERROR(IF(D$349*D$350*D$351*D347&gt;0,STDEV(D$349:D$351, D347),"")/IF(D$349*D$350*D$351*D347&gt;0,AVERAGE(D$349:D$351, D347),""),"")</f>
        <v/>
      </c>
      <c r="U433" s="294" t="str">
        <f aca="false">IFERROR(IF(E$349*E$350*E$351*E347&gt;0,STDEV(E$349:E$351, E347),"")/IF(E$349*E$350*E$351*E347&gt;0,AVERAGE(E$349:E$351, E347),""),"")</f>
        <v/>
      </c>
      <c r="V433" s="294" t="str">
        <f aca="false">IFERROR(IF(F$349*F$350*F$351*F347&gt;0,STDEV(F$349:F$351, F347),"")/IF(F$349*F$350*F$351*F347&gt;0,AVERAGE(F$349:F$351, F347),""),"")</f>
        <v/>
      </c>
      <c r="W433" s="294" t="str">
        <f aca="false">IFERROR(IF(G$349*G$350*G$351*G347&gt;0,STDEV(G$349:G$351, G347),"")/IF(G$349*G$350*G$351*G347&gt;0,AVERAGE(G$349:G$351, G347),""),"")</f>
        <v/>
      </c>
      <c r="X433" s="294" t="str">
        <f aca="false">IFERROR(IF(H$349*H$350*H$351*H347&gt;0,STDEV(H$349:H$351, H347),"")/IF(H$349*H$350*H$351*H347&gt;0,AVERAGE(H$349:H$351, H347),""),"")</f>
        <v/>
      </c>
      <c r="Y433" s="294" t="str">
        <f aca="false">IFERROR(IF(I$349*I$350*I$351*I347&gt;0,STDEV(I$349:I$351, I347),"")/IF(I$349*I$350*I$351*I347&gt;0,AVERAGE(I$349:I$351, I347),""),"")</f>
        <v/>
      </c>
      <c r="Z433" s="294" t="str">
        <f aca="false">IFERROR(IF(J$349*J$350*J$351*J347&gt;0,STDEV(J$349:J$351, J347),"")/IF(J$349*J$350*J$351*J347&gt;0,AVERAGE(J$349:J$351, J347),""),"")</f>
        <v/>
      </c>
      <c r="AA433" s="294" t="str">
        <f aca="false">IFERROR(IF(K$349*K$350*K$351*K347&gt;0,STDEV(K$349:K$351, K347),"")/IF(K$349*K$350*K$351*K347&gt;0,AVERAGE(K$349:K$351, K347),""),"")</f>
        <v/>
      </c>
      <c r="AB433" s="294" t="str">
        <f aca="false">IFERROR(IF(L$349*L$350*L$351*L347&gt;0,STDEV(L$349:L$351, L347),"")/IF(L$349*L$350*L$351*L347&gt;0,AVERAGE(L$349:L$351, L347),""),"")</f>
        <v/>
      </c>
      <c r="AC433" s="294" t="str">
        <f aca="false">IFERROR(IF(M$349*M$350*M$351*M347&gt;0,STDEV(M$349:M$351, M347),"")/IF(M$349*M$350*M$351*M347&gt;0,AVERAGE(M$349:M$351, M347),""),"")</f>
        <v/>
      </c>
      <c r="AD433" s="294" t="str">
        <f aca="false">IFERROR(IF(N$349*N$350*N$351*N347&gt;0,STDEV(N$349:N$351, N347),"")/IF(N$349*N$350*N$351*N347&gt;0,AVERAGE(N$349:N$351, N347),""),"")</f>
        <v/>
      </c>
      <c r="AE433" s="44"/>
      <c r="AF433" s="266" t="s">
        <v>469</v>
      </c>
      <c r="AG433" s="287" t="str">
        <f aca="false">IFERROR(IF(C$349*C$350*C$351*C347&gt;0,STDEV(C$349:C$351, C347)," ")/IF(C$349*C$350*C$351*C347&gt;0,SQRT(COUNT(C$349:C$351, C347))," "),"")</f>
        <v/>
      </c>
      <c r="AH433" s="287" t="str">
        <f aca="false">IFERROR(IF(D$349*D$350*D$351*D347&gt;0,STDEV(D$349:D$351, D347)," ")/IF(D$349*D$350*D$351*D347&gt;0,SQRT(COUNT(D$349:D$351, D347))," "),"")</f>
        <v/>
      </c>
      <c r="AI433" s="287" t="str">
        <f aca="false">IFERROR(IF(E$349*E$350*E$351*E347&gt;0,STDEV(E$349:E$351, E347)," ")/IF(E$349*E$350*E$351*E347&gt;0,SQRT(COUNT(E$349:E$351, E347))," "),"")</f>
        <v/>
      </c>
      <c r="AJ433" s="287" t="str">
        <f aca="false">IFERROR(IF(F$349*F$350*F$351*F347&gt;0,STDEV(F$349:F$351, F347)," ")/IF(F$349*F$350*F$351*F347&gt;0,SQRT(COUNT(F$349:F$351, F347))," "),"")</f>
        <v/>
      </c>
      <c r="AK433" s="287" t="str">
        <f aca="false">IFERROR(IF(G$349*G$350*G$351*G347&gt;0,STDEV(G$349:G$351, G347)," ")/IF(G$349*G$350*G$351*G347&gt;0,SQRT(COUNT(G$349:G$351, G347))," "),"")</f>
        <v/>
      </c>
      <c r="AL433" s="287" t="str">
        <f aca="false">IFERROR(IF(H$349*H$350*H$351*H347&gt;0,STDEV(H$349:H$351, H347)," ")/IF(H$349*H$350*H$351*H347&gt;0,SQRT(COUNT(H$349:H$351, H347))," "),"")</f>
        <v/>
      </c>
      <c r="AM433" s="287" t="str">
        <f aca="false">IFERROR(IF(I$349*I$350*I$351*I347&gt;0,STDEV(I$349:I$351, I347)," ")/IF(I$349*I$350*I$351*I347&gt;0,SQRT(COUNT(I$349:I$351, I347))," "),"")</f>
        <v/>
      </c>
      <c r="AN433" s="287" t="str">
        <f aca="false">IFERROR(IF(J$349*J$350*J$351*J347&gt;0,STDEV(J$349:J$351, J347)," ")/IF(J$349*J$350*J$351*J347&gt;0,SQRT(COUNT(J$349:J$351, J347))," "),"")</f>
        <v/>
      </c>
      <c r="AO433" s="287" t="str">
        <f aca="false">IFERROR(IF(K$349*K$350*K$351*K347&gt;0,STDEV(K$349:K$351, K347)," ")/IF(K$349*K$350*K$351*K347&gt;0,SQRT(COUNT(K$349:K$351, K347))," "),"")</f>
        <v/>
      </c>
      <c r="AP433" s="287" t="str">
        <f aca="false">IFERROR(IF(L$349*L$350*L$351*L347&gt;0,STDEV(L$349:L$351, L347)," ")/IF(L$349*L$350*L$351*L347&gt;0,SQRT(COUNT(L$349:L$351, L347))," "),"")</f>
        <v/>
      </c>
      <c r="AQ433" s="287" t="str">
        <f aca="false">IFERROR(IF(M$349*M$350*M$351*M347&gt;0,STDEV(M$349:M$351, M347)," ")/IF(M$349*M$350*M$351*M347&gt;0,SQRT(COUNT(M$349:M$351, M347))," "),"")</f>
        <v/>
      </c>
      <c r="AR433" s="287" t="str">
        <f aca="false">IFERROR(IF(N$349*N$350*N$351*N347&gt;0,STDEV(N$349:N$351, N347)," ")/IF(N$349*N$350*N$351*N347&gt;0,SQRT(COUNT(N$349:N$351, N347))," "),"")</f>
        <v/>
      </c>
    </row>
    <row r="434" customFormat="false" ht="15.75" hidden="false" customHeight="false" outlineLevel="0" collapsed="false">
      <c r="A434" s="290" t="s">
        <v>470</v>
      </c>
      <c r="B434" s="281"/>
      <c r="C434" s="302" t="str">
        <f aca="false">IFERROR(IF(C$349*C$350*C$351*C348&gt;0,AVERAGE(C$349:C$351, C348),""),"")</f>
        <v/>
      </c>
      <c r="D434" s="302" t="str">
        <f aca="false">IFERROR(IF(D$349*D$350*D$351*D348&gt;0,AVERAGE(D$349:D$351, D348),""),"")</f>
        <v/>
      </c>
      <c r="E434" s="302" t="str">
        <f aca="false">IFERROR(IF(E$349*E$350*E$351*E348&gt;0,AVERAGE(E$349:E$351, E348),""),"")</f>
        <v/>
      </c>
      <c r="F434" s="302" t="str">
        <f aca="false">IFERROR(IF(F$349*F$350*F$351*F348&gt;0,AVERAGE(F$349:F$351, F348),""),"")</f>
        <v/>
      </c>
      <c r="G434" s="302" t="str">
        <f aca="false">IFERROR(IF(G$349*G$350*G$351*G348&gt;0,AVERAGE(G$349:G$351, G348),""),"")</f>
        <v/>
      </c>
      <c r="H434" s="302" t="str">
        <f aca="false">IFERROR(IF(H$349*H$350*H$351*H348&gt;0,AVERAGE(H$349:H$351, H348),""),"")</f>
        <v/>
      </c>
      <c r="I434" s="302" t="str">
        <f aca="false">IFERROR(IF(I$349*I$350*I$351*I348&gt;0,AVERAGE(I$349:I$351, I348),""),"")</f>
        <v/>
      </c>
      <c r="J434" s="302" t="str">
        <f aca="false">IFERROR(IF(J$349*J$350*J$351*J348&gt;0,AVERAGE(J$349:J$351, J348),""),"")</f>
        <v/>
      </c>
      <c r="K434" s="302" t="str">
        <f aca="false">IFERROR(IF(K$349*K$350*K$351*K348&gt;0,AVERAGE(K$349:K$351, K348),""),"")</f>
        <v/>
      </c>
      <c r="L434" s="302" t="str">
        <f aca="false">IFERROR(IF(L$349*L$350*L$351*L348&gt;0,AVERAGE(L$349:L$351, L348),""),"")</f>
        <v/>
      </c>
      <c r="M434" s="302" t="str">
        <f aca="false">IFERROR(IF(M$349*M$350*M$351*M348&gt;0,AVERAGE(M$349:M$351, M348),""),"")</f>
        <v/>
      </c>
      <c r="N434" s="302" t="str">
        <f aca="false">IFERROR(IF(N$349*N$350*N$351*N348&gt;0,AVERAGE(N$349:N$351, N348),""),"")</f>
        <v/>
      </c>
      <c r="O434" s="282"/>
      <c r="P434" s="282"/>
      <c r="Q434" s="296"/>
      <c r="R434" s="293" t="s">
        <v>471</v>
      </c>
      <c r="S434" s="294" t="str">
        <f aca="false">IFERROR(IF(C$349*C$350*C$351*C348&gt;0,STDEV(C$349:C$351, C348),"")/IF(C$349*C$350*C$351*C348&gt;0,AVERAGE(C$349:C$351, C348),""),"")</f>
        <v/>
      </c>
      <c r="T434" s="294" t="str">
        <f aca="false">IFERROR(IF(D$349*D$350*D$351*D348&gt;0,STDEV(D$349:D$351, D348),"")/IF(D$349*D$350*D$351*D348&gt;0,AVERAGE(D$349:D$351, D348),""),"")</f>
        <v/>
      </c>
      <c r="U434" s="294" t="str">
        <f aca="false">IFERROR(IF(E$349*E$350*E$351*E348&gt;0,STDEV(E$349:E$351, E348),"")/IF(E$349*E$350*E$351*E348&gt;0,AVERAGE(E$349:E$351, E348),""),"")</f>
        <v/>
      </c>
      <c r="V434" s="294" t="str">
        <f aca="false">IFERROR(IF(F$349*F$350*F$351*F348&gt;0,STDEV(F$349:F$351, F348),"")/IF(F$349*F$350*F$351*F348&gt;0,AVERAGE(F$349:F$351, F348),""),"")</f>
        <v/>
      </c>
      <c r="W434" s="294" t="str">
        <f aca="false">IFERROR(IF(G$349*G$350*G$351*G348&gt;0,STDEV(G$349:G$351, G348),"")/IF(G$349*G$350*G$351*G348&gt;0,AVERAGE(G$349:G$351, G348),""),"")</f>
        <v/>
      </c>
      <c r="X434" s="294" t="str">
        <f aca="false">IFERROR(IF(H$349*H$350*H$351*H348&gt;0,STDEV(H$349:H$351, H348),"")/IF(H$349*H$350*H$351*H348&gt;0,AVERAGE(H$349:H$351, H348),""),"")</f>
        <v/>
      </c>
      <c r="Y434" s="294" t="str">
        <f aca="false">IFERROR(IF(I$349*I$350*I$351*I348&gt;0,STDEV(I$349:I$351, I348),"")/IF(I$349*I$350*I$351*I348&gt;0,AVERAGE(I$349:I$351, I348),""),"")</f>
        <v/>
      </c>
      <c r="Z434" s="294" t="str">
        <f aca="false">IFERROR(IF(J$349*J$350*J$351*J348&gt;0,STDEV(J$349:J$351, J348),"")/IF(J$349*J$350*J$351*J348&gt;0,AVERAGE(J$349:J$351, J348),""),"")</f>
        <v/>
      </c>
      <c r="AA434" s="294" t="str">
        <f aca="false">IFERROR(IF(K$349*K$350*K$351*K348&gt;0,STDEV(K$349:K$351, K348),"")/IF(K$349*K$350*K$351*K348&gt;0,AVERAGE(K$349:K$351, K348),""),"")</f>
        <v/>
      </c>
      <c r="AB434" s="294" t="str">
        <f aca="false">IFERROR(IF(L$349*L$350*L$351*L348&gt;0,STDEV(L$349:L$351, L348),"")/IF(L$349*L$350*L$351*L348&gt;0,AVERAGE(L$349:L$351, L348),""),"")</f>
        <v/>
      </c>
      <c r="AC434" s="294" t="str">
        <f aca="false">IFERROR(IF(M$349*M$350*M$351*M348&gt;0,STDEV(M$349:M$351, M348),"")/IF(M$349*M$350*M$351*M348&gt;0,AVERAGE(M$349:M$351, M348),""),"")</f>
        <v/>
      </c>
      <c r="AD434" s="294" t="str">
        <f aca="false">IFERROR(IF(N$349*N$350*N$351*N348&gt;0,STDEV(N$349:N$351, N348),"")/IF(N$349*N$350*N$351*N348&gt;0,AVERAGE(N$349:N$351, N348),""),"")</f>
        <v/>
      </c>
      <c r="AE434" s="44"/>
      <c r="AF434" s="266" t="s">
        <v>472</v>
      </c>
      <c r="AG434" s="287" t="str">
        <f aca="false">IFERROR(IF(C$349*C$350*C$351*C348&gt;0,STDEV(C$349:C$351, C348)," ")/IF(C$349*C$350*C$351*C348&gt;0,SQRT(COUNT(C$349:C$351, C348))," "),"")</f>
        <v/>
      </c>
      <c r="AH434" s="287" t="str">
        <f aca="false">IFERROR(IF(D$349*D$350*D$351*D348&gt;0,STDEV(D$349:D$351, D348)," ")/IF(D$349*D$350*D$351*D348&gt;0,SQRT(COUNT(D$349:D$351, D348))," "),"")</f>
        <v/>
      </c>
      <c r="AI434" s="287" t="str">
        <f aca="false">IFERROR(IF(E$349*E$350*E$351*E348&gt;0,STDEV(E$349:E$351, E348)," ")/IF(E$349*E$350*E$351*E348&gt;0,SQRT(COUNT(E$349:E$351, E348))," "),"")</f>
        <v/>
      </c>
      <c r="AJ434" s="287" t="str">
        <f aca="false">IFERROR(IF(F$349*F$350*F$351*F348&gt;0,STDEV(F$349:F$351, F348)," ")/IF(F$349*F$350*F$351*F348&gt;0,SQRT(COUNT(F$349:F$351, F348))," "),"")</f>
        <v/>
      </c>
      <c r="AK434" s="287" t="str">
        <f aca="false">IFERROR(IF(G$349*G$350*G$351*G348&gt;0,STDEV(G$349:G$351, G348)," ")/IF(G$349*G$350*G$351*G348&gt;0,SQRT(COUNT(G$349:G$351, G348))," "),"")</f>
        <v/>
      </c>
      <c r="AL434" s="287" t="str">
        <f aca="false">IFERROR(IF(H$349*H$350*H$351*H348&gt;0,STDEV(H$349:H$351, H348)," ")/IF(H$349*H$350*H$351*H348&gt;0,SQRT(COUNT(H$349:H$351, H348))," "),"")</f>
        <v/>
      </c>
      <c r="AM434" s="287" t="str">
        <f aca="false">IFERROR(IF(I$349*I$350*I$351*I348&gt;0,STDEV(I$349:I$351, I348)," ")/IF(I$349*I$350*I$351*I348&gt;0,SQRT(COUNT(I$349:I$351, I348))," "),"")</f>
        <v/>
      </c>
      <c r="AN434" s="287" t="str">
        <f aca="false">IFERROR(IF(J$349*J$350*J$351*J348&gt;0,STDEV(J$349:J$351, J348)," ")/IF(J$349*J$350*J$351*J348&gt;0,SQRT(COUNT(J$349:J$351, J348))," "),"")</f>
        <v/>
      </c>
      <c r="AO434" s="287" t="str">
        <f aca="false">IFERROR(IF(K$349*K$350*K$351*K348&gt;0,STDEV(K$349:K$351, K348)," ")/IF(K$349*K$350*K$351*K348&gt;0,SQRT(COUNT(K$349:K$351, K348))," "),"")</f>
        <v/>
      </c>
      <c r="AP434" s="287" t="str">
        <f aca="false">IFERROR(IF(L$349*L$350*L$351*L348&gt;0,STDEV(L$349:L$351, L348)," ")/IF(L$349*L$350*L$351*L348&gt;0,SQRT(COUNT(L$349:L$351, L348))," "),"")</f>
        <v/>
      </c>
      <c r="AQ434" s="287" t="str">
        <f aca="false">IFERROR(IF(M$349*M$350*M$351*M348&gt;0,STDEV(M$349:M$351, M348)," ")/IF(M$349*M$350*M$351*M348&gt;0,SQRT(COUNT(M$349:M$351, M348))," "),"")</f>
        <v/>
      </c>
      <c r="AR434" s="287" t="str">
        <f aca="false">IFERROR(IF(N$349*N$350*N$351*N348&gt;0,STDEV(N$349:N$351, N348)," ")/IF(N$349*N$350*N$351*N348&gt;0,SQRT(COUNT(N$349:N$351, N348))," "),"")</f>
        <v/>
      </c>
    </row>
    <row r="435" customFormat="false" ht="15.75" hidden="false" customHeight="false" outlineLevel="0" collapsed="false">
      <c r="A435" s="290" t="s">
        <v>473</v>
      </c>
      <c r="B435" s="281"/>
      <c r="C435" s="302" t="str">
        <f aca="false">IFERROR(IF(C$349*C$350*C$351*C352&gt;0,AVERAGE(C$349:C$351, C352),""),"")</f>
        <v/>
      </c>
      <c r="D435" s="302" t="str">
        <f aca="false">IFERROR(IF(D$349*D$350*D$351*D352&gt;0,AVERAGE(D$349:D$351, D352),""),"")</f>
        <v/>
      </c>
      <c r="E435" s="302" t="str">
        <f aca="false">IFERROR(IF(E$349*E$350*E$351*E352&gt;0,AVERAGE(E$349:E$351, E352),""),"")</f>
        <v/>
      </c>
      <c r="F435" s="302" t="str">
        <f aca="false">IFERROR(IF(F$349*F$350*F$351*F352&gt;0,AVERAGE(F$349:F$351, F352),""),"")</f>
        <v/>
      </c>
      <c r="G435" s="302" t="str">
        <f aca="false">IFERROR(IF(G$349*G$350*G$351*G352&gt;0,AVERAGE(G$349:G$351, G352),""),"")</f>
        <v/>
      </c>
      <c r="H435" s="302" t="str">
        <f aca="false">IFERROR(IF(H$349*H$350*H$351*H352&gt;0,AVERAGE(H$349:H$351, H352),""),"")</f>
        <v/>
      </c>
      <c r="I435" s="302" t="str">
        <f aca="false">IFERROR(IF(I$349*I$350*I$351*I352&gt;0,AVERAGE(I$349:I$351, I352),""),"")</f>
        <v/>
      </c>
      <c r="J435" s="302" t="str">
        <f aca="false">IFERROR(IF(J$349*J$350*J$351*J352&gt;0,AVERAGE(J$349:J$351, J352),""),"")</f>
        <v/>
      </c>
      <c r="K435" s="302" t="str">
        <f aca="false">IFERROR(IF(K$349*K$350*K$351*K352&gt;0,AVERAGE(K$349:K$351, K352),""),"")</f>
        <v/>
      </c>
      <c r="L435" s="302" t="str">
        <f aca="false">IFERROR(IF(L$349*L$350*L$351*L352&gt;0,AVERAGE(L$349:L$351, L352),""),"")</f>
        <v/>
      </c>
      <c r="M435" s="302" t="str">
        <f aca="false">IFERROR(IF(M$349*M$350*M$351*M352&gt;0,AVERAGE(M$349:M$351, M352),""),"")</f>
        <v/>
      </c>
      <c r="N435" s="302" t="str">
        <f aca="false">IFERROR(IF(N$349*N$350*N$351*N352&gt;0,AVERAGE(N$349:N$351, N352),""),"")</f>
        <v/>
      </c>
      <c r="O435" s="282"/>
      <c r="P435" s="282"/>
      <c r="Q435" s="296"/>
      <c r="R435" s="293" t="s">
        <v>474</v>
      </c>
      <c r="S435" s="294" t="str">
        <f aca="false">IFERROR(IF(C$349*C$350*C$351*C352&gt;0,STDEV(C$349:C$351, C352),"")/IF(C$349*C$350*C$351*C352&gt;0,AVERAGE(C$349:C$351, C352),""),"")</f>
        <v/>
      </c>
      <c r="T435" s="294" t="str">
        <f aca="false">IFERROR(IF(D$349*D$350*D$351*D352&gt;0,STDEV(D$349:D$351, D352),"")/IF(D$349*D$350*D$351*D352&gt;0,AVERAGE(D$349:D$351, D352),""),"")</f>
        <v/>
      </c>
      <c r="U435" s="294" t="str">
        <f aca="false">IFERROR(IF(E$349*E$350*E$351*E352&gt;0,STDEV(E$349:E$351, E352),"")/IF(E$349*E$350*E$351*E352&gt;0,AVERAGE(E$349:E$351, E352),""),"")</f>
        <v/>
      </c>
      <c r="V435" s="294" t="str">
        <f aca="false">IFERROR(IF(F$349*F$350*F$351*F352&gt;0,STDEV(F$349:F$351, F352),"")/IF(F$349*F$350*F$351*F352&gt;0,AVERAGE(F$349:F$351, F352),""),"")</f>
        <v/>
      </c>
      <c r="W435" s="294" t="str">
        <f aca="false">IFERROR(IF(G$349*G$350*G$351*G352&gt;0,STDEV(G$349:G$351, G352),"")/IF(G$349*G$350*G$351*G352&gt;0,AVERAGE(G$349:G$351, G352),""),"")</f>
        <v/>
      </c>
      <c r="X435" s="294" t="str">
        <f aca="false">IFERROR(IF(H$349*H$350*H$351*H352&gt;0,STDEV(H$349:H$351, H352),"")/IF(H$349*H$350*H$351*H352&gt;0,AVERAGE(H$349:H$351, H352),""),"")</f>
        <v/>
      </c>
      <c r="Y435" s="294" t="str">
        <f aca="false">IFERROR(IF(I$349*I$350*I$351*I352&gt;0,STDEV(I$349:I$351, I352),"")/IF(I$349*I$350*I$351*I352&gt;0,AVERAGE(I$349:I$351, I352),""),"")</f>
        <v/>
      </c>
      <c r="Z435" s="294" t="str">
        <f aca="false">IFERROR(IF(J$349*J$350*J$351*J352&gt;0,STDEV(J$349:J$351, J352),"")/IF(J$349*J$350*J$351*J352&gt;0,AVERAGE(J$349:J$351, J352),""),"")</f>
        <v/>
      </c>
      <c r="AA435" s="294" t="str">
        <f aca="false">IFERROR(IF(K$349*K$350*K$351*K352&gt;0,STDEV(K$349:K$351, K352),"")/IF(K$349*K$350*K$351*K352&gt;0,AVERAGE(K$349:K$351, K352),""),"")</f>
        <v/>
      </c>
      <c r="AB435" s="294" t="str">
        <f aca="false">IFERROR(IF(L$349*L$350*L$351*L352&gt;0,STDEV(L$349:L$351, L352),"")/IF(L$349*L$350*L$351*L352&gt;0,AVERAGE(L$349:L$351, L352),""),"")</f>
        <v/>
      </c>
      <c r="AC435" s="294" t="str">
        <f aca="false">IFERROR(IF(M$349*M$350*M$351*M352&gt;0,STDEV(M$349:M$351, M352),"")/IF(M$349*M$350*M$351*M352&gt;0,AVERAGE(M$349:M$351, M352),""),"")</f>
        <v/>
      </c>
      <c r="AD435" s="294" t="str">
        <f aca="false">IFERROR(IF(N$349*N$350*N$351*N352&gt;0,STDEV(N$349:N$351, N352),"")/IF(N$349*N$350*N$351*N352&gt;0,AVERAGE(N$349:N$351, N352),""),"")</f>
        <v/>
      </c>
      <c r="AE435" s="44"/>
      <c r="AF435" s="266" t="s">
        <v>475</v>
      </c>
      <c r="AG435" s="287" t="str">
        <f aca="false">IFERROR(IF(C$349*C$350*C$351*C352&gt;0,STDEV(C$349:C$351, C352)," ")/IF(C$349*C$350*C$351*C352&gt;0,SQRT(COUNT(C$349:C$351, C352))," "),"")</f>
        <v/>
      </c>
      <c r="AH435" s="287" t="str">
        <f aca="false">IFERROR(IF(D$349*D$350*D$351*D352&gt;0,STDEV(D$349:D$351, D352)," ")/IF(D$349*D$350*D$351*D352&gt;0,SQRT(COUNT(D$349:D$351, D352))," "),"")</f>
        <v/>
      </c>
      <c r="AI435" s="287" t="str">
        <f aca="false">IFERROR(IF(E$349*E$350*E$351*E352&gt;0,STDEV(E$349:E$351, E352)," ")/IF(E$349*E$350*E$351*E352&gt;0,SQRT(COUNT(E$349:E$351, E352))," "),"")</f>
        <v/>
      </c>
      <c r="AJ435" s="287" t="str">
        <f aca="false">IFERROR(IF(F$349*F$350*F$351*F352&gt;0,STDEV(F$349:F$351, F352)," ")/IF(F$349*F$350*F$351*F352&gt;0,SQRT(COUNT(F$349:F$351, F352))," "),"")</f>
        <v/>
      </c>
      <c r="AK435" s="287" t="str">
        <f aca="false">IFERROR(IF(G$349*G$350*G$351*G352&gt;0,STDEV(G$349:G$351, G352)," ")/IF(G$349*G$350*G$351*G352&gt;0,SQRT(COUNT(G$349:G$351, G352))," "),"")</f>
        <v/>
      </c>
      <c r="AL435" s="287" t="str">
        <f aca="false">IFERROR(IF(H$349*H$350*H$351*H352&gt;0,STDEV(H$349:H$351, H352)," ")/IF(H$349*H$350*H$351*H352&gt;0,SQRT(COUNT(H$349:H$351, H352))," "),"")</f>
        <v/>
      </c>
      <c r="AM435" s="287" t="str">
        <f aca="false">IFERROR(IF(I$349*I$350*I$351*I352&gt;0,STDEV(I$349:I$351, I352)," ")/IF(I$349*I$350*I$351*I352&gt;0,SQRT(COUNT(I$349:I$351, I352))," "),"")</f>
        <v/>
      </c>
      <c r="AN435" s="287" t="str">
        <f aca="false">IFERROR(IF(J$349*J$350*J$351*J352&gt;0,STDEV(J$349:J$351, J352)," ")/IF(J$349*J$350*J$351*J352&gt;0,SQRT(COUNT(J$349:J$351, J352))," "),"")</f>
        <v/>
      </c>
      <c r="AO435" s="287" t="str">
        <f aca="false">IFERROR(IF(K$349*K$350*K$351*K352&gt;0,STDEV(K$349:K$351, K352)," ")/IF(K$349*K$350*K$351*K352&gt;0,SQRT(COUNT(K$349:K$351, K352))," "),"")</f>
        <v/>
      </c>
      <c r="AP435" s="287" t="str">
        <f aca="false">IFERROR(IF(L$349*L$350*L$351*L352&gt;0,STDEV(L$349:L$351, L352)," ")/IF(L$349*L$350*L$351*L352&gt;0,SQRT(COUNT(L$349:L$351, L352))," "),"")</f>
        <v/>
      </c>
      <c r="AQ435" s="287" t="str">
        <f aca="false">IFERROR(IF(M$349*M$350*M$351*M352&gt;0,STDEV(M$349:M$351, M352)," ")/IF(M$349*M$350*M$351*M352&gt;0,SQRT(COUNT(M$349:M$351, M352))," "),"")</f>
        <v/>
      </c>
      <c r="AR435" s="287" t="str">
        <f aca="false">IFERROR(IF(N$349*N$350*N$351*N352&gt;0,STDEV(N$349:N$351, N352)," ")/IF(N$349*N$350*N$351*N352&gt;0,SQRT(COUNT(N$349:N$351, N352))," "),"")</f>
        <v/>
      </c>
    </row>
    <row r="436" customFormat="false" ht="15.75" hidden="false" customHeight="false" outlineLevel="0" collapsed="false">
      <c r="A436" s="290" t="s">
        <v>476</v>
      </c>
      <c r="B436" s="281"/>
      <c r="C436" s="302" t="str">
        <f aca="false">IFERROR(IF(C$349*C$350*C$351*C353&gt;0,AVERAGE(C$349:C$351, C353),""),"")</f>
        <v/>
      </c>
      <c r="D436" s="302" t="str">
        <f aca="false">IFERROR(IF(D$349*D$350*D$351*D353&gt;0,AVERAGE(D$349:D$351, D353),""),"")</f>
        <v/>
      </c>
      <c r="E436" s="302" t="str">
        <f aca="false">IFERROR(IF(E$349*E$350*E$351*E353&gt;0,AVERAGE(E$349:E$351, E353),""),"")</f>
        <v/>
      </c>
      <c r="F436" s="302" t="str">
        <f aca="false">IFERROR(IF(F$349*F$350*F$351*F353&gt;0,AVERAGE(F$349:F$351, F353),""),"")</f>
        <v/>
      </c>
      <c r="G436" s="302" t="str">
        <f aca="false">IFERROR(IF(G$349*G$350*G$351*G353&gt;0,AVERAGE(G$349:G$351, G353),""),"")</f>
        <v/>
      </c>
      <c r="H436" s="302" t="str">
        <f aca="false">IFERROR(IF(H$349*H$350*H$351*H353&gt;0,AVERAGE(H$349:H$351, H353),""),"")</f>
        <v/>
      </c>
      <c r="I436" s="302" t="str">
        <f aca="false">IFERROR(IF(I$349*I$350*I$351*I353&gt;0,AVERAGE(I$349:I$351, I353),""),"")</f>
        <v/>
      </c>
      <c r="J436" s="302" t="str">
        <f aca="false">IFERROR(IF(J$349*J$350*J$351*J353&gt;0,AVERAGE(J$349:J$351, J353),""),"")</f>
        <v/>
      </c>
      <c r="K436" s="302" t="str">
        <f aca="false">IFERROR(IF(K$349*K$350*K$351*K353&gt;0,AVERAGE(K$349:K$351, K353),""),"")</f>
        <v/>
      </c>
      <c r="L436" s="302" t="str">
        <f aca="false">IFERROR(IF(L$349*L$350*L$351*L353&gt;0,AVERAGE(L$349:L$351, L353),""),"")</f>
        <v/>
      </c>
      <c r="M436" s="302" t="str">
        <f aca="false">IFERROR(IF(M$349*M$350*M$351*M353&gt;0,AVERAGE(M$349:M$351, M353),""),"")</f>
        <v/>
      </c>
      <c r="N436" s="302" t="str">
        <f aca="false">IFERROR(IF(N$349*N$350*N$351*N353&gt;0,AVERAGE(N$349:N$351, N353),""),"")</f>
        <v/>
      </c>
      <c r="O436" s="282"/>
      <c r="P436" s="282"/>
      <c r="Q436" s="296"/>
      <c r="R436" s="293" t="s">
        <v>477</v>
      </c>
      <c r="S436" s="294" t="str">
        <f aca="false">IFERROR(IF(C$349*C$350*C$351*C353&gt;0,STDEV(C$349:C$351, C353),"")/IF(C$349*C$350*C$351*C353&gt;0,AVERAGE(C$349:C$351, C353),""),"")</f>
        <v/>
      </c>
      <c r="T436" s="294" t="str">
        <f aca="false">IFERROR(IF(D$349*D$350*D$351*D353&gt;0,STDEV(D$349:D$351, D353),"")/IF(D$349*D$350*D$351*D353&gt;0,AVERAGE(D$349:D$351, D353),""),"")</f>
        <v/>
      </c>
      <c r="U436" s="294" t="str">
        <f aca="false">IFERROR(IF(E$349*E$350*E$351*E353&gt;0,STDEV(E$349:E$351, E353),"")/IF(E$349*E$350*E$351*E353&gt;0,AVERAGE(E$349:E$351, E353),""),"")</f>
        <v/>
      </c>
      <c r="V436" s="294" t="str">
        <f aca="false">IFERROR(IF(F$349*F$350*F$351*F353&gt;0,STDEV(F$349:F$351, F353),"")/IF(F$349*F$350*F$351*F353&gt;0,AVERAGE(F$349:F$351, F353),""),"")</f>
        <v/>
      </c>
      <c r="W436" s="294" t="str">
        <f aca="false">IFERROR(IF(G$349*G$350*G$351*G353&gt;0,STDEV(G$349:G$351, G353),"")/IF(G$349*G$350*G$351*G353&gt;0,AVERAGE(G$349:G$351, G353),""),"")</f>
        <v/>
      </c>
      <c r="X436" s="294" t="str">
        <f aca="false">IFERROR(IF(H$349*H$350*H$351*H353&gt;0,STDEV(H$349:H$351, H353),"")/IF(H$349*H$350*H$351*H353&gt;0,AVERAGE(H$349:H$351, H353),""),"")</f>
        <v/>
      </c>
      <c r="Y436" s="294" t="str">
        <f aca="false">IFERROR(IF(I$349*I$350*I$351*I353&gt;0,STDEV(I$349:I$351, I353),"")/IF(I$349*I$350*I$351*I353&gt;0,AVERAGE(I$349:I$351, I353),""),"")</f>
        <v/>
      </c>
      <c r="Z436" s="294" t="str">
        <f aca="false">IFERROR(IF(J$349*J$350*J$351*J353&gt;0,STDEV(J$349:J$351, J353),"")/IF(J$349*J$350*J$351*J353&gt;0,AVERAGE(J$349:J$351, J353),""),"")</f>
        <v/>
      </c>
      <c r="AA436" s="294" t="str">
        <f aca="false">IFERROR(IF(K$349*K$350*K$351*K353&gt;0,STDEV(K$349:K$351, K353),"")/IF(K$349*K$350*K$351*K353&gt;0,AVERAGE(K$349:K$351, K353),""),"")</f>
        <v/>
      </c>
      <c r="AB436" s="294" t="str">
        <f aca="false">IFERROR(IF(L$349*L$350*L$351*L353&gt;0,STDEV(L$349:L$351, L353),"")/IF(L$349*L$350*L$351*L353&gt;0,AVERAGE(L$349:L$351, L353),""),"")</f>
        <v/>
      </c>
      <c r="AC436" s="294" t="str">
        <f aca="false">IFERROR(IF(M$349*M$350*M$351*M353&gt;0,STDEV(M$349:M$351, M353),"")/IF(M$349*M$350*M$351*M353&gt;0,AVERAGE(M$349:M$351, M353),""),"")</f>
        <v/>
      </c>
      <c r="AD436" s="294" t="str">
        <f aca="false">IFERROR(IF(N$349*N$350*N$351*N353&gt;0,STDEV(N$349:N$351, N353),"")/IF(N$349*N$350*N$351*N353&gt;0,AVERAGE(N$349:N$351, N353),""),"")</f>
        <v/>
      </c>
      <c r="AE436" s="44"/>
      <c r="AF436" s="266" t="s">
        <v>478</v>
      </c>
      <c r="AG436" s="287" t="str">
        <f aca="false">IFERROR(IF(C$349*C$350*C$351*C353&gt;0,STDEV(C$349:C$351, C353)," ")/IF(C$349*C$350*C$351*C353&gt;0,SQRT(COUNT(C$349:C$351, C353))," "),"")</f>
        <v/>
      </c>
      <c r="AH436" s="287" t="str">
        <f aca="false">IFERROR(IF(D$349*D$350*D$351*D353&gt;0,STDEV(D$349:D$351, D353)," ")/IF(D$349*D$350*D$351*D353&gt;0,SQRT(COUNT(D$349:D$351, D353))," "),"")</f>
        <v/>
      </c>
      <c r="AI436" s="287" t="str">
        <f aca="false">IFERROR(IF(E$349*E$350*E$351*E353&gt;0,STDEV(E$349:E$351, E353)," ")/IF(E$349*E$350*E$351*E353&gt;0,SQRT(COUNT(E$349:E$351, E353))," "),"")</f>
        <v/>
      </c>
      <c r="AJ436" s="287" t="str">
        <f aca="false">IFERROR(IF(F$349*F$350*F$351*F353&gt;0,STDEV(F$349:F$351, F353)," ")/IF(F$349*F$350*F$351*F353&gt;0,SQRT(COUNT(F$349:F$351, F353))," "),"")</f>
        <v/>
      </c>
      <c r="AK436" s="287" t="str">
        <f aca="false">IFERROR(IF(G$349*G$350*G$351*G353&gt;0,STDEV(G$349:G$351, G353)," ")/IF(G$349*G$350*G$351*G353&gt;0,SQRT(COUNT(G$349:G$351, G353))," "),"")</f>
        <v/>
      </c>
      <c r="AL436" s="287" t="str">
        <f aca="false">IFERROR(IF(H$349*H$350*H$351*H353&gt;0,STDEV(H$349:H$351, H353)," ")/IF(H$349*H$350*H$351*H353&gt;0,SQRT(COUNT(H$349:H$351, H353))," "),"")</f>
        <v/>
      </c>
      <c r="AM436" s="287" t="str">
        <f aca="false">IFERROR(IF(I$349*I$350*I$351*I353&gt;0,STDEV(I$349:I$351, I353)," ")/IF(I$349*I$350*I$351*I353&gt;0,SQRT(COUNT(I$349:I$351, I353))," "),"")</f>
        <v/>
      </c>
      <c r="AN436" s="287" t="str">
        <f aca="false">IFERROR(IF(J$349*J$350*J$351*J353&gt;0,STDEV(J$349:J$351, J353)," ")/IF(J$349*J$350*J$351*J353&gt;0,SQRT(COUNT(J$349:J$351, J353))," "),"")</f>
        <v/>
      </c>
      <c r="AO436" s="287" t="str">
        <f aca="false">IFERROR(IF(K$349*K$350*K$351*K353&gt;0,STDEV(K$349:K$351, K353)," ")/IF(K$349*K$350*K$351*K353&gt;0,SQRT(COUNT(K$349:K$351, K353))," "),"")</f>
        <v/>
      </c>
      <c r="AP436" s="287" t="str">
        <f aca="false">IFERROR(IF(L$349*L$350*L$351*L353&gt;0,STDEV(L$349:L$351, L353)," ")/IF(L$349*L$350*L$351*L353&gt;0,SQRT(COUNT(L$349:L$351, L353))," "),"")</f>
        <v/>
      </c>
      <c r="AQ436" s="287" t="str">
        <f aca="false">IFERROR(IF(M$349*M$350*M$351*M353&gt;0,STDEV(M$349:M$351, M353)," ")/IF(M$349*M$350*M$351*M353&gt;0,SQRT(COUNT(M$349:M$351, M353))," "),"")</f>
        <v/>
      </c>
      <c r="AR436" s="287" t="str">
        <f aca="false">IFERROR(IF(N$349*N$350*N$351*N353&gt;0,STDEV(N$349:N$351, N353)," ")/IF(N$349*N$350*N$351*N353&gt;0,SQRT(COUNT(N$349:N$351, N353))," "),"")</f>
        <v/>
      </c>
    </row>
    <row r="437" customFormat="false" ht="15.75" hidden="false" customHeight="false" outlineLevel="0" collapsed="false">
      <c r="A437" s="290" t="s">
        <v>479</v>
      </c>
      <c r="B437" s="281"/>
      <c r="C437" s="302" t="str">
        <f aca="false">IFERROR(IF(C$350*C$351*C$352*C347&gt;0,AVERAGE(C$350:C$352, C347),""),"")</f>
        <v/>
      </c>
      <c r="D437" s="302" t="str">
        <f aca="false">IFERROR(IF(D$350*D$351*D$352*D347&gt;0,AVERAGE(D$350:D$352, D347),""),"")</f>
        <v/>
      </c>
      <c r="E437" s="302" t="str">
        <f aca="false">IFERROR(IF(E$350*E$351*E$352*E347&gt;0,AVERAGE(E$350:E$352, E347),""),"")</f>
        <v/>
      </c>
      <c r="F437" s="302" t="str">
        <f aca="false">IFERROR(IF(F$350*F$351*F$352*F347&gt;0,AVERAGE(F$350:F$352, F347),""),"")</f>
        <v/>
      </c>
      <c r="G437" s="302" t="str">
        <f aca="false">IFERROR(IF(G$350*G$351*G$352*G347&gt;0,AVERAGE(G$350:G$352, G347),""),"")</f>
        <v/>
      </c>
      <c r="H437" s="302" t="str">
        <f aca="false">IFERROR(IF(H$350*H$351*H$352*H347&gt;0,AVERAGE(H$350:H$352, H347),""),"")</f>
        <v/>
      </c>
      <c r="I437" s="302" t="str">
        <f aca="false">IFERROR(IF(I$350*I$351*I$352*I347&gt;0,AVERAGE(I$350:I$352, I347),""),"")</f>
        <v/>
      </c>
      <c r="J437" s="302" t="str">
        <f aca="false">IFERROR(IF(J$350*J$351*J$352*J347&gt;0,AVERAGE(J$350:J$352, J347),""),"")</f>
        <v/>
      </c>
      <c r="K437" s="302" t="str">
        <f aca="false">IFERROR(IF(K$350*K$351*K$352*K347&gt;0,AVERAGE(K$350:K$352, K347),""),"")</f>
        <v/>
      </c>
      <c r="L437" s="302" t="str">
        <f aca="false">IFERROR(IF(L$350*L$351*L$352*L347&gt;0,AVERAGE(L$350:L$352, L347),""),"")</f>
        <v/>
      </c>
      <c r="M437" s="302" t="str">
        <f aca="false">IFERROR(IF(M$350*M$351*M$352*M347&gt;0,AVERAGE(M$350:M$352, M347),""),"")</f>
        <v/>
      </c>
      <c r="N437" s="302" t="str">
        <f aca="false">IFERROR(IF(N$350*N$351*N$352*N347&gt;0,AVERAGE(N$350:N$352, N347),""),"")</f>
        <v/>
      </c>
      <c r="O437" s="282"/>
      <c r="P437" s="282"/>
      <c r="Q437" s="296"/>
      <c r="R437" s="293" t="s">
        <v>480</v>
      </c>
      <c r="S437" s="294" t="str">
        <f aca="false">IFERROR(IF(C$350*C$351*C$352*C347&gt;0,STDEV(C$350:C$352, C347),"")/IF(C$350*C$351*C$352*C347&gt;0,AVERAGE(C$350:C$352, C347),""),"")</f>
        <v/>
      </c>
      <c r="T437" s="294" t="str">
        <f aca="false">IFERROR(IF(D$350*D$351*D$352*D347&gt;0,STDEV(D$350:D$352, D347),"")/IF(D$350*D$351*D$352*D347&gt;0,AVERAGE(D$350:D$352, D347),""),"")</f>
        <v/>
      </c>
      <c r="U437" s="294" t="str">
        <f aca="false">IFERROR(IF(E$350*E$351*E$352*E347&gt;0,STDEV(E$350:E$352, E347),"")/IF(E$350*E$351*E$352*E347&gt;0,AVERAGE(E$350:E$352, E347),""),"")</f>
        <v/>
      </c>
      <c r="V437" s="294" t="str">
        <f aca="false">IFERROR(IF(F$350*F$351*F$352*F347&gt;0,STDEV(F$350:F$352, F347),"")/IF(F$350*F$351*F$352*F347&gt;0,AVERAGE(F$350:F$352, F347),""),"")</f>
        <v/>
      </c>
      <c r="W437" s="294" t="str">
        <f aca="false">IFERROR(IF(G$350*G$351*G$352*G347&gt;0,STDEV(G$350:G$352, G347),"")/IF(G$350*G$351*G$352*G347&gt;0,AVERAGE(G$350:G$352, G347),""),"")</f>
        <v/>
      </c>
      <c r="X437" s="294" t="str">
        <f aca="false">IFERROR(IF(H$350*H$351*H$352*H347&gt;0,STDEV(H$350:H$352, H347),"")/IF(H$350*H$351*H$352*H347&gt;0,AVERAGE(H$350:H$352, H347),""),"")</f>
        <v/>
      </c>
      <c r="Y437" s="294" t="str">
        <f aca="false">IFERROR(IF(I$350*I$351*I$352*I347&gt;0,STDEV(I$350:I$352, I347),"")/IF(I$350*I$351*I$352*I347&gt;0,AVERAGE(I$350:I$352, I347),""),"")</f>
        <v/>
      </c>
      <c r="Z437" s="294" t="str">
        <f aca="false">IFERROR(IF(J$350*J$351*J$352*J347&gt;0,STDEV(J$350:J$352, J347),"")/IF(J$350*J$351*J$352*J347&gt;0,AVERAGE(J$350:J$352, J347),""),"")</f>
        <v/>
      </c>
      <c r="AA437" s="294" t="str">
        <f aca="false">IFERROR(IF(K$350*K$351*K$352*K347&gt;0,STDEV(K$350:K$352, K347),"")/IF(K$350*K$351*K$352*K347&gt;0,AVERAGE(K$350:K$352, K347),""),"")</f>
        <v/>
      </c>
      <c r="AB437" s="294" t="str">
        <f aca="false">IFERROR(IF(L$350*L$351*L$352*L347&gt;0,STDEV(L$350:L$352, L347),"")/IF(L$350*L$351*L$352*L347&gt;0,AVERAGE(L$350:L$352, L347),""),"")</f>
        <v/>
      </c>
      <c r="AC437" s="294" t="str">
        <f aca="false">IFERROR(IF(M$350*M$351*M$352*M347&gt;0,STDEV(M$350:M$352, M347),"")/IF(M$350*M$351*M$352*M347&gt;0,AVERAGE(M$350:M$352, M347),""),"")</f>
        <v/>
      </c>
      <c r="AD437" s="294" t="str">
        <f aca="false">IFERROR(IF(N$350*N$351*N$352*N347&gt;0,STDEV(N$350:N$352, N347),"")/IF(N$350*N$351*N$352*N347&gt;0,AVERAGE(N$350:N$352, N347),""),"")</f>
        <v/>
      </c>
      <c r="AE437" s="44"/>
      <c r="AF437" s="266" t="s">
        <v>481</v>
      </c>
      <c r="AG437" s="287" t="str">
        <f aca="false">IFERROR(IF(C$350*C$351*C$352*C347&gt;0,STDEV(C$350:C$352, C347)," ")/IF(C$350*C$351*C$352*C347&gt;0,SQRT(COUNT(C$350:C$352, C347))," "),"")</f>
        <v/>
      </c>
      <c r="AH437" s="287" t="str">
        <f aca="false">IFERROR(IF(D$350*D$351*D$352*D347&gt;0,STDEV(D$350:D$352, D347)," ")/IF(D$350*D$351*D$352*D347&gt;0,SQRT(COUNT(D$350:D$352, D347))," "),"")</f>
        <v/>
      </c>
      <c r="AI437" s="287" t="str">
        <f aca="false">IFERROR(IF(E$350*E$351*E$352*E347&gt;0,STDEV(E$350:E$352, E347)," ")/IF(E$350*E$351*E$352*E347&gt;0,SQRT(COUNT(E$350:E$352, E347))," "),"")</f>
        <v/>
      </c>
      <c r="AJ437" s="287" t="str">
        <f aca="false">IFERROR(IF(F$350*F$351*F$352*F347&gt;0,STDEV(F$350:F$352, F347)," ")/IF(F$350*F$351*F$352*F347&gt;0,SQRT(COUNT(F$350:F$352, F347))," "),"")</f>
        <v/>
      </c>
      <c r="AK437" s="287" t="str">
        <f aca="false">IFERROR(IF(G$350*G$351*G$352*G347&gt;0,STDEV(G$350:G$352, G347)," ")/IF(G$350*G$351*G$352*G347&gt;0,SQRT(COUNT(G$350:G$352, G347))," "),"")</f>
        <v/>
      </c>
      <c r="AL437" s="287" t="str">
        <f aca="false">IFERROR(IF(H$350*H$351*H$352*H347&gt;0,STDEV(H$350:H$352, H347)," ")/IF(H$350*H$351*H$352*H347&gt;0,SQRT(COUNT(H$350:H$352, H347))," "),"")</f>
        <v/>
      </c>
      <c r="AM437" s="287" t="str">
        <f aca="false">IFERROR(IF(I$350*I$351*I$352*I347&gt;0,STDEV(I$350:I$352, I347)," ")/IF(I$350*I$351*I$352*I347&gt;0,SQRT(COUNT(I$350:I$352, I347))," "),"")</f>
        <v/>
      </c>
      <c r="AN437" s="287" t="str">
        <f aca="false">IFERROR(IF(J$350*J$351*J$352*J347&gt;0,STDEV(J$350:J$352, J347)," ")/IF(J$350*J$351*J$352*J347&gt;0,SQRT(COUNT(J$350:J$352, J347))," "),"")</f>
        <v/>
      </c>
      <c r="AO437" s="287" t="str">
        <f aca="false">IFERROR(IF(K$350*K$351*K$352*K347&gt;0,STDEV(K$350:K$352, K347)," ")/IF(K$350*K$351*K$352*K347&gt;0,SQRT(COUNT(K$350:K$352, K347))," "),"")</f>
        <v/>
      </c>
      <c r="AP437" s="287" t="str">
        <f aca="false">IFERROR(IF(L$350*L$351*L$352*L347&gt;0,STDEV(L$350:L$352, L347)," ")/IF(L$350*L$351*L$352*L347&gt;0,SQRT(COUNT(L$350:L$352, L347))," "),"")</f>
        <v/>
      </c>
      <c r="AQ437" s="287" t="str">
        <f aca="false">IFERROR(IF(M$350*M$351*M$352*M347&gt;0,STDEV(M$350:M$352, M347)," ")/IF(M$350*M$351*M$352*M347&gt;0,SQRT(COUNT(M$350:M$352, M347))," "),"")</f>
        <v/>
      </c>
      <c r="AR437" s="287" t="str">
        <f aca="false">IFERROR(IF(N$350*N$351*N$352*N347&gt;0,STDEV(N$350:N$352, N347)," ")/IF(N$350*N$351*N$352*N347&gt;0,SQRT(COUNT(N$350:N$352, N347))," "),"")</f>
        <v/>
      </c>
    </row>
    <row r="438" customFormat="false" ht="15.75" hidden="false" customHeight="false" outlineLevel="0" collapsed="false">
      <c r="A438" s="290" t="s">
        <v>482</v>
      </c>
      <c r="B438" s="281"/>
      <c r="C438" s="302" t="str">
        <f aca="false">IFERROR(IF(C$350*C$351*C$352*C348&gt;0,AVERAGE(C$350:C$352, C348),""),"")</f>
        <v/>
      </c>
      <c r="D438" s="302" t="str">
        <f aca="false">IFERROR(IF(D$350*D$351*D$352*D348&gt;0,AVERAGE(D$350:D$352, D348),""),"")</f>
        <v/>
      </c>
      <c r="E438" s="302" t="str">
        <f aca="false">IFERROR(IF(E$350*E$351*E$352*E348&gt;0,AVERAGE(E$350:E$352, E348),""),"")</f>
        <v/>
      </c>
      <c r="F438" s="302" t="str">
        <f aca="false">IFERROR(IF(F$350*F$351*F$352*F348&gt;0,AVERAGE(F$350:F$352, F348),""),"")</f>
        <v/>
      </c>
      <c r="G438" s="302" t="str">
        <f aca="false">IFERROR(IF(G$350*G$351*G$352*G348&gt;0,AVERAGE(G$350:G$352, G348),""),"")</f>
        <v/>
      </c>
      <c r="H438" s="302" t="str">
        <f aca="false">IFERROR(IF(H$350*H$351*H$352*H348&gt;0,AVERAGE(H$350:H$352, H348),""),"")</f>
        <v/>
      </c>
      <c r="I438" s="302" t="str">
        <f aca="false">IFERROR(IF(I$350*I$351*I$352*I348&gt;0,AVERAGE(I$350:I$352, I348),""),"")</f>
        <v/>
      </c>
      <c r="J438" s="302" t="str">
        <f aca="false">IFERROR(IF(J$350*J$351*J$352*J348&gt;0,AVERAGE(J$350:J$352, J348),""),"")</f>
        <v/>
      </c>
      <c r="K438" s="302" t="str">
        <f aca="false">IFERROR(IF(K$350*K$351*K$352*K348&gt;0,AVERAGE(K$350:K$352, K348),""),"")</f>
        <v/>
      </c>
      <c r="L438" s="302" t="str">
        <f aca="false">IFERROR(IF(L$350*L$351*L$352*L348&gt;0,AVERAGE(L$350:L$352, L348),""),"")</f>
        <v/>
      </c>
      <c r="M438" s="302" t="str">
        <f aca="false">IFERROR(IF(M$350*M$351*M$352*M348&gt;0,AVERAGE(M$350:M$352, M348),""),"")</f>
        <v/>
      </c>
      <c r="N438" s="302" t="str">
        <f aca="false">IFERROR(IF(N$350*N$351*N$352*N348&gt;0,AVERAGE(N$350:N$352, N348),""),"")</f>
        <v/>
      </c>
      <c r="O438" s="282"/>
      <c r="P438" s="282"/>
      <c r="Q438" s="296"/>
      <c r="R438" s="293" t="s">
        <v>483</v>
      </c>
      <c r="S438" s="294" t="str">
        <f aca="false">IFERROR(IF(C$350*C$351*C$352*C348&gt;0,STDEV(C$350:C$352, C348),"")/IF(C$350*C$351*C$352*C348&gt;0,AVERAGE(C$350:C$352, C348),""),"")</f>
        <v/>
      </c>
      <c r="T438" s="294" t="str">
        <f aca="false">IFERROR(IF(D$350*D$351*D$352*D348&gt;0,STDEV(D$350:D$352, D348),"")/IF(D$350*D$351*D$352*D348&gt;0,AVERAGE(D$350:D$352, D348),""),"")</f>
        <v/>
      </c>
      <c r="U438" s="294" t="str">
        <f aca="false">IFERROR(IF(E$350*E$351*E$352*E348&gt;0,STDEV(E$350:E$352, E348),"")/IF(E$350*E$351*E$352*E348&gt;0,AVERAGE(E$350:E$352, E348),""),"")</f>
        <v/>
      </c>
      <c r="V438" s="294" t="str">
        <f aca="false">IFERROR(IF(F$350*F$351*F$352*F348&gt;0,STDEV(F$350:F$352, F348),"")/IF(F$350*F$351*F$352*F348&gt;0,AVERAGE(F$350:F$352, F348),""),"")</f>
        <v/>
      </c>
      <c r="W438" s="294" t="str">
        <f aca="false">IFERROR(IF(G$350*G$351*G$352*G348&gt;0,STDEV(G$350:G$352, G348),"")/IF(G$350*G$351*G$352*G348&gt;0,AVERAGE(G$350:G$352, G348),""),"")</f>
        <v/>
      </c>
      <c r="X438" s="294" t="str">
        <f aca="false">IFERROR(IF(H$350*H$351*H$352*H348&gt;0,STDEV(H$350:H$352, H348),"")/IF(H$350*H$351*H$352*H348&gt;0,AVERAGE(H$350:H$352, H348),""),"")</f>
        <v/>
      </c>
      <c r="Y438" s="294" t="str">
        <f aca="false">IFERROR(IF(I$350*I$351*I$352*I348&gt;0,STDEV(I$350:I$352, I348),"")/IF(I$350*I$351*I$352*I348&gt;0,AVERAGE(I$350:I$352, I348),""),"")</f>
        <v/>
      </c>
      <c r="Z438" s="294" t="str">
        <f aca="false">IFERROR(IF(J$350*J$351*J$352*J348&gt;0,STDEV(J$350:J$352, J348),"")/IF(J$350*J$351*J$352*J348&gt;0,AVERAGE(J$350:J$352, J348),""),"")</f>
        <v/>
      </c>
      <c r="AA438" s="294" t="str">
        <f aca="false">IFERROR(IF(K$350*K$351*K$352*K348&gt;0,STDEV(K$350:K$352, K348),"")/IF(K$350*K$351*K$352*K348&gt;0,AVERAGE(K$350:K$352, K348),""),"")</f>
        <v/>
      </c>
      <c r="AB438" s="294" t="str">
        <f aca="false">IFERROR(IF(L$350*L$351*L$352*L348&gt;0,STDEV(L$350:L$352, L348),"")/IF(L$350*L$351*L$352*L348&gt;0,AVERAGE(L$350:L$352, L348),""),"")</f>
        <v/>
      </c>
      <c r="AC438" s="294" t="str">
        <f aca="false">IFERROR(IF(M$350*M$351*M$352*M348&gt;0,STDEV(M$350:M$352, M348),"")/IF(M$350*M$351*M$352*M348&gt;0,AVERAGE(M$350:M$352, M348),""),"")</f>
        <v/>
      </c>
      <c r="AD438" s="294" t="str">
        <f aca="false">IFERROR(IF(N$350*N$351*N$352*N348&gt;0,STDEV(N$350:N$352, N348),"")/IF(N$350*N$351*N$352*N348&gt;0,AVERAGE(N$350:N$352, N348),""),"")</f>
        <v/>
      </c>
      <c r="AE438" s="44"/>
      <c r="AF438" s="266" t="s">
        <v>484</v>
      </c>
      <c r="AG438" s="287" t="str">
        <f aca="false">IFERROR(IF(C$350*C$351*C$352*C348&gt;0,STDEV(C$350:C$352, C348)," ")/IF(C$350*C$351*C$352*C348&gt;0,SQRT(COUNT(C$350:C$352, C348))," "),"")</f>
        <v/>
      </c>
      <c r="AH438" s="287" t="str">
        <f aca="false">IFERROR(IF(D$350*D$351*D$352*D348&gt;0,STDEV(D$350:D$352, D348)," ")/IF(D$350*D$351*D$352*D348&gt;0,SQRT(COUNT(D$350:D$352, D348))," "),"")</f>
        <v/>
      </c>
      <c r="AI438" s="287" t="str">
        <f aca="false">IFERROR(IF(E$350*E$351*E$352*E348&gt;0,STDEV(E$350:E$352, E348)," ")/IF(E$350*E$351*E$352*E348&gt;0,SQRT(COUNT(E$350:E$352, E348))," "),"")</f>
        <v/>
      </c>
      <c r="AJ438" s="287" t="str">
        <f aca="false">IFERROR(IF(F$350*F$351*F$352*F348&gt;0,STDEV(F$350:F$352, F348)," ")/IF(F$350*F$351*F$352*F348&gt;0,SQRT(COUNT(F$350:F$352, F348))," "),"")</f>
        <v/>
      </c>
      <c r="AK438" s="287" t="str">
        <f aca="false">IFERROR(IF(G$350*G$351*G$352*G348&gt;0,STDEV(G$350:G$352, G348)," ")/IF(G$350*G$351*G$352*G348&gt;0,SQRT(COUNT(G$350:G$352, G348))," "),"")</f>
        <v/>
      </c>
      <c r="AL438" s="287" t="str">
        <f aca="false">IFERROR(IF(H$350*H$351*H$352*H348&gt;0,STDEV(H$350:H$352, H348)," ")/IF(H$350*H$351*H$352*H348&gt;0,SQRT(COUNT(H$350:H$352, H348))," "),"")</f>
        <v/>
      </c>
      <c r="AM438" s="287" t="str">
        <f aca="false">IFERROR(IF(I$350*I$351*I$352*I348&gt;0,STDEV(I$350:I$352, I348)," ")/IF(I$350*I$351*I$352*I348&gt;0,SQRT(COUNT(I$350:I$352, I348))," "),"")</f>
        <v/>
      </c>
      <c r="AN438" s="287" t="str">
        <f aca="false">IFERROR(IF(J$350*J$351*J$352*J348&gt;0,STDEV(J$350:J$352, J348)," ")/IF(J$350*J$351*J$352*J348&gt;0,SQRT(COUNT(J$350:J$352, J348))," "),"")</f>
        <v/>
      </c>
      <c r="AO438" s="287" t="str">
        <f aca="false">IFERROR(IF(K$350*K$351*K$352*K348&gt;0,STDEV(K$350:K$352, K348)," ")/IF(K$350*K$351*K$352*K348&gt;0,SQRT(COUNT(K$350:K$352, K348))," "),"")</f>
        <v/>
      </c>
      <c r="AP438" s="287" t="str">
        <f aca="false">IFERROR(IF(L$350*L$351*L$352*L348&gt;0,STDEV(L$350:L$352, L348)," ")/IF(L$350*L$351*L$352*L348&gt;0,SQRT(COUNT(L$350:L$352, L348))," "),"")</f>
        <v/>
      </c>
      <c r="AQ438" s="287" t="str">
        <f aca="false">IFERROR(IF(M$350*M$351*M$352*M348&gt;0,STDEV(M$350:M$352, M348)," ")/IF(M$350*M$351*M$352*M348&gt;0,SQRT(COUNT(M$350:M$352, M348))," "),"")</f>
        <v/>
      </c>
      <c r="AR438" s="287" t="str">
        <f aca="false">IFERROR(IF(N$350*N$351*N$352*N348&gt;0,STDEV(N$350:N$352, N348)," ")/IF(N$350*N$351*N$352*N348&gt;0,SQRT(COUNT(N$350:N$352, N348))," "),"")</f>
        <v/>
      </c>
    </row>
    <row r="439" customFormat="false" ht="15.75" hidden="false" customHeight="false" outlineLevel="0" collapsed="false">
      <c r="A439" s="290" t="s">
        <v>485</v>
      </c>
      <c r="B439" s="281"/>
      <c r="C439" s="302" t="str">
        <f aca="false">IFERROR(IF(C$350*C$351*C$352*C349&gt;0,AVERAGE(C$350:C$352, C349),""),"")</f>
        <v/>
      </c>
      <c r="D439" s="302" t="str">
        <f aca="false">IFERROR(IF(D$350*D$351*D$352*D349&gt;0,AVERAGE(D$350:D$352, D349),""),"")</f>
        <v/>
      </c>
      <c r="E439" s="302" t="str">
        <f aca="false">IFERROR(IF(E$350*E$351*E$352*E349&gt;0,AVERAGE(E$350:E$352, E349),""),"")</f>
        <v/>
      </c>
      <c r="F439" s="302" t="str">
        <f aca="false">IFERROR(IF(F$350*F$351*F$352*F349&gt;0,AVERAGE(F$350:F$352, F349),""),"")</f>
        <v/>
      </c>
      <c r="G439" s="302" t="str">
        <f aca="false">IFERROR(IF(G$350*G$351*G$352*G349&gt;0,AVERAGE(G$350:G$352, G349),""),"")</f>
        <v/>
      </c>
      <c r="H439" s="302" t="str">
        <f aca="false">IFERROR(IF(H$350*H$351*H$352*H349&gt;0,AVERAGE(H$350:H$352, H349),""),"")</f>
        <v/>
      </c>
      <c r="I439" s="302" t="str">
        <f aca="false">IFERROR(IF(I$350*I$351*I$352*I349&gt;0,AVERAGE(I$350:I$352, I349),""),"")</f>
        <v/>
      </c>
      <c r="J439" s="302" t="str">
        <f aca="false">IFERROR(IF(J$350*J$351*J$352*J349&gt;0,AVERAGE(J$350:J$352, J349),""),"")</f>
        <v/>
      </c>
      <c r="K439" s="302" t="str">
        <f aca="false">IFERROR(IF(K$350*K$351*K$352*K349&gt;0,AVERAGE(K$350:K$352, K349),""),"")</f>
        <v/>
      </c>
      <c r="L439" s="302" t="str">
        <f aca="false">IFERROR(IF(L$350*L$351*L$352*L349&gt;0,AVERAGE(L$350:L$352, L349),""),"")</f>
        <v/>
      </c>
      <c r="M439" s="302" t="str">
        <f aca="false">IFERROR(IF(M$350*M$351*M$352*M349&gt;0,AVERAGE(M$350:M$352, M349),""),"")</f>
        <v/>
      </c>
      <c r="N439" s="302" t="str">
        <f aca="false">IFERROR(IF(N$350*N$351*N$352*N349&gt;0,AVERAGE(N$350:N$352, N349),""),"")</f>
        <v/>
      </c>
      <c r="O439" s="282"/>
      <c r="P439" s="282"/>
      <c r="Q439" s="296"/>
      <c r="R439" s="293" t="s">
        <v>486</v>
      </c>
      <c r="S439" s="294" t="str">
        <f aca="false">IFERROR(IF(C$350*C$351*C$352*C349&gt;0,STDEV(C$350:C$352, C349),"")/IF(C$350*C$351*C$352*C349&gt;0,AVERAGE(C$350:C$352, C349),""),"")</f>
        <v/>
      </c>
      <c r="T439" s="294" t="str">
        <f aca="false">IFERROR(IF(D$350*D$351*D$352*D349&gt;0,STDEV(D$350:D$352, D349),"")/IF(D$350*D$351*D$352*D349&gt;0,AVERAGE(D$350:D$352, D349),""),"")</f>
        <v/>
      </c>
      <c r="U439" s="294" t="str">
        <f aca="false">IFERROR(IF(E$350*E$351*E$352*E349&gt;0,STDEV(E$350:E$352, E349),"")/IF(E$350*E$351*E$352*E349&gt;0,AVERAGE(E$350:E$352, E349),""),"")</f>
        <v/>
      </c>
      <c r="V439" s="294" t="str">
        <f aca="false">IFERROR(IF(F$350*F$351*F$352*F349&gt;0,STDEV(F$350:F$352, F349),"")/IF(F$350*F$351*F$352*F349&gt;0,AVERAGE(F$350:F$352, F349),""),"")</f>
        <v/>
      </c>
      <c r="W439" s="294" t="str">
        <f aca="false">IFERROR(IF(G$350*G$351*G$352*G349&gt;0,STDEV(G$350:G$352, G349),"")/IF(G$350*G$351*G$352*G349&gt;0,AVERAGE(G$350:G$352, G349),""),"")</f>
        <v/>
      </c>
      <c r="X439" s="294" t="str">
        <f aca="false">IFERROR(IF(H$350*H$351*H$352*H349&gt;0,STDEV(H$350:H$352, H349),"")/IF(H$350*H$351*H$352*H349&gt;0,AVERAGE(H$350:H$352, H349),""),"")</f>
        <v/>
      </c>
      <c r="Y439" s="294" t="str">
        <f aca="false">IFERROR(IF(I$350*I$351*I$352*I349&gt;0,STDEV(I$350:I$352, I349),"")/IF(I$350*I$351*I$352*I349&gt;0,AVERAGE(I$350:I$352, I349),""),"")</f>
        <v/>
      </c>
      <c r="Z439" s="294" t="str">
        <f aca="false">IFERROR(IF(J$350*J$351*J$352*J349&gt;0,STDEV(J$350:J$352, J349),"")/IF(J$350*J$351*J$352*J349&gt;0,AVERAGE(J$350:J$352, J349),""),"")</f>
        <v/>
      </c>
      <c r="AA439" s="294" t="str">
        <f aca="false">IFERROR(IF(K$350*K$351*K$352*K349&gt;0,STDEV(K$350:K$352, K349),"")/IF(K$350*K$351*K$352*K349&gt;0,AVERAGE(K$350:K$352, K349),""),"")</f>
        <v/>
      </c>
      <c r="AB439" s="294" t="str">
        <f aca="false">IFERROR(IF(L$350*L$351*L$352*L349&gt;0,STDEV(L$350:L$352, L349),"")/IF(L$350*L$351*L$352*L349&gt;0,AVERAGE(L$350:L$352, L349),""),"")</f>
        <v/>
      </c>
      <c r="AC439" s="294" t="str">
        <f aca="false">IFERROR(IF(M$350*M$351*M$352*M349&gt;0,STDEV(M$350:M$352, M349),"")/IF(M$350*M$351*M$352*M349&gt;0,AVERAGE(M$350:M$352, M349),""),"")</f>
        <v/>
      </c>
      <c r="AD439" s="294" t="str">
        <f aca="false">IFERROR(IF(N$350*N$351*N$352*N349&gt;0,STDEV(N$350:N$352, N349),"")/IF(N$350*N$351*N$352*N349&gt;0,AVERAGE(N$350:N$352, N349),""),"")</f>
        <v/>
      </c>
      <c r="AE439" s="44"/>
      <c r="AF439" s="266" t="s">
        <v>487</v>
      </c>
      <c r="AG439" s="287" t="str">
        <f aca="false">IFERROR(IF(C$350*C$351*C$352*C349&gt;0,STDEV(C$350:C$352, C349)," ")/IF(C$350*C$351*C$352*C349&gt;0,SQRT(COUNT(C$350:C$352, C349))," "),"")</f>
        <v/>
      </c>
      <c r="AH439" s="287" t="str">
        <f aca="false">IFERROR(IF(D$350*D$351*D$352*D349&gt;0,STDEV(D$350:D$352, D349)," ")/IF(D$350*D$351*D$352*D349&gt;0,SQRT(COUNT(D$350:D$352, D349))," "),"")</f>
        <v/>
      </c>
      <c r="AI439" s="287" t="str">
        <f aca="false">IFERROR(IF(E$350*E$351*E$352*E349&gt;0,STDEV(E$350:E$352, E349)," ")/IF(E$350*E$351*E$352*E349&gt;0,SQRT(COUNT(E$350:E$352, E349))," "),"")</f>
        <v/>
      </c>
      <c r="AJ439" s="287" t="str">
        <f aca="false">IFERROR(IF(F$350*F$351*F$352*F349&gt;0,STDEV(F$350:F$352, F349)," ")/IF(F$350*F$351*F$352*F349&gt;0,SQRT(COUNT(F$350:F$352, F349))," "),"")</f>
        <v/>
      </c>
      <c r="AK439" s="287" t="str">
        <f aca="false">IFERROR(IF(G$350*G$351*G$352*G349&gt;0,STDEV(G$350:G$352, G349)," ")/IF(G$350*G$351*G$352*G349&gt;0,SQRT(COUNT(G$350:G$352, G349))," "),"")</f>
        <v/>
      </c>
      <c r="AL439" s="287" t="str">
        <f aca="false">IFERROR(IF(H$350*H$351*H$352*H349&gt;0,STDEV(H$350:H$352, H349)," ")/IF(H$350*H$351*H$352*H349&gt;0,SQRT(COUNT(H$350:H$352, H349))," "),"")</f>
        <v/>
      </c>
      <c r="AM439" s="287" t="str">
        <f aca="false">IFERROR(IF(I$350*I$351*I$352*I349&gt;0,STDEV(I$350:I$352, I349)," ")/IF(I$350*I$351*I$352*I349&gt;0,SQRT(COUNT(I$350:I$352, I349))," "),"")</f>
        <v/>
      </c>
      <c r="AN439" s="287" t="str">
        <f aca="false">IFERROR(IF(J$350*J$351*J$352*J349&gt;0,STDEV(J$350:J$352, J349)," ")/IF(J$350*J$351*J$352*J349&gt;0,SQRT(COUNT(J$350:J$352, J349))," "),"")</f>
        <v/>
      </c>
      <c r="AO439" s="287" t="str">
        <f aca="false">IFERROR(IF(K$350*K$351*K$352*K349&gt;0,STDEV(K$350:K$352, K349)," ")/IF(K$350*K$351*K$352*K349&gt;0,SQRT(COUNT(K$350:K$352, K349))," "),"")</f>
        <v/>
      </c>
      <c r="AP439" s="287" t="str">
        <f aca="false">IFERROR(IF(L$350*L$351*L$352*L349&gt;0,STDEV(L$350:L$352, L349)," ")/IF(L$350*L$351*L$352*L349&gt;0,SQRT(COUNT(L$350:L$352, L349))," "),"")</f>
        <v/>
      </c>
      <c r="AQ439" s="287" t="str">
        <f aca="false">IFERROR(IF(M$350*M$351*M$352*M349&gt;0,STDEV(M$350:M$352, M349)," ")/IF(M$350*M$351*M$352*M349&gt;0,SQRT(COUNT(M$350:M$352, M349))," "),"")</f>
        <v/>
      </c>
      <c r="AR439" s="287" t="str">
        <f aca="false">IFERROR(IF(N$350*N$351*N$352*N349&gt;0,STDEV(N$350:N$352, N349)," ")/IF(N$350*N$351*N$352*N349&gt;0,SQRT(COUNT(N$350:N$352, N349))," "),"")</f>
        <v/>
      </c>
    </row>
    <row r="440" customFormat="false" ht="15.75" hidden="false" customHeight="false" outlineLevel="0" collapsed="false">
      <c r="A440" s="290" t="s">
        <v>488</v>
      </c>
      <c r="B440" s="281"/>
      <c r="C440" s="302" t="str">
        <f aca="false">IFERROR(IF(C$350*C$351*C$352*C353&gt;0,AVERAGE(C$350:C$352, C353),""),"")</f>
        <v/>
      </c>
      <c r="D440" s="302" t="str">
        <f aca="false">IFERROR(IF(D$350*D$351*D$352*D353&gt;0,AVERAGE(D$350:D$352, D353),""),"")</f>
        <v/>
      </c>
      <c r="E440" s="302" t="str">
        <f aca="false">IFERROR(IF(E$350*E$351*E$352*E353&gt;0,AVERAGE(E$350:E$352, E353),""),"")</f>
        <v/>
      </c>
      <c r="F440" s="302" t="str">
        <f aca="false">IFERROR(IF(F$350*F$351*F$352*F353&gt;0,AVERAGE(F$350:F$352, F353),""),"")</f>
        <v/>
      </c>
      <c r="G440" s="302" t="str">
        <f aca="false">IFERROR(IF(G$350*G$351*G$352*G353&gt;0,AVERAGE(G$350:G$352, G353),""),"")</f>
        <v/>
      </c>
      <c r="H440" s="302" t="str">
        <f aca="false">IFERROR(IF(H$350*H$351*H$352*H353&gt;0,AVERAGE(H$350:H$352, H353),""),"")</f>
        <v/>
      </c>
      <c r="I440" s="302" t="str">
        <f aca="false">IFERROR(IF(I$350*I$351*I$352*I353&gt;0,AVERAGE(I$350:I$352, I353),""),"")</f>
        <v/>
      </c>
      <c r="J440" s="302" t="str">
        <f aca="false">IFERROR(IF(J$350*J$351*J$352*J353&gt;0,AVERAGE(J$350:J$352, J353),""),"")</f>
        <v/>
      </c>
      <c r="K440" s="302" t="str">
        <f aca="false">IFERROR(IF(K$350*K$351*K$352*K353&gt;0,AVERAGE(K$350:K$352, K353),""),"")</f>
        <v/>
      </c>
      <c r="L440" s="302" t="str">
        <f aca="false">IFERROR(IF(L$350*L$351*L$352*L353&gt;0,AVERAGE(L$350:L$352, L353),""),"")</f>
        <v/>
      </c>
      <c r="M440" s="302" t="str">
        <f aca="false">IFERROR(IF(M$350*M$351*M$352*M353&gt;0,AVERAGE(M$350:M$352, M353),""),"")</f>
        <v/>
      </c>
      <c r="N440" s="302" t="str">
        <f aca="false">IFERROR(IF(N$350*N$351*N$352*N353&gt;0,AVERAGE(N$350:N$352, N353),""),"")</f>
        <v/>
      </c>
      <c r="O440" s="282"/>
      <c r="P440" s="282"/>
      <c r="Q440" s="296"/>
      <c r="R440" s="293" t="s">
        <v>489</v>
      </c>
      <c r="S440" s="294" t="str">
        <f aca="false">IFERROR(IF(C$350*C$351*C$352*C353&gt;0,STDEV(C$350:C$352, C353),"")/IF(C$350*C$351*C$352*C353&gt;0,AVERAGE(C$350:C$352, C353),""),"")</f>
        <v/>
      </c>
      <c r="T440" s="294" t="str">
        <f aca="false">IFERROR(IF(D$350*D$351*D$352*D353&gt;0,STDEV(D$350:D$352, D353),"")/IF(D$350*D$351*D$352*D353&gt;0,AVERAGE(D$350:D$352, D353),""),"")</f>
        <v/>
      </c>
      <c r="U440" s="294" t="str">
        <f aca="false">IFERROR(IF(E$350*E$351*E$352*E353&gt;0,STDEV(E$350:E$352, E353),"")/IF(E$350*E$351*E$352*E353&gt;0,AVERAGE(E$350:E$352, E353),""),"")</f>
        <v/>
      </c>
      <c r="V440" s="294" t="str">
        <f aca="false">IFERROR(IF(F$350*F$351*F$352*F353&gt;0,STDEV(F$350:F$352, F353),"")/IF(F$350*F$351*F$352*F353&gt;0,AVERAGE(F$350:F$352, F353),""),"")</f>
        <v/>
      </c>
      <c r="W440" s="294" t="str">
        <f aca="false">IFERROR(IF(G$350*G$351*G$352*G353&gt;0,STDEV(G$350:G$352, G353),"")/IF(G$350*G$351*G$352*G353&gt;0,AVERAGE(G$350:G$352, G353),""),"")</f>
        <v/>
      </c>
      <c r="X440" s="294" t="str">
        <f aca="false">IFERROR(IF(H$350*H$351*H$352*H353&gt;0,STDEV(H$350:H$352, H353),"")/IF(H$350*H$351*H$352*H353&gt;0,AVERAGE(H$350:H$352, H353),""),"")</f>
        <v/>
      </c>
      <c r="Y440" s="294" t="str">
        <f aca="false">IFERROR(IF(I$350*I$351*I$352*I353&gt;0,STDEV(I$350:I$352, I353),"")/IF(I$350*I$351*I$352*I353&gt;0,AVERAGE(I$350:I$352, I353),""),"")</f>
        <v/>
      </c>
      <c r="Z440" s="294" t="str">
        <f aca="false">IFERROR(IF(J$350*J$351*J$352*J353&gt;0,STDEV(J$350:J$352, J353),"")/IF(J$350*J$351*J$352*J353&gt;0,AVERAGE(J$350:J$352, J353),""),"")</f>
        <v/>
      </c>
      <c r="AA440" s="294" t="str">
        <f aca="false">IFERROR(IF(K$350*K$351*K$352*K353&gt;0,STDEV(K$350:K$352, K353),"")/IF(K$350*K$351*K$352*K353&gt;0,AVERAGE(K$350:K$352, K353),""),"")</f>
        <v/>
      </c>
      <c r="AB440" s="294" t="str">
        <f aca="false">IFERROR(IF(L$350*L$351*L$352*L353&gt;0,STDEV(L$350:L$352, L353),"")/IF(L$350*L$351*L$352*L353&gt;0,AVERAGE(L$350:L$352, L353),""),"")</f>
        <v/>
      </c>
      <c r="AC440" s="294" t="str">
        <f aca="false">IFERROR(IF(M$350*M$351*M$352*M353&gt;0,STDEV(M$350:M$352, M353),"")/IF(M$350*M$351*M$352*M353&gt;0,AVERAGE(M$350:M$352, M353),""),"")</f>
        <v/>
      </c>
      <c r="AD440" s="294" t="str">
        <f aca="false">IFERROR(IF(N$350*N$351*N$352*N353&gt;0,STDEV(N$350:N$352, N353),"")/IF(N$350*N$351*N$352*N353&gt;0,AVERAGE(N$350:N$352, N353),""),"")</f>
        <v/>
      </c>
      <c r="AE440" s="44"/>
      <c r="AF440" s="266" t="s">
        <v>490</v>
      </c>
      <c r="AG440" s="287" t="str">
        <f aca="false">IFERROR(IF(C$350*C$351*C$352*C353&gt;0,STDEV(C$350:C$352, C353)," ")/IF(C$350*C$351*C$352*C353&gt;0,SQRT(COUNT(C$350:C$352, C353))," "),"")</f>
        <v/>
      </c>
      <c r="AH440" s="287" t="str">
        <f aca="false">IFERROR(IF(D$350*D$351*D$352*D353&gt;0,STDEV(D$350:D$352, D353)," ")/IF(D$350*D$351*D$352*D353&gt;0,SQRT(COUNT(D$350:D$352, D353))," "),"")</f>
        <v/>
      </c>
      <c r="AI440" s="287" t="str">
        <f aca="false">IFERROR(IF(E$350*E$351*E$352*E353&gt;0,STDEV(E$350:E$352, E353)," ")/IF(E$350*E$351*E$352*E353&gt;0,SQRT(COUNT(E$350:E$352, E353))," "),"")</f>
        <v/>
      </c>
      <c r="AJ440" s="287" t="str">
        <f aca="false">IFERROR(IF(F$350*F$351*F$352*F353&gt;0,STDEV(F$350:F$352, F353)," ")/IF(F$350*F$351*F$352*F353&gt;0,SQRT(COUNT(F$350:F$352, F353))," "),"")</f>
        <v/>
      </c>
      <c r="AK440" s="287" t="str">
        <f aca="false">IFERROR(IF(G$350*G$351*G$352*G353&gt;0,STDEV(G$350:G$352, G353)," ")/IF(G$350*G$351*G$352*G353&gt;0,SQRT(COUNT(G$350:G$352, G353))," "),"")</f>
        <v/>
      </c>
      <c r="AL440" s="287" t="str">
        <f aca="false">IFERROR(IF(H$350*H$351*H$352*H353&gt;0,STDEV(H$350:H$352, H353)," ")/IF(H$350*H$351*H$352*H353&gt;0,SQRT(COUNT(H$350:H$352, H353))," "),"")</f>
        <v/>
      </c>
      <c r="AM440" s="287" t="str">
        <f aca="false">IFERROR(IF(I$350*I$351*I$352*I353&gt;0,STDEV(I$350:I$352, I353)," ")/IF(I$350*I$351*I$352*I353&gt;0,SQRT(COUNT(I$350:I$352, I353))," "),"")</f>
        <v/>
      </c>
      <c r="AN440" s="287" t="str">
        <f aca="false">IFERROR(IF(J$350*J$351*J$352*J353&gt;0,STDEV(J$350:J$352, J353)," ")/IF(J$350*J$351*J$352*J353&gt;0,SQRT(COUNT(J$350:J$352, J353))," "),"")</f>
        <v/>
      </c>
      <c r="AO440" s="287" t="str">
        <f aca="false">IFERROR(IF(K$350*K$351*K$352*K353&gt;0,STDEV(K$350:K$352, K353)," ")/IF(K$350*K$351*K$352*K353&gt;0,SQRT(COUNT(K$350:K$352, K353))," "),"")</f>
        <v/>
      </c>
      <c r="AP440" s="287" t="str">
        <f aca="false">IFERROR(IF(L$350*L$351*L$352*L353&gt;0,STDEV(L$350:L$352, L353)," ")/IF(L$350*L$351*L$352*L353&gt;0,SQRT(COUNT(L$350:L$352, L353))," "),"")</f>
        <v/>
      </c>
      <c r="AQ440" s="287" t="str">
        <f aca="false">IFERROR(IF(M$350*M$351*M$352*M353&gt;0,STDEV(M$350:M$352, M353)," ")/IF(M$350*M$351*M$352*M353&gt;0,SQRT(COUNT(M$350:M$352, M353))," "),"")</f>
        <v/>
      </c>
      <c r="AR440" s="287" t="str">
        <f aca="false">IFERROR(IF(N$350*N$351*N$352*N353&gt;0,STDEV(N$350:N$352, N353)," ")/IF(N$350*N$351*N$352*N353&gt;0,SQRT(COUNT(N$350:N$352, N353))," "),"")</f>
        <v/>
      </c>
    </row>
    <row r="441" customFormat="false" ht="15.75" hidden="false" customHeight="false" outlineLevel="0" collapsed="false">
      <c r="A441" s="290" t="s">
        <v>491</v>
      </c>
      <c r="B441" s="281"/>
      <c r="C441" s="302" t="str">
        <f aca="false">IFERROR(IF(C$351*C$352*C$353*C347&gt;0,AVERAGE(C$351:C$353, C347),""),"")</f>
        <v/>
      </c>
      <c r="D441" s="302" t="str">
        <f aca="false">IFERROR(IF(D$351*D$352*D$353*D347&gt;0,AVERAGE(D$351:D$353, D347),""),"")</f>
        <v/>
      </c>
      <c r="E441" s="302" t="str">
        <f aca="false">IFERROR(IF(E$351*E$352*E$353*E347&gt;0,AVERAGE(E$351:E$353, E347),""),"")</f>
        <v/>
      </c>
      <c r="F441" s="302" t="str">
        <f aca="false">IFERROR(IF(F$351*F$352*F$353*F347&gt;0,AVERAGE(F$351:F$353, F347),""),"")</f>
        <v/>
      </c>
      <c r="G441" s="302" t="str">
        <f aca="false">IFERROR(IF(G$351*G$352*G$353*G347&gt;0,AVERAGE(G$351:G$353, G347),""),"")</f>
        <v/>
      </c>
      <c r="H441" s="302" t="str">
        <f aca="false">IFERROR(IF(H$351*H$352*H$353*H347&gt;0,AVERAGE(H$351:H$353, H347),""),"")</f>
        <v/>
      </c>
      <c r="I441" s="302" t="str">
        <f aca="false">IFERROR(IF(I$351*I$352*I$353*I347&gt;0,AVERAGE(I$351:I$353, I347),""),"")</f>
        <v/>
      </c>
      <c r="J441" s="302" t="str">
        <f aca="false">IFERROR(IF(J$351*J$352*J$353*J347&gt;0,AVERAGE(J$351:J$353, J347),""),"")</f>
        <v/>
      </c>
      <c r="K441" s="302" t="str">
        <f aca="false">IFERROR(IF(K$351*K$352*K$353*K347&gt;0,AVERAGE(K$351:K$353, K347),""),"")</f>
        <v/>
      </c>
      <c r="L441" s="302" t="str">
        <f aca="false">IFERROR(IF(L$351*L$352*L$353*L347&gt;0,AVERAGE(L$351:L$353, L347),""),"")</f>
        <v/>
      </c>
      <c r="M441" s="302" t="str">
        <f aca="false">IFERROR(IF(M$351*M$352*M$353*M347&gt;0,AVERAGE(M$351:M$353, M347),""),"")</f>
        <v/>
      </c>
      <c r="N441" s="302" t="str">
        <f aca="false">IFERROR(IF(N$351*N$352*N$353*N347&gt;0,AVERAGE(N$351:N$353, N347),""),"")</f>
        <v/>
      </c>
      <c r="O441" s="282"/>
      <c r="P441" s="282"/>
      <c r="Q441" s="296"/>
      <c r="R441" s="293" t="s">
        <v>492</v>
      </c>
      <c r="S441" s="294" t="str">
        <f aca="false">IFERROR(IF(C$351*C$352*C$353*C347&gt;0,STDEV(C$351:C$353, C347),"")/IF(C$351*C$352*C$353*C347&gt;0,AVERAGE(C$351:C$353, C347),""),"")</f>
        <v/>
      </c>
      <c r="T441" s="294" t="str">
        <f aca="false">IFERROR(IF(D$351*D$352*D$353*D347&gt;0,STDEV(D$351:D$353, D347),"")/IF(D$351*D$352*D$353*D347&gt;0,AVERAGE(D$351:D$353, D347),""),"")</f>
        <v/>
      </c>
      <c r="U441" s="294" t="str">
        <f aca="false">IFERROR(IF(E$351*E$352*E$353*E347&gt;0,STDEV(E$351:E$353, E347),"")/IF(E$351*E$352*E$353*E347&gt;0,AVERAGE(E$351:E$353, E347),""),"")</f>
        <v/>
      </c>
      <c r="V441" s="294" t="str">
        <f aca="false">IFERROR(IF(F$351*F$352*F$353*F347&gt;0,STDEV(F$351:F$353, F347),"")/IF(F$351*F$352*F$353*F347&gt;0,AVERAGE(F$351:F$353, F347),""),"")</f>
        <v/>
      </c>
      <c r="W441" s="294" t="str">
        <f aca="false">IFERROR(IF(G$351*G$352*G$353*G347&gt;0,STDEV(G$351:G$353, G347),"")/IF(G$351*G$352*G$353*G347&gt;0,AVERAGE(G$351:G$353, G347),""),"")</f>
        <v/>
      </c>
      <c r="X441" s="294" t="str">
        <f aca="false">IFERROR(IF(H$351*H$352*H$353*H347&gt;0,STDEV(H$351:H$353, H347),"")/IF(H$351*H$352*H$353*H347&gt;0,AVERAGE(H$351:H$353, H347),""),"")</f>
        <v/>
      </c>
      <c r="Y441" s="294" t="str">
        <f aca="false">IFERROR(IF(I$351*I$352*I$353*I347&gt;0,STDEV(I$351:I$353, I347),"")/IF(I$351*I$352*I$353*I347&gt;0,AVERAGE(I$351:I$353, I347),""),"")</f>
        <v/>
      </c>
      <c r="Z441" s="294" t="str">
        <f aca="false">IFERROR(IF(J$351*J$352*J$353*J347&gt;0,STDEV(J$351:J$353, J347),"")/IF(J$351*J$352*J$353*J347&gt;0,AVERAGE(J$351:J$353, J347),""),"")</f>
        <v/>
      </c>
      <c r="AA441" s="294" t="str">
        <f aca="false">IFERROR(IF(K$351*K$352*K$353*K347&gt;0,STDEV(K$351:K$353, K347),"")/IF(K$351*K$352*K$353*K347&gt;0,AVERAGE(K$351:K$353, K347),""),"")</f>
        <v/>
      </c>
      <c r="AB441" s="294" t="str">
        <f aca="false">IFERROR(IF(L$351*L$352*L$353*L347&gt;0,STDEV(L$351:L$353, L347),"")/IF(L$351*L$352*L$353*L347&gt;0,AVERAGE(L$351:L$353, L347),""),"")</f>
        <v/>
      </c>
      <c r="AC441" s="294" t="str">
        <f aca="false">IFERROR(IF(M$351*M$352*M$353*M347&gt;0,STDEV(M$351:M$353, M347),"")/IF(M$351*M$352*M$353*M347&gt;0,AVERAGE(M$351:M$353, M347),""),"")</f>
        <v/>
      </c>
      <c r="AD441" s="294" t="str">
        <f aca="false">IFERROR(IF(N$351*N$352*N$353*N347&gt;0,STDEV(N$351:N$353, N347),"")/IF(N$351*N$352*N$353*N347&gt;0,AVERAGE(N$351:N$353, N347),""),"")</f>
        <v/>
      </c>
      <c r="AE441" s="44"/>
      <c r="AF441" s="266" t="s">
        <v>493</v>
      </c>
      <c r="AG441" s="287" t="str">
        <f aca="false">IFERROR(IF(C$351*C$352*C$353*C347&gt;0,STDEV(C$351:C$353, C347)," ")/IF(C$351*C$352*C$353*C347&gt;0,SQRT(COUNT(C$351:C$353, C347))," "),"")</f>
        <v/>
      </c>
      <c r="AH441" s="287" t="str">
        <f aca="false">IFERROR(IF(D$351*D$352*D$353*D347&gt;0,STDEV(D$351:D$353, D347)," ")/IF(D$351*D$352*D$353*D347&gt;0,SQRT(COUNT(D$351:D$353, D347))," "),"")</f>
        <v/>
      </c>
      <c r="AI441" s="287" t="str">
        <f aca="false">IFERROR(IF(E$351*E$352*E$353*E347&gt;0,STDEV(E$351:E$353, E347)," ")/IF(E$351*E$352*E$353*E347&gt;0,SQRT(COUNT(E$351:E$353, E347))," "),"")</f>
        <v/>
      </c>
      <c r="AJ441" s="287" t="str">
        <f aca="false">IFERROR(IF(F$351*F$352*F$353*F347&gt;0,STDEV(F$351:F$353, F347)," ")/IF(F$351*F$352*F$353*F347&gt;0,SQRT(COUNT(F$351:F$353, F347))," "),"")</f>
        <v/>
      </c>
      <c r="AK441" s="287" t="str">
        <f aca="false">IFERROR(IF(G$351*G$352*G$353*G347&gt;0,STDEV(G$351:G$353, G347)," ")/IF(G$351*G$352*G$353*G347&gt;0,SQRT(COUNT(G$351:G$353, G347))," "),"")</f>
        <v/>
      </c>
      <c r="AL441" s="287" t="str">
        <f aca="false">IFERROR(IF(H$351*H$352*H$353*H347&gt;0,STDEV(H$351:H$353, H347)," ")/IF(H$351*H$352*H$353*H347&gt;0,SQRT(COUNT(H$351:H$353, H347))," "),"")</f>
        <v/>
      </c>
      <c r="AM441" s="287" t="str">
        <f aca="false">IFERROR(IF(I$351*I$352*I$353*I347&gt;0,STDEV(I$351:I$353, I347)," ")/IF(I$351*I$352*I$353*I347&gt;0,SQRT(COUNT(I$351:I$353, I347))," "),"")</f>
        <v/>
      </c>
      <c r="AN441" s="287" t="str">
        <f aca="false">IFERROR(IF(J$351*J$352*J$353*J347&gt;0,STDEV(J$351:J$353, J347)," ")/IF(J$351*J$352*J$353*J347&gt;0,SQRT(COUNT(J$351:J$353, J347))," "),"")</f>
        <v/>
      </c>
      <c r="AO441" s="287" t="str">
        <f aca="false">IFERROR(IF(K$351*K$352*K$353*K347&gt;0,STDEV(K$351:K$353, K347)," ")/IF(K$351*K$352*K$353*K347&gt;0,SQRT(COUNT(K$351:K$353, K347))," "),"")</f>
        <v/>
      </c>
      <c r="AP441" s="287" t="str">
        <f aca="false">IFERROR(IF(L$351*L$352*L$353*L347&gt;0,STDEV(L$351:L$353, L347)," ")/IF(L$351*L$352*L$353*L347&gt;0,SQRT(COUNT(L$351:L$353, L347))," "),"")</f>
        <v/>
      </c>
      <c r="AQ441" s="287" t="str">
        <f aca="false">IFERROR(IF(M$351*M$352*M$353*M347&gt;0,STDEV(M$351:M$353, M347)," ")/IF(M$351*M$352*M$353*M347&gt;0,SQRT(COUNT(M$351:M$353, M347))," "),"")</f>
        <v/>
      </c>
      <c r="AR441" s="287" t="str">
        <f aca="false">IFERROR(IF(N$351*N$352*N$353*N347&gt;0,STDEV(N$351:N$353, N347)," ")/IF(N$351*N$352*N$353*N347&gt;0,SQRT(COUNT(N$351:N$353, N347))," "),"")</f>
        <v/>
      </c>
    </row>
    <row r="442" customFormat="false" ht="15.75" hidden="false" customHeight="false" outlineLevel="0" collapsed="false">
      <c r="A442" s="290" t="s">
        <v>494</v>
      </c>
      <c r="B442" s="281"/>
      <c r="C442" s="302" t="str">
        <f aca="false">IFERROR(IF(C$351*C$352*C$353*C348&gt;0,AVERAGE(C$351:C$353, C348),""),"")</f>
        <v/>
      </c>
      <c r="D442" s="302" t="str">
        <f aca="false">IFERROR(IF(D$351*D$352*D$353*D348&gt;0,AVERAGE(D$351:D$353, D348),""),"")</f>
        <v/>
      </c>
      <c r="E442" s="302" t="str">
        <f aca="false">IFERROR(IF(E$351*E$352*E$353*E348&gt;0,AVERAGE(E$351:E$353, E348),""),"")</f>
        <v/>
      </c>
      <c r="F442" s="302" t="str">
        <f aca="false">IFERROR(IF(F$351*F$352*F$353*F348&gt;0,AVERAGE(F$351:F$353, F348),""),"")</f>
        <v/>
      </c>
      <c r="G442" s="302" t="str">
        <f aca="false">IFERROR(IF(G$351*G$352*G$353*G348&gt;0,AVERAGE(G$351:G$353, G348),""),"")</f>
        <v/>
      </c>
      <c r="H442" s="302" t="str">
        <f aca="false">IFERROR(IF(H$351*H$352*H$353*H348&gt;0,AVERAGE(H$351:H$353, H348),""),"")</f>
        <v/>
      </c>
      <c r="I442" s="302" t="str">
        <f aca="false">IFERROR(IF(I$351*I$352*I$353*I348&gt;0,AVERAGE(I$351:I$353, I348),""),"")</f>
        <v/>
      </c>
      <c r="J442" s="302" t="str">
        <f aca="false">IFERROR(IF(J$351*J$352*J$353*J348&gt;0,AVERAGE(J$351:J$353, J348),""),"")</f>
        <v/>
      </c>
      <c r="K442" s="302" t="str">
        <f aca="false">IFERROR(IF(K$351*K$352*K$353*K348&gt;0,AVERAGE(K$351:K$353, K348),""),"")</f>
        <v/>
      </c>
      <c r="L442" s="302" t="str">
        <f aca="false">IFERROR(IF(L$351*L$352*L$353*L348&gt;0,AVERAGE(L$351:L$353, L348),""),"")</f>
        <v/>
      </c>
      <c r="M442" s="302" t="str">
        <f aca="false">IFERROR(IF(M$351*M$352*M$353*M348&gt;0,AVERAGE(M$351:M$353, M348),""),"")</f>
        <v/>
      </c>
      <c r="N442" s="302" t="str">
        <f aca="false">IFERROR(IF(N$351*N$352*N$353*N348&gt;0,AVERAGE(N$351:N$353, N348),""),"")</f>
        <v/>
      </c>
      <c r="O442" s="282"/>
      <c r="P442" s="282"/>
      <c r="Q442" s="296"/>
      <c r="R442" s="293" t="s">
        <v>495</v>
      </c>
      <c r="S442" s="294" t="str">
        <f aca="false">IFERROR(IF(C$351*C$352*C$353*C348&gt;0,STDEV(C$351:C$353, C348),"")/IF(C$351*C$352*C$353*C348&gt;0,AVERAGE(C$351:C$353, C348),""),"")</f>
        <v/>
      </c>
      <c r="T442" s="294" t="str">
        <f aca="false">IFERROR(IF(D$351*D$352*D$353*D348&gt;0,STDEV(D$351:D$353, D348),"")/IF(D$351*D$352*D$353*D348&gt;0,AVERAGE(D$351:D$353, D348),""),"")</f>
        <v/>
      </c>
      <c r="U442" s="294" t="str">
        <f aca="false">IFERROR(IF(E$351*E$352*E$353*E348&gt;0,STDEV(E$351:E$353, E348),"")/IF(E$351*E$352*E$353*E348&gt;0,AVERAGE(E$351:E$353, E348),""),"")</f>
        <v/>
      </c>
      <c r="V442" s="294" t="str">
        <f aca="false">IFERROR(IF(F$351*F$352*F$353*F348&gt;0,STDEV(F$351:F$353, F348),"")/IF(F$351*F$352*F$353*F348&gt;0,AVERAGE(F$351:F$353, F348),""),"")</f>
        <v/>
      </c>
      <c r="W442" s="294" t="str">
        <f aca="false">IFERROR(IF(G$351*G$352*G$353*G348&gt;0,STDEV(G$351:G$353, G348),"")/IF(G$351*G$352*G$353*G348&gt;0,AVERAGE(G$351:G$353, G348),""),"")</f>
        <v/>
      </c>
      <c r="X442" s="294" t="str">
        <f aca="false">IFERROR(IF(H$351*H$352*H$353*H348&gt;0,STDEV(H$351:H$353, H348),"")/IF(H$351*H$352*H$353*H348&gt;0,AVERAGE(H$351:H$353, H348),""),"")</f>
        <v/>
      </c>
      <c r="Y442" s="294" t="str">
        <f aca="false">IFERROR(IF(I$351*I$352*I$353*I348&gt;0,STDEV(I$351:I$353, I348),"")/IF(I$351*I$352*I$353*I348&gt;0,AVERAGE(I$351:I$353, I348),""),"")</f>
        <v/>
      </c>
      <c r="Z442" s="294" t="str">
        <f aca="false">IFERROR(IF(J$351*J$352*J$353*J348&gt;0,STDEV(J$351:J$353, J348),"")/IF(J$351*J$352*J$353*J348&gt;0,AVERAGE(J$351:J$353, J348),""),"")</f>
        <v/>
      </c>
      <c r="AA442" s="294" t="str">
        <f aca="false">IFERROR(IF(K$351*K$352*K$353*K348&gt;0,STDEV(K$351:K$353, K348),"")/IF(K$351*K$352*K$353*K348&gt;0,AVERAGE(K$351:K$353, K348),""),"")</f>
        <v/>
      </c>
      <c r="AB442" s="294" t="str">
        <f aca="false">IFERROR(IF(L$351*L$352*L$353*L348&gt;0,STDEV(L$351:L$353, L348),"")/IF(L$351*L$352*L$353*L348&gt;0,AVERAGE(L$351:L$353, L348),""),"")</f>
        <v/>
      </c>
      <c r="AC442" s="294" t="str">
        <f aca="false">IFERROR(IF(M$351*M$352*M$353*M348&gt;0,STDEV(M$351:M$353, M348),"")/IF(M$351*M$352*M$353*M348&gt;0,AVERAGE(M$351:M$353, M348),""),"")</f>
        <v/>
      </c>
      <c r="AD442" s="294" t="str">
        <f aca="false">IFERROR(IF(N$351*N$352*N$353*N348&gt;0,STDEV(N$351:N$353, N348),"")/IF(N$351*N$352*N$353*N348&gt;0,AVERAGE(N$351:N$353, N348),""),"")</f>
        <v/>
      </c>
      <c r="AE442" s="44"/>
      <c r="AF442" s="266" t="s">
        <v>496</v>
      </c>
      <c r="AG442" s="287" t="str">
        <f aca="false">IFERROR(IF(C$351*C$352*C$353*C348&gt;0,STDEV(C$351:C$353, C348)," ")/IF(C$351*C$352*C$353*C348&gt;0,SQRT(COUNT(C$351:C$353, C348))," "),"")</f>
        <v/>
      </c>
      <c r="AH442" s="287" t="str">
        <f aca="false">IFERROR(IF(D$351*D$352*D$353*D348&gt;0,STDEV(D$351:D$353, D348)," ")/IF(D$351*D$352*D$353*D348&gt;0,SQRT(COUNT(D$351:D$353, D348))," "),"")</f>
        <v/>
      </c>
      <c r="AI442" s="287" t="str">
        <f aca="false">IFERROR(IF(E$351*E$352*E$353*E348&gt;0,STDEV(E$351:E$353, E348)," ")/IF(E$351*E$352*E$353*E348&gt;0,SQRT(COUNT(E$351:E$353, E348))," "),"")</f>
        <v/>
      </c>
      <c r="AJ442" s="287" t="str">
        <f aca="false">IFERROR(IF(F$351*F$352*F$353*F348&gt;0,STDEV(F$351:F$353, F348)," ")/IF(F$351*F$352*F$353*F348&gt;0,SQRT(COUNT(F$351:F$353, F348))," "),"")</f>
        <v/>
      </c>
      <c r="AK442" s="287" t="str">
        <f aca="false">IFERROR(IF(G$351*G$352*G$353*G348&gt;0,STDEV(G$351:G$353, G348)," ")/IF(G$351*G$352*G$353*G348&gt;0,SQRT(COUNT(G$351:G$353, G348))," "),"")</f>
        <v/>
      </c>
      <c r="AL442" s="287" t="str">
        <f aca="false">IFERROR(IF(H$351*H$352*H$353*H348&gt;0,STDEV(H$351:H$353, H348)," ")/IF(H$351*H$352*H$353*H348&gt;0,SQRT(COUNT(H$351:H$353, H348))," "),"")</f>
        <v/>
      </c>
      <c r="AM442" s="287" t="str">
        <f aca="false">IFERROR(IF(I$351*I$352*I$353*I348&gt;0,STDEV(I$351:I$353, I348)," ")/IF(I$351*I$352*I$353*I348&gt;0,SQRT(COUNT(I$351:I$353, I348))," "),"")</f>
        <v/>
      </c>
      <c r="AN442" s="287" t="str">
        <f aca="false">IFERROR(IF(J$351*J$352*J$353*J348&gt;0,STDEV(J$351:J$353, J348)," ")/IF(J$351*J$352*J$353*J348&gt;0,SQRT(COUNT(J$351:J$353, J348))," "),"")</f>
        <v/>
      </c>
      <c r="AO442" s="287" t="str">
        <f aca="false">IFERROR(IF(K$351*K$352*K$353*K348&gt;0,STDEV(K$351:K$353, K348)," ")/IF(K$351*K$352*K$353*K348&gt;0,SQRT(COUNT(K$351:K$353, K348))," "),"")</f>
        <v/>
      </c>
      <c r="AP442" s="287" t="str">
        <f aca="false">IFERROR(IF(L$351*L$352*L$353*L348&gt;0,STDEV(L$351:L$353, L348)," ")/IF(L$351*L$352*L$353*L348&gt;0,SQRT(COUNT(L$351:L$353, L348))," "),"")</f>
        <v/>
      </c>
      <c r="AQ442" s="287" t="str">
        <f aca="false">IFERROR(IF(M$351*M$352*M$353*M348&gt;0,STDEV(M$351:M$353, M348)," ")/IF(M$351*M$352*M$353*M348&gt;0,SQRT(COUNT(M$351:M$353, M348))," "),"")</f>
        <v/>
      </c>
      <c r="AR442" s="287" t="str">
        <f aca="false">IFERROR(IF(N$351*N$352*N$353*N348&gt;0,STDEV(N$351:N$353, N348)," ")/IF(N$351*N$352*N$353*N348&gt;0,SQRT(COUNT(N$351:N$353, N348))," "),"")</f>
        <v/>
      </c>
    </row>
    <row r="443" customFormat="false" ht="15.75" hidden="false" customHeight="false" outlineLevel="0" collapsed="false">
      <c r="A443" s="290" t="s">
        <v>497</v>
      </c>
      <c r="B443" s="281"/>
      <c r="C443" s="302" t="str">
        <f aca="false">IFERROR(IF(C$351*C$352*C$353*C349&gt;0,AVERAGE(C$351:C$353, C349),""),"")</f>
        <v/>
      </c>
      <c r="D443" s="302" t="str">
        <f aca="false">IFERROR(IF(D$351*D$352*D$353*D349&gt;0,AVERAGE(D$351:D$353, D349),""),"")</f>
        <v/>
      </c>
      <c r="E443" s="302" t="str">
        <f aca="false">IFERROR(IF(E$351*E$352*E$353*E349&gt;0,AVERAGE(E$351:E$353, E349),""),"")</f>
        <v/>
      </c>
      <c r="F443" s="302" t="str">
        <f aca="false">IFERROR(IF(F$351*F$352*F$353*F349&gt;0,AVERAGE(F$351:F$353, F349),""),"")</f>
        <v/>
      </c>
      <c r="G443" s="302" t="str">
        <f aca="false">IFERROR(IF(G$351*G$352*G$353*G349&gt;0,AVERAGE(G$351:G$353, G349),""),"")</f>
        <v/>
      </c>
      <c r="H443" s="302" t="str">
        <f aca="false">IFERROR(IF(H$351*H$352*H$353*H349&gt;0,AVERAGE(H$351:H$353, H349),""),"")</f>
        <v/>
      </c>
      <c r="I443" s="302" t="str">
        <f aca="false">IFERROR(IF(I$351*I$352*I$353*I349&gt;0,AVERAGE(I$351:I$353, I349),""),"")</f>
        <v/>
      </c>
      <c r="J443" s="302" t="str">
        <f aca="false">IFERROR(IF(J$351*J$352*J$353*J349&gt;0,AVERAGE(J$351:J$353, J349),""),"")</f>
        <v/>
      </c>
      <c r="K443" s="302" t="str">
        <f aca="false">IFERROR(IF(K$351*K$352*K$353*K349&gt;0,AVERAGE(K$351:K$353, K349),""),"")</f>
        <v/>
      </c>
      <c r="L443" s="302" t="str">
        <f aca="false">IFERROR(IF(L$351*L$352*L$353*L349&gt;0,AVERAGE(L$351:L$353, L349),""),"")</f>
        <v/>
      </c>
      <c r="M443" s="302" t="str">
        <f aca="false">IFERROR(IF(M$351*M$352*M$353*M349&gt;0,AVERAGE(M$351:M$353, M349),""),"")</f>
        <v/>
      </c>
      <c r="N443" s="302" t="str">
        <f aca="false">IFERROR(IF(N$351*N$352*N$353*N349&gt;0,AVERAGE(N$351:N$353, N349),""),"")</f>
        <v/>
      </c>
      <c r="O443" s="282"/>
      <c r="P443" s="282"/>
      <c r="Q443" s="296"/>
      <c r="R443" s="293" t="s">
        <v>498</v>
      </c>
      <c r="S443" s="294" t="str">
        <f aca="false">IFERROR(IF(C$351*C$352*C$353*C349&gt;0,STDEV(C$351:C$353, C349),"")/IF(C$351*C$352*C$353*C349&gt;0,AVERAGE(C$351:C$353, C349),""),"")</f>
        <v/>
      </c>
      <c r="T443" s="294" t="str">
        <f aca="false">IFERROR(IF(D$351*D$352*D$353*D349&gt;0,STDEV(D$351:D$353, D349),"")/IF(D$351*D$352*D$353*D349&gt;0,AVERAGE(D$351:D$353, D349),""),"")</f>
        <v/>
      </c>
      <c r="U443" s="294" t="str">
        <f aca="false">IFERROR(IF(E$351*E$352*E$353*E349&gt;0,STDEV(E$351:E$353, E349),"")/IF(E$351*E$352*E$353*E349&gt;0,AVERAGE(E$351:E$353, E349),""),"")</f>
        <v/>
      </c>
      <c r="V443" s="294" t="str">
        <f aca="false">IFERROR(IF(F$351*F$352*F$353*F349&gt;0,STDEV(F$351:F$353, F349),"")/IF(F$351*F$352*F$353*F349&gt;0,AVERAGE(F$351:F$353, F349),""),"")</f>
        <v/>
      </c>
      <c r="W443" s="294" t="str">
        <f aca="false">IFERROR(IF(G$351*G$352*G$353*G349&gt;0,STDEV(G$351:G$353, G349),"")/IF(G$351*G$352*G$353*G349&gt;0,AVERAGE(G$351:G$353, G349),""),"")</f>
        <v/>
      </c>
      <c r="X443" s="294" t="str">
        <f aca="false">IFERROR(IF(H$351*H$352*H$353*H349&gt;0,STDEV(H$351:H$353, H349),"")/IF(H$351*H$352*H$353*H349&gt;0,AVERAGE(H$351:H$353, H349),""),"")</f>
        <v/>
      </c>
      <c r="Y443" s="294" t="str">
        <f aca="false">IFERROR(IF(I$351*I$352*I$353*I349&gt;0,STDEV(I$351:I$353, I349),"")/IF(I$351*I$352*I$353*I349&gt;0,AVERAGE(I$351:I$353, I349),""),"")</f>
        <v/>
      </c>
      <c r="Z443" s="294" t="str">
        <f aca="false">IFERROR(IF(J$351*J$352*J$353*J349&gt;0,STDEV(J$351:J$353, J349),"")/IF(J$351*J$352*J$353*J349&gt;0,AVERAGE(J$351:J$353, J349),""),"")</f>
        <v/>
      </c>
      <c r="AA443" s="294" t="str">
        <f aca="false">IFERROR(IF(K$351*K$352*K$353*K349&gt;0,STDEV(K$351:K$353, K349),"")/IF(K$351*K$352*K$353*K349&gt;0,AVERAGE(K$351:K$353, K349),""),"")</f>
        <v/>
      </c>
      <c r="AB443" s="294" t="str">
        <f aca="false">IFERROR(IF(L$351*L$352*L$353*L349&gt;0,STDEV(L$351:L$353, L349),"")/IF(L$351*L$352*L$353*L349&gt;0,AVERAGE(L$351:L$353, L349),""),"")</f>
        <v/>
      </c>
      <c r="AC443" s="294" t="str">
        <f aca="false">IFERROR(IF(M$351*M$352*M$353*M349&gt;0,STDEV(M$351:M$353, M349),"")/IF(M$351*M$352*M$353*M349&gt;0,AVERAGE(M$351:M$353, M349),""),"")</f>
        <v/>
      </c>
      <c r="AD443" s="294" t="str">
        <f aca="false">IFERROR(IF(N$351*N$352*N$353*N349&gt;0,STDEV(N$351:N$353, N349),"")/IF(N$351*N$352*N$353*N349&gt;0,AVERAGE(N$351:N$353, N349),""),"")</f>
        <v/>
      </c>
      <c r="AE443" s="44"/>
      <c r="AF443" s="266" t="s">
        <v>499</v>
      </c>
      <c r="AG443" s="287" t="str">
        <f aca="false">IFERROR(IF(C$351*C$352*C$353*C349&gt;0,STDEV(C$351:C$353, C349)," ")/IF(C$351*C$352*C$353*C349&gt;0,SQRT(COUNT(C$351:C$353, C349))," "),"")</f>
        <v/>
      </c>
      <c r="AH443" s="287" t="str">
        <f aca="false">IFERROR(IF(D$351*D$352*D$353*D349&gt;0,STDEV(D$351:D$353, D349)," ")/IF(D$351*D$352*D$353*D349&gt;0,SQRT(COUNT(D$351:D$353, D349))," "),"")</f>
        <v/>
      </c>
      <c r="AI443" s="287" t="str">
        <f aca="false">IFERROR(IF(E$351*E$352*E$353*E349&gt;0,STDEV(E$351:E$353, E349)," ")/IF(E$351*E$352*E$353*E349&gt;0,SQRT(COUNT(E$351:E$353, E349))," "),"")</f>
        <v/>
      </c>
      <c r="AJ443" s="287" t="str">
        <f aca="false">IFERROR(IF(F$351*F$352*F$353*F349&gt;0,STDEV(F$351:F$353, F349)," ")/IF(F$351*F$352*F$353*F349&gt;0,SQRT(COUNT(F$351:F$353, F349))," "),"")</f>
        <v/>
      </c>
      <c r="AK443" s="287" t="str">
        <f aca="false">IFERROR(IF(G$351*G$352*G$353*G349&gt;0,STDEV(G$351:G$353, G349)," ")/IF(G$351*G$352*G$353*G349&gt;0,SQRT(COUNT(G$351:G$353, G349))," "),"")</f>
        <v/>
      </c>
      <c r="AL443" s="287" t="str">
        <f aca="false">IFERROR(IF(H$351*H$352*H$353*H349&gt;0,STDEV(H$351:H$353, H349)," ")/IF(H$351*H$352*H$353*H349&gt;0,SQRT(COUNT(H$351:H$353, H349))," "),"")</f>
        <v/>
      </c>
      <c r="AM443" s="287" t="str">
        <f aca="false">IFERROR(IF(I$351*I$352*I$353*I349&gt;0,STDEV(I$351:I$353, I349)," ")/IF(I$351*I$352*I$353*I349&gt;0,SQRT(COUNT(I$351:I$353, I349))," "),"")</f>
        <v/>
      </c>
      <c r="AN443" s="287" t="str">
        <f aca="false">IFERROR(IF(J$351*J$352*J$353*J349&gt;0,STDEV(J$351:J$353, J349)," ")/IF(J$351*J$352*J$353*J349&gt;0,SQRT(COUNT(J$351:J$353, J349))," "),"")</f>
        <v/>
      </c>
      <c r="AO443" s="287" t="str">
        <f aca="false">IFERROR(IF(K$351*K$352*K$353*K349&gt;0,STDEV(K$351:K$353, K349)," ")/IF(K$351*K$352*K$353*K349&gt;0,SQRT(COUNT(K$351:K$353, K349))," "),"")</f>
        <v/>
      </c>
      <c r="AP443" s="287" t="str">
        <f aca="false">IFERROR(IF(L$351*L$352*L$353*L349&gt;0,STDEV(L$351:L$353, L349)," ")/IF(L$351*L$352*L$353*L349&gt;0,SQRT(COUNT(L$351:L$353, L349))," "),"")</f>
        <v/>
      </c>
      <c r="AQ443" s="287" t="str">
        <f aca="false">IFERROR(IF(M$351*M$352*M$353*M349&gt;0,STDEV(M$351:M$353, M349)," ")/IF(M$351*M$352*M$353*M349&gt;0,SQRT(COUNT(M$351:M$353, M349))," "),"")</f>
        <v/>
      </c>
      <c r="AR443" s="287" t="str">
        <f aca="false">IFERROR(IF(N$351*N$352*N$353*N349&gt;0,STDEV(N$351:N$353, N349)," ")/IF(N$351*N$352*N$353*N349&gt;0,SQRT(COUNT(N$351:N$353, N349))," "),"")</f>
        <v/>
      </c>
    </row>
    <row r="444" customFormat="false" ht="15.75" hidden="false" customHeight="false" outlineLevel="0" collapsed="false">
      <c r="A444" s="290" t="s">
        <v>500</v>
      </c>
      <c r="B444" s="281"/>
      <c r="C444" s="302" t="str">
        <f aca="false">IFERROR(IF(C$351*C$352*C$353*C350&gt;0,AVERAGE(C$351:C$353, C350),""),"")</f>
        <v/>
      </c>
      <c r="D444" s="302" t="str">
        <f aca="false">IFERROR(IF(D$351*D$352*D$353*D350&gt;0,AVERAGE(D$351:D$353, D350),""),"")</f>
        <v/>
      </c>
      <c r="E444" s="302" t="str">
        <f aca="false">IFERROR(IF(E$351*E$352*E$353*E350&gt;0,AVERAGE(E$351:E$353, E350),""),"")</f>
        <v/>
      </c>
      <c r="F444" s="302" t="str">
        <f aca="false">IFERROR(IF(F$351*F$352*F$353*F350&gt;0,AVERAGE(F$351:F$353, F350),""),"")</f>
        <v/>
      </c>
      <c r="G444" s="302" t="str">
        <f aca="false">IFERROR(IF(G$351*G$352*G$353*G350&gt;0,AVERAGE(G$351:G$353, G350),""),"")</f>
        <v/>
      </c>
      <c r="H444" s="302" t="str">
        <f aca="false">IFERROR(IF(H$351*H$352*H$353*H350&gt;0,AVERAGE(H$351:H$353, H350),""),"")</f>
        <v/>
      </c>
      <c r="I444" s="302" t="str">
        <f aca="false">IFERROR(IF(I$351*I$352*I$353*I350&gt;0,AVERAGE(I$351:I$353, I350),""),"")</f>
        <v/>
      </c>
      <c r="J444" s="302" t="str">
        <f aca="false">IFERROR(IF(J$351*J$352*J$353*J350&gt;0,AVERAGE(J$351:J$353, J350),""),"")</f>
        <v/>
      </c>
      <c r="K444" s="302" t="str">
        <f aca="false">IFERROR(IF(K$351*K$352*K$353*K350&gt;0,AVERAGE(K$351:K$353, K350),""),"")</f>
        <v/>
      </c>
      <c r="L444" s="302" t="str">
        <f aca="false">IFERROR(IF(L$351*L$352*L$353*L350&gt;0,AVERAGE(L$351:L$353, L350),""),"")</f>
        <v/>
      </c>
      <c r="M444" s="302" t="str">
        <f aca="false">IFERROR(IF(M$351*M$352*M$353*M350&gt;0,AVERAGE(M$351:M$353, M350),""),"")</f>
        <v/>
      </c>
      <c r="N444" s="302" t="str">
        <f aca="false">IFERROR(IF(N$351*N$352*N$353*N350&gt;0,AVERAGE(N$351:N$353, N350),""),"")</f>
        <v/>
      </c>
      <c r="O444" s="282"/>
      <c r="P444" s="282"/>
      <c r="Q444" s="296"/>
      <c r="R444" s="293" t="s">
        <v>501</v>
      </c>
      <c r="S444" s="294" t="str">
        <f aca="false">IFERROR(IF(C$351*C$352*C$353*C350&gt;0,STDEV(C$351:C$353, C350),"")/IF(C$351*C$352*C$353*C350&gt;0,AVERAGE(C$351:C$353, C350),""),"")</f>
        <v/>
      </c>
      <c r="T444" s="294" t="str">
        <f aca="false">IFERROR(IF(D$351*D$352*D$353*D350&gt;0,STDEV(D$351:D$353, D350),"")/IF(D$351*D$352*D$353*D350&gt;0,AVERAGE(D$351:D$353, D350),""),"")</f>
        <v/>
      </c>
      <c r="U444" s="294" t="str">
        <f aca="false">IFERROR(IF(E$351*E$352*E$353*E350&gt;0,STDEV(E$351:E$353, E350),"")/IF(E$351*E$352*E$353*E350&gt;0,AVERAGE(E$351:E$353, E350),""),"")</f>
        <v/>
      </c>
      <c r="V444" s="294" t="str">
        <f aca="false">IFERROR(IF(F$351*F$352*F$353*F350&gt;0,STDEV(F$351:F$353, F350),"")/IF(F$351*F$352*F$353*F350&gt;0,AVERAGE(F$351:F$353, F350),""),"")</f>
        <v/>
      </c>
      <c r="W444" s="294" t="str">
        <f aca="false">IFERROR(IF(G$351*G$352*G$353*G350&gt;0,STDEV(G$351:G$353, G350),"")/IF(G$351*G$352*G$353*G350&gt;0,AVERAGE(G$351:G$353, G350),""),"")</f>
        <v/>
      </c>
      <c r="X444" s="294" t="str">
        <f aca="false">IFERROR(IF(H$351*H$352*H$353*H350&gt;0,STDEV(H$351:H$353, H350),"")/IF(H$351*H$352*H$353*H350&gt;0,AVERAGE(H$351:H$353, H350),""),"")</f>
        <v/>
      </c>
      <c r="Y444" s="294" t="str">
        <f aca="false">IFERROR(IF(I$351*I$352*I$353*I350&gt;0,STDEV(I$351:I$353, I350),"")/IF(I$351*I$352*I$353*I350&gt;0,AVERAGE(I$351:I$353, I350),""),"")</f>
        <v/>
      </c>
      <c r="Z444" s="294" t="str">
        <f aca="false">IFERROR(IF(J$351*J$352*J$353*J350&gt;0,STDEV(J$351:J$353, J350),"")/IF(J$351*J$352*J$353*J350&gt;0,AVERAGE(J$351:J$353, J350),""),"")</f>
        <v/>
      </c>
      <c r="AA444" s="294" t="str">
        <f aca="false">IFERROR(IF(K$351*K$352*K$353*K350&gt;0,STDEV(K$351:K$353, K350),"")/IF(K$351*K$352*K$353*K350&gt;0,AVERAGE(K$351:K$353, K350),""),"")</f>
        <v/>
      </c>
      <c r="AB444" s="294" t="str">
        <f aca="false">IFERROR(IF(L$351*L$352*L$353*L350&gt;0,STDEV(L$351:L$353, L350),"")/IF(L$351*L$352*L$353*L350&gt;0,AVERAGE(L$351:L$353, L350),""),"")</f>
        <v/>
      </c>
      <c r="AC444" s="294" t="str">
        <f aca="false">IFERROR(IF(M$351*M$352*M$353*M350&gt;0,STDEV(M$351:M$353, M350),"")/IF(M$351*M$352*M$353*M350&gt;0,AVERAGE(M$351:M$353, M350),""),"")</f>
        <v/>
      </c>
      <c r="AD444" s="294" t="str">
        <f aca="false">IFERROR(IF(N$351*N$352*N$353*N350&gt;0,STDEV(N$351:N$353, N350),"")/IF(N$351*N$352*N$353*N350&gt;0,AVERAGE(N$351:N$353, N350),""),"")</f>
        <v/>
      </c>
      <c r="AE444" s="44"/>
      <c r="AF444" s="266" t="s">
        <v>502</v>
      </c>
      <c r="AG444" s="287" t="str">
        <f aca="false">IFERROR(IF(C$351*C$352*C$353*C350&gt;0,STDEV(C$351:C$353, C350)," ")/IF(C$351*C$352*C$353*C350&gt;0,SQRT(COUNT(C$351:C$353, C350))," "),"")</f>
        <v/>
      </c>
      <c r="AH444" s="287" t="str">
        <f aca="false">IFERROR(IF(D$351*D$352*D$353*D350&gt;0,STDEV(D$351:D$353, D350)," ")/IF(D$351*D$352*D$353*D350&gt;0,SQRT(COUNT(D$351:D$353, D350))," "),"")</f>
        <v/>
      </c>
      <c r="AI444" s="287" t="str">
        <f aca="false">IFERROR(IF(E$351*E$352*E$353*E350&gt;0,STDEV(E$351:E$353, E350)," ")/IF(E$351*E$352*E$353*E350&gt;0,SQRT(COUNT(E$351:E$353, E350))," "),"")</f>
        <v/>
      </c>
      <c r="AJ444" s="287" t="str">
        <f aca="false">IFERROR(IF(F$351*F$352*F$353*F350&gt;0,STDEV(F$351:F$353, F350)," ")/IF(F$351*F$352*F$353*F350&gt;0,SQRT(COUNT(F$351:F$353, F350))," "),"")</f>
        <v/>
      </c>
      <c r="AK444" s="287" t="str">
        <f aca="false">IFERROR(IF(G$351*G$352*G$353*G350&gt;0,STDEV(G$351:G$353, G350)," ")/IF(G$351*G$352*G$353*G350&gt;0,SQRT(COUNT(G$351:G$353, G350))," "),"")</f>
        <v/>
      </c>
      <c r="AL444" s="287" t="str">
        <f aca="false">IFERROR(IF(H$351*H$352*H$353*H350&gt;0,STDEV(H$351:H$353, H350)," ")/IF(H$351*H$352*H$353*H350&gt;0,SQRT(COUNT(H$351:H$353, H350))," "),"")</f>
        <v/>
      </c>
      <c r="AM444" s="287" t="str">
        <f aca="false">IFERROR(IF(I$351*I$352*I$353*I350&gt;0,STDEV(I$351:I$353, I350)," ")/IF(I$351*I$352*I$353*I350&gt;0,SQRT(COUNT(I$351:I$353, I350))," "),"")</f>
        <v/>
      </c>
      <c r="AN444" s="287" t="str">
        <f aca="false">IFERROR(IF(J$351*J$352*J$353*J350&gt;0,STDEV(J$351:J$353, J350)," ")/IF(J$351*J$352*J$353*J350&gt;0,SQRT(COUNT(J$351:J$353, J350))," "),"")</f>
        <v/>
      </c>
      <c r="AO444" s="287" t="str">
        <f aca="false">IFERROR(IF(K$351*K$352*K$353*K350&gt;0,STDEV(K$351:K$353, K350)," ")/IF(K$351*K$352*K$353*K350&gt;0,SQRT(COUNT(K$351:K$353, K350))," "),"")</f>
        <v/>
      </c>
      <c r="AP444" s="287" t="str">
        <f aca="false">IFERROR(IF(L$351*L$352*L$353*L350&gt;0,STDEV(L$351:L$353, L350)," ")/IF(L$351*L$352*L$353*L350&gt;0,SQRT(COUNT(L$351:L$353, L350))," "),"")</f>
        <v/>
      </c>
      <c r="AQ444" s="287" t="str">
        <f aca="false">IFERROR(IF(M$351*M$352*M$353*M350&gt;0,STDEV(M$351:M$353, M350)," ")/IF(M$351*M$352*M$353*M350&gt;0,SQRT(COUNT(M$351:M$353, M350))," "),"")</f>
        <v/>
      </c>
      <c r="AR444" s="287" t="str">
        <f aca="false">IFERROR(IF(N$351*N$352*N$353*N350&gt;0,STDEV(N$351:N$353, N350)," ")/IF(N$351*N$352*N$353*N350&gt;0,SQRT(COUNT(N$351:N$353, N350))," "),"")</f>
        <v/>
      </c>
    </row>
    <row r="445" customFormat="false" ht="15.75" hidden="false" customHeight="false" outlineLevel="0" collapsed="false">
      <c r="A445" s="290" t="s">
        <v>446</v>
      </c>
      <c r="B445" s="281"/>
      <c r="C445" s="302" t="str">
        <f aca="false">IFERROR(IF(C$347*C$348*C$349*C351&gt;0,AVERAGE(C$347, C$348, C$349, C$351),""),"")</f>
        <v/>
      </c>
      <c r="D445" s="302" t="str">
        <f aca="false">IFERROR(IF(D$347*D$348*D$349*D351&gt;0,AVERAGE(D$347, D$348, D$349, D$351),""),"")</f>
        <v/>
      </c>
      <c r="E445" s="302" t="str">
        <f aca="false">IFERROR(IF(E$347*E$348*E$349*E351&gt;0,AVERAGE(E$347, E$348, E$349, E$351),""),"")</f>
        <v/>
      </c>
      <c r="F445" s="302" t="str">
        <f aca="false">IFERROR(IF(F$347*F$348*F$349*F351&gt;0,AVERAGE(F$347, F$348, F$349, F$351),""),"")</f>
        <v/>
      </c>
      <c r="G445" s="302" t="str">
        <f aca="false">IFERROR(IF(G$347*G$348*G$349*G351&gt;0,AVERAGE(G$347, G$348, G$349, G$351),""),"")</f>
        <v/>
      </c>
      <c r="H445" s="302" t="str">
        <f aca="false">IFERROR(IF(H$347*H$348*H$349*H351&gt;0,AVERAGE(H$347, H$348, H$349, H$351),""),"")</f>
        <v/>
      </c>
      <c r="I445" s="302" t="str">
        <f aca="false">IFERROR(IF(I$347*I$348*I$349*I351&gt;0,AVERAGE(I$347, I$348, I$349, I$351),""),"")</f>
        <v/>
      </c>
      <c r="J445" s="302" t="str">
        <f aca="false">IFERROR(IF(J$347*J$348*J$349*J351&gt;0,AVERAGE(J$347, J$348, J$349, J$351),""),"")</f>
        <v/>
      </c>
      <c r="K445" s="302" t="str">
        <f aca="false">IFERROR(IF(K$347*K$348*K$349*K351&gt;0,AVERAGE(K$347, K$348, K$349, K$351),""),"")</f>
        <v/>
      </c>
      <c r="L445" s="302" t="str">
        <f aca="false">IFERROR(IF(L$347*L$348*L$349*L351&gt;0,AVERAGE(L$347, L$348, L$349, L$351),""),"")</f>
        <v/>
      </c>
      <c r="M445" s="302" t="str">
        <f aca="false">IFERROR(IF(M$347*M$348*M$349*M351&gt;0,AVERAGE(M$347, M$348, M$349, M$351),""),"")</f>
        <v/>
      </c>
      <c r="N445" s="302" t="str">
        <f aca="false">IFERROR(IF(N$347*N$348*N$349*N351&gt;0,AVERAGE(N$347, N$348, N$349, N$351),""),"")</f>
        <v/>
      </c>
      <c r="O445" s="282"/>
      <c r="P445" s="282"/>
      <c r="Q445" s="296"/>
      <c r="R445" s="293" t="s">
        <v>447</v>
      </c>
      <c r="S445" s="294" t="str">
        <f aca="false">IFERROR(IF(C$347*C$348*C$349*C351&gt;0,STDEV(C$347, C$348, C$349, C$351),"")/IF(C$347*C$348*C$349*C351&gt;0,AVERAGE(C$347, C$348, C$349, C$351),""),"")</f>
        <v/>
      </c>
      <c r="T445" s="294" t="str">
        <f aca="false">IFERROR(IF(D$347*D$348*D$349*D351&gt;0,STDEV(D$347, D$348, D$349, D$351),"")/IF(D$347*D$348*D$349*D351&gt;0,AVERAGE(D$347, D$348, D$349, D$351),""),"")</f>
        <v/>
      </c>
      <c r="U445" s="294" t="str">
        <f aca="false">IFERROR(IF(E$347*E$348*E$349*E351&gt;0,STDEV(E$347, E$348, E$349, E$351),"")/IF(E$347*E$348*E$349*E351&gt;0,AVERAGE(E$347, E$348, E$349, E$351),""),"")</f>
        <v/>
      </c>
      <c r="V445" s="294" t="str">
        <f aca="false">IFERROR(IF(F$347*F$348*F$349*F351&gt;0,STDEV(F$347, F$348, F$349, F$351),"")/IF(F$347*F$348*F$349*F351&gt;0,AVERAGE(F$347, F$348, F$349, F$351),""),"")</f>
        <v/>
      </c>
      <c r="W445" s="294" t="str">
        <f aca="false">IFERROR(IF(G$347*G$348*G$349*G351&gt;0,STDEV(G$347, G$348, G$349, G$351),"")/IF(G$347*G$348*G$349*G351&gt;0,AVERAGE(G$347, G$348, G$349, G$351),""),"")</f>
        <v/>
      </c>
      <c r="X445" s="294" t="str">
        <f aca="false">IFERROR(IF(H$347*H$348*H$349*H351&gt;0,STDEV(H$347, H$348, H$349, H$351),"")/IF(H$347*H$348*H$349*H351&gt;0,AVERAGE(H$347, H$348, H$349, H$351),""),"")</f>
        <v/>
      </c>
      <c r="Y445" s="294" t="str">
        <f aca="false">IFERROR(IF(I$347*I$348*I$349*I351&gt;0,STDEV(I$347, I$348, I$349, I$351),"")/IF(I$347*I$348*I$349*I351&gt;0,AVERAGE(I$347, I$348, I$349, I$351),""),"")</f>
        <v/>
      </c>
      <c r="Z445" s="294" t="str">
        <f aca="false">IFERROR(IF(J$347*J$348*J$349*J351&gt;0,STDEV(J$347, J$348, J$349, J$351),"")/IF(J$347*J$348*J$349*J351&gt;0,AVERAGE(J$347, J$348, J$349, J$351),""),"")</f>
        <v/>
      </c>
      <c r="AA445" s="294" t="str">
        <f aca="false">IFERROR(IF(K$347*K$348*K$349*K351&gt;0,STDEV(K$347, K$348, K$349, K$351),"")/IF(K$347*K$348*K$349*K351&gt;0,AVERAGE(K$347, K$348, K$349, K$351),""),"")</f>
        <v/>
      </c>
      <c r="AB445" s="294" t="str">
        <f aca="false">IFERROR(IF(L$347*L$348*L$349*L351&gt;0,STDEV(L$347, L$348, L$349, L$351),"")/IF(L$347*L$348*L$349*L351&gt;0,AVERAGE(L$347, L$348, L$349, L$351),""),"")</f>
        <v/>
      </c>
      <c r="AC445" s="294" t="str">
        <f aca="false">IFERROR(IF(M$347*M$348*M$349*M351&gt;0,STDEV(M$347, M$348, M$349, M$351),"")/IF(M$347*M$348*M$349*M351&gt;0,AVERAGE(M$347, M$348, M$349, M$351),""),"")</f>
        <v/>
      </c>
      <c r="AD445" s="294" t="str">
        <f aca="false">IFERROR(IF(N$347*N$348*N$349*N351&gt;0,STDEV(N$347, N$348, N$349, N$351),"")/IF(N$347*N$348*N$349*N351&gt;0,AVERAGE(N$347, N$348, N$349, N$351),""),"")</f>
        <v/>
      </c>
      <c r="AE445" s="44"/>
      <c r="AF445" s="266" t="s">
        <v>448</v>
      </c>
      <c r="AG445" s="287" t="str">
        <f aca="false">IFERROR(IF(C$347*C$348*C$349*C351&gt;0,STDEV(C$347, C$348, C$349, C$351)," ")/IF(C$347*C$348*C$349*C351&gt;0,SQRT(COUNT(C$347, C$348, C$349, C$351))," "),"")</f>
        <v/>
      </c>
      <c r="AH445" s="287" t="str">
        <f aca="false">IFERROR(IF(D$347*D$348*D$349*D351&gt;0,STDEV(D$347, D$348, D$349, D$351)," ")/IF(D$347*D$348*D$349*D351&gt;0,SQRT(COUNT(D$347, D$348, D$349, D$351))," "),"")</f>
        <v/>
      </c>
      <c r="AI445" s="287" t="str">
        <f aca="false">IFERROR(IF(E$347*E$348*E$349*E351&gt;0,STDEV(E$347, E$348, E$349, E$351)," ")/IF(E$347*E$348*E$349*E351&gt;0,SQRT(COUNT(E$347, E$348, E$349, E$351))," "),"")</f>
        <v/>
      </c>
      <c r="AJ445" s="287" t="str">
        <f aca="false">IFERROR(IF(F$347*F$348*F$349*F351&gt;0,STDEV(F$347, F$348, F$349, F$351)," ")/IF(F$347*F$348*F$349*F351&gt;0,SQRT(COUNT(F$347, F$348, F$349, F$351))," "),"")</f>
        <v/>
      </c>
      <c r="AK445" s="287" t="str">
        <f aca="false">IFERROR(IF(G$347*G$348*G$349*G351&gt;0,STDEV(G$347, G$348, G$349, G$351)," ")/IF(G$347*G$348*G$349*G351&gt;0,SQRT(COUNT(G$347, G$348, G$349, G$351))," "),"")</f>
        <v/>
      </c>
      <c r="AL445" s="287" t="str">
        <f aca="false">IFERROR(IF(H$347*H$348*H$349*H351&gt;0,STDEV(H$347, H$348, H$349, H$351)," ")/IF(H$347*H$348*H$349*H351&gt;0,SQRT(COUNT(H$347, H$348, H$349, H$351))," "),"")</f>
        <v/>
      </c>
      <c r="AM445" s="287" t="str">
        <f aca="false">IFERROR(IF(I$347*I$348*I$349*I351&gt;0,STDEV(I$347, I$348, I$349, I$351)," ")/IF(I$347*I$348*I$349*I351&gt;0,SQRT(COUNT(I$347, I$348, I$349, I$351))," "),"")</f>
        <v/>
      </c>
      <c r="AN445" s="287" t="str">
        <f aca="false">IFERROR(IF(J$347*J$348*J$349*J351&gt;0,STDEV(J$347, J$348, J$349, J$351)," ")/IF(J$347*J$348*J$349*J351&gt;0,SQRT(COUNT(J$347, J$348, J$349, J$351))," "),"")</f>
        <v/>
      </c>
      <c r="AO445" s="287" t="str">
        <f aca="false">IFERROR(IF(K$347*K$348*K$349*K351&gt;0,STDEV(K$347, K$348, K$349, K$351)," ")/IF(K$347*K$348*K$349*K351&gt;0,SQRT(COUNT(K$347, K$348, K$349, K$351))," "),"")</f>
        <v/>
      </c>
      <c r="AP445" s="287" t="str">
        <f aca="false">IFERROR(IF(L$347*L$348*L$349*L351&gt;0,STDEV(L$347, L$348, L$349, L$351)," ")/IF(L$347*L$348*L$349*L351&gt;0,SQRT(COUNT(L$347, L$348, L$349, L$351))," "),"")</f>
        <v/>
      </c>
      <c r="AQ445" s="287" t="str">
        <f aca="false">IFERROR(IF(M$347*M$348*M$349*M351&gt;0,STDEV(M$347, M$348, M$349, M$351)," ")/IF(M$347*M$348*M$349*M351&gt;0,SQRT(COUNT(M$347, M$348, M$349, M$351))," "),"")</f>
        <v/>
      </c>
      <c r="AR445" s="287" t="str">
        <f aca="false">IFERROR(IF(N$347*N$348*N$349*N351&gt;0,STDEV(N$347, N$348, N$349, N$351)," ")/IF(N$347*N$348*N$349*N351&gt;0,SQRT(COUNT(N$347, N$348, N$349, N$351))," "),"")</f>
        <v/>
      </c>
    </row>
    <row r="446" customFormat="false" ht="15.75" hidden="false" customHeight="false" outlineLevel="0" collapsed="false">
      <c r="A446" s="290" t="s">
        <v>449</v>
      </c>
      <c r="B446" s="281"/>
      <c r="C446" s="302" t="str">
        <f aca="false">IFERROR(IF(C$347*C$348*C$349*C352&gt;0,AVERAGE(C$347, C$348, C$349, C$352),""),"")</f>
        <v/>
      </c>
      <c r="D446" s="302" t="str">
        <f aca="false">IFERROR(IF(D$347*D$348*D$349*D352&gt;0,AVERAGE(D$347, D$348, D$349, D$352),""),"")</f>
        <v/>
      </c>
      <c r="E446" s="302" t="str">
        <f aca="false">IFERROR(IF(E$347*E$348*E$349*E352&gt;0,AVERAGE(E$347, E$348, E$349, E$352),""),"")</f>
        <v/>
      </c>
      <c r="F446" s="302" t="str">
        <f aca="false">IFERROR(IF(F$347*F$348*F$349*F352&gt;0,AVERAGE(F$347, F$348, F$349, F$352),""),"")</f>
        <v/>
      </c>
      <c r="G446" s="302" t="str">
        <f aca="false">IFERROR(IF(G$347*G$348*G$349*G352&gt;0,AVERAGE(G$347, G$348, G$349, G$352),""),"")</f>
        <v/>
      </c>
      <c r="H446" s="302" t="str">
        <f aca="false">IFERROR(IF(H$347*H$348*H$349*H352&gt;0,AVERAGE(H$347, H$348, H$349, H$352),""),"")</f>
        <v/>
      </c>
      <c r="I446" s="302" t="str">
        <f aca="false">IFERROR(IF(I$347*I$348*I$349*I352&gt;0,AVERAGE(I$347, I$348, I$349, I$352),""),"")</f>
        <v/>
      </c>
      <c r="J446" s="302" t="str">
        <f aca="false">IFERROR(IF(J$347*J$348*J$349*J352&gt;0,AVERAGE(J$347, J$348, J$349, J$352),""),"")</f>
        <v/>
      </c>
      <c r="K446" s="302" t="str">
        <f aca="false">IFERROR(IF(K$347*K$348*K$349*K352&gt;0,AVERAGE(K$347, K$348, K$349, K$352),""),"")</f>
        <v/>
      </c>
      <c r="L446" s="302" t="str">
        <f aca="false">IFERROR(IF(L$347*L$348*L$349*L352&gt;0,AVERAGE(L$347, L$348, L$349, L$352),""),"")</f>
        <v/>
      </c>
      <c r="M446" s="302" t="str">
        <f aca="false">IFERROR(IF(M$347*M$348*M$349*M352&gt;0,AVERAGE(M$347, M$348, M$349, M$352),""),"")</f>
        <v/>
      </c>
      <c r="N446" s="302" t="str">
        <f aca="false">IFERROR(IF(N$347*N$348*N$349*N352&gt;0,AVERAGE(N$347, N$348, N$349, N$352),""),"")</f>
        <v/>
      </c>
      <c r="O446" s="282"/>
      <c r="P446" s="282"/>
      <c r="Q446" s="296"/>
      <c r="R446" s="293" t="s">
        <v>450</v>
      </c>
      <c r="S446" s="294" t="str">
        <f aca="false">IFERROR(IF(C$347*C$348*C$349*C352&gt;0,STDEV(C$347, C$348, C$349, C$352),"")/IF(C$347*C$348*C$349*C352&gt;0,AVERAGE(C$347, C$348, C$349, C$352),""),"")</f>
        <v/>
      </c>
      <c r="T446" s="294" t="str">
        <f aca="false">IFERROR(IF(D$347*D$348*D$349*D352&gt;0,STDEV(D$347, D$348, D$349, D$352),"")/IF(D$347*D$348*D$349*D352&gt;0,AVERAGE(D$347, D$348, D$349, D$352),""),"")</f>
        <v/>
      </c>
      <c r="U446" s="294" t="str">
        <f aca="false">IFERROR(IF(E$347*E$348*E$349*E352&gt;0,STDEV(E$347, E$348, E$349, E$352),"")/IF(E$347*E$348*E$349*E352&gt;0,AVERAGE(E$347, E$348, E$349, E$352),""),"")</f>
        <v/>
      </c>
      <c r="V446" s="294" t="str">
        <f aca="false">IFERROR(IF(F$347*F$348*F$349*F352&gt;0,STDEV(F$347, F$348, F$349, F$352),"")/IF(F$347*F$348*F$349*F352&gt;0,AVERAGE(F$347, F$348, F$349, F$352),""),"")</f>
        <v/>
      </c>
      <c r="W446" s="294" t="str">
        <f aca="false">IFERROR(IF(G$347*G$348*G$349*G352&gt;0,STDEV(G$347, G$348, G$349, G$352),"")/IF(G$347*G$348*G$349*G352&gt;0,AVERAGE(G$347, G$348, G$349, G$352),""),"")</f>
        <v/>
      </c>
      <c r="X446" s="294" t="str">
        <f aca="false">IFERROR(IF(H$347*H$348*H$349*H352&gt;0,STDEV(H$347, H$348, H$349, H$352),"")/IF(H$347*H$348*H$349*H352&gt;0,AVERAGE(H$347, H$348, H$349, H$352),""),"")</f>
        <v/>
      </c>
      <c r="Y446" s="294" t="str">
        <f aca="false">IFERROR(IF(I$347*I$348*I$349*I352&gt;0,STDEV(I$347, I$348, I$349, I$352),"")/IF(I$347*I$348*I$349*I352&gt;0,AVERAGE(I$347, I$348, I$349, I$352),""),"")</f>
        <v/>
      </c>
      <c r="Z446" s="294" t="str">
        <f aca="false">IFERROR(IF(J$347*J$348*J$349*J352&gt;0,STDEV(J$347, J$348, J$349, J$352),"")/IF(J$347*J$348*J$349*J352&gt;0,AVERAGE(J$347, J$348, J$349, J$352),""),"")</f>
        <v/>
      </c>
      <c r="AA446" s="294" t="str">
        <f aca="false">IFERROR(IF(K$347*K$348*K$349*K352&gt;0,STDEV(K$347, K$348, K$349, K$352),"")/IF(K$347*K$348*K$349*K352&gt;0,AVERAGE(K$347, K$348, K$349, K$352),""),"")</f>
        <v/>
      </c>
      <c r="AB446" s="294" t="str">
        <f aca="false">IFERROR(IF(L$347*L$348*L$349*L352&gt;0,STDEV(L$347, L$348, L$349, L$352),"")/IF(L$347*L$348*L$349*L352&gt;0,AVERAGE(L$347, L$348, L$349, L$352),""),"")</f>
        <v/>
      </c>
      <c r="AC446" s="294" t="str">
        <f aca="false">IFERROR(IF(M$347*M$348*M$349*M352&gt;0,STDEV(M$347, M$348, M$349, M$352),"")/IF(M$347*M$348*M$349*M352&gt;0,AVERAGE(M$347, M$348, M$349, M$352),""),"")</f>
        <v/>
      </c>
      <c r="AD446" s="294" t="str">
        <f aca="false">IFERROR(IF(N$347*N$348*N$349*N352&gt;0,STDEV(N$347, N$348, N$349, N$352),"")/IF(N$347*N$348*N$349*N352&gt;0,AVERAGE(N$347, N$348, N$349, N$352),""),"")</f>
        <v/>
      </c>
      <c r="AE446" s="44"/>
      <c r="AF446" s="266" t="s">
        <v>451</v>
      </c>
      <c r="AG446" s="287" t="str">
        <f aca="false">IFERROR(IF(C$347*C$348*C$349*C352&gt;0,STDEV(C$347, C$348, C$349, C$352)," ")/IF(C$347*C$348*C$349*C352&gt;0,SQRT(COUNT(C$347, C$348, C$349, C$352))," "),"")</f>
        <v/>
      </c>
      <c r="AH446" s="287" t="str">
        <f aca="false">IFERROR(IF(D$347*D$348*D$349*D352&gt;0,STDEV(D$347, D$348, D$349, D$352)," ")/IF(D$347*D$348*D$349*D352&gt;0,SQRT(COUNT(D$347, D$348, D$349, D$352))," "),"")</f>
        <v/>
      </c>
      <c r="AI446" s="287" t="str">
        <f aca="false">IFERROR(IF(E$347*E$348*E$349*E352&gt;0,STDEV(E$347, E$348, E$349, E$352)," ")/IF(E$347*E$348*E$349*E352&gt;0,SQRT(COUNT(E$347, E$348, E$349, E$352))," "),"")</f>
        <v/>
      </c>
      <c r="AJ446" s="287" t="str">
        <f aca="false">IFERROR(IF(F$347*F$348*F$349*F352&gt;0,STDEV(F$347, F$348, F$349, F$352)," ")/IF(F$347*F$348*F$349*F352&gt;0,SQRT(COUNT(F$347, F$348, F$349, F$352))," "),"")</f>
        <v/>
      </c>
      <c r="AK446" s="287" t="str">
        <f aca="false">IFERROR(IF(G$347*G$348*G$349*G352&gt;0,STDEV(G$347, G$348, G$349, G$352)," ")/IF(G$347*G$348*G$349*G352&gt;0,SQRT(COUNT(G$347, G$348, G$349, G$352))," "),"")</f>
        <v/>
      </c>
      <c r="AL446" s="287" t="str">
        <f aca="false">IFERROR(IF(H$347*H$348*H$349*H352&gt;0,STDEV(H$347, H$348, H$349, H$352)," ")/IF(H$347*H$348*H$349*H352&gt;0,SQRT(COUNT(H$347, H$348, H$349, H$352))," "),"")</f>
        <v/>
      </c>
      <c r="AM446" s="287" t="str">
        <f aca="false">IFERROR(IF(I$347*I$348*I$349*I352&gt;0,STDEV(I$347, I$348, I$349, I$352)," ")/IF(I$347*I$348*I$349*I352&gt;0,SQRT(COUNT(I$347, I$348, I$349, I$352))," "),"")</f>
        <v/>
      </c>
      <c r="AN446" s="287" t="str">
        <f aca="false">IFERROR(IF(J$347*J$348*J$349*J352&gt;0,STDEV(J$347, J$348, J$349, J$352)," ")/IF(J$347*J$348*J$349*J352&gt;0,SQRT(COUNT(J$347, J$348, J$349, J$352))," "),"")</f>
        <v/>
      </c>
      <c r="AO446" s="287" t="str">
        <f aca="false">IFERROR(IF(K$347*K$348*K$349*K352&gt;0,STDEV(K$347, K$348, K$349, K$352)," ")/IF(K$347*K$348*K$349*K352&gt;0,SQRT(COUNT(K$347, K$348, K$349, K$352))," "),"")</f>
        <v/>
      </c>
      <c r="AP446" s="287" t="str">
        <f aca="false">IFERROR(IF(L$347*L$348*L$349*L352&gt;0,STDEV(L$347, L$348, L$349, L$352)," ")/IF(L$347*L$348*L$349*L352&gt;0,SQRT(COUNT(L$347, L$348, L$349, L$352))," "),"")</f>
        <v/>
      </c>
      <c r="AQ446" s="287" t="str">
        <f aca="false">IFERROR(IF(M$347*M$348*M$349*M352&gt;0,STDEV(M$347, M$348, M$349, M$352)," ")/IF(M$347*M$348*M$349*M352&gt;0,SQRT(COUNT(M$347, M$348, M$349, M$352))," "),"")</f>
        <v/>
      </c>
      <c r="AR446" s="287" t="str">
        <f aca="false">IFERROR(IF(N$347*N$348*N$349*N352&gt;0,STDEV(N$347, N$348, N$349, N$352)," ")/IF(N$347*N$348*N$349*N352&gt;0,SQRT(COUNT(N$347, N$348, N$349, N$352))," "),"")</f>
        <v/>
      </c>
    </row>
    <row r="447" customFormat="false" ht="15.75" hidden="false" customHeight="false" outlineLevel="0" collapsed="false">
      <c r="A447" s="290" t="s">
        <v>503</v>
      </c>
      <c r="B447" s="281"/>
      <c r="C447" s="302" t="str">
        <f aca="false">IFERROR(IF(C$347*C$348*C$350*C352&gt;0,AVERAGE(C$347, C$348, C$350, C$352),""),"")</f>
        <v/>
      </c>
      <c r="D447" s="302" t="str">
        <f aca="false">IFERROR(IF(D$347*D$348*D$350*D352&gt;0,AVERAGE(D$347, D$348, D$350, D$352),""),"")</f>
        <v/>
      </c>
      <c r="E447" s="302" t="str">
        <f aca="false">IFERROR(IF(E$347*E$348*E$350*E352&gt;0,AVERAGE(E$347, E$348, E$350, E$352),""),"")</f>
        <v/>
      </c>
      <c r="F447" s="302" t="str">
        <f aca="false">IFERROR(IF(F$347*F$348*F$350*F352&gt;0,AVERAGE(F$347, F$348, F$350, F$352),""),"")</f>
        <v/>
      </c>
      <c r="G447" s="302" t="str">
        <f aca="false">IFERROR(IF(G$347*G$348*G$350*G352&gt;0,AVERAGE(G$347, G$348, G$350, G$352),""),"")</f>
        <v/>
      </c>
      <c r="H447" s="302" t="str">
        <f aca="false">IFERROR(IF(H$347*H$348*H$350*H352&gt;0,AVERAGE(H$347, H$348, H$350, H$352),""),"")</f>
        <v/>
      </c>
      <c r="I447" s="302" t="str">
        <f aca="false">IFERROR(IF(I$347*I$348*I$350*I352&gt;0,AVERAGE(I$347, I$348, I$350, I$352),""),"")</f>
        <v/>
      </c>
      <c r="J447" s="302" t="str">
        <f aca="false">IFERROR(IF(J$347*J$348*J$350*J352&gt;0,AVERAGE(J$347, J$348, J$350, J$352),""),"")</f>
        <v/>
      </c>
      <c r="K447" s="302" t="str">
        <f aca="false">IFERROR(IF(K$347*K$348*K$350*K352&gt;0,AVERAGE(K$347, K$348, K$350, K$352),""),"")</f>
        <v/>
      </c>
      <c r="L447" s="302" t="str">
        <f aca="false">IFERROR(IF(L$347*L$348*L$350*L352&gt;0,AVERAGE(L$347, L$348, L$350, L$352),""),"")</f>
        <v/>
      </c>
      <c r="M447" s="302" t="str">
        <f aca="false">IFERROR(IF(M$347*M$348*M$350*M352&gt;0,AVERAGE(M$347, M$348, M$350, M$352),""),"")</f>
        <v/>
      </c>
      <c r="N447" s="302" t="str">
        <f aca="false">IFERROR(IF(N$347*N$348*N$350*N352&gt;0,AVERAGE(N$347, N$348, N$350, N$352),""),"")</f>
        <v/>
      </c>
      <c r="O447" s="282"/>
      <c r="P447" s="282"/>
      <c r="Q447" s="296"/>
      <c r="R447" s="293" t="s">
        <v>504</v>
      </c>
      <c r="S447" s="294" t="str">
        <f aca="false">IFERROR(IF(C$347*C$348*C$350*C352&gt;0,STDEV(C$347, C$348, C$350, C$352),"")/IF(C$347*C$348*C$350*C352&gt;0,AVERAGE(C$347, C$348, C$350, C$352),""),"")</f>
        <v/>
      </c>
      <c r="T447" s="294" t="str">
        <f aca="false">IFERROR(IF(D$347*D$348*D$350*D352&gt;0,STDEV(D$347, D$348, D$350, D$352),"")/IF(D$347*D$348*D$350*D352&gt;0,AVERAGE(D$347, D$348, D$350, D$352),""),"")</f>
        <v/>
      </c>
      <c r="U447" s="294" t="str">
        <f aca="false">IFERROR(IF(E$347*E$348*E$350*E352&gt;0,STDEV(E$347, E$348, E$350, E$352),"")/IF(E$347*E$348*E$350*E352&gt;0,AVERAGE(E$347, E$348, E$350, E$352),""),"")</f>
        <v/>
      </c>
      <c r="V447" s="294" t="str">
        <f aca="false">IFERROR(IF(F$347*F$348*F$350*F352&gt;0,STDEV(F$347, F$348, F$350, F$352),"")/IF(F$347*F$348*F$350*F352&gt;0,AVERAGE(F$347, F$348, F$350, F$352),""),"")</f>
        <v/>
      </c>
      <c r="W447" s="294" t="str">
        <f aca="false">IFERROR(IF(G$347*G$348*G$350*G352&gt;0,STDEV(G$347, G$348, G$350, G$352),"")/IF(G$347*G$348*G$350*G352&gt;0,AVERAGE(G$347, G$348, G$350, G$352),""),"")</f>
        <v/>
      </c>
      <c r="X447" s="294" t="str">
        <f aca="false">IFERROR(IF(H$347*H$348*H$350*H352&gt;0,STDEV(H$347, H$348, H$350, H$352),"")/IF(H$347*H$348*H$350*H352&gt;0,AVERAGE(H$347, H$348, H$350, H$352),""),"")</f>
        <v/>
      </c>
      <c r="Y447" s="294" t="str">
        <f aca="false">IFERROR(IF(I$347*I$348*I$350*I352&gt;0,STDEV(I$347, I$348, I$350, I$352),"")/IF(I$347*I$348*I$350*I352&gt;0,AVERAGE(I$347, I$348, I$350, I$352),""),"")</f>
        <v/>
      </c>
      <c r="Z447" s="294" t="str">
        <f aca="false">IFERROR(IF(J$347*J$348*J$350*J352&gt;0,STDEV(J$347, J$348, J$350, J$352),"")/IF(J$347*J$348*J$350*J352&gt;0,AVERAGE(J$347, J$348, J$350, J$352),""),"")</f>
        <v/>
      </c>
      <c r="AA447" s="294" t="str">
        <f aca="false">IFERROR(IF(K$347*K$348*K$350*K352&gt;0,STDEV(K$347, K$348, K$350, K$352),"")/IF(K$347*K$348*K$350*K352&gt;0,AVERAGE(K$347, K$348, K$350, K$352),""),"")</f>
        <v/>
      </c>
      <c r="AB447" s="294" t="str">
        <f aca="false">IFERROR(IF(L$347*L$348*L$350*L352&gt;0,STDEV(L$347, L$348, L$350, L$352),"")/IF(L$347*L$348*L$350*L352&gt;0,AVERAGE(L$347, L$348, L$350, L$352),""),"")</f>
        <v/>
      </c>
      <c r="AC447" s="294" t="str">
        <f aca="false">IFERROR(IF(M$347*M$348*M$350*M352&gt;0,STDEV(M$347, M$348, M$350, M$352),"")/IF(M$347*M$348*M$350*M352&gt;0,AVERAGE(M$347, M$348, M$350, M$352),""),"")</f>
        <v/>
      </c>
      <c r="AD447" s="294" t="str">
        <f aca="false">IFERROR(IF(N$347*N$348*N$350*N352&gt;0,STDEV(N$347, N$348, N$350, N$352),"")/IF(N$347*N$348*N$350*N352&gt;0,AVERAGE(N$347, N$348, N$350, N$352),""),"")</f>
        <v/>
      </c>
      <c r="AE447" s="44"/>
      <c r="AF447" s="266" t="s">
        <v>505</v>
      </c>
      <c r="AG447" s="287" t="str">
        <f aca="false">IFERROR(IF(C$347*C$348*C$350*C352&gt;0,STDEV(C$347, C$348, C$350, C$352)," ")/IF(C$347*C$348*C$350*C352&gt;0,SQRT(COUNT(C$347, C$348, C$350, C$352))," "),"")</f>
        <v/>
      </c>
      <c r="AH447" s="287" t="str">
        <f aca="false">IFERROR(IF(D$347*D$348*D$350*D352&gt;0,STDEV(D$347, D$348, D$350, D$352)," ")/IF(D$347*D$348*D$350*D352&gt;0,SQRT(COUNT(D$347, D$348, D$350, D$352))," "),"")</f>
        <v/>
      </c>
      <c r="AI447" s="287" t="str">
        <f aca="false">IFERROR(IF(E$347*E$348*E$350*E352&gt;0,STDEV(E$347, E$348, E$350, E$352)," ")/IF(E$347*E$348*E$350*E352&gt;0,SQRT(COUNT(E$347, E$348, E$350, E$352))," "),"")</f>
        <v/>
      </c>
      <c r="AJ447" s="287" t="str">
        <f aca="false">IFERROR(IF(F$347*F$348*F$350*F352&gt;0,STDEV(F$347, F$348, F$350, F$352)," ")/IF(F$347*F$348*F$350*F352&gt;0,SQRT(COUNT(F$347, F$348, F$350, F$352))," "),"")</f>
        <v/>
      </c>
      <c r="AK447" s="287" t="str">
        <f aca="false">IFERROR(IF(G$347*G$348*G$350*G352&gt;0,STDEV(G$347, G$348, G$350, G$352)," ")/IF(G$347*G$348*G$350*G352&gt;0,SQRT(COUNT(G$347, G$348, G$350, G$352))," "),"")</f>
        <v/>
      </c>
      <c r="AL447" s="287" t="str">
        <f aca="false">IFERROR(IF(H$347*H$348*H$350*H352&gt;0,STDEV(H$347, H$348, H$350, H$352)," ")/IF(H$347*H$348*H$350*H352&gt;0,SQRT(COUNT(H$347, H$348, H$350, H$352))," "),"")</f>
        <v/>
      </c>
      <c r="AM447" s="287" t="str">
        <f aca="false">IFERROR(IF(I$347*I$348*I$350*I352&gt;0,STDEV(I$347, I$348, I$350, I$352)," ")/IF(I$347*I$348*I$350*I352&gt;0,SQRT(COUNT(I$347, I$348, I$350, I$352))," "),"")</f>
        <v/>
      </c>
      <c r="AN447" s="287" t="str">
        <f aca="false">IFERROR(IF(J$347*J$348*J$350*J352&gt;0,STDEV(J$347, J$348, J$350, J$352)," ")/IF(J$347*J$348*J$350*J352&gt;0,SQRT(COUNT(J$347, J$348, J$350, J$352))," "),"")</f>
        <v/>
      </c>
      <c r="AO447" s="287" t="str">
        <f aca="false">IFERROR(IF(K$347*K$348*K$350*K352&gt;0,STDEV(K$347, K$348, K$350, K$352)," ")/IF(K$347*K$348*K$350*K352&gt;0,SQRT(COUNT(K$347, K$348, K$350, K$352))," "),"")</f>
        <v/>
      </c>
      <c r="AP447" s="287" t="str">
        <f aca="false">IFERROR(IF(L$347*L$348*L$350*L352&gt;0,STDEV(L$347, L$348, L$350, L$352)," ")/IF(L$347*L$348*L$350*L352&gt;0,SQRT(COUNT(L$347, L$348, L$350, L$352))," "),"")</f>
        <v/>
      </c>
      <c r="AQ447" s="287" t="str">
        <f aca="false">IFERROR(IF(M$347*M$348*M$350*M352&gt;0,STDEV(M$347, M$348, M$350, M$352)," ")/IF(M$347*M$348*M$350*M352&gt;0,SQRT(COUNT(M$347, M$348, M$350, M$352))," "),"")</f>
        <v/>
      </c>
      <c r="AR447" s="287" t="str">
        <f aca="false">IFERROR(IF(N$347*N$348*N$350*N352&gt;0,STDEV(N$347, N$348, N$350, N$352)," ")/IF(N$347*N$348*N$350*N352&gt;0,SQRT(COUNT(N$347, N$348, N$350, N$352))," "),"")</f>
        <v/>
      </c>
    </row>
    <row r="448" customFormat="false" ht="15.75" hidden="false" customHeight="false" outlineLevel="0" collapsed="false">
      <c r="A448" s="290" t="s">
        <v>506</v>
      </c>
      <c r="B448" s="281"/>
      <c r="C448" s="302" t="str">
        <f aca="false">IFERROR(IF(C$347*C$348*C$350*C$353&gt;0,AVERAGE(C$347, C$348, C$350, C$353),""),"")</f>
        <v/>
      </c>
      <c r="D448" s="302" t="str">
        <f aca="false">IFERROR(IF(D$347*D$348*D$350*D$353&gt;0,AVERAGE(D$347, D$348, D$350, D$353),""),"")</f>
        <v/>
      </c>
      <c r="E448" s="302" t="str">
        <f aca="false">IFERROR(IF(E$347*E$348*E$350*E$353&gt;0,AVERAGE(E$347, E$348, E$350, E$353),""),"")</f>
        <v/>
      </c>
      <c r="F448" s="302" t="str">
        <f aca="false">IFERROR(IF(F$347*F$348*F$350*F$353&gt;0,AVERAGE(F$347, F$348, F$350, F$353),""),"")</f>
        <v/>
      </c>
      <c r="G448" s="302" t="str">
        <f aca="false">IFERROR(IF(G$347*G$348*G$350*G$353&gt;0,AVERAGE(G$347, G$348, G$350, G$353),""),"")</f>
        <v/>
      </c>
      <c r="H448" s="302" t="str">
        <f aca="false">IFERROR(IF(H$347*H$348*H$350*H$353&gt;0,AVERAGE(H$347, H$348, H$350, H$353),""),"")</f>
        <v/>
      </c>
      <c r="I448" s="302" t="str">
        <f aca="false">IFERROR(IF(I$347*I$348*I$350*I$353&gt;0,AVERAGE(I$347, I$348, I$350, I$353),""),"")</f>
        <v/>
      </c>
      <c r="J448" s="302" t="str">
        <f aca="false">IFERROR(IF(J$347*J$348*J$350*J$353&gt;0,AVERAGE(J$347, J$348, J$350, J$353),""),"")</f>
        <v/>
      </c>
      <c r="K448" s="302" t="str">
        <f aca="false">IFERROR(IF(K$347*K$348*K$350*K$353&gt;0,AVERAGE(K$347, K$348, K$350, K$353),""),"")</f>
        <v/>
      </c>
      <c r="L448" s="302" t="str">
        <f aca="false">IFERROR(IF(L$347*L$348*L$350*L$353&gt;0,AVERAGE(L$347, L$348, L$350, L$353),""),"")</f>
        <v/>
      </c>
      <c r="M448" s="302" t="str">
        <f aca="false">IFERROR(IF(M$347*M$348*M$350*M$353&gt;0,AVERAGE(M$347, M$348, M$350, M$353),""),"")</f>
        <v/>
      </c>
      <c r="N448" s="302" t="str">
        <f aca="false">IFERROR(IF(N$347*N$348*N$350*N$353&gt;0,AVERAGE(N$347, N$348, N$350, N$353),""),"")</f>
        <v/>
      </c>
      <c r="O448" s="282"/>
      <c r="P448" s="282"/>
      <c r="Q448" s="296"/>
      <c r="R448" s="293" t="s">
        <v>507</v>
      </c>
      <c r="S448" s="294" t="str">
        <f aca="false">IFERROR(IF(C$347*C$348*C$350*C$353&gt;0,STDEV(C$347, C$348, C$350, C$353),"")/IF(C$347*C$348*C$350*C$353&gt;0,AVERAGE(C$347, C$348, C$350, C$353),""),"")</f>
        <v/>
      </c>
      <c r="T448" s="294" t="str">
        <f aca="false">IFERROR(IF(D$347*D$348*D$350*D$353&gt;0,STDEV(D$347, D$348, D$350, D$353),"")/IF(D$347*D$348*D$350*D$353&gt;0,AVERAGE(D$347, D$348, D$350, D$353),""),"")</f>
        <v/>
      </c>
      <c r="U448" s="294" t="str">
        <f aca="false">IFERROR(IF(E$347*E$348*E$350*E$353&gt;0,STDEV(E$347, E$348, E$350, E$353),"")/IF(E$347*E$348*E$350*E$353&gt;0,AVERAGE(E$347, E$348, E$350, E$353),""),"")</f>
        <v/>
      </c>
      <c r="V448" s="294" t="str">
        <f aca="false">IFERROR(IF(F$347*F$348*F$350*F$353&gt;0,STDEV(F$347, F$348, F$350, F$353),"")/IF(F$347*F$348*F$350*F$353&gt;0,AVERAGE(F$347, F$348, F$350, F$353),""),"")</f>
        <v/>
      </c>
      <c r="W448" s="294" t="str">
        <f aca="false">IFERROR(IF(G$347*G$348*G$350*G$353&gt;0,STDEV(G$347, G$348, G$350, G$353),"")/IF(G$347*G$348*G$350*G$353&gt;0,AVERAGE(G$347, G$348, G$350, G$353),""),"")</f>
        <v/>
      </c>
      <c r="X448" s="294" t="str">
        <f aca="false">IFERROR(IF(H$347*H$348*H$350*H$353&gt;0,STDEV(H$347, H$348, H$350, H$353),"")/IF(H$347*H$348*H$350*H$353&gt;0,AVERAGE(H$347, H$348, H$350, H$353),""),"")</f>
        <v/>
      </c>
      <c r="Y448" s="294" t="str">
        <f aca="false">IFERROR(IF(I$347*I$348*I$350*I$353&gt;0,STDEV(I$347, I$348, I$350, I$353),"")/IF(I$347*I$348*I$350*I$353&gt;0,AVERAGE(I$347, I$348, I$350, I$353),""),"")</f>
        <v/>
      </c>
      <c r="Z448" s="294" t="str">
        <f aca="false">IFERROR(IF(J$347*J$348*J$350*J$353&gt;0,STDEV(J$347, J$348, J$350, J$353),"")/IF(J$347*J$348*J$350*J$353&gt;0,AVERAGE(J$347, J$348, J$350, J$353),""),"")</f>
        <v/>
      </c>
      <c r="AA448" s="294" t="str">
        <f aca="false">IFERROR(IF(K$347*K$348*K$350*K$353&gt;0,STDEV(K$347, K$348, K$350, K$353),"")/IF(K$347*K$348*K$350*K$353&gt;0,AVERAGE(K$347, K$348, K$350, K$353),""),"")</f>
        <v/>
      </c>
      <c r="AB448" s="294" t="str">
        <f aca="false">IFERROR(IF(L$347*L$348*L$350*L$353&gt;0,STDEV(L$347, L$348, L$350, L$353),"")/IF(L$347*L$348*L$350*L$353&gt;0,AVERAGE(L$347, L$348, L$350, L$353),""),"")</f>
        <v/>
      </c>
      <c r="AC448" s="294" t="str">
        <f aca="false">IFERROR(IF(M$347*M$348*M$350*M$353&gt;0,STDEV(M$347, M$348, M$350, M$353),"")/IF(M$347*M$348*M$350*M$353&gt;0,AVERAGE(M$347, M$348, M$350, M$353),""),"")</f>
        <v/>
      </c>
      <c r="AD448" s="294" t="str">
        <f aca="false">IFERROR(IF(N$347*N$348*N$350*N$353&gt;0,STDEV(N$347, N$348, N$350, N$353),"")/IF(N$347*N$348*N$350*N$353&gt;0,AVERAGE(N$347, N$348, N$350, N$353),""),"")</f>
        <v/>
      </c>
      <c r="AE448" s="44"/>
      <c r="AF448" s="266" t="s">
        <v>508</v>
      </c>
      <c r="AG448" s="287" t="str">
        <f aca="false">IFERROR(IF(C$347*C$348*C$350*C$353&gt;0,STDEV(C$347, C$348, C$350, C$353)," ")/IF(C$347*C$348*C$350*C$353&gt;0,SQRT(COUNT(C$347, C$348, C$350, C$353))," "),"")</f>
        <v/>
      </c>
      <c r="AH448" s="287" t="str">
        <f aca="false">IFERROR(IF(D$347*D$348*D$350*D$353&gt;0,STDEV(D$347, D$348, D$350, D$353)," ")/IF(D$347*D$348*D$350*D$353&gt;0,SQRT(COUNT(D$347, D$348, D$350, D$353))," "),"")</f>
        <v/>
      </c>
      <c r="AI448" s="287" t="str">
        <f aca="false">IFERROR(IF(E$347*E$348*E$350*E$353&gt;0,STDEV(E$347, E$348, E$350, E$353)," ")/IF(E$347*E$348*E$350*E$353&gt;0,SQRT(COUNT(E$347, E$348, E$350, E$353))," "),"")</f>
        <v/>
      </c>
      <c r="AJ448" s="287" t="str">
        <f aca="false">IFERROR(IF(F$347*F$348*F$350*F$353&gt;0,STDEV(F$347, F$348, F$350, F$353)," ")/IF(F$347*F$348*F$350*F$353&gt;0,SQRT(COUNT(F$347, F$348, F$350, F$353))," "),"")</f>
        <v/>
      </c>
      <c r="AK448" s="287" t="str">
        <f aca="false">IFERROR(IF(G$347*G$348*G$350*G$353&gt;0,STDEV(G$347, G$348, G$350, G$353)," ")/IF(G$347*G$348*G$350*G$353&gt;0,SQRT(COUNT(G$347, G$348, G$350, G$353))," "),"")</f>
        <v/>
      </c>
      <c r="AL448" s="287" t="str">
        <f aca="false">IFERROR(IF(H$347*H$348*H$350*H$353&gt;0,STDEV(H$347, H$348, H$350, H$353)," ")/IF(H$347*H$348*H$350*H$353&gt;0,SQRT(COUNT(H$347, H$348, H$350, H$353))," "),"")</f>
        <v/>
      </c>
      <c r="AM448" s="287" t="str">
        <f aca="false">IFERROR(IF(I$347*I$348*I$350*I$353&gt;0,STDEV(I$347, I$348, I$350, I$353)," ")/IF(I$347*I$348*I$350*I$353&gt;0,SQRT(COUNT(I$347, I$348, I$350, I$353))," "),"")</f>
        <v/>
      </c>
      <c r="AN448" s="287" t="str">
        <f aca="false">IFERROR(IF(J$347*J$348*J$350*J$353&gt;0,STDEV(J$347, J$348, J$350, J$353)," ")/IF(J$347*J$348*J$350*J$353&gt;0,SQRT(COUNT(J$347, J$348, J$350, J$353))," "),"")</f>
        <v/>
      </c>
      <c r="AO448" s="287" t="str">
        <f aca="false">IFERROR(IF(K$347*K$348*K$350*K$353&gt;0,STDEV(K$347, K$348, K$350, K$353)," ")/IF(K$347*K$348*K$350*K$353&gt;0,SQRT(COUNT(K$347, K$348, K$350, K$353))," "),"")</f>
        <v/>
      </c>
      <c r="AP448" s="287" t="str">
        <f aca="false">IFERROR(IF(L$347*L$348*L$350*L$353&gt;0,STDEV(L$347, L$348, L$350, L$353)," ")/IF(L$347*L$348*L$350*L$353&gt;0,SQRT(COUNT(L$347, L$348, L$350, L$353))," "),"")</f>
        <v/>
      </c>
      <c r="AQ448" s="287" t="str">
        <f aca="false">IFERROR(IF(M$347*M$348*M$350*M$353&gt;0,STDEV(M$347, M$348, M$350, M$353)," ")/IF(M$347*M$348*M$350*M$353&gt;0,SQRT(COUNT(M$347, M$348, M$350, M$353))," "),"")</f>
        <v/>
      </c>
      <c r="AR448" s="287" t="str">
        <f aca="false">IFERROR(IF(N$347*N$348*N$350*N$353&gt;0,STDEV(N$347, N$348, N$350, N$353)," ")/IF(N$347*N$348*N$350*N$353&gt;0,SQRT(COUNT(N$347, N$348, N$350, N$353))," "),"")</f>
        <v/>
      </c>
    </row>
    <row r="449" customFormat="false" ht="15.75" hidden="false" customHeight="false" outlineLevel="0" collapsed="false">
      <c r="A449" s="290" t="s">
        <v>452</v>
      </c>
      <c r="B449" s="281"/>
      <c r="C449" s="302" t="str">
        <f aca="false">IFERROR(IF(C$347*C$348*C$349*C353&gt;0,AVERAGE(C$347, C$348, C$349, C$353),""),"")</f>
        <v/>
      </c>
      <c r="D449" s="302" t="str">
        <f aca="false">IFERROR(IF(D$347*D$348*D$349*D353&gt;0,AVERAGE(D$347, D$348, D$349, D$353),""),"")</f>
        <v/>
      </c>
      <c r="E449" s="302" t="str">
        <f aca="false">IFERROR(IF(E$347*E$348*E$349*E353&gt;0,AVERAGE(E$347, E$348, E$349, E$353),""),"")</f>
        <v/>
      </c>
      <c r="F449" s="302" t="str">
        <f aca="false">IFERROR(IF(F$347*F$348*F$349*F353&gt;0,AVERAGE(F$347, F$348, F$349, F$353),""),"")</f>
        <v/>
      </c>
      <c r="G449" s="302" t="str">
        <f aca="false">IFERROR(IF(G$347*G$348*G$349*G353&gt;0,AVERAGE(G$347, G$348, G$349, G$353),""),"")</f>
        <v/>
      </c>
      <c r="H449" s="302" t="str">
        <f aca="false">IFERROR(IF(H$347*H$348*H$349*H353&gt;0,AVERAGE(H$347, H$348, H$349, H$353),""),"")</f>
        <v/>
      </c>
      <c r="I449" s="302" t="str">
        <f aca="false">IFERROR(IF(I$347*I$348*I$349*I353&gt;0,AVERAGE(I$347, I$348, I$349, I$353),""),"")</f>
        <v/>
      </c>
      <c r="J449" s="302" t="str">
        <f aca="false">IFERROR(IF(J$347*J$348*J$349*J353&gt;0,AVERAGE(J$347, J$348, J$349, J$353),""),"")</f>
        <v/>
      </c>
      <c r="K449" s="302" t="str">
        <f aca="false">IFERROR(IF(K$347*K$348*K$349*K353&gt;0,AVERAGE(K$347, K$348, K$349, K$353),""),"")</f>
        <v/>
      </c>
      <c r="L449" s="302" t="str">
        <f aca="false">IFERROR(IF(L$347*L$348*L$349*L353&gt;0,AVERAGE(L$347, L$348, L$349, L$353),""),"")</f>
        <v/>
      </c>
      <c r="M449" s="302" t="str">
        <f aca="false">IFERROR(IF(M$347*M$348*M$349*M353&gt;0,AVERAGE(M$347, M$348, M$349, M$353),""),"")</f>
        <v/>
      </c>
      <c r="N449" s="302" t="str">
        <f aca="false">IFERROR(IF(N$347*N$348*N$349*N353&gt;0,AVERAGE(N$347, N$348, N$349, N$353),""),"")</f>
        <v/>
      </c>
      <c r="O449" s="282"/>
      <c r="P449" s="282"/>
      <c r="Q449" s="296"/>
      <c r="R449" s="293" t="s">
        <v>453</v>
      </c>
      <c r="S449" s="294" t="str">
        <f aca="false">IFERROR(IF(C$347*C$348*C$349*C353&gt;0,STDEV(C$347, C$348, C$349, C$353),"")/IF(C$347*C$348*C$349*C353&gt;0,AVERAGE(C$347, C$348, C$349, C$353),""),"")</f>
        <v/>
      </c>
      <c r="T449" s="294" t="str">
        <f aca="false">IFERROR(IF(D$347*D$348*D$349*D353&gt;0,STDEV(D$347, D$348, D$349, D$353),"")/IF(D$347*D$348*D$349*D353&gt;0,AVERAGE(D$347, D$348, D$349, D$353),""),"")</f>
        <v/>
      </c>
      <c r="U449" s="294" t="str">
        <f aca="false">IFERROR(IF(E$347*E$348*E$349*E353&gt;0,STDEV(E$347, E$348, E$349, E$353),"")/IF(E$347*E$348*E$349*E353&gt;0,AVERAGE(E$347, E$348, E$349, E$353),""),"")</f>
        <v/>
      </c>
      <c r="V449" s="294" t="str">
        <f aca="false">IFERROR(IF(F$347*F$348*F$349*F353&gt;0,STDEV(F$347, F$348, F$349, F$353),"")/IF(F$347*F$348*F$349*F353&gt;0,AVERAGE(F$347, F$348, F$349, F$353),""),"")</f>
        <v/>
      </c>
      <c r="W449" s="294" t="str">
        <f aca="false">IFERROR(IF(G$347*G$348*G$349*G353&gt;0,STDEV(G$347, G$348, G$349, G$353),"")/IF(G$347*G$348*G$349*G353&gt;0,AVERAGE(G$347, G$348, G$349, G$353),""),"")</f>
        <v/>
      </c>
      <c r="X449" s="294" t="str">
        <f aca="false">IFERROR(IF(H$347*H$348*H$349*H353&gt;0,STDEV(H$347, H$348, H$349, H$353),"")/IF(H$347*H$348*H$349*H353&gt;0,AVERAGE(H$347, H$348, H$349, H$353),""),"")</f>
        <v/>
      </c>
      <c r="Y449" s="294" t="str">
        <f aca="false">IFERROR(IF(I$347*I$348*I$349*I353&gt;0,STDEV(I$347, I$348, I$349, I$353),"")/IF(I$347*I$348*I$349*I353&gt;0,AVERAGE(I$347, I$348, I$349, I$353),""),"")</f>
        <v/>
      </c>
      <c r="Z449" s="294" t="str">
        <f aca="false">IFERROR(IF(J$347*J$348*J$349*J353&gt;0,STDEV(J$347, J$348, J$349, J$353),"")/IF(J$347*J$348*J$349*J353&gt;0,AVERAGE(J$347, J$348, J$349, J$353),""),"")</f>
        <v/>
      </c>
      <c r="AA449" s="294" t="str">
        <f aca="false">IFERROR(IF(K$347*K$348*K$349*K353&gt;0,STDEV(K$347, K$348, K$349, K$353),"")/IF(K$347*K$348*K$349*K353&gt;0,AVERAGE(K$347, K$348, K$349, K$353),""),"")</f>
        <v/>
      </c>
      <c r="AB449" s="294" t="str">
        <f aca="false">IFERROR(IF(L$347*L$348*L$349*L353&gt;0,STDEV(L$347, L$348, L$349, L$353),"")/IF(L$347*L$348*L$349*L353&gt;0,AVERAGE(L$347, L$348, L$349, L$353),""),"")</f>
        <v/>
      </c>
      <c r="AC449" s="294" t="str">
        <f aca="false">IFERROR(IF(M$347*M$348*M$349*M353&gt;0,STDEV(M$347, M$348, M$349, M$353),"")/IF(M$347*M$348*M$349*M353&gt;0,AVERAGE(M$347, M$348, M$349, M$353),""),"")</f>
        <v/>
      </c>
      <c r="AD449" s="294" t="str">
        <f aca="false">IFERROR(IF(N$347*N$348*N$349*N353&gt;0,STDEV(N$347, N$348, N$349, N$353),"")/IF(N$347*N$348*N$349*N353&gt;0,AVERAGE(N$347, N$348, N$349, N$353),""),"")</f>
        <v/>
      </c>
      <c r="AE449" s="44"/>
      <c r="AF449" s="266" t="s">
        <v>454</v>
      </c>
      <c r="AG449" s="287" t="str">
        <f aca="false">IFERROR(IF(C$347*C$348*C$349*C353&gt;0,STDEV(C$347, C$348, C$349, C$353)," ")/IF(C$347*C$348*C$349*C353&gt;0,SQRT(COUNT(C$347, C$348, C$349, C$353))," "),"")</f>
        <v/>
      </c>
      <c r="AH449" s="287" t="str">
        <f aca="false">IFERROR(IF(D$347*D$348*D$349*D353&gt;0,STDEV(D$347, D$348, D$349, D$353)," ")/IF(D$347*D$348*D$349*D353&gt;0,SQRT(COUNT(D$347, D$348, D$349, D$353))," "),"")</f>
        <v/>
      </c>
      <c r="AI449" s="287" t="str">
        <f aca="false">IFERROR(IF(E$347*E$348*E$349*E353&gt;0,STDEV(E$347, E$348, E$349, E$353)," ")/IF(E$347*E$348*E$349*E353&gt;0,SQRT(COUNT(E$347, E$348, E$349, E$353))," "),"")</f>
        <v/>
      </c>
      <c r="AJ449" s="287" t="str">
        <f aca="false">IFERROR(IF(F$347*F$348*F$349*F353&gt;0,STDEV(F$347, F$348, F$349, F$353)," ")/IF(F$347*F$348*F$349*F353&gt;0,SQRT(COUNT(F$347, F$348, F$349, F$353))," "),"")</f>
        <v/>
      </c>
      <c r="AK449" s="287" t="str">
        <f aca="false">IFERROR(IF(G$347*G$348*G$349*G353&gt;0,STDEV(G$347, G$348, G$349, G$353)," ")/IF(G$347*G$348*G$349*G353&gt;0,SQRT(COUNT(G$347, G$348, G$349, G$353))," "),"")</f>
        <v/>
      </c>
      <c r="AL449" s="287" t="str">
        <f aca="false">IFERROR(IF(H$347*H$348*H$349*H353&gt;0,STDEV(H$347, H$348, H$349, H$353)," ")/IF(H$347*H$348*H$349*H353&gt;0,SQRT(COUNT(H$347, H$348, H$349, H$353))," "),"")</f>
        <v/>
      </c>
      <c r="AM449" s="287" t="str">
        <f aca="false">IFERROR(IF(I$347*I$348*I$349*I353&gt;0,STDEV(I$347, I$348, I$349, I$353)," ")/IF(I$347*I$348*I$349*I353&gt;0,SQRT(COUNT(I$347, I$348, I$349, I$353))," "),"")</f>
        <v/>
      </c>
      <c r="AN449" s="287" t="str">
        <f aca="false">IFERROR(IF(J$347*J$348*J$349*J353&gt;0,STDEV(J$347, J$348, J$349, J$353)," ")/IF(J$347*J$348*J$349*J353&gt;0,SQRT(COUNT(J$347, J$348, J$349, J$353))," "),"")</f>
        <v/>
      </c>
      <c r="AO449" s="287" t="str">
        <f aca="false">IFERROR(IF(K$347*K$348*K$349*K353&gt;0,STDEV(K$347, K$348, K$349, K$353)," ")/IF(K$347*K$348*K$349*K353&gt;0,SQRT(COUNT(K$347, K$348, K$349, K$353))," "),"")</f>
        <v/>
      </c>
      <c r="AP449" s="287" t="str">
        <f aca="false">IFERROR(IF(L$347*L$348*L$349*L353&gt;0,STDEV(L$347, L$348, L$349, L$353)," ")/IF(L$347*L$348*L$349*L353&gt;0,SQRT(COUNT(L$347, L$348, L$349, L$353))," "),"")</f>
        <v/>
      </c>
      <c r="AQ449" s="287" t="str">
        <f aca="false">IFERROR(IF(M$347*M$348*M$349*M353&gt;0,STDEV(M$347, M$348, M$349, M$353)," ")/IF(M$347*M$348*M$349*M353&gt;0,SQRT(COUNT(M$347, M$348, M$349, M$353))," "),"")</f>
        <v/>
      </c>
      <c r="AR449" s="287" t="str">
        <f aca="false">IFERROR(IF(N$347*N$348*N$349*N353&gt;0,STDEV(N$347, N$348, N$349, N$353)," ")/IF(N$347*N$348*N$349*N353&gt;0,SQRT(COUNT(N$347, N$348, N$349, N$353))," "),"")</f>
        <v/>
      </c>
    </row>
    <row r="450" customFormat="false" ht="15.75" hidden="false" customHeight="false" outlineLevel="0" collapsed="false">
      <c r="A450" s="290" t="s">
        <v>509</v>
      </c>
      <c r="B450" s="281"/>
      <c r="C450" s="302" t="str">
        <f aca="false">IFERROR(IF(C$347*C$348*C$352*C$353&gt;0,AVERAGE(C$347, C$348, C$352, C$353),""),"")</f>
        <v/>
      </c>
      <c r="D450" s="302" t="str">
        <f aca="false">IFERROR(IF(D$347*D$348*D$352*D$353&gt;0,AVERAGE(D$347, D$348, D$352, D$353),""),"")</f>
        <v/>
      </c>
      <c r="E450" s="302" t="str">
        <f aca="false">IFERROR(IF(E$347*E$348*E$352*E$353&gt;0,AVERAGE(E$347, E$348, E$352, E$353),""),"")</f>
        <v/>
      </c>
      <c r="F450" s="302" t="str">
        <f aca="false">IFERROR(IF(F$347*F$348*F$352*F$353&gt;0,AVERAGE(F$347, F$348, F$352, F$353),""),"")</f>
        <v/>
      </c>
      <c r="G450" s="302" t="str">
        <f aca="false">IFERROR(IF(G$347*G$348*G$352*G$353&gt;0,AVERAGE(G$347, G$348, G$352, G$353),""),"")</f>
        <v/>
      </c>
      <c r="H450" s="302" t="str">
        <f aca="false">IFERROR(IF(H$347*H$348*H$352*H$353&gt;0,AVERAGE(H$347, H$348, H$352, H$353),""),"")</f>
        <v/>
      </c>
      <c r="I450" s="302" t="str">
        <f aca="false">IFERROR(IF(I$347*I$348*I$352*I$353&gt;0,AVERAGE(I$347, I$348, I$352, I$353),""),"")</f>
        <v/>
      </c>
      <c r="J450" s="302" t="str">
        <f aca="false">IFERROR(IF(J$347*J$348*J$352*J$353&gt;0,AVERAGE(J$347, J$348, J$352, J$353),""),"")</f>
        <v/>
      </c>
      <c r="K450" s="302" t="str">
        <f aca="false">IFERROR(IF(K$347*K$348*K$352*K$353&gt;0,AVERAGE(K$347, K$348, K$352, K$353),""),"")</f>
        <v/>
      </c>
      <c r="L450" s="302" t="str">
        <f aca="false">IFERROR(IF(L$347*L$348*L$352*L$353&gt;0,AVERAGE(L$347, L$348, L$352, L$353),""),"")</f>
        <v/>
      </c>
      <c r="M450" s="302" t="str">
        <f aca="false">IFERROR(IF(M$347*M$348*M$352*M$353&gt;0,AVERAGE(M$347, M$348, M$352, M$353),""),"")</f>
        <v/>
      </c>
      <c r="N450" s="302" t="str">
        <f aca="false">IFERROR(IF(N$347*N$348*N$352*N$353&gt;0,AVERAGE(N$347, N$348, N$352, N$353),""),"")</f>
        <v/>
      </c>
      <c r="O450" s="282"/>
      <c r="P450" s="282"/>
      <c r="Q450" s="296"/>
      <c r="R450" s="293" t="s">
        <v>510</v>
      </c>
      <c r="S450" s="294" t="str">
        <f aca="false">IFERROR(IF(C$347*C$348*C$352*C$353&gt;0,STDEV(C$347, C$348, C$352, C$353),"")/IF(C$347*C$348*C$352*C$353&gt;0,AVERAGE(C$347, C$348, C$352, C$353),""),"")</f>
        <v/>
      </c>
      <c r="T450" s="294" t="str">
        <f aca="false">IFERROR(IF(D$347*D$348*D$352*D$353&gt;0,STDEV(D$347, D$348, D$352, D$353),"")/IF(D$347*D$348*D$352*D$353&gt;0,AVERAGE(D$347, D$348, D$352, D$353),""),"")</f>
        <v/>
      </c>
      <c r="U450" s="294" t="str">
        <f aca="false">IFERROR(IF(E$347*E$348*E$352*E$353&gt;0,STDEV(E$347, E$348, E$352, E$353),"")/IF(E$347*E$348*E$352*E$353&gt;0,AVERAGE(E$347, E$348, E$352, E$353),""),"")</f>
        <v/>
      </c>
      <c r="V450" s="294" t="str">
        <f aca="false">IFERROR(IF(F$347*F$348*F$352*F$353&gt;0,STDEV(F$347, F$348, F$352, F$353),"")/IF(F$347*F$348*F$352*F$353&gt;0,AVERAGE(F$347, F$348, F$352, F$353),""),"")</f>
        <v/>
      </c>
      <c r="W450" s="294" t="str">
        <f aca="false">IFERROR(IF(G$347*G$348*G$352*G$353&gt;0,STDEV(G$347, G$348, G$352, G$353),"")/IF(G$347*G$348*G$352*G$353&gt;0,AVERAGE(G$347, G$348, G$352, G$353),""),"")</f>
        <v/>
      </c>
      <c r="X450" s="294" t="str">
        <f aca="false">IFERROR(IF(H$347*H$348*H$352*H$353&gt;0,STDEV(H$347, H$348, H$352, H$353),"")/IF(H$347*H$348*H$352*H$353&gt;0,AVERAGE(H$347, H$348, H$352, H$353),""),"")</f>
        <v/>
      </c>
      <c r="Y450" s="294" t="str">
        <f aca="false">IFERROR(IF(I$347*I$348*I$352*I$353&gt;0,STDEV(I$347, I$348, I$352, I$353),"")/IF(I$347*I$348*I$352*I$353&gt;0,AVERAGE(I$347, I$348, I$352, I$353),""),"")</f>
        <v/>
      </c>
      <c r="Z450" s="294" t="str">
        <f aca="false">IFERROR(IF(J$347*J$348*J$352*J$353&gt;0,STDEV(J$347, J$348, J$352, J$353),"")/IF(J$347*J$348*J$352*J$353&gt;0,AVERAGE(J$347, J$348, J$352, J$353),""),"")</f>
        <v/>
      </c>
      <c r="AA450" s="294" t="str">
        <f aca="false">IFERROR(IF(K$347*K$348*K$352*K$353&gt;0,STDEV(K$347, K$348, K$352, K$353),"")/IF(K$347*K$348*K$352*K$353&gt;0,AVERAGE(K$347, K$348, K$352, K$353),""),"")</f>
        <v/>
      </c>
      <c r="AB450" s="294" t="str">
        <f aca="false">IFERROR(IF(L$347*L$348*L$352*L$353&gt;0,STDEV(L$347, L$348, L$352, L$353),"")/IF(L$347*L$348*L$352*L$353&gt;0,AVERAGE(L$347, L$348, L$352, L$353),""),"")</f>
        <v/>
      </c>
      <c r="AC450" s="294" t="str">
        <f aca="false">IFERROR(IF(M$347*M$348*M$352*M$353&gt;0,STDEV(M$347, M$348, M$352, M$353),"")/IF(M$347*M$348*M$352*M$353&gt;0,AVERAGE(M$347, M$348, M$352, M$353),""),"")</f>
        <v/>
      </c>
      <c r="AD450" s="294" t="str">
        <f aca="false">IFERROR(IF(N$347*N$348*N$352*N$353&gt;0,STDEV(N$347, N$348, N$352, N$353),"")/IF(N$347*N$348*N$352*N$353&gt;0,AVERAGE(N$347, N$348, N$352, N$353),""),"")</f>
        <v/>
      </c>
      <c r="AE450" s="44"/>
      <c r="AF450" s="266" t="s">
        <v>511</v>
      </c>
      <c r="AG450" s="287" t="str">
        <f aca="false">IFERROR(IF(C$347*C$348*C$352*C$353&gt;0,STDEV(C$347, C$348, C$352, C$353)," ")/IF(C$347*C$348*C$352*C$353&gt;0,SQRT(COUNT(C$347, C$348, C$352, C$353))," "),"")</f>
        <v/>
      </c>
      <c r="AH450" s="287" t="str">
        <f aca="false">IFERROR(IF(D$347*D$348*D$352*D$353&gt;0,STDEV(D$347, D$348, D$352, D$353)," ")/IF(D$347*D$348*D$352*D$353&gt;0,SQRT(COUNT(D$347, D$348, D$352, D$353))," "),"")</f>
        <v/>
      </c>
      <c r="AI450" s="287" t="str">
        <f aca="false">IFERROR(IF(E$347*E$348*E$352*E$353&gt;0,STDEV(E$347, E$348, E$352, E$353)," ")/IF(E$347*E$348*E$352*E$353&gt;0,SQRT(COUNT(E$347, E$348, E$352, E$353))," "),"")</f>
        <v/>
      </c>
      <c r="AJ450" s="287" t="str">
        <f aca="false">IFERROR(IF(F$347*F$348*F$352*F$353&gt;0,STDEV(F$347, F$348, F$352, F$353)," ")/IF(F$347*F$348*F$352*F$353&gt;0,SQRT(COUNT(F$347, F$348, F$352, F$353))," "),"")</f>
        <v/>
      </c>
      <c r="AK450" s="287" t="str">
        <f aca="false">IFERROR(IF(G$347*G$348*G$352*G$353&gt;0,STDEV(G$347, G$348, G$352, G$353)," ")/IF(G$347*G$348*G$352*G$353&gt;0,SQRT(COUNT(G$347, G$348, G$352, G$353))," "),"")</f>
        <v/>
      </c>
      <c r="AL450" s="287" t="str">
        <f aca="false">IFERROR(IF(H$347*H$348*H$352*H$353&gt;0,STDEV(H$347, H$348, H$352, H$353)," ")/IF(H$347*H$348*H$352*H$353&gt;0,SQRT(COUNT(H$347, H$348, H$352, H$353))," "),"")</f>
        <v/>
      </c>
      <c r="AM450" s="287" t="str">
        <f aca="false">IFERROR(IF(I$347*I$348*I$352*I$353&gt;0,STDEV(I$347, I$348, I$352, I$353)," ")/IF(I$347*I$348*I$352*I$353&gt;0,SQRT(COUNT(I$347, I$348, I$352, I$353))," "),"")</f>
        <v/>
      </c>
      <c r="AN450" s="287" t="str">
        <f aca="false">IFERROR(IF(J$347*J$348*J$352*J$353&gt;0,STDEV(J$347, J$348, J$352, J$353)," ")/IF(J$347*J$348*J$352*J$353&gt;0,SQRT(COUNT(J$347, J$348, J$352, J$353))," "),"")</f>
        <v/>
      </c>
      <c r="AO450" s="287" t="str">
        <f aca="false">IFERROR(IF(K$347*K$348*K$352*K$353&gt;0,STDEV(K$347, K$348, K$352, K$353)," ")/IF(K$347*K$348*K$352*K$353&gt;0,SQRT(COUNT(K$347, K$348, K$352, K$353))," "),"")</f>
        <v/>
      </c>
      <c r="AP450" s="287" t="str">
        <f aca="false">IFERROR(IF(L$347*L$348*L$352*L$353&gt;0,STDEV(L$347, L$348, L$352, L$353)," ")/IF(L$347*L$348*L$352*L$353&gt;0,SQRT(COUNT(L$347, L$348, L$352, L$353))," "),"")</f>
        <v/>
      </c>
      <c r="AQ450" s="287" t="str">
        <f aca="false">IFERROR(IF(M$347*M$348*M$352*M$353&gt;0,STDEV(M$347, M$348, M$352, M$353)," ")/IF(M$347*M$348*M$352*M$353&gt;0,SQRT(COUNT(M$347, M$348, M$352, M$353))," "),"")</f>
        <v/>
      </c>
      <c r="AR450" s="287" t="str">
        <f aca="false">IFERROR(IF(N$347*N$348*N$352*N$353&gt;0,STDEV(N$347, N$348, N$352, N$353)," ")/IF(N$347*N$348*N$352*N$353&gt;0,SQRT(COUNT(N$347, N$348, N$352, N$353))," "),"")</f>
        <v/>
      </c>
    </row>
    <row r="451" customFormat="false" ht="15.75" hidden="false" customHeight="false" outlineLevel="0" collapsed="false">
      <c r="A451" s="290" t="s">
        <v>512</v>
      </c>
      <c r="B451" s="281"/>
      <c r="C451" s="302" t="str">
        <f aca="false">IFERROR(IF(C$347*C$349*C$352*C$353&gt;0,AVERAGE(C$347, C$349, C$352, C$353),""),"")</f>
        <v/>
      </c>
      <c r="D451" s="302" t="str">
        <f aca="false">IFERROR(IF(D$347*D$349*D$352*D$353&gt;0,AVERAGE(D$347, D$349, D$352, D$353),""),"")</f>
        <v/>
      </c>
      <c r="E451" s="302" t="str">
        <f aca="false">IFERROR(IF(E$347*E$349*E$352*E$353&gt;0,AVERAGE(E$347, E$349, E$352, E$353),""),"")</f>
        <v/>
      </c>
      <c r="F451" s="302" t="str">
        <f aca="false">IFERROR(IF(F$347*F$349*F$352*F$353&gt;0,AVERAGE(F$347, F$349, F$352, F$353),""),"")</f>
        <v/>
      </c>
      <c r="G451" s="302" t="str">
        <f aca="false">IFERROR(IF(G$347*G$349*G$352*G$353&gt;0,AVERAGE(G$347, G$349, G$352, G$353),""),"")</f>
        <v/>
      </c>
      <c r="H451" s="302" t="str">
        <f aca="false">IFERROR(IF(H$347*H$349*H$352*H$353&gt;0,AVERAGE(H$347, H$349, H$352, H$353),""),"")</f>
        <v/>
      </c>
      <c r="I451" s="302" t="str">
        <f aca="false">IFERROR(IF(I$347*I$349*I$352*I$353&gt;0,AVERAGE(I$347, I$349, I$352, I$353),""),"")</f>
        <v/>
      </c>
      <c r="J451" s="302" t="str">
        <f aca="false">IFERROR(IF(J$347*J$349*J$352*J$353&gt;0,AVERAGE(J$347, J$349, J$352, J$353),""),"")</f>
        <v/>
      </c>
      <c r="K451" s="302" t="str">
        <f aca="false">IFERROR(IF(K$347*K$349*K$352*K$353&gt;0,AVERAGE(K$347, K$349, K$352, K$353),""),"")</f>
        <v/>
      </c>
      <c r="L451" s="302" t="str">
        <f aca="false">IFERROR(IF(L$347*L$349*L$352*L$353&gt;0,AVERAGE(L$347, L$349, L$352, L$353),""),"")</f>
        <v/>
      </c>
      <c r="M451" s="302" t="str">
        <f aca="false">IFERROR(IF(M$347*M$349*M$352*M$353&gt;0,AVERAGE(M$347, M$349, M$352, M$353),""),"")</f>
        <v/>
      </c>
      <c r="N451" s="302" t="str">
        <f aca="false">IFERROR(IF(N$347*N$349*N$352*N$353&gt;0,AVERAGE(N$347, N$349, N$352, N$353),""),"")</f>
        <v/>
      </c>
      <c r="O451" s="282"/>
      <c r="P451" s="282"/>
      <c r="Q451" s="296"/>
      <c r="R451" s="293" t="s">
        <v>513</v>
      </c>
      <c r="S451" s="294" t="str">
        <f aca="false">IFERROR(IF(C$347*C$349*C$352*C$353&gt;0,STDEV(C$347, C$349, C$352, C$353),"")/IF(C$347*C$349*C$352*C$353&gt;0,AVERAGE(C$347, C$349, C$352, C$353),""),"")</f>
        <v/>
      </c>
      <c r="T451" s="294" t="str">
        <f aca="false">IFERROR(IF(D$347*D$349*D$352*D$353&gt;0,STDEV(D$347, D$349, D$352, D$353),"")/IF(D$347*D$349*D$352*D$353&gt;0,AVERAGE(D$347, D$349, D$352, D$353),""),"")</f>
        <v/>
      </c>
      <c r="U451" s="294" t="str">
        <f aca="false">IFERROR(IF(E$347*E$349*E$352*E$353&gt;0,STDEV(E$347, E$349, E$352, E$353),"")/IF(E$347*E$349*E$352*E$353&gt;0,AVERAGE(E$347, E$349, E$352, E$353),""),"")</f>
        <v/>
      </c>
      <c r="V451" s="294" t="str">
        <f aca="false">IFERROR(IF(F$347*F$349*F$352*F$353&gt;0,STDEV(F$347, F$349, F$352, F$353),"")/IF(F$347*F$349*F$352*F$353&gt;0,AVERAGE(F$347, F$349, F$352, F$353),""),"")</f>
        <v/>
      </c>
      <c r="W451" s="294" t="str">
        <f aca="false">IFERROR(IF(G$347*G$349*G$352*G$353&gt;0,STDEV(G$347, G$349, G$352, G$353),"")/IF(G$347*G$349*G$352*G$353&gt;0,AVERAGE(G$347, G$349, G$352, G$353),""),"")</f>
        <v/>
      </c>
      <c r="X451" s="294" t="str">
        <f aca="false">IFERROR(IF(H$347*H$349*H$352*H$353&gt;0,STDEV(H$347, H$349, H$352, H$353),"")/IF(H$347*H$349*H$352*H$353&gt;0,AVERAGE(H$347, H$349, H$352, H$353),""),"")</f>
        <v/>
      </c>
      <c r="Y451" s="294" t="str">
        <f aca="false">IFERROR(IF(I$347*I$349*I$352*I$353&gt;0,STDEV(I$347, I$349, I$352, I$353),"")/IF(I$347*I$349*I$352*I$353&gt;0,AVERAGE(I$347, I$349, I$352, I$353),""),"")</f>
        <v/>
      </c>
      <c r="Z451" s="294" t="str">
        <f aca="false">IFERROR(IF(J$347*J$349*J$352*J$353&gt;0,STDEV(J$347, J$349, J$352, J$353),"")/IF(J$347*J$349*J$352*J$353&gt;0,AVERAGE(J$347, J$349, J$352, J$353),""),"")</f>
        <v/>
      </c>
      <c r="AA451" s="294" t="str">
        <f aca="false">IFERROR(IF(K$347*K$349*K$352*K$353&gt;0,STDEV(K$347, K$349, K$352, K$353),"")/IF(K$347*K$349*K$352*K$353&gt;0,AVERAGE(K$347, K$349, K$352, K$353),""),"")</f>
        <v/>
      </c>
      <c r="AB451" s="294" t="str">
        <f aca="false">IFERROR(IF(L$347*L$349*L$352*L$353&gt;0,STDEV(L$347, L$349, L$352, L$353),"")/IF(L$347*L$349*L$352*L$353&gt;0,AVERAGE(L$347, L$349, L$352, L$353),""),"")</f>
        <v/>
      </c>
      <c r="AC451" s="294" t="str">
        <f aca="false">IFERROR(IF(M$347*M$349*M$352*M$353&gt;0,STDEV(M$347, M$349, M$352, M$353),"")/IF(M$347*M$349*M$352*M$353&gt;0,AVERAGE(M$347, M$349, M$352, M$353),""),"")</f>
        <v/>
      </c>
      <c r="AD451" s="294" t="str">
        <f aca="false">IFERROR(IF(N$347*N$349*N$352*N$353&gt;0,STDEV(N$347, N$349, N$352, N$353),"")/IF(N$347*N$349*N$352*N$353&gt;0,AVERAGE(N$347, N$349, N$352, N$353),""),"")</f>
        <v/>
      </c>
      <c r="AE451" s="44"/>
      <c r="AF451" s="266" t="s">
        <v>514</v>
      </c>
      <c r="AG451" s="287" t="str">
        <f aca="false">IFERROR(IF(C$347*C$349*C$352*C$353&gt;0,STDEV(C$347, C$349, C$352, C$353)," ")/IF(C$347*C$349*C$352*C$353&gt;0,SQRT(COUNT(C$347, C$349, C$352, C$353))," "),"")</f>
        <v/>
      </c>
      <c r="AH451" s="287" t="str">
        <f aca="false">IFERROR(IF(D$347*D$349*D$352*D$353&gt;0,STDEV(D$347, D$349, D$352, D$353)," ")/IF(D$347*D$349*D$352*D$353&gt;0,SQRT(COUNT(D$347, D$349, D$352, D$353))," "),"")</f>
        <v/>
      </c>
      <c r="AI451" s="287" t="str">
        <f aca="false">IFERROR(IF(E$347*E$349*E$352*E$353&gt;0,STDEV(E$347, E$349, E$352, E$353)," ")/IF(E$347*E$349*E$352*E$353&gt;0,SQRT(COUNT(E$347, E$349, E$352, E$353))," "),"")</f>
        <v/>
      </c>
      <c r="AJ451" s="287" t="str">
        <f aca="false">IFERROR(IF(F$347*F$349*F$352*F$353&gt;0,STDEV(F$347, F$349, F$352, F$353)," ")/IF(F$347*F$349*F$352*F$353&gt;0,SQRT(COUNT(F$347, F$349, F$352, F$353))," "),"")</f>
        <v/>
      </c>
      <c r="AK451" s="287" t="str">
        <f aca="false">IFERROR(IF(G$347*G$349*G$352*G$353&gt;0,STDEV(G$347, G$349, G$352, G$353)," ")/IF(G$347*G$349*G$352*G$353&gt;0,SQRT(COUNT(G$347, G$349, G$352, G$353))," "),"")</f>
        <v/>
      </c>
      <c r="AL451" s="287" t="str">
        <f aca="false">IFERROR(IF(H$347*H$349*H$352*H$353&gt;0,STDEV(H$347, H$349, H$352, H$353)," ")/IF(H$347*H$349*H$352*H$353&gt;0,SQRT(COUNT(H$347, H$349, H$352, H$353))," "),"")</f>
        <v/>
      </c>
      <c r="AM451" s="287" t="str">
        <f aca="false">IFERROR(IF(I$347*I$349*I$352*I$353&gt;0,STDEV(I$347, I$349, I$352, I$353)," ")/IF(I$347*I$349*I$352*I$353&gt;0,SQRT(COUNT(I$347, I$349, I$352, I$353))," "),"")</f>
        <v/>
      </c>
      <c r="AN451" s="287" t="str">
        <f aca="false">IFERROR(IF(J$347*J$349*J$352*J$353&gt;0,STDEV(J$347, J$349, J$352, J$353)," ")/IF(J$347*J$349*J$352*J$353&gt;0,SQRT(COUNT(J$347, J$349, J$352, J$353))," "),"")</f>
        <v/>
      </c>
      <c r="AO451" s="287" t="str">
        <f aca="false">IFERROR(IF(K$347*K$349*K$352*K$353&gt;0,STDEV(K$347, K$349, K$352, K$353)," ")/IF(K$347*K$349*K$352*K$353&gt;0,SQRT(COUNT(K$347, K$349, K$352, K$353))," "),"")</f>
        <v/>
      </c>
      <c r="AP451" s="287" t="str">
        <f aca="false">IFERROR(IF(L$347*L$349*L$352*L$353&gt;0,STDEV(L$347, L$349, L$352, L$353)," ")/IF(L$347*L$349*L$352*L$353&gt;0,SQRT(COUNT(L$347, L$349, L$352, L$353))," "),"")</f>
        <v/>
      </c>
      <c r="AQ451" s="287" t="str">
        <f aca="false">IFERROR(IF(M$347*M$349*M$352*M$353&gt;0,STDEV(M$347, M$349, M$352, M$353)," ")/IF(M$347*M$349*M$352*M$353&gt;0,SQRT(COUNT(M$347, M$349, M$352, M$353))," "),"")</f>
        <v/>
      </c>
      <c r="AR451" s="287" t="str">
        <f aca="false">IFERROR(IF(N$347*N$349*N$352*N$353&gt;0,STDEV(N$347, N$349, N$352, N$353)," ")/IF(N$347*N$349*N$352*N$353&gt;0,SQRT(COUNT(N$347, N$349, N$352, N$353))," "),"")</f>
        <v/>
      </c>
    </row>
    <row r="452" customFormat="false" ht="15.75" hidden="false" customHeight="false" outlineLevel="0" collapsed="false">
      <c r="A452" s="290" t="s">
        <v>515</v>
      </c>
      <c r="B452" s="281"/>
      <c r="C452" s="302" t="str">
        <f aca="false">IFERROR(IF(C$351*C$352*C$353*C347&gt;0,AVERAGE(C$351:C$353, C347),""),"")</f>
        <v/>
      </c>
      <c r="D452" s="302" t="str">
        <f aca="false">IFERROR(IF(D$351*D$352*D$353*D347&gt;0,AVERAGE(D$351:D$353, D347),""),"")</f>
        <v/>
      </c>
      <c r="E452" s="302" t="str">
        <f aca="false">IFERROR(IF(E$351*E$352*E$353*E347&gt;0,AVERAGE(E$351:E$353, E347),""),"")</f>
        <v/>
      </c>
      <c r="F452" s="302" t="str">
        <f aca="false">IFERROR(IF(F$351*F$352*F$353*F347&gt;0,AVERAGE(F$351:F$353, F347),""),"")</f>
        <v/>
      </c>
      <c r="G452" s="302" t="str">
        <f aca="false">IFERROR(IF(G$351*G$352*G$353*G347&gt;0,AVERAGE(G$351:G$353, G347),""),"")</f>
        <v/>
      </c>
      <c r="H452" s="302" t="str">
        <f aca="false">IFERROR(IF(H$351*H$352*H$353*H347&gt;0,AVERAGE(H$351:H$353, H347),""),"")</f>
        <v/>
      </c>
      <c r="I452" s="302" t="str">
        <f aca="false">IFERROR(IF(I$351*I$352*I$353*I347&gt;0,AVERAGE(I$351:I$353, I347),""),"")</f>
        <v/>
      </c>
      <c r="J452" s="302" t="str">
        <f aca="false">IFERROR(IF(J$351*J$352*J$353*J347&gt;0,AVERAGE(J$351:J$353, J347),""),"")</f>
        <v/>
      </c>
      <c r="K452" s="302" t="str">
        <f aca="false">IFERROR(IF(K$351*K$352*K$353*K347&gt;0,AVERAGE(K$351:K$353, K347),""),"")</f>
        <v/>
      </c>
      <c r="L452" s="302" t="str">
        <f aca="false">IFERROR(IF(L$351*L$352*L$353*L347&gt;0,AVERAGE(L$351:L$353, L347),""),"")</f>
        <v/>
      </c>
      <c r="M452" s="302" t="str">
        <f aca="false">IFERROR(IF(M$351*M$352*M$353*M347&gt;0,AVERAGE(M$351:M$353, M347),""),"")</f>
        <v/>
      </c>
      <c r="N452" s="302" t="str">
        <f aca="false">IFERROR(IF(N$351*N$352*N$353*N347&gt;0,AVERAGE(N$351:N$353, N347),""),"")</f>
        <v/>
      </c>
      <c r="O452" s="282"/>
      <c r="P452" s="282"/>
      <c r="Q452" s="296"/>
      <c r="R452" s="293" t="s">
        <v>516</v>
      </c>
      <c r="S452" s="294" t="str">
        <f aca="false">IFERROR(IF(C$351*C$352*C$353*C347&gt;0,STDEV(C$351:C$353, C347),"")/IF(C$351*C$352*C$353*C347&gt;0,AVERAGE(C$351:C$353, C347),""),"")</f>
        <v/>
      </c>
      <c r="T452" s="294" t="str">
        <f aca="false">IFERROR(IF(D$351*D$352*D$353*D347&gt;0,STDEV(D$351:D$353, D347),"")/IF(D$351*D$352*D$353*D347&gt;0,AVERAGE(D$351:D$353, D347),""),"")</f>
        <v/>
      </c>
      <c r="U452" s="294" t="str">
        <f aca="false">IFERROR(IF(E$351*E$352*E$353*E347&gt;0,STDEV(E$351:E$353, E347),"")/IF(E$351*E$352*E$353*E347&gt;0,AVERAGE(E$351:E$353, E347),""),"")</f>
        <v/>
      </c>
      <c r="V452" s="294" t="str">
        <f aca="false">IFERROR(IF(F$351*F$352*F$353*F347&gt;0,STDEV(F$351:F$353, F347),"")/IF(F$351*F$352*F$353*F347&gt;0,AVERAGE(F$351:F$353, F347),""),"")</f>
        <v/>
      </c>
      <c r="W452" s="294" t="str">
        <f aca="false">IFERROR(IF(G$351*G$352*G$353*G347&gt;0,STDEV(G$351:G$353, G347),"")/IF(G$351*G$352*G$353*G347&gt;0,AVERAGE(G$351:G$353, G347),""),"")</f>
        <v/>
      </c>
      <c r="X452" s="294" t="str">
        <f aca="false">IFERROR(IF(H$351*H$352*H$353*H347&gt;0,STDEV(H$351:H$353, H347),"")/IF(H$351*H$352*H$353*H347&gt;0,AVERAGE(H$351:H$353, H347),""),"")</f>
        <v/>
      </c>
      <c r="Y452" s="294" t="str">
        <f aca="false">IFERROR(IF(I$351*I$352*I$353*I347&gt;0,STDEV(I$351:I$353, I347),"")/IF(I$351*I$352*I$353*I347&gt;0,AVERAGE(I$351:I$353, I347),""),"")</f>
        <v/>
      </c>
      <c r="Z452" s="294" t="str">
        <f aca="false">IFERROR(IF(J$351*J$352*J$353*J347&gt;0,STDEV(J$351:J$353, J347),"")/IF(J$351*J$352*J$353*J347&gt;0,AVERAGE(J$351:J$353, J347),""),"")</f>
        <v/>
      </c>
      <c r="AA452" s="294" t="str">
        <f aca="false">IFERROR(IF(K$351*K$352*K$353*K347&gt;0,STDEV(K$351:K$353, K347),"")/IF(K$351*K$352*K$353*K347&gt;0,AVERAGE(K$351:K$353, K347),""),"")</f>
        <v/>
      </c>
      <c r="AB452" s="294" t="str">
        <f aca="false">IFERROR(IF(L$351*L$352*L$353*L347&gt;0,STDEV(L$351:L$353, L347),"")/IF(L$351*L$352*L$353*L347&gt;0,AVERAGE(L$351:L$353, L347),""),"")</f>
        <v/>
      </c>
      <c r="AC452" s="294" t="str">
        <f aca="false">IFERROR(IF(M$351*M$352*M$353*M347&gt;0,STDEV(M$351:M$353, M347),"")/IF(M$351*M$352*M$353*M347&gt;0,AVERAGE(M$351:M$353, M347),""),"")</f>
        <v/>
      </c>
      <c r="AD452" s="294" t="str">
        <f aca="false">IFERROR(IF(N$351*N$352*N$353*N347&gt;0,STDEV(N$351:N$353, N347),"")/IF(N$351*N$352*N$353*N347&gt;0,AVERAGE(N$351:N$353, N347),""),"")</f>
        <v/>
      </c>
      <c r="AE452" s="44"/>
      <c r="AF452" s="266" t="s">
        <v>517</v>
      </c>
      <c r="AG452" s="287" t="str">
        <f aca="false">IFERROR(IF(C$351*C$352*C$353*C347&gt;0,STDEV(C$351:C$353, C347)," ")/IF(C$351*C$352*C$353*C347&gt;0,SQRT(COUNT(C$351:C$353, C347))," "),"")</f>
        <v/>
      </c>
      <c r="AH452" s="287" t="str">
        <f aca="false">IFERROR(IF(D$351*D$352*D$353*D347&gt;0,STDEV(D$351:D$353, D347)," ")/IF(D$351*D$352*D$353*D347&gt;0,SQRT(COUNT(D$351:D$353, D347))," "),"")</f>
        <v/>
      </c>
      <c r="AI452" s="287" t="str">
        <f aca="false">IFERROR(IF(E$351*E$352*E$353*E347&gt;0,STDEV(E$351:E$353, E347)," ")/IF(E$351*E$352*E$353*E347&gt;0,SQRT(COUNT(E$351:E$353, E347))," "),"")</f>
        <v/>
      </c>
      <c r="AJ452" s="287" t="str">
        <f aca="false">IFERROR(IF(F$351*F$352*F$353*F347&gt;0,STDEV(F$351:F$353, F347)," ")/IF(F$351*F$352*F$353*F347&gt;0,SQRT(COUNT(F$351:F$353, F347))," "),"")</f>
        <v/>
      </c>
      <c r="AK452" s="287" t="str">
        <f aca="false">IFERROR(IF(G$351*G$352*G$353*G347&gt;0,STDEV(G$351:G$353, G347)," ")/IF(G$351*G$352*G$353*G347&gt;0,SQRT(COUNT(G$351:G$353, G347))," "),"")</f>
        <v/>
      </c>
      <c r="AL452" s="287" t="str">
        <f aca="false">IFERROR(IF(H$351*H$352*H$353*H347&gt;0,STDEV(H$351:H$353, H347)," ")/IF(H$351*H$352*H$353*H347&gt;0,SQRT(COUNT(H$351:H$353, H347))," "),"")</f>
        <v/>
      </c>
      <c r="AM452" s="287" t="str">
        <f aca="false">IFERROR(IF(I$351*I$352*I$353*I347&gt;0,STDEV(I$351:I$353, I347)," ")/IF(I$351*I$352*I$353*I347&gt;0,SQRT(COUNT(I$351:I$353, I347))," "),"")</f>
        <v/>
      </c>
      <c r="AN452" s="287" t="str">
        <f aca="false">IFERROR(IF(J$351*J$352*J$353*J347&gt;0,STDEV(J$351:J$353, J347)," ")/IF(J$351*J$352*J$353*J347&gt;0,SQRT(COUNT(J$351:J$353, J347))," "),"")</f>
        <v/>
      </c>
      <c r="AO452" s="287" t="str">
        <f aca="false">IFERROR(IF(K$351*K$352*K$353*K347&gt;0,STDEV(K$351:K$353, K347)," ")/IF(K$351*K$352*K$353*K347&gt;0,SQRT(COUNT(K$351:K$353, K347))," "),"")</f>
        <v/>
      </c>
      <c r="AP452" s="287" t="str">
        <f aca="false">IFERROR(IF(L$351*L$352*L$353*L347&gt;0,STDEV(L$351:L$353, L347)," ")/IF(L$351*L$352*L$353*L347&gt;0,SQRT(COUNT(L$351:L$353, L347))," "),"")</f>
        <v/>
      </c>
      <c r="AQ452" s="287" t="str">
        <f aca="false">IFERROR(IF(M$351*M$352*M$353*M347&gt;0,STDEV(M$351:M$353, M347)," ")/IF(M$351*M$352*M$353*M347&gt;0,SQRT(COUNT(M$351:M$353, M347))," "),"")</f>
        <v/>
      </c>
      <c r="AR452" s="287" t="str">
        <f aca="false">IFERROR(IF(N$351*N$352*N$353*N347&gt;0,STDEV(N$351:N$353, N347)," ")/IF(N$351*N$352*N$353*N347&gt;0,SQRT(COUNT(N$351:N$353, N347))," "),"")</f>
        <v/>
      </c>
    </row>
    <row r="453" customFormat="false" ht="15.75" hidden="false" customHeight="false" outlineLevel="0" collapsed="false">
      <c r="A453" s="290" t="s">
        <v>518</v>
      </c>
      <c r="B453" s="281"/>
      <c r="C453" s="302" t="str">
        <f aca="false">IFERROR(IF(C$351*C$352*C$353*C348&gt;0,AVERAGE(C$351:C$353, C348),""),"")</f>
        <v/>
      </c>
      <c r="D453" s="302" t="str">
        <f aca="false">IFERROR(IF(D$351*D$352*D$353*D348&gt;0,AVERAGE(D$351:D$353, D348),""),"")</f>
        <v/>
      </c>
      <c r="E453" s="302" t="str">
        <f aca="false">IFERROR(IF(E$351*E$352*E$353*E348&gt;0,AVERAGE(E$351:E$353, E348),""),"")</f>
        <v/>
      </c>
      <c r="F453" s="302" t="str">
        <f aca="false">IFERROR(IF(F$351*F$352*F$353*F348&gt;0,AVERAGE(F$351:F$353, F348),""),"")</f>
        <v/>
      </c>
      <c r="G453" s="302" t="str">
        <f aca="false">IFERROR(IF(G$351*G$352*G$353*G348&gt;0,AVERAGE(G$351:G$353, G348),""),"")</f>
        <v/>
      </c>
      <c r="H453" s="302" t="str">
        <f aca="false">IFERROR(IF(H$351*H$352*H$353*H348&gt;0,AVERAGE(H$351:H$353, H348),""),"")</f>
        <v/>
      </c>
      <c r="I453" s="302" t="str">
        <f aca="false">IFERROR(IF(I$351*I$352*I$353*I348&gt;0,AVERAGE(I$351:I$353, I348),""),"")</f>
        <v/>
      </c>
      <c r="J453" s="302" t="str">
        <f aca="false">IFERROR(IF(J$351*J$352*J$353*J348&gt;0,AVERAGE(J$351:J$353, J348),""),"")</f>
        <v/>
      </c>
      <c r="K453" s="302" t="str">
        <f aca="false">IFERROR(IF(K$351*K$352*K$353*K348&gt;0,AVERAGE(K$351:K$353, K348),""),"")</f>
        <v/>
      </c>
      <c r="L453" s="302" t="str">
        <f aca="false">IFERROR(IF(L$351*L$352*L$353*L348&gt;0,AVERAGE(L$351:L$353, L348),""),"")</f>
        <v/>
      </c>
      <c r="M453" s="302" t="str">
        <f aca="false">IFERROR(IF(M$351*M$352*M$353*M348&gt;0,AVERAGE(M$351:M$353, M348),""),"")</f>
        <v/>
      </c>
      <c r="N453" s="302" t="str">
        <f aca="false">IFERROR(IF(N$351*N$352*N$353*N348&gt;0,AVERAGE(N$351:N$353, N348),""),"")</f>
        <v/>
      </c>
      <c r="O453" s="282"/>
      <c r="P453" s="282"/>
      <c r="Q453" s="296"/>
      <c r="R453" s="293" t="s">
        <v>519</v>
      </c>
      <c r="S453" s="294" t="str">
        <f aca="false">IFERROR(IF(C$351*C$352*C$353*C348&gt;0,STDEV(C$351:C$353, C348),"")/IF(C$351*C$352*C$353*C348&gt;0,AVERAGE(C$351:C$353, C348),""),"")</f>
        <v/>
      </c>
      <c r="T453" s="294" t="str">
        <f aca="false">IFERROR(IF(D$351*D$352*D$353*D348&gt;0,STDEV(D$351:D$353, D348),"")/IF(D$351*D$352*D$353*D348&gt;0,AVERAGE(D$351:D$353, D348),""),"")</f>
        <v/>
      </c>
      <c r="U453" s="294" t="str">
        <f aca="false">IFERROR(IF(E$351*E$352*E$353*E348&gt;0,STDEV(E$351:E$353, E348),"")/IF(E$351*E$352*E$353*E348&gt;0,AVERAGE(E$351:E$353, E348),""),"")</f>
        <v/>
      </c>
      <c r="V453" s="294" t="str">
        <f aca="false">IFERROR(IF(F$351*F$352*F$353*F348&gt;0,STDEV(F$351:F$353, F348),"")/IF(F$351*F$352*F$353*F348&gt;0,AVERAGE(F$351:F$353, F348),""),"")</f>
        <v/>
      </c>
      <c r="W453" s="294" t="str">
        <f aca="false">IFERROR(IF(G$351*G$352*G$353*G348&gt;0,STDEV(G$351:G$353, G348),"")/IF(G$351*G$352*G$353*G348&gt;0,AVERAGE(G$351:G$353, G348),""),"")</f>
        <v/>
      </c>
      <c r="X453" s="294" t="str">
        <f aca="false">IFERROR(IF(H$351*H$352*H$353*H348&gt;0,STDEV(H$351:H$353, H348),"")/IF(H$351*H$352*H$353*H348&gt;0,AVERAGE(H$351:H$353, H348),""),"")</f>
        <v/>
      </c>
      <c r="Y453" s="294" t="str">
        <f aca="false">IFERROR(IF(I$351*I$352*I$353*I348&gt;0,STDEV(I$351:I$353, I348),"")/IF(I$351*I$352*I$353*I348&gt;0,AVERAGE(I$351:I$353, I348),""),"")</f>
        <v/>
      </c>
      <c r="Z453" s="294" t="str">
        <f aca="false">IFERROR(IF(J$351*J$352*J$353*J348&gt;0,STDEV(J$351:J$353, J348),"")/IF(J$351*J$352*J$353*J348&gt;0,AVERAGE(J$351:J$353, J348),""),"")</f>
        <v/>
      </c>
      <c r="AA453" s="294" t="str">
        <f aca="false">IFERROR(IF(K$351*K$352*K$353*K348&gt;0,STDEV(K$351:K$353, K348),"")/IF(K$351*K$352*K$353*K348&gt;0,AVERAGE(K$351:K$353, K348),""),"")</f>
        <v/>
      </c>
      <c r="AB453" s="294" t="str">
        <f aca="false">IFERROR(IF(L$351*L$352*L$353*L348&gt;0,STDEV(L$351:L$353, L348),"")/IF(L$351*L$352*L$353*L348&gt;0,AVERAGE(L$351:L$353, L348),""),"")</f>
        <v/>
      </c>
      <c r="AC453" s="294" t="str">
        <f aca="false">IFERROR(IF(M$351*M$352*M$353*M348&gt;0,STDEV(M$351:M$353, M348),"")/IF(M$351*M$352*M$353*M348&gt;0,AVERAGE(M$351:M$353, M348),""),"")</f>
        <v/>
      </c>
      <c r="AD453" s="294" t="str">
        <f aca="false">IFERROR(IF(N$351*N$352*N$353*N348&gt;0,STDEV(N$351:N$353, N348),"")/IF(N$351*N$352*N$353*N348&gt;0,AVERAGE(N$351:N$353, N348),""),"")</f>
        <v/>
      </c>
      <c r="AE453" s="44"/>
      <c r="AF453" s="266" t="s">
        <v>520</v>
      </c>
      <c r="AG453" s="287" t="str">
        <f aca="false">IFERROR(IF(C$351*C$352*C$353*C348&gt;0,STDEV(C$351:C$353, C348)," ")/IF(C$351*C$352*C$353*C348&gt;0,SQRT(COUNT(C$351:C$353, C348))," "),"")</f>
        <v/>
      </c>
      <c r="AH453" s="287" t="str">
        <f aca="false">IFERROR(IF(D$351*D$352*D$353*D348&gt;0,STDEV(D$351:D$353, D348)," ")/IF(D$351*D$352*D$353*D348&gt;0,SQRT(COUNT(D$351:D$353, D348))," "),"")</f>
        <v/>
      </c>
      <c r="AI453" s="287" t="str">
        <f aca="false">IFERROR(IF(E$351*E$352*E$353*E348&gt;0,STDEV(E$351:E$353, E348)," ")/IF(E$351*E$352*E$353*E348&gt;0,SQRT(COUNT(E$351:E$353, E348))," "),"")</f>
        <v/>
      </c>
      <c r="AJ453" s="287" t="str">
        <f aca="false">IFERROR(IF(F$351*F$352*F$353*F348&gt;0,STDEV(F$351:F$353, F348)," ")/IF(F$351*F$352*F$353*F348&gt;0,SQRT(COUNT(F$351:F$353, F348))," "),"")</f>
        <v/>
      </c>
      <c r="AK453" s="287" t="str">
        <f aca="false">IFERROR(IF(G$351*G$352*G$353*G348&gt;0,STDEV(G$351:G$353, G348)," ")/IF(G$351*G$352*G$353*G348&gt;0,SQRT(COUNT(G$351:G$353, G348))," "),"")</f>
        <v/>
      </c>
      <c r="AL453" s="287" t="str">
        <f aca="false">IFERROR(IF(H$351*H$352*H$353*H348&gt;0,STDEV(H$351:H$353, H348)," ")/IF(H$351*H$352*H$353*H348&gt;0,SQRT(COUNT(H$351:H$353, H348))," "),"")</f>
        <v/>
      </c>
      <c r="AM453" s="287" t="str">
        <f aca="false">IFERROR(IF(I$351*I$352*I$353*I348&gt;0,STDEV(I$351:I$353, I348)," ")/IF(I$351*I$352*I$353*I348&gt;0,SQRT(COUNT(I$351:I$353, I348))," "),"")</f>
        <v/>
      </c>
      <c r="AN453" s="287" t="str">
        <f aca="false">IFERROR(IF(J$351*J$352*J$353*J348&gt;0,STDEV(J$351:J$353, J348)," ")/IF(J$351*J$352*J$353*J348&gt;0,SQRT(COUNT(J$351:J$353, J348))," "),"")</f>
        <v/>
      </c>
      <c r="AO453" s="287" t="str">
        <f aca="false">IFERROR(IF(K$351*K$352*K$353*K348&gt;0,STDEV(K$351:K$353, K348)," ")/IF(K$351*K$352*K$353*K348&gt;0,SQRT(COUNT(K$351:K$353, K348))," "),"")</f>
        <v/>
      </c>
      <c r="AP453" s="287" t="str">
        <f aca="false">IFERROR(IF(L$351*L$352*L$353*L348&gt;0,STDEV(L$351:L$353, L348)," ")/IF(L$351*L$352*L$353*L348&gt;0,SQRT(COUNT(L$351:L$353, L348))," "),"")</f>
        <v/>
      </c>
      <c r="AQ453" s="287" t="str">
        <f aca="false">IFERROR(IF(M$351*M$352*M$353*M348&gt;0,STDEV(M$351:M$353, M348)," ")/IF(M$351*M$352*M$353*M348&gt;0,SQRT(COUNT(M$351:M$353, M348))," "),"")</f>
        <v/>
      </c>
      <c r="AR453" s="287" t="str">
        <f aca="false">IFERROR(IF(N$351*N$352*N$353*N348&gt;0,STDEV(N$351:N$353, N348)," ")/IF(N$351*N$352*N$353*N348&gt;0,SQRT(COUNT(N$351:N$353, N348))," "),"")</f>
        <v/>
      </c>
    </row>
    <row r="454" customFormat="false" ht="15.75" hidden="false" customHeight="false" outlineLevel="0" collapsed="false">
      <c r="A454" s="290" t="s">
        <v>521</v>
      </c>
      <c r="B454" s="281"/>
      <c r="C454" s="302" t="str">
        <f aca="false">IFERROR(IF(C$351*C$352*C$353*C349&gt;0,AVERAGE(C$351:C$353, C349),""),"")</f>
        <v/>
      </c>
      <c r="D454" s="302" t="str">
        <f aca="false">IFERROR(IF(D$351*D$352*D$353*D349&gt;0,AVERAGE(D$351:D$353, D349),""),"")</f>
        <v/>
      </c>
      <c r="E454" s="302" t="str">
        <f aca="false">IFERROR(IF(E$351*E$352*E$353*E349&gt;0,AVERAGE(E$351:E$353, E349),""),"")</f>
        <v/>
      </c>
      <c r="F454" s="302" t="str">
        <f aca="false">IFERROR(IF(F$351*F$352*F$353*F349&gt;0,AVERAGE(F$351:F$353, F349),""),"")</f>
        <v/>
      </c>
      <c r="G454" s="302" t="str">
        <f aca="false">IFERROR(IF(G$351*G$352*G$353*G349&gt;0,AVERAGE(G$351:G$353, G349),""),"")</f>
        <v/>
      </c>
      <c r="H454" s="302" t="str">
        <f aca="false">IFERROR(IF(H$351*H$352*H$353*H349&gt;0,AVERAGE(H$351:H$353, H349),""),"")</f>
        <v/>
      </c>
      <c r="I454" s="302" t="str">
        <f aca="false">IFERROR(IF(I$351*I$352*I$353*I349&gt;0,AVERAGE(I$351:I$353, I349),""),"")</f>
        <v/>
      </c>
      <c r="J454" s="302" t="str">
        <f aca="false">IFERROR(IF(J$351*J$352*J$353*J349&gt;0,AVERAGE(J$351:J$353, J349),""),"")</f>
        <v/>
      </c>
      <c r="K454" s="302" t="str">
        <f aca="false">IFERROR(IF(K$351*K$352*K$353*K349&gt;0,AVERAGE(K$351:K$353, K349),""),"")</f>
        <v/>
      </c>
      <c r="L454" s="302" t="str">
        <f aca="false">IFERROR(IF(L$351*L$352*L$353*L349&gt;0,AVERAGE(L$351:L$353, L349),""),"")</f>
        <v/>
      </c>
      <c r="M454" s="302" t="str">
        <f aca="false">IFERROR(IF(M$351*M$352*M$353*M349&gt;0,AVERAGE(M$351:M$353, M349),""),"")</f>
        <v/>
      </c>
      <c r="N454" s="302" t="str">
        <f aca="false">IFERROR(IF(N$351*N$352*N$353*N349&gt;0,AVERAGE(N$351:N$353, N349),""),"")</f>
        <v/>
      </c>
      <c r="O454" s="282"/>
      <c r="P454" s="282"/>
      <c r="Q454" s="296"/>
      <c r="R454" s="293" t="s">
        <v>522</v>
      </c>
      <c r="S454" s="294" t="str">
        <f aca="false">IFERROR(IF(C$351*C$352*C$353*C349&gt;0,STDEV(C$351:C$353, C349),"")/IF(C$351*C$352*C$353*C349&gt;0,AVERAGE(C$351:C$353, C349),""),"")</f>
        <v/>
      </c>
      <c r="T454" s="294" t="str">
        <f aca="false">IFERROR(IF(D$351*D$352*D$353*D349&gt;0,STDEV(D$351:D$353, D349),"")/IF(D$351*D$352*D$353*D349&gt;0,AVERAGE(D$351:D$353, D349),""),"")</f>
        <v/>
      </c>
      <c r="U454" s="294" t="str">
        <f aca="false">IFERROR(IF(E$351*E$352*E$353*E349&gt;0,STDEV(E$351:E$353, E349),"")/IF(E$351*E$352*E$353*E349&gt;0,AVERAGE(E$351:E$353, E349),""),"")</f>
        <v/>
      </c>
      <c r="V454" s="294" t="str">
        <f aca="false">IFERROR(IF(F$351*F$352*F$353*F349&gt;0,STDEV(F$351:F$353, F349),"")/IF(F$351*F$352*F$353*F349&gt;0,AVERAGE(F$351:F$353, F349),""),"")</f>
        <v/>
      </c>
      <c r="W454" s="294" t="str">
        <f aca="false">IFERROR(IF(G$351*G$352*G$353*G349&gt;0,STDEV(G$351:G$353, G349),"")/IF(G$351*G$352*G$353*G349&gt;0,AVERAGE(G$351:G$353, G349),""),"")</f>
        <v/>
      </c>
      <c r="X454" s="294" t="str">
        <f aca="false">IFERROR(IF(H$351*H$352*H$353*H349&gt;0,STDEV(H$351:H$353, H349),"")/IF(H$351*H$352*H$353*H349&gt;0,AVERAGE(H$351:H$353, H349),""),"")</f>
        <v/>
      </c>
      <c r="Y454" s="294" t="str">
        <f aca="false">IFERROR(IF(I$351*I$352*I$353*I349&gt;0,STDEV(I$351:I$353, I349),"")/IF(I$351*I$352*I$353*I349&gt;0,AVERAGE(I$351:I$353, I349),""),"")</f>
        <v/>
      </c>
      <c r="Z454" s="294" t="str">
        <f aca="false">IFERROR(IF(J$351*J$352*J$353*J349&gt;0,STDEV(J$351:J$353, J349),"")/IF(J$351*J$352*J$353*J349&gt;0,AVERAGE(J$351:J$353, J349),""),"")</f>
        <v/>
      </c>
      <c r="AA454" s="294" t="str">
        <f aca="false">IFERROR(IF(K$351*K$352*K$353*K349&gt;0,STDEV(K$351:K$353, K349),"")/IF(K$351*K$352*K$353*K349&gt;0,AVERAGE(K$351:K$353, K349),""),"")</f>
        <v/>
      </c>
      <c r="AB454" s="294" t="str">
        <f aca="false">IFERROR(IF(L$351*L$352*L$353*L349&gt;0,STDEV(L$351:L$353, L349),"")/IF(L$351*L$352*L$353*L349&gt;0,AVERAGE(L$351:L$353, L349),""),"")</f>
        <v/>
      </c>
      <c r="AC454" s="294" t="str">
        <f aca="false">IFERROR(IF(M$351*M$352*M$353*M349&gt;0,STDEV(M$351:M$353, M349),"")/IF(M$351*M$352*M$353*M349&gt;0,AVERAGE(M$351:M$353, M349),""),"")</f>
        <v/>
      </c>
      <c r="AD454" s="294" t="str">
        <f aca="false">IFERROR(IF(N$351*N$352*N$353*N349&gt;0,STDEV(N$351:N$353, N349),"")/IF(N$351*N$352*N$353*N349&gt;0,AVERAGE(N$351:N$353, N349),""),"")</f>
        <v/>
      </c>
      <c r="AE454" s="44"/>
      <c r="AF454" s="266" t="s">
        <v>523</v>
      </c>
      <c r="AG454" s="287" t="str">
        <f aca="false">IFERROR(IF(C$351*C$352*C$353*C349&gt;0,STDEV(C$351:C$353, C349)," ")/IF(C$351*C$352*C$353*C349&gt;0,SQRT(COUNT(C$351:C$353, C349))," "),"")</f>
        <v/>
      </c>
      <c r="AH454" s="287" t="str">
        <f aca="false">IFERROR(IF(D$351*D$352*D$353*D349&gt;0,STDEV(D$351:D$353, D349)," ")/IF(D$351*D$352*D$353*D349&gt;0,SQRT(COUNT(D$351:D$353, D349))," "),"")</f>
        <v/>
      </c>
      <c r="AI454" s="287" t="str">
        <f aca="false">IFERROR(IF(E$351*E$352*E$353*E349&gt;0,STDEV(E$351:E$353, E349)," ")/IF(E$351*E$352*E$353*E349&gt;0,SQRT(COUNT(E$351:E$353, E349))," "),"")</f>
        <v/>
      </c>
      <c r="AJ454" s="287" t="str">
        <f aca="false">IFERROR(IF(F$351*F$352*F$353*F349&gt;0,STDEV(F$351:F$353, F349)," ")/IF(F$351*F$352*F$353*F349&gt;0,SQRT(COUNT(F$351:F$353, F349))," "),"")</f>
        <v/>
      </c>
      <c r="AK454" s="287" t="str">
        <f aca="false">IFERROR(IF(G$351*G$352*G$353*G349&gt;0,STDEV(G$351:G$353, G349)," ")/IF(G$351*G$352*G$353*G349&gt;0,SQRT(COUNT(G$351:G$353, G349))," "),"")</f>
        <v/>
      </c>
      <c r="AL454" s="287" t="str">
        <f aca="false">IFERROR(IF(H$351*H$352*H$353*H349&gt;0,STDEV(H$351:H$353, H349)," ")/IF(H$351*H$352*H$353*H349&gt;0,SQRT(COUNT(H$351:H$353, H349))," "),"")</f>
        <v/>
      </c>
      <c r="AM454" s="287" t="str">
        <f aca="false">IFERROR(IF(I$351*I$352*I$353*I349&gt;0,STDEV(I$351:I$353, I349)," ")/IF(I$351*I$352*I$353*I349&gt;0,SQRT(COUNT(I$351:I$353, I349))," "),"")</f>
        <v/>
      </c>
      <c r="AN454" s="287" t="str">
        <f aca="false">IFERROR(IF(J$351*J$352*J$353*J349&gt;0,STDEV(J$351:J$353, J349)," ")/IF(J$351*J$352*J$353*J349&gt;0,SQRT(COUNT(J$351:J$353, J349))," "),"")</f>
        <v/>
      </c>
      <c r="AO454" s="287" t="str">
        <f aca="false">IFERROR(IF(K$351*K$352*K$353*K349&gt;0,STDEV(K$351:K$353, K349)," ")/IF(K$351*K$352*K$353*K349&gt;0,SQRT(COUNT(K$351:K$353, K349))," "),"")</f>
        <v/>
      </c>
      <c r="AP454" s="287" t="str">
        <f aca="false">IFERROR(IF(L$351*L$352*L$353*L349&gt;0,STDEV(L$351:L$353, L349)," ")/IF(L$351*L$352*L$353*L349&gt;0,SQRT(COUNT(L$351:L$353, L349))," "),"")</f>
        <v/>
      </c>
      <c r="AQ454" s="287" t="str">
        <f aca="false">IFERROR(IF(M$351*M$352*M$353*M349&gt;0,STDEV(M$351:M$353, M349)," ")/IF(M$351*M$352*M$353*M349&gt;0,SQRT(COUNT(M$351:M$353, M349))," "),"")</f>
        <v/>
      </c>
      <c r="AR454" s="287" t="str">
        <f aca="false">IFERROR(IF(N$351*N$352*N$353*N349&gt;0,STDEV(N$351:N$353, N349)," ")/IF(N$351*N$352*N$353*N349&gt;0,SQRT(COUNT(N$351:N$353, N349))," "),"")</f>
        <v/>
      </c>
    </row>
    <row r="455" customFormat="false" ht="15.75" hidden="false" customHeight="false" outlineLevel="0" collapsed="false">
      <c r="A455" s="290" t="s">
        <v>632</v>
      </c>
      <c r="B455" s="281"/>
      <c r="C455" s="302" t="str">
        <f aca="false">IFERROR(IF(C$347*C$349*C$351*C$352&gt;0,AVERAGE(C$347, C$349, C$351, C$352),""),"")</f>
        <v/>
      </c>
      <c r="D455" s="302" t="str">
        <f aca="false">IFERROR(IF(D$347*D$349*D$351*D$352&gt;0,AVERAGE(D$347, D$349, D$351, D$352),""),"")</f>
        <v/>
      </c>
      <c r="E455" s="302" t="str">
        <f aca="false">IFERROR(IF(E$347*E$349*E$351*E$352&gt;0,AVERAGE(E$347, E$349, E$351, E$352),""),"")</f>
        <v/>
      </c>
      <c r="F455" s="302" t="str">
        <f aca="false">IFERROR(IF(F$347*F$349*F$351*F$352&gt;0,AVERAGE(F$347, F$349, F$351, F$352),""),"")</f>
        <v/>
      </c>
      <c r="G455" s="302" t="str">
        <f aca="false">IFERROR(IF(G$347*G$349*G$351*G$352&gt;0,AVERAGE(G$347, G$349, G$351, G$352),""),"")</f>
        <v/>
      </c>
      <c r="H455" s="302" t="str">
        <f aca="false">IFERROR(IF(H$347*H$349*H$351*H$352&gt;0,AVERAGE(H$347, H$349, H$351, H$352),""),"")</f>
        <v/>
      </c>
      <c r="I455" s="302" t="str">
        <f aca="false">IFERROR(IF(I$347*I$349*I$351*I$352&gt;0,AVERAGE(I$347, I$349, I$351, I$352),""),"")</f>
        <v/>
      </c>
      <c r="J455" s="302" t="str">
        <f aca="false">IFERROR(IF(J$347*J$349*J$351*J$352&gt;0,AVERAGE(J$347, J$349, J$351, J$352),""),"")</f>
        <v/>
      </c>
      <c r="K455" s="302" t="str">
        <f aca="false">IFERROR(IF(K$347*K$349*K$351*K$352&gt;0,AVERAGE(K$347, K$349, K$351, K$352),""),"")</f>
        <v/>
      </c>
      <c r="L455" s="302" t="str">
        <f aca="false">IFERROR(IF(L$347*L$349*L$351*L$352&gt;0,AVERAGE(L$347, L$349, L$351, L$352),""),"")</f>
        <v/>
      </c>
      <c r="M455" s="302" t="str">
        <f aca="false">IFERROR(IF(M$347*M$349*M$351*M$352&gt;0,AVERAGE(M$347, M$349, M$351, M$352),""),"")</f>
        <v/>
      </c>
      <c r="N455" s="302" t="str">
        <f aca="false">IFERROR(IF(N$347*N$349*N$351*N$352&gt;0,AVERAGE(N$347, N$349, N$351, N$352),""),"")</f>
        <v/>
      </c>
      <c r="O455" s="282"/>
      <c r="P455" s="282"/>
      <c r="Q455" s="296"/>
      <c r="R455" s="293" t="s">
        <v>525</v>
      </c>
      <c r="S455" s="294" t="str">
        <f aca="false">IFERROR(IF(C$347*C$349*C$351*C$352&gt;0,STDEV(C$347, C$349, C$351, C$352),"")/IF(C$347*C$349*C$351*C$352&gt;0,AVERAGE(C$347, C$349, C$351, C$352),""),"")</f>
        <v/>
      </c>
      <c r="T455" s="294" t="str">
        <f aca="false">IFERROR(IF(D$347*D$349*D$351*D$352&gt;0,STDEV(D$347, D$349, D$351, D$352),"")/IF(D$347*D$349*D$351*D$352&gt;0,AVERAGE(D$347, D$349, D$351, D$352),""),"")</f>
        <v/>
      </c>
      <c r="U455" s="294" t="str">
        <f aca="false">IFERROR(IF(E$347*E$349*E$351*E$352&gt;0,STDEV(E$347, E$349, E$351, E$352),"")/IF(E$347*E$349*E$351*E$352&gt;0,AVERAGE(E$347, E$349, E$351, E$352),""),"")</f>
        <v/>
      </c>
      <c r="V455" s="294" t="str">
        <f aca="false">IFERROR(IF(F$347*F$349*F$351*F$352&gt;0,STDEV(F$347, F$349, F$351, F$352),"")/IF(F$347*F$349*F$351*F$352&gt;0,AVERAGE(F$347, F$349, F$351, F$352),""),"")</f>
        <v/>
      </c>
      <c r="W455" s="294" t="str">
        <f aca="false">IFERROR(IF(G$347*G$349*G$351*G$352&gt;0,STDEV(G$347, G$349, G$351, G$352),"")/IF(G$347*G$349*G$351*G$352&gt;0,AVERAGE(G$347, G$349, G$351, G$352),""),"")</f>
        <v/>
      </c>
      <c r="X455" s="294" t="str">
        <f aca="false">IFERROR(IF(H$347*H$349*H$351*H$352&gt;0,STDEV(H$347, H$349, H$351, H$352),"")/IF(H$347*H$349*H$351*H$352&gt;0,AVERAGE(H$347, H$349, H$351, H$352),""),"")</f>
        <v/>
      </c>
      <c r="Y455" s="294" t="str">
        <f aca="false">IFERROR(IF(I$347*I$349*I$351*I$352&gt;0,STDEV(I$347, I$349, I$351, I$352),"")/IF(I$347*I$349*I$351*I$352&gt;0,AVERAGE(I$347, I$349, I$351, I$352),""),"")</f>
        <v/>
      </c>
      <c r="Z455" s="294" t="str">
        <f aca="false">IFERROR(IF(J$347*J$349*J$351*J$352&gt;0,STDEV(J$347, J$349, J$351, J$352),"")/IF(J$347*J$349*J$351*J$352&gt;0,AVERAGE(J$347, J$349, J$351, J$352),""),"")</f>
        <v/>
      </c>
      <c r="AA455" s="294" t="str">
        <f aca="false">IFERROR(IF(K$347*K$349*K$351*K$352&gt;0,STDEV(K$347, K$349, K$351, K$352),"")/IF(K$347*K$349*K$351*K$352&gt;0,AVERAGE(K$347, K$349, K$351, K$352),""),"")</f>
        <v/>
      </c>
      <c r="AB455" s="294" t="str">
        <f aca="false">IFERROR(IF(L$347*L$349*L$351*L$352&gt;0,STDEV(L$347, L$349, L$351, L$352),"")/IF(L$347*L$349*L$351*L$352&gt;0,AVERAGE(L$347, L$349, L$351, L$352),""),"")</f>
        <v/>
      </c>
      <c r="AC455" s="294" t="str">
        <f aca="false">IFERROR(IF(M$347*M$349*M$351*M$352&gt;0,STDEV(M$347, M$349, M$351, M$352),"")/IF(M$347*M$349*M$351*M$352&gt;0,AVERAGE(M$347, M$349, M$351, M$352),""),"")</f>
        <v/>
      </c>
      <c r="AD455" s="294" t="str">
        <f aca="false">IFERROR(IF(N$347*N$349*N$351*N$352&gt;0,STDEV(N$347, N$349, N$351, N$352),"")/IF(N$347*N$349*N$351*N$352&gt;0,AVERAGE(N$347, N$349, N$351, N$352),""),"")</f>
        <v/>
      </c>
      <c r="AE455" s="44"/>
      <c r="AF455" s="266" t="s">
        <v>526</v>
      </c>
      <c r="AG455" s="287" t="str">
        <f aca="false">IFERROR(IF(C$347*C$349*C$351*C$352&gt;0,STDEV(C$347, C$349, C$351, C$352)," ")/IF(C$347*C$349*C$351*C$352&gt;0,SQRT(COUNT(C$347, C$349, C$351, C$352))," "),"")</f>
        <v/>
      </c>
      <c r="AH455" s="287" t="str">
        <f aca="false">IFERROR(IF(D$347*D$349*D$351*D$352&gt;0,STDEV(D$347, D$349, D$351, D$352)," ")/IF(D$347*D$349*D$351*D$352&gt;0,SQRT(COUNT(D$347, D$349, D$351, D$352))," "),"")</f>
        <v/>
      </c>
      <c r="AI455" s="287" t="str">
        <f aca="false">IFERROR(IF(E$347*E$349*E$351*E$352&gt;0,STDEV(E$347, E$349, E$351, E$352)," ")/IF(E$347*E$349*E$351*E$352&gt;0,SQRT(COUNT(E$347, E$349, E$351, E$352))," "),"")</f>
        <v/>
      </c>
      <c r="AJ455" s="287" t="str">
        <f aca="false">IFERROR(IF(F$347*F$349*F$351*F$352&gt;0,STDEV(F$347, F$349, F$351, F$352)," ")/IF(F$347*F$349*F$351*F$352&gt;0,SQRT(COUNT(F$347, F$349, F$351, F$352))," "),"")</f>
        <v/>
      </c>
      <c r="AK455" s="287" t="str">
        <f aca="false">IFERROR(IF(G$347*G$349*G$351*G$352&gt;0,STDEV(G$347, G$349, G$351, G$352)," ")/IF(G$347*G$349*G$351*G$352&gt;0,SQRT(COUNT(G$347, G$349, G$351, G$352))," "),"")</f>
        <v/>
      </c>
      <c r="AL455" s="287" t="str">
        <f aca="false">IFERROR(IF(H$347*H$349*H$351*H$352&gt;0,STDEV(H$347, H$349, H$351, H$352)," ")/IF(H$347*H$349*H$351*H$352&gt;0,SQRT(COUNT(H$347, H$349, H$351, H$352))," "),"")</f>
        <v/>
      </c>
      <c r="AM455" s="287" t="str">
        <f aca="false">IFERROR(IF(I$347*I$349*I$351*I$352&gt;0,STDEV(I$347, I$349, I$351, I$352)," ")/IF(I$347*I$349*I$351*I$352&gt;0,SQRT(COUNT(I$347, I$349, I$351, I$352))," "),"")</f>
        <v/>
      </c>
      <c r="AN455" s="287" t="str">
        <f aca="false">IFERROR(IF(J$347*J$349*J$351*J$352&gt;0,STDEV(J$347, J$349, J$351, J$352)," ")/IF(J$347*J$349*J$351*J$352&gt;0,SQRT(COUNT(J$347, J$349, J$351, J$352))," "),"")</f>
        <v/>
      </c>
      <c r="AO455" s="287" t="str">
        <f aca="false">IFERROR(IF(K$347*K$349*K$351*K$352&gt;0,STDEV(K$347, K$349, K$351, K$352)," ")/IF(K$347*K$349*K$351*K$352&gt;0,SQRT(COUNT(K$347, K$349, K$351, K$352))," "),"")</f>
        <v/>
      </c>
      <c r="AP455" s="287" t="str">
        <f aca="false">IFERROR(IF(L$347*L$349*L$351*L$352&gt;0,STDEV(L$347, L$349, L$351, L$352)," ")/IF(L$347*L$349*L$351*L$352&gt;0,SQRT(COUNT(L$347, L$349, L$351, L$352))," "),"")</f>
        <v/>
      </c>
      <c r="AQ455" s="287" t="str">
        <f aca="false">IFERROR(IF(M$347*M$349*M$351*M$352&gt;0,STDEV(M$347, M$349, M$351, M$352)," ")/IF(M$347*M$349*M$351*M$352&gt;0,SQRT(COUNT(M$347, M$349, M$351, M$352))," "),"")</f>
        <v/>
      </c>
      <c r="AR455" s="287" t="str">
        <f aca="false">IFERROR(IF(N$347*N$349*N$351*N$352&gt;0,STDEV(N$347, N$349, N$351, N$352)," ")/IF(N$347*N$349*N$351*N$352&gt;0,SQRT(COUNT(N$347, N$349, N$351, N$352))," "),"")</f>
        <v/>
      </c>
    </row>
    <row r="456" customFormat="false" ht="15.75" hidden="false" customHeight="false" outlineLevel="0" collapsed="false">
      <c r="A456" s="290" t="s">
        <v>633</v>
      </c>
      <c r="B456" s="281"/>
      <c r="C456" s="302" t="str">
        <f aca="false">IFERROR(IF(C$347*C$349*C$351*C$353&gt;0,AVERAGE(C$351:C$353, C$353),""),"")</f>
        <v/>
      </c>
      <c r="D456" s="302" t="str">
        <f aca="false">IFERROR(IF(D$347*D$349*D$351*D$353&gt;0,AVERAGE(D$351:D$353, D$353),""),"")</f>
        <v/>
      </c>
      <c r="E456" s="302" t="str">
        <f aca="false">IFERROR(IF(E$347*E$349*E$351*E$353&gt;0,AVERAGE(E$351:E$353, E$353),""),"")</f>
        <v/>
      </c>
      <c r="F456" s="302" t="str">
        <f aca="false">IFERROR(IF(F$347*F$349*F$351*F$353&gt;0,AVERAGE(F$351:F$353, F$353),""),"")</f>
        <v/>
      </c>
      <c r="G456" s="302" t="str">
        <f aca="false">IFERROR(IF(G$347*G$349*G$351*G$353&gt;0,AVERAGE(G$351:G$353, G$353),""),"")</f>
        <v/>
      </c>
      <c r="H456" s="302" t="str">
        <f aca="false">IFERROR(IF(H$347*H$349*H$351*H$353&gt;0,AVERAGE(H$351:H$353, H$353),""),"")</f>
        <v/>
      </c>
      <c r="I456" s="302" t="str">
        <f aca="false">IFERROR(IF(I$347*I$349*I$351*I$353&gt;0,AVERAGE(I$351:I$353, I$353),""),"")</f>
        <v/>
      </c>
      <c r="J456" s="302" t="str">
        <f aca="false">IFERROR(IF(J$347*J$349*J$351*J$353&gt;0,AVERAGE(J$351:J$353, J$353),""),"")</f>
        <v/>
      </c>
      <c r="K456" s="302" t="str">
        <f aca="false">IFERROR(IF(K$347*K$349*K$351*K$353&gt;0,AVERAGE(K$351:K$353, K$353),""),"")</f>
        <v/>
      </c>
      <c r="L456" s="302" t="str">
        <f aca="false">IFERROR(IF(L$347*L$349*L$351*L$353&gt;0,AVERAGE(L$351:L$353, L$353),""),"")</f>
        <v/>
      </c>
      <c r="M456" s="302" t="str">
        <f aca="false">IFERROR(IF(M$347*M$349*M$351*M$353&gt;0,AVERAGE(M$351:M$353, M$353),""),"")</f>
        <v/>
      </c>
      <c r="N456" s="302" t="str">
        <f aca="false">IFERROR(IF(N$347*N$349*N$351*N$353&gt;0,AVERAGE(N$351:N$353, N$353),""),"")</f>
        <v/>
      </c>
      <c r="O456" s="282"/>
      <c r="P456" s="282"/>
      <c r="Q456" s="296"/>
      <c r="R456" s="293" t="s">
        <v>528</v>
      </c>
      <c r="S456" s="294" t="str">
        <f aca="false">IFERROR(IF(C$347*C$349*C$351*C$353&gt;0,STDEV(C$351:C$353, C$353),"")/IF(C$347*C$349*C$351*C$353&gt;0,AVERAGE(C$351:C$353, C$353),""),"")</f>
        <v/>
      </c>
      <c r="T456" s="294" t="str">
        <f aca="false">IFERROR(IF(D$347*D$349*D$351*D$353&gt;0,STDEV(D$351:D$353, D$353),"")/IF(D$347*D$349*D$351*D$353&gt;0,AVERAGE(D$351:D$353, D$353),""),"")</f>
        <v/>
      </c>
      <c r="U456" s="294" t="str">
        <f aca="false">IFERROR(IF(E$347*E$349*E$351*E$353&gt;0,STDEV(E$351:E$353, E$353),"")/IF(E$347*E$349*E$351*E$353&gt;0,AVERAGE(E$351:E$353, E$353),""),"")</f>
        <v/>
      </c>
      <c r="V456" s="294" t="str">
        <f aca="false">IFERROR(IF(F$347*F$349*F$351*F$353&gt;0,STDEV(F$351:F$353, F$353),"")/IF(F$347*F$349*F$351*F$353&gt;0,AVERAGE(F$351:F$353, F$353),""),"")</f>
        <v/>
      </c>
      <c r="W456" s="294" t="str">
        <f aca="false">IFERROR(IF(G$347*G$349*G$351*G$353&gt;0,STDEV(G$351:G$353, G$353),"")/IF(G$347*G$349*G$351*G$353&gt;0,AVERAGE(G$351:G$353, G$353),""),"")</f>
        <v/>
      </c>
      <c r="X456" s="294" t="str">
        <f aca="false">IFERROR(IF(H$347*H$349*H$351*H$353&gt;0,STDEV(H$351:H$353, H$353),"")/IF(H$347*H$349*H$351*H$353&gt;0,AVERAGE(H$351:H$353, H$353),""),"")</f>
        <v/>
      </c>
      <c r="Y456" s="294" t="str">
        <f aca="false">IFERROR(IF(I$347*I$349*I$351*I$353&gt;0,STDEV(I$351:I$353, I$353),"")/IF(I$347*I$349*I$351*I$353&gt;0,AVERAGE(I$351:I$353, I$353),""),"")</f>
        <v/>
      </c>
      <c r="Z456" s="294" t="str">
        <f aca="false">IFERROR(IF(J$347*J$349*J$351*J$353&gt;0,STDEV(J$351:J$353, J$353),"")/IF(J$347*J$349*J$351*J$353&gt;0,AVERAGE(J$351:J$353, J$353),""),"")</f>
        <v/>
      </c>
      <c r="AA456" s="294" t="str">
        <f aca="false">IFERROR(IF(K$347*K$349*K$351*K$353&gt;0,STDEV(K$351:K$353, K$353),"")/IF(K$347*K$349*K$351*K$353&gt;0,AVERAGE(K$351:K$353, K$353),""),"")</f>
        <v/>
      </c>
      <c r="AB456" s="294" t="str">
        <f aca="false">IFERROR(IF(L$347*L$349*L$351*L$353&gt;0,STDEV(L$351:L$353, L$353),"")/IF(L$347*L$349*L$351*L$353&gt;0,AVERAGE(L$351:L$353, L$353),""),"")</f>
        <v/>
      </c>
      <c r="AC456" s="294" t="str">
        <f aca="false">IFERROR(IF(M$347*M$349*M$351*M$353&gt;0,STDEV(M$351:M$353, M$353),"")/IF(M$347*M$349*M$351*M$353&gt;0,AVERAGE(M$351:M$353, M$353),""),"")</f>
        <v/>
      </c>
      <c r="AD456" s="294" t="str">
        <f aca="false">IFERROR(IF(N$347*N$349*N$351*N$353&gt;0,STDEV(N$351:N$353, N$353),"")/IF(N$347*N$349*N$351*N$353&gt;0,AVERAGE(N$351:N$353, N$353),""),"")</f>
        <v/>
      </c>
      <c r="AE456" s="44"/>
      <c r="AF456" s="266" t="s">
        <v>529</v>
      </c>
      <c r="AG456" s="287" t="str">
        <f aca="false">IFERROR(IF(C$347*C$349*C$351*C$353&gt;0,STDEV(C$351:C$353, C$353)," ")/IF(C$347*C$349*C$351*C$353&gt;0,SQRT(COUNT(C$351:C$353, C$353))," "),"")</f>
        <v/>
      </c>
      <c r="AH456" s="287" t="str">
        <f aca="false">IFERROR(IF(D$347*D$349*D$351*D$353&gt;0,STDEV(D$351:D$353, D$353)," ")/IF(D$347*D$349*D$351*D$353&gt;0,SQRT(COUNT(D$351:D$353, D$353))," "),"")</f>
        <v/>
      </c>
      <c r="AI456" s="287" t="str">
        <f aca="false">IFERROR(IF(E$347*E$349*E$351*E$353&gt;0,STDEV(E$351:E$353, E$353)," ")/IF(E$347*E$349*E$351*E$353&gt;0,SQRT(COUNT(E$351:E$353, E$353))," "),"")</f>
        <v/>
      </c>
      <c r="AJ456" s="287" t="str">
        <f aca="false">IFERROR(IF(F$347*F$349*F$351*F$353&gt;0,STDEV(F$351:F$353, F$353)," ")/IF(F$347*F$349*F$351*F$353&gt;0,SQRT(COUNT(F$351:F$353, F$353))," "),"")</f>
        <v/>
      </c>
      <c r="AK456" s="287" t="str">
        <f aca="false">IFERROR(IF(G$347*G$349*G$351*G$353&gt;0,STDEV(G$351:G$353, G$353)," ")/IF(G$347*G$349*G$351*G$353&gt;0,SQRT(COUNT(G$351:G$353, G$353))," "),"")</f>
        <v/>
      </c>
      <c r="AL456" s="287" t="str">
        <f aca="false">IFERROR(IF(H$347*H$349*H$351*H$353&gt;0,STDEV(H$351:H$353, H$353)," ")/IF(H$347*H$349*H$351*H$353&gt;0,SQRT(COUNT(H$351:H$353, H$353))," "),"")</f>
        <v/>
      </c>
      <c r="AM456" s="287" t="str">
        <f aca="false">IFERROR(IF(I$347*I$349*I$351*I$353&gt;0,STDEV(I$351:I$353, I$353)," ")/IF(I$347*I$349*I$351*I$353&gt;0,SQRT(COUNT(I$351:I$353, I$353))," "),"")</f>
        <v/>
      </c>
      <c r="AN456" s="287" t="str">
        <f aca="false">IFERROR(IF(J$347*J$349*J$351*J$353&gt;0,STDEV(J$351:J$353, J$353)," ")/IF(J$347*J$349*J$351*J$353&gt;0,SQRT(COUNT(J$351:J$353, J$353))," "),"")</f>
        <v/>
      </c>
      <c r="AO456" s="287" t="str">
        <f aca="false">IFERROR(IF(K$347*K$349*K$351*K$353&gt;0,STDEV(K$351:K$353, K$353)," ")/IF(K$347*K$349*K$351*K$353&gt;0,SQRT(COUNT(K$351:K$353, K$353))," "),"")</f>
        <v/>
      </c>
      <c r="AP456" s="287" t="str">
        <f aca="false">IFERROR(IF(L$347*L$349*L$351*L$353&gt;0,STDEV(L$351:L$353, L$353)," ")/IF(L$347*L$349*L$351*L$353&gt;0,SQRT(COUNT(L$351:L$353, L$353))," "),"")</f>
        <v/>
      </c>
      <c r="AQ456" s="287" t="str">
        <f aca="false">IFERROR(IF(M$347*M$349*M$351*M$353&gt;0,STDEV(M$351:M$353, M$353)," ")/IF(M$347*M$349*M$351*M$353&gt;0,SQRT(COUNT(M$351:M$353, M$353))," "),"")</f>
        <v/>
      </c>
      <c r="AR456" s="287" t="str">
        <f aca="false">IFERROR(IF(N$347*N$349*N$351*N$353&gt;0,STDEV(N$351:N$353, N$353)," ")/IF(N$347*N$349*N$351*N$353&gt;0,SQRT(COUNT(N$351:N$353, N$353))," "),"")</f>
        <v/>
      </c>
    </row>
    <row r="457" customFormat="false" ht="15.75" hidden="false" customHeight="false" outlineLevel="0" collapsed="false">
      <c r="A457" s="290" t="s">
        <v>530</v>
      </c>
      <c r="B457" s="281"/>
      <c r="C457" s="302" t="str">
        <f aca="false">IFERROR(IF(C$347*C$350*C$351*C$353&gt;0,AVERAGE(C$347, C$350, C$351, C$352),""),"")</f>
        <v/>
      </c>
      <c r="D457" s="302" t="str">
        <f aca="false">IFERROR(IF(D$347*D$350*D$351*D$353&gt;0,AVERAGE(D$347, D$350, D$351, D$352),""),"")</f>
        <v/>
      </c>
      <c r="E457" s="302" t="str">
        <f aca="false">IFERROR(IF(E$347*E$350*E$351*E$353&gt;0,AVERAGE(E$347, E$350, E$351, E$352),""),"")</f>
        <v/>
      </c>
      <c r="F457" s="302" t="str">
        <f aca="false">IFERROR(IF(F$347*F$350*F$351*F$353&gt;0,AVERAGE(F$347, F$350, F$351, F$352),""),"")</f>
        <v/>
      </c>
      <c r="G457" s="302" t="str">
        <f aca="false">IFERROR(IF(G$347*G$350*G$351*G$353&gt;0,AVERAGE(G$347, G$350, G$351, G$352),""),"")</f>
        <v/>
      </c>
      <c r="H457" s="302" t="str">
        <f aca="false">IFERROR(IF(H$347*H$350*H$351*H$353&gt;0,AVERAGE(H$347, H$350, H$351, H$352),""),"")</f>
        <v/>
      </c>
      <c r="I457" s="302" t="str">
        <f aca="false">IFERROR(IF(I$347*I$350*I$351*I$353&gt;0,AVERAGE(I$347, I$350, I$351, I$352),""),"")</f>
        <v/>
      </c>
      <c r="J457" s="302" t="str">
        <f aca="false">IFERROR(IF(J$347*J$350*J$351*J$353&gt;0,AVERAGE(J$347, J$350, J$351, J$352),""),"")</f>
        <v/>
      </c>
      <c r="K457" s="302" t="str">
        <f aca="false">IFERROR(IF(K$347*K$350*K$351*K$353&gt;0,AVERAGE(K$347, K$350, K$351, K$352),""),"")</f>
        <v/>
      </c>
      <c r="L457" s="302" t="str">
        <f aca="false">IFERROR(IF(L$347*L$350*L$351*L$353&gt;0,AVERAGE(L$347, L$350, L$351, L$352),""),"")</f>
        <v/>
      </c>
      <c r="M457" s="302" t="str">
        <f aca="false">IFERROR(IF(M$347*M$350*M$351*M$353&gt;0,AVERAGE(M$347, M$350, M$351, M$352),""),"")</f>
        <v/>
      </c>
      <c r="N457" s="302" t="str">
        <f aca="false">IFERROR(IF(N$347*N$350*N$351*N$353&gt;0,AVERAGE(N$347, N$350, N$351, N$352),""),"")</f>
        <v/>
      </c>
      <c r="O457" s="282"/>
      <c r="P457" s="282"/>
      <c r="Q457" s="296"/>
      <c r="R457" s="293" t="s">
        <v>531</v>
      </c>
      <c r="S457" s="294" t="str">
        <f aca="false">IFERROR(IF(C$347*C$350*C$351*C$353&gt;0,STDEV(C$347, C$350, C$351, C$352),"")/IF(C$347*C$350*C$351*C$353&gt;0,AVERAGE(C$347, C$350, C$351, C$352),""),"")</f>
        <v/>
      </c>
      <c r="T457" s="294" t="str">
        <f aca="false">IFERROR(IF(D$347*D$350*D$351*D$353&gt;0,STDEV(D$347, D$350, D$351, D$352),"")/IF(D$347*D$350*D$351*D$353&gt;0,AVERAGE(D$347, D$350, D$351, D$352),""),"")</f>
        <v/>
      </c>
      <c r="U457" s="294" t="str">
        <f aca="false">IFERROR(IF(E$347*E$350*E$351*E$353&gt;0,STDEV(E$347, E$350, E$351, E$352),"")/IF(E$347*E$350*E$351*E$353&gt;0,AVERAGE(E$347, E$350, E$351, E$352),""),"")</f>
        <v/>
      </c>
      <c r="V457" s="294" t="str">
        <f aca="false">IFERROR(IF(F$347*F$350*F$351*F$353&gt;0,STDEV(F$347, F$350, F$351, F$352),"")/IF(F$347*F$350*F$351*F$353&gt;0,AVERAGE(F$347, F$350, F$351, F$352),""),"")</f>
        <v/>
      </c>
      <c r="W457" s="294" t="str">
        <f aca="false">IFERROR(IF(G$347*G$350*G$351*G$353&gt;0,STDEV(G$347, G$350, G$351, G$352),"")/IF(G$347*G$350*G$351*G$353&gt;0,AVERAGE(G$347, G$350, G$351, G$352),""),"")</f>
        <v/>
      </c>
      <c r="X457" s="294" t="str">
        <f aca="false">IFERROR(IF(H$347*H$350*H$351*H$353&gt;0,STDEV(H$347, H$350, H$351, H$352),"")/IF(H$347*H$350*H$351*H$353&gt;0,AVERAGE(H$347, H$350, H$351, H$352),""),"")</f>
        <v/>
      </c>
      <c r="Y457" s="294" t="str">
        <f aca="false">IFERROR(IF(I$347*I$350*I$351*I$353&gt;0,STDEV(I$347, I$350, I$351, I$352),"")/IF(I$347*I$350*I$351*I$353&gt;0,AVERAGE(I$347, I$350, I$351, I$352),""),"")</f>
        <v/>
      </c>
      <c r="Z457" s="294" t="str">
        <f aca="false">IFERROR(IF(J$347*J$350*J$351*J$353&gt;0,STDEV(J$347, J$350, J$351, J$352),"")/IF(J$347*J$350*J$351*J$353&gt;0,AVERAGE(J$347, J$350, J$351, J$352),""),"")</f>
        <v/>
      </c>
      <c r="AA457" s="294" t="str">
        <f aca="false">IFERROR(IF(K$347*K$350*K$351*K$353&gt;0,STDEV(K$347, K$350, K$351, K$352),"")/IF(K$347*K$350*K$351*K$353&gt;0,AVERAGE(K$347, K$350, K$351, K$352),""),"")</f>
        <v/>
      </c>
      <c r="AB457" s="294" t="str">
        <f aca="false">IFERROR(IF(L$347*L$350*L$351*L$353&gt;0,STDEV(L$347, L$350, L$351, L$352),"")/IF(L$347*L$350*L$351*L$353&gt;0,AVERAGE(L$347, L$350, L$351, L$352),""),"")</f>
        <v/>
      </c>
      <c r="AC457" s="294" t="str">
        <f aca="false">IFERROR(IF(M$347*M$350*M$351*M$353&gt;0,STDEV(M$347, M$350, M$351, M$352),"")/IF(M$347*M$350*M$351*M$353&gt;0,AVERAGE(M$347, M$350, M$351, M$352),""),"")</f>
        <v/>
      </c>
      <c r="AD457" s="294" t="str">
        <f aca="false">IFERROR(IF(N$347*N$350*N$351*N$353&gt;0,STDEV(N$347, N$350, N$351, N$352),"")/IF(N$347*N$350*N$351*N$353&gt;0,AVERAGE(N$347, N$350, N$351, N$352),""),"")</f>
        <v/>
      </c>
      <c r="AE457" s="44"/>
      <c r="AF457" s="266" t="s">
        <v>532</v>
      </c>
      <c r="AG457" s="287" t="str">
        <f aca="false">IFERROR(IF(C$347*C$350*C$351*C$353&gt;0,STDEV(C$347, C$350, C$351, C$352)," ")/IF(C$347*C$350*C$351*C$353&gt;0,SQRT(COUNT(C$347, C$350, C$351, C$352))," "),"")</f>
        <v/>
      </c>
      <c r="AH457" s="287" t="str">
        <f aca="false">IFERROR(IF(D$347*D$350*D$351*D$353&gt;0,STDEV(D$347, D$350, D$351, D$352)," ")/IF(D$347*D$350*D$351*D$353&gt;0,SQRT(COUNT(D$347, D$350, D$351, D$352))," "),"")</f>
        <v/>
      </c>
      <c r="AI457" s="287" t="str">
        <f aca="false">IFERROR(IF(E$347*E$350*E$351*E$353&gt;0,STDEV(E$347, E$350, E$351, E$352)," ")/IF(E$347*E$350*E$351*E$353&gt;0,SQRT(COUNT(E$347, E$350, E$351, E$352))," "),"")</f>
        <v/>
      </c>
      <c r="AJ457" s="287" t="str">
        <f aca="false">IFERROR(IF(F$347*F$350*F$351*F$353&gt;0,STDEV(F$347, F$350, F$351, F$352)," ")/IF(F$347*F$350*F$351*F$353&gt;0,SQRT(COUNT(F$347, F$350, F$351, F$352))," "),"")</f>
        <v/>
      </c>
      <c r="AK457" s="287" t="str">
        <f aca="false">IFERROR(IF(G$347*G$350*G$351*G$353&gt;0,STDEV(G$347, G$350, G$351, G$352)," ")/IF(G$347*G$350*G$351*G$353&gt;0,SQRT(COUNT(G$347, G$350, G$351, G$352))," "),"")</f>
        <v/>
      </c>
      <c r="AL457" s="287" t="str">
        <f aca="false">IFERROR(IF(H$347*H$350*H$351*H$353&gt;0,STDEV(H$347, H$350, H$351, H$352)," ")/IF(H$347*H$350*H$351*H$353&gt;0,SQRT(COUNT(H$347, H$350, H$351, H$352))," "),"")</f>
        <v/>
      </c>
      <c r="AM457" s="287" t="str">
        <f aca="false">IFERROR(IF(I$347*I$350*I$351*I$353&gt;0,STDEV(I$347, I$350, I$351, I$352)," ")/IF(I$347*I$350*I$351*I$353&gt;0,SQRT(COUNT(I$347, I$350, I$351, I$352))," "),"")</f>
        <v/>
      </c>
      <c r="AN457" s="287" t="str">
        <f aca="false">IFERROR(IF(J$347*J$350*J$351*J$353&gt;0,STDEV(J$347, J$350, J$351, J$352)," ")/IF(J$347*J$350*J$351*J$353&gt;0,SQRT(COUNT(J$347, J$350, J$351, J$352))," "),"")</f>
        <v/>
      </c>
      <c r="AO457" s="287" t="str">
        <f aca="false">IFERROR(IF(K$347*K$350*K$351*K$353&gt;0,STDEV(K$347, K$350, K$351, K$352)," ")/IF(K$347*K$350*K$351*K$353&gt;0,SQRT(COUNT(K$347, K$350, K$351, K$352))," "),"")</f>
        <v/>
      </c>
      <c r="AP457" s="287" t="str">
        <f aca="false">IFERROR(IF(L$347*L$350*L$351*L$353&gt;0,STDEV(L$347, L$350, L$351, L$352)," ")/IF(L$347*L$350*L$351*L$353&gt;0,SQRT(COUNT(L$347, L$350, L$351, L$352))," "),"")</f>
        <v/>
      </c>
      <c r="AQ457" s="287" t="str">
        <f aca="false">IFERROR(IF(M$347*M$350*M$351*M$353&gt;0,STDEV(M$347, M$350, M$351, M$352)," ")/IF(M$347*M$350*M$351*M$353&gt;0,SQRT(COUNT(M$347, M$350, M$351, M$352))," "),"")</f>
        <v/>
      </c>
      <c r="AR457" s="287" t="str">
        <f aca="false">IFERROR(IF(N$347*N$350*N$351*N$353&gt;0,STDEV(N$347, N$350, N$351, N$352)," ")/IF(N$347*N$350*N$351*N$353&gt;0,SQRT(COUNT(N$347, N$350, N$351, N$352))," "),"")</f>
        <v/>
      </c>
    </row>
    <row r="458" customFormat="false" ht="15.75" hidden="false" customHeight="false" outlineLevel="0" collapsed="false">
      <c r="A458" s="242" t="s">
        <v>533</v>
      </c>
      <c r="B458" s="243"/>
      <c r="C458" s="262" t="str">
        <f aca="false">IFERROR(IF(C$347*C$350*C$351*C$353&gt;0,AVERAGE(C$347, C$350, C$351, C$353),""),"")</f>
        <v/>
      </c>
      <c r="D458" s="262" t="str">
        <f aca="false">IFERROR(IF(D$347*D$350*D$351*D$353&gt;0,AVERAGE(D$347, D$350, D$351, D$353),""),"")</f>
        <v/>
      </c>
      <c r="E458" s="262" t="str">
        <f aca="false">IFERROR(IF(E$347*E$350*E$351*E$353&gt;0,AVERAGE(E$347, E$350, E$351, E$353),""),"")</f>
        <v/>
      </c>
      <c r="F458" s="262" t="str">
        <f aca="false">IFERROR(IF(F$347*F$350*F$351*F$353&gt;0,AVERAGE(F$347, F$350, F$351, F$353),""),"")</f>
        <v/>
      </c>
      <c r="G458" s="262" t="str">
        <f aca="false">IFERROR(IF(G$347*G$350*G$351*G$353&gt;0,AVERAGE(G$347, G$350, G$351, G$353),""),"")</f>
        <v/>
      </c>
      <c r="H458" s="262" t="str">
        <f aca="false">IFERROR(IF(H$347*H$350*H$351*H$353&gt;0,AVERAGE(H$347, H$350, H$351, H$353),""),"")</f>
        <v/>
      </c>
      <c r="I458" s="262" t="str">
        <f aca="false">IFERROR(IF(I$347*I$350*I$351*I$353&gt;0,AVERAGE(I$347, I$350, I$351, I$353),""),"")</f>
        <v/>
      </c>
      <c r="J458" s="262" t="str">
        <f aca="false">IFERROR(IF(J$347*J$350*J$351*J$353&gt;0,AVERAGE(J$347, J$350, J$351, J$353),""),"")</f>
        <v/>
      </c>
      <c r="K458" s="262" t="str">
        <f aca="false">IFERROR(IF(K$347*K$350*K$351*K$353&gt;0,AVERAGE(K$347, K$350, K$351, K$353),""),"")</f>
        <v/>
      </c>
      <c r="L458" s="262" t="str">
        <f aca="false">IFERROR(IF(L$347*L$350*L$351*L$353&gt;0,AVERAGE(L$347, L$350, L$351, L$353),""),"")</f>
        <v/>
      </c>
      <c r="M458" s="262" t="str">
        <f aca="false">IFERROR(IF(M$347*M$350*M$351*M$353&gt;0,AVERAGE(M$347, M$350, M$351, M$353),""),"")</f>
        <v/>
      </c>
      <c r="N458" s="262" t="str">
        <f aca="false">IFERROR(IF(N$347*N$350*N$351*N$353&gt;0,AVERAGE(N$347, N$350, N$351, N$353),""),"")</f>
        <v/>
      </c>
      <c r="O458" s="263"/>
      <c r="P458" s="245"/>
      <c r="Q458" s="264"/>
      <c r="R458" s="247" t="s">
        <v>534</v>
      </c>
      <c r="S458" s="248" t="str">
        <f aca="false">IFERROR(IF(C$347*C$350*C$351*C$353&gt;0,STDEV(C$347, C$350, C$351, C$353),"")/IF(C$347*C$350*C$351*C$353&gt;0,AVERAGE(C$347, C$350, C$351, C$353),""),"")</f>
        <v/>
      </c>
      <c r="T458" s="248" t="str">
        <f aca="false">IFERROR(IF(D$347*D$350*D$351*D$353&gt;0,STDEV(D$347, D$350, D$351, D$353),"")/IF(D$347*D$350*D$351*D$353&gt;0,AVERAGE(D$347, D$350, D$351, D$353),""),"")</f>
        <v/>
      </c>
      <c r="U458" s="248" t="str">
        <f aca="false">IFERROR(IF(E$347*E$350*E$351*E$353&gt;0,STDEV(E$347, E$350, E$351, E$353),"")/IF(E$347*E$350*E$351*E$353&gt;0,AVERAGE(E$347, E$350, E$351, E$353),""),"")</f>
        <v/>
      </c>
      <c r="V458" s="248" t="str">
        <f aca="false">IFERROR(IF(F$347*F$350*F$351*F$353&gt;0,STDEV(F$347, F$350, F$351, F$353),"")/IF(F$347*F$350*F$351*F$353&gt;0,AVERAGE(F$347, F$350, F$351, F$353),""),"")</f>
        <v/>
      </c>
      <c r="W458" s="248" t="str">
        <f aca="false">IFERROR(IF(G$347*G$350*G$351*G$353&gt;0,STDEV(G$347, G$350, G$351, G$353),"")/IF(G$347*G$350*G$351*G$353&gt;0,AVERAGE(G$347, G$350, G$351, G$353),""),"")</f>
        <v/>
      </c>
      <c r="X458" s="248" t="str">
        <f aca="false">IFERROR(IF(H$347*H$350*H$351*H$353&gt;0,STDEV(H$347, H$350, H$351, H$353),"")/IF(H$347*H$350*H$351*H$353&gt;0,AVERAGE(H$347, H$350, H$351, H$353),""),"")</f>
        <v/>
      </c>
      <c r="Y458" s="248" t="str">
        <f aca="false">IFERROR(IF(I$347*I$350*I$351*I$353&gt;0,STDEV(I$347, I$350, I$351, I$353),"")/IF(I$347*I$350*I$351*I$353&gt;0,AVERAGE(I$347, I$350, I$351, I$353),""),"")</f>
        <v/>
      </c>
      <c r="Z458" s="248" t="str">
        <f aca="false">IFERROR(IF(J$347*J$350*J$351*J$353&gt;0,STDEV(J$347, J$350, J$351, J$353),"")/IF(J$347*J$350*J$351*J$353&gt;0,AVERAGE(J$347, J$350, J$351, J$353),""),"")</f>
        <v/>
      </c>
      <c r="AA458" s="248" t="str">
        <f aca="false">IFERROR(IF(K$347*K$350*K$351*K$353&gt;0,STDEV(K$347, K$350, K$351, K$353),"")/IF(K$347*K$350*K$351*K$353&gt;0,AVERAGE(K$347, K$350, K$351, K$353),""),"")</f>
        <v/>
      </c>
      <c r="AB458" s="248" t="str">
        <f aca="false">IFERROR(IF(L$347*L$350*L$351*L$353&gt;0,STDEV(L$347, L$350, L$351, L$353),"")/IF(L$347*L$350*L$351*L$353&gt;0,AVERAGE(L$347, L$350, L$351, L$353),""),"")</f>
        <v/>
      </c>
      <c r="AC458" s="248" t="str">
        <f aca="false">IFERROR(IF(M$347*M$350*M$351*M$353&gt;0,STDEV(M$347, M$350, M$351, M$353),"")/IF(M$347*M$350*M$351*M$353&gt;0,AVERAGE(M$347, M$350, M$351, M$353),""),"")</f>
        <v/>
      </c>
      <c r="AD458" s="248" t="str">
        <f aca="false">IFERROR(IF(N$347*N$350*N$351*N$353&gt;0,STDEV(N$347, N$350, N$351, N$353),"")/IF(N$347*N$350*N$351*N$353&gt;0,AVERAGE(N$347, N$350, N$351, N$353),""),"")</f>
        <v/>
      </c>
      <c r="AE458" s="300"/>
      <c r="AF458" s="250" t="s">
        <v>535</v>
      </c>
      <c r="AG458" s="251" t="str">
        <f aca="false">IFERROR(IF(C$347*C$350*C$351*C$353&gt;0,STDEV(C$347, C$350, C$351, C$353)," ")/IF(C$347*C$350*C$351*C$353&gt;0,SQRT(COUNT(C$347, C$350, C$351, C$353))," "),"")</f>
        <v/>
      </c>
      <c r="AH458" s="251" t="str">
        <f aca="false">IFERROR(IF(D$347*D$350*D$351*D$353&gt;0,STDEV(D$347, D$350, D$351, D$353)," ")/IF(D$347*D$350*D$351*D$353&gt;0,SQRT(COUNT(D$347, D$350, D$351, D$353))," "),"")</f>
        <v/>
      </c>
      <c r="AI458" s="251" t="str">
        <f aca="false">IFERROR(IF(E$347*E$350*E$351*E$353&gt;0,STDEV(E$347, E$350, E$351, E$353)," ")/IF(E$347*E$350*E$351*E$353&gt;0,SQRT(COUNT(E$347, E$350, E$351, E$353))," "),"")</f>
        <v/>
      </c>
      <c r="AJ458" s="251" t="str">
        <f aca="false">IFERROR(IF(F$347*F$350*F$351*F$353&gt;0,STDEV(F$347, F$350, F$351, F$353)," ")/IF(F$347*F$350*F$351*F$353&gt;0,SQRT(COUNT(F$347, F$350, F$351, F$353))," "),"")</f>
        <v/>
      </c>
      <c r="AK458" s="251" t="str">
        <f aca="false">IFERROR(IF(G$347*G$350*G$351*G$353&gt;0,STDEV(G$347, G$350, G$351, G$353)," ")/IF(G$347*G$350*G$351*G$353&gt;0,SQRT(COUNT(G$347, G$350, G$351, G$353))," "),"")</f>
        <v/>
      </c>
      <c r="AL458" s="251" t="str">
        <f aca="false">IFERROR(IF(H$347*H$350*H$351*H$353&gt;0,STDEV(H$347, H$350, H$351, H$353)," ")/IF(H$347*H$350*H$351*H$353&gt;0,SQRT(COUNT(H$347, H$350, H$351, H$353))," "),"")</f>
        <v/>
      </c>
      <c r="AM458" s="251" t="str">
        <f aca="false">IFERROR(IF(I$347*I$350*I$351*I$353&gt;0,STDEV(I$347, I$350, I$351, I$353)," ")/IF(I$347*I$350*I$351*I$353&gt;0,SQRT(COUNT(I$347, I$350, I$351, I$353))," "),"")</f>
        <v/>
      </c>
      <c r="AN458" s="251" t="str">
        <f aca="false">IFERROR(IF(J$347*J$350*J$351*J$353&gt;0,STDEV(J$347, J$350, J$351, J$353)," ")/IF(J$347*J$350*J$351*J$353&gt;0,SQRT(COUNT(J$347, J$350, J$351, J$353))," "),"")</f>
        <v/>
      </c>
      <c r="AO458" s="251" t="str">
        <f aca="false">IFERROR(IF(K$347*K$350*K$351*K$353&gt;0,STDEV(K$347, K$350, K$351, K$353)," ")/IF(K$347*K$350*K$351*K$353&gt;0,SQRT(COUNT(K$347, K$350, K$351, K$353))," "),"")</f>
        <v/>
      </c>
      <c r="AP458" s="251" t="str">
        <f aca="false">IFERROR(IF(L$347*L$350*L$351*L$353&gt;0,STDEV(L$347, L$350, L$351, L$353)," ")/IF(L$347*L$350*L$351*L$353&gt;0,SQRT(COUNT(L$347, L$350, L$351, L$353))," "),"")</f>
        <v/>
      </c>
      <c r="AQ458" s="251" t="str">
        <f aca="false">IFERROR(IF(M$347*M$350*M$351*M$353&gt;0,STDEV(M$347, M$350, M$351, M$353)," ")/IF(M$347*M$350*M$351*M$353&gt;0,SQRT(COUNT(M$347, M$350, M$351, M$353))," "),"")</f>
        <v/>
      </c>
      <c r="AR458" s="251" t="str">
        <f aca="false">IFERROR(IF(N$347*N$350*N$351*N$353&gt;0,STDEV(N$347, N$350, N$351, N$353)," ")/IF(N$347*N$350*N$351*N$353&gt;0,SQRT(COUNT(N$347, N$350, N$351, N$353))," "),"")</f>
        <v/>
      </c>
    </row>
    <row r="459" customFormat="false" ht="15.75" hidden="false" customHeight="false" outlineLevel="0" collapsed="false">
      <c r="A459" s="290" t="s">
        <v>536</v>
      </c>
      <c r="B459" s="281"/>
      <c r="C459" s="302" t="str">
        <f aca="false">IFERROR(IF(C$347*C$348*C$351*C$353&gt;0,AVERAGE(C$347, C$348, C$351, C$353),""),"")</f>
        <v/>
      </c>
      <c r="D459" s="302" t="str">
        <f aca="false">IFERROR(IF(D$347*D$348*D$351*D$353&gt;0,AVERAGE(D$347, D$348, D$351, D$353),""),"")</f>
        <v/>
      </c>
      <c r="E459" s="302" t="str">
        <f aca="false">IFERROR(IF(E$347*E$348*E$351*E$353&gt;0,AVERAGE(E$347, E$348, E$351, E$353),""),"")</f>
        <v/>
      </c>
      <c r="F459" s="302" t="str">
        <f aca="false">IFERROR(IF(F$347*F$348*F$351*F$353&gt;0,AVERAGE(F$347, F$348, F$351, F$353),""),"")</f>
        <v/>
      </c>
      <c r="G459" s="302" t="str">
        <f aca="false">IFERROR(IF(G$347*G$348*G$351*G$353&gt;0,AVERAGE(G$347, G$348, G$351, G$353),""),"")</f>
        <v/>
      </c>
      <c r="H459" s="302" t="str">
        <f aca="false">IFERROR(IF(H$347*H$348*H$351*H$353&gt;0,AVERAGE(H$347, H$348, H$351, H$353),""),"")</f>
        <v/>
      </c>
      <c r="I459" s="302" t="str">
        <f aca="false">IFERROR(IF(I$347*I$348*I$351*I$353&gt;0,AVERAGE(I$347, I$348, I$351, I$353),""),"")</f>
        <v/>
      </c>
      <c r="J459" s="302" t="str">
        <f aca="false">IFERROR(IF(J$347*J$348*J$351*J$353&gt;0,AVERAGE(J$347, J$348, J$351, J$353),""),"")</f>
        <v/>
      </c>
      <c r="K459" s="302" t="str">
        <f aca="false">IFERROR(IF(K$347*K$348*K$351*K$353&gt;0,AVERAGE(K$347, K$348, K$351, K$353),""),"")</f>
        <v/>
      </c>
      <c r="L459" s="302" t="str">
        <f aca="false">IFERROR(IF(L$347*L$348*L$351*L$353&gt;0,AVERAGE(L$347, L$348, L$351, L$353),""),"")</f>
        <v/>
      </c>
      <c r="M459" s="302" t="str">
        <f aca="false">IFERROR(IF(M$347*M$348*M$351*M$353&gt;0,AVERAGE(M$347, M$348, M$351, M$353),""),"")</f>
        <v/>
      </c>
      <c r="N459" s="302" t="str">
        <f aca="false">IFERROR(IF(N$347*N$348*N$351*N$353&gt;0,AVERAGE(N$347, N$348, N$351, N$353),""),"")</f>
        <v/>
      </c>
      <c r="O459" s="147"/>
      <c r="P459" s="282"/>
      <c r="Q459" s="283"/>
      <c r="R459" s="293" t="s">
        <v>537</v>
      </c>
      <c r="S459" s="294" t="str">
        <f aca="false">IFERROR(IF(C$347*C$348*C$351*C$353&gt;0,STDEV(C$347, C$348, C$351, C$353),"")/IF(C$347*C$348*C$351*C$353&gt;0,AVERAGE(C$347, C$348, C$351, C$353),""),"")</f>
        <v/>
      </c>
      <c r="T459" s="294" t="str">
        <f aca="false">IFERROR(IF(D$347*D$348*D$351*D$353&gt;0,STDEV(D$347, D$348, D$351, D$353),"")/IF(D$347*D$348*D$351*D$353&gt;0,AVERAGE(D$347, D$348, D$351, D$353),""),"")</f>
        <v/>
      </c>
      <c r="U459" s="294" t="str">
        <f aca="false">IFERROR(IF(E$347*E$348*E$351*E$353&gt;0,STDEV(E$347, E$348, E$351, E$353),"")/IF(E$347*E$348*E$351*E$353&gt;0,AVERAGE(E$347, E$348, E$351, E$353),""),"")</f>
        <v/>
      </c>
      <c r="V459" s="294" t="str">
        <f aca="false">IFERROR(IF(F$347*F$348*F$351*F$353&gt;0,STDEV(F$347, F$348, F$351, F$353),"")/IF(F$347*F$348*F$351*F$353&gt;0,AVERAGE(F$347, F$348, F$351, F$353),""),"")</f>
        <v/>
      </c>
      <c r="W459" s="294" t="str">
        <f aca="false">IFERROR(IF(G$347*G$348*G$351*G$353&gt;0,STDEV(G$347, G$348, G$351, G$353),"")/IF(G$347*G$348*G$351*G$353&gt;0,AVERAGE(G$347, G$348, G$351, G$353),""),"")</f>
        <v/>
      </c>
      <c r="X459" s="294" t="str">
        <f aca="false">IFERROR(IF(H$347*H$348*H$351*H$353&gt;0,STDEV(H$347, H$348, H$351, H$353),"")/IF(H$347*H$348*H$351*H$353&gt;0,AVERAGE(H$347, H$348, H$351, H$353),""),"")</f>
        <v/>
      </c>
      <c r="Y459" s="294" t="str">
        <f aca="false">IFERROR(IF(I$347*I$348*I$351*I$353&gt;0,STDEV(I$347, I$348, I$351, I$353),"")/IF(I$347*I$348*I$351*I$353&gt;0,AVERAGE(I$347, I$348, I$351, I$353),""),"")</f>
        <v/>
      </c>
      <c r="Z459" s="294" t="str">
        <f aca="false">IFERROR(IF(J$347*J$348*J$351*J$353&gt;0,STDEV(J$347, J$348, J$351, J$353),"")/IF(J$347*J$348*J$351*J$353&gt;0,AVERAGE(J$347, J$348, J$351, J$353),""),"")</f>
        <v/>
      </c>
      <c r="AA459" s="294" t="str">
        <f aca="false">IFERROR(IF(K$347*K$348*K$351*K$353&gt;0,STDEV(K$347, K$348, K$351, K$353),"")/IF(K$347*K$348*K$351*K$353&gt;0,AVERAGE(K$347, K$348, K$351, K$353),""),"")</f>
        <v/>
      </c>
      <c r="AB459" s="294" t="str">
        <f aca="false">IFERROR(IF(L$347*L$348*L$351*L$353&gt;0,STDEV(L$347, L$348, L$351, L$353),"")/IF(L$347*L$348*L$351*L$353&gt;0,AVERAGE(L$347, L$348, L$351, L$353),""),"")</f>
        <v/>
      </c>
      <c r="AC459" s="294" t="str">
        <f aca="false">IFERROR(IF(M$347*M$348*M$351*M$353&gt;0,STDEV(M$347, M$348, M$351, M$353),"")/IF(M$347*M$348*M$351*M$353&gt;0,AVERAGE(M$347, M$348, M$351, M$353),""),"")</f>
        <v/>
      </c>
      <c r="AD459" s="294" t="str">
        <f aca="false">IFERROR(IF(N$347*N$348*N$351*N$353&gt;0,STDEV(N$347, N$348, N$351, N$353),"")/IF(N$347*N$348*N$351*N$353&gt;0,AVERAGE(N$347, N$348, N$351, N$353),""),"")</f>
        <v/>
      </c>
      <c r="AE459" s="44"/>
      <c r="AF459" s="266" t="s">
        <v>538</v>
      </c>
      <c r="AG459" s="287" t="str">
        <f aca="false">IFERROR(IF(C$347*C$348*C$351*C$353&gt;0,STDEV(C$347, C$348, C$351, C$353)," ")/IF(C$347*C$348*C$351*C$353&gt;0,SQRT(COUNT(C$347, C$348, C$351, C$353))," "),"")</f>
        <v/>
      </c>
      <c r="AH459" s="287" t="str">
        <f aca="false">IFERROR(IF(D$347*D$348*D$351*D$353&gt;0,STDEV(D$347, D$348, D$351, D$353)," ")/IF(D$347*D$348*D$351*D$353&gt;0,SQRT(COUNT(D$347, D$348, D$351, D$353))," "),"")</f>
        <v/>
      </c>
      <c r="AI459" s="287" t="str">
        <f aca="false">IFERROR(IF(E$347*E$348*E$351*E$353&gt;0,STDEV(E$347, E$348, E$351, E$353)," ")/IF(E$347*E$348*E$351*E$353&gt;0,SQRT(COUNT(E$347, E$348, E$351, E$353))," "),"")</f>
        <v/>
      </c>
      <c r="AJ459" s="287" t="str">
        <f aca="false">IFERROR(IF(F$347*F$348*F$351*F$353&gt;0,STDEV(F$347, F$348, F$351, F$353)," ")/IF(F$347*F$348*F$351*F$353&gt;0,SQRT(COUNT(F$347, F$348, F$351, F$353))," "),"")</f>
        <v/>
      </c>
      <c r="AK459" s="287" t="str">
        <f aca="false">IFERROR(IF(G$347*G$348*G$351*G$353&gt;0,STDEV(G$347, G$348, G$351, G$353)," ")/IF(G$347*G$348*G$351*G$353&gt;0,SQRT(COUNT(G$347, G$348, G$351, G$353))," "),"")</f>
        <v/>
      </c>
      <c r="AL459" s="287" t="str">
        <f aca="false">IFERROR(IF(H$347*H$348*H$351*H$353&gt;0,STDEV(H$347, H$348, H$351, H$353)," ")/IF(H$347*H$348*H$351*H$353&gt;0,SQRT(COUNT(H$347, H$348, H$351, H$353))," "),"")</f>
        <v/>
      </c>
      <c r="AM459" s="287" t="str">
        <f aca="false">IFERROR(IF(I$347*I$348*I$351*I$353&gt;0,STDEV(I$347, I$348, I$351, I$353)," ")/IF(I$347*I$348*I$351*I$353&gt;0,SQRT(COUNT(I$347, I$348, I$351, I$353))," "),"")</f>
        <v/>
      </c>
      <c r="AN459" s="287" t="str">
        <f aca="false">IFERROR(IF(J$347*J$348*J$351*J$353&gt;0,STDEV(J$347, J$348, J$351, J$353)," ")/IF(J$347*J$348*J$351*J$353&gt;0,SQRT(COUNT(J$347, J$348, J$351, J$353))," "),"")</f>
        <v/>
      </c>
      <c r="AO459" s="287" t="str">
        <f aca="false">IFERROR(IF(K$347*K$348*K$351*K$353&gt;0,STDEV(K$347, K$348, K$351, K$353)," ")/IF(K$347*K$348*K$351*K$353&gt;0,SQRT(COUNT(K$347, K$348, K$351, K$353))," "),"")</f>
        <v/>
      </c>
      <c r="AP459" s="287" t="str">
        <f aca="false">IFERROR(IF(L$347*L$348*L$351*L$353&gt;0,STDEV(L$347, L$348, L$351, L$353)," ")/IF(L$347*L$348*L$351*L$353&gt;0,SQRT(COUNT(L$347, L$348, L$351, L$353))," "),"")</f>
        <v/>
      </c>
      <c r="AQ459" s="287" t="str">
        <f aca="false">IFERROR(IF(M$347*M$348*M$351*M$353&gt;0,STDEV(M$347, M$348, M$351, M$353)," ")/IF(M$347*M$348*M$351*M$353&gt;0,SQRT(COUNT(M$347, M$348, M$351, M$353))," "),"")</f>
        <v/>
      </c>
      <c r="AR459" s="287" t="str">
        <f aca="false">IFERROR(IF(N$347*N$348*N$351*N$353&gt;0,STDEV(N$347, N$348, N$351, N$353)," ")/IF(N$347*N$348*N$351*N$353&gt;0,SQRT(COUNT(N$347, N$348, N$351, N$353))," "),"")</f>
        <v/>
      </c>
    </row>
    <row r="460" customFormat="false" ht="15.75" hidden="false" customHeight="false" outlineLevel="0" collapsed="false">
      <c r="A460" s="290" t="s">
        <v>539</v>
      </c>
      <c r="B460" s="281"/>
      <c r="C460" s="302" t="str">
        <f aca="false">IFERROR(IF(C$347*C$348*C$349*C$350*C351&gt;0,AVERAGE(C$347:C$350,C351),""),"")</f>
        <v/>
      </c>
      <c r="D460" s="302" t="str">
        <f aca="false">IFERROR(IF(D$347*D$348*D$349*D$350*D351&gt;0,AVERAGE(D$347:D$350,D351),""),"")</f>
        <v/>
      </c>
      <c r="E460" s="302" t="str">
        <f aca="false">IFERROR(IF(E$347*E$348*E$349*E$350*E351&gt;0,AVERAGE(E$347:E$350,E351),""),"")</f>
        <v/>
      </c>
      <c r="F460" s="302" t="str">
        <f aca="false">IFERROR(IF(F$347*F$348*F$349*F$350*F351&gt;0,AVERAGE(F$347:F$350,F351),""),"")</f>
        <v/>
      </c>
      <c r="G460" s="302" t="str">
        <f aca="false">IFERROR(IF(G$347*G$348*G$349*G$350*G351&gt;0,AVERAGE(G$347:G$350,G351),""),"")</f>
        <v/>
      </c>
      <c r="H460" s="302" t="str">
        <f aca="false">IFERROR(IF(H$347*H$348*H$349*H$350*H351&gt;0,AVERAGE(H$347:H$350,H351),""),"")</f>
        <v/>
      </c>
      <c r="I460" s="302" t="str">
        <f aca="false">IFERROR(IF(I$347*I$348*I$349*I$350*I351&gt;0,AVERAGE(I$347:I$350,I351),""),"")</f>
        <v/>
      </c>
      <c r="J460" s="302" t="str">
        <f aca="false">IFERROR(IF(J$347*J$348*J$349*J$350*J351&gt;0,AVERAGE(J$347:J$350,J351),""),"")</f>
        <v/>
      </c>
      <c r="K460" s="302" t="str">
        <f aca="false">IFERROR(IF(K$347*K$348*K$349*K$350*K351&gt;0,AVERAGE(K$347:K$350,K351),""),"")</f>
        <v/>
      </c>
      <c r="L460" s="302" t="str">
        <f aca="false">IFERROR(IF(L$347*L$348*L$349*L$350*L351&gt;0,AVERAGE(L$347:L$350,L351),""),"")</f>
        <v/>
      </c>
      <c r="M460" s="302" t="str">
        <f aca="false">IFERROR(IF(M$347*M$348*M$349*M$350*M351&gt;0,AVERAGE(M$347:M$350,M351),""),"")</f>
        <v/>
      </c>
      <c r="N460" s="302" t="str">
        <f aca="false">IFERROR(IF(N$347*N$348*N$349*N$350*N351&gt;0,AVERAGE(N$347:N$350,N351),""),"")</f>
        <v/>
      </c>
      <c r="O460" s="282" t="n">
        <v>5</v>
      </c>
      <c r="P460" s="282" t="n">
        <f aca="false">COMBIN(7,5)</f>
        <v>21</v>
      </c>
      <c r="Q460" s="296" t="n">
        <f aca="false">ROW(N480)-ROW(N460)+1</f>
        <v>21</v>
      </c>
      <c r="R460" s="293" t="s">
        <v>540</v>
      </c>
      <c r="S460" s="294" t="str">
        <f aca="false">IFERROR(IF(C$347*C$348*C$349*C$350*C351&gt;0,STDEV(C$347:C$350,C351),"")/IF(C$347*C$348*C$349*C$350*C351&gt;0,AVERAGE(C$347:C$350,C351),""),"")</f>
        <v/>
      </c>
      <c r="T460" s="294" t="str">
        <f aca="false">IFERROR(IF(D$347*D$348*D$349*D$350*D351&gt;0,STDEV(D$347:D$350,D351),"")/IF(D$347*D$348*D$349*D$350*D351&gt;0,AVERAGE(D$347:D$350,D351),""),"")</f>
        <v/>
      </c>
      <c r="U460" s="294" t="str">
        <f aca="false">IFERROR(IF(E$347*E$348*E$349*E$350*E351&gt;0,STDEV(E$347:E$350,E351),"")/IF(E$347*E$348*E$349*E$350*E351&gt;0,AVERAGE(E$347:E$350,E351),""),"")</f>
        <v/>
      </c>
      <c r="V460" s="294" t="str">
        <f aca="false">IFERROR(IF(F$347*F$348*F$349*F$350*F351&gt;0,STDEV(F$347:F$350,F351),"")/IF(F$347*F$348*F$349*F$350*F351&gt;0,AVERAGE(F$347:F$350,F351),""),"")</f>
        <v/>
      </c>
      <c r="W460" s="294" t="str">
        <f aca="false">IFERROR(IF(G$347*G$348*G$349*G$350*G351&gt;0,STDEV(G$347:G$350,G351),"")/IF(G$347*G$348*G$349*G$350*G351&gt;0,AVERAGE(G$347:G$350,G351),""),"")</f>
        <v/>
      </c>
      <c r="X460" s="294" t="str">
        <f aca="false">IFERROR(IF(H$347*H$348*H$349*H$350*H351&gt;0,STDEV(H$347:H$350,H351),"")/IF(H$347*H$348*H$349*H$350*H351&gt;0,AVERAGE(H$347:H$350,H351),""),"")</f>
        <v/>
      </c>
      <c r="Y460" s="294" t="str">
        <f aca="false">IFERROR(IF(I$347*I$348*I$349*I$350*I351&gt;0,STDEV(I$347:I$350,I351),"")/IF(I$347*I$348*I$349*I$350*I351&gt;0,AVERAGE(I$347:I$350,I351),""),"")</f>
        <v/>
      </c>
      <c r="Z460" s="294" t="str">
        <f aca="false">IFERROR(IF(J$347*J$348*J$349*J$350*J351&gt;0,STDEV(J$347:J$350,J351),"")/IF(J$347*J$348*J$349*J$350*J351&gt;0,AVERAGE(J$347:J$350,J351),""),"")</f>
        <v/>
      </c>
      <c r="AA460" s="294" t="str">
        <f aca="false">IFERROR(IF(K$347*K$348*K$349*K$350*K351&gt;0,STDEV(K$347:K$350,K351),"")/IF(K$347*K$348*K$349*K$350*K351&gt;0,AVERAGE(K$347:K$350,K351),""),"")</f>
        <v/>
      </c>
      <c r="AB460" s="294" t="str">
        <f aca="false">IFERROR(IF(L$347*L$348*L$349*L$350*L351&gt;0,STDEV(L$347:L$350,L351),"")/IF(L$347*L$348*L$349*L$350*L351&gt;0,AVERAGE(L$347:L$350,L351),""),"")</f>
        <v/>
      </c>
      <c r="AC460" s="294" t="str">
        <f aca="false">IFERROR(IF(M$347*M$348*M$349*M$350*M351&gt;0,STDEV(M$347:M$350,M351),"")/IF(M$347*M$348*M$349*M$350*M351&gt;0,AVERAGE(M$347:M$350,M351),""),"")</f>
        <v/>
      </c>
      <c r="AD460" s="294" t="str">
        <f aca="false">IFERROR(IF(N$347*N$348*N$349*N$350*N351&gt;0,STDEV(N$347:N$350,N351),"")/IF(N$347*N$348*N$349*N$350*N351&gt;0,AVERAGE(N$347:N$350,N351),""),"")</f>
        <v/>
      </c>
      <c r="AE460" s="44"/>
      <c r="AF460" s="266" t="s">
        <v>541</v>
      </c>
      <c r="AG460" s="287" t="str">
        <f aca="false">IFERROR(IF(C$347*C$348*C$349*C$350*C351&gt;0,STDEV(C$347:C$350,C351)," ")/IF(C$347*C$348*C$349*C$350*C351&gt;0,SQRT(COUNT(C$347:C$350,C351))," "),"")</f>
        <v/>
      </c>
      <c r="AH460" s="287" t="str">
        <f aca="false">IFERROR(IF(D$347*D$348*D$349*D$350*D351&gt;0,STDEV(D$347:D$350,D351)," ")/IF(D$347*D$348*D$349*D$350*D351&gt;0,SQRT(COUNT(D$347:D$350,D351))," "),"")</f>
        <v/>
      </c>
      <c r="AI460" s="287" t="str">
        <f aca="false">IFERROR(IF(E$347*E$348*E$349*E$350*E351&gt;0,STDEV(E$347:E$350,E351)," ")/IF(E$347*E$348*E$349*E$350*E351&gt;0,SQRT(COUNT(E$347:E$350,E351))," "),"")</f>
        <v/>
      </c>
      <c r="AJ460" s="287" t="str">
        <f aca="false">IFERROR(IF(F$347*F$348*F$349*F$350*F351&gt;0,STDEV(F$347:F$350,F351)," ")/IF(F$347*F$348*F$349*F$350*F351&gt;0,SQRT(COUNT(F$347:F$350,F351))," "),"")</f>
        <v/>
      </c>
      <c r="AK460" s="287" t="str">
        <f aca="false">IFERROR(IF(G$347*G$348*G$349*G$350*G351&gt;0,STDEV(G$347:G$350,G351)," ")/IF(G$347*G$348*G$349*G$350*G351&gt;0,SQRT(COUNT(G$347:G$350,G351))," "),"")</f>
        <v/>
      </c>
      <c r="AL460" s="287" t="str">
        <f aca="false">IFERROR(IF(H$347*H$348*H$349*H$350*H351&gt;0,STDEV(H$347:H$350,H351)," ")/IF(H$347*H$348*H$349*H$350*H351&gt;0,SQRT(COUNT(H$347:H$350,H351))," "),"")</f>
        <v/>
      </c>
      <c r="AM460" s="287" t="str">
        <f aca="false">IFERROR(IF(I$347*I$348*I$349*I$350*I351&gt;0,STDEV(I$347:I$350,I351)," ")/IF(I$347*I$348*I$349*I$350*I351&gt;0,SQRT(COUNT(I$347:I$350,I351))," "),"")</f>
        <v/>
      </c>
      <c r="AN460" s="287" t="str">
        <f aca="false">IFERROR(IF(J$347*J$348*J$349*J$350*J351&gt;0,STDEV(J$347:J$350,J351)," ")/IF(J$347*J$348*J$349*J$350*J351&gt;0,SQRT(COUNT(J$347:J$350,J351))," "),"")</f>
        <v/>
      </c>
      <c r="AO460" s="287" t="str">
        <f aca="false">IFERROR(IF(K$347*K$348*K$349*K$350*K351&gt;0,STDEV(K$347:K$350,K351)," ")/IF(K$347*K$348*K$349*K$350*K351&gt;0,SQRT(COUNT(K$347:K$350,K351))," "),"")</f>
        <v/>
      </c>
      <c r="AP460" s="287" t="str">
        <f aca="false">IFERROR(IF(L$347*L$348*L$349*L$350*L351&gt;0,STDEV(L$347:L$350,L351)," ")/IF(L$347*L$348*L$349*L$350*L351&gt;0,SQRT(COUNT(L$347:L$350,L351))," "),"")</f>
        <v/>
      </c>
      <c r="AQ460" s="287" t="str">
        <f aca="false">IFERROR(IF(M$347*M$348*M$349*M$350*M351&gt;0,STDEV(M$347:M$350,M351)," ")/IF(M$347*M$348*M$349*M$350*M351&gt;0,SQRT(COUNT(M$347:M$350,M351))," "),"")</f>
        <v/>
      </c>
      <c r="AR460" s="287" t="str">
        <f aca="false">IFERROR(IF(N$347*N$348*N$349*N$350*N351&gt;0,STDEV(N$347:N$350,N351)," ")/IF(N$347*N$348*N$349*N$350*N351&gt;0,SQRT(COUNT(N$347:N$350,N351))," "),"")</f>
        <v/>
      </c>
    </row>
    <row r="461" customFormat="false" ht="15.75" hidden="false" customHeight="false" outlineLevel="0" collapsed="false">
      <c r="A461" s="290" t="s">
        <v>542</v>
      </c>
      <c r="B461" s="281"/>
      <c r="C461" s="302" t="str">
        <f aca="false">IFERROR(IF(C$347*C$348*C$349*C$350*C352&gt;0,AVERAGE(C$347:C$350,C352),""),"")</f>
        <v/>
      </c>
      <c r="D461" s="302" t="str">
        <f aca="false">IFERROR(IF(D$347*D$348*D$349*D$350*D352&gt;0,AVERAGE(D$347:D$350,D352),""),"")</f>
        <v/>
      </c>
      <c r="E461" s="302" t="str">
        <f aca="false">IFERROR(IF(E$347*E$348*E$349*E$350*E352&gt;0,AVERAGE(E$347:E$350,E352),""),"")</f>
        <v/>
      </c>
      <c r="F461" s="302" t="str">
        <f aca="false">IFERROR(IF(F$347*F$348*F$349*F$350*F352&gt;0,AVERAGE(F$347:F$350,F352),""),"")</f>
        <v/>
      </c>
      <c r="G461" s="302" t="str">
        <f aca="false">IFERROR(IF(G$347*G$348*G$349*G$350*G352&gt;0,AVERAGE(G$347:G$350,G352),""),"")</f>
        <v/>
      </c>
      <c r="H461" s="302" t="str">
        <f aca="false">IFERROR(IF(H$347*H$348*H$349*H$350*H352&gt;0,AVERAGE(H$347:H$350,H352),""),"")</f>
        <v/>
      </c>
      <c r="I461" s="302" t="str">
        <f aca="false">IFERROR(IF(I$347*I$348*I$349*I$350*I352&gt;0,AVERAGE(I$347:I$350,I352),""),"")</f>
        <v/>
      </c>
      <c r="J461" s="302" t="str">
        <f aca="false">IFERROR(IF(J$347*J$348*J$349*J$350*J352&gt;0,AVERAGE(J$347:J$350,J352),""),"")</f>
        <v/>
      </c>
      <c r="K461" s="302" t="str">
        <f aca="false">IFERROR(IF(K$347*K$348*K$349*K$350*K352&gt;0,AVERAGE(K$347:K$350,K352),""),"")</f>
        <v/>
      </c>
      <c r="L461" s="302" t="str">
        <f aca="false">IFERROR(IF(L$347*L$348*L$349*L$350*L352&gt;0,AVERAGE(L$347:L$350,L352),""),"")</f>
        <v/>
      </c>
      <c r="M461" s="302" t="str">
        <f aca="false">IFERROR(IF(M$347*M$348*M$349*M$350*M352&gt;0,AVERAGE(M$347:M$350,M352),""),"")</f>
        <v/>
      </c>
      <c r="N461" s="302" t="str">
        <f aca="false">IFERROR(IF(N$347*N$348*N$349*N$350*N352&gt;0,AVERAGE(N$347:N$350,N352),""),"")</f>
        <v/>
      </c>
      <c r="O461" s="282"/>
      <c r="P461" s="282"/>
      <c r="Q461" s="296"/>
      <c r="R461" s="293" t="s">
        <v>543</v>
      </c>
      <c r="S461" s="294" t="str">
        <f aca="false">IFERROR(IF(C$347*C$348*C$349*C$350*C352&gt;0,STDEV(C$347:C$350,C352),"")/IF(C$347*C$348*C$349*C$350*C352&gt;0,AVERAGE(C$347:C$350,C352),""),"")</f>
        <v/>
      </c>
      <c r="T461" s="294" t="str">
        <f aca="false">IFERROR(IF(D$347*D$348*D$349*D$350*D352&gt;0,STDEV(D$347:D$350,D352),"")/IF(D$347*D$348*D$349*D$350*D352&gt;0,AVERAGE(D$347:D$350,D352),""),"")</f>
        <v/>
      </c>
      <c r="U461" s="294" t="str">
        <f aca="false">IFERROR(IF(E$347*E$348*E$349*E$350*E352&gt;0,STDEV(E$347:E$350,E352),"")/IF(E$347*E$348*E$349*E$350*E352&gt;0,AVERAGE(E$347:E$350,E352),""),"")</f>
        <v/>
      </c>
      <c r="V461" s="294" t="str">
        <f aca="false">IFERROR(IF(F$347*F$348*F$349*F$350*F352&gt;0,STDEV(F$347:F$350,F352),"")/IF(F$347*F$348*F$349*F$350*F352&gt;0,AVERAGE(F$347:F$350,F352),""),"")</f>
        <v/>
      </c>
      <c r="W461" s="294" t="str">
        <f aca="false">IFERROR(IF(G$347*G$348*G$349*G$350*G352&gt;0,STDEV(G$347:G$350,G352),"")/IF(G$347*G$348*G$349*G$350*G352&gt;0,AVERAGE(G$347:G$350,G352),""),"")</f>
        <v/>
      </c>
      <c r="X461" s="294" t="str">
        <f aca="false">IFERROR(IF(H$347*H$348*H$349*H$350*H352&gt;0,STDEV(H$347:H$350,H352),"")/IF(H$347*H$348*H$349*H$350*H352&gt;0,AVERAGE(H$347:H$350,H352),""),"")</f>
        <v/>
      </c>
      <c r="Y461" s="294" t="str">
        <f aca="false">IFERROR(IF(I$347*I$348*I$349*I$350*I352&gt;0,STDEV(I$347:I$350,I352),"")/IF(I$347*I$348*I$349*I$350*I352&gt;0,AVERAGE(I$347:I$350,I352),""),"")</f>
        <v/>
      </c>
      <c r="Z461" s="294" t="str">
        <f aca="false">IFERROR(IF(J$347*J$348*J$349*J$350*J352&gt;0,STDEV(J$347:J$350,J352),"")/IF(J$347*J$348*J$349*J$350*J352&gt;0,AVERAGE(J$347:J$350,J352),""),"")</f>
        <v/>
      </c>
      <c r="AA461" s="294" t="str">
        <f aca="false">IFERROR(IF(K$347*K$348*K$349*K$350*K352&gt;0,STDEV(K$347:K$350,K352),"")/IF(K$347*K$348*K$349*K$350*K352&gt;0,AVERAGE(K$347:K$350,K352),""),"")</f>
        <v/>
      </c>
      <c r="AB461" s="294" t="str">
        <f aca="false">IFERROR(IF(L$347*L$348*L$349*L$350*L352&gt;0,STDEV(L$347:L$350,L352),"")/IF(L$347*L$348*L$349*L$350*L352&gt;0,AVERAGE(L$347:L$350,L352),""),"")</f>
        <v/>
      </c>
      <c r="AC461" s="294" t="str">
        <f aca="false">IFERROR(IF(M$347*M$348*M$349*M$350*M352&gt;0,STDEV(M$347:M$350,M352),"")/IF(M$347*M$348*M$349*M$350*M352&gt;0,AVERAGE(M$347:M$350,M352),""),"")</f>
        <v/>
      </c>
      <c r="AD461" s="294" t="str">
        <f aca="false">IFERROR(IF(N$347*N$348*N$349*N$350*N352&gt;0,STDEV(N$347:N$350,N352),"")/IF(N$347*N$348*N$349*N$350*N352&gt;0,AVERAGE(N$347:N$350,N352),""),"")</f>
        <v/>
      </c>
      <c r="AE461" s="44"/>
      <c r="AF461" s="266" t="s">
        <v>544</v>
      </c>
      <c r="AG461" s="287" t="str">
        <f aca="false">IFERROR(IF(C$347*C$348*C$349*C$350*C352&gt;0,STDEV(C$347:C$350,C352)," ")/IF(C$347*C$348*C$349*C$350*C352&gt;0,SQRT(COUNT(C$347:C$350,C352))," "),"")</f>
        <v/>
      </c>
      <c r="AH461" s="287" t="str">
        <f aca="false">IFERROR(IF(D$347*D$348*D$349*D$350*D352&gt;0,STDEV(D$347:D$350,D352)," ")/IF(D$347*D$348*D$349*D$350*D352&gt;0,SQRT(COUNT(D$347:D$350,D352))," "),"")</f>
        <v/>
      </c>
      <c r="AI461" s="287" t="str">
        <f aca="false">IFERROR(IF(E$347*E$348*E$349*E$350*E352&gt;0,STDEV(E$347:E$350,E352)," ")/IF(E$347*E$348*E$349*E$350*E352&gt;0,SQRT(COUNT(E$347:E$350,E352))," "),"")</f>
        <v/>
      </c>
      <c r="AJ461" s="287" t="str">
        <f aca="false">IFERROR(IF(F$347*F$348*F$349*F$350*F352&gt;0,STDEV(F$347:F$350,F352)," ")/IF(F$347*F$348*F$349*F$350*F352&gt;0,SQRT(COUNT(F$347:F$350,F352))," "),"")</f>
        <v/>
      </c>
      <c r="AK461" s="287" t="str">
        <f aca="false">IFERROR(IF(G$347*G$348*G$349*G$350*G352&gt;0,STDEV(G$347:G$350,G352)," ")/IF(G$347*G$348*G$349*G$350*G352&gt;0,SQRT(COUNT(G$347:G$350,G352))," "),"")</f>
        <v/>
      </c>
      <c r="AL461" s="287" t="str">
        <f aca="false">IFERROR(IF(H$347*H$348*H$349*H$350*H352&gt;0,STDEV(H$347:H$350,H352)," ")/IF(H$347*H$348*H$349*H$350*H352&gt;0,SQRT(COUNT(H$347:H$350,H352))," "),"")</f>
        <v/>
      </c>
      <c r="AM461" s="287" t="str">
        <f aca="false">IFERROR(IF(I$347*I$348*I$349*I$350*I352&gt;0,STDEV(I$347:I$350,I352)," ")/IF(I$347*I$348*I$349*I$350*I352&gt;0,SQRT(COUNT(I$347:I$350,I352))," "),"")</f>
        <v/>
      </c>
      <c r="AN461" s="287" t="str">
        <f aca="false">IFERROR(IF(J$347*J$348*J$349*J$350*J352&gt;0,STDEV(J$347:J$350,J352)," ")/IF(J$347*J$348*J$349*J$350*J352&gt;0,SQRT(COUNT(J$347:J$350,J352))," "),"")</f>
        <v/>
      </c>
      <c r="AO461" s="287" t="str">
        <f aca="false">IFERROR(IF(K$347*K$348*K$349*K$350*K352&gt;0,STDEV(K$347:K$350,K352)," ")/IF(K$347*K$348*K$349*K$350*K352&gt;0,SQRT(COUNT(K$347:K$350,K352))," "),"")</f>
        <v/>
      </c>
      <c r="AP461" s="287" t="str">
        <f aca="false">IFERROR(IF(L$347*L$348*L$349*L$350*L352&gt;0,STDEV(L$347:L$350,L352)," ")/IF(L$347*L$348*L$349*L$350*L352&gt;0,SQRT(COUNT(L$347:L$350,L352))," "),"")</f>
        <v/>
      </c>
      <c r="AQ461" s="287" t="str">
        <f aca="false">IFERROR(IF(M$347*M$348*M$349*M$350*M352&gt;0,STDEV(M$347:M$350,M352)," ")/IF(M$347*M$348*M$349*M$350*M352&gt;0,SQRT(COUNT(M$347:M$350,M352))," "),"")</f>
        <v/>
      </c>
      <c r="AR461" s="287" t="str">
        <f aca="false">IFERROR(IF(N$347*N$348*N$349*N$350*N352&gt;0,STDEV(N$347:N$350,N352)," ")/IF(N$347*N$348*N$349*N$350*N352&gt;0,SQRT(COUNT(N$347:N$350,N352))," "),"")</f>
        <v/>
      </c>
    </row>
    <row r="462" customFormat="false" ht="15.75" hidden="false" customHeight="false" outlineLevel="0" collapsed="false">
      <c r="A462" s="290" t="s">
        <v>545</v>
      </c>
      <c r="B462" s="281"/>
      <c r="C462" s="302" t="str">
        <f aca="false">IFERROR(IF(C$347*C$348*C$349*C$350*C353&gt;0,AVERAGE(C$347:C$350,C353),""),"")</f>
        <v/>
      </c>
      <c r="D462" s="302" t="str">
        <f aca="false">IFERROR(IF(D$347*D$348*D$349*D$350*D353&gt;0,AVERAGE(D$347:D$350,D353),""),"")</f>
        <v/>
      </c>
      <c r="E462" s="302" t="str">
        <f aca="false">IFERROR(IF(E$347*E$348*E$349*E$350*E353&gt;0,AVERAGE(E$347:E$350,E353),""),"")</f>
        <v/>
      </c>
      <c r="F462" s="302" t="str">
        <f aca="false">IFERROR(IF(F$347*F$348*F$349*F$350*F353&gt;0,AVERAGE(F$347:F$350,F353),""),"")</f>
        <v/>
      </c>
      <c r="G462" s="302" t="str">
        <f aca="false">IFERROR(IF(G$347*G$348*G$349*G$350*G353&gt;0,AVERAGE(G$347:G$350,G353),""),"")</f>
        <v/>
      </c>
      <c r="H462" s="302" t="str">
        <f aca="false">IFERROR(IF(H$347*H$348*H$349*H$350*H353&gt;0,AVERAGE(H$347:H$350,H353),""),"")</f>
        <v/>
      </c>
      <c r="I462" s="302" t="str">
        <f aca="false">IFERROR(IF(I$347*I$348*I$349*I$350*I353&gt;0,AVERAGE(I$347:I$350,I353),""),"")</f>
        <v/>
      </c>
      <c r="J462" s="302" t="str">
        <f aca="false">IFERROR(IF(J$347*J$348*J$349*J$350*J353&gt;0,AVERAGE(J$347:J$350,J353),""),"")</f>
        <v/>
      </c>
      <c r="K462" s="302" t="str">
        <f aca="false">IFERROR(IF(K$347*K$348*K$349*K$350*K353&gt;0,AVERAGE(K$347:K$350,K353),""),"")</f>
        <v/>
      </c>
      <c r="L462" s="302" t="str">
        <f aca="false">IFERROR(IF(L$347*L$348*L$349*L$350*L353&gt;0,AVERAGE(L$347:L$350,L353),""),"")</f>
        <v/>
      </c>
      <c r="M462" s="302" t="str">
        <f aca="false">IFERROR(IF(M$347*M$348*M$349*M$350*M353&gt;0,AVERAGE(M$347:M$350,M353),""),"")</f>
        <v/>
      </c>
      <c r="N462" s="302" t="str">
        <f aca="false">IFERROR(IF(N$347*N$348*N$349*N$350*N353&gt;0,AVERAGE(N$347:N$350,N353),""),"")</f>
        <v/>
      </c>
      <c r="O462" s="282"/>
      <c r="P462" s="282"/>
      <c r="Q462" s="296"/>
      <c r="R462" s="293" t="s">
        <v>546</v>
      </c>
      <c r="S462" s="294" t="str">
        <f aca="false">IFERROR(IF(C$347*C$348*C$349*C$350*C353&gt;0,STDEV(C$347:C$350,C353),"")/IF(C$347*C$348*C$349*C$350*C353&gt;0,AVERAGE(C$347:C$350,C353),""),"")</f>
        <v/>
      </c>
      <c r="T462" s="294" t="str">
        <f aca="false">IFERROR(IF(D$347*D$348*D$349*D$350*D353&gt;0,STDEV(D$347:D$350,D353),"")/IF(D$347*D$348*D$349*D$350*D353&gt;0,AVERAGE(D$347:D$350,D353),""),"")</f>
        <v/>
      </c>
      <c r="U462" s="294" t="str">
        <f aca="false">IFERROR(IF(E$347*E$348*E$349*E$350*E353&gt;0,STDEV(E$347:E$350,E353),"")/IF(E$347*E$348*E$349*E$350*E353&gt;0,AVERAGE(E$347:E$350,E353),""),"")</f>
        <v/>
      </c>
      <c r="V462" s="294" t="str">
        <f aca="false">IFERROR(IF(F$347*F$348*F$349*F$350*F353&gt;0,STDEV(F$347:F$350,F353),"")/IF(F$347*F$348*F$349*F$350*F353&gt;0,AVERAGE(F$347:F$350,F353),""),"")</f>
        <v/>
      </c>
      <c r="W462" s="294" t="str">
        <f aca="false">IFERROR(IF(G$347*G$348*G$349*G$350*G353&gt;0,STDEV(G$347:G$350,G353),"")/IF(G$347*G$348*G$349*G$350*G353&gt;0,AVERAGE(G$347:G$350,G353),""),"")</f>
        <v/>
      </c>
      <c r="X462" s="294" t="str">
        <f aca="false">IFERROR(IF(H$347*H$348*H$349*H$350*H353&gt;0,STDEV(H$347:H$350,H353),"")/IF(H$347*H$348*H$349*H$350*H353&gt;0,AVERAGE(H$347:H$350,H353),""),"")</f>
        <v/>
      </c>
      <c r="Y462" s="294" t="str">
        <f aca="false">IFERROR(IF(I$347*I$348*I$349*I$350*I353&gt;0,STDEV(I$347:I$350,I353),"")/IF(I$347*I$348*I$349*I$350*I353&gt;0,AVERAGE(I$347:I$350,I353),""),"")</f>
        <v/>
      </c>
      <c r="Z462" s="294" t="str">
        <f aca="false">IFERROR(IF(J$347*J$348*J$349*J$350*J353&gt;0,STDEV(J$347:J$350,J353),"")/IF(J$347*J$348*J$349*J$350*J353&gt;0,AVERAGE(J$347:J$350,J353),""),"")</f>
        <v/>
      </c>
      <c r="AA462" s="294" t="str">
        <f aca="false">IFERROR(IF(K$347*K$348*K$349*K$350*K353&gt;0,STDEV(K$347:K$350,K353),"")/IF(K$347*K$348*K$349*K$350*K353&gt;0,AVERAGE(K$347:K$350,K353),""),"")</f>
        <v/>
      </c>
      <c r="AB462" s="294" t="str">
        <f aca="false">IFERROR(IF(L$347*L$348*L$349*L$350*L353&gt;0,STDEV(L$347:L$350,L353),"")/IF(L$347*L$348*L$349*L$350*L353&gt;0,AVERAGE(L$347:L$350,L353),""),"")</f>
        <v/>
      </c>
      <c r="AC462" s="294" t="str">
        <f aca="false">IFERROR(IF(M$347*M$348*M$349*M$350*M353&gt;0,STDEV(M$347:M$350,M353),"")/IF(M$347*M$348*M$349*M$350*M353&gt;0,AVERAGE(M$347:M$350,M353),""),"")</f>
        <v/>
      </c>
      <c r="AD462" s="294" t="str">
        <f aca="false">IFERROR(IF(N$347*N$348*N$349*N$350*N353&gt;0,STDEV(N$347:N$350,N353),"")/IF(N$347*N$348*N$349*N$350*N353&gt;0,AVERAGE(N$347:N$350,N353),""),"")</f>
        <v/>
      </c>
      <c r="AE462" s="44"/>
      <c r="AF462" s="266" t="s">
        <v>547</v>
      </c>
      <c r="AG462" s="287" t="str">
        <f aca="false">IFERROR(IF(C$347*C$348*C$349*C$350*C353&gt;0,STDEV(C$347:C$350,C353)," ")/IF(C$347*C$348*C$349*C$350*C353&gt;0,SQRT(COUNT(C$347:C$350,C353))," "),"")</f>
        <v/>
      </c>
      <c r="AH462" s="287" t="str">
        <f aca="false">IFERROR(IF(D$347*D$348*D$349*D$350*D353&gt;0,STDEV(D$347:D$350,D353)," ")/IF(D$347*D$348*D$349*D$350*D353&gt;0,SQRT(COUNT(D$347:D$350,D353))," "),"")</f>
        <v/>
      </c>
      <c r="AI462" s="287" t="str">
        <f aca="false">IFERROR(IF(E$347*E$348*E$349*E$350*E353&gt;0,STDEV(E$347:E$350,E353)," ")/IF(E$347*E$348*E$349*E$350*E353&gt;0,SQRT(COUNT(E$347:E$350,E353))," "),"")</f>
        <v/>
      </c>
      <c r="AJ462" s="287" t="str">
        <f aca="false">IFERROR(IF(F$347*F$348*F$349*F$350*F353&gt;0,STDEV(F$347:F$350,F353)," ")/IF(F$347*F$348*F$349*F$350*F353&gt;0,SQRT(COUNT(F$347:F$350,F353))," "),"")</f>
        <v/>
      </c>
      <c r="AK462" s="287" t="str">
        <f aca="false">IFERROR(IF(G$347*G$348*G$349*G$350*G353&gt;0,STDEV(G$347:G$350,G353)," ")/IF(G$347*G$348*G$349*G$350*G353&gt;0,SQRT(COUNT(G$347:G$350,G353))," "),"")</f>
        <v/>
      </c>
      <c r="AL462" s="287" t="str">
        <f aca="false">IFERROR(IF(H$347*H$348*H$349*H$350*H353&gt;0,STDEV(H$347:H$350,H353)," ")/IF(H$347*H$348*H$349*H$350*H353&gt;0,SQRT(COUNT(H$347:H$350,H353))," "),"")</f>
        <v/>
      </c>
      <c r="AM462" s="287" t="str">
        <f aca="false">IFERROR(IF(I$347*I$348*I$349*I$350*I353&gt;0,STDEV(I$347:I$350,I353)," ")/IF(I$347*I$348*I$349*I$350*I353&gt;0,SQRT(COUNT(I$347:I$350,I353))," "),"")</f>
        <v/>
      </c>
      <c r="AN462" s="287" t="str">
        <f aca="false">IFERROR(IF(J$347*J$348*J$349*J$350*J353&gt;0,STDEV(J$347:J$350,J353)," ")/IF(J$347*J$348*J$349*J$350*J353&gt;0,SQRT(COUNT(J$347:J$350,J353))," "),"")</f>
        <v/>
      </c>
      <c r="AO462" s="287" t="str">
        <f aca="false">IFERROR(IF(K$347*K$348*K$349*K$350*K353&gt;0,STDEV(K$347:K$350,K353)," ")/IF(K$347*K$348*K$349*K$350*K353&gt;0,SQRT(COUNT(K$347:K$350,K353))," "),"")</f>
        <v/>
      </c>
      <c r="AP462" s="287" t="str">
        <f aca="false">IFERROR(IF(L$347*L$348*L$349*L$350*L353&gt;0,STDEV(L$347:L$350,L353)," ")/IF(L$347*L$348*L$349*L$350*L353&gt;0,SQRT(COUNT(L$347:L$350,L353))," "),"")</f>
        <v/>
      </c>
      <c r="AQ462" s="287" t="str">
        <f aca="false">IFERROR(IF(M$347*M$348*M$349*M$350*M353&gt;0,STDEV(M$347:M$350,M353)," ")/IF(M$347*M$348*M$349*M$350*M353&gt;0,SQRT(COUNT(M$347:M$350,M353))," "),"")</f>
        <v/>
      </c>
      <c r="AR462" s="287" t="str">
        <f aca="false">IFERROR(IF(N$347*N$348*N$349*N$350*N353&gt;0,STDEV(N$347:N$350,N353)," ")/IF(N$347*N$348*N$349*N$350*N353&gt;0,SQRT(COUNT(N$347:N$350,N353))," "),"")</f>
        <v/>
      </c>
    </row>
    <row r="463" customFormat="false" ht="15.75" hidden="false" customHeight="false" outlineLevel="0" collapsed="false">
      <c r="A463" s="290" t="s">
        <v>548</v>
      </c>
      <c r="B463" s="281"/>
      <c r="C463" s="302" t="str">
        <f aca="false">IFERROR(IF(C$348*C$349*C$350*C$351*C347&gt;0,AVERAGE(C$348:C$351,C347),""),"")</f>
        <v/>
      </c>
      <c r="D463" s="302" t="str">
        <f aca="false">IFERROR(IF(D$348*D$349*D$350*D$351*D347&gt;0,AVERAGE(D$348:D$351,D347),""),"")</f>
        <v/>
      </c>
      <c r="E463" s="302" t="str">
        <f aca="false">IFERROR(IF(E$348*E$349*E$350*E$351*E347&gt;0,AVERAGE(E$348:E$351,E347),""),"")</f>
        <v/>
      </c>
      <c r="F463" s="302" t="str">
        <f aca="false">IFERROR(IF(F$348*F$349*F$350*F$351*F347&gt;0,AVERAGE(F$348:F$351,F347),""),"")</f>
        <v/>
      </c>
      <c r="G463" s="302" t="str">
        <f aca="false">IFERROR(IF(G$348*G$349*G$350*G$351*G347&gt;0,AVERAGE(G$348:G$351,G347),""),"")</f>
        <v/>
      </c>
      <c r="H463" s="302" t="str">
        <f aca="false">IFERROR(IF(H$348*H$349*H$350*H$351*H347&gt;0,AVERAGE(H$348:H$351,H347),""),"")</f>
        <v/>
      </c>
      <c r="I463" s="302" t="str">
        <f aca="false">IFERROR(IF(I$348*I$349*I$350*I$351*I347&gt;0,AVERAGE(I$348:I$351,I347),""),"")</f>
        <v/>
      </c>
      <c r="J463" s="302" t="str">
        <f aca="false">IFERROR(IF(J$348*J$349*J$350*J$351*J347&gt;0,AVERAGE(J$348:J$351,J347),""),"")</f>
        <v/>
      </c>
      <c r="K463" s="302" t="str">
        <f aca="false">IFERROR(IF(K$348*K$349*K$350*K$351*K347&gt;0,AVERAGE(K$348:K$351,K347),""),"")</f>
        <v/>
      </c>
      <c r="L463" s="302" t="str">
        <f aca="false">IFERROR(IF(L$348*L$349*L$350*L$351*L347&gt;0,AVERAGE(L$348:L$351,L347),""),"")</f>
        <v/>
      </c>
      <c r="M463" s="302" t="str">
        <f aca="false">IFERROR(IF(M$348*M$349*M$350*M$351*M347&gt;0,AVERAGE(M$348:M$351,M347),""),"")</f>
        <v/>
      </c>
      <c r="N463" s="302" t="str">
        <f aca="false">IFERROR(IF(N$348*N$349*N$350*N$351*N347&gt;0,AVERAGE(N$348:N$351,N347),""),"")</f>
        <v/>
      </c>
      <c r="O463" s="282"/>
      <c r="P463" s="282"/>
      <c r="Q463" s="296"/>
      <c r="R463" s="293" t="s">
        <v>549</v>
      </c>
      <c r="S463" s="294" t="str">
        <f aca="false">IFERROR(IF(C$348*C$349*C$350*C$351*C347&gt;0,STDEV(C$348:C$351,C347),"")/IF(C$348*C$349*C$350*C$351*C347&gt;0,AVERAGE(C$348:C$351,C347),""),"")</f>
        <v/>
      </c>
      <c r="T463" s="294" t="str">
        <f aca="false">IFERROR(IF(D$348*D$349*D$350*D$351*D347&gt;0,STDEV(D$348:D$351,D347),"")/IF(D$348*D$349*D$350*D$351*D347&gt;0,AVERAGE(D$348:D$351,D347),""),"")</f>
        <v/>
      </c>
      <c r="U463" s="294" t="str">
        <f aca="false">IFERROR(IF(E$348*E$349*E$350*E$351*E347&gt;0,STDEV(E$348:E$351,E347),"")/IF(E$348*E$349*E$350*E$351*E347&gt;0,AVERAGE(E$348:E$351,E347),""),"")</f>
        <v/>
      </c>
      <c r="V463" s="294" t="str">
        <f aca="false">IFERROR(IF(F$348*F$349*F$350*F$351*F347&gt;0,STDEV(F$348:F$351,F347),"")/IF(F$348*F$349*F$350*F$351*F347&gt;0,AVERAGE(F$348:F$351,F347),""),"")</f>
        <v/>
      </c>
      <c r="W463" s="294" t="str">
        <f aca="false">IFERROR(IF(G$348*G$349*G$350*G$351*G347&gt;0,STDEV(G$348:G$351,G347),"")/IF(G$348*G$349*G$350*G$351*G347&gt;0,AVERAGE(G$348:G$351,G347),""),"")</f>
        <v/>
      </c>
      <c r="X463" s="294" t="str">
        <f aca="false">IFERROR(IF(H$348*H$349*H$350*H$351*H347&gt;0,STDEV(H$348:H$351,H347),"")/IF(H$348*H$349*H$350*H$351*H347&gt;0,AVERAGE(H$348:H$351,H347),""),"")</f>
        <v/>
      </c>
      <c r="Y463" s="294" t="str">
        <f aca="false">IFERROR(IF(I$348*I$349*I$350*I$351*I347&gt;0,STDEV(I$348:I$351,I347),"")/IF(I$348*I$349*I$350*I$351*I347&gt;0,AVERAGE(I$348:I$351,I347),""),"")</f>
        <v/>
      </c>
      <c r="Z463" s="294" t="str">
        <f aca="false">IFERROR(IF(J$348*J$349*J$350*J$351*J347&gt;0,STDEV(J$348:J$351,J347),"")/IF(J$348*J$349*J$350*J$351*J347&gt;0,AVERAGE(J$348:J$351,J347),""),"")</f>
        <v/>
      </c>
      <c r="AA463" s="294" t="str">
        <f aca="false">IFERROR(IF(K$348*K$349*K$350*K$351*K347&gt;0,STDEV(K$348:K$351,K347),"")/IF(K$348*K$349*K$350*K$351*K347&gt;0,AVERAGE(K$348:K$351,K347),""),"")</f>
        <v/>
      </c>
      <c r="AB463" s="294" t="str">
        <f aca="false">IFERROR(IF(L$348*L$349*L$350*L$351*L347&gt;0,STDEV(L$348:L$351,L347),"")/IF(L$348*L$349*L$350*L$351*L347&gt;0,AVERAGE(L$348:L$351,L347),""),"")</f>
        <v/>
      </c>
      <c r="AC463" s="294" t="str">
        <f aca="false">IFERROR(IF(M$348*M$349*M$350*M$351*M347&gt;0,STDEV(M$348:M$351,M347),"")/IF(M$348*M$349*M$350*M$351*M347&gt;0,AVERAGE(M$348:M$351,M347),""),"")</f>
        <v/>
      </c>
      <c r="AD463" s="294" t="str">
        <f aca="false">IFERROR(IF(N$348*N$349*N$350*N$351*N347&gt;0,STDEV(N$348:N$351,N347),"")/IF(N$348*N$349*N$350*N$351*N347&gt;0,AVERAGE(N$348:N$351,N347),""),"")</f>
        <v/>
      </c>
      <c r="AE463" s="44"/>
      <c r="AF463" s="266" t="s">
        <v>550</v>
      </c>
      <c r="AG463" s="287" t="str">
        <f aca="false">IFERROR(IF(C$348*C$349*C$350*C$351*C347&gt;0,STDEV(C$348:C$351,C347)," ")/IF(C$348*C$349*C$350*C$351*C347&gt;0,SQRT(COUNT(C$348:C$351,C347))," "),"")</f>
        <v/>
      </c>
      <c r="AH463" s="287" t="str">
        <f aca="false">IFERROR(IF(D$348*D$349*D$350*D$351*D347&gt;0,STDEV(D$348:D$351,D347)," ")/IF(D$348*D$349*D$350*D$351*D347&gt;0,SQRT(COUNT(D$348:D$351,D347))," "),"")</f>
        <v/>
      </c>
      <c r="AI463" s="287" t="str">
        <f aca="false">IFERROR(IF(E$348*E$349*E$350*E$351*E347&gt;0,STDEV(E$348:E$351,E347)," ")/IF(E$348*E$349*E$350*E$351*E347&gt;0,SQRT(COUNT(E$348:E$351,E347))," "),"")</f>
        <v/>
      </c>
      <c r="AJ463" s="287" t="str">
        <f aca="false">IFERROR(IF(F$348*F$349*F$350*F$351*F347&gt;0,STDEV(F$348:F$351,F347)," ")/IF(F$348*F$349*F$350*F$351*F347&gt;0,SQRT(COUNT(F$348:F$351,F347))," "),"")</f>
        <v/>
      </c>
      <c r="AK463" s="287" t="str">
        <f aca="false">IFERROR(IF(G$348*G$349*G$350*G$351*G347&gt;0,STDEV(G$348:G$351,G347)," ")/IF(G$348*G$349*G$350*G$351*G347&gt;0,SQRT(COUNT(G$348:G$351,G347))," "),"")</f>
        <v/>
      </c>
      <c r="AL463" s="287" t="str">
        <f aca="false">IFERROR(IF(H$348*H$349*H$350*H$351*H347&gt;0,STDEV(H$348:H$351,H347)," ")/IF(H$348*H$349*H$350*H$351*H347&gt;0,SQRT(COUNT(H$348:H$351,H347))," "),"")</f>
        <v/>
      </c>
      <c r="AM463" s="287" t="str">
        <f aca="false">IFERROR(IF(I$348*I$349*I$350*I$351*I347&gt;0,STDEV(I$348:I$351,I347)," ")/IF(I$348*I$349*I$350*I$351*I347&gt;0,SQRT(COUNT(I$348:I$351,I347))," "),"")</f>
        <v/>
      </c>
      <c r="AN463" s="287" t="str">
        <f aca="false">IFERROR(IF(J$348*J$349*J$350*J$351*J347&gt;0,STDEV(J$348:J$351,J347)," ")/IF(J$348*J$349*J$350*J$351*J347&gt;0,SQRT(COUNT(J$348:J$351,J347))," "),"")</f>
        <v/>
      </c>
      <c r="AO463" s="287" t="str">
        <f aca="false">IFERROR(IF(K$348*K$349*K$350*K$351*K347&gt;0,STDEV(K$348:K$351,K347)," ")/IF(K$348*K$349*K$350*K$351*K347&gt;0,SQRT(COUNT(K$348:K$351,K347))," "),"")</f>
        <v/>
      </c>
      <c r="AP463" s="287" t="str">
        <f aca="false">IFERROR(IF(L$348*L$349*L$350*L$351*L347&gt;0,STDEV(L$348:L$351,L347)," ")/IF(L$348*L$349*L$350*L$351*L347&gt;0,SQRT(COUNT(L$348:L$351,L347))," "),"")</f>
        <v/>
      </c>
      <c r="AQ463" s="287" t="str">
        <f aca="false">IFERROR(IF(M$348*M$349*M$350*M$351*M347&gt;0,STDEV(M$348:M$351,M347)," ")/IF(M$348*M$349*M$350*M$351*M347&gt;0,SQRT(COUNT(M$348:M$351,M347))," "),"")</f>
        <v/>
      </c>
      <c r="AR463" s="287" t="str">
        <f aca="false">IFERROR(IF(N$348*N$349*N$350*N$351*N347&gt;0,STDEV(N$348:N$351,N347)," ")/IF(N$348*N$349*N$350*N$351*N347&gt;0,SQRT(COUNT(N$348:N$351,N347))," "),"")</f>
        <v/>
      </c>
    </row>
    <row r="464" customFormat="false" ht="15.75" hidden="false" customHeight="false" outlineLevel="0" collapsed="false">
      <c r="A464" s="290" t="s">
        <v>551</v>
      </c>
      <c r="B464" s="281"/>
      <c r="C464" s="302" t="str">
        <f aca="false">IFERROR(IF(C$348*C$349*C$350*C$351*C352&gt;0,AVERAGE(C$348:C$351,C352),""),"")</f>
        <v/>
      </c>
      <c r="D464" s="302" t="str">
        <f aca="false">IFERROR(IF(D$348*D$349*D$350*D$351*D352&gt;0,AVERAGE(D$348:D$351,D352),""),"")</f>
        <v/>
      </c>
      <c r="E464" s="302" t="str">
        <f aca="false">IFERROR(IF(E$348*E$349*E$350*E$351*E352&gt;0,AVERAGE(E$348:E$351,E352),""),"")</f>
        <v/>
      </c>
      <c r="F464" s="302" t="str">
        <f aca="false">IFERROR(IF(F$348*F$349*F$350*F$351*F352&gt;0,AVERAGE(F$348:F$351,F352),""),"")</f>
        <v/>
      </c>
      <c r="G464" s="302" t="str">
        <f aca="false">IFERROR(IF(G$348*G$349*G$350*G$351*G352&gt;0,AVERAGE(G$348:G$351,G352),""),"")</f>
        <v/>
      </c>
      <c r="H464" s="302" t="str">
        <f aca="false">IFERROR(IF(H$348*H$349*H$350*H$351*H352&gt;0,AVERAGE(H$348:H$351,H352),""),"")</f>
        <v/>
      </c>
      <c r="I464" s="302" t="str">
        <f aca="false">IFERROR(IF(I$348*I$349*I$350*I$351*I352&gt;0,AVERAGE(I$348:I$351,I352),""),"")</f>
        <v/>
      </c>
      <c r="J464" s="302" t="str">
        <f aca="false">IFERROR(IF(J$348*J$349*J$350*J$351*J352&gt;0,AVERAGE(J$348:J$351,J352),""),"")</f>
        <v/>
      </c>
      <c r="K464" s="302" t="str">
        <f aca="false">IFERROR(IF(K$348*K$349*K$350*K$351*K352&gt;0,AVERAGE(K$348:K$351,K352),""),"")</f>
        <v/>
      </c>
      <c r="L464" s="302" t="str">
        <f aca="false">IFERROR(IF(L$348*L$349*L$350*L$351*L352&gt;0,AVERAGE(L$348:L$351,L352),""),"")</f>
        <v/>
      </c>
      <c r="M464" s="302" t="str">
        <f aca="false">IFERROR(IF(M$348*M$349*M$350*M$351*M352&gt;0,AVERAGE(M$348:M$351,M352),""),"")</f>
        <v/>
      </c>
      <c r="N464" s="302" t="str">
        <f aca="false">IFERROR(IF(N$348*N$349*N$350*N$351*N352&gt;0,AVERAGE(N$348:N$351,N352),""),"")</f>
        <v/>
      </c>
      <c r="O464" s="282"/>
      <c r="P464" s="282"/>
      <c r="Q464" s="296"/>
      <c r="R464" s="293" t="s">
        <v>552</v>
      </c>
      <c r="S464" s="294" t="str">
        <f aca="false">IFERROR(IF(C$348*C$349*C$350*C$351*C352&gt;0,STDEV(C$348:C$351,C352),"")/IF(C$348*C$349*C$350*C$351*C352&gt;0,AVERAGE(C$348:C$351,C352),""),"")</f>
        <v/>
      </c>
      <c r="T464" s="294" t="str">
        <f aca="false">IFERROR(IF(D$348*D$349*D$350*D$351*D352&gt;0,STDEV(D$348:D$351,D352),"")/IF(D$348*D$349*D$350*D$351*D352&gt;0,AVERAGE(D$348:D$351,D352),""),"")</f>
        <v/>
      </c>
      <c r="U464" s="294" t="str">
        <f aca="false">IFERROR(IF(E$348*E$349*E$350*E$351*E352&gt;0,STDEV(E$348:E$351,E352),"")/IF(E$348*E$349*E$350*E$351*E352&gt;0,AVERAGE(E$348:E$351,E352),""),"")</f>
        <v/>
      </c>
      <c r="V464" s="294" t="str">
        <f aca="false">IFERROR(IF(F$348*F$349*F$350*F$351*F352&gt;0,STDEV(F$348:F$351,F352),"")/IF(F$348*F$349*F$350*F$351*F352&gt;0,AVERAGE(F$348:F$351,F352),""),"")</f>
        <v/>
      </c>
      <c r="W464" s="294" t="str">
        <f aca="false">IFERROR(IF(G$348*G$349*G$350*G$351*G352&gt;0,STDEV(G$348:G$351,G352),"")/IF(G$348*G$349*G$350*G$351*G352&gt;0,AVERAGE(G$348:G$351,G352),""),"")</f>
        <v/>
      </c>
      <c r="X464" s="294" t="str">
        <f aca="false">IFERROR(IF(H$348*H$349*H$350*H$351*H352&gt;0,STDEV(H$348:H$351,H352),"")/IF(H$348*H$349*H$350*H$351*H352&gt;0,AVERAGE(H$348:H$351,H352),""),"")</f>
        <v/>
      </c>
      <c r="Y464" s="294" t="str">
        <f aca="false">IFERROR(IF(I$348*I$349*I$350*I$351*I352&gt;0,STDEV(I$348:I$351,I352),"")/IF(I$348*I$349*I$350*I$351*I352&gt;0,AVERAGE(I$348:I$351,I352),""),"")</f>
        <v/>
      </c>
      <c r="Z464" s="294" t="str">
        <f aca="false">IFERROR(IF(J$348*J$349*J$350*J$351*J352&gt;0,STDEV(J$348:J$351,J352),"")/IF(J$348*J$349*J$350*J$351*J352&gt;0,AVERAGE(J$348:J$351,J352),""),"")</f>
        <v/>
      </c>
      <c r="AA464" s="294" t="str">
        <f aca="false">IFERROR(IF(K$348*K$349*K$350*K$351*K352&gt;0,STDEV(K$348:K$351,K352),"")/IF(K$348*K$349*K$350*K$351*K352&gt;0,AVERAGE(K$348:K$351,K352),""),"")</f>
        <v/>
      </c>
      <c r="AB464" s="294" t="str">
        <f aca="false">IFERROR(IF(L$348*L$349*L$350*L$351*L352&gt;0,STDEV(L$348:L$351,L352),"")/IF(L$348*L$349*L$350*L$351*L352&gt;0,AVERAGE(L$348:L$351,L352),""),"")</f>
        <v/>
      </c>
      <c r="AC464" s="294" t="str">
        <f aca="false">IFERROR(IF(M$348*M$349*M$350*M$351*M352&gt;0,STDEV(M$348:M$351,M352),"")/IF(M$348*M$349*M$350*M$351*M352&gt;0,AVERAGE(M$348:M$351,M352),""),"")</f>
        <v/>
      </c>
      <c r="AD464" s="294" t="str">
        <f aca="false">IFERROR(IF(N$348*N$349*N$350*N$351*N352&gt;0,STDEV(N$348:N$351,N352),"")/IF(N$348*N$349*N$350*N$351*N352&gt;0,AVERAGE(N$348:N$351,N352),""),"")</f>
        <v/>
      </c>
      <c r="AE464" s="44"/>
      <c r="AF464" s="266" t="s">
        <v>553</v>
      </c>
      <c r="AG464" s="287" t="str">
        <f aca="false">IFERROR(IF(C$348*C$349*C$350*C$351*C352&gt;0,STDEV(C$348:C$351,C352)," ")/IF(C$348*C$349*C$350*C$351*C352&gt;0,SQRT(COUNT(C$348:C$351,C352))," "),"")</f>
        <v/>
      </c>
      <c r="AH464" s="287" t="str">
        <f aca="false">IFERROR(IF(D$348*D$349*D$350*D$351*D352&gt;0,STDEV(D$348:D$351,D352)," ")/IF(D$348*D$349*D$350*D$351*D352&gt;0,SQRT(COUNT(D$348:D$351,D352))," "),"")</f>
        <v/>
      </c>
      <c r="AI464" s="287" t="str">
        <f aca="false">IFERROR(IF(E$348*E$349*E$350*E$351*E352&gt;0,STDEV(E$348:E$351,E352)," ")/IF(E$348*E$349*E$350*E$351*E352&gt;0,SQRT(COUNT(E$348:E$351,E352))," "),"")</f>
        <v/>
      </c>
      <c r="AJ464" s="287" t="str">
        <f aca="false">IFERROR(IF(F$348*F$349*F$350*F$351*F352&gt;0,STDEV(F$348:F$351,F352)," ")/IF(F$348*F$349*F$350*F$351*F352&gt;0,SQRT(COUNT(F$348:F$351,F352))," "),"")</f>
        <v/>
      </c>
      <c r="AK464" s="287" t="str">
        <f aca="false">IFERROR(IF(G$348*G$349*G$350*G$351*G352&gt;0,STDEV(G$348:G$351,G352)," ")/IF(G$348*G$349*G$350*G$351*G352&gt;0,SQRT(COUNT(G$348:G$351,G352))," "),"")</f>
        <v/>
      </c>
      <c r="AL464" s="287" t="str">
        <f aca="false">IFERROR(IF(H$348*H$349*H$350*H$351*H352&gt;0,STDEV(H$348:H$351,H352)," ")/IF(H$348*H$349*H$350*H$351*H352&gt;0,SQRT(COUNT(H$348:H$351,H352))," "),"")</f>
        <v/>
      </c>
      <c r="AM464" s="287" t="str">
        <f aca="false">IFERROR(IF(I$348*I$349*I$350*I$351*I352&gt;0,STDEV(I$348:I$351,I352)," ")/IF(I$348*I$349*I$350*I$351*I352&gt;0,SQRT(COUNT(I$348:I$351,I352))," "),"")</f>
        <v/>
      </c>
      <c r="AN464" s="287" t="str">
        <f aca="false">IFERROR(IF(J$348*J$349*J$350*J$351*J352&gt;0,STDEV(J$348:J$351,J352)," ")/IF(J$348*J$349*J$350*J$351*J352&gt;0,SQRT(COUNT(J$348:J$351,J352))," "),"")</f>
        <v/>
      </c>
      <c r="AO464" s="287" t="str">
        <f aca="false">IFERROR(IF(K$348*K$349*K$350*K$351*K352&gt;0,STDEV(K$348:K$351,K352)," ")/IF(K$348*K$349*K$350*K$351*K352&gt;0,SQRT(COUNT(K$348:K$351,K352))," "),"")</f>
        <v/>
      </c>
      <c r="AP464" s="287" t="str">
        <f aca="false">IFERROR(IF(L$348*L$349*L$350*L$351*L352&gt;0,STDEV(L$348:L$351,L352)," ")/IF(L$348*L$349*L$350*L$351*L352&gt;0,SQRT(COUNT(L$348:L$351,L352))," "),"")</f>
        <v/>
      </c>
      <c r="AQ464" s="287" t="str">
        <f aca="false">IFERROR(IF(M$348*M$349*M$350*M$351*M352&gt;0,STDEV(M$348:M$351,M352)," ")/IF(M$348*M$349*M$350*M$351*M352&gt;0,SQRT(COUNT(M$348:M$351,M352))," "),"")</f>
        <v/>
      </c>
      <c r="AR464" s="287" t="str">
        <f aca="false">IFERROR(IF(N$348*N$349*N$350*N$351*N352&gt;0,STDEV(N$348:N$351,N352)," ")/IF(N$348*N$349*N$350*N$351*N352&gt;0,SQRT(COUNT(N$348:N$351,N352))," "),"")</f>
        <v/>
      </c>
    </row>
    <row r="465" customFormat="false" ht="15.75" hidden="false" customHeight="false" outlineLevel="0" collapsed="false">
      <c r="A465" s="290" t="s">
        <v>554</v>
      </c>
      <c r="B465" s="281"/>
      <c r="C465" s="302" t="str">
        <f aca="false">IFERROR(IF(C$348*C$349*C$350*C$351*C353&gt;0,AVERAGE(C$348:C$351,C353),""),"")</f>
        <v/>
      </c>
      <c r="D465" s="302" t="str">
        <f aca="false">IFERROR(IF(D$348*D$349*D$350*D$351*D353&gt;0,AVERAGE(D$348:D$351,D353),""),"")</f>
        <v/>
      </c>
      <c r="E465" s="302" t="str">
        <f aca="false">IFERROR(IF(E$348*E$349*E$350*E$351*E353&gt;0,AVERAGE(E$348:E$351,E353),""),"")</f>
        <v/>
      </c>
      <c r="F465" s="302" t="str">
        <f aca="false">IFERROR(IF(F$348*F$349*F$350*F$351*F353&gt;0,AVERAGE(F$348:F$351,F353),""),"")</f>
        <v/>
      </c>
      <c r="G465" s="302" t="str">
        <f aca="false">IFERROR(IF(G$348*G$349*G$350*G$351*G353&gt;0,AVERAGE(G$348:G$351,G353),""),"")</f>
        <v/>
      </c>
      <c r="H465" s="302" t="str">
        <f aca="false">IFERROR(IF(H$348*H$349*H$350*H$351*H353&gt;0,AVERAGE(H$348:H$351,H353),""),"")</f>
        <v/>
      </c>
      <c r="I465" s="302" t="str">
        <f aca="false">IFERROR(IF(I$348*I$349*I$350*I$351*I353&gt;0,AVERAGE(I$348:I$351,I353),""),"")</f>
        <v/>
      </c>
      <c r="J465" s="302" t="str">
        <f aca="false">IFERROR(IF(J$348*J$349*J$350*J$351*J353&gt;0,AVERAGE(J$348:J$351,J353),""),"")</f>
        <v/>
      </c>
      <c r="K465" s="302" t="str">
        <f aca="false">IFERROR(IF(K$348*K$349*K$350*K$351*K353&gt;0,AVERAGE(K$348:K$351,K353),""),"")</f>
        <v/>
      </c>
      <c r="L465" s="302" t="str">
        <f aca="false">IFERROR(IF(L$348*L$349*L$350*L$351*L353&gt;0,AVERAGE(L$348:L$351,L353),""),"")</f>
        <v/>
      </c>
      <c r="M465" s="302" t="str">
        <f aca="false">IFERROR(IF(M$348*M$349*M$350*M$351*M353&gt;0,AVERAGE(M$348:M$351,M353),""),"")</f>
        <v/>
      </c>
      <c r="N465" s="302" t="str">
        <f aca="false">IFERROR(IF(N$348*N$349*N$350*N$351*N353&gt;0,AVERAGE(N$348:N$351,N353),""),"")</f>
        <v/>
      </c>
      <c r="O465" s="282"/>
      <c r="P465" s="282"/>
      <c r="Q465" s="296"/>
      <c r="R465" s="293" t="s">
        <v>555</v>
      </c>
      <c r="S465" s="294" t="str">
        <f aca="false">IFERROR(IF(C$348*C$349*C$350*C$351*C353&gt;0,STDEV(C$348:C$351,C353),"")/IF(C$348*C$349*C$350*C$351*C353&gt;0,AVERAGE(C$348:C$351,C353),""),"")</f>
        <v/>
      </c>
      <c r="T465" s="294" t="str">
        <f aca="false">IFERROR(IF(D$348*D$349*D$350*D$351*D353&gt;0,STDEV(D$348:D$351,D353),"")/IF(D$348*D$349*D$350*D$351*D353&gt;0,AVERAGE(D$348:D$351,D353),""),"")</f>
        <v/>
      </c>
      <c r="U465" s="294" t="str">
        <f aca="false">IFERROR(IF(E$348*E$349*E$350*E$351*E353&gt;0,STDEV(E$348:E$351,E353),"")/IF(E$348*E$349*E$350*E$351*E353&gt;0,AVERAGE(E$348:E$351,E353),""),"")</f>
        <v/>
      </c>
      <c r="V465" s="294" t="str">
        <f aca="false">IFERROR(IF(F$348*F$349*F$350*F$351*F353&gt;0,STDEV(F$348:F$351,F353),"")/IF(F$348*F$349*F$350*F$351*F353&gt;0,AVERAGE(F$348:F$351,F353),""),"")</f>
        <v/>
      </c>
      <c r="W465" s="294" t="str">
        <f aca="false">IFERROR(IF(G$348*G$349*G$350*G$351*G353&gt;0,STDEV(G$348:G$351,G353),"")/IF(G$348*G$349*G$350*G$351*G353&gt;0,AVERAGE(G$348:G$351,G353),""),"")</f>
        <v/>
      </c>
      <c r="X465" s="294" t="str">
        <f aca="false">IFERROR(IF(H$348*H$349*H$350*H$351*H353&gt;0,STDEV(H$348:H$351,H353),"")/IF(H$348*H$349*H$350*H$351*H353&gt;0,AVERAGE(H$348:H$351,H353),""),"")</f>
        <v/>
      </c>
      <c r="Y465" s="294" t="str">
        <f aca="false">IFERROR(IF(I$348*I$349*I$350*I$351*I353&gt;0,STDEV(I$348:I$351,I353),"")/IF(I$348*I$349*I$350*I$351*I353&gt;0,AVERAGE(I$348:I$351,I353),""),"")</f>
        <v/>
      </c>
      <c r="Z465" s="294" t="str">
        <f aca="false">IFERROR(IF(J$348*J$349*J$350*J$351*J353&gt;0,STDEV(J$348:J$351,J353),"")/IF(J$348*J$349*J$350*J$351*J353&gt;0,AVERAGE(J$348:J$351,J353),""),"")</f>
        <v/>
      </c>
      <c r="AA465" s="294" t="str">
        <f aca="false">IFERROR(IF(K$348*K$349*K$350*K$351*K353&gt;0,STDEV(K$348:K$351,K353),"")/IF(K$348*K$349*K$350*K$351*K353&gt;0,AVERAGE(K$348:K$351,K353),""),"")</f>
        <v/>
      </c>
      <c r="AB465" s="294" t="str">
        <f aca="false">IFERROR(IF(L$348*L$349*L$350*L$351*L353&gt;0,STDEV(L$348:L$351,L353),"")/IF(L$348*L$349*L$350*L$351*L353&gt;0,AVERAGE(L$348:L$351,L353),""),"")</f>
        <v/>
      </c>
      <c r="AC465" s="294" t="str">
        <f aca="false">IFERROR(IF(M$348*M$349*M$350*M$351*M353&gt;0,STDEV(M$348:M$351,M353),"")/IF(M$348*M$349*M$350*M$351*M353&gt;0,AVERAGE(M$348:M$351,M353),""),"")</f>
        <v/>
      </c>
      <c r="AD465" s="294" t="str">
        <f aca="false">IFERROR(IF(N$348*N$349*N$350*N$351*N353&gt;0,STDEV(N$348:N$351,N353),"")/IF(N$348*N$349*N$350*N$351*N353&gt;0,AVERAGE(N$348:N$351,N353),""),"")</f>
        <v/>
      </c>
      <c r="AE465" s="44"/>
      <c r="AF465" s="266" t="s">
        <v>556</v>
      </c>
      <c r="AG465" s="287" t="str">
        <f aca="false">IFERROR(IF(C$348*C$349*C$350*C$351*C353&gt;0,STDEV(C$348:C$351,C353)," ")/IF(C$348*C$349*C$350*C$351*C353&gt;0,SQRT(COUNT(C$348:C$351,C353))," "),"")</f>
        <v/>
      </c>
      <c r="AH465" s="287" t="str">
        <f aca="false">IFERROR(IF(D$348*D$349*D$350*D$351*D353&gt;0,STDEV(D$348:D$351,D353)," ")/IF(D$348*D$349*D$350*D$351*D353&gt;0,SQRT(COUNT(D$348:D$351,D353))," "),"")</f>
        <v/>
      </c>
      <c r="AI465" s="287" t="str">
        <f aca="false">IFERROR(IF(E$348*E$349*E$350*E$351*E353&gt;0,STDEV(E$348:E$351,E353)," ")/IF(E$348*E$349*E$350*E$351*E353&gt;0,SQRT(COUNT(E$348:E$351,E353))," "),"")</f>
        <v/>
      </c>
      <c r="AJ465" s="287" t="str">
        <f aca="false">IFERROR(IF(F$348*F$349*F$350*F$351*F353&gt;0,STDEV(F$348:F$351,F353)," ")/IF(F$348*F$349*F$350*F$351*F353&gt;0,SQRT(COUNT(F$348:F$351,F353))," "),"")</f>
        <v/>
      </c>
      <c r="AK465" s="287" t="str">
        <f aca="false">IFERROR(IF(G$348*G$349*G$350*G$351*G353&gt;0,STDEV(G$348:G$351,G353)," ")/IF(G$348*G$349*G$350*G$351*G353&gt;0,SQRT(COUNT(G$348:G$351,G353))," "),"")</f>
        <v/>
      </c>
      <c r="AL465" s="287" t="str">
        <f aca="false">IFERROR(IF(H$348*H$349*H$350*H$351*H353&gt;0,STDEV(H$348:H$351,H353)," ")/IF(H$348*H$349*H$350*H$351*H353&gt;0,SQRT(COUNT(H$348:H$351,H353))," "),"")</f>
        <v/>
      </c>
      <c r="AM465" s="287" t="str">
        <f aca="false">IFERROR(IF(I$348*I$349*I$350*I$351*I353&gt;0,STDEV(I$348:I$351,I353)," ")/IF(I$348*I$349*I$350*I$351*I353&gt;0,SQRT(COUNT(I$348:I$351,I353))," "),"")</f>
        <v/>
      </c>
      <c r="AN465" s="287" t="str">
        <f aca="false">IFERROR(IF(J$348*J$349*J$350*J$351*J353&gt;0,STDEV(J$348:J$351,J353)," ")/IF(J$348*J$349*J$350*J$351*J353&gt;0,SQRT(COUNT(J$348:J$351,J353))," "),"")</f>
        <v/>
      </c>
      <c r="AO465" s="287" t="str">
        <f aca="false">IFERROR(IF(K$348*K$349*K$350*K$351*K353&gt;0,STDEV(K$348:K$351,K353)," ")/IF(K$348*K$349*K$350*K$351*K353&gt;0,SQRT(COUNT(K$348:K$351,K353))," "),"")</f>
        <v/>
      </c>
      <c r="AP465" s="287" t="str">
        <f aca="false">IFERROR(IF(L$348*L$349*L$350*L$351*L353&gt;0,STDEV(L$348:L$351,L353)," ")/IF(L$348*L$349*L$350*L$351*L353&gt;0,SQRT(COUNT(L$348:L$351,L353))," "),"")</f>
        <v/>
      </c>
      <c r="AQ465" s="287" t="str">
        <f aca="false">IFERROR(IF(M$348*M$349*M$350*M$351*M353&gt;0,STDEV(M$348:M$351,M353)," ")/IF(M$348*M$349*M$350*M$351*M353&gt;0,SQRT(COUNT(M$348:M$351,M353))," "),"")</f>
        <v/>
      </c>
      <c r="AR465" s="287" t="str">
        <f aca="false">IFERROR(IF(N$348*N$349*N$350*N$351*N353&gt;0,STDEV(N$348:N$351,N353)," ")/IF(N$348*N$349*N$350*N$351*N353&gt;0,SQRT(COUNT(N$348:N$351,N353))," "),"")</f>
        <v/>
      </c>
    </row>
    <row r="466" customFormat="false" ht="15.75" hidden="false" customHeight="false" outlineLevel="0" collapsed="false">
      <c r="A466" s="290" t="s">
        <v>557</v>
      </c>
      <c r="B466" s="281"/>
      <c r="C466" s="302" t="str">
        <f aca="false">IFERROR(IF(C$349*C$350*C$351*C$352*C347&gt;0,AVERAGE(C$349:C$352,C347),""),"")</f>
        <v/>
      </c>
      <c r="D466" s="302" t="str">
        <f aca="false">IFERROR(IF(D$349*D$350*D$351*D$352*D347&gt;0,AVERAGE(D$349:D$352,D347),""),"")</f>
        <v/>
      </c>
      <c r="E466" s="302" t="str">
        <f aca="false">IFERROR(IF(E$349*E$350*E$351*E$352*E347&gt;0,AVERAGE(E$349:E$352,E347),""),"")</f>
        <v/>
      </c>
      <c r="F466" s="302" t="str">
        <f aca="false">IFERROR(IF(F$349*F$350*F$351*F$352*F347&gt;0,AVERAGE(F$349:F$352,F347),""),"")</f>
        <v/>
      </c>
      <c r="G466" s="302" t="str">
        <f aca="false">IFERROR(IF(G$349*G$350*G$351*G$352*G347&gt;0,AVERAGE(G$349:G$352,G347),""),"")</f>
        <v/>
      </c>
      <c r="H466" s="302" t="str">
        <f aca="false">IFERROR(IF(H$349*H$350*H$351*H$352*H347&gt;0,AVERAGE(H$349:H$352,H347),""),"")</f>
        <v/>
      </c>
      <c r="I466" s="302" t="str">
        <f aca="false">IFERROR(IF(I$349*I$350*I$351*I$352*I347&gt;0,AVERAGE(I$349:I$352,I347),""),"")</f>
        <v/>
      </c>
      <c r="J466" s="302" t="str">
        <f aca="false">IFERROR(IF(J$349*J$350*J$351*J$352*J347&gt;0,AVERAGE(J$349:J$352,J347),""),"")</f>
        <v/>
      </c>
      <c r="K466" s="302" t="str">
        <f aca="false">IFERROR(IF(K$349*K$350*K$351*K$352*K347&gt;0,AVERAGE(K$349:K$352,K347),""),"")</f>
        <v/>
      </c>
      <c r="L466" s="302" t="str">
        <f aca="false">IFERROR(IF(L$349*L$350*L$351*L$352*L347&gt;0,AVERAGE(L$349:L$352,L347),""),"")</f>
        <v/>
      </c>
      <c r="M466" s="302" t="str">
        <f aca="false">IFERROR(IF(M$349*M$350*M$351*M$352*M347&gt;0,AVERAGE(M$349:M$352,M347),""),"")</f>
        <v/>
      </c>
      <c r="N466" s="302" t="str">
        <f aca="false">IFERROR(IF(N$349*N$350*N$351*N$352*N347&gt;0,AVERAGE(N$349:N$352,N347),""),"")</f>
        <v/>
      </c>
      <c r="O466" s="282"/>
      <c r="P466" s="282"/>
      <c r="Q466" s="296"/>
      <c r="R466" s="293" t="s">
        <v>558</v>
      </c>
      <c r="S466" s="294" t="str">
        <f aca="false">IFERROR(IF(C$349*C$350*C$351*C$352*C347&gt;0,STDEV(C$349:C$352,C347),"")/IF(C$349*C$350*C$351*C$352*C347&gt;0,AVERAGE(C$349:C$352,C347),""),"")</f>
        <v/>
      </c>
      <c r="T466" s="294" t="str">
        <f aca="false">IFERROR(IF(D$349*D$350*D$351*D$352*D347&gt;0,STDEV(D$349:D$352,D347),"")/IF(D$349*D$350*D$351*D$352*D347&gt;0,AVERAGE(D$349:D$352,D347),""),"")</f>
        <v/>
      </c>
      <c r="U466" s="294" t="str">
        <f aca="false">IFERROR(IF(E$349*E$350*E$351*E$352*E347&gt;0,STDEV(E$349:E$352,E347),"")/IF(E$349*E$350*E$351*E$352*E347&gt;0,AVERAGE(E$349:E$352,E347),""),"")</f>
        <v/>
      </c>
      <c r="V466" s="294" t="str">
        <f aca="false">IFERROR(IF(F$349*F$350*F$351*F$352*F347&gt;0,STDEV(F$349:F$352,F347),"")/IF(F$349*F$350*F$351*F$352*F347&gt;0,AVERAGE(F$349:F$352,F347),""),"")</f>
        <v/>
      </c>
      <c r="W466" s="294" t="str">
        <f aca="false">IFERROR(IF(G$349*G$350*G$351*G$352*G347&gt;0,STDEV(G$349:G$352,G347),"")/IF(G$349*G$350*G$351*G$352*G347&gt;0,AVERAGE(G$349:G$352,G347),""),"")</f>
        <v/>
      </c>
      <c r="X466" s="294" t="str">
        <f aca="false">IFERROR(IF(H$349*H$350*H$351*H$352*H347&gt;0,STDEV(H$349:H$352,H347),"")/IF(H$349*H$350*H$351*H$352*H347&gt;0,AVERAGE(H$349:H$352,H347),""),"")</f>
        <v/>
      </c>
      <c r="Y466" s="294" t="str">
        <f aca="false">IFERROR(IF(I$349*I$350*I$351*I$352*I347&gt;0,STDEV(I$349:I$352,I347),"")/IF(I$349*I$350*I$351*I$352*I347&gt;0,AVERAGE(I$349:I$352,I347),""),"")</f>
        <v/>
      </c>
      <c r="Z466" s="294" t="str">
        <f aca="false">IFERROR(IF(J$349*J$350*J$351*J$352*J347&gt;0,STDEV(J$349:J$352,J347),"")/IF(J$349*J$350*J$351*J$352*J347&gt;0,AVERAGE(J$349:J$352,J347),""),"")</f>
        <v/>
      </c>
      <c r="AA466" s="294" t="str">
        <f aca="false">IFERROR(IF(K$349*K$350*K$351*K$352*K347&gt;0,STDEV(K$349:K$352,K347),"")/IF(K$349*K$350*K$351*K$352*K347&gt;0,AVERAGE(K$349:K$352,K347),""),"")</f>
        <v/>
      </c>
      <c r="AB466" s="294" t="str">
        <f aca="false">IFERROR(IF(L$349*L$350*L$351*L$352*L347&gt;0,STDEV(L$349:L$352,L347),"")/IF(L$349*L$350*L$351*L$352*L347&gt;0,AVERAGE(L$349:L$352,L347),""),"")</f>
        <v/>
      </c>
      <c r="AC466" s="294" t="str">
        <f aca="false">IFERROR(IF(M$349*M$350*M$351*M$352*M347&gt;0,STDEV(M$349:M$352,M347),"")/IF(M$349*M$350*M$351*M$352*M347&gt;0,AVERAGE(M$349:M$352,M347),""),"")</f>
        <v/>
      </c>
      <c r="AD466" s="294" t="str">
        <f aca="false">IFERROR(IF(N$349*N$350*N$351*N$352*N347&gt;0,STDEV(N$349:N$352,N347),"")/IF(N$349*N$350*N$351*N$352*N347&gt;0,AVERAGE(N$349:N$352,N347),""),"")</f>
        <v/>
      </c>
      <c r="AE466" s="44"/>
      <c r="AF466" s="266" t="s">
        <v>559</v>
      </c>
      <c r="AG466" s="287" t="str">
        <f aca="false">IFERROR(IF(C$349*C$350*C$351*C$352*C347&gt;0,STDEV(C$349:C$352,C347)," ")/IF(C$349*C$350*C$351*C$352*C347&gt;0,SQRT(COUNT(C$349:C$352,C347))," "),"")</f>
        <v/>
      </c>
      <c r="AH466" s="287" t="str">
        <f aca="false">IFERROR(IF(D$349*D$350*D$351*D$352*D347&gt;0,STDEV(D$349:D$352,D347)," ")/IF(D$349*D$350*D$351*D$352*D347&gt;0,SQRT(COUNT(D$349:D$352,D347))," "),"")</f>
        <v/>
      </c>
      <c r="AI466" s="287" t="str">
        <f aca="false">IFERROR(IF(E$349*E$350*E$351*E$352*E347&gt;0,STDEV(E$349:E$352,E347)," ")/IF(E$349*E$350*E$351*E$352*E347&gt;0,SQRT(COUNT(E$349:E$352,E347))," "),"")</f>
        <v/>
      </c>
      <c r="AJ466" s="287" t="str">
        <f aca="false">IFERROR(IF(F$349*F$350*F$351*F$352*F347&gt;0,STDEV(F$349:F$352,F347)," ")/IF(F$349*F$350*F$351*F$352*F347&gt;0,SQRT(COUNT(F$349:F$352,F347))," "),"")</f>
        <v/>
      </c>
      <c r="AK466" s="287" t="str">
        <f aca="false">IFERROR(IF(G$349*G$350*G$351*G$352*G347&gt;0,STDEV(G$349:G$352,G347)," ")/IF(G$349*G$350*G$351*G$352*G347&gt;0,SQRT(COUNT(G$349:G$352,G347))," "),"")</f>
        <v/>
      </c>
      <c r="AL466" s="287" t="str">
        <f aca="false">IFERROR(IF(H$349*H$350*H$351*H$352*H347&gt;0,STDEV(H$349:H$352,H347)," ")/IF(H$349*H$350*H$351*H$352*H347&gt;0,SQRT(COUNT(H$349:H$352,H347))," "),"")</f>
        <v/>
      </c>
      <c r="AM466" s="287" t="str">
        <f aca="false">IFERROR(IF(I$349*I$350*I$351*I$352*I347&gt;0,STDEV(I$349:I$352,I347)," ")/IF(I$349*I$350*I$351*I$352*I347&gt;0,SQRT(COUNT(I$349:I$352,I347))," "),"")</f>
        <v/>
      </c>
      <c r="AN466" s="287" t="str">
        <f aca="false">IFERROR(IF(J$349*J$350*J$351*J$352*J347&gt;0,STDEV(J$349:J$352,J347)," ")/IF(J$349*J$350*J$351*J$352*J347&gt;0,SQRT(COUNT(J$349:J$352,J347))," "),"")</f>
        <v/>
      </c>
      <c r="AO466" s="287" t="str">
        <f aca="false">IFERROR(IF(K$349*K$350*K$351*K$352*K347&gt;0,STDEV(K$349:K$352,K347)," ")/IF(K$349*K$350*K$351*K$352*K347&gt;0,SQRT(COUNT(K$349:K$352,K347))," "),"")</f>
        <v/>
      </c>
      <c r="AP466" s="287" t="str">
        <f aca="false">IFERROR(IF(L$349*L$350*L$351*L$352*L347&gt;0,STDEV(L$349:L$352,L347)," ")/IF(L$349*L$350*L$351*L$352*L347&gt;0,SQRT(COUNT(L$349:L$352,L347))," "),"")</f>
        <v/>
      </c>
      <c r="AQ466" s="287" t="str">
        <f aca="false">IFERROR(IF(M$349*M$350*M$351*M$352*M347&gt;0,STDEV(M$349:M$352,M347)," ")/IF(M$349*M$350*M$351*M$352*M347&gt;0,SQRT(COUNT(M$349:M$352,M347))," "),"")</f>
        <v/>
      </c>
      <c r="AR466" s="287" t="str">
        <f aca="false">IFERROR(IF(N$349*N$350*N$351*N$352*N347&gt;0,STDEV(N$349:N$352,N347)," ")/IF(N$349*N$350*N$351*N$352*N347&gt;0,SQRT(COUNT(N$349:N$352,N347))," "),"")</f>
        <v/>
      </c>
    </row>
    <row r="467" customFormat="false" ht="15.75" hidden="false" customHeight="false" outlineLevel="0" collapsed="false">
      <c r="A467" s="290" t="s">
        <v>560</v>
      </c>
      <c r="B467" s="281"/>
      <c r="C467" s="302" t="str">
        <f aca="false">IFERROR(IF(C$349*C$350*C$351*C$352*C348&gt;0,AVERAGE(C$349:C$352,C348),""),"")</f>
        <v/>
      </c>
      <c r="D467" s="302" t="str">
        <f aca="false">IFERROR(IF(D$349*D$350*D$351*D$352*D348&gt;0,AVERAGE(D$349:D$352,D348),""),"")</f>
        <v/>
      </c>
      <c r="E467" s="302" t="str">
        <f aca="false">IFERROR(IF(E$349*E$350*E$351*E$352*E348&gt;0,AVERAGE(E$349:E$352,E348),""),"")</f>
        <v/>
      </c>
      <c r="F467" s="302" t="str">
        <f aca="false">IFERROR(IF(F$349*F$350*F$351*F$352*F348&gt;0,AVERAGE(F$349:F$352,F348),""),"")</f>
        <v/>
      </c>
      <c r="G467" s="302" t="str">
        <f aca="false">IFERROR(IF(G$349*G$350*G$351*G$352*G348&gt;0,AVERAGE(G$349:G$352,G348),""),"")</f>
        <v/>
      </c>
      <c r="H467" s="302" t="str">
        <f aca="false">IFERROR(IF(H$349*H$350*H$351*H$352*H348&gt;0,AVERAGE(H$349:H$352,H348),""),"")</f>
        <v/>
      </c>
      <c r="I467" s="302" t="str">
        <f aca="false">IFERROR(IF(I$349*I$350*I$351*I$352*I348&gt;0,AVERAGE(I$349:I$352,I348),""),"")</f>
        <v/>
      </c>
      <c r="J467" s="302" t="str">
        <f aca="false">IFERROR(IF(J$349*J$350*J$351*J$352*J348&gt;0,AVERAGE(J$349:J$352,J348),""),"")</f>
        <v/>
      </c>
      <c r="K467" s="302" t="str">
        <f aca="false">IFERROR(IF(K$349*K$350*K$351*K$352*K348&gt;0,AVERAGE(K$349:K$352,K348),""),"")</f>
        <v/>
      </c>
      <c r="L467" s="302" t="str">
        <f aca="false">IFERROR(IF(L$349*L$350*L$351*L$352*L348&gt;0,AVERAGE(L$349:L$352,L348),""),"")</f>
        <v/>
      </c>
      <c r="M467" s="302" t="str">
        <f aca="false">IFERROR(IF(M$349*M$350*M$351*M$352*M348&gt;0,AVERAGE(M$349:M$352,M348),""),"")</f>
        <v/>
      </c>
      <c r="N467" s="302" t="str">
        <f aca="false">IFERROR(IF(N$349*N$350*N$351*N$352*N348&gt;0,AVERAGE(N$349:N$352,N348),""),"")</f>
        <v/>
      </c>
      <c r="O467" s="282"/>
      <c r="P467" s="282"/>
      <c r="Q467" s="296"/>
      <c r="R467" s="293" t="s">
        <v>561</v>
      </c>
      <c r="S467" s="294" t="str">
        <f aca="false">IFERROR(IF(C$349*C$350*C$351*C$352*C348&gt;0,STDEV(C$349:C$352,C348),"")/IF(C$349*C$350*C$351*C$352*C348&gt;0,AVERAGE(C$349:C$352,C348),""),"")</f>
        <v/>
      </c>
      <c r="T467" s="294" t="str">
        <f aca="false">IFERROR(IF(D$349*D$350*D$351*D$352*D348&gt;0,STDEV(D$349:D$352,D348),"")/IF(D$349*D$350*D$351*D$352*D348&gt;0,AVERAGE(D$349:D$352,D348),""),"")</f>
        <v/>
      </c>
      <c r="U467" s="294" t="str">
        <f aca="false">IFERROR(IF(E$349*E$350*E$351*E$352*E348&gt;0,STDEV(E$349:E$352,E348),"")/IF(E$349*E$350*E$351*E$352*E348&gt;0,AVERAGE(E$349:E$352,E348),""),"")</f>
        <v/>
      </c>
      <c r="V467" s="294" t="str">
        <f aca="false">IFERROR(IF(F$349*F$350*F$351*F$352*F348&gt;0,STDEV(F$349:F$352,F348),"")/IF(F$349*F$350*F$351*F$352*F348&gt;0,AVERAGE(F$349:F$352,F348),""),"")</f>
        <v/>
      </c>
      <c r="W467" s="294" t="str">
        <f aca="false">IFERROR(IF(G$349*G$350*G$351*G$352*G348&gt;0,STDEV(G$349:G$352,G348),"")/IF(G$349*G$350*G$351*G$352*G348&gt;0,AVERAGE(G$349:G$352,G348),""),"")</f>
        <v/>
      </c>
      <c r="X467" s="294" t="str">
        <f aca="false">IFERROR(IF(H$349*H$350*H$351*H$352*H348&gt;0,STDEV(H$349:H$352,H348),"")/IF(H$349*H$350*H$351*H$352*H348&gt;0,AVERAGE(H$349:H$352,H348),""),"")</f>
        <v/>
      </c>
      <c r="Y467" s="294" t="str">
        <f aca="false">IFERROR(IF(I$349*I$350*I$351*I$352*I348&gt;0,STDEV(I$349:I$352,I348),"")/IF(I$349*I$350*I$351*I$352*I348&gt;0,AVERAGE(I$349:I$352,I348),""),"")</f>
        <v/>
      </c>
      <c r="Z467" s="294" t="str">
        <f aca="false">IFERROR(IF(J$349*J$350*J$351*J$352*J348&gt;0,STDEV(J$349:J$352,J348),"")/IF(J$349*J$350*J$351*J$352*J348&gt;0,AVERAGE(J$349:J$352,J348),""),"")</f>
        <v/>
      </c>
      <c r="AA467" s="294" t="str">
        <f aca="false">IFERROR(IF(K$349*K$350*K$351*K$352*K348&gt;0,STDEV(K$349:K$352,K348),"")/IF(K$349*K$350*K$351*K$352*K348&gt;0,AVERAGE(K$349:K$352,K348),""),"")</f>
        <v/>
      </c>
      <c r="AB467" s="294" t="str">
        <f aca="false">IFERROR(IF(L$349*L$350*L$351*L$352*L348&gt;0,STDEV(L$349:L$352,L348),"")/IF(L$349*L$350*L$351*L$352*L348&gt;0,AVERAGE(L$349:L$352,L348),""),"")</f>
        <v/>
      </c>
      <c r="AC467" s="294" t="str">
        <f aca="false">IFERROR(IF(M$349*M$350*M$351*M$352*M348&gt;0,STDEV(M$349:M$352,M348),"")/IF(M$349*M$350*M$351*M$352*M348&gt;0,AVERAGE(M$349:M$352,M348),""),"")</f>
        <v/>
      </c>
      <c r="AD467" s="294" t="str">
        <f aca="false">IFERROR(IF(N$349*N$350*N$351*N$352*N348&gt;0,STDEV(N$349:N$352,N348),"")/IF(N$349*N$350*N$351*N$352*N348&gt;0,AVERAGE(N$349:N$352,N348),""),"")</f>
        <v/>
      </c>
      <c r="AE467" s="44"/>
      <c r="AF467" s="266" t="s">
        <v>562</v>
      </c>
      <c r="AG467" s="287" t="str">
        <f aca="false">IFERROR(IF(C$349*C$350*C$351*C$352*C348&gt;0,STDEV(C$349:C$352,C348)," ")/IF(C$349*C$350*C$351*C$352*C348&gt;0,SQRT(COUNT(C$349:C$352,C348))," "),"")</f>
        <v/>
      </c>
      <c r="AH467" s="287" t="str">
        <f aca="false">IFERROR(IF(D$349*D$350*D$351*D$352*D348&gt;0,STDEV(D$349:D$352,D348)," ")/IF(D$349*D$350*D$351*D$352*D348&gt;0,SQRT(COUNT(D$349:D$352,D348))," "),"")</f>
        <v/>
      </c>
      <c r="AI467" s="287" t="str">
        <f aca="false">IFERROR(IF(E$349*E$350*E$351*E$352*E348&gt;0,STDEV(E$349:E$352,E348)," ")/IF(E$349*E$350*E$351*E$352*E348&gt;0,SQRT(COUNT(E$349:E$352,E348))," "),"")</f>
        <v/>
      </c>
      <c r="AJ467" s="287" t="str">
        <f aca="false">IFERROR(IF(F$349*F$350*F$351*F$352*F348&gt;0,STDEV(F$349:F$352,F348)," ")/IF(F$349*F$350*F$351*F$352*F348&gt;0,SQRT(COUNT(F$349:F$352,F348))," "),"")</f>
        <v/>
      </c>
      <c r="AK467" s="287" t="str">
        <f aca="false">IFERROR(IF(G$349*G$350*G$351*G$352*G348&gt;0,STDEV(G$349:G$352,G348)," ")/IF(G$349*G$350*G$351*G$352*G348&gt;0,SQRT(COUNT(G$349:G$352,G348))," "),"")</f>
        <v/>
      </c>
      <c r="AL467" s="287" t="str">
        <f aca="false">IFERROR(IF(H$349*H$350*H$351*H$352*H348&gt;0,STDEV(H$349:H$352,H348)," ")/IF(H$349*H$350*H$351*H$352*H348&gt;0,SQRT(COUNT(H$349:H$352,H348))," "),"")</f>
        <v/>
      </c>
      <c r="AM467" s="287" t="str">
        <f aca="false">IFERROR(IF(I$349*I$350*I$351*I$352*I348&gt;0,STDEV(I$349:I$352,I348)," ")/IF(I$349*I$350*I$351*I$352*I348&gt;0,SQRT(COUNT(I$349:I$352,I348))," "),"")</f>
        <v/>
      </c>
      <c r="AN467" s="287" t="str">
        <f aca="false">IFERROR(IF(J$349*J$350*J$351*J$352*J348&gt;0,STDEV(J$349:J$352,J348)," ")/IF(J$349*J$350*J$351*J$352*J348&gt;0,SQRT(COUNT(J$349:J$352,J348))," "),"")</f>
        <v/>
      </c>
      <c r="AO467" s="287" t="str">
        <f aca="false">IFERROR(IF(K$349*K$350*K$351*K$352*K348&gt;0,STDEV(K$349:K$352,K348)," ")/IF(K$349*K$350*K$351*K$352*K348&gt;0,SQRT(COUNT(K$349:K$352,K348))," "),"")</f>
        <v/>
      </c>
      <c r="AP467" s="287" t="str">
        <f aca="false">IFERROR(IF(L$349*L$350*L$351*L$352*L348&gt;0,STDEV(L$349:L$352,L348)," ")/IF(L$349*L$350*L$351*L$352*L348&gt;0,SQRT(COUNT(L$349:L$352,L348))," "),"")</f>
        <v/>
      </c>
      <c r="AQ467" s="287" t="str">
        <f aca="false">IFERROR(IF(M$349*M$350*M$351*M$352*M348&gt;0,STDEV(M$349:M$352,M348)," ")/IF(M$349*M$350*M$351*M$352*M348&gt;0,SQRT(COUNT(M$349:M$352,M348))," "),"")</f>
        <v/>
      </c>
      <c r="AR467" s="287" t="str">
        <f aca="false">IFERROR(IF(N$349*N$350*N$351*N$352*N348&gt;0,STDEV(N$349:N$352,N348)," ")/IF(N$349*N$350*N$351*N$352*N348&gt;0,SQRT(COUNT(N$349:N$352,N348))," "),"")</f>
        <v/>
      </c>
    </row>
    <row r="468" customFormat="false" ht="15.75" hidden="false" customHeight="false" outlineLevel="0" collapsed="false">
      <c r="A468" s="290" t="s">
        <v>563</v>
      </c>
      <c r="B468" s="281"/>
      <c r="C468" s="302" t="str">
        <f aca="false">IFERROR(IF(C$349*C$350*C$351*C$352*C353&gt;0,AVERAGE(C$349:C$352,C353),""),"")</f>
        <v/>
      </c>
      <c r="D468" s="302" t="str">
        <f aca="false">IFERROR(IF(D$349*D$350*D$351*D$352*D353&gt;0,AVERAGE(D$349:D$352,D353),""),"")</f>
        <v/>
      </c>
      <c r="E468" s="302" t="str">
        <f aca="false">IFERROR(IF(E$349*E$350*E$351*E$352*E353&gt;0,AVERAGE(E$349:E$352,E353),""),"")</f>
        <v/>
      </c>
      <c r="F468" s="302" t="str">
        <f aca="false">IFERROR(IF(F$349*F$350*F$351*F$352*F353&gt;0,AVERAGE(F$349:F$352,F353),""),"")</f>
        <v/>
      </c>
      <c r="G468" s="302" t="str">
        <f aca="false">IFERROR(IF(G$349*G$350*G$351*G$352*G353&gt;0,AVERAGE(G$349:G$352,G353),""),"")</f>
        <v/>
      </c>
      <c r="H468" s="302" t="str">
        <f aca="false">IFERROR(IF(H$349*H$350*H$351*H$352*H353&gt;0,AVERAGE(H$349:H$352,H353),""),"")</f>
        <v/>
      </c>
      <c r="I468" s="302" t="str">
        <f aca="false">IFERROR(IF(I$349*I$350*I$351*I$352*I353&gt;0,AVERAGE(I$349:I$352,I353),""),"")</f>
        <v/>
      </c>
      <c r="J468" s="302" t="str">
        <f aca="false">IFERROR(IF(J$349*J$350*J$351*J$352*J353&gt;0,AVERAGE(J$349:J$352,J353),""),"")</f>
        <v/>
      </c>
      <c r="K468" s="302" t="str">
        <f aca="false">IFERROR(IF(K$349*K$350*K$351*K$352*K353&gt;0,AVERAGE(K$349:K$352,K353),""),"")</f>
        <v/>
      </c>
      <c r="L468" s="302" t="str">
        <f aca="false">IFERROR(IF(L$349*L$350*L$351*L$352*L353&gt;0,AVERAGE(L$349:L$352,L353),""),"")</f>
        <v/>
      </c>
      <c r="M468" s="302" t="str">
        <f aca="false">IFERROR(IF(M$349*M$350*M$351*M$352*M353&gt;0,AVERAGE(M$349:M$352,M353),""),"")</f>
        <v/>
      </c>
      <c r="N468" s="302" t="str">
        <f aca="false">IFERROR(IF(N$349*N$350*N$351*N$352*N353&gt;0,AVERAGE(N$349:N$352,N353),""),"")</f>
        <v/>
      </c>
      <c r="O468" s="282"/>
      <c r="P468" s="282"/>
      <c r="Q468" s="296"/>
      <c r="R468" s="293" t="s">
        <v>564</v>
      </c>
      <c r="S468" s="294" t="str">
        <f aca="false">IFERROR(IF(C$349*C$350*C$351*C$352*C353&gt;0,STDEV(C$349:C$352,C353),"")/IF(C$349*C$350*C$351*C$352*C353&gt;0,AVERAGE(C$349:C$352,C353),""),"")</f>
        <v/>
      </c>
      <c r="T468" s="294" t="str">
        <f aca="false">IFERROR(IF(D$349*D$350*D$351*D$352*D353&gt;0,STDEV(D$349:D$352,D353),"")/IF(D$349*D$350*D$351*D$352*D353&gt;0,AVERAGE(D$349:D$352,D353),""),"")</f>
        <v/>
      </c>
      <c r="U468" s="294" t="str">
        <f aca="false">IFERROR(IF(E$349*E$350*E$351*E$352*E353&gt;0,STDEV(E$349:E$352,E353),"")/IF(E$349*E$350*E$351*E$352*E353&gt;0,AVERAGE(E$349:E$352,E353),""),"")</f>
        <v/>
      </c>
      <c r="V468" s="294" t="str">
        <f aca="false">IFERROR(IF(F$349*F$350*F$351*F$352*F353&gt;0,STDEV(F$349:F$352,F353),"")/IF(F$349*F$350*F$351*F$352*F353&gt;0,AVERAGE(F$349:F$352,F353),""),"")</f>
        <v/>
      </c>
      <c r="W468" s="294" t="str">
        <f aca="false">IFERROR(IF(G$349*G$350*G$351*G$352*G353&gt;0,STDEV(G$349:G$352,G353),"")/IF(G$349*G$350*G$351*G$352*G353&gt;0,AVERAGE(G$349:G$352,G353),""),"")</f>
        <v/>
      </c>
      <c r="X468" s="294" t="str">
        <f aca="false">IFERROR(IF(H$349*H$350*H$351*H$352*H353&gt;0,STDEV(H$349:H$352,H353),"")/IF(H$349*H$350*H$351*H$352*H353&gt;0,AVERAGE(H$349:H$352,H353),""),"")</f>
        <v/>
      </c>
      <c r="Y468" s="294" t="str">
        <f aca="false">IFERROR(IF(I$349*I$350*I$351*I$352*I353&gt;0,STDEV(I$349:I$352,I353),"")/IF(I$349*I$350*I$351*I$352*I353&gt;0,AVERAGE(I$349:I$352,I353),""),"")</f>
        <v/>
      </c>
      <c r="Z468" s="294" t="str">
        <f aca="false">IFERROR(IF(J$349*J$350*J$351*J$352*J353&gt;0,STDEV(J$349:J$352,J353),"")/IF(J$349*J$350*J$351*J$352*J353&gt;0,AVERAGE(J$349:J$352,J353),""),"")</f>
        <v/>
      </c>
      <c r="AA468" s="294" t="str">
        <f aca="false">IFERROR(IF(K$349*K$350*K$351*K$352*K353&gt;0,STDEV(K$349:K$352,K353),"")/IF(K$349*K$350*K$351*K$352*K353&gt;0,AVERAGE(K$349:K$352,K353),""),"")</f>
        <v/>
      </c>
      <c r="AB468" s="294" t="str">
        <f aca="false">IFERROR(IF(L$349*L$350*L$351*L$352*L353&gt;0,STDEV(L$349:L$352,L353),"")/IF(L$349*L$350*L$351*L$352*L353&gt;0,AVERAGE(L$349:L$352,L353),""),"")</f>
        <v/>
      </c>
      <c r="AC468" s="294" t="str">
        <f aca="false">IFERROR(IF(M$349*M$350*M$351*M$352*M353&gt;0,STDEV(M$349:M$352,M353),"")/IF(M$349*M$350*M$351*M$352*M353&gt;0,AVERAGE(M$349:M$352,M353),""),"")</f>
        <v/>
      </c>
      <c r="AD468" s="294" t="str">
        <f aca="false">IFERROR(IF(N$349*N$350*N$351*N$352*N353&gt;0,STDEV(N$349:N$352,N353),"")/IF(N$349*N$350*N$351*N$352*N353&gt;0,AVERAGE(N$349:N$352,N353),""),"")</f>
        <v/>
      </c>
      <c r="AE468" s="44"/>
      <c r="AF468" s="266" t="s">
        <v>565</v>
      </c>
      <c r="AG468" s="287" t="str">
        <f aca="false">IFERROR(IF(C$349*C$350*C$351*C$352*C353&gt;0,STDEV(C$349:C$352,C353)," ")/IF(C$349*C$350*C$351*C$352*C353&gt;0,SQRT(COUNT(C$349:C$352,C353))," "),"")</f>
        <v/>
      </c>
      <c r="AH468" s="287" t="str">
        <f aca="false">IFERROR(IF(D$349*D$350*D$351*D$352*D353&gt;0,STDEV(D$349:D$352,D353)," ")/IF(D$349*D$350*D$351*D$352*D353&gt;0,SQRT(COUNT(D$349:D$352,D353))," "),"")</f>
        <v/>
      </c>
      <c r="AI468" s="287" t="str">
        <f aca="false">IFERROR(IF(E$349*E$350*E$351*E$352*E353&gt;0,STDEV(E$349:E$352,E353)," ")/IF(E$349*E$350*E$351*E$352*E353&gt;0,SQRT(COUNT(E$349:E$352,E353))," "),"")</f>
        <v/>
      </c>
      <c r="AJ468" s="287" t="str">
        <f aca="false">IFERROR(IF(F$349*F$350*F$351*F$352*F353&gt;0,STDEV(F$349:F$352,F353)," ")/IF(F$349*F$350*F$351*F$352*F353&gt;0,SQRT(COUNT(F$349:F$352,F353))," "),"")</f>
        <v/>
      </c>
      <c r="AK468" s="287" t="str">
        <f aca="false">IFERROR(IF(G$349*G$350*G$351*G$352*G353&gt;0,STDEV(G$349:G$352,G353)," ")/IF(G$349*G$350*G$351*G$352*G353&gt;0,SQRT(COUNT(G$349:G$352,G353))," "),"")</f>
        <v/>
      </c>
      <c r="AL468" s="287" t="str">
        <f aca="false">IFERROR(IF(H$349*H$350*H$351*H$352*H353&gt;0,STDEV(H$349:H$352,H353)," ")/IF(H$349*H$350*H$351*H$352*H353&gt;0,SQRT(COUNT(H$349:H$352,H353))," "),"")</f>
        <v/>
      </c>
      <c r="AM468" s="287" t="str">
        <f aca="false">IFERROR(IF(I$349*I$350*I$351*I$352*I353&gt;0,STDEV(I$349:I$352,I353)," ")/IF(I$349*I$350*I$351*I$352*I353&gt;0,SQRT(COUNT(I$349:I$352,I353))," "),"")</f>
        <v/>
      </c>
      <c r="AN468" s="287" t="str">
        <f aca="false">IFERROR(IF(J$349*J$350*J$351*J$352*J353&gt;0,STDEV(J$349:J$352,J353)," ")/IF(J$349*J$350*J$351*J$352*J353&gt;0,SQRT(COUNT(J$349:J$352,J353))," "),"")</f>
        <v/>
      </c>
      <c r="AO468" s="287" t="str">
        <f aca="false">IFERROR(IF(K$349*K$350*K$351*K$352*K353&gt;0,STDEV(K$349:K$352,K353)," ")/IF(K$349*K$350*K$351*K$352*K353&gt;0,SQRT(COUNT(K$349:K$352,K353))," "),"")</f>
        <v/>
      </c>
      <c r="AP468" s="287" t="str">
        <f aca="false">IFERROR(IF(L$349*L$350*L$351*L$352*L353&gt;0,STDEV(L$349:L$352,L353)," ")/IF(L$349*L$350*L$351*L$352*L353&gt;0,SQRT(COUNT(L$349:L$352,L353))," "),"")</f>
        <v/>
      </c>
      <c r="AQ468" s="287" t="str">
        <f aca="false">IFERROR(IF(M$349*M$350*M$351*M$352*M353&gt;0,STDEV(M$349:M$352,M353)," ")/IF(M$349*M$350*M$351*M$352*M353&gt;0,SQRT(COUNT(M$349:M$352,M353))," "),"")</f>
        <v/>
      </c>
      <c r="AR468" s="287" t="str">
        <f aca="false">IFERROR(IF(N$349*N$350*N$351*N$352*N353&gt;0,STDEV(N$349:N$352,N353)," ")/IF(N$349*N$350*N$351*N$352*N353&gt;0,SQRT(COUNT(N$349:N$352,N353))," "),"")</f>
        <v/>
      </c>
    </row>
    <row r="469" customFormat="false" ht="15.75" hidden="false" customHeight="false" outlineLevel="0" collapsed="false">
      <c r="A469" s="290" t="s">
        <v>566</v>
      </c>
      <c r="B469" s="281"/>
      <c r="C469" s="302" t="str">
        <f aca="false">IFERROR(IF(C$350*C$351*C$352*C$353*C347&gt;0,AVERAGE(C$350:C$353,C347),""),"")</f>
        <v/>
      </c>
      <c r="D469" s="302" t="str">
        <f aca="false">IFERROR(IF(D$350*D$351*D$352*D$353*D347&gt;0,AVERAGE(D$350:D$353,D347),""),"")</f>
        <v/>
      </c>
      <c r="E469" s="302" t="str">
        <f aca="false">IFERROR(IF(E$350*E$351*E$352*E$353*E347&gt;0,AVERAGE(E$350:E$353,E347),""),"")</f>
        <v/>
      </c>
      <c r="F469" s="302" t="str">
        <f aca="false">IFERROR(IF(F$350*F$351*F$352*F$353*F347&gt;0,AVERAGE(F$350:F$353,F347),""),"")</f>
        <v/>
      </c>
      <c r="G469" s="302" t="str">
        <f aca="false">IFERROR(IF(G$350*G$351*G$352*G$353*G347&gt;0,AVERAGE(G$350:G$353,G347),""),"")</f>
        <v/>
      </c>
      <c r="H469" s="302" t="str">
        <f aca="false">IFERROR(IF(H$350*H$351*H$352*H$353*H347&gt;0,AVERAGE(H$350:H$353,H347),""),"")</f>
        <v/>
      </c>
      <c r="I469" s="302" t="str">
        <f aca="false">IFERROR(IF(I$350*I$351*I$352*I$353*I347&gt;0,AVERAGE(I$350:I$353,I347),""),"")</f>
        <v/>
      </c>
      <c r="J469" s="302" t="str">
        <f aca="false">IFERROR(IF(J$350*J$351*J$352*J$353*J347&gt;0,AVERAGE(J$350:J$353,J347),""),"")</f>
        <v/>
      </c>
      <c r="K469" s="302" t="str">
        <f aca="false">IFERROR(IF(K$350*K$351*K$352*K$353*K347&gt;0,AVERAGE(K$350:K$353,K347),""),"")</f>
        <v/>
      </c>
      <c r="L469" s="302" t="str">
        <f aca="false">IFERROR(IF(L$350*L$351*L$352*L$353*L347&gt;0,AVERAGE(L$350:L$353,L347),""),"")</f>
        <v/>
      </c>
      <c r="M469" s="302" t="str">
        <f aca="false">IFERROR(IF(M$350*M$351*M$352*M$353*M347&gt;0,AVERAGE(M$350:M$353,M347),""),"")</f>
        <v/>
      </c>
      <c r="N469" s="302" t="str">
        <f aca="false">IFERROR(IF(N$350*N$351*N$352*N$353*N347&gt;0,AVERAGE(N$350:N$353,N347),""),"")</f>
        <v/>
      </c>
      <c r="O469" s="282"/>
      <c r="P469" s="282"/>
      <c r="Q469" s="296"/>
      <c r="R469" s="293" t="s">
        <v>567</v>
      </c>
      <c r="S469" s="294" t="str">
        <f aca="false">IFERROR(IF(C$350*C$351*C$352*C$353*C347&gt;0,STDEV(C$350:C$353,C347),"")/IF(C$350*C$351*C$352*C$353*C347&gt;0,AVERAGE(C$350:C$353,C347),""),"")</f>
        <v/>
      </c>
      <c r="T469" s="294" t="str">
        <f aca="false">IFERROR(IF(D$350*D$351*D$352*D$353*D347&gt;0,STDEV(D$350:D$353,D347),"")/IF(D$350*D$351*D$352*D$353*D347&gt;0,AVERAGE(D$350:D$353,D347),""),"")</f>
        <v/>
      </c>
      <c r="U469" s="294" t="str">
        <f aca="false">IFERROR(IF(E$350*E$351*E$352*E$353*E347&gt;0,STDEV(E$350:E$353,E347),"")/IF(E$350*E$351*E$352*E$353*E347&gt;0,AVERAGE(E$350:E$353,E347),""),"")</f>
        <v/>
      </c>
      <c r="V469" s="294" t="str">
        <f aca="false">IFERROR(IF(F$350*F$351*F$352*F$353*F347&gt;0,STDEV(F$350:F$353,F347),"")/IF(F$350*F$351*F$352*F$353*F347&gt;0,AVERAGE(F$350:F$353,F347),""),"")</f>
        <v/>
      </c>
      <c r="W469" s="294" t="str">
        <f aca="false">IFERROR(IF(G$350*G$351*G$352*G$353*G347&gt;0,STDEV(G$350:G$353,G347),"")/IF(G$350*G$351*G$352*G$353*G347&gt;0,AVERAGE(G$350:G$353,G347),""),"")</f>
        <v/>
      </c>
      <c r="X469" s="294" t="str">
        <f aca="false">IFERROR(IF(H$350*H$351*H$352*H$353*H347&gt;0,STDEV(H$350:H$353,H347),"")/IF(H$350*H$351*H$352*H$353*H347&gt;0,AVERAGE(H$350:H$353,H347),""),"")</f>
        <v/>
      </c>
      <c r="Y469" s="294" t="str">
        <f aca="false">IFERROR(IF(I$350*I$351*I$352*I$353*I347&gt;0,STDEV(I$350:I$353,I347),"")/IF(I$350*I$351*I$352*I$353*I347&gt;0,AVERAGE(I$350:I$353,I347),""),"")</f>
        <v/>
      </c>
      <c r="Z469" s="294" t="str">
        <f aca="false">IFERROR(IF(J$350*J$351*J$352*J$353*J347&gt;0,STDEV(J$350:J$353,J347),"")/IF(J$350*J$351*J$352*J$353*J347&gt;0,AVERAGE(J$350:J$353,J347),""),"")</f>
        <v/>
      </c>
      <c r="AA469" s="294" t="str">
        <f aca="false">IFERROR(IF(K$350*K$351*K$352*K$353*K347&gt;0,STDEV(K$350:K$353,K347),"")/IF(K$350*K$351*K$352*K$353*K347&gt;0,AVERAGE(K$350:K$353,K347),""),"")</f>
        <v/>
      </c>
      <c r="AB469" s="294" t="str">
        <f aca="false">IFERROR(IF(L$350*L$351*L$352*L$353*L347&gt;0,STDEV(L$350:L$353,L347),"")/IF(L$350*L$351*L$352*L$353*L347&gt;0,AVERAGE(L$350:L$353,L347),""),"")</f>
        <v/>
      </c>
      <c r="AC469" s="294" t="str">
        <f aca="false">IFERROR(IF(M$350*M$351*M$352*M$353*M347&gt;0,STDEV(M$350:M$353,M347),"")/IF(M$350*M$351*M$352*M$353*M347&gt;0,AVERAGE(M$350:M$353,M347),""),"")</f>
        <v/>
      </c>
      <c r="AD469" s="294" t="str">
        <f aca="false">IFERROR(IF(N$350*N$351*N$352*N$353*N347&gt;0,STDEV(N$350:N$353,N347),"")/IF(N$350*N$351*N$352*N$353*N347&gt;0,AVERAGE(N$350:N$353,N347),""),"")</f>
        <v/>
      </c>
      <c r="AE469" s="44"/>
      <c r="AF469" s="266" t="s">
        <v>568</v>
      </c>
      <c r="AG469" s="287" t="str">
        <f aca="false">IFERROR(IF(C$350*C$351*C$352*C$353*C347&gt;0,STDEV(C$350:C$353,C347)," ")/IF(C$350*C$351*C$352*C$353*C347&gt;0,SQRT(COUNT(C$350:C$353,C347))," "),"")</f>
        <v/>
      </c>
      <c r="AH469" s="287" t="str">
        <f aca="false">IFERROR(IF(D$350*D$351*D$352*D$353*D347&gt;0,STDEV(D$350:D$353,D347)," ")/IF(D$350*D$351*D$352*D$353*D347&gt;0,SQRT(COUNT(D$350:D$353,D347))," "),"")</f>
        <v/>
      </c>
      <c r="AI469" s="287" t="str">
        <f aca="false">IFERROR(IF(E$350*E$351*E$352*E$353*E347&gt;0,STDEV(E$350:E$353,E347)," ")/IF(E$350*E$351*E$352*E$353*E347&gt;0,SQRT(COUNT(E$350:E$353,E347))," "),"")</f>
        <v/>
      </c>
      <c r="AJ469" s="287" t="str">
        <f aca="false">IFERROR(IF(F$350*F$351*F$352*F$353*F347&gt;0,STDEV(F$350:F$353,F347)," ")/IF(F$350*F$351*F$352*F$353*F347&gt;0,SQRT(COUNT(F$350:F$353,F347))," "),"")</f>
        <v/>
      </c>
      <c r="AK469" s="287" t="str">
        <f aca="false">IFERROR(IF(G$350*G$351*G$352*G$353*G347&gt;0,STDEV(G$350:G$353,G347)," ")/IF(G$350*G$351*G$352*G$353*G347&gt;0,SQRT(COUNT(G$350:G$353,G347))," "),"")</f>
        <v/>
      </c>
      <c r="AL469" s="287" t="str">
        <f aca="false">IFERROR(IF(H$350*H$351*H$352*H$353*H347&gt;0,STDEV(H$350:H$353,H347)," ")/IF(H$350*H$351*H$352*H$353*H347&gt;0,SQRT(COUNT(H$350:H$353,H347))," "),"")</f>
        <v/>
      </c>
      <c r="AM469" s="287" t="str">
        <f aca="false">IFERROR(IF(I$350*I$351*I$352*I$353*I347&gt;0,STDEV(I$350:I$353,I347)," ")/IF(I$350*I$351*I$352*I$353*I347&gt;0,SQRT(COUNT(I$350:I$353,I347))," "),"")</f>
        <v/>
      </c>
      <c r="AN469" s="287" t="str">
        <f aca="false">IFERROR(IF(J$350*J$351*J$352*J$353*J347&gt;0,STDEV(J$350:J$353,J347)," ")/IF(J$350*J$351*J$352*J$353*J347&gt;0,SQRT(COUNT(J$350:J$353,J347))," "),"")</f>
        <v/>
      </c>
      <c r="AO469" s="287" t="str">
        <f aca="false">IFERROR(IF(K$350*K$351*K$352*K$353*K347&gt;0,STDEV(K$350:K$353,K347)," ")/IF(K$350*K$351*K$352*K$353*K347&gt;0,SQRT(COUNT(K$350:K$353,K347))," "),"")</f>
        <v/>
      </c>
      <c r="AP469" s="287" t="str">
        <f aca="false">IFERROR(IF(L$350*L$351*L$352*L$353*L347&gt;0,STDEV(L$350:L$353,L347)," ")/IF(L$350*L$351*L$352*L$353*L347&gt;0,SQRT(COUNT(L$350:L$353,L347))," "),"")</f>
        <v/>
      </c>
      <c r="AQ469" s="287" t="str">
        <f aca="false">IFERROR(IF(M$350*M$351*M$352*M$353*M347&gt;0,STDEV(M$350:M$353,M347)," ")/IF(M$350*M$351*M$352*M$353*M347&gt;0,SQRT(COUNT(M$350:M$353,M347))," "),"")</f>
        <v/>
      </c>
      <c r="AR469" s="287" t="str">
        <f aca="false">IFERROR(IF(N$350*N$351*N$352*N$353*N347&gt;0,STDEV(N$350:N$353,N347)," ")/IF(N$350*N$351*N$352*N$353*N347&gt;0,SQRT(COUNT(N$350:N$353,N347))," "),"")</f>
        <v/>
      </c>
    </row>
    <row r="470" customFormat="false" ht="15.75" hidden="false" customHeight="false" outlineLevel="0" collapsed="false">
      <c r="A470" s="290" t="s">
        <v>569</v>
      </c>
      <c r="B470" s="281"/>
      <c r="C470" s="302" t="str">
        <f aca="false">IFERROR(IF(C$350*C$351*C$352*C$353*C348&gt;0,AVERAGE(C$350:C$353,C348),""),"")</f>
        <v/>
      </c>
      <c r="D470" s="302" t="str">
        <f aca="false">IFERROR(IF(D$350*D$351*D$352*D$353*D348&gt;0,AVERAGE(D$350:D$353,D348),""),"")</f>
        <v/>
      </c>
      <c r="E470" s="302" t="str">
        <f aca="false">IFERROR(IF(E$350*E$351*E$352*E$353*E348&gt;0,AVERAGE(E$350:E$353,E348),""),"")</f>
        <v/>
      </c>
      <c r="F470" s="302" t="str">
        <f aca="false">IFERROR(IF(F$350*F$351*F$352*F$353*F348&gt;0,AVERAGE(F$350:F$353,F348),""),"")</f>
        <v/>
      </c>
      <c r="G470" s="302" t="str">
        <f aca="false">IFERROR(IF(G$350*G$351*G$352*G$353*G348&gt;0,AVERAGE(G$350:G$353,G348),""),"")</f>
        <v/>
      </c>
      <c r="H470" s="302" t="str">
        <f aca="false">IFERROR(IF(H$350*H$351*H$352*H$353*H348&gt;0,AVERAGE(H$350:H$353,H348),""),"")</f>
        <v/>
      </c>
      <c r="I470" s="302" t="str">
        <f aca="false">IFERROR(IF(I$350*I$351*I$352*I$353*I348&gt;0,AVERAGE(I$350:I$353,I348),""),"")</f>
        <v/>
      </c>
      <c r="J470" s="302" t="str">
        <f aca="false">IFERROR(IF(J$350*J$351*J$352*J$353*J348&gt;0,AVERAGE(J$350:J$353,J348),""),"")</f>
        <v/>
      </c>
      <c r="K470" s="302" t="str">
        <f aca="false">IFERROR(IF(K$350*K$351*K$352*K$353*K348&gt;0,AVERAGE(K$350:K$353,K348),""),"")</f>
        <v/>
      </c>
      <c r="L470" s="302" t="str">
        <f aca="false">IFERROR(IF(L$350*L$351*L$352*L$353*L348&gt;0,AVERAGE(L$350:L$353,L348),""),"")</f>
        <v/>
      </c>
      <c r="M470" s="302" t="str">
        <f aca="false">IFERROR(IF(M$350*M$351*M$352*M$353*M348&gt;0,AVERAGE(M$350:M$353,M348),""),"")</f>
        <v/>
      </c>
      <c r="N470" s="302" t="str">
        <f aca="false">IFERROR(IF(N$350*N$351*N$352*N$353*N348&gt;0,AVERAGE(N$350:N$353,N348),""),"")</f>
        <v/>
      </c>
      <c r="O470" s="282"/>
      <c r="P470" s="282"/>
      <c r="Q470" s="296"/>
      <c r="R470" s="293" t="s">
        <v>570</v>
      </c>
      <c r="S470" s="294" t="str">
        <f aca="false">IFERROR(IF(C$350*C$351*C$352*C$353*C348&gt;0,STDEV(C$350:C$353,C348),"")/IF(C$350*C$351*C$352*C$353*C348&gt;0,AVERAGE(C$350:C$353,C348),""),"")</f>
        <v/>
      </c>
      <c r="T470" s="294" t="str">
        <f aca="false">IFERROR(IF(D$350*D$351*D$352*D$353*D348&gt;0,STDEV(D$350:D$353,D348),"")/IF(D$350*D$351*D$352*D$353*D348&gt;0,AVERAGE(D$350:D$353,D348),""),"")</f>
        <v/>
      </c>
      <c r="U470" s="294" t="str">
        <f aca="false">IFERROR(IF(E$350*E$351*E$352*E$353*E348&gt;0,STDEV(E$350:E$353,E348),"")/IF(E$350*E$351*E$352*E$353*E348&gt;0,AVERAGE(E$350:E$353,E348),""),"")</f>
        <v/>
      </c>
      <c r="V470" s="294" t="str">
        <f aca="false">IFERROR(IF(F$350*F$351*F$352*F$353*F348&gt;0,STDEV(F$350:F$353,F348),"")/IF(F$350*F$351*F$352*F$353*F348&gt;0,AVERAGE(F$350:F$353,F348),""),"")</f>
        <v/>
      </c>
      <c r="W470" s="294" t="str">
        <f aca="false">IFERROR(IF(G$350*G$351*G$352*G$353*G348&gt;0,STDEV(G$350:G$353,G348),"")/IF(G$350*G$351*G$352*G$353*G348&gt;0,AVERAGE(G$350:G$353,G348),""),"")</f>
        <v/>
      </c>
      <c r="X470" s="294" t="str">
        <f aca="false">IFERROR(IF(H$350*H$351*H$352*H$353*H348&gt;0,STDEV(H$350:H$353,H348),"")/IF(H$350*H$351*H$352*H$353*H348&gt;0,AVERAGE(H$350:H$353,H348),""),"")</f>
        <v/>
      </c>
      <c r="Y470" s="294" t="str">
        <f aca="false">IFERROR(IF(I$350*I$351*I$352*I$353*I348&gt;0,STDEV(I$350:I$353,I348),"")/IF(I$350*I$351*I$352*I$353*I348&gt;0,AVERAGE(I$350:I$353,I348),""),"")</f>
        <v/>
      </c>
      <c r="Z470" s="294" t="str">
        <f aca="false">IFERROR(IF(J$350*J$351*J$352*J$353*J348&gt;0,STDEV(J$350:J$353,J348),"")/IF(J$350*J$351*J$352*J$353*J348&gt;0,AVERAGE(J$350:J$353,J348),""),"")</f>
        <v/>
      </c>
      <c r="AA470" s="294" t="str">
        <f aca="false">IFERROR(IF(K$350*K$351*K$352*K$353*K348&gt;0,STDEV(K$350:K$353,K348),"")/IF(K$350*K$351*K$352*K$353*K348&gt;0,AVERAGE(K$350:K$353,K348),""),"")</f>
        <v/>
      </c>
      <c r="AB470" s="294" t="str">
        <f aca="false">IFERROR(IF(L$350*L$351*L$352*L$353*L348&gt;0,STDEV(L$350:L$353,L348),"")/IF(L$350*L$351*L$352*L$353*L348&gt;0,AVERAGE(L$350:L$353,L348),""),"")</f>
        <v/>
      </c>
      <c r="AC470" s="294" t="str">
        <f aca="false">IFERROR(IF(M$350*M$351*M$352*M$353*M348&gt;0,STDEV(M$350:M$353,M348),"")/IF(M$350*M$351*M$352*M$353*M348&gt;0,AVERAGE(M$350:M$353,M348),""),"")</f>
        <v/>
      </c>
      <c r="AD470" s="294" t="str">
        <f aca="false">IFERROR(IF(N$350*N$351*N$352*N$353*N348&gt;0,STDEV(N$350:N$353,N348),"")/IF(N$350*N$351*N$352*N$353*N348&gt;0,AVERAGE(N$350:N$353,N348),""),"")</f>
        <v/>
      </c>
      <c r="AE470" s="44"/>
      <c r="AF470" s="266" t="s">
        <v>571</v>
      </c>
      <c r="AG470" s="287" t="str">
        <f aca="false">IFERROR(IF(C$350*C$351*C$352*C$353*C348&gt;0,STDEV(C$350:C$353,C348)," ")/IF(C$350*C$351*C$352*C$353*C348&gt;0,SQRT(COUNT(C$350:C$353,C348))," "),"")</f>
        <v/>
      </c>
      <c r="AH470" s="287" t="str">
        <f aca="false">IFERROR(IF(D$350*D$351*D$352*D$353*D348&gt;0,STDEV(D$350:D$353,D348)," ")/IF(D$350*D$351*D$352*D$353*D348&gt;0,SQRT(COUNT(D$350:D$353,D348))," "),"")</f>
        <v/>
      </c>
      <c r="AI470" s="287" t="str">
        <f aca="false">IFERROR(IF(E$350*E$351*E$352*E$353*E348&gt;0,STDEV(E$350:E$353,E348)," ")/IF(E$350*E$351*E$352*E$353*E348&gt;0,SQRT(COUNT(E$350:E$353,E348))," "),"")</f>
        <v/>
      </c>
      <c r="AJ470" s="287" t="str">
        <f aca="false">IFERROR(IF(F$350*F$351*F$352*F$353*F348&gt;0,STDEV(F$350:F$353,F348)," ")/IF(F$350*F$351*F$352*F$353*F348&gt;0,SQRT(COUNT(F$350:F$353,F348))," "),"")</f>
        <v/>
      </c>
      <c r="AK470" s="287" t="str">
        <f aca="false">IFERROR(IF(G$350*G$351*G$352*G$353*G348&gt;0,STDEV(G$350:G$353,G348)," ")/IF(G$350*G$351*G$352*G$353*G348&gt;0,SQRT(COUNT(G$350:G$353,G348))," "),"")</f>
        <v/>
      </c>
      <c r="AL470" s="287" t="str">
        <f aca="false">IFERROR(IF(H$350*H$351*H$352*H$353*H348&gt;0,STDEV(H$350:H$353,H348)," ")/IF(H$350*H$351*H$352*H$353*H348&gt;0,SQRT(COUNT(H$350:H$353,H348))," "),"")</f>
        <v/>
      </c>
      <c r="AM470" s="287" t="str">
        <f aca="false">IFERROR(IF(I$350*I$351*I$352*I$353*I348&gt;0,STDEV(I$350:I$353,I348)," ")/IF(I$350*I$351*I$352*I$353*I348&gt;0,SQRT(COUNT(I$350:I$353,I348))," "),"")</f>
        <v/>
      </c>
      <c r="AN470" s="287" t="str">
        <f aca="false">IFERROR(IF(J$350*J$351*J$352*J$353*J348&gt;0,STDEV(J$350:J$353,J348)," ")/IF(J$350*J$351*J$352*J$353*J348&gt;0,SQRT(COUNT(J$350:J$353,J348))," "),"")</f>
        <v/>
      </c>
      <c r="AO470" s="287" t="str">
        <f aca="false">IFERROR(IF(K$350*K$351*K$352*K$353*K348&gt;0,STDEV(K$350:K$353,K348)," ")/IF(K$350*K$351*K$352*K$353*K348&gt;0,SQRT(COUNT(K$350:K$353,K348))," "),"")</f>
        <v/>
      </c>
      <c r="AP470" s="287" t="str">
        <f aca="false">IFERROR(IF(L$350*L$351*L$352*L$353*L348&gt;0,STDEV(L$350:L$353,L348)," ")/IF(L$350*L$351*L$352*L$353*L348&gt;0,SQRT(COUNT(L$350:L$353,L348))," "),"")</f>
        <v/>
      </c>
      <c r="AQ470" s="287" t="str">
        <f aca="false">IFERROR(IF(M$350*M$351*M$352*M$353*M348&gt;0,STDEV(M$350:M$353,M348)," ")/IF(M$350*M$351*M$352*M$353*M348&gt;0,SQRT(COUNT(M$350:M$353,M348))," "),"")</f>
        <v/>
      </c>
      <c r="AR470" s="287" t="str">
        <f aca="false">IFERROR(IF(N$350*N$351*N$352*N$353*N348&gt;0,STDEV(N$350:N$353,N348)," ")/IF(N$350*N$351*N$352*N$353*N348&gt;0,SQRT(COUNT(N$350:N$353,N348))," "),"")</f>
        <v/>
      </c>
    </row>
    <row r="471" customFormat="false" ht="15.75" hidden="false" customHeight="false" outlineLevel="0" collapsed="false">
      <c r="A471" s="290" t="s">
        <v>572</v>
      </c>
      <c r="B471" s="281"/>
      <c r="C471" s="302" t="str">
        <f aca="false">IFERROR(IF(C$351*C$352*C$353*C$347*C$348&gt;0,AVERAGE(C$351:C$353, C$347, C$348),""),"")</f>
        <v/>
      </c>
      <c r="D471" s="302" t="str">
        <f aca="false">IFERROR(IF(D$351*D$352*D$353*D$347*D$348&gt;0,AVERAGE(D$351:D$353, D$347, D$348),""),"")</f>
        <v/>
      </c>
      <c r="E471" s="302" t="str">
        <f aca="false">IFERROR(IF(E$351*E$352*E$353*E$347*E$348&gt;0,AVERAGE(E$351:E$353, E$347, E$348),""),"")</f>
        <v/>
      </c>
      <c r="F471" s="302" t="str">
        <f aca="false">IFERROR(IF(F$351*F$352*F$353*F$347*F$348&gt;0,AVERAGE(F$351:F$353, F$347, F$348),""),"")</f>
        <v/>
      </c>
      <c r="G471" s="302" t="str">
        <f aca="false">IFERROR(IF(G$351*G$352*G$353*G$347*G$348&gt;0,AVERAGE(G$351:G$353, G$347, G$348),""),"")</f>
        <v/>
      </c>
      <c r="H471" s="302" t="str">
        <f aca="false">IFERROR(IF(H$351*H$352*H$353*H$347*H$348&gt;0,AVERAGE(H$351:H$353, H$347, H$348),""),"")</f>
        <v/>
      </c>
      <c r="I471" s="302" t="str">
        <f aca="false">IFERROR(IF(I$351*I$352*I$353*I$347*I$348&gt;0,AVERAGE(I$351:I$353, I$347, I$348),""),"")</f>
        <v/>
      </c>
      <c r="J471" s="302" t="str">
        <f aca="false">IFERROR(IF(J$351*J$352*J$353*J$347*J$348&gt;0,AVERAGE(J$351:J$353, J$347, J$348),""),"")</f>
        <v/>
      </c>
      <c r="K471" s="302" t="str">
        <f aca="false">IFERROR(IF(K$351*K$352*K$353*K$347*K$348&gt;0,AVERAGE(K$351:K$353, K$347, K$348),""),"")</f>
        <v/>
      </c>
      <c r="L471" s="302" t="str">
        <f aca="false">IFERROR(IF(L$351*L$352*L$353*L$347*L$348&gt;0,AVERAGE(L$351:L$353, L$347, L$348),""),"")</f>
        <v/>
      </c>
      <c r="M471" s="302" t="str">
        <f aca="false">IFERROR(IF(M$351*M$352*M$353*M$347*M$348&gt;0,AVERAGE(M$351:M$353, M$347, M$348),""),"")</f>
        <v/>
      </c>
      <c r="N471" s="302" t="str">
        <f aca="false">IFERROR(IF(N$351*N$352*N$353*N$347*N$348&gt;0,AVERAGE(N$351:N$353, N$347, N$348),""),"")</f>
        <v/>
      </c>
      <c r="O471" s="282"/>
      <c r="P471" s="282"/>
      <c r="Q471" s="296"/>
      <c r="R471" s="293" t="s">
        <v>573</v>
      </c>
      <c r="S471" s="294" t="str">
        <f aca="false">IFERROR(IF(C$351*C$352*C$353*C$347*C$348&gt;0,STDEV(C$351:C$353,, C$347, C$348),"")/IF(C$351*C$352*C$353*C$347*C$348&gt;0,AVERAGE(C$351:C$353,, C$347, C$348),""),"")</f>
        <v/>
      </c>
      <c r="T471" s="294" t="str">
        <f aca="false">IFERROR(IF(D$351*D$352*D$353*D$347*D$348&gt;0,STDEV(D$351:D$353,, D$347, D$348),"")/IF(D$351*D$352*D$353*D$347*D$348&gt;0,AVERAGE(D$351:D$353,, D$347, D$348),""),"")</f>
        <v/>
      </c>
      <c r="U471" s="294" t="str">
        <f aca="false">IFERROR(IF(E$351*E$352*E$353*E$347*E$348&gt;0,STDEV(E$351:E$353,, E$347, E$348),"")/IF(E$351*E$352*E$353*E$347*E$348&gt;0,AVERAGE(E$351:E$353,, E$347, E$348),""),"")</f>
        <v/>
      </c>
      <c r="V471" s="294" t="str">
        <f aca="false">IFERROR(IF(F$351*F$352*F$353*F$347*F$348&gt;0,STDEV(F$351:F$353,, F$347, F$348),"")/IF(F$351*F$352*F$353*F$347*F$348&gt;0,AVERAGE(F$351:F$353,, F$347, F$348),""),"")</f>
        <v/>
      </c>
      <c r="W471" s="294" t="str">
        <f aca="false">IFERROR(IF(G$351*G$352*G$353*G$347*G$348&gt;0,STDEV(G$351:G$353,, G$347, G$348),"")/IF(G$351*G$352*G$353*G$347*G$348&gt;0,AVERAGE(G$351:G$353,, G$347, G$348),""),"")</f>
        <v/>
      </c>
      <c r="X471" s="294" t="str">
        <f aca="false">IFERROR(IF(H$351*H$352*H$353*H$347*H$348&gt;0,STDEV(H$351:H$353,, H$347, H$348),"")/IF(H$351*H$352*H$353*H$347*H$348&gt;0,AVERAGE(H$351:H$353,, H$347, H$348),""),"")</f>
        <v/>
      </c>
      <c r="Y471" s="294" t="str">
        <f aca="false">IFERROR(IF(I$351*I$352*I$353*I$347*I$348&gt;0,STDEV(I$351:I$353,, I$347, I$348),"")/IF(I$351*I$352*I$353*I$347*I$348&gt;0,AVERAGE(I$351:I$353,, I$347, I$348),""),"")</f>
        <v/>
      </c>
      <c r="Z471" s="294" t="str">
        <f aca="false">IFERROR(IF(J$351*J$352*J$353*J$347*J$348&gt;0,STDEV(J$351:J$353,, J$347, J$348),"")/IF(J$351*J$352*J$353*J$347*J$348&gt;0,AVERAGE(J$351:J$353,, J$347, J$348),""),"")</f>
        <v/>
      </c>
      <c r="AA471" s="294" t="str">
        <f aca="false">IFERROR(IF(K$351*K$352*K$353*K$347*K$348&gt;0,STDEV(K$351:K$353,, K$347, K$348),"")/IF(K$351*K$352*K$353*K$347*K$348&gt;0,AVERAGE(K$351:K$353,, K$347, K$348),""),"")</f>
        <v/>
      </c>
      <c r="AB471" s="294" t="str">
        <f aca="false">IFERROR(IF(L$351*L$352*L$353*L$347*L$348&gt;0,STDEV(L$351:L$353,, L$347, L$348),"")/IF(L$351*L$352*L$353*L$347*L$348&gt;0,AVERAGE(L$351:L$353,, L$347, L$348),""),"")</f>
        <v/>
      </c>
      <c r="AC471" s="294" t="str">
        <f aca="false">IFERROR(IF(M$351*M$352*M$353*M$347*M$348&gt;0,STDEV(M$351:M$353,, M$347, M$348),"")/IF(M$351*M$352*M$353*M$347*M$348&gt;0,AVERAGE(M$351:M$353,, M$347, M$348),""),"")</f>
        <v/>
      </c>
      <c r="AD471" s="294" t="str">
        <f aca="false">IFERROR(IF(N$351*N$352*N$353*N$347*N$348&gt;0,STDEV(N$351:N$353,, N$347, N$348),"")/IF(N$351*N$352*N$353*N$347*N$348&gt;0,AVERAGE(N$351:N$353,, N$347, N$348),""),"")</f>
        <v/>
      </c>
      <c r="AE471" s="44"/>
      <c r="AF471" s="266" t="s">
        <v>574</v>
      </c>
      <c r="AG471" s="287" t="str">
        <f aca="false">IFERROR(IF(C$351*C$352*C$353*C$347*C$348&gt;0,STDEV(C$351:C$353,, C$347, C$348)," ")/IF(C$351*C$352*C$353*C$347*C$348&gt;0,SQRT(COUNT(C$351:C$353,, C$347, C$348))," "),"")</f>
        <v/>
      </c>
      <c r="AH471" s="287" t="str">
        <f aca="false">IFERROR(IF(D$351*D$352*D$353*D$347*D$348&gt;0,STDEV(D$351:D$353,, D$347, D$348)," ")/IF(D$351*D$352*D$353*D$347*D$348&gt;0,SQRT(COUNT(D$351:D$353,, D$347, D$348))," "),"")</f>
        <v/>
      </c>
      <c r="AI471" s="287" t="str">
        <f aca="false">IFERROR(IF(E$351*E$352*E$353*E$347*E$348&gt;0,STDEV(E$351:E$353,, E$347, E$348)," ")/IF(E$351*E$352*E$353*E$347*E$348&gt;0,SQRT(COUNT(E$351:E$353,, E$347, E$348))," "),"")</f>
        <v/>
      </c>
      <c r="AJ471" s="287" t="str">
        <f aca="false">IFERROR(IF(F$351*F$352*F$353*F$347*F$348&gt;0,STDEV(F$351:F$353,, F$347, F$348)," ")/IF(F$351*F$352*F$353*F$347*F$348&gt;0,SQRT(COUNT(F$351:F$353,, F$347, F$348))," "),"")</f>
        <v/>
      </c>
      <c r="AK471" s="287" t="str">
        <f aca="false">IFERROR(IF(G$351*G$352*G$353*G$347*G$348&gt;0,STDEV(G$351:G$353,, G$347, G$348)," ")/IF(G$351*G$352*G$353*G$347*G$348&gt;0,SQRT(COUNT(G$351:G$353,, G$347, G$348))," "),"")</f>
        <v/>
      </c>
      <c r="AL471" s="287" t="str">
        <f aca="false">IFERROR(IF(H$351*H$352*H$353*H$347*H$348&gt;0,STDEV(H$351:H$353,, H$347, H$348)," ")/IF(H$351*H$352*H$353*H$347*H$348&gt;0,SQRT(COUNT(H$351:H$353,, H$347, H$348))," "),"")</f>
        <v/>
      </c>
      <c r="AM471" s="287" t="str">
        <f aca="false">IFERROR(IF(I$351*I$352*I$353*I$347*I$348&gt;0,STDEV(I$351:I$353,, I$347, I$348)," ")/IF(I$351*I$352*I$353*I$347*I$348&gt;0,SQRT(COUNT(I$351:I$353,, I$347, I$348))," "),"")</f>
        <v/>
      </c>
      <c r="AN471" s="287" t="str">
        <f aca="false">IFERROR(IF(J$351*J$352*J$353*J$347*J$348&gt;0,STDEV(J$351:J$353,, J$347, J$348)," ")/IF(J$351*J$352*J$353*J$347*J$348&gt;0,SQRT(COUNT(J$351:J$353,, J$347, J$348))," "),"")</f>
        <v/>
      </c>
      <c r="AO471" s="287" t="str">
        <f aca="false">IFERROR(IF(K$351*K$352*K$353*K$347*K$348&gt;0,STDEV(K$351:K$353,, K$347, K$348)," ")/IF(K$351*K$352*K$353*K$347*K$348&gt;0,SQRT(COUNT(K$351:K$353,, K$347, K$348))," "),"")</f>
        <v/>
      </c>
      <c r="AP471" s="287" t="str">
        <f aca="false">IFERROR(IF(L$351*L$352*L$353*L$347*L$348&gt;0,STDEV(L$351:L$353,, L$347, L$348)," ")/IF(L$351*L$352*L$353*L$347*L$348&gt;0,SQRT(COUNT(L$351:L$353,, L$347, L$348))," "),"")</f>
        <v/>
      </c>
      <c r="AQ471" s="287" t="str">
        <f aca="false">IFERROR(IF(M$351*M$352*M$353*M$347*M$348&gt;0,STDEV(M$351:M$353,, M$347, M$348)," ")/IF(M$351*M$352*M$353*M$347*M$348&gt;0,SQRT(COUNT(M$351:M$353,, M$347, M$348))," "),"")</f>
        <v/>
      </c>
      <c r="AR471" s="287" t="str">
        <f aca="false">IFERROR(IF(N$351*N$352*N$353*N$347*N$348&gt;0,STDEV(N$351:N$353,, N$347, N$348)," ")/IF(N$351*N$352*N$353*N$347*N$348&gt;0,SQRT(COUNT(N$351:N$353,, N$347, N$348))," "),"")</f>
        <v/>
      </c>
    </row>
    <row r="472" customFormat="false" ht="15.75" hidden="false" customHeight="false" outlineLevel="0" collapsed="false">
      <c r="A472" s="290" t="s">
        <v>575</v>
      </c>
      <c r="B472" s="281"/>
      <c r="C472" s="302" t="str">
        <f aca="false">IFERROR(IF(C$351*C$352*C$353*C$347*C$349&gt;0,AVERAGE(C$351:C$353, C$347, C$349),""),"")</f>
        <v/>
      </c>
      <c r="D472" s="302" t="str">
        <f aca="false">IFERROR(IF(D$351*D$352*D$353*D$347*D$349&gt;0,AVERAGE(D$351:D$353, D$347, D$349),""),"")</f>
        <v/>
      </c>
      <c r="E472" s="302" t="str">
        <f aca="false">IFERROR(IF(E$351*E$352*E$353*E$347*E$349&gt;0,AVERAGE(E$351:E$353, E$347, E$349),""),"")</f>
        <v/>
      </c>
      <c r="F472" s="302" t="str">
        <f aca="false">IFERROR(IF(F$351*F$352*F$353*F$347*F$349&gt;0,AVERAGE(F$351:F$353, F$347, F$349),""),"")</f>
        <v/>
      </c>
      <c r="G472" s="302" t="str">
        <f aca="false">IFERROR(IF(G$351*G$352*G$353*G$347*G$349&gt;0,AVERAGE(G$351:G$353, G$347, G$349),""),"")</f>
        <v/>
      </c>
      <c r="H472" s="302" t="str">
        <f aca="false">IFERROR(IF(H$351*H$352*H$353*H$347*H$349&gt;0,AVERAGE(H$351:H$353, H$347, H$349),""),"")</f>
        <v/>
      </c>
      <c r="I472" s="302" t="str">
        <f aca="false">IFERROR(IF(I$351*I$352*I$353*I$347*I$349&gt;0,AVERAGE(I$351:I$353, I$347, I$349),""),"")</f>
        <v/>
      </c>
      <c r="J472" s="302" t="str">
        <f aca="false">IFERROR(IF(J$351*J$352*J$353*J$347*J$349&gt;0,AVERAGE(J$351:J$353, J$347, J$349),""),"")</f>
        <v/>
      </c>
      <c r="K472" s="302" t="str">
        <f aca="false">IFERROR(IF(K$351*K$352*K$353*K$347*K$349&gt;0,AVERAGE(K$351:K$353, K$347, K$349),""),"")</f>
        <v/>
      </c>
      <c r="L472" s="302" t="str">
        <f aca="false">IFERROR(IF(L$351*L$352*L$353*L$347*L$349&gt;0,AVERAGE(L$351:L$353, L$347, L$349),""),"")</f>
        <v/>
      </c>
      <c r="M472" s="302" t="str">
        <f aca="false">IFERROR(IF(M$351*M$352*M$353*M$347*M$349&gt;0,AVERAGE(M$351:M$353, M$347, M$349),""),"")</f>
        <v/>
      </c>
      <c r="N472" s="302" t="str">
        <f aca="false">IFERROR(IF(N$351*N$352*N$353*N$347*N$349&gt;0,AVERAGE(N$351:N$353, N$347, N$349),""),"")</f>
        <v/>
      </c>
      <c r="O472" s="282"/>
      <c r="P472" s="282"/>
      <c r="Q472" s="296"/>
      <c r="R472" s="293" t="s">
        <v>576</v>
      </c>
      <c r="S472" s="294" t="str">
        <f aca="false">IFERROR(IF(C$351*C$352*C$353*C$347*C$349&gt;0,STDEV(C$351:C$353,, C$347, C$349),"")/IF(C$351*C$352*C$353*C$347*C$349&gt;0,AVERAGE(C$351:C$353,, C$347, C$349),""),"")</f>
        <v/>
      </c>
      <c r="T472" s="294" t="str">
        <f aca="false">IFERROR(IF(D$351*D$352*D$353*D$347*D$349&gt;0,STDEV(D$351:D$353,, D$347, D$349),"")/IF(D$351*D$352*D$353*D$347*D$349&gt;0,AVERAGE(D$351:D$353,, D$347, D$349),""),"")</f>
        <v/>
      </c>
      <c r="U472" s="294" t="str">
        <f aca="false">IFERROR(IF(E$351*E$352*E$353*E$347*E$349&gt;0,STDEV(E$351:E$353,, E$347, E$349),"")/IF(E$351*E$352*E$353*E$347*E$349&gt;0,AVERAGE(E$351:E$353,, E$347, E$349),""),"")</f>
        <v/>
      </c>
      <c r="V472" s="294" t="str">
        <f aca="false">IFERROR(IF(F$351*F$352*F$353*F$347*F$349&gt;0,STDEV(F$351:F$353,, F$347, F$349),"")/IF(F$351*F$352*F$353*F$347*F$349&gt;0,AVERAGE(F$351:F$353,, F$347, F$349),""),"")</f>
        <v/>
      </c>
      <c r="W472" s="294" t="str">
        <f aca="false">IFERROR(IF(G$351*G$352*G$353*G$347*G$349&gt;0,STDEV(G$351:G$353,, G$347, G$349),"")/IF(G$351*G$352*G$353*G$347*G$349&gt;0,AVERAGE(G$351:G$353,, G$347, G$349),""),"")</f>
        <v/>
      </c>
      <c r="X472" s="294" t="str">
        <f aca="false">IFERROR(IF(H$351*H$352*H$353*H$347*H$349&gt;0,STDEV(H$351:H$353,, H$347, H$349),"")/IF(H$351*H$352*H$353*H$347*H$349&gt;0,AVERAGE(H$351:H$353,, H$347, H$349),""),"")</f>
        <v/>
      </c>
      <c r="Y472" s="294" t="str">
        <f aca="false">IFERROR(IF(I$351*I$352*I$353*I$347*I$349&gt;0,STDEV(I$351:I$353,, I$347, I$349),"")/IF(I$351*I$352*I$353*I$347*I$349&gt;0,AVERAGE(I$351:I$353,, I$347, I$349),""),"")</f>
        <v/>
      </c>
      <c r="Z472" s="294" t="str">
        <f aca="false">IFERROR(IF(J$351*J$352*J$353*J$347*J$349&gt;0,STDEV(J$351:J$353,, J$347, J$349),"")/IF(J$351*J$352*J$353*J$347*J$349&gt;0,AVERAGE(J$351:J$353,, J$347, J$349),""),"")</f>
        <v/>
      </c>
      <c r="AA472" s="294" t="str">
        <f aca="false">IFERROR(IF(K$351*K$352*K$353*K$347*K$349&gt;0,STDEV(K$351:K$353,, K$347, K$349),"")/IF(K$351*K$352*K$353*K$347*K$349&gt;0,AVERAGE(K$351:K$353,, K$347, K$349),""),"")</f>
        <v/>
      </c>
      <c r="AB472" s="294" t="str">
        <f aca="false">IFERROR(IF(L$351*L$352*L$353*L$347*L$349&gt;0,STDEV(L$351:L$353,, L$347, L$349),"")/IF(L$351*L$352*L$353*L$347*L$349&gt;0,AVERAGE(L$351:L$353,, L$347, L$349),""),"")</f>
        <v/>
      </c>
      <c r="AC472" s="294" t="str">
        <f aca="false">IFERROR(IF(M$351*M$352*M$353*M$347*M$349&gt;0,STDEV(M$351:M$353,, M$347, M$349),"")/IF(M$351*M$352*M$353*M$347*M$349&gt;0,AVERAGE(M$351:M$353,, M$347, M$349),""),"")</f>
        <v/>
      </c>
      <c r="AD472" s="294" t="str">
        <f aca="false">IFERROR(IF(N$351*N$352*N$353*N$347*N$349&gt;0,STDEV(N$351:N$353,, N$347, N$349),"")/IF(N$351*N$352*N$353*N$347*N$349&gt;0,AVERAGE(N$351:N$353,, N$347, N$349),""),"")</f>
        <v/>
      </c>
      <c r="AE472" s="44"/>
      <c r="AF472" s="266" t="s">
        <v>577</v>
      </c>
      <c r="AG472" s="287" t="str">
        <f aca="false">IFERROR(IF(C$351*C$352*C$353*C$347*C$349&gt;0,STDEV(C$351:C$353,, C$347, C$349)," ")/IF(C$351*C$352*C$353*C$347*C$349&gt;0,SQRT(COUNT(C$351:C$353,, C$347, C$349))," "),"")</f>
        <v/>
      </c>
      <c r="AH472" s="287" t="str">
        <f aca="false">IFERROR(IF(D$351*D$352*D$353*D$347*D$349&gt;0,STDEV(D$351:D$353,, D$347, D$349)," ")/IF(D$351*D$352*D$353*D$347*D$349&gt;0,SQRT(COUNT(D$351:D$353,, D$347, D$349))," "),"")</f>
        <v/>
      </c>
      <c r="AI472" s="287" t="str">
        <f aca="false">IFERROR(IF(E$351*E$352*E$353*E$347*E$349&gt;0,STDEV(E$351:E$353,, E$347, E$349)," ")/IF(E$351*E$352*E$353*E$347*E$349&gt;0,SQRT(COUNT(E$351:E$353,, E$347, E$349))," "),"")</f>
        <v/>
      </c>
      <c r="AJ472" s="287" t="str">
        <f aca="false">IFERROR(IF(F$351*F$352*F$353*F$347*F$349&gt;0,STDEV(F$351:F$353,, F$347, F$349)," ")/IF(F$351*F$352*F$353*F$347*F$349&gt;0,SQRT(COUNT(F$351:F$353,, F$347, F$349))," "),"")</f>
        <v/>
      </c>
      <c r="AK472" s="287" t="str">
        <f aca="false">IFERROR(IF(G$351*G$352*G$353*G$347*G$349&gt;0,STDEV(G$351:G$353,, G$347, G$349)," ")/IF(G$351*G$352*G$353*G$347*G$349&gt;0,SQRT(COUNT(G$351:G$353,, G$347, G$349))," "),"")</f>
        <v/>
      </c>
      <c r="AL472" s="287" t="str">
        <f aca="false">IFERROR(IF(H$351*H$352*H$353*H$347*H$349&gt;0,STDEV(H$351:H$353,, H$347, H$349)," ")/IF(H$351*H$352*H$353*H$347*H$349&gt;0,SQRT(COUNT(H$351:H$353,, H$347, H$349))," "),"")</f>
        <v/>
      </c>
      <c r="AM472" s="287" t="str">
        <f aca="false">IFERROR(IF(I$351*I$352*I$353*I$347*I$349&gt;0,STDEV(I$351:I$353,, I$347, I$349)," ")/IF(I$351*I$352*I$353*I$347*I$349&gt;0,SQRT(COUNT(I$351:I$353,, I$347, I$349))," "),"")</f>
        <v/>
      </c>
      <c r="AN472" s="287" t="str">
        <f aca="false">IFERROR(IF(J$351*J$352*J$353*J$347*J$349&gt;0,STDEV(J$351:J$353,, J$347, J$349)," ")/IF(J$351*J$352*J$353*J$347*J$349&gt;0,SQRT(COUNT(J$351:J$353,, J$347, J$349))," "),"")</f>
        <v/>
      </c>
      <c r="AO472" s="287" t="str">
        <f aca="false">IFERROR(IF(K$351*K$352*K$353*K$347*K$349&gt;0,STDEV(K$351:K$353,, K$347, K$349)," ")/IF(K$351*K$352*K$353*K$347*K$349&gt;0,SQRT(COUNT(K$351:K$353,, K$347, K$349))," "),"")</f>
        <v/>
      </c>
      <c r="AP472" s="287" t="str">
        <f aca="false">IFERROR(IF(L$351*L$352*L$353*L$347*L$349&gt;0,STDEV(L$351:L$353,, L$347, L$349)," ")/IF(L$351*L$352*L$353*L$347*L$349&gt;0,SQRT(COUNT(L$351:L$353,, L$347, L$349))," "),"")</f>
        <v/>
      </c>
      <c r="AQ472" s="287" t="str">
        <f aca="false">IFERROR(IF(M$351*M$352*M$353*M$347*M$349&gt;0,STDEV(M$351:M$353,, M$347, M$349)," ")/IF(M$351*M$352*M$353*M$347*M$349&gt;0,SQRT(COUNT(M$351:M$353,, M$347, M$349))," "),"")</f>
        <v/>
      </c>
      <c r="AR472" s="287" t="str">
        <f aca="false">IFERROR(IF(N$351*N$352*N$353*N$347*N$349&gt;0,STDEV(N$351:N$353,, N$347, N$349)," ")/IF(N$351*N$352*N$353*N$347*N$349&gt;0,SQRT(COUNT(N$351:N$353,, N$347, N$349))," "),"")</f>
        <v/>
      </c>
    </row>
    <row r="473" customFormat="false" ht="15.75" hidden="false" customHeight="false" outlineLevel="0" collapsed="false">
      <c r="A473" s="290" t="s">
        <v>578</v>
      </c>
      <c r="B473" s="281"/>
      <c r="C473" s="302" t="str">
        <f aca="false">IFERROR(IF(C$351*C$352*C$353*C$347*C$350&gt;0,AVERAGE(C$351:C$353, C$347, C$350),""),"")</f>
        <v/>
      </c>
      <c r="D473" s="302" t="str">
        <f aca="false">IFERROR(IF(D$351*D$352*D$353*D$347*D$350&gt;0,AVERAGE(D$351:D$353, D$347, D$350),""),"")</f>
        <v/>
      </c>
      <c r="E473" s="302" t="str">
        <f aca="false">IFERROR(IF(E$351*E$352*E$353*E$347*E$350&gt;0,AVERAGE(E$351:E$353, E$347, E$350),""),"")</f>
        <v/>
      </c>
      <c r="F473" s="302" t="str">
        <f aca="false">IFERROR(IF(F$351*F$352*F$353*F$347*F$350&gt;0,AVERAGE(F$351:F$353, F$347, F$350),""),"")</f>
        <v/>
      </c>
      <c r="G473" s="302" t="str">
        <f aca="false">IFERROR(IF(G$351*G$352*G$353*G$347*G$350&gt;0,AVERAGE(G$351:G$353, G$347, G$350),""),"")</f>
        <v/>
      </c>
      <c r="H473" s="302" t="str">
        <f aca="false">IFERROR(IF(H$351*H$352*H$353*H$347*H$350&gt;0,AVERAGE(H$351:H$353, H$347, H$350),""),"")</f>
        <v/>
      </c>
      <c r="I473" s="302" t="str">
        <f aca="false">IFERROR(IF(I$351*I$352*I$353*I$347*I$350&gt;0,AVERAGE(I$351:I$353, I$347, I$350),""),"")</f>
        <v/>
      </c>
      <c r="J473" s="302" t="str">
        <f aca="false">IFERROR(IF(J$351*J$352*J$353*J$347*J$350&gt;0,AVERAGE(J$351:J$353, J$347, J$350),""),"")</f>
        <v/>
      </c>
      <c r="K473" s="302" t="str">
        <f aca="false">IFERROR(IF(K$351*K$352*K$353*K$347*K$350&gt;0,AVERAGE(K$351:K$353, K$347, K$350),""),"")</f>
        <v/>
      </c>
      <c r="L473" s="302" t="str">
        <f aca="false">IFERROR(IF(L$351*L$352*L$353*L$347*L$350&gt;0,AVERAGE(L$351:L$353, L$347, L$350),""),"")</f>
        <v/>
      </c>
      <c r="M473" s="302" t="str">
        <f aca="false">IFERROR(IF(M$351*M$352*M$353*M$347*M$350&gt;0,AVERAGE(M$351:M$353, M$347, M$350),""),"")</f>
        <v/>
      </c>
      <c r="N473" s="302" t="str">
        <f aca="false">IFERROR(IF(N$351*N$352*N$353*N$347*N$350&gt;0,AVERAGE(N$351:N$353, N$347, N$350),""),"")</f>
        <v/>
      </c>
      <c r="O473" s="282"/>
      <c r="P473" s="282"/>
      <c r="Q473" s="296"/>
      <c r="R473" s="293" t="s">
        <v>579</v>
      </c>
      <c r="S473" s="294" t="str">
        <f aca="false">IFERROR(IF(C$351*C$352*C$353*C$347*C$350&gt;0,STDEV(C$351:C$353,, C$347, C$350),"")/IF(C$351*C$352*C$353*C$347*C$350&gt;0,AVERAGE(C$351:C$353,, C$347, C$350),""),"")</f>
        <v/>
      </c>
      <c r="T473" s="294" t="str">
        <f aca="false">IFERROR(IF(D$351*D$352*D$353*D$347*D$350&gt;0,STDEV(D$351:D$353,, D$347, D$350),"")/IF(D$351*D$352*D$353*D$347*D$350&gt;0,AVERAGE(D$351:D$353,, D$347, D$350),""),"")</f>
        <v/>
      </c>
      <c r="U473" s="294" t="str">
        <f aca="false">IFERROR(IF(E$351*E$352*E$353*E$347*E$350&gt;0,STDEV(E$351:E$353,, E$347, E$350),"")/IF(E$351*E$352*E$353*E$347*E$350&gt;0,AVERAGE(E$351:E$353,, E$347, E$350),""),"")</f>
        <v/>
      </c>
      <c r="V473" s="294" t="str">
        <f aca="false">IFERROR(IF(F$351*F$352*F$353*F$347*F$350&gt;0,STDEV(F$351:F$353,, F$347, F$350),"")/IF(F$351*F$352*F$353*F$347*F$350&gt;0,AVERAGE(F$351:F$353,, F$347, F$350),""),"")</f>
        <v/>
      </c>
      <c r="W473" s="294" t="str">
        <f aca="false">IFERROR(IF(G$351*G$352*G$353*G$347*G$350&gt;0,STDEV(G$351:G$353,, G$347, G$350),"")/IF(G$351*G$352*G$353*G$347*G$350&gt;0,AVERAGE(G$351:G$353,, G$347, G$350),""),"")</f>
        <v/>
      </c>
      <c r="X473" s="294" t="str">
        <f aca="false">IFERROR(IF(H$351*H$352*H$353*H$347*H$350&gt;0,STDEV(H$351:H$353,, H$347, H$350),"")/IF(H$351*H$352*H$353*H$347*H$350&gt;0,AVERAGE(H$351:H$353,, H$347, H$350),""),"")</f>
        <v/>
      </c>
      <c r="Y473" s="294" t="str">
        <f aca="false">IFERROR(IF(I$351*I$352*I$353*I$347*I$350&gt;0,STDEV(I$351:I$353,, I$347, I$350),"")/IF(I$351*I$352*I$353*I$347*I$350&gt;0,AVERAGE(I$351:I$353,, I$347, I$350),""),"")</f>
        <v/>
      </c>
      <c r="Z473" s="294" t="str">
        <f aca="false">IFERROR(IF(J$351*J$352*J$353*J$347*J$350&gt;0,STDEV(J$351:J$353,, J$347, J$350),"")/IF(J$351*J$352*J$353*J$347*J$350&gt;0,AVERAGE(J$351:J$353,, J$347, J$350),""),"")</f>
        <v/>
      </c>
      <c r="AA473" s="294" t="str">
        <f aca="false">IFERROR(IF(K$351*K$352*K$353*K$347*K$350&gt;0,STDEV(K$351:K$353,, K$347, K$350),"")/IF(K$351*K$352*K$353*K$347*K$350&gt;0,AVERAGE(K$351:K$353,, K$347, K$350),""),"")</f>
        <v/>
      </c>
      <c r="AB473" s="294" t="str">
        <f aca="false">IFERROR(IF(L$351*L$352*L$353*L$347*L$350&gt;0,STDEV(L$351:L$353,, L$347, L$350),"")/IF(L$351*L$352*L$353*L$347*L$350&gt;0,AVERAGE(L$351:L$353,, L$347, L$350),""),"")</f>
        <v/>
      </c>
      <c r="AC473" s="294" t="str">
        <f aca="false">IFERROR(IF(M$351*M$352*M$353*M$347*M$350&gt;0,STDEV(M$351:M$353,, M$347, M$350),"")/IF(M$351*M$352*M$353*M$347*M$350&gt;0,AVERAGE(M$351:M$353,, M$347, M$350),""),"")</f>
        <v/>
      </c>
      <c r="AD473" s="294" t="str">
        <f aca="false">IFERROR(IF(N$351*N$352*N$353*N$347*N$350&gt;0,STDEV(N$351:N$353,, N$347, N$350),"")/IF(N$351*N$352*N$353*N$347*N$350&gt;0,AVERAGE(N$351:N$353,, N$347, N$350),""),"")</f>
        <v/>
      </c>
      <c r="AE473" s="44"/>
      <c r="AF473" s="266" t="s">
        <v>580</v>
      </c>
      <c r="AG473" s="287" t="str">
        <f aca="false">IFERROR(IF(C$351*C$352*C$353*C$347*C$350&gt;0,STDEV(C$351:C$353,, C$347, C$350)," ")/IF(C$351*C$352*C$353*C$347*C$350&gt;0,SQRT(COUNT(C$351:C$353,, C$347, C$350))," "),"")</f>
        <v/>
      </c>
      <c r="AH473" s="287" t="str">
        <f aca="false">IFERROR(IF(D$351*D$352*D$353*D$347*D$350&gt;0,STDEV(D$351:D$353,, D$347, D$350)," ")/IF(D$351*D$352*D$353*D$347*D$350&gt;0,SQRT(COUNT(D$351:D$353,, D$347, D$350))," "),"")</f>
        <v/>
      </c>
      <c r="AI473" s="287" t="str">
        <f aca="false">IFERROR(IF(E$351*E$352*E$353*E$347*E$350&gt;0,STDEV(E$351:E$353,, E$347, E$350)," ")/IF(E$351*E$352*E$353*E$347*E$350&gt;0,SQRT(COUNT(E$351:E$353,, E$347, E$350))," "),"")</f>
        <v/>
      </c>
      <c r="AJ473" s="287" t="str">
        <f aca="false">IFERROR(IF(F$351*F$352*F$353*F$347*F$350&gt;0,STDEV(F$351:F$353,, F$347, F$350)," ")/IF(F$351*F$352*F$353*F$347*F$350&gt;0,SQRT(COUNT(F$351:F$353,, F$347, F$350))," "),"")</f>
        <v/>
      </c>
      <c r="AK473" s="287" t="str">
        <f aca="false">IFERROR(IF(G$351*G$352*G$353*G$347*G$350&gt;0,STDEV(G$351:G$353,, G$347, G$350)," ")/IF(G$351*G$352*G$353*G$347*G$350&gt;0,SQRT(COUNT(G$351:G$353,, G$347, G$350))," "),"")</f>
        <v/>
      </c>
      <c r="AL473" s="287" t="str">
        <f aca="false">IFERROR(IF(H$351*H$352*H$353*H$347*H$350&gt;0,STDEV(H$351:H$353,, H$347, H$350)," ")/IF(H$351*H$352*H$353*H$347*H$350&gt;0,SQRT(COUNT(H$351:H$353,, H$347, H$350))," "),"")</f>
        <v/>
      </c>
      <c r="AM473" s="287" t="str">
        <f aca="false">IFERROR(IF(I$351*I$352*I$353*I$347*I$350&gt;0,STDEV(I$351:I$353,, I$347, I$350)," ")/IF(I$351*I$352*I$353*I$347*I$350&gt;0,SQRT(COUNT(I$351:I$353,, I$347, I$350))," "),"")</f>
        <v/>
      </c>
      <c r="AN473" s="287" t="str">
        <f aca="false">IFERROR(IF(J$351*J$352*J$353*J$347*J$350&gt;0,STDEV(J$351:J$353,, J$347, J$350)," ")/IF(J$351*J$352*J$353*J$347*J$350&gt;0,SQRT(COUNT(J$351:J$353,, J$347, J$350))," "),"")</f>
        <v/>
      </c>
      <c r="AO473" s="287" t="str">
        <f aca="false">IFERROR(IF(K$351*K$352*K$353*K$347*K$350&gt;0,STDEV(K$351:K$353,, K$347, K$350)," ")/IF(K$351*K$352*K$353*K$347*K$350&gt;0,SQRT(COUNT(K$351:K$353,, K$347, K$350))," "),"")</f>
        <v/>
      </c>
      <c r="AP473" s="287" t="str">
        <f aca="false">IFERROR(IF(L$351*L$352*L$353*L$347*L$350&gt;0,STDEV(L$351:L$353,, L$347, L$350)," ")/IF(L$351*L$352*L$353*L$347*L$350&gt;0,SQRT(COUNT(L$351:L$353,, L$347, L$350))," "),"")</f>
        <v/>
      </c>
      <c r="AQ473" s="287" t="str">
        <f aca="false">IFERROR(IF(M$351*M$352*M$353*M$347*M$350&gt;0,STDEV(M$351:M$353,, M$347, M$350)," ")/IF(M$351*M$352*M$353*M$347*M$350&gt;0,SQRT(COUNT(M$351:M$353,, M$347, M$350))," "),"")</f>
        <v/>
      </c>
      <c r="AR473" s="287" t="str">
        <f aca="false">IFERROR(IF(N$351*N$352*N$353*N$347*N$350&gt;0,STDEV(N$351:N$353,, N$347, N$350)," ")/IF(N$351*N$352*N$353*N$347*N$350&gt;0,SQRT(COUNT(N$351:N$353,, N$347, N$350))," "),"")</f>
        <v/>
      </c>
    </row>
    <row r="474" customFormat="false" ht="15.75" hidden="false" customHeight="false" outlineLevel="0" collapsed="false">
      <c r="A474" s="290" t="s">
        <v>581</v>
      </c>
      <c r="B474" s="281"/>
      <c r="C474" s="302" t="str">
        <f aca="false">IFERROR(IF(C$351*C$352*C$353*C$348*C$349&gt;0,AVERAGE(C$351:C$353, C$348, C$349),""),"")</f>
        <v/>
      </c>
      <c r="D474" s="302" t="str">
        <f aca="false">IFERROR(IF(D$351*D$352*D$353*D$348*D$349&gt;0,AVERAGE(D$351:D$353, D$348, D$349),""),"")</f>
        <v/>
      </c>
      <c r="E474" s="302" t="str">
        <f aca="false">IFERROR(IF(E$351*E$352*E$353*E$348*E$349&gt;0,AVERAGE(E$351:E$353, E$348, E$349),""),"")</f>
        <v/>
      </c>
      <c r="F474" s="302" t="str">
        <f aca="false">IFERROR(IF(F$351*F$352*F$353*F$348*F$349&gt;0,AVERAGE(F$351:F$353, F$348, F$349),""),"")</f>
        <v/>
      </c>
      <c r="G474" s="302" t="str">
        <f aca="false">IFERROR(IF(G$351*G$352*G$353*G$348*G$349&gt;0,AVERAGE(G$351:G$353, G$348, G$349),""),"")</f>
        <v/>
      </c>
      <c r="H474" s="302" t="str">
        <f aca="false">IFERROR(IF(H$351*H$352*H$353*H$348*H$349&gt;0,AVERAGE(H$351:H$353, H$348, H$349),""),"")</f>
        <v/>
      </c>
      <c r="I474" s="302" t="str">
        <f aca="false">IFERROR(IF(I$351*I$352*I$353*I$348*I$349&gt;0,AVERAGE(I$351:I$353, I$348, I$349),""),"")</f>
        <v/>
      </c>
      <c r="J474" s="302" t="str">
        <f aca="false">IFERROR(IF(J$351*J$352*J$353*J$348*J$349&gt;0,AVERAGE(J$351:J$353, J$348, J$349),""),"")</f>
        <v/>
      </c>
      <c r="K474" s="302" t="str">
        <f aca="false">IFERROR(IF(K$351*K$352*K$353*K$348*K$349&gt;0,AVERAGE(K$351:K$353, K$348, K$349),""),"")</f>
        <v/>
      </c>
      <c r="L474" s="302" t="str">
        <f aca="false">IFERROR(IF(L$351*L$352*L$353*L$348*L$349&gt;0,AVERAGE(L$351:L$353, L$348, L$349),""),"")</f>
        <v/>
      </c>
      <c r="M474" s="302" t="str">
        <f aca="false">IFERROR(IF(M$351*M$352*M$353*M$348*M$349&gt;0,AVERAGE(M$351:M$353, M$348, M$349),""),"")</f>
        <v/>
      </c>
      <c r="N474" s="302" t="str">
        <f aca="false">IFERROR(IF(N$351*N$352*N$353*N$348*N$349&gt;0,AVERAGE(N$351:N$353, N$348, N$349),""),"")</f>
        <v/>
      </c>
      <c r="O474" s="282"/>
      <c r="P474" s="282"/>
      <c r="Q474" s="296"/>
      <c r="R474" s="293" t="s">
        <v>582</v>
      </c>
      <c r="S474" s="294" t="str">
        <f aca="false">IFERROR(IF(C$351*C$352*C$353*C$348*C$349&gt;0,STDEV(C$351:C$353,, C$348, C$349),"")/IF(C$351*C$352*C$353*C$348*C$349&gt;0,AVERAGE(C$351:C$353,, C$348, C$349),""),"")</f>
        <v/>
      </c>
      <c r="T474" s="294" t="str">
        <f aca="false">IFERROR(IF(D$351*D$352*D$353*D$348*D$349&gt;0,STDEV(D$351:D$353,, D$348, D$349),"")/IF(D$351*D$352*D$353*D$348*D$349&gt;0,AVERAGE(D$351:D$353,, D$348, D$349),""),"")</f>
        <v/>
      </c>
      <c r="U474" s="294" t="str">
        <f aca="false">IFERROR(IF(E$351*E$352*E$353*E$348*E$349&gt;0,STDEV(E$351:E$353,, E$348, E$349),"")/IF(E$351*E$352*E$353*E$348*E$349&gt;0,AVERAGE(E$351:E$353,, E$348, E$349),""),"")</f>
        <v/>
      </c>
      <c r="V474" s="294" t="str">
        <f aca="false">IFERROR(IF(F$351*F$352*F$353*F$348*F$349&gt;0,STDEV(F$351:F$353,, F$348, F$349),"")/IF(F$351*F$352*F$353*F$348*F$349&gt;0,AVERAGE(F$351:F$353,, F$348, F$349),""),"")</f>
        <v/>
      </c>
      <c r="W474" s="294" t="str">
        <f aca="false">IFERROR(IF(G$351*G$352*G$353*G$348*G$349&gt;0,STDEV(G$351:G$353,, G$348, G$349),"")/IF(G$351*G$352*G$353*G$348*G$349&gt;0,AVERAGE(G$351:G$353,, G$348, G$349),""),"")</f>
        <v/>
      </c>
      <c r="X474" s="294" t="str">
        <f aca="false">IFERROR(IF(H$351*H$352*H$353*H$348*H$349&gt;0,STDEV(H$351:H$353,, H$348, H$349),"")/IF(H$351*H$352*H$353*H$348*H$349&gt;0,AVERAGE(H$351:H$353,, H$348, H$349),""),"")</f>
        <v/>
      </c>
      <c r="Y474" s="294" t="str">
        <f aca="false">IFERROR(IF(I$351*I$352*I$353*I$348*I$349&gt;0,STDEV(I$351:I$353,, I$348, I$349),"")/IF(I$351*I$352*I$353*I$348*I$349&gt;0,AVERAGE(I$351:I$353,, I$348, I$349),""),"")</f>
        <v/>
      </c>
      <c r="Z474" s="294" t="str">
        <f aca="false">IFERROR(IF(J$351*J$352*J$353*J$348*J$349&gt;0,STDEV(J$351:J$353,, J$348, J$349),"")/IF(J$351*J$352*J$353*J$348*J$349&gt;0,AVERAGE(J$351:J$353,, J$348, J$349),""),"")</f>
        <v/>
      </c>
      <c r="AA474" s="294" t="str">
        <f aca="false">IFERROR(IF(K$351*K$352*K$353*K$348*K$349&gt;0,STDEV(K$351:K$353,, K$348, K$349),"")/IF(K$351*K$352*K$353*K$348*K$349&gt;0,AVERAGE(K$351:K$353,, K$348, K$349),""),"")</f>
        <v/>
      </c>
      <c r="AB474" s="294" t="str">
        <f aca="false">IFERROR(IF(L$351*L$352*L$353*L$348*L$349&gt;0,STDEV(L$351:L$353,, L$348, L$349),"")/IF(L$351*L$352*L$353*L$348*L$349&gt;0,AVERAGE(L$351:L$353,, L$348, L$349),""),"")</f>
        <v/>
      </c>
      <c r="AC474" s="294" t="str">
        <f aca="false">IFERROR(IF(M$351*M$352*M$353*M$348*M$349&gt;0,STDEV(M$351:M$353,, M$348, M$349),"")/IF(M$351*M$352*M$353*M$348*M$349&gt;0,AVERAGE(M$351:M$353,, M$348, M$349),""),"")</f>
        <v/>
      </c>
      <c r="AD474" s="294" t="str">
        <f aca="false">IFERROR(IF(N$351*N$352*N$353*N$348*N$349&gt;0,STDEV(N$351:N$353,, N$348, N$349),"")/IF(N$351*N$352*N$353*N$348*N$349&gt;0,AVERAGE(N$351:N$353,, N$348, N$349),""),"")</f>
        <v/>
      </c>
      <c r="AE474" s="44"/>
      <c r="AF474" s="266" t="s">
        <v>583</v>
      </c>
      <c r="AG474" s="287" t="str">
        <f aca="false">IFERROR(IF(C$351*C$352*C$353*C$348*C$349&gt;0,STDEV(C$351:C$353,, C$348, C$349)," ")/IF(C$351*C$352*C$353*C$348*C$349&gt;0,SQRT(COUNT(C$351:C$353,, C$348, C$349))," "),"")</f>
        <v/>
      </c>
      <c r="AH474" s="287" t="str">
        <f aca="false">IFERROR(IF(D$351*D$352*D$353*D$348*D$349&gt;0,STDEV(D$351:D$353,, D$348, D$349)," ")/IF(D$351*D$352*D$353*D$348*D$349&gt;0,SQRT(COUNT(D$351:D$353,, D$348, D$349))," "),"")</f>
        <v/>
      </c>
      <c r="AI474" s="287" t="str">
        <f aca="false">IFERROR(IF(E$351*E$352*E$353*E$348*E$349&gt;0,STDEV(E$351:E$353,, E$348, E$349)," ")/IF(E$351*E$352*E$353*E$348*E$349&gt;0,SQRT(COUNT(E$351:E$353,, E$348, E$349))," "),"")</f>
        <v/>
      </c>
      <c r="AJ474" s="287" t="str">
        <f aca="false">IFERROR(IF(F$351*F$352*F$353*F$348*F$349&gt;0,STDEV(F$351:F$353,, F$348, F$349)," ")/IF(F$351*F$352*F$353*F$348*F$349&gt;0,SQRT(COUNT(F$351:F$353,, F$348, F$349))," "),"")</f>
        <v/>
      </c>
      <c r="AK474" s="287" t="str">
        <f aca="false">IFERROR(IF(G$351*G$352*G$353*G$348*G$349&gt;0,STDEV(G$351:G$353,, G$348, G$349)," ")/IF(G$351*G$352*G$353*G$348*G$349&gt;0,SQRT(COUNT(G$351:G$353,, G$348, G$349))," "),"")</f>
        <v/>
      </c>
      <c r="AL474" s="287" t="str">
        <f aca="false">IFERROR(IF(H$351*H$352*H$353*H$348*H$349&gt;0,STDEV(H$351:H$353,, H$348, H$349)," ")/IF(H$351*H$352*H$353*H$348*H$349&gt;0,SQRT(COUNT(H$351:H$353,, H$348, H$349))," "),"")</f>
        <v/>
      </c>
      <c r="AM474" s="287" t="str">
        <f aca="false">IFERROR(IF(I$351*I$352*I$353*I$348*I$349&gt;0,STDEV(I$351:I$353,, I$348, I$349)," ")/IF(I$351*I$352*I$353*I$348*I$349&gt;0,SQRT(COUNT(I$351:I$353,, I$348, I$349))," "),"")</f>
        <v/>
      </c>
      <c r="AN474" s="287" t="str">
        <f aca="false">IFERROR(IF(J$351*J$352*J$353*J$348*J$349&gt;0,STDEV(J$351:J$353,, J$348, J$349)," ")/IF(J$351*J$352*J$353*J$348*J$349&gt;0,SQRT(COUNT(J$351:J$353,, J$348, J$349))," "),"")</f>
        <v/>
      </c>
      <c r="AO474" s="287" t="str">
        <f aca="false">IFERROR(IF(K$351*K$352*K$353*K$348*K$349&gt;0,STDEV(K$351:K$353,, K$348, K$349)," ")/IF(K$351*K$352*K$353*K$348*K$349&gt;0,SQRT(COUNT(K$351:K$353,, K$348, K$349))," "),"")</f>
        <v/>
      </c>
      <c r="AP474" s="287" t="str">
        <f aca="false">IFERROR(IF(L$351*L$352*L$353*L$348*L$349&gt;0,STDEV(L$351:L$353,, L$348, L$349)," ")/IF(L$351*L$352*L$353*L$348*L$349&gt;0,SQRT(COUNT(L$351:L$353,, L$348, L$349))," "),"")</f>
        <v/>
      </c>
      <c r="AQ474" s="287" t="str">
        <f aca="false">IFERROR(IF(M$351*M$352*M$353*M$348*M$349&gt;0,STDEV(M$351:M$353,, M$348, M$349)," ")/IF(M$351*M$352*M$353*M$348*M$349&gt;0,SQRT(COUNT(M$351:M$353,, M$348, M$349))," "),"")</f>
        <v/>
      </c>
      <c r="AR474" s="287" t="str">
        <f aca="false">IFERROR(IF(N$351*N$352*N$353*N$348*N$349&gt;0,STDEV(N$351:N$353,, N$348, N$349)," ")/IF(N$351*N$352*N$353*N$348*N$349&gt;0,SQRT(COUNT(N$351:N$353,, N$348, N$349))," "),"")</f>
        <v/>
      </c>
    </row>
    <row r="475" customFormat="false" ht="15.75" hidden="false" customHeight="false" outlineLevel="0" collapsed="false">
      <c r="A475" s="290" t="s">
        <v>584</v>
      </c>
      <c r="B475" s="281"/>
      <c r="C475" s="302" t="str">
        <f aca="false">IFERROR(IF(C$351*C$352*C$353*C$348*C$350&gt;0,AVERAGE(C$351:C$353, C$348, C$350),""),"")</f>
        <v/>
      </c>
      <c r="D475" s="302" t="str">
        <f aca="false">IFERROR(IF(D$351*D$352*D$353*D$348*D$350&gt;0,AVERAGE(D$351:D$353, D$348, D$350),""),"")</f>
        <v/>
      </c>
      <c r="E475" s="302" t="str">
        <f aca="false">IFERROR(IF(E$351*E$352*E$353*E$348*E$350&gt;0,AVERAGE(E$351:E$353, E$348, E$350),""),"")</f>
        <v/>
      </c>
      <c r="F475" s="302" t="str">
        <f aca="false">IFERROR(IF(F$351*F$352*F$353*F$348*F$350&gt;0,AVERAGE(F$351:F$353, F$348, F$350),""),"")</f>
        <v/>
      </c>
      <c r="G475" s="302" t="str">
        <f aca="false">IFERROR(IF(G$351*G$352*G$353*G$348*G$350&gt;0,AVERAGE(G$351:G$353, G$348, G$350),""),"")</f>
        <v/>
      </c>
      <c r="H475" s="302" t="str">
        <f aca="false">IFERROR(IF(H$351*H$352*H$353*H$348*H$350&gt;0,AVERAGE(H$351:H$353, H$348, H$350),""),"")</f>
        <v/>
      </c>
      <c r="I475" s="302" t="str">
        <f aca="false">IFERROR(IF(I$351*I$352*I$353*I$348*I$350&gt;0,AVERAGE(I$351:I$353, I$348, I$350),""),"")</f>
        <v/>
      </c>
      <c r="J475" s="302" t="str">
        <f aca="false">IFERROR(IF(J$351*J$352*J$353*J$348*J$350&gt;0,AVERAGE(J$351:J$353, J$348, J$350),""),"")</f>
        <v/>
      </c>
      <c r="K475" s="302" t="str">
        <f aca="false">IFERROR(IF(K$351*K$352*K$353*K$348*K$350&gt;0,AVERAGE(K$351:K$353, K$348, K$350),""),"")</f>
        <v/>
      </c>
      <c r="L475" s="302" t="str">
        <f aca="false">IFERROR(IF(L$351*L$352*L$353*L$348*L$350&gt;0,AVERAGE(L$351:L$353, L$348, L$350),""),"")</f>
        <v/>
      </c>
      <c r="M475" s="302" t="str">
        <f aca="false">IFERROR(IF(M$351*M$352*M$353*M$348*M$350&gt;0,AVERAGE(M$351:M$353, M$348, M$350),""),"")</f>
        <v/>
      </c>
      <c r="N475" s="302" t="str">
        <f aca="false">IFERROR(IF(N$351*N$352*N$353*N$348*N$350&gt;0,AVERAGE(N$351:N$353, N$348, N$350),""),"")</f>
        <v/>
      </c>
      <c r="O475" s="282"/>
      <c r="P475" s="282"/>
      <c r="Q475" s="296"/>
      <c r="R475" s="293" t="s">
        <v>585</v>
      </c>
      <c r="S475" s="294" t="str">
        <f aca="false">IFERROR(IF(C$351*C$352*C$353*C$348*C$350&gt;0,STDEV(C$351:C$353, C$348, C$350),"")/IF(C$351*C$352*C$353*C$348*C$350&gt;0,AVERAGE(C$351:C$353, C$348, C$350),""),"")</f>
        <v/>
      </c>
      <c r="T475" s="294" t="str">
        <f aca="false">IFERROR(IF(D$351*D$352*D$353*D$348*D$350&gt;0,STDEV(D$351:D$353, D$348, D$350),"")/IF(D$351*D$352*D$353*D$348*D$350&gt;0,AVERAGE(D$351:D$353, D$348, D$350),""),"")</f>
        <v/>
      </c>
      <c r="U475" s="294" t="str">
        <f aca="false">IFERROR(IF(E$351*E$352*E$353*E$348*E$350&gt;0,STDEV(E$351:E$353, E$348, E$350),"")/IF(E$351*E$352*E$353*E$348*E$350&gt;0,AVERAGE(E$351:E$353, E$348, E$350),""),"")</f>
        <v/>
      </c>
      <c r="V475" s="294" t="str">
        <f aca="false">IFERROR(IF(F$351*F$352*F$353*F$348*F$350&gt;0,STDEV(F$351:F$353, F$348, F$350),"")/IF(F$351*F$352*F$353*F$348*F$350&gt;0,AVERAGE(F$351:F$353, F$348, F$350),""),"")</f>
        <v/>
      </c>
      <c r="W475" s="294" t="str">
        <f aca="false">IFERROR(IF(G$351*G$352*G$353*G$348*G$350&gt;0,STDEV(G$351:G$353, G$348, G$350),"")/IF(G$351*G$352*G$353*G$348*G$350&gt;0,AVERAGE(G$351:G$353, G$348, G$350),""),"")</f>
        <v/>
      </c>
      <c r="X475" s="294" t="str">
        <f aca="false">IFERROR(IF(H$351*H$352*H$353*H$348*H$350&gt;0,STDEV(H$351:H$353, H$348, H$350),"")/IF(H$351*H$352*H$353*H$348*H$350&gt;0,AVERAGE(H$351:H$353, H$348, H$350),""),"")</f>
        <v/>
      </c>
      <c r="Y475" s="294" t="str">
        <f aca="false">IFERROR(IF(I$351*I$352*I$353*I$348*I$350&gt;0,STDEV(I$351:I$353, I$348, I$350),"")/IF(I$351*I$352*I$353*I$348*I$350&gt;0,AVERAGE(I$351:I$353, I$348, I$350),""),"")</f>
        <v/>
      </c>
      <c r="Z475" s="294" t="str">
        <f aca="false">IFERROR(IF(J$351*J$352*J$353*J$348*J$350&gt;0,STDEV(J$351:J$353, J$348, J$350),"")/IF(J$351*J$352*J$353*J$348*J$350&gt;0,AVERAGE(J$351:J$353, J$348, J$350),""),"")</f>
        <v/>
      </c>
      <c r="AA475" s="294" t="str">
        <f aca="false">IFERROR(IF(K$351*K$352*K$353*K$348*K$350&gt;0,STDEV(K$351:K$353, K$348, K$350),"")/IF(K$351*K$352*K$353*K$348*K$350&gt;0,AVERAGE(K$351:K$353, K$348, K$350),""),"")</f>
        <v/>
      </c>
      <c r="AB475" s="294" t="str">
        <f aca="false">IFERROR(IF(L$351*L$352*L$353*L$348*L$350&gt;0,STDEV(L$351:L$353, L$348, L$350),"")/IF(L$351*L$352*L$353*L$348*L$350&gt;0,AVERAGE(L$351:L$353, L$348, L$350),""),"")</f>
        <v/>
      </c>
      <c r="AC475" s="294" t="str">
        <f aca="false">IFERROR(IF(M$351*M$352*M$353*M$348*M$350&gt;0,STDEV(M$351:M$353, M$348, M$350),"")/IF(M$351*M$352*M$353*M$348*M$350&gt;0,AVERAGE(M$351:M$353, M$348, M$350),""),"")</f>
        <v/>
      </c>
      <c r="AD475" s="294" t="str">
        <f aca="false">IFERROR(IF(N$351*N$352*N$353*N$348*N$350&gt;0,STDEV(N$351:N$353, N$348, N$350),"")/IF(N$351*N$352*N$353*N$348*N$350&gt;0,AVERAGE(N$351:N$353, N$348, N$350),""),"")</f>
        <v/>
      </c>
      <c r="AE475" s="44"/>
      <c r="AF475" s="266" t="s">
        <v>586</v>
      </c>
      <c r="AG475" s="287" t="str">
        <f aca="false">IFERROR(IF(C$351*C$352*C$353*C$348*C$350&gt;0,STDEV(C$351:C$353, C$348, C$350)," ")/IF(C$351*C$352*C$353*C$348*C$350&gt;0,SQRT(COUNT(C$351:C$353, C$348, C$350))," "),"")</f>
        <v/>
      </c>
      <c r="AH475" s="287" t="str">
        <f aca="false">IFERROR(IF(D$351*D$352*D$353*D$348*D$350&gt;0,STDEV(D$351:D$353, D$348, D$350)," ")/IF(D$351*D$352*D$353*D$348*D$350&gt;0,SQRT(COUNT(D$351:D$353, D$348, D$350))," "),"")</f>
        <v/>
      </c>
      <c r="AI475" s="287" t="str">
        <f aca="false">IFERROR(IF(E$351*E$352*E$353*E$348*E$350&gt;0,STDEV(E$351:E$353, E$348, E$350)," ")/IF(E$351*E$352*E$353*E$348*E$350&gt;0,SQRT(COUNT(E$351:E$353, E$348, E$350))," "),"")</f>
        <v/>
      </c>
      <c r="AJ475" s="287" t="str">
        <f aca="false">IFERROR(IF(F$351*F$352*F$353*F$348*F$350&gt;0,STDEV(F$351:F$353, F$348, F$350)," ")/IF(F$351*F$352*F$353*F$348*F$350&gt;0,SQRT(COUNT(F$351:F$353, F$348, F$350))," "),"")</f>
        <v/>
      </c>
      <c r="AK475" s="287" t="str">
        <f aca="false">IFERROR(IF(G$351*G$352*G$353*G$348*G$350&gt;0,STDEV(G$351:G$353, G$348, G$350)," ")/IF(G$351*G$352*G$353*G$348*G$350&gt;0,SQRT(COUNT(G$351:G$353, G$348, G$350))," "),"")</f>
        <v/>
      </c>
      <c r="AL475" s="287" t="str">
        <f aca="false">IFERROR(IF(H$351*H$352*H$353*H$348*H$350&gt;0,STDEV(H$351:H$353, H$348, H$350)," ")/IF(H$351*H$352*H$353*H$348*H$350&gt;0,SQRT(COUNT(H$351:H$353, H$348, H$350))," "),"")</f>
        <v/>
      </c>
      <c r="AM475" s="287" t="str">
        <f aca="false">IFERROR(IF(I$351*I$352*I$353*I$348*I$350&gt;0,STDEV(I$351:I$353, I$348, I$350)," ")/IF(I$351*I$352*I$353*I$348*I$350&gt;0,SQRT(COUNT(I$351:I$353, I$348, I$350))," "),"")</f>
        <v/>
      </c>
      <c r="AN475" s="287" t="str">
        <f aca="false">IFERROR(IF(J$351*J$352*J$353*J$348*J$350&gt;0,STDEV(J$351:J$353, J$348, J$350)," ")/IF(J$351*J$352*J$353*J$348*J$350&gt;0,SQRT(COUNT(J$351:J$353, J$348, J$350))," "),"")</f>
        <v/>
      </c>
      <c r="AO475" s="287" t="str">
        <f aca="false">IFERROR(IF(K$351*K$352*K$353*K$348*K$350&gt;0,STDEV(K$351:K$353, K$348, K$350)," ")/IF(K$351*K$352*K$353*K$348*K$350&gt;0,SQRT(COUNT(K$351:K$353, K$348, K$350))," "),"")</f>
        <v/>
      </c>
      <c r="AP475" s="287" t="str">
        <f aca="false">IFERROR(IF(L$351*L$352*L$353*L$348*L$350&gt;0,STDEV(L$351:L$353, L$348, L$350)," ")/IF(L$351*L$352*L$353*L$348*L$350&gt;0,SQRT(COUNT(L$351:L$353, L$348, L$350))," "),"")</f>
        <v/>
      </c>
      <c r="AQ475" s="287" t="str">
        <f aca="false">IFERROR(IF(M$351*M$352*M$353*M$348*M$350&gt;0,STDEV(M$351:M$353, M$348, M$350)," ")/IF(M$351*M$352*M$353*M$348*M$350&gt;0,SQRT(COUNT(M$351:M$353, M$348, M$350))," "),"")</f>
        <v/>
      </c>
      <c r="AR475" s="287" t="str">
        <f aca="false">IFERROR(IF(N$351*N$352*N$353*N$348*N$350&gt;0,STDEV(N$351:N$353, N$348, N$350)," ")/IF(N$351*N$352*N$353*N$348*N$350&gt;0,SQRT(COUNT(N$351:N$353, N$348, N$350))," "),"")</f>
        <v/>
      </c>
    </row>
    <row r="476" customFormat="false" ht="15.75" hidden="false" customHeight="false" outlineLevel="0" collapsed="false">
      <c r="A476" s="290" t="s">
        <v>587</v>
      </c>
      <c r="B476" s="281"/>
      <c r="C476" s="302" t="str">
        <f aca="false">IFERROR(IF(C$347*C$349*C$350*C$351*C352&gt;0,AVERAGE(C$347, C$349,C$350, C$351, C$352),""),"")</f>
        <v/>
      </c>
      <c r="D476" s="302" t="str">
        <f aca="false">IFERROR(IF(D$347*D$349*D$350*D$351*D352&gt;0,AVERAGE(D$347, D$349,D$350, D$351, D$352),""),"")</f>
        <v/>
      </c>
      <c r="E476" s="302" t="str">
        <f aca="false">IFERROR(IF(E$347*E$349*E$350*E$351*E352&gt;0,AVERAGE(E$347, E$349,E$350, E$351, E$352),""),"")</f>
        <v/>
      </c>
      <c r="F476" s="302" t="str">
        <f aca="false">IFERROR(IF(F$347*F$349*F$350*F$351*F352&gt;0,AVERAGE(F$347, F$349,F$350, F$351, F$352),""),"")</f>
        <v/>
      </c>
      <c r="G476" s="302" t="str">
        <f aca="false">IFERROR(IF(G$347*G$349*G$350*G$351*G352&gt;0,AVERAGE(G$347, G$349,G$350, G$351, G$352),""),"")</f>
        <v/>
      </c>
      <c r="H476" s="302" t="str">
        <f aca="false">IFERROR(IF(H$347*H$349*H$350*H$351*H352&gt;0,AVERAGE(H$347, H$349,H$350, H$351, H$352),""),"")</f>
        <v/>
      </c>
      <c r="I476" s="302" t="str">
        <f aca="false">IFERROR(IF(I$347*I$349*I$350*I$351*I352&gt;0,AVERAGE(I$347, I$349,I$350, I$351, I$352),""),"")</f>
        <v/>
      </c>
      <c r="J476" s="302" t="str">
        <f aca="false">IFERROR(IF(J$347*J$349*J$350*J$351*J352&gt;0,AVERAGE(J$347, J$349,J$350, J$351, J$352),""),"")</f>
        <v/>
      </c>
      <c r="K476" s="302" t="str">
        <f aca="false">IFERROR(IF(K$347*K$349*K$350*K$351*K352&gt;0,AVERAGE(K$347, K$349,K$350, K$351, K$352),""),"")</f>
        <v/>
      </c>
      <c r="L476" s="302" t="str">
        <f aca="false">IFERROR(IF(L$347*L$349*L$350*L$351*L352&gt;0,AVERAGE(L$347, L$349,L$350, L$351, L$352),""),"")</f>
        <v/>
      </c>
      <c r="M476" s="302" t="str">
        <f aca="false">IFERROR(IF(M$347*M$349*M$350*M$351*M352&gt;0,AVERAGE(M$347, M$349,M$350, M$351, M$352),""),"")</f>
        <v/>
      </c>
      <c r="N476" s="302" t="str">
        <f aca="false">IFERROR(IF(N$347*N$349*N$350*N$351*N352&gt;0,AVERAGE(N$347, N$349,N$350, N$351, N$352),""),"")</f>
        <v/>
      </c>
      <c r="O476" s="282"/>
      <c r="P476" s="282"/>
      <c r="Q476" s="296"/>
      <c r="R476" s="293" t="s">
        <v>588</v>
      </c>
      <c r="S476" s="294" t="str">
        <f aca="false">IFERROR(IF(C$347*C$349*C$350*C$351*C352&gt;0,STDEV(C$347, C$349,C$350, C$351, C$352),"")/IF(C$347*C$349*C$350*C$351*C352&gt;0,AVERAGE(C$347, C$349,C$350, C$351, C$352),""),"")</f>
        <v/>
      </c>
      <c r="T476" s="294" t="str">
        <f aca="false">IFERROR(IF(D$347*D$349*D$350*D$351*D352&gt;0,STDEV(D$347, D$349,D$350, D$351, D$352),"")/IF(D$347*D$349*D$350*D$351*D352&gt;0,AVERAGE(D$347, D$349,D$350, D$351, D$352),""),"")</f>
        <v/>
      </c>
      <c r="U476" s="294" t="str">
        <f aca="false">IFERROR(IF(E$347*E$349*E$350*E$351*E352&gt;0,STDEV(E$347, E$349,E$350, E$351, E$352),"")/IF(E$347*E$349*E$350*E$351*E352&gt;0,AVERAGE(E$347, E$349,E$350, E$351, E$352),""),"")</f>
        <v/>
      </c>
      <c r="V476" s="294" t="str">
        <f aca="false">IFERROR(IF(F$347*F$349*F$350*F$351*F352&gt;0,STDEV(F$347, F$349,F$350, F$351, F$352),"")/IF(F$347*F$349*F$350*F$351*F352&gt;0,AVERAGE(F$347, F$349,F$350, F$351, F$352),""),"")</f>
        <v/>
      </c>
      <c r="W476" s="294" t="str">
        <f aca="false">IFERROR(IF(G$347*G$349*G$350*G$351*G352&gt;0,STDEV(G$347, G$349,G$350, G$351, G$352),"")/IF(G$347*G$349*G$350*G$351*G352&gt;0,AVERAGE(G$347, G$349,G$350, G$351, G$352),""),"")</f>
        <v/>
      </c>
      <c r="X476" s="294" t="str">
        <f aca="false">IFERROR(IF(H$347*H$349*H$350*H$351*H352&gt;0,STDEV(H$347, H$349,H$350, H$351, H$352),"")/IF(H$347*H$349*H$350*H$351*H352&gt;0,AVERAGE(H$347, H$349,H$350, H$351, H$352),""),"")</f>
        <v/>
      </c>
      <c r="Y476" s="294" t="str">
        <f aca="false">IFERROR(IF(I$347*I$349*I$350*I$351*I352&gt;0,STDEV(I$347, I$349,I$350, I$351, I$352),"")/IF(I$347*I$349*I$350*I$351*I352&gt;0,AVERAGE(I$347, I$349,I$350, I$351, I$352),""),"")</f>
        <v/>
      </c>
      <c r="Z476" s="294" t="str">
        <f aca="false">IFERROR(IF(J$347*J$349*J$350*J$351*J352&gt;0,STDEV(J$347, J$349,J$350, J$351, J$352),"")/IF(J$347*J$349*J$350*J$351*J352&gt;0,AVERAGE(J$347, J$349,J$350, J$351, J$352),""),"")</f>
        <v/>
      </c>
      <c r="AA476" s="294" t="str">
        <f aca="false">IFERROR(IF(K$347*K$349*K$350*K$351*K352&gt;0,STDEV(K$347, K$349,K$350, K$351, K$352),"")/IF(K$347*K$349*K$350*K$351*K352&gt;0,AVERAGE(K$347, K$349,K$350, K$351, K$352),""),"")</f>
        <v/>
      </c>
      <c r="AB476" s="294" t="str">
        <f aca="false">IFERROR(IF(L$347*L$349*L$350*L$351*L352&gt;0,STDEV(L$347, L$349,L$350, L$351, L$352),"")/IF(L$347*L$349*L$350*L$351*L352&gt;0,AVERAGE(L$347, L$349,L$350, L$351, L$352),""),"")</f>
        <v/>
      </c>
      <c r="AC476" s="294" t="str">
        <f aca="false">IFERROR(IF(M$347*M$349*M$350*M$351*M352&gt;0,STDEV(M$347, M$349,M$350, M$351, M$352),"")/IF(M$347*M$349*M$350*M$351*M352&gt;0,AVERAGE(M$347, M$349,M$350, M$351, M$352),""),"")</f>
        <v/>
      </c>
      <c r="AD476" s="294" t="str">
        <f aca="false">IFERROR(IF(N$347*N$349*N$350*N$351*N352&gt;0,STDEV(N$347, N$349,N$350, N$351, N$352),"")/IF(N$347*N$349*N$350*N$351*N352&gt;0,AVERAGE(N$347, N$349,N$350, N$351, N$352),""),"")</f>
        <v/>
      </c>
      <c r="AE476" s="44"/>
      <c r="AF476" s="266" t="s">
        <v>589</v>
      </c>
      <c r="AG476" s="287" t="str">
        <f aca="false">IFERROR(IF(C$347*C$349*C$350*C$351*C352&gt;0,STDEV(C$347, C$349,C$350, C$351, C$352)," ")/IF(C$347*C$349*C$350*C$351*C352&gt;0,SQRT(COUNT(C$347, C$349,C$350, C$351, C$352))," "),"")</f>
        <v/>
      </c>
      <c r="AH476" s="287" t="str">
        <f aca="false">IFERROR(IF(D$347*D$349*D$350*D$351*D352&gt;0,STDEV(D$347, D$349,D$350, D$351, D$352)," ")/IF(D$347*D$349*D$350*D$351*D352&gt;0,SQRT(COUNT(D$347, D$349,D$350, D$351, D$352))," "),"")</f>
        <v/>
      </c>
      <c r="AI476" s="287" t="str">
        <f aca="false">IFERROR(IF(E$347*E$349*E$350*E$351*E352&gt;0,STDEV(E$347, E$349,E$350, E$351, E$352)," ")/IF(E$347*E$349*E$350*E$351*E352&gt;0,SQRT(COUNT(E$347, E$349,E$350, E$351, E$352))," "),"")</f>
        <v/>
      </c>
      <c r="AJ476" s="287" t="str">
        <f aca="false">IFERROR(IF(F$347*F$349*F$350*F$351*F352&gt;0,STDEV(F$347, F$349,F$350, F$351, F$352)," ")/IF(F$347*F$349*F$350*F$351*F352&gt;0,SQRT(COUNT(F$347, F$349,F$350, F$351, F$352))," "),"")</f>
        <v/>
      </c>
      <c r="AK476" s="287" t="str">
        <f aca="false">IFERROR(IF(G$347*G$349*G$350*G$351*G352&gt;0,STDEV(G$347, G$349,G$350, G$351, G$352)," ")/IF(G$347*G$349*G$350*G$351*G352&gt;0,SQRT(COUNT(G$347, G$349,G$350, G$351, G$352))," "),"")</f>
        <v/>
      </c>
      <c r="AL476" s="287" t="str">
        <f aca="false">IFERROR(IF(H$347*H$349*H$350*H$351*H352&gt;0,STDEV(H$347, H$349,H$350, H$351, H$352)," ")/IF(H$347*H$349*H$350*H$351*H352&gt;0,SQRT(COUNT(H$347, H$349,H$350, H$351, H$352))," "),"")</f>
        <v/>
      </c>
      <c r="AM476" s="287" t="str">
        <f aca="false">IFERROR(IF(I$347*I$349*I$350*I$351*I352&gt;0,STDEV(I$347, I$349,I$350, I$351, I$352)," ")/IF(I$347*I$349*I$350*I$351*I352&gt;0,SQRT(COUNT(I$347, I$349,I$350, I$351, I$352))," "),"")</f>
        <v/>
      </c>
      <c r="AN476" s="287" t="str">
        <f aca="false">IFERROR(IF(J$347*J$349*J$350*J$351*J352&gt;0,STDEV(J$347, J$349,J$350, J$351, J$352)," ")/IF(J$347*J$349*J$350*J$351*J352&gt;0,SQRT(COUNT(J$347, J$349,J$350, J$351, J$352))," "),"")</f>
        <v/>
      </c>
      <c r="AO476" s="287" t="str">
        <f aca="false">IFERROR(IF(K$347*K$349*K$350*K$351*K352&gt;0,STDEV(K$347, K$349,K$350, K$351, K$352)," ")/IF(K$347*K$349*K$350*K$351*K352&gt;0,SQRT(COUNT(K$347, K$349,K$350, K$351, K$352))," "),"")</f>
        <v/>
      </c>
      <c r="AP476" s="287" t="str">
        <f aca="false">IFERROR(IF(L$347*L$349*L$350*L$351*L352&gt;0,STDEV(L$347, L$349,L$350, L$351, L$352)," ")/IF(L$347*L$349*L$350*L$351*L352&gt;0,SQRT(COUNT(L$347, L$349,L$350, L$351, L$352))," "),"")</f>
        <v/>
      </c>
      <c r="AQ476" s="287" t="str">
        <f aca="false">IFERROR(IF(M$347*M$349*M$350*M$351*M352&gt;0,STDEV(M$347, M$349,M$350, M$351, M$352)," ")/IF(M$347*M$349*M$350*M$351*M352&gt;0,SQRT(COUNT(M$347, M$349,M$350, M$351, M$352))," "),"")</f>
        <v/>
      </c>
      <c r="AR476" s="287" t="str">
        <f aca="false">IFERROR(IF(N$347*N$349*N$350*N$351*N352&gt;0,STDEV(N$347, N$349,N$350, N$351, N$352)," ")/IF(N$347*N$349*N$350*N$351*N352&gt;0,SQRT(COUNT(N$347, N$349,N$350, N$351, N$352))," "),"")</f>
        <v/>
      </c>
    </row>
    <row r="477" customFormat="false" ht="15.75" hidden="false" customHeight="false" outlineLevel="0" collapsed="false">
      <c r="A477" s="290" t="s">
        <v>590</v>
      </c>
      <c r="B477" s="281"/>
      <c r="C477" s="302" t="str">
        <f aca="false">IFERROR(IF(C$347*C$348*C$350*C$351*C352&gt;0,AVERAGE(C$347, C$348, C$350, C$351, C$352),""),"")</f>
        <v/>
      </c>
      <c r="D477" s="302" t="str">
        <f aca="false">IFERROR(IF(D$347*D$348*D$350*D$351*D352&gt;0,AVERAGE(D$347, D$348, D$350, D$351, D$352),""),"")</f>
        <v/>
      </c>
      <c r="E477" s="302" t="str">
        <f aca="false">IFERROR(IF(E$347*E$348*E$350*E$351*E352&gt;0,AVERAGE(E$347, E$348, E$350, E$351, E$352),""),"")</f>
        <v/>
      </c>
      <c r="F477" s="302" t="str">
        <f aca="false">IFERROR(IF(F$347*F$348*F$350*F$351*F352&gt;0,AVERAGE(F$347, F$348, F$350, F$351, F$352),""),"")</f>
        <v/>
      </c>
      <c r="G477" s="302" t="str">
        <f aca="false">IFERROR(IF(G$347*G$348*G$350*G$351*G352&gt;0,AVERAGE(G$347, G$348, G$350, G$351, G$352),""),"")</f>
        <v/>
      </c>
      <c r="H477" s="302" t="str">
        <f aca="false">IFERROR(IF(H$347*H$348*H$350*H$351*H352&gt;0,AVERAGE(H$347, H$348, H$350, H$351, H$352),""),"")</f>
        <v/>
      </c>
      <c r="I477" s="302" t="str">
        <f aca="false">IFERROR(IF(I$347*I$348*I$350*I$351*I352&gt;0,AVERAGE(I$347, I$348, I$350, I$351, I$352),""),"")</f>
        <v/>
      </c>
      <c r="J477" s="302" t="str">
        <f aca="false">IFERROR(IF(J$347*J$348*J$350*J$351*J352&gt;0,AVERAGE(J$347, J$348, J$350, J$351, J$352),""),"")</f>
        <v/>
      </c>
      <c r="K477" s="302" t="str">
        <f aca="false">IFERROR(IF(K$347*K$348*K$350*K$351*K352&gt;0,AVERAGE(K$347, K$348, K$350, K$351, K$352),""),"")</f>
        <v/>
      </c>
      <c r="L477" s="302" t="str">
        <f aca="false">IFERROR(IF(L$347*L$348*L$350*L$351*L352&gt;0,AVERAGE(L$347, L$348, L$350, L$351, L$352),""),"")</f>
        <v/>
      </c>
      <c r="M477" s="302" t="str">
        <f aca="false">IFERROR(IF(M$347*M$348*M$350*M$351*M352&gt;0,AVERAGE(M$347, M$348, M$350, M$351, M$352),""),"")</f>
        <v/>
      </c>
      <c r="N477" s="302" t="str">
        <f aca="false">IFERROR(IF(N$347*N$348*N$350*N$351*N352&gt;0,AVERAGE(N$347, N$348, N$350, N$351, N$352),""),"")</f>
        <v/>
      </c>
      <c r="O477" s="282"/>
      <c r="P477" s="282"/>
      <c r="Q477" s="296"/>
      <c r="R477" s="293" t="s">
        <v>591</v>
      </c>
      <c r="S477" s="294" t="str">
        <f aca="false">IFERROR(IF(C$347*C$348*C$350*C$351*C352&gt;0,STDEV(C$347, C$348, C$350, C$351, C$352),"")/IF(C$347*C$348*C$350*C$351*C352&gt;0,AVERAGE(C$347, C$348, C$350, C$351, C$352),""),"")</f>
        <v/>
      </c>
      <c r="T477" s="294" t="str">
        <f aca="false">IFERROR(IF(D$347*D$348*D$350*D$351*D352&gt;0,STDEV(D$347, D$348, D$350, D$351, D$352),"")/IF(D$347*D$348*D$350*D$351*D352&gt;0,AVERAGE(D$347, D$348, D$350, D$351, D$352),""),"")</f>
        <v/>
      </c>
      <c r="U477" s="294" t="str">
        <f aca="false">IFERROR(IF(E$347*E$348*E$350*E$351*E352&gt;0,STDEV(E$347, E$348, E$350, E$351, E$352),"")/IF(E$347*E$348*E$350*E$351*E352&gt;0,AVERAGE(E$347, E$348, E$350, E$351, E$352),""),"")</f>
        <v/>
      </c>
      <c r="V477" s="294" t="str">
        <f aca="false">IFERROR(IF(F$347*F$348*F$350*F$351*F352&gt;0,STDEV(F$347, F$348, F$350, F$351, F$352),"")/IF(F$347*F$348*F$350*F$351*F352&gt;0,AVERAGE(F$347, F$348, F$350, F$351, F$352),""),"")</f>
        <v/>
      </c>
      <c r="W477" s="294" t="str">
        <f aca="false">IFERROR(IF(G$347*G$348*G$350*G$351*G352&gt;0,STDEV(G$347, G$348, G$350, G$351, G$352),"")/IF(G$347*G$348*G$350*G$351*G352&gt;0,AVERAGE(G$347, G$348, G$350, G$351, G$352),""),"")</f>
        <v/>
      </c>
      <c r="X477" s="294" t="str">
        <f aca="false">IFERROR(IF(H$347*H$348*H$350*H$351*H352&gt;0,STDEV(H$347, H$348, H$350, H$351, H$352),"")/IF(H$347*H$348*H$350*H$351*H352&gt;0,AVERAGE(H$347, H$348, H$350, H$351, H$352),""),"")</f>
        <v/>
      </c>
      <c r="Y477" s="294" t="str">
        <f aca="false">IFERROR(IF(I$347*I$348*I$350*I$351*I352&gt;0,STDEV(I$347, I$348, I$350, I$351, I$352),"")/IF(I$347*I$348*I$350*I$351*I352&gt;0,AVERAGE(I$347, I$348, I$350, I$351, I$352),""),"")</f>
        <v/>
      </c>
      <c r="Z477" s="294" t="str">
        <f aca="false">IFERROR(IF(J$347*J$348*J$350*J$351*J352&gt;0,STDEV(J$347, J$348, J$350, J$351, J$352),"")/IF(J$347*J$348*J$350*J$351*J352&gt;0,AVERAGE(J$347, J$348, J$350, J$351, J$352),""),"")</f>
        <v/>
      </c>
      <c r="AA477" s="294" t="str">
        <f aca="false">IFERROR(IF(K$347*K$348*K$350*K$351*K352&gt;0,STDEV(K$347, K$348, K$350, K$351, K$352),"")/IF(K$347*K$348*K$350*K$351*K352&gt;0,AVERAGE(K$347, K$348, K$350, K$351, K$352),""),"")</f>
        <v/>
      </c>
      <c r="AB477" s="294" t="str">
        <f aca="false">IFERROR(IF(L$347*L$348*L$350*L$351*L352&gt;0,STDEV(L$347, L$348, L$350, L$351, L$352),"")/IF(L$347*L$348*L$350*L$351*L352&gt;0,AVERAGE(L$347, L$348, L$350, L$351, L$352),""),"")</f>
        <v/>
      </c>
      <c r="AC477" s="294" t="str">
        <f aca="false">IFERROR(IF(M$347*M$348*M$350*M$351*M352&gt;0,STDEV(M$347, M$348, M$350, M$351, M$352),"")/IF(M$347*M$348*M$350*M$351*M352&gt;0,AVERAGE(M$347, M$348, M$350, M$351, M$352),""),"")</f>
        <v/>
      </c>
      <c r="AD477" s="294" t="str">
        <f aca="false">IFERROR(IF(N$347*N$348*N$350*N$351*N352&gt;0,STDEV(N$347, N$348, N$350, N$351, N$352),"")/IF(N$347*N$348*N$350*N$351*N352&gt;0,AVERAGE(N$347, N$348, N$350, N$351, N$352),""),"")</f>
        <v/>
      </c>
      <c r="AE477" s="44"/>
      <c r="AF477" s="266" t="s">
        <v>592</v>
      </c>
      <c r="AG477" s="287" t="str">
        <f aca="false">IFERROR(IF(C$347*C$348*C$350*C$351*C352&gt;0,STDEV(C$347, C$348, C$350, C$351, C$352)," ")/IF(C$347*C$348*C$350*C$351*C352&gt;0,SQRT(COUNT(C$347, C$348, C$350, C$351, C$352))," "),"")</f>
        <v/>
      </c>
      <c r="AH477" s="287" t="str">
        <f aca="false">IFERROR(IF(D$347*D$348*D$350*D$351*D352&gt;0,STDEV(D$347, D$348, D$350, D$351, D$352)," ")/IF(D$347*D$348*D$350*D$351*D352&gt;0,SQRT(COUNT(D$347, D$348, D$350, D$351, D$352))," "),"")</f>
        <v/>
      </c>
      <c r="AI477" s="287" t="str">
        <f aca="false">IFERROR(IF(E$347*E$348*E$350*E$351*E352&gt;0,STDEV(E$347, E$348, E$350, E$351, E$352)," ")/IF(E$347*E$348*E$350*E$351*E352&gt;0,SQRT(COUNT(E$347, E$348, E$350, E$351, E$352))," "),"")</f>
        <v/>
      </c>
      <c r="AJ477" s="287" t="str">
        <f aca="false">IFERROR(IF(F$347*F$348*F$350*F$351*F352&gt;0,STDEV(F$347, F$348, F$350, F$351, F$352)," ")/IF(F$347*F$348*F$350*F$351*F352&gt;0,SQRT(COUNT(F$347, F$348, F$350, F$351, F$352))," "),"")</f>
        <v/>
      </c>
      <c r="AK477" s="287" t="str">
        <f aca="false">IFERROR(IF(G$347*G$348*G$350*G$351*G352&gt;0,STDEV(G$347, G$348, G$350, G$351, G$352)," ")/IF(G$347*G$348*G$350*G$351*G352&gt;0,SQRT(COUNT(G$347, G$348, G$350, G$351, G$352))," "),"")</f>
        <v/>
      </c>
      <c r="AL477" s="287" t="str">
        <f aca="false">IFERROR(IF(H$347*H$348*H$350*H$351*H352&gt;0,STDEV(H$347, H$348, H$350, H$351, H$352)," ")/IF(H$347*H$348*H$350*H$351*H352&gt;0,SQRT(COUNT(H$347, H$348, H$350, H$351, H$352))," "),"")</f>
        <v/>
      </c>
      <c r="AM477" s="287" t="str">
        <f aca="false">IFERROR(IF(I$347*I$348*I$350*I$351*I352&gt;0,STDEV(I$347, I$348, I$350, I$351, I$352)," ")/IF(I$347*I$348*I$350*I$351*I352&gt;0,SQRT(COUNT(I$347, I$348, I$350, I$351, I$352))," "),"")</f>
        <v/>
      </c>
      <c r="AN477" s="287" t="str">
        <f aca="false">IFERROR(IF(J$347*J$348*J$350*J$351*J352&gt;0,STDEV(J$347, J$348, J$350, J$351, J$352)," ")/IF(J$347*J$348*J$350*J$351*J352&gt;0,SQRT(COUNT(J$347, J$348, J$350, J$351, J$352))," "),"")</f>
        <v/>
      </c>
      <c r="AO477" s="287" t="str">
        <f aca="false">IFERROR(IF(K$347*K$348*K$350*K$351*K352&gt;0,STDEV(K$347, K$348, K$350, K$351, K$352)," ")/IF(K$347*K$348*K$350*K$351*K352&gt;0,SQRT(COUNT(K$347, K$348, K$350, K$351, K$352))," "),"")</f>
        <v/>
      </c>
      <c r="AP477" s="287" t="str">
        <f aca="false">IFERROR(IF(L$347*L$348*L$350*L$351*L352&gt;0,STDEV(L$347, L$348, L$350, L$351, L$352)," ")/IF(L$347*L$348*L$350*L$351*L352&gt;0,SQRT(COUNT(L$347, L$348, L$350, L$351, L$352))," "),"")</f>
        <v/>
      </c>
      <c r="AQ477" s="287" t="str">
        <f aca="false">IFERROR(IF(M$347*M$348*M$350*M$351*M352&gt;0,STDEV(M$347, M$348, M$350, M$351, M$352)," ")/IF(M$347*M$348*M$350*M$351*M352&gt;0,SQRT(COUNT(M$347, M$348, M$350, M$351, M$352))," "),"")</f>
        <v/>
      </c>
      <c r="AR477" s="287" t="str">
        <f aca="false">IFERROR(IF(N$347*N$348*N$350*N$351*N352&gt;0,STDEV(N$347, N$348, N$350, N$351, N$352)," ")/IF(N$347*N$348*N$350*N$351*N352&gt;0,SQRT(COUNT(N$347, N$348, N$350, N$351, N$352))," "),"")</f>
        <v/>
      </c>
    </row>
    <row r="478" customFormat="false" ht="15.75" hidden="false" customHeight="false" outlineLevel="0" collapsed="false">
      <c r="A478" s="290" t="s">
        <v>593</v>
      </c>
      <c r="B478" s="281"/>
      <c r="C478" s="302" t="str">
        <f aca="false">IFERROR(IF(C$347*C$348*C$349*C$351*C$352&gt;0,AVERAGE(C$347, C$348, C$349, C$351, C$352),""),"")</f>
        <v/>
      </c>
      <c r="D478" s="302" t="str">
        <f aca="false">IFERROR(IF(D$347*D$348*D$349*D$351*D$352&gt;0,AVERAGE(D$347, D$348, D$349, D$351, D$352),""),"")</f>
        <v/>
      </c>
      <c r="E478" s="302" t="str">
        <f aca="false">IFERROR(IF(E$347*E$348*E$349*E$351*E$352&gt;0,AVERAGE(E$347, E$348, E$349, E$351, E$352),""),"")</f>
        <v/>
      </c>
      <c r="F478" s="302" t="str">
        <f aca="false">IFERROR(IF(F$347*F$348*F$349*F$351*F$352&gt;0,AVERAGE(F$347, F$348, F$349, F$351, F$352),""),"")</f>
        <v/>
      </c>
      <c r="G478" s="302" t="str">
        <f aca="false">IFERROR(IF(G$347*G$348*G$349*G$351*G$352&gt;0,AVERAGE(G$347, G$348, G$349, G$351, G$352),""),"")</f>
        <v/>
      </c>
      <c r="H478" s="302" t="str">
        <f aca="false">IFERROR(IF(H$347*H$348*H$349*H$351*H$352&gt;0,AVERAGE(H$347, H$348, H$349, H$351, H$352),""),"")</f>
        <v/>
      </c>
      <c r="I478" s="302" t="str">
        <f aca="false">IFERROR(IF(I$347*I$348*I$349*I$351*I$352&gt;0,AVERAGE(I$347, I$348, I$349, I$351, I$352),""),"")</f>
        <v/>
      </c>
      <c r="J478" s="302" t="str">
        <f aca="false">IFERROR(IF(J$347*J$348*J$349*J$351*J$352&gt;0,AVERAGE(J$347, J$348, J$349, J$351, J$352),""),"")</f>
        <v/>
      </c>
      <c r="K478" s="302" t="str">
        <f aca="false">IFERROR(IF(K$347*K$348*K$349*K$351*K$352&gt;0,AVERAGE(K$347, K$348, K$349, K$351, K$352),""),"")</f>
        <v/>
      </c>
      <c r="L478" s="302" t="str">
        <f aca="false">IFERROR(IF(L$347*L$348*L$349*L$351*L$352&gt;0,AVERAGE(L$347, L$348, L$349, L$351, L$352),""),"")</f>
        <v/>
      </c>
      <c r="M478" s="302" t="str">
        <f aca="false">IFERROR(IF(M$347*M$348*M$349*M$351*M$352&gt;0,AVERAGE(M$347, M$348, M$349, M$351, M$352),""),"")</f>
        <v/>
      </c>
      <c r="N478" s="302" t="str">
        <f aca="false">IFERROR(IF(N$347*N$348*N$349*N$351*N$352&gt;0,AVERAGE(N$347, N$348, N$349, N$351, N$352),""),"")</f>
        <v/>
      </c>
      <c r="O478" s="282"/>
      <c r="P478" s="282"/>
      <c r="Q478" s="296"/>
      <c r="R478" s="293" t="s">
        <v>594</v>
      </c>
      <c r="S478" s="294" t="str">
        <f aca="false">IFERROR(IF(C$347*C$348*C$349*C$351*C$352&gt;0,STDEV(C$347, C$348, C$349, C$351, C$352),"")/IF(C$347*C$348*C$349*C$351*C$352&gt;0,AVERAGE(C$347, C$348, C$349, C$351, C$352),""),"")</f>
        <v/>
      </c>
      <c r="T478" s="294" t="str">
        <f aca="false">IFERROR(IF(D$347*D$348*D$349*D$351*D$352&gt;0,STDEV(D$347, D$348, D$349, D$351, D$352),"")/IF(D$347*D$348*D$349*D$351*D$352&gt;0,AVERAGE(D$347, D$348, D$349, D$351, D$352),""),"")</f>
        <v/>
      </c>
      <c r="U478" s="294" t="str">
        <f aca="false">IFERROR(IF(E$347*E$348*E$349*E$351*E$352&gt;0,STDEV(E$347, E$348, E$349, E$351, E$352),"")/IF(E$347*E$348*E$349*E$351*E$352&gt;0,AVERAGE(E$347, E$348, E$349, E$351, E$352),""),"")</f>
        <v/>
      </c>
      <c r="V478" s="294" t="str">
        <f aca="false">IFERROR(IF(F$347*F$348*F$349*F$351*F$352&gt;0,STDEV(F$347, F$348, F$349, F$351, F$352),"")/IF(F$347*F$348*F$349*F$351*F$352&gt;0,AVERAGE(F$347, F$348, F$349, F$351, F$352),""),"")</f>
        <v/>
      </c>
      <c r="W478" s="294" t="str">
        <f aca="false">IFERROR(IF(G$347*G$348*G$349*G$351*G$352&gt;0,STDEV(G$347, G$348, G$349, G$351, G$352),"")/IF(G$347*G$348*G$349*G$351*G$352&gt;0,AVERAGE(G$347, G$348, G$349, G$351, G$352),""),"")</f>
        <v/>
      </c>
      <c r="X478" s="294" t="str">
        <f aca="false">IFERROR(IF(H$347*H$348*H$349*H$351*H$352&gt;0,STDEV(H$347, H$348, H$349, H$351, H$352),"")/IF(H$347*H$348*H$349*H$351*H$352&gt;0,AVERAGE(H$347, H$348, H$349, H$351, H$352),""),"")</f>
        <v/>
      </c>
      <c r="Y478" s="294" t="str">
        <f aca="false">IFERROR(IF(I$347*I$348*I$349*I$351*I$352&gt;0,STDEV(I$347, I$348, I$349, I$351, I$352),"")/IF(I$347*I$348*I$349*I$351*I$352&gt;0,AVERAGE(I$347, I$348, I$349, I$351, I$352),""),"")</f>
        <v/>
      </c>
      <c r="Z478" s="294" t="str">
        <f aca="false">IFERROR(IF(J$347*J$348*J$349*J$351*J$352&gt;0,STDEV(J$347, J$348, J$349, J$351, J$352),"")/IF(J$347*J$348*J$349*J$351*J$352&gt;0,AVERAGE(J$347, J$348, J$349, J$351, J$352),""),"")</f>
        <v/>
      </c>
      <c r="AA478" s="294" t="str">
        <f aca="false">IFERROR(IF(K$347*K$348*K$349*K$351*K$352&gt;0,STDEV(K$347, K$348, K$349, K$351, K$352),"")/IF(K$347*K$348*K$349*K$351*K$352&gt;0,AVERAGE(K$347, K$348, K$349, K$351, K$352),""),"")</f>
        <v/>
      </c>
      <c r="AB478" s="294" t="str">
        <f aca="false">IFERROR(IF(L$347*L$348*L$349*L$351*L$352&gt;0,STDEV(L$347, L$348, L$349, L$351, L$352),"")/IF(L$347*L$348*L$349*L$351*L$352&gt;0,AVERAGE(L$347, L$348, L$349, L$351, L$352),""),"")</f>
        <v/>
      </c>
      <c r="AC478" s="294" t="str">
        <f aca="false">IFERROR(IF(M$347*M$348*M$349*M$351*M$352&gt;0,STDEV(M$347, M$348, M$349, M$351, M$352),"")/IF(M$347*M$348*M$349*M$351*M$352&gt;0,AVERAGE(M$347, M$348, M$349, M$351, M$352),""),"")</f>
        <v/>
      </c>
      <c r="AD478" s="294" t="str">
        <f aca="false">IFERROR(IF(N$347*N$348*N$349*N$351*N$352&gt;0,STDEV(N$347, N$348, N$349, N$351, N$352),"")/IF(N$347*N$348*N$349*N$351*N$352&gt;0,AVERAGE(N$347, N$348, N$349, N$351, N$352),""),"")</f>
        <v/>
      </c>
      <c r="AE478" s="44"/>
      <c r="AF478" s="266" t="s">
        <v>595</v>
      </c>
      <c r="AG478" s="287" t="str">
        <f aca="false">IFERROR(IF(C$347*C$348*C$349*C$351*C$352&gt;0,STDEV(C$347, C$348, C$349, C$351, C$352)," ")/IF(C$347*C$348*C$349*C$351*C$352&gt;0,SQRT(COUNT(C$347, C$348, C$349, C$351, C$352))," "),"")</f>
        <v/>
      </c>
      <c r="AH478" s="287" t="str">
        <f aca="false">IFERROR(IF(D$347*D$348*D$349*D$351*D$352&gt;0,STDEV(D$347, D$348, D$349, D$351, D$352)," ")/IF(D$347*D$348*D$349*D$351*D$352&gt;0,SQRT(COUNT(D$347, D$348, D$349, D$351, D$352))," "),"")</f>
        <v/>
      </c>
      <c r="AI478" s="287" t="str">
        <f aca="false">IFERROR(IF(E$347*E$348*E$349*E$351*E$352&gt;0,STDEV(E$347, E$348, E$349, E$351, E$352)," ")/IF(E$347*E$348*E$349*E$351*E$352&gt;0,SQRT(COUNT(E$347, E$348, E$349, E$351, E$352))," "),"")</f>
        <v/>
      </c>
      <c r="AJ478" s="287" t="str">
        <f aca="false">IFERROR(IF(F$347*F$348*F$349*F$351*F$352&gt;0,STDEV(F$347, F$348, F$349, F$351, F$352)," ")/IF(F$347*F$348*F$349*F$351*F$352&gt;0,SQRT(COUNT(F$347, F$348, F$349, F$351, F$352))," "),"")</f>
        <v/>
      </c>
      <c r="AK478" s="287" t="str">
        <f aca="false">IFERROR(IF(G$347*G$348*G$349*G$351*G$352&gt;0,STDEV(G$347, G$348, G$349, G$351, G$352)," ")/IF(G$347*G$348*G$349*G$351*G$352&gt;0,SQRT(COUNT(G$347, G$348, G$349, G$351, G$352))," "),"")</f>
        <v/>
      </c>
      <c r="AL478" s="287" t="str">
        <f aca="false">IFERROR(IF(H$347*H$348*H$349*H$351*H$352&gt;0,STDEV(H$347, H$348, H$349, H$351, H$352)," ")/IF(H$347*H$348*H$349*H$351*H$352&gt;0,SQRT(COUNT(H$347, H$348, H$349, H$351, H$352))," "),"")</f>
        <v/>
      </c>
      <c r="AM478" s="287" t="str">
        <f aca="false">IFERROR(IF(I$347*I$348*I$349*I$351*I$352&gt;0,STDEV(I$347, I$348, I$349, I$351, I$352)," ")/IF(I$347*I$348*I$349*I$351*I$352&gt;0,SQRT(COUNT(I$347, I$348, I$349, I$351, I$352))," "),"")</f>
        <v/>
      </c>
      <c r="AN478" s="287" t="str">
        <f aca="false">IFERROR(IF(J$347*J$348*J$349*J$351*J$352&gt;0,STDEV(J$347, J$348, J$349, J$351, J$352)," ")/IF(J$347*J$348*J$349*J$351*J$352&gt;0,SQRT(COUNT(J$347, J$348, J$349, J$351, J$352))," "),"")</f>
        <v/>
      </c>
      <c r="AO478" s="287" t="str">
        <f aca="false">IFERROR(IF(K$347*K$348*K$349*K$351*K$352&gt;0,STDEV(K$347, K$348, K$349, K$351, K$352)," ")/IF(K$347*K$348*K$349*K$351*K$352&gt;0,SQRT(COUNT(K$347, K$348, K$349, K$351, K$352))," "),"")</f>
        <v/>
      </c>
      <c r="AP478" s="287" t="str">
        <f aca="false">IFERROR(IF(L$347*L$348*L$349*L$351*L$352&gt;0,STDEV(L$347, L$348, L$349, L$351, L$352)," ")/IF(L$347*L$348*L$349*L$351*L$352&gt;0,SQRT(COUNT(L$347, L$348, L$349, L$351, L$352))," "),"")</f>
        <v/>
      </c>
      <c r="AQ478" s="287" t="str">
        <f aca="false">IFERROR(IF(M$347*M$348*M$349*M$351*M$352&gt;0,STDEV(M$347, M$348, M$349, M$351, M$352)," ")/IF(M$347*M$348*M$349*M$351*M$352&gt;0,SQRT(COUNT(M$347, M$348, M$349, M$351, M$352))," "),"")</f>
        <v/>
      </c>
      <c r="AR478" s="287" t="str">
        <f aca="false">IFERROR(IF(N$347*N$348*N$349*N$351*N$352&gt;0,STDEV(N$347, N$348, N$349, N$351, N$352)," ")/IF(N$347*N$348*N$349*N$351*N$352&gt;0,SQRT(COUNT(N$347, N$348, N$349, N$351, N$352))," "),"")</f>
        <v/>
      </c>
    </row>
    <row r="479" customFormat="false" ht="15.75" hidden="false" customHeight="false" outlineLevel="0" collapsed="false">
      <c r="A479" s="242" t="s">
        <v>596</v>
      </c>
      <c r="B479" s="243"/>
      <c r="C479" s="262" t="str">
        <f aca="false">IFERROR(IF(C$347*C$348*C$349*C$352*C$353&gt;0,AVERAGE(C$347, C$348, C$349, C$352, C$353),""),"")</f>
        <v/>
      </c>
      <c r="D479" s="262" t="str">
        <f aca="false">IFERROR(IF(D$347*D$348*D$349*D$352*D$353&gt;0,AVERAGE(D$347, D$348, D$349, D$352, D$353),""),"")</f>
        <v/>
      </c>
      <c r="E479" s="262" t="str">
        <f aca="false">IFERROR(IF(E$347*E$348*E$349*E$352*E$353&gt;0,AVERAGE(E$347, E$348, E$349, E$352, E$353),""),"")</f>
        <v/>
      </c>
      <c r="F479" s="262" t="str">
        <f aca="false">IFERROR(IF(F$347*F$348*F$349*F$352*F$353&gt;0,AVERAGE(F$347, F$348, F$349, F$352, F$353),""),"")</f>
        <v/>
      </c>
      <c r="G479" s="262" t="str">
        <f aca="false">IFERROR(IF(G$347*G$348*G$349*G$352*G$353&gt;0,AVERAGE(G$347, G$348, G$349, G$352, G$353),""),"")</f>
        <v/>
      </c>
      <c r="H479" s="262" t="str">
        <f aca="false">IFERROR(IF(H$347*H$348*H$349*H$352*H$353&gt;0,AVERAGE(H$347, H$348, H$349, H$352, H$353),""),"")</f>
        <v/>
      </c>
      <c r="I479" s="262" t="str">
        <f aca="false">IFERROR(IF(I$347*I$348*I$349*I$352*I$353&gt;0,AVERAGE(I$347, I$348, I$349, I$352, I$353),""),"")</f>
        <v/>
      </c>
      <c r="J479" s="262" t="str">
        <f aca="false">IFERROR(IF(J$347*J$348*J$349*J$352*J$353&gt;0,AVERAGE(J$347, J$348, J$349, J$352, J$353),""),"")</f>
        <v/>
      </c>
      <c r="K479" s="262" t="str">
        <f aca="false">IFERROR(IF(K$347*K$348*K$349*K$352*K$353&gt;0,AVERAGE(K$347, K$348, K$349, K$352, K$353),""),"")</f>
        <v/>
      </c>
      <c r="L479" s="262" t="str">
        <f aca="false">IFERROR(IF(L$347*L$348*L$349*L$352*L$353&gt;0,AVERAGE(L$347, L$348, L$349, L$352, L$353),""),"")</f>
        <v/>
      </c>
      <c r="M479" s="262" t="str">
        <f aca="false">IFERROR(IF(M$347*M$348*M$349*M$352*M$353&gt;0,AVERAGE(M$347, M$348, M$349, M$352, M$353),""),"")</f>
        <v/>
      </c>
      <c r="N479" s="262" t="str">
        <f aca="false">IFERROR(IF(N$347*N$348*N$349*N$352*N$353&gt;0,AVERAGE(N$347, N$348, N$349, N$352, N$353),""),"")</f>
        <v/>
      </c>
      <c r="O479" s="245"/>
      <c r="P479" s="245"/>
      <c r="Q479" s="246"/>
      <c r="R479" s="247" t="s">
        <v>597</v>
      </c>
      <c r="S479" s="248" t="str">
        <f aca="false">IFERROR(IF(C$347*C$348*C$349*C$352*C$353&gt;0,STDEV(C$347, C$348, C$349, C$352, C$353),"")/IF(C$347*C$348*C$349*C$352*C$353&gt;0,AVERAGE(C$347, C$348, C$349, C$352, C$353),""),"")</f>
        <v/>
      </c>
      <c r="T479" s="248" t="str">
        <f aca="false">IFERROR(IF(D$347*D$348*D$349*D$352*D$353&gt;0,STDEV(D$347, D$348, D$349, D$352, D$353),"")/IF(D$347*D$348*D$349*D$352*D$353&gt;0,AVERAGE(D$347, D$348, D$349, D$352, D$353),""),"")</f>
        <v/>
      </c>
      <c r="U479" s="248" t="str">
        <f aca="false">IFERROR(IF(E$347*E$348*E$349*E$352*E$353&gt;0,STDEV(E$347, E$348, E$349, E$352, E$353),"")/IF(E$347*E$348*E$349*E$352*E$353&gt;0,AVERAGE(E$347, E$348, E$349, E$352, E$353),""),"")</f>
        <v/>
      </c>
      <c r="V479" s="248" t="str">
        <f aca="false">IFERROR(IF(F$347*F$348*F$349*F$352*F$353&gt;0,STDEV(F$347, F$348, F$349, F$352, F$353),"")/IF(F$347*F$348*F$349*F$352*F$353&gt;0,AVERAGE(F$347, F$348, F$349, F$352, F$353),""),"")</f>
        <v/>
      </c>
      <c r="W479" s="248" t="str">
        <f aca="false">IFERROR(IF(G$347*G$348*G$349*G$352*G$353&gt;0,STDEV(G$347, G$348, G$349, G$352, G$353),"")/IF(G$347*G$348*G$349*G$352*G$353&gt;0,AVERAGE(G$347, G$348, G$349, G$352, G$353),""),"")</f>
        <v/>
      </c>
      <c r="X479" s="248" t="str">
        <f aca="false">IFERROR(IF(H$347*H$348*H$349*H$352*H$353&gt;0,STDEV(H$347, H$348, H$349, H$352, H$353),"")/IF(H$347*H$348*H$349*H$352*H$353&gt;0,AVERAGE(H$347, H$348, H$349, H$352, H$353),""),"")</f>
        <v/>
      </c>
      <c r="Y479" s="248" t="str">
        <f aca="false">IFERROR(IF(I$347*I$348*I$349*I$352*I$353&gt;0,STDEV(I$347, I$348, I$349, I$352, I$353),"")/IF(I$347*I$348*I$349*I$352*I$353&gt;0,AVERAGE(I$347, I$348, I$349, I$352, I$353),""),"")</f>
        <v/>
      </c>
      <c r="Z479" s="248" t="str">
        <f aca="false">IFERROR(IF(J$347*J$348*J$349*J$352*J$353&gt;0,STDEV(J$347, J$348, J$349, J$352, J$353),"")/IF(J$347*J$348*J$349*J$352*J$353&gt;0,AVERAGE(J$347, J$348, J$349, J$352, J$353),""),"")</f>
        <v/>
      </c>
      <c r="AA479" s="248" t="str">
        <f aca="false">IFERROR(IF(K$347*K$348*K$349*K$352*K$353&gt;0,STDEV(K$347, K$348, K$349, K$352, K$353),"")/IF(K$347*K$348*K$349*K$352*K$353&gt;0,AVERAGE(K$347, K$348, K$349, K$352, K$353),""),"")</f>
        <v/>
      </c>
      <c r="AB479" s="248" t="str">
        <f aca="false">IFERROR(IF(L$347*L$348*L$349*L$352*L$353&gt;0,STDEV(L$347, L$348, L$349, L$352, L$353),"")/IF(L$347*L$348*L$349*L$352*L$353&gt;0,AVERAGE(L$347, L$348, L$349, L$352, L$353),""),"")</f>
        <v/>
      </c>
      <c r="AC479" s="248" t="str">
        <f aca="false">IFERROR(IF(M$347*M$348*M$349*M$352*M$353&gt;0,STDEV(M$347, M$348, M$349, M$352, M$353),"")/IF(M$347*M$348*M$349*M$352*M$353&gt;0,AVERAGE(M$347, M$348, M$349, M$352, M$353),""),"")</f>
        <v/>
      </c>
      <c r="AD479" s="248" t="str">
        <f aca="false">IFERROR(IF(N$347*N$348*N$349*N$352*N$353&gt;0,STDEV(N$347, N$348, N$349, N$352, N$353),"")/IF(N$347*N$348*N$349*N$352*N$353&gt;0,AVERAGE(N$347, N$348, N$349, N$352, N$353),""),"")</f>
        <v/>
      </c>
      <c r="AE479" s="300"/>
      <c r="AF479" s="250" t="s">
        <v>598</v>
      </c>
      <c r="AG479" s="251" t="str">
        <f aca="false">IFERROR(IF(C$347*C$348*C$349*C$352*C$353&gt;0,STDEV(C$347, C$348, C$349, C$352, C$353)," ")/IF(C$347*C$348*C$349*C$352*C$353&gt;0,SQRT(COUNT(C$347, C$348, C$349, C$352, C$353))," "),"")</f>
        <v/>
      </c>
      <c r="AH479" s="251" t="str">
        <f aca="false">IFERROR(IF(D$347*D$348*D$349*D$352*D$353&gt;0,STDEV(D$347, D$348, D$349, D$352, D$353)," ")/IF(D$347*D$348*D$349*D$352*D$353&gt;0,SQRT(COUNT(D$347, D$348, D$349, D$352, D$353))," "),"")</f>
        <v/>
      </c>
      <c r="AI479" s="251" t="str">
        <f aca="false">IFERROR(IF(E$347*E$348*E$349*E$352*E$353&gt;0,STDEV(E$347, E$348, E$349, E$352, E$353)," ")/IF(E$347*E$348*E$349*E$352*E$353&gt;0,SQRT(COUNT(E$347, E$348, E$349, E$352, E$353))," "),"")</f>
        <v/>
      </c>
      <c r="AJ479" s="251" t="str">
        <f aca="false">IFERROR(IF(F$347*F$348*F$349*F$352*F$353&gt;0,STDEV(F$347, F$348, F$349, F$352, F$353)," ")/IF(F$347*F$348*F$349*F$352*F$353&gt;0,SQRT(COUNT(F$347, F$348, F$349, F$352, F$353))," "),"")</f>
        <v/>
      </c>
      <c r="AK479" s="251" t="str">
        <f aca="false">IFERROR(IF(G$347*G$348*G$349*G$352*G$353&gt;0,STDEV(G$347, G$348, G$349, G$352, G$353)," ")/IF(G$347*G$348*G$349*G$352*G$353&gt;0,SQRT(COUNT(G$347, G$348, G$349, G$352, G$353))," "),"")</f>
        <v/>
      </c>
      <c r="AL479" s="251" t="str">
        <f aca="false">IFERROR(IF(H$347*H$348*H$349*H$352*H$353&gt;0,STDEV(H$347, H$348, H$349, H$352, H$353)," ")/IF(H$347*H$348*H$349*H$352*H$353&gt;0,SQRT(COUNT(H$347, H$348, H$349, H$352, H$353))," "),"")</f>
        <v/>
      </c>
      <c r="AM479" s="251" t="str">
        <f aca="false">IFERROR(IF(I$347*I$348*I$349*I$352*I$353&gt;0,STDEV(I$347, I$348, I$349, I$352, I$353)," ")/IF(I$347*I$348*I$349*I$352*I$353&gt;0,SQRT(COUNT(I$347, I$348, I$349, I$352, I$353))," "),"")</f>
        <v/>
      </c>
      <c r="AN479" s="251" t="str">
        <f aca="false">IFERROR(IF(J$347*J$348*J$349*J$352*J$353&gt;0,STDEV(J$347, J$348, J$349, J$352, J$353)," ")/IF(J$347*J$348*J$349*J$352*J$353&gt;0,SQRT(COUNT(J$347, J$348, J$349, J$352, J$353))," "),"")</f>
        <v/>
      </c>
      <c r="AO479" s="251" t="str">
        <f aca="false">IFERROR(IF(K$347*K$348*K$349*K$352*K$353&gt;0,STDEV(K$347, K$348, K$349, K$352, K$353)," ")/IF(K$347*K$348*K$349*K$352*K$353&gt;0,SQRT(COUNT(K$347, K$348, K$349, K$352, K$353))," "),"")</f>
        <v/>
      </c>
      <c r="AP479" s="251" t="str">
        <f aca="false">IFERROR(IF(L$347*L$348*L$349*L$352*L$353&gt;0,STDEV(L$347, L$348, L$349, L$352, L$353)," ")/IF(L$347*L$348*L$349*L$352*L$353&gt;0,SQRT(COUNT(L$347, L$348, L$349, L$352, L$353))," "),"")</f>
        <v/>
      </c>
      <c r="AQ479" s="251" t="str">
        <f aca="false">IFERROR(IF(M$347*M$348*M$349*M$352*M$353&gt;0,STDEV(M$347, M$348, M$349, M$352, M$353)," ")/IF(M$347*M$348*M$349*M$352*M$353&gt;0,SQRT(COUNT(M$347, M$348, M$349, M$352, M$353))," "),"")</f>
        <v/>
      </c>
      <c r="AR479" s="251" t="str">
        <f aca="false">IFERROR(IF(N$347*N$348*N$349*N$352*N$353&gt;0,STDEV(N$347, N$348, N$349, N$352, N$353)," ")/IF(N$347*N$348*N$349*N$352*N$353&gt;0,SQRT(COUNT(N$347, N$348, N$349, N$352, N$353))," "),"")</f>
        <v/>
      </c>
    </row>
    <row r="480" customFormat="false" ht="15.75" hidden="false" customHeight="false" outlineLevel="0" collapsed="false">
      <c r="A480" s="290" t="s">
        <v>599</v>
      </c>
      <c r="B480" s="281"/>
      <c r="C480" s="302" t="str">
        <f aca="false">IFERROR(IF(C$347*C$348*C$349*C$351*C$353&gt;0,AVERAGE(C$347, C$348, C$349, C$351, C$353),""),"")</f>
        <v/>
      </c>
      <c r="D480" s="302" t="str">
        <f aca="false">IFERROR(IF(D$347*D$348*D$349*D$351*D$353&gt;0,AVERAGE(D$347, D$348, D$349, D$351, D$353),""),"")</f>
        <v/>
      </c>
      <c r="E480" s="302" t="str">
        <f aca="false">IFERROR(IF(E$347*E$348*E$349*E$351*E$353&gt;0,AVERAGE(E$347, E$348, E$349, E$351, E$353),""),"")</f>
        <v/>
      </c>
      <c r="F480" s="302" t="str">
        <f aca="false">IFERROR(IF(F$347*F$348*F$349*F$351*F$353&gt;0,AVERAGE(F$347, F$348, F$349, F$351, F$353),""),"")</f>
        <v/>
      </c>
      <c r="G480" s="302" t="str">
        <f aca="false">IFERROR(IF(G$347*G$348*G$349*G$351*G$353&gt;0,AVERAGE(G$347, G$348, G$349, G$351, G$353),""),"")</f>
        <v/>
      </c>
      <c r="H480" s="302" t="str">
        <f aca="false">IFERROR(IF(H$347*H$348*H$349*H$351*H$353&gt;0,AVERAGE(H$347, H$348, H$349, H$351, H$353),""),"")</f>
        <v/>
      </c>
      <c r="I480" s="302" t="str">
        <f aca="false">IFERROR(IF(I$347*I$348*I$349*I$351*I$353&gt;0,AVERAGE(I$347, I$348, I$349, I$351, I$353),""),"")</f>
        <v/>
      </c>
      <c r="J480" s="302" t="str">
        <f aca="false">IFERROR(IF(J$347*J$348*J$349*J$351*J$353&gt;0,AVERAGE(J$347, J$348, J$349, J$351, J$353),""),"")</f>
        <v/>
      </c>
      <c r="K480" s="302" t="str">
        <f aca="false">IFERROR(IF(K$347*K$348*K$349*K$351*K$353&gt;0,AVERAGE(K$347, K$348, K$349, K$351, K$353),""),"")</f>
        <v/>
      </c>
      <c r="L480" s="302" t="str">
        <f aca="false">IFERROR(IF(L$347*L$348*L$349*L$351*L$353&gt;0,AVERAGE(L$347, L$348, L$349, L$351, L$353),""),"")</f>
        <v/>
      </c>
      <c r="M480" s="302" t="str">
        <f aca="false">IFERROR(IF(M$347*M$348*M$349*M$351*M$353&gt;0,AVERAGE(M$347, M$348, M$349, M$351, M$353),""),"")</f>
        <v/>
      </c>
      <c r="N480" s="302" t="str">
        <f aca="false">IFERROR(IF(N$347*N$348*N$349*N$351*N$353&gt;0,AVERAGE(N$347, N$348, N$349, N$351, N$353),""),"")</f>
        <v/>
      </c>
      <c r="O480" s="147"/>
      <c r="P480" s="282"/>
      <c r="Q480" s="283"/>
      <c r="R480" s="293" t="s">
        <v>600</v>
      </c>
      <c r="S480" s="294" t="str">
        <f aca="false">IFERROR(IF(C$347*C$348*C$349*C$351*C$353&gt;0,STDEV(C$347, C$348, C$349, C$351, C$353),"")/IF(C$347*C$348*C$349*C$351*C$353&gt;0,AVERAGE(C$347, C$348, C$349, C$351, C$353),""),"")</f>
        <v/>
      </c>
      <c r="T480" s="294" t="str">
        <f aca="false">IFERROR(IF(D$347*D$348*D$349*D$351*D$353&gt;0,STDEV(D$347, D$348, D$349, D$351, D$353),"")/IF(D$347*D$348*D$349*D$351*D$353&gt;0,AVERAGE(D$347, D$348, D$349, D$351, D$353),""),"")</f>
        <v/>
      </c>
      <c r="U480" s="294" t="str">
        <f aca="false">IFERROR(IF(E$347*E$348*E$349*E$351*E$353&gt;0,STDEV(E$347, E$348, E$349, E$351, E$353),"")/IF(E$347*E$348*E$349*E$351*E$353&gt;0,AVERAGE(E$347, E$348, E$349, E$351, E$353),""),"")</f>
        <v/>
      </c>
      <c r="V480" s="294" t="str">
        <f aca="false">IFERROR(IF(F$347*F$348*F$349*F$351*F$353&gt;0,STDEV(F$347, F$348, F$349, F$351, F$353),"")/IF(F$347*F$348*F$349*F$351*F$353&gt;0,AVERAGE(F$347, F$348, F$349, F$351, F$353),""),"")</f>
        <v/>
      </c>
      <c r="W480" s="294" t="str">
        <f aca="false">IFERROR(IF(G$347*G$348*G$349*G$351*G$353&gt;0,STDEV(G$347, G$348, G$349, G$351, G$353),"")/IF(G$347*G$348*G$349*G$351*G$353&gt;0,AVERAGE(G$347, G$348, G$349, G$351, G$353),""),"")</f>
        <v/>
      </c>
      <c r="X480" s="294" t="str">
        <f aca="false">IFERROR(IF(H$347*H$348*H$349*H$351*H$353&gt;0,STDEV(H$347, H$348, H$349, H$351, H$353),"")/IF(H$347*H$348*H$349*H$351*H$353&gt;0,AVERAGE(H$347, H$348, H$349, H$351, H$353),""),"")</f>
        <v/>
      </c>
      <c r="Y480" s="294" t="str">
        <f aca="false">IFERROR(IF(I$347*I$348*I$349*I$351*I$353&gt;0,STDEV(I$347, I$348, I$349, I$351, I$353),"")/IF(I$347*I$348*I$349*I$351*I$353&gt;0,AVERAGE(I$347, I$348, I$349, I$351, I$353),""),"")</f>
        <v/>
      </c>
      <c r="Z480" s="294" t="str">
        <f aca="false">IFERROR(IF(J$347*J$348*J$349*J$351*J$353&gt;0,STDEV(J$347, J$348, J$349, J$351, J$353),"")/IF(J$347*J$348*J$349*J$351*J$353&gt;0,AVERAGE(J$347, J$348, J$349, J$351, J$353),""),"")</f>
        <v/>
      </c>
      <c r="AA480" s="294" t="str">
        <f aca="false">IFERROR(IF(K$347*K$348*K$349*K$351*K$353&gt;0,STDEV(K$347, K$348, K$349, K$351, K$353),"")/IF(K$347*K$348*K$349*K$351*K$353&gt;0,AVERAGE(K$347, K$348, K$349, K$351, K$353),""),"")</f>
        <v/>
      </c>
      <c r="AB480" s="294" t="str">
        <f aca="false">IFERROR(IF(L$347*L$348*L$349*L$351*L$353&gt;0,STDEV(L$347, L$348, L$349, L$351, L$353),"")/IF(L$347*L$348*L$349*L$351*L$353&gt;0,AVERAGE(L$347, L$348, L$349, L$351, L$353),""),"")</f>
        <v/>
      </c>
      <c r="AC480" s="294" t="str">
        <f aca="false">IFERROR(IF(M$347*M$348*M$349*M$351*M$353&gt;0,STDEV(M$347, M$348, M$349, M$351, M$353),"")/IF(M$347*M$348*M$349*M$351*M$353&gt;0,AVERAGE(M$347, M$348, M$349, M$351, M$353),""),"")</f>
        <v/>
      </c>
      <c r="AD480" s="294" t="str">
        <f aca="false">IFERROR(IF(N$347*N$348*N$349*N$351*N$353&gt;0,STDEV(N$347, N$348, N$349, N$351, N$353),"")/IF(N$347*N$348*N$349*N$351*N$353&gt;0,AVERAGE(N$347, N$348, N$349, N$351, N$353),""),"")</f>
        <v/>
      </c>
      <c r="AE480" s="44"/>
      <c r="AF480" s="266" t="s">
        <v>601</v>
      </c>
      <c r="AG480" s="287" t="str">
        <f aca="false">IFERROR(IF(C$347*C$348*C$349*C$351*C$353&gt;0,STDEV(C$347, C$348, C$349, C$351, C$353)," ")/IF(C$347*C$348*C$349*C$351*C$353&gt;0,SQRT(COUNT(C$347, C$348, C$349, C$351, C$353))," "),"")</f>
        <v/>
      </c>
      <c r="AH480" s="287" t="str">
        <f aca="false">IFERROR(IF(D$347*D$348*D$349*D$351*D$353&gt;0,STDEV(D$347, D$348, D$349, D$351, D$353)," ")/IF(D$347*D$348*D$349*D$351*D$353&gt;0,SQRT(COUNT(D$347, D$348, D$349, D$351, D$353))," "),"")</f>
        <v/>
      </c>
      <c r="AI480" s="287" t="str">
        <f aca="false">IFERROR(IF(E$347*E$348*E$349*E$351*E$353&gt;0,STDEV(E$347, E$348, E$349, E$351, E$353)," ")/IF(E$347*E$348*E$349*E$351*E$353&gt;0,SQRT(COUNT(E$347, E$348, E$349, E$351, E$353))," "),"")</f>
        <v/>
      </c>
      <c r="AJ480" s="287" t="str">
        <f aca="false">IFERROR(IF(F$347*F$348*F$349*F$351*F$353&gt;0,STDEV(F$347, F$348, F$349, F$351, F$353)," ")/IF(F$347*F$348*F$349*F$351*F$353&gt;0,SQRT(COUNT(F$347, F$348, F$349, F$351, F$353))," "),"")</f>
        <v/>
      </c>
      <c r="AK480" s="287" t="str">
        <f aca="false">IFERROR(IF(G$347*G$348*G$349*G$351*G$353&gt;0,STDEV(G$347, G$348, G$349, G$351, G$353)," ")/IF(G$347*G$348*G$349*G$351*G$353&gt;0,SQRT(COUNT(G$347, G$348, G$349, G$351, G$353))," "),"")</f>
        <v/>
      </c>
      <c r="AL480" s="287" t="str">
        <f aca="false">IFERROR(IF(H$347*H$348*H$349*H$351*H$353&gt;0,STDEV(H$347, H$348, H$349, H$351, H$353)," ")/IF(H$347*H$348*H$349*H$351*H$353&gt;0,SQRT(COUNT(H$347, H$348, H$349, H$351, H$353))," "),"")</f>
        <v/>
      </c>
      <c r="AM480" s="287" t="str">
        <f aca="false">IFERROR(IF(I$347*I$348*I$349*I$351*I$353&gt;0,STDEV(I$347, I$348, I$349, I$351, I$353)," ")/IF(I$347*I$348*I$349*I$351*I$353&gt;0,SQRT(COUNT(I$347, I$348, I$349, I$351, I$353))," "),"")</f>
        <v/>
      </c>
      <c r="AN480" s="287" t="str">
        <f aca="false">IFERROR(IF(J$347*J$348*J$349*J$351*J$353&gt;0,STDEV(J$347, J$348, J$349, J$351, J$353)," ")/IF(J$347*J$348*J$349*J$351*J$353&gt;0,SQRT(COUNT(J$347, J$348, J$349, J$351, J$353))," "),"")</f>
        <v/>
      </c>
      <c r="AO480" s="287" t="str">
        <f aca="false">IFERROR(IF(K$347*K$348*K$349*K$351*K$353&gt;0,STDEV(K$347, K$348, K$349, K$351, K$353)," ")/IF(K$347*K$348*K$349*K$351*K$353&gt;0,SQRT(COUNT(K$347, K$348, K$349, K$351, K$353))," "),"")</f>
        <v/>
      </c>
      <c r="AP480" s="287" t="str">
        <f aca="false">IFERROR(IF(L$347*L$348*L$349*L$351*L$353&gt;0,STDEV(L$347, L$348, L$349, L$351, L$353)," ")/IF(L$347*L$348*L$349*L$351*L$353&gt;0,SQRT(COUNT(L$347, L$348, L$349, L$351, L$353))," "),"")</f>
        <v/>
      </c>
      <c r="AQ480" s="287" t="str">
        <f aca="false">IFERROR(IF(M$347*M$348*M$349*M$351*M$353&gt;0,STDEV(M$347, M$348, M$349, M$351, M$353)," ")/IF(M$347*M$348*M$349*M$351*M$353&gt;0,SQRT(COUNT(M$347, M$348, M$349, M$351, M$353))," "),"")</f>
        <v/>
      </c>
      <c r="AR480" s="287" t="str">
        <f aca="false">IFERROR(IF(N$347*N$348*N$349*N$351*N$353&gt;0,STDEV(N$347, N$348, N$349, N$351, N$353)," ")/IF(N$347*N$348*N$349*N$351*N$353&gt;0,SQRT(COUNT(N$347, N$348, N$349, N$351, N$353))," "),"")</f>
        <v/>
      </c>
    </row>
    <row r="481" customFormat="false" ht="15.75" hidden="false" customHeight="false" outlineLevel="0" collapsed="false">
      <c r="A481" s="290" t="s">
        <v>602</v>
      </c>
      <c r="B481" s="281"/>
      <c r="C481" s="302" t="str">
        <f aca="false">IFERROR(IF(C$347*C$348*C$349*C$350*C$351*C$352&gt;0,AVERAGE(C$347:C$351,C$352),""),"")</f>
        <v/>
      </c>
      <c r="D481" s="302" t="str">
        <f aca="false">IFERROR(IF(D$347*D$348*D$349*D$350*D$351*D$352&gt;0,AVERAGE(D$347:D$351,D$352),""),"")</f>
        <v/>
      </c>
      <c r="E481" s="302" t="str">
        <f aca="false">IFERROR(IF(E$347*E$348*E$349*E$350*E$351*E$352&gt;0,AVERAGE(E$347:E$351,E$352),""),"")</f>
        <v/>
      </c>
      <c r="F481" s="302" t="str">
        <f aca="false">IFERROR(IF(F$347*F$348*F$349*F$350*F$351*F$352&gt;0,AVERAGE(F$347:F$351,F$352),""),"")</f>
        <v/>
      </c>
      <c r="G481" s="302" t="str">
        <f aca="false">IFERROR(IF(G$347*G$348*G$349*G$350*G$351*G$352&gt;0,AVERAGE(G$347:G$351,G$352),""),"")</f>
        <v/>
      </c>
      <c r="H481" s="302" t="str">
        <f aca="false">IFERROR(IF(H$347*H$348*H$349*H$350*H$351*H$352&gt;0,AVERAGE(H$347:H$351,H$352),""),"")</f>
        <v/>
      </c>
      <c r="I481" s="302" t="str">
        <f aca="false">IFERROR(IF(I$347*I$348*I$349*I$350*I$351*I$352&gt;0,AVERAGE(I$347:I$351,I$352),""),"")</f>
        <v/>
      </c>
      <c r="J481" s="302" t="str">
        <f aca="false">IFERROR(IF(J$347*J$348*J$349*J$350*J$351*J$352&gt;0,AVERAGE(J$347:J$351,J$352),""),"")</f>
        <v/>
      </c>
      <c r="K481" s="302" t="str">
        <f aca="false">IFERROR(IF(K$347*K$348*K$349*K$350*K$351*K$352&gt;0,AVERAGE(K$347:K$351,K$352),""),"")</f>
        <v/>
      </c>
      <c r="L481" s="302" t="str">
        <f aca="false">IFERROR(IF(L$347*L$348*L$349*L$350*L$351*L$352&gt;0,AVERAGE(L$347:L$351,L$352),""),"")</f>
        <v/>
      </c>
      <c r="M481" s="302" t="str">
        <f aca="false">IFERROR(IF(M$347*M$348*M$349*M$350*M$351*M$352&gt;0,AVERAGE(M$347:M$351,M$352),""),"")</f>
        <v/>
      </c>
      <c r="N481" s="302" t="str">
        <f aca="false">IFERROR(IF(N$347*N$348*N$349*N$350*N$351*N$352&gt;0,AVERAGE(N$347:N$351,N$352),""),"")</f>
        <v/>
      </c>
      <c r="O481" s="282" t="n">
        <v>6</v>
      </c>
      <c r="P481" s="282" t="n">
        <f aca="false">COMBIN(7,6)</f>
        <v>7</v>
      </c>
      <c r="Q481" s="296" t="n">
        <f aca="false">ROW(N487)-ROW(N481)+1</f>
        <v>7</v>
      </c>
      <c r="R481" s="293" t="s">
        <v>603</v>
      </c>
      <c r="S481" s="294" t="str">
        <f aca="false">IFERROR(IF(C$347*C$348*C$349*C$350*C$351*C$352&gt;0,STDEV(C$347:C$351,C$352),"")/IF(C$347*C$348*C$349*C$350*C$351*C$352&gt;0,AVERAGE(C$347:C$351,C$352),""),"")</f>
        <v/>
      </c>
      <c r="T481" s="294" t="str">
        <f aca="false">IFERROR(IF(D$347*D$348*D$349*D$350*D$351*D$352&gt;0,STDEV(D$347:D$351,D$352),"")/IF(D$347*D$348*D$349*D$350*D$351*D$352&gt;0,AVERAGE(D$347:D$351,D$352),""),"")</f>
        <v/>
      </c>
      <c r="U481" s="294" t="str">
        <f aca="false">IFERROR(IF(E$347*E$348*E$349*E$350*E$351*E$352&gt;0,STDEV(E$347:E$351,E$352),"")/IF(E$347*E$348*E$349*E$350*E$351*E$352&gt;0,AVERAGE(E$347:E$351,E$352),""),"")</f>
        <v/>
      </c>
      <c r="V481" s="294" t="str">
        <f aca="false">IFERROR(IF(F$347*F$348*F$349*F$350*F$351*F$352&gt;0,STDEV(F$347:F$351,F$352),"")/IF(F$347*F$348*F$349*F$350*F$351*F$352&gt;0,AVERAGE(F$347:F$351,F$352),""),"")</f>
        <v/>
      </c>
      <c r="W481" s="294" t="str">
        <f aca="false">IFERROR(IF(G$347*G$348*G$349*G$350*G$351*G$352&gt;0,STDEV(G$347:G$351,G$352),"")/IF(G$347*G$348*G$349*G$350*G$351*G$352&gt;0,AVERAGE(G$347:G$351,G$352),""),"")</f>
        <v/>
      </c>
      <c r="X481" s="294" t="str">
        <f aca="false">IFERROR(IF(H$347*H$348*H$349*H$350*H$351*H$352&gt;0,STDEV(H$347:H$351,H$352),"")/IF(H$347*H$348*H$349*H$350*H$351*H$352&gt;0,AVERAGE(H$347:H$351,H$352),""),"")</f>
        <v/>
      </c>
      <c r="Y481" s="294" t="str">
        <f aca="false">IFERROR(IF(I$347*I$348*I$349*I$350*I$351*I$352&gt;0,STDEV(I$347:I$351,I$352),"")/IF(I$347*I$348*I$349*I$350*I$351*I$352&gt;0,AVERAGE(I$347:I$351,I$352),""),"")</f>
        <v/>
      </c>
      <c r="Z481" s="294" t="str">
        <f aca="false">IFERROR(IF(J$347*J$348*J$349*J$350*J$351*J$352&gt;0,STDEV(J$347:J$351,J$352),"")/IF(J$347*J$348*J$349*J$350*J$351*J$352&gt;0,AVERAGE(J$347:J$351,J$352),""),"")</f>
        <v/>
      </c>
      <c r="AA481" s="294" t="str">
        <f aca="false">IFERROR(IF(K$347*K$348*K$349*K$350*K$351*K$352&gt;0,STDEV(K$347:K$351,K$352),"")/IF(K$347*K$348*K$349*K$350*K$351*K$352&gt;0,AVERAGE(K$347:K$351,K$352),""),"")</f>
        <v/>
      </c>
      <c r="AB481" s="294" t="str">
        <f aca="false">IFERROR(IF(L$347*L$348*L$349*L$350*L$351*L$352&gt;0,STDEV(L$347:L$351,L$352),"")/IF(L$347*L$348*L$349*L$350*L$351*L$352&gt;0,AVERAGE(L$347:L$351,L$352),""),"")</f>
        <v/>
      </c>
      <c r="AC481" s="294" t="str">
        <f aca="false">IFERROR(IF(M$347*M$348*M$349*M$350*M$351*M$352&gt;0,STDEV(M$347:M$351,M$352),"")/IF(M$347*M$348*M$349*M$350*M$351*M$352&gt;0,AVERAGE(M$347:M$351,M$352),""),"")</f>
        <v/>
      </c>
      <c r="AD481" s="294" t="str">
        <f aca="false">IFERROR(IF(N$347*N$348*N$349*N$350*N$351*N$352&gt;0,STDEV(N$347:N$351,N$352),"")/IF(N$347*N$348*N$349*N$350*N$351*N$352&gt;0,AVERAGE(N$347:N$351,N$352),""),"")</f>
        <v/>
      </c>
      <c r="AE481" s="44"/>
      <c r="AF481" s="266" t="s">
        <v>604</v>
      </c>
      <c r="AG481" s="287" t="str">
        <f aca="false">IFERROR(IF(C$347*C$348*C$349*C$350*C$351*C$352&gt;0,STDEV(C$347:C$351,C$352)," ")/IF(C$347*C$348*C$349*C$350*C$351*C$352&gt;0,SQRT(COUNT(C$347:C$351,C$352))," "),"")</f>
        <v/>
      </c>
      <c r="AH481" s="287" t="str">
        <f aca="false">IFERROR(IF(D$347*D$348*D$349*D$350*D$351*D$352&gt;0,STDEV(D$347:D$351,D$352)," ")/IF(D$347*D$348*D$349*D$350*D$351*D$352&gt;0,SQRT(COUNT(D$347:D$351,D$352))," "),"")</f>
        <v/>
      </c>
      <c r="AI481" s="287" t="str">
        <f aca="false">IFERROR(IF(E$347*E$348*E$349*E$350*E$351*E$352&gt;0,STDEV(E$347:E$351,E$352)," ")/IF(E$347*E$348*E$349*E$350*E$351*E$352&gt;0,SQRT(COUNT(E$347:E$351,E$352))," "),"")</f>
        <v/>
      </c>
      <c r="AJ481" s="287" t="str">
        <f aca="false">IFERROR(IF(F$347*F$348*F$349*F$350*F$351*F$352&gt;0,STDEV(F$347:F$351,F$352)," ")/IF(F$347*F$348*F$349*F$350*F$351*F$352&gt;0,SQRT(COUNT(F$347:F$351,F$352))," "),"")</f>
        <v/>
      </c>
      <c r="AK481" s="287" t="str">
        <f aca="false">IFERROR(IF(G$347*G$348*G$349*G$350*G$351*G$352&gt;0,STDEV(G$347:G$351,G$352)," ")/IF(G$347*G$348*G$349*G$350*G$351*G$352&gt;0,SQRT(COUNT(G$347:G$351,G$352))," "),"")</f>
        <v/>
      </c>
      <c r="AL481" s="287" t="str">
        <f aca="false">IFERROR(IF(H$347*H$348*H$349*H$350*H$351*H$352&gt;0,STDEV(H$347:H$351,H$352)," ")/IF(H$347*H$348*H$349*H$350*H$351*H$352&gt;0,SQRT(COUNT(H$347:H$351,H$352))," "),"")</f>
        <v/>
      </c>
      <c r="AM481" s="287" t="str">
        <f aca="false">IFERROR(IF(I$347*I$348*I$349*I$350*I$351*I$352&gt;0,STDEV(I$347:I$351,I$352)," ")/IF(I$347*I$348*I$349*I$350*I$351*I$352&gt;0,SQRT(COUNT(I$347:I$351,I$352))," "),"")</f>
        <v/>
      </c>
      <c r="AN481" s="287" t="str">
        <f aca="false">IFERROR(IF(J$347*J$348*J$349*J$350*J$351*J$352&gt;0,STDEV(J$347:J$351,J$352)," ")/IF(J$347*J$348*J$349*J$350*J$351*J$352&gt;0,SQRT(COUNT(J$347:J$351,J$352))," "),"")</f>
        <v/>
      </c>
      <c r="AO481" s="287" t="str">
        <f aca="false">IFERROR(IF(K$347*K$348*K$349*K$350*K$351*K$352&gt;0,STDEV(K$347:K$351,K$352)," ")/IF(K$347*K$348*K$349*K$350*K$351*K$352&gt;0,SQRT(COUNT(K$347:K$351,K$352))," "),"")</f>
        <v/>
      </c>
      <c r="AP481" s="287" t="str">
        <f aca="false">IFERROR(IF(L$347*L$348*L$349*L$350*L$351*L$352&gt;0,STDEV(L$347:L$351,L$352)," ")/IF(L$347*L$348*L$349*L$350*L$351*L$352&gt;0,SQRT(COUNT(L$347:L$351,L$352))," "),"")</f>
        <v/>
      </c>
      <c r="AQ481" s="287" t="str">
        <f aca="false">IFERROR(IF(M$347*M$348*M$349*M$350*M$351*M$352&gt;0,STDEV(M$347:M$351,M$352)," ")/IF(M$347*M$348*M$349*M$350*M$351*M$352&gt;0,SQRT(COUNT(M$347:M$351,M$352))," "),"")</f>
        <v/>
      </c>
      <c r="AR481" s="287" t="str">
        <f aca="false">IFERROR(IF(N$347*N$348*N$349*N$350*N$351*N$352&gt;0,STDEV(N$347:N$351,N$352)," ")/IF(N$347*N$348*N$349*N$350*N$351*N$352&gt;0,SQRT(COUNT(N$347:N$351,N$352))," "),"")</f>
        <v/>
      </c>
    </row>
    <row r="482" customFormat="false" ht="15.75" hidden="false" customHeight="false" outlineLevel="0" collapsed="false">
      <c r="A482" s="290" t="s">
        <v>605</v>
      </c>
      <c r="B482" s="281"/>
      <c r="C482" s="302" t="str">
        <f aca="false">IFERROR(IF(C$347*C$348*C$349*C$350*C$351*C$353&gt;0,AVERAGE(C$347:C$351,C$353),""),"")</f>
        <v/>
      </c>
      <c r="D482" s="302" t="str">
        <f aca="false">IFERROR(IF(D$347*D$348*D$349*D$350*D$351*D$353&gt;0,AVERAGE(D$347:D$351,D$353),""),"")</f>
        <v/>
      </c>
      <c r="E482" s="302" t="str">
        <f aca="false">IFERROR(IF(E$347*E$348*E$349*E$350*E$351*E$353&gt;0,AVERAGE(E$347:E$351,E$353),""),"")</f>
        <v/>
      </c>
      <c r="F482" s="302" t="str">
        <f aca="false">IFERROR(IF(F$347*F$348*F$349*F$350*F$351*F$353&gt;0,AVERAGE(F$347:F$351,F$353),""),"")</f>
        <v/>
      </c>
      <c r="G482" s="302" t="str">
        <f aca="false">IFERROR(IF(G$347*G$348*G$349*G$350*G$351*G$353&gt;0,AVERAGE(G$347:G$351,G$353),""),"")</f>
        <v/>
      </c>
      <c r="H482" s="302" t="str">
        <f aca="false">IFERROR(IF(H$347*H$348*H$349*H$350*H$351*H$353&gt;0,AVERAGE(H$347:H$351,H$353),""),"")</f>
        <v/>
      </c>
      <c r="I482" s="302" t="str">
        <f aca="false">IFERROR(IF(I$347*I$348*I$349*I$350*I$351*I$353&gt;0,AVERAGE(I$347:I$351,I$353),""),"")</f>
        <v/>
      </c>
      <c r="J482" s="302" t="str">
        <f aca="false">IFERROR(IF(J$347*J$348*J$349*J$350*J$351*J$353&gt;0,AVERAGE(J$347:J$351,J$353),""),"")</f>
        <v/>
      </c>
      <c r="K482" s="302" t="str">
        <f aca="false">IFERROR(IF(K$347*K$348*K$349*K$350*K$351*K$353&gt;0,AVERAGE(K$347:K$351,K$353),""),"")</f>
        <v/>
      </c>
      <c r="L482" s="302" t="str">
        <f aca="false">IFERROR(IF(L$347*L$348*L$349*L$350*L$351*L$353&gt;0,AVERAGE(L$347:L$351,L$353),""),"")</f>
        <v/>
      </c>
      <c r="M482" s="302" t="str">
        <f aca="false">IFERROR(IF(M$347*M$348*M$349*M$350*M$351*M$353&gt;0,AVERAGE(M$347:M$351,M$353),""),"")</f>
        <v/>
      </c>
      <c r="N482" s="302" t="str">
        <f aca="false">IFERROR(IF(N$347*N$348*N$349*N$350*N$351*N$353&gt;0,AVERAGE(N$347:N$351,N$353),""),"")</f>
        <v/>
      </c>
      <c r="O482" s="282"/>
      <c r="P482" s="282"/>
      <c r="Q482" s="296"/>
      <c r="R482" s="293" t="s">
        <v>606</v>
      </c>
      <c r="S482" s="294" t="str">
        <f aca="false">IFERROR(IF(C$347*C$348*C$349*C$350*C$351*C$353&gt;0,STDEV(C$347:C$351,C$353),"")/IF(C$347*C$348*C$349*C$350*C$351*C$353&gt;0,AVERAGE(C$347:C$351,C$353),""),"")</f>
        <v/>
      </c>
      <c r="T482" s="294" t="str">
        <f aca="false">IFERROR(IF(D$347*D$348*D$349*D$350*D$351*D$353&gt;0,STDEV(D$347:D$351,D$353),"")/IF(D$347*D$348*D$349*D$350*D$351*D$353&gt;0,AVERAGE(D$347:D$351,D$353),""),"")</f>
        <v/>
      </c>
      <c r="U482" s="294" t="str">
        <f aca="false">IFERROR(IF(E$347*E$348*E$349*E$350*E$351*E$353&gt;0,STDEV(E$347:E$351,E$353),"")/IF(E$347*E$348*E$349*E$350*E$351*E$353&gt;0,AVERAGE(E$347:E$351,E$353),""),"")</f>
        <v/>
      </c>
      <c r="V482" s="294" t="str">
        <f aca="false">IFERROR(IF(F$347*F$348*F$349*F$350*F$351*F$353&gt;0,STDEV(F$347:F$351,F$353),"")/IF(F$347*F$348*F$349*F$350*F$351*F$353&gt;0,AVERAGE(F$347:F$351,F$353),""),"")</f>
        <v/>
      </c>
      <c r="W482" s="294" t="str">
        <f aca="false">IFERROR(IF(G$347*G$348*G$349*G$350*G$351*G$353&gt;0,STDEV(G$347:G$351,G$353),"")/IF(G$347*G$348*G$349*G$350*G$351*G$353&gt;0,AVERAGE(G$347:G$351,G$353),""),"")</f>
        <v/>
      </c>
      <c r="X482" s="294" t="str">
        <f aca="false">IFERROR(IF(H$347*H$348*H$349*H$350*H$351*H$353&gt;0,STDEV(H$347:H$351,H$353),"")/IF(H$347*H$348*H$349*H$350*H$351*H$353&gt;0,AVERAGE(H$347:H$351,H$353),""),"")</f>
        <v/>
      </c>
      <c r="Y482" s="294" t="str">
        <f aca="false">IFERROR(IF(I$347*I$348*I$349*I$350*I$351*I$353&gt;0,STDEV(I$347:I$351,I$353),"")/IF(I$347*I$348*I$349*I$350*I$351*I$353&gt;0,AVERAGE(I$347:I$351,I$353),""),"")</f>
        <v/>
      </c>
      <c r="Z482" s="294" t="str">
        <f aca="false">IFERROR(IF(J$347*J$348*J$349*J$350*J$351*J$353&gt;0,STDEV(J$347:J$351,J$353),"")/IF(J$347*J$348*J$349*J$350*J$351*J$353&gt;0,AVERAGE(J$347:J$351,J$353),""),"")</f>
        <v/>
      </c>
      <c r="AA482" s="294" t="str">
        <f aca="false">IFERROR(IF(K$347*K$348*K$349*K$350*K$351*K$353&gt;0,STDEV(K$347:K$351,K$353),"")/IF(K$347*K$348*K$349*K$350*K$351*K$353&gt;0,AVERAGE(K$347:K$351,K$353),""),"")</f>
        <v/>
      </c>
      <c r="AB482" s="294" t="str">
        <f aca="false">IFERROR(IF(L$347*L$348*L$349*L$350*L$351*L$353&gt;0,STDEV(L$347:L$351,L$353),"")/IF(L$347*L$348*L$349*L$350*L$351*L$353&gt;0,AVERAGE(L$347:L$351,L$353),""),"")</f>
        <v/>
      </c>
      <c r="AC482" s="294" t="str">
        <f aca="false">IFERROR(IF(M$347*M$348*M$349*M$350*M$351*M$353&gt;0,STDEV(M$347:M$351,M$353),"")/IF(M$347*M$348*M$349*M$350*M$351*M$353&gt;0,AVERAGE(M$347:M$351,M$353),""),"")</f>
        <v/>
      </c>
      <c r="AD482" s="294" t="str">
        <f aca="false">IFERROR(IF(N$347*N$348*N$349*N$350*N$351*N$353&gt;0,STDEV(N$347:N$351,N$353),"")/IF(N$347*N$348*N$349*N$350*N$351*N$353&gt;0,AVERAGE(N$347:N$351,N$353),""),"")</f>
        <v/>
      </c>
      <c r="AE482" s="44"/>
      <c r="AF482" s="266" t="s">
        <v>607</v>
      </c>
      <c r="AG482" s="287" t="str">
        <f aca="false">IFERROR(IF(C$347*C$348*C$349*C$350*C$351*C$353&gt;0,STDEV(C$347:C$351,C$353)," ")/IF(C$347*C$348*C$349*C$350*C$351*C$353&gt;0,SQRT(COUNT(C$347:C$351,C$353))," "),"")</f>
        <v/>
      </c>
      <c r="AH482" s="287" t="str">
        <f aca="false">IFERROR(IF(D$347*D$348*D$349*D$350*D$351*D$353&gt;0,STDEV(D$347:D$351,D$353)," ")/IF(D$347*D$348*D$349*D$350*D$351*D$353&gt;0,SQRT(COUNT(D$347:D$351,D$353))," "),"")</f>
        <v/>
      </c>
      <c r="AI482" s="287" t="str">
        <f aca="false">IFERROR(IF(E$347*E$348*E$349*E$350*E$351*E$353&gt;0,STDEV(E$347:E$351,E$353)," ")/IF(E$347*E$348*E$349*E$350*E$351*E$353&gt;0,SQRT(COUNT(E$347:E$351,E$353))," "),"")</f>
        <v/>
      </c>
      <c r="AJ482" s="287" t="str">
        <f aca="false">IFERROR(IF(F$347*F$348*F$349*F$350*F$351*F$353&gt;0,STDEV(F$347:F$351,F$353)," ")/IF(F$347*F$348*F$349*F$350*F$351*F$353&gt;0,SQRT(COUNT(F$347:F$351,F$353))," "),"")</f>
        <v/>
      </c>
      <c r="AK482" s="287" t="str">
        <f aca="false">IFERROR(IF(G$347*G$348*G$349*G$350*G$351*G$353&gt;0,STDEV(G$347:G$351,G$353)," ")/IF(G$347*G$348*G$349*G$350*G$351*G$353&gt;0,SQRT(COUNT(G$347:G$351,G$353))," "),"")</f>
        <v/>
      </c>
      <c r="AL482" s="287" t="str">
        <f aca="false">IFERROR(IF(H$347*H$348*H$349*H$350*H$351*H$353&gt;0,STDEV(H$347:H$351,H$353)," ")/IF(H$347*H$348*H$349*H$350*H$351*H$353&gt;0,SQRT(COUNT(H$347:H$351,H$353))," "),"")</f>
        <v/>
      </c>
      <c r="AM482" s="287" t="str">
        <f aca="false">IFERROR(IF(I$347*I$348*I$349*I$350*I$351*I$353&gt;0,STDEV(I$347:I$351,I$353)," ")/IF(I$347*I$348*I$349*I$350*I$351*I$353&gt;0,SQRT(COUNT(I$347:I$351,I$353))," "),"")</f>
        <v/>
      </c>
      <c r="AN482" s="287" t="str">
        <f aca="false">IFERROR(IF(J$347*J$348*J$349*J$350*J$351*J$353&gt;0,STDEV(J$347:J$351,J$353)," ")/IF(J$347*J$348*J$349*J$350*J$351*J$353&gt;0,SQRT(COUNT(J$347:J$351,J$353))," "),"")</f>
        <v/>
      </c>
      <c r="AO482" s="287" t="str">
        <f aca="false">IFERROR(IF(K$347*K$348*K$349*K$350*K$351*K$353&gt;0,STDEV(K$347:K$351,K$353)," ")/IF(K$347*K$348*K$349*K$350*K$351*K$353&gt;0,SQRT(COUNT(K$347:K$351,K$353))," "),"")</f>
        <v/>
      </c>
      <c r="AP482" s="287" t="str">
        <f aca="false">IFERROR(IF(L$347*L$348*L$349*L$350*L$351*L$353&gt;0,STDEV(L$347:L$351,L$353)," ")/IF(L$347*L$348*L$349*L$350*L$351*L$353&gt;0,SQRT(COUNT(L$347:L$351,L$353))," "),"")</f>
        <v/>
      </c>
      <c r="AQ482" s="287" t="str">
        <f aca="false">IFERROR(IF(M$347*M$348*M$349*M$350*M$351*M$353&gt;0,STDEV(M$347:M$351,M$353)," ")/IF(M$347*M$348*M$349*M$350*M$351*M$353&gt;0,SQRT(COUNT(M$347:M$351,M$353))," "),"")</f>
        <v/>
      </c>
      <c r="AR482" s="287" t="str">
        <f aca="false">IFERROR(IF(N$347*N$348*N$349*N$350*N$351*N$353&gt;0,STDEV(N$347:N$351,N$353)," ")/IF(N$347*N$348*N$349*N$350*N$351*N$353&gt;0,SQRT(COUNT(N$347:N$351,N$353))," "),"")</f>
        <v/>
      </c>
    </row>
    <row r="483" customFormat="false" ht="15.75" hidden="false" customHeight="false" outlineLevel="0" collapsed="false">
      <c r="A483" s="290" t="s">
        <v>608</v>
      </c>
      <c r="B483" s="281"/>
      <c r="C483" s="302" t="str">
        <f aca="false">IFERROR(IF(C$347*C$348*C$349*C$350*C$352*C$353&gt;0,AVERAGE(C$347:C$350, C$353),""),"")</f>
        <v/>
      </c>
      <c r="D483" s="302" t="str">
        <f aca="false">IFERROR(IF(D$347*D$348*D$349*D$350*D$352*D$353&gt;0,AVERAGE(D$347:D$350, D$353),""),"")</f>
        <v/>
      </c>
      <c r="E483" s="302" t="str">
        <f aca="false">IFERROR(IF(E$347*E$348*E$349*E$350*E$352*E$353&gt;0,AVERAGE(E$347:E$350, E$353),""),"")</f>
        <v/>
      </c>
      <c r="F483" s="302" t="str">
        <f aca="false">IFERROR(IF(F$347*F$348*F$349*F$350*F$352*F$353&gt;0,AVERAGE(F$347:F$350, F$353),""),"")</f>
        <v/>
      </c>
      <c r="G483" s="302" t="str">
        <f aca="false">IFERROR(IF(G$347*G$348*G$349*G$350*G$352*G$353&gt;0,AVERAGE(G$347:G$350, G$353),""),"")</f>
        <v/>
      </c>
      <c r="H483" s="302" t="str">
        <f aca="false">IFERROR(IF(H$347*H$348*H$349*H$350*H$352*H$353&gt;0,AVERAGE(H$347:H$350, H$353),""),"")</f>
        <v/>
      </c>
      <c r="I483" s="302" t="str">
        <f aca="false">IFERROR(IF(I$347*I$348*I$349*I$350*I$352*I$353&gt;0,AVERAGE(I$347:I$350, I$353),""),"")</f>
        <v/>
      </c>
      <c r="J483" s="302" t="str">
        <f aca="false">IFERROR(IF(J$347*J$348*J$349*J$350*J$352*J$353&gt;0,AVERAGE(J$347:J$350, J$353),""),"")</f>
        <v/>
      </c>
      <c r="K483" s="302" t="str">
        <f aca="false">IFERROR(IF(K$347*K$348*K$349*K$350*K$352*K$353&gt;0,AVERAGE(K$347:K$350, K$353),""),"")</f>
        <v/>
      </c>
      <c r="L483" s="302" t="str">
        <f aca="false">IFERROR(IF(L$347*L$348*L$349*L$350*L$352*L$353&gt;0,AVERAGE(L$347:L$350, L$353),""),"")</f>
        <v/>
      </c>
      <c r="M483" s="302" t="str">
        <f aca="false">IFERROR(IF(M$347*M$348*M$349*M$350*M$352*M$353&gt;0,AVERAGE(M$347:M$350, M$353),""),"")</f>
        <v/>
      </c>
      <c r="N483" s="302" t="str">
        <f aca="false">IFERROR(IF(N$347*N$348*N$349*N$350*N$352*N$353&gt;0,AVERAGE(N$347:N$350, N$353),""),"")</f>
        <v/>
      </c>
      <c r="O483" s="282"/>
      <c r="P483" s="282"/>
      <c r="Q483" s="296"/>
      <c r="R483" s="293" t="s">
        <v>609</v>
      </c>
      <c r="S483" s="294" t="str">
        <f aca="false">IFERROR(IF(C$347*C$348*C$349*C$350*C$352*C$353&gt;0,STDEV(C$347:C$350, C$353),"")/IF(C$347*C$348*C$349*C$350*C$352*C$353&gt;0,AVERAGE(C$347:C$350, C$353),""),"")</f>
        <v/>
      </c>
      <c r="T483" s="294" t="str">
        <f aca="false">IFERROR(IF(D$347*D$348*D$349*D$350*D$352*D$353&gt;0,STDEV(D$347:D$350, D$353),"")/IF(D$347*D$348*D$349*D$350*D$352*D$353&gt;0,AVERAGE(D$347:D$350, D$353),""),"")</f>
        <v/>
      </c>
      <c r="U483" s="294" t="str">
        <f aca="false">IFERROR(IF(E$347*E$348*E$349*E$350*E$352*E$353&gt;0,STDEV(E$347:E$350, E$353),"")/IF(E$347*E$348*E$349*E$350*E$352*E$353&gt;0,AVERAGE(E$347:E$350, E$353),""),"")</f>
        <v/>
      </c>
      <c r="V483" s="294" t="str">
        <f aca="false">IFERROR(IF(F$347*F$348*F$349*F$350*F$352*F$353&gt;0,STDEV(F$347:F$350, F$353),"")/IF(F$347*F$348*F$349*F$350*F$352*F$353&gt;0,AVERAGE(F$347:F$350, F$353),""),"")</f>
        <v/>
      </c>
      <c r="W483" s="294" t="str">
        <f aca="false">IFERROR(IF(G$347*G$348*G$349*G$350*G$352*G$353&gt;0,STDEV(G$347:G$350, G$353),"")/IF(G$347*G$348*G$349*G$350*G$352*G$353&gt;0,AVERAGE(G$347:G$350, G$353),""),"")</f>
        <v/>
      </c>
      <c r="X483" s="294" t="str">
        <f aca="false">IFERROR(IF(H$347*H$348*H$349*H$350*H$352*H$353&gt;0,STDEV(H$347:H$350, H$353),"")/IF(H$347*H$348*H$349*H$350*H$352*H$353&gt;0,AVERAGE(H$347:H$350, H$353),""),"")</f>
        <v/>
      </c>
      <c r="Y483" s="294" t="str">
        <f aca="false">IFERROR(IF(I$347*I$348*I$349*I$350*I$352*I$353&gt;0,STDEV(I$347:I$350, I$353),"")/IF(I$347*I$348*I$349*I$350*I$352*I$353&gt;0,AVERAGE(I$347:I$350, I$353),""),"")</f>
        <v/>
      </c>
      <c r="Z483" s="294" t="str">
        <f aca="false">IFERROR(IF(J$347*J$348*J$349*J$350*J$352*J$353&gt;0,STDEV(J$347:J$350, J$353),"")/IF(J$347*J$348*J$349*J$350*J$352*J$353&gt;0,AVERAGE(J$347:J$350, J$353),""),"")</f>
        <v/>
      </c>
      <c r="AA483" s="294" t="str">
        <f aca="false">IFERROR(IF(K$347*K$348*K$349*K$350*K$352*K$353&gt;0,STDEV(K$347:K$350, K$353),"")/IF(K$347*K$348*K$349*K$350*K$352*K$353&gt;0,AVERAGE(K$347:K$350, K$353),""),"")</f>
        <v/>
      </c>
      <c r="AB483" s="294" t="str">
        <f aca="false">IFERROR(IF(L$347*L$348*L$349*L$350*L$352*L$353&gt;0,STDEV(L$347:L$350, L$353),"")/IF(L$347*L$348*L$349*L$350*L$352*L$353&gt;0,AVERAGE(L$347:L$350, L$353),""),"")</f>
        <v/>
      </c>
      <c r="AC483" s="294" t="str">
        <f aca="false">IFERROR(IF(M$347*M$348*M$349*M$350*M$352*M$353&gt;0,STDEV(M$347:M$350, M$353),"")/IF(M$347*M$348*M$349*M$350*M$352*M$353&gt;0,AVERAGE(M$347:M$350, M$353),""),"")</f>
        <v/>
      </c>
      <c r="AD483" s="294" t="str">
        <f aca="false">IFERROR(IF(N$347*N$348*N$349*N$350*N$352*N$353&gt;0,STDEV(N$347:N$350, N$353),"")/IF(N$347*N$348*N$349*N$350*N$352*N$353&gt;0,AVERAGE(N$347:N$350, N$353),""),"")</f>
        <v/>
      </c>
      <c r="AE483" s="44"/>
      <c r="AF483" s="266" t="s">
        <v>610</v>
      </c>
      <c r="AG483" s="287" t="str">
        <f aca="false">IFERROR(IF(C$347*C$348*C$349*C$350*C$352*C$353&gt;0,STDEV(C$347:C$350, C$353)," ")/IF(C$347*C$348*C$349*C$350*C$352*C$353&gt;0,SQRT(COUNT(C$347:C$350, C$353))," "),"")</f>
        <v/>
      </c>
      <c r="AH483" s="287" t="str">
        <f aca="false">IFERROR(IF(D$347*D$348*D$349*D$350*D$352*D$353&gt;0,STDEV(D$347:D$350, D$353)," ")/IF(D$347*D$348*D$349*D$350*D$352*D$353&gt;0,SQRT(COUNT(D$347:D$350, D$353))," "),"")</f>
        <v/>
      </c>
      <c r="AI483" s="287" t="str">
        <f aca="false">IFERROR(IF(E$347*E$348*E$349*E$350*E$352*E$353&gt;0,STDEV(E$347:E$350, E$353)," ")/IF(E$347*E$348*E$349*E$350*E$352*E$353&gt;0,SQRT(COUNT(E$347:E$350, E$353))," "),"")</f>
        <v/>
      </c>
      <c r="AJ483" s="287" t="str">
        <f aca="false">IFERROR(IF(F$347*F$348*F$349*F$350*F$352*F$353&gt;0,STDEV(F$347:F$350, F$353)," ")/IF(F$347*F$348*F$349*F$350*F$352*F$353&gt;0,SQRT(COUNT(F$347:F$350, F$353))," "),"")</f>
        <v/>
      </c>
      <c r="AK483" s="287" t="str">
        <f aca="false">IFERROR(IF(G$347*G$348*G$349*G$350*G$352*G$353&gt;0,STDEV(G$347:G$350, G$353)," ")/IF(G$347*G$348*G$349*G$350*G$352*G$353&gt;0,SQRT(COUNT(G$347:G$350, G$353))," "),"")</f>
        <v/>
      </c>
      <c r="AL483" s="287" t="str">
        <f aca="false">IFERROR(IF(H$347*H$348*H$349*H$350*H$352*H$353&gt;0,STDEV(H$347:H$350, H$353)," ")/IF(H$347*H$348*H$349*H$350*H$352*H$353&gt;0,SQRT(COUNT(H$347:H$350, H$353))," "),"")</f>
        <v/>
      </c>
      <c r="AM483" s="287" t="str">
        <f aca="false">IFERROR(IF(I$347*I$348*I$349*I$350*I$352*I$353&gt;0,STDEV(I$347:I$350, I$353)," ")/IF(I$347*I$348*I$349*I$350*I$352*I$353&gt;0,SQRT(COUNT(I$347:I$350, I$353))," "),"")</f>
        <v/>
      </c>
      <c r="AN483" s="287" t="str">
        <f aca="false">IFERROR(IF(J$347*J$348*J$349*J$350*J$352*J$353&gt;0,STDEV(J$347:J$350, J$353)," ")/IF(J$347*J$348*J$349*J$350*J$352*J$353&gt;0,SQRT(COUNT(J$347:J$350, J$353))," "),"")</f>
        <v/>
      </c>
      <c r="AO483" s="287" t="str">
        <f aca="false">IFERROR(IF(K$347*K$348*K$349*K$350*K$352*K$353&gt;0,STDEV(K$347:K$350, K$353)," ")/IF(K$347*K$348*K$349*K$350*K$352*K$353&gt;0,SQRT(COUNT(K$347:K$350, K$353))," "),"")</f>
        <v/>
      </c>
      <c r="AP483" s="287" t="str">
        <f aca="false">IFERROR(IF(L$347*L$348*L$349*L$350*L$352*L$353&gt;0,STDEV(L$347:L$350, L$353)," ")/IF(L$347*L$348*L$349*L$350*L$352*L$353&gt;0,SQRT(COUNT(L$347:L$350, L$353))," "),"")</f>
        <v/>
      </c>
      <c r="AQ483" s="287" t="str">
        <f aca="false">IFERROR(IF(M$347*M$348*M$349*M$350*M$352*M$353&gt;0,STDEV(M$347:M$350, M$353)," ")/IF(M$347*M$348*M$349*M$350*M$352*M$353&gt;0,SQRT(COUNT(M$347:M$350, M$353))," "),"")</f>
        <v/>
      </c>
      <c r="AR483" s="287" t="str">
        <f aca="false">IFERROR(IF(N$347*N$348*N$349*N$350*N$352*N$353&gt;0,STDEV(N$347:N$350, N$353)," ")/IF(N$347*N$348*N$349*N$350*N$352*N$353&gt;0,SQRT(COUNT(N$347:N$350, N$353))," "),"")</f>
        <v/>
      </c>
    </row>
    <row r="484" customFormat="false" ht="15.75" hidden="false" customHeight="false" outlineLevel="0" collapsed="false">
      <c r="A484" s="290" t="s">
        <v>611</v>
      </c>
      <c r="B484" s="281"/>
      <c r="C484" s="302" t="str">
        <f aca="false">IFERROR(IF(C$347*C$348*C$349*C$351*C$352*C$353&gt;0,AVERAGE(C$347:C$349,C$351:C$353),""),"")</f>
        <v/>
      </c>
      <c r="D484" s="302" t="str">
        <f aca="false">IFERROR(IF(D$347*D$348*D$349*D$351*D$352*D$353&gt;0,AVERAGE(D$347:D$349,D$351:D$353),""),"")</f>
        <v/>
      </c>
      <c r="E484" s="302" t="str">
        <f aca="false">IFERROR(IF(E$347*E$348*E$349*E$351*E$352*E$353&gt;0,AVERAGE(E$347:E$349,E$351:E$353),""),"")</f>
        <v/>
      </c>
      <c r="F484" s="302" t="str">
        <f aca="false">IFERROR(IF(F$347*F$348*F$349*F$351*F$352*F$353&gt;0,AVERAGE(F$347:F$349,F$351:F$353),""),"")</f>
        <v/>
      </c>
      <c r="G484" s="302" t="str">
        <f aca="false">IFERROR(IF(G$347*G$348*G$349*G$351*G$352*G$353&gt;0,AVERAGE(G$347:G$349,G$351:G$353),""),"")</f>
        <v/>
      </c>
      <c r="H484" s="302" t="str">
        <f aca="false">IFERROR(IF(H$347*H$348*H$349*H$351*H$352*H$353&gt;0,AVERAGE(H$347:H$349,H$351:H$353),""),"")</f>
        <v/>
      </c>
      <c r="I484" s="302" t="str">
        <f aca="false">IFERROR(IF(I$347*I$348*I$349*I$351*I$352*I$353&gt;0,AVERAGE(I$347:I$349,I$351:I$353),""),"")</f>
        <v/>
      </c>
      <c r="J484" s="302" t="str">
        <f aca="false">IFERROR(IF(J$347*J$348*J$349*J$351*J$352*J$353&gt;0,AVERAGE(J$347:J$349,J$351:J$353),""),"")</f>
        <v/>
      </c>
      <c r="K484" s="302" t="str">
        <f aca="false">IFERROR(IF(K$347*K$348*K$349*K$351*K$352*K$353&gt;0,AVERAGE(K$347:K$349,K$351:K$353),""),"")</f>
        <v/>
      </c>
      <c r="L484" s="302" t="str">
        <f aca="false">IFERROR(IF(L$347*L$348*L$349*L$351*L$352*L$353&gt;0,AVERAGE(L$347:L$349,L$351:L$353),""),"")</f>
        <v/>
      </c>
      <c r="M484" s="302" t="str">
        <f aca="false">IFERROR(IF(M$347*M$348*M$349*M$351*M$352*M$353&gt;0,AVERAGE(M$347:M$349,M$351:M$353),""),"")</f>
        <v/>
      </c>
      <c r="N484" s="302" t="str">
        <f aca="false">IFERROR(IF(N$347*N$348*N$349*N$351*N$352*N$353&gt;0,AVERAGE(N$347:N$349,N$351:N$353),""),"")</f>
        <v/>
      </c>
      <c r="O484" s="282"/>
      <c r="P484" s="282"/>
      <c r="Q484" s="296"/>
      <c r="R484" s="293" t="s">
        <v>612</v>
      </c>
      <c r="S484" s="294" t="str">
        <f aca="false">IFERROR(IF(C$347*C$348*C$349*C$351*C$352*C$353&gt;0,STDEV(C$347:C$349,C$351:C$353),"")/IF(C$347*C$348*C$349*C$351*C$352*C$353&gt;0,AVERAGE(C$347:C$349,C$351:C$353),""),"")</f>
        <v/>
      </c>
      <c r="T484" s="294" t="str">
        <f aca="false">IFERROR(IF(D$347*D$348*D$349*D$351*D$352*D$353&gt;0,STDEV(D$347:D$349,D$351:D$353),"")/IF(D$347*D$348*D$349*D$351*D$352*D$353&gt;0,AVERAGE(D$347:D$349,D$351:D$353),""),"")</f>
        <v/>
      </c>
      <c r="U484" s="294" t="str">
        <f aca="false">IFERROR(IF(E$347*E$348*E$349*E$351*E$352*E$353&gt;0,STDEV(E$347:E$349,E$351:E$353),"")/IF(E$347*E$348*E$349*E$351*E$352*E$353&gt;0,AVERAGE(E$347:E$349,E$351:E$353),""),"")</f>
        <v/>
      </c>
      <c r="V484" s="294" t="str">
        <f aca="false">IFERROR(IF(F$347*F$348*F$349*F$351*F$352*F$353&gt;0,STDEV(F$347:F$349,F$351:F$353),"")/IF(F$347*F$348*F$349*F$351*F$352*F$353&gt;0,AVERAGE(F$347:F$349,F$351:F$353),""),"")</f>
        <v/>
      </c>
      <c r="W484" s="294" t="str">
        <f aca="false">IFERROR(IF(G$347*G$348*G$349*G$351*G$352*G$353&gt;0,STDEV(G$347:G$349,G$351:G$353),"")/IF(G$347*G$348*G$349*G$351*G$352*G$353&gt;0,AVERAGE(G$347:G$349,G$351:G$353),""),"")</f>
        <v/>
      </c>
      <c r="X484" s="294" t="str">
        <f aca="false">IFERROR(IF(H$347*H$348*H$349*H$351*H$352*H$353&gt;0,STDEV(H$347:H$349,H$351:H$353),"")/IF(H$347*H$348*H$349*H$351*H$352*H$353&gt;0,AVERAGE(H$347:H$349,H$351:H$353),""),"")</f>
        <v/>
      </c>
      <c r="Y484" s="294" t="str">
        <f aca="false">IFERROR(IF(I$347*I$348*I$349*I$351*I$352*I$353&gt;0,STDEV(I$347:I$349,I$351:I$353),"")/IF(I$347*I$348*I$349*I$351*I$352*I$353&gt;0,AVERAGE(I$347:I$349,I$351:I$353),""),"")</f>
        <v/>
      </c>
      <c r="Z484" s="294" t="str">
        <f aca="false">IFERROR(IF(J$347*J$348*J$349*J$351*J$352*J$353&gt;0,STDEV(J$347:J$349,J$351:J$353),"")/IF(J$347*J$348*J$349*J$351*J$352*J$353&gt;0,AVERAGE(J$347:J$349,J$351:J$353),""),"")</f>
        <v/>
      </c>
      <c r="AA484" s="294" t="str">
        <f aca="false">IFERROR(IF(K$347*K$348*K$349*K$351*K$352*K$353&gt;0,STDEV(K$347:K$349,K$351:K$353),"")/IF(K$347*K$348*K$349*K$351*K$352*K$353&gt;0,AVERAGE(K$347:K$349,K$351:K$353),""),"")</f>
        <v/>
      </c>
      <c r="AB484" s="294" t="str">
        <f aca="false">IFERROR(IF(L$347*L$348*L$349*L$351*L$352*L$353&gt;0,STDEV(L$347:L$349,L$351:L$353),"")/IF(L$347*L$348*L$349*L$351*L$352*L$353&gt;0,AVERAGE(L$347:L$349,L$351:L$353),""),"")</f>
        <v/>
      </c>
      <c r="AC484" s="294" t="str">
        <f aca="false">IFERROR(IF(M$347*M$348*M$349*M$351*M$352*M$353&gt;0,STDEV(M$347:M$349,M$351:M$353),"")/IF(M$347*M$348*M$349*M$351*M$352*M$353&gt;0,AVERAGE(M$347:M$349,M$351:M$353),""),"")</f>
        <v/>
      </c>
      <c r="AD484" s="294" t="str">
        <f aca="false">IFERROR(IF(N$347*N$348*N$349*N$351*N$352*N$353&gt;0,STDEV(N$347:N$349,N$351:N$353),"")/IF(N$347*N$348*N$349*N$351*N$352*N$353&gt;0,AVERAGE(N$347:N$349,N$351:N$353),""),"")</f>
        <v/>
      </c>
      <c r="AE484" s="44"/>
      <c r="AF484" s="266" t="s">
        <v>613</v>
      </c>
      <c r="AG484" s="287" t="str">
        <f aca="false">IFERROR(IF(C$347*C$348*C$349*C$351*C$352*C$353&gt;0,STDEV(C$347:C$349,C$351:C$353)," ")/IF(C$347*C$348*C$349*C$351*C$352*C$353&gt;0,SQRT(COUNT(C$347:C$349,C$351:C$353))," "),"")</f>
        <v/>
      </c>
      <c r="AH484" s="287" t="str">
        <f aca="false">IFERROR(IF(D$347*D$348*D$349*D$351*D$352*D$353&gt;0,STDEV(D$347:D$349,D$351:D$353)," ")/IF(D$347*D$348*D$349*D$351*D$352*D$353&gt;0,SQRT(COUNT(D$347:D$349,D$351:D$353))," "),"")</f>
        <v/>
      </c>
      <c r="AI484" s="287" t="str">
        <f aca="false">IFERROR(IF(E$347*E$348*E$349*E$351*E$352*E$353&gt;0,STDEV(E$347:E$349,E$351:E$353)," ")/IF(E$347*E$348*E$349*E$351*E$352*E$353&gt;0,SQRT(COUNT(E$347:E$349,E$351:E$353))," "),"")</f>
        <v/>
      </c>
      <c r="AJ484" s="287" t="str">
        <f aca="false">IFERROR(IF(F$347*F$348*F$349*F$351*F$352*F$353&gt;0,STDEV(F$347:F$349,F$351:F$353)," ")/IF(F$347*F$348*F$349*F$351*F$352*F$353&gt;0,SQRT(COUNT(F$347:F$349,F$351:F$353))," "),"")</f>
        <v/>
      </c>
      <c r="AK484" s="287" t="str">
        <f aca="false">IFERROR(IF(G$347*G$348*G$349*G$351*G$352*G$353&gt;0,STDEV(G$347:G$349,G$351:G$353)," ")/IF(G$347*G$348*G$349*G$351*G$352*G$353&gt;0,SQRT(COUNT(G$347:G$349,G$351:G$353))," "),"")</f>
        <v/>
      </c>
      <c r="AL484" s="287" t="str">
        <f aca="false">IFERROR(IF(H$347*H$348*H$349*H$351*H$352*H$353&gt;0,STDEV(H$347:H$349,H$351:H$353)," ")/IF(H$347*H$348*H$349*H$351*H$352*H$353&gt;0,SQRT(COUNT(H$347:H$349,H$351:H$353))," "),"")</f>
        <v/>
      </c>
      <c r="AM484" s="287" t="str">
        <f aca="false">IFERROR(IF(I$347*I$348*I$349*I$351*I$352*I$353&gt;0,STDEV(I$347:I$349,I$351:I$353)," ")/IF(I$347*I$348*I$349*I$351*I$352*I$353&gt;0,SQRT(COUNT(I$347:I$349,I$351:I$353))," "),"")</f>
        <v/>
      </c>
      <c r="AN484" s="287" t="str">
        <f aca="false">IFERROR(IF(J$347*J$348*J$349*J$351*J$352*J$353&gt;0,STDEV(J$347:J$349,J$351:J$353)," ")/IF(J$347*J$348*J$349*J$351*J$352*J$353&gt;0,SQRT(COUNT(J$347:J$349,J$351:J$353))," "),"")</f>
        <v/>
      </c>
      <c r="AO484" s="287" t="str">
        <f aca="false">IFERROR(IF(K$347*K$348*K$349*K$351*K$352*K$353&gt;0,STDEV(K$347:K$349,K$351:K$353)," ")/IF(K$347*K$348*K$349*K$351*K$352*K$353&gt;0,SQRT(COUNT(K$347:K$349,K$351:K$353))," "),"")</f>
        <v/>
      </c>
      <c r="AP484" s="287" t="str">
        <f aca="false">IFERROR(IF(L$347*L$348*L$349*L$351*L$352*L$353&gt;0,STDEV(L$347:L$349,L$351:L$353)," ")/IF(L$347*L$348*L$349*L$351*L$352*L$353&gt;0,SQRT(COUNT(L$347:L$349,L$351:L$353))," "),"")</f>
        <v/>
      </c>
      <c r="AQ484" s="287" t="str">
        <f aca="false">IFERROR(IF(M$347*M$348*M$349*M$351*M$352*M$353&gt;0,STDEV(M$347:M$349,M$351:M$353)," ")/IF(M$347*M$348*M$349*M$351*M$352*M$353&gt;0,SQRT(COUNT(M$347:M$349,M$351:M$353))," "),"")</f>
        <v/>
      </c>
      <c r="AR484" s="287" t="str">
        <f aca="false">IFERROR(IF(N$347*N$348*N$349*N$351*N$352*N$353&gt;0,STDEV(N$347:N$349,N$351:N$353)," ")/IF(N$347*N$348*N$349*N$351*N$352*N$353&gt;0,SQRT(COUNT(N$347:N$349,N$351:N$353))," "),"")</f>
        <v/>
      </c>
    </row>
    <row r="485" customFormat="false" ht="15.75" hidden="false" customHeight="false" outlineLevel="0" collapsed="false">
      <c r="A485" s="290" t="s">
        <v>614</v>
      </c>
      <c r="B485" s="281"/>
      <c r="C485" s="302" t="str">
        <f aca="false">IFERROR(IF(C$347*C$348*C$350*C$351*C$352*C$353&gt;0,AVERAGE(C$347:C$348, C$350:C$353),""),"")</f>
        <v/>
      </c>
      <c r="D485" s="302" t="str">
        <f aca="false">IFERROR(IF(D$347*D$348*D$350*D$351*D$352*D$353&gt;0,AVERAGE(D$347:D$348, D$350:D$353),""),"")</f>
        <v/>
      </c>
      <c r="E485" s="302" t="str">
        <f aca="false">IFERROR(IF(E$347*E$348*E$350*E$351*E$352*E$353&gt;0,AVERAGE(E$347:E$348, E$350:E$353),""),"")</f>
        <v/>
      </c>
      <c r="F485" s="302" t="str">
        <f aca="false">IFERROR(IF(F$347*F$348*F$350*F$351*F$352*F$353&gt;0,AVERAGE(F$347:F$348, F$350:F$353),""),"")</f>
        <v/>
      </c>
      <c r="G485" s="302" t="str">
        <f aca="false">IFERROR(IF(G$347*G$348*G$350*G$351*G$352*G$353&gt;0,AVERAGE(G$347:G$348, G$350:G$353),""),"")</f>
        <v/>
      </c>
      <c r="H485" s="302" t="str">
        <f aca="false">IFERROR(IF(H$347*H$348*H$350*H$351*H$352*H$353&gt;0,AVERAGE(H$347:H$348, H$350:H$353),""),"")</f>
        <v/>
      </c>
      <c r="I485" s="302" t="str">
        <f aca="false">IFERROR(IF(I$347*I$348*I$350*I$351*I$352*I$353&gt;0,AVERAGE(I$347:I$348, I$350:I$353),""),"")</f>
        <v/>
      </c>
      <c r="J485" s="302" t="str">
        <f aca="false">IFERROR(IF(J$347*J$348*J$350*J$351*J$352*J$353&gt;0,AVERAGE(J$347:J$348, J$350:J$353),""),"")</f>
        <v/>
      </c>
      <c r="K485" s="302" t="str">
        <f aca="false">IFERROR(IF(K$347*K$348*K$350*K$351*K$352*K$353&gt;0,AVERAGE(K$347:K$348, K$350:K$353),""),"")</f>
        <v/>
      </c>
      <c r="L485" s="302" t="str">
        <f aca="false">IFERROR(IF(L$347*L$348*L$350*L$351*L$352*L$353&gt;0,AVERAGE(L$347:L$348, L$350:L$353),""),"")</f>
        <v/>
      </c>
      <c r="M485" s="302" t="str">
        <f aca="false">IFERROR(IF(M$347*M$348*M$350*M$351*M$352*M$353&gt;0,AVERAGE(M$347:M$348, M$350:M$353),""),"")</f>
        <v/>
      </c>
      <c r="N485" s="302" t="str">
        <f aca="false">IFERROR(IF(N$347*N$348*N$350*N$351*N$352*N$353&gt;0,AVERAGE(N$347:N$348, N$350:N$353),""),"")</f>
        <v/>
      </c>
      <c r="O485" s="282"/>
      <c r="P485" s="282"/>
      <c r="Q485" s="296"/>
      <c r="R485" s="293" t="s">
        <v>615</v>
      </c>
      <c r="S485" s="294" t="str">
        <f aca="false">IFERROR(IF(C$347*C$348*C$350*C$351*C$352*C$353&gt;0,STDEV(C$347:C$348, C$350:C$353),"")/IF(C$347*C$348*C$350*C$351*C$352*C$353&gt;0,AVERAGE(C$347:C$348, C$350:C$353),""),"")</f>
        <v/>
      </c>
      <c r="T485" s="294" t="str">
        <f aca="false">IFERROR(IF(D$347*D$348*D$350*D$351*D$352*D$353&gt;0,STDEV(D$347:D$348, D$350:D$353),"")/IF(D$347*D$348*D$350*D$351*D$352*D$353&gt;0,AVERAGE(D$347:D$348, D$350:D$353),""),"")</f>
        <v/>
      </c>
      <c r="U485" s="294" t="str">
        <f aca="false">IFERROR(IF(E$347*E$348*E$350*E$351*E$352*E$353&gt;0,STDEV(E$347:E$348, E$350:E$353),"")/IF(E$347*E$348*E$350*E$351*E$352*E$353&gt;0,AVERAGE(E$347:E$348, E$350:E$353),""),"")</f>
        <v/>
      </c>
      <c r="V485" s="294" t="str">
        <f aca="false">IFERROR(IF(F$347*F$348*F$350*F$351*F$352*F$353&gt;0,STDEV(F$347:F$348, F$350:F$353),"")/IF(F$347*F$348*F$350*F$351*F$352*F$353&gt;0,AVERAGE(F$347:F$348, F$350:F$353),""),"")</f>
        <v/>
      </c>
      <c r="W485" s="294" t="str">
        <f aca="false">IFERROR(IF(G$347*G$348*G$350*G$351*G$352*G$353&gt;0,STDEV(G$347:G$348, G$350:G$353),"")/IF(G$347*G$348*G$350*G$351*G$352*G$353&gt;0,AVERAGE(G$347:G$348, G$350:G$353),""),"")</f>
        <v/>
      </c>
      <c r="X485" s="294" t="str">
        <f aca="false">IFERROR(IF(H$347*H$348*H$350*H$351*H$352*H$353&gt;0,STDEV(H$347:H$348, H$350:H$353),"")/IF(H$347*H$348*H$350*H$351*H$352*H$353&gt;0,AVERAGE(H$347:H$348, H$350:H$353),""),"")</f>
        <v/>
      </c>
      <c r="Y485" s="294" t="str">
        <f aca="false">IFERROR(IF(I$347*I$348*I$350*I$351*I$352*I$353&gt;0,STDEV(I$347:I$348, I$350:I$353),"")/IF(I$347*I$348*I$350*I$351*I$352*I$353&gt;0,AVERAGE(I$347:I$348, I$350:I$353),""),"")</f>
        <v/>
      </c>
      <c r="Z485" s="294" t="str">
        <f aca="false">IFERROR(IF(J$347*J$348*J$350*J$351*J$352*J$353&gt;0,STDEV(J$347:J$348, J$350:J$353),"")/IF(J$347*J$348*J$350*J$351*J$352*J$353&gt;0,AVERAGE(J$347:J$348, J$350:J$353),""),"")</f>
        <v/>
      </c>
      <c r="AA485" s="294" t="str">
        <f aca="false">IFERROR(IF(K$347*K$348*K$350*K$351*K$352*K$353&gt;0,STDEV(K$347:K$348, K$350:K$353),"")/IF(K$347*K$348*K$350*K$351*K$352*K$353&gt;0,AVERAGE(K$347:K$348, K$350:K$353),""),"")</f>
        <v/>
      </c>
      <c r="AB485" s="294" t="str">
        <f aca="false">IFERROR(IF(L$347*L$348*L$350*L$351*L$352*L$353&gt;0,STDEV(L$347:L$348, L$350:L$353),"")/IF(L$347*L$348*L$350*L$351*L$352*L$353&gt;0,AVERAGE(L$347:L$348, L$350:L$353),""),"")</f>
        <v/>
      </c>
      <c r="AC485" s="294" t="str">
        <f aca="false">IFERROR(IF(M$347*M$348*M$350*M$351*M$352*M$353&gt;0,STDEV(M$347:M$348, M$350:M$353),"")/IF(M$347*M$348*M$350*M$351*M$352*M$353&gt;0,AVERAGE(M$347:M$348, M$350:M$353),""),"")</f>
        <v/>
      </c>
      <c r="AD485" s="294" t="str">
        <f aca="false">IFERROR(IF(N$347*N$348*N$350*N$351*N$352*N$353&gt;0,STDEV(N$347:N$348, N$350:N$353),"")/IF(N$347*N$348*N$350*N$351*N$352*N$353&gt;0,AVERAGE(N$347:N$348, N$350:N$353),""),"")</f>
        <v/>
      </c>
      <c r="AE485" s="44"/>
      <c r="AF485" s="266" t="s">
        <v>616</v>
      </c>
      <c r="AG485" s="287" t="str">
        <f aca="false">IFERROR(IF(C$347*C$348*C$350*C$351*C$352*C$353&gt;0,STDEV(C$347:C$348, C$350:C$353)," ")/IF(C$347*C$348*C$350*C$351*C$352*C$353&gt;0,SQRT(COUNT(C$347:C$348, C$350:C$353))," "),"")</f>
        <v/>
      </c>
      <c r="AH485" s="287" t="str">
        <f aca="false">IFERROR(IF(D$347*D$348*D$350*D$351*D$352*D$353&gt;0,STDEV(D$347:D$348, D$350:D$353)," ")/IF(D$347*D$348*D$350*D$351*D$352*D$353&gt;0,SQRT(COUNT(D$347:D$348, D$350:D$353))," "),"")</f>
        <v/>
      </c>
      <c r="AI485" s="287" t="str">
        <f aca="false">IFERROR(IF(E$347*E$348*E$350*E$351*E$352*E$353&gt;0,STDEV(E$347:E$348, E$350:E$353)," ")/IF(E$347*E$348*E$350*E$351*E$352*E$353&gt;0,SQRT(COUNT(E$347:E$348, E$350:E$353))," "),"")</f>
        <v/>
      </c>
      <c r="AJ485" s="287" t="str">
        <f aca="false">IFERROR(IF(F$347*F$348*F$350*F$351*F$352*F$353&gt;0,STDEV(F$347:F$348, F$350:F$353)," ")/IF(F$347*F$348*F$350*F$351*F$352*F$353&gt;0,SQRT(COUNT(F$347:F$348, F$350:F$353))," "),"")</f>
        <v/>
      </c>
      <c r="AK485" s="287" t="str">
        <f aca="false">IFERROR(IF(G$347*G$348*G$350*G$351*G$352*G$353&gt;0,STDEV(G$347:G$348, G$350:G$353)," ")/IF(G$347*G$348*G$350*G$351*G$352*G$353&gt;0,SQRT(COUNT(G$347:G$348, G$350:G$353))," "),"")</f>
        <v/>
      </c>
      <c r="AL485" s="287" t="str">
        <f aca="false">IFERROR(IF(H$347*H$348*H$350*H$351*H$352*H$353&gt;0,STDEV(H$347:H$348, H$350:H$353)," ")/IF(H$347*H$348*H$350*H$351*H$352*H$353&gt;0,SQRT(COUNT(H$347:H$348, H$350:H$353))," "),"")</f>
        <v/>
      </c>
      <c r="AM485" s="287" t="str">
        <f aca="false">IFERROR(IF(I$347*I$348*I$350*I$351*I$352*I$353&gt;0,STDEV(I$347:I$348, I$350:I$353)," ")/IF(I$347*I$348*I$350*I$351*I$352*I$353&gt;0,SQRT(COUNT(I$347:I$348, I$350:I$353))," "),"")</f>
        <v/>
      </c>
      <c r="AN485" s="287" t="str">
        <f aca="false">IFERROR(IF(J$347*J$348*J$350*J$351*J$352*J$353&gt;0,STDEV(J$347:J$348, J$350:J$353)," ")/IF(J$347*J$348*J$350*J$351*J$352*J$353&gt;0,SQRT(COUNT(J$347:J$348, J$350:J$353))," "),"")</f>
        <v/>
      </c>
      <c r="AO485" s="287" t="str">
        <f aca="false">IFERROR(IF(K$347*K$348*K$350*K$351*K$352*K$353&gt;0,STDEV(K$347:K$348, K$350:K$353)," ")/IF(K$347*K$348*K$350*K$351*K$352*K$353&gt;0,SQRT(COUNT(K$347:K$348, K$350:K$353))," "),"")</f>
        <v/>
      </c>
      <c r="AP485" s="287" t="str">
        <f aca="false">IFERROR(IF(L$347*L$348*L$350*L$351*L$352*L$353&gt;0,STDEV(L$347:L$348, L$350:L$353)," ")/IF(L$347*L$348*L$350*L$351*L$352*L$353&gt;0,SQRT(COUNT(L$347:L$348, L$350:L$353))," "),"")</f>
        <v/>
      </c>
      <c r="AQ485" s="287" t="str">
        <f aca="false">IFERROR(IF(M$347*M$348*M$350*M$351*M$352*M$353&gt;0,STDEV(M$347:M$348, M$350:M$353)," ")/IF(M$347*M$348*M$350*M$351*M$352*M$353&gt;0,SQRT(COUNT(M$347:M$348, M$350:M$353))," "),"")</f>
        <v/>
      </c>
      <c r="AR485" s="287" t="str">
        <f aca="false">IFERROR(IF(N$347*N$348*N$350*N$351*N$352*N$353&gt;0,STDEV(N$347:N$348, N$350:N$353)," ")/IF(N$347*N$348*N$350*N$351*N$352*N$353&gt;0,SQRT(COUNT(N$347:N$348, N$350:N$353))," "),"")</f>
        <v/>
      </c>
    </row>
    <row r="486" customFormat="false" ht="15.75" hidden="false" customHeight="false" outlineLevel="0" collapsed="false">
      <c r="A486" s="242" t="s">
        <v>617</v>
      </c>
      <c r="B486" s="243"/>
      <c r="C486" s="262" t="str">
        <f aca="false">IFERROR(IF(C$347*C$349*C$350*C$351*C$352*C$353&gt;0,AVERAGE(C$347, C$349:C$353),""),"")</f>
        <v/>
      </c>
      <c r="D486" s="262" t="str">
        <f aca="false">IFERROR(IF(D$347*D$349*D$350*D$351*D$352*D$353&gt;0,AVERAGE(D$347, D$349:D$353),""),"")</f>
        <v/>
      </c>
      <c r="E486" s="262" t="str">
        <f aca="false">IFERROR(IF(E$347*E$349*E$350*E$351*E$352*E$353&gt;0,AVERAGE(E$347, E$349:E$353),""),"")</f>
        <v/>
      </c>
      <c r="F486" s="262" t="str">
        <f aca="false">IFERROR(IF(F$347*F$349*F$350*F$351*F$352*F$353&gt;0,AVERAGE(F$347, F$349:F$353),""),"")</f>
        <v/>
      </c>
      <c r="G486" s="262" t="str">
        <f aca="false">IFERROR(IF(G$347*G$349*G$350*G$351*G$352*G$353&gt;0,AVERAGE(G$347, G$349:G$353),""),"")</f>
        <v/>
      </c>
      <c r="H486" s="262" t="str">
        <f aca="false">IFERROR(IF(H$347*H$349*H$350*H$351*H$352*H$353&gt;0,AVERAGE(H$347, H$349:H$353),""),"")</f>
        <v/>
      </c>
      <c r="I486" s="262" t="str">
        <f aca="false">IFERROR(IF(I$347*I$349*I$350*I$351*I$352*I$353&gt;0,AVERAGE(I$347, I$349:I$353),""),"")</f>
        <v/>
      </c>
      <c r="J486" s="262" t="str">
        <f aca="false">IFERROR(IF(J$347*J$349*J$350*J$351*J$352*J$353&gt;0,AVERAGE(J$347, J$349:J$353),""),"")</f>
        <v/>
      </c>
      <c r="K486" s="262" t="str">
        <f aca="false">IFERROR(IF(K$347*K$349*K$350*K$351*K$352*K$353&gt;0,AVERAGE(K$347, K$349:K$353),""),"")</f>
        <v/>
      </c>
      <c r="L486" s="262" t="str">
        <f aca="false">IFERROR(IF(L$347*L$349*L$350*L$351*L$352*L$353&gt;0,AVERAGE(L$347, L$349:L$353),""),"")</f>
        <v/>
      </c>
      <c r="M486" s="262" t="str">
        <f aca="false">IFERROR(IF(M$347*M$349*M$350*M$351*M$352*M$353&gt;0,AVERAGE(M$347, M$349:M$353),""),"")</f>
        <v/>
      </c>
      <c r="N486" s="262" t="str">
        <f aca="false">IFERROR(IF(N$347*N$349*N$350*N$351*N$352*N$353&gt;0,AVERAGE(N$347, N$349:N$353),""),"")</f>
        <v/>
      </c>
      <c r="O486" s="245"/>
      <c r="P486" s="245"/>
      <c r="Q486" s="246"/>
      <c r="R486" s="247" t="s">
        <v>618</v>
      </c>
      <c r="S486" s="248" t="str">
        <f aca="false">IFERROR(IF(C$347*C$349*C$350*C$351*C$352*C$353&gt;0,STDEV(C$347, C$349:C$353),"")/IF(C$347*C$349*C$350*C$351*C$352*C$353&gt;0,AVERAGE(C$347, C$349:C$353),""),"")</f>
        <v/>
      </c>
      <c r="T486" s="248" t="str">
        <f aca="false">IFERROR(IF(D$347*D$349*D$350*D$351*D$352*D$353&gt;0,STDEV(D$347, D$349:D$353),"")/IF(D$347*D$349*D$350*D$351*D$352*D$353&gt;0,AVERAGE(D$347, D$349:D$353),""),"")</f>
        <v/>
      </c>
      <c r="U486" s="248" t="str">
        <f aca="false">IFERROR(IF(E$347*E$349*E$350*E$351*E$352*E$353&gt;0,STDEV(E$347, E$349:E$353),"")/IF(E$347*E$349*E$350*E$351*E$352*E$353&gt;0,AVERAGE(E$347, E$349:E$353),""),"")</f>
        <v/>
      </c>
      <c r="V486" s="248" t="str">
        <f aca="false">IFERROR(IF(F$347*F$349*F$350*F$351*F$352*F$353&gt;0,STDEV(F$347, F$349:F$353),"")/IF(F$347*F$349*F$350*F$351*F$352*F$353&gt;0,AVERAGE(F$347, F$349:F$353),""),"")</f>
        <v/>
      </c>
      <c r="W486" s="248" t="str">
        <f aca="false">IFERROR(IF(G$347*G$349*G$350*G$351*G$352*G$353&gt;0,STDEV(G$347, G$349:G$353),"")/IF(G$347*G$349*G$350*G$351*G$352*G$353&gt;0,AVERAGE(G$347, G$349:G$353),""),"")</f>
        <v/>
      </c>
      <c r="X486" s="248" t="str">
        <f aca="false">IFERROR(IF(H$347*H$349*H$350*H$351*H$352*H$353&gt;0,STDEV(H$347, H$349:H$353),"")/IF(H$347*H$349*H$350*H$351*H$352*H$353&gt;0,AVERAGE(H$347, H$349:H$353),""),"")</f>
        <v/>
      </c>
      <c r="Y486" s="248" t="str">
        <f aca="false">IFERROR(IF(I$347*I$349*I$350*I$351*I$352*I$353&gt;0,STDEV(I$347, I$349:I$353),"")/IF(I$347*I$349*I$350*I$351*I$352*I$353&gt;0,AVERAGE(I$347, I$349:I$353),""),"")</f>
        <v/>
      </c>
      <c r="Z486" s="248" t="str">
        <f aca="false">IFERROR(IF(J$347*J$349*J$350*J$351*J$352*J$353&gt;0,STDEV(J$347, J$349:J$353),"")/IF(J$347*J$349*J$350*J$351*J$352*J$353&gt;0,AVERAGE(J$347, J$349:J$353),""),"")</f>
        <v/>
      </c>
      <c r="AA486" s="248" t="str">
        <f aca="false">IFERROR(IF(K$347*K$349*K$350*K$351*K$352*K$353&gt;0,STDEV(K$347, K$349:K$353),"")/IF(K$347*K$349*K$350*K$351*K$352*K$353&gt;0,AVERAGE(K$347, K$349:K$353),""),"")</f>
        <v/>
      </c>
      <c r="AB486" s="248" t="str">
        <f aca="false">IFERROR(IF(L$347*L$349*L$350*L$351*L$352*L$353&gt;0,STDEV(L$347, L$349:L$353),"")/IF(L$347*L$349*L$350*L$351*L$352*L$353&gt;0,AVERAGE(L$347, L$349:L$353),""),"")</f>
        <v/>
      </c>
      <c r="AC486" s="248" t="str">
        <f aca="false">IFERROR(IF(M$347*M$349*M$350*M$351*M$352*M$353&gt;0,STDEV(M$347, M$349:M$353),"")/IF(M$347*M$349*M$350*M$351*M$352*M$353&gt;0,AVERAGE(M$347, M$349:M$353),""),"")</f>
        <v/>
      </c>
      <c r="AD486" s="248" t="str">
        <f aca="false">IFERROR(IF(N$347*N$349*N$350*N$351*N$352*N$353&gt;0,STDEV(N$347, N$349:N$353),"")/IF(N$347*N$349*N$350*N$351*N$352*N$353&gt;0,AVERAGE(N$347, N$349:N$353),""),"")</f>
        <v/>
      </c>
      <c r="AE486" s="300"/>
      <c r="AF486" s="250" t="s">
        <v>619</v>
      </c>
      <c r="AG486" s="251" t="str">
        <f aca="false">IFERROR(IF(C$347*C$349*C$350*C$351*C$352*C$353&gt;0,STDEV(C$347, C$349:C$353)," ")/IF(C$347*C$349*C$350*C$351*C$352*C$353&gt;0,SQRT(COUNT(C$347, C$349:C$353))," "),"")</f>
        <v/>
      </c>
      <c r="AH486" s="251" t="str">
        <f aca="false">IFERROR(IF(D$347*D$349*D$350*D$351*D$352*D$353&gt;0,STDEV(D$347, D$349:D$353)," ")/IF(D$347*D$349*D$350*D$351*D$352*D$353&gt;0,SQRT(COUNT(D$347, D$349:D$353))," "),"")</f>
        <v/>
      </c>
      <c r="AI486" s="251" t="str">
        <f aca="false">IFERROR(IF(E$347*E$349*E$350*E$351*E$352*E$353&gt;0,STDEV(E$347, E$349:E$353)," ")/IF(E$347*E$349*E$350*E$351*E$352*E$353&gt;0,SQRT(COUNT(E$347, E$349:E$353))," "),"")</f>
        <v/>
      </c>
      <c r="AJ486" s="251" t="str">
        <f aca="false">IFERROR(IF(F$347*F$349*F$350*F$351*F$352*F$353&gt;0,STDEV(F$347, F$349:F$353)," ")/IF(F$347*F$349*F$350*F$351*F$352*F$353&gt;0,SQRT(COUNT(F$347, F$349:F$353))," "),"")</f>
        <v/>
      </c>
      <c r="AK486" s="251" t="str">
        <f aca="false">IFERROR(IF(G$347*G$349*G$350*G$351*G$352*G$353&gt;0,STDEV(G$347, G$349:G$353)," ")/IF(G$347*G$349*G$350*G$351*G$352*G$353&gt;0,SQRT(COUNT(G$347, G$349:G$353))," "),"")</f>
        <v/>
      </c>
      <c r="AL486" s="251" t="str">
        <f aca="false">IFERROR(IF(H$347*H$349*H$350*H$351*H$352*H$353&gt;0,STDEV(H$347, H$349:H$353)," ")/IF(H$347*H$349*H$350*H$351*H$352*H$353&gt;0,SQRT(COUNT(H$347, H$349:H$353))," "),"")</f>
        <v/>
      </c>
      <c r="AM486" s="251" t="str">
        <f aca="false">IFERROR(IF(I$347*I$349*I$350*I$351*I$352*I$353&gt;0,STDEV(I$347, I$349:I$353)," ")/IF(I$347*I$349*I$350*I$351*I$352*I$353&gt;0,SQRT(COUNT(I$347, I$349:I$353))," "),"")</f>
        <v/>
      </c>
      <c r="AN486" s="251" t="str">
        <f aca="false">IFERROR(IF(J$347*J$349*J$350*J$351*J$352*J$353&gt;0,STDEV(J$347, J$349:J$353)," ")/IF(J$347*J$349*J$350*J$351*J$352*J$353&gt;0,SQRT(COUNT(J$347, J$349:J$353))," "),"")</f>
        <v/>
      </c>
      <c r="AO486" s="251" t="str">
        <f aca="false">IFERROR(IF(K$347*K$349*K$350*K$351*K$352*K$353&gt;0,STDEV(K$347, K$349:K$353)," ")/IF(K$347*K$349*K$350*K$351*K$352*K$353&gt;0,SQRT(COUNT(K$347, K$349:K$353))," "),"")</f>
        <v/>
      </c>
      <c r="AP486" s="251" t="str">
        <f aca="false">IFERROR(IF(L$347*L$349*L$350*L$351*L$352*L$353&gt;0,STDEV(L$347, L$349:L$353)," ")/IF(L$347*L$349*L$350*L$351*L$352*L$353&gt;0,SQRT(COUNT(L$347, L$349:L$353))," "),"")</f>
        <v/>
      </c>
      <c r="AQ486" s="251" t="str">
        <f aca="false">IFERROR(IF(M$347*M$349*M$350*M$351*M$352*M$353&gt;0,STDEV(M$347, M$349:M$353)," ")/IF(M$347*M$349*M$350*M$351*M$352*M$353&gt;0,SQRT(COUNT(M$347, M$349:M$353))," "),"")</f>
        <v/>
      </c>
      <c r="AR486" s="251" t="str">
        <f aca="false">IFERROR(IF(N$347*N$349*N$350*N$351*N$352*N$353&gt;0,STDEV(N$347, N$349:N$353)," ")/IF(N$347*N$349*N$350*N$351*N$352*N$353&gt;0,SQRT(COUNT(N$347, N$349:N$353))," "),"")</f>
        <v/>
      </c>
    </row>
    <row r="487" customFormat="false" ht="15.75" hidden="false" customHeight="false" outlineLevel="0" collapsed="false">
      <c r="A487" s="290" t="s">
        <v>620</v>
      </c>
      <c r="B487" s="281"/>
      <c r="C487" s="302" t="str">
        <f aca="false">IFERROR(IF(C$348*C$349*C$350*C$351*C$352*C$353&gt;0,AVERAGE(C$348:C$353),""),"")</f>
        <v/>
      </c>
      <c r="D487" s="302" t="str">
        <f aca="false">IFERROR(IF(D$348*D$349*D$350*D$351*D$352*D$353&gt;0,AVERAGE(D$348:D$353),""),"")</f>
        <v/>
      </c>
      <c r="E487" s="302" t="str">
        <f aca="false">IFERROR(IF(E$348*E$349*E$350*E$351*E$352*E$353&gt;0,AVERAGE(E$348:E$353),""),"")</f>
        <v/>
      </c>
      <c r="F487" s="302" t="str">
        <f aca="false">IFERROR(IF(F$348*F$349*F$350*F$351*F$352*F$353&gt;0,AVERAGE(F$348:F$353),""),"")</f>
        <v/>
      </c>
      <c r="G487" s="302" t="str">
        <f aca="false">IFERROR(IF(G$348*G$349*G$350*G$351*G$352*G$353&gt;0,AVERAGE(G$348:G$353),""),"")</f>
        <v/>
      </c>
      <c r="H487" s="302" t="str">
        <f aca="false">IFERROR(IF(H$348*H$349*H$350*H$351*H$352*H$353&gt;0,AVERAGE(H$348:H$353),""),"")</f>
        <v/>
      </c>
      <c r="I487" s="302" t="str">
        <f aca="false">IFERROR(IF(I$348*I$349*I$350*I$351*I$352*I$353&gt;0,AVERAGE(I$348:I$353),""),"")</f>
        <v/>
      </c>
      <c r="J487" s="302" t="str">
        <f aca="false">IFERROR(IF(J$348*J$349*J$350*J$351*J$352*J$353&gt;0,AVERAGE(J$348:J$353),""),"")</f>
        <v/>
      </c>
      <c r="K487" s="302" t="str">
        <f aca="false">IFERROR(IF(K$348*K$349*K$350*K$351*K$352*K$353&gt;0,AVERAGE(K$348:K$353),""),"")</f>
        <v/>
      </c>
      <c r="L487" s="302" t="str">
        <f aca="false">IFERROR(IF(L$348*L$349*L$350*L$351*L$352*L$353&gt;0,AVERAGE(L$348:L$353),""),"")</f>
        <v/>
      </c>
      <c r="M487" s="302" t="str">
        <f aca="false">IFERROR(IF(M$348*M$349*M$350*M$351*M$352*M$353&gt;0,AVERAGE(M$348:M$353),""),"")</f>
        <v/>
      </c>
      <c r="N487" s="302" t="str">
        <f aca="false">IFERROR(IF(N$348*N$349*N$350*N$351*N$352*N$353&gt;0,AVERAGE(N$348:N$353),""),"")</f>
        <v/>
      </c>
      <c r="O487" s="147"/>
      <c r="P487" s="282"/>
      <c r="Q487" s="283"/>
      <c r="R487" s="293" t="s">
        <v>621</v>
      </c>
      <c r="S487" s="294" t="str">
        <f aca="false">IFERROR(IF(C$348*C$349*C$350*C$351*C$352*C$353&gt;0,STDEV(C$348:C$353),"")/IF(C$348*C$349*C$350*C$351*C$352*C$353&gt;0,AVERAGE(C$348:C$353),""),"")</f>
        <v/>
      </c>
      <c r="T487" s="294" t="str">
        <f aca="false">IFERROR(IF(D$348*D$349*D$350*D$351*D$352*D$353&gt;0,STDEV(D$348:D$353),"")/IF(D$348*D$349*D$350*D$351*D$352*D$353&gt;0,AVERAGE(D$348:D$353),""),"")</f>
        <v/>
      </c>
      <c r="U487" s="294" t="str">
        <f aca="false">IFERROR(IF(E$348*E$349*E$350*E$351*E$352*E$353&gt;0,STDEV(E$348:E$353),"")/IF(E$348*E$349*E$350*E$351*E$352*E$353&gt;0,AVERAGE(E$348:E$353),""),"")</f>
        <v/>
      </c>
      <c r="V487" s="294" t="str">
        <f aca="false">IFERROR(IF(F$348*F$349*F$350*F$351*F$352*F$353&gt;0,STDEV(F$348:F$353),"")/IF(F$348*F$349*F$350*F$351*F$352*F$353&gt;0,AVERAGE(F$348:F$353),""),"")</f>
        <v/>
      </c>
      <c r="W487" s="294" t="str">
        <f aca="false">IFERROR(IF(G$348*G$349*G$350*G$351*G$352*G$353&gt;0,STDEV(G$348:G$353),"")/IF(G$348*G$349*G$350*G$351*G$352*G$353&gt;0,AVERAGE(G$348:G$353),""),"")</f>
        <v/>
      </c>
      <c r="X487" s="294" t="str">
        <f aca="false">IFERROR(IF(H$348*H$349*H$350*H$351*H$352*H$353&gt;0,STDEV(H$348:H$353),"")/IF(H$348*H$349*H$350*H$351*H$352*H$353&gt;0,AVERAGE(H$348:H$353),""),"")</f>
        <v/>
      </c>
      <c r="Y487" s="294" t="str">
        <f aca="false">IFERROR(IF(I$348*I$349*I$350*I$351*I$352*I$353&gt;0,STDEV(I$348:I$353),"")/IF(I$348*I$349*I$350*I$351*I$352*I$353&gt;0,AVERAGE(I$348:I$353),""),"")</f>
        <v/>
      </c>
      <c r="Z487" s="294" t="str">
        <f aca="false">IFERROR(IF(J$348*J$349*J$350*J$351*J$352*J$353&gt;0,STDEV(J$348:J$353),"")/IF(J$348*J$349*J$350*J$351*J$352*J$353&gt;0,AVERAGE(J$348:J$353),""),"")</f>
        <v/>
      </c>
      <c r="AA487" s="294" t="str">
        <f aca="false">IFERROR(IF(K$348*K$349*K$350*K$351*K$352*K$353&gt;0,STDEV(K$348:K$353),"")/IF(K$348*K$349*K$350*K$351*K$352*K$353&gt;0,AVERAGE(K$348:K$353),""),"")</f>
        <v/>
      </c>
      <c r="AB487" s="294" t="str">
        <f aca="false">IFERROR(IF(L$348*L$349*L$350*L$351*L$352*L$353&gt;0,STDEV(L$348:L$353),"")/IF(L$348*L$349*L$350*L$351*L$352*L$353&gt;0,AVERAGE(L$348:L$353),""),"")</f>
        <v/>
      </c>
      <c r="AC487" s="294" t="str">
        <f aca="false">IFERROR(IF(M$348*M$349*M$350*M$351*M$352*M$353&gt;0,STDEV(M$348:M$353),"")/IF(M$348*M$349*M$350*M$351*M$352*M$353&gt;0,AVERAGE(M$348:M$353),""),"")</f>
        <v/>
      </c>
      <c r="AD487" s="294" t="str">
        <f aca="false">IFERROR(IF(N$348*N$349*N$350*N$351*N$352*N$353&gt;0,STDEV(N$348:N$353),"")/IF(N$348*N$349*N$350*N$351*N$352*N$353&gt;0,AVERAGE(N$348:N$353),""),"")</f>
        <v/>
      </c>
      <c r="AE487" s="44"/>
      <c r="AF487" s="266" t="s">
        <v>622</v>
      </c>
      <c r="AG487" s="287" t="str">
        <f aca="false">IFERROR(IF(C$348*C$349*C$350*C$351*C$352*C$353&gt;0,STDEV(C$348:C$353)," ")/IF(C$348*C$349*C$350*C$351*C$352*C$353&gt;0,SQRT(COUNT(C$348:C$353))," "),"")</f>
        <v/>
      </c>
      <c r="AH487" s="287" t="str">
        <f aca="false">IFERROR(IF(D$348*D$349*D$350*D$351*D$352*D$353&gt;0,STDEV(D$348:D$353)," ")/IF(D$348*D$349*D$350*D$351*D$352*D$353&gt;0,SQRT(COUNT(D$348:D$353))," "),"")</f>
        <v/>
      </c>
      <c r="AI487" s="287" t="str">
        <f aca="false">IFERROR(IF(E$348*E$349*E$350*E$351*E$352*E$353&gt;0,STDEV(E$348:E$353)," ")/IF(E$348*E$349*E$350*E$351*E$352*E$353&gt;0,SQRT(COUNT(E$348:E$353))," "),"")</f>
        <v/>
      </c>
      <c r="AJ487" s="287" t="str">
        <f aca="false">IFERROR(IF(F$348*F$349*F$350*F$351*F$352*F$353&gt;0,STDEV(F$348:F$353)," ")/IF(F$348*F$349*F$350*F$351*F$352*F$353&gt;0,SQRT(COUNT(F$348:F$353))," "),"")</f>
        <v/>
      </c>
      <c r="AK487" s="287" t="str">
        <f aca="false">IFERROR(IF(G$348*G$349*G$350*G$351*G$352*G$353&gt;0,STDEV(G$348:G$353)," ")/IF(G$348*G$349*G$350*G$351*G$352*G$353&gt;0,SQRT(COUNT(G$348:G$353))," "),"")</f>
        <v/>
      </c>
      <c r="AL487" s="287" t="str">
        <f aca="false">IFERROR(IF(H$348*H$349*H$350*H$351*H$352*H$353&gt;0,STDEV(H$348:H$353)," ")/IF(H$348*H$349*H$350*H$351*H$352*H$353&gt;0,SQRT(COUNT(H$348:H$353))," "),"")</f>
        <v/>
      </c>
      <c r="AM487" s="287" t="str">
        <f aca="false">IFERROR(IF(I$348*I$349*I$350*I$351*I$352*I$353&gt;0,STDEV(I$348:I$353)," ")/IF(I$348*I$349*I$350*I$351*I$352*I$353&gt;0,SQRT(COUNT(I$348:I$353))," "),"")</f>
        <v/>
      </c>
      <c r="AN487" s="287" t="str">
        <f aca="false">IFERROR(IF(J$348*J$349*J$350*J$351*J$352*J$353&gt;0,STDEV(J$348:J$353)," ")/IF(J$348*J$349*J$350*J$351*J$352*J$353&gt;0,SQRT(COUNT(J$348:J$353))," "),"")</f>
        <v/>
      </c>
      <c r="AO487" s="287" t="str">
        <f aca="false">IFERROR(IF(K$348*K$349*K$350*K$351*K$352*K$353&gt;0,STDEV(K$348:K$353)," ")/IF(K$348*K$349*K$350*K$351*K$352*K$353&gt;0,SQRT(COUNT(K$348:K$353))," "),"")</f>
        <v/>
      </c>
      <c r="AP487" s="287" t="str">
        <f aca="false">IFERROR(IF(L$348*L$349*L$350*L$351*L$352*L$353&gt;0,STDEV(L$348:L$353)," ")/IF(L$348*L$349*L$350*L$351*L$352*L$353&gt;0,SQRT(COUNT(L$348:L$353))," "),"")</f>
        <v/>
      </c>
      <c r="AQ487" s="287" t="str">
        <f aca="false">IFERROR(IF(M$348*M$349*M$350*M$351*M$352*M$353&gt;0,STDEV(M$348:M$353)," ")/IF(M$348*M$349*M$350*M$351*M$352*M$353&gt;0,SQRT(COUNT(M$348:M$353))," "),"")</f>
        <v/>
      </c>
      <c r="AR487" s="287" t="str">
        <f aca="false">IFERROR(IF(N$348*N$349*N$350*N$351*N$352*N$353&gt;0,STDEV(N$348:N$353)," ")/IF(N$348*N$349*N$350*N$351*N$352*N$353&gt;0,SQRT(COUNT(N$348:N$353))," "),"")</f>
        <v/>
      </c>
    </row>
    <row r="488" customFormat="false" ht="15.75" hidden="false" customHeight="false" outlineLevel="0" collapsed="false">
      <c r="A488" s="123" t="s">
        <v>623</v>
      </c>
      <c r="B488" s="281"/>
      <c r="C488" s="125" t="str">
        <f aca="false">IFERROR(IF(C$347*C$348*C$349*C$350*C$351*C$352*C$353&gt;0,AVERAGE(C$347:C$353),""),"")</f>
        <v/>
      </c>
      <c r="D488" s="125" t="str">
        <f aca="false">IFERROR(IF(D$347*D$348*D$349*D$350*D$351*D$352*D$353&gt;0,AVERAGE(D$347:D$353),""),"")</f>
        <v/>
      </c>
      <c r="E488" s="125" t="str">
        <f aca="false">IFERROR(IF(E$347*E$348*E$349*E$350*E$351*E$352*E$353&gt;0,AVERAGE(E$347:E$353),""),"")</f>
        <v/>
      </c>
      <c r="F488" s="125" t="str">
        <f aca="false">IFERROR(IF(F$347*F$348*F$349*F$350*F$351*F$352*F$353&gt;0,AVERAGE(F$347:F$353),""),"")</f>
        <v/>
      </c>
      <c r="G488" s="125" t="str">
        <f aca="false">IFERROR(IF(G$347*G$348*G$349*G$350*G$351*G$352*G$353&gt;0,AVERAGE(G$347:G$353),""),"")</f>
        <v/>
      </c>
      <c r="H488" s="125" t="str">
        <f aca="false">IFERROR(IF(H$347*H$348*H$349*H$350*H$351*H$352*H$353&gt;0,AVERAGE(H$347:H$353),""),"")</f>
        <v/>
      </c>
      <c r="I488" s="125" t="str">
        <f aca="false">IFERROR(IF(I$347*I$348*I$349*I$350*I$351*I$352*I$353&gt;0,AVERAGE(I$347:I$353),""),"")</f>
        <v/>
      </c>
      <c r="J488" s="125" t="str">
        <f aca="false">IFERROR(IF(J$347*J$348*J$349*J$350*J$351*J$352*J$353&gt;0,AVERAGE(J$347:J$353),""),"")</f>
        <v/>
      </c>
      <c r="K488" s="125" t="str">
        <f aca="false">IFERROR(IF(K$347*K$348*K$349*K$350*K$351*K$352*K$353&gt;0,AVERAGE(K$347:K$353),""),"")</f>
        <v/>
      </c>
      <c r="L488" s="125" t="str">
        <f aca="false">IFERROR(IF(L$347*L$348*L$349*L$350*L$351*L$352*L$353&gt;0,AVERAGE(L$347:L$353),""),"")</f>
        <v/>
      </c>
      <c r="M488" s="125" t="str">
        <f aca="false">IFERROR(IF(M$347*M$348*M$349*M$350*M$351*M$352*M$353&gt;0,AVERAGE(M$347:M$353),""),"")</f>
        <v/>
      </c>
      <c r="N488" s="125" t="str">
        <f aca="false">IFERROR(IF(N$347*N$348*N$349*N$350*N$351*N$352*N$353&gt;0,AVERAGE(N$347:N$353),""),"")</f>
        <v/>
      </c>
      <c r="O488" s="147" t="n">
        <v>7</v>
      </c>
      <c r="P488" s="282" t="n">
        <f aca="false">COMBIN(7,7)</f>
        <v>1</v>
      </c>
      <c r="Q488" s="283" t="n">
        <f aca="false">ROW(N488)-ROW(N488)+1</f>
        <v>1</v>
      </c>
      <c r="R488" s="284" t="s">
        <v>624</v>
      </c>
      <c r="S488" s="285" t="str">
        <f aca="false">IFERROR(IF(C$347*C$348*C$349*C$350*C$351*C$352*C$353&gt;0,STDEV(C$347:C$353),"")/IF(C$347*C$348*C$349*C$350*C$351*C$352*C$353&gt;0,AVERAGE(C$347:C$353),""),"")</f>
        <v/>
      </c>
      <c r="T488" s="285" t="str">
        <f aca="false">IFERROR(IF(D$347*D$348*D$349*D$350*D$351*D$352*D$353&gt;0,STDEV(D$347:D$353),"")/IF(D$347*D$348*D$349*D$350*D$351*D$352*D$353&gt;0,AVERAGE(D$347:D$353),""),"")</f>
        <v/>
      </c>
      <c r="U488" s="285" t="str">
        <f aca="false">IFERROR(IF(E$347*E$348*E$349*E$350*E$351*E$352*E$353&gt;0,STDEV(E$347:E$353),"")/IF(E$347*E$348*E$349*E$350*E$351*E$352*E$353&gt;0,AVERAGE(E$347:E$353),""),"")</f>
        <v/>
      </c>
      <c r="V488" s="285" t="str">
        <f aca="false">IFERROR(IF(F$347*F$348*F$349*F$350*F$351*F$352*F$353&gt;0,STDEV(F$347:F$353),"")/IF(F$347*F$348*F$349*F$350*F$351*F$352*F$353&gt;0,AVERAGE(F$347:F$353),""),"")</f>
        <v/>
      </c>
      <c r="W488" s="285" t="str">
        <f aca="false">IFERROR(IF(G$347*G$348*G$349*G$350*G$351*G$352*G$353&gt;0,STDEV(G$347:G$353),"")/IF(G$347*G$348*G$349*G$350*G$351*G$352*G$353&gt;0,AVERAGE(G$347:G$353),""),"")</f>
        <v/>
      </c>
      <c r="X488" s="285" t="str">
        <f aca="false">IFERROR(IF(H$347*H$348*H$349*H$350*H$351*H$352*H$353&gt;0,STDEV(H$347:H$353),"")/IF(H$347*H$348*H$349*H$350*H$351*H$352*H$353&gt;0,AVERAGE(H$347:H$353),""),"")</f>
        <v/>
      </c>
      <c r="Y488" s="285" t="str">
        <f aca="false">IFERROR(IF(I$347*I$348*I$349*I$350*I$351*I$352*I$353&gt;0,STDEV(I$347:I$353),"")/IF(I$347*I$348*I$349*I$350*I$351*I$352*I$353&gt;0,AVERAGE(I$347:I$353),""),"")</f>
        <v/>
      </c>
      <c r="Z488" s="285" t="str">
        <f aca="false">IFERROR(IF(J$347*J$348*J$349*J$350*J$351*J$352*J$353&gt;0,STDEV(J$347:J$353),"")/IF(J$347*J$348*J$349*J$350*J$351*J$352*J$353&gt;0,AVERAGE(J$347:J$353),""),"")</f>
        <v/>
      </c>
      <c r="AA488" s="285" t="str">
        <f aca="false">IFERROR(IF(K$347*K$348*K$349*K$350*K$351*K$352*K$353&gt;0,STDEV(K$347:K$353),"")/IF(K$347*K$348*K$349*K$350*K$351*K$352*K$353&gt;0,AVERAGE(K$347:K$353),""),"")</f>
        <v/>
      </c>
      <c r="AB488" s="285" t="str">
        <f aca="false">IFERROR(IF(L$347*L$348*L$349*L$350*L$351*L$352*L$353&gt;0,STDEV(L$347:L$353),"")/IF(L$347*L$348*L$349*L$350*L$351*L$352*L$353&gt;0,AVERAGE(L$347:L$353),""),"")</f>
        <v/>
      </c>
      <c r="AC488" s="285" t="str">
        <f aca="false">IFERROR(IF(M$347*M$348*M$349*M$350*M$351*M$352*M$353&gt;0,STDEV(M$347:M$353),"")/IF(M$347*M$348*M$349*M$350*M$351*M$352*M$353&gt;0,AVERAGE(M$347:M$353),""),"")</f>
        <v/>
      </c>
      <c r="AD488" s="285" t="str">
        <f aca="false">IFERROR(IF(N$347*N$348*N$349*N$350*N$351*N$352*N$353&gt;0,STDEV(N$347:N$353),"")/IF(N$347*N$348*N$349*N$350*N$351*N$352*N$353&gt;0,AVERAGE(N$347:N$353),""),"")</f>
        <v/>
      </c>
      <c r="AE488" s="44"/>
      <c r="AF488" s="286" t="s">
        <v>625</v>
      </c>
      <c r="AG488" s="287" t="str">
        <f aca="false">IFERROR(IF(C$347*C$348*C$349*C$350*C$351*C$352*C$353&gt;0,STDEV(C$347:C$353)," ")/IF(C$347*C$348*C$349*C$350*C$351*C$352*C$353&gt;0,SQRT(COUNT(C$347:C$353))," "),"")</f>
        <v/>
      </c>
      <c r="AH488" s="287" t="str">
        <f aca="false">IFERROR(IF(D$347*D$348*D$349*D$350*D$351*D$352*D$353&gt;0,STDEV(D$347:D$353)," ")/IF(D$347*D$348*D$349*D$350*D$351*D$352*D$353&gt;0,SQRT(COUNT(D$347:D$353))," "),"")</f>
        <v/>
      </c>
      <c r="AI488" s="287" t="str">
        <f aca="false">IFERROR(IF(E$347*E$348*E$349*E$350*E$351*E$352*E$353&gt;0,STDEV(E$347:E$353)," ")/IF(E$347*E$348*E$349*E$350*E$351*E$352*E$353&gt;0,SQRT(COUNT(E$347:E$353))," "),"")</f>
        <v/>
      </c>
      <c r="AJ488" s="287" t="str">
        <f aca="false">IFERROR(IF(F$347*F$348*F$349*F$350*F$351*F$352*F$353&gt;0,STDEV(F$347:F$353)," ")/IF(F$347*F$348*F$349*F$350*F$351*F$352*F$353&gt;0,SQRT(COUNT(F$347:F$353))," "),"")</f>
        <v/>
      </c>
      <c r="AK488" s="287" t="str">
        <f aca="false">IFERROR(IF(G$347*G$348*G$349*G$350*G$351*G$352*G$353&gt;0,STDEV(G$347:G$353)," ")/IF(G$347*G$348*G$349*G$350*G$351*G$352*G$353&gt;0,SQRT(COUNT(G$347:G$353))," "),"")</f>
        <v/>
      </c>
      <c r="AL488" s="287" t="str">
        <f aca="false">IFERROR(IF(H$347*H$348*H$349*H$350*H$351*H$352*H$353&gt;0,STDEV(H$347:H$353)," ")/IF(H$347*H$348*H$349*H$350*H$351*H$352*H$353&gt;0,SQRT(COUNT(H$347:H$353))," "),"")</f>
        <v/>
      </c>
      <c r="AM488" s="287" t="str">
        <f aca="false">IFERROR(IF(I$347*I$348*I$349*I$350*I$351*I$352*I$353&gt;0,STDEV(I$347:I$353)," ")/IF(I$347*I$348*I$349*I$350*I$351*I$352*I$353&gt;0,SQRT(COUNT(I$347:I$353))," "),"")</f>
        <v/>
      </c>
      <c r="AN488" s="287" t="str">
        <f aca="false">IFERROR(IF(J$347*J$348*J$349*J$350*J$351*J$352*J$353&gt;0,STDEV(J$347:J$353)," ")/IF(J$347*J$348*J$349*J$350*J$351*J$352*J$353&gt;0,SQRT(COUNT(J$347:J$353))," "),"")</f>
        <v/>
      </c>
      <c r="AO488" s="287" t="str">
        <f aca="false">IFERROR(IF(K$347*K$348*K$349*K$350*K$351*K$352*K$353&gt;0,STDEV(K$347:K$353)," ")/IF(K$347*K$348*K$349*K$350*K$351*K$352*K$353&gt;0,SQRT(COUNT(K$347:K$353))," "),"")</f>
        <v/>
      </c>
      <c r="AP488" s="287" t="str">
        <f aca="false">IFERROR(IF(L$347*L$348*L$349*L$350*L$351*L$352*L$353&gt;0,STDEV(L$347:L$353)," ")/IF(L$347*L$348*L$349*L$350*L$351*L$352*L$353&gt;0,SQRT(COUNT(L$347:L$353))," "),"")</f>
        <v/>
      </c>
      <c r="AQ488" s="287" t="str">
        <f aca="false">IFERROR(IF(M$347*M$348*M$349*M$350*M$351*M$352*M$353&gt;0,STDEV(M$347:M$353)," ")/IF(M$347*M$348*M$349*M$350*M$351*M$352*M$353&gt;0,SQRT(COUNT(M$347:M$353))," "),"")</f>
        <v/>
      </c>
      <c r="AR488" s="287" t="str">
        <f aca="false">IFERROR(IF(N$347*N$348*N$349*N$350*N$351*N$352*N$353&gt;0,STDEV(N$347:N$353)," ")/IF(N$347*N$348*N$349*N$350*N$351*N$352*N$353&gt;0,SQRT(COUNT(N$347:N$353))," "),"")</f>
        <v/>
      </c>
    </row>
    <row r="489" customFormat="false" ht="15.75" hidden="false" customHeight="false" outlineLevel="0" collapsed="false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83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</row>
    <row r="490" customFormat="false" ht="15.75" hidden="false" customHeight="false" outlineLevel="0" collapsed="false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83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</row>
    <row r="491" customFormat="false" ht="15.75" hidden="false" customHeight="false" outlineLevel="0" collapsed="false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83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</row>
    <row r="492" customFormat="false" ht="15.75" hidden="false" customHeight="false" outlineLevel="0" collapsed="false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83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</row>
    <row r="493" customFormat="false" ht="15.75" hidden="false" customHeight="false" outlineLevel="0" collapsed="false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83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</row>
    <row r="494" customFormat="false" ht="15.75" hidden="false" customHeight="false" outlineLevel="0" collapsed="false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83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</row>
    <row r="495" customFormat="false" ht="15.75" hidden="false" customHeight="false" outlineLevel="0" collapsed="false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83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</row>
    <row r="496" customFormat="false" ht="15.75" hidden="false" customHeight="false" outlineLevel="0" collapsed="false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83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</row>
    <row r="497" customFormat="false" ht="15.75" hidden="false" customHeight="false" outlineLevel="0" collapsed="false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83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</row>
    <row r="498" customFormat="false" ht="15.75" hidden="false" customHeight="false" outlineLevel="0" collapsed="false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83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</row>
    <row r="499" customFormat="false" ht="15.75" hidden="false" customHeight="false" outlineLevel="0" collapsed="false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83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</row>
    <row r="500" customFormat="false" ht="15.75" hidden="false" customHeight="false" outlineLevel="0" collapsed="false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83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</row>
    <row r="501" customFormat="false" ht="15.75" hidden="false" customHeight="false" outlineLevel="0" collapsed="false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83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</row>
    <row r="502" customFormat="false" ht="15.75" hidden="false" customHeight="false" outlineLevel="0" collapsed="false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83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</row>
    <row r="503" customFormat="false" ht="15.75" hidden="false" customHeight="false" outlineLevel="0" collapsed="false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83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</row>
    <row r="504" customFormat="false" ht="15.75" hidden="false" customHeight="false" outlineLevel="0" collapsed="false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83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</row>
    <row r="505" customFormat="false" ht="15.75" hidden="false" customHeight="false" outlineLevel="0" collapsed="false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83"/>
      <c r="R505" s="44"/>
      <c r="S505" s="44"/>
      <c r="T505" s="44"/>
      <c r="U505" s="44"/>
      <c r="V505" s="44"/>
      <c r="W505" s="44"/>
      <c r="X505" s="44"/>
      <c r="Y505" s="44"/>
      <c r="Z505" s="44"/>
      <c r="AA505" s="44"/>
      <c r="AB505" s="44"/>
      <c r="AC505" s="44"/>
      <c r="AD505" s="44"/>
      <c r="AE505" s="44"/>
      <c r="AF505" s="44"/>
      <c r="AG505" s="44"/>
      <c r="AH505" s="44"/>
      <c r="AI505" s="44"/>
      <c r="AJ505" s="44"/>
      <c r="AK505" s="44"/>
      <c r="AL505" s="44"/>
      <c r="AM505" s="44"/>
      <c r="AN505" s="44"/>
      <c r="AO505" s="44"/>
      <c r="AP505" s="44"/>
      <c r="AQ505" s="44"/>
      <c r="AR505" s="44"/>
    </row>
    <row r="506" customFormat="false" ht="15.75" hidden="false" customHeight="false" outlineLevel="0" collapsed="false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83"/>
      <c r="R506" s="44"/>
      <c r="S506" s="44"/>
      <c r="T506" s="44"/>
      <c r="U506" s="44"/>
      <c r="V506" s="44"/>
      <c r="W506" s="44"/>
      <c r="X506" s="44"/>
      <c r="Y506" s="44"/>
      <c r="Z506" s="44"/>
      <c r="AA506" s="44"/>
      <c r="AB506" s="44"/>
      <c r="AC506" s="44"/>
      <c r="AD506" s="44"/>
      <c r="AE506" s="44"/>
      <c r="AF506" s="44"/>
      <c r="AG506" s="44"/>
      <c r="AH506" s="44"/>
      <c r="AI506" s="44"/>
      <c r="AJ506" s="44"/>
      <c r="AK506" s="44"/>
      <c r="AL506" s="44"/>
      <c r="AM506" s="44"/>
      <c r="AN506" s="44"/>
      <c r="AO506" s="44"/>
      <c r="AP506" s="44"/>
      <c r="AQ506" s="44"/>
      <c r="AR506" s="44"/>
    </row>
    <row r="507" customFormat="false" ht="15.75" hidden="false" customHeight="false" outlineLevel="0" collapsed="false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83"/>
      <c r="R507" s="44"/>
      <c r="S507" s="44"/>
      <c r="T507" s="44"/>
      <c r="U507" s="44"/>
      <c r="V507" s="44"/>
      <c r="W507" s="44"/>
      <c r="X507" s="44"/>
      <c r="Y507" s="44"/>
      <c r="Z507" s="44"/>
      <c r="AA507" s="44"/>
      <c r="AB507" s="44"/>
      <c r="AC507" s="44"/>
      <c r="AD507" s="44"/>
      <c r="AE507" s="44"/>
      <c r="AF507" s="44"/>
      <c r="AG507" s="44"/>
      <c r="AH507" s="44"/>
      <c r="AI507" s="44"/>
      <c r="AJ507" s="44"/>
      <c r="AK507" s="44"/>
      <c r="AL507" s="44"/>
      <c r="AM507" s="44"/>
      <c r="AN507" s="44"/>
      <c r="AO507" s="44"/>
      <c r="AP507" s="44"/>
      <c r="AQ507" s="44"/>
      <c r="AR507" s="44"/>
    </row>
    <row r="508" customFormat="false" ht="15.75" hidden="false" customHeight="false" outlineLevel="0" collapsed="false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83"/>
      <c r="R508" s="44"/>
      <c r="S508" s="44"/>
      <c r="T508" s="44"/>
      <c r="U508" s="44"/>
      <c r="V508" s="44"/>
      <c r="W508" s="44"/>
      <c r="X508" s="44"/>
      <c r="Y508" s="44"/>
      <c r="Z508" s="44"/>
      <c r="AA508" s="44"/>
      <c r="AB508" s="44"/>
      <c r="AC508" s="44"/>
      <c r="AD508" s="44"/>
      <c r="AE508" s="44"/>
      <c r="AF508" s="44"/>
      <c r="AG508" s="44"/>
      <c r="AH508" s="44"/>
      <c r="AI508" s="44"/>
      <c r="AJ508" s="44"/>
      <c r="AK508" s="44"/>
      <c r="AL508" s="44"/>
      <c r="AM508" s="44"/>
      <c r="AN508" s="44"/>
      <c r="AO508" s="44"/>
      <c r="AP508" s="44"/>
      <c r="AQ508" s="44"/>
      <c r="AR508" s="44"/>
    </row>
    <row r="509" customFormat="false" ht="15.75" hidden="false" customHeight="false" outlineLevel="0" collapsed="false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83"/>
      <c r="R509" s="44"/>
      <c r="S509" s="44"/>
      <c r="T509" s="44"/>
      <c r="U509" s="44"/>
      <c r="V509" s="44"/>
      <c r="W509" s="44"/>
      <c r="X509" s="44"/>
      <c r="Y509" s="44"/>
      <c r="Z509" s="44"/>
      <c r="AA509" s="44"/>
      <c r="AB509" s="44"/>
      <c r="AC509" s="44"/>
      <c r="AD509" s="44"/>
      <c r="AE509" s="44"/>
      <c r="AF509" s="44"/>
      <c r="AG509" s="44"/>
      <c r="AH509" s="44"/>
      <c r="AI509" s="44"/>
      <c r="AJ509" s="44"/>
      <c r="AK509" s="44"/>
      <c r="AL509" s="44"/>
      <c r="AM509" s="44"/>
      <c r="AN509" s="44"/>
      <c r="AO509" s="44"/>
      <c r="AP509" s="44"/>
      <c r="AQ509" s="44"/>
      <c r="AR509" s="44"/>
    </row>
    <row r="510" customFormat="false" ht="15.75" hidden="false" customHeight="false" outlineLevel="0" collapsed="false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83"/>
      <c r="R510" s="44"/>
      <c r="S510" s="44"/>
      <c r="T510" s="44"/>
      <c r="U510" s="44"/>
      <c r="V510" s="44"/>
      <c r="W510" s="44"/>
      <c r="X510" s="44"/>
      <c r="Y510" s="44"/>
      <c r="Z510" s="44"/>
      <c r="AA510" s="44"/>
      <c r="AB510" s="44"/>
      <c r="AC510" s="44"/>
      <c r="AD510" s="44"/>
      <c r="AE510" s="44"/>
      <c r="AF510" s="44"/>
      <c r="AG510" s="44"/>
      <c r="AH510" s="44"/>
      <c r="AI510" s="44"/>
      <c r="AJ510" s="44"/>
      <c r="AK510" s="44"/>
      <c r="AL510" s="44"/>
      <c r="AM510" s="44"/>
      <c r="AN510" s="44"/>
      <c r="AO510" s="44"/>
      <c r="AP510" s="44"/>
      <c r="AQ510" s="44"/>
      <c r="AR510" s="44"/>
    </row>
    <row r="511" customFormat="false" ht="15.75" hidden="false" customHeight="false" outlineLevel="0" collapsed="false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83"/>
      <c r="R511" s="44"/>
      <c r="S511" s="44"/>
      <c r="T511" s="44"/>
      <c r="U511" s="44"/>
      <c r="V511" s="44"/>
      <c r="W511" s="44"/>
      <c r="X511" s="44"/>
      <c r="Y511" s="44"/>
      <c r="Z511" s="44"/>
      <c r="AA511" s="44"/>
      <c r="AB511" s="44"/>
      <c r="AC511" s="44"/>
      <c r="AD511" s="44"/>
      <c r="AE511" s="44"/>
      <c r="AF511" s="44"/>
      <c r="AG511" s="44"/>
      <c r="AH511" s="44"/>
      <c r="AI511" s="44"/>
      <c r="AJ511" s="44"/>
      <c r="AK511" s="44"/>
      <c r="AL511" s="44"/>
      <c r="AM511" s="44"/>
      <c r="AN511" s="44"/>
      <c r="AO511" s="44"/>
      <c r="AP511" s="44"/>
      <c r="AQ511" s="44"/>
      <c r="AR511" s="44"/>
    </row>
    <row r="512" customFormat="false" ht="15.75" hidden="false" customHeight="false" outlineLevel="0" collapsed="false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83"/>
      <c r="R512" s="44"/>
      <c r="S512" s="44"/>
      <c r="T512" s="44"/>
      <c r="U512" s="44"/>
      <c r="V512" s="44"/>
      <c r="W512" s="44"/>
      <c r="X512" s="44"/>
      <c r="Y512" s="44"/>
      <c r="Z512" s="44"/>
      <c r="AA512" s="44"/>
      <c r="AB512" s="44"/>
      <c r="AC512" s="44"/>
      <c r="AD512" s="44"/>
      <c r="AE512" s="44"/>
      <c r="AF512" s="44"/>
      <c r="AG512" s="44"/>
      <c r="AH512" s="44"/>
      <c r="AI512" s="44"/>
      <c r="AJ512" s="44"/>
      <c r="AK512" s="44"/>
      <c r="AL512" s="44"/>
      <c r="AM512" s="44"/>
      <c r="AN512" s="44"/>
      <c r="AO512" s="44"/>
      <c r="AP512" s="44"/>
      <c r="AQ512" s="44"/>
      <c r="AR512" s="44"/>
    </row>
    <row r="513" customFormat="false" ht="15.75" hidden="false" customHeight="false" outlineLevel="0" collapsed="false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83"/>
      <c r="R513" s="44"/>
      <c r="S513" s="44"/>
      <c r="T513" s="44"/>
      <c r="U513" s="44"/>
      <c r="V513" s="44"/>
      <c r="W513" s="44"/>
      <c r="X513" s="44"/>
      <c r="Y513" s="44"/>
      <c r="Z513" s="44"/>
      <c r="AA513" s="44"/>
      <c r="AB513" s="44"/>
      <c r="AC513" s="44"/>
      <c r="AD513" s="44"/>
      <c r="AE513" s="44"/>
      <c r="AF513" s="44"/>
      <c r="AG513" s="44"/>
      <c r="AH513" s="44"/>
      <c r="AI513" s="44"/>
      <c r="AJ513" s="44"/>
      <c r="AK513" s="44"/>
      <c r="AL513" s="44"/>
      <c r="AM513" s="44"/>
      <c r="AN513" s="44"/>
      <c r="AO513" s="44"/>
      <c r="AP513" s="44"/>
      <c r="AQ513" s="44"/>
      <c r="AR513" s="44"/>
    </row>
    <row r="514" customFormat="false" ht="15.75" hidden="false" customHeight="false" outlineLevel="0" collapsed="false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83"/>
      <c r="R514" s="44"/>
      <c r="S514" s="44"/>
      <c r="T514" s="44"/>
      <c r="U514" s="44"/>
      <c r="V514" s="44"/>
      <c r="W514" s="44"/>
      <c r="X514" s="44"/>
      <c r="Y514" s="44"/>
      <c r="Z514" s="44"/>
      <c r="AA514" s="44"/>
      <c r="AB514" s="44"/>
      <c r="AC514" s="44"/>
      <c r="AD514" s="44"/>
      <c r="AE514" s="44"/>
      <c r="AF514" s="44"/>
      <c r="AG514" s="44"/>
      <c r="AH514" s="44"/>
      <c r="AI514" s="44"/>
      <c r="AJ514" s="44"/>
      <c r="AK514" s="44"/>
      <c r="AL514" s="44"/>
      <c r="AM514" s="44"/>
      <c r="AN514" s="44"/>
      <c r="AO514" s="44"/>
      <c r="AP514" s="44"/>
      <c r="AQ514" s="44"/>
      <c r="AR514" s="44"/>
    </row>
    <row r="515" customFormat="false" ht="15.75" hidden="false" customHeight="false" outlineLevel="0" collapsed="false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83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4"/>
      <c r="AC515" s="44"/>
      <c r="AD515" s="44"/>
      <c r="AE515" s="44"/>
      <c r="AF515" s="44"/>
      <c r="AG515" s="44"/>
      <c r="AH515" s="44"/>
      <c r="AI515" s="44"/>
      <c r="AJ515" s="44"/>
      <c r="AK515" s="44"/>
      <c r="AL515" s="44"/>
      <c r="AM515" s="44"/>
      <c r="AN515" s="44"/>
      <c r="AO515" s="44"/>
      <c r="AP515" s="44"/>
      <c r="AQ515" s="44"/>
      <c r="AR515" s="44"/>
    </row>
    <row r="516" customFormat="false" ht="15.75" hidden="false" customHeight="false" outlineLevel="0" collapsed="false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83"/>
      <c r="R516" s="44"/>
      <c r="S516" s="44"/>
      <c r="T516" s="44"/>
      <c r="U516" s="44"/>
      <c r="V516" s="44"/>
      <c r="W516" s="44"/>
      <c r="X516" s="44"/>
      <c r="Y516" s="44"/>
      <c r="Z516" s="44"/>
      <c r="AA516" s="44"/>
      <c r="AB516" s="44"/>
      <c r="AC516" s="44"/>
      <c r="AD516" s="44"/>
      <c r="AE516" s="44"/>
      <c r="AF516" s="44"/>
      <c r="AG516" s="44"/>
      <c r="AH516" s="44"/>
      <c r="AI516" s="44"/>
      <c r="AJ516" s="44"/>
      <c r="AK516" s="44"/>
      <c r="AL516" s="44"/>
      <c r="AM516" s="44"/>
      <c r="AN516" s="44"/>
      <c r="AO516" s="44"/>
      <c r="AP516" s="44"/>
      <c r="AQ516" s="44"/>
      <c r="AR516" s="44"/>
    </row>
    <row r="517" customFormat="false" ht="15.75" hidden="false" customHeight="false" outlineLevel="0" collapsed="false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83"/>
      <c r="R517" s="44"/>
      <c r="S517" s="44"/>
      <c r="T517" s="44"/>
      <c r="U517" s="44"/>
      <c r="V517" s="44"/>
      <c r="W517" s="44"/>
      <c r="X517" s="44"/>
      <c r="Y517" s="44"/>
      <c r="Z517" s="44"/>
      <c r="AA517" s="44"/>
      <c r="AB517" s="44"/>
      <c r="AC517" s="44"/>
      <c r="AD517" s="44"/>
      <c r="AE517" s="44"/>
      <c r="AF517" s="44"/>
      <c r="AG517" s="44"/>
      <c r="AH517" s="44"/>
      <c r="AI517" s="44"/>
      <c r="AJ517" s="44"/>
      <c r="AK517" s="44"/>
      <c r="AL517" s="44"/>
      <c r="AM517" s="44"/>
      <c r="AN517" s="44"/>
      <c r="AO517" s="44"/>
      <c r="AP517" s="44"/>
      <c r="AQ517" s="44"/>
      <c r="AR517" s="44"/>
    </row>
    <row r="518" customFormat="false" ht="15.75" hidden="false" customHeight="false" outlineLevel="0" collapsed="false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83"/>
      <c r="R518" s="44"/>
      <c r="S518" s="44"/>
      <c r="T518" s="44"/>
      <c r="U518" s="44"/>
      <c r="V518" s="44"/>
      <c r="W518" s="44"/>
      <c r="X518" s="44"/>
      <c r="Y518" s="44"/>
      <c r="Z518" s="44"/>
      <c r="AA518" s="44"/>
      <c r="AB518" s="44"/>
      <c r="AC518" s="44"/>
      <c r="AD518" s="44"/>
      <c r="AE518" s="44"/>
      <c r="AF518" s="44"/>
      <c r="AG518" s="44"/>
      <c r="AH518" s="44"/>
      <c r="AI518" s="44"/>
      <c r="AJ518" s="44"/>
      <c r="AK518" s="44"/>
      <c r="AL518" s="44"/>
      <c r="AM518" s="44"/>
      <c r="AN518" s="44"/>
      <c r="AO518" s="44"/>
      <c r="AP518" s="44"/>
      <c r="AQ518" s="44"/>
      <c r="AR518" s="44"/>
    </row>
    <row r="519" customFormat="false" ht="15.75" hidden="false" customHeight="false" outlineLevel="0" collapsed="false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83"/>
      <c r="R519" s="44"/>
      <c r="S519" s="44"/>
      <c r="T519" s="44"/>
      <c r="U519" s="44"/>
      <c r="V519" s="44"/>
      <c r="W519" s="44"/>
      <c r="X519" s="44"/>
      <c r="Y519" s="44"/>
      <c r="Z519" s="44"/>
      <c r="AA519" s="44"/>
      <c r="AB519" s="44"/>
      <c r="AC519" s="44"/>
      <c r="AD519" s="44"/>
      <c r="AE519" s="44"/>
      <c r="AF519" s="44"/>
      <c r="AG519" s="44"/>
      <c r="AH519" s="44"/>
      <c r="AI519" s="44"/>
      <c r="AJ519" s="44"/>
      <c r="AK519" s="44"/>
      <c r="AL519" s="44"/>
      <c r="AM519" s="44"/>
      <c r="AN519" s="44"/>
      <c r="AO519" s="44"/>
      <c r="AP519" s="44"/>
      <c r="AQ519" s="44"/>
      <c r="AR519" s="44"/>
    </row>
    <row r="520" customFormat="false" ht="15.75" hidden="false" customHeight="false" outlineLevel="0" collapsed="false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83"/>
      <c r="R520" s="44"/>
      <c r="S520" s="44"/>
      <c r="T520" s="44"/>
      <c r="U520" s="44"/>
      <c r="V520" s="44"/>
      <c r="W520" s="44"/>
      <c r="X520" s="44"/>
      <c r="Y520" s="44"/>
      <c r="Z520" s="44"/>
      <c r="AA520" s="44"/>
      <c r="AB520" s="44"/>
      <c r="AC520" s="44"/>
      <c r="AD520" s="44"/>
      <c r="AE520" s="44"/>
      <c r="AF520" s="44"/>
      <c r="AG520" s="44"/>
      <c r="AH520" s="44"/>
      <c r="AI520" s="44"/>
      <c r="AJ520" s="44"/>
      <c r="AK520" s="44"/>
      <c r="AL520" s="44"/>
      <c r="AM520" s="44"/>
      <c r="AN520" s="44"/>
      <c r="AO520" s="44"/>
      <c r="AP520" s="44"/>
      <c r="AQ520" s="44"/>
      <c r="AR520" s="44"/>
    </row>
    <row r="521" customFormat="false" ht="15.75" hidden="false" customHeight="false" outlineLevel="0" collapsed="false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83"/>
      <c r="R521" s="44"/>
      <c r="S521" s="44"/>
      <c r="T521" s="44"/>
      <c r="U521" s="44"/>
      <c r="V521" s="44"/>
      <c r="W521" s="44"/>
      <c r="X521" s="44"/>
      <c r="Y521" s="44"/>
      <c r="Z521" s="44"/>
      <c r="AA521" s="44"/>
      <c r="AB521" s="44"/>
      <c r="AC521" s="44"/>
      <c r="AD521" s="44"/>
      <c r="AE521" s="44"/>
      <c r="AF521" s="44"/>
      <c r="AG521" s="44"/>
      <c r="AH521" s="44"/>
      <c r="AI521" s="44"/>
      <c r="AJ521" s="44"/>
      <c r="AK521" s="44"/>
      <c r="AL521" s="44"/>
      <c r="AM521" s="44"/>
      <c r="AN521" s="44"/>
      <c r="AO521" s="44"/>
      <c r="AP521" s="44"/>
      <c r="AQ521" s="44"/>
      <c r="AR521" s="44"/>
    </row>
    <row r="522" customFormat="false" ht="15.75" hidden="false" customHeight="false" outlineLevel="0" collapsed="false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83"/>
      <c r="R522" s="44"/>
      <c r="S522" s="44"/>
      <c r="T522" s="44"/>
      <c r="U522" s="44"/>
      <c r="V522" s="44"/>
      <c r="W522" s="44"/>
      <c r="X522" s="44"/>
      <c r="Y522" s="44"/>
      <c r="Z522" s="44"/>
      <c r="AA522" s="44"/>
      <c r="AB522" s="44"/>
      <c r="AC522" s="44"/>
      <c r="AD522" s="44"/>
      <c r="AE522" s="44"/>
      <c r="AF522" s="44"/>
      <c r="AG522" s="44"/>
      <c r="AH522" s="44"/>
      <c r="AI522" s="44"/>
      <c r="AJ522" s="44"/>
      <c r="AK522" s="44"/>
      <c r="AL522" s="44"/>
      <c r="AM522" s="44"/>
      <c r="AN522" s="44"/>
      <c r="AO522" s="44"/>
      <c r="AP522" s="44"/>
      <c r="AQ522" s="44"/>
      <c r="AR522" s="44"/>
    </row>
    <row r="523" customFormat="false" ht="15.75" hidden="false" customHeight="false" outlineLevel="0" collapsed="false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83"/>
      <c r="R523" s="44"/>
      <c r="S523" s="44"/>
      <c r="T523" s="44"/>
      <c r="U523" s="44"/>
      <c r="V523" s="44"/>
      <c r="W523" s="44"/>
      <c r="X523" s="44"/>
      <c r="Y523" s="44"/>
      <c r="Z523" s="44"/>
      <c r="AA523" s="44"/>
      <c r="AB523" s="44"/>
      <c r="AC523" s="44"/>
      <c r="AD523" s="44"/>
      <c r="AE523" s="44"/>
      <c r="AF523" s="44"/>
      <c r="AG523" s="44"/>
      <c r="AH523" s="44"/>
      <c r="AI523" s="44"/>
      <c r="AJ523" s="44"/>
      <c r="AK523" s="44"/>
      <c r="AL523" s="44"/>
      <c r="AM523" s="44"/>
      <c r="AN523" s="44"/>
      <c r="AO523" s="44"/>
      <c r="AP523" s="44"/>
      <c r="AQ523" s="44"/>
      <c r="AR523" s="44"/>
    </row>
    <row r="524" customFormat="false" ht="15.75" hidden="false" customHeight="false" outlineLevel="0" collapsed="false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83"/>
      <c r="R524" s="44"/>
      <c r="S524" s="44"/>
      <c r="T524" s="44"/>
      <c r="U524" s="44"/>
      <c r="V524" s="44"/>
      <c r="W524" s="44"/>
      <c r="X524" s="44"/>
      <c r="Y524" s="44"/>
      <c r="Z524" s="44"/>
      <c r="AA524" s="44"/>
      <c r="AB524" s="44"/>
      <c r="AC524" s="44"/>
      <c r="AD524" s="44"/>
      <c r="AE524" s="44"/>
      <c r="AF524" s="44"/>
      <c r="AG524" s="44"/>
      <c r="AH524" s="44"/>
      <c r="AI524" s="44"/>
      <c r="AJ524" s="44"/>
      <c r="AK524" s="44"/>
      <c r="AL524" s="44"/>
      <c r="AM524" s="44"/>
      <c r="AN524" s="44"/>
      <c r="AO524" s="44"/>
      <c r="AP524" s="44"/>
      <c r="AQ524" s="44"/>
      <c r="AR524" s="44"/>
    </row>
    <row r="525" customFormat="false" ht="15.75" hidden="false" customHeight="false" outlineLevel="0" collapsed="false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83"/>
      <c r="R525" s="44"/>
      <c r="S525" s="44"/>
      <c r="T525" s="44"/>
      <c r="U525" s="44"/>
      <c r="V525" s="44"/>
      <c r="W525" s="44"/>
      <c r="X525" s="44"/>
      <c r="Y525" s="44"/>
      <c r="Z525" s="44"/>
      <c r="AA525" s="44"/>
      <c r="AB525" s="44"/>
      <c r="AC525" s="44"/>
      <c r="AD525" s="44"/>
      <c r="AE525" s="44"/>
      <c r="AF525" s="44"/>
      <c r="AG525" s="44"/>
      <c r="AH525" s="44"/>
      <c r="AI525" s="44"/>
      <c r="AJ525" s="44"/>
      <c r="AK525" s="44"/>
      <c r="AL525" s="44"/>
      <c r="AM525" s="44"/>
      <c r="AN525" s="44"/>
      <c r="AO525" s="44"/>
      <c r="AP525" s="44"/>
      <c r="AQ525" s="44"/>
      <c r="AR525" s="44"/>
    </row>
    <row r="526" customFormat="false" ht="15.75" hidden="false" customHeight="false" outlineLevel="0" collapsed="false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83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</row>
    <row r="527" customFormat="false" ht="15.75" hidden="false" customHeight="false" outlineLevel="0" collapsed="false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83"/>
      <c r="R527" s="44"/>
      <c r="S527" s="44"/>
      <c r="T527" s="44"/>
      <c r="U527" s="44"/>
      <c r="V527" s="44"/>
      <c r="W527" s="44"/>
      <c r="X527" s="44"/>
      <c r="Y527" s="44"/>
      <c r="Z527" s="44"/>
      <c r="AA527" s="44"/>
      <c r="AB527" s="44"/>
      <c r="AC527" s="44"/>
      <c r="AD527" s="44"/>
      <c r="AE527" s="44"/>
      <c r="AF527" s="44"/>
      <c r="AG527" s="44"/>
      <c r="AH527" s="44"/>
      <c r="AI527" s="44"/>
      <c r="AJ527" s="44"/>
      <c r="AK527" s="44"/>
      <c r="AL527" s="44"/>
      <c r="AM527" s="44"/>
      <c r="AN527" s="44"/>
      <c r="AO527" s="44"/>
      <c r="AP527" s="44"/>
      <c r="AQ527" s="44"/>
      <c r="AR527" s="44"/>
    </row>
    <row r="528" customFormat="false" ht="15.75" hidden="false" customHeight="false" outlineLevel="0" collapsed="false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83"/>
      <c r="R528" s="44"/>
      <c r="S528" s="44"/>
      <c r="T528" s="44"/>
      <c r="U528" s="44"/>
      <c r="V528" s="44"/>
      <c r="W528" s="44"/>
      <c r="X528" s="44"/>
      <c r="Y528" s="44"/>
      <c r="Z528" s="44"/>
      <c r="AA528" s="44"/>
      <c r="AB528" s="44"/>
      <c r="AC528" s="44"/>
      <c r="AD528" s="44"/>
      <c r="AE528" s="44"/>
      <c r="AF528" s="44"/>
      <c r="AG528" s="44"/>
      <c r="AH528" s="44"/>
      <c r="AI528" s="44"/>
      <c r="AJ528" s="44"/>
      <c r="AK528" s="44"/>
      <c r="AL528" s="44"/>
      <c r="AM528" s="44"/>
      <c r="AN528" s="44"/>
      <c r="AO528" s="44"/>
      <c r="AP528" s="44"/>
      <c r="AQ528" s="44"/>
      <c r="AR528" s="44"/>
    </row>
    <row r="529" customFormat="false" ht="15.75" hidden="false" customHeight="false" outlineLevel="0" collapsed="false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83"/>
      <c r="R529" s="44"/>
      <c r="S529" s="44"/>
      <c r="T529" s="44"/>
      <c r="U529" s="44"/>
      <c r="V529" s="44"/>
      <c r="W529" s="44"/>
      <c r="X529" s="44"/>
      <c r="Y529" s="44"/>
      <c r="Z529" s="44"/>
      <c r="AA529" s="44"/>
      <c r="AB529" s="44"/>
      <c r="AC529" s="44"/>
      <c r="AD529" s="44"/>
      <c r="AE529" s="44"/>
      <c r="AF529" s="44"/>
      <c r="AG529" s="44"/>
      <c r="AH529" s="44"/>
      <c r="AI529" s="44"/>
      <c r="AJ529" s="44"/>
      <c r="AK529" s="44"/>
      <c r="AL529" s="44"/>
      <c r="AM529" s="44"/>
      <c r="AN529" s="44"/>
      <c r="AO529" s="44"/>
      <c r="AP529" s="44"/>
      <c r="AQ529" s="44"/>
      <c r="AR529" s="44"/>
    </row>
    <row r="530" customFormat="false" ht="15.75" hidden="false" customHeight="false" outlineLevel="0" collapsed="false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83"/>
      <c r="R530" s="44"/>
      <c r="S530" s="44"/>
      <c r="T530" s="44"/>
      <c r="U530" s="44"/>
      <c r="V530" s="44"/>
      <c r="W530" s="44"/>
      <c r="X530" s="44"/>
      <c r="Y530" s="44"/>
      <c r="Z530" s="44"/>
      <c r="AA530" s="44"/>
      <c r="AB530" s="44"/>
      <c r="AC530" s="44"/>
      <c r="AD530" s="44"/>
      <c r="AE530" s="44"/>
      <c r="AF530" s="44"/>
      <c r="AG530" s="44"/>
      <c r="AH530" s="44"/>
      <c r="AI530" s="44"/>
      <c r="AJ530" s="44"/>
      <c r="AK530" s="44"/>
      <c r="AL530" s="44"/>
      <c r="AM530" s="44"/>
      <c r="AN530" s="44"/>
      <c r="AO530" s="44"/>
      <c r="AP530" s="44"/>
      <c r="AQ530" s="44"/>
      <c r="AR530" s="44"/>
    </row>
    <row r="531" customFormat="false" ht="15.75" hidden="false" customHeight="false" outlineLevel="0" collapsed="false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83"/>
      <c r="R531" s="44"/>
      <c r="S531" s="44"/>
      <c r="T531" s="44"/>
      <c r="U531" s="44"/>
      <c r="V531" s="44"/>
      <c r="W531" s="44"/>
      <c r="X531" s="44"/>
      <c r="Y531" s="44"/>
      <c r="Z531" s="44"/>
      <c r="AA531" s="44"/>
      <c r="AB531" s="44"/>
      <c r="AC531" s="44"/>
      <c r="AD531" s="44"/>
      <c r="AE531" s="44"/>
      <c r="AF531" s="44"/>
      <c r="AG531" s="44"/>
      <c r="AH531" s="44"/>
      <c r="AI531" s="44"/>
      <c r="AJ531" s="44"/>
      <c r="AK531" s="44"/>
      <c r="AL531" s="44"/>
      <c r="AM531" s="44"/>
      <c r="AN531" s="44"/>
      <c r="AO531" s="44"/>
      <c r="AP531" s="44"/>
      <c r="AQ531" s="44"/>
      <c r="AR531" s="44"/>
    </row>
    <row r="532" customFormat="false" ht="15.75" hidden="false" customHeight="false" outlineLevel="0" collapsed="false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83"/>
      <c r="R532" s="44"/>
      <c r="S532" s="44"/>
      <c r="T532" s="44"/>
      <c r="U532" s="44"/>
      <c r="V532" s="44"/>
      <c r="W532" s="44"/>
      <c r="X532" s="44"/>
      <c r="Y532" s="44"/>
      <c r="Z532" s="44"/>
      <c r="AA532" s="44"/>
      <c r="AB532" s="44"/>
      <c r="AC532" s="44"/>
      <c r="AD532" s="44"/>
      <c r="AE532" s="44"/>
      <c r="AF532" s="44"/>
      <c r="AG532" s="44"/>
      <c r="AH532" s="44"/>
      <c r="AI532" s="44"/>
      <c r="AJ532" s="44"/>
      <c r="AK532" s="44"/>
      <c r="AL532" s="44"/>
      <c r="AM532" s="44"/>
      <c r="AN532" s="44"/>
      <c r="AO532" s="44"/>
      <c r="AP532" s="44"/>
      <c r="AQ532" s="44"/>
      <c r="AR532" s="44"/>
    </row>
    <row r="533" customFormat="false" ht="15.75" hidden="false" customHeight="false" outlineLevel="0" collapsed="false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83"/>
      <c r="R533" s="44"/>
      <c r="S533" s="44"/>
      <c r="T533" s="44"/>
      <c r="U533" s="44"/>
      <c r="V533" s="44"/>
      <c r="W533" s="44"/>
      <c r="X533" s="44"/>
      <c r="Y533" s="44"/>
      <c r="Z533" s="44"/>
      <c r="AA533" s="44"/>
      <c r="AB533" s="44"/>
      <c r="AC533" s="44"/>
      <c r="AD533" s="44"/>
      <c r="AE533" s="44"/>
      <c r="AF533" s="44"/>
      <c r="AG533" s="44"/>
      <c r="AH533" s="44"/>
      <c r="AI533" s="44"/>
      <c r="AJ533" s="44"/>
      <c r="AK533" s="44"/>
      <c r="AL533" s="44"/>
      <c r="AM533" s="44"/>
      <c r="AN533" s="44"/>
      <c r="AO533" s="44"/>
      <c r="AP533" s="44"/>
      <c r="AQ533" s="44"/>
      <c r="AR533" s="44"/>
    </row>
    <row r="534" customFormat="false" ht="15.75" hidden="false" customHeight="false" outlineLevel="0" collapsed="false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83"/>
      <c r="R534" s="44"/>
      <c r="S534" s="44"/>
      <c r="T534" s="44"/>
      <c r="U534" s="44"/>
      <c r="V534" s="44"/>
      <c r="W534" s="44"/>
      <c r="X534" s="44"/>
      <c r="Y534" s="44"/>
      <c r="Z534" s="44"/>
      <c r="AA534" s="44"/>
      <c r="AB534" s="44"/>
      <c r="AC534" s="44"/>
      <c r="AD534" s="44"/>
      <c r="AE534" s="44"/>
      <c r="AF534" s="44"/>
      <c r="AG534" s="44"/>
      <c r="AH534" s="44"/>
      <c r="AI534" s="44"/>
      <c r="AJ534" s="44"/>
      <c r="AK534" s="44"/>
      <c r="AL534" s="44"/>
      <c r="AM534" s="44"/>
      <c r="AN534" s="44"/>
      <c r="AO534" s="44"/>
      <c r="AP534" s="44"/>
      <c r="AQ534" s="44"/>
      <c r="AR534" s="44"/>
    </row>
  </sheetData>
  <sheetProtection sheet="true" objects="true" scenarios="true"/>
  <conditionalFormatting sqref="C10:N16">
    <cfRule type="expression" priority="2" aboveAverage="0" equalAverage="0" bottom="0" percent="0" rank="0" text="" dxfId="61">
      <formula>AND(C10&gt;0, C10&lt;=50)</formula>
    </cfRule>
  </conditionalFormatting>
  <conditionalFormatting sqref="C10:N16">
    <cfRule type="expression" priority="3" aboveAverage="0" equalAverage="0" bottom="0" percent="0" rank="0" text="" dxfId="62">
      <formula>AND(C10&gt;0, C10&lt;=50)</formula>
    </cfRule>
  </conditionalFormatting>
  <conditionalFormatting sqref="C171:N177">
    <cfRule type="expression" priority="4" aboveAverage="0" equalAverage="0" bottom="0" percent="0" rank="0" text="" dxfId="63">
      <formula>AND(C171&gt;0, C171&lt;=50)</formula>
    </cfRule>
  </conditionalFormatting>
  <conditionalFormatting sqref="C171:N177">
    <cfRule type="expression" priority="5" aboveAverage="0" equalAverage="0" bottom="0" percent="0" rank="0" text="" dxfId="64">
      <formula>AND(C171&gt;0, C171&lt;=50)</formula>
    </cfRule>
  </conditionalFormatting>
  <conditionalFormatting sqref="D28:D29 D31">
    <cfRule type="expression" priority="6" aboveAverage="0" equalAverage="0" bottom="0" percent="0" rank="0" text="" dxfId="65">
      <formula>"IF(D$30&gt;'Titer Calculation'!$T$6)"</formula>
    </cfRule>
  </conditionalFormatting>
  <conditionalFormatting sqref="E28:E29 E31">
    <cfRule type="expression" priority="7" aboveAverage="0" equalAverage="0" bottom="0" percent="0" rank="0" text="" dxfId="66">
      <formula>"IF(E$30&gt;'Titer Calculation'!$T$6)"</formula>
    </cfRule>
  </conditionalFormatting>
  <conditionalFormatting sqref="F28:F29 F31">
    <cfRule type="expression" priority="8" aboveAverage="0" equalAverage="0" bottom="0" percent="0" rank="0" text="" dxfId="67">
      <formula>"IF(F$30&gt;'Titer Calculation'!$T$6)"</formula>
    </cfRule>
  </conditionalFormatting>
  <conditionalFormatting sqref="G28:G29 G31">
    <cfRule type="expression" priority="9" aboveAverage="0" equalAverage="0" bottom="0" percent="0" rank="0" text="" dxfId="68">
      <formula>"IF(G$30&gt;'Titer Calculation'!$T$6)"</formula>
    </cfRule>
  </conditionalFormatting>
  <conditionalFormatting sqref="H28:H29 H31">
    <cfRule type="expression" priority="10" aboveAverage="0" equalAverage="0" bottom="0" percent="0" rank="0" text="" dxfId="69">
      <formula>"IF(H$30&gt;'Titer Calculation'!$T$6)"</formula>
    </cfRule>
  </conditionalFormatting>
  <conditionalFormatting sqref="I28:I29 I31">
    <cfRule type="expression" priority="11" aboveAverage="0" equalAverage="0" bottom="0" percent="0" rank="0" text="" dxfId="70">
      <formula>"IF(I$30&gt;'Titer Calculation'!$T$6)"</formula>
    </cfRule>
  </conditionalFormatting>
  <conditionalFormatting sqref="J28:J29 J31">
    <cfRule type="expression" priority="12" aboveAverage="0" equalAverage="0" bottom="0" percent="0" rank="0" text="" dxfId="71">
      <formula>"IF(J$30&gt;'Titer Calculation'!$T$6)"</formula>
    </cfRule>
  </conditionalFormatting>
  <conditionalFormatting sqref="K28:K29 K31">
    <cfRule type="expression" priority="13" aboveAverage="0" equalAverage="0" bottom="0" percent="0" rank="0" text="" dxfId="72">
      <formula>"IF(K$30&gt;'Titer Calculation'!$T$6)"</formula>
    </cfRule>
  </conditionalFormatting>
  <conditionalFormatting sqref="L28:L29 L31">
    <cfRule type="expression" priority="14" aboveAverage="0" equalAverage="0" bottom="0" percent="0" rank="0" text="" dxfId="73">
      <formula>"IF(L$30&gt;'Titer Calculation'!$T$6)"</formula>
    </cfRule>
  </conditionalFormatting>
  <conditionalFormatting sqref="M28:M29 M31">
    <cfRule type="expression" priority="15" aboveAverage="0" equalAverage="0" bottom="0" percent="0" rank="0" text="" dxfId="74">
      <formula>"IF(M$30&gt;'Titer Calculation'!$T$6)"</formula>
    </cfRule>
  </conditionalFormatting>
  <conditionalFormatting sqref="D30">
    <cfRule type="expression" priority="16" aboveAverage="0" equalAverage="0" bottom="0" percent="0" rank="0" text="" dxfId="75">
      <formula>"IF(D$30&gt;'Titer Calculation'!$T$6)"</formula>
    </cfRule>
  </conditionalFormatting>
  <conditionalFormatting sqref="E30">
    <cfRule type="expression" priority="17" aboveAverage="0" equalAverage="0" bottom="0" percent="0" rank="0" text="" dxfId="76">
      <formula>"IF(E$30&gt;'Titer Calculation'!$T$6)"</formula>
    </cfRule>
  </conditionalFormatting>
  <conditionalFormatting sqref="F30">
    <cfRule type="expression" priority="18" aboveAverage="0" equalAverage="0" bottom="0" percent="0" rank="0" text="" dxfId="77">
      <formula>"IF(F$30&gt;'Titer Calculation'!$T$6)"</formula>
    </cfRule>
  </conditionalFormatting>
  <conditionalFormatting sqref="G30">
    <cfRule type="expression" priority="19" aboveAverage="0" equalAverage="0" bottom="0" percent="0" rank="0" text="" dxfId="78">
      <formula>"IF(G$30&gt;'Titer Calculation'!$T$6)"</formula>
    </cfRule>
  </conditionalFormatting>
  <conditionalFormatting sqref="H30">
    <cfRule type="expression" priority="20" aboveAverage="0" equalAverage="0" bottom="0" percent="0" rank="0" text="" dxfId="79">
      <formula>"IF(H$30&gt;'Titer Calculation'!$T$6)"</formula>
    </cfRule>
  </conditionalFormatting>
  <conditionalFormatting sqref="I30">
    <cfRule type="expression" priority="21" aboveAverage="0" equalAverage="0" bottom="0" percent="0" rank="0" text="" dxfId="80">
      <formula>"IF(I$30&gt;'Titer Calculation'!$T$6)"</formula>
    </cfRule>
  </conditionalFormatting>
  <conditionalFormatting sqref="J30">
    <cfRule type="expression" priority="22" aboveAverage="0" equalAverage="0" bottom="0" percent="0" rank="0" text="" dxfId="81">
      <formula>"IF(J$30&gt;'Titer Calculation'!$T$6)"</formula>
    </cfRule>
  </conditionalFormatting>
  <conditionalFormatting sqref="K30">
    <cfRule type="expression" priority="23" aboveAverage="0" equalAverage="0" bottom="0" percent="0" rank="0" text="" dxfId="82">
      <formula>"IF(K$30&gt;'Titer Calculation'!$T$6)"</formula>
    </cfRule>
  </conditionalFormatting>
  <conditionalFormatting sqref="L30">
    <cfRule type="expression" priority="24" aboveAverage="0" equalAverage="0" bottom="0" percent="0" rank="0" text="" dxfId="83">
      <formula>"IF(L$30&gt;'Titer Calculation'!$T$6)"</formula>
    </cfRule>
  </conditionalFormatting>
  <conditionalFormatting sqref="M30">
    <cfRule type="expression" priority="25" aboveAverage="0" equalAverage="0" bottom="0" percent="0" rank="0" text="" dxfId="84">
      <formula>"IF(M$30&gt;'Titer Calculation'!$T$6)"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LibreOffice/7.5.0.3$Windows_X86_64 LibreOffice_project/c21113d003cd3efa8c53188764377a8272d9d6de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2023-09-07T10:47:52Z</dcterms:created>
  <dc:creator/>
  <dc:description/>
  <dc:language>en-US</dc:language>
  <cp:lastModifiedBy/>
  <dcterms:modified xsi:type="dcterms:W3CDTF">2023-09-07T10:50:20Z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16.2.6.0</vt:lpwstr>
  </property>
</Properties>
</file>